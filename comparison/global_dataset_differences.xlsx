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b32f37896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ea comparison" sheetId="1" r:id="Rb8a2938aaf6d41c5"/>
    <x:sheet xmlns:r="http://schemas.openxmlformats.org/officeDocument/2006/relationships" name="Spatial comparison" sheetId="2" r:id="R192611591ee1430d"/>
    <x:sheet xmlns:r="http://schemas.openxmlformats.org/officeDocument/2006/relationships" name="Change comparison" sheetId="3" r:id="R22327e9372c84060"/>
    <x:sheet xmlns:r="http://schemas.openxmlformats.org/officeDocument/2006/relationships" name="Sources" sheetId="4" r:id="R4f39a4c32231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"/>
    <x:numFmt numFmtId="201" formatCode="+0.0%;[Red]-0.0%;0.0%"/>
    <x:numFmt numFmtId="202" formatCode="#,##0.0;[Red]-#,##0.0;0.0"/>
    <x:numFmt numFmtId="203" formatCode="0.000000"/>
    <x:numFmt numFmtId="204" formatCode="0.0%"/>
    <x:numFmt numFmtId="205" formatCode="+0.00;[Red]-0.00;0.00"/>
  </x:numFmts>
  <x:fonts count="7">
    <x:font>
      <x:sz val="11"/>
      <x:name val="Carlito"/>
    </x:font>
    <x:font>
      <x:sz val="10"/>
      <x:color rgb="FF243248"/>
      <x:name val="Arial"/>
    </x:font>
    <x:font>
      <x:b/>
      <x:sz val="15"/>
      <x:color rgb="FF243248"/>
      <x:name val="Arial"/>
    </x:font>
    <x:font>
      <x:i/>
      <x:sz val="10"/>
      <x:color rgb="FF53667A"/>
      <x:name val="Arial"/>
    </x:font>
    <x:font>
      <x:b/>
      <x:sz val="10"/>
      <x:color rgb="FFFFFFFF"/>
      <x:name val="Arial"/>
    </x:font>
    <x:font>
      <x:sz val="10"/>
      <x:color rgb="FF53667A"/>
      <x:name val="Arial"/>
    </x:font>
    <x:font>
      <x:b/>
      <x:sz val="10"/>
      <x:color rgb="FF24324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C57"/>
      </x:patternFill>
    </x:fill>
    <x:fill>
      <x:patternFill patternType="solid">
        <x:fgColor rgb="FFE8EDF3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9B6C4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786d2624542a5" /><Relationship Type="http://schemas.openxmlformats.org/officeDocument/2006/relationships/theme" Target="/xl/theme/theme1.xml" Id="R049a91d669e24a0b" /><Relationship Type="http://schemas.microsoft.com/office/2022/11/relationships/FeaturePropertyBag" Target="/xl/featurePropertyBag/featurePropertyBag.xml" Id="Rfcc0cfd70aa9412a" /><Relationship Type="http://schemas.openxmlformats.org/officeDocument/2006/relationships/sharedStrings" Target="/xl/sharedStrings.xml" Id="R5018c46418f543b9" /><Relationship Type="http://schemas.openxmlformats.org/officeDocument/2006/relationships/worksheet" Target="/xl/worksheets/sheet1.xml" Id="Rb8a2938aaf6d41c5" /><Relationship Type="http://schemas.openxmlformats.org/officeDocument/2006/relationships/worksheet" Target="/xl/worksheets/sheet2.xml" Id="R192611591ee1430d" /><Relationship Type="http://schemas.openxmlformats.org/officeDocument/2006/relationships/worksheet" Target="/xl/worksheets/sheet3.xml" Id="R22327e9372c84060" /><Relationship Type="http://schemas.openxmlformats.org/officeDocument/2006/relationships/worksheet" Target="/xl/worksheets/sheet4.xml" Id="R4f39a4c322314d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untryAreaComparisons" displayName="CountryAreaComparisons" ref="A23:X2168" headerRowCount="1" totalsRowCount="0" totalsRowShown="0">
  <x:tableColumns count="24">
    <x:tableColumn id="1" name="ISO"/>
    <x:tableColumn id="2" name="Country"/>
    <x:tableColumn id="3" name="Year"/>
    <x:tableColumn id="4" name="Dataset"/>
    <x:tableColumn id="5" name="Model Total GFA (m²)"/>
    <x:tableColumn id="6" name="Comparator area equivalent (m²)"/>
    <x:tableColumn id="7" name="Signed difference (m²)"/>
    <x:tableColumn id="8" name="Signed difference (%)"/>
    <x:tableColumn id="9" name="Absolute difference (%)"/>
    <x:tableColumn id="10" name="Availability"/>
    <x:tableColumn id="11" name="Core 194 (1=yes)"/>
    <x:tableColumn id="12" name="Anchor identity"/>
    <x:tableColumn id="13" name="Native source qualified"/>
    <x:tableColumn id="14" name="Source epoch role"/>
    <x:tableColumn id="15" name="Coverage alert"/>
    <x:tableColumn id="16" name="Native quantity"/>
    <x:tableColumn id="17" name="Native units"/>
    <x:tableColumn id="18" name="Native source value"/>
    <x:tableColumn id="19" name="TEMPO 2020 conversion base"/>
    <x:tableColumn id="20" name="Effective conversion ratio"/>
    <x:tableColumn id="21" name="Fixed model 2020 (m²)"/>
    <x:tableColumn id="22" name="Conversion rule"/>
    <x:tableColumn id="23" name="Source quality"/>
    <x:tableColumn id="24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ativeSpatialComparisons" displayName="NativeSpatialComparisons" ref="A7:T787" headerRowCount="1" totalsRowCount="0" totalsRowShown="0">
  <x:tableColumns count="20">
    <x:tableColumn id="1" name="ISO"/>
    <x:tableColumn id="2" name="Country"/>
    <x:tableColumn id="3" name="Year"/>
    <x:tableColumn id="4" name="Comparator dataset"/>
    <x:tableColumn id="5" name="Quantity"/>
    <x:tableColumn id="6" name="Units"/>
    <x:tableColumn id="7" name="TEMPO native value"/>
    <x:tableColumn id="8" name="Comparator native value"/>
    <x:tableColumn id="9" name="Signed difference"/>
    <x:tableColumn id="10" name="Signed difference (%)"/>
    <x:tableColumn id="11" name="Absolute difference (%)"/>
    <x:tableColumn id="12" name="Available"/>
    <x:tableColumn id="13" name="Core 194"/>
    <x:tableColumn id="14" name="Source quality"/>
    <x:tableColumn id="15" name="TEMPO quality"/>
    <x:tableColumn id="16" name="Source epoch role"/>
    <x:tableColumn id="17" name="Boundary and coverage"/>
    <x:tableColumn id="18" name="Source URL"/>
    <x:tableColumn id="19" name="PSE supplement"/>
    <x:tableColumn id="20" name="Independent GFA accuracy te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mulativeChanges" displayName="CumulativeChanges" ref="A7:W1567" headerRowCount="1" totalsRowCount="0" totalsRowShown="0">
  <x:tableColumns count="23">
    <x:tableColumn id="1" name="ISO"/>
    <x:tableColumn id="2" name="Country"/>
    <x:tableColumn id="3" name="Dataset"/>
    <x:tableColumn id="4" name="Start year"/>
    <x:tableColumn id="5" name="End year"/>
    <x:tableColumn id="6" name="Model start GFA (m²)"/>
    <x:tableColumn id="7" name="Model end GFA (m²)"/>
    <x:tableColumn id="8" name="Source start value"/>
    <x:tableColumn id="9" name="Source end value"/>
    <x:tableColumn id="10" name="Source native units"/>
    <x:tableColumn id="11" name="Model growth (%)"/>
    <x:tableColumn id="12" name="Source growth (%)"/>
    <x:tableColumn id="13" name="Growth gap (pp)"/>
    <x:tableColumn id="14" name="Available"/>
    <x:tableColumn id="15" name="Core 194"/>
    <x:tableColumn id="16" name="PSE supplement"/>
    <x:tableColumn id="17" name="Source start quality"/>
    <x:tableColumn id="18" name="Source end quality"/>
    <x:tableColumn id="19" name="Source start role"/>
    <x:tableColumn id="20" name="Source end role"/>
    <x:tableColumn id="21" name="Interpretation"/>
    <x:tableColumn id="22" name="Shared lineage"/>
    <x:tableColumn id="23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07bb670a6a45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8cdd54f48f4d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6eb64d17c747dc" /></Relationships>
</file>

<file path=xl/worksheets/sheet1.xml><?xml version="1.0" encoding="utf-8"?>
<x:worksheet xmlns:x="http://schemas.openxmlformats.org/spreadsheetml/2006/main">
  <x:sheetPr>
    <x:tabColor rgb="FF253C57"/>
  </x:sheetPr>
  <x:sheetViews>
    <x:sheetView showGridLines="0" workbookViewId="0">
      <x:pane xSplit="2" ySplit="23" topLeftCell="C24" activePane="bottomRight" state="frozen"/>
    </x:sheetView>
  </x:sheetViews>
  <x:sheetFormatPr defaultRowHeight="15"/>
  <x:cols>
    <x:col min="1" max="1" width="23" hidden="0" customWidth="1"/>
    <x:col min="2" max="2" width="29" hidden="0" customWidth="1"/>
    <x:col min="3" max="3" width="10" hidden="0" customWidth="1"/>
    <x:col min="4" max="4" width="22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18" hidden="0" customWidth="1"/>
    <x:col min="10" max="10" width="60" hidden="0" customWidth="1"/>
    <x:col min="11" max="11" width="15" hidden="0" customWidth="1"/>
    <x:col min="12" max="12" width="15" hidden="0" customWidth="1"/>
    <x:col min="13" max="13" width="15" hidden="0" customWidth="1"/>
    <x:col min="14" max="14" width="65" hidden="0" customWidth="1"/>
    <x:col min="15" max="15" width="65" hidden="0" customWidth="1"/>
    <x:col min="16" max="16" width="65" hidden="0" customWidth="1"/>
    <x:col min="17" max="17" width="13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95" hidden="0" customWidth="1"/>
    <x:col min="23" max="23" width="95" hidden="0" customWidth="1"/>
    <x:col min="24" max="24" width="9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3" customHeight="1">
      <x:c r="A2" s="3" t="str">
        <x:v>Country GFA and cross-dataset area equivalents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23" customHeight="1">
      <x:c r="A4" s="5" t="str">
        <x:v>Signed difference = model minus comparator. Conditional area equivalents are converted scenarios; these are dataset differences, not accuracy scores.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44" customHeight="1">
      <x:c r="A6" s="10" t="str">
        <x:v>Dataset</x:v>
      </x:c>
      <x:c r="B6" s="11" t="str">
        <x:v>Year</x:v>
      </x:c>
      <x:c r="C6" s="11" t="str">
        <x:v>Matched core countries</x:v>
      </x:c>
      <x:c r="D6" s="11" t="str">
        <x:v>Model total (billion m²)</x:v>
      </x:c>
      <x:c r="E6" s="11" t="str">
        <x:v>Comparator total (billion m²)</x:v>
      </x:c>
      <x:c r="F6" s="11" t="str">
        <x:v>Signed difference (%)</x:v>
      </x:c>
      <x:c r="G6" s="12" t="str">
        <x:v>Anchor identity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</x:row>
    <x:row r="7" ht="23" customHeight="1">
      <x:c r="A7" s="2" t="str">
        <x:v>TEMPO_PROXY</x:v>
      </x:c>
      <x:c r="B7" s="2" t="n">
        <x:v>2020</x:v>
      </x:c>
      <x:c r="C7" s="2" t="n">
        <x:f>COUNTIFS($D$24:$D$2168,A7,$C$24:$C$2168,B7,$K$24:$K$2168,1,$J$24:$J$2168,"available")</x:f>
        <x:v>194</x:v>
      </x:c>
      <x:c r="D7" s="14" t="n">
        <x:f>SUMIFS($E$24:$E$2168,$D$24:$D$2168,A7,$C$24:$C$2168,B7,$K$24:$K$2168,1,$J$24:$J$2168,"available")/1000000000</x:f>
        <x:v>338.5236689081699</x:v>
      </x:c>
      <x:c r="E7" s="14" t="n">
        <x:f>SUMIFS($F$24:$F$2168,$D$24:$D$2168,A7,$C$24:$C$2168,B7,$K$24:$K$2168,1,$J$24:$J$2168,"available")/1000000000</x:f>
        <x:v>338.5236689081699</x:v>
      </x:c>
      <x:c r="F7" s="15" t="n">
        <x:f>IF(E7&gt;0,(D7-E7)/E7,"n.a.")</x:f>
        <x:v>0</x:v>
      </x:c>
      <x:c r="G7" s="13" t="b">
        <x:v>1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</x:row>
    <x:row r="8" ht="23" customHeight="1">
      <x:c r="A8" s="2" t="str">
        <x:v>TEMPO_PROXY</x:v>
      </x:c>
      <x:c r="B8" s="2" t="n">
        <x:v>2023</x:v>
      </x:c>
      <x:c r="C8" s="2" t="n">
        <x:f>COUNTIFS($D$24:$D$2168,A8,$C$24:$C$2168,B8,$K$24:$K$2168,1,$J$24:$J$2168,"available")</x:f>
        <x:v>194</x:v>
      </x:c>
      <x:c r="D8" s="14" t="n">
        <x:f>SUMIFS($E$24:$E$2168,$D$24:$D$2168,A8,$C$24:$C$2168,B8,$K$24:$K$2168,1,$J$24:$J$2168,"available")/1000000000</x:f>
        <x:v>361.6776905133166</x:v>
      </x:c>
      <x:c r="E8" s="14" t="n">
        <x:f>SUMIFS($F$24:$F$2168,$D$24:$D$2168,A8,$C$24:$C$2168,B8,$K$24:$K$2168,1,$J$24:$J$2168,"available")/1000000000</x:f>
        <x:v>364.99415183806036</x:v>
      </x:c>
      <x:c r="F8" s="15" t="n">
        <x:f>IF(E8&gt;0,(D8-E8)/E8,"n.a.")</x:f>
        <x:v>-0.00908634099489688</x:v>
      </x:c>
      <x:c r="G8" s="13" t="b">
        <x:v>0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</x:row>
    <x:row r="9" ht="23" customHeight="1">
      <x:c r="A9" s="2" t="str">
        <x:v>GHSL_SURFACE</x:v>
      </x:c>
      <x:c r="B9" s="2" t="n">
        <x:v>2015</x:v>
      </x:c>
      <x:c r="C9" s="2" t="n">
        <x:f>COUNTIFS($D$24:$D$2168,A9,$C$24:$C$2168,B9,$K$24:$K$2168,1,$J$24:$J$2168,"available")</x:f>
        <x:v>193</x:v>
      </x:c>
      <x:c r="D9" s="14" t="n">
        <x:f>SUMIFS($E$24:$E$2168,$D$24:$D$2168,A9,$C$24:$C$2168,B9,$K$24:$K$2168,1,$J$24:$J$2168,"available")/1000000000</x:f>
        <x:v>306.5661978270611</x:v>
      </x:c>
      <x:c r="E9" s="14" t="n">
        <x:f>SUMIFS($F$24:$F$2168,$D$24:$D$2168,A9,$C$24:$C$2168,B9,$K$24:$K$2168,1,$J$24:$J$2168,"available")/1000000000</x:f>
        <x:v>430.3737842165833</x:v>
      </x:c>
      <x:c r="F9" s="15" t="n">
        <x:f>IF(E9&gt;0,(D9-E9)/E9,"n.a.")</x:f>
        <x:v>-0.2876745539110642</x:v>
      </x:c>
      <x:c r="G9" s="13" t="b">
        <x:v>0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</x:row>
    <x:row r="10" ht="23" customHeight="1">
      <x:c r="A10" s="2" t="str">
        <x:v>GHSL_SURFACE</x:v>
      </x:c>
      <x:c r="B10" s="2" t="n">
        <x:v>2020</x:v>
      </x:c>
      <x:c r="C10" s="2" t="n">
        <x:f>COUNTIFS($D$24:$D$2168,A10,$C$24:$C$2168,B10,$K$24:$K$2168,1,$J$24:$J$2168,"available")</x:f>
        <x:v>193</x:v>
      </x:c>
      <x:c r="D10" s="14" t="n">
        <x:f>SUMIFS($E$24:$E$2168,$D$24:$D$2168,A10,$C$24:$C$2168,B10,$K$24:$K$2168,1,$J$24:$J$2168,"available")/1000000000</x:f>
        <x:v>338.5233499839299</x:v>
      </x:c>
      <x:c r="E10" s="14" t="n">
        <x:f>SUMIFS($F$24:$F$2168,$D$24:$D$2168,A10,$C$24:$C$2168,B10,$K$24:$K$2168,1,$J$24:$J$2168,"available")/1000000000</x:f>
        <x:v>473.1316173964065</x:v>
      </x:c>
      <x:c r="F10" s="15" t="n">
        <x:f>IF(E10&gt;0,(D10-E10)/E10,"n.a.")</x:f>
        <x:v>-0.2845049082815723</x:v>
      </x:c>
      <x:c r="G10" s="13" t="b">
        <x:v>0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</x:row>
    <x:row r="11" ht="23" customHeight="1">
      <x:c r="A11" s="2" t="str">
        <x:v>GHSL_VOLUME</x:v>
      </x:c>
      <x:c r="B11" s="2" t="n">
        <x:v>2015</x:v>
      </x:c>
      <x:c r="C11" s="2" t="n">
        <x:f>COUNTIFS($D$24:$D$2168,A11,$C$24:$C$2168,B11,$K$24:$K$2168,1,$J$24:$J$2168,"available")</x:f>
        <x:v>190</x:v>
      </x:c>
      <x:c r="D11" s="14" t="n">
        <x:f>SUMIFS($E$24:$E$2168,$D$24:$D$2168,A11,$C$24:$C$2168,B11,$K$24:$K$2168,1,$J$24:$J$2168,"available")/1000000000</x:f>
        <x:v>265.7663366168854</x:v>
      </x:c>
      <x:c r="E11" s="14" t="n">
        <x:f>SUMIFS($F$24:$F$2168,$D$24:$D$2168,A11,$C$24:$C$2168,B11,$K$24:$K$2168,1,$J$24:$J$2168,"available")/1000000000</x:f>
        <x:v>662.2431215309842</x:v>
      </x:c>
      <x:c r="F11" s="15" t="n">
        <x:f>IF(E11&gt;0,(D11-E11)/E11,"n.a.")</x:f>
        <x:v>-0.5986876602017662</x:v>
      </x:c>
      <x:c r="G11" s="13" t="b">
        <x:v>0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</x:row>
    <x:row r="12" ht="23" customHeight="1">
      <x:c r="A12" s="2" t="str">
        <x:v>GHSL_VOLUME</x:v>
      </x:c>
      <x:c r="B12" s="2" t="n">
        <x:v>2020</x:v>
      </x:c>
      <x:c r="C12" s="2" t="n">
        <x:f>COUNTIFS($D$24:$D$2168,A12,$C$24:$C$2168,B12,$K$24:$K$2168,1,$J$24:$J$2168,"available")</x:f>
        <x:v>190</x:v>
      </x:c>
      <x:c r="D12" s="14" t="n">
        <x:f>SUMIFS($E$24:$E$2168,$D$24:$D$2168,A12,$C$24:$C$2168,B12,$K$24:$K$2168,1,$J$24:$J$2168,"available")/1000000000</x:f>
        <x:v>295.3476510858998</x:v>
      </x:c>
      <x:c r="E12" s="14" t="n">
        <x:f>SUMIFS($F$24:$F$2168,$D$24:$D$2168,A12,$C$24:$C$2168,B12,$K$24:$K$2168,1,$J$24:$J$2168,"available")/1000000000</x:f>
        <x:v>710.8058841286356</x:v>
      </x:c>
      <x:c r="F12" s="15" t="n">
        <x:f>IF(E12&gt;0,(D12-E12)/E12,"n.a.")</x:f>
        <x:v>-0.5844890177745766</x:v>
      </x:c>
      <x:c r="G12" s="13" t="b">
        <x:v>0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</x:row>
    <x:row r="13" ht="23" customHeight="1">
      <x:c r="A13" s="2" t="str">
        <x:v>OBAT_FOOTPRINT</x:v>
      </x:c>
      <x:c r="B13" s="2" t="n">
        <x:v>2020</x:v>
      </x:c>
      <x:c r="C13" s="2" t="n">
        <x:f>COUNTIFS($D$24:$D$2168,A13,$C$24:$C$2168,B13,$K$24:$K$2168,1,$J$24:$J$2168,"available")</x:f>
        <x:v>194</x:v>
      </x:c>
      <x:c r="D13" s="14" t="n">
        <x:f>SUMIFS($E$24:$E$2168,$D$24:$D$2168,A13,$C$24:$C$2168,B13,$K$24:$K$2168,1,$J$24:$J$2168,"available")/1000000000</x:f>
        <x:v>338.5236689081699</x:v>
      </x:c>
      <x:c r="E13" s="14" t="n">
        <x:f>SUMIFS($F$24:$F$2168,$D$24:$D$2168,A13,$C$24:$C$2168,B13,$K$24:$K$2168,1,$J$24:$J$2168,"available")/1000000000</x:f>
        <x:v>275.8635910847514</x:v>
      </x:c>
      <x:c r="F13" s="15" t="n">
        <x:f>IF(E13&gt;0,(D13-E13)/E13,"n.a.")</x:f>
        <x:v>0.22714152881511612</x:v>
      </x:c>
      <x:c r="G13" s="13" t="b">
        <x:v>0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</x:row>
    <x:row r="14" ht="23" customHeight="1">
      <x:c r="A14" s="2" t="str">
        <x:v>WUP_SURFACE</x:v>
      </x:c>
      <x:c r="B14" s="2" t="n">
        <x:v>2015</x:v>
      </x:c>
      <x:c r="C14" s="2" t="n">
        <x:f>COUNTIFS($D$24:$D$2168,A14,$C$24:$C$2168,B14,$K$24:$K$2168,1,$J$24:$J$2168,"available")</x:f>
        <x:v>194</x:v>
      </x:c>
      <x:c r="D14" s="14" t="n">
        <x:f>SUMIFS($E$24:$E$2168,$D$24:$D$2168,A14,$C$24:$C$2168,B14,$K$24:$K$2168,1,$J$24:$J$2168,"available")/1000000000</x:f>
        <x:v>306.5665159789311</x:v>
      </x:c>
      <x:c r="E14" s="14" t="n">
        <x:f>SUMIFS($F$24:$F$2168,$D$24:$D$2168,A14,$C$24:$C$2168,B14,$K$24:$K$2168,1,$J$24:$J$2168,"available")/1000000000</x:f>
        <x:v>432.34272123126993</x:v>
      </x:c>
      <x:c r="F14" s="15" t="n">
        <x:f>IF(E14&gt;0,(D14-E14)/E14,"n.a.")</x:f>
        <x:v>-0.29091782763022</x:v>
      </x:c>
      <x:c r="G14" s="13" t="b">
        <x:v>0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</x:row>
    <x:row r="15" ht="23" customHeight="1">
      <x:c r="A15" s="2" t="str">
        <x:v>WUP_SURFACE</x:v>
      </x:c>
      <x:c r="B15" s="2" t="n">
        <x:v>2020</x:v>
      </x:c>
      <x:c r="C15" s="2" t="n">
        <x:f>COUNTIFS($D$24:$D$2168,A15,$C$24:$C$2168,B15,$K$24:$K$2168,1,$J$24:$J$2168,"available")</x:f>
        <x:v>194</x:v>
      </x:c>
      <x:c r="D15" s="14" t="n">
        <x:f>SUMIFS($E$24:$E$2168,$D$24:$D$2168,A15,$C$24:$C$2168,B15,$K$24:$K$2168,1,$J$24:$J$2168,"available")/1000000000</x:f>
        <x:v>338.5236689081699</x:v>
      </x:c>
      <x:c r="E15" s="14" t="n">
        <x:f>SUMIFS($F$24:$F$2168,$D$24:$D$2168,A15,$C$24:$C$2168,B15,$K$24:$K$2168,1,$J$24:$J$2168,"available")/1000000000</x:f>
        <x:v>475.2899852852853</x:v>
      </x:c>
      <x:c r="F15" s="15" t="n">
        <x:f>IF(E15&gt;0,(D15-E15)/E15,"n.a.")</x:f>
        <x:v>-0.28775341499153106</x:v>
      </x:c>
      <x:c r="G15" s="13" t="b">
        <x:v>0</x:v>
      </x:c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</x:row>
    <x:row r="16" ht="23" customHeight="1">
      <x:c r="A16" s="2" t="str">
        <x:v>WUP_SURFACE</x:v>
      </x:c>
      <x:c r="B16" s="2" t="n">
        <x:v>2025</x:v>
      </x:c>
      <x:c r="C16" s="2" t="n">
        <x:f>COUNTIFS($D$24:$D$2168,A16,$C$24:$C$2168,B16,$K$24:$K$2168,1,$J$24:$J$2168,"available")</x:f>
        <x:v>194</x:v>
      </x:c>
      <x:c r="D16" s="14" t="n">
        <x:f>SUMIFS($E$24:$E$2168,$D$24:$D$2168,A16,$C$24:$C$2168,B16,$K$24:$K$2168,1,$J$24:$J$2168,"available")/1000000000</x:f>
        <x:v>376.9187184501138</x:v>
      </x:c>
      <x:c r="E16" s="14" t="n">
        <x:f>SUMIFS($F$24:$F$2168,$D$24:$D$2168,A16,$C$24:$C$2168,B16,$K$24:$K$2168,1,$J$24:$J$2168,"available")/1000000000</x:f>
        <x:v>527.715747522009</x:v>
      </x:c>
      <x:c r="F16" s="15" t="n">
        <x:f>IF(E16&gt;0,(D16-E16)/E16,"n.a.")</x:f>
        <x:v>-0.2857542716509631</x:v>
      </x:c>
      <x:c r="G16" s="13" t="b">
        <x:v>0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</x:row>
    <x:row r="17" ht="23" customHeight="1">
      <x:c r="A17" s="2" t="str">
        <x:v>WUP_SURFACE</x:v>
      </x:c>
      <x:c r="B17" s="2" t="n">
        <x:v>2030</x:v>
      </x:c>
      <x:c r="C17" s="2" t="n">
        <x:f>COUNTIFS($D$24:$D$2168,A17,$C$24:$C$2168,B17,$K$24:$K$2168,1,$J$24:$J$2168,"available")</x:f>
        <x:v>193</x:v>
      </x:c>
      <x:c r="D17" s="14" t="n">
        <x:f>SUMIFS($E$24:$E$2168,$D$24:$D$2168,A17,$C$24:$C$2168,B17,$K$24:$K$2168,1,$J$24:$J$2168,"available")/1000000000</x:f>
        <x:v>414.6578377691485</x:v>
      </x:c>
      <x:c r="E17" s="14" t="n">
        <x:f>SUMIFS($F$24:$F$2168,$D$24:$D$2168,A17,$C$24:$C$2168,B17,$K$24:$K$2168,1,$J$24:$J$2168,"available")/1000000000</x:f>
        <x:v>580.141509750273</x:v>
      </x:c>
      <x:c r="F17" s="15" t="n">
        <x:f>IF(E17&gt;0,(D17-E17)/E17,"n.a.")</x:f>
        <x:v>-0.285247080582733</x:v>
      </x:c>
      <x:c r="G17" s="13" t="b">
        <x:v>0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</x:row>
    <x:row r="19" ht="23" customHeight="1">
      <x:c r="A19" s="16" t="str">
        <x:v>Core totals use the same matched countries for both sides. PSE is a source-conditioned supplement and is excluded from core totals.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</x:row>
    <x:row r="20" ht="23" customHeight="1">
      <x:c r="A20" s="16" t="str">
        <x:v>TEMPO 2020 agreement is inherited from the anchor. OBAT China has a major source coverage warning. Filter by year and dataset below.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</x:row>
    <x:row r="23" ht="44" customHeight="1">
      <x:c r="A23" s="10" t="str">
        <x:v>ISO</x:v>
      </x:c>
      <x:c r="B23" s="11" t="str">
        <x:v>Country</x:v>
      </x:c>
      <x:c r="C23" s="11" t="str">
        <x:v>Year</x:v>
      </x:c>
      <x:c r="D23" s="11" t="str">
        <x:v>Dataset</x:v>
      </x:c>
      <x:c r="E23" s="11" t="str">
        <x:v>Model Total GFA (m²)</x:v>
      </x:c>
      <x:c r="F23" s="11" t="str">
        <x:v>Comparator area equivalent (m²)</x:v>
      </x:c>
      <x:c r="G23" s="11" t="str">
        <x:v>Signed difference (m²)</x:v>
      </x:c>
      <x:c r="H23" s="11" t="str">
        <x:v>Signed difference (%)</x:v>
      </x:c>
      <x:c r="I23" s="11" t="str">
        <x:v>Absolute difference (%)</x:v>
      </x:c>
      <x:c r="J23" s="11" t="str">
        <x:v>Availability</x:v>
      </x:c>
      <x:c r="K23" s="11" t="str">
        <x:v>Core 194 (1=yes)</x:v>
      </x:c>
      <x:c r="L23" s="11" t="str">
        <x:v>Anchor identity</x:v>
      </x:c>
      <x:c r="M23" s="11" t="str">
        <x:v>Native source qualified</x:v>
      </x:c>
      <x:c r="N23" s="11" t="str">
        <x:v>Source epoch role</x:v>
      </x:c>
      <x:c r="O23" s="11" t="str">
        <x:v>Coverage alert</x:v>
      </x:c>
      <x:c r="P23" s="11" t="str">
        <x:v>Native quantity</x:v>
      </x:c>
      <x:c r="Q23" s="11" t="str">
        <x:v>Native units</x:v>
      </x:c>
      <x:c r="R23" s="11" t="str">
        <x:v>Native source value</x:v>
      </x:c>
      <x:c r="S23" s="11" t="str">
        <x:v>TEMPO 2020 conversion base</x:v>
      </x:c>
      <x:c r="T23" s="11" t="str">
        <x:v>Effective conversion ratio</x:v>
      </x:c>
      <x:c r="U23" s="11" t="str">
        <x:v>Fixed model 2020 (m²)</x:v>
      </x:c>
      <x:c r="V23" s="11" t="str">
        <x:v>Conversion rule</x:v>
      </x:c>
      <x:c r="W23" s="11" t="str">
        <x:v>Source quality</x:v>
      </x:c>
      <x:c r="X23" s="12" t="str">
        <x:v>Source URL</x:v>
      </x:c>
    </x:row>
    <x:row r="24" ht="23" customHeight="1">
      <x:c r="A24" s="2" t="str">
        <x:v>AFG</x:v>
      </x:c>
      <x:c r="B24" s="2" t="str">
        <x:v>Afghanistan (Islamic Republic of)</x:v>
      </x:c>
      <x:c r="C24" s="2" t="n">
        <x:v>2020</x:v>
      </x:c>
      <x:c r="D24" s="2" t="str">
        <x:v>TEMPO_PROXY</x:v>
      </x:c>
      <x:c r="E24" s="17" t="n">
        <x:v>853208432.4500008</x:v>
      </x:c>
      <x:c r="F24" s="17" t="n">
        <x:f>IF(AND(M24,ISNUMBER(R24)),IF(D24="TEMPO_PROXY",R24,IF(AND(ISNUMBER(S24),S24&gt;0,ISNUMBER(U24)),U24*R24/S24,"n.a.")),"n.a.")</x:f>
        <x:v>853208432.4500008</x:v>
      </x:c>
      <x:c r="G24" s="17" t="n">
        <x:f>IF(AND(ISNUMBER(E24),ISNUMBER(F24)),E24-F24,"n.a.")</x:f>
        <x:v>0</x:v>
      </x:c>
      <x:c r="H24" s="15" t="n">
        <x:f>IF(AND(ISNUMBER(E24),ISNUMBER(F24),F24&gt;0),(E24-F24)/F24,"n.a.")</x:f>
        <x:v>0</x:v>
      </x:c>
      <x:c r="I24" s="19" t="n">
        <x:f>IF(ISNUMBER(H24),ABS(H24),"n.a.")</x:f>
        <x:v>0</x:v>
      </x:c>
      <x:c r="J24" s="2" t="str">
        <x:v>available</x:v>
      </x:c>
      <x:c r="K24" s="2" t="n">
        <x:v>1</x:v>
      </x:c>
      <x:c r="L24" s="13" t="b">
        <x:v>1</x:v>
      </x:c>
      <x:c r="M24" s="13" t="b">
        <x:v>1</x:v>
      </x:c>
      <x:c r="N24" s="2" t="str">
        <x:v>inherited2020anchor</x:v>
      </x:c>
      <x:c r="O24" s="2" t="str"/>
      <x:c r="P24" s="2" t="str">
        <x:v>assumption-based floor-area proxy</x:v>
      </x:c>
      <x:c r="Q24" s="2" t="str">
        <x:v>m2</x:v>
      </x:c>
      <x:c r="R24" s="17" t="n">
        <x:v>853208432.4500008</x:v>
      </x:c>
      <x:c r="S24" s="17"/>
      <x:c r="T24" s="18"/>
      <x:c r="U24" s="17" t="n">
        <x:v>853208432.4500008</x:v>
      </x:c>
      <x:c r="V24" s="2" t="str">
        <x:v>existing saved physical-floor-area proxy</x:v>
      </x:c>
      <x:c r="W24" s="2" t="str">
        <x:v>legacy_epoch_source_QA_passed; new_common_native_support_not_certified</x:v>
      </x:c>
      <x:c r="X24" s="2" t="str">
        <x:v>https://arxiv.org/abs/2511.12104</x:v>
      </x:c>
    </x:row>
    <x:row r="25" ht="23" customHeight="1">
      <x:c r="A25" s="2" t="str">
        <x:v>AGO</x:v>
      </x:c>
      <x:c r="B25" s="2" t="str">
        <x:v>Angola (Republic of)</x:v>
      </x:c>
      <x:c r="C25" s="2" t="n">
        <x:v>2020</x:v>
      </x:c>
      <x:c r="D25" s="2" t="str">
        <x:v>TEMPO_PROXY</x:v>
      </x:c>
      <x:c r="E25" s="17" t="n">
        <x:v>512504617.85999936</x:v>
      </x:c>
      <x:c r="F25" s="17" t="n">
        <x:f>IF(AND(M25,ISNUMBER(R25)),IF(D25="TEMPO_PROXY",R25,IF(AND(ISNUMBER(S25),S25&gt;0,ISNUMBER(U25)),U25*R25/S25,"n.a.")),"n.a.")</x:f>
        <x:v>512504617.85999936</x:v>
      </x:c>
      <x:c r="G25" s="17" t="n">
        <x:f>IF(AND(ISNUMBER(E25),ISNUMBER(F25)),E25-F25,"n.a.")</x:f>
        <x:v>0</x:v>
      </x:c>
      <x:c r="H25" s="15" t="n">
        <x:f>IF(AND(ISNUMBER(E25),ISNUMBER(F25),F25&gt;0),(E25-F25)/F25,"n.a.")</x:f>
        <x:v>0</x:v>
      </x:c>
      <x:c r="I25" s="19" t="n">
        <x:f>IF(ISNUMBER(H25),ABS(H25),"n.a.")</x:f>
        <x:v>0</x:v>
      </x:c>
      <x:c r="J25" s="2" t="str">
        <x:v>available</x:v>
      </x:c>
      <x:c r="K25" s="2" t="n">
        <x:v>1</x:v>
      </x:c>
      <x:c r="L25" s="13" t="b">
        <x:v>1</x:v>
      </x:c>
      <x:c r="M25" s="13" t="b">
        <x:v>1</x:v>
      </x:c>
      <x:c r="N25" s="2" t="str">
        <x:v>inherited2020anchor</x:v>
      </x:c>
      <x:c r="O25" s="2" t="str"/>
      <x:c r="P25" s="2" t="str">
        <x:v>assumption-based floor-area proxy</x:v>
      </x:c>
      <x:c r="Q25" s="2" t="str">
        <x:v>m2</x:v>
      </x:c>
      <x:c r="R25" s="17" t="n">
        <x:v>512504617.85999936</x:v>
      </x:c>
      <x:c r="S25" s="17"/>
      <x:c r="T25" s="18"/>
      <x:c r="U25" s="17" t="n">
        <x:v>512504617.85999936</x:v>
      </x:c>
      <x:c r="V25" s="2" t="str">
        <x:v>existing saved physical-floor-area proxy</x:v>
      </x:c>
      <x:c r="W25" s="2" t="str">
        <x:v>legacy_epoch_source_QA_passed; new_common_native_support_not_certified</x:v>
      </x:c>
      <x:c r="X25" s="2" t="str">
        <x:v>https://arxiv.org/abs/2511.12104</x:v>
      </x:c>
    </x:row>
    <x:row r="26" ht="23" customHeight="1">
      <x:c r="A26" s="2" t="str">
        <x:v>ALB</x:v>
      </x:c>
      <x:c r="B26" s="2" t="str">
        <x:v>Albania (Republic of)</x:v>
      </x:c>
      <x:c r="C26" s="2" t="n">
        <x:v>2020</x:v>
      </x:c>
      <x:c r="D26" s="2" t="str">
        <x:v>TEMPO_PROXY</x:v>
      </x:c>
      <x:c r="E26" s="17" t="n">
        <x:v>161276383.52000022</x:v>
      </x:c>
      <x:c r="F26" s="17" t="n">
        <x:f>IF(AND(M26,ISNUMBER(R26)),IF(D26="TEMPO_PROXY",R26,IF(AND(ISNUMBER(S26),S26&gt;0,ISNUMBER(U26)),U26*R26/S26,"n.a.")),"n.a.")</x:f>
        <x:v>161276383.52000022</x:v>
      </x:c>
      <x:c r="G26" s="17" t="n">
        <x:f>IF(AND(ISNUMBER(E26),ISNUMBER(F26)),E26-F26,"n.a.")</x:f>
        <x:v>0</x:v>
      </x:c>
      <x:c r="H26" s="15" t="n">
        <x:f>IF(AND(ISNUMBER(E26),ISNUMBER(F26),F26&gt;0),(E26-F26)/F26,"n.a.")</x:f>
        <x:v>0</x:v>
      </x:c>
      <x:c r="I26" s="19" t="n">
        <x:f>IF(ISNUMBER(H26),ABS(H26),"n.a.")</x:f>
        <x:v>0</x:v>
      </x:c>
      <x:c r="J26" s="2" t="str">
        <x:v>available</x:v>
      </x:c>
      <x:c r="K26" s="2" t="n">
        <x:v>1</x:v>
      </x:c>
      <x:c r="L26" s="13" t="b">
        <x:v>1</x:v>
      </x:c>
      <x:c r="M26" s="13" t="b">
        <x:v>1</x:v>
      </x:c>
      <x:c r="N26" s="2" t="str">
        <x:v>inherited2020anchor</x:v>
      </x:c>
      <x:c r="O26" s="2" t="str"/>
      <x:c r="P26" s="2" t="str">
        <x:v>assumption-based floor-area proxy</x:v>
      </x:c>
      <x:c r="Q26" s="2" t="str">
        <x:v>m2</x:v>
      </x:c>
      <x:c r="R26" s="17" t="n">
        <x:v>161276383.52000022</x:v>
      </x:c>
      <x:c r="S26" s="17"/>
      <x:c r="T26" s="18"/>
      <x:c r="U26" s="17" t="n">
        <x:v>161276383.52000022</x:v>
      </x:c>
      <x:c r="V26" s="2" t="str">
        <x:v>existing saved physical-floor-area proxy</x:v>
      </x:c>
      <x:c r="W26" s="2" t="str">
        <x:v>legacy_epoch_source_QA_passed; new_common_native_support_not_certified</x:v>
      </x:c>
      <x:c r="X26" s="2" t="str">
        <x:v>https://arxiv.org/abs/2511.12104</x:v>
      </x:c>
    </x:row>
    <x:row r="27" ht="23" customHeight="1">
      <x:c r="A27" s="2" t="str">
        <x:v>AND</x:v>
      </x:c>
      <x:c r="B27" s="2" t="str">
        <x:v>Andorra (Principality of)</x:v>
      </x:c>
      <x:c r="C27" s="2" t="n">
        <x:v>2020</x:v>
      </x:c>
      <x:c r="D27" s="2" t="str">
        <x:v>TEMPO_PROXY</x:v>
      </x:c>
      <x:c r="E27" s="17" t="n">
        <x:v>2995448.5899999994</x:v>
      </x:c>
      <x:c r="F27" s="17" t="n">
        <x:f>IF(AND(M27,ISNUMBER(R27)),IF(D27="TEMPO_PROXY",R27,IF(AND(ISNUMBER(S27),S27&gt;0,ISNUMBER(U27)),U27*R27/S27,"n.a.")),"n.a.")</x:f>
        <x:v>2995448.5899999994</x:v>
      </x:c>
      <x:c r="G27" s="17" t="n">
        <x:f>IF(AND(ISNUMBER(E27),ISNUMBER(F27)),E27-F27,"n.a.")</x:f>
        <x:v>0</x:v>
      </x:c>
      <x:c r="H27" s="15" t="n">
        <x:f>IF(AND(ISNUMBER(E27),ISNUMBER(F27),F27&gt;0),(E27-F27)/F27,"n.a.")</x:f>
        <x:v>0</x:v>
      </x:c>
      <x:c r="I27" s="19" t="n">
        <x:f>IF(ISNUMBER(H27),ABS(H27),"n.a.")</x:f>
        <x:v>0</x:v>
      </x:c>
      <x:c r="J27" s="2" t="str">
        <x:v>available</x:v>
      </x:c>
      <x:c r="K27" s="2" t="n">
        <x:v>1</x:v>
      </x:c>
      <x:c r="L27" s="13" t="b">
        <x:v>1</x:v>
      </x:c>
      <x:c r="M27" s="13" t="b">
        <x:v>1</x:v>
      </x:c>
      <x:c r="N27" s="2" t="str">
        <x:v>inherited2020anchor</x:v>
      </x:c>
      <x:c r="O27" s="2" t="str"/>
      <x:c r="P27" s="2" t="str">
        <x:v>assumption-based floor-area proxy</x:v>
      </x:c>
      <x:c r="Q27" s="2" t="str">
        <x:v>m2</x:v>
      </x:c>
      <x:c r="R27" s="17" t="n">
        <x:v>2995448.5899999994</x:v>
      </x:c>
      <x:c r="S27" s="17"/>
      <x:c r="T27" s="18"/>
      <x:c r="U27" s="17" t="n">
        <x:v>2995448.5899999994</x:v>
      </x:c>
      <x:c r="V27" s="2" t="str">
        <x:v>existing saved physical-floor-area proxy</x:v>
      </x:c>
      <x:c r="W27" s="2" t="str">
        <x:v>legacy_epoch_source_QA_passed; new_common_native_support_not_certified</x:v>
      </x:c>
      <x:c r="X27" s="2" t="str">
        <x:v>https://arxiv.org/abs/2511.12104</x:v>
      </x:c>
    </x:row>
    <x:row r="28" ht="23" customHeight="1">
      <x:c r="A28" s="2" t="str">
        <x:v>ARE</x:v>
      </x:c>
      <x:c r="B28" s="2" t="str">
        <x:v>United Arab Emirates</x:v>
      </x:c>
      <x:c r="C28" s="2" t="n">
        <x:v>2020</x:v>
      </x:c>
      <x:c r="D28" s="2" t="str">
        <x:v>TEMPO_PROXY</x:v>
      </x:c>
      <x:c r="E28" s="17" t="n">
        <x:v>511804054.8699995</x:v>
      </x:c>
      <x:c r="F28" s="17" t="n">
        <x:f>IF(AND(M28,ISNUMBER(R28)),IF(D28="TEMPO_PROXY",R28,IF(AND(ISNUMBER(S28),S28&gt;0,ISNUMBER(U28)),U28*R28/S28,"n.a.")),"n.a.")</x:f>
        <x:v>511804054.8699995</x:v>
      </x:c>
      <x:c r="G28" s="17" t="n">
        <x:f>IF(AND(ISNUMBER(E28),ISNUMBER(F28)),E28-F28,"n.a.")</x:f>
        <x:v>0</x:v>
      </x:c>
      <x:c r="H28" s="15" t="n">
        <x:f>IF(AND(ISNUMBER(E28),ISNUMBER(F28),F28&gt;0),(E28-F28)/F28,"n.a.")</x:f>
        <x:v>0</x:v>
      </x:c>
      <x:c r="I28" s="19" t="n">
        <x:f>IF(ISNUMBER(H28),ABS(H28),"n.a.")</x:f>
        <x:v>0</x:v>
      </x:c>
      <x:c r="J28" s="2" t="str">
        <x:v>available</x:v>
      </x:c>
      <x:c r="K28" s="2" t="n">
        <x:v>1</x:v>
      </x:c>
      <x:c r="L28" s="13" t="b">
        <x:v>1</x:v>
      </x:c>
      <x:c r="M28" s="13" t="b">
        <x:v>1</x:v>
      </x:c>
      <x:c r="N28" s="2" t="str">
        <x:v>inherited2020anchor</x:v>
      </x:c>
      <x:c r="O28" s="2" t="str"/>
      <x:c r="P28" s="2" t="str">
        <x:v>assumption-based floor-area proxy</x:v>
      </x:c>
      <x:c r="Q28" s="2" t="str">
        <x:v>m2</x:v>
      </x:c>
      <x:c r="R28" s="17" t="n">
        <x:v>511804054.8699995</x:v>
      </x:c>
      <x:c r="S28" s="17"/>
      <x:c r="T28" s="18"/>
      <x:c r="U28" s="17" t="n">
        <x:v>511804054.8699995</x:v>
      </x:c>
      <x:c r="V28" s="2" t="str">
        <x:v>existing saved physical-floor-area proxy</x:v>
      </x:c>
      <x:c r="W28" s="2" t="str">
        <x:v>legacy_epoch_source_QA_passed; new_common_native_support_not_certified</x:v>
      </x:c>
      <x:c r="X28" s="2" t="str">
        <x:v>https://arxiv.org/abs/2511.12104</x:v>
      </x:c>
    </x:row>
    <x:row r="29" ht="23" customHeight="1">
      <x:c r="A29" s="2" t="str">
        <x:v>ARG</x:v>
      </x:c>
      <x:c r="B29" s="2" t="str">
        <x:v>Argentina (Argentine Republic)</x:v>
      </x:c>
      <x:c r="C29" s="2" t="n">
        <x:v>2020</x:v>
      </x:c>
      <x:c r="D29" s="2" t="str">
        <x:v>TEMPO_PROXY</x:v>
      </x:c>
      <x:c r="E29" s="17" t="n">
        <x:v>2382940448.399998</x:v>
      </x:c>
      <x:c r="F29" s="17" t="n">
        <x:f>IF(AND(M29,ISNUMBER(R29)),IF(D29="TEMPO_PROXY",R29,IF(AND(ISNUMBER(S29),S29&gt;0,ISNUMBER(U29)),U29*R29/S29,"n.a.")),"n.a.")</x:f>
        <x:v>2382940448.399998</x:v>
      </x:c>
      <x:c r="G29" s="17" t="n">
        <x:f>IF(AND(ISNUMBER(E29),ISNUMBER(F29)),E29-F29,"n.a.")</x:f>
        <x:v>0</x:v>
      </x:c>
      <x:c r="H29" s="15" t="n">
        <x:f>IF(AND(ISNUMBER(E29),ISNUMBER(F29),F29&gt;0),(E29-F29)/F29,"n.a.")</x:f>
        <x:v>0</x:v>
      </x:c>
      <x:c r="I29" s="19" t="n">
        <x:f>IF(ISNUMBER(H29),ABS(H29),"n.a.")</x:f>
        <x:v>0</x:v>
      </x:c>
      <x:c r="J29" s="2" t="str">
        <x:v>available</x:v>
      </x:c>
      <x:c r="K29" s="2" t="n">
        <x:v>1</x:v>
      </x:c>
      <x:c r="L29" s="13" t="b">
        <x:v>1</x:v>
      </x:c>
      <x:c r="M29" s="13" t="b">
        <x:v>1</x:v>
      </x:c>
      <x:c r="N29" s="2" t="str">
        <x:v>inherited2020anchor</x:v>
      </x:c>
      <x:c r="O29" s="2" t="str"/>
      <x:c r="P29" s="2" t="str">
        <x:v>assumption-based floor-area proxy</x:v>
      </x:c>
      <x:c r="Q29" s="2" t="str">
        <x:v>m2</x:v>
      </x:c>
      <x:c r="R29" s="17" t="n">
        <x:v>2382940448.399998</x:v>
      </x:c>
      <x:c r="S29" s="17"/>
      <x:c r="T29" s="18"/>
      <x:c r="U29" s="17" t="n">
        <x:v>2382940448.399998</x:v>
      </x:c>
      <x:c r="V29" s="2" t="str">
        <x:v>existing saved physical-floor-area proxy</x:v>
      </x:c>
      <x:c r="W29" s="2" t="str">
        <x:v>legacy_epoch_source_QA_passed; new_common_native_support_not_certified</x:v>
      </x:c>
      <x:c r="X29" s="2" t="str">
        <x:v>https://arxiv.org/abs/2511.12104</x:v>
      </x:c>
    </x:row>
    <x:row r="30" ht="23" customHeight="1">
      <x:c r="A30" s="2" t="str">
        <x:v>ARM</x:v>
      </x:c>
      <x:c r="B30" s="2" t="str">
        <x:v>Armenia (Republic of)</x:v>
      </x:c>
      <x:c r="C30" s="2" t="n">
        <x:v>2020</x:v>
      </x:c>
      <x:c r="D30" s="2" t="str">
        <x:v>TEMPO_PROXY</x:v>
      </x:c>
      <x:c r="E30" s="17" t="n">
        <x:v>142786500.21000025</x:v>
      </x:c>
      <x:c r="F30" s="17" t="n">
        <x:f>IF(AND(M30,ISNUMBER(R30)),IF(D30="TEMPO_PROXY",R30,IF(AND(ISNUMBER(S30),S30&gt;0,ISNUMBER(U30)),U30*R30/S30,"n.a.")),"n.a.")</x:f>
        <x:v>142786500.21000025</x:v>
      </x:c>
      <x:c r="G30" s="17" t="n">
        <x:f>IF(AND(ISNUMBER(E30),ISNUMBER(F30)),E30-F30,"n.a.")</x:f>
        <x:v>0</x:v>
      </x:c>
      <x:c r="H30" s="15" t="n">
        <x:f>IF(AND(ISNUMBER(E30),ISNUMBER(F30),F30&gt;0),(E30-F30)/F30,"n.a.")</x:f>
        <x:v>0</x:v>
      </x:c>
      <x:c r="I30" s="19" t="n">
        <x:f>IF(ISNUMBER(H30),ABS(H30),"n.a.")</x:f>
        <x:v>0</x:v>
      </x:c>
      <x:c r="J30" s="2" t="str">
        <x:v>available</x:v>
      </x:c>
      <x:c r="K30" s="2" t="n">
        <x:v>1</x:v>
      </x:c>
      <x:c r="L30" s="13" t="b">
        <x:v>1</x:v>
      </x:c>
      <x:c r="M30" s="13" t="b">
        <x:v>1</x:v>
      </x:c>
      <x:c r="N30" s="2" t="str">
        <x:v>inherited2020anchor</x:v>
      </x:c>
      <x:c r="O30" s="2" t="str"/>
      <x:c r="P30" s="2" t="str">
        <x:v>assumption-based floor-area proxy</x:v>
      </x:c>
      <x:c r="Q30" s="2" t="str">
        <x:v>m2</x:v>
      </x:c>
      <x:c r="R30" s="17" t="n">
        <x:v>142786500.21000025</x:v>
      </x:c>
      <x:c r="S30" s="17"/>
      <x:c r="T30" s="18"/>
      <x:c r="U30" s="17" t="n">
        <x:v>142786500.21000025</x:v>
      </x:c>
      <x:c r="V30" s="2" t="str">
        <x:v>existing saved physical-floor-area proxy</x:v>
      </x:c>
      <x:c r="W30" s="2" t="str">
        <x:v>legacy_epoch_source_QA_passed; new_common_native_support_not_certified</x:v>
      </x:c>
      <x:c r="X30" s="2" t="str">
        <x:v>https://arxiv.org/abs/2511.12104</x:v>
      </x:c>
    </x:row>
    <x:row r="31" ht="23" customHeight="1">
      <x:c r="A31" s="2" t="str">
        <x:v>ATG</x:v>
      </x:c>
      <x:c r="B31" s="2" t="str">
        <x:v>Antigua and Barbuda</x:v>
      </x:c>
      <x:c r="C31" s="2" t="n">
        <x:v>2020</x:v>
      </x:c>
      <x:c r="D31" s="2" t="str">
        <x:v>TEMPO_PROXY</x:v>
      </x:c>
      <x:c r="E31" s="17" t="n">
        <x:v>7437404.659999999</x:v>
      </x:c>
      <x:c r="F31" s="17" t="n">
        <x:f>IF(AND(M31,ISNUMBER(R31)),IF(D31="TEMPO_PROXY",R31,IF(AND(ISNUMBER(S31),S31&gt;0,ISNUMBER(U31)),U31*R31/S31,"n.a.")),"n.a.")</x:f>
        <x:v>7437404.659999999</x:v>
      </x:c>
      <x:c r="G31" s="17" t="n">
        <x:f>IF(AND(ISNUMBER(E31),ISNUMBER(F31)),E31-F31,"n.a.")</x:f>
        <x:v>0</x:v>
      </x:c>
      <x:c r="H31" s="15" t="n">
        <x:f>IF(AND(ISNUMBER(E31),ISNUMBER(F31),F31&gt;0),(E31-F31)/F31,"n.a.")</x:f>
        <x:v>0</x:v>
      </x:c>
      <x:c r="I31" s="19" t="n">
        <x:f>IF(ISNUMBER(H31),ABS(H31),"n.a.")</x:f>
        <x:v>0</x:v>
      </x:c>
      <x:c r="J31" s="2" t="str">
        <x:v>available</x:v>
      </x:c>
      <x:c r="K31" s="2" t="n">
        <x:v>1</x:v>
      </x:c>
      <x:c r="L31" s="13" t="b">
        <x:v>1</x:v>
      </x:c>
      <x:c r="M31" s="13" t="b">
        <x:v>1</x:v>
      </x:c>
      <x:c r="N31" s="2" t="str">
        <x:v>inherited2020anchor</x:v>
      </x:c>
      <x:c r="O31" s="2" t="str"/>
      <x:c r="P31" s="2" t="str">
        <x:v>assumption-based floor-area proxy</x:v>
      </x:c>
      <x:c r="Q31" s="2" t="str">
        <x:v>m2</x:v>
      </x:c>
      <x:c r="R31" s="17" t="n">
        <x:v>7437404.659999999</x:v>
      </x:c>
      <x:c r="S31" s="17"/>
      <x:c r="T31" s="18"/>
      <x:c r="U31" s="17" t="n">
        <x:v>7437404.659999999</x:v>
      </x:c>
      <x:c r="V31" s="2" t="str">
        <x:v>existing saved physical-floor-area proxy</x:v>
      </x:c>
      <x:c r="W31" s="2" t="str">
        <x:v>legacy_epoch_source_QA_passed; new_common_native_support_not_certified</x:v>
      </x:c>
      <x:c r="X31" s="2" t="str">
        <x:v>https://arxiv.org/abs/2511.12104</x:v>
      </x:c>
    </x:row>
    <x:row r="32" ht="23" customHeight="1">
      <x:c r="A32" s="2" t="str">
        <x:v>AUS</x:v>
      </x:c>
      <x:c r="B32" s="2" t="str">
        <x:v>Australia (Commonwealth of)</x:v>
      </x:c>
      <x:c r="C32" s="2" t="n">
        <x:v>2020</x:v>
      </x:c>
      <x:c r="D32" s="2" t="str">
        <x:v>TEMPO_PROXY</x:v>
      </x:c>
      <x:c r="E32" s="17" t="n">
        <x:v>3011161094.8599973</x:v>
      </x:c>
      <x:c r="F32" s="17" t="n">
        <x:f>IF(AND(M32,ISNUMBER(R32)),IF(D32="TEMPO_PROXY",R32,IF(AND(ISNUMBER(S32),S32&gt;0,ISNUMBER(U32)),U32*R32/S32,"n.a.")),"n.a.")</x:f>
        <x:v>3011161094.8599973</x:v>
      </x:c>
      <x:c r="G32" s="17" t="n">
        <x:f>IF(AND(ISNUMBER(E32),ISNUMBER(F32)),E32-F32,"n.a.")</x:f>
        <x:v>0</x:v>
      </x:c>
      <x:c r="H32" s="15" t="n">
        <x:f>IF(AND(ISNUMBER(E32),ISNUMBER(F32),F32&gt;0),(E32-F32)/F32,"n.a.")</x:f>
        <x:v>0</x:v>
      </x:c>
      <x:c r="I32" s="19" t="n">
        <x:f>IF(ISNUMBER(H32),ABS(H32),"n.a.")</x:f>
        <x:v>0</x:v>
      </x:c>
      <x:c r="J32" s="2" t="str">
        <x:v>available</x:v>
      </x:c>
      <x:c r="K32" s="2" t="n">
        <x:v>1</x:v>
      </x:c>
      <x:c r="L32" s="13" t="b">
        <x:v>1</x:v>
      </x:c>
      <x:c r="M32" s="13" t="b">
        <x:v>1</x:v>
      </x:c>
      <x:c r="N32" s="2" t="str">
        <x:v>inherited2020anchor</x:v>
      </x:c>
      <x:c r="O32" s="2" t="str"/>
      <x:c r="P32" s="2" t="str">
        <x:v>assumption-based floor-area proxy</x:v>
      </x:c>
      <x:c r="Q32" s="2" t="str">
        <x:v>m2</x:v>
      </x:c>
      <x:c r="R32" s="17" t="n">
        <x:v>3011161094.8599973</x:v>
      </x:c>
      <x:c r="S32" s="17"/>
      <x:c r="T32" s="18"/>
      <x:c r="U32" s="17" t="n">
        <x:v>3011161094.8599973</x:v>
      </x:c>
      <x:c r="V32" s="2" t="str">
        <x:v>existing saved physical-floor-area proxy</x:v>
      </x:c>
      <x:c r="W32" s="2" t="str">
        <x:v>legacy_epoch_source_QA_passed; new_common_native_support_not_certified</x:v>
      </x:c>
      <x:c r="X32" s="2" t="str">
        <x:v>https://arxiv.org/abs/2511.12104</x:v>
      </x:c>
    </x:row>
    <x:row r="33" ht="23" customHeight="1">
      <x:c r="A33" s="2" t="str">
        <x:v>AUT</x:v>
      </x:c>
      <x:c r="B33" s="2" t="str">
        <x:v>Austria (Republic of)</x:v>
      </x:c>
      <x:c r="C33" s="2" t="n">
        <x:v>2020</x:v>
      </x:c>
      <x:c r="D33" s="2" t="str">
        <x:v>TEMPO_PROXY</x:v>
      </x:c>
      <x:c r="E33" s="17" t="n">
        <x:v>865496536.0700006</x:v>
      </x:c>
      <x:c r="F33" s="17" t="n">
        <x:f>IF(AND(M33,ISNUMBER(R33)),IF(D33="TEMPO_PROXY",R33,IF(AND(ISNUMBER(S33),S33&gt;0,ISNUMBER(U33)),U33*R33/S33,"n.a.")),"n.a.")</x:f>
        <x:v>865496536.0700006</x:v>
      </x:c>
      <x:c r="G33" s="17" t="n">
        <x:f>IF(AND(ISNUMBER(E33),ISNUMBER(F33)),E33-F33,"n.a.")</x:f>
        <x:v>0</x:v>
      </x:c>
      <x:c r="H33" s="15" t="n">
        <x:f>IF(AND(ISNUMBER(E33),ISNUMBER(F33),F33&gt;0),(E33-F33)/F33,"n.a.")</x:f>
        <x:v>0</x:v>
      </x:c>
      <x:c r="I33" s="19" t="n">
        <x:f>IF(ISNUMBER(H33),ABS(H33),"n.a.")</x:f>
        <x:v>0</x:v>
      </x:c>
      <x:c r="J33" s="2" t="str">
        <x:v>available</x:v>
      </x:c>
      <x:c r="K33" s="2" t="n">
        <x:v>1</x:v>
      </x:c>
      <x:c r="L33" s="13" t="b">
        <x:v>1</x:v>
      </x:c>
      <x:c r="M33" s="13" t="b">
        <x:v>1</x:v>
      </x:c>
      <x:c r="N33" s="2" t="str">
        <x:v>inherited2020anchor</x:v>
      </x:c>
      <x:c r="O33" s="2" t="str"/>
      <x:c r="P33" s="2" t="str">
        <x:v>assumption-based floor-area proxy</x:v>
      </x:c>
      <x:c r="Q33" s="2" t="str">
        <x:v>m2</x:v>
      </x:c>
      <x:c r="R33" s="17" t="n">
        <x:v>865496536.0700006</x:v>
      </x:c>
      <x:c r="S33" s="17"/>
      <x:c r="T33" s="18"/>
      <x:c r="U33" s="17" t="n">
        <x:v>865496536.0700006</x:v>
      </x:c>
      <x:c r="V33" s="2" t="str">
        <x:v>existing saved physical-floor-area proxy</x:v>
      </x:c>
      <x:c r="W33" s="2" t="str">
        <x:v>legacy_epoch_source_QA_passed; new_common_native_support_not_certified</x:v>
      </x:c>
      <x:c r="X33" s="2" t="str">
        <x:v>https://arxiv.org/abs/2511.12104</x:v>
      </x:c>
    </x:row>
    <x:row r="34" ht="23" customHeight="1">
      <x:c r="A34" s="2" t="str">
        <x:v>AZE</x:v>
      </x:c>
      <x:c r="B34" s="2" t="str">
        <x:v>Azerbaijan (Republic of)</x:v>
      </x:c>
      <x:c r="C34" s="2" t="n">
        <x:v>2020</x:v>
      </x:c>
      <x:c r="D34" s="2" t="str">
        <x:v>TEMPO_PROXY</x:v>
      </x:c>
      <x:c r="E34" s="17" t="n">
        <x:v>507953272.9000006</x:v>
      </x:c>
      <x:c r="F34" s="17" t="n">
        <x:f>IF(AND(M34,ISNUMBER(R34)),IF(D34="TEMPO_PROXY",R34,IF(AND(ISNUMBER(S34),S34&gt;0,ISNUMBER(U34)),U34*R34/S34,"n.a.")),"n.a.")</x:f>
        <x:v>507953272.9000006</x:v>
      </x:c>
      <x:c r="G34" s="17" t="n">
        <x:f>IF(AND(ISNUMBER(E34),ISNUMBER(F34)),E34-F34,"n.a.")</x:f>
        <x:v>0</x:v>
      </x:c>
      <x:c r="H34" s="15" t="n">
        <x:f>IF(AND(ISNUMBER(E34),ISNUMBER(F34),F34&gt;0),(E34-F34)/F34,"n.a.")</x:f>
        <x:v>0</x:v>
      </x:c>
      <x:c r="I34" s="19" t="n">
        <x:f>IF(ISNUMBER(H34),ABS(H34),"n.a.")</x:f>
        <x:v>0</x:v>
      </x:c>
      <x:c r="J34" s="2" t="str">
        <x:v>available</x:v>
      </x:c>
      <x:c r="K34" s="2" t="n">
        <x:v>1</x:v>
      </x:c>
      <x:c r="L34" s="13" t="b">
        <x:v>1</x:v>
      </x:c>
      <x:c r="M34" s="13" t="b">
        <x:v>1</x:v>
      </x:c>
      <x:c r="N34" s="2" t="str">
        <x:v>inherited2020anchor</x:v>
      </x:c>
      <x:c r="O34" s="2" t="str"/>
      <x:c r="P34" s="2" t="str">
        <x:v>assumption-based floor-area proxy</x:v>
      </x:c>
      <x:c r="Q34" s="2" t="str">
        <x:v>m2</x:v>
      </x:c>
      <x:c r="R34" s="17" t="n">
        <x:v>507953272.9000006</x:v>
      </x:c>
      <x:c r="S34" s="17"/>
      <x:c r="T34" s="18"/>
      <x:c r="U34" s="17" t="n">
        <x:v>507953272.9000006</x:v>
      </x:c>
      <x:c r="V34" s="2" t="str">
        <x:v>existing saved physical-floor-area proxy</x:v>
      </x:c>
      <x:c r="W34" s="2" t="str">
        <x:v>legacy_epoch_source_QA_passed; new_common_native_support_not_certified</x:v>
      </x:c>
      <x:c r="X34" s="2" t="str">
        <x:v>https://arxiv.org/abs/2511.12104</x:v>
      </x:c>
    </x:row>
    <x:row r="35" ht="23" customHeight="1">
      <x:c r="A35" s="2" t="str">
        <x:v>BDI</x:v>
      </x:c>
      <x:c r="B35" s="2" t="str">
        <x:v>Burundi (Republic of)</x:v>
      </x:c>
      <x:c r="C35" s="2" t="n">
        <x:v>2020</x:v>
      </x:c>
      <x:c r="D35" s="2" t="str">
        <x:v>TEMPO_PROXY</x:v>
      </x:c>
      <x:c r="E35" s="17" t="n">
        <x:v>147710691.6100001</x:v>
      </x:c>
      <x:c r="F35" s="17" t="n">
        <x:f>IF(AND(M35,ISNUMBER(R35)),IF(D35="TEMPO_PROXY",R35,IF(AND(ISNUMBER(S35),S35&gt;0,ISNUMBER(U35)),U35*R35/S35,"n.a.")),"n.a.")</x:f>
        <x:v>147710691.6100001</x:v>
      </x:c>
      <x:c r="G35" s="17" t="n">
        <x:f>IF(AND(ISNUMBER(E35),ISNUMBER(F35)),E35-F35,"n.a.")</x:f>
        <x:v>0</x:v>
      </x:c>
      <x:c r="H35" s="15" t="n">
        <x:f>IF(AND(ISNUMBER(E35),ISNUMBER(F35),F35&gt;0),(E35-F35)/F35,"n.a.")</x:f>
        <x:v>0</x:v>
      </x:c>
      <x:c r="I35" s="19" t="n">
        <x:f>IF(ISNUMBER(H35),ABS(H35),"n.a.")</x:f>
        <x:v>0</x:v>
      </x:c>
      <x:c r="J35" s="2" t="str">
        <x:v>available</x:v>
      </x:c>
      <x:c r="K35" s="2" t="n">
        <x:v>1</x:v>
      </x:c>
      <x:c r="L35" s="13" t="b">
        <x:v>1</x:v>
      </x:c>
      <x:c r="M35" s="13" t="b">
        <x:v>1</x:v>
      </x:c>
      <x:c r="N35" s="2" t="str">
        <x:v>inherited2020anchor</x:v>
      </x:c>
      <x:c r="O35" s="2" t="str"/>
      <x:c r="P35" s="2" t="str">
        <x:v>assumption-based floor-area proxy</x:v>
      </x:c>
      <x:c r="Q35" s="2" t="str">
        <x:v>m2</x:v>
      </x:c>
      <x:c r="R35" s="17" t="n">
        <x:v>147710691.6100001</x:v>
      </x:c>
      <x:c r="S35" s="17"/>
      <x:c r="T35" s="18"/>
      <x:c r="U35" s="17" t="n">
        <x:v>147710691.6100001</x:v>
      </x:c>
      <x:c r="V35" s="2" t="str">
        <x:v>existing saved physical-floor-area proxy</x:v>
      </x:c>
      <x:c r="W35" s="2" t="str">
        <x:v>legacy_epoch_source_QA_passed; new_common_native_support_not_certified</x:v>
      </x:c>
      <x:c r="X35" s="2" t="str">
        <x:v>https://arxiv.org/abs/2511.12104</x:v>
      </x:c>
    </x:row>
    <x:row r="36" ht="23" customHeight="1">
      <x:c r="A36" s="2" t="str">
        <x:v>BEL</x:v>
      </x:c>
      <x:c r="B36" s="2" t="str">
        <x:v>Belgium (Kingdom of)</x:v>
      </x:c>
      <x:c r="C36" s="2" t="n">
        <x:v>2020</x:v>
      </x:c>
      <x:c r="D36" s="2" t="str">
        <x:v>TEMPO_PROXY</x:v>
      </x:c>
      <x:c r="E36" s="17" t="n">
        <x:v>1079109698.0100002</x:v>
      </x:c>
      <x:c r="F36" s="17" t="n">
        <x:f>IF(AND(M36,ISNUMBER(R36)),IF(D36="TEMPO_PROXY",R36,IF(AND(ISNUMBER(S36),S36&gt;0,ISNUMBER(U36)),U36*R36/S36,"n.a.")),"n.a.")</x:f>
        <x:v>1079109698.0100002</x:v>
      </x:c>
      <x:c r="G36" s="17" t="n">
        <x:f>IF(AND(ISNUMBER(E36),ISNUMBER(F36)),E36-F36,"n.a.")</x:f>
        <x:v>0</x:v>
      </x:c>
      <x:c r="H36" s="15" t="n">
        <x:f>IF(AND(ISNUMBER(E36),ISNUMBER(F36),F36&gt;0),(E36-F36)/F36,"n.a.")</x:f>
        <x:v>0</x:v>
      </x:c>
      <x:c r="I36" s="19" t="n">
        <x:f>IF(ISNUMBER(H36),ABS(H36),"n.a.")</x:f>
        <x:v>0</x:v>
      </x:c>
      <x:c r="J36" s="2" t="str">
        <x:v>available</x:v>
      </x:c>
      <x:c r="K36" s="2" t="n">
        <x:v>1</x:v>
      </x:c>
      <x:c r="L36" s="13" t="b">
        <x:v>1</x:v>
      </x:c>
      <x:c r="M36" s="13" t="b">
        <x:v>1</x:v>
      </x:c>
      <x:c r="N36" s="2" t="str">
        <x:v>inherited2020anchor</x:v>
      </x:c>
      <x:c r="O36" s="2" t="str"/>
      <x:c r="P36" s="2" t="str">
        <x:v>assumption-based floor-area proxy</x:v>
      </x:c>
      <x:c r="Q36" s="2" t="str">
        <x:v>m2</x:v>
      </x:c>
      <x:c r="R36" s="17" t="n">
        <x:v>1079109698.0100002</x:v>
      </x:c>
      <x:c r="S36" s="17"/>
      <x:c r="T36" s="18"/>
      <x:c r="U36" s="17" t="n">
        <x:v>1079109698.0100002</x:v>
      </x:c>
      <x:c r="V36" s="2" t="str">
        <x:v>existing saved physical-floor-area proxy</x:v>
      </x:c>
      <x:c r="W36" s="2" t="str">
        <x:v>legacy_epoch_source_QA_passed; new_common_native_support_not_certified</x:v>
      </x:c>
      <x:c r="X36" s="2" t="str">
        <x:v>https://arxiv.org/abs/2511.12104</x:v>
      </x:c>
    </x:row>
    <x:row r="37" ht="23" customHeight="1">
      <x:c r="A37" s="2" t="str">
        <x:v>BEN</x:v>
      </x:c>
      <x:c r="B37" s="2" t="str">
        <x:v>Benin (Republic of)</x:v>
      </x:c>
      <x:c r="C37" s="2" t="n">
        <x:v>2020</x:v>
      </x:c>
      <x:c r="D37" s="2" t="str">
        <x:v>TEMPO_PROXY</x:v>
      </x:c>
      <x:c r="E37" s="17" t="n">
        <x:v>302038367.25</x:v>
      </x:c>
      <x:c r="F37" s="17" t="n">
        <x:f>IF(AND(M37,ISNUMBER(R37)),IF(D37="TEMPO_PROXY",R37,IF(AND(ISNUMBER(S37),S37&gt;0,ISNUMBER(U37)),U37*R37/S37,"n.a.")),"n.a.")</x:f>
        <x:v>302038367.25</x:v>
      </x:c>
      <x:c r="G37" s="17" t="n">
        <x:f>IF(AND(ISNUMBER(E37),ISNUMBER(F37)),E37-F37,"n.a.")</x:f>
        <x:v>0</x:v>
      </x:c>
      <x:c r="H37" s="15" t="n">
        <x:f>IF(AND(ISNUMBER(E37),ISNUMBER(F37),F37&gt;0),(E37-F37)/F37,"n.a.")</x:f>
        <x:v>0</x:v>
      </x:c>
      <x:c r="I37" s="19" t="n">
        <x:f>IF(ISNUMBER(H37),ABS(H37),"n.a.")</x:f>
        <x:v>0</x:v>
      </x:c>
      <x:c r="J37" s="2" t="str">
        <x:v>available</x:v>
      </x:c>
      <x:c r="K37" s="2" t="n">
        <x:v>1</x:v>
      </x:c>
      <x:c r="L37" s="13" t="b">
        <x:v>1</x:v>
      </x:c>
      <x:c r="M37" s="13" t="b">
        <x:v>1</x:v>
      </x:c>
      <x:c r="N37" s="2" t="str">
        <x:v>inherited2020anchor</x:v>
      </x:c>
      <x:c r="O37" s="2" t="str"/>
      <x:c r="P37" s="2" t="str">
        <x:v>assumption-based floor-area proxy</x:v>
      </x:c>
      <x:c r="Q37" s="2" t="str">
        <x:v>m2</x:v>
      </x:c>
      <x:c r="R37" s="17" t="n">
        <x:v>302038367.25</x:v>
      </x:c>
      <x:c r="S37" s="17"/>
      <x:c r="T37" s="18"/>
      <x:c r="U37" s="17" t="n">
        <x:v>302038367.25</x:v>
      </x:c>
      <x:c r="V37" s="2" t="str">
        <x:v>existing saved physical-floor-area proxy</x:v>
      </x:c>
      <x:c r="W37" s="2" t="str">
        <x:v>legacy_epoch_source_QA_passed; new_common_native_support_not_certified</x:v>
      </x:c>
      <x:c r="X37" s="2" t="str">
        <x:v>https://arxiv.org/abs/2511.12104</x:v>
      </x:c>
    </x:row>
    <x:row r="38" ht="23" customHeight="1">
      <x:c r="A38" s="2" t="str">
        <x:v>BFA</x:v>
      </x:c>
      <x:c r="B38" s="2" t="str">
        <x:v>Burkina Faso</x:v>
      </x:c>
      <x:c r="C38" s="2" t="n">
        <x:v>2020</x:v>
      </x:c>
      <x:c r="D38" s="2" t="str">
        <x:v>TEMPO_PROXY</x:v>
      </x:c>
      <x:c r="E38" s="17" t="n">
        <x:v>359180891.3500002</x:v>
      </x:c>
      <x:c r="F38" s="17" t="n">
        <x:f>IF(AND(M38,ISNUMBER(R38)),IF(D38="TEMPO_PROXY",R38,IF(AND(ISNUMBER(S38),S38&gt;0,ISNUMBER(U38)),U38*R38/S38,"n.a.")),"n.a.")</x:f>
        <x:v>359180891.3500002</x:v>
      </x:c>
      <x:c r="G38" s="17" t="n">
        <x:f>IF(AND(ISNUMBER(E38),ISNUMBER(F38)),E38-F38,"n.a.")</x:f>
        <x:v>0</x:v>
      </x:c>
      <x:c r="H38" s="15" t="n">
        <x:f>IF(AND(ISNUMBER(E38),ISNUMBER(F38),F38&gt;0),(E38-F38)/F38,"n.a.")</x:f>
        <x:v>0</x:v>
      </x:c>
      <x:c r="I38" s="19" t="n">
        <x:f>IF(ISNUMBER(H38),ABS(H38),"n.a.")</x:f>
        <x:v>0</x:v>
      </x:c>
      <x:c r="J38" s="2" t="str">
        <x:v>available</x:v>
      </x:c>
      <x:c r="K38" s="2" t="n">
        <x:v>1</x:v>
      </x:c>
      <x:c r="L38" s="13" t="b">
        <x:v>1</x:v>
      </x:c>
      <x:c r="M38" s="13" t="b">
        <x:v>1</x:v>
      </x:c>
      <x:c r="N38" s="2" t="str">
        <x:v>inherited2020anchor</x:v>
      </x:c>
      <x:c r="O38" s="2" t="str"/>
      <x:c r="P38" s="2" t="str">
        <x:v>assumption-based floor-area proxy</x:v>
      </x:c>
      <x:c r="Q38" s="2" t="str">
        <x:v>m2</x:v>
      </x:c>
      <x:c r="R38" s="17" t="n">
        <x:v>359180891.3500002</x:v>
      </x:c>
      <x:c r="S38" s="17"/>
      <x:c r="T38" s="18"/>
      <x:c r="U38" s="17" t="n">
        <x:v>359180891.3500002</x:v>
      </x:c>
      <x:c r="V38" s="2" t="str">
        <x:v>existing saved physical-floor-area proxy</x:v>
      </x:c>
      <x:c r="W38" s="2" t="str">
        <x:v>legacy_epoch_source_QA_passed; new_common_native_support_not_certified</x:v>
      </x:c>
      <x:c r="X38" s="2" t="str">
        <x:v>https://arxiv.org/abs/2511.12104</x:v>
      </x:c>
    </x:row>
    <x:row r="39" ht="23" customHeight="1">
      <x:c r="A39" s="2" t="str">
        <x:v>BGD</x:v>
      </x:c>
      <x:c r="B39" s="2" t="str">
        <x:v>Bangladesh (People's Republic of)</x:v>
      </x:c>
      <x:c r="C39" s="2" t="n">
        <x:v>2020</x:v>
      </x:c>
      <x:c r="D39" s="2" t="str">
        <x:v>TEMPO_PROXY</x:v>
      </x:c>
      <x:c r="E39" s="17" t="n">
        <x:v>2430930564.5499988</x:v>
      </x:c>
      <x:c r="F39" s="17" t="n">
        <x:f>IF(AND(M39,ISNUMBER(R39)),IF(D39="TEMPO_PROXY",R39,IF(AND(ISNUMBER(S39),S39&gt;0,ISNUMBER(U39)),U39*R39/S39,"n.a.")),"n.a.")</x:f>
        <x:v>2430930564.5499988</x:v>
      </x:c>
      <x:c r="G39" s="17" t="n">
        <x:f>IF(AND(ISNUMBER(E39),ISNUMBER(F39)),E39-F39,"n.a.")</x:f>
        <x:v>0</x:v>
      </x:c>
      <x:c r="H39" s="15" t="n">
        <x:f>IF(AND(ISNUMBER(E39),ISNUMBER(F39),F39&gt;0),(E39-F39)/F39,"n.a.")</x:f>
        <x:v>0</x:v>
      </x:c>
      <x:c r="I39" s="19" t="n">
        <x:f>IF(ISNUMBER(H39),ABS(H39),"n.a.")</x:f>
        <x:v>0</x:v>
      </x:c>
      <x:c r="J39" s="2" t="str">
        <x:v>available</x:v>
      </x:c>
      <x:c r="K39" s="2" t="n">
        <x:v>1</x:v>
      </x:c>
      <x:c r="L39" s="13" t="b">
        <x:v>1</x:v>
      </x:c>
      <x:c r="M39" s="13" t="b">
        <x:v>1</x:v>
      </x:c>
      <x:c r="N39" s="2" t="str">
        <x:v>inherited2020anchor</x:v>
      </x:c>
      <x:c r="O39" s="2" t="str"/>
      <x:c r="P39" s="2" t="str">
        <x:v>assumption-based floor-area proxy</x:v>
      </x:c>
      <x:c r="Q39" s="2" t="str">
        <x:v>m2</x:v>
      </x:c>
      <x:c r="R39" s="17" t="n">
        <x:v>2430930564.5499988</x:v>
      </x:c>
      <x:c r="S39" s="17"/>
      <x:c r="T39" s="18"/>
      <x:c r="U39" s="17" t="n">
        <x:v>2430930564.5499988</x:v>
      </x:c>
      <x:c r="V39" s="2" t="str">
        <x:v>existing saved physical-floor-area proxy</x:v>
      </x:c>
      <x:c r="W39" s="2" t="str">
        <x:v>legacy_epoch_source_QA_passed; new_common_native_support_not_certified</x:v>
      </x:c>
      <x:c r="X39" s="2" t="str">
        <x:v>https://arxiv.org/abs/2511.12104</x:v>
      </x:c>
    </x:row>
    <x:row r="40" ht="23" customHeight="1">
      <x:c r="A40" s="2" t="str">
        <x:v>BGR</x:v>
      </x:c>
      <x:c r="B40" s="2" t="str">
        <x:v>Bulgaria (Republic of)</x:v>
      </x:c>
      <x:c r="C40" s="2" t="n">
        <x:v>2020</x:v>
      </x:c>
      <x:c r="D40" s="2" t="str">
        <x:v>TEMPO_PROXY</x:v>
      </x:c>
      <x:c r="E40" s="17" t="n">
        <x:v>543020803.5700008</x:v>
      </x:c>
      <x:c r="F40" s="17" t="n">
        <x:f>IF(AND(M40,ISNUMBER(R40)),IF(D40="TEMPO_PROXY",R40,IF(AND(ISNUMBER(S40),S40&gt;0,ISNUMBER(U40)),U40*R40/S40,"n.a.")),"n.a.")</x:f>
        <x:v>543020803.5700008</x:v>
      </x:c>
      <x:c r="G40" s="17" t="n">
        <x:f>IF(AND(ISNUMBER(E40),ISNUMBER(F40)),E40-F40,"n.a.")</x:f>
        <x:v>0</x:v>
      </x:c>
      <x:c r="H40" s="15" t="n">
        <x:f>IF(AND(ISNUMBER(E40),ISNUMBER(F40),F40&gt;0),(E40-F40)/F40,"n.a.")</x:f>
        <x:v>0</x:v>
      </x:c>
      <x:c r="I40" s="19" t="n">
        <x:f>IF(ISNUMBER(H40),ABS(H40),"n.a.")</x:f>
        <x:v>0</x:v>
      </x:c>
      <x:c r="J40" s="2" t="str">
        <x:v>available</x:v>
      </x:c>
      <x:c r="K40" s="2" t="n">
        <x:v>1</x:v>
      </x:c>
      <x:c r="L40" s="13" t="b">
        <x:v>1</x:v>
      </x:c>
      <x:c r="M40" s="13" t="b">
        <x:v>1</x:v>
      </x:c>
      <x:c r="N40" s="2" t="str">
        <x:v>inherited2020anchor</x:v>
      </x:c>
      <x:c r="O40" s="2" t="str"/>
      <x:c r="P40" s="2" t="str">
        <x:v>assumption-based floor-area proxy</x:v>
      </x:c>
      <x:c r="Q40" s="2" t="str">
        <x:v>m2</x:v>
      </x:c>
      <x:c r="R40" s="17" t="n">
        <x:v>543020803.5700008</x:v>
      </x:c>
      <x:c r="S40" s="17"/>
      <x:c r="T40" s="18"/>
      <x:c r="U40" s="17" t="n">
        <x:v>543020803.5700008</x:v>
      </x:c>
      <x:c r="V40" s="2" t="str">
        <x:v>existing saved physical-floor-area proxy</x:v>
      </x:c>
      <x:c r="W40" s="2" t="str">
        <x:v>legacy_epoch_source_QA_passed; new_common_native_support_not_certified</x:v>
      </x:c>
      <x:c r="X40" s="2" t="str">
        <x:v>https://arxiv.org/abs/2511.12104</x:v>
      </x:c>
    </x:row>
    <x:row r="41" ht="23" customHeight="1">
      <x:c r="A41" s="2" t="str">
        <x:v>BHR</x:v>
      </x:c>
      <x:c r="B41" s="2" t="str">
        <x:v>Bahrain (Kingdom of)</x:v>
      </x:c>
      <x:c r="C41" s="2" t="n">
        <x:v>2020</x:v>
      </x:c>
      <x:c r="D41" s="2" t="str">
        <x:v>TEMPO_PROXY</x:v>
      </x:c>
      <x:c r="E41" s="17" t="n">
        <x:v>63702858.11000008</x:v>
      </x:c>
      <x:c r="F41" s="17" t="n">
        <x:f>IF(AND(M41,ISNUMBER(R41)),IF(D41="TEMPO_PROXY",R41,IF(AND(ISNUMBER(S41),S41&gt;0,ISNUMBER(U41)),U41*R41/S41,"n.a.")),"n.a.")</x:f>
        <x:v>63702858.11000008</x:v>
      </x:c>
      <x:c r="G41" s="17" t="n">
        <x:f>IF(AND(ISNUMBER(E41),ISNUMBER(F41)),E41-F41,"n.a.")</x:f>
        <x:v>0</x:v>
      </x:c>
      <x:c r="H41" s="15" t="n">
        <x:f>IF(AND(ISNUMBER(E41),ISNUMBER(F41),F41&gt;0),(E41-F41)/F41,"n.a.")</x:f>
        <x:v>0</x:v>
      </x:c>
      <x:c r="I41" s="19" t="n">
        <x:f>IF(ISNUMBER(H41),ABS(H41),"n.a.")</x:f>
        <x:v>0</x:v>
      </x:c>
      <x:c r="J41" s="2" t="str">
        <x:v>available</x:v>
      </x:c>
      <x:c r="K41" s="2" t="n">
        <x:v>1</x:v>
      </x:c>
      <x:c r="L41" s="13" t="b">
        <x:v>1</x:v>
      </x:c>
      <x:c r="M41" s="13" t="b">
        <x:v>1</x:v>
      </x:c>
      <x:c r="N41" s="2" t="str">
        <x:v>inherited2020anchor</x:v>
      </x:c>
      <x:c r="O41" s="2" t="str"/>
      <x:c r="P41" s="2" t="str">
        <x:v>assumption-based floor-area proxy</x:v>
      </x:c>
      <x:c r="Q41" s="2" t="str">
        <x:v>m2</x:v>
      </x:c>
      <x:c r="R41" s="17" t="n">
        <x:v>63702858.11000008</x:v>
      </x:c>
      <x:c r="S41" s="17"/>
      <x:c r="T41" s="18"/>
      <x:c r="U41" s="17" t="n">
        <x:v>63702858.11000008</x:v>
      </x:c>
      <x:c r="V41" s="2" t="str">
        <x:v>existing saved physical-floor-area proxy</x:v>
      </x:c>
      <x:c r="W41" s="2" t="str">
        <x:v>legacy_epoch_source_QA_passed; new_common_native_support_not_certified</x:v>
      </x:c>
      <x:c r="X41" s="2" t="str">
        <x:v>https://arxiv.org/abs/2511.12104</x:v>
      </x:c>
    </x:row>
    <x:row r="42" ht="23" customHeight="1">
      <x:c r="A42" s="2" t="str">
        <x:v>BHS</x:v>
      </x:c>
      <x:c r="B42" s="2" t="str">
        <x:v>Bahamas (Commonwealth of the)</x:v>
      </x:c>
      <x:c r="C42" s="2" t="n">
        <x:v>2020</x:v>
      </x:c>
      <x:c r="D42" s="2" t="str">
        <x:v>TEMPO_PROXY</x:v>
      </x:c>
      <x:c r="E42" s="17" t="n">
        <x:v>29184660.44999999</x:v>
      </x:c>
      <x:c r="F42" s="17" t="n">
        <x:f>IF(AND(M42,ISNUMBER(R42)),IF(D42="TEMPO_PROXY",R42,IF(AND(ISNUMBER(S42),S42&gt;0,ISNUMBER(U42)),U42*R42/S42,"n.a.")),"n.a.")</x:f>
        <x:v>29184660.44999999</x:v>
      </x:c>
      <x:c r="G42" s="17" t="n">
        <x:f>IF(AND(ISNUMBER(E42),ISNUMBER(F42)),E42-F42,"n.a.")</x:f>
        <x:v>0</x:v>
      </x:c>
      <x:c r="H42" s="15" t="n">
        <x:f>IF(AND(ISNUMBER(E42),ISNUMBER(F42),F42&gt;0),(E42-F42)/F42,"n.a.")</x:f>
        <x:v>0</x:v>
      </x:c>
      <x:c r="I42" s="19" t="n">
        <x:f>IF(ISNUMBER(H42),ABS(H42),"n.a.")</x:f>
        <x:v>0</x:v>
      </x:c>
      <x:c r="J42" s="2" t="str">
        <x:v>available</x:v>
      </x:c>
      <x:c r="K42" s="2" t="n">
        <x:v>1</x:v>
      </x:c>
      <x:c r="L42" s="13" t="b">
        <x:v>1</x:v>
      </x:c>
      <x:c r="M42" s="13" t="b">
        <x:v>1</x:v>
      </x:c>
      <x:c r="N42" s="2" t="str">
        <x:v>inherited2020anchor</x:v>
      </x:c>
      <x:c r="O42" s="2" t="str"/>
      <x:c r="P42" s="2" t="str">
        <x:v>assumption-based floor-area proxy</x:v>
      </x:c>
      <x:c r="Q42" s="2" t="str">
        <x:v>m2</x:v>
      </x:c>
      <x:c r="R42" s="17" t="n">
        <x:v>29184660.44999999</x:v>
      </x:c>
      <x:c r="S42" s="17"/>
      <x:c r="T42" s="18"/>
      <x:c r="U42" s="17" t="n">
        <x:v>29184660.44999999</x:v>
      </x:c>
      <x:c r="V42" s="2" t="str">
        <x:v>existing saved physical-floor-area proxy</x:v>
      </x:c>
      <x:c r="W42" s="2" t="str">
        <x:v>legacy_epoch_source_QA_passed; new_common_native_support_not_certified</x:v>
      </x:c>
      <x:c r="X42" s="2" t="str">
        <x:v>https://arxiv.org/abs/2511.12104</x:v>
      </x:c>
    </x:row>
    <x:row r="43" ht="23" customHeight="1">
      <x:c r="A43" s="2" t="str">
        <x:v>BIH</x:v>
      </x:c>
      <x:c r="B43" s="2" t="str">
        <x:v>Bosnia and Herzegovina</x:v>
      </x:c>
      <x:c r="C43" s="2" t="n">
        <x:v>2020</x:v>
      </x:c>
      <x:c r="D43" s="2" t="str">
        <x:v>TEMPO_PROXY</x:v>
      </x:c>
      <x:c r="E43" s="17" t="n">
        <x:v>247114206.72000027</x:v>
      </x:c>
      <x:c r="F43" s="17" t="n">
        <x:f>IF(AND(M43,ISNUMBER(R43)),IF(D43="TEMPO_PROXY",R43,IF(AND(ISNUMBER(S43),S43&gt;0,ISNUMBER(U43)),U43*R43/S43,"n.a.")),"n.a.")</x:f>
        <x:v>247114206.72000027</x:v>
      </x:c>
      <x:c r="G43" s="17" t="n">
        <x:f>IF(AND(ISNUMBER(E43),ISNUMBER(F43)),E43-F43,"n.a.")</x:f>
        <x:v>0</x:v>
      </x:c>
      <x:c r="H43" s="15" t="n">
        <x:f>IF(AND(ISNUMBER(E43),ISNUMBER(F43),F43&gt;0),(E43-F43)/F43,"n.a.")</x:f>
        <x:v>0</x:v>
      </x:c>
      <x:c r="I43" s="19" t="n">
        <x:f>IF(ISNUMBER(H43),ABS(H43),"n.a.")</x:f>
        <x:v>0</x:v>
      </x:c>
      <x:c r="J43" s="2" t="str">
        <x:v>available</x:v>
      </x:c>
      <x:c r="K43" s="2" t="n">
        <x:v>1</x:v>
      </x:c>
      <x:c r="L43" s="13" t="b">
        <x:v>1</x:v>
      </x:c>
      <x:c r="M43" s="13" t="b">
        <x:v>1</x:v>
      </x:c>
      <x:c r="N43" s="2" t="str">
        <x:v>inherited2020anchor</x:v>
      </x:c>
      <x:c r="O43" s="2" t="str"/>
      <x:c r="P43" s="2" t="str">
        <x:v>assumption-based floor-area proxy</x:v>
      </x:c>
      <x:c r="Q43" s="2" t="str">
        <x:v>m2</x:v>
      </x:c>
      <x:c r="R43" s="17" t="n">
        <x:v>247114206.72000027</x:v>
      </x:c>
      <x:c r="S43" s="17"/>
      <x:c r="T43" s="18"/>
      <x:c r="U43" s="17" t="n">
        <x:v>247114206.72000027</x:v>
      </x:c>
      <x:c r="V43" s="2" t="str">
        <x:v>existing saved physical-floor-area proxy</x:v>
      </x:c>
      <x:c r="W43" s="2" t="str">
        <x:v>legacy_epoch_source_QA_passed; new_common_native_support_not_certified</x:v>
      </x:c>
      <x:c r="X43" s="2" t="str">
        <x:v>https://arxiv.org/abs/2511.12104</x:v>
      </x:c>
    </x:row>
    <x:row r="44" ht="23" customHeight="1">
      <x:c r="A44" s="2" t="str">
        <x:v>BLR</x:v>
      </x:c>
      <x:c r="B44" s="2" t="str">
        <x:v>Belarus (Republic of)</x:v>
      </x:c>
      <x:c r="C44" s="2" t="n">
        <x:v>2020</x:v>
      </x:c>
      <x:c r="D44" s="2" t="str">
        <x:v>TEMPO_PROXY</x:v>
      </x:c>
      <x:c r="E44" s="17" t="n">
        <x:v>672205246.4400003</x:v>
      </x:c>
      <x:c r="F44" s="17" t="n">
        <x:f>IF(AND(M44,ISNUMBER(R44)),IF(D44="TEMPO_PROXY",R44,IF(AND(ISNUMBER(S44),S44&gt;0,ISNUMBER(U44)),U44*R44/S44,"n.a.")),"n.a.")</x:f>
        <x:v>672205246.4400003</x:v>
      </x:c>
      <x:c r="G44" s="17" t="n">
        <x:f>IF(AND(ISNUMBER(E44),ISNUMBER(F44)),E44-F44,"n.a.")</x:f>
        <x:v>0</x:v>
      </x:c>
      <x:c r="H44" s="15" t="n">
        <x:f>IF(AND(ISNUMBER(E44),ISNUMBER(F44),F44&gt;0),(E44-F44)/F44,"n.a.")</x:f>
        <x:v>0</x:v>
      </x:c>
      <x:c r="I44" s="19" t="n">
        <x:f>IF(ISNUMBER(H44),ABS(H44),"n.a.")</x:f>
        <x:v>0</x:v>
      </x:c>
      <x:c r="J44" s="2" t="str">
        <x:v>available</x:v>
      </x:c>
      <x:c r="K44" s="2" t="n">
        <x:v>1</x:v>
      </x:c>
      <x:c r="L44" s="13" t="b">
        <x:v>1</x:v>
      </x:c>
      <x:c r="M44" s="13" t="b">
        <x:v>1</x:v>
      </x:c>
      <x:c r="N44" s="2" t="str">
        <x:v>inherited2020anchor</x:v>
      </x:c>
      <x:c r="O44" s="2" t="str"/>
      <x:c r="P44" s="2" t="str">
        <x:v>assumption-based floor-area proxy</x:v>
      </x:c>
      <x:c r="Q44" s="2" t="str">
        <x:v>m2</x:v>
      </x:c>
      <x:c r="R44" s="17" t="n">
        <x:v>672205246.4400003</x:v>
      </x:c>
      <x:c r="S44" s="17"/>
      <x:c r="T44" s="18"/>
      <x:c r="U44" s="17" t="n">
        <x:v>672205246.4400003</x:v>
      </x:c>
      <x:c r="V44" s="2" t="str">
        <x:v>existing saved physical-floor-area proxy</x:v>
      </x:c>
      <x:c r="W44" s="2" t="str">
        <x:v>legacy_epoch_source_QA_passed; new_common_native_support_not_certified</x:v>
      </x:c>
      <x:c r="X44" s="2" t="str">
        <x:v>https://arxiv.org/abs/2511.12104</x:v>
      </x:c>
    </x:row>
    <x:row r="45" ht="23" customHeight="1">
      <x:c r="A45" s="2" t="str">
        <x:v>BLZ</x:v>
      </x:c>
      <x:c r="B45" s="2" t="str">
        <x:v>Belize</x:v>
      </x:c>
      <x:c r="C45" s="2" t="n">
        <x:v>2020</x:v>
      </x:c>
      <x:c r="D45" s="2" t="str">
        <x:v>TEMPO_PROXY</x:v>
      </x:c>
      <x:c r="E45" s="17" t="n">
        <x:v>21867714.339999966</x:v>
      </x:c>
      <x:c r="F45" s="17" t="n">
        <x:f>IF(AND(M45,ISNUMBER(R45)),IF(D45="TEMPO_PROXY",R45,IF(AND(ISNUMBER(S45),S45&gt;0,ISNUMBER(U45)),U45*R45/S45,"n.a.")),"n.a.")</x:f>
        <x:v>21867714.339999966</x:v>
      </x:c>
      <x:c r="G45" s="17" t="n">
        <x:f>IF(AND(ISNUMBER(E45),ISNUMBER(F45)),E45-F45,"n.a.")</x:f>
        <x:v>0</x:v>
      </x:c>
      <x:c r="H45" s="15" t="n">
        <x:f>IF(AND(ISNUMBER(E45),ISNUMBER(F45),F45&gt;0),(E45-F45)/F45,"n.a.")</x:f>
        <x:v>0</x:v>
      </x:c>
      <x:c r="I45" s="19" t="n">
        <x:f>IF(ISNUMBER(H45),ABS(H45),"n.a.")</x:f>
        <x:v>0</x:v>
      </x:c>
      <x:c r="J45" s="2" t="str">
        <x:v>available</x:v>
      </x:c>
      <x:c r="K45" s="2" t="n">
        <x:v>1</x:v>
      </x:c>
      <x:c r="L45" s="13" t="b">
        <x:v>1</x:v>
      </x:c>
      <x:c r="M45" s="13" t="b">
        <x:v>1</x:v>
      </x:c>
      <x:c r="N45" s="2" t="str">
        <x:v>inherited2020anchor</x:v>
      </x:c>
      <x:c r="O45" s="2" t="str"/>
      <x:c r="P45" s="2" t="str">
        <x:v>assumption-based floor-area proxy</x:v>
      </x:c>
      <x:c r="Q45" s="2" t="str">
        <x:v>m2</x:v>
      </x:c>
      <x:c r="R45" s="17" t="n">
        <x:v>21867714.339999966</x:v>
      </x:c>
      <x:c r="S45" s="17"/>
      <x:c r="T45" s="18"/>
      <x:c r="U45" s="17" t="n">
        <x:v>21867714.339999966</x:v>
      </x:c>
      <x:c r="V45" s="2" t="str">
        <x:v>existing saved physical-floor-area proxy</x:v>
      </x:c>
      <x:c r="W45" s="2" t="str">
        <x:v>legacy_epoch_source_QA_passed; new_common_native_support_not_certified</x:v>
      </x:c>
      <x:c r="X45" s="2" t="str">
        <x:v>https://arxiv.org/abs/2511.12104</x:v>
      </x:c>
    </x:row>
    <x:row r="46" ht="23" customHeight="1">
      <x:c r="A46" s="2" t="str">
        <x:v>BOL</x:v>
      </x:c>
      <x:c r="B46" s="2" t="str">
        <x:v>Bolivia (Plurinational State of)</x:v>
      </x:c>
      <x:c r="C46" s="2" t="n">
        <x:v>2020</x:v>
      </x:c>
      <x:c r="D46" s="2" t="str">
        <x:v>TEMPO_PROXY</x:v>
      </x:c>
      <x:c r="E46" s="17" t="n">
        <x:v>496419008.9399992</x:v>
      </x:c>
      <x:c r="F46" s="17" t="n">
        <x:f>IF(AND(M46,ISNUMBER(R46)),IF(D46="TEMPO_PROXY",R46,IF(AND(ISNUMBER(S46),S46&gt;0,ISNUMBER(U46)),U46*R46/S46,"n.a.")),"n.a.")</x:f>
        <x:v>496419008.9399992</x:v>
      </x:c>
      <x:c r="G46" s="17" t="n">
        <x:f>IF(AND(ISNUMBER(E46),ISNUMBER(F46)),E46-F46,"n.a.")</x:f>
        <x:v>0</x:v>
      </x:c>
      <x:c r="H46" s="15" t="n">
        <x:f>IF(AND(ISNUMBER(E46),ISNUMBER(F46),F46&gt;0),(E46-F46)/F46,"n.a.")</x:f>
        <x:v>0</x:v>
      </x:c>
      <x:c r="I46" s="19" t="n">
        <x:f>IF(ISNUMBER(H46),ABS(H46),"n.a.")</x:f>
        <x:v>0</x:v>
      </x:c>
      <x:c r="J46" s="2" t="str">
        <x:v>available</x:v>
      </x:c>
      <x:c r="K46" s="2" t="n">
        <x:v>1</x:v>
      </x:c>
      <x:c r="L46" s="13" t="b">
        <x:v>1</x:v>
      </x:c>
      <x:c r="M46" s="13" t="b">
        <x:v>1</x:v>
      </x:c>
      <x:c r="N46" s="2" t="str">
        <x:v>inherited2020anchor</x:v>
      </x:c>
      <x:c r="O46" s="2" t="str"/>
      <x:c r="P46" s="2" t="str">
        <x:v>assumption-based floor-area proxy</x:v>
      </x:c>
      <x:c r="Q46" s="2" t="str">
        <x:v>m2</x:v>
      </x:c>
      <x:c r="R46" s="17" t="n">
        <x:v>496419008.9399992</x:v>
      </x:c>
      <x:c r="S46" s="17"/>
      <x:c r="T46" s="18"/>
      <x:c r="U46" s="17" t="n">
        <x:v>496419008.9399992</x:v>
      </x:c>
      <x:c r="V46" s="2" t="str">
        <x:v>existing saved physical-floor-area proxy</x:v>
      </x:c>
      <x:c r="W46" s="2" t="str">
        <x:v>legacy_epoch_source_QA_passed; new_common_native_support_not_certified</x:v>
      </x:c>
      <x:c r="X46" s="2" t="str">
        <x:v>https://arxiv.org/abs/2511.12104</x:v>
      </x:c>
    </x:row>
    <x:row r="47" ht="23" customHeight="1">
      <x:c r="A47" s="2" t="str">
        <x:v>BRA</x:v>
      </x:c>
      <x:c r="B47" s="2" t="str">
        <x:v>Brazil (Federative Republic of)</x:v>
      </x:c>
      <x:c r="C47" s="2" t="n">
        <x:v>2020</x:v>
      </x:c>
      <x:c r="D47" s="2" t="str">
        <x:v>TEMPO_PROXY</x:v>
      </x:c>
      <x:c r="E47" s="17" t="n">
        <x:v>12112839681.859997</x:v>
      </x:c>
      <x:c r="F47" s="17" t="n">
        <x:f>IF(AND(M47,ISNUMBER(R47)),IF(D47="TEMPO_PROXY",R47,IF(AND(ISNUMBER(S47),S47&gt;0,ISNUMBER(U47)),U47*R47/S47,"n.a.")),"n.a.")</x:f>
        <x:v>12112839681.859997</x:v>
      </x:c>
      <x:c r="G47" s="17" t="n">
        <x:f>IF(AND(ISNUMBER(E47),ISNUMBER(F47)),E47-F47,"n.a.")</x:f>
        <x:v>0</x:v>
      </x:c>
      <x:c r="H47" s="15" t="n">
        <x:f>IF(AND(ISNUMBER(E47),ISNUMBER(F47),F47&gt;0),(E47-F47)/F47,"n.a.")</x:f>
        <x:v>0</x:v>
      </x:c>
      <x:c r="I47" s="19" t="n">
        <x:f>IF(ISNUMBER(H47),ABS(H47),"n.a.")</x:f>
        <x:v>0</x:v>
      </x:c>
      <x:c r="J47" s="2" t="str">
        <x:v>available</x:v>
      </x:c>
      <x:c r="K47" s="2" t="n">
        <x:v>1</x:v>
      </x:c>
      <x:c r="L47" s="13" t="b">
        <x:v>1</x:v>
      </x:c>
      <x:c r="M47" s="13" t="b">
        <x:v>1</x:v>
      </x:c>
      <x:c r="N47" s="2" t="str">
        <x:v>inherited2020anchor</x:v>
      </x:c>
      <x:c r="O47" s="2" t="str"/>
      <x:c r="P47" s="2" t="str">
        <x:v>assumption-based floor-area proxy</x:v>
      </x:c>
      <x:c r="Q47" s="2" t="str">
        <x:v>m2</x:v>
      </x:c>
      <x:c r="R47" s="17" t="n">
        <x:v>12112839681.859997</x:v>
      </x:c>
      <x:c r="S47" s="17"/>
      <x:c r="T47" s="18"/>
      <x:c r="U47" s="17" t="n">
        <x:v>12112839681.859997</x:v>
      </x:c>
      <x:c r="V47" s="2" t="str">
        <x:v>existing saved physical-floor-area proxy</x:v>
      </x:c>
      <x:c r="W47" s="2" t="str">
        <x:v>legacy_epoch_source_QA_passed; new_common_native_support_not_certified</x:v>
      </x:c>
      <x:c r="X47" s="2" t="str">
        <x:v>https://arxiv.org/abs/2511.12104</x:v>
      </x:c>
    </x:row>
    <x:row r="48" ht="23" customHeight="1">
      <x:c r="A48" s="2" t="str">
        <x:v>BRB</x:v>
      </x:c>
      <x:c r="B48" s="2" t="str">
        <x:v>Barbados</x:v>
      </x:c>
      <x:c r="C48" s="2" t="n">
        <x:v>2020</x:v>
      </x:c>
      <x:c r="D48" s="2" t="str">
        <x:v>TEMPO_PROXY</x:v>
      </x:c>
      <x:c r="E48" s="17" t="n">
        <x:v>23684585.840000004</x:v>
      </x:c>
      <x:c r="F48" s="17" t="n">
        <x:f>IF(AND(M48,ISNUMBER(R48)),IF(D48="TEMPO_PROXY",R48,IF(AND(ISNUMBER(S48),S48&gt;0,ISNUMBER(U48)),U48*R48/S48,"n.a.")),"n.a.")</x:f>
        <x:v>23684585.840000004</x:v>
      </x:c>
      <x:c r="G48" s="17" t="n">
        <x:f>IF(AND(ISNUMBER(E48),ISNUMBER(F48)),E48-F48,"n.a.")</x:f>
        <x:v>0</x:v>
      </x:c>
      <x:c r="H48" s="15" t="n">
        <x:f>IF(AND(ISNUMBER(E48),ISNUMBER(F48),F48&gt;0),(E48-F48)/F48,"n.a.")</x:f>
        <x:v>0</x:v>
      </x:c>
      <x:c r="I48" s="19" t="n">
        <x:f>IF(ISNUMBER(H48),ABS(H48),"n.a.")</x:f>
        <x:v>0</x:v>
      </x:c>
      <x:c r="J48" s="2" t="str">
        <x:v>available</x:v>
      </x:c>
      <x:c r="K48" s="2" t="n">
        <x:v>1</x:v>
      </x:c>
      <x:c r="L48" s="13" t="b">
        <x:v>1</x:v>
      </x:c>
      <x:c r="M48" s="13" t="b">
        <x:v>1</x:v>
      </x:c>
      <x:c r="N48" s="2" t="str">
        <x:v>inherited2020anchor</x:v>
      </x:c>
      <x:c r="O48" s="2" t="str"/>
      <x:c r="P48" s="2" t="str">
        <x:v>assumption-based floor-area proxy</x:v>
      </x:c>
      <x:c r="Q48" s="2" t="str">
        <x:v>m2</x:v>
      </x:c>
      <x:c r="R48" s="17" t="n">
        <x:v>23684585.840000004</x:v>
      </x:c>
      <x:c r="S48" s="17"/>
      <x:c r="T48" s="18"/>
      <x:c r="U48" s="17" t="n">
        <x:v>23684585.840000004</x:v>
      </x:c>
      <x:c r="V48" s="2" t="str">
        <x:v>existing saved physical-floor-area proxy</x:v>
      </x:c>
      <x:c r="W48" s="2" t="str">
        <x:v>legacy_epoch_source_QA_passed; new_common_native_support_not_certified</x:v>
      </x:c>
      <x:c r="X48" s="2" t="str">
        <x:v>https://arxiv.org/abs/2511.12104</x:v>
      </x:c>
    </x:row>
    <x:row r="49" ht="23" customHeight="1">
      <x:c r="A49" s="2" t="str">
        <x:v>BRN</x:v>
      </x:c>
      <x:c r="B49" s="2" t="str">
        <x:v>Brunei Darussalam</x:v>
      </x:c>
      <x:c r="C49" s="2" t="n">
        <x:v>2020</x:v>
      </x:c>
      <x:c r="D49" s="2" t="str">
        <x:v>TEMPO_PROXY</x:v>
      </x:c>
      <x:c r="E49" s="17" t="n">
        <x:v>37849769.86000001</x:v>
      </x:c>
      <x:c r="F49" s="17" t="n">
        <x:f>IF(AND(M49,ISNUMBER(R49)),IF(D49="TEMPO_PROXY",R49,IF(AND(ISNUMBER(S49),S49&gt;0,ISNUMBER(U49)),U49*R49/S49,"n.a.")),"n.a.")</x:f>
        <x:v>37849769.86000001</x:v>
      </x:c>
      <x:c r="G49" s="17" t="n">
        <x:f>IF(AND(ISNUMBER(E49),ISNUMBER(F49)),E49-F49,"n.a.")</x:f>
        <x:v>0</x:v>
      </x:c>
      <x:c r="H49" s="15" t="n">
        <x:f>IF(AND(ISNUMBER(E49),ISNUMBER(F49),F49&gt;0),(E49-F49)/F49,"n.a.")</x:f>
        <x:v>0</x:v>
      </x:c>
      <x:c r="I49" s="19" t="n">
        <x:f>IF(ISNUMBER(H49),ABS(H49),"n.a.")</x:f>
        <x:v>0</x:v>
      </x:c>
      <x:c r="J49" s="2" t="str">
        <x:v>available</x:v>
      </x:c>
      <x:c r="K49" s="2" t="n">
        <x:v>1</x:v>
      </x:c>
      <x:c r="L49" s="13" t="b">
        <x:v>1</x:v>
      </x:c>
      <x:c r="M49" s="13" t="b">
        <x:v>1</x:v>
      </x:c>
      <x:c r="N49" s="2" t="str">
        <x:v>inherited2020anchor</x:v>
      </x:c>
      <x:c r="O49" s="2" t="str"/>
      <x:c r="P49" s="2" t="str">
        <x:v>assumption-based floor-area proxy</x:v>
      </x:c>
      <x:c r="Q49" s="2" t="str">
        <x:v>m2</x:v>
      </x:c>
      <x:c r="R49" s="17" t="n">
        <x:v>37849769.86000001</x:v>
      </x:c>
      <x:c r="S49" s="17"/>
      <x:c r="T49" s="18"/>
      <x:c r="U49" s="17" t="n">
        <x:v>37849769.86000001</x:v>
      </x:c>
      <x:c r="V49" s="2" t="str">
        <x:v>existing saved physical-floor-area proxy</x:v>
      </x:c>
      <x:c r="W49" s="2" t="str">
        <x:v>legacy_epoch_source_QA_passed; new_common_native_support_not_certified</x:v>
      </x:c>
      <x:c r="X49" s="2" t="str">
        <x:v>https://arxiv.org/abs/2511.12104</x:v>
      </x:c>
    </x:row>
    <x:row r="50" ht="23" customHeight="1">
      <x:c r="A50" s="2" t="str">
        <x:v>BTN</x:v>
      </x:c>
      <x:c r="B50" s="2" t="str">
        <x:v>Bhutan (Kingdom of)</x:v>
      </x:c>
      <x:c r="C50" s="2" t="n">
        <x:v>2020</x:v>
      </x:c>
      <x:c r="D50" s="2" t="str">
        <x:v>TEMPO_PROXY</x:v>
      </x:c>
      <x:c r="E50" s="17" t="n">
        <x:v>27177544.510000043</x:v>
      </x:c>
      <x:c r="F50" s="17" t="n">
        <x:f>IF(AND(M50,ISNUMBER(R50)),IF(D50="TEMPO_PROXY",R50,IF(AND(ISNUMBER(S50),S50&gt;0,ISNUMBER(U50)),U50*R50/S50,"n.a.")),"n.a.")</x:f>
        <x:v>27177544.510000043</x:v>
      </x:c>
      <x:c r="G50" s="17" t="n">
        <x:f>IF(AND(ISNUMBER(E50),ISNUMBER(F50)),E50-F50,"n.a.")</x:f>
        <x:v>0</x:v>
      </x:c>
      <x:c r="H50" s="15" t="n">
        <x:f>IF(AND(ISNUMBER(E50),ISNUMBER(F50),F50&gt;0),(E50-F50)/F50,"n.a.")</x:f>
        <x:v>0</x:v>
      </x:c>
      <x:c r="I50" s="19" t="n">
        <x:f>IF(ISNUMBER(H50),ABS(H50),"n.a.")</x:f>
        <x:v>0</x:v>
      </x:c>
      <x:c r="J50" s="2" t="str">
        <x:v>available</x:v>
      </x:c>
      <x:c r="K50" s="2" t="n">
        <x:v>1</x:v>
      </x:c>
      <x:c r="L50" s="13" t="b">
        <x:v>1</x:v>
      </x:c>
      <x:c r="M50" s="13" t="b">
        <x:v>1</x:v>
      </x:c>
      <x:c r="N50" s="2" t="str">
        <x:v>inherited2020anchor</x:v>
      </x:c>
      <x:c r="O50" s="2" t="str"/>
      <x:c r="P50" s="2" t="str">
        <x:v>assumption-based floor-area proxy</x:v>
      </x:c>
      <x:c r="Q50" s="2" t="str">
        <x:v>m2</x:v>
      </x:c>
      <x:c r="R50" s="17" t="n">
        <x:v>27177544.510000043</x:v>
      </x:c>
      <x:c r="S50" s="17"/>
      <x:c r="T50" s="18"/>
      <x:c r="U50" s="17" t="n">
        <x:v>27177544.510000043</x:v>
      </x:c>
      <x:c r="V50" s="2" t="str">
        <x:v>existing saved physical-floor-area proxy</x:v>
      </x:c>
      <x:c r="W50" s="2" t="str">
        <x:v>legacy_epoch_source_QA_passed; new_common_native_support_not_certified</x:v>
      </x:c>
      <x:c r="X50" s="2" t="str">
        <x:v>https://arxiv.org/abs/2511.12104</x:v>
      </x:c>
    </x:row>
    <x:row r="51" ht="23" customHeight="1">
      <x:c r="A51" s="2" t="str">
        <x:v>BWA</x:v>
      </x:c>
      <x:c r="B51" s="2" t="str">
        <x:v>Botswana (Republic of)</x:v>
      </x:c>
      <x:c r="C51" s="2" t="n">
        <x:v>2020</x:v>
      </x:c>
      <x:c r="D51" s="2" t="str">
        <x:v>TEMPO_PROXY</x:v>
      </x:c>
      <x:c r="E51" s="17" t="n">
        <x:v>118564613.02000009</x:v>
      </x:c>
      <x:c r="F51" s="17" t="n">
        <x:f>IF(AND(M51,ISNUMBER(R51)),IF(D51="TEMPO_PROXY",R51,IF(AND(ISNUMBER(S51),S51&gt;0,ISNUMBER(U51)),U51*R51/S51,"n.a.")),"n.a.")</x:f>
        <x:v>118564613.02000009</x:v>
      </x:c>
      <x:c r="G51" s="17" t="n">
        <x:f>IF(AND(ISNUMBER(E51),ISNUMBER(F51)),E51-F51,"n.a.")</x:f>
        <x:v>0</x:v>
      </x:c>
      <x:c r="H51" s="15" t="n">
        <x:f>IF(AND(ISNUMBER(E51),ISNUMBER(F51),F51&gt;0),(E51-F51)/F51,"n.a.")</x:f>
        <x:v>0</x:v>
      </x:c>
      <x:c r="I51" s="19" t="n">
        <x:f>IF(ISNUMBER(H51),ABS(H51),"n.a.")</x:f>
        <x:v>0</x:v>
      </x:c>
      <x:c r="J51" s="2" t="str">
        <x:v>available</x:v>
      </x:c>
      <x:c r="K51" s="2" t="n">
        <x:v>1</x:v>
      </x:c>
      <x:c r="L51" s="13" t="b">
        <x:v>1</x:v>
      </x:c>
      <x:c r="M51" s="13" t="b">
        <x:v>1</x:v>
      </x:c>
      <x:c r="N51" s="2" t="str">
        <x:v>inherited2020anchor</x:v>
      </x:c>
      <x:c r="O51" s="2" t="str"/>
      <x:c r="P51" s="2" t="str">
        <x:v>assumption-based floor-area proxy</x:v>
      </x:c>
      <x:c r="Q51" s="2" t="str">
        <x:v>m2</x:v>
      </x:c>
      <x:c r="R51" s="17" t="n">
        <x:v>118564613.02000009</x:v>
      </x:c>
      <x:c r="S51" s="17"/>
      <x:c r="T51" s="18"/>
      <x:c r="U51" s="17" t="n">
        <x:v>118564613.02000009</x:v>
      </x:c>
      <x:c r="V51" s="2" t="str">
        <x:v>existing saved physical-floor-area proxy</x:v>
      </x:c>
      <x:c r="W51" s="2" t="str">
        <x:v>legacy_epoch_source_QA_passed; new_common_native_support_not_certified</x:v>
      </x:c>
      <x:c r="X51" s="2" t="str">
        <x:v>https://arxiv.org/abs/2511.12104</x:v>
      </x:c>
    </x:row>
    <x:row r="52" ht="23" customHeight="1">
      <x:c r="A52" s="2" t="str">
        <x:v>CAF</x:v>
      </x:c>
      <x:c r="B52" s="2" t="str">
        <x:v>Central African Republic</x:v>
      </x:c>
      <x:c r="C52" s="2" t="n">
        <x:v>2020</x:v>
      </x:c>
      <x:c r="D52" s="2" t="str">
        <x:v>TEMPO_PROXY</x:v>
      </x:c>
      <x:c r="E52" s="17" t="n">
        <x:v>66989106.04000005</x:v>
      </x:c>
      <x:c r="F52" s="17" t="n">
        <x:f>IF(AND(M52,ISNUMBER(R52)),IF(D52="TEMPO_PROXY",R52,IF(AND(ISNUMBER(S52),S52&gt;0,ISNUMBER(U52)),U52*R52/S52,"n.a.")),"n.a.")</x:f>
        <x:v>66989106.04000005</x:v>
      </x:c>
      <x:c r="G52" s="17" t="n">
        <x:f>IF(AND(ISNUMBER(E52),ISNUMBER(F52)),E52-F52,"n.a.")</x:f>
        <x:v>0</x:v>
      </x:c>
      <x:c r="H52" s="15" t="n">
        <x:f>IF(AND(ISNUMBER(E52),ISNUMBER(F52),F52&gt;0),(E52-F52)/F52,"n.a.")</x:f>
        <x:v>0</x:v>
      </x:c>
      <x:c r="I52" s="19" t="n">
        <x:f>IF(ISNUMBER(H52),ABS(H52),"n.a.")</x:f>
        <x:v>0</x:v>
      </x:c>
      <x:c r="J52" s="2" t="str">
        <x:v>available</x:v>
      </x:c>
      <x:c r="K52" s="2" t="n">
        <x:v>1</x:v>
      </x:c>
      <x:c r="L52" s="13" t="b">
        <x:v>1</x:v>
      </x:c>
      <x:c r="M52" s="13" t="b">
        <x:v>1</x:v>
      </x:c>
      <x:c r="N52" s="2" t="str">
        <x:v>inherited2020anchor</x:v>
      </x:c>
      <x:c r="O52" s="2" t="str"/>
      <x:c r="P52" s="2" t="str">
        <x:v>assumption-based floor-area proxy</x:v>
      </x:c>
      <x:c r="Q52" s="2" t="str">
        <x:v>m2</x:v>
      </x:c>
      <x:c r="R52" s="17" t="n">
        <x:v>66989106.04000005</x:v>
      </x:c>
      <x:c r="S52" s="17"/>
      <x:c r="T52" s="18"/>
      <x:c r="U52" s="17" t="n">
        <x:v>66989106.04000005</x:v>
      </x:c>
      <x:c r="V52" s="2" t="str">
        <x:v>existing saved physical-floor-area proxy</x:v>
      </x:c>
      <x:c r="W52" s="2" t="str">
        <x:v>legacy_epoch_source_QA_passed; new_common_native_support_not_certified</x:v>
      </x:c>
      <x:c r="X52" s="2" t="str">
        <x:v>https://arxiv.org/abs/2511.12104</x:v>
      </x:c>
    </x:row>
    <x:row r="53" ht="23" customHeight="1">
      <x:c r="A53" s="2" t="str">
        <x:v>CAN</x:v>
      </x:c>
      <x:c r="B53" s="2" t="str">
        <x:v>Canada</x:v>
      </x:c>
      <x:c r="C53" s="2" t="n">
        <x:v>2020</x:v>
      </x:c>
      <x:c r="D53" s="2" t="str">
        <x:v>TEMPO_PROXY</x:v>
      </x:c>
      <x:c r="E53" s="17" t="n">
        <x:v>2941628265.260001</x:v>
      </x:c>
      <x:c r="F53" s="17" t="n">
        <x:f>IF(AND(M53,ISNUMBER(R53)),IF(D53="TEMPO_PROXY",R53,IF(AND(ISNUMBER(S53),S53&gt;0,ISNUMBER(U53)),U53*R53/S53,"n.a.")),"n.a.")</x:f>
        <x:v>2941628265.260001</x:v>
      </x:c>
      <x:c r="G53" s="17" t="n">
        <x:f>IF(AND(ISNUMBER(E53),ISNUMBER(F53)),E53-F53,"n.a.")</x:f>
        <x:v>0</x:v>
      </x:c>
      <x:c r="H53" s="15" t="n">
        <x:f>IF(AND(ISNUMBER(E53),ISNUMBER(F53),F53&gt;0),(E53-F53)/F53,"n.a.")</x:f>
        <x:v>0</x:v>
      </x:c>
      <x:c r="I53" s="19" t="n">
        <x:f>IF(ISNUMBER(H53),ABS(H53),"n.a.")</x:f>
        <x:v>0</x:v>
      </x:c>
      <x:c r="J53" s="2" t="str">
        <x:v>available</x:v>
      </x:c>
      <x:c r="K53" s="2" t="n">
        <x:v>1</x:v>
      </x:c>
      <x:c r="L53" s="13" t="b">
        <x:v>1</x:v>
      </x:c>
      <x:c r="M53" s="13" t="b">
        <x:v>1</x:v>
      </x:c>
      <x:c r="N53" s="2" t="str">
        <x:v>inherited2020anchor</x:v>
      </x:c>
      <x:c r="O53" s="2" t="str"/>
      <x:c r="P53" s="2" t="str">
        <x:v>assumption-based floor-area proxy</x:v>
      </x:c>
      <x:c r="Q53" s="2" t="str">
        <x:v>m2</x:v>
      </x:c>
      <x:c r="R53" s="17" t="n">
        <x:v>2941628265.260001</x:v>
      </x:c>
      <x:c r="S53" s="17"/>
      <x:c r="T53" s="18"/>
      <x:c r="U53" s="17" t="n">
        <x:v>2941628265.260001</x:v>
      </x:c>
      <x:c r="V53" s="2" t="str">
        <x:v>existing saved physical-floor-area proxy</x:v>
      </x:c>
      <x:c r="W53" s="2" t="str">
        <x:v>legacy_epoch_source_QA_passed; new_common_native_support_not_certified</x:v>
      </x:c>
      <x:c r="X53" s="2" t="str">
        <x:v>https://arxiv.org/abs/2511.12104</x:v>
      </x:c>
    </x:row>
    <x:row r="54" ht="23" customHeight="1">
      <x:c r="A54" s="2" t="str">
        <x:v>CHE</x:v>
      </x:c>
      <x:c r="B54" s="2" t="str">
        <x:v>Switzerland (Swiss Confederation)</x:v>
      </x:c>
      <x:c r="C54" s="2" t="n">
        <x:v>2020</x:v>
      </x:c>
      <x:c r="D54" s="2" t="str">
        <x:v>TEMPO_PROXY</x:v>
      </x:c>
      <x:c r="E54" s="17" t="n">
        <x:v>554094959.2900008</x:v>
      </x:c>
      <x:c r="F54" s="17" t="n">
        <x:f>IF(AND(M54,ISNUMBER(R54)),IF(D54="TEMPO_PROXY",R54,IF(AND(ISNUMBER(S54),S54&gt;0,ISNUMBER(U54)),U54*R54/S54,"n.a.")),"n.a.")</x:f>
        <x:v>554094959.2900008</x:v>
      </x:c>
      <x:c r="G54" s="17" t="n">
        <x:f>IF(AND(ISNUMBER(E54),ISNUMBER(F54)),E54-F54,"n.a.")</x:f>
        <x:v>0</x:v>
      </x:c>
      <x:c r="H54" s="15" t="n">
        <x:f>IF(AND(ISNUMBER(E54),ISNUMBER(F54),F54&gt;0),(E54-F54)/F54,"n.a.")</x:f>
        <x:v>0</x:v>
      </x:c>
      <x:c r="I54" s="19" t="n">
        <x:f>IF(ISNUMBER(H54),ABS(H54),"n.a.")</x:f>
        <x:v>0</x:v>
      </x:c>
      <x:c r="J54" s="2" t="str">
        <x:v>available</x:v>
      </x:c>
      <x:c r="K54" s="2" t="n">
        <x:v>1</x:v>
      </x:c>
      <x:c r="L54" s="13" t="b">
        <x:v>1</x:v>
      </x:c>
      <x:c r="M54" s="13" t="b">
        <x:v>1</x:v>
      </x:c>
      <x:c r="N54" s="2" t="str">
        <x:v>inherited2020anchor</x:v>
      </x:c>
      <x:c r="O54" s="2" t="str"/>
      <x:c r="P54" s="2" t="str">
        <x:v>assumption-based floor-area proxy</x:v>
      </x:c>
      <x:c r="Q54" s="2" t="str">
        <x:v>m2</x:v>
      </x:c>
      <x:c r="R54" s="17" t="n">
        <x:v>554094959.2900008</x:v>
      </x:c>
      <x:c r="S54" s="17"/>
      <x:c r="T54" s="18"/>
      <x:c r="U54" s="17" t="n">
        <x:v>554094959.2900008</x:v>
      </x:c>
      <x:c r="V54" s="2" t="str">
        <x:v>existing saved physical-floor-area proxy</x:v>
      </x:c>
      <x:c r="W54" s="2" t="str">
        <x:v>legacy_epoch_source_QA_passed; new_common_native_support_not_certified</x:v>
      </x:c>
      <x:c r="X54" s="2" t="str">
        <x:v>https://arxiv.org/abs/2511.12104</x:v>
      </x:c>
    </x:row>
    <x:row r="55" ht="23" customHeight="1">
      <x:c r="A55" s="2" t="str">
        <x:v>CHL</x:v>
      </x:c>
      <x:c r="B55" s="2" t="str">
        <x:v>Chile (Republic of)</x:v>
      </x:c>
      <x:c r="C55" s="2" t="n">
        <x:v>2020</x:v>
      </x:c>
      <x:c r="D55" s="2" t="str">
        <x:v>TEMPO_PROXY</x:v>
      </x:c>
      <x:c r="E55" s="17" t="n">
        <x:v>986436316.0700014</x:v>
      </x:c>
      <x:c r="F55" s="17" t="n">
        <x:f>IF(AND(M55,ISNUMBER(R55)),IF(D55="TEMPO_PROXY",R55,IF(AND(ISNUMBER(S55),S55&gt;0,ISNUMBER(U55)),U55*R55/S55,"n.a.")),"n.a.")</x:f>
        <x:v>986436316.0700014</x:v>
      </x:c>
      <x:c r="G55" s="17" t="n">
        <x:f>IF(AND(ISNUMBER(E55),ISNUMBER(F55)),E55-F55,"n.a.")</x:f>
        <x:v>0</x:v>
      </x:c>
      <x:c r="H55" s="15" t="n">
        <x:f>IF(AND(ISNUMBER(E55),ISNUMBER(F55),F55&gt;0),(E55-F55)/F55,"n.a.")</x:f>
        <x:v>0</x:v>
      </x:c>
      <x:c r="I55" s="19" t="n">
        <x:f>IF(ISNUMBER(H55),ABS(H55),"n.a.")</x:f>
        <x:v>0</x:v>
      </x:c>
      <x:c r="J55" s="2" t="str">
        <x:v>available</x:v>
      </x:c>
      <x:c r="K55" s="2" t="n">
        <x:v>1</x:v>
      </x:c>
      <x:c r="L55" s="13" t="b">
        <x:v>1</x:v>
      </x:c>
      <x:c r="M55" s="13" t="b">
        <x:v>1</x:v>
      </x:c>
      <x:c r="N55" s="2" t="str">
        <x:v>inherited2020anchor</x:v>
      </x:c>
      <x:c r="O55" s="2" t="str"/>
      <x:c r="P55" s="2" t="str">
        <x:v>assumption-based floor-area proxy</x:v>
      </x:c>
      <x:c r="Q55" s="2" t="str">
        <x:v>m2</x:v>
      </x:c>
      <x:c r="R55" s="17" t="n">
        <x:v>986436316.0700014</x:v>
      </x:c>
      <x:c r="S55" s="17"/>
      <x:c r="T55" s="18"/>
      <x:c r="U55" s="17" t="n">
        <x:v>986436316.0700014</x:v>
      </x:c>
      <x:c r="V55" s="2" t="str">
        <x:v>existing saved physical-floor-area proxy</x:v>
      </x:c>
      <x:c r="W55" s="2" t="str">
        <x:v>legacy_epoch_source_QA_passed; new_common_native_support_not_certified</x:v>
      </x:c>
      <x:c r="X55" s="2" t="str">
        <x:v>https://arxiv.org/abs/2511.12104</x:v>
      </x:c>
    </x:row>
    <x:row r="56" ht="23" customHeight="1">
      <x:c r="A56" s="2" t="str">
        <x:v>CHN</x:v>
      </x:c>
      <x:c r="B56" s="2" t="str">
        <x:v>China (People's Republic of)</x:v>
      </x:c>
      <x:c r="C56" s="2" t="n">
        <x:v>2020</x:v>
      </x:c>
      <x:c r="D56" s="2" t="str">
        <x:v>TEMPO_PROXY</x:v>
      </x:c>
      <x:c r="E56" s="17" t="n">
        <x:v>86144650012.34993</x:v>
      </x:c>
      <x:c r="F56" s="17" t="n">
        <x:f>IF(AND(M56,ISNUMBER(R56)),IF(D56="TEMPO_PROXY",R56,IF(AND(ISNUMBER(S56),S56&gt;0,ISNUMBER(U56)),U56*R56/S56,"n.a.")),"n.a.")</x:f>
        <x:v>86144650012.34993</x:v>
      </x:c>
      <x:c r="G56" s="17" t="n">
        <x:f>IF(AND(ISNUMBER(E56),ISNUMBER(F56)),E56-F56,"n.a.")</x:f>
        <x:v>0</x:v>
      </x:c>
      <x:c r="H56" s="15" t="n">
        <x:f>IF(AND(ISNUMBER(E56),ISNUMBER(F56),F56&gt;0),(E56-F56)/F56,"n.a.")</x:f>
        <x:v>0</x:v>
      </x:c>
      <x:c r="I56" s="19" t="n">
        <x:f>IF(ISNUMBER(H56),ABS(H56),"n.a.")</x:f>
        <x:v>0</x:v>
      </x:c>
      <x:c r="J56" s="2" t="str">
        <x:v>available</x:v>
      </x:c>
      <x:c r="K56" s="2" t="n">
        <x:v>1</x:v>
      </x:c>
      <x:c r="L56" s="13" t="b">
        <x:v>1</x:v>
      </x:c>
      <x:c r="M56" s="13" t="b">
        <x:v>1</x:v>
      </x:c>
      <x:c r="N56" s="2" t="str">
        <x:v>inherited2020anchor</x:v>
      </x:c>
      <x:c r="O56" s="2" t="str"/>
      <x:c r="P56" s="2" t="str">
        <x:v>assumption-based floor-area proxy</x:v>
      </x:c>
      <x:c r="Q56" s="2" t="str">
        <x:v>m2</x:v>
      </x:c>
      <x:c r="R56" s="17" t="n">
        <x:v>86144650012.34993</x:v>
      </x:c>
      <x:c r="S56" s="17"/>
      <x:c r="T56" s="18"/>
      <x:c r="U56" s="17" t="n">
        <x:v>86144650012.34993</x:v>
      </x:c>
      <x:c r="V56" s="2" t="str">
        <x:v>existing saved physical-floor-area proxy</x:v>
      </x:c>
      <x:c r="W56" s="2" t="str">
        <x:v>legacy_epoch_source_QA_passed; new_common_native_support_not_certified</x:v>
      </x:c>
      <x:c r="X56" s="2" t="str">
        <x:v>https://arxiv.org/abs/2511.12104</x:v>
      </x:c>
    </x:row>
    <x:row r="57" ht="23" customHeight="1">
      <x:c r="A57" s="2" t="str">
        <x:v>CIV</x:v>
      </x:c>
      <x:c r="B57" s="2" t="str">
        <x:v>Côte d'Ivoire (Republic of)</x:v>
      </x:c>
      <x:c r="C57" s="2" t="n">
        <x:v>2020</x:v>
      </x:c>
      <x:c r="D57" s="2" t="str">
        <x:v>TEMPO_PROXY</x:v>
      </x:c>
      <x:c r="E57" s="17" t="n">
        <x:v>602828854.8199993</x:v>
      </x:c>
      <x:c r="F57" s="17" t="n">
        <x:f>IF(AND(M57,ISNUMBER(R57)),IF(D57="TEMPO_PROXY",R57,IF(AND(ISNUMBER(S57),S57&gt;0,ISNUMBER(U57)),U57*R57/S57,"n.a.")),"n.a.")</x:f>
        <x:v>602828854.8199993</x:v>
      </x:c>
      <x:c r="G57" s="17" t="n">
        <x:f>IF(AND(ISNUMBER(E57),ISNUMBER(F57)),E57-F57,"n.a.")</x:f>
        <x:v>0</x:v>
      </x:c>
      <x:c r="H57" s="15" t="n">
        <x:f>IF(AND(ISNUMBER(E57),ISNUMBER(F57),F57&gt;0),(E57-F57)/F57,"n.a.")</x:f>
        <x:v>0</x:v>
      </x:c>
      <x:c r="I57" s="19" t="n">
        <x:f>IF(ISNUMBER(H57),ABS(H57),"n.a.")</x:f>
        <x:v>0</x:v>
      </x:c>
      <x:c r="J57" s="2" t="str">
        <x:v>available</x:v>
      </x:c>
      <x:c r="K57" s="2" t="n">
        <x:v>1</x:v>
      </x:c>
      <x:c r="L57" s="13" t="b">
        <x:v>1</x:v>
      </x:c>
      <x:c r="M57" s="13" t="b">
        <x:v>1</x:v>
      </x:c>
      <x:c r="N57" s="2" t="str">
        <x:v>inherited2020anchor</x:v>
      </x:c>
      <x:c r="O57" s="2" t="str"/>
      <x:c r="P57" s="2" t="str">
        <x:v>assumption-based floor-area proxy</x:v>
      </x:c>
      <x:c r="Q57" s="2" t="str">
        <x:v>m2</x:v>
      </x:c>
      <x:c r="R57" s="17" t="n">
        <x:v>602828854.8199993</x:v>
      </x:c>
      <x:c r="S57" s="17"/>
      <x:c r="T57" s="18"/>
      <x:c r="U57" s="17" t="n">
        <x:v>602828854.8199993</x:v>
      </x:c>
      <x:c r="V57" s="2" t="str">
        <x:v>existing saved physical-floor-area proxy</x:v>
      </x:c>
      <x:c r="W57" s="2" t="str">
        <x:v>legacy_epoch_source_QA_passed; new_common_native_support_not_certified</x:v>
      </x:c>
      <x:c r="X57" s="2" t="str">
        <x:v>https://arxiv.org/abs/2511.12104</x:v>
      </x:c>
    </x:row>
    <x:row r="58" ht="23" customHeight="1">
      <x:c r="A58" s="2" t="str">
        <x:v>CMR</x:v>
      </x:c>
      <x:c r="B58" s="2" t="str">
        <x:v>Cameroon (Republic of)</x:v>
      </x:c>
      <x:c r="C58" s="2" t="n">
        <x:v>2020</x:v>
      </x:c>
      <x:c r="D58" s="2" t="str">
        <x:v>TEMPO_PROXY</x:v>
      </x:c>
      <x:c r="E58" s="17" t="n">
        <x:v>577057207.8100005</x:v>
      </x:c>
      <x:c r="F58" s="17" t="n">
        <x:f>IF(AND(M58,ISNUMBER(R58)),IF(D58="TEMPO_PROXY",R58,IF(AND(ISNUMBER(S58),S58&gt;0,ISNUMBER(U58)),U58*R58/S58,"n.a.")),"n.a.")</x:f>
        <x:v>577057207.8100005</x:v>
      </x:c>
      <x:c r="G58" s="17" t="n">
        <x:f>IF(AND(ISNUMBER(E58),ISNUMBER(F58)),E58-F58,"n.a.")</x:f>
        <x:v>0</x:v>
      </x:c>
      <x:c r="H58" s="15" t="n">
        <x:f>IF(AND(ISNUMBER(E58),ISNUMBER(F58),F58&gt;0),(E58-F58)/F58,"n.a.")</x:f>
        <x:v>0</x:v>
      </x:c>
      <x:c r="I58" s="19" t="n">
        <x:f>IF(ISNUMBER(H58),ABS(H58),"n.a.")</x:f>
        <x:v>0</x:v>
      </x:c>
      <x:c r="J58" s="2" t="str">
        <x:v>available</x:v>
      </x:c>
      <x:c r="K58" s="2" t="n">
        <x:v>1</x:v>
      </x:c>
      <x:c r="L58" s="13" t="b">
        <x:v>1</x:v>
      </x:c>
      <x:c r="M58" s="13" t="b">
        <x:v>1</x:v>
      </x:c>
      <x:c r="N58" s="2" t="str">
        <x:v>inherited2020anchor</x:v>
      </x:c>
      <x:c r="O58" s="2" t="str"/>
      <x:c r="P58" s="2" t="str">
        <x:v>assumption-based floor-area proxy</x:v>
      </x:c>
      <x:c r="Q58" s="2" t="str">
        <x:v>m2</x:v>
      </x:c>
      <x:c r="R58" s="17" t="n">
        <x:v>577057207.8100005</x:v>
      </x:c>
      <x:c r="S58" s="17"/>
      <x:c r="T58" s="18"/>
      <x:c r="U58" s="17" t="n">
        <x:v>577057207.8100005</x:v>
      </x:c>
      <x:c r="V58" s="2" t="str">
        <x:v>existing saved physical-floor-area proxy</x:v>
      </x:c>
      <x:c r="W58" s="2" t="str">
        <x:v>legacy_epoch_source_QA_passed; new_common_native_support_not_certified</x:v>
      </x:c>
      <x:c r="X58" s="2" t="str">
        <x:v>https://arxiv.org/abs/2511.12104</x:v>
      </x:c>
    </x:row>
    <x:row r="59" ht="23" customHeight="1">
      <x:c r="A59" s="2" t="str">
        <x:v>COD</x:v>
      </x:c>
      <x:c r="B59" s="2" t="str">
        <x:v>Congo (Democratic Republic of the)</x:v>
      </x:c>
      <x:c r="C59" s="2" t="n">
        <x:v>2020</x:v>
      </x:c>
      <x:c r="D59" s="2" t="str">
        <x:v>TEMPO_PROXY</x:v>
      </x:c>
      <x:c r="E59" s="17" t="n">
        <x:v>941825698.8399988</x:v>
      </x:c>
      <x:c r="F59" s="17" t="n">
        <x:f>IF(AND(M59,ISNUMBER(R59)),IF(D59="TEMPO_PROXY",R59,IF(AND(ISNUMBER(S59),S59&gt;0,ISNUMBER(U59)),U59*R59/S59,"n.a.")),"n.a.")</x:f>
        <x:v>941825698.8399988</x:v>
      </x:c>
      <x:c r="G59" s="17" t="n">
        <x:f>IF(AND(ISNUMBER(E59),ISNUMBER(F59)),E59-F59,"n.a.")</x:f>
        <x:v>0</x:v>
      </x:c>
      <x:c r="H59" s="15" t="n">
        <x:f>IF(AND(ISNUMBER(E59),ISNUMBER(F59),F59&gt;0),(E59-F59)/F59,"n.a.")</x:f>
        <x:v>0</x:v>
      </x:c>
      <x:c r="I59" s="19" t="n">
        <x:f>IF(ISNUMBER(H59),ABS(H59),"n.a.")</x:f>
        <x:v>0</x:v>
      </x:c>
      <x:c r="J59" s="2" t="str">
        <x:v>available</x:v>
      </x:c>
      <x:c r="K59" s="2" t="n">
        <x:v>1</x:v>
      </x:c>
      <x:c r="L59" s="13" t="b">
        <x:v>1</x:v>
      </x:c>
      <x:c r="M59" s="13" t="b">
        <x:v>1</x:v>
      </x:c>
      <x:c r="N59" s="2" t="str">
        <x:v>inherited2020anchor</x:v>
      </x:c>
      <x:c r="O59" s="2" t="str"/>
      <x:c r="P59" s="2" t="str">
        <x:v>assumption-based floor-area proxy</x:v>
      </x:c>
      <x:c r="Q59" s="2" t="str">
        <x:v>m2</x:v>
      </x:c>
      <x:c r="R59" s="17" t="n">
        <x:v>941825698.8399988</x:v>
      </x:c>
      <x:c r="S59" s="17"/>
      <x:c r="T59" s="18"/>
      <x:c r="U59" s="17" t="n">
        <x:v>941825698.8399988</x:v>
      </x:c>
      <x:c r="V59" s="2" t="str">
        <x:v>existing saved physical-floor-area proxy</x:v>
      </x:c>
      <x:c r="W59" s="2" t="str">
        <x:v>legacy_epoch_source_QA_passed; new_common_native_support_not_certified</x:v>
      </x:c>
      <x:c r="X59" s="2" t="str">
        <x:v>https://arxiv.org/abs/2511.12104</x:v>
      </x:c>
    </x:row>
    <x:row r="60" ht="23" customHeight="1">
      <x:c r="A60" s="2" t="str">
        <x:v>COG</x:v>
      </x:c>
      <x:c r="B60" s="2" t="str">
        <x:v>Congo (Republic of the)</x:v>
      </x:c>
      <x:c r="C60" s="2" t="n">
        <x:v>2020</x:v>
      </x:c>
      <x:c r="D60" s="2" t="str">
        <x:v>TEMPO_PROXY</x:v>
      </x:c>
      <x:c r="E60" s="17" t="n">
        <x:v>110620071.65000013</x:v>
      </x:c>
      <x:c r="F60" s="17" t="n">
        <x:f>IF(AND(M60,ISNUMBER(R60)),IF(D60="TEMPO_PROXY",R60,IF(AND(ISNUMBER(S60),S60&gt;0,ISNUMBER(U60)),U60*R60/S60,"n.a.")),"n.a.")</x:f>
        <x:v>110620071.65000013</x:v>
      </x:c>
      <x:c r="G60" s="17" t="n">
        <x:f>IF(AND(ISNUMBER(E60),ISNUMBER(F60)),E60-F60,"n.a.")</x:f>
        <x:v>0</x:v>
      </x:c>
      <x:c r="H60" s="15" t="n">
        <x:f>IF(AND(ISNUMBER(E60),ISNUMBER(F60),F60&gt;0),(E60-F60)/F60,"n.a.")</x:f>
        <x:v>0</x:v>
      </x:c>
      <x:c r="I60" s="19" t="n">
        <x:f>IF(ISNUMBER(H60),ABS(H60),"n.a.")</x:f>
        <x:v>0</x:v>
      </x:c>
      <x:c r="J60" s="2" t="str">
        <x:v>available</x:v>
      </x:c>
      <x:c r="K60" s="2" t="n">
        <x:v>1</x:v>
      </x:c>
      <x:c r="L60" s="13" t="b">
        <x:v>1</x:v>
      </x:c>
      <x:c r="M60" s="13" t="b">
        <x:v>1</x:v>
      </x:c>
      <x:c r="N60" s="2" t="str">
        <x:v>inherited2020anchor</x:v>
      </x:c>
      <x:c r="O60" s="2" t="str"/>
      <x:c r="P60" s="2" t="str">
        <x:v>assumption-based floor-area proxy</x:v>
      </x:c>
      <x:c r="Q60" s="2" t="str">
        <x:v>m2</x:v>
      </x:c>
      <x:c r="R60" s="17" t="n">
        <x:v>110620071.65000013</x:v>
      </x:c>
      <x:c r="S60" s="17"/>
      <x:c r="T60" s="18"/>
      <x:c r="U60" s="17" t="n">
        <x:v>110620071.65000013</x:v>
      </x:c>
      <x:c r="V60" s="2" t="str">
        <x:v>existing saved physical-floor-area proxy</x:v>
      </x:c>
      <x:c r="W60" s="2" t="str">
        <x:v>legacy_epoch_source_QA_passed; new_common_native_support_not_certified</x:v>
      </x:c>
      <x:c r="X60" s="2" t="str">
        <x:v>https://arxiv.org/abs/2511.12104</x:v>
      </x:c>
    </x:row>
    <x:row r="61" ht="23" customHeight="1">
      <x:c r="A61" s="2" t="str">
        <x:v>COL</x:v>
      </x:c>
      <x:c r="B61" s="2" t="str">
        <x:v>Colombia (Republic of)</x:v>
      </x:c>
      <x:c r="C61" s="2" t="n">
        <x:v>2020</x:v>
      </x:c>
      <x:c r="D61" s="2" t="str">
        <x:v>TEMPO_PROXY</x:v>
      </x:c>
      <x:c r="E61" s="17" t="n">
        <x:v>1505534156.3100014</x:v>
      </x:c>
      <x:c r="F61" s="17" t="n">
        <x:f>IF(AND(M61,ISNUMBER(R61)),IF(D61="TEMPO_PROXY",R61,IF(AND(ISNUMBER(S61),S61&gt;0,ISNUMBER(U61)),U61*R61/S61,"n.a.")),"n.a.")</x:f>
        <x:v>1505534156.3100014</x:v>
      </x:c>
      <x:c r="G61" s="17" t="n">
        <x:f>IF(AND(ISNUMBER(E61),ISNUMBER(F61)),E61-F61,"n.a.")</x:f>
        <x:v>0</x:v>
      </x:c>
      <x:c r="H61" s="15" t="n">
        <x:f>IF(AND(ISNUMBER(E61),ISNUMBER(F61),F61&gt;0),(E61-F61)/F61,"n.a.")</x:f>
        <x:v>0</x:v>
      </x:c>
      <x:c r="I61" s="19" t="n">
        <x:f>IF(ISNUMBER(H61),ABS(H61),"n.a.")</x:f>
        <x:v>0</x:v>
      </x:c>
      <x:c r="J61" s="2" t="str">
        <x:v>available</x:v>
      </x:c>
      <x:c r="K61" s="2" t="n">
        <x:v>1</x:v>
      </x:c>
      <x:c r="L61" s="13" t="b">
        <x:v>1</x:v>
      </x:c>
      <x:c r="M61" s="13" t="b">
        <x:v>1</x:v>
      </x:c>
      <x:c r="N61" s="2" t="str">
        <x:v>inherited2020anchor</x:v>
      </x:c>
      <x:c r="O61" s="2" t="str"/>
      <x:c r="P61" s="2" t="str">
        <x:v>assumption-based floor-area proxy</x:v>
      </x:c>
      <x:c r="Q61" s="2" t="str">
        <x:v>m2</x:v>
      </x:c>
      <x:c r="R61" s="17" t="n">
        <x:v>1505534156.3100014</x:v>
      </x:c>
      <x:c r="S61" s="17"/>
      <x:c r="T61" s="18"/>
      <x:c r="U61" s="17" t="n">
        <x:v>1505534156.3100014</x:v>
      </x:c>
      <x:c r="V61" s="2" t="str">
        <x:v>existing saved physical-floor-area proxy</x:v>
      </x:c>
      <x:c r="W61" s="2" t="str">
        <x:v>legacy_epoch_source_QA_passed; new_common_native_support_not_certified</x:v>
      </x:c>
      <x:c r="X61" s="2" t="str">
        <x:v>https://arxiv.org/abs/2511.12104</x:v>
      </x:c>
    </x:row>
    <x:row r="62" ht="23" customHeight="1">
      <x:c r="A62" s="2" t="str">
        <x:v>COM</x:v>
      </x:c>
      <x:c r="B62" s="2" t="str">
        <x:v>Comoros (Union of the)</x:v>
      </x:c>
      <x:c r="C62" s="2" t="n">
        <x:v>2020</x:v>
      </x:c>
      <x:c r="D62" s="2" t="str">
        <x:v>TEMPO_PROXY</x:v>
      </x:c>
      <x:c r="E62" s="17" t="n">
        <x:v>18035090.40999997</x:v>
      </x:c>
      <x:c r="F62" s="17" t="n">
        <x:f>IF(AND(M62,ISNUMBER(R62)),IF(D62="TEMPO_PROXY",R62,IF(AND(ISNUMBER(S62),S62&gt;0,ISNUMBER(U62)),U62*R62/S62,"n.a.")),"n.a.")</x:f>
        <x:v>18035090.40999997</x:v>
      </x:c>
      <x:c r="G62" s="17" t="n">
        <x:f>IF(AND(ISNUMBER(E62),ISNUMBER(F62)),E62-F62,"n.a.")</x:f>
        <x:v>0</x:v>
      </x:c>
      <x:c r="H62" s="15" t="n">
        <x:f>IF(AND(ISNUMBER(E62),ISNUMBER(F62),F62&gt;0),(E62-F62)/F62,"n.a.")</x:f>
        <x:v>0</x:v>
      </x:c>
      <x:c r="I62" s="19" t="n">
        <x:f>IF(ISNUMBER(H62),ABS(H62),"n.a.")</x:f>
        <x:v>0</x:v>
      </x:c>
      <x:c r="J62" s="2" t="str">
        <x:v>available</x:v>
      </x:c>
      <x:c r="K62" s="2" t="n">
        <x:v>1</x:v>
      </x:c>
      <x:c r="L62" s="13" t="b">
        <x:v>1</x:v>
      </x:c>
      <x:c r="M62" s="13" t="b">
        <x:v>1</x:v>
      </x:c>
      <x:c r="N62" s="2" t="str">
        <x:v>inherited2020anchor</x:v>
      </x:c>
      <x:c r="O62" s="2" t="str"/>
      <x:c r="P62" s="2" t="str">
        <x:v>assumption-based floor-area proxy</x:v>
      </x:c>
      <x:c r="Q62" s="2" t="str">
        <x:v>m2</x:v>
      </x:c>
      <x:c r="R62" s="17" t="n">
        <x:v>18035090.40999997</x:v>
      </x:c>
      <x:c r="S62" s="17"/>
      <x:c r="T62" s="18"/>
      <x:c r="U62" s="17" t="n">
        <x:v>18035090.40999997</x:v>
      </x:c>
      <x:c r="V62" s="2" t="str">
        <x:v>existing saved physical-floor-area proxy</x:v>
      </x:c>
      <x:c r="W62" s="2" t="str">
        <x:v>legacy_epoch_source_QA_passed; new_common_native_support_not_certified</x:v>
      </x:c>
      <x:c r="X62" s="2" t="str">
        <x:v>https://arxiv.org/abs/2511.12104</x:v>
      </x:c>
    </x:row>
    <x:row r="63" ht="23" customHeight="1">
      <x:c r="A63" s="2" t="str">
        <x:v>CPV</x:v>
      </x:c>
      <x:c r="B63" s="2" t="str">
        <x:v>Cabo Verde (Republic of)</x:v>
      </x:c>
      <x:c r="C63" s="2" t="n">
        <x:v>2020</x:v>
      </x:c>
      <x:c r="D63" s="2" t="str">
        <x:v>TEMPO_PROXY</x:v>
      </x:c>
      <x:c r="E63" s="17" t="n">
        <x:v>21833832.63999998</x:v>
      </x:c>
      <x:c r="F63" s="17" t="n">
        <x:f>IF(AND(M63,ISNUMBER(R63)),IF(D63="TEMPO_PROXY",R63,IF(AND(ISNUMBER(S63),S63&gt;0,ISNUMBER(U63)),U63*R63/S63,"n.a.")),"n.a.")</x:f>
        <x:v>21833832.63999998</x:v>
      </x:c>
      <x:c r="G63" s="17" t="n">
        <x:f>IF(AND(ISNUMBER(E63),ISNUMBER(F63)),E63-F63,"n.a.")</x:f>
        <x:v>0</x:v>
      </x:c>
      <x:c r="H63" s="15" t="n">
        <x:f>IF(AND(ISNUMBER(E63),ISNUMBER(F63),F63&gt;0),(E63-F63)/F63,"n.a.")</x:f>
        <x:v>0</x:v>
      </x:c>
      <x:c r="I63" s="19" t="n">
        <x:f>IF(ISNUMBER(H63),ABS(H63),"n.a.")</x:f>
        <x:v>0</x:v>
      </x:c>
      <x:c r="J63" s="2" t="str">
        <x:v>available</x:v>
      </x:c>
      <x:c r="K63" s="2" t="n">
        <x:v>1</x:v>
      </x:c>
      <x:c r="L63" s="13" t="b">
        <x:v>1</x:v>
      </x:c>
      <x:c r="M63" s="13" t="b">
        <x:v>1</x:v>
      </x:c>
      <x:c r="N63" s="2" t="str">
        <x:v>inherited2020anchor</x:v>
      </x:c>
      <x:c r="O63" s="2" t="str"/>
      <x:c r="P63" s="2" t="str">
        <x:v>assumption-based floor-area proxy</x:v>
      </x:c>
      <x:c r="Q63" s="2" t="str">
        <x:v>m2</x:v>
      </x:c>
      <x:c r="R63" s="17" t="n">
        <x:v>21833832.63999998</x:v>
      </x:c>
      <x:c r="S63" s="17"/>
      <x:c r="T63" s="18"/>
      <x:c r="U63" s="17" t="n">
        <x:v>21833832.63999998</x:v>
      </x:c>
      <x:c r="V63" s="2" t="str">
        <x:v>existing saved physical-floor-area proxy</x:v>
      </x:c>
      <x:c r="W63" s="2" t="str">
        <x:v>legacy_epoch_source_QA_passed; new_common_native_support_not_certified</x:v>
      </x:c>
      <x:c r="X63" s="2" t="str">
        <x:v>https://arxiv.org/abs/2511.12104</x:v>
      </x:c>
    </x:row>
    <x:row r="64" ht="23" customHeight="1">
      <x:c r="A64" s="2" t="str">
        <x:v>CRI</x:v>
      </x:c>
      <x:c r="B64" s="2" t="str">
        <x:v>Costa Rica (Republic of)</x:v>
      </x:c>
      <x:c r="C64" s="2" t="n">
        <x:v>2020</x:v>
      </x:c>
      <x:c r="D64" s="2" t="str">
        <x:v>TEMPO_PROXY</x:v>
      </x:c>
      <x:c r="E64" s="17" t="n">
        <x:v>284786315.38999987</x:v>
      </x:c>
      <x:c r="F64" s="17" t="n">
        <x:f>IF(AND(M64,ISNUMBER(R64)),IF(D64="TEMPO_PROXY",R64,IF(AND(ISNUMBER(S64),S64&gt;0,ISNUMBER(U64)),U64*R64/S64,"n.a.")),"n.a.")</x:f>
        <x:v>284786315.38999987</x:v>
      </x:c>
      <x:c r="G64" s="17" t="n">
        <x:f>IF(AND(ISNUMBER(E64),ISNUMBER(F64)),E64-F64,"n.a.")</x:f>
        <x:v>0</x:v>
      </x:c>
      <x:c r="H64" s="15" t="n">
        <x:f>IF(AND(ISNUMBER(E64),ISNUMBER(F64),F64&gt;0),(E64-F64)/F64,"n.a.")</x:f>
        <x:v>0</x:v>
      </x:c>
      <x:c r="I64" s="19" t="n">
        <x:f>IF(ISNUMBER(H64),ABS(H64),"n.a.")</x:f>
        <x:v>0</x:v>
      </x:c>
      <x:c r="J64" s="2" t="str">
        <x:v>available</x:v>
      </x:c>
      <x:c r="K64" s="2" t="n">
        <x:v>1</x:v>
      </x:c>
      <x:c r="L64" s="13" t="b">
        <x:v>1</x:v>
      </x:c>
      <x:c r="M64" s="13" t="b">
        <x:v>1</x:v>
      </x:c>
      <x:c r="N64" s="2" t="str">
        <x:v>inherited2020anchor</x:v>
      </x:c>
      <x:c r="O64" s="2" t="str"/>
      <x:c r="P64" s="2" t="str">
        <x:v>assumption-based floor-area proxy</x:v>
      </x:c>
      <x:c r="Q64" s="2" t="str">
        <x:v>m2</x:v>
      </x:c>
      <x:c r="R64" s="17" t="n">
        <x:v>284786315.38999987</x:v>
      </x:c>
      <x:c r="S64" s="17"/>
      <x:c r="T64" s="18"/>
      <x:c r="U64" s="17" t="n">
        <x:v>284786315.38999987</x:v>
      </x:c>
      <x:c r="V64" s="2" t="str">
        <x:v>existing saved physical-floor-area proxy</x:v>
      </x:c>
      <x:c r="W64" s="2" t="str">
        <x:v>legacy_epoch_source_QA_passed; new_common_native_support_not_certified</x:v>
      </x:c>
      <x:c r="X64" s="2" t="str">
        <x:v>https://arxiv.org/abs/2511.12104</x:v>
      </x:c>
    </x:row>
    <x:row r="65" ht="23" customHeight="1">
      <x:c r="A65" s="2" t="str">
        <x:v>CUB</x:v>
      </x:c>
      <x:c r="B65" s="2" t="str">
        <x:v>Cuba (Republic of)</x:v>
      </x:c>
      <x:c r="C65" s="2" t="n">
        <x:v>2020</x:v>
      </x:c>
      <x:c r="D65" s="2" t="str">
        <x:v>TEMPO_PROXY</x:v>
      </x:c>
      <x:c r="E65" s="17" t="n">
        <x:v>360088927.4199998</x:v>
      </x:c>
      <x:c r="F65" s="17" t="n">
        <x:f>IF(AND(M65,ISNUMBER(R65)),IF(D65="TEMPO_PROXY",R65,IF(AND(ISNUMBER(S65),S65&gt;0,ISNUMBER(U65)),U65*R65/S65,"n.a.")),"n.a.")</x:f>
        <x:v>360088927.4199998</x:v>
      </x:c>
      <x:c r="G65" s="17" t="n">
        <x:f>IF(AND(ISNUMBER(E65),ISNUMBER(F65)),E65-F65,"n.a.")</x:f>
        <x:v>0</x:v>
      </x:c>
      <x:c r="H65" s="15" t="n">
        <x:f>IF(AND(ISNUMBER(E65),ISNUMBER(F65),F65&gt;0),(E65-F65)/F65,"n.a.")</x:f>
        <x:v>0</x:v>
      </x:c>
      <x:c r="I65" s="19" t="n">
        <x:f>IF(ISNUMBER(H65),ABS(H65),"n.a.")</x:f>
        <x:v>0</x:v>
      </x:c>
      <x:c r="J65" s="2" t="str">
        <x:v>available</x:v>
      </x:c>
      <x:c r="K65" s="2" t="n">
        <x:v>1</x:v>
      </x:c>
      <x:c r="L65" s="13" t="b">
        <x:v>1</x:v>
      </x:c>
      <x:c r="M65" s="13" t="b">
        <x:v>1</x:v>
      </x:c>
      <x:c r="N65" s="2" t="str">
        <x:v>inherited2020anchor</x:v>
      </x:c>
      <x:c r="O65" s="2" t="str"/>
      <x:c r="P65" s="2" t="str">
        <x:v>assumption-based floor-area proxy</x:v>
      </x:c>
      <x:c r="Q65" s="2" t="str">
        <x:v>m2</x:v>
      </x:c>
      <x:c r="R65" s="17" t="n">
        <x:v>360088927.4199998</x:v>
      </x:c>
      <x:c r="S65" s="17"/>
      <x:c r="T65" s="18"/>
      <x:c r="U65" s="17" t="n">
        <x:v>360088927.4199998</x:v>
      </x:c>
      <x:c r="V65" s="2" t="str">
        <x:v>existing saved physical-floor-area proxy</x:v>
      </x:c>
      <x:c r="W65" s="2" t="str">
        <x:v>legacy_epoch_source_QA_passed; new_common_native_support_not_certified</x:v>
      </x:c>
      <x:c r="X65" s="2" t="str">
        <x:v>https://arxiv.org/abs/2511.12104</x:v>
      </x:c>
    </x:row>
    <x:row r="66" ht="23" customHeight="1">
      <x:c r="A66" s="2" t="str">
        <x:v>CYP</x:v>
      </x:c>
      <x:c r="B66" s="2" t="str">
        <x:v>Cyprus (Republic of)</x:v>
      </x:c>
      <x:c r="C66" s="2" t="n">
        <x:v>2020</x:v>
      </x:c>
      <x:c r="D66" s="2" t="str">
        <x:v>TEMPO_PROXY</x:v>
      </x:c>
      <x:c r="E66" s="17" t="n">
        <x:v>124124771.75000016</x:v>
      </x:c>
      <x:c r="F66" s="17" t="n">
        <x:f>IF(AND(M66,ISNUMBER(R66)),IF(D66="TEMPO_PROXY",R66,IF(AND(ISNUMBER(S66),S66&gt;0,ISNUMBER(U66)),U66*R66/S66,"n.a.")),"n.a.")</x:f>
        <x:v>124124771.75000016</x:v>
      </x:c>
      <x:c r="G66" s="17" t="n">
        <x:f>IF(AND(ISNUMBER(E66),ISNUMBER(F66)),E66-F66,"n.a.")</x:f>
        <x:v>0</x:v>
      </x:c>
      <x:c r="H66" s="15" t="n">
        <x:f>IF(AND(ISNUMBER(E66),ISNUMBER(F66),F66&gt;0),(E66-F66)/F66,"n.a.")</x:f>
        <x:v>0</x:v>
      </x:c>
      <x:c r="I66" s="19" t="n">
        <x:f>IF(ISNUMBER(H66),ABS(H66),"n.a.")</x:f>
        <x:v>0</x:v>
      </x:c>
      <x:c r="J66" s="2" t="str">
        <x:v>available</x:v>
      </x:c>
      <x:c r="K66" s="2" t="n">
        <x:v>1</x:v>
      </x:c>
      <x:c r="L66" s="13" t="b">
        <x:v>1</x:v>
      </x:c>
      <x:c r="M66" s="13" t="b">
        <x:v>1</x:v>
      </x:c>
      <x:c r="N66" s="2" t="str">
        <x:v>inherited2020anchor</x:v>
      </x:c>
      <x:c r="O66" s="2" t="str"/>
      <x:c r="P66" s="2" t="str">
        <x:v>assumption-based floor-area proxy</x:v>
      </x:c>
      <x:c r="Q66" s="2" t="str">
        <x:v>m2</x:v>
      </x:c>
      <x:c r="R66" s="17" t="n">
        <x:v>124124771.75000016</x:v>
      </x:c>
      <x:c r="S66" s="17"/>
      <x:c r="T66" s="18"/>
      <x:c r="U66" s="17" t="n">
        <x:v>124124771.75000016</x:v>
      </x:c>
      <x:c r="V66" s="2" t="str">
        <x:v>existing saved physical-floor-area proxy</x:v>
      </x:c>
      <x:c r="W66" s="2" t="str">
        <x:v>legacy_epoch_source_QA_passed; new_common_native_support_not_certified</x:v>
      </x:c>
      <x:c r="X66" s="2" t="str">
        <x:v>https://arxiv.org/abs/2511.12104</x:v>
      </x:c>
    </x:row>
    <x:row r="67" ht="23" customHeight="1">
      <x:c r="A67" s="2" t="str">
        <x:v>CZE</x:v>
      </x:c>
      <x:c r="B67" s="2" t="str">
        <x:v>Czechia (Czech Republic)</x:v>
      </x:c>
      <x:c r="C67" s="2" t="n">
        <x:v>2020</x:v>
      </x:c>
      <x:c r="D67" s="2" t="str">
        <x:v>TEMPO_PROXY</x:v>
      </x:c>
      <x:c r="E67" s="17" t="n">
        <x:v>853858176.0500003</x:v>
      </x:c>
      <x:c r="F67" s="17" t="n">
        <x:f>IF(AND(M67,ISNUMBER(R67)),IF(D67="TEMPO_PROXY",R67,IF(AND(ISNUMBER(S67),S67&gt;0,ISNUMBER(U67)),U67*R67/S67,"n.a.")),"n.a.")</x:f>
        <x:v>853858176.0500003</x:v>
      </x:c>
      <x:c r="G67" s="17" t="n">
        <x:f>IF(AND(ISNUMBER(E67),ISNUMBER(F67)),E67-F67,"n.a.")</x:f>
        <x:v>0</x:v>
      </x:c>
      <x:c r="H67" s="15" t="n">
        <x:f>IF(AND(ISNUMBER(E67),ISNUMBER(F67),F67&gt;0),(E67-F67)/F67,"n.a.")</x:f>
        <x:v>0</x:v>
      </x:c>
      <x:c r="I67" s="19" t="n">
        <x:f>IF(ISNUMBER(H67),ABS(H67),"n.a.")</x:f>
        <x:v>0</x:v>
      </x:c>
      <x:c r="J67" s="2" t="str">
        <x:v>available</x:v>
      </x:c>
      <x:c r="K67" s="2" t="n">
        <x:v>1</x:v>
      </x:c>
      <x:c r="L67" s="13" t="b">
        <x:v>1</x:v>
      </x:c>
      <x:c r="M67" s="13" t="b">
        <x:v>1</x:v>
      </x:c>
      <x:c r="N67" s="2" t="str">
        <x:v>inherited2020anchor</x:v>
      </x:c>
      <x:c r="O67" s="2" t="str"/>
      <x:c r="P67" s="2" t="str">
        <x:v>assumption-based floor-area proxy</x:v>
      </x:c>
      <x:c r="Q67" s="2" t="str">
        <x:v>m2</x:v>
      </x:c>
      <x:c r="R67" s="17" t="n">
        <x:v>853858176.0500003</x:v>
      </x:c>
      <x:c r="S67" s="17"/>
      <x:c r="T67" s="18"/>
      <x:c r="U67" s="17" t="n">
        <x:v>853858176.0500003</x:v>
      </x:c>
      <x:c r="V67" s="2" t="str">
        <x:v>existing saved physical-floor-area proxy</x:v>
      </x:c>
      <x:c r="W67" s="2" t="str">
        <x:v>legacy_epoch_source_QA_passed; new_common_native_support_not_certified</x:v>
      </x:c>
      <x:c r="X67" s="2" t="str">
        <x:v>https://arxiv.org/abs/2511.12104</x:v>
      </x:c>
    </x:row>
    <x:row r="68" ht="23" customHeight="1">
      <x:c r="A68" s="2" t="str">
        <x:v>DEU</x:v>
      </x:c>
      <x:c r="B68" s="2" t="str">
        <x:v>Germany (Federal Republic of)</x:v>
      </x:c>
      <x:c r="C68" s="2" t="n">
        <x:v>2020</x:v>
      </x:c>
      <x:c r="D68" s="2" t="str">
        <x:v>TEMPO_PROXY</x:v>
      </x:c>
      <x:c r="E68" s="17" t="n">
        <x:v>6611215465.220001</x:v>
      </x:c>
      <x:c r="F68" s="17" t="n">
        <x:f>IF(AND(M68,ISNUMBER(R68)),IF(D68="TEMPO_PROXY",R68,IF(AND(ISNUMBER(S68),S68&gt;0,ISNUMBER(U68)),U68*R68/S68,"n.a.")),"n.a.")</x:f>
        <x:v>6611215465.220001</x:v>
      </x:c>
      <x:c r="G68" s="17" t="n">
        <x:f>IF(AND(ISNUMBER(E68),ISNUMBER(F68)),E68-F68,"n.a.")</x:f>
        <x:v>0</x:v>
      </x:c>
      <x:c r="H68" s="15" t="n">
        <x:f>IF(AND(ISNUMBER(E68),ISNUMBER(F68),F68&gt;0),(E68-F68)/F68,"n.a.")</x:f>
        <x:v>0</x:v>
      </x:c>
      <x:c r="I68" s="19" t="n">
        <x:f>IF(ISNUMBER(H68),ABS(H68),"n.a.")</x:f>
        <x:v>0</x:v>
      </x:c>
      <x:c r="J68" s="2" t="str">
        <x:v>available</x:v>
      </x:c>
      <x:c r="K68" s="2" t="n">
        <x:v>1</x:v>
      </x:c>
      <x:c r="L68" s="13" t="b">
        <x:v>1</x:v>
      </x:c>
      <x:c r="M68" s="13" t="b">
        <x:v>1</x:v>
      </x:c>
      <x:c r="N68" s="2" t="str">
        <x:v>inherited2020anchor</x:v>
      </x:c>
      <x:c r="O68" s="2" t="str"/>
      <x:c r="P68" s="2" t="str">
        <x:v>assumption-based floor-area proxy</x:v>
      </x:c>
      <x:c r="Q68" s="2" t="str">
        <x:v>m2</x:v>
      </x:c>
      <x:c r="R68" s="17" t="n">
        <x:v>6611215465.220001</x:v>
      </x:c>
      <x:c r="S68" s="17"/>
      <x:c r="T68" s="18"/>
      <x:c r="U68" s="17" t="n">
        <x:v>6611215465.220001</x:v>
      </x:c>
      <x:c r="V68" s="2" t="str">
        <x:v>existing saved physical-floor-area proxy</x:v>
      </x:c>
      <x:c r="W68" s="2" t="str">
        <x:v>legacy_epoch_source_QA_passed; new_common_native_support_not_certified</x:v>
      </x:c>
      <x:c r="X68" s="2" t="str">
        <x:v>https://arxiv.org/abs/2511.12104</x:v>
      </x:c>
    </x:row>
    <x:row r="69" ht="23" customHeight="1">
      <x:c r="A69" s="2" t="str">
        <x:v>DJI</x:v>
      </x:c>
      <x:c r="B69" s="2" t="str">
        <x:v>Djibouti (Republic of)</x:v>
      </x:c>
      <x:c r="C69" s="2" t="n">
        <x:v>2020</x:v>
      </x:c>
      <x:c r="D69" s="2" t="str">
        <x:v>TEMPO_PROXY</x:v>
      </x:c>
      <x:c r="E69" s="17" t="n">
        <x:v>12588327.629999984</x:v>
      </x:c>
      <x:c r="F69" s="17" t="n">
        <x:f>IF(AND(M69,ISNUMBER(R69)),IF(D69="TEMPO_PROXY",R69,IF(AND(ISNUMBER(S69),S69&gt;0,ISNUMBER(U69)),U69*R69/S69,"n.a.")),"n.a.")</x:f>
        <x:v>12588327.629999984</x:v>
      </x:c>
      <x:c r="G69" s="17" t="n">
        <x:f>IF(AND(ISNUMBER(E69),ISNUMBER(F69)),E69-F69,"n.a.")</x:f>
        <x:v>0</x:v>
      </x:c>
      <x:c r="H69" s="15" t="n">
        <x:f>IF(AND(ISNUMBER(E69),ISNUMBER(F69),F69&gt;0),(E69-F69)/F69,"n.a.")</x:f>
        <x:v>0</x:v>
      </x:c>
      <x:c r="I69" s="19" t="n">
        <x:f>IF(ISNUMBER(H69),ABS(H69),"n.a.")</x:f>
        <x:v>0</x:v>
      </x:c>
      <x:c r="J69" s="2" t="str">
        <x:v>available</x:v>
      </x:c>
      <x:c r="K69" s="2" t="n">
        <x:v>1</x:v>
      </x:c>
      <x:c r="L69" s="13" t="b">
        <x:v>1</x:v>
      </x:c>
      <x:c r="M69" s="13" t="b">
        <x:v>1</x:v>
      </x:c>
      <x:c r="N69" s="2" t="str">
        <x:v>inherited2020anchor</x:v>
      </x:c>
      <x:c r="O69" s="2" t="str"/>
      <x:c r="P69" s="2" t="str">
        <x:v>assumption-based floor-area proxy</x:v>
      </x:c>
      <x:c r="Q69" s="2" t="str">
        <x:v>m2</x:v>
      </x:c>
      <x:c r="R69" s="17" t="n">
        <x:v>12588327.629999984</x:v>
      </x:c>
      <x:c r="S69" s="17"/>
      <x:c r="T69" s="18"/>
      <x:c r="U69" s="17" t="n">
        <x:v>12588327.629999984</x:v>
      </x:c>
      <x:c r="V69" s="2" t="str">
        <x:v>existing saved physical-floor-area proxy</x:v>
      </x:c>
      <x:c r="W69" s="2" t="str">
        <x:v>legacy_epoch_source_QA_passed; new_common_native_support_not_certified</x:v>
      </x:c>
      <x:c r="X69" s="2" t="str">
        <x:v>https://arxiv.org/abs/2511.12104</x:v>
      </x:c>
    </x:row>
    <x:row r="70" ht="23" customHeight="1">
      <x:c r="A70" s="2" t="str">
        <x:v>DMA</x:v>
      </x:c>
      <x:c r="B70" s="2" t="str">
        <x:v>Dominica (Commonwealth of)</x:v>
      </x:c>
      <x:c r="C70" s="2" t="n">
        <x:v>2020</x:v>
      </x:c>
      <x:c r="D70" s="2" t="str">
        <x:v>TEMPO_PROXY</x:v>
      </x:c>
      <x:c r="E70" s="17" t="n">
        <x:v>3947192.6899999985</x:v>
      </x:c>
      <x:c r="F70" s="17" t="n">
        <x:f>IF(AND(M70,ISNUMBER(R70)),IF(D70="TEMPO_PROXY",R70,IF(AND(ISNUMBER(S70),S70&gt;0,ISNUMBER(U70)),U70*R70/S70,"n.a.")),"n.a.")</x:f>
        <x:v>3947192.6899999985</x:v>
      </x:c>
      <x:c r="G70" s="17" t="n">
        <x:f>IF(AND(ISNUMBER(E70),ISNUMBER(F70)),E70-F70,"n.a.")</x:f>
        <x:v>0</x:v>
      </x:c>
      <x:c r="H70" s="15" t="n">
        <x:f>IF(AND(ISNUMBER(E70),ISNUMBER(F70),F70&gt;0),(E70-F70)/F70,"n.a.")</x:f>
        <x:v>0</x:v>
      </x:c>
      <x:c r="I70" s="19" t="n">
        <x:f>IF(ISNUMBER(H70),ABS(H70),"n.a.")</x:f>
        <x:v>0</x:v>
      </x:c>
      <x:c r="J70" s="2" t="str">
        <x:v>available</x:v>
      </x:c>
      <x:c r="K70" s="2" t="n">
        <x:v>1</x:v>
      </x:c>
      <x:c r="L70" s="13" t="b">
        <x:v>1</x:v>
      </x:c>
      <x:c r="M70" s="13" t="b">
        <x:v>1</x:v>
      </x:c>
      <x:c r="N70" s="2" t="str">
        <x:v>inherited2020anchor</x:v>
      </x:c>
      <x:c r="O70" s="2" t="str"/>
      <x:c r="P70" s="2" t="str">
        <x:v>assumption-based floor-area proxy</x:v>
      </x:c>
      <x:c r="Q70" s="2" t="str">
        <x:v>m2</x:v>
      </x:c>
      <x:c r="R70" s="17" t="n">
        <x:v>3947192.6899999985</x:v>
      </x:c>
      <x:c r="S70" s="17"/>
      <x:c r="T70" s="18"/>
      <x:c r="U70" s="17" t="n">
        <x:v>3947192.6899999985</x:v>
      </x:c>
      <x:c r="V70" s="2" t="str">
        <x:v>existing saved physical-floor-area proxy</x:v>
      </x:c>
      <x:c r="W70" s="2" t="str">
        <x:v>legacy_epoch_source_QA_passed; new_common_native_support_not_certified</x:v>
      </x:c>
      <x:c r="X70" s="2" t="str">
        <x:v>https://arxiv.org/abs/2511.12104</x:v>
      </x:c>
    </x:row>
    <x:row r="71" ht="23" customHeight="1">
      <x:c r="A71" s="2" t="str">
        <x:v>DNK</x:v>
      </x:c>
      <x:c r="B71" s="2" t="str">
        <x:v>Denmark (Kingdom of)</x:v>
      </x:c>
      <x:c r="C71" s="2" t="n">
        <x:v>2020</x:v>
      </x:c>
      <x:c r="D71" s="2" t="str">
        <x:v>TEMPO_PROXY</x:v>
      </x:c>
      <x:c r="E71" s="17" t="n">
        <x:v>665059716.8900009</x:v>
      </x:c>
      <x:c r="F71" s="17" t="n">
        <x:f>IF(AND(M71,ISNUMBER(R71)),IF(D71="TEMPO_PROXY",R71,IF(AND(ISNUMBER(S71),S71&gt;0,ISNUMBER(U71)),U71*R71/S71,"n.a.")),"n.a.")</x:f>
        <x:v>665059716.8900009</x:v>
      </x:c>
      <x:c r="G71" s="17" t="n">
        <x:f>IF(AND(ISNUMBER(E71),ISNUMBER(F71)),E71-F71,"n.a.")</x:f>
        <x:v>0</x:v>
      </x:c>
      <x:c r="H71" s="15" t="n">
        <x:f>IF(AND(ISNUMBER(E71),ISNUMBER(F71),F71&gt;0),(E71-F71)/F71,"n.a.")</x:f>
        <x:v>0</x:v>
      </x:c>
      <x:c r="I71" s="19" t="n">
        <x:f>IF(ISNUMBER(H71),ABS(H71),"n.a.")</x:f>
        <x:v>0</x:v>
      </x:c>
      <x:c r="J71" s="2" t="str">
        <x:v>available</x:v>
      </x:c>
      <x:c r="K71" s="2" t="n">
        <x:v>1</x:v>
      </x:c>
      <x:c r="L71" s="13" t="b">
        <x:v>1</x:v>
      </x:c>
      <x:c r="M71" s="13" t="b">
        <x:v>1</x:v>
      </x:c>
      <x:c r="N71" s="2" t="str">
        <x:v>inherited2020anchor</x:v>
      </x:c>
      <x:c r="O71" s="2" t="str"/>
      <x:c r="P71" s="2" t="str">
        <x:v>assumption-based floor-area proxy</x:v>
      </x:c>
      <x:c r="Q71" s="2" t="str">
        <x:v>m2</x:v>
      </x:c>
      <x:c r="R71" s="17" t="n">
        <x:v>665059716.8900009</x:v>
      </x:c>
      <x:c r="S71" s="17"/>
      <x:c r="T71" s="18"/>
      <x:c r="U71" s="17" t="n">
        <x:v>665059716.8900009</x:v>
      </x:c>
      <x:c r="V71" s="2" t="str">
        <x:v>existing saved physical-floor-area proxy</x:v>
      </x:c>
      <x:c r="W71" s="2" t="str">
        <x:v>legacy_epoch_source_QA_passed; new_common_native_support_not_certified</x:v>
      </x:c>
      <x:c r="X71" s="2" t="str">
        <x:v>https://arxiv.org/abs/2511.12104</x:v>
      </x:c>
    </x:row>
    <x:row r="72" ht="23" customHeight="1">
      <x:c r="A72" s="2" t="str">
        <x:v>DOM</x:v>
      </x:c>
      <x:c r="B72" s="2" t="str">
        <x:v>Dominican Republic</x:v>
      </x:c>
      <x:c r="C72" s="2" t="n">
        <x:v>2020</x:v>
      </x:c>
      <x:c r="D72" s="2" t="str">
        <x:v>TEMPO_PROXY</x:v>
      </x:c>
      <x:c r="E72" s="17" t="n">
        <x:v>336248050.8900004</x:v>
      </x:c>
      <x:c r="F72" s="17" t="n">
        <x:f>IF(AND(M72,ISNUMBER(R72)),IF(D72="TEMPO_PROXY",R72,IF(AND(ISNUMBER(S72),S72&gt;0,ISNUMBER(U72)),U72*R72/S72,"n.a.")),"n.a.")</x:f>
        <x:v>336248050.8900004</x:v>
      </x:c>
      <x:c r="G72" s="17" t="n">
        <x:f>IF(AND(ISNUMBER(E72),ISNUMBER(F72)),E72-F72,"n.a.")</x:f>
        <x:v>0</x:v>
      </x:c>
      <x:c r="H72" s="15" t="n">
        <x:f>IF(AND(ISNUMBER(E72),ISNUMBER(F72),F72&gt;0),(E72-F72)/F72,"n.a.")</x:f>
        <x:v>0</x:v>
      </x:c>
      <x:c r="I72" s="19" t="n">
        <x:f>IF(ISNUMBER(H72),ABS(H72),"n.a.")</x:f>
        <x:v>0</x:v>
      </x:c>
      <x:c r="J72" s="2" t="str">
        <x:v>available</x:v>
      </x:c>
      <x:c r="K72" s="2" t="n">
        <x:v>1</x:v>
      </x:c>
      <x:c r="L72" s="13" t="b">
        <x:v>1</x:v>
      </x:c>
      <x:c r="M72" s="13" t="b">
        <x:v>1</x:v>
      </x:c>
      <x:c r="N72" s="2" t="str">
        <x:v>inherited2020anchor</x:v>
      </x:c>
      <x:c r="O72" s="2" t="str"/>
      <x:c r="P72" s="2" t="str">
        <x:v>assumption-based floor-area proxy</x:v>
      </x:c>
      <x:c r="Q72" s="2" t="str">
        <x:v>m2</x:v>
      </x:c>
      <x:c r="R72" s="17" t="n">
        <x:v>336248050.8900004</x:v>
      </x:c>
      <x:c r="S72" s="17"/>
      <x:c r="T72" s="18"/>
      <x:c r="U72" s="17" t="n">
        <x:v>336248050.8900004</x:v>
      </x:c>
      <x:c r="V72" s="2" t="str">
        <x:v>existing saved physical-floor-area proxy</x:v>
      </x:c>
      <x:c r="W72" s="2" t="str">
        <x:v>legacy_epoch_source_QA_passed; new_common_native_support_not_certified</x:v>
      </x:c>
      <x:c r="X72" s="2" t="str">
        <x:v>https://arxiv.org/abs/2511.12104</x:v>
      </x:c>
    </x:row>
    <x:row r="73" ht="23" customHeight="1">
      <x:c r="A73" s="2" t="str">
        <x:v>DZA</x:v>
      </x:c>
      <x:c r="B73" s="2" t="str">
        <x:v>Algeria (People's Democratic Republic of)</x:v>
      </x:c>
      <x:c r="C73" s="2" t="n">
        <x:v>2020</x:v>
      </x:c>
      <x:c r="D73" s="2" t="str">
        <x:v>TEMPO_PROXY</x:v>
      </x:c>
      <x:c r="E73" s="17" t="n">
        <x:v>1607752786.8799975</x:v>
      </x:c>
      <x:c r="F73" s="17" t="n">
        <x:f>IF(AND(M73,ISNUMBER(R73)),IF(D73="TEMPO_PROXY",R73,IF(AND(ISNUMBER(S73),S73&gt;0,ISNUMBER(U73)),U73*R73/S73,"n.a.")),"n.a.")</x:f>
        <x:v>1607752786.8799975</x:v>
      </x:c>
      <x:c r="G73" s="17" t="n">
        <x:f>IF(AND(ISNUMBER(E73),ISNUMBER(F73)),E73-F73,"n.a.")</x:f>
        <x:v>0</x:v>
      </x:c>
      <x:c r="H73" s="15" t="n">
        <x:f>IF(AND(ISNUMBER(E73),ISNUMBER(F73),F73&gt;0),(E73-F73)/F73,"n.a.")</x:f>
        <x:v>0</x:v>
      </x:c>
      <x:c r="I73" s="19" t="n">
        <x:f>IF(ISNUMBER(H73),ABS(H73),"n.a.")</x:f>
        <x:v>0</x:v>
      </x:c>
      <x:c r="J73" s="2" t="str">
        <x:v>available</x:v>
      </x:c>
      <x:c r="K73" s="2" t="n">
        <x:v>1</x:v>
      </x:c>
      <x:c r="L73" s="13" t="b">
        <x:v>1</x:v>
      </x:c>
      <x:c r="M73" s="13" t="b">
        <x:v>1</x:v>
      </x:c>
      <x:c r="N73" s="2" t="str">
        <x:v>inherited2020anchor</x:v>
      </x:c>
      <x:c r="O73" s="2" t="str"/>
      <x:c r="P73" s="2" t="str">
        <x:v>assumption-based floor-area proxy</x:v>
      </x:c>
      <x:c r="Q73" s="2" t="str">
        <x:v>m2</x:v>
      </x:c>
      <x:c r="R73" s="17" t="n">
        <x:v>1607752786.8799975</x:v>
      </x:c>
      <x:c r="S73" s="17"/>
      <x:c r="T73" s="18"/>
      <x:c r="U73" s="17" t="n">
        <x:v>1607752786.8799975</x:v>
      </x:c>
      <x:c r="V73" s="2" t="str">
        <x:v>existing saved physical-floor-area proxy</x:v>
      </x:c>
      <x:c r="W73" s="2" t="str">
        <x:v>legacy_epoch_source_QA_passed; new_common_native_support_not_certified</x:v>
      </x:c>
      <x:c r="X73" s="2" t="str">
        <x:v>https://arxiv.org/abs/2511.12104</x:v>
      </x:c>
    </x:row>
    <x:row r="74" ht="23" customHeight="1">
      <x:c r="A74" s="2" t="str">
        <x:v>ECU</x:v>
      </x:c>
      <x:c r="B74" s="2" t="str">
        <x:v>Ecuador (Republic of)</x:v>
      </x:c>
      <x:c r="C74" s="2" t="n">
        <x:v>2020</x:v>
      </x:c>
      <x:c r="D74" s="2" t="str">
        <x:v>TEMPO_PROXY</x:v>
      </x:c>
      <x:c r="E74" s="17" t="n">
        <x:v>734538215.0500003</x:v>
      </x:c>
      <x:c r="F74" s="17" t="n">
        <x:f>IF(AND(M74,ISNUMBER(R74)),IF(D74="TEMPO_PROXY",R74,IF(AND(ISNUMBER(S74),S74&gt;0,ISNUMBER(U74)),U74*R74/S74,"n.a.")),"n.a.")</x:f>
        <x:v>734538215.0500003</x:v>
      </x:c>
      <x:c r="G74" s="17" t="n">
        <x:f>IF(AND(ISNUMBER(E74),ISNUMBER(F74)),E74-F74,"n.a.")</x:f>
        <x:v>0</x:v>
      </x:c>
      <x:c r="H74" s="15" t="n">
        <x:f>IF(AND(ISNUMBER(E74),ISNUMBER(F74),F74&gt;0),(E74-F74)/F74,"n.a.")</x:f>
        <x:v>0</x:v>
      </x:c>
      <x:c r="I74" s="19" t="n">
        <x:f>IF(ISNUMBER(H74),ABS(H74),"n.a.")</x:f>
        <x:v>0</x:v>
      </x:c>
      <x:c r="J74" s="2" t="str">
        <x:v>available</x:v>
      </x:c>
      <x:c r="K74" s="2" t="n">
        <x:v>1</x:v>
      </x:c>
      <x:c r="L74" s="13" t="b">
        <x:v>1</x:v>
      </x:c>
      <x:c r="M74" s="13" t="b">
        <x:v>1</x:v>
      </x:c>
      <x:c r="N74" s="2" t="str">
        <x:v>inherited2020anchor</x:v>
      </x:c>
      <x:c r="O74" s="2" t="str"/>
      <x:c r="P74" s="2" t="str">
        <x:v>assumption-based floor-area proxy</x:v>
      </x:c>
      <x:c r="Q74" s="2" t="str">
        <x:v>m2</x:v>
      </x:c>
      <x:c r="R74" s="17" t="n">
        <x:v>734538215.0500003</x:v>
      </x:c>
      <x:c r="S74" s="17"/>
      <x:c r="T74" s="18"/>
      <x:c r="U74" s="17" t="n">
        <x:v>734538215.0500003</x:v>
      </x:c>
      <x:c r="V74" s="2" t="str">
        <x:v>existing saved physical-floor-area proxy</x:v>
      </x:c>
      <x:c r="W74" s="2" t="str">
        <x:v>legacy_epoch_source_QA_passed; new_common_native_support_not_certified</x:v>
      </x:c>
      <x:c r="X74" s="2" t="str">
        <x:v>https://arxiv.org/abs/2511.12104</x:v>
      </x:c>
    </x:row>
    <x:row r="75" ht="23" customHeight="1">
      <x:c r="A75" s="2" t="str">
        <x:v>EGY</x:v>
      </x:c>
      <x:c r="B75" s="2" t="str">
        <x:v>Egypt (Arab Republic of)</x:v>
      </x:c>
      <x:c r="C75" s="2" t="n">
        <x:v>2020</x:v>
      </x:c>
      <x:c r="D75" s="2" t="str">
        <x:v>TEMPO_PROXY</x:v>
      </x:c>
      <x:c r="E75" s="17" t="n">
        <x:v>2954306535.6</x:v>
      </x:c>
      <x:c r="F75" s="17" t="n">
        <x:f>IF(AND(M75,ISNUMBER(R75)),IF(D75="TEMPO_PROXY",R75,IF(AND(ISNUMBER(S75),S75&gt;0,ISNUMBER(U75)),U75*R75/S75,"n.a.")),"n.a.")</x:f>
        <x:v>2954306535.6</x:v>
      </x:c>
      <x:c r="G75" s="17" t="n">
        <x:f>IF(AND(ISNUMBER(E75),ISNUMBER(F75)),E75-F75,"n.a.")</x:f>
        <x:v>0</x:v>
      </x:c>
      <x:c r="H75" s="15" t="n">
        <x:f>IF(AND(ISNUMBER(E75),ISNUMBER(F75),F75&gt;0),(E75-F75)/F75,"n.a.")</x:f>
        <x:v>0</x:v>
      </x:c>
      <x:c r="I75" s="19" t="n">
        <x:f>IF(ISNUMBER(H75),ABS(H75),"n.a.")</x:f>
        <x:v>0</x:v>
      </x:c>
      <x:c r="J75" s="2" t="str">
        <x:v>available</x:v>
      </x:c>
      <x:c r="K75" s="2" t="n">
        <x:v>1</x:v>
      </x:c>
      <x:c r="L75" s="13" t="b">
        <x:v>1</x:v>
      </x:c>
      <x:c r="M75" s="13" t="b">
        <x:v>1</x:v>
      </x:c>
      <x:c r="N75" s="2" t="str">
        <x:v>inherited2020anchor</x:v>
      </x:c>
      <x:c r="O75" s="2" t="str"/>
      <x:c r="P75" s="2" t="str">
        <x:v>assumption-based floor-area proxy</x:v>
      </x:c>
      <x:c r="Q75" s="2" t="str">
        <x:v>m2</x:v>
      </x:c>
      <x:c r="R75" s="17" t="n">
        <x:v>2954306535.6</x:v>
      </x:c>
      <x:c r="S75" s="17"/>
      <x:c r="T75" s="18"/>
      <x:c r="U75" s="17" t="n">
        <x:v>2954306535.6</x:v>
      </x:c>
      <x:c r="V75" s="2" t="str">
        <x:v>existing saved physical-floor-area proxy</x:v>
      </x:c>
      <x:c r="W75" s="2" t="str">
        <x:v>legacy_epoch_source_QA_passed; new_common_native_support_not_certified</x:v>
      </x:c>
      <x:c r="X75" s="2" t="str">
        <x:v>https://arxiv.org/abs/2511.12104</x:v>
      </x:c>
    </x:row>
    <x:row r="76" ht="23" customHeight="1">
      <x:c r="A76" s="2" t="str">
        <x:v>ERI</x:v>
      </x:c>
      <x:c r="B76" s="2" t="str">
        <x:v>Eritrea (State of)</x:v>
      </x:c>
      <x:c r="C76" s="2" t="n">
        <x:v>2020</x:v>
      </x:c>
      <x:c r="D76" s="2" t="str">
        <x:v>TEMPO_PROXY</x:v>
      </x:c>
      <x:c r="E76" s="17" t="n">
        <x:v>45298098.329999976</x:v>
      </x:c>
      <x:c r="F76" s="17" t="n">
        <x:f>IF(AND(M76,ISNUMBER(R76)),IF(D76="TEMPO_PROXY",R76,IF(AND(ISNUMBER(S76),S76&gt;0,ISNUMBER(U76)),U76*R76/S76,"n.a.")),"n.a.")</x:f>
        <x:v>45298098.329999976</x:v>
      </x:c>
      <x:c r="G76" s="17" t="n">
        <x:f>IF(AND(ISNUMBER(E76),ISNUMBER(F76)),E76-F76,"n.a.")</x:f>
        <x:v>0</x:v>
      </x:c>
      <x:c r="H76" s="15" t="n">
        <x:f>IF(AND(ISNUMBER(E76),ISNUMBER(F76),F76&gt;0),(E76-F76)/F76,"n.a.")</x:f>
        <x:v>0</x:v>
      </x:c>
      <x:c r="I76" s="19" t="n">
        <x:f>IF(ISNUMBER(H76),ABS(H76),"n.a.")</x:f>
        <x:v>0</x:v>
      </x:c>
      <x:c r="J76" s="2" t="str">
        <x:v>available</x:v>
      </x:c>
      <x:c r="K76" s="2" t="n">
        <x:v>1</x:v>
      </x:c>
      <x:c r="L76" s="13" t="b">
        <x:v>1</x:v>
      </x:c>
      <x:c r="M76" s="13" t="b">
        <x:v>1</x:v>
      </x:c>
      <x:c r="N76" s="2" t="str">
        <x:v>inherited2020anchor</x:v>
      </x:c>
      <x:c r="O76" s="2" t="str"/>
      <x:c r="P76" s="2" t="str">
        <x:v>assumption-based floor-area proxy</x:v>
      </x:c>
      <x:c r="Q76" s="2" t="str">
        <x:v>m2</x:v>
      </x:c>
      <x:c r="R76" s="17" t="n">
        <x:v>45298098.329999976</x:v>
      </x:c>
      <x:c r="S76" s="17"/>
      <x:c r="T76" s="18"/>
      <x:c r="U76" s="17" t="n">
        <x:v>45298098.329999976</x:v>
      </x:c>
      <x:c r="V76" s="2" t="str">
        <x:v>existing saved physical-floor-area proxy</x:v>
      </x:c>
      <x:c r="W76" s="2" t="str">
        <x:v>legacy_epoch_source_QA_passed; new_common_native_support_not_certified</x:v>
      </x:c>
      <x:c r="X76" s="2" t="str">
        <x:v>https://arxiv.org/abs/2511.12104</x:v>
      </x:c>
    </x:row>
    <x:row r="77" ht="23" customHeight="1">
      <x:c r="A77" s="2" t="str">
        <x:v>ESP</x:v>
      </x:c>
      <x:c r="B77" s="2" t="str">
        <x:v>Spain (Kingdom of)</x:v>
      </x:c>
      <x:c r="C77" s="2" t="n">
        <x:v>2020</x:v>
      </x:c>
      <x:c r="D77" s="2" t="str">
        <x:v>TEMPO_PROXY</x:v>
      </x:c>
      <x:c r="E77" s="17" t="n">
        <x:v>3693503432.029994</x:v>
      </x:c>
      <x:c r="F77" s="17" t="n">
        <x:f>IF(AND(M77,ISNUMBER(R77)),IF(D77="TEMPO_PROXY",R77,IF(AND(ISNUMBER(S77),S77&gt;0,ISNUMBER(U77)),U77*R77/S77,"n.a.")),"n.a.")</x:f>
        <x:v>3693503432.029994</x:v>
      </x:c>
      <x:c r="G77" s="17" t="n">
        <x:f>IF(AND(ISNUMBER(E77),ISNUMBER(F77)),E77-F77,"n.a.")</x:f>
        <x:v>0</x:v>
      </x:c>
      <x:c r="H77" s="15" t="n">
        <x:f>IF(AND(ISNUMBER(E77),ISNUMBER(F77),F77&gt;0),(E77-F77)/F77,"n.a.")</x:f>
        <x:v>0</x:v>
      </x:c>
      <x:c r="I77" s="19" t="n">
        <x:f>IF(ISNUMBER(H77),ABS(H77),"n.a.")</x:f>
        <x:v>0</x:v>
      </x:c>
      <x:c r="J77" s="2" t="str">
        <x:v>available</x:v>
      </x:c>
      <x:c r="K77" s="2" t="n">
        <x:v>1</x:v>
      </x:c>
      <x:c r="L77" s="13" t="b">
        <x:v>1</x:v>
      </x:c>
      <x:c r="M77" s="13" t="b">
        <x:v>1</x:v>
      </x:c>
      <x:c r="N77" s="2" t="str">
        <x:v>inherited2020anchor</x:v>
      </x:c>
      <x:c r="O77" s="2" t="str"/>
      <x:c r="P77" s="2" t="str">
        <x:v>assumption-based floor-area proxy</x:v>
      </x:c>
      <x:c r="Q77" s="2" t="str">
        <x:v>m2</x:v>
      </x:c>
      <x:c r="R77" s="17" t="n">
        <x:v>3693503432.029994</x:v>
      </x:c>
      <x:c r="S77" s="17"/>
      <x:c r="T77" s="18"/>
      <x:c r="U77" s="17" t="n">
        <x:v>3693503432.029994</x:v>
      </x:c>
      <x:c r="V77" s="2" t="str">
        <x:v>existing saved physical-floor-area proxy</x:v>
      </x:c>
      <x:c r="W77" s="2" t="str">
        <x:v>legacy_epoch_source_QA_passed; new_common_native_support_not_certified</x:v>
      </x:c>
      <x:c r="X77" s="2" t="str">
        <x:v>https://arxiv.org/abs/2511.12104</x:v>
      </x:c>
    </x:row>
    <x:row r="78" ht="23" customHeight="1">
      <x:c r="A78" s="2" t="str">
        <x:v>EST</x:v>
      </x:c>
      <x:c r="B78" s="2" t="str">
        <x:v>Estonia (Republic of)</x:v>
      </x:c>
      <x:c r="C78" s="2" t="n">
        <x:v>2020</x:v>
      </x:c>
      <x:c r="D78" s="2" t="str">
        <x:v>TEMPO_PROXY</x:v>
      </x:c>
      <x:c r="E78" s="17" t="n">
        <x:v>113094705.3700001</x:v>
      </x:c>
      <x:c r="F78" s="17" t="n">
        <x:f>IF(AND(M78,ISNUMBER(R78)),IF(D78="TEMPO_PROXY",R78,IF(AND(ISNUMBER(S78),S78&gt;0,ISNUMBER(U78)),U78*R78/S78,"n.a.")),"n.a.")</x:f>
        <x:v>113094705.3700001</x:v>
      </x:c>
      <x:c r="G78" s="17" t="n">
        <x:f>IF(AND(ISNUMBER(E78),ISNUMBER(F78)),E78-F78,"n.a.")</x:f>
        <x:v>0</x:v>
      </x:c>
      <x:c r="H78" s="15" t="n">
        <x:f>IF(AND(ISNUMBER(E78),ISNUMBER(F78),F78&gt;0),(E78-F78)/F78,"n.a.")</x:f>
        <x:v>0</x:v>
      </x:c>
      <x:c r="I78" s="19" t="n">
        <x:f>IF(ISNUMBER(H78),ABS(H78),"n.a.")</x:f>
        <x:v>0</x:v>
      </x:c>
      <x:c r="J78" s="2" t="str">
        <x:v>available</x:v>
      </x:c>
      <x:c r="K78" s="2" t="n">
        <x:v>1</x:v>
      </x:c>
      <x:c r="L78" s="13" t="b">
        <x:v>1</x:v>
      </x:c>
      <x:c r="M78" s="13" t="b">
        <x:v>1</x:v>
      </x:c>
      <x:c r="N78" s="2" t="str">
        <x:v>inherited2020anchor</x:v>
      </x:c>
      <x:c r="O78" s="2" t="str"/>
      <x:c r="P78" s="2" t="str">
        <x:v>assumption-based floor-area proxy</x:v>
      </x:c>
      <x:c r="Q78" s="2" t="str">
        <x:v>m2</x:v>
      </x:c>
      <x:c r="R78" s="17" t="n">
        <x:v>113094705.3700001</x:v>
      </x:c>
      <x:c r="S78" s="17"/>
      <x:c r="T78" s="18"/>
      <x:c r="U78" s="17" t="n">
        <x:v>113094705.3700001</x:v>
      </x:c>
      <x:c r="V78" s="2" t="str">
        <x:v>existing saved physical-floor-area proxy</x:v>
      </x:c>
      <x:c r="W78" s="2" t="str">
        <x:v>legacy_epoch_source_QA_passed; new_common_native_support_not_certified</x:v>
      </x:c>
      <x:c r="X78" s="2" t="str">
        <x:v>https://arxiv.org/abs/2511.12104</x:v>
      </x:c>
    </x:row>
    <x:row r="79" ht="23" customHeight="1">
      <x:c r="A79" s="2" t="str">
        <x:v>ETH</x:v>
      </x:c>
      <x:c r="B79" s="2" t="str">
        <x:v>Ethiopia (Federal Democratic Republic of)</x:v>
      </x:c>
      <x:c r="C79" s="2" t="n">
        <x:v>2020</x:v>
      </x:c>
      <x:c r="D79" s="2" t="str">
        <x:v>TEMPO_PROXY</x:v>
      </x:c>
      <x:c r="E79" s="17" t="n">
        <x:v>1660821510.7100024</x:v>
      </x:c>
      <x:c r="F79" s="17" t="n">
        <x:f>IF(AND(M79,ISNUMBER(R79)),IF(D79="TEMPO_PROXY",R79,IF(AND(ISNUMBER(S79),S79&gt;0,ISNUMBER(U79)),U79*R79/S79,"n.a.")),"n.a.")</x:f>
        <x:v>1660821510.7100024</x:v>
      </x:c>
      <x:c r="G79" s="17" t="n">
        <x:f>IF(AND(ISNUMBER(E79),ISNUMBER(F79)),E79-F79,"n.a.")</x:f>
        <x:v>0</x:v>
      </x:c>
      <x:c r="H79" s="15" t="n">
        <x:f>IF(AND(ISNUMBER(E79),ISNUMBER(F79),F79&gt;0),(E79-F79)/F79,"n.a.")</x:f>
        <x:v>0</x:v>
      </x:c>
      <x:c r="I79" s="19" t="n">
        <x:f>IF(ISNUMBER(H79),ABS(H79),"n.a.")</x:f>
        <x:v>0</x:v>
      </x:c>
      <x:c r="J79" s="2" t="str">
        <x:v>available</x:v>
      </x:c>
      <x:c r="K79" s="2" t="n">
        <x:v>1</x:v>
      </x:c>
      <x:c r="L79" s="13" t="b">
        <x:v>1</x:v>
      </x:c>
      <x:c r="M79" s="13" t="b">
        <x:v>1</x:v>
      </x:c>
      <x:c r="N79" s="2" t="str">
        <x:v>inherited2020anchor</x:v>
      </x:c>
      <x:c r="O79" s="2" t="str"/>
      <x:c r="P79" s="2" t="str">
        <x:v>assumption-based floor-area proxy</x:v>
      </x:c>
      <x:c r="Q79" s="2" t="str">
        <x:v>m2</x:v>
      </x:c>
      <x:c r="R79" s="17" t="n">
        <x:v>1660821510.7100024</x:v>
      </x:c>
      <x:c r="S79" s="17"/>
      <x:c r="T79" s="18"/>
      <x:c r="U79" s="17" t="n">
        <x:v>1660821510.7100024</x:v>
      </x:c>
      <x:c r="V79" s="2" t="str">
        <x:v>existing saved physical-floor-area proxy</x:v>
      </x:c>
      <x:c r="W79" s="2" t="str">
        <x:v>legacy_epoch_source_QA_passed; new_common_native_support_not_certified</x:v>
      </x:c>
      <x:c r="X79" s="2" t="str">
        <x:v>https://arxiv.org/abs/2511.12104</x:v>
      </x:c>
    </x:row>
    <x:row r="80" ht="23" customHeight="1">
      <x:c r="A80" s="2" t="str">
        <x:v>FIN</x:v>
      </x:c>
      <x:c r="B80" s="2" t="str">
        <x:v>Finland (Republic of)</x:v>
      </x:c>
      <x:c r="C80" s="2" t="n">
        <x:v>2020</x:v>
      </x:c>
      <x:c r="D80" s="2" t="str">
        <x:v>TEMPO_PROXY</x:v>
      </x:c>
      <x:c r="E80" s="17" t="n">
        <x:v>615866742.3399993</x:v>
      </x:c>
      <x:c r="F80" s="17" t="n">
        <x:f>IF(AND(M80,ISNUMBER(R80)),IF(D80="TEMPO_PROXY",R80,IF(AND(ISNUMBER(S80),S80&gt;0,ISNUMBER(U80)),U80*R80/S80,"n.a.")),"n.a.")</x:f>
        <x:v>615866742.3399993</x:v>
      </x:c>
      <x:c r="G80" s="17" t="n">
        <x:f>IF(AND(ISNUMBER(E80),ISNUMBER(F80)),E80-F80,"n.a.")</x:f>
        <x:v>0</x:v>
      </x:c>
      <x:c r="H80" s="15" t="n">
        <x:f>IF(AND(ISNUMBER(E80),ISNUMBER(F80),F80&gt;0),(E80-F80)/F80,"n.a.")</x:f>
        <x:v>0</x:v>
      </x:c>
      <x:c r="I80" s="19" t="n">
        <x:f>IF(ISNUMBER(H80),ABS(H80),"n.a.")</x:f>
        <x:v>0</x:v>
      </x:c>
      <x:c r="J80" s="2" t="str">
        <x:v>available</x:v>
      </x:c>
      <x:c r="K80" s="2" t="n">
        <x:v>1</x:v>
      </x:c>
      <x:c r="L80" s="13" t="b">
        <x:v>1</x:v>
      </x:c>
      <x:c r="M80" s="13" t="b">
        <x:v>1</x:v>
      </x:c>
      <x:c r="N80" s="2" t="str">
        <x:v>inherited2020anchor</x:v>
      </x:c>
      <x:c r="O80" s="2" t="str"/>
      <x:c r="P80" s="2" t="str">
        <x:v>assumption-based floor-area proxy</x:v>
      </x:c>
      <x:c r="Q80" s="2" t="str">
        <x:v>m2</x:v>
      </x:c>
      <x:c r="R80" s="17" t="n">
        <x:v>615866742.3399993</x:v>
      </x:c>
      <x:c r="S80" s="17"/>
      <x:c r="T80" s="18"/>
      <x:c r="U80" s="17" t="n">
        <x:v>615866742.3399993</x:v>
      </x:c>
      <x:c r="V80" s="2" t="str">
        <x:v>existing saved physical-floor-area proxy</x:v>
      </x:c>
      <x:c r="W80" s="2" t="str">
        <x:v>legacy_epoch_source_QA_passed; new_common_native_support_not_certified</x:v>
      </x:c>
      <x:c r="X80" s="2" t="str">
        <x:v>https://arxiv.org/abs/2511.12104</x:v>
      </x:c>
    </x:row>
    <x:row r="81" ht="23" customHeight="1">
      <x:c r="A81" s="2" t="str">
        <x:v>FJI</x:v>
      </x:c>
      <x:c r="B81" s="2" t="str">
        <x:v>Fiji (Republic of)</x:v>
      </x:c>
      <x:c r="C81" s="2" t="n">
        <x:v>2020</x:v>
      </x:c>
      <x:c r="D81" s="2" t="str">
        <x:v>TEMPO_PROXY</x:v>
      </x:c>
      <x:c r="E81" s="17" t="n">
        <x:v>37460168.12</x:v>
      </x:c>
      <x:c r="F81" s="17" t="n">
        <x:f>IF(AND(M81,ISNUMBER(R81)),IF(D81="TEMPO_PROXY",R81,IF(AND(ISNUMBER(S81),S81&gt;0,ISNUMBER(U81)),U81*R81/S81,"n.a.")),"n.a.")</x:f>
        <x:v>37460168.12</x:v>
      </x:c>
      <x:c r="G81" s="17" t="n">
        <x:f>IF(AND(ISNUMBER(E81),ISNUMBER(F81)),E81-F81,"n.a.")</x:f>
        <x:v>0</x:v>
      </x:c>
      <x:c r="H81" s="15" t="n">
        <x:f>IF(AND(ISNUMBER(E81),ISNUMBER(F81),F81&gt;0),(E81-F81)/F81,"n.a.")</x:f>
        <x:v>0</x:v>
      </x:c>
      <x:c r="I81" s="19" t="n">
        <x:f>IF(ISNUMBER(H81),ABS(H81),"n.a.")</x:f>
        <x:v>0</x:v>
      </x:c>
      <x:c r="J81" s="2" t="str">
        <x:v>available</x:v>
      </x:c>
      <x:c r="K81" s="2" t="n">
        <x:v>1</x:v>
      </x:c>
      <x:c r="L81" s="13" t="b">
        <x:v>1</x:v>
      </x:c>
      <x:c r="M81" s="13" t="b">
        <x:v>1</x:v>
      </x:c>
      <x:c r="N81" s="2" t="str">
        <x:v>inherited2020anchor</x:v>
      </x:c>
      <x:c r="O81" s="2" t="str"/>
      <x:c r="P81" s="2" t="str">
        <x:v>assumption-based floor-area proxy</x:v>
      </x:c>
      <x:c r="Q81" s="2" t="str">
        <x:v>m2</x:v>
      </x:c>
      <x:c r="R81" s="17" t="n">
        <x:v>37460168.12</x:v>
      </x:c>
      <x:c r="S81" s="17"/>
      <x:c r="T81" s="18"/>
      <x:c r="U81" s="17" t="n">
        <x:v>37460168.12</x:v>
      </x:c>
      <x:c r="V81" s="2" t="str">
        <x:v>existing saved physical-floor-area proxy</x:v>
      </x:c>
      <x:c r="W81" s="2" t="str">
        <x:v>legacy_epoch_source_QA_passed; new_common_native_support_not_certified</x:v>
      </x:c>
      <x:c r="X81" s="2" t="str">
        <x:v>https://arxiv.org/abs/2511.12104</x:v>
      </x:c>
    </x:row>
    <x:row r="82" ht="23" customHeight="1">
      <x:c r="A82" s="2" t="str">
        <x:v>FRA</x:v>
      </x:c>
      <x:c r="B82" s="2" t="str">
        <x:v>France (French Republic)</x:v>
      </x:c>
      <x:c r="C82" s="2" t="n">
        <x:v>2020</x:v>
      </x:c>
      <x:c r="D82" s="2" t="str">
        <x:v>TEMPO_PROXY</x:v>
      </x:c>
      <x:c r="E82" s="17" t="n">
        <x:v>6074526882.680001</x:v>
      </x:c>
      <x:c r="F82" s="17" t="n">
        <x:f>IF(AND(M82,ISNUMBER(R82)),IF(D82="TEMPO_PROXY",R82,IF(AND(ISNUMBER(S82),S82&gt;0,ISNUMBER(U82)),U82*R82/S82,"n.a.")),"n.a.")</x:f>
        <x:v>6074526882.680001</x:v>
      </x:c>
      <x:c r="G82" s="17" t="n">
        <x:f>IF(AND(ISNUMBER(E82),ISNUMBER(F82)),E82-F82,"n.a.")</x:f>
        <x:v>0</x:v>
      </x:c>
      <x:c r="H82" s="15" t="n">
        <x:f>IF(AND(ISNUMBER(E82),ISNUMBER(F82),F82&gt;0),(E82-F82)/F82,"n.a.")</x:f>
        <x:v>0</x:v>
      </x:c>
      <x:c r="I82" s="19" t="n">
        <x:f>IF(ISNUMBER(H82),ABS(H82),"n.a.")</x:f>
        <x:v>0</x:v>
      </x:c>
      <x:c r="J82" s="2" t="str">
        <x:v>available</x:v>
      </x:c>
      <x:c r="K82" s="2" t="n">
        <x:v>1</x:v>
      </x:c>
      <x:c r="L82" s="13" t="b">
        <x:v>1</x:v>
      </x:c>
      <x:c r="M82" s="13" t="b">
        <x:v>1</x:v>
      </x:c>
      <x:c r="N82" s="2" t="str">
        <x:v>inherited2020anchor</x:v>
      </x:c>
      <x:c r="O82" s="2" t="str"/>
      <x:c r="P82" s="2" t="str">
        <x:v>assumption-based floor-area proxy</x:v>
      </x:c>
      <x:c r="Q82" s="2" t="str">
        <x:v>m2</x:v>
      </x:c>
      <x:c r="R82" s="17" t="n">
        <x:v>6074526882.680001</x:v>
      </x:c>
      <x:c r="S82" s="17"/>
      <x:c r="T82" s="18"/>
      <x:c r="U82" s="17" t="n">
        <x:v>6074526882.680001</x:v>
      </x:c>
      <x:c r="V82" s="2" t="str">
        <x:v>existing saved physical-floor-area proxy</x:v>
      </x:c>
      <x:c r="W82" s="2" t="str">
        <x:v>legacy_epoch_source_QA_passed; new_common_native_support_not_certified</x:v>
      </x:c>
      <x:c r="X82" s="2" t="str">
        <x:v>https://arxiv.org/abs/2511.12104</x:v>
      </x:c>
    </x:row>
    <x:row r="83" ht="23" customHeight="1">
      <x:c r="A83" s="2" t="str">
        <x:v>FSM</x:v>
      </x:c>
      <x:c r="B83" s="2" t="str">
        <x:v>Micronesia (Federated States of)</x:v>
      </x:c>
      <x:c r="C83" s="2" t="n">
        <x:v>2020</x:v>
      </x:c>
      <x:c r="D83" s="2" t="str">
        <x:v>TEMPO_PROXY</x:v>
      </x:c>
      <x:c r="E83" s="17" t="n">
        <x:v>2177822.609999999</x:v>
      </x:c>
      <x:c r="F83" s="17" t="n">
        <x:f>IF(AND(M83,ISNUMBER(R83)),IF(D83="TEMPO_PROXY",R83,IF(AND(ISNUMBER(S83),S83&gt;0,ISNUMBER(U83)),U83*R83/S83,"n.a.")),"n.a.")</x:f>
        <x:v>2177822.609999999</x:v>
      </x:c>
      <x:c r="G83" s="17" t="n">
        <x:f>IF(AND(ISNUMBER(E83),ISNUMBER(F83)),E83-F83,"n.a.")</x:f>
        <x:v>0</x:v>
      </x:c>
      <x:c r="H83" s="15" t="n">
        <x:f>IF(AND(ISNUMBER(E83),ISNUMBER(F83),F83&gt;0),(E83-F83)/F83,"n.a.")</x:f>
        <x:v>0</x:v>
      </x:c>
      <x:c r="I83" s="19" t="n">
        <x:f>IF(ISNUMBER(H83),ABS(H83),"n.a.")</x:f>
        <x:v>0</x:v>
      </x:c>
      <x:c r="J83" s="2" t="str">
        <x:v>available</x:v>
      </x:c>
      <x:c r="K83" s="2" t="n">
        <x:v>1</x:v>
      </x:c>
      <x:c r="L83" s="13" t="b">
        <x:v>1</x:v>
      </x:c>
      <x:c r="M83" s="13" t="b">
        <x:v>1</x:v>
      </x:c>
      <x:c r="N83" s="2" t="str">
        <x:v>inherited2020anchor</x:v>
      </x:c>
      <x:c r="O83" s="2" t="str"/>
      <x:c r="P83" s="2" t="str">
        <x:v>assumption-based floor-area proxy</x:v>
      </x:c>
      <x:c r="Q83" s="2" t="str">
        <x:v>m2</x:v>
      </x:c>
      <x:c r="R83" s="17" t="n">
        <x:v>2177822.609999999</x:v>
      </x:c>
      <x:c r="S83" s="17"/>
      <x:c r="T83" s="18"/>
      <x:c r="U83" s="17" t="n">
        <x:v>2177822.609999999</x:v>
      </x:c>
      <x:c r="V83" s="2" t="str">
        <x:v>existing saved physical-floor-area proxy</x:v>
      </x:c>
      <x:c r="W83" s="2" t="str">
        <x:v>legacy_epoch_source_QA_passed; new_common_native_support_not_certified</x:v>
      </x:c>
      <x:c r="X83" s="2" t="str">
        <x:v>https://arxiv.org/abs/2511.12104</x:v>
      </x:c>
    </x:row>
    <x:row r="84" ht="23" customHeight="1">
      <x:c r="A84" s="2" t="str">
        <x:v>GAB</x:v>
      </x:c>
      <x:c r="B84" s="2" t="str">
        <x:v>Gabon (Gabonese Republic)</x:v>
      </x:c>
      <x:c r="C84" s="2" t="n">
        <x:v>2020</x:v>
      </x:c>
      <x:c r="D84" s="2" t="str">
        <x:v>TEMPO_PROXY</x:v>
      </x:c>
      <x:c r="E84" s="17" t="n">
        <x:v>73743642.55999996</x:v>
      </x:c>
      <x:c r="F84" s="17" t="n">
        <x:f>IF(AND(M84,ISNUMBER(R84)),IF(D84="TEMPO_PROXY",R84,IF(AND(ISNUMBER(S84),S84&gt;0,ISNUMBER(U84)),U84*R84/S84,"n.a.")),"n.a.")</x:f>
        <x:v>73743642.55999996</x:v>
      </x:c>
      <x:c r="G84" s="17" t="n">
        <x:f>IF(AND(ISNUMBER(E84),ISNUMBER(F84)),E84-F84,"n.a.")</x:f>
        <x:v>0</x:v>
      </x:c>
      <x:c r="H84" s="15" t="n">
        <x:f>IF(AND(ISNUMBER(E84),ISNUMBER(F84),F84&gt;0),(E84-F84)/F84,"n.a.")</x:f>
        <x:v>0</x:v>
      </x:c>
      <x:c r="I84" s="19" t="n">
        <x:f>IF(ISNUMBER(H84),ABS(H84),"n.a.")</x:f>
        <x:v>0</x:v>
      </x:c>
      <x:c r="J84" s="2" t="str">
        <x:v>available</x:v>
      </x:c>
      <x:c r="K84" s="2" t="n">
        <x:v>1</x:v>
      </x:c>
      <x:c r="L84" s="13" t="b">
        <x:v>1</x:v>
      </x:c>
      <x:c r="M84" s="13" t="b">
        <x:v>1</x:v>
      </x:c>
      <x:c r="N84" s="2" t="str">
        <x:v>inherited2020anchor</x:v>
      </x:c>
      <x:c r="O84" s="2" t="str"/>
      <x:c r="P84" s="2" t="str">
        <x:v>assumption-based floor-area proxy</x:v>
      </x:c>
      <x:c r="Q84" s="2" t="str">
        <x:v>m2</x:v>
      </x:c>
      <x:c r="R84" s="17" t="n">
        <x:v>73743642.55999996</x:v>
      </x:c>
      <x:c r="S84" s="17"/>
      <x:c r="T84" s="18"/>
      <x:c r="U84" s="17" t="n">
        <x:v>73743642.55999996</x:v>
      </x:c>
      <x:c r="V84" s="2" t="str">
        <x:v>existing saved physical-floor-area proxy</x:v>
      </x:c>
      <x:c r="W84" s="2" t="str">
        <x:v>legacy_epoch_source_QA_passed; new_common_native_support_not_certified</x:v>
      </x:c>
      <x:c r="X84" s="2" t="str">
        <x:v>https://arxiv.org/abs/2511.12104</x:v>
      </x:c>
    </x:row>
    <x:row r="85" ht="23" customHeight="1">
      <x:c r="A85" s="2" t="str">
        <x:v>GBR</x:v>
      </x:c>
      <x:c r="B85" s="2" t="str">
        <x:v>United Kingdom of Great Britain and Northern Ireland</x:v>
      </x:c>
      <x:c r="C85" s="2" t="n">
        <x:v>2020</x:v>
      </x:c>
      <x:c r="D85" s="2" t="str">
        <x:v>TEMPO_PROXY</x:v>
      </x:c>
      <x:c r="E85" s="17" t="n">
        <x:v>3418464510.0900006</x:v>
      </x:c>
      <x:c r="F85" s="17" t="n">
        <x:f>IF(AND(M85,ISNUMBER(R85)),IF(D85="TEMPO_PROXY",R85,IF(AND(ISNUMBER(S85),S85&gt;0,ISNUMBER(U85)),U85*R85/S85,"n.a.")),"n.a.")</x:f>
        <x:v>3418464510.0900006</x:v>
      </x:c>
      <x:c r="G85" s="17" t="n">
        <x:f>IF(AND(ISNUMBER(E85),ISNUMBER(F85)),E85-F85,"n.a.")</x:f>
        <x:v>0</x:v>
      </x:c>
      <x:c r="H85" s="15" t="n">
        <x:f>IF(AND(ISNUMBER(E85),ISNUMBER(F85),F85&gt;0),(E85-F85)/F85,"n.a.")</x:f>
        <x:v>0</x:v>
      </x:c>
      <x:c r="I85" s="19" t="n">
        <x:f>IF(ISNUMBER(H85),ABS(H85),"n.a.")</x:f>
        <x:v>0</x:v>
      </x:c>
      <x:c r="J85" s="2" t="str">
        <x:v>available</x:v>
      </x:c>
      <x:c r="K85" s="2" t="n">
        <x:v>1</x:v>
      </x:c>
      <x:c r="L85" s="13" t="b">
        <x:v>1</x:v>
      </x:c>
      <x:c r="M85" s="13" t="b">
        <x:v>1</x:v>
      </x:c>
      <x:c r="N85" s="2" t="str">
        <x:v>inherited2020anchor</x:v>
      </x:c>
      <x:c r="O85" s="2" t="str"/>
      <x:c r="P85" s="2" t="str">
        <x:v>assumption-based floor-area proxy</x:v>
      </x:c>
      <x:c r="Q85" s="2" t="str">
        <x:v>m2</x:v>
      </x:c>
      <x:c r="R85" s="17" t="n">
        <x:v>3418464510.0900006</x:v>
      </x:c>
      <x:c r="S85" s="17"/>
      <x:c r="T85" s="18"/>
      <x:c r="U85" s="17" t="n">
        <x:v>3418464510.0900006</x:v>
      </x:c>
      <x:c r="V85" s="2" t="str">
        <x:v>existing saved physical-floor-area proxy</x:v>
      </x:c>
      <x:c r="W85" s="2" t="str">
        <x:v>legacy_epoch_source_QA_passed; new_common_native_support_not_certified</x:v>
      </x:c>
      <x:c r="X85" s="2" t="str">
        <x:v>https://arxiv.org/abs/2511.12104</x:v>
      </x:c>
    </x:row>
    <x:row r="86" ht="23" customHeight="1">
      <x:c r="A86" s="2" t="str">
        <x:v>GEO</x:v>
      </x:c>
      <x:c r="B86" s="2" t="str">
        <x:v>Georgia</x:v>
      </x:c>
      <x:c r="C86" s="2" t="n">
        <x:v>2020</x:v>
      </x:c>
      <x:c r="D86" s="2" t="str">
        <x:v>TEMPO_PROXY</x:v>
      </x:c>
      <x:c r="E86" s="17" t="n">
        <x:v>242256071.04000017</x:v>
      </x:c>
      <x:c r="F86" s="17" t="n">
        <x:f>IF(AND(M86,ISNUMBER(R86)),IF(D86="TEMPO_PROXY",R86,IF(AND(ISNUMBER(S86),S86&gt;0,ISNUMBER(U86)),U86*R86/S86,"n.a.")),"n.a.")</x:f>
        <x:v>242256071.04000017</x:v>
      </x:c>
      <x:c r="G86" s="17" t="n">
        <x:f>IF(AND(ISNUMBER(E86),ISNUMBER(F86)),E86-F86,"n.a.")</x:f>
        <x:v>0</x:v>
      </x:c>
      <x:c r="H86" s="15" t="n">
        <x:f>IF(AND(ISNUMBER(E86),ISNUMBER(F86),F86&gt;0),(E86-F86)/F86,"n.a.")</x:f>
        <x:v>0</x:v>
      </x:c>
      <x:c r="I86" s="19" t="n">
        <x:f>IF(ISNUMBER(H86),ABS(H86),"n.a.")</x:f>
        <x:v>0</x:v>
      </x:c>
      <x:c r="J86" s="2" t="str">
        <x:v>available</x:v>
      </x:c>
      <x:c r="K86" s="2" t="n">
        <x:v>1</x:v>
      </x:c>
      <x:c r="L86" s="13" t="b">
        <x:v>1</x:v>
      </x:c>
      <x:c r="M86" s="13" t="b">
        <x:v>1</x:v>
      </x:c>
      <x:c r="N86" s="2" t="str">
        <x:v>inherited2020anchor</x:v>
      </x:c>
      <x:c r="O86" s="2" t="str"/>
      <x:c r="P86" s="2" t="str">
        <x:v>assumption-based floor-area proxy</x:v>
      </x:c>
      <x:c r="Q86" s="2" t="str">
        <x:v>m2</x:v>
      </x:c>
      <x:c r="R86" s="17" t="n">
        <x:v>242256071.04000017</x:v>
      </x:c>
      <x:c r="S86" s="17"/>
      <x:c r="T86" s="18"/>
      <x:c r="U86" s="17" t="n">
        <x:v>242256071.04000017</x:v>
      </x:c>
      <x:c r="V86" s="2" t="str">
        <x:v>existing saved physical-floor-area proxy</x:v>
      </x:c>
      <x:c r="W86" s="2" t="str">
        <x:v>legacy_epoch_source_QA_passed; new_common_native_support_not_certified</x:v>
      </x:c>
      <x:c r="X86" s="2" t="str">
        <x:v>https://arxiv.org/abs/2511.12104</x:v>
      </x:c>
    </x:row>
    <x:row r="87" ht="23" customHeight="1">
      <x:c r="A87" s="2" t="str">
        <x:v>GHA</x:v>
      </x:c>
      <x:c r="B87" s="2" t="str">
        <x:v>Ghana (Republic of)</x:v>
      </x:c>
      <x:c r="C87" s="2" t="n">
        <x:v>2020</x:v>
      </x:c>
      <x:c r="D87" s="2" t="str">
        <x:v>TEMPO_PROXY</x:v>
      </x:c>
      <x:c r="E87" s="17" t="n">
        <x:v>958424622.62</x:v>
      </x:c>
      <x:c r="F87" s="17" t="n">
        <x:f>IF(AND(M87,ISNUMBER(R87)),IF(D87="TEMPO_PROXY",R87,IF(AND(ISNUMBER(S87),S87&gt;0,ISNUMBER(U87)),U87*R87/S87,"n.a.")),"n.a.")</x:f>
        <x:v>958424622.62</x:v>
      </x:c>
      <x:c r="G87" s="17" t="n">
        <x:f>IF(AND(ISNUMBER(E87),ISNUMBER(F87)),E87-F87,"n.a.")</x:f>
        <x:v>0</x:v>
      </x:c>
      <x:c r="H87" s="15" t="n">
        <x:f>IF(AND(ISNUMBER(E87),ISNUMBER(F87),F87&gt;0),(E87-F87)/F87,"n.a.")</x:f>
        <x:v>0</x:v>
      </x:c>
      <x:c r="I87" s="19" t="n">
        <x:f>IF(ISNUMBER(H87),ABS(H87),"n.a.")</x:f>
        <x:v>0</x:v>
      </x:c>
      <x:c r="J87" s="2" t="str">
        <x:v>available</x:v>
      </x:c>
      <x:c r="K87" s="2" t="n">
        <x:v>1</x:v>
      </x:c>
      <x:c r="L87" s="13" t="b">
        <x:v>1</x:v>
      </x:c>
      <x:c r="M87" s="13" t="b">
        <x:v>1</x:v>
      </x:c>
      <x:c r="N87" s="2" t="str">
        <x:v>inherited2020anchor</x:v>
      </x:c>
      <x:c r="O87" s="2" t="str"/>
      <x:c r="P87" s="2" t="str">
        <x:v>assumption-based floor-area proxy</x:v>
      </x:c>
      <x:c r="Q87" s="2" t="str">
        <x:v>m2</x:v>
      </x:c>
      <x:c r="R87" s="17" t="n">
        <x:v>958424622.62</x:v>
      </x:c>
      <x:c r="S87" s="17"/>
      <x:c r="T87" s="18"/>
      <x:c r="U87" s="17" t="n">
        <x:v>958424622.62</x:v>
      </x:c>
      <x:c r="V87" s="2" t="str">
        <x:v>existing saved physical-floor-area proxy</x:v>
      </x:c>
      <x:c r="W87" s="2" t="str">
        <x:v>legacy_epoch_source_QA_passed; new_common_native_support_not_certified</x:v>
      </x:c>
      <x:c r="X87" s="2" t="str">
        <x:v>https://arxiv.org/abs/2511.12104</x:v>
      </x:c>
    </x:row>
    <x:row r="88" ht="23" customHeight="1">
      <x:c r="A88" s="2" t="str">
        <x:v>GIN</x:v>
      </x:c>
      <x:c r="B88" s="2" t="str">
        <x:v>Guinea (Republic of)</x:v>
      </x:c>
      <x:c r="C88" s="2" t="n">
        <x:v>2020</x:v>
      </x:c>
      <x:c r="D88" s="2" t="str">
        <x:v>TEMPO_PROXY</x:v>
      </x:c>
      <x:c r="E88" s="17" t="n">
        <x:v>277637578.22999954</x:v>
      </x:c>
      <x:c r="F88" s="17" t="n">
        <x:f>IF(AND(M88,ISNUMBER(R88)),IF(D88="TEMPO_PROXY",R88,IF(AND(ISNUMBER(S88),S88&gt;0,ISNUMBER(U88)),U88*R88/S88,"n.a.")),"n.a.")</x:f>
        <x:v>277637578.22999954</x:v>
      </x:c>
      <x:c r="G88" s="17" t="n">
        <x:f>IF(AND(ISNUMBER(E88),ISNUMBER(F88)),E88-F88,"n.a.")</x:f>
        <x:v>0</x:v>
      </x:c>
      <x:c r="H88" s="15" t="n">
        <x:f>IF(AND(ISNUMBER(E88),ISNUMBER(F88),F88&gt;0),(E88-F88)/F88,"n.a.")</x:f>
        <x:v>0</x:v>
      </x:c>
      <x:c r="I88" s="19" t="n">
        <x:f>IF(ISNUMBER(H88),ABS(H88),"n.a.")</x:f>
        <x:v>0</x:v>
      </x:c>
      <x:c r="J88" s="2" t="str">
        <x:v>available</x:v>
      </x:c>
      <x:c r="K88" s="2" t="n">
        <x:v>1</x:v>
      </x:c>
      <x:c r="L88" s="13" t="b">
        <x:v>1</x:v>
      </x:c>
      <x:c r="M88" s="13" t="b">
        <x:v>1</x:v>
      </x:c>
      <x:c r="N88" s="2" t="str">
        <x:v>inherited2020anchor</x:v>
      </x:c>
      <x:c r="O88" s="2" t="str"/>
      <x:c r="P88" s="2" t="str">
        <x:v>assumption-based floor-area proxy</x:v>
      </x:c>
      <x:c r="Q88" s="2" t="str">
        <x:v>m2</x:v>
      </x:c>
      <x:c r="R88" s="17" t="n">
        <x:v>277637578.22999954</x:v>
      </x:c>
      <x:c r="S88" s="17"/>
      <x:c r="T88" s="18"/>
      <x:c r="U88" s="17" t="n">
        <x:v>277637578.22999954</x:v>
      </x:c>
      <x:c r="V88" s="2" t="str">
        <x:v>existing saved physical-floor-area proxy</x:v>
      </x:c>
      <x:c r="W88" s="2" t="str">
        <x:v>legacy_epoch_source_QA_passed; new_common_native_support_not_certified</x:v>
      </x:c>
      <x:c r="X88" s="2" t="str">
        <x:v>https://arxiv.org/abs/2511.12104</x:v>
      </x:c>
    </x:row>
    <x:row r="89" ht="23" customHeight="1">
      <x:c r="A89" s="2" t="str">
        <x:v>GMB</x:v>
      </x:c>
      <x:c r="B89" s="2" t="str">
        <x:v>Gambia (Republic of the)</x:v>
      </x:c>
      <x:c r="C89" s="2" t="n">
        <x:v>2020</x:v>
      </x:c>
      <x:c r="D89" s="2" t="str">
        <x:v>TEMPO_PROXY</x:v>
      </x:c>
      <x:c r="E89" s="17" t="n">
        <x:v>56875154.52999992</x:v>
      </x:c>
      <x:c r="F89" s="17" t="n">
        <x:f>IF(AND(M89,ISNUMBER(R89)),IF(D89="TEMPO_PROXY",R89,IF(AND(ISNUMBER(S89),S89&gt;0,ISNUMBER(U89)),U89*R89/S89,"n.a.")),"n.a.")</x:f>
        <x:v>56875154.52999992</x:v>
      </x:c>
      <x:c r="G89" s="17" t="n">
        <x:f>IF(AND(ISNUMBER(E89),ISNUMBER(F89)),E89-F89,"n.a.")</x:f>
        <x:v>0</x:v>
      </x:c>
      <x:c r="H89" s="15" t="n">
        <x:f>IF(AND(ISNUMBER(E89),ISNUMBER(F89),F89&gt;0),(E89-F89)/F89,"n.a.")</x:f>
        <x:v>0</x:v>
      </x:c>
      <x:c r="I89" s="19" t="n">
        <x:f>IF(ISNUMBER(H89),ABS(H89),"n.a.")</x:f>
        <x:v>0</x:v>
      </x:c>
      <x:c r="J89" s="2" t="str">
        <x:v>available</x:v>
      </x:c>
      <x:c r="K89" s="2" t="n">
        <x:v>1</x:v>
      </x:c>
      <x:c r="L89" s="13" t="b">
        <x:v>1</x:v>
      </x:c>
      <x:c r="M89" s="13" t="b">
        <x:v>1</x:v>
      </x:c>
      <x:c r="N89" s="2" t="str">
        <x:v>inherited2020anchor</x:v>
      </x:c>
      <x:c r="O89" s="2" t="str"/>
      <x:c r="P89" s="2" t="str">
        <x:v>assumption-based floor-area proxy</x:v>
      </x:c>
      <x:c r="Q89" s="2" t="str">
        <x:v>m2</x:v>
      </x:c>
      <x:c r="R89" s="17" t="n">
        <x:v>56875154.52999992</x:v>
      </x:c>
      <x:c r="S89" s="17"/>
      <x:c r="T89" s="18"/>
      <x:c r="U89" s="17" t="n">
        <x:v>56875154.52999992</x:v>
      </x:c>
      <x:c r="V89" s="2" t="str">
        <x:v>existing saved physical-floor-area proxy</x:v>
      </x:c>
      <x:c r="W89" s="2" t="str">
        <x:v>legacy_epoch_source_QA_passed; new_common_native_support_not_certified</x:v>
      </x:c>
      <x:c r="X89" s="2" t="str">
        <x:v>https://arxiv.org/abs/2511.12104</x:v>
      </x:c>
    </x:row>
    <x:row r="90" ht="23" customHeight="1">
      <x:c r="A90" s="2" t="str">
        <x:v>GNB</x:v>
      </x:c>
      <x:c r="B90" s="2" t="str">
        <x:v>Guinea-Bissau (Republic of)</x:v>
      </x:c>
      <x:c r="C90" s="2" t="n">
        <x:v>2020</x:v>
      </x:c>
      <x:c r="D90" s="2" t="str">
        <x:v>TEMPO_PROXY</x:v>
      </x:c>
      <x:c r="E90" s="17" t="n">
        <x:v>48952674.499999925</x:v>
      </x:c>
      <x:c r="F90" s="17" t="n">
        <x:f>IF(AND(M90,ISNUMBER(R90)),IF(D90="TEMPO_PROXY",R90,IF(AND(ISNUMBER(S90),S90&gt;0,ISNUMBER(U90)),U90*R90/S90,"n.a.")),"n.a.")</x:f>
        <x:v>48952674.499999925</x:v>
      </x:c>
      <x:c r="G90" s="17" t="n">
        <x:f>IF(AND(ISNUMBER(E90),ISNUMBER(F90)),E90-F90,"n.a.")</x:f>
        <x:v>0</x:v>
      </x:c>
      <x:c r="H90" s="15" t="n">
        <x:f>IF(AND(ISNUMBER(E90),ISNUMBER(F90),F90&gt;0),(E90-F90)/F90,"n.a.")</x:f>
        <x:v>0</x:v>
      </x:c>
      <x:c r="I90" s="19" t="n">
        <x:f>IF(ISNUMBER(H90),ABS(H90),"n.a.")</x:f>
        <x:v>0</x:v>
      </x:c>
      <x:c r="J90" s="2" t="str">
        <x:v>available</x:v>
      </x:c>
      <x:c r="K90" s="2" t="n">
        <x:v>1</x:v>
      </x:c>
      <x:c r="L90" s="13" t="b">
        <x:v>1</x:v>
      </x:c>
      <x:c r="M90" s="13" t="b">
        <x:v>1</x:v>
      </x:c>
      <x:c r="N90" s="2" t="str">
        <x:v>inherited2020anchor</x:v>
      </x:c>
      <x:c r="O90" s="2" t="str"/>
      <x:c r="P90" s="2" t="str">
        <x:v>assumption-based floor-area proxy</x:v>
      </x:c>
      <x:c r="Q90" s="2" t="str">
        <x:v>m2</x:v>
      </x:c>
      <x:c r="R90" s="17" t="n">
        <x:v>48952674.499999925</x:v>
      </x:c>
      <x:c r="S90" s="17"/>
      <x:c r="T90" s="18"/>
      <x:c r="U90" s="17" t="n">
        <x:v>48952674.499999925</x:v>
      </x:c>
      <x:c r="V90" s="2" t="str">
        <x:v>existing saved physical-floor-area proxy</x:v>
      </x:c>
      <x:c r="W90" s="2" t="str">
        <x:v>legacy_epoch_source_QA_passed; new_common_native_support_not_certified</x:v>
      </x:c>
      <x:c r="X90" s="2" t="str">
        <x:v>https://arxiv.org/abs/2511.12104</x:v>
      </x:c>
    </x:row>
    <x:row r="91" ht="23" customHeight="1">
      <x:c r="A91" s="2" t="str">
        <x:v>GNQ</x:v>
      </x:c>
      <x:c r="B91" s="2" t="str">
        <x:v>Equatorial Guinea (Republic of)</x:v>
      </x:c>
      <x:c r="C91" s="2" t="n">
        <x:v>2020</x:v>
      </x:c>
      <x:c r="D91" s="2" t="str">
        <x:v>TEMPO_PROXY</x:v>
      </x:c>
      <x:c r="E91" s="17" t="n">
        <x:v>34102626.51999995</x:v>
      </x:c>
      <x:c r="F91" s="17" t="n">
        <x:f>IF(AND(M91,ISNUMBER(R91)),IF(D91="TEMPO_PROXY",R91,IF(AND(ISNUMBER(S91),S91&gt;0,ISNUMBER(U91)),U91*R91/S91,"n.a.")),"n.a.")</x:f>
        <x:v>34102626.51999995</x:v>
      </x:c>
      <x:c r="G91" s="17" t="n">
        <x:f>IF(AND(ISNUMBER(E91),ISNUMBER(F91)),E91-F91,"n.a.")</x:f>
        <x:v>0</x:v>
      </x:c>
      <x:c r="H91" s="15" t="n">
        <x:f>IF(AND(ISNUMBER(E91),ISNUMBER(F91),F91&gt;0),(E91-F91)/F91,"n.a.")</x:f>
        <x:v>0</x:v>
      </x:c>
      <x:c r="I91" s="19" t="n">
        <x:f>IF(ISNUMBER(H91),ABS(H91),"n.a.")</x:f>
        <x:v>0</x:v>
      </x:c>
      <x:c r="J91" s="2" t="str">
        <x:v>available</x:v>
      </x:c>
      <x:c r="K91" s="2" t="n">
        <x:v>1</x:v>
      </x:c>
      <x:c r="L91" s="13" t="b">
        <x:v>1</x:v>
      </x:c>
      <x:c r="M91" s="13" t="b">
        <x:v>1</x:v>
      </x:c>
      <x:c r="N91" s="2" t="str">
        <x:v>inherited2020anchor</x:v>
      </x:c>
      <x:c r="O91" s="2" t="str"/>
      <x:c r="P91" s="2" t="str">
        <x:v>assumption-based floor-area proxy</x:v>
      </x:c>
      <x:c r="Q91" s="2" t="str">
        <x:v>m2</x:v>
      </x:c>
      <x:c r="R91" s="17" t="n">
        <x:v>34102626.51999995</x:v>
      </x:c>
      <x:c r="S91" s="17"/>
      <x:c r="T91" s="18"/>
      <x:c r="U91" s="17" t="n">
        <x:v>34102626.51999995</x:v>
      </x:c>
      <x:c r="V91" s="2" t="str">
        <x:v>existing saved physical-floor-area proxy</x:v>
      </x:c>
      <x:c r="W91" s="2" t="str">
        <x:v>legacy_epoch_source_QA_passed; new_common_native_support_not_certified</x:v>
      </x:c>
      <x:c r="X91" s="2" t="str">
        <x:v>https://arxiv.org/abs/2511.12104</x:v>
      </x:c>
    </x:row>
    <x:row r="92" ht="23" customHeight="1">
      <x:c r="A92" s="2" t="str">
        <x:v>GRC</x:v>
      </x:c>
      <x:c r="B92" s="2" t="str">
        <x:v>Greece (Hellenic Republic)</x:v>
      </x:c>
      <x:c r="C92" s="2" t="n">
        <x:v>2020</x:v>
      </x:c>
      <x:c r="D92" s="2" t="str">
        <x:v>TEMPO_PROXY</x:v>
      </x:c>
      <x:c r="E92" s="17" t="n">
        <x:v>853851739.6700008</x:v>
      </x:c>
      <x:c r="F92" s="17" t="n">
        <x:f>IF(AND(M92,ISNUMBER(R92)),IF(D92="TEMPO_PROXY",R92,IF(AND(ISNUMBER(S92),S92&gt;0,ISNUMBER(U92)),U92*R92/S92,"n.a.")),"n.a.")</x:f>
        <x:v>853851739.6700008</x:v>
      </x:c>
      <x:c r="G92" s="17" t="n">
        <x:f>IF(AND(ISNUMBER(E92),ISNUMBER(F92)),E92-F92,"n.a.")</x:f>
        <x:v>0</x:v>
      </x:c>
      <x:c r="H92" s="15" t="n">
        <x:f>IF(AND(ISNUMBER(E92),ISNUMBER(F92),F92&gt;0),(E92-F92)/F92,"n.a.")</x:f>
        <x:v>0</x:v>
      </x:c>
      <x:c r="I92" s="19" t="n">
        <x:f>IF(ISNUMBER(H92),ABS(H92),"n.a.")</x:f>
        <x:v>0</x:v>
      </x:c>
      <x:c r="J92" s="2" t="str">
        <x:v>available</x:v>
      </x:c>
      <x:c r="K92" s="2" t="n">
        <x:v>1</x:v>
      </x:c>
      <x:c r="L92" s="13" t="b">
        <x:v>1</x:v>
      </x:c>
      <x:c r="M92" s="13" t="b">
        <x:v>1</x:v>
      </x:c>
      <x:c r="N92" s="2" t="str">
        <x:v>inherited2020anchor</x:v>
      </x:c>
      <x:c r="O92" s="2" t="str"/>
      <x:c r="P92" s="2" t="str">
        <x:v>assumption-based floor-area proxy</x:v>
      </x:c>
      <x:c r="Q92" s="2" t="str">
        <x:v>m2</x:v>
      </x:c>
      <x:c r="R92" s="17" t="n">
        <x:v>853851739.6700008</x:v>
      </x:c>
      <x:c r="S92" s="17"/>
      <x:c r="T92" s="18"/>
      <x:c r="U92" s="17" t="n">
        <x:v>853851739.6700008</x:v>
      </x:c>
      <x:c r="V92" s="2" t="str">
        <x:v>existing saved physical-floor-area proxy</x:v>
      </x:c>
      <x:c r="W92" s="2" t="str">
        <x:v>legacy_epoch_source_QA_passed; new_common_native_support_not_certified</x:v>
      </x:c>
      <x:c r="X92" s="2" t="str">
        <x:v>https://arxiv.org/abs/2511.12104</x:v>
      </x:c>
    </x:row>
    <x:row r="93" ht="23" customHeight="1">
      <x:c r="A93" s="2" t="str">
        <x:v>GRD</x:v>
      </x:c>
      <x:c r="B93" s="2" t="str">
        <x:v>Grenada</x:v>
      </x:c>
      <x:c r="C93" s="2" t="n">
        <x:v>2020</x:v>
      </x:c>
      <x:c r="D93" s="2" t="str">
        <x:v>TEMPO_PROXY</x:v>
      </x:c>
      <x:c r="E93" s="17" t="n">
        <x:v>6904998.419999993</x:v>
      </x:c>
      <x:c r="F93" s="17" t="n">
        <x:f>IF(AND(M93,ISNUMBER(R93)),IF(D93="TEMPO_PROXY",R93,IF(AND(ISNUMBER(S93),S93&gt;0,ISNUMBER(U93)),U93*R93/S93,"n.a.")),"n.a.")</x:f>
        <x:v>6904998.419999993</x:v>
      </x:c>
      <x:c r="G93" s="17" t="n">
        <x:f>IF(AND(ISNUMBER(E93),ISNUMBER(F93)),E93-F93,"n.a.")</x:f>
        <x:v>0</x:v>
      </x:c>
      <x:c r="H93" s="15" t="n">
        <x:f>IF(AND(ISNUMBER(E93),ISNUMBER(F93),F93&gt;0),(E93-F93)/F93,"n.a.")</x:f>
        <x:v>0</x:v>
      </x:c>
      <x:c r="I93" s="19" t="n">
        <x:f>IF(ISNUMBER(H93),ABS(H93),"n.a.")</x:f>
        <x:v>0</x:v>
      </x:c>
      <x:c r="J93" s="2" t="str">
        <x:v>available</x:v>
      </x:c>
      <x:c r="K93" s="2" t="n">
        <x:v>1</x:v>
      </x:c>
      <x:c r="L93" s="13" t="b">
        <x:v>1</x:v>
      </x:c>
      <x:c r="M93" s="13" t="b">
        <x:v>1</x:v>
      </x:c>
      <x:c r="N93" s="2" t="str">
        <x:v>inherited2020anchor</x:v>
      </x:c>
      <x:c r="O93" s="2" t="str"/>
      <x:c r="P93" s="2" t="str">
        <x:v>assumption-based floor-area proxy</x:v>
      </x:c>
      <x:c r="Q93" s="2" t="str">
        <x:v>m2</x:v>
      </x:c>
      <x:c r="R93" s="17" t="n">
        <x:v>6904998.419999993</x:v>
      </x:c>
      <x:c r="S93" s="17"/>
      <x:c r="T93" s="18"/>
      <x:c r="U93" s="17" t="n">
        <x:v>6904998.419999993</x:v>
      </x:c>
      <x:c r="V93" s="2" t="str">
        <x:v>existing saved physical-floor-area proxy</x:v>
      </x:c>
      <x:c r="W93" s="2" t="str">
        <x:v>legacy_epoch_source_QA_passed; new_common_native_support_not_certified</x:v>
      </x:c>
      <x:c r="X93" s="2" t="str">
        <x:v>https://arxiv.org/abs/2511.12104</x:v>
      </x:c>
    </x:row>
    <x:row r="94" ht="23" customHeight="1">
      <x:c r="A94" s="2" t="str">
        <x:v>GTM</x:v>
      </x:c>
      <x:c r="B94" s="2" t="str">
        <x:v>Guatemala (Republic of)</x:v>
      </x:c>
      <x:c r="C94" s="2" t="n">
        <x:v>2020</x:v>
      </x:c>
      <x:c r="D94" s="2" t="str">
        <x:v>TEMPO_PROXY</x:v>
      </x:c>
      <x:c r="E94" s="17" t="n">
        <x:v>599114028.8099989</x:v>
      </x:c>
      <x:c r="F94" s="17" t="n">
        <x:f>IF(AND(M94,ISNUMBER(R94)),IF(D94="TEMPO_PROXY",R94,IF(AND(ISNUMBER(S94),S94&gt;0,ISNUMBER(U94)),U94*R94/S94,"n.a.")),"n.a.")</x:f>
        <x:v>599114028.8099989</x:v>
      </x:c>
      <x:c r="G94" s="17" t="n">
        <x:f>IF(AND(ISNUMBER(E94),ISNUMBER(F94)),E94-F94,"n.a.")</x:f>
        <x:v>0</x:v>
      </x:c>
      <x:c r="H94" s="15" t="n">
        <x:f>IF(AND(ISNUMBER(E94),ISNUMBER(F94),F94&gt;0),(E94-F94)/F94,"n.a.")</x:f>
        <x:v>0</x:v>
      </x:c>
      <x:c r="I94" s="19" t="n">
        <x:f>IF(ISNUMBER(H94),ABS(H94),"n.a.")</x:f>
        <x:v>0</x:v>
      </x:c>
      <x:c r="J94" s="2" t="str">
        <x:v>available</x:v>
      </x:c>
      <x:c r="K94" s="2" t="n">
        <x:v>1</x:v>
      </x:c>
      <x:c r="L94" s="13" t="b">
        <x:v>1</x:v>
      </x:c>
      <x:c r="M94" s="13" t="b">
        <x:v>1</x:v>
      </x:c>
      <x:c r="N94" s="2" t="str">
        <x:v>inherited2020anchor</x:v>
      </x:c>
      <x:c r="O94" s="2" t="str"/>
      <x:c r="P94" s="2" t="str">
        <x:v>assumption-based floor-area proxy</x:v>
      </x:c>
      <x:c r="Q94" s="2" t="str">
        <x:v>m2</x:v>
      </x:c>
      <x:c r="R94" s="17" t="n">
        <x:v>599114028.8099989</x:v>
      </x:c>
      <x:c r="S94" s="17"/>
      <x:c r="T94" s="18"/>
      <x:c r="U94" s="17" t="n">
        <x:v>599114028.8099989</x:v>
      </x:c>
      <x:c r="V94" s="2" t="str">
        <x:v>existing saved physical-floor-area proxy</x:v>
      </x:c>
      <x:c r="W94" s="2" t="str">
        <x:v>legacy_epoch_source_QA_passed; new_common_native_support_not_certified</x:v>
      </x:c>
      <x:c r="X94" s="2" t="str">
        <x:v>https://arxiv.org/abs/2511.12104</x:v>
      </x:c>
    </x:row>
    <x:row r="95" ht="23" customHeight="1">
      <x:c r="A95" s="2" t="str">
        <x:v>GUY</x:v>
      </x:c>
      <x:c r="B95" s="2" t="str">
        <x:v>Guyana (Co-operative Republic of)</x:v>
      </x:c>
      <x:c r="C95" s="2" t="n">
        <x:v>2020</x:v>
      </x:c>
      <x:c r="D95" s="2" t="str">
        <x:v>TEMPO_PROXY</x:v>
      </x:c>
      <x:c r="E95" s="17" t="n">
        <x:v>46462035.66000002</x:v>
      </x:c>
      <x:c r="F95" s="17" t="n">
        <x:f>IF(AND(M95,ISNUMBER(R95)),IF(D95="TEMPO_PROXY",R95,IF(AND(ISNUMBER(S95),S95&gt;0,ISNUMBER(U95)),U95*R95/S95,"n.a.")),"n.a.")</x:f>
        <x:v>46462035.66000002</x:v>
      </x:c>
      <x:c r="G95" s="17" t="n">
        <x:f>IF(AND(ISNUMBER(E95),ISNUMBER(F95)),E95-F95,"n.a.")</x:f>
        <x:v>0</x:v>
      </x:c>
      <x:c r="H95" s="15" t="n">
        <x:f>IF(AND(ISNUMBER(E95),ISNUMBER(F95),F95&gt;0),(E95-F95)/F95,"n.a.")</x:f>
        <x:v>0</x:v>
      </x:c>
      <x:c r="I95" s="19" t="n">
        <x:f>IF(ISNUMBER(H95),ABS(H95),"n.a.")</x:f>
        <x:v>0</x:v>
      </x:c>
      <x:c r="J95" s="2" t="str">
        <x:v>available</x:v>
      </x:c>
      <x:c r="K95" s="2" t="n">
        <x:v>1</x:v>
      </x:c>
      <x:c r="L95" s="13" t="b">
        <x:v>1</x:v>
      </x:c>
      <x:c r="M95" s="13" t="b">
        <x:v>1</x:v>
      </x:c>
      <x:c r="N95" s="2" t="str">
        <x:v>inherited2020anchor</x:v>
      </x:c>
      <x:c r="O95" s="2" t="str"/>
      <x:c r="P95" s="2" t="str">
        <x:v>assumption-based floor-area proxy</x:v>
      </x:c>
      <x:c r="Q95" s="2" t="str">
        <x:v>m2</x:v>
      </x:c>
      <x:c r="R95" s="17" t="n">
        <x:v>46462035.66000002</x:v>
      </x:c>
      <x:c r="S95" s="17"/>
      <x:c r="T95" s="18"/>
      <x:c r="U95" s="17" t="n">
        <x:v>46462035.66000002</x:v>
      </x:c>
      <x:c r="V95" s="2" t="str">
        <x:v>existing saved physical-floor-area proxy</x:v>
      </x:c>
      <x:c r="W95" s="2" t="str">
        <x:v>legacy_epoch_source_QA_passed; new_common_native_support_not_certified</x:v>
      </x:c>
      <x:c r="X95" s="2" t="str">
        <x:v>https://arxiv.org/abs/2511.12104</x:v>
      </x:c>
    </x:row>
    <x:row r="96" ht="23" customHeight="1">
      <x:c r="A96" s="2" t="str">
        <x:v>HND</x:v>
      </x:c>
      <x:c r="B96" s="2" t="str">
        <x:v>Honduras (Republic of)</x:v>
      </x:c>
      <x:c r="C96" s="2" t="n">
        <x:v>2020</x:v>
      </x:c>
      <x:c r="D96" s="2" t="str">
        <x:v>TEMPO_PROXY</x:v>
      </x:c>
      <x:c r="E96" s="17" t="n">
        <x:v>335660713.2700002</x:v>
      </x:c>
      <x:c r="F96" s="17" t="n">
        <x:f>IF(AND(M96,ISNUMBER(R96)),IF(D96="TEMPO_PROXY",R96,IF(AND(ISNUMBER(S96),S96&gt;0,ISNUMBER(U96)),U96*R96/S96,"n.a.")),"n.a.")</x:f>
        <x:v>335660713.2700002</x:v>
      </x:c>
      <x:c r="G96" s="17" t="n">
        <x:f>IF(AND(ISNUMBER(E96),ISNUMBER(F96)),E96-F96,"n.a.")</x:f>
        <x:v>0</x:v>
      </x:c>
      <x:c r="H96" s="15" t="n">
        <x:f>IF(AND(ISNUMBER(E96),ISNUMBER(F96),F96&gt;0),(E96-F96)/F96,"n.a.")</x:f>
        <x:v>0</x:v>
      </x:c>
      <x:c r="I96" s="19" t="n">
        <x:f>IF(ISNUMBER(H96),ABS(H96),"n.a.")</x:f>
        <x:v>0</x:v>
      </x:c>
      <x:c r="J96" s="2" t="str">
        <x:v>available</x:v>
      </x:c>
      <x:c r="K96" s="2" t="n">
        <x:v>1</x:v>
      </x:c>
      <x:c r="L96" s="13" t="b">
        <x:v>1</x:v>
      </x:c>
      <x:c r="M96" s="13" t="b">
        <x:v>1</x:v>
      </x:c>
      <x:c r="N96" s="2" t="str">
        <x:v>inherited2020anchor</x:v>
      </x:c>
      <x:c r="O96" s="2" t="str"/>
      <x:c r="P96" s="2" t="str">
        <x:v>assumption-based floor-area proxy</x:v>
      </x:c>
      <x:c r="Q96" s="2" t="str">
        <x:v>m2</x:v>
      </x:c>
      <x:c r="R96" s="17" t="n">
        <x:v>335660713.2700002</x:v>
      </x:c>
      <x:c r="S96" s="17"/>
      <x:c r="T96" s="18"/>
      <x:c r="U96" s="17" t="n">
        <x:v>335660713.2700002</x:v>
      </x:c>
      <x:c r="V96" s="2" t="str">
        <x:v>existing saved physical-floor-area proxy</x:v>
      </x:c>
      <x:c r="W96" s="2" t="str">
        <x:v>legacy_epoch_source_QA_passed; new_common_native_support_not_certified</x:v>
      </x:c>
      <x:c r="X96" s="2" t="str">
        <x:v>https://arxiv.org/abs/2511.12104</x:v>
      </x:c>
    </x:row>
    <x:row r="97" ht="23" customHeight="1">
      <x:c r="A97" s="2" t="str">
        <x:v>HRV</x:v>
      </x:c>
      <x:c r="B97" s="2" t="str">
        <x:v>Croatia (Republic of)</x:v>
      </x:c>
      <x:c r="C97" s="2" t="n">
        <x:v>2020</x:v>
      </x:c>
      <x:c r="D97" s="2" t="str">
        <x:v>TEMPO_PROXY</x:v>
      </x:c>
      <x:c r="E97" s="17" t="n">
        <x:v>361520718.4299994</x:v>
      </x:c>
      <x:c r="F97" s="17" t="n">
        <x:f>IF(AND(M97,ISNUMBER(R97)),IF(D97="TEMPO_PROXY",R97,IF(AND(ISNUMBER(S97),S97&gt;0,ISNUMBER(U97)),U97*R97/S97,"n.a.")),"n.a.")</x:f>
        <x:v>361520718.4299994</x:v>
      </x:c>
      <x:c r="G97" s="17" t="n">
        <x:f>IF(AND(ISNUMBER(E97),ISNUMBER(F97)),E97-F97,"n.a.")</x:f>
        <x:v>0</x:v>
      </x:c>
      <x:c r="H97" s="15" t="n">
        <x:f>IF(AND(ISNUMBER(E97),ISNUMBER(F97),F97&gt;0),(E97-F97)/F97,"n.a.")</x:f>
        <x:v>0</x:v>
      </x:c>
      <x:c r="I97" s="19" t="n">
        <x:f>IF(ISNUMBER(H97),ABS(H97),"n.a.")</x:f>
        <x:v>0</x:v>
      </x:c>
      <x:c r="J97" s="2" t="str">
        <x:v>available</x:v>
      </x:c>
      <x:c r="K97" s="2" t="n">
        <x:v>1</x:v>
      </x:c>
      <x:c r="L97" s="13" t="b">
        <x:v>1</x:v>
      </x:c>
      <x:c r="M97" s="13" t="b">
        <x:v>1</x:v>
      </x:c>
      <x:c r="N97" s="2" t="str">
        <x:v>inherited2020anchor</x:v>
      </x:c>
      <x:c r="O97" s="2" t="str"/>
      <x:c r="P97" s="2" t="str">
        <x:v>assumption-based floor-area proxy</x:v>
      </x:c>
      <x:c r="Q97" s="2" t="str">
        <x:v>m2</x:v>
      </x:c>
      <x:c r="R97" s="17" t="n">
        <x:v>361520718.4299994</x:v>
      </x:c>
      <x:c r="S97" s="17"/>
      <x:c r="T97" s="18"/>
      <x:c r="U97" s="17" t="n">
        <x:v>361520718.4299994</x:v>
      </x:c>
      <x:c r="V97" s="2" t="str">
        <x:v>existing saved physical-floor-area proxy</x:v>
      </x:c>
      <x:c r="W97" s="2" t="str">
        <x:v>legacy_epoch_source_QA_passed; new_common_native_support_not_certified</x:v>
      </x:c>
      <x:c r="X97" s="2" t="str">
        <x:v>https://arxiv.org/abs/2511.12104</x:v>
      </x:c>
    </x:row>
    <x:row r="98" ht="23" customHeight="1">
      <x:c r="A98" s="2" t="str">
        <x:v>HTI</x:v>
      </x:c>
      <x:c r="B98" s="2" t="str">
        <x:v>Haiti (Republic of)</x:v>
      </x:c>
      <x:c r="C98" s="2" t="n">
        <x:v>2020</x:v>
      </x:c>
      <x:c r="D98" s="2" t="str">
        <x:v>TEMPO_PROXY</x:v>
      </x:c>
      <x:c r="E98" s="17" t="n">
        <x:v>189002396.5400002</x:v>
      </x:c>
      <x:c r="F98" s="17" t="n">
        <x:f>IF(AND(M98,ISNUMBER(R98)),IF(D98="TEMPO_PROXY",R98,IF(AND(ISNUMBER(S98),S98&gt;0,ISNUMBER(U98)),U98*R98/S98,"n.a.")),"n.a.")</x:f>
        <x:v>189002396.5400002</x:v>
      </x:c>
      <x:c r="G98" s="17" t="n">
        <x:f>IF(AND(ISNUMBER(E98),ISNUMBER(F98)),E98-F98,"n.a.")</x:f>
        <x:v>0</x:v>
      </x:c>
      <x:c r="H98" s="15" t="n">
        <x:f>IF(AND(ISNUMBER(E98),ISNUMBER(F98),F98&gt;0),(E98-F98)/F98,"n.a.")</x:f>
        <x:v>0</x:v>
      </x:c>
      <x:c r="I98" s="19" t="n">
        <x:f>IF(ISNUMBER(H98),ABS(H98),"n.a.")</x:f>
        <x:v>0</x:v>
      </x:c>
      <x:c r="J98" s="2" t="str">
        <x:v>available</x:v>
      </x:c>
      <x:c r="K98" s="2" t="n">
        <x:v>1</x:v>
      </x:c>
      <x:c r="L98" s="13" t="b">
        <x:v>1</x:v>
      </x:c>
      <x:c r="M98" s="13" t="b">
        <x:v>1</x:v>
      </x:c>
      <x:c r="N98" s="2" t="str">
        <x:v>inherited2020anchor</x:v>
      </x:c>
      <x:c r="O98" s="2" t="str"/>
      <x:c r="P98" s="2" t="str">
        <x:v>assumption-based floor-area proxy</x:v>
      </x:c>
      <x:c r="Q98" s="2" t="str">
        <x:v>m2</x:v>
      </x:c>
      <x:c r="R98" s="17" t="n">
        <x:v>189002396.5400002</x:v>
      </x:c>
      <x:c r="S98" s="17"/>
      <x:c r="T98" s="18"/>
      <x:c r="U98" s="17" t="n">
        <x:v>189002396.5400002</x:v>
      </x:c>
      <x:c r="V98" s="2" t="str">
        <x:v>existing saved physical-floor-area proxy</x:v>
      </x:c>
      <x:c r="W98" s="2" t="str">
        <x:v>legacy_epoch_source_QA_passed; new_common_native_support_not_certified</x:v>
      </x:c>
      <x:c r="X98" s="2" t="str">
        <x:v>https://arxiv.org/abs/2511.12104</x:v>
      </x:c>
    </x:row>
    <x:row r="99" ht="23" customHeight="1">
      <x:c r="A99" s="2" t="str">
        <x:v>HUN</x:v>
      </x:c>
      <x:c r="B99" s="2" t="str">
        <x:v>Hungary</x:v>
      </x:c>
      <x:c r="C99" s="2" t="n">
        <x:v>2020</x:v>
      </x:c>
      <x:c r="D99" s="2" t="str">
        <x:v>TEMPO_PROXY</x:v>
      </x:c>
      <x:c r="E99" s="17" t="n">
        <x:v>853072780.5300013</x:v>
      </x:c>
      <x:c r="F99" s="17" t="n">
        <x:f>IF(AND(M99,ISNUMBER(R99)),IF(D99="TEMPO_PROXY",R99,IF(AND(ISNUMBER(S99),S99&gt;0,ISNUMBER(U99)),U99*R99/S99,"n.a.")),"n.a.")</x:f>
        <x:v>853072780.5300013</x:v>
      </x:c>
      <x:c r="G99" s="17" t="n">
        <x:f>IF(AND(ISNUMBER(E99),ISNUMBER(F99)),E99-F99,"n.a.")</x:f>
        <x:v>0</x:v>
      </x:c>
      <x:c r="H99" s="15" t="n">
        <x:f>IF(AND(ISNUMBER(E99),ISNUMBER(F99),F99&gt;0),(E99-F99)/F99,"n.a.")</x:f>
        <x:v>0</x:v>
      </x:c>
      <x:c r="I99" s="19" t="n">
        <x:f>IF(ISNUMBER(H99),ABS(H99),"n.a.")</x:f>
        <x:v>0</x:v>
      </x:c>
      <x:c r="J99" s="2" t="str">
        <x:v>available</x:v>
      </x:c>
      <x:c r="K99" s="2" t="n">
        <x:v>1</x:v>
      </x:c>
      <x:c r="L99" s="13" t="b">
        <x:v>1</x:v>
      </x:c>
      <x:c r="M99" s="13" t="b">
        <x:v>1</x:v>
      </x:c>
      <x:c r="N99" s="2" t="str">
        <x:v>inherited2020anchor</x:v>
      </x:c>
      <x:c r="O99" s="2" t="str"/>
      <x:c r="P99" s="2" t="str">
        <x:v>assumption-based floor-area proxy</x:v>
      </x:c>
      <x:c r="Q99" s="2" t="str">
        <x:v>m2</x:v>
      </x:c>
      <x:c r="R99" s="17" t="n">
        <x:v>853072780.5300013</x:v>
      </x:c>
      <x:c r="S99" s="17"/>
      <x:c r="T99" s="18"/>
      <x:c r="U99" s="17" t="n">
        <x:v>853072780.5300013</x:v>
      </x:c>
      <x:c r="V99" s="2" t="str">
        <x:v>existing saved physical-floor-area proxy</x:v>
      </x:c>
      <x:c r="W99" s="2" t="str">
        <x:v>legacy_epoch_source_QA_passed; new_common_native_support_not_certified</x:v>
      </x:c>
      <x:c r="X99" s="2" t="str">
        <x:v>https://arxiv.org/abs/2511.12104</x:v>
      </x:c>
    </x:row>
    <x:row r="100" ht="23" customHeight="1">
      <x:c r="A100" s="2" t="str">
        <x:v>IDN</x:v>
      </x:c>
      <x:c r="B100" s="2" t="str">
        <x:v>Indonesia (Republic of)</x:v>
      </x:c>
      <x:c r="C100" s="2" t="n">
        <x:v>2020</x:v>
      </x:c>
      <x:c r="D100" s="2" t="str">
        <x:v>TEMPO_PROXY</x:v>
      </x:c>
      <x:c r="E100" s="17" t="n">
        <x:v>10794355074.089985</x:v>
      </x:c>
      <x:c r="F100" s="17" t="n">
        <x:f>IF(AND(M100,ISNUMBER(R100)),IF(D100="TEMPO_PROXY",R100,IF(AND(ISNUMBER(S100),S100&gt;0,ISNUMBER(U100)),U100*R100/S100,"n.a.")),"n.a.")</x:f>
        <x:v>10794355074.089985</x:v>
      </x:c>
      <x:c r="G100" s="17" t="n">
        <x:f>IF(AND(ISNUMBER(E100),ISNUMBER(F100)),E100-F100,"n.a.")</x:f>
        <x:v>0</x:v>
      </x:c>
      <x:c r="H100" s="15" t="n">
        <x:f>IF(AND(ISNUMBER(E100),ISNUMBER(F100),F100&gt;0),(E100-F100)/F100,"n.a.")</x:f>
        <x:v>0</x:v>
      </x:c>
      <x:c r="I100" s="19" t="n">
        <x:f>IF(ISNUMBER(H100),ABS(H100),"n.a.")</x:f>
        <x:v>0</x:v>
      </x:c>
      <x:c r="J100" s="2" t="str">
        <x:v>available</x:v>
      </x:c>
      <x:c r="K100" s="2" t="n">
        <x:v>1</x:v>
      </x:c>
      <x:c r="L100" s="13" t="b">
        <x:v>1</x:v>
      </x:c>
      <x:c r="M100" s="13" t="b">
        <x:v>1</x:v>
      </x:c>
      <x:c r="N100" s="2" t="str">
        <x:v>inherited2020anchor</x:v>
      </x:c>
      <x:c r="O100" s="2" t="str"/>
      <x:c r="P100" s="2" t="str">
        <x:v>assumption-based floor-area proxy</x:v>
      </x:c>
      <x:c r="Q100" s="2" t="str">
        <x:v>m2</x:v>
      </x:c>
      <x:c r="R100" s="17" t="n">
        <x:v>10794355074.089985</x:v>
      </x:c>
      <x:c r="S100" s="17"/>
      <x:c r="T100" s="18"/>
      <x:c r="U100" s="17" t="n">
        <x:v>10794355074.089985</x:v>
      </x:c>
      <x:c r="V100" s="2" t="str">
        <x:v>existing saved physical-floor-area proxy</x:v>
      </x:c>
      <x:c r="W100" s="2" t="str">
        <x:v>legacy_epoch_source_QA_passed; new_common_native_support_not_certified</x:v>
      </x:c>
      <x:c r="X100" s="2" t="str">
        <x:v>https://arxiv.org/abs/2511.12104</x:v>
      </x:c>
    </x:row>
    <x:row r="101" ht="23" customHeight="1">
      <x:c r="A101" s="2" t="str">
        <x:v>IND</x:v>
      </x:c>
      <x:c r="B101" s="2" t="str">
        <x:v>India (Republic of)</x:v>
      </x:c>
      <x:c r="C101" s="2" t="n">
        <x:v>2020</x:v>
      </x:c>
      <x:c r="D101" s="2" t="str">
        <x:v>TEMPO_PROXY</x:v>
      </x:c>
      <x:c r="E101" s="17" t="n">
        <x:v>27853638424.040043</x:v>
      </x:c>
      <x:c r="F101" s="17" t="n">
        <x:f>IF(AND(M101,ISNUMBER(R101)),IF(D101="TEMPO_PROXY",R101,IF(AND(ISNUMBER(S101),S101&gt;0,ISNUMBER(U101)),U101*R101/S101,"n.a.")),"n.a.")</x:f>
        <x:v>27853638424.040043</x:v>
      </x:c>
      <x:c r="G101" s="17" t="n">
        <x:f>IF(AND(ISNUMBER(E101),ISNUMBER(F101)),E101-F101,"n.a.")</x:f>
        <x:v>0</x:v>
      </x:c>
      <x:c r="H101" s="15" t="n">
        <x:f>IF(AND(ISNUMBER(E101),ISNUMBER(F101),F101&gt;0),(E101-F101)/F101,"n.a.")</x:f>
        <x:v>0</x:v>
      </x:c>
      <x:c r="I101" s="19" t="n">
        <x:f>IF(ISNUMBER(H101),ABS(H101),"n.a.")</x:f>
        <x:v>0</x:v>
      </x:c>
      <x:c r="J101" s="2" t="str">
        <x:v>available</x:v>
      </x:c>
      <x:c r="K101" s="2" t="n">
        <x:v>1</x:v>
      </x:c>
      <x:c r="L101" s="13" t="b">
        <x:v>1</x:v>
      </x:c>
      <x:c r="M101" s="13" t="b">
        <x:v>1</x:v>
      </x:c>
      <x:c r="N101" s="2" t="str">
        <x:v>inherited2020anchor</x:v>
      </x:c>
      <x:c r="O101" s="2" t="str"/>
      <x:c r="P101" s="2" t="str">
        <x:v>assumption-based floor-area proxy</x:v>
      </x:c>
      <x:c r="Q101" s="2" t="str">
        <x:v>m2</x:v>
      </x:c>
      <x:c r="R101" s="17" t="n">
        <x:v>27853638424.040043</x:v>
      </x:c>
      <x:c r="S101" s="17"/>
      <x:c r="T101" s="18"/>
      <x:c r="U101" s="17" t="n">
        <x:v>27853638424.040043</x:v>
      </x:c>
      <x:c r="V101" s="2" t="str">
        <x:v>existing saved physical-floor-area proxy</x:v>
      </x:c>
      <x:c r="W101" s="2" t="str">
        <x:v>legacy_epoch_source_QA_passed; new_common_native_support_not_certified</x:v>
      </x:c>
      <x:c r="X101" s="2" t="str">
        <x:v>https://arxiv.org/abs/2511.12104</x:v>
      </x:c>
    </x:row>
    <x:row r="102" ht="23" customHeight="1">
      <x:c r="A102" s="2" t="str">
        <x:v>IRL</x:v>
      </x:c>
      <x:c r="B102" s="2" t="str">
        <x:v>Ireland</x:v>
      </x:c>
      <x:c r="C102" s="2" t="n">
        <x:v>2020</x:v>
      </x:c>
      <x:c r="D102" s="2" t="str">
        <x:v>TEMPO_PROXY</x:v>
      </x:c>
      <x:c r="E102" s="17" t="n">
        <x:v>426553619.39999974</x:v>
      </x:c>
      <x:c r="F102" s="17" t="n">
        <x:f>IF(AND(M102,ISNUMBER(R102)),IF(D102="TEMPO_PROXY",R102,IF(AND(ISNUMBER(S102),S102&gt;0,ISNUMBER(U102)),U102*R102/S102,"n.a.")),"n.a.")</x:f>
        <x:v>426553619.39999974</x:v>
      </x:c>
      <x:c r="G102" s="17" t="n">
        <x:f>IF(AND(ISNUMBER(E102),ISNUMBER(F102)),E102-F102,"n.a.")</x:f>
        <x:v>0</x:v>
      </x:c>
      <x:c r="H102" s="15" t="n">
        <x:f>IF(AND(ISNUMBER(E102),ISNUMBER(F102),F102&gt;0),(E102-F102)/F102,"n.a.")</x:f>
        <x:v>0</x:v>
      </x:c>
      <x:c r="I102" s="19" t="n">
        <x:f>IF(ISNUMBER(H102),ABS(H102),"n.a.")</x:f>
        <x:v>0</x:v>
      </x:c>
      <x:c r="J102" s="2" t="str">
        <x:v>available</x:v>
      </x:c>
      <x:c r="K102" s="2" t="n">
        <x:v>1</x:v>
      </x:c>
      <x:c r="L102" s="13" t="b">
        <x:v>1</x:v>
      </x:c>
      <x:c r="M102" s="13" t="b">
        <x:v>1</x:v>
      </x:c>
      <x:c r="N102" s="2" t="str">
        <x:v>inherited2020anchor</x:v>
      </x:c>
      <x:c r="O102" s="2" t="str"/>
      <x:c r="P102" s="2" t="str">
        <x:v>assumption-based floor-area proxy</x:v>
      </x:c>
      <x:c r="Q102" s="2" t="str">
        <x:v>m2</x:v>
      </x:c>
      <x:c r="R102" s="17" t="n">
        <x:v>426553619.39999974</x:v>
      </x:c>
      <x:c r="S102" s="17"/>
      <x:c r="T102" s="18"/>
      <x:c r="U102" s="17" t="n">
        <x:v>426553619.39999974</x:v>
      </x:c>
      <x:c r="V102" s="2" t="str">
        <x:v>existing saved physical-floor-area proxy</x:v>
      </x:c>
      <x:c r="W102" s="2" t="str">
        <x:v>legacy_epoch_source_QA_passed; new_common_native_support_not_certified</x:v>
      </x:c>
      <x:c r="X102" s="2" t="str">
        <x:v>https://arxiv.org/abs/2511.12104</x:v>
      </x:c>
    </x:row>
    <x:row r="103" ht="23" customHeight="1">
      <x:c r="A103" s="2" t="str">
        <x:v>IRN</x:v>
      </x:c>
      <x:c r="B103" s="2" t="str">
        <x:v>Iran (Islamic Republic of)</x:v>
      </x:c>
      <x:c r="C103" s="2" t="n">
        <x:v>2020</x:v>
      </x:c>
      <x:c r="D103" s="2" t="str">
        <x:v>TEMPO_PROXY</x:v>
      </x:c>
      <x:c r="E103" s="17" t="n">
        <x:v>3753827768.770001</x:v>
      </x:c>
      <x:c r="F103" s="17" t="n">
        <x:f>IF(AND(M103,ISNUMBER(R103)),IF(D103="TEMPO_PROXY",R103,IF(AND(ISNUMBER(S103),S103&gt;0,ISNUMBER(U103)),U103*R103/S103,"n.a.")),"n.a.")</x:f>
        <x:v>3753827768.770001</x:v>
      </x:c>
      <x:c r="G103" s="17" t="n">
        <x:f>IF(AND(ISNUMBER(E103),ISNUMBER(F103)),E103-F103,"n.a.")</x:f>
        <x:v>0</x:v>
      </x:c>
      <x:c r="H103" s="15" t="n">
        <x:f>IF(AND(ISNUMBER(E103),ISNUMBER(F103),F103&gt;0),(E103-F103)/F103,"n.a.")</x:f>
        <x:v>0</x:v>
      </x:c>
      <x:c r="I103" s="19" t="n">
        <x:f>IF(ISNUMBER(H103),ABS(H103),"n.a.")</x:f>
        <x:v>0</x:v>
      </x:c>
      <x:c r="J103" s="2" t="str">
        <x:v>available</x:v>
      </x:c>
      <x:c r="K103" s="2" t="n">
        <x:v>1</x:v>
      </x:c>
      <x:c r="L103" s="13" t="b">
        <x:v>1</x:v>
      </x:c>
      <x:c r="M103" s="13" t="b">
        <x:v>1</x:v>
      </x:c>
      <x:c r="N103" s="2" t="str">
        <x:v>inherited2020anchor</x:v>
      </x:c>
      <x:c r="O103" s="2" t="str"/>
      <x:c r="P103" s="2" t="str">
        <x:v>assumption-based floor-area proxy</x:v>
      </x:c>
      <x:c r="Q103" s="2" t="str">
        <x:v>m2</x:v>
      </x:c>
      <x:c r="R103" s="17" t="n">
        <x:v>3753827768.770001</x:v>
      </x:c>
      <x:c r="S103" s="17"/>
      <x:c r="T103" s="18"/>
      <x:c r="U103" s="17" t="n">
        <x:v>3753827768.770001</x:v>
      </x:c>
      <x:c r="V103" s="2" t="str">
        <x:v>existing saved physical-floor-area proxy</x:v>
      </x:c>
      <x:c r="W103" s="2" t="str">
        <x:v>legacy_epoch_source_QA_passed; new_common_native_support_not_certified</x:v>
      </x:c>
      <x:c r="X103" s="2" t="str">
        <x:v>https://arxiv.org/abs/2511.12104</x:v>
      </x:c>
    </x:row>
    <x:row r="104" ht="23" customHeight="1">
      <x:c r="A104" s="2" t="str">
        <x:v>IRQ</x:v>
      </x:c>
      <x:c r="B104" s="2" t="str">
        <x:v>Iraq (Republic of)</x:v>
      </x:c>
      <x:c r="C104" s="2" t="n">
        <x:v>2020</x:v>
      </x:c>
      <x:c r="D104" s="2" t="str">
        <x:v>TEMPO_PROXY</x:v>
      </x:c>
      <x:c r="E104" s="17" t="n">
        <x:v>1226955244.870001</x:v>
      </x:c>
      <x:c r="F104" s="17" t="n">
        <x:f>IF(AND(M104,ISNUMBER(R104)),IF(D104="TEMPO_PROXY",R104,IF(AND(ISNUMBER(S104),S104&gt;0,ISNUMBER(U104)),U104*R104/S104,"n.a.")),"n.a.")</x:f>
        <x:v>1226955244.870001</x:v>
      </x:c>
      <x:c r="G104" s="17" t="n">
        <x:f>IF(AND(ISNUMBER(E104),ISNUMBER(F104)),E104-F104,"n.a.")</x:f>
        <x:v>0</x:v>
      </x:c>
      <x:c r="H104" s="15" t="n">
        <x:f>IF(AND(ISNUMBER(E104),ISNUMBER(F104),F104&gt;0),(E104-F104)/F104,"n.a.")</x:f>
        <x:v>0</x:v>
      </x:c>
      <x:c r="I104" s="19" t="n">
        <x:f>IF(ISNUMBER(H104),ABS(H104),"n.a.")</x:f>
        <x:v>0</x:v>
      </x:c>
      <x:c r="J104" s="2" t="str">
        <x:v>available</x:v>
      </x:c>
      <x:c r="K104" s="2" t="n">
        <x:v>1</x:v>
      </x:c>
      <x:c r="L104" s="13" t="b">
        <x:v>1</x:v>
      </x:c>
      <x:c r="M104" s="13" t="b">
        <x:v>1</x:v>
      </x:c>
      <x:c r="N104" s="2" t="str">
        <x:v>inherited2020anchor</x:v>
      </x:c>
      <x:c r="O104" s="2" t="str"/>
      <x:c r="P104" s="2" t="str">
        <x:v>assumption-based floor-area proxy</x:v>
      </x:c>
      <x:c r="Q104" s="2" t="str">
        <x:v>m2</x:v>
      </x:c>
      <x:c r="R104" s="17" t="n">
        <x:v>1226955244.870001</x:v>
      </x:c>
      <x:c r="S104" s="17"/>
      <x:c r="T104" s="18"/>
      <x:c r="U104" s="17" t="n">
        <x:v>1226955244.870001</x:v>
      </x:c>
      <x:c r="V104" s="2" t="str">
        <x:v>existing saved physical-floor-area proxy</x:v>
      </x:c>
      <x:c r="W104" s="2" t="str">
        <x:v>legacy_epoch_source_QA_passed; new_common_native_support_not_certified</x:v>
      </x:c>
      <x:c r="X104" s="2" t="str">
        <x:v>https://arxiv.org/abs/2511.12104</x:v>
      </x:c>
    </x:row>
    <x:row r="105" ht="23" customHeight="1">
      <x:c r="A105" s="2" t="str">
        <x:v>ISL</x:v>
      </x:c>
      <x:c r="B105" s="2" t="str">
        <x:v>Iceland</x:v>
      </x:c>
      <x:c r="C105" s="2" t="n">
        <x:v>2020</x:v>
      </x:c>
      <x:c r="D105" s="2" t="str">
        <x:v>TEMPO_PROXY</x:v>
      </x:c>
      <x:c r="E105" s="17" t="n">
        <x:v>26377629.56999999</x:v>
      </x:c>
      <x:c r="F105" s="17" t="n">
        <x:f>IF(AND(M105,ISNUMBER(R105)),IF(D105="TEMPO_PROXY",R105,IF(AND(ISNUMBER(S105),S105&gt;0,ISNUMBER(U105)),U105*R105/S105,"n.a.")),"n.a.")</x:f>
        <x:v>26377629.56999999</x:v>
      </x:c>
      <x:c r="G105" s="17" t="n">
        <x:f>IF(AND(ISNUMBER(E105),ISNUMBER(F105)),E105-F105,"n.a.")</x:f>
        <x:v>0</x:v>
      </x:c>
      <x:c r="H105" s="15" t="n">
        <x:f>IF(AND(ISNUMBER(E105),ISNUMBER(F105),F105&gt;0),(E105-F105)/F105,"n.a.")</x:f>
        <x:v>0</x:v>
      </x:c>
      <x:c r="I105" s="19" t="n">
        <x:f>IF(ISNUMBER(H105),ABS(H105),"n.a.")</x:f>
        <x:v>0</x:v>
      </x:c>
      <x:c r="J105" s="2" t="str">
        <x:v>available</x:v>
      </x:c>
      <x:c r="K105" s="2" t="n">
        <x:v>1</x:v>
      </x:c>
      <x:c r="L105" s="13" t="b">
        <x:v>1</x:v>
      </x:c>
      <x:c r="M105" s="13" t="b">
        <x:v>1</x:v>
      </x:c>
      <x:c r="N105" s="2" t="str">
        <x:v>inherited2020anchor</x:v>
      </x:c>
      <x:c r="O105" s="2" t="str"/>
      <x:c r="P105" s="2" t="str">
        <x:v>assumption-based floor-area proxy</x:v>
      </x:c>
      <x:c r="Q105" s="2" t="str">
        <x:v>m2</x:v>
      </x:c>
      <x:c r="R105" s="17" t="n">
        <x:v>26377629.56999999</x:v>
      </x:c>
      <x:c r="S105" s="17"/>
      <x:c r="T105" s="18"/>
      <x:c r="U105" s="17" t="n">
        <x:v>26377629.56999999</x:v>
      </x:c>
      <x:c r="V105" s="2" t="str">
        <x:v>existing saved physical-floor-area proxy</x:v>
      </x:c>
      <x:c r="W105" s="2" t="str">
        <x:v>legacy_epoch_source_QA_passed; new_common_native_support_not_certified</x:v>
      </x:c>
      <x:c r="X105" s="2" t="str">
        <x:v>https://arxiv.org/abs/2511.12104</x:v>
      </x:c>
    </x:row>
    <x:row r="106" ht="23" customHeight="1">
      <x:c r="A106" s="2" t="str">
        <x:v>ISR</x:v>
      </x:c>
      <x:c r="B106" s="2" t="str">
        <x:v>Israel (State of)</x:v>
      </x:c>
      <x:c r="C106" s="2" t="n">
        <x:v>2020</x:v>
      </x:c>
      <x:c r="D106" s="2" t="str">
        <x:v>TEMPO_PROXY</x:v>
      </x:c>
      <x:c r="E106" s="17" t="n">
        <x:v>372353983.1399999</x:v>
      </x:c>
      <x:c r="F106" s="17" t="n">
        <x:f>IF(AND(M106,ISNUMBER(R106)),IF(D106="TEMPO_PROXY",R106,IF(AND(ISNUMBER(S106),S106&gt;0,ISNUMBER(U106)),U106*R106/S106,"n.a.")),"n.a.")</x:f>
        <x:v>372353983.1399999</x:v>
      </x:c>
      <x:c r="G106" s="17" t="n">
        <x:f>IF(AND(ISNUMBER(E106),ISNUMBER(F106)),E106-F106,"n.a.")</x:f>
        <x:v>0</x:v>
      </x:c>
      <x:c r="H106" s="15" t="n">
        <x:f>IF(AND(ISNUMBER(E106),ISNUMBER(F106),F106&gt;0),(E106-F106)/F106,"n.a.")</x:f>
        <x:v>0</x:v>
      </x:c>
      <x:c r="I106" s="19" t="n">
        <x:f>IF(ISNUMBER(H106),ABS(H106),"n.a.")</x:f>
        <x:v>0</x:v>
      </x:c>
      <x:c r="J106" s="2" t="str">
        <x:v>available</x:v>
      </x:c>
      <x:c r="K106" s="2" t="n">
        <x:v>1</x:v>
      </x:c>
      <x:c r="L106" s="13" t="b">
        <x:v>1</x:v>
      </x:c>
      <x:c r="M106" s="13" t="b">
        <x:v>1</x:v>
      </x:c>
      <x:c r="N106" s="2" t="str">
        <x:v>inherited2020anchor</x:v>
      </x:c>
      <x:c r="O106" s="2" t="str"/>
      <x:c r="P106" s="2" t="str">
        <x:v>assumption-based floor-area proxy</x:v>
      </x:c>
      <x:c r="Q106" s="2" t="str">
        <x:v>m2</x:v>
      </x:c>
      <x:c r="R106" s="17" t="n">
        <x:v>372353983.1399999</x:v>
      </x:c>
      <x:c r="S106" s="17"/>
      <x:c r="T106" s="18"/>
      <x:c r="U106" s="17" t="n">
        <x:v>372353983.1399999</x:v>
      </x:c>
      <x:c r="V106" s="2" t="str">
        <x:v>existing saved physical-floor-area proxy</x:v>
      </x:c>
      <x:c r="W106" s="2" t="str">
        <x:v>legacy_epoch_source_QA_passed; new_common_native_support_not_certified</x:v>
      </x:c>
      <x:c r="X106" s="2" t="str">
        <x:v>https://arxiv.org/abs/2511.12104</x:v>
      </x:c>
    </x:row>
    <x:row r="107" ht="23" customHeight="1">
      <x:c r="A107" s="2" t="str">
        <x:v>ITA</x:v>
      </x:c>
      <x:c r="B107" s="2" t="str">
        <x:v>Italy (Italian Republic)</x:v>
      </x:c>
      <x:c r="C107" s="2" t="n">
        <x:v>2020</x:v>
      </x:c>
      <x:c r="D107" s="2" t="str">
        <x:v>TEMPO_PROXY</x:v>
      </x:c>
      <x:c r="E107" s="17" t="n">
        <x:v>5000634293.290002</x:v>
      </x:c>
      <x:c r="F107" s="17" t="n">
        <x:f>IF(AND(M107,ISNUMBER(R107)),IF(D107="TEMPO_PROXY",R107,IF(AND(ISNUMBER(S107),S107&gt;0,ISNUMBER(U107)),U107*R107/S107,"n.a.")),"n.a.")</x:f>
        <x:v>5000634293.290002</x:v>
      </x:c>
      <x:c r="G107" s="17" t="n">
        <x:f>IF(AND(ISNUMBER(E107),ISNUMBER(F107)),E107-F107,"n.a.")</x:f>
        <x:v>0</x:v>
      </x:c>
      <x:c r="H107" s="15" t="n">
        <x:f>IF(AND(ISNUMBER(E107),ISNUMBER(F107),F107&gt;0),(E107-F107)/F107,"n.a.")</x:f>
        <x:v>0</x:v>
      </x:c>
      <x:c r="I107" s="19" t="n">
        <x:f>IF(ISNUMBER(H107),ABS(H107),"n.a.")</x:f>
        <x:v>0</x:v>
      </x:c>
      <x:c r="J107" s="2" t="str">
        <x:v>available</x:v>
      </x:c>
      <x:c r="K107" s="2" t="n">
        <x:v>1</x:v>
      </x:c>
      <x:c r="L107" s="13" t="b">
        <x:v>1</x:v>
      </x:c>
      <x:c r="M107" s="13" t="b">
        <x:v>1</x:v>
      </x:c>
      <x:c r="N107" s="2" t="str">
        <x:v>inherited2020anchor</x:v>
      </x:c>
      <x:c r="O107" s="2" t="str"/>
      <x:c r="P107" s="2" t="str">
        <x:v>assumption-based floor-area proxy</x:v>
      </x:c>
      <x:c r="Q107" s="2" t="str">
        <x:v>m2</x:v>
      </x:c>
      <x:c r="R107" s="17" t="n">
        <x:v>5000634293.290002</x:v>
      </x:c>
      <x:c r="S107" s="17"/>
      <x:c r="T107" s="18"/>
      <x:c r="U107" s="17" t="n">
        <x:v>5000634293.290002</x:v>
      </x:c>
      <x:c r="V107" s="2" t="str">
        <x:v>existing saved physical-floor-area proxy</x:v>
      </x:c>
      <x:c r="W107" s="2" t="str">
        <x:v>legacy_epoch_source_QA_passed; new_common_native_support_not_certified</x:v>
      </x:c>
      <x:c r="X107" s="2" t="str">
        <x:v>https://arxiv.org/abs/2511.12104</x:v>
      </x:c>
    </x:row>
    <x:row r="108" ht="23" customHeight="1">
      <x:c r="A108" s="2" t="str">
        <x:v>JAM</x:v>
      </x:c>
      <x:c r="B108" s="2" t="str">
        <x:v>Jamaica</x:v>
      </x:c>
      <x:c r="C108" s="2" t="n">
        <x:v>2020</x:v>
      </x:c>
      <x:c r="D108" s="2" t="str">
        <x:v>TEMPO_PROXY</x:v>
      </x:c>
      <x:c r="E108" s="17" t="n">
        <x:v>133338245.18999992</x:v>
      </x:c>
      <x:c r="F108" s="17" t="n">
        <x:f>IF(AND(M108,ISNUMBER(R108)),IF(D108="TEMPO_PROXY",R108,IF(AND(ISNUMBER(S108),S108&gt;0,ISNUMBER(U108)),U108*R108/S108,"n.a.")),"n.a.")</x:f>
        <x:v>133338245.18999992</x:v>
      </x:c>
      <x:c r="G108" s="17" t="n">
        <x:f>IF(AND(ISNUMBER(E108),ISNUMBER(F108)),E108-F108,"n.a.")</x:f>
        <x:v>0</x:v>
      </x:c>
      <x:c r="H108" s="15" t="n">
        <x:f>IF(AND(ISNUMBER(E108),ISNUMBER(F108),F108&gt;0),(E108-F108)/F108,"n.a.")</x:f>
        <x:v>0</x:v>
      </x:c>
      <x:c r="I108" s="19" t="n">
        <x:f>IF(ISNUMBER(H108),ABS(H108),"n.a.")</x:f>
        <x:v>0</x:v>
      </x:c>
      <x:c r="J108" s="2" t="str">
        <x:v>available</x:v>
      </x:c>
      <x:c r="K108" s="2" t="n">
        <x:v>1</x:v>
      </x:c>
      <x:c r="L108" s="13" t="b">
        <x:v>1</x:v>
      </x:c>
      <x:c r="M108" s="13" t="b">
        <x:v>1</x:v>
      </x:c>
      <x:c r="N108" s="2" t="str">
        <x:v>inherited2020anchor</x:v>
      </x:c>
      <x:c r="O108" s="2" t="str"/>
      <x:c r="P108" s="2" t="str">
        <x:v>assumption-based floor-area proxy</x:v>
      </x:c>
      <x:c r="Q108" s="2" t="str">
        <x:v>m2</x:v>
      </x:c>
      <x:c r="R108" s="17" t="n">
        <x:v>133338245.18999992</x:v>
      </x:c>
      <x:c r="S108" s="17"/>
      <x:c r="T108" s="18"/>
      <x:c r="U108" s="17" t="n">
        <x:v>133338245.18999992</x:v>
      </x:c>
      <x:c r="V108" s="2" t="str">
        <x:v>existing saved physical-floor-area proxy</x:v>
      </x:c>
      <x:c r="W108" s="2" t="str">
        <x:v>legacy_epoch_source_QA_passed; new_common_native_support_not_certified</x:v>
      </x:c>
      <x:c r="X108" s="2" t="str">
        <x:v>https://arxiv.org/abs/2511.12104</x:v>
      </x:c>
    </x:row>
    <x:row r="109" ht="23" customHeight="1">
      <x:c r="A109" s="2" t="str">
        <x:v>JOR</x:v>
      </x:c>
      <x:c r="B109" s="2" t="str">
        <x:v>Jordan (Hashemite Kingdom of)</x:v>
      </x:c>
      <x:c r="C109" s="2" t="n">
        <x:v>2020</x:v>
      </x:c>
      <x:c r="D109" s="2" t="str">
        <x:v>TEMPO_PROXY</x:v>
      </x:c>
      <x:c r="E109" s="17" t="n">
        <x:v>279172690.0000002</x:v>
      </x:c>
      <x:c r="F109" s="17" t="n">
        <x:f>IF(AND(M109,ISNUMBER(R109)),IF(D109="TEMPO_PROXY",R109,IF(AND(ISNUMBER(S109),S109&gt;0,ISNUMBER(U109)),U109*R109/S109,"n.a.")),"n.a.")</x:f>
        <x:v>279172690.0000002</x:v>
      </x:c>
      <x:c r="G109" s="17" t="n">
        <x:f>IF(AND(ISNUMBER(E109),ISNUMBER(F109)),E109-F109,"n.a.")</x:f>
        <x:v>0</x:v>
      </x:c>
      <x:c r="H109" s="15" t="n">
        <x:f>IF(AND(ISNUMBER(E109),ISNUMBER(F109),F109&gt;0),(E109-F109)/F109,"n.a.")</x:f>
        <x:v>0</x:v>
      </x:c>
      <x:c r="I109" s="19" t="n">
        <x:f>IF(ISNUMBER(H109),ABS(H109),"n.a.")</x:f>
        <x:v>0</x:v>
      </x:c>
      <x:c r="J109" s="2" t="str">
        <x:v>available</x:v>
      </x:c>
      <x:c r="K109" s="2" t="n">
        <x:v>1</x:v>
      </x:c>
      <x:c r="L109" s="13" t="b">
        <x:v>1</x:v>
      </x:c>
      <x:c r="M109" s="13" t="b">
        <x:v>1</x:v>
      </x:c>
      <x:c r="N109" s="2" t="str">
        <x:v>inherited2020anchor</x:v>
      </x:c>
      <x:c r="O109" s="2" t="str"/>
      <x:c r="P109" s="2" t="str">
        <x:v>assumption-based floor-area proxy</x:v>
      </x:c>
      <x:c r="Q109" s="2" t="str">
        <x:v>m2</x:v>
      </x:c>
      <x:c r="R109" s="17" t="n">
        <x:v>279172690.0000002</x:v>
      </x:c>
      <x:c r="S109" s="17"/>
      <x:c r="T109" s="18"/>
      <x:c r="U109" s="17" t="n">
        <x:v>279172690.0000002</x:v>
      </x:c>
      <x:c r="V109" s="2" t="str">
        <x:v>existing saved physical-floor-area proxy</x:v>
      </x:c>
      <x:c r="W109" s="2" t="str">
        <x:v>legacy_epoch_source_QA_passed; new_common_native_support_not_certified</x:v>
      </x:c>
      <x:c r="X109" s="2" t="str">
        <x:v>https://arxiv.org/abs/2511.12104</x:v>
      </x:c>
    </x:row>
    <x:row r="110" ht="23" customHeight="1">
      <x:c r="A110" s="2" t="str">
        <x:v>JPN</x:v>
      </x:c>
      <x:c r="B110" s="2" t="str">
        <x:v>Japan</x:v>
      </x:c>
      <x:c r="C110" s="2" t="n">
        <x:v>2020</x:v>
      </x:c>
      <x:c r="D110" s="2" t="str">
        <x:v>TEMPO_PROXY</x:v>
      </x:c>
      <x:c r="E110" s="17" t="n">
        <x:v>8341228241.779989</x:v>
      </x:c>
      <x:c r="F110" s="17" t="n">
        <x:f>IF(AND(M110,ISNUMBER(R110)),IF(D110="TEMPO_PROXY",R110,IF(AND(ISNUMBER(S110),S110&gt;0,ISNUMBER(U110)),U110*R110/S110,"n.a.")),"n.a.")</x:f>
        <x:v>8341228241.779989</x:v>
      </x:c>
      <x:c r="G110" s="17" t="n">
        <x:f>IF(AND(ISNUMBER(E110),ISNUMBER(F110)),E110-F110,"n.a.")</x:f>
        <x:v>0</x:v>
      </x:c>
      <x:c r="H110" s="15" t="n">
        <x:f>IF(AND(ISNUMBER(E110),ISNUMBER(F110),F110&gt;0),(E110-F110)/F110,"n.a.")</x:f>
        <x:v>0</x:v>
      </x:c>
      <x:c r="I110" s="19" t="n">
        <x:f>IF(ISNUMBER(H110),ABS(H110),"n.a.")</x:f>
        <x:v>0</x:v>
      </x:c>
      <x:c r="J110" s="2" t="str">
        <x:v>available</x:v>
      </x:c>
      <x:c r="K110" s="2" t="n">
        <x:v>1</x:v>
      </x:c>
      <x:c r="L110" s="13" t="b">
        <x:v>1</x:v>
      </x:c>
      <x:c r="M110" s="13" t="b">
        <x:v>1</x:v>
      </x:c>
      <x:c r="N110" s="2" t="str">
        <x:v>inherited2020anchor</x:v>
      </x:c>
      <x:c r="O110" s="2" t="str"/>
      <x:c r="P110" s="2" t="str">
        <x:v>assumption-based floor-area proxy</x:v>
      </x:c>
      <x:c r="Q110" s="2" t="str">
        <x:v>m2</x:v>
      </x:c>
      <x:c r="R110" s="17" t="n">
        <x:v>8341228241.779989</x:v>
      </x:c>
      <x:c r="S110" s="17"/>
      <x:c r="T110" s="18"/>
      <x:c r="U110" s="17" t="n">
        <x:v>8341228241.779989</x:v>
      </x:c>
      <x:c r="V110" s="2" t="str">
        <x:v>existing saved physical-floor-area proxy</x:v>
      </x:c>
      <x:c r="W110" s="2" t="str">
        <x:v>legacy_epoch_source_QA_passed; new_common_native_support_not_certified</x:v>
      </x:c>
      <x:c r="X110" s="2" t="str">
        <x:v>https://arxiv.org/abs/2511.12104</x:v>
      </x:c>
    </x:row>
    <x:row r="111" ht="23" customHeight="1">
      <x:c r="A111" s="2" t="str">
        <x:v>KAZ</x:v>
      </x:c>
      <x:c r="B111" s="2" t="str">
        <x:v>Kazakhstan (Republic of)</x:v>
      </x:c>
      <x:c r="C111" s="2" t="n">
        <x:v>2020</x:v>
      </x:c>
      <x:c r="D111" s="2" t="str">
        <x:v>TEMPO_PROXY</x:v>
      </x:c>
      <x:c r="E111" s="17" t="n">
        <x:v>1009034692.9700016</x:v>
      </x:c>
      <x:c r="F111" s="17" t="n">
        <x:f>IF(AND(M111,ISNUMBER(R111)),IF(D111="TEMPO_PROXY",R111,IF(AND(ISNUMBER(S111),S111&gt;0,ISNUMBER(U111)),U111*R111/S111,"n.a.")),"n.a.")</x:f>
        <x:v>1009034692.9700016</x:v>
      </x:c>
      <x:c r="G111" s="17" t="n">
        <x:f>IF(AND(ISNUMBER(E111),ISNUMBER(F111)),E111-F111,"n.a.")</x:f>
        <x:v>0</x:v>
      </x:c>
      <x:c r="H111" s="15" t="n">
        <x:f>IF(AND(ISNUMBER(E111),ISNUMBER(F111),F111&gt;0),(E111-F111)/F111,"n.a.")</x:f>
        <x:v>0</x:v>
      </x:c>
      <x:c r="I111" s="19" t="n">
        <x:f>IF(ISNUMBER(H111),ABS(H111),"n.a.")</x:f>
        <x:v>0</x:v>
      </x:c>
      <x:c r="J111" s="2" t="str">
        <x:v>available</x:v>
      </x:c>
      <x:c r="K111" s="2" t="n">
        <x:v>1</x:v>
      </x:c>
      <x:c r="L111" s="13" t="b">
        <x:v>1</x:v>
      </x:c>
      <x:c r="M111" s="13" t="b">
        <x:v>1</x:v>
      </x:c>
      <x:c r="N111" s="2" t="str">
        <x:v>inherited2020anchor</x:v>
      </x:c>
      <x:c r="O111" s="2" t="str"/>
      <x:c r="P111" s="2" t="str">
        <x:v>assumption-based floor-area proxy</x:v>
      </x:c>
      <x:c r="Q111" s="2" t="str">
        <x:v>m2</x:v>
      </x:c>
      <x:c r="R111" s="17" t="n">
        <x:v>1009034692.9700016</x:v>
      </x:c>
      <x:c r="S111" s="17"/>
      <x:c r="T111" s="18"/>
      <x:c r="U111" s="17" t="n">
        <x:v>1009034692.9700016</x:v>
      </x:c>
      <x:c r="V111" s="2" t="str">
        <x:v>existing saved physical-floor-area proxy</x:v>
      </x:c>
      <x:c r="W111" s="2" t="str">
        <x:v>legacy_epoch_source_QA_passed; new_common_native_support_not_certified</x:v>
      </x:c>
      <x:c r="X111" s="2" t="str">
        <x:v>https://arxiv.org/abs/2511.12104</x:v>
      </x:c>
    </x:row>
    <x:row r="112" ht="23" customHeight="1">
      <x:c r="A112" s="2" t="str">
        <x:v>KEN</x:v>
      </x:c>
      <x:c r="B112" s="2" t="str">
        <x:v>Kenya (Republic of)</x:v>
      </x:c>
      <x:c r="C112" s="2" t="n">
        <x:v>2020</x:v>
      </x:c>
      <x:c r="D112" s="2" t="str">
        <x:v>TEMPO_PROXY</x:v>
      </x:c>
      <x:c r="E112" s="17" t="n">
        <x:v>1180050447.52</x:v>
      </x:c>
      <x:c r="F112" s="17" t="n">
        <x:f>IF(AND(M112,ISNUMBER(R112)),IF(D112="TEMPO_PROXY",R112,IF(AND(ISNUMBER(S112),S112&gt;0,ISNUMBER(U112)),U112*R112/S112,"n.a.")),"n.a.")</x:f>
        <x:v>1180050447.52</x:v>
      </x:c>
      <x:c r="G112" s="17" t="n">
        <x:f>IF(AND(ISNUMBER(E112),ISNUMBER(F112)),E112-F112,"n.a.")</x:f>
        <x:v>0</x:v>
      </x:c>
      <x:c r="H112" s="15" t="n">
        <x:f>IF(AND(ISNUMBER(E112),ISNUMBER(F112),F112&gt;0),(E112-F112)/F112,"n.a.")</x:f>
        <x:v>0</x:v>
      </x:c>
      <x:c r="I112" s="19" t="n">
        <x:f>IF(ISNUMBER(H112),ABS(H112),"n.a.")</x:f>
        <x:v>0</x:v>
      </x:c>
      <x:c r="J112" s="2" t="str">
        <x:v>available</x:v>
      </x:c>
      <x:c r="K112" s="2" t="n">
        <x:v>1</x:v>
      </x:c>
      <x:c r="L112" s="13" t="b">
        <x:v>1</x:v>
      </x:c>
      <x:c r="M112" s="13" t="b">
        <x:v>1</x:v>
      </x:c>
      <x:c r="N112" s="2" t="str">
        <x:v>inherited2020anchor</x:v>
      </x:c>
      <x:c r="O112" s="2" t="str"/>
      <x:c r="P112" s="2" t="str">
        <x:v>assumption-based floor-area proxy</x:v>
      </x:c>
      <x:c r="Q112" s="2" t="str">
        <x:v>m2</x:v>
      </x:c>
      <x:c r="R112" s="17" t="n">
        <x:v>1180050447.52</x:v>
      </x:c>
      <x:c r="S112" s="17"/>
      <x:c r="T112" s="18"/>
      <x:c r="U112" s="17" t="n">
        <x:v>1180050447.52</x:v>
      </x:c>
      <x:c r="V112" s="2" t="str">
        <x:v>existing saved physical-floor-area proxy</x:v>
      </x:c>
      <x:c r="W112" s="2" t="str">
        <x:v>legacy_epoch_source_QA_passed; new_common_native_support_not_certified</x:v>
      </x:c>
      <x:c r="X112" s="2" t="str">
        <x:v>https://arxiv.org/abs/2511.12104</x:v>
      </x:c>
    </x:row>
    <x:row r="113" ht="23" customHeight="1">
      <x:c r="A113" s="2" t="str">
        <x:v>KGZ</x:v>
      </x:c>
      <x:c r="B113" s="2" t="str">
        <x:v>Kyrgyzstan (Kyrgyz Republic)</x:v>
      </x:c>
      <x:c r="C113" s="2" t="n">
        <x:v>2020</x:v>
      </x:c>
      <x:c r="D113" s="2" t="str">
        <x:v>TEMPO_PROXY</x:v>
      </x:c>
      <x:c r="E113" s="17" t="n">
        <x:v>332236534.37000054</x:v>
      </x:c>
      <x:c r="F113" s="17" t="n">
        <x:f>IF(AND(M113,ISNUMBER(R113)),IF(D113="TEMPO_PROXY",R113,IF(AND(ISNUMBER(S113),S113&gt;0,ISNUMBER(U113)),U113*R113/S113,"n.a.")),"n.a.")</x:f>
        <x:v>332236534.37000054</x:v>
      </x:c>
      <x:c r="G113" s="17" t="n">
        <x:f>IF(AND(ISNUMBER(E113),ISNUMBER(F113)),E113-F113,"n.a.")</x:f>
        <x:v>0</x:v>
      </x:c>
      <x:c r="H113" s="15" t="n">
        <x:f>IF(AND(ISNUMBER(E113),ISNUMBER(F113),F113&gt;0),(E113-F113)/F113,"n.a.")</x:f>
        <x:v>0</x:v>
      </x:c>
      <x:c r="I113" s="19" t="n">
        <x:f>IF(ISNUMBER(H113),ABS(H113),"n.a.")</x:f>
        <x:v>0</x:v>
      </x:c>
      <x:c r="J113" s="2" t="str">
        <x:v>available</x:v>
      </x:c>
      <x:c r="K113" s="2" t="n">
        <x:v>1</x:v>
      </x:c>
      <x:c r="L113" s="13" t="b">
        <x:v>1</x:v>
      </x:c>
      <x:c r="M113" s="13" t="b">
        <x:v>1</x:v>
      </x:c>
      <x:c r="N113" s="2" t="str">
        <x:v>inherited2020anchor</x:v>
      </x:c>
      <x:c r="O113" s="2" t="str"/>
      <x:c r="P113" s="2" t="str">
        <x:v>assumption-based floor-area proxy</x:v>
      </x:c>
      <x:c r="Q113" s="2" t="str">
        <x:v>m2</x:v>
      </x:c>
      <x:c r="R113" s="17" t="n">
        <x:v>332236534.37000054</x:v>
      </x:c>
      <x:c r="S113" s="17"/>
      <x:c r="T113" s="18"/>
      <x:c r="U113" s="17" t="n">
        <x:v>332236534.37000054</x:v>
      </x:c>
      <x:c r="V113" s="2" t="str">
        <x:v>existing saved physical-floor-area proxy</x:v>
      </x:c>
      <x:c r="W113" s="2" t="str">
        <x:v>legacy_epoch_source_QA_passed; new_common_native_support_not_certified</x:v>
      </x:c>
      <x:c r="X113" s="2" t="str">
        <x:v>https://arxiv.org/abs/2511.12104</x:v>
      </x:c>
    </x:row>
    <x:row r="114" ht="23" customHeight="1">
      <x:c r="A114" s="2" t="str">
        <x:v>KHM</x:v>
      </x:c>
      <x:c r="B114" s="2" t="str">
        <x:v>Cambodia (Kingdom of)</x:v>
      </x:c>
      <x:c r="C114" s="2" t="n">
        <x:v>2020</x:v>
      </x:c>
      <x:c r="D114" s="2" t="str">
        <x:v>TEMPO_PROXY</x:v>
      </x:c>
      <x:c r="E114" s="17" t="n">
        <x:v>672933221.830001</x:v>
      </x:c>
      <x:c r="F114" s="17" t="n">
        <x:f>IF(AND(M114,ISNUMBER(R114)),IF(D114="TEMPO_PROXY",R114,IF(AND(ISNUMBER(S114),S114&gt;0,ISNUMBER(U114)),U114*R114/S114,"n.a.")),"n.a.")</x:f>
        <x:v>672933221.830001</x:v>
      </x:c>
      <x:c r="G114" s="17" t="n">
        <x:f>IF(AND(ISNUMBER(E114),ISNUMBER(F114)),E114-F114,"n.a.")</x:f>
        <x:v>0</x:v>
      </x:c>
      <x:c r="H114" s="15" t="n">
        <x:f>IF(AND(ISNUMBER(E114),ISNUMBER(F114),F114&gt;0),(E114-F114)/F114,"n.a.")</x:f>
        <x:v>0</x:v>
      </x:c>
      <x:c r="I114" s="19" t="n">
        <x:f>IF(ISNUMBER(H114),ABS(H114),"n.a.")</x:f>
        <x:v>0</x:v>
      </x:c>
      <x:c r="J114" s="2" t="str">
        <x:v>available</x:v>
      </x:c>
      <x:c r="K114" s="2" t="n">
        <x:v>1</x:v>
      </x:c>
      <x:c r="L114" s="13" t="b">
        <x:v>1</x:v>
      </x:c>
      <x:c r="M114" s="13" t="b">
        <x:v>1</x:v>
      </x:c>
      <x:c r="N114" s="2" t="str">
        <x:v>inherited2020anchor</x:v>
      </x:c>
      <x:c r="O114" s="2" t="str"/>
      <x:c r="P114" s="2" t="str">
        <x:v>assumption-based floor-area proxy</x:v>
      </x:c>
      <x:c r="Q114" s="2" t="str">
        <x:v>m2</x:v>
      </x:c>
      <x:c r="R114" s="17" t="n">
        <x:v>672933221.830001</x:v>
      </x:c>
      <x:c r="S114" s="17"/>
      <x:c r="T114" s="18"/>
      <x:c r="U114" s="17" t="n">
        <x:v>672933221.830001</x:v>
      </x:c>
      <x:c r="V114" s="2" t="str">
        <x:v>existing saved physical-floor-area proxy</x:v>
      </x:c>
      <x:c r="W114" s="2" t="str">
        <x:v>legacy_epoch_source_QA_passed; new_common_native_support_not_certified</x:v>
      </x:c>
      <x:c r="X114" s="2" t="str">
        <x:v>https://arxiv.org/abs/2511.12104</x:v>
      </x:c>
    </x:row>
    <x:row r="115" ht="23" customHeight="1">
      <x:c r="A115" s="2" t="str">
        <x:v>KIR</x:v>
      </x:c>
      <x:c r="B115" s="2" t="str">
        <x:v>Kiribati (Republic of)</x:v>
      </x:c>
      <x:c r="C115" s="2" t="n">
        <x:v>2020</x:v>
      </x:c>
      <x:c r="D115" s="2" t="str">
        <x:v>TEMPO_PROXY</x:v>
      </x:c>
      <x:c r="E115" s="17" t="n">
        <x:v>1721739.6700000002</x:v>
      </x:c>
      <x:c r="F115" s="17" t="n">
        <x:f>IF(AND(M115,ISNUMBER(R115)),IF(D115="TEMPO_PROXY",R115,IF(AND(ISNUMBER(S115),S115&gt;0,ISNUMBER(U115)),U115*R115/S115,"n.a.")),"n.a.")</x:f>
        <x:v>1721739.6700000002</x:v>
      </x:c>
      <x:c r="G115" s="17" t="n">
        <x:f>IF(AND(ISNUMBER(E115),ISNUMBER(F115)),E115-F115,"n.a.")</x:f>
        <x:v>0</x:v>
      </x:c>
      <x:c r="H115" s="15" t="n">
        <x:f>IF(AND(ISNUMBER(E115),ISNUMBER(F115),F115&gt;0),(E115-F115)/F115,"n.a.")</x:f>
        <x:v>0</x:v>
      </x:c>
      <x:c r="I115" s="19" t="n">
        <x:f>IF(ISNUMBER(H115),ABS(H115),"n.a.")</x:f>
        <x:v>0</x:v>
      </x:c>
      <x:c r="J115" s="2" t="str">
        <x:v>available</x:v>
      </x:c>
      <x:c r="K115" s="2" t="n">
        <x:v>1</x:v>
      </x:c>
      <x:c r="L115" s="13" t="b">
        <x:v>1</x:v>
      </x:c>
      <x:c r="M115" s="13" t="b">
        <x:v>1</x:v>
      </x:c>
      <x:c r="N115" s="2" t="str">
        <x:v>inherited2020anchor</x:v>
      </x:c>
      <x:c r="O115" s="2" t="str"/>
      <x:c r="P115" s="2" t="str">
        <x:v>assumption-based floor-area proxy</x:v>
      </x:c>
      <x:c r="Q115" s="2" t="str">
        <x:v>m2</x:v>
      </x:c>
      <x:c r="R115" s="17" t="n">
        <x:v>1721739.6700000002</x:v>
      </x:c>
      <x:c r="S115" s="17"/>
      <x:c r="T115" s="18"/>
      <x:c r="U115" s="17" t="n">
        <x:v>1721739.6700000002</x:v>
      </x:c>
      <x:c r="V115" s="2" t="str">
        <x:v>existing saved physical-floor-area proxy</x:v>
      </x:c>
      <x:c r="W115" s="2" t="str">
        <x:v>legacy_epoch_source_QA_passed; new_common_native_support_not_certified</x:v>
      </x:c>
      <x:c r="X115" s="2" t="str">
        <x:v>https://arxiv.org/abs/2511.12104</x:v>
      </x:c>
    </x:row>
    <x:row r="116" ht="23" customHeight="1">
      <x:c r="A116" s="2" t="str">
        <x:v>KNA</x:v>
      </x:c>
      <x:c r="B116" s="2" t="str">
        <x:v>Saint Kitts and Nevis (Federation of)</x:v>
      </x:c>
      <x:c r="C116" s="2" t="n">
        <x:v>2020</x:v>
      </x:c>
      <x:c r="D116" s="2" t="str">
        <x:v>TEMPO_PROXY</x:v>
      </x:c>
      <x:c r="E116" s="17" t="n">
        <x:v>4523960.760000001</x:v>
      </x:c>
      <x:c r="F116" s="17" t="n">
        <x:f>IF(AND(M116,ISNUMBER(R116)),IF(D116="TEMPO_PROXY",R116,IF(AND(ISNUMBER(S116),S116&gt;0,ISNUMBER(U116)),U116*R116/S116,"n.a.")),"n.a.")</x:f>
        <x:v>4523960.760000001</x:v>
      </x:c>
      <x:c r="G116" s="17" t="n">
        <x:f>IF(AND(ISNUMBER(E116),ISNUMBER(F116)),E116-F116,"n.a.")</x:f>
        <x:v>0</x:v>
      </x:c>
      <x:c r="H116" s="15" t="n">
        <x:f>IF(AND(ISNUMBER(E116),ISNUMBER(F116),F116&gt;0),(E116-F116)/F116,"n.a.")</x:f>
        <x:v>0</x:v>
      </x:c>
      <x:c r="I116" s="19" t="n">
        <x:f>IF(ISNUMBER(H116),ABS(H116),"n.a.")</x:f>
        <x:v>0</x:v>
      </x:c>
      <x:c r="J116" s="2" t="str">
        <x:v>available</x:v>
      </x:c>
      <x:c r="K116" s="2" t="n">
        <x:v>1</x:v>
      </x:c>
      <x:c r="L116" s="13" t="b">
        <x:v>1</x:v>
      </x:c>
      <x:c r="M116" s="13" t="b">
        <x:v>1</x:v>
      </x:c>
      <x:c r="N116" s="2" t="str">
        <x:v>inherited2020anchor</x:v>
      </x:c>
      <x:c r="O116" s="2" t="str"/>
      <x:c r="P116" s="2" t="str">
        <x:v>assumption-based floor-area proxy</x:v>
      </x:c>
      <x:c r="Q116" s="2" t="str">
        <x:v>m2</x:v>
      </x:c>
      <x:c r="R116" s="17" t="n">
        <x:v>4523960.760000001</x:v>
      </x:c>
      <x:c r="S116" s="17"/>
      <x:c r="T116" s="18"/>
      <x:c r="U116" s="17" t="n">
        <x:v>4523960.760000001</x:v>
      </x:c>
      <x:c r="V116" s="2" t="str">
        <x:v>existing saved physical-floor-area proxy</x:v>
      </x:c>
      <x:c r="W116" s="2" t="str">
        <x:v>legacy_epoch_source_QA_passed; new_common_native_support_not_certified</x:v>
      </x:c>
      <x:c r="X116" s="2" t="str">
        <x:v>https://arxiv.org/abs/2511.12104</x:v>
      </x:c>
    </x:row>
    <x:row r="117" ht="23" customHeight="1">
      <x:c r="A117" s="2" t="str">
        <x:v>KOR</x:v>
      </x:c>
      <x:c r="B117" s="2" t="str">
        <x:v>Korea (Republic of)</x:v>
      </x:c>
      <x:c r="C117" s="2" t="n">
        <x:v>2020</x:v>
      </x:c>
      <x:c r="D117" s="2" t="str">
        <x:v>TEMPO_PROXY</x:v>
      </x:c>
      <x:c r="E117" s="17" t="n">
        <x:v>2947698717.329997</x:v>
      </x:c>
      <x:c r="F117" s="17" t="n">
        <x:f>IF(AND(M117,ISNUMBER(R117)),IF(D117="TEMPO_PROXY",R117,IF(AND(ISNUMBER(S117),S117&gt;0,ISNUMBER(U117)),U117*R117/S117,"n.a.")),"n.a.")</x:f>
        <x:v>2947698717.329997</x:v>
      </x:c>
      <x:c r="G117" s="17" t="n">
        <x:f>IF(AND(ISNUMBER(E117),ISNUMBER(F117)),E117-F117,"n.a.")</x:f>
        <x:v>0</x:v>
      </x:c>
      <x:c r="H117" s="15" t="n">
        <x:f>IF(AND(ISNUMBER(E117),ISNUMBER(F117),F117&gt;0),(E117-F117)/F117,"n.a.")</x:f>
        <x:v>0</x:v>
      </x:c>
      <x:c r="I117" s="19" t="n">
        <x:f>IF(ISNUMBER(H117),ABS(H117),"n.a.")</x:f>
        <x:v>0</x:v>
      </x:c>
      <x:c r="J117" s="2" t="str">
        <x:v>available</x:v>
      </x:c>
      <x:c r="K117" s="2" t="n">
        <x:v>1</x:v>
      </x:c>
      <x:c r="L117" s="13" t="b">
        <x:v>1</x:v>
      </x:c>
      <x:c r="M117" s="13" t="b">
        <x:v>1</x:v>
      </x:c>
      <x:c r="N117" s="2" t="str">
        <x:v>inherited2020anchor</x:v>
      </x:c>
      <x:c r="O117" s="2" t="str"/>
      <x:c r="P117" s="2" t="str">
        <x:v>assumption-based floor-area proxy</x:v>
      </x:c>
      <x:c r="Q117" s="2" t="str">
        <x:v>m2</x:v>
      </x:c>
      <x:c r="R117" s="17" t="n">
        <x:v>2947698717.329997</x:v>
      </x:c>
      <x:c r="S117" s="17"/>
      <x:c r="T117" s="18"/>
      <x:c r="U117" s="17" t="n">
        <x:v>2947698717.329997</x:v>
      </x:c>
      <x:c r="V117" s="2" t="str">
        <x:v>existing saved physical-floor-area proxy</x:v>
      </x:c>
      <x:c r="W117" s="2" t="str">
        <x:v>legacy_epoch_source_QA_passed; new_common_native_support_not_certified</x:v>
      </x:c>
      <x:c r="X117" s="2" t="str">
        <x:v>https://arxiv.org/abs/2511.12104</x:v>
      </x:c>
    </x:row>
    <x:row r="118" ht="23" customHeight="1">
      <x:c r="A118" s="2" t="str">
        <x:v>KWT</x:v>
      </x:c>
      <x:c r="B118" s="2" t="str">
        <x:v>Kuwait (State of)</x:v>
      </x:c>
      <x:c r="C118" s="2" t="n">
        <x:v>2020</x:v>
      </x:c>
      <x:c r="D118" s="2" t="str">
        <x:v>TEMPO_PROXY</x:v>
      </x:c>
      <x:c r="E118" s="17" t="n">
        <x:v>155594647.5199998</x:v>
      </x:c>
      <x:c r="F118" s="17" t="n">
        <x:f>IF(AND(M118,ISNUMBER(R118)),IF(D118="TEMPO_PROXY",R118,IF(AND(ISNUMBER(S118),S118&gt;0,ISNUMBER(U118)),U118*R118/S118,"n.a.")),"n.a.")</x:f>
        <x:v>155594647.5199998</x:v>
      </x:c>
      <x:c r="G118" s="17" t="n">
        <x:f>IF(AND(ISNUMBER(E118),ISNUMBER(F118)),E118-F118,"n.a.")</x:f>
        <x:v>0</x:v>
      </x:c>
      <x:c r="H118" s="15" t="n">
        <x:f>IF(AND(ISNUMBER(E118),ISNUMBER(F118),F118&gt;0),(E118-F118)/F118,"n.a.")</x:f>
        <x:v>0</x:v>
      </x:c>
      <x:c r="I118" s="19" t="n">
        <x:f>IF(ISNUMBER(H118),ABS(H118),"n.a.")</x:f>
        <x:v>0</x:v>
      </x:c>
      <x:c r="J118" s="2" t="str">
        <x:v>available</x:v>
      </x:c>
      <x:c r="K118" s="2" t="n">
        <x:v>1</x:v>
      </x:c>
      <x:c r="L118" s="13" t="b">
        <x:v>1</x:v>
      </x:c>
      <x:c r="M118" s="13" t="b">
        <x:v>1</x:v>
      </x:c>
      <x:c r="N118" s="2" t="str">
        <x:v>inherited2020anchor</x:v>
      </x:c>
      <x:c r="O118" s="2" t="str"/>
      <x:c r="P118" s="2" t="str">
        <x:v>assumption-based floor-area proxy</x:v>
      </x:c>
      <x:c r="Q118" s="2" t="str">
        <x:v>m2</x:v>
      </x:c>
      <x:c r="R118" s="17" t="n">
        <x:v>155594647.5199998</x:v>
      </x:c>
      <x:c r="S118" s="17"/>
      <x:c r="T118" s="18"/>
      <x:c r="U118" s="17" t="n">
        <x:v>155594647.5199998</x:v>
      </x:c>
      <x:c r="V118" s="2" t="str">
        <x:v>existing saved physical-floor-area proxy</x:v>
      </x:c>
      <x:c r="W118" s="2" t="str">
        <x:v>legacy_epoch_source_QA_passed; new_common_native_support_not_certified</x:v>
      </x:c>
      <x:c r="X118" s="2" t="str">
        <x:v>https://arxiv.org/abs/2511.12104</x:v>
      </x:c>
    </x:row>
    <x:row r="119" ht="23" customHeight="1">
      <x:c r="A119" s="2" t="str">
        <x:v>LAO</x:v>
      </x:c>
      <x:c r="B119" s="2" t="str">
        <x:v>Lao People's Democratic Republic</x:v>
      </x:c>
      <x:c r="C119" s="2" t="n">
        <x:v>2020</x:v>
      </x:c>
      <x:c r="D119" s="2" t="str">
        <x:v>TEMPO_PROXY</x:v>
      </x:c>
      <x:c r="E119" s="17" t="n">
        <x:v>333393295.1899998</x:v>
      </x:c>
      <x:c r="F119" s="17" t="n">
        <x:f>IF(AND(M119,ISNUMBER(R119)),IF(D119="TEMPO_PROXY",R119,IF(AND(ISNUMBER(S119),S119&gt;0,ISNUMBER(U119)),U119*R119/S119,"n.a.")),"n.a.")</x:f>
        <x:v>333393295.1899998</x:v>
      </x:c>
      <x:c r="G119" s="17" t="n">
        <x:f>IF(AND(ISNUMBER(E119),ISNUMBER(F119)),E119-F119,"n.a.")</x:f>
        <x:v>0</x:v>
      </x:c>
      <x:c r="H119" s="15" t="n">
        <x:f>IF(AND(ISNUMBER(E119),ISNUMBER(F119),F119&gt;0),(E119-F119)/F119,"n.a.")</x:f>
        <x:v>0</x:v>
      </x:c>
      <x:c r="I119" s="19" t="n">
        <x:f>IF(ISNUMBER(H119),ABS(H119),"n.a.")</x:f>
        <x:v>0</x:v>
      </x:c>
      <x:c r="J119" s="2" t="str">
        <x:v>available</x:v>
      </x:c>
      <x:c r="K119" s="2" t="n">
        <x:v>1</x:v>
      </x:c>
      <x:c r="L119" s="13" t="b">
        <x:v>1</x:v>
      </x:c>
      <x:c r="M119" s="13" t="b">
        <x:v>1</x:v>
      </x:c>
      <x:c r="N119" s="2" t="str">
        <x:v>inherited2020anchor</x:v>
      </x:c>
      <x:c r="O119" s="2" t="str"/>
      <x:c r="P119" s="2" t="str">
        <x:v>assumption-based floor-area proxy</x:v>
      </x:c>
      <x:c r="Q119" s="2" t="str">
        <x:v>m2</x:v>
      </x:c>
      <x:c r="R119" s="17" t="n">
        <x:v>333393295.1899998</x:v>
      </x:c>
      <x:c r="S119" s="17"/>
      <x:c r="T119" s="18"/>
      <x:c r="U119" s="17" t="n">
        <x:v>333393295.1899998</x:v>
      </x:c>
      <x:c r="V119" s="2" t="str">
        <x:v>existing saved physical-floor-area proxy</x:v>
      </x:c>
      <x:c r="W119" s="2" t="str">
        <x:v>legacy_epoch_source_QA_passed; new_common_native_support_not_certified</x:v>
      </x:c>
      <x:c r="X119" s="2" t="str">
        <x:v>https://arxiv.org/abs/2511.12104</x:v>
      </x:c>
    </x:row>
    <x:row r="120" ht="23" customHeight="1">
      <x:c r="A120" s="2" t="str">
        <x:v>LBN</x:v>
      </x:c>
      <x:c r="B120" s="2" t="str">
        <x:v>Lebanon (Lebanese Republic)</x:v>
      </x:c>
      <x:c r="C120" s="2" t="n">
        <x:v>2020</x:v>
      </x:c>
      <x:c r="D120" s="2" t="str">
        <x:v>TEMPO_PROXY</x:v>
      </x:c>
      <x:c r="E120" s="17" t="n">
        <x:v>226725070.95000017</x:v>
      </x:c>
      <x:c r="F120" s="17" t="n">
        <x:f>IF(AND(M120,ISNUMBER(R120)),IF(D120="TEMPO_PROXY",R120,IF(AND(ISNUMBER(S120),S120&gt;0,ISNUMBER(U120)),U120*R120/S120,"n.a.")),"n.a.")</x:f>
        <x:v>226725070.95000017</x:v>
      </x:c>
      <x:c r="G120" s="17" t="n">
        <x:f>IF(AND(ISNUMBER(E120),ISNUMBER(F120)),E120-F120,"n.a.")</x:f>
        <x:v>0</x:v>
      </x:c>
      <x:c r="H120" s="15" t="n">
        <x:f>IF(AND(ISNUMBER(E120),ISNUMBER(F120),F120&gt;0),(E120-F120)/F120,"n.a.")</x:f>
        <x:v>0</x:v>
      </x:c>
      <x:c r="I120" s="19" t="n">
        <x:f>IF(ISNUMBER(H120),ABS(H120),"n.a.")</x:f>
        <x:v>0</x:v>
      </x:c>
      <x:c r="J120" s="2" t="str">
        <x:v>available</x:v>
      </x:c>
      <x:c r="K120" s="2" t="n">
        <x:v>1</x:v>
      </x:c>
      <x:c r="L120" s="13" t="b">
        <x:v>1</x:v>
      </x:c>
      <x:c r="M120" s="13" t="b">
        <x:v>1</x:v>
      </x:c>
      <x:c r="N120" s="2" t="str">
        <x:v>inherited2020anchor</x:v>
      </x:c>
      <x:c r="O120" s="2" t="str"/>
      <x:c r="P120" s="2" t="str">
        <x:v>assumption-based floor-area proxy</x:v>
      </x:c>
      <x:c r="Q120" s="2" t="str">
        <x:v>m2</x:v>
      </x:c>
      <x:c r="R120" s="17" t="n">
        <x:v>226725070.95000017</x:v>
      </x:c>
      <x:c r="S120" s="17"/>
      <x:c r="T120" s="18"/>
      <x:c r="U120" s="17" t="n">
        <x:v>226725070.95000017</x:v>
      </x:c>
      <x:c r="V120" s="2" t="str">
        <x:v>existing saved physical-floor-area proxy</x:v>
      </x:c>
      <x:c r="W120" s="2" t="str">
        <x:v>legacy_epoch_source_QA_passed; new_common_native_support_not_certified</x:v>
      </x:c>
      <x:c r="X120" s="2" t="str">
        <x:v>https://arxiv.org/abs/2511.12104</x:v>
      </x:c>
    </x:row>
    <x:row r="121" ht="23" customHeight="1">
      <x:c r="A121" s="2" t="str">
        <x:v>LBR</x:v>
      </x:c>
      <x:c r="B121" s="2" t="str">
        <x:v>Liberia (Republic of)</x:v>
      </x:c>
      <x:c r="C121" s="2" t="n">
        <x:v>2020</x:v>
      </x:c>
      <x:c r="D121" s="2" t="str">
        <x:v>TEMPO_PROXY</x:v>
      </x:c>
      <x:c r="E121" s="17" t="n">
        <x:v>93713430.84000014</x:v>
      </x:c>
      <x:c r="F121" s="17" t="n">
        <x:f>IF(AND(M121,ISNUMBER(R121)),IF(D121="TEMPO_PROXY",R121,IF(AND(ISNUMBER(S121),S121&gt;0,ISNUMBER(U121)),U121*R121/S121,"n.a.")),"n.a.")</x:f>
        <x:v>93713430.84000014</x:v>
      </x:c>
      <x:c r="G121" s="17" t="n">
        <x:f>IF(AND(ISNUMBER(E121),ISNUMBER(F121)),E121-F121,"n.a.")</x:f>
        <x:v>0</x:v>
      </x:c>
      <x:c r="H121" s="15" t="n">
        <x:f>IF(AND(ISNUMBER(E121),ISNUMBER(F121),F121&gt;0),(E121-F121)/F121,"n.a.")</x:f>
        <x:v>0</x:v>
      </x:c>
      <x:c r="I121" s="19" t="n">
        <x:f>IF(ISNUMBER(H121),ABS(H121),"n.a.")</x:f>
        <x:v>0</x:v>
      </x:c>
      <x:c r="J121" s="2" t="str">
        <x:v>available</x:v>
      </x:c>
      <x:c r="K121" s="2" t="n">
        <x:v>1</x:v>
      </x:c>
      <x:c r="L121" s="13" t="b">
        <x:v>1</x:v>
      </x:c>
      <x:c r="M121" s="13" t="b">
        <x:v>1</x:v>
      </x:c>
      <x:c r="N121" s="2" t="str">
        <x:v>inherited2020anchor</x:v>
      </x:c>
      <x:c r="O121" s="2" t="str"/>
      <x:c r="P121" s="2" t="str">
        <x:v>assumption-based floor-area proxy</x:v>
      </x:c>
      <x:c r="Q121" s="2" t="str">
        <x:v>m2</x:v>
      </x:c>
      <x:c r="R121" s="17" t="n">
        <x:v>93713430.84000014</x:v>
      </x:c>
      <x:c r="S121" s="17"/>
      <x:c r="T121" s="18"/>
      <x:c r="U121" s="17" t="n">
        <x:v>93713430.84000014</x:v>
      </x:c>
      <x:c r="V121" s="2" t="str">
        <x:v>existing saved physical-floor-area proxy</x:v>
      </x:c>
      <x:c r="W121" s="2" t="str">
        <x:v>legacy_epoch_source_QA_passed; new_common_native_support_not_certified</x:v>
      </x:c>
      <x:c r="X121" s="2" t="str">
        <x:v>https://arxiv.org/abs/2511.12104</x:v>
      </x:c>
    </x:row>
    <x:row r="122" ht="23" customHeight="1">
      <x:c r="A122" s="2" t="str">
        <x:v>LBY</x:v>
      </x:c>
      <x:c r="B122" s="2" t="str">
        <x:v>Libya (State of)</x:v>
      </x:c>
      <x:c r="C122" s="2" t="n">
        <x:v>2020</x:v>
      </x:c>
      <x:c r="D122" s="2" t="str">
        <x:v>TEMPO_PROXY</x:v>
      </x:c>
      <x:c r="E122" s="17" t="n">
        <x:v>523048577.3000005</x:v>
      </x:c>
      <x:c r="F122" s="17" t="n">
        <x:f>IF(AND(M122,ISNUMBER(R122)),IF(D122="TEMPO_PROXY",R122,IF(AND(ISNUMBER(S122),S122&gt;0,ISNUMBER(U122)),U122*R122/S122,"n.a.")),"n.a.")</x:f>
        <x:v>523048577.3000005</x:v>
      </x:c>
      <x:c r="G122" s="17" t="n">
        <x:f>IF(AND(ISNUMBER(E122),ISNUMBER(F122)),E122-F122,"n.a.")</x:f>
        <x:v>0</x:v>
      </x:c>
      <x:c r="H122" s="15" t="n">
        <x:f>IF(AND(ISNUMBER(E122),ISNUMBER(F122),F122&gt;0),(E122-F122)/F122,"n.a.")</x:f>
        <x:v>0</x:v>
      </x:c>
      <x:c r="I122" s="19" t="n">
        <x:f>IF(ISNUMBER(H122),ABS(H122),"n.a.")</x:f>
        <x:v>0</x:v>
      </x:c>
      <x:c r="J122" s="2" t="str">
        <x:v>available</x:v>
      </x:c>
      <x:c r="K122" s="2" t="n">
        <x:v>1</x:v>
      </x:c>
      <x:c r="L122" s="13" t="b">
        <x:v>1</x:v>
      </x:c>
      <x:c r="M122" s="13" t="b">
        <x:v>1</x:v>
      </x:c>
      <x:c r="N122" s="2" t="str">
        <x:v>inherited2020anchor</x:v>
      </x:c>
      <x:c r="O122" s="2" t="str"/>
      <x:c r="P122" s="2" t="str">
        <x:v>assumption-based floor-area proxy</x:v>
      </x:c>
      <x:c r="Q122" s="2" t="str">
        <x:v>m2</x:v>
      </x:c>
      <x:c r="R122" s="17" t="n">
        <x:v>523048577.3000005</x:v>
      </x:c>
      <x:c r="S122" s="17"/>
      <x:c r="T122" s="18"/>
      <x:c r="U122" s="17" t="n">
        <x:v>523048577.3000005</x:v>
      </x:c>
      <x:c r="V122" s="2" t="str">
        <x:v>existing saved physical-floor-area proxy</x:v>
      </x:c>
      <x:c r="W122" s="2" t="str">
        <x:v>legacy_epoch_source_QA_passed; new_common_native_support_not_certified</x:v>
      </x:c>
      <x:c r="X122" s="2" t="str">
        <x:v>https://arxiv.org/abs/2511.12104</x:v>
      </x:c>
    </x:row>
    <x:row r="123" ht="23" customHeight="1">
      <x:c r="A123" s="2" t="str">
        <x:v>LCA</x:v>
      </x:c>
      <x:c r="B123" s="2" t="str">
        <x:v>Saint Lucia</x:v>
      </x:c>
      <x:c r="C123" s="2" t="n">
        <x:v>2020</x:v>
      </x:c>
      <x:c r="D123" s="2" t="str">
        <x:v>TEMPO_PROXY</x:v>
      </x:c>
      <x:c r="E123" s="17" t="n">
        <x:v>10226894.600000018</x:v>
      </x:c>
      <x:c r="F123" s="17" t="n">
        <x:f>IF(AND(M123,ISNUMBER(R123)),IF(D123="TEMPO_PROXY",R123,IF(AND(ISNUMBER(S123),S123&gt;0,ISNUMBER(U123)),U123*R123/S123,"n.a.")),"n.a.")</x:f>
        <x:v>10226894.600000018</x:v>
      </x:c>
      <x:c r="G123" s="17" t="n">
        <x:f>IF(AND(ISNUMBER(E123),ISNUMBER(F123)),E123-F123,"n.a.")</x:f>
        <x:v>0</x:v>
      </x:c>
      <x:c r="H123" s="15" t="n">
        <x:f>IF(AND(ISNUMBER(E123),ISNUMBER(F123),F123&gt;0),(E123-F123)/F123,"n.a.")</x:f>
        <x:v>0</x:v>
      </x:c>
      <x:c r="I123" s="19" t="n">
        <x:f>IF(ISNUMBER(H123),ABS(H123),"n.a.")</x:f>
        <x:v>0</x:v>
      </x:c>
      <x:c r="J123" s="2" t="str">
        <x:v>available</x:v>
      </x:c>
      <x:c r="K123" s="2" t="n">
        <x:v>1</x:v>
      </x:c>
      <x:c r="L123" s="13" t="b">
        <x:v>1</x:v>
      </x:c>
      <x:c r="M123" s="13" t="b">
        <x:v>1</x:v>
      </x:c>
      <x:c r="N123" s="2" t="str">
        <x:v>inherited2020anchor</x:v>
      </x:c>
      <x:c r="O123" s="2" t="str"/>
      <x:c r="P123" s="2" t="str">
        <x:v>assumption-based floor-area proxy</x:v>
      </x:c>
      <x:c r="Q123" s="2" t="str">
        <x:v>m2</x:v>
      </x:c>
      <x:c r="R123" s="17" t="n">
        <x:v>10226894.600000018</x:v>
      </x:c>
      <x:c r="S123" s="17"/>
      <x:c r="T123" s="18"/>
      <x:c r="U123" s="17" t="n">
        <x:v>10226894.600000018</x:v>
      </x:c>
      <x:c r="V123" s="2" t="str">
        <x:v>existing saved physical-floor-area proxy</x:v>
      </x:c>
      <x:c r="W123" s="2" t="str">
        <x:v>legacy_epoch_source_QA_passed; new_common_native_support_not_certified</x:v>
      </x:c>
      <x:c r="X123" s="2" t="str">
        <x:v>https://arxiv.org/abs/2511.12104</x:v>
      </x:c>
    </x:row>
    <x:row r="124" ht="23" customHeight="1">
      <x:c r="A124" s="2" t="str">
        <x:v>LIE</x:v>
      </x:c>
      <x:c r="B124" s="2" t="str">
        <x:v>Liechtenstein (Principality of)</x:v>
      </x:c>
      <x:c r="C124" s="2" t="n">
        <x:v>2020</x:v>
      </x:c>
      <x:c r="D124" s="2" t="str">
        <x:v>TEMPO_PROXY</x:v>
      </x:c>
      <x:c r="E124" s="17" t="n">
        <x:v>3628695.830000003</x:v>
      </x:c>
      <x:c r="F124" s="17" t="n">
        <x:f>IF(AND(M124,ISNUMBER(R124)),IF(D124="TEMPO_PROXY",R124,IF(AND(ISNUMBER(S124),S124&gt;0,ISNUMBER(U124)),U124*R124/S124,"n.a.")),"n.a.")</x:f>
        <x:v>3628695.830000003</x:v>
      </x:c>
      <x:c r="G124" s="17" t="n">
        <x:f>IF(AND(ISNUMBER(E124),ISNUMBER(F124)),E124-F124,"n.a.")</x:f>
        <x:v>0</x:v>
      </x:c>
      <x:c r="H124" s="15" t="n">
        <x:f>IF(AND(ISNUMBER(E124),ISNUMBER(F124),F124&gt;0),(E124-F124)/F124,"n.a.")</x:f>
        <x:v>0</x:v>
      </x:c>
      <x:c r="I124" s="19" t="n">
        <x:f>IF(ISNUMBER(H124),ABS(H124),"n.a.")</x:f>
        <x:v>0</x:v>
      </x:c>
      <x:c r="J124" s="2" t="str">
        <x:v>available</x:v>
      </x:c>
      <x:c r="K124" s="2" t="n">
        <x:v>1</x:v>
      </x:c>
      <x:c r="L124" s="13" t="b">
        <x:v>1</x:v>
      </x:c>
      <x:c r="M124" s="13" t="b">
        <x:v>1</x:v>
      </x:c>
      <x:c r="N124" s="2" t="str">
        <x:v>inherited2020anchor</x:v>
      </x:c>
      <x:c r="O124" s="2" t="str"/>
      <x:c r="P124" s="2" t="str">
        <x:v>assumption-based floor-area proxy</x:v>
      </x:c>
      <x:c r="Q124" s="2" t="str">
        <x:v>m2</x:v>
      </x:c>
      <x:c r="R124" s="17" t="n">
        <x:v>3628695.830000003</x:v>
      </x:c>
      <x:c r="S124" s="17"/>
      <x:c r="T124" s="18"/>
      <x:c r="U124" s="17" t="n">
        <x:v>3628695.830000003</x:v>
      </x:c>
      <x:c r="V124" s="2" t="str">
        <x:v>existing saved physical-floor-area proxy</x:v>
      </x:c>
      <x:c r="W124" s="2" t="str">
        <x:v>legacy_epoch_source_QA_passed; new_common_native_support_not_certified</x:v>
      </x:c>
      <x:c r="X124" s="2" t="str">
        <x:v>https://arxiv.org/abs/2511.12104</x:v>
      </x:c>
    </x:row>
    <x:row r="125" ht="23" customHeight="1">
      <x:c r="A125" s="2" t="str">
        <x:v>LKA</x:v>
      </x:c>
      <x:c r="B125" s="2" t="str">
        <x:v>Sri Lanka (Democratic Socialist Republic of)</x:v>
      </x:c>
      <x:c r="C125" s="2" t="n">
        <x:v>2020</x:v>
      </x:c>
      <x:c r="D125" s="2" t="str">
        <x:v>TEMPO_PROXY</x:v>
      </x:c>
      <x:c r="E125" s="17" t="n">
        <x:v>899293602.2900008</x:v>
      </x:c>
      <x:c r="F125" s="17" t="n">
        <x:f>IF(AND(M125,ISNUMBER(R125)),IF(D125="TEMPO_PROXY",R125,IF(AND(ISNUMBER(S125),S125&gt;0,ISNUMBER(U125)),U125*R125/S125,"n.a.")),"n.a.")</x:f>
        <x:v>899293602.2900008</x:v>
      </x:c>
      <x:c r="G125" s="17" t="n">
        <x:f>IF(AND(ISNUMBER(E125),ISNUMBER(F125)),E125-F125,"n.a.")</x:f>
        <x:v>0</x:v>
      </x:c>
      <x:c r="H125" s="15" t="n">
        <x:f>IF(AND(ISNUMBER(E125),ISNUMBER(F125),F125&gt;0),(E125-F125)/F125,"n.a.")</x:f>
        <x:v>0</x:v>
      </x:c>
      <x:c r="I125" s="19" t="n">
        <x:f>IF(ISNUMBER(H125),ABS(H125),"n.a.")</x:f>
        <x:v>0</x:v>
      </x:c>
      <x:c r="J125" s="2" t="str">
        <x:v>available</x:v>
      </x:c>
      <x:c r="K125" s="2" t="n">
        <x:v>1</x:v>
      </x:c>
      <x:c r="L125" s="13" t="b">
        <x:v>1</x:v>
      </x:c>
      <x:c r="M125" s="13" t="b">
        <x:v>1</x:v>
      </x:c>
      <x:c r="N125" s="2" t="str">
        <x:v>inherited2020anchor</x:v>
      </x:c>
      <x:c r="O125" s="2" t="str"/>
      <x:c r="P125" s="2" t="str">
        <x:v>assumption-based floor-area proxy</x:v>
      </x:c>
      <x:c r="Q125" s="2" t="str">
        <x:v>m2</x:v>
      </x:c>
      <x:c r="R125" s="17" t="n">
        <x:v>899293602.2900008</x:v>
      </x:c>
      <x:c r="S125" s="17"/>
      <x:c r="T125" s="18"/>
      <x:c r="U125" s="17" t="n">
        <x:v>899293602.2900008</x:v>
      </x:c>
      <x:c r="V125" s="2" t="str">
        <x:v>existing saved physical-floor-area proxy</x:v>
      </x:c>
      <x:c r="W125" s="2" t="str">
        <x:v>legacy_epoch_source_QA_passed; new_common_native_support_not_certified</x:v>
      </x:c>
      <x:c r="X125" s="2" t="str">
        <x:v>https://arxiv.org/abs/2511.12104</x:v>
      </x:c>
    </x:row>
    <x:row r="126" ht="23" customHeight="1">
      <x:c r="A126" s="2" t="str">
        <x:v>LSO</x:v>
      </x:c>
      <x:c r="B126" s="2" t="str">
        <x:v>Lesotho (Kingdom of)</x:v>
      </x:c>
      <x:c r="C126" s="2" t="n">
        <x:v>2020</x:v>
      </x:c>
      <x:c r="D126" s="2" t="str">
        <x:v>TEMPO_PROXY</x:v>
      </x:c>
      <x:c r="E126" s="17" t="n">
        <x:v>60655167.15000007</x:v>
      </x:c>
      <x:c r="F126" s="17" t="n">
        <x:f>IF(AND(M126,ISNUMBER(R126)),IF(D126="TEMPO_PROXY",R126,IF(AND(ISNUMBER(S126),S126&gt;0,ISNUMBER(U126)),U126*R126/S126,"n.a.")),"n.a.")</x:f>
        <x:v>60655167.15000007</x:v>
      </x:c>
      <x:c r="G126" s="17" t="n">
        <x:f>IF(AND(ISNUMBER(E126),ISNUMBER(F126)),E126-F126,"n.a.")</x:f>
        <x:v>0</x:v>
      </x:c>
      <x:c r="H126" s="15" t="n">
        <x:f>IF(AND(ISNUMBER(E126),ISNUMBER(F126),F126&gt;0),(E126-F126)/F126,"n.a.")</x:f>
        <x:v>0</x:v>
      </x:c>
      <x:c r="I126" s="19" t="n">
        <x:f>IF(ISNUMBER(H126),ABS(H126),"n.a.")</x:f>
        <x:v>0</x:v>
      </x:c>
      <x:c r="J126" s="2" t="str">
        <x:v>available</x:v>
      </x:c>
      <x:c r="K126" s="2" t="n">
        <x:v>1</x:v>
      </x:c>
      <x:c r="L126" s="13" t="b">
        <x:v>1</x:v>
      </x:c>
      <x:c r="M126" s="13" t="b">
        <x:v>1</x:v>
      </x:c>
      <x:c r="N126" s="2" t="str">
        <x:v>inherited2020anchor</x:v>
      </x:c>
      <x:c r="O126" s="2" t="str"/>
      <x:c r="P126" s="2" t="str">
        <x:v>assumption-based floor-area proxy</x:v>
      </x:c>
      <x:c r="Q126" s="2" t="str">
        <x:v>m2</x:v>
      </x:c>
      <x:c r="R126" s="17" t="n">
        <x:v>60655167.15000007</x:v>
      </x:c>
      <x:c r="S126" s="17"/>
      <x:c r="T126" s="18"/>
      <x:c r="U126" s="17" t="n">
        <x:v>60655167.15000007</x:v>
      </x:c>
      <x:c r="V126" s="2" t="str">
        <x:v>existing saved physical-floor-area proxy</x:v>
      </x:c>
      <x:c r="W126" s="2" t="str">
        <x:v>legacy_epoch_source_QA_passed; new_common_native_support_not_certified</x:v>
      </x:c>
      <x:c r="X126" s="2" t="str">
        <x:v>https://arxiv.org/abs/2511.12104</x:v>
      </x:c>
    </x:row>
    <x:row r="127" ht="23" customHeight="1">
      <x:c r="A127" s="2" t="str">
        <x:v>LTU</x:v>
      </x:c>
      <x:c r="B127" s="2" t="str">
        <x:v>Lithuania (Republic of)</x:v>
      </x:c>
      <x:c r="C127" s="2" t="n">
        <x:v>2020</x:v>
      </x:c>
      <x:c r="D127" s="2" t="str">
        <x:v>TEMPO_PROXY</x:v>
      </x:c>
      <x:c r="E127" s="17" t="n">
        <x:v>269070067.6199997</x:v>
      </x:c>
      <x:c r="F127" s="17" t="n">
        <x:f>IF(AND(M127,ISNUMBER(R127)),IF(D127="TEMPO_PROXY",R127,IF(AND(ISNUMBER(S127),S127&gt;0,ISNUMBER(U127)),U127*R127/S127,"n.a.")),"n.a.")</x:f>
        <x:v>269070067.6199997</x:v>
      </x:c>
      <x:c r="G127" s="17" t="n">
        <x:f>IF(AND(ISNUMBER(E127),ISNUMBER(F127)),E127-F127,"n.a.")</x:f>
        <x:v>0</x:v>
      </x:c>
      <x:c r="H127" s="15" t="n">
        <x:f>IF(AND(ISNUMBER(E127),ISNUMBER(F127),F127&gt;0),(E127-F127)/F127,"n.a.")</x:f>
        <x:v>0</x:v>
      </x:c>
      <x:c r="I127" s="19" t="n">
        <x:f>IF(ISNUMBER(H127),ABS(H127),"n.a.")</x:f>
        <x:v>0</x:v>
      </x:c>
      <x:c r="J127" s="2" t="str">
        <x:v>available</x:v>
      </x:c>
      <x:c r="K127" s="2" t="n">
        <x:v>1</x:v>
      </x:c>
      <x:c r="L127" s="13" t="b">
        <x:v>1</x:v>
      </x:c>
      <x:c r="M127" s="13" t="b">
        <x:v>1</x:v>
      </x:c>
      <x:c r="N127" s="2" t="str">
        <x:v>inherited2020anchor</x:v>
      </x:c>
      <x:c r="O127" s="2" t="str"/>
      <x:c r="P127" s="2" t="str">
        <x:v>assumption-based floor-area proxy</x:v>
      </x:c>
      <x:c r="Q127" s="2" t="str">
        <x:v>m2</x:v>
      </x:c>
      <x:c r="R127" s="17" t="n">
        <x:v>269070067.6199997</x:v>
      </x:c>
      <x:c r="S127" s="17"/>
      <x:c r="T127" s="18"/>
      <x:c r="U127" s="17" t="n">
        <x:v>269070067.6199997</x:v>
      </x:c>
      <x:c r="V127" s="2" t="str">
        <x:v>existing saved physical-floor-area proxy</x:v>
      </x:c>
      <x:c r="W127" s="2" t="str">
        <x:v>legacy_epoch_source_QA_passed; new_common_native_support_not_certified</x:v>
      </x:c>
      <x:c r="X127" s="2" t="str">
        <x:v>https://arxiv.org/abs/2511.12104</x:v>
      </x:c>
    </x:row>
    <x:row r="128" ht="23" customHeight="1">
      <x:c r="A128" s="2" t="str">
        <x:v>LUX</x:v>
      </x:c>
      <x:c r="B128" s="2" t="str">
        <x:v>Luxembourg (Grand Duchy of)</x:v>
      </x:c>
      <x:c r="C128" s="2" t="n">
        <x:v>2020</x:v>
      </x:c>
      <x:c r="D128" s="2" t="str">
        <x:v>TEMPO_PROXY</x:v>
      </x:c>
      <x:c r="E128" s="17" t="n">
        <x:v>49053600.56000002</x:v>
      </x:c>
      <x:c r="F128" s="17" t="n">
        <x:f>IF(AND(M128,ISNUMBER(R128)),IF(D128="TEMPO_PROXY",R128,IF(AND(ISNUMBER(S128),S128&gt;0,ISNUMBER(U128)),U128*R128/S128,"n.a.")),"n.a.")</x:f>
        <x:v>49053600.56000002</x:v>
      </x:c>
      <x:c r="G128" s="17" t="n">
        <x:f>IF(AND(ISNUMBER(E128),ISNUMBER(F128)),E128-F128,"n.a.")</x:f>
        <x:v>0</x:v>
      </x:c>
      <x:c r="H128" s="15" t="n">
        <x:f>IF(AND(ISNUMBER(E128),ISNUMBER(F128),F128&gt;0),(E128-F128)/F128,"n.a.")</x:f>
        <x:v>0</x:v>
      </x:c>
      <x:c r="I128" s="19" t="n">
        <x:f>IF(ISNUMBER(H128),ABS(H128),"n.a.")</x:f>
        <x:v>0</x:v>
      </x:c>
      <x:c r="J128" s="2" t="str">
        <x:v>available</x:v>
      </x:c>
      <x:c r="K128" s="2" t="n">
        <x:v>1</x:v>
      </x:c>
      <x:c r="L128" s="13" t="b">
        <x:v>1</x:v>
      </x:c>
      <x:c r="M128" s="13" t="b">
        <x:v>1</x:v>
      </x:c>
      <x:c r="N128" s="2" t="str">
        <x:v>inherited2020anchor</x:v>
      </x:c>
      <x:c r="O128" s="2" t="str"/>
      <x:c r="P128" s="2" t="str">
        <x:v>assumption-based floor-area proxy</x:v>
      </x:c>
      <x:c r="Q128" s="2" t="str">
        <x:v>m2</x:v>
      </x:c>
      <x:c r="R128" s="17" t="n">
        <x:v>49053600.56000002</x:v>
      </x:c>
      <x:c r="S128" s="17"/>
      <x:c r="T128" s="18"/>
      <x:c r="U128" s="17" t="n">
        <x:v>49053600.56000002</x:v>
      </x:c>
      <x:c r="V128" s="2" t="str">
        <x:v>existing saved physical-floor-area proxy</x:v>
      </x:c>
      <x:c r="W128" s="2" t="str">
        <x:v>legacy_epoch_source_QA_passed; new_common_native_support_not_certified</x:v>
      </x:c>
      <x:c r="X128" s="2" t="str">
        <x:v>https://arxiv.org/abs/2511.12104</x:v>
      </x:c>
    </x:row>
    <x:row r="129" ht="23" customHeight="1">
      <x:c r="A129" s="2" t="str">
        <x:v>LVA</x:v>
      </x:c>
      <x:c r="B129" s="2" t="str">
        <x:v>Latvia (Republic of)</x:v>
      </x:c>
      <x:c r="C129" s="2" t="n">
        <x:v>2020</x:v>
      </x:c>
      <x:c r="D129" s="2" t="str">
        <x:v>TEMPO_PROXY</x:v>
      </x:c>
      <x:c r="E129" s="17" t="n">
        <x:v>145154805.1899999</x:v>
      </x:c>
      <x:c r="F129" s="17" t="n">
        <x:f>IF(AND(M129,ISNUMBER(R129)),IF(D129="TEMPO_PROXY",R129,IF(AND(ISNUMBER(S129),S129&gt;0,ISNUMBER(U129)),U129*R129/S129,"n.a.")),"n.a.")</x:f>
        <x:v>145154805.1899999</x:v>
      </x:c>
      <x:c r="G129" s="17" t="n">
        <x:f>IF(AND(ISNUMBER(E129),ISNUMBER(F129)),E129-F129,"n.a.")</x:f>
        <x:v>0</x:v>
      </x:c>
      <x:c r="H129" s="15" t="n">
        <x:f>IF(AND(ISNUMBER(E129),ISNUMBER(F129),F129&gt;0),(E129-F129)/F129,"n.a.")</x:f>
        <x:v>0</x:v>
      </x:c>
      <x:c r="I129" s="19" t="n">
        <x:f>IF(ISNUMBER(H129),ABS(H129),"n.a.")</x:f>
        <x:v>0</x:v>
      </x:c>
      <x:c r="J129" s="2" t="str">
        <x:v>available</x:v>
      </x:c>
      <x:c r="K129" s="2" t="n">
        <x:v>1</x:v>
      </x:c>
      <x:c r="L129" s="13" t="b">
        <x:v>1</x:v>
      </x:c>
      <x:c r="M129" s="13" t="b">
        <x:v>1</x:v>
      </x:c>
      <x:c r="N129" s="2" t="str">
        <x:v>inherited2020anchor</x:v>
      </x:c>
      <x:c r="O129" s="2" t="str"/>
      <x:c r="P129" s="2" t="str">
        <x:v>assumption-based floor-area proxy</x:v>
      </x:c>
      <x:c r="Q129" s="2" t="str">
        <x:v>m2</x:v>
      </x:c>
      <x:c r="R129" s="17" t="n">
        <x:v>145154805.1899999</x:v>
      </x:c>
      <x:c r="S129" s="17"/>
      <x:c r="T129" s="18"/>
      <x:c r="U129" s="17" t="n">
        <x:v>145154805.1899999</x:v>
      </x:c>
      <x:c r="V129" s="2" t="str">
        <x:v>existing saved physical-floor-area proxy</x:v>
      </x:c>
      <x:c r="W129" s="2" t="str">
        <x:v>legacy_epoch_source_QA_passed; new_common_native_support_not_certified</x:v>
      </x:c>
      <x:c r="X129" s="2" t="str">
        <x:v>https://arxiv.org/abs/2511.12104</x:v>
      </x:c>
    </x:row>
    <x:row r="130" ht="23" customHeight="1">
      <x:c r="A130" s="2" t="str">
        <x:v>MAR</x:v>
      </x:c>
      <x:c r="B130" s="2" t="str">
        <x:v>Morocco (Kingdom of)</x:v>
      </x:c>
      <x:c r="C130" s="2" t="n">
        <x:v>2020</x:v>
      </x:c>
      <x:c r="D130" s="2" t="str">
        <x:v>TEMPO_PROXY</x:v>
      </x:c>
      <x:c r="E130" s="17" t="n">
        <x:v>1247018524.7000012</x:v>
      </x:c>
      <x:c r="F130" s="17" t="n">
        <x:f>IF(AND(M130,ISNUMBER(R130)),IF(D130="TEMPO_PROXY",R130,IF(AND(ISNUMBER(S130),S130&gt;0,ISNUMBER(U130)),U130*R130/S130,"n.a.")),"n.a.")</x:f>
        <x:v>1247018524.7000012</x:v>
      </x:c>
      <x:c r="G130" s="17" t="n">
        <x:f>IF(AND(ISNUMBER(E130),ISNUMBER(F130)),E130-F130,"n.a.")</x:f>
        <x:v>0</x:v>
      </x:c>
      <x:c r="H130" s="15" t="n">
        <x:f>IF(AND(ISNUMBER(E130),ISNUMBER(F130),F130&gt;0),(E130-F130)/F130,"n.a.")</x:f>
        <x:v>0</x:v>
      </x:c>
      <x:c r="I130" s="19" t="n">
        <x:f>IF(ISNUMBER(H130),ABS(H130),"n.a.")</x:f>
        <x:v>0</x:v>
      </x:c>
      <x:c r="J130" s="2" t="str">
        <x:v>available</x:v>
      </x:c>
      <x:c r="K130" s="2" t="n">
        <x:v>1</x:v>
      </x:c>
      <x:c r="L130" s="13" t="b">
        <x:v>1</x:v>
      </x:c>
      <x:c r="M130" s="13" t="b">
        <x:v>1</x:v>
      </x:c>
      <x:c r="N130" s="2" t="str">
        <x:v>inherited2020anchor</x:v>
      </x:c>
      <x:c r="O130" s="2" t="str"/>
      <x:c r="P130" s="2" t="str">
        <x:v>assumption-based floor-area proxy</x:v>
      </x:c>
      <x:c r="Q130" s="2" t="str">
        <x:v>m2</x:v>
      </x:c>
      <x:c r="R130" s="17" t="n">
        <x:v>1247018524.7000012</x:v>
      </x:c>
      <x:c r="S130" s="17"/>
      <x:c r="T130" s="18"/>
      <x:c r="U130" s="17" t="n">
        <x:v>1247018524.7000012</x:v>
      </x:c>
      <x:c r="V130" s="2" t="str">
        <x:v>existing saved physical-floor-area proxy</x:v>
      </x:c>
      <x:c r="W130" s="2" t="str">
        <x:v>legacy_epoch_source_QA_passed; new_common_native_support_not_certified</x:v>
      </x:c>
      <x:c r="X130" s="2" t="str">
        <x:v>https://arxiv.org/abs/2511.12104</x:v>
      </x:c>
    </x:row>
    <x:row r="131" ht="23" customHeight="1">
      <x:c r="A131" s="2" t="str">
        <x:v>MCO</x:v>
      </x:c>
      <x:c r="B131" s="2" t="str">
        <x:v>Monaco (Principality of)</x:v>
      </x:c>
      <x:c r="C131" s="2" t="n">
        <x:v>2020</x:v>
      </x:c>
      <x:c r="D131" s="2" t="str">
        <x:v>TEMPO_PROXY</x:v>
      </x:c>
      <x:c r="E131" s="17" t="n">
        <x:v>1563267.7900000005</x:v>
      </x:c>
      <x:c r="F131" s="17" t="n">
        <x:f>IF(AND(M131,ISNUMBER(R131)),IF(D131="TEMPO_PROXY",R131,IF(AND(ISNUMBER(S131),S131&gt;0,ISNUMBER(U131)),U131*R131/S131,"n.a.")),"n.a.")</x:f>
        <x:v>1563267.7900000005</x:v>
      </x:c>
      <x:c r="G131" s="17" t="n">
        <x:f>IF(AND(ISNUMBER(E131),ISNUMBER(F131)),E131-F131,"n.a.")</x:f>
        <x:v>0</x:v>
      </x:c>
      <x:c r="H131" s="15" t="n">
        <x:f>IF(AND(ISNUMBER(E131),ISNUMBER(F131),F131&gt;0),(E131-F131)/F131,"n.a.")</x:f>
        <x:v>0</x:v>
      </x:c>
      <x:c r="I131" s="19" t="n">
        <x:f>IF(ISNUMBER(H131),ABS(H131),"n.a.")</x:f>
        <x:v>0</x:v>
      </x:c>
      <x:c r="J131" s="2" t="str">
        <x:v>available</x:v>
      </x:c>
      <x:c r="K131" s="2" t="n">
        <x:v>1</x:v>
      </x:c>
      <x:c r="L131" s="13" t="b">
        <x:v>1</x:v>
      </x:c>
      <x:c r="M131" s="13" t="b">
        <x:v>1</x:v>
      </x:c>
      <x:c r="N131" s="2" t="str">
        <x:v>inherited2020anchor</x:v>
      </x:c>
      <x:c r="O131" s="2" t="str"/>
      <x:c r="P131" s="2" t="str">
        <x:v>assumption-based floor-area proxy</x:v>
      </x:c>
      <x:c r="Q131" s="2" t="str">
        <x:v>m2</x:v>
      </x:c>
      <x:c r="R131" s="17" t="n">
        <x:v>1563267.7900000005</x:v>
      </x:c>
      <x:c r="S131" s="17"/>
      <x:c r="T131" s="18"/>
      <x:c r="U131" s="17" t="n">
        <x:v>1563267.7900000005</x:v>
      </x:c>
      <x:c r="V131" s="2" t="str">
        <x:v>existing saved physical-floor-area proxy</x:v>
      </x:c>
      <x:c r="W131" s="2" t="str">
        <x:v>legacy_epoch_source_QA_passed; new_common_native_support_not_certified</x:v>
      </x:c>
      <x:c r="X131" s="2" t="str">
        <x:v>https://arxiv.org/abs/2511.12104</x:v>
      </x:c>
    </x:row>
    <x:row r="132" ht="23" customHeight="1">
      <x:c r="A132" s="2" t="str">
        <x:v>MDA</x:v>
      </x:c>
      <x:c r="B132" s="2" t="str">
        <x:v>Moldova (Republic of)</x:v>
      </x:c>
      <x:c r="C132" s="2" t="n">
        <x:v>2020</x:v>
      </x:c>
      <x:c r="D132" s="2" t="str">
        <x:v>TEMPO_PROXY</x:v>
      </x:c>
      <x:c r="E132" s="17" t="n">
        <x:v>254566854.8299996</x:v>
      </x:c>
      <x:c r="F132" s="17" t="n">
        <x:f>IF(AND(M132,ISNUMBER(R132)),IF(D132="TEMPO_PROXY",R132,IF(AND(ISNUMBER(S132),S132&gt;0,ISNUMBER(U132)),U132*R132/S132,"n.a.")),"n.a.")</x:f>
        <x:v>254566854.8299996</x:v>
      </x:c>
      <x:c r="G132" s="17" t="n">
        <x:f>IF(AND(ISNUMBER(E132),ISNUMBER(F132)),E132-F132,"n.a.")</x:f>
        <x:v>0</x:v>
      </x:c>
      <x:c r="H132" s="15" t="n">
        <x:f>IF(AND(ISNUMBER(E132),ISNUMBER(F132),F132&gt;0),(E132-F132)/F132,"n.a.")</x:f>
        <x:v>0</x:v>
      </x:c>
      <x:c r="I132" s="19" t="n">
        <x:f>IF(ISNUMBER(H132),ABS(H132),"n.a.")</x:f>
        <x:v>0</x:v>
      </x:c>
      <x:c r="J132" s="2" t="str">
        <x:v>available</x:v>
      </x:c>
      <x:c r="K132" s="2" t="n">
        <x:v>1</x:v>
      </x:c>
      <x:c r="L132" s="13" t="b">
        <x:v>1</x:v>
      </x:c>
      <x:c r="M132" s="13" t="b">
        <x:v>1</x:v>
      </x:c>
      <x:c r="N132" s="2" t="str">
        <x:v>inherited2020anchor</x:v>
      </x:c>
      <x:c r="O132" s="2" t="str"/>
      <x:c r="P132" s="2" t="str">
        <x:v>assumption-based floor-area proxy</x:v>
      </x:c>
      <x:c r="Q132" s="2" t="str">
        <x:v>m2</x:v>
      </x:c>
      <x:c r="R132" s="17" t="n">
        <x:v>254566854.8299996</x:v>
      </x:c>
      <x:c r="S132" s="17"/>
      <x:c r="T132" s="18"/>
      <x:c r="U132" s="17" t="n">
        <x:v>254566854.8299996</x:v>
      </x:c>
      <x:c r="V132" s="2" t="str">
        <x:v>existing saved physical-floor-area proxy</x:v>
      </x:c>
      <x:c r="W132" s="2" t="str">
        <x:v>legacy_epoch_source_QA_passed; new_common_native_support_not_certified</x:v>
      </x:c>
      <x:c r="X132" s="2" t="str">
        <x:v>https://arxiv.org/abs/2511.12104</x:v>
      </x:c>
    </x:row>
    <x:row r="133" ht="23" customHeight="1">
      <x:c r="A133" s="2" t="str">
        <x:v>MDG</x:v>
      </x:c>
      <x:c r="B133" s="2" t="str">
        <x:v>Madagascar (Republic of)</x:v>
      </x:c>
      <x:c r="C133" s="2" t="n">
        <x:v>2020</x:v>
      </x:c>
      <x:c r="D133" s="2" t="str">
        <x:v>TEMPO_PROXY</x:v>
      </x:c>
      <x:c r="E133" s="17" t="n">
        <x:v>360823089.7999994</x:v>
      </x:c>
      <x:c r="F133" s="17" t="n">
        <x:f>IF(AND(M133,ISNUMBER(R133)),IF(D133="TEMPO_PROXY",R133,IF(AND(ISNUMBER(S133),S133&gt;0,ISNUMBER(U133)),U133*R133/S133,"n.a.")),"n.a.")</x:f>
        <x:v>360823089.7999994</x:v>
      </x:c>
      <x:c r="G133" s="17" t="n">
        <x:f>IF(AND(ISNUMBER(E133),ISNUMBER(F133)),E133-F133,"n.a.")</x:f>
        <x:v>0</x:v>
      </x:c>
      <x:c r="H133" s="15" t="n">
        <x:f>IF(AND(ISNUMBER(E133),ISNUMBER(F133),F133&gt;0),(E133-F133)/F133,"n.a.")</x:f>
        <x:v>0</x:v>
      </x:c>
      <x:c r="I133" s="19" t="n">
        <x:f>IF(ISNUMBER(H133),ABS(H133),"n.a.")</x:f>
        <x:v>0</x:v>
      </x:c>
      <x:c r="J133" s="2" t="str">
        <x:v>available</x:v>
      </x:c>
      <x:c r="K133" s="2" t="n">
        <x:v>1</x:v>
      </x:c>
      <x:c r="L133" s="13" t="b">
        <x:v>1</x:v>
      </x:c>
      <x:c r="M133" s="13" t="b">
        <x:v>1</x:v>
      </x:c>
      <x:c r="N133" s="2" t="str">
        <x:v>inherited2020anchor</x:v>
      </x:c>
      <x:c r="O133" s="2" t="str"/>
      <x:c r="P133" s="2" t="str">
        <x:v>assumption-based floor-area proxy</x:v>
      </x:c>
      <x:c r="Q133" s="2" t="str">
        <x:v>m2</x:v>
      </x:c>
      <x:c r="R133" s="17" t="n">
        <x:v>360823089.7999994</x:v>
      </x:c>
      <x:c r="S133" s="17"/>
      <x:c r="T133" s="18"/>
      <x:c r="U133" s="17" t="n">
        <x:v>360823089.7999994</x:v>
      </x:c>
      <x:c r="V133" s="2" t="str">
        <x:v>existing saved physical-floor-area proxy</x:v>
      </x:c>
      <x:c r="W133" s="2" t="str">
        <x:v>legacy_epoch_source_QA_passed; new_common_native_support_not_certified</x:v>
      </x:c>
      <x:c r="X133" s="2" t="str">
        <x:v>https://arxiv.org/abs/2511.12104</x:v>
      </x:c>
    </x:row>
    <x:row r="134" ht="23" customHeight="1">
      <x:c r="A134" s="2" t="str">
        <x:v>MDV</x:v>
      </x:c>
      <x:c r="B134" s="2" t="str">
        <x:v>Maldives (Republic of)</x:v>
      </x:c>
      <x:c r="C134" s="2" t="n">
        <x:v>2020</x:v>
      </x:c>
      <x:c r="D134" s="2" t="str">
        <x:v>TEMPO_PROXY</x:v>
      </x:c>
      <x:c r="E134" s="17" t="n">
        <x:v>2206666.830000001</x:v>
      </x:c>
      <x:c r="F134" s="17" t="n">
        <x:f>IF(AND(M134,ISNUMBER(R134)),IF(D134="TEMPO_PROXY",R134,IF(AND(ISNUMBER(S134),S134&gt;0,ISNUMBER(U134)),U134*R134/S134,"n.a.")),"n.a.")</x:f>
        <x:v>2206666.830000001</x:v>
      </x:c>
      <x:c r="G134" s="17" t="n">
        <x:f>IF(AND(ISNUMBER(E134),ISNUMBER(F134)),E134-F134,"n.a.")</x:f>
        <x:v>0</x:v>
      </x:c>
      <x:c r="H134" s="15" t="n">
        <x:f>IF(AND(ISNUMBER(E134),ISNUMBER(F134),F134&gt;0),(E134-F134)/F134,"n.a.")</x:f>
        <x:v>0</x:v>
      </x:c>
      <x:c r="I134" s="19" t="n">
        <x:f>IF(ISNUMBER(H134),ABS(H134),"n.a.")</x:f>
        <x:v>0</x:v>
      </x:c>
      <x:c r="J134" s="2" t="str">
        <x:v>available</x:v>
      </x:c>
      <x:c r="K134" s="2" t="n">
        <x:v>1</x:v>
      </x:c>
      <x:c r="L134" s="13" t="b">
        <x:v>1</x:v>
      </x:c>
      <x:c r="M134" s="13" t="b">
        <x:v>1</x:v>
      </x:c>
      <x:c r="N134" s="2" t="str">
        <x:v>inherited2020anchor</x:v>
      </x:c>
      <x:c r="O134" s="2" t="str"/>
      <x:c r="P134" s="2" t="str">
        <x:v>assumption-based floor-area proxy</x:v>
      </x:c>
      <x:c r="Q134" s="2" t="str">
        <x:v>m2</x:v>
      </x:c>
      <x:c r="R134" s="17" t="n">
        <x:v>2206666.830000001</x:v>
      </x:c>
      <x:c r="S134" s="17"/>
      <x:c r="T134" s="18"/>
      <x:c r="U134" s="17" t="n">
        <x:v>2206666.830000001</x:v>
      </x:c>
      <x:c r="V134" s="2" t="str">
        <x:v>existing saved physical-floor-area proxy</x:v>
      </x:c>
      <x:c r="W134" s="2" t="str">
        <x:v>legacy_epoch_source_QA_passed; new_common_native_support_not_certified</x:v>
      </x:c>
      <x:c r="X134" s="2" t="str">
        <x:v>https://arxiv.org/abs/2511.12104</x:v>
      </x:c>
    </x:row>
    <x:row r="135" ht="23" customHeight="1">
      <x:c r="A135" s="2" t="str">
        <x:v>MEX</x:v>
      </x:c>
      <x:c r="B135" s="2" t="str">
        <x:v>Mexico (United Mexican States)</x:v>
      </x:c>
      <x:c r="C135" s="2" t="n">
        <x:v>2020</x:v>
      </x:c>
      <x:c r="D135" s="2" t="str">
        <x:v>TEMPO_PROXY</x:v>
      </x:c>
      <x:c r="E135" s="17" t="n">
        <x:v>6345872319.039995</x:v>
      </x:c>
      <x:c r="F135" s="17" t="n">
        <x:f>IF(AND(M135,ISNUMBER(R135)),IF(D135="TEMPO_PROXY",R135,IF(AND(ISNUMBER(S135),S135&gt;0,ISNUMBER(U135)),U135*R135/S135,"n.a.")),"n.a.")</x:f>
        <x:v>6345872319.039995</x:v>
      </x:c>
      <x:c r="G135" s="17" t="n">
        <x:f>IF(AND(ISNUMBER(E135),ISNUMBER(F135)),E135-F135,"n.a.")</x:f>
        <x:v>0</x:v>
      </x:c>
      <x:c r="H135" s="15" t="n">
        <x:f>IF(AND(ISNUMBER(E135),ISNUMBER(F135),F135&gt;0),(E135-F135)/F135,"n.a.")</x:f>
        <x:v>0</x:v>
      </x:c>
      <x:c r="I135" s="19" t="n">
        <x:f>IF(ISNUMBER(H135),ABS(H135),"n.a.")</x:f>
        <x:v>0</x:v>
      </x:c>
      <x:c r="J135" s="2" t="str">
        <x:v>available</x:v>
      </x:c>
      <x:c r="K135" s="2" t="n">
        <x:v>1</x:v>
      </x:c>
      <x:c r="L135" s="13" t="b">
        <x:v>1</x:v>
      </x:c>
      <x:c r="M135" s="13" t="b">
        <x:v>1</x:v>
      </x:c>
      <x:c r="N135" s="2" t="str">
        <x:v>inherited2020anchor</x:v>
      </x:c>
      <x:c r="O135" s="2" t="str"/>
      <x:c r="P135" s="2" t="str">
        <x:v>assumption-based floor-area proxy</x:v>
      </x:c>
      <x:c r="Q135" s="2" t="str">
        <x:v>m2</x:v>
      </x:c>
      <x:c r="R135" s="17" t="n">
        <x:v>6345872319.039995</x:v>
      </x:c>
      <x:c r="S135" s="17"/>
      <x:c r="T135" s="18"/>
      <x:c r="U135" s="17" t="n">
        <x:v>6345872319.039995</x:v>
      </x:c>
      <x:c r="V135" s="2" t="str">
        <x:v>existing saved physical-floor-area proxy</x:v>
      </x:c>
      <x:c r="W135" s="2" t="str">
        <x:v>legacy_epoch_source_QA_passed; new_common_native_support_not_certified</x:v>
      </x:c>
      <x:c r="X135" s="2" t="str">
        <x:v>https://arxiv.org/abs/2511.12104</x:v>
      </x:c>
    </x:row>
    <x:row r="136" ht="23" customHeight="1">
      <x:c r="A136" s="2" t="str">
        <x:v>MHL</x:v>
      </x:c>
      <x:c r="B136" s="2" t="str">
        <x:v>Marshall Islands (Republic of the)</x:v>
      </x:c>
      <x:c r="C136" s="2" t="n">
        <x:v>2020</x:v>
      </x:c>
      <x:c r="D136" s="2" t="str">
        <x:v>TEMPO_PROXY</x:v>
      </x:c>
      <x:c r="E136" s="17" t="n">
        <x:v>198896.74</x:v>
      </x:c>
      <x:c r="F136" s="17" t="n">
        <x:f>IF(AND(M136,ISNUMBER(R136)),IF(D136="TEMPO_PROXY",R136,IF(AND(ISNUMBER(S136),S136&gt;0,ISNUMBER(U136)),U136*R136/S136,"n.a.")),"n.a.")</x:f>
        <x:v>198896.74</x:v>
      </x:c>
      <x:c r="G136" s="17" t="n">
        <x:f>IF(AND(ISNUMBER(E136),ISNUMBER(F136)),E136-F136,"n.a.")</x:f>
        <x:v>0</x:v>
      </x:c>
      <x:c r="H136" s="15" t="n">
        <x:f>IF(AND(ISNUMBER(E136),ISNUMBER(F136),F136&gt;0),(E136-F136)/F136,"n.a.")</x:f>
        <x:v>0</x:v>
      </x:c>
      <x:c r="I136" s="19" t="n">
        <x:f>IF(ISNUMBER(H136),ABS(H136),"n.a.")</x:f>
        <x:v>0</x:v>
      </x:c>
      <x:c r="J136" s="2" t="str">
        <x:v>available</x:v>
      </x:c>
      <x:c r="K136" s="2" t="n">
        <x:v>1</x:v>
      </x:c>
      <x:c r="L136" s="13" t="b">
        <x:v>1</x:v>
      </x:c>
      <x:c r="M136" s="13" t="b">
        <x:v>1</x:v>
      </x:c>
      <x:c r="N136" s="2" t="str">
        <x:v>inherited2020anchor</x:v>
      </x:c>
      <x:c r="O136" s="2" t="str"/>
      <x:c r="P136" s="2" t="str">
        <x:v>assumption-based floor-area proxy</x:v>
      </x:c>
      <x:c r="Q136" s="2" t="str">
        <x:v>m2</x:v>
      </x:c>
      <x:c r="R136" s="17" t="n">
        <x:v>198896.74</x:v>
      </x:c>
      <x:c r="S136" s="17"/>
      <x:c r="T136" s="18"/>
      <x:c r="U136" s="17" t="n">
        <x:v>198896.74</x:v>
      </x:c>
      <x:c r="V136" s="2" t="str">
        <x:v>existing saved physical-floor-area proxy</x:v>
      </x:c>
      <x:c r="W136" s="2" t="str">
        <x:v>legacy_epoch_source_QA_passed; new_common_native_support_not_certified</x:v>
      </x:c>
      <x:c r="X136" s="2" t="str">
        <x:v>https://arxiv.org/abs/2511.12104</x:v>
      </x:c>
    </x:row>
    <x:row r="137" ht="23" customHeight="1">
      <x:c r="A137" s="2" t="str">
        <x:v>MKD</x:v>
      </x:c>
      <x:c r="B137" s="2" t="str">
        <x:v>North Macedonia (Republic of)</x:v>
      </x:c>
      <x:c r="C137" s="2" t="n">
        <x:v>2020</x:v>
      </x:c>
      <x:c r="D137" s="2" t="str">
        <x:v>TEMPO_PROXY</x:v>
      </x:c>
      <x:c r="E137" s="17" t="n">
        <x:v>122189801.58999982</x:v>
      </x:c>
      <x:c r="F137" s="17" t="n">
        <x:f>IF(AND(M137,ISNUMBER(R137)),IF(D137="TEMPO_PROXY",R137,IF(AND(ISNUMBER(S137),S137&gt;0,ISNUMBER(U137)),U137*R137/S137,"n.a.")),"n.a.")</x:f>
        <x:v>122189801.58999982</x:v>
      </x:c>
      <x:c r="G137" s="17" t="n">
        <x:f>IF(AND(ISNUMBER(E137),ISNUMBER(F137)),E137-F137,"n.a.")</x:f>
        <x:v>0</x:v>
      </x:c>
      <x:c r="H137" s="15" t="n">
        <x:f>IF(AND(ISNUMBER(E137),ISNUMBER(F137),F137&gt;0),(E137-F137)/F137,"n.a.")</x:f>
        <x:v>0</x:v>
      </x:c>
      <x:c r="I137" s="19" t="n">
        <x:f>IF(ISNUMBER(H137),ABS(H137),"n.a.")</x:f>
        <x:v>0</x:v>
      </x:c>
      <x:c r="J137" s="2" t="str">
        <x:v>available</x:v>
      </x:c>
      <x:c r="K137" s="2" t="n">
        <x:v>1</x:v>
      </x:c>
      <x:c r="L137" s="13" t="b">
        <x:v>1</x:v>
      </x:c>
      <x:c r="M137" s="13" t="b">
        <x:v>1</x:v>
      </x:c>
      <x:c r="N137" s="2" t="str">
        <x:v>inherited2020anchor</x:v>
      </x:c>
      <x:c r="O137" s="2" t="str"/>
      <x:c r="P137" s="2" t="str">
        <x:v>assumption-based floor-area proxy</x:v>
      </x:c>
      <x:c r="Q137" s="2" t="str">
        <x:v>m2</x:v>
      </x:c>
      <x:c r="R137" s="17" t="n">
        <x:v>122189801.58999982</x:v>
      </x:c>
      <x:c r="S137" s="17"/>
      <x:c r="T137" s="18"/>
      <x:c r="U137" s="17" t="n">
        <x:v>122189801.58999982</x:v>
      </x:c>
      <x:c r="V137" s="2" t="str">
        <x:v>existing saved physical-floor-area proxy</x:v>
      </x:c>
      <x:c r="W137" s="2" t="str">
        <x:v>legacy_epoch_source_QA_passed; new_common_native_support_not_certified</x:v>
      </x:c>
      <x:c r="X137" s="2" t="str">
        <x:v>https://arxiv.org/abs/2511.12104</x:v>
      </x:c>
    </x:row>
    <x:row r="138" ht="23" customHeight="1">
      <x:c r="A138" s="2" t="str">
        <x:v>MLI</x:v>
      </x:c>
      <x:c r="B138" s="2" t="str">
        <x:v>Mali (Republic of)</x:v>
      </x:c>
      <x:c r="C138" s="2" t="n">
        <x:v>2020</x:v>
      </x:c>
      <x:c r="D138" s="2" t="str">
        <x:v>TEMPO_PROXY</x:v>
      </x:c>
      <x:c r="E138" s="17" t="n">
        <x:v>323707340.7500005</x:v>
      </x:c>
      <x:c r="F138" s="17" t="n">
        <x:f>IF(AND(M138,ISNUMBER(R138)),IF(D138="TEMPO_PROXY",R138,IF(AND(ISNUMBER(S138),S138&gt;0,ISNUMBER(U138)),U138*R138/S138,"n.a.")),"n.a.")</x:f>
        <x:v>323707340.7500005</x:v>
      </x:c>
      <x:c r="G138" s="17" t="n">
        <x:f>IF(AND(ISNUMBER(E138),ISNUMBER(F138)),E138-F138,"n.a.")</x:f>
        <x:v>0</x:v>
      </x:c>
      <x:c r="H138" s="15" t="n">
        <x:f>IF(AND(ISNUMBER(E138),ISNUMBER(F138),F138&gt;0),(E138-F138)/F138,"n.a.")</x:f>
        <x:v>0</x:v>
      </x:c>
      <x:c r="I138" s="19" t="n">
        <x:f>IF(ISNUMBER(H138),ABS(H138),"n.a.")</x:f>
        <x:v>0</x:v>
      </x:c>
      <x:c r="J138" s="2" t="str">
        <x:v>available</x:v>
      </x:c>
      <x:c r="K138" s="2" t="n">
        <x:v>1</x:v>
      </x:c>
      <x:c r="L138" s="13" t="b">
        <x:v>1</x:v>
      </x:c>
      <x:c r="M138" s="13" t="b">
        <x:v>1</x:v>
      </x:c>
      <x:c r="N138" s="2" t="str">
        <x:v>inherited2020anchor</x:v>
      </x:c>
      <x:c r="O138" s="2" t="str"/>
      <x:c r="P138" s="2" t="str">
        <x:v>assumption-based floor-area proxy</x:v>
      </x:c>
      <x:c r="Q138" s="2" t="str">
        <x:v>m2</x:v>
      </x:c>
      <x:c r="R138" s="17" t="n">
        <x:v>323707340.7500005</x:v>
      </x:c>
      <x:c r="S138" s="17"/>
      <x:c r="T138" s="18"/>
      <x:c r="U138" s="17" t="n">
        <x:v>323707340.7500005</x:v>
      </x:c>
      <x:c r="V138" s="2" t="str">
        <x:v>existing saved physical-floor-area proxy</x:v>
      </x:c>
      <x:c r="W138" s="2" t="str">
        <x:v>legacy_epoch_source_QA_passed; new_common_native_support_not_certified</x:v>
      </x:c>
      <x:c r="X138" s="2" t="str">
        <x:v>https://arxiv.org/abs/2511.12104</x:v>
      </x:c>
    </x:row>
    <x:row r="139" ht="23" customHeight="1">
      <x:c r="A139" s="2" t="str">
        <x:v>MLT</x:v>
      </x:c>
      <x:c r="B139" s="2" t="str">
        <x:v>Malta (Republic of)</x:v>
      </x:c>
      <x:c r="C139" s="2" t="n">
        <x:v>2020</x:v>
      </x:c>
      <x:c r="D139" s="2" t="str">
        <x:v>TEMPO_PROXY</x:v>
      </x:c>
      <x:c r="E139" s="17" t="n">
        <x:v>35087387.829999976</x:v>
      </x:c>
      <x:c r="F139" s="17" t="n">
        <x:f>IF(AND(M139,ISNUMBER(R139)),IF(D139="TEMPO_PROXY",R139,IF(AND(ISNUMBER(S139),S139&gt;0,ISNUMBER(U139)),U139*R139/S139,"n.a.")),"n.a.")</x:f>
        <x:v>35087387.829999976</x:v>
      </x:c>
      <x:c r="G139" s="17" t="n">
        <x:f>IF(AND(ISNUMBER(E139),ISNUMBER(F139)),E139-F139,"n.a.")</x:f>
        <x:v>0</x:v>
      </x:c>
      <x:c r="H139" s="15" t="n">
        <x:f>IF(AND(ISNUMBER(E139),ISNUMBER(F139),F139&gt;0),(E139-F139)/F139,"n.a.")</x:f>
        <x:v>0</x:v>
      </x:c>
      <x:c r="I139" s="19" t="n">
        <x:f>IF(ISNUMBER(H139),ABS(H139),"n.a.")</x:f>
        <x:v>0</x:v>
      </x:c>
      <x:c r="J139" s="2" t="str">
        <x:v>available</x:v>
      </x:c>
      <x:c r="K139" s="2" t="n">
        <x:v>1</x:v>
      </x:c>
      <x:c r="L139" s="13" t="b">
        <x:v>1</x:v>
      </x:c>
      <x:c r="M139" s="13" t="b">
        <x:v>1</x:v>
      </x:c>
      <x:c r="N139" s="2" t="str">
        <x:v>inherited2020anchor</x:v>
      </x:c>
      <x:c r="O139" s="2" t="str"/>
      <x:c r="P139" s="2" t="str">
        <x:v>assumption-based floor-area proxy</x:v>
      </x:c>
      <x:c r="Q139" s="2" t="str">
        <x:v>m2</x:v>
      </x:c>
      <x:c r="R139" s="17" t="n">
        <x:v>35087387.829999976</x:v>
      </x:c>
      <x:c r="S139" s="17"/>
      <x:c r="T139" s="18"/>
      <x:c r="U139" s="17" t="n">
        <x:v>35087387.829999976</x:v>
      </x:c>
      <x:c r="V139" s="2" t="str">
        <x:v>existing saved physical-floor-area proxy</x:v>
      </x:c>
      <x:c r="W139" s="2" t="str">
        <x:v>legacy_epoch_source_QA_passed; new_common_native_support_not_certified</x:v>
      </x:c>
      <x:c r="X139" s="2" t="str">
        <x:v>https://arxiv.org/abs/2511.12104</x:v>
      </x:c>
    </x:row>
    <x:row r="140" ht="23" customHeight="1">
      <x:c r="A140" s="2" t="str">
        <x:v>MMR</x:v>
      </x:c>
      <x:c r="B140" s="2" t="str">
        <x:v>Myanmar (Republic of the Union of)</x:v>
      </x:c>
      <x:c r="C140" s="2" t="n">
        <x:v>2020</x:v>
      </x:c>
      <x:c r="D140" s="2" t="str">
        <x:v>TEMPO_PROXY</x:v>
      </x:c>
      <x:c r="E140" s="17" t="n">
        <x:v>1377164281.6799977</x:v>
      </x:c>
      <x:c r="F140" s="17" t="n">
        <x:f>IF(AND(M140,ISNUMBER(R140)),IF(D140="TEMPO_PROXY",R140,IF(AND(ISNUMBER(S140),S140&gt;0,ISNUMBER(U140)),U140*R140/S140,"n.a.")),"n.a.")</x:f>
        <x:v>1377164281.6799977</x:v>
      </x:c>
      <x:c r="G140" s="17" t="n">
        <x:f>IF(AND(ISNUMBER(E140),ISNUMBER(F140)),E140-F140,"n.a.")</x:f>
        <x:v>0</x:v>
      </x:c>
      <x:c r="H140" s="15" t="n">
        <x:f>IF(AND(ISNUMBER(E140),ISNUMBER(F140),F140&gt;0),(E140-F140)/F140,"n.a.")</x:f>
        <x:v>0</x:v>
      </x:c>
      <x:c r="I140" s="19" t="n">
        <x:f>IF(ISNUMBER(H140),ABS(H140),"n.a.")</x:f>
        <x:v>0</x:v>
      </x:c>
      <x:c r="J140" s="2" t="str">
        <x:v>available</x:v>
      </x:c>
      <x:c r="K140" s="2" t="n">
        <x:v>1</x:v>
      </x:c>
      <x:c r="L140" s="13" t="b">
        <x:v>1</x:v>
      </x:c>
      <x:c r="M140" s="13" t="b">
        <x:v>1</x:v>
      </x:c>
      <x:c r="N140" s="2" t="str">
        <x:v>inherited2020anchor</x:v>
      </x:c>
      <x:c r="O140" s="2" t="str"/>
      <x:c r="P140" s="2" t="str">
        <x:v>assumption-based floor-area proxy</x:v>
      </x:c>
      <x:c r="Q140" s="2" t="str">
        <x:v>m2</x:v>
      </x:c>
      <x:c r="R140" s="17" t="n">
        <x:v>1377164281.6799977</x:v>
      </x:c>
      <x:c r="S140" s="17"/>
      <x:c r="T140" s="18"/>
      <x:c r="U140" s="17" t="n">
        <x:v>1377164281.6799977</x:v>
      </x:c>
      <x:c r="V140" s="2" t="str">
        <x:v>existing saved physical-floor-area proxy</x:v>
      </x:c>
      <x:c r="W140" s="2" t="str">
        <x:v>legacy_epoch_source_QA_passed; new_common_native_support_not_certified</x:v>
      </x:c>
      <x:c r="X140" s="2" t="str">
        <x:v>https://arxiv.org/abs/2511.12104</x:v>
      </x:c>
    </x:row>
    <x:row r="141" ht="23" customHeight="1">
      <x:c r="A141" s="2" t="str">
        <x:v>MNE</x:v>
      </x:c>
      <x:c r="B141" s="2" t="str">
        <x:v>Montenegro</x:v>
      </x:c>
      <x:c r="C141" s="2" t="n">
        <x:v>2020</x:v>
      </x:c>
      <x:c r="D141" s="2" t="str">
        <x:v>TEMPO_PROXY</x:v>
      </x:c>
      <x:c r="E141" s="17" t="n">
        <x:v>39447648.85999995</x:v>
      </x:c>
      <x:c r="F141" s="17" t="n">
        <x:f>IF(AND(M141,ISNUMBER(R141)),IF(D141="TEMPO_PROXY",R141,IF(AND(ISNUMBER(S141),S141&gt;0,ISNUMBER(U141)),U141*R141/S141,"n.a.")),"n.a.")</x:f>
        <x:v>39447648.85999995</x:v>
      </x:c>
      <x:c r="G141" s="17" t="n">
        <x:f>IF(AND(ISNUMBER(E141),ISNUMBER(F141)),E141-F141,"n.a.")</x:f>
        <x:v>0</x:v>
      </x:c>
      <x:c r="H141" s="15" t="n">
        <x:f>IF(AND(ISNUMBER(E141),ISNUMBER(F141),F141&gt;0),(E141-F141)/F141,"n.a.")</x:f>
        <x:v>0</x:v>
      </x:c>
      <x:c r="I141" s="19" t="n">
        <x:f>IF(ISNUMBER(H141),ABS(H141),"n.a.")</x:f>
        <x:v>0</x:v>
      </x:c>
      <x:c r="J141" s="2" t="str">
        <x:v>available</x:v>
      </x:c>
      <x:c r="K141" s="2" t="n">
        <x:v>1</x:v>
      </x:c>
      <x:c r="L141" s="13" t="b">
        <x:v>1</x:v>
      </x:c>
      <x:c r="M141" s="13" t="b">
        <x:v>1</x:v>
      </x:c>
      <x:c r="N141" s="2" t="str">
        <x:v>inherited2020anchor</x:v>
      </x:c>
      <x:c r="O141" s="2" t="str"/>
      <x:c r="P141" s="2" t="str">
        <x:v>assumption-based floor-area proxy</x:v>
      </x:c>
      <x:c r="Q141" s="2" t="str">
        <x:v>m2</x:v>
      </x:c>
      <x:c r="R141" s="17" t="n">
        <x:v>39447648.85999995</x:v>
      </x:c>
      <x:c r="S141" s="17"/>
      <x:c r="T141" s="18"/>
      <x:c r="U141" s="17" t="n">
        <x:v>39447648.85999995</x:v>
      </x:c>
      <x:c r="V141" s="2" t="str">
        <x:v>existing saved physical-floor-area proxy</x:v>
      </x:c>
      <x:c r="W141" s="2" t="str">
        <x:v>legacy_epoch_source_QA_passed; new_common_native_support_not_certified</x:v>
      </x:c>
      <x:c r="X141" s="2" t="str">
        <x:v>https://arxiv.org/abs/2511.12104</x:v>
      </x:c>
    </x:row>
    <x:row r="142" ht="23" customHeight="1">
      <x:c r="A142" s="2" t="str">
        <x:v>MNG</x:v>
      </x:c>
      <x:c r="B142" s="2" t="str">
        <x:v>Mongolia</x:v>
      </x:c>
      <x:c r="C142" s="2" t="n">
        <x:v>2020</x:v>
      </x:c>
      <x:c r="D142" s="2" t="str">
        <x:v>TEMPO_PROXY</x:v>
      </x:c>
      <x:c r="E142" s="17" t="n">
        <x:v>83342838.68000013</x:v>
      </x:c>
      <x:c r="F142" s="17" t="n">
        <x:f>IF(AND(M142,ISNUMBER(R142)),IF(D142="TEMPO_PROXY",R142,IF(AND(ISNUMBER(S142),S142&gt;0,ISNUMBER(U142)),U142*R142/S142,"n.a.")),"n.a.")</x:f>
        <x:v>83342838.68000013</x:v>
      </x:c>
      <x:c r="G142" s="17" t="n">
        <x:f>IF(AND(ISNUMBER(E142),ISNUMBER(F142)),E142-F142,"n.a.")</x:f>
        <x:v>0</x:v>
      </x:c>
      <x:c r="H142" s="15" t="n">
        <x:f>IF(AND(ISNUMBER(E142),ISNUMBER(F142),F142&gt;0),(E142-F142)/F142,"n.a.")</x:f>
        <x:v>0</x:v>
      </x:c>
      <x:c r="I142" s="19" t="n">
        <x:f>IF(ISNUMBER(H142),ABS(H142),"n.a.")</x:f>
        <x:v>0</x:v>
      </x:c>
      <x:c r="J142" s="2" t="str">
        <x:v>available</x:v>
      </x:c>
      <x:c r="K142" s="2" t="n">
        <x:v>1</x:v>
      </x:c>
      <x:c r="L142" s="13" t="b">
        <x:v>1</x:v>
      </x:c>
      <x:c r="M142" s="13" t="b">
        <x:v>1</x:v>
      </x:c>
      <x:c r="N142" s="2" t="str">
        <x:v>inherited2020anchor</x:v>
      </x:c>
      <x:c r="O142" s="2" t="str"/>
      <x:c r="P142" s="2" t="str">
        <x:v>assumption-based floor-area proxy</x:v>
      </x:c>
      <x:c r="Q142" s="2" t="str">
        <x:v>m2</x:v>
      </x:c>
      <x:c r="R142" s="17" t="n">
        <x:v>83342838.68000013</x:v>
      </x:c>
      <x:c r="S142" s="17"/>
      <x:c r="T142" s="18"/>
      <x:c r="U142" s="17" t="n">
        <x:v>83342838.68000013</x:v>
      </x:c>
      <x:c r="V142" s="2" t="str">
        <x:v>existing saved physical-floor-area proxy</x:v>
      </x:c>
      <x:c r="W142" s="2" t="str">
        <x:v>legacy_epoch_source_QA_passed; new_common_native_support_not_certified</x:v>
      </x:c>
      <x:c r="X142" s="2" t="str">
        <x:v>https://arxiv.org/abs/2511.12104</x:v>
      </x:c>
    </x:row>
    <x:row r="143" ht="23" customHeight="1">
      <x:c r="A143" s="2" t="str">
        <x:v>MOZ</x:v>
      </x:c>
      <x:c r="B143" s="2" t="str">
        <x:v>Mozambique (Republic of)</x:v>
      </x:c>
      <x:c r="C143" s="2" t="n">
        <x:v>2020</x:v>
      </x:c>
      <x:c r="D143" s="2" t="str">
        <x:v>TEMPO_PROXY</x:v>
      </x:c>
      <x:c r="E143" s="17" t="n">
        <x:v>540811235.5300008</x:v>
      </x:c>
      <x:c r="F143" s="17" t="n">
        <x:f>IF(AND(M143,ISNUMBER(R143)),IF(D143="TEMPO_PROXY",R143,IF(AND(ISNUMBER(S143),S143&gt;0,ISNUMBER(U143)),U143*R143/S143,"n.a.")),"n.a.")</x:f>
        <x:v>540811235.5300008</x:v>
      </x:c>
      <x:c r="G143" s="17" t="n">
        <x:f>IF(AND(ISNUMBER(E143),ISNUMBER(F143)),E143-F143,"n.a.")</x:f>
        <x:v>0</x:v>
      </x:c>
      <x:c r="H143" s="15" t="n">
        <x:f>IF(AND(ISNUMBER(E143),ISNUMBER(F143),F143&gt;0),(E143-F143)/F143,"n.a.")</x:f>
        <x:v>0</x:v>
      </x:c>
      <x:c r="I143" s="19" t="n">
        <x:f>IF(ISNUMBER(H143),ABS(H143),"n.a.")</x:f>
        <x:v>0</x:v>
      </x:c>
      <x:c r="J143" s="2" t="str">
        <x:v>available</x:v>
      </x:c>
      <x:c r="K143" s="2" t="n">
        <x:v>1</x:v>
      </x:c>
      <x:c r="L143" s="13" t="b">
        <x:v>1</x:v>
      </x:c>
      <x:c r="M143" s="13" t="b">
        <x:v>1</x:v>
      </x:c>
      <x:c r="N143" s="2" t="str">
        <x:v>inherited2020anchor</x:v>
      </x:c>
      <x:c r="O143" s="2" t="str"/>
      <x:c r="P143" s="2" t="str">
        <x:v>assumption-based floor-area proxy</x:v>
      </x:c>
      <x:c r="Q143" s="2" t="str">
        <x:v>m2</x:v>
      </x:c>
      <x:c r="R143" s="17" t="n">
        <x:v>540811235.5300008</x:v>
      </x:c>
      <x:c r="S143" s="17"/>
      <x:c r="T143" s="18"/>
      <x:c r="U143" s="17" t="n">
        <x:v>540811235.5300008</x:v>
      </x:c>
      <x:c r="V143" s="2" t="str">
        <x:v>existing saved physical-floor-area proxy</x:v>
      </x:c>
      <x:c r="W143" s="2" t="str">
        <x:v>legacy_epoch_source_QA_passed; new_common_native_support_not_certified</x:v>
      </x:c>
      <x:c r="X143" s="2" t="str">
        <x:v>https://arxiv.org/abs/2511.12104</x:v>
      </x:c>
    </x:row>
    <x:row r="144" ht="23" customHeight="1">
      <x:c r="A144" s="2" t="str">
        <x:v>MRT</x:v>
      </x:c>
      <x:c r="B144" s="2" t="str">
        <x:v>Mauritania (Islamic Republic of)</x:v>
      </x:c>
      <x:c r="C144" s="2" t="n">
        <x:v>2020</x:v>
      </x:c>
      <x:c r="D144" s="2" t="str">
        <x:v>TEMPO_PROXY</x:v>
      </x:c>
      <x:c r="E144" s="17" t="n">
        <x:v>97384454.07000008</x:v>
      </x:c>
      <x:c r="F144" s="17" t="n">
        <x:f>IF(AND(M144,ISNUMBER(R144)),IF(D144="TEMPO_PROXY",R144,IF(AND(ISNUMBER(S144),S144&gt;0,ISNUMBER(U144)),U144*R144/S144,"n.a.")),"n.a.")</x:f>
        <x:v>97384454.07000008</x:v>
      </x:c>
      <x:c r="G144" s="17" t="n">
        <x:f>IF(AND(ISNUMBER(E144),ISNUMBER(F144)),E144-F144,"n.a.")</x:f>
        <x:v>0</x:v>
      </x:c>
      <x:c r="H144" s="15" t="n">
        <x:f>IF(AND(ISNUMBER(E144),ISNUMBER(F144),F144&gt;0),(E144-F144)/F144,"n.a.")</x:f>
        <x:v>0</x:v>
      </x:c>
      <x:c r="I144" s="19" t="n">
        <x:f>IF(ISNUMBER(H144),ABS(H144),"n.a.")</x:f>
        <x:v>0</x:v>
      </x:c>
      <x:c r="J144" s="2" t="str">
        <x:v>available</x:v>
      </x:c>
      <x:c r="K144" s="2" t="n">
        <x:v>1</x:v>
      </x:c>
      <x:c r="L144" s="13" t="b">
        <x:v>1</x:v>
      </x:c>
      <x:c r="M144" s="13" t="b">
        <x:v>1</x:v>
      </x:c>
      <x:c r="N144" s="2" t="str">
        <x:v>inherited2020anchor</x:v>
      </x:c>
      <x:c r="O144" s="2" t="str"/>
      <x:c r="P144" s="2" t="str">
        <x:v>assumption-based floor-area proxy</x:v>
      </x:c>
      <x:c r="Q144" s="2" t="str">
        <x:v>m2</x:v>
      </x:c>
      <x:c r="R144" s="17" t="n">
        <x:v>97384454.07000008</x:v>
      </x:c>
      <x:c r="S144" s="17"/>
      <x:c r="T144" s="18"/>
      <x:c r="U144" s="17" t="n">
        <x:v>97384454.07000008</x:v>
      </x:c>
      <x:c r="V144" s="2" t="str">
        <x:v>existing saved physical-floor-area proxy</x:v>
      </x:c>
      <x:c r="W144" s="2" t="str">
        <x:v>legacy_epoch_source_QA_passed; new_common_native_support_not_certified</x:v>
      </x:c>
      <x:c r="X144" s="2" t="str">
        <x:v>https://arxiv.org/abs/2511.12104</x:v>
      </x:c>
    </x:row>
    <x:row r="145" ht="23" customHeight="1">
      <x:c r="A145" s="2" t="str">
        <x:v>MUS</x:v>
      </x:c>
      <x:c r="B145" s="2" t="str">
        <x:v>Mauritius (Republic of)</x:v>
      </x:c>
      <x:c r="C145" s="2" t="n">
        <x:v>2020</x:v>
      </x:c>
      <x:c r="D145" s="2" t="str">
        <x:v>TEMPO_PROXY</x:v>
      </x:c>
      <x:c r="E145" s="17" t="n">
        <x:v>65152566.7100001</x:v>
      </x:c>
      <x:c r="F145" s="17" t="n">
        <x:f>IF(AND(M145,ISNUMBER(R145)),IF(D145="TEMPO_PROXY",R145,IF(AND(ISNUMBER(S145),S145&gt;0,ISNUMBER(U145)),U145*R145/S145,"n.a.")),"n.a.")</x:f>
        <x:v>65152566.7100001</x:v>
      </x:c>
      <x:c r="G145" s="17" t="n">
        <x:f>IF(AND(ISNUMBER(E145),ISNUMBER(F145)),E145-F145,"n.a.")</x:f>
        <x:v>0</x:v>
      </x:c>
      <x:c r="H145" s="15" t="n">
        <x:f>IF(AND(ISNUMBER(E145),ISNUMBER(F145),F145&gt;0),(E145-F145)/F145,"n.a.")</x:f>
        <x:v>0</x:v>
      </x:c>
      <x:c r="I145" s="19" t="n">
        <x:f>IF(ISNUMBER(H145),ABS(H145),"n.a.")</x:f>
        <x:v>0</x:v>
      </x:c>
      <x:c r="J145" s="2" t="str">
        <x:v>available</x:v>
      </x:c>
      <x:c r="K145" s="2" t="n">
        <x:v>1</x:v>
      </x:c>
      <x:c r="L145" s="13" t="b">
        <x:v>1</x:v>
      </x:c>
      <x:c r="M145" s="13" t="b">
        <x:v>1</x:v>
      </x:c>
      <x:c r="N145" s="2" t="str">
        <x:v>inherited2020anchor</x:v>
      </x:c>
      <x:c r="O145" s="2" t="str"/>
      <x:c r="P145" s="2" t="str">
        <x:v>assumption-based floor-area proxy</x:v>
      </x:c>
      <x:c r="Q145" s="2" t="str">
        <x:v>m2</x:v>
      </x:c>
      <x:c r="R145" s="17" t="n">
        <x:v>65152566.7100001</x:v>
      </x:c>
      <x:c r="S145" s="17"/>
      <x:c r="T145" s="18"/>
      <x:c r="U145" s="17" t="n">
        <x:v>65152566.7100001</x:v>
      </x:c>
      <x:c r="V145" s="2" t="str">
        <x:v>existing saved physical-floor-area proxy</x:v>
      </x:c>
      <x:c r="W145" s="2" t="str">
        <x:v>legacy_epoch_source_QA_passed; new_common_native_support_not_certified</x:v>
      </x:c>
      <x:c r="X145" s="2" t="str">
        <x:v>https://arxiv.org/abs/2511.12104</x:v>
      </x:c>
    </x:row>
    <x:row r="146" ht="23" customHeight="1">
      <x:c r="A146" s="2" t="str">
        <x:v>MWI</x:v>
      </x:c>
      <x:c r="B146" s="2" t="str">
        <x:v>Malawi (Republic of)</x:v>
      </x:c>
      <x:c r="C146" s="2" t="n">
        <x:v>2020</x:v>
      </x:c>
      <x:c r="D146" s="2" t="str">
        <x:v>TEMPO_PROXY</x:v>
      </x:c>
      <x:c r="E146" s="17" t="n">
        <x:v>330771641.01999974</x:v>
      </x:c>
      <x:c r="F146" s="17" t="n">
        <x:f>IF(AND(M146,ISNUMBER(R146)),IF(D146="TEMPO_PROXY",R146,IF(AND(ISNUMBER(S146),S146&gt;0,ISNUMBER(U146)),U146*R146/S146,"n.a.")),"n.a.")</x:f>
        <x:v>330771641.01999974</x:v>
      </x:c>
      <x:c r="G146" s="17" t="n">
        <x:f>IF(AND(ISNUMBER(E146),ISNUMBER(F146)),E146-F146,"n.a.")</x:f>
        <x:v>0</x:v>
      </x:c>
      <x:c r="H146" s="15" t="n">
        <x:f>IF(AND(ISNUMBER(E146),ISNUMBER(F146),F146&gt;0),(E146-F146)/F146,"n.a.")</x:f>
        <x:v>0</x:v>
      </x:c>
      <x:c r="I146" s="19" t="n">
        <x:f>IF(ISNUMBER(H146),ABS(H146),"n.a.")</x:f>
        <x:v>0</x:v>
      </x:c>
      <x:c r="J146" s="2" t="str">
        <x:v>available</x:v>
      </x:c>
      <x:c r="K146" s="2" t="n">
        <x:v>1</x:v>
      </x:c>
      <x:c r="L146" s="13" t="b">
        <x:v>1</x:v>
      </x:c>
      <x:c r="M146" s="13" t="b">
        <x:v>1</x:v>
      </x:c>
      <x:c r="N146" s="2" t="str">
        <x:v>inherited2020anchor</x:v>
      </x:c>
      <x:c r="O146" s="2" t="str"/>
      <x:c r="P146" s="2" t="str">
        <x:v>assumption-based floor-area proxy</x:v>
      </x:c>
      <x:c r="Q146" s="2" t="str">
        <x:v>m2</x:v>
      </x:c>
      <x:c r="R146" s="17" t="n">
        <x:v>330771641.01999974</x:v>
      </x:c>
      <x:c r="S146" s="17"/>
      <x:c r="T146" s="18"/>
      <x:c r="U146" s="17" t="n">
        <x:v>330771641.01999974</x:v>
      </x:c>
      <x:c r="V146" s="2" t="str">
        <x:v>existing saved physical-floor-area proxy</x:v>
      </x:c>
      <x:c r="W146" s="2" t="str">
        <x:v>legacy_epoch_source_QA_passed; new_common_native_support_not_certified</x:v>
      </x:c>
      <x:c r="X146" s="2" t="str">
        <x:v>https://arxiv.org/abs/2511.12104</x:v>
      </x:c>
    </x:row>
    <x:row r="147" ht="23" customHeight="1">
      <x:c r="A147" s="2" t="str">
        <x:v>MYS</x:v>
      </x:c>
      <x:c r="B147" s="2" t="str">
        <x:v>Malaysia</x:v>
      </x:c>
      <x:c r="C147" s="2" t="n">
        <x:v>2020</x:v>
      </x:c>
      <x:c r="D147" s="2" t="str">
        <x:v>TEMPO_PROXY</x:v>
      </x:c>
      <x:c r="E147" s="17" t="n">
        <x:v>2041076673.6399992</x:v>
      </x:c>
      <x:c r="F147" s="17" t="n">
        <x:f>IF(AND(M147,ISNUMBER(R147)),IF(D147="TEMPO_PROXY",R147,IF(AND(ISNUMBER(S147),S147&gt;0,ISNUMBER(U147)),U147*R147/S147,"n.a.")),"n.a.")</x:f>
        <x:v>2041076673.6399992</x:v>
      </x:c>
      <x:c r="G147" s="17" t="n">
        <x:f>IF(AND(ISNUMBER(E147),ISNUMBER(F147)),E147-F147,"n.a.")</x:f>
        <x:v>0</x:v>
      </x:c>
      <x:c r="H147" s="15" t="n">
        <x:f>IF(AND(ISNUMBER(E147),ISNUMBER(F147),F147&gt;0),(E147-F147)/F147,"n.a.")</x:f>
        <x:v>0</x:v>
      </x:c>
      <x:c r="I147" s="19" t="n">
        <x:f>IF(ISNUMBER(H147),ABS(H147),"n.a.")</x:f>
        <x:v>0</x:v>
      </x:c>
      <x:c r="J147" s="2" t="str">
        <x:v>available</x:v>
      </x:c>
      <x:c r="K147" s="2" t="n">
        <x:v>1</x:v>
      </x:c>
      <x:c r="L147" s="13" t="b">
        <x:v>1</x:v>
      </x:c>
      <x:c r="M147" s="13" t="b">
        <x:v>1</x:v>
      </x:c>
      <x:c r="N147" s="2" t="str">
        <x:v>inherited2020anchor</x:v>
      </x:c>
      <x:c r="O147" s="2" t="str"/>
      <x:c r="P147" s="2" t="str">
        <x:v>assumption-based floor-area proxy</x:v>
      </x:c>
      <x:c r="Q147" s="2" t="str">
        <x:v>m2</x:v>
      </x:c>
      <x:c r="R147" s="17" t="n">
        <x:v>2041076673.6399992</x:v>
      </x:c>
      <x:c r="S147" s="17"/>
      <x:c r="T147" s="18"/>
      <x:c r="U147" s="17" t="n">
        <x:v>2041076673.6399992</x:v>
      </x:c>
      <x:c r="V147" s="2" t="str">
        <x:v>existing saved physical-floor-area proxy</x:v>
      </x:c>
      <x:c r="W147" s="2" t="str">
        <x:v>legacy_epoch_source_QA_passed; new_common_native_support_not_certified</x:v>
      </x:c>
      <x:c r="X147" s="2" t="str">
        <x:v>https://arxiv.org/abs/2511.12104</x:v>
      </x:c>
    </x:row>
    <x:row r="148" ht="23" customHeight="1">
      <x:c r="A148" s="2" t="str">
        <x:v>NAM</x:v>
      </x:c>
      <x:c r="B148" s="2" t="str">
        <x:v>Namibia (Republic of)</x:v>
      </x:c>
      <x:c r="C148" s="2" t="n">
        <x:v>2020</x:v>
      </x:c>
      <x:c r="D148" s="2" t="str">
        <x:v>TEMPO_PROXY</x:v>
      </x:c>
      <x:c r="E148" s="17" t="n">
        <x:v>112405609.30999991</x:v>
      </x:c>
      <x:c r="F148" s="17" t="n">
        <x:f>IF(AND(M148,ISNUMBER(R148)),IF(D148="TEMPO_PROXY",R148,IF(AND(ISNUMBER(S148),S148&gt;0,ISNUMBER(U148)),U148*R148/S148,"n.a.")),"n.a.")</x:f>
        <x:v>112405609.30999991</x:v>
      </x:c>
      <x:c r="G148" s="17" t="n">
        <x:f>IF(AND(ISNUMBER(E148),ISNUMBER(F148)),E148-F148,"n.a.")</x:f>
        <x:v>0</x:v>
      </x:c>
      <x:c r="H148" s="15" t="n">
        <x:f>IF(AND(ISNUMBER(E148),ISNUMBER(F148),F148&gt;0),(E148-F148)/F148,"n.a.")</x:f>
        <x:v>0</x:v>
      </x:c>
      <x:c r="I148" s="19" t="n">
        <x:f>IF(ISNUMBER(H148),ABS(H148),"n.a.")</x:f>
        <x:v>0</x:v>
      </x:c>
      <x:c r="J148" s="2" t="str">
        <x:v>available</x:v>
      </x:c>
      <x:c r="K148" s="2" t="n">
        <x:v>1</x:v>
      </x:c>
      <x:c r="L148" s="13" t="b">
        <x:v>1</x:v>
      </x:c>
      <x:c r="M148" s="13" t="b">
        <x:v>1</x:v>
      </x:c>
      <x:c r="N148" s="2" t="str">
        <x:v>inherited2020anchor</x:v>
      </x:c>
      <x:c r="O148" s="2" t="str"/>
      <x:c r="P148" s="2" t="str">
        <x:v>assumption-based floor-area proxy</x:v>
      </x:c>
      <x:c r="Q148" s="2" t="str">
        <x:v>m2</x:v>
      </x:c>
      <x:c r="R148" s="17" t="n">
        <x:v>112405609.30999991</x:v>
      </x:c>
      <x:c r="S148" s="17"/>
      <x:c r="T148" s="18"/>
      <x:c r="U148" s="17" t="n">
        <x:v>112405609.30999991</x:v>
      </x:c>
      <x:c r="V148" s="2" t="str">
        <x:v>existing saved physical-floor-area proxy</x:v>
      </x:c>
      <x:c r="W148" s="2" t="str">
        <x:v>legacy_epoch_source_QA_passed; new_common_native_support_not_certified</x:v>
      </x:c>
      <x:c r="X148" s="2" t="str">
        <x:v>https://arxiv.org/abs/2511.12104</x:v>
      </x:c>
    </x:row>
    <x:row r="149" ht="23" customHeight="1">
      <x:c r="A149" s="2" t="str">
        <x:v>NER</x:v>
      </x:c>
      <x:c r="B149" s="2" t="str">
        <x:v>Niger (Republic of the)</x:v>
      </x:c>
      <x:c r="C149" s="2" t="n">
        <x:v>2020</x:v>
      </x:c>
      <x:c r="D149" s="2" t="str">
        <x:v>TEMPO_PROXY</x:v>
      </x:c>
      <x:c r="E149" s="17" t="n">
        <x:v>203236516.4300003</x:v>
      </x:c>
      <x:c r="F149" s="17" t="n">
        <x:f>IF(AND(M149,ISNUMBER(R149)),IF(D149="TEMPO_PROXY",R149,IF(AND(ISNUMBER(S149),S149&gt;0,ISNUMBER(U149)),U149*R149/S149,"n.a.")),"n.a.")</x:f>
        <x:v>203236516.4300003</x:v>
      </x:c>
      <x:c r="G149" s="17" t="n">
        <x:f>IF(AND(ISNUMBER(E149),ISNUMBER(F149)),E149-F149,"n.a.")</x:f>
        <x:v>0</x:v>
      </x:c>
      <x:c r="H149" s="15" t="n">
        <x:f>IF(AND(ISNUMBER(E149),ISNUMBER(F149),F149&gt;0),(E149-F149)/F149,"n.a.")</x:f>
        <x:v>0</x:v>
      </x:c>
      <x:c r="I149" s="19" t="n">
        <x:f>IF(ISNUMBER(H149),ABS(H149),"n.a.")</x:f>
        <x:v>0</x:v>
      </x:c>
      <x:c r="J149" s="2" t="str">
        <x:v>available</x:v>
      </x:c>
      <x:c r="K149" s="2" t="n">
        <x:v>1</x:v>
      </x:c>
      <x:c r="L149" s="13" t="b">
        <x:v>1</x:v>
      </x:c>
      <x:c r="M149" s="13" t="b">
        <x:v>1</x:v>
      </x:c>
      <x:c r="N149" s="2" t="str">
        <x:v>inherited2020anchor</x:v>
      </x:c>
      <x:c r="O149" s="2" t="str"/>
      <x:c r="P149" s="2" t="str">
        <x:v>assumption-based floor-area proxy</x:v>
      </x:c>
      <x:c r="Q149" s="2" t="str">
        <x:v>m2</x:v>
      </x:c>
      <x:c r="R149" s="17" t="n">
        <x:v>203236516.4300003</x:v>
      </x:c>
      <x:c r="S149" s="17"/>
      <x:c r="T149" s="18"/>
      <x:c r="U149" s="17" t="n">
        <x:v>203236516.4300003</x:v>
      </x:c>
      <x:c r="V149" s="2" t="str">
        <x:v>existing saved physical-floor-area proxy</x:v>
      </x:c>
      <x:c r="W149" s="2" t="str">
        <x:v>legacy_epoch_source_QA_passed; new_common_native_support_not_certified</x:v>
      </x:c>
      <x:c r="X149" s="2" t="str">
        <x:v>https://arxiv.org/abs/2511.12104</x:v>
      </x:c>
    </x:row>
    <x:row r="150" ht="23" customHeight="1">
      <x:c r="A150" s="2" t="str">
        <x:v>NGA</x:v>
      </x:c>
      <x:c r="B150" s="2" t="str">
        <x:v>Nigeria (Federal Republic of)</x:v>
      </x:c>
      <x:c r="C150" s="2" t="n">
        <x:v>2020</x:v>
      </x:c>
      <x:c r="D150" s="2" t="str">
        <x:v>TEMPO_PROXY</x:v>
      </x:c>
      <x:c r="E150" s="17" t="n">
        <x:v>4102804870.2700024</x:v>
      </x:c>
      <x:c r="F150" s="17" t="n">
        <x:f>IF(AND(M150,ISNUMBER(R150)),IF(D150="TEMPO_PROXY",R150,IF(AND(ISNUMBER(S150),S150&gt;0,ISNUMBER(U150)),U150*R150/S150,"n.a.")),"n.a.")</x:f>
        <x:v>4102804870.2700024</x:v>
      </x:c>
      <x:c r="G150" s="17" t="n">
        <x:f>IF(AND(ISNUMBER(E150),ISNUMBER(F150)),E150-F150,"n.a.")</x:f>
        <x:v>0</x:v>
      </x:c>
      <x:c r="H150" s="15" t="n">
        <x:f>IF(AND(ISNUMBER(E150),ISNUMBER(F150),F150&gt;0),(E150-F150)/F150,"n.a.")</x:f>
        <x:v>0</x:v>
      </x:c>
      <x:c r="I150" s="19" t="n">
        <x:f>IF(ISNUMBER(H150),ABS(H150),"n.a.")</x:f>
        <x:v>0</x:v>
      </x:c>
      <x:c r="J150" s="2" t="str">
        <x:v>available</x:v>
      </x:c>
      <x:c r="K150" s="2" t="n">
        <x:v>1</x:v>
      </x:c>
      <x:c r="L150" s="13" t="b">
        <x:v>1</x:v>
      </x:c>
      <x:c r="M150" s="13" t="b">
        <x:v>1</x:v>
      </x:c>
      <x:c r="N150" s="2" t="str">
        <x:v>inherited2020anchor</x:v>
      </x:c>
      <x:c r="O150" s="2" t="str"/>
      <x:c r="P150" s="2" t="str">
        <x:v>assumption-based floor-area proxy</x:v>
      </x:c>
      <x:c r="Q150" s="2" t="str">
        <x:v>m2</x:v>
      </x:c>
      <x:c r="R150" s="17" t="n">
        <x:v>4102804870.2700024</x:v>
      </x:c>
      <x:c r="S150" s="17"/>
      <x:c r="T150" s="18"/>
      <x:c r="U150" s="17" t="n">
        <x:v>4102804870.2700024</x:v>
      </x:c>
      <x:c r="V150" s="2" t="str">
        <x:v>existing saved physical-floor-area proxy</x:v>
      </x:c>
      <x:c r="W150" s="2" t="str">
        <x:v>legacy_epoch_source_QA_passed; new_common_native_support_not_certified</x:v>
      </x:c>
      <x:c r="X150" s="2" t="str">
        <x:v>https://arxiv.org/abs/2511.12104</x:v>
      </x:c>
    </x:row>
    <x:row r="151" ht="23" customHeight="1">
      <x:c r="A151" s="2" t="str">
        <x:v>NIC</x:v>
      </x:c>
      <x:c r="B151" s="2" t="str">
        <x:v>Nicaragua (Republic of)</x:v>
      </x:c>
      <x:c r="C151" s="2" t="n">
        <x:v>2020</x:v>
      </x:c>
      <x:c r="D151" s="2" t="str">
        <x:v>TEMPO_PROXY</x:v>
      </x:c>
      <x:c r="E151" s="17" t="n">
        <x:v>201940338.64999992</x:v>
      </x:c>
      <x:c r="F151" s="17" t="n">
        <x:f>IF(AND(M151,ISNUMBER(R151)),IF(D151="TEMPO_PROXY",R151,IF(AND(ISNUMBER(S151),S151&gt;0,ISNUMBER(U151)),U151*R151/S151,"n.a.")),"n.a.")</x:f>
        <x:v>201940338.64999992</x:v>
      </x:c>
      <x:c r="G151" s="17" t="n">
        <x:f>IF(AND(ISNUMBER(E151),ISNUMBER(F151)),E151-F151,"n.a.")</x:f>
        <x:v>0</x:v>
      </x:c>
      <x:c r="H151" s="15" t="n">
        <x:f>IF(AND(ISNUMBER(E151),ISNUMBER(F151),F151&gt;0),(E151-F151)/F151,"n.a.")</x:f>
        <x:v>0</x:v>
      </x:c>
      <x:c r="I151" s="19" t="n">
        <x:f>IF(ISNUMBER(H151),ABS(H151),"n.a.")</x:f>
        <x:v>0</x:v>
      </x:c>
      <x:c r="J151" s="2" t="str">
        <x:v>available</x:v>
      </x:c>
      <x:c r="K151" s="2" t="n">
        <x:v>1</x:v>
      </x:c>
      <x:c r="L151" s="13" t="b">
        <x:v>1</x:v>
      </x:c>
      <x:c r="M151" s="13" t="b">
        <x:v>1</x:v>
      </x:c>
      <x:c r="N151" s="2" t="str">
        <x:v>inherited2020anchor</x:v>
      </x:c>
      <x:c r="O151" s="2" t="str"/>
      <x:c r="P151" s="2" t="str">
        <x:v>assumption-based floor-area proxy</x:v>
      </x:c>
      <x:c r="Q151" s="2" t="str">
        <x:v>m2</x:v>
      </x:c>
      <x:c r="R151" s="17" t="n">
        <x:v>201940338.64999992</x:v>
      </x:c>
      <x:c r="S151" s="17"/>
      <x:c r="T151" s="18"/>
      <x:c r="U151" s="17" t="n">
        <x:v>201940338.64999992</x:v>
      </x:c>
      <x:c r="V151" s="2" t="str">
        <x:v>existing saved physical-floor-area proxy</x:v>
      </x:c>
      <x:c r="W151" s="2" t="str">
        <x:v>legacy_epoch_source_QA_passed; new_common_native_support_not_certified</x:v>
      </x:c>
      <x:c r="X151" s="2" t="str">
        <x:v>https://arxiv.org/abs/2511.12104</x:v>
      </x:c>
    </x:row>
    <x:row r="152" ht="23" customHeight="1">
      <x:c r="A152" s="2" t="str">
        <x:v>NLD</x:v>
      </x:c>
      <x:c r="B152" s="2" t="str">
        <x:v>Netherlands (Kingdom of the)</x:v>
      </x:c>
      <x:c r="C152" s="2" t="n">
        <x:v>2020</x:v>
      </x:c>
      <x:c r="D152" s="2" t="str">
        <x:v>TEMPO_PROXY</x:v>
      </x:c>
      <x:c r="E152" s="17" t="n">
        <x:v>1464947836.6400025</x:v>
      </x:c>
      <x:c r="F152" s="17" t="n">
        <x:f>IF(AND(M152,ISNUMBER(R152)),IF(D152="TEMPO_PROXY",R152,IF(AND(ISNUMBER(S152),S152&gt;0,ISNUMBER(U152)),U152*R152/S152,"n.a.")),"n.a.")</x:f>
        <x:v>1464947836.6400025</x:v>
      </x:c>
      <x:c r="G152" s="17" t="n">
        <x:f>IF(AND(ISNUMBER(E152),ISNUMBER(F152)),E152-F152,"n.a.")</x:f>
        <x:v>0</x:v>
      </x:c>
      <x:c r="H152" s="15" t="n">
        <x:f>IF(AND(ISNUMBER(E152),ISNUMBER(F152),F152&gt;0),(E152-F152)/F152,"n.a.")</x:f>
        <x:v>0</x:v>
      </x:c>
      <x:c r="I152" s="19" t="n">
        <x:f>IF(ISNUMBER(H152),ABS(H152),"n.a.")</x:f>
        <x:v>0</x:v>
      </x:c>
      <x:c r="J152" s="2" t="str">
        <x:v>available</x:v>
      </x:c>
      <x:c r="K152" s="2" t="n">
        <x:v>1</x:v>
      </x:c>
      <x:c r="L152" s="13" t="b">
        <x:v>1</x:v>
      </x:c>
      <x:c r="M152" s="13" t="b">
        <x:v>1</x:v>
      </x:c>
      <x:c r="N152" s="2" t="str">
        <x:v>inherited2020anchor</x:v>
      </x:c>
      <x:c r="O152" s="2" t="str"/>
      <x:c r="P152" s="2" t="str">
        <x:v>assumption-based floor-area proxy</x:v>
      </x:c>
      <x:c r="Q152" s="2" t="str">
        <x:v>m2</x:v>
      </x:c>
      <x:c r="R152" s="17" t="n">
        <x:v>1464947836.6400025</x:v>
      </x:c>
      <x:c r="S152" s="17"/>
      <x:c r="T152" s="18"/>
      <x:c r="U152" s="17" t="n">
        <x:v>1464947836.6400025</x:v>
      </x:c>
      <x:c r="V152" s="2" t="str">
        <x:v>existing saved physical-floor-area proxy</x:v>
      </x:c>
      <x:c r="W152" s="2" t="str">
        <x:v>legacy_epoch_source_QA_passed; new_common_native_support_not_certified</x:v>
      </x:c>
      <x:c r="X152" s="2" t="str">
        <x:v>https://arxiv.org/abs/2511.12104</x:v>
      </x:c>
    </x:row>
    <x:row r="153" ht="23" customHeight="1">
      <x:c r="A153" s="2" t="str">
        <x:v>NOR</x:v>
      </x:c>
      <x:c r="B153" s="2" t="str">
        <x:v>Norway (Kingdom of)</x:v>
      </x:c>
      <x:c r="C153" s="2" t="n">
        <x:v>2020</x:v>
      </x:c>
      <x:c r="D153" s="2" t="str">
        <x:v>TEMPO_PROXY</x:v>
      </x:c>
      <x:c r="E153" s="17" t="n">
        <x:v>478516256.6100005</x:v>
      </x:c>
      <x:c r="F153" s="17" t="n">
        <x:f>IF(AND(M153,ISNUMBER(R153)),IF(D153="TEMPO_PROXY",R153,IF(AND(ISNUMBER(S153),S153&gt;0,ISNUMBER(U153)),U153*R153/S153,"n.a.")),"n.a.")</x:f>
        <x:v>478516256.6100005</x:v>
      </x:c>
      <x:c r="G153" s="17" t="n">
        <x:f>IF(AND(ISNUMBER(E153),ISNUMBER(F153)),E153-F153,"n.a.")</x:f>
        <x:v>0</x:v>
      </x:c>
      <x:c r="H153" s="15" t="n">
        <x:f>IF(AND(ISNUMBER(E153),ISNUMBER(F153),F153&gt;0),(E153-F153)/F153,"n.a.")</x:f>
        <x:v>0</x:v>
      </x:c>
      <x:c r="I153" s="19" t="n">
        <x:f>IF(ISNUMBER(H153),ABS(H153),"n.a.")</x:f>
        <x:v>0</x:v>
      </x:c>
      <x:c r="J153" s="2" t="str">
        <x:v>available</x:v>
      </x:c>
      <x:c r="K153" s="2" t="n">
        <x:v>1</x:v>
      </x:c>
      <x:c r="L153" s="13" t="b">
        <x:v>1</x:v>
      </x:c>
      <x:c r="M153" s="13" t="b">
        <x:v>1</x:v>
      </x:c>
      <x:c r="N153" s="2" t="str">
        <x:v>inherited2020anchor</x:v>
      </x:c>
      <x:c r="O153" s="2" t="str"/>
      <x:c r="P153" s="2" t="str">
        <x:v>assumption-based floor-area proxy</x:v>
      </x:c>
      <x:c r="Q153" s="2" t="str">
        <x:v>m2</x:v>
      </x:c>
      <x:c r="R153" s="17" t="n">
        <x:v>478516256.6100005</x:v>
      </x:c>
      <x:c r="S153" s="17"/>
      <x:c r="T153" s="18"/>
      <x:c r="U153" s="17" t="n">
        <x:v>478516256.6100005</x:v>
      </x:c>
      <x:c r="V153" s="2" t="str">
        <x:v>existing saved physical-floor-area proxy</x:v>
      </x:c>
      <x:c r="W153" s="2" t="str">
        <x:v>legacy_epoch_source_QA_passed; new_common_native_support_not_certified</x:v>
      </x:c>
      <x:c r="X153" s="2" t="str">
        <x:v>https://arxiv.org/abs/2511.12104</x:v>
      </x:c>
    </x:row>
    <x:row r="154" ht="23" customHeight="1">
      <x:c r="A154" s="2" t="str">
        <x:v>NPL</x:v>
      </x:c>
      <x:c r="B154" s="2" t="str">
        <x:v>Nepal (Federal Democratic Republic of)</x:v>
      </x:c>
      <x:c r="C154" s="2" t="n">
        <x:v>2020</x:v>
      </x:c>
      <x:c r="D154" s="2" t="str">
        <x:v>TEMPO_PROXY</x:v>
      </x:c>
      <x:c r="E154" s="17" t="n">
        <x:v>656084354.4999993</x:v>
      </x:c>
      <x:c r="F154" s="17" t="n">
        <x:f>IF(AND(M154,ISNUMBER(R154)),IF(D154="TEMPO_PROXY",R154,IF(AND(ISNUMBER(S154),S154&gt;0,ISNUMBER(U154)),U154*R154/S154,"n.a.")),"n.a.")</x:f>
        <x:v>656084354.4999993</x:v>
      </x:c>
      <x:c r="G154" s="17" t="n">
        <x:f>IF(AND(ISNUMBER(E154),ISNUMBER(F154)),E154-F154,"n.a.")</x:f>
        <x:v>0</x:v>
      </x:c>
      <x:c r="H154" s="15" t="n">
        <x:f>IF(AND(ISNUMBER(E154),ISNUMBER(F154),F154&gt;0),(E154-F154)/F154,"n.a.")</x:f>
        <x:v>0</x:v>
      </x:c>
      <x:c r="I154" s="19" t="n">
        <x:f>IF(ISNUMBER(H154),ABS(H154),"n.a.")</x:f>
        <x:v>0</x:v>
      </x:c>
      <x:c r="J154" s="2" t="str">
        <x:v>available</x:v>
      </x:c>
      <x:c r="K154" s="2" t="n">
        <x:v>1</x:v>
      </x:c>
      <x:c r="L154" s="13" t="b">
        <x:v>1</x:v>
      </x:c>
      <x:c r="M154" s="13" t="b">
        <x:v>1</x:v>
      </x:c>
      <x:c r="N154" s="2" t="str">
        <x:v>inherited2020anchor</x:v>
      </x:c>
      <x:c r="O154" s="2" t="str"/>
      <x:c r="P154" s="2" t="str">
        <x:v>assumption-based floor-area proxy</x:v>
      </x:c>
      <x:c r="Q154" s="2" t="str">
        <x:v>m2</x:v>
      </x:c>
      <x:c r="R154" s="17" t="n">
        <x:v>656084354.4999993</x:v>
      </x:c>
      <x:c r="S154" s="17"/>
      <x:c r="T154" s="18"/>
      <x:c r="U154" s="17" t="n">
        <x:v>656084354.4999993</x:v>
      </x:c>
      <x:c r="V154" s="2" t="str">
        <x:v>existing saved physical-floor-area proxy</x:v>
      </x:c>
      <x:c r="W154" s="2" t="str">
        <x:v>legacy_epoch_source_QA_passed; new_common_native_support_not_certified</x:v>
      </x:c>
      <x:c r="X154" s="2" t="str">
        <x:v>https://arxiv.org/abs/2511.12104</x:v>
      </x:c>
    </x:row>
    <x:row r="155" ht="23" customHeight="1">
      <x:c r="A155" s="2" t="str">
        <x:v>NRU</x:v>
      </x:c>
      <x:c r="B155" s="2" t="str">
        <x:v>Nauru (Republic of)</x:v>
      </x:c>
      <x:c r="C155" s="2" t="n">
        <x:v>2020</x:v>
      </x:c>
      <x:c r="D155" s="2" t="str">
        <x:v>TEMPO_PROXY</x:v>
      </x:c>
      <x:c r="E155" s="17" t="n">
        <x:v>405989.38000000024</x:v>
      </x:c>
      <x:c r="F155" s="17" t="n">
        <x:f>IF(AND(M155,ISNUMBER(R155)),IF(D155="TEMPO_PROXY",R155,IF(AND(ISNUMBER(S155),S155&gt;0,ISNUMBER(U155)),U155*R155/S155,"n.a.")),"n.a.")</x:f>
        <x:v>405989.38000000024</x:v>
      </x:c>
      <x:c r="G155" s="17" t="n">
        <x:f>IF(AND(ISNUMBER(E155),ISNUMBER(F155)),E155-F155,"n.a.")</x:f>
        <x:v>0</x:v>
      </x:c>
      <x:c r="H155" s="15" t="n">
        <x:f>IF(AND(ISNUMBER(E155),ISNUMBER(F155),F155&gt;0),(E155-F155)/F155,"n.a.")</x:f>
        <x:v>0</x:v>
      </x:c>
      <x:c r="I155" s="19" t="n">
        <x:f>IF(ISNUMBER(H155),ABS(H155),"n.a.")</x:f>
        <x:v>0</x:v>
      </x:c>
      <x:c r="J155" s="2" t="str">
        <x:v>available</x:v>
      </x:c>
      <x:c r="K155" s="2" t="n">
        <x:v>1</x:v>
      </x:c>
      <x:c r="L155" s="13" t="b">
        <x:v>1</x:v>
      </x:c>
      <x:c r="M155" s="13" t="b">
        <x:v>1</x:v>
      </x:c>
      <x:c r="N155" s="2" t="str">
        <x:v>inherited2020anchor</x:v>
      </x:c>
      <x:c r="O155" s="2" t="str"/>
      <x:c r="P155" s="2" t="str">
        <x:v>assumption-based floor-area proxy</x:v>
      </x:c>
      <x:c r="Q155" s="2" t="str">
        <x:v>m2</x:v>
      </x:c>
      <x:c r="R155" s="17" t="n">
        <x:v>405989.38000000024</x:v>
      </x:c>
      <x:c r="S155" s="17"/>
      <x:c r="T155" s="18"/>
      <x:c r="U155" s="17" t="n">
        <x:v>405989.38000000024</x:v>
      </x:c>
      <x:c r="V155" s="2" t="str">
        <x:v>existing saved physical-floor-area proxy</x:v>
      </x:c>
      <x:c r="W155" s="2" t="str">
        <x:v>legacy_epoch_source_QA_passed; new_common_native_support_not_certified</x:v>
      </x:c>
      <x:c r="X155" s="2" t="str">
        <x:v>https://arxiv.org/abs/2511.12104</x:v>
      </x:c>
    </x:row>
    <x:row r="156" ht="23" customHeight="1">
      <x:c r="A156" s="2" t="str">
        <x:v>NZL</x:v>
      </x:c>
      <x:c r="B156" s="2" t="str">
        <x:v>New Zealand</x:v>
      </x:c>
      <x:c r="C156" s="2" t="n">
        <x:v>2020</x:v>
      </x:c>
      <x:c r="D156" s="2" t="str">
        <x:v>TEMPO_PROXY</x:v>
      </x:c>
      <x:c r="E156" s="17" t="n">
        <x:v>553529463.7899991</x:v>
      </x:c>
      <x:c r="F156" s="17" t="n">
        <x:f>IF(AND(M156,ISNUMBER(R156)),IF(D156="TEMPO_PROXY",R156,IF(AND(ISNUMBER(S156),S156&gt;0,ISNUMBER(U156)),U156*R156/S156,"n.a.")),"n.a.")</x:f>
        <x:v>553529463.7899991</x:v>
      </x:c>
      <x:c r="G156" s="17" t="n">
        <x:f>IF(AND(ISNUMBER(E156),ISNUMBER(F156)),E156-F156,"n.a.")</x:f>
        <x:v>0</x:v>
      </x:c>
      <x:c r="H156" s="15" t="n">
        <x:f>IF(AND(ISNUMBER(E156),ISNUMBER(F156),F156&gt;0),(E156-F156)/F156,"n.a.")</x:f>
        <x:v>0</x:v>
      </x:c>
      <x:c r="I156" s="19" t="n">
        <x:f>IF(ISNUMBER(H156),ABS(H156),"n.a.")</x:f>
        <x:v>0</x:v>
      </x:c>
      <x:c r="J156" s="2" t="str">
        <x:v>available</x:v>
      </x:c>
      <x:c r="K156" s="2" t="n">
        <x:v>1</x:v>
      </x:c>
      <x:c r="L156" s="13" t="b">
        <x:v>1</x:v>
      </x:c>
      <x:c r="M156" s="13" t="b">
        <x:v>1</x:v>
      </x:c>
      <x:c r="N156" s="2" t="str">
        <x:v>inherited2020anchor</x:v>
      </x:c>
      <x:c r="O156" s="2" t="str"/>
      <x:c r="P156" s="2" t="str">
        <x:v>assumption-based floor-area proxy</x:v>
      </x:c>
      <x:c r="Q156" s="2" t="str">
        <x:v>m2</x:v>
      </x:c>
      <x:c r="R156" s="17" t="n">
        <x:v>553529463.7899991</x:v>
      </x:c>
      <x:c r="S156" s="17"/>
      <x:c r="T156" s="18"/>
      <x:c r="U156" s="17" t="n">
        <x:v>553529463.7899991</x:v>
      </x:c>
      <x:c r="V156" s="2" t="str">
        <x:v>existing saved physical-floor-area proxy</x:v>
      </x:c>
      <x:c r="W156" s="2" t="str">
        <x:v>legacy_epoch_source_QA_passed; new_common_native_support_not_certified</x:v>
      </x:c>
      <x:c r="X156" s="2" t="str">
        <x:v>https://arxiv.org/abs/2511.12104</x:v>
      </x:c>
    </x:row>
    <x:row r="157" ht="23" customHeight="1">
      <x:c r="A157" s="2" t="str">
        <x:v>OMN</x:v>
      </x:c>
      <x:c r="B157" s="2" t="str">
        <x:v>Oman (Sultanate of)</x:v>
      </x:c>
      <x:c r="C157" s="2" t="n">
        <x:v>2020</x:v>
      </x:c>
      <x:c r="D157" s="2" t="str">
        <x:v>TEMPO_PROXY</x:v>
      </x:c>
      <x:c r="E157" s="17" t="n">
        <x:v>262659820.8500002</x:v>
      </x:c>
      <x:c r="F157" s="17" t="n">
        <x:f>IF(AND(M157,ISNUMBER(R157)),IF(D157="TEMPO_PROXY",R157,IF(AND(ISNUMBER(S157),S157&gt;0,ISNUMBER(U157)),U157*R157/S157,"n.a.")),"n.a.")</x:f>
        <x:v>262659820.8500002</x:v>
      </x:c>
      <x:c r="G157" s="17" t="n">
        <x:f>IF(AND(ISNUMBER(E157),ISNUMBER(F157)),E157-F157,"n.a.")</x:f>
        <x:v>0</x:v>
      </x:c>
      <x:c r="H157" s="15" t="n">
        <x:f>IF(AND(ISNUMBER(E157),ISNUMBER(F157),F157&gt;0),(E157-F157)/F157,"n.a.")</x:f>
        <x:v>0</x:v>
      </x:c>
      <x:c r="I157" s="19" t="n">
        <x:f>IF(ISNUMBER(H157),ABS(H157),"n.a.")</x:f>
        <x:v>0</x:v>
      </x:c>
      <x:c r="J157" s="2" t="str">
        <x:v>available</x:v>
      </x:c>
      <x:c r="K157" s="2" t="n">
        <x:v>1</x:v>
      </x:c>
      <x:c r="L157" s="13" t="b">
        <x:v>1</x:v>
      </x:c>
      <x:c r="M157" s="13" t="b">
        <x:v>1</x:v>
      </x:c>
      <x:c r="N157" s="2" t="str">
        <x:v>inherited2020anchor</x:v>
      </x:c>
      <x:c r="O157" s="2" t="str"/>
      <x:c r="P157" s="2" t="str">
        <x:v>assumption-based floor-area proxy</x:v>
      </x:c>
      <x:c r="Q157" s="2" t="str">
        <x:v>m2</x:v>
      </x:c>
      <x:c r="R157" s="17" t="n">
        <x:v>262659820.8500002</x:v>
      </x:c>
      <x:c r="S157" s="17"/>
      <x:c r="T157" s="18"/>
      <x:c r="U157" s="17" t="n">
        <x:v>262659820.8500002</x:v>
      </x:c>
      <x:c r="V157" s="2" t="str">
        <x:v>existing saved physical-floor-area proxy</x:v>
      </x:c>
      <x:c r="W157" s="2" t="str">
        <x:v>legacy_epoch_source_QA_passed; new_common_native_support_not_certified</x:v>
      </x:c>
      <x:c r="X157" s="2" t="str">
        <x:v>https://arxiv.org/abs/2511.12104</x:v>
      </x:c>
    </x:row>
    <x:row r="158" ht="23" customHeight="1">
      <x:c r="A158" s="2" t="str">
        <x:v>PAK</x:v>
      </x:c>
      <x:c r="B158" s="2" t="str">
        <x:v>Pakistan (Islamic Republic of)</x:v>
      </x:c>
      <x:c r="C158" s="2" t="n">
        <x:v>2020</x:v>
      </x:c>
      <x:c r="D158" s="2" t="str">
        <x:v>TEMPO_PROXY</x:v>
      </x:c>
      <x:c r="E158" s="17" t="n">
        <x:v>4301390083.520005</x:v>
      </x:c>
      <x:c r="F158" s="17" t="n">
        <x:f>IF(AND(M158,ISNUMBER(R158)),IF(D158="TEMPO_PROXY",R158,IF(AND(ISNUMBER(S158),S158&gt;0,ISNUMBER(U158)),U158*R158/S158,"n.a.")),"n.a.")</x:f>
        <x:v>4301390083.520005</x:v>
      </x:c>
      <x:c r="G158" s="17" t="n">
        <x:f>IF(AND(ISNUMBER(E158),ISNUMBER(F158)),E158-F158,"n.a.")</x:f>
        <x:v>0</x:v>
      </x:c>
      <x:c r="H158" s="15" t="n">
        <x:f>IF(AND(ISNUMBER(E158),ISNUMBER(F158),F158&gt;0),(E158-F158)/F158,"n.a.")</x:f>
        <x:v>0</x:v>
      </x:c>
      <x:c r="I158" s="19" t="n">
        <x:f>IF(ISNUMBER(H158),ABS(H158),"n.a.")</x:f>
        <x:v>0</x:v>
      </x:c>
      <x:c r="J158" s="2" t="str">
        <x:v>available</x:v>
      </x:c>
      <x:c r="K158" s="2" t="n">
        <x:v>1</x:v>
      </x:c>
      <x:c r="L158" s="13" t="b">
        <x:v>1</x:v>
      </x:c>
      <x:c r="M158" s="13" t="b">
        <x:v>1</x:v>
      </x:c>
      <x:c r="N158" s="2" t="str">
        <x:v>inherited2020anchor</x:v>
      </x:c>
      <x:c r="O158" s="2" t="str"/>
      <x:c r="P158" s="2" t="str">
        <x:v>assumption-based floor-area proxy</x:v>
      </x:c>
      <x:c r="Q158" s="2" t="str">
        <x:v>m2</x:v>
      </x:c>
      <x:c r="R158" s="17" t="n">
        <x:v>4301390083.520005</x:v>
      </x:c>
      <x:c r="S158" s="17"/>
      <x:c r="T158" s="18"/>
      <x:c r="U158" s="17" t="n">
        <x:v>4301390083.520005</x:v>
      </x:c>
      <x:c r="V158" s="2" t="str">
        <x:v>existing saved physical-floor-area proxy</x:v>
      </x:c>
      <x:c r="W158" s="2" t="str">
        <x:v>legacy_epoch_source_QA_passed; new_common_native_support_not_certified</x:v>
      </x:c>
      <x:c r="X158" s="2" t="str">
        <x:v>https://arxiv.org/abs/2511.12104</x:v>
      </x:c>
    </x:row>
    <x:row r="159" ht="23" customHeight="1">
      <x:c r="A159" s="2" t="str">
        <x:v>PAN</x:v>
      </x:c>
      <x:c r="B159" s="2" t="str">
        <x:v>Panama (Republic of)</x:v>
      </x:c>
      <x:c r="C159" s="2" t="n">
        <x:v>2020</x:v>
      </x:c>
      <x:c r="D159" s="2" t="str">
        <x:v>TEMPO_PROXY</x:v>
      </x:c>
      <x:c r="E159" s="17" t="n">
        <x:v>209722829.7800001</x:v>
      </x:c>
      <x:c r="F159" s="17" t="n">
        <x:f>IF(AND(M159,ISNUMBER(R159)),IF(D159="TEMPO_PROXY",R159,IF(AND(ISNUMBER(S159),S159&gt;0,ISNUMBER(U159)),U159*R159/S159,"n.a.")),"n.a.")</x:f>
        <x:v>209722829.7800001</x:v>
      </x:c>
      <x:c r="G159" s="17" t="n">
        <x:f>IF(AND(ISNUMBER(E159),ISNUMBER(F159)),E159-F159,"n.a.")</x:f>
        <x:v>0</x:v>
      </x:c>
      <x:c r="H159" s="15" t="n">
        <x:f>IF(AND(ISNUMBER(E159),ISNUMBER(F159),F159&gt;0),(E159-F159)/F159,"n.a.")</x:f>
        <x:v>0</x:v>
      </x:c>
      <x:c r="I159" s="19" t="n">
        <x:f>IF(ISNUMBER(H159),ABS(H159),"n.a.")</x:f>
        <x:v>0</x:v>
      </x:c>
      <x:c r="J159" s="2" t="str">
        <x:v>available</x:v>
      </x:c>
      <x:c r="K159" s="2" t="n">
        <x:v>1</x:v>
      </x:c>
      <x:c r="L159" s="13" t="b">
        <x:v>1</x:v>
      </x:c>
      <x:c r="M159" s="13" t="b">
        <x:v>1</x:v>
      </x:c>
      <x:c r="N159" s="2" t="str">
        <x:v>inherited2020anchor</x:v>
      </x:c>
      <x:c r="O159" s="2" t="str"/>
      <x:c r="P159" s="2" t="str">
        <x:v>assumption-based floor-area proxy</x:v>
      </x:c>
      <x:c r="Q159" s="2" t="str">
        <x:v>m2</x:v>
      </x:c>
      <x:c r="R159" s="17" t="n">
        <x:v>209722829.7800001</x:v>
      </x:c>
      <x:c r="S159" s="17"/>
      <x:c r="T159" s="18"/>
      <x:c r="U159" s="17" t="n">
        <x:v>209722829.7800001</x:v>
      </x:c>
      <x:c r="V159" s="2" t="str">
        <x:v>existing saved physical-floor-area proxy</x:v>
      </x:c>
      <x:c r="W159" s="2" t="str">
        <x:v>legacy_epoch_source_QA_passed; new_common_native_support_not_certified</x:v>
      </x:c>
      <x:c r="X159" s="2" t="str">
        <x:v>https://arxiv.org/abs/2511.12104</x:v>
      </x:c>
    </x:row>
    <x:row r="160" ht="23" customHeight="1">
      <x:c r="A160" s="2" t="str">
        <x:v>PER</x:v>
      </x:c>
      <x:c r="B160" s="2" t="str">
        <x:v>Peru (Republic of)</x:v>
      </x:c>
      <x:c r="C160" s="2" t="n">
        <x:v>2020</x:v>
      </x:c>
      <x:c r="D160" s="2" t="str">
        <x:v>TEMPO_PROXY</x:v>
      </x:c>
      <x:c r="E160" s="17" t="n">
        <x:v>1228349086.860001</x:v>
      </x:c>
      <x:c r="F160" s="17" t="n">
        <x:f>IF(AND(M160,ISNUMBER(R160)),IF(D160="TEMPO_PROXY",R160,IF(AND(ISNUMBER(S160),S160&gt;0,ISNUMBER(U160)),U160*R160/S160,"n.a.")),"n.a.")</x:f>
        <x:v>1228349086.860001</x:v>
      </x:c>
      <x:c r="G160" s="17" t="n">
        <x:f>IF(AND(ISNUMBER(E160),ISNUMBER(F160)),E160-F160,"n.a.")</x:f>
        <x:v>0</x:v>
      </x:c>
      <x:c r="H160" s="15" t="n">
        <x:f>IF(AND(ISNUMBER(E160),ISNUMBER(F160),F160&gt;0),(E160-F160)/F160,"n.a.")</x:f>
        <x:v>0</x:v>
      </x:c>
      <x:c r="I160" s="19" t="n">
        <x:f>IF(ISNUMBER(H160),ABS(H160),"n.a.")</x:f>
        <x:v>0</x:v>
      </x:c>
      <x:c r="J160" s="2" t="str">
        <x:v>available</x:v>
      </x:c>
      <x:c r="K160" s="2" t="n">
        <x:v>1</x:v>
      </x:c>
      <x:c r="L160" s="13" t="b">
        <x:v>1</x:v>
      </x:c>
      <x:c r="M160" s="13" t="b">
        <x:v>1</x:v>
      </x:c>
      <x:c r="N160" s="2" t="str">
        <x:v>inherited2020anchor</x:v>
      </x:c>
      <x:c r="O160" s="2" t="str"/>
      <x:c r="P160" s="2" t="str">
        <x:v>assumption-based floor-area proxy</x:v>
      </x:c>
      <x:c r="Q160" s="2" t="str">
        <x:v>m2</x:v>
      </x:c>
      <x:c r="R160" s="17" t="n">
        <x:v>1228349086.860001</x:v>
      </x:c>
      <x:c r="S160" s="17"/>
      <x:c r="T160" s="18"/>
      <x:c r="U160" s="17" t="n">
        <x:v>1228349086.860001</x:v>
      </x:c>
      <x:c r="V160" s="2" t="str">
        <x:v>existing saved physical-floor-area proxy</x:v>
      </x:c>
      <x:c r="W160" s="2" t="str">
        <x:v>legacy_epoch_source_QA_passed; new_common_native_support_not_certified</x:v>
      </x:c>
      <x:c r="X160" s="2" t="str">
        <x:v>https://arxiv.org/abs/2511.12104</x:v>
      </x:c>
    </x:row>
    <x:row r="161" ht="23" customHeight="1">
      <x:c r="A161" s="2" t="str">
        <x:v>PHL</x:v>
      </x:c>
      <x:c r="B161" s="2" t="str">
        <x:v>Philippines (Republic of the)</x:v>
      </x:c>
      <x:c r="C161" s="2" t="n">
        <x:v>2020</x:v>
      </x:c>
      <x:c r="D161" s="2" t="str">
        <x:v>TEMPO_PROXY</x:v>
      </x:c>
      <x:c r="E161" s="17" t="n">
        <x:v>2290609295.400001</x:v>
      </x:c>
      <x:c r="F161" s="17" t="n">
        <x:f>IF(AND(M161,ISNUMBER(R161)),IF(D161="TEMPO_PROXY",R161,IF(AND(ISNUMBER(S161),S161&gt;0,ISNUMBER(U161)),U161*R161/S161,"n.a.")),"n.a.")</x:f>
        <x:v>2290609295.400001</x:v>
      </x:c>
      <x:c r="G161" s="17" t="n">
        <x:f>IF(AND(ISNUMBER(E161),ISNUMBER(F161)),E161-F161,"n.a.")</x:f>
        <x:v>0</x:v>
      </x:c>
      <x:c r="H161" s="15" t="n">
        <x:f>IF(AND(ISNUMBER(E161),ISNUMBER(F161),F161&gt;0),(E161-F161)/F161,"n.a.")</x:f>
        <x:v>0</x:v>
      </x:c>
      <x:c r="I161" s="19" t="n">
        <x:f>IF(ISNUMBER(H161),ABS(H161),"n.a.")</x:f>
        <x:v>0</x:v>
      </x:c>
      <x:c r="J161" s="2" t="str">
        <x:v>available</x:v>
      </x:c>
      <x:c r="K161" s="2" t="n">
        <x:v>1</x:v>
      </x:c>
      <x:c r="L161" s="13" t="b">
        <x:v>1</x:v>
      </x:c>
      <x:c r="M161" s="13" t="b">
        <x:v>1</x:v>
      </x:c>
      <x:c r="N161" s="2" t="str">
        <x:v>inherited2020anchor</x:v>
      </x:c>
      <x:c r="O161" s="2" t="str"/>
      <x:c r="P161" s="2" t="str">
        <x:v>assumption-based floor-area proxy</x:v>
      </x:c>
      <x:c r="Q161" s="2" t="str">
        <x:v>m2</x:v>
      </x:c>
      <x:c r="R161" s="17" t="n">
        <x:v>2290609295.400001</x:v>
      </x:c>
      <x:c r="S161" s="17"/>
      <x:c r="T161" s="18"/>
      <x:c r="U161" s="17" t="n">
        <x:v>2290609295.400001</x:v>
      </x:c>
      <x:c r="V161" s="2" t="str">
        <x:v>existing saved physical-floor-area proxy</x:v>
      </x:c>
      <x:c r="W161" s="2" t="str">
        <x:v>legacy_epoch_source_QA_passed; new_common_native_support_not_certified</x:v>
      </x:c>
      <x:c r="X161" s="2" t="str">
        <x:v>https://arxiv.org/abs/2511.12104</x:v>
      </x:c>
    </x:row>
    <x:row r="162" ht="23" customHeight="1">
      <x:c r="A162" s="2" t="str">
        <x:v>PLW</x:v>
      </x:c>
      <x:c r="B162" s="2" t="str">
        <x:v>Palau (Republic of)</x:v>
      </x:c>
      <x:c r="C162" s="2" t="n">
        <x:v>2020</x:v>
      </x:c>
      <x:c r="D162" s="2" t="str">
        <x:v>TEMPO_PROXY</x:v>
      </x:c>
      <x:c r="E162" s="17" t="n">
        <x:v>1152226.26</x:v>
      </x:c>
      <x:c r="F162" s="17" t="n">
        <x:f>IF(AND(M162,ISNUMBER(R162)),IF(D162="TEMPO_PROXY",R162,IF(AND(ISNUMBER(S162),S162&gt;0,ISNUMBER(U162)),U162*R162/S162,"n.a.")),"n.a.")</x:f>
        <x:v>1152226.26</x:v>
      </x:c>
      <x:c r="G162" s="17" t="n">
        <x:f>IF(AND(ISNUMBER(E162),ISNUMBER(F162)),E162-F162,"n.a.")</x:f>
        <x:v>0</x:v>
      </x:c>
      <x:c r="H162" s="15" t="n">
        <x:f>IF(AND(ISNUMBER(E162),ISNUMBER(F162),F162&gt;0),(E162-F162)/F162,"n.a.")</x:f>
        <x:v>0</x:v>
      </x:c>
      <x:c r="I162" s="19" t="n">
        <x:f>IF(ISNUMBER(H162),ABS(H162),"n.a.")</x:f>
        <x:v>0</x:v>
      </x:c>
      <x:c r="J162" s="2" t="str">
        <x:v>available</x:v>
      </x:c>
      <x:c r="K162" s="2" t="n">
        <x:v>1</x:v>
      </x:c>
      <x:c r="L162" s="13" t="b">
        <x:v>1</x:v>
      </x:c>
      <x:c r="M162" s="13" t="b">
        <x:v>1</x:v>
      </x:c>
      <x:c r="N162" s="2" t="str">
        <x:v>inherited2020anchor</x:v>
      </x:c>
      <x:c r="O162" s="2" t="str"/>
      <x:c r="P162" s="2" t="str">
        <x:v>assumption-based floor-area proxy</x:v>
      </x:c>
      <x:c r="Q162" s="2" t="str">
        <x:v>m2</x:v>
      </x:c>
      <x:c r="R162" s="17" t="n">
        <x:v>1152226.26</x:v>
      </x:c>
      <x:c r="S162" s="17"/>
      <x:c r="T162" s="18"/>
      <x:c r="U162" s="17" t="n">
        <x:v>1152226.26</x:v>
      </x:c>
      <x:c r="V162" s="2" t="str">
        <x:v>existing saved physical-floor-area proxy</x:v>
      </x:c>
      <x:c r="W162" s="2" t="str">
        <x:v>legacy_epoch_source_QA_passed; new_common_native_support_not_certified</x:v>
      </x:c>
      <x:c r="X162" s="2" t="str">
        <x:v>https://arxiv.org/abs/2511.12104</x:v>
      </x:c>
    </x:row>
    <x:row r="163" ht="23" customHeight="1">
      <x:c r="A163" s="2" t="str">
        <x:v>PNG</x:v>
      </x:c>
      <x:c r="B163" s="2" t="str">
        <x:v>Papua New Guinea (Independent State of)</x:v>
      </x:c>
      <x:c r="C163" s="2" t="n">
        <x:v>2020</x:v>
      </x:c>
      <x:c r="D163" s="2" t="str">
        <x:v>TEMPO_PROXY</x:v>
      </x:c>
      <x:c r="E163" s="17" t="n">
        <x:v>111325792.03000018</x:v>
      </x:c>
      <x:c r="F163" s="17" t="n">
        <x:f>IF(AND(M163,ISNUMBER(R163)),IF(D163="TEMPO_PROXY",R163,IF(AND(ISNUMBER(S163),S163&gt;0,ISNUMBER(U163)),U163*R163/S163,"n.a.")),"n.a.")</x:f>
        <x:v>111325792.03000018</x:v>
      </x:c>
      <x:c r="G163" s="17" t="n">
        <x:f>IF(AND(ISNUMBER(E163),ISNUMBER(F163)),E163-F163,"n.a.")</x:f>
        <x:v>0</x:v>
      </x:c>
      <x:c r="H163" s="15" t="n">
        <x:f>IF(AND(ISNUMBER(E163),ISNUMBER(F163),F163&gt;0),(E163-F163)/F163,"n.a.")</x:f>
        <x:v>0</x:v>
      </x:c>
      <x:c r="I163" s="19" t="n">
        <x:f>IF(ISNUMBER(H163),ABS(H163),"n.a.")</x:f>
        <x:v>0</x:v>
      </x:c>
      <x:c r="J163" s="2" t="str">
        <x:v>available</x:v>
      </x:c>
      <x:c r="K163" s="2" t="n">
        <x:v>1</x:v>
      </x:c>
      <x:c r="L163" s="13" t="b">
        <x:v>1</x:v>
      </x:c>
      <x:c r="M163" s="13" t="b">
        <x:v>1</x:v>
      </x:c>
      <x:c r="N163" s="2" t="str">
        <x:v>inherited2020anchor</x:v>
      </x:c>
      <x:c r="O163" s="2" t="str"/>
      <x:c r="P163" s="2" t="str">
        <x:v>assumption-based floor-area proxy</x:v>
      </x:c>
      <x:c r="Q163" s="2" t="str">
        <x:v>m2</x:v>
      </x:c>
      <x:c r="R163" s="17" t="n">
        <x:v>111325792.03000018</x:v>
      </x:c>
      <x:c r="S163" s="17"/>
      <x:c r="T163" s="18"/>
      <x:c r="U163" s="17" t="n">
        <x:v>111325792.03000018</x:v>
      </x:c>
      <x:c r="V163" s="2" t="str">
        <x:v>existing saved physical-floor-area proxy</x:v>
      </x:c>
      <x:c r="W163" s="2" t="str">
        <x:v>legacy_epoch_source_QA_passed; new_common_native_support_not_certified</x:v>
      </x:c>
      <x:c r="X163" s="2" t="str">
        <x:v>https://arxiv.org/abs/2511.12104</x:v>
      </x:c>
    </x:row>
    <x:row r="164" ht="23" customHeight="1">
      <x:c r="A164" s="2" t="str">
        <x:v>POL</x:v>
      </x:c>
      <x:c r="B164" s="2" t="str">
        <x:v>Poland (Republic of)</x:v>
      </x:c>
      <x:c r="C164" s="2" t="n">
        <x:v>2020</x:v>
      </x:c>
      <x:c r="D164" s="2" t="str">
        <x:v>TEMPO_PROXY</x:v>
      </x:c>
      <x:c r="E164" s="17" t="n">
        <x:v>2573023573.5300016</x:v>
      </x:c>
      <x:c r="F164" s="17" t="n">
        <x:f>IF(AND(M164,ISNUMBER(R164)),IF(D164="TEMPO_PROXY",R164,IF(AND(ISNUMBER(S164),S164&gt;0,ISNUMBER(U164)),U164*R164/S164,"n.a.")),"n.a.")</x:f>
        <x:v>2573023573.5300016</x:v>
      </x:c>
      <x:c r="G164" s="17" t="n">
        <x:f>IF(AND(ISNUMBER(E164),ISNUMBER(F164)),E164-F164,"n.a.")</x:f>
        <x:v>0</x:v>
      </x:c>
      <x:c r="H164" s="15" t="n">
        <x:f>IF(AND(ISNUMBER(E164),ISNUMBER(F164),F164&gt;0),(E164-F164)/F164,"n.a.")</x:f>
        <x:v>0</x:v>
      </x:c>
      <x:c r="I164" s="19" t="n">
        <x:f>IF(ISNUMBER(H164),ABS(H164),"n.a.")</x:f>
        <x:v>0</x:v>
      </x:c>
      <x:c r="J164" s="2" t="str">
        <x:v>available</x:v>
      </x:c>
      <x:c r="K164" s="2" t="n">
        <x:v>1</x:v>
      </x:c>
      <x:c r="L164" s="13" t="b">
        <x:v>1</x:v>
      </x:c>
      <x:c r="M164" s="13" t="b">
        <x:v>1</x:v>
      </x:c>
      <x:c r="N164" s="2" t="str">
        <x:v>inherited2020anchor</x:v>
      </x:c>
      <x:c r="O164" s="2" t="str"/>
      <x:c r="P164" s="2" t="str">
        <x:v>assumption-based floor-area proxy</x:v>
      </x:c>
      <x:c r="Q164" s="2" t="str">
        <x:v>m2</x:v>
      </x:c>
      <x:c r="R164" s="17" t="n">
        <x:v>2573023573.5300016</x:v>
      </x:c>
      <x:c r="S164" s="17"/>
      <x:c r="T164" s="18"/>
      <x:c r="U164" s="17" t="n">
        <x:v>2573023573.5300016</x:v>
      </x:c>
      <x:c r="V164" s="2" t="str">
        <x:v>existing saved physical-floor-area proxy</x:v>
      </x:c>
      <x:c r="W164" s="2" t="str">
        <x:v>legacy_epoch_source_QA_passed; new_common_native_support_not_certified</x:v>
      </x:c>
      <x:c r="X164" s="2" t="str">
        <x:v>https://arxiv.org/abs/2511.12104</x:v>
      </x:c>
    </x:row>
    <x:row r="165" ht="23" customHeight="1">
      <x:c r="A165" s="2" t="str">
        <x:v>PRK</x:v>
      </x:c>
      <x:c r="B165" s="2" t="str">
        <x:v>Korea (Democratic People's Republic of)</x:v>
      </x:c>
      <x:c r="C165" s="2" t="n">
        <x:v>2020</x:v>
      </x:c>
      <x:c r="D165" s="2" t="str">
        <x:v>TEMPO_PROXY</x:v>
      </x:c>
      <x:c r="E165" s="17" t="n">
        <x:v>469713807.49000067</x:v>
      </x:c>
      <x:c r="F165" s="17" t="n">
        <x:f>IF(AND(M165,ISNUMBER(R165)),IF(D165="TEMPO_PROXY",R165,IF(AND(ISNUMBER(S165),S165&gt;0,ISNUMBER(U165)),U165*R165/S165,"n.a.")),"n.a.")</x:f>
        <x:v>469713807.49000067</x:v>
      </x:c>
      <x:c r="G165" s="17" t="n">
        <x:f>IF(AND(ISNUMBER(E165),ISNUMBER(F165)),E165-F165,"n.a.")</x:f>
        <x:v>0</x:v>
      </x:c>
      <x:c r="H165" s="15" t="n">
        <x:f>IF(AND(ISNUMBER(E165),ISNUMBER(F165),F165&gt;0),(E165-F165)/F165,"n.a.")</x:f>
        <x:v>0</x:v>
      </x:c>
      <x:c r="I165" s="19" t="n">
        <x:f>IF(ISNUMBER(H165),ABS(H165),"n.a.")</x:f>
        <x:v>0</x:v>
      </x:c>
      <x:c r="J165" s="2" t="str">
        <x:v>available</x:v>
      </x:c>
      <x:c r="K165" s="2" t="n">
        <x:v>1</x:v>
      </x:c>
      <x:c r="L165" s="13" t="b">
        <x:v>1</x:v>
      </x:c>
      <x:c r="M165" s="13" t="b">
        <x:v>1</x:v>
      </x:c>
      <x:c r="N165" s="2" t="str">
        <x:v>inherited2020anchor</x:v>
      </x:c>
      <x:c r="O165" s="2" t="str"/>
      <x:c r="P165" s="2" t="str">
        <x:v>assumption-based floor-area proxy</x:v>
      </x:c>
      <x:c r="Q165" s="2" t="str">
        <x:v>m2</x:v>
      </x:c>
      <x:c r="R165" s="17" t="n">
        <x:v>469713807.49000067</x:v>
      </x:c>
      <x:c r="S165" s="17"/>
      <x:c r="T165" s="18"/>
      <x:c r="U165" s="17" t="n">
        <x:v>469713807.49000067</x:v>
      </x:c>
      <x:c r="V165" s="2" t="str">
        <x:v>existing saved physical-floor-area proxy</x:v>
      </x:c>
      <x:c r="W165" s="2" t="str">
        <x:v>legacy_epoch_source_QA_passed; new_common_native_support_not_certified</x:v>
      </x:c>
      <x:c r="X165" s="2" t="str">
        <x:v>https://arxiv.org/abs/2511.12104</x:v>
      </x:c>
    </x:row>
    <x:row r="166" ht="23" customHeight="1">
      <x:c r="A166" s="2" t="str">
        <x:v>PRT</x:v>
      </x:c>
      <x:c r="B166" s="2" t="str">
        <x:v>Portugal (Portuguese Republic)</x:v>
      </x:c>
      <x:c r="C166" s="2" t="n">
        <x:v>2020</x:v>
      </x:c>
      <x:c r="D166" s="2" t="str">
        <x:v>TEMPO_PROXY</x:v>
      </x:c>
      <x:c r="E166" s="17" t="n">
        <x:v>1019333626.31</x:v>
      </x:c>
      <x:c r="F166" s="17" t="n">
        <x:f>IF(AND(M166,ISNUMBER(R166)),IF(D166="TEMPO_PROXY",R166,IF(AND(ISNUMBER(S166),S166&gt;0,ISNUMBER(U166)),U166*R166/S166,"n.a.")),"n.a.")</x:f>
        <x:v>1019333626.31</x:v>
      </x:c>
      <x:c r="G166" s="17" t="n">
        <x:f>IF(AND(ISNUMBER(E166),ISNUMBER(F166)),E166-F166,"n.a.")</x:f>
        <x:v>0</x:v>
      </x:c>
      <x:c r="H166" s="15" t="n">
        <x:f>IF(AND(ISNUMBER(E166),ISNUMBER(F166),F166&gt;0),(E166-F166)/F166,"n.a.")</x:f>
        <x:v>0</x:v>
      </x:c>
      <x:c r="I166" s="19" t="n">
        <x:f>IF(ISNUMBER(H166),ABS(H166),"n.a.")</x:f>
        <x:v>0</x:v>
      </x:c>
      <x:c r="J166" s="2" t="str">
        <x:v>available</x:v>
      </x:c>
      <x:c r="K166" s="2" t="n">
        <x:v>1</x:v>
      </x:c>
      <x:c r="L166" s="13" t="b">
        <x:v>1</x:v>
      </x:c>
      <x:c r="M166" s="13" t="b">
        <x:v>1</x:v>
      </x:c>
      <x:c r="N166" s="2" t="str">
        <x:v>inherited2020anchor</x:v>
      </x:c>
      <x:c r="O166" s="2" t="str"/>
      <x:c r="P166" s="2" t="str">
        <x:v>assumption-based floor-area proxy</x:v>
      </x:c>
      <x:c r="Q166" s="2" t="str">
        <x:v>m2</x:v>
      </x:c>
      <x:c r="R166" s="17" t="n">
        <x:v>1019333626.31</x:v>
      </x:c>
      <x:c r="S166" s="17"/>
      <x:c r="T166" s="18"/>
      <x:c r="U166" s="17" t="n">
        <x:v>1019333626.31</x:v>
      </x:c>
      <x:c r="V166" s="2" t="str">
        <x:v>existing saved physical-floor-area proxy</x:v>
      </x:c>
      <x:c r="W166" s="2" t="str">
        <x:v>legacy_epoch_source_QA_passed; new_common_native_support_not_certified</x:v>
      </x:c>
      <x:c r="X166" s="2" t="str">
        <x:v>https://arxiv.org/abs/2511.12104</x:v>
      </x:c>
    </x:row>
    <x:row r="167" ht="23" customHeight="1">
      <x:c r="A167" s="2" t="str">
        <x:v>PRY</x:v>
      </x:c>
      <x:c r="B167" s="2" t="str">
        <x:v>Paraguay (Republic of)</x:v>
      </x:c>
      <x:c r="C167" s="2" t="n">
        <x:v>2020</x:v>
      </x:c>
      <x:c r="D167" s="2" t="str">
        <x:v>TEMPO_PROXY</x:v>
      </x:c>
      <x:c r="E167" s="17" t="n">
        <x:v>336793873.4500005</x:v>
      </x:c>
      <x:c r="F167" s="17" t="n">
        <x:f>IF(AND(M167,ISNUMBER(R167)),IF(D167="TEMPO_PROXY",R167,IF(AND(ISNUMBER(S167),S167&gt;0,ISNUMBER(U167)),U167*R167/S167,"n.a.")),"n.a.")</x:f>
        <x:v>336793873.4500005</x:v>
      </x:c>
      <x:c r="G167" s="17" t="n">
        <x:f>IF(AND(ISNUMBER(E167),ISNUMBER(F167)),E167-F167,"n.a.")</x:f>
        <x:v>0</x:v>
      </x:c>
      <x:c r="H167" s="15" t="n">
        <x:f>IF(AND(ISNUMBER(E167),ISNUMBER(F167),F167&gt;0),(E167-F167)/F167,"n.a.")</x:f>
        <x:v>0</x:v>
      </x:c>
      <x:c r="I167" s="19" t="n">
        <x:f>IF(ISNUMBER(H167),ABS(H167),"n.a.")</x:f>
        <x:v>0</x:v>
      </x:c>
      <x:c r="J167" s="2" t="str">
        <x:v>available</x:v>
      </x:c>
      <x:c r="K167" s="2" t="n">
        <x:v>1</x:v>
      </x:c>
      <x:c r="L167" s="13" t="b">
        <x:v>1</x:v>
      </x:c>
      <x:c r="M167" s="13" t="b">
        <x:v>1</x:v>
      </x:c>
      <x:c r="N167" s="2" t="str">
        <x:v>inherited2020anchor</x:v>
      </x:c>
      <x:c r="O167" s="2" t="str"/>
      <x:c r="P167" s="2" t="str">
        <x:v>assumption-based floor-area proxy</x:v>
      </x:c>
      <x:c r="Q167" s="2" t="str">
        <x:v>m2</x:v>
      </x:c>
      <x:c r="R167" s="17" t="n">
        <x:v>336793873.4500005</x:v>
      </x:c>
      <x:c r="S167" s="17"/>
      <x:c r="T167" s="18"/>
      <x:c r="U167" s="17" t="n">
        <x:v>336793873.4500005</x:v>
      </x:c>
      <x:c r="V167" s="2" t="str">
        <x:v>existing saved physical-floor-area proxy</x:v>
      </x:c>
      <x:c r="W167" s="2" t="str">
        <x:v>legacy_epoch_source_QA_passed; new_common_native_support_not_certified</x:v>
      </x:c>
      <x:c r="X167" s="2" t="str">
        <x:v>https://arxiv.org/abs/2511.12104</x:v>
      </x:c>
    </x:row>
    <x:row r="168" ht="23" customHeight="1">
      <x:c r="A168" s="2" t="str">
        <x:v>PSE</x:v>
      </x:c>
      <x:c r="B168" s="2" t="str">
        <x:v>State of Palestine</x:v>
      </x:c>
      <x:c r="C168" s="2" t="n">
        <x:v>2020</x:v>
      </x:c>
      <x:c r="D168" s="2" t="str">
        <x:v>TEMPO_PROXY</x:v>
      </x:c>
      <x:c r="E168" s="17" t="n">
        <x:v>239938472.63190365</x:v>
      </x:c>
      <x:c r="F168" s="17" t="str">
        <x:f>IF(AND(M168,ISNUMBER(R168)),IF(D168="TEMPO_PROXY",R168,IF(AND(ISNUMBER(S168),S168&gt;0,ISNUMBER(U168)),U168*R168/S168,"n.a.")),"n.a.")</x:f>
        <x:v>n.a.</x:v>
      </x:c>
      <x:c r="G168" s="17" t="str">
        <x:f>IF(AND(ISNUMBER(E168),ISNUMBER(F168)),E168-F168,"n.a.")</x:f>
        <x:v>n.a.</x:v>
      </x:c>
      <x:c r="H168" s="15" t="str">
        <x:f>IF(AND(ISNUMBER(E168),ISNUMBER(F168),F168&gt;0),(E168-F168)/F168,"n.a.")</x:f>
        <x:v>n.a.</x:v>
      </x:c>
      <x:c r="I168" s="19" t="str">
        <x:f>IF(ISNUMBER(H168),ABS(H168),"n.a.")</x:f>
        <x:v>n.a.</x:v>
      </x:c>
      <x:c r="J168" s="2" t="str">
        <x:v>unqualified_or_missing_native_source: missing_frozen_TEMPO_epoch</x:v>
      </x:c>
      <x:c r="K168" s="2" t="n">
        <x:v>0</x:v>
      </x:c>
      <x:c r="L168" s="13" t="b">
        <x:v>1</x:v>
      </x:c>
      <x:c r="M168" s="13" t="b">
        <x:v>0</x:v>
      </x:c>
      <x:c r="N168" s="2" t="str">
        <x:v>inherited2020anchor</x:v>
      </x:c>
      <x:c r="O168" s="2" t="str"/>
      <x:c r="P168" s="2" t="str">
        <x:v>assumption-based floor-area proxy</x:v>
      </x:c>
      <x:c r="Q168" s="2" t="str">
        <x:v>m2</x:v>
      </x:c>
      <x:c r="R168" s="17"/>
      <x:c r="S168" s="17"/>
      <x:c r="T168" s="18"/>
      <x:c r="U168" s="17" t="n">
        <x:v>239938472.63190365</x:v>
      </x:c>
      <x:c r="V168" s="2" t="str">
        <x:v>existing saved physical-floor-area proxy</x:v>
      </x:c>
      <x:c r="W168" s="2" t="str">
        <x:v>missing_frozen_TEMPO_epoch</x:v>
      </x:c>
      <x:c r="X168" s="2" t="str">
        <x:v>https://arxiv.org/abs/2511.12104</x:v>
      </x:c>
    </x:row>
    <x:row r="169" ht="23" customHeight="1">
      <x:c r="A169" s="2" t="str">
        <x:v>QAT</x:v>
      </x:c>
      <x:c r="B169" s="2" t="str">
        <x:v>Qatar (State of)</x:v>
      </x:c>
      <x:c r="C169" s="2" t="n">
        <x:v>2020</x:v>
      </x:c>
      <x:c r="D169" s="2" t="str">
        <x:v>TEMPO_PROXY</x:v>
      </x:c>
      <x:c r="E169" s="17" t="n">
        <x:v>137316242.80000022</x:v>
      </x:c>
      <x:c r="F169" s="17" t="n">
        <x:f>IF(AND(M169,ISNUMBER(R169)),IF(D169="TEMPO_PROXY",R169,IF(AND(ISNUMBER(S169),S169&gt;0,ISNUMBER(U169)),U169*R169/S169,"n.a.")),"n.a.")</x:f>
        <x:v>137316242.80000022</x:v>
      </x:c>
      <x:c r="G169" s="17" t="n">
        <x:f>IF(AND(ISNUMBER(E169),ISNUMBER(F169)),E169-F169,"n.a.")</x:f>
        <x:v>0</x:v>
      </x:c>
      <x:c r="H169" s="15" t="n">
        <x:f>IF(AND(ISNUMBER(E169),ISNUMBER(F169),F169&gt;0),(E169-F169)/F169,"n.a.")</x:f>
        <x:v>0</x:v>
      </x:c>
      <x:c r="I169" s="19" t="n">
        <x:f>IF(ISNUMBER(H169),ABS(H169),"n.a.")</x:f>
        <x:v>0</x:v>
      </x:c>
      <x:c r="J169" s="2" t="str">
        <x:v>available</x:v>
      </x:c>
      <x:c r="K169" s="2" t="n">
        <x:v>1</x:v>
      </x:c>
      <x:c r="L169" s="13" t="b">
        <x:v>1</x:v>
      </x:c>
      <x:c r="M169" s="13" t="b">
        <x:v>1</x:v>
      </x:c>
      <x:c r="N169" s="2" t="str">
        <x:v>inherited2020anchor</x:v>
      </x:c>
      <x:c r="O169" s="2" t="str"/>
      <x:c r="P169" s="2" t="str">
        <x:v>assumption-based floor-area proxy</x:v>
      </x:c>
      <x:c r="Q169" s="2" t="str">
        <x:v>m2</x:v>
      </x:c>
      <x:c r="R169" s="17" t="n">
        <x:v>137316242.80000022</x:v>
      </x:c>
      <x:c r="S169" s="17"/>
      <x:c r="T169" s="18"/>
      <x:c r="U169" s="17" t="n">
        <x:v>137316242.80000022</x:v>
      </x:c>
      <x:c r="V169" s="2" t="str">
        <x:v>existing saved physical-floor-area proxy</x:v>
      </x:c>
      <x:c r="W169" s="2" t="str">
        <x:v>legacy_epoch_source_QA_passed; new_common_native_support_not_certified</x:v>
      </x:c>
      <x:c r="X169" s="2" t="str">
        <x:v>https://arxiv.org/abs/2511.12104</x:v>
      </x:c>
    </x:row>
    <x:row r="170" ht="23" customHeight="1">
      <x:c r="A170" s="2" t="str">
        <x:v>ROU</x:v>
      </x:c>
      <x:c r="B170" s="2" t="str">
        <x:v>Romania</x:v>
      </x:c>
      <x:c r="C170" s="2" t="n">
        <x:v>2020</x:v>
      </x:c>
      <x:c r="D170" s="2" t="str">
        <x:v>TEMPO_PROXY</x:v>
      </x:c>
      <x:c r="E170" s="17" t="n">
        <x:v>1451492077.9900024</x:v>
      </x:c>
      <x:c r="F170" s="17" t="n">
        <x:f>IF(AND(M170,ISNUMBER(R170)),IF(D170="TEMPO_PROXY",R170,IF(AND(ISNUMBER(S170),S170&gt;0,ISNUMBER(U170)),U170*R170/S170,"n.a.")),"n.a.")</x:f>
        <x:v>1451492077.9900024</x:v>
      </x:c>
      <x:c r="G170" s="17" t="n">
        <x:f>IF(AND(ISNUMBER(E170),ISNUMBER(F170)),E170-F170,"n.a.")</x:f>
        <x:v>0</x:v>
      </x:c>
      <x:c r="H170" s="15" t="n">
        <x:f>IF(AND(ISNUMBER(E170),ISNUMBER(F170),F170&gt;0),(E170-F170)/F170,"n.a.")</x:f>
        <x:v>0</x:v>
      </x:c>
      <x:c r="I170" s="19" t="n">
        <x:f>IF(ISNUMBER(H170),ABS(H170),"n.a.")</x:f>
        <x:v>0</x:v>
      </x:c>
      <x:c r="J170" s="2" t="str">
        <x:v>available</x:v>
      </x:c>
      <x:c r="K170" s="2" t="n">
        <x:v>1</x:v>
      </x:c>
      <x:c r="L170" s="13" t="b">
        <x:v>1</x:v>
      </x:c>
      <x:c r="M170" s="13" t="b">
        <x:v>1</x:v>
      </x:c>
      <x:c r="N170" s="2" t="str">
        <x:v>inherited2020anchor</x:v>
      </x:c>
      <x:c r="O170" s="2" t="str"/>
      <x:c r="P170" s="2" t="str">
        <x:v>assumption-based floor-area proxy</x:v>
      </x:c>
      <x:c r="Q170" s="2" t="str">
        <x:v>m2</x:v>
      </x:c>
      <x:c r="R170" s="17" t="n">
        <x:v>1451492077.9900024</x:v>
      </x:c>
      <x:c r="S170" s="17"/>
      <x:c r="T170" s="18"/>
      <x:c r="U170" s="17" t="n">
        <x:v>1451492077.9900024</x:v>
      </x:c>
      <x:c r="V170" s="2" t="str">
        <x:v>existing saved physical-floor-area proxy</x:v>
      </x:c>
      <x:c r="W170" s="2" t="str">
        <x:v>legacy_epoch_source_QA_passed; new_common_native_support_not_certified</x:v>
      </x:c>
      <x:c r="X170" s="2" t="str">
        <x:v>https://arxiv.org/abs/2511.12104</x:v>
      </x:c>
    </x:row>
    <x:row r="171" ht="23" customHeight="1">
      <x:c r="A171" s="2" t="str">
        <x:v>RUS</x:v>
      </x:c>
      <x:c r="B171" s="2" t="str">
        <x:v>Russian Federation</x:v>
      </x:c>
      <x:c r="C171" s="2" t="n">
        <x:v>2020</x:v>
      </x:c>
      <x:c r="D171" s="2" t="str">
        <x:v>TEMPO_PROXY</x:v>
      </x:c>
      <x:c r="E171" s="17" t="n">
        <x:v>7767687345.91001</x:v>
      </x:c>
      <x:c r="F171" s="17" t="n">
        <x:f>IF(AND(M171,ISNUMBER(R171)),IF(D171="TEMPO_PROXY",R171,IF(AND(ISNUMBER(S171),S171&gt;0,ISNUMBER(U171)),U171*R171/S171,"n.a.")),"n.a.")</x:f>
        <x:v>7767687345.91001</x:v>
      </x:c>
      <x:c r="G171" s="17" t="n">
        <x:f>IF(AND(ISNUMBER(E171),ISNUMBER(F171)),E171-F171,"n.a.")</x:f>
        <x:v>0</x:v>
      </x:c>
      <x:c r="H171" s="15" t="n">
        <x:f>IF(AND(ISNUMBER(E171),ISNUMBER(F171),F171&gt;0),(E171-F171)/F171,"n.a.")</x:f>
        <x:v>0</x:v>
      </x:c>
      <x:c r="I171" s="19" t="n">
        <x:f>IF(ISNUMBER(H171),ABS(H171),"n.a.")</x:f>
        <x:v>0</x:v>
      </x:c>
      <x:c r="J171" s="2" t="str">
        <x:v>available</x:v>
      </x:c>
      <x:c r="K171" s="2" t="n">
        <x:v>1</x:v>
      </x:c>
      <x:c r="L171" s="13" t="b">
        <x:v>1</x:v>
      </x:c>
      <x:c r="M171" s="13" t="b">
        <x:v>1</x:v>
      </x:c>
      <x:c r="N171" s="2" t="str">
        <x:v>inherited2020anchor</x:v>
      </x:c>
      <x:c r="O171" s="2" t="str"/>
      <x:c r="P171" s="2" t="str">
        <x:v>assumption-based floor-area proxy</x:v>
      </x:c>
      <x:c r="Q171" s="2" t="str">
        <x:v>m2</x:v>
      </x:c>
      <x:c r="R171" s="17" t="n">
        <x:v>7767687345.91001</x:v>
      </x:c>
      <x:c r="S171" s="17"/>
      <x:c r="T171" s="18"/>
      <x:c r="U171" s="17" t="n">
        <x:v>7767687345.91001</x:v>
      </x:c>
      <x:c r="V171" s="2" t="str">
        <x:v>existing saved physical-floor-area proxy</x:v>
      </x:c>
      <x:c r="W171" s="2" t="str">
        <x:v>legacy_epoch_source_QA_passed; new_common_native_support_not_certified</x:v>
      </x:c>
      <x:c r="X171" s="2" t="str">
        <x:v>https://arxiv.org/abs/2511.12104</x:v>
      </x:c>
    </x:row>
    <x:row r="172" ht="23" customHeight="1">
      <x:c r="A172" s="2" t="str">
        <x:v>RWA</x:v>
      </x:c>
      <x:c r="B172" s="2" t="str">
        <x:v>Rwanda (Republic of)</x:v>
      </x:c>
      <x:c r="C172" s="2" t="n">
        <x:v>2020</x:v>
      </x:c>
      <x:c r="D172" s="2" t="str">
        <x:v>TEMPO_PROXY</x:v>
      </x:c>
      <x:c r="E172" s="17" t="n">
        <x:v>244877324.63000005</x:v>
      </x:c>
      <x:c r="F172" s="17" t="n">
        <x:f>IF(AND(M172,ISNUMBER(R172)),IF(D172="TEMPO_PROXY",R172,IF(AND(ISNUMBER(S172),S172&gt;0,ISNUMBER(U172)),U172*R172/S172,"n.a.")),"n.a.")</x:f>
        <x:v>244877324.63000005</x:v>
      </x:c>
      <x:c r="G172" s="17" t="n">
        <x:f>IF(AND(ISNUMBER(E172),ISNUMBER(F172)),E172-F172,"n.a.")</x:f>
        <x:v>0</x:v>
      </x:c>
      <x:c r="H172" s="15" t="n">
        <x:f>IF(AND(ISNUMBER(E172),ISNUMBER(F172),F172&gt;0),(E172-F172)/F172,"n.a.")</x:f>
        <x:v>0</x:v>
      </x:c>
      <x:c r="I172" s="19" t="n">
        <x:f>IF(ISNUMBER(H172),ABS(H172),"n.a.")</x:f>
        <x:v>0</x:v>
      </x:c>
      <x:c r="J172" s="2" t="str">
        <x:v>available</x:v>
      </x:c>
      <x:c r="K172" s="2" t="n">
        <x:v>1</x:v>
      </x:c>
      <x:c r="L172" s="13" t="b">
        <x:v>1</x:v>
      </x:c>
      <x:c r="M172" s="13" t="b">
        <x:v>1</x:v>
      </x:c>
      <x:c r="N172" s="2" t="str">
        <x:v>inherited2020anchor</x:v>
      </x:c>
      <x:c r="O172" s="2" t="str"/>
      <x:c r="P172" s="2" t="str">
        <x:v>assumption-based floor-area proxy</x:v>
      </x:c>
      <x:c r="Q172" s="2" t="str">
        <x:v>m2</x:v>
      </x:c>
      <x:c r="R172" s="17" t="n">
        <x:v>244877324.63000005</x:v>
      </x:c>
      <x:c r="S172" s="17"/>
      <x:c r="T172" s="18"/>
      <x:c r="U172" s="17" t="n">
        <x:v>244877324.63000005</x:v>
      </x:c>
      <x:c r="V172" s="2" t="str">
        <x:v>existing saved physical-floor-area proxy</x:v>
      </x:c>
      <x:c r="W172" s="2" t="str">
        <x:v>legacy_epoch_source_QA_passed; new_common_native_support_not_certified</x:v>
      </x:c>
      <x:c r="X172" s="2" t="str">
        <x:v>https://arxiv.org/abs/2511.12104</x:v>
      </x:c>
    </x:row>
    <x:row r="173" ht="23" customHeight="1">
      <x:c r="A173" s="2" t="str">
        <x:v>SAU</x:v>
      </x:c>
      <x:c r="B173" s="2" t="str">
        <x:v>Saudi Arabia (Kingdom of)</x:v>
      </x:c>
      <x:c r="C173" s="2" t="n">
        <x:v>2020</x:v>
      </x:c>
      <x:c r="D173" s="2" t="str">
        <x:v>TEMPO_PROXY</x:v>
      </x:c>
      <x:c r="E173" s="17" t="n">
        <x:v>1911722272.930002</x:v>
      </x:c>
      <x:c r="F173" s="17" t="n">
        <x:f>IF(AND(M173,ISNUMBER(R173)),IF(D173="TEMPO_PROXY",R173,IF(AND(ISNUMBER(S173),S173&gt;0,ISNUMBER(U173)),U173*R173/S173,"n.a.")),"n.a.")</x:f>
        <x:v>1911722272.930002</x:v>
      </x:c>
      <x:c r="G173" s="17" t="n">
        <x:f>IF(AND(ISNUMBER(E173),ISNUMBER(F173)),E173-F173,"n.a.")</x:f>
        <x:v>0</x:v>
      </x:c>
      <x:c r="H173" s="15" t="n">
        <x:f>IF(AND(ISNUMBER(E173),ISNUMBER(F173),F173&gt;0),(E173-F173)/F173,"n.a.")</x:f>
        <x:v>0</x:v>
      </x:c>
      <x:c r="I173" s="19" t="n">
        <x:f>IF(ISNUMBER(H173),ABS(H173),"n.a.")</x:f>
        <x:v>0</x:v>
      </x:c>
      <x:c r="J173" s="2" t="str">
        <x:v>available</x:v>
      </x:c>
      <x:c r="K173" s="2" t="n">
        <x:v>1</x:v>
      </x:c>
      <x:c r="L173" s="13" t="b">
        <x:v>1</x:v>
      </x:c>
      <x:c r="M173" s="13" t="b">
        <x:v>1</x:v>
      </x:c>
      <x:c r="N173" s="2" t="str">
        <x:v>inherited2020anchor</x:v>
      </x:c>
      <x:c r="O173" s="2" t="str"/>
      <x:c r="P173" s="2" t="str">
        <x:v>assumption-based floor-area proxy</x:v>
      </x:c>
      <x:c r="Q173" s="2" t="str">
        <x:v>m2</x:v>
      </x:c>
      <x:c r="R173" s="17" t="n">
        <x:v>1911722272.930002</x:v>
      </x:c>
      <x:c r="S173" s="17"/>
      <x:c r="T173" s="18"/>
      <x:c r="U173" s="17" t="n">
        <x:v>1911722272.930002</x:v>
      </x:c>
      <x:c r="V173" s="2" t="str">
        <x:v>existing saved physical-floor-area proxy</x:v>
      </x:c>
      <x:c r="W173" s="2" t="str">
        <x:v>legacy_epoch_source_QA_passed; new_common_native_support_not_certified</x:v>
      </x:c>
      <x:c r="X173" s="2" t="str">
        <x:v>https://arxiv.org/abs/2511.12104</x:v>
      </x:c>
    </x:row>
    <x:row r="174" ht="23" customHeight="1">
      <x:c r="A174" s="2" t="str">
        <x:v>SDN</x:v>
      </x:c>
      <x:c r="B174" s="2" t="str">
        <x:v>Sudan (Republic of the)</x:v>
      </x:c>
      <x:c r="C174" s="2" t="n">
        <x:v>2020</x:v>
      </x:c>
      <x:c r="D174" s="2" t="str">
        <x:v>TEMPO_PROXY</x:v>
      </x:c>
      <x:c r="E174" s="17" t="n">
        <x:v>751311239.6000005</x:v>
      </x:c>
      <x:c r="F174" s="17" t="n">
        <x:f>IF(AND(M174,ISNUMBER(R174)),IF(D174="TEMPO_PROXY",R174,IF(AND(ISNUMBER(S174),S174&gt;0,ISNUMBER(U174)),U174*R174/S174,"n.a.")),"n.a.")</x:f>
        <x:v>751311239.6000005</x:v>
      </x:c>
      <x:c r="G174" s="17" t="n">
        <x:f>IF(AND(ISNUMBER(E174),ISNUMBER(F174)),E174-F174,"n.a.")</x:f>
        <x:v>0</x:v>
      </x:c>
      <x:c r="H174" s="15" t="n">
        <x:f>IF(AND(ISNUMBER(E174),ISNUMBER(F174),F174&gt;0),(E174-F174)/F174,"n.a.")</x:f>
        <x:v>0</x:v>
      </x:c>
      <x:c r="I174" s="19" t="n">
        <x:f>IF(ISNUMBER(H174),ABS(H174),"n.a.")</x:f>
        <x:v>0</x:v>
      </x:c>
      <x:c r="J174" s="2" t="str">
        <x:v>available</x:v>
      </x:c>
      <x:c r="K174" s="2" t="n">
        <x:v>1</x:v>
      </x:c>
      <x:c r="L174" s="13" t="b">
        <x:v>1</x:v>
      </x:c>
      <x:c r="M174" s="13" t="b">
        <x:v>1</x:v>
      </x:c>
      <x:c r="N174" s="2" t="str">
        <x:v>inherited2020anchor</x:v>
      </x:c>
      <x:c r="O174" s="2" t="str"/>
      <x:c r="P174" s="2" t="str">
        <x:v>assumption-based floor-area proxy</x:v>
      </x:c>
      <x:c r="Q174" s="2" t="str">
        <x:v>m2</x:v>
      </x:c>
      <x:c r="R174" s="17" t="n">
        <x:v>751311239.6000005</x:v>
      </x:c>
      <x:c r="S174" s="17"/>
      <x:c r="T174" s="18"/>
      <x:c r="U174" s="17" t="n">
        <x:v>751311239.6000005</x:v>
      </x:c>
      <x:c r="V174" s="2" t="str">
        <x:v>existing saved physical-floor-area proxy</x:v>
      </x:c>
      <x:c r="W174" s="2" t="str">
        <x:v>legacy_epoch_source_QA_passed; new_common_native_support_not_certified</x:v>
      </x:c>
      <x:c r="X174" s="2" t="str">
        <x:v>https://arxiv.org/abs/2511.12104</x:v>
      </x:c>
    </x:row>
    <x:row r="175" ht="23" customHeight="1">
      <x:c r="A175" s="2" t="str">
        <x:v>SEN</x:v>
      </x:c>
      <x:c r="B175" s="2" t="str">
        <x:v>Senegal (Republic of)</x:v>
      </x:c>
      <x:c r="C175" s="2" t="n">
        <x:v>2020</x:v>
      </x:c>
      <x:c r="D175" s="2" t="str">
        <x:v>TEMPO_PROXY</x:v>
      </x:c>
      <x:c r="E175" s="17" t="n">
        <x:v>305052833.6899998</x:v>
      </x:c>
      <x:c r="F175" s="17" t="n">
        <x:f>IF(AND(M175,ISNUMBER(R175)),IF(D175="TEMPO_PROXY",R175,IF(AND(ISNUMBER(S175),S175&gt;0,ISNUMBER(U175)),U175*R175/S175,"n.a.")),"n.a.")</x:f>
        <x:v>305052833.6899998</x:v>
      </x:c>
      <x:c r="G175" s="17" t="n">
        <x:f>IF(AND(ISNUMBER(E175),ISNUMBER(F175)),E175-F175,"n.a.")</x:f>
        <x:v>0</x:v>
      </x:c>
      <x:c r="H175" s="15" t="n">
        <x:f>IF(AND(ISNUMBER(E175),ISNUMBER(F175),F175&gt;0),(E175-F175)/F175,"n.a.")</x:f>
        <x:v>0</x:v>
      </x:c>
      <x:c r="I175" s="19" t="n">
        <x:f>IF(ISNUMBER(H175),ABS(H175),"n.a.")</x:f>
        <x:v>0</x:v>
      </x:c>
      <x:c r="J175" s="2" t="str">
        <x:v>available</x:v>
      </x:c>
      <x:c r="K175" s="2" t="n">
        <x:v>1</x:v>
      </x:c>
      <x:c r="L175" s="13" t="b">
        <x:v>1</x:v>
      </x:c>
      <x:c r="M175" s="13" t="b">
        <x:v>1</x:v>
      </x:c>
      <x:c r="N175" s="2" t="str">
        <x:v>inherited2020anchor</x:v>
      </x:c>
      <x:c r="O175" s="2" t="str"/>
      <x:c r="P175" s="2" t="str">
        <x:v>assumption-based floor-area proxy</x:v>
      </x:c>
      <x:c r="Q175" s="2" t="str">
        <x:v>m2</x:v>
      </x:c>
      <x:c r="R175" s="17" t="n">
        <x:v>305052833.6899998</x:v>
      </x:c>
      <x:c r="S175" s="17"/>
      <x:c r="T175" s="18"/>
      <x:c r="U175" s="17" t="n">
        <x:v>305052833.6899998</x:v>
      </x:c>
      <x:c r="V175" s="2" t="str">
        <x:v>existing saved physical-floor-area proxy</x:v>
      </x:c>
      <x:c r="W175" s="2" t="str">
        <x:v>legacy_epoch_source_QA_passed; new_common_native_support_not_certified</x:v>
      </x:c>
      <x:c r="X175" s="2" t="str">
        <x:v>https://arxiv.org/abs/2511.12104</x:v>
      </x:c>
    </x:row>
    <x:row r="176" ht="23" customHeight="1">
      <x:c r="A176" s="2" t="str">
        <x:v>SGP</x:v>
      </x:c>
      <x:c r="B176" s="2" t="str">
        <x:v>Singapore (Republic of)</x:v>
      </x:c>
      <x:c r="C176" s="2" t="n">
        <x:v>2020</x:v>
      </x:c>
      <x:c r="D176" s="2" t="str">
        <x:v>TEMPO_PROXY</x:v>
      </x:c>
      <x:c r="E176" s="17" t="n">
        <x:v>194662203.04</x:v>
      </x:c>
      <x:c r="F176" s="17" t="n">
        <x:f>IF(AND(M176,ISNUMBER(R176)),IF(D176="TEMPO_PROXY",R176,IF(AND(ISNUMBER(S176),S176&gt;0,ISNUMBER(U176)),U176*R176/S176,"n.a.")),"n.a.")</x:f>
        <x:v>194662203.04</x:v>
      </x:c>
      <x:c r="G176" s="17" t="n">
        <x:f>IF(AND(ISNUMBER(E176),ISNUMBER(F176)),E176-F176,"n.a.")</x:f>
        <x:v>0</x:v>
      </x:c>
      <x:c r="H176" s="15" t="n">
        <x:f>IF(AND(ISNUMBER(E176),ISNUMBER(F176),F176&gt;0),(E176-F176)/F176,"n.a.")</x:f>
        <x:v>0</x:v>
      </x:c>
      <x:c r="I176" s="19" t="n">
        <x:f>IF(ISNUMBER(H176),ABS(H176),"n.a.")</x:f>
        <x:v>0</x:v>
      </x:c>
      <x:c r="J176" s="2" t="str">
        <x:v>available</x:v>
      </x:c>
      <x:c r="K176" s="2" t="n">
        <x:v>1</x:v>
      </x:c>
      <x:c r="L176" s="13" t="b">
        <x:v>1</x:v>
      </x:c>
      <x:c r="M176" s="13" t="b">
        <x:v>1</x:v>
      </x:c>
      <x:c r="N176" s="2" t="str">
        <x:v>inherited2020anchor</x:v>
      </x:c>
      <x:c r="O176" s="2" t="str"/>
      <x:c r="P176" s="2" t="str">
        <x:v>assumption-based floor-area proxy</x:v>
      </x:c>
      <x:c r="Q176" s="2" t="str">
        <x:v>m2</x:v>
      </x:c>
      <x:c r="R176" s="17" t="n">
        <x:v>194662203.04</x:v>
      </x:c>
      <x:c r="S176" s="17"/>
      <x:c r="T176" s="18"/>
      <x:c r="U176" s="17" t="n">
        <x:v>194662203.04</x:v>
      </x:c>
      <x:c r="V176" s="2" t="str">
        <x:v>existing saved physical-floor-area proxy</x:v>
      </x:c>
      <x:c r="W176" s="2" t="str">
        <x:v>legacy_epoch_source_QA_passed; new_common_native_support_not_certified</x:v>
      </x:c>
      <x:c r="X176" s="2" t="str">
        <x:v>https://arxiv.org/abs/2511.12104</x:v>
      </x:c>
    </x:row>
    <x:row r="177" ht="23" customHeight="1">
      <x:c r="A177" s="2" t="str">
        <x:v>SLB</x:v>
      </x:c>
      <x:c r="B177" s="2" t="str">
        <x:v>Solomon Islands</x:v>
      </x:c>
      <x:c r="C177" s="2" t="n">
        <x:v>2020</x:v>
      </x:c>
      <x:c r="D177" s="2" t="str">
        <x:v>TEMPO_PROXY</x:v>
      </x:c>
      <x:c r="E177" s="17" t="n">
        <x:v>14438629.189999975</x:v>
      </x:c>
      <x:c r="F177" s="17" t="n">
        <x:f>IF(AND(M177,ISNUMBER(R177)),IF(D177="TEMPO_PROXY",R177,IF(AND(ISNUMBER(S177),S177&gt;0,ISNUMBER(U177)),U177*R177/S177,"n.a.")),"n.a.")</x:f>
        <x:v>14438629.189999975</x:v>
      </x:c>
      <x:c r="G177" s="17" t="n">
        <x:f>IF(AND(ISNUMBER(E177),ISNUMBER(F177)),E177-F177,"n.a.")</x:f>
        <x:v>0</x:v>
      </x:c>
      <x:c r="H177" s="15" t="n">
        <x:f>IF(AND(ISNUMBER(E177),ISNUMBER(F177),F177&gt;0),(E177-F177)/F177,"n.a.")</x:f>
        <x:v>0</x:v>
      </x:c>
      <x:c r="I177" s="19" t="n">
        <x:f>IF(ISNUMBER(H177),ABS(H177),"n.a.")</x:f>
        <x:v>0</x:v>
      </x:c>
      <x:c r="J177" s="2" t="str">
        <x:v>available</x:v>
      </x:c>
      <x:c r="K177" s="2" t="n">
        <x:v>1</x:v>
      </x:c>
      <x:c r="L177" s="13" t="b">
        <x:v>1</x:v>
      </x:c>
      <x:c r="M177" s="13" t="b">
        <x:v>1</x:v>
      </x:c>
      <x:c r="N177" s="2" t="str">
        <x:v>inherited2020anchor</x:v>
      </x:c>
      <x:c r="O177" s="2" t="str"/>
      <x:c r="P177" s="2" t="str">
        <x:v>assumption-based floor-area proxy</x:v>
      </x:c>
      <x:c r="Q177" s="2" t="str">
        <x:v>m2</x:v>
      </x:c>
      <x:c r="R177" s="17" t="n">
        <x:v>14438629.189999975</x:v>
      </x:c>
      <x:c r="S177" s="17"/>
      <x:c r="T177" s="18"/>
      <x:c r="U177" s="17" t="n">
        <x:v>14438629.189999975</x:v>
      </x:c>
      <x:c r="V177" s="2" t="str">
        <x:v>existing saved physical-floor-area proxy</x:v>
      </x:c>
      <x:c r="W177" s="2" t="str">
        <x:v>legacy_epoch_source_QA_passed; new_common_native_support_not_certified</x:v>
      </x:c>
      <x:c r="X177" s="2" t="str">
        <x:v>https://arxiv.org/abs/2511.12104</x:v>
      </x:c>
    </x:row>
    <x:row r="178" ht="23" customHeight="1">
      <x:c r="A178" s="2" t="str">
        <x:v>SLE</x:v>
      </x:c>
      <x:c r="B178" s="2" t="str">
        <x:v>Sierra Leone (Republic of)</x:v>
      </x:c>
      <x:c r="C178" s="2" t="n">
        <x:v>2020</x:v>
      </x:c>
      <x:c r="D178" s="2" t="str">
        <x:v>TEMPO_PROXY</x:v>
      </x:c>
      <x:c r="E178" s="17" t="n">
        <x:v>115259924.94999996</x:v>
      </x:c>
      <x:c r="F178" s="17" t="n">
        <x:f>IF(AND(M178,ISNUMBER(R178)),IF(D178="TEMPO_PROXY",R178,IF(AND(ISNUMBER(S178),S178&gt;0,ISNUMBER(U178)),U178*R178/S178,"n.a.")),"n.a.")</x:f>
        <x:v>115259924.94999996</x:v>
      </x:c>
      <x:c r="G178" s="17" t="n">
        <x:f>IF(AND(ISNUMBER(E178),ISNUMBER(F178)),E178-F178,"n.a.")</x:f>
        <x:v>0</x:v>
      </x:c>
      <x:c r="H178" s="15" t="n">
        <x:f>IF(AND(ISNUMBER(E178),ISNUMBER(F178),F178&gt;0),(E178-F178)/F178,"n.a.")</x:f>
        <x:v>0</x:v>
      </x:c>
      <x:c r="I178" s="19" t="n">
        <x:f>IF(ISNUMBER(H178),ABS(H178),"n.a.")</x:f>
        <x:v>0</x:v>
      </x:c>
      <x:c r="J178" s="2" t="str">
        <x:v>available</x:v>
      </x:c>
      <x:c r="K178" s="2" t="n">
        <x:v>1</x:v>
      </x:c>
      <x:c r="L178" s="13" t="b">
        <x:v>1</x:v>
      </x:c>
      <x:c r="M178" s="13" t="b">
        <x:v>1</x:v>
      </x:c>
      <x:c r="N178" s="2" t="str">
        <x:v>inherited2020anchor</x:v>
      </x:c>
      <x:c r="O178" s="2" t="str"/>
      <x:c r="P178" s="2" t="str">
        <x:v>assumption-based floor-area proxy</x:v>
      </x:c>
      <x:c r="Q178" s="2" t="str">
        <x:v>m2</x:v>
      </x:c>
      <x:c r="R178" s="17" t="n">
        <x:v>115259924.94999996</x:v>
      </x:c>
      <x:c r="S178" s="17"/>
      <x:c r="T178" s="18"/>
      <x:c r="U178" s="17" t="n">
        <x:v>115259924.94999996</x:v>
      </x:c>
      <x:c r="V178" s="2" t="str">
        <x:v>existing saved physical-floor-area proxy</x:v>
      </x:c>
      <x:c r="W178" s="2" t="str">
        <x:v>legacy_epoch_source_QA_passed; new_common_native_support_not_certified</x:v>
      </x:c>
      <x:c r="X178" s="2" t="str">
        <x:v>https://arxiv.org/abs/2511.12104</x:v>
      </x:c>
    </x:row>
    <x:row r="179" ht="23" customHeight="1">
      <x:c r="A179" s="2" t="str">
        <x:v>SLV</x:v>
      </x:c>
      <x:c r="B179" s="2" t="str">
        <x:v>El Salvador (Republic of)</x:v>
      </x:c>
      <x:c r="C179" s="2" t="n">
        <x:v>2020</x:v>
      </x:c>
      <x:c r="D179" s="2" t="str">
        <x:v>TEMPO_PROXY</x:v>
      </x:c>
      <x:c r="E179" s="17" t="n">
        <x:v>245414047.01000017</x:v>
      </x:c>
      <x:c r="F179" s="17" t="n">
        <x:f>IF(AND(M179,ISNUMBER(R179)),IF(D179="TEMPO_PROXY",R179,IF(AND(ISNUMBER(S179),S179&gt;0,ISNUMBER(U179)),U179*R179/S179,"n.a.")),"n.a.")</x:f>
        <x:v>245414047.01000017</x:v>
      </x:c>
      <x:c r="G179" s="17" t="n">
        <x:f>IF(AND(ISNUMBER(E179),ISNUMBER(F179)),E179-F179,"n.a.")</x:f>
        <x:v>0</x:v>
      </x:c>
      <x:c r="H179" s="15" t="n">
        <x:f>IF(AND(ISNUMBER(E179),ISNUMBER(F179),F179&gt;0),(E179-F179)/F179,"n.a.")</x:f>
        <x:v>0</x:v>
      </x:c>
      <x:c r="I179" s="19" t="n">
        <x:f>IF(ISNUMBER(H179),ABS(H179),"n.a.")</x:f>
        <x:v>0</x:v>
      </x:c>
      <x:c r="J179" s="2" t="str">
        <x:v>available</x:v>
      </x:c>
      <x:c r="K179" s="2" t="n">
        <x:v>1</x:v>
      </x:c>
      <x:c r="L179" s="13" t="b">
        <x:v>1</x:v>
      </x:c>
      <x:c r="M179" s="13" t="b">
        <x:v>1</x:v>
      </x:c>
      <x:c r="N179" s="2" t="str">
        <x:v>inherited2020anchor</x:v>
      </x:c>
      <x:c r="O179" s="2" t="str"/>
      <x:c r="P179" s="2" t="str">
        <x:v>assumption-based floor-area proxy</x:v>
      </x:c>
      <x:c r="Q179" s="2" t="str">
        <x:v>m2</x:v>
      </x:c>
      <x:c r="R179" s="17" t="n">
        <x:v>245414047.01000017</x:v>
      </x:c>
      <x:c r="S179" s="17"/>
      <x:c r="T179" s="18"/>
      <x:c r="U179" s="17" t="n">
        <x:v>245414047.01000017</x:v>
      </x:c>
      <x:c r="V179" s="2" t="str">
        <x:v>existing saved physical-floor-area proxy</x:v>
      </x:c>
      <x:c r="W179" s="2" t="str">
        <x:v>legacy_epoch_source_QA_passed; new_common_native_support_not_certified</x:v>
      </x:c>
      <x:c r="X179" s="2" t="str">
        <x:v>https://arxiv.org/abs/2511.12104</x:v>
      </x:c>
    </x:row>
    <x:row r="180" ht="23" customHeight="1">
      <x:c r="A180" s="2" t="str">
        <x:v>SMR</x:v>
      </x:c>
      <x:c r="B180" s="2" t="str">
        <x:v>San Marino (Republic of)</x:v>
      </x:c>
      <x:c r="C180" s="2" t="n">
        <x:v>2020</x:v>
      </x:c>
      <x:c r="D180" s="2" t="str">
        <x:v>TEMPO_PROXY</x:v>
      </x:c>
      <x:c r="E180" s="17" t="n">
        <x:v>3030681.630000002</x:v>
      </x:c>
      <x:c r="F180" s="17" t="n">
        <x:f>IF(AND(M180,ISNUMBER(R180)),IF(D180="TEMPO_PROXY",R180,IF(AND(ISNUMBER(S180),S180&gt;0,ISNUMBER(U180)),U180*R180/S180,"n.a.")),"n.a.")</x:f>
        <x:v>3030681.630000002</x:v>
      </x:c>
      <x:c r="G180" s="17" t="n">
        <x:f>IF(AND(ISNUMBER(E180),ISNUMBER(F180)),E180-F180,"n.a.")</x:f>
        <x:v>0</x:v>
      </x:c>
      <x:c r="H180" s="15" t="n">
        <x:f>IF(AND(ISNUMBER(E180),ISNUMBER(F180),F180&gt;0),(E180-F180)/F180,"n.a.")</x:f>
        <x:v>0</x:v>
      </x:c>
      <x:c r="I180" s="19" t="n">
        <x:f>IF(ISNUMBER(H180),ABS(H180),"n.a.")</x:f>
        <x:v>0</x:v>
      </x:c>
      <x:c r="J180" s="2" t="str">
        <x:v>available</x:v>
      </x:c>
      <x:c r="K180" s="2" t="n">
        <x:v>1</x:v>
      </x:c>
      <x:c r="L180" s="13" t="b">
        <x:v>1</x:v>
      </x:c>
      <x:c r="M180" s="13" t="b">
        <x:v>1</x:v>
      </x:c>
      <x:c r="N180" s="2" t="str">
        <x:v>inherited2020anchor</x:v>
      </x:c>
      <x:c r="O180" s="2" t="str"/>
      <x:c r="P180" s="2" t="str">
        <x:v>assumption-based floor-area proxy</x:v>
      </x:c>
      <x:c r="Q180" s="2" t="str">
        <x:v>m2</x:v>
      </x:c>
      <x:c r="R180" s="17" t="n">
        <x:v>3030681.630000002</x:v>
      </x:c>
      <x:c r="S180" s="17"/>
      <x:c r="T180" s="18"/>
      <x:c r="U180" s="17" t="n">
        <x:v>3030681.630000002</x:v>
      </x:c>
      <x:c r="V180" s="2" t="str">
        <x:v>existing saved physical-floor-area proxy</x:v>
      </x:c>
      <x:c r="W180" s="2" t="str">
        <x:v>legacy_epoch_source_QA_passed; new_common_native_support_not_certified</x:v>
      </x:c>
      <x:c r="X180" s="2" t="str">
        <x:v>https://arxiv.org/abs/2511.12104</x:v>
      </x:c>
    </x:row>
    <x:row r="181" ht="23" customHeight="1">
      <x:c r="A181" s="2" t="str">
        <x:v>SOM</x:v>
      </x:c>
      <x:c r="B181" s="2" t="str">
        <x:v>Somalia (Federal Republic of)</x:v>
      </x:c>
      <x:c r="C181" s="2" t="n">
        <x:v>2020</x:v>
      </x:c>
      <x:c r="D181" s="2" t="str">
        <x:v>TEMPO_PROXY</x:v>
      </x:c>
      <x:c r="E181" s="17" t="n">
        <x:v>134848326.33000013</x:v>
      </x:c>
      <x:c r="F181" s="17" t="n">
        <x:f>IF(AND(M181,ISNUMBER(R181)),IF(D181="TEMPO_PROXY",R181,IF(AND(ISNUMBER(S181),S181&gt;0,ISNUMBER(U181)),U181*R181/S181,"n.a.")),"n.a.")</x:f>
        <x:v>134848326.33000013</x:v>
      </x:c>
      <x:c r="G181" s="17" t="n">
        <x:f>IF(AND(ISNUMBER(E181),ISNUMBER(F181)),E181-F181,"n.a.")</x:f>
        <x:v>0</x:v>
      </x:c>
      <x:c r="H181" s="15" t="n">
        <x:f>IF(AND(ISNUMBER(E181),ISNUMBER(F181),F181&gt;0),(E181-F181)/F181,"n.a.")</x:f>
        <x:v>0</x:v>
      </x:c>
      <x:c r="I181" s="19" t="n">
        <x:f>IF(ISNUMBER(H181),ABS(H181),"n.a.")</x:f>
        <x:v>0</x:v>
      </x:c>
      <x:c r="J181" s="2" t="str">
        <x:v>available</x:v>
      </x:c>
      <x:c r="K181" s="2" t="n">
        <x:v>1</x:v>
      </x:c>
      <x:c r="L181" s="13" t="b">
        <x:v>1</x:v>
      </x:c>
      <x:c r="M181" s="13" t="b">
        <x:v>1</x:v>
      </x:c>
      <x:c r="N181" s="2" t="str">
        <x:v>inherited2020anchor</x:v>
      </x:c>
      <x:c r="O181" s="2" t="str"/>
      <x:c r="P181" s="2" t="str">
        <x:v>assumption-based floor-area proxy</x:v>
      </x:c>
      <x:c r="Q181" s="2" t="str">
        <x:v>m2</x:v>
      </x:c>
      <x:c r="R181" s="17" t="n">
        <x:v>134848326.33000013</x:v>
      </x:c>
      <x:c r="S181" s="17"/>
      <x:c r="T181" s="18"/>
      <x:c r="U181" s="17" t="n">
        <x:v>134848326.33000013</x:v>
      </x:c>
      <x:c r="V181" s="2" t="str">
        <x:v>existing saved physical-floor-area proxy</x:v>
      </x:c>
      <x:c r="W181" s="2" t="str">
        <x:v>legacy_epoch_source_QA_passed; new_common_native_support_not_certified</x:v>
      </x:c>
      <x:c r="X181" s="2" t="str">
        <x:v>https://arxiv.org/abs/2511.12104</x:v>
      </x:c>
    </x:row>
    <x:row r="182" ht="23" customHeight="1">
      <x:c r="A182" s="2" t="str">
        <x:v>SRB</x:v>
      </x:c>
      <x:c r="B182" s="2" t="str">
        <x:v>Serbia (Republic of)</x:v>
      </x:c>
      <x:c r="C182" s="2" t="n">
        <x:v>2020</x:v>
      </x:c>
      <x:c r="D182" s="2" t="str">
        <x:v>TEMPO_PROXY</x:v>
      </x:c>
      <x:c r="E182" s="17" t="n">
        <x:v>584520286.2100008</x:v>
      </x:c>
      <x:c r="F182" s="17" t="n">
        <x:f>IF(AND(M182,ISNUMBER(R182)),IF(D182="TEMPO_PROXY",R182,IF(AND(ISNUMBER(S182),S182&gt;0,ISNUMBER(U182)),U182*R182/S182,"n.a.")),"n.a.")</x:f>
        <x:v>584520286.2100008</x:v>
      </x:c>
      <x:c r="G182" s="17" t="n">
        <x:f>IF(AND(ISNUMBER(E182),ISNUMBER(F182)),E182-F182,"n.a.")</x:f>
        <x:v>0</x:v>
      </x:c>
      <x:c r="H182" s="15" t="n">
        <x:f>IF(AND(ISNUMBER(E182),ISNUMBER(F182),F182&gt;0),(E182-F182)/F182,"n.a.")</x:f>
        <x:v>0</x:v>
      </x:c>
      <x:c r="I182" s="19" t="n">
        <x:f>IF(ISNUMBER(H182),ABS(H182),"n.a.")</x:f>
        <x:v>0</x:v>
      </x:c>
      <x:c r="J182" s="2" t="str">
        <x:v>available</x:v>
      </x:c>
      <x:c r="K182" s="2" t="n">
        <x:v>1</x:v>
      </x:c>
      <x:c r="L182" s="13" t="b">
        <x:v>1</x:v>
      </x:c>
      <x:c r="M182" s="13" t="b">
        <x:v>1</x:v>
      </x:c>
      <x:c r="N182" s="2" t="str">
        <x:v>inherited2020anchor</x:v>
      </x:c>
      <x:c r="O182" s="2" t="str"/>
      <x:c r="P182" s="2" t="str">
        <x:v>assumption-based floor-area proxy</x:v>
      </x:c>
      <x:c r="Q182" s="2" t="str">
        <x:v>m2</x:v>
      </x:c>
      <x:c r="R182" s="17" t="n">
        <x:v>584520286.2100008</x:v>
      </x:c>
      <x:c r="S182" s="17"/>
      <x:c r="T182" s="18"/>
      <x:c r="U182" s="17" t="n">
        <x:v>584520286.2100008</x:v>
      </x:c>
      <x:c r="V182" s="2" t="str">
        <x:v>existing saved physical-floor-area proxy</x:v>
      </x:c>
      <x:c r="W182" s="2" t="str">
        <x:v>legacy_epoch_source_QA_passed; new_common_native_support_not_certified</x:v>
      </x:c>
      <x:c r="X182" s="2" t="str">
        <x:v>https://arxiv.org/abs/2511.12104</x:v>
      </x:c>
    </x:row>
    <x:row r="183" ht="23" customHeight="1">
      <x:c r="A183" s="2" t="str">
        <x:v>SSD</x:v>
      </x:c>
      <x:c r="B183" s="2" t="str">
        <x:v>South Sudan (Republic of)</x:v>
      </x:c>
      <x:c r="C183" s="2" t="n">
        <x:v>2020</x:v>
      </x:c>
      <x:c r="D183" s="2" t="str">
        <x:v>TEMPO_PROXY</x:v>
      </x:c>
      <x:c r="E183" s="17" t="n">
        <x:v>82483216.59000005</x:v>
      </x:c>
      <x:c r="F183" s="17" t="n">
        <x:f>IF(AND(M183,ISNUMBER(R183)),IF(D183="TEMPO_PROXY",R183,IF(AND(ISNUMBER(S183),S183&gt;0,ISNUMBER(U183)),U183*R183/S183,"n.a.")),"n.a.")</x:f>
        <x:v>82483216.59000005</x:v>
      </x:c>
      <x:c r="G183" s="17" t="n">
        <x:f>IF(AND(ISNUMBER(E183),ISNUMBER(F183)),E183-F183,"n.a.")</x:f>
        <x:v>0</x:v>
      </x:c>
      <x:c r="H183" s="15" t="n">
        <x:f>IF(AND(ISNUMBER(E183),ISNUMBER(F183),F183&gt;0),(E183-F183)/F183,"n.a.")</x:f>
        <x:v>0</x:v>
      </x:c>
      <x:c r="I183" s="19" t="n">
        <x:f>IF(ISNUMBER(H183),ABS(H183),"n.a.")</x:f>
        <x:v>0</x:v>
      </x:c>
      <x:c r="J183" s="2" t="str">
        <x:v>available</x:v>
      </x:c>
      <x:c r="K183" s="2" t="n">
        <x:v>1</x:v>
      </x:c>
      <x:c r="L183" s="13" t="b">
        <x:v>1</x:v>
      </x:c>
      <x:c r="M183" s="13" t="b">
        <x:v>1</x:v>
      </x:c>
      <x:c r="N183" s="2" t="str">
        <x:v>inherited2020anchor</x:v>
      </x:c>
      <x:c r="O183" s="2" t="str"/>
      <x:c r="P183" s="2" t="str">
        <x:v>assumption-based floor-area proxy</x:v>
      </x:c>
      <x:c r="Q183" s="2" t="str">
        <x:v>m2</x:v>
      </x:c>
      <x:c r="R183" s="17" t="n">
        <x:v>82483216.59000005</x:v>
      </x:c>
      <x:c r="S183" s="17"/>
      <x:c r="T183" s="18"/>
      <x:c r="U183" s="17" t="n">
        <x:v>82483216.59000005</x:v>
      </x:c>
      <x:c r="V183" s="2" t="str">
        <x:v>existing saved physical-floor-area proxy</x:v>
      </x:c>
      <x:c r="W183" s="2" t="str">
        <x:v>legacy_epoch_source_QA_passed; new_common_native_support_not_certified</x:v>
      </x:c>
      <x:c r="X183" s="2" t="str">
        <x:v>https://arxiv.org/abs/2511.12104</x:v>
      </x:c>
    </x:row>
    <x:row r="184" ht="23" customHeight="1">
      <x:c r="A184" s="2" t="str">
        <x:v>STP</x:v>
      </x:c>
      <x:c r="B184" s="2" t="str">
        <x:v>Sao Tome and Principe (Democratic Republic of)</x:v>
      </x:c>
      <x:c r="C184" s="2" t="n">
        <x:v>2020</x:v>
      </x:c>
      <x:c r="D184" s="2" t="str">
        <x:v>TEMPO_PROXY</x:v>
      </x:c>
      <x:c r="E184" s="17" t="n">
        <x:v>6153544.550000003</x:v>
      </x:c>
      <x:c r="F184" s="17" t="n">
        <x:f>IF(AND(M184,ISNUMBER(R184)),IF(D184="TEMPO_PROXY",R184,IF(AND(ISNUMBER(S184),S184&gt;0,ISNUMBER(U184)),U184*R184/S184,"n.a.")),"n.a.")</x:f>
        <x:v>6153544.550000003</x:v>
      </x:c>
      <x:c r="G184" s="17" t="n">
        <x:f>IF(AND(ISNUMBER(E184),ISNUMBER(F184)),E184-F184,"n.a.")</x:f>
        <x:v>0</x:v>
      </x:c>
      <x:c r="H184" s="15" t="n">
        <x:f>IF(AND(ISNUMBER(E184),ISNUMBER(F184),F184&gt;0),(E184-F184)/F184,"n.a.")</x:f>
        <x:v>0</x:v>
      </x:c>
      <x:c r="I184" s="19" t="n">
        <x:f>IF(ISNUMBER(H184),ABS(H184),"n.a.")</x:f>
        <x:v>0</x:v>
      </x:c>
      <x:c r="J184" s="2" t="str">
        <x:v>available</x:v>
      </x:c>
      <x:c r="K184" s="2" t="n">
        <x:v>1</x:v>
      </x:c>
      <x:c r="L184" s="13" t="b">
        <x:v>1</x:v>
      </x:c>
      <x:c r="M184" s="13" t="b">
        <x:v>1</x:v>
      </x:c>
      <x:c r="N184" s="2" t="str">
        <x:v>inherited2020anchor</x:v>
      </x:c>
      <x:c r="O184" s="2" t="str"/>
      <x:c r="P184" s="2" t="str">
        <x:v>assumption-based floor-area proxy</x:v>
      </x:c>
      <x:c r="Q184" s="2" t="str">
        <x:v>m2</x:v>
      </x:c>
      <x:c r="R184" s="17" t="n">
        <x:v>6153544.550000003</x:v>
      </x:c>
      <x:c r="S184" s="17"/>
      <x:c r="T184" s="18"/>
      <x:c r="U184" s="17" t="n">
        <x:v>6153544.550000003</x:v>
      </x:c>
      <x:c r="V184" s="2" t="str">
        <x:v>existing saved physical-floor-area proxy</x:v>
      </x:c>
      <x:c r="W184" s="2" t="str">
        <x:v>legacy_epoch_source_QA_passed; new_common_native_support_not_certified</x:v>
      </x:c>
      <x:c r="X184" s="2" t="str">
        <x:v>https://arxiv.org/abs/2511.12104</x:v>
      </x:c>
    </x:row>
    <x:row r="185" ht="23" customHeight="1">
      <x:c r="A185" s="2" t="str">
        <x:v>SUR</x:v>
      </x:c>
      <x:c r="B185" s="2" t="str">
        <x:v>Suriname (Republic of)</x:v>
      </x:c>
      <x:c r="C185" s="2" t="n">
        <x:v>2020</x:v>
      </x:c>
      <x:c r="D185" s="2" t="str">
        <x:v>TEMPO_PROXY</x:v>
      </x:c>
      <x:c r="E185" s="17" t="n">
        <x:v>50598825.22000002</x:v>
      </x:c>
      <x:c r="F185" s="17" t="n">
        <x:f>IF(AND(M185,ISNUMBER(R185)),IF(D185="TEMPO_PROXY",R185,IF(AND(ISNUMBER(S185),S185&gt;0,ISNUMBER(U185)),U185*R185/S185,"n.a.")),"n.a.")</x:f>
        <x:v>50598825.22000002</x:v>
      </x:c>
      <x:c r="G185" s="17" t="n">
        <x:f>IF(AND(ISNUMBER(E185),ISNUMBER(F185)),E185-F185,"n.a.")</x:f>
        <x:v>0</x:v>
      </x:c>
      <x:c r="H185" s="15" t="n">
        <x:f>IF(AND(ISNUMBER(E185),ISNUMBER(F185),F185&gt;0),(E185-F185)/F185,"n.a.")</x:f>
        <x:v>0</x:v>
      </x:c>
      <x:c r="I185" s="19" t="n">
        <x:f>IF(ISNUMBER(H185),ABS(H185),"n.a.")</x:f>
        <x:v>0</x:v>
      </x:c>
      <x:c r="J185" s="2" t="str">
        <x:v>available</x:v>
      </x:c>
      <x:c r="K185" s="2" t="n">
        <x:v>1</x:v>
      </x:c>
      <x:c r="L185" s="13" t="b">
        <x:v>1</x:v>
      </x:c>
      <x:c r="M185" s="13" t="b">
        <x:v>1</x:v>
      </x:c>
      <x:c r="N185" s="2" t="str">
        <x:v>inherited2020anchor</x:v>
      </x:c>
      <x:c r="O185" s="2" t="str"/>
      <x:c r="P185" s="2" t="str">
        <x:v>assumption-based floor-area proxy</x:v>
      </x:c>
      <x:c r="Q185" s="2" t="str">
        <x:v>m2</x:v>
      </x:c>
      <x:c r="R185" s="17" t="n">
        <x:v>50598825.22000002</x:v>
      </x:c>
      <x:c r="S185" s="17"/>
      <x:c r="T185" s="18"/>
      <x:c r="U185" s="17" t="n">
        <x:v>50598825.22000002</x:v>
      </x:c>
      <x:c r="V185" s="2" t="str">
        <x:v>existing saved physical-floor-area proxy</x:v>
      </x:c>
      <x:c r="W185" s="2" t="str">
        <x:v>legacy_epoch_source_QA_passed; new_common_native_support_not_certified</x:v>
      </x:c>
      <x:c r="X185" s="2" t="str">
        <x:v>https://arxiv.org/abs/2511.12104</x:v>
      </x:c>
    </x:row>
    <x:row r="186" ht="23" customHeight="1">
      <x:c r="A186" s="2" t="str">
        <x:v>SVK</x:v>
      </x:c>
      <x:c r="B186" s="2" t="str">
        <x:v>Slovakia (Slovak Republic)</x:v>
      </x:c>
      <x:c r="C186" s="2" t="n">
        <x:v>2020</x:v>
      </x:c>
      <x:c r="D186" s="2" t="str">
        <x:v>TEMPO_PROXY</x:v>
      </x:c>
      <x:c r="E186" s="17" t="n">
        <x:v>391189188.0500002</x:v>
      </x:c>
      <x:c r="F186" s="17" t="n">
        <x:f>IF(AND(M186,ISNUMBER(R186)),IF(D186="TEMPO_PROXY",R186,IF(AND(ISNUMBER(S186),S186&gt;0,ISNUMBER(U186)),U186*R186/S186,"n.a.")),"n.a.")</x:f>
        <x:v>391189188.0500002</x:v>
      </x:c>
      <x:c r="G186" s="17" t="n">
        <x:f>IF(AND(ISNUMBER(E186),ISNUMBER(F186)),E186-F186,"n.a.")</x:f>
        <x:v>0</x:v>
      </x:c>
      <x:c r="H186" s="15" t="n">
        <x:f>IF(AND(ISNUMBER(E186),ISNUMBER(F186),F186&gt;0),(E186-F186)/F186,"n.a.")</x:f>
        <x:v>0</x:v>
      </x:c>
      <x:c r="I186" s="19" t="n">
        <x:f>IF(ISNUMBER(H186),ABS(H186),"n.a.")</x:f>
        <x:v>0</x:v>
      </x:c>
      <x:c r="J186" s="2" t="str">
        <x:v>available</x:v>
      </x:c>
      <x:c r="K186" s="2" t="n">
        <x:v>1</x:v>
      </x:c>
      <x:c r="L186" s="13" t="b">
        <x:v>1</x:v>
      </x:c>
      <x:c r="M186" s="13" t="b">
        <x:v>1</x:v>
      </x:c>
      <x:c r="N186" s="2" t="str">
        <x:v>inherited2020anchor</x:v>
      </x:c>
      <x:c r="O186" s="2" t="str"/>
      <x:c r="P186" s="2" t="str">
        <x:v>assumption-based floor-area proxy</x:v>
      </x:c>
      <x:c r="Q186" s="2" t="str">
        <x:v>m2</x:v>
      </x:c>
      <x:c r="R186" s="17" t="n">
        <x:v>391189188.0500002</x:v>
      </x:c>
      <x:c r="S186" s="17"/>
      <x:c r="T186" s="18"/>
      <x:c r="U186" s="17" t="n">
        <x:v>391189188.0500002</x:v>
      </x:c>
      <x:c r="V186" s="2" t="str">
        <x:v>existing saved physical-floor-area proxy</x:v>
      </x:c>
      <x:c r="W186" s="2" t="str">
        <x:v>legacy_epoch_source_QA_passed; new_common_native_support_not_certified</x:v>
      </x:c>
      <x:c r="X186" s="2" t="str">
        <x:v>https://arxiv.org/abs/2511.12104</x:v>
      </x:c>
    </x:row>
    <x:row r="187" ht="23" customHeight="1">
      <x:c r="A187" s="2" t="str">
        <x:v>SVN</x:v>
      </x:c>
      <x:c r="B187" s="2" t="str">
        <x:v>Slovenia (Republic of)</x:v>
      </x:c>
      <x:c r="C187" s="2" t="n">
        <x:v>2020</x:v>
      </x:c>
      <x:c r="D187" s="2" t="str">
        <x:v>TEMPO_PROXY</x:v>
      </x:c>
      <x:c r="E187" s="17" t="n">
        <x:v>188783306.59000015</x:v>
      </x:c>
      <x:c r="F187" s="17" t="n">
        <x:f>IF(AND(M187,ISNUMBER(R187)),IF(D187="TEMPO_PROXY",R187,IF(AND(ISNUMBER(S187),S187&gt;0,ISNUMBER(U187)),U187*R187/S187,"n.a.")),"n.a.")</x:f>
        <x:v>188783306.59000015</x:v>
      </x:c>
      <x:c r="G187" s="17" t="n">
        <x:f>IF(AND(ISNUMBER(E187),ISNUMBER(F187)),E187-F187,"n.a.")</x:f>
        <x:v>0</x:v>
      </x:c>
      <x:c r="H187" s="15" t="n">
        <x:f>IF(AND(ISNUMBER(E187),ISNUMBER(F187),F187&gt;0),(E187-F187)/F187,"n.a.")</x:f>
        <x:v>0</x:v>
      </x:c>
      <x:c r="I187" s="19" t="n">
        <x:f>IF(ISNUMBER(H187),ABS(H187),"n.a.")</x:f>
        <x:v>0</x:v>
      </x:c>
      <x:c r="J187" s="2" t="str">
        <x:v>available</x:v>
      </x:c>
      <x:c r="K187" s="2" t="n">
        <x:v>1</x:v>
      </x:c>
      <x:c r="L187" s="13" t="b">
        <x:v>1</x:v>
      </x:c>
      <x:c r="M187" s="13" t="b">
        <x:v>1</x:v>
      </x:c>
      <x:c r="N187" s="2" t="str">
        <x:v>inherited2020anchor</x:v>
      </x:c>
      <x:c r="O187" s="2" t="str"/>
      <x:c r="P187" s="2" t="str">
        <x:v>assumption-based floor-area proxy</x:v>
      </x:c>
      <x:c r="Q187" s="2" t="str">
        <x:v>m2</x:v>
      </x:c>
      <x:c r="R187" s="17" t="n">
        <x:v>188783306.59000015</x:v>
      </x:c>
      <x:c r="S187" s="17"/>
      <x:c r="T187" s="18"/>
      <x:c r="U187" s="17" t="n">
        <x:v>188783306.59000015</x:v>
      </x:c>
      <x:c r="V187" s="2" t="str">
        <x:v>existing saved physical-floor-area proxy</x:v>
      </x:c>
      <x:c r="W187" s="2" t="str">
        <x:v>legacy_epoch_source_QA_passed; new_common_native_support_not_certified</x:v>
      </x:c>
      <x:c r="X187" s="2" t="str">
        <x:v>https://arxiv.org/abs/2511.12104</x:v>
      </x:c>
    </x:row>
    <x:row r="188" ht="23" customHeight="1">
      <x:c r="A188" s="2" t="str">
        <x:v>SWE</x:v>
      </x:c>
      <x:c r="B188" s="2" t="str">
        <x:v>Sweden (Kingdom of)</x:v>
      </x:c>
      <x:c r="C188" s="2" t="n">
        <x:v>2020</x:v>
      </x:c>
      <x:c r="D188" s="2" t="str">
        <x:v>TEMPO_PROXY</x:v>
      </x:c>
      <x:c r="E188" s="17" t="n">
        <x:v>860750073.0500002</x:v>
      </x:c>
      <x:c r="F188" s="17" t="n">
        <x:f>IF(AND(M188,ISNUMBER(R188)),IF(D188="TEMPO_PROXY",R188,IF(AND(ISNUMBER(S188),S188&gt;0,ISNUMBER(U188)),U188*R188/S188,"n.a.")),"n.a.")</x:f>
        <x:v>860750073.0500002</x:v>
      </x:c>
      <x:c r="G188" s="17" t="n">
        <x:f>IF(AND(ISNUMBER(E188),ISNUMBER(F188)),E188-F188,"n.a.")</x:f>
        <x:v>0</x:v>
      </x:c>
      <x:c r="H188" s="15" t="n">
        <x:f>IF(AND(ISNUMBER(E188),ISNUMBER(F188),F188&gt;0),(E188-F188)/F188,"n.a.")</x:f>
        <x:v>0</x:v>
      </x:c>
      <x:c r="I188" s="19" t="n">
        <x:f>IF(ISNUMBER(H188),ABS(H188),"n.a.")</x:f>
        <x:v>0</x:v>
      </x:c>
      <x:c r="J188" s="2" t="str">
        <x:v>available</x:v>
      </x:c>
      <x:c r="K188" s="2" t="n">
        <x:v>1</x:v>
      </x:c>
      <x:c r="L188" s="13" t="b">
        <x:v>1</x:v>
      </x:c>
      <x:c r="M188" s="13" t="b">
        <x:v>1</x:v>
      </x:c>
      <x:c r="N188" s="2" t="str">
        <x:v>inherited2020anchor</x:v>
      </x:c>
      <x:c r="O188" s="2" t="str"/>
      <x:c r="P188" s="2" t="str">
        <x:v>assumption-based floor-area proxy</x:v>
      </x:c>
      <x:c r="Q188" s="2" t="str">
        <x:v>m2</x:v>
      </x:c>
      <x:c r="R188" s="17" t="n">
        <x:v>860750073.0500002</x:v>
      </x:c>
      <x:c r="S188" s="17"/>
      <x:c r="T188" s="18"/>
      <x:c r="U188" s="17" t="n">
        <x:v>860750073.0500002</x:v>
      </x:c>
      <x:c r="V188" s="2" t="str">
        <x:v>existing saved physical-floor-area proxy</x:v>
      </x:c>
      <x:c r="W188" s="2" t="str">
        <x:v>legacy_epoch_source_QA_passed; new_common_native_support_not_certified</x:v>
      </x:c>
      <x:c r="X188" s="2" t="str">
        <x:v>https://arxiv.org/abs/2511.12104</x:v>
      </x:c>
    </x:row>
    <x:row r="189" ht="23" customHeight="1">
      <x:c r="A189" s="2" t="str">
        <x:v>SWZ</x:v>
      </x:c>
      <x:c r="B189" s="2" t="str">
        <x:v>Eswatini (Kingdom of)</x:v>
      </x:c>
      <x:c r="C189" s="2" t="n">
        <x:v>2020</x:v>
      </x:c>
      <x:c r="D189" s="2" t="str">
        <x:v>TEMPO_PROXY</x:v>
      </x:c>
      <x:c r="E189" s="17" t="n">
        <x:v>51228621.629999995</x:v>
      </x:c>
      <x:c r="F189" s="17" t="n">
        <x:f>IF(AND(M189,ISNUMBER(R189)),IF(D189="TEMPO_PROXY",R189,IF(AND(ISNUMBER(S189),S189&gt;0,ISNUMBER(U189)),U189*R189/S189,"n.a.")),"n.a.")</x:f>
        <x:v>51228621.629999995</x:v>
      </x:c>
      <x:c r="G189" s="17" t="n">
        <x:f>IF(AND(ISNUMBER(E189),ISNUMBER(F189)),E189-F189,"n.a.")</x:f>
        <x:v>0</x:v>
      </x:c>
      <x:c r="H189" s="15" t="n">
        <x:f>IF(AND(ISNUMBER(E189),ISNUMBER(F189),F189&gt;0),(E189-F189)/F189,"n.a.")</x:f>
        <x:v>0</x:v>
      </x:c>
      <x:c r="I189" s="19" t="n">
        <x:f>IF(ISNUMBER(H189),ABS(H189),"n.a.")</x:f>
        <x:v>0</x:v>
      </x:c>
      <x:c r="J189" s="2" t="str">
        <x:v>available</x:v>
      </x:c>
      <x:c r="K189" s="2" t="n">
        <x:v>1</x:v>
      </x:c>
      <x:c r="L189" s="13" t="b">
        <x:v>1</x:v>
      </x:c>
      <x:c r="M189" s="13" t="b">
        <x:v>1</x:v>
      </x:c>
      <x:c r="N189" s="2" t="str">
        <x:v>inherited2020anchor</x:v>
      </x:c>
      <x:c r="O189" s="2" t="str"/>
      <x:c r="P189" s="2" t="str">
        <x:v>assumption-based floor-area proxy</x:v>
      </x:c>
      <x:c r="Q189" s="2" t="str">
        <x:v>m2</x:v>
      </x:c>
      <x:c r="R189" s="17" t="n">
        <x:v>51228621.629999995</x:v>
      </x:c>
      <x:c r="S189" s="17"/>
      <x:c r="T189" s="18"/>
      <x:c r="U189" s="17" t="n">
        <x:v>51228621.629999995</x:v>
      </x:c>
      <x:c r="V189" s="2" t="str">
        <x:v>existing saved physical-floor-area proxy</x:v>
      </x:c>
      <x:c r="W189" s="2" t="str">
        <x:v>legacy_epoch_source_QA_passed; new_common_native_support_not_certified</x:v>
      </x:c>
      <x:c r="X189" s="2" t="str">
        <x:v>https://arxiv.org/abs/2511.12104</x:v>
      </x:c>
    </x:row>
    <x:row r="190" ht="23" customHeight="1">
      <x:c r="A190" s="2" t="str">
        <x:v>SYC</x:v>
      </x:c>
      <x:c r="B190" s="2" t="str">
        <x:v>Seychelles (Republic of)</x:v>
      </x:c>
      <x:c r="C190" s="2" t="n">
        <x:v>2020</x:v>
      </x:c>
      <x:c r="D190" s="2" t="str">
        <x:v>TEMPO_PROXY</x:v>
      </x:c>
      <x:c r="E190" s="17" t="n">
        <x:v>7317572.880000001</x:v>
      </x:c>
      <x:c r="F190" s="17" t="n">
        <x:f>IF(AND(M190,ISNUMBER(R190)),IF(D190="TEMPO_PROXY",R190,IF(AND(ISNUMBER(S190),S190&gt;0,ISNUMBER(U190)),U190*R190/S190,"n.a.")),"n.a.")</x:f>
        <x:v>7317572.880000001</x:v>
      </x:c>
      <x:c r="G190" s="17" t="n">
        <x:f>IF(AND(ISNUMBER(E190),ISNUMBER(F190)),E190-F190,"n.a.")</x:f>
        <x:v>0</x:v>
      </x:c>
      <x:c r="H190" s="15" t="n">
        <x:f>IF(AND(ISNUMBER(E190),ISNUMBER(F190),F190&gt;0),(E190-F190)/F190,"n.a.")</x:f>
        <x:v>0</x:v>
      </x:c>
      <x:c r="I190" s="19" t="n">
        <x:f>IF(ISNUMBER(H190),ABS(H190),"n.a.")</x:f>
        <x:v>0</x:v>
      </x:c>
      <x:c r="J190" s="2" t="str">
        <x:v>available</x:v>
      </x:c>
      <x:c r="K190" s="2" t="n">
        <x:v>1</x:v>
      </x:c>
      <x:c r="L190" s="13" t="b">
        <x:v>1</x:v>
      </x:c>
      <x:c r="M190" s="13" t="b">
        <x:v>1</x:v>
      </x:c>
      <x:c r="N190" s="2" t="str">
        <x:v>inherited2020anchor</x:v>
      </x:c>
      <x:c r="O190" s="2" t="str"/>
      <x:c r="P190" s="2" t="str">
        <x:v>assumption-based floor-area proxy</x:v>
      </x:c>
      <x:c r="Q190" s="2" t="str">
        <x:v>m2</x:v>
      </x:c>
      <x:c r="R190" s="17" t="n">
        <x:v>7317572.880000001</x:v>
      </x:c>
      <x:c r="S190" s="17"/>
      <x:c r="T190" s="18"/>
      <x:c r="U190" s="17" t="n">
        <x:v>7317572.880000001</x:v>
      </x:c>
      <x:c r="V190" s="2" t="str">
        <x:v>existing saved physical-floor-area proxy</x:v>
      </x:c>
      <x:c r="W190" s="2" t="str">
        <x:v>legacy_epoch_source_QA_passed; new_common_native_support_not_certified</x:v>
      </x:c>
      <x:c r="X190" s="2" t="str">
        <x:v>https://arxiv.org/abs/2511.12104</x:v>
      </x:c>
    </x:row>
    <x:row r="191" ht="23" customHeight="1">
      <x:c r="A191" s="2" t="str">
        <x:v>SYR</x:v>
      </x:c>
      <x:c r="B191" s="2" t="str">
        <x:v>Syrian Arab Republic</x:v>
      </x:c>
      <x:c r="C191" s="2" t="n">
        <x:v>2020</x:v>
      </x:c>
      <x:c r="D191" s="2" t="str">
        <x:v>TEMPO_PROXY</x:v>
      </x:c>
      <x:c r="E191" s="17" t="n">
        <x:v>795482211.65</x:v>
      </x:c>
      <x:c r="F191" s="17" t="n">
        <x:f>IF(AND(M191,ISNUMBER(R191)),IF(D191="TEMPO_PROXY",R191,IF(AND(ISNUMBER(S191),S191&gt;0,ISNUMBER(U191)),U191*R191/S191,"n.a.")),"n.a.")</x:f>
        <x:v>795482211.65</x:v>
      </x:c>
      <x:c r="G191" s="17" t="n">
        <x:f>IF(AND(ISNUMBER(E191),ISNUMBER(F191)),E191-F191,"n.a.")</x:f>
        <x:v>0</x:v>
      </x:c>
      <x:c r="H191" s="15" t="n">
        <x:f>IF(AND(ISNUMBER(E191),ISNUMBER(F191),F191&gt;0),(E191-F191)/F191,"n.a.")</x:f>
        <x:v>0</x:v>
      </x:c>
      <x:c r="I191" s="19" t="n">
        <x:f>IF(ISNUMBER(H191),ABS(H191),"n.a.")</x:f>
        <x:v>0</x:v>
      </x:c>
      <x:c r="J191" s="2" t="str">
        <x:v>available</x:v>
      </x:c>
      <x:c r="K191" s="2" t="n">
        <x:v>1</x:v>
      </x:c>
      <x:c r="L191" s="13" t="b">
        <x:v>1</x:v>
      </x:c>
      <x:c r="M191" s="13" t="b">
        <x:v>1</x:v>
      </x:c>
      <x:c r="N191" s="2" t="str">
        <x:v>inherited2020anchor</x:v>
      </x:c>
      <x:c r="O191" s="2" t="str"/>
      <x:c r="P191" s="2" t="str">
        <x:v>assumption-based floor-area proxy</x:v>
      </x:c>
      <x:c r="Q191" s="2" t="str">
        <x:v>m2</x:v>
      </x:c>
      <x:c r="R191" s="17" t="n">
        <x:v>795482211.65</x:v>
      </x:c>
      <x:c r="S191" s="17"/>
      <x:c r="T191" s="18"/>
      <x:c r="U191" s="17" t="n">
        <x:v>795482211.65</x:v>
      </x:c>
      <x:c r="V191" s="2" t="str">
        <x:v>existing saved physical-floor-area proxy</x:v>
      </x:c>
      <x:c r="W191" s="2" t="str">
        <x:v>legacy_epoch_source_QA_passed; new_common_native_support_not_certified</x:v>
      </x:c>
      <x:c r="X191" s="2" t="str">
        <x:v>https://arxiv.org/abs/2511.12104</x:v>
      </x:c>
    </x:row>
    <x:row r="192" ht="23" customHeight="1">
      <x:c r="A192" s="2" t="str">
        <x:v>TCD</x:v>
      </x:c>
      <x:c r="B192" s="2" t="str">
        <x:v>Chad (Republic of)</x:v>
      </x:c>
      <x:c r="C192" s="2" t="n">
        <x:v>2020</x:v>
      </x:c>
      <x:c r="D192" s="2" t="str">
        <x:v>TEMPO_PROXY</x:v>
      </x:c>
      <x:c r="E192" s="17" t="n">
        <x:v>126450494.21999988</x:v>
      </x:c>
      <x:c r="F192" s="17" t="n">
        <x:f>IF(AND(M192,ISNUMBER(R192)),IF(D192="TEMPO_PROXY",R192,IF(AND(ISNUMBER(S192),S192&gt;0,ISNUMBER(U192)),U192*R192/S192,"n.a.")),"n.a.")</x:f>
        <x:v>126450494.21999988</x:v>
      </x:c>
      <x:c r="G192" s="17" t="n">
        <x:f>IF(AND(ISNUMBER(E192),ISNUMBER(F192)),E192-F192,"n.a.")</x:f>
        <x:v>0</x:v>
      </x:c>
      <x:c r="H192" s="15" t="n">
        <x:f>IF(AND(ISNUMBER(E192),ISNUMBER(F192),F192&gt;0),(E192-F192)/F192,"n.a.")</x:f>
        <x:v>0</x:v>
      </x:c>
      <x:c r="I192" s="19" t="n">
        <x:f>IF(ISNUMBER(H192),ABS(H192),"n.a.")</x:f>
        <x:v>0</x:v>
      </x:c>
      <x:c r="J192" s="2" t="str">
        <x:v>available</x:v>
      </x:c>
      <x:c r="K192" s="2" t="n">
        <x:v>1</x:v>
      </x:c>
      <x:c r="L192" s="13" t="b">
        <x:v>1</x:v>
      </x:c>
      <x:c r="M192" s="13" t="b">
        <x:v>1</x:v>
      </x:c>
      <x:c r="N192" s="2" t="str">
        <x:v>inherited2020anchor</x:v>
      </x:c>
      <x:c r="O192" s="2" t="str"/>
      <x:c r="P192" s="2" t="str">
        <x:v>assumption-based floor-area proxy</x:v>
      </x:c>
      <x:c r="Q192" s="2" t="str">
        <x:v>m2</x:v>
      </x:c>
      <x:c r="R192" s="17" t="n">
        <x:v>126450494.21999988</x:v>
      </x:c>
      <x:c r="S192" s="17"/>
      <x:c r="T192" s="18"/>
      <x:c r="U192" s="17" t="n">
        <x:v>126450494.21999988</x:v>
      </x:c>
      <x:c r="V192" s="2" t="str">
        <x:v>existing saved physical-floor-area proxy</x:v>
      </x:c>
      <x:c r="W192" s="2" t="str">
        <x:v>legacy_epoch_source_QA_passed; new_common_native_support_not_certified</x:v>
      </x:c>
      <x:c r="X192" s="2" t="str">
        <x:v>https://arxiv.org/abs/2511.12104</x:v>
      </x:c>
    </x:row>
    <x:row r="193" ht="23" customHeight="1">
      <x:c r="A193" s="2" t="str">
        <x:v>TGO</x:v>
      </x:c>
      <x:c r="B193" s="2" t="str">
        <x:v>Togo (Togolese Republic)</x:v>
      </x:c>
      <x:c r="C193" s="2" t="n">
        <x:v>2020</x:v>
      </x:c>
      <x:c r="D193" s="2" t="str">
        <x:v>TEMPO_PROXY</x:v>
      </x:c>
      <x:c r="E193" s="17" t="n">
        <x:v>185693532.7300002</x:v>
      </x:c>
      <x:c r="F193" s="17" t="n">
        <x:f>IF(AND(M193,ISNUMBER(R193)),IF(D193="TEMPO_PROXY",R193,IF(AND(ISNUMBER(S193),S193&gt;0,ISNUMBER(U193)),U193*R193/S193,"n.a.")),"n.a.")</x:f>
        <x:v>185693532.7300002</x:v>
      </x:c>
      <x:c r="G193" s="17" t="n">
        <x:f>IF(AND(ISNUMBER(E193),ISNUMBER(F193)),E193-F193,"n.a.")</x:f>
        <x:v>0</x:v>
      </x:c>
      <x:c r="H193" s="15" t="n">
        <x:f>IF(AND(ISNUMBER(E193),ISNUMBER(F193),F193&gt;0),(E193-F193)/F193,"n.a.")</x:f>
        <x:v>0</x:v>
      </x:c>
      <x:c r="I193" s="19" t="n">
        <x:f>IF(ISNUMBER(H193),ABS(H193),"n.a.")</x:f>
        <x:v>0</x:v>
      </x:c>
      <x:c r="J193" s="2" t="str">
        <x:v>available</x:v>
      </x:c>
      <x:c r="K193" s="2" t="n">
        <x:v>1</x:v>
      </x:c>
      <x:c r="L193" s="13" t="b">
        <x:v>1</x:v>
      </x:c>
      <x:c r="M193" s="13" t="b">
        <x:v>1</x:v>
      </x:c>
      <x:c r="N193" s="2" t="str">
        <x:v>inherited2020anchor</x:v>
      </x:c>
      <x:c r="O193" s="2" t="str"/>
      <x:c r="P193" s="2" t="str">
        <x:v>assumption-based floor-area proxy</x:v>
      </x:c>
      <x:c r="Q193" s="2" t="str">
        <x:v>m2</x:v>
      </x:c>
      <x:c r="R193" s="17" t="n">
        <x:v>185693532.7300002</x:v>
      </x:c>
      <x:c r="S193" s="17"/>
      <x:c r="T193" s="18"/>
      <x:c r="U193" s="17" t="n">
        <x:v>185693532.7300002</x:v>
      </x:c>
      <x:c r="V193" s="2" t="str">
        <x:v>existing saved physical-floor-area proxy</x:v>
      </x:c>
      <x:c r="W193" s="2" t="str">
        <x:v>legacy_epoch_source_QA_passed; new_common_native_support_not_certified</x:v>
      </x:c>
      <x:c r="X193" s="2" t="str">
        <x:v>https://arxiv.org/abs/2511.12104</x:v>
      </x:c>
    </x:row>
    <x:row r="194" ht="23" customHeight="1">
      <x:c r="A194" s="2" t="str">
        <x:v>THA</x:v>
      </x:c>
      <x:c r="B194" s="2" t="str">
        <x:v>Thailand (Kingdom of)</x:v>
      </x:c>
      <x:c r="C194" s="2" t="n">
        <x:v>2020</x:v>
      </x:c>
      <x:c r="D194" s="2" t="str">
        <x:v>TEMPO_PROXY</x:v>
      </x:c>
      <x:c r="E194" s="17" t="n">
        <x:v>5229846890.149993</x:v>
      </x:c>
      <x:c r="F194" s="17" t="n">
        <x:f>IF(AND(M194,ISNUMBER(R194)),IF(D194="TEMPO_PROXY",R194,IF(AND(ISNUMBER(S194),S194&gt;0,ISNUMBER(U194)),U194*R194/S194,"n.a.")),"n.a.")</x:f>
        <x:v>5229846890.149993</x:v>
      </x:c>
      <x:c r="G194" s="17" t="n">
        <x:f>IF(AND(ISNUMBER(E194),ISNUMBER(F194)),E194-F194,"n.a.")</x:f>
        <x:v>0</x:v>
      </x:c>
      <x:c r="H194" s="15" t="n">
        <x:f>IF(AND(ISNUMBER(E194),ISNUMBER(F194),F194&gt;0),(E194-F194)/F194,"n.a.")</x:f>
        <x:v>0</x:v>
      </x:c>
      <x:c r="I194" s="19" t="n">
        <x:f>IF(ISNUMBER(H194),ABS(H194),"n.a.")</x:f>
        <x:v>0</x:v>
      </x:c>
      <x:c r="J194" s="2" t="str">
        <x:v>available</x:v>
      </x:c>
      <x:c r="K194" s="2" t="n">
        <x:v>1</x:v>
      </x:c>
      <x:c r="L194" s="13" t="b">
        <x:v>1</x:v>
      </x:c>
      <x:c r="M194" s="13" t="b">
        <x:v>1</x:v>
      </x:c>
      <x:c r="N194" s="2" t="str">
        <x:v>inherited2020anchor</x:v>
      </x:c>
      <x:c r="O194" s="2" t="str"/>
      <x:c r="P194" s="2" t="str">
        <x:v>assumption-based floor-area proxy</x:v>
      </x:c>
      <x:c r="Q194" s="2" t="str">
        <x:v>m2</x:v>
      </x:c>
      <x:c r="R194" s="17" t="n">
        <x:v>5229846890.149993</x:v>
      </x:c>
      <x:c r="S194" s="17"/>
      <x:c r="T194" s="18"/>
      <x:c r="U194" s="17" t="n">
        <x:v>5229846890.149993</x:v>
      </x:c>
      <x:c r="V194" s="2" t="str">
        <x:v>existing saved physical-floor-area proxy</x:v>
      </x:c>
      <x:c r="W194" s="2" t="str">
        <x:v>legacy_epoch_source_QA_passed; new_common_native_support_not_certified</x:v>
      </x:c>
      <x:c r="X194" s="2" t="str">
        <x:v>https://arxiv.org/abs/2511.12104</x:v>
      </x:c>
    </x:row>
    <x:row r="195" ht="23" customHeight="1">
      <x:c r="A195" s="2" t="str">
        <x:v>TJK</x:v>
      </x:c>
      <x:c r="B195" s="2" t="str">
        <x:v>Tajikistan (Republic of)</x:v>
      </x:c>
      <x:c r="C195" s="2" t="n">
        <x:v>2020</x:v>
      </x:c>
      <x:c r="D195" s="2" t="str">
        <x:v>TEMPO_PROXY</x:v>
      </x:c>
      <x:c r="E195" s="17" t="n">
        <x:v>392955797.9200004</x:v>
      </x:c>
      <x:c r="F195" s="17" t="n">
        <x:f>IF(AND(M195,ISNUMBER(R195)),IF(D195="TEMPO_PROXY",R195,IF(AND(ISNUMBER(S195),S195&gt;0,ISNUMBER(U195)),U195*R195/S195,"n.a.")),"n.a.")</x:f>
        <x:v>392955797.9200004</x:v>
      </x:c>
      <x:c r="G195" s="17" t="n">
        <x:f>IF(AND(ISNUMBER(E195),ISNUMBER(F195)),E195-F195,"n.a.")</x:f>
        <x:v>0</x:v>
      </x:c>
      <x:c r="H195" s="15" t="n">
        <x:f>IF(AND(ISNUMBER(E195),ISNUMBER(F195),F195&gt;0),(E195-F195)/F195,"n.a.")</x:f>
        <x:v>0</x:v>
      </x:c>
      <x:c r="I195" s="19" t="n">
        <x:f>IF(ISNUMBER(H195),ABS(H195),"n.a.")</x:f>
        <x:v>0</x:v>
      </x:c>
      <x:c r="J195" s="2" t="str">
        <x:v>available</x:v>
      </x:c>
      <x:c r="K195" s="2" t="n">
        <x:v>1</x:v>
      </x:c>
      <x:c r="L195" s="13" t="b">
        <x:v>1</x:v>
      </x:c>
      <x:c r="M195" s="13" t="b">
        <x:v>1</x:v>
      </x:c>
      <x:c r="N195" s="2" t="str">
        <x:v>inherited2020anchor</x:v>
      </x:c>
      <x:c r="O195" s="2" t="str"/>
      <x:c r="P195" s="2" t="str">
        <x:v>assumption-based floor-area proxy</x:v>
      </x:c>
      <x:c r="Q195" s="2" t="str">
        <x:v>m2</x:v>
      </x:c>
      <x:c r="R195" s="17" t="n">
        <x:v>392955797.9200004</x:v>
      </x:c>
      <x:c r="S195" s="17"/>
      <x:c r="T195" s="18"/>
      <x:c r="U195" s="17" t="n">
        <x:v>392955797.9200004</x:v>
      </x:c>
      <x:c r="V195" s="2" t="str">
        <x:v>existing saved physical-floor-area proxy</x:v>
      </x:c>
      <x:c r="W195" s="2" t="str">
        <x:v>legacy_epoch_source_QA_passed; new_common_native_support_not_certified</x:v>
      </x:c>
      <x:c r="X195" s="2" t="str">
        <x:v>https://arxiv.org/abs/2511.12104</x:v>
      </x:c>
    </x:row>
    <x:row r="196" ht="23" customHeight="1">
      <x:c r="A196" s="2" t="str">
        <x:v>TKM</x:v>
      </x:c>
      <x:c r="B196" s="2" t="str">
        <x:v>Turkmenistan</x:v>
      </x:c>
      <x:c r="C196" s="2" t="n">
        <x:v>2020</x:v>
      </x:c>
      <x:c r="D196" s="2" t="str">
        <x:v>TEMPO_PROXY</x:v>
      </x:c>
      <x:c r="E196" s="17" t="n">
        <x:v>359976676.1500005</x:v>
      </x:c>
      <x:c r="F196" s="17" t="n">
        <x:f>IF(AND(M196,ISNUMBER(R196)),IF(D196="TEMPO_PROXY",R196,IF(AND(ISNUMBER(S196),S196&gt;0,ISNUMBER(U196)),U196*R196/S196,"n.a.")),"n.a.")</x:f>
        <x:v>359976676.1500005</x:v>
      </x:c>
      <x:c r="G196" s="17" t="n">
        <x:f>IF(AND(ISNUMBER(E196),ISNUMBER(F196)),E196-F196,"n.a.")</x:f>
        <x:v>0</x:v>
      </x:c>
      <x:c r="H196" s="15" t="n">
        <x:f>IF(AND(ISNUMBER(E196),ISNUMBER(F196),F196&gt;0),(E196-F196)/F196,"n.a.")</x:f>
        <x:v>0</x:v>
      </x:c>
      <x:c r="I196" s="19" t="n">
        <x:f>IF(ISNUMBER(H196),ABS(H196),"n.a.")</x:f>
        <x:v>0</x:v>
      </x:c>
      <x:c r="J196" s="2" t="str">
        <x:v>available</x:v>
      </x:c>
      <x:c r="K196" s="2" t="n">
        <x:v>1</x:v>
      </x:c>
      <x:c r="L196" s="13" t="b">
        <x:v>1</x:v>
      </x:c>
      <x:c r="M196" s="13" t="b">
        <x:v>1</x:v>
      </x:c>
      <x:c r="N196" s="2" t="str">
        <x:v>inherited2020anchor</x:v>
      </x:c>
      <x:c r="O196" s="2" t="str"/>
      <x:c r="P196" s="2" t="str">
        <x:v>assumption-based floor-area proxy</x:v>
      </x:c>
      <x:c r="Q196" s="2" t="str">
        <x:v>m2</x:v>
      </x:c>
      <x:c r="R196" s="17" t="n">
        <x:v>359976676.1500005</x:v>
      </x:c>
      <x:c r="S196" s="17"/>
      <x:c r="T196" s="18"/>
      <x:c r="U196" s="17" t="n">
        <x:v>359976676.1500005</x:v>
      </x:c>
      <x:c r="V196" s="2" t="str">
        <x:v>existing saved physical-floor-area proxy</x:v>
      </x:c>
      <x:c r="W196" s="2" t="str">
        <x:v>legacy_epoch_source_QA_passed; new_common_native_support_not_certified</x:v>
      </x:c>
      <x:c r="X196" s="2" t="str">
        <x:v>https://arxiv.org/abs/2511.12104</x:v>
      </x:c>
    </x:row>
    <x:row r="197" ht="23" customHeight="1">
      <x:c r="A197" s="2" t="str">
        <x:v>TLS</x:v>
      </x:c>
      <x:c r="B197" s="2" t="str">
        <x:v>Timor-Leste (Democratic Republic of)</x:v>
      </x:c>
      <x:c r="C197" s="2" t="n">
        <x:v>2020</x:v>
      </x:c>
      <x:c r="D197" s="2" t="str">
        <x:v>TEMPO_PROXY</x:v>
      </x:c>
      <x:c r="E197" s="17" t="n">
        <x:v>41213693.90000002</x:v>
      </x:c>
      <x:c r="F197" s="17" t="n">
        <x:f>IF(AND(M197,ISNUMBER(R197)),IF(D197="TEMPO_PROXY",R197,IF(AND(ISNUMBER(S197),S197&gt;0,ISNUMBER(U197)),U197*R197/S197,"n.a.")),"n.a.")</x:f>
        <x:v>41213693.90000002</x:v>
      </x:c>
      <x:c r="G197" s="17" t="n">
        <x:f>IF(AND(ISNUMBER(E197),ISNUMBER(F197)),E197-F197,"n.a.")</x:f>
        <x:v>0</x:v>
      </x:c>
      <x:c r="H197" s="15" t="n">
        <x:f>IF(AND(ISNUMBER(E197),ISNUMBER(F197),F197&gt;0),(E197-F197)/F197,"n.a.")</x:f>
        <x:v>0</x:v>
      </x:c>
      <x:c r="I197" s="19" t="n">
        <x:f>IF(ISNUMBER(H197),ABS(H197),"n.a.")</x:f>
        <x:v>0</x:v>
      </x:c>
      <x:c r="J197" s="2" t="str">
        <x:v>available</x:v>
      </x:c>
      <x:c r="K197" s="2" t="n">
        <x:v>1</x:v>
      </x:c>
      <x:c r="L197" s="13" t="b">
        <x:v>1</x:v>
      </x:c>
      <x:c r="M197" s="13" t="b">
        <x:v>1</x:v>
      </x:c>
      <x:c r="N197" s="2" t="str">
        <x:v>inherited2020anchor</x:v>
      </x:c>
      <x:c r="O197" s="2" t="str"/>
      <x:c r="P197" s="2" t="str">
        <x:v>assumption-based floor-area proxy</x:v>
      </x:c>
      <x:c r="Q197" s="2" t="str">
        <x:v>m2</x:v>
      </x:c>
      <x:c r="R197" s="17" t="n">
        <x:v>41213693.90000002</x:v>
      </x:c>
      <x:c r="S197" s="17"/>
      <x:c r="T197" s="18"/>
      <x:c r="U197" s="17" t="n">
        <x:v>41213693.90000002</x:v>
      </x:c>
      <x:c r="V197" s="2" t="str">
        <x:v>existing saved physical-floor-area proxy</x:v>
      </x:c>
      <x:c r="W197" s="2" t="str">
        <x:v>legacy_epoch_source_QA_passed; new_common_native_support_not_certified</x:v>
      </x:c>
      <x:c r="X197" s="2" t="str">
        <x:v>https://arxiv.org/abs/2511.12104</x:v>
      </x:c>
    </x:row>
    <x:row r="198" ht="23" customHeight="1">
      <x:c r="A198" s="2" t="str">
        <x:v>TON</x:v>
      </x:c>
      <x:c r="B198" s="2" t="str">
        <x:v>Tonga (Kingdom of)</x:v>
      </x:c>
      <x:c r="C198" s="2" t="n">
        <x:v>2020</x:v>
      </x:c>
      <x:c r="D198" s="2" t="str">
        <x:v>TEMPO_PROXY</x:v>
      </x:c>
      <x:c r="E198" s="17" t="n">
        <x:v>4719083.849999997</x:v>
      </x:c>
      <x:c r="F198" s="17" t="n">
        <x:f>IF(AND(M198,ISNUMBER(R198)),IF(D198="TEMPO_PROXY",R198,IF(AND(ISNUMBER(S198),S198&gt;0,ISNUMBER(U198)),U198*R198/S198,"n.a.")),"n.a.")</x:f>
        <x:v>4719083.849999997</x:v>
      </x:c>
      <x:c r="G198" s="17" t="n">
        <x:f>IF(AND(ISNUMBER(E198),ISNUMBER(F198)),E198-F198,"n.a.")</x:f>
        <x:v>0</x:v>
      </x:c>
      <x:c r="H198" s="15" t="n">
        <x:f>IF(AND(ISNUMBER(E198),ISNUMBER(F198),F198&gt;0),(E198-F198)/F198,"n.a.")</x:f>
        <x:v>0</x:v>
      </x:c>
      <x:c r="I198" s="19" t="n">
        <x:f>IF(ISNUMBER(H198),ABS(H198),"n.a.")</x:f>
        <x:v>0</x:v>
      </x:c>
      <x:c r="J198" s="2" t="str">
        <x:v>available</x:v>
      </x:c>
      <x:c r="K198" s="2" t="n">
        <x:v>1</x:v>
      </x:c>
      <x:c r="L198" s="13" t="b">
        <x:v>1</x:v>
      </x:c>
      <x:c r="M198" s="13" t="b">
        <x:v>1</x:v>
      </x:c>
      <x:c r="N198" s="2" t="str">
        <x:v>inherited2020anchor</x:v>
      </x:c>
      <x:c r="O198" s="2" t="str"/>
      <x:c r="P198" s="2" t="str">
        <x:v>assumption-based floor-area proxy</x:v>
      </x:c>
      <x:c r="Q198" s="2" t="str">
        <x:v>m2</x:v>
      </x:c>
      <x:c r="R198" s="17" t="n">
        <x:v>4719083.849999997</x:v>
      </x:c>
      <x:c r="S198" s="17"/>
      <x:c r="T198" s="18"/>
      <x:c r="U198" s="17" t="n">
        <x:v>4719083.849999997</x:v>
      </x:c>
      <x:c r="V198" s="2" t="str">
        <x:v>existing saved physical-floor-area proxy</x:v>
      </x:c>
      <x:c r="W198" s="2" t="str">
        <x:v>legacy_epoch_source_QA_passed; new_common_native_support_not_certified</x:v>
      </x:c>
      <x:c r="X198" s="2" t="str">
        <x:v>https://arxiv.org/abs/2511.12104</x:v>
      </x:c>
    </x:row>
    <x:row r="199" ht="23" customHeight="1">
      <x:c r="A199" s="2" t="str">
        <x:v>TTO</x:v>
      </x:c>
      <x:c r="B199" s="2" t="str">
        <x:v>Trinidad and Tobago (Republic of)</x:v>
      </x:c>
      <x:c r="C199" s="2" t="n">
        <x:v>2020</x:v>
      </x:c>
      <x:c r="D199" s="2" t="str">
        <x:v>TEMPO_PROXY</x:v>
      </x:c>
      <x:c r="E199" s="17" t="n">
        <x:v>100480869.27000004</x:v>
      </x:c>
      <x:c r="F199" s="17" t="n">
        <x:f>IF(AND(M199,ISNUMBER(R199)),IF(D199="TEMPO_PROXY",R199,IF(AND(ISNUMBER(S199),S199&gt;0,ISNUMBER(U199)),U199*R199/S199,"n.a.")),"n.a.")</x:f>
        <x:v>100480869.27000004</x:v>
      </x:c>
      <x:c r="G199" s="17" t="n">
        <x:f>IF(AND(ISNUMBER(E199),ISNUMBER(F199)),E199-F199,"n.a.")</x:f>
        <x:v>0</x:v>
      </x:c>
      <x:c r="H199" s="15" t="n">
        <x:f>IF(AND(ISNUMBER(E199),ISNUMBER(F199),F199&gt;0),(E199-F199)/F199,"n.a.")</x:f>
        <x:v>0</x:v>
      </x:c>
      <x:c r="I199" s="19" t="n">
        <x:f>IF(ISNUMBER(H199),ABS(H199),"n.a.")</x:f>
        <x:v>0</x:v>
      </x:c>
      <x:c r="J199" s="2" t="str">
        <x:v>available</x:v>
      </x:c>
      <x:c r="K199" s="2" t="n">
        <x:v>1</x:v>
      </x:c>
      <x:c r="L199" s="13" t="b">
        <x:v>1</x:v>
      </x:c>
      <x:c r="M199" s="13" t="b">
        <x:v>1</x:v>
      </x:c>
      <x:c r="N199" s="2" t="str">
        <x:v>inherited2020anchor</x:v>
      </x:c>
      <x:c r="O199" s="2" t="str"/>
      <x:c r="P199" s="2" t="str">
        <x:v>assumption-based floor-area proxy</x:v>
      </x:c>
      <x:c r="Q199" s="2" t="str">
        <x:v>m2</x:v>
      </x:c>
      <x:c r="R199" s="17" t="n">
        <x:v>100480869.27000004</x:v>
      </x:c>
      <x:c r="S199" s="17"/>
      <x:c r="T199" s="18"/>
      <x:c r="U199" s="17" t="n">
        <x:v>100480869.27000004</x:v>
      </x:c>
      <x:c r="V199" s="2" t="str">
        <x:v>existing saved physical-floor-area proxy</x:v>
      </x:c>
      <x:c r="W199" s="2" t="str">
        <x:v>legacy_epoch_source_QA_passed; new_common_native_support_not_certified</x:v>
      </x:c>
      <x:c r="X199" s="2" t="str">
        <x:v>https://arxiv.org/abs/2511.12104</x:v>
      </x:c>
    </x:row>
    <x:row r="200" ht="23" customHeight="1">
      <x:c r="A200" s="2" t="str">
        <x:v>TUN</x:v>
      </x:c>
      <x:c r="B200" s="2" t="str">
        <x:v>Tunisia (Republic of)</x:v>
      </x:c>
      <x:c r="C200" s="2" t="n">
        <x:v>2020</x:v>
      </x:c>
      <x:c r="D200" s="2" t="str">
        <x:v>TEMPO_PROXY</x:v>
      </x:c>
      <x:c r="E200" s="17" t="n">
        <x:v>649171642.779999</x:v>
      </x:c>
      <x:c r="F200" s="17" t="n">
        <x:f>IF(AND(M200,ISNUMBER(R200)),IF(D200="TEMPO_PROXY",R200,IF(AND(ISNUMBER(S200),S200&gt;0,ISNUMBER(U200)),U200*R200/S200,"n.a.")),"n.a.")</x:f>
        <x:v>649171642.779999</x:v>
      </x:c>
      <x:c r="G200" s="17" t="n">
        <x:f>IF(AND(ISNUMBER(E200),ISNUMBER(F200)),E200-F200,"n.a.")</x:f>
        <x:v>0</x:v>
      </x:c>
      <x:c r="H200" s="15" t="n">
        <x:f>IF(AND(ISNUMBER(E200),ISNUMBER(F200),F200&gt;0),(E200-F200)/F200,"n.a.")</x:f>
        <x:v>0</x:v>
      </x:c>
      <x:c r="I200" s="19" t="n">
        <x:f>IF(ISNUMBER(H200),ABS(H200),"n.a.")</x:f>
        <x:v>0</x:v>
      </x:c>
      <x:c r="J200" s="2" t="str">
        <x:v>available</x:v>
      </x:c>
      <x:c r="K200" s="2" t="n">
        <x:v>1</x:v>
      </x:c>
      <x:c r="L200" s="13" t="b">
        <x:v>1</x:v>
      </x:c>
      <x:c r="M200" s="13" t="b">
        <x:v>1</x:v>
      </x:c>
      <x:c r="N200" s="2" t="str">
        <x:v>inherited2020anchor</x:v>
      </x:c>
      <x:c r="O200" s="2" t="str"/>
      <x:c r="P200" s="2" t="str">
        <x:v>assumption-based floor-area proxy</x:v>
      </x:c>
      <x:c r="Q200" s="2" t="str">
        <x:v>m2</x:v>
      </x:c>
      <x:c r="R200" s="17" t="n">
        <x:v>649171642.779999</x:v>
      </x:c>
      <x:c r="S200" s="17"/>
      <x:c r="T200" s="18"/>
      <x:c r="U200" s="17" t="n">
        <x:v>649171642.779999</x:v>
      </x:c>
      <x:c r="V200" s="2" t="str">
        <x:v>existing saved physical-floor-area proxy</x:v>
      </x:c>
      <x:c r="W200" s="2" t="str">
        <x:v>legacy_epoch_source_QA_passed; new_common_native_support_not_certified</x:v>
      </x:c>
      <x:c r="X200" s="2" t="str">
        <x:v>https://arxiv.org/abs/2511.12104</x:v>
      </x:c>
    </x:row>
    <x:row r="201" ht="23" customHeight="1">
      <x:c r="A201" s="2" t="str">
        <x:v>TUR</x:v>
      </x:c>
      <x:c r="B201" s="2" t="str">
        <x:v>Türkiye (Republic of)</x:v>
      </x:c>
      <x:c r="C201" s="2" t="n">
        <x:v>2020</x:v>
      </x:c>
      <x:c r="D201" s="2" t="str">
        <x:v>TEMPO_PROXY</x:v>
      </x:c>
      <x:c r="E201" s="17" t="n">
        <x:v>3957897873.260005</x:v>
      </x:c>
      <x:c r="F201" s="17" t="n">
        <x:f>IF(AND(M201,ISNUMBER(R201)),IF(D201="TEMPO_PROXY",R201,IF(AND(ISNUMBER(S201),S201&gt;0,ISNUMBER(U201)),U201*R201/S201,"n.a.")),"n.a.")</x:f>
        <x:v>3957897873.260005</x:v>
      </x:c>
      <x:c r="G201" s="17" t="n">
        <x:f>IF(AND(ISNUMBER(E201),ISNUMBER(F201)),E201-F201,"n.a.")</x:f>
        <x:v>0</x:v>
      </x:c>
      <x:c r="H201" s="15" t="n">
        <x:f>IF(AND(ISNUMBER(E201),ISNUMBER(F201),F201&gt;0),(E201-F201)/F201,"n.a.")</x:f>
        <x:v>0</x:v>
      </x:c>
      <x:c r="I201" s="19" t="n">
        <x:f>IF(ISNUMBER(H201),ABS(H201),"n.a.")</x:f>
        <x:v>0</x:v>
      </x:c>
      <x:c r="J201" s="2" t="str">
        <x:v>available</x:v>
      </x:c>
      <x:c r="K201" s="2" t="n">
        <x:v>1</x:v>
      </x:c>
      <x:c r="L201" s="13" t="b">
        <x:v>1</x:v>
      </x:c>
      <x:c r="M201" s="13" t="b">
        <x:v>1</x:v>
      </x:c>
      <x:c r="N201" s="2" t="str">
        <x:v>inherited2020anchor</x:v>
      </x:c>
      <x:c r="O201" s="2" t="str"/>
      <x:c r="P201" s="2" t="str">
        <x:v>assumption-based floor-area proxy</x:v>
      </x:c>
      <x:c r="Q201" s="2" t="str">
        <x:v>m2</x:v>
      </x:c>
      <x:c r="R201" s="17" t="n">
        <x:v>3957897873.260005</x:v>
      </x:c>
      <x:c r="S201" s="17"/>
      <x:c r="T201" s="18"/>
      <x:c r="U201" s="17" t="n">
        <x:v>3957897873.260005</x:v>
      </x:c>
      <x:c r="V201" s="2" t="str">
        <x:v>existing saved physical-floor-area proxy</x:v>
      </x:c>
      <x:c r="W201" s="2" t="str">
        <x:v>legacy_epoch_source_QA_passed; new_common_native_support_not_certified</x:v>
      </x:c>
      <x:c r="X201" s="2" t="str">
        <x:v>https://arxiv.org/abs/2511.12104</x:v>
      </x:c>
    </x:row>
    <x:row r="202" ht="23" customHeight="1">
      <x:c r="A202" s="2" t="str">
        <x:v>TUV</x:v>
      </x:c>
      <x:c r="B202" s="2" t="str">
        <x:v>Tuvalu</x:v>
      </x:c>
      <x:c r="C202" s="2" t="n">
        <x:v>2020</x:v>
      </x:c>
      <x:c r="D202" s="2" t="str">
        <x:v>TEMPO_PROXY</x:v>
      </x:c>
      <x:c r="E202" s="17" t="n">
        <x:v>19394.80999999999</x:v>
      </x:c>
      <x:c r="F202" s="17" t="n">
        <x:f>IF(AND(M202,ISNUMBER(R202)),IF(D202="TEMPO_PROXY",R202,IF(AND(ISNUMBER(S202),S202&gt;0,ISNUMBER(U202)),U202*R202/S202,"n.a.")),"n.a.")</x:f>
        <x:v>19394.80999999999</x:v>
      </x:c>
      <x:c r="G202" s="17" t="n">
        <x:f>IF(AND(ISNUMBER(E202),ISNUMBER(F202)),E202-F202,"n.a.")</x:f>
        <x:v>0</x:v>
      </x:c>
      <x:c r="H202" s="15" t="n">
        <x:f>IF(AND(ISNUMBER(E202),ISNUMBER(F202),F202&gt;0),(E202-F202)/F202,"n.a.")</x:f>
        <x:v>0</x:v>
      </x:c>
      <x:c r="I202" s="19" t="n">
        <x:f>IF(ISNUMBER(H202),ABS(H202),"n.a.")</x:f>
        <x:v>0</x:v>
      </x:c>
      <x:c r="J202" s="2" t="str">
        <x:v>available</x:v>
      </x:c>
      <x:c r="K202" s="2" t="n">
        <x:v>1</x:v>
      </x:c>
      <x:c r="L202" s="13" t="b">
        <x:v>1</x:v>
      </x:c>
      <x:c r="M202" s="13" t="b">
        <x:v>1</x:v>
      </x:c>
      <x:c r="N202" s="2" t="str">
        <x:v>inherited2020anchor</x:v>
      </x:c>
      <x:c r="O202" s="2" t="str"/>
      <x:c r="P202" s="2" t="str">
        <x:v>assumption-based floor-area proxy</x:v>
      </x:c>
      <x:c r="Q202" s="2" t="str">
        <x:v>m2</x:v>
      </x:c>
      <x:c r="R202" s="17" t="n">
        <x:v>19394.80999999999</x:v>
      </x:c>
      <x:c r="S202" s="17"/>
      <x:c r="T202" s="18"/>
      <x:c r="U202" s="17" t="n">
        <x:v>19394.80999999999</x:v>
      </x:c>
      <x:c r="V202" s="2" t="str">
        <x:v>existing saved physical-floor-area proxy</x:v>
      </x:c>
      <x:c r="W202" s="2" t="str">
        <x:v>legacy_epoch_source_QA_passed; new_common_native_support_not_certified</x:v>
      </x:c>
      <x:c r="X202" s="2" t="str">
        <x:v>https://arxiv.org/abs/2511.12104</x:v>
      </x:c>
    </x:row>
    <x:row r="203" ht="23" customHeight="1">
      <x:c r="A203" s="2" t="str">
        <x:v>TZA</x:v>
      </x:c>
      <x:c r="B203" s="2" t="str">
        <x:v>Tanzania (United Republic of)</x:v>
      </x:c>
      <x:c r="C203" s="2" t="n">
        <x:v>2020</x:v>
      </x:c>
      <x:c r="D203" s="2" t="str">
        <x:v>TEMPO_PROXY</x:v>
      </x:c>
      <x:c r="E203" s="17" t="n">
        <x:v>1174486408.8199985</x:v>
      </x:c>
      <x:c r="F203" s="17" t="n">
        <x:f>IF(AND(M203,ISNUMBER(R203)),IF(D203="TEMPO_PROXY",R203,IF(AND(ISNUMBER(S203),S203&gt;0,ISNUMBER(U203)),U203*R203/S203,"n.a.")),"n.a.")</x:f>
        <x:v>1174486408.8199985</x:v>
      </x:c>
      <x:c r="G203" s="17" t="n">
        <x:f>IF(AND(ISNUMBER(E203),ISNUMBER(F203)),E203-F203,"n.a.")</x:f>
        <x:v>0</x:v>
      </x:c>
      <x:c r="H203" s="15" t="n">
        <x:f>IF(AND(ISNUMBER(E203),ISNUMBER(F203),F203&gt;0),(E203-F203)/F203,"n.a.")</x:f>
        <x:v>0</x:v>
      </x:c>
      <x:c r="I203" s="19" t="n">
        <x:f>IF(ISNUMBER(H203),ABS(H203),"n.a.")</x:f>
        <x:v>0</x:v>
      </x:c>
      <x:c r="J203" s="2" t="str">
        <x:v>available</x:v>
      </x:c>
      <x:c r="K203" s="2" t="n">
        <x:v>1</x:v>
      </x:c>
      <x:c r="L203" s="13" t="b">
        <x:v>1</x:v>
      </x:c>
      <x:c r="M203" s="13" t="b">
        <x:v>1</x:v>
      </x:c>
      <x:c r="N203" s="2" t="str">
        <x:v>inherited2020anchor</x:v>
      </x:c>
      <x:c r="O203" s="2" t="str"/>
      <x:c r="P203" s="2" t="str">
        <x:v>assumption-based floor-area proxy</x:v>
      </x:c>
      <x:c r="Q203" s="2" t="str">
        <x:v>m2</x:v>
      </x:c>
      <x:c r="R203" s="17" t="n">
        <x:v>1174486408.8199985</x:v>
      </x:c>
      <x:c r="S203" s="17"/>
      <x:c r="T203" s="18"/>
      <x:c r="U203" s="17" t="n">
        <x:v>1174486408.8199985</x:v>
      </x:c>
      <x:c r="V203" s="2" t="str">
        <x:v>existing saved physical-floor-area proxy</x:v>
      </x:c>
      <x:c r="W203" s="2" t="str">
        <x:v>legacy_epoch_source_QA_passed; new_common_native_support_not_certified</x:v>
      </x:c>
      <x:c r="X203" s="2" t="str">
        <x:v>https://arxiv.org/abs/2511.12104</x:v>
      </x:c>
    </x:row>
    <x:row r="204" ht="23" customHeight="1">
      <x:c r="A204" s="2" t="str">
        <x:v>UGA</x:v>
      </x:c>
      <x:c r="B204" s="2" t="str">
        <x:v>Uganda (Republic of)</x:v>
      </x:c>
      <x:c r="C204" s="2" t="n">
        <x:v>2020</x:v>
      </x:c>
      <x:c r="D204" s="2" t="str">
        <x:v>TEMPO_PROXY</x:v>
      </x:c>
      <x:c r="E204" s="17" t="n">
        <x:v>765891927.1500008</x:v>
      </x:c>
      <x:c r="F204" s="17" t="n">
        <x:f>IF(AND(M204,ISNUMBER(R204)),IF(D204="TEMPO_PROXY",R204,IF(AND(ISNUMBER(S204),S204&gt;0,ISNUMBER(U204)),U204*R204/S204,"n.a.")),"n.a.")</x:f>
        <x:v>765891927.1500008</x:v>
      </x:c>
      <x:c r="G204" s="17" t="n">
        <x:f>IF(AND(ISNUMBER(E204),ISNUMBER(F204)),E204-F204,"n.a.")</x:f>
        <x:v>0</x:v>
      </x:c>
      <x:c r="H204" s="15" t="n">
        <x:f>IF(AND(ISNUMBER(E204),ISNUMBER(F204),F204&gt;0),(E204-F204)/F204,"n.a.")</x:f>
        <x:v>0</x:v>
      </x:c>
      <x:c r="I204" s="19" t="n">
        <x:f>IF(ISNUMBER(H204),ABS(H204),"n.a.")</x:f>
        <x:v>0</x:v>
      </x:c>
      <x:c r="J204" s="2" t="str">
        <x:v>available</x:v>
      </x:c>
      <x:c r="K204" s="2" t="n">
        <x:v>1</x:v>
      </x:c>
      <x:c r="L204" s="13" t="b">
        <x:v>1</x:v>
      </x:c>
      <x:c r="M204" s="13" t="b">
        <x:v>1</x:v>
      </x:c>
      <x:c r="N204" s="2" t="str">
        <x:v>inherited2020anchor</x:v>
      </x:c>
      <x:c r="O204" s="2" t="str"/>
      <x:c r="P204" s="2" t="str">
        <x:v>assumption-based floor-area proxy</x:v>
      </x:c>
      <x:c r="Q204" s="2" t="str">
        <x:v>m2</x:v>
      </x:c>
      <x:c r="R204" s="17" t="n">
        <x:v>765891927.1500008</x:v>
      </x:c>
      <x:c r="S204" s="17"/>
      <x:c r="T204" s="18"/>
      <x:c r="U204" s="17" t="n">
        <x:v>765891927.1500008</x:v>
      </x:c>
      <x:c r="V204" s="2" t="str">
        <x:v>existing saved physical-floor-area proxy</x:v>
      </x:c>
      <x:c r="W204" s="2" t="str">
        <x:v>legacy_epoch_source_QA_passed; new_common_native_support_not_certified</x:v>
      </x:c>
      <x:c r="X204" s="2" t="str">
        <x:v>https://arxiv.org/abs/2511.12104</x:v>
      </x:c>
    </x:row>
    <x:row r="205" ht="23" customHeight="1">
      <x:c r="A205" s="2" t="str">
        <x:v>UKR</x:v>
      </x:c>
      <x:c r="B205" s="2" t="str">
        <x:v>Ukraine</x:v>
      </x:c>
      <x:c r="C205" s="2" t="n">
        <x:v>2020</x:v>
      </x:c>
      <x:c r="D205" s="2" t="str">
        <x:v>TEMPO_PROXY</x:v>
      </x:c>
      <x:c r="E205" s="17" t="n">
        <x:v>2808807029.8199997</x:v>
      </x:c>
      <x:c r="F205" s="17" t="n">
        <x:f>IF(AND(M205,ISNUMBER(R205)),IF(D205="TEMPO_PROXY",R205,IF(AND(ISNUMBER(S205),S205&gt;0,ISNUMBER(U205)),U205*R205/S205,"n.a.")),"n.a.")</x:f>
        <x:v>2808807029.8199997</x:v>
      </x:c>
      <x:c r="G205" s="17" t="n">
        <x:f>IF(AND(ISNUMBER(E205),ISNUMBER(F205)),E205-F205,"n.a.")</x:f>
        <x:v>0</x:v>
      </x:c>
      <x:c r="H205" s="15" t="n">
        <x:f>IF(AND(ISNUMBER(E205),ISNUMBER(F205),F205&gt;0),(E205-F205)/F205,"n.a.")</x:f>
        <x:v>0</x:v>
      </x:c>
      <x:c r="I205" s="19" t="n">
        <x:f>IF(ISNUMBER(H205),ABS(H205),"n.a.")</x:f>
        <x:v>0</x:v>
      </x:c>
      <x:c r="J205" s="2" t="str">
        <x:v>available</x:v>
      </x:c>
      <x:c r="K205" s="2" t="n">
        <x:v>1</x:v>
      </x:c>
      <x:c r="L205" s="13" t="b">
        <x:v>1</x:v>
      </x:c>
      <x:c r="M205" s="13" t="b">
        <x:v>1</x:v>
      </x:c>
      <x:c r="N205" s="2" t="str">
        <x:v>inherited2020anchor</x:v>
      </x:c>
      <x:c r="O205" s="2" t="str"/>
      <x:c r="P205" s="2" t="str">
        <x:v>assumption-based floor-area proxy</x:v>
      </x:c>
      <x:c r="Q205" s="2" t="str">
        <x:v>m2</x:v>
      </x:c>
      <x:c r="R205" s="17" t="n">
        <x:v>2808807029.8199997</x:v>
      </x:c>
      <x:c r="S205" s="17"/>
      <x:c r="T205" s="18"/>
      <x:c r="U205" s="17" t="n">
        <x:v>2808807029.8199997</x:v>
      </x:c>
      <x:c r="V205" s="2" t="str">
        <x:v>existing saved physical-floor-area proxy</x:v>
      </x:c>
      <x:c r="W205" s="2" t="str">
        <x:v>legacy_epoch_source_QA_passed; new_common_native_support_not_certified</x:v>
      </x:c>
      <x:c r="X205" s="2" t="str">
        <x:v>https://arxiv.org/abs/2511.12104</x:v>
      </x:c>
    </x:row>
    <x:row r="206" ht="23" customHeight="1">
      <x:c r="A206" s="2" t="str">
        <x:v>URY</x:v>
      </x:c>
      <x:c r="B206" s="2" t="str">
        <x:v>Uruguay (Oriental Republic of)</x:v>
      </x:c>
      <x:c r="C206" s="2" t="n">
        <x:v>2020</x:v>
      </x:c>
      <x:c r="D206" s="2" t="str">
        <x:v>TEMPO_PROXY</x:v>
      </x:c>
      <x:c r="E206" s="17" t="n">
        <x:v>209727833.2899997</x:v>
      </x:c>
      <x:c r="F206" s="17" t="n">
        <x:f>IF(AND(M206,ISNUMBER(R206)),IF(D206="TEMPO_PROXY",R206,IF(AND(ISNUMBER(S206),S206&gt;0,ISNUMBER(U206)),U206*R206/S206,"n.a.")),"n.a.")</x:f>
        <x:v>209727833.2899997</x:v>
      </x:c>
      <x:c r="G206" s="17" t="n">
        <x:f>IF(AND(ISNUMBER(E206),ISNUMBER(F206)),E206-F206,"n.a.")</x:f>
        <x:v>0</x:v>
      </x:c>
      <x:c r="H206" s="15" t="n">
        <x:f>IF(AND(ISNUMBER(E206),ISNUMBER(F206),F206&gt;0),(E206-F206)/F206,"n.a.")</x:f>
        <x:v>0</x:v>
      </x:c>
      <x:c r="I206" s="19" t="n">
        <x:f>IF(ISNUMBER(H206),ABS(H206),"n.a.")</x:f>
        <x:v>0</x:v>
      </x:c>
      <x:c r="J206" s="2" t="str">
        <x:v>available</x:v>
      </x:c>
      <x:c r="K206" s="2" t="n">
        <x:v>1</x:v>
      </x:c>
      <x:c r="L206" s="13" t="b">
        <x:v>1</x:v>
      </x:c>
      <x:c r="M206" s="13" t="b">
        <x:v>1</x:v>
      </x:c>
      <x:c r="N206" s="2" t="str">
        <x:v>inherited2020anchor</x:v>
      </x:c>
      <x:c r="O206" s="2" t="str"/>
      <x:c r="P206" s="2" t="str">
        <x:v>assumption-based floor-area proxy</x:v>
      </x:c>
      <x:c r="Q206" s="2" t="str">
        <x:v>m2</x:v>
      </x:c>
      <x:c r="R206" s="17" t="n">
        <x:v>209727833.2899997</x:v>
      </x:c>
      <x:c r="S206" s="17"/>
      <x:c r="T206" s="18"/>
      <x:c r="U206" s="17" t="n">
        <x:v>209727833.2899997</x:v>
      </x:c>
      <x:c r="V206" s="2" t="str">
        <x:v>existing saved physical-floor-area proxy</x:v>
      </x:c>
      <x:c r="W206" s="2" t="str">
        <x:v>legacy_epoch_source_QA_passed; new_common_native_support_not_certified</x:v>
      </x:c>
      <x:c r="X206" s="2" t="str">
        <x:v>https://arxiv.org/abs/2511.12104</x:v>
      </x:c>
    </x:row>
    <x:row r="207" ht="23" customHeight="1">
      <x:c r="A207" s="2" t="str">
        <x:v>USA</x:v>
      </x:c>
      <x:c r="B207" s="2" t="str">
        <x:v>United States of America</x:v>
      </x:c>
      <x:c r="C207" s="2" t="n">
        <x:v>2020</x:v>
      </x:c>
      <x:c r="D207" s="2" t="str">
        <x:v>TEMPO_PROXY</x:v>
      </x:c>
      <x:c r="E207" s="17" t="n">
        <x:v>35932980078.68004</x:v>
      </x:c>
      <x:c r="F207" s="17" t="n">
        <x:f>IF(AND(M207,ISNUMBER(R207)),IF(D207="TEMPO_PROXY",R207,IF(AND(ISNUMBER(S207),S207&gt;0,ISNUMBER(U207)),U207*R207/S207,"n.a.")),"n.a.")</x:f>
        <x:v>35932980078.68004</x:v>
      </x:c>
      <x:c r="G207" s="17" t="n">
        <x:f>IF(AND(ISNUMBER(E207),ISNUMBER(F207)),E207-F207,"n.a.")</x:f>
        <x:v>0</x:v>
      </x:c>
      <x:c r="H207" s="15" t="n">
        <x:f>IF(AND(ISNUMBER(E207),ISNUMBER(F207),F207&gt;0),(E207-F207)/F207,"n.a.")</x:f>
        <x:v>0</x:v>
      </x:c>
      <x:c r="I207" s="19" t="n">
        <x:f>IF(ISNUMBER(H207),ABS(H207),"n.a.")</x:f>
        <x:v>0</x:v>
      </x:c>
      <x:c r="J207" s="2" t="str">
        <x:v>available</x:v>
      </x:c>
      <x:c r="K207" s="2" t="n">
        <x:v>1</x:v>
      </x:c>
      <x:c r="L207" s="13" t="b">
        <x:v>1</x:v>
      </x:c>
      <x:c r="M207" s="13" t="b">
        <x:v>1</x:v>
      </x:c>
      <x:c r="N207" s="2" t="str">
        <x:v>inherited2020anchor</x:v>
      </x:c>
      <x:c r="O207" s="2" t="str"/>
      <x:c r="P207" s="2" t="str">
        <x:v>assumption-based floor-area proxy</x:v>
      </x:c>
      <x:c r="Q207" s="2" t="str">
        <x:v>m2</x:v>
      </x:c>
      <x:c r="R207" s="17" t="n">
        <x:v>35932980078.68004</x:v>
      </x:c>
      <x:c r="S207" s="17"/>
      <x:c r="T207" s="18"/>
      <x:c r="U207" s="17" t="n">
        <x:v>35932980078.68004</x:v>
      </x:c>
      <x:c r="V207" s="2" t="str">
        <x:v>existing saved physical-floor-area proxy</x:v>
      </x:c>
      <x:c r="W207" s="2" t="str">
        <x:v>legacy_epoch_source_QA_passed; new_common_native_support_not_certified</x:v>
      </x:c>
      <x:c r="X207" s="2" t="str">
        <x:v>https://arxiv.org/abs/2511.12104</x:v>
      </x:c>
    </x:row>
    <x:row r="208" ht="23" customHeight="1">
      <x:c r="A208" s="2" t="str">
        <x:v>UZB</x:v>
      </x:c>
      <x:c r="B208" s="2" t="str">
        <x:v>Uzbekistan (Republic of)</x:v>
      </x:c>
      <x:c r="C208" s="2" t="n">
        <x:v>2020</x:v>
      </x:c>
      <x:c r="D208" s="2" t="str">
        <x:v>TEMPO_PROXY</x:v>
      </x:c>
      <x:c r="E208" s="17" t="n">
        <x:v>1997042653.6300015</x:v>
      </x:c>
      <x:c r="F208" s="17" t="n">
        <x:f>IF(AND(M208,ISNUMBER(R208)),IF(D208="TEMPO_PROXY",R208,IF(AND(ISNUMBER(S208),S208&gt;0,ISNUMBER(U208)),U208*R208/S208,"n.a.")),"n.a.")</x:f>
        <x:v>1997042653.6300015</x:v>
      </x:c>
      <x:c r="G208" s="17" t="n">
        <x:f>IF(AND(ISNUMBER(E208),ISNUMBER(F208)),E208-F208,"n.a.")</x:f>
        <x:v>0</x:v>
      </x:c>
      <x:c r="H208" s="15" t="n">
        <x:f>IF(AND(ISNUMBER(E208),ISNUMBER(F208),F208&gt;0),(E208-F208)/F208,"n.a.")</x:f>
        <x:v>0</x:v>
      </x:c>
      <x:c r="I208" s="19" t="n">
        <x:f>IF(ISNUMBER(H208),ABS(H208),"n.a.")</x:f>
        <x:v>0</x:v>
      </x:c>
      <x:c r="J208" s="2" t="str">
        <x:v>available</x:v>
      </x:c>
      <x:c r="K208" s="2" t="n">
        <x:v>1</x:v>
      </x:c>
      <x:c r="L208" s="13" t="b">
        <x:v>1</x:v>
      </x:c>
      <x:c r="M208" s="13" t="b">
        <x:v>1</x:v>
      </x:c>
      <x:c r="N208" s="2" t="str">
        <x:v>inherited2020anchor</x:v>
      </x:c>
      <x:c r="O208" s="2" t="str"/>
      <x:c r="P208" s="2" t="str">
        <x:v>assumption-based floor-area proxy</x:v>
      </x:c>
      <x:c r="Q208" s="2" t="str">
        <x:v>m2</x:v>
      </x:c>
      <x:c r="R208" s="17" t="n">
        <x:v>1997042653.6300015</x:v>
      </x:c>
      <x:c r="S208" s="17"/>
      <x:c r="T208" s="18"/>
      <x:c r="U208" s="17" t="n">
        <x:v>1997042653.6300015</x:v>
      </x:c>
      <x:c r="V208" s="2" t="str">
        <x:v>existing saved physical-floor-area proxy</x:v>
      </x:c>
      <x:c r="W208" s="2" t="str">
        <x:v>legacy_epoch_source_QA_passed; new_common_native_support_not_certified</x:v>
      </x:c>
      <x:c r="X208" s="2" t="str">
        <x:v>https://arxiv.org/abs/2511.12104</x:v>
      </x:c>
    </x:row>
    <x:row r="209" ht="23" customHeight="1">
      <x:c r="A209" s="2" t="str">
        <x:v>VAT</x:v>
      </x:c>
      <x:c r="B209" s="2" t="str">
        <x:v>Holy See (State of the Vatican City)</x:v>
      </x:c>
      <x:c r="C209" s="2" t="n">
        <x:v>2020</x:v>
      </x:c>
      <x:c r="D209" s="2" t="str">
        <x:v>TEMPO_PROXY</x:v>
      </x:c>
      <x:c r="E209" s="17" t="n">
        <x:v>318924.24</x:v>
      </x:c>
      <x:c r="F209" s="17" t="n">
        <x:f>IF(AND(M209,ISNUMBER(R209)),IF(D209="TEMPO_PROXY",R209,IF(AND(ISNUMBER(S209),S209&gt;0,ISNUMBER(U209)),U209*R209/S209,"n.a.")),"n.a.")</x:f>
        <x:v>318924.24</x:v>
      </x:c>
      <x:c r="G209" s="17" t="n">
        <x:f>IF(AND(ISNUMBER(E209),ISNUMBER(F209)),E209-F209,"n.a.")</x:f>
        <x:v>0</x:v>
      </x:c>
      <x:c r="H209" s="15" t="n">
        <x:f>IF(AND(ISNUMBER(E209),ISNUMBER(F209),F209&gt;0),(E209-F209)/F209,"n.a.")</x:f>
        <x:v>0</x:v>
      </x:c>
      <x:c r="I209" s="19" t="n">
        <x:f>IF(ISNUMBER(H209),ABS(H209),"n.a.")</x:f>
        <x:v>0</x:v>
      </x:c>
      <x:c r="J209" s="2" t="str">
        <x:v>available</x:v>
      </x:c>
      <x:c r="K209" s="2" t="n">
        <x:v>1</x:v>
      </x:c>
      <x:c r="L209" s="13" t="b">
        <x:v>1</x:v>
      </x:c>
      <x:c r="M209" s="13" t="b">
        <x:v>1</x:v>
      </x:c>
      <x:c r="N209" s="2" t="str">
        <x:v>inherited2020anchor</x:v>
      </x:c>
      <x:c r="O209" s="2" t="str"/>
      <x:c r="P209" s="2" t="str">
        <x:v>assumption-based floor-area proxy</x:v>
      </x:c>
      <x:c r="Q209" s="2" t="str">
        <x:v>m2</x:v>
      </x:c>
      <x:c r="R209" s="17" t="n">
        <x:v>318924.24</x:v>
      </x:c>
      <x:c r="S209" s="17"/>
      <x:c r="T209" s="18"/>
      <x:c r="U209" s="17" t="n">
        <x:v>318924.24</x:v>
      </x:c>
      <x:c r="V209" s="2" t="str">
        <x:v>existing saved physical-floor-area proxy</x:v>
      </x:c>
      <x:c r="W209" s="2" t="str">
        <x:v>legacy_epoch_source_QA_passed; new_common_native_support_not_certified</x:v>
      </x:c>
      <x:c r="X209" s="2" t="str">
        <x:v>https://arxiv.org/abs/2511.12104</x:v>
      </x:c>
    </x:row>
    <x:row r="210" ht="23" customHeight="1">
      <x:c r="A210" s="2" t="str">
        <x:v>VCT</x:v>
      </x:c>
      <x:c r="B210" s="2" t="str">
        <x:v>Saint Vincent and the Grenadines</x:v>
      </x:c>
      <x:c r="C210" s="2" t="n">
        <x:v>2020</x:v>
      </x:c>
      <x:c r="D210" s="2" t="str">
        <x:v>TEMPO_PROXY</x:v>
      </x:c>
      <x:c r="E210" s="17" t="n">
        <x:v>6194383.570000002</x:v>
      </x:c>
      <x:c r="F210" s="17" t="n">
        <x:f>IF(AND(M210,ISNUMBER(R210)),IF(D210="TEMPO_PROXY",R210,IF(AND(ISNUMBER(S210),S210&gt;0,ISNUMBER(U210)),U210*R210/S210,"n.a.")),"n.a.")</x:f>
        <x:v>6194383.570000002</x:v>
      </x:c>
      <x:c r="G210" s="17" t="n">
        <x:f>IF(AND(ISNUMBER(E210),ISNUMBER(F210)),E210-F210,"n.a.")</x:f>
        <x:v>0</x:v>
      </x:c>
      <x:c r="H210" s="15" t="n">
        <x:f>IF(AND(ISNUMBER(E210),ISNUMBER(F210),F210&gt;0),(E210-F210)/F210,"n.a.")</x:f>
        <x:v>0</x:v>
      </x:c>
      <x:c r="I210" s="19" t="n">
        <x:f>IF(ISNUMBER(H210),ABS(H210),"n.a.")</x:f>
        <x:v>0</x:v>
      </x:c>
      <x:c r="J210" s="2" t="str">
        <x:v>available</x:v>
      </x:c>
      <x:c r="K210" s="2" t="n">
        <x:v>1</x:v>
      </x:c>
      <x:c r="L210" s="13" t="b">
        <x:v>1</x:v>
      </x:c>
      <x:c r="M210" s="13" t="b">
        <x:v>1</x:v>
      </x:c>
      <x:c r="N210" s="2" t="str">
        <x:v>inherited2020anchor</x:v>
      </x:c>
      <x:c r="O210" s="2" t="str"/>
      <x:c r="P210" s="2" t="str">
        <x:v>assumption-based floor-area proxy</x:v>
      </x:c>
      <x:c r="Q210" s="2" t="str">
        <x:v>m2</x:v>
      </x:c>
      <x:c r="R210" s="17" t="n">
        <x:v>6194383.570000002</x:v>
      </x:c>
      <x:c r="S210" s="17"/>
      <x:c r="T210" s="18"/>
      <x:c r="U210" s="17" t="n">
        <x:v>6194383.570000002</x:v>
      </x:c>
      <x:c r="V210" s="2" t="str">
        <x:v>existing saved physical-floor-area proxy</x:v>
      </x:c>
      <x:c r="W210" s="2" t="str">
        <x:v>legacy_epoch_source_QA_passed; new_common_native_support_not_certified</x:v>
      </x:c>
      <x:c r="X210" s="2" t="str">
        <x:v>https://arxiv.org/abs/2511.12104</x:v>
      </x:c>
    </x:row>
    <x:row r="211" ht="23" customHeight="1">
      <x:c r="A211" s="2" t="str">
        <x:v>VEN</x:v>
      </x:c>
      <x:c r="B211" s="2" t="str">
        <x:v>Venezuela (Bolivarian Republic of)</x:v>
      </x:c>
      <x:c r="C211" s="2" t="n">
        <x:v>2020</x:v>
      </x:c>
      <x:c r="D211" s="2" t="str">
        <x:v>TEMPO_PROXY</x:v>
      </x:c>
      <x:c r="E211" s="17" t="n">
        <x:v>1159546607.6500015</x:v>
      </x:c>
      <x:c r="F211" s="17" t="n">
        <x:f>IF(AND(M211,ISNUMBER(R211)),IF(D211="TEMPO_PROXY",R211,IF(AND(ISNUMBER(S211),S211&gt;0,ISNUMBER(U211)),U211*R211/S211,"n.a.")),"n.a.")</x:f>
        <x:v>1159546607.6500015</x:v>
      </x:c>
      <x:c r="G211" s="17" t="n">
        <x:f>IF(AND(ISNUMBER(E211),ISNUMBER(F211)),E211-F211,"n.a.")</x:f>
        <x:v>0</x:v>
      </x:c>
      <x:c r="H211" s="15" t="n">
        <x:f>IF(AND(ISNUMBER(E211),ISNUMBER(F211),F211&gt;0),(E211-F211)/F211,"n.a.")</x:f>
        <x:v>0</x:v>
      </x:c>
      <x:c r="I211" s="19" t="n">
        <x:f>IF(ISNUMBER(H211),ABS(H211),"n.a.")</x:f>
        <x:v>0</x:v>
      </x:c>
      <x:c r="J211" s="2" t="str">
        <x:v>available</x:v>
      </x:c>
      <x:c r="K211" s="2" t="n">
        <x:v>1</x:v>
      </x:c>
      <x:c r="L211" s="13" t="b">
        <x:v>1</x:v>
      </x:c>
      <x:c r="M211" s="13" t="b">
        <x:v>1</x:v>
      </x:c>
      <x:c r="N211" s="2" t="str">
        <x:v>inherited2020anchor</x:v>
      </x:c>
      <x:c r="O211" s="2" t="str"/>
      <x:c r="P211" s="2" t="str">
        <x:v>assumption-based floor-area proxy</x:v>
      </x:c>
      <x:c r="Q211" s="2" t="str">
        <x:v>m2</x:v>
      </x:c>
      <x:c r="R211" s="17" t="n">
        <x:v>1159546607.6500015</x:v>
      </x:c>
      <x:c r="S211" s="17"/>
      <x:c r="T211" s="18"/>
      <x:c r="U211" s="17" t="n">
        <x:v>1159546607.6500015</x:v>
      </x:c>
      <x:c r="V211" s="2" t="str">
        <x:v>existing saved physical-floor-area proxy</x:v>
      </x:c>
      <x:c r="W211" s="2" t="str">
        <x:v>legacy_epoch_source_QA_passed; new_common_native_support_not_certified</x:v>
      </x:c>
      <x:c r="X211" s="2" t="str">
        <x:v>https://arxiv.org/abs/2511.12104</x:v>
      </x:c>
    </x:row>
    <x:row r="212" ht="23" customHeight="1">
      <x:c r="A212" s="2" t="str">
        <x:v>VNM</x:v>
      </x:c>
      <x:c r="B212" s="2" t="str">
        <x:v>Viet Nam (Socialist Republic of)</x:v>
      </x:c>
      <x:c r="C212" s="2" t="n">
        <x:v>2020</x:v>
      </x:c>
      <x:c r="D212" s="2" t="str">
        <x:v>TEMPO_PROXY</x:v>
      </x:c>
      <x:c r="E212" s="17" t="n">
        <x:v>4861867508.520002</x:v>
      </x:c>
      <x:c r="F212" s="17" t="n">
        <x:f>IF(AND(M212,ISNUMBER(R212)),IF(D212="TEMPO_PROXY",R212,IF(AND(ISNUMBER(S212),S212&gt;0,ISNUMBER(U212)),U212*R212/S212,"n.a.")),"n.a.")</x:f>
        <x:v>4861867508.520002</x:v>
      </x:c>
      <x:c r="G212" s="17" t="n">
        <x:f>IF(AND(ISNUMBER(E212),ISNUMBER(F212)),E212-F212,"n.a.")</x:f>
        <x:v>0</x:v>
      </x:c>
      <x:c r="H212" s="15" t="n">
        <x:f>IF(AND(ISNUMBER(E212),ISNUMBER(F212),F212&gt;0),(E212-F212)/F212,"n.a.")</x:f>
        <x:v>0</x:v>
      </x:c>
      <x:c r="I212" s="19" t="n">
        <x:f>IF(ISNUMBER(H212),ABS(H212),"n.a.")</x:f>
        <x:v>0</x:v>
      </x:c>
      <x:c r="J212" s="2" t="str">
        <x:v>available</x:v>
      </x:c>
      <x:c r="K212" s="2" t="n">
        <x:v>1</x:v>
      </x:c>
      <x:c r="L212" s="13" t="b">
        <x:v>1</x:v>
      </x:c>
      <x:c r="M212" s="13" t="b">
        <x:v>1</x:v>
      </x:c>
      <x:c r="N212" s="2" t="str">
        <x:v>inherited2020anchor</x:v>
      </x:c>
      <x:c r="O212" s="2" t="str"/>
      <x:c r="P212" s="2" t="str">
        <x:v>assumption-based floor-area proxy</x:v>
      </x:c>
      <x:c r="Q212" s="2" t="str">
        <x:v>m2</x:v>
      </x:c>
      <x:c r="R212" s="17" t="n">
        <x:v>4861867508.520002</x:v>
      </x:c>
      <x:c r="S212" s="17"/>
      <x:c r="T212" s="18"/>
      <x:c r="U212" s="17" t="n">
        <x:v>4861867508.520002</x:v>
      </x:c>
      <x:c r="V212" s="2" t="str">
        <x:v>existing saved physical-floor-area proxy</x:v>
      </x:c>
      <x:c r="W212" s="2" t="str">
        <x:v>legacy_epoch_source_QA_passed; new_common_native_support_not_certified</x:v>
      </x:c>
      <x:c r="X212" s="2" t="str">
        <x:v>https://arxiv.org/abs/2511.12104</x:v>
      </x:c>
    </x:row>
    <x:row r="213" ht="23" customHeight="1">
      <x:c r="A213" s="2" t="str">
        <x:v>VUT</x:v>
      </x:c>
      <x:c r="B213" s="2" t="str">
        <x:v>Vanuatu (Republic of)</x:v>
      </x:c>
      <x:c r="C213" s="2" t="n">
        <x:v>2020</x:v>
      </x:c>
      <x:c r="D213" s="2" t="str">
        <x:v>TEMPO_PROXY</x:v>
      </x:c>
      <x:c r="E213" s="17" t="n">
        <x:v>8193524.700000004</x:v>
      </x:c>
      <x:c r="F213" s="17" t="n">
        <x:f>IF(AND(M213,ISNUMBER(R213)),IF(D213="TEMPO_PROXY",R213,IF(AND(ISNUMBER(S213),S213&gt;0,ISNUMBER(U213)),U213*R213/S213,"n.a.")),"n.a.")</x:f>
        <x:v>8193524.700000004</x:v>
      </x:c>
      <x:c r="G213" s="17" t="n">
        <x:f>IF(AND(ISNUMBER(E213),ISNUMBER(F213)),E213-F213,"n.a.")</x:f>
        <x:v>0</x:v>
      </x:c>
      <x:c r="H213" s="15" t="n">
        <x:f>IF(AND(ISNUMBER(E213),ISNUMBER(F213),F213&gt;0),(E213-F213)/F213,"n.a.")</x:f>
        <x:v>0</x:v>
      </x:c>
      <x:c r="I213" s="19" t="n">
        <x:f>IF(ISNUMBER(H213),ABS(H213),"n.a.")</x:f>
        <x:v>0</x:v>
      </x:c>
      <x:c r="J213" s="2" t="str">
        <x:v>available</x:v>
      </x:c>
      <x:c r="K213" s="2" t="n">
        <x:v>1</x:v>
      </x:c>
      <x:c r="L213" s="13" t="b">
        <x:v>1</x:v>
      </x:c>
      <x:c r="M213" s="13" t="b">
        <x:v>1</x:v>
      </x:c>
      <x:c r="N213" s="2" t="str">
        <x:v>inherited2020anchor</x:v>
      </x:c>
      <x:c r="O213" s="2" t="str"/>
      <x:c r="P213" s="2" t="str">
        <x:v>assumption-based floor-area proxy</x:v>
      </x:c>
      <x:c r="Q213" s="2" t="str">
        <x:v>m2</x:v>
      </x:c>
      <x:c r="R213" s="17" t="n">
        <x:v>8193524.700000004</x:v>
      </x:c>
      <x:c r="S213" s="17"/>
      <x:c r="T213" s="18"/>
      <x:c r="U213" s="17" t="n">
        <x:v>8193524.700000004</x:v>
      </x:c>
      <x:c r="V213" s="2" t="str">
        <x:v>existing saved physical-floor-area proxy</x:v>
      </x:c>
      <x:c r="W213" s="2" t="str">
        <x:v>legacy_epoch_source_QA_passed; new_common_native_support_not_certified</x:v>
      </x:c>
      <x:c r="X213" s="2" t="str">
        <x:v>https://arxiv.org/abs/2511.12104</x:v>
      </x:c>
    </x:row>
    <x:row r="214" ht="23" customHeight="1">
      <x:c r="A214" s="2" t="str">
        <x:v>WSM</x:v>
      </x:c>
      <x:c r="B214" s="2" t="str">
        <x:v>Samoa (Independent State of)</x:v>
      </x:c>
      <x:c r="C214" s="2" t="n">
        <x:v>2020</x:v>
      </x:c>
      <x:c r="D214" s="2" t="str">
        <x:v>TEMPO_PROXY</x:v>
      </x:c>
      <x:c r="E214" s="17" t="n">
        <x:v>8105266.000000001</x:v>
      </x:c>
      <x:c r="F214" s="17" t="n">
        <x:f>IF(AND(M214,ISNUMBER(R214)),IF(D214="TEMPO_PROXY",R214,IF(AND(ISNUMBER(S214),S214&gt;0,ISNUMBER(U214)),U214*R214/S214,"n.a.")),"n.a.")</x:f>
        <x:v>8105266.000000001</x:v>
      </x:c>
      <x:c r="G214" s="17" t="n">
        <x:f>IF(AND(ISNUMBER(E214),ISNUMBER(F214)),E214-F214,"n.a.")</x:f>
        <x:v>0</x:v>
      </x:c>
      <x:c r="H214" s="15" t="n">
        <x:f>IF(AND(ISNUMBER(E214),ISNUMBER(F214),F214&gt;0),(E214-F214)/F214,"n.a.")</x:f>
        <x:v>0</x:v>
      </x:c>
      <x:c r="I214" s="19" t="n">
        <x:f>IF(ISNUMBER(H214),ABS(H214),"n.a.")</x:f>
        <x:v>0</x:v>
      </x:c>
      <x:c r="J214" s="2" t="str">
        <x:v>available</x:v>
      </x:c>
      <x:c r="K214" s="2" t="n">
        <x:v>1</x:v>
      </x:c>
      <x:c r="L214" s="13" t="b">
        <x:v>1</x:v>
      </x:c>
      <x:c r="M214" s="13" t="b">
        <x:v>1</x:v>
      </x:c>
      <x:c r="N214" s="2" t="str">
        <x:v>inherited2020anchor</x:v>
      </x:c>
      <x:c r="O214" s="2" t="str"/>
      <x:c r="P214" s="2" t="str">
        <x:v>assumption-based floor-area proxy</x:v>
      </x:c>
      <x:c r="Q214" s="2" t="str">
        <x:v>m2</x:v>
      </x:c>
      <x:c r="R214" s="17" t="n">
        <x:v>8105266.000000001</x:v>
      </x:c>
      <x:c r="S214" s="17"/>
      <x:c r="T214" s="18"/>
      <x:c r="U214" s="17" t="n">
        <x:v>8105266.000000001</x:v>
      </x:c>
      <x:c r="V214" s="2" t="str">
        <x:v>existing saved physical-floor-area proxy</x:v>
      </x:c>
      <x:c r="W214" s="2" t="str">
        <x:v>legacy_epoch_source_QA_passed; new_common_native_support_not_certified</x:v>
      </x:c>
      <x:c r="X214" s="2" t="str">
        <x:v>https://arxiv.org/abs/2511.12104</x:v>
      </x:c>
    </x:row>
    <x:row r="215" ht="23" customHeight="1">
      <x:c r="A215" s="2" t="str">
        <x:v>YEM</x:v>
      </x:c>
      <x:c r="B215" s="2" t="str">
        <x:v>Yemen (Republic of)</x:v>
      </x:c>
      <x:c r="C215" s="2" t="n">
        <x:v>2020</x:v>
      </x:c>
      <x:c r="D215" s="2" t="str">
        <x:v>TEMPO_PROXY</x:v>
      </x:c>
      <x:c r="E215" s="17" t="n">
        <x:v>454480387.6899993</x:v>
      </x:c>
      <x:c r="F215" s="17" t="n">
        <x:f>IF(AND(M215,ISNUMBER(R215)),IF(D215="TEMPO_PROXY",R215,IF(AND(ISNUMBER(S215),S215&gt;0,ISNUMBER(U215)),U215*R215/S215,"n.a.")),"n.a.")</x:f>
        <x:v>454480387.6899993</x:v>
      </x:c>
      <x:c r="G215" s="17" t="n">
        <x:f>IF(AND(ISNUMBER(E215),ISNUMBER(F215)),E215-F215,"n.a.")</x:f>
        <x:v>0</x:v>
      </x:c>
      <x:c r="H215" s="15" t="n">
        <x:f>IF(AND(ISNUMBER(E215),ISNUMBER(F215),F215&gt;0),(E215-F215)/F215,"n.a.")</x:f>
        <x:v>0</x:v>
      </x:c>
      <x:c r="I215" s="19" t="n">
        <x:f>IF(ISNUMBER(H215),ABS(H215),"n.a.")</x:f>
        <x:v>0</x:v>
      </x:c>
      <x:c r="J215" s="2" t="str">
        <x:v>available</x:v>
      </x:c>
      <x:c r="K215" s="2" t="n">
        <x:v>1</x:v>
      </x:c>
      <x:c r="L215" s="13" t="b">
        <x:v>1</x:v>
      </x:c>
      <x:c r="M215" s="13" t="b">
        <x:v>1</x:v>
      </x:c>
      <x:c r="N215" s="2" t="str">
        <x:v>inherited2020anchor</x:v>
      </x:c>
      <x:c r="O215" s="2" t="str"/>
      <x:c r="P215" s="2" t="str">
        <x:v>assumption-based floor-area proxy</x:v>
      </x:c>
      <x:c r="Q215" s="2" t="str">
        <x:v>m2</x:v>
      </x:c>
      <x:c r="R215" s="17" t="n">
        <x:v>454480387.6899993</x:v>
      </x:c>
      <x:c r="S215" s="17"/>
      <x:c r="T215" s="18"/>
      <x:c r="U215" s="17" t="n">
        <x:v>454480387.6899993</x:v>
      </x:c>
      <x:c r="V215" s="2" t="str">
        <x:v>existing saved physical-floor-area proxy</x:v>
      </x:c>
      <x:c r="W215" s="2" t="str">
        <x:v>legacy_epoch_source_QA_passed; new_common_native_support_not_certified</x:v>
      </x:c>
      <x:c r="X215" s="2" t="str">
        <x:v>https://arxiv.org/abs/2511.12104</x:v>
      </x:c>
    </x:row>
    <x:row r="216" ht="23" customHeight="1">
      <x:c r="A216" s="2" t="str">
        <x:v>ZAF</x:v>
      </x:c>
      <x:c r="B216" s="2" t="str">
        <x:v>South Africa (Republic of)</x:v>
      </x:c>
      <x:c r="C216" s="2" t="n">
        <x:v>2020</x:v>
      </x:c>
      <x:c r="D216" s="2" t="str">
        <x:v>TEMPO_PROXY</x:v>
      </x:c>
      <x:c r="E216" s="17" t="n">
        <x:v>2711325840.6099963</x:v>
      </x:c>
      <x:c r="F216" s="17" t="n">
        <x:f>IF(AND(M216,ISNUMBER(R216)),IF(D216="TEMPO_PROXY",R216,IF(AND(ISNUMBER(S216),S216&gt;0,ISNUMBER(U216)),U216*R216/S216,"n.a.")),"n.a.")</x:f>
        <x:v>2711325840.6099963</x:v>
      </x:c>
      <x:c r="G216" s="17" t="n">
        <x:f>IF(AND(ISNUMBER(E216),ISNUMBER(F216)),E216-F216,"n.a.")</x:f>
        <x:v>0</x:v>
      </x:c>
      <x:c r="H216" s="15" t="n">
        <x:f>IF(AND(ISNUMBER(E216),ISNUMBER(F216),F216&gt;0),(E216-F216)/F216,"n.a.")</x:f>
        <x:v>0</x:v>
      </x:c>
      <x:c r="I216" s="19" t="n">
        <x:f>IF(ISNUMBER(H216),ABS(H216),"n.a.")</x:f>
        <x:v>0</x:v>
      </x:c>
      <x:c r="J216" s="2" t="str">
        <x:v>available</x:v>
      </x:c>
      <x:c r="K216" s="2" t="n">
        <x:v>1</x:v>
      </x:c>
      <x:c r="L216" s="13" t="b">
        <x:v>1</x:v>
      </x:c>
      <x:c r="M216" s="13" t="b">
        <x:v>1</x:v>
      </x:c>
      <x:c r="N216" s="2" t="str">
        <x:v>inherited2020anchor</x:v>
      </x:c>
      <x:c r="O216" s="2" t="str"/>
      <x:c r="P216" s="2" t="str">
        <x:v>assumption-based floor-area proxy</x:v>
      </x:c>
      <x:c r="Q216" s="2" t="str">
        <x:v>m2</x:v>
      </x:c>
      <x:c r="R216" s="17" t="n">
        <x:v>2711325840.6099963</x:v>
      </x:c>
      <x:c r="S216" s="17"/>
      <x:c r="T216" s="18"/>
      <x:c r="U216" s="17" t="n">
        <x:v>2711325840.6099963</x:v>
      </x:c>
      <x:c r="V216" s="2" t="str">
        <x:v>existing saved physical-floor-area proxy</x:v>
      </x:c>
      <x:c r="W216" s="2" t="str">
        <x:v>legacy_epoch_source_QA_passed; new_common_native_support_not_certified</x:v>
      </x:c>
      <x:c r="X216" s="2" t="str">
        <x:v>https://arxiv.org/abs/2511.12104</x:v>
      </x:c>
    </x:row>
    <x:row r="217" ht="23" customHeight="1">
      <x:c r="A217" s="2" t="str">
        <x:v>ZMB</x:v>
      </x:c>
      <x:c r="B217" s="2" t="str">
        <x:v>Zambia (Republic of)</x:v>
      </x:c>
      <x:c r="C217" s="2" t="n">
        <x:v>2020</x:v>
      </x:c>
      <x:c r="D217" s="2" t="str">
        <x:v>TEMPO_PROXY</x:v>
      </x:c>
      <x:c r="E217" s="17" t="n">
        <x:v>396696842.49999976</x:v>
      </x:c>
      <x:c r="F217" s="17" t="n">
        <x:f>IF(AND(M217,ISNUMBER(R217)),IF(D217="TEMPO_PROXY",R217,IF(AND(ISNUMBER(S217),S217&gt;0,ISNUMBER(U217)),U217*R217/S217,"n.a.")),"n.a.")</x:f>
        <x:v>396696842.49999976</x:v>
      </x:c>
      <x:c r="G217" s="17" t="n">
        <x:f>IF(AND(ISNUMBER(E217),ISNUMBER(F217)),E217-F217,"n.a.")</x:f>
        <x:v>0</x:v>
      </x:c>
      <x:c r="H217" s="15" t="n">
        <x:f>IF(AND(ISNUMBER(E217),ISNUMBER(F217),F217&gt;0),(E217-F217)/F217,"n.a.")</x:f>
        <x:v>0</x:v>
      </x:c>
      <x:c r="I217" s="19" t="n">
        <x:f>IF(ISNUMBER(H217),ABS(H217),"n.a.")</x:f>
        <x:v>0</x:v>
      </x:c>
      <x:c r="J217" s="2" t="str">
        <x:v>available</x:v>
      </x:c>
      <x:c r="K217" s="2" t="n">
        <x:v>1</x:v>
      </x:c>
      <x:c r="L217" s="13" t="b">
        <x:v>1</x:v>
      </x:c>
      <x:c r="M217" s="13" t="b">
        <x:v>1</x:v>
      </x:c>
      <x:c r="N217" s="2" t="str">
        <x:v>inherited2020anchor</x:v>
      </x:c>
      <x:c r="O217" s="2" t="str"/>
      <x:c r="P217" s="2" t="str">
        <x:v>assumption-based floor-area proxy</x:v>
      </x:c>
      <x:c r="Q217" s="2" t="str">
        <x:v>m2</x:v>
      </x:c>
      <x:c r="R217" s="17" t="n">
        <x:v>396696842.49999976</x:v>
      </x:c>
      <x:c r="S217" s="17"/>
      <x:c r="T217" s="18"/>
      <x:c r="U217" s="17" t="n">
        <x:v>396696842.49999976</x:v>
      </x:c>
      <x:c r="V217" s="2" t="str">
        <x:v>existing saved physical-floor-area proxy</x:v>
      </x:c>
      <x:c r="W217" s="2" t="str">
        <x:v>legacy_epoch_source_QA_passed; new_common_native_support_not_certified</x:v>
      </x:c>
      <x:c r="X217" s="2" t="str">
        <x:v>https://arxiv.org/abs/2511.12104</x:v>
      </x:c>
    </x:row>
    <x:row r="218" ht="23" customHeight="1">
      <x:c r="A218" s="2" t="str">
        <x:v>ZWE</x:v>
      </x:c>
      <x:c r="B218" s="2" t="str">
        <x:v>Zimbabwe (Republic of)</x:v>
      </x:c>
      <x:c r="C218" s="2" t="n">
        <x:v>2020</x:v>
      </x:c>
      <x:c r="D218" s="2" t="str">
        <x:v>TEMPO_PROXY</x:v>
      </x:c>
      <x:c r="E218" s="17" t="n">
        <x:v>420425813.9799996</x:v>
      </x:c>
      <x:c r="F218" s="17" t="n">
        <x:f>IF(AND(M218,ISNUMBER(R218)),IF(D218="TEMPO_PROXY",R218,IF(AND(ISNUMBER(S218),S218&gt;0,ISNUMBER(U218)),U218*R218/S218,"n.a.")),"n.a.")</x:f>
        <x:v>420425813.9799996</x:v>
      </x:c>
      <x:c r="G218" s="17" t="n">
        <x:f>IF(AND(ISNUMBER(E218),ISNUMBER(F218)),E218-F218,"n.a.")</x:f>
        <x:v>0</x:v>
      </x:c>
      <x:c r="H218" s="15" t="n">
        <x:f>IF(AND(ISNUMBER(E218),ISNUMBER(F218),F218&gt;0),(E218-F218)/F218,"n.a.")</x:f>
        <x:v>0</x:v>
      </x:c>
      <x:c r="I218" s="19" t="n">
        <x:f>IF(ISNUMBER(H218),ABS(H218),"n.a.")</x:f>
        <x:v>0</x:v>
      </x:c>
      <x:c r="J218" s="2" t="str">
        <x:v>available</x:v>
      </x:c>
      <x:c r="K218" s="2" t="n">
        <x:v>1</x:v>
      </x:c>
      <x:c r="L218" s="13" t="b">
        <x:v>1</x:v>
      </x:c>
      <x:c r="M218" s="13" t="b">
        <x:v>1</x:v>
      </x:c>
      <x:c r="N218" s="2" t="str">
        <x:v>inherited2020anchor</x:v>
      </x:c>
      <x:c r="O218" s="2" t="str"/>
      <x:c r="P218" s="2" t="str">
        <x:v>assumption-based floor-area proxy</x:v>
      </x:c>
      <x:c r="Q218" s="2" t="str">
        <x:v>m2</x:v>
      </x:c>
      <x:c r="R218" s="17" t="n">
        <x:v>420425813.9799996</x:v>
      </x:c>
      <x:c r="S218" s="17"/>
      <x:c r="T218" s="18"/>
      <x:c r="U218" s="17" t="n">
        <x:v>420425813.9799996</x:v>
      </x:c>
      <x:c r="V218" s="2" t="str">
        <x:v>existing saved physical-floor-area proxy</x:v>
      </x:c>
      <x:c r="W218" s="2" t="str">
        <x:v>legacy_epoch_source_QA_passed; new_common_native_support_not_certified</x:v>
      </x:c>
      <x:c r="X218" s="2" t="str">
        <x:v>https://arxiv.org/abs/2511.12104</x:v>
      </x:c>
    </x:row>
    <x:row r="219" ht="23" customHeight="1">
      <x:c r="A219" s="2" t="str">
        <x:v>AFG</x:v>
      </x:c>
      <x:c r="B219" s="2" t="str">
        <x:v>Afghanistan (Islamic Republic of)</x:v>
      </x:c>
      <x:c r="C219" s="2" t="n">
        <x:v>2023</x:v>
      </x:c>
      <x:c r="D219" s="2" t="str">
        <x:v>TEMPO_PROXY</x:v>
      </x:c>
      <x:c r="E219" s="17" t="n">
        <x:v>996044473.5381728</x:v>
      </x:c>
      <x:c r="F219" s="17" t="n">
        <x:f>IF(AND(M219,ISNUMBER(R219)),IF(D219="TEMPO_PROXY",R219,IF(AND(ISNUMBER(S219),S219&gt;0,ISNUMBER(U219)),U219*R219/S219,"n.a.")),"n.a.")</x:f>
        <x:v>904786946.28</x:v>
      </x:c>
      <x:c r="G219" s="17" t="n">
        <x:f>IF(AND(ISNUMBER(E219),ISNUMBER(F219)),E219-F219,"n.a.")</x:f>
        <x:v>91257527.25817287</x:v>
      </x:c>
      <x:c r="H219" s="15" t="n">
        <x:f>IF(AND(ISNUMBER(E219),ISNUMBER(F219),F219&gt;0),(E219-F219)/F219,"n.a.")</x:f>
        <x:v>0.10086079118777633</x:v>
      </x:c>
      <x:c r="I219" s="19" t="n">
        <x:f>IF(ISNUMBER(H219),ABS(H219),"n.a.")</x:f>
        <x:v>0.10086079118777633</x:v>
      </x:c>
      <x:c r="J219" s="2" t="str">
        <x:v>available</x:v>
      </x:c>
      <x:c r="K219" s="2" t="n">
        <x:v>1</x:v>
      </x:c>
      <x:c r="L219" s="13" t="b">
        <x:v>0</x:v>
      </x:c>
      <x:c r="M219" s="13" t="b">
        <x:v>1</x:v>
      </x:c>
      <x:c r="N219" s="2" t="str">
        <x:v>unused2023converted-source comparator</x:v>
      </x:c>
      <x:c r="O219" s="2" t="str"/>
      <x:c r="P219" s="2" t="str">
        <x:v>assumption-based floor-area proxy</x:v>
      </x:c>
      <x:c r="Q219" s="2" t="str">
        <x:v>m2</x:v>
      </x:c>
      <x:c r="R219" s="17" t="n">
        <x:v>904786946.28</x:v>
      </x:c>
      <x:c r="S219" s="17"/>
      <x:c r="T219" s="18"/>
      <x:c r="U219" s="17" t="n">
        <x:v>853208432.4500008</x:v>
      </x:c>
      <x:c r="V219" s="2" t="str">
        <x:v>existing saved physical-floor-area proxy</x:v>
      </x:c>
      <x:c r="W219" s="2" t="str">
        <x:v>legacy_epoch_source_QA_passed; new_common_native_support_not_certified</x:v>
      </x:c>
      <x:c r="X219" s="2" t="str">
        <x:v>https://arxiv.org/abs/2511.12104</x:v>
      </x:c>
    </x:row>
    <x:row r="220" ht="23" customHeight="1">
      <x:c r="A220" s="2" t="str">
        <x:v>AGO</x:v>
      </x:c>
      <x:c r="B220" s="2" t="str">
        <x:v>Angola (Republic of)</x:v>
      </x:c>
      <x:c r="C220" s="2" t="n">
        <x:v>2023</x:v>
      </x:c>
      <x:c r="D220" s="2" t="str">
        <x:v>TEMPO_PROXY</x:v>
      </x:c>
      <x:c r="E220" s="17" t="n">
        <x:v>577098188.7830937</x:v>
      </x:c>
      <x:c r="F220" s="17" t="n">
        <x:f>IF(AND(M220,ISNUMBER(R220)),IF(D220="TEMPO_PROXY",R220,IF(AND(ISNUMBER(S220),S220&gt;0,ISNUMBER(U220)),U220*R220/S220,"n.a.")),"n.a.")</x:f>
        <x:v>515655178.64</x:v>
      </x:c>
      <x:c r="G220" s="17" t="n">
        <x:f>IF(AND(ISNUMBER(E220),ISNUMBER(F220)),E220-F220,"n.a.")</x:f>
        <x:v>61443010.143093705</x:v>
      </x:c>
      <x:c r="H220" s="15" t="n">
        <x:f>IF(AND(ISNUMBER(E220),ISNUMBER(F220),F220&gt;0),(E220-F220)/F220,"n.a.")</x:f>
        <x:v>0.11915522754012636</x:v>
      </x:c>
      <x:c r="I220" s="19" t="n">
        <x:f>IF(ISNUMBER(H220),ABS(H220),"n.a.")</x:f>
        <x:v>0.11915522754012636</x:v>
      </x:c>
      <x:c r="J220" s="2" t="str">
        <x:v>available</x:v>
      </x:c>
      <x:c r="K220" s="2" t="n">
        <x:v>1</x:v>
      </x:c>
      <x:c r="L220" s="13" t="b">
        <x:v>0</x:v>
      </x:c>
      <x:c r="M220" s="13" t="b">
        <x:v>1</x:v>
      </x:c>
      <x:c r="N220" s="2" t="str">
        <x:v>unused2023converted-source comparator</x:v>
      </x:c>
      <x:c r="O220" s="2" t="str"/>
      <x:c r="P220" s="2" t="str">
        <x:v>assumption-based floor-area proxy</x:v>
      </x:c>
      <x:c r="Q220" s="2" t="str">
        <x:v>m2</x:v>
      </x:c>
      <x:c r="R220" s="17" t="n">
        <x:v>515655178.64</x:v>
      </x:c>
      <x:c r="S220" s="17"/>
      <x:c r="T220" s="18"/>
      <x:c r="U220" s="17" t="n">
        <x:v>512504617.85999936</x:v>
      </x:c>
      <x:c r="V220" s="2" t="str">
        <x:v>existing saved physical-floor-area proxy</x:v>
      </x:c>
      <x:c r="W220" s="2" t="str">
        <x:v>legacy_epoch_source_QA_passed; new_common_native_support_not_certified</x:v>
      </x:c>
      <x:c r="X220" s="2" t="str">
        <x:v>https://arxiv.org/abs/2511.12104</x:v>
      </x:c>
    </x:row>
    <x:row r="221" ht="23" customHeight="1">
      <x:c r="A221" s="2" t="str">
        <x:v>ALB</x:v>
      </x:c>
      <x:c r="B221" s="2" t="str">
        <x:v>Albania (Republic of)</x:v>
      </x:c>
      <x:c r="C221" s="2" t="n">
        <x:v>2023</x:v>
      </x:c>
      <x:c r="D221" s="2" t="str">
        <x:v>TEMPO_PROXY</x:v>
      </x:c>
      <x:c r="E221" s="17" t="n">
        <x:v>163084599.75188568</x:v>
      </x:c>
      <x:c r="F221" s="17" t="n">
        <x:f>IF(AND(M221,ISNUMBER(R221)),IF(D221="TEMPO_PROXY",R221,IF(AND(ISNUMBER(S221),S221&gt;0,ISNUMBER(U221)),U221*R221/S221,"n.a.")),"n.a.")</x:f>
        <x:v>169295544.74</x:v>
      </x:c>
      <x:c r="G221" s="17" t="n">
        <x:f>IF(AND(ISNUMBER(E221),ISNUMBER(F221)),E221-F221,"n.a.")</x:f>
        <x:v>-6210944.988114327</x:v>
      </x:c>
      <x:c r="H221" s="15" t="n">
        <x:f>IF(AND(ISNUMBER(E221),ISNUMBER(F221),F221&gt;0),(E221-F221)/F221,"n.a.")</x:f>
        <x:v>-0.03668699609108406</x:v>
      </x:c>
      <x:c r="I221" s="19" t="n">
        <x:f>IF(ISNUMBER(H221),ABS(H221),"n.a.")</x:f>
        <x:v>0.03668699609108406</x:v>
      </x:c>
      <x:c r="J221" s="2" t="str">
        <x:v>available</x:v>
      </x:c>
      <x:c r="K221" s="2" t="n">
        <x:v>1</x:v>
      </x:c>
      <x:c r="L221" s="13" t="b">
        <x:v>0</x:v>
      </x:c>
      <x:c r="M221" s="13" t="b">
        <x:v>1</x:v>
      </x:c>
      <x:c r="N221" s="2" t="str">
        <x:v>unused2023converted-source comparator</x:v>
      </x:c>
      <x:c r="O221" s="2" t="str"/>
      <x:c r="P221" s="2" t="str">
        <x:v>assumption-based floor-area proxy</x:v>
      </x:c>
      <x:c r="Q221" s="2" t="str">
        <x:v>m2</x:v>
      </x:c>
      <x:c r="R221" s="17" t="n">
        <x:v>169295544.74</x:v>
      </x:c>
      <x:c r="S221" s="17"/>
      <x:c r="T221" s="18"/>
      <x:c r="U221" s="17" t="n">
        <x:v>161276383.52000022</x:v>
      </x:c>
      <x:c r="V221" s="2" t="str">
        <x:v>existing saved physical-floor-area proxy</x:v>
      </x:c>
      <x:c r="W221" s="2" t="str">
        <x:v>legacy_epoch_source_QA_passed; new_common_native_support_not_certified</x:v>
      </x:c>
      <x:c r="X221" s="2" t="str">
        <x:v>https://arxiv.org/abs/2511.12104</x:v>
      </x:c>
    </x:row>
    <x:row r="222" ht="23" customHeight="1">
      <x:c r="A222" s="2" t="str">
        <x:v>AND</x:v>
      </x:c>
      <x:c r="B222" s="2" t="str">
        <x:v>Andorra (Principality of)</x:v>
      </x:c>
      <x:c r="C222" s="2" t="n">
        <x:v>2023</x:v>
      </x:c>
      <x:c r="D222" s="2" t="str">
        <x:v>TEMPO_PROXY</x:v>
      </x:c>
      <x:c r="E222" s="17" t="n">
        <x:v>3326486.5028189747</x:v>
      </x:c>
      <x:c r="F222" s="17" t="n">
        <x:f>IF(AND(M222,ISNUMBER(R222)),IF(D222="TEMPO_PROXY",R222,IF(AND(ISNUMBER(S222),S222&gt;0,ISNUMBER(U222)),U222*R222/S222,"n.a.")),"n.a.")</x:f>
        <x:v>3230172.18</x:v>
      </x:c>
      <x:c r="G222" s="17" t="n">
        <x:f>IF(AND(ISNUMBER(E222),ISNUMBER(F222)),E222-F222,"n.a.")</x:f>
        <x:v>96314.3228189745</x:v>
      </x:c>
      <x:c r="H222" s="15" t="n">
        <x:f>IF(AND(ISNUMBER(E222),ISNUMBER(F222),F222&gt;0),(E222-F222)/F222,"n.a.")</x:f>
        <x:v>0.029817086350788426</x:v>
      </x:c>
      <x:c r="I222" s="19" t="n">
        <x:f>IF(ISNUMBER(H222),ABS(H222),"n.a.")</x:f>
        <x:v>0.029817086350788426</x:v>
      </x:c>
      <x:c r="J222" s="2" t="str">
        <x:v>available</x:v>
      </x:c>
      <x:c r="K222" s="2" t="n">
        <x:v>1</x:v>
      </x:c>
      <x:c r="L222" s="13" t="b">
        <x:v>0</x:v>
      </x:c>
      <x:c r="M222" s="13" t="b">
        <x:v>1</x:v>
      </x:c>
      <x:c r="N222" s="2" t="str">
        <x:v>unused2023converted-source comparator</x:v>
      </x:c>
      <x:c r="O222" s="2" t="str"/>
      <x:c r="P222" s="2" t="str">
        <x:v>assumption-based floor-area proxy</x:v>
      </x:c>
      <x:c r="Q222" s="2" t="str">
        <x:v>m2</x:v>
      </x:c>
      <x:c r="R222" s="17" t="n">
        <x:v>3230172.18</x:v>
      </x:c>
      <x:c r="S222" s="17"/>
      <x:c r="T222" s="18"/>
      <x:c r="U222" s="17" t="n">
        <x:v>2995448.5899999994</x:v>
      </x:c>
      <x:c r="V222" s="2" t="str">
        <x:v>existing saved physical-floor-area proxy</x:v>
      </x:c>
      <x:c r="W222" s="2" t="str">
        <x:v>legacy_epoch_source_QA_passed; new_common_native_support_not_certified</x:v>
      </x:c>
      <x:c r="X222" s="2" t="str">
        <x:v>https://arxiv.org/abs/2511.12104</x:v>
      </x:c>
    </x:row>
    <x:row r="223" ht="23" customHeight="1">
      <x:c r="A223" s="2" t="str">
        <x:v>ARE</x:v>
      </x:c>
      <x:c r="B223" s="2" t="str">
        <x:v>United Arab Emirates</x:v>
      </x:c>
      <x:c r="C223" s="2" t="n">
        <x:v>2023</x:v>
      </x:c>
      <x:c r="D223" s="2" t="str">
        <x:v>TEMPO_PROXY</x:v>
      </x:c>
      <x:c r="E223" s="17" t="n">
        <x:v>576740560.1188428</x:v>
      </x:c>
      <x:c r="F223" s="17" t="n">
        <x:f>IF(AND(M223,ISNUMBER(R223)),IF(D223="TEMPO_PROXY",R223,IF(AND(ISNUMBER(S223),S223&gt;0,ISNUMBER(U223)),U223*R223/S223,"n.a.")),"n.a.")</x:f>
        <x:v>551729412.03</x:v>
      </x:c>
      <x:c r="G223" s="17" t="n">
        <x:f>IF(AND(ISNUMBER(E223),ISNUMBER(F223)),E223-F223,"n.a.")</x:f>
        <x:v>25011148.08884287</x:v>
      </x:c>
      <x:c r="H223" s="15" t="n">
        <x:f>IF(AND(ISNUMBER(E223),ISNUMBER(F223),F223&gt;0),(E223-F223)/F223,"n.a.")</x:f>
        <x:v>0.04533227256603623</x:v>
      </x:c>
      <x:c r="I223" s="19" t="n">
        <x:f>IF(ISNUMBER(H223),ABS(H223),"n.a.")</x:f>
        <x:v>0.04533227256603623</x:v>
      </x:c>
      <x:c r="J223" s="2" t="str">
        <x:v>available</x:v>
      </x:c>
      <x:c r="K223" s="2" t="n">
        <x:v>1</x:v>
      </x:c>
      <x:c r="L223" s="13" t="b">
        <x:v>0</x:v>
      </x:c>
      <x:c r="M223" s="13" t="b">
        <x:v>1</x:v>
      </x:c>
      <x:c r="N223" s="2" t="str">
        <x:v>unused2023converted-source comparator</x:v>
      </x:c>
      <x:c r="O223" s="2" t="str"/>
      <x:c r="P223" s="2" t="str">
        <x:v>assumption-based floor-area proxy</x:v>
      </x:c>
      <x:c r="Q223" s="2" t="str">
        <x:v>m2</x:v>
      </x:c>
      <x:c r="R223" s="17" t="n">
        <x:v>551729412.03</x:v>
      </x:c>
      <x:c r="S223" s="17"/>
      <x:c r="T223" s="18"/>
      <x:c r="U223" s="17" t="n">
        <x:v>511804054.8699995</x:v>
      </x:c>
      <x:c r="V223" s="2" t="str">
        <x:v>existing saved physical-floor-area proxy</x:v>
      </x:c>
      <x:c r="W223" s="2" t="str">
        <x:v>legacy_epoch_source_QA_passed; new_common_native_support_not_certified</x:v>
      </x:c>
      <x:c r="X223" s="2" t="str">
        <x:v>https://arxiv.org/abs/2511.12104</x:v>
      </x:c>
    </x:row>
    <x:row r="224" ht="23" customHeight="1">
      <x:c r="A224" s="2" t="str">
        <x:v>ARG</x:v>
      </x:c>
      <x:c r="B224" s="2" t="str">
        <x:v>Argentina (Argentine Republic)</x:v>
      </x:c>
      <x:c r="C224" s="2" t="n">
        <x:v>2023</x:v>
      </x:c>
      <x:c r="D224" s="2" t="str">
        <x:v>TEMPO_PROXY</x:v>
      </x:c>
      <x:c r="E224" s="17" t="n">
        <x:v>2512039170.750072</x:v>
      </x:c>
      <x:c r="F224" s="17" t="n">
        <x:f>IF(AND(M224,ISNUMBER(R224)),IF(D224="TEMPO_PROXY",R224,IF(AND(ISNUMBER(S224),S224&gt;0,ISNUMBER(U224)),U224*R224/S224,"n.a.")),"n.a.")</x:f>
        <x:v>2531011731.78</x:v>
      </x:c>
      <x:c r="G224" s="17" t="n">
        <x:f>IF(AND(ISNUMBER(E224),ISNUMBER(F224)),E224-F224,"n.a.")</x:f>
        <x:v>-18972561.029928207</x:v>
      </x:c>
      <x:c r="H224" s="15" t="n">
        <x:f>IF(AND(ISNUMBER(E224),ISNUMBER(F224),F224&gt;0),(E224-F224)/F224,"n.a.")</x:f>
        <x:v>-0.007496038359563532</x:v>
      </x:c>
      <x:c r="I224" s="19" t="n">
        <x:f>IF(ISNUMBER(H224),ABS(H224),"n.a.")</x:f>
        <x:v>0.007496038359563532</x:v>
      </x:c>
      <x:c r="J224" s="2" t="str">
        <x:v>available</x:v>
      </x:c>
      <x:c r="K224" s="2" t="n">
        <x:v>1</x:v>
      </x:c>
      <x:c r="L224" s="13" t="b">
        <x:v>0</x:v>
      </x:c>
      <x:c r="M224" s="13" t="b">
        <x:v>1</x:v>
      </x:c>
      <x:c r="N224" s="2" t="str">
        <x:v>unused2023converted-source comparator</x:v>
      </x:c>
      <x:c r="O224" s="2" t="str"/>
      <x:c r="P224" s="2" t="str">
        <x:v>assumption-based floor-area proxy</x:v>
      </x:c>
      <x:c r="Q224" s="2" t="str">
        <x:v>m2</x:v>
      </x:c>
      <x:c r="R224" s="17" t="n">
        <x:v>2531011731.78</x:v>
      </x:c>
      <x:c r="S224" s="17"/>
      <x:c r="T224" s="18"/>
      <x:c r="U224" s="17" t="n">
        <x:v>2382940448.399998</x:v>
      </x:c>
      <x:c r="V224" s="2" t="str">
        <x:v>existing saved physical-floor-area proxy</x:v>
      </x:c>
      <x:c r="W224" s="2" t="str">
        <x:v>legacy_epoch_source_QA_passed; new_common_native_support_not_certified</x:v>
      </x:c>
      <x:c r="X224" s="2" t="str">
        <x:v>https://arxiv.org/abs/2511.12104</x:v>
      </x:c>
    </x:row>
    <x:row r="225" ht="23" customHeight="1">
      <x:c r="A225" s="2" t="str">
        <x:v>ARM</x:v>
      </x:c>
      <x:c r="B225" s="2" t="str">
        <x:v>Armenia (Republic of)</x:v>
      </x:c>
      <x:c r="C225" s="2" t="n">
        <x:v>2023</x:v>
      </x:c>
      <x:c r="D225" s="2" t="str">
        <x:v>TEMPO_PROXY</x:v>
      </x:c>
      <x:c r="E225" s="17" t="n">
        <x:v>148794351.70823196</x:v>
      </x:c>
      <x:c r="F225" s="17" t="n">
        <x:f>IF(AND(M225,ISNUMBER(R225)),IF(D225="TEMPO_PROXY",R225,IF(AND(ISNUMBER(S225),S225&gt;0,ISNUMBER(U225)),U225*R225/S225,"n.a.")),"n.a.")</x:f>
        <x:v>150315484.74</x:v>
      </x:c>
      <x:c r="G225" s="17" t="n">
        <x:f>IF(AND(ISNUMBER(E225),ISNUMBER(F225)),E225-F225,"n.a.")</x:f>
        <x:v>-1521133.0317680538</x:v>
      </x:c>
      <x:c r="H225" s="15" t="n">
        <x:f>IF(AND(ISNUMBER(E225),ISNUMBER(F225),F225&gt;0),(E225-F225)/F225,"n.a.")</x:f>
        <x:v>-0.010119603009624395</x:v>
      </x:c>
      <x:c r="I225" s="19" t="n">
        <x:f>IF(ISNUMBER(H225),ABS(H225),"n.a.")</x:f>
        <x:v>0.010119603009624395</x:v>
      </x:c>
      <x:c r="J225" s="2" t="str">
        <x:v>available</x:v>
      </x:c>
      <x:c r="K225" s="2" t="n">
        <x:v>1</x:v>
      </x:c>
      <x:c r="L225" s="13" t="b">
        <x:v>0</x:v>
      </x:c>
      <x:c r="M225" s="13" t="b">
        <x:v>1</x:v>
      </x:c>
      <x:c r="N225" s="2" t="str">
        <x:v>unused2023converted-source comparator</x:v>
      </x:c>
      <x:c r="O225" s="2" t="str"/>
      <x:c r="P225" s="2" t="str">
        <x:v>assumption-based floor-area proxy</x:v>
      </x:c>
      <x:c r="Q225" s="2" t="str">
        <x:v>m2</x:v>
      </x:c>
      <x:c r="R225" s="17" t="n">
        <x:v>150315484.74</x:v>
      </x:c>
      <x:c r="S225" s="17"/>
      <x:c r="T225" s="18"/>
      <x:c r="U225" s="17" t="n">
        <x:v>142786500.21000025</x:v>
      </x:c>
      <x:c r="V225" s="2" t="str">
        <x:v>existing saved physical-floor-area proxy</x:v>
      </x:c>
      <x:c r="W225" s="2" t="str">
        <x:v>legacy_epoch_source_QA_passed; new_common_native_support_not_certified</x:v>
      </x:c>
      <x:c r="X225" s="2" t="str">
        <x:v>https://arxiv.org/abs/2511.12104</x:v>
      </x:c>
    </x:row>
    <x:row r="226" ht="23" customHeight="1">
      <x:c r="A226" s="2" t="str">
        <x:v>ATG</x:v>
      </x:c>
      <x:c r="B226" s="2" t="str">
        <x:v>Antigua and Barbuda</x:v>
      </x:c>
      <x:c r="C226" s="2" t="n">
        <x:v>2023</x:v>
      </x:c>
      <x:c r="D226" s="2" t="str">
        <x:v>TEMPO_PROXY</x:v>
      </x:c>
      <x:c r="E226" s="17" t="n">
        <x:v>7604119.701437739</x:v>
      </x:c>
      <x:c r="F226" s="17" t="n">
        <x:f>IF(AND(M226,ISNUMBER(R226)),IF(D226="TEMPO_PROXY",R226,IF(AND(ISNUMBER(S226),S226&gt;0,ISNUMBER(U226)),U226*R226/S226,"n.a.")),"n.a.")</x:f>
        <x:v>7876426.92</x:v>
      </x:c>
      <x:c r="G226" s="17" t="n">
        <x:f>IF(AND(ISNUMBER(E226),ISNUMBER(F226)),E226-F226,"n.a.")</x:f>
        <x:v>-272307.2185622612</x:v>
      </x:c>
      <x:c r="H226" s="15" t="n">
        <x:f>IF(AND(ISNUMBER(E226),ISNUMBER(F226),F226&gt;0),(E226-F226)/F226,"n.a.")</x:f>
        <x:v>-0.03457243002798802</x:v>
      </x:c>
      <x:c r="I226" s="19" t="n">
        <x:f>IF(ISNUMBER(H226),ABS(H226),"n.a.")</x:f>
        <x:v>0.03457243002798802</x:v>
      </x:c>
      <x:c r="J226" s="2" t="str">
        <x:v>available</x:v>
      </x:c>
      <x:c r="K226" s="2" t="n">
        <x:v>1</x:v>
      </x:c>
      <x:c r="L226" s="13" t="b">
        <x:v>0</x:v>
      </x:c>
      <x:c r="M226" s="13" t="b">
        <x:v>1</x:v>
      </x:c>
      <x:c r="N226" s="2" t="str">
        <x:v>unused2023converted-source comparator</x:v>
      </x:c>
      <x:c r="O226" s="2" t="str"/>
      <x:c r="P226" s="2" t="str">
        <x:v>assumption-based floor-area proxy</x:v>
      </x:c>
      <x:c r="Q226" s="2" t="str">
        <x:v>m2</x:v>
      </x:c>
      <x:c r="R226" s="17" t="n">
        <x:v>7876426.92</x:v>
      </x:c>
      <x:c r="S226" s="17"/>
      <x:c r="T226" s="18"/>
      <x:c r="U226" s="17" t="n">
        <x:v>7437404.659999999</x:v>
      </x:c>
      <x:c r="V226" s="2" t="str">
        <x:v>existing saved physical-floor-area proxy</x:v>
      </x:c>
      <x:c r="W226" s="2" t="str">
        <x:v>legacy_epoch_source_QA_passed; new_common_native_support_not_certified</x:v>
      </x:c>
      <x:c r="X226" s="2" t="str">
        <x:v>https://arxiv.org/abs/2511.12104</x:v>
      </x:c>
    </x:row>
    <x:row r="227" ht="23" customHeight="1">
      <x:c r="A227" s="2" t="str">
        <x:v>AUS</x:v>
      </x:c>
      <x:c r="B227" s="2" t="str">
        <x:v>Australia (Commonwealth of)</x:v>
      </x:c>
      <x:c r="C227" s="2" t="n">
        <x:v>2023</x:v>
      </x:c>
      <x:c r="D227" s="2" t="str">
        <x:v>TEMPO_PROXY</x:v>
      </x:c>
      <x:c r="E227" s="17" t="n">
        <x:v>3150002772.636592</x:v>
      </x:c>
      <x:c r="F227" s="17" t="n">
        <x:f>IF(AND(M227,ISNUMBER(R227)),IF(D227="TEMPO_PROXY",R227,IF(AND(ISNUMBER(S227),S227&gt;0,ISNUMBER(U227)),U227*R227/S227,"n.a.")),"n.a.")</x:f>
        <x:v>3197269910.45</x:v>
      </x:c>
      <x:c r="G227" s="17" t="n">
        <x:f>IF(AND(ISNUMBER(E227),ISNUMBER(F227)),E227-F227,"n.a.")</x:f>
        <x:v>-47267137.8134079</x:v>
      </x:c>
      <x:c r="H227" s="15" t="n">
        <x:f>IF(AND(ISNUMBER(E227),ISNUMBER(F227),F227&gt;0),(E227-F227)/F227,"n.a.")</x:f>
        <x:v>-0.01478359323337681</x:v>
      </x:c>
      <x:c r="I227" s="19" t="n">
        <x:f>IF(ISNUMBER(H227),ABS(H227),"n.a.")</x:f>
        <x:v>0.01478359323337681</x:v>
      </x:c>
      <x:c r="J227" s="2" t="str">
        <x:v>available</x:v>
      </x:c>
      <x:c r="K227" s="2" t="n">
        <x:v>1</x:v>
      </x:c>
      <x:c r="L227" s="13" t="b">
        <x:v>0</x:v>
      </x:c>
      <x:c r="M227" s="13" t="b">
        <x:v>1</x:v>
      </x:c>
      <x:c r="N227" s="2" t="str">
        <x:v>unused2023converted-source comparator</x:v>
      </x:c>
      <x:c r="O227" s="2" t="str"/>
      <x:c r="P227" s="2" t="str">
        <x:v>assumption-based floor-area proxy</x:v>
      </x:c>
      <x:c r="Q227" s="2" t="str">
        <x:v>m2</x:v>
      </x:c>
      <x:c r="R227" s="17" t="n">
        <x:v>3197269910.45</x:v>
      </x:c>
      <x:c r="S227" s="17"/>
      <x:c r="T227" s="18"/>
      <x:c r="U227" s="17" t="n">
        <x:v>3011161094.8599973</x:v>
      </x:c>
      <x:c r="V227" s="2" t="str">
        <x:v>existing saved physical-floor-area proxy</x:v>
      </x:c>
      <x:c r="W227" s="2" t="str">
        <x:v>legacy_epoch_source_QA_passed; new_common_native_support_not_certified</x:v>
      </x:c>
      <x:c r="X227" s="2" t="str">
        <x:v>https://arxiv.org/abs/2511.12104</x:v>
      </x:c>
    </x:row>
    <x:row r="228" ht="23" customHeight="1">
      <x:c r="A228" s="2" t="str">
        <x:v>AUT</x:v>
      </x:c>
      <x:c r="B228" s="2" t="str">
        <x:v>Austria (Republic of)</x:v>
      </x:c>
      <x:c r="C228" s="2" t="n">
        <x:v>2023</x:v>
      </x:c>
      <x:c r="D228" s="2" t="str">
        <x:v>TEMPO_PROXY</x:v>
      </x:c>
      <x:c r="E228" s="17" t="n">
        <x:v>921470012.8599453</x:v>
      </x:c>
      <x:c r="F228" s="17" t="n">
        <x:f>IF(AND(M228,ISNUMBER(R228)),IF(D228="TEMPO_PROXY",R228,IF(AND(ISNUMBER(S228),S228&gt;0,ISNUMBER(U228)),U228*R228/S228,"n.a.")),"n.a.")</x:f>
        <x:v>904623249.78</x:v>
      </x:c>
      <x:c r="G228" s="17" t="n">
        <x:f>IF(AND(ISNUMBER(E228),ISNUMBER(F228)),E228-F228,"n.a.")</x:f>
        <x:v>16846763.079945326</x:v>
      </x:c>
      <x:c r="H228" s="15" t="n">
        <x:f>IF(AND(ISNUMBER(E228),ISNUMBER(F228),F228&gt;0),(E228-F228)/F228,"n.a.")</x:f>
        <x:v>0.018622960535275186</x:v>
      </x:c>
      <x:c r="I228" s="19" t="n">
        <x:f>IF(ISNUMBER(H228),ABS(H228),"n.a.")</x:f>
        <x:v>0.018622960535275186</x:v>
      </x:c>
      <x:c r="J228" s="2" t="str">
        <x:v>available</x:v>
      </x:c>
      <x:c r="K228" s="2" t="n">
        <x:v>1</x:v>
      </x:c>
      <x:c r="L228" s="13" t="b">
        <x:v>0</x:v>
      </x:c>
      <x:c r="M228" s="13" t="b">
        <x:v>1</x:v>
      </x:c>
      <x:c r="N228" s="2" t="str">
        <x:v>unused2023converted-source comparator</x:v>
      </x:c>
      <x:c r="O228" s="2" t="str"/>
      <x:c r="P228" s="2" t="str">
        <x:v>assumption-based floor-area proxy</x:v>
      </x:c>
      <x:c r="Q228" s="2" t="str">
        <x:v>m2</x:v>
      </x:c>
      <x:c r="R228" s="17" t="n">
        <x:v>904623249.78</x:v>
      </x:c>
      <x:c r="S228" s="17"/>
      <x:c r="T228" s="18"/>
      <x:c r="U228" s="17" t="n">
        <x:v>865496536.0700006</x:v>
      </x:c>
      <x:c r="V228" s="2" t="str">
        <x:v>existing saved physical-floor-area proxy</x:v>
      </x:c>
      <x:c r="W228" s="2" t="str">
        <x:v>legacy_epoch_source_QA_passed; new_common_native_support_not_certified</x:v>
      </x:c>
      <x:c r="X228" s="2" t="str">
        <x:v>https://arxiv.org/abs/2511.12104</x:v>
      </x:c>
    </x:row>
    <x:row r="229" ht="23" customHeight="1">
      <x:c r="A229" s="2" t="str">
        <x:v>AZE</x:v>
      </x:c>
      <x:c r="B229" s="2" t="str">
        <x:v>Azerbaijan (Republic of)</x:v>
      </x:c>
      <x:c r="C229" s="2" t="n">
        <x:v>2023</x:v>
      </x:c>
      <x:c r="D229" s="2" t="str">
        <x:v>TEMPO_PROXY</x:v>
      </x:c>
      <x:c r="E229" s="17" t="n">
        <x:v>533450484.5210403</x:v>
      </x:c>
      <x:c r="F229" s="17" t="n">
        <x:f>IF(AND(M229,ISNUMBER(R229)),IF(D229="TEMPO_PROXY",R229,IF(AND(ISNUMBER(S229),S229&gt;0,ISNUMBER(U229)),U229*R229/S229,"n.a.")),"n.a.")</x:f>
        <x:v>545138692.22</x:v>
      </x:c>
      <x:c r="G229" s="17" t="n">
        <x:f>IF(AND(ISNUMBER(E229),ISNUMBER(F229)),E229-F229,"n.a.")</x:f>
        <x:v>-11688207.698959708</x:v>
      </x:c>
      <x:c r="H229" s="15" t="n">
        <x:f>IF(AND(ISNUMBER(E229),ISNUMBER(F229),F229&gt;0),(E229-F229)/F229,"n.a.")</x:f>
        <x:v>-0.02144079638038742</x:v>
      </x:c>
      <x:c r="I229" s="19" t="n">
        <x:f>IF(ISNUMBER(H229),ABS(H229),"n.a.")</x:f>
        <x:v>0.02144079638038742</x:v>
      </x:c>
      <x:c r="J229" s="2" t="str">
        <x:v>available</x:v>
      </x:c>
      <x:c r="K229" s="2" t="n">
        <x:v>1</x:v>
      </x:c>
      <x:c r="L229" s="13" t="b">
        <x:v>0</x:v>
      </x:c>
      <x:c r="M229" s="13" t="b">
        <x:v>1</x:v>
      </x:c>
      <x:c r="N229" s="2" t="str">
        <x:v>unused2023converted-source comparator</x:v>
      </x:c>
      <x:c r="O229" s="2" t="str"/>
      <x:c r="P229" s="2" t="str">
        <x:v>assumption-based floor-area proxy</x:v>
      </x:c>
      <x:c r="Q229" s="2" t="str">
        <x:v>m2</x:v>
      </x:c>
      <x:c r="R229" s="17" t="n">
        <x:v>545138692.22</x:v>
      </x:c>
      <x:c r="S229" s="17"/>
      <x:c r="T229" s="18"/>
      <x:c r="U229" s="17" t="n">
        <x:v>507953272.9000006</x:v>
      </x:c>
      <x:c r="V229" s="2" t="str">
        <x:v>existing saved physical-floor-area proxy</x:v>
      </x:c>
      <x:c r="W229" s="2" t="str">
        <x:v>legacy_epoch_source_QA_passed; new_common_native_support_not_certified</x:v>
      </x:c>
      <x:c r="X229" s="2" t="str">
        <x:v>https://arxiv.org/abs/2511.12104</x:v>
      </x:c>
    </x:row>
    <x:row r="230" ht="23" customHeight="1">
      <x:c r="A230" s="2" t="str">
        <x:v>BDI</x:v>
      </x:c>
      <x:c r="B230" s="2" t="str">
        <x:v>Burundi (Republic of)</x:v>
      </x:c>
      <x:c r="C230" s="2" t="n">
        <x:v>2023</x:v>
      </x:c>
      <x:c r="D230" s="2" t="str">
        <x:v>TEMPO_PROXY</x:v>
      </x:c>
      <x:c r="E230" s="17" t="n">
        <x:v>164848816.54997876</x:v>
      </x:c>
      <x:c r="F230" s="17" t="n">
        <x:f>IF(AND(M230,ISNUMBER(R230)),IF(D230="TEMPO_PROXY",R230,IF(AND(ISNUMBER(S230),S230&gt;0,ISNUMBER(U230)),U230*R230/S230,"n.a.")),"n.a.")</x:f>
        <x:v>163647664.16</x:v>
      </x:c>
      <x:c r="G230" s="17" t="n">
        <x:f>IF(AND(ISNUMBER(E230),ISNUMBER(F230)),E230-F230,"n.a.")</x:f>
        <x:v>1201152.3899787664</x:v>
      </x:c>
      <x:c r="H230" s="15" t="n">
        <x:f>IF(AND(ISNUMBER(E230),ISNUMBER(F230),F230&gt;0),(E230-F230)/F230,"n.a.")</x:f>
        <x:v>0.0073398688343292665</x:v>
      </x:c>
      <x:c r="I230" s="19" t="n">
        <x:f>IF(ISNUMBER(H230),ABS(H230),"n.a.")</x:f>
        <x:v>0.0073398688343292665</x:v>
      </x:c>
      <x:c r="J230" s="2" t="str">
        <x:v>available</x:v>
      </x:c>
      <x:c r="K230" s="2" t="n">
        <x:v>1</x:v>
      </x:c>
      <x:c r="L230" s="13" t="b">
        <x:v>0</x:v>
      </x:c>
      <x:c r="M230" s="13" t="b">
        <x:v>1</x:v>
      </x:c>
      <x:c r="N230" s="2" t="str">
        <x:v>unused2023converted-source comparator</x:v>
      </x:c>
      <x:c r="O230" s="2" t="str"/>
      <x:c r="P230" s="2" t="str">
        <x:v>assumption-based floor-area proxy</x:v>
      </x:c>
      <x:c r="Q230" s="2" t="str">
        <x:v>m2</x:v>
      </x:c>
      <x:c r="R230" s="17" t="n">
        <x:v>163647664.16</x:v>
      </x:c>
      <x:c r="S230" s="17"/>
      <x:c r="T230" s="18"/>
      <x:c r="U230" s="17" t="n">
        <x:v>147710691.6100001</x:v>
      </x:c>
      <x:c r="V230" s="2" t="str">
        <x:v>existing saved physical-floor-area proxy</x:v>
      </x:c>
      <x:c r="W230" s="2" t="str">
        <x:v>legacy_epoch_source_QA_passed; new_common_native_support_not_certified</x:v>
      </x:c>
      <x:c r="X230" s="2" t="str">
        <x:v>https://arxiv.org/abs/2511.12104</x:v>
      </x:c>
    </x:row>
    <x:row r="231" ht="23" customHeight="1">
      <x:c r="A231" s="2" t="str">
        <x:v>BEL</x:v>
      </x:c>
      <x:c r="B231" s="2" t="str">
        <x:v>Belgium (Kingdom of)</x:v>
      </x:c>
      <x:c r="C231" s="2" t="n">
        <x:v>2023</x:v>
      </x:c>
      <x:c r="D231" s="2" t="str">
        <x:v>TEMPO_PROXY</x:v>
      </x:c>
      <x:c r="E231" s="17" t="n">
        <x:v>1164575889.6617367</x:v>
      </x:c>
      <x:c r="F231" s="17" t="n">
        <x:f>IF(AND(M231,ISNUMBER(R231)),IF(D231="TEMPO_PROXY",R231,IF(AND(ISNUMBER(S231),S231&gt;0,ISNUMBER(U231)),U231*R231/S231,"n.a.")),"n.a.")</x:f>
        <x:v>1111162585.13</x:v>
      </x:c>
      <x:c r="G231" s="17" t="n">
        <x:f>IF(AND(ISNUMBER(E231),ISNUMBER(F231)),E231-F231,"n.a.")</x:f>
        <x:v>53413304.53173661</x:v>
      </x:c>
      <x:c r="H231" s="15" t="n">
        <x:f>IF(AND(ISNUMBER(E231),ISNUMBER(F231),F231&gt;0),(E231-F231)/F231,"n.a.")</x:f>
        <x:v>0.04806974716979653</x:v>
      </x:c>
      <x:c r="I231" s="19" t="n">
        <x:f>IF(ISNUMBER(H231),ABS(H231),"n.a.")</x:f>
        <x:v>0.04806974716979653</x:v>
      </x:c>
      <x:c r="J231" s="2" t="str">
        <x:v>available</x:v>
      </x:c>
      <x:c r="K231" s="2" t="n">
        <x:v>1</x:v>
      </x:c>
      <x:c r="L231" s="13" t="b">
        <x:v>0</x:v>
      </x:c>
      <x:c r="M231" s="13" t="b">
        <x:v>1</x:v>
      </x:c>
      <x:c r="N231" s="2" t="str">
        <x:v>unused2023converted-source comparator</x:v>
      </x:c>
      <x:c r="O231" s="2" t="str"/>
      <x:c r="P231" s="2" t="str">
        <x:v>assumption-based floor-area proxy</x:v>
      </x:c>
      <x:c r="Q231" s="2" t="str">
        <x:v>m2</x:v>
      </x:c>
      <x:c r="R231" s="17" t="n">
        <x:v>1111162585.13</x:v>
      </x:c>
      <x:c r="S231" s="17"/>
      <x:c r="T231" s="18"/>
      <x:c r="U231" s="17" t="n">
        <x:v>1079109698.0100002</x:v>
      </x:c>
      <x:c r="V231" s="2" t="str">
        <x:v>existing saved physical-floor-area proxy</x:v>
      </x:c>
      <x:c r="W231" s="2" t="str">
        <x:v>legacy_epoch_source_QA_passed; new_common_native_support_not_certified</x:v>
      </x:c>
      <x:c r="X231" s="2" t="str">
        <x:v>https://arxiv.org/abs/2511.12104</x:v>
      </x:c>
    </x:row>
    <x:row r="232" ht="23" customHeight="1">
      <x:c r="A232" s="2" t="str">
        <x:v>BEN</x:v>
      </x:c>
      <x:c r="B232" s="2" t="str">
        <x:v>Benin (Republic of)</x:v>
      </x:c>
      <x:c r="C232" s="2" t="n">
        <x:v>2023</x:v>
      </x:c>
      <x:c r="D232" s="2" t="str">
        <x:v>TEMPO_PROXY</x:v>
      </x:c>
      <x:c r="E232" s="17" t="n">
        <x:v>330354836.0723422</x:v>
      </x:c>
      <x:c r="F232" s="17" t="n">
        <x:f>IF(AND(M232,ISNUMBER(R232)),IF(D232="TEMPO_PROXY",R232,IF(AND(ISNUMBER(S232),S232&gt;0,ISNUMBER(U232)),U232*R232/S232,"n.a.")),"n.a.")</x:f>
        <x:v>329684296.35</x:v>
      </x:c>
      <x:c r="G232" s="17" t="n">
        <x:f>IF(AND(ISNUMBER(E232),ISNUMBER(F232)),E232-F232,"n.a.")</x:f>
        <x:v>670539.7223421931</x:v>
      </x:c>
      <x:c r="H232" s="15" t="n">
        <x:f>IF(AND(ISNUMBER(E232),ISNUMBER(F232),F232&gt;0),(E232-F232)/F232,"n.a.")</x:f>
        <x:v>0.002033884324385089</x:v>
      </x:c>
      <x:c r="I232" s="19" t="n">
        <x:f>IF(ISNUMBER(H232),ABS(H232),"n.a.")</x:f>
        <x:v>0.002033884324385089</x:v>
      </x:c>
      <x:c r="J232" s="2" t="str">
        <x:v>available</x:v>
      </x:c>
      <x:c r="K232" s="2" t="n">
        <x:v>1</x:v>
      </x:c>
      <x:c r="L232" s="13" t="b">
        <x:v>0</x:v>
      </x:c>
      <x:c r="M232" s="13" t="b">
        <x:v>1</x:v>
      </x:c>
      <x:c r="N232" s="2" t="str">
        <x:v>unused2023converted-source comparator</x:v>
      </x:c>
      <x:c r="O232" s="2" t="str"/>
      <x:c r="P232" s="2" t="str">
        <x:v>assumption-based floor-area proxy</x:v>
      </x:c>
      <x:c r="Q232" s="2" t="str">
        <x:v>m2</x:v>
      </x:c>
      <x:c r="R232" s="17" t="n">
        <x:v>329684296.35</x:v>
      </x:c>
      <x:c r="S232" s="17"/>
      <x:c r="T232" s="18"/>
      <x:c r="U232" s="17" t="n">
        <x:v>302038367.25</x:v>
      </x:c>
      <x:c r="V232" s="2" t="str">
        <x:v>existing saved physical-floor-area proxy</x:v>
      </x:c>
      <x:c r="W232" s="2" t="str">
        <x:v>legacy_epoch_source_QA_passed; new_common_native_support_not_certified</x:v>
      </x:c>
      <x:c r="X232" s="2" t="str">
        <x:v>https://arxiv.org/abs/2511.12104</x:v>
      </x:c>
    </x:row>
    <x:row r="233" ht="23" customHeight="1">
      <x:c r="A233" s="2" t="str">
        <x:v>BFA</x:v>
      </x:c>
      <x:c r="B233" s="2" t="str">
        <x:v>Burkina Faso</x:v>
      </x:c>
      <x:c r="C233" s="2" t="n">
        <x:v>2023</x:v>
      </x:c>
      <x:c r="D233" s="2" t="str">
        <x:v>TEMPO_PROXY</x:v>
      </x:c>
      <x:c r="E233" s="17" t="n">
        <x:v>391497281.1057063</x:v>
      </x:c>
      <x:c r="F233" s="17" t="n">
        <x:f>IF(AND(M233,ISNUMBER(R233)),IF(D233="TEMPO_PROXY",R233,IF(AND(ISNUMBER(S233),S233&gt;0,ISNUMBER(U233)),U233*R233/S233,"n.a.")),"n.a.")</x:f>
        <x:v>404459464.1</x:v>
      </x:c>
      <x:c r="G233" s="17" t="n">
        <x:f>IF(AND(ISNUMBER(E233),ISNUMBER(F233)),E233-F233,"n.a.")</x:f>
        <x:v>-12962182.99429375</x:v>
      </x:c>
      <x:c r="H233" s="15" t="n">
        <x:f>IF(AND(ISNUMBER(E233),ISNUMBER(F233),F233&gt;0),(E233-F233)/F233,"n.a.")</x:f>
        <x:v>-0.03204816340034741</x:v>
      </x:c>
      <x:c r="I233" s="19" t="n">
        <x:f>IF(ISNUMBER(H233),ABS(H233),"n.a.")</x:f>
        <x:v>0.03204816340034741</x:v>
      </x:c>
      <x:c r="J233" s="2" t="str">
        <x:v>available</x:v>
      </x:c>
      <x:c r="K233" s="2" t="n">
        <x:v>1</x:v>
      </x:c>
      <x:c r="L233" s="13" t="b">
        <x:v>0</x:v>
      </x:c>
      <x:c r="M233" s="13" t="b">
        <x:v>1</x:v>
      </x:c>
      <x:c r="N233" s="2" t="str">
        <x:v>unused2023converted-source comparator</x:v>
      </x:c>
      <x:c r="O233" s="2" t="str"/>
      <x:c r="P233" s="2" t="str">
        <x:v>assumption-based floor-area proxy</x:v>
      </x:c>
      <x:c r="Q233" s="2" t="str">
        <x:v>m2</x:v>
      </x:c>
      <x:c r="R233" s="17" t="n">
        <x:v>404459464.1</x:v>
      </x:c>
      <x:c r="S233" s="17"/>
      <x:c r="T233" s="18"/>
      <x:c r="U233" s="17" t="n">
        <x:v>359180891.3500002</x:v>
      </x:c>
      <x:c r="V233" s="2" t="str">
        <x:v>existing saved physical-floor-area proxy</x:v>
      </x:c>
      <x:c r="W233" s="2" t="str">
        <x:v>legacy_epoch_source_QA_passed; new_common_native_support_not_certified</x:v>
      </x:c>
      <x:c r="X233" s="2" t="str">
        <x:v>https://arxiv.org/abs/2511.12104</x:v>
      </x:c>
    </x:row>
    <x:row r="234" ht="23" customHeight="1">
      <x:c r="A234" s="2" t="str">
        <x:v>BGD</x:v>
      </x:c>
      <x:c r="B234" s="2" t="str">
        <x:v>Bangladesh (People's Republic of)</x:v>
      </x:c>
      <x:c r="C234" s="2" t="n">
        <x:v>2023</x:v>
      </x:c>
      <x:c r="D234" s="2" t="str">
        <x:v>TEMPO_PROXY</x:v>
      </x:c>
      <x:c r="E234" s="17" t="n">
        <x:v>2740038058.4835844</x:v>
      </x:c>
      <x:c r="F234" s="17" t="n">
        <x:f>IF(AND(M234,ISNUMBER(R234)),IF(D234="TEMPO_PROXY",R234,IF(AND(ISNUMBER(S234),S234&gt;0,ISNUMBER(U234)),U234*R234/S234,"n.a.")),"n.a.")</x:f>
        <x:v>2618059042.17</x:v>
      </x:c>
      <x:c r="G234" s="17" t="n">
        <x:f>IF(AND(ISNUMBER(E234),ISNUMBER(F234)),E234-F234,"n.a.")</x:f>
        <x:v>121979016.31358433</x:v>
      </x:c>
      <x:c r="H234" s="15" t="n">
        <x:f>IF(AND(ISNUMBER(E234),ISNUMBER(F234),F234&gt;0),(E234-F234)/F234,"n.a.")</x:f>
        <x:v>0.04659139245862118</x:v>
      </x:c>
      <x:c r="I234" s="19" t="n">
        <x:f>IF(ISNUMBER(H234),ABS(H234),"n.a.")</x:f>
        <x:v>0.04659139245862118</x:v>
      </x:c>
      <x:c r="J234" s="2" t="str">
        <x:v>available</x:v>
      </x:c>
      <x:c r="K234" s="2" t="n">
        <x:v>1</x:v>
      </x:c>
      <x:c r="L234" s="13" t="b">
        <x:v>0</x:v>
      </x:c>
      <x:c r="M234" s="13" t="b">
        <x:v>1</x:v>
      </x:c>
      <x:c r="N234" s="2" t="str">
        <x:v>unused2023converted-source comparator</x:v>
      </x:c>
      <x:c r="O234" s="2" t="str"/>
      <x:c r="P234" s="2" t="str">
        <x:v>assumption-based floor-area proxy</x:v>
      </x:c>
      <x:c r="Q234" s="2" t="str">
        <x:v>m2</x:v>
      </x:c>
      <x:c r="R234" s="17" t="n">
        <x:v>2618059042.17</x:v>
      </x:c>
      <x:c r="S234" s="17"/>
      <x:c r="T234" s="18"/>
      <x:c r="U234" s="17" t="n">
        <x:v>2430930564.5499988</x:v>
      </x:c>
      <x:c r="V234" s="2" t="str">
        <x:v>existing saved physical-floor-area proxy</x:v>
      </x:c>
      <x:c r="W234" s="2" t="str">
        <x:v>legacy_epoch_source_QA_passed; new_common_native_support_not_certified</x:v>
      </x:c>
      <x:c r="X234" s="2" t="str">
        <x:v>https://arxiv.org/abs/2511.12104</x:v>
      </x:c>
    </x:row>
    <x:row r="235" ht="23" customHeight="1">
      <x:c r="A235" s="2" t="str">
        <x:v>BGR</x:v>
      </x:c>
      <x:c r="B235" s="2" t="str">
        <x:v>Bulgaria (Republic of)</x:v>
      </x:c>
      <x:c r="C235" s="2" t="n">
        <x:v>2023</x:v>
      </x:c>
      <x:c r="D235" s="2" t="str">
        <x:v>TEMPO_PROXY</x:v>
      </x:c>
      <x:c r="E235" s="17" t="n">
        <x:v>563290439.3726661</x:v>
      </x:c>
      <x:c r="F235" s="17" t="n">
        <x:f>IF(AND(M235,ISNUMBER(R235)),IF(D235="TEMPO_PROXY",R235,IF(AND(ISNUMBER(S235),S235&gt;0,ISNUMBER(U235)),U235*R235/S235,"n.a.")),"n.a.")</x:f>
        <x:v>566462792.97</x:v>
      </x:c>
      <x:c r="G235" s="17" t="n">
        <x:f>IF(AND(ISNUMBER(E235),ISNUMBER(F235)),E235-F235,"n.a.")</x:f>
        <x:v>-3172353.597333908</x:v>
      </x:c>
      <x:c r="H235" s="15" t="n">
        <x:f>IF(AND(ISNUMBER(E235),ISNUMBER(F235),F235&gt;0),(E235-F235)/F235,"n.a.")</x:f>
        <x:v>-0.005600285908807989</x:v>
      </x:c>
      <x:c r="I235" s="19" t="n">
        <x:f>IF(ISNUMBER(H235),ABS(H235),"n.a.")</x:f>
        <x:v>0.005600285908807989</x:v>
      </x:c>
      <x:c r="J235" s="2" t="str">
        <x:v>available</x:v>
      </x:c>
      <x:c r="K235" s="2" t="n">
        <x:v>1</x:v>
      </x:c>
      <x:c r="L235" s="13" t="b">
        <x:v>0</x:v>
      </x:c>
      <x:c r="M235" s="13" t="b">
        <x:v>1</x:v>
      </x:c>
      <x:c r="N235" s="2" t="str">
        <x:v>unused2023converted-source comparator</x:v>
      </x:c>
      <x:c r="O235" s="2" t="str"/>
      <x:c r="P235" s="2" t="str">
        <x:v>assumption-based floor-area proxy</x:v>
      </x:c>
      <x:c r="Q235" s="2" t="str">
        <x:v>m2</x:v>
      </x:c>
      <x:c r="R235" s="17" t="n">
        <x:v>566462792.97</x:v>
      </x:c>
      <x:c r="S235" s="17"/>
      <x:c r="T235" s="18"/>
      <x:c r="U235" s="17" t="n">
        <x:v>543020803.5700008</x:v>
      </x:c>
      <x:c r="V235" s="2" t="str">
        <x:v>existing saved physical-floor-area proxy</x:v>
      </x:c>
      <x:c r="W235" s="2" t="str">
        <x:v>legacy_epoch_source_QA_passed; new_common_native_support_not_certified</x:v>
      </x:c>
      <x:c r="X235" s="2" t="str">
        <x:v>https://arxiv.org/abs/2511.12104</x:v>
      </x:c>
    </x:row>
    <x:row r="236" ht="23" customHeight="1">
      <x:c r="A236" s="2" t="str">
        <x:v>BHR</x:v>
      </x:c>
      <x:c r="B236" s="2" t="str">
        <x:v>Bahrain (Kingdom of)</x:v>
      </x:c>
      <x:c r="C236" s="2" t="n">
        <x:v>2023</x:v>
      </x:c>
      <x:c r="D236" s="2" t="str">
        <x:v>TEMPO_PROXY</x:v>
      </x:c>
      <x:c r="E236" s="17" t="n">
        <x:v>69508549.57617551</x:v>
      </x:c>
      <x:c r="F236" s="17" t="n">
        <x:f>IF(AND(M236,ISNUMBER(R236)),IF(D236="TEMPO_PROXY",R236,IF(AND(ISNUMBER(S236),S236&gt;0,ISNUMBER(U236)),U236*R236/S236,"n.a.")),"n.a.")</x:f>
        <x:v>70285026.86</x:v>
      </x:c>
      <x:c r="G236" s="17" t="n">
        <x:f>IF(AND(ISNUMBER(E236),ISNUMBER(F236)),E236-F236,"n.a.")</x:f>
        <x:v>-776477.2838244885</x:v>
      </x:c>
      <x:c r="H236" s="15" t="n">
        <x:f>IF(AND(ISNUMBER(E236),ISNUMBER(F236),F236&gt;0),(E236-F236)/F236,"n.a.")</x:f>
        <x:v>-0.011047549079993174</x:v>
      </x:c>
      <x:c r="I236" s="19" t="n">
        <x:f>IF(ISNUMBER(H236),ABS(H236),"n.a.")</x:f>
        <x:v>0.011047549079993174</x:v>
      </x:c>
      <x:c r="J236" s="2" t="str">
        <x:v>available</x:v>
      </x:c>
      <x:c r="K236" s="2" t="n">
        <x:v>1</x:v>
      </x:c>
      <x:c r="L236" s="13" t="b">
        <x:v>0</x:v>
      </x:c>
      <x:c r="M236" s="13" t="b">
        <x:v>1</x:v>
      </x:c>
      <x:c r="N236" s="2" t="str">
        <x:v>unused2023converted-source comparator</x:v>
      </x:c>
      <x:c r="O236" s="2" t="str"/>
      <x:c r="P236" s="2" t="str">
        <x:v>assumption-based floor-area proxy</x:v>
      </x:c>
      <x:c r="Q236" s="2" t="str">
        <x:v>m2</x:v>
      </x:c>
      <x:c r="R236" s="17" t="n">
        <x:v>70285026.86</x:v>
      </x:c>
      <x:c r="S236" s="17"/>
      <x:c r="T236" s="18"/>
      <x:c r="U236" s="17" t="n">
        <x:v>63702858.11000008</x:v>
      </x:c>
      <x:c r="V236" s="2" t="str">
        <x:v>existing saved physical-floor-area proxy</x:v>
      </x:c>
      <x:c r="W236" s="2" t="str">
        <x:v>legacy_epoch_source_QA_passed; new_common_native_support_not_certified</x:v>
      </x:c>
      <x:c r="X236" s="2" t="str">
        <x:v>https://arxiv.org/abs/2511.12104</x:v>
      </x:c>
    </x:row>
    <x:row r="237" ht="23" customHeight="1">
      <x:c r="A237" s="2" t="str">
        <x:v>BHS</x:v>
      </x:c>
      <x:c r="B237" s="2" t="str">
        <x:v>Bahamas (Commonwealth of the)</x:v>
      </x:c>
      <x:c r="C237" s="2" t="n">
        <x:v>2023</x:v>
      </x:c>
      <x:c r="D237" s="2" t="str">
        <x:v>TEMPO_PROXY</x:v>
      </x:c>
      <x:c r="E237" s="17" t="n">
        <x:v>30727373.649168283</x:v>
      </x:c>
      <x:c r="F237" s="17" t="n">
        <x:f>IF(AND(M237,ISNUMBER(R237)),IF(D237="TEMPO_PROXY",R237,IF(AND(ISNUMBER(S237),S237&gt;0,ISNUMBER(U237)),U237*R237/S237,"n.a.")),"n.a.")</x:f>
        <x:v>30646062.76</x:v>
      </x:c>
      <x:c r="G237" s="17" t="n">
        <x:f>IF(AND(ISNUMBER(E237),ISNUMBER(F237)),E237-F237,"n.a.")</x:f>
        <x:v>81310.88916828111</x:v>
      </x:c>
      <x:c r="H237" s="15" t="n">
        <x:f>IF(AND(ISNUMBER(E237),ISNUMBER(F237),F237&gt;0),(E237-F237)/F237,"n.a.")</x:f>
        <x:v>0.002653224650913725</x:v>
      </x:c>
      <x:c r="I237" s="19" t="n">
        <x:f>IF(ISNUMBER(H237),ABS(H237),"n.a.")</x:f>
        <x:v>0.002653224650913725</x:v>
      </x:c>
      <x:c r="J237" s="2" t="str">
        <x:v>available</x:v>
      </x:c>
      <x:c r="K237" s="2" t="n">
        <x:v>1</x:v>
      </x:c>
      <x:c r="L237" s="13" t="b">
        <x:v>0</x:v>
      </x:c>
      <x:c r="M237" s="13" t="b">
        <x:v>1</x:v>
      </x:c>
      <x:c r="N237" s="2" t="str">
        <x:v>unused2023converted-source comparator</x:v>
      </x:c>
      <x:c r="O237" s="2" t="str"/>
      <x:c r="P237" s="2" t="str">
        <x:v>assumption-based floor-area proxy</x:v>
      </x:c>
      <x:c r="Q237" s="2" t="str">
        <x:v>m2</x:v>
      </x:c>
      <x:c r="R237" s="17" t="n">
        <x:v>30646062.76</x:v>
      </x:c>
      <x:c r="S237" s="17"/>
      <x:c r="T237" s="18"/>
      <x:c r="U237" s="17" t="n">
        <x:v>29184660.44999999</x:v>
      </x:c>
      <x:c r="V237" s="2" t="str">
        <x:v>existing saved physical-floor-area proxy</x:v>
      </x:c>
      <x:c r="W237" s="2" t="str">
        <x:v>legacy_epoch_source_QA_passed; new_common_native_support_not_certified</x:v>
      </x:c>
      <x:c r="X237" s="2" t="str">
        <x:v>https://arxiv.org/abs/2511.12104</x:v>
      </x:c>
    </x:row>
    <x:row r="238" ht="23" customHeight="1">
      <x:c r="A238" s="2" t="str">
        <x:v>BIH</x:v>
      </x:c>
      <x:c r="B238" s="2" t="str">
        <x:v>Bosnia and Herzegovina</x:v>
      </x:c>
      <x:c r="C238" s="2" t="n">
        <x:v>2023</x:v>
      </x:c>
      <x:c r="D238" s="2" t="str">
        <x:v>TEMPO_PROXY</x:v>
      </x:c>
      <x:c r="E238" s="17" t="n">
        <x:v>251211896.28119755</x:v>
      </x:c>
      <x:c r="F238" s="17" t="n">
        <x:f>IF(AND(M238,ISNUMBER(R238)),IF(D238="TEMPO_PROXY",R238,IF(AND(ISNUMBER(S238),S238&gt;0,ISNUMBER(U238)),U238*R238/S238,"n.a.")),"n.a.")</x:f>
        <x:v>260873881.34</x:v>
      </x:c>
      <x:c r="G238" s="17" t="n">
        <x:f>IF(AND(ISNUMBER(E238),ISNUMBER(F238)),E238-F238,"n.a.")</x:f>
        <x:v>-9661985.058802456</x:v>
      </x:c>
      <x:c r="H238" s="15" t="n">
        <x:f>IF(AND(ISNUMBER(E238),ISNUMBER(F238),F238&gt;0),(E238-F238)/F238,"n.a.")</x:f>
        <x:v>-0.03703699660990545</x:v>
      </x:c>
      <x:c r="I238" s="19" t="n">
        <x:f>IF(ISNUMBER(H238),ABS(H238),"n.a.")</x:f>
        <x:v>0.03703699660990545</x:v>
      </x:c>
      <x:c r="J238" s="2" t="str">
        <x:v>available</x:v>
      </x:c>
      <x:c r="K238" s="2" t="n">
        <x:v>1</x:v>
      </x:c>
      <x:c r="L238" s="13" t="b">
        <x:v>0</x:v>
      </x:c>
      <x:c r="M238" s="13" t="b">
        <x:v>1</x:v>
      </x:c>
      <x:c r="N238" s="2" t="str">
        <x:v>unused2023converted-source comparator</x:v>
      </x:c>
      <x:c r="O238" s="2" t="str"/>
      <x:c r="P238" s="2" t="str">
        <x:v>assumption-based floor-area proxy</x:v>
      </x:c>
      <x:c r="Q238" s="2" t="str">
        <x:v>m2</x:v>
      </x:c>
      <x:c r="R238" s="17" t="n">
        <x:v>260873881.34</x:v>
      </x:c>
      <x:c r="S238" s="17"/>
      <x:c r="T238" s="18"/>
      <x:c r="U238" s="17" t="n">
        <x:v>247114206.72000027</x:v>
      </x:c>
      <x:c r="V238" s="2" t="str">
        <x:v>existing saved physical-floor-area proxy</x:v>
      </x:c>
      <x:c r="W238" s="2" t="str">
        <x:v>legacy_epoch_source_QA_passed; new_common_native_support_not_certified</x:v>
      </x:c>
      <x:c r="X238" s="2" t="str">
        <x:v>https://arxiv.org/abs/2511.12104</x:v>
      </x:c>
    </x:row>
    <x:row r="239" ht="23" customHeight="1">
      <x:c r="A239" s="2" t="str">
        <x:v>BLR</x:v>
      </x:c>
      <x:c r="B239" s="2" t="str">
        <x:v>Belarus (Republic of)</x:v>
      </x:c>
      <x:c r="C239" s="2" t="n">
        <x:v>2023</x:v>
      </x:c>
      <x:c r="D239" s="2" t="str">
        <x:v>TEMPO_PROXY</x:v>
      </x:c>
      <x:c r="E239" s="17" t="n">
        <x:v>699202895.6286968</x:v>
      </x:c>
      <x:c r="F239" s="17" t="n">
        <x:f>IF(AND(M239,ISNUMBER(R239)),IF(D239="TEMPO_PROXY",R239,IF(AND(ISNUMBER(S239),S239&gt;0,ISNUMBER(U239)),U239*R239/S239,"n.a.")),"n.a.")</x:f>
        <x:v>691145993.09</x:v>
      </x:c>
      <x:c r="G239" s="17" t="n">
        <x:f>IF(AND(ISNUMBER(E239),ISNUMBER(F239)),E239-F239,"n.a.")</x:f>
        <x:v>8056902.538696766</x:v>
      </x:c>
      <x:c r="H239" s="15" t="n">
        <x:f>IF(AND(ISNUMBER(E239),ISNUMBER(F239),F239&gt;0),(E239-F239)/F239,"n.a.")</x:f>
        <x:v>0.011657309192629013</x:v>
      </x:c>
      <x:c r="I239" s="19" t="n">
        <x:f>IF(ISNUMBER(H239),ABS(H239),"n.a.")</x:f>
        <x:v>0.011657309192629013</x:v>
      </x:c>
      <x:c r="J239" s="2" t="str">
        <x:v>available</x:v>
      </x:c>
      <x:c r="K239" s="2" t="n">
        <x:v>1</x:v>
      </x:c>
      <x:c r="L239" s="13" t="b">
        <x:v>0</x:v>
      </x:c>
      <x:c r="M239" s="13" t="b">
        <x:v>1</x:v>
      </x:c>
      <x:c r="N239" s="2" t="str">
        <x:v>unused2023converted-source comparator</x:v>
      </x:c>
      <x:c r="O239" s="2" t="str"/>
      <x:c r="P239" s="2" t="str">
        <x:v>assumption-based floor-area proxy</x:v>
      </x:c>
      <x:c r="Q239" s="2" t="str">
        <x:v>m2</x:v>
      </x:c>
      <x:c r="R239" s="17" t="n">
        <x:v>691145993.09</x:v>
      </x:c>
      <x:c r="S239" s="17"/>
      <x:c r="T239" s="18"/>
      <x:c r="U239" s="17" t="n">
        <x:v>672205246.4400003</x:v>
      </x:c>
      <x:c r="V239" s="2" t="str">
        <x:v>existing saved physical-floor-area proxy</x:v>
      </x:c>
      <x:c r="W239" s="2" t="str">
        <x:v>legacy_epoch_source_QA_passed; new_common_native_support_not_certified</x:v>
      </x:c>
      <x:c r="X239" s="2" t="str">
        <x:v>https://arxiv.org/abs/2511.12104</x:v>
      </x:c>
    </x:row>
    <x:row r="240" ht="23" customHeight="1">
      <x:c r="A240" s="2" t="str">
        <x:v>BLZ</x:v>
      </x:c>
      <x:c r="B240" s="2" t="str">
        <x:v>Belize</x:v>
      </x:c>
      <x:c r="C240" s="2" t="n">
        <x:v>2023</x:v>
      </x:c>
      <x:c r="D240" s="2" t="str">
        <x:v>TEMPO_PROXY</x:v>
      </x:c>
      <x:c r="E240" s="17" t="n">
        <x:v>23115627.76110608</x:v>
      </x:c>
      <x:c r="F240" s="17" t="n">
        <x:f>IF(AND(M240,ISNUMBER(R240)),IF(D240="TEMPO_PROXY",R240,IF(AND(ISNUMBER(S240),S240&gt;0,ISNUMBER(U240)),U240*R240/S240,"n.a.")),"n.a.")</x:f>
        <x:v>23377063.81</x:v>
      </x:c>
      <x:c r="G240" s="17" t="n">
        <x:f>IF(AND(ISNUMBER(E240),ISNUMBER(F240)),E240-F240,"n.a.")</x:f>
        <x:v>-261436.04889391735</x:v>
      </x:c>
      <x:c r="H240" s="15" t="n">
        <x:f>IF(AND(ISNUMBER(E240),ISNUMBER(F240),F240&gt;0),(E240-F240)/F240,"n.a.")</x:f>
        <x:v>-0.011183442498115736</x:v>
      </x:c>
      <x:c r="I240" s="19" t="n">
        <x:f>IF(ISNUMBER(H240),ABS(H240),"n.a.")</x:f>
        <x:v>0.011183442498115736</x:v>
      </x:c>
      <x:c r="J240" s="2" t="str">
        <x:v>available</x:v>
      </x:c>
      <x:c r="K240" s="2" t="n">
        <x:v>1</x:v>
      </x:c>
      <x:c r="L240" s="13" t="b">
        <x:v>0</x:v>
      </x:c>
      <x:c r="M240" s="13" t="b">
        <x:v>1</x:v>
      </x:c>
      <x:c r="N240" s="2" t="str">
        <x:v>unused2023converted-source comparator</x:v>
      </x:c>
      <x:c r="O240" s="2" t="str"/>
      <x:c r="P240" s="2" t="str">
        <x:v>assumption-based floor-area proxy</x:v>
      </x:c>
      <x:c r="Q240" s="2" t="str">
        <x:v>m2</x:v>
      </x:c>
      <x:c r="R240" s="17" t="n">
        <x:v>23377063.81</x:v>
      </x:c>
      <x:c r="S240" s="17"/>
      <x:c r="T240" s="18"/>
      <x:c r="U240" s="17" t="n">
        <x:v>21867714.339999966</x:v>
      </x:c>
      <x:c r="V240" s="2" t="str">
        <x:v>existing saved physical-floor-area proxy</x:v>
      </x:c>
      <x:c r="W240" s="2" t="str">
        <x:v>legacy_epoch_source_QA_passed; new_common_native_support_not_certified</x:v>
      </x:c>
      <x:c r="X240" s="2" t="str">
        <x:v>https://arxiv.org/abs/2511.12104</x:v>
      </x:c>
    </x:row>
    <x:row r="241" ht="23" customHeight="1">
      <x:c r="A241" s="2" t="str">
        <x:v>BOL</x:v>
      </x:c>
      <x:c r="B241" s="2" t="str">
        <x:v>Bolivia (Plurinational State of)</x:v>
      </x:c>
      <x:c r="C241" s="2" t="n">
        <x:v>2023</x:v>
      </x:c>
      <x:c r="D241" s="2" t="str">
        <x:v>TEMPO_PROXY</x:v>
      </x:c>
      <x:c r="E241" s="17" t="n">
        <x:v>539024897.6683519</x:v>
      </x:c>
      <x:c r="F241" s="17" t="n">
        <x:f>IF(AND(M241,ISNUMBER(R241)),IF(D241="TEMPO_PROXY",R241,IF(AND(ISNUMBER(S241),S241&gt;0,ISNUMBER(U241)),U241*R241/S241,"n.a.")),"n.a.")</x:f>
        <x:v>536161611.56</x:v>
      </x:c>
      <x:c r="G241" s="17" t="n">
        <x:f>IF(AND(ISNUMBER(E241),ISNUMBER(F241)),E241-F241,"n.a.")</x:f>
        <x:v>2863286.1083518863</x:v>
      </x:c>
      <x:c r="H241" s="15" t="n">
        <x:f>IF(AND(ISNUMBER(E241),ISNUMBER(F241),F241&gt;0),(E241-F241)/F241,"n.a.")</x:f>
        <x:v>0.005340341506399449</x:v>
      </x:c>
      <x:c r="I241" s="19" t="n">
        <x:f>IF(ISNUMBER(H241),ABS(H241),"n.a.")</x:f>
        <x:v>0.005340341506399449</x:v>
      </x:c>
      <x:c r="J241" s="2" t="str">
        <x:v>available</x:v>
      </x:c>
      <x:c r="K241" s="2" t="n">
        <x:v>1</x:v>
      </x:c>
      <x:c r="L241" s="13" t="b">
        <x:v>0</x:v>
      </x:c>
      <x:c r="M241" s="13" t="b">
        <x:v>1</x:v>
      </x:c>
      <x:c r="N241" s="2" t="str">
        <x:v>unused2023converted-source comparator</x:v>
      </x:c>
      <x:c r="O241" s="2" t="str"/>
      <x:c r="P241" s="2" t="str">
        <x:v>assumption-based floor-area proxy</x:v>
      </x:c>
      <x:c r="Q241" s="2" t="str">
        <x:v>m2</x:v>
      </x:c>
      <x:c r="R241" s="17" t="n">
        <x:v>536161611.56</x:v>
      </x:c>
      <x:c r="S241" s="17"/>
      <x:c r="T241" s="18"/>
      <x:c r="U241" s="17" t="n">
        <x:v>496419008.9399992</x:v>
      </x:c>
      <x:c r="V241" s="2" t="str">
        <x:v>existing saved physical-floor-area proxy</x:v>
      </x:c>
      <x:c r="W241" s="2" t="str">
        <x:v>legacy_epoch_source_QA_passed; new_common_native_support_not_certified</x:v>
      </x:c>
      <x:c r="X241" s="2" t="str">
        <x:v>https://arxiv.org/abs/2511.12104</x:v>
      </x:c>
    </x:row>
    <x:row r="242" ht="23" customHeight="1">
      <x:c r="A242" s="2" t="str">
        <x:v>BRA</x:v>
      </x:c>
      <x:c r="B242" s="2" t="str">
        <x:v>Brazil (Federative Republic of)</x:v>
      </x:c>
      <x:c r="C242" s="2" t="n">
        <x:v>2023</x:v>
      </x:c>
      <x:c r="D242" s="2" t="str">
        <x:v>TEMPO_PROXY</x:v>
      </x:c>
      <x:c r="E242" s="17" t="n">
        <x:v>12777477492.222046</x:v>
      </x:c>
      <x:c r="F242" s="17" t="n">
        <x:f>IF(AND(M242,ISNUMBER(R242)),IF(D242="TEMPO_PROXY",R242,IF(AND(ISNUMBER(S242),S242&gt;0,ISNUMBER(U242)),U242*R242/S242,"n.a.")),"n.a.")</x:f>
        <x:v>12899655171.43</x:v>
      </x:c>
      <x:c r="G242" s="17" t="n">
        <x:f>IF(AND(ISNUMBER(E242),ISNUMBER(F242)),E242-F242,"n.a.")</x:f>
        <x:v>-122177679.2079544</x:v>
      </x:c>
      <x:c r="H242" s="15" t="n">
        <x:f>IF(AND(ISNUMBER(E242),ISNUMBER(F242),F242&gt;0),(E242-F242)/F242,"n.a.")</x:f>
        <x:v>-0.009471391101876277</x:v>
      </x:c>
      <x:c r="I242" s="19" t="n">
        <x:f>IF(ISNUMBER(H242),ABS(H242),"n.a.")</x:f>
        <x:v>0.009471391101876277</x:v>
      </x:c>
      <x:c r="J242" s="2" t="str">
        <x:v>available</x:v>
      </x:c>
      <x:c r="K242" s="2" t="n">
        <x:v>1</x:v>
      </x:c>
      <x:c r="L242" s="13" t="b">
        <x:v>0</x:v>
      </x:c>
      <x:c r="M242" s="13" t="b">
        <x:v>1</x:v>
      </x:c>
      <x:c r="N242" s="2" t="str">
        <x:v>unused2023converted-source comparator</x:v>
      </x:c>
      <x:c r="O242" s="2" t="str"/>
      <x:c r="P242" s="2" t="str">
        <x:v>assumption-based floor-area proxy</x:v>
      </x:c>
      <x:c r="Q242" s="2" t="str">
        <x:v>m2</x:v>
      </x:c>
      <x:c r="R242" s="17" t="n">
        <x:v>12899655171.43</x:v>
      </x:c>
      <x:c r="S242" s="17"/>
      <x:c r="T242" s="18"/>
      <x:c r="U242" s="17" t="n">
        <x:v>12112839681.859997</x:v>
      </x:c>
      <x:c r="V242" s="2" t="str">
        <x:v>existing saved physical-floor-area proxy</x:v>
      </x:c>
      <x:c r="W242" s="2" t="str">
        <x:v>legacy_epoch_source_QA_passed; new_common_native_support_not_certified</x:v>
      </x:c>
      <x:c r="X242" s="2" t="str">
        <x:v>https://arxiv.org/abs/2511.12104</x:v>
      </x:c>
    </x:row>
    <x:row r="243" ht="23" customHeight="1">
      <x:c r="A243" s="2" t="str">
        <x:v>BRB</x:v>
      </x:c>
      <x:c r="B243" s="2" t="str">
        <x:v>Barbados</x:v>
      </x:c>
      <x:c r="C243" s="2" t="n">
        <x:v>2023</x:v>
      </x:c>
      <x:c r="D243" s="2" t="str">
        <x:v>TEMPO_PROXY</x:v>
      </x:c>
      <x:c r="E243" s="17" t="n">
        <x:v>24170733.972350426</x:v>
      </x:c>
      <x:c r="F243" s="17" t="n">
        <x:f>IF(AND(M243,ISNUMBER(R243)),IF(D243="TEMPO_PROXY",R243,IF(AND(ISNUMBER(S243),S243&gt;0,ISNUMBER(U243)),U243*R243/S243,"n.a.")),"n.a.")</x:f>
        <x:v>24526039.72</x:v>
      </x:c>
      <x:c r="G243" s="17" t="n">
        <x:f>IF(AND(ISNUMBER(E243),ISNUMBER(F243)),E243-F243,"n.a.")</x:f>
        <x:v>-355305.7476495728</x:v>
      </x:c>
      <x:c r="H243" s="15" t="n">
        <x:f>IF(AND(ISNUMBER(E243),ISNUMBER(F243),F243&gt;0),(E243-F243)/F243,"n.a.")</x:f>
        <x:v>-0.014486878097968472</x:v>
      </x:c>
      <x:c r="I243" s="19" t="n">
        <x:f>IF(ISNUMBER(H243),ABS(H243),"n.a.")</x:f>
        <x:v>0.014486878097968472</x:v>
      </x:c>
      <x:c r="J243" s="2" t="str">
        <x:v>available</x:v>
      </x:c>
      <x:c r="K243" s="2" t="n">
        <x:v>1</x:v>
      </x:c>
      <x:c r="L243" s="13" t="b">
        <x:v>0</x:v>
      </x:c>
      <x:c r="M243" s="13" t="b">
        <x:v>1</x:v>
      </x:c>
      <x:c r="N243" s="2" t="str">
        <x:v>unused2023converted-source comparator</x:v>
      </x:c>
      <x:c r="O243" s="2" t="str"/>
      <x:c r="P243" s="2" t="str">
        <x:v>assumption-based floor-area proxy</x:v>
      </x:c>
      <x:c r="Q243" s="2" t="str">
        <x:v>m2</x:v>
      </x:c>
      <x:c r="R243" s="17" t="n">
        <x:v>24526039.72</x:v>
      </x:c>
      <x:c r="S243" s="17"/>
      <x:c r="T243" s="18"/>
      <x:c r="U243" s="17" t="n">
        <x:v>23684585.840000004</x:v>
      </x:c>
      <x:c r="V243" s="2" t="str">
        <x:v>existing saved physical-floor-area proxy</x:v>
      </x:c>
      <x:c r="W243" s="2" t="str">
        <x:v>legacy_epoch_source_QA_passed; new_common_native_support_not_certified</x:v>
      </x:c>
      <x:c r="X243" s="2" t="str">
        <x:v>https://arxiv.org/abs/2511.12104</x:v>
      </x:c>
    </x:row>
    <x:row r="244" ht="23" customHeight="1">
      <x:c r="A244" s="2" t="str">
        <x:v>BRN</x:v>
      </x:c>
      <x:c r="B244" s="2" t="str">
        <x:v>Brunei Darussalam</x:v>
      </x:c>
      <x:c r="C244" s="2" t="n">
        <x:v>2023</x:v>
      </x:c>
      <x:c r="D244" s="2" t="str">
        <x:v>TEMPO_PROXY</x:v>
      </x:c>
      <x:c r="E244" s="17" t="n">
        <x:v>40249225.03655419</x:v>
      </x:c>
      <x:c r="F244" s="17" t="n">
        <x:f>IF(AND(M244,ISNUMBER(R244)),IF(D244="TEMPO_PROXY",R244,IF(AND(ISNUMBER(S244),S244&gt;0,ISNUMBER(U244)),U244*R244/S244,"n.a.")),"n.a.")</x:f>
        <x:v>39594012.79</x:v>
      </x:c>
      <x:c r="G244" s="17" t="n">
        <x:f>IF(AND(ISNUMBER(E244),ISNUMBER(F244)),E244-F244,"n.a.")</x:f>
        <x:v>655212.2465541884</x:v>
      </x:c>
      <x:c r="H244" s="15" t="n">
        <x:f>IF(AND(ISNUMBER(E244),ISNUMBER(F244),F244&gt;0),(E244-F244)/F244,"n.a.")</x:f>
        <x:v>0.016548265770113382</x:v>
      </x:c>
      <x:c r="I244" s="19" t="n">
        <x:f>IF(ISNUMBER(H244),ABS(H244),"n.a.")</x:f>
        <x:v>0.016548265770113382</x:v>
      </x:c>
      <x:c r="J244" s="2" t="str">
        <x:v>available</x:v>
      </x:c>
      <x:c r="K244" s="2" t="n">
        <x:v>1</x:v>
      </x:c>
      <x:c r="L244" s="13" t="b">
        <x:v>0</x:v>
      </x:c>
      <x:c r="M244" s="13" t="b">
        <x:v>1</x:v>
      </x:c>
      <x:c r="N244" s="2" t="str">
        <x:v>unused2023converted-source comparator</x:v>
      </x:c>
      <x:c r="O244" s="2" t="str"/>
      <x:c r="P244" s="2" t="str">
        <x:v>assumption-based floor-area proxy</x:v>
      </x:c>
      <x:c r="Q244" s="2" t="str">
        <x:v>m2</x:v>
      </x:c>
      <x:c r="R244" s="17" t="n">
        <x:v>39594012.79</x:v>
      </x:c>
      <x:c r="S244" s="17"/>
      <x:c r="T244" s="18"/>
      <x:c r="U244" s="17" t="n">
        <x:v>37849769.86000001</x:v>
      </x:c>
      <x:c r="V244" s="2" t="str">
        <x:v>existing saved physical-floor-area proxy</x:v>
      </x:c>
      <x:c r="W244" s="2" t="str">
        <x:v>legacy_epoch_source_QA_passed; new_common_native_support_not_certified</x:v>
      </x:c>
      <x:c r="X244" s="2" t="str">
        <x:v>https://arxiv.org/abs/2511.12104</x:v>
      </x:c>
    </x:row>
    <x:row r="245" ht="23" customHeight="1">
      <x:c r="A245" s="2" t="str">
        <x:v>BTN</x:v>
      </x:c>
      <x:c r="B245" s="2" t="str">
        <x:v>Bhutan (Kingdom of)</x:v>
      </x:c>
      <x:c r="C245" s="2" t="n">
        <x:v>2023</x:v>
      </x:c>
      <x:c r="D245" s="2" t="str">
        <x:v>TEMPO_PROXY</x:v>
      </x:c>
      <x:c r="E245" s="17" t="n">
        <x:v>29650984.242419805</x:v>
      </x:c>
      <x:c r="F245" s="17" t="n">
        <x:f>IF(AND(M245,ISNUMBER(R245)),IF(D245="TEMPO_PROXY",R245,IF(AND(ISNUMBER(S245),S245&gt;0,ISNUMBER(U245)),U245*R245/S245,"n.a.")),"n.a.")</x:f>
        <x:v>31057262.36</x:v>
      </x:c>
      <x:c r="G245" s="17" t="n">
        <x:f>IF(AND(ISNUMBER(E245),ISNUMBER(F245)),E245-F245,"n.a.")</x:f>
        <x:v>-1406278.117580194</x:v>
      </x:c>
      <x:c r="H245" s="15" t="n">
        <x:f>IF(AND(ISNUMBER(E245),ISNUMBER(F245),F245&gt;0),(E245-F245)/F245,"n.a.")</x:f>
        <x:v>-0.04528016994155289</x:v>
      </x:c>
      <x:c r="I245" s="19" t="n">
        <x:f>IF(ISNUMBER(H245),ABS(H245),"n.a.")</x:f>
        <x:v>0.04528016994155289</x:v>
      </x:c>
      <x:c r="J245" s="2" t="str">
        <x:v>available</x:v>
      </x:c>
      <x:c r="K245" s="2" t="n">
        <x:v>1</x:v>
      </x:c>
      <x:c r="L245" s="13" t="b">
        <x:v>0</x:v>
      </x:c>
      <x:c r="M245" s="13" t="b">
        <x:v>1</x:v>
      </x:c>
      <x:c r="N245" s="2" t="str">
        <x:v>unused2023converted-source comparator</x:v>
      </x:c>
      <x:c r="O245" s="2" t="str"/>
      <x:c r="P245" s="2" t="str">
        <x:v>assumption-based floor-area proxy</x:v>
      </x:c>
      <x:c r="Q245" s="2" t="str">
        <x:v>m2</x:v>
      </x:c>
      <x:c r="R245" s="17" t="n">
        <x:v>31057262.36</x:v>
      </x:c>
      <x:c r="S245" s="17"/>
      <x:c r="T245" s="18"/>
      <x:c r="U245" s="17" t="n">
        <x:v>27177544.510000043</x:v>
      </x:c>
      <x:c r="V245" s="2" t="str">
        <x:v>existing saved physical-floor-area proxy</x:v>
      </x:c>
      <x:c r="W245" s="2" t="str">
        <x:v>legacy_epoch_source_QA_passed; new_common_native_support_not_certified</x:v>
      </x:c>
      <x:c r="X245" s="2" t="str">
        <x:v>https://arxiv.org/abs/2511.12104</x:v>
      </x:c>
    </x:row>
    <x:row r="246" ht="23" customHeight="1">
      <x:c r="A246" s="2" t="str">
        <x:v>BWA</x:v>
      </x:c>
      <x:c r="B246" s="2" t="str">
        <x:v>Botswana (Republic of)</x:v>
      </x:c>
      <x:c r="C246" s="2" t="n">
        <x:v>2023</x:v>
      </x:c>
      <x:c r="D246" s="2" t="str">
        <x:v>TEMPO_PROXY</x:v>
      </x:c>
      <x:c r="E246" s="17" t="n">
        <x:v>122713658.58198829</x:v>
      </x:c>
      <x:c r="F246" s="17" t="n">
        <x:f>IF(AND(M246,ISNUMBER(R246)),IF(D246="TEMPO_PROXY",R246,IF(AND(ISNUMBER(S246),S246&gt;0,ISNUMBER(U246)),U246*R246/S246,"n.a.")),"n.a.")</x:f>
        <x:v>131491809.12</x:v>
      </x:c>
      <x:c r="G246" s="17" t="n">
        <x:f>IF(AND(ISNUMBER(E246),ISNUMBER(F246)),E246-F246,"n.a.")</x:f>
        <x:v>-8778150.538011715</x:v>
      </x:c>
      <x:c r="H246" s="15" t="n">
        <x:f>IF(AND(ISNUMBER(E246),ISNUMBER(F246),F246&gt;0),(E246-F246)/F246,"n.a.")</x:f>
        <x:v>-0.0667581547227838</x:v>
      </x:c>
      <x:c r="I246" s="19" t="n">
        <x:f>IF(ISNUMBER(H246),ABS(H246),"n.a.")</x:f>
        <x:v>0.0667581547227838</x:v>
      </x:c>
      <x:c r="J246" s="2" t="str">
        <x:v>available</x:v>
      </x:c>
      <x:c r="K246" s="2" t="n">
        <x:v>1</x:v>
      </x:c>
      <x:c r="L246" s="13" t="b">
        <x:v>0</x:v>
      </x:c>
      <x:c r="M246" s="13" t="b">
        <x:v>1</x:v>
      </x:c>
      <x:c r="N246" s="2" t="str">
        <x:v>unused2023converted-source comparator</x:v>
      </x:c>
      <x:c r="O246" s="2" t="str"/>
      <x:c r="P246" s="2" t="str">
        <x:v>assumption-based floor-area proxy</x:v>
      </x:c>
      <x:c r="Q246" s="2" t="str">
        <x:v>m2</x:v>
      </x:c>
      <x:c r="R246" s="17" t="n">
        <x:v>131491809.12</x:v>
      </x:c>
      <x:c r="S246" s="17"/>
      <x:c r="T246" s="18"/>
      <x:c r="U246" s="17" t="n">
        <x:v>118564613.02000009</x:v>
      </x:c>
      <x:c r="V246" s="2" t="str">
        <x:v>existing saved physical-floor-area proxy</x:v>
      </x:c>
      <x:c r="W246" s="2" t="str">
        <x:v>legacy_epoch_source_QA_passed; new_common_native_support_not_certified</x:v>
      </x:c>
      <x:c r="X246" s="2" t="str">
        <x:v>https://arxiv.org/abs/2511.12104</x:v>
      </x:c>
    </x:row>
    <x:row r="247" ht="23" customHeight="1">
      <x:c r="A247" s="2" t="str">
        <x:v>CAF</x:v>
      </x:c>
      <x:c r="B247" s="2" t="str">
        <x:v>Central African Republic</x:v>
      </x:c>
      <x:c r="C247" s="2" t="n">
        <x:v>2023</x:v>
      </x:c>
      <x:c r="D247" s="2" t="str">
        <x:v>TEMPO_PROXY</x:v>
      </x:c>
      <x:c r="E247" s="17" t="n">
        <x:v>74971085.86685422</x:v>
      </x:c>
      <x:c r="F247" s="17" t="n">
        <x:f>IF(AND(M247,ISNUMBER(R247)),IF(D247="TEMPO_PROXY",R247,IF(AND(ISNUMBER(S247),S247&gt;0,ISNUMBER(U247)),U247*R247/S247,"n.a.")),"n.a.")</x:f>
        <x:v>72080997.57</x:v>
      </x:c>
      <x:c r="G247" s="17" t="n">
        <x:f>IF(AND(ISNUMBER(E247),ISNUMBER(F247)),E247-F247,"n.a.")</x:f>
        <x:v>2890088.296854228</x:v>
      </x:c>
      <x:c r="H247" s="15" t="n">
        <x:f>IF(AND(ISNUMBER(E247),ISNUMBER(F247),F247&gt;0),(E247-F247)/F247,"n.a.")</x:f>
        <x:v>0.040095009701379025</x:v>
      </x:c>
      <x:c r="I247" s="19" t="n">
        <x:f>IF(ISNUMBER(H247),ABS(H247),"n.a.")</x:f>
        <x:v>0.040095009701379025</x:v>
      </x:c>
      <x:c r="J247" s="2" t="str">
        <x:v>available</x:v>
      </x:c>
      <x:c r="K247" s="2" t="n">
        <x:v>1</x:v>
      </x:c>
      <x:c r="L247" s="13" t="b">
        <x:v>0</x:v>
      </x:c>
      <x:c r="M247" s="13" t="b">
        <x:v>1</x:v>
      </x:c>
      <x:c r="N247" s="2" t="str">
        <x:v>unused2023converted-source comparator</x:v>
      </x:c>
      <x:c r="O247" s="2" t="str"/>
      <x:c r="P247" s="2" t="str">
        <x:v>assumption-based floor-area proxy</x:v>
      </x:c>
      <x:c r="Q247" s="2" t="str">
        <x:v>m2</x:v>
      </x:c>
      <x:c r="R247" s="17" t="n">
        <x:v>72080997.57</x:v>
      </x:c>
      <x:c r="S247" s="17"/>
      <x:c r="T247" s="18"/>
      <x:c r="U247" s="17" t="n">
        <x:v>66989106.04000005</x:v>
      </x:c>
      <x:c r="V247" s="2" t="str">
        <x:v>existing saved physical-floor-area proxy</x:v>
      </x:c>
      <x:c r="W247" s="2" t="str">
        <x:v>legacy_epoch_source_QA_passed; new_common_native_support_not_certified</x:v>
      </x:c>
      <x:c r="X247" s="2" t="str">
        <x:v>https://arxiv.org/abs/2511.12104</x:v>
      </x:c>
    </x:row>
    <x:row r="248" ht="23" customHeight="1">
      <x:c r="A248" s="2" t="str">
        <x:v>CAN</x:v>
      </x:c>
      <x:c r="B248" s="2" t="str">
        <x:v>Canada</x:v>
      </x:c>
      <x:c r="C248" s="2" t="n">
        <x:v>2023</x:v>
      </x:c>
      <x:c r="D248" s="2" t="str">
        <x:v>TEMPO_PROXY</x:v>
      </x:c>
      <x:c r="E248" s="17" t="n">
        <x:v>3187920876.377938</x:v>
      </x:c>
      <x:c r="F248" s="17" t="n">
        <x:f>IF(AND(M248,ISNUMBER(R248)),IF(D248="TEMPO_PROXY",R248,IF(AND(ISNUMBER(S248),S248&gt;0,ISNUMBER(U248)),U248*R248/S248,"n.a.")),"n.a.")</x:f>
        <x:v>3124236708.89</x:v>
      </x:c>
      <x:c r="G248" s="17" t="n">
        <x:f>IF(AND(ISNUMBER(E248),ISNUMBER(F248)),E248-F248,"n.a.")</x:f>
        <x:v>63684167.48793793</x:v>
      </x:c>
      <x:c r="H248" s="15" t="n">
        <x:f>IF(AND(ISNUMBER(E248),ISNUMBER(F248),F248&gt;0),(E248-F248)/F248,"n.a.")</x:f>
        <x:v>0.020383912431066745</x:v>
      </x:c>
      <x:c r="I248" s="19" t="n">
        <x:f>IF(ISNUMBER(H248),ABS(H248),"n.a.")</x:f>
        <x:v>0.020383912431066745</x:v>
      </x:c>
      <x:c r="J248" s="2" t="str">
        <x:v>available</x:v>
      </x:c>
      <x:c r="K248" s="2" t="n">
        <x:v>1</x:v>
      </x:c>
      <x:c r="L248" s="13" t="b">
        <x:v>0</x:v>
      </x:c>
      <x:c r="M248" s="13" t="b">
        <x:v>1</x:v>
      </x:c>
      <x:c r="N248" s="2" t="str">
        <x:v>unused2023converted-source comparator</x:v>
      </x:c>
      <x:c r="O248" s="2" t="str"/>
      <x:c r="P248" s="2" t="str">
        <x:v>assumption-based floor-area proxy</x:v>
      </x:c>
      <x:c r="Q248" s="2" t="str">
        <x:v>m2</x:v>
      </x:c>
      <x:c r="R248" s="17" t="n">
        <x:v>3124236708.89</x:v>
      </x:c>
      <x:c r="S248" s="17"/>
      <x:c r="T248" s="18"/>
      <x:c r="U248" s="17" t="n">
        <x:v>2941628265.260001</x:v>
      </x:c>
      <x:c r="V248" s="2" t="str">
        <x:v>existing saved physical-floor-area proxy</x:v>
      </x:c>
      <x:c r="W248" s="2" t="str">
        <x:v>legacy_epoch_source_QA_passed; new_common_native_support_not_certified</x:v>
      </x:c>
      <x:c r="X248" s="2" t="str">
        <x:v>https://arxiv.org/abs/2511.12104</x:v>
      </x:c>
    </x:row>
    <x:row r="249" ht="23" customHeight="1">
      <x:c r="A249" s="2" t="str">
        <x:v>CHE</x:v>
      </x:c>
      <x:c r="B249" s="2" t="str">
        <x:v>Switzerland (Swiss Confederation)</x:v>
      </x:c>
      <x:c r="C249" s="2" t="n">
        <x:v>2023</x:v>
      </x:c>
      <x:c r="D249" s="2" t="str">
        <x:v>TEMPO_PROXY</x:v>
      </x:c>
      <x:c r="E249" s="17" t="n">
        <x:v>599198878.0750616</x:v>
      </x:c>
      <x:c r="F249" s="17" t="n">
        <x:f>IF(AND(M249,ISNUMBER(R249)),IF(D249="TEMPO_PROXY",R249,IF(AND(ISNUMBER(S249),S249&gt;0,ISNUMBER(U249)),U249*R249/S249,"n.a.")),"n.a.")</x:f>
        <x:v>571802111.84</x:v>
      </x:c>
      <x:c r="G249" s="17" t="n">
        <x:f>IF(AND(ISNUMBER(E249),ISNUMBER(F249)),E249-F249,"n.a.")</x:f>
        <x:v>27396766.235061526</x:v>
      </x:c>
      <x:c r="H249" s="15" t="n">
        <x:f>IF(AND(ISNUMBER(E249),ISNUMBER(F249),F249&gt;0),(E249-F249)/F249,"n.a.")</x:f>
        <x:v>0.047913020375006256</x:v>
      </x:c>
      <x:c r="I249" s="19" t="n">
        <x:f>IF(ISNUMBER(H249),ABS(H249),"n.a.")</x:f>
        <x:v>0.047913020375006256</x:v>
      </x:c>
      <x:c r="J249" s="2" t="str">
        <x:v>available</x:v>
      </x:c>
      <x:c r="K249" s="2" t="n">
        <x:v>1</x:v>
      </x:c>
      <x:c r="L249" s="13" t="b">
        <x:v>0</x:v>
      </x:c>
      <x:c r="M249" s="13" t="b">
        <x:v>1</x:v>
      </x:c>
      <x:c r="N249" s="2" t="str">
        <x:v>unused2023converted-source comparator</x:v>
      </x:c>
      <x:c r="O249" s="2" t="str"/>
      <x:c r="P249" s="2" t="str">
        <x:v>assumption-based floor-area proxy</x:v>
      </x:c>
      <x:c r="Q249" s="2" t="str">
        <x:v>m2</x:v>
      </x:c>
      <x:c r="R249" s="17" t="n">
        <x:v>571802111.84</x:v>
      </x:c>
      <x:c r="S249" s="17"/>
      <x:c r="T249" s="18"/>
      <x:c r="U249" s="17" t="n">
        <x:v>554094959.2900008</x:v>
      </x:c>
      <x:c r="V249" s="2" t="str">
        <x:v>existing saved physical-floor-area proxy</x:v>
      </x:c>
      <x:c r="W249" s="2" t="str">
        <x:v>legacy_epoch_source_QA_passed; new_common_native_support_not_certified</x:v>
      </x:c>
      <x:c r="X249" s="2" t="str">
        <x:v>https://arxiv.org/abs/2511.12104</x:v>
      </x:c>
    </x:row>
    <x:row r="250" ht="23" customHeight="1">
      <x:c r="A250" s="2" t="str">
        <x:v>CHL</x:v>
      </x:c>
      <x:c r="B250" s="2" t="str">
        <x:v>Chile (Republic of)</x:v>
      </x:c>
      <x:c r="C250" s="2" t="n">
        <x:v>2023</x:v>
      </x:c>
      <x:c r="D250" s="2" t="str">
        <x:v>TEMPO_PROXY</x:v>
      </x:c>
      <x:c r="E250" s="17" t="n">
        <x:v>1055630735.2526693</x:v>
      </x:c>
      <x:c r="F250" s="17" t="n">
        <x:f>IF(AND(M250,ISNUMBER(R250)),IF(D250="TEMPO_PROXY",R250,IF(AND(ISNUMBER(S250),S250&gt;0,ISNUMBER(U250)),U250*R250/S250,"n.a.")),"n.a.")</x:f>
        <x:v>1072527701.08</x:v>
      </x:c>
      <x:c r="G250" s="17" t="n">
        <x:f>IF(AND(ISNUMBER(E250),ISNUMBER(F250)),E250-F250,"n.a.")</x:f>
        <x:v>-16896965.82733071</x:v>
      </x:c>
      <x:c r="H250" s="15" t="n">
        <x:f>IF(AND(ISNUMBER(E250),ISNUMBER(F250),F250&gt;0),(E250-F250)/F250,"n.a.")</x:f>
        <x:v>-0.015754339780982833</x:v>
      </x:c>
      <x:c r="I250" s="19" t="n">
        <x:f>IF(ISNUMBER(H250),ABS(H250),"n.a.")</x:f>
        <x:v>0.015754339780982833</x:v>
      </x:c>
      <x:c r="J250" s="2" t="str">
        <x:v>available</x:v>
      </x:c>
      <x:c r="K250" s="2" t="n">
        <x:v>1</x:v>
      </x:c>
      <x:c r="L250" s="13" t="b">
        <x:v>0</x:v>
      </x:c>
      <x:c r="M250" s="13" t="b">
        <x:v>1</x:v>
      </x:c>
      <x:c r="N250" s="2" t="str">
        <x:v>unused2023converted-source comparator</x:v>
      </x:c>
      <x:c r="O250" s="2" t="str"/>
      <x:c r="P250" s="2" t="str">
        <x:v>assumption-based floor-area proxy</x:v>
      </x:c>
      <x:c r="Q250" s="2" t="str">
        <x:v>m2</x:v>
      </x:c>
      <x:c r="R250" s="17" t="n">
        <x:v>1072527701.08</x:v>
      </x:c>
      <x:c r="S250" s="17"/>
      <x:c r="T250" s="18"/>
      <x:c r="U250" s="17" t="n">
        <x:v>986436316.0700014</x:v>
      </x:c>
      <x:c r="V250" s="2" t="str">
        <x:v>existing saved physical-floor-area proxy</x:v>
      </x:c>
      <x:c r="W250" s="2" t="str">
        <x:v>legacy_epoch_source_QA_passed; new_common_native_support_not_certified</x:v>
      </x:c>
      <x:c r="X250" s="2" t="str">
        <x:v>https://arxiv.org/abs/2511.12104</x:v>
      </x:c>
    </x:row>
    <x:row r="251" ht="23" customHeight="1">
      <x:c r="A251" s="2" t="str">
        <x:v>CHN</x:v>
      </x:c>
      <x:c r="B251" s="2" t="str">
        <x:v>China (People's Republic of)</x:v>
      </x:c>
      <x:c r="C251" s="2" t="n">
        <x:v>2023</x:v>
      </x:c>
      <x:c r="D251" s="2" t="str">
        <x:v>TEMPO_PROXY</x:v>
      </x:c>
      <x:c r="E251" s="17" t="n">
        <x:v>90625662469.73807</x:v>
      </x:c>
      <x:c r="F251" s="17" t="n">
        <x:f>IF(AND(M251,ISNUMBER(R251)),IF(D251="TEMPO_PROXY",R251,IF(AND(ISNUMBER(S251),S251&gt;0,ISNUMBER(U251)),U251*R251/S251,"n.a.")),"n.a.")</x:f>
        <x:v>97062140040.85</x:v>
      </x:c>
      <x:c r="G251" s="17" t="n">
        <x:f>IF(AND(ISNUMBER(E251),ISNUMBER(F251)),E251-F251,"n.a.")</x:f>
        <x:v>-6436477571.111938</x:v>
      </x:c>
      <x:c r="H251" s="15" t="n">
        <x:f>IF(AND(ISNUMBER(E251),ISNUMBER(F251),F251&gt;0),(E251-F251)/F251,"n.a.")</x:f>
        <x:v>-0.06631295753836722</x:v>
      </x:c>
      <x:c r="I251" s="19" t="n">
        <x:f>IF(ISNUMBER(H251),ABS(H251),"n.a.")</x:f>
        <x:v>0.06631295753836722</x:v>
      </x:c>
      <x:c r="J251" s="2" t="str">
        <x:v>available</x:v>
      </x:c>
      <x:c r="K251" s="2" t="n">
        <x:v>1</x:v>
      </x:c>
      <x:c r="L251" s="13" t="b">
        <x:v>0</x:v>
      </x:c>
      <x:c r="M251" s="13" t="b">
        <x:v>1</x:v>
      </x:c>
      <x:c r="N251" s="2" t="str">
        <x:v>unused2023converted-source comparator</x:v>
      </x:c>
      <x:c r="O251" s="2" t="str"/>
      <x:c r="P251" s="2" t="str">
        <x:v>assumption-based floor-area proxy</x:v>
      </x:c>
      <x:c r="Q251" s="2" t="str">
        <x:v>m2</x:v>
      </x:c>
      <x:c r="R251" s="17" t="n">
        <x:v>97062140040.85</x:v>
      </x:c>
      <x:c r="S251" s="17"/>
      <x:c r="T251" s="18"/>
      <x:c r="U251" s="17" t="n">
        <x:v>86144650012.34993</x:v>
      </x:c>
      <x:c r="V251" s="2" t="str">
        <x:v>existing saved physical-floor-area proxy</x:v>
      </x:c>
      <x:c r="W251" s="2" t="str">
        <x:v>legacy_epoch_source_QA_passed; new_common_native_support_not_certified</x:v>
      </x:c>
      <x:c r="X251" s="2" t="str">
        <x:v>https://arxiv.org/abs/2511.12104</x:v>
      </x:c>
    </x:row>
    <x:row r="252" ht="23" customHeight="1">
      <x:c r="A252" s="2" t="str">
        <x:v>CIV</x:v>
      </x:c>
      <x:c r="B252" s="2" t="str">
        <x:v>Côte d'Ivoire (Republic of)</x:v>
      </x:c>
      <x:c r="C252" s="2" t="n">
        <x:v>2023</x:v>
      </x:c>
      <x:c r="D252" s="2" t="str">
        <x:v>TEMPO_PROXY</x:v>
      </x:c>
      <x:c r="E252" s="17" t="n">
        <x:v>668470983.6666439</x:v>
      </x:c>
      <x:c r="F252" s="17" t="n">
        <x:f>IF(AND(M252,ISNUMBER(R252)),IF(D252="TEMPO_PROXY",R252,IF(AND(ISNUMBER(S252),S252&gt;0,ISNUMBER(U252)),U252*R252/S252,"n.a.")),"n.a.")</x:f>
        <x:v>672252471.54</x:v>
      </x:c>
      <x:c r="G252" s="17" t="n">
        <x:f>IF(AND(ISNUMBER(E252),ISNUMBER(F252)),E252-F252,"n.a.")</x:f>
        <x:v>-3781487.873356104</x:v>
      </x:c>
      <x:c r="H252" s="15" t="n">
        <x:f>IF(AND(ISNUMBER(E252),ISNUMBER(F252),F252&gt;0),(E252-F252)/F252,"n.a.")</x:f>
        <x:v>-0.005625100737366497</x:v>
      </x:c>
      <x:c r="I252" s="19" t="n">
        <x:f>IF(ISNUMBER(H252),ABS(H252),"n.a.")</x:f>
        <x:v>0.005625100737366497</x:v>
      </x:c>
      <x:c r="J252" s="2" t="str">
        <x:v>available</x:v>
      </x:c>
      <x:c r="K252" s="2" t="n">
        <x:v>1</x:v>
      </x:c>
      <x:c r="L252" s="13" t="b">
        <x:v>0</x:v>
      </x:c>
      <x:c r="M252" s="13" t="b">
        <x:v>1</x:v>
      </x:c>
      <x:c r="N252" s="2" t="str">
        <x:v>unused2023converted-source comparator</x:v>
      </x:c>
      <x:c r="O252" s="2" t="str"/>
      <x:c r="P252" s="2" t="str">
        <x:v>assumption-based floor-area proxy</x:v>
      </x:c>
      <x:c r="Q252" s="2" t="str">
        <x:v>m2</x:v>
      </x:c>
      <x:c r="R252" s="17" t="n">
        <x:v>672252471.54</x:v>
      </x:c>
      <x:c r="S252" s="17"/>
      <x:c r="T252" s="18"/>
      <x:c r="U252" s="17" t="n">
        <x:v>602828854.8199993</x:v>
      </x:c>
      <x:c r="V252" s="2" t="str">
        <x:v>existing saved physical-floor-area proxy</x:v>
      </x:c>
      <x:c r="W252" s="2" t="str">
        <x:v>legacy_epoch_source_QA_passed; new_common_native_support_not_certified</x:v>
      </x:c>
      <x:c r="X252" s="2" t="str">
        <x:v>https://arxiv.org/abs/2511.12104</x:v>
      </x:c>
    </x:row>
    <x:row r="253" ht="23" customHeight="1">
      <x:c r="A253" s="2" t="str">
        <x:v>CMR</x:v>
      </x:c>
      <x:c r="B253" s="2" t="str">
        <x:v>Cameroon (Republic of)</x:v>
      </x:c>
      <x:c r="C253" s="2" t="n">
        <x:v>2023</x:v>
      </x:c>
      <x:c r="D253" s="2" t="str">
        <x:v>TEMPO_PROXY</x:v>
      </x:c>
      <x:c r="E253" s="17" t="n">
        <x:v>636209041.5204653</x:v>
      </x:c>
      <x:c r="F253" s="17" t="n">
        <x:f>IF(AND(M253,ISNUMBER(R253)),IF(D253="TEMPO_PROXY",R253,IF(AND(ISNUMBER(S253),S253&gt;0,ISNUMBER(U253)),U253*R253/S253,"n.a.")),"n.a.")</x:f>
        <x:v>620718462.75</x:v>
      </x:c>
      <x:c r="G253" s="17" t="n">
        <x:f>IF(AND(ISNUMBER(E253),ISNUMBER(F253)),E253-F253,"n.a.")</x:f>
        <x:v>15490578.770465255</x:v>
      </x:c>
      <x:c r="H253" s="15" t="n">
        <x:f>IF(AND(ISNUMBER(E253),ISNUMBER(F253),F253&gt;0),(E253-F253)/F253,"n.a.")</x:f>
        <x:v>0.024955885316889997</x:v>
      </x:c>
      <x:c r="I253" s="19" t="n">
        <x:f>IF(ISNUMBER(H253),ABS(H253),"n.a.")</x:f>
        <x:v>0.024955885316889997</x:v>
      </x:c>
      <x:c r="J253" s="2" t="str">
        <x:v>available</x:v>
      </x:c>
      <x:c r="K253" s="2" t="n">
        <x:v>1</x:v>
      </x:c>
      <x:c r="L253" s="13" t="b">
        <x:v>0</x:v>
      </x:c>
      <x:c r="M253" s="13" t="b">
        <x:v>1</x:v>
      </x:c>
      <x:c r="N253" s="2" t="str">
        <x:v>unused2023converted-source comparator</x:v>
      </x:c>
      <x:c r="O253" s="2" t="str"/>
      <x:c r="P253" s="2" t="str">
        <x:v>assumption-based floor-area proxy</x:v>
      </x:c>
      <x:c r="Q253" s="2" t="str">
        <x:v>m2</x:v>
      </x:c>
      <x:c r="R253" s="17" t="n">
        <x:v>620718462.75</x:v>
      </x:c>
      <x:c r="S253" s="17"/>
      <x:c r="T253" s="18"/>
      <x:c r="U253" s="17" t="n">
        <x:v>577057207.8100005</x:v>
      </x:c>
      <x:c r="V253" s="2" t="str">
        <x:v>existing saved physical-floor-area proxy</x:v>
      </x:c>
      <x:c r="W253" s="2" t="str">
        <x:v>legacy_epoch_source_QA_passed; new_common_native_support_not_certified</x:v>
      </x:c>
      <x:c r="X253" s="2" t="str">
        <x:v>https://arxiv.org/abs/2511.12104</x:v>
      </x:c>
    </x:row>
    <x:row r="254" ht="23" customHeight="1">
      <x:c r="A254" s="2" t="str">
        <x:v>COD</x:v>
      </x:c>
      <x:c r="B254" s="2" t="str">
        <x:v>Congo (Democratic Republic of the)</x:v>
      </x:c>
      <x:c r="C254" s="2" t="n">
        <x:v>2023</x:v>
      </x:c>
      <x:c r="D254" s="2" t="str">
        <x:v>TEMPO_PROXY</x:v>
      </x:c>
      <x:c r="E254" s="17" t="n">
        <x:v>1077139696.3216643</x:v>
      </x:c>
      <x:c r="F254" s="17" t="n">
        <x:f>IF(AND(M254,ISNUMBER(R254)),IF(D254="TEMPO_PROXY",R254,IF(AND(ISNUMBER(S254),S254&gt;0,ISNUMBER(U254)),U254*R254/S254,"n.a.")),"n.a.")</x:f>
        <x:v>968518804.86</x:v>
      </x:c>
      <x:c r="G254" s="17" t="n">
        <x:f>IF(AND(ISNUMBER(E254),ISNUMBER(F254)),E254-F254,"n.a.")</x:f>
        <x:v>108620891.46166432</x:v>
      </x:c>
      <x:c r="H254" s="15" t="n">
        <x:f>IF(AND(ISNUMBER(E254),ISNUMBER(F254),F254&gt;0),(E254-F254)/F254,"n.a.")</x:f>
        <x:v>0.11215155649700115</x:v>
      </x:c>
      <x:c r="I254" s="19" t="n">
        <x:f>IF(ISNUMBER(H254),ABS(H254),"n.a.")</x:f>
        <x:v>0.11215155649700115</x:v>
      </x:c>
      <x:c r="J254" s="2" t="str">
        <x:v>available</x:v>
      </x:c>
      <x:c r="K254" s="2" t="n">
        <x:v>1</x:v>
      </x:c>
      <x:c r="L254" s="13" t="b">
        <x:v>0</x:v>
      </x:c>
      <x:c r="M254" s="13" t="b">
        <x:v>1</x:v>
      </x:c>
      <x:c r="N254" s="2" t="str">
        <x:v>unused2023converted-source comparator</x:v>
      </x:c>
      <x:c r="O254" s="2" t="str"/>
      <x:c r="P254" s="2" t="str">
        <x:v>assumption-based floor-area proxy</x:v>
      </x:c>
      <x:c r="Q254" s="2" t="str">
        <x:v>m2</x:v>
      </x:c>
      <x:c r="R254" s="17" t="n">
        <x:v>968518804.86</x:v>
      </x:c>
      <x:c r="S254" s="17"/>
      <x:c r="T254" s="18"/>
      <x:c r="U254" s="17" t="n">
        <x:v>941825698.8399988</x:v>
      </x:c>
      <x:c r="V254" s="2" t="str">
        <x:v>existing saved physical-floor-area proxy</x:v>
      </x:c>
      <x:c r="W254" s="2" t="str">
        <x:v>legacy_epoch_source_QA_passed; new_common_native_support_not_certified</x:v>
      </x:c>
      <x:c r="X254" s="2" t="str">
        <x:v>https://arxiv.org/abs/2511.12104</x:v>
      </x:c>
    </x:row>
    <x:row r="255" ht="23" customHeight="1">
      <x:c r="A255" s="2" t="str">
        <x:v>COG</x:v>
      </x:c>
      <x:c r="B255" s="2" t="str">
        <x:v>Congo (Republic of the)</x:v>
      </x:c>
      <x:c r="C255" s="2" t="n">
        <x:v>2023</x:v>
      </x:c>
      <x:c r="D255" s="2" t="str">
        <x:v>TEMPO_PROXY</x:v>
      </x:c>
      <x:c r="E255" s="17" t="n">
        <x:v>123040849.17188968</x:v>
      </x:c>
      <x:c r="F255" s="17" t="n">
        <x:f>IF(AND(M255,ISNUMBER(R255)),IF(D255="TEMPO_PROXY",R255,IF(AND(ISNUMBER(S255),S255&gt;0,ISNUMBER(U255)),U255*R255/S255,"n.a.")),"n.a.")</x:f>
        <x:v>115333636.53</x:v>
      </x:c>
      <x:c r="G255" s="17" t="n">
        <x:f>IF(AND(ISNUMBER(E255),ISNUMBER(F255)),E255-F255,"n.a.")</x:f>
        <x:v>7707212.641889676</x:v>
      </x:c>
      <x:c r="H255" s="15" t="n">
        <x:f>IF(AND(ISNUMBER(E255),ISNUMBER(F255),F255&gt;0),(E255-F255)/F255,"n.a.")</x:f>
        <x:v>0.06682536746237873</x:v>
      </x:c>
      <x:c r="I255" s="19" t="n">
        <x:f>IF(ISNUMBER(H255),ABS(H255),"n.a.")</x:f>
        <x:v>0.06682536746237873</x:v>
      </x:c>
      <x:c r="J255" s="2" t="str">
        <x:v>available</x:v>
      </x:c>
      <x:c r="K255" s="2" t="n">
        <x:v>1</x:v>
      </x:c>
      <x:c r="L255" s="13" t="b">
        <x:v>0</x:v>
      </x:c>
      <x:c r="M255" s="13" t="b">
        <x:v>1</x:v>
      </x:c>
      <x:c r="N255" s="2" t="str">
        <x:v>unused2023converted-source comparator</x:v>
      </x:c>
      <x:c r="O255" s="2" t="str"/>
      <x:c r="P255" s="2" t="str">
        <x:v>assumption-based floor-area proxy</x:v>
      </x:c>
      <x:c r="Q255" s="2" t="str">
        <x:v>m2</x:v>
      </x:c>
      <x:c r="R255" s="17" t="n">
        <x:v>115333636.53</x:v>
      </x:c>
      <x:c r="S255" s="17"/>
      <x:c r="T255" s="18"/>
      <x:c r="U255" s="17" t="n">
        <x:v>110620071.65000013</x:v>
      </x:c>
      <x:c r="V255" s="2" t="str">
        <x:v>existing saved physical-floor-area proxy</x:v>
      </x:c>
      <x:c r="W255" s="2" t="str">
        <x:v>legacy_epoch_source_QA_passed; new_common_native_support_not_certified</x:v>
      </x:c>
      <x:c r="X255" s="2" t="str">
        <x:v>https://arxiv.org/abs/2511.12104</x:v>
      </x:c>
    </x:row>
    <x:row r="256" ht="23" customHeight="1">
      <x:c r="A256" s="2" t="str">
        <x:v>COL</x:v>
      </x:c>
      <x:c r="B256" s="2" t="str">
        <x:v>Colombia (Republic of)</x:v>
      </x:c>
      <x:c r="C256" s="2" t="n">
        <x:v>2023</x:v>
      </x:c>
      <x:c r="D256" s="2" t="str">
        <x:v>TEMPO_PROXY</x:v>
      </x:c>
      <x:c r="E256" s="17" t="n">
        <x:v>1675730324.963179</x:v>
      </x:c>
      <x:c r="F256" s="17" t="n">
        <x:f>IF(AND(M256,ISNUMBER(R256)),IF(D256="TEMPO_PROXY",R256,IF(AND(ISNUMBER(S256),S256&gt;0,ISNUMBER(U256)),U256*R256/S256,"n.a.")),"n.a.")</x:f>
        <x:v>1635486731.72</x:v>
      </x:c>
      <x:c r="G256" s="17" t="n">
        <x:f>IF(AND(ISNUMBER(E256),ISNUMBER(F256)),E256-F256,"n.a.")</x:f>
        <x:v>40243593.24317908</x:v>
      </x:c>
      <x:c r="H256" s="15" t="n">
        <x:f>IF(AND(ISNUMBER(E256),ISNUMBER(F256),F256&gt;0),(E256-F256)/F256,"n.a.")</x:f>
        <x:v>0.024606493261401095</x:v>
      </x:c>
      <x:c r="I256" s="19" t="n">
        <x:f>IF(ISNUMBER(H256),ABS(H256),"n.a.")</x:f>
        <x:v>0.024606493261401095</x:v>
      </x:c>
      <x:c r="J256" s="2" t="str">
        <x:v>available</x:v>
      </x:c>
      <x:c r="K256" s="2" t="n">
        <x:v>1</x:v>
      </x:c>
      <x:c r="L256" s="13" t="b">
        <x:v>0</x:v>
      </x:c>
      <x:c r="M256" s="13" t="b">
        <x:v>1</x:v>
      </x:c>
      <x:c r="N256" s="2" t="str">
        <x:v>unused2023converted-source comparator</x:v>
      </x:c>
      <x:c r="O256" s="2" t="str"/>
      <x:c r="P256" s="2" t="str">
        <x:v>assumption-based floor-area proxy</x:v>
      </x:c>
      <x:c r="Q256" s="2" t="str">
        <x:v>m2</x:v>
      </x:c>
      <x:c r="R256" s="17" t="n">
        <x:v>1635486731.72</x:v>
      </x:c>
      <x:c r="S256" s="17"/>
      <x:c r="T256" s="18"/>
      <x:c r="U256" s="17" t="n">
        <x:v>1505534156.3100014</x:v>
      </x:c>
      <x:c r="V256" s="2" t="str">
        <x:v>existing saved physical-floor-area proxy</x:v>
      </x:c>
      <x:c r="W256" s="2" t="str">
        <x:v>legacy_epoch_source_QA_passed; new_common_native_support_not_certified</x:v>
      </x:c>
      <x:c r="X256" s="2" t="str">
        <x:v>https://arxiv.org/abs/2511.12104</x:v>
      </x:c>
    </x:row>
    <x:row r="257" ht="23" customHeight="1">
      <x:c r="A257" s="2" t="str">
        <x:v>COM</x:v>
      </x:c>
      <x:c r="B257" s="2" t="str">
        <x:v>Comoros (Union of the)</x:v>
      </x:c>
      <x:c r="C257" s="2" t="n">
        <x:v>2023</x:v>
      </x:c>
      <x:c r="D257" s="2" t="str">
        <x:v>TEMPO_PROXY</x:v>
      </x:c>
      <x:c r="E257" s="17" t="n">
        <x:v>19978277.467180517</x:v>
      </x:c>
      <x:c r="F257" s="17" t="n">
        <x:f>IF(AND(M257,ISNUMBER(R257)),IF(D257="TEMPO_PROXY",R257,IF(AND(ISNUMBER(S257),S257&gt;0,ISNUMBER(U257)),U257*R257/S257,"n.a.")),"n.a.")</x:f>
        <x:v>19443892.35</x:v>
      </x:c>
      <x:c r="G257" s="17" t="n">
        <x:f>IF(AND(ISNUMBER(E257),ISNUMBER(F257)),E257-F257,"n.a.")</x:f>
        <x:v>534385.1171805151</x:v>
      </x:c>
      <x:c r="H257" s="15" t="n">
        <x:f>IF(AND(ISNUMBER(E257),ISNUMBER(F257),F257&gt;0),(E257-F257)/F257,"n.a.")</x:f>
        <x:v>0.02748344351847407</x:v>
      </x:c>
      <x:c r="I257" s="19" t="n">
        <x:f>IF(ISNUMBER(H257),ABS(H257),"n.a.")</x:f>
        <x:v>0.02748344351847407</x:v>
      </x:c>
      <x:c r="J257" s="2" t="str">
        <x:v>available</x:v>
      </x:c>
      <x:c r="K257" s="2" t="n">
        <x:v>1</x:v>
      </x:c>
      <x:c r="L257" s="13" t="b">
        <x:v>0</x:v>
      </x:c>
      <x:c r="M257" s="13" t="b">
        <x:v>1</x:v>
      </x:c>
      <x:c r="N257" s="2" t="str">
        <x:v>unused2023converted-source comparator</x:v>
      </x:c>
      <x:c r="O257" s="2" t="str"/>
      <x:c r="P257" s="2" t="str">
        <x:v>assumption-based floor-area proxy</x:v>
      </x:c>
      <x:c r="Q257" s="2" t="str">
        <x:v>m2</x:v>
      </x:c>
      <x:c r="R257" s="17" t="n">
        <x:v>19443892.35</x:v>
      </x:c>
      <x:c r="S257" s="17"/>
      <x:c r="T257" s="18"/>
      <x:c r="U257" s="17" t="n">
        <x:v>18035090.40999997</x:v>
      </x:c>
      <x:c r="V257" s="2" t="str">
        <x:v>existing saved physical-floor-area proxy</x:v>
      </x:c>
      <x:c r="W257" s="2" t="str">
        <x:v>legacy_epoch_source_QA_passed; new_common_native_support_not_certified</x:v>
      </x:c>
      <x:c r="X257" s="2" t="str">
        <x:v>https://arxiv.org/abs/2511.12104</x:v>
      </x:c>
    </x:row>
    <x:row r="258" ht="23" customHeight="1">
      <x:c r="A258" s="2" t="str">
        <x:v>CPV</x:v>
      </x:c>
      <x:c r="B258" s="2" t="str">
        <x:v>Cabo Verde (Republic of)</x:v>
      </x:c>
      <x:c r="C258" s="2" t="n">
        <x:v>2023</x:v>
      </x:c>
      <x:c r="D258" s="2" t="str">
        <x:v>TEMPO_PROXY</x:v>
      </x:c>
      <x:c r="E258" s="17" t="n">
        <x:v>23551926.182221353</x:v>
      </x:c>
      <x:c r="F258" s="17" t="n">
        <x:f>IF(AND(M258,ISNUMBER(R258)),IF(D258="TEMPO_PROXY",R258,IF(AND(ISNUMBER(S258),S258&gt;0,ISNUMBER(U258)),U258*R258/S258,"n.a.")),"n.a.")</x:f>
        <x:v>22570911.01</x:v>
      </x:c>
      <x:c r="G258" s="17" t="n">
        <x:f>IF(AND(ISNUMBER(E258),ISNUMBER(F258)),E258-F258,"n.a.")</x:f>
        <x:v>981015.1722213514</x:v>
      </x:c>
      <x:c r="H258" s="15" t="n">
        <x:f>IF(AND(ISNUMBER(E258),ISNUMBER(F258),F258&gt;0),(E258-F258)/F258,"n.a.")</x:f>
        <x:v>0.04346369412323297</x:v>
      </x:c>
      <x:c r="I258" s="19" t="n">
        <x:f>IF(ISNUMBER(H258),ABS(H258),"n.a.")</x:f>
        <x:v>0.04346369412323297</x:v>
      </x:c>
      <x:c r="J258" s="2" t="str">
        <x:v>available</x:v>
      </x:c>
      <x:c r="K258" s="2" t="n">
        <x:v>1</x:v>
      </x:c>
      <x:c r="L258" s="13" t="b">
        <x:v>0</x:v>
      </x:c>
      <x:c r="M258" s="13" t="b">
        <x:v>1</x:v>
      </x:c>
      <x:c r="N258" s="2" t="str">
        <x:v>unused2023converted-source comparator</x:v>
      </x:c>
      <x:c r="O258" s="2" t="str"/>
      <x:c r="P258" s="2" t="str">
        <x:v>assumption-based floor-area proxy</x:v>
      </x:c>
      <x:c r="Q258" s="2" t="str">
        <x:v>m2</x:v>
      </x:c>
      <x:c r="R258" s="17" t="n">
        <x:v>22570911.01</x:v>
      </x:c>
      <x:c r="S258" s="17"/>
      <x:c r="T258" s="18"/>
      <x:c r="U258" s="17" t="n">
        <x:v>21833832.63999998</x:v>
      </x:c>
      <x:c r="V258" s="2" t="str">
        <x:v>existing saved physical-floor-area proxy</x:v>
      </x:c>
      <x:c r="W258" s="2" t="str">
        <x:v>legacy_epoch_source_QA_passed; new_common_native_support_not_certified</x:v>
      </x:c>
      <x:c r="X258" s="2" t="str">
        <x:v>https://arxiv.org/abs/2511.12104</x:v>
      </x:c>
    </x:row>
    <x:row r="259" ht="23" customHeight="1">
      <x:c r="A259" s="2" t="str">
        <x:v>CRI</x:v>
      </x:c>
      <x:c r="B259" s="2" t="str">
        <x:v>Costa Rica (Republic of)</x:v>
      </x:c>
      <x:c r="C259" s="2" t="n">
        <x:v>2023</x:v>
      </x:c>
      <x:c r="D259" s="2" t="str">
        <x:v>TEMPO_PROXY</x:v>
      </x:c>
      <x:c r="E259" s="17" t="n">
        <x:v>302776512.56543505</x:v>
      </x:c>
      <x:c r="F259" s="17" t="n">
        <x:f>IF(AND(M259,ISNUMBER(R259)),IF(D259="TEMPO_PROXY",R259,IF(AND(ISNUMBER(S259),S259&gt;0,ISNUMBER(U259)),U259*R259/S259,"n.a.")),"n.a.")</x:f>
        <x:v>300356181.17</x:v>
      </x:c>
      <x:c r="G259" s="17" t="n">
        <x:f>IF(AND(ISNUMBER(E259),ISNUMBER(F259)),E259-F259,"n.a.")</x:f>
        <x:v>2420331.395435035</x:v>
      </x:c>
      <x:c r="H259" s="15" t="n">
        <x:f>IF(AND(ISNUMBER(E259),ISNUMBER(F259),F259&gt;0),(E259-F259)/F259,"n.a.")</x:f>
        <x:v>0.008058204049628466</x:v>
      </x:c>
      <x:c r="I259" s="19" t="n">
        <x:f>IF(ISNUMBER(H259),ABS(H259),"n.a.")</x:f>
        <x:v>0.008058204049628466</x:v>
      </x:c>
      <x:c r="J259" s="2" t="str">
        <x:v>available</x:v>
      </x:c>
      <x:c r="K259" s="2" t="n">
        <x:v>1</x:v>
      </x:c>
      <x:c r="L259" s="13" t="b">
        <x:v>0</x:v>
      </x:c>
      <x:c r="M259" s="13" t="b">
        <x:v>1</x:v>
      </x:c>
      <x:c r="N259" s="2" t="str">
        <x:v>unused2023converted-source comparator</x:v>
      </x:c>
      <x:c r="O259" s="2" t="str"/>
      <x:c r="P259" s="2" t="str">
        <x:v>assumption-based floor-area proxy</x:v>
      </x:c>
      <x:c r="Q259" s="2" t="str">
        <x:v>m2</x:v>
      </x:c>
      <x:c r="R259" s="17" t="n">
        <x:v>300356181.17</x:v>
      </x:c>
      <x:c r="S259" s="17"/>
      <x:c r="T259" s="18"/>
      <x:c r="U259" s="17" t="n">
        <x:v>284786315.38999987</x:v>
      </x:c>
      <x:c r="V259" s="2" t="str">
        <x:v>existing saved physical-floor-area proxy</x:v>
      </x:c>
      <x:c r="W259" s="2" t="str">
        <x:v>legacy_epoch_source_QA_passed; new_common_native_support_not_certified</x:v>
      </x:c>
      <x:c r="X259" s="2" t="str">
        <x:v>https://arxiv.org/abs/2511.12104</x:v>
      </x:c>
    </x:row>
    <x:row r="260" ht="23" customHeight="1">
      <x:c r="A260" s="2" t="str">
        <x:v>CUB</x:v>
      </x:c>
      <x:c r="B260" s="2" t="str">
        <x:v>Cuba (Republic of)</x:v>
      </x:c>
      <x:c r="C260" s="2" t="n">
        <x:v>2023</x:v>
      </x:c>
      <x:c r="D260" s="2" t="str">
        <x:v>TEMPO_PROXY</x:v>
      </x:c>
      <x:c r="E260" s="17" t="n">
        <x:v>391491907.2637088</x:v>
      </x:c>
      <x:c r="F260" s="17" t="n">
        <x:f>IF(AND(M260,ISNUMBER(R260)),IF(D260="TEMPO_PROXY",R260,IF(AND(ISNUMBER(S260),S260&gt;0,ISNUMBER(U260)),U260*R260/S260,"n.a.")),"n.a.")</x:f>
        <x:v>368259242.91</x:v>
      </x:c>
      <x:c r="G260" s="17" t="n">
        <x:f>IF(AND(ISNUMBER(E260),ISNUMBER(F260)),E260-F260,"n.a.")</x:f>
        <x:v>23232664.353708744</x:v>
      </x:c>
      <x:c r="H260" s="15" t="n">
        <x:f>IF(AND(ISNUMBER(E260),ISNUMBER(F260),F260&gt;0),(E260-F260)/F260,"n.a.")</x:f>
        <x:v>0.06308779698269962</x:v>
      </x:c>
      <x:c r="I260" s="19" t="n">
        <x:f>IF(ISNUMBER(H260),ABS(H260),"n.a.")</x:f>
        <x:v>0.06308779698269962</x:v>
      </x:c>
      <x:c r="J260" s="2" t="str">
        <x:v>available</x:v>
      </x:c>
      <x:c r="K260" s="2" t="n">
        <x:v>1</x:v>
      </x:c>
      <x:c r="L260" s="13" t="b">
        <x:v>0</x:v>
      </x:c>
      <x:c r="M260" s="13" t="b">
        <x:v>1</x:v>
      </x:c>
      <x:c r="N260" s="2" t="str">
        <x:v>unused2023converted-source comparator</x:v>
      </x:c>
      <x:c r="O260" s="2" t="str"/>
      <x:c r="P260" s="2" t="str">
        <x:v>assumption-based floor-area proxy</x:v>
      </x:c>
      <x:c r="Q260" s="2" t="str">
        <x:v>m2</x:v>
      </x:c>
      <x:c r="R260" s="17" t="n">
        <x:v>368259242.91</x:v>
      </x:c>
      <x:c r="S260" s="17"/>
      <x:c r="T260" s="18"/>
      <x:c r="U260" s="17" t="n">
        <x:v>360088927.4199998</x:v>
      </x:c>
      <x:c r="V260" s="2" t="str">
        <x:v>existing saved physical-floor-area proxy</x:v>
      </x:c>
      <x:c r="W260" s="2" t="str">
        <x:v>legacy_epoch_source_QA_passed; new_common_native_support_not_certified</x:v>
      </x:c>
      <x:c r="X260" s="2" t="str">
        <x:v>https://arxiv.org/abs/2511.12104</x:v>
      </x:c>
    </x:row>
    <x:row r="261" ht="23" customHeight="1">
      <x:c r="A261" s="2" t="str">
        <x:v>CYP</x:v>
      </x:c>
      <x:c r="B261" s="2" t="str">
        <x:v>Cyprus (Republic of)</x:v>
      </x:c>
      <x:c r="C261" s="2" t="n">
        <x:v>2023</x:v>
      </x:c>
      <x:c r="D261" s="2" t="str">
        <x:v>TEMPO_PROXY</x:v>
      </x:c>
      <x:c r="E261" s="17" t="n">
        <x:v>132644927.09533326</x:v>
      </x:c>
      <x:c r="F261" s="17" t="n">
        <x:f>IF(AND(M261,ISNUMBER(R261)),IF(D261="TEMPO_PROXY",R261,IF(AND(ISNUMBER(S261),S261&gt;0,ISNUMBER(U261)),U261*R261/S261,"n.a.")),"n.a.")</x:f>
        <x:v>131183683.78</x:v>
      </x:c>
      <x:c r="G261" s="17" t="n">
        <x:f>IF(AND(ISNUMBER(E261),ISNUMBER(F261)),E261-F261,"n.a.")</x:f>
        <x:v>1461243.315333262</x:v>
      </x:c>
      <x:c r="H261" s="15" t="n">
        <x:f>IF(AND(ISNUMBER(E261),ISNUMBER(F261),F261&gt;0),(E261-F261)/F261,"n.a.")</x:f>
        <x:v>0.011138910520181934</x:v>
      </x:c>
      <x:c r="I261" s="19" t="n">
        <x:f>IF(ISNUMBER(H261),ABS(H261),"n.a.")</x:f>
        <x:v>0.011138910520181934</x:v>
      </x:c>
      <x:c r="J261" s="2" t="str">
        <x:v>available</x:v>
      </x:c>
      <x:c r="K261" s="2" t="n">
        <x:v>1</x:v>
      </x:c>
      <x:c r="L261" s="13" t="b">
        <x:v>0</x:v>
      </x:c>
      <x:c r="M261" s="13" t="b">
        <x:v>1</x:v>
      </x:c>
      <x:c r="N261" s="2" t="str">
        <x:v>unused2023converted-source comparator</x:v>
      </x:c>
      <x:c r="O261" s="2" t="str"/>
      <x:c r="P261" s="2" t="str">
        <x:v>assumption-based floor-area proxy</x:v>
      </x:c>
      <x:c r="Q261" s="2" t="str">
        <x:v>m2</x:v>
      </x:c>
      <x:c r="R261" s="17" t="n">
        <x:v>131183683.78</x:v>
      </x:c>
      <x:c r="S261" s="17"/>
      <x:c r="T261" s="18"/>
      <x:c r="U261" s="17" t="n">
        <x:v>124124771.75000016</x:v>
      </x:c>
      <x:c r="V261" s="2" t="str">
        <x:v>existing saved physical-floor-area proxy</x:v>
      </x:c>
      <x:c r="W261" s="2" t="str">
        <x:v>legacy_epoch_source_QA_passed; new_common_native_support_not_certified</x:v>
      </x:c>
      <x:c r="X261" s="2" t="str">
        <x:v>https://arxiv.org/abs/2511.12104</x:v>
      </x:c>
    </x:row>
    <x:row r="262" ht="23" customHeight="1">
      <x:c r="A262" s="2" t="str">
        <x:v>CZE</x:v>
      </x:c>
      <x:c r="B262" s="2" t="str">
        <x:v>Czechia (Czech Republic)</x:v>
      </x:c>
      <x:c r="C262" s="2" t="n">
        <x:v>2023</x:v>
      </x:c>
      <x:c r="D262" s="2" t="str">
        <x:v>TEMPO_PROXY</x:v>
      </x:c>
      <x:c r="E262" s="17" t="n">
        <x:v>925269232.9123237</x:v>
      </x:c>
      <x:c r="F262" s="17" t="n">
        <x:f>IF(AND(M262,ISNUMBER(R262)),IF(D262="TEMPO_PROXY",R262,IF(AND(ISNUMBER(S262),S262&gt;0,ISNUMBER(U262)),U262*R262/S262,"n.a.")),"n.a.")</x:f>
        <x:v>914447201.07</x:v>
      </x:c>
      <x:c r="G262" s="17" t="n">
        <x:f>IF(AND(ISNUMBER(E262),ISNUMBER(F262)),E262-F262,"n.a.")</x:f>
        <x:v>10822031.84232366</x:v>
      </x:c>
      <x:c r="H262" s="15" t="n">
        <x:f>IF(AND(ISNUMBER(E262),ISNUMBER(F262),F262&gt;0),(E262-F262)/F262,"n.a.")</x:f>
        <x:v>0.011834507043884805</x:v>
      </x:c>
      <x:c r="I262" s="19" t="n">
        <x:f>IF(ISNUMBER(H262),ABS(H262),"n.a.")</x:f>
        <x:v>0.011834507043884805</x:v>
      </x:c>
      <x:c r="J262" s="2" t="str">
        <x:v>available</x:v>
      </x:c>
      <x:c r="K262" s="2" t="n">
        <x:v>1</x:v>
      </x:c>
      <x:c r="L262" s="13" t="b">
        <x:v>0</x:v>
      </x:c>
      <x:c r="M262" s="13" t="b">
        <x:v>1</x:v>
      </x:c>
      <x:c r="N262" s="2" t="str">
        <x:v>unused2023converted-source comparator</x:v>
      </x:c>
      <x:c r="O262" s="2" t="str"/>
      <x:c r="P262" s="2" t="str">
        <x:v>assumption-based floor-area proxy</x:v>
      </x:c>
      <x:c r="Q262" s="2" t="str">
        <x:v>m2</x:v>
      </x:c>
      <x:c r="R262" s="17" t="n">
        <x:v>914447201.07</x:v>
      </x:c>
      <x:c r="S262" s="17"/>
      <x:c r="T262" s="18"/>
      <x:c r="U262" s="17" t="n">
        <x:v>853858176.0500003</x:v>
      </x:c>
      <x:c r="V262" s="2" t="str">
        <x:v>existing saved physical-floor-area proxy</x:v>
      </x:c>
      <x:c r="W262" s="2" t="str">
        <x:v>legacy_epoch_source_QA_passed; new_common_native_support_not_certified</x:v>
      </x:c>
      <x:c r="X262" s="2" t="str">
        <x:v>https://arxiv.org/abs/2511.12104</x:v>
      </x:c>
    </x:row>
    <x:row r="263" ht="23" customHeight="1">
      <x:c r="A263" s="2" t="str">
        <x:v>DEU</x:v>
      </x:c>
      <x:c r="B263" s="2" t="str">
        <x:v>Germany (Federal Republic of)</x:v>
      </x:c>
      <x:c r="C263" s="2" t="n">
        <x:v>2023</x:v>
      </x:c>
      <x:c r="D263" s="2" t="str">
        <x:v>TEMPO_PROXY</x:v>
      </x:c>
      <x:c r="E263" s="17" t="n">
        <x:v>7106088633.453205</x:v>
      </x:c>
      <x:c r="F263" s="17" t="n">
        <x:f>IF(AND(M263,ISNUMBER(R263)),IF(D263="TEMPO_PROXY",R263,IF(AND(ISNUMBER(S263),S263&gt;0,ISNUMBER(U263)),U263*R263/S263,"n.a.")),"n.a.")</x:f>
        <x:v>6915458352.86</x:v>
      </x:c>
      <x:c r="G263" s="17" t="n">
        <x:f>IF(AND(ISNUMBER(E263),ISNUMBER(F263)),E263-F263,"n.a.")</x:f>
        <x:v>190630280.59320545</x:v>
      </x:c>
      <x:c r="H263" s="15" t="n">
        <x:f>IF(AND(ISNUMBER(E263),ISNUMBER(F263),F263&gt;0),(E263-F263)/F263,"n.a.")</x:f>
        <x:v>0.02756582006084488</x:v>
      </x:c>
      <x:c r="I263" s="19" t="n">
        <x:f>IF(ISNUMBER(H263),ABS(H263),"n.a.")</x:f>
        <x:v>0.02756582006084488</x:v>
      </x:c>
      <x:c r="J263" s="2" t="str">
        <x:v>available</x:v>
      </x:c>
      <x:c r="K263" s="2" t="n">
        <x:v>1</x:v>
      </x:c>
      <x:c r="L263" s="13" t="b">
        <x:v>0</x:v>
      </x:c>
      <x:c r="M263" s="13" t="b">
        <x:v>1</x:v>
      </x:c>
      <x:c r="N263" s="2" t="str">
        <x:v>unused2023converted-source comparator</x:v>
      </x:c>
      <x:c r="O263" s="2" t="str"/>
      <x:c r="P263" s="2" t="str">
        <x:v>assumption-based floor-area proxy</x:v>
      </x:c>
      <x:c r="Q263" s="2" t="str">
        <x:v>m2</x:v>
      </x:c>
      <x:c r="R263" s="17" t="n">
        <x:v>6915458352.86</x:v>
      </x:c>
      <x:c r="S263" s="17"/>
      <x:c r="T263" s="18"/>
      <x:c r="U263" s="17" t="n">
        <x:v>6611215465.220001</x:v>
      </x:c>
      <x:c r="V263" s="2" t="str">
        <x:v>existing saved physical-floor-area proxy</x:v>
      </x:c>
      <x:c r="W263" s="2" t="str">
        <x:v>legacy_epoch_source_QA_passed; new_common_native_support_not_certified</x:v>
      </x:c>
      <x:c r="X263" s="2" t="str">
        <x:v>https://arxiv.org/abs/2511.12104</x:v>
      </x:c>
    </x:row>
    <x:row r="264" ht="23" customHeight="1">
      <x:c r="A264" s="2" t="str">
        <x:v>DJI</x:v>
      </x:c>
      <x:c r="B264" s="2" t="str">
        <x:v>Djibouti (Republic of)</x:v>
      </x:c>
      <x:c r="C264" s="2" t="n">
        <x:v>2023</x:v>
      </x:c>
      <x:c r="D264" s="2" t="str">
        <x:v>TEMPO_PROXY</x:v>
      </x:c>
      <x:c r="E264" s="17" t="n">
        <x:v>14536951.663955854</x:v>
      </x:c>
      <x:c r="F264" s="17" t="n">
        <x:f>IF(AND(M264,ISNUMBER(R264)),IF(D264="TEMPO_PROXY",R264,IF(AND(ISNUMBER(S264),S264&gt;0,ISNUMBER(U264)),U264*R264/S264,"n.a.")),"n.a.")</x:f>
        <x:v>13545048.59</x:v>
      </x:c>
      <x:c r="G264" s="17" t="n">
        <x:f>IF(AND(ISNUMBER(E264),ISNUMBER(F264)),E264-F264,"n.a.")</x:f>
        <x:v>991903.0739558544</x:v>
      </x:c>
      <x:c r="H264" s="15" t="n">
        <x:f>IF(AND(ISNUMBER(E264),ISNUMBER(F264),F264&gt;0),(E264-F264)/F264,"n.a.")</x:f>
        <x:v>0.07322993840628625</x:v>
      </x:c>
      <x:c r="I264" s="19" t="n">
        <x:f>IF(ISNUMBER(H264),ABS(H264),"n.a.")</x:f>
        <x:v>0.07322993840628625</x:v>
      </x:c>
      <x:c r="J264" s="2" t="str">
        <x:v>available</x:v>
      </x:c>
      <x:c r="K264" s="2" t="n">
        <x:v>1</x:v>
      </x:c>
      <x:c r="L264" s="13" t="b">
        <x:v>0</x:v>
      </x:c>
      <x:c r="M264" s="13" t="b">
        <x:v>1</x:v>
      </x:c>
      <x:c r="N264" s="2" t="str">
        <x:v>unused2023converted-source comparator</x:v>
      </x:c>
      <x:c r="O264" s="2" t="str"/>
      <x:c r="P264" s="2" t="str">
        <x:v>assumption-based floor-area proxy</x:v>
      </x:c>
      <x:c r="Q264" s="2" t="str">
        <x:v>m2</x:v>
      </x:c>
      <x:c r="R264" s="17" t="n">
        <x:v>13545048.59</x:v>
      </x:c>
      <x:c r="S264" s="17"/>
      <x:c r="T264" s="18"/>
      <x:c r="U264" s="17" t="n">
        <x:v>12588327.629999984</x:v>
      </x:c>
      <x:c r="V264" s="2" t="str">
        <x:v>existing saved physical-floor-area proxy</x:v>
      </x:c>
      <x:c r="W264" s="2" t="str">
        <x:v>legacy_epoch_source_QA_passed; new_common_native_support_not_certified</x:v>
      </x:c>
      <x:c r="X264" s="2" t="str">
        <x:v>https://arxiv.org/abs/2511.12104</x:v>
      </x:c>
    </x:row>
    <x:row r="265" ht="23" customHeight="1">
      <x:c r="A265" s="2" t="str">
        <x:v>DMA</x:v>
      </x:c>
      <x:c r="B265" s="2" t="str">
        <x:v>Dominica (Commonwealth of)</x:v>
      </x:c>
      <x:c r="C265" s="2" t="n">
        <x:v>2023</x:v>
      </x:c>
      <x:c r="D265" s="2" t="str">
        <x:v>TEMPO_PROXY</x:v>
      </x:c>
      <x:c r="E265" s="17" t="n">
        <x:v>4019366.182434599</x:v>
      </x:c>
      <x:c r="F265" s="17" t="n">
        <x:f>IF(AND(M265,ISNUMBER(R265)),IF(D265="TEMPO_PROXY",R265,IF(AND(ISNUMBER(S265),S265&gt;0,ISNUMBER(U265)),U265*R265/S265,"n.a.")),"n.a.")</x:f>
        <x:v>4055064.14</x:v>
      </x:c>
      <x:c r="G265" s="17" t="n">
        <x:f>IF(AND(ISNUMBER(E265),ISNUMBER(F265)),E265-F265,"n.a.")</x:f>
        <x:v>-35697.957565401215</x:v>
      </x:c>
      <x:c r="H265" s="15" t="n">
        <x:f>IF(AND(ISNUMBER(E265),ISNUMBER(F265),F265&gt;0),(E265-F265)/F265,"n.a.")</x:f>
        <x:v>-0.008803302816660556</x:v>
      </x:c>
      <x:c r="I265" s="19" t="n">
        <x:f>IF(ISNUMBER(H265),ABS(H265),"n.a.")</x:f>
        <x:v>0.008803302816660556</x:v>
      </x:c>
      <x:c r="J265" s="2" t="str">
        <x:v>available</x:v>
      </x:c>
      <x:c r="K265" s="2" t="n">
        <x:v>1</x:v>
      </x:c>
      <x:c r="L265" s="13" t="b">
        <x:v>0</x:v>
      </x:c>
      <x:c r="M265" s="13" t="b">
        <x:v>1</x:v>
      </x:c>
      <x:c r="N265" s="2" t="str">
        <x:v>unused2023converted-source comparator</x:v>
      </x:c>
      <x:c r="O265" s="2" t="str"/>
      <x:c r="P265" s="2" t="str">
        <x:v>assumption-based floor-area proxy</x:v>
      </x:c>
      <x:c r="Q265" s="2" t="str">
        <x:v>m2</x:v>
      </x:c>
      <x:c r="R265" s="17" t="n">
        <x:v>4055064.14</x:v>
      </x:c>
      <x:c r="S265" s="17"/>
      <x:c r="T265" s="18"/>
      <x:c r="U265" s="17" t="n">
        <x:v>3947192.6899999985</x:v>
      </x:c>
      <x:c r="V265" s="2" t="str">
        <x:v>existing saved physical-floor-area proxy</x:v>
      </x:c>
      <x:c r="W265" s="2" t="str">
        <x:v>legacy_epoch_source_QA_passed; new_common_native_support_not_certified</x:v>
      </x:c>
      <x:c r="X265" s="2" t="str">
        <x:v>https://arxiv.org/abs/2511.12104</x:v>
      </x:c>
    </x:row>
    <x:row r="266" ht="23" customHeight="1">
      <x:c r="A266" s="2" t="str">
        <x:v>DNK</x:v>
      </x:c>
      <x:c r="B266" s="2" t="str">
        <x:v>Denmark (Kingdom of)</x:v>
      </x:c>
      <x:c r="C266" s="2" t="n">
        <x:v>2023</x:v>
      </x:c>
      <x:c r="D266" s="2" t="str">
        <x:v>TEMPO_PROXY</x:v>
      </x:c>
      <x:c r="E266" s="17" t="n">
        <x:v>719708341.7903874</x:v>
      </x:c>
      <x:c r="F266" s="17" t="n">
        <x:f>IF(AND(M266,ISNUMBER(R266)),IF(D266="TEMPO_PROXY",R266,IF(AND(ISNUMBER(S266),S266&gt;0,ISNUMBER(U266)),U266*R266/S266,"n.a.")),"n.a.")</x:f>
        <x:v>701820477.16</x:v>
      </x:c>
      <x:c r="G266" s="17" t="n">
        <x:f>IF(AND(ISNUMBER(E266),ISNUMBER(F266)),E266-F266,"n.a.")</x:f>
        <x:v>17887864.630387425</x:v>
      </x:c>
      <x:c r="H266" s="15" t="n">
        <x:f>IF(AND(ISNUMBER(E266),ISNUMBER(F266),F266&gt;0),(E266-F266)/F266,"n.a.")</x:f>
        <x:v>0.025487806657868973</x:v>
      </x:c>
      <x:c r="I266" s="19" t="n">
        <x:f>IF(ISNUMBER(H266),ABS(H266),"n.a.")</x:f>
        <x:v>0.025487806657868973</x:v>
      </x:c>
      <x:c r="J266" s="2" t="str">
        <x:v>available</x:v>
      </x:c>
      <x:c r="K266" s="2" t="n">
        <x:v>1</x:v>
      </x:c>
      <x:c r="L266" s="13" t="b">
        <x:v>0</x:v>
      </x:c>
      <x:c r="M266" s="13" t="b">
        <x:v>1</x:v>
      </x:c>
      <x:c r="N266" s="2" t="str">
        <x:v>unused2023converted-source comparator</x:v>
      </x:c>
      <x:c r="O266" s="2" t="str"/>
      <x:c r="P266" s="2" t="str">
        <x:v>assumption-based floor-area proxy</x:v>
      </x:c>
      <x:c r="Q266" s="2" t="str">
        <x:v>m2</x:v>
      </x:c>
      <x:c r="R266" s="17" t="n">
        <x:v>701820477.16</x:v>
      </x:c>
      <x:c r="S266" s="17"/>
      <x:c r="T266" s="18"/>
      <x:c r="U266" s="17" t="n">
        <x:v>665059716.8900009</x:v>
      </x:c>
      <x:c r="V266" s="2" t="str">
        <x:v>existing saved physical-floor-area proxy</x:v>
      </x:c>
      <x:c r="W266" s="2" t="str">
        <x:v>legacy_epoch_source_QA_passed; new_common_native_support_not_certified</x:v>
      </x:c>
      <x:c r="X266" s="2" t="str">
        <x:v>https://arxiv.org/abs/2511.12104</x:v>
      </x:c>
    </x:row>
    <x:row r="267" ht="23" customHeight="1">
      <x:c r="A267" s="2" t="str">
        <x:v>DOM</x:v>
      </x:c>
      <x:c r="B267" s="2" t="str">
        <x:v>Dominican Republic</x:v>
      </x:c>
      <x:c r="C267" s="2" t="n">
        <x:v>2023</x:v>
      </x:c>
      <x:c r="D267" s="2" t="str">
        <x:v>TEMPO_PROXY</x:v>
      </x:c>
      <x:c r="E267" s="17" t="n">
        <x:v>362266793.65343577</x:v>
      </x:c>
      <x:c r="F267" s="17" t="n">
        <x:f>IF(AND(M267,ISNUMBER(R267)),IF(D267="TEMPO_PROXY",R267,IF(AND(ISNUMBER(S267),S267&gt;0,ISNUMBER(U267)),U267*R267/S267,"n.a.")),"n.a.")</x:f>
        <x:v>367109326.4</x:v>
      </x:c>
      <x:c r="G267" s="17" t="n">
        <x:f>IF(AND(ISNUMBER(E267),ISNUMBER(F267)),E267-F267,"n.a.")</x:f>
        <x:v>-4842532.746564209</x:v>
      </x:c>
      <x:c r="H267" s="15" t="n">
        <x:f>IF(AND(ISNUMBER(E267),ISNUMBER(F267),F267&gt;0),(E267-F267)/F267,"n.a.")</x:f>
        <x:v>-0.013190982626488264</x:v>
      </x:c>
      <x:c r="I267" s="19" t="n">
        <x:f>IF(ISNUMBER(H267),ABS(H267),"n.a.")</x:f>
        <x:v>0.013190982626488264</x:v>
      </x:c>
      <x:c r="J267" s="2" t="str">
        <x:v>available</x:v>
      </x:c>
      <x:c r="K267" s="2" t="n">
        <x:v>1</x:v>
      </x:c>
      <x:c r="L267" s="13" t="b">
        <x:v>0</x:v>
      </x:c>
      <x:c r="M267" s="13" t="b">
        <x:v>1</x:v>
      </x:c>
      <x:c r="N267" s="2" t="str">
        <x:v>unused2023converted-source comparator</x:v>
      </x:c>
      <x:c r="O267" s="2" t="str"/>
      <x:c r="P267" s="2" t="str">
        <x:v>assumption-based floor-area proxy</x:v>
      </x:c>
      <x:c r="Q267" s="2" t="str">
        <x:v>m2</x:v>
      </x:c>
      <x:c r="R267" s="17" t="n">
        <x:v>367109326.4</x:v>
      </x:c>
      <x:c r="S267" s="17"/>
      <x:c r="T267" s="18"/>
      <x:c r="U267" s="17" t="n">
        <x:v>336248050.8900004</x:v>
      </x:c>
      <x:c r="V267" s="2" t="str">
        <x:v>existing saved physical-floor-area proxy</x:v>
      </x:c>
      <x:c r="W267" s="2" t="str">
        <x:v>legacy_epoch_source_QA_passed; new_common_native_support_not_certified</x:v>
      </x:c>
      <x:c r="X267" s="2" t="str">
        <x:v>https://arxiv.org/abs/2511.12104</x:v>
      </x:c>
    </x:row>
    <x:row r="268" ht="23" customHeight="1">
      <x:c r="A268" s="2" t="str">
        <x:v>DZA</x:v>
      </x:c>
      <x:c r="B268" s="2" t="str">
        <x:v>Algeria (People's Democratic Republic of)</x:v>
      </x:c>
      <x:c r="C268" s="2" t="n">
        <x:v>2023</x:v>
      </x:c>
      <x:c r="D268" s="2" t="str">
        <x:v>TEMPO_PROXY</x:v>
      </x:c>
      <x:c r="E268" s="17" t="n">
        <x:v>1753398705.6282687</x:v>
      </x:c>
      <x:c r="F268" s="17" t="n">
        <x:f>IF(AND(M268,ISNUMBER(R268)),IF(D268="TEMPO_PROXY",R268,IF(AND(ISNUMBER(S268),S268&gt;0,ISNUMBER(U268)),U268*R268/S268,"n.a.")),"n.a.")</x:f>
        <x:v>1686067766.67</x:v>
      </x:c>
      <x:c r="G268" s="17" t="n">
        <x:f>IF(AND(ISNUMBER(E268),ISNUMBER(F268)),E268-F268,"n.a.")</x:f>
        <x:v>67330938.95826864</x:v>
      </x:c>
      <x:c r="H268" s="15" t="n">
        <x:f>IF(AND(ISNUMBER(E268),ISNUMBER(F268),F268&gt;0),(E268-F268)/F268,"n.a.")</x:f>
        <x:v>0.03993370864994821</x:v>
      </x:c>
      <x:c r="I268" s="19" t="n">
        <x:f>IF(ISNUMBER(H268),ABS(H268),"n.a.")</x:f>
        <x:v>0.03993370864994821</x:v>
      </x:c>
      <x:c r="J268" s="2" t="str">
        <x:v>available</x:v>
      </x:c>
      <x:c r="K268" s="2" t="n">
        <x:v>1</x:v>
      </x:c>
      <x:c r="L268" s="13" t="b">
        <x:v>0</x:v>
      </x:c>
      <x:c r="M268" s="13" t="b">
        <x:v>1</x:v>
      </x:c>
      <x:c r="N268" s="2" t="str">
        <x:v>unused2023converted-source comparator</x:v>
      </x:c>
      <x:c r="O268" s="2" t="str"/>
      <x:c r="P268" s="2" t="str">
        <x:v>assumption-based floor-area proxy</x:v>
      </x:c>
      <x:c r="Q268" s="2" t="str">
        <x:v>m2</x:v>
      </x:c>
      <x:c r="R268" s="17" t="n">
        <x:v>1686067766.67</x:v>
      </x:c>
      <x:c r="S268" s="17"/>
      <x:c r="T268" s="18"/>
      <x:c r="U268" s="17" t="n">
        <x:v>1607752786.8799975</x:v>
      </x:c>
      <x:c r="V268" s="2" t="str">
        <x:v>existing saved physical-floor-area proxy</x:v>
      </x:c>
      <x:c r="W268" s="2" t="str">
        <x:v>legacy_epoch_source_QA_passed; new_common_native_support_not_certified</x:v>
      </x:c>
      <x:c r="X268" s="2" t="str">
        <x:v>https://arxiv.org/abs/2511.12104</x:v>
      </x:c>
    </x:row>
    <x:row r="269" ht="23" customHeight="1">
      <x:c r="A269" s="2" t="str">
        <x:v>ECU</x:v>
      </x:c>
      <x:c r="B269" s="2" t="str">
        <x:v>Ecuador (Republic of)</x:v>
      </x:c>
      <x:c r="C269" s="2" t="n">
        <x:v>2023</x:v>
      </x:c>
      <x:c r="D269" s="2" t="str">
        <x:v>TEMPO_PROXY</x:v>
      </x:c>
      <x:c r="E269" s="17" t="n">
        <x:v>794619772.2105788</x:v>
      </x:c>
      <x:c r="F269" s="17" t="n">
        <x:f>IF(AND(M269,ISNUMBER(R269)),IF(D269="TEMPO_PROXY",R269,IF(AND(ISNUMBER(S269),S269&gt;0,ISNUMBER(U269)),U269*R269/S269,"n.a.")),"n.a.")</x:f>
        <x:v>806345279.37</x:v>
      </x:c>
      <x:c r="G269" s="17" t="n">
        <x:f>IF(AND(ISNUMBER(E269),ISNUMBER(F269)),E269-F269,"n.a.")</x:f>
        <x:v>-11725507.159421206</x:v>
      </x:c>
      <x:c r="H269" s="15" t="n">
        <x:f>IF(AND(ISNUMBER(E269),ISNUMBER(F269),F269&gt;0),(E269-F269)/F269,"n.a.")</x:f>
        <x:v>-0.014541546232629252</x:v>
      </x:c>
      <x:c r="I269" s="19" t="n">
        <x:f>IF(ISNUMBER(H269),ABS(H269),"n.a.")</x:f>
        <x:v>0.014541546232629252</x:v>
      </x:c>
      <x:c r="J269" s="2" t="str">
        <x:v>available</x:v>
      </x:c>
      <x:c r="K269" s="2" t="n">
        <x:v>1</x:v>
      </x:c>
      <x:c r="L269" s="13" t="b">
        <x:v>0</x:v>
      </x:c>
      <x:c r="M269" s="13" t="b">
        <x:v>1</x:v>
      </x:c>
      <x:c r="N269" s="2" t="str">
        <x:v>unused2023converted-source comparator</x:v>
      </x:c>
      <x:c r="O269" s="2" t="str"/>
      <x:c r="P269" s="2" t="str">
        <x:v>assumption-based floor-area proxy</x:v>
      </x:c>
      <x:c r="Q269" s="2" t="str">
        <x:v>m2</x:v>
      </x:c>
      <x:c r="R269" s="17" t="n">
        <x:v>806345279.37</x:v>
      </x:c>
      <x:c r="S269" s="17"/>
      <x:c r="T269" s="18"/>
      <x:c r="U269" s="17" t="n">
        <x:v>734538215.0500003</x:v>
      </x:c>
      <x:c r="V269" s="2" t="str">
        <x:v>existing saved physical-floor-area proxy</x:v>
      </x:c>
      <x:c r="W269" s="2" t="str">
        <x:v>legacy_epoch_source_QA_passed; new_common_native_support_not_certified</x:v>
      </x:c>
      <x:c r="X269" s="2" t="str">
        <x:v>https://arxiv.org/abs/2511.12104</x:v>
      </x:c>
    </x:row>
    <x:row r="270" ht="23" customHeight="1">
      <x:c r="A270" s="2" t="str">
        <x:v>EGY</x:v>
      </x:c>
      <x:c r="B270" s="2" t="str">
        <x:v>Egypt (Arab Republic of)</x:v>
      </x:c>
      <x:c r="C270" s="2" t="n">
        <x:v>2023</x:v>
      </x:c>
      <x:c r="D270" s="2" t="str">
        <x:v>TEMPO_PROXY</x:v>
      </x:c>
      <x:c r="E270" s="17" t="n">
        <x:v>3297128281.7812448</x:v>
      </x:c>
      <x:c r="F270" s="17" t="n">
        <x:f>IF(AND(M270,ISNUMBER(R270)),IF(D270="TEMPO_PROXY",R270,IF(AND(ISNUMBER(S270),S270&gt;0,ISNUMBER(U270)),U270*R270/S270,"n.a.")),"n.a.")</x:f>
        <x:v>3102447182.97</x:v>
      </x:c>
      <x:c r="G270" s="17" t="n">
        <x:f>IF(AND(ISNUMBER(E270),ISNUMBER(F270)),E270-F270,"n.a.")</x:f>
        <x:v>194681098.81124496</x:v>
      </x:c>
      <x:c r="H270" s="15" t="n">
        <x:f>IF(AND(ISNUMBER(E270),ISNUMBER(F270),F270&gt;0),(E270-F270)/F270,"n.a.")</x:f>
        <x:v>0.06275081808963305</x:v>
      </x:c>
      <x:c r="I270" s="19" t="n">
        <x:f>IF(ISNUMBER(H270),ABS(H270),"n.a.")</x:f>
        <x:v>0.06275081808963305</x:v>
      </x:c>
      <x:c r="J270" s="2" t="str">
        <x:v>available</x:v>
      </x:c>
      <x:c r="K270" s="2" t="n">
        <x:v>1</x:v>
      </x:c>
      <x:c r="L270" s="13" t="b">
        <x:v>0</x:v>
      </x:c>
      <x:c r="M270" s="13" t="b">
        <x:v>1</x:v>
      </x:c>
      <x:c r="N270" s="2" t="str">
        <x:v>unused2023converted-source comparator</x:v>
      </x:c>
      <x:c r="O270" s="2" t="str"/>
      <x:c r="P270" s="2" t="str">
        <x:v>assumption-based floor-area proxy</x:v>
      </x:c>
      <x:c r="Q270" s="2" t="str">
        <x:v>m2</x:v>
      </x:c>
      <x:c r="R270" s="17" t="n">
        <x:v>3102447182.97</x:v>
      </x:c>
      <x:c r="S270" s="17"/>
      <x:c r="T270" s="18"/>
      <x:c r="U270" s="17" t="n">
        <x:v>2954306535.6</x:v>
      </x:c>
      <x:c r="V270" s="2" t="str">
        <x:v>existing saved physical-floor-area proxy</x:v>
      </x:c>
      <x:c r="W270" s="2" t="str">
        <x:v>legacy_epoch_source_QA_passed; new_common_native_support_not_certified</x:v>
      </x:c>
      <x:c r="X270" s="2" t="str">
        <x:v>https://arxiv.org/abs/2511.12104</x:v>
      </x:c>
    </x:row>
    <x:row r="271" ht="23" customHeight="1">
      <x:c r="A271" s="2" t="str">
        <x:v>ERI</x:v>
      </x:c>
      <x:c r="B271" s="2" t="str">
        <x:v>Eritrea (State of)</x:v>
      </x:c>
      <x:c r="C271" s="2" t="n">
        <x:v>2023</x:v>
      </x:c>
      <x:c r="D271" s="2" t="str">
        <x:v>TEMPO_PROXY</x:v>
      </x:c>
      <x:c r="E271" s="17" t="n">
        <x:v>50844198.12792341</x:v>
      </x:c>
      <x:c r="F271" s="17" t="n">
        <x:f>IF(AND(M271,ISNUMBER(R271)),IF(D271="TEMPO_PROXY",R271,IF(AND(ISNUMBER(S271),S271&gt;0,ISNUMBER(U271)),U271*R271/S271,"n.a.")),"n.a.")</x:f>
        <x:v>46539774.76</x:v>
      </x:c>
      <x:c r="G271" s="17" t="n">
        <x:f>IF(AND(ISNUMBER(E271),ISNUMBER(F271)),E271-F271,"n.a.")</x:f>
        <x:v>4304423.367923409</x:v>
      </x:c>
      <x:c r="H271" s="15" t="n">
        <x:f>IF(AND(ISNUMBER(E271),ISNUMBER(F271),F271&gt;0),(E271-F271)/F271,"n.a.")</x:f>
        <x:v>0.09248913193329363</x:v>
      </x:c>
      <x:c r="I271" s="19" t="n">
        <x:f>IF(ISNUMBER(H271),ABS(H271),"n.a.")</x:f>
        <x:v>0.09248913193329363</x:v>
      </x:c>
      <x:c r="J271" s="2" t="str">
        <x:v>available</x:v>
      </x:c>
      <x:c r="K271" s="2" t="n">
        <x:v>1</x:v>
      </x:c>
      <x:c r="L271" s="13" t="b">
        <x:v>0</x:v>
      </x:c>
      <x:c r="M271" s="13" t="b">
        <x:v>1</x:v>
      </x:c>
      <x:c r="N271" s="2" t="str">
        <x:v>unused2023converted-source comparator</x:v>
      </x:c>
      <x:c r="O271" s="2" t="str"/>
      <x:c r="P271" s="2" t="str">
        <x:v>assumption-based floor-area proxy</x:v>
      </x:c>
      <x:c r="Q271" s="2" t="str">
        <x:v>m2</x:v>
      </x:c>
      <x:c r="R271" s="17" t="n">
        <x:v>46539774.76</x:v>
      </x:c>
      <x:c r="S271" s="17"/>
      <x:c r="T271" s="18"/>
      <x:c r="U271" s="17" t="n">
        <x:v>45298098.329999976</x:v>
      </x:c>
      <x:c r="V271" s="2" t="str">
        <x:v>existing saved physical-floor-area proxy</x:v>
      </x:c>
      <x:c r="W271" s="2" t="str">
        <x:v>legacy_epoch_source_QA_passed; new_common_native_support_not_certified</x:v>
      </x:c>
      <x:c r="X271" s="2" t="str">
        <x:v>https://arxiv.org/abs/2511.12104</x:v>
      </x:c>
    </x:row>
    <x:row r="272" ht="23" customHeight="1">
      <x:c r="A272" s="2" t="str">
        <x:v>ESP</x:v>
      </x:c>
      <x:c r="B272" s="2" t="str">
        <x:v>Spain (Kingdom of)</x:v>
      </x:c>
      <x:c r="C272" s="2" t="n">
        <x:v>2023</x:v>
      </x:c>
      <x:c r="D272" s="2" t="str">
        <x:v>TEMPO_PROXY</x:v>
      </x:c>
      <x:c r="E272" s="17" t="n">
        <x:v>4025358106.323323</x:v>
      </x:c>
      <x:c r="F272" s="17" t="n">
        <x:f>IF(AND(M272,ISNUMBER(R272)),IF(D272="TEMPO_PROXY",R272,IF(AND(ISNUMBER(S272),S272&gt;0,ISNUMBER(U272)),U272*R272/S272,"n.a.")),"n.a.")</x:f>
        <x:v>3791405522.54</x:v>
      </x:c>
      <x:c r="G272" s="17" t="n">
        <x:f>IF(AND(ISNUMBER(E272),ISNUMBER(F272)),E272-F272,"n.a.")</x:f>
        <x:v>233952583.7833228</x:v>
      </x:c>
      <x:c r="H272" s="15" t="n">
        <x:f>IF(AND(ISNUMBER(E272),ISNUMBER(F272),F272&gt;0),(E272-F272)/F272,"n.a.")</x:f>
        <x:v>0.061706030228755246</x:v>
      </x:c>
      <x:c r="I272" s="19" t="n">
        <x:f>IF(ISNUMBER(H272),ABS(H272),"n.a.")</x:f>
        <x:v>0.061706030228755246</x:v>
      </x:c>
      <x:c r="J272" s="2" t="str">
        <x:v>available</x:v>
      </x:c>
      <x:c r="K272" s="2" t="n">
        <x:v>1</x:v>
      </x:c>
      <x:c r="L272" s="13" t="b">
        <x:v>0</x:v>
      </x:c>
      <x:c r="M272" s="13" t="b">
        <x:v>1</x:v>
      </x:c>
      <x:c r="N272" s="2" t="str">
        <x:v>unused2023converted-source comparator</x:v>
      </x:c>
      <x:c r="O272" s="2" t="str"/>
      <x:c r="P272" s="2" t="str">
        <x:v>assumption-based floor-area proxy</x:v>
      </x:c>
      <x:c r="Q272" s="2" t="str">
        <x:v>m2</x:v>
      </x:c>
      <x:c r="R272" s="17" t="n">
        <x:v>3791405522.54</x:v>
      </x:c>
      <x:c r="S272" s="17"/>
      <x:c r="T272" s="18"/>
      <x:c r="U272" s="17" t="n">
        <x:v>3693503432.029994</x:v>
      </x:c>
      <x:c r="V272" s="2" t="str">
        <x:v>existing saved physical-floor-area proxy</x:v>
      </x:c>
      <x:c r="W272" s="2" t="str">
        <x:v>legacy_epoch_source_QA_passed; new_common_native_support_not_certified</x:v>
      </x:c>
      <x:c r="X272" s="2" t="str">
        <x:v>https://arxiv.org/abs/2511.12104</x:v>
      </x:c>
    </x:row>
    <x:row r="273" ht="23" customHeight="1">
      <x:c r="A273" s="2" t="str">
        <x:v>EST</x:v>
      </x:c>
      <x:c r="B273" s="2" t="str">
        <x:v>Estonia (Republic of)</x:v>
      </x:c>
      <x:c r="C273" s="2" t="n">
        <x:v>2023</x:v>
      </x:c>
      <x:c r="D273" s="2" t="str">
        <x:v>TEMPO_PROXY</x:v>
      </x:c>
      <x:c r="E273" s="17" t="n">
        <x:v>119990211.53416616</x:v>
      </x:c>
      <x:c r="F273" s="17" t="n">
        <x:f>IF(AND(M273,ISNUMBER(R273)),IF(D273="TEMPO_PROXY",R273,IF(AND(ISNUMBER(S273),S273&gt;0,ISNUMBER(U273)),U273*R273/S273,"n.a.")),"n.a.")</x:f>
        <x:v>118906361.09</x:v>
      </x:c>
      <x:c r="G273" s="17" t="n">
        <x:f>IF(AND(ISNUMBER(E273),ISNUMBER(F273)),E273-F273,"n.a.")</x:f>
        <x:v>1083850.4441661537</x:v>
      </x:c>
      <x:c r="H273" s="15" t="n">
        <x:f>IF(AND(ISNUMBER(E273),ISNUMBER(F273),F273&gt;0),(E273-F273)/F273,"n.a.")</x:f>
        <x:v>0.009115159477008881</x:v>
      </x:c>
      <x:c r="I273" s="19" t="n">
        <x:f>IF(ISNUMBER(H273),ABS(H273),"n.a.")</x:f>
        <x:v>0.009115159477008881</x:v>
      </x:c>
      <x:c r="J273" s="2" t="str">
        <x:v>available</x:v>
      </x:c>
      <x:c r="K273" s="2" t="n">
        <x:v>1</x:v>
      </x:c>
      <x:c r="L273" s="13" t="b">
        <x:v>0</x:v>
      </x:c>
      <x:c r="M273" s="13" t="b">
        <x:v>1</x:v>
      </x:c>
      <x:c r="N273" s="2" t="str">
        <x:v>unused2023converted-source comparator</x:v>
      </x:c>
      <x:c r="O273" s="2" t="str"/>
      <x:c r="P273" s="2" t="str">
        <x:v>assumption-based floor-area proxy</x:v>
      </x:c>
      <x:c r="Q273" s="2" t="str">
        <x:v>m2</x:v>
      </x:c>
      <x:c r="R273" s="17" t="n">
        <x:v>118906361.09</x:v>
      </x:c>
      <x:c r="S273" s="17"/>
      <x:c r="T273" s="18"/>
      <x:c r="U273" s="17" t="n">
        <x:v>113094705.3700001</x:v>
      </x:c>
      <x:c r="V273" s="2" t="str">
        <x:v>existing saved physical-floor-area proxy</x:v>
      </x:c>
      <x:c r="W273" s="2" t="str">
        <x:v>legacy_epoch_source_QA_passed; new_common_native_support_not_certified</x:v>
      </x:c>
      <x:c r="X273" s="2" t="str">
        <x:v>https://arxiv.org/abs/2511.12104</x:v>
      </x:c>
    </x:row>
    <x:row r="274" ht="23" customHeight="1">
      <x:c r="A274" s="2" t="str">
        <x:v>ETH</x:v>
      </x:c>
      <x:c r="B274" s="2" t="str">
        <x:v>Ethiopia (Federal Democratic Republic of)</x:v>
      </x:c>
      <x:c r="C274" s="2" t="n">
        <x:v>2023</x:v>
      </x:c>
      <x:c r="D274" s="2" t="str">
        <x:v>TEMPO_PROXY</x:v>
      </x:c>
      <x:c r="E274" s="17" t="n">
        <x:v>1902459385.037186</x:v>
      </x:c>
      <x:c r="F274" s="17" t="n">
        <x:f>IF(AND(M274,ISNUMBER(R274)),IF(D274="TEMPO_PROXY",R274,IF(AND(ISNUMBER(S274),S274&gt;0,ISNUMBER(U274)),U274*R274/S274,"n.a.")),"n.a.")</x:f>
        <x:v>1825219817.43</x:v>
      </x:c>
      <x:c r="G274" s="17" t="n">
        <x:f>IF(AND(ISNUMBER(E274),ISNUMBER(F274)),E274-F274,"n.a.")</x:f>
        <x:v>77239567.60718584</x:v>
      </x:c>
      <x:c r="H274" s="15" t="n">
        <x:f>IF(AND(ISNUMBER(E274),ISNUMBER(F274),F274&gt;0),(E274-F274)/F274,"n.a.")</x:f>
        <x:v>0.04231795363472603</x:v>
      </x:c>
      <x:c r="I274" s="19" t="n">
        <x:f>IF(ISNUMBER(H274),ABS(H274),"n.a.")</x:f>
        <x:v>0.04231795363472603</x:v>
      </x:c>
      <x:c r="J274" s="2" t="str">
        <x:v>available</x:v>
      </x:c>
      <x:c r="K274" s="2" t="n">
        <x:v>1</x:v>
      </x:c>
      <x:c r="L274" s="13" t="b">
        <x:v>0</x:v>
      </x:c>
      <x:c r="M274" s="13" t="b">
        <x:v>1</x:v>
      </x:c>
      <x:c r="N274" s="2" t="str">
        <x:v>unused2023converted-source comparator</x:v>
      </x:c>
      <x:c r="O274" s="2" t="str"/>
      <x:c r="P274" s="2" t="str">
        <x:v>assumption-based floor-area proxy</x:v>
      </x:c>
      <x:c r="Q274" s="2" t="str">
        <x:v>m2</x:v>
      </x:c>
      <x:c r="R274" s="17" t="n">
        <x:v>1825219817.43</x:v>
      </x:c>
      <x:c r="S274" s="17"/>
      <x:c r="T274" s="18"/>
      <x:c r="U274" s="17" t="n">
        <x:v>1660821510.7100024</x:v>
      </x:c>
      <x:c r="V274" s="2" t="str">
        <x:v>existing saved physical-floor-area proxy</x:v>
      </x:c>
      <x:c r="W274" s="2" t="str">
        <x:v>legacy_epoch_source_QA_passed; new_common_native_support_not_certified</x:v>
      </x:c>
      <x:c r="X274" s="2" t="str">
        <x:v>https://arxiv.org/abs/2511.12104</x:v>
      </x:c>
    </x:row>
    <x:row r="275" ht="23" customHeight="1">
      <x:c r="A275" s="2" t="str">
        <x:v>FIN</x:v>
      </x:c>
      <x:c r="B275" s="2" t="str">
        <x:v>Finland (Republic of)</x:v>
      </x:c>
      <x:c r="C275" s="2" t="n">
        <x:v>2023</x:v>
      </x:c>
      <x:c r="D275" s="2" t="str">
        <x:v>TEMPO_PROXY</x:v>
      </x:c>
      <x:c r="E275" s="17" t="n">
        <x:v>688966113.4488864</x:v>
      </x:c>
      <x:c r="F275" s="17" t="n">
        <x:f>IF(AND(M275,ISNUMBER(R275)),IF(D275="TEMPO_PROXY",R275,IF(AND(ISNUMBER(S275),S275&gt;0,ISNUMBER(U275)),U275*R275/S275,"n.a.")),"n.a.")</x:f>
        <x:v>634422300.66</x:v>
      </x:c>
      <x:c r="G275" s="17" t="n">
        <x:f>IF(AND(ISNUMBER(E275),ISNUMBER(F275)),E275-F275,"n.a.")</x:f>
        <x:v>54543812.78888643</x:v>
      </x:c>
      <x:c r="H275" s="15" t="n">
        <x:f>IF(AND(ISNUMBER(E275),ISNUMBER(F275),F275&gt;0),(E275-F275)/F275,"n.a.")</x:f>
        <x:v>0.0859739840988307</x:v>
      </x:c>
      <x:c r="I275" s="19" t="n">
        <x:f>IF(ISNUMBER(H275),ABS(H275),"n.a.")</x:f>
        <x:v>0.0859739840988307</x:v>
      </x:c>
      <x:c r="J275" s="2" t="str">
        <x:v>available</x:v>
      </x:c>
      <x:c r="K275" s="2" t="n">
        <x:v>1</x:v>
      </x:c>
      <x:c r="L275" s="13" t="b">
        <x:v>0</x:v>
      </x:c>
      <x:c r="M275" s="13" t="b">
        <x:v>1</x:v>
      </x:c>
      <x:c r="N275" s="2" t="str">
        <x:v>unused2023converted-source comparator</x:v>
      </x:c>
      <x:c r="O275" s="2" t="str"/>
      <x:c r="P275" s="2" t="str">
        <x:v>assumption-based floor-area proxy</x:v>
      </x:c>
      <x:c r="Q275" s="2" t="str">
        <x:v>m2</x:v>
      </x:c>
      <x:c r="R275" s="17" t="n">
        <x:v>634422300.66</x:v>
      </x:c>
      <x:c r="S275" s="17"/>
      <x:c r="T275" s="18"/>
      <x:c r="U275" s="17" t="n">
        <x:v>615866742.3399993</x:v>
      </x:c>
      <x:c r="V275" s="2" t="str">
        <x:v>existing saved physical-floor-area proxy</x:v>
      </x:c>
      <x:c r="W275" s="2" t="str">
        <x:v>legacy_epoch_source_QA_passed; new_common_native_support_not_certified</x:v>
      </x:c>
      <x:c r="X275" s="2" t="str">
        <x:v>https://arxiv.org/abs/2511.12104</x:v>
      </x:c>
    </x:row>
    <x:row r="276" ht="23" customHeight="1">
      <x:c r="A276" s="2" t="str">
        <x:v>FJI</x:v>
      </x:c>
      <x:c r="B276" s="2" t="str">
        <x:v>Fiji (Republic of)</x:v>
      </x:c>
      <x:c r="C276" s="2" t="n">
        <x:v>2023</x:v>
      </x:c>
      <x:c r="D276" s="2" t="str">
        <x:v>TEMPO_PROXY</x:v>
      </x:c>
      <x:c r="E276" s="17" t="n">
        <x:v>39148436.010481395</x:v>
      </x:c>
      <x:c r="F276" s="17" t="n">
        <x:f>IF(AND(M276,ISNUMBER(R276)),IF(D276="TEMPO_PROXY",R276,IF(AND(ISNUMBER(S276),S276&gt;0,ISNUMBER(U276)),U276*R276/S276,"n.a.")),"n.a.")</x:f>
        <x:v>38081115.71</x:v>
      </x:c>
      <x:c r="G276" s="17" t="n">
        <x:f>IF(AND(ISNUMBER(E276),ISNUMBER(F276)),E276-F276,"n.a.")</x:f>
        <x:v>1067320.300481394</x:v>
      </x:c>
      <x:c r="H276" s="15" t="n">
        <x:f>IF(AND(ISNUMBER(E276),ISNUMBER(F276),F276&gt;0),(E276-F276)/F276,"n.a.")</x:f>
        <x:v>0.02802754805319736</x:v>
      </x:c>
      <x:c r="I276" s="19" t="n">
        <x:f>IF(ISNUMBER(H276),ABS(H276),"n.a.")</x:f>
        <x:v>0.02802754805319736</x:v>
      </x:c>
      <x:c r="J276" s="2" t="str">
        <x:v>available</x:v>
      </x:c>
      <x:c r="K276" s="2" t="n">
        <x:v>1</x:v>
      </x:c>
      <x:c r="L276" s="13" t="b">
        <x:v>0</x:v>
      </x:c>
      <x:c r="M276" s="13" t="b">
        <x:v>1</x:v>
      </x:c>
      <x:c r="N276" s="2" t="str">
        <x:v>unused2023converted-source comparator</x:v>
      </x:c>
      <x:c r="O276" s="2" t="str"/>
      <x:c r="P276" s="2" t="str">
        <x:v>assumption-based floor-area proxy</x:v>
      </x:c>
      <x:c r="Q276" s="2" t="str">
        <x:v>m2</x:v>
      </x:c>
      <x:c r="R276" s="17" t="n">
        <x:v>38081115.71</x:v>
      </x:c>
      <x:c r="S276" s="17"/>
      <x:c r="T276" s="18"/>
      <x:c r="U276" s="17" t="n">
        <x:v>37460168.12</x:v>
      </x:c>
      <x:c r="V276" s="2" t="str">
        <x:v>existing saved physical-floor-area proxy</x:v>
      </x:c>
      <x:c r="W276" s="2" t="str">
        <x:v>legacy_epoch_source_QA_passed; new_common_native_support_not_certified</x:v>
      </x:c>
      <x:c r="X276" s="2" t="str">
        <x:v>https://arxiv.org/abs/2511.12104</x:v>
      </x:c>
    </x:row>
    <x:row r="277" ht="23" customHeight="1">
      <x:c r="A277" s="2" t="str">
        <x:v>FRA</x:v>
      </x:c>
      <x:c r="B277" s="2" t="str">
        <x:v>France (French Republic)</x:v>
      </x:c>
      <x:c r="C277" s="2" t="n">
        <x:v>2023</x:v>
      </x:c>
      <x:c r="D277" s="2" t="str">
        <x:v>TEMPO_PROXY</x:v>
      </x:c>
      <x:c r="E277" s="17" t="n">
        <x:v>6389564730.251554</x:v>
      </x:c>
      <x:c r="F277" s="17" t="n">
        <x:f>IF(AND(M277,ISNUMBER(R277)),IF(D277="TEMPO_PROXY",R277,IF(AND(ISNUMBER(S277),S277&gt;0,ISNUMBER(U277)),U277*R277/S277,"n.a.")),"n.a.")</x:f>
        <x:v>6361129189.52</x:v>
      </x:c>
      <x:c r="G277" s="17" t="n">
        <x:f>IF(AND(ISNUMBER(E277),ISNUMBER(F277)),E277-F277,"n.a.")</x:f>
        <x:v>28435540.731553078</x:v>
      </x:c>
      <x:c r="H277" s="15" t="n">
        <x:f>IF(AND(ISNUMBER(E277),ISNUMBER(F277),F277&gt;0),(E277-F277)/F277,"n.a.")</x:f>
        <x:v>0.004470203305790552</x:v>
      </x:c>
      <x:c r="I277" s="19" t="n">
        <x:f>IF(ISNUMBER(H277),ABS(H277),"n.a.")</x:f>
        <x:v>0.004470203305790552</x:v>
      </x:c>
      <x:c r="J277" s="2" t="str">
        <x:v>available</x:v>
      </x:c>
      <x:c r="K277" s="2" t="n">
        <x:v>1</x:v>
      </x:c>
      <x:c r="L277" s="13" t="b">
        <x:v>0</x:v>
      </x:c>
      <x:c r="M277" s="13" t="b">
        <x:v>1</x:v>
      </x:c>
      <x:c r="N277" s="2" t="str">
        <x:v>unused2023converted-source comparator</x:v>
      </x:c>
      <x:c r="O277" s="2" t="str"/>
      <x:c r="P277" s="2" t="str">
        <x:v>assumption-based floor-area proxy</x:v>
      </x:c>
      <x:c r="Q277" s="2" t="str">
        <x:v>m2</x:v>
      </x:c>
      <x:c r="R277" s="17" t="n">
        <x:v>6361129189.52</x:v>
      </x:c>
      <x:c r="S277" s="17"/>
      <x:c r="T277" s="18"/>
      <x:c r="U277" s="17" t="n">
        <x:v>6074526882.680001</x:v>
      </x:c>
      <x:c r="V277" s="2" t="str">
        <x:v>existing saved physical-floor-area proxy</x:v>
      </x:c>
      <x:c r="W277" s="2" t="str">
        <x:v>legacy_epoch_source_QA_passed; new_common_native_support_not_certified</x:v>
      </x:c>
      <x:c r="X277" s="2" t="str">
        <x:v>https://arxiv.org/abs/2511.12104</x:v>
      </x:c>
    </x:row>
    <x:row r="278" ht="23" customHeight="1">
      <x:c r="A278" s="2" t="str">
        <x:v>FSM</x:v>
      </x:c>
      <x:c r="B278" s="2" t="str">
        <x:v>Micronesia (Federated States of)</x:v>
      </x:c>
      <x:c r="C278" s="2" t="n">
        <x:v>2023</x:v>
      </x:c>
      <x:c r="D278" s="2" t="str">
        <x:v>TEMPO_PROXY</x:v>
      </x:c>
      <x:c r="E278" s="17" t="n">
        <x:v>2327474.040135418</x:v>
      </x:c>
      <x:c r="F278" s="17" t="n">
        <x:f>IF(AND(M278,ISNUMBER(R278)),IF(D278="TEMPO_PROXY",R278,IF(AND(ISNUMBER(S278),S278&gt;0,ISNUMBER(U278)),U278*R278/S278,"n.a.")),"n.a.")</x:f>
        <x:v>2228182.32</x:v>
      </x:c>
      <x:c r="G278" s="17" t="n">
        <x:f>IF(AND(ISNUMBER(E278),ISNUMBER(F278)),E278-F278,"n.a.")</x:f>
        <x:v>99291.72013541823</x:v>
      </x:c>
      <x:c r="H278" s="15" t="n">
        <x:f>IF(AND(ISNUMBER(E278),ISNUMBER(F278),F278&gt;0),(E278-F278)/F278,"n.a.")</x:f>
        <x:v>0.044561757466695204</x:v>
      </x:c>
      <x:c r="I278" s="19" t="n">
        <x:f>IF(ISNUMBER(H278),ABS(H278),"n.a.")</x:f>
        <x:v>0.044561757466695204</x:v>
      </x:c>
      <x:c r="J278" s="2" t="str">
        <x:v>available</x:v>
      </x:c>
      <x:c r="K278" s="2" t="n">
        <x:v>1</x:v>
      </x:c>
      <x:c r="L278" s="13" t="b">
        <x:v>0</x:v>
      </x:c>
      <x:c r="M278" s="13" t="b">
        <x:v>1</x:v>
      </x:c>
      <x:c r="N278" s="2" t="str">
        <x:v>unused2023converted-source comparator</x:v>
      </x:c>
      <x:c r="O278" s="2" t="str"/>
      <x:c r="P278" s="2" t="str">
        <x:v>assumption-based floor-area proxy</x:v>
      </x:c>
      <x:c r="Q278" s="2" t="str">
        <x:v>m2</x:v>
      </x:c>
      <x:c r="R278" s="17" t="n">
        <x:v>2228182.32</x:v>
      </x:c>
      <x:c r="S278" s="17"/>
      <x:c r="T278" s="18"/>
      <x:c r="U278" s="17" t="n">
        <x:v>2177822.609999999</x:v>
      </x:c>
      <x:c r="V278" s="2" t="str">
        <x:v>existing saved physical-floor-area proxy</x:v>
      </x:c>
      <x:c r="W278" s="2" t="str">
        <x:v>legacy_epoch_source_QA_passed; new_common_native_support_not_certified</x:v>
      </x:c>
      <x:c r="X278" s="2" t="str">
        <x:v>https://arxiv.org/abs/2511.12104</x:v>
      </x:c>
    </x:row>
    <x:row r="279" ht="23" customHeight="1">
      <x:c r="A279" s="2" t="str">
        <x:v>GAB</x:v>
      </x:c>
      <x:c r="B279" s="2" t="str">
        <x:v>Gabon (Gabonese Republic)</x:v>
      </x:c>
      <x:c r="C279" s="2" t="n">
        <x:v>2023</x:v>
      </x:c>
      <x:c r="D279" s="2" t="str">
        <x:v>TEMPO_PROXY</x:v>
      </x:c>
      <x:c r="E279" s="17" t="n">
        <x:v>80472687.08876044</x:v>
      </x:c>
      <x:c r="F279" s="17" t="n">
        <x:f>IF(AND(M279,ISNUMBER(R279)),IF(D279="TEMPO_PROXY",R279,IF(AND(ISNUMBER(S279),S279&gt;0,ISNUMBER(U279)),U279*R279/S279,"n.a.")),"n.a.")</x:f>
        <x:v>77774183.11</x:v>
      </x:c>
      <x:c r="G279" s="17" t="n">
        <x:f>IF(AND(ISNUMBER(E279),ISNUMBER(F279)),E279-F279,"n.a.")</x:f>
        <x:v>2698503.978760436</x:v>
      </x:c>
      <x:c r="H279" s="15" t="n">
        <x:f>IF(AND(ISNUMBER(E279),ISNUMBER(F279),F279&gt;0),(E279-F279)/F279,"n.a.")</x:f>
        <x:v>0.0346966547362356</x:v>
      </x:c>
      <x:c r="I279" s="19" t="n">
        <x:f>IF(ISNUMBER(H279),ABS(H279),"n.a.")</x:f>
        <x:v>0.0346966547362356</x:v>
      </x:c>
      <x:c r="J279" s="2" t="str">
        <x:v>available</x:v>
      </x:c>
      <x:c r="K279" s="2" t="n">
        <x:v>1</x:v>
      </x:c>
      <x:c r="L279" s="13" t="b">
        <x:v>0</x:v>
      </x:c>
      <x:c r="M279" s="13" t="b">
        <x:v>1</x:v>
      </x:c>
      <x:c r="N279" s="2" t="str">
        <x:v>unused2023converted-source comparator</x:v>
      </x:c>
      <x:c r="O279" s="2" t="str"/>
      <x:c r="P279" s="2" t="str">
        <x:v>assumption-based floor-area proxy</x:v>
      </x:c>
      <x:c r="Q279" s="2" t="str">
        <x:v>m2</x:v>
      </x:c>
      <x:c r="R279" s="17" t="n">
        <x:v>77774183.11</x:v>
      </x:c>
      <x:c r="S279" s="17"/>
      <x:c r="T279" s="18"/>
      <x:c r="U279" s="17" t="n">
        <x:v>73743642.55999996</x:v>
      </x:c>
      <x:c r="V279" s="2" t="str">
        <x:v>existing saved physical-floor-area proxy</x:v>
      </x:c>
      <x:c r="W279" s="2" t="str">
        <x:v>legacy_epoch_source_QA_passed; new_common_native_support_not_certified</x:v>
      </x:c>
      <x:c r="X279" s="2" t="str">
        <x:v>https://arxiv.org/abs/2511.12104</x:v>
      </x:c>
    </x:row>
    <x:row r="280" ht="23" customHeight="1">
      <x:c r="A280" s="2" t="str">
        <x:v>GBR</x:v>
      </x:c>
      <x:c r="B280" s="2" t="str">
        <x:v>United Kingdom of Great Britain and Northern Ireland</x:v>
      </x:c>
      <x:c r="C280" s="2" t="n">
        <x:v>2023</x:v>
      </x:c>
      <x:c r="D280" s="2" t="str">
        <x:v>TEMPO_PROXY</x:v>
      </x:c>
      <x:c r="E280" s="17" t="n">
        <x:v>3712529416.016612</x:v>
      </x:c>
      <x:c r="F280" s="17" t="n">
        <x:f>IF(AND(M280,ISNUMBER(R280)),IF(D280="TEMPO_PROXY",R280,IF(AND(ISNUMBER(S280),S280&gt;0,ISNUMBER(U280)),U280*R280/S280,"n.a.")),"n.a.")</x:f>
        <x:v>3606945243.56</x:v>
      </x:c>
      <x:c r="G280" s="17" t="n">
        <x:f>IF(AND(ISNUMBER(E280),ISNUMBER(F280)),E280-F280,"n.a.")</x:f>
        <x:v>105584172.45661211</x:v>
      </x:c>
      <x:c r="H280" s="15" t="n">
        <x:f>IF(AND(ISNUMBER(E280),ISNUMBER(F280),F280&gt;0),(E280-F280)/F280,"n.a.")</x:f>
        <x:v>0.029272463352507716</x:v>
      </x:c>
      <x:c r="I280" s="19" t="n">
        <x:f>IF(ISNUMBER(H280),ABS(H280),"n.a.")</x:f>
        <x:v>0.029272463352507716</x:v>
      </x:c>
      <x:c r="J280" s="2" t="str">
        <x:v>available</x:v>
      </x:c>
      <x:c r="K280" s="2" t="n">
        <x:v>1</x:v>
      </x:c>
      <x:c r="L280" s="13" t="b">
        <x:v>0</x:v>
      </x:c>
      <x:c r="M280" s="13" t="b">
        <x:v>1</x:v>
      </x:c>
      <x:c r="N280" s="2" t="str">
        <x:v>unused2023converted-source comparator</x:v>
      </x:c>
      <x:c r="O280" s="2" t="str"/>
      <x:c r="P280" s="2" t="str">
        <x:v>assumption-based floor-area proxy</x:v>
      </x:c>
      <x:c r="Q280" s="2" t="str">
        <x:v>m2</x:v>
      </x:c>
      <x:c r="R280" s="17" t="n">
        <x:v>3606945243.56</x:v>
      </x:c>
      <x:c r="S280" s="17"/>
      <x:c r="T280" s="18"/>
      <x:c r="U280" s="17" t="n">
        <x:v>3418464510.0900006</x:v>
      </x:c>
      <x:c r="V280" s="2" t="str">
        <x:v>existing saved physical-floor-area proxy</x:v>
      </x:c>
      <x:c r="W280" s="2" t="str">
        <x:v>legacy_epoch_source_QA_passed; new_common_native_support_not_certified</x:v>
      </x:c>
      <x:c r="X280" s="2" t="str">
        <x:v>https://arxiv.org/abs/2511.12104</x:v>
      </x:c>
    </x:row>
    <x:row r="281" ht="23" customHeight="1">
      <x:c r="A281" s="2" t="str">
        <x:v>GEO</x:v>
      </x:c>
      <x:c r="B281" s="2" t="str">
        <x:v>Georgia</x:v>
      </x:c>
      <x:c r="C281" s="2" t="n">
        <x:v>2023</x:v>
      </x:c>
      <x:c r="D281" s="2" t="str">
        <x:v>TEMPO_PROXY</x:v>
      </x:c>
      <x:c r="E281" s="17" t="n">
        <x:v>247964997.94667792</x:v>
      </x:c>
      <x:c r="F281" s="17" t="n">
        <x:f>IF(AND(M281,ISNUMBER(R281)),IF(D281="TEMPO_PROXY",R281,IF(AND(ISNUMBER(S281),S281&gt;0,ISNUMBER(U281)),U281*R281/S281,"n.a.")),"n.a.")</x:f>
        <x:v>256355188.76</x:v>
      </x:c>
      <x:c r="G281" s="17" t="n">
        <x:f>IF(AND(ISNUMBER(E281),ISNUMBER(F281)),E281-F281,"n.a.")</x:f>
        <x:v>-8390190.813322067</x:v>
      </x:c>
      <x:c r="H281" s="15" t="n">
        <x:f>IF(AND(ISNUMBER(E281),ISNUMBER(F281),F281&gt;0),(E281-F281)/F281,"n.a.")</x:f>
        <x:v>-0.03272877312882078</x:v>
      </x:c>
      <x:c r="I281" s="19" t="n">
        <x:f>IF(ISNUMBER(H281),ABS(H281),"n.a.")</x:f>
        <x:v>0.03272877312882078</x:v>
      </x:c>
      <x:c r="J281" s="2" t="str">
        <x:v>available</x:v>
      </x:c>
      <x:c r="K281" s="2" t="n">
        <x:v>1</x:v>
      </x:c>
      <x:c r="L281" s="13" t="b">
        <x:v>0</x:v>
      </x:c>
      <x:c r="M281" s="13" t="b">
        <x:v>1</x:v>
      </x:c>
      <x:c r="N281" s="2" t="str">
        <x:v>unused2023converted-source comparator</x:v>
      </x:c>
      <x:c r="O281" s="2" t="str"/>
      <x:c r="P281" s="2" t="str">
        <x:v>assumption-based floor-area proxy</x:v>
      </x:c>
      <x:c r="Q281" s="2" t="str">
        <x:v>m2</x:v>
      </x:c>
      <x:c r="R281" s="17" t="n">
        <x:v>256355188.76</x:v>
      </x:c>
      <x:c r="S281" s="17"/>
      <x:c r="T281" s="18"/>
      <x:c r="U281" s="17" t="n">
        <x:v>242256071.04000017</x:v>
      </x:c>
      <x:c r="V281" s="2" t="str">
        <x:v>existing saved physical-floor-area proxy</x:v>
      </x:c>
      <x:c r="W281" s="2" t="str">
        <x:v>legacy_epoch_source_QA_passed; new_common_native_support_not_certified</x:v>
      </x:c>
      <x:c r="X281" s="2" t="str">
        <x:v>https://arxiv.org/abs/2511.12104</x:v>
      </x:c>
    </x:row>
    <x:row r="282" ht="23" customHeight="1">
      <x:c r="A282" s="2" t="str">
        <x:v>GHA</x:v>
      </x:c>
      <x:c r="B282" s="2" t="str">
        <x:v>Ghana (Republic of)</x:v>
      </x:c>
      <x:c r="C282" s="2" t="n">
        <x:v>2023</x:v>
      </x:c>
      <x:c r="D282" s="2" t="str">
        <x:v>TEMPO_PROXY</x:v>
      </x:c>
      <x:c r="E282" s="17" t="n">
        <x:v>1034825318.9084021</x:v>
      </x:c>
      <x:c r="F282" s="17" t="n">
        <x:f>IF(AND(M282,ISNUMBER(R282)),IF(D282="TEMPO_PROXY",R282,IF(AND(ISNUMBER(S282),S282&gt;0,ISNUMBER(U282)),U282*R282/S282,"n.a.")),"n.a.")</x:f>
        <x:v>1079528033.02</x:v>
      </x:c>
      <x:c r="G282" s="17" t="n">
        <x:f>IF(AND(ISNUMBER(E282),ISNUMBER(F282)),E282-F282,"n.a.")</x:f>
        <x:v>-44702714.111597896</x:v>
      </x:c>
      <x:c r="H282" s="15" t="n">
        <x:f>IF(AND(ISNUMBER(E282),ISNUMBER(F282),F282&gt;0),(E282-F282)/F282,"n.a.")</x:f>
        <x:v>-0.041409498173513117</x:v>
      </x:c>
      <x:c r="I282" s="19" t="n">
        <x:f>IF(ISNUMBER(H282),ABS(H282),"n.a.")</x:f>
        <x:v>0.041409498173513117</x:v>
      </x:c>
      <x:c r="J282" s="2" t="str">
        <x:v>available</x:v>
      </x:c>
      <x:c r="K282" s="2" t="n">
        <x:v>1</x:v>
      </x:c>
      <x:c r="L282" s="13" t="b">
        <x:v>0</x:v>
      </x:c>
      <x:c r="M282" s="13" t="b">
        <x:v>1</x:v>
      </x:c>
      <x:c r="N282" s="2" t="str">
        <x:v>unused2023converted-source comparator</x:v>
      </x:c>
      <x:c r="O282" s="2" t="str"/>
      <x:c r="P282" s="2" t="str">
        <x:v>assumption-based floor-area proxy</x:v>
      </x:c>
      <x:c r="Q282" s="2" t="str">
        <x:v>m2</x:v>
      </x:c>
      <x:c r="R282" s="17" t="n">
        <x:v>1079528033.02</x:v>
      </x:c>
      <x:c r="S282" s="17"/>
      <x:c r="T282" s="18"/>
      <x:c r="U282" s="17" t="n">
        <x:v>958424622.62</x:v>
      </x:c>
      <x:c r="V282" s="2" t="str">
        <x:v>existing saved physical-floor-area proxy</x:v>
      </x:c>
      <x:c r="W282" s="2" t="str">
        <x:v>legacy_epoch_source_QA_passed; new_common_native_support_not_certified</x:v>
      </x:c>
      <x:c r="X282" s="2" t="str">
        <x:v>https://arxiv.org/abs/2511.12104</x:v>
      </x:c>
    </x:row>
    <x:row r="283" ht="23" customHeight="1">
      <x:c r="A283" s="2" t="str">
        <x:v>GIN</x:v>
      </x:c>
      <x:c r="B283" s="2" t="str">
        <x:v>Guinea (Republic of)</x:v>
      </x:c>
      <x:c r="C283" s="2" t="n">
        <x:v>2023</x:v>
      </x:c>
      <x:c r="D283" s="2" t="str">
        <x:v>TEMPO_PROXY</x:v>
      </x:c>
      <x:c r="E283" s="17" t="n">
        <x:v>306365619.5322375</x:v>
      </x:c>
      <x:c r="F283" s="17" t="n">
        <x:f>IF(AND(M283,ISNUMBER(R283)),IF(D283="TEMPO_PROXY",R283,IF(AND(ISNUMBER(S283),S283&gt;0,ISNUMBER(U283)),U283*R283/S283,"n.a.")),"n.a.")</x:f>
        <x:v>302309654.5</x:v>
      </x:c>
      <x:c r="G283" s="17" t="n">
        <x:f>IF(AND(ISNUMBER(E283),ISNUMBER(F283)),E283-F283,"n.a.")</x:f>
        <x:v>4055965.0322375298</x:v>
      </x:c>
      <x:c r="H283" s="15" t="n">
        <x:f>IF(AND(ISNUMBER(E283),ISNUMBER(F283),F283&gt;0),(E283-F283)/F283,"n.a.")</x:f>
        <x:v>0.013416591140451089</x:v>
      </x:c>
      <x:c r="I283" s="19" t="n">
        <x:f>IF(ISNUMBER(H283),ABS(H283),"n.a.")</x:f>
        <x:v>0.013416591140451089</x:v>
      </x:c>
      <x:c r="J283" s="2" t="str">
        <x:v>available</x:v>
      </x:c>
      <x:c r="K283" s="2" t="n">
        <x:v>1</x:v>
      </x:c>
      <x:c r="L283" s="13" t="b">
        <x:v>0</x:v>
      </x:c>
      <x:c r="M283" s="13" t="b">
        <x:v>1</x:v>
      </x:c>
      <x:c r="N283" s="2" t="str">
        <x:v>unused2023converted-source comparator</x:v>
      </x:c>
      <x:c r="O283" s="2" t="str"/>
      <x:c r="P283" s="2" t="str">
        <x:v>assumption-based floor-area proxy</x:v>
      </x:c>
      <x:c r="Q283" s="2" t="str">
        <x:v>m2</x:v>
      </x:c>
      <x:c r="R283" s="17" t="n">
        <x:v>302309654.5</x:v>
      </x:c>
      <x:c r="S283" s="17"/>
      <x:c r="T283" s="18"/>
      <x:c r="U283" s="17" t="n">
        <x:v>277637578.22999954</x:v>
      </x:c>
      <x:c r="V283" s="2" t="str">
        <x:v>existing saved physical-floor-area proxy</x:v>
      </x:c>
      <x:c r="W283" s="2" t="str">
        <x:v>legacy_epoch_source_QA_passed; new_common_native_support_not_certified</x:v>
      </x:c>
      <x:c r="X283" s="2" t="str">
        <x:v>https://arxiv.org/abs/2511.12104</x:v>
      </x:c>
    </x:row>
    <x:row r="284" ht="23" customHeight="1">
      <x:c r="A284" s="2" t="str">
        <x:v>GMB</x:v>
      </x:c>
      <x:c r="B284" s="2" t="str">
        <x:v>Gambia (Republic of the)</x:v>
      </x:c>
      <x:c r="C284" s="2" t="n">
        <x:v>2023</x:v>
      </x:c>
      <x:c r="D284" s="2" t="str">
        <x:v>TEMPO_PROXY</x:v>
      </x:c>
      <x:c r="E284" s="17" t="n">
        <x:v>62520713.49145536</x:v>
      </x:c>
      <x:c r="F284" s="17" t="n">
        <x:f>IF(AND(M284,ISNUMBER(R284)),IF(D284="TEMPO_PROXY",R284,IF(AND(ISNUMBER(S284),S284&gt;0,ISNUMBER(U284)),U284*R284/S284,"n.a.")),"n.a.")</x:f>
        <x:v>62513278.48</x:v>
      </x:c>
      <x:c r="G284" s="17" t="n">
        <x:f>IF(AND(ISNUMBER(E284),ISNUMBER(F284)),E284-F284,"n.a.")</x:f>
        <x:v>7435.011455364525</x:v>
      </x:c>
      <x:c r="H284" s="15" t="n">
        <x:f>IF(AND(ISNUMBER(E284),ISNUMBER(F284),F284&gt;0),(E284-F284)/F284,"n.a.")</x:f>
        <x:v>0.00011893491488761422</x:v>
      </x:c>
      <x:c r="I284" s="19" t="n">
        <x:f>IF(ISNUMBER(H284),ABS(H284),"n.a.")</x:f>
        <x:v>0.00011893491488761422</x:v>
      </x:c>
      <x:c r="J284" s="2" t="str">
        <x:v>available</x:v>
      </x:c>
      <x:c r="K284" s="2" t="n">
        <x:v>1</x:v>
      </x:c>
      <x:c r="L284" s="13" t="b">
        <x:v>0</x:v>
      </x:c>
      <x:c r="M284" s="13" t="b">
        <x:v>1</x:v>
      </x:c>
      <x:c r="N284" s="2" t="str">
        <x:v>unused2023converted-source comparator</x:v>
      </x:c>
      <x:c r="O284" s="2" t="str"/>
      <x:c r="P284" s="2" t="str">
        <x:v>assumption-based floor-area proxy</x:v>
      </x:c>
      <x:c r="Q284" s="2" t="str">
        <x:v>m2</x:v>
      </x:c>
      <x:c r="R284" s="17" t="n">
        <x:v>62513278.48</x:v>
      </x:c>
      <x:c r="S284" s="17"/>
      <x:c r="T284" s="18"/>
      <x:c r="U284" s="17" t="n">
        <x:v>56875154.52999992</x:v>
      </x:c>
      <x:c r="V284" s="2" t="str">
        <x:v>existing saved physical-floor-area proxy</x:v>
      </x:c>
      <x:c r="W284" s="2" t="str">
        <x:v>legacy_epoch_source_QA_passed; new_common_native_support_not_certified</x:v>
      </x:c>
      <x:c r="X284" s="2" t="str">
        <x:v>https://arxiv.org/abs/2511.12104</x:v>
      </x:c>
    </x:row>
    <x:row r="285" ht="23" customHeight="1">
      <x:c r="A285" s="2" t="str">
        <x:v>GNB</x:v>
      </x:c>
      <x:c r="B285" s="2" t="str">
        <x:v>Guinea-Bissau (Republic of)</x:v>
      </x:c>
      <x:c r="C285" s="2" t="n">
        <x:v>2023</x:v>
      </x:c>
      <x:c r="D285" s="2" t="str">
        <x:v>TEMPO_PROXY</x:v>
      </x:c>
      <x:c r="E285" s="17" t="n">
        <x:v>53947655.779188216</x:v>
      </x:c>
      <x:c r="F285" s="17" t="n">
        <x:f>IF(AND(M285,ISNUMBER(R285)),IF(D285="TEMPO_PROXY",R285,IF(AND(ISNUMBER(S285),S285&gt;0,ISNUMBER(U285)),U285*R285/S285,"n.a.")),"n.a.")</x:f>
        <x:v>49874498.93</x:v>
      </x:c>
      <x:c r="G285" s="17" t="n">
        <x:f>IF(AND(ISNUMBER(E285),ISNUMBER(F285)),E285-F285,"n.a.")</x:f>
        <x:v>4073156.849188216</x:v>
      </x:c>
      <x:c r="H285" s="15" t="n">
        <x:f>IF(AND(ISNUMBER(E285),ISNUMBER(F285),F285&gt;0),(E285-F285)/F285,"n.a.")</x:f>
        <x:v>0.08166812572703708</x:v>
      </x:c>
      <x:c r="I285" s="19" t="n">
        <x:f>IF(ISNUMBER(H285),ABS(H285),"n.a.")</x:f>
        <x:v>0.08166812572703708</x:v>
      </x:c>
      <x:c r="J285" s="2" t="str">
        <x:v>available</x:v>
      </x:c>
      <x:c r="K285" s="2" t="n">
        <x:v>1</x:v>
      </x:c>
      <x:c r="L285" s="13" t="b">
        <x:v>0</x:v>
      </x:c>
      <x:c r="M285" s="13" t="b">
        <x:v>1</x:v>
      </x:c>
      <x:c r="N285" s="2" t="str">
        <x:v>unused2023converted-source comparator</x:v>
      </x:c>
      <x:c r="O285" s="2" t="str"/>
      <x:c r="P285" s="2" t="str">
        <x:v>assumption-based floor-area proxy</x:v>
      </x:c>
      <x:c r="Q285" s="2" t="str">
        <x:v>m2</x:v>
      </x:c>
      <x:c r="R285" s="17" t="n">
        <x:v>49874498.93</x:v>
      </x:c>
      <x:c r="S285" s="17"/>
      <x:c r="T285" s="18"/>
      <x:c r="U285" s="17" t="n">
        <x:v>48952674.499999925</x:v>
      </x:c>
      <x:c r="V285" s="2" t="str">
        <x:v>existing saved physical-floor-area proxy</x:v>
      </x:c>
      <x:c r="W285" s="2" t="str">
        <x:v>legacy_epoch_source_QA_passed; new_common_native_support_not_certified</x:v>
      </x:c>
      <x:c r="X285" s="2" t="str">
        <x:v>https://arxiv.org/abs/2511.12104</x:v>
      </x:c>
    </x:row>
    <x:row r="286" ht="23" customHeight="1">
      <x:c r="A286" s="2" t="str">
        <x:v>GNQ</x:v>
      </x:c>
      <x:c r="B286" s="2" t="str">
        <x:v>Equatorial Guinea (Republic of)</x:v>
      </x:c>
      <x:c r="C286" s="2" t="n">
        <x:v>2023</x:v>
      </x:c>
      <x:c r="D286" s="2" t="str">
        <x:v>TEMPO_PROXY</x:v>
      </x:c>
      <x:c r="E286" s="17" t="n">
        <x:v>38613248.31957669</x:v>
      </x:c>
      <x:c r="F286" s="17" t="n">
        <x:f>IF(AND(M286,ISNUMBER(R286)),IF(D286="TEMPO_PROXY",R286,IF(AND(ISNUMBER(S286),S286&gt;0,ISNUMBER(U286)),U286*R286/S286,"n.a.")),"n.a.")</x:f>
        <x:v>35119830.56</x:v>
      </x:c>
      <x:c r="G286" s="17" t="n">
        <x:f>IF(AND(ISNUMBER(E286),ISNUMBER(F286)),E286-F286,"n.a.")</x:f>
        <x:v>3493417.7595766857</x:v>
      </x:c>
      <x:c r="H286" s="15" t="n">
        <x:f>IF(AND(ISNUMBER(E286),ISNUMBER(F286),F286&gt;0),(E286-F286)/F286,"n.a.")</x:f>
        <x:v>0.09947137283616454</x:v>
      </x:c>
      <x:c r="I286" s="19" t="n">
        <x:f>IF(ISNUMBER(H286),ABS(H286),"n.a.")</x:f>
        <x:v>0.09947137283616454</x:v>
      </x:c>
      <x:c r="J286" s="2" t="str">
        <x:v>available</x:v>
      </x:c>
      <x:c r="K286" s="2" t="n">
        <x:v>1</x:v>
      </x:c>
      <x:c r="L286" s="13" t="b">
        <x:v>0</x:v>
      </x:c>
      <x:c r="M286" s="13" t="b">
        <x:v>1</x:v>
      </x:c>
      <x:c r="N286" s="2" t="str">
        <x:v>unused2023converted-source comparator</x:v>
      </x:c>
      <x:c r="O286" s="2" t="str"/>
      <x:c r="P286" s="2" t="str">
        <x:v>assumption-based floor-area proxy</x:v>
      </x:c>
      <x:c r="Q286" s="2" t="str">
        <x:v>m2</x:v>
      </x:c>
      <x:c r="R286" s="17" t="n">
        <x:v>35119830.56</x:v>
      </x:c>
      <x:c r="S286" s="17"/>
      <x:c r="T286" s="18"/>
      <x:c r="U286" s="17" t="n">
        <x:v>34102626.51999995</x:v>
      </x:c>
      <x:c r="V286" s="2" t="str">
        <x:v>existing saved physical-floor-area proxy</x:v>
      </x:c>
      <x:c r="W286" s="2" t="str">
        <x:v>legacy_epoch_source_QA_passed; new_common_native_support_not_certified</x:v>
      </x:c>
      <x:c r="X286" s="2" t="str">
        <x:v>https://arxiv.org/abs/2511.12104</x:v>
      </x:c>
    </x:row>
    <x:row r="287" ht="23" customHeight="1">
      <x:c r="A287" s="2" t="str">
        <x:v>GRC</x:v>
      </x:c>
      <x:c r="B287" s="2" t="str">
        <x:v>Greece (Hellenic Republic)</x:v>
      </x:c>
      <x:c r="C287" s="2" t="n">
        <x:v>2023</x:v>
      </x:c>
      <x:c r="D287" s="2" t="str">
        <x:v>TEMPO_PROXY</x:v>
      </x:c>
      <x:c r="E287" s="17" t="n">
        <x:v>878991889.6218495</x:v>
      </x:c>
      <x:c r="F287" s="17" t="n">
        <x:f>IF(AND(M287,ISNUMBER(R287)),IF(D287="TEMPO_PROXY",R287,IF(AND(ISNUMBER(S287),S287&gt;0,ISNUMBER(U287)),U287*R287/S287,"n.a.")),"n.a.")</x:f>
        <x:v>890023645.48</x:v>
      </x:c>
      <x:c r="G287" s="17" t="n">
        <x:f>IF(AND(ISNUMBER(E287),ISNUMBER(F287)),E287-F287,"n.a.")</x:f>
        <x:v>-11031755.858150482</x:v>
      </x:c>
      <x:c r="H287" s="15" t="n">
        <x:f>IF(AND(ISNUMBER(E287),ISNUMBER(F287),F287&gt;0),(E287-F287)/F287,"n.a.")</x:f>
        <x:v>-0.012394901994093571</x:v>
      </x:c>
      <x:c r="I287" s="19" t="n">
        <x:f>IF(ISNUMBER(H287),ABS(H287),"n.a.")</x:f>
        <x:v>0.012394901994093571</x:v>
      </x:c>
      <x:c r="J287" s="2" t="str">
        <x:v>available</x:v>
      </x:c>
      <x:c r="K287" s="2" t="n">
        <x:v>1</x:v>
      </x:c>
      <x:c r="L287" s="13" t="b">
        <x:v>0</x:v>
      </x:c>
      <x:c r="M287" s="13" t="b">
        <x:v>1</x:v>
      </x:c>
      <x:c r="N287" s="2" t="str">
        <x:v>unused2023converted-source comparator</x:v>
      </x:c>
      <x:c r="O287" s="2" t="str"/>
      <x:c r="P287" s="2" t="str">
        <x:v>assumption-based floor-area proxy</x:v>
      </x:c>
      <x:c r="Q287" s="2" t="str">
        <x:v>m2</x:v>
      </x:c>
      <x:c r="R287" s="17" t="n">
        <x:v>890023645.48</x:v>
      </x:c>
      <x:c r="S287" s="17"/>
      <x:c r="T287" s="18"/>
      <x:c r="U287" s="17" t="n">
        <x:v>853851739.6700008</x:v>
      </x:c>
      <x:c r="V287" s="2" t="str">
        <x:v>existing saved physical-floor-area proxy</x:v>
      </x:c>
      <x:c r="W287" s="2" t="str">
        <x:v>legacy_epoch_source_QA_passed; new_common_native_support_not_certified</x:v>
      </x:c>
      <x:c r="X287" s="2" t="str">
        <x:v>https://arxiv.org/abs/2511.12104</x:v>
      </x:c>
    </x:row>
    <x:row r="288" ht="23" customHeight="1">
      <x:c r="A288" s="2" t="str">
        <x:v>GRD</x:v>
      </x:c>
      <x:c r="B288" s="2" t="str">
        <x:v>Grenada</x:v>
      </x:c>
      <x:c r="C288" s="2" t="n">
        <x:v>2023</x:v>
      </x:c>
      <x:c r="D288" s="2" t="str">
        <x:v>TEMPO_PROXY</x:v>
      </x:c>
      <x:c r="E288" s="17" t="n">
        <x:v>7180368.844334662</x:v>
      </x:c>
      <x:c r="F288" s="17" t="n">
        <x:f>IF(AND(M288,ISNUMBER(R288)),IF(D288="TEMPO_PROXY",R288,IF(AND(ISNUMBER(S288),S288&gt;0,ISNUMBER(U288)),U288*R288/S288,"n.a.")),"n.a.")</x:f>
        <x:v>7250430.92</x:v>
      </x:c>
      <x:c r="G288" s="17" t="n">
        <x:f>IF(AND(ISNUMBER(E288),ISNUMBER(F288)),E288-F288,"n.a.")</x:f>
        <x:v>-70062.07566533796</x:v>
      </x:c>
      <x:c r="H288" s="15" t="n">
        <x:f>IF(AND(ISNUMBER(E288),ISNUMBER(F288),F288&gt;0),(E288-F288)/F288,"n.a.")</x:f>
        <x:v>-0.009663160222942717</x:v>
      </x:c>
      <x:c r="I288" s="19" t="n">
        <x:f>IF(ISNUMBER(H288),ABS(H288),"n.a.")</x:f>
        <x:v>0.009663160222942717</x:v>
      </x:c>
      <x:c r="J288" s="2" t="str">
        <x:v>available</x:v>
      </x:c>
      <x:c r="K288" s="2" t="n">
        <x:v>1</x:v>
      </x:c>
      <x:c r="L288" s="13" t="b">
        <x:v>0</x:v>
      </x:c>
      <x:c r="M288" s="13" t="b">
        <x:v>1</x:v>
      </x:c>
      <x:c r="N288" s="2" t="str">
        <x:v>unused2023converted-source comparator</x:v>
      </x:c>
      <x:c r="O288" s="2" t="str"/>
      <x:c r="P288" s="2" t="str">
        <x:v>assumption-based floor-area proxy</x:v>
      </x:c>
      <x:c r="Q288" s="2" t="str">
        <x:v>m2</x:v>
      </x:c>
      <x:c r="R288" s="17" t="n">
        <x:v>7250430.92</x:v>
      </x:c>
      <x:c r="S288" s="17"/>
      <x:c r="T288" s="18"/>
      <x:c r="U288" s="17" t="n">
        <x:v>6904998.419999993</x:v>
      </x:c>
      <x:c r="V288" s="2" t="str">
        <x:v>existing saved physical-floor-area proxy</x:v>
      </x:c>
      <x:c r="W288" s="2" t="str">
        <x:v>legacy_epoch_source_QA_passed; new_common_native_support_not_certified</x:v>
      </x:c>
      <x:c r="X288" s="2" t="str">
        <x:v>https://arxiv.org/abs/2511.12104</x:v>
      </x:c>
    </x:row>
    <x:row r="289" ht="23" customHeight="1">
      <x:c r="A289" s="2" t="str">
        <x:v>GTM</x:v>
      </x:c>
      <x:c r="B289" s="2" t="str">
        <x:v>Guatemala (Republic of)</x:v>
      </x:c>
      <x:c r="C289" s="2" t="n">
        <x:v>2023</x:v>
      </x:c>
      <x:c r="D289" s="2" t="str">
        <x:v>TEMPO_PROXY</x:v>
      </x:c>
      <x:c r="E289" s="17" t="n">
        <x:v>647754969.24808</x:v>
      </x:c>
      <x:c r="F289" s="17" t="n">
        <x:f>IF(AND(M289,ISNUMBER(R289)),IF(D289="TEMPO_PROXY",R289,IF(AND(ISNUMBER(S289),S289&gt;0,ISNUMBER(U289)),U289*R289/S289,"n.a.")),"n.a.")</x:f>
        <x:v>655326350.78</x:v>
      </x:c>
      <x:c r="G289" s="17" t="n">
        <x:f>IF(AND(ISNUMBER(E289),ISNUMBER(F289)),E289-F289,"n.a.")</x:f>
        <x:v>-7571381.531919956</x:v>
      </x:c>
      <x:c r="H289" s="15" t="n">
        <x:f>IF(AND(ISNUMBER(E289),ISNUMBER(F289),F289&gt;0),(E289-F289)/F289,"n.a.")</x:f>
        <x:v>-0.011553604586338006</x:v>
      </x:c>
      <x:c r="I289" s="19" t="n">
        <x:f>IF(ISNUMBER(H289),ABS(H289),"n.a.")</x:f>
        <x:v>0.011553604586338006</x:v>
      </x:c>
      <x:c r="J289" s="2" t="str">
        <x:v>available</x:v>
      </x:c>
      <x:c r="K289" s="2" t="n">
        <x:v>1</x:v>
      </x:c>
      <x:c r="L289" s="13" t="b">
        <x:v>0</x:v>
      </x:c>
      <x:c r="M289" s="13" t="b">
        <x:v>1</x:v>
      </x:c>
      <x:c r="N289" s="2" t="str">
        <x:v>unused2023converted-source comparator</x:v>
      </x:c>
      <x:c r="O289" s="2" t="str"/>
      <x:c r="P289" s="2" t="str">
        <x:v>assumption-based floor-area proxy</x:v>
      </x:c>
      <x:c r="Q289" s="2" t="str">
        <x:v>m2</x:v>
      </x:c>
      <x:c r="R289" s="17" t="n">
        <x:v>655326350.78</x:v>
      </x:c>
      <x:c r="S289" s="17"/>
      <x:c r="T289" s="18"/>
      <x:c r="U289" s="17" t="n">
        <x:v>599114028.8099989</x:v>
      </x:c>
      <x:c r="V289" s="2" t="str">
        <x:v>existing saved physical-floor-area proxy</x:v>
      </x:c>
      <x:c r="W289" s="2" t="str">
        <x:v>legacy_epoch_source_QA_passed; new_common_native_support_not_certified</x:v>
      </x:c>
      <x:c r="X289" s="2" t="str">
        <x:v>https://arxiv.org/abs/2511.12104</x:v>
      </x:c>
    </x:row>
    <x:row r="290" ht="23" customHeight="1">
      <x:c r="A290" s="2" t="str">
        <x:v>GUY</x:v>
      </x:c>
      <x:c r="B290" s="2" t="str">
        <x:v>Guyana (Co-operative Republic of)</x:v>
      </x:c>
      <x:c r="C290" s="2" t="n">
        <x:v>2023</x:v>
      </x:c>
      <x:c r="D290" s="2" t="str">
        <x:v>TEMPO_PROXY</x:v>
      </x:c>
      <x:c r="E290" s="17" t="n">
        <x:v>49798430.03803689</x:v>
      </x:c>
      <x:c r="F290" s="17" t="n">
        <x:f>IF(AND(M290,ISNUMBER(R290)),IF(D290="TEMPO_PROXY",R290,IF(AND(ISNUMBER(S290),S290&gt;0,ISNUMBER(U290)),U290*R290/S290,"n.a.")),"n.a.")</x:f>
        <x:v>49163715.5</x:v>
      </x:c>
      <x:c r="G290" s="17" t="n">
        <x:f>IF(AND(ISNUMBER(E290),ISNUMBER(F290)),E290-F290,"n.a.")</x:f>
        <x:v>634714.5380368903</x:v>
      </x:c>
      <x:c r="H290" s="15" t="n">
        <x:f>IF(AND(ISNUMBER(E290),ISNUMBER(F290),F290&gt;0),(E290-F290)/F290,"n.a.")</x:f>
        <x:v>0.012910223150992124</x:v>
      </x:c>
      <x:c r="I290" s="19" t="n">
        <x:f>IF(ISNUMBER(H290),ABS(H290),"n.a.")</x:f>
        <x:v>0.012910223150992124</x:v>
      </x:c>
      <x:c r="J290" s="2" t="str">
        <x:v>available</x:v>
      </x:c>
      <x:c r="K290" s="2" t="n">
        <x:v>1</x:v>
      </x:c>
      <x:c r="L290" s="13" t="b">
        <x:v>0</x:v>
      </x:c>
      <x:c r="M290" s="13" t="b">
        <x:v>1</x:v>
      </x:c>
      <x:c r="N290" s="2" t="str">
        <x:v>unused2023converted-source comparator</x:v>
      </x:c>
      <x:c r="O290" s="2" t="str"/>
      <x:c r="P290" s="2" t="str">
        <x:v>assumption-based floor-area proxy</x:v>
      </x:c>
      <x:c r="Q290" s="2" t="str">
        <x:v>m2</x:v>
      </x:c>
      <x:c r="R290" s="17" t="n">
        <x:v>49163715.5</x:v>
      </x:c>
      <x:c r="S290" s="17"/>
      <x:c r="T290" s="18"/>
      <x:c r="U290" s="17" t="n">
        <x:v>46462035.66000002</x:v>
      </x:c>
      <x:c r="V290" s="2" t="str">
        <x:v>existing saved physical-floor-area proxy</x:v>
      </x:c>
      <x:c r="W290" s="2" t="str">
        <x:v>legacy_epoch_source_QA_passed; new_common_native_support_not_certified</x:v>
      </x:c>
      <x:c r="X290" s="2" t="str">
        <x:v>https://arxiv.org/abs/2511.12104</x:v>
      </x:c>
    </x:row>
    <x:row r="291" ht="23" customHeight="1">
      <x:c r="A291" s="2" t="str">
        <x:v>HND</x:v>
      </x:c>
      <x:c r="B291" s="2" t="str">
        <x:v>Honduras (Republic of)</x:v>
      </x:c>
      <x:c r="C291" s="2" t="n">
        <x:v>2023</x:v>
      </x:c>
      <x:c r="D291" s="2" t="str">
        <x:v>TEMPO_PROXY</x:v>
      </x:c>
      <x:c r="E291" s="17" t="n">
        <x:v>364439508.79973423</x:v>
      </x:c>
      <x:c r="F291" s="17" t="n">
        <x:f>IF(AND(M291,ISNUMBER(R291)),IF(D291="TEMPO_PROXY",R291,IF(AND(ISNUMBER(S291),S291&gt;0,ISNUMBER(U291)),U291*R291/S291,"n.a.")),"n.a.")</x:f>
        <x:v>364417328.07</x:v>
      </x:c>
      <x:c r="G291" s="17" t="n">
        <x:f>IF(AND(ISNUMBER(E291),ISNUMBER(F291)),E291-F291,"n.a.")</x:f>
        <x:v>22180.729734241962</x:v>
      </x:c>
      <x:c r="H291" s="15" t="n">
        <x:f>IF(AND(ISNUMBER(E291),ISNUMBER(F291),F291&gt;0),(E291-F291)/F291,"n.a.")</x:f>
        <x:v>0.00006086628715410954</x:v>
      </x:c>
      <x:c r="I291" s="19" t="n">
        <x:f>IF(ISNUMBER(H291),ABS(H291),"n.a.")</x:f>
        <x:v>0.00006086628715410954</x:v>
      </x:c>
      <x:c r="J291" s="2" t="str">
        <x:v>available</x:v>
      </x:c>
      <x:c r="K291" s="2" t="n">
        <x:v>1</x:v>
      </x:c>
      <x:c r="L291" s="13" t="b">
        <x:v>0</x:v>
      </x:c>
      <x:c r="M291" s="13" t="b">
        <x:v>1</x:v>
      </x:c>
      <x:c r="N291" s="2" t="str">
        <x:v>unused2023converted-source comparator</x:v>
      </x:c>
      <x:c r="O291" s="2" t="str"/>
      <x:c r="P291" s="2" t="str">
        <x:v>assumption-based floor-area proxy</x:v>
      </x:c>
      <x:c r="Q291" s="2" t="str">
        <x:v>m2</x:v>
      </x:c>
      <x:c r="R291" s="17" t="n">
        <x:v>364417328.07</x:v>
      </x:c>
      <x:c r="S291" s="17"/>
      <x:c r="T291" s="18"/>
      <x:c r="U291" s="17" t="n">
        <x:v>335660713.2700002</x:v>
      </x:c>
      <x:c r="V291" s="2" t="str">
        <x:v>existing saved physical-floor-area proxy</x:v>
      </x:c>
      <x:c r="W291" s="2" t="str">
        <x:v>legacy_epoch_source_QA_passed; new_common_native_support_not_certified</x:v>
      </x:c>
      <x:c r="X291" s="2" t="str">
        <x:v>https://arxiv.org/abs/2511.12104</x:v>
      </x:c>
    </x:row>
    <x:row r="292" ht="23" customHeight="1">
      <x:c r="A292" s="2" t="str">
        <x:v>HRV</x:v>
      </x:c>
      <x:c r="B292" s="2" t="str">
        <x:v>Croatia (Republic of)</x:v>
      </x:c>
      <x:c r="C292" s="2" t="n">
        <x:v>2023</x:v>
      </x:c>
      <x:c r="D292" s="2" t="str">
        <x:v>TEMPO_PROXY</x:v>
      </x:c>
      <x:c r="E292" s="17" t="n">
        <x:v>369349142.65656567</x:v>
      </x:c>
      <x:c r="F292" s="17" t="n">
        <x:f>IF(AND(M292,ISNUMBER(R292)),IF(D292="TEMPO_PROXY",R292,IF(AND(ISNUMBER(S292),S292&gt;0,ISNUMBER(U292)),U292*R292/S292,"n.a.")),"n.a.")</x:f>
        <x:v>380643014.24</x:v>
      </x:c>
      <x:c r="G292" s="17" t="n">
        <x:f>IF(AND(ISNUMBER(E292),ISNUMBER(F292)),E292-F292,"n.a.")</x:f>
        <x:v>-11293871.583434343</x:v>
      </x:c>
      <x:c r="H292" s="15" t="n">
        <x:f>IF(AND(ISNUMBER(E292),ISNUMBER(F292),F292&gt;0),(E292-F292)/F292,"n.a.")</x:f>
        <x:v>-0.02967050795870753</x:v>
      </x:c>
      <x:c r="I292" s="19" t="n">
        <x:f>IF(ISNUMBER(H292),ABS(H292),"n.a.")</x:f>
        <x:v>0.02967050795870753</x:v>
      </x:c>
      <x:c r="J292" s="2" t="str">
        <x:v>available</x:v>
      </x:c>
      <x:c r="K292" s="2" t="n">
        <x:v>1</x:v>
      </x:c>
      <x:c r="L292" s="13" t="b">
        <x:v>0</x:v>
      </x:c>
      <x:c r="M292" s="13" t="b">
        <x:v>1</x:v>
      </x:c>
      <x:c r="N292" s="2" t="str">
        <x:v>unused2023converted-source comparator</x:v>
      </x:c>
      <x:c r="O292" s="2" t="str"/>
      <x:c r="P292" s="2" t="str">
        <x:v>assumption-based floor-area proxy</x:v>
      </x:c>
      <x:c r="Q292" s="2" t="str">
        <x:v>m2</x:v>
      </x:c>
      <x:c r="R292" s="17" t="n">
        <x:v>380643014.24</x:v>
      </x:c>
      <x:c r="S292" s="17"/>
      <x:c r="T292" s="18"/>
      <x:c r="U292" s="17" t="n">
        <x:v>361520718.4299994</x:v>
      </x:c>
      <x:c r="V292" s="2" t="str">
        <x:v>existing saved physical-floor-area proxy</x:v>
      </x:c>
      <x:c r="W292" s="2" t="str">
        <x:v>legacy_epoch_source_QA_passed; new_common_native_support_not_certified</x:v>
      </x:c>
      <x:c r="X292" s="2" t="str">
        <x:v>https://arxiv.org/abs/2511.12104</x:v>
      </x:c>
    </x:row>
    <x:row r="293" ht="23" customHeight="1">
      <x:c r="A293" s="2" t="str">
        <x:v>HTI</x:v>
      </x:c>
      <x:c r="B293" s="2" t="str">
        <x:v>Haiti (Republic of)</x:v>
      </x:c>
      <x:c r="C293" s="2" t="n">
        <x:v>2023</x:v>
      </x:c>
      <x:c r="D293" s="2" t="str">
        <x:v>TEMPO_PROXY</x:v>
      </x:c>
      <x:c r="E293" s="17" t="n">
        <x:v>209148379.48343772</x:v>
      </x:c>
      <x:c r="F293" s="17" t="n">
        <x:f>IF(AND(M293,ISNUMBER(R293)),IF(D293="TEMPO_PROXY",R293,IF(AND(ISNUMBER(S293),S293&gt;0,ISNUMBER(U293)),U293*R293/S293,"n.a.")),"n.a.")</x:f>
        <x:v>199836091.86</x:v>
      </x:c>
      <x:c r="G293" s="17" t="n">
        <x:f>IF(AND(ISNUMBER(E293),ISNUMBER(F293)),E293-F293,"n.a.")</x:f>
        <x:v>9312287.623437703</x:v>
      </x:c>
      <x:c r="H293" s="15" t="n">
        <x:f>IF(AND(ISNUMBER(E293),ISNUMBER(F293),F293&gt;0),(E293-F293)/F293,"n.a.")</x:f>
        <x:v>0.046599628409274785</x:v>
      </x:c>
      <x:c r="I293" s="19" t="n">
        <x:f>IF(ISNUMBER(H293),ABS(H293),"n.a.")</x:f>
        <x:v>0.046599628409274785</x:v>
      </x:c>
      <x:c r="J293" s="2" t="str">
        <x:v>available</x:v>
      </x:c>
      <x:c r="K293" s="2" t="n">
        <x:v>1</x:v>
      </x:c>
      <x:c r="L293" s="13" t="b">
        <x:v>0</x:v>
      </x:c>
      <x:c r="M293" s="13" t="b">
        <x:v>1</x:v>
      </x:c>
      <x:c r="N293" s="2" t="str">
        <x:v>unused2023converted-source comparator</x:v>
      </x:c>
      <x:c r="O293" s="2" t="str"/>
      <x:c r="P293" s="2" t="str">
        <x:v>assumption-based floor-area proxy</x:v>
      </x:c>
      <x:c r="Q293" s="2" t="str">
        <x:v>m2</x:v>
      </x:c>
      <x:c r="R293" s="17" t="n">
        <x:v>199836091.86</x:v>
      </x:c>
      <x:c r="S293" s="17"/>
      <x:c r="T293" s="18"/>
      <x:c r="U293" s="17" t="n">
        <x:v>189002396.5400002</x:v>
      </x:c>
      <x:c r="V293" s="2" t="str">
        <x:v>existing saved physical-floor-area proxy</x:v>
      </x:c>
      <x:c r="W293" s="2" t="str">
        <x:v>legacy_epoch_source_QA_passed; new_common_native_support_not_certified</x:v>
      </x:c>
      <x:c r="X293" s="2" t="str">
        <x:v>https://arxiv.org/abs/2511.12104</x:v>
      </x:c>
    </x:row>
    <x:row r="294" ht="23" customHeight="1">
      <x:c r="A294" s="2" t="str">
        <x:v>HUN</x:v>
      </x:c>
      <x:c r="B294" s="2" t="str">
        <x:v>Hungary</x:v>
      </x:c>
      <x:c r="C294" s="2" t="n">
        <x:v>2023</x:v>
      </x:c>
      <x:c r="D294" s="2" t="str">
        <x:v>TEMPO_PROXY</x:v>
      </x:c>
      <x:c r="E294" s="17" t="n">
        <x:v>883797573.1256319</x:v>
      </x:c>
      <x:c r="F294" s="17" t="n">
        <x:f>IF(AND(M294,ISNUMBER(R294)),IF(D294="TEMPO_PROXY",R294,IF(AND(ISNUMBER(S294),S294&gt;0,ISNUMBER(U294)),U294*R294/S294,"n.a.")),"n.a.")</x:f>
        <x:v>903090760.9</x:v>
      </x:c>
      <x:c r="G294" s="17" t="n">
        <x:f>IF(AND(ISNUMBER(E294),ISNUMBER(F294)),E294-F294,"n.a.")</x:f>
        <x:v>-19293187.774368048</x:v>
      </x:c>
      <x:c r="H294" s="15" t="n">
        <x:f>IF(AND(ISNUMBER(E294),ISNUMBER(F294),F294&gt;0),(E294-F294)/F294,"n.a.")</x:f>
        <x:v>-0.021363509194957206</x:v>
      </x:c>
      <x:c r="I294" s="19" t="n">
        <x:f>IF(ISNUMBER(H294),ABS(H294),"n.a.")</x:f>
        <x:v>0.021363509194957206</x:v>
      </x:c>
      <x:c r="J294" s="2" t="str">
        <x:v>available</x:v>
      </x:c>
      <x:c r="K294" s="2" t="n">
        <x:v>1</x:v>
      </x:c>
      <x:c r="L294" s="13" t="b">
        <x:v>0</x:v>
      </x:c>
      <x:c r="M294" s="13" t="b">
        <x:v>1</x:v>
      </x:c>
      <x:c r="N294" s="2" t="str">
        <x:v>unused2023converted-source comparator</x:v>
      </x:c>
      <x:c r="O294" s="2" t="str"/>
      <x:c r="P294" s="2" t="str">
        <x:v>assumption-based floor-area proxy</x:v>
      </x:c>
      <x:c r="Q294" s="2" t="str">
        <x:v>m2</x:v>
      </x:c>
      <x:c r="R294" s="17" t="n">
        <x:v>903090760.9</x:v>
      </x:c>
      <x:c r="S294" s="17"/>
      <x:c r="T294" s="18"/>
      <x:c r="U294" s="17" t="n">
        <x:v>853072780.5300013</x:v>
      </x:c>
      <x:c r="V294" s="2" t="str">
        <x:v>existing saved physical-floor-area proxy</x:v>
      </x:c>
      <x:c r="W294" s="2" t="str">
        <x:v>legacy_epoch_source_QA_passed; new_common_native_support_not_certified</x:v>
      </x:c>
      <x:c r="X294" s="2" t="str">
        <x:v>https://arxiv.org/abs/2511.12104</x:v>
      </x:c>
    </x:row>
    <x:row r="295" ht="23" customHeight="1">
      <x:c r="A295" s="2" t="str">
        <x:v>IDN</x:v>
      </x:c>
      <x:c r="B295" s="2" t="str">
        <x:v>Indonesia (Republic of)</x:v>
      </x:c>
      <x:c r="C295" s="2" t="n">
        <x:v>2023</x:v>
      </x:c>
      <x:c r="D295" s="2" t="str">
        <x:v>TEMPO_PROXY</x:v>
      </x:c>
      <x:c r="E295" s="17" t="n">
        <x:v>11646095553.226633</x:v>
      </x:c>
      <x:c r="F295" s="17" t="n">
        <x:f>IF(AND(M295,ISNUMBER(R295)),IF(D295="TEMPO_PROXY",R295,IF(AND(ISNUMBER(S295),S295&gt;0,ISNUMBER(U295)),U295*R295/S295,"n.a.")),"n.a.")</x:f>
        <x:v>11473877386.57</x:v>
      </x:c>
      <x:c r="G295" s="17" t="n">
        <x:f>IF(AND(ISNUMBER(E295),ISNUMBER(F295)),E295-F295,"n.a.")</x:f>
        <x:v>172218166.65663338</x:v>
      </x:c>
      <x:c r="H295" s="15" t="n">
        <x:f>IF(AND(ISNUMBER(E295),ISNUMBER(F295),F295&gt;0),(E295-F295)/F295,"n.a.")</x:f>
        <x:v>0.015009587505110708</x:v>
      </x:c>
      <x:c r="I295" s="19" t="n">
        <x:f>IF(ISNUMBER(H295),ABS(H295),"n.a.")</x:f>
        <x:v>0.015009587505110708</x:v>
      </x:c>
      <x:c r="J295" s="2" t="str">
        <x:v>available</x:v>
      </x:c>
      <x:c r="K295" s="2" t="n">
        <x:v>1</x:v>
      </x:c>
      <x:c r="L295" s="13" t="b">
        <x:v>0</x:v>
      </x:c>
      <x:c r="M295" s="13" t="b">
        <x:v>1</x:v>
      </x:c>
      <x:c r="N295" s="2" t="str">
        <x:v>unused2023converted-source comparator</x:v>
      </x:c>
      <x:c r="O295" s="2" t="str"/>
      <x:c r="P295" s="2" t="str">
        <x:v>assumption-based floor-area proxy</x:v>
      </x:c>
      <x:c r="Q295" s="2" t="str">
        <x:v>m2</x:v>
      </x:c>
      <x:c r="R295" s="17" t="n">
        <x:v>11473877386.57</x:v>
      </x:c>
      <x:c r="S295" s="17"/>
      <x:c r="T295" s="18"/>
      <x:c r="U295" s="17" t="n">
        <x:v>10794355074.089985</x:v>
      </x:c>
      <x:c r="V295" s="2" t="str">
        <x:v>existing saved physical-floor-area proxy</x:v>
      </x:c>
      <x:c r="W295" s="2" t="str">
        <x:v>legacy_epoch_source_QA_passed; new_common_native_support_not_certified</x:v>
      </x:c>
      <x:c r="X295" s="2" t="str">
        <x:v>https://arxiv.org/abs/2511.12104</x:v>
      </x:c>
    </x:row>
    <x:row r="296" ht="23" customHeight="1">
      <x:c r="A296" s="2" t="str">
        <x:v>IND</x:v>
      </x:c>
      <x:c r="B296" s="2" t="str">
        <x:v>India (Republic of)</x:v>
      </x:c>
      <x:c r="C296" s="2" t="n">
        <x:v>2023</x:v>
      </x:c>
      <x:c r="D296" s="2" t="str">
        <x:v>TEMPO_PROXY</x:v>
      </x:c>
      <x:c r="E296" s="17" t="n">
        <x:v>30710239600.452385</x:v>
      </x:c>
      <x:c r="F296" s="17" t="n">
        <x:f>IF(AND(M296,ISNUMBER(R296)),IF(D296="TEMPO_PROXY",R296,IF(AND(ISNUMBER(S296),S296&gt;0,ISNUMBER(U296)),U296*R296/S296,"n.a.")),"n.a.")</x:f>
        <x:v>29243910723.05</x:v>
      </x:c>
      <x:c r="G296" s="17" t="n">
        <x:f>IF(AND(ISNUMBER(E296),ISNUMBER(F296)),E296-F296,"n.a.")</x:f>
        <x:v>1466328877.4023857</x:v>
      </x:c>
      <x:c r="H296" s="15" t="n">
        <x:f>IF(AND(ISNUMBER(E296),ISNUMBER(F296),F296&gt;0),(E296-F296)/F296,"n.a.")</x:f>
        <x:v>0.05014134023623003</x:v>
      </x:c>
      <x:c r="I296" s="19" t="n">
        <x:f>IF(ISNUMBER(H296),ABS(H296),"n.a.")</x:f>
        <x:v>0.05014134023623003</x:v>
      </x:c>
      <x:c r="J296" s="2" t="str">
        <x:v>available</x:v>
      </x:c>
      <x:c r="K296" s="2" t="n">
        <x:v>1</x:v>
      </x:c>
      <x:c r="L296" s="13" t="b">
        <x:v>0</x:v>
      </x:c>
      <x:c r="M296" s="13" t="b">
        <x:v>1</x:v>
      </x:c>
      <x:c r="N296" s="2" t="str">
        <x:v>unused2023converted-source comparator</x:v>
      </x:c>
      <x:c r="O296" s="2" t="str"/>
      <x:c r="P296" s="2" t="str">
        <x:v>assumption-based floor-area proxy</x:v>
      </x:c>
      <x:c r="Q296" s="2" t="str">
        <x:v>m2</x:v>
      </x:c>
      <x:c r="R296" s="17" t="n">
        <x:v>29243910723.05</x:v>
      </x:c>
      <x:c r="S296" s="17"/>
      <x:c r="T296" s="18"/>
      <x:c r="U296" s="17" t="n">
        <x:v>27853638424.040043</x:v>
      </x:c>
      <x:c r="V296" s="2" t="str">
        <x:v>existing saved physical-floor-area proxy</x:v>
      </x:c>
      <x:c r="W296" s="2" t="str">
        <x:v>legacy_epoch_source_QA_passed; new_common_native_support_not_certified</x:v>
      </x:c>
      <x:c r="X296" s="2" t="str">
        <x:v>https://arxiv.org/abs/2511.12104</x:v>
      </x:c>
    </x:row>
    <x:row r="297" ht="23" customHeight="1">
      <x:c r="A297" s="2" t="str">
        <x:v>IRL</x:v>
      </x:c>
      <x:c r="B297" s="2" t="str">
        <x:v>Ireland</x:v>
      </x:c>
      <x:c r="C297" s="2" t="n">
        <x:v>2023</x:v>
      </x:c>
      <x:c r="D297" s="2" t="str">
        <x:v>TEMPO_PROXY</x:v>
      </x:c>
      <x:c r="E297" s="17" t="n">
        <x:v>453550056.5667838</x:v>
      </x:c>
      <x:c r="F297" s="17" t="n">
        <x:f>IF(AND(M297,ISNUMBER(R297)),IF(D297="TEMPO_PROXY",R297,IF(AND(ISNUMBER(S297),S297&gt;0,ISNUMBER(U297)),U297*R297/S297,"n.a.")),"n.a.")</x:f>
        <x:v>449407443.08</x:v>
      </x:c>
      <x:c r="G297" s="17" t="n">
        <x:f>IF(AND(ISNUMBER(E297),ISNUMBER(F297)),E297-F297,"n.a.")</x:f>
        <x:v>4142613.4867838025</x:v>
      </x:c>
      <x:c r="H297" s="15" t="n">
        <x:f>IF(AND(ISNUMBER(E297),ISNUMBER(F297),F297&gt;0),(E297-F297)/F297,"n.a.")</x:f>
        <x:v>0.009217945876446837</x:v>
      </x:c>
      <x:c r="I297" s="19" t="n">
        <x:f>IF(ISNUMBER(H297),ABS(H297),"n.a.")</x:f>
        <x:v>0.009217945876446837</x:v>
      </x:c>
      <x:c r="J297" s="2" t="str">
        <x:v>available</x:v>
      </x:c>
      <x:c r="K297" s="2" t="n">
        <x:v>1</x:v>
      </x:c>
      <x:c r="L297" s="13" t="b">
        <x:v>0</x:v>
      </x:c>
      <x:c r="M297" s="13" t="b">
        <x:v>1</x:v>
      </x:c>
      <x:c r="N297" s="2" t="str">
        <x:v>unused2023converted-source comparator</x:v>
      </x:c>
      <x:c r="O297" s="2" t="str"/>
      <x:c r="P297" s="2" t="str">
        <x:v>assumption-based floor-area proxy</x:v>
      </x:c>
      <x:c r="Q297" s="2" t="str">
        <x:v>m2</x:v>
      </x:c>
      <x:c r="R297" s="17" t="n">
        <x:v>449407443.08</x:v>
      </x:c>
      <x:c r="S297" s="17"/>
      <x:c r="T297" s="18"/>
      <x:c r="U297" s="17" t="n">
        <x:v>426553619.39999974</x:v>
      </x:c>
      <x:c r="V297" s="2" t="str">
        <x:v>existing saved physical-floor-area proxy</x:v>
      </x:c>
      <x:c r="W297" s="2" t="str">
        <x:v>legacy_epoch_source_QA_passed; new_common_native_support_not_certified</x:v>
      </x:c>
      <x:c r="X297" s="2" t="str">
        <x:v>https://arxiv.org/abs/2511.12104</x:v>
      </x:c>
    </x:row>
    <x:row r="298" ht="23" customHeight="1">
      <x:c r="A298" s="2" t="str">
        <x:v>IRN</x:v>
      </x:c>
      <x:c r="B298" s="2" t="str">
        <x:v>Iran (Islamic Republic of)</x:v>
      </x:c>
      <x:c r="C298" s="2" t="n">
        <x:v>2023</x:v>
      </x:c>
      <x:c r="D298" s="2" t="str">
        <x:v>TEMPO_PROXY</x:v>
      </x:c>
      <x:c r="E298" s="17" t="n">
        <x:v>4092887896.004569</x:v>
      </x:c>
      <x:c r="F298" s="17" t="n">
        <x:f>IF(AND(M298,ISNUMBER(R298)),IF(D298="TEMPO_PROXY",R298,IF(AND(ISNUMBER(S298),S298&gt;0,ISNUMBER(U298)),U298*R298/S298,"n.a.")),"n.a.")</x:f>
        <x:v>4066045855.51</x:v>
      </x:c>
      <x:c r="G298" s="17" t="n">
        <x:f>IF(AND(ISNUMBER(E298),ISNUMBER(F298)),E298-F298,"n.a.")</x:f>
        <x:v>26842040.494568825</x:v>
      </x:c>
      <x:c r="H298" s="15" t="n">
        <x:f>IF(AND(ISNUMBER(E298),ISNUMBER(F298),F298&gt;0),(E298-F298)/F298,"n.a.")</x:f>
        <x:v>0.006601509537378804</x:v>
      </x:c>
      <x:c r="I298" s="19" t="n">
        <x:f>IF(ISNUMBER(H298),ABS(H298),"n.a.")</x:f>
        <x:v>0.006601509537378804</x:v>
      </x:c>
      <x:c r="J298" s="2" t="str">
        <x:v>available</x:v>
      </x:c>
      <x:c r="K298" s="2" t="n">
        <x:v>1</x:v>
      </x:c>
      <x:c r="L298" s="13" t="b">
        <x:v>0</x:v>
      </x:c>
      <x:c r="M298" s="13" t="b">
        <x:v>1</x:v>
      </x:c>
      <x:c r="N298" s="2" t="str">
        <x:v>unused2023converted-source comparator</x:v>
      </x:c>
      <x:c r="O298" s="2" t="str"/>
      <x:c r="P298" s="2" t="str">
        <x:v>assumption-based floor-area proxy</x:v>
      </x:c>
      <x:c r="Q298" s="2" t="str">
        <x:v>m2</x:v>
      </x:c>
      <x:c r="R298" s="17" t="n">
        <x:v>4066045855.51</x:v>
      </x:c>
      <x:c r="S298" s="17"/>
      <x:c r="T298" s="18"/>
      <x:c r="U298" s="17" t="n">
        <x:v>3753827768.770001</x:v>
      </x:c>
      <x:c r="V298" s="2" t="str">
        <x:v>existing saved physical-floor-area proxy</x:v>
      </x:c>
      <x:c r="W298" s="2" t="str">
        <x:v>legacy_epoch_source_QA_passed; new_common_native_support_not_certified</x:v>
      </x:c>
      <x:c r="X298" s="2" t="str">
        <x:v>https://arxiv.org/abs/2511.12104</x:v>
      </x:c>
    </x:row>
    <x:row r="299" ht="23" customHeight="1">
      <x:c r="A299" s="2" t="str">
        <x:v>IRQ</x:v>
      </x:c>
      <x:c r="B299" s="2" t="str">
        <x:v>Iraq (Republic of)</x:v>
      </x:c>
      <x:c r="C299" s="2" t="n">
        <x:v>2023</x:v>
      </x:c>
      <x:c r="D299" s="2" t="str">
        <x:v>TEMPO_PROXY</x:v>
      </x:c>
      <x:c r="E299" s="17" t="n">
        <x:v>1368221797.4819076</x:v>
      </x:c>
      <x:c r="F299" s="17" t="n">
        <x:f>IF(AND(M299,ISNUMBER(R299)),IF(D299="TEMPO_PROXY",R299,IF(AND(ISNUMBER(S299),S299&gt;0,ISNUMBER(U299)),U299*R299/S299,"n.a.")),"n.a.")</x:f>
        <x:v>1387601146.59</x:v>
      </x:c>
      <x:c r="G299" s="17" t="n">
        <x:f>IF(AND(ISNUMBER(E299),ISNUMBER(F299)),E299-F299,"n.a.")</x:f>
        <x:v>-19379349.108092308</x:v>
      </x:c>
      <x:c r="H299" s="15" t="n">
        <x:f>IF(AND(ISNUMBER(E299),ISNUMBER(F299),F299&gt;0),(E299-F299)/F299,"n.a.")</x:f>
        <x:v>-0.013966080350766965</x:v>
      </x:c>
      <x:c r="I299" s="19" t="n">
        <x:f>IF(ISNUMBER(H299),ABS(H299),"n.a.")</x:f>
        <x:v>0.013966080350766965</x:v>
      </x:c>
      <x:c r="J299" s="2" t="str">
        <x:v>available</x:v>
      </x:c>
      <x:c r="K299" s="2" t="n">
        <x:v>1</x:v>
      </x:c>
      <x:c r="L299" s="13" t="b">
        <x:v>0</x:v>
      </x:c>
      <x:c r="M299" s="13" t="b">
        <x:v>1</x:v>
      </x:c>
      <x:c r="N299" s="2" t="str">
        <x:v>unused2023converted-source comparator</x:v>
      </x:c>
      <x:c r="O299" s="2" t="str"/>
      <x:c r="P299" s="2" t="str">
        <x:v>assumption-based floor-area proxy</x:v>
      </x:c>
      <x:c r="Q299" s="2" t="str">
        <x:v>m2</x:v>
      </x:c>
      <x:c r="R299" s="17" t="n">
        <x:v>1387601146.59</x:v>
      </x:c>
      <x:c r="S299" s="17"/>
      <x:c r="T299" s="18"/>
      <x:c r="U299" s="17" t="n">
        <x:v>1226955244.870001</x:v>
      </x:c>
      <x:c r="V299" s="2" t="str">
        <x:v>existing saved physical-floor-area proxy</x:v>
      </x:c>
      <x:c r="W299" s="2" t="str">
        <x:v>legacy_epoch_source_QA_passed; new_common_native_support_not_certified</x:v>
      </x:c>
      <x:c r="X299" s="2" t="str">
        <x:v>https://arxiv.org/abs/2511.12104</x:v>
      </x:c>
    </x:row>
    <x:row r="300" ht="23" customHeight="1">
      <x:c r="A300" s="2" t="str">
        <x:v>ISL</x:v>
      </x:c>
      <x:c r="B300" s="2" t="str">
        <x:v>Iceland</x:v>
      </x:c>
      <x:c r="C300" s="2" t="n">
        <x:v>2023</x:v>
      </x:c>
      <x:c r="D300" s="2" t="str">
        <x:v>TEMPO_PROXY</x:v>
      </x:c>
      <x:c r="E300" s="17" t="n">
        <x:v>29802140.79216753</x:v>
      </x:c>
      <x:c r="F300" s="17" t="n">
        <x:f>IF(AND(M300,ISNUMBER(R300)),IF(D300="TEMPO_PROXY",R300,IF(AND(ISNUMBER(S300),S300&gt;0,ISNUMBER(U300)),U300*R300/S300,"n.a.")),"n.a.")</x:f>
        <x:v>27117290.59</x:v>
      </x:c>
      <x:c r="G300" s="17" t="n">
        <x:f>IF(AND(ISNUMBER(E300),ISNUMBER(F300)),E300-F300,"n.a.")</x:f>
        <x:v>2684850.2021675296</x:v>
      </x:c>
      <x:c r="H300" s="15" t="n">
        <x:f>IF(AND(ISNUMBER(E300),ISNUMBER(F300),F300&gt;0),(E300-F300)/F300,"n.a.")</x:f>
        <x:v>0.09900879268364729</x:v>
      </x:c>
      <x:c r="I300" s="19" t="n">
        <x:f>IF(ISNUMBER(H300),ABS(H300),"n.a.")</x:f>
        <x:v>0.09900879268364729</x:v>
      </x:c>
      <x:c r="J300" s="2" t="str">
        <x:v>available</x:v>
      </x:c>
      <x:c r="K300" s="2" t="n">
        <x:v>1</x:v>
      </x:c>
      <x:c r="L300" s="13" t="b">
        <x:v>0</x:v>
      </x:c>
      <x:c r="M300" s="13" t="b">
        <x:v>1</x:v>
      </x:c>
      <x:c r="N300" s="2" t="str">
        <x:v>unused2023converted-source comparator</x:v>
      </x:c>
      <x:c r="O300" s="2" t="str"/>
      <x:c r="P300" s="2" t="str">
        <x:v>assumption-based floor-area proxy</x:v>
      </x:c>
      <x:c r="Q300" s="2" t="str">
        <x:v>m2</x:v>
      </x:c>
      <x:c r="R300" s="17" t="n">
        <x:v>27117290.59</x:v>
      </x:c>
      <x:c r="S300" s="17"/>
      <x:c r="T300" s="18"/>
      <x:c r="U300" s="17" t="n">
        <x:v>26377629.56999999</x:v>
      </x:c>
      <x:c r="V300" s="2" t="str">
        <x:v>existing saved physical-floor-area proxy</x:v>
      </x:c>
      <x:c r="W300" s="2" t="str">
        <x:v>legacy_epoch_source_QA_passed; new_common_native_support_not_certified</x:v>
      </x:c>
      <x:c r="X300" s="2" t="str">
        <x:v>https://arxiv.org/abs/2511.12104</x:v>
      </x:c>
    </x:row>
    <x:row r="301" ht="23" customHeight="1">
      <x:c r="A301" s="2" t="str">
        <x:v>ISR</x:v>
      </x:c>
      <x:c r="B301" s="2" t="str">
        <x:v>Israel (State of)</x:v>
      </x:c>
      <x:c r="C301" s="2" t="n">
        <x:v>2023</x:v>
      </x:c>
      <x:c r="D301" s="2" t="str">
        <x:v>TEMPO_PROXY</x:v>
      </x:c>
      <x:c r="E301" s="17" t="n">
        <x:v>409812102.4425136</x:v>
      </x:c>
      <x:c r="F301" s="17" t="n">
        <x:f>IF(AND(M301,ISNUMBER(R301)),IF(D301="TEMPO_PROXY",R301,IF(AND(ISNUMBER(S301),S301&gt;0,ISNUMBER(U301)),U301*R301/S301,"n.a.")),"n.a.")</x:f>
        <x:v>383737232.46</x:v>
      </x:c>
      <x:c r="G301" s="17" t="n">
        <x:f>IF(AND(ISNUMBER(E301),ISNUMBER(F301)),E301-F301,"n.a.")</x:f>
        <x:v>26074869.982513607</x:v>
      </x:c>
      <x:c r="H301" s="15" t="n">
        <x:f>IF(AND(ISNUMBER(E301),ISNUMBER(F301),F301&gt;0),(E301-F301)/F301,"n.a.")</x:f>
        <x:v>0.06794980464980448</x:v>
      </x:c>
      <x:c r="I301" s="19" t="n">
        <x:f>IF(ISNUMBER(H301),ABS(H301),"n.a.")</x:f>
        <x:v>0.06794980464980448</x:v>
      </x:c>
      <x:c r="J301" s="2" t="str">
        <x:v>available</x:v>
      </x:c>
      <x:c r="K301" s="2" t="n">
        <x:v>1</x:v>
      </x:c>
      <x:c r="L301" s="13" t="b">
        <x:v>0</x:v>
      </x:c>
      <x:c r="M301" s="13" t="b">
        <x:v>1</x:v>
      </x:c>
      <x:c r="N301" s="2" t="str">
        <x:v>unused2023converted-source comparator</x:v>
      </x:c>
      <x:c r="O301" s="2" t="str"/>
      <x:c r="P301" s="2" t="str">
        <x:v>assumption-based floor-area proxy</x:v>
      </x:c>
      <x:c r="Q301" s="2" t="str">
        <x:v>m2</x:v>
      </x:c>
      <x:c r="R301" s="17" t="n">
        <x:v>383737232.46</x:v>
      </x:c>
      <x:c r="S301" s="17"/>
      <x:c r="T301" s="18"/>
      <x:c r="U301" s="17" t="n">
        <x:v>372353983.1399999</x:v>
      </x:c>
      <x:c r="V301" s="2" t="str">
        <x:v>existing saved physical-floor-area proxy</x:v>
      </x:c>
      <x:c r="W301" s="2" t="str">
        <x:v>legacy_epoch_source_QA_passed; new_common_native_support_not_certified</x:v>
      </x:c>
      <x:c r="X301" s="2" t="str">
        <x:v>https://arxiv.org/abs/2511.12104</x:v>
      </x:c>
    </x:row>
    <x:row r="302" ht="23" customHeight="1">
      <x:c r="A302" s="2" t="str">
        <x:v>ITA</x:v>
      </x:c>
      <x:c r="B302" s="2" t="str">
        <x:v>Italy (Italian Republic)</x:v>
      </x:c>
      <x:c r="C302" s="2" t="n">
        <x:v>2023</x:v>
      </x:c>
      <x:c r="D302" s="2" t="str">
        <x:v>TEMPO_PROXY</x:v>
      </x:c>
      <x:c r="E302" s="17" t="n">
        <x:v>5351931681.161436</x:v>
      </x:c>
      <x:c r="F302" s="17" t="n">
        <x:f>IF(AND(M302,ISNUMBER(R302)),IF(D302="TEMPO_PROXY",R302,IF(AND(ISNUMBER(S302),S302&gt;0,ISNUMBER(U302)),U302*R302/S302,"n.a.")),"n.a.")</x:f>
        <x:v>5125317478.93</x:v>
      </x:c>
      <x:c r="G302" s="17" t="n">
        <x:f>IF(AND(ISNUMBER(E302),ISNUMBER(F302)),E302-F302,"n.a.")</x:f>
        <x:v>226614202.23143578</x:v>
      </x:c>
      <x:c r="H302" s="15" t="n">
        <x:f>IF(AND(ISNUMBER(E302),ISNUMBER(F302),F302&gt;0),(E302-F302)/F302,"n.a.")</x:f>
        <x:v>0.044214666342726826</x:v>
      </x:c>
      <x:c r="I302" s="19" t="n">
        <x:f>IF(ISNUMBER(H302),ABS(H302),"n.a.")</x:f>
        <x:v>0.044214666342726826</x:v>
      </x:c>
      <x:c r="J302" s="2" t="str">
        <x:v>available</x:v>
      </x:c>
      <x:c r="K302" s="2" t="n">
        <x:v>1</x:v>
      </x:c>
      <x:c r="L302" s="13" t="b">
        <x:v>0</x:v>
      </x:c>
      <x:c r="M302" s="13" t="b">
        <x:v>1</x:v>
      </x:c>
      <x:c r="N302" s="2" t="str">
        <x:v>unused2023converted-source comparator</x:v>
      </x:c>
      <x:c r="O302" s="2" t="str"/>
      <x:c r="P302" s="2" t="str">
        <x:v>assumption-based floor-area proxy</x:v>
      </x:c>
      <x:c r="Q302" s="2" t="str">
        <x:v>m2</x:v>
      </x:c>
      <x:c r="R302" s="17" t="n">
        <x:v>5125317478.93</x:v>
      </x:c>
      <x:c r="S302" s="17"/>
      <x:c r="T302" s="18"/>
      <x:c r="U302" s="17" t="n">
        <x:v>5000634293.290002</x:v>
      </x:c>
      <x:c r="V302" s="2" t="str">
        <x:v>existing saved physical-floor-area proxy</x:v>
      </x:c>
      <x:c r="W302" s="2" t="str">
        <x:v>legacy_epoch_source_QA_passed; new_common_native_support_not_certified</x:v>
      </x:c>
      <x:c r="X302" s="2" t="str">
        <x:v>https://arxiv.org/abs/2511.12104</x:v>
      </x:c>
    </x:row>
    <x:row r="303" ht="23" customHeight="1">
      <x:c r="A303" s="2" t="str">
        <x:v>JAM</x:v>
      </x:c>
      <x:c r="B303" s="2" t="str">
        <x:v>Jamaica</x:v>
      </x:c>
      <x:c r="C303" s="2" t="n">
        <x:v>2023</x:v>
      </x:c>
      <x:c r="D303" s="2" t="str">
        <x:v>TEMPO_PROXY</x:v>
      </x:c>
      <x:c r="E303" s="17" t="n">
        <x:v>138645959.96013302</x:v>
      </x:c>
      <x:c r="F303" s="17" t="n">
        <x:f>IF(AND(M303,ISNUMBER(R303)),IF(D303="TEMPO_PROXY",R303,IF(AND(ISNUMBER(S303),S303&gt;0,ISNUMBER(U303)),U303*R303/S303,"n.a.")),"n.a.")</x:f>
        <x:v>139540116.51</x:v>
      </x:c>
      <x:c r="G303" s="17" t="n">
        <x:f>IF(AND(ISNUMBER(E303),ISNUMBER(F303)),E303-F303,"n.a.")</x:f>
        <x:v>-894156.5498669744</x:v>
      </x:c>
      <x:c r="H303" s="15" t="n">
        <x:f>IF(AND(ISNUMBER(E303),ISNUMBER(F303),F303&gt;0),(E303-F303)/F303,"n.a.")</x:f>
        <x:v>-0.006407881634546977</x:v>
      </x:c>
      <x:c r="I303" s="19" t="n">
        <x:f>IF(ISNUMBER(H303),ABS(H303),"n.a.")</x:f>
        <x:v>0.006407881634546977</x:v>
      </x:c>
      <x:c r="J303" s="2" t="str">
        <x:v>available</x:v>
      </x:c>
      <x:c r="K303" s="2" t="n">
        <x:v>1</x:v>
      </x:c>
      <x:c r="L303" s="13" t="b">
        <x:v>0</x:v>
      </x:c>
      <x:c r="M303" s="13" t="b">
        <x:v>1</x:v>
      </x:c>
      <x:c r="N303" s="2" t="str">
        <x:v>unused2023converted-source comparator</x:v>
      </x:c>
      <x:c r="O303" s="2" t="str"/>
      <x:c r="P303" s="2" t="str">
        <x:v>assumption-based floor-area proxy</x:v>
      </x:c>
      <x:c r="Q303" s="2" t="str">
        <x:v>m2</x:v>
      </x:c>
      <x:c r="R303" s="17" t="n">
        <x:v>139540116.51</x:v>
      </x:c>
      <x:c r="S303" s="17"/>
      <x:c r="T303" s="18"/>
      <x:c r="U303" s="17" t="n">
        <x:v>133338245.18999992</x:v>
      </x:c>
      <x:c r="V303" s="2" t="str">
        <x:v>existing saved physical-floor-area proxy</x:v>
      </x:c>
      <x:c r="W303" s="2" t="str">
        <x:v>legacy_epoch_source_QA_passed; new_common_native_support_not_certified</x:v>
      </x:c>
      <x:c r="X303" s="2" t="str">
        <x:v>https://arxiv.org/abs/2511.12104</x:v>
      </x:c>
    </x:row>
    <x:row r="304" ht="23" customHeight="1">
      <x:c r="A304" s="2" t="str">
        <x:v>JOR</x:v>
      </x:c>
      <x:c r="B304" s="2" t="str">
        <x:v>Jordan (Hashemite Kingdom of)</x:v>
      </x:c>
      <x:c r="C304" s="2" t="n">
        <x:v>2023</x:v>
      </x:c>
      <x:c r="D304" s="2" t="str">
        <x:v>TEMPO_PROXY</x:v>
      </x:c>
      <x:c r="E304" s="17" t="n">
        <x:v>311291115.8472091</x:v>
      </x:c>
      <x:c r="F304" s="17" t="n">
        <x:f>IF(AND(M304,ISNUMBER(R304)),IF(D304="TEMPO_PROXY",R304,IF(AND(ISNUMBER(S304),S304&gt;0,ISNUMBER(U304)),U304*R304/S304,"n.a.")),"n.a.")</x:f>
        <x:v>295560679.23</x:v>
      </x:c>
      <x:c r="G304" s="17" t="n">
        <x:f>IF(AND(ISNUMBER(E304),ISNUMBER(F304)),E304-F304,"n.a.")</x:f>
        <x:v>15730436.617209077</x:v>
      </x:c>
      <x:c r="H304" s="15" t="n">
        <x:f>IF(AND(ISNUMBER(E304),ISNUMBER(F304),F304&gt;0),(E304-F304)/F304,"n.a.")</x:f>
        <x:v>0.053222359138537276</x:v>
      </x:c>
      <x:c r="I304" s="19" t="n">
        <x:f>IF(ISNUMBER(H304),ABS(H304),"n.a.")</x:f>
        <x:v>0.053222359138537276</x:v>
      </x:c>
      <x:c r="J304" s="2" t="str">
        <x:v>available</x:v>
      </x:c>
      <x:c r="K304" s="2" t="n">
        <x:v>1</x:v>
      </x:c>
      <x:c r="L304" s="13" t="b">
        <x:v>0</x:v>
      </x:c>
      <x:c r="M304" s="13" t="b">
        <x:v>1</x:v>
      </x:c>
      <x:c r="N304" s="2" t="str">
        <x:v>unused2023converted-source comparator</x:v>
      </x:c>
      <x:c r="O304" s="2" t="str"/>
      <x:c r="P304" s="2" t="str">
        <x:v>assumption-based floor-area proxy</x:v>
      </x:c>
      <x:c r="Q304" s="2" t="str">
        <x:v>m2</x:v>
      </x:c>
      <x:c r="R304" s="17" t="n">
        <x:v>295560679.23</x:v>
      </x:c>
      <x:c r="S304" s="17"/>
      <x:c r="T304" s="18"/>
      <x:c r="U304" s="17" t="n">
        <x:v>279172690.0000002</x:v>
      </x:c>
      <x:c r="V304" s="2" t="str">
        <x:v>existing saved physical-floor-area proxy</x:v>
      </x:c>
      <x:c r="W304" s="2" t="str">
        <x:v>legacy_epoch_source_QA_passed; new_common_native_support_not_certified</x:v>
      </x:c>
      <x:c r="X304" s="2" t="str">
        <x:v>https://arxiv.org/abs/2511.12104</x:v>
      </x:c>
    </x:row>
    <x:row r="305" ht="23" customHeight="1">
      <x:c r="A305" s="2" t="str">
        <x:v>JPN</x:v>
      </x:c>
      <x:c r="B305" s="2" t="str">
        <x:v>Japan</x:v>
      </x:c>
      <x:c r="C305" s="2" t="n">
        <x:v>2023</x:v>
      </x:c>
      <x:c r="D305" s="2" t="str">
        <x:v>TEMPO_PROXY</x:v>
      </x:c>
      <x:c r="E305" s="17" t="n">
        <x:v>8538031893.713573</x:v>
      </x:c>
      <x:c r="F305" s="17" t="n">
        <x:f>IF(AND(M305,ISNUMBER(R305)),IF(D305="TEMPO_PROXY",R305,IF(AND(ISNUMBER(S305),S305&gt;0,ISNUMBER(U305)),U305*R305/S305,"n.a.")),"n.a.")</x:f>
        <x:v>8505060343.2</x:v>
      </x:c>
      <x:c r="G305" s="17" t="n">
        <x:f>IF(AND(ISNUMBER(E305),ISNUMBER(F305)),E305-F305,"n.a.")</x:f>
        <x:v>32971550.513573647</x:v>
      </x:c>
      <x:c r="H305" s="15" t="n">
        <x:f>IF(AND(ISNUMBER(E305),ISNUMBER(F305),F305&gt;0),(E305-F305)/F305,"n.a.")</x:f>
        <x:v>0.0038766980107243086</x:v>
      </x:c>
      <x:c r="I305" s="19" t="n">
        <x:f>IF(ISNUMBER(H305),ABS(H305),"n.a.")</x:f>
        <x:v>0.0038766980107243086</x:v>
      </x:c>
      <x:c r="J305" s="2" t="str">
        <x:v>available</x:v>
      </x:c>
      <x:c r="K305" s="2" t="n">
        <x:v>1</x:v>
      </x:c>
      <x:c r="L305" s="13" t="b">
        <x:v>0</x:v>
      </x:c>
      <x:c r="M305" s="13" t="b">
        <x:v>1</x:v>
      </x:c>
      <x:c r="N305" s="2" t="str">
        <x:v>unused2023converted-source comparator</x:v>
      </x:c>
      <x:c r="O305" s="2" t="str"/>
      <x:c r="P305" s="2" t="str">
        <x:v>assumption-based floor-area proxy</x:v>
      </x:c>
      <x:c r="Q305" s="2" t="str">
        <x:v>m2</x:v>
      </x:c>
      <x:c r="R305" s="17" t="n">
        <x:v>8505060343.2</x:v>
      </x:c>
      <x:c r="S305" s="17"/>
      <x:c r="T305" s="18"/>
      <x:c r="U305" s="17" t="n">
        <x:v>8341228241.779989</x:v>
      </x:c>
      <x:c r="V305" s="2" t="str">
        <x:v>existing saved physical-floor-area proxy</x:v>
      </x:c>
      <x:c r="W305" s="2" t="str">
        <x:v>legacy_epoch_source_QA_passed; new_common_native_support_not_certified</x:v>
      </x:c>
      <x:c r="X305" s="2" t="str">
        <x:v>https://arxiv.org/abs/2511.12104</x:v>
      </x:c>
    </x:row>
    <x:row r="306" ht="23" customHeight="1">
      <x:c r="A306" s="2" t="str">
        <x:v>KAZ</x:v>
      </x:c>
      <x:c r="B306" s="2" t="str">
        <x:v>Kazakhstan (Republic of)</x:v>
      </x:c>
      <x:c r="C306" s="2" t="n">
        <x:v>2023</x:v>
      </x:c>
      <x:c r="D306" s="2" t="str">
        <x:v>TEMPO_PROXY</x:v>
      </x:c>
      <x:c r="E306" s="17" t="n">
        <x:v>1066734433.6354417</x:v>
      </x:c>
      <x:c r="F306" s="17" t="n">
        <x:f>IF(AND(M306,ISNUMBER(R306)),IF(D306="TEMPO_PROXY",R306,IF(AND(ISNUMBER(S306),S306&gt;0,ISNUMBER(U306)),U306*R306/S306,"n.a.")),"n.a.")</x:f>
        <x:v>1106837370.56</x:v>
      </x:c>
      <x:c r="G306" s="17" t="n">
        <x:f>IF(AND(ISNUMBER(E306),ISNUMBER(F306)),E306-F306,"n.a.")</x:f>
        <x:v>-40102936.92455828</x:v>
      </x:c>
      <x:c r="H306" s="15" t="n">
        <x:f>IF(AND(ISNUMBER(E306),ISNUMBER(F306),F306&gt;0),(E306-F306)/F306,"n.a.")</x:f>
        <x:v>-0.03623200480145368</x:v>
      </x:c>
      <x:c r="I306" s="19" t="n">
        <x:f>IF(ISNUMBER(H306),ABS(H306),"n.a.")</x:f>
        <x:v>0.03623200480145368</x:v>
      </x:c>
      <x:c r="J306" s="2" t="str">
        <x:v>available</x:v>
      </x:c>
      <x:c r="K306" s="2" t="n">
        <x:v>1</x:v>
      </x:c>
      <x:c r="L306" s="13" t="b">
        <x:v>0</x:v>
      </x:c>
      <x:c r="M306" s="13" t="b">
        <x:v>1</x:v>
      </x:c>
      <x:c r="N306" s="2" t="str">
        <x:v>unused2023converted-source comparator</x:v>
      </x:c>
      <x:c r="O306" s="2" t="str"/>
      <x:c r="P306" s="2" t="str">
        <x:v>assumption-based floor-area proxy</x:v>
      </x:c>
      <x:c r="Q306" s="2" t="str">
        <x:v>m2</x:v>
      </x:c>
      <x:c r="R306" s="17" t="n">
        <x:v>1106837370.56</x:v>
      </x:c>
      <x:c r="S306" s="17"/>
      <x:c r="T306" s="18"/>
      <x:c r="U306" s="17" t="n">
        <x:v>1009034692.9700016</x:v>
      </x:c>
      <x:c r="V306" s="2" t="str">
        <x:v>existing saved physical-floor-area proxy</x:v>
      </x:c>
      <x:c r="W306" s="2" t="str">
        <x:v>legacy_epoch_source_QA_passed; new_common_native_support_not_certified</x:v>
      </x:c>
      <x:c r="X306" s="2" t="str">
        <x:v>https://arxiv.org/abs/2511.12104</x:v>
      </x:c>
    </x:row>
    <x:row r="307" ht="23" customHeight="1">
      <x:c r="A307" s="2" t="str">
        <x:v>KEN</x:v>
      </x:c>
      <x:c r="B307" s="2" t="str">
        <x:v>Kenya (Republic of)</x:v>
      </x:c>
      <x:c r="C307" s="2" t="n">
        <x:v>2023</x:v>
      </x:c>
      <x:c r="D307" s="2" t="str">
        <x:v>TEMPO_PROXY</x:v>
      </x:c>
      <x:c r="E307" s="17" t="n">
        <x:v>1279332476.0834823</x:v>
      </x:c>
      <x:c r="F307" s="17" t="n">
        <x:f>IF(AND(M307,ISNUMBER(R307)),IF(D307="TEMPO_PROXY",R307,IF(AND(ISNUMBER(S307),S307&gt;0,ISNUMBER(U307)),U307*R307/S307,"n.a.")),"n.a.")</x:f>
        <x:v>1295570584.12</x:v>
      </x:c>
      <x:c r="G307" s="17" t="n">
        <x:f>IF(AND(ISNUMBER(E307),ISNUMBER(F307)),E307-F307,"n.a.")</x:f>
        <x:v>-16238108.03651762</x:v>
      </x:c>
      <x:c r="H307" s="15" t="n">
        <x:f>IF(AND(ISNUMBER(E307),ISNUMBER(F307),F307&gt;0),(E307-F307)/F307,"n.a.")</x:f>
        <x:v>-0.012533557210661087</x:v>
      </x:c>
      <x:c r="I307" s="19" t="n">
        <x:f>IF(ISNUMBER(H307),ABS(H307),"n.a.")</x:f>
        <x:v>0.012533557210661087</x:v>
      </x:c>
      <x:c r="J307" s="2" t="str">
        <x:v>available</x:v>
      </x:c>
      <x:c r="K307" s="2" t="n">
        <x:v>1</x:v>
      </x:c>
      <x:c r="L307" s="13" t="b">
        <x:v>0</x:v>
      </x:c>
      <x:c r="M307" s="13" t="b">
        <x:v>1</x:v>
      </x:c>
      <x:c r="N307" s="2" t="str">
        <x:v>unused2023converted-source comparator</x:v>
      </x:c>
      <x:c r="O307" s="2" t="str"/>
      <x:c r="P307" s="2" t="str">
        <x:v>assumption-based floor-area proxy</x:v>
      </x:c>
      <x:c r="Q307" s="2" t="str">
        <x:v>m2</x:v>
      </x:c>
      <x:c r="R307" s="17" t="n">
        <x:v>1295570584.12</x:v>
      </x:c>
      <x:c r="S307" s="17"/>
      <x:c r="T307" s="18"/>
      <x:c r="U307" s="17" t="n">
        <x:v>1180050447.52</x:v>
      </x:c>
      <x:c r="V307" s="2" t="str">
        <x:v>existing saved physical-floor-area proxy</x:v>
      </x:c>
      <x:c r="W307" s="2" t="str">
        <x:v>legacy_epoch_source_QA_passed; new_common_native_support_not_certified</x:v>
      </x:c>
      <x:c r="X307" s="2" t="str">
        <x:v>https://arxiv.org/abs/2511.12104</x:v>
      </x:c>
    </x:row>
    <x:row r="308" ht="23" customHeight="1">
      <x:c r="A308" s="2" t="str">
        <x:v>KGZ</x:v>
      </x:c>
      <x:c r="B308" s="2" t="str">
        <x:v>Kyrgyzstan (Kyrgyz Republic)</x:v>
      </x:c>
      <x:c r="C308" s="2" t="n">
        <x:v>2023</x:v>
      </x:c>
      <x:c r="D308" s="2" t="str">
        <x:v>TEMPO_PROXY</x:v>
      </x:c>
      <x:c r="E308" s="17" t="n">
        <x:v>352616082.1877337</x:v>
      </x:c>
      <x:c r="F308" s="17" t="n">
        <x:f>IF(AND(M308,ISNUMBER(R308)),IF(D308="TEMPO_PROXY",R308,IF(AND(ISNUMBER(S308),S308&gt;0,ISNUMBER(U308)),U308*R308/S308,"n.a.")),"n.a.")</x:f>
        <x:v>366574260.6</x:v>
      </x:c>
      <x:c r="G308" s="17" t="n">
        <x:f>IF(AND(ISNUMBER(E308),ISNUMBER(F308)),E308-F308,"n.a.")</x:f>
        <x:v>-13958178.412266314</x:v>
      </x:c>
      <x:c r="H308" s="15" t="n">
        <x:f>IF(AND(ISNUMBER(E308),ISNUMBER(F308),F308&gt;0),(E308-F308)/F308,"n.a.")</x:f>
        <x:v>-0.03807735542975631</x:v>
      </x:c>
      <x:c r="I308" s="19" t="n">
        <x:f>IF(ISNUMBER(H308),ABS(H308),"n.a.")</x:f>
        <x:v>0.03807735542975631</x:v>
      </x:c>
      <x:c r="J308" s="2" t="str">
        <x:v>available</x:v>
      </x:c>
      <x:c r="K308" s="2" t="n">
        <x:v>1</x:v>
      </x:c>
      <x:c r="L308" s="13" t="b">
        <x:v>0</x:v>
      </x:c>
      <x:c r="M308" s="13" t="b">
        <x:v>1</x:v>
      </x:c>
      <x:c r="N308" s="2" t="str">
        <x:v>unused2023converted-source comparator</x:v>
      </x:c>
      <x:c r="O308" s="2" t="str"/>
      <x:c r="P308" s="2" t="str">
        <x:v>assumption-based floor-area proxy</x:v>
      </x:c>
      <x:c r="Q308" s="2" t="str">
        <x:v>m2</x:v>
      </x:c>
      <x:c r="R308" s="17" t="n">
        <x:v>366574260.6</x:v>
      </x:c>
      <x:c r="S308" s="17"/>
      <x:c r="T308" s="18"/>
      <x:c r="U308" s="17" t="n">
        <x:v>332236534.37000054</x:v>
      </x:c>
      <x:c r="V308" s="2" t="str">
        <x:v>existing saved physical-floor-area proxy</x:v>
      </x:c>
      <x:c r="W308" s="2" t="str">
        <x:v>legacy_epoch_source_QA_passed; new_common_native_support_not_certified</x:v>
      </x:c>
      <x:c r="X308" s="2" t="str">
        <x:v>https://arxiv.org/abs/2511.12104</x:v>
      </x:c>
    </x:row>
    <x:row r="309" ht="23" customHeight="1">
      <x:c r="A309" s="2" t="str">
        <x:v>KHM</x:v>
      </x:c>
      <x:c r="B309" s="2" t="str">
        <x:v>Cambodia (Kingdom of)</x:v>
      </x:c>
      <x:c r="C309" s="2" t="n">
        <x:v>2023</x:v>
      </x:c>
      <x:c r="D309" s="2" t="str">
        <x:v>TEMPO_PROXY</x:v>
      </x:c>
      <x:c r="E309" s="17" t="n">
        <x:v>729563330.9318277</x:v>
      </x:c>
      <x:c r="F309" s="17" t="n">
        <x:f>IF(AND(M309,ISNUMBER(R309)),IF(D309="TEMPO_PROXY",R309,IF(AND(ISNUMBER(S309),S309&gt;0,ISNUMBER(U309)),U309*R309/S309,"n.a.")),"n.a.")</x:f>
        <x:v>785745718.18</x:v>
      </x:c>
      <x:c r="G309" s="17" t="n">
        <x:f>IF(AND(ISNUMBER(E309),ISNUMBER(F309)),E309-F309,"n.a.")</x:f>
        <x:v>-56182387.24817228</x:v>
      </x:c>
      <x:c r="H309" s="15" t="n">
        <x:f>IF(AND(ISNUMBER(E309),ISNUMBER(F309),F309&gt;0),(E309-F309)/F309,"n.a.")</x:f>
        <x:v>-0.07150199606344139</x:v>
      </x:c>
      <x:c r="I309" s="19" t="n">
        <x:f>IF(ISNUMBER(H309),ABS(H309),"n.a.")</x:f>
        <x:v>0.07150199606344139</x:v>
      </x:c>
      <x:c r="J309" s="2" t="str">
        <x:v>available</x:v>
      </x:c>
      <x:c r="K309" s="2" t="n">
        <x:v>1</x:v>
      </x:c>
      <x:c r="L309" s="13" t="b">
        <x:v>0</x:v>
      </x:c>
      <x:c r="M309" s="13" t="b">
        <x:v>1</x:v>
      </x:c>
      <x:c r="N309" s="2" t="str">
        <x:v>unused2023converted-source comparator</x:v>
      </x:c>
      <x:c r="O309" s="2" t="str"/>
      <x:c r="P309" s="2" t="str">
        <x:v>assumption-based floor-area proxy</x:v>
      </x:c>
      <x:c r="Q309" s="2" t="str">
        <x:v>m2</x:v>
      </x:c>
      <x:c r="R309" s="17" t="n">
        <x:v>785745718.18</x:v>
      </x:c>
      <x:c r="S309" s="17"/>
      <x:c r="T309" s="18"/>
      <x:c r="U309" s="17" t="n">
        <x:v>672933221.830001</x:v>
      </x:c>
      <x:c r="V309" s="2" t="str">
        <x:v>existing saved physical-floor-area proxy</x:v>
      </x:c>
      <x:c r="W309" s="2" t="str">
        <x:v>legacy_epoch_source_QA_passed; new_common_native_support_not_certified</x:v>
      </x:c>
      <x:c r="X309" s="2" t="str">
        <x:v>https://arxiv.org/abs/2511.12104</x:v>
      </x:c>
    </x:row>
    <x:row r="310" ht="23" customHeight="1">
      <x:c r="A310" s="2" t="str">
        <x:v>KIR</x:v>
      </x:c>
      <x:c r="B310" s="2" t="str">
        <x:v>Kiribati (Republic of)</x:v>
      </x:c>
      <x:c r="C310" s="2" t="n">
        <x:v>2023</x:v>
      </x:c>
      <x:c r="D310" s="2" t="str">
        <x:v>TEMPO_PROXY</x:v>
      </x:c>
      <x:c r="E310" s="17" t="n">
        <x:v>2021045.8833142433</x:v>
      </x:c>
      <x:c r="F310" s="17" t="n">
        <x:f>IF(AND(M310,ISNUMBER(R310)),IF(D310="TEMPO_PROXY",R310,IF(AND(ISNUMBER(S310),S310&gt;0,ISNUMBER(U310)),U310*R310/S310,"n.a.")),"n.a.")</x:f>
        <x:v>1863230.46</x:v>
      </x:c>
      <x:c r="G310" s="17" t="n">
        <x:f>IF(AND(ISNUMBER(E310),ISNUMBER(F310)),E310-F310,"n.a.")</x:f>
        <x:v>157815.42331424332</x:v>
      </x:c>
      <x:c r="H310" s="15" t="n">
        <x:f>IF(AND(ISNUMBER(E310),ISNUMBER(F310),F310&gt;0),(E310-F310)/F310,"n.a.")</x:f>
        <x:v>0.08469989445870445</x:v>
      </x:c>
      <x:c r="I310" s="19" t="n">
        <x:f>IF(ISNUMBER(H310),ABS(H310),"n.a.")</x:f>
        <x:v>0.08469989445870445</x:v>
      </x:c>
      <x:c r="J310" s="2" t="str">
        <x:v>available</x:v>
      </x:c>
      <x:c r="K310" s="2" t="n">
        <x:v>1</x:v>
      </x:c>
      <x:c r="L310" s="13" t="b">
        <x:v>0</x:v>
      </x:c>
      <x:c r="M310" s="13" t="b">
        <x:v>1</x:v>
      </x:c>
      <x:c r="N310" s="2" t="str">
        <x:v>unused2023converted-source comparator</x:v>
      </x:c>
      <x:c r="O310" s="2" t="str"/>
      <x:c r="P310" s="2" t="str">
        <x:v>assumption-based floor-area proxy</x:v>
      </x:c>
      <x:c r="Q310" s="2" t="str">
        <x:v>m2</x:v>
      </x:c>
      <x:c r="R310" s="17" t="n">
        <x:v>1863230.46</x:v>
      </x:c>
      <x:c r="S310" s="17"/>
      <x:c r="T310" s="18"/>
      <x:c r="U310" s="17" t="n">
        <x:v>1721739.6700000002</x:v>
      </x:c>
      <x:c r="V310" s="2" t="str">
        <x:v>existing saved physical-floor-area proxy</x:v>
      </x:c>
      <x:c r="W310" s="2" t="str">
        <x:v>legacy_epoch_source_QA_passed; new_common_native_support_not_certified</x:v>
      </x:c>
      <x:c r="X310" s="2" t="str">
        <x:v>https://arxiv.org/abs/2511.12104</x:v>
      </x:c>
    </x:row>
    <x:row r="311" ht="23" customHeight="1">
      <x:c r="A311" s="2" t="str">
        <x:v>KNA</x:v>
      </x:c>
      <x:c r="B311" s="2" t="str">
        <x:v>Saint Kitts and Nevis (Federation of)</x:v>
      </x:c>
      <x:c r="C311" s="2" t="n">
        <x:v>2023</x:v>
      </x:c>
      <x:c r="D311" s="2" t="str">
        <x:v>TEMPO_PROXY</x:v>
      </x:c>
      <x:c r="E311" s="17" t="n">
        <x:v>4662472.850554909</x:v>
      </x:c>
      <x:c r="F311" s="17" t="n">
        <x:f>IF(AND(M311,ISNUMBER(R311)),IF(D311="TEMPO_PROXY",R311,IF(AND(ISNUMBER(S311),S311&gt;0,ISNUMBER(U311)),U311*R311/S311,"n.a.")),"n.a.")</x:f>
        <x:v>4708557.36</x:v>
      </x:c>
      <x:c r="G311" s="17" t="n">
        <x:f>IF(AND(ISNUMBER(E311),ISNUMBER(F311)),E311-F311,"n.a.")</x:f>
        <x:v>-46084.50944509171</x:v>
      </x:c>
      <x:c r="H311" s="15" t="n">
        <x:f>IF(AND(ISNUMBER(E311),ISNUMBER(F311),F311&gt;0),(E311-F311)/F311,"n.a.")</x:f>
        <x:v>-0.009787394720214624</x:v>
      </x:c>
      <x:c r="I311" s="19" t="n">
        <x:f>IF(ISNUMBER(H311),ABS(H311),"n.a.")</x:f>
        <x:v>0.009787394720214624</x:v>
      </x:c>
      <x:c r="J311" s="2" t="str">
        <x:v>available</x:v>
      </x:c>
      <x:c r="K311" s="2" t="n">
        <x:v>1</x:v>
      </x:c>
      <x:c r="L311" s="13" t="b">
        <x:v>0</x:v>
      </x:c>
      <x:c r="M311" s="13" t="b">
        <x:v>1</x:v>
      </x:c>
      <x:c r="N311" s="2" t="str">
        <x:v>unused2023converted-source comparator</x:v>
      </x:c>
      <x:c r="O311" s="2" t="str"/>
      <x:c r="P311" s="2" t="str">
        <x:v>assumption-based floor-area proxy</x:v>
      </x:c>
      <x:c r="Q311" s="2" t="str">
        <x:v>m2</x:v>
      </x:c>
      <x:c r="R311" s="17" t="n">
        <x:v>4708557.36</x:v>
      </x:c>
      <x:c r="S311" s="17"/>
      <x:c r="T311" s="18"/>
      <x:c r="U311" s="17" t="n">
        <x:v>4523960.760000001</x:v>
      </x:c>
      <x:c r="V311" s="2" t="str">
        <x:v>existing saved physical-floor-area proxy</x:v>
      </x:c>
      <x:c r="W311" s="2" t="str">
        <x:v>legacy_epoch_source_QA_passed; new_common_native_support_not_certified</x:v>
      </x:c>
      <x:c r="X311" s="2" t="str">
        <x:v>https://arxiv.org/abs/2511.12104</x:v>
      </x:c>
    </x:row>
    <x:row r="312" ht="23" customHeight="1">
      <x:c r="A312" s="2" t="str">
        <x:v>KOR</x:v>
      </x:c>
      <x:c r="B312" s="2" t="str">
        <x:v>Korea (Republic of)</x:v>
      </x:c>
      <x:c r="C312" s="2" t="n">
        <x:v>2023</x:v>
      </x:c>
      <x:c r="D312" s="2" t="str">
        <x:v>TEMPO_PROXY</x:v>
      </x:c>
      <x:c r="E312" s="17" t="n">
        <x:v>3096484602.971078</x:v>
      </x:c>
      <x:c r="F312" s="17" t="n">
        <x:f>IF(AND(M312,ISNUMBER(R312)),IF(D312="TEMPO_PROXY",R312,IF(AND(ISNUMBER(S312),S312&gt;0,ISNUMBER(U312)),U312*R312/S312,"n.a.")),"n.a.")</x:f>
        <x:v>3031441837.9</x:v>
      </x:c>
      <x:c r="G312" s="17" t="n">
        <x:f>IF(AND(ISNUMBER(E312),ISNUMBER(F312)),E312-F312,"n.a.")</x:f>
        <x:v>65042765.07107782</x:v>
      </x:c>
      <x:c r="H312" s="15" t="n">
        <x:f>IF(AND(ISNUMBER(E312),ISNUMBER(F312),F312&gt;0),(E312-F312)/F312,"n.a.")</x:f>
        <x:v>0.021456049150570384</x:v>
      </x:c>
      <x:c r="I312" s="19" t="n">
        <x:f>IF(ISNUMBER(H312),ABS(H312),"n.a.")</x:f>
        <x:v>0.021456049150570384</x:v>
      </x:c>
      <x:c r="J312" s="2" t="str">
        <x:v>available</x:v>
      </x:c>
      <x:c r="K312" s="2" t="n">
        <x:v>1</x:v>
      </x:c>
      <x:c r="L312" s="13" t="b">
        <x:v>0</x:v>
      </x:c>
      <x:c r="M312" s="13" t="b">
        <x:v>1</x:v>
      </x:c>
      <x:c r="N312" s="2" t="str">
        <x:v>unused2023converted-source comparator</x:v>
      </x:c>
      <x:c r="O312" s="2" t="str"/>
      <x:c r="P312" s="2" t="str">
        <x:v>assumption-based floor-area proxy</x:v>
      </x:c>
      <x:c r="Q312" s="2" t="str">
        <x:v>m2</x:v>
      </x:c>
      <x:c r="R312" s="17" t="n">
        <x:v>3031441837.9</x:v>
      </x:c>
      <x:c r="S312" s="17"/>
      <x:c r="T312" s="18"/>
      <x:c r="U312" s="17" t="n">
        <x:v>2947698717.329997</x:v>
      </x:c>
      <x:c r="V312" s="2" t="str">
        <x:v>existing saved physical-floor-area proxy</x:v>
      </x:c>
      <x:c r="W312" s="2" t="str">
        <x:v>legacy_epoch_source_QA_passed; new_common_native_support_not_certified</x:v>
      </x:c>
      <x:c r="X312" s="2" t="str">
        <x:v>https://arxiv.org/abs/2511.12104</x:v>
      </x:c>
    </x:row>
    <x:row r="313" ht="23" customHeight="1">
      <x:c r="A313" s="2" t="str">
        <x:v>KWT</x:v>
      </x:c>
      <x:c r="B313" s="2" t="str">
        <x:v>Kuwait (State of)</x:v>
      </x:c>
      <x:c r="C313" s="2" t="n">
        <x:v>2023</x:v>
      </x:c>
      <x:c r="D313" s="2" t="str">
        <x:v>TEMPO_PROXY</x:v>
      </x:c>
      <x:c r="E313" s="17" t="n">
        <x:v>172890363.84898752</x:v>
      </x:c>
      <x:c r="F313" s="17" t="n">
        <x:f>IF(AND(M313,ISNUMBER(R313)),IF(D313="TEMPO_PROXY",R313,IF(AND(ISNUMBER(S313),S313&gt;0,ISNUMBER(U313)),U313*R313/S313,"n.a.")),"n.a.")</x:f>
        <x:v>179904165.87</x:v>
      </x:c>
      <x:c r="G313" s="17" t="n">
        <x:f>IF(AND(ISNUMBER(E313),ISNUMBER(F313)),E313-F313,"n.a.")</x:f>
        <x:v>-7013802.021012485</x:v>
      </x:c>
      <x:c r="H313" s="15" t="n">
        <x:f>IF(AND(ISNUMBER(E313),ISNUMBER(F313),F313&gt;0),(E313-F313)/F313,"n.a.")</x:f>
        <x:v>-0.03898632356340601</x:v>
      </x:c>
      <x:c r="I313" s="19" t="n">
        <x:f>IF(ISNUMBER(H313),ABS(H313),"n.a.")</x:f>
        <x:v>0.03898632356340601</x:v>
      </x:c>
      <x:c r="J313" s="2" t="str">
        <x:v>available</x:v>
      </x:c>
      <x:c r="K313" s="2" t="n">
        <x:v>1</x:v>
      </x:c>
      <x:c r="L313" s="13" t="b">
        <x:v>0</x:v>
      </x:c>
      <x:c r="M313" s="13" t="b">
        <x:v>1</x:v>
      </x:c>
      <x:c r="N313" s="2" t="str">
        <x:v>unused2023converted-source comparator</x:v>
      </x:c>
      <x:c r="O313" s="2" t="str"/>
      <x:c r="P313" s="2" t="str">
        <x:v>assumption-based floor-area proxy</x:v>
      </x:c>
      <x:c r="Q313" s="2" t="str">
        <x:v>m2</x:v>
      </x:c>
      <x:c r="R313" s="17" t="n">
        <x:v>179904165.87</x:v>
      </x:c>
      <x:c r="S313" s="17"/>
      <x:c r="T313" s="18"/>
      <x:c r="U313" s="17" t="n">
        <x:v>155594647.5199998</x:v>
      </x:c>
      <x:c r="V313" s="2" t="str">
        <x:v>existing saved physical-floor-area proxy</x:v>
      </x:c>
      <x:c r="W313" s="2" t="str">
        <x:v>legacy_epoch_source_QA_passed; new_common_native_support_not_certified</x:v>
      </x:c>
      <x:c r="X313" s="2" t="str">
        <x:v>https://arxiv.org/abs/2511.12104</x:v>
      </x:c>
    </x:row>
    <x:row r="314" ht="23" customHeight="1">
      <x:c r="A314" s="2" t="str">
        <x:v>LAO</x:v>
      </x:c>
      <x:c r="B314" s="2" t="str">
        <x:v>Lao People's Democratic Republic</x:v>
      </x:c>
      <x:c r="C314" s="2" t="n">
        <x:v>2023</x:v>
      </x:c>
      <x:c r="D314" s="2" t="str">
        <x:v>TEMPO_PROXY</x:v>
      </x:c>
      <x:c r="E314" s="17" t="n">
        <x:v>364322978.36261857</x:v>
      </x:c>
      <x:c r="F314" s="17" t="n">
        <x:f>IF(AND(M314,ISNUMBER(R314)),IF(D314="TEMPO_PROXY",R314,IF(AND(ISNUMBER(S314),S314&gt;0,ISNUMBER(U314)),U314*R314/S314,"n.a.")),"n.a.")</x:f>
        <x:v>365029982.26</x:v>
      </x:c>
      <x:c r="G314" s="17" t="n">
        <x:f>IF(AND(ISNUMBER(E314),ISNUMBER(F314)),E314-F314,"n.a.")</x:f>
        <x:v>-707003.8973814249</x:v>
      </x:c>
      <x:c r="H314" s="15" t="n">
        <x:f>IF(AND(ISNUMBER(E314),ISNUMBER(F314),F314&gt;0),(E314-F314)/F314,"n.a.")</x:f>
        <x:v>-0.0019368378811082073</x:v>
      </x:c>
      <x:c r="I314" s="19" t="n">
        <x:f>IF(ISNUMBER(H314),ABS(H314),"n.a.")</x:f>
        <x:v>0.0019368378811082073</x:v>
      </x:c>
      <x:c r="J314" s="2" t="str">
        <x:v>available</x:v>
      </x:c>
      <x:c r="K314" s="2" t="n">
        <x:v>1</x:v>
      </x:c>
      <x:c r="L314" s="13" t="b">
        <x:v>0</x:v>
      </x:c>
      <x:c r="M314" s="13" t="b">
        <x:v>1</x:v>
      </x:c>
      <x:c r="N314" s="2" t="str">
        <x:v>unused2023converted-source comparator</x:v>
      </x:c>
      <x:c r="O314" s="2" t="str"/>
      <x:c r="P314" s="2" t="str">
        <x:v>assumption-based floor-area proxy</x:v>
      </x:c>
      <x:c r="Q314" s="2" t="str">
        <x:v>m2</x:v>
      </x:c>
      <x:c r="R314" s="17" t="n">
        <x:v>365029982.26</x:v>
      </x:c>
      <x:c r="S314" s="17"/>
      <x:c r="T314" s="18"/>
      <x:c r="U314" s="17" t="n">
        <x:v>333393295.1899998</x:v>
      </x:c>
      <x:c r="V314" s="2" t="str">
        <x:v>existing saved physical-floor-area proxy</x:v>
      </x:c>
      <x:c r="W314" s="2" t="str">
        <x:v>legacy_epoch_source_QA_passed; new_common_native_support_not_certified</x:v>
      </x:c>
      <x:c r="X314" s="2" t="str">
        <x:v>https://arxiv.org/abs/2511.12104</x:v>
      </x:c>
    </x:row>
    <x:row r="315" ht="23" customHeight="1">
      <x:c r="A315" s="2" t="str">
        <x:v>LBN</x:v>
      </x:c>
      <x:c r="B315" s="2" t="str">
        <x:v>Lebanon (Lebanese Republic)</x:v>
      </x:c>
      <x:c r="C315" s="2" t="n">
        <x:v>2023</x:v>
      </x:c>
      <x:c r="D315" s="2" t="str">
        <x:v>TEMPO_PROXY</x:v>
      </x:c>
      <x:c r="E315" s="17" t="n">
        <x:v>241600565.7920856</x:v>
      </x:c>
      <x:c r="F315" s="17" t="n">
        <x:f>IF(AND(M315,ISNUMBER(R315)),IF(D315="TEMPO_PROXY",R315,IF(AND(ISNUMBER(S315),S315&gt;0,ISNUMBER(U315)),U315*R315/S315,"n.a.")),"n.a.")</x:f>
        <x:v>231797059.14</x:v>
      </x:c>
      <x:c r="G315" s="17" t="n">
        <x:f>IF(AND(ISNUMBER(E315),ISNUMBER(F315)),E315-F315,"n.a.")</x:f>
        <x:v>9803506.652085602</x:v>
      </x:c>
      <x:c r="H315" s="15" t="n">
        <x:f>IF(AND(ISNUMBER(E315),ISNUMBER(F315),F315&gt;0),(E315-F315)/F315,"n.a.")</x:f>
        <x:v>0.04229349021276631</x:v>
      </x:c>
      <x:c r="I315" s="19" t="n">
        <x:f>IF(ISNUMBER(H315),ABS(H315),"n.a.")</x:f>
        <x:v>0.04229349021276631</x:v>
      </x:c>
      <x:c r="J315" s="2" t="str">
        <x:v>available</x:v>
      </x:c>
      <x:c r="K315" s="2" t="n">
        <x:v>1</x:v>
      </x:c>
      <x:c r="L315" s="13" t="b">
        <x:v>0</x:v>
      </x:c>
      <x:c r="M315" s="13" t="b">
        <x:v>1</x:v>
      </x:c>
      <x:c r="N315" s="2" t="str">
        <x:v>unused2023converted-source comparator</x:v>
      </x:c>
      <x:c r="O315" s="2" t="str"/>
      <x:c r="P315" s="2" t="str">
        <x:v>assumption-based floor-area proxy</x:v>
      </x:c>
      <x:c r="Q315" s="2" t="str">
        <x:v>m2</x:v>
      </x:c>
      <x:c r="R315" s="17" t="n">
        <x:v>231797059.14</x:v>
      </x:c>
      <x:c r="S315" s="17"/>
      <x:c r="T315" s="18"/>
      <x:c r="U315" s="17" t="n">
        <x:v>226725070.95000017</x:v>
      </x:c>
      <x:c r="V315" s="2" t="str">
        <x:v>existing saved physical-floor-area proxy</x:v>
      </x:c>
      <x:c r="W315" s="2" t="str">
        <x:v>legacy_epoch_source_QA_passed; new_common_native_support_not_certified</x:v>
      </x:c>
      <x:c r="X315" s="2" t="str">
        <x:v>https://arxiv.org/abs/2511.12104</x:v>
      </x:c>
    </x:row>
    <x:row r="316" ht="23" customHeight="1">
      <x:c r="A316" s="2" t="str">
        <x:v>LBR</x:v>
      </x:c>
      <x:c r="B316" s="2" t="str">
        <x:v>Liberia (Republic of)</x:v>
      </x:c>
      <x:c r="C316" s="2" t="n">
        <x:v>2023</x:v>
      </x:c>
      <x:c r="D316" s="2" t="str">
        <x:v>TEMPO_PROXY</x:v>
      </x:c>
      <x:c r="E316" s="17" t="n">
        <x:v>104559516.7608036</x:v>
      </x:c>
      <x:c r="F316" s="17" t="n">
        <x:f>IF(AND(M316,ISNUMBER(R316)),IF(D316="TEMPO_PROXY",R316,IF(AND(ISNUMBER(S316),S316&gt;0,ISNUMBER(U316)),U316*R316/S316,"n.a.")),"n.a.")</x:f>
        <x:v>101961024.16</x:v>
      </x:c>
      <x:c r="G316" s="17" t="n">
        <x:f>IF(AND(ISNUMBER(E316),ISNUMBER(F316)),E316-F316,"n.a.")</x:f>
        <x:v>2598492.6008035988</x:v>
      </x:c>
      <x:c r="H316" s="15" t="n">
        <x:f>IF(AND(ISNUMBER(E316),ISNUMBER(F316),F316&gt;0),(E316-F316)/F316,"n.a.")</x:f>
        <x:v>0.02548515594278431</x:v>
      </x:c>
      <x:c r="I316" s="19" t="n">
        <x:f>IF(ISNUMBER(H316),ABS(H316),"n.a.")</x:f>
        <x:v>0.02548515594278431</x:v>
      </x:c>
      <x:c r="J316" s="2" t="str">
        <x:v>available</x:v>
      </x:c>
      <x:c r="K316" s="2" t="n">
        <x:v>1</x:v>
      </x:c>
      <x:c r="L316" s="13" t="b">
        <x:v>0</x:v>
      </x:c>
      <x:c r="M316" s="13" t="b">
        <x:v>1</x:v>
      </x:c>
      <x:c r="N316" s="2" t="str">
        <x:v>unused2023converted-source comparator</x:v>
      </x:c>
      <x:c r="O316" s="2" t="str"/>
      <x:c r="P316" s="2" t="str">
        <x:v>assumption-based floor-area proxy</x:v>
      </x:c>
      <x:c r="Q316" s="2" t="str">
        <x:v>m2</x:v>
      </x:c>
      <x:c r="R316" s="17" t="n">
        <x:v>101961024.16</x:v>
      </x:c>
      <x:c r="S316" s="17"/>
      <x:c r="T316" s="18"/>
      <x:c r="U316" s="17" t="n">
        <x:v>93713430.84000014</x:v>
      </x:c>
      <x:c r="V316" s="2" t="str">
        <x:v>existing saved physical-floor-area proxy</x:v>
      </x:c>
      <x:c r="W316" s="2" t="str">
        <x:v>legacy_epoch_source_QA_passed; new_common_native_support_not_certified</x:v>
      </x:c>
      <x:c r="X316" s="2" t="str">
        <x:v>https://arxiv.org/abs/2511.12104</x:v>
      </x:c>
    </x:row>
    <x:row r="317" ht="23" customHeight="1">
      <x:c r="A317" s="2" t="str">
        <x:v>LBY</x:v>
      </x:c>
      <x:c r="B317" s="2" t="str">
        <x:v>Libya (State of)</x:v>
      </x:c>
      <x:c r="C317" s="2" t="n">
        <x:v>2023</x:v>
      </x:c>
      <x:c r="D317" s="2" t="str">
        <x:v>TEMPO_PROXY</x:v>
      </x:c>
      <x:c r="E317" s="17" t="n">
        <x:v>544069120.243073</x:v>
      </x:c>
      <x:c r="F317" s="17" t="n">
        <x:f>IF(AND(M317,ISNUMBER(R317)),IF(D317="TEMPO_PROXY",R317,IF(AND(ISNUMBER(S317),S317&gt;0,ISNUMBER(U317)),U317*R317/S317,"n.a.")),"n.a.")</x:f>
        <x:v>562082814.83</x:v>
      </x:c>
      <x:c r="G317" s="17" t="n">
        <x:f>IF(AND(ISNUMBER(E317),ISNUMBER(F317)),E317-F317,"n.a.")</x:f>
        <x:v>-18013694.586927056</x:v>
      </x:c>
      <x:c r="H317" s="15" t="n">
        <x:f>IF(AND(ISNUMBER(E317),ISNUMBER(F317),F317&gt;0),(E317-F317)/F317,"n.a.")</x:f>
        <x:v>-0.032048114818054405</x:v>
      </x:c>
      <x:c r="I317" s="19" t="n">
        <x:f>IF(ISNUMBER(H317),ABS(H317),"n.a.")</x:f>
        <x:v>0.032048114818054405</x:v>
      </x:c>
      <x:c r="J317" s="2" t="str">
        <x:v>available</x:v>
      </x:c>
      <x:c r="K317" s="2" t="n">
        <x:v>1</x:v>
      </x:c>
      <x:c r="L317" s="13" t="b">
        <x:v>0</x:v>
      </x:c>
      <x:c r="M317" s="13" t="b">
        <x:v>1</x:v>
      </x:c>
      <x:c r="N317" s="2" t="str">
        <x:v>unused2023converted-source comparator</x:v>
      </x:c>
      <x:c r="O317" s="2" t="str"/>
      <x:c r="P317" s="2" t="str">
        <x:v>assumption-based floor-area proxy</x:v>
      </x:c>
      <x:c r="Q317" s="2" t="str">
        <x:v>m2</x:v>
      </x:c>
      <x:c r="R317" s="17" t="n">
        <x:v>562082814.83</x:v>
      </x:c>
      <x:c r="S317" s="17"/>
      <x:c r="T317" s="18"/>
      <x:c r="U317" s="17" t="n">
        <x:v>523048577.3000005</x:v>
      </x:c>
      <x:c r="V317" s="2" t="str">
        <x:v>existing saved physical-floor-area proxy</x:v>
      </x:c>
      <x:c r="W317" s="2" t="str">
        <x:v>legacy_epoch_source_QA_passed; new_common_native_support_not_certified</x:v>
      </x:c>
      <x:c r="X317" s="2" t="str">
        <x:v>https://arxiv.org/abs/2511.12104</x:v>
      </x:c>
    </x:row>
    <x:row r="318" ht="23" customHeight="1">
      <x:c r="A318" s="2" t="str">
        <x:v>LCA</x:v>
      </x:c>
      <x:c r="B318" s="2" t="str">
        <x:v>Saint Lucia</x:v>
      </x:c>
      <x:c r="C318" s="2" t="n">
        <x:v>2023</x:v>
      </x:c>
      <x:c r="D318" s="2" t="str">
        <x:v>TEMPO_PROXY</x:v>
      </x:c>
      <x:c r="E318" s="17" t="n">
        <x:v>10772946.39498207</x:v>
      </x:c>
      <x:c r="F318" s="17" t="n">
        <x:f>IF(AND(M318,ISNUMBER(R318)),IF(D318="TEMPO_PROXY",R318,IF(AND(ISNUMBER(S318),S318&gt;0,ISNUMBER(U318)),U318*R318/S318,"n.a.")),"n.a.")</x:f>
        <x:v>10636385.01</x:v>
      </x:c>
      <x:c r="G318" s="17" t="n">
        <x:f>IF(AND(ISNUMBER(E318),ISNUMBER(F318)),E318-F318,"n.a.")</x:f>
        <x:v>136561.38498206995</x:v>
      </x:c>
      <x:c r="H318" s="15" t="n">
        <x:f>IF(AND(ISNUMBER(E318),ISNUMBER(F318),F318&gt;0),(E318-F318)/F318,"n.a.")</x:f>
        <x:v>0.012839078770999655</x:v>
      </x:c>
      <x:c r="I318" s="19" t="n">
        <x:f>IF(ISNUMBER(H318),ABS(H318),"n.a.")</x:f>
        <x:v>0.012839078770999655</x:v>
      </x:c>
      <x:c r="J318" s="2" t="str">
        <x:v>available</x:v>
      </x:c>
      <x:c r="K318" s="2" t="n">
        <x:v>1</x:v>
      </x:c>
      <x:c r="L318" s="13" t="b">
        <x:v>0</x:v>
      </x:c>
      <x:c r="M318" s="13" t="b">
        <x:v>1</x:v>
      </x:c>
      <x:c r="N318" s="2" t="str">
        <x:v>unused2023converted-source comparator</x:v>
      </x:c>
      <x:c r="O318" s="2" t="str"/>
      <x:c r="P318" s="2" t="str">
        <x:v>assumption-based floor-area proxy</x:v>
      </x:c>
      <x:c r="Q318" s="2" t="str">
        <x:v>m2</x:v>
      </x:c>
      <x:c r="R318" s="17" t="n">
        <x:v>10636385.01</x:v>
      </x:c>
      <x:c r="S318" s="17"/>
      <x:c r="T318" s="18"/>
      <x:c r="U318" s="17" t="n">
        <x:v>10226894.600000018</x:v>
      </x:c>
      <x:c r="V318" s="2" t="str">
        <x:v>existing saved physical-floor-area proxy</x:v>
      </x:c>
      <x:c r="W318" s="2" t="str">
        <x:v>legacy_epoch_source_QA_passed; new_common_native_support_not_certified</x:v>
      </x:c>
      <x:c r="X318" s="2" t="str">
        <x:v>https://arxiv.org/abs/2511.12104</x:v>
      </x:c>
    </x:row>
    <x:row r="319" ht="23" customHeight="1">
      <x:c r="A319" s="2" t="str">
        <x:v>LIE</x:v>
      </x:c>
      <x:c r="B319" s="2" t="str">
        <x:v>Liechtenstein (Principality of)</x:v>
      </x:c>
      <x:c r="C319" s="2" t="n">
        <x:v>2023</x:v>
      </x:c>
      <x:c r="D319" s="2" t="str">
        <x:v>TEMPO_PROXY</x:v>
      </x:c>
      <x:c r="E319" s="17" t="n">
        <x:v>3982510.1732081324</x:v>
      </x:c>
      <x:c r="F319" s="17" t="n">
        <x:f>IF(AND(M319,ISNUMBER(R319)),IF(D319="TEMPO_PROXY",R319,IF(AND(ISNUMBER(S319),S319&gt;0,ISNUMBER(U319)),U319*R319/S319,"n.a.")),"n.a.")</x:f>
        <x:v>3716915.87</x:v>
      </x:c>
      <x:c r="G319" s="17" t="n">
        <x:f>IF(AND(ISNUMBER(E319),ISNUMBER(F319)),E319-F319,"n.a.")</x:f>
        <x:v>265594.3032081323</x:v>
      </x:c>
      <x:c r="H319" s="15" t="n">
        <x:f>IF(AND(ISNUMBER(E319),ISNUMBER(F319),F319&gt;0),(E319-F319)/F319,"n.a.")</x:f>
        <x:v>0.0714555595276716</x:v>
      </x:c>
      <x:c r="I319" s="19" t="n">
        <x:f>IF(ISNUMBER(H319),ABS(H319),"n.a.")</x:f>
        <x:v>0.0714555595276716</x:v>
      </x:c>
      <x:c r="J319" s="2" t="str">
        <x:v>available</x:v>
      </x:c>
      <x:c r="K319" s="2" t="n">
        <x:v>1</x:v>
      </x:c>
      <x:c r="L319" s="13" t="b">
        <x:v>0</x:v>
      </x:c>
      <x:c r="M319" s="13" t="b">
        <x:v>1</x:v>
      </x:c>
      <x:c r="N319" s="2" t="str">
        <x:v>unused2023converted-source comparator</x:v>
      </x:c>
      <x:c r="O319" s="2" t="str"/>
      <x:c r="P319" s="2" t="str">
        <x:v>assumption-based floor-area proxy</x:v>
      </x:c>
      <x:c r="Q319" s="2" t="str">
        <x:v>m2</x:v>
      </x:c>
      <x:c r="R319" s="17" t="n">
        <x:v>3716915.87</x:v>
      </x:c>
      <x:c r="S319" s="17"/>
      <x:c r="T319" s="18"/>
      <x:c r="U319" s="17" t="n">
        <x:v>3628695.830000003</x:v>
      </x:c>
      <x:c r="V319" s="2" t="str">
        <x:v>existing saved physical-floor-area proxy</x:v>
      </x:c>
      <x:c r="W319" s="2" t="str">
        <x:v>legacy_epoch_source_QA_passed; new_common_native_support_not_certified</x:v>
      </x:c>
      <x:c r="X319" s="2" t="str">
        <x:v>https://arxiv.org/abs/2511.12104</x:v>
      </x:c>
    </x:row>
    <x:row r="320" ht="23" customHeight="1">
      <x:c r="A320" s="2" t="str">
        <x:v>LKA</x:v>
      </x:c>
      <x:c r="B320" s="2" t="str">
        <x:v>Sri Lanka (Democratic Socialist Republic of)</x:v>
      </x:c>
      <x:c r="C320" s="2" t="n">
        <x:v>2023</x:v>
      </x:c>
      <x:c r="D320" s="2" t="str">
        <x:v>TEMPO_PROXY</x:v>
      </x:c>
      <x:c r="E320" s="17" t="n">
        <x:v>963113965.8763132</x:v>
      </x:c>
      <x:c r="F320" s="17" t="n">
        <x:f>IF(AND(M320,ISNUMBER(R320)),IF(D320="TEMPO_PROXY",R320,IF(AND(ISNUMBER(S320),S320&gt;0,ISNUMBER(U320)),U320*R320/S320,"n.a.")),"n.a.")</x:f>
        <x:v>920328044.91</x:v>
      </x:c>
      <x:c r="G320" s="17" t="n">
        <x:f>IF(AND(ISNUMBER(E320),ISNUMBER(F320)),E320-F320,"n.a.")</x:f>
        <x:v>42785920.96631324</x:v>
      </x:c>
      <x:c r="H320" s="15" t="n">
        <x:f>IF(AND(ISNUMBER(E320),ISNUMBER(F320),F320&gt;0),(E320-F320)/F320,"n.a.")</x:f>
        <x:v>0.04648985891818317</x:v>
      </x:c>
      <x:c r="I320" s="19" t="n">
        <x:f>IF(ISNUMBER(H320),ABS(H320),"n.a.")</x:f>
        <x:v>0.04648985891818317</x:v>
      </x:c>
      <x:c r="J320" s="2" t="str">
        <x:v>available</x:v>
      </x:c>
      <x:c r="K320" s="2" t="n">
        <x:v>1</x:v>
      </x:c>
      <x:c r="L320" s="13" t="b">
        <x:v>0</x:v>
      </x:c>
      <x:c r="M320" s="13" t="b">
        <x:v>1</x:v>
      </x:c>
      <x:c r="N320" s="2" t="str">
        <x:v>unused2023converted-source comparator</x:v>
      </x:c>
      <x:c r="O320" s="2" t="str"/>
      <x:c r="P320" s="2" t="str">
        <x:v>assumption-based floor-area proxy</x:v>
      </x:c>
      <x:c r="Q320" s="2" t="str">
        <x:v>m2</x:v>
      </x:c>
      <x:c r="R320" s="17" t="n">
        <x:v>920328044.91</x:v>
      </x:c>
      <x:c r="S320" s="17"/>
      <x:c r="T320" s="18"/>
      <x:c r="U320" s="17" t="n">
        <x:v>899293602.2900008</x:v>
      </x:c>
      <x:c r="V320" s="2" t="str">
        <x:v>existing saved physical-floor-area proxy</x:v>
      </x:c>
      <x:c r="W320" s="2" t="str">
        <x:v>legacy_epoch_source_QA_passed; new_common_native_support_not_certified</x:v>
      </x:c>
      <x:c r="X320" s="2" t="str">
        <x:v>https://arxiv.org/abs/2511.12104</x:v>
      </x:c>
    </x:row>
    <x:row r="321" ht="23" customHeight="1">
      <x:c r="A321" s="2" t="str">
        <x:v>LSO</x:v>
      </x:c>
      <x:c r="B321" s="2" t="str">
        <x:v>Lesotho (Kingdom of)</x:v>
      </x:c>
      <x:c r="C321" s="2" t="n">
        <x:v>2023</x:v>
      </x:c>
      <x:c r="D321" s="2" t="str">
        <x:v>TEMPO_PROXY</x:v>
      </x:c>
      <x:c r="E321" s="17" t="n">
        <x:v>64000772.9998195</x:v>
      </x:c>
      <x:c r="F321" s="17" t="n">
        <x:f>IF(AND(M321,ISNUMBER(R321)),IF(D321="TEMPO_PROXY",R321,IF(AND(ISNUMBER(S321),S321&gt;0,ISNUMBER(U321)),U321*R321/S321,"n.a.")),"n.a.")</x:f>
        <x:v>65893565.87</x:v>
      </x:c>
      <x:c r="G321" s="17" t="n">
        <x:f>IF(AND(ISNUMBER(E321),ISNUMBER(F321)),E321-F321,"n.a.")</x:f>
        <x:v>-1892792.870180495</x:v>
      </x:c>
      <x:c r="H321" s="15" t="n">
        <x:f>IF(AND(ISNUMBER(E321),ISNUMBER(F321),F321&gt;0),(E321-F321)/F321,"n.a.")</x:f>
        <x:v>-0.028725002892008387</x:v>
      </x:c>
      <x:c r="I321" s="19" t="n">
        <x:f>IF(ISNUMBER(H321),ABS(H321),"n.a.")</x:f>
        <x:v>0.028725002892008387</x:v>
      </x:c>
      <x:c r="J321" s="2" t="str">
        <x:v>available</x:v>
      </x:c>
      <x:c r="K321" s="2" t="n">
        <x:v>1</x:v>
      </x:c>
      <x:c r="L321" s="13" t="b">
        <x:v>0</x:v>
      </x:c>
      <x:c r="M321" s="13" t="b">
        <x:v>1</x:v>
      </x:c>
      <x:c r="N321" s="2" t="str">
        <x:v>unused2023converted-source comparator</x:v>
      </x:c>
      <x:c r="O321" s="2" t="str"/>
      <x:c r="P321" s="2" t="str">
        <x:v>assumption-based floor-area proxy</x:v>
      </x:c>
      <x:c r="Q321" s="2" t="str">
        <x:v>m2</x:v>
      </x:c>
      <x:c r="R321" s="17" t="n">
        <x:v>65893565.87</x:v>
      </x:c>
      <x:c r="S321" s="17"/>
      <x:c r="T321" s="18"/>
      <x:c r="U321" s="17" t="n">
        <x:v>60655167.15000007</x:v>
      </x:c>
      <x:c r="V321" s="2" t="str">
        <x:v>existing saved physical-floor-area proxy</x:v>
      </x:c>
      <x:c r="W321" s="2" t="str">
        <x:v>legacy_epoch_source_QA_passed; new_common_native_support_not_certified</x:v>
      </x:c>
      <x:c r="X321" s="2" t="str">
        <x:v>https://arxiv.org/abs/2511.12104</x:v>
      </x:c>
    </x:row>
    <x:row r="322" ht="23" customHeight="1">
      <x:c r="A322" s="2" t="str">
        <x:v>LTU</x:v>
      </x:c>
      <x:c r="B322" s="2" t="str">
        <x:v>Lithuania (Republic of)</x:v>
      </x:c>
      <x:c r="C322" s="2" t="n">
        <x:v>2023</x:v>
      </x:c>
      <x:c r="D322" s="2" t="str">
        <x:v>TEMPO_PROXY</x:v>
      </x:c>
      <x:c r="E322" s="17" t="n">
        <x:v>278050523.1056788</x:v>
      </x:c>
      <x:c r="F322" s="17" t="n">
        <x:f>IF(AND(M322,ISNUMBER(R322)),IF(D322="TEMPO_PROXY",R322,IF(AND(ISNUMBER(S322),S322&gt;0,ISNUMBER(U322)),U322*R322/S322,"n.a.")),"n.a.")</x:f>
        <x:v>283025479.77</x:v>
      </x:c>
      <x:c r="G322" s="17" t="n">
        <x:f>IF(AND(ISNUMBER(E322),ISNUMBER(F322)),E322-F322,"n.a.")</x:f>
        <x:v>-4974956.664321184</x:v>
      </x:c>
      <x:c r="H322" s="15" t="n">
        <x:f>IF(AND(ISNUMBER(E322),ISNUMBER(F322),F322&gt;0),(E322-F322)/F322,"n.a.")</x:f>
        <x:v>-0.017577769564648637</x:v>
      </x:c>
      <x:c r="I322" s="19" t="n">
        <x:f>IF(ISNUMBER(H322),ABS(H322),"n.a.")</x:f>
        <x:v>0.017577769564648637</x:v>
      </x:c>
      <x:c r="J322" s="2" t="str">
        <x:v>available</x:v>
      </x:c>
      <x:c r="K322" s="2" t="n">
        <x:v>1</x:v>
      </x:c>
      <x:c r="L322" s="13" t="b">
        <x:v>0</x:v>
      </x:c>
      <x:c r="M322" s="13" t="b">
        <x:v>1</x:v>
      </x:c>
      <x:c r="N322" s="2" t="str">
        <x:v>unused2023converted-source comparator</x:v>
      </x:c>
      <x:c r="O322" s="2" t="str"/>
      <x:c r="P322" s="2" t="str">
        <x:v>assumption-based floor-area proxy</x:v>
      </x:c>
      <x:c r="Q322" s="2" t="str">
        <x:v>m2</x:v>
      </x:c>
      <x:c r="R322" s="17" t="n">
        <x:v>283025479.77</x:v>
      </x:c>
      <x:c r="S322" s="17"/>
      <x:c r="T322" s="18"/>
      <x:c r="U322" s="17" t="n">
        <x:v>269070067.6199997</x:v>
      </x:c>
      <x:c r="V322" s="2" t="str">
        <x:v>existing saved physical-floor-area proxy</x:v>
      </x:c>
      <x:c r="W322" s="2" t="str">
        <x:v>legacy_epoch_source_QA_passed; new_common_native_support_not_certified</x:v>
      </x:c>
      <x:c r="X322" s="2" t="str">
        <x:v>https://arxiv.org/abs/2511.12104</x:v>
      </x:c>
    </x:row>
    <x:row r="323" ht="23" customHeight="1">
      <x:c r="A323" s="2" t="str">
        <x:v>LUX</x:v>
      </x:c>
      <x:c r="B323" s="2" t="str">
        <x:v>Luxembourg (Grand Duchy of)</x:v>
      </x:c>
      <x:c r="C323" s="2" t="n">
        <x:v>2023</x:v>
      </x:c>
      <x:c r="D323" s="2" t="str">
        <x:v>TEMPO_PROXY</x:v>
      </x:c>
      <x:c r="E323" s="17" t="n">
        <x:v>55006643.51753835</x:v>
      </x:c>
      <x:c r="F323" s="17" t="n">
        <x:f>IF(AND(M323,ISNUMBER(R323)),IF(D323="TEMPO_PROXY",R323,IF(AND(ISNUMBER(S323),S323&gt;0,ISNUMBER(U323)),U323*R323/S323,"n.a.")),"n.a.")</x:f>
        <x:v>51981415.18</x:v>
      </x:c>
      <x:c r="G323" s="17" t="n">
        <x:f>IF(AND(ISNUMBER(E323),ISNUMBER(F323)),E323-F323,"n.a.")</x:f>
        <x:v>3025228.3375383466</x:v>
      </x:c>
      <x:c r="H323" s="15" t="n">
        <x:f>IF(AND(ISNUMBER(E323),ISNUMBER(F323),F323&gt;0),(E323-F323)/F323,"n.a.")</x:f>
        <x:v>0.05819826811299112</x:v>
      </x:c>
      <x:c r="I323" s="19" t="n">
        <x:f>IF(ISNUMBER(H323),ABS(H323),"n.a.")</x:f>
        <x:v>0.05819826811299112</x:v>
      </x:c>
      <x:c r="J323" s="2" t="str">
        <x:v>available</x:v>
      </x:c>
      <x:c r="K323" s="2" t="n">
        <x:v>1</x:v>
      </x:c>
      <x:c r="L323" s="13" t="b">
        <x:v>0</x:v>
      </x:c>
      <x:c r="M323" s="13" t="b">
        <x:v>1</x:v>
      </x:c>
      <x:c r="N323" s="2" t="str">
        <x:v>unused2023converted-source comparator</x:v>
      </x:c>
      <x:c r="O323" s="2" t="str"/>
      <x:c r="P323" s="2" t="str">
        <x:v>assumption-based floor-area proxy</x:v>
      </x:c>
      <x:c r="Q323" s="2" t="str">
        <x:v>m2</x:v>
      </x:c>
      <x:c r="R323" s="17" t="n">
        <x:v>51981415.18</x:v>
      </x:c>
      <x:c r="S323" s="17"/>
      <x:c r="T323" s="18"/>
      <x:c r="U323" s="17" t="n">
        <x:v>49053600.56000002</x:v>
      </x:c>
      <x:c r="V323" s="2" t="str">
        <x:v>existing saved physical-floor-area proxy</x:v>
      </x:c>
      <x:c r="W323" s="2" t="str">
        <x:v>legacy_epoch_source_QA_passed; new_common_native_support_not_certified</x:v>
      </x:c>
      <x:c r="X323" s="2" t="str">
        <x:v>https://arxiv.org/abs/2511.12104</x:v>
      </x:c>
    </x:row>
    <x:row r="324" ht="23" customHeight="1">
      <x:c r="A324" s="2" t="str">
        <x:v>LVA</x:v>
      </x:c>
      <x:c r="B324" s="2" t="str">
        <x:v>Latvia (Republic of)</x:v>
      </x:c>
      <x:c r="C324" s="2" t="n">
        <x:v>2023</x:v>
      </x:c>
      <x:c r="D324" s="2" t="str">
        <x:v>TEMPO_PROXY</x:v>
      </x:c>
      <x:c r="E324" s="17" t="n">
        <x:v>151004680.80462965</x:v>
      </x:c>
      <x:c r="F324" s="17" t="n">
        <x:f>IF(AND(M324,ISNUMBER(R324)),IF(D324="TEMPO_PROXY",R324,IF(AND(ISNUMBER(S324),S324&gt;0,ISNUMBER(U324)),U324*R324/S324,"n.a.")),"n.a.")</x:f>
        <x:v>151349432.85</x:v>
      </x:c>
      <x:c r="G324" s="17" t="n">
        <x:f>IF(AND(ISNUMBER(E324),ISNUMBER(F324)),E324-F324,"n.a.")</x:f>
        <x:v>-344752.04537034035</x:v>
      </x:c>
      <x:c r="H324" s="15" t="n">
        <x:f>IF(AND(ISNUMBER(E324),ISNUMBER(F324),F324&gt;0),(E324-F324)/F324,"n.a.")</x:f>
        <x:v>-0.0022778548877154933</x:v>
      </x:c>
      <x:c r="I324" s="19" t="n">
        <x:f>IF(ISNUMBER(H324),ABS(H324),"n.a.")</x:f>
        <x:v>0.0022778548877154933</x:v>
      </x:c>
      <x:c r="J324" s="2" t="str">
        <x:v>available</x:v>
      </x:c>
      <x:c r="K324" s="2" t="n">
        <x:v>1</x:v>
      </x:c>
      <x:c r="L324" s="13" t="b">
        <x:v>0</x:v>
      </x:c>
      <x:c r="M324" s="13" t="b">
        <x:v>1</x:v>
      </x:c>
      <x:c r="N324" s="2" t="str">
        <x:v>unused2023converted-source comparator</x:v>
      </x:c>
      <x:c r="O324" s="2" t="str"/>
      <x:c r="P324" s="2" t="str">
        <x:v>assumption-based floor-area proxy</x:v>
      </x:c>
      <x:c r="Q324" s="2" t="str">
        <x:v>m2</x:v>
      </x:c>
      <x:c r="R324" s="17" t="n">
        <x:v>151349432.85</x:v>
      </x:c>
      <x:c r="S324" s="17"/>
      <x:c r="T324" s="18"/>
      <x:c r="U324" s="17" t="n">
        <x:v>145154805.1899999</x:v>
      </x:c>
      <x:c r="V324" s="2" t="str">
        <x:v>existing saved physical-floor-area proxy</x:v>
      </x:c>
      <x:c r="W324" s="2" t="str">
        <x:v>legacy_epoch_source_QA_passed; new_common_native_support_not_certified</x:v>
      </x:c>
      <x:c r="X324" s="2" t="str">
        <x:v>https://arxiv.org/abs/2511.12104</x:v>
      </x:c>
    </x:row>
    <x:row r="325" ht="23" customHeight="1">
      <x:c r="A325" s="2" t="str">
        <x:v>MAR</x:v>
      </x:c>
      <x:c r="B325" s="2" t="str">
        <x:v>Morocco (Kingdom of)</x:v>
      </x:c>
      <x:c r="C325" s="2" t="n">
        <x:v>2023</x:v>
      </x:c>
      <x:c r="D325" s="2" t="str">
        <x:v>TEMPO_PROXY</x:v>
      </x:c>
      <x:c r="E325" s="17" t="n">
        <x:v>1413637538.0337749</x:v>
      </x:c>
      <x:c r="F325" s="17" t="n">
        <x:f>IF(AND(M325,ISNUMBER(R325)),IF(D325="TEMPO_PROXY",R325,IF(AND(ISNUMBER(S325),S325&gt;0,ISNUMBER(U325)),U325*R325/S325,"n.a.")),"n.a.")</x:f>
        <x:v>1312940653.62</x:v>
      </x:c>
      <x:c r="G325" s="17" t="n">
        <x:f>IF(AND(ISNUMBER(E325),ISNUMBER(F325)),E325-F325,"n.a.")</x:f>
        <x:v>100696884.41377497</x:v>
      </x:c>
      <x:c r="H325" s="15" t="n">
        <x:f>IF(AND(ISNUMBER(E325),ISNUMBER(F325),F325&gt;0),(E325-F325)/F325,"n.a.")</x:f>
        <x:v>0.07669568623390295</x:v>
      </x:c>
      <x:c r="I325" s="19" t="n">
        <x:f>IF(ISNUMBER(H325),ABS(H325),"n.a.")</x:f>
        <x:v>0.07669568623390295</x:v>
      </x:c>
      <x:c r="J325" s="2" t="str">
        <x:v>available</x:v>
      </x:c>
      <x:c r="K325" s="2" t="n">
        <x:v>1</x:v>
      </x:c>
      <x:c r="L325" s="13" t="b">
        <x:v>0</x:v>
      </x:c>
      <x:c r="M325" s="13" t="b">
        <x:v>1</x:v>
      </x:c>
      <x:c r="N325" s="2" t="str">
        <x:v>unused2023converted-source comparator</x:v>
      </x:c>
      <x:c r="O325" s="2" t="str"/>
      <x:c r="P325" s="2" t="str">
        <x:v>assumption-based floor-area proxy</x:v>
      </x:c>
      <x:c r="Q325" s="2" t="str">
        <x:v>m2</x:v>
      </x:c>
      <x:c r="R325" s="17" t="n">
        <x:v>1312940653.62</x:v>
      </x:c>
      <x:c r="S325" s="17"/>
      <x:c r="T325" s="18"/>
      <x:c r="U325" s="17" t="n">
        <x:v>1247018524.7000012</x:v>
      </x:c>
      <x:c r="V325" s="2" t="str">
        <x:v>existing saved physical-floor-area proxy</x:v>
      </x:c>
      <x:c r="W325" s="2" t="str">
        <x:v>legacy_epoch_source_QA_passed; new_common_native_support_not_certified</x:v>
      </x:c>
      <x:c r="X325" s="2" t="str">
        <x:v>https://arxiv.org/abs/2511.12104</x:v>
      </x:c>
    </x:row>
    <x:row r="326" ht="23" customHeight="1">
      <x:c r="A326" s="2" t="str">
        <x:v>MCO</x:v>
      </x:c>
      <x:c r="B326" s="2" t="str">
        <x:v>Monaco (Principality of)</x:v>
      </x:c>
      <x:c r="C326" s="2" t="n">
        <x:v>2023</x:v>
      </x:c>
      <x:c r="D326" s="2" t="str">
        <x:v>TEMPO_PROXY</x:v>
      </x:c>
      <x:c r="E326" s="17" t="n">
        <x:v>1704411.190059275</x:v>
      </x:c>
      <x:c r="F326" s="17" t="n">
        <x:f>IF(AND(M326,ISNUMBER(R326)),IF(D326="TEMPO_PROXY",R326,IF(AND(ISNUMBER(S326),S326&gt;0,ISNUMBER(U326)),U326*R326/S326,"n.a.")),"n.a.")</x:f>
        <x:v>1680821.43</x:v>
      </x:c>
      <x:c r="G326" s="17" t="n">
        <x:f>IF(AND(ISNUMBER(E326),ISNUMBER(F326)),E326-F326,"n.a.")</x:f>
        <x:v>23589.760059274966</x:v>
      </x:c>
      <x:c r="H326" s="15" t="n">
        <x:f>IF(AND(ISNUMBER(E326),ISNUMBER(F326),F326&gt;0),(E326-F326)/F326,"n.a.")</x:f>
        <x:v>0.01403466164711796</x:v>
      </x:c>
      <x:c r="I326" s="19" t="n">
        <x:f>IF(ISNUMBER(H326),ABS(H326),"n.a.")</x:f>
        <x:v>0.01403466164711796</x:v>
      </x:c>
      <x:c r="J326" s="2" t="str">
        <x:v>available</x:v>
      </x:c>
      <x:c r="K326" s="2" t="n">
        <x:v>1</x:v>
      </x:c>
      <x:c r="L326" s="13" t="b">
        <x:v>0</x:v>
      </x:c>
      <x:c r="M326" s="13" t="b">
        <x:v>1</x:v>
      </x:c>
      <x:c r="N326" s="2" t="str">
        <x:v>unused2023converted-source comparator</x:v>
      </x:c>
      <x:c r="O326" s="2" t="str"/>
      <x:c r="P326" s="2" t="str">
        <x:v>assumption-based floor-area proxy</x:v>
      </x:c>
      <x:c r="Q326" s="2" t="str">
        <x:v>m2</x:v>
      </x:c>
      <x:c r="R326" s="17" t="n">
        <x:v>1680821.43</x:v>
      </x:c>
      <x:c r="S326" s="17"/>
      <x:c r="T326" s="18"/>
      <x:c r="U326" s="17" t="n">
        <x:v>1563267.7900000005</x:v>
      </x:c>
      <x:c r="V326" s="2" t="str">
        <x:v>existing saved physical-floor-area proxy</x:v>
      </x:c>
      <x:c r="W326" s="2" t="str">
        <x:v>legacy_epoch_source_QA_passed; new_common_native_support_not_certified</x:v>
      </x:c>
      <x:c r="X326" s="2" t="str">
        <x:v>https://arxiv.org/abs/2511.12104</x:v>
      </x:c>
    </x:row>
    <x:row r="327" ht="23" customHeight="1">
      <x:c r="A327" s="2" t="str">
        <x:v>MDA</x:v>
      </x:c>
      <x:c r="B327" s="2" t="str">
        <x:v>Moldova (Republic of)</x:v>
      </x:c>
      <x:c r="C327" s="2" t="n">
        <x:v>2023</x:v>
      </x:c>
      <x:c r="D327" s="2" t="str">
        <x:v>TEMPO_PROXY</x:v>
      </x:c>
      <x:c r="E327" s="17" t="n">
        <x:v>256986634.83789924</x:v>
      </x:c>
      <x:c r="F327" s="17" t="n">
        <x:f>IF(AND(M327,ISNUMBER(R327)),IF(D327="TEMPO_PROXY",R327,IF(AND(ISNUMBER(S327),S327&gt;0,ISNUMBER(U327)),U327*R327/S327,"n.a.")),"n.a.")</x:f>
        <x:v>263817968.88</x:v>
      </x:c>
      <x:c r="G327" s="17" t="n">
        <x:f>IF(AND(ISNUMBER(E327),ISNUMBER(F327)),E327-F327,"n.a.")</x:f>
        <x:v>-6831334.042100757</x:v>
      </x:c>
      <x:c r="H327" s="15" t="n">
        <x:f>IF(AND(ISNUMBER(E327),ISNUMBER(F327),F327&gt;0),(E327-F327)/F327,"n.a.")</x:f>
        <x:v>-0.025894119612481937</x:v>
      </x:c>
      <x:c r="I327" s="19" t="n">
        <x:f>IF(ISNUMBER(H327),ABS(H327),"n.a.")</x:f>
        <x:v>0.025894119612481937</x:v>
      </x:c>
      <x:c r="J327" s="2" t="str">
        <x:v>available</x:v>
      </x:c>
      <x:c r="K327" s="2" t="n">
        <x:v>1</x:v>
      </x:c>
      <x:c r="L327" s="13" t="b">
        <x:v>0</x:v>
      </x:c>
      <x:c r="M327" s="13" t="b">
        <x:v>1</x:v>
      </x:c>
      <x:c r="N327" s="2" t="str">
        <x:v>unused2023converted-source comparator</x:v>
      </x:c>
      <x:c r="O327" s="2" t="str"/>
      <x:c r="P327" s="2" t="str">
        <x:v>assumption-based floor-area proxy</x:v>
      </x:c>
      <x:c r="Q327" s="2" t="str">
        <x:v>m2</x:v>
      </x:c>
      <x:c r="R327" s="17" t="n">
        <x:v>263817968.88</x:v>
      </x:c>
      <x:c r="S327" s="17"/>
      <x:c r="T327" s="18"/>
      <x:c r="U327" s="17" t="n">
        <x:v>254566854.8299996</x:v>
      </x:c>
      <x:c r="V327" s="2" t="str">
        <x:v>existing saved physical-floor-area proxy</x:v>
      </x:c>
      <x:c r="W327" s="2" t="str">
        <x:v>legacy_epoch_source_QA_passed; new_common_native_support_not_certified</x:v>
      </x:c>
      <x:c r="X327" s="2" t="str">
        <x:v>https://arxiv.org/abs/2511.12104</x:v>
      </x:c>
    </x:row>
    <x:row r="328" ht="23" customHeight="1">
      <x:c r="A328" s="2" t="str">
        <x:v>MDG</x:v>
      </x:c>
      <x:c r="B328" s="2" t="str">
        <x:v>Madagascar (Republic of)</x:v>
      </x:c>
      <x:c r="C328" s="2" t="n">
        <x:v>2023</x:v>
      </x:c>
      <x:c r="D328" s="2" t="str">
        <x:v>TEMPO_PROXY</x:v>
      </x:c>
      <x:c r="E328" s="17" t="n">
        <x:v>409780281.06508857</x:v>
      </x:c>
      <x:c r="F328" s="17" t="n">
        <x:f>IF(AND(M328,ISNUMBER(R328)),IF(D328="TEMPO_PROXY",R328,IF(AND(ISNUMBER(S328),S328&gt;0,ISNUMBER(U328)),U328*R328/S328,"n.a.")),"n.a.")</x:f>
        <x:v>378018463.01</x:v>
      </x:c>
      <x:c r="G328" s="17" t="n">
        <x:f>IF(AND(ISNUMBER(E328),ISNUMBER(F328)),E328-F328,"n.a.")</x:f>
        <x:v>31761818.05508858</x:v>
      </x:c>
      <x:c r="H328" s="15" t="n">
        <x:f>IF(AND(ISNUMBER(E328),ISNUMBER(F328),F328&gt;0),(E328-F328)/F328,"n.a.")</x:f>
        <x:v>0.08402186973139553</x:v>
      </x:c>
      <x:c r="I328" s="19" t="n">
        <x:f>IF(ISNUMBER(H328),ABS(H328),"n.a.")</x:f>
        <x:v>0.08402186973139553</x:v>
      </x:c>
      <x:c r="J328" s="2" t="str">
        <x:v>available</x:v>
      </x:c>
      <x:c r="K328" s="2" t="n">
        <x:v>1</x:v>
      </x:c>
      <x:c r="L328" s="13" t="b">
        <x:v>0</x:v>
      </x:c>
      <x:c r="M328" s="13" t="b">
        <x:v>1</x:v>
      </x:c>
      <x:c r="N328" s="2" t="str">
        <x:v>unused2023converted-source comparator</x:v>
      </x:c>
      <x:c r="O328" s="2" t="str"/>
      <x:c r="P328" s="2" t="str">
        <x:v>assumption-based floor-area proxy</x:v>
      </x:c>
      <x:c r="Q328" s="2" t="str">
        <x:v>m2</x:v>
      </x:c>
      <x:c r="R328" s="17" t="n">
        <x:v>378018463.01</x:v>
      </x:c>
      <x:c r="S328" s="17"/>
      <x:c r="T328" s="18"/>
      <x:c r="U328" s="17" t="n">
        <x:v>360823089.7999994</x:v>
      </x:c>
      <x:c r="V328" s="2" t="str">
        <x:v>existing saved physical-floor-area proxy</x:v>
      </x:c>
      <x:c r="W328" s="2" t="str">
        <x:v>legacy_epoch_source_QA_passed; new_common_native_support_not_certified</x:v>
      </x:c>
      <x:c r="X328" s="2" t="str">
        <x:v>https://arxiv.org/abs/2511.12104</x:v>
      </x:c>
    </x:row>
    <x:row r="329" ht="23" customHeight="1">
      <x:c r="A329" s="2" t="str">
        <x:v>MDV</x:v>
      </x:c>
      <x:c r="B329" s="2" t="str">
        <x:v>Maldives (Republic of)</x:v>
      </x:c>
      <x:c r="C329" s="2" t="n">
        <x:v>2023</x:v>
      </x:c>
      <x:c r="D329" s="2" t="str">
        <x:v>TEMPO_PROXY</x:v>
      </x:c>
      <x:c r="E329" s="17" t="n">
        <x:v>2547252.166048249</x:v>
      </x:c>
      <x:c r="F329" s="17" t="n">
        <x:f>IF(AND(M329,ISNUMBER(R329)),IF(D329="TEMPO_PROXY",R329,IF(AND(ISNUMBER(S329),S329&gt;0,ISNUMBER(U329)),U329*R329/S329,"n.a.")),"n.a.")</x:f>
        <x:v>2297643.44</x:v>
      </x:c>
      <x:c r="G329" s="17" t="n">
        <x:f>IF(AND(ISNUMBER(E329),ISNUMBER(F329)),E329-F329,"n.a.")</x:f>
        <x:v>249608.7260482493</x:v>
      </x:c>
      <x:c r="H329" s="15" t="n">
        <x:f>IF(AND(ISNUMBER(E329),ISNUMBER(F329),F329&gt;0),(E329-F329)/F329,"n.a.")</x:f>
        <x:v>0.10863684142751466</x:v>
      </x:c>
      <x:c r="I329" s="19" t="n">
        <x:f>IF(ISNUMBER(H329),ABS(H329),"n.a.")</x:f>
        <x:v>0.10863684142751466</x:v>
      </x:c>
      <x:c r="J329" s="2" t="str">
        <x:v>available</x:v>
      </x:c>
      <x:c r="K329" s="2" t="n">
        <x:v>1</x:v>
      </x:c>
      <x:c r="L329" s="13" t="b">
        <x:v>0</x:v>
      </x:c>
      <x:c r="M329" s="13" t="b">
        <x:v>1</x:v>
      </x:c>
      <x:c r="N329" s="2" t="str">
        <x:v>unused2023converted-source comparator</x:v>
      </x:c>
      <x:c r="O329" s="2" t="str"/>
      <x:c r="P329" s="2" t="str">
        <x:v>assumption-based floor-area proxy</x:v>
      </x:c>
      <x:c r="Q329" s="2" t="str">
        <x:v>m2</x:v>
      </x:c>
      <x:c r="R329" s="17" t="n">
        <x:v>2297643.44</x:v>
      </x:c>
      <x:c r="S329" s="17"/>
      <x:c r="T329" s="18"/>
      <x:c r="U329" s="17" t="n">
        <x:v>2206666.830000001</x:v>
      </x:c>
      <x:c r="V329" s="2" t="str">
        <x:v>existing saved physical-floor-area proxy</x:v>
      </x:c>
      <x:c r="W329" s="2" t="str">
        <x:v>legacy_epoch_source_QA_passed; new_common_native_support_not_certified</x:v>
      </x:c>
      <x:c r="X329" s="2" t="str">
        <x:v>https://arxiv.org/abs/2511.12104</x:v>
      </x:c>
    </x:row>
    <x:row r="330" ht="23" customHeight="1">
      <x:c r="A330" s="2" t="str">
        <x:v>MEX</x:v>
      </x:c>
      <x:c r="B330" s="2" t="str">
        <x:v>Mexico (United Mexican States)</x:v>
      </x:c>
      <x:c r="C330" s="2" t="n">
        <x:v>2023</x:v>
      </x:c>
      <x:c r="D330" s="2" t="str">
        <x:v>TEMPO_PROXY</x:v>
      </x:c>
      <x:c r="E330" s="17" t="n">
        <x:v>6748020920.092563</x:v>
      </x:c>
      <x:c r="F330" s="17" t="n">
        <x:f>IF(AND(M330,ISNUMBER(R330)),IF(D330="TEMPO_PROXY",R330,IF(AND(ISNUMBER(S330),S330&gt;0,ISNUMBER(U330)),U330*R330/S330,"n.a.")),"n.a.")</x:f>
        <x:v>6761919820.05</x:v>
      </x:c>
      <x:c r="G330" s="17" t="n">
        <x:f>IF(AND(ISNUMBER(E330),ISNUMBER(F330)),E330-F330,"n.a.")</x:f>
        <x:v>-13898899.957437515</x:v>
      </x:c>
      <x:c r="H330" s="15" t="n">
        <x:f>IF(AND(ISNUMBER(E330),ISNUMBER(F330),F330&gt;0),(E330-F330)/F330,"n.a.")</x:f>
        <x:v>-0.0020554665431295727</x:v>
      </x:c>
      <x:c r="I330" s="19" t="n">
        <x:f>IF(ISNUMBER(H330),ABS(H330),"n.a.")</x:f>
        <x:v>0.0020554665431295727</x:v>
      </x:c>
      <x:c r="J330" s="2" t="str">
        <x:v>available</x:v>
      </x:c>
      <x:c r="K330" s="2" t="n">
        <x:v>1</x:v>
      </x:c>
      <x:c r="L330" s="13" t="b">
        <x:v>0</x:v>
      </x:c>
      <x:c r="M330" s="13" t="b">
        <x:v>1</x:v>
      </x:c>
      <x:c r="N330" s="2" t="str">
        <x:v>unused2023converted-source comparator</x:v>
      </x:c>
      <x:c r="O330" s="2" t="str"/>
      <x:c r="P330" s="2" t="str">
        <x:v>assumption-based floor-area proxy</x:v>
      </x:c>
      <x:c r="Q330" s="2" t="str">
        <x:v>m2</x:v>
      </x:c>
      <x:c r="R330" s="17" t="n">
        <x:v>6761919820.05</x:v>
      </x:c>
      <x:c r="S330" s="17"/>
      <x:c r="T330" s="18"/>
      <x:c r="U330" s="17" t="n">
        <x:v>6345872319.039995</x:v>
      </x:c>
      <x:c r="V330" s="2" t="str">
        <x:v>existing saved physical-floor-area proxy</x:v>
      </x:c>
      <x:c r="W330" s="2" t="str">
        <x:v>legacy_epoch_source_QA_passed; new_common_native_support_not_certified</x:v>
      </x:c>
      <x:c r="X330" s="2" t="str">
        <x:v>https://arxiv.org/abs/2511.12104</x:v>
      </x:c>
    </x:row>
    <x:row r="331" ht="23" customHeight="1">
      <x:c r="A331" s="2" t="str">
        <x:v>MHL</x:v>
      </x:c>
      <x:c r="B331" s="2" t="str">
        <x:v>Marshall Islands (Republic of the)</x:v>
      </x:c>
      <x:c r="C331" s="2" t="n">
        <x:v>2023</x:v>
      </x:c>
      <x:c r="D331" s="2" t="str">
        <x:v>TEMPO_PROXY</x:v>
      </x:c>
      <x:c r="E331" s="17" t="n">
        <x:v>200822.6318928674</x:v>
      </x:c>
      <x:c r="F331" s="17" t="n">
        <x:f>IF(AND(M331,ISNUMBER(R331)),IF(D331="TEMPO_PROXY",R331,IF(AND(ISNUMBER(S331),S331&gt;0,ISNUMBER(U331)),U331*R331/S331,"n.a.")),"n.a.")</x:f>
        <x:v>198378.32</x:v>
      </x:c>
      <x:c r="G331" s="17" t="n">
        <x:f>IF(AND(ISNUMBER(E331),ISNUMBER(F331)),E331-F331,"n.a.")</x:f>
        <x:v>2444.3118928673794</x:v>
      </x:c>
      <x:c r="H331" s="15" t="n">
        <x:f>IF(AND(ISNUMBER(E331),ISNUMBER(F331),F331&gt;0),(E331-F331)/F331,"n.a.")</x:f>
        <x:v>0.01232146684611191</x:v>
      </x:c>
      <x:c r="I331" s="19" t="n">
        <x:f>IF(ISNUMBER(H331),ABS(H331),"n.a.")</x:f>
        <x:v>0.01232146684611191</x:v>
      </x:c>
      <x:c r="J331" s="2" t="str">
        <x:v>available</x:v>
      </x:c>
      <x:c r="K331" s="2" t="n">
        <x:v>1</x:v>
      </x:c>
      <x:c r="L331" s="13" t="b">
        <x:v>0</x:v>
      </x:c>
      <x:c r="M331" s="13" t="b">
        <x:v>1</x:v>
      </x:c>
      <x:c r="N331" s="2" t="str">
        <x:v>unused2023converted-source comparator</x:v>
      </x:c>
      <x:c r="O331" s="2" t="str"/>
      <x:c r="P331" s="2" t="str">
        <x:v>assumption-based floor-area proxy</x:v>
      </x:c>
      <x:c r="Q331" s="2" t="str">
        <x:v>m2</x:v>
      </x:c>
      <x:c r="R331" s="17" t="n">
        <x:v>198378.32</x:v>
      </x:c>
      <x:c r="S331" s="17"/>
      <x:c r="T331" s="18"/>
      <x:c r="U331" s="17" t="n">
        <x:v>198896.74</x:v>
      </x:c>
      <x:c r="V331" s="2" t="str">
        <x:v>existing saved physical-floor-area proxy</x:v>
      </x:c>
      <x:c r="W331" s="2" t="str">
        <x:v>legacy_epoch_source_QA_passed; new_common_native_support_not_certified</x:v>
      </x:c>
      <x:c r="X331" s="2" t="str">
        <x:v>https://arxiv.org/abs/2511.12104</x:v>
      </x:c>
    </x:row>
    <x:row r="332" ht="23" customHeight="1">
      <x:c r="A332" s="2" t="str">
        <x:v>MKD</x:v>
      </x:c>
      <x:c r="B332" s="2" t="str">
        <x:v>North Macedonia (Republic of)</x:v>
      </x:c>
      <x:c r="C332" s="2" t="n">
        <x:v>2023</x:v>
      </x:c>
      <x:c r="D332" s="2" t="str">
        <x:v>TEMPO_PROXY</x:v>
      </x:c>
      <x:c r="E332" s="17" t="n">
        <x:v>125152275.58989622</x:v>
      </x:c>
      <x:c r="F332" s="17" t="n">
        <x:f>IF(AND(M332,ISNUMBER(R332)),IF(D332="TEMPO_PROXY",R332,IF(AND(ISNUMBER(S332),S332&gt;0,ISNUMBER(U332)),U332*R332/S332,"n.a.")),"n.a.")</x:f>
        <x:v>129543726.26</x:v>
      </x:c>
      <x:c r="G332" s="17" t="n">
        <x:f>IF(AND(ISNUMBER(E332),ISNUMBER(F332)),E332-F332,"n.a.")</x:f>
        <x:v>-4391450.670103788</x:v>
      </x:c>
      <x:c r="H332" s="15" t="n">
        <x:f>IF(AND(ISNUMBER(E332),ISNUMBER(F332),F332&gt;0),(E332-F332)/F332,"n.a.")</x:f>
        <x:v>-0.03389936971003869</x:v>
      </x:c>
      <x:c r="I332" s="19" t="n">
        <x:f>IF(ISNUMBER(H332),ABS(H332),"n.a.")</x:f>
        <x:v>0.03389936971003869</x:v>
      </x:c>
      <x:c r="J332" s="2" t="str">
        <x:v>available</x:v>
      </x:c>
      <x:c r="K332" s="2" t="n">
        <x:v>1</x:v>
      </x:c>
      <x:c r="L332" s="13" t="b">
        <x:v>0</x:v>
      </x:c>
      <x:c r="M332" s="13" t="b">
        <x:v>1</x:v>
      </x:c>
      <x:c r="N332" s="2" t="str">
        <x:v>unused2023converted-source comparator</x:v>
      </x:c>
      <x:c r="O332" s="2" t="str"/>
      <x:c r="P332" s="2" t="str">
        <x:v>assumption-based floor-area proxy</x:v>
      </x:c>
      <x:c r="Q332" s="2" t="str">
        <x:v>m2</x:v>
      </x:c>
      <x:c r="R332" s="17" t="n">
        <x:v>129543726.26</x:v>
      </x:c>
      <x:c r="S332" s="17"/>
      <x:c r="T332" s="18"/>
      <x:c r="U332" s="17" t="n">
        <x:v>122189801.58999982</x:v>
      </x:c>
      <x:c r="V332" s="2" t="str">
        <x:v>existing saved physical-floor-area proxy</x:v>
      </x:c>
      <x:c r="W332" s="2" t="str">
        <x:v>legacy_epoch_source_QA_passed; new_common_native_support_not_certified</x:v>
      </x:c>
      <x:c r="X332" s="2" t="str">
        <x:v>https://arxiv.org/abs/2511.12104</x:v>
      </x:c>
    </x:row>
    <x:row r="333" ht="23" customHeight="1">
      <x:c r="A333" s="2" t="str">
        <x:v>MLI</x:v>
      </x:c>
      <x:c r="B333" s="2" t="str">
        <x:v>Mali (Republic of)</x:v>
      </x:c>
      <x:c r="C333" s="2" t="n">
        <x:v>2023</x:v>
      </x:c>
      <x:c r="D333" s="2" t="str">
        <x:v>TEMPO_PROXY</x:v>
      </x:c>
      <x:c r="E333" s="17" t="n">
        <x:v>360443344.9314102</x:v>
      </x:c>
      <x:c r="F333" s="17" t="n">
        <x:f>IF(AND(M333,ISNUMBER(R333)),IF(D333="TEMPO_PROXY",R333,IF(AND(ISNUMBER(S333),S333&gt;0,ISNUMBER(U333)),U333*R333/S333,"n.a.")),"n.a.")</x:f>
        <x:v>362765496.2</x:v>
      </x:c>
      <x:c r="G333" s="17" t="n">
        <x:f>IF(AND(ISNUMBER(E333),ISNUMBER(F333)),E333-F333,"n.a.")</x:f>
        <x:v>-2322151.2685897946</x:v>
      </x:c>
      <x:c r="H333" s="15" t="n">
        <x:f>IF(AND(ISNUMBER(E333),ISNUMBER(F333),F333&gt;0),(E333-F333)/F333,"n.a.")</x:f>
        <x:v>-0.006401246240104228</x:v>
      </x:c>
      <x:c r="I333" s="19" t="n">
        <x:f>IF(ISNUMBER(H333),ABS(H333),"n.a.")</x:f>
        <x:v>0.006401246240104228</x:v>
      </x:c>
      <x:c r="J333" s="2" t="str">
        <x:v>available</x:v>
      </x:c>
      <x:c r="K333" s="2" t="n">
        <x:v>1</x:v>
      </x:c>
      <x:c r="L333" s="13" t="b">
        <x:v>0</x:v>
      </x:c>
      <x:c r="M333" s="13" t="b">
        <x:v>1</x:v>
      </x:c>
      <x:c r="N333" s="2" t="str">
        <x:v>unused2023converted-source comparator</x:v>
      </x:c>
      <x:c r="O333" s="2" t="str"/>
      <x:c r="P333" s="2" t="str">
        <x:v>assumption-based floor-area proxy</x:v>
      </x:c>
      <x:c r="Q333" s="2" t="str">
        <x:v>m2</x:v>
      </x:c>
      <x:c r="R333" s="17" t="n">
        <x:v>362765496.2</x:v>
      </x:c>
      <x:c r="S333" s="17"/>
      <x:c r="T333" s="18"/>
      <x:c r="U333" s="17" t="n">
        <x:v>323707340.7500005</x:v>
      </x:c>
      <x:c r="V333" s="2" t="str">
        <x:v>existing saved physical-floor-area proxy</x:v>
      </x:c>
      <x:c r="W333" s="2" t="str">
        <x:v>legacy_epoch_source_QA_passed; new_common_native_support_not_certified</x:v>
      </x:c>
      <x:c r="X333" s="2" t="str">
        <x:v>https://arxiv.org/abs/2511.12104</x:v>
      </x:c>
    </x:row>
    <x:row r="334" ht="23" customHeight="1">
      <x:c r="A334" s="2" t="str">
        <x:v>MLT</x:v>
      </x:c>
      <x:c r="B334" s="2" t="str">
        <x:v>Malta (Republic of)</x:v>
      </x:c>
      <x:c r="C334" s="2" t="n">
        <x:v>2023</x:v>
      </x:c>
      <x:c r="D334" s="2" t="str">
        <x:v>TEMPO_PROXY</x:v>
      </x:c>
      <x:c r="E334" s="17" t="n">
        <x:v>38205817.79602839</x:v>
      </x:c>
      <x:c r="F334" s="17" t="n">
        <x:f>IF(AND(M334,ISNUMBER(R334)),IF(D334="TEMPO_PROXY",R334,IF(AND(ISNUMBER(S334),S334&gt;0,ISNUMBER(U334)),U334*R334/S334,"n.a.")),"n.a.")</x:f>
        <x:v>32991118.92</x:v>
      </x:c>
      <x:c r="G334" s="17" t="n">
        <x:f>IF(AND(ISNUMBER(E334),ISNUMBER(F334)),E334-F334,"n.a.")</x:f>
        <x:v>5214698.876028389</x:v>
      </x:c>
      <x:c r="H334" s="15" t="n">
        <x:f>IF(AND(ISNUMBER(E334),ISNUMBER(F334),F334&gt;0),(E334-F334)/F334,"n.a.")</x:f>
        <x:v>0.15806371674369354</x:v>
      </x:c>
      <x:c r="I334" s="19" t="n">
        <x:f>IF(ISNUMBER(H334),ABS(H334),"n.a.")</x:f>
        <x:v>0.15806371674369354</x:v>
      </x:c>
      <x:c r="J334" s="2" t="str">
        <x:v>available</x:v>
      </x:c>
      <x:c r="K334" s="2" t="n">
        <x:v>1</x:v>
      </x:c>
      <x:c r="L334" s="13" t="b">
        <x:v>0</x:v>
      </x:c>
      <x:c r="M334" s="13" t="b">
        <x:v>1</x:v>
      </x:c>
      <x:c r="N334" s="2" t="str">
        <x:v>unused2023converted-source comparator</x:v>
      </x:c>
      <x:c r="O334" s="2" t="str"/>
      <x:c r="P334" s="2" t="str">
        <x:v>assumption-based floor-area proxy</x:v>
      </x:c>
      <x:c r="Q334" s="2" t="str">
        <x:v>m2</x:v>
      </x:c>
      <x:c r="R334" s="17" t="n">
        <x:v>32991118.92</x:v>
      </x:c>
      <x:c r="S334" s="17"/>
      <x:c r="T334" s="18"/>
      <x:c r="U334" s="17" t="n">
        <x:v>35087387.829999976</x:v>
      </x:c>
      <x:c r="V334" s="2" t="str">
        <x:v>existing saved physical-floor-area proxy</x:v>
      </x:c>
      <x:c r="W334" s="2" t="str">
        <x:v>legacy_epoch_source_QA_passed; new_common_native_support_not_certified</x:v>
      </x:c>
      <x:c r="X334" s="2" t="str">
        <x:v>https://arxiv.org/abs/2511.12104</x:v>
      </x:c>
    </x:row>
    <x:row r="335" ht="23" customHeight="1">
      <x:c r="A335" s="2" t="str">
        <x:v>MMR</x:v>
      </x:c>
      <x:c r="B335" s="2" t="str">
        <x:v>Myanmar (Republic of the Union of)</x:v>
      </x:c>
      <x:c r="C335" s="2" t="n">
        <x:v>2023</x:v>
      </x:c>
      <x:c r="D335" s="2" t="str">
        <x:v>TEMPO_PROXY</x:v>
      </x:c>
      <x:c r="E335" s="17" t="n">
        <x:v>1519827384.5030234</x:v>
      </x:c>
      <x:c r="F335" s="17" t="n">
        <x:f>IF(AND(M335,ISNUMBER(R335)),IF(D335="TEMPO_PROXY",R335,IF(AND(ISNUMBER(S335),S335&gt;0,ISNUMBER(U335)),U335*R335/S335,"n.a.")),"n.a.")</x:f>
        <x:v>1522255806.33</x:v>
      </x:c>
      <x:c r="G335" s="17" t="n">
        <x:f>IF(AND(ISNUMBER(E335),ISNUMBER(F335)),E335-F335,"n.a.")</x:f>
        <x:v>-2428421.8269765377</x:v>
      </x:c>
      <x:c r="H335" s="15" t="n">
        <x:f>IF(AND(ISNUMBER(E335),ISNUMBER(F335),F335&gt;0),(E335-F335)/F335,"n.a.")</x:f>
        <x:v>-0.0015952784130488617</x:v>
      </x:c>
      <x:c r="I335" s="19" t="n">
        <x:f>IF(ISNUMBER(H335),ABS(H335),"n.a.")</x:f>
        <x:v>0.0015952784130488617</x:v>
      </x:c>
      <x:c r="J335" s="2" t="str">
        <x:v>available</x:v>
      </x:c>
      <x:c r="K335" s="2" t="n">
        <x:v>1</x:v>
      </x:c>
      <x:c r="L335" s="13" t="b">
        <x:v>0</x:v>
      </x:c>
      <x:c r="M335" s="13" t="b">
        <x:v>1</x:v>
      </x:c>
      <x:c r="N335" s="2" t="str">
        <x:v>unused2023converted-source comparator</x:v>
      </x:c>
      <x:c r="O335" s="2" t="str"/>
      <x:c r="P335" s="2" t="str">
        <x:v>assumption-based floor-area proxy</x:v>
      </x:c>
      <x:c r="Q335" s="2" t="str">
        <x:v>m2</x:v>
      </x:c>
      <x:c r="R335" s="17" t="n">
        <x:v>1522255806.33</x:v>
      </x:c>
      <x:c r="S335" s="17"/>
      <x:c r="T335" s="18"/>
      <x:c r="U335" s="17" t="n">
        <x:v>1377164281.6799977</x:v>
      </x:c>
      <x:c r="V335" s="2" t="str">
        <x:v>existing saved physical-floor-area proxy</x:v>
      </x:c>
      <x:c r="W335" s="2" t="str">
        <x:v>legacy_epoch_source_QA_passed; new_common_native_support_not_certified</x:v>
      </x:c>
      <x:c r="X335" s="2" t="str">
        <x:v>https://arxiv.org/abs/2511.12104</x:v>
      </x:c>
    </x:row>
    <x:row r="336" ht="23" customHeight="1">
      <x:c r="A336" s="2" t="str">
        <x:v>MNE</x:v>
      </x:c>
      <x:c r="B336" s="2" t="str">
        <x:v>Montenegro</x:v>
      </x:c>
      <x:c r="C336" s="2" t="n">
        <x:v>2023</x:v>
      </x:c>
      <x:c r="D336" s="2" t="str">
        <x:v>TEMPO_PROXY</x:v>
      </x:c>
      <x:c r="E336" s="17" t="n">
        <x:v>42427910.89336175</x:v>
      </x:c>
      <x:c r="F336" s="17" t="n">
        <x:f>IF(AND(M336,ISNUMBER(R336)),IF(D336="TEMPO_PROXY",R336,IF(AND(ISNUMBER(S336),S336&gt;0,ISNUMBER(U336)),U336*R336/S336,"n.a.")),"n.a.")</x:f>
        <x:v>42323390.44</x:v>
      </x:c>
      <x:c r="G336" s="17" t="n">
        <x:f>IF(AND(ISNUMBER(E336),ISNUMBER(F336)),E336-F336,"n.a.")</x:f>
        <x:v>104520.45336174965</x:v>
      </x:c>
      <x:c r="H336" s="15" t="n">
        <x:f>IF(AND(ISNUMBER(E336),ISNUMBER(F336),F336&gt;0),(E336-F336)/F336,"n.a.")</x:f>
        <x:v>0.0024695671182091068</x:v>
      </x:c>
      <x:c r="I336" s="19" t="n">
        <x:f>IF(ISNUMBER(H336),ABS(H336),"n.a.")</x:f>
        <x:v>0.0024695671182091068</x:v>
      </x:c>
      <x:c r="J336" s="2" t="str">
        <x:v>available</x:v>
      </x:c>
      <x:c r="K336" s="2" t="n">
        <x:v>1</x:v>
      </x:c>
      <x:c r="L336" s="13" t="b">
        <x:v>0</x:v>
      </x:c>
      <x:c r="M336" s="13" t="b">
        <x:v>1</x:v>
      </x:c>
      <x:c r="N336" s="2" t="str">
        <x:v>unused2023converted-source comparator</x:v>
      </x:c>
      <x:c r="O336" s="2" t="str"/>
      <x:c r="P336" s="2" t="str">
        <x:v>assumption-based floor-area proxy</x:v>
      </x:c>
      <x:c r="Q336" s="2" t="str">
        <x:v>m2</x:v>
      </x:c>
      <x:c r="R336" s="17" t="n">
        <x:v>42323390.44</x:v>
      </x:c>
      <x:c r="S336" s="17"/>
      <x:c r="T336" s="18"/>
      <x:c r="U336" s="17" t="n">
        <x:v>39447648.85999995</x:v>
      </x:c>
      <x:c r="V336" s="2" t="str">
        <x:v>existing saved physical-floor-area proxy</x:v>
      </x:c>
      <x:c r="W336" s="2" t="str">
        <x:v>legacy_epoch_source_QA_passed; new_common_native_support_not_certified</x:v>
      </x:c>
      <x:c r="X336" s="2" t="str">
        <x:v>https://arxiv.org/abs/2511.12104</x:v>
      </x:c>
    </x:row>
    <x:row r="337" ht="23" customHeight="1">
      <x:c r="A337" s="2" t="str">
        <x:v>MNG</x:v>
      </x:c>
      <x:c r="B337" s="2" t="str">
        <x:v>Mongolia</x:v>
      </x:c>
      <x:c r="C337" s="2" t="n">
        <x:v>2023</x:v>
      </x:c>
      <x:c r="D337" s="2" t="str">
        <x:v>TEMPO_PROXY</x:v>
      </x:c>
      <x:c r="E337" s="17" t="n">
        <x:v>90292994.45228642</x:v>
      </x:c>
      <x:c r="F337" s="17" t="n">
        <x:f>IF(AND(M337,ISNUMBER(R337)),IF(D337="TEMPO_PROXY",R337,IF(AND(ISNUMBER(S337),S337&gt;0,ISNUMBER(U337)),U337*R337/S337,"n.a.")),"n.a.")</x:f>
        <x:v>98082505.33</x:v>
      </x:c>
      <x:c r="G337" s="17" t="n">
        <x:f>IF(AND(ISNUMBER(E337),ISNUMBER(F337)),E337-F337,"n.a.")</x:f>
        <x:v>-7789510.877713576</x:v>
      </x:c>
      <x:c r="H337" s="15" t="n">
        <x:f>IF(AND(ISNUMBER(E337),ISNUMBER(F337),F337&gt;0),(E337-F337)/F337,"n.a.")</x:f>
        <x:v>-0.07941794361293744</x:v>
      </x:c>
      <x:c r="I337" s="19" t="n">
        <x:f>IF(ISNUMBER(H337),ABS(H337),"n.a.")</x:f>
        <x:v>0.07941794361293744</x:v>
      </x:c>
      <x:c r="J337" s="2" t="str">
        <x:v>available</x:v>
      </x:c>
      <x:c r="K337" s="2" t="n">
        <x:v>1</x:v>
      </x:c>
      <x:c r="L337" s="13" t="b">
        <x:v>0</x:v>
      </x:c>
      <x:c r="M337" s="13" t="b">
        <x:v>1</x:v>
      </x:c>
      <x:c r="N337" s="2" t="str">
        <x:v>unused2023converted-source comparator</x:v>
      </x:c>
      <x:c r="O337" s="2" t="str"/>
      <x:c r="P337" s="2" t="str">
        <x:v>assumption-based floor-area proxy</x:v>
      </x:c>
      <x:c r="Q337" s="2" t="str">
        <x:v>m2</x:v>
      </x:c>
      <x:c r="R337" s="17" t="n">
        <x:v>98082505.33</x:v>
      </x:c>
      <x:c r="S337" s="17"/>
      <x:c r="T337" s="18"/>
      <x:c r="U337" s="17" t="n">
        <x:v>83342838.68000013</x:v>
      </x:c>
      <x:c r="V337" s="2" t="str">
        <x:v>existing saved physical-floor-area proxy</x:v>
      </x:c>
      <x:c r="W337" s="2" t="str">
        <x:v>legacy_epoch_source_QA_passed; new_common_native_support_not_certified</x:v>
      </x:c>
      <x:c r="X337" s="2" t="str">
        <x:v>https://arxiv.org/abs/2511.12104</x:v>
      </x:c>
    </x:row>
    <x:row r="338" ht="23" customHeight="1">
      <x:c r="A338" s="2" t="str">
        <x:v>MOZ</x:v>
      </x:c>
      <x:c r="B338" s="2" t="str">
        <x:v>Mozambique (Republic of)</x:v>
      </x:c>
      <x:c r="C338" s="2" t="n">
        <x:v>2023</x:v>
      </x:c>
      <x:c r="D338" s="2" t="str">
        <x:v>TEMPO_PROXY</x:v>
      </x:c>
      <x:c r="E338" s="17" t="n">
        <x:v>593659095.3970346</x:v>
      </x:c>
      <x:c r="F338" s="17" t="n">
        <x:f>IF(AND(M338,ISNUMBER(R338)),IF(D338="TEMPO_PROXY",R338,IF(AND(ISNUMBER(S338),S338&gt;0,ISNUMBER(U338)),U338*R338/S338,"n.a.")),"n.a.")</x:f>
        <x:v>565747554.16</x:v>
      </x:c>
      <x:c r="G338" s="17" t="n">
        <x:f>IF(AND(ISNUMBER(E338),ISNUMBER(F338)),E338-F338,"n.a.")</x:f>
        <x:v>27911541.23703468</x:v>
      </x:c>
      <x:c r="H338" s="15" t="n">
        <x:f>IF(AND(ISNUMBER(E338),ISNUMBER(F338),F338&gt;0),(E338-F338)/F338,"n.a.")</x:f>
        <x:v>0.04933568166896745</x:v>
      </x:c>
      <x:c r="I338" s="19" t="n">
        <x:f>IF(ISNUMBER(H338),ABS(H338),"n.a.")</x:f>
        <x:v>0.04933568166896745</x:v>
      </x:c>
      <x:c r="J338" s="2" t="str">
        <x:v>available</x:v>
      </x:c>
      <x:c r="K338" s="2" t="n">
        <x:v>1</x:v>
      </x:c>
      <x:c r="L338" s="13" t="b">
        <x:v>0</x:v>
      </x:c>
      <x:c r="M338" s="13" t="b">
        <x:v>1</x:v>
      </x:c>
      <x:c r="N338" s="2" t="str">
        <x:v>unused2023converted-source comparator</x:v>
      </x:c>
      <x:c r="O338" s="2" t="str"/>
      <x:c r="P338" s="2" t="str">
        <x:v>assumption-based floor-area proxy</x:v>
      </x:c>
      <x:c r="Q338" s="2" t="str">
        <x:v>m2</x:v>
      </x:c>
      <x:c r="R338" s="17" t="n">
        <x:v>565747554.16</x:v>
      </x:c>
      <x:c r="S338" s="17"/>
      <x:c r="T338" s="18"/>
      <x:c r="U338" s="17" t="n">
        <x:v>540811235.5300008</x:v>
      </x:c>
      <x:c r="V338" s="2" t="str">
        <x:v>existing saved physical-floor-area proxy</x:v>
      </x:c>
      <x:c r="W338" s="2" t="str">
        <x:v>legacy_epoch_source_QA_passed; new_common_native_support_not_certified</x:v>
      </x:c>
      <x:c r="X338" s="2" t="str">
        <x:v>https://arxiv.org/abs/2511.12104</x:v>
      </x:c>
    </x:row>
    <x:row r="339" ht="23" customHeight="1">
      <x:c r="A339" s="2" t="str">
        <x:v>MRT</x:v>
      </x:c>
      <x:c r="B339" s="2" t="str">
        <x:v>Mauritania (Islamic Republic of)</x:v>
      </x:c>
      <x:c r="C339" s="2" t="n">
        <x:v>2023</x:v>
      </x:c>
      <x:c r="D339" s="2" t="str">
        <x:v>TEMPO_PROXY</x:v>
      </x:c>
      <x:c r="E339" s="17" t="n">
        <x:v>108768070.37373576</x:v>
      </x:c>
      <x:c r="F339" s="17" t="n">
        <x:f>IF(AND(M339,ISNUMBER(R339)),IF(D339="TEMPO_PROXY",R339,IF(AND(ISNUMBER(S339),S339&gt;0,ISNUMBER(U339)),U339*R339/S339,"n.a.")),"n.a.")</x:f>
        <x:v>109421965.67</x:v>
      </x:c>
      <x:c r="G339" s="17" t="n">
        <x:f>IF(AND(ISNUMBER(E339),ISNUMBER(F339)),E339-F339,"n.a.")</x:f>
        <x:v>-653895.2962642461</x:v>
      </x:c>
      <x:c r="H339" s="15" t="n">
        <x:f>IF(AND(ISNUMBER(E339),ISNUMBER(F339),F339&gt;0),(E339-F339)/F339,"n.a.")</x:f>
        <x:v>-0.0059759052239684194</x:v>
      </x:c>
      <x:c r="I339" s="19" t="n">
        <x:f>IF(ISNUMBER(H339),ABS(H339),"n.a.")</x:f>
        <x:v>0.0059759052239684194</x:v>
      </x:c>
      <x:c r="J339" s="2" t="str">
        <x:v>available</x:v>
      </x:c>
      <x:c r="K339" s="2" t="n">
        <x:v>1</x:v>
      </x:c>
      <x:c r="L339" s="13" t="b">
        <x:v>0</x:v>
      </x:c>
      <x:c r="M339" s="13" t="b">
        <x:v>1</x:v>
      </x:c>
      <x:c r="N339" s="2" t="str">
        <x:v>unused2023converted-source comparator</x:v>
      </x:c>
      <x:c r="O339" s="2" t="str"/>
      <x:c r="P339" s="2" t="str">
        <x:v>assumption-based floor-area proxy</x:v>
      </x:c>
      <x:c r="Q339" s="2" t="str">
        <x:v>m2</x:v>
      </x:c>
      <x:c r="R339" s="17" t="n">
        <x:v>109421965.67</x:v>
      </x:c>
      <x:c r="S339" s="17"/>
      <x:c r="T339" s="18"/>
      <x:c r="U339" s="17" t="n">
        <x:v>97384454.07000008</x:v>
      </x:c>
      <x:c r="V339" s="2" t="str">
        <x:v>existing saved physical-floor-area proxy</x:v>
      </x:c>
      <x:c r="W339" s="2" t="str">
        <x:v>legacy_epoch_source_QA_passed; new_common_native_support_not_certified</x:v>
      </x:c>
      <x:c r="X339" s="2" t="str">
        <x:v>https://arxiv.org/abs/2511.12104</x:v>
      </x:c>
    </x:row>
    <x:row r="340" ht="23" customHeight="1">
      <x:c r="A340" s="2" t="str">
        <x:v>MUS</x:v>
      </x:c>
      <x:c r="B340" s="2" t="str">
        <x:v>Mauritius (Republic of)</x:v>
      </x:c>
      <x:c r="C340" s="2" t="n">
        <x:v>2023</x:v>
      </x:c>
      <x:c r="D340" s="2" t="str">
        <x:v>TEMPO_PROXY</x:v>
      </x:c>
      <x:c r="E340" s="17" t="n">
        <x:v>68085283.2917745</x:v>
      </x:c>
      <x:c r="F340" s="17" t="n">
        <x:f>IF(AND(M340,ISNUMBER(R340)),IF(D340="TEMPO_PROXY",R340,IF(AND(ISNUMBER(S340),S340&gt;0,ISNUMBER(U340)),U340*R340/S340,"n.a.")),"n.a.")</x:f>
        <x:v>67601899.3</x:v>
      </x:c>
      <x:c r="G340" s="17" t="n">
        <x:f>IF(AND(ISNUMBER(E340),ISNUMBER(F340)),E340-F340,"n.a.")</x:f>
        <x:v>483383.9917744994</x:v>
      </x:c>
      <x:c r="H340" s="15" t="n">
        <x:f>IF(AND(ISNUMBER(E340),ISNUMBER(F340),F340&gt;0),(E340-F340)/F340,"n.a.")</x:f>
        <x:v>0.007150449865755464</x:v>
      </x:c>
      <x:c r="I340" s="19" t="n">
        <x:f>IF(ISNUMBER(H340),ABS(H340),"n.a.")</x:f>
        <x:v>0.007150449865755464</x:v>
      </x:c>
      <x:c r="J340" s="2" t="str">
        <x:v>available</x:v>
      </x:c>
      <x:c r="K340" s="2" t="n">
        <x:v>1</x:v>
      </x:c>
      <x:c r="L340" s="13" t="b">
        <x:v>0</x:v>
      </x:c>
      <x:c r="M340" s="13" t="b">
        <x:v>1</x:v>
      </x:c>
      <x:c r="N340" s="2" t="str">
        <x:v>unused2023converted-source comparator</x:v>
      </x:c>
      <x:c r="O340" s="2" t="str"/>
      <x:c r="P340" s="2" t="str">
        <x:v>assumption-based floor-area proxy</x:v>
      </x:c>
      <x:c r="Q340" s="2" t="str">
        <x:v>m2</x:v>
      </x:c>
      <x:c r="R340" s="17" t="n">
        <x:v>67601899.3</x:v>
      </x:c>
      <x:c r="S340" s="17"/>
      <x:c r="T340" s="18"/>
      <x:c r="U340" s="17" t="n">
        <x:v>65152566.7100001</x:v>
      </x:c>
      <x:c r="V340" s="2" t="str">
        <x:v>existing saved physical-floor-area proxy</x:v>
      </x:c>
      <x:c r="W340" s="2" t="str">
        <x:v>legacy_epoch_source_QA_passed; new_common_native_support_not_certified</x:v>
      </x:c>
      <x:c r="X340" s="2" t="str">
        <x:v>https://arxiv.org/abs/2511.12104</x:v>
      </x:c>
    </x:row>
    <x:row r="341" ht="23" customHeight="1">
      <x:c r="A341" s="2" t="str">
        <x:v>MWI</x:v>
      </x:c>
      <x:c r="B341" s="2" t="str">
        <x:v>Malawi (Republic of)</x:v>
      </x:c>
      <x:c r="C341" s="2" t="n">
        <x:v>2023</x:v>
      </x:c>
      <x:c r="D341" s="2" t="str">
        <x:v>TEMPO_PROXY</x:v>
      </x:c>
      <x:c r="E341" s="17" t="n">
        <x:v>361927943.7362978</x:v>
      </x:c>
      <x:c r="F341" s="17" t="n">
        <x:f>IF(AND(M341,ISNUMBER(R341)),IF(D341="TEMPO_PROXY",R341,IF(AND(ISNUMBER(S341),S341&gt;0,ISNUMBER(U341)),U341*R341/S341,"n.a.")),"n.a.")</x:f>
        <x:v>362398367.11</x:v>
      </x:c>
      <x:c r="G341" s="17" t="n">
        <x:f>IF(AND(ISNUMBER(E341),ISNUMBER(F341)),E341-F341,"n.a.")</x:f>
        <x:v>-470423.37370222807</x:v>
      </x:c>
      <x:c r="H341" s="15" t="n">
        <x:f>IF(AND(ISNUMBER(E341),ISNUMBER(F341),F341&gt;0),(E341-F341)/F341,"n.a.")</x:f>
        <x:v>-0.001298083590866288</x:v>
      </x:c>
      <x:c r="I341" s="19" t="n">
        <x:f>IF(ISNUMBER(H341),ABS(H341),"n.a.")</x:f>
        <x:v>0.001298083590866288</x:v>
      </x:c>
      <x:c r="J341" s="2" t="str">
        <x:v>available</x:v>
      </x:c>
      <x:c r="K341" s="2" t="n">
        <x:v>1</x:v>
      </x:c>
      <x:c r="L341" s="13" t="b">
        <x:v>0</x:v>
      </x:c>
      <x:c r="M341" s="13" t="b">
        <x:v>1</x:v>
      </x:c>
      <x:c r="N341" s="2" t="str">
        <x:v>unused2023converted-source comparator</x:v>
      </x:c>
      <x:c r="O341" s="2" t="str"/>
      <x:c r="P341" s="2" t="str">
        <x:v>assumption-based floor-area proxy</x:v>
      </x:c>
      <x:c r="Q341" s="2" t="str">
        <x:v>m2</x:v>
      </x:c>
      <x:c r="R341" s="17" t="n">
        <x:v>362398367.11</x:v>
      </x:c>
      <x:c r="S341" s="17"/>
      <x:c r="T341" s="18"/>
      <x:c r="U341" s="17" t="n">
        <x:v>330771641.01999974</x:v>
      </x:c>
      <x:c r="V341" s="2" t="str">
        <x:v>existing saved physical-floor-area proxy</x:v>
      </x:c>
      <x:c r="W341" s="2" t="str">
        <x:v>legacy_epoch_source_QA_passed; new_common_native_support_not_certified</x:v>
      </x:c>
      <x:c r="X341" s="2" t="str">
        <x:v>https://arxiv.org/abs/2511.12104</x:v>
      </x:c>
    </x:row>
    <x:row r="342" ht="23" customHeight="1">
      <x:c r="A342" s="2" t="str">
        <x:v>MYS</x:v>
      </x:c>
      <x:c r="B342" s="2" t="str">
        <x:v>Malaysia</x:v>
      </x:c>
      <x:c r="C342" s="2" t="n">
        <x:v>2023</x:v>
      </x:c>
      <x:c r="D342" s="2" t="str">
        <x:v>TEMPO_PROXY</x:v>
      </x:c>
      <x:c r="E342" s="17" t="n">
        <x:v>2240286852.648412</x:v>
      </x:c>
      <x:c r="F342" s="17" t="n">
        <x:f>IF(AND(M342,ISNUMBER(R342)),IF(D342="TEMPO_PROXY",R342,IF(AND(ISNUMBER(S342),S342&gt;0,ISNUMBER(U342)),U342*R342/S342,"n.a.")),"n.a.")</x:f>
        <x:v>2142520176.68</x:v>
      </x:c>
      <x:c r="G342" s="17" t="n">
        <x:f>IF(AND(ISNUMBER(E342),ISNUMBER(F342)),E342-F342,"n.a.")</x:f>
        <x:v>97766675.96841216</x:v>
      </x:c>
      <x:c r="H342" s="15" t="n">
        <x:f>IF(AND(ISNUMBER(E342),ISNUMBER(F342),F342&gt;0),(E342-F342)/F342,"n.a.")</x:f>
        <x:v>0.04563162439847318</x:v>
      </x:c>
      <x:c r="I342" s="19" t="n">
        <x:f>IF(ISNUMBER(H342),ABS(H342),"n.a.")</x:f>
        <x:v>0.04563162439847318</x:v>
      </x:c>
      <x:c r="J342" s="2" t="str">
        <x:v>available</x:v>
      </x:c>
      <x:c r="K342" s="2" t="n">
        <x:v>1</x:v>
      </x:c>
      <x:c r="L342" s="13" t="b">
        <x:v>0</x:v>
      </x:c>
      <x:c r="M342" s="13" t="b">
        <x:v>1</x:v>
      </x:c>
      <x:c r="N342" s="2" t="str">
        <x:v>unused2023converted-source comparator</x:v>
      </x:c>
      <x:c r="O342" s="2" t="str"/>
      <x:c r="P342" s="2" t="str">
        <x:v>assumption-based floor-area proxy</x:v>
      </x:c>
      <x:c r="Q342" s="2" t="str">
        <x:v>m2</x:v>
      </x:c>
      <x:c r="R342" s="17" t="n">
        <x:v>2142520176.68</x:v>
      </x:c>
      <x:c r="S342" s="17"/>
      <x:c r="T342" s="18"/>
      <x:c r="U342" s="17" t="n">
        <x:v>2041076673.6399992</x:v>
      </x:c>
      <x:c r="V342" s="2" t="str">
        <x:v>existing saved physical-floor-area proxy</x:v>
      </x:c>
      <x:c r="W342" s="2" t="str">
        <x:v>legacy_epoch_source_QA_passed; new_common_native_support_not_certified</x:v>
      </x:c>
      <x:c r="X342" s="2" t="str">
        <x:v>https://arxiv.org/abs/2511.12104</x:v>
      </x:c>
    </x:row>
    <x:row r="343" ht="23" customHeight="1">
      <x:c r="A343" s="2" t="str">
        <x:v>NAM</x:v>
      </x:c>
      <x:c r="B343" s="2" t="str">
        <x:v>Namibia (Republic of)</x:v>
      </x:c>
      <x:c r="C343" s="2" t="n">
        <x:v>2023</x:v>
      </x:c>
      <x:c r="D343" s="2" t="str">
        <x:v>TEMPO_PROXY</x:v>
      </x:c>
      <x:c r="E343" s="17" t="n">
        <x:v>121245506.01639862</x:v>
      </x:c>
      <x:c r="F343" s="17" t="n">
        <x:f>IF(AND(M343,ISNUMBER(R343)),IF(D343="TEMPO_PROXY",R343,IF(AND(ISNUMBER(S343),S343&gt;0,ISNUMBER(U343)),U343*R343/S343,"n.a.")),"n.a.")</x:f>
        <x:v>120928610.42</x:v>
      </x:c>
      <x:c r="G343" s="17" t="n">
        <x:f>IF(AND(ISNUMBER(E343),ISNUMBER(F343)),E343-F343,"n.a.")</x:f>
        <x:v>316895.5963986218</x:v>
      </x:c>
      <x:c r="H343" s="15" t="n">
        <x:f>IF(AND(ISNUMBER(E343),ISNUMBER(F343),F343&gt;0),(E343-F343)/F343,"n.a.")</x:f>
        <x:v>0.0026205179675678424</x:v>
      </x:c>
      <x:c r="I343" s="19" t="n">
        <x:f>IF(ISNUMBER(H343),ABS(H343),"n.a.")</x:f>
        <x:v>0.0026205179675678424</x:v>
      </x:c>
      <x:c r="J343" s="2" t="str">
        <x:v>available</x:v>
      </x:c>
      <x:c r="K343" s="2" t="n">
        <x:v>1</x:v>
      </x:c>
      <x:c r="L343" s="13" t="b">
        <x:v>0</x:v>
      </x:c>
      <x:c r="M343" s="13" t="b">
        <x:v>1</x:v>
      </x:c>
      <x:c r="N343" s="2" t="str">
        <x:v>unused2023converted-source comparator</x:v>
      </x:c>
      <x:c r="O343" s="2" t="str"/>
      <x:c r="P343" s="2" t="str">
        <x:v>assumption-based floor-area proxy</x:v>
      </x:c>
      <x:c r="Q343" s="2" t="str">
        <x:v>m2</x:v>
      </x:c>
      <x:c r="R343" s="17" t="n">
        <x:v>120928610.42</x:v>
      </x:c>
      <x:c r="S343" s="17"/>
      <x:c r="T343" s="18"/>
      <x:c r="U343" s="17" t="n">
        <x:v>112405609.30999991</x:v>
      </x:c>
      <x:c r="V343" s="2" t="str">
        <x:v>existing saved physical-floor-area proxy</x:v>
      </x:c>
      <x:c r="W343" s="2" t="str">
        <x:v>legacy_epoch_source_QA_passed; new_common_native_support_not_certified</x:v>
      </x:c>
      <x:c r="X343" s="2" t="str">
        <x:v>https://arxiv.org/abs/2511.12104</x:v>
      </x:c>
    </x:row>
    <x:row r="344" ht="23" customHeight="1">
      <x:c r="A344" s="2" t="str">
        <x:v>NER</x:v>
      </x:c>
      <x:c r="B344" s="2" t="str">
        <x:v>Niger (Republic of the)</x:v>
      </x:c>
      <x:c r="C344" s="2" t="n">
        <x:v>2023</x:v>
      </x:c>
      <x:c r="D344" s="2" t="str">
        <x:v>TEMPO_PROXY</x:v>
      </x:c>
      <x:c r="E344" s="17" t="n">
        <x:v>231892758.99673218</x:v>
      </x:c>
      <x:c r="F344" s="17" t="n">
        <x:f>IF(AND(M344,ISNUMBER(R344)),IF(D344="TEMPO_PROXY",R344,IF(AND(ISNUMBER(S344),S344&gt;0,ISNUMBER(U344)),U344*R344/S344,"n.a.")),"n.a.")</x:f>
        <x:v>212813754.93</x:v>
      </x:c>
      <x:c r="G344" s="17" t="n">
        <x:f>IF(AND(ISNUMBER(E344),ISNUMBER(F344)),E344-F344,"n.a.")</x:f>
        <x:v>19079004.06673217</x:v>
      </x:c>
      <x:c r="H344" s="15" t="n">
        <x:f>IF(AND(ISNUMBER(E344),ISNUMBER(F344),F344&gt;0),(E344-F344)/F344,"n.a.")</x:f>
        <x:v>0.08965117914021935</x:v>
      </x:c>
      <x:c r="I344" s="19" t="n">
        <x:f>IF(ISNUMBER(H344),ABS(H344),"n.a.")</x:f>
        <x:v>0.08965117914021935</x:v>
      </x:c>
      <x:c r="J344" s="2" t="str">
        <x:v>available</x:v>
      </x:c>
      <x:c r="K344" s="2" t="n">
        <x:v>1</x:v>
      </x:c>
      <x:c r="L344" s="13" t="b">
        <x:v>0</x:v>
      </x:c>
      <x:c r="M344" s="13" t="b">
        <x:v>1</x:v>
      </x:c>
      <x:c r="N344" s="2" t="str">
        <x:v>unused2023converted-source comparator</x:v>
      </x:c>
      <x:c r="O344" s="2" t="str"/>
      <x:c r="P344" s="2" t="str">
        <x:v>assumption-based floor-area proxy</x:v>
      </x:c>
      <x:c r="Q344" s="2" t="str">
        <x:v>m2</x:v>
      </x:c>
      <x:c r="R344" s="17" t="n">
        <x:v>212813754.93</x:v>
      </x:c>
      <x:c r="S344" s="17"/>
      <x:c r="T344" s="18"/>
      <x:c r="U344" s="17" t="n">
        <x:v>203236516.4300003</x:v>
      </x:c>
      <x:c r="V344" s="2" t="str">
        <x:v>existing saved physical-floor-area proxy</x:v>
      </x:c>
      <x:c r="W344" s="2" t="str">
        <x:v>legacy_epoch_source_QA_passed; new_common_native_support_not_certified</x:v>
      </x:c>
      <x:c r="X344" s="2" t="str">
        <x:v>https://arxiv.org/abs/2511.12104</x:v>
      </x:c>
    </x:row>
    <x:row r="345" ht="23" customHeight="1">
      <x:c r="A345" s="2" t="str">
        <x:v>NGA</x:v>
      </x:c>
      <x:c r="B345" s="2" t="str">
        <x:v>Nigeria (Federal Republic of)</x:v>
      </x:c>
      <x:c r="C345" s="2" t="n">
        <x:v>2023</x:v>
      </x:c>
      <x:c r="D345" s="2" t="str">
        <x:v>TEMPO_PROXY</x:v>
      </x:c>
      <x:c r="E345" s="17" t="n">
        <x:v>4529091058.902534</x:v>
      </x:c>
      <x:c r="F345" s="17" t="n">
        <x:f>IF(AND(M345,ISNUMBER(R345)),IF(D345="TEMPO_PROXY",R345,IF(AND(ISNUMBER(S345),S345&gt;0,ISNUMBER(U345)),U345*R345/S345,"n.a.")),"n.a.")</x:f>
        <x:v>4405456725.82</x:v>
      </x:c>
      <x:c r="G345" s="17" t="n">
        <x:f>IF(AND(ISNUMBER(E345),ISNUMBER(F345)),E345-F345,"n.a.")</x:f>
        <x:v>123634333.08253384</x:v>
      </x:c>
      <x:c r="H345" s="15" t="n">
        <x:f>IF(AND(ISNUMBER(E345),ISNUMBER(F345),F345&gt;0),(E345-F345)/F345,"n.a.")</x:f>
        <x:v>0.028063908188661515</x:v>
      </x:c>
      <x:c r="I345" s="19" t="n">
        <x:f>IF(ISNUMBER(H345),ABS(H345),"n.a.")</x:f>
        <x:v>0.028063908188661515</x:v>
      </x:c>
      <x:c r="J345" s="2" t="str">
        <x:v>available</x:v>
      </x:c>
      <x:c r="K345" s="2" t="n">
        <x:v>1</x:v>
      </x:c>
      <x:c r="L345" s="13" t="b">
        <x:v>0</x:v>
      </x:c>
      <x:c r="M345" s="13" t="b">
        <x:v>1</x:v>
      </x:c>
      <x:c r="N345" s="2" t="str">
        <x:v>unused2023converted-source comparator</x:v>
      </x:c>
      <x:c r="O345" s="2" t="str"/>
      <x:c r="P345" s="2" t="str">
        <x:v>assumption-based floor-area proxy</x:v>
      </x:c>
      <x:c r="Q345" s="2" t="str">
        <x:v>m2</x:v>
      </x:c>
      <x:c r="R345" s="17" t="n">
        <x:v>4405456725.82</x:v>
      </x:c>
      <x:c r="S345" s="17"/>
      <x:c r="T345" s="18"/>
      <x:c r="U345" s="17" t="n">
        <x:v>4102804870.2700024</x:v>
      </x:c>
      <x:c r="V345" s="2" t="str">
        <x:v>existing saved physical-floor-area proxy</x:v>
      </x:c>
      <x:c r="W345" s="2" t="str">
        <x:v>legacy_epoch_source_QA_passed; new_common_native_support_not_certified</x:v>
      </x:c>
      <x:c r="X345" s="2" t="str">
        <x:v>https://arxiv.org/abs/2511.12104</x:v>
      </x:c>
    </x:row>
    <x:row r="346" ht="23" customHeight="1">
      <x:c r="A346" s="2" t="str">
        <x:v>NIC</x:v>
      </x:c>
      <x:c r="B346" s="2" t="str">
        <x:v>Nicaragua (Republic of)</x:v>
      </x:c>
      <x:c r="C346" s="2" t="n">
        <x:v>2023</x:v>
      </x:c>
      <x:c r="D346" s="2" t="str">
        <x:v>TEMPO_PROXY</x:v>
      </x:c>
      <x:c r="E346" s="17" t="n">
        <x:v>220275456.25770077</x:v>
      </x:c>
      <x:c r="F346" s="17" t="n">
        <x:f>IF(AND(M346,ISNUMBER(R346)),IF(D346="TEMPO_PROXY",R346,IF(AND(ISNUMBER(S346),S346&gt;0,ISNUMBER(U346)),U346*R346/S346,"n.a.")),"n.a.")</x:f>
        <x:v>217312926.14</x:v>
      </x:c>
      <x:c r="G346" s="17" t="n">
        <x:f>IF(AND(ISNUMBER(E346),ISNUMBER(F346)),E346-F346,"n.a.")</x:f>
        <x:v>2962530.1177007854</x:v>
      </x:c>
      <x:c r="H346" s="15" t="n">
        <x:f>IF(AND(ISNUMBER(E346),ISNUMBER(F346),F346&gt;0),(E346-F346)/F346,"n.a.")</x:f>
        <x:v>0.013632553618979058</x:v>
      </x:c>
      <x:c r="I346" s="19" t="n">
        <x:f>IF(ISNUMBER(H346),ABS(H346),"n.a.")</x:f>
        <x:v>0.013632553618979058</x:v>
      </x:c>
      <x:c r="J346" s="2" t="str">
        <x:v>available</x:v>
      </x:c>
      <x:c r="K346" s="2" t="n">
        <x:v>1</x:v>
      </x:c>
      <x:c r="L346" s="13" t="b">
        <x:v>0</x:v>
      </x:c>
      <x:c r="M346" s="13" t="b">
        <x:v>1</x:v>
      </x:c>
      <x:c r="N346" s="2" t="str">
        <x:v>unused2023converted-source comparator</x:v>
      </x:c>
      <x:c r="O346" s="2" t="str"/>
      <x:c r="P346" s="2" t="str">
        <x:v>assumption-based floor-area proxy</x:v>
      </x:c>
      <x:c r="Q346" s="2" t="str">
        <x:v>m2</x:v>
      </x:c>
      <x:c r="R346" s="17" t="n">
        <x:v>217312926.14</x:v>
      </x:c>
      <x:c r="S346" s="17"/>
      <x:c r="T346" s="18"/>
      <x:c r="U346" s="17" t="n">
        <x:v>201940338.64999992</x:v>
      </x:c>
      <x:c r="V346" s="2" t="str">
        <x:v>existing saved physical-floor-area proxy</x:v>
      </x:c>
      <x:c r="W346" s="2" t="str">
        <x:v>legacy_epoch_source_QA_passed; new_common_native_support_not_certified</x:v>
      </x:c>
      <x:c r="X346" s="2" t="str">
        <x:v>https://arxiv.org/abs/2511.12104</x:v>
      </x:c>
    </x:row>
    <x:row r="347" ht="23" customHeight="1">
      <x:c r="A347" s="2" t="str">
        <x:v>NLD</x:v>
      </x:c>
      <x:c r="B347" s="2" t="str">
        <x:v>Netherlands (Kingdom of the)</x:v>
      </x:c>
      <x:c r="C347" s="2" t="n">
        <x:v>2023</x:v>
      </x:c>
      <x:c r="D347" s="2" t="str">
        <x:v>TEMPO_PROXY</x:v>
      </x:c>
      <x:c r="E347" s="17" t="n">
        <x:v>1617809345.5752683</x:v>
      </x:c>
      <x:c r="F347" s="17" t="n">
        <x:f>IF(AND(M347,ISNUMBER(R347)),IF(D347="TEMPO_PROXY",R347,IF(AND(ISNUMBER(S347),S347&gt;0,ISNUMBER(U347)),U347*R347/S347,"n.a.")),"n.a.")</x:f>
        <x:v>1530564080.43</x:v>
      </x:c>
      <x:c r="G347" s="17" t="n">
        <x:f>IF(AND(ISNUMBER(E347),ISNUMBER(F347)),E347-F347,"n.a.")</x:f>
        <x:v>87245265.1452682</x:v>
      </x:c>
      <x:c r="H347" s="15" t="n">
        <x:f>IF(AND(ISNUMBER(E347),ISNUMBER(F347),F347&gt;0),(E347-F347)/F347,"n.a.")</x:f>
        <x:v>0.057002033603687684</x:v>
      </x:c>
      <x:c r="I347" s="19" t="n">
        <x:f>IF(ISNUMBER(H347),ABS(H347),"n.a.")</x:f>
        <x:v>0.057002033603687684</x:v>
      </x:c>
      <x:c r="J347" s="2" t="str">
        <x:v>available</x:v>
      </x:c>
      <x:c r="K347" s="2" t="n">
        <x:v>1</x:v>
      </x:c>
      <x:c r="L347" s="13" t="b">
        <x:v>0</x:v>
      </x:c>
      <x:c r="M347" s="13" t="b">
        <x:v>1</x:v>
      </x:c>
      <x:c r="N347" s="2" t="str">
        <x:v>unused2023converted-source comparator</x:v>
      </x:c>
      <x:c r="O347" s="2" t="str"/>
      <x:c r="P347" s="2" t="str">
        <x:v>assumption-based floor-area proxy</x:v>
      </x:c>
      <x:c r="Q347" s="2" t="str">
        <x:v>m2</x:v>
      </x:c>
      <x:c r="R347" s="17" t="n">
        <x:v>1530564080.43</x:v>
      </x:c>
      <x:c r="S347" s="17"/>
      <x:c r="T347" s="18"/>
      <x:c r="U347" s="17" t="n">
        <x:v>1464947836.6400025</x:v>
      </x:c>
      <x:c r="V347" s="2" t="str">
        <x:v>existing saved physical-floor-area proxy</x:v>
      </x:c>
      <x:c r="W347" s="2" t="str">
        <x:v>legacy_epoch_source_QA_passed; new_common_native_support_not_certified</x:v>
      </x:c>
      <x:c r="X347" s="2" t="str">
        <x:v>https://arxiv.org/abs/2511.12104</x:v>
      </x:c>
    </x:row>
    <x:row r="348" ht="23" customHeight="1">
      <x:c r="A348" s="2" t="str">
        <x:v>NOR</x:v>
      </x:c>
      <x:c r="B348" s="2" t="str">
        <x:v>Norway (Kingdom of)</x:v>
      </x:c>
      <x:c r="C348" s="2" t="n">
        <x:v>2023</x:v>
      </x:c>
      <x:c r="D348" s="2" t="str">
        <x:v>TEMPO_PROXY</x:v>
      </x:c>
      <x:c r="E348" s="17" t="n">
        <x:v>542319411.7409029</x:v>
      </x:c>
      <x:c r="F348" s="17" t="n">
        <x:f>IF(AND(M348,ISNUMBER(R348)),IF(D348="TEMPO_PROXY",R348,IF(AND(ISNUMBER(S348),S348&gt;0,ISNUMBER(U348)),U348*R348/S348,"n.a.")),"n.a.")</x:f>
        <x:v>493284455.97</x:v>
      </x:c>
      <x:c r="G348" s="17" t="n">
        <x:f>IF(AND(ISNUMBER(E348),ISNUMBER(F348)),E348-F348,"n.a.")</x:f>
        <x:v>49034955.77090287</x:v>
      </x:c>
      <x:c r="H348" s="15" t="n">
        <x:f>IF(AND(ISNUMBER(E348),ISNUMBER(F348),F348&gt;0),(E348-F348)/F348,"n.a.")</x:f>
        <x:v>0.09940502924317773</x:v>
      </x:c>
      <x:c r="I348" s="19" t="n">
        <x:f>IF(ISNUMBER(H348),ABS(H348),"n.a.")</x:f>
        <x:v>0.09940502924317773</x:v>
      </x:c>
      <x:c r="J348" s="2" t="str">
        <x:v>available</x:v>
      </x:c>
      <x:c r="K348" s="2" t="n">
        <x:v>1</x:v>
      </x:c>
      <x:c r="L348" s="13" t="b">
        <x:v>0</x:v>
      </x:c>
      <x:c r="M348" s="13" t="b">
        <x:v>1</x:v>
      </x:c>
      <x:c r="N348" s="2" t="str">
        <x:v>unused2023converted-source comparator</x:v>
      </x:c>
      <x:c r="O348" s="2" t="str"/>
      <x:c r="P348" s="2" t="str">
        <x:v>assumption-based floor-area proxy</x:v>
      </x:c>
      <x:c r="Q348" s="2" t="str">
        <x:v>m2</x:v>
      </x:c>
      <x:c r="R348" s="17" t="n">
        <x:v>493284455.97</x:v>
      </x:c>
      <x:c r="S348" s="17"/>
      <x:c r="T348" s="18"/>
      <x:c r="U348" s="17" t="n">
        <x:v>478516256.6100005</x:v>
      </x:c>
      <x:c r="V348" s="2" t="str">
        <x:v>existing saved physical-floor-area proxy</x:v>
      </x:c>
      <x:c r="W348" s="2" t="str">
        <x:v>legacy_epoch_source_QA_passed; new_common_native_support_not_certified</x:v>
      </x:c>
      <x:c r="X348" s="2" t="str">
        <x:v>https://arxiv.org/abs/2511.12104</x:v>
      </x:c>
    </x:row>
    <x:row r="349" ht="23" customHeight="1">
      <x:c r="A349" s="2" t="str">
        <x:v>NPL</x:v>
      </x:c>
      <x:c r="B349" s="2" t="str">
        <x:v>Nepal (Federal Democratic Republic of)</x:v>
      </x:c>
      <x:c r="C349" s="2" t="n">
        <x:v>2023</x:v>
      </x:c>
      <x:c r="D349" s="2" t="str">
        <x:v>TEMPO_PROXY</x:v>
      </x:c>
      <x:c r="E349" s="17" t="n">
        <x:v>707802184.0028585</x:v>
      </x:c>
      <x:c r="F349" s="17" t="n">
        <x:f>IF(AND(M349,ISNUMBER(R349)),IF(D349="TEMPO_PROXY",R349,IF(AND(ISNUMBER(S349),S349&gt;0,ISNUMBER(U349)),U349*R349/S349,"n.a.")),"n.a.")</x:f>
        <x:v>720562916.9</x:v>
      </x:c>
      <x:c r="G349" s="17" t="n">
        <x:f>IF(AND(ISNUMBER(E349),ISNUMBER(F349)),E349-F349,"n.a.")</x:f>
        <x:v>-12760732.897141457</x:v>
      </x:c>
      <x:c r="H349" s="15" t="n">
        <x:f>IF(AND(ISNUMBER(E349),ISNUMBER(F349),F349&gt;0),(E349-F349)/F349,"n.a.")</x:f>
        <x:v>-0.01770939441629966</x:v>
      </x:c>
      <x:c r="I349" s="19" t="n">
        <x:f>IF(ISNUMBER(H349),ABS(H349),"n.a.")</x:f>
        <x:v>0.01770939441629966</x:v>
      </x:c>
      <x:c r="J349" s="2" t="str">
        <x:v>available</x:v>
      </x:c>
      <x:c r="K349" s="2" t="n">
        <x:v>1</x:v>
      </x:c>
      <x:c r="L349" s="13" t="b">
        <x:v>0</x:v>
      </x:c>
      <x:c r="M349" s="13" t="b">
        <x:v>1</x:v>
      </x:c>
      <x:c r="N349" s="2" t="str">
        <x:v>unused2023converted-source comparator</x:v>
      </x:c>
      <x:c r="O349" s="2" t="str"/>
      <x:c r="P349" s="2" t="str">
        <x:v>assumption-based floor-area proxy</x:v>
      </x:c>
      <x:c r="Q349" s="2" t="str">
        <x:v>m2</x:v>
      </x:c>
      <x:c r="R349" s="17" t="n">
        <x:v>720562916.9</x:v>
      </x:c>
      <x:c r="S349" s="17"/>
      <x:c r="T349" s="18"/>
      <x:c r="U349" s="17" t="n">
        <x:v>656084354.4999993</x:v>
      </x:c>
      <x:c r="V349" s="2" t="str">
        <x:v>existing saved physical-floor-area proxy</x:v>
      </x:c>
      <x:c r="W349" s="2" t="str">
        <x:v>legacy_epoch_source_QA_passed; new_common_native_support_not_certified</x:v>
      </x:c>
      <x:c r="X349" s="2" t="str">
        <x:v>https://arxiv.org/abs/2511.12104</x:v>
      </x:c>
    </x:row>
    <x:row r="350" ht="23" customHeight="1">
      <x:c r="A350" s="2" t="str">
        <x:v>NRU</x:v>
      </x:c>
      <x:c r="B350" s="2" t="str">
        <x:v>Nauru (Republic of)</x:v>
      </x:c>
      <x:c r="C350" s="2" t="n">
        <x:v>2023</x:v>
      </x:c>
      <x:c r="D350" s="2" t="str">
        <x:v>TEMPO_PROXY</x:v>
      </x:c>
      <x:c r="E350" s="17" t="n">
        <x:v>445868.28140939225</x:v>
      </x:c>
      <x:c r="F350" s="17" t="n">
        <x:f>IF(AND(M350,ISNUMBER(R350)),IF(D350="TEMPO_PROXY",R350,IF(AND(ISNUMBER(S350),S350&gt;0,ISNUMBER(U350)),U350*R350/S350,"n.a.")),"n.a.")</x:f>
        <x:v>440908.5</x:v>
      </x:c>
      <x:c r="G350" s="17" t="n">
        <x:f>IF(AND(ISNUMBER(E350),ISNUMBER(F350)),E350-F350,"n.a.")</x:f>
        <x:v>4959.78140939225</x:v>
      </x:c>
      <x:c r="H350" s="15" t="n">
        <x:f>IF(AND(ISNUMBER(E350),ISNUMBER(F350),F350&gt;0),(E350-F350)/F350,"n.a.")</x:f>
        <x:v>0.011249003839554579</x:v>
      </x:c>
      <x:c r="I350" s="19" t="n">
        <x:f>IF(ISNUMBER(H350),ABS(H350),"n.a.")</x:f>
        <x:v>0.011249003839554579</x:v>
      </x:c>
      <x:c r="J350" s="2" t="str">
        <x:v>available</x:v>
      </x:c>
      <x:c r="K350" s="2" t="n">
        <x:v>1</x:v>
      </x:c>
      <x:c r="L350" s="13" t="b">
        <x:v>0</x:v>
      </x:c>
      <x:c r="M350" s="13" t="b">
        <x:v>1</x:v>
      </x:c>
      <x:c r="N350" s="2" t="str">
        <x:v>unused2023converted-source comparator</x:v>
      </x:c>
      <x:c r="O350" s="2" t="str"/>
      <x:c r="P350" s="2" t="str">
        <x:v>assumption-based floor-area proxy</x:v>
      </x:c>
      <x:c r="Q350" s="2" t="str">
        <x:v>m2</x:v>
      </x:c>
      <x:c r="R350" s="17" t="n">
        <x:v>440908.5</x:v>
      </x:c>
      <x:c r="S350" s="17"/>
      <x:c r="T350" s="18"/>
      <x:c r="U350" s="17" t="n">
        <x:v>405989.38000000024</x:v>
      </x:c>
      <x:c r="V350" s="2" t="str">
        <x:v>existing saved physical-floor-area proxy</x:v>
      </x:c>
      <x:c r="W350" s="2" t="str">
        <x:v>legacy_epoch_source_QA_passed; new_common_native_support_not_certified</x:v>
      </x:c>
      <x:c r="X350" s="2" t="str">
        <x:v>https://arxiv.org/abs/2511.12104</x:v>
      </x:c>
    </x:row>
    <x:row r="351" ht="23" customHeight="1">
      <x:c r="A351" s="2" t="str">
        <x:v>NZL</x:v>
      </x:c>
      <x:c r="B351" s="2" t="str">
        <x:v>New Zealand</x:v>
      </x:c>
      <x:c r="C351" s="2" t="n">
        <x:v>2023</x:v>
      </x:c>
      <x:c r="D351" s="2" t="str">
        <x:v>TEMPO_PROXY</x:v>
      </x:c>
      <x:c r="E351" s="17" t="n">
        <x:v>569428738.7998221</x:v>
      </x:c>
      <x:c r="F351" s="17" t="n">
        <x:f>IF(AND(M351,ISNUMBER(R351)),IF(D351="TEMPO_PROXY",R351,IF(AND(ISNUMBER(S351),S351&gt;0,ISNUMBER(U351)),U351*R351/S351,"n.a.")),"n.a.")</x:f>
        <x:v>586222189.09</x:v>
      </x:c>
      <x:c r="G351" s="17" t="n">
        <x:f>IF(AND(ISNUMBER(E351),ISNUMBER(F351)),E351-F351,"n.a.")</x:f>
        <x:v>-16793450.29017794</x:v>
      </x:c>
      <x:c r="H351" s="15" t="n">
        <x:f>IF(AND(ISNUMBER(E351),ISNUMBER(F351),F351&gt;0),(E351-F351)/F351,"n.a.")</x:f>
        <x:v>-0.02864690317547792</x:v>
      </x:c>
      <x:c r="I351" s="19" t="n">
        <x:f>IF(ISNUMBER(H351),ABS(H351),"n.a.")</x:f>
        <x:v>0.02864690317547792</x:v>
      </x:c>
      <x:c r="J351" s="2" t="str">
        <x:v>available</x:v>
      </x:c>
      <x:c r="K351" s="2" t="n">
        <x:v>1</x:v>
      </x:c>
      <x:c r="L351" s="13" t="b">
        <x:v>0</x:v>
      </x:c>
      <x:c r="M351" s="13" t="b">
        <x:v>1</x:v>
      </x:c>
      <x:c r="N351" s="2" t="str">
        <x:v>unused2023converted-source comparator</x:v>
      </x:c>
      <x:c r="O351" s="2" t="str"/>
      <x:c r="P351" s="2" t="str">
        <x:v>assumption-based floor-area proxy</x:v>
      </x:c>
      <x:c r="Q351" s="2" t="str">
        <x:v>m2</x:v>
      </x:c>
      <x:c r="R351" s="17" t="n">
        <x:v>586222189.09</x:v>
      </x:c>
      <x:c r="S351" s="17"/>
      <x:c r="T351" s="18"/>
      <x:c r="U351" s="17" t="n">
        <x:v>553529463.7899991</x:v>
      </x:c>
      <x:c r="V351" s="2" t="str">
        <x:v>existing saved physical-floor-area proxy</x:v>
      </x:c>
      <x:c r="W351" s="2" t="str">
        <x:v>legacy_epoch_source_QA_passed; new_common_native_support_not_certified</x:v>
      </x:c>
      <x:c r="X351" s="2" t="str">
        <x:v>https://arxiv.org/abs/2511.12104</x:v>
      </x:c>
    </x:row>
    <x:row r="352" ht="23" customHeight="1">
      <x:c r="A352" s="2" t="str">
        <x:v>OMN</x:v>
      </x:c>
      <x:c r="B352" s="2" t="str">
        <x:v>Oman (Sultanate of)</x:v>
      </x:c>
      <x:c r="C352" s="2" t="n">
        <x:v>2023</x:v>
      </x:c>
      <x:c r="D352" s="2" t="str">
        <x:v>TEMPO_PROXY</x:v>
      </x:c>
      <x:c r="E352" s="17" t="n">
        <x:v>286550123.99235415</x:v>
      </x:c>
      <x:c r="F352" s="17" t="n">
        <x:f>IF(AND(M352,ISNUMBER(R352)),IF(D352="TEMPO_PROXY",R352,IF(AND(ISNUMBER(S352),S352&gt;0,ISNUMBER(U352)),U352*R352/S352,"n.a.")),"n.a.")</x:f>
        <x:v>298636482.92</x:v>
      </x:c>
      <x:c r="G352" s="17" t="n">
        <x:f>IF(AND(ISNUMBER(E352),ISNUMBER(F352)),E352-F352,"n.a.")</x:f>
        <x:v>-12086358.927645862</x:v>
      </x:c>
      <x:c r="H352" s="15" t="n">
        <x:f>IF(AND(ISNUMBER(E352),ISNUMBER(F352),F352&gt;0),(E352-F352)/F352,"n.a.")</x:f>
        <x:v>-0.04047180977176056</x:v>
      </x:c>
      <x:c r="I352" s="19" t="n">
        <x:f>IF(ISNUMBER(H352),ABS(H352),"n.a.")</x:f>
        <x:v>0.04047180977176056</x:v>
      </x:c>
      <x:c r="J352" s="2" t="str">
        <x:v>available</x:v>
      </x:c>
      <x:c r="K352" s="2" t="n">
        <x:v>1</x:v>
      </x:c>
      <x:c r="L352" s="13" t="b">
        <x:v>0</x:v>
      </x:c>
      <x:c r="M352" s="13" t="b">
        <x:v>1</x:v>
      </x:c>
      <x:c r="N352" s="2" t="str">
        <x:v>unused2023converted-source comparator</x:v>
      </x:c>
      <x:c r="O352" s="2" t="str"/>
      <x:c r="P352" s="2" t="str">
        <x:v>assumption-based floor-area proxy</x:v>
      </x:c>
      <x:c r="Q352" s="2" t="str">
        <x:v>m2</x:v>
      </x:c>
      <x:c r="R352" s="17" t="n">
        <x:v>298636482.92</x:v>
      </x:c>
      <x:c r="S352" s="17"/>
      <x:c r="T352" s="18"/>
      <x:c r="U352" s="17" t="n">
        <x:v>262659820.8500002</x:v>
      </x:c>
      <x:c r="V352" s="2" t="str">
        <x:v>existing saved physical-floor-area proxy</x:v>
      </x:c>
      <x:c r="W352" s="2" t="str">
        <x:v>legacy_epoch_source_QA_passed; new_common_native_support_not_certified</x:v>
      </x:c>
      <x:c r="X352" s="2" t="str">
        <x:v>https://arxiv.org/abs/2511.12104</x:v>
      </x:c>
    </x:row>
    <x:row r="353" ht="23" customHeight="1">
      <x:c r="A353" s="2" t="str">
        <x:v>PAK</x:v>
      </x:c>
      <x:c r="B353" s="2" t="str">
        <x:v>Pakistan (Islamic Republic of)</x:v>
      </x:c>
      <x:c r="C353" s="2" t="n">
        <x:v>2023</x:v>
      </x:c>
      <x:c r="D353" s="2" t="str">
        <x:v>TEMPO_PROXY</x:v>
      </x:c>
      <x:c r="E353" s="17" t="n">
        <x:v>4785996828.103547</x:v>
      </x:c>
      <x:c r="F353" s="17" t="n">
        <x:f>IF(AND(M353,ISNUMBER(R353)),IF(D353="TEMPO_PROXY",R353,IF(AND(ISNUMBER(S353),S353&gt;0,ISNUMBER(U353)),U353*R353/S353,"n.a.")),"n.a.")</x:f>
        <x:v>4562318910.21</x:v>
      </x:c>
      <x:c r="G353" s="17" t="n">
        <x:f>IF(AND(ISNUMBER(E353),ISNUMBER(F353)),E353-F353,"n.a.")</x:f>
        <x:v>223677917.89354706</x:v>
      </x:c>
      <x:c r="H353" s="15" t="n">
        <x:f>IF(AND(ISNUMBER(E353),ISNUMBER(F353),F353&gt;0),(E353-F353)/F353,"n.a.")</x:f>
        <x:v>0.0490272430085891</x:v>
      </x:c>
      <x:c r="I353" s="19" t="n">
        <x:f>IF(ISNUMBER(H353),ABS(H353),"n.a.")</x:f>
        <x:v>0.0490272430085891</x:v>
      </x:c>
      <x:c r="J353" s="2" t="str">
        <x:v>available</x:v>
      </x:c>
      <x:c r="K353" s="2" t="n">
        <x:v>1</x:v>
      </x:c>
      <x:c r="L353" s="13" t="b">
        <x:v>0</x:v>
      </x:c>
      <x:c r="M353" s="13" t="b">
        <x:v>1</x:v>
      </x:c>
      <x:c r="N353" s="2" t="str">
        <x:v>unused2023converted-source comparator</x:v>
      </x:c>
      <x:c r="O353" s="2" t="str"/>
      <x:c r="P353" s="2" t="str">
        <x:v>assumption-based floor-area proxy</x:v>
      </x:c>
      <x:c r="Q353" s="2" t="str">
        <x:v>m2</x:v>
      </x:c>
      <x:c r="R353" s="17" t="n">
        <x:v>4562318910.21</x:v>
      </x:c>
      <x:c r="S353" s="17"/>
      <x:c r="T353" s="18"/>
      <x:c r="U353" s="17" t="n">
        <x:v>4301390083.520005</x:v>
      </x:c>
      <x:c r="V353" s="2" t="str">
        <x:v>existing saved physical-floor-area proxy</x:v>
      </x:c>
      <x:c r="W353" s="2" t="str">
        <x:v>legacy_epoch_source_QA_passed; new_common_native_support_not_certified</x:v>
      </x:c>
      <x:c r="X353" s="2" t="str">
        <x:v>https://arxiv.org/abs/2511.12104</x:v>
      </x:c>
    </x:row>
    <x:row r="354" ht="23" customHeight="1">
      <x:c r="A354" s="2" t="str">
        <x:v>PAN</x:v>
      </x:c>
      <x:c r="B354" s="2" t="str">
        <x:v>Panama (Republic of)</x:v>
      </x:c>
      <x:c r="C354" s="2" t="n">
        <x:v>2023</x:v>
      </x:c>
      <x:c r="D354" s="2" t="str">
        <x:v>TEMPO_PROXY</x:v>
      </x:c>
      <x:c r="E354" s="17" t="n">
        <x:v>226443992.67294908</x:v>
      </x:c>
      <x:c r="F354" s="17" t="n">
        <x:f>IF(AND(M354,ISNUMBER(R354)),IF(D354="TEMPO_PROXY",R354,IF(AND(ISNUMBER(S354),S354&gt;0,ISNUMBER(U354)),U354*R354/S354,"n.a.")),"n.a.")</x:f>
        <x:v>222615540.57</x:v>
      </x:c>
      <x:c r="G354" s="17" t="n">
        <x:f>IF(AND(ISNUMBER(E354),ISNUMBER(F354)),E354-F354,"n.a.")</x:f>
        <x:v>3828452.102949083</x:v>
      </x:c>
      <x:c r="H354" s="15" t="n">
        <x:f>IF(AND(ISNUMBER(E354),ISNUMBER(F354),F354&gt;0),(E354-F354)/F354,"n.a.")</x:f>
        <x:v>0.017197595878286186</x:v>
      </x:c>
      <x:c r="I354" s="19" t="n">
        <x:f>IF(ISNUMBER(H354),ABS(H354),"n.a.")</x:f>
        <x:v>0.017197595878286186</x:v>
      </x:c>
      <x:c r="J354" s="2" t="str">
        <x:v>available</x:v>
      </x:c>
      <x:c r="K354" s="2" t="n">
        <x:v>1</x:v>
      </x:c>
      <x:c r="L354" s="13" t="b">
        <x:v>0</x:v>
      </x:c>
      <x:c r="M354" s="13" t="b">
        <x:v>1</x:v>
      </x:c>
      <x:c r="N354" s="2" t="str">
        <x:v>unused2023converted-source comparator</x:v>
      </x:c>
      <x:c r="O354" s="2" t="str"/>
      <x:c r="P354" s="2" t="str">
        <x:v>assumption-based floor-area proxy</x:v>
      </x:c>
      <x:c r="Q354" s="2" t="str">
        <x:v>m2</x:v>
      </x:c>
      <x:c r="R354" s="17" t="n">
        <x:v>222615540.57</x:v>
      </x:c>
      <x:c r="S354" s="17"/>
      <x:c r="T354" s="18"/>
      <x:c r="U354" s="17" t="n">
        <x:v>209722829.7800001</x:v>
      </x:c>
      <x:c r="V354" s="2" t="str">
        <x:v>existing saved physical-floor-area proxy</x:v>
      </x:c>
      <x:c r="W354" s="2" t="str">
        <x:v>legacy_epoch_source_QA_passed; new_common_native_support_not_certified</x:v>
      </x:c>
      <x:c r="X354" s="2" t="str">
        <x:v>https://arxiv.org/abs/2511.12104</x:v>
      </x:c>
    </x:row>
    <x:row r="355" ht="23" customHeight="1">
      <x:c r="A355" s="2" t="str">
        <x:v>PER</x:v>
      </x:c>
      <x:c r="B355" s="2" t="str">
        <x:v>Peru (Republic of)</x:v>
      </x:c>
      <x:c r="C355" s="2" t="n">
        <x:v>2023</x:v>
      </x:c>
      <x:c r="D355" s="2" t="str">
        <x:v>TEMPO_PROXY</x:v>
      </x:c>
      <x:c r="E355" s="17" t="n">
        <x:v>1339638115.2916863</x:v>
      </x:c>
      <x:c r="F355" s="17" t="n">
        <x:f>IF(AND(M355,ISNUMBER(R355)),IF(D355="TEMPO_PROXY",R355,IF(AND(ISNUMBER(S355),S355&gt;0,ISNUMBER(U355)),U355*R355/S355,"n.a.")),"n.a.")</x:f>
        <x:v>1316509778.75</x:v>
      </x:c>
      <x:c r="G355" s="17" t="n">
        <x:f>IF(AND(ISNUMBER(E355),ISNUMBER(F355)),E355-F355,"n.a.")</x:f>
        <x:v>23128336.541686296</x:v>
      </x:c>
      <x:c r="H355" s="15" t="n">
        <x:f>IF(AND(ISNUMBER(E355),ISNUMBER(F355),F355&gt;0),(E355-F355)/F355,"n.a.")</x:f>
        <x:v>0.017567918533538122</x:v>
      </x:c>
      <x:c r="I355" s="19" t="n">
        <x:f>IF(ISNUMBER(H355),ABS(H355),"n.a.")</x:f>
        <x:v>0.017567918533538122</x:v>
      </x:c>
      <x:c r="J355" s="2" t="str">
        <x:v>available</x:v>
      </x:c>
      <x:c r="K355" s="2" t="n">
        <x:v>1</x:v>
      </x:c>
      <x:c r="L355" s="13" t="b">
        <x:v>0</x:v>
      </x:c>
      <x:c r="M355" s="13" t="b">
        <x:v>1</x:v>
      </x:c>
      <x:c r="N355" s="2" t="str">
        <x:v>unused2023converted-source comparator</x:v>
      </x:c>
      <x:c r="O355" s="2" t="str"/>
      <x:c r="P355" s="2" t="str">
        <x:v>assumption-based floor-area proxy</x:v>
      </x:c>
      <x:c r="Q355" s="2" t="str">
        <x:v>m2</x:v>
      </x:c>
      <x:c r="R355" s="17" t="n">
        <x:v>1316509778.75</x:v>
      </x:c>
      <x:c r="S355" s="17"/>
      <x:c r="T355" s="18"/>
      <x:c r="U355" s="17" t="n">
        <x:v>1228349086.860001</x:v>
      </x:c>
      <x:c r="V355" s="2" t="str">
        <x:v>existing saved physical-floor-area proxy</x:v>
      </x:c>
      <x:c r="W355" s="2" t="str">
        <x:v>legacy_epoch_source_QA_passed; new_common_native_support_not_certified</x:v>
      </x:c>
      <x:c r="X355" s="2" t="str">
        <x:v>https://arxiv.org/abs/2511.12104</x:v>
      </x:c>
    </x:row>
    <x:row r="356" ht="23" customHeight="1">
      <x:c r="A356" s="2" t="str">
        <x:v>PHL</x:v>
      </x:c>
      <x:c r="B356" s="2" t="str">
        <x:v>Philippines (Republic of the)</x:v>
      </x:c>
      <x:c r="C356" s="2" t="n">
        <x:v>2023</x:v>
      </x:c>
      <x:c r="D356" s="2" t="str">
        <x:v>TEMPO_PROXY</x:v>
      </x:c>
      <x:c r="E356" s="17" t="n">
        <x:v>2571747623.808842</x:v>
      </x:c>
      <x:c r="F356" s="17" t="n">
        <x:f>IF(AND(M356,ISNUMBER(R356)),IF(D356="TEMPO_PROXY",R356,IF(AND(ISNUMBER(S356),S356&gt;0,ISNUMBER(U356)),U356*R356/S356,"n.a.")),"n.a.")</x:f>
        <x:v>2486971631</x:v>
      </x:c>
      <x:c r="G356" s="17" t="n">
        <x:f>IF(AND(ISNUMBER(E356),ISNUMBER(F356)),E356-F356,"n.a.")</x:f>
        <x:v>84775992.80884218</x:v>
      </x:c>
      <x:c r="H356" s="15" t="n">
        <x:f>IF(AND(ISNUMBER(E356),ISNUMBER(F356),F356&gt;0),(E356-F356)/F356,"n.a.")</x:f>
        <x:v>0.03408804175814187</x:v>
      </x:c>
      <x:c r="I356" s="19" t="n">
        <x:f>IF(ISNUMBER(H356),ABS(H356),"n.a.")</x:f>
        <x:v>0.03408804175814187</x:v>
      </x:c>
      <x:c r="J356" s="2" t="str">
        <x:v>available</x:v>
      </x:c>
      <x:c r="K356" s="2" t="n">
        <x:v>1</x:v>
      </x:c>
      <x:c r="L356" s="13" t="b">
        <x:v>0</x:v>
      </x:c>
      <x:c r="M356" s="13" t="b">
        <x:v>1</x:v>
      </x:c>
      <x:c r="N356" s="2" t="str">
        <x:v>unused2023converted-source comparator</x:v>
      </x:c>
      <x:c r="O356" s="2" t="str"/>
      <x:c r="P356" s="2" t="str">
        <x:v>assumption-based floor-area proxy</x:v>
      </x:c>
      <x:c r="Q356" s="2" t="str">
        <x:v>m2</x:v>
      </x:c>
      <x:c r="R356" s="17" t="n">
        <x:v>2486971631</x:v>
      </x:c>
      <x:c r="S356" s="17"/>
      <x:c r="T356" s="18"/>
      <x:c r="U356" s="17" t="n">
        <x:v>2290609295.400001</x:v>
      </x:c>
      <x:c r="V356" s="2" t="str">
        <x:v>existing saved physical-floor-area proxy</x:v>
      </x:c>
      <x:c r="W356" s="2" t="str">
        <x:v>legacy_epoch_source_QA_passed; new_common_native_support_not_certified</x:v>
      </x:c>
      <x:c r="X356" s="2" t="str">
        <x:v>https://arxiv.org/abs/2511.12104</x:v>
      </x:c>
    </x:row>
    <x:row r="357" ht="23" customHeight="1">
      <x:c r="A357" s="2" t="str">
        <x:v>PLW</x:v>
      </x:c>
      <x:c r="B357" s="2" t="str">
        <x:v>Palau (Republic of)</x:v>
      </x:c>
      <x:c r="C357" s="2" t="n">
        <x:v>2023</x:v>
      </x:c>
      <x:c r="D357" s="2" t="str">
        <x:v>TEMPO_PROXY</x:v>
      </x:c>
      <x:c r="E357" s="17" t="n">
        <x:v>1195201.2782398385</x:v>
      </x:c>
      <x:c r="F357" s="17" t="n">
        <x:f>IF(AND(M357,ISNUMBER(R357)),IF(D357="TEMPO_PROXY",R357,IF(AND(ISNUMBER(S357),S357&gt;0,ISNUMBER(U357)),U357*R357/S357,"n.a.")),"n.a.")</x:f>
        <x:v>1223947.84</x:v>
      </x:c>
      <x:c r="G357" s="17" t="n">
        <x:f>IF(AND(ISNUMBER(E357),ISNUMBER(F357)),E357-F357,"n.a.")</x:f>
        <x:v>-28746.561760161538</x:v>
      </x:c>
      <x:c r="H357" s="15" t="n">
        <x:f>IF(AND(ISNUMBER(E357),ISNUMBER(F357),F357&gt;0),(E357-F357)/F357,"n.a.")</x:f>
        <x:v>-0.023486753945463505</x:v>
      </x:c>
      <x:c r="I357" s="19" t="n">
        <x:f>IF(ISNUMBER(H357),ABS(H357),"n.a.")</x:f>
        <x:v>0.023486753945463505</x:v>
      </x:c>
      <x:c r="J357" s="2" t="str">
        <x:v>available</x:v>
      </x:c>
      <x:c r="K357" s="2" t="n">
        <x:v>1</x:v>
      </x:c>
      <x:c r="L357" s="13" t="b">
        <x:v>0</x:v>
      </x:c>
      <x:c r="M357" s="13" t="b">
        <x:v>1</x:v>
      </x:c>
      <x:c r="N357" s="2" t="str">
        <x:v>unused2023converted-source comparator</x:v>
      </x:c>
      <x:c r="O357" s="2" t="str"/>
      <x:c r="P357" s="2" t="str">
        <x:v>assumption-based floor-area proxy</x:v>
      </x:c>
      <x:c r="Q357" s="2" t="str">
        <x:v>m2</x:v>
      </x:c>
      <x:c r="R357" s="17" t="n">
        <x:v>1223947.84</x:v>
      </x:c>
      <x:c r="S357" s="17"/>
      <x:c r="T357" s="18"/>
      <x:c r="U357" s="17" t="n">
        <x:v>1152226.26</x:v>
      </x:c>
      <x:c r="V357" s="2" t="str">
        <x:v>existing saved physical-floor-area proxy</x:v>
      </x:c>
      <x:c r="W357" s="2" t="str">
        <x:v>legacy_epoch_source_QA_passed; new_common_native_support_not_certified</x:v>
      </x:c>
      <x:c r="X357" s="2" t="str">
        <x:v>https://arxiv.org/abs/2511.12104</x:v>
      </x:c>
    </x:row>
    <x:row r="358" ht="23" customHeight="1">
      <x:c r="A358" s="2" t="str">
        <x:v>PNG</x:v>
      </x:c>
      <x:c r="B358" s="2" t="str">
        <x:v>Papua New Guinea (Independent State of)</x:v>
      </x:c>
      <x:c r="C358" s="2" t="n">
        <x:v>2023</x:v>
      </x:c>
      <x:c r="D358" s="2" t="str">
        <x:v>TEMPO_PROXY</x:v>
      </x:c>
      <x:c r="E358" s="17" t="n">
        <x:v>127622114.45234741</x:v>
      </x:c>
      <x:c r="F358" s="17" t="n">
        <x:f>IF(AND(M358,ISNUMBER(R358)),IF(D358="TEMPO_PROXY",R358,IF(AND(ISNUMBER(S358),S358&gt;0,ISNUMBER(U358)),U358*R358/S358,"n.a.")),"n.a.")</x:f>
        <x:v>111337527.52</x:v>
      </x:c>
      <x:c r="G358" s="17" t="n">
        <x:f>IF(AND(ISNUMBER(E358),ISNUMBER(F358)),E358-F358,"n.a.")</x:f>
        <x:v>16284586.932347417</x:v>
      </x:c>
      <x:c r="H358" s="15" t="n">
        <x:f>IF(AND(ISNUMBER(E358),ISNUMBER(F358),F358&gt;0),(E358-F358)/F358,"n.a.")</x:f>
        <x:v>0.14626323482369546</x:v>
      </x:c>
      <x:c r="I358" s="19" t="n">
        <x:f>IF(ISNUMBER(H358),ABS(H358),"n.a.")</x:f>
        <x:v>0.14626323482369546</x:v>
      </x:c>
      <x:c r="J358" s="2" t="str">
        <x:v>available</x:v>
      </x:c>
      <x:c r="K358" s="2" t="n">
        <x:v>1</x:v>
      </x:c>
      <x:c r="L358" s="13" t="b">
        <x:v>0</x:v>
      </x:c>
      <x:c r="M358" s="13" t="b">
        <x:v>1</x:v>
      </x:c>
      <x:c r="N358" s="2" t="str">
        <x:v>unused2023converted-source comparator</x:v>
      </x:c>
      <x:c r="O358" s="2" t="str"/>
      <x:c r="P358" s="2" t="str">
        <x:v>assumption-based floor-area proxy</x:v>
      </x:c>
      <x:c r="Q358" s="2" t="str">
        <x:v>m2</x:v>
      </x:c>
      <x:c r="R358" s="17" t="n">
        <x:v>111337527.52</x:v>
      </x:c>
      <x:c r="S358" s="17"/>
      <x:c r="T358" s="18"/>
      <x:c r="U358" s="17" t="n">
        <x:v>111325792.03000018</x:v>
      </x:c>
      <x:c r="V358" s="2" t="str">
        <x:v>existing saved physical-floor-area proxy</x:v>
      </x:c>
      <x:c r="W358" s="2" t="str">
        <x:v>legacy_epoch_source_QA_passed; new_common_native_support_not_certified</x:v>
      </x:c>
      <x:c r="X358" s="2" t="str">
        <x:v>https://arxiv.org/abs/2511.12104</x:v>
      </x:c>
    </x:row>
    <x:row r="359" ht="23" customHeight="1">
      <x:c r="A359" s="2" t="str">
        <x:v>POL</x:v>
      </x:c>
      <x:c r="B359" s="2" t="str">
        <x:v>Poland (Republic of)</x:v>
      </x:c>
      <x:c r="C359" s="2" t="n">
        <x:v>2023</x:v>
      </x:c>
      <x:c r="D359" s="2" t="str">
        <x:v>TEMPO_PROXY</x:v>
      </x:c>
      <x:c r="E359" s="17" t="n">
        <x:v>2700645539.672737</x:v>
      </x:c>
      <x:c r="F359" s="17" t="n">
        <x:f>IF(AND(M359,ISNUMBER(R359)),IF(D359="TEMPO_PROXY",R359,IF(AND(ISNUMBER(S359),S359&gt;0,ISNUMBER(U359)),U359*R359/S359,"n.a.")),"n.a.")</x:f>
        <x:v>2780706970.7</x:v>
      </x:c>
      <x:c r="G359" s="17" t="n">
        <x:f>IF(AND(ISNUMBER(E359),ISNUMBER(F359)),E359-F359,"n.a.")</x:f>
        <x:v>-80061431.02726269</x:v>
      </x:c>
      <x:c r="H359" s="15" t="n">
        <x:f>IF(AND(ISNUMBER(E359),ISNUMBER(F359),F359&gt;0),(E359-F359)/F359,"n.a.")</x:f>
        <x:v>-0.028791753993089197</x:v>
      </x:c>
      <x:c r="I359" s="19" t="n">
        <x:f>IF(ISNUMBER(H359),ABS(H359),"n.a.")</x:f>
        <x:v>0.028791753993089197</x:v>
      </x:c>
      <x:c r="J359" s="2" t="str">
        <x:v>available</x:v>
      </x:c>
      <x:c r="K359" s="2" t="n">
        <x:v>1</x:v>
      </x:c>
      <x:c r="L359" s="13" t="b">
        <x:v>0</x:v>
      </x:c>
      <x:c r="M359" s="13" t="b">
        <x:v>1</x:v>
      </x:c>
      <x:c r="N359" s="2" t="str">
        <x:v>unused2023converted-source comparator</x:v>
      </x:c>
      <x:c r="O359" s="2" t="str"/>
      <x:c r="P359" s="2" t="str">
        <x:v>assumption-based floor-area proxy</x:v>
      </x:c>
      <x:c r="Q359" s="2" t="str">
        <x:v>m2</x:v>
      </x:c>
      <x:c r="R359" s="17" t="n">
        <x:v>2780706970.7</x:v>
      </x:c>
      <x:c r="S359" s="17"/>
      <x:c r="T359" s="18"/>
      <x:c r="U359" s="17" t="n">
        <x:v>2573023573.5300016</x:v>
      </x:c>
      <x:c r="V359" s="2" t="str">
        <x:v>existing saved physical-floor-area proxy</x:v>
      </x:c>
      <x:c r="W359" s="2" t="str">
        <x:v>legacy_epoch_source_QA_passed; new_common_native_support_not_certified</x:v>
      </x:c>
      <x:c r="X359" s="2" t="str">
        <x:v>https://arxiv.org/abs/2511.12104</x:v>
      </x:c>
    </x:row>
    <x:row r="360" ht="23" customHeight="1">
      <x:c r="A360" s="2" t="str">
        <x:v>PRK</x:v>
      </x:c>
      <x:c r="B360" s="2" t="str">
        <x:v>Korea (Democratic People's Republic of)</x:v>
      </x:c>
      <x:c r="C360" s="2" t="n">
        <x:v>2023</x:v>
      </x:c>
      <x:c r="D360" s="2" t="str">
        <x:v>TEMPO_PROXY</x:v>
      </x:c>
      <x:c r="E360" s="17" t="n">
        <x:v>533888370.4753465</x:v>
      </x:c>
      <x:c r="F360" s="17" t="n">
        <x:f>IF(AND(M360,ISNUMBER(R360)),IF(D360="TEMPO_PROXY",R360,IF(AND(ISNUMBER(S360),S360&gt;0,ISNUMBER(U360)),U360*R360/S360,"n.a.")),"n.a.")</x:f>
        <x:v>479546992.76</x:v>
      </x:c>
      <x:c r="G360" s="17" t="n">
        <x:f>IF(AND(ISNUMBER(E360),ISNUMBER(F360)),E360-F360,"n.a.")</x:f>
        <x:v>54341377.715346515</x:v>
      </x:c>
      <x:c r="H360" s="15" t="n">
        <x:f>IF(AND(ISNUMBER(E360),ISNUMBER(F360),F360&gt;0),(E360-F360)/F360,"n.a.")</x:f>
        <x:v>0.11331814928624288</x:v>
      </x:c>
      <x:c r="I360" s="19" t="n">
        <x:f>IF(ISNUMBER(H360),ABS(H360),"n.a.")</x:f>
        <x:v>0.11331814928624288</x:v>
      </x:c>
      <x:c r="J360" s="2" t="str">
        <x:v>available</x:v>
      </x:c>
      <x:c r="K360" s="2" t="n">
        <x:v>1</x:v>
      </x:c>
      <x:c r="L360" s="13" t="b">
        <x:v>0</x:v>
      </x:c>
      <x:c r="M360" s="13" t="b">
        <x:v>1</x:v>
      </x:c>
      <x:c r="N360" s="2" t="str">
        <x:v>unused2023converted-source comparator</x:v>
      </x:c>
      <x:c r="O360" s="2" t="str"/>
      <x:c r="P360" s="2" t="str">
        <x:v>assumption-based floor-area proxy</x:v>
      </x:c>
      <x:c r="Q360" s="2" t="str">
        <x:v>m2</x:v>
      </x:c>
      <x:c r="R360" s="17" t="n">
        <x:v>479546992.76</x:v>
      </x:c>
      <x:c r="S360" s="17"/>
      <x:c r="T360" s="18"/>
      <x:c r="U360" s="17" t="n">
        <x:v>469713807.49000067</x:v>
      </x:c>
      <x:c r="V360" s="2" t="str">
        <x:v>existing saved physical-floor-area proxy</x:v>
      </x:c>
      <x:c r="W360" s="2" t="str">
        <x:v>legacy_epoch_source_QA_passed; new_common_native_support_not_certified</x:v>
      </x:c>
      <x:c r="X360" s="2" t="str">
        <x:v>https://arxiv.org/abs/2511.12104</x:v>
      </x:c>
    </x:row>
    <x:row r="361" ht="23" customHeight="1">
      <x:c r="A361" s="2" t="str">
        <x:v>PRT</x:v>
      </x:c>
      <x:c r="B361" s="2" t="str">
        <x:v>Portugal (Portuguese Republic)</x:v>
      </x:c>
      <x:c r="C361" s="2" t="n">
        <x:v>2023</x:v>
      </x:c>
      <x:c r="D361" s="2" t="str">
        <x:v>TEMPO_PROXY</x:v>
      </x:c>
      <x:c r="E361" s="17" t="n">
        <x:v>1067142948.5214574</x:v>
      </x:c>
      <x:c r="F361" s="17" t="n">
        <x:f>IF(AND(M361,ISNUMBER(R361)),IF(D361="TEMPO_PROXY",R361,IF(AND(ISNUMBER(S361),S361&gt;0,ISNUMBER(U361)),U361*R361/S361,"n.a.")),"n.a.")</x:f>
        <x:v>1065083013.16</x:v>
      </x:c>
      <x:c r="G361" s="17" t="n">
        <x:f>IF(AND(ISNUMBER(E361),ISNUMBER(F361)),E361-F361,"n.a.")</x:f>
        <x:v>2059935.361457467</x:v>
      </x:c>
      <x:c r="H361" s="15" t="n">
        <x:f>IF(AND(ISNUMBER(E361),ISNUMBER(F361),F361&gt;0),(E361-F361)/F361,"n.a.")</x:f>
        <x:v>0.0019340608534782983</x:v>
      </x:c>
      <x:c r="I361" s="19" t="n">
        <x:f>IF(ISNUMBER(H361),ABS(H361),"n.a.")</x:f>
        <x:v>0.0019340608534782983</x:v>
      </x:c>
      <x:c r="J361" s="2" t="str">
        <x:v>available</x:v>
      </x:c>
      <x:c r="K361" s="2" t="n">
        <x:v>1</x:v>
      </x:c>
      <x:c r="L361" s="13" t="b">
        <x:v>0</x:v>
      </x:c>
      <x:c r="M361" s="13" t="b">
        <x:v>1</x:v>
      </x:c>
      <x:c r="N361" s="2" t="str">
        <x:v>unused2023converted-source comparator</x:v>
      </x:c>
      <x:c r="O361" s="2" t="str"/>
      <x:c r="P361" s="2" t="str">
        <x:v>assumption-based floor-area proxy</x:v>
      </x:c>
      <x:c r="Q361" s="2" t="str">
        <x:v>m2</x:v>
      </x:c>
      <x:c r="R361" s="17" t="n">
        <x:v>1065083013.16</x:v>
      </x:c>
      <x:c r="S361" s="17"/>
      <x:c r="T361" s="18"/>
      <x:c r="U361" s="17" t="n">
        <x:v>1019333626.31</x:v>
      </x:c>
      <x:c r="V361" s="2" t="str">
        <x:v>existing saved physical-floor-area proxy</x:v>
      </x:c>
      <x:c r="W361" s="2" t="str">
        <x:v>legacy_epoch_source_QA_passed; new_common_native_support_not_certified</x:v>
      </x:c>
      <x:c r="X361" s="2" t="str">
        <x:v>https://arxiv.org/abs/2511.12104</x:v>
      </x:c>
    </x:row>
    <x:row r="362" ht="23" customHeight="1">
      <x:c r="A362" s="2" t="str">
        <x:v>PRY</x:v>
      </x:c>
      <x:c r="B362" s="2" t="str">
        <x:v>Paraguay (Republic of)</x:v>
      </x:c>
      <x:c r="C362" s="2" t="n">
        <x:v>2023</x:v>
      </x:c>
      <x:c r="D362" s="2" t="str">
        <x:v>TEMPO_PROXY</x:v>
      </x:c>
      <x:c r="E362" s="17" t="n">
        <x:v>360037428.418509</x:v>
      </x:c>
      <x:c r="F362" s="17" t="n">
        <x:f>IF(AND(M362,ISNUMBER(R362)),IF(D362="TEMPO_PROXY",R362,IF(AND(ISNUMBER(S362),S362&gt;0,ISNUMBER(U362)),U362*R362/S362,"n.a.")),"n.a.")</x:f>
        <x:v>370085965.65</x:v>
      </x:c>
      <x:c r="G362" s="17" t="n">
        <x:f>IF(AND(ISNUMBER(E362),ISNUMBER(F362)),E362-F362,"n.a.")</x:f>
        <x:v>-10048537.23149097</x:v>
      </x:c>
      <x:c r="H362" s="15" t="n">
        <x:f>IF(AND(ISNUMBER(E362),ISNUMBER(F362),F362&gt;0),(E362-F362)/F362,"n.a.")</x:f>
        <x:v>-0.02715190027225765</x:v>
      </x:c>
      <x:c r="I362" s="19" t="n">
        <x:f>IF(ISNUMBER(H362),ABS(H362),"n.a.")</x:f>
        <x:v>0.02715190027225765</x:v>
      </x:c>
      <x:c r="J362" s="2" t="str">
        <x:v>available</x:v>
      </x:c>
      <x:c r="K362" s="2" t="n">
        <x:v>1</x:v>
      </x:c>
      <x:c r="L362" s="13" t="b">
        <x:v>0</x:v>
      </x:c>
      <x:c r="M362" s="13" t="b">
        <x:v>1</x:v>
      </x:c>
      <x:c r="N362" s="2" t="str">
        <x:v>unused2023converted-source comparator</x:v>
      </x:c>
      <x:c r="O362" s="2" t="str"/>
      <x:c r="P362" s="2" t="str">
        <x:v>assumption-based floor-area proxy</x:v>
      </x:c>
      <x:c r="Q362" s="2" t="str">
        <x:v>m2</x:v>
      </x:c>
      <x:c r="R362" s="17" t="n">
        <x:v>370085965.65</x:v>
      </x:c>
      <x:c r="S362" s="17"/>
      <x:c r="T362" s="18"/>
      <x:c r="U362" s="17" t="n">
        <x:v>336793873.4500005</x:v>
      </x:c>
      <x:c r="V362" s="2" t="str">
        <x:v>existing saved physical-floor-area proxy</x:v>
      </x:c>
      <x:c r="W362" s="2" t="str">
        <x:v>legacy_epoch_source_QA_passed; new_common_native_support_not_certified</x:v>
      </x:c>
      <x:c r="X362" s="2" t="str">
        <x:v>https://arxiv.org/abs/2511.12104</x:v>
      </x:c>
    </x:row>
    <x:row r="363" ht="23" customHeight="1">
      <x:c r="A363" s="2" t="str">
        <x:v>PSE</x:v>
      </x:c>
      <x:c r="B363" s="2" t="str">
        <x:v>State of Palestine</x:v>
      </x:c>
      <x:c r="C363" s="2" t="n">
        <x:v>2023</x:v>
      </x:c>
      <x:c r="D363" s="2" t="str">
        <x:v>TEMPO_PROXY</x:v>
      </x:c>
      <x:c r="E363" s="17" t="n">
        <x:v>262431110.64627308</x:v>
      </x:c>
      <x:c r="F363" s="17" t="str">
        <x:f>IF(AND(M363,ISNUMBER(R363)),IF(D363="TEMPO_PROXY",R363,IF(AND(ISNUMBER(S363),S363&gt;0,ISNUMBER(U363)),U363*R363/S363,"n.a.")),"n.a.")</x:f>
        <x:v>n.a.</x:v>
      </x:c>
      <x:c r="G363" s="17" t="str">
        <x:f>IF(AND(ISNUMBER(E363),ISNUMBER(F363)),E363-F363,"n.a.")</x:f>
        <x:v>n.a.</x:v>
      </x:c>
      <x:c r="H363" s="15" t="str">
        <x:f>IF(AND(ISNUMBER(E363),ISNUMBER(F363),F363&gt;0),(E363-F363)/F363,"n.a.")</x:f>
        <x:v>n.a.</x:v>
      </x:c>
      <x:c r="I363" s="19" t="str">
        <x:f>IF(ISNUMBER(H363),ABS(H363),"n.a.")</x:f>
        <x:v>n.a.</x:v>
      </x:c>
      <x:c r="J363" s="2" t="str">
        <x:v>unqualified_or_missing_native_source: missing_frozen_TEMPO_epoch</x:v>
      </x:c>
      <x:c r="K363" s="2" t="n">
        <x:v>0</x:v>
      </x:c>
      <x:c r="L363" s="13" t="b">
        <x:v>0</x:v>
      </x:c>
      <x:c r="M363" s="13" t="b">
        <x:v>0</x:v>
      </x:c>
      <x:c r="N363" s="2" t="str">
        <x:v>unused2023converted-source comparator</x:v>
      </x:c>
      <x:c r="O363" s="2" t="str"/>
      <x:c r="P363" s="2" t="str">
        <x:v>assumption-based floor-area proxy</x:v>
      </x:c>
      <x:c r="Q363" s="2" t="str">
        <x:v>m2</x:v>
      </x:c>
      <x:c r="R363" s="17"/>
      <x:c r="S363" s="17"/>
      <x:c r="T363" s="18"/>
      <x:c r="U363" s="17" t="n">
        <x:v>239938472.63190365</x:v>
      </x:c>
      <x:c r="V363" s="2" t="str">
        <x:v>existing saved physical-floor-area proxy</x:v>
      </x:c>
      <x:c r="W363" s="2" t="str">
        <x:v>missing_frozen_TEMPO_epoch</x:v>
      </x:c>
      <x:c r="X363" s="2" t="str">
        <x:v>https://arxiv.org/abs/2511.12104</x:v>
      </x:c>
    </x:row>
    <x:row r="364" ht="23" customHeight="1">
      <x:c r="A364" s="2" t="str">
        <x:v>QAT</x:v>
      </x:c>
      <x:c r="B364" s="2" t="str">
        <x:v>Qatar (State of)</x:v>
      </x:c>
      <x:c r="C364" s="2" t="n">
        <x:v>2023</x:v>
      </x:c>
      <x:c r="D364" s="2" t="str">
        <x:v>TEMPO_PROXY</x:v>
      </x:c>
      <x:c r="E364" s="17" t="n">
        <x:v>152620233.5404953</x:v>
      </x:c>
      <x:c r="F364" s="17" t="n">
        <x:f>IF(AND(M364,ISNUMBER(R364)),IF(D364="TEMPO_PROXY",R364,IF(AND(ISNUMBER(S364),S364&gt;0,ISNUMBER(U364)),U364*R364/S364,"n.a.")),"n.a.")</x:f>
        <x:v>153362683.68</x:v>
      </x:c>
      <x:c r="G364" s="17" t="n">
        <x:f>IF(AND(ISNUMBER(E364),ISNUMBER(F364)),E364-F364,"n.a.")</x:f>
        <x:v>-742450.1395047009</x:v>
      </x:c>
      <x:c r="H364" s="15" t="n">
        <x:f>IF(AND(ISNUMBER(E364),ISNUMBER(F364),F364&gt;0),(E364-F364)/F364,"n.a.")</x:f>
        <x:v>-0.004841139459021632</x:v>
      </x:c>
      <x:c r="I364" s="19" t="n">
        <x:f>IF(ISNUMBER(H364),ABS(H364),"n.a.")</x:f>
        <x:v>0.004841139459021632</x:v>
      </x:c>
      <x:c r="J364" s="2" t="str">
        <x:v>available</x:v>
      </x:c>
      <x:c r="K364" s="2" t="n">
        <x:v>1</x:v>
      </x:c>
      <x:c r="L364" s="13" t="b">
        <x:v>0</x:v>
      </x:c>
      <x:c r="M364" s="13" t="b">
        <x:v>1</x:v>
      </x:c>
      <x:c r="N364" s="2" t="str">
        <x:v>unused2023converted-source comparator</x:v>
      </x:c>
      <x:c r="O364" s="2" t="str"/>
      <x:c r="P364" s="2" t="str">
        <x:v>assumption-based floor-area proxy</x:v>
      </x:c>
      <x:c r="Q364" s="2" t="str">
        <x:v>m2</x:v>
      </x:c>
      <x:c r="R364" s="17" t="n">
        <x:v>153362683.68</x:v>
      </x:c>
      <x:c r="S364" s="17"/>
      <x:c r="T364" s="18"/>
      <x:c r="U364" s="17" t="n">
        <x:v>137316242.80000022</x:v>
      </x:c>
      <x:c r="V364" s="2" t="str">
        <x:v>existing saved physical-floor-area proxy</x:v>
      </x:c>
      <x:c r="W364" s="2" t="str">
        <x:v>legacy_epoch_source_QA_passed; new_common_native_support_not_certified</x:v>
      </x:c>
      <x:c r="X364" s="2" t="str">
        <x:v>https://arxiv.org/abs/2511.12104</x:v>
      </x:c>
    </x:row>
    <x:row r="365" ht="23" customHeight="1">
      <x:c r="A365" s="2" t="str">
        <x:v>ROU</x:v>
      </x:c>
      <x:c r="B365" s="2" t="str">
        <x:v>Romania</x:v>
      </x:c>
      <x:c r="C365" s="2" t="n">
        <x:v>2023</x:v>
      </x:c>
      <x:c r="D365" s="2" t="str">
        <x:v>TEMPO_PROXY</x:v>
      </x:c>
      <x:c r="E365" s="17" t="n">
        <x:v>1483847699.1618993</x:v>
      </x:c>
      <x:c r="F365" s="17" t="n">
        <x:f>IF(AND(M365,ISNUMBER(R365)),IF(D365="TEMPO_PROXY",R365,IF(AND(ISNUMBER(S365),S365&gt;0,ISNUMBER(U365)),U365*R365/S365,"n.a.")),"n.a.")</x:f>
        <x:v>1553477966.83</x:v>
      </x:c>
      <x:c r="G365" s="17" t="n">
        <x:f>IF(AND(ISNUMBER(E365),ISNUMBER(F365)),E365-F365,"n.a.")</x:f>
        <x:v>-69630267.6681006</x:v>
      </x:c>
      <x:c r="H365" s="15" t="n">
        <x:f>IF(AND(ISNUMBER(E365),ISNUMBER(F365),F365&gt;0),(E365-F365)/F365,"n.a.")</x:f>
        <x:v>-0.04482217910704386</x:v>
      </x:c>
      <x:c r="I365" s="19" t="n">
        <x:f>IF(ISNUMBER(H365),ABS(H365),"n.a.")</x:f>
        <x:v>0.04482217910704386</x:v>
      </x:c>
      <x:c r="J365" s="2" t="str">
        <x:v>available</x:v>
      </x:c>
      <x:c r="K365" s="2" t="n">
        <x:v>1</x:v>
      </x:c>
      <x:c r="L365" s="13" t="b">
        <x:v>0</x:v>
      </x:c>
      <x:c r="M365" s="13" t="b">
        <x:v>1</x:v>
      </x:c>
      <x:c r="N365" s="2" t="str">
        <x:v>unused2023converted-source comparator</x:v>
      </x:c>
      <x:c r="O365" s="2" t="str"/>
      <x:c r="P365" s="2" t="str">
        <x:v>assumption-based floor-area proxy</x:v>
      </x:c>
      <x:c r="Q365" s="2" t="str">
        <x:v>m2</x:v>
      </x:c>
      <x:c r="R365" s="17" t="n">
        <x:v>1553477966.83</x:v>
      </x:c>
      <x:c r="S365" s="17"/>
      <x:c r="T365" s="18"/>
      <x:c r="U365" s="17" t="n">
        <x:v>1451492077.9900024</x:v>
      </x:c>
      <x:c r="V365" s="2" t="str">
        <x:v>existing saved physical-floor-area proxy</x:v>
      </x:c>
      <x:c r="W365" s="2" t="str">
        <x:v>legacy_epoch_source_QA_passed; new_common_native_support_not_certified</x:v>
      </x:c>
      <x:c r="X365" s="2" t="str">
        <x:v>https://arxiv.org/abs/2511.12104</x:v>
      </x:c>
    </x:row>
    <x:row r="366" ht="23" customHeight="1">
      <x:c r="A366" s="2" t="str">
        <x:v>RUS</x:v>
      </x:c>
      <x:c r="B366" s="2" t="str">
        <x:v>Russian Federation</x:v>
      </x:c>
      <x:c r="C366" s="2" t="n">
        <x:v>2023</x:v>
      </x:c>
      <x:c r="D366" s="2" t="str">
        <x:v>TEMPO_PROXY</x:v>
      </x:c>
      <x:c r="E366" s="17" t="n">
        <x:v>8172232946.716192</x:v>
      </x:c>
      <x:c r="F366" s="17" t="n">
        <x:f>IF(AND(M366,ISNUMBER(R366)),IF(D366="TEMPO_PROXY",R366,IF(AND(ISNUMBER(S366),S366&gt;0,ISNUMBER(U366)),U366*R366/S366,"n.a.")),"n.a.")</x:f>
        <x:v>8278547550.03</x:v>
      </x:c>
      <x:c r="G366" s="17" t="n">
        <x:f>IF(AND(ISNUMBER(E366),ISNUMBER(F366)),E366-F366,"n.a.")</x:f>
        <x:v>-106314603.31380749</x:v>
      </x:c>
      <x:c r="H366" s="15" t="n">
        <x:f>IF(AND(ISNUMBER(E366),ISNUMBER(F366),F366&gt;0),(E366-F366)/F366,"n.a.")</x:f>
        <x:v>-0.012842180668929325</x:v>
      </x:c>
      <x:c r="I366" s="19" t="n">
        <x:f>IF(ISNUMBER(H366),ABS(H366),"n.a.")</x:f>
        <x:v>0.012842180668929325</x:v>
      </x:c>
      <x:c r="J366" s="2" t="str">
        <x:v>available</x:v>
      </x:c>
      <x:c r="K366" s="2" t="n">
        <x:v>1</x:v>
      </x:c>
      <x:c r="L366" s="13" t="b">
        <x:v>0</x:v>
      </x:c>
      <x:c r="M366" s="13" t="b">
        <x:v>1</x:v>
      </x:c>
      <x:c r="N366" s="2" t="str">
        <x:v>unused2023converted-source comparator</x:v>
      </x:c>
      <x:c r="O366" s="2" t="str"/>
      <x:c r="P366" s="2" t="str">
        <x:v>assumption-based floor-area proxy</x:v>
      </x:c>
      <x:c r="Q366" s="2" t="str">
        <x:v>m2</x:v>
      </x:c>
      <x:c r="R366" s="17" t="n">
        <x:v>8278547550.03</x:v>
      </x:c>
      <x:c r="S366" s="17"/>
      <x:c r="T366" s="18"/>
      <x:c r="U366" s="17" t="n">
        <x:v>7767687345.91001</x:v>
      </x:c>
      <x:c r="V366" s="2" t="str">
        <x:v>existing saved physical-floor-area proxy</x:v>
      </x:c>
      <x:c r="W366" s="2" t="str">
        <x:v>legacy_epoch_source_QA_passed; new_common_native_support_not_certified</x:v>
      </x:c>
      <x:c r="X366" s="2" t="str">
        <x:v>https://arxiv.org/abs/2511.12104</x:v>
      </x:c>
    </x:row>
    <x:row r="367" ht="23" customHeight="1">
      <x:c r="A367" s="2" t="str">
        <x:v>RWA</x:v>
      </x:c>
      <x:c r="B367" s="2" t="str">
        <x:v>Rwanda (Republic of)</x:v>
      </x:c>
      <x:c r="C367" s="2" t="n">
        <x:v>2023</x:v>
      </x:c>
      <x:c r="D367" s="2" t="str">
        <x:v>TEMPO_PROXY</x:v>
      </x:c>
      <x:c r="E367" s="17" t="n">
        <x:v>266219888.1864959</x:v>
      </x:c>
      <x:c r="F367" s="17" t="n">
        <x:f>IF(AND(M367,ISNUMBER(R367)),IF(D367="TEMPO_PROXY",R367,IF(AND(ISNUMBER(S367),S367&gt;0,ISNUMBER(U367)),U367*R367/S367,"n.a.")),"n.a.")</x:f>
        <x:v>277734072.08</x:v>
      </x:c>
      <x:c r="G367" s="17" t="n">
        <x:f>IF(AND(ISNUMBER(E367),ISNUMBER(F367)),E367-F367,"n.a.")</x:f>
        <x:v>-11514183.893504083</x:v>
      </x:c>
      <x:c r="H367" s="15" t="n">
        <x:f>IF(AND(ISNUMBER(E367),ISNUMBER(F367),F367&gt;0),(E367-F367)/F367,"n.a.")</x:f>
        <x:v>-0.04145758497426084</x:v>
      </x:c>
      <x:c r="I367" s="19" t="n">
        <x:f>IF(ISNUMBER(H367),ABS(H367),"n.a.")</x:f>
        <x:v>0.04145758497426084</x:v>
      </x:c>
      <x:c r="J367" s="2" t="str">
        <x:v>available</x:v>
      </x:c>
      <x:c r="K367" s="2" t="n">
        <x:v>1</x:v>
      </x:c>
      <x:c r="L367" s="13" t="b">
        <x:v>0</x:v>
      </x:c>
      <x:c r="M367" s="13" t="b">
        <x:v>1</x:v>
      </x:c>
      <x:c r="N367" s="2" t="str">
        <x:v>unused2023converted-source comparator</x:v>
      </x:c>
      <x:c r="O367" s="2" t="str"/>
      <x:c r="P367" s="2" t="str">
        <x:v>assumption-based floor-area proxy</x:v>
      </x:c>
      <x:c r="Q367" s="2" t="str">
        <x:v>m2</x:v>
      </x:c>
      <x:c r="R367" s="17" t="n">
        <x:v>277734072.08</x:v>
      </x:c>
      <x:c r="S367" s="17"/>
      <x:c r="T367" s="18"/>
      <x:c r="U367" s="17" t="n">
        <x:v>244877324.63000005</x:v>
      </x:c>
      <x:c r="V367" s="2" t="str">
        <x:v>existing saved physical-floor-area proxy</x:v>
      </x:c>
      <x:c r="W367" s="2" t="str">
        <x:v>legacy_epoch_source_QA_passed; new_common_native_support_not_certified</x:v>
      </x:c>
      <x:c r="X367" s="2" t="str">
        <x:v>https://arxiv.org/abs/2511.12104</x:v>
      </x:c>
    </x:row>
    <x:row r="368" ht="23" customHeight="1">
      <x:c r="A368" s="2" t="str">
        <x:v>SAU</x:v>
      </x:c>
      <x:c r="B368" s="2" t="str">
        <x:v>Saudi Arabia (Kingdom of)</x:v>
      </x:c>
      <x:c r="C368" s="2" t="n">
        <x:v>2023</x:v>
      </x:c>
      <x:c r="D368" s="2" t="str">
        <x:v>TEMPO_PROXY</x:v>
      </x:c>
      <x:c r="E368" s="17" t="n">
        <x:v>2067839009.467918</x:v>
      </x:c>
      <x:c r="F368" s="17" t="n">
        <x:f>IF(AND(M368,ISNUMBER(R368)),IF(D368="TEMPO_PROXY",R368,IF(AND(ISNUMBER(S368),S368&gt;0,ISNUMBER(U368)),U368*R368/S368,"n.a.")),"n.a.")</x:f>
        <x:v>2104707626.12</x:v>
      </x:c>
      <x:c r="G368" s="17" t="n">
        <x:f>IF(AND(ISNUMBER(E368),ISNUMBER(F368)),E368-F368,"n.a.")</x:f>
        <x:v>-36868616.65208197</x:v>
      </x:c>
      <x:c r="H368" s="15" t="n">
        <x:f>IF(AND(ISNUMBER(E368),ISNUMBER(F368),F368&gt;0),(E368-F368)/F368,"n.a.")</x:f>
        <x:v>-0.017517215310351095</x:v>
      </x:c>
      <x:c r="I368" s="19" t="n">
        <x:f>IF(ISNUMBER(H368),ABS(H368),"n.a.")</x:f>
        <x:v>0.017517215310351095</x:v>
      </x:c>
      <x:c r="J368" s="2" t="str">
        <x:v>available</x:v>
      </x:c>
      <x:c r="K368" s="2" t="n">
        <x:v>1</x:v>
      </x:c>
      <x:c r="L368" s="13" t="b">
        <x:v>0</x:v>
      </x:c>
      <x:c r="M368" s="13" t="b">
        <x:v>1</x:v>
      </x:c>
      <x:c r="N368" s="2" t="str">
        <x:v>unused2023converted-source comparator</x:v>
      </x:c>
      <x:c r="O368" s="2" t="str"/>
      <x:c r="P368" s="2" t="str">
        <x:v>assumption-based floor-area proxy</x:v>
      </x:c>
      <x:c r="Q368" s="2" t="str">
        <x:v>m2</x:v>
      </x:c>
      <x:c r="R368" s="17" t="n">
        <x:v>2104707626.12</x:v>
      </x:c>
      <x:c r="S368" s="17"/>
      <x:c r="T368" s="18"/>
      <x:c r="U368" s="17" t="n">
        <x:v>1911722272.930002</x:v>
      </x:c>
      <x:c r="V368" s="2" t="str">
        <x:v>existing saved physical-floor-area proxy</x:v>
      </x:c>
      <x:c r="W368" s="2" t="str">
        <x:v>legacy_epoch_source_QA_passed; new_common_native_support_not_certified</x:v>
      </x:c>
      <x:c r="X368" s="2" t="str">
        <x:v>https://arxiv.org/abs/2511.12104</x:v>
      </x:c>
    </x:row>
    <x:row r="369" ht="23" customHeight="1">
      <x:c r="A369" s="2" t="str">
        <x:v>SDN</x:v>
      </x:c>
      <x:c r="B369" s="2" t="str">
        <x:v>Sudan (Republic of the)</x:v>
      </x:c>
      <x:c r="C369" s="2" t="n">
        <x:v>2023</x:v>
      </x:c>
      <x:c r="D369" s="2" t="str">
        <x:v>TEMPO_PROXY</x:v>
      </x:c>
      <x:c r="E369" s="17" t="n">
        <x:v>835961184.5150774</x:v>
      </x:c>
      <x:c r="F369" s="17" t="n">
        <x:f>IF(AND(M369,ISNUMBER(R369)),IF(D369="TEMPO_PROXY",R369,IF(AND(ISNUMBER(S369),S369&gt;0,ISNUMBER(U369)),U369*R369/S369,"n.a.")),"n.a.")</x:f>
        <x:v>780315352.63</x:v>
      </x:c>
      <x:c r="G369" s="17" t="n">
        <x:f>IF(AND(ISNUMBER(E369),ISNUMBER(F369)),E369-F369,"n.a.")</x:f>
        <x:v>55645831.88507736</x:v>
      </x:c>
      <x:c r="H369" s="15" t="n">
        <x:f>IF(AND(ISNUMBER(E369),ISNUMBER(F369),F369&gt;0),(E369-F369)/F369,"n.a.")</x:f>
        <x:v>0.07131197880129726</x:v>
      </x:c>
      <x:c r="I369" s="19" t="n">
        <x:f>IF(ISNUMBER(H369),ABS(H369),"n.a.")</x:f>
        <x:v>0.07131197880129726</x:v>
      </x:c>
      <x:c r="J369" s="2" t="str">
        <x:v>available</x:v>
      </x:c>
      <x:c r="K369" s="2" t="n">
        <x:v>1</x:v>
      </x:c>
      <x:c r="L369" s="13" t="b">
        <x:v>0</x:v>
      </x:c>
      <x:c r="M369" s="13" t="b">
        <x:v>1</x:v>
      </x:c>
      <x:c r="N369" s="2" t="str">
        <x:v>unused2023converted-source comparator</x:v>
      </x:c>
      <x:c r="O369" s="2" t="str"/>
      <x:c r="P369" s="2" t="str">
        <x:v>assumption-based floor-area proxy</x:v>
      </x:c>
      <x:c r="Q369" s="2" t="str">
        <x:v>m2</x:v>
      </x:c>
      <x:c r="R369" s="17" t="n">
        <x:v>780315352.63</x:v>
      </x:c>
      <x:c r="S369" s="17"/>
      <x:c r="T369" s="18"/>
      <x:c r="U369" s="17" t="n">
        <x:v>751311239.6000005</x:v>
      </x:c>
      <x:c r="V369" s="2" t="str">
        <x:v>existing saved physical-floor-area proxy</x:v>
      </x:c>
      <x:c r="W369" s="2" t="str">
        <x:v>legacy_epoch_source_QA_passed; new_common_native_support_not_certified</x:v>
      </x:c>
      <x:c r="X369" s="2" t="str">
        <x:v>https://arxiv.org/abs/2511.12104</x:v>
      </x:c>
    </x:row>
    <x:row r="370" ht="23" customHeight="1">
      <x:c r="A370" s="2" t="str">
        <x:v>SEN</x:v>
      </x:c>
      <x:c r="B370" s="2" t="str">
        <x:v>Senegal (Republic of)</x:v>
      </x:c>
      <x:c r="C370" s="2" t="n">
        <x:v>2023</x:v>
      </x:c>
      <x:c r="D370" s="2" t="str">
        <x:v>TEMPO_PROXY</x:v>
      </x:c>
      <x:c r="E370" s="17" t="n">
        <x:v>338137959.6472059</x:v>
      </x:c>
      <x:c r="F370" s="17" t="n">
        <x:f>IF(AND(M370,ISNUMBER(R370)),IF(D370="TEMPO_PROXY",R370,IF(AND(ISNUMBER(S370),S370&gt;0,ISNUMBER(U370)),U370*R370/S370,"n.a.")),"n.a.")</x:f>
        <x:v>335964506.02</x:v>
      </x:c>
      <x:c r="G370" s="17" t="n">
        <x:f>IF(AND(ISNUMBER(E370),ISNUMBER(F370)),E370-F370,"n.a.")</x:f>
        <x:v>2173453.6272059083</x:v>
      </x:c>
      <x:c r="H370" s="15" t="n">
        <x:f>IF(AND(ISNUMBER(E370),ISNUMBER(F370),F370&gt;0),(E370-F370)/F370,"n.a.")</x:f>
        <x:v>0.006469295381686905</x:v>
      </x:c>
      <x:c r="I370" s="19" t="n">
        <x:f>IF(ISNUMBER(H370),ABS(H370),"n.a.")</x:f>
        <x:v>0.006469295381686905</x:v>
      </x:c>
      <x:c r="J370" s="2" t="str">
        <x:v>available</x:v>
      </x:c>
      <x:c r="K370" s="2" t="n">
        <x:v>1</x:v>
      </x:c>
      <x:c r="L370" s="13" t="b">
        <x:v>0</x:v>
      </x:c>
      <x:c r="M370" s="13" t="b">
        <x:v>1</x:v>
      </x:c>
      <x:c r="N370" s="2" t="str">
        <x:v>unused2023converted-source comparator</x:v>
      </x:c>
      <x:c r="O370" s="2" t="str"/>
      <x:c r="P370" s="2" t="str">
        <x:v>assumption-based floor-area proxy</x:v>
      </x:c>
      <x:c r="Q370" s="2" t="str">
        <x:v>m2</x:v>
      </x:c>
      <x:c r="R370" s="17" t="n">
        <x:v>335964506.02</x:v>
      </x:c>
      <x:c r="S370" s="17"/>
      <x:c r="T370" s="18"/>
      <x:c r="U370" s="17" t="n">
        <x:v>305052833.6899998</x:v>
      </x:c>
      <x:c r="V370" s="2" t="str">
        <x:v>existing saved physical-floor-area proxy</x:v>
      </x:c>
      <x:c r="W370" s="2" t="str">
        <x:v>legacy_epoch_source_QA_passed; new_common_native_support_not_certified</x:v>
      </x:c>
      <x:c r="X370" s="2" t="str">
        <x:v>https://arxiv.org/abs/2511.12104</x:v>
      </x:c>
    </x:row>
    <x:row r="371" ht="23" customHeight="1">
      <x:c r="A371" s="2" t="str">
        <x:v>SGP</x:v>
      </x:c>
      <x:c r="B371" s="2" t="str">
        <x:v>Singapore (Republic of)</x:v>
      </x:c>
      <x:c r="C371" s="2" t="n">
        <x:v>2023</x:v>
      </x:c>
      <x:c r="D371" s="2" t="str">
        <x:v>TEMPO_PROXY</x:v>
      </x:c>
      <x:c r="E371" s="17" t="n">
        <x:v>226441430.31132615</x:v>
      </x:c>
      <x:c r="F371" s="17" t="n">
        <x:f>IF(AND(M371,ISNUMBER(R371)),IF(D371="TEMPO_PROXY",R371,IF(AND(ISNUMBER(S371),S371&gt;0,ISNUMBER(U371)),U371*R371/S371,"n.a.")),"n.a.")</x:f>
        <x:v>213019503.2</x:v>
      </x:c>
      <x:c r="G371" s="17" t="n">
        <x:f>IF(AND(ISNUMBER(E371),ISNUMBER(F371)),E371-F371,"n.a.")</x:f>
        <x:v>13421927.111326158</x:v>
      </x:c>
      <x:c r="H371" s="15" t="n">
        <x:f>IF(AND(ISNUMBER(E371),ISNUMBER(F371),F371&gt;0),(E371-F371)/F371,"n.a.")</x:f>
        <x:v>0.06300797302453834</x:v>
      </x:c>
      <x:c r="I371" s="19" t="n">
        <x:f>IF(ISNUMBER(H371),ABS(H371),"n.a.")</x:f>
        <x:v>0.06300797302453834</x:v>
      </x:c>
      <x:c r="J371" s="2" t="str">
        <x:v>available</x:v>
      </x:c>
      <x:c r="K371" s="2" t="n">
        <x:v>1</x:v>
      </x:c>
      <x:c r="L371" s="13" t="b">
        <x:v>0</x:v>
      </x:c>
      <x:c r="M371" s="13" t="b">
        <x:v>1</x:v>
      </x:c>
      <x:c r="N371" s="2" t="str">
        <x:v>unused2023converted-source comparator</x:v>
      </x:c>
      <x:c r="O371" s="2" t="str"/>
      <x:c r="P371" s="2" t="str">
        <x:v>assumption-based floor-area proxy</x:v>
      </x:c>
      <x:c r="Q371" s="2" t="str">
        <x:v>m2</x:v>
      </x:c>
      <x:c r="R371" s="17" t="n">
        <x:v>213019503.2</x:v>
      </x:c>
      <x:c r="S371" s="17"/>
      <x:c r="T371" s="18"/>
      <x:c r="U371" s="17" t="n">
        <x:v>194662203.04</x:v>
      </x:c>
      <x:c r="V371" s="2" t="str">
        <x:v>existing saved physical-floor-area proxy</x:v>
      </x:c>
      <x:c r="W371" s="2" t="str">
        <x:v>legacy_epoch_source_QA_passed; new_common_native_support_not_certified</x:v>
      </x:c>
      <x:c r="X371" s="2" t="str">
        <x:v>https://arxiv.org/abs/2511.12104</x:v>
      </x:c>
    </x:row>
    <x:row r="372" ht="23" customHeight="1">
      <x:c r="A372" s="2" t="str">
        <x:v>SLB</x:v>
      </x:c>
      <x:c r="B372" s="2" t="str">
        <x:v>Solomon Islands</x:v>
      </x:c>
      <x:c r="C372" s="2" t="n">
        <x:v>2023</x:v>
      </x:c>
      <x:c r="D372" s="2" t="str">
        <x:v>TEMPO_PROXY</x:v>
      </x:c>
      <x:c r="E372" s="17" t="n">
        <x:v>16306252.212643614</x:v>
      </x:c>
      <x:c r="F372" s="17" t="n">
        <x:f>IF(AND(M372,ISNUMBER(R372)),IF(D372="TEMPO_PROXY",R372,IF(AND(ISNUMBER(S372),S372&gt;0,ISNUMBER(U372)),U372*R372/S372,"n.a.")),"n.a.")</x:f>
        <x:v>14566828.58</x:v>
      </x:c>
      <x:c r="G372" s="17" t="n">
        <x:f>IF(AND(ISNUMBER(E372),ISNUMBER(F372)),E372-F372,"n.a.")</x:f>
        <x:v>1739423.632643614</x:v>
      </x:c>
      <x:c r="H372" s="15" t="n">
        <x:f>IF(AND(ISNUMBER(E372),ISNUMBER(F372),F372&gt;0),(E372-F372)/F372,"n.a.")</x:f>
        <x:v>0.1194099060815346</x:v>
      </x:c>
      <x:c r="I372" s="19" t="n">
        <x:f>IF(ISNUMBER(H372),ABS(H372),"n.a.")</x:f>
        <x:v>0.1194099060815346</x:v>
      </x:c>
      <x:c r="J372" s="2" t="str">
        <x:v>available</x:v>
      </x:c>
      <x:c r="K372" s="2" t="n">
        <x:v>1</x:v>
      </x:c>
      <x:c r="L372" s="13" t="b">
        <x:v>0</x:v>
      </x:c>
      <x:c r="M372" s="13" t="b">
        <x:v>1</x:v>
      </x:c>
      <x:c r="N372" s="2" t="str">
        <x:v>unused2023converted-source comparator</x:v>
      </x:c>
      <x:c r="O372" s="2" t="str"/>
      <x:c r="P372" s="2" t="str">
        <x:v>assumption-based floor-area proxy</x:v>
      </x:c>
      <x:c r="Q372" s="2" t="str">
        <x:v>m2</x:v>
      </x:c>
      <x:c r="R372" s="17" t="n">
        <x:v>14566828.58</x:v>
      </x:c>
      <x:c r="S372" s="17"/>
      <x:c r="T372" s="18"/>
      <x:c r="U372" s="17" t="n">
        <x:v>14438629.189999975</x:v>
      </x:c>
      <x:c r="V372" s="2" t="str">
        <x:v>existing saved physical-floor-area proxy</x:v>
      </x:c>
      <x:c r="W372" s="2" t="str">
        <x:v>legacy_epoch_source_QA_passed; new_common_native_support_not_certified</x:v>
      </x:c>
      <x:c r="X372" s="2" t="str">
        <x:v>https://arxiv.org/abs/2511.12104</x:v>
      </x:c>
    </x:row>
    <x:row r="373" ht="23" customHeight="1">
      <x:c r="A373" s="2" t="str">
        <x:v>SLE</x:v>
      </x:c>
      <x:c r="B373" s="2" t="str">
        <x:v>Sierra Leone (Republic of)</x:v>
      </x:c>
      <x:c r="C373" s="2" t="n">
        <x:v>2023</x:v>
      </x:c>
      <x:c r="D373" s="2" t="str">
        <x:v>TEMPO_PROXY</x:v>
      </x:c>
      <x:c r="E373" s="17" t="n">
        <x:v>129856241.15136361</x:v>
      </x:c>
      <x:c r="F373" s="17" t="n">
        <x:f>IF(AND(M373,ISNUMBER(R373)),IF(D373="TEMPO_PROXY",R373,IF(AND(ISNUMBER(S373),S373&gt;0,ISNUMBER(U373)),U373*R373/S373,"n.a.")),"n.a.")</x:f>
        <x:v>120733489.63</x:v>
      </x:c>
      <x:c r="G373" s="17" t="n">
        <x:f>IF(AND(ISNUMBER(E373),ISNUMBER(F373)),E373-F373,"n.a.")</x:f>
        <x:v>9122751.521363616</x:v>
      </x:c>
      <x:c r="H373" s="15" t="n">
        <x:f>IF(AND(ISNUMBER(E373),ISNUMBER(F373),F373&gt;0),(E373-F373)/F373,"n.a.")</x:f>
        <x:v>0.07556106884114103</x:v>
      </x:c>
      <x:c r="I373" s="19" t="n">
        <x:f>IF(ISNUMBER(H373),ABS(H373),"n.a.")</x:f>
        <x:v>0.07556106884114103</x:v>
      </x:c>
      <x:c r="J373" s="2" t="str">
        <x:v>available</x:v>
      </x:c>
      <x:c r="K373" s="2" t="n">
        <x:v>1</x:v>
      </x:c>
      <x:c r="L373" s="13" t="b">
        <x:v>0</x:v>
      </x:c>
      <x:c r="M373" s="13" t="b">
        <x:v>1</x:v>
      </x:c>
      <x:c r="N373" s="2" t="str">
        <x:v>unused2023converted-source comparator</x:v>
      </x:c>
      <x:c r="O373" s="2" t="str"/>
      <x:c r="P373" s="2" t="str">
        <x:v>assumption-based floor-area proxy</x:v>
      </x:c>
      <x:c r="Q373" s="2" t="str">
        <x:v>m2</x:v>
      </x:c>
      <x:c r="R373" s="17" t="n">
        <x:v>120733489.63</x:v>
      </x:c>
      <x:c r="S373" s="17"/>
      <x:c r="T373" s="18"/>
      <x:c r="U373" s="17" t="n">
        <x:v>115259924.94999996</x:v>
      </x:c>
      <x:c r="V373" s="2" t="str">
        <x:v>existing saved physical-floor-area proxy</x:v>
      </x:c>
      <x:c r="W373" s="2" t="str">
        <x:v>legacy_epoch_source_QA_passed; new_common_native_support_not_certified</x:v>
      </x:c>
      <x:c r="X373" s="2" t="str">
        <x:v>https://arxiv.org/abs/2511.12104</x:v>
      </x:c>
    </x:row>
    <x:row r="374" ht="23" customHeight="1">
      <x:c r="A374" s="2" t="str">
        <x:v>SLV</x:v>
      </x:c>
      <x:c r="B374" s="2" t="str">
        <x:v>El Salvador (Republic of)</x:v>
      </x:c>
      <x:c r="C374" s="2" t="n">
        <x:v>2023</x:v>
      </x:c>
      <x:c r="D374" s="2" t="str">
        <x:v>TEMPO_PROXY</x:v>
      </x:c>
      <x:c r="E374" s="17" t="n">
        <x:v>261024429.91522917</x:v>
      </x:c>
      <x:c r="F374" s="17" t="n">
        <x:f>IF(AND(M374,ISNUMBER(R374)),IF(D374="TEMPO_PROXY",R374,IF(AND(ISNUMBER(S374),S374&gt;0,ISNUMBER(U374)),U374*R374/S374,"n.a.")),"n.a.")</x:f>
        <x:v>261944365.07</x:v>
      </x:c>
      <x:c r="G374" s="17" t="n">
        <x:f>IF(AND(ISNUMBER(E374),ISNUMBER(F374)),E374-F374,"n.a.")</x:f>
        <x:v>-919935.1547708213</x:v>
      </x:c>
      <x:c r="H374" s="15" t="n">
        <x:f>IF(AND(ISNUMBER(E374),ISNUMBER(F374),F374&gt;0),(E374-F374)/F374,"n.a.")</x:f>
        <x:v>-0.0035119486327754557</x:v>
      </x:c>
      <x:c r="I374" s="19" t="n">
        <x:f>IF(ISNUMBER(H374),ABS(H374),"n.a.")</x:f>
        <x:v>0.0035119486327754557</x:v>
      </x:c>
      <x:c r="J374" s="2" t="str">
        <x:v>available</x:v>
      </x:c>
      <x:c r="K374" s="2" t="n">
        <x:v>1</x:v>
      </x:c>
      <x:c r="L374" s="13" t="b">
        <x:v>0</x:v>
      </x:c>
      <x:c r="M374" s="13" t="b">
        <x:v>1</x:v>
      </x:c>
      <x:c r="N374" s="2" t="str">
        <x:v>unused2023converted-source comparator</x:v>
      </x:c>
      <x:c r="O374" s="2" t="str"/>
      <x:c r="P374" s="2" t="str">
        <x:v>assumption-based floor-area proxy</x:v>
      </x:c>
      <x:c r="Q374" s="2" t="str">
        <x:v>m2</x:v>
      </x:c>
      <x:c r="R374" s="17" t="n">
        <x:v>261944365.07</x:v>
      </x:c>
      <x:c r="S374" s="17"/>
      <x:c r="T374" s="18"/>
      <x:c r="U374" s="17" t="n">
        <x:v>245414047.01000017</x:v>
      </x:c>
      <x:c r="V374" s="2" t="str">
        <x:v>existing saved physical-floor-area proxy</x:v>
      </x:c>
      <x:c r="W374" s="2" t="str">
        <x:v>legacy_epoch_source_QA_passed; new_common_native_support_not_certified</x:v>
      </x:c>
      <x:c r="X374" s="2" t="str">
        <x:v>https://arxiv.org/abs/2511.12104</x:v>
      </x:c>
    </x:row>
    <x:row r="375" ht="23" customHeight="1">
      <x:c r="A375" s="2" t="str">
        <x:v>SMR</x:v>
      </x:c>
      <x:c r="B375" s="2" t="str">
        <x:v>San Marino (Republic of)</x:v>
      </x:c>
      <x:c r="C375" s="2" t="n">
        <x:v>2023</x:v>
      </x:c>
      <x:c r="D375" s="2" t="str">
        <x:v>TEMPO_PROXY</x:v>
      </x:c>
      <x:c r="E375" s="17" t="n">
        <x:v>3250655.826220989</x:v>
      </x:c>
      <x:c r="F375" s="17" t="n">
        <x:f>IF(AND(M375,ISNUMBER(R375)),IF(D375="TEMPO_PROXY",R375,IF(AND(ISNUMBER(S375),S375&gt;0,ISNUMBER(U375)),U375*R375/S375,"n.a.")),"n.a.")</x:f>
        <x:v>3170012.44</x:v>
      </x:c>
      <x:c r="G375" s="17" t="n">
        <x:f>IF(AND(ISNUMBER(E375),ISNUMBER(F375)),E375-F375,"n.a.")</x:f>
        <x:v>80643.38622098928</x:v>
      </x:c>
      <x:c r="H375" s="15" t="n">
        <x:f>IF(AND(ISNUMBER(E375),ISNUMBER(F375),F375&gt;0),(E375-F375)/F375,"n.a.")</x:f>
        <x:v>0.02543945418112911</x:v>
      </x:c>
      <x:c r="I375" s="19" t="n">
        <x:f>IF(ISNUMBER(H375),ABS(H375),"n.a.")</x:f>
        <x:v>0.02543945418112911</x:v>
      </x:c>
      <x:c r="J375" s="2" t="str">
        <x:v>available</x:v>
      </x:c>
      <x:c r="K375" s="2" t="n">
        <x:v>1</x:v>
      </x:c>
      <x:c r="L375" s="13" t="b">
        <x:v>0</x:v>
      </x:c>
      <x:c r="M375" s="13" t="b">
        <x:v>1</x:v>
      </x:c>
      <x:c r="N375" s="2" t="str">
        <x:v>unused2023converted-source comparator</x:v>
      </x:c>
      <x:c r="O375" s="2" t="str"/>
      <x:c r="P375" s="2" t="str">
        <x:v>assumption-based floor-area proxy</x:v>
      </x:c>
      <x:c r="Q375" s="2" t="str">
        <x:v>m2</x:v>
      </x:c>
      <x:c r="R375" s="17" t="n">
        <x:v>3170012.44</x:v>
      </x:c>
      <x:c r="S375" s="17"/>
      <x:c r="T375" s="18"/>
      <x:c r="U375" s="17" t="n">
        <x:v>3030681.630000002</x:v>
      </x:c>
      <x:c r="V375" s="2" t="str">
        <x:v>existing saved physical-floor-area proxy</x:v>
      </x:c>
      <x:c r="W375" s="2" t="str">
        <x:v>legacy_epoch_source_QA_passed; new_common_native_support_not_certified</x:v>
      </x:c>
      <x:c r="X375" s="2" t="str">
        <x:v>https://arxiv.org/abs/2511.12104</x:v>
      </x:c>
    </x:row>
    <x:row r="376" ht="23" customHeight="1">
      <x:c r="A376" s="2" t="str">
        <x:v>SOM</x:v>
      </x:c>
      <x:c r="B376" s="2" t="str">
        <x:v>Somalia (Federal Republic of)</x:v>
      </x:c>
      <x:c r="C376" s="2" t="n">
        <x:v>2023</x:v>
      </x:c>
      <x:c r="D376" s="2" t="str">
        <x:v>TEMPO_PROXY</x:v>
      </x:c>
      <x:c r="E376" s="17" t="n">
        <x:v>159520140.05612206</x:v>
      </x:c>
      <x:c r="F376" s="17" t="n">
        <x:f>IF(AND(M376,ISNUMBER(R376)),IF(D376="TEMPO_PROXY",R376,IF(AND(ISNUMBER(S376),S376&gt;0,ISNUMBER(U376)),U376*R376/S376,"n.a.")),"n.a.")</x:f>
        <x:v>150313667.33</x:v>
      </x:c>
      <x:c r="G376" s="17" t="n">
        <x:f>IF(AND(ISNUMBER(E376),ISNUMBER(F376)),E376-F376,"n.a.")</x:f>
        <x:v>9206472.726122051</x:v>
      </x:c>
      <x:c r="H376" s="15" t="n">
        <x:f>IF(AND(ISNUMBER(E376),ISNUMBER(F376),F376&gt;0),(E376-F376)/F376,"n.a.")</x:f>
        <x:v>0.06124840734482299</x:v>
      </x:c>
      <x:c r="I376" s="19" t="n">
        <x:f>IF(ISNUMBER(H376),ABS(H376),"n.a.")</x:f>
        <x:v>0.06124840734482299</x:v>
      </x:c>
      <x:c r="J376" s="2" t="str">
        <x:v>available</x:v>
      </x:c>
      <x:c r="K376" s="2" t="n">
        <x:v>1</x:v>
      </x:c>
      <x:c r="L376" s="13" t="b">
        <x:v>0</x:v>
      </x:c>
      <x:c r="M376" s="13" t="b">
        <x:v>1</x:v>
      </x:c>
      <x:c r="N376" s="2" t="str">
        <x:v>unused2023converted-source comparator</x:v>
      </x:c>
      <x:c r="O376" s="2" t="str"/>
      <x:c r="P376" s="2" t="str">
        <x:v>assumption-based floor-area proxy</x:v>
      </x:c>
      <x:c r="Q376" s="2" t="str">
        <x:v>m2</x:v>
      </x:c>
      <x:c r="R376" s="17" t="n">
        <x:v>150313667.33</x:v>
      </x:c>
      <x:c r="S376" s="17"/>
      <x:c r="T376" s="18"/>
      <x:c r="U376" s="17" t="n">
        <x:v>134848326.33000013</x:v>
      </x:c>
      <x:c r="V376" s="2" t="str">
        <x:v>existing saved physical-floor-area proxy</x:v>
      </x:c>
      <x:c r="W376" s="2" t="str">
        <x:v>legacy_epoch_source_QA_passed; new_common_native_support_not_certified</x:v>
      </x:c>
      <x:c r="X376" s="2" t="str">
        <x:v>https://arxiv.org/abs/2511.12104</x:v>
      </x:c>
    </x:row>
    <x:row r="377" ht="23" customHeight="1">
      <x:c r="A377" s="2" t="str">
        <x:v>SRB</x:v>
      </x:c>
      <x:c r="B377" s="2" t="str">
        <x:v>Serbia (Republic of)</x:v>
      </x:c>
      <x:c r="C377" s="2" t="n">
        <x:v>2023</x:v>
      </x:c>
      <x:c r="D377" s="2" t="str">
        <x:v>TEMPO_PROXY</x:v>
      </x:c>
      <x:c r="E377" s="17" t="n">
        <x:v>594802444.5711257</x:v>
      </x:c>
      <x:c r="F377" s="17" t="n">
        <x:f>IF(AND(M377,ISNUMBER(R377)),IF(D377="TEMPO_PROXY",R377,IF(AND(ISNUMBER(S377),S377&gt;0,ISNUMBER(U377)),U377*R377/S377,"n.a.")),"n.a.")</x:f>
        <x:v>605430808.53</x:v>
      </x:c>
      <x:c r="G377" s="17" t="n">
        <x:f>IF(AND(ISNUMBER(E377),ISNUMBER(F377)),E377-F377,"n.a.")</x:f>
        <x:v>-10628363.958874226</x:v>
      </x:c>
      <x:c r="H377" s="15" t="n">
        <x:f>IF(AND(ISNUMBER(E377),ISNUMBER(F377),F377&gt;0),(E377-F377)/F377,"n.a.")</x:f>
        <x:v>-0.01755504313478883</x:v>
      </x:c>
      <x:c r="I377" s="19" t="n">
        <x:f>IF(ISNUMBER(H377),ABS(H377),"n.a.")</x:f>
        <x:v>0.01755504313478883</x:v>
      </x:c>
      <x:c r="J377" s="2" t="str">
        <x:v>available</x:v>
      </x:c>
      <x:c r="K377" s="2" t="n">
        <x:v>1</x:v>
      </x:c>
      <x:c r="L377" s="13" t="b">
        <x:v>0</x:v>
      </x:c>
      <x:c r="M377" s="13" t="b">
        <x:v>1</x:v>
      </x:c>
      <x:c r="N377" s="2" t="str">
        <x:v>unused2023converted-source comparator</x:v>
      </x:c>
      <x:c r="O377" s="2" t="str"/>
      <x:c r="P377" s="2" t="str">
        <x:v>assumption-based floor-area proxy</x:v>
      </x:c>
      <x:c r="Q377" s="2" t="str">
        <x:v>m2</x:v>
      </x:c>
      <x:c r="R377" s="17" t="n">
        <x:v>605430808.53</x:v>
      </x:c>
      <x:c r="S377" s="17"/>
      <x:c r="T377" s="18"/>
      <x:c r="U377" s="17" t="n">
        <x:v>584520286.2100008</x:v>
      </x:c>
      <x:c r="V377" s="2" t="str">
        <x:v>existing saved physical-floor-area proxy</x:v>
      </x:c>
      <x:c r="W377" s="2" t="str">
        <x:v>legacy_epoch_source_QA_passed; new_common_native_support_not_certified</x:v>
      </x:c>
      <x:c r="X377" s="2" t="str">
        <x:v>https://arxiv.org/abs/2511.12104</x:v>
      </x:c>
    </x:row>
    <x:row r="378" ht="23" customHeight="1">
      <x:c r="A378" s="2" t="str">
        <x:v>SSD</x:v>
      </x:c>
      <x:c r="B378" s="2" t="str">
        <x:v>South Sudan (Republic of)</x:v>
      </x:c>
      <x:c r="C378" s="2" t="n">
        <x:v>2023</x:v>
      </x:c>
      <x:c r="D378" s="2" t="str">
        <x:v>TEMPO_PROXY</x:v>
      </x:c>
      <x:c r="E378" s="17" t="n">
        <x:v>92690983.58884174</x:v>
      </x:c>
      <x:c r="F378" s="17" t="n">
        <x:f>IF(AND(M378,ISNUMBER(R378)),IF(D378="TEMPO_PROXY",R378,IF(AND(ISNUMBER(S378),S378&gt;0,ISNUMBER(U378)),U378*R378/S378,"n.a.")),"n.a.")</x:f>
        <x:v>87971259.95</x:v>
      </x:c>
      <x:c r="G378" s="17" t="n">
        <x:f>IF(AND(ISNUMBER(E378),ISNUMBER(F378)),E378-F378,"n.a.")</x:f>
        <x:v>4719723.638841733</x:v>
      </x:c>
      <x:c r="H378" s="15" t="n">
        <x:f>IF(AND(ISNUMBER(E378),ISNUMBER(F378),F378&gt;0),(E378-F378)/F378,"n.a.")</x:f>
        <x:v>0.053650745044737</x:v>
      </x:c>
      <x:c r="I378" s="19" t="n">
        <x:f>IF(ISNUMBER(H378),ABS(H378),"n.a.")</x:f>
        <x:v>0.053650745044737</x:v>
      </x:c>
      <x:c r="J378" s="2" t="str">
        <x:v>available</x:v>
      </x:c>
      <x:c r="K378" s="2" t="n">
        <x:v>1</x:v>
      </x:c>
      <x:c r="L378" s="13" t="b">
        <x:v>0</x:v>
      </x:c>
      <x:c r="M378" s="13" t="b">
        <x:v>1</x:v>
      </x:c>
      <x:c r="N378" s="2" t="str">
        <x:v>unused2023converted-source comparator</x:v>
      </x:c>
      <x:c r="O378" s="2" t="str"/>
      <x:c r="P378" s="2" t="str">
        <x:v>assumption-based floor-area proxy</x:v>
      </x:c>
      <x:c r="Q378" s="2" t="str">
        <x:v>m2</x:v>
      </x:c>
      <x:c r="R378" s="17" t="n">
        <x:v>87971259.95</x:v>
      </x:c>
      <x:c r="S378" s="17"/>
      <x:c r="T378" s="18"/>
      <x:c r="U378" s="17" t="n">
        <x:v>82483216.59000005</x:v>
      </x:c>
      <x:c r="V378" s="2" t="str">
        <x:v>existing saved physical-floor-area proxy</x:v>
      </x:c>
      <x:c r="W378" s="2" t="str">
        <x:v>legacy_epoch_source_QA_passed; new_common_native_support_not_certified</x:v>
      </x:c>
      <x:c r="X378" s="2" t="str">
        <x:v>https://arxiv.org/abs/2511.12104</x:v>
      </x:c>
    </x:row>
    <x:row r="379" ht="23" customHeight="1">
      <x:c r="A379" s="2" t="str">
        <x:v>STP</x:v>
      </x:c>
      <x:c r="B379" s="2" t="str">
        <x:v>Sao Tome and Principe (Democratic Republic of)</x:v>
      </x:c>
      <x:c r="C379" s="2" t="n">
        <x:v>2023</x:v>
      </x:c>
      <x:c r="D379" s="2" t="str">
        <x:v>TEMPO_PROXY</x:v>
      </x:c>
      <x:c r="E379" s="17" t="n">
        <x:v>6818483.323616166</x:v>
      </x:c>
      <x:c r="F379" s="17" t="n">
        <x:f>IF(AND(M379,ISNUMBER(R379)),IF(D379="TEMPO_PROXY",R379,IF(AND(ISNUMBER(S379),S379&gt;0,ISNUMBER(U379)),U379*R379/S379,"n.a.")),"n.a.")</x:f>
        <x:v>6216233.54</x:v>
      </x:c>
      <x:c r="G379" s="17" t="n">
        <x:f>IF(AND(ISNUMBER(E379),ISNUMBER(F379)),E379-F379,"n.a.")</x:f>
        <x:v>602249.7836161656</x:v>
      </x:c>
      <x:c r="H379" s="15" t="n">
        <x:f>IF(AND(ISNUMBER(E379),ISNUMBER(F379),F379&gt;0),(E379-F379)/F379,"n.a.")</x:f>
        <x:v>0.09688339084122724</x:v>
      </x:c>
      <x:c r="I379" s="19" t="n">
        <x:f>IF(ISNUMBER(H379),ABS(H379),"n.a.")</x:f>
        <x:v>0.09688339084122724</x:v>
      </x:c>
      <x:c r="J379" s="2" t="str">
        <x:v>available</x:v>
      </x:c>
      <x:c r="K379" s="2" t="n">
        <x:v>1</x:v>
      </x:c>
      <x:c r="L379" s="13" t="b">
        <x:v>0</x:v>
      </x:c>
      <x:c r="M379" s="13" t="b">
        <x:v>1</x:v>
      </x:c>
      <x:c r="N379" s="2" t="str">
        <x:v>unused2023converted-source comparator</x:v>
      </x:c>
      <x:c r="O379" s="2" t="str"/>
      <x:c r="P379" s="2" t="str">
        <x:v>assumption-based floor-area proxy</x:v>
      </x:c>
      <x:c r="Q379" s="2" t="str">
        <x:v>m2</x:v>
      </x:c>
      <x:c r="R379" s="17" t="n">
        <x:v>6216233.54</x:v>
      </x:c>
      <x:c r="S379" s="17"/>
      <x:c r="T379" s="18"/>
      <x:c r="U379" s="17" t="n">
        <x:v>6153544.550000003</x:v>
      </x:c>
      <x:c r="V379" s="2" t="str">
        <x:v>existing saved physical-floor-area proxy</x:v>
      </x:c>
      <x:c r="W379" s="2" t="str">
        <x:v>legacy_epoch_source_QA_passed; new_common_native_support_not_certified</x:v>
      </x:c>
      <x:c r="X379" s="2" t="str">
        <x:v>https://arxiv.org/abs/2511.12104</x:v>
      </x:c>
    </x:row>
    <x:row r="380" ht="23" customHeight="1">
      <x:c r="A380" s="2" t="str">
        <x:v>SUR</x:v>
      </x:c>
      <x:c r="B380" s="2" t="str">
        <x:v>Suriname (Republic of)</x:v>
      </x:c>
      <x:c r="C380" s="2" t="n">
        <x:v>2023</x:v>
      </x:c>
      <x:c r="D380" s="2" t="str">
        <x:v>TEMPO_PROXY</x:v>
      </x:c>
      <x:c r="E380" s="17" t="n">
        <x:v>53172347.76025656</x:v>
      </x:c>
      <x:c r="F380" s="17" t="n">
        <x:f>IF(AND(M380,ISNUMBER(R380)),IF(D380="TEMPO_PROXY",R380,IF(AND(ISNUMBER(S380),S380&gt;0,ISNUMBER(U380)),U380*R380/S380,"n.a.")),"n.a.")</x:f>
        <x:v>51982456.44</x:v>
      </x:c>
      <x:c r="G380" s="17" t="n">
        <x:f>IF(AND(ISNUMBER(E380),ISNUMBER(F380)),E380-F380,"n.a.")</x:f>
        <x:v>1189891.320256561</x:v>
      </x:c>
      <x:c r="H380" s="15" t="n">
        <x:f>IF(AND(ISNUMBER(E380),ISNUMBER(F380),F380&gt;0),(E380-F380)/F380,"n.a.")</x:f>
        <x:v>0.02289024801338459</x:v>
      </x:c>
      <x:c r="I380" s="19" t="n">
        <x:f>IF(ISNUMBER(H380),ABS(H380),"n.a.")</x:f>
        <x:v>0.02289024801338459</x:v>
      </x:c>
      <x:c r="J380" s="2" t="str">
        <x:v>available</x:v>
      </x:c>
      <x:c r="K380" s="2" t="n">
        <x:v>1</x:v>
      </x:c>
      <x:c r="L380" s="13" t="b">
        <x:v>0</x:v>
      </x:c>
      <x:c r="M380" s="13" t="b">
        <x:v>1</x:v>
      </x:c>
      <x:c r="N380" s="2" t="str">
        <x:v>unused2023converted-source comparator</x:v>
      </x:c>
      <x:c r="O380" s="2" t="str"/>
      <x:c r="P380" s="2" t="str">
        <x:v>assumption-based floor-area proxy</x:v>
      </x:c>
      <x:c r="Q380" s="2" t="str">
        <x:v>m2</x:v>
      </x:c>
      <x:c r="R380" s="17" t="n">
        <x:v>51982456.44</x:v>
      </x:c>
      <x:c r="S380" s="17"/>
      <x:c r="T380" s="18"/>
      <x:c r="U380" s="17" t="n">
        <x:v>50598825.22000002</x:v>
      </x:c>
      <x:c r="V380" s="2" t="str">
        <x:v>existing saved physical-floor-area proxy</x:v>
      </x:c>
      <x:c r="W380" s="2" t="str">
        <x:v>legacy_epoch_source_QA_passed; new_common_native_support_not_certified</x:v>
      </x:c>
      <x:c r="X380" s="2" t="str">
        <x:v>https://arxiv.org/abs/2511.12104</x:v>
      </x:c>
    </x:row>
    <x:row r="381" ht="23" customHeight="1">
      <x:c r="A381" s="2" t="str">
        <x:v>SVK</x:v>
      </x:c>
      <x:c r="B381" s="2" t="str">
        <x:v>Slovakia (Slovak Republic)</x:v>
      </x:c>
      <x:c r="C381" s="2" t="n">
        <x:v>2023</x:v>
      </x:c>
      <x:c r="D381" s="2" t="str">
        <x:v>TEMPO_PROXY</x:v>
      </x:c>
      <x:c r="E381" s="17" t="n">
        <x:v>412340398.81688684</x:v>
      </x:c>
      <x:c r="F381" s="17" t="n">
        <x:f>IF(AND(M381,ISNUMBER(R381)),IF(D381="TEMPO_PROXY",R381,IF(AND(ISNUMBER(S381),S381&gt;0,ISNUMBER(U381)),U381*R381/S381,"n.a.")),"n.a.")</x:f>
        <x:v>421745624.75</x:v>
      </x:c>
      <x:c r="G381" s="17" t="n">
        <x:f>IF(AND(ISNUMBER(E381),ISNUMBER(F381)),E381-F381,"n.a.")</x:f>
        <x:v>-9405225.933113158</x:v>
      </x:c>
      <x:c r="H381" s="15" t="n">
        <x:f>IF(AND(ISNUMBER(E381),ISNUMBER(F381),F381&gt;0),(E381-F381)/F381,"n.a.")</x:f>
        <x:v>-0.02230070777542348</x:v>
      </x:c>
      <x:c r="I381" s="19" t="n">
        <x:f>IF(ISNUMBER(H381),ABS(H381),"n.a.")</x:f>
        <x:v>0.02230070777542348</x:v>
      </x:c>
      <x:c r="J381" s="2" t="str">
        <x:v>available</x:v>
      </x:c>
      <x:c r="K381" s="2" t="n">
        <x:v>1</x:v>
      </x:c>
      <x:c r="L381" s="13" t="b">
        <x:v>0</x:v>
      </x:c>
      <x:c r="M381" s="13" t="b">
        <x:v>1</x:v>
      </x:c>
      <x:c r="N381" s="2" t="str">
        <x:v>unused2023converted-source comparator</x:v>
      </x:c>
      <x:c r="O381" s="2" t="str"/>
      <x:c r="P381" s="2" t="str">
        <x:v>assumption-based floor-area proxy</x:v>
      </x:c>
      <x:c r="Q381" s="2" t="str">
        <x:v>m2</x:v>
      </x:c>
      <x:c r="R381" s="17" t="n">
        <x:v>421745624.75</x:v>
      </x:c>
      <x:c r="S381" s="17"/>
      <x:c r="T381" s="18"/>
      <x:c r="U381" s="17" t="n">
        <x:v>391189188.0500002</x:v>
      </x:c>
      <x:c r="V381" s="2" t="str">
        <x:v>existing saved physical-floor-area proxy</x:v>
      </x:c>
      <x:c r="W381" s="2" t="str">
        <x:v>legacy_epoch_source_QA_passed; new_common_native_support_not_certified</x:v>
      </x:c>
      <x:c r="X381" s="2" t="str">
        <x:v>https://arxiv.org/abs/2511.12104</x:v>
      </x:c>
    </x:row>
    <x:row r="382" ht="23" customHeight="1">
      <x:c r="A382" s="2" t="str">
        <x:v>SVN</x:v>
      </x:c>
      <x:c r="B382" s="2" t="str">
        <x:v>Slovenia (Republic of)</x:v>
      </x:c>
      <x:c r="C382" s="2" t="n">
        <x:v>2023</x:v>
      </x:c>
      <x:c r="D382" s="2" t="str">
        <x:v>TEMPO_PROXY</x:v>
      </x:c>
      <x:c r="E382" s="17" t="n">
        <x:v>199590518.4316829</x:v>
      </x:c>
      <x:c r="F382" s="17" t="n">
        <x:f>IF(AND(M382,ISNUMBER(R382)),IF(D382="TEMPO_PROXY",R382,IF(AND(ISNUMBER(S382),S382&gt;0,ISNUMBER(U382)),U382*R382/S382,"n.a.")),"n.a.")</x:f>
        <x:v>198142046.73</x:v>
      </x:c>
      <x:c r="G382" s="17" t="n">
        <x:f>IF(AND(ISNUMBER(E382),ISNUMBER(F382)),E382-F382,"n.a.")</x:f>
        <x:v>1448471.7016829252</x:v>
      </x:c>
      <x:c r="H382" s="15" t="n">
        <x:f>IF(AND(ISNUMBER(E382),ISNUMBER(F382),F382&gt;0),(E382-F382)/F382,"n.a.")</x:f>
        <x:v>0.007310269201249838</x:v>
      </x:c>
      <x:c r="I382" s="19" t="n">
        <x:f>IF(ISNUMBER(H382),ABS(H382),"n.a.")</x:f>
        <x:v>0.007310269201249838</x:v>
      </x:c>
      <x:c r="J382" s="2" t="str">
        <x:v>available</x:v>
      </x:c>
      <x:c r="K382" s="2" t="n">
        <x:v>1</x:v>
      </x:c>
      <x:c r="L382" s="13" t="b">
        <x:v>0</x:v>
      </x:c>
      <x:c r="M382" s="13" t="b">
        <x:v>1</x:v>
      </x:c>
      <x:c r="N382" s="2" t="str">
        <x:v>unused2023converted-source comparator</x:v>
      </x:c>
      <x:c r="O382" s="2" t="str"/>
      <x:c r="P382" s="2" t="str">
        <x:v>assumption-based floor-area proxy</x:v>
      </x:c>
      <x:c r="Q382" s="2" t="str">
        <x:v>m2</x:v>
      </x:c>
      <x:c r="R382" s="17" t="n">
        <x:v>198142046.73</x:v>
      </x:c>
      <x:c r="S382" s="17"/>
      <x:c r="T382" s="18"/>
      <x:c r="U382" s="17" t="n">
        <x:v>188783306.59000015</x:v>
      </x:c>
      <x:c r="V382" s="2" t="str">
        <x:v>existing saved physical-floor-area proxy</x:v>
      </x:c>
      <x:c r="W382" s="2" t="str">
        <x:v>legacy_epoch_source_QA_passed; new_common_native_support_not_certified</x:v>
      </x:c>
      <x:c r="X382" s="2" t="str">
        <x:v>https://arxiv.org/abs/2511.12104</x:v>
      </x:c>
    </x:row>
    <x:row r="383" ht="23" customHeight="1">
      <x:c r="A383" s="2" t="str">
        <x:v>SWE</x:v>
      </x:c>
      <x:c r="B383" s="2" t="str">
        <x:v>Sweden (Kingdom of)</x:v>
      </x:c>
      <x:c r="C383" s="2" t="n">
        <x:v>2023</x:v>
      </x:c>
      <x:c r="D383" s="2" t="str">
        <x:v>TEMPO_PROXY</x:v>
      </x:c>
      <x:c r="E383" s="17" t="n">
        <x:v>964341597.2007422</x:v>
      </x:c>
      <x:c r="F383" s="17" t="n">
        <x:f>IF(AND(M383,ISNUMBER(R383)),IF(D383="TEMPO_PROXY",R383,IF(AND(ISNUMBER(S383),S383&gt;0,ISNUMBER(U383)),U383*R383/S383,"n.a.")),"n.a.")</x:f>
        <x:v>928478260.76</x:v>
      </x:c>
      <x:c r="G383" s="17" t="n">
        <x:f>IF(AND(ISNUMBER(E383),ISNUMBER(F383)),E383-F383,"n.a.")</x:f>
        <x:v>35863336.440742254</x:v>
      </x:c>
      <x:c r="H383" s="15" t="n">
        <x:f>IF(AND(ISNUMBER(E383),ISNUMBER(F383),F383&gt;0),(E383-F383)/F383,"n.a.")</x:f>
        <x:v>0.03862593014443499</x:v>
      </x:c>
      <x:c r="I383" s="19" t="n">
        <x:f>IF(ISNUMBER(H383),ABS(H383),"n.a.")</x:f>
        <x:v>0.03862593014443499</x:v>
      </x:c>
      <x:c r="J383" s="2" t="str">
        <x:v>available</x:v>
      </x:c>
      <x:c r="K383" s="2" t="n">
        <x:v>1</x:v>
      </x:c>
      <x:c r="L383" s="13" t="b">
        <x:v>0</x:v>
      </x:c>
      <x:c r="M383" s="13" t="b">
        <x:v>1</x:v>
      </x:c>
      <x:c r="N383" s="2" t="str">
        <x:v>unused2023converted-source comparator</x:v>
      </x:c>
      <x:c r="O383" s="2" t="str"/>
      <x:c r="P383" s="2" t="str">
        <x:v>assumption-based floor-area proxy</x:v>
      </x:c>
      <x:c r="Q383" s="2" t="str">
        <x:v>m2</x:v>
      </x:c>
      <x:c r="R383" s="17" t="n">
        <x:v>928478260.76</x:v>
      </x:c>
      <x:c r="S383" s="17"/>
      <x:c r="T383" s="18"/>
      <x:c r="U383" s="17" t="n">
        <x:v>860750073.0500002</x:v>
      </x:c>
      <x:c r="V383" s="2" t="str">
        <x:v>existing saved physical-floor-area proxy</x:v>
      </x:c>
      <x:c r="W383" s="2" t="str">
        <x:v>legacy_epoch_source_QA_passed; new_common_native_support_not_certified</x:v>
      </x:c>
      <x:c r="X383" s="2" t="str">
        <x:v>https://arxiv.org/abs/2511.12104</x:v>
      </x:c>
    </x:row>
    <x:row r="384" ht="23" customHeight="1">
      <x:c r="A384" s="2" t="str">
        <x:v>SWZ</x:v>
      </x:c>
      <x:c r="B384" s="2" t="str">
        <x:v>Eswatini (Kingdom of)</x:v>
      </x:c>
      <x:c r="C384" s="2" t="n">
        <x:v>2023</x:v>
      </x:c>
      <x:c r="D384" s="2" t="str">
        <x:v>TEMPO_PROXY</x:v>
      </x:c>
      <x:c r="E384" s="17" t="n">
        <x:v>53055083.172159255</x:v>
      </x:c>
      <x:c r="F384" s="17" t="n">
        <x:f>IF(AND(M384,ISNUMBER(R384)),IF(D384="TEMPO_PROXY",R384,IF(AND(ISNUMBER(S384),S384&gt;0,ISNUMBER(U384)),U384*R384/S384,"n.a.")),"n.a.")</x:f>
        <x:v>54818020.65</x:v>
      </x:c>
      <x:c r="G384" s="17" t="n">
        <x:f>IF(AND(ISNUMBER(E384),ISNUMBER(F384)),E384-F384,"n.a.")</x:f>
        <x:v>-1762937.477840744</x:v>
      </x:c>
      <x:c r="H384" s="15" t="n">
        <x:f>IF(AND(ISNUMBER(E384),ISNUMBER(F384),F384&gt;0),(E384-F384)/F384,"n.a.")</x:f>
        <x:v>-0.03215981636945047</x:v>
      </x:c>
      <x:c r="I384" s="19" t="n">
        <x:f>IF(ISNUMBER(H384),ABS(H384),"n.a.")</x:f>
        <x:v>0.03215981636945047</x:v>
      </x:c>
      <x:c r="J384" s="2" t="str">
        <x:v>available</x:v>
      </x:c>
      <x:c r="K384" s="2" t="n">
        <x:v>1</x:v>
      </x:c>
      <x:c r="L384" s="13" t="b">
        <x:v>0</x:v>
      </x:c>
      <x:c r="M384" s="13" t="b">
        <x:v>1</x:v>
      </x:c>
      <x:c r="N384" s="2" t="str">
        <x:v>unused2023converted-source comparator</x:v>
      </x:c>
      <x:c r="O384" s="2" t="str"/>
      <x:c r="P384" s="2" t="str">
        <x:v>assumption-based floor-area proxy</x:v>
      </x:c>
      <x:c r="Q384" s="2" t="str">
        <x:v>m2</x:v>
      </x:c>
      <x:c r="R384" s="17" t="n">
        <x:v>54818020.65</x:v>
      </x:c>
      <x:c r="S384" s="17"/>
      <x:c r="T384" s="18"/>
      <x:c r="U384" s="17" t="n">
        <x:v>51228621.629999995</x:v>
      </x:c>
      <x:c r="V384" s="2" t="str">
        <x:v>existing saved physical-floor-area proxy</x:v>
      </x:c>
      <x:c r="W384" s="2" t="str">
        <x:v>legacy_epoch_source_QA_passed; new_common_native_support_not_certified</x:v>
      </x:c>
      <x:c r="X384" s="2" t="str">
        <x:v>https://arxiv.org/abs/2511.12104</x:v>
      </x:c>
    </x:row>
    <x:row r="385" ht="23" customHeight="1">
      <x:c r="A385" s="2" t="str">
        <x:v>SYC</x:v>
      </x:c>
      <x:c r="B385" s="2" t="str">
        <x:v>Seychelles (Republic of)</x:v>
      </x:c>
      <x:c r="C385" s="2" t="n">
        <x:v>2023</x:v>
      </x:c>
      <x:c r="D385" s="2" t="str">
        <x:v>TEMPO_PROXY</x:v>
      </x:c>
      <x:c r="E385" s="17" t="n">
        <x:v>8032324.393538225</x:v>
      </x:c>
      <x:c r="F385" s="17" t="n">
        <x:f>IF(AND(M385,ISNUMBER(R385)),IF(D385="TEMPO_PROXY",R385,IF(AND(ISNUMBER(S385),S385&gt;0,ISNUMBER(U385)),U385*R385/S385,"n.a.")),"n.a.")</x:f>
        <x:v>7673242.18</x:v>
      </x:c>
      <x:c r="G385" s="17" t="n">
        <x:f>IF(AND(ISNUMBER(E385),ISNUMBER(F385)),E385-F385,"n.a.")</x:f>
        <x:v>359082.21353822574</x:v>
      </x:c>
      <x:c r="H385" s="15" t="n">
        <x:f>IF(AND(ISNUMBER(E385),ISNUMBER(F385),F385&gt;0),(E385-F385)/F385,"n.a.")</x:f>
        <x:v>0.04679667409353496</x:v>
      </x:c>
      <x:c r="I385" s="19" t="n">
        <x:f>IF(ISNUMBER(H385),ABS(H385),"n.a.")</x:f>
        <x:v>0.04679667409353496</x:v>
      </x:c>
      <x:c r="J385" s="2" t="str">
        <x:v>available</x:v>
      </x:c>
      <x:c r="K385" s="2" t="n">
        <x:v>1</x:v>
      </x:c>
      <x:c r="L385" s="13" t="b">
        <x:v>0</x:v>
      </x:c>
      <x:c r="M385" s="13" t="b">
        <x:v>1</x:v>
      </x:c>
      <x:c r="N385" s="2" t="str">
        <x:v>unused2023converted-source comparator</x:v>
      </x:c>
      <x:c r="O385" s="2" t="str"/>
      <x:c r="P385" s="2" t="str">
        <x:v>assumption-based floor-area proxy</x:v>
      </x:c>
      <x:c r="Q385" s="2" t="str">
        <x:v>m2</x:v>
      </x:c>
      <x:c r="R385" s="17" t="n">
        <x:v>7673242.18</x:v>
      </x:c>
      <x:c r="S385" s="17"/>
      <x:c r="T385" s="18"/>
      <x:c r="U385" s="17" t="n">
        <x:v>7317572.880000001</x:v>
      </x:c>
      <x:c r="V385" s="2" t="str">
        <x:v>existing saved physical-floor-area proxy</x:v>
      </x:c>
      <x:c r="W385" s="2" t="str">
        <x:v>legacy_epoch_source_QA_passed; new_common_native_support_not_certified</x:v>
      </x:c>
      <x:c r="X385" s="2" t="str">
        <x:v>https://arxiv.org/abs/2511.12104</x:v>
      </x:c>
    </x:row>
    <x:row r="386" ht="23" customHeight="1">
      <x:c r="A386" s="2" t="str">
        <x:v>SYR</x:v>
      </x:c>
      <x:c r="B386" s="2" t="str">
        <x:v>Syrian Arab Republic</x:v>
      </x:c>
      <x:c r="C386" s="2" t="n">
        <x:v>2023</x:v>
      </x:c>
      <x:c r="D386" s="2" t="str">
        <x:v>TEMPO_PROXY</x:v>
      </x:c>
      <x:c r="E386" s="17" t="n">
        <x:v>894113829.7998247</x:v>
      </x:c>
      <x:c r="F386" s="17" t="n">
        <x:f>IF(AND(M386,ISNUMBER(R386)),IF(D386="TEMPO_PROXY",R386,IF(AND(ISNUMBER(S386),S386&gt;0,ISNUMBER(U386)),U386*R386/S386,"n.a.")),"n.a.")</x:f>
        <x:v>824666220.12</x:v>
      </x:c>
      <x:c r="G386" s="17" t="n">
        <x:f>IF(AND(ISNUMBER(E386),ISNUMBER(F386)),E386-F386,"n.a.")</x:f>
        <x:v>69447609.67982471</x:v>
      </x:c>
      <x:c r="H386" s="15" t="n">
        <x:f>IF(AND(ISNUMBER(E386),ISNUMBER(F386),F386&gt;0),(E386-F386)/F386,"n.a.")</x:f>
        <x:v>0.08421299185714089</x:v>
      </x:c>
      <x:c r="I386" s="19" t="n">
        <x:f>IF(ISNUMBER(H386),ABS(H386),"n.a.")</x:f>
        <x:v>0.08421299185714089</x:v>
      </x:c>
      <x:c r="J386" s="2" t="str">
        <x:v>available</x:v>
      </x:c>
      <x:c r="K386" s="2" t="n">
        <x:v>1</x:v>
      </x:c>
      <x:c r="L386" s="13" t="b">
        <x:v>0</x:v>
      </x:c>
      <x:c r="M386" s="13" t="b">
        <x:v>1</x:v>
      </x:c>
      <x:c r="N386" s="2" t="str">
        <x:v>unused2023converted-source comparator</x:v>
      </x:c>
      <x:c r="O386" s="2" t="str"/>
      <x:c r="P386" s="2" t="str">
        <x:v>assumption-based floor-area proxy</x:v>
      </x:c>
      <x:c r="Q386" s="2" t="str">
        <x:v>m2</x:v>
      </x:c>
      <x:c r="R386" s="17" t="n">
        <x:v>824666220.12</x:v>
      </x:c>
      <x:c r="S386" s="17"/>
      <x:c r="T386" s="18"/>
      <x:c r="U386" s="17" t="n">
        <x:v>795482211.65</x:v>
      </x:c>
      <x:c r="V386" s="2" t="str">
        <x:v>existing saved physical-floor-area proxy</x:v>
      </x:c>
      <x:c r="W386" s="2" t="str">
        <x:v>legacy_epoch_source_QA_passed; new_common_native_support_not_certified</x:v>
      </x:c>
      <x:c r="X386" s="2" t="str">
        <x:v>https://arxiv.org/abs/2511.12104</x:v>
      </x:c>
    </x:row>
    <x:row r="387" ht="23" customHeight="1">
      <x:c r="A387" s="2" t="str">
        <x:v>TCD</x:v>
      </x:c>
      <x:c r="B387" s="2" t="str">
        <x:v>Chad (Republic of)</x:v>
      </x:c>
      <x:c r="C387" s="2" t="n">
        <x:v>2023</x:v>
      </x:c>
      <x:c r="D387" s="2" t="str">
        <x:v>TEMPO_PROXY</x:v>
      </x:c>
      <x:c r="E387" s="17" t="n">
        <x:v>144627097.09096757</x:v>
      </x:c>
      <x:c r="F387" s="17" t="n">
        <x:f>IF(AND(M387,ISNUMBER(R387)),IF(D387="TEMPO_PROXY",R387,IF(AND(ISNUMBER(S387),S387&gt;0,ISNUMBER(U387)),U387*R387/S387,"n.a.")),"n.a.")</x:f>
        <x:v>139916047.9</x:v>
      </x:c>
      <x:c r="G387" s="17" t="n">
        <x:f>IF(AND(ISNUMBER(E387),ISNUMBER(F387)),E387-F387,"n.a.")</x:f>
        <x:v>4711049.19096756</x:v>
      </x:c>
      <x:c r="H387" s="15" t="n">
        <x:f>IF(AND(ISNUMBER(E387),ISNUMBER(F387),F387&gt;0),(E387-F387)/F387,"n.a.")</x:f>
        <x:v>0.03367054216922003</x:v>
      </x:c>
      <x:c r="I387" s="19" t="n">
        <x:f>IF(ISNUMBER(H387),ABS(H387),"n.a.")</x:f>
        <x:v>0.03367054216922003</x:v>
      </x:c>
      <x:c r="J387" s="2" t="str">
        <x:v>available</x:v>
      </x:c>
      <x:c r="K387" s="2" t="n">
        <x:v>1</x:v>
      </x:c>
      <x:c r="L387" s="13" t="b">
        <x:v>0</x:v>
      </x:c>
      <x:c r="M387" s="13" t="b">
        <x:v>1</x:v>
      </x:c>
      <x:c r="N387" s="2" t="str">
        <x:v>unused2023converted-source comparator</x:v>
      </x:c>
      <x:c r="O387" s="2" t="str"/>
      <x:c r="P387" s="2" t="str">
        <x:v>assumption-based floor-area proxy</x:v>
      </x:c>
      <x:c r="Q387" s="2" t="str">
        <x:v>m2</x:v>
      </x:c>
      <x:c r="R387" s="17" t="n">
        <x:v>139916047.9</x:v>
      </x:c>
      <x:c r="S387" s="17"/>
      <x:c r="T387" s="18"/>
      <x:c r="U387" s="17" t="n">
        <x:v>126450494.21999988</x:v>
      </x:c>
      <x:c r="V387" s="2" t="str">
        <x:v>existing saved physical-floor-area proxy</x:v>
      </x:c>
      <x:c r="W387" s="2" t="str">
        <x:v>legacy_epoch_source_QA_passed; new_common_native_support_not_certified</x:v>
      </x:c>
      <x:c r="X387" s="2" t="str">
        <x:v>https://arxiv.org/abs/2511.12104</x:v>
      </x:c>
    </x:row>
    <x:row r="388" ht="23" customHeight="1">
      <x:c r="A388" s="2" t="str">
        <x:v>TGO</x:v>
      </x:c>
      <x:c r="B388" s="2" t="str">
        <x:v>Togo (Togolese Republic)</x:v>
      </x:c>
      <x:c r="C388" s="2" t="n">
        <x:v>2023</x:v>
      </x:c>
      <x:c r="D388" s="2" t="str">
        <x:v>TEMPO_PROXY</x:v>
      </x:c>
      <x:c r="E388" s="17" t="n">
        <x:v>202627737.73450005</x:v>
      </x:c>
      <x:c r="F388" s="17" t="n">
        <x:f>IF(AND(M388,ISNUMBER(R388)),IF(D388="TEMPO_PROXY",R388,IF(AND(ISNUMBER(S388),S388&gt;0,ISNUMBER(U388)),U388*R388/S388,"n.a.")),"n.a.")</x:f>
        <x:v>209305536.68</x:v>
      </x:c>
      <x:c r="G388" s="17" t="n">
        <x:f>IF(AND(ISNUMBER(E388),ISNUMBER(F388)),E388-F388,"n.a.")</x:f>
        <x:v>-6677798.945499957</x:v>
      </x:c>
      <x:c r="H388" s="15" t="n">
        <x:f>IF(AND(ISNUMBER(E388),ISNUMBER(F388),F388&gt;0),(E388-F388)/F388,"n.a.")</x:f>
        <x:v>-0.03190454992936671</x:v>
      </x:c>
      <x:c r="I388" s="19" t="n">
        <x:f>IF(ISNUMBER(H388),ABS(H388),"n.a.")</x:f>
        <x:v>0.03190454992936671</x:v>
      </x:c>
      <x:c r="J388" s="2" t="str">
        <x:v>available</x:v>
      </x:c>
      <x:c r="K388" s="2" t="n">
        <x:v>1</x:v>
      </x:c>
      <x:c r="L388" s="13" t="b">
        <x:v>0</x:v>
      </x:c>
      <x:c r="M388" s="13" t="b">
        <x:v>1</x:v>
      </x:c>
      <x:c r="N388" s="2" t="str">
        <x:v>unused2023converted-source comparator</x:v>
      </x:c>
      <x:c r="O388" s="2" t="str"/>
      <x:c r="P388" s="2" t="str">
        <x:v>assumption-based floor-area proxy</x:v>
      </x:c>
      <x:c r="Q388" s="2" t="str">
        <x:v>m2</x:v>
      </x:c>
      <x:c r="R388" s="17" t="n">
        <x:v>209305536.68</x:v>
      </x:c>
      <x:c r="S388" s="17"/>
      <x:c r="T388" s="18"/>
      <x:c r="U388" s="17" t="n">
        <x:v>185693532.7300002</x:v>
      </x:c>
      <x:c r="V388" s="2" t="str">
        <x:v>existing saved physical-floor-area proxy</x:v>
      </x:c>
      <x:c r="W388" s="2" t="str">
        <x:v>legacy_epoch_source_QA_passed; new_common_native_support_not_certified</x:v>
      </x:c>
      <x:c r="X388" s="2" t="str">
        <x:v>https://arxiv.org/abs/2511.12104</x:v>
      </x:c>
    </x:row>
    <x:row r="389" ht="23" customHeight="1">
      <x:c r="A389" s="2" t="str">
        <x:v>THA</x:v>
      </x:c>
      <x:c r="B389" s="2" t="str">
        <x:v>Thailand (Kingdom of)</x:v>
      </x:c>
      <x:c r="C389" s="2" t="n">
        <x:v>2023</x:v>
      </x:c>
      <x:c r="D389" s="2" t="str">
        <x:v>TEMPO_PROXY</x:v>
      </x:c>
      <x:c r="E389" s="17" t="n">
        <x:v>5408286735.094725</x:v>
      </x:c>
      <x:c r="F389" s="17" t="n">
        <x:f>IF(AND(M389,ISNUMBER(R389)),IF(D389="TEMPO_PROXY",R389,IF(AND(ISNUMBER(S389),S389&gt;0,ISNUMBER(U389)),U389*R389/S389,"n.a.")),"n.a.")</x:f>
        <x:v>5667036516.15</x:v>
      </x:c>
      <x:c r="G389" s="17" t="n">
        <x:f>IF(AND(ISNUMBER(E389),ISNUMBER(F389)),E389-F389,"n.a.")</x:f>
        <x:v>-258749781.05527496</x:v>
      </x:c>
      <x:c r="H389" s="15" t="n">
        <x:f>IF(AND(ISNUMBER(E389),ISNUMBER(F389),F389&gt;0),(E389-F389)/F389,"n.a.")</x:f>
        <x:v>-0.045658746033819655</x:v>
      </x:c>
      <x:c r="I389" s="19" t="n">
        <x:f>IF(ISNUMBER(H389),ABS(H389),"n.a.")</x:f>
        <x:v>0.045658746033819655</x:v>
      </x:c>
      <x:c r="J389" s="2" t="str">
        <x:v>available</x:v>
      </x:c>
      <x:c r="K389" s="2" t="n">
        <x:v>1</x:v>
      </x:c>
      <x:c r="L389" s="13" t="b">
        <x:v>0</x:v>
      </x:c>
      <x:c r="M389" s="13" t="b">
        <x:v>1</x:v>
      </x:c>
      <x:c r="N389" s="2" t="str">
        <x:v>unused2023converted-source comparator</x:v>
      </x:c>
      <x:c r="O389" s="2" t="str"/>
      <x:c r="P389" s="2" t="str">
        <x:v>assumption-based floor-area proxy</x:v>
      </x:c>
      <x:c r="Q389" s="2" t="str">
        <x:v>m2</x:v>
      </x:c>
      <x:c r="R389" s="17" t="n">
        <x:v>5667036516.15</x:v>
      </x:c>
      <x:c r="S389" s="17"/>
      <x:c r="T389" s="18"/>
      <x:c r="U389" s="17" t="n">
        <x:v>5229846890.149993</x:v>
      </x:c>
      <x:c r="V389" s="2" t="str">
        <x:v>existing saved physical-floor-area proxy</x:v>
      </x:c>
      <x:c r="W389" s="2" t="str">
        <x:v>legacy_epoch_source_QA_passed; new_common_native_support_not_certified</x:v>
      </x:c>
      <x:c r="X389" s="2" t="str">
        <x:v>https://arxiv.org/abs/2511.12104</x:v>
      </x:c>
    </x:row>
    <x:row r="390" ht="23" customHeight="1">
      <x:c r="A390" s="2" t="str">
        <x:v>TJK</x:v>
      </x:c>
      <x:c r="B390" s="2" t="str">
        <x:v>Tajikistan (Republic of)</x:v>
      </x:c>
      <x:c r="C390" s="2" t="n">
        <x:v>2023</x:v>
      </x:c>
      <x:c r="D390" s="2" t="str">
        <x:v>TEMPO_PROXY</x:v>
      </x:c>
      <x:c r="E390" s="17" t="n">
        <x:v>421817980.74880624</x:v>
      </x:c>
      <x:c r="F390" s="17" t="n">
        <x:f>IF(AND(M390,ISNUMBER(R390)),IF(D390="TEMPO_PROXY",R390,IF(AND(ISNUMBER(S390),S390&gt;0,ISNUMBER(U390)),U390*R390/S390,"n.a.")),"n.a.")</x:f>
        <x:v>429052966.63</x:v>
      </x:c>
      <x:c r="G390" s="17" t="n">
        <x:f>IF(AND(ISNUMBER(E390),ISNUMBER(F390)),E390-F390,"n.a.")</x:f>
        <x:v>-7234985.881193757</x:v>
      </x:c>
      <x:c r="H390" s="15" t="n">
        <x:f>IF(AND(ISNUMBER(E390),ISNUMBER(F390),F390&gt;0),(E390-F390)/F390,"n.a.")</x:f>
        <x:v>-0.016862686996482072</x:v>
      </x:c>
      <x:c r="I390" s="19" t="n">
        <x:f>IF(ISNUMBER(H390),ABS(H390),"n.a.")</x:f>
        <x:v>0.016862686996482072</x:v>
      </x:c>
      <x:c r="J390" s="2" t="str">
        <x:v>available</x:v>
      </x:c>
      <x:c r="K390" s="2" t="n">
        <x:v>1</x:v>
      </x:c>
      <x:c r="L390" s="13" t="b">
        <x:v>0</x:v>
      </x:c>
      <x:c r="M390" s="13" t="b">
        <x:v>1</x:v>
      </x:c>
      <x:c r="N390" s="2" t="str">
        <x:v>unused2023converted-source comparator</x:v>
      </x:c>
      <x:c r="O390" s="2" t="str"/>
      <x:c r="P390" s="2" t="str">
        <x:v>assumption-based floor-area proxy</x:v>
      </x:c>
      <x:c r="Q390" s="2" t="str">
        <x:v>m2</x:v>
      </x:c>
      <x:c r="R390" s="17" t="n">
        <x:v>429052966.63</x:v>
      </x:c>
      <x:c r="S390" s="17"/>
      <x:c r="T390" s="18"/>
      <x:c r="U390" s="17" t="n">
        <x:v>392955797.9200004</x:v>
      </x:c>
      <x:c r="V390" s="2" t="str">
        <x:v>existing saved physical-floor-area proxy</x:v>
      </x:c>
      <x:c r="W390" s="2" t="str">
        <x:v>legacy_epoch_source_QA_passed; new_common_native_support_not_certified</x:v>
      </x:c>
      <x:c r="X390" s="2" t="str">
        <x:v>https://arxiv.org/abs/2511.12104</x:v>
      </x:c>
    </x:row>
    <x:row r="391" ht="23" customHeight="1">
      <x:c r="A391" s="2" t="str">
        <x:v>TKM</x:v>
      </x:c>
      <x:c r="B391" s="2" t="str">
        <x:v>Turkmenistan</x:v>
      </x:c>
      <x:c r="C391" s="2" t="n">
        <x:v>2023</x:v>
      </x:c>
      <x:c r="D391" s="2" t="str">
        <x:v>TEMPO_PROXY</x:v>
      </x:c>
      <x:c r="E391" s="17" t="n">
        <x:v>380873674.62837243</x:v>
      </x:c>
      <x:c r="F391" s="17" t="n">
        <x:f>IF(AND(M391,ISNUMBER(R391)),IF(D391="TEMPO_PROXY",R391,IF(AND(ISNUMBER(S391),S391&gt;0,ISNUMBER(U391)),U391*R391/S391,"n.a.")),"n.a.")</x:f>
        <x:v>394619540.28</x:v>
      </x:c>
      <x:c r="G391" s="17" t="n">
        <x:f>IF(AND(ISNUMBER(E391),ISNUMBER(F391)),E391-F391,"n.a.")</x:f>
        <x:v>-13745865.65162754</x:v>
      </x:c>
      <x:c r="H391" s="15" t="n">
        <x:f>IF(AND(ISNUMBER(E391),ISNUMBER(F391),F391&gt;0),(E391-F391)/F391,"n.a.")</x:f>
        <x:v>-0.034833210848794365</x:v>
      </x:c>
      <x:c r="I391" s="19" t="n">
        <x:f>IF(ISNUMBER(H391),ABS(H391),"n.a.")</x:f>
        <x:v>0.034833210848794365</x:v>
      </x:c>
      <x:c r="J391" s="2" t="str">
        <x:v>available</x:v>
      </x:c>
      <x:c r="K391" s="2" t="n">
        <x:v>1</x:v>
      </x:c>
      <x:c r="L391" s="13" t="b">
        <x:v>0</x:v>
      </x:c>
      <x:c r="M391" s="13" t="b">
        <x:v>1</x:v>
      </x:c>
      <x:c r="N391" s="2" t="str">
        <x:v>unused2023converted-source comparator</x:v>
      </x:c>
      <x:c r="O391" s="2" t="str"/>
      <x:c r="P391" s="2" t="str">
        <x:v>assumption-based floor-area proxy</x:v>
      </x:c>
      <x:c r="Q391" s="2" t="str">
        <x:v>m2</x:v>
      </x:c>
      <x:c r="R391" s="17" t="n">
        <x:v>394619540.28</x:v>
      </x:c>
      <x:c r="S391" s="17"/>
      <x:c r="T391" s="18"/>
      <x:c r="U391" s="17" t="n">
        <x:v>359976676.1500005</x:v>
      </x:c>
      <x:c r="V391" s="2" t="str">
        <x:v>existing saved physical-floor-area proxy</x:v>
      </x:c>
      <x:c r="W391" s="2" t="str">
        <x:v>legacy_epoch_source_QA_passed; new_common_native_support_not_certified</x:v>
      </x:c>
      <x:c r="X391" s="2" t="str">
        <x:v>https://arxiv.org/abs/2511.12104</x:v>
      </x:c>
    </x:row>
    <x:row r="392" ht="23" customHeight="1">
      <x:c r="A392" s="2" t="str">
        <x:v>TLS</x:v>
      </x:c>
      <x:c r="B392" s="2" t="str">
        <x:v>Timor-Leste (Democratic Republic of)</x:v>
      </x:c>
      <x:c r="C392" s="2" t="n">
        <x:v>2023</x:v>
      </x:c>
      <x:c r="D392" s="2" t="str">
        <x:v>TEMPO_PROXY</x:v>
      </x:c>
      <x:c r="E392" s="17" t="n">
        <x:v>45360163.36270319</x:v>
      </x:c>
      <x:c r="F392" s="17" t="n">
        <x:f>IF(AND(M392,ISNUMBER(R392)),IF(D392="TEMPO_PROXY",R392,IF(AND(ISNUMBER(S392),S392&gt;0,ISNUMBER(U392)),U392*R392/S392,"n.a.")),"n.a.")</x:f>
        <x:v>44023426.68</x:v>
      </x:c>
      <x:c r="G392" s="17" t="n">
        <x:f>IF(AND(ISNUMBER(E392),ISNUMBER(F392)),E392-F392,"n.a.")</x:f>
        <x:v>1336736.6827031896</x:v>
      </x:c>
      <x:c r="H392" s="15" t="n">
        <x:f>IF(AND(ISNUMBER(E392),ISNUMBER(F392),F392&gt;0),(E392-F392)/F392,"n.a.")</x:f>
        <x:v>0.030364212500306655</x:v>
      </x:c>
      <x:c r="I392" s="19" t="n">
        <x:f>IF(ISNUMBER(H392),ABS(H392),"n.a.")</x:f>
        <x:v>0.030364212500306655</x:v>
      </x:c>
      <x:c r="J392" s="2" t="str">
        <x:v>available</x:v>
      </x:c>
      <x:c r="K392" s="2" t="n">
        <x:v>1</x:v>
      </x:c>
      <x:c r="L392" s="13" t="b">
        <x:v>0</x:v>
      </x:c>
      <x:c r="M392" s="13" t="b">
        <x:v>1</x:v>
      </x:c>
      <x:c r="N392" s="2" t="str">
        <x:v>unused2023converted-source comparator</x:v>
      </x:c>
      <x:c r="O392" s="2" t="str"/>
      <x:c r="P392" s="2" t="str">
        <x:v>assumption-based floor-area proxy</x:v>
      </x:c>
      <x:c r="Q392" s="2" t="str">
        <x:v>m2</x:v>
      </x:c>
      <x:c r="R392" s="17" t="n">
        <x:v>44023426.68</x:v>
      </x:c>
      <x:c r="S392" s="17"/>
      <x:c r="T392" s="18"/>
      <x:c r="U392" s="17" t="n">
        <x:v>41213693.90000002</x:v>
      </x:c>
      <x:c r="V392" s="2" t="str">
        <x:v>existing saved physical-floor-area proxy</x:v>
      </x:c>
      <x:c r="W392" s="2" t="str">
        <x:v>legacy_epoch_source_QA_passed; new_common_native_support_not_certified</x:v>
      </x:c>
      <x:c r="X392" s="2" t="str">
        <x:v>https://arxiv.org/abs/2511.12104</x:v>
      </x:c>
    </x:row>
    <x:row r="393" ht="23" customHeight="1">
      <x:c r="A393" s="2" t="str">
        <x:v>TON</x:v>
      </x:c>
      <x:c r="B393" s="2" t="str">
        <x:v>Tonga (Kingdom of)</x:v>
      </x:c>
      <x:c r="C393" s="2" t="n">
        <x:v>2023</x:v>
      </x:c>
      <x:c r="D393" s="2" t="str">
        <x:v>TEMPO_PROXY</x:v>
      </x:c>
      <x:c r="E393" s="17" t="n">
        <x:v>4799653.787733948</x:v>
      </x:c>
      <x:c r="F393" s="17" t="n">
        <x:f>IF(AND(M393,ISNUMBER(R393)),IF(D393="TEMPO_PROXY",R393,IF(AND(ISNUMBER(S393),S393&gt;0,ISNUMBER(U393)),U393*R393/S393,"n.a.")),"n.a.")</x:f>
        <x:v>4976616.78</x:v>
      </x:c>
      <x:c r="G393" s="17" t="n">
        <x:f>IF(AND(ISNUMBER(E393),ISNUMBER(F393)),E393-F393,"n.a.")</x:f>
        <x:v>-176962.9922660524</x:v>
      </x:c>
      <x:c r="H393" s="15" t="n">
        <x:f>IF(AND(ISNUMBER(E393),ISNUMBER(F393),F393&gt;0),(E393-F393)/F393,"n.a.")</x:f>
        <x:v>-0.03555889474496616</x:v>
      </x:c>
      <x:c r="I393" s="19" t="n">
        <x:f>IF(ISNUMBER(H393),ABS(H393),"n.a.")</x:f>
        <x:v>0.03555889474496616</x:v>
      </x:c>
      <x:c r="J393" s="2" t="str">
        <x:v>available</x:v>
      </x:c>
      <x:c r="K393" s="2" t="n">
        <x:v>1</x:v>
      </x:c>
      <x:c r="L393" s="13" t="b">
        <x:v>0</x:v>
      </x:c>
      <x:c r="M393" s="13" t="b">
        <x:v>1</x:v>
      </x:c>
      <x:c r="N393" s="2" t="str">
        <x:v>unused2023converted-source comparator</x:v>
      </x:c>
      <x:c r="O393" s="2" t="str"/>
      <x:c r="P393" s="2" t="str">
        <x:v>assumption-based floor-area proxy</x:v>
      </x:c>
      <x:c r="Q393" s="2" t="str">
        <x:v>m2</x:v>
      </x:c>
      <x:c r="R393" s="17" t="n">
        <x:v>4976616.78</x:v>
      </x:c>
      <x:c r="S393" s="17"/>
      <x:c r="T393" s="18"/>
      <x:c r="U393" s="17" t="n">
        <x:v>4719083.849999997</x:v>
      </x:c>
      <x:c r="V393" s="2" t="str">
        <x:v>existing saved physical-floor-area proxy</x:v>
      </x:c>
      <x:c r="W393" s="2" t="str">
        <x:v>legacy_epoch_source_QA_passed; new_common_native_support_not_certified</x:v>
      </x:c>
      <x:c r="X393" s="2" t="str">
        <x:v>https://arxiv.org/abs/2511.12104</x:v>
      </x:c>
    </x:row>
    <x:row r="394" ht="23" customHeight="1">
      <x:c r="A394" s="2" t="str">
        <x:v>TTO</x:v>
      </x:c>
      <x:c r="B394" s="2" t="str">
        <x:v>Trinidad and Tobago (Republic of)</x:v>
      </x:c>
      <x:c r="C394" s="2" t="n">
        <x:v>2023</x:v>
      </x:c>
      <x:c r="D394" s="2" t="str">
        <x:v>TEMPO_PROXY</x:v>
      </x:c>
      <x:c r="E394" s="17" t="n">
        <x:v>104987205.95667483</x:v>
      </x:c>
      <x:c r="F394" s="17" t="n">
        <x:f>IF(AND(M394,ISNUMBER(R394)),IF(D394="TEMPO_PROXY",R394,IF(AND(ISNUMBER(S394),S394&gt;0,ISNUMBER(U394)),U394*R394/S394,"n.a.")),"n.a.")</x:f>
        <x:v>104234034.7</x:v>
      </x:c>
      <x:c r="G394" s="17" t="n">
        <x:f>IF(AND(ISNUMBER(E394),ISNUMBER(F394)),E394-F394,"n.a.")</x:f>
        <x:v>753171.2566748261</x:v>
      </x:c>
      <x:c r="H394" s="15" t="n">
        <x:f>IF(AND(ISNUMBER(E394),ISNUMBER(F394),F394&gt;0),(E394-F394)/F394,"n.a.")</x:f>
        <x:v>0.00722577091870767</x:v>
      </x:c>
      <x:c r="I394" s="19" t="n">
        <x:f>IF(ISNUMBER(H394),ABS(H394),"n.a.")</x:f>
        <x:v>0.00722577091870767</x:v>
      </x:c>
      <x:c r="J394" s="2" t="str">
        <x:v>available</x:v>
      </x:c>
      <x:c r="K394" s="2" t="n">
        <x:v>1</x:v>
      </x:c>
      <x:c r="L394" s="13" t="b">
        <x:v>0</x:v>
      </x:c>
      <x:c r="M394" s="13" t="b">
        <x:v>1</x:v>
      </x:c>
      <x:c r="N394" s="2" t="str">
        <x:v>unused2023converted-source comparator</x:v>
      </x:c>
      <x:c r="O394" s="2" t="str"/>
      <x:c r="P394" s="2" t="str">
        <x:v>assumption-based floor-area proxy</x:v>
      </x:c>
      <x:c r="Q394" s="2" t="str">
        <x:v>m2</x:v>
      </x:c>
      <x:c r="R394" s="17" t="n">
        <x:v>104234034.7</x:v>
      </x:c>
      <x:c r="S394" s="17"/>
      <x:c r="T394" s="18"/>
      <x:c r="U394" s="17" t="n">
        <x:v>100480869.27000004</x:v>
      </x:c>
      <x:c r="V394" s="2" t="str">
        <x:v>existing saved physical-floor-area proxy</x:v>
      </x:c>
      <x:c r="W394" s="2" t="str">
        <x:v>legacy_epoch_source_QA_passed; new_common_native_support_not_certified</x:v>
      </x:c>
      <x:c r="X394" s="2" t="str">
        <x:v>https://arxiv.org/abs/2511.12104</x:v>
      </x:c>
    </x:row>
    <x:row r="395" ht="23" customHeight="1">
      <x:c r="A395" s="2" t="str">
        <x:v>TUN</x:v>
      </x:c>
      <x:c r="B395" s="2" t="str">
        <x:v>Tunisia (Republic of)</x:v>
      </x:c>
      <x:c r="C395" s="2" t="n">
        <x:v>2023</x:v>
      </x:c>
      <x:c r="D395" s="2" t="str">
        <x:v>TEMPO_PROXY</x:v>
      </x:c>
      <x:c r="E395" s="17" t="n">
        <x:v>679743209.9745548</x:v>
      </x:c>
      <x:c r="F395" s="17" t="n">
        <x:f>IF(AND(M395,ISNUMBER(R395)),IF(D395="TEMPO_PROXY",R395,IF(AND(ISNUMBER(S395),S395&gt;0,ISNUMBER(U395)),U395*R395/S395,"n.a.")),"n.a.")</x:f>
        <x:v>668747173.77</x:v>
      </x:c>
      <x:c r="G395" s="17" t="n">
        <x:f>IF(AND(ISNUMBER(E395),ISNUMBER(F395)),E395-F395,"n.a.")</x:f>
        <x:v>10996036.204554796</x:v>
      </x:c>
      <x:c r="H395" s="15" t="n">
        <x:f>IF(AND(ISNUMBER(E395),ISNUMBER(F395),F395&gt;0),(E395-F395)/F395,"n.a.")</x:f>
        <x:v>0.0164427404493774</x:v>
      </x:c>
      <x:c r="I395" s="19" t="n">
        <x:f>IF(ISNUMBER(H395),ABS(H395),"n.a.")</x:f>
        <x:v>0.0164427404493774</x:v>
      </x:c>
      <x:c r="J395" s="2" t="str">
        <x:v>available</x:v>
      </x:c>
      <x:c r="K395" s="2" t="n">
        <x:v>1</x:v>
      </x:c>
      <x:c r="L395" s="13" t="b">
        <x:v>0</x:v>
      </x:c>
      <x:c r="M395" s="13" t="b">
        <x:v>1</x:v>
      </x:c>
      <x:c r="N395" s="2" t="str">
        <x:v>unused2023converted-source comparator</x:v>
      </x:c>
      <x:c r="O395" s="2" t="str"/>
      <x:c r="P395" s="2" t="str">
        <x:v>assumption-based floor-area proxy</x:v>
      </x:c>
      <x:c r="Q395" s="2" t="str">
        <x:v>m2</x:v>
      </x:c>
      <x:c r="R395" s="17" t="n">
        <x:v>668747173.77</x:v>
      </x:c>
      <x:c r="S395" s="17"/>
      <x:c r="T395" s="18"/>
      <x:c r="U395" s="17" t="n">
        <x:v>649171642.779999</x:v>
      </x:c>
      <x:c r="V395" s="2" t="str">
        <x:v>existing saved physical-floor-area proxy</x:v>
      </x:c>
      <x:c r="W395" s="2" t="str">
        <x:v>legacy_epoch_source_QA_passed; new_common_native_support_not_certified</x:v>
      </x:c>
      <x:c r="X395" s="2" t="str">
        <x:v>https://arxiv.org/abs/2511.12104</x:v>
      </x:c>
    </x:row>
    <x:row r="396" ht="23" customHeight="1">
      <x:c r="A396" s="2" t="str">
        <x:v>TUR</x:v>
      </x:c>
      <x:c r="B396" s="2" t="str">
        <x:v>Türkiye (Republic of)</x:v>
      </x:c>
      <x:c r="C396" s="2" t="n">
        <x:v>2023</x:v>
      </x:c>
      <x:c r="D396" s="2" t="str">
        <x:v>TEMPO_PROXY</x:v>
      </x:c>
      <x:c r="E396" s="17" t="n">
        <x:v>4384411975.076062</x:v>
      </x:c>
      <x:c r="F396" s="17" t="n">
        <x:f>IF(AND(M396,ISNUMBER(R396)),IF(D396="TEMPO_PROXY",R396,IF(AND(ISNUMBER(S396),S396&gt;0,ISNUMBER(U396)),U396*R396/S396,"n.a.")),"n.a.")</x:f>
        <x:v>4371696621.06</x:v>
      </x:c>
      <x:c r="G396" s="17" t="n">
        <x:f>IF(AND(ISNUMBER(E396),ISNUMBER(F396)),E396-F396,"n.a.")</x:f>
        <x:v>12715354.016061783</x:v>
      </x:c>
      <x:c r="H396" s="15" t="n">
        <x:f>IF(AND(ISNUMBER(E396),ISNUMBER(F396),F396&gt;0),(E396-F396)/F396,"n.a.")</x:f>
        <x:v>0.0029085627659539435</x:v>
      </x:c>
      <x:c r="I396" s="19" t="n">
        <x:f>IF(ISNUMBER(H396),ABS(H396),"n.a.")</x:f>
        <x:v>0.0029085627659539435</x:v>
      </x:c>
      <x:c r="J396" s="2" t="str">
        <x:v>available</x:v>
      </x:c>
      <x:c r="K396" s="2" t="n">
        <x:v>1</x:v>
      </x:c>
      <x:c r="L396" s="13" t="b">
        <x:v>0</x:v>
      </x:c>
      <x:c r="M396" s="13" t="b">
        <x:v>1</x:v>
      </x:c>
      <x:c r="N396" s="2" t="str">
        <x:v>unused2023converted-source comparator</x:v>
      </x:c>
      <x:c r="O396" s="2" t="str"/>
      <x:c r="P396" s="2" t="str">
        <x:v>assumption-based floor-area proxy</x:v>
      </x:c>
      <x:c r="Q396" s="2" t="str">
        <x:v>m2</x:v>
      </x:c>
      <x:c r="R396" s="17" t="n">
        <x:v>4371696621.06</x:v>
      </x:c>
      <x:c r="S396" s="17"/>
      <x:c r="T396" s="18"/>
      <x:c r="U396" s="17" t="n">
        <x:v>3957897873.260005</x:v>
      </x:c>
      <x:c r="V396" s="2" t="str">
        <x:v>existing saved physical-floor-area proxy</x:v>
      </x:c>
      <x:c r="W396" s="2" t="str">
        <x:v>legacy_epoch_source_QA_passed; new_common_native_support_not_certified</x:v>
      </x:c>
      <x:c r="X396" s="2" t="str">
        <x:v>https://arxiv.org/abs/2511.12104</x:v>
      </x:c>
    </x:row>
    <x:row r="397" ht="23" customHeight="1">
      <x:c r="A397" s="2" t="str">
        <x:v>TUV</x:v>
      </x:c>
      <x:c r="B397" s="2" t="str">
        <x:v>Tuvalu</x:v>
      </x:c>
      <x:c r="C397" s="2" t="n">
        <x:v>2023</x:v>
      </x:c>
      <x:c r="D397" s="2" t="str">
        <x:v>TEMPO_PROXY</x:v>
      </x:c>
      <x:c r="E397" s="17" t="n">
        <x:v>19384.52304712556</x:v>
      </x:c>
      <x:c r="F397" s="17" t="n">
        <x:f>IF(AND(M397,ISNUMBER(R397)),IF(D397="TEMPO_PROXY",R397,IF(AND(ISNUMBER(S397),S397&gt;0,ISNUMBER(U397)),U397*R397/S397,"n.a.")),"n.a.")</x:f>
        <x:v>20204.93</x:v>
      </x:c>
      <x:c r="G397" s="17" t="n">
        <x:f>IF(AND(ISNUMBER(E397),ISNUMBER(F397)),E397-F397,"n.a.")</x:f>
        <x:v>-820.4069528744403</x:v>
      </x:c>
      <x:c r="H397" s="15" t="n">
        <x:f>IF(AND(ISNUMBER(E397),ISNUMBER(F397),F397&gt;0),(E397-F397)/F397,"n.a.")</x:f>
        <x:v>-0.04060429572754968</x:v>
      </x:c>
      <x:c r="I397" s="19" t="n">
        <x:f>IF(ISNUMBER(H397),ABS(H397),"n.a.")</x:f>
        <x:v>0.04060429572754968</x:v>
      </x:c>
      <x:c r="J397" s="2" t="str">
        <x:v>available</x:v>
      </x:c>
      <x:c r="K397" s="2" t="n">
        <x:v>1</x:v>
      </x:c>
      <x:c r="L397" s="13" t="b">
        <x:v>0</x:v>
      </x:c>
      <x:c r="M397" s="13" t="b">
        <x:v>1</x:v>
      </x:c>
      <x:c r="N397" s="2" t="str">
        <x:v>unused2023converted-source comparator</x:v>
      </x:c>
      <x:c r="O397" s="2" t="str"/>
      <x:c r="P397" s="2" t="str">
        <x:v>assumption-based floor-area proxy</x:v>
      </x:c>
      <x:c r="Q397" s="2" t="str">
        <x:v>m2</x:v>
      </x:c>
      <x:c r="R397" s="17" t="n">
        <x:v>20204.93</x:v>
      </x:c>
      <x:c r="S397" s="17"/>
      <x:c r="T397" s="18"/>
      <x:c r="U397" s="17" t="n">
        <x:v>19394.80999999999</x:v>
      </x:c>
      <x:c r="V397" s="2" t="str">
        <x:v>existing saved physical-floor-area proxy</x:v>
      </x:c>
      <x:c r="W397" s="2" t="str">
        <x:v>legacy_epoch_source_QA_passed; new_common_native_support_not_certified</x:v>
      </x:c>
      <x:c r="X397" s="2" t="str">
        <x:v>https://arxiv.org/abs/2511.12104</x:v>
      </x:c>
    </x:row>
    <x:row r="398" ht="23" customHeight="1">
      <x:c r="A398" s="2" t="str">
        <x:v>TZA</x:v>
      </x:c>
      <x:c r="B398" s="2" t="str">
        <x:v>Tanzania (United Republic of)</x:v>
      </x:c>
      <x:c r="C398" s="2" t="n">
        <x:v>2023</x:v>
      </x:c>
      <x:c r="D398" s="2" t="str">
        <x:v>TEMPO_PROXY</x:v>
      </x:c>
      <x:c r="E398" s="17" t="n">
        <x:v>1281481057.4010613</x:v>
      </x:c>
      <x:c r="F398" s="17" t="n">
        <x:f>IF(AND(M398,ISNUMBER(R398)),IF(D398="TEMPO_PROXY",R398,IF(AND(ISNUMBER(S398),S398&gt;0,ISNUMBER(U398)),U398*R398/S398,"n.a.")),"n.a.")</x:f>
        <x:v>1294453255.68</x:v>
      </x:c>
      <x:c r="G398" s="17" t="n">
        <x:f>IF(AND(ISNUMBER(E398),ISNUMBER(F398)),E398-F398,"n.a.")</x:f>
        <x:v>-12972198.27893877</x:v>
      </x:c>
      <x:c r="H398" s="15" t="n">
        <x:f>IF(AND(ISNUMBER(E398),ISNUMBER(F398),F398&gt;0),(E398-F398)/F398,"n.a.")</x:f>
        <x:v>-0.010021372515397814</x:v>
      </x:c>
      <x:c r="I398" s="19" t="n">
        <x:f>IF(ISNUMBER(H398),ABS(H398),"n.a.")</x:f>
        <x:v>0.010021372515397814</x:v>
      </x:c>
      <x:c r="J398" s="2" t="str">
        <x:v>available</x:v>
      </x:c>
      <x:c r="K398" s="2" t="n">
        <x:v>1</x:v>
      </x:c>
      <x:c r="L398" s="13" t="b">
        <x:v>0</x:v>
      </x:c>
      <x:c r="M398" s="13" t="b">
        <x:v>1</x:v>
      </x:c>
      <x:c r="N398" s="2" t="str">
        <x:v>unused2023converted-source comparator</x:v>
      </x:c>
      <x:c r="O398" s="2" t="str"/>
      <x:c r="P398" s="2" t="str">
        <x:v>assumption-based floor-area proxy</x:v>
      </x:c>
      <x:c r="Q398" s="2" t="str">
        <x:v>m2</x:v>
      </x:c>
      <x:c r="R398" s="17" t="n">
        <x:v>1294453255.68</x:v>
      </x:c>
      <x:c r="S398" s="17"/>
      <x:c r="T398" s="18"/>
      <x:c r="U398" s="17" t="n">
        <x:v>1174486408.8199985</x:v>
      </x:c>
      <x:c r="V398" s="2" t="str">
        <x:v>existing saved physical-floor-area proxy</x:v>
      </x:c>
      <x:c r="W398" s="2" t="str">
        <x:v>legacy_epoch_source_QA_passed; new_common_native_support_not_certified</x:v>
      </x:c>
      <x:c r="X398" s="2" t="str">
        <x:v>https://arxiv.org/abs/2511.12104</x:v>
      </x:c>
    </x:row>
    <x:row r="399" ht="23" customHeight="1">
      <x:c r="A399" s="2" t="str">
        <x:v>UGA</x:v>
      </x:c>
      <x:c r="B399" s="2" t="str">
        <x:v>Uganda (Republic of)</x:v>
      </x:c>
      <x:c r="C399" s="2" t="n">
        <x:v>2023</x:v>
      </x:c>
      <x:c r="D399" s="2" t="str">
        <x:v>TEMPO_PROXY</x:v>
      </x:c>
      <x:c r="E399" s="17" t="n">
        <x:v>835864813.7925357</x:v>
      </x:c>
      <x:c r="F399" s="17" t="n">
        <x:f>IF(AND(M399,ISNUMBER(R399)),IF(D399="TEMPO_PROXY",R399,IF(AND(ISNUMBER(S399),S399&gt;0,ISNUMBER(U399)),U399*R399/S399,"n.a.")),"n.a.")</x:f>
        <x:v>843272425.23</x:v>
      </x:c>
      <x:c r="G399" s="17" t="n">
        <x:f>IF(AND(ISNUMBER(E399),ISNUMBER(F399)),E399-F399,"n.a.")</x:f>
        <x:v>-7407611.437464356</x:v>
      </x:c>
      <x:c r="H399" s="15" t="n">
        <x:f>IF(AND(ISNUMBER(E399),ISNUMBER(F399),F399&gt;0),(E399-F399)/F399,"n.a.")</x:f>
        <x:v>-0.008784363410725724</x:v>
      </x:c>
      <x:c r="I399" s="19" t="n">
        <x:f>IF(ISNUMBER(H399),ABS(H399),"n.a.")</x:f>
        <x:v>0.008784363410725724</x:v>
      </x:c>
      <x:c r="J399" s="2" t="str">
        <x:v>available</x:v>
      </x:c>
      <x:c r="K399" s="2" t="n">
        <x:v>1</x:v>
      </x:c>
      <x:c r="L399" s="13" t="b">
        <x:v>0</x:v>
      </x:c>
      <x:c r="M399" s="13" t="b">
        <x:v>1</x:v>
      </x:c>
      <x:c r="N399" s="2" t="str">
        <x:v>unused2023converted-source comparator</x:v>
      </x:c>
      <x:c r="O399" s="2" t="str"/>
      <x:c r="P399" s="2" t="str">
        <x:v>assumption-based floor-area proxy</x:v>
      </x:c>
      <x:c r="Q399" s="2" t="str">
        <x:v>m2</x:v>
      </x:c>
      <x:c r="R399" s="17" t="n">
        <x:v>843272425.23</x:v>
      </x:c>
      <x:c r="S399" s="17"/>
      <x:c r="T399" s="18"/>
      <x:c r="U399" s="17" t="n">
        <x:v>765891927.1500008</x:v>
      </x:c>
      <x:c r="V399" s="2" t="str">
        <x:v>existing saved physical-floor-area proxy</x:v>
      </x:c>
      <x:c r="W399" s="2" t="str">
        <x:v>legacy_epoch_source_QA_passed; new_common_native_support_not_certified</x:v>
      </x:c>
      <x:c r="X399" s="2" t="str">
        <x:v>https://arxiv.org/abs/2511.12104</x:v>
      </x:c>
    </x:row>
    <x:row r="400" ht="23" customHeight="1">
      <x:c r="A400" s="2" t="str">
        <x:v>UKR</x:v>
      </x:c>
      <x:c r="B400" s="2" t="str">
        <x:v>Ukraine</x:v>
      </x:c>
      <x:c r="C400" s="2" t="n">
        <x:v>2023</x:v>
      </x:c>
      <x:c r="D400" s="2" t="str">
        <x:v>TEMPO_PROXY</x:v>
      </x:c>
      <x:c r="E400" s="17" t="n">
        <x:v>2885404740.5009565</x:v>
      </x:c>
      <x:c r="F400" s="17" t="n">
        <x:f>IF(AND(M400,ISNUMBER(R400)),IF(D400="TEMPO_PROXY",R400,IF(AND(ISNUMBER(S400),S400&gt;0,ISNUMBER(U400)),U400*R400/S400,"n.a.")),"n.a.")</x:f>
        <x:v>2900922302.88</x:v>
      </x:c>
      <x:c r="G400" s="17" t="n">
        <x:f>IF(AND(ISNUMBER(E400),ISNUMBER(F400)),E400-F400,"n.a.")</x:f>
        <x:v>-15517562.37904358</x:v>
      </x:c>
      <x:c r="H400" s="15" t="n">
        <x:f>IF(AND(ISNUMBER(E400),ISNUMBER(F400),F400&gt;0),(E400-F400)/F400,"n.a.")</x:f>
        <x:v>-0.005349182349226635</x:v>
      </x:c>
      <x:c r="I400" s="19" t="n">
        <x:f>IF(ISNUMBER(H400),ABS(H400),"n.a.")</x:f>
        <x:v>0.005349182349226635</x:v>
      </x:c>
      <x:c r="J400" s="2" t="str">
        <x:v>available</x:v>
      </x:c>
      <x:c r="K400" s="2" t="n">
        <x:v>1</x:v>
      </x:c>
      <x:c r="L400" s="13" t="b">
        <x:v>0</x:v>
      </x:c>
      <x:c r="M400" s="13" t="b">
        <x:v>1</x:v>
      </x:c>
      <x:c r="N400" s="2" t="str">
        <x:v>unused2023converted-source comparator</x:v>
      </x:c>
      <x:c r="O400" s="2" t="str"/>
      <x:c r="P400" s="2" t="str">
        <x:v>assumption-based floor-area proxy</x:v>
      </x:c>
      <x:c r="Q400" s="2" t="str">
        <x:v>m2</x:v>
      </x:c>
      <x:c r="R400" s="17" t="n">
        <x:v>2900922302.88</x:v>
      </x:c>
      <x:c r="S400" s="17"/>
      <x:c r="T400" s="18"/>
      <x:c r="U400" s="17" t="n">
        <x:v>2808807029.8199997</x:v>
      </x:c>
      <x:c r="V400" s="2" t="str">
        <x:v>existing saved physical-floor-area proxy</x:v>
      </x:c>
      <x:c r="W400" s="2" t="str">
        <x:v>legacy_epoch_source_QA_passed; new_common_native_support_not_certified</x:v>
      </x:c>
      <x:c r="X400" s="2" t="str">
        <x:v>https://arxiv.org/abs/2511.12104</x:v>
      </x:c>
    </x:row>
    <x:row r="401" ht="23" customHeight="1">
      <x:c r="A401" s="2" t="str">
        <x:v>URY</x:v>
      </x:c>
      <x:c r="B401" s="2" t="str">
        <x:v>Uruguay (Oriental Republic of)</x:v>
      </x:c>
      <x:c r="C401" s="2" t="n">
        <x:v>2023</x:v>
      </x:c>
      <x:c r="D401" s="2" t="str">
        <x:v>TEMPO_PROXY</x:v>
      </x:c>
      <x:c r="E401" s="17" t="n">
        <x:v>216779212.07105872</x:v>
      </x:c>
      <x:c r="F401" s="17" t="n">
        <x:f>IF(AND(M401,ISNUMBER(R401)),IF(D401="TEMPO_PROXY",R401,IF(AND(ISNUMBER(S401),S401&gt;0,ISNUMBER(U401)),U401*R401/S401,"n.a.")),"n.a.")</x:f>
        <x:v>224167211.87</x:v>
      </x:c>
      <x:c r="G401" s="17" t="n">
        <x:f>IF(AND(ISNUMBER(E401),ISNUMBER(F401)),E401-F401,"n.a.")</x:f>
        <x:v>-7387999.798941284</x:v>
      </x:c>
      <x:c r="H401" s="15" t="n">
        <x:f>IF(AND(ISNUMBER(E401),ISNUMBER(F401),F401&gt;0),(E401-F401)/F401,"n.a.")</x:f>
        <x:v>-0.03295753976378028</x:v>
      </x:c>
      <x:c r="I401" s="19" t="n">
        <x:f>IF(ISNUMBER(H401),ABS(H401),"n.a.")</x:f>
        <x:v>0.03295753976378028</x:v>
      </x:c>
      <x:c r="J401" s="2" t="str">
        <x:v>available</x:v>
      </x:c>
      <x:c r="K401" s="2" t="n">
        <x:v>1</x:v>
      </x:c>
      <x:c r="L401" s="13" t="b">
        <x:v>0</x:v>
      </x:c>
      <x:c r="M401" s="13" t="b">
        <x:v>1</x:v>
      </x:c>
      <x:c r="N401" s="2" t="str">
        <x:v>unused2023converted-source comparator</x:v>
      </x:c>
      <x:c r="O401" s="2" t="str"/>
      <x:c r="P401" s="2" t="str">
        <x:v>assumption-based floor-area proxy</x:v>
      </x:c>
      <x:c r="Q401" s="2" t="str">
        <x:v>m2</x:v>
      </x:c>
      <x:c r="R401" s="17" t="n">
        <x:v>224167211.87</x:v>
      </x:c>
      <x:c r="S401" s="17"/>
      <x:c r="T401" s="18"/>
      <x:c r="U401" s="17" t="n">
        <x:v>209727833.2899997</x:v>
      </x:c>
      <x:c r="V401" s="2" t="str">
        <x:v>existing saved physical-floor-area proxy</x:v>
      </x:c>
      <x:c r="W401" s="2" t="str">
        <x:v>legacy_epoch_source_QA_passed; new_common_native_support_not_certified</x:v>
      </x:c>
      <x:c r="X401" s="2" t="str">
        <x:v>https://arxiv.org/abs/2511.12104</x:v>
      </x:c>
    </x:row>
    <x:row r="402" ht="23" customHeight="1">
      <x:c r="A402" s="2" t="str">
        <x:v>USA</x:v>
      </x:c>
      <x:c r="B402" s="2" t="str">
        <x:v>United States of America</x:v>
      </x:c>
      <x:c r="C402" s="2" t="n">
        <x:v>2023</x:v>
      </x:c>
      <x:c r="D402" s="2" t="str">
        <x:v>TEMPO_PROXY</x:v>
      </x:c>
      <x:c r="E402" s="17" t="n">
        <x:v>37685943602.101105</x:v>
      </x:c>
      <x:c r="F402" s="17" t="n">
        <x:f>IF(AND(M402,ISNUMBER(R402)),IF(D402="TEMPO_PROXY",R402,IF(AND(ISNUMBER(S402),S402&gt;0,ISNUMBER(U402)),U402*R402/S402,"n.a.")),"n.a.")</x:f>
        <x:v>38124566298.64</x:v>
      </x:c>
      <x:c r="G402" s="17" t="n">
        <x:f>IF(AND(ISNUMBER(E402),ISNUMBER(F402)),E402-F402,"n.a.")</x:f>
        <x:v>-438622696.53889465</x:v>
      </x:c>
      <x:c r="H402" s="15" t="n">
        <x:f>IF(AND(ISNUMBER(E402),ISNUMBER(F402),F402&gt;0),(E402-F402)/F402,"n.a.")</x:f>
        <x:v>-0.011504988492276736</x:v>
      </x:c>
      <x:c r="I402" s="19" t="n">
        <x:f>IF(ISNUMBER(H402),ABS(H402),"n.a.")</x:f>
        <x:v>0.011504988492276736</x:v>
      </x:c>
      <x:c r="J402" s="2" t="str">
        <x:v>available</x:v>
      </x:c>
      <x:c r="K402" s="2" t="n">
        <x:v>1</x:v>
      </x:c>
      <x:c r="L402" s="13" t="b">
        <x:v>0</x:v>
      </x:c>
      <x:c r="M402" s="13" t="b">
        <x:v>1</x:v>
      </x:c>
      <x:c r="N402" s="2" t="str">
        <x:v>unused2023converted-source comparator</x:v>
      </x:c>
      <x:c r="O402" s="2" t="str"/>
      <x:c r="P402" s="2" t="str">
        <x:v>assumption-based floor-area proxy</x:v>
      </x:c>
      <x:c r="Q402" s="2" t="str">
        <x:v>m2</x:v>
      </x:c>
      <x:c r="R402" s="17" t="n">
        <x:v>38124566298.64</x:v>
      </x:c>
      <x:c r="S402" s="17"/>
      <x:c r="T402" s="18"/>
      <x:c r="U402" s="17" t="n">
        <x:v>35932980078.68004</x:v>
      </x:c>
      <x:c r="V402" s="2" t="str">
        <x:v>existing saved physical-floor-area proxy</x:v>
      </x:c>
      <x:c r="W402" s="2" t="str">
        <x:v>legacy_epoch_source_QA_passed; new_common_native_support_not_certified</x:v>
      </x:c>
      <x:c r="X402" s="2" t="str">
        <x:v>https://arxiv.org/abs/2511.12104</x:v>
      </x:c>
    </x:row>
    <x:row r="403" ht="23" customHeight="1">
      <x:c r="A403" s="2" t="str">
        <x:v>UZB</x:v>
      </x:c>
      <x:c r="B403" s="2" t="str">
        <x:v>Uzbekistan (Republic of)</x:v>
      </x:c>
      <x:c r="C403" s="2" t="n">
        <x:v>2023</x:v>
      </x:c>
      <x:c r="D403" s="2" t="str">
        <x:v>TEMPO_PROXY</x:v>
      </x:c>
      <x:c r="E403" s="17" t="n">
        <x:v>2099392260.7105381</x:v>
      </x:c>
      <x:c r="F403" s="17" t="n">
        <x:f>IF(AND(M403,ISNUMBER(R403)),IF(D403="TEMPO_PROXY",R403,IF(AND(ISNUMBER(S403),S403&gt;0,ISNUMBER(U403)),U403*R403/S403,"n.a.")),"n.a.")</x:f>
        <x:v>2180969221.83</x:v>
      </x:c>
      <x:c r="G403" s="17" t="n">
        <x:f>IF(AND(ISNUMBER(E403),ISNUMBER(F403)),E403-F403,"n.a.")</x:f>
        <x:v>-81576961.11946177</x:v>
      </x:c>
      <x:c r="H403" s="15" t="n">
        <x:f>IF(AND(ISNUMBER(E403),ISNUMBER(F403),F403&gt;0),(E403-F403)/F403,"n.a.")</x:f>
        <x:v>-0.037403994656564875</x:v>
      </x:c>
      <x:c r="I403" s="19" t="n">
        <x:f>IF(ISNUMBER(H403),ABS(H403),"n.a.")</x:f>
        <x:v>0.037403994656564875</x:v>
      </x:c>
      <x:c r="J403" s="2" t="str">
        <x:v>available</x:v>
      </x:c>
      <x:c r="K403" s="2" t="n">
        <x:v>1</x:v>
      </x:c>
      <x:c r="L403" s="13" t="b">
        <x:v>0</x:v>
      </x:c>
      <x:c r="M403" s="13" t="b">
        <x:v>1</x:v>
      </x:c>
      <x:c r="N403" s="2" t="str">
        <x:v>unused2023converted-source comparator</x:v>
      </x:c>
      <x:c r="O403" s="2" t="str"/>
      <x:c r="P403" s="2" t="str">
        <x:v>assumption-based floor-area proxy</x:v>
      </x:c>
      <x:c r="Q403" s="2" t="str">
        <x:v>m2</x:v>
      </x:c>
      <x:c r="R403" s="17" t="n">
        <x:v>2180969221.83</x:v>
      </x:c>
      <x:c r="S403" s="17"/>
      <x:c r="T403" s="18"/>
      <x:c r="U403" s="17" t="n">
        <x:v>1997042653.6300015</x:v>
      </x:c>
      <x:c r="V403" s="2" t="str">
        <x:v>existing saved physical-floor-area proxy</x:v>
      </x:c>
      <x:c r="W403" s="2" t="str">
        <x:v>legacy_epoch_source_QA_passed; new_common_native_support_not_certified</x:v>
      </x:c>
      <x:c r="X403" s="2" t="str">
        <x:v>https://arxiv.org/abs/2511.12104</x:v>
      </x:c>
    </x:row>
    <x:row r="404" ht="23" customHeight="1">
      <x:c r="A404" s="2" t="str">
        <x:v>VAT</x:v>
      </x:c>
      <x:c r="B404" s="2" t="str">
        <x:v>Holy See (State of the Vatican City)</x:v>
      </x:c>
      <x:c r="C404" s="2" t="n">
        <x:v>2023</x:v>
      </x:c>
      <x:c r="D404" s="2" t="str">
        <x:v>TEMPO_PROXY</x:v>
      </x:c>
      <x:c r="E404" s="17" t="n">
        <x:v>319246.38469032873</x:v>
      </x:c>
      <x:c r="F404" s="17" t="n">
        <x:f>IF(AND(M404,ISNUMBER(R404)),IF(D404="TEMPO_PROXY",R404,IF(AND(ISNUMBER(S404),S404&gt;0,ISNUMBER(U404)),U404*R404/S404,"n.a.")),"n.a.")</x:f>
        <x:v>311910.22</x:v>
      </x:c>
      <x:c r="G404" s="17" t="n">
        <x:f>IF(AND(ISNUMBER(E404),ISNUMBER(F404)),E404-F404,"n.a.")</x:f>
        <x:v>7336.164690328762</x:v>
      </x:c>
      <x:c r="H404" s="15" t="n">
        <x:f>IF(AND(ISNUMBER(E404),ISNUMBER(F404),F404&gt;0),(E404-F404)/F404,"n.a.")</x:f>
        <x:v>0.023520116430711255</x:v>
      </x:c>
      <x:c r="I404" s="19" t="n">
        <x:f>IF(ISNUMBER(H404),ABS(H404),"n.a.")</x:f>
        <x:v>0.023520116430711255</x:v>
      </x:c>
      <x:c r="J404" s="2" t="str">
        <x:v>available</x:v>
      </x:c>
      <x:c r="K404" s="2" t="n">
        <x:v>1</x:v>
      </x:c>
      <x:c r="L404" s="13" t="b">
        <x:v>0</x:v>
      </x:c>
      <x:c r="M404" s="13" t="b">
        <x:v>1</x:v>
      </x:c>
      <x:c r="N404" s="2" t="str">
        <x:v>unused2023converted-source comparator</x:v>
      </x:c>
      <x:c r="O404" s="2" t="str"/>
      <x:c r="P404" s="2" t="str">
        <x:v>assumption-based floor-area proxy</x:v>
      </x:c>
      <x:c r="Q404" s="2" t="str">
        <x:v>m2</x:v>
      </x:c>
      <x:c r="R404" s="17" t="n">
        <x:v>311910.22</x:v>
      </x:c>
      <x:c r="S404" s="17"/>
      <x:c r="T404" s="18"/>
      <x:c r="U404" s="17" t="n">
        <x:v>318924.24</x:v>
      </x:c>
      <x:c r="V404" s="2" t="str">
        <x:v>existing saved physical-floor-area proxy</x:v>
      </x:c>
      <x:c r="W404" s="2" t="str">
        <x:v>legacy_epoch_source_QA_passed; new_common_native_support_not_certified</x:v>
      </x:c>
      <x:c r="X404" s="2" t="str">
        <x:v>https://arxiv.org/abs/2511.12104</x:v>
      </x:c>
    </x:row>
    <x:row r="405" ht="23" customHeight="1">
      <x:c r="A405" s="2" t="str">
        <x:v>VCT</x:v>
      </x:c>
      <x:c r="B405" s="2" t="str">
        <x:v>Saint Vincent and the Grenadines</x:v>
      </x:c>
      <x:c r="C405" s="2" t="n">
        <x:v>2023</x:v>
      </x:c>
      <x:c r="D405" s="2" t="str">
        <x:v>TEMPO_PROXY</x:v>
      </x:c>
      <x:c r="E405" s="17" t="n">
        <x:v>6242837.645069028</x:v>
      </x:c>
      <x:c r="F405" s="17" t="n">
        <x:f>IF(AND(M405,ISNUMBER(R405)),IF(D405="TEMPO_PROXY",R405,IF(AND(ISNUMBER(S405),S405&gt;0,ISNUMBER(U405)),U405*R405/S405,"n.a.")),"n.a.")</x:f>
        <x:v>6463658.26</x:v>
      </x:c>
      <x:c r="G405" s="17" t="n">
        <x:f>IF(AND(ISNUMBER(E405),ISNUMBER(F405)),E405-F405,"n.a.")</x:f>
        <x:v>-220820.61493097153</x:v>
      </x:c>
      <x:c r="H405" s="15" t="n">
        <x:f>IF(AND(ISNUMBER(E405),ISNUMBER(F405),F405&gt;0),(E405-F405)/F405,"n.a.")</x:f>
        <x:v>-0.03416341119045665</x:v>
      </x:c>
      <x:c r="I405" s="19" t="n">
        <x:f>IF(ISNUMBER(H405),ABS(H405),"n.a.")</x:f>
        <x:v>0.03416341119045665</x:v>
      </x:c>
      <x:c r="J405" s="2" t="str">
        <x:v>available</x:v>
      </x:c>
      <x:c r="K405" s="2" t="n">
        <x:v>1</x:v>
      </x:c>
      <x:c r="L405" s="13" t="b">
        <x:v>0</x:v>
      </x:c>
      <x:c r="M405" s="13" t="b">
        <x:v>1</x:v>
      </x:c>
      <x:c r="N405" s="2" t="str">
        <x:v>unused2023converted-source comparator</x:v>
      </x:c>
      <x:c r="O405" s="2" t="str"/>
      <x:c r="P405" s="2" t="str">
        <x:v>assumption-based floor-area proxy</x:v>
      </x:c>
      <x:c r="Q405" s="2" t="str">
        <x:v>m2</x:v>
      </x:c>
      <x:c r="R405" s="17" t="n">
        <x:v>6463658.26</x:v>
      </x:c>
      <x:c r="S405" s="17"/>
      <x:c r="T405" s="18"/>
      <x:c r="U405" s="17" t="n">
        <x:v>6194383.570000002</x:v>
      </x:c>
      <x:c r="V405" s="2" t="str">
        <x:v>existing saved physical-floor-area proxy</x:v>
      </x:c>
      <x:c r="W405" s="2" t="str">
        <x:v>legacy_epoch_source_QA_passed; new_common_native_support_not_certified</x:v>
      </x:c>
      <x:c r="X405" s="2" t="str">
        <x:v>https://arxiv.org/abs/2511.12104</x:v>
      </x:c>
    </x:row>
    <x:row r="406" ht="23" customHeight="1">
      <x:c r="A406" s="2" t="str">
        <x:v>VEN</x:v>
      </x:c>
      <x:c r="B406" s="2" t="str">
        <x:v>Venezuela (Bolivarian Republic of)</x:v>
      </x:c>
      <x:c r="C406" s="2" t="n">
        <x:v>2023</x:v>
      </x:c>
      <x:c r="D406" s="2" t="str">
        <x:v>TEMPO_PROXY</x:v>
      </x:c>
      <x:c r="E406" s="17" t="n">
        <x:v>1244165585.1265662</x:v>
      </x:c>
      <x:c r="F406" s="17" t="n">
        <x:f>IF(AND(M406,ISNUMBER(R406)),IF(D406="TEMPO_PROXY",R406,IF(AND(ISNUMBER(S406),S406&gt;0,ISNUMBER(U406)),U406*R406/S406,"n.a.")),"n.a.")</x:f>
        <x:v>1171051056.07</x:v>
      </x:c>
      <x:c r="G406" s="17" t="n">
        <x:f>IF(AND(ISNUMBER(E406),ISNUMBER(F406)),E406-F406,"n.a.")</x:f>
        <x:v>73114529.05656624</x:v>
      </x:c>
      <x:c r="H406" s="15" t="n">
        <x:f>IF(AND(ISNUMBER(E406),ISNUMBER(F406),F406&gt;0),(E406-F406)/F406,"n.a.")</x:f>
        <x:v>0.06243496274358493</x:v>
      </x:c>
      <x:c r="I406" s="19" t="n">
        <x:f>IF(ISNUMBER(H406),ABS(H406),"n.a.")</x:f>
        <x:v>0.06243496274358493</x:v>
      </x:c>
      <x:c r="J406" s="2" t="str">
        <x:v>available</x:v>
      </x:c>
      <x:c r="K406" s="2" t="n">
        <x:v>1</x:v>
      </x:c>
      <x:c r="L406" s="13" t="b">
        <x:v>0</x:v>
      </x:c>
      <x:c r="M406" s="13" t="b">
        <x:v>1</x:v>
      </x:c>
      <x:c r="N406" s="2" t="str">
        <x:v>unused2023converted-source comparator</x:v>
      </x:c>
      <x:c r="O406" s="2" t="str"/>
      <x:c r="P406" s="2" t="str">
        <x:v>assumption-based floor-area proxy</x:v>
      </x:c>
      <x:c r="Q406" s="2" t="str">
        <x:v>m2</x:v>
      </x:c>
      <x:c r="R406" s="17" t="n">
        <x:v>1171051056.07</x:v>
      </x:c>
      <x:c r="S406" s="17"/>
      <x:c r="T406" s="18"/>
      <x:c r="U406" s="17" t="n">
        <x:v>1159546607.6500015</x:v>
      </x:c>
      <x:c r="V406" s="2" t="str">
        <x:v>existing saved physical-floor-area proxy</x:v>
      </x:c>
      <x:c r="W406" s="2" t="str">
        <x:v>legacy_epoch_source_QA_passed; new_common_native_support_not_certified</x:v>
      </x:c>
      <x:c r="X406" s="2" t="str">
        <x:v>https://arxiv.org/abs/2511.12104</x:v>
      </x:c>
    </x:row>
    <x:row r="407" ht="23" customHeight="1">
      <x:c r="A407" s="2" t="str">
        <x:v>VNM</x:v>
      </x:c>
      <x:c r="B407" s="2" t="str">
        <x:v>Viet Nam (Socialist Republic of)</x:v>
      </x:c>
      <x:c r="C407" s="2" t="n">
        <x:v>2023</x:v>
      </x:c>
      <x:c r="D407" s="2" t="str">
        <x:v>TEMPO_PROXY</x:v>
      </x:c>
      <x:c r="E407" s="17" t="n">
        <x:v>5196458095.274765</x:v>
      </x:c>
      <x:c r="F407" s="17" t="n">
        <x:f>IF(AND(M407,ISNUMBER(R407)),IF(D407="TEMPO_PROXY",R407,IF(AND(ISNUMBER(S407),S407&gt;0,ISNUMBER(U407)),U407*R407/S407,"n.a.")),"n.a.")</x:f>
        <x:v>5302311451.46</x:v>
      </x:c>
      <x:c r="G407" s="17" t="n">
        <x:f>IF(AND(ISNUMBER(E407),ISNUMBER(F407)),E407-F407,"n.a.")</x:f>
        <x:v>-105853356.18523502</x:v>
      </x:c>
      <x:c r="H407" s="15" t="n">
        <x:f>IF(AND(ISNUMBER(E407),ISNUMBER(F407),F407&gt;0),(E407-F407)/F407,"n.a.")</x:f>
        <x:v>-0.019963624761440247</x:v>
      </x:c>
      <x:c r="I407" s="19" t="n">
        <x:f>IF(ISNUMBER(H407),ABS(H407),"n.a.")</x:f>
        <x:v>0.019963624761440247</x:v>
      </x:c>
      <x:c r="J407" s="2" t="str">
        <x:v>available</x:v>
      </x:c>
      <x:c r="K407" s="2" t="n">
        <x:v>1</x:v>
      </x:c>
      <x:c r="L407" s="13" t="b">
        <x:v>0</x:v>
      </x:c>
      <x:c r="M407" s="13" t="b">
        <x:v>1</x:v>
      </x:c>
      <x:c r="N407" s="2" t="str">
        <x:v>unused2023converted-source comparator</x:v>
      </x:c>
      <x:c r="O407" s="2" t="str"/>
      <x:c r="P407" s="2" t="str">
        <x:v>assumption-based floor-area proxy</x:v>
      </x:c>
      <x:c r="Q407" s="2" t="str">
        <x:v>m2</x:v>
      </x:c>
      <x:c r="R407" s="17" t="n">
        <x:v>5302311451.46</x:v>
      </x:c>
      <x:c r="S407" s="17"/>
      <x:c r="T407" s="18"/>
      <x:c r="U407" s="17" t="n">
        <x:v>4861867508.520002</x:v>
      </x:c>
      <x:c r="V407" s="2" t="str">
        <x:v>existing saved physical-floor-area proxy</x:v>
      </x:c>
      <x:c r="W407" s="2" t="str">
        <x:v>legacy_epoch_source_QA_passed; new_common_native_support_not_certified</x:v>
      </x:c>
      <x:c r="X407" s="2" t="str">
        <x:v>https://arxiv.org/abs/2511.12104</x:v>
      </x:c>
    </x:row>
    <x:row r="408" ht="23" customHeight="1">
      <x:c r="A408" s="2" t="str">
        <x:v>VUT</x:v>
      </x:c>
      <x:c r="B408" s="2" t="str">
        <x:v>Vanuatu (Republic of)</x:v>
      </x:c>
      <x:c r="C408" s="2" t="n">
        <x:v>2023</x:v>
      </x:c>
      <x:c r="D408" s="2" t="str">
        <x:v>TEMPO_PROXY</x:v>
      </x:c>
      <x:c r="E408" s="17" t="n">
        <x:v>9110750.156144958</x:v>
      </x:c>
      <x:c r="F408" s="17" t="n">
        <x:f>IF(AND(M408,ISNUMBER(R408)),IF(D408="TEMPO_PROXY",R408,IF(AND(ISNUMBER(S408),S408&gt;0,ISNUMBER(U408)),U408*R408/S408,"n.a.")),"n.a.")</x:f>
        <x:v>8711962.64</x:v>
      </x:c>
      <x:c r="G408" s="17" t="n">
        <x:f>IF(AND(ISNUMBER(E408),ISNUMBER(F408)),E408-F408,"n.a.")</x:f>
        <x:v>398787.5161449574</x:v>
      </x:c>
      <x:c r="H408" s="15" t="n">
        <x:f>IF(AND(ISNUMBER(E408),ISNUMBER(F408),F408&gt;0),(E408-F408)/F408,"n.a.")</x:f>
        <x:v>0.045774704578503266</x:v>
      </x:c>
      <x:c r="I408" s="19" t="n">
        <x:f>IF(ISNUMBER(H408),ABS(H408),"n.a.")</x:f>
        <x:v>0.045774704578503266</x:v>
      </x:c>
      <x:c r="J408" s="2" t="str">
        <x:v>available</x:v>
      </x:c>
      <x:c r="K408" s="2" t="n">
        <x:v>1</x:v>
      </x:c>
      <x:c r="L408" s="13" t="b">
        <x:v>0</x:v>
      </x:c>
      <x:c r="M408" s="13" t="b">
        <x:v>1</x:v>
      </x:c>
      <x:c r="N408" s="2" t="str">
        <x:v>unused2023converted-source comparator</x:v>
      </x:c>
      <x:c r="O408" s="2" t="str"/>
      <x:c r="P408" s="2" t="str">
        <x:v>assumption-based floor-area proxy</x:v>
      </x:c>
      <x:c r="Q408" s="2" t="str">
        <x:v>m2</x:v>
      </x:c>
      <x:c r="R408" s="17" t="n">
        <x:v>8711962.64</x:v>
      </x:c>
      <x:c r="S408" s="17"/>
      <x:c r="T408" s="18"/>
      <x:c r="U408" s="17" t="n">
        <x:v>8193524.700000004</x:v>
      </x:c>
      <x:c r="V408" s="2" t="str">
        <x:v>existing saved physical-floor-area proxy</x:v>
      </x:c>
      <x:c r="W408" s="2" t="str">
        <x:v>legacy_epoch_source_QA_passed; new_common_native_support_not_certified</x:v>
      </x:c>
      <x:c r="X408" s="2" t="str">
        <x:v>https://arxiv.org/abs/2511.12104</x:v>
      </x:c>
    </x:row>
    <x:row r="409" ht="23" customHeight="1">
      <x:c r="A409" s="2" t="str">
        <x:v>WSM</x:v>
      </x:c>
      <x:c r="B409" s="2" t="str">
        <x:v>Samoa (Independent State of)</x:v>
      </x:c>
      <x:c r="C409" s="2" t="n">
        <x:v>2023</x:v>
      </x:c>
      <x:c r="D409" s="2" t="str">
        <x:v>TEMPO_PROXY</x:v>
      </x:c>
      <x:c r="E409" s="17" t="n">
        <x:v>8552439.935047252</x:v>
      </x:c>
      <x:c r="F409" s="17" t="n">
        <x:f>IF(AND(M409,ISNUMBER(R409)),IF(D409="TEMPO_PROXY",R409,IF(AND(ISNUMBER(S409),S409&gt;0,ISNUMBER(U409)),U409*R409/S409,"n.a.")),"n.a.")</x:f>
        <x:v>9166225.33</x:v>
      </x:c>
      <x:c r="G409" s="17" t="n">
        <x:f>IF(AND(ISNUMBER(E409),ISNUMBER(F409)),E409-F409,"n.a.")</x:f>
        <x:v>-613785.394952748</x:v>
      </x:c>
      <x:c r="H409" s="15" t="n">
        <x:f>IF(AND(ISNUMBER(E409),ISNUMBER(F409),F409&gt;0),(E409-F409)/F409,"n.a.")</x:f>
        <x:v>-0.06696163064461214</x:v>
      </x:c>
      <x:c r="I409" s="19" t="n">
        <x:f>IF(ISNUMBER(H409),ABS(H409),"n.a.")</x:f>
        <x:v>0.06696163064461214</x:v>
      </x:c>
      <x:c r="J409" s="2" t="str">
        <x:v>available</x:v>
      </x:c>
      <x:c r="K409" s="2" t="n">
        <x:v>1</x:v>
      </x:c>
      <x:c r="L409" s="13" t="b">
        <x:v>0</x:v>
      </x:c>
      <x:c r="M409" s="13" t="b">
        <x:v>1</x:v>
      </x:c>
      <x:c r="N409" s="2" t="str">
        <x:v>unused2023converted-source comparator</x:v>
      </x:c>
      <x:c r="O409" s="2" t="str"/>
      <x:c r="P409" s="2" t="str">
        <x:v>assumption-based floor-area proxy</x:v>
      </x:c>
      <x:c r="Q409" s="2" t="str">
        <x:v>m2</x:v>
      </x:c>
      <x:c r="R409" s="17" t="n">
        <x:v>9166225.33</x:v>
      </x:c>
      <x:c r="S409" s="17"/>
      <x:c r="T409" s="18"/>
      <x:c r="U409" s="17" t="n">
        <x:v>8105266.000000001</x:v>
      </x:c>
      <x:c r="V409" s="2" t="str">
        <x:v>existing saved physical-floor-area proxy</x:v>
      </x:c>
      <x:c r="W409" s="2" t="str">
        <x:v>legacy_epoch_source_QA_passed; new_common_native_support_not_certified</x:v>
      </x:c>
      <x:c r="X409" s="2" t="str">
        <x:v>https://arxiv.org/abs/2511.12104</x:v>
      </x:c>
    </x:row>
    <x:row r="410" ht="23" customHeight="1">
      <x:c r="A410" s="2" t="str">
        <x:v>YEM</x:v>
      </x:c>
      <x:c r="B410" s="2" t="str">
        <x:v>Yemen (Republic of)</x:v>
      </x:c>
      <x:c r="C410" s="2" t="n">
        <x:v>2023</x:v>
      </x:c>
      <x:c r="D410" s="2" t="str">
        <x:v>TEMPO_PROXY</x:v>
      </x:c>
      <x:c r="E410" s="17" t="n">
        <x:v>554270837.8402537</x:v>
      </x:c>
      <x:c r="F410" s="17" t="n">
        <x:f>IF(AND(M410,ISNUMBER(R410)),IF(D410="TEMPO_PROXY",R410,IF(AND(ISNUMBER(S410),S410&gt;0,ISNUMBER(U410)),U410*R410/S410,"n.a.")),"n.a.")</x:f>
        <x:v>497021869.96</x:v>
      </x:c>
      <x:c r="G410" s="17" t="n">
        <x:f>IF(AND(ISNUMBER(E410),ISNUMBER(F410)),E410-F410,"n.a.")</x:f>
        <x:v>57248967.88025373</x:v>
      </x:c>
      <x:c r="H410" s="15" t="n">
        <x:f>IF(AND(ISNUMBER(E410),ISNUMBER(F410),F410&gt;0),(E410-F410)/F410,"n.a.")</x:f>
        <x:v>0.11518400163127851</x:v>
      </x:c>
      <x:c r="I410" s="19" t="n">
        <x:f>IF(ISNUMBER(H410),ABS(H410),"n.a.")</x:f>
        <x:v>0.11518400163127851</x:v>
      </x:c>
      <x:c r="J410" s="2" t="str">
        <x:v>available</x:v>
      </x:c>
      <x:c r="K410" s="2" t="n">
        <x:v>1</x:v>
      </x:c>
      <x:c r="L410" s="13" t="b">
        <x:v>0</x:v>
      </x:c>
      <x:c r="M410" s="13" t="b">
        <x:v>1</x:v>
      </x:c>
      <x:c r="N410" s="2" t="str">
        <x:v>unused2023converted-source comparator</x:v>
      </x:c>
      <x:c r="O410" s="2" t="str"/>
      <x:c r="P410" s="2" t="str">
        <x:v>assumption-based floor-area proxy</x:v>
      </x:c>
      <x:c r="Q410" s="2" t="str">
        <x:v>m2</x:v>
      </x:c>
      <x:c r="R410" s="17" t="n">
        <x:v>497021869.96</x:v>
      </x:c>
      <x:c r="S410" s="17"/>
      <x:c r="T410" s="18"/>
      <x:c r="U410" s="17" t="n">
        <x:v>454480387.6899993</x:v>
      </x:c>
      <x:c r="V410" s="2" t="str">
        <x:v>existing saved physical-floor-area proxy</x:v>
      </x:c>
      <x:c r="W410" s="2" t="str">
        <x:v>legacy_epoch_source_QA_passed; new_common_native_support_not_certified</x:v>
      </x:c>
      <x:c r="X410" s="2" t="str">
        <x:v>https://arxiv.org/abs/2511.12104</x:v>
      </x:c>
    </x:row>
    <x:row r="411" ht="23" customHeight="1">
      <x:c r="A411" s="2" t="str">
        <x:v>ZAF</x:v>
      </x:c>
      <x:c r="B411" s="2" t="str">
        <x:v>South Africa (Republic of)</x:v>
      </x:c>
      <x:c r="C411" s="2" t="n">
        <x:v>2023</x:v>
      </x:c>
      <x:c r="D411" s="2" t="str">
        <x:v>TEMPO_PROXY</x:v>
      </x:c>
      <x:c r="E411" s="17" t="n">
        <x:v>2851993951.5264945</x:v>
      </x:c>
      <x:c r="F411" s="17" t="n">
        <x:f>IF(AND(M411,ISNUMBER(R411)),IF(D411="TEMPO_PROXY",R411,IF(AND(ISNUMBER(S411),S411&gt;0,ISNUMBER(U411)),U411*R411/S411,"n.a.")),"n.a.")</x:f>
        <x:v>2889099648.76</x:v>
      </x:c>
      <x:c r="G411" s="17" t="n">
        <x:f>IF(AND(ISNUMBER(E411),ISNUMBER(F411)),E411-F411,"n.a.")</x:f>
        <x:v>-37105697.233505726</x:v>
      </x:c>
      <x:c r="H411" s="15" t="n">
        <x:f>IF(AND(ISNUMBER(E411),ISNUMBER(F411),F411&gt;0),(E411-F411)/F411,"n.a.")</x:f>
        <x:v>-0.01284334282115588</x:v>
      </x:c>
      <x:c r="I411" s="19" t="n">
        <x:f>IF(ISNUMBER(H411),ABS(H411),"n.a.")</x:f>
        <x:v>0.01284334282115588</x:v>
      </x:c>
      <x:c r="J411" s="2" t="str">
        <x:v>available</x:v>
      </x:c>
      <x:c r="K411" s="2" t="n">
        <x:v>1</x:v>
      </x:c>
      <x:c r="L411" s="13" t="b">
        <x:v>0</x:v>
      </x:c>
      <x:c r="M411" s="13" t="b">
        <x:v>1</x:v>
      </x:c>
      <x:c r="N411" s="2" t="str">
        <x:v>unused2023converted-source comparator</x:v>
      </x:c>
      <x:c r="O411" s="2" t="str"/>
      <x:c r="P411" s="2" t="str">
        <x:v>assumption-based floor-area proxy</x:v>
      </x:c>
      <x:c r="Q411" s="2" t="str">
        <x:v>m2</x:v>
      </x:c>
      <x:c r="R411" s="17" t="n">
        <x:v>2889099648.76</x:v>
      </x:c>
      <x:c r="S411" s="17"/>
      <x:c r="T411" s="18"/>
      <x:c r="U411" s="17" t="n">
        <x:v>2711325840.6099963</x:v>
      </x:c>
      <x:c r="V411" s="2" t="str">
        <x:v>existing saved physical-floor-area proxy</x:v>
      </x:c>
      <x:c r="W411" s="2" t="str">
        <x:v>legacy_epoch_source_QA_passed; new_common_native_support_not_certified</x:v>
      </x:c>
      <x:c r="X411" s="2" t="str">
        <x:v>https://arxiv.org/abs/2511.12104</x:v>
      </x:c>
    </x:row>
    <x:row r="412" ht="23" customHeight="1">
      <x:c r="A412" s="2" t="str">
        <x:v>ZMB</x:v>
      </x:c>
      <x:c r="B412" s="2" t="str">
        <x:v>Zambia (Republic of)</x:v>
      </x:c>
      <x:c r="C412" s="2" t="n">
        <x:v>2023</x:v>
      </x:c>
      <x:c r="D412" s="2" t="str">
        <x:v>TEMPO_PROXY</x:v>
      </x:c>
      <x:c r="E412" s="17" t="n">
        <x:v>433758719.9772798</x:v>
      </x:c>
      <x:c r="F412" s="17" t="n">
        <x:f>IF(AND(M412,ISNUMBER(R412)),IF(D412="TEMPO_PROXY",R412,IF(AND(ISNUMBER(S412),S412&gt;0,ISNUMBER(U412)),U412*R412/S412,"n.a.")),"n.a.")</x:f>
        <x:v>437281444.48</x:v>
      </x:c>
      <x:c r="G412" s="17" t="n">
        <x:f>IF(AND(ISNUMBER(E412),ISNUMBER(F412)),E412-F412,"n.a.")</x:f>
        <x:v>-3522724.502720237</x:v>
      </x:c>
      <x:c r="H412" s="15" t="n">
        <x:f>IF(AND(ISNUMBER(E412),ISNUMBER(F412),F412&gt;0),(E412-F412)/F412,"n.a.")</x:f>
        <x:v>-0.008055966122480544</x:v>
      </x:c>
      <x:c r="I412" s="19" t="n">
        <x:f>IF(ISNUMBER(H412),ABS(H412),"n.a.")</x:f>
        <x:v>0.008055966122480544</x:v>
      </x:c>
      <x:c r="J412" s="2" t="str">
        <x:v>available</x:v>
      </x:c>
      <x:c r="K412" s="2" t="n">
        <x:v>1</x:v>
      </x:c>
      <x:c r="L412" s="13" t="b">
        <x:v>0</x:v>
      </x:c>
      <x:c r="M412" s="13" t="b">
        <x:v>1</x:v>
      </x:c>
      <x:c r="N412" s="2" t="str">
        <x:v>unused2023converted-source comparator</x:v>
      </x:c>
      <x:c r="O412" s="2" t="str"/>
      <x:c r="P412" s="2" t="str">
        <x:v>assumption-based floor-area proxy</x:v>
      </x:c>
      <x:c r="Q412" s="2" t="str">
        <x:v>m2</x:v>
      </x:c>
      <x:c r="R412" s="17" t="n">
        <x:v>437281444.48</x:v>
      </x:c>
      <x:c r="S412" s="17"/>
      <x:c r="T412" s="18"/>
      <x:c r="U412" s="17" t="n">
        <x:v>396696842.49999976</x:v>
      </x:c>
      <x:c r="V412" s="2" t="str">
        <x:v>existing saved physical-floor-area proxy</x:v>
      </x:c>
      <x:c r="W412" s="2" t="str">
        <x:v>legacy_epoch_source_QA_passed; new_common_native_support_not_certified</x:v>
      </x:c>
      <x:c r="X412" s="2" t="str">
        <x:v>https://arxiv.org/abs/2511.12104</x:v>
      </x:c>
    </x:row>
    <x:row r="413" ht="23" customHeight="1">
      <x:c r="A413" s="2" t="str">
        <x:v>ZWE</x:v>
      </x:c>
      <x:c r="B413" s="2" t="str">
        <x:v>Zimbabwe (Republic of)</x:v>
      </x:c>
      <x:c r="C413" s="2" t="n">
        <x:v>2023</x:v>
      </x:c>
      <x:c r="D413" s="2" t="str">
        <x:v>TEMPO_PROXY</x:v>
      </x:c>
      <x:c r="E413" s="17" t="n">
        <x:v>450582162.9465908</x:v>
      </x:c>
      <x:c r="F413" s="17" t="n">
        <x:f>IF(AND(M413,ISNUMBER(R413)),IF(D413="TEMPO_PROXY",R413,IF(AND(ISNUMBER(S413),S413&gt;0,ISNUMBER(U413)),U413*R413/S413,"n.a.")),"n.a.")</x:f>
        <x:v>459465466.59</x:v>
      </x:c>
      <x:c r="G413" s="17" t="n">
        <x:f>IF(AND(ISNUMBER(E413),ISNUMBER(F413)),E413-F413,"n.a.")</x:f>
        <x:v>-8883303.643409193</x:v>
      </x:c>
      <x:c r="H413" s="15" t="n">
        <x:f>IF(AND(ISNUMBER(E413),ISNUMBER(F413),F413&gt;0),(E413-F413)/F413,"n.a.")</x:f>
        <x:v>-0.019333996326945137</x:v>
      </x:c>
      <x:c r="I413" s="19" t="n">
        <x:f>IF(ISNUMBER(H413),ABS(H413),"n.a.")</x:f>
        <x:v>0.019333996326945137</x:v>
      </x:c>
      <x:c r="J413" s="2" t="str">
        <x:v>available</x:v>
      </x:c>
      <x:c r="K413" s="2" t="n">
        <x:v>1</x:v>
      </x:c>
      <x:c r="L413" s="13" t="b">
        <x:v>0</x:v>
      </x:c>
      <x:c r="M413" s="13" t="b">
        <x:v>1</x:v>
      </x:c>
      <x:c r="N413" s="2" t="str">
        <x:v>unused2023converted-source comparator</x:v>
      </x:c>
      <x:c r="O413" s="2" t="str"/>
      <x:c r="P413" s="2" t="str">
        <x:v>assumption-based floor-area proxy</x:v>
      </x:c>
      <x:c r="Q413" s="2" t="str">
        <x:v>m2</x:v>
      </x:c>
      <x:c r="R413" s="17" t="n">
        <x:v>459465466.59</x:v>
      </x:c>
      <x:c r="S413" s="17"/>
      <x:c r="T413" s="18"/>
      <x:c r="U413" s="17" t="n">
        <x:v>420425813.9799996</x:v>
      </x:c>
      <x:c r="V413" s="2" t="str">
        <x:v>existing saved physical-floor-area proxy</x:v>
      </x:c>
      <x:c r="W413" s="2" t="str">
        <x:v>legacy_epoch_source_QA_passed; new_common_native_support_not_certified</x:v>
      </x:c>
      <x:c r="X413" s="2" t="str">
        <x:v>https://arxiv.org/abs/2511.12104</x:v>
      </x:c>
    </x:row>
    <x:row r="414" ht="23" customHeight="1">
      <x:c r="A414" s="2" t="str">
        <x:v>AFG</x:v>
      </x:c>
      <x:c r="B414" s="2" t="str">
        <x:v>Afghanistan (Islamic Republic of)</x:v>
      </x:c>
      <x:c r="C414" s="2" t="n">
        <x:v>2015</x:v>
      </x:c>
      <x:c r="D414" s="2" t="str">
        <x:v>GHSL_SURFACE</x:v>
      </x:c>
      <x:c r="E414" s="17" t="n">
        <x:v>723941377.8198509</x:v>
      </x:c>
      <x:c r="F414" s="17" t="n">
        <x:f>IF(AND(M414,ISNUMBER(R414)),IF(D414="TEMPO_PROXY",R414,IF(AND(ISNUMBER(S414),S414&gt;0,ISNUMBER(U414)),U414*R414/S414,"n.a.")),"n.a.")</x:f>
        <x:v>515386676.0000005</x:v>
      </x:c>
      <x:c r="G414" s="17" t="n">
        <x:f>IF(AND(ISNUMBER(E414),ISNUMBER(F414)),E414-F414,"n.a.")</x:f>
        <x:v>208554701.81985044</x:v>
      </x:c>
      <x:c r="H414" s="15" t="n">
        <x:f>IF(AND(ISNUMBER(E414),ISNUMBER(F414),F414&gt;0),(E414-F414)/F414,"n.a.")</x:f>
        <x:v>0.4046567587631044</x:v>
      </x:c>
      <x:c r="I414" s="19" t="n">
        <x:f>IF(ISNUMBER(H414),ABS(H414),"n.a.")</x:f>
        <x:v>0.4046567587631044</x:v>
      </x:c>
      <x:c r="J414" s="2" t="str">
        <x:v>available</x:v>
      </x:c>
      <x:c r="K414" s="2" t="n">
        <x:v>1</x:v>
      </x:c>
      <x:c r="L414" s="13" t="b">
        <x:v>0</x:v>
      </x:c>
      <x:c r="M414" s="13" t="b">
        <x:v>1</x:v>
      </x:c>
      <x:c r="N414" s="2" t="str">
        <x:v>historical source estimate</x:v>
      </x:c>
      <x:c r="O414" s="2" t="str"/>
      <x:c r="P414" s="2" t="str">
        <x:v>horizontal built-up surface</x:v>
      </x:c>
      <x:c r="Q414" s="2" t="str">
        <x:v>m2</x:v>
      </x:c>
      <x:c r="R414" s="17" t="n">
        <x:v>515386676</x:v>
      </x:c>
      <x:c r="S414" s="17" t="n">
        <x:v>853208432.45</x:v>
      </x:c>
      <x:c r="T414" s="18" t="n">
        <x:v>1.0000000000000009</x:v>
      </x:c>
      <x:c r="U414" s="17" t="n">
        <x:v>853208432.4500008</x:v>
      </x:c>
      <x:c r="V414" s="2" t="str">
        <x:v>Area equivalent = model2020 * source surface / TEMPO2020 footprint</x:v>
      </x:c>
      <x:c r="W414" s="2" t="str">
        <x:v>legacy epoch_status=observed; not exact acquisition proof</x:v>
      </x:c>
      <x:c r="X414" s="2" t="str">
        <x:v>https://human-settlement.emergency.copernicus.eu/ghs_buS2023.php</x:v>
      </x:c>
    </x:row>
    <x:row r="415" ht="23" customHeight="1">
      <x:c r="A415" s="2" t="str">
        <x:v>AGO</x:v>
      </x:c>
      <x:c r="B415" s="2" t="str">
        <x:v>Angola (Republic of)</x:v>
      </x:c>
      <x:c r="C415" s="2" t="n">
        <x:v>2015</x:v>
      </x:c>
      <x:c r="D415" s="2" t="str">
        <x:v>GHSL_SURFACE</x:v>
      </x:c>
      <x:c r="E415" s="17" t="n">
        <x:v>402759467.7748718</x:v>
      </x:c>
      <x:c r="F415" s="17" t="n">
        <x:f>IF(AND(M415,ISNUMBER(R415)),IF(D415="TEMPO_PROXY",R415,IF(AND(ISNUMBER(S415),S415&gt;0,ISNUMBER(U415)),U415*R415/S415,"n.a.")),"n.a.")</x:f>
        <x:v>1012341953.9999987</x:v>
      </x:c>
      <x:c r="G415" s="17" t="n">
        <x:f>IF(AND(ISNUMBER(E415),ISNUMBER(F415)),E415-F415,"n.a.")</x:f>
        <x:v>-609582486.2251269</x:v>
      </x:c>
      <x:c r="H415" s="15" t="n">
        <x:f>IF(AND(ISNUMBER(E415),ISNUMBER(F415),F415&gt;0),(E415-F415)/F415,"n.a.")</x:f>
        <x:v>-0.6021507691314427</x:v>
      </x:c>
      <x:c r="I415" s="19" t="n">
        <x:f>IF(ISNUMBER(H415),ABS(H415),"n.a.")</x:f>
        <x:v>0.6021507691314427</x:v>
      </x:c>
      <x:c r="J415" s="2" t="str">
        <x:v>available</x:v>
      </x:c>
      <x:c r="K415" s="2" t="n">
        <x:v>1</x:v>
      </x:c>
      <x:c r="L415" s="13" t="b">
        <x:v>0</x:v>
      </x:c>
      <x:c r="M415" s="13" t="b">
        <x:v>1</x:v>
      </x:c>
      <x:c r="N415" s="2" t="str">
        <x:v>historical source estimate</x:v>
      </x:c>
      <x:c r="O415" s="2" t="str"/>
      <x:c r="P415" s="2" t="str">
        <x:v>horizontal built-up surface</x:v>
      </x:c>
      <x:c r="Q415" s="2" t="str">
        <x:v>m2</x:v>
      </x:c>
      <x:c r="R415" s="17" t="n">
        <x:v>1012341954</x:v>
      </x:c>
      <x:c r="S415" s="17" t="n">
        <x:v>512504617.86</x:v>
      </x:c>
      <x:c r="T415" s="18" t="n">
        <x:v>0.9999999999999987</x:v>
      </x:c>
      <x:c r="U415" s="17" t="n">
        <x:v>512504617.85999936</x:v>
      </x:c>
      <x:c r="V415" s="2" t="str">
        <x:v>Area equivalent = model2020 * source surface / TEMPO2020 footprint</x:v>
      </x:c>
      <x:c r="W415" s="2" t="str">
        <x:v>legacy epoch_status=observed; not exact acquisition proof</x:v>
      </x:c>
      <x:c r="X415" s="2" t="str">
        <x:v>https://human-settlement.emergency.copernicus.eu/ghs_buS2023.php</x:v>
      </x:c>
    </x:row>
    <x:row r="416" ht="23" customHeight="1">
      <x:c r="A416" s="2" t="str">
        <x:v>ALB</x:v>
      </x:c>
      <x:c r="B416" s="2" t="str">
        <x:v>Albania (Republic of)</x:v>
      </x:c>
      <x:c r="C416" s="2" t="n">
        <x:v>2015</x:v>
      </x:c>
      <x:c r="D416" s="2" t="str">
        <x:v>GHSL_SURFACE</x:v>
      </x:c>
      <x:c r="E416" s="17" t="n">
        <x:v>152591911.14729556</x:v>
      </x:c>
      <x:c r="F416" s="17" t="n">
        <x:f>IF(AND(M416,ISNUMBER(R416)),IF(D416="TEMPO_PROXY",R416,IF(AND(ISNUMBER(S416),S416&gt;0,ISNUMBER(U416)),U416*R416/S416,"n.a.")),"n.a.")</x:f>
        <x:v>225092571.0000003</x:v>
      </x:c>
      <x:c r="G416" s="17" t="n">
        <x:f>IF(AND(ISNUMBER(E416),ISNUMBER(F416)),E416-F416,"n.a.")</x:f>
        <x:v>-72500659.85270473</x:v>
      </x:c>
      <x:c r="H416" s="15" t="n">
        <x:f>IF(AND(ISNUMBER(E416),ISNUMBER(F416),F416&gt;0),(E416-F416)/F416,"n.a.")</x:f>
        <x:v>-0.32209263740074584</x:v>
      </x:c>
      <x:c r="I416" s="19" t="n">
        <x:f>IF(ISNUMBER(H416),ABS(H416),"n.a.")</x:f>
        <x:v>0.32209263740074584</x:v>
      </x:c>
      <x:c r="J416" s="2" t="str">
        <x:v>available</x:v>
      </x:c>
      <x:c r="K416" s="2" t="n">
        <x:v>1</x:v>
      </x:c>
      <x:c r="L416" s="13" t="b">
        <x:v>0</x:v>
      </x:c>
      <x:c r="M416" s="13" t="b">
        <x:v>1</x:v>
      </x:c>
      <x:c r="N416" s="2" t="str">
        <x:v>historical source estimate</x:v>
      </x:c>
      <x:c r="O416" s="2" t="str"/>
      <x:c r="P416" s="2" t="str">
        <x:v>horizontal built-up surface</x:v>
      </x:c>
      <x:c r="Q416" s="2" t="str">
        <x:v>m2</x:v>
      </x:c>
      <x:c r="R416" s="17" t="n">
        <x:v>225092571</x:v>
      </x:c>
      <x:c r="S416" s="17" t="n">
        <x:v>161276383.52</x:v>
      </x:c>
      <x:c r="T416" s="18" t="n">
        <x:v>1.0000000000000013</x:v>
      </x:c>
      <x:c r="U416" s="17" t="n">
        <x:v>161276383.52000022</x:v>
      </x:c>
      <x:c r="V416" s="2" t="str">
        <x:v>Area equivalent = model2020 * source surface / TEMPO2020 footprint</x:v>
      </x:c>
      <x:c r="W416" s="2" t="str">
        <x:v>legacy epoch_status=observed; not exact acquisition proof</x:v>
      </x:c>
      <x:c r="X416" s="2" t="str">
        <x:v>https://human-settlement.emergency.copernicus.eu/ghs_buS2023.php</x:v>
      </x:c>
    </x:row>
    <x:row r="417" ht="23" customHeight="1">
      <x:c r="A417" s="2" t="str">
        <x:v>AND</x:v>
      </x:c>
      <x:c r="B417" s="2" t="str">
        <x:v>Andorra (Principality of)</x:v>
      </x:c>
      <x:c r="C417" s="2" t="n">
        <x:v>2015</x:v>
      </x:c>
      <x:c r="D417" s="2" t="str">
        <x:v>GHSL_SURFACE</x:v>
      </x:c>
      <x:c r="E417" s="17" t="n">
        <x:v>2845560.5783106415</x:v>
      </x:c>
      <x:c r="F417" s="17" t="n">
        <x:f>IF(AND(M417,ISNUMBER(R417)),IF(D417="TEMPO_PROXY",R417,IF(AND(ISNUMBER(S417),S417&gt;0,ISNUMBER(U417)),U417*R417/S417,"n.a.")),"n.a.")</x:f>
        <x:v>2888877.536991363</x:v>
      </x:c>
      <x:c r="G417" s="17" t="n">
        <x:f>IF(AND(ISNUMBER(E417),ISNUMBER(F417)),E417-F417,"n.a.")</x:f>
        <x:v>-43316.958680721465</x:v>
      </x:c>
      <x:c r="H417" s="15" t="n">
        <x:f>IF(AND(ISNUMBER(E417),ISNUMBER(F417),F417&gt;0),(E417-F417)/F417,"n.a.")</x:f>
        <x:v>-0.014994390771522335</x:v>
      </x:c>
      <x:c r="I417" s="19" t="n">
        <x:f>IF(ISNUMBER(H417),ABS(H417),"n.a.")</x:f>
        <x:v>0.014994390771522335</x:v>
      </x:c>
      <x:c r="J417" s="2" t="str">
        <x:v>available</x:v>
      </x:c>
      <x:c r="K417" s="2" t="n">
        <x:v>1</x:v>
      </x:c>
      <x:c r="L417" s="13" t="b">
        <x:v>0</x:v>
      </x:c>
      <x:c r="M417" s="13" t="b">
        <x:v>1</x:v>
      </x:c>
      <x:c r="N417" s="2" t="str">
        <x:v>historical source estimate</x:v>
      </x:c>
      <x:c r="O417" s="2" t="str"/>
      <x:c r="P417" s="2" t="str">
        <x:v>horizontal built-up surface</x:v>
      </x:c>
      <x:c r="Q417" s="2" t="str">
        <x:v>m2</x:v>
      </x:c>
      <x:c r="R417" s="17" t="n">
        <x:v>2130600</x:v>
      </x:c>
      <x:c r="S417" s="17" t="n">
        <x:v>2209198.1</x:v>
      </x:c>
      <x:c r="T417" s="18" t="n">
        <x:v>1.3558985905338228</x:v>
      </x:c>
      <x:c r="U417" s="17" t="n">
        <x:v>2995448.5899999994</x:v>
      </x:c>
      <x:c r="V417" s="2" t="str">
        <x:v>Area equivalent = model2020 * source surface / TEMPO2020 footprint</x:v>
      </x:c>
      <x:c r="W417" s="2" t="str">
        <x:v>legacy epoch_status=observed; not exact acquisition proof</x:v>
      </x:c>
      <x:c r="X417" s="2" t="str">
        <x:v>https://human-settlement.emergency.copernicus.eu/ghs_buS2023.php</x:v>
      </x:c>
    </x:row>
    <x:row r="418" ht="23" customHeight="1">
      <x:c r="A418" s="2" t="str">
        <x:v>ARE</x:v>
      </x:c>
      <x:c r="B418" s="2" t="str">
        <x:v>United Arab Emirates</x:v>
      </x:c>
      <x:c r="C418" s="2" t="n">
        <x:v>2015</x:v>
      </x:c>
      <x:c r="D418" s="2" t="str">
        <x:v>GHSL_SURFACE</x:v>
      </x:c>
      <x:c r="E418" s="17" t="n">
        <x:v>432363221.29956406</x:v>
      </x:c>
      <x:c r="F418" s="17" t="n">
        <x:f>IF(AND(M418,ISNUMBER(R418)),IF(D418="TEMPO_PROXY",R418,IF(AND(ISNUMBER(S418),S418&gt;0,ISNUMBER(U418)),U418*R418/S418,"n.a.")),"n.a.")</x:f>
        <x:v>589717747.1998489</x:v>
      </x:c>
      <x:c r="G418" s="17" t="n">
        <x:f>IF(AND(ISNUMBER(E418),ISNUMBER(F418)),E418-F418,"n.a.")</x:f>
        <x:v>-157354525.90028483</x:v>
      </x:c>
      <x:c r="H418" s="15" t="n">
        <x:f>IF(AND(ISNUMBER(E418),ISNUMBER(F418),F418&gt;0),(E418-F418)/F418,"n.a.")</x:f>
        <x:v>-0.26683023640962106</x:v>
      </x:c>
      <x:c r="I418" s="19" t="n">
        <x:f>IF(ISNUMBER(H418),ABS(H418),"n.a.")</x:f>
        <x:v>0.26683023640962106</x:v>
      </x:c>
      <x:c r="J418" s="2" t="str">
        <x:v>available</x:v>
      </x:c>
      <x:c r="K418" s="2" t="n">
        <x:v>1</x:v>
      </x:c>
      <x:c r="L418" s="13" t="b">
        <x:v>0</x:v>
      </x:c>
      <x:c r="M418" s="13" t="b">
        <x:v>1</x:v>
      </x:c>
      <x:c r="N418" s="2" t="str">
        <x:v>historical source estimate</x:v>
      </x:c>
      <x:c r="O418" s="2" t="str"/>
      <x:c r="P418" s="2" t="str">
        <x:v>horizontal built-up surface</x:v>
      </x:c>
      <x:c r="Q418" s="2" t="str">
        <x:v>m2</x:v>
      </x:c>
      <x:c r="R418" s="17" t="n">
        <x:v>528736539</x:v>
      </x:c>
      <x:c r="S418" s="17" t="n">
        <x:v>458879702.88</x:v>
      </x:c>
      <x:c r="T418" s="18" t="n">
        <x:v>1.1153338263990282</x:v>
      </x:c>
      <x:c r="U418" s="17" t="n">
        <x:v>511804054.8699995</x:v>
      </x:c>
      <x:c r="V418" s="2" t="str">
        <x:v>Area equivalent = model2020 * source surface / TEMPO2020 footprint</x:v>
      </x:c>
      <x:c r="W418" s="2" t="str">
        <x:v>legacy epoch_status=observed; not exact acquisition proof</x:v>
      </x:c>
      <x:c r="X418" s="2" t="str">
        <x:v>https://human-settlement.emergency.copernicus.eu/ghs_buS2023.php</x:v>
      </x:c>
    </x:row>
    <x:row r="419" ht="23" customHeight="1">
      <x:c r="A419" s="2" t="str">
        <x:v>ARG</x:v>
      </x:c>
      <x:c r="B419" s="2" t="str">
        <x:v>Argentina (Argentine Republic)</x:v>
      </x:c>
      <x:c r="C419" s="2" t="n">
        <x:v>2015</x:v>
      </x:c>
      <x:c r="D419" s="2" t="str">
        <x:v>GHSL_SURFACE</x:v>
      </x:c>
      <x:c r="E419" s="17" t="n">
        <x:v>2281407992.298051</x:v>
      </x:c>
      <x:c r="F419" s="17" t="n">
        <x:f>IF(AND(M419,ISNUMBER(R419)),IF(D419="TEMPO_PROXY",R419,IF(AND(ISNUMBER(S419),S419&gt;0,ISNUMBER(U419)),U419*R419/S419,"n.a.")),"n.a.")</x:f>
        <x:v>3768980078.9999967</x:v>
      </x:c>
      <x:c r="G419" s="17" t="n">
        <x:f>IF(AND(ISNUMBER(E419),ISNUMBER(F419)),E419-F419,"n.a.")</x:f>
        <x:v>-1487572086.7019458</x:v>
      </x:c>
      <x:c r="H419" s="15" t="n">
        <x:f>IF(AND(ISNUMBER(E419),ISNUMBER(F419),F419&gt;0),(E419-F419)/F419,"n.a.")</x:f>
        <x:v>-0.39468823276365933</x:v>
      </x:c>
      <x:c r="I419" s="19" t="n">
        <x:f>IF(ISNUMBER(H419),ABS(H419),"n.a.")</x:f>
        <x:v>0.39468823276365933</x:v>
      </x:c>
      <x:c r="J419" s="2" t="str">
        <x:v>available</x:v>
      </x:c>
      <x:c r="K419" s="2" t="n">
        <x:v>1</x:v>
      </x:c>
      <x:c r="L419" s="13" t="b">
        <x:v>0</x:v>
      </x:c>
      <x:c r="M419" s="13" t="b">
        <x:v>1</x:v>
      </x:c>
      <x:c r="N419" s="2" t="str">
        <x:v>historical source estimate</x:v>
      </x:c>
      <x:c r="O419" s="2" t="str"/>
      <x:c r="P419" s="2" t="str">
        <x:v>horizontal built-up surface</x:v>
      </x:c>
      <x:c r="Q419" s="2" t="str">
        <x:v>m2</x:v>
      </x:c>
      <x:c r="R419" s="17" t="n">
        <x:v>3768980079</x:v>
      </x:c>
      <x:c r="S419" s="17" t="n">
        <x:v>2382940448.4</x:v>
      </x:c>
      <x:c r="T419" s="18" t="n">
        <x:v>0.9999999999999992</x:v>
      </x:c>
      <x:c r="U419" s="17" t="n">
        <x:v>2382940448.399998</x:v>
      </x:c>
      <x:c r="V419" s="2" t="str">
        <x:v>Area equivalent = model2020 * source surface / TEMPO2020 footprint</x:v>
      </x:c>
      <x:c r="W419" s="2" t="str">
        <x:v>legacy epoch_status=observed; not exact acquisition proof</x:v>
      </x:c>
      <x:c r="X419" s="2" t="str">
        <x:v>https://human-settlement.emergency.copernicus.eu/ghs_buS2023.php</x:v>
      </x:c>
    </x:row>
    <x:row r="420" ht="23" customHeight="1">
      <x:c r="A420" s="2" t="str">
        <x:v>ARM</x:v>
      </x:c>
      <x:c r="B420" s="2" t="str">
        <x:v>Armenia (Republic of)</x:v>
      </x:c>
      <x:c r="C420" s="2" t="n">
        <x:v>2015</x:v>
      </x:c>
      <x:c r="D420" s="2" t="str">
        <x:v>GHSL_SURFACE</x:v>
      </x:c>
      <x:c r="E420" s="17" t="n">
        <x:v>138576247.47924888</x:v>
      </x:c>
      <x:c r="F420" s="17" t="n">
        <x:f>IF(AND(M420,ISNUMBER(R420)),IF(D420="TEMPO_PROXY",R420,IF(AND(ISNUMBER(S420),S420&gt;0,ISNUMBER(U420)),U420*R420/S420,"n.a.")),"n.a.")</x:f>
        <x:v>216047546.00000036</x:v>
      </x:c>
      <x:c r="G420" s="17" t="n">
        <x:f>IF(AND(ISNUMBER(E420),ISNUMBER(F420)),E420-F420,"n.a.")</x:f>
        <x:v>-77471298.52075148</x:v>
      </x:c>
      <x:c r="H420" s="15" t="n">
        <x:f>IF(AND(ISNUMBER(E420),ISNUMBER(F420),F420&gt;0),(E420-F420)/F420,"n.a.")</x:f>
        <x:v>-0.35858448732739295</x:v>
      </x:c>
      <x:c r="I420" s="19" t="n">
        <x:f>IF(ISNUMBER(H420),ABS(H420),"n.a.")</x:f>
        <x:v>0.35858448732739295</x:v>
      </x:c>
      <x:c r="J420" s="2" t="str">
        <x:v>available</x:v>
      </x:c>
      <x:c r="K420" s="2" t="n">
        <x:v>1</x:v>
      </x:c>
      <x:c r="L420" s="13" t="b">
        <x:v>0</x:v>
      </x:c>
      <x:c r="M420" s="13" t="b">
        <x:v>1</x:v>
      </x:c>
      <x:c r="N420" s="2" t="str">
        <x:v>historical source estimate</x:v>
      </x:c>
      <x:c r="O420" s="2" t="str"/>
      <x:c r="P420" s="2" t="str">
        <x:v>horizontal built-up surface</x:v>
      </x:c>
      <x:c r="Q420" s="2" t="str">
        <x:v>m2</x:v>
      </x:c>
      <x:c r="R420" s="17" t="n">
        <x:v>216047546</x:v>
      </x:c>
      <x:c r="S420" s="17" t="n">
        <x:v>142786500.21</x:v>
      </x:c>
      <x:c r="T420" s="18" t="n">
        <x:v>1.0000000000000018</x:v>
      </x:c>
      <x:c r="U420" s="17" t="n">
        <x:v>142786500.21000025</x:v>
      </x:c>
      <x:c r="V420" s="2" t="str">
        <x:v>Area equivalent = model2020 * source surface / TEMPO2020 footprint</x:v>
      </x:c>
      <x:c r="W420" s="2" t="str">
        <x:v>legacy epoch_status=observed; not exact acquisition proof</x:v>
      </x:c>
      <x:c r="X420" s="2" t="str">
        <x:v>https://human-settlement.emergency.copernicus.eu/ghs_buS2023.php</x:v>
      </x:c>
    </x:row>
    <x:row r="421" ht="23" customHeight="1">
      <x:c r="A421" s="2" t="str">
        <x:v>ATG</x:v>
      </x:c>
      <x:c r="B421" s="2" t="str">
        <x:v>Antigua and Barbuda</x:v>
      </x:c>
      <x:c r="C421" s="2" t="n">
        <x:v>2015</x:v>
      </x:c>
      <x:c r="D421" s="2" t="str">
        <x:v>GHSL_SURFACE</x:v>
      </x:c>
      <x:c r="E421" s="17" t="n">
        <x:v>6409689.412213599</x:v>
      </x:c>
      <x:c r="F421" s="17" t="n">
        <x:f>IF(AND(M421,ISNUMBER(R421)),IF(D421="TEMPO_PROXY",R421,IF(AND(ISNUMBER(S421),S421&gt;0,ISNUMBER(U421)),U421*R421/S421,"n.a.")),"n.a.")</x:f>
        <x:v>11904865.999999998</x:v>
      </x:c>
      <x:c r="G421" s="17" t="n">
        <x:f>IF(AND(ISNUMBER(E421),ISNUMBER(F421)),E421-F421,"n.a.")</x:f>
        <x:v>-5495176.587786399</x:v>
      </x:c>
      <x:c r="H421" s="15" t="n">
        <x:f>IF(AND(ISNUMBER(E421),ISNUMBER(F421),F421&gt;0),(E421-F421)/F421,"n.a.")</x:f>
        <x:v>-0.46159079722412666</x:v>
      </x:c>
      <x:c r="I421" s="19" t="n">
        <x:f>IF(ISNUMBER(H421),ABS(H421),"n.a.")</x:f>
        <x:v>0.46159079722412666</x:v>
      </x:c>
      <x:c r="J421" s="2" t="str">
        <x:v>available</x:v>
      </x:c>
      <x:c r="K421" s="2" t="n">
        <x:v>1</x:v>
      </x:c>
      <x:c r="L421" s="13" t="b">
        <x:v>0</x:v>
      </x:c>
      <x:c r="M421" s="13" t="b">
        <x:v>1</x:v>
      </x:c>
      <x:c r="N421" s="2" t="str">
        <x:v>historical source estimate</x:v>
      </x:c>
      <x:c r="O421" s="2" t="str"/>
      <x:c r="P421" s="2" t="str">
        <x:v>horizontal built-up surface</x:v>
      </x:c>
      <x:c r="Q421" s="2" t="str">
        <x:v>m2</x:v>
      </x:c>
      <x:c r="R421" s="17" t="n">
        <x:v>11904866</x:v>
      </x:c>
      <x:c r="S421" s="17" t="n">
        <x:v>7437404.66</x:v>
      </x:c>
      <x:c r="T421" s="18" t="n">
        <x:v>0.9999999999999999</x:v>
      </x:c>
      <x:c r="U421" s="17" t="n">
        <x:v>7437404.659999999</x:v>
      </x:c>
      <x:c r="V421" s="2" t="str">
        <x:v>Area equivalent = model2020 * source surface / TEMPO2020 footprint</x:v>
      </x:c>
      <x:c r="W421" s="2" t="str">
        <x:v>legacy epoch_status=observed; not exact acquisition proof</x:v>
      </x:c>
      <x:c r="X421" s="2" t="str">
        <x:v>https://human-settlement.emergency.copernicus.eu/ghs_buS2023.php</x:v>
      </x:c>
    </x:row>
    <x:row r="422" ht="23" customHeight="1">
      <x:c r="A422" s="2" t="str">
        <x:v>AUS</x:v>
      </x:c>
      <x:c r="B422" s="2" t="str">
        <x:v>Australia (Commonwealth of)</x:v>
      </x:c>
      <x:c r="C422" s="2" t="n">
        <x:v>2015</x:v>
      </x:c>
      <x:c r="D422" s="2" t="str">
        <x:v>GHSL_SURFACE</x:v>
      </x:c>
      <x:c r="E422" s="17" t="n">
        <x:v>2689879598.545835</x:v>
      </x:c>
      <x:c r="F422" s="17" t="n">
        <x:f>IF(AND(M422,ISNUMBER(R422)),IF(D422="TEMPO_PROXY",R422,IF(AND(ISNUMBER(S422),S422&gt;0,ISNUMBER(U422)),U422*R422/S422,"n.a.")),"n.a.")</x:f>
        <x:v>4546242045.999996</x:v>
      </x:c>
      <x:c r="G422" s="17" t="n">
        <x:f>IF(AND(ISNUMBER(E422),ISNUMBER(F422)),E422-F422,"n.a.")</x:f>
        <x:v>-1856362447.4541612</x:v>
      </x:c>
      <x:c r="H422" s="15" t="n">
        <x:f>IF(AND(ISNUMBER(E422),ISNUMBER(F422),F422&gt;0),(E422-F422)/F422,"n.a.")</x:f>
        <x:v>-0.4083289953924646</x:v>
      </x:c>
      <x:c r="I422" s="19" t="n">
        <x:f>IF(ISNUMBER(H422),ABS(H422),"n.a.")</x:f>
        <x:v>0.4083289953924646</x:v>
      </x:c>
      <x:c r="J422" s="2" t="str">
        <x:v>available</x:v>
      </x:c>
      <x:c r="K422" s="2" t="n">
        <x:v>1</x:v>
      </x:c>
      <x:c r="L422" s="13" t="b">
        <x:v>0</x:v>
      </x:c>
      <x:c r="M422" s="13" t="b">
        <x:v>1</x:v>
      </x:c>
      <x:c r="N422" s="2" t="str">
        <x:v>historical source estimate</x:v>
      </x:c>
      <x:c r="O422" s="2" t="str"/>
      <x:c r="P422" s="2" t="str">
        <x:v>horizontal built-up surface</x:v>
      </x:c>
      <x:c r="Q422" s="2" t="str">
        <x:v>m2</x:v>
      </x:c>
      <x:c r="R422" s="17" t="n">
        <x:v>4546242046</x:v>
      </x:c>
      <x:c r="S422" s="17" t="n">
        <x:v>3011161094.86</x:v>
      </x:c>
      <x:c r="T422" s="18" t="n">
        <x:v>0.999999999999999</x:v>
      </x:c>
      <x:c r="U422" s="17" t="n">
        <x:v>3011161094.8599973</x:v>
      </x:c>
      <x:c r="V422" s="2" t="str">
        <x:v>Area equivalent = model2020 * source surface / TEMPO2020 footprint</x:v>
      </x:c>
      <x:c r="W422" s="2" t="str">
        <x:v>legacy epoch_status=observed; not exact acquisition proof</x:v>
      </x:c>
      <x:c r="X422" s="2" t="str">
        <x:v>https://human-settlement.emergency.copernicus.eu/ghs_buS2023.php</x:v>
      </x:c>
    </x:row>
    <x:row r="423" ht="23" customHeight="1">
      <x:c r="A423" s="2" t="str">
        <x:v>AUT</x:v>
      </x:c>
      <x:c r="B423" s="2" t="str">
        <x:v>Austria (Republic of)</x:v>
      </x:c>
      <x:c r="C423" s="2" t="n">
        <x:v>2015</x:v>
      </x:c>
      <x:c r="D423" s="2" t="str">
        <x:v>GHSL_SURFACE</x:v>
      </x:c>
      <x:c r="E423" s="17" t="n">
        <x:v>818030285.5067213</x:v>
      </x:c>
      <x:c r="F423" s="17" t="n">
        <x:f>IF(AND(M423,ISNUMBER(R423)),IF(D423="TEMPO_PROXY",R423,IF(AND(ISNUMBER(S423),S423&gt;0,ISNUMBER(U423)),U423*R423/S423,"n.a.")),"n.a.")</x:f>
        <x:v>1100800999.9865625</x:v>
      </x:c>
      <x:c r="G423" s="17" t="n">
        <x:f>IF(AND(ISNUMBER(E423),ISNUMBER(F423)),E423-F423,"n.a.")</x:f>
        <x:v>-282770714.47984123</x:v>
      </x:c>
      <x:c r="H423" s="15" t="n">
        <x:f>IF(AND(ISNUMBER(E423),ISNUMBER(F423),F423&gt;0),(E423-F423)/F423,"n.a.")</x:f>
        <x:v>-0.25687723256364503</x:v>
      </x:c>
      <x:c r="I423" s="19" t="n">
        <x:f>IF(ISNUMBER(H423),ABS(H423),"n.a.")</x:f>
        <x:v>0.25687723256364503</x:v>
      </x:c>
      <x:c r="J423" s="2" t="str">
        <x:v>available</x:v>
      </x:c>
      <x:c r="K423" s="2" t="n">
        <x:v>1</x:v>
      </x:c>
      <x:c r="L423" s="13" t="b">
        <x:v>0</x:v>
      </x:c>
      <x:c r="M423" s="13" t="b">
        <x:v>1</x:v>
      </x:c>
      <x:c r="N423" s="2" t="str">
        <x:v>historical source estimate</x:v>
      </x:c>
      <x:c r="O423" s="2" t="str"/>
      <x:c r="P423" s="2" t="str">
        <x:v>horizontal built-up surface</x:v>
      </x:c>
      <x:c r="Q423" s="2" t="str">
        <x:v>m2</x:v>
      </x:c>
      <x:c r="R423" s="17" t="n">
        <x:v>1084646819</x:v>
      </x:c>
      <x:c r="S423" s="17" t="n">
        <x:v>852795432.34</x:v>
      </x:c>
      <x:c r="T423" s="18" t="n">
        <x:v>1.014893494088201</x:v>
      </x:c>
      <x:c r="U423" s="17" t="n">
        <x:v>865496536.0700006</x:v>
      </x:c>
      <x:c r="V423" s="2" t="str">
        <x:v>Area equivalent = model2020 * source surface / TEMPO2020 footprint</x:v>
      </x:c>
      <x:c r="W423" s="2" t="str">
        <x:v>legacy epoch_status=observed; not exact acquisition proof</x:v>
      </x:c>
      <x:c r="X423" s="2" t="str">
        <x:v>https://human-settlement.emergency.copernicus.eu/ghs_buS2023.php</x:v>
      </x:c>
    </x:row>
    <x:row r="424" ht="23" customHeight="1">
      <x:c r="A424" s="2" t="str">
        <x:v>AZE</x:v>
      </x:c>
      <x:c r="B424" s="2" t="str">
        <x:v>Azerbaijan (Republic of)</x:v>
      </x:c>
      <x:c r="C424" s="2" t="n">
        <x:v>2015</x:v>
      </x:c>
      <x:c r="D424" s="2" t="str">
        <x:v>GHSL_SURFACE</x:v>
      </x:c>
      <x:c r="E424" s="17" t="n">
        <x:v>469894353.8704014</x:v>
      </x:c>
      <x:c r="F424" s="17" t="n">
        <x:f>IF(AND(M424,ISNUMBER(R424)),IF(D424="TEMPO_PROXY",R424,IF(AND(ISNUMBER(S424),S424&gt;0,ISNUMBER(U424)),U424*R424/S424,"n.a.")),"n.a.")</x:f>
        <x:v>779000841.0000008</x:v>
      </x:c>
      <x:c r="G424" s="17" t="n">
        <x:f>IF(AND(ISNUMBER(E424),ISNUMBER(F424)),E424-F424,"n.a.")</x:f>
        <x:v>-309106487.12959945</x:v>
      </x:c>
      <x:c r="H424" s="15" t="n">
        <x:f>IF(AND(ISNUMBER(E424),ISNUMBER(F424),F424&gt;0),(E424-F424)/F424,"n.a.")</x:f>
        <x:v>-0.3967986565108203</x:v>
      </x:c>
      <x:c r="I424" s="19" t="n">
        <x:f>IF(ISNUMBER(H424),ABS(H424),"n.a.")</x:f>
        <x:v>0.3967986565108203</x:v>
      </x:c>
      <x:c r="J424" s="2" t="str">
        <x:v>available</x:v>
      </x:c>
      <x:c r="K424" s="2" t="n">
        <x:v>1</x:v>
      </x:c>
      <x:c r="L424" s="13" t="b">
        <x:v>0</x:v>
      </x:c>
      <x:c r="M424" s="13" t="b">
        <x:v>1</x:v>
      </x:c>
      <x:c r="N424" s="2" t="str">
        <x:v>historical source estimate</x:v>
      </x:c>
      <x:c r="O424" s="2" t="str"/>
      <x:c r="P424" s="2" t="str">
        <x:v>horizontal built-up surface</x:v>
      </x:c>
      <x:c r="Q424" s="2" t="str">
        <x:v>m2</x:v>
      </x:c>
      <x:c r="R424" s="17" t="n">
        <x:v>779000841</x:v>
      </x:c>
      <x:c r="S424" s="17" t="n">
        <x:v>507953272.9</x:v>
      </x:c>
      <x:c r="T424" s="18" t="n">
        <x:v>1.000000000000001</x:v>
      </x:c>
      <x:c r="U424" s="17" t="n">
        <x:v>507953272.9000006</x:v>
      </x:c>
      <x:c r="V424" s="2" t="str">
        <x:v>Area equivalent = model2020 * source surface / TEMPO2020 footprint</x:v>
      </x:c>
      <x:c r="W424" s="2" t="str">
        <x:v>legacy epoch_status=observed; not exact acquisition proof</x:v>
      </x:c>
      <x:c r="X424" s="2" t="str">
        <x:v>https://human-settlement.emergency.copernicus.eu/ghs_buS2023.php</x:v>
      </x:c>
    </x:row>
    <x:row r="425" ht="23" customHeight="1">
      <x:c r="A425" s="2" t="str">
        <x:v>BDI</x:v>
      </x:c>
      <x:c r="B425" s="2" t="str">
        <x:v>Burundi (Republic of)</x:v>
      </x:c>
      <x:c r="C425" s="2" t="n">
        <x:v>2015</x:v>
      </x:c>
      <x:c r="D425" s="2" t="str">
        <x:v>GHSL_SURFACE</x:v>
      </x:c>
      <x:c r="E425" s="17" t="n">
        <x:v>107174310.50762644</x:v>
      </x:c>
      <x:c r="F425" s="17" t="n">
        <x:f>IF(AND(M425,ISNUMBER(R425)),IF(D425="TEMPO_PROXY",R425,IF(AND(ISNUMBER(S425),S425&gt;0,ISNUMBER(U425)),U425*R425/S425,"n.a.")),"n.a.")</x:f>
        <x:v>308520206.0000002</x:v>
      </x:c>
      <x:c r="G425" s="17" t="n">
        <x:f>IF(AND(ISNUMBER(E425),ISNUMBER(F425)),E425-F425,"n.a.")</x:f>
        <x:v>-201345895.49237373</x:v>
      </x:c>
      <x:c r="H425" s="15" t="n">
        <x:f>IF(AND(ISNUMBER(E425),ISNUMBER(F425),F425&gt;0),(E425-F425)/F425,"n.a.")</x:f>
        <x:v>-0.6526181805167524</x:v>
      </x:c>
      <x:c r="I425" s="19" t="n">
        <x:f>IF(ISNUMBER(H425),ABS(H425),"n.a.")</x:f>
        <x:v>0.6526181805167524</x:v>
      </x:c>
      <x:c r="J425" s="2" t="str">
        <x:v>available</x:v>
      </x:c>
      <x:c r="K425" s="2" t="n">
        <x:v>1</x:v>
      </x:c>
      <x:c r="L425" s="13" t="b">
        <x:v>0</x:v>
      </x:c>
      <x:c r="M425" s="13" t="b">
        <x:v>1</x:v>
      </x:c>
      <x:c r="N425" s="2" t="str">
        <x:v>historical source estimate</x:v>
      </x:c>
      <x:c r="O425" s="2" t="str"/>
      <x:c r="P425" s="2" t="str">
        <x:v>horizontal built-up surface</x:v>
      </x:c>
      <x:c r="Q425" s="2" t="str">
        <x:v>m2</x:v>
      </x:c>
      <x:c r="R425" s="17" t="n">
        <x:v>308520206</x:v>
      </x:c>
      <x:c r="S425" s="17" t="n">
        <x:v>147710691.61</x:v>
      </x:c>
      <x:c r="T425" s="18" t="n">
        <x:v>1.0000000000000007</x:v>
      </x:c>
      <x:c r="U425" s="17" t="n">
        <x:v>147710691.6100001</x:v>
      </x:c>
      <x:c r="V425" s="2" t="str">
        <x:v>Area equivalent = model2020 * source surface / TEMPO2020 footprint</x:v>
      </x:c>
      <x:c r="W425" s="2" t="str">
        <x:v>legacy epoch_status=observed; not exact acquisition proof</x:v>
      </x:c>
      <x:c r="X425" s="2" t="str">
        <x:v>https://human-settlement.emergency.copernicus.eu/ghs_buS2023.php</x:v>
      </x:c>
    </x:row>
    <x:row r="426" ht="23" customHeight="1">
      <x:c r="A426" s="2" t="str">
        <x:v>BEL</x:v>
      </x:c>
      <x:c r="B426" s="2" t="str">
        <x:v>Belgium (Kingdom of)</x:v>
      </x:c>
      <x:c r="C426" s="2" t="n">
        <x:v>2015</x:v>
      </x:c>
      <x:c r="D426" s="2" t="str">
        <x:v>GHSL_SURFACE</x:v>
      </x:c>
      <x:c r="E426" s="17" t="n">
        <x:v>1030499520.953178</x:v>
      </x:c>
      <x:c r="F426" s="17" t="n">
        <x:f>IF(AND(M426,ISNUMBER(R426)),IF(D426="TEMPO_PROXY",R426,IF(AND(ISNUMBER(S426),S426&gt;0,ISNUMBER(U426)),U426*R426/S426,"n.a.")),"n.a.")</x:f>
        <x:v>1571525440.5860853</x:v>
      </x:c>
      <x:c r="G426" s="17" t="n">
        <x:f>IF(AND(ISNUMBER(E426),ISNUMBER(F426)),E426-F426,"n.a.")</x:f>
        <x:v>-541025919.6329073</x:v>
      </x:c>
      <x:c r="H426" s="15" t="n">
        <x:f>IF(AND(ISNUMBER(E426),ISNUMBER(F426),F426&gt;0),(E426-F426)/F426,"n.a.")</x:f>
        <x:v>-0.34426799952480364</x:v>
      </x:c>
      <x:c r="I426" s="19" t="n">
        <x:f>IF(ISNUMBER(H426),ABS(H426),"n.a.")</x:f>
        <x:v>0.34426799952480364</x:v>
      </x:c>
      <x:c r="J426" s="2" t="str">
        <x:v>available</x:v>
      </x:c>
      <x:c r="K426" s="2" t="n">
        <x:v>1</x:v>
      </x:c>
      <x:c r="L426" s="13" t="b">
        <x:v>0</x:v>
      </x:c>
      <x:c r="M426" s="13" t="b">
        <x:v>1</x:v>
      </x:c>
      <x:c r="N426" s="2" t="str">
        <x:v>historical source estimate</x:v>
      </x:c>
      <x:c r="O426" s="2" t="str"/>
      <x:c r="P426" s="2" t="str">
        <x:v>horizontal built-up surface</x:v>
      </x:c>
      <x:c r="Q426" s="2" t="str">
        <x:v>m2</x:v>
      </x:c>
      <x:c r="R426" s="17" t="n">
        <x:v>1452683781</x:v>
      </x:c>
      <x:c r="S426" s="17" t="n">
        <x:v>997505427.36</x:v>
      </x:c>
      <x:c r="T426" s="18" t="n">
        <x:v>1.0818083475154359</x:v>
      </x:c>
      <x:c r="U426" s="17" t="n">
        <x:v>1079109698.0100002</x:v>
      </x:c>
      <x:c r="V426" s="2" t="str">
        <x:v>Area equivalent = model2020 * source surface / TEMPO2020 footprint</x:v>
      </x:c>
      <x:c r="W426" s="2" t="str">
        <x:v>legacy epoch_status=observed; not exact acquisition proof</x:v>
      </x:c>
      <x:c r="X426" s="2" t="str">
        <x:v>https://human-settlement.emergency.copernicus.eu/ghs_buS2023.php</x:v>
      </x:c>
    </x:row>
    <x:row r="427" ht="23" customHeight="1">
      <x:c r="A427" s="2" t="str">
        <x:v>BEN</x:v>
      </x:c>
      <x:c r="B427" s="2" t="str">
        <x:v>Benin (Republic of)</x:v>
      </x:c>
      <x:c r="C427" s="2" t="n">
        <x:v>2015</x:v>
      </x:c>
      <x:c r="D427" s="2" t="str">
        <x:v>GHSL_SURFACE</x:v>
      </x:c>
      <x:c r="E427" s="17" t="n">
        <x:v>272547821.67471457</x:v>
      </x:c>
      <x:c r="F427" s="17" t="n">
        <x:f>IF(AND(M427,ISNUMBER(R427)),IF(D427="TEMPO_PROXY",R427,IF(AND(ISNUMBER(S427),S427&gt;0,ISNUMBER(U427)),U427*R427/S427,"n.a.")),"n.a.")</x:f>
        <x:v>665956138</x:v>
      </x:c>
      <x:c r="G427" s="17" t="n">
        <x:f>IF(AND(ISNUMBER(E427),ISNUMBER(F427)),E427-F427,"n.a.")</x:f>
        <x:v>-393408316.32528543</x:v>
      </x:c>
      <x:c r="H427" s="15" t="n">
        <x:f>IF(AND(ISNUMBER(E427),ISNUMBER(F427),F427&gt;0),(E427-F427)/F427,"n.a.")</x:f>
        <x:v>-0.5907420832650775</x:v>
      </x:c>
      <x:c r="I427" s="19" t="n">
        <x:f>IF(ISNUMBER(H427),ABS(H427),"n.a.")</x:f>
        <x:v>0.5907420832650775</x:v>
      </x:c>
      <x:c r="J427" s="2" t="str">
        <x:v>available</x:v>
      </x:c>
      <x:c r="K427" s="2" t="n">
        <x:v>1</x:v>
      </x:c>
      <x:c r="L427" s="13" t="b">
        <x:v>0</x:v>
      </x:c>
      <x:c r="M427" s="13" t="b">
        <x:v>1</x:v>
      </x:c>
      <x:c r="N427" s="2" t="str">
        <x:v>historical source estimate</x:v>
      </x:c>
      <x:c r="O427" s="2" t="str"/>
      <x:c r="P427" s="2" t="str">
        <x:v>horizontal built-up surface</x:v>
      </x:c>
      <x:c r="Q427" s="2" t="str">
        <x:v>m2</x:v>
      </x:c>
      <x:c r="R427" s="17" t="n">
        <x:v>665956138</x:v>
      </x:c>
      <x:c r="S427" s="17" t="n">
        <x:v>302038367.25</x:v>
      </x:c>
      <x:c r="T427" s="18" t="n">
        <x:v>1</x:v>
      </x:c>
      <x:c r="U427" s="17" t="n">
        <x:v>302038367.25</x:v>
      </x:c>
      <x:c r="V427" s="2" t="str">
        <x:v>Area equivalent = model2020 * source surface / TEMPO2020 footprint</x:v>
      </x:c>
      <x:c r="W427" s="2" t="str">
        <x:v>legacy epoch_status=observed; not exact acquisition proof</x:v>
      </x:c>
      <x:c r="X427" s="2" t="str">
        <x:v>https://human-settlement.emergency.copernicus.eu/ghs_buS2023.php</x:v>
      </x:c>
    </x:row>
    <x:row r="428" ht="23" customHeight="1">
      <x:c r="A428" s="2" t="str">
        <x:v>BFA</x:v>
      </x:c>
      <x:c r="B428" s="2" t="str">
        <x:v>Burkina Faso</x:v>
      </x:c>
      <x:c r="C428" s="2" t="n">
        <x:v>2015</x:v>
      </x:c>
      <x:c r="D428" s="2" t="str">
        <x:v>GHSL_SURFACE</x:v>
      </x:c>
      <x:c r="E428" s="17" t="n">
        <x:v>275678764.0195087</x:v>
      </x:c>
      <x:c r="F428" s="17" t="n">
        <x:f>IF(AND(M428,ISNUMBER(R428)),IF(D428="TEMPO_PROXY",R428,IF(AND(ISNUMBER(S428),S428&gt;0,ISNUMBER(U428)),U428*R428/S428,"n.a.")),"n.a.")</x:f>
        <x:v>964196099.0000005</x:v>
      </x:c>
      <x:c r="G428" s="17" t="n">
        <x:f>IF(AND(ISNUMBER(E428),ISNUMBER(F428)),E428-F428,"n.a.")</x:f>
        <x:v>-688517334.9804918</x:v>
      </x:c>
      <x:c r="H428" s="15" t="n">
        <x:f>IF(AND(ISNUMBER(E428),ISNUMBER(F428),F428&gt;0),(E428-F428)/F428,"n.a.")</x:f>
        <x:v>-0.7140843399953347</x:v>
      </x:c>
      <x:c r="I428" s="19" t="n">
        <x:f>IF(ISNUMBER(H428),ABS(H428),"n.a.")</x:f>
        <x:v>0.7140843399953347</x:v>
      </x:c>
      <x:c r="J428" s="2" t="str">
        <x:v>available</x:v>
      </x:c>
      <x:c r="K428" s="2" t="n">
        <x:v>1</x:v>
      </x:c>
      <x:c r="L428" s="13" t="b">
        <x:v>0</x:v>
      </x:c>
      <x:c r="M428" s="13" t="b">
        <x:v>1</x:v>
      </x:c>
      <x:c r="N428" s="2" t="str">
        <x:v>historical source estimate</x:v>
      </x:c>
      <x:c r="O428" s="2" t="str"/>
      <x:c r="P428" s="2" t="str">
        <x:v>horizontal built-up surface</x:v>
      </x:c>
      <x:c r="Q428" s="2" t="str">
        <x:v>m2</x:v>
      </x:c>
      <x:c r="R428" s="17" t="n">
        <x:v>964196099</x:v>
      </x:c>
      <x:c r="S428" s="17" t="n">
        <x:v>359180891.35</x:v>
      </x:c>
      <x:c r="T428" s="18" t="n">
        <x:v>1.0000000000000004</x:v>
      </x:c>
      <x:c r="U428" s="17" t="n">
        <x:v>359180891.3500002</x:v>
      </x:c>
      <x:c r="V428" s="2" t="str">
        <x:v>Area equivalent = model2020 * source surface / TEMPO2020 footprint</x:v>
      </x:c>
      <x:c r="W428" s="2" t="str">
        <x:v>legacy epoch_status=observed; not exact acquisition proof</x:v>
      </x:c>
      <x:c r="X428" s="2" t="str">
        <x:v>https://human-settlement.emergency.copernicus.eu/ghs_buS2023.php</x:v>
      </x:c>
    </x:row>
    <x:row r="429" ht="23" customHeight="1">
      <x:c r="A429" s="2" t="str">
        <x:v>BGD</x:v>
      </x:c>
      <x:c r="B429" s="2" t="str">
        <x:v>Bangladesh (People's Republic of)</x:v>
      </x:c>
      <x:c r="C429" s="2" t="n">
        <x:v>2015</x:v>
      </x:c>
      <x:c r="D429" s="2" t="str">
        <x:v>GHSL_SURFACE</x:v>
      </x:c>
      <x:c r="E429" s="17" t="n">
        <x:v>2168931873.230832</x:v>
      </x:c>
      <x:c r="F429" s="17" t="n">
        <x:f>IF(AND(M429,ISNUMBER(R429)),IF(D429="TEMPO_PROXY",R429,IF(AND(ISNUMBER(S429),S429&gt;0,ISNUMBER(U429)),U429*R429/S429,"n.a.")),"n.a.")</x:f>
        <x:v>2407728724.9999986</x:v>
      </x:c>
      <x:c r="G429" s="17" t="n">
        <x:f>IF(AND(ISNUMBER(E429),ISNUMBER(F429)),E429-F429,"n.a.")</x:f>
        <x:v>-238796851.76916647</x:v>
      </x:c>
      <x:c r="H429" s="15" t="n">
        <x:f>IF(AND(ISNUMBER(E429),ISNUMBER(F429),F429&gt;0),(E429-F429)/F429,"n.a.")</x:f>
        <x:v>-0.09917930092775157</x:v>
      </x:c>
      <x:c r="I429" s="19" t="n">
        <x:f>IF(ISNUMBER(H429),ABS(H429),"n.a.")</x:f>
        <x:v>0.09917930092775157</x:v>
      </x:c>
      <x:c r="J429" s="2" t="str">
        <x:v>available</x:v>
      </x:c>
      <x:c r="K429" s="2" t="n">
        <x:v>1</x:v>
      </x:c>
      <x:c r="L429" s="13" t="b">
        <x:v>0</x:v>
      </x:c>
      <x:c r="M429" s="13" t="b">
        <x:v>1</x:v>
      </x:c>
      <x:c r="N429" s="2" t="str">
        <x:v>historical source estimate</x:v>
      </x:c>
      <x:c r="O429" s="2" t="str"/>
      <x:c r="P429" s="2" t="str">
        <x:v>horizontal built-up surface</x:v>
      </x:c>
      <x:c r="Q429" s="2" t="str">
        <x:v>m2</x:v>
      </x:c>
      <x:c r="R429" s="17" t="n">
        <x:v>2407728725</x:v>
      </x:c>
      <x:c r="S429" s="17" t="n">
        <x:v>2430930564.55</x:v>
      </x:c>
      <x:c r="T429" s="18" t="n">
        <x:v>0.9999999999999994</x:v>
      </x:c>
      <x:c r="U429" s="17" t="n">
        <x:v>2430930564.5499988</x:v>
      </x:c>
      <x:c r="V429" s="2" t="str">
        <x:v>Area equivalent = model2020 * source surface / TEMPO2020 footprint</x:v>
      </x:c>
      <x:c r="W429" s="2" t="str">
        <x:v>legacy epoch_status=observed; not exact acquisition proof</x:v>
      </x:c>
      <x:c r="X429" s="2" t="str">
        <x:v>https://human-settlement.emergency.copernicus.eu/ghs_buS2023.php</x:v>
      </x:c>
    </x:row>
    <x:row r="430" ht="23" customHeight="1">
      <x:c r="A430" s="2" t="str">
        <x:v>BGR</x:v>
      </x:c>
      <x:c r="B430" s="2" t="str">
        <x:v>Bulgaria (Republic of)</x:v>
      </x:c>
      <x:c r="C430" s="2" t="n">
        <x:v>2015</x:v>
      </x:c>
      <x:c r="D430" s="2" t="str">
        <x:v>GHSL_SURFACE</x:v>
      </x:c>
      <x:c r="E430" s="17" t="n">
        <x:v>515270007.50160265</x:v>
      </x:c>
      <x:c r="F430" s="17" t="n">
        <x:f>IF(AND(M430,ISNUMBER(R430)),IF(D430="TEMPO_PROXY",R430,IF(AND(ISNUMBER(S430),S430&gt;0,ISNUMBER(U430)),U430*R430/S430,"n.a.")),"n.a.")</x:f>
        <x:v>818208262.0000011</x:v>
      </x:c>
      <x:c r="G430" s="17" t="n">
        <x:f>IF(AND(ISNUMBER(E430),ISNUMBER(F430)),E430-F430,"n.a.")</x:f>
        <x:v>-302938254.4983984</x:v>
      </x:c>
      <x:c r="H430" s="15" t="n">
        <x:f>IF(AND(ISNUMBER(E430),ISNUMBER(F430),F430&gt;0),(E430-F430)/F430,"n.a.")</x:f>
        <x:v>-0.37024590017938247</x:v>
      </x:c>
      <x:c r="I430" s="19" t="n">
        <x:f>IF(ISNUMBER(H430),ABS(H430),"n.a.")</x:f>
        <x:v>0.37024590017938247</x:v>
      </x:c>
      <x:c r="J430" s="2" t="str">
        <x:v>available</x:v>
      </x:c>
      <x:c r="K430" s="2" t="n">
        <x:v>1</x:v>
      </x:c>
      <x:c r="L430" s="13" t="b">
        <x:v>0</x:v>
      </x:c>
      <x:c r="M430" s="13" t="b">
        <x:v>1</x:v>
      </x:c>
      <x:c r="N430" s="2" t="str">
        <x:v>historical source estimate</x:v>
      </x:c>
      <x:c r="O430" s="2" t="str"/>
      <x:c r="P430" s="2" t="str">
        <x:v>horizontal built-up surface</x:v>
      </x:c>
      <x:c r="Q430" s="2" t="str">
        <x:v>m2</x:v>
      </x:c>
      <x:c r="R430" s="17" t="n">
        <x:v>818208262</x:v>
      </x:c>
      <x:c r="S430" s="17" t="n">
        <x:v>543020803.57</x:v>
      </x:c>
      <x:c r="T430" s="18" t="n">
        <x:v>1.0000000000000013</x:v>
      </x:c>
      <x:c r="U430" s="17" t="n">
        <x:v>543020803.5700008</x:v>
      </x:c>
      <x:c r="V430" s="2" t="str">
        <x:v>Area equivalent = model2020 * source surface / TEMPO2020 footprint</x:v>
      </x:c>
      <x:c r="W430" s="2" t="str">
        <x:v>legacy epoch_status=observed; not exact acquisition proof</x:v>
      </x:c>
      <x:c r="X430" s="2" t="str">
        <x:v>https://human-settlement.emergency.copernicus.eu/ghs_buS2023.php</x:v>
      </x:c>
    </x:row>
    <x:row r="431" ht="23" customHeight="1">
      <x:c r="A431" s="2" t="str">
        <x:v>BHR</x:v>
      </x:c>
      <x:c r="B431" s="2" t="str">
        <x:v>Bahrain (Kingdom of)</x:v>
      </x:c>
      <x:c r="C431" s="2" t="n">
        <x:v>2015</x:v>
      </x:c>
      <x:c r="D431" s="2" t="str">
        <x:v>GHSL_SURFACE</x:v>
      </x:c>
      <x:c r="E431" s="17" t="n">
        <x:v>55998295.60212009</x:v>
      </x:c>
      <x:c r="F431" s="17" t="n">
        <x:f>IF(AND(M431,ISNUMBER(R431)),IF(D431="TEMPO_PROXY",R431,IF(AND(ISNUMBER(S431),S431&gt;0,ISNUMBER(U431)),U431*R431/S431,"n.a.")),"n.a.")</x:f>
        <x:v>80906721.30911785</x:v>
      </x:c>
      <x:c r="G431" s="17" t="n">
        <x:f>IF(AND(ISNUMBER(E431),ISNUMBER(F431)),E431-F431,"n.a.")</x:f>
        <x:v>-24908425.706997767</x:v>
      </x:c>
      <x:c r="H431" s="15" t="n">
        <x:f>IF(AND(ISNUMBER(E431),ISNUMBER(F431),F431&gt;0),(E431-F431)/F431,"n.a.")</x:f>
        <x:v>-0.3078659634695973</x:v>
      </x:c>
      <x:c r="I431" s="19" t="n">
        <x:f>IF(ISNUMBER(H431),ABS(H431),"n.a.")</x:f>
        <x:v>0.3078659634695973</x:v>
      </x:c>
      <x:c r="J431" s="2" t="str">
        <x:v>available</x:v>
      </x:c>
      <x:c r="K431" s="2" t="n">
        <x:v>1</x:v>
      </x:c>
      <x:c r="L431" s="13" t="b">
        <x:v>0</x:v>
      </x:c>
      <x:c r="M431" s="13" t="b">
        <x:v>1</x:v>
      </x:c>
      <x:c r="N431" s="2" t="str">
        <x:v>historical source estimate</x:v>
      </x:c>
      <x:c r="O431" s="2" t="str"/>
      <x:c r="P431" s="2" t="str">
        <x:v>horizontal built-up surface</x:v>
      </x:c>
      <x:c r="Q431" s="2" t="str">
        <x:v>m2</x:v>
      </x:c>
      <x:c r="R431" s="17" t="n">
        <x:v>69502186</x:v>
      </x:c>
      <x:c r="S431" s="17" t="n">
        <x:v>54723363.17</x:v>
      </x:c>
      <x:c r="T431" s="18" t="n">
        <x:v>1.1640888720984668</x:v>
      </x:c>
      <x:c r="U431" s="17" t="n">
        <x:v>63702858.11000008</x:v>
      </x:c>
      <x:c r="V431" s="2" t="str">
        <x:v>Area equivalent = model2020 * source surface / TEMPO2020 footprint</x:v>
      </x:c>
      <x:c r="W431" s="2" t="str">
        <x:v>legacy epoch_status=observed; not exact acquisition proof</x:v>
      </x:c>
      <x:c r="X431" s="2" t="str">
        <x:v>https://human-settlement.emergency.copernicus.eu/ghs_buS2023.php</x:v>
      </x:c>
    </x:row>
    <x:row r="432" ht="23" customHeight="1">
      <x:c r="A432" s="2" t="str">
        <x:v>BHS</x:v>
      </x:c>
      <x:c r="B432" s="2" t="str">
        <x:v>Bahamas (Commonwealth of the)</x:v>
      </x:c>
      <x:c r="C432" s="2" t="n">
        <x:v>2015</x:v>
      </x:c>
      <x:c r="D432" s="2" t="str">
        <x:v>GHSL_SURFACE</x:v>
      </x:c>
      <x:c r="E432" s="17" t="n">
        <x:v>27680989.498857055</x:v>
      </x:c>
      <x:c r="F432" s="17" t="n">
        <x:f>IF(AND(M432,ISNUMBER(R432)),IF(D432="TEMPO_PROXY",R432,IF(AND(ISNUMBER(S432),S432&gt;0,ISNUMBER(U432)),U432*R432/S432,"n.a.")),"n.a.")</x:f>
        <x:v>37974714.99999999</x:v>
      </x:c>
      <x:c r="G432" s="17" t="n">
        <x:f>IF(AND(ISNUMBER(E432),ISNUMBER(F432)),E432-F432,"n.a.")</x:f>
        <x:v>-10293725.501142938</x:v>
      </x:c>
      <x:c r="H432" s="15" t="n">
        <x:f>IF(AND(ISNUMBER(E432),ISNUMBER(F432),F432&gt;0),(E432-F432)/F432,"n.a.")</x:f>
        <x:v>-0.27106788032886986</x:v>
      </x:c>
      <x:c r="I432" s="19" t="n">
        <x:f>IF(ISNUMBER(H432),ABS(H432),"n.a.")</x:f>
        <x:v>0.27106788032886986</x:v>
      </x:c>
      <x:c r="J432" s="2" t="str">
        <x:v>available</x:v>
      </x:c>
      <x:c r="K432" s="2" t="n">
        <x:v>1</x:v>
      </x:c>
      <x:c r="L432" s="13" t="b">
        <x:v>0</x:v>
      </x:c>
      <x:c r="M432" s="13" t="b">
        <x:v>1</x:v>
      </x:c>
      <x:c r="N432" s="2" t="str">
        <x:v>historical source estimate</x:v>
      </x:c>
      <x:c r="O432" s="2" t="str"/>
      <x:c r="P432" s="2" t="str">
        <x:v>horizontal built-up surface</x:v>
      </x:c>
      <x:c r="Q432" s="2" t="str">
        <x:v>m2</x:v>
      </x:c>
      <x:c r="R432" s="17" t="n">
        <x:v>37974715</x:v>
      </x:c>
      <x:c r="S432" s="17" t="n">
        <x:v>29184660.45</x:v>
      </x:c>
      <x:c r="T432" s="18" t="n">
        <x:v>0.9999999999999998</x:v>
      </x:c>
      <x:c r="U432" s="17" t="n">
        <x:v>29184660.44999999</x:v>
      </x:c>
      <x:c r="V432" s="2" t="str">
        <x:v>Area equivalent = model2020 * source surface / TEMPO2020 footprint</x:v>
      </x:c>
      <x:c r="W432" s="2" t="str">
        <x:v>legacy epoch_status=observed; not exact acquisition proof</x:v>
      </x:c>
      <x:c r="X432" s="2" t="str">
        <x:v>https://human-settlement.emergency.copernicus.eu/ghs_buS2023.php</x:v>
      </x:c>
    </x:row>
    <x:row r="433" ht="23" customHeight="1">
      <x:c r="A433" s="2" t="str">
        <x:v>BIH</x:v>
      </x:c>
      <x:c r="B433" s="2" t="str">
        <x:v>Bosnia and Herzegovina</x:v>
      </x:c>
      <x:c r="C433" s="2" t="n">
        <x:v>2015</x:v>
      </x:c>
      <x:c r="D433" s="2" t="str">
        <x:v>GHSL_SURFACE</x:v>
      </x:c>
      <x:c r="E433" s="17" t="n">
        <x:v>233894193.35508087</x:v>
      </x:c>
      <x:c r="F433" s="17" t="n">
        <x:f>IF(AND(M433,ISNUMBER(R433)),IF(D433="TEMPO_PROXY",R433,IF(AND(ISNUMBER(S433),S433&gt;0,ISNUMBER(U433)),U433*R433/S433,"n.a.")),"n.a.")</x:f>
        <x:v>339829823.00000036</x:v>
      </x:c>
      <x:c r="G433" s="17" t="n">
        <x:f>IF(AND(ISNUMBER(E433),ISNUMBER(F433)),E433-F433,"n.a.")</x:f>
        <x:v>-105935629.64491948</x:v>
      </x:c>
      <x:c r="H433" s="15" t="n">
        <x:f>IF(AND(ISNUMBER(E433),ISNUMBER(F433),F433&gt;0),(E433-F433)/F433,"n.a.")</x:f>
        <x:v>-0.3117314092969391</x:v>
      </x:c>
      <x:c r="I433" s="19" t="n">
        <x:f>IF(ISNUMBER(H433),ABS(H433),"n.a.")</x:f>
        <x:v>0.3117314092969391</x:v>
      </x:c>
      <x:c r="J433" s="2" t="str">
        <x:v>available</x:v>
      </x:c>
      <x:c r="K433" s="2" t="n">
        <x:v>1</x:v>
      </x:c>
      <x:c r="L433" s="13" t="b">
        <x:v>0</x:v>
      </x:c>
      <x:c r="M433" s="13" t="b">
        <x:v>1</x:v>
      </x:c>
      <x:c r="N433" s="2" t="str">
        <x:v>historical source estimate</x:v>
      </x:c>
      <x:c r="O433" s="2" t="str"/>
      <x:c r="P433" s="2" t="str">
        <x:v>horizontal built-up surface</x:v>
      </x:c>
      <x:c r="Q433" s="2" t="str">
        <x:v>m2</x:v>
      </x:c>
      <x:c r="R433" s="17" t="n">
        <x:v>339829823</x:v>
      </x:c>
      <x:c r="S433" s="17" t="n">
        <x:v>247114206.72</x:v>
      </x:c>
      <x:c r="T433" s="18" t="n">
        <x:v>1.000000000000001</x:v>
      </x:c>
      <x:c r="U433" s="17" t="n">
        <x:v>247114206.72000027</x:v>
      </x:c>
      <x:c r="V433" s="2" t="str">
        <x:v>Area equivalent = model2020 * source surface / TEMPO2020 footprint</x:v>
      </x:c>
      <x:c r="W433" s="2" t="str">
        <x:v>legacy epoch_status=observed; not exact acquisition proof</x:v>
      </x:c>
      <x:c r="X433" s="2" t="str">
        <x:v>https://human-settlement.emergency.copernicus.eu/ghs_buS2023.php</x:v>
      </x:c>
    </x:row>
    <x:row r="434" ht="23" customHeight="1">
      <x:c r="A434" s="2" t="str">
        <x:v>BLR</x:v>
      </x:c>
      <x:c r="B434" s="2" t="str">
        <x:v>Belarus (Republic of)</x:v>
      </x:c>
      <x:c r="C434" s="2" t="n">
        <x:v>2015</x:v>
      </x:c>
      <x:c r="D434" s="2" t="str">
        <x:v>GHSL_SURFACE</x:v>
      </x:c>
      <x:c r="E434" s="17" t="n">
        <x:v>642607051.7109698</x:v>
      </x:c>
      <x:c r="F434" s="17" t="n">
        <x:f>IF(AND(M434,ISNUMBER(R434)),IF(D434="TEMPO_PROXY",R434,IF(AND(ISNUMBER(S434),S434&gt;0,ISNUMBER(U434)),U434*R434/S434,"n.a.")),"n.a.")</x:f>
        <x:v>1192990079.0000005</x:v>
      </x:c>
      <x:c r="G434" s="17" t="n">
        <x:f>IF(AND(ISNUMBER(E434),ISNUMBER(F434)),E434-F434,"n.a.")</x:f>
        <x:v>-550383027.2890307</x:v>
      </x:c>
      <x:c r="H434" s="15" t="n">
        <x:f>IF(AND(ISNUMBER(E434),ISNUMBER(F434),F434&gt;0),(E434-F434)/F434,"n.a.")</x:f>
        <x:v>-0.4613475308615961</x:v>
      </x:c>
      <x:c r="I434" s="19" t="n">
        <x:f>IF(ISNUMBER(H434),ABS(H434),"n.a.")</x:f>
        <x:v>0.4613475308615961</x:v>
      </x:c>
      <x:c r="J434" s="2" t="str">
        <x:v>available</x:v>
      </x:c>
      <x:c r="K434" s="2" t="n">
        <x:v>1</x:v>
      </x:c>
      <x:c r="L434" s="13" t="b">
        <x:v>0</x:v>
      </x:c>
      <x:c r="M434" s="13" t="b">
        <x:v>1</x:v>
      </x:c>
      <x:c r="N434" s="2" t="str">
        <x:v>historical source estimate</x:v>
      </x:c>
      <x:c r="O434" s="2" t="str"/>
      <x:c r="P434" s="2" t="str">
        <x:v>horizontal built-up surface</x:v>
      </x:c>
      <x:c r="Q434" s="2" t="str">
        <x:v>m2</x:v>
      </x:c>
      <x:c r="R434" s="17" t="n">
        <x:v>1192990079</x:v>
      </x:c>
      <x:c r="S434" s="17" t="n">
        <x:v>672205246.44</x:v>
      </x:c>
      <x:c r="T434" s="18" t="n">
        <x:v>1.0000000000000004</x:v>
      </x:c>
      <x:c r="U434" s="17" t="n">
        <x:v>672205246.4400003</x:v>
      </x:c>
      <x:c r="V434" s="2" t="str">
        <x:v>Area equivalent = model2020 * source surface / TEMPO2020 footprint</x:v>
      </x:c>
      <x:c r="W434" s="2" t="str">
        <x:v>legacy epoch_status=observed; not exact acquisition proof</x:v>
      </x:c>
      <x:c r="X434" s="2" t="str">
        <x:v>https://human-settlement.emergency.copernicus.eu/ghs_buS2023.php</x:v>
      </x:c>
    </x:row>
    <x:row r="435" ht="23" customHeight="1">
      <x:c r="A435" s="2" t="str">
        <x:v>BLZ</x:v>
      </x:c>
      <x:c r="B435" s="2" t="str">
        <x:v>Belize</x:v>
      </x:c>
      <x:c r="C435" s="2" t="n">
        <x:v>2015</x:v>
      </x:c>
      <x:c r="D435" s="2" t="str">
        <x:v>GHSL_SURFACE</x:v>
      </x:c>
      <x:c r="E435" s="17" t="n">
        <x:v>16540709.810359346</x:v>
      </x:c>
      <x:c r="F435" s="17" t="n">
        <x:f>IF(AND(M435,ISNUMBER(R435)),IF(D435="TEMPO_PROXY",R435,IF(AND(ISNUMBER(S435),S435&gt;0,ISNUMBER(U435)),U435*R435/S435,"n.a.")),"n.a.")</x:f>
        <x:v>37753406.99999994</x:v>
      </x:c>
      <x:c r="G435" s="17" t="n">
        <x:f>IF(AND(ISNUMBER(E435),ISNUMBER(F435)),E435-F435,"n.a.")</x:f>
        <x:v>-21212697.189640597</x:v>
      </x:c>
      <x:c r="H435" s="15" t="n">
        <x:f>IF(AND(ISNUMBER(E435),ISNUMBER(F435),F435&gt;0),(E435-F435)/F435,"n.a.")</x:f>
        <x:v>-0.5618750432150569</x:v>
      </x:c>
      <x:c r="I435" s="19" t="n">
        <x:f>IF(ISNUMBER(H435),ABS(H435),"n.a.")</x:f>
        <x:v>0.5618750432150569</x:v>
      </x:c>
      <x:c r="J435" s="2" t="str">
        <x:v>available</x:v>
      </x:c>
      <x:c r="K435" s="2" t="n">
        <x:v>1</x:v>
      </x:c>
      <x:c r="L435" s="13" t="b">
        <x:v>0</x:v>
      </x:c>
      <x:c r="M435" s="13" t="b">
        <x:v>1</x:v>
      </x:c>
      <x:c r="N435" s="2" t="str">
        <x:v>historical source estimate</x:v>
      </x:c>
      <x:c r="O435" s="2" t="str"/>
      <x:c r="P435" s="2" t="str">
        <x:v>horizontal built-up surface</x:v>
      </x:c>
      <x:c r="Q435" s="2" t="str">
        <x:v>m2</x:v>
      </x:c>
      <x:c r="R435" s="17" t="n">
        <x:v>37753407</x:v>
      </x:c>
      <x:c r="S435" s="17" t="n">
        <x:v>21867714.34</x:v>
      </x:c>
      <x:c r="T435" s="18" t="n">
        <x:v>0.9999999999999984</x:v>
      </x:c>
      <x:c r="U435" s="17" t="n">
        <x:v>21867714.339999966</x:v>
      </x:c>
      <x:c r="V435" s="2" t="str">
        <x:v>Area equivalent = model2020 * source surface / TEMPO2020 footprint</x:v>
      </x:c>
      <x:c r="W435" s="2" t="str">
        <x:v>legacy epoch_status=observed; not exact acquisition proof</x:v>
      </x:c>
      <x:c r="X435" s="2" t="str">
        <x:v>https://human-settlement.emergency.copernicus.eu/ghs_buS2023.php</x:v>
      </x:c>
    </x:row>
    <x:row r="436" ht="23" customHeight="1">
      <x:c r="A436" s="2" t="str">
        <x:v>BOL</x:v>
      </x:c>
      <x:c r="B436" s="2" t="str">
        <x:v>Bolivia (Plurinational State of)</x:v>
      </x:c>
      <x:c r="C436" s="2" t="n">
        <x:v>2015</x:v>
      </x:c>
      <x:c r="D436" s="2" t="str">
        <x:v>GHSL_SURFACE</x:v>
      </x:c>
      <x:c r="E436" s="17" t="n">
        <x:v>459985037.8168253</x:v>
      </x:c>
      <x:c r="F436" s="17" t="n">
        <x:f>IF(AND(M436,ISNUMBER(R436)),IF(D436="TEMPO_PROXY",R436,IF(AND(ISNUMBER(S436),S436&gt;0,ISNUMBER(U436)),U436*R436/S436,"n.a.")),"n.a.")</x:f>
        <x:v>668203975.9999989</x:v>
      </x:c>
      <x:c r="G436" s="17" t="n">
        <x:f>IF(AND(ISNUMBER(E436),ISNUMBER(F436)),E436-F436,"n.a.")</x:f>
        <x:v>-208218938.18317366</x:v>
      </x:c>
      <x:c r="H436" s="15" t="n">
        <x:f>IF(AND(ISNUMBER(E436),ISNUMBER(F436),F436&gt;0),(E436-F436)/F436,"n.a.")</x:f>
        <x:v>-0.3116098461874073</x:v>
      </x:c>
      <x:c r="I436" s="19" t="n">
        <x:f>IF(ISNUMBER(H436),ABS(H436),"n.a.")</x:f>
        <x:v>0.3116098461874073</x:v>
      </x:c>
      <x:c r="J436" s="2" t="str">
        <x:v>available</x:v>
      </x:c>
      <x:c r="K436" s="2" t="n">
        <x:v>1</x:v>
      </x:c>
      <x:c r="L436" s="13" t="b">
        <x:v>0</x:v>
      </x:c>
      <x:c r="M436" s="13" t="b">
        <x:v>1</x:v>
      </x:c>
      <x:c r="N436" s="2" t="str">
        <x:v>historical source estimate</x:v>
      </x:c>
      <x:c r="O436" s="2" t="str"/>
      <x:c r="P436" s="2" t="str">
        <x:v>horizontal built-up surface</x:v>
      </x:c>
      <x:c r="Q436" s="2" t="str">
        <x:v>m2</x:v>
      </x:c>
      <x:c r="R436" s="17" t="n">
        <x:v>668203976</x:v>
      </x:c>
      <x:c r="S436" s="17" t="n">
        <x:v>496419008.94</x:v>
      </x:c>
      <x:c r="T436" s="18" t="n">
        <x:v>0.9999999999999984</x:v>
      </x:c>
      <x:c r="U436" s="17" t="n">
        <x:v>496419008.9399992</x:v>
      </x:c>
      <x:c r="V436" s="2" t="str">
        <x:v>Area equivalent = model2020 * source surface / TEMPO2020 footprint</x:v>
      </x:c>
      <x:c r="W436" s="2" t="str">
        <x:v>legacy epoch_status=observed; not exact acquisition proof</x:v>
      </x:c>
      <x:c r="X436" s="2" t="str">
        <x:v>https://human-settlement.emergency.copernicus.eu/ghs_buS2023.php</x:v>
      </x:c>
    </x:row>
    <x:row r="437" ht="23" customHeight="1">
      <x:c r="A437" s="2" t="str">
        <x:v>BRA</x:v>
      </x:c>
      <x:c r="B437" s="2" t="str">
        <x:v>Brazil (Federative Republic of)</x:v>
      </x:c>
      <x:c r="C437" s="2" t="n">
        <x:v>2015</x:v>
      </x:c>
      <x:c r="D437" s="2" t="str">
        <x:v>GHSL_SURFACE</x:v>
      </x:c>
      <x:c r="E437" s="17" t="n">
        <x:v>11501843459.570875</x:v>
      </x:c>
      <x:c r="F437" s="17" t="n">
        <x:f>IF(AND(M437,ISNUMBER(R437)),IF(D437="TEMPO_PROXY",R437,IF(AND(ISNUMBER(S437),S437&gt;0,ISNUMBER(U437)),U437*R437/S437,"n.a.")),"n.a.")</x:f>
        <x:v>14998023560.999996</x:v>
      </x:c>
      <x:c r="G437" s="17" t="n">
        <x:f>IF(AND(ISNUMBER(E437),ISNUMBER(F437)),E437-F437,"n.a.")</x:f>
        <x:v>-3496180101.429121</x:v>
      </x:c>
      <x:c r="H437" s="15" t="n">
        <x:f>IF(AND(ISNUMBER(E437),ISNUMBER(F437),F437&gt;0),(E437-F437)/F437,"n.a.")</x:f>
        <x:v>-0.23310938852772495</x:v>
      </x:c>
      <x:c r="I437" s="19" t="n">
        <x:f>IF(ISNUMBER(H437),ABS(H437),"n.a.")</x:f>
        <x:v>0.23310938852772495</x:v>
      </x:c>
      <x:c r="J437" s="2" t="str">
        <x:v>available</x:v>
      </x:c>
      <x:c r="K437" s="2" t="n">
        <x:v>1</x:v>
      </x:c>
      <x:c r="L437" s="13" t="b">
        <x:v>0</x:v>
      </x:c>
      <x:c r="M437" s="13" t="b">
        <x:v>1</x:v>
      </x:c>
      <x:c r="N437" s="2" t="str">
        <x:v>historical source estimate</x:v>
      </x:c>
      <x:c r="O437" s="2" t="str"/>
      <x:c r="P437" s="2" t="str">
        <x:v>horizontal built-up surface</x:v>
      </x:c>
      <x:c r="Q437" s="2" t="str">
        <x:v>m2</x:v>
      </x:c>
      <x:c r="R437" s="17" t="n">
        <x:v>14998023561</x:v>
      </x:c>
      <x:c r="S437" s="17" t="n">
        <x:v>12112839681.86</x:v>
      </x:c>
      <x:c r="T437" s="18" t="n">
        <x:v>0.9999999999999997</x:v>
      </x:c>
      <x:c r="U437" s="17" t="n">
        <x:v>12112839681.859997</x:v>
      </x:c>
      <x:c r="V437" s="2" t="str">
        <x:v>Area equivalent = model2020 * source surface / TEMPO2020 footprint</x:v>
      </x:c>
      <x:c r="W437" s="2" t="str">
        <x:v>legacy epoch_status=observed; not exact acquisition proof</x:v>
      </x:c>
      <x:c r="X437" s="2" t="str">
        <x:v>https://human-settlement.emergency.copernicus.eu/ghs_buS2023.php</x:v>
      </x:c>
    </x:row>
    <x:row r="438" ht="23" customHeight="1">
      <x:c r="A438" s="2" t="str">
        <x:v>BRB</x:v>
      </x:c>
      <x:c r="B438" s="2" t="str">
        <x:v>Barbados</x:v>
      </x:c>
      <x:c r="C438" s="2" t="n">
        <x:v>2015</x:v>
      </x:c>
      <x:c r="D438" s="2" t="str">
        <x:v>GHSL_SURFACE</x:v>
      </x:c>
      <x:c r="E438" s="17" t="n">
        <x:v>17895946.814018443</x:v>
      </x:c>
      <x:c r="F438" s="17" t="n">
        <x:f>IF(AND(M438,ISNUMBER(R438)),IF(D438="TEMPO_PROXY",R438,IF(AND(ISNUMBER(S438),S438&gt;0,ISNUMBER(U438)),U438*R438/S438,"n.a.")),"n.a.")</x:f>
        <x:v>29413485.000000004</x:v>
      </x:c>
      <x:c r="G438" s="17" t="n">
        <x:f>IF(AND(ISNUMBER(E438),ISNUMBER(F438)),E438-F438,"n.a.")</x:f>
        <x:v>-11517538.18598156</x:v>
      </x:c>
      <x:c r="H438" s="15" t="n">
        <x:f>IF(AND(ISNUMBER(E438),ISNUMBER(F438),F438&gt;0),(E438-F438)/F438,"n.a.")</x:f>
        <x:v>-0.391573395195488</x:v>
      </x:c>
      <x:c r="I438" s="19" t="n">
        <x:f>IF(ISNUMBER(H438),ABS(H438),"n.a.")</x:f>
        <x:v>0.391573395195488</x:v>
      </x:c>
      <x:c r="J438" s="2" t="str">
        <x:v>available</x:v>
      </x:c>
      <x:c r="K438" s="2" t="n">
        <x:v>1</x:v>
      </x:c>
      <x:c r="L438" s="13" t="b">
        <x:v>0</x:v>
      </x:c>
      <x:c r="M438" s="13" t="b">
        <x:v>1</x:v>
      </x:c>
      <x:c r="N438" s="2" t="str">
        <x:v>historical source estimate</x:v>
      </x:c>
      <x:c r="O438" s="2" t="str"/>
      <x:c r="P438" s="2" t="str">
        <x:v>horizontal built-up surface</x:v>
      </x:c>
      <x:c r="Q438" s="2" t="str">
        <x:v>m2</x:v>
      </x:c>
      <x:c r="R438" s="17" t="n">
        <x:v>29413485</x:v>
      </x:c>
      <x:c r="S438" s="17" t="n">
        <x:v>23684585.84</x:v>
      </x:c>
      <x:c r="T438" s="18" t="n">
        <x:v>1.0000000000000002</x:v>
      </x:c>
      <x:c r="U438" s="17" t="n">
        <x:v>23684585.840000004</x:v>
      </x:c>
      <x:c r="V438" s="2" t="str">
        <x:v>Area equivalent = model2020 * source surface / TEMPO2020 footprint</x:v>
      </x:c>
      <x:c r="W438" s="2" t="str">
        <x:v>legacy epoch_status=observed; not exact acquisition proof</x:v>
      </x:c>
      <x:c r="X438" s="2" t="str">
        <x:v>https://human-settlement.emergency.copernicus.eu/ghs_buS2023.php</x:v>
      </x:c>
    </x:row>
    <x:row r="439" ht="23" customHeight="1">
      <x:c r="A439" s="2" t="str">
        <x:v>BRN</x:v>
      </x:c>
      <x:c r="B439" s="2" t="str">
        <x:v>Brunei Darussalam</x:v>
      </x:c>
      <x:c r="C439" s="2" t="n">
        <x:v>2015</x:v>
      </x:c>
      <x:c r="D439" s="2" t="str">
        <x:v>GHSL_SURFACE</x:v>
      </x:c>
      <x:c r="E439" s="17" t="n">
        <x:v>34359495.97534139</x:v>
      </x:c>
      <x:c r="F439" s="17" t="n">
        <x:f>IF(AND(M439,ISNUMBER(R439)),IF(D439="TEMPO_PROXY",R439,IF(AND(ISNUMBER(S439),S439&gt;0,ISNUMBER(U439)),U439*R439/S439,"n.a.")),"n.a.")</x:f>
        <x:v>47656450.00000001</x:v>
      </x:c>
      <x:c r="G439" s="17" t="n">
        <x:f>IF(AND(ISNUMBER(E439),ISNUMBER(F439)),E439-F439,"n.a.")</x:f>
        <x:v>-13296954.02465862</x:v>
      </x:c>
      <x:c r="H439" s="15" t="n">
        <x:f>IF(AND(ISNUMBER(E439),ISNUMBER(F439),F439&gt;0),(E439-F439)/F439,"n.a.")</x:f>
        <x:v>-0.2790168807088782</x:v>
      </x:c>
      <x:c r="I439" s="19" t="n">
        <x:f>IF(ISNUMBER(H439),ABS(H439),"n.a.")</x:f>
        <x:v>0.2790168807088782</x:v>
      </x:c>
      <x:c r="J439" s="2" t="str">
        <x:v>available</x:v>
      </x:c>
      <x:c r="K439" s="2" t="n">
        <x:v>1</x:v>
      </x:c>
      <x:c r="L439" s="13" t="b">
        <x:v>0</x:v>
      </x:c>
      <x:c r="M439" s="13" t="b">
        <x:v>1</x:v>
      </x:c>
      <x:c r="N439" s="2" t="str">
        <x:v>historical source estimate</x:v>
      </x:c>
      <x:c r="O439" s="2" t="str"/>
      <x:c r="P439" s="2" t="str">
        <x:v>horizontal built-up surface</x:v>
      </x:c>
      <x:c r="Q439" s="2" t="str">
        <x:v>m2</x:v>
      </x:c>
      <x:c r="R439" s="17" t="n">
        <x:v>47656450</x:v>
      </x:c>
      <x:c r="S439" s="17" t="n">
        <x:v>37849769.86</x:v>
      </x:c>
      <x:c r="T439" s="18" t="n">
        <x:v>1.0000000000000002</x:v>
      </x:c>
      <x:c r="U439" s="17" t="n">
        <x:v>37849769.86000001</x:v>
      </x:c>
      <x:c r="V439" s="2" t="str">
        <x:v>Area equivalent = model2020 * source surface / TEMPO2020 footprint</x:v>
      </x:c>
      <x:c r="W439" s="2" t="str">
        <x:v>legacy epoch_status=observed; not exact acquisition proof</x:v>
      </x:c>
      <x:c r="X439" s="2" t="str">
        <x:v>https://human-settlement.emergency.copernicus.eu/ghs_buS2023.php</x:v>
      </x:c>
    </x:row>
    <x:row r="440" ht="23" customHeight="1">
      <x:c r="A440" s="2" t="str">
        <x:v>BTN</x:v>
      </x:c>
      <x:c r="B440" s="2" t="str">
        <x:v>Bhutan (Kingdom of)</x:v>
      </x:c>
      <x:c r="C440" s="2" t="n">
        <x:v>2015</x:v>
      </x:c>
      <x:c r="D440" s="2" t="str">
        <x:v>GHSL_SURFACE</x:v>
      </x:c>
      <x:c r="E440" s="17" t="n">
        <x:v>21797976.569607902</x:v>
      </x:c>
      <x:c r="F440" s="17" t="n">
        <x:f>IF(AND(M440,ISNUMBER(R440)),IF(D440="TEMPO_PROXY",R440,IF(AND(ISNUMBER(S440),S440&gt;0,ISNUMBER(U440)),U440*R440/S440,"n.a.")),"n.a.")</x:f>
        <x:v>25376089.00000004</x:v>
      </x:c>
      <x:c r="G440" s="17" t="n">
        <x:f>IF(AND(ISNUMBER(E440),ISNUMBER(F440)),E440-F440,"n.a.")</x:f>
        <x:v>-3578112.4303921387</x:v>
      </x:c>
      <x:c r="H440" s="15" t="n">
        <x:f>IF(AND(ISNUMBER(E440),ISNUMBER(F440),F440&gt;0),(E440-F440)/F440,"n.a.")</x:f>
        <x:v>-0.141003305528765</x:v>
      </x:c>
      <x:c r="I440" s="19" t="n">
        <x:f>IF(ISNUMBER(H440),ABS(H440),"n.a.")</x:f>
        <x:v>0.141003305528765</x:v>
      </x:c>
      <x:c r="J440" s="2" t="str">
        <x:v>available</x:v>
      </x:c>
      <x:c r="K440" s="2" t="n">
        <x:v>1</x:v>
      </x:c>
      <x:c r="L440" s="13" t="b">
        <x:v>0</x:v>
      </x:c>
      <x:c r="M440" s="13" t="b">
        <x:v>1</x:v>
      </x:c>
      <x:c r="N440" s="2" t="str">
        <x:v>historical source estimate</x:v>
      </x:c>
      <x:c r="O440" s="2" t="str"/>
      <x:c r="P440" s="2" t="str">
        <x:v>horizontal built-up surface</x:v>
      </x:c>
      <x:c r="Q440" s="2" t="str">
        <x:v>m2</x:v>
      </x:c>
      <x:c r="R440" s="17" t="n">
        <x:v>25376089</x:v>
      </x:c>
      <x:c r="S440" s="17" t="n">
        <x:v>27177544.51</x:v>
      </x:c>
      <x:c r="T440" s="18" t="n">
        <x:v>1.0000000000000016</x:v>
      </x:c>
      <x:c r="U440" s="17" t="n">
        <x:v>27177544.510000043</x:v>
      </x:c>
      <x:c r="V440" s="2" t="str">
        <x:v>Area equivalent = model2020 * source surface / TEMPO2020 footprint</x:v>
      </x:c>
      <x:c r="W440" s="2" t="str">
        <x:v>legacy epoch_status=observed; not exact acquisition proof</x:v>
      </x:c>
      <x:c r="X440" s="2" t="str">
        <x:v>https://human-settlement.emergency.copernicus.eu/ghs_buS2023.php</x:v>
      </x:c>
    </x:row>
    <x:row r="441" ht="23" customHeight="1">
      <x:c r="A441" s="2" t="str">
        <x:v>BWA</x:v>
      </x:c>
      <x:c r="B441" s="2" t="str">
        <x:v>Botswana (Republic of)</x:v>
      </x:c>
      <x:c r="C441" s="2" t="n">
        <x:v>2015</x:v>
      </x:c>
      <x:c r="D441" s="2" t="str">
        <x:v>GHSL_SURFACE</x:v>
      </x:c>
      <x:c r="E441" s="17" t="n">
        <x:v>111331344.3203508</x:v>
      </x:c>
      <x:c r="F441" s="17" t="n">
        <x:f>IF(AND(M441,ISNUMBER(R441)),IF(D441="TEMPO_PROXY",R441,IF(AND(ISNUMBER(S441),S441&gt;0,ISNUMBER(U441)),U441*R441/S441,"n.a.")),"n.a.")</x:f>
        <x:v>453301359.00000036</x:v>
      </x:c>
      <x:c r="G441" s="17" t="n">
        <x:f>IF(AND(ISNUMBER(E441),ISNUMBER(F441)),E441-F441,"n.a.")</x:f>
        <x:v>-341970014.6796496</x:v>
      </x:c>
      <x:c r="H441" s="15" t="n">
        <x:f>IF(AND(ISNUMBER(E441),ISNUMBER(F441),F441&gt;0),(E441-F441)/F441,"n.a.")</x:f>
        <x:v>-0.7543988295866753</x:v>
      </x:c>
      <x:c r="I441" s="19" t="n">
        <x:f>IF(ISNUMBER(H441),ABS(H441),"n.a.")</x:f>
        <x:v>0.7543988295866753</x:v>
      </x:c>
      <x:c r="J441" s="2" t="str">
        <x:v>available</x:v>
      </x:c>
      <x:c r="K441" s="2" t="n">
        <x:v>1</x:v>
      </x:c>
      <x:c r="L441" s="13" t="b">
        <x:v>0</x:v>
      </x:c>
      <x:c r="M441" s="13" t="b">
        <x:v>1</x:v>
      </x:c>
      <x:c r="N441" s="2" t="str">
        <x:v>historical source estimate</x:v>
      </x:c>
      <x:c r="O441" s="2" t="str"/>
      <x:c r="P441" s="2" t="str">
        <x:v>horizontal built-up surface</x:v>
      </x:c>
      <x:c r="Q441" s="2" t="str">
        <x:v>m2</x:v>
      </x:c>
      <x:c r="R441" s="17" t="n">
        <x:v>453301359</x:v>
      </x:c>
      <x:c r="S441" s="17" t="n">
        <x:v>118564613.02</x:v>
      </x:c>
      <x:c r="T441" s="18" t="n">
        <x:v>1.0000000000000007</x:v>
      </x:c>
      <x:c r="U441" s="17" t="n">
        <x:v>118564613.02000009</x:v>
      </x:c>
      <x:c r="V441" s="2" t="str">
        <x:v>Area equivalent = model2020 * source surface / TEMPO2020 footprint</x:v>
      </x:c>
      <x:c r="W441" s="2" t="str">
        <x:v>legacy epoch_status=observed; not exact acquisition proof</x:v>
      </x:c>
      <x:c r="X441" s="2" t="str">
        <x:v>https://human-settlement.emergency.copernicus.eu/ghs_buS2023.php</x:v>
      </x:c>
    </x:row>
    <x:row r="442" ht="23" customHeight="1">
      <x:c r="A442" s="2" t="str">
        <x:v>CAF</x:v>
      </x:c>
      <x:c r="B442" s="2" t="str">
        <x:v>Central African Republic</x:v>
      </x:c>
      <x:c r="C442" s="2" t="n">
        <x:v>2015</x:v>
      </x:c>
      <x:c r="D442" s="2" t="str">
        <x:v>GHSL_SURFACE</x:v>
      </x:c>
      <x:c r="E442" s="17" t="n">
        <x:v>62024265.65545923</x:v>
      </x:c>
      <x:c r="F442" s="17" t="n">
        <x:f>IF(AND(M442,ISNUMBER(R442)),IF(D442="TEMPO_PROXY",R442,IF(AND(ISNUMBER(S442),S442&gt;0,ISNUMBER(U442)),U442*R442/S442,"n.a.")),"n.a.")</x:f>
        <x:v>190253774.00000015</x:v>
      </x:c>
      <x:c r="G442" s="17" t="n">
        <x:f>IF(AND(ISNUMBER(E442),ISNUMBER(F442)),E442-F442,"n.a.")</x:f>
        <x:v>-128229508.34454092</x:v>
      </x:c>
      <x:c r="H442" s="15" t="n">
        <x:f>IF(AND(ISNUMBER(E442),ISNUMBER(F442),F442&gt;0),(E442-F442)/F442,"n.a.")</x:f>
        <x:v>-0.6739919300867105</x:v>
      </x:c>
      <x:c r="I442" s="19" t="n">
        <x:f>IF(ISNUMBER(H442),ABS(H442),"n.a.")</x:f>
        <x:v>0.6739919300867105</x:v>
      </x:c>
      <x:c r="J442" s="2" t="str">
        <x:v>available</x:v>
      </x:c>
      <x:c r="K442" s="2" t="n">
        <x:v>1</x:v>
      </x:c>
      <x:c r="L442" s="13" t="b">
        <x:v>0</x:v>
      </x:c>
      <x:c r="M442" s="13" t="b">
        <x:v>1</x:v>
      </x:c>
      <x:c r="N442" s="2" t="str">
        <x:v>historical source estimate</x:v>
      </x:c>
      <x:c r="O442" s="2" t="str"/>
      <x:c r="P442" s="2" t="str">
        <x:v>horizontal built-up surface</x:v>
      </x:c>
      <x:c r="Q442" s="2" t="str">
        <x:v>m2</x:v>
      </x:c>
      <x:c r="R442" s="17" t="n">
        <x:v>190253774</x:v>
      </x:c>
      <x:c r="S442" s="17" t="n">
        <x:v>66989106.04</x:v>
      </x:c>
      <x:c r="T442" s="18" t="n">
        <x:v>1.0000000000000009</x:v>
      </x:c>
      <x:c r="U442" s="17" t="n">
        <x:v>66989106.04000005</x:v>
      </x:c>
      <x:c r="V442" s="2" t="str">
        <x:v>Area equivalent = model2020 * source surface / TEMPO2020 footprint</x:v>
      </x:c>
      <x:c r="W442" s="2" t="str">
        <x:v>legacy epoch_status=observed; not exact acquisition proof</x:v>
      </x:c>
      <x:c r="X442" s="2" t="str">
        <x:v>https://human-settlement.emergency.copernicus.eu/ghs_buS2023.php</x:v>
      </x:c>
    </x:row>
    <x:row r="443" ht="23" customHeight="1">
      <x:c r="A443" s="2" t="str">
        <x:v>CAN</x:v>
      </x:c>
      <x:c r="B443" s="2" t="str">
        <x:v>Canada</x:v>
      </x:c>
      <x:c r="C443" s="2" t="n">
        <x:v>2015</x:v>
      </x:c>
      <x:c r="D443" s="2" t="str">
        <x:v>GHSL_SURFACE</x:v>
      </x:c>
      <x:c r="E443" s="17" t="n">
        <x:v>2816886264.1935463</x:v>
      </x:c>
      <x:c r="F443" s="17" t="n">
        <x:f>IF(AND(M443,ISNUMBER(R443)),IF(D443="TEMPO_PROXY",R443,IF(AND(ISNUMBER(S443),S443&gt;0,ISNUMBER(U443)),U443*R443/S443,"n.a.")),"n.a.")</x:f>
        <x:v>4756580372.000002</x:v>
      </x:c>
      <x:c r="G443" s="17" t="n">
        <x:f>IF(AND(ISNUMBER(E443),ISNUMBER(F443)),E443-F443,"n.a.")</x:f>
        <x:v>-1939694107.8064556</x:v>
      </x:c>
      <x:c r="H443" s="15" t="n">
        <x:f>IF(AND(ISNUMBER(E443),ISNUMBER(F443),F443&gt;0),(E443-F443)/F443,"n.a.")</x:f>
        <x:v>-0.40779172348787024</x:v>
      </x:c>
      <x:c r="I443" s="19" t="n">
        <x:f>IF(ISNUMBER(H443),ABS(H443),"n.a.")</x:f>
        <x:v>0.40779172348787024</x:v>
      </x:c>
      <x:c r="J443" s="2" t="str">
        <x:v>available</x:v>
      </x:c>
      <x:c r="K443" s="2" t="n">
        <x:v>1</x:v>
      </x:c>
      <x:c r="L443" s="13" t="b">
        <x:v>0</x:v>
      </x:c>
      <x:c r="M443" s="13" t="b">
        <x:v>1</x:v>
      </x:c>
      <x:c r="N443" s="2" t="str">
        <x:v>historical source estimate</x:v>
      </x:c>
      <x:c r="O443" s="2" t="str"/>
      <x:c r="P443" s="2" t="str">
        <x:v>horizontal built-up surface</x:v>
      </x:c>
      <x:c r="Q443" s="2" t="str">
        <x:v>m2</x:v>
      </x:c>
      <x:c r="R443" s="17" t="n">
        <x:v>4756580372</x:v>
      </x:c>
      <x:c r="S443" s="17" t="n">
        <x:v>2941628265.26</x:v>
      </x:c>
      <x:c r="T443" s="18" t="n">
        <x:v>1.0000000000000002</x:v>
      </x:c>
      <x:c r="U443" s="17" t="n">
        <x:v>2941628265.260001</x:v>
      </x:c>
      <x:c r="V443" s="2" t="str">
        <x:v>Area equivalent = model2020 * source surface / TEMPO2020 footprint</x:v>
      </x:c>
      <x:c r="W443" s="2" t="str">
        <x:v>legacy epoch_status=observed; not exact acquisition proof</x:v>
      </x:c>
      <x:c r="X443" s="2" t="str">
        <x:v>https://human-settlement.emergency.copernicus.eu/ghs_buS2023.php</x:v>
      </x:c>
    </x:row>
    <x:row r="444" ht="23" customHeight="1">
      <x:c r="A444" s="2" t="str">
        <x:v>CHE</x:v>
      </x:c>
      <x:c r="B444" s="2" t="str">
        <x:v>Switzerland (Swiss Confederation)</x:v>
      </x:c>
      <x:c r="C444" s="2" t="n">
        <x:v>2015</x:v>
      </x:c>
      <x:c r="D444" s="2" t="str">
        <x:v>GHSL_SURFACE</x:v>
      </x:c>
      <x:c r="E444" s="17" t="n">
        <x:v>523761622.51901233</x:v>
      </x:c>
      <x:c r="F444" s="17" t="n">
        <x:f>IF(AND(M444,ISNUMBER(R444)),IF(D444="TEMPO_PROXY",R444,IF(AND(ISNUMBER(S444),S444&gt;0,ISNUMBER(U444)),U444*R444/S444,"n.a.")),"n.a.")</x:f>
        <x:v>756188214.4798509</x:v>
      </x:c>
      <x:c r="G444" s="17" t="n">
        <x:f>IF(AND(ISNUMBER(E444),ISNUMBER(F444)),E444-F444,"n.a.")</x:f>
        <x:v>-232426591.96083856</x:v>
      </x:c>
      <x:c r="H444" s="15" t="n">
        <x:f>IF(AND(ISNUMBER(E444),ISNUMBER(F444),F444&gt;0),(E444-F444)/F444,"n.a.")</x:f>
        <x:v>-0.30736605981186144</x:v>
      </x:c>
      <x:c r="I444" s="19" t="n">
        <x:f>IF(ISNUMBER(H444),ABS(H444),"n.a.")</x:f>
        <x:v>0.30736605981186144</x:v>
      </x:c>
      <x:c r="J444" s="2" t="str">
        <x:v>available</x:v>
      </x:c>
      <x:c r="K444" s="2" t="n">
        <x:v>1</x:v>
      </x:c>
      <x:c r="L444" s="13" t="b">
        <x:v>0</x:v>
      </x:c>
      <x:c r="M444" s="13" t="b">
        <x:v>1</x:v>
      </x:c>
      <x:c r="N444" s="2" t="str">
        <x:v>historical source estimate</x:v>
      </x:c>
      <x:c r="O444" s="2" t="str"/>
      <x:c r="P444" s="2" t="str">
        <x:v>horizontal built-up surface</x:v>
      </x:c>
      <x:c r="Q444" s="2" t="str">
        <x:v>m2</x:v>
      </x:c>
      <x:c r="R444" s="17" t="n">
        <x:v>744885695</x:v>
      </x:c>
      <x:c r="S444" s="17" t="n">
        <x:v>545813067.36</x:v>
      </x:c>
      <x:c r="T444" s="18" t="n">
        <x:v>1.0151734951492803</x:v>
      </x:c>
      <x:c r="U444" s="17" t="n">
        <x:v>554094959.2900008</x:v>
      </x:c>
      <x:c r="V444" s="2" t="str">
        <x:v>Area equivalent = model2020 * source surface / TEMPO2020 footprint</x:v>
      </x:c>
      <x:c r="W444" s="2" t="str">
        <x:v>legacy epoch_status=observed; not exact acquisition proof</x:v>
      </x:c>
      <x:c r="X444" s="2" t="str">
        <x:v>https://human-settlement.emergency.copernicus.eu/ghs_buS2023.php</x:v>
      </x:c>
    </x:row>
    <x:row r="445" ht="23" customHeight="1">
      <x:c r="A445" s="2" t="str">
        <x:v>CHL</x:v>
      </x:c>
      <x:c r="B445" s="2" t="str">
        <x:v>Chile (Republic of)</x:v>
      </x:c>
      <x:c r="C445" s="2" t="n">
        <x:v>2015</x:v>
      </x:c>
      <x:c r="D445" s="2" t="str">
        <x:v>GHSL_SURFACE</x:v>
      </x:c>
      <x:c r="E445" s="17" t="n">
        <x:v>948297662.3062444</x:v>
      </x:c>
      <x:c r="F445" s="17" t="n">
        <x:f>IF(AND(M445,ISNUMBER(R445)),IF(D445="TEMPO_PROXY",R445,IF(AND(ISNUMBER(S445),S445&gt;0,ISNUMBER(U445)),U445*R445/S445,"n.a.")),"n.a.")</x:f>
        <x:v>1274781074.0000017</x:v>
      </x:c>
      <x:c r="G445" s="17" t="n">
        <x:f>IF(AND(ISNUMBER(E445),ISNUMBER(F445)),E445-F445,"n.a.")</x:f>
        <x:v>-326483411.6937573</x:v>
      </x:c>
      <x:c r="H445" s="15" t="n">
        <x:f>IF(AND(ISNUMBER(E445),ISNUMBER(F445),F445&gt;0),(E445-F445)/F445,"n.a.")</x:f>
        <x:v>-0.25610939662707677</x:v>
      </x:c>
      <x:c r="I445" s="19" t="n">
        <x:f>IF(ISNUMBER(H445),ABS(H445),"n.a.")</x:f>
        <x:v>0.25610939662707677</x:v>
      </x:c>
      <x:c r="J445" s="2" t="str">
        <x:v>available</x:v>
      </x:c>
      <x:c r="K445" s="2" t="n">
        <x:v>1</x:v>
      </x:c>
      <x:c r="L445" s="13" t="b">
        <x:v>0</x:v>
      </x:c>
      <x:c r="M445" s="13" t="b">
        <x:v>1</x:v>
      </x:c>
      <x:c r="N445" s="2" t="str">
        <x:v>historical source estimate</x:v>
      </x:c>
      <x:c r="O445" s="2" t="str"/>
      <x:c r="P445" s="2" t="str">
        <x:v>horizontal built-up surface</x:v>
      </x:c>
      <x:c r="Q445" s="2" t="str">
        <x:v>m2</x:v>
      </x:c>
      <x:c r="R445" s="17" t="n">
        <x:v>1274781074</x:v>
      </x:c>
      <x:c r="S445" s="17" t="n">
        <x:v>986436316.07</x:v>
      </x:c>
      <x:c r="T445" s="18" t="n">
        <x:v>1.0000000000000013</x:v>
      </x:c>
      <x:c r="U445" s="17" t="n">
        <x:v>986436316.0700014</x:v>
      </x:c>
      <x:c r="V445" s="2" t="str">
        <x:v>Area equivalent = model2020 * source surface / TEMPO2020 footprint</x:v>
      </x:c>
      <x:c r="W445" s="2" t="str">
        <x:v>legacy epoch_status=observed; not exact acquisition proof</x:v>
      </x:c>
      <x:c r="X445" s="2" t="str">
        <x:v>https://human-settlement.emergency.copernicus.eu/ghs_buS2023.php</x:v>
      </x:c>
    </x:row>
    <x:row r="446" ht="23" customHeight="1">
      <x:c r="A446" s="2" t="str">
        <x:v>CHN</x:v>
      </x:c>
      <x:c r="B446" s="2" t="str">
        <x:v>China (People's Republic of)</x:v>
      </x:c>
      <x:c r="C446" s="2" t="n">
        <x:v>2015</x:v>
      </x:c>
      <x:c r="D446" s="2" t="str">
        <x:v>GHSL_SURFACE</x:v>
      </x:c>
      <x:c r="E446" s="17" t="n">
        <x:v>76119805856.33177</x:v>
      </x:c>
      <x:c r="F446" s="17" t="n">
        <x:f>IF(AND(M446,ISNUMBER(R446)),IF(D446="TEMPO_PROXY",R446,IF(AND(ISNUMBER(S446),S446&gt;0,ISNUMBER(U446)),U446*R446/S446,"n.a.")),"n.a.")</x:f>
        <x:v>79794015680.52809</x:v>
      </x:c>
      <x:c r="G446" s="17" t="n">
        <x:f>IF(AND(ISNUMBER(E446),ISNUMBER(F446)),E446-F446,"n.a.")</x:f>
        <x:v>-3674209824.1963196</x:v>
      </x:c>
      <x:c r="H446" s="15" t="n">
        <x:f>IF(AND(ISNUMBER(E446),ISNUMBER(F446),F446&gt;0),(E446-F446)/F446,"n.a.")</x:f>
        <x:v>-0.0460461826975444</x:v>
      </x:c>
      <x:c r="I446" s="19" t="n">
        <x:f>IF(ISNUMBER(H446),ABS(H446),"n.a.")</x:f>
        <x:v>0.0460461826975444</x:v>
      </x:c>
      <x:c r="J446" s="2" t="str">
        <x:v>available</x:v>
      </x:c>
      <x:c r="K446" s="2" t="n">
        <x:v>1</x:v>
      </x:c>
      <x:c r="L446" s="13" t="b">
        <x:v>0</x:v>
      </x:c>
      <x:c r="M446" s="13" t="b">
        <x:v>1</x:v>
      </x:c>
      <x:c r="N446" s="2" t="str">
        <x:v>historical source estimate</x:v>
      </x:c>
      <x:c r="O446" s="2" t="str"/>
      <x:c r="P446" s="2" t="str">
        <x:v>horizontal built-up surface</x:v>
      </x:c>
      <x:c r="Q446" s="2" t="str">
        <x:v>m2</x:v>
      </x:c>
      <x:c r="R446" s="17" t="n">
        <x:v>72388954047</x:v>
      </x:c>
      <x:c r="S446" s="17" t="n">
        <x:v>78150235427.5</x:v>
      </x:c>
      <x:c r="T446" s="18" t="n">
        <x:v>1.1022954638731235</x:v>
      </x:c>
      <x:c r="U446" s="17" t="n">
        <x:v>86144650012.34993</x:v>
      </x:c>
      <x:c r="V446" s="2" t="str">
        <x:v>Area equivalent = model2020 * source surface / TEMPO2020 footprint</x:v>
      </x:c>
      <x:c r="W446" s="2" t="str">
        <x:v>legacy epoch_status=observed; not exact acquisition proof</x:v>
      </x:c>
      <x:c r="X446" s="2" t="str">
        <x:v>https://human-settlement.emergency.copernicus.eu/ghs_buS2023.php</x:v>
      </x:c>
    </x:row>
    <x:row r="447" ht="23" customHeight="1">
      <x:c r="A447" s="2" t="str">
        <x:v>CIV</x:v>
      </x:c>
      <x:c r="B447" s="2" t="str">
        <x:v>Côte d'Ivoire (Republic of)</x:v>
      </x:c>
      <x:c r="C447" s="2" t="n">
        <x:v>2015</x:v>
      </x:c>
      <x:c r="D447" s="2" t="str">
        <x:v>GHSL_SURFACE</x:v>
      </x:c>
      <x:c r="E447" s="17" t="n">
        <x:v>535082766.1071231</x:v>
      </x:c>
      <x:c r="F447" s="17" t="n">
        <x:f>IF(AND(M447,ISNUMBER(R447)),IF(D447="TEMPO_PROXY",R447,IF(AND(ISNUMBER(S447),S447&gt;0,ISNUMBER(U447)),U447*R447/S447,"n.a.")),"n.a.")</x:f>
        <x:v>1126309522.9999988</x:v>
      </x:c>
      <x:c r="G447" s="17" t="n">
        <x:f>IF(AND(ISNUMBER(E447),ISNUMBER(F447)),E447-F447,"n.a.")</x:f>
        <x:v>-591226756.8928757</x:v>
      </x:c>
      <x:c r="H447" s="15" t="n">
        <x:f>IF(AND(ISNUMBER(E447),ISNUMBER(F447),F447&gt;0),(E447-F447)/F447,"n.a.")</x:f>
        <x:v>-0.524923872896062</x:v>
      </x:c>
      <x:c r="I447" s="19" t="n">
        <x:f>IF(ISNUMBER(H447),ABS(H447),"n.a.")</x:f>
        <x:v>0.524923872896062</x:v>
      </x:c>
      <x:c r="J447" s="2" t="str">
        <x:v>available</x:v>
      </x:c>
      <x:c r="K447" s="2" t="n">
        <x:v>1</x:v>
      </x:c>
      <x:c r="L447" s="13" t="b">
        <x:v>0</x:v>
      </x:c>
      <x:c r="M447" s="13" t="b">
        <x:v>1</x:v>
      </x:c>
      <x:c r="N447" s="2" t="str">
        <x:v>historical source estimate</x:v>
      </x:c>
      <x:c r="O447" s="2" t="str"/>
      <x:c r="P447" s="2" t="str">
        <x:v>horizontal built-up surface</x:v>
      </x:c>
      <x:c r="Q447" s="2" t="str">
        <x:v>m2</x:v>
      </x:c>
      <x:c r="R447" s="17" t="n">
        <x:v>1126309523</x:v>
      </x:c>
      <x:c r="S447" s="17" t="n">
        <x:v>602828854.82</x:v>
      </x:c>
      <x:c r="T447" s="18" t="n">
        <x:v>0.9999999999999988</x:v>
      </x:c>
      <x:c r="U447" s="17" t="n">
        <x:v>602828854.8199993</x:v>
      </x:c>
      <x:c r="V447" s="2" t="str">
        <x:v>Area equivalent = model2020 * source surface / TEMPO2020 footprint</x:v>
      </x:c>
      <x:c r="W447" s="2" t="str">
        <x:v>legacy epoch_status=observed; not exact acquisition proof</x:v>
      </x:c>
      <x:c r="X447" s="2" t="str">
        <x:v>https://human-settlement.emergency.copernicus.eu/ghs_buS2023.php</x:v>
      </x:c>
    </x:row>
    <x:row r="448" ht="23" customHeight="1">
      <x:c r="A448" s="2" t="str">
        <x:v>CMR</x:v>
      </x:c>
      <x:c r="B448" s="2" t="str">
        <x:v>Cameroon (Republic of)</x:v>
      </x:c>
      <x:c r="C448" s="2" t="n">
        <x:v>2015</x:v>
      </x:c>
      <x:c r="D448" s="2" t="str">
        <x:v>GHSL_SURFACE</x:v>
      </x:c>
      <x:c r="E448" s="17" t="n">
        <x:v>500876494.0247831</x:v>
      </x:c>
      <x:c r="F448" s="17" t="n">
        <x:f>IF(AND(M448,ISNUMBER(R448)),IF(D448="TEMPO_PROXY",R448,IF(AND(ISNUMBER(S448),S448&gt;0,ISNUMBER(U448)),U448*R448/S448,"n.a.")),"n.a.")</x:f>
        <x:v>1069847817.0000011</x:v>
      </x:c>
      <x:c r="G448" s="17" t="n">
        <x:f>IF(AND(ISNUMBER(E448),ISNUMBER(F448)),E448-F448,"n.a.")</x:f>
        <x:v>-568971322.975218</x:v>
      </x:c>
      <x:c r="H448" s="15" t="n">
        <x:f>IF(AND(ISNUMBER(E448),ISNUMBER(F448),F448&gt;0),(E448-F448)/F448,"n.a.")</x:f>
        <x:v>-0.5318245398403402</x:v>
      </x:c>
      <x:c r="I448" s="19" t="n">
        <x:f>IF(ISNUMBER(H448),ABS(H448),"n.a.")</x:f>
        <x:v>0.5318245398403402</x:v>
      </x:c>
      <x:c r="J448" s="2" t="str">
        <x:v>available</x:v>
      </x:c>
      <x:c r="K448" s="2" t="n">
        <x:v>1</x:v>
      </x:c>
      <x:c r="L448" s="13" t="b">
        <x:v>0</x:v>
      </x:c>
      <x:c r="M448" s="13" t="b">
        <x:v>1</x:v>
      </x:c>
      <x:c r="N448" s="2" t="str">
        <x:v>historical source estimate</x:v>
      </x:c>
      <x:c r="O448" s="2" t="str"/>
      <x:c r="P448" s="2" t="str">
        <x:v>horizontal built-up surface</x:v>
      </x:c>
      <x:c r="Q448" s="2" t="str">
        <x:v>m2</x:v>
      </x:c>
      <x:c r="R448" s="17" t="n">
        <x:v>1069847817</x:v>
      </x:c>
      <x:c r="S448" s="17" t="n">
        <x:v>577057207.81</x:v>
      </x:c>
      <x:c r="T448" s="18" t="n">
        <x:v>1.000000000000001</x:v>
      </x:c>
      <x:c r="U448" s="17" t="n">
        <x:v>577057207.8100005</x:v>
      </x:c>
      <x:c r="V448" s="2" t="str">
        <x:v>Area equivalent = model2020 * source surface / TEMPO2020 footprint</x:v>
      </x:c>
      <x:c r="W448" s="2" t="str">
        <x:v>legacy epoch_status=observed; not exact acquisition proof</x:v>
      </x:c>
      <x:c r="X448" s="2" t="str">
        <x:v>https://human-settlement.emergency.copernicus.eu/ghs_buS2023.php</x:v>
      </x:c>
    </x:row>
    <x:row r="449" ht="23" customHeight="1">
      <x:c r="A449" s="2" t="str">
        <x:v>COD</x:v>
      </x:c>
      <x:c r="B449" s="2" t="str">
        <x:v>Congo (Democratic Republic of the)</x:v>
      </x:c>
      <x:c r="C449" s="2" t="n">
        <x:v>2015</x:v>
      </x:c>
      <x:c r="D449" s="2" t="str">
        <x:v>GHSL_SURFACE</x:v>
      </x:c>
      <x:c r="E449" s="17" t="n">
        <x:v>771777552.5431249</x:v>
      </x:c>
      <x:c r="F449" s="17" t="n">
        <x:f>IF(AND(M449,ISNUMBER(R449)),IF(D449="TEMPO_PROXY",R449,IF(AND(ISNUMBER(S449),S449&gt;0,ISNUMBER(U449)),U449*R449/S449,"n.a.")),"n.a.")</x:f>
        <x:v>2289609038.999997</x:v>
      </x:c>
      <x:c r="G449" s="17" t="n">
        <x:f>IF(AND(ISNUMBER(E449),ISNUMBER(F449)),E449-F449,"n.a.")</x:f>
        <x:v>-1517831486.4568722</x:v>
      </x:c>
      <x:c r="H449" s="15" t="n">
        <x:f>IF(AND(ISNUMBER(E449),ISNUMBER(F449),F449&gt;0),(E449-F449)/F449,"n.a.")</x:f>
        <x:v>-0.6629216868919228</x:v>
      </x:c>
      <x:c r="I449" s="19" t="n">
        <x:f>IF(ISNUMBER(H449),ABS(H449),"n.a.")</x:f>
        <x:v>0.6629216868919228</x:v>
      </x:c>
      <x:c r="J449" s="2" t="str">
        <x:v>available</x:v>
      </x:c>
      <x:c r="K449" s="2" t="n">
        <x:v>1</x:v>
      </x:c>
      <x:c r="L449" s="13" t="b">
        <x:v>0</x:v>
      </x:c>
      <x:c r="M449" s="13" t="b">
        <x:v>1</x:v>
      </x:c>
      <x:c r="N449" s="2" t="str">
        <x:v>historical source estimate</x:v>
      </x:c>
      <x:c r="O449" s="2" t="str"/>
      <x:c r="P449" s="2" t="str">
        <x:v>horizontal built-up surface</x:v>
      </x:c>
      <x:c r="Q449" s="2" t="str">
        <x:v>m2</x:v>
      </x:c>
      <x:c r="R449" s="17" t="n">
        <x:v>2289609039</x:v>
      </x:c>
      <x:c r="S449" s="17" t="n">
        <x:v>941825698.84</x:v>
      </x:c>
      <x:c r="T449" s="18" t="n">
        <x:v>0.9999999999999988</x:v>
      </x:c>
      <x:c r="U449" s="17" t="n">
        <x:v>941825698.8399988</x:v>
      </x:c>
      <x:c r="V449" s="2" t="str">
        <x:v>Area equivalent = model2020 * source surface / TEMPO2020 footprint</x:v>
      </x:c>
      <x:c r="W449" s="2" t="str">
        <x:v>legacy epoch_status=observed; not exact acquisition proof</x:v>
      </x:c>
      <x:c r="X449" s="2" t="str">
        <x:v>https://human-settlement.emergency.copernicus.eu/ghs_buS2023.php</x:v>
      </x:c>
    </x:row>
    <x:row r="450" ht="23" customHeight="1">
      <x:c r="A450" s="2" t="str">
        <x:v>COG</x:v>
      </x:c>
      <x:c r="B450" s="2" t="str">
        <x:v>Congo (Republic of the)</x:v>
      </x:c>
      <x:c r="C450" s="2" t="n">
        <x:v>2015</x:v>
      </x:c>
      <x:c r="D450" s="2" t="str">
        <x:v>GHSL_SURFACE</x:v>
      </x:c>
      <x:c r="E450" s="17" t="n">
        <x:v>91893894.47278675</x:v>
      </x:c>
      <x:c r="F450" s="17" t="n">
        <x:f>IF(AND(M450,ISNUMBER(R450)),IF(D450="TEMPO_PROXY",R450,IF(AND(ISNUMBER(S450),S450&gt;0,ISNUMBER(U450)),U450*R450/S450,"n.a.")),"n.a.")</x:f>
        <x:v>201362467.0000002</x:v>
      </x:c>
      <x:c r="G450" s="17" t="n">
        <x:f>IF(AND(ISNUMBER(E450),ISNUMBER(F450)),E450-F450,"n.a.")</x:f>
        <x:v>-109468572.52721345</x:v>
      </x:c>
      <x:c r="H450" s="15" t="n">
        <x:f>IF(AND(ISNUMBER(E450),ISNUMBER(F450),F450&gt;0),(E450-F450)/F450,"n.a.")</x:f>
        <x:v>-0.5436394088636853</x:v>
      </x:c>
      <x:c r="I450" s="19" t="n">
        <x:f>IF(ISNUMBER(H450),ABS(H450),"n.a.")</x:f>
        <x:v>0.5436394088636853</x:v>
      </x:c>
      <x:c r="J450" s="2" t="str">
        <x:v>available</x:v>
      </x:c>
      <x:c r="K450" s="2" t="n">
        <x:v>1</x:v>
      </x:c>
      <x:c r="L450" s="13" t="b">
        <x:v>0</x:v>
      </x:c>
      <x:c r="M450" s="13" t="b">
        <x:v>1</x:v>
      </x:c>
      <x:c r="N450" s="2" t="str">
        <x:v>historical source estimate</x:v>
      </x:c>
      <x:c r="O450" s="2" t="str"/>
      <x:c r="P450" s="2" t="str">
        <x:v>horizontal built-up surface</x:v>
      </x:c>
      <x:c r="Q450" s="2" t="str">
        <x:v>m2</x:v>
      </x:c>
      <x:c r="R450" s="17" t="n">
        <x:v>201362467</x:v>
      </x:c>
      <x:c r="S450" s="17" t="n">
        <x:v>110620071.65</x:v>
      </x:c>
      <x:c r="T450" s="18" t="n">
        <x:v>1.000000000000001</x:v>
      </x:c>
      <x:c r="U450" s="17" t="n">
        <x:v>110620071.65000013</x:v>
      </x:c>
      <x:c r="V450" s="2" t="str">
        <x:v>Area equivalent = model2020 * source surface / TEMPO2020 footprint</x:v>
      </x:c>
      <x:c r="W450" s="2" t="str">
        <x:v>legacy epoch_status=observed; not exact acquisition proof</x:v>
      </x:c>
      <x:c r="X450" s="2" t="str">
        <x:v>https://human-settlement.emergency.copernicus.eu/ghs_buS2023.php</x:v>
      </x:c>
    </x:row>
    <x:row r="451" ht="23" customHeight="1">
      <x:c r="A451" s="2" t="str">
        <x:v>COL</x:v>
      </x:c>
      <x:c r="B451" s="2" t="str">
        <x:v>Colombia (Republic of)</x:v>
      </x:c>
      <x:c r="C451" s="2" t="n">
        <x:v>2015</x:v>
      </x:c>
      <x:c r="D451" s="2" t="str">
        <x:v>GHSL_SURFACE</x:v>
      </x:c>
      <x:c r="E451" s="17" t="n">
        <x:v>1430230197.3322928</x:v>
      </x:c>
      <x:c r="F451" s="17" t="n">
        <x:f>IF(AND(M451,ISNUMBER(R451)),IF(D451="TEMPO_PROXY",R451,IF(AND(ISNUMBER(S451),S451&gt;0,ISNUMBER(U451)),U451*R451/S451,"n.a.")),"n.a.")</x:f>
        <x:v>1487471636.0000014</x:v>
      </x:c>
      <x:c r="G451" s="17" t="n">
        <x:f>IF(AND(ISNUMBER(E451),ISNUMBER(F451)),E451-F451,"n.a.")</x:f>
        <x:v>-57241438.667708635</x:v>
      </x:c>
      <x:c r="H451" s="15" t="n">
        <x:f>IF(AND(ISNUMBER(E451),ISNUMBER(F451),F451&gt;0),(E451-F451)/F451,"n.a.")</x:f>
        <x:v>-0.03848237323142381</x:v>
      </x:c>
      <x:c r="I451" s="19" t="n">
        <x:f>IF(ISNUMBER(H451),ABS(H451),"n.a.")</x:f>
        <x:v>0.03848237323142381</x:v>
      </x:c>
      <x:c r="J451" s="2" t="str">
        <x:v>available</x:v>
      </x:c>
      <x:c r="K451" s="2" t="n">
        <x:v>1</x:v>
      </x:c>
      <x:c r="L451" s="13" t="b">
        <x:v>0</x:v>
      </x:c>
      <x:c r="M451" s="13" t="b">
        <x:v>1</x:v>
      </x:c>
      <x:c r="N451" s="2" t="str">
        <x:v>historical source estimate</x:v>
      </x:c>
      <x:c r="O451" s="2" t="str"/>
      <x:c r="P451" s="2" t="str">
        <x:v>horizontal built-up surface</x:v>
      </x:c>
      <x:c r="Q451" s="2" t="str">
        <x:v>m2</x:v>
      </x:c>
      <x:c r="R451" s="17" t="n">
        <x:v>1487471636</x:v>
      </x:c>
      <x:c r="S451" s="17" t="n">
        <x:v>1505534156.31</x:v>
      </x:c>
      <x:c r="T451" s="18" t="n">
        <x:v>1.0000000000000009</x:v>
      </x:c>
      <x:c r="U451" s="17" t="n">
        <x:v>1505534156.3100014</x:v>
      </x:c>
      <x:c r="V451" s="2" t="str">
        <x:v>Area equivalent = model2020 * source surface / TEMPO2020 footprint</x:v>
      </x:c>
      <x:c r="W451" s="2" t="str">
        <x:v>legacy epoch_status=observed; not exact acquisition proof</x:v>
      </x:c>
      <x:c r="X451" s="2" t="str">
        <x:v>https://human-settlement.emergency.copernicus.eu/ghs_buS2023.php</x:v>
      </x:c>
    </x:row>
    <x:row r="452" ht="23" customHeight="1">
      <x:c r="A452" s="2" t="str">
        <x:v>COM</x:v>
      </x:c>
      <x:c r="B452" s="2" t="str">
        <x:v>Comoros (Union of the)</x:v>
      </x:c>
      <x:c r="C452" s="2" t="n">
        <x:v>2015</x:v>
      </x:c>
      <x:c r="D452" s="2" t="str">
        <x:v>GHSL_SURFACE</x:v>
      </x:c>
      <x:c r="E452" s="17" t="n">
        <x:v>17623145.13508351</x:v>
      </x:c>
      <x:c r="F452" s="17" t="n">
        <x:f>IF(AND(M452,ISNUMBER(R452)),IF(D452="TEMPO_PROXY",R452,IF(AND(ISNUMBER(S452),S452&gt;0,ISNUMBER(U452)),U452*R452/S452,"n.a.")),"n.a.")</x:f>
        <x:v>23829494.999999963</x:v>
      </x:c>
      <x:c r="G452" s="17" t="n">
        <x:f>IF(AND(ISNUMBER(E452),ISNUMBER(F452)),E452-F452,"n.a.")</x:f>
        <x:v>-6206349.864916451</x:v>
      </x:c>
      <x:c r="H452" s="15" t="n">
        <x:f>IF(AND(ISNUMBER(E452),ISNUMBER(F452),F452&gt;0),(E452-F452)/F452,"n.a.")</x:f>
        <x:v>-0.26044823295317254</x:v>
      </x:c>
      <x:c r="I452" s="19" t="n">
        <x:f>IF(ISNUMBER(H452),ABS(H452),"n.a.")</x:f>
        <x:v>0.26044823295317254</x:v>
      </x:c>
      <x:c r="J452" s="2" t="str">
        <x:v>available</x:v>
      </x:c>
      <x:c r="K452" s="2" t="n">
        <x:v>1</x:v>
      </x:c>
      <x:c r="L452" s="13" t="b">
        <x:v>0</x:v>
      </x:c>
      <x:c r="M452" s="13" t="b">
        <x:v>1</x:v>
      </x:c>
      <x:c r="N452" s="2" t="str">
        <x:v>historical source estimate</x:v>
      </x:c>
      <x:c r="O452" s="2" t="str"/>
      <x:c r="P452" s="2" t="str">
        <x:v>horizontal built-up surface</x:v>
      </x:c>
      <x:c r="Q452" s="2" t="str">
        <x:v>m2</x:v>
      </x:c>
      <x:c r="R452" s="17" t="n">
        <x:v>23829495</x:v>
      </x:c>
      <x:c r="S452" s="17" t="n">
        <x:v>18035090.41</x:v>
      </x:c>
      <x:c r="T452" s="18" t="n">
        <x:v>0.9999999999999983</x:v>
      </x:c>
      <x:c r="U452" s="17" t="n">
        <x:v>18035090.40999997</x:v>
      </x:c>
      <x:c r="V452" s="2" t="str">
        <x:v>Area equivalent = model2020 * source surface / TEMPO2020 footprint</x:v>
      </x:c>
      <x:c r="W452" s="2" t="str">
        <x:v>legacy epoch_status=observed; not exact acquisition proof</x:v>
      </x:c>
      <x:c r="X452" s="2" t="str">
        <x:v>https://human-settlement.emergency.copernicus.eu/ghs_buS2023.php</x:v>
      </x:c>
    </x:row>
    <x:row r="453" ht="23" customHeight="1">
      <x:c r="A453" s="2" t="str">
        <x:v>CPV</x:v>
      </x:c>
      <x:c r="B453" s="2" t="str">
        <x:v>Cabo Verde (Republic of)</x:v>
      </x:c>
      <x:c r="C453" s="2" t="n">
        <x:v>2015</x:v>
      </x:c>
      <x:c r="D453" s="2" t="str">
        <x:v>GHSL_SURFACE</x:v>
      </x:c>
      <x:c r="E453" s="17" t="n">
        <x:v>19695500.817529745</x:v>
      </x:c>
      <x:c r="F453" s="17" t="n">
        <x:f>IF(AND(M453,ISNUMBER(R453)),IF(D453="TEMPO_PROXY",R453,IF(AND(ISNUMBER(S453),S453&gt;0,ISNUMBER(U453)),U453*R453/S453,"n.a.")),"n.a.")</x:f>
        <x:v>20967671.650116205</x:v>
      </x:c>
      <x:c r="G453" s="17" t="n">
        <x:f>IF(AND(ISNUMBER(E453),ISNUMBER(F453)),E453-F453,"n.a.")</x:f>
        <x:v>-1272170.8325864598</x:v>
      </x:c>
      <x:c r="H453" s="15" t="n">
        <x:f>IF(AND(ISNUMBER(E453),ISNUMBER(F453),F453&gt;0),(E453-F453)/F453,"n.a.")</x:f>
        <x:v>-0.06067296616500618</x:v>
      </x:c>
      <x:c r="I453" s="19" t="n">
        <x:f>IF(ISNUMBER(H453),ABS(H453),"n.a.")</x:f>
        <x:v>0.06067296616500618</x:v>
      </x:c>
      <x:c r="J453" s="2" t="str">
        <x:v>available</x:v>
      </x:c>
      <x:c r="K453" s="2" t="n">
        <x:v>1</x:v>
      </x:c>
      <x:c r="L453" s="13" t="b">
        <x:v>0</x:v>
      </x:c>
      <x:c r="M453" s="13" t="b">
        <x:v>1</x:v>
      </x:c>
      <x:c r="N453" s="2" t="str">
        <x:v>historical source estimate</x:v>
      </x:c>
      <x:c r="O453" s="2" t="str"/>
      <x:c r="P453" s="2" t="str">
        <x:v>horizontal built-up surface</x:v>
      </x:c>
      <x:c r="Q453" s="2" t="str">
        <x:v>m2</x:v>
      </x:c>
      <x:c r="R453" s="17" t="n">
        <x:v>20165854</x:v>
      </x:c>
      <x:c r="S453" s="17" t="n">
        <x:v>20998892.42</x:v>
      </x:c>
      <x:c r="T453" s="18" t="n">
        <x:v>1.0397611551742965</x:v>
      </x:c>
      <x:c r="U453" s="17" t="n">
        <x:v>21833832.63999998</x:v>
      </x:c>
      <x:c r="V453" s="2" t="str">
        <x:v>Area equivalent = model2020 * source surface / TEMPO2020 footprint</x:v>
      </x:c>
      <x:c r="W453" s="2" t="str">
        <x:v>legacy epoch_status=observed; not exact acquisition proof</x:v>
      </x:c>
      <x:c r="X453" s="2" t="str">
        <x:v>https://human-settlement.emergency.copernicus.eu/ghs_buS2023.php</x:v>
      </x:c>
    </x:row>
    <x:row r="454" ht="23" customHeight="1">
      <x:c r="A454" s="2" t="str">
        <x:v>CRI</x:v>
      </x:c>
      <x:c r="B454" s="2" t="str">
        <x:v>Costa Rica (Republic of)</x:v>
      </x:c>
      <x:c r="C454" s="2" t="n">
        <x:v>2015</x:v>
      </x:c>
      <x:c r="D454" s="2" t="str">
        <x:v>GHSL_SURFACE</x:v>
      </x:c>
      <x:c r="E454" s="17" t="n">
        <x:v>251814595.18811685</x:v>
      </x:c>
      <x:c r="F454" s="17" t="n">
        <x:f>IF(AND(M454,ISNUMBER(R454)),IF(D454="TEMPO_PROXY",R454,IF(AND(ISNUMBER(S454),S454&gt;0,ISNUMBER(U454)),U454*R454/S454,"n.a.")),"n.a.")</x:f>
        <x:v>326279229.9999999</x:v>
      </x:c>
      <x:c r="G454" s="17" t="n">
        <x:f>IF(AND(ISNUMBER(E454),ISNUMBER(F454)),E454-F454,"n.a.")</x:f>
        <x:v>-74464634.81188303</x:v>
      </x:c>
      <x:c r="H454" s="15" t="n">
        <x:f>IF(AND(ISNUMBER(E454),ISNUMBER(F454),F454&gt;0),(E454-F454)/F454,"n.a.")</x:f>
        <x:v>-0.22822364393799463</x:v>
      </x:c>
      <x:c r="I454" s="19" t="n">
        <x:f>IF(ISNUMBER(H454),ABS(H454),"n.a.")</x:f>
        <x:v>0.22822364393799463</x:v>
      </x:c>
      <x:c r="J454" s="2" t="str">
        <x:v>available</x:v>
      </x:c>
      <x:c r="K454" s="2" t="n">
        <x:v>1</x:v>
      </x:c>
      <x:c r="L454" s="13" t="b">
        <x:v>0</x:v>
      </x:c>
      <x:c r="M454" s="13" t="b">
        <x:v>1</x:v>
      </x:c>
      <x:c r="N454" s="2" t="str">
        <x:v>historical source estimate</x:v>
      </x:c>
      <x:c r="O454" s="2" t="str"/>
      <x:c r="P454" s="2" t="str">
        <x:v>horizontal built-up surface</x:v>
      </x:c>
      <x:c r="Q454" s="2" t="str">
        <x:v>m2</x:v>
      </x:c>
      <x:c r="R454" s="17" t="n">
        <x:v>326279230</x:v>
      </x:c>
      <x:c r="S454" s="17" t="n">
        <x:v>284786315.39</x:v>
      </x:c>
      <x:c r="T454" s="18" t="n">
        <x:v>0.9999999999999996</x:v>
      </x:c>
      <x:c r="U454" s="17" t="n">
        <x:v>284786315.38999987</x:v>
      </x:c>
      <x:c r="V454" s="2" t="str">
        <x:v>Area equivalent = model2020 * source surface / TEMPO2020 footprint</x:v>
      </x:c>
      <x:c r="W454" s="2" t="str">
        <x:v>legacy epoch_status=observed; not exact acquisition proof</x:v>
      </x:c>
      <x:c r="X454" s="2" t="str">
        <x:v>https://human-settlement.emergency.copernicus.eu/ghs_buS2023.php</x:v>
      </x:c>
    </x:row>
    <x:row r="455" ht="23" customHeight="1">
      <x:c r="A455" s="2" t="str">
        <x:v>CUB</x:v>
      </x:c>
      <x:c r="B455" s="2" t="str">
        <x:v>Cuba (Republic of)</x:v>
      </x:c>
      <x:c r="C455" s="2" t="n">
        <x:v>2015</x:v>
      </x:c>
      <x:c r="D455" s="2" t="str">
        <x:v>GHSL_SURFACE</x:v>
      </x:c>
      <x:c r="E455" s="17" t="n">
        <x:v>333742028.5469901</x:v>
      </x:c>
      <x:c r="F455" s="17" t="n">
        <x:f>IF(AND(M455,ISNUMBER(R455)),IF(D455="TEMPO_PROXY",R455,IF(AND(ISNUMBER(S455),S455&gt;0,ISNUMBER(U455)),U455*R455/S455,"n.a.")),"n.a.")</x:f>
        <x:v>359417782.99999976</x:v>
      </x:c>
      <x:c r="G455" s="17" t="n">
        <x:f>IF(AND(ISNUMBER(E455),ISNUMBER(F455)),E455-F455,"n.a.")</x:f>
        <x:v>-25675754.453009665</x:v>
      </x:c>
      <x:c r="H455" s="15" t="n">
        <x:f>IF(AND(ISNUMBER(E455),ISNUMBER(F455),F455&gt;0),(E455-F455)/F455,"n.a.")</x:f>
        <x:v>-0.07143707314284357</x:v>
      </x:c>
      <x:c r="I455" s="19" t="n">
        <x:f>IF(ISNUMBER(H455),ABS(H455),"n.a.")</x:f>
        <x:v>0.07143707314284357</x:v>
      </x:c>
      <x:c r="J455" s="2" t="str">
        <x:v>available</x:v>
      </x:c>
      <x:c r="K455" s="2" t="n">
        <x:v>1</x:v>
      </x:c>
      <x:c r="L455" s="13" t="b">
        <x:v>0</x:v>
      </x:c>
      <x:c r="M455" s="13" t="b">
        <x:v>1</x:v>
      </x:c>
      <x:c r="N455" s="2" t="str">
        <x:v>historical source estimate</x:v>
      </x:c>
      <x:c r="O455" s="2" t="str"/>
      <x:c r="P455" s="2" t="str">
        <x:v>horizontal built-up surface</x:v>
      </x:c>
      <x:c r="Q455" s="2" t="str">
        <x:v>m2</x:v>
      </x:c>
      <x:c r="R455" s="17" t="n">
        <x:v>359417783</x:v>
      </x:c>
      <x:c r="S455" s="17" t="n">
        <x:v>360088927.42</x:v>
      </x:c>
      <x:c r="T455" s="18" t="n">
        <x:v>0.9999999999999993</x:v>
      </x:c>
      <x:c r="U455" s="17" t="n">
        <x:v>360088927.4199998</x:v>
      </x:c>
      <x:c r="V455" s="2" t="str">
        <x:v>Area equivalent = model2020 * source surface / TEMPO2020 footprint</x:v>
      </x:c>
      <x:c r="W455" s="2" t="str">
        <x:v>legacy epoch_status=observed; not exact acquisition proof</x:v>
      </x:c>
      <x:c r="X455" s="2" t="str">
        <x:v>https://human-settlement.emergency.copernicus.eu/ghs_buS2023.php</x:v>
      </x:c>
    </x:row>
    <x:row r="456" ht="23" customHeight="1">
      <x:c r="A456" s="2" t="str">
        <x:v>CYP</x:v>
      </x:c>
      <x:c r="B456" s="2" t="str">
        <x:v>Cyprus (Republic of)</x:v>
      </x:c>
      <x:c r="C456" s="2" t="n">
        <x:v>2015</x:v>
      </x:c>
      <x:c r="D456" s="2" t="str">
        <x:v>GHSL_SURFACE</x:v>
      </x:c>
      <x:c r="E456" s="17" t="n">
        <x:v>118707748.12306449</x:v>
      </x:c>
      <x:c r="F456" s="17" t="n">
        <x:f>IF(AND(M456,ISNUMBER(R456)),IF(D456="TEMPO_PROXY",R456,IF(AND(ISNUMBER(S456),S456&gt;0,ISNUMBER(U456)),U456*R456/S456,"n.a.")),"n.a.")</x:f>
        <x:v>136842434.00000018</x:v>
      </x:c>
      <x:c r="G456" s="17" t="n">
        <x:f>IF(AND(ISNUMBER(E456),ISNUMBER(F456)),E456-F456,"n.a.")</x:f>
        <x:v>-18134685.87693569</x:v>
      </x:c>
      <x:c r="H456" s="15" t="n">
        <x:f>IF(AND(ISNUMBER(E456),ISNUMBER(F456),F456&gt;0),(E456-F456)/F456,"n.a.")</x:f>
        <x:v>-0.1325223861257515</x:v>
      </x:c>
      <x:c r="I456" s="19" t="n">
        <x:f>IF(ISNUMBER(H456),ABS(H456),"n.a.")</x:f>
        <x:v>0.1325223861257515</x:v>
      </x:c>
      <x:c r="J456" s="2" t="str">
        <x:v>available</x:v>
      </x:c>
      <x:c r="K456" s="2" t="n">
        <x:v>1</x:v>
      </x:c>
      <x:c r="L456" s="13" t="b">
        <x:v>0</x:v>
      </x:c>
      <x:c r="M456" s="13" t="b">
        <x:v>1</x:v>
      </x:c>
      <x:c r="N456" s="2" t="str">
        <x:v>historical source estimate</x:v>
      </x:c>
      <x:c r="O456" s="2" t="str"/>
      <x:c r="P456" s="2" t="str">
        <x:v>horizontal built-up surface</x:v>
      </x:c>
      <x:c r="Q456" s="2" t="str">
        <x:v>m2</x:v>
      </x:c>
      <x:c r="R456" s="17" t="n">
        <x:v>136842434</x:v>
      </x:c>
      <x:c r="S456" s="17" t="n">
        <x:v>124124771.75</x:v>
      </x:c>
      <x:c r="T456" s="18" t="n">
        <x:v>1.0000000000000013</x:v>
      </x:c>
      <x:c r="U456" s="17" t="n">
        <x:v>124124771.75000016</x:v>
      </x:c>
      <x:c r="V456" s="2" t="str">
        <x:v>Area equivalent = model2020 * source surface / TEMPO2020 footprint</x:v>
      </x:c>
      <x:c r="W456" s="2" t="str">
        <x:v>legacy epoch_status=observed; not exact acquisition proof</x:v>
      </x:c>
      <x:c r="X456" s="2" t="str">
        <x:v>https://human-settlement.emergency.copernicus.eu/ghs_buS2023.php</x:v>
      </x:c>
    </x:row>
    <x:row r="457" ht="23" customHeight="1">
      <x:c r="A457" s="2" t="str">
        <x:v>CZE</x:v>
      </x:c>
      <x:c r="B457" s="2" t="str">
        <x:v>Czechia (Czech Republic)</x:v>
      </x:c>
      <x:c r="C457" s="2" t="n">
        <x:v>2015</x:v>
      </x:c>
      <x:c r="D457" s="2" t="str">
        <x:v>GHSL_SURFACE</x:v>
      </x:c>
      <x:c r="E457" s="17" t="n">
        <x:v>802655135.3985859</x:v>
      </x:c>
      <x:c r="F457" s="17" t="n">
        <x:f>IF(AND(M457,ISNUMBER(R457)),IF(D457="TEMPO_PROXY",R457,IF(AND(ISNUMBER(S457),S457&gt;0,ISNUMBER(U457)),U457*R457/S457,"n.a.")),"n.a.")</x:f>
        <x:v>1318953306.5775554</x:v>
      </x:c>
      <x:c r="G457" s="17" t="n">
        <x:f>IF(AND(ISNUMBER(E457),ISNUMBER(F457)),E457-F457,"n.a.")</x:f>
        <x:v>-516298171.1789695</x:v>
      </x:c>
      <x:c r="H457" s="15" t="n">
        <x:f>IF(AND(ISNUMBER(E457),ISNUMBER(F457),F457&gt;0),(E457-F457)/F457,"n.a.")</x:f>
        <x:v>-0.39144537460440476</x:v>
      </x:c>
      <x:c r="I457" s="19" t="n">
        <x:f>IF(ISNUMBER(H457),ABS(H457),"n.a.")</x:f>
        <x:v>0.39144537460440476</x:v>
      </x:c>
      <x:c r="J457" s="2" t="str">
        <x:v>available</x:v>
      </x:c>
      <x:c r="K457" s="2" t="n">
        <x:v>1</x:v>
      </x:c>
      <x:c r="L457" s="13" t="b">
        <x:v>0</x:v>
      </x:c>
      <x:c r="M457" s="13" t="b">
        <x:v>1</x:v>
      </x:c>
      <x:c r="N457" s="2" t="str">
        <x:v>historical source estimate</x:v>
      </x:c>
      <x:c r="O457" s="2" t="str"/>
      <x:c r="P457" s="2" t="str">
        <x:v>horizontal built-up surface</x:v>
      </x:c>
      <x:c r="Q457" s="2" t="str">
        <x:v>m2</x:v>
      </x:c>
      <x:c r="R457" s="17" t="n">
        <x:v>1286421061</x:v>
      </x:c>
      <x:c r="S457" s="17" t="n">
        <x:v>832797594.35</x:v>
      </x:c>
      <x:c r="T457" s="18" t="n">
        <x:v>1.025288955975477</x:v>
      </x:c>
      <x:c r="U457" s="17" t="n">
        <x:v>853858176.0500003</x:v>
      </x:c>
      <x:c r="V457" s="2" t="str">
        <x:v>Area equivalent = model2020 * source surface / TEMPO2020 footprint</x:v>
      </x:c>
      <x:c r="W457" s="2" t="str">
        <x:v>legacy epoch_status=observed; not exact acquisition proof</x:v>
      </x:c>
      <x:c r="X457" s="2" t="str">
        <x:v>https://human-settlement.emergency.copernicus.eu/ghs_buS2023.php</x:v>
      </x:c>
    </x:row>
    <x:row r="458" ht="23" customHeight="1">
      <x:c r="A458" s="2" t="str">
        <x:v>DEU</x:v>
      </x:c>
      <x:c r="B458" s="2" t="str">
        <x:v>Germany (Federal Republic of)</x:v>
      </x:c>
      <x:c r="C458" s="2" t="n">
        <x:v>2015</x:v>
      </x:c>
      <x:c r="D458" s="2" t="str">
        <x:v>GHSL_SURFACE</x:v>
      </x:c>
      <x:c r="E458" s="17" t="n">
        <x:v>6295283925.7990055</x:v>
      </x:c>
      <x:c r="F458" s="17" t="n">
        <x:f>IF(AND(M458,ISNUMBER(R458)),IF(D458="TEMPO_PROXY",R458,IF(AND(ISNUMBER(S458),S458&gt;0,ISNUMBER(U458)),U458*R458/S458,"n.a.")),"n.a.")</x:f>
        <x:v>9581377305.44602</x:v>
      </x:c>
      <x:c r="G458" s="17" t="n">
        <x:f>IF(AND(ISNUMBER(E458),ISNUMBER(F458)),E458-F458,"n.a.")</x:f>
        <x:v>-3286093379.6470146</x:v>
      </x:c>
      <x:c r="H458" s="15" t="n">
        <x:f>IF(AND(ISNUMBER(E458),ISNUMBER(F458),F458&gt;0),(E458-F458)/F458,"n.a.")</x:f>
        <x:v>-0.34296670247806765</x:v>
      </x:c>
      <x:c r="I458" s="19" t="n">
        <x:f>IF(ISNUMBER(H458),ABS(H458),"n.a.")</x:f>
        <x:v>0.34296670247806765</x:v>
      </x:c>
      <x:c r="J458" s="2" t="str">
        <x:v>available</x:v>
      </x:c>
      <x:c r="K458" s="2" t="n">
        <x:v>1</x:v>
      </x:c>
      <x:c r="L458" s="13" t="b">
        <x:v>0</x:v>
      </x:c>
      <x:c r="M458" s="13" t="b">
        <x:v>1</x:v>
      </x:c>
      <x:c r="N458" s="2" t="str">
        <x:v>historical source estimate</x:v>
      </x:c>
      <x:c r="O458" s="2" t="str"/>
      <x:c r="P458" s="2" t="str">
        <x:v>horizontal built-up surface</x:v>
      </x:c>
      <x:c r="Q458" s="2" t="str">
        <x:v>m2</x:v>
      </x:c>
      <x:c r="R458" s="17" t="n">
        <x:v>9142997206</x:v>
      </x:c>
      <x:c r="S458" s="17" t="n">
        <x:v>6308730216.94</x:v>
      </x:c>
      <x:c r="T458" s="18" t="n">
        <x:v>1.0479470888559759</x:v>
      </x:c>
      <x:c r="U458" s="17" t="n">
        <x:v>6611215465.220001</x:v>
      </x:c>
      <x:c r="V458" s="2" t="str">
        <x:v>Area equivalent = model2020 * source surface / TEMPO2020 footprint</x:v>
      </x:c>
      <x:c r="W458" s="2" t="str">
        <x:v>legacy epoch_status=observed; not exact acquisition proof</x:v>
      </x:c>
      <x:c r="X458" s="2" t="str">
        <x:v>https://human-settlement.emergency.copernicus.eu/ghs_buS2023.php</x:v>
      </x:c>
    </x:row>
    <x:row r="459" ht="23" customHeight="1">
      <x:c r="A459" s="2" t="str">
        <x:v>DJI</x:v>
      </x:c>
      <x:c r="B459" s="2" t="str">
        <x:v>Djibouti (Republic of)</x:v>
      </x:c>
      <x:c r="C459" s="2" t="n">
        <x:v>2015</x:v>
      </x:c>
      <x:c r="D459" s="2" t="str">
        <x:v>GHSL_SURFACE</x:v>
      </x:c>
      <x:c r="E459" s="17" t="n">
        <x:v>11226600.057405254</x:v>
      </x:c>
      <x:c r="F459" s="17" t="n">
        <x:f>IF(AND(M459,ISNUMBER(R459)),IF(D459="TEMPO_PROXY",R459,IF(AND(ISNUMBER(S459),S459&gt;0,ISNUMBER(U459)),U459*R459/S459,"n.a.")),"n.a.")</x:f>
        <x:v>17863017.536977157</x:v>
      </x:c>
      <x:c r="G459" s="17" t="n">
        <x:f>IF(AND(ISNUMBER(E459),ISNUMBER(F459)),E459-F459,"n.a.")</x:f>
        <x:v>-6636417.479571903</x:v>
      </x:c>
      <x:c r="H459" s="15" t="n">
        <x:f>IF(AND(ISNUMBER(E459),ISNUMBER(F459),F459&gt;0),(E459-F459)/F459,"n.a.")</x:f>
        <x:v>-0.3715171563726148</x:v>
      </x:c>
      <x:c r="I459" s="19" t="n">
        <x:f>IF(ISNUMBER(H459),ABS(H459),"n.a.")</x:f>
        <x:v>0.3715171563726148</x:v>
      </x:c>
      <x:c r="J459" s="2" t="str">
        <x:v>available</x:v>
      </x:c>
      <x:c r="K459" s="2" t="n">
        <x:v>1</x:v>
      </x:c>
      <x:c r="L459" s="13" t="b">
        <x:v>0</x:v>
      </x:c>
      <x:c r="M459" s="13" t="b">
        <x:v>1</x:v>
      </x:c>
      <x:c r="N459" s="2" t="str">
        <x:v>historical source estimate</x:v>
      </x:c>
      <x:c r="O459" s="2" t="str"/>
      <x:c r="P459" s="2" t="str">
        <x:v>horizontal built-up surface</x:v>
      </x:c>
      <x:c r="Q459" s="2" t="str">
        <x:v>m2</x:v>
      </x:c>
      <x:c r="R459" s="17" t="n">
        <x:v>17208624</x:v>
      </x:c>
      <x:c r="S459" s="17" t="n">
        <x:v>12127167.01</x:v>
      </x:c>
      <x:c r="T459" s="18" t="n">
        <x:v>1.0380270692751006</x:v>
      </x:c>
      <x:c r="U459" s="17" t="n">
        <x:v>12588327.629999984</x:v>
      </x:c>
      <x:c r="V459" s="2" t="str">
        <x:v>Area equivalent = model2020 * source surface / TEMPO2020 footprint</x:v>
      </x:c>
      <x:c r="W459" s="2" t="str">
        <x:v>legacy epoch_status=observed; not exact acquisition proof</x:v>
      </x:c>
      <x:c r="X459" s="2" t="str">
        <x:v>https://human-settlement.emergency.copernicus.eu/ghs_buS2023.php</x:v>
      </x:c>
    </x:row>
    <x:row r="460" ht="23" customHeight="1">
      <x:c r="A460" s="2" t="str">
        <x:v>DMA</x:v>
      </x:c>
      <x:c r="B460" s="2" t="str">
        <x:v>Dominica (Commonwealth of)</x:v>
      </x:c>
      <x:c r="C460" s="2" t="n">
        <x:v>2015</x:v>
      </x:c>
      <x:c r="D460" s="2" t="str">
        <x:v>GHSL_SURFACE</x:v>
      </x:c>
      <x:c r="E460" s="17" t="n">
        <x:v>3486495.3852494587</x:v>
      </x:c>
      <x:c r="F460" s="17" t="n">
        <x:f>IF(AND(M460,ISNUMBER(R460)),IF(D460="TEMPO_PROXY",R460,IF(AND(ISNUMBER(S460),S460&gt;0,ISNUMBER(U460)),U460*R460/S460,"n.a.")),"n.a.")</x:f>
        <x:v>4168826.999999998</x:v>
      </x:c>
      <x:c r="G460" s="17" t="n">
        <x:f>IF(AND(ISNUMBER(E460),ISNUMBER(F460)),E460-F460,"n.a.")</x:f>
        <x:v>-682331.6147505394</x:v>
      </x:c>
      <x:c r="H460" s="15" t="n">
        <x:f>IF(AND(ISNUMBER(E460),ISNUMBER(F460),F460&gt;0),(E460-F460)/F460,"n.a.")</x:f>
        <x:v>-0.16367472546846865</x:v>
      </x:c>
      <x:c r="I460" s="19" t="n">
        <x:f>IF(ISNUMBER(H460),ABS(H460),"n.a.")</x:f>
        <x:v>0.16367472546846865</x:v>
      </x:c>
      <x:c r="J460" s="2" t="str">
        <x:v>available</x:v>
      </x:c>
      <x:c r="K460" s="2" t="n">
        <x:v>1</x:v>
      </x:c>
      <x:c r="L460" s="13" t="b">
        <x:v>0</x:v>
      </x:c>
      <x:c r="M460" s="13" t="b">
        <x:v>1</x:v>
      </x:c>
      <x:c r="N460" s="2" t="str">
        <x:v>historical source estimate</x:v>
      </x:c>
      <x:c r="O460" s="2" t="str"/>
      <x:c r="P460" s="2" t="str">
        <x:v>horizontal built-up surface</x:v>
      </x:c>
      <x:c r="Q460" s="2" t="str">
        <x:v>m2</x:v>
      </x:c>
      <x:c r="R460" s="17" t="n">
        <x:v>4168827</x:v>
      </x:c>
      <x:c r="S460" s="17" t="n">
        <x:v>3947192.69</x:v>
      </x:c>
      <x:c r="T460" s="18" t="n">
        <x:v>0.9999999999999997</x:v>
      </x:c>
      <x:c r="U460" s="17" t="n">
        <x:v>3947192.6899999985</x:v>
      </x:c>
      <x:c r="V460" s="2" t="str">
        <x:v>Area equivalent = model2020 * source surface / TEMPO2020 footprint</x:v>
      </x:c>
      <x:c r="W460" s="2" t="str">
        <x:v>legacy epoch_status=observed; not exact acquisition proof</x:v>
      </x:c>
      <x:c r="X460" s="2" t="str">
        <x:v>https://human-settlement.emergency.copernicus.eu/ghs_buS2023.php</x:v>
      </x:c>
    </x:row>
    <x:row r="461" ht="23" customHeight="1">
      <x:c r="A461" s="2" t="str">
        <x:v>DNK</x:v>
      </x:c>
      <x:c r="B461" s="2" t="str">
        <x:v>Denmark (Kingdom of)</x:v>
      </x:c>
      <x:c r="C461" s="2" t="n">
        <x:v>2015</x:v>
      </x:c>
      <x:c r="D461" s="2" t="str">
        <x:v>GHSL_SURFACE</x:v>
      </x:c>
      <x:c r="E461" s="17" t="n">
        <x:v>637662032.609485</x:v>
      </x:c>
      <x:c r="F461" s="17" t="n">
        <x:f>IF(AND(M461,ISNUMBER(R461)),IF(D461="TEMPO_PROXY",R461,IF(AND(ISNUMBER(S461),S461&gt;0,ISNUMBER(U461)),U461*R461/S461,"n.a.")),"n.a.")</x:f>
        <x:v>772969849.0503129</x:v>
      </x:c>
      <x:c r="G461" s="17" t="n">
        <x:f>IF(AND(ISNUMBER(E461),ISNUMBER(F461)),E461-F461,"n.a.")</x:f>
        <x:v>-135307816.44082785</x:v>
      </x:c>
      <x:c r="H461" s="15" t="n">
        <x:f>IF(AND(ISNUMBER(E461),ISNUMBER(F461),F461&gt;0),(E461-F461)/F461,"n.a.")</x:f>
        <x:v>-0.17504928116804283</x:v>
      </x:c>
      <x:c r="I461" s="19" t="n">
        <x:f>IF(ISNUMBER(H461),ABS(H461),"n.a.")</x:f>
        <x:v>0.17504928116804283</x:v>
      </x:c>
      <x:c r="J461" s="2" t="str">
        <x:v>available</x:v>
      </x:c>
      <x:c r="K461" s="2" t="n">
        <x:v>1</x:v>
      </x:c>
      <x:c r="L461" s="13" t="b">
        <x:v>0</x:v>
      </x:c>
      <x:c r="M461" s="13" t="b">
        <x:v>1</x:v>
      </x:c>
      <x:c r="N461" s="2" t="str">
        <x:v>historical source estimate</x:v>
      </x:c>
      <x:c r="O461" s="2" t="str"/>
      <x:c r="P461" s="2" t="str">
        <x:v>horizontal built-up surface</x:v>
      </x:c>
      <x:c r="Q461" s="2" t="str">
        <x:v>m2</x:v>
      </x:c>
      <x:c r="R461" s="17" t="n">
        <x:v>767939417</x:v>
      </x:c>
      <x:c r="S461" s="17" t="n">
        <x:v>660731556.2</x:v>
      </x:c>
      <x:c r="T461" s="18" t="n">
        <x:v>1.006550558467183</x:v>
      </x:c>
      <x:c r="U461" s="17" t="n">
        <x:v>665059716.8900009</x:v>
      </x:c>
      <x:c r="V461" s="2" t="str">
        <x:v>Area equivalent = model2020 * source surface / TEMPO2020 footprint</x:v>
      </x:c>
      <x:c r="W461" s="2" t="str">
        <x:v>legacy epoch_status=observed; not exact acquisition proof</x:v>
      </x:c>
      <x:c r="X461" s="2" t="str">
        <x:v>https://human-settlement.emergency.copernicus.eu/ghs_buS2023.php</x:v>
      </x:c>
    </x:row>
    <x:row r="462" ht="23" customHeight="1">
      <x:c r="A462" s="2" t="str">
        <x:v>DOM</x:v>
      </x:c>
      <x:c r="B462" s="2" t="str">
        <x:v>Dominican Republic</x:v>
      </x:c>
      <x:c r="C462" s="2" t="n">
        <x:v>2015</x:v>
      </x:c>
      <x:c r="D462" s="2" t="str">
        <x:v>GHSL_SURFACE</x:v>
      </x:c>
      <x:c r="E462" s="17" t="n">
        <x:v>247208125.3674467</x:v>
      </x:c>
      <x:c r="F462" s="17" t="n">
        <x:f>IF(AND(M462,ISNUMBER(R462)),IF(D462="TEMPO_PROXY",R462,IF(AND(ISNUMBER(S462),S462&gt;0,ISNUMBER(U462)),U462*R462/S462,"n.a.")),"n.a.")</x:f>
        <x:v>371337010.0000005</x:v>
      </x:c>
      <x:c r="G462" s="17" t="n">
        <x:f>IF(AND(ISNUMBER(E462),ISNUMBER(F462)),E462-F462,"n.a.")</x:f>
        <x:v>-124128884.63255379</x:v>
      </x:c>
      <x:c r="H462" s="15" t="n">
        <x:f>IF(AND(ISNUMBER(E462),ISNUMBER(F462),F462&gt;0),(E462-F462)/F462,"n.a.")</x:f>
        <x:v>-0.33427555371481454</x:v>
      </x:c>
      <x:c r="I462" s="19" t="n">
        <x:f>IF(ISNUMBER(H462),ABS(H462),"n.a.")</x:f>
        <x:v>0.33427555371481454</x:v>
      </x:c>
      <x:c r="J462" s="2" t="str">
        <x:v>available</x:v>
      </x:c>
      <x:c r="K462" s="2" t="n">
        <x:v>1</x:v>
      </x:c>
      <x:c r="L462" s="13" t="b">
        <x:v>0</x:v>
      </x:c>
      <x:c r="M462" s="13" t="b">
        <x:v>1</x:v>
      </x:c>
      <x:c r="N462" s="2" t="str">
        <x:v>historical source estimate</x:v>
      </x:c>
      <x:c r="O462" s="2" t="str"/>
      <x:c r="P462" s="2" t="str">
        <x:v>horizontal built-up surface</x:v>
      </x:c>
      <x:c r="Q462" s="2" t="str">
        <x:v>m2</x:v>
      </x:c>
      <x:c r="R462" s="17" t="n">
        <x:v>371337010</x:v>
      </x:c>
      <x:c r="S462" s="17" t="n">
        <x:v>336248050.89</x:v>
      </x:c>
      <x:c r="T462" s="18" t="n">
        <x:v>1.0000000000000013</x:v>
      </x:c>
      <x:c r="U462" s="17" t="n">
        <x:v>336248050.8900004</x:v>
      </x:c>
      <x:c r="V462" s="2" t="str">
        <x:v>Area equivalent = model2020 * source surface / TEMPO2020 footprint</x:v>
      </x:c>
      <x:c r="W462" s="2" t="str">
        <x:v>legacy epoch_status=observed; not exact acquisition proof</x:v>
      </x:c>
      <x:c r="X462" s="2" t="str">
        <x:v>https://human-settlement.emergency.copernicus.eu/ghs_buS2023.php</x:v>
      </x:c>
    </x:row>
    <x:row r="463" ht="23" customHeight="1">
      <x:c r="A463" s="2" t="str">
        <x:v>DZA</x:v>
      </x:c>
      <x:c r="B463" s="2" t="str">
        <x:v>Algeria (People's Democratic Republic of)</x:v>
      </x:c>
      <x:c r="C463" s="2" t="n">
        <x:v>2015</x:v>
      </x:c>
      <x:c r="D463" s="2" t="str">
        <x:v>GHSL_SURFACE</x:v>
      </x:c>
      <x:c r="E463" s="17" t="n">
        <x:v>1502138846.737166</x:v>
      </x:c>
      <x:c r="F463" s="17" t="n">
        <x:f>IF(AND(M463,ISNUMBER(R463)),IF(D463="TEMPO_PROXY",R463,IF(AND(ISNUMBER(S463),S463&gt;0,ISNUMBER(U463)),U463*R463/S463,"n.a.")),"n.a.")</x:f>
        <x:v>2132677436.9915595</x:v>
      </x:c>
      <x:c r="G463" s="17" t="n">
        <x:f>IF(AND(ISNUMBER(E463),ISNUMBER(F463)),E463-F463,"n.a.")</x:f>
        <x:v>-630538590.2543936</x:v>
      </x:c>
      <x:c r="H463" s="15" t="n">
        <x:f>IF(AND(ISNUMBER(E463),ISNUMBER(F463),F463&gt;0),(E463-F463)/F463,"n.a.")</x:f>
        <x:v>-0.2956558639940678</x:v>
      </x:c>
      <x:c r="I463" s="19" t="n">
        <x:f>IF(ISNUMBER(H463),ABS(H463),"n.a.")</x:f>
        <x:v>0.2956558639940678</x:v>
      </x:c>
      <x:c r="J463" s="2" t="str">
        <x:v>available</x:v>
      </x:c>
      <x:c r="K463" s="2" t="n">
        <x:v>1</x:v>
      </x:c>
      <x:c r="L463" s="13" t="b">
        <x:v>0</x:v>
      </x:c>
      <x:c r="M463" s="13" t="b">
        <x:v>1</x:v>
      </x:c>
      <x:c r="N463" s="2" t="str">
        <x:v>historical source estimate</x:v>
      </x:c>
      <x:c r="O463" s="2" t="str"/>
      <x:c r="P463" s="2" t="str">
        <x:v>horizontal built-up surface</x:v>
      </x:c>
      <x:c r="Q463" s="2" t="str">
        <x:v>m2</x:v>
      </x:c>
      <x:c r="R463" s="17" t="n">
        <x:v>2108183468</x:v>
      </x:c>
      <x:c r="S463" s="17" t="n">
        <x:v>1589287619</x:v>
      </x:c>
      <x:c r="T463" s="18" t="n">
        <x:v>1.0116185186741817</x:v>
      </x:c>
      <x:c r="U463" s="17" t="n">
        <x:v>1607752786.8799975</x:v>
      </x:c>
      <x:c r="V463" s="2" t="str">
        <x:v>Area equivalent = model2020 * source surface / TEMPO2020 footprint</x:v>
      </x:c>
      <x:c r="W463" s="2" t="str">
        <x:v>legacy epoch_status=observed; not exact acquisition proof</x:v>
      </x:c>
      <x:c r="X463" s="2" t="str">
        <x:v>https://human-settlement.emergency.copernicus.eu/ghs_buS2023.php</x:v>
      </x:c>
    </x:row>
    <x:row r="464" ht="23" customHeight="1">
      <x:c r="A464" s="2" t="str">
        <x:v>ECU</x:v>
      </x:c>
      <x:c r="B464" s="2" t="str">
        <x:v>Ecuador (Republic of)</x:v>
      </x:c>
      <x:c r="C464" s="2" t="n">
        <x:v>2015</x:v>
      </x:c>
      <x:c r="D464" s="2" t="str">
        <x:v>GHSL_SURFACE</x:v>
      </x:c>
      <x:c r="E464" s="17" t="n">
        <x:v>703386333.4302019</x:v>
      </x:c>
      <x:c r="F464" s="17" t="n">
        <x:f>IF(AND(M464,ISNUMBER(R464)),IF(D464="TEMPO_PROXY",R464,IF(AND(ISNUMBER(S464),S464&gt;0,ISNUMBER(U464)),U464*R464/S464,"n.a.")),"n.a.")</x:f>
        <x:v>886162318.0000005</x:v>
      </x:c>
      <x:c r="G464" s="17" t="n">
        <x:f>IF(AND(ISNUMBER(E464),ISNUMBER(F464)),E464-F464,"n.a.")</x:f>
        <x:v>-182775984.5697986</x:v>
      </x:c>
      <x:c r="H464" s="15" t="n">
        <x:f>IF(AND(ISNUMBER(E464),ISNUMBER(F464),F464&gt;0),(E464-F464)/F464,"n.a.")</x:f>
        <x:v>-0.20625564962219314</x:v>
      </x:c>
      <x:c r="I464" s="19" t="n">
        <x:f>IF(ISNUMBER(H464),ABS(H464),"n.a.")</x:f>
        <x:v>0.20625564962219314</x:v>
      </x:c>
      <x:c r="J464" s="2" t="str">
        <x:v>available</x:v>
      </x:c>
      <x:c r="K464" s="2" t="n">
        <x:v>1</x:v>
      </x:c>
      <x:c r="L464" s="13" t="b">
        <x:v>0</x:v>
      </x:c>
      <x:c r="M464" s="13" t="b">
        <x:v>1</x:v>
      </x:c>
      <x:c r="N464" s="2" t="str">
        <x:v>historical source estimate</x:v>
      </x:c>
      <x:c r="O464" s="2" t="str"/>
      <x:c r="P464" s="2" t="str">
        <x:v>horizontal built-up surface</x:v>
      </x:c>
      <x:c r="Q464" s="2" t="str">
        <x:v>m2</x:v>
      </x:c>
      <x:c r="R464" s="17" t="n">
        <x:v>886162318</x:v>
      </x:c>
      <x:c r="S464" s="17" t="n">
        <x:v>734538215.05</x:v>
      </x:c>
      <x:c r="T464" s="18" t="n">
        <x:v>1.0000000000000004</x:v>
      </x:c>
      <x:c r="U464" s="17" t="n">
        <x:v>734538215.0500003</x:v>
      </x:c>
      <x:c r="V464" s="2" t="str">
        <x:v>Area equivalent = model2020 * source surface / TEMPO2020 footprint</x:v>
      </x:c>
      <x:c r="W464" s="2" t="str">
        <x:v>legacy epoch_status=observed; not exact acquisition proof</x:v>
      </x:c>
      <x:c r="X464" s="2" t="str">
        <x:v>https://human-settlement.emergency.copernicus.eu/ghs_buS2023.php</x:v>
      </x:c>
    </x:row>
    <x:row r="465" ht="23" customHeight="1">
      <x:c r="A465" s="2" t="str">
        <x:v>EGY</x:v>
      </x:c>
      <x:c r="B465" s="2" t="str">
        <x:v>Egypt (Arab Republic of)</x:v>
      </x:c>
      <x:c r="C465" s="2" t="n">
        <x:v>2015</x:v>
      </x:c>
      <x:c r="D465" s="2" t="str">
        <x:v>GHSL_SURFACE</x:v>
      </x:c>
      <x:c r="E465" s="17" t="n">
        <x:v>2430072384.0124</x:v>
      </x:c>
      <x:c r="F465" s="17" t="n">
        <x:f>IF(AND(M465,ISNUMBER(R465)),IF(D465="TEMPO_PROXY",R465,IF(AND(ISNUMBER(S465),S465&gt;0,ISNUMBER(U465)),U465*R465/S465,"n.a.")),"n.a.")</x:f>
        <x:v>3449028193.6314263</x:v>
      </x:c>
      <x:c r="G465" s="17" t="n">
        <x:f>IF(AND(ISNUMBER(E465),ISNUMBER(F465)),E465-F465,"n.a.")</x:f>
        <x:v>-1018955809.6190262</x:v>
      </x:c>
      <x:c r="H465" s="15" t="n">
        <x:f>IF(AND(ISNUMBER(E465),ISNUMBER(F465),F465&gt;0),(E465-F465)/F465,"n.a.")</x:f>
        <x:v>-0.2954327284133285</x:v>
      </x:c>
      <x:c r="I465" s="19" t="n">
        <x:f>IF(ISNUMBER(H465),ABS(H465),"n.a.")</x:f>
        <x:v>0.2954327284133285</x:v>
      </x:c>
      <x:c r="J465" s="2" t="str">
        <x:v>available</x:v>
      </x:c>
      <x:c r="K465" s="2" t="n">
        <x:v>1</x:v>
      </x:c>
      <x:c r="L465" s="13" t="b">
        <x:v>0</x:v>
      </x:c>
      <x:c r="M465" s="13" t="b">
        <x:v>1</x:v>
      </x:c>
      <x:c r="N465" s="2" t="str">
        <x:v>historical source estimate</x:v>
      </x:c>
      <x:c r="O465" s="2" t="str"/>
      <x:c r="P465" s="2" t="str">
        <x:v>horizontal built-up surface</x:v>
      </x:c>
      <x:c r="Q465" s="2" t="str">
        <x:v>m2</x:v>
      </x:c>
      <x:c r="R465" s="17" t="n">
        <x:v>2583295127</x:v>
      </x:c>
      <x:c r="S465" s="17" t="n">
        <x:v>2212752476.53</x:v>
      </x:c>
      <x:c r="T465" s="18" t="n">
        <x:v>1.3351274337891113</x:v>
      </x:c>
      <x:c r="U465" s="17" t="n">
        <x:v>2954306535.6</x:v>
      </x:c>
      <x:c r="V465" s="2" t="str">
        <x:v>Area equivalent = model2020 * source surface / TEMPO2020 footprint</x:v>
      </x:c>
      <x:c r="W465" s="2" t="str">
        <x:v>legacy epoch_status=observed; not exact acquisition proof</x:v>
      </x:c>
      <x:c r="X465" s="2" t="str">
        <x:v>https://human-settlement.emergency.copernicus.eu/ghs_buS2023.php</x:v>
      </x:c>
    </x:row>
    <x:row r="466" ht="23" customHeight="1">
      <x:c r="A466" s="2" t="str">
        <x:v>ERI</x:v>
      </x:c>
      <x:c r="B466" s="2" t="str">
        <x:v>Eritrea (State of)</x:v>
      </x:c>
      <x:c r="C466" s="2" t="n">
        <x:v>2015</x:v>
      </x:c>
      <x:c r="D466" s="2" t="str">
        <x:v>GHSL_SURFACE</x:v>
      </x:c>
      <x:c r="E466" s="17" t="n">
        <x:v>31760779.71501907</x:v>
      </x:c>
      <x:c r="F466" s="17" t="n">
        <x:f>IF(AND(M466,ISNUMBER(R466)),IF(D466="TEMPO_PROXY",R466,IF(AND(ISNUMBER(S466),S466&gt;0,ISNUMBER(U466)),U466*R466/S466,"n.a.")),"n.a.")</x:f>
        <x:v>74332797.99999996</x:v>
      </x:c>
      <x:c r="G466" s="17" t="n">
        <x:f>IF(AND(ISNUMBER(E466),ISNUMBER(F466)),E466-F466,"n.a.")</x:f>
        <x:v>-42572018.284980886</x:v>
      </x:c>
      <x:c r="H466" s="15" t="n">
        <x:f>IF(AND(ISNUMBER(E466),ISNUMBER(F466),F466&gt;0),(E466-F466)/F466,"n.a.")</x:f>
        <x:v>-0.5727218594002195</x:v>
      </x:c>
      <x:c r="I466" s="19" t="n">
        <x:f>IF(ISNUMBER(H466),ABS(H466),"n.a.")</x:f>
        <x:v>0.5727218594002195</x:v>
      </x:c>
      <x:c r="J466" s="2" t="str">
        <x:v>available</x:v>
      </x:c>
      <x:c r="K466" s="2" t="n">
        <x:v>1</x:v>
      </x:c>
      <x:c r="L466" s="13" t="b">
        <x:v>0</x:v>
      </x:c>
      <x:c r="M466" s="13" t="b">
        <x:v>1</x:v>
      </x:c>
      <x:c r="N466" s="2" t="str">
        <x:v>historical source estimate</x:v>
      </x:c>
      <x:c r="O466" s="2" t="str"/>
      <x:c r="P466" s="2" t="str">
        <x:v>horizontal built-up surface</x:v>
      </x:c>
      <x:c r="Q466" s="2" t="str">
        <x:v>m2</x:v>
      </x:c>
      <x:c r="R466" s="17" t="n">
        <x:v>74332798</x:v>
      </x:c>
      <x:c r="S466" s="17" t="n">
        <x:v>45298098.33</x:v>
      </x:c>
      <x:c r="T466" s="18" t="n">
        <x:v>0.9999999999999996</x:v>
      </x:c>
      <x:c r="U466" s="17" t="n">
        <x:v>45298098.329999976</x:v>
      </x:c>
      <x:c r="V466" s="2" t="str">
        <x:v>Area equivalent = model2020 * source surface / TEMPO2020 footprint</x:v>
      </x:c>
      <x:c r="W466" s="2" t="str">
        <x:v>legacy epoch_status=observed; not exact acquisition proof</x:v>
      </x:c>
      <x:c r="X466" s="2" t="str">
        <x:v>https://human-settlement.emergency.copernicus.eu/ghs_buS2023.php</x:v>
      </x:c>
    </x:row>
    <x:row r="467" ht="23" customHeight="1">
      <x:c r="A467" s="2" t="str">
        <x:v>ESP</x:v>
      </x:c>
      <x:c r="B467" s="2" t="str">
        <x:v>Spain (Kingdom of)</x:v>
      </x:c>
      <x:c r="C467" s="2" t="n">
        <x:v>2015</x:v>
      </x:c>
      <x:c r="D467" s="2" t="str">
        <x:v>GHSL_SURFACE</x:v>
      </x:c>
      <x:c r="E467" s="17" t="n">
        <x:v>3537491129.653378</x:v>
      </x:c>
      <x:c r="F467" s="17" t="n">
        <x:f>IF(AND(M467,ISNUMBER(R467)),IF(D467="TEMPO_PROXY",R467,IF(AND(ISNUMBER(S467),S467&gt;0,ISNUMBER(U467)),U467*R467/S467,"n.a.")),"n.a.")</x:f>
        <x:v>4747035655.88385</x:v>
      </x:c>
      <x:c r="G467" s="17" t="n">
        <x:f>IF(AND(ISNUMBER(E467),ISNUMBER(F467)),E467-F467,"n.a.")</x:f>
        <x:v>-1209544526.230472</x:v>
      </x:c>
      <x:c r="H467" s="15" t="n">
        <x:f>IF(AND(ISNUMBER(E467),ISNUMBER(F467),F467&gt;0),(E467-F467)/F467,"n.a.")</x:f>
        <x:v>-0.254799966528852</x:v>
      </x:c>
      <x:c r="I467" s="19" t="n">
        <x:f>IF(ISNUMBER(H467),ABS(H467),"n.a.")</x:f>
        <x:v>0.254799966528852</x:v>
      </x:c>
      <x:c r="J467" s="2" t="str">
        <x:v>available</x:v>
      </x:c>
      <x:c r="K467" s="2" t="n">
        <x:v>1</x:v>
      </x:c>
      <x:c r="L467" s="13" t="b">
        <x:v>0</x:v>
      </x:c>
      <x:c r="M467" s="13" t="b">
        <x:v>1</x:v>
      </x:c>
      <x:c r="N467" s="2" t="str">
        <x:v>historical source estimate</x:v>
      </x:c>
      <x:c r="O467" s="2" t="str"/>
      <x:c r="P467" s="2" t="str">
        <x:v>horizontal built-up surface</x:v>
      </x:c>
      <x:c r="Q467" s="2" t="str">
        <x:v>m2</x:v>
      </x:c>
      <x:c r="R467" s="17" t="n">
        <x:v>4215107755</x:v>
      </x:c>
      <x:c r="S467" s="17" t="n">
        <x:v>3279628822.71</x:v>
      </x:c>
      <x:c r="T467" s="18" t="n">
        <x:v>1.1261955640998436</x:v>
      </x:c>
      <x:c r="U467" s="17" t="n">
        <x:v>3693503432.029994</x:v>
      </x:c>
      <x:c r="V467" s="2" t="str">
        <x:v>Area equivalent = model2020 * source surface / TEMPO2020 footprint</x:v>
      </x:c>
      <x:c r="W467" s="2" t="str">
        <x:v>legacy epoch_status=observed; not exact acquisition proof</x:v>
      </x:c>
      <x:c r="X467" s="2" t="str">
        <x:v>https://human-settlement.emergency.copernicus.eu/ghs_buS2023.php</x:v>
      </x:c>
    </x:row>
    <x:row r="468" ht="23" customHeight="1">
      <x:c r="A468" s="2" t="str">
        <x:v>EST</x:v>
      </x:c>
      <x:c r="B468" s="2" t="str">
        <x:v>Estonia (Republic of)</x:v>
      </x:c>
      <x:c r="C468" s="2" t="n">
        <x:v>2015</x:v>
      </x:c>
      <x:c r="D468" s="2" t="str">
        <x:v>GHSL_SURFACE</x:v>
      </x:c>
      <x:c r="E468" s="17" t="n">
        <x:v>107839154.44477116</x:v>
      </x:c>
      <x:c r="F468" s="17" t="n">
        <x:f>IF(AND(M468,ISNUMBER(R468)),IF(D468="TEMPO_PROXY",R468,IF(AND(ISNUMBER(S468),S468&gt;0,ISNUMBER(U468)),U468*R468/S468,"n.a.")),"n.a.")</x:f>
        <x:v>181866495.00000015</x:v>
      </x:c>
      <x:c r="G468" s="17" t="n">
        <x:f>IF(AND(ISNUMBER(E468),ISNUMBER(F468)),E468-F468,"n.a.")</x:f>
        <x:v>-74027340.555229</x:v>
      </x:c>
      <x:c r="H468" s="15" t="n">
        <x:f>IF(AND(ISNUMBER(E468),ISNUMBER(F468),F468&gt;0),(E468-F468)/F468,"n.a.")</x:f>
        <x:v>-0.40704221277937386</x:v>
      </x:c>
      <x:c r="I468" s="19" t="n">
        <x:f>IF(ISNUMBER(H468),ABS(H468),"n.a.")</x:f>
        <x:v>0.40704221277937386</x:v>
      </x:c>
      <x:c r="J468" s="2" t="str">
        <x:v>available</x:v>
      </x:c>
      <x:c r="K468" s="2" t="n">
        <x:v>1</x:v>
      </x:c>
      <x:c r="L468" s="13" t="b">
        <x:v>0</x:v>
      </x:c>
      <x:c r="M468" s="13" t="b">
        <x:v>1</x:v>
      </x:c>
      <x:c r="N468" s="2" t="str">
        <x:v>historical source estimate</x:v>
      </x:c>
      <x:c r="O468" s="2" t="str"/>
      <x:c r="P468" s="2" t="str">
        <x:v>horizontal built-up surface</x:v>
      </x:c>
      <x:c r="Q468" s="2" t="str">
        <x:v>m2</x:v>
      </x:c>
      <x:c r="R468" s="17" t="n">
        <x:v>181866495</x:v>
      </x:c>
      <x:c r="S468" s="17" t="n">
        <x:v>113094705.37</x:v>
      </x:c>
      <x:c r="T468" s="18" t="n">
        <x:v>1.0000000000000009</x:v>
      </x:c>
      <x:c r="U468" s="17" t="n">
        <x:v>113094705.3700001</x:v>
      </x:c>
      <x:c r="V468" s="2" t="str">
        <x:v>Area equivalent = model2020 * source surface / TEMPO2020 footprint</x:v>
      </x:c>
      <x:c r="W468" s="2" t="str">
        <x:v>legacy epoch_status=observed; not exact acquisition proof</x:v>
      </x:c>
      <x:c r="X468" s="2" t="str">
        <x:v>https://human-settlement.emergency.copernicus.eu/ghs_buS2023.php</x:v>
      </x:c>
    </x:row>
    <x:row r="469" ht="23" customHeight="1">
      <x:c r="A469" s="2" t="str">
        <x:v>ETH</x:v>
      </x:c>
      <x:c r="B469" s="2" t="str">
        <x:v>Ethiopia (Federal Democratic Republic of)</x:v>
      </x:c>
      <x:c r="C469" s="2" t="n">
        <x:v>2015</x:v>
      </x:c>
      <x:c r="D469" s="2" t="str">
        <x:v>GHSL_SURFACE</x:v>
      </x:c>
      <x:c r="E469" s="17" t="n">
        <x:v>975794014.8213218</x:v>
      </x:c>
      <x:c r="F469" s="17" t="n">
        <x:f>IF(AND(M469,ISNUMBER(R469)),IF(D469="TEMPO_PROXY",R469,IF(AND(ISNUMBER(S469),S469&gt;0,ISNUMBER(U469)),U469*R469/S469,"n.a.")),"n.a.")</x:f>
        <x:v>1504067475.0000021</x:v>
      </x:c>
      <x:c r="G469" s="17" t="n">
        <x:f>IF(AND(ISNUMBER(E469),ISNUMBER(F469)),E469-F469,"n.a.")</x:f>
        <x:v>-528273460.1786803</x:v>
      </x:c>
      <x:c r="H469" s="15" t="n">
        <x:f>IF(AND(ISNUMBER(E469),ISNUMBER(F469),F469&gt;0),(E469-F469)/F469,"n.a.")</x:f>
        <x:v>-0.35122989424306217</x:v>
      </x:c>
      <x:c r="I469" s="19" t="n">
        <x:f>IF(ISNUMBER(H469),ABS(H469),"n.a.")</x:f>
        <x:v>0.35122989424306217</x:v>
      </x:c>
      <x:c r="J469" s="2" t="str">
        <x:v>available</x:v>
      </x:c>
      <x:c r="K469" s="2" t="n">
        <x:v>1</x:v>
      </x:c>
      <x:c r="L469" s="13" t="b">
        <x:v>0</x:v>
      </x:c>
      <x:c r="M469" s="13" t="b">
        <x:v>1</x:v>
      </x:c>
      <x:c r="N469" s="2" t="str">
        <x:v>historical source estimate</x:v>
      </x:c>
      <x:c r="O469" s="2" t="str"/>
      <x:c r="P469" s="2" t="str">
        <x:v>horizontal built-up surface</x:v>
      </x:c>
      <x:c r="Q469" s="2" t="str">
        <x:v>m2</x:v>
      </x:c>
      <x:c r="R469" s="17" t="n">
        <x:v>1504067475</x:v>
      </x:c>
      <x:c r="S469" s="17" t="n">
        <x:v>1660821510.71</x:v>
      </x:c>
      <x:c r="T469" s="18" t="n">
        <x:v>1.0000000000000013</x:v>
      </x:c>
      <x:c r="U469" s="17" t="n">
        <x:v>1660821510.7100024</x:v>
      </x:c>
      <x:c r="V469" s="2" t="str">
        <x:v>Area equivalent = model2020 * source surface / TEMPO2020 footprint</x:v>
      </x:c>
      <x:c r="W469" s="2" t="str">
        <x:v>legacy epoch_status=observed; not exact acquisition proof</x:v>
      </x:c>
      <x:c r="X469" s="2" t="str">
        <x:v>https://human-settlement.emergency.copernicus.eu/ghs_buS2023.php</x:v>
      </x:c>
    </x:row>
    <x:row r="470" ht="23" customHeight="1">
      <x:c r="A470" s="2" t="str">
        <x:v>FIN</x:v>
      </x:c>
      <x:c r="B470" s="2" t="str">
        <x:v>Finland (Republic of)</x:v>
      </x:c>
      <x:c r="C470" s="2" t="n">
        <x:v>2015</x:v>
      </x:c>
      <x:c r="D470" s="2" t="str">
        <x:v>GHSL_SURFACE</x:v>
      </x:c>
      <x:c r="E470" s="17" t="n">
        <x:v>584197324.5432632</x:v>
      </x:c>
      <x:c r="F470" s="17" t="n">
        <x:f>IF(AND(M470,ISNUMBER(R470)),IF(D470="TEMPO_PROXY",R470,IF(AND(ISNUMBER(S470),S470&gt;0,ISNUMBER(U470)),U470*R470/S470,"n.a.")),"n.a.")</x:f>
        <x:v>501495848.9999994</x:v>
      </x:c>
      <x:c r="G470" s="17" t="n">
        <x:f>IF(AND(ISNUMBER(E470),ISNUMBER(F470)),E470-F470,"n.a.")</x:f>
        <x:v>82701475.5432638</x:v>
      </x:c>
      <x:c r="H470" s="15" t="n">
        <x:f>IF(AND(ISNUMBER(E470),ISNUMBER(F470),F470&gt;0),(E470-F470)/F470,"n.a.")</x:f>
        <x:v>0.16490959139178019</x:v>
      </x:c>
      <x:c r="I470" s="19" t="n">
        <x:f>IF(ISNUMBER(H470),ABS(H470),"n.a.")</x:f>
        <x:v>0.16490959139178019</x:v>
      </x:c>
      <x:c r="J470" s="2" t="str">
        <x:v>available</x:v>
      </x:c>
      <x:c r="K470" s="2" t="n">
        <x:v>1</x:v>
      </x:c>
      <x:c r="L470" s="13" t="b">
        <x:v>0</x:v>
      </x:c>
      <x:c r="M470" s="13" t="b">
        <x:v>1</x:v>
      </x:c>
      <x:c r="N470" s="2" t="str">
        <x:v>historical source estimate</x:v>
      </x:c>
      <x:c r="O470" s="2" t="str"/>
      <x:c r="P470" s="2" t="str">
        <x:v>horizontal built-up surface</x:v>
      </x:c>
      <x:c r="Q470" s="2" t="str">
        <x:v>m2</x:v>
      </x:c>
      <x:c r="R470" s="17" t="n">
        <x:v>501495849</x:v>
      </x:c>
      <x:c r="S470" s="17" t="n">
        <x:v>615866742.34</x:v>
      </x:c>
      <x:c r="T470" s="18" t="n">
        <x:v>0.9999999999999989</x:v>
      </x:c>
      <x:c r="U470" s="17" t="n">
        <x:v>615866742.3399993</x:v>
      </x:c>
      <x:c r="V470" s="2" t="str">
        <x:v>Area equivalent = model2020 * source surface / TEMPO2020 footprint</x:v>
      </x:c>
      <x:c r="W470" s="2" t="str">
        <x:v>legacy epoch_status=observed; not exact acquisition proof</x:v>
      </x:c>
      <x:c r="X470" s="2" t="str">
        <x:v>https://human-settlement.emergency.copernicus.eu/ghs_buS2023.php</x:v>
      </x:c>
    </x:row>
    <x:row r="471" ht="23" customHeight="1">
      <x:c r="A471" s="2" t="str">
        <x:v>FJI</x:v>
      </x:c>
      <x:c r="B471" s="2" t="str">
        <x:v>Fiji (Republic of)</x:v>
      </x:c>
      <x:c r="C471" s="2" t="n">
        <x:v>2015</x:v>
      </x:c>
      <x:c r="D471" s="2" t="str">
        <x:v>GHSL_SURFACE</x:v>
      </x:c>
      <x:c r="E471" s="17" t="n">
        <x:v>33411339.28812197</x:v>
      </x:c>
      <x:c r="F471" s="17" t="n">
        <x:f>IF(AND(M471,ISNUMBER(R471)),IF(D471="TEMPO_PROXY",R471,IF(AND(ISNUMBER(S471),S471&gt;0,ISNUMBER(U471)),U471*R471/S471,"n.a.")),"n.a.")</x:f>
        <x:v>70158980</x:v>
      </x:c>
      <x:c r="G471" s="17" t="n">
        <x:f>IF(AND(ISNUMBER(E471),ISNUMBER(F471)),E471-F471,"n.a.")</x:f>
        <x:v>-36747640.71187803</x:v>
      </x:c>
      <x:c r="H471" s="15" t="n">
        <x:f>IF(AND(ISNUMBER(E471),ISNUMBER(F471),F471&gt;0),(E471-F471)/F471,"n.a.")</x:f>
        <x:v>-0.523776724118253</x:v>
      </x:c>
      <x:c r="I471" s="19" t="n">
        <x:f>IF(ISNUMBER(H471),ABS(H471),"n.a.")</x:f>
        <x:v>0.523776724118253</x:v>
      </x:c>
      <x:c r="J471" s="2" t="str">
        <x:v>available</x:v>
      </x:c>
      <x:c r="K471" s="2" t="n">
        <x:v>1</x:v>
      </x:c>
      <x:c r="L471" s="13" t="b">
        <x:v>0</x:v>
      </x:c>
      <x:c r="M471" s="13" t="b">
        <x:v>1</x:v>
      </x:c>
      <x:c r="N471" s="2" t="str">
        <x:v>historical source estimate</x:v>
      </x:c>
      <x:c r="O471" s="2" t="str"/>
      <x:c r="P471" s="2" t="str">
        <x:v>horizontal built-up surface</x:v>
      </x:c>
      <x:c r="Q471" s="2" t="str">
        <x:v>m2</x:v>
      </x:c>
      <x:c r="R471" s="17" t="n">
        <x:v>70158980</x:v>
      </x:c>
      <x:c r="S471" s="17" t="n">
        <x:v>37460168.12</x:v>
      </x:c>
      <x:c r="T471" s="18" t="n">
        <x:v>1</x:v>
      </x:c>
      <x:c r="U471" s="17" t="n">
        <x:v>37460168.12</x:v>
      </x:c>
      <x:c r="V471" s="2" t="str">
        <x:v>Area equivalent = model2020 * source surface / TEMPO2020 footprint</x:v>
      </x:c>
      <x:c r="W471" s="2" t="str">
        <x:v>legacy epoch_status=observed; not exact acquisition proof</x:v>
      </x:c>
      <x:c r="X471" s="2" t="str">
        <x:v>https://human-settlement.emergency.copernicus.eu/ghs_buS2023.php</x:v>
      </x:c>
    </x:row>
    <x:row r="472" ht="23" customHeight="1">
      <x:c r="A472" s="2" t="str">
        <x:v>FRA</x:v>
      </x:c>
      <x:c r="B472" s="2" t="str">
        <x:v>France (French Republic)</x:v>
      </x:c>
      <x:c r="C472" s="2" t="n">
        <x:v>2015</x:v>
      </x:c>
      <x:c r="D472" s="2" t="str">
        <x:v>GHSL_SURFACE</x:v>
      </x:c>
      <x:c r="E472" s="17" t="n">
        <x:v>5782378618.188952</x:v>
      </x:c>
      <x:c r="F472" s="17" t="n">
        <x:f>IF(AND(M472,ISNUMBER(R472)),IF(D472="TEMPO_PROXY",R472,IF(AND(ISNUMBER(S472),S472&gt;0,ISNUMBER(U472)),U472*R472/S472,"n.a.")),"n.a.")</x:f>
        <x:v>9710465287.000002</x:v>
      </x:c>
      <x:c r="G472" s="17" t="n">
        <x:f>IF(AND(ISNUMBER(E472),ISNUMBER(F472)),E472-F472,"n.a.")</x:f>
        <x:v>-3928086668.8110495</x:v>
      </x:c>
      <x:c r="H472" s="15" t="n">
        <x:f>IF(AND(ISNUMBER(E472),ISNUMBER(F472),F472&gt;0),(E472-F472)/F472,"n.a.")</x:f>
        <x:v>-0.4045209526746181</x:v>
      </x:c>
      <x:c r="I472" s="19" t="n">
        <x:f>IF(ISNUMBER(H472),ABS(H472),"n.a.")</x:f>
        <x:v>0.4045209526746181</x:v>
      </x:c>
      <x:c r="J472" s="2" t="str">
        <x:v>available</x:v>
      </x:c>
      <x:c r="K472" s="2" t="n">
        <x:v>1</x:v>
      </x:c>
      <x:c r="L472" s="13" t="b">
        <x:v>0</x:v>
      </x:c>
      <x:c r="M472" s="13" t="b">
        <x:v>1</x:v>
      </x:c>
      <x:c r="N472" s="2" t="str">
        <x:v>historical source estimate</x:v>
      </x:c>
      <x:c r="O472" s="2" t="str"/>
      <x:c r="P472" s="2" t="str">
        <x:v>horizontal built-up surface</x:v>
      </x:c>
      <x:c r="Q472" s="2" t="str">
        <x:v>m2</x:v>
      </x:c>
      <x:c r="R472" s="17" t="n">
        <x:v>9710465287</x:v>
      </x:c>
      <x:c r="S472" s="17" t="n">
        <x:v>6074526882.68</x:v>
      </x:c>
      <x:c r="T472" s="18" t="n">
        <x:v>1.0000000000000002</x:v>
      </x:c>
      <x:c r="U472" s="17" t="n">
        <x:v>6074526882.680001</x:v>
      </x:c>
      <x:c r="V472" s="2" t="str">
        <x:v>Area equivalent = model2020 * source surface / TEMPO2020 footprint</x:v>
      </x:c>
      <x:c r="W472" s="2" t="str">
        <x:v>legacy epoch_status=observed; not exact acquisition proof</x:v>
      </x:c>
      <x:c r="X472" s="2" t="str">
        <x:v>https://human-settlement.emergency.copernicus.eu/ghs_buS2023.php</x:v>
      </x:c>
    </x:row>
    <x:row r="473" ht="23" customHeight="1">
      <x:c r="A473" s="2" t="str">
        <x:v>FSM</x:v>
      </x:c>
      <x:c r="B473" s="2" t="str">
        <x:v>Micronesia (Federated States of)</x:v>
      </x:c>
      <x:c r="C473" s="2" t="n">
        <x:v>2015</x:v>
      </x:c>
      <x:c r="D473" s="2" t="str">
        <x:v>GHSL_SURFACE</x:v>
      </x:c>
      <x:c r="E473" s="17" t="n">
        <x:v>2128005.492623716</x:v>
      </x:c>
      <x:c r="F473" s="17" t="n">
        <x:f>IF(AND(M473,ISNUMBER(R473)),IF(D473="TEMPO_PROXY",R473,IF(AND(ISNUMBER(S473),S473&gt;0,ISNUMBER(U473)),U473*R473/S473,"n.a.")),"n.a.")</x:f>
        <x:v>3318711.9999999986</x:v>
      </x:c>
      <x:c r="G473" s="17" t="n">
        <x:f>IF(AND(ISNUMBER(E473),ISNUMBER(F473)),E473-F473,"n.a.")</x:f>
        <x:v>-1190706.5073762825</x:v>
      </x:c>
      <x:c r="H473" s="15" t="n">
        <x:f>IF(AND(ISNUMBER(E473),ISNUMBER(F473),F473&gt;0),(E473-F473)/F473,"n.a.")</x:f>
        <x:v>-0.35878572993868796</x:v>
      </x:c>
      <x:c r="I473" s="19" t="n">
        <x:f>IF(ISNUMBER(H473),ABS(H473),"n.a.")</x:f>
        <x:v>0.35878572993868796</x:v>
      </x:c>
      <x:c r="J473" s="2" t="str">
        <x:v>available</x:v>
      </x:c>
      <x:c r="K473" s="2" t="n">
        <x:v>1</x:v>
      </x:c>
      <x:c r="L473" s="13" t="b">
        <x:v>0</x:v>
      </x:c>
      <x:c r="M473" s="13" t="b">
        <x:v>1</x:v>
      </x:c>
      <x:c r="N473" s="2" t="str">
        <x:v>historical source estimate</x:v>
      </x:c>
      <x:c r="O473" s="2" t="str"/>
      <x:c r="P473" s="2" t="str">
        <x:v>horizontal built-up surface</x:v>
      </x:c>
      <x:c r="Q473" s="2" t="str">
        <x:v>m2</x:v>
      </x:c>
      <x:c r="R473" s="17" t="n">
        <x:v>3318712</x:v>
      </x:c>
      <x:c r="S473" s="17" t="n">
        <x:v>2177822.61</x:v>
      </x:c>
      <x:c r="T473" s="18" t="n">
        <x:v>0.9999999999999996</x:v>
      </x:c>
      <x:c r="U473" s="17" t="n">
        <x:v>2177822.609999999</x:v>
      </x:c>
      <x:c r="V473" s="2" t="str">
        <x:v>Area equivalent = model2020 * source surface / TEMPO2020 footprint</x:v>
      </x:c>
      <x:c r="W473" s="2" t="str">
        <x:v>legacy epoch_status=observed; not exact acquisition proof</x:v>
      </x:c>
      <x:c r="X473" s="2" t="str">
        <x:v>https://human-settlement.emergency.copernicus.eu/ghs_buS2023.php</x:v>
      </x:c>
    </x:row>
    <x:row r="474" ht="23" customHeight="1">
      <x:c r="A474" s="2" t="str">
        <x:v>GAB</x:v>
      </x:c>
      <x:c r="B474" s="2" t="str">
        <x:v>Gabon (Gabonese Republic)</x:v>
      </x:c>
      <x:c r="C474" s="2" t="n">
        <x:v>2015</x:v>
      </x:c>
      <x:c r="D474" s="2" t="str">
        <x:v>GHSL_SURFACE</x:v>
      </x:c>
      <x:c r="E474" s="17" t="n">
        <x:v>66275060.77817436</x:v>
      </x:c>
      <x:c r="F474" s="17" t="n">
        <x:f>IF(AND(M474,ISNUMBER(R474)),IF(D474="TEMPO_PROXY",R474,IF(AND(ISNUMBER(S474),S474&gt;0,ISNUMBER(U474)),U474*R474/S474,"n.a.")),"n.a.")</x:f>
        <x:v>130427374.99999991</x:v>
      </x:c>
      <x:c r="G474" s="17" t="n">
        <x:f>IF(AND(ISNUMBER(E474),ISNUMBER(F474)),E474-F474,"n.a.")</x:f>
        <x:v>-64152314.22182555</x:v>
      </x:c>
      <x:c r="H474" s="15" t="n">
        <x:f>IF(AND(ISNUMBER(E474),ISNUMBER(F474),F474&gt;0),(E474-F474)/F474,"n.a.")</x:f>
        <x:v>-0.4918623427162096</x:v>
      </x:c>
      <x:c r="I474" s="19" t="n">
        <x:f>IF(ISNUMBER(H474),ABS(H474),"n.a.")</x:f>
        <x:v>0.4918623427162096</x:v>
      </x:c>
      <x:c r="J474" s="2" t="str">
        <x:v>available</x:v>
      </x:c>
      <x:c r="K474" s="2" t="n">
        <x:v>1</x:v>
      </x:c>
      <x:c r="L474" s="13" t="b">
        <x:v>0</x:v>
      </x:c>
      <x:c r="M474" s="13" t="b">
        <x:v>1</x:v>
      </x:c>
      <x:c r="N474" s="2" t="str">
        <x:v>historical source estimate</x:v>
      </x:c>
      <x:c r="O474" s="2" t="str"/>
      <x:c r="P474" s="2" t="str">
        <x:v>horizontal built-up surface</x:v>
      </x:c>
      <x:c r="Q474" s="2" t="str">
        <x:v>m2</x:v>
      </x:c>
      <x:c r="R474" s="17" t="n">
        <x:v>130427375</x:v>
      </x:c>
      <x:c r="S474" s="17" t="n">
        <x:v>73743642.56</x:v>
      </x:c>
      <x:c r="T474" s="18" t="n">
        <x:v>0.9999999999999994</x:v>
      </x:c>
      <x:c r="U474" s="17" t="n">
        <x:v>73743642.55999996</x:v>
      </x:c>
      <x:c r="V474" s="2" t="str">
        <x:v>Area equivalent = model2020 * source surface / TEMPO2020 footprint</x:v>
      </x:c>
      <x:c r="W474" s="2" t="str">
        <x:v>legacy epoch_status=observed; not exact acquisition proof</x:v>
      </x:c>
      <x:c r="X474" s="2" t="str">
        <x:v>https://human-settlement.emergency.copernicus.eu/ghs_buS2023.php</x:v>
      </x:c>
    </x:row>
    <x:row r="475" ht="23" customHeight="1">
      <x:c r="A475" s="2" t="str">
        <x:v>GBR</x:v>
      </x:c>
      <x:c r="B475" s="2" t="str">
        <x:v>United Kingdom of Great Britain and Northern Ireland</x:v>
      </x:c>
      <x:c r="C475" s="2" t="n">
        <x:v>2015</x:v>
      </x:c>
      <x:c r="D475" s="2" t="str">
        <x:v>GHSL_SURFACE</x:v>
      </x:c>
      <x:c r="E475" s="17" t="n">
        <x:v>3281370012.838597</x:v>
      </x:c>
      <x:c r="F475" s="17" t="n">
        <x:f>IF(AND(M475,ISNUMBER(R475)),IF(D475="TEMPO_PROXY",R475,IF(AND(ISNUMBER(S475),S475&gt;0,ISNUMBER(U475)),U475*R475/S475,"n.a.")),"n.a.")</x:f>
        <x:v>5417606175.877849</x:v>
      </x:c>
      <x:c r="G475" s="17" t="n">
        <x:f>IF(AND(ISNUMBER(E475),ISNUMBER(F475)),E475-F475,"n.a.")</x:f>
        <x:v>-2136236163.0392518</x:v>
      </x:c>
      <x:c r="H475" s="15" t="n">
        <x:f>IF(AND(ISNUMBER(E475),ISNUMBER(F475),F475&gt;0),(E475-F475)/F475,"n.a.")</x:f>
        <x:v>-0.3943136680091192</x:v>
      </x:c>
      <x:c r="I475" s="19" t="n">
        <x:f>IF(ISNUMBER(H475),ABS(H475),"n.a.")</x:f>
        <x:v>0.3943136680091192</x:v>
      </x:c>
      <x:c r="J475" s="2" t="str">
        <x:v>available</x:v>
      </x:c>
      <x:c r="K475" s="2" t="n">
        <x:v>1</x:v>
      </x:c>
      <x:c r="L475" s="13" t="b">
        <x:v>0</x:v>
      </x:c>
      <x:c r="M475" s="13" t="b">
        <x:v>1</x:v>
      </x:c>
      <x:c r="N475" s="2" t="str">
        <x:v>historical source estimate</x:v>
      </x:c>
      <x:c r="O475" s="2" t="str"/>
      <x:c r="P475" s="2" t="str">
        <x:v>horizontal built-up surface</x:v>
      </x:c>
      <x:c r="Q475" s="2" t="str">
        <x:v>m2</x:v>
      </x:c>
      <x:c r="R475" s="17" t="n">
        <x:v>5389817688</x:v>
      </x:c>
      <x:c r="S475" s="17" t="n">
        <x:v>3400930204.99</x:v>
      </x:c>
      <x:c r="T475" s="18" t="n">
        <x:v>1.0051557380019953</x:v>
      </x:c>
      <x:c r="U475" s="17" t="n">
        <x:v>3418464510.0900006</x:v>
      </x:c>
      <x:c r="V475" s="2" t="str">
        <x:v>Area equivalent = model2020 * source surface / TEMPO2020 footprint</x:v>
      </x:c>
      <x:c r="W475" s="2" t="str">
        <x:v>legacy epoch_status=observed; not exact acquisition proof</x:v>
      </x:c>
      <x:c r="X475" s="2" t="str">
        <x:v>https://human-settlement.emergency.copernicus.eu/ghs_buS2023.php</x:v>
      </x:c>
    </x:row>
    <x:row r="476" ht="23" customHeight="1">
      <x:c r="A476" s="2" t="str">
        <x:v>GEO</x:v>
      </x:c>
      <x:c r="B476" s="2" t="str">
        <x:v>Georgia</x:v>
      </x:c>
      <x:c r="C476" s="2" t="n">
        <x:v>2015</x:v>
      </x:c>
      <x:c r="D476" s="2" t="str">
        <x:v>GHSL_SURFACE</x:v>
      </x:c>
      <x:c r="E476" s="17" t="n">
        <x:v>231517997.01246288</x:v>
      </x:c>
      <x:c r="F476" s="17" t="n">
        <x:f>IF(AND(M476,ISNUMBER(R476)),IF(D476="TEMPO_PROXY",R476,IF(AND(ISNUMBER(S476),S476&gt;0,ISNUMBER(U476)),U476*R476/S476,"n.a.")),"n.a.")</x:f>
        <x:v>470152504.00000036</x:v>
      </x:c>
      <x:c r="G476" s="17" t="n">
        <x:f>IF(AND(ISNUMBER(E476),ISNUMBER(F476)),E476-F476,"n.a.")</x:f>
        <x:v>-238634506.98753747</x:v>
      </x:c>
      <x:c r="H476" s="15" t="n">
        <x:f>IF(AND(ISNUMBER(E476),ISNUMBER(F476),F476&gt;0),(E476-F476)/F476,"n.a.")</x:f>
        <x:v>-0.5075682995565568</x:v>
      </x:c>
      <x:c r="I476" s="19" t="n">
        <x:f>IF(ISNUMBER(H476),ABS(H476),"n.a.")</x:f>
        <x:v>0.5075682995565568</x:v>
      </x:c>
      <x:c r="J476" s="2" t="str">
        <x:v>available</x:v>
      </x:c>
      <x:c r="K476" s="2" t="n">
        <x:v>1</x:v>
      </x:c>
      <x:c r="L476" s="13" t="b">
        <x:v>0</x:v>
      </x:c>
      <x:c r="M476" s="13" t="b">
        <x:v>1</x:v>
      </x:c>
      <x:c r="N476" s="2" t="str">
        <x:v>historical source estimate</x:v>
      </x:c>
      <x:c r="O476" s="2" t="str"/>
      <x:c r="P476" s="2" t="str">
        <x:v>horizontal built-up surface</x:v>
      </x:c>
      <x:c r="Q476" s="2" t="str">
        <x:v>m2</x:v>
      </x:c>
      <x:c r="R476" s="17" t="n">
        <x:v>470152504</x:v>
      </x:c>
      <x:c r="S476" s="17" t="n">
        <x:v>242256071.04</x:v>
      </x:c>
      <x:c r="T476" s="18" t="n">
        <x:v>1.0000000000000007</x:v>
      </x:c>
      <x:c r="U476" s="17" t="n">
        <x:v>242256071.04000017</x:v>
      </x:c>
      <x:c r="V476" s="2" t="str">
        <x:v>Area equivalent = model2020 * source surface / TEMPO2020 footprint</x:v>
      </x:c>
      <x:c r="W476" s="2" t="str">
        <x:v>legacy epoch_status=observed; not exact acquisition proof</x:v>
      </x:c>
      <x:c r="X476" s="2" t="str">
        <x:v>https://human-settlement.emergency.copernicus.eu/ghs_buS2023.php</x:v>
      </x:c>
    </x:row>
    <x:row r="477" ht="23" customHeight="1">
      <x:c r="A477" s="2" t="str">
        <x:v>GHA</x:v>
      </x:c>
      <x:c r="B477" s="2" t="str">
        <x:v>Ghana (Republic of)</x:v>
      </x:c>
      <x:c r="C477" s="2" t="n">
        <x:v>2015</x:v>
      </x:c>
      <x:c r="D477" s="2" t="str">
        <x:v>GHSL_SURFACE</x:v>
      </x:c>
      <x:c r="E477" s="17" t="n">
        <x:v>867754316.8806722</x:v>
      </x:c>
      <x:c r="F477" s="17" t="n">
        <x:f>IF(AND(M477,ISNUMBER(R477)),IF(D477="TEMPO_PROXY",R477,IF(AND(ISNUMBER(S477),S477&gt;0,ISNUMBER(U477)),U477*R477/S477,"n.a.")),"n.a.")</x:f>
        <x:v>1754027640.9999998</x:v>
      </x:c>
      <x:c r="G477" s="17" t="n">
        <x:f>IF(AND(ISNUMBER(E477),ISNUMBER(F477)),E477-F477,"n.a.")</x:f>
        <x:v>-886273324.1193275</x:v>
      </x:c>
      <x:c r="H477" s="15" t="n">
        <x:f>IF(AND(ISNUMBER(E477),ISNUMBER(F477),F477&gt;0),(E477-F477)/F477,"n.a.")</x:f>
        <x:v>-0.5052789952694523</x:v>
      </x:c>
      <x:c r="I477" s="19" t="n">
        <x:f>IF(ISNUMBER(H477),ABS(H477),"n.a.")</x:f>
        <x:v>0.5052789952694523</x:v>
      </x:c>
      <x:c r="J477" s="2" t="str">
        <x:v>available</x:v>
      </x:c>
      <x:c r="K477" s="2" t="n">
        <x:v>1</x:v>
      </x:c>
      <x:c r="L477" s="13" t="b">
        <x:v>0</x:v>
      </x:c>
      <x:c r="M477" s="13" t="b">
        <x:v>1</x:v>
      </x:c>
      <x:c r="N477" s="2" t="str">
        <x:v>historical source estimate</x:v>
      </x:c>
      <x:c r="O477" s="2" t="str"/>
      <x:c r="P477" s="2" t="str">
        <x:v>horizontal built-up surface</x:v>
      </x:c>
      <x:c r="Q477" s="2" t="str">
        <x:v>m2</x:v>
      </x:c>
      <x:c r="R477" s="17" t="n">
        <x:v>1754027641</x:v>
      </x:c>
      <x:c r="S477" s="17" t="n">
        <x:v>958424622.62</x:v>
      </x:c>
      <x:c r="T477" s="18" t="n">
        <x:v>1</x:v>
      </x:c>
      <x:c r="U477" s="17" t="n">
        <x:v>958424622.62</x:v>
      </x:c>
      <x:c r="V477" s="2" t="str">
        <x:v>Area equivalent = model2020 * source surface / TEMPO2020 footprint</x:v>
      </x:c>
      <x:c r="W477" s="2" t="str">
        <x:v>legacy epoch_status=observed; not exact acquisition proof</x:v>
      </x:c>
      <x:c r="X477" s="2" t="str">
        <x:v>https://human-settlement.emergency.copernicus.eu/ghs_buS2023.php</x:v>
      </x:c>
    </x:row>
    <x:row r="478" ht="23" customHeight="1">
      <x:c r="A478" s="2" t="str">
        <x:v>GIN</x:v>
      </x:c>
      <x:c r="B478" s="2" t="str">
        <x:v>Guinea (Republic of)</x:v>
      </x:c>
      <x:c r="C478" s="2" t="n">
        <x:v>2015</x:v>
      </x:c>
      <x:c r="D478" s="2" t="str">
        <x:v>GHSL_SURFACE</x:v>
      </x:c>
      <x:c r="E478" s="17" t="n">
        <x:v>253265001.86701941</x:v>
      </x:c>
      <x:c r="F478" s="17" t="n">
        <x:f>IF(AND(M478,ISNUMBER(R478)),IF(D478="TEMPO_PROXY",R478,IF(AND(ISNUMBER(S478),S478&gt;0,ISNUMBER(U478)),U478*R478/S478,"n.a.")),"n.a.")</x:f>
        <x:v>595957052.999999</x:v>
      </x:c>
      <x:c r="G478" s="17" t="n">
        <x:f>IF(AND(ISNUMBER(E478),ISNUMBER(F478)),E478-F478,"n.a.")</x:f>
        <x:v>-342692051.13297963</x:v>
      </x:c>
      <x:c r="H478" s="15" t="n">
        <x:f>IF(AND(ISNUMBER(E478),ISNUMBER(F478),F478&gt;0),(E478-F478)/F478,"n.a.")</x:f>
        <x:v>-0.5750280987663388</x:v>
      </x:c>
      <x:c r="I478" s="19" t="n">
        <x:f>IF(ISNUMBER(H478),ABS(H478),"n.a.")</x:f>
        <x:v>0.5750280987663388</x:v>
      </x:c>
      <x:c r="J478" s="2" t="str">
        <x:v>available</x:v>
      </x:c>
      <x:c r="K478" s="2" t="n">
        <x:v>1</x:v>
      </x:c>
      <x:c r="L478" s="13" t="b">
        <x:v>0</x:v>
      </x:c>
      <x:c r="M478" s="13" t="b">
        <x:v>1</x:v>
      </x:c>
      <x:c r="N478" s="2" t="str">
        <x:v>historical source estimate</x:v>
      </x:c>
      <x:c r="O478" s="2" t="str"/>
      <x:c r="P478" s="2" t="str">
        <x:v>horizontal built-up surface</x:v>
      </x:c>
      <x:c r="Q478" s="2" t="str">
        <x:v>m2</x:v>
      </x:c>
      <x:c r="R478" s="17" t="n">
        <x:v>595957053</x:v>
      </x:c>
      <x:c r="S478" s="17" t="n">
        <x:v>277637578.23</x:v>
      </x:c>
      <x:c r="T478" s="18" t="n">
        <x:v>0.9999999999999983</x:v>
      </x:c>
      <x:c r="U478" s="17" t="n">
        <x:v>277637578.22999954</x:v>
      </x:c>
      <x:c r="V478" s="2" t="str">
        <x:v>Area equivalent = model2020 * source surface / TEMPO2020 footprint</x:v>
      </x:c>
      <x:c r="W478" s="2" t="str">
        <x:v>legacy epoch_status=observed; not exact acquisition proof</x:v>
      </x:c>
      <x:c r="X478" s="2" t="str">
        <x:v>https://human-settlement.emergency.copernicus.eu/ghs_buS2023.php</x:v>
      </x:c>
    </x:row>
    <x:row r="479" ht="23" customHeight="1">
      <x:c r="A479" s="2" t="str">
        <x:v>GMB</x:v>
      </x:c>
      <x:c r="B479" s="2" t="str">
        <x:v>Gambia (Republic of the)</x:v>
      </x:c>
      <x:c r="C479" s="2" t="n">
        <x:v>2015</x:v>
      </x:c>
      <x:c r="D479" s="2" t="str">
        <x:v>GHSL_SURFACE</x:v>
      </x:c>
      <x:c r="E479" s="17" t="n">
        <x:v>54523887.232732646</x:v>
      </x:c>
      <x:c r="F479" s="17" t="n">
        <x:f>IF(AND(M479,ISNUMBER(R479)),IF(D479="TEMPO_PROXY",R479,IF(AND(ISNUMBER(S479),S479&gt;0,ISNUMBER(U479)),U479*R479/S479,"n.a.")),"n.a.")</x:f>
        <x:v>107830293.99999984</x:v>
      </x:c>
      <x:c r="G479" s="17" t="n">
        <x:f>IF(AND(ISNUMBER(E479),ISNUMBER(F479)),E479-F479,"n.a.")</x:f>
        <x:v>-53306406.76726719</x:v>
      </x:c>
      <x:c r="H479" s="15" t="n">
        <x:f>IF(AND(ISNUMBER(E479),ISNUMBER(F479),F479&gt;0),(E479-F479)/F479,"n.a.")</x:f>
        <x:v>-0.4943546455253778</x:v>
      </x:c>
      <x:c r="I479" s="19" t="n">
        <x:f>IF(ISNUMBER(H479),ABS(H479),"n.a.")</x:f>
        <x:v>0.4943546455253778</x:v>
      </x:c>
      <x:c r="J479" s="2" t="str">
        <x:v>available</x:v>
      </x:c>
      <x:c r="K479" s="2" t="n">
        <x:v>1</x:v>
      </x:c>
      <x:c r="L479" s="13" t="b">
        <x:v>0</x:v>
      </x:c>
      <x:c r="M479" s="13" t="b">
        <x:v>1</x:v>
      </x:c>
      <x:c r="N479" s="2" t="str">
        <x:v>historical source estimate</x:v>
      </x:c>
      <x:c r="O479" s="2" t="str"/>
      <x:c r="P479" s="2" t="str">
        <x:v>horizontal built-up surface</x:v>
      </x:c>
      <x:c r="Q479" s="2" t="str">
        <x:v>m2</x:v>
      </x:c>
      <x:c r="R479" s="17" t="n">
        <x:v>107830294</x:v>
      </x:c>
      <x:c r="S479" s="17" t="n">
        <x:v>56875154.53</x:v>
      </x:c>
      <x:c r="T479" s="18" t="n">
        <x:v>0.9999999999999986</x:v>
      </x:c>
      <x:c r="U479" s="17" t="n">
        <x:v>56875154.52999992</x:v>
      </x:c>
      <x:c r="V479" s="2" t="str">
        <x:v>Area equivalent = model2020 * source surface / TEMPO2020 footprint</x:v>
      </x:c>
      <x:c r="W479" s="2" t="str">
        <x:v>legacy epoch_status=observed; not exact acquisition proof</x:v>
      </x:c>
      <x:c r="X479" s="2" t="str">
        <x:v>https://human-settlement.emergency.copernicus.eu/ghs_buS2023.php</x:v>
      </x:c>
    </x:row>
    <x:row r="480" ht="23" customHeight="1">
      <x:c r="A480" s="2" t="str">
        <x:v>GNB</x:v>
      </x:c>
      <x:c r="B480" s="2" t="str">
        <x:v>Guinea-Bissau (Republic of)</x:v>
      </x:c>
      <x:c r="C480" s="2" t="n">
        <x:v>2015</x:v>
      </x:c>
      <x:c r="D480" s="2" t="str">
        <x:v>GHSL_SURFACE</x:v>
      </x:c>
      <x:c r="E480" s="17" t="n">
        <x:v>46182866.527540356</x:v>
      </x:c>
      <x:c r="F480" s="17" t="n">
        <x:f>IF(AND(M480,ISNUMBER(R480)),IF(D480="TEMPO_PROXY",R480,IF(AND(ISNUMBER(S480),S480&gt;0,ISNUMBER(U480)),U480*R480/S480,"n.a.")),"n.a.")</x:f>
        <x:v>92134519.99999985</x:v>
      </x:c>
      <x:c r="G480" s="17" t="n">
        <x:f>IF(AND(ISNUMBER(E480),ISNUMBER(F480)),E480-F480,"n.a.")</x:f>
        <x:v>-45951653.472459495</x:v>
      </x:c>
      <x:c r="H480" s="15" t="n">
        <x:f>IF(AND(ISNUMBER(E480),ISNUMBER(F480),F480&gt;0),(E480-F480)/F480,"n.a.")</x:f>
        <x:v>-0.4987452419837816</x:v>
      </x:c>
      <x:c r="I480" s="19" t="n">
        <x:f>IF(ISNUMBER(H480),ABS(H480),"n.a.")</x:f>
        <x:v>0.4987452419837816</x:v>
      </x:c>
      <x:c r="J480" s="2" t="str">
        <x:v>available</x:v>
      </x:c>
      <x:c r="K480" s="2" t="n">
        <x:v>1</x:v>
      </x:c>
      <x:c r="L480" s="13" t="b">
        <x:v>0</x:v>
      </x:c>
      <x:c r="M480" s="13" t="b">
        <x:v>1</x:v>
      </x:c>
      <x:c r="N480" s="2" t="str">
        <x:v>historical source estimate</x:v>
      </x:c>
      <x:c r="O480" s="2" t="str"/>
      <x:c r="P480" s="2" t="str">
        <x:v>horizontal built-up surface</x:v>
      </x:c>
      <x:c r="Q480" s="2" t="str">
        <x:v>m2</x:v>
      </x:c>
      <x:c r="R480" s="17" t="n">
        <x:v>92134520</x:v>
      </x:c>
      <x:c r="S480" s="17" t="n">
        <x:v>48952674.5</x:v>
      </x:c>
      <x:c r="T480" s="18" t="n">
        <x:v>0.9999999999999984</x:v>
      </x:c>
      <x:c r="U480" s="17" t="n">
        <x:v>48952674.499999925</x:v>
      </x:c>
      <x:c r="V480" s="2" t="str">
        <x:v>Area equivalent = model2020 * source surface / TEMPO2020 footprint</x:v>
      </x:c>
      <x:c r="W480" s="2" t="str">
        <x:v>legacy epoch_status=observed; not exact acquisition proof</x:v>
      </x:c>
      <x:c r="X480" s="2" t="str">
        <x:v>https://human-settlement.emergency.copernicus.eu/ghs_buS2023.php</x:v>
      </x:c>
    </x:row>
    <x:row r="481" ht="23" customHeight="1">
      <x:c r="A481" s="2" t="str">
        <x:v>GNQ</x:v>
      </x:c>
      <x:c r="B481" s="2" t="str">
        <x:v>Equatorial Guinea (Republic of)</x:v>
      </x:c>
      <x:c r="C481" s="2" t="n">
        <x:v>2015</x:v>
      </x:c>
      <x:c r="D481" s="2" t="str">
        <x:v>GHSL_SURFACE</x:v>
      </x:c>
      <x:c r="E481" s="17" t="n">
        <x:v>30500131.86462052</x:v>
      </x:c>
      <x:c r="F481" s="17" t="n">
        <x:f>IF(AND(M481,ISNUMBER(R481)),IF(D481="TEMPO_PROXY",R481,IF(AND(ISNUMBER(S481),S481&gt;0,ISNUMBER(U481)),U481*R481/S481,"n.a.")),"n.a.")</x:f>
        <x:v>49953731.999999925</x:v>
      </x:c>
      <x:c r="G481" s="17" t="n">
        <x:f>IF(AND(ISNUMBER(E481),ISNUMBER(F481)),E481-F481,"n.a.")</x:f>
        <x:v>-19453600.135379404</x:v>
      </x:c>
      <x:c r="H481" s="15" t="n">
        <x:f>IF(AND(ISNUMBER(E481),ISNUMBER(F481),F481&gt;0),(E481-F481)/F481,"n.a.")</x:f>
        <x:v>-0.38943236784349633</x:v>
      </x:c>
      <x:c r="I481" s="19" t="n">
        <x:f>IF(ISNUMBER(H481),ABS(H481),"n.a.")</x:f>
        <x:v>0.38943236784349633</x:v>
      </x:c>
      <x:c r="J481" s="2" t="str">
        <x:v>available</x:v>
      </x:c>
      <x:c r="K481" s="2" t="n">
        <x:v>1</x:v>
      </x:c>
      <x:c r="L481" s="13" t="b">
        <x:v>0</x:v>
      </x:c>
      <x:c r="M481" s="13" t="b">
        <x:v>1</x:v>
      </x:c>
      <x:c r="N481" s="2" t="str">
        <x:v>historical source estimate</x:v>
      </x:c>
      <x:c r="O481" s="2" t="str"/>
      <x:c r="P481" s="2" t="str">
        <x:v>horizontal built-up surface</x:v>
      </x:c>
      <x:c r="Q481" s="2" t="str">
        <x:v>m2</x:v>
      </x:c>
      <x:c r="R481" s="17" t="n">
        <x:v>49953732</x:v>
      </x:c>
      <x:c r="S481" s="17" t="n">
        <x:v>34102626.52</x:v>
      </x:c>
      <x:c r="T481" s="18" t="n">
        <x:v>0.9999999999999984</x:v>
      </x:c>
      <x:c r="U481" s="17" t="n">
        <x:v>34102626.51999995</x:v>
      </x:c>
      <x:c r="V481" s="2" t="str">
        <x:v>Area equivalent = model2020 * source surface / TEMPO2020 footprint</x:v>
      </x:c>
      <x:c r="W481" s="2" t="str">
        <x:v>legacy epoch_status=observed; not exact acquisition proof</x:v>
      </x:c>
      <x:c r="X481" s="2" t="str">
        <x:v>https://human-settlement.emergency.copernicus.eu/ghs_buS2023.php</x:v>
      </x:c>
    </x:row>
    <x:row r="482" ht="23" customHeight="1">
      <x:c r="A482" s="2" t="str">
        <x:v>GRC</x:v>
      </x:c>
      <x:c r="B482" s="2" t="str">
        <x:v>Greece (Hellenic Republic)</x:v>
      </x:c>
      <x:c r="C482" s="2" t="n">
        <x:v>2015</x:v>
      </x:c>
      <x:c r="D482" s="2" t="str">
        <x:v>GHSL_SURFACE</x:v>
      </x:c>
      <x:c r="E482" s="17" t="n">
        <x:v>826514330.7150826</x:v>
      </x:c>
      <x:c r="F482" s="17" t="n">
        <x:f>IF(AND(M482,ISNUMBER(R482)),IF(D482="TEMPO_PROXY",R482,IF(AND(ISNUMBER(S482),S482&gt;0,ISNUMBER(U482)),U482*R482/S482,"n.a.")),"n.a.")</x:f>
        <x:v>1121279550.0000012</x:v>
      </x:c>
      <x:c r="G482" s="17" t="n">
        <x:f>IF(AND(ISNUMBER(E482),ISNUMBER(F482)),E482-F482,"n.a.")</x:f>
        <x:v>-294765219.28491855</x:v>
      </x:c>
      <x:c r="H482" s="15" t="n">
        <x:f>IF(AND(ISNUMBER(E482),ISNUMBER(F482),F482&gt;0),(E482-F482)/F482,"n.a.")</x:f>
        <x:v>-0.2628828995275248</x:v>
      </x:c>
      <x:c r="I482" s="19" t="n">
        <x:f>IF(ISNUMBER(H482),ABS(H482),"n.a.")</x:f>
        <x:v>0.2628828995275248</x:v>
      </x:c>
      <x:c r="J482" s="2" t="str">
        <x:v>available</x:v>
      </x:c>
      <x:c r="K482" s="2" t="n">
        <x:v>1</x:v>
      </x:c>
      <x:c r="L482" s="13" t="b">
        <x:v>0</x:v>
      </x:c>
      <x:c r="M482" s="13" t="b">
        <x:v>1</x:v>
      </x:c>
      <x:c r="N482" s="2" t="str">
        <x:v>historical source estimate</x:v>
      </x:c>
      <x:c r="O482" s="2" t="str"/>
      <x:c r="P482" s="2" t="str">
        <x:v>horizontal built-up surface</x:v>
      </x:c>
      <x:c r="Q482" s="2" t="str">
        <x:v>m2</x:v>
      </x:c>
      <x:c r="R482" s="17" t="n">
        <x:v>1121279550</x:v>
      </x:c>
      <x:c r="S482" s="17" t="n">
        <x:v>853851739.67</x:v>
      </x:c>
      <x:c r="T482" s="18" t="n">
        <x:v>1.0000000000000009</x:v>
      </x:c>
      <x:c r="U482" s="17" t="n">
        <x:v>853851739.6700008</x:v>
      </x:c>
      <x:c r="V482" s="2" t="str">
        <x:v>Area equivalent = model2020 * source surface / TEMPO2020 footprint</x:v>
      </x:c>
      <x:c r="W482" s="2" t="str">
        <x:v>legacy epoch_status=observed; not exact acquisition proof</x:v>
      </x:c>
      <x:c r="X482" s="2" t="str">
        <x:v>https://human-settlement.emergency.copernicus.eu/ghs_buS2023.php</x:v>
      </x:c>
    </x:row>
    <x:row r="483" ht="23" customHeight="1">
      <x:c r="A483" s="2" t="str">
        <x:v>GRD</x:v>
      </x:c>
      <x:c r="B483" s="2" t="str">
        <x:v>Grenada</x:v>
      </x:c>
      <x:c r="C483" s="2" t="n">
        <x:v>2015</x:v>
      </x:c>
      <x:c r="D483" s="2" t="str">
        <x:v>GHSL_SURFACE</x:v>
      </x:c>
      <x:c r="E483" s="17" t="n">
        <x:v>5896774.169807444</x:v>
      </x:c>
      <x:c r="F483" s="17" t="n">
        <x:f>IF(AND(M483,ISNUMBER(R483)),IF(D483="TEMPO_PROXY",R483,IF(AND(ISNUMBER(S483),S483&gt;0,ISNUMBER(U483)),U483*R483/S483,"n.a.")),"n.a.")</x:f>
        <x:v>7653374.9999999935</x:v>
      </x:c>
      <x:c r="G483" s="17" t="n">
        <x:f>IF(AND(ISNUMBER(E483),ISNUMBER(F483)),E483-F483,"n.a.")</x:f>
        <x:v>-1756600.8301925492</x:v>
      </x:c>
      <x:c r="H483" s="15" t="n">
        <x:f>IF(AND(ISNUMBER(E483),ISNUMBER(F483),F483&gt;0),(E483-F483)/F483,"n.a.")</x:f>
        <x:v>-0.22951976483480171</x:v>
      </x:c>
      <x:c r="I483" s="19" t="n">
        <x:f>IF(ISNUMBER(H483),ABS(H483),"n.a.")</x:f>
        <x:v>0.22951976483480171</x:v>
      </x:c>
      <x:c r="J483" s="2" t="str">
        <x:v>available</x:v>
      </x:c>
      <x:c r="K483" s="2" t="n">
        <x:v>1</x:v>
      </x:c>
      <x:c r="L483" s="13" t="b">
        <x:v>0</x:v>
      </x:c>
      <x:c r="M483" s="13" t="b">
        <x:v>1</x:v>
      </x:c>
      <x:c r="N483" s="2" t="str">
        <x:v>historical source estimate</x:v>
      </x:c>
      <x:c r="O483" s="2" t="str"/>
      <x:c r="P483" s="2" t="str">
        <x:v>horizontal built-up surface</x:v>
      </x:c>
      <x:c r="Q483" s="2" t="str">
        <x:v>m2</x:v>
      </x:c>
      <x:c r="R483" s="17" t="n">
        <x:v>7653375</x:v>
      </x:c>
      <x:c r="S483" s="17" t="n">
        <x:v>6904998.42</x:v>
      </x:c>
      <x:c r="T483" s="18" t="n">
        <x:v>0.999999999999999</x:v>
      </x:c>
      <x:c r="U483" s="17" t="n">
        <x:v>6904998.419999993</x:v>
      </x:c>
      <x:c r="V483" s="2" t="str">
        <x:v>Area equivalent = model2020 * source surface / TEMPO2020 footprint</x:v>
      </x:c>
      <x:c r="W483" s="2" t="str">
        <x:v>legacy epoch_status=observed; not exact acquisition proof</x:v>
      </x:c>
      <x:c r="X483" s="2" t="str">
        <x:v>https://human-settlement.emergency.copernicus.eu/ghs_buS2023.php</x:v>
      </x:c>
    </x:row>
    <x:row r="484" ht="23" customHeight="1">
      <x:c r="A484" s="2" t="str">
        <x:v>GTM</x:v>
      </x:c>
      <x:c r="B484" s="2" t="str">
        <x:v>Guatemala (Republic of)</x:v>
      </x:c>
      <x:c r="C484" s="2" t="n">
        <x:v>2015</x:v>
      </x:c>
      <x:c r="D484" s="2" t="str">
        <x:v>GHSL_SURFACE</x:v>
      </x:c>
      <x:c r="E484" s="17" t="n">
        <x:v>499576793.66361964</x:v>
      </x:c>
      <x:c r="F484" s="17" t="n">
        <x:f>IF(AND(M484,ISNUMBER(R484)),IF(D484="TEMPO_PROXY",R484,IF(AND(ISNUMBER(S484),S484&gt;0,ISNUMBER(U484)),U484*R484/S484,"n.a.")),"n.a.")</x:f>
        <x:v>783572027.9999986</x:v>
      </x:c>
      <x:c r="G484" s="17" t="n">
        <x:f>IF(AND(ISNUMBER(E484),ISNUMBER(F484)),E484-F484,"n.a.")</x:f>
        <x:v>-283995234.33637893</x:v>
      </x:c>
      <x:c r="H484" s="15" t="n">
        <x:f>IF(AND(ISNUMBER(E484),ISNUMBER(F484),F484&gt;0),(E484-F484)/F484,"n.a.")</x:f>
        <x:v>-0.3624366671960621</x:v>
      </x:c>
      <x:c r="I484" s="19" t="n">
        <x:f>IF(ISNUMBER(H484),ABS(H484),"n.a.")</x:f>
        <x:v>0.3624366671960621</x:v>
      </x:c>
      <x:c r="J484" s="2" t="str">
        <x:v>available</x:v>
      </x:c>
      <x:c r="K484" s="2" t="n">
        <x:v>1</x:v>
      </x:c>
      <x:c r="L484" s="13" t="b">
        <x:v>0</x:v>
      </x:c>
      <x:c r="M484" s="13" t="b">
        <x:v>1</x:v>
      </x:c>
      <x:c r="N484" s="2" t="str">
        <x:v>historical source estimate</x:v>
      </x:c>
      <x:c r="O484" s="2" t="str"/>
      <x:c r="P484" s="2" t="str">
        <x:v>horizontal built-up surface</x:v>
      </x:c>
      <x:c r="Q484" s="2" t="str">
        <x:v>m2</x:v>
      </x:c>
      <x:c r="R484" s="17" t="n">
        <x:v>783572028</x:v>
      </x:c>
      <x:c r="S484" s="17" t="n">
        <x:v>599114028.81</x:v>
      </x:c>
      <x:c r="T484" s="18" t="n">
        <x:v>0.9999999999999982</x:v>
      </x:c>
      <x:c r="U484" s="17" t="n">
        <x:v>599114028.8099989</x:v>
      </x:c>
      <x:c r="V484" s="2" t="str">
        <x:v>Area equivalent = model2020 * source surface / TEMPO2020 footprint</x:v>
      </x:c>
      <x:c r="W484" s="2" t="str">
        <x:v>legacy epoch_status=observed; not exact acquisition proof</x:v>
      </x:c>
      <x:c r="X484" s="2" t="str">
        <x:v>https://human-settlement.emergency.copernicus.eu/ghs_buS2023.php</x:v>
      </x:c>
    </x:row>
    <x:row r="485" ht="23" customHeight="1">
      <x:c r="A485" s="2" t="str">
        <x:v>GUY</x:v>
      </x:c>
      <x:c r="B485" s="2" t="str">
        <x:v>Guyana (Co-operative Republic of)</x:v>
      </x:c>
      <x:c r="C485" s="2" t="n">
        <x:v>2015</x:v>
      </x:c>
      <x:c r="D485" s="2" t="str">
        <x:v>GHSL_SURFACE</x:v>
      </x:c>
      <x:c r="E485" s="17" t="n">
        <x:v>44014828.67558784</x:v>
      </x:c>
      <x:c r="F485" s="17" t="n">
        <x:f>IF(AND(M485,ISNUMBER(R485)),IF(D485="TEMPO_PROXY",R485,IF(AND(ISNUMBER(S485),S485&gt;0,ISNUMBER(U485)),U485*R485/S485,"n.a.")),"n.a.")</x:f>
        <x:v>52877886.00000003</x:v>
      </x:c>
      <x:c r="G485" s="17" t="n">
        <x:f>IF(AND(ISNUMBER(E485),ISNUMBER(F485)),E485-F485,"n.a.")</x:f>
        <x:v>-8863057.32441219</x:v>
      </x:c>
      <x:c r="H485" s="15" t="n">
        <x:f>IF(AND(ISNUMBER(E485),ISNUMBER(F485),F485&gt;0),(E485-F485)/F485,"n.a.")</x:f>
        <x:v>-0.16761368494217382</x:v>
      </x:c>
      <x:c r="I485" s="19" t="n">
        <x:f>IF(ISNUMBER(H485),ABS(H485),"n.a.")</x:f>
        <x:v>0.16761368494217382</x:v>
      </x:c>
      <x:c r="J485" s="2" t="str">
        <x:v>available</x:v>
      </x:c>
      <x:c r="K485" s="2" t="n">
        <x:v>1</x:v>
      </x:c>
      <x:c r="L485" s="13" t="b">
        <x:v>0</x:v>
      </x:c>
      <x:c r="M485" s="13" t="b">
        <x:v>1</x:v>
      </x:c>
      <x:c r="N485" s="2" t="str">
        <x:v>historical source estimate</x:v>
      </x:c>
      <x:c r="O485" s="2" t="str"/>
      <x:c r="P485" s="2" t="str">
        <x:v>horizontal built-up surface</x:v>
      </x:c>
      <x:c r="Q485" s="2" t="str">
        <x:v>m2</x:v>
      </x:c>
      <x:c r="R485" s="17" t="n">
        <x:v>52877886</x:v>
      </x:c>
      <x:c r="S485" s="17" t="n">
        <x:v>46462035.66</x:v>
      </x:c>
      <x:c r="T485" s="18" t="n">
        <x:v>1.0000000000000004</x:v>
      </x:c>
      <x:c r="U485" s="17" t="n">
        <x:v>46462035.66000002</x:v>
      </x:c>
      <x:c r="V485" s="2" t="str">
        <x:v>Area equivalent = model2020 * source surface / TEMPO2020 footprint</x:v>
      </x:c>
      <x:c r="W485" s="2" t="str">
        <x:v>legacy epoch_status=observed; not exact acquisition proof</x:v>
      </x:c>
      <x:c r="X485" s="2" t="str">
        <x:v>https://human-settlement.emergency.copernicus.eu/ghs_buS2023.php</x:v>
      </x:c>
    </x:row>
    <x:row r="486" ht="23" customHeight="1">
      <x:c r="A486" s="2" t="str">
        <x:v>HND</x:v>
      </x:c>
      <x:c r="B486" s="2" t="str">
        <x:v>Honduras (Republic of)</x:v>
      </x:c>
      <x:c r="C486" s="2" t="n">
        <x:v>2015</x:v>
      </x:c>
      <x:c r="D486" s="2" t="str">
        <x:v>GHSL_SURFACE</x:v>
      </x:c>
      <x:c r="E486" s="17" t="n">
        <x:v>261857176.83585</x:v>
      </x:c>
      <x:c r="F486" s="17" t="n">
        <x:f>IF(AND(M486,ISNUMBER(R486)),IF(D486="TEMPO_PROXY",R486,IF(AND(ISNUMBER(S486),S486&gt;0,ISNUMBER(U486)),U486*R486/S486,"n.a.")),"n.a.")</x:f>
        <x:v>443743086.0000003</x:v>
      </x:c>
      <x:c r="G486" s="17" t="n">
        <x:f>IF(AND(ISNUMBER(E486),ISNUMBER(F486)),E486-F486,"n.a.")</x:f>
        <x:v>-181885909.1641503</x:v>
      </x:c>
      <x:c r="H486" s="15" t="n">
        <x:f>IF(AND(ISNUMBER(E486),ISNUMBER(F486),F486&gt;0),(E486-F486)/F486,"n.a.")</x:f>
        <x:v>-0.4098901253960049</x:v>
      </x:c>
      <x:c r="I486" s="19" t="n">
        <x:f>IF(ISNUMBER(H486),ABS(H486),"n.a.")</x:f>
        <x:v>0.4098901253960049</x:v>
      </x:c>
      <x:c r="J486" s="2" t="str">
        <x:v>available</x:v>
      </x:c>
      <x:c r="K486" s="2" t="n">
        <x:v>1</x:v>
      </x:c>
      <x:c r="L486" s="13" t="b">
        <x:v>0</x:v>
      </x:c>
      <x:c r="M486" s="13" t="b">
        <x:v>1</x:v>
      </x:c>
      <x:c r="N486" s="2" t="str">
        <x:v>historical source estimate</x:v>
      </x:c>
      <x:c r="O486" s="2" t="str"/>
      <x:c r="P486" s="2" t="str">
        <x:v>horizontal built-up surface</x:v>
      </x:c>
      <x:c r="Q486" s="2" t="str">
        <x:v>m2</x:v>
      </x:c>
      <x:c r="R486" s="17" t="n">
        <x:v>443743086</x:v>
      </x:c>
      <x:c r="S486" s="17" t="n">
        <x:v>335660713.27</x:v>
      </x:c>
      <x:c r="T486" s="18" t="n">
        <x:v>1.0000000000000007</x:v>
      </x:c>
      <x:c r="U486" s="17" t="n">
        <x:v>335660713.2700002</x:v>
      </x:c>
      <x:c r="V486" s="2" t="str">
        <x:v>Area equivalent = model2020 * source surface / TEMPO2020 footprint</x:v>
      </x:c>
      <x:c r="W486" s="2" t="str">
        <x:v>legacy epoch_status=observed; not exact acquisition proof</x:v>
      </x:c>
      <x:c r="X486" s="2" t="str">
        <x:v>https://human-settlement.emergency.copernicus.eu/ghs_buS2023.php</x:v>
      </x:c>
    </x:row>
    <x:row r="487" ht="23" customHeight="1">
      <x:c r="A487" s="2" t="str">
        <x:v>HRV</x:v>
      </x:c>
      <x:c r="B487" s="2" t="str">
        <x:v>Croatia (Republic of)</x:v>
      </x:c>
      <x:c r="C487" s="2" t="n">
        <x:v>2015</x:v>
      </x:c>
      <x:c r="D487" s="2" t="str">
        <x:v>GHSL_SURFACE</x:v>
      </x:c>
      <x:c r="E487" s="17" t="n">
        <x:v>344650373.6507369</x:v>
      </x:c>
      <x:c r="F487" s="17" t="n">
        <x:f>IF(AND(M487,ISNUMBER(R487)),IF(D487="TEMPO_PROXY",R487,IF(AND(ISNUMBER(S487),S487&gt;0,ISNUMBER(U487)),U487*R487/S487,"n.a.")),"n.a.")</x:f>
        <x:v>474561905.9999992</x:v>
      </x:c>
      <x:c r="G487" s="17" t="n">
        <x:f>IF(AND(ISNUMBER(E487),ISNUMBER(F487)),E487-F487,"n.a.")</x:f>
        <x:v>-129911532.3492623</x:v>
      </x:c>
      <x:c r="H487" s="15" t="n">
        <x:f>IF(AND(ISNUMBER(E487),ISNUMBER(F487),F487&gt;0),(E487-F487)/F487,"n.a.")</x:f>
        <x:v>-0.2737504437392885</x:v>
      </x:c>
      <x:c r="I487" s="19" t="n">
        <x:f>IF(ISNUMBER(H487),ABS(H487),"n.a.")</x:f>
        <x:v>0.2737504437392885</x:v>
      </x:c>
      <x:c r="J487" s="2" t="str">
        <x:v>available</x:v>
      </x:c>
      <x:c r="K487" s="2" t="n">
        <x:v>1</x:v>
      </x:c>
      <x:c r="L487" s="13" t="b">
        <x:v>0</x:v>
      </x:c>
      <x:c r="M487" s="13" t="b">
        <x:v>1</x:v>
      </x:c>
      <x:c r="N487" s="2" t="str">
        <x:v>historical source estimate</x:v>
      </x:c>
      <x:c r="O487" s="2" t="str"/>
      <x:c r="P487" s="2" t="str">
        <x:v>horizontal built-up surface</x:v>
      </x:c>
      <x:c r="Q487" s="2" t="str">
        <x:v>m2</x:v>
      </x:c>
      <x:c r="R487" s="17" t="n">
        <x:v>474561906</x:v>
      </x:c>
      <x:c r="S487" s="17" t="n">
        <x:v>361520718.43</x:v>
      </x:c>
      <x:c r="T487" s="18" t="n">
        <x:v>0.9999999999999983</x:v>
      </x:c>
      <x:c r="U487" s="17" t="n">
        <x:v>361520718.4299994</x:v>
      </x:c>
      <x:c r="V487" s="2" t="str">
        <x:v>Area equivalent = model2020 * source surface / TEMPO2020 footprint</x:v>
      </x:c>
      <x:c r="W487" s="2" t="str">
        <x:v>legacy epoch_status=observed; not exact acquisition proof</x:v>
      </x:c>
      <x:c r="X487" s="2" t="str">
        <x:v>https://human-settlement.emergency.copernicus.eu/ghs_buS2023.php</x:v>
      </x:c>
    </x:row>
    <x:row r="488" ht="23" customHeight="1">
      <x:c r="A488" s="2" t="str">
        <x:v>HTI</x:v>
      </x:c>
      <x:c r="B488" s="2" t="str">
        <x:v>Haiti (Republic of)</x:v>
      </x:c>
      <x:c r="C488" s="2" t="n">
        <x:v>2015</x:v>
      </x:c>
      <x:c r="D488" s="2" t="str">
        <x:v>GHSL_SURFACE</x:v>
      </x:c>
      <x:c r="E488" s="17" t="n">
        <x:v>157168330.99131426</x:v>
      </x:c>
      <x:c r="F488" s="17" t="n">
        <x:f>IF(AND(M488,ISNUMBER(R488)),IF(D488="TEMPO_PROXY",R488,IF(AND(ISNUMBER(S488),S488&gt;0,ISNUMBER(U488)),U488*R488/S488,"n.a.")),"n.a.")</x:f>
        <x:v>240531060.0000003</x:v>
      </x:c>
      <x:c r="G488" s="17" t="n">
        <x:f>IF(AND(ISNUMBER(E488),ISNUMBER(F488)),E488-F488,"n.a.")</x:f>
        <x:v>-83362729.00868604</x:v>
      </x:c>
      <x:c r="H488" s="15" t="n">
        <x:f>IF(AND(ISNUMBER(E488),ISNUMBER(F488),F488&gt;0),(E488-F488)/F488,"n.a.")</x:f>
        <x:v>-0.3465778141446096</x:v>
      </x:c>
      <x:c r="I488" s="19" t="n">
        <x:f>IF(ISNUMBER(H488),ABS(H488),"n.a.")</x:f>
        <x:v>0.3465778141446096</x:v>
      </x:c>
      <x:c r="J488" s="2" t="str">
        <x:v>available</x:v>
      </x:c>
      <x:c r="K488" s="2" t="n">
        <x:v>1</x:v>
      </x:c>
      <x:c r="L488" s="13" t="b">
        <x:v>0</x:v>
      </x:c>
      <x:c r="M488" s="13" t="b">
        <x:v>1</x:v>
      </x:c>
      <x:c r="N488" s="2" t="str">
        <x:v>historical source estimate</x:v>
      </x:c>
      <x:c r="O488" s="2" t="str"/>
      <x:c r="P488" s="2" t="str">
        <x:v>horizontal built-up surface</x:v>
      </x:c>
      <x:c r="Q488" s="2" t="str">
        <x:v>m2</x:v>
      </x:c>
      <x:c r="R488" s="17" t="n">
        <x:v>240531060</x:v>
      </x:c>
      <x:c r="S488" s="17" t="n">
        <x:v>189002396.54</x:v>
      </x:c>
      <x:c r="T488" s="18" t="n">
        <x:v>1.000000000000001</x:v>
      </x:c>
      <x:c r="U488" s="17" t="n">
        <x:v>189002396.5400002</x:v>
      </x:c>
      <x:c r="V488" s="2" t="str">
        <x:v>Area equivalent = model2020 * source surface / TEMPO2020 footprint</x:v>
      </x:c>
      <x:c r="W488" s="2" t="str">
        <x:v>legacy epoch_status=observed; not exact acquisition proof</x:v>
      </x:c>
      <x:c r="X488" s="2" t="str">
        <x:v>https://human-settlement.emergency.copernicus.eu/ghs_buS2023.php</x:v>
      </x:c>
    </x:row>
    <x:row r="489" ht="23" customHeight="1">
      <x:c r="A489" s="2" t="str">
        <x:v>HUN</x:v>
      </x:c>
      <x:c r="B489" s="2" t="str">
        <x:v>Hungary</x:v>
      </x:c>
      <x:c r="C489" s="2" t="n">
        <x:v>2015</x:v>
      </x:c>
      <x:c r="D489" s="2" t="str">
        <x:v>GHSL_SURFACE</x:v>
      </x:c>
      <x:c r="E489" s="17" t="n">
        <x:v>820761043.9030477</x:v>
      </x:c>
      <x:c r="F489" s="17" t="n">
        <x:f>IF(AND(M489,ISNUMBER(R489)),IF(D489="TEMPO_PROXY",R489,IF(AND(ISNUMBER(S489),S489&gt;0,ISNUMBER(U489)),U489*R489/S489,"n.a.")),"n.a.")</x:f>
        <x:v>1250386594.000002</x:v>
      </x:c>
      <x:c r="G489" s="17" t="n">
        <x:f>IF(AND(ISNUMBER(E489),ISNUMBER(F489)),E489-F489,"n.a.")</x:f>
        <x:v>-429625550.0969542</x:v>
      </x:c>
      <x:c r="H489" s="15" t="n">
        <x:f>IF(AND(ISNUMBER(E489),ISNUMBER(F489),F489&gt;0),(E489-F489)/F489,"n.a.")</x:f>
        <x:v>-0.3435941749203955</x:v>
      </x:c>
      <x:c r="I489" s="19" t="n">
        <x:f>IF(ISNUMBER(H489),ABS(H489),"n.a.")</x:f>
        <x:v>0.3435941749203955</x:v>
      </x:c>
      <x:c r="J489" s="2" t="str">
        <x:v>available</x:v>
      </x:c>
      <x:c r="K489" s="2" t="n">
        <x:v>1</x:v>
      </x:c>
      <x:c r="L489" s="13" t="b">
        <x:v>0</x:v>
      </x:c>
      <x:c r="M489" s="13" t="b">
        <x:v>1</x:v>
      </x:c>
      <x:c r="N489" s="2" t="str">
        <x:v>historical source estimate</x:v>
      </x:c>
      <x:c r="O489" s="2" t="str"/>
      <x:c r="P489" s="2" t="str">
        <x:v>horizontal built-up surface</x:v>
      </x:c>
      <x:c r="Q489" s="2" t="str">
        <x:v>m2</x:v>
      </x:c>
      <x:c r="R489" s="17" t="n">
        <x:v>1250386594</x:v>
      </x:c>
      <x:c r="S489" s="17" t="n">
        <x:v>853072780.53</x:v>
      </x:c>
      <x:c r="T489" s="18" t="n">
        <x:v>1.0000000000000016</x:v>
      </x:c>
      <x:c r="U489" s="17" t="n">
        <x:v>853072780.5300013</x:v>
      </x:c>
      <x:c r="V489" s="2" t="str">
        <x:v>Area equivalent = model2020 * source surface / TEMPO2020 footprint</x:v>
      </x:c>
      <x:c r="W489" s="2" t="str">
        <x:v>legacy epoch_status=observed; not exact acquisition proof</x:v>
      </x:c>
      <x:c r="X489" s="2" t="str">
        <x:v>https://human-settlement.emergency.copernicus.eu/ghs_buS2023.php</x:v>
      </x:c>
    </x:row>
    <x:row r="490" ht="23" customHeight="1">
      <x:c r="A490" s="2" t="str">
        <x:v>IDN</x:v>
      </x:c>
      <x:c r="B490" s="2" t="str">
        <x:v>Indonesia (Republic of)</x:v>
      </x:c>
      <x:c r="C490" s="2" t="n">
        <x:v>2015</x:v>
      </x:c>
      <x:c r="D490" s="2" t="str">
        <x:v>GHSL_SURFACE</x:v>
      </x:c>
      <x:c r="E490" s="17" t="n">
        <x:v>10348556797.890797</x:v>
      </x:c>
      <x:c r="F490" s="17" t="n">
        <x:f>IF(AND(M490,ISNUMBER(R490)),IF(D490="TEMPO_PROXY",R490,IF(AND(ISNUMBER(S490),S490&gt;0,ISNUMBER(U490)),U490*R490/S490,"n.a.")),"n.a.")</x:f>
        <x:v>10024456952.999985</x:v>
      </x:c>
      <x:c r="G490" s="17" t="n">
        <x:f>IF(AND(ISNUMBER(E490),ISNUMBER(F490)),E490-F490,"n.a.")</x:f>
        <x:v>324099844.8908119</x:v>
      </x:c>
      <x:c r="H490" s="15" t="n">
        <x:f>IF(AND(ISNUMBER(E490),ISNUMBER(F490),F490&gt;0),(E490-F490)/F490,"n.a.")</x:f>
        <x:v>0.03233091292729026</x:v>
      </x:c>
      <x:c r="I490" s="19" t="n">
        <x:f>IF(ISNUMBER(H490),ABS(H490),"n.a.")</x:f>
        <x:v>0.03233091292729026</x:v>
      </x:c>
      <x:c r="J490" s="2" t="str">
        <x:v>available</x:v>
      </x:c>
      <x:c r="K490" s="2" t="n">
        <x:v>1</x:v>
      </x:c>
      <x:c r="L490" s="13" t="b">
        <x:v>0</x:v>
      </x:c>
      <x:c r="M490" s="13" t="b">
        <x:v>1</x:v>
      </x:c>
      <x:c r="N490" s="2" t="str">
        <x:v>historical source estimate</x:v>
      </x:c>
      <x:c r="O490" s="2" t="str"/>
      <x:c r="P490" s="2" t="str">
        <x:v>horizontal built-up surface</x:v>
      </x:c>
      <x:c r="Q490" s="2" t="str">
        <x:v>m2</x:v>
      </x:c>
      <x:c r="R490" s="17" t="n">
        <x:v>10024456953</x:v>
      </x:c>
      <x:c r="S490" s="17" t="n">
        <x:v>10794355074.09</x:v>
      </x:c>
      <x:c r="T490" s="18" t="n">
        <x:v>0.9999999999999986</x:v>
      </x:c>
      <x:c r="U490" s="17" t="n">
        <x:v>10794355074.089985</x:v>
      </x:c>
      <x:c r="V490" s="2" t="str">
        <x:v>Area equivalent = model2020 * source surface / TEMPO2020 footprint</x:v>
      </x:c>
      <x:c r="W490" s="2" t="str">
        <x:v>legacy epoch_status=observed; not exact acquisition proof</x:v>
      </x:c>
      <x:c r="X490" s="2" t="str">
        <x:v>https://human-settlement.emergency.copernicus.eu/ghs_buS2023.php</x:v>
      </x:c>
    </x:row>
    <x:row r="491" ht="23" customHeight="1">
      <x:c r="A491" s="2" t="str">
        <x:v>IND</x:v>
      </x:c>
      <x:c r="B491" s="2" t="str">
        <x:v>India (Republic of)</x:v>
      </x:c>
      <x:c r="C491" s="2" t="n">
        <x:v>2015</x:v>
      </x:c>
      <x:c r="D491" s="2" t="str">
        <x:v>GHSL_SURFACE</x:v>
      </x:c>
      <x:c r="E491" s="17" t="n">
        <x:v>23332628208.733402</x:v>
      </x:c>
      <x:c r="F491" s="17" t="n">
        <x:f>IF(AND(M491,ISNUMBER(R491)),IF(D491="TEMPO_PROXY",R491,IF(AND(ISNUMBER(S491),S491&gt;0,ISNUMBER(U491)),U491*R491/S491,"n.a.")),"n.a.")</x:f>
        <x:v>32342152980.00005</x:v>
      </x:c>
      <x:c r="G491" s="17" t="n">
        <x:f>IF(AND(ISNUMBER(E491),ISNUMBER(F491)),E491-F491,"n.a.")</x:f>
        <x:v>-9009524771.266647</x:v>
      </x:c>
      <x:c r="H491" s="15" t="n">
        <x:f>IF(AND(ISNUMBER(E491),ISNUMBER(F491),F491&gt;0),(E491-F491)/F491,"n.a.")</x:f>
        <x:v>-0.2785691100044581</x:v>
      </x:c>
      <x:c r="I491" s="19" t="n">
        <x:f>IF(ISNUMBER(H491),ABS(H491),"n.a.")</x:f>
        <x:v>0.2785691100044581</x:v>
      </x:c>
      <x:c r="J491" s="2" t="str">
        <x:v>available</x:v>
      </x:c>
      <x:c r="K491" s="2" t="n">
        <x:v>1</x:v>
      </x:c>
      <x:c r="L491" s="13" t="b">
        <x:v>0</x:v>
      </x:c>
      <x:c r="M491" s="13" t="b">
        <x:v>1</x:v>
      </x:c>
      <x:c r="N491" s="2" t="str">
        <x:v>historical source estimate</x:v>
      </x:c>
      <x:c r="O491" s="2" t="str"/>
      <x:c r="P491" s="2" t="str">
        <x:v>horizontal built-up surface</x:v>
      </x:c>
      <x:c r="Q491" s="2" t="str">
        <x:v>m2</x:v>
      </x:c>
      <x:c r="R491" s="17" t="n">
        <x:v>32342152980</x:v>
      </x:c>
      <x:c r="S491" s="17" t="n">
        <x:v>27853638424.04</x:v>
      </x:c>
      <x:c r="T491" s="18" t="n">
        <x:v>1.0000000000000016</x:v>
      </x:c>
      <x:c r="U491" s="17" t="n">
        <x:v>27853638424.040043</x:v>
      </x:c>
      <x:c r="V491" s="2" t="str">
        <x:v>Area equivalent = model2020 * source surface / TEMPO2020 footprint</x:v>
      </x:c>
      <x:c r="W491" s="2" t="str">
        <x:v>legacy epoch_status=observed; not exact acquisition proof</x:v>
      </x:c>
      <x:c r="X491" s="2" t="str">
        <x:v>https://human-settlement.emergency.copernicus.eu/ghs_buS2023.php</x:v>
      </x:c>
    </x:row>
    <x:row r="492" ht="23" customHeight="1">
      <x:c r="A492" s="2" t="str">
        <x:v>IRL</x:v>
      </x:c>
      <x:c r="B492" s="2" t="str">
        <x:v>Ireland</x:v>
      </x:c>
      <x:c r="C492" s="2" t="n">
        <x:v>2015</x:v>
      </x:c>
      <x:c r="D492" s="2" t="str">
        <x:v>GHSL_SURFACE</x:v>
      </x:c>
      <x:c r="E492" s="17" t="n">
        <x:v>405777737.91803694</x:v>
      </x:c>
      <x:c r="F492" s="17" t="n">
        <x:f>IF(AND(M492,ISNUMBER(R492)),IF(D492="TEMPO_PROXY",R492,IF(AND(ISNUMBER(S492),S492&gt;0,ISNUMBER(U492)),U492*R492/S492,"n.a.")),"n.a.")</x:f>
        <x:v>695426838.9999996</x:v>
      </x:c>
      <x:c r="G492" s="17" t="n">
        <x:f>IF(AND(ISNUMBER(E492),ISNUMBER(F492)),E492-F492,"n.a.")</x:f>
        <x:v>-289649101.0819627</x:v>
      </x:c>
      <x:c r="H492" s="15" t="n">
        <x:f>IF(AND(ISNUMBER(E492),ISNUMBER(F492),F492&gt;0),(E492-F492)/F492,"n.a.")</x:f>
        <x:v>-0.4165054968233155</x:v>
      </x:c>
      <x:c r="I492" s="19" t="n">
        <x:f>IF(ISNUMBER(H492),ABS(H492),"n.a.")</x:f>
        <x:v>0.4165054968233155</x:v>
      </x:c>
      <x:c r="J492" s="2" t="str">
        <x:v>available</x:v>
      </x:c>
      <x:c r="K492" s="2" t="n">
        <x:v>1</x:v>
      </x:c>
      <x:c r="L492" s="13" t="b">
        <x:v>0</x:v>
      </x:c>
      <x:c r="M492" s="13" t="b">
        <x:v>1</x:v>
      </x:c>
      <x:c r="N492" s="2" t="str">
        <x:v>historical source estimate</x:v>
      </x:c>
      <x:c r="O492" s="2" t="str"/>
      <x:c r="P492" s="2" t="str">
        <x:v>horizontal built-up surface</x:v>
      </x:c>
      <x:c r="Q492" s="2" t="str">
        <x:v>m2</x:v>
      </x:c>
      <x:c r="R492" s="17" t="n">
        <x:v>695426839</x:v>
      </x:c>
      <x:c r="S492" s="17" t="n">
        <x:v>426553619.4</x:v>
      </x:c>
      <x:c r="T492" s="18" t="n">
        <x:v>0.9999999999999994</x:v>
      </x:c>
      <x:c r="U492" s="17" t="n">
        <x:v>426553619.39999974</x:v>
      </x:c>
      <x:c r="V492" s="2" t="str">
        <x:v>Area equivalent = model2020 * source surface / TEMPO2020 footprint</x:v>
      </x:c>
      <x:c r="W492" s="2" t="str">
        <x:v>legacy epoch_status=observed; not exact acquisition proof</x:v>
      </x:c>
      <x:c r="X492" s="2" t="str">
        <x:v>https://human-settlement.emergency.copernicus.eu/ghs_buS2023.php</x:v>
      </x:c>
    </x:row>
    <x:row r="493" ht="23" customHeight="1">
      <x:c r="A493" s="2" t="str">
        <x:v>IRN</x:v>
      </x:c>
      <x:c r="B493" s="2" t="str">
        <x:v>Iran (Islamic Republic of)</x:v>
      </x:c>
      <x:c r="C493" s="2" t="n">
        <x:v>2015</x:v>
      </x:c>
      <x:c r="D493" s="2" t="str">
        <x:v>GHSL_SURFACE</x:v>
      </x:c>
      <x:c r="E493" s="17" t="n">
        <x:v>3491042780.907833</x:v>
      </x:c>
      <x:c r="F493" s="17" t="n">
        <x:f>IF(AND(M493,ISNUMBER(R493)),IF(D493="TEMPO_PROXY",R493,IF(AND(ISNUMBER(S493),S493&gt;0,ISNUMBER(U493)),U493*R493/S493,"n.a.")),"n.a.")</x:f>
        <x:v>3991856903.3501606</x:v>
      </x:c>
      <x:c r="G493" s="17" t="n">
        <x:f>IF(AND(ISNUMBER(E493),ISNUMBER(F493)),E493-F493,"n.a.")</x:f>
        <x:v>-500814122.4423275</x:v>
      </x:c>
      <x:c r="H493" s="15" t="n">
        <x:f>IF(AND(ISNUMBER(E493),ISNUMBER(F493),F493&gt;0),(E493-F493)/F493,"n.a.")</x:f>
        <x:v>-0.12545893667230903</x:v>
      </x:c>
      <x:c r="I493" s="19" t="n">
        <x:f>IF(ISNUMBER(H493),ABS(H493),"n.a.")</x:f>
        <x:v>0.12545893667230903</x:v>
      </x:c>
      <x:c r="J493" s="2" t="str">
        <x:v>available</x:v>
      </x:c>
      <x:c r="K493" s="2" t="n">
        <x:v>1</x:v>
      </x:c>
      <x:c r="L493" s="13" t="b">
        <x:v>0</x:v>
      </x:c>
      <x:c r="M493" s="13" t="b">
        <x:v>1</x:v>
      </x:c>
      <x:c r="N493" s="2" t="str">
        <x:v>historical source estimate</x:v>
      </x:c>
      <x:c r="O493" s="2" t="str"/>
      <x:c r="P493" s="2" t="str">
        <x:v>horizontal built-up surface</x:v>
      </x:c>
      <x:c r="Q493" s="2" t="str">
        <x:v>m2</x:v>
      </x:c>
      <x:c r="R493" s="17" t="n">
        <x:v>3930203368</x:v>
      </x:c>
      <x:c r="S493" s="17" t="n">
        <x:v>3695850551.99</x:v>
      </x:c>
      <x:c r="T493" s="18" t="n">
        <x:v>1.0156871107108982</x:v>
      </x:c>
      <x:c r="U493" s="17" t="n">
        <x:v>3753827768.770001</x:v>
      </x:c>
      <x:c r="V493" s="2" t="str">
        <x:v>Area equivalent = model2020 * source surface / TEMPO2020 footprint</x:v>
      </x:c>
      <x:c r="W493" s="2" t="str">
        <x:v>legacy epoch_status=observed; not exact acquisition proof</x:v>
      </x:c>
      <x:c r="X493" s="2" t="str">
        <x:v>https://human-settlement.emergency.copernicus.eu/ghs_buS2023.php</x:v>
      </x:c>
    </x:row>
    <x:row r="494" ht="23" customHeight="1">
      <x:c r="A494" s="2" t="str">
        <x:v>IRQ</x:v>
      </x:c>
      <x:c r="B494" s="2" t="str">
        <x:v>Iraq (Republic of)</x:v>
      </x:c>
      <x:c r="C494" s="2" t="n">
        <x:v>2015</x:v>
      </x:c>
      <x:c r="D494" s="2" t="str">
        <x:v>GHSL_SURFACE</x:v>
      </x:c>
      <x:c r="E494" s="17" t="n">
        <x:v>1135556484.5551572</x:v>
      </x:c>
      <x:c r="F494" s="17" t="n">
        <x:f>IF(AND(M494,ISNUMBER(R494)),IF(D494="TEMPO_PROXY",R494,IF(AND(ISNUMBER(S494),S494&gt;0,ISNUMBER(U494)),U494*R494/S494,"n.a.")),"n.a.")</x:f>
        <x:v>1472942574.0000014</x:v>
      </x:c>
      <x:c r="G494" s="17" t="n">
        <x:f>IF(AND(ISNUMBER(E494),ISNUMBER(F494)),E494-F494,"n.a.")</x:f>
        <x:v>-337386089.44484425</x:v>
      </x:c>
      <x:c r="H494" s="15" t="n">
        <x:f>IF(AND(ISNUMBER(E494),ISNUMBER(F494),F494&gt;0),(E494-F494)/F494,"n.a.")</x:f>
        <x:v>-0.22905583381205458</x:v>
      </x:c>
      <x:c r="I494" s="19" t="n">
        <x:f>IF(ISNUMBER(H494),ABS(H494),"n.a.")</x:f>
        <x:v>0.22905583381205458</x:v>
      </x:c>
      <x:c r="J494" s="2" t="str">
        <x:v>available</x:v>
      </x:c>
      <x:c r="K494" s="2" t="n">
        <x:v>1</x:v>
      </x:c>
      <x:c r="L494" s="13" t="b">
        <x:v>0</x:v>
      </x:c>
      <x:c r="M494" s="13" t="b">
        <x:v>1</x:v>
      </x:c>
      <x:c r="N494" s="2" t="str">
        <x:v>historical source estimate</x:v>
      </x:c>
      <x:c r="O494" s="2" t="str"/>
      <x:c r="P494" s="2" t="str">
        <x:v>horizontal built-up surface</x:v>
      </x:c>
      <x:c r="Q494" s="2" t="str">
        <x:v>m2</x:v>
      </x:c>
      <x:c r="R494" s="17" t="n">
        <x:v>1472942574</x:v>
      </x:c>
      <x:c r="S494" s="17" t="n">
        <x:v>1226955244.87</x:v>
      </x:c>
      <x:c r="T494" s="18" t="n">
        <x:v>1.0000000000000009</x:v>
      </x:c>
      <x:c r="U494" s="17" t="n">
        <x:v>1226955244.870001</x:v>
      </x:c>
      <x:c r="V494" s="2" t="str">
        <x:v>Area equivalent = model2020 * source surface / TEMPO2020 footprint</x:v>
      </x:c>
      <x:c r="W494" s="2" t="str">
        <x:v>legacy epoch_status=observed; not exact acquisition proof</x:v>
      </x:c>
      <x:c r="X494" s="2" t="str">
        <x:v>https://human-settlement.emergency.copernicus.eu/ghs_buS2023.php</x:v>
      </x:c>
    </x:row>
    <x:row r="495" ht="23" customHeight="1">
      <x:c r="A495" s="2" t="str">
        <x:v>ISL</x:v>
      </x:c>
      <x:c r="B495" s="2" t="str">
        <x:v>Iceland</x:v>
      </x:c>
      <x:c r="C495" s="2" t="n">
        <x:v>2015</x:v>
      </x:c>
      <x:c r="D495" s="2" t="str">
        <x:v>GHSL_SURFACE</x:v>
      </x:c>
      <x:c r="E495" s="17" t="n">
        <x:v>25861968.358574174</x:v>
      </x:c>
      <x:c r="F495" s="17" t="n">
        <x:f>IF(AND(M495,ISNUMBER(R495)),IF(D495="TEMPO_PROXY",R495,IF(AND(ISNUMBER(S495),S495&gt;0,ISNUMBER(U495)),U495*R495/S495,"n.a.")),"n.a.")</x:f>
        <x:v>31360777.888845753</x:v>
      </x:c>
      <x:c r="G495" s="17" t="n">
        <x:f>IF(AND(ISNUMBER(E495),ISNUMBER(F495)),E495-F495,"n.a.")</x:f>
        <x:v>-5498809.530271579</x:v>
      </x:c>
      <x:c r="H495" s="15" t="n">
        <x:f>IF(AND(ISNUMBER(E495),ISNUMBER(F495),F495&gt;0),(E495-F495)/F495,"n.a.")</x:f>
        <x:v>-0.17534034231425644</x:v>
      </x:c>
      <x:c r="I495" s="19" t="n">
        <x:f>IF(ISNUMBER(H495),ABS(H495),"n.a.")</x:f>
        <x:v>0.17534034231425644</x:v>
      </x:c>
      <x:c r="J495" s="2" t="str">
        <x:v>available</x:v>
      </x:c>
      <x:c r="K495" s="2" t="n">
        <x:v>1</x:v>
      </x:c>
      <x:c r="L495" s="13" t="b">
        <x:v>0</x:v>
      </x:c>
      <x:c r="M495" s="13" t="b">
        <x:v>1</x:v>
      </x:c>
      <x:c r="N495" s="2" t="str">
        <x:v>historical source estimate</x:v>
      </x:c>
      <x:c r="O495" s="2" t="str"/>
      <x:c r="P495" s="2" t="str">
        <x:v>horizontal built-up surface</x:v>
      </x:c>
      <x:c r="Q495" s="2" t="str">
        <x:v>m2</x:v>
      </x:c>
      <x:c r="R495" s="17" t="n">
        <x:v>28701623</x:v>
      </x:c>
      <x:c r="S495" s="17" t="n">
        <x:v>24141007.67</x:v>
      </x:c>
      <x:c r="T495" s="18" t="n">
        <x:v>1.0926482411411282</x:v>
      </x:c>
      <x:c r="U495" s="17" t="n">
        <x:v>26377629.56999999</x:v>
      </x:c>
      <x:c r="V495" s="2" t="str">
        <x:v>Area equivalent = model2020 * source surface / TEMPO2020 footprint</x:v>
      </x:c>
      <x:c r="W495" s="2" t="str">
        <x:v>legacy epoch_status=observed; not exact acquisition proof</x:v>
      </x:c>
      <x:c r="X495" s="2" t="str">
        <x:v>https://human-settlement.emergency.copernicus.eu/ghs_buS2023.php</x:v>
      </x:c>
    </x:row>
    <x:row r="496" ht="23" customHeight="1">
      <x:c r="A496" s="2" t="str">
        <x:v>ISR</x:v>
      </x:c>
      <x:c r="B496" s="2" t="str">
        <x:v>Israel (State of)</x:v>
      </x:c>
      <x:c r="C496" s="2" t="n">
        <x:v>2015</x:v>
      </x:c>
      <x:c r="D496" s="2" t="str">
        <x:v>GHSL_SURFACE</x:v>
      </x:c>
      <x:c r="E496" s="17" t="n">
        <x:v>349771256.8497736</x:v>
      </x:c>
      <x:c r="F496" s="17" t="n">
        <x:f>IF(AND(M496,ISNUMBER(R496)),IF(D496="TEMPO_PROXY",R496,IF(AND(ISNUMBER(S496),S496&gt;0,ISNUMBER(U496)),U496*R496/S496,"n.a.")),"n.a.")</x:f>
        <x:v>455191910.0711562</x:v>
      </x:c>
      <x:c r="G496" s="17" t="n">
        <x:f>IF(AND(ISNUMBER(E496),ISNUMBER(F496)),E496-F496,"n.a.")</x:f>
        <x:v>-105420653.22138262</x:v>
      </x:c>
      <x:c r="H496" s="15" t="n">
        <x:f>IF(AND(ISNUMBER(E496),ISNUMBER(F496),F496&gt;0),(E496-F496)/F496,"n.a.")</x:f>
        <x:v>-0.2315960606701097</x:v>
      </x:c>
      <x:c r="I496" s="19" t="n">
        <x:f>IF(ISNUMBER(H496),ABS(H496),"n.a.")</x:f>
        <x:v>0.2315960606701097</x:v>
      </x:c>
      <x:c r="J496" s="2" t="str">
        <x:v>available</x:v>
      </x:c>
      <x:c r="K496" s="2" t="n">
        <x:v>1</x:v>
      </x:c>
      <x:c r="L496" s="13" t="b">
        <x:v>0</x:v>
      </x:c>
      <x:c r="M496" s="13" t="b">
        <x:v>1</x:v>
      </x:c>
      <x:c r="N496" s="2" t="str">
        <x:v>historical source estimate</x:v>
      </x:c>
      <x:c r="O496" s="2" t="str"/>
      <x:c r="P496" s="2" t="str">
        <x:v>horizontal built-up surface</x:v>
      </x:c>
      <x:c r="Q496" s="2" t="str">
        <x:v>m2</x:v>
      </x:c>
      <x:c r="R496" s="17" t="n">
        <x:v>436462394</x:v>
      </x:c>
      <x:c r="S496" s="17" t="n">
        <x:v>357032950.94</x:v>
      </x:c>
      <x:c r="T496" s="18" t="n">
        <x:v>1.0429120958154214</x:v>
      </x:c>
      <x:c r="U496" s="17" t="n">
        <x:v>372353983.1399999</x:v>
      </x:c>
      <x:c r="V496" s="2" t="str">
        <x:v>Area equivalent = model2020 * source surface / TEMPO2020 footprint</x:v>
      </x:c>
      <x:c r="W496" s="2" t="str">
        <x:v>legacy epoch_status=observed; not exact acquisition proof</x:v>
      </x:c>
      <x:c r="X496" s="2" t="str">
        <x:v>https://human-settlement.emergency.copernicus.eu/ghs_buS2023.php</x:v>
      </x:c>
    </x:row>
    <x:row r="497" ht="23" customHeight="1">
      <x:c r="A497" s="2" t="str">
        <x:v>ITA</x:v>
      </x:c>
      <x:c r="B497" s="2" t="str">
        <x:v>Italy (Italian Republic)</x:v>
      </x:c>
      <x:c r="C497" s="2" t="n">
        <x:v>2015</x:v>
      </x:c>
      <x:c r="D497" s="2" t="str">
        <x:v>GHSL_SURFACE</x:v>
      </x:c>
      <x:c r="E497" s="17" t="n">
        <x:v>4823889767.431577</x:v>
      </x:c>
      <x:c r="F497" s="17" t="n">
        <x:f>IF(AND(M497,ISNUMBER(R497)),IF(D497="TEMPO_PROXY",R497,IF(AND(ISNUMBER(S497),S497&gt;0,ISNUMBER(U497)),U497*R497/S497,"n.a.")),"n.a.")</x:f>
        <x:v>7036412285.314264</x:v>
      </x:c>
      <x:c r="G497" s="17" t="n">
        <x:f>IF(AND(ISNUMBER(E497),ISNUMBER(F497)),E497-F497,"n.a.")</x:f>
        <x:v>-2212522517.8826876</x:v>
      </x:c>
      <x:c r="H497" s="15" t="n">
        <x:f>IF(AND(ISNUMBER(E497),ISNUMBER(F497),F497&gt;0),(E497-F497)/F497,"n.a.")</x:f>
        <x:v>-0.3144390107015838</x:v>
      </x:c>
      <x:c r="I497" s="19" t="n">
        <x:f>IF(ISNUMBER(H497),ABS(H497),"n.a.")</x:f>
        <x:v>0.3144390107015838</x:v>
      </x:c>
      <x:c r="J497" s="2" t="str">
        <x:v>available</x:v>
      </x:c>
      <x:c r="K497" s="2" t="n">
        <x:v>1</x:v>
      </x:c>
      <x:c r="L497" s="13" t="b">
        <x:v>0</x:v>
      </x:c>
      <x:c r="M497" s="13" t="b">
        <x:v>1</x:v>
      </x:c>
      <x:c r="N497" s="2" t="str">
        <x:v>historical source estimate</x:v>
      </x:c>
      <x:c r="O497" s="2" t="str"/>
      <x:c r="P497" s="2" t="str">
        <x:v>horizontal built-up surface</x:v>
      </x:c>
      <x:c r="Q497" s="2" t="str">
        <x:v>m2</x:v>
      </x:c>
      <x:c r="R497" s="17" t="n">
        <x:v>6629294616</x:v>
      </x:c>
      <x:c r="S497" s="17" t="n">
        <x:v>4711304092.61</x:v>
      </x:c>
      <x:c r="T497" s="18" t="n">
        <x:v>1.0614119137700826</x:v>
      </x:c>
      <x:c r="U497" s="17" t="n">
        <x:v>5000634293.290002</x:v>
      </x:c>
      <x:c r="V497" s="2" t="str">
        <x:v>Area equivalent = model2020 * source surface / TEMPO2020 footprint</x:v>
      </x:c>
      <x:c r="W497" s="2" t="str">
        <x:v>legacy epoch_status=observed; not exact acquisition proof</x:v>
      </x:c>
      <x:c r="X497" s="2" t="str">
        <x:v>https://human-settlement.emergency.copernicus.eu/ghs_buS2023.php</x:v>
      </x:c>
    </x:row>
    <x:row r="498" ht="23" customHeight="1">
      <x:c r="A498" s="2" t="str">
        <x:v>JAM</x:v>
      </x:c>
      <x:c r="B498" s="2" t="str">
        <x:v>Jamaica</x:v>
      </x:c>
      <x:c r="C498" s="2" t="n">
        <x:v>2015</x:v>
      </x:c>
      <x:c r="D498" s="2" t="str">
        <x:v>GHSL_SURFACE</x:v>
      </x:c>
      <x:c r="E498" s="17" t="n">
        <x:v>118767913.59415096</x:v>
      </x:c>
      <x:c r="F498" s="17" t="n">
        <x:f>IF(AND(M498,ISNUMBER(R498)),IF(D498="TEMPO_PROXY",R498,IF(AND(ISNUMBER(S498),S498&gt;0,ISNUMBER(U498)),U498*R498/S498,"n.a.")),"n.a.")</x:f>
        <x:v>195910672.99999988</x:v>
      </x:c>
      <x:c r="G498" s="17" t="n">
        <x:f>IF(AND(ISNUMBER(E498),ISNUMBER(F498)),E498-F498,"n.a.")</x:f>
        <x:v>-77142759.40584892</x:v>
      </x:c>
      <x:c r="H498" s="15" t="n">
        <x:f>IF(AND(ISNUMBER(E498),ISNUMBER(F498),F498&gt;0),(E498-F498)/F498,"n.a.")</x:f>
        <x:v>-0.39376496555575086</x:v>
      </x:c>
      <x:c r="I498" s="19" t="n">
        <x:f>IF(ISNUMBER(H498),ABS(H498),"n.a.")</x:f>
        <x:v>0.39376496555575086</x:v>
      </x:c>
      <x:c r="J498" s="2" t="str">
        <x:v>available</x:v>
      </x:c>
      <x:c r="K498" s="2" t="n">
        <x:v>1</x:v>
      </x:c>
      <x:c r="L498" s="13" t="b">
        <x:v>0</x:v>
      </x:c>
      <x:c r="M498" s="13" t="b">
        <x:v>1</x:v>
      </x:c>
      <x:c r="N498" s="2" t="str">
        <x:v>historical source estimate</x:v>
      </x:c>
      <x:c r="O498" s="2" t="str"/>
      <x:c r="P498" s="2" t="str">
        <x:v>horizontal built-up surface</x:v>
      </x:c>
      <x:c r="Q498" s="2" t="str">
        <x:v>m2</x:v>
      </x:c>
      <x:c r="R498" s="17" t="n">
        <x:v>195910673</x:v>
      </x:c>
      <x:c r="S498" s="17" t="n">
        <x:v>133338245.19</x:v>
      </x:c>
      <x:c r="T498" s="18" t="n">
        <x:v>0.9999999999999994</x:v>
      </x:c>
      <x:c r="U498" s="17" t="n">
        <x:v>133338245.18999992</x:v>
      </x:c>
      <x:c r="V498" s="2" t="str">
        <x:v>Area equivalent = model2020 * source surface / TEMPO2020 footprint</x:v>
      </x:c>
      <x:c r="W498" s="2" t="str">
        <x:v>legacy epoch_status=observed; not exact acquisition proof</x:v>
      </x:c>
      <x:c r="X498" s="2" t="str">
        <x:v>https://human-settlement.emergency.copernicus.eu/ghs_buS2023.php</x:v>
      </x:c>
    </x:row>
    <x:row r="499" ht="23" customHeight="1">
      <x:c r="A499" s="2" t="str">
        <x:v>JOR</x:v>
      </x:c>
      <x:c r="B499" s="2" t="str">
        <x:v>Jordan (Hashemite Kingdom of)</x:v>
      </x:c>
      <x:c r="C499" s="2" t="n">
        <x:v>2015</x:v>
      </x:c>
      <x:c r="D499" s="2" t="str">
        <x:v>GHSL_SURFACE</x:v>
      </x:c>
      <x:c r="E499" s="17" t="n">
        <x:v>256921049.6360146</x:v>
      </x:c>
      <x:c r="F499" s="17" t="n">
        <x:f>IF(AND(M499,ISNUMBER(R499)),IF(D499="TEMPO_PROXY",R499,IF(AND(ISNUMBER(S499),S499&gt;0,ISNUMBER(U499)),U499*R499/S499,"n.a.")),"n.a.")</x:f>
        <x:v>306596517.8225726</x:v>
      </x:c>
      <x:c r="G499" s="17" t="n">
        <x:f>IF(AND(ISNUMBER(E499),ISNUMBER(F499)),E499-F499,"n.a.")</x:f>
        <x:v>-49675468.18655798</x:v>
      </x:c>
      <x:c r="H499" s="15" t="n">
        <x:f>IF(AND(ISNUMBER(E499),ISNUMBER(F499),F499&gt;0),(E499-F499)/F499,"n.a.")</x:f>
        <x:v>-0.1620222843343093</x:v>
      </x:c>
      <x:c r="I499" s="19" t="n">
        <x:f>IF(ISNUMBER(H499),ABS(H499),"n.a.")</x:f>
        <x:v>0.1620222843343093</x:v>
      </x:c>
      <x:c r="J499" s="2" t="str">
        <x:v>available</x:v>
      </x:c>
      <x:c r="K499" s="2" t="n">
        <x:v>1</x:v>
      </x:c>
      <x:c r="L499" s="13" t="b">
        <x:v>0</x:v>
      </x:c>
      <x:c r="M499" s="13" t="b">
        <x:v>1</x:v>
      </x:c>
      <x:c r="N499" s="2" t="str">
        <x:v>historical source estimate</x:v>
      </x:c>
      <x:c r="O499" s="2" t="str"/>
      <x:c r="P499" s="2" t="str">
        <x:v>horizontal built-up surface</x:v>
      </x:c>
      <x:c r="Q499" s="2" t="str">
        <x:v>m2</x:v>
      </x:c>
      <x:c r="R499" s="17" t="n">
        <x:v>303094438</x:v>
      </x:c>
      <x:c r="S499" s="17" t="n">
        <x:v>275983857.16</x:v>
      </x:c>
      <x:c r="T499" s="18" t="n">
        <x:v>1.0115544179750755</x:v>
      </x:c>
      <x:c r="U499" s="17" t="n">
        <x:v>279172690.0000002</x:v>
      </x:c>
      <x:c r="V499" s="2" t="str">
        <x:v>Area equivalent = model2020 * source surface / TEMPO2020 footprint</x:v>
      </x:c>
      <x:c r="W499" s="2" t="str">
        <x:v>legacy epoch_status=observed; not exact acquisition proof</x:v>
      </x:c>
      <x:c r="X499" s="2" t="str">
        <x:v>https://human-settlement.emergency.copernicus.eu/ghs_buS2023.php</x:v>
      </x:c>
    </x:row>
    <x:row r="500" ht="23" customHeight="1">
      <x:c r="A500" s="2" t="str">
        <x:v>JPN</x:v>
      </x:c>
      <x:c r="B500" s="2" t="str">
        <x:v>Japan</x:v>
      </x:c>
      <x:c r="C500" s="2" t="n">
        <x:v>2015</x:v>
      </x:c>
      <x:c r="D500" s="2" t="str">
        <x:v>GHSL_SURFACE</x:v>
      </x:c>
      <x:c r="E500" s="17" t="n">
        <x:v>8023790686.244393</x:v>
      </x:c>
      <x:c r="F500" s="17" t="n">
        <x:f>IF(AND(M500,ISNUMBER(R500)),IF(D500="TEMPO_PROXY",R500,IF(AND(ISNUMBER(S500),S500&gt;0,ISNUMBER(U500)),U500*R500/S500,"n.a.")),"n.a.")</x:f>
        <x:v>12511135950.591463</x:v>
      </x:c>
      <x:c r="G500" s="17" t="n">
        <x:f>IF(AND(ISNUMBER(E500),ISNUMBER(F500)),E500-F500,"n.a.")</x:f>
        <x:v>-4487345264.34707</x:v>
      </x:c>
      <x:c r="H500" s="15" t="n">
        <x:f>IF(AND(ISNUMBER(E500),ISNUMBER(F500),F500&gt;0),(E500-F500)/F500,"n.a.")</x:f>
        <x:v>-0.3586680923353671</x:v>
      </x:c>
      <x:c r="I500" s="19" t="n">
        <x:f>IF(ISNUMBER(H500),ABS(H500),"n.a.")</x:f>
        <x:v>0.3586680923353671</x:v>
      </x:c>
      <x:c r="J500" s="2" t="str">
        <x:v>available</x:v>
      </x:c>
      <x:c r="K500" s="2" t="n">
        <x:v>1</x:v>
      </x:c>
      <x:c r="L500" s="13" t="b">
        <x:v>0</x:v>
      </x:c>
      <x:c r="M500" s="13" t="b">
        <x:v>1</x:v>
      </x:c>
      <x:c r="N500" s="2" t="str">
        <x:v>historical source estimate</x:v>
      </x:c>
      <x:c r="O500" s="2" t="str"/>
      <x:c r="P500" s="2" t="str">
        <x:v>horizontal built-up surface</x:v>
      </x:c>
      <x:c r="Q500" s="2" t="str">
        <x:v>m2</x:v>
      </x:c>
      <x:c r="R500" s="17" t="n">
        <x:v>12113397135</x:v>
      </x:c>
      <x:c r="S500" s="17" t="n">
        <x:v>8076054059.79</x:v>
      </x:c>
      <x:c r="T500" s="18" t="n">
        <x:v>1.032834621961023</x:v>
      </x:c>
      <x:c r="U500" s="17" t="n">
        <x:v>8341228241.779989</x:v>
      </x:c>
      <x:c r="V500" s="2" t="str">
        <x:v>Area equivalent = model2020 * source surface / TEMPO2020 footprint</x:v>
      </x:c>
      <x:c r="W500" s="2" t="str">
        <x:v>legacy epoch_status=observed; not exact acquisition proof</x:v>
      </x:c>
      <x:c r="X500" s="2" t="str">
        <x:v>https://human-settlement.emergency.copernicus.eu/ghs_buS2023.php</x:v>
      </x:c>
    </x:row>
    <x:row r="501" ht="23" customHeight="1">
      <x:c r="A501" s="2" t="str">
        <x:v>KAZ</x:v>
      </x:c>
      <x:c r="B501" s="2" t="str">
        <x:v>Kazakhstan (Republic of)</x:v>
      </x:c>
      <x:c r="C501" s="2" t="n">
        <x:v>2015</x:v>
      </x:c>
      <x:c r="D501" s="2" t="str">
        <x:v>GHSL_SURFACE</x:v>
      </x:c>
      <x:c r="E501" s="17" t="n">
        <x:v>937035930.5887325</x:v>
      </x:c>
      <x:c r="F501" s="17" t="n">
        <x:f>IF(AND(M501,ISNUMBER(R501)),IF(D501="TEMPO_PROXY",R501,IF(AND(ISNUMBER(S501),S501&gt;0,ISNUMBER(U501)),U501*R501/S501,"n.a.")),"n.a.")</x:f>
        <x:v>2166145994.0000033</x:v>
      </x:c>
      <x:c r="G501" s="17" t="n">
        <x:f>IF(AND(ISNUMBER(E501),ISNUMBER(F501)),E501-F501,"n.a.")</x:f>
        <x:v>-1229110063.4112709</x:v>
      </x:c>
      <x:c r="H501" s="15" t="n">
        <x:f>IF(AND(ISNUMBER(E501),ISNUMBER(F501),F501&gt;0),(E501-F501)/F501,"n.a.")</x:f>
        <x:v>-0.5674179241915256</x:v>
      </x:c>
      <x:c r="I501" s="19" t="n">
        <x:f>IF(ISNUMBER(H501),ABS(H501),"n.a.")</x:f>
        <x:v>0.5674179241915256</x:v>
      </x:c>
      <x:c r="J501" s="2" t="str">
        <x:v>available</x:v>
      </x:c>
      <x:c r="K501" s="2" t="n">
        <x:v>1</x:v>
      </x:c>
      <x:c r="L501" s="13" t="b">
        <x:v>0</x:v>
      </x:c>
      <x:c r="M501" s="13" t="b">
        <x:v>1</x:v>
      </x:c>
      <x:c r="N501" s="2" t="str">
        <x:v>historical source estimate</x:v>
      </x:c>
      <x:c r="O501" s="2" t="str"/>
      <x:c r="P501" s="2" t="str">
        <x:v>horizontal built-up surface</x:v>
      </x:c>
      <x:c r="Q501" s="2" t="str">
        <x:v>m2</x:v>
      </x:c>
      <x:c r="R501" s="17" t="n">
        <x:v>2166145994</x:v>
      </x:c>
      <x:c r="S501" s="17" t="n">
        <x:v>1009034692.97</x:v>
      </x:c>
      <x:c r="T501" s="18" t="n">
        <x:v>1.0000000000000016</x:v>
      </x:c>
      <x:c r="U501" s="17" t="n">
        <x:v>1009034692.9700016</x:v>
      </x:c>
      <x:c r="V501" s="2" t="str">
        <x:v>Area equivalent = model2020 * source surface / TEMPO2020 footprint</x:v>
      </x:c>
      <x:c r="W501" s="2" t="str">
        <x:v>legacy epoch_status=observed; not exact acquisition proof</x:v>
      </x:c>
      <x:c r="X501" s="2" t="str">
        <x:v>https://human-settlement.emergency.copernicus.eu/ghs_buS2023.php</x:v>
      </x:c>
    </x:row>
    <x:row r="502" ht="23" customHeight="1">
      <x:c r="A502" s="2" t="str">
        <x:v>KEN</x:v>
      </x:c>
      <x:c r="B502" s="2" t="str">
        <x:v>Kenya (Republic of)</x:v>
      </x:c>
      <x:c r="C502" s="2" t="n">
        <x:v>2015</x:v>
      </x:c>
      <x:c r="D502" s="2" t="str">
        <x:v>GHSL_SURFACE</x:v>
      </x:c>
      <x:c r="E502" s="17" t="n">
        <x:v>795387215.5234706</x:v>
      </x:c>
      <x:c r="F502" s="17" t="n">
        <x:f>IF(AND(M502,ISNUMBER(R502)),IF(D502="TEMPO_PROXY",R502,IF(AND(ISNUMBER(S502),S502&gt;0,ISNUMBER(U502)),U502*R502/S502,"n.a.")),"n.a.")</x:f>
        <x:v>2076727472.9999998</x:v>
      </x:c>
      <x:c r="G502" s="17" t="n">
        <x:f>IF(AND(ISNUMBER(E502),ISNUMBER(F502)),E502-F502,"n.a.")</x:f>
        <x:v>-1281340257.4765291</x:v>
      </x:c>
      <x:c r="H502" s="15" t="n">
        <x:f>IF(AND(ISNUMBER(E502),ISNUMBER(F502),F502&gt;0),(E502-F502)/F502,"n.a.")</x:f>
        <x:v>-0.6169997142790865</x:v>
      </x:c>
      <x:c r="I502" s="19" t="n">
        <x:f>IF(ISNUMBER(H502),ABS(H502),"n.a.")</x:f>
        <x:v>0.6169997142790865</x:v>
      </x:c>
      <x:c r="J502" s="2" t="str">
        <x:v>available</x:v>
      </x:c>
      <x:c r="K502" s="2" t="n">
        <x:v>1</x:v>
      </x:c>
      <x:c r="L502" s="13" t="b">
        <x:v>0</x:v>
      </x:c>
      <x:c r="M502" s="13" t="b">
        <x:v>1</x:v>
      </x:c>
      <x:c r="N502" s="2" t="str">
        <x:v>historical source estimate</x:v>
      </x:c>
      <x:c r="O502" s="2" t="str"/>
      <x:c r="P502" s="2" t="str">
        <x:v>horizontal built-up surface</x:v>
      </x:c>
      <x:c r="Q502" s="2" t="str">
        <x:v>m2</x:v>
      </x:c>
      <x:c r="R502" s="17" t="n">
        <x:v>2076727473</x:v>
      </x:c>
      <x:c r="S502" s="17" t="n">
        <x:v>1180050447.52</x:v>
      </x:c>
      <x:c r="T502" s="18" t="n">
        <x:v>1</x:v>
      </x:c>
      <x:c r="U502" s="17" t="n">
        <x:v>1180050447.52</x:v>
      </x:c>
      <x:c r="V502" s="2" t="str">
        <x:v>Area equivalent = model2020 * source surface / TEMPO2020 footprint</x:v>
      </x:c>
      <x:c r="W502" s="2" t="str">
        <x:v>legacy epoch_status=observed; not exact acquisition proof</x:v>
      </x:c>
      <x:c r="X502" s="2" t="str">
        <x:v>https://human-settlement.emergency.copernicus.eu/ghs_buS2023.php</x:v>
      </x:c>
    </x:row>
    <x:row r="503" ht="23" customHeight="1">
      <x:c r="A503" s="2" t="str">
        <x:v>KGZ</x:v>
      </x:c>
      <x:c r="B503" s="2" t="str">
        <x:v>Kyrgyzstan (Kyrgyz Republic)</x:v>
      </x:c>
      <x:c r="C503" s="2" t="n">
        <x:v>2015</x:v>
      </x:c>
      <x:c r="D503" s="2" t="str">
        <x:v>GHSL_SURFACE</x:v>
      </x:c>
      <x:c r="E503" s="17" t="n">
        <x:v>303607959.0383275</x:v>
      </x:c>
      <x:c r="F503" s="17" t="n">
        <x:f>IF(AND(M503,ISNUMBER(R503)),IF(D503="TEMPO_PROXY",R503,IF(AND(ISNUMBER(S503),S503&gt;0,ISNUMBER(U503)),U503*R503/S503,"n.a.")),"n.a.")</x:f>
        <x:v>623773476.000001</x:v>
      </x:c>
      <x:c r="G503" s="17" t="n">
        <x:f>IF(AND(ISNUMBER(E503),ISNUMBER(F503)),E503-F503,"n.a.")</x:f>
        <x:v>-320165516.96167344</x:v>
      </x:c>
      <x:c r="H503" s="15" t="n">
        <x:f>IF(AND(ISNUMBER(E503),ISNUMBER(F503),F503&gt;0),(E503-F503)/F503,"n.a.")</x:f>
        <x:v>-0.5132720920016691</x:v>
      </x:c>
      <x:c r="I503" s="19" t="n">
        <x:f>IF(ISNUMBER(H503),ABS(H503),"n.a.")</x:f>
        <x:v>0.5132720920016691</x:v>
      </x:c>
      <x:c r="J503" s="2" t="str">
        <x:v>available</x:v>
      </x:c>
      <x:c r="K503" s="2" t="n">
        <x:v>1</x:v>
      </x:c>
      <x:c r="L503" s="13" t="b">
        <x:v>0</x:v>
      </x:c>
      <x:c r="M503" s="13" t="b">
        <x:v>1</x:v>
      </x:c>
      <x:c r="N503" s="2" t="str">
        <x:v>historical source estimate</x:v>
      </x:c>
      <x:c r="O503" s="2" t="str"/>
      <x:c r="P503" s="2" t="str">
        <x:v>horizontal built-up surface</x:v>
      </x:c>
      <x:c r="Q503" s="2" t="str">
        <x:v>m2</x:v>
      </x:c>
      <x:c r="R503" s="17" t="n">
        <x:v>623773476</x:v>
      </x:c>
      <x:c r="S503" s="17" t="n">
        <x:v>332236534.37</x:v>
      </x:c>
      <x:c r="T503" s="18" t="n">
        <x:v>1.0000000000000016</x:v>
      </x:c>
      <x:c r="U503" s="17" t="n">
        <x:v>332236534.37000054</x:v>
      </x:c>
      <x:c r="V503" s="2" t="str">
        <x:v>Area equivalent = model2020 * source surface / TEMPO2020 footprint</x:v>
      </x:c>
      <x:c r="W503" s="2" t="str">
        <x:v>legacy epoch_status=observed; not exact acquisition proof</x:v>
      </x:c>
      <x:c r="X503" s="2" t="str">
        <x:v>https://human-settlement.emergency.copernicus.eu/ghs_buS2023.php</x:v>
      </x:c>
    </x:row>
    <x:row r="504" ht="23" customHeight="1">
      <x:c r="A504" s="2" t="str">
        <x:v>KHM</x:v>
      </x:c>
      <x:c r="B504" s="2" t="str">
        <x:v>Cambodia (Kingdom of)</x:v>
      </x:c>
      <x:c r="C504" s="2" t="n">
        <x:v>2015</x:v>
      </x:c>
      <x:c r="D504" s="2" t="str">
        <x:v>GHSL_SURFACE</x:v>
      </x:c>
      <x:c r="E504" s="17" t="n">
        <x:v>598581339.8071607</x:v>
      </x:c>
      <x:c r="F504" s="17" t="n">
        <x:f>IF(AND(M504,ISNUMBER(R504)),IF(D504="TEMPO_PROXY",R504,IF(AND(ISNUMBER(S504),S504&gt;0,ISNUMBER(U504)),U504*R504/S504,"n.a.")),"n.a.")</x:f>
        <x:v>725276085.000001</x:v>
      </x:c>
      <x:c r="G504" s="17" t="n">
        <x:f>IF(AND(ISNUMBER(E504),ISNUMBER(F504)),E504-F504,"n.a.")</x:f>
        <x:v>-126694745.19284022</x:v>
      </x:c>
      <x:c r="H504" s="15" t="n">
        <x:f>IF(AND(ISNUMBER(E504),ISNUMBER(F504),F504&gt;0),(E504-F504)/F504,"n.a.")</x:f>
        <x:v>-0.17468485148361132</x:v>
      </x:c>
      <x:c r="I504" s="19" t="n">
        <x:f>IF(ISNUMBER(H504),ABS(H504),"n.a.")</x:f>
        <x:v>0.17468485148361132</x:v>
      </x:c>
      <x:c r="J504" s="2" t="str">
        <x:v>available</x:v>
      </x:c>
      <x:c r="K504" s="2" t="n">
        <x:v>1</x:v>
      </x:c>
      <x:c r="L504" s="13" t="b">
        <x:v>0</x:v>
      </x:c>
      <x:c r="M504" s="13" t="b">
        <x:v>1</x:v>
      </x:c>
      <x:c r="N504" s="2" t="str">
        <x:v>historical source estimate</x:v>
      </x:c>
      <x:c r="O504" s="2" t="str"/>
      <x:c r="P504" s="2" t="str">
        <x:v>horizontal built-up surface</x:v>
      </x:c>
      <x:c r="Q504" s="2" t="str">
        <x:v>m2</x:v>
      </x:c>
      <x:c r="R504" s="17" t="n">
        <x:v>725276085</x:v>
      </x:c>
      <x:c r="S504" s="17" t="n">
        <x:v>672933221.83</x:v>
      </x:c>
      <x:c r="T504" s="18" t="n">
        <x:v>1.0000000000000013</x:v>
      </x:c>
      <x:c r="U504" s="17" t="n">
        <x:v>672933221.830001</x:v>
      </x:c>
      <x:c r="V504" s="2" t="str">
        <x:v>Area equivalent = model2020 * source surface / TEMPO2020 footprint</x:v>
      </x:c>
      <x:c r="W504" s="2" t="str">
        <x:v>legacy epoch_status=observed; not exact acquisition proof</x:v>
      </x:c>
      <x:c r="X504" s="2" t="str">
        <x:v>https://human-settlement.emergency.copernicus.eu/ghs_buS2023.php</x:v>
      </x:c>
    </x:row>
    <x:row r="505" ht="23" customHeight="1">
      <x:c r="A505" s="2" t="str">
        <x:v>KIR</x:v>
      </x:c>
      <x:c r="B505" s="2" t="str">
        <x:v>Kiribati (Republic of)</x:v>
      </x:c>
      <x:c r="C505" s="2" t="n">
        <x:v>2015</x:v>
      </x:c>
      <x:c r="D505" s="2" t="str">
        <x:v>GHSL_SURFACE</x:v>
      </x:c>
      <x:c r="E505" s="17" t="n">
        <x:v>1691624.8246794736</x:v>
      </x:c>
      <x:c r="F505" s="17" t="n">
        <x:f>IF(AND(M505,ISNUMBER(R505)),IF(D505="TEMPO_PROXY",R505,IF(AND(ISNUMBER(S505),S505&gt;0,ISNUMBER(U505)),U505*R505/S505,"n.a.")),"n.a.")</x:f>
        <x:v>543815</x:v>
      </x:c>
      <x:c r="G505" s="17" t="n">
        <x:f>IF(AND(ISNUMBER(E505),ISNUMBER(F505)),E505-F505,"n.a.")</x:f>
        <x:v>1147809.8246794736</x:v>
      </x:c>
      <x:c r="H505" s="15" t="n">
        <x:f>IF(AND(ISNUMBER(E505),ISNUMBER(F505),F505&gt;0),(E505-F505)/F505,"n.a.")</x:f>
        <x:v>2.1106623110423097</x:v>
      </x:c>
      <x:c r="I505" s="19" t="n">
        <x:f>IF(ISNUMBER(H505),ABS(H505),"n.a.")</x:f>
        <x:v>2.1106623110423097</x:v>
      </x:c>
      <x:c r="J505" s="2" t="str">
        <x:v>available</x:v>
      </x:c>
      <x:c r="K505" s="2" t="n">
        <x:v>1</x:v>
      </x:c>
      <x:c r="L505" s="13" t="b">
        <x:v>0</x:v>
      </x:c>
      <x:c r="M505" s="13" t="b">
        <x:v>1</x:v>
      </x:c>
      <x:c r="N505" s="2" t="str">
        <x:v>historical source estimate</x:v>
      </x:c>
      <x:c r="O505" s="2" t="str"/>
      <x:c r="P505" s="2" t="str">
        <x:v>horizontal built-up surface</x:v>
      </x:c>
      <x:c r="Q505" s="2" t="str">
        <x:v>m2</x:v>
      </x:c>
      <x:c r="R505" s="17" t="n">
        <x:v>543815</x:v>
      </x:c>
      <x:c r="S505" s="17" t="n">
        <x:v>1721739.67</x:v>
      </x:c>
      <x:c r="T505" s="18" t="n">
        <x:v>1.0000000000000002</x:v>
      </x:c>
      <x:c r="U505" s="17" t="n">
        <x:v>1721739.6700000002</x:v>
      </x:c>
      <x:c r="V505" s="2" t="str">
        <x:v>Area equivalent = model2020 * source surface / TEMPO2020 footprint</x:v>
      </x:c>
      <x:c r="W505" s="2" t="str">
        <x:v>legacy epoch_status=observed; not exact acquisition proof</x:v>
      </x:c>
      <x:c r="X505" s="2" t="str">
        <x:v>https://human-settlement.emergency.copernicus.eu/ghs_buS2023.php</x:v>
      </x:c>
    </x:row>
    <x:row r="506" ht="23" customHeight="1">
      <x:c r="A506" s="2" t="str">
        <x:v>KNA</x:v>
      </x:c>
      <x:c r="B506" s="2" t="str">
        <x:v>Saint Kitts and Nevis (Federation of)</x:v>
      </x:c>
      <x:c r="C506" s="2" t="n">
        <x:v>2015</x:v>
      </x:c>
      <x:c r="D506" s="2" t="str">
        <x:v>GHSL_SURFACE</x:v>
      </x:c>
      <x:c r="E506" s="17" t="n">
        <x:v>4061235.1620539096</x:v>
      </x:c>
      <x:c r="F506" s="17" t="n">
        <x:f>IF(AND(M506,ISNUMBER(R506)),IF(D506="TEMPO_PROXY",R506,IF(AND(ISNUMBER(S506),S506&gt;0,ISNUMBER(U506)),U506*R506/S506,"n.a.")),"n.a.")</x:f>
        <x:v>6649106.000000002</x:v>
      </x:c>
      <x:c r="G506" s="17" t="n">
        <x:f>IF(AND(ISNUMBER(E506),ISNUMBER(F506)),E506-F506,"n.a.")</x:f>
        <x:v>-2587870.8379460922</x:v>
      </x:c>
      <x:c r="H506" s="15" t="n">
        <x:f>IF(AND(ISNUMBER(E506),ISNUMBER(F506),F506&gt;0),(E506-F506)/F506,"n.a.")</x:f>
        <x:v>-0.38920583277602905</x:v>
      </x:c>
      <x:c r="I506" s="19" t="n">
        <x:f>IF(ISNUMBER(H506),ABS(H506),"n.a.")</x:f>
        <x:v>0.38920583277602905</x:v>
      </x:c>
      <x:c r="J506" s="2" t="str">
        <x:v>available</x:v>
      </x:c>
      <x:c r="K506" s="2" t="n">
        <x:v>1</x:v>
      </x:c>
      <x:c r="L506" s="13" t="b">
        <x:v>0</x:v>
      </x:c>
      <x:c r="M506" s="13" t="b">
        <x:v>1</x:v>
      </x:c>
      <x:c r="N506" s="2" t="str">
        <x:v>historical source estimate</x:v>
      </x:c>
      <x:c r="O506" s="2" t="str"/>
      <x:c r="P506" s="2" t="str">
        <x:v>horizontal built-up surface</x:v>
      </x:c>
      <x:c r="Q506" s="2" t="str">
        <x:v>m2</x:v>
      </x:c>
      <x:c r="R506" s="17" t="n">
        <x:v>6649106</x:v>
      </x:c>
      <x:c r="S506" s="17" t="n">
        <x:v>4523960.76</x:v>
      </x:c>
      <x:c r="T506" s="18" t="n">
        <x:v>1.0000000000000002</x:v>
      </x:c>
      <x:c r="U506" s="17" t="n">
        <x:v>4523960.760000001</x:v>
      </x:c>
      <x:c r="V506" s="2" t="str">
        <x:v>Area equivalent = model2020 * source surface / TEMPO2020 footprint</x:v>
      </x:c>
      <x:c r="W506" s="2" t="str">
        <x:v>legacy epoch_status=observed; not exact acquisition proof</x:v>
      </x:c>
      <x:c r="X506" s="2" t="str">
        <x:v>https://human-settlement.emergency.copernicus.eu/ghs_buS2023.php</x:v>
      </x:c>
    </x:row>
    <x:row r="507" ht="23" customHeight="1">
      <x:c r="A507" s="2" t="str">
        <x:v>KOR</x:v>
      </x:c>
      <x:c r="B507" s="2" t="str">
        <x:v>Korea (Republic of)</x:v>
      </x:c>
      <x:c r="C507" s="2" t="n">
        <x:v>2015</x:v>
      </x:c>
      <x:c r="D507" s="2" t="str">
        <x:v>GHSL_SURFACE</x:v>
      </x:c>
      <x:c r="E507" s="17" t="n">
        <x:v>2658803650.6668043</x:v>
      </x:c>
      <x:c r="F507" s="17" t="n">
        <x:f>IF(AND(M507,ISNUMBER(R507)),IF(D507="TEMPO_PROXY",R507,IF(AND(ISNUMBER(S507),S507&gt;0,ISNUMBER(U507)),U507*R507/S507,"n.a.")),"n.a.")</x:f>
        <x:v>3632927900.6839647</x:v>
      </x:c>
      <x:c r="G507" s="17" t="n">
        <x:f>IF(AND(ISNUMBER(E507),ISNUMBER(F507)),E507-F507,"n.a.")</x:f>
        <x:v>-974124250.0171604</x:v>
      </x:c>
      <x:c r="H507" s="15" t="n">
        <x:f>IF(AND(ISNUMBER(E507),ISNUMBER(F507),F507&gt;0),(E507-F507)/F507,"n.a.")</x:f>
        <x:v>-0.26813751239978195</x:v>
      </x:c>
      <x:c r="I507" s="19" t="n">
        <x:f>IF(ISNUMBER(H507),ABS(H507),"n.a.")</x:f>
        <x:v>0.26813751239978195</x:v>
      </x:c>
      <x:c r="J507" s="2" t="str">
        <x:v>available</x:v>
      </x:c>
      <x:c r="K507" s="2" t="n">
        <x:v>1</x:v>
      </x:c>
      <x:c r="L507" s="13" t="b">
        <x:v>0</x:v>
      </x:c>
      <x:c r="M507" s="13" t="b">
        <x:v>1</x:v>
      </x:c>
      <x:c r="N507" s="2" t="str">
        <x:v>historical source estimate</x:v>
      </x:c>
      <x:c r="O507" s="2" t="str"/>
      <x:c r="P507" s="2" t="str">
        <x:v>horizontal built-up surface</x:v>
      </x:c>
      <x:c r="Q507" s="2" t="str">
        <x:v>m2</x:v>
      </x:c>
      <x:c r="R507" s="17" t="n">
        <x:v>3153906847</x:v>
      </x:c>
      <x:c r="S507" s="17" t="n">
        <x:v>2559028811.37</x:v>
      </x:c>
      <x:c r="T507" s="18" t="n">
        <x:v>1.151881801499499</x:v>
      </x:c>
      <x:c r="U507" s="17" t="n">
        <x:v>2947698717.329997</x:v>
      </x:c>
      <x:c r="V507" s="2" t="str">
        <x:v>Area equivalent = model2020 * source surface / TEMPO2020 footprint</x:v>
      </x:c>
      <x:c r="W507" s="2" t="str">
        <x:v>legacy epoch_status=observed; not exact acquisition proof</x:v>
      </x:c>
      <x:c r="X507" s="2" t="str">
        <x:v>https://human-settlement.emergency.copernicus.eu/ghs_buS2023.php</x:v>
      </x:c>
    </x:row>
    <x:row r="508" ht="23" customHeight="1">
      <x:c r="A508" s="2" t="str">
        <x:v>KWT</x:v>
      </x:c>
      <x:c r="B508" s="2" t="str">
        <x:v>Kuwait (State of)</x:v>
      </x:c>
      <x:c r="C508" s="2" t="n">
        <x:v>2015</x:v>
      </x:c>
      <x:c r="D508" s="2" t="str">
        <x:v>GHSL_SURFACE</x:v>
      </x:c>
      <x:c r="E508" s="17" t="n">
        <x:v>137379674.9540703</x:v>
      </x:c>
      <x:c r="F508" s="17" t="n">
        <x:f>IF(AND(M508,ISNUMBER(R508)),IF(D508="TEMPO_PROXY",R508,IF(AND(ISNUMBER(S508),S508&gt;0,ISNUMBER(U508)),U508*R508/S508,"n.a.")),"n.a.")</x:f>
        <x:v>206849402.87631592</x:v>
      </x:c>
      <x:c r="G508" s="17" t="n">
        <x:f>IF(AND(ISNUMBER(E508),ISNUMBER(F508)),E508-F508,"n.a.")</x:f>
        <x:v>-69469727.92224562</x:v>
      </x:c>
      <x:c r="H508" s="15" t="n">
        <x:f>IF(AND(ISNUMBER(E508),ISNUMBER(F508),F508&gt;0),(E508-F508)/F508,"n.a.")</x:f>
        <x:v>-0.3358468864606031</x:v>
      </x:c>
      <x:c r="I508" s="19" t="n">
        <x:f>IF(ISNUMBER(H508),ABS(H508),"n.a.")</x:f>
        <x:v>0.3358468864606031</x:v>
      </x:c>
      <x:c r="J508" s="2" t="str">
        <x:v>available</x:v>
      </x:c>
      <x:c r="K508" s="2" t="n">
        <x:v>1</x:v>
      </x:c>
      <x:c r="L508" s="13" t="b">
        <x:v>0</x:v>
      </x:c>
      <x:c r="M508" s="13" t="b">
        <x:v>1</x:v>
      </x:c>
      <x:c r="N508" s="2" t="str">
        <x:v>historical source estimate</x:v>
      </x:c>
      <x:c r="O508" s="2" t="str"/>
      <x:c r="P508" s="2" t="str">
        <x:v>horizontal built-up surface</x:v>
      </x:c>
      <x:c r="Q508" s="2" t="str">
        <x:v>m2</x:v>
      </x:c>
      <x:c r="R508" s="17" t="n">
        <x:v>190593916</x:v>
      </x:c>
      <x:c r="S508" s="17" t="n">
        <x:v>143367071.73</x:v>
      </x:c>
      <x:c r="T508" s="18" t="n">
        <x:v>1.0852885927183318</x:v>
      </x:c>
      <x:c r="U508" s="17" t="n">
        <x:v>155594647.5199998</x:v>
      </x:c>
      <x:c r="V508" s="2" t="str">
        <x:v>Area equivalent = model2020 * source surface / TEMPO2020 footprint</x:v>
      </x:c>
      <x:c r="W508" s="2" t="str">
        <x:v>legacy epoch_status=observed; not exact acquisition proof</x:v>
      </x:c>
      <x:c r="X508" s="2" t="str">
        <x:v>https://human-settlement.emergency.copernicus.eu/ghs_buS2023.php</x:v>
      </x:c>
    </x:row>
    <x:row r="509" ht="23" customHeight="1">
      <x:c r="A509" s="2" t="str">
        <x:v>LAO</x:v>
      </x:c>
      <x:c r="B509" s="2" t="str">
        <x:v>Lao People's Democratic Republic</x:v>
      </x:c>
      <x:c r="C509" s="2" t="n">
        <x:v>2015</x:v>
      </x:c>
      <x:c r="D509" s="2" t="str">
        <x:v>GHSL_SURFACE</x:v>
      </x:c>
      <x:c r="E509" s="17" t="n">
        <x:v>290579669.68239933</x:v>
      </x:c>
      <x:c r="F509" s="17" t="n">
        <x:f>IF(AND(M509,ISNUMBER(R509)),IF(D509="TEMPO_PROXY",R509,IF(AND(ISNUMBER(S509),S509&gt;0,ISNUMBER(U509)),U509*R509/S509,"n.a.")),"n.a.")</x:f>
        <x:v>298571802.9999998</x:v>
      </x:c>
      <x:c r="G509" s="17" t="n">
        <x:f>IF(AND(ISNUMBER(E509),ISNUMBER(F509)),E509-F509,"n.a.")</x:f>
        <x:v>-7992133.317600489</x:v>
      </x:c>
      <x:c r="H509" s="15" t="n">
        <x:f>IF(AND(ISNUMBER(E509),ISNUMBER(F509),F509&gt;0),(E509-F509)/F509,"n.a.")</x:f>
        <x:v>-0.0267678770644008</x:v>
      </x:c>
      <x:c r="I509" s="19" t="n">
        <x:f>IF(ISNUMBER(H509),ABS(H509),"n.a.")</x:f>
        <x:v>0.0267678770644008</x:v>
      </x:c>
      <x:c r="J509" s="2" t="str">
        <x:v>available</x:v>
      </x:c>
      <x:c r="K509" s="2" t="n">
        <x:v>1</x:v>
      </x:c>
      <x:c r="L509" s="13" t="b">
        <x:v>0</x:v>
      </x:c>
      <x:c r="M509" s="13" t="b">
        <x:v>1</x:v>
      </x:c>
      <x:c r="N509" s="2" t="str">
        <x:v>historical source estimate</x:v>
      </x:c>
      <x:c r="O509" s="2" t="str"/>
      <x:c r="P509" s="2" t="str">
        <x:v>horizontal built-up surface</x:v>
      </x:c>
      <x:c r="Q509" s="2" t="str">
        <x:v>m2</x:v>
      </x:c>
      <x:c r="R509" s="17" t="n">
        <x:v>298571803</x:v>
      </x:c>
      <x:c r="S509" s="17" t="n">
        <x:v>333393295.19</x:v>
      </x:c>
      <x:c r="T509" s="18" t="n">
        <x:v>0.9999999999999994</x:v>
      </x:c>
      <x:c r="U509" s="17" t="n">
        <x:v>333393295.1899998</x:v>
      </x:c>
      <x:c r="V509" s="2" t="str">
        <x:v>Area equivalent = model2020 * source surface / TEMPO2020 footprint</x:v>
      </x:c>
      <x:c r="W509" s="2" t="str">
        <x:v>legacy epoch_status=observed; not exact acquisition proof</x:v>
      </x:c>
      <x:c r="X509" s="2" t="str">
        <x:v>https://human-settlement.emergency.copernicus.eu/ghs_buS2023.php</x:v>
      </x:c>
    </x:row>
    <x:row r="510" ht="23" customHeight="1">
      <x:c r="A510" s="2" t="str">
        <x:v>LBN</x:v>
      </x:c>
      <x:c r="B510" s="2" t="str">
        <x:v>Lebanon (Lebanese Republic)</x:v>
      </x:c>
      <x:c r="C510" s="2" t="n">
        <x:v>2015</x:v>
      </x:c>
      <x:c r="D510" s="2" t="str">
        <x:v>GHSL_SURFACE</x:v>
      </x:c>
      <x:c r="E510" s="17" t="n">
        <x:v>216766434.49609855</x:v>
      </x:c>
      <x:c r="F510" s="17" t="n">
        <x:f>IF(AND(M510,ISNUMBER(R510)),IF(D510="TEMPO_PROXY",R510,IF(AND(ISNUMBER(S510),S510&gt;0,ISNUMBER(U510)),U510*R510/S510,"n.a.")),"n.a.")</x:f>
        <x:v>277944296.9866405</x:v>
      </x:c>
      <x:c r="G510" s="17" t="n">
        <x:f>IF(AND(ISNUMBER(E510),ISNUMBER(F510)),E510-F510,"n.a.")</x:f>
        <x:v>-61177862.490541965</x:v>
      </x:c>
      <x:c r="H510" s="15" t="n">
        <x:f>IF(AND(ISNUMBER(E510),ISNUMBER(F510),F510&gt;0),(E510-F510)/F510,"n.a.")</x:f>
        <x:v>-0.2201083567959752</x:v>
      </x:c>
      <x:c r="I510" s="19" t="n">
        <x:f>IF(ISNUMBER(H510),ABS(H510),"n.a.")</x:f>
        <x:v>0.2201083567959752</x:v>
      </x:c>
      <x:c r="J510" s="2" t="str">
        <x:v>available</x:v>
      </x:c>
      <x:c r="K510" s="2" t="n">
        <x:v>1</x:v>
      </x:c>
      <x:c r="L510" s="13" t="b">
        <x:v>0</x:v>
      </x:c>
      <x:c r="M510" s="13" t="b">
        <x:v>1</x:v>
      </x:c>
      <x:c r="N510" s="2" t="str">
        <x:v>historical source estimate</x:v>
      </x:c>
      <x:c r="O510" s="2" t="str"/>
      <x:c r="P510" s="2" t="str">
        <x:v>horizontal built-up surface</x:v>
      </x:c>
      <x:c r="Q510" s="2" t="str">
        <x:v>m2</x:v>
      </x:c>
      <x:c r="R510" s="17" t="n">
        <x:v>273112424</x:v>
      </x:c>
      <x:c r="S510" s="17" t="n">
        <x:v>222783609.45</x:v>
      </x:c>
      <x:c r="T510" s="18" t="n">
        <x:v>1.0176918827634165</x:v>
      </x:c>
      <x:c r="U510" s="17" t="n">
        <x:v>226725070.95000017</x:v>
      </x:c>
      <x:c r="V510" s="2" t="str">
        <x:v>Area equivalent = model2020 * source surface / TEMPO2020 footprint</x:v>
      </x:c>
      <x:c r="W510" s="2" t="str">
        <x:v>legacy epoch_status=observed; not exact acquisition proof</x:v>
      </x:c>
      <x:c r="X510" s="2" t="str">
        <x:v>https://human-settlement.emergency.copernicus.eu/ghs_buS2023.php</x:v>
      </x:c>
    </x:row>
    <x:row r="511" ht="23" customHeight="1">
      <x:c r="A511" s="2" t="str">
        <x:v>LBR</x:v>
      </x:c>
      <x:c r="B511" s="2" t="str">
        <x:v>Liberia (Republic of)</x:v>
      </x:c>
      <x:c r="C511" s="2" t="n">
        <x:v>2015</x:v>
      </x:c>
      <x:c r="D511" s="2" t="str">
        <x:v>GHSL_SURFACE</x:v>
      </x:c>
      <x:c r="E511" s="17" t="n">
        <x:v>87042901.95199455</x:v>
      </x:c>
      <x:c r="F511" s="17" t="n">
        <x:f>IF(AND(M511,ISNUMBER(R511)),IF(D511="TEMPO_PROXY",R511,IF(AND(ISNUMBER(S511),S511&gt;0,ISNUMBER(U511)),U511*R511/S511,"n.a.")),"n.a.")</x:f>
        <x:v>184864885.00000027</x:v>
      </x:c>
      <x:c r="G511" s="17" t="n">
        <x:f>IF(AND(ISNUMBER(E511),ISNUMBER(F511)),E511-F511,"n.a.")</x:f>
        <x:v>-97821983.04800572</x:v>
      </x:c>
      <x:c r="H511" s="15" t="n">
        <x:f>IF(AND(ISNUMBER(E511),ISNUMBER(F511),F511&gt;0),(E511-F511)/F511,"n.a.")</x:f>
        <x:v>-0.529153944233409</x:v>
      </x:c>
      <x:c r="I511" s="19" t="n">
        <x:f>IF(ISNUMBER(H511),ABS(H511),"n.a.")</x:f>
        <x:v>0.529153944233409</x:v>
      </x:c>
      <x:c r="J511" s="2" t="str">
        <x:v>available</x:v>
      </x:c>
      <x:c r="K511" s="2" t="n">
        <x:v>1</x:v>
      </x:c>
      <x:c r="L511" s="13" t="b">
        <x:v>0</x:v>
      </x:c>
      <x:c r="M511" s="13" t="b">
        <x:v>1</x:v>
      </x:c>
      <x:c r="N511" s="2" t="str">
        <x:v>historical source estimate</x:v>
      </x:c>
      <x:c r="O511" s="2" t="str"/>
      <x:c r="P511" s="2" t="str">
        <x:v>horizontal built-up surface</x:v>
      </x:c>
      <x:c r="Q511" s="2" t="str">
        <x:v>m2</x:v>
      </x:c>
      <x:c r="R511" s="17" t="n">
        <x:v>184864885</x:v>
      </x:c>
      <x:c r="S511" s="17" t="n">
        <x:v>93713430.84</x:v>
      </x:c>
      <x:c r="T511" s="18" t="n">
        <x:v>1.0000000000000013</x:v>
      </x:c>
      <x:c r="U511" s="17" t="n">
        <x:v>93713430.84000014</x:v>
      </x:c>
      <x:c r="V511" s="2" t="str">
        <x:v>Area equivalent = model2020 * source surface / TEMPO2020 footprint</x:v>
      </x:c>
      <x:c r="W511" s="2" t="str">
        <x:v>legacy epoch_status=observed; not exact acquisition proof</x:v>
      </x:c>
      <x:c r="X511" s="2" t="str">
        <x:v>https://human-settlement.emergency.copernicus.eu/ghs_buS2023.php</x:v>
      </x:c>
    </x:row>
    <x:row r="512" ht="23" customHeight="1">
      <x:c r="A512" s="2" t="str">
        <x:v>LBY</x:v>
      </x:c>
      <x:c r="B512" s="2" t="str">
        <x:v>Libya (State of)</x:v>
      </x:c>
      <x:c r="C512" s="2" t="n">
        <x:v>2015</x:v>
      </x:c>
      <x:c r="D512" s="2" t="str">
        <x:v>GHSL_SURFACE</x:v>
      </x:c>
      <x:c r="E512" s="17" t="n">
        <x:v>451050058.3672139</x:v>
      </x:c>
      <x:c r="F512" s="17" t="n">
        <x:f>IF(AND(M512,ISNUMBER(R512)),IF(D512="TEMPO_PROXY",R512,IF(AND(ISNUMBER(S512),S512&gt;0,ISNUMBER(U512)),U512*R512/S512,"n.a.")),"n.a.")</x:f>
        <x:v>865080797.0000007</x:v>
      </x:c>
      <x:c r="G512" s="17" t="n">
        <x:f>IF(AND(ISNUMBER(E512),ISNUMBER(F512)),E512-F512,"n.a.")</x:f>
        <x:v>-414030738.6327868</x:v>
      </x:c>
      <x:c r="H512" s="15" t="n">
        <x:f>IF(AND(ISNUMBER(E512),ISNUMBER(F512),F512&gt;0),(E512-F512)/F512,"n.a.")</x:f>
        <x:v>-0.47860354786350257</x:v>
      </x:c>
      <x:c r="I512" s="19" t="n">
        <x:f>IF(ISNUMBER(H512),ABS(H512),"n.a.")</x:f>
        <x:v>0.47860354786350257</x:v>
      </x:c>
      <x:c r="J512" s="2" t="str">
        <x:v>available</x:v>
      </x:c>
      <x:c r="K512" s="2" t="n">
        <x:v>1</x:v>
      </x:c>
      <x:c r="L512" s="13" t="b">
        <x:v>0</x:v>
      </x:c>
      <x:c r="M512" s="13" t="b">
        <x:v>1</x:v>
      </x:c>
      <x:c r="N512" s="2" t="str">
        <x:v>historical source estimate</x:v>
      </x:c>
      <x:c r="O512" s="2" t="str"/>
      <x:c r="P512" s="2" t="str">
        <x:v>horizontal built-up surface</x:v>
      </x:c>
      <x:c r="Q512" s="2" t="str">
        <x:v>m2</x:v>
      </x:c>
      <x:c r="R512" s="17" t="n">
        <x:v>865080797</x:v>
      </x:c>
      <x:c r="S512" s="17" t="n">
        <x:v>523048577.3</x:v>
      </x:c>
      <x:c r="T512" s="18" t="n">
        <x:v>1.0000000000000009</x:v>
      </x:c>
      <x:c r="U512" s="17" t="n">
        <x:v>523048577.3000005</x:v>
      </x:c>
      <x:c r="V512" s="2" t="str">
        <x:v>Area equivalent = model2020 * source surface / TEMPO2020 footprint</x:v>
      </x:c>
      <x:c r="W512" s="2" t="str">
        <x:v>legacy epoch_status=observed; not exact acquisition proof</x:v>
      </x:c>
      <x:c r="X512" s="2" t="str">
        <x:v>https://human-settlement.emergency.copernicus.eu/ghs_buS2023.php</x:v>
      </x:c>
    </x:row>
    <x:row r="513" ht="23" customHeight="1">
      <x:c r="A513" s="2" t="str">
        <x:v>LCA</x:v>
      </x:c>
      <x:c r="B513" s="2" t="str">
        <x:v>Saint Lucia</x:v>
      </x:c>
      <x:c r="C513" s="2" t="n">
        <x:v>2015</x:v>
      </x:c>
      <x:c r="D513" s="2" t="str">
        <x:v>GHSL_SURFACE</x:v>
      </x:c>
      <x:c r="E513" s="17" t="n">
        <x:v>8882463.634134484</x:v>
      </x:c>
      <x:c r="F513" s="17" t="n">
        <x:f>IF(AND(M513,ISNUMBER(R513)),IF(D513="TEMPO_PROXY",R513,IF(AND(ISNUMBER(S513),S513&gt;0,ISNUMBER(U513)),U513*R513/S513,"n.a.")),"n.a.")</x:f>
        <x:v>12918932.000000024</x:v>
      </x:c>
      <x:c r="G513" s="17" t="n">
        <x:f>IF(AND(ISNUMBER(E513),ISNUMBER(F513)),E513-F513,"n.a.")</x:f>
        <x:v>-4036468.3658655398</x:v>
      </x:c>
      <x:c r="H513" s="15" t="n">
        <x:f>IF(AND(ISNUMBER(E513),ISNUMBER(F513),F513&gt;0),(E513-F513)/F513,"n.a.")</x:f>
        <x:v>-0.3124459797346663</x:v>
      </x:c>
      <x:c r="I513" s="19" t="n">
        <x:f>IF(ISNUMBER(H513),ABS(H513),"n.a.")</x:f>
        <x:v>0.3124459797346663</x:v>
      </x:c>
      <x:c r="J513" s="2" t="str">
        <x:v>available</x:v>
      </x:c>
      <x:c r="K513" s="2" t="n">
        <x:v>1</x:v>
      </x:c>
      <x:c r="L513" s="13" t="b">
        <x:v>0</x:v>
      </x:c>
      <x:c r="M513" s="13" t="b">
        <x:v>1</x:v>
      </x:c>
      <x:c r="N513" s="2" t="str">
        <x:v>historical source estimate</x:v>
      </x:c>
      <x:c r="O513" s="2" t="str"/>
      <x:c r="P513" s="2" t="str">
        <x:v>horizontal built-up surface</x:v>
      </x:c>
      <x:c r="Q513" s="2" t="str">
        <x:v>m2</x:v>
      </x:c>
      <x:c r="R513" s="17" t="n">
        <x:v>12918932</x:v>
      </x:c>
      <x:c r="S513" s="17" t="n">
        <x:v>10226894.6</x:v>
      </x:c>
      <x:c r="T513" s="18" t="n">
        <x:v>1.0000000000000018</x:v>
      </x:c>
      <x:c r="U513" s="17" t="n">
        <x:v>10226894.600000018</x:v>
      </x:c>
      <x:c r="V513" s="2" t="str">
        <x:v>Area equivalent = model2020 * source surface / TEMPO2020 footprint</x:v>
      </x:c>
      <x:c r="W513" s="2" t="str">
        <x:v>legacy epoch_status=observed; not exact acquisition proof</x:v>
      </x:c>
      <x:c r="X513" s="2" t="str">
        <x:v>https://human-settlement.emergency.copernicus.eu/ghs_buS2023.php</x:v>
      </x:c>
    </x:row>
    <x:row r="514" ht="23" customHeight="1">
      <x:c r="A514" s="2" t="str">
        <x:v>LIE</x:v>
      </x:c>
      <x:c r="B514" s="2" t="str">
        <x:v>Liechtenstein (Principality of)</x:v>
      </x:c>
      <x:c r="C514" s="2" t="n">
        <x:v>2015</x:v>
      </x:c>
      <x:c r="D514" s="2" t="str">
        <x:v>GHSL_SURFACE</x:v>
      </x:c>
      <x:c r="E514" s="17" t="n">
        <x:v>3201232.1963177915</x:v>
      </x:c>
      <x:c r="F514" s="17" t="n">
        <x:f>IF(AND(M514,ISNUMBER(R514)),IF(D514="TEMPO_PROXY",R514,IF(AND(ISNUMBER(S514),S514&gt;0,ISNUMBER(U514)),U514*R514/S514,"n.a.")),"n.a.")</x:f>
        <x:v>4663673.138928813</x:v>
      </x:c>
      <x:c r="G514" s="17" t="n">
        <x:f>IF(AND(ISNUMBER(E514),ISNUMBER(F514)),E514-F514,"n.a.")</x:f>
        <x:v>-1462440.9426110215</x:v>
      </x:c>
      <x:c r="H514" s="15" t="n">
        <x:f>IF(AND(ISNUMBER(E514),ISNUMBER(F514),F514&gt;0),(E514-F514)/F514,"n.a.")</x:f>
        <x:v>-0.3135813550919063</x:v>
      </x:c>
      <x:c r="I514" s="19" t="n">
        <x:f>IF(ISNUMBER(H514),ABS(H514),"n.a.")</x:f>
        <x:v>0.3135813550919063</x:v>
      </x:c>
      <x:c r="J514" s="2" t="str">
        <x:v>available</x:v>
      </x:c>
      <x:c r="K514" s="2" t="n">
        <x:v>1</x:v>
      </x:c>
      <x:c r="L514" s="13" t="b">
        <x:v>0</x:v>
      </x:c>
      <x:c r="M514" s="13" t="b">
        <x:v>1</x:v>
      </x:c>
      <x:c r="N514" s="2" t="str">
        <x:v>historical source estimate</x:v>
      </x:c>
      <x:c r="O514" s="2" t="str"/>
      <x:c r="P514" s="2" t="str">
        <x:v>horizontal built-up surface</x:v>
      </x:c>
      <x:c r="Q514" s="2" t="str">
        <x:v>m2</x:v>
      </x:c>
      <x:c r="R514" s="17" t="n">
        <x:v>4523788</x:v>
      </x:c>
      <x:c r="S514" s="17" t="n">
        <x:v>3519854.45</x:v>
      </x:c>
      <x:c r="T514" s="18" t="n">
        <x:v>1.0309221252032177</x:v>
      </x:c>
      <x:c r="U514" s="17" t="n">
        <x:v>3628695.830000003</x:v>
      </x:c>
      <x:c r="V514" s="2" t="str">
        <x:v>Area equivalent = model2020 * source surface / TEMPO2020 footprint</x:v>
      </x:c>
      <x:c r="W514" s="2" t="str">
        <x:v>legacy epoch_status=observed; not exact acquisition proof</x:v>
      </x:c>
      <x:c r="X514" s="2" t="str">
        <x:v>https://human-settlement.emergency.copernicus.eu/ghs_buS2023.php</x:v>
      </x:c>
    </x:row>
    <x:row r="515" ht="23" customHeight="1">
      <x:c r="A515" s="2" t="str">
        <x:v>LKA</x:v>
      </x:c>
      <x:c r="B515" s="2" t="str">
        <x:v>Sri Lanka (Democratic Socialist Republic of)</x:v>
      </x:c>
      <x:c r="C515" s="2" t="n">
        <x:v>2015</x:v>
      </x:c>
      <x:c r="D515" s="2" t="str">
        <x:v>GHSL_SURFACE</x:v>
      </x:c>
      <x:c r="E515" s="17" t="n">
        <x:v>724754528.0104082</x:v>
      </x:c>
      <x:c r="F515" s="17" t="n">
        <x:f>IF(AND(M515,ISNUMBER(R515)),IF(D515="TEMPO_PROXY",R515,IF(AND(ISNUMBER(S515),S515&gt;0,ISNUMBER(U515)),U515*R515/S515,"n.a.")),"n.a.")</x:f>
        <x:v>787383522.0000007</x:v>
      </x:c>
      <x:c r="G515" s="17" t="n">
        <x:f>IF(AND(ISNUMBER(E515),ISNUMBER(F515)),E515-F515,"n.a.")</x:f>
        <x:v>-62628993.98959255</x:v>
      </x:c>
      <x:c r="H515" s="15" t="n">
        <x:f>IF(AND(ISNUMBER(E515),ISNUMBER(F515),F515&gt;0),(E515-F515)/F515,"n.a.")</x:f>
        <x:v>-0.07954064599994574</x:v>
      </x:c>
      <x:c r="I515" s="19" t="n">
        <x:f>IF(ISNUMBER(H515),ABS(H515),"n.a.")</x:f>
        <x:v>0.07954064599994574</x:v>
      </x:c>
      <x:c r="J515" s="2" t="str">
        <x:v>available</x:v>
      </x:c>
      <x:c r="K515" s="2" t="n">
        <x:v>1</x:v>
      </x:c>
      <x:c r="L515" s="13" t="b">
        <x:v>0</x:v>
      </x:c>
      <x:c r="M515" s="13" t="b">
        <x:v>1</x:v>
      </x:c>
      <x:c r="N515" s="2" t="str">
        <x:v>historical source estimate</x:v>
      </x:c>
      <x:c r="O515" s="2" t="str"/>
      <x:c r="P515" s="2" t="str">
        <x:v>horizontal built-up surface</x:v>
      </x:c>
      <x:c r="Q515" s="2" t="str">
        <x:v>m2</x:v>
      </x:c>
      <x:c r="R515" s="17" t="n">
        <x:v>787383522</x:v>
      </x:c>
      <x:c r="S515" s="17" t="n">
        <x:v>899293602.29</x:v>
      </x:c>
      <x:c r="T515" s="18" t="n">
        <x:v>1.0000000000000009</x:v>
      </x:c>
      <x:c r="U515" s="17" t="n">
        <x:v>899293602.2900008</x:v>
      </x:c>
      <x:c r="V515" s="2" t="str">
        <x:v>Area equivalent = model2020 * source surface / TEMPO2020 footprint</x:v>
      </x:c>
      <x:c r="W515" s="2" t="str">
        <x:v>legacy epoch_status=observed; not exact acquisition proof</x:v>
      </x:c>
      <x:c r="X515" s="2" t="str">
        <x:v>https://human-settlement.emergency.copernicus.eu/ghs_buS2023.php</x:v>
      </x:c>
    </x:row>
    <x:row r="516" ht="23" customHeight="1">
      <x:c r="A516" s="2" t="str">
        <x:v>LSO</x:v>
      </x:c>
      <x:c r="B516" s="2" t="str">
        <x:v>Lesotho (Kingdom of)</x:v>
      </x:c>
      <x:c r="C516" s="2" t="n">
        <x:v>2015</x:v>
      </x:c>
      <x:c r="D516" s="2" t="str">
        <x:v>GHSL_SURFACE</x:v>
      </x:c>
      <x:c r="E516" s="17" t="n">
        <x:v>50326429.45555801</x:v>
      </x:c>
      <x:c r="F516" s="17" t="n">
        <x:f>IF(AND(M516,ISNUMBER(R516)),IF(D516="TEMPO_PROXY",R516,IF(AND(ISNUMBER(S516),S516&gt;0,ISNUMBER(U516)),U516*R516/S516,"n.a.")),"n.a.")</x:f>
        <x:v>175313067.0000002</x:v>
      </x:c>
      <x:c r="G516" s="17" t="n">
        <x:f>IF(AND(ISNUMBER(E516),ISNUMBER(F516)),E516-F516,"n.a.")</x:f>
        <x:v>-124986637.5444422</x:v>
      </x:c>
      <x:c r="H516" s="15" t="n">
        <x:f>IF(AND(ISNUMBER(E516),ISNUMBER(F516),F516&gt;0),(E516-F516)/F516,"n.a.")</x:f>
        <x:v>-0.7129339511494717</x:v>
      </x:c>
      <x:c r="I516" s="19" t="n">
        <x:f>IF(ISNUMBER(H516),ABS(H516),"n.a.")</x:f>
        <x:v>0.7129339511494717</x:v>
      </x:c>
      <x:c r="J516" s="2" t="str">
        <x:v>available</x:v>
      </x:c>
      <x:c r="K516" s="2" t="n">
        <x:v>1</x:v>
      </x:c>
      <x:c r="L516" s="13" t="b">
        <x:v>0</x:v>
      </x:c>
      <x:c r="M516" s="13" t="b">
        <x:v>1</x:v>
      </x:c>
      <x:c r="N516" s="2" t="str">
        <x:v>historical source estimate</x:v>
      </x:c>
      <x:c r="O516" s="2" t="str"/>
      <x:c r="P516" s="2" t="str">
        <x:v>horizontal built-up surface</x:v>
      </x:c>
      <x:c r="Q516" s="2" t="str">
        <x:v>m2</x:v>
      </x:c>
      <x:c r="R516" s="17" t="n">
        <x:v>175313067</x:v>
      </x:c>
      <x:c r="S516" s="17" t="n">
        <x:v>60655167.15</x:v>
      </x:c>
      <x:c r="T516" s="18" t="n">
        <x:v>1.0000000000000013</x:v>
      </x:c>
      <x:c r="U516" s="17" t="n">
        <x:v>60655167.15000007</x:v>
      </x:c>
      <x:c r="V516" s="2" t="str">
        <x:v>Area equivalent = model2020 * source surface / TEMPO2020 footprint</x:v>
      </x:c>
      <x:c r="W516" s="2" t="str">
        <x:v>legacy epoch_status=observed; not exact acquisition proof</x:v>
      </x:c>
      <x:c r="X516" s="2" t="str">
        <x:v>https://human-settlement.emergency.copernicus.eu/ghs_buS2023.php</x:v>
      </x:c>
    </x:row>
    <x:row r="517" ht="23" customHeight="1">
      <x:c r="A517" s="2" t="str">
        <x:v>LTU</x:v>
      </x:c>
      <x:c r="B517" s="2" t="str">
        <x:v>Lithuania (Republic of)</x:v>
      </x:c>
      <x:c r="C517" s="2" t="n">
        <x:v>2015</x:v>
      </x:c>
      <x:c r="D517" s="2" t="str">
        <x:v>GHSL_SURFACE</x:v>
      </x:c>
      <x:c r="E517" s="17" t="n">
        <x:v>256994964.96758032</x:v>
      </x:c>
      <x:c r="F517" s="17" t="n">
        <x:f>IF(AND(M517,ISNUMBER(R517)),IF(D517="TEMPO_PROXY",R517,IF(AND(ISNUMBER(S517),S517&gt;0,ISNUMBER(U517)),U517*R517/S517,"n.a.")),"n.a.")</x:f>
        <x:v>454888217.9999995</x:v>
      </x:c>
      <x:c r="G517" s="17" t="n">
        <x:f>IF(AND(ISNUMBER(E517),ISNUMBER(F517)),E517-F517,"n.a.")</x:f>
        <x:v>-197893253.0324192</x:v>
      </x:c>
      <x:c r="H517" s="15" t="n">
        <x:f>IF(AND(ISNUMBER(E517),ISNUMBER(F517),F517&gt;0),(E517-F517)/F517,"n.a.")</x:f>
        <x:v>-0.4350371040659035</x:v>
      </x:c>
      <x:c r="I517" s="19" t="n">
        <x:f>IF(ISNUMBER(H517),ABS(H517),"n.a.")</x:f>
        <x:v>0.4350371040659035</x:v>
      </x:c>
      <x:c r="J517" s="2" t="str">
        <x:v>available</x:v>
      </x:c>
      <x:c r="K517" s="2" t="n">
        <x:v>1</x:v>
      </x:c>
      <x:c r="L517" s="13" t="b">
        <x:v>0</x:v>
      </x:c>
      <x:c r="M517" s="13" t="b">
        <x:v>1</x:v>
      </x:c>
      <x:c r="N517" s="2" t="str">
        <x:v>historical source estimate</x:v>
      </x:c>
      <x:c r="O517" s="2" t="str"/>
      <x:c r="P517" s="2" t="str">
        <x:v>horizontal built-up surface</x:v>
      </x:c>
      <x:c r="Q517" s="2" t="str">
        <x:v>m2</x:v>
      </x:c>
      <x:c r="R517" s="17" t="n">
        <x:v>454888218</x:v>
      </x:c>
      <x:c r="S517" s="17" t="n">
        <x:v>269070067.62</x:v>
      </x:c>
      <x:c r="T517" s="18" t="n">
        <x:v>0.9999999999999989</x:v>
      </x:c>
      <x:c r="U517" s="17" t="n">
        <x:v>269070067.6199997</x:v>
      </x:c>
      <x:c r="V517" s="2" t="str">
        <x:v>Area equivalent = model2020 * source surface / TEMPO2020 footprint</x:v>
      </x:c>
      <x:c r="W517" s="2" t="str">
        <x:v>legacy epoch_status=observed; not exact acquisition proof</x:v>
      </x:c>
      <x:c r="X517" s="2" t="str">
        <x:v>https://human-settlement.emergency.copernicus.eu/ghs_buS2023.php</x:v>
      </x:c>
    </x:row>
    <x:row r="518" ht="23" customHeight="1">
      <x:c r="A518" s="2" t="str">
        <x:v>LUX</x:v>
      </x:c>
      <x:c r="B518" s="2" t="str">
        <x:v>Luxembourg (Grand Duchy of)</x:v>
      </x:c>
      <x:c r="C518" s="2" t="n">
        <x:v>2015</x:v>
      </x:c>
      <x:c r="D518" s="2" t="str">
        <x:v>GHSL_SURFACE</x:v>
      </x:c>
      <x:c r="E518" s="17" t="n">
        <x:v>45518478.90477848</x:v>
      </x:c>
      <x:c r="F518" s="17" t="n">
        <x:f>IF(AND(M518,ISNUMBER(R518)),IF(D518="TEMPO_PROXY",R518,IF(AND(ISNUMBER(S518),S518&gt;0,ISNUMBER(U518)),U518*R518/S518,"n.a.")),"n.a.")</x:f>
        <x:v>71605464.74436457</x:v>
      </x:c>
      <x:c r="G518" s="17" t="n">
        <x:f>IF(AND(ISNUMBER(E518),ISNUMBER(F518)),E518-F518,"n.a.")</x:f>
        <x:v>-26086985.839586094</x:v>
      </x:c>
      <x:c r="H518" s="15" t="n">
        <x:f>IF(AND(ISNUMBER(E518),ISNUMBER(F518),F518&gt;0),(E518-F518)/F518,"n.a.")</x:f>
        <x:v>-0.3643155719010841</x:v>
      </x:c>
      <x:c r="I518" s="19" t="n">
        <x:f>IF(ISNUMBER(H518),ABS(H518),"n.a.")</x:f>
        <x:v>0.3643155719010841</x:v>
      </x:c>
      <x:c r="J518" s="2" t="str">
        <x:v>available</x:v>
      </x:c>
      <x:c r="K518" s="2" t="n">
        <x:v>1</x:v>
      </x:c>
      <x:c r="L518" s="13" t="b">
        <x:v>0</x:v>
      </x:c>
      <x:c r="M518" s="13" t="b">
        <x:v>1</x:v>
      </x:c>
      <x:c r="N518" s="2" t="str">
        <x:v>historical source estimate</x:v>
      </x:c>
      <x:c r="O518" s="2" t="str"/>
      <x:c r="P518" s="2" t="str">
        <x:v>horizontal built-up surface</x:v>
      </x:c>
      <x:c r="Q518" s="2" t="str">
        <x:v>m2</x:v>
      </x:c>
      <x:c r="R518" s="17" t="n">
        <x:v>63202814</x:v>
      </x:c>
      <x:c r="S518" s="17" t="n">
        <x:v>43297332.17</x:v>
      </x:c>
      <x:c r="T518" s="18" t="n">
        <x:v>1.132947415037004</x:v>
      </x:c>
      <x:c r="U518" s="17" t="n">
        <x:v>49053600.56000002</x:v>
      </x:c>
      <x:c r="V518" s="2" t="str">
        <x:v>Area equivalent = model2020 * source surface / TEMPO2020 footprint</x:v>
      </x:c>
      <x:c r="W518" s="2" t="str">
        <x:v>legacy epoch_status=observed; not exact acquisition proof</x:v>
      </x:c>
      <x:c r="X518" s="2" t="str">
        <x:v>https://human-settlement.emergency.copernicus.eu/ghs_buS2023.php</x:v>
      </x:c>
    </x:row>
    <x:row r="519" ht="23" customHeight="1">
      <x:c r="A519" s="2" t="str">
        <x:v>LVA</x:v>
      </x:c>
      <x:c r="B519" s="2" t="str">
        <x:v>Latvia (Republic of)</x:v>
      </x:c>
      <x:c r="C519" s="2" t="n">
        <x:v>2015</x:v>
      </x:c>
      <x:c r="D519" s="2" t="str">
        <x:v>GHSL_SURFACE</x:v>
      </x:c>
      <x:c r="E519" s="17" t="n">
        <x:v>140683330.01405793</x:v>
      </x:c>
      <x:c r="F519" s="17" t="n">
        <x:f>IF(AND(M519,ISNUMBER(R519)),IF(D519="TEMPO_PROXY",R519,IF(AND(ISNUMBER(S519),S519&gt;0,ISNUMBER(U519)),U519*R519/S519,"n.a.")),"n.a.")</x:f>
        <x:v>246085726.99999985</x:v>
      </x:c>
      <x:c r="G519" s="17" t="n">
        <x:f>IF(AND(ISNUMBER(E519),ISNUMBER(F519)),E519-F519,"n.a.")</x:f>
        <x:v>-105402396.98594192</x:v>
      </x:c>
      <x:c r="H519" s="15" t="n">
        <x:f>IF(AND(ISNUMBER(E519),ISNUMBER(F519),F519&gt;0),(E519-F519)/F519,"n.a.")</x:f>
        <x:v>-0.4283157673177119</x:v>
      </x:c>
      <x:c r="I519" s="19" t="n">
        <x:f>IF(ISNUMBER(H519),ABS(H519),"n.a.")</x:f>
        <x:v>0.4283157673177119</x:v>
      </x:c>
      <x:c r="J519" s="2" t="str">
        <x:v>available</x:v>
      </x:c>
      <x:c r="K519" s="2" t="n">
        <x:v>1</x:v>
      </x:c>
      <x:c r="L519" s="13" t="b">
        <x:v>0</x:v>
      </x:c>
      <x:c r="M519" s="13" t="b">
        <x:v>1</x:v>
      </x:c>
      <x:c r="N519" s="2" t="str">
        <x:v>historical source estimate</x:v>
      </x:c>
      <x:c r="O519" s="2" t="str"/>
      <x:c r="P519" s="2" t="str">
        <x:v>horizontal built-up surface</x:v>
      </x:c>
      <x:c r="Q519" s="2" t="str">
        <x:v>m2</x:v>
      </x:c>
      <x:c r="R519" s="17" t="n">
        <x:v>246085727</x:v>
      </x:c>
      <x:c r="S519" s="17" t="n">
        <x:v>145154805.19</x:v>
      </x:c>
      <x:c r="T519" s="18" t="n">
        <x:v>0.9999999999999993</x:v>
      </x:c>
      <x:c r="U519" s="17" t="n">
        <x:v>145154805.1899999</x:v>
      </x:c>
      <x:c r="V519" s="2" t="str">
        <x:v>Area equivalent = model2020 * source surface / TEMPO2020 footprint</x:v>
      </x:c>
      <x:c r="W519" s="2" t="str">
        <x:v>legacy epoch_status=observed; not exact acquisition proof</x:v>
      </x:c>
      <x:c r="X519" s="2" t="str">
        <x:v>https://human-settlement.emergency.copernicus.eu/ghs_buS2023.php</x:v>
      </x:c>
    </x:row>
    <x:row r="520" ht="23" customHeight="1">
      <x:c r="A520" s="2" t="str">
        <x:v>MAR</x:v>
      </x:c>
      <x:c r="B520" s="2" t="str">
        <x:v>Morocco (Kingdom of)</x:v>
      </x:c>
      <x:c r="C520" s="2" t="n">
        <x:v>2015</x:v>
      </x:c>
      <x:c r="D520" s="2" t="str">
        <x:v>GHSL_SURFACE</x:v>
      </x:c>
      <x:c r="E520" s="17" t="n">
        <x:v>1142910844.8265724</x:v>
      </x:c>
      <x:c r="F520" s="17" t="n">
        <x:f>IF(AND(M520,ISNUMBER(R520)),IF(D520="TEMPO_PROXY",R520,IF(AND(ISNUMBER(S520),S520&gt;0,ISNUMBER(U520)),U520*R520/S520,"n.a.")),"n.a.")</x:f>
        <x:v>798077746.1605803</x:v>
      </x:c>
      <x:c r="G520" s="17" t="n">
        <x:f>IF(AND(ISNUMBER(E520),ISNUMBER(F520)),E520-F520,"n.a.")</x:f>
        <x:v>344833098.66599214</x:v>
      </x:c>
      <x:c r="H520" s="15" t="n">
        <x:f>IF(AND(ISNUMBER(E520),ISNUMBER(F520),F520&gt;0),(E520-F520)/F520,"n.a.")</x:f>
        <x:v>0.4320795816258842</x:v>
      </x:c>
      <x:c r="I520" s="19" t="n">
        <x:f>IF(ISNUMBER(H520),ABS(H520),"n.a.")</x:f>
        <x:v>0.4320795816258842</x:v>
      </x:c>
      <x:c r="J520" s="2" t="str">
        <x:v>available</x:v>
      </x:c>
      <x:c r="K520" s="2" t="n">
        <x:v>1</x:v>
      </x:c>
      <x:c r="L520" s="13" t="b">
        <x:v>0</x:v>
      </x:c>
      <x:c r="M520" s="13" t="b">
        <x:v>1</x:v>
      </x:c>
      <x:c r="N520" s="2" t="str">
        <x:v>historical source estimate</x:v>
      </x:c>
      <x:c r="O520" s="2" t="str"/>
      <x:c r="P520" s="2" t="str">
        <x:v>horizontal built-up surface</x:v>
      </x:c>
      <x:c r="Q520" s="2" t="str">
        <x:v>m2</x:v>
      </x:c>
      <x:c r="R520" s="17" t="n">
        <x:v>761367955</x:v>
      </x:c>
      <x:c r="S520" s="17" t="n">
        <x:v>1189658461.93</x:v>
      </x:c>
      <x:c r="T520" s="18" t="n">
        <x:v>1.0482155716161974</x:v>
      </x:c>
      <x:c r="U520" s="17" t="n">
        <x:v>1247018524.7000012</x:v>
      </x:c>
      <x:c r="V520" s="2" t="str">
        <x:v>Area equivalent = model2020 * source surface / TEMPO2020 footprint</x:v>
      </x:c>
      <x:c r="W520" s="2" t="str">
        <x:v>legacy epoch_status=observed; not exact acquisition proof</x:v>
      </x:c>
      <x:c r="X520" s="2" t="str">
        <x:v>https://human-settlement.emergency.copernicus.eu/ghs_buS2023.php</x:v>
      </x:c>
    </x:row>
    <x:row r="521" ht="23" customHeight="1">
      <x:c r="A521" s="2" t="str">
        <x:v>MCO</x:v>
      </x:c>
      <x:c r="B521" s="2" t="str">
        <x:v>Monaco (Principality of)</x:v>
      </x:c>
      <x:c r="C521" s="2" t="n">
        <x:v>2015</x:v>
      </x:c>
      <x:c r="D521" s="2" t="str">
        <x:v>GHSL_SURFACE</x:v>
      </x:c>
      <x:c r="E521" s="17" t="n">
        <x:v>1552878.5574787627</x:v>
      </x:c>
      <x:c r="F521" s="17" t="n">
        <x:f>IF(AND(M521,ISNUMBER(R521)),IF(D521="TEMPO_PROXY",R521,IF(AND(ISNUMBER(S521),S521&gt;0,ISNUMBER(U521)),U521*R521/S521,"n.a.")),"n.a.")</x:f>
        <x:v>1397172.5760004073</x:v>
      </x:c>
      <x:c r="G521" s="17" t="n">
        <x:f>IF(AND(ISNUMBER(E521),ISNUMBER(F521)),E521-F521,"n.a.")</x:f>
        <x:v>155705.98147835536</x:v>
      </x:c>
      <x:c r="H521" s="15" t="n">
        <x:f>IF(AND(ISNUMBER(E521),ISNUMBER(F521),F521&gt;0),(E521-F521)/F521,"n.a.")</x:f>
        <x:v>0.11144362847722397</x:v>
      </x:c>
      <x:c r="I521" s="19" t="n">
        <x:f>IF(ISNUMBER(H521),ABS(H521),"n.a.")</x:f>
        <x:v>0.11144362847722397</x:v>
      </x:c>
      <x:c r="J521" s="2" t="str">
        <x:v>available</x:v>
      </x:c>
      <x:c r="K521" s="2" t="n">
        <x:v>1</x:v>
      </x:c>
      <x:c r="L521" s="13" t="b">
        <x:v>0</x:v>
      </x:c>
      <x:c r="M521" s="13" t="b">
        <x:v>1</x:v>
      </x:c>
      <x:c r="N521" s="2" t="str">
        <x:v>historical source estimate</x:v>
      </x:c>
      <x:c r="O521" s="2" t="str"/>
      <x:c r="P521" s="2" t="str">
        <x:v>horizontal built-up surface</x:v>
      </x:c>
      <x:c r="Q521" s="2" t="str">
        <x:v>m2</x:v>
      </x:c>
      <x:c r="R521" s="17" t="n">
        <x:v>496183</x:v>
      </x:c>
      <x:c r="S521" s="17" t="n">
        <x:v>555169</x:v>
      </x:c>
      <x:c r="T521" s="18" t="n">
        <x:v>2.8158412843656624</x:v>
      </x:c>
      <x:c r="U521" s="17" t="n">
        <x:v>1563267.7900000005</x:v>
      </x:c>
      <x:c r="V521" s="2" t="str">
        <x:v>Area equivalent = model2020 * source surface / TEMPO2020 footprint</x:v>
      </x:c>
      <x:c r="W521" s="2" t="str">
        <x:v>legacy epoch_status=observed; not exact acquisition proof</x:v>
      </x:c>
      <x:c r="X521" s="2" t="str">
        <x:v>https://human-settlement.emergency.copernicus.eu/ghs_buS2023.php</x:v>
      </x:c>
    </x:row>
    <x:row r="522" ht="23" customHeight="1">
      <x:c r="A522" s="2" t="str">
        <x:v>MDA</x:v>
      </x:c>
      <x:c r="B522" s="2" t="str">
        <x:v>Moldova (Republic of)</x:v>
      </x:c>
      <x:c r="C522" s="2" t="n">
        <x:v>2015</x:v>
      </x:c>
      <x:c r="D522" s="2" t="str">
        <x:v>GHSL_SURFACE</x:v>
      </x:c>
      <x:c r="E522" s="17" t="n">
        <x:v>247909213.73238635</x:v>
      </x:c>
      <x:c r="F522" s="17" t="n">
        <x:f>IF(AND(M522,ISNUMBER(R522)),IF(D522="TEMPO_PROXY",R522,IF(AND(ISNUMBER(S522),S522&gt;0,ISNUMBER(U522)),U522*R522/S522,"n.a.")),"n.a.")</x:f>
        <x:v>475021562.9999992</x:v>
      </x:c>
      <x:c r="G522" s="17" t="n">
        <x:f>IF(AND(ISNUMBER(E522),ISNUMBER(F522)),E522-F522,"n.a.")</x:f>
        <x:v>-227112349.26761287</x:v>
      </x:c>
      <x:c r="H522" s="15" t="n">
        <x:f>IF(AND(ISNUMBER(E522),ISNUMBER(F522),F522&gt;0),(E522-F522)/F522,"n.a.")</x:f>
        <x:v>-0.4781095574552123</x:v>
      </x:c>
      <x:c r="I522" s="19" t="n">
        <x:f>IF(ISNUMBER(H522),ABS(H522),"n.a.")</x:f>
        <x:v>0.4781095574552123</x:v>
      </x:c>
      <x:c r="J522" s="2" t="str">
        <x:v>available</x:v>
      </x:c>
      <x:c r="K522" s="2" t="n">
        <x:v>1</x:v>
      </x:c>
      <x:c r="L522" s="13" t="b">
        <x:v>0</x:v>
      </x:c>
      <x:c r="M522" s="13" t="b">
        <x:v>1</x:v>
      </x:c>
      <x:c r="N522" s="2" t="str">
        <x:v>historical source estimate</x:v>
      </x:c>
      <x:c r="O522" s="2" t="str"/>
      <x:c r="P522" s="2" t="str">
        <x:v>horizontal built-up surface</x:v>
      </x:c>
      <x:c r="Q522" s="2" t="str">
        <x:v>m2</x:v>
      </x:c>
      <x:c r="R522" s="17" t="n">
        <x:v>475021563</x:v>
      </x:c>
      <x:c r="S522" s="17" t="n">
        <x:v>254566854.83</x:v>
      </x:c>
      <x:c r="T522" s="18" t="n">
        <x:v>0.9999999999999983</x:v>
      </x:c>
      <x:c r="U522" s="17" t="n">
        <x:v>254566854.8299996</x:v>
      </x:c>
      <x:c r="V522" s="2" t="str">
        <x:v>Area equivalent = model2020 * source surface / TEMPO2020 footprint</x:v>
      </x:c>
      <x:c r="W522" s="2" t="str">
        <x:v>legacy epoch_status=observed; not exact acquisition proof</x:v>
      </x:c>
      <x:c r="X522" s="2" t="str">
        <x:v>https://human-settlement.emergency.copernicus.eu/ghs_buS2023.php</x:v>
      </x:c>
    </x:row>
    <x:row r="523" ht="23" customHeight="1">
      <x:c r="A523" s="2" t="str">
        <x:v>MDG</x:v>
      </x:c>
      <x:c r="B523" s="2" t="str">
        <x:v>Madagascar (Republic of)</x:v>
      </x:c>
      <x:c r="C523" s="2" t="n">
        <x:v>2015</x:v>
      </x:c>
      <x:c r="D523" s="2" t="str">
        <x:v>GHSL_SURFACE</x:v>
      </x:c>
      <x:c r="E523" s="17" t="n">
        <x:v>317984451.7483883</x:v>
      </x:c>
      <x:c r="F523" s="17" t="n">
        <x:f>IF(AND(M523,ISNUMBER(R523)),IF(D523="TEMPO_PROXY",R523,IF(AND(ISNUMBER(S523),S523&gt;0,ISNUMBER(U523)),U523*R523/S523,"n.a.")),"n.a.")</x:f>
        <x:v>711857480.9999988</x:v>
      </x:c>
      <x:c r="G523" s="17" t="n">
        <x:f>IF(AND(ISNUMBER(E523),ISNUMBER(F523)),E523-F523,"n.a.")</x:f>
        <x:v>-393873029.2516105</x:v>
      </x:c>
      <x:c r="H523" s="15" t="n">
        <x:f>IF(AND(ISNUMBER(E523),ISNUMBER(F523),F523&gt;0),(E523-F523)/F523,"n.a.")</x:f>
        <x:v>-0.5533032099322859</x:v>
      </x:c>
      <x:c r="I523" s="19" t="n">
        <x:f>IF(ISNUMBER(H523),ABS(H523),"n.a.")</x:f>
        <x:v>0.5533032099322859</x:v>
      </x:c>
      <x:c r="J523" s="2" t="str">
        <x:v>available</x:v>
      </x:c>
      <x:c r="K523" s="2" t="n">
        <x:v>1</x:v>
      </x:c>
      <x:c r="L523" s="13" t="b">
        <x:v>0</x:v>
      </x:c>
      <x:c r="M523" s="13" t="b">
        <x:v>1</x:v>
      </x:c>
      <x:c r="N523" s="2" t="str">
        <x:v>historical source estimate</x:v>
      </x:c>
      <x:c r="O523" s="2" t="str"/>
      <x:c r="P523" s="2" t="str">
        <x:v>horizontal built-up surface</x:v>
      </x:c>
      <x:c r="Q523" s="2" t="str">
        <x:v>m2</x:v>
      </x:c>
      <x:c r="R523" s="17" t="n">
        <x:v>711857481</x:v>
      </x:c>
      <x:c r="S523" s="17" t="n">
        <x:v>360823089.8</x:v>
      </x:c>
      <x:c r="T523" s="18" t="n">
        <x:v>0.9999999999999983</x:v>
      </x:c>
      <x:c r="U523" s="17" t="n">
        <x:v>360823089.7999994</x:v>
      </x:c>
      <x:c r="V523" s="2" t="str">
        <x:v>Area equivalent = model2020 * source surface / TEMPO2020 footprint</x:v>
      </x:c>
      <x:c r="W523" s="2" t="str">
        <x:v>legacy epoch_status=observed; not exact acquisition proof</x:v>
      </x:c>
      <x:c r="X523" s="2" t="str">
        <x:v>https://human-settlement.emergency.copernicus.eu/ghs_buS2023.php</x:v>
      </x:c>
    </x:row>
    <x:row r="524" ht="23" customHeight="1">
      <x:c r="A524" s="2" t="str">
        <x:v>MDV</x:v>
      </x:c>
      <x:c r="B524" s="2" t="str">
        <x:v>Maldives (Republic of)</x:v>
      </x:c>
      <x:c r="C524" s="2" t="n">
        <x:v>2015</x:v>
      </x:c>
      <x:c r="D524" s="2" t="str">
        <x:v>GHSL_SURFACE</x:v>
      </x:c>
      <x:c r="E524" s="17" t="n">
        <x:v>2180948.3287212565</x:v>
      </x:c>
      <x:c r="F524" s="17" t="n">
        <x:f>IF(AND(M524,ISNUMBER(R524)),IF(D524="TEMPO_PROXY",R524,IF(AND(ISNUMBER(S524),S524&gt;0,ISNUMBER(U524)),U524*R524/S524,"n.a.")),"n.a.")</x:f>
        <x:v>956184.0000000003</x:v>
      </x:c>
      <x:c r="G524" s="17" t="n">
        <x:f>IF(AND(ISNUMBER(E524),ISNUMBER(F524)),E524-F524,"n.a.")</x:f>
        <x:v>1224764.328721256</x:v>
      </x:c>
      <x:c r="H524" s="15" t="n">
        <x:f>IF(AND(ISNUMBER(E524),ISNUMBER(F524),F524&gt;0),(E524-F524)/F524,"n.a.")</x:f>
        <x:v>1.2808877043762033</x:v>
      </x:c>
      <x:c r="I524" s="19" t="n">
        <x:f>IF(ISNUMBER(H524),ABS(H524),"n.a.")</x:f>
        <x:v>1.2808877043762033</x:v>
      </x:c>
      <x:c r="J524" s="2" t="str">
        <x:v>available</x:v>
      </x:c>
      <x:c r="K524" s="2" t="n">
        <x:v>1</x:v>
      </x:c>
      <x:c r="L524" s="13" t="b">
        <x:v>0</x:v>
      </x:c>
      <x:c r="M524" s="13" t="b">
        <x:v>1</x:v>
      </x:c>
      <x:c r="N524" s="2" t="str">
        <x:v>historical source estimate</x:v>
      </x:c>
      <x:c r="O524" s="2" t="str"/>
      <x:c r="P524" s="2" t="str">
        <x:v>horizontal built-up surface</x:v>
      </x:c>
      <x:c r="Q524" s="2" t="str">
        <x:v>m2</x:v>
      </x:c>
      <x:c r="R524" s="17" t="n">
        <x:v>956184</x:v>
      </x:c>
      <x:c r="S524" s="17" t="n">
        <x:v>2206666.83</x:v>
      </x:c>
      <x:c r="T524" s="18" t="n">
        <x:v>1.0000000000000004</x:v>
      </x:c>
      <x:c r="U524" s="17" t="n">
        <x:v>2206666.830000001</x:v>
      </x:c>
      <x:c r="V524" s="2" t="str">
        <x:v>Area equivalent = model2020 * source surface / TEMPO2020 footprint</x:v>
      </x:c>
      <x:c r="W524" s="2" t="str">
        <x:v>legacy epoch_status=observed; not exact acquisition proof</x:v>
      </x:c>
      <x:c r="X524" s="2" t="str">
        <x:v>https://human-settlement.emergency.copernicus.eu/ghs_buS2023.php</x:v>
      </x:c>
    </x:row>
    <x:row r="525" ht="23" customHeight="1">
      <x:c r="A525" s="2" t="str">
        <x:v>MEX</x:v>
      </x:c>
      <x:c r="B525" s="2" t="str">
        <x:v>Mexico (United Mexican States)</x:v>
      </x:c>
      <x:c r="C525" s="2" t="n">
        <x:v>2015</x:v>
      </x:c>
      <x:c r="D525" s="2" t="str">
        <x:v>GHSL_SURFACE</x:v>
      </x:c>
      <x:c r="E525" s="17" t="n">
        <x:v>5563232285.719894</x:v>
      </x:c>
      <x:c r="F525" s="17" t="n">
        <x:f>IF(AND(M525,ISNUMBER(R525)),IF(D525="TEMPO_PROXY",R525,IF(AND(ISNUMBER(S525),S525&gt;0,ISNUMBER(U525)),U525*R525/S525,"n.a.")),"n.a.")</x:f>
        <x:v>8588573760.999994</x:v>
      </x:c>
      <x:c r="G525" s="17" t="n">
        <x:f>IF(AND(ISNUMBER(E525),ISNUMBER(F525)),E525-F525,"n.a.")</x:f>
        <x:v>-3025341475.2801</x:v>
      </x:c>
      <x:c r="H525" s="15" t="n">
        <x:f>IF(AND(ISNUMBER(E525),ISNUMBER(F525),F525&gt;0),(E525-F525)/F525,"n.a.")</x:f>
        <x:v>-0.3522519057841625</x:v>
      </x:c>
      <x:c r="I525" s="19" t="n">
        <x:f>IF(ISNUMBER(H525),ABS(H525),"n.a.")</x:f>
        <x:v>0.3522519057841625</x:v>
      </x:c>
      <x:c r="J525" s="2" t="str">
        <x:v>available</x:v>
      </x:c>
      <x:c r="K525" s="2" t="n">
        <x:v>1</x:v>
      </x:c>
      <x:c r="L525" s="13" t="b">
        <x:v>0</x:v>
      </x:c>
      <x:c r="M525" s="13" t="b">
        <x:v>1</x:v>
      </x:c>
      <x:c r="N525" s="2" t="str">
        <x:v>historical source estimate</x:v>
      </x:c>
      <x:c r="O525" s="2" t="str"/>
      <x:c r="P525" s="2" t="str">
        <x:v>horizontal built-up surface</x:v>
      </x:c>
      <x:c r="Q525" s="2" t="str">
        <x:v>m2</x:v>
      </x:c>
      <x:c r="R525" s="17" t="n">
        <x:v>8588573761</x:v>
      </x:c>
      <x:c r="S525" s="17" t="n">
        <x:v>6345872319.04</x:v>
      </x:c>
      <x:c r="T525" s="18" t="n">
        <x:v>0.9999999999999992</x:v>
      </x:c>
      <x:c r="U525" s="17" t="n">
        <x:v>6345872319.039995</x:v>
      </x:c>
      <x:c r="V525" s="2" t="str">
        <x:v>Area equivalent = model2020 * source surface / TEMPO2020 footprint</x:v>
      </x:c>
      <x:c r="W525" s="2" t="str">
        <x:v>legacy epoch_status=observed; not exact acquisition proof</x:v>
      </x:c>
      <x:c r="X525" s="2" t="str">
        <x:v>https://human-settlement.emergency.copernicus.eu/ghs_buS2023.php</x:v>
      </x:c>
    </x:row>
    <x:row r="526" ht="23" customHeight="1">
      <x:c r="A526" s="2" t="str">
        <x:v>MHL</x:v>
      </x:c>
      <x:c r="B526" s="2" t="str">
        <x:v>Marshall Islands (Republic of the)</x:v>
      </x:c>
      <x:c r="C526" s="2" t="n">
        <x:v>2015</x:v>
      </x:c>
      <x:c r="D526" s="2" t="str">
        <x:v>GHSL_SURFACE</x:v>
      </x:c>
      <x:c r="E526" s="17" t="n">
        <x:v>195648.419756377</x:v>
      </x:c>
      <x:c r="F526" s="17" t="n">
        <x:f>IF(AND(M526,ISNUMBER(R526)),IF(D526="TEMPO_PROXY",R526,IF(AND(ISNUMBER(S526),S526&gt;0,ISNUMBER(U526)),U526*R526/S526,"n.a.")),"n.a.")</x:f>
        <x:v>465793</x:v>
      </x:c>
      <x:c r="G526" s="17" t="n">
        <x:f>IF(AND(ISNUMBER(E526),ISNUMBER(F526)),E526-F526,"n.a.")</x:f>
        <x:v>-270144.580243623</x:v>
      </x:c>
      <x:c r="H526" s="15" t="n">
        <x:f>IF(AND(ISNUMBER(E526),ISNUMBER(F526),F526&gt;0),(E526-F526)/F526,"n.a.")</x:f>
        <x:v>-0.579967024501491</x:v>
      </x:c>
      <x:c r="I526" s="19" t="n">
        <x:f>IF(ISNUMBER(H526),ABS(H526),"n.a.")</x:f>
        <x:v>0.579967024501491</x:v>
      </x:c>
      <x:c r="J526" s="2" t="str">
        <x:v>available</x:v>
      </x:c>
      <x:c r="K526" s="2" t="n">
        <x:v>1</x:v>
      </x:c>
      <x:c r="L526" s="13" t="b">
        <x:v>0</x:v>
      </x:c>
      <x:c r="M526" s="13" t="b">
        <x:v>1</x:v>
      </x:c>
      <x:c r="N526" s="2" t="str">
        <x:v>historical source estimate</x:v>
      </x:c>
      <x:c r="O526" s="2" t="str"/>
      <x:c r="P526" s="2" t="str">
        <x:v>horizontal built-up surface</x:v>
      </x:c>
      <x:c r="Q526" s="2" t="str">
        <x:v>m2</x:v>
      </x:c>
      <x:c r="R526" s="17" t="n">
        <x:v>465793</x:v>
      </x:c>
      <x:c r="S526" s="17" t="n">
        <x:v>198896.74</x:v>
      </x:c>
      <x:c r="T526" s="18" t="n">
        <x:v>1</x:v>
      </x:c>
      <x:c r="U526" s="17" t="n">
        <x:v>198896.74</x:v>
      </x:c>
      <x:c r="V526" s="2" t="str">
        <x:v>Area equivalent = model2020 * source surface / TEMPO2020 footprint</x:v>
      </x:c>
      <x:c r="W526" s="2" t="str">
        <x:v>legacy epoch_status=observed; not exact acquisition proof</x:v>
      </x:c>
      <x:c r="X526" s="2" t="str">
        <x:v>https://human-settlement.emergency.copernicus.eu/ghs_buS2023.php</x:v>
      </x:c>
    </x:row>
    <x:row r="527" ht="23" customHeight="1">
      <x:c r="A527" s="2" t="str">
        <x:v>MKD</x:v>
      </x:c>
      <x:c r="B527" s="2" t="str">
        <x:v>North Macedonia (Republic of)</x:v>
      </x:c>
      <x:c r="C527" s="2" t="n">
        <x:v>2015</x:v>
      </x:c>
      <x:c r="D527" s="2" t="str">
        <x:v>GHSL_SURFACE</x:v>
      </x:c>
      <x:c r="E527" s="17" t="n">
        <x:v>114316435.8808353</x:v>
      </x:c>
      <x:c r="F527" s="17" t="n">
        <x:f>IF(AND(M527,ISNUMBER(R527)),IF(D527="TEMPO_PROXY",R527,IF(AND(ISNUMBER(S527),S527&gt;0,ISNUMBER(U527)),U527*R527/S527,"n.a.")),"n.a.")</x:f>
        <x:v>165039079.99999976</x:v>
      </x:c>
      <x:c r="G527" s="17" t="n">
        <x:f>IF(AND(ISNUMBER(E527),ISNUMBER(F527)),E527-F527,"n.a.")</x:f>
        <x:v>-50722644.11916447</x:v>
      </x:c>
      <x:c r="H527" s="15" t="n">
        <x:f>IF(AND(ISNUMBER(E527),ISNUMBER(F527),F527&gt;0),(E527-F527)/F527,"n.a.")</x:f>
        <x:v>-0.30733717201504357</x:v>
      </x:c>
      <x:c r="I527" s="19" t="n">
        <x:f>IF(ISNUMBER(H527),ABS(H527),"n.a.")</x:f>
        <x:v>0.30733717201504357</x:v>
      </x:c>
      <x:c r="J527" s="2" t="str">
        <x:v>available</x:v>
      </x:c>
      <x:c r="K527" s="2" t="n">
        <x:v>1</x:v>
      </x:c>
      <x:c r="L527" s="13" t="b">
        <x:v>0</x:v>
      </x:c>
      <x:c r="M527" s="13" t="b">
        <x:v>1</x:v>
      </x:c>
      <x:c r="N527" s="2" t="str">
        <x:v>historical source estimate</x:v>
      </x:c>
      <x:c r="O527" s="2" t="str"/>
      <x:c r="P527" s="2" t="str">
        <x:v>horizontal built-up surface</x:v>
      </x:c>
      <x:c r="Q527" s="2" t="str">
        <x:v>m2</x:v>
      </x:c>
      <x:c r="R527" s="17" t="n">
        <x:v>165039080</x:v>
      </x:c>
      <x:c r="S527" s="17" t="n">
        <x:v>122189801.59</x:v>
      </x:c>
      <x:c r="T527" s="18" t="n">
        <x:v>0.9999999999999986</x:v>
      </x:c>
      <x:c r="U527" s="17" t="n">
        <x:v>122189801.58999982</x:v>
      </x:c>
      <x:c r="V527" s="2" t="str">
        <x:v>Area equivalent = model2020 * source surface / TEMPO2020 footprint</x:v>
      </x:c>
      <x:c r="W527" s="2" t="str">
        <x:v>legacy epoch_status=observed; not exact acquisition proof</x:v>
      </x:c>
      <x:c r="X527" s="2" t="str">
        <x:v>https://human-settlement.emergency.copernicus.eu/ghs_buS2023.php</x:v>
      </x:c>
    </x:row>
    <x:row r="528" ht="23" customHeight="1">
      <x:c r="A528" s="2" t="str">
        <x:v>MLI</x:v>
      </x:c>
      <x:c r="B528" s="2" t="str">
        <x:v>Mali (Republic of)</x:v>
      </x:c>
      <x:c r="C528" s="2" t="n">
        <x:v>2015</x:v>
      </x:c>
      <x:c r="D528" s="2" t="str">
        <x:v>GHSL_SURFACE</x:v>
      </x:c>
      <x:c r="E528" s="17" t="n">
        <x:v>292905544.7978866</x:v>
      </x:c>
      <x:c r="F528" s="17" t="n">
        <x:f>IF(AND(M528,ISNUMBER(R528)),IF(D528="TEMPO_PROXY",R528,IF(AND(ISNUMBER(S528),S528&gt;0,ISNUMBER(U528)),U528*R528/S528,"n.a.")),"n.a.")</x:f>
        <x:v>940612250.0000014</x:v>
      </x:c>
      <x:c r="G528" s="17" t="n">
        <x:f>IF(AND(ISNUMBER(E528),ISNUMBER(F528)),E528-F528,"n.a.")</x:f>
        <x:v>-647706705.2021148</x:v>
      </x:c>
      <x:c r="H528" s="15" t="n">
        <x:f>IF(AND(ISNUMBER(E528),ISNUMBER(F528),F528&gt;0),(E528-F528)/F528,"n.a.")</x:f>
        <x:v>-0.6886011799252176</x:v>
      </x:c>
      <x:c r="I528" s="19" t="n">
        <x:f>IF(ISNUMBER(H528),ABS(H528),"n.a.")</x:f>
        <x:v>0.6886011799252176</x:v>
      </x:c>
      <x:c r="J528" s="2" t="str">
        <x:v>available</x:v>
      </x:c>
      <x:c r="K528" s="2" t="n">
        <x:v>1</x:v>
      </x:c>
      <x:c r="L528" s="13" t="b">
        <x:v>0</x:v>
      </x:c>
      <x:c r="M528" s="13" t="b">
        <x:v>1</x:v>
      </x:c>
      <x:c r="N528" s="2" t="str">
        <x:v>historical source estimate</x:v>
      </x:c>
      <x:c r="O528" s="2" t="str"/>
      <x:c r="P528" s="2" t="str">
        <x:v>horizontal built-up surface</x:v>
      </x:c>
      <x:c r="Q528" s="2" t="str">
        <x:v>m2</x:v>
      </x:c>
      <x:c r="R528" s="17" t="n">
        <x:v>940612250</x:v>
      </x:c>
      <x:c r="S528" s="17" t="n">
        <x:v>323707340.75</x:v>
      </x:c>
      <x:c r="T528" s="18" t="n">
        <x:v>1.0000000000000016</x:v>
      </x:c>
      <x:c r="U528" s="17" t="n">
        <x:v>323707340.7500005</x:v>
      </x:c>
      <x:c r="V528" s="2" t="str">
        <x:v>Area equivalent = model2020 * source surface / TEMPO2020 footprint</x:v>
      </x:c>
      <x:c r="W528" s="2" t="str">
        <x:v>legacy epoch_status=observed; not exact acquisition proof</x:v>
      </x:c>
      <x:c r="X528" s="2" t="str">
        <x:v>https://human-settlement.emergency.copernicus.eu/ghs_buS2023.php</x:v>
      </x:c>
    </x:row>
    <x:row r="529" ht="23" customHeight="1">
      <x:c r="A529" s="2" t="str">
        <x:v>MLT</x:v>
      </x:c>
      <x:c r="B529" s="2" t="str">
        <x:v>Malta (Republic of)</x:v>
      </x:c>
      <x:c r="C529" s="2" t="n">
        <x:v>2015</x:v>
      </x:c>
      <x:c r="D529" s="2" t="str">
        <x:v>GHSL_SURFACE</x:v>
      </x:c>
      <x:c r="E529" s="17" t="n">
        <x:v>33156469.088490263</x:v>
      </x:c>
      <x:c r="F529" s="17" t="n">
        <x:f>IF(AND(M529,ISNUMBER(R529)),IF(D529="TEMPO_PROXY",R529,IF(AND(ISNUMBER(S529),S529&gt;0,ISNUMBER(U529)),U529*R529/S529,"n.a.")),"n.a.")</x:f>
        <x:v>42353458.5979326</x:v>
      </x:c>
      <x:c r="G529" s="17" t="n">
        <x:f>IF(AND(ISNUMBER(E529),ISNUMBER(F529)),E529-F529,"n.a.")</x:f>
        <x:v>-9196989.509442337</x:v>
      </x:c>
      <x:c r="H529" s="15" t="n">
        <x:f>IF(AND(ISNUMBER(E529),ISNUMBER(F529),F529&gt;0),(E529-F529)/F529,"n.a.")</x:f>
        <x:v>-0.21714848831474814</x:v>
      </x:c>
      <x:c r="I529" s="19" t="n">
        <x:f>IF(ISNUMBER(H529),ABS(H529),"n.a.")</x:f>
        <x:v>0.21714848831474814</x:v>
      </x:c>
      <x:c r="J529" s="2" t="str">
        <x:v>available</x:v>
      </x:c>
      <x:c r="K529" s="2" t="n">
        <x:v>1</x:v>
      </x:c>
      <x:c r="L529" s="13" t="b">
        <x:v>0</x:v>
      </x:c>
      <x:c r="M529" s="13" t="b">
        <x:v>1</x:v>
      </x:c>
      <x:c r="N529" s="2" t="str">
        <x:v>historical source estimate</x:v>
      </x:c>
      <x:c r="O529" s="2" t="str"/>
      <x:c r="P529" s="2" t="str">
        <x:v>horizontal built-up surface</x:v>
      </x:c>
      <x:c r="Q529" s="2" t="str">
        <x:v>m2</x:v>
      </x:c>
      <x:c r="R529" s="17" t="n">
        <x:v>31782608</x:v>
      </x:c>
      <x:c r="S529" s="17" t="n">
        <x:v>26330050.25</x:v>
      </x:c>
      <x:c r="T529" s="18" t="n">
        <x:v>1.3325985897045516</x:v>
      </x:c>
      <x:c r="U529" s="17" t="n">
        <x:v>35087387.829999976</x:v>
      </x:c>
      <x:c r="V529" s="2" t="str">
        <x:v>Area equivalent = model2020 * source surface / TEMPO2020 footprint</x:v>
      </x:c>
      <x:c r="W529" s="2" t="str">
        <x:v>legacy epoch_status=observed; not exact acquisition proof</x:v>
      </x:c>
      <x:c r="X529" s="2" t="str">
        <x:v>https://human-settlement.emergency.copernicus.eu/ghs_buS2023.php</x:v>
      </x:c>
    </x:row>
    <x:row r="530" ht="23" customHeight="1">
      <x:c r="A530" s="2" t="str">
        <x:v>MMR</x:v>
      </x:c>
      <x:c r="B530" s="2" t="str">
        <x:v>Myanmar (Republic of the Union of)</x:v>
      </x:c>
      <x:c r="C530" s="2" t="n">
        <x:v>2015</x:v>
      </x:c>
      <x:c r="D530" s="2" t="str">
        <x:v>GHSL_SURFACE</x:v>
      </x:c>
      <x:c r="E530" s="17" t="n">
        <x:v>1286938747.3309321</x:v>
      </x:c>
      <x:c r="F530" s="17" t="n">
        <x:f>IF(AND(M530,ISNUMBER(R530)),IF(D530="TEMPO_PROXY",R530,IF(AND(ISNUMBER(S530),S530&gt;0,ISNUMBER(U530)),U530*R530/S530,"n.a.")),"n.a.")</x:f>
        <x:v>1145389932.999998</x:v>
      </x:c>
      <x:c r="G530" s="17" t="n">
        <x:f>IF(AND(ISNUMBER(E530),ISNUMBER(F530)),E530-F530,"n.a.")</x:f>
        <x:v>141548814.33093405</x:v>
      </x:c>
      <x:c r="H530" s="15" t="n">
        <x:f>IF(AND(ISNUMBER(E530),ISNUMBER(F530),F530&gt;0),(E530-F530)/F530,"n.a.")</x:f>
        <x:v>0.12358133265602421</x:v>
      </x:c>
      <x:c r="I530" s="19" t="n">
        <x:f>IF(ISNUMBER(H530),ABS(H530),"n.a.")</x:f>
        <x:v>0.12358133265602421</x:v>
      </x:c>
      <x:c r="J530" s="2" t="str">
        <x:v>available</x:v>
      </x:c>
      <x:c r="K530" s="2" t="n">
        <x:v>1</x:v>
      </x:c>
      <x:c r="L530" s="13" t="b">
        <x:v>0</x:v>
      </x:c>
      <x:c r="M530" s="13" t="b">
        <x:v>1</x:v>
      </x:c>
      <x:c r="N530" s="2" t="str">
        <x:v>historical source estimate</x:v>
      </x:c>
      <x:c r="O530" s="2" t="str"/>
      <x:c r="P530" s="2" t="str">
        <x:v>horizontal built-up surface</x:v>
      </x:c>
      <x:c r="Q530" s="2" t="str">
        <x:v>m2</x:v>
      </x:c>
      <x:c r="R530" s="17" t="n">
        <x:v>1145389933</x:v>
      </x:c>
      <x:c r="S530" s="17" t="n">
        <x:v>1377164281.68</x:v>
      </x:c>
      <x:c r="T530" s="18" t="n">
        <x:v>0.9999999999999982</x:v>
      </x:c>
      <x:c r="U530" s="17" t="n">
        <x:v>1377164281.6799977</x:v>
      </x:c>
      <x:c r="V530" s="2" t="str">
        <x:v>Area equivalent = model2020 * source surface / TEMPO2020 footprint</x:v>
      </x:c>
      <x:c r="W530" s="2" t="str">
        <x:v>legacy epoch_status=observed; not exact acquisition proof</x:v>
      </x:c>
      <x:c r="X530" s="2" t="str">
        <x:v>https://human-settlement.emergency.copernicus.eu/ghs_buS2023.php</x:v>
      </x:c>
    </x:row>
    <x:row r="531" ht="23" customHeight="1">
      <x:c r="A531" s="2" t="str">
        <x:v>MNE</x:v>
      </x:c>
      <x:c r="B531" s="2" t="str">
        <x:v>Montenegro</x:v>
      </x:c>
      <x:c r="C531" s="2" t="n">
        <x:v>2015</x:v>
      </x:c>
      <x:c r="D531" s="2" t="str">
        <x:v>GHSL_SURFACE</x:v>
      </x:c>
      <x:c r="E531" s="17" t="n">
        <x:v>36534168.559464976</x:v>
      </x:c>
      <x:c r="F531" s="17" t="n">
        <x:f>IF(AND(M531,ISNUMBER(R531)),IF(D531="TEMPO_PROXY",R531,IF(AND(ISNUMBER(S531),S531&gt;0,ISNUMBER(U531)),U531*R531/S531,"n.a.")),"n.a.")</x:f>
        <x:v>36538624.99999995</x:v>
      </x:c>
      <x:c r="G531" s="17" t="n">
        <x:f>IF(AND(ISNUMBER(E531),ISNUMBER(F531)),E531-F531,"n.a.")</x:f>
        <x:v>-4456.440534971654</x:v>
      </x:c>
      <x:c r="H531" s="15" t="n">
        <x:f>IF(AND(ISNUMBER(E531),ISNUMBER(F531),F531&gt;0),(E531-F531)/F531,"n.a.")</x:f>
        <x:v>-0.00012196519532335058</x:v>
      </x:c>
      <x:c r="I531" s="19" t="n">
        <x:f>IF(ISNUMBER(H531),ABS(H531),"n.a.")</x:f>
        <x:v>0.00012196519532335058</x:v>
      </x:c>
      <x:c r="J531" s="2" t="str">
        <x:v>available</x:v>
      </x:c>
      <x:c r="K531" s="2" t="n">
        <x:v>1</x:v>
      </x:c>
      <x:c r="L531" s="13" t="b">
        <x:v>0</x:v>
      </x:c>
      <x:c r="M531" s="13" t="b">
        <x:v>1</x:v>
      </x:c>
      <x:c r="N531" s="2" t="str">
        <x:v>historical source estimate</x:v>
      </x:c>
      <x:c r="O531" s="2" t="str"/>
      <x:c r="P531" s="2" t="str">
        <x:v>horizontal built-up surface</x:v>
      </x:c>
      <x:c r="Q531" s="2" t="str">
        <x:v>m2</x:v>
      </x:c>
      <x:c r="R531" s="17" t="n">
        <x:v>36538625</x:v>
      </x:c>
      <x:c r="S531" s="17" t="n">
        <x:v>39447648.86</x:v>
      </x:c>
      <x:c r="T531" s="18" t="n">
        <x:v>0.9999999999999987</x:v>
      </x:c>
      <x:c r="U531" s="17" t="n">
        <x:v>39447648.85999995</x:v>
      </x:c>
      <x:c r="V531" s="2" t="str">
        <x:v>Area equivalent = model2020 * source surface / TEMPO2020 footprint</x:v>
      </x:c>
      <x:c r="W531" s="2" t="str">
        <x:v>legacy epoch_status=observed; not exact acquisition proof</x:v>
      </x:c>
      <x:c r="X531" s="2" t="str">
        <x:v>https://human-settlement.emergency.copernicus.eu/ghs_buS2023.php</x:v>
      </x:c>
    </x:row>
    <x:row r="532" ht="23" customHeight="1">
      <x:c r="A532" s="2" t="str">
        <x:v>MNG</x:v>
      </x:c>
      <x:c r="B532" s="2" t="str">
        <x:v>Mongolia</x:v>
      </x:c>
      <x:c r="C532" s="2" t="n">
        <x:v>2015</x:v>
      </x:c>
      <x:c r="D532" s="2" t="str">
        <x:v>GHSL_SURFACE</x:v>
      </x:c>
      <x:c r="E532" s="17" t="n">
        <x:v>80989306.79948433</x:v>
      </x:c>
      <x:c r="F532" s="17" t="n">
        <x:f>IF(AND(M532,ISNUMBER(R532)),IF(D532="TEMPO_PROXY",R532,IF(AND(ISNUMBER(S532),S532&gt;0,ISNUMBER(U532)),U532*R532/S532,"n.a.")),"n.a.")</x:f>
        <x:v>157935093.1506346</x:v>
      </x:c>
      <x:c r="G532" s="17" t="n">
        <x:f>IF(AND(ISNUMBER(E532),ISNUMBER(F532)),E532-F532,"n.a.")</x:f>
        <x:v>-76945786.35115026</x:v>
      </x:c>
      <x:c r="H532" s="15" t="n">
        <x:f>IF(AND(ISNUMBER(E532),ISNUMBER(F532),F532&gt;0),(E532-F532)/F532,"n.a.")</x:f>
        <x:v>-0.4871987904408381</x:v>
      </x:c>
      <x:c r="I532" s="19" t="n">
        <x:f>IF(ISNUMBER(H532),ABS(H532),"n.a.")</x:f>
        <x:v>0.4871987904408381</x:v>
      </x:c>
      <x:c r="J532" s="2" t="str">
        <x:v>available</x:v>
      </x:c>
      <x:c r="K532" s="2" t="n">
        <x:v>1</x:v>
      </x:c>
      <x:c r="L532" s="13" t="b">
        <x:v>0</x:v>
      </x:c>
      <x:c r="M532" s="13" t="b">
        <x:v>1</x:v>
      </x:c>
      <x:c r="N532" s="2" t="str">
        <x:v>historical source estimate</x:v>
      </x:c>
      <x:c r="O532" s="2" t="str"/>
      <x:c r="P532" s="2" t="str">
        <x:v>horizontal built-up surface</x:v>
      </x:c>
      <x:c r="Q532" s="2" t="str">
        <x:v>m2</x:v>
      </x:c>
      <x:c r="R532" s="17" t="n">
        <x:v>157496310</x:v>
      </x:c>
      <x:c r="S532" s="17" t="n">
        <x:v>83111291.45</x:v>
      </x:c>
      <x:c r="T532" s="18" t="n">
        <x:v>1.0027859900377005</x:v>
      </x:c>
      <x:c r="U532" s="17" t="n">
        <x:v>83342838.68000013</x:v>
      </x:c>
      <x:c r="V532" s="2" t="str">
        <x:v>Area equivalent = model2020 * source surface / TEMPO2020 footprint</x:v>
      </x:c>
      <x:c r="W532" s="2" t="str">
        <x:v>legacy epoch_status=observed; not exact acquisition proof</x:v>
      </x:c>
      <x:c r="X532" s="2" t="str">
        <x:v>https://human-settlement.emergency.copernicus.eu/ghs_buS2023.php</x:v>
      </x:c>
    </x:row>
    <x:row r="533" ht="23" customHeight="1">
      <x:c r="A533" s="2" t="str">
        <x:v>MOZ</x:v>
      </x:c>
      <x:c r="B533" s="2" t="str">
        <x:v>Mozambique (Republic of)</x:v>
      </x:c>
      <x:c r="C533" s="2" t="n">
        <x:v>2015</x:v>
      </x:c>
      <x:c r="D533" s="2" t="str">
        <x:v>GHSL_SURFACE</x:v>
      </x:c>
      <x:c r="E533" s="17" t="n">
        <x:v>435532536.29439145</x:v>
      </x:c>
      <x:c r="F533" s="17" t="n">
        <x:f>IF(AND(M533,ISNUMBER(R533)),IF(D533="TEMPO_PROXY",R533,IF(AND(ISNUMBER(S533),S533&gt;0,ISNUMBER(U533)),U533*R533/S533,"n.a.")),"n.a.")</x:f>
        <x:v>1572057713.0000024</x:v>
      </x:c>
      <x:c r="G533" s="17" t="n">
        <x:f>IF(AND(ISNUMBER(E533),ISNUMBER(F533)),E533-F533,"n.a.")</x:f>
        <x:v>-1136525176.705611</x:v>
      </x:c>
      <x:c r="H533" s="15" t="n">
        <x:f>IF(AND(ISNUMBER(E533),ISNUMBER(F533),F533&gt;0),(E533-F533)/F533,"n.a.")</x:f>
        <x:v>-0.7229538504262338</x:v>
      </x:c>
      <x:c r="I533" s="19" t="n">
        <x:f>IF(ISNUMBER(H533),ABS(H533),"n.a.")</x:f>
        <x:v>0.7229538504262338</x:v>
      </x:c>
      <x:c r="J533" s="2" t="str">
        <x:v>available</x:v>
      </x:c>
      <x:c r="K533" s="2" t="n">
        <x:v>1</x:v>
      </x:c>
      <x:c r="L533" s="13" t="b">
        <x:v>0</x:v>
      </x:c>
      <x:c r="M533" s="13" t="b">
        <x:v>1</x:v>
      </x:c>
      <x:c r="N533" s="2" t="str">
        <x:v>historical source estimate</x:v>
      </x:c>
      <x:c r="O533" s="2" t="str"/>
      <x:c r="P533" s="2" t="str">
        <x:v>horizontal built-up surface</x:v>
      </x:c>
      <x:c r="Q533" s="2" t="str">
        <x:v>m2</x:v>
      </x:c>
      <x:c r="R533" s="17" t="n">
        <x:v>1572057713</x:v>
      </x:c>
      <x:c r="S533" s="17" t="n">
        <x:v>540811235.53</x:v>
      </x:c>
      <x:c r="T533" s="18" t="n">
        <x:v>1.0000000000000016</x:v>
      </x:c>
      <x:c r="U533" s="17" t="n">
        <x:v>540811235.5300008</x:v>
      </x:c>
      <x:c r="V533" s="2" t="str">
        <x:v>Area equivalent = model2020 * source surface / TEMPO2020 footprint</x:v>
      </x:c>
      <x:c r="W533" s="2" t="str">
        <x:v>legacy epoch_status=observed; not exact acquisition proof</x:v>
      </x:c>
      <x:c r="X533" s="2" t="str">
        <x:v>https://human-settlement.emergency.copernicus.eu/ghs_buS2023.php</x:v>
      </x:c>
    </x:row>
    <x:row r="534" ht="23" customHeight="1">
      <x:c r="A534" s="2" t="str">
        <x:v>MRT</x:v>
      </x:c>
      <x:c r="B534" s="2" t="str">
        <x:v>Mauritania (Islamic Republic of)</x:v>
      </x:c>
      <x:c r="C534" s="2" t="n">
        <x:v>2015</x:v>
      </x:c>
      <x:c r="D534" s="2" t="str">
        <x:v>GHSL_SURFACE</x:v>
      </x:c>
      <x:c r="E534" s="17" t="n">
        <x:v>72013775.59625307</x:v>
      </x:c>
      <x:c r="F534" s="17" t="n">
        <x:f>IF(AND(M534,ISNUMBER(R534)),IF(D534="TEMPO_PROXY",R534,IF(AND(ISNUMBER(S534),S534&gt;0,ISNUMBER(U534)),U534*R534/S534,"n.a.")),"n.a.")</x:f>
        <x:v>167646468.00000015</x:v>
      </x:c>
      <x:c r="G534" s="17" t="n">
        <x:f>IF(AND(ISNUMBER(E534),ISNUMBER(F534)),E534-F534,"n.a.")</x:f>
        <x:v>-95632692.40374708</x:v>
      </x:c>
      <x:c r="H534" s="15" t="n">
        <x:f>IF(AND(ISNUMBER(E534),ISNUMBER(F534),F534&gt;0),(E534-F534)/F534,"n.a.")</x:f>
        <x:v>-0.5704426317156112</x:v>
      </x:c>
      <x:c r="I534" s="19" t="n">
        <x:f>IF(ISNUMBER(H534),ABS(H534),"n.a.")</x:f>
        <x:v>0.5704426317156112</x:v>
      </x:c>
      <x:c r="J534" s="2" t="str">
        <x:v>available</x:v>
      </x:c>
      <x:c r="K534" s="2" t="n">
        <x:v>1</x:v>
      </x:c>
      <x:c r="L534" s="13" t="b">
        <x:v>0</x:v>
      </x:c>
      <x:c r="M534" s="13" t="b">
        <x:v>1</x:v>
      </x:c>
      <x:c r="N534" s="2" t="str">
        <x:v>historical source estimate</x:v>
      </x:c>
      <x:c r="O534" s="2" t="str"/>
      <x:c r="P534" s="2" t="str">
        <x:v>horizontal built-up surface</x:v>
      </x:c>
      <x:c r="Q534" s="2" t="str">
        <x:v>m2</x:v>
      </x:c>
      <x:c r="R534" s="17" t="n">
        <x:v>167646468</x:v>
      </x:c>
      <x:c r="S534" s="17" t="n">
        <x:v>97384454.07</x:v>
      </x:c>
      <x:c r="T534" s="18" t="n">
        <x:v>1.0000000000000009</x:v>
      </x:c>
      <x:c r="U534" s="17" t="n">
        <x:v>97384454.07000008</x:v>
      </x:c>
      <x:c r="V534" s="2" t="str">
        <x:v>Area equivalent = model2020 * source surface / TEMPO2020 footprint</x:v>
      </x:c>
      <x:c r="W534" s="2" t="str">
        <x:v>legacy epoch_status=observed; not exact acquisition proof</x:v>
      </x:c>
      <x:c r="X534" s="2" t="str">
        <x:v>https://human-settlement.emergency.copernicus.eu/ghs_buS2023.php</x:v>
      </x:c>
    </x:row>
    <x:row r="535" ht="23" customHeight="1">
      <x:c r="A535" s="2" t="str">
        <x:v>MUS</x:v>
      </x:c>
      <x:c r="B535" s="2" t="str">
        <x:v>Mauritius (Republic of)</x:v>
      </x:c>
      <x:c r="C535" s="2" t="n">
        <x:v>2015</x:v>
      </x:c>
      <x:c r="D535" s="2" t="str">
        <x:v>GHSL_SURFACE</x:v>
      </x:c>
      <x:c r="E535" s="17" t="n">
        <x:v>62566806.81444254</x:v>
      </x:c>
      <x:c r="F535" s="17" t="n">
        <x:f>IF(AND(M535,ISNUMBER(R535)),IF(D535="TEMPO_PROXY",R535,IF(AND(ISNUMBER(S535),S535&gt;0,ISNUMBER(U535)),U535*R535/S535,"n.a.")),"n.a.")</x:f>
        <x:v>68221735.51245312</x:v>
      </x:c>
      <x:c r="G535" s="17" t="n">
        <x:f>IF(AND(ISNUMBER(E535),ISNUMBER(F535)),E535-F535,"n.a.")</x:f>
        <x:v>-5654928.698010586</x:v>
      </x:c>
      <x:c r="H535" s="15" t="n">
        <x:f>IF(AND(ISNUMBER(E535),ISNUMBER(F535),F535&gt;0),(E535-F535)/F535,"n.a.")</x:f>
        <x:v>-0.08289042569106647</x:v>
      </x:c>
      <x:c r="I535" s="19" t="n">
        <x:f>IF(ISNUMBER(H535),ABS(H535),"n.a.")</x:f>
        <x:v>0.08289042569106647</x:v>
      </x:c>
      <x:c r="J535" s="2" t="str">
        <x:v>available</x:v>
      </x:c>
      <x:c r="K535" s="2" t="n">
        <x:v>1</x:v>
      </x:c>
      <x:c r="L535" s="13" t="b">
        <x:v>0</x:v>
      </x:c>
      <x:c r="M535" s="13" t="b">
        <x:v>1</x:v>
      </x:c>
      <x:c r="N535" s="2" t="str">
        <x:v>historical source estimate</x:v>
      </x:c>
      <x:c r="O535" s="2" t="str"/>
      <x:c r="P535" s="2" t="str">
        <x:v>horizontal built-up surface</x:v>
      </x:c>
      <x:c r="Q535" s="2" t="str">
        <x:v>m2</x:v>
      </x:c>
      <x:c r="R535" s="17" t="n">
        <x:v>67816634</x:v>
      </x:c>
      <x:c r="S535" s="17" t="n">
        <x:v>64765689.96</x:v>
      </x:c>
      <x:c r="T535" s="18" t="n">
        <x:v>1.00597348303151</x:v>
      </x:c>
      <x:c r="U535" s="17" t="n">
        <x:v>65152566.7100001</x:v>
      </x:c>
      <x:c r="V535" s="2" t="str">
        <x:v>Area equivalent = model2020 * source surface / TEMPO2020 footprint</x:v>
      </x:c>
      <x:c r="W535" s="2" t="str">
        <x:v>legacy epoch_status=observed; not exact acquisition proof</x:v>
      </x:c>
      <x:c r="X535" s="2" t="str">
        <x:v>https://human-settlement.emergency.copernicus.eu/ghs_buS2023.php</x:v>
      </x:c>
    </x:row>
    <x:row r="536" ht="23" customHeight="1">
      <x:c r="A536" s="2" t="str">
        <x:v>MWI</x:v>
      </x:c>
      <x:c r="B536" s="2" t="str">
        <x:v>Malawi (Republic of)</x:v>
      </x:c>
      <x:c r="C536" s="2" t="n">
        <x:v>2015</x:v>
      </x:c>
      <x:c r="D536" s="2" t="str">
        <x:v>GHSL_SURFACE</x:v>
      </x:c>
      <x:c r="E536" s="17" t="n">
        <x:v>275589507.2350312</x:v>
      </x:c>
      <x:c r="F536" s="17" t="n">
        <x:f>IF(AND(M536,ISNUMBER(R536)),IF(D536="TEMPO_PROXY",R536,IF(AND(ISNUMBER(S536),S536&gt;0,ISNUMBER(U536)),U536*R536/S536,"n.a.")),"n.a.")</x:f>
        <x:v>922228981.9999994</x:v>
      </x:c>
      <x:c r="G536" s="17" t="n">
        <x:f>IF(AND(ISNUMBER(E536),ISNUMBER(F536)),E536-F536,"n.a.")</x:f>
        <x:v>-646639474.7649682</x:v>
      </x:c>
      <x:c r="H536" s="15" t="n">
        <x:f>IF(AND(ISNUMBER(E536),ISNUMBER(F536),F536&gt;0),(E536-F536)/F536,"n.a.")</x:f>
        <x:v>-0.7011701945894481</x:v>
      </x:c>
      <x:c r="I536" s="19" t="n">
        <x:f>IF(ISNUMBER(H536),ABS(H536),"n.a.")</x:f>
        <x:v>0.7011701945894481</x:v>
      </x:c>
      <x:c r="J536" s="2" t="str">
        <x:v>available</x:v>
      </x:c>
      <x:c r="K536" s="2" t="n">
        <x:v>1</x:v>
      </x:c>
      <x:c r="L536" s="13" t="b">
        <x:v>0</x:v>
      </x:c>
      <x:c r="M536" s="13" t="b">
        <x:v>1</x:v>
      </x:c>
      <x:c r="N536" s="2" t="str">
        <x:v>historical source estimate</x:v>
      </x:c>
      <x:c r="O536" s="2" t="str"/>
      <x:c r="P536" s="2" t="str">
        <x:v>horizontal built-up surface</x:v>
      </x:c>
      <x:c r="Q536" s="2" t="str">
        <x:v>m2</x:v>
      </x:c>
      <x:c r="R536" s="17" t="n">
        <x:v>922228982</x:v>
      </x:c>
      <x:c r="S536" s="17" t="n">
        <x:v>330771641.02</x:v>
      </x:c>
      <x:c r="T536" s="18" t="n">
        <x:v>0.9999999999999993</x:v>
      </x:c>
      <x:c r="U536" s="17" t="n">
        <x:v>330771641.01999974</x:v>
      </x:c>
      <x:c r="V536" s="2" t="str">
        <x:v>Area equivalent = model2020 * source surface / TEMPO2020 footprint</x:v>
      </x:c>
      <x:c r="W536" s="2" t="str">
        <x:v>legacy epoch_status=observed; not exact acquisition proof</x:v>
      </x:c>
      <x:c r="X536" s="2" t="str">
        <x:v>https://human-settlement.emergency.copernicus.eu/ghs_buS2023.php</x:v>
      </x:c>
    </x:row>
    <x:row r="537" ht="23" customHeight="1">
      <x:c r="A537" s="2" t="str">
        <x:v>MYS</x:v>
      </x:c>
      <x:c r="B537" s="2" t="str">
        <x:v>Malaysia</x:v>
      </x:c>
      <x:c r="C537" s="2" t="n">
        <x:v>2015</x:v>
      </x:c>
      <x:c r="D537" s="2" t="str">
        <x:v>GHSL_SURFACE</x:v>
      </x:c>
      <x:c r="E537" s="17" t="n">
        <x:v>1864992782.9575677</x:v>
      </x:c>
      <x:c r="F537" s="17" t="n">
        <x:f>IF(AND(M537,ISNUMBER(R537)),IF(D537="TEMPO_PROXY",R537,IF(AND(ISNUMBER(S537),S537&gt;0,ISNUMBER(U537)),U537*R537/S537,"n.a.")),"n.a.")</x:f>
        <x:v>1979319983.3178496</x:v>
      </x:c>
      <x:c r="G537" s="17" t="n">
        <x:f>IF(AND(ISNUMBER(E537),ISNUMBER(F537)),E537-F537,"n.a.")</x:f>
        <x:v>-114327200.36028194</x:v>
      </x:c>
      <x:c r="H537" s="15" t="n">
        <x:f>IF(AND(ISNUMBER(E537),ISNUMBER(F537),F537&gt;0),(E537-F537)/F537,"n.a.")</x:f>
        <x:v>-0.05776084782847498</x:v>
      </x:c>
      <x:c r="I537" s="19" t="n">
        <x:f>IF(ISNUMBER(H537),ABS(H537),"n.a.")</x:f>
        <x:v>0.05776084782847498</x:v>
      </x:c>
      <x:c r="J537" s="2" t="str">
        <x:v>available</x:v>
      </x:c>
      <x:c r="K537" s="2" t="n">
        <x:v>1</x:v>
      </x:c>
      <x:c r="L537" s="13" t="b">
        <x:v>0</x:v>
      </x:c>
      <x:c r="M537" s="13" t="b">
        <x:v>1</x:v>
      </x:c>
      <x:c r="N537" s="2" t="str">
        <x:v>historical source estimate</x:v>
      </x:c>
      <x:c r="O537" s="2" t="str"/>
      <x:c r="P537" s="2" t="str">
        <x:v>horizontal built-up surface</x:v>
      </x:c>
      <x:c r="Q537" s="2" t="str">
        <x:v>m2</x:v>
      </x:c>
      <x:c r="R537" s="17" t="n">
        <x:v>1864983456</x:v>
      </x:c>
      <x:c r="S537" s="17" t="n">
        <x:v>1923172736.52</x:v>
      </x:c>
      <x:c r="T537" s="18" t="n">
        <x:v>1.0613069928046857</x:v>
      </x:c>
      <x:c r="U537" s="17" t="n">
        <x:v>2041076673.6399992</x:v>
      </x:c>
      <x:c r="V537" s="2" t="str">
        <x:v>Area equivalent = model2020 * source surface / TEMPO2020 footprint</x:v>
      </x:c>
      <x:c r="W537" s="2" t="str">
        <x:v>legacy epoch_status=observed; not exact acquisition proof</x:v>
      </x:c>
      <x:c r="X537" s="2" t="str">
        <x:v>https://human-settlement.emergency.copernicus.eu/ghs_buS2023.php</x:v>
      </x:c>
    </x:row>
    <x:row r="538" ht="23" customHeight="1">
      <x:c r="A538" s="2" t="str">
        <x:v>NAM</x:v>
      </x:c>
      <x:c r="B538" s="2" t="str">
        <x:v>Namibia (Republic of)</x:v>
      </x:c>
      <x:c r="C538" s="2" t="n">
        <x:v>2015</x:v>
      </x:c>
      <x:c r="D538" s="2" t="str">
        <x:v>GHSL_SURFACE</x:v>
      </x:c>
      <x:c r="E538" s="17" t="n">
        <x:v>89132702.8848472</x:v>
      </x:c>
      <x:c r="F538" s="17" t="n">
        <x:f>IF(AND(M538,ISNUMBER(R538)),IF(D538="TEMPO_PROXY",R538,IF(AND(ISNUMBER(S538),S538&gt;0,ISNUMBER(U538)),U538*R538/S538,"n.a.")),"n.a.")</x:f>
        <x:v>240180894.99999982</x:v>
      </x:c>
      <x:c r="G538" s="17" t="n">
        <x:f>IF(AND(ISNUMBER(E538),ISNUMBER(F538)),E538-F538,"n.a.")</x:f>
        <x:v>-151048192.11515263</x:v>
      </x:c>
      <x:c r="H538" s="15" t="n">
        <x:f>IF(AND(ISNUMBER(E538),ISNUMBER(F538),F538&gt;0),(E538-F538)/F538,"n.a.")</x:f>
        <x:v>-0.6288934518091155</x:v>
      </x:c>
      <x:c r="I538" s="19" t="n">
        <x:f>IF(ISNUMBER(H538),ABS(H538),"n.a.")</x:f>
        <x:v>0.6288934518091155</x:v>
      </x:c>
      <x:c r="J538" s="2" t="str">
        <x:v>available</x:v>
      </x:c>
      <x:c r="K538" s="2" t="n">
        <x:v>1</x:v>
      </x:c>
      <x:c r="L538" s="13" t="b">
        <x:v>0</x:v>
      </x:c>
      <x:c r="M538" s="13" t="b">
        <x:v>1</x:v>
      </x:c>
      <x:c r="N538" s="2" t="str">
        <x:v>historical source estimate</x:v>
      </x:c>
      <x:c r="O538" s="2" t="str"/>
      <x:c r="P538" s="2" t="str">
        <x:v>horizontal built-up surface</x:v>
      </x:c>
      <x:c r="Q538" s="2" t="str">
        <x:v>m2</x:v>
      </x:c>
      <x:c r="R538" s="17" t="n">
        <x:v>240180895</x:v>
      </x:c>
      <x:c r="S538" s="17" t="n">
        <x:v>112405609.31</x:v>
      </x:c>
      <x:c r="T538" s="18" t="n">
        <x:v>0.9999999999999992</x:v>
      </x:c>
      <x:c r="U538" s="17" t="n">
        <x:v>112405609.30999991</x:v>
      </x:c>
      <x:c r="V538" s="2" t="str">
        <x:v>Area equivalent = model2020 * source surface / TEMPO2020 footprint</x:v>
      </x:c>
      <x:c r="W538" s="2" t="str">
        <x:v>legacy epoch_status=observed; not exact acquisition proof</x:v>
      </x:c>
      <x:c r="X538" s="2" t="str">
        <x:v>https://human-settlement.emergency.copernicus.eu/ghs_buS2023.php</x:v>
      </x:c>
    </x:row>
    <x:row r="539" ht="23" customHeight="1">
      <x:c r="A539" s="2" t="str">
        <x:v>NER</x:v>
      </x:c>
      <x:c r="B539" s="2" t="str">
        <x:v>Niger (Republic of the)</x:v>
      </x:c>
      <x:c r="C539" s="2" t="n">
        <x:v>2015</x:v>
      </x:c>
      <x:c r="D539" s="2" t="str">
        <x:v>GHSL_SURFACE</x:v>
      </x:c>
      <x:c r="E539" s="17" t="n">
        <x:v>150823337.09848765</x:v>
      </x:c>
      <x:c r="F539" s="17" t="n">
        <x:f>IF(AND(M539,ISNUMBER(R539)),IF(D539="TEMPO_PROXY",R539,IF(AND(ISNUMBER(S539),S539&gt;0,ISNUMBER(U539)),U539*R539/S539,"n.a.")),"n.a.")</x:f>
        <x:v>540242638.0000008</x:v>
      </x:c>
      <x:c r="G539" s="17" t="n">
        <x:f>IF(AND(ISNUMBER(E539),ISNUMBER(F539)),E539-F539,"n.a.")</x:f>
        <x:v>-389419300.9015132</x:v>
      </x:c>
      <x:c r="H539" s="15" t="n">
        <x:f>IF(AND(ISNUMBER(E539),ISNUMBER(F539),F539&gt;0),(E539-F539)/F539,"n.a.")</x:f>
        <x:v>-0.7208229664047965</x:v>
      </x:c>
      <x:c r="I539" s="19" t="n">
        <x:f>IF(ISNUMBER(H539),ABS(H539),"n.a.")</x:f>
        <x:v>0.7208229664047965</x:v>
      </x:c>
      <x:c r="J539" s="2" t="str">
        <x:v>available</x:v>
      </x:c>
      <x:c r="K539" s="2" t="n">
        <x:v>1</x:v>
      </x:c>
      <x:c r="L539" s="13" t="b">
        <x:v>0</x:v>
      </x:c>
      <x:c r="M539" s="13" t="b">
        <x:v>1</x:v>
      </x:c>
      <x:c r="N539" s="2" t="str">
        <x:v>historical source estimate</x:v>
      </x:c>
      <x:c r="O539" s="2" t="str"/>
      <x:c r="P539" s="2" t="str">
        <x:v>horizontal built-up surface</x:v>
      </x:c>
      <x:c r="Q539" s="2" t="str">
        <x:v>m2</x:v>
      </x:c>
      <x:c r="R539" s="17" t="n">
        <x:v>540242638</x:v>
      </x:c>
      <x:c r="S539" s="17" t="n">
        <x:v>203236516.43</x:v>
      </x:c>
      <x:c r="T539" s="18" t="n">
        <x:v>1.0000000000000016</x:v>
      </x:c>
      <x:c r="U539" s="17" t="n">
        <x:v>203236516.4300003</x:v>
      </x:c>
      <x:c r="V539" s="2" t="str">
        <x:v>Area equivalent = model2020 * source surface / TEMPO2020 footprint</x:v>
      </x:c>
      <x:c r="W539" s="2" t="str">
        <x:v>legacy epoch_status=observed; not exact acquisition proof</x:v>
      </x:c>
      <x:c r="X539" s="2" t="str">
        <x:v>https://human-settlement.emergency.copernicus.eu/ghs_buS2023.php</x:v>
      </x:c>
    </x:row>
    <x:row r="540" ht="23" customHeight="1">
      <x:c r="A540" s="2" t="str">
        <x:v>NGA</x:v>
      </x:c>
      <x:c r="B540" s="2" t="str">
        <x:v>Nigeria (Federal Republic of)</x:v>
      </x:c>
      <x:c r="C540" s="2" t="n">
        <x:v>2015</x:v>
      </x:c>
      <x:c r="D540" s="2" t="str">
        <x:v>GHSL_SURFACE</x:v>
      </x:c>
      <x:c r="E540" s="17" t="n">
        <x:v>3643539830.5807</x:v>
      </x:c>
      <x:c r="F540" s="17" t="n">
        <x:f>IF(AND(M540,ISNUMBER(R540)),IF(D540="TEMPO_PROXY",R540,IF(AND(ISNUMBER(S540),S540&gt;0,ISNUMBER(U540)),U540*R540/S540,"n.a.")),"n.a.")</x:f>
        <x:v>7331482973.000005</x:v>
      </x:c>
      <x:c r="G540" s="17" t="n">
        <x:f>IF(AND(ISNUMBER(E540),ISNUMBER(F540)),E540-F540,"n.a.")</x:f>
        <x:v>-3687943142.419305</x:v>
      </x:c>
      <x:c r="H540" s="15" t="n">
        <x:f>IF(AND(ISNUMBER(E540),ISNUMBER(F540),F540&gt;0),(E540-F540)/F540,"n.a.")</x:f>
        <x:v>-0.503028262631321</x:v>
      </x:c>
      <x:c r="I540" s="19" t="n">
        <x:f>IF(ISNUMBER(H540),ABS(H540),"n.a.")</x:f>
        <x:v>0.503028262631321</x:v>
      </x:c>
      <x:c r="J540" s="2" t="str">
        <x:v>available</x:v>
      </x:c>
      <x:c r="K540" s="2" t="n">
        <x:v>1</x:v>
      </x:c>
      <x:c r="L540" s="13" t="b">
        <x:v>0</x:v>
      </x:c>
      <x:c r="M540" s="13" t="b">
        <x:v>1</x:v>
      </x:c>
      <x:c r="N540" s="2" t="str">
        <x:v>historical source estimate</x:v>
      </x:c>
      <x:c r="O540" s="2" t="str"/>
      <x:c r="P540" s="2" t="str">
        <x:v>horizontal built-up surface</x:v>
      </x:c>
      <x:c r="Q540" s="2" t="str">
        <x:v>m2</x:v>
      </x:c>
      <x:c r="R540" s="17" t="n">
        <x:v>7331482973</x:v>
      </x:c>
      <x:c r="S540" s="17" t="n">
        <x:v>4102804870.27</x:v>
      </x:c>
      <x:c r="T540" s="18" t="n">
        <x:v>1.0000000000000007</x:v>
      </x:c>
      <x:c r="U540" s="17" t="n">
        <x:v>4102804870.2700024</x:v>
      </x:c>
      <x:c r="V540" s="2" t="str">
        <x:v>Area equivalent = model2020 * source surface / TEMPO2020 footprint</x:v>
      </x:c>
      <x:c r="W540" s="2" t="str">
        <x:v>legacy epoch_status=observed; not exact acquisition proof</x:v>
      </x:c>
      <x:c r="X540" s="2" t="str">
        <x:v>https://human-settlement.emergency.copernicus.eu/ghs_buS2023.php</x:v>
      </x:c>
    </x:row>
    <x:row r="541" ht="23" customHeight="1">
      <x:c r="A541" s="2" t="str">
        <x:v>NIC</x:v>
      </x:c>
      <x:c r="B541" s="2" t="str">
        <x:v>Nicaragua (Republic of)</x:v>
      </x:c>
      <x:c r="C541" s="2" t="n">
        <x:v>2015</x:v>
      </x:c>
      <x:c r="D541" s="2" t="str">
        <x:v>GHSL_SURFACE</x:v>
      </x:c>
      <x:c r="E541" s="17" t="n">
        <x:v>175735308.9370167</x:v>
      </x:c>
      <x:c r="F541" s="17" t="n">
        <x:f>IF(AND(M541,ISNUMBER(R541)),IF(D541="TEMPO_PROXY",R541,IF(AND(ISNUMBER(S541),S541&gt;0,ISNUMBER(U541)),U541*R541/S541,"n.a.")),"n.a.")</x:f>
        <x:v>257383668.9999999</x:v>
      </x:c>
      <x:c r="G541" s="17" t="n">
        <x:f>IF(AND(ISNUMBER(E541),ISNUMBER(F541)),E541-F541,"n.a.")</x:f>
        <x:v>-81648360.06298321</x:v>
      </x:c>
      <x:c r="H541" s="15" t="n">
        <x:f>IF(AND(ISNUMBER(E541),ISNUMBER(F541),F541&gt;0),(E541-F541)/F541,"n.a.")</x:f>
        <x:v>-0.3172243226627686</x:v>
      </x:c>
      <x:c r="I541" s="19" t="n">
        <x:f>IF(ISNUMBER(H541),ABS(H541),"n.a.")</x:f>
        <x:v>0.3172243226627686</x:v>
      </x:c>
      <x:c r="J541" s="2" t="str">
        <x:v>available</x:v>
      </x:c>
      <x:c r="K541" s="2" t="n">
        <x:v>1</x:v>
      </x:c>
      <x:c r="L541" s="13" t="b">
        <x:v>0</x:v>
      </x:c>
      <x:c r="M541" s="13" t="b">
        <x:v>1</x:v>
      </x:c>
      <x:c r="N541" s="2" t="str">
        <x:v>historical source estimate</x:v>
      </x:c>
      <x:c r="O541" s="2" t="str"/>
      <x:c r="P541" s="2" t="str">
        <x:v>horizontal built-up surface</x:v>
      </x:c>
      <x:c r="Q541" s="2" t="str">
        <x:v>m2</x:v>
      </x:c>
      <x:c r="R541" s="17" t="n">
        <x:v>257383669</x:v>
      </x:c>
      <x:c r="S541" s="17" t="n">
        <x:v>201940338.65</x:v>
      </x:c>
      <x:c r="T541" s="18" t="n">
        <x:v>0.9999999999999996</x:v>
      </x:c>
      <x:c r="U541" s="17" t="n">
        <x:v>201940338.64999992</x:v>
      </x:c>
      <x:c r="V541" s="2" t="str">
        <x:v>Area equivalent = model2020 * source surface / TEMPO2020 footprint</x:v>
      </x:c>
      <x:c r="W541" s="2" t="str">
        <x:v>legacy epoch_status=observed; not exact acquisition proof</x:v>
      </x:c>
      <x:c r="X541" s="2" t="str">
        <x:v>https://human-settlement.emergency.copernicus.eu/ghs_buS2023.php</x:v>
      </x:c>
    </x:row>
    <x:row r="542" ht="23" customHeight="1">
      <x:c r="A542" s="2" t="str">
        <x:v>NLD</x:v>
      </x:c>
      <x:c r="B542" s="2" t="str">
        <x:v>Netherlands (Kingdom of the)</x:v>
      </x:c>
      <x:c r="C542" s="2" t="n">
        <x:v>2015</x:v>
      </x:c>
      <x:c r="D542" s="2" t="str">
        <x:v>GHSL_SURFACE</x:v>
      </x:c>
      <x:c r="E542" s="17" t="n">
        <x:v>1398821482.4145422</x:v>
      </x:c>
      <x:c r="F542" s="17" t="n">
        <x:f>IF(AND(M542,ISNUMBER(R542)),IF(D542="TEMPO_PROXY",R542,IF(AND(ISNUMBER(S542),S542&gt;0,ISNUMBER(U542)),U542*R542/S542,"n.a.")),"n.a.")</x:f>
        <x:v>2182185711.3244085</x:v>
      </x:c>
      <x:c r="G542" s="17" t="n">
        <x:f>IF(AND(ISNUMBER(E542),ISNUMBER(F542)),E542-F542,"n.a.")</x:f>
        <x:v>-783364228.9098663</x:v>
      </x:c>
      <x:c r="H542" s="15" t="n">
        <x:f>IF(AND(ISNUMBER(E542),ISNUMBER(F542),F542&gt;0),(E542-F542)/F542,"n.a.")</x:f>
        <x:v>-0.3589814674546779</x:v>
      </x:c>
      <x:c r="I542" s="19" t="n">
        <x:f>IF(ISNUMBER(H542),ABS(H542),"n.a.")</x:f>
        <x:v>0.3589814674546779</x:v>
      </x:c>
      <x:c r="J542" s="2" t="str">
        <x:v>available</x:v>
      </x:c>
      <x:c r="K542" s="2" t="n">
        <x:v>1</x:v>
      </x:c>
      <x:c r="L542" s="13" t="b">
        <x:v>0</x:v>
      </x:c>
      <x:c r="M542" s="13" t="b">
        <x:v>1</x:v>
      </x:c>
      <x:c r="N542" s="2" t="str">
        <x:v>historical source estimate</x:v>
      </x:c>
      <x:c r="O542" s="2" t="str"/>
      <x:c r="P542" s="2" t="str">
        <x:v>horizontal built-up surface</x:v>
      </x:c>
      <x:c r="Q542" s="2" t="str">
        <x:v>m2</x:v>
      </x:c>
      <x:c r="R542" s="17" t="n">
        <x:v>1882584916</x:v>
      </x:c>
      <x:c r="S542" s="17" t="n">
        <x:v>1263819429.15</x:v>
      </x:c>
      <x:c r="T542" s="18" t="n">
        <x:v>1.1591433102316477</x:v>
      </x:c>
      <x:c r="U542" s="17" t="n">
        <x:v>1464947836.6400025</x:v>
      </x:c>
      <x:c r="V542" s="2" t="str">
        <x:v>Area equivalent = model2020 * source surface / TEMPO2020 footprint</x:v>
      </x:c>
      <x:c r="W542" s="2" t="str">
        <x:v>legacy epoch_status=observed; not exact acquisition proof</x:v>
      </x:c>
      <x:c r="X542" s="2" t="str">
        <x:v>https://human-settlement.emergency.copernicus.eu/ghs_buS2023.php</x:v>
      </x:c>
    </x:row>
    <x:row r="543" ht="23" customHeight="1">
      <x:c r="A543" s="2" t="str">
        <x:v>NOR</x:v>
      </x:c>
      <x:c r="B543" s="2" t="str">
        <x:v>Norway (Kingdom of)</x:v>
      </x:c>
      <x:c r="C543" s="2" t="n">
        <x:v>2015</x:v>
      </x:c>
      <x:c r="D543" s="2" t="str">
        <x:v>GHSL_SURFACE</x:v>
      </x:c>
      <x:c r="E543" s="17" t="n">
        <x:v>444569121.96455026</x:v>
      </x:c>
      <x:c r="F543" s="17" t="n">
        <x:f>IF(AND(M543,ISNUMBER(R543)),IF(D543="TEMPO_PROXY",R543,IF(AND(ISNUMBER(S543),S543&gt;0,ISNUMBER(U543)),U543*R543/S543,"n.a.")),"n.a.")</x:f>
        <x:v>343390511.00000036</x:v>
      </x:c>
      <x:c r="G543" s="17" t="n">
        <x:f>IF(AND(ISNUMBER(E543),ISNUMBER(F543)),E543-F543,"n.a.")</x:f>
        <x:v>101178610.9645499</x:v>
      </x:c>
      <x:c r="H543" s="15" t="n">
        <x:f>IF(AND(ISNUMBER(E543),ISNUMBER(F543),F543&gt;0),(E543-F543)/F543,"n.a.")</x:f>
        <x:v>0.2946459139767837</x:v>
      </x:c>
      <x:c r="I543" s="19" t="n">
        <x:f>IF(ISNUMBER(H543),ABS(H543),"n.a.")</x:f>
        <x:v>0.2946459139767837</x:v>
      </x:c>
      <x:c r="J543" s="2" t="str">
        <x:v>available</x:v>
      </x:c>
      <x:c r="K543" s="2" t="n">
        <x:v>1</x:v>
      </x:c>
      <x:c r="L543" s="13" t="b">
        <x:v>0</x:v>
      </x:c>
      <x:c r="M543" s="13" t="b">
        <x:v>1</x:v>
      </x:c>
      <x:c r="N543" s="2" t="str">
        <x:v>historical source estimate</x:v>
      </x:c>
      <x:c r="O543" s="2" t="str"/>
      <x:c r="P543" s="2" t="str">
        <x:v>horizontal built-up surface</x:v>
      </x:c>
      <x:c r="Q543" s="2" t="str">
        <x:v>m2</x:v>
      </x:c>
      <x:c r="R543" s="17" t="n">
        <x:v>343390511</x:v>
      </x:c>
      <x:c r="S543" s="17" t="n">
        <x:v>478516256.61</x:v>
      </x:c>
      <x:c r="T543" s="18" t="n">
        <x:v>1.0000000000000009</x:v>
      </x:c>
      <x:c r="U543" s="17" t="n">
        <x:v>478516256.6100005</x:v>
      </x:c>
      <x:c r="V543" s="2" t="str">
        <x:v>Area equivalent = model2020 * source surface / TEMPO2020 footprint</x:v>
      </x:c>
      <x:c r="W543" s="2" t="str">
        <x:v>legacy epoch_status=observed; not exact acquisition proof</x:v>
      </x:c>
      <x:c r="X543" s="2" t="str">
        <x:v>https://human-settlement.emergency.copernicus.eu/ghs_buS2023.php</x:v>
      </x:c>
    </x:row>
    <x:row r="544" ht="23" customHeight="1">
      <x:c r="A544" s="2" t="str">
        <x:v>NPL</x:v>
      </x:c>
      <x:c r="B544" s="2" t="str">
        <x:v>Nepal (Federal Democratic Republic of)</x:v>
      </x:c>
      <x:c r="C544" s="2" t="n">
        <x:v>2015</x:v>
      </x:c>
      <x:c r="D544" s="2" t="str">
        <x:v>GHSL_SURFACE</x:v>
      </x:c>
      <x:c r="E544" s="17" t="n">
        <x:v>540535876.2611996</x:v>
      </x:c>
      <x:c r="F544" s="17" t="n">
        <x:f>IF(AND(M544,ISNUMBER(R544)),IF(D544="TEMPO_PROXY",R544,IF(AND(ISNUMBER(S544),S544&gt;0,ISNUMBER(U544)),U544*R544/S544,"n.a.")),"n.a.")</x:f>
        <x:v>912184563.999999</x:v>
      </x:c>
      <x:c r="G544" s="17" t="n">
        <x:f>IF(AND(ISNUMBER(E544),ISNUMBER(F544)),E544-F544,"n.a.")</x:f>
        <x:v>-371648687.73879945</x:v>
      </x:c>
      <x:c r="H544" s="15" t="n">
        <x:f>IF(AND(ISNUMBER(E544),ISNUMBER(F544),F544&gt;0),(E544-F544)/F544,"n.a.")</x:f>
        <x:v>-0.407427073868792</x:v>
      </x:c>
      <x:c r="I544" s="19" t="n">
        <x:f>IF(ISNUMBER(H544),ABS(H544),"n.a.")</x:f>
        <x:v>0.407427073868792</x:v>
      </x:c>
      <x:c r="J544" s="2" t="str">
        <x:v>available</x:v>
      </x:c>
      <x:c r="K544" s="2" t="n">
        <x:v>1</x:v>
      </x:c>
      <x:c r="L544" s="13" t="b">
        <x:v>0</x:v>
      </x:c>
      <x:c r="M544" s="13" t="b">
        <x:v>1</x:v>
      </x:c>
      <x:c r="N544" s="2" t="str">
        <x:v>historical source estimate</x:v>
      </x:c>
      <x:c r="O544" s="2" t="str"/>
      <x:c r="P544" s="2" t="str">
        <x:v>horizontal built-up surface</x:v>
      </x:c>
      <x:c r="Q544" s="2" t="str">
        <x:v>m2</x:v>
      </x:c>
      <x:c r="R544" s="17" t="n">
        <x:v>912184564</x:v>
      </x:c>
      <x:c r="S544" s="17" t="n">
        <x:v>656084354.5</x:v>
      </x:c>
      <x:c r="T544" s="18" t="n">
        <x:v>0.9999999999999989</x:v>
      </x:c>
      <x:c r="U544" s="17" t="n">
        <x:v>656084354.4999993</x:v>
      </x:c>
      <x:c r="V544" s="2" t="str">
        <x:v>Area equivalent = model2020 * source surface / TEMPO2020 footprint</x:v>
      </x:c>
      <x:c r="W544" s="2" t="str">
        <x:v>legacy epoch_status=observed; not exact acquisition proof</x:v>
      </x:c>
      <x:c r="X544" s="2" t="str">
        <x:v>https://human-settlement.emergency.copernicus.eu/ghs_buS2023.php</x:v>
      </x:c>
    </x:row>
    <x:row r="545" ht="23" customHeight="1">
      <x:c r="A545" s="2" t="str">
        <x:v>NRU</x:v>
      </x:c>
      <x:c r="B545" s="2" t="str">
        <x:v>Nauru (Republic of)</x:v>
      </x:c>
      <x:c r="C545" s="2" t="n">
        <x:v>2015</x:v>
      </x:c>
      <x:c r="D545" s="2" t="str">
        <x:v>GHSL_SURFACE</x:v>
      </x:c>
      <x:c r="E545" s="17" t="n">
        <x:v>400075.14321742795</x:v>
      </x:c>
      <x:c r="F545" s="17" t="n">
        <x:f>IF(AND(M545,ISNUMBER(R545)),IF(D545="TEMPO_PROXY",R545,IF(AND(ISNUMBER(S545),S545&gt;0,ISNUMBER(U545)),U545*R545/S545,"n.a.")),"n.a.")</x:f>
        <x:v>457077.00000000023</x:v>
      </x:c>
      <x:c r="G545" s="17" t="n">
        <x:f>IF(AND(ISNUMBER(E545),ISNUMBER(F545)),E545-F545,"n.a.")</x:f>
        <x:v>-57001.856782572286</x:v>
      </x:c>
      <x:c r="H545" s="15" t="n">
        <x:f>IF(AND(ISNUMBER(E545),ISNUMBER(F545),F545&gt;0),(E545-F545)/F545,"n.a.")</x:f>
        <x:v>-0.12470952767820795</x:v>
      </x:c>
      <x:c r="I545" s="19" t="n">
        <x:f>IF(ISNUMBER(H545),ABS(H545),"n.a.")</x:f>
        <x:v>0.12470952767820795</x:v>
      </x:c>
      <x:c r="J545" s="2" t="str">
        <x:v>available</x:v>
      </x:c>
      <x:c r="K545" s="2" t="n">
        <x:v>1</x:v>
      </x:c>
      <x:c r="L545" s="13" t="b">
        <x:v>0</x:v>
      </x:c>
      <x:c r="M545" s="13" t="b">
        <x:v>1</x:v>
      </x:c>
      <x:c r="N545" s="2" t="str">
        <x:v>historical source estimate</x:v>
      </x:c>
      <x:c r="O545" s="2" t="str"/>
      <x:c r="P545" s="2" t="str">
        <x:v>horizontal built-up surface</x:v>
      </x:c>
      <x:c r="Q545" s="2" t="str">
        <x:v>m2</x:v>
      </x:c>
      <x:c r="R545" s="17" t="n">
        <x:v>457077</x:v>
      </x:c>
      <x:c r="S545" s="17" t="n">
        <x:v>405989.38</x:v>
      </x:c>
      <x:c r="T545" s="18" t="n">
        <x:v>1.0000000000000007</x:v>
      </x:c>
      <x:c r="U545" s="17" t="n">
        <x:v>405989.38000000024</x:v>
      </x:c>
      <x:c r="V545" s="2" t="str">
        <x:v>Area equivalent = model2020 * source surface / TEMPO2020 footprint</x:v>
      </x:c>
      <x:c r="W545" s="2" t="str">
        <x:v>legacy epoch_status=observed; not exact acquisition proof</x:v>
      </x:c>
      <x:c r="X545" s="2" t="str">
        <x:v>https://human-settlement.emergency.copernicus.eu/ghs_buS2023.php</x:v>
      </x:c>
    </x:row>
    <x:row r="546" ht="23" customHeight="1">
      <x:c r="A546" s="2" t="str">
        <x:v>NZL</x:v>
      </x:c>
      <x:c r="B546" s="2" t="str">
        <x:v>New Zealand</x:v>
      </x:c>
      <x:c r="C546" s="2" t="n">
        <x:v>2015</x:v>
      </x:c>
      <x:c r="D546" s="2" t="str">
        <x:v>GHSL_SURFACE</x:v>
      </x:c>
      <x:c r="E546" s="17" t="n">
        <x:v>480029552.55422294</x:v>
      </x:c>
      <x:c r="F546" s="17" t="n">
        <x:f>IF(AND(M546,ISNUMBER(R546)),IF(D546="TEMPO_PROXY",R546,IF(AND(ISNUMBER(S546),S546&gt;0,ISNUMBER(U546)),U546*R546/S546,"n.a.")),"n.a.")</x:f>
        <x:v>818399497.9999987</x:v>
      </x:c>
      <x:c r="G546" s="17" t="n">
        <x:f>IF(AND(ISNUMBER(E546),ISNUMBER(F546)),E546-F546,"n.a.")</x:f>
        <x:v>-338369945.44577575</x:v>
      </x:c>
      <x:c r="H546" s="15" t="n">
        <x:f>IF(AND(ISNUMBER(E546),ISNUMBER(F546),F546&gt;0),(E546-F546)/F546,"n.a.")</x:f>
        <x:v>-0.41345326612819633</x:v>
      </x:c>
      <x:c r="I546" s="19" t="n">
        <x:f>IF(ISNUMBER(H546),ABS(H546),"n.a.")</x:f>
        <x:v>0.41345326612819633</x:v>
      </x:c>
      <x:c r="J546" s="2" t="str">
        <x:v>available</x:v>
      </x:c>
      <x:c r="K546" s="2" t="n">
        <x:v>1</x:v>
      </x:c>
      <x:c r="L546" s="13" t="b">
        <x:v>0</x:v>
      </x:c>
      <x:c r="M546" s="13" t="b">
        <x:v>1</x:v>
      </x:c>
      <x:c r="N546" s="2" t="str">
        <x:v>historical source estimate</x:v>
      </x:c>
      <x:c r="O546" s="2" t="str"/>
      <x:c r="P546" s="2" t="str">
        <x:v>horizontal built-up surface</x:v>
      </x:c>
      <x:c r="Q546" s="2" t="str">
        <x:v>m2</x:v>
      </x:c>
      <x:c r="R546" s="17" t="n">
        <x:v>818399498</x:v>
      </x:c>
      <x:c r="S546" s="17" t="n">
        <x:v>553529463.79</x:v>
      </x:c>
      <x:c r="T546" s="18" t="n">
        <x:v>0.9999999999999984</x:v>
      </x:c>
      <x:c r="U546" s="17" t="n">
        <x:v>553529463.7899991</x:v>
      </x:c>
      <x:c r="V546" s="2" t="str">
        <x:v>Area equivalent = model2020 * source surface / TEMPO2020 footprint</x:v>
      </x:c>
      <x:c r="W546" s="2" t="str">
        <x:v>legacy epoch_status=observed; not exact acquisition proof</x:v>
      </x:c>
      <x:c r="X546" s="2" t="str">
        <x:v>https://human-settlement.emergency.copernicus.eu/ghs_buS2023.php</x:v>
      </x:c>
    </x:row>
    <x:row r="547" ht="23" customHeight="1">
      <x:c r="A547" s="2" t="str">
        <x:v>OMN</x:v>
      </x:c>
      <x:c r="B547" s="2" t="str">
        <x:v>Oman (Sultanate of)</x:v>
      </x:c>
      <x:c r="C547" s="2" t="n">
        <x:v>2015</x:v>
      </x:c>
      <x:c r="D547" s="2" t="str">
        <x:v>GHSL_SURFACE</x:v>
      </x:c>
      <x:c r="E547" s="17" t="n">
        <x:v>222748482.34837043</x:v>
      </x:c>
      <x:c r="F547" s="17" t="n">
        <x:f>IF(AND(M547,ISNUMBER(R547)),IF(D547="TEMPO_PROXY",R547,IF(AND(ISNUMBER(S547),S547&gt;0,ISNUMBER(U547)),U547*R547/S547,"n.a.")),"n.a.")</x:f>
        <x:v>364967872.0000003</x:v>
      </x:c>
      <x:c r="G547" s="17" t="n">
        <x:f>IF(AND(ISNUMBER(E547),ISNUMBER(F547)),E547-F547,"n.a.")</x:f>
        <x:v>-142219389.65162987</x:v>
      </x:c>
      <x:c r="H547" s="15" t="n">
        <x:f>IF(AND(ISNUMBER(E547),ISNUMBER(F547),F547&gt;0),(E547-F547)/F547,"n.a.")</x:f>
        <x:v>-0.3896764634987645</x:v>
      </x:c>
      <x:c r="I547" s="19" t="n">
        <x:f>IF(ISNUMBER(H547),ABS(H547),"n.a.")</x:f>
        <x:v>0.3896764634987645</x:v>
      </x:c>
      <x:c r="J547" s="2" t="str">
        <x:v>available</x:v>
      </x:c>
      <x:c r="K547" s="2" t="n">
        <x:v>1</x:v>
      </x:c>
      <x:c r="L547" s="13" t="b">
        <x:v>0</x:v>
      </x:c>
      <x:c r="M547" s="13" t="b">
        <x:v>1</x:v>
      </x:c>
      <x:c r="N547" s="2" t="str">
        <x:v>historical source estimate</x:v>
      </x:c>
      <x:c r="O547" s="2" t="str"/>
      <x:c r="P547" s="2" t="str">
        <x:v>horizontal built-up surface</x:v>
      </x:c>
      <x:c r="Q547" s="2" t="str">
        <x:v>m2</x:v>
      </x:c>
      <x:c r="R547" s="17" t="n">
        <x:v>364967872</x:v>
      </x:c>
      <x:c r="S547" s="17" t="n">
        <x:v>262659820.85</x:v>
      </x:c>
      <x:c r="T547" s="18" t="n">
        <x:v>1.0000000000000009</x:v>
      </x:c>
      <x:c r="U547" s="17" t="n">
        <x:v>262659820.8500002</x:v>
      </x:c>
      <x:c r="V547" s="2" t="str">
        <x:v>Area equivalent = model2020 * source surface / TEMPO2020 footprint</x:v>
      </x:c>
      <x:c r="W547" s="2" t="str">
        <x:v>legacy epoch_status=observed; not exact acquisition proof</x:v>
      </x:c>
      <x:c r="X547" s="2" t="str">
        <x:v>https://human-settlement.emergency.copernicus.eu/ghs_buS2023.php</x:v>
      </x:c>
    </x:row>
    <x:row r="548" ht="23" customHeight="1">
      <x:c r="A548" s="2" t="str">
        <x:v>PAK</x:v>
      </x:c>
      <x:c r="B548" s="2" t="str">
        <x:v>Pakistan (Islamic Republic of)</x:v>
      </x:c>
      <x:c r="C548" s="2" t="n">
        <x:v>2015</x:v>
      </x:c>
      <x:c r="D548" s="2" t="str">
        <x:v>GHSL_SURFACE</x:v>
      </x:c>
      <x:c r="E548" s="17" t="n">
        <x:v>3517876725.135339</x:v>
      </x:c>
      <x:c r="F548" s="17" t="n">
        <x:f>IF(AND(M548,ISNUMBER(R548)),IF(D548="TEMPO_PROXY",R548,IF(AND(ISNUMBER(S548),S548&gt;0,ISNUMBER(U548)),U548*R548/S548,"n.a.")),"n.a.")</x:f>
        <x:v>5149019681.000006</x:v>
      </x:c>
      <x:c r="G548" s="17" t="n">
        <x:f>IF(AND(ISNUMBER(E548),ISNUMBER(F548)),E548-F548,"n.a.")</x:f>
        <x:v>-1631142955.864667</x:v>
      </x:c>
      <x:c r="H548" s="15" t="n">
        <x:f>IF(AND(ISNUMBER(E548),ISNUMBER(F548),F548&gt;0),(E548-F548)/F548,"n.a.")</x:f>
        <x:v>-0.3167870889838739</x:v>
      </x:c>
      <x:c r="I548" s="19" t="n">
        <x:f>IF(ISNUMBER(H548),ABS(H548),"n.a.")</x:f>
        <x:v>0.3167870889838739</x:v>
      </x:c>
      <x:c r="J548" s="2" t="str">
        <x:v>available</x:v>
      </x:c>
      <x:c r="K548" s="2" t="n">
        <x:v>1</x:v>
      </x:c>
      <x:c r="L548" s="13" t="b">
        <x:v>0</x:v>
      </x:c>
      <x:c r="M548" s="13" t="b">
        <x:v>1</x:v>
      </x:c>
      <x:c r="N548" s="2" t="str">
        <x:v>historical source estimate</x:v>
      </x:c>
      <x:c r="O548" s="2" t="str"/>
      <x:c r="P548" s="2" t="str">
        <x:v>horizontal built-up surface</x:v>
      </x:c>
      <x:c r="Q548" s="2" t="str">
        <x:v>m2</x:v>
      </x:c>
      <x:c r="R548" s="17" t="n">
        <x:v>5149019681</x:v>
      </x:c>
      <x:c r="S548" s="17" t="n">
        <x:v>4301390083.52</x:v>
      </x:c>
      <x:c r="T548" s="18" t="n">
        <x:v>1.000000000000001</x:v>
      </x:c>
      <x:c r="U548" s="17" t="n">
        <x:v>4301390083.520005</x:v>
      </x:c>
      <x:c r="V548" s="2" t="str">
        <x:v>Area equivalent = model2020 * source surface / TEMPO2020 footprint</x:v>
      </x:c>
      <x:c r="W548" s="2" t="str">
        <x:v>legacy epoch_status=observed; not exact acquisition proof</x:v>
      </x:c>
      <x:c r="X548" s="2" t="str">
        <x:v>https://human-settlement.emergency.copernicus.eu/ghs_buS2023.php</x:v>
      </x:c>
    </x:row>
    <x:row r="549" ht="23" customHeight="1">
      <x:c r="A549" s="2" t="str">
        <x:v>PAN</x:v>
      </x:c>
      <x:c r="B549" s="2" t="str">
        <x:v>Panama (Republic of)</x:v>
      </x:c>
      <x:c r="C549" s="2" t="n">
        <x:v>2015</x:v>
      </x:c>
      <x:c r="D549" s="2" t="str">
        <x:v>GHSL_SURFACE</x:v>
      </x:c>
      <x:c r="E549" s="17" t="n">
        <x:v>181431559.5106657</x:v>
      </x:c>
      <x:c r="F549" s="17" t="n">
        <x:f>IF(AND(M549,ISNUMBER(R549)),IF(D549="TEMPO_PROXY",R549,IF(AND(ISNUMBER(S549),S549&gt;0,ISNUMBER(U549)),U549*R549/S549,"n.a.")),"n.a.")</x:f>
        <x:v>249902285.00000012</x:v>
      </x:c>
      <x:c r="G549" s="17" t="n">
        <x:f>IF(AND(ISNUMBER(E549),ISNUMBER(F549)),E549-F549,"n.a.")</x:f>
        <x:v>-68470725.4893344</x:v>
      </x:c>
      <x:c r="H549" s="15" t="n">
        <x:f>IF(AND(ISNUMBER(E549),ISNUMBER(F549),F549&gt;0),(E549-F549)/F549,"n.a.")</x:f>
        <x:v>-0.2739899936862697</x:v>
      </x:c>
      <x:c r="I549" s="19" t="n">
        <x:f>IF(ISNUMBER(H549),ABS(H549),"n.a.")</x:f>
        <x:v>0.2739899936862697</x:v>
      </x:c>
      <x:c r="J549" s="2" t="str">
        <x:v>available</x:v>
      </x:c>
      <x:c r="K549" s="2" t="n">
        <x:v>1</x:v>
      </x:c>
      <x:c r="L549" s="13" t="b">
        <x:v>0</x:v>
      </x:c>
      <x:c r="M549" s="13" t="b">
        <x:v>1</x:v>
      </x:c>
      <x:c r="N549" s="2" t="str">
        <x:v>historical source estimate</x:v>
      </x:c>
      <x:c r="O549" s="2" t="str"/>
      <x:c r="P549" s="2" t="str">
        <x:v>horizontal built-up surface</x:v>
      </x:c>
      <x:c r="Q549" s="2" t="str">
        <x:v>m2</x:v>
      </x:c>
      <x:c r="R549" s="17" t="n">
        <x:v>249902285</x:v>
      </x:c>
      <x:c r="S549" s="17" t="n">
        <x:v>209722829.78</x:v>
      </x:c>
      <x:c r="T549" s="18" t="n">
        <x:v>1.0000000000000004</x:v>
      </x:c>
      <x:c r="U549" s="17" t="n">
        <x:v>209722829.7800001</x:v>
      </x:c>
      <x:c r="V549" s="2" t="str">
        <x:v>Area equivalent = model2020 * source surface / TEMPO2020 footprint</x:v>
      </x:c>
      <x:c r="W549" s="2" t="str">
        <x:v>legacy epoch_status=observed; not exact acquisition proof</x:v>
      </x:c>
      <x:c r="X549" s="2" t="str">
        <x:v>https://human-settlement.emergency.copernicus.eu/ghs_buS2023.php</x:v>
      </x:c>
    </x:row>
    <x:row r="550" ht="23" customHeight="1">
      <x:c r="A550" s="2" t="str">
        <x:v>PER</x:v>
      </x:c>
      <x:c r="B550" s="2" t="str">
        <x:v>Peru (Republic of)</x:v>
      </x:c>
      <x:c r="C550" s="2" t="n">
        <x:v>2015</x:v>
      </x:c>
      <x:c r="D550" s="2" t="str">
        <x:v>GHSL_SURFACE</x:v>
      </x:c>
      <x:c r="E550" s="17" t="n">
        <x:v>1167948144.3467624</x:v>
      </x:c>
      <x:c r="F550" s="17" t="n">
        <x:f>IF(AND(M550,ISNUMBER(R550)),IF(D550="TEMPO_PROXY",R550,IF(AND(ISNUMBER(S550),S550&gt;0,ISNUMBER(U550)),U550*R550/S550,"n.a.")),"n.a.")</x:f>
        <x:v>1407683979.0000014</x:v>
      </x:c>
      <x:c r="G550" s="17" t="n">
        <x:f>IF(AND(ISNUMBER(E550),ISNUMBER(F550)),E550-F550,"n.a.")</x:f>
        <x:v>-239735834.653239</x:v>
      </x:c>
      <x:c r="H550" s="15" t="n">
        <x:f>IF(AND(ISNUMBER(E550),ISNUMBER(F550),F550&gt;0),(E550-F550)/F550,"n.a.")</x:f>
        <x:v>-0.17030515245584021</x:v>
      </x:c>
      <x:c r="I550" s="19" t="n">
        <x:f>IF(ISNUMBER(H550),ABS(H550),"n.a.")</x:f>
        <x:v>0.17030515245584021</x:v>
      </x:c>
      <x:c r="J550" s="2" t="str">
        <x:v>available</x:v>
      </x:c>
      <x:c r="K550" s="2" t="n">
        <x:v>1</x:v>
      </x:c>
      <x:c r="L550" s="13" t="b">
        <x:v>0</x:v>
      </x:c>
      <x:c r="M550" s="13" t="b">
        <x:v>1</x:v>
      </x:c>
      <x:c r="N550" s="2" t="str">
        <x:v>historical source estimate</x:v>
      </x:c>
      <x:c r="O550" s="2" t="str"/>
      <x:c r="P550" s="2" t="str">
        <x:v>horizontal built-up surface</x:v>
      </x:c>
      <x:c r="Q550" s="2" t="str">
        <x:v>m2</x:v>
      </x:c>
      <x:c r="R550" s="17" t="n">
        <x:v>1407683979</x:v>
      </x:c>
      <x:c r="S550" s="17" t="n">
        <x:v>1228349086.86</x:v>
      </x:c>
      <x:c r="T550" s="18" t="n">
        <x:v>1.0000000000000009</x:v>
      </x:c>
      <x:c r="U550" s="17" t="n">
        <x:v>1228349086.860001</x:v>
      </x:c>
      <x:c r="V550" s="2" t="str">
        <x:v>Area equivalent = model2020 * source surface / TEMPO2020 footprint</x:v>
      </x:c>
      <x:c r="W550" s="2" t="str">
        <x:v>legacy epoch_status=observed; not exact acquisition proof</x:v>
      </x:c>
      <x:c r="X550" s="2" t="str">
        <x:v>https://human-settlement.emergency.copernicus.eu/ghs_buS2023.php</x:v>
      </x:c>
    </x:row>
    <x:row r="551" ht="23" customHeight="1">
      <x:c r="A551" s="2" t="str">
        <x:v>PHL</x:v>
      </x:c>
      <x:c r="B551" s="2" t="str">
        <x:v>Philippines (Republic of the)</x:v>
      </x:c>
      <x:c r="C551" s="2" t="n">
        <x:v>2015</x:v>
      </x:c>
      <x:c r="D551" s="2" t="str">
        <x:v>GHSL_SURFACE</x:v>
      </x:c>
      <x:c r="E551" s="17" t="n">
        <x:v>2119006423.4482572</x:v>
      </x:c>
      <x:c r="F551" s="17" t="n">
        <x:f>IF(AND(M551,ISNUMBER(R551)),IF(D551="TEMPO_PROXY",R551,IF(AND(ISNUMBER(S551),S551&gt;0,ISNUMBER(U551)),U551*R551/S551,"n.a.")),"n.a.")</x:f>
        <x:v>2161151512.000001</x:v>
      </x:c>
      <x:c r="G551" s="17" t="n">
        <x:f>IF(AND(ISNUMBER(E551),ISNUMBER(F551)),E551-F551,"n.a.")</x:f>
        <x:v>-42145088.551743746</x:v>
      </x:c>
      <x:c r="H551" s="15" t="n">
        <x:f>IF(AND(ISNUMBER(E551),ISNUMBER(F551),F551&gt;0),(E551-F551)/F551,"n.a.")</x:f>
        <x:v>-0.01950121882604209</x:v>
      </x:c>
      <x:c r="I551" s="19" t="n">
        <x:f>IF(ISNUMBER(H551),ABS(H551),"n.a.")</x:f>
        <x:v>0.01950121882604209</x:v>
      </x:c>
      <x:c r="J551" s="2" t="str">
        <x:v>available</x:v>
      </x:c>
      <x:c r="K551" s="2" t="n">
        <x:v>1</x:v>
      </x:c>
      <x:c r="L551" s="13" t="b">
        <x:v>0</x:v>
      </x:c>
      <x:c r="M551" s="13" t="b">
        <x:v>1</x:v>
      </x:c>
      <x:c r="N551" s="2" t="str">
        <x:v>historical source estimate</x:v>
      </x:c>
      <x:c r="O551" s="2" t="str"/>
      <x:c r="P551" s="2" t="str">
        <x:v>horizontal built-up surface</x:v>
      </x:c>
      <x:c r="Q551" s="2" t="str">
        <x:v>m2</x:v>
      </x:c>
      <x:c r="R551" s="17" t="n">
        <x:v>2161151512</x:v>
      </x:c>
      <x:c r="S551" s="17" t="n">
        <x:v>2290609295.4</x:v>
      </x:c>
      <x:c r="T551" s="18" t="n">
        <x:v>1.0000000000000004</x:v>
      </x:c>
      <x:c r="U551" s="17" t="n">
        <x:v>2290609295.400001</x:v>
      </x:c>
      <x:c r="V551" s="2" t="str">
        <x:v>Area equivalent = model2020 * source surface / TEMPO2020 footprint</x:v>
      </x:c>
      <x:c r="W551" s="2" t="str">
        <x:v>legacy epoch_status=observed; not exact acquisition proof</x:v>
      </x:c>
      <x:c r="X551" s="2" t="str">
        <x:v>https://human-settlement.emergency.copernicus.eu/ghs_buS2023.php</x:v>
      </x:c>
    </x:row>
    <x:row r="552" ht="23" customHeight="1">
      <x:c r="A552" s="2" t="str">
        <x:v>PLW</x:v>
      </x:c>
      <x:c r="B552" s="2" t="str">
        <x:v>Palau (Republic of)</x:v>
      </x:c>
      <x:c r="C552" s="2" t="n">
        <x:v>2015</x:v>
      </x:c>
      <x:c r="D552" s="2" t="str">
        <x:v>GHSL_SURFACE</x:v>
      </x:c>
      <x:c r="E552" s="17" t="n">
        <x:v>1134148.4645909867</x:v>
      </x:c>
      <x:c r="F552" s="17" t="n">
        <x:f>IF(AND(M552,ISNUMBER(R552)),IF(D552="TEMPO_PROXY",R552,IF(AND(ISNUMBER(S552),S552&gt;0,ISNUMBER(U552)),U552*R552/S552,"n.a.")),"n.a.")</x:f>
        <x:v>1020348</x:v>
      </x:c>
      <x:c r="G552" s="17" t="n">
        <x:f>IF(AND(ISNUMBER(E552),ISNUMBER(F552)),E552-F552,"n.a.")</x:f>
        <x:v>113800.46459098672</x:v>
      </x:c>
      <x:c r="H552" s="15" t="n">
        <x:f>IF(AND(ISNUMBER(E552),ISNUMBER(F552),F552&gt;0),(E552-F552)/F552,"n.a.")</x:f>
        <x:v>0.1115310311687647</x:v>
      </x:c>
      <x:c r="I552" s="19" t="n">
        <x:f>IF(ISNUMBER(H552),ABS(H552),"n.a.")</x:f>
        <x:v>0.1115310311687647</x:v>
      </x:c>
      <x:c r="J552" s="2" t="str">
        <x:v>available</x:v>
      </x:c>
      <x:c r="K552" s="2" t="n">
        <x:v>1</x:v>
      </x:c>
      <x:c r="L552" s="13" t="b">
        <x:v>0</x:v>
      </x:c>
      <x:c r="M552" s="13" t="b">
        <x:v>1</x:v>
      </x:c>
      <x:c r="N552" s="2" t="str">
        <x:v>historical source estimate</x:v>
      </x:c>
      <x:c r="O552" s="2" t="str"/>
      <x:c r="P552" s="2" t="str">
        <x:v>horizontal built-up surface</x:v>
      </x:c>
      <x:c r="Q552" s="2" t="str">
        <x:v>m2</x:v>
      </x:c>
      <x:c r="R552" s="17" t="n">
        <x:v>1020348</x:v>
      </x:c>
      <x:c r="S552" s="17" t="n">
        <x:v>1152226.26</x:v>
      </x:c>
      <x:c r="T552" s="18" t="n">
        <x:v>1</x:v>
      </x:c>
      <x:c r="U552" s="17" t="n">
        <x:v>1152226.26</x:v>
      </x:c>
      <x:c r="V552" s="2" t="str">
        <x:v>Area equivalent = model2020 * source surface / TEMPO2020 footprint</x:v>
      </x:c>
      <x:c r="W552" s="2" t="str">
        <x:v>legacy epoch_status=observed; not exact acquisition proof</x:v>
      </x:c>
      <x:c r="X552" s="2" t="str">
        <x:v>https://human-settlement.emergency.copernicus.eu/ghs_buS2023.php</x:v>
      </x:c>
    </x:row>
    <x:row r="553" ht="23" customHeight="1">
      <x:c r="A553" s="2" t="str">
        <x:v>PNG</x:v>
      </x:c>
      <x:c r="B553" s="2" t="str">
        <x:v>Papua New Guinea (Independent State of)</x:v>
      </x:c>
      <x:c r="C553" s="2" t="n">
        <x:v>2015</x:v>
      </x:c>
      <x:c r="D553" s="2" t="str">
        <x:v>GHSL_SURFACE</x:v>
      </x:c>
      <x:c r="E553" s="17" t="n">
        <x:v>101313150.79228555</x:v>
      </x:c>
      <x:c r="F553" s="17" t="n">
        <x:f>IF(AND(M553,ISNUMBER(R553)),IF(D553="TEMPO_PROXY",R553,IF(AND(ISNUMBER(S553),S553&gt;0,ISNUMBER(U553)),U553*R553/S553,"n.a.")),"n.a.")</x:f>
        <x:v>160488539.00000027</x:v>
      </x:c>
      <x:c r="G553" s="17" t="n">
        <x:f>IF(AND(ISNUMBER(E553),ISNUMBER(F553)),E553-F553,"n.a.")</x:f>
        <x:v>-59175388.20771472</x:v>
      </x:c>
      <x:c r="H553" s="15" t="n">
        <x:f>IF(AND(ISNUMBER(E553),ISNUMBER(F553),F553&gt;0),(E553-F553)/F553,"n.a.")</x:f>
        <x:v>-0.3687203371432936</x:v>
      </x:c>
      <x:c r="I553" s="19" t="n">
        <x:f>IF(ISNUMBER(H553),ABS(H553),"n.a.")</x:f>
        <x:v>0.3687203371432936</x:v>
      </x:c>
      <x:c r="J553" s="2" t="str">
        <x:v>available</x:v>
      </x:c>
      <x:c r="K553" s="2" t="n">
        <x:v>1</x:v>
      </x:c>
      <x:c r="L553" s="13" t="b">
        <x:v>0</x:v>
      </x:c>
      <x:c r="M553" s="13" t="b">
        <x:v>1</x:v>
      </x:c>
      <x:c r="N553" s="2" t="str">
        <x:v>historical source estimate</x:v>
      </x:c>
      <x:c r="O553" s="2" t="str"/>
      <x:c r="P553" s="2" t="str">
        <x:v>horizontal built-up surface</x:v>
      </x:c>
      <x:c r="Q553" s="2" t="str">
        <x:v>m2</x:v>
      </x:c>
      <x:c r="R553" s="17" t="n">
        <x:v>160488539</x:v>
      </x:c>
      <x:c r="S553" s="17" t="n">
        <x:v>111325792.03</x:v>
      </x:c>
      <x:c r="T553" s="18" t="n">
        <x:v>1.0000000000000016</x:v>
      </x:c>
      <x:c r="U553" s="17" t="n">
        <x:v>111325792.03000018</x:v>
      </x:c>
      <x:c r="V553" s="2" t="str">
        <x:v>Area equivalent = model2020 * source surface / TEMPO2020 footprint</x:v>
      </x:c>
      <x:c r="W553" s="2" t="str">
        <x:v>legacy epoch_status=observed; not exact acquisition proof</x:v>
      </x:c>
      <x:c r="X553" s="2" t="str">
        <x:v>https://human-settlement.emergency.copernicus.eu/ghs_buS2023.php</x:v>
      </x:c>
    </x:row>
    <x:row r="554" ht="23" customHeight="1">
      <x:c r="A554" s="2" t="str">
        <x:v>POL</x:v>
      </x:c>
      <x:c r="B554" s="2" t="str">
        <x:v>Poland (Republic of)</x:v>
      </x:c>
      <x:c r="C554" s="2" t="n">
        <x:v>2015</x:v>
      </x:c>
      <x:c r="D554" s="2" t="str">
        <x:v>GHSL_SURFACE</x:v>
      </x:c>
      <x:c r="E554" s="17" t="n">
        <x:v>2405618895.24534</x:v>
      </x:c>
      <x:c r="F554" s="17" t="n">
        <x:f>IF(AND(M554,ISNUMBER(R554)),IF(D554="TEMPO_PROXY",R554,IF(AND(ISNUMBER(S554),S554&gt;0,ISNUMBER(U554)),U554*R554/S554,"n.a.")),"n.a.")</x:f>
        <x:v>4256296763.000003</x:v>
      </x:c>
      <x:c r="G554" s="17" t="n">
        <x:f>IF(AND(ISNUMBER(E554),ISNUMBER(F554)),E554-F554,"n.a.")</x:f>
        <x:v>-1850677867.754663</x:v>
      </x:c>
      <x:c r="H554" s="15" t="n">
        <x:f>IF(AND(ISNUMBER(E554),ISNUMBER(F554),F554&gt;0),(E554-F554)/F554,"n.a.")</x:f>
        <x:v>-0.434809406111578</x:v>
      </x:c>
      <x:c r="I554" s="19" t="n">
        <x:f>IF(ISNUMBER(H554),ABS(H554),"n.a.")</x:f>
        <x:v>0.434809406111578</x:v>
      </x:c>
      <x:c r="J554" s="2" t="str">
        <x:v>available</x:v>
      </x:c>
      <x:c r="K554" s="2" t="n">
        <x:v>1</x:v>
      </x:c>
      <x:c r="L554" s="13" t="b">
        <x:v>0</x:v>
      </x:c>
      <x:c r="M554" s="13" t="b">
        <x:v>1</x:v>
      </x:c>
      <x:c r="N554" s="2" t="str">
        <x:v>historical source estimate</x:v>
      </x:c>
      <x:c r="O554" s="2" t="str"/>
      <x:c r="P554" s="2" t="str">
        <x:v>horizontal built-up surface</x:v>
      </x:c>
      <x:c r="Q554" s="2" t="str">
        <x:v>m2</x:v>
      </x:c>
      <x:c r="R554" s="17" t="n">
        <x:v>4256296763</x:v>
      </x:c>
      <x:c r="S554" s="17" t="n">
        <x:v>2573023573.53</x:v>
      </x:c>
      <x:c r="T554" s="18" t="n">
        <x:v>1.0000000000000007</x:v>
      </x:c>
      <x:c r="U554" s="17" t="n">
        <x:v>2573023573.5300016</x:v>
      </x:c>
      <x:c r="V554" s="2" t="str">
        <x:v>Area equivalent = model2020 * source surface / TEMPO2020 footprint</x:v>
      </x:c>
      <x:c r="W554" s="2" t="str">
        <x:v>legacy epoch_status=observed; not exact acquisition proof</x:v>
      </x:c>
      <x:c r="X554" s="2" t="str">
        <x:v>https://human-settlement.emergency.copernicus.eu/ghs_buS2023.php</x:v>
      </x:c>
    </x:row>
    <x:row r="555" ht="23" customHeight="1">
      <x:c r="A555" s="2" t="str">
        <x:v>PRK</x:v>
      </x:c>
      <x:c r="B555" s="2" t="str">
        <x:v>Korea (Democratic People's Republic of)</x:v>
      </x:c>
      <x:c r="C555" s="2" t="n">
        <x:v>2015</x:v>
      </x:c>
      <x:c r="D555" s="2" t="str">
        <x:v>GHSL_SURFACE</x:v>
      </x:c>
      <x:c r="E555" s="17" t="n">
        <x:v>399529994.4119029</x:v>
      </x:c>
      <x:c r="F555" s="17" t="n">
        <x:f>IF(AND(M555,ISNUMBER(R555)),IF(D555="TEMPO_PROXY",R555,IF(AND(ISNUMBER(S555),S555&gt;0,ISNUMBER(U555)),U555*R555/S555,"n.a.")),"n.a.")</x:f>
        <x:v>321033152.41968566</x:v>
      </x:c>
      <x:c r="G555" s="17" t="n">
        <x:f>IF(AND(ISNUMBER(E555),ISNUMBER(F555)),E555-F555,"n.a.")</x:f>
        <x:v>78496841.99221724</x:v>
      </x:c>
      <x:c r="H555" s="15" t="n">
        <x:f>IF(AND(ISNUMBER(E555),ISNUMBER(F555),F555&gt;0),(E555-F555)/F555,"n.a.")</x:f>
        <x:v>0.24451319560167592</x:v>
      </x:c>
      <x:c r="I555" s="19" t="n">
        <x:f>IF(ISNUMBER(H555),ABS(H555),"n.a.")</x:f>
        <x:v>0.24451319560167592</x:v>
      </x:c>
      <x:c r="J555" s="2" t="str">
        <x:v>available</x:v>
      </x:c>
      <x:c r="K555" s="2" t="n">
        <x:v>1</x:v>
      </x:c>
      <x:c r="L555" s="13" t="b">
        <x:v>0</x:v>
      </x:c>
      <x:c r="M555" s="13" t="b">
        <x:v>1</x:v>
      </x:c>
      <x:c r="N555" s="2" t="str">
        <x:v>historical source estimate</x:v>
      </x:c>
      <x:c r="O555" s="2" t="str"/>
      <x:c r="P555" s="2" t="str">
        <x:v>horizontal built-up surface</x:v>
      </x:c>
      <x:c r="Q555" s="2" t="str">
        <x:v>m2</x:v>
      </x:c>
      <x:c r="R555" s="17" t="n">
        <x:v>316814149</x:v>
      </x:c>
      <x:c r="S555" s="17" t="n">
        <x:v>463540849.51</x:v>
      </x:c>
      <x:c r="T555" s="18" t="n">
        <x:v>1.0133169665338577</x:v>
      </x:c>
      <x:c r="U555" s="17" t="n">
        <x:v>469713807.49000067</x:v>
      </x:c>
      <x:c r="V555" s="2" t="str">
        <x:v>Area equivalent = model2020 * source surface / TEMPO2020 footprint</x:v>
      </x:c>
      <x:c r="W555" s="2" t="str">
        <x:v>legacy epoch_status=observed; not exact acquisition proof</x:v>
      </x:c>
      <x:c r="X555" s="2" t="str">
        <x:v>https://human-settlement.emergency.copernicus.eu/ghs_buS2023.php</x:v>
      </x:c>
    </x:row>
    <x:row r="556" ht="23" customHeight="1">
      <x:c r="A556" s="2" t="str">
        <x:v>PRT</x:v>
      </x:c>
      <x:c r="B556" s="2" t="str">
        <x:v>Portugal (Portuguese Republic)</x:v>
      </x:c>
      <x:c r="C556" s="2" t="n">
        <x:v>2015</x:v>
      </x:c>
      <x:c r="D556" s="2" t="str">
        <x:v>GHSL_SURFACE</x:v>
      </x:c>
      <x:c r="E556" s="17" t="n">
        <x:v>971474702.6920972</x:v>
      </x:c>
      <x:c r="F556" s="17" t="n">
        <x:f>IF(AND(M556,ISNUMBER(R556)),IF(D556="TEMPO_PROXY",R556,IF(AND(ISNUMBER(S556),S556&gt;0,ISNUMBER(U556)),U556*R556/S556,"n.a.")),"n.a.")</x:f>
        <x:v>1306436027</x:v>
      </x:c>
      <x:c r="G556" s="17" t="n">
        <x:f>IF(AND(ISNUMBER(E556),ISNUMBER(F556)),E556-F556,"n.a.")</x:f>
        <x:v>-334961324.3079028</x:v>
      </x:c>
      <x:c r="H556" s="15" t="n">
        <x:f>IF(AND(ISNUMBER(E556),ISNUMBER(F556),F556&gt;0),(E556-F556)/F556,"n.a.")</x:f>
        <x:v>-0.2563932082285594</x:v>
      </x:c>
      <x:c r="I556" s="19" t="n">
        <x:f>IF(ISNUMBER(H556),ABS(H556),"n.a.")</x:f>
        <x:v>0.2563932082285594</x:v>
      </x:c>
      <x:c r="J556" s="2" t="str">
        <x:v>available</x:v>
      </x:c>
      <x:c r="K556" s="2" t="n">
        <x:v>1</x:v>
      </x:c>
      <x:c r="L556" s="13" t="b">
        <x:v>0</x:v>
      </x:c>
      <x:c r="M556" s="13" t="b">
        <x:v>1</x:v>
      </x:c>
      <x:c r="N556" s="2" t="str">
        <x:v>historical source estimate</x:v>
      </x:c>
      <x:c r="O556" s="2" t="str"/>
      <x:c r="P556" s="2" t="str">
        <x:v>horizontal built-up surface</x:v>
      </x:c>
      <x:c r="Q556" s="2" t="str">
        <x:v>m2</x:v>
      </x:c>
      <x:c r="R556" s="17" t="n">
        <x:v>1306436027</x:v>
      </x:c>
      <x:c r="S556" s="17" t="n">
        <x:v>1019333626.31</x:v>
      </x:c>
      <x:c r="T556" s="18" t="n">
        <x:v>1</x:v>
      </x:c>
      <x:c r="U556" s="17" t="n">
        <x:v>1019333626.31</x:v>
      </x:c>
      <x:c r="V556" s="2" t="str">
        <x:v>Area equivalent = model2020 * source surface / TEMPO2020 footprint</x:v>
      </x:c>
      <x:c r="W556" s="2" t="str">
        <x:v>legacy epoch_status=observed; not exact acquisition proof</x:v>
      </x:c>
      <x:c r="X556" s="2" t="str">
        <x:v>https://human-settlement.emergency.copernicus.eu/ghs_buS2023.php</x:v>
      </x:c>
    </x:row>
    <x:row r="557" ht="23" customHeight="1">
      <x:c r="A557" s="2" t="str">
        <x:v>PRY</x:v>
      </x:c>
      <x:c r="B557" s="2" t="str">
        <x:v>Paraguay (Republic of)</x:v>
      </x:c>
      <x:c r="C557" s="2" t="n">
        <x:v>2015</x:v>
      </x:c>
      <x:c r="D557" s="2" t="str">
        <x:v>GHSL_SURFACE</x:v>
      </x:c>
      <x:c r="E557" s="17" t="n">
        <x:v>320713958.5472337</x:v>
      </x:c>
      <x:c r="F557" s="17" t="n">
        <x:f>IF(AND(M557,ISNUMBER(R557)),IF(D557="TEMPO_PROXY",R557,IF(AND(ISNUMBER(S557),S557&gt;0,ISNUMBER(U557)),U557*R557/S557,"n.a.")),"n.a.")</x:f>
        <x:v>539441957.0000008</x:v>
      </x:c>
      <x:c r="G557" s="17" t="n">
        <x:f>IF(AND(ISNUMBER(E557),ISNUMBER(F557)),E557-F557,"n.a.")</x:f>
        <x:v>-218727998.45276713</x:v>
      </x:c>
      <x:c r="H557" s="15" t="n">
        <x:f>IF(AND(ISNUMBER(E557),ISNUMBER(F557),F557&gt;0),(E557-F557)/F557,"n.a.")</x:f>
        <x:v>-0.40547086783753233</x:v>
      </x:c>
      <x:c r="I557" s="19" t="n">
        <x:f>IF(ISNUMBER(H557),ABS(H557),"n.a.")</x:f>
        <x:v>0.40547086783753233</x:v>
      </x:c>
      <x:c r="J557" s="2" t="str">
        <x:v>available</x:v>
      </x:c>
      <x:c r="K557" s="2" t="n">
        <x:v>1</x:v>
      </x:c>
      <x:c r="L557" s="13" t="b">
        <x:v>0</x:v>
      </x:c>
      <x:c r="M557" s="13" t="b">
        <x:v>1</x:v>
      </x:c>
      <x:c r="N557" s="2" t="str">
        <x:v>historical source estimate</x:v>
      </x:c>
      <x:c r="O557" s="2" t="str"/>
      <x:c r="P557" s="2" t="str">
        <x:v>horizontal built-up surface</x:v>
      </x:c>
      <x:c r="Q557" s="2" t="str">
        <x:v>m2</x:v>
      </x:c>
      <x:c r="R557" s="17" t="n">
        <x:v>539441957</x:v>
      </x:c>
      <x:c r="S557" s="17" t="n">
        <x:v>336793873.45</x:v>
      </x:c>
      <x:c r="T557" s="18" t="n">
        <x:v>1.0000000000000016</x:v>
      </x:c>
      <x:c r="U557" s="17" t="n">
        <x:v>336793873.4500005</x:v>
      </x:c>
      <x:c r="V557" s="2" t="str">
        <x:v>Area equivalent = model2020 * source surface / TEMPO2020 footprint</x:v>
      </x:c>
      <x:c r="W557" s="2" t="str">
        <x:v>legacy epoch_status=observed; not exact acquisition proof</x:v>
      </x:c>
      <x:c r="X557" s="2" t="str">
        <x:v>https://human-settlement.emergency.copernicus.eu/ghs_buS2023.php</x:v>
      </x:c>
    </x:row>
    <x:row r="558" ht="23" customHeight="1">
      <x:c r="A558" s="2" t="str">
        <x:v>PSE</x:v>
      </x:c>
      <x:c r="B558" s="2" t="str">
        <x:v>State of Palestine</x:v>
      </x:c>
      <x:c r="C558" s="2" t="n">
        <x:v>2015</x:v>
      </x:c>
      <x:c r="D558" s="2" t="str">
        <x:v>GHSL_SURFACE</x:v>
      </x:c>
      <x:c r="E558" s="17" t="n">
        <x:v>227721164.33217236</x:v>
      </x:c>
      <x:c r="F558" s="17" t="str">
        <x:f>IF(AND(M558,ISNUMBER(R558)),IF(D558="TEMPO_PROXY",R558,IF(AND(ISNUMBER(S558),S558&gt;0,ISNUMBER(U558)),U558*R558/S558,"n.a.")),"n.a.")</x:f>
        <x:v>n.a.</x:v>
      </x:c>
      <x:c r="G558" s="17" t="str">
        <x:f>IF(AND(ISNUMBER(E558),ISNUMBER(F558)),E558-F558,"n.a.")</x:f>
        <x:v>n.a.</x:v>
      </x:c>
      <x:c r="H558" s="15" t="str">
        <x:f>IF(AND(ISNUMBER(E558),ISNUMBER(F558),F558&gt;0),(E558-F558)/F558,"n.a.")</x:f>
        <x:v>n.a.</x:v>
      </x:c>
      <x:c r="I558" s="19" t="str">
        <x:f>IF(ISNUMBER(H558),ABS(H558),"n.a.")</x:f>
        <x:v>n.a.</x:v>
      </x:c>
      <x:c r="J558" s="2" t="str">
        <x:v>unqualified_or_missing_native_source: legacy epoch_status=missing; not exact acquisition proof</x:v>
      </x:c>
      <x:c r="K558" s="2" t="n">
        <x:v>0</x:v>
      </x:c>
      <x:c r="L558" s="13" t="b">
        <x:v>0</x:v>
      </x:c>
      <x:c r="M558" s="13" t="b">
        <x:v>0</x:v>
      </x:c>
      <x:c r="N558" s="2" t="str">
        <x:v>historical source estimate</x:v>
      </x:c>
      <x:c r="O558" s="2" t="str"/>
      <x:c r="P558" s="2" t="str">
        <x:v>horizontal built-up surface</x:v>
      </x:c>
      <x:c r="Q558" s="2" t="str">
        <x:v>m2</x:v>
      </x:c>
      <x:c r="R558" s="17"/>
      <x:c r="S558" s="17"/>
      <x:c r="T558" s="18"/>
      <x:c r="U558" s="17" t="n">
        <x:v>239938472.63190365</x:v>
      </x:c>
      <x:c r="V558" s="2" t="str">
        <x:v>Area equivalent = model2020 * source surface / TEMPO2020 footprint</x:v>
      </x:c>
      <x:c r="W558" s="2" t="str">
        <x:v>legacy epoch_status=missing; not exact acquisition proof</x:v>
      </x:c>
      <x:c r="X558" s="2" t="str">
        <x:v>https://human-settlement.emergency.copernicus.eu/ghs_buS2023.php</x:v>
      </x:c>
    </x:row>
    <x:row r="559" ht="23" customHeight="1">
      <x:c r="A559" s="2" t="str">
        <x:v>QAT</x:v>
      </x:c>
      <x:c r="B559" s="2" t="str">
        <x:v>Qatar (State of)</x:v>
      </x:c>
      <x:c r="C559" s="2" t="n">
        <x:v>2015</x:v>
      </x:c>
      <x:c r="D559" s="2" t="str">
        <x:v>GHSL_SURFACE</x:v>
      </x:c>
      <x:c r="E559" s="17" t="n">
        <x:v>105013579.42282487</x:v>
      </x:c>
      <x:c r="F559" s="17" t="n">
        <x:f>IF(AND(M559,ISNUMBER(R559)),IF(D559="TEMPO_PROXY",R559,IF(AND(ISNUMBER(S559),S559&gt;0,ISNUMBER(U559)),U559*R559/S559,"n.a.")),"n.a.")</x:f>
        <x:v>183032819.52046847</x:v>
      </x:c>
      <x:c r="G559" s="17" t="n">
        <x:f>IF(AND(ISNUMBER(E559),ISNUMBER(F559)),E559-F559,"n.a.")</x:f>
        <x:v>-78019240.0976436</x:v>
      </x:c>
      <x:c r="H559" s="15" t="n">
        <x:f>IF(AND(ISNUMBER(E559),ISNUMBER(F559),F559&gt;0),(E559-F559)/F559,"n.a.")</x:f>
        <x:v>-0.4262581994969418</x:v>
      </x:c>
      <x:c r="I559" s="19" t="n">
        <x:f>IF(ISNUMBER(H559),ABS(H559),"n.a.")</x:f>
        <x:v>0.4262581994969418</x:v>
      </x:c>
      <x:c r="J559" s="2" t="str">
        <x:v>available</x:v>
      </x:c>
      <x:c r="K559" s="2" t="n">
        <x:v>1</x:v>
      </x:c>
      <x:c r="L559" s="13" t="b">
        <x:v>0</x:v>
      </x:c>
      <x:c r="M559" s="13" t="b">
        <x:v>1</x:v>
      </x:c>
      <x:c r="N559" s="2" t="str">
        <x:v>historical source estimate</x:v>
      </x:c>
      <x:c r="O559" s="2" t="str"/>
      <x:c r="P559" s="2" t="str">
        <x:v>horizontal built-up surface</x:v>
      </x:c>
      <x:c r="Q559" s="2" t="str">
        <x:v>m2</x:v>
      </x:c>
      <x:c r="R559" s="17" t="n">
        <x:v>164481495</x:v>
      </x:c>
      <x:c r="S559" s="17" t="n">
        <x:v>123398530.18</x:v>
      </x:c>
      <x:c r="T559" s="18" t="n">
        <x:v>1.1127866968893276</x:v>
      </x:c>
      <x:c r="U559" s="17" t="n">
        <x:v>137316242.80000022</x:v>
      </x:c>
      <x:c r="V559" s="2" t="str">
        <x:v>Area equivalent = model2020 * source surface / TEMPO2020 footprint</x:v>
      </x:c>
      <x:c r="W559" s="2" t="str">
        <x:v>legacy epoch_status=observed; not exact acquisition proof</x:v>
      </x:c>
      <x:c r="X559" s="2" t="str">
        <x:v>https://human-settlement.emergency.copernicus.eu/ghs_buS2023.php</x:v>
      </x:c>
    </x:row>
    <x:row r="560" ht="23" customHeight="1">
      <x:c r="A560" s="2" t="str">
        <x:v>ROU</x:v>
      </x:c>
      <x:c r="B560" s="2" t="str">
        <x:v>Romania</x:v>
      </x:c>
      <x:c r="C560" s="2" t="n">
        <x:v>2015</x:v>
      </x:c>
      <x:c r="D560" s="2" t="str">
        <x:v>GHSL_SURFACE</x:v>
      </x:c>
      <x:c r="E560" s="17" t="n">
        <x:v>1361197456.7154684</x:v>
      </x:c>
      <x:c r="F560" s="17" t="n">
        <x:f>IF(AND(M560,ISNUMBER(R560)),IF(D560="TEMPO_PROXY",R560,IF(AND(ISNUMBER(S560),S560&gt;0,ISNUMBER(U560)),U560*R560/S560,"n.a.")),"n.a.")</x:f>
        <x:v>2141213984.0000033</x:v>
      </x:c>
      <x:c r="G560" s="17" t="n">
        <x:f>IF(AND(ISNUMBER(E560),ISNUMBER(F560)),E560-F560,"n.a.")</x:f>
        <x:v>-780016527.2845349</x:v>
      </x:c>
      <x:c r="H560" s="15" t="n">
        <x:f>IF(AND(ISNUMBER(E560),ISNUMBER(F560),F560&gt;0),(E560-F560)/F560,"n.a.")</x:f>
        <x:v>-0.3642870507633177</x:v>
      </x:c>
      <x:c r="I560" s="19" t="n">
        <x:f>IF(ISNUMBER(H560),ABS(H560),"n.a.")</x:f>
        <x:v>0.3642870507633177</x:v>
      </x:c>
      <x:c r="J560" s="2" t="str">
        <x:v>available</x:v>
      </x:c>
      <x:c r="K560" s="2" t="n">
        <x:v>1</x:v>
      </x:c>
      <x:c r="L560" s="13" t="b">
        <x:v>0</x:v>
      </x:c>
      <x:c r="M560" s="13" t="b">
        <x:v>1</x:v>
      </x:c>
      <x:c r="N560" s="2" t="str">
        <x:v>historical source estimate</x:v>
      </x:c>
      <x:c r="O560" s="2" t="str"/>
      <x:c r="P560" s="2" t="str">
        <x:v>horizontal built-up surface</x:v>
      </x:c>
      <x:c r="Q560" s="2" t="str">
        <x:v>m2</x:v>
      </x:c>
      <x:c r="R560" s="17" t="n">
        <x:v>2141213984</x:v>
      </x:c>
      <x:c r="S560" s="17" t="n">
        <x:v>1451492077.99</x:v>
      </x:c>
      <x:c r="T560" s="18" t="n">
        <x:v>1.0000000000000016</x:v>
      </x:c>
      <x:c r="U560" s="17" t="n">
        <x:v>1451492077.9900024</x:v>
      </x:c>
      <x:c r="V560" s="2" t="str">
        <x:v>Area equivalent = model2020 * source surface / TEMPO2020 footprint</x:v>
      </x:c>
      <x:c r="W560" s="2" t="str">
        <x:v>legacy epoch_status=observed; not exact acquisition proof</x:v>
      </x:c>
      <x:c r="X560" s="2" t="str">
        <x:v>https://human-settlement.emergency.copernicus.eu/ghs_buS2023.php</x:v>
      </x:c>
    </x:row>
    <x:row r="561" ht="23" customHeight="1">
      <x:c r="A561" s="2" t="str">
        <x:v>RUS</x:v>
      </x:c>
      <x:c r="B561" s="2" t="str">
        <x:v>Russian Federation</x:v>
      </x:c>
      <x:c r="C561" s="2" t="n">
        <x:v>2015</x:v>
      </x:c>
      <x:c r="D561" s="2" t="str">
        <x:v>GHSL_SURFACE</x:v>
      </x:c>
      <x:c r="E561" s="17" t="n">
        <x:v>7329903918.534828</x:v>
      </x:c>
      <x:c r="F561" s="17" t="n">
        <x:f>IF(AND(M561,ISNUMBER(R561)),IF(D561="TEMPO_PROXY",R561,IF(AND(ISNUMBER(S561),S561&gt;0,ISNUMBER(U561)),U561*R561/S561,"n.a.")),"n.a.")</x:f>
        <x:v>11956693114.844162</x:v>
      </x:c>
      <x:c r="G561" s="17" t="n">
        <x:f>IF(AND(ISNUMBER(E561),ISNUMBER(F561)),E561-F561,"n.a.")</x:f>
        <x:v>-4626789196.309334</x:v>
      </x:c>
      <x:c r="H561" s="15" t="n">
        <x:f>IF(AND(ISNUMBER(E561),ISNUMBER(F561),F561&gt;0),(E561-F561)/F561,"n.a.")</x:f>
        <x:v>-0.3869622772675501</x:v>
      </x:c>
      <x:c r="I561" s="19" t="n">
        <x:f>IF(ISNUMBER(H561),ABS(H561),"n.a.")</x:f>
        <x:v>0.3869622772675501</x:v>
      </x:c>
      <x:c r="J561" s="2" t="str">
        <x:v>available</x:v>
      </x:c>
      <x:c r="K561" s="2" t="n">
        <x:v>1</x:v>
      </x:c>
      <x:c r="L561" s="13" t="b">
        <x:v>0</x:v>
      </x:c>
      <x:c r="M561" s="13" t="b">
        <x:v>1</x:v>
      </x:c>
      <x:c r="N561" s="2" t="str">
        <x:v>historical source estimate</x:v>
      </x:c>
      <x:c r="O561" s="2" t="str"/>
      <x:c r="P561" s="2" t="str">
        <x:v>horizontal built-up surface</x:v>
      </x:c>
      <x:c r="Q561" s="2" t="str">
        <x:v>m2</x:v>
      </x:c>
      <x:c r="R561" s="17" t="n">
        <x:v>11918512180</x:v>
      </x:c>
      <x:c r="S561" s="17" t="n">
        <x:v>7742883032.41</x:v>
      </x:c>
      <x:c r="T561" s="18" t="n">
        <x:v>1.0032034984121787</x:v>
      </x:c>
      <x:c r="U561" s="17" t="n">
        <x:v>7767687345.91001</x:v>
      </x:c>
      <x:c r="V561" s="2" t="str">
        <x:v>Area equivalent = model2020 * source surface / TEMPO2020 footprint</x:v>
      </x:c>
      <x:c r="W561" s="2" t="str">
        <x:v>legacy epoch_status=observed; not exact acquisition proof</x:v>
      </x:c>
      <x:c r="X561" s="2" t="str">
        <x:v>https://human-settlement.emergency.copernicus.eu/ghs_buS2023.php</x:v>
      </x:c>
    </x:row>
    <x:row r="562" ht="23" customHeight="1">
      <x:c r="A562" s="2" t="str">
        <x:v>RWA</x:v>
      </x:c>
      <x:c r="B562" s="2" t="str">
        <x:v>Rwanda (Republic of)</x:v>
      </x:c>
      <x:c r="C562" s="2" t="n">
        <x:v>2015</x:v>
      </x:c>
      <x:c r="D562" s="2" t="str">
        <x:v>GHSL_SURFACE</x:v>
      </x:c>
      <x:c r="E562" s="17" t="n">
        <x:v>190675524.79529798</x:v>
      </x:c>
      <x:c r="F562" s="17" t="n">
        <x:f>IF(AND(M562,ISNUMBER(R562)),IF(D562="TEMPO_PROXY",R562,IF(AND(ISNUMBER(S562),S562&gt;0,ISNUMBER(U562)),U562*R562/S562,"n.a.")),"n.a.")</x:f>
        <x:v>531507465.0000001</x:v>
      </x:c>
      <x:c r="G562" s="17" t="n">
        <x:f>IF(AND(ISNUMBER(E562),ISNUMBER(F562)),E562-F562,"n.a.")</x:f>
        <x:v>-340831940.20470214</x:v>
      </x:c>
      <x:c r="H562" s="15" t="n">
        <x:f>IF(AND(ISNUMBER(E562),ISNUMBER(F562),F562&gt;0),(E562-F562)/F562,"n.a.")</x:f>
        <x:v>-0.641255227157914</x:v>
      </x:c>
      <x:c r="I562" s="19" t="n">
        <x:f>IF(ISNUMBER(H562),ABS(H562),"n.a.")</x:f>
        <x:v>0.641255227157914</x:v>
      </x:c>
      <x:c r="J562" s="2" t="str">
        <x:v>available</x:v>
      </x:c>
      <x:c r="K562" s="2" t="n">
        <x:v>1</x:v>
      </x:c>
      <x:c r="L562" s="13" t="b">
        <x:v>0</x:v>
      </x:c>
      <x:c r="M562" s="13" t="b">
        <x:v>1</x:v>
      </x:c>
      <x:c r="N562" s="2" t="str">
        <x:v>historical source estimate</x:v>
      </x:c>
      <x:c r="O562" s="2" t="str"/>
      <x:c r="P562" s="2" t="str">
        <x:v>horizontal built-up surface</x:v>
      </x:c>
      <x:c r="Q562" s="2" t="str">
        <x:v>m2</x:v>
      </x:c>
      <x:c r="R562" s="17" t="n">
        <x:v>531507465</x:v>
      </x:c>
      <x:c r="S562" s="17" t="n">
        <x:v>244877324.63</x:v>
      </x:c>
      <x:c r="T562" s="18" t="n">
        <x:v>1.0000000000000002</x:v>
      </x:c>
      <x:c r="U562" s="17" t="n">
        <x:v>244877324.63000005</x:v>
      </x:c>
      <x:c r="V562" s="2" t="str">
        <x:v>Area equivalent = model2020 * source surface / TEMPO2020 footprint</x:v>
      </x:c>
      <x:c r="W562" s="2" t="str">
        <x:v>legacy epoch_status=observed; not exact acquisition proof</x:v>
      </x:c>
      <x:c r="X562" s="2" t="str">
        <x:v>https://human-settlement.emergency.copernicus.eu/ghs_buS2023.php</x:v>
      </x:c>
    </x:row>
    <x:row r="563" ht="23" customHeight="1">
      <x:c r="A563" s="2" t="str">
        <x:v>SAU</x:v>
      </x:c>
      <x:c r="B563" s="2" t="str">
        <x:v>Saudi Arabia (Kingdom of)</x:v>
      </x:c>
      <x:c r="C563" s="2" t="n">
        <x:v>2015</x:v>
      </x:c>
      <x:c r="D563" s="2" t="str">
        <x:v>GHSL_SURFACE</x:v>
      </x:c>
      <x:c r="E563" s="17" t="n">
        <x:v>1566644512.76466</x:v>
      </x:c>
      <x:c r="F563" s="17" t="n">
        <x:f>IF(AND(M563,ISNUMBER(R563)),IF(D563="TEMPO_PROXY",R563,IF(AND(ISNUMBER(S563),S563&gt;0,ISNUMBER(U563)),U563*R563/S563,"n.a.")),"n.a.")</x:f>
        <x:v>2363187065.59433</x:v>
      </x:c>
      <x:c r="G563" s="17" t="n">
        <x:f>IF(AND(ISNUMBER(E563),ISNUMBER(F563)),E563-F563,"n.a.")</x:f>
        <x:v>-796542552.82967</x:v>
      </x:c>
      <x:c r="H563" s="15" t="n">
        <x:f>IF(AND(ISNUMBER(E563),ISNUMBER(F563),F563&gt;0),(E563-F563)/F563,"n.a.")</x:f>
        <x:v>-0.33706284382922663</x:v>
      </x:c>
      <x:c r="I563" s="19" t="n">
        <x:f>IF(ISNUMBER(H563),ABS(H563),"n.a.")</x:f>
        <x:v>0.33706284382922663</x:v>
      </x:c>
      <x:c r="J563" s="2" t="str">
        <x:v>available</x:v>
      </x:c>
      <x:c r="K563" s="2" t="n">
        <x:v>1</x:v>
      </x:c>
      <x:c r="L563" s="13" t="b">
        <x:v>0</x:v>
      </x:c>
      <x:c r="M563" s="13" t="b">
        <x:v>1</x:v>
      </x:c>
      <x:c r="N563" s="2" t="str">
        <x:v>historical source estimate</x:v>
      </x:c>
      <x:c r="O563" s="2" t="str"/>
      <x:c r="P563" s="2" t="str">
        <x:v>horizontal built-up surface</x:v>
      </x:c>
      <x:c r="Q563" s="2" t="str">
        <x:v>m2</x:v>
      </x:c>
      <x:c r="R563" s="17" t="n">
        <x:v>2300309035</x:v>
      </x:c>
      <x:c r="S563" s="17" t="n">
        <x:v>1860856502.16</x:v>
      </x:c>
      <x:c r="T563" s="18" t="n">
        <x:v>1.02733460141121</x:v>
      </x:c>
      <x:c r="U563" s="17" t="n">
        <x:v>1911722272.930002</x:v>
      </x:c>
      <x:c r="V563" s="2" t="str">
        <x:v>Area equivalent = model2020 * source surface / TEMPO2020 footprint</x:v>
      </x:c>
      <x:c r="W563" s="2" t="str">
        <x:v>legacy epoch_status=observed; not exact acquisition proof</x:v>
      </x:c>
      <x:c r="X563" s="2" t="str">
        <x:v>https://human-settlement.emergency.copernicus.eu/ghs_buS2023.php</x:v>
      </x:c>
    </x:row>
    <x:row r="564" ht="23" customHeight="1">
      <x:c r="A564" s="2" t="str">
        <x:v>SDN</x:v>
      </x:c>
      <x:c r="B564" s="2" t="str">
        <x:v>Sudan (Republic of the)</x:v>
      </x:c>
      <x:c r="C564" s="2" t="n">
        <x:v>2015</x:v>
      </x:c>
      <x:c r="D564" s="2" t="str">
        <x:v>GHSL_SURFACE</x:v>
      </x:c>
      <x:c r="E564" s="17" t="n">
        <x:v>556895482.4611582</x:v>
      </x:c>
      <x:c r="F564" s="17" t="n">
        <x:f>IF(AND(M564,ISNUMBER(R564)),IF(D564="TEMPO_PROXY",R564,IF(AND(ISNUMBER(S564),S564&gt;0,ISNUMBER(U564)),U564*R564/S564,"n.a.")),"n.a.")</x:f>
        <x:v>1218644590.0000007</x:v>
      </x:c>
      <x:c r="G564" s="17" t="n">
        <x:f>IF(AND(ISNUMBER(E564),ISNUMBER(F564)),E564-F564,"n.a.")</x:f>
        <x:v>-661749107.5388426</x:v>
      </x:c>
      <x:c r="H564" s="15" t="n">
        <x:f>IF(AND(ISNUMBER(E564),ISNUMBER(F564),F564&gt;0),(E564-F564)/F564,"n.a.")</x:f>
        <x:v>-0.5430205926888348</x:v>
      </x:c>
      <x:c r="I564" s="19" t="n">
        <x:f>IF(ISNUMBER(H564),ABS(H564),"n.a.")</x:f>
        <x:v>0.5430205926888348</x:v>
      </x:c>
      <x:c r="J564" s="2" t="str">
        <x:v>available</x:v>
      </x:c>
      <x:c r="K564" s="2" t="n">
        <x:v>1</x:v>
      </x:c>
      <x:c r="L564" s="13" t="b">
        <x:v>0</x:v>
      </x:c>
      <x:c r="M564" s="13" t="b">
        <x:v>1</x:v>
      </x:c>
      <x:c r="N564" s="2" t="str">
        <x:v>historical source estimate</x:v>
      </x:c>
      <x:c r="O564" s="2" t="str"/>
      <x:c r="P564" s="2" t="str">
        <x:v>horizontal built-up surface</x:v>
      </x:c>
      <x:c r="Q564" s="2" t="str">
        <x:v>m2</x:v>
      </x:c>
      <x:c r="R564" s="17" t="n">
        <x:v>1218644590</x:v>
      </x:c>
      <x:c r="S564" s="17" t="n">
        <x:v>751311239.6</x:v>
      </x:c>
      <x:c r="T564" s="18" t="n">
        <x:v>1.0000000000000007</x:v>
      </x:c>
      <x:c r="U564" s="17" t="n">
        <x:v>751311239.6000005</x:v>
      </x:c>
      <x:c r="V564" s="2" t="str">
        <x:v>Area equivalent = model2020 * source surface / TEMPO2020 footprint</x:v>
      </x:c>
      <x:c r="W564" s="2" t="str">
        <x:v>legacy epoch_status=observed; not exact acquisition proof</x:v>
      </x:c>
      <x:c r="X564" s="2" t="str">
        <x:v>https://human-settlement.emergency.copernicus.eu/ghs_buS2023.php</x:v>
      </x:c>
    </x:row>
    <x:row r="565" ht="23" customHeight="1">
      <x:c r="A565" s="2" t="str">
        <x:v>SEN</x:v>
      </x:c>
      <x:c r="B565" s="2" t="str">
        <x:v>Senegal (Republic of)</x:v>
      </x:c>
      <x:c r="C565" s="2" t="n">
        <x:v>2015</x:v>
      </x:c>
      <x:c r="D565" s="2" t="str">
        <x:v>GHSL_SURFACE</x:v>
      </x:c>
      <x:c r="E565" s="17" t="n">
        <x:v>264389994.98968568</x:v>
      </x:c>
      <x:c r="F565" s="17" t="n">
        <x:f>IF(AND(M565,ISNUMBER(R565)),IF(D565="TEMPO_PROXY",R565,IF(AND(ISNUMBER(S565),S565&gt;0,ISNUMBER(U565)),U565*R565/S565,"n.a.")),"n.a.")</x:f>
        <x:v>609220229.9999996</x:v>
      </x:c>
      <x:c r="G565" s="17" t="n">
        <x:f>IF(AND(ISNUMBER(E565),ISNUMBER(F565)),E565-F565,"n.a.")</x:f>
        <x:v>-344830235.010314</x:v>
      </x:c>
      <x:c r="H565" s="15" t="n">
        <x:f>IF(AND(ISNUMBER(E565),ISNUMBER(F565),F565&gt;0),(E565-F565)/F565,"n.a.")</x:f>
        <x:v>-0.5660190158332631</x:v>
      </x:c>
      <x:c r="I565" s="19" t="n">
        <x:f>IF(ISNUMBER(H565),ABS(H565),"n.a.")</x:f>
        <x:v>0.5660190158332631</x:v>
      </x:c>
      <x:c r="J565" s="2" t="str">
        <x:v>available</x:v>
      </x:c>
      <x:c r="K565" s="2" t="n">
        <x:v>1</x:v>
      </x:c>
      <x:c r="L565" s="13" t="b">
        <x:v>0</x:v>
      </x:c>
      <x:c r="M565" s="13" t="b">
        <x:v>1</x:v>
      </x:c>
      <x:c r="N565" s="2" t="str">
        <x:v>historical source estimate</x:v>
      </x:c>
      <x:c r="O565" s="2" t="str"/>
      <x:c r="P565" s="2" t="str">
        <x:v>horizontal built-up surface</x:v>
      </x:c>
      <x:c r="Q565" s="2" t="str">
        <x:v>m2</x:v>
      </x:c>
      <x:c r="R565" s="17" t="n">
        <x:v>609220230</x:v>
      </x:c>
      <x:c r="S565" s="17" t="n">
        <x:v>305052833.69</x:v>
      </x:c>
      <x:c r="T565" s="18" t="n">
        <x:v>0.9999999999999994</x:v>
      </x:c>
      <x:c r="U565" s="17" t="n">
        <x:v>305052833.6899998</x:v>
      </x:c>
      <x:c r="V565" s="2" t="str">
        <x:v>Area equivalent = model2020 * source surface / TEMPO2020 footprint</x:v>
      </x:c>
      <x:c r="W565" s="2" t="str">
        <x:v>legacy epoch_status=observed; not exact acquisition proof</x:v>
      </x:c>
      <x:c r="X565" s="2" t="str">
        <x:v>https://human-settlement.emergency.copernicus.eu/ghs_buS2023.php</x:v>
      </x:c>
    </x:row>
    <x:row r="566" ht="23" customHeight="1">
      <x:c r="A566" s="2" t="str">
        <x:v>SGP</x:v>
      </x:c>
      <x:c r="B566" s="2" t="str">
        <x:v>Singapore (Republic of)</x:v>
      </x:c>
      <x:c r="C566" s="2" t="n">
        <x:v>2015</x:v>
      </x:c>
      <x:c r="D566" s="2" t="str">
        <x:v>GHSL_SURFACE</x:v>
      </x:c>
      <x:c r="E566" s="17" t="n">
        <x:v>187575286.78208792</x:v>
      </x:c>
      <x:c r="F566" s="17" t="n">
        <x:f>IF(AND(M566,ISNUMBER(R566)),IF(D566="TEMPO_PROXY",R566,IF(AND(ISNUMBER(S566),S566&gt;0,ISNUMBER(U566)),U566*R566/S566,"n.a.")),"n.a.")</x:f>
        <x:v>235647257.5047429</x:v>
      </x:c>
      <x:c r="G566" s="17" t="n">
        <x:f>IF(AND(ISNUMBER(E566),ISNUMBER(F566)),E566-F566,"n.a.")</x:f>
        <x:v>-48071970.72265497</x:v>
      </x:c>
      <x:c r="H566" s="15" t="n">
        <x:f>IF(AND(ISNUMBER(E566),ISNUMBER(F566),F566&gt;0),(E566-F566)/F566,"n.a.")</x:f>
        <x:v>-0.20399970375928275</x:v>
      </x:c>
      <x:c r="I566" s="19" t="n">
        <x:f>IF(ISNUMBER(H566),ABS(H566),"n.a.")</x:f>
        <x:v>0.20399970375928275</x:v>
      </x:c>
      <x:c r="J566" s="2" t="str">
        <x:v>available</x:v>
      </x:c>
      <x:c r="K566" s="2" t="n">
        <x:v>1</x:v>
      </x:c>
      <x:c r="L566" s="13" t="b">
        <x:v>0</x:v>
      </x:c>
      <x:c r="M566" s="13" t="b">
        <x:v>1</x:v>
      </x:c>
      <x:c r="N566" s="2" t="str">
        <x:v>historical source estimate</x:v>
      </x:c>
      <x:c r="O566" s="2" t="str"/>
      <x:c r="P566" s="2" t="str">
        <x:v>horizontal built-up surface</x:v>
      </x:c>
      <x:c r="Q566" s="2" t="str">
        <x:v>m2</x:v>
      </x:c>
      <x:c r="R566" s="17" t="n">
        <x:v>103959360</x:v>
      </x:c>
      <x:c r="S566" s="17" t="n">
        <x:v>85878181.9</x:v>
      </x:c>
      <x:c r="T566" s="18" t="n">
        <x:v>2.266724780767628</x:v>
      </x:c>
      <x:c r="U566" s="17" t="n">
        <x:v>194662203.04</x:v>
      </x:c>
      <x:c r="V566" s="2" t="str">
        <x:v>Area equivalent = model2020 * source surface / TEMPO2020 footprint</x:v>
      </x:c>
      <x:c r="W566" s="2" t="str">
        <x:v>legacy epoch_status=observed; not exact acquisition proof</x:v>
      </x:c>
      <x:c r="X566" s="2" t="str">
        <x:v>https://human-settlement.emergency.copernicus.eu/ghs_buS2023.php</x:v>
      </x:c>
    </x:row>
    <x:row r="567" ht="23" customHeight="1">
      <x:c r="A567" s="2" t="str">
        <x:v>SLB</x:v>
      </x:c>
      <x:c r="B567" s="2" t="str">
        <x:v>Solomon Islands</x:v>
      </x:c>
      <x:c r="C567" s="2" t="n">
        <x:v>2015</x:v>
      </x:c>
      <x:c r="D567" s="2" t="str">
        <x:v>GHSL_SURFACE</x:v>
      </x:c>
      <x:c r="E567" s="17" t="n">
        <x:v>13834538.346259255</x:v>
      </x:c>
      <x:c r="F567" s="17" t="n">
        <x:f>IF(AND(M567,ISNUMBER(R567)),IF(D567="TEMPO_PROXY",R567,IF(AND(ISNUMBER(S567),S567&gt;0,ISNUMBER(U567)),U567*R567/S567,"n.a.")),"n.a.")</x:f>
        <x:v>21306783.999999963</x:v>
      </x:c>
      <x:c r="G567" s="17" t="n">
        <x:f>IF(AND(ISNUMBER(E567),ISNUMBER(F567)),E567-F567,"n.a.")</x:f>
        <x:v>-7472245.653740708</x:v>
      </x:c>
      <x:c r="H567" s="15" t="n">
        <x:f>IF(AND(ISNUMBER(E567),ISNUMBER(F567),F567&gt;0),(E567-F567)/F567,"n.a.")</x:f>
        <x:v>-0.3506979586286096</x:v>
      </x:c>
      <x:c r="I567" s="19" t="n">
        <x:f>IF(ISNUMBER(H567),ABS(H567),"n.a.")</x:f>
        <x:v>0.3506979586286096</x:v>
      </x:c>
      <x:c r="J567" s="2" t="str">
        <x:v>available</x:v>
      </x:c>
      <x:c r="K567" s="2" t="n">
        <x:v>1</x:v>
      </x:c>
      <x:c r="L567" s="13" t="b">
        <x:v>0</x:v>
      </x:c>
      <x:c r="M567" s="13" t="b">
        <x:v>1</x:v>
      </x:c>
      <x:c r="N567" s="2" t="str">
        <x:v>historical source estimate</x:v>
      </x:c>
      <x:c r="O567" s="2" t="str"/>
      <x:c r="P567" s="2" t="str">
        <x:v>horizontal built-up surface</x:v>
      </x:c>
      <x:c r="Q567" s="2" t="str">
        <x:v>m2</x:v>
      </x:c>
      <x:c r="R567" s="17" t="n">
        <x:v>21306784</x:v>
      </x:c>
      <x:c r="S567" s="17" t="n">
        <x:v>14438629.19</x:v>
      </x:c>
      <x:c r="T567" s="18" t="n">
        <x:v>0.9999999999999983</x:v>
      </x:c>
      <x:c r="U567" s="17" t="n">
        <x:v>14438629.189999975</x:v>
      </x:c>
      <x:c r="V567" s="2" t="str">
        <x:v>Area equivalent = model2020 * source surface / TEMPO2020 footprint</x:v>
      </x:c>
      <x:c r="W567" s="2" t="str">
        <x:v>legacy epoch_status=observed; not exact acquisition proof</x:v>
      </x:c>
      <x:c r="X567" s="2" t="str">
        <x:v>https://human-settlement.emergency.copernicus.eu/ghs_buS2023.php</x:v>
      </x:c>
    </x:row>
    <x:row r="568" ht="23" customHeight="1">
      <x:c r="A568" s="2" t="str">
        <x:v>SLE</x:v>
      </x:c>
      <x:c r="B568" s="2" t="str">
        <x:v>Sierra Leone (Republic of)</x:v>
      </x:c>
      <x:c r="C568" s="2" t="n">
        <x:v>2015</x:v>
      </x:c>
      <x:c r="D568" s="2" t="str">
        <x:v>GHSL_SURFACE</x:v>
      </x:c>
      <x:c r="E568" s="17" t="n">
        <x:v>109212964.25369625</x:v>
      </x:c>
      <x:c r="F568" s="17" t="n">
        <x:f>IF(AND(M568,ISNUMBER(R568)),IF(D568="TEMPO_PROXY",R568,IF(AND(ISNUMBER(S568),S568&gt;0,ISNUMBER(U568)),U568*R568/S568,"n.a.")),"n.a.")</x:f>
        <x:v>211971003.9999999</x:v>
      </x:c>
      <x:c r="G568" s="17" t="n">
        <x:f>IF(AND(ISNUMBER(E568),ISNUMBER(F568)),E568-F568,"n.a.")</x:f>
        <x:v>-102758039.74630366</x:v>
      </x:c>
      <x:c r="H568" s="15" t="n">
        <x:f>IF(AND(ISNUMBER(E568),ISNUMBER(F568),F568&gt;0),(E568-F568)/F568,"n.a.")</x:f>
        <x:v>-0.4847740389355504</x:v>
      </x:c>
      <x:c r="I568" s="19" t="n">
        <x:f>IF(ISNUMBER(H568),ABS(H568),"n.a.")</x:f>
        <x:v>0.4847740389355504</x:v>
      </x:c>
      <x:c r="J568" s="2" t="str">
        <x:v>available</x:v>
      </x:c>
      <x:c r="K568" s="2" t="n">
        <x:v>1</x:v>
      </x:c>
      <x:c r="L568" s="13" t="b">
        <x:v>0</x:v>
      </x:c>
      <x:c r="M568" s="13" t="b">
        <x:v>1</x:v>
      </x:c>
      <x:c r="N568" s="2" t="str">
        <x:v>historical source estimate</x:v>
      </x:c>
      <x:c r="O568" s="2" t="str"/>
      <x:c r="P568" s="2" t="str">
        <x:v>horizontal built-up surface</x:v>
      </x:c>
      <x:c r="Q568" s="2" t="str">
        <x:v>m2</x:v>
      </x:c>
      <x:c r="R568" s="17" t="n">
        <x:v>211971004</x:v>
      </x:c>
      <x:c r="S568" s="17" t="n">
        <x:v>115259924.95</x:v>
      </x:c>
      <x:c r="T568" s="18" t="n">
        <x:v>0.9999999999999997</x:v>
      </x:c>
      <x:c r="U568" s="17" t="n">
        <x:v>115259924.94999996</x:v>
      </x:c>
      <x:c r="V568" s="2" t="str">
        <x:v>Area equivalent = model2020 * source surface / TEMPO2020 footprint</x:v>
      </x:c>
      <x:c r="W568" s="2" t="str">
        <x:v>legacy epoch_status=observed; not exact acquisition proof</x:v>
      </x:c>
      <x:c r="X568" s="2" t="str">
        <x:v>https://human-settlement.emergency.copernicus.eu/ghs_buS2023.php</x:v>
      </x:c>
    </x:row>
    <x:row r="569" ht="23" customHeight="1">
      <x:c r="A569" s="2" t="str">
        <x:v>SLV</x:v>
      </x:c>
      <x:c r="B569" s="2" t="str">
        <x:v>El Salvador (Republic of)</x:v>
      </x:c>
      <x:c r="C569" s="2" t="n">
        <x:v>2015</x:v>
      </x:c>
      <x:c r="D569" s="2" t="str">
        <x:v>GHSL_SURFACE</x:v>
      </x:c>
      <x:c r="E569" s="17" t="n">
        <x:v>216811219.0565358</x:v>
      </x:c>
      <x:c r="F569" s="17" t="n">
        <x:f>IF(AND(M569,ISNUMBER(R569)),IF(D569="TEMPO_PROXY",R569,IF(AND(ISNUMBER(S569),S569&gt;0,ISNUMBER(U569)),U569*R569/S569,"n.a.")),"n.a.")</x:f>
        <x:v>301388446.00000024</x:v>
      </x:c>
      <x:c r="G569" s="17" t="n">
        <x:f>IF(AND(ISNUMBER(E569),ISNUMBER(F569)),E569-F569,"n.a.")</x:f>
        <x:v>-84577226.94346443</x:v>
      </x:c>
      <x:c r="H569" s="15" t="n">
        <x:f>IF(AND(ISNUMBER(E569),ISNUMBER(F569),F569&gt;0),(E569-F569)/F569,"n.a.")</x:f>
        <x:v>-0.280625312834535</x:v>
      </x:c>
      <x:c r="I569" s="19" t="n">
        <x:f>IF(ISNUMBER(H569),ABS(H569),"n.a.")</x:f>
        <x:v>0.280625312834535</x:v>
      </x:c>
      <x:c r="J569" s="2" t="str">
        <x:v>available</x:v>
      </x:c>
      <x:c r="K569" s="2" t="n">
        <x:v>1</x:v>
      </x:c>
      <x:c r="L569" s="13" t="b">
        <x:v>0</x:v>
      </x:c>
      <x:c r="M569" s="13" t="b">
        <x:v>1</x:v>
      </x:c>
      <x:c r="N569" s="2" t="str">
        <x:v>historical source estimate</x:v>
      </x:c>
      <x:c r="O569" s="2" t="str"/>
      <x:c r="P569" s="2" t="str">
        <x:v>horizontal built-up surface</x:v>
      </x:c>
      <x:c r="Q569" s="2" t="str">
        <x:v>m2</x:v>
      </x:c>
      <x:c r="R569" s="17" t="n">
        <x:v>301388446</x:v>
      </x:c>
      <x:c r="S569" s="17" t="n">
        <x:v>245414047.01</x:v>
      </x:c>
      <x:c r="T569" s="18" t="n">
        <x:v>1.0000000000000007</x:v>
      </x:c>
      <x:c r="U569" s="17" t="n">
        <x:v>245414047.01000017</x:v>
      </x:c>
      <x:c r="V569" s="2" t="str">
        <x:v>Area equivalent = model2020 * source surface / TEMPO2020 footprint</x:v>
      </x:c>
      <x:c r="W569" s="2" t="str">
        <x:v>legacy epoch_status=observed; not exact acquisition proof</x:v>
      </x:c>
      <x:c r="X569" s="2" t="str">
        <x:v>https://human-settlement.emergency.copernicus.eu/ghs_buS2023.php</x:v>
      </x:c>
    </x:row>
    <x:row r="570" ht="23" customHeight="1">
      <x:c r="A570" s="2" t="str">
        <x:v>SMR</x:v>
      </x:c>
      <x:c r="B570" s="2" t="str">
        <x:v>San Marino (Republic of)</x:v>
      </x:c>
      <x:c r="C570" s="2" t="n">
        <x:v>2015</x:v>
      </x:c>
      <x:c r="D570" s="2" t="str">
        <x:v>GHSL_SURFACE</x:v>
      </x:c>
      <x:c r="E570" s="17" t="n">
        <x:v>2893084.9931119457</x:v>
      </x:c>
      <x:c r="F570" s="17" t="n">
        <x:f>IF(AND(M570,ISNUMBER(R570)),IF(D570="TEMPO_PROXY",R570,IF(AND(ISNUMBER(S570),S570&gt;0,ISNUMBER(U570)),U570*R570/S570,"n.a.")),"n.a.")</x:f>
        <x:v>4257928.390657535</x:v>
      </x:c>
      <x:c r="G570" s="17" t="n">
        <x:f>IF(AND(ISNUMBER(E570),ISNUMBER(F570)),E570-F570,"n.a.")</x:f>
        <x:v>-1364843.3975455891</x:v>
      </x:c>
      <x:c r="H570" s="15" t="n">
        <x:f>IF(AND(ISNUMBER(E570),ISNUMBER(F570),F570&gt;0),(E570-F570)/F570,"n.a.")</x:f>
        <x:v>-0.32054165132044926</x:v>
      </x:c>
      <x:c r="I570" s="19" t="n">
        <x:f>IF(ISNUMBER(H570),ABS(H570),"n.a.")</x:f>
        <x:v>0.32054165132044926</x:v>
      </x:c>
      <x:c r="J570" s="2" t="str">
        <x:v>available</x:v>
      </x:c>
      <x:c r="K570" s="2" t="n">
        <x:v>1</x:v>
      </x:c>
      <x:c r="L570" s="13" t="b">
        <x:v>0</x:v>
      </x:c>
      <x:c r="M570" s="13" t="b">
        <x:v>1</x:v>
      </x:c>
      <x:c r="N570" s="2" t="str">
        <x:v>historical source estimate</x:v>
      </x:c>
      <x:c r="O570" s="2" t="str"/>
      <x:c r="P570" s="2" t="str">
        <x:v>horizontal built-up surface</x:v>
      </x:c>
      <x:c r="Q570" s="2" t="str">
        <x:v>m2</x:v>
      </x:c>
      <x:c r="R570" s="17" t="n">
        <x:v>3787064</x:v>
      </x:c>
      <x:c r="S570" s="17" t="n">
        <x:v>2695532.72</x:v>
      </x:c>
      <x:c r="T570" s="18" t="n">
        <x:v>1.1243349440774</x:v>
      </x:c>
      <x:c r="U570" s="17" t="n">
        <x:v>3030681.630000002</x:v>
      </x:c>
      <x:c r="V570" s="2" t="str">
        <x:v>Area equivalent = model2020 * source surface / TEMPO2020 footprint</x:v>
      </x:c>
      <x:c r="W570" s="2" t="str">
        <x:v>legacy epoch_status=observed; not exact acquisition proof</x:v>
      </x:c>
      <x:c r="X570" s="2" t="str">
        <x:v>https://human-settlement.emergency.copernicus.eu/ghs_buS2023.php</x:v>
      </x:c>
    </x:row>
    <x:row r="571" ht="23" customHeight="1">
      <x:c r="A571" s="2" t="str">
        <x:v>SOM</x:v>
      </x:c>
      <x:c r="B571" s="2" t="str">
        <x:v>Somalia (Federal Republic of)</x:v>
      </x:c>
      <x:c r="C571" s="2" t="n">
        <x:v>2015</x:v>
      </x:c>
      <x:c r="D571" s="2" t="str">
        <x:v>GHSL_SURFACE</x:v>
      </x:c>
      <x:c r="E571" s="17" t="n">
        <x:v>105330761.59132184</x:v>
      </x:c>
      <x:c r="F571" s="17" t="n">
        <x:f>IF(AND(M571,ISNUMBER(R571)),IF(D571="TEMPO_PROXY",R571,IF(AND(ISNUMBER(S571),S571&gt;0,ISNUMBER(U571)),U571*R571/S571,"n.a.")),"n.a.")</x:f>
        <x:v>183760849.00000018</x:v>
      </x:c>
      <x:c r="G571" s="17" t="n">
        <x:f>IF(AND(ISNUMBER(E571),ISNUMBER(F571)),E571-F571,"n.a.")</x:f>
        <x:v>-78430087.40867834</x:v>
      </x:c>
      <x:c r="H571" s="15" t="n">
        <x:f>IF(AND(ISNUMBER(E571),ISNUMBER(F571),F571&gt;0),(E571-F571)/F571,"n.a.")</x:f>
        <x:v>-0.42680520815768686</x:v>
      </x:c>
      <x:c r="I571" s="19" t="n">
        <x:f>IF(ISNUMBER(H571),ABS(H571),"n.a.")</x:f>
        <x:v>0.42680520815768686</x:v>
      </x:c>
      <x:c r="J571" s="2" t="str">
        <x:v>available</x:v>
      </x:c>
      <x:c r="K571" s="2" t="n">
        <x:v>1</x:v>
      </x:c>
      <x:c r="L571" s="13" t="b">
        <x:v>0</x:v>
      </x:c>
      <x:c r="M571" s="13" t="b">
        <x:v>1</x:v>
      </x:c>
      <x:c r="N571" s="2" t="str">
        <x:v>historical source estimate</x:v>
      </x:c>
      <x:c r="O571" s="2" t="str"/>
      <x:c r="P571" s="2" t="str">
        <x:v>horizontal built-up surface</x:v>
      </x:c>
      <x:c r="Q571" s="2" t="str">
        <x:v>m2</x:v>
      </x:c>
      <x:c r="R571" s="17" t="n">
        <x:v>183760849</x:v>
      </x:c>
      <x:c r="S571" s="17" t="n">
        <x:v>134848326.33</x:v>
      </x:c>
      <x:c r="T571" s="18" t="n">
        <x:v>1.0000000000000009</x:v>
      </x:c>
      <x:c r="U571" s="17" t="n">
        <x:v>134848326.33000013</x:v>
      </x:c>
      <x:c r="V571" s="2" t="str">
        <x:v>Area equivalent = model2020 * source surface / TEMPO2020 footprint</x:v>
      </x:c>
      <x:c r="W571" s="2" t="str">
        <x:v>legacy epoch_status=observed; not exact acquisition proof</x:v>
      </x:c>
      <x:c r="X571" s="2" t="str">
        <x:v>https://human-settlement.emergency.copernicus.eu/ghs_buS2023.php</x:v>
      </x:c>
    </x:row>
    <x:row r="572" ht="23" customHeight="1">
      <x:c r="A572" s="2" t="str">
        <x:v>SRB</x:v>
      </x:c>
      <x:c r="B572" s="2" t="str">
        <x:v>Serbia (Republic of)</x:v>
      </x:c>
      <x:c r="C572" s="2" t="n">
        <x:v>2015</x:v>
      </x:c>
      <x:c r="D572" s="2" t="str">
        <x:v>GHSL_SURFACE</x:v>
      </x:c>
      <x:c r="E572" s="17" t="n">
        <x:v>557424319.8298955</x:v>
      </x:c>
      <x:c r="F572" s="17" t="n">
        <x:f>IF(AND(M572,ISNUMBER(R572)),IF(D572="TEMPO_PROXY",R572,IF(AND(ISNUMBER(S572),S572&gt;0,ISNUMBER(U572)),U572*R572/S572,"n.a.")),"n.a.")</x:f>
        <x:v>771317932.000001</x:v>
      </x:c>
      <x:c r="G572" s="17" t="n">
        <x:f>IF(AND(ISNUMBER(E572),ISNUMBER(F572)),E572-F572,"n.a.")</x:f>
        <x:v>-213893612.17010546</x:v>
      </x:c>
      <x:c r="H572" s="15" t="n">
        <x:f>IF(AND(ISNUMBER(E572),ISNUMBER(F572),F572&gt;0),(E572-F572)/F572,"n.a.")</x:f>
        <x:v>-0.27730926936378447</x:v>
      </x:c>
      <x:c r="I572" s="19" t="n">
        <x:f>IF(ISNUMBER(H572),ABS(H572),"n.a.")</x:f>
        <x:v>0.27730926936378447</x:v>
      </x:c>
      <x:c r="J572" s="2" t="str">
        <x:v>available</x:v>
      </x:c>
      <x:c r="K572" s="2" t="n">
        <x:v>1</x:v>
      </x:c>
      <x:c r="L572" s="13" t="b">
        <x:v>0</x:v>
      </x:c>
      <x:c r="M572" s="13" t="b">
        <x:v>1</x:v>
      </x:c>
      <x:c r="N572" s="2" t="str">
        <x:v>historical source estimate</x:v>
      </x:c>
      <x:c r="O572" s="2" t="str"/>
      <x:c r="P572" s="2" t="str">
        <x:v>horizontal built-up surface</x:v>
      </x:c>
      <x:c r="Q572" s="2" t="str">
        <x:v>m2</x:v>
      </x:c>
      <x:c r="R572" s="17" t="n">
        <x:v>771317932</x:v>
      </x:c>
      <x:c r="S572" s="17" t="n">
        <x:v>584520286.21</x:v>
      </x:c>
      <x:c r="T572" s="18" t="n">
        <x:v>1.0000000000000013</x:v>
      </x:c>
      <x:c r="U572" s="17" t="n">
        <x:v>584520286.2100008</x:v>
      </x:c>
      <x:c r="V572" s="2" t="str">
        <x:v>Area equivalent = model2020 * source surface / TEMPO2020 footprint</x:v>
      </x:c>
      <x:c r="W572" s="2" t="str">
        <x:v>legacy epoch_status=observed; not exact acquisition proof</x:v>
      </x:c>
      <x:c r="X572" s="2" t="str">
        <x:v>https://human-settlement.emergency.copernicus.eu/ghs_buS2023.php</x:v>
      </x:c>
    </x:row>
    <x:row r="573" ht="23" customHeight="1">
      <x:c r="A573" s="2" t="str">
        <x:v>SSD</x:v>
      </x:c>
      <x:c r="B573" s="2" t="str">
        <x:v>South Sudan (Republic of)</x:v>
      </x:c>
      <x:c r="C573" s="2" t="n">
        <x:v>2015</x:v>
      </x:c>
      <x:c r="D573" s="2" t="str">
        <x:v>GHSL_SURFACE</x:v>
      </x:c>
      <x:c r="E573" s="17" t="n">
        <x:v>48697573.65751788</x:v>
      </x:c>
      <x:c r="F573" s="17" t="n">
        <x:f>IF(AND(M573,ISNUMBER(R573)),IF(D573="TEMPO_PROXY",R573,IF(AND(ISNUMBER(S573),S573&gt;0,ISNUMBER(U573)),U573*R573/S573,"n.a.")),"n.a.")</x:f>
        <x:v>114351287.00000004</x:v>
      </x:c>
      <x:c r="G573" s="17" t="n">
        <x:f>IF(AND(ISNUMBER(E573),ISNUMBER(F573)),E573-F573,"n.a.")</x:f>
        <x:v>-65653713.342482165</x:v>
      </x:c>
      <x:c r="H573" s="15" t="n">
        <x:f>IF(AND(ISNUMBER(E573),ISNUMBER(F573),F573&gt;0),(E573-F573)/F573,"n.a.")</x:f>
        <x:v>-0.5741405721343752</x:v>
      </x:c>
      <x:c r="I573" s="19" t="n">
        <x:f>IF(ISNUMBER(H573),ABS(H573),"n.a.")</x:f>
        <x:v>0.5741405721343752</x:v>
      </x:c>
      <x:c r="J573" s="2" t="str">
        <x:v>available</x:v>
      </x:c>
      <x:c r="K573" s="2" t="n">
        <x:v>1</x:v>
      </x:c>
      <x:c r="L573" s="13" t="b">
        <x:v>0</x:v>
      </x:c>
      <x:c r="M573" s="13" t="b">
        <x:v>1</x:v>
      </x:c>
      <x:c r="N573" s="2" t="str">
        <x:v>historical source estimate</x:v>
      </x:c>
      <x:c r="O573" s="2" t="str"/>
      <x:c r="P573" s="2" t="str">
        <x:v>horizontal built-up surface</x:v>
      </x:c>
      <x:c r="Q573" s="2" t="str">
        <x:v>m2</x:v>
      </x:c>
      <x:c r="R573" s="17" t="n">
        <x:v>114351287</x:v>
      </x:c>
      <x:c r="S573" s="17" t="n">
        <x:v>82483216.59</x:v>
      </x:c>
      <x:c r="T573" s="18" t="n">
        <x:v>1.0000000000000004</x:v>
      </x:c>
      <x:c r="U573" s="17" t="n">
        <x:v>82483216.59000005</x:v>
      </x:c>
      <x:c r="V573" s="2" t="str">
        <x:v>Area equivalent = model2020 * source surface / TEMPO2020 footprint</x:v>
      </x:c>
      <x:c r="W573" s="2" t="str">
        <x:v>legacy epoch_status=observed; not exact acquisition proof</x:v>
      </x:c>
      <x:c r="X573" s="2" t="str">
        <x:v>https://human-settlement.emergency.copernicus.eu/ghs_buS2023.php</x:v>
      </x:c>
    </x:row>
    <x:row r="574" ht="23" customHeight="1">
      <x:c r="A574" s="2" t="str">
        <x:v>STP</x:v>
      </x:c>
      <x:c r="B574" s="2" t="str">
        <x:v>Sao Tome and Principe (Democratic Republic of)</x:v>
      </x:c>
      <x:c r="C574" s="2" t="n">
        <x:v>2015</x:v>
      </x:c>
      <x:c r="D574" s="2" t="str">
        <x:v>GHSL_SURFACE</x:v>
      </x:c>
      <x:c r="E574" s="17" t="n">
        <x:v>6006619.554736206</x:v>
      </x:c>
      <x:c r="F574" s="17" t="n">
        <x:f>IF(AND(M574,ISNUMBER(R574)),IF(D574="TEMPO_PROXY",R574,IF(AND(ISNUMBER(S574),S574&gt;0,ISNUMBER(U574)),U574*R574/S574,"n.a.")),"n.a.")</x:f>
        <x:v>6928731.000000004</x:v>
      </x:c>
      <x:c r="G574" s="17" t="n">
        <x:f>IF(AND(ISNUMBER(E574),ISNUMBER(F574)),E574-F574,"n.a.")</x:f>
        <x:v>-922111.4452637974</x:v>
      </x:c>
      <x:c r="H574" s="15" t="n">
        <x:f>IF(AND(ISNUMBER(E574),ISNUMBER(F574),F574&gt;0),(E574-F574)/F574,"n.a.")</x:f>
        <x:v>-0.13308518475660217</x:v>
      </x:c>
      <x:c r="I574" s="19" t="n">
        <x:f>IF(ISNUMBER(H574),ABS(H574),"n.a.")</x:f>
        <x:v>0.13308518475660217</x:v>
      </x:c>
      <x:c r="J574" s="2" t="str">
        <x:v>available</x:v>
      </x:c>
      <x:c r="K574" s="2" t="n">
        <x:v>1</x:v>
      </x:c>
      <x:c r="L574" s="13" t="b">
        <x:v>0</x:v>
      </x:c>
      <x:c r="M574" s="13" t="b">
        <x:v>1</x:v>
      </x:c>
      <x:c r="N574" s="2" t="str">
        <x:v>historical source estimate</x:v>
      </x:c>
      <x:c r="O574" s="2" t="str"/>
      <x:c r="P574" s="2" t="str">
        <x:v>horizontal built-up surface</x:v>
      </x:c>
      <x:c r="Q574" s="2" t="str">
        <x:v>m2</x:v>
      </x:c>
      <x:c r="R574" s="17" t="n">
        <x:v>6928731</x:v>
      </x:c>
      <x:c r="S574" s="17" t="n">
        <x:v>6153544.55</x:v>
      </x:c>
      <x:c r="T574" s="18" t="n">
        <x:v>1.0000000000000004</x:v>
      </x:c>
      <x:c r="U574" s="17" t="n">
        <x:v>6153544.550000003</x:v>
      </x:c>
      <x:c r="V574" s="2" t="str">
        <x:v>Area equivalent = model2020 * source surface / TEMPO2020 footprint</x:v>
      </x:c>
      <x:c r="W574" s="2" t="str">
        <x:v>legacy epoch_status=observed; not exact acquisition proof</x:v>
      </x:c>
      <x:c r="X574" s="2" t="str">
        <x:v>https://human-settlement.emergency.copernicus.eu/ghs_buS2023.php</x:v>
      </x:c>
    </x:row>
    <x:row r="575" ht="23" customHeight="1">
      <x:c r="A575" s="2" t="str">
        <x:v>SUR</x:v>
      </x:c>
      <x:c r="B575" s="2" t="str">
        <x:v>Suriname (Republic of)</x:v>
      </x:c>
      <x:c r="C575" s="2" t="n">
        <x:v>2015</x:v>
      </x:c>
      <x:c r="D575" s="2" t="str">
        <x:v>GHSL_SURFACE</x:v>
      </x:c>
      <x:c r="E575" s="17" t="n">
        <x:v>49112414.35196055</x:v>
      </x:c>
      <x:c r="F575" s="17" t="n">
        <x:f>IF(AND(M575,ISNUMBER(R575)),IF(D575="TEMPO_PROXY",R575,IF(AND(ISNUMBER(S575),S575&gt;0,ISNUMBER(U575)),U575*R575/S575,"n.a.")),"n.a.")</x:f>
        <x:v>66114934.00000003</x:v>
      </x:c>
      <x:c r="G575" s="17" t="n">
        <x:f>IF(AND(ISNUMBER(E575),ISNUMBER(F575)),E575-F575,"n.a.")</x:f>
        <x:v>-17002519.648039483</x:v>
      </x:c>
      <x:c r="H575" s="15" t="n">
        <x:f>IF(AND(ISNUMBER(E575),ISNUMBER(F575),F575&gt;0),(E575-F575)/F575,"n.a.")</x:f>
        <x:v>-0.2571660987824547</x:v>
      </x:c>
      <x:c r="I575" s="19" t="n">
        <x:f>IF(ISNUMBER(H575),ABS(H575),"n.a.")</x:f>
        <x:v>0.2571660987824547</x:v>
      </x:c>
      <x:c r="J575" s="2" t="str">
        <x:v>available</x:v>
      </x:c>
      <x:c r="K575" s="2" t="n">
        <x:v>1</x:v>
      </x:c>
      <x:c r="L575" s="13" t="b">
        <x:v>0</x:v>
      </x:c>
      <x:c r="M575" s="13" t="b">
        <x:v>1</x:v>
      </x:c>
      <x:c r="N575" s="2" t="str">
        <x:v>historical source estimate</x:v>
      </x:c>
      <x:c r="O575" s="2" t="str"/>
      <x:c r="P575" s="2" t="str">
        <x:v>horizontal built-up surface</x:v>
      </x:c>
      <x:c r="Q575" s="2" t="str">
        <x:v>m2</x:v>
      </x:c>
      <x:c r="R575" s="17" t="n">
        <x:v>66114934</x:v>
      </x:c>
      <x:c r="S575" s="17" t="n">
        <x:v>50598825.22</x:v>
      </x:c>
      <x:c r="T575" s="18" t="n">
        <x:v>1.0000000000000004</x:v>
      </x:c>
      <x:c r="U575" s="17" t="n">
        <x:v>50598825.22000002</x:v>
      </x:c>
      <x:c r="V575" s="2" t="str">
        <x:v>Area equivalent = model2020 * source surface / TEMPO2020 footprint</x:v>
      </x:c>
      <x:c r="W575" s="2" t="str">
        <x:v>legacy epoch_status=observed; not exact acquisition proof</x:v>
      </x:c>
      <x:c r="X575" s="2" t="str">
        <x:v>https://human-settlement.emergency.copernicus.eu/ghs_buS2023.php</x:v>
      </x:c>
    </x:row>
    <x:row r="576" ht="23" customHeight="1">
      <x:c r="A576" s="2" t="str">
        <x:v>SVK</x:v>
      </x:c>
      <x:c r="B576" s="2" t="str">
        <x:v>Slovakia (Slovak Republic)</x:v>
      </x:c>
      <x:c r="C576" s="2" t="n">
        <x:v>2015</x:v>
      </x:c>
      <x:c r="D576" s="2" t="str">
        <x:v>GHSL_SURFACE</x:v>
      </x:c>
      <x:c r="E576" s="17" t="n">
        <x:v>365029895.774204</x:v>
      </x:c>
      <x:c r="F576" s="17" t="n">
        <x:f>IF(AND(M576,ISNUMBER(R576)),IF(D576="TEMPO_PROXY",R576,IF(AND(ISNUMBER(S576),S576&gt;0,ISNUMBER(U576)),U576*R576/S576,"n.a.")),"n.a.")</x:f>
        <x:v>638757334.431679</x:v>
      </x:c>
      <x:c r="G576" s="17" t="n">
        <x:f>IF(AND(ISNUMBER(E576),ISNUMBER(F576)),E576-F576,"n.a.")</x:f>
        <x:v>-273727438.657475</x:v>
      </x:c>
      <x:c r="H576" s="15" t="n">
        <x:f>IF(AND(ISNUMBER(E576),ISNUMBER(F576),F576&gt;0),(E576-F576)/F576,"n.a.")</x:f>
        <x:v>-0.4285311868880821</x:v>
      </x:c>
      <x:c r="I576" s="19" t="n">
        <x:f>IF(ISNUMBER(H576),ABS(H576),"n.a.")</x:f>
        <x:v>0.4285311868880821</x:v>
      </x:c>
      <x:c r="J576" s="2" t="str">
        <x:v>available</x:v>
      </x:c>
      <x:c r="K576" s="2" t="n">
        <x:v>1</x:v>
      </x:c>
      <x:c r="L576" s="13" t="b">
        <x:v>0</x:v>
      </x:c>
      <x:c r="M576" s="13" t="b">
        <x:v>1</x:v>
      </x:c>
      <x:c r="N576" s="2" t="str">
        <x:v>historical source estimate</x:v>
      </x:c>
      <x:c r="O576" s="2" t="str"/>
      <x:c r="P576" s="2" t="str">
        <x:v>horizontal built-up surface</x:v>
      </x:c>
      <x:c r="Q576" s="2" t="str">
        <x:v>m2</x:v>
      </x:c>
      <x:c r="R576" s="17" t="n">
        <x:v>632888418</x:v>
      </x:c>
      <x:c r="S576" s="17" t="n">
        <x:v>387594933.19</x:v>
      </x:c>
      <x:c r="T576" s="18" t="n">
        <x:v>1.0092732245760248</x:v>
      </x:c>
      <x:c r="U576" s="17" t="n">
        <x:v>391189188.0500002</x:v>
      </x:c>
      <x:c r="V576" s="2" t="str">
        <x:v>Area equivalent = model2020 * source surface / TEMPO2020 footprint</x:v>
      </x:c>
      <x:c r="W576" s="2" t="str">
        <x:v>legacy epoch_status=observed; not exact acquisition proof</x:v>
      </x:c>
      <x:c r="X576" s="2" t="str">
        <x:v>https://human-settlement.emergency.copernicus.eu/ghs_buS2023.php</x:v>
      </x:c>
    </x:row>
    <x:row r="577" ht="23" customHeight="1">
      <x:c r="A577" s="2" t="str">
        <x:v>SVN</x:v>
      </x:c>
      <x:c r="B577" s="2" t="str">
        <x:v>Slovenia (Republic of)</x:v>
      </x:c>
      <x:c r="C577" s="2" t="n">
        <x:v>2015</x:v>
      </x:c>
      <x:c r="D577" s="2" t="str">
        <x:v>GHSL_SURFACE</x:v>
      </x:c>
      <x:c r="E577" s="17" t="n">
        <x:v>180123963.30761537</x:v>
      </x:c>
      <x:c r="F577" s="17" t="n">
        <x:f>IF(AND(M577,ISNUMBER(R577)),IF(D577="TEMPO_PROXY",R577,IF(AND(ISNUMBER(S577),S577&gt;0,ISNUMBER(U577)),U577*R577/S577,"n.a.")),"n.a.")</x:f>
        <x:v>244530576.0000002</x:v>
      </x:c>
      <x:c r="G577" s="17" t="n">
        <x:f>IF(AND(ISNUMBER(E577),ISNUMBER(F577)),E577-F577,"n.a.")</x:f>
        <x:v>-64406612.69238484</x:v>
      </x:c>
      <x:c r="H577" s="15" t="n">
        <x:f>IF(AND(ISNUMBER(E577),ISNUMBER(F577),F577&gt;0),(E577-F577)/F577,"n.a.")</x:f>
        <x:v>-0.2633887906614377</x:v>
      </x:c>
      <x:c r="I577" s="19" t="n">
        <x:f>IF(ISNUMBER(H577),ABS(H577),"n.a.")</x:f>
        <x:v>0.2633887906614377</x:v>
      </x:c>
      <x:c r="J577" s="2" t="str">
        <x:v>available</x:v>
      </x:c>
      <x:c r="K577" s="2" t="n">
        <x:v>1</x:v>
      </x:c>
      <x:c r="L577" s="13" t="b">
        <x:v>0</x:v>
      </x:c>
      <x:c r="M577" s="13" t="b">
        <x:v>1</x:v>
      </x:c>
      <x:c r="N577" s="2" t="str">
        <x:v>historical source estimate</x:v>
      </x:c>
      <x:c r="O577" s="2" t="str"/>
      <x:c r="P577" s="2" t="str">
        <x:v>horizontal built-up surface</x:v>
      </x:c>
      <x:c r="Q577" s="2" t="str">
        <x:v>m2</x:v>
      </x:c>
      <x:c r="R577" s="17" t="n">
        <x:v>244530576</x:v>
      </x:c>
      <x:c r="S577" s="17" t="n">
        <x:v>188783306.59</x:v>
      </x:c>
      <x:c r="T577" s="18" t="n">
        <x:v>1.0000000000000009</x:v>
      </x:c>
      <x:c r="U577" s="17" t="n">
        <x:v>188783306.59000015</x:v>
      </x:c>
      <x:c r="V577" s="2" t="str">
        <x:v>Area equivalent = model2020 * source surface / TEMPO2020 footprint</x:v>
      </x:c>
      <x:c r="W577" s="2" t="str">
        <x:v>legacy epoch_status=observed; not exact acquisition proof</x:v>
      </x:c>
      <x:c r="X577" s="2" t="str">
        <x:v>https://human-settlement.emergency.copernicus.eu/ghs_buS2023.php</x:v>
      </x:c>
    </x:row>
    <x:row r="578" ht="23" customHeight="1">
      <x:c r="A578" s="2" t="str">
        <x:v>SWE</x:v>
      </x:c>
      <x:c r="B578" s="2" t="str">
        <x:v>Sweden (Kingdom of)</x:v>
      </x:c>
      <x:c r="C578" s="2" t="n">
        <x:v>2015</x:v>
      </x:c>
      <x:c r="D578" s="2" t="str">
        <x:v>GHSL_SURFACE</x:v>
      </x:c>
      <x:c r="E578" s="17" t="n">
        <x:v>808375078.7663457</x:v>
      </x:c>
      <x:c r="F578" s="17" t="n">
        <x:f>IF(AND(M578,ISNUMBER(R578)),IF(D578="TEMPO_PROXY",R578,IF(AND(ISNUMBER(S578),S578&gt;0,ISNUMBER(U578)),U578*R578/S578,"n.a.")),"n.a.")</x:f>
        <x:v>856547769.6300141</x:v>
      </x:c>
      <x:c r="G578" s="17" t="n">
        <x:f>IF(AND(ISNUMBER(E578),ISNUMBER(F578)),E578-F578,"n.a.")</x:f>
        <x:v>-48172690.86366832</x:v>
      </x:c>
      <x:c r="H578" s="15" t="n">
        <x:f>IF(AND(ISNUMBER(E578),ISNUMBER(F578),F578&gt;0),(E578-F578)/F578,"n.a.")</x:f>
        <x:v>-0.05624051870974636</x:v>
      </x:c>
      <x:c r="I578" s="19" t="n">
        <x:f>IF(ISNUMBER(H578),ABS(H578),"n.a.")</x:f>
        <x:v>0.05624051870974636</x:v>
      </x:c>
      <x:c r="J578" s="2" t="str">
        <x:v>available</x:v>
      </x:c>
      <x:c r="K578" s="2" t="n">
        <x:v>1</x:v>
      </x:c>
      <x:c r="L578" s="13" t="b">
        <x:v>0</x:v>
      </x:c>
      <x:c r="M578" s="13" t="b">
        <x:v>1</x:v>
      </x:c>
      <x:c r="N578" s="2" t="str">
        <x:v>historical source estimate</x:v>
      </x:c>
      <x:c r="O578" s="2" t="str"/>
      <x:c r="P578" s="2" t="str">
        <x:v>horizontal built-up surface</x:v>
      </x:c>
      <x:c r="Q578" s="2" t="str">
        <x:v>m2</x:v>
      </x:c>
      <x:c r="R578" s="17" t="n">
        <x:v>848958860</x:v>
      </x:c>
      <x:c r="S578" s="17" t="n">
        <x:v>853123931.52</x:v>
      </x:c>
      <x:c r="T578" s="18" t="n">
        <x:v>1.0089390781904486</x:v>
      </x:c>
      <x:c r="U578" s="17" t="n">
        <x:v>860750073.0500002</x:v>
      </x:c>
      <x:c r="V578" s="2" t="str">
        <x:v>Area equivalent = model2020 * source surface / TEMPO2020 footprint</x:v>
      </x:c>
      <x:c r="W578" s="2" t="str">
        <x:v>legacy epoch_status=observed; not exact acquisition proof</x:v>
      </x:c>
      <x:c r="X578" s="2" t="str">
        <x:v>https://human-settlement.emergency.copernicus.eu/ghs_buS2023.php</x:v>
      </x:c>
    </x:row>
    <x:row r="579" ht="23" customHeight="1">
      <x:c r="A579" s="2" t="str">
        <x:v>SWZ</x:v>
      </x:c>
      <x:c r="B579" s="2" t="str">
        <x:v>Eswatini (Kingdom of)</x:v>
      </x:c>
      <x:c r="C579" s="2" t="n">
        <x:v>2015</x:v>
      </x:c>
      <x:c r="D579" s="2" t="str">
        <x:v>GHSL_SURFACE</x:v>
      </x:c>
      <x:c r="E579" s="17" t="n">
        <x:v>33675400.7123071</x:v>
      </x:c>
      <x:c r="F579" s="17" t="n">
        <x:f>IF(AND(M579,ISNUMBER(R579)),IF(D579="TEMPO_PROXY",R579,IF(AND(ISNUMBER(S579),S579&gt;0,ISNUMBER(U579)),U579*R579/S579,"n.a.")),"n.a.")</x:f>
        <x:v>105950535.99999999</x:v>
      </x:c>
      <x:c r="G579" s="17" t="n">
        <x:f>IF(AND(ISNUMBER(E579),ISNUMBER(F579)),E579-F579,"n.a.")</x:f>
        <x:v>-72275135.28769287</x:v>
      </x:c>
      <x:c r="H579" s="15" t="n">
        <x:f>IF(AND(ISNUMBER(E579),ISNUMBER(F579),F579&gt;0),(E579-F579)/F579,"n.a.")</x:f>
        <x:v>-0.6821592227498772</x:v>
      </x:c>
      <x:c r="I579" s="19" t="n">
        <x:f>IF(ISNUMBER(H579),ABS(H579),"n.a.")</x:f>
        <x:v>0.6821592227498772</x:v>
      </x:c>
      <x:c r="J579" s="2" t="str">
        <x:v>available</x:v>
      </x:c>
      <x:c r="K579" s="2" t="n">
        <x:v>1</x:v>
      </x:c>
      <x:c r="L579" s="13" t="b">
        <x:v>0</x:v>
      </x:c>
      <x:c r="M579" s="13" t="b">
        <x:v>1</x:v>
      </x:c>
      <x:c r="N579" s="2" t="str">
        <x:v>historical source estimate</x:v>
      </x:c>
      <x:c r="O579" s="2" t="str"/>
      <x:c r="P579" s="2" t="str">
        <x:v>horizontal built-up surface</x:v>
      </x:c>
      <x:c r="Q579" s="2" t="str">
        <x:v>m2</x:v>
      </x:c>
      <x:c r="R579" s="17" t="n">
        <x:v>105950536</x:v>
      </x:c>
      <x:c r="S579" s="17" t="n">
        <x:v>51228621.63</x:v>
      </x:c>
      <x:c r="T579" s="18" t="n">
        <x:v>0.9999999999999999</x:v>
      </x:c>
      <x:c r="U579" s="17" t="n">
        <x:v>51228621.629999995</x:v>
      </x:c>
      <x:c r="V579" s="2" t="str">
        <x:v>Area equivalent = model2020 * source surface / TEMPO2020 footprint</x:v>
      </x:c>
      <x:c r="W579" s="2" t="str">
        <x:v>legacy epoch_status=observed; not exact acquisition proof</x:v>
      </x:c>
      <x:c r="X579" s="2" t="str">
        <x:v>https://human-settlement.emergency.copernicus.eu/ghs_buS2023.php</x:v>
      </x:c>
    </x:row>
    <x:row r="580" ht="23" customHeight="1">
      <x:c r="A580" s="2" t="str">
        <x:v>SYC</x:v>
      </x:c>
      <x:c r="B580" s="2" t="str">
        <x:v>Seychelles (Republic of)</x:v>
      </x:c>
      <x:c r="C580" s="2" t="n">
        <x:v>2015</x:v>
      </x:c>
      <x:c r="D580" s="2" t="str">
        <x:v>GHSL_SURFACE</x:v>
      </x:c>
      <x:c r="E580" s="17" t="n">
        <x:v>7079080.10364114</x:v>
      </x:c>
      <x:c r="F580" s="17" t="n">
        <x:f>IF(AND(M580,ISNUMBER(R580)),IF(D580="TEMPO_PROXY",R580,IF(AND(ISNUMBER(S580),S580&gt;0,ISNUMBER(U580)),U580*R580/S580,"n.a.")),"n.a.")</x:f>
        <x:v>4270859</x:v>
      </x:c>
      <x:c r="G580" s="17" t="n">
        <x:f>IF(AND(ISNUMBER(E580),ISNUMBER(F580)),E580-F580,"n.a.")</x:f>
        <x:v>2808221.1036411403</x:v>
      </x:c>
      <x:c r="H580" s="15" t="n">
        <x:f>IF(AND(ISNUMBER(E580),ISNUMBER(F580),F580&gt;0),(E580-F580)/F580,"n.a.")</x:f>
        <x:v>0.6575307458385163</x:v>
      </x:c>
      <x:c r="I580" s="19" t="n">
        <x:f>IF(ISNUMBER(H580),ABS(H580),"n.a.")</x:f>
        <x:v>0.6575307458385163</x:v>
      </x:c>
      <x:c r="J580" s="2" t="str">
        <x:v>available</x:v>
      </x:c>
      <x:c r="K580" s="2" t="n">
        <x:v>1</x:v>
      </x:c>
      <x:c r="L580" s="13" t="b">
        <x:v>0</x:v>
      </x:c>
      <x:c r="M580" s="13" t="b">
        <x:v>1</x:v>
      </x:c>
      <x:c r="N580" s="2" t="str">
        <x:v>historical source estimate</x:v>
      </x:c>
      <x:c r="O580" s="2" t="str"/>
      <x:c r="P580" s="2" t="str">
        <x:v>horizontal built-up surface</x:v>
      </x:c>
      <x:c r="Q580" s="2" t="str">
        <x:v>m2</x:v>
      </x:c>
      <x:c r="R580" s="17" t="n">
        <x:v>4270859</x:v>
      </x:c>
      <x:c r="S580" s="17" t="n">
        <x:v>7317572.88</x:v>
      </x:c>
      <x:c r="T580" s="18" t="n">
        <x:v>1.0000000000000002</x:v>
      </x:c>
      <x:c r="U580" s="17" t="n">
        <x:v>7317572.880000001</x:v>
      </x:c>
      <x:c r="V580" s="2" t="str">
        <x:v>Area equivalent = model2020 * source surface / TEMPO2020 footprint</x:v>
      </x:c>
      <x:c r="W580" s="2" t="str">
        <x:v>legacy epoch_status=observed; not exact acquisition proof</x:v>
      </x:c>
      <x:c r="X580" s="2" t="str">
        <x:v>https://human-settlement.emergency.copernicus.eu/ghs_buS2023.php</x:v>
      </x:c>
    </x:row>
    <x:row r="581" ht="23" customHeight="1">
      <x:c r="A581" s="2" t="str">
        <x:v>SYR</x:v>
      </x:c>
      <x:c r="B581" s="2" t="str">
        <x:v>Syrian Arab Republic</x:v>
      </x:c>
      <x:c r="C581" s="2" t="n">
        <x:v>2015</x:v>
      </x:c>
      <x:c r="D581" s="2" t="str">
        <x:v>GHSL_SURFACE</x:v>
      </x:c>
      <x:c r="E581" s="17" t="n">
        <x:v>760444963.635695</x:v>
      </x:c>
      <x:c r="F581" s="17" t="n">
        <x:f>IF(AND(M581,ISNUMBER(R581)),IF(D581="TEMPO_PROXY",R581,IF(AND(ISNUMBER(S581),S581&gt;0,ISNUMBER(U581)),U581*R581/S581,"n.a.")),"n.a.")</x:f>
        <x:v>942760670.354772</x:v>
      </x:c>
      <x:c r="G581" s="17" t="n">
        <x:f>IF(AND(ISNUMBER(E581),ISNUMBER(F581)),E581-F581,"n.a.")</x:f>
        <x:v>-182315706.719077</x:v>
      </x:c>
      <x:c r="H581" s="15" t="n">
        <x:f>IF(AND(ISNUMBER(E581),ISNUMBER(F581),F581&gt;0),(E581-F581)/F581,"n.a.")</x:f>
        <x:v>-0.1933849305046523</x:v>
      </x:c>
      <x:c r="I581" s="19" t="n">
        <x:f>IF(ISNUMBER(H581),ABS(H581),"n.a.")</x:f>
        <x:v>0.1933849305046523</x:v>
      </x:c>
      <x:c r="J581" s="2" t="str">
        <x:v>available</x:v>
      </x:c>
      <x:c r="K581" s="2" t="n">
        <x:v>1</x:v>
      </x:c>
      <x:c r="L581" s="13" t="b">
        <x:v>0</x:v>
      </x:c>
      <x:c r="M581" s="13" t="b">
        <x:v>1</x:v>
      </x:c>
      <x:c r="N581" s="2" t="str">
        <x:v>historical source estimate</x:v>
      </x:c>
      <x:c r="O581" s="2" t="str"/>
      <x:c r="P581" s="2" t="str">
        <x:v>horizontal built-up surface</x:v>
      </x:c>
      <x:c r="Q581" s="2" t="str">
        <x:v>m2</x:v>
      </x:c>
      <x:c r="R581" s="17" t="n">
        <x:v>929617492</x:v>
      </x:c>
      <x:c r="S581" s="17" t="n">
        <x:v>784392266.01</x:v>
      </x:c>
      <x:c r="T581" s="18" t="n">
        <x:v>1.0141382648969905</x:v>
      </x:c>
      <x:c r="U581" s="17" t="n">
        <x:v>795482211.65</x:v>
      </x:c>
      <x:c r="V581" s="2" t="str">
        <x:v>Area equivalent = model2020 * source surface / TEMPO2020 footprint</x:v>
      </x:c>
      <x:c r="W581" s="2" t="str">
        <x:v>legacy epoch_status=observed; not exact acquisition proof</x:v>
      </x:c>
      <x:c r="X581" s="2" t="str">
        <x:v>https://human-settlement.emergency.copernicus.eu/ghs_buS2023.php</x:v>
      </x:c>
    </x:row>
    <x:row r="582" ht="23" customHeight="1">
      <x:c r="A582" s="2" t="str">
        <x:v>TCD</x:v>
      </x:c>
      <x:c r="B582" s="2" t="str">
        <x:v>Chad (Republic of)</x:v>
      </x:c>
      <x:c r="C582" s="2" t="n">
        <x:v>2015</x:v>
      </x:c>
      <x:c r="D582" s="2" t="str">
        <x:v>GHSL_SURFACE</x:v>
      </x:c>
      <x:c r="E582" s="17" t="n">
        <x:v>100386445.63678944</x:v>
      </x:c>
      <x:c r="F582" s="17" t="n">
        <x:f>IF(AND(M582,ISNUMBER(R582)),IF(D582="TEMPO_PROXY",R582,IF(AND(ISNUMBER(S582),S582&gt;0,ISNUMBER(U582)),U582*R582/S582,"n.a.")),"n.a.")</x:f>
        <x:v>445204944.9999996</x:v>
      </x:c>
      <x:c r="G582" s="17" t="n">
        <x:f>IF(AND(ISNUMBER(E582),ISNUMBER(F582)),E582-F582,"n.a.")</x:f>
        <x:v>-344818499.36321014</x:v>
      </x:c>
      <x:c r="H582" s="15" t="n">
        <x:f>IF(AND(ISNUMBER(E582),ISNUMBER(F582),F582&gt;0),(E582-F582)/F582,"n.a.")</x:f>
        <x:v>-0.7745163283467358</x:v>
      </x:c>
      <x:c r="I582" s="19" t="n">
        <x:f>IF(ISNUMBER(H582),ABS(H582),"n.a.")</x:f>
        <x:v>0.7745163283467358</x:v>
      </x:c>
      <x:c r="J582" s="2" t="str">
        <x:v>available</x:v>
      </x:c>
      <x:c r="K582" s="2" t="n">
        <x:v>1</x:v>
      </x:c>
      <x:c r="L582" s="13" t="b">
        <x:v>0</x:v>
      </x:c>
      <x:c r="M582" s="13" t="b">
        <x:v>1</x:v>
      </x:c>
      <x:c r="N582" s="2" t="str">
        <x:v>historical source estimate</x:v>
      </x:c>
      <x:c r="O582" s="2" t="str"/>
      <x:c r="P582" s="2" t="str">
        <x:v>horizontal built-up surface</x:v>
      </x:c>
      <x:c r="Q582" s="2" t="str">
        <x:v>m2</x:v>
      </x:c>
      <x:c r="R582" s="17" t="n">
        <x:v>445204945</x:v>
      </x:c>
      <x:c r="S582" s="17" t="n">
        <x:v>126450494.22</x:v>
      </x:c>
      <x:c r="T582" s="18" t="n">
        <x:v>0.9999999999999991</x:v>
      </x:c>
      <x:c r="U582" s="17" t="n">
        <x:v>126450494.21999988</x:v>
      </x:c>
      <x:c r="V582" s="2" t="str">
        <x:v>Area equivalent = model2020 * source surface / TEMPO2020 footprint</x:v>
      </x:c>
      <x:c r="W582" s="2" t="str">
        <x:v>legacy epoch_status=observed; not exact acquisition proof</x:v>
      </x:c>
      <x:c r="X582" s="2" t="str">
        <x:v>https://human-settlement.emergency.copernicus.eu/ghs_buS2023.php</x:v>
      </x:c>
    </x:row>
    <x:row r="583" ht="23" customHeight="1">
      <x:c r="A583" s="2" t="str">
        <x:v>TGO</x:v>
      </x:c>
      <x:c r="B583" s="2" t="str">
        <x:v>Togo (Togolese Republic)</x:v>
      </x:c>
      <x:c r="C583" s="2" t="n">
        <x:v>2015</x:v>
      </x:c>
      <x:c r="D583" s="2" t="str">
        <x:v>GHSL_SURFACE</x:v>
      </x:c>
      <x:c r="E583" s="17" t="n">
        <x:v>157342554.75317118</x:v>
      </x:c>
      <x:c r="F583" s="17" t="n">
        <x:f>IF(AND(M583,ISNUMBER(R583)),IF(D583="TEMPO_PROXY",R583,IF(AND(ISNUMBER(S583),S583&gt;0,ISNUMBER(U583)),U583*R583/S583,"n.a.")),"n.a.")</x:f>
        <x:v>399585615.0000005</x:v>
      </x:c>
      <x:c r="G583" s="17" t="n">
        <x:f>IF(AND(ISNUMBER(E583),ISNUMBER(F583)),E583-F583,"n.a.")</x:f>
        <x:v>-242243060.2468293</x:v>
      </x:c>
      <x:c r="H583" s="15" t="n">
        <x:f>IF(AND(ISNUMBER(E583),ISNUMBER(F583),F583&gt;0),(E583-F583)/F583,"n.a.")</x:f>
        <x:v>-0.6062356880560603</x:v>
      </x:c>
      <x:c r="I583" s="19" t="n">
        <x:f>IF(ISNUMBER(H583),ABS(H583),"n.a.")</x:f>
        <x:v>0.6062356880560603</x:v>
      </x:c>
      <x:c r="J583" s="2" t="str">
        <x:v>available</x:v>
      </x:c>
      <x:c r="K583" s="2" t="n">
        <x:v>1</x:v>
      </x:c>
      <x:c r="L583" s="13" t="b">
        <x:v>0</x:v>
      </x:c>
      <x:c r="M583" s="13" t="b">
        <x:v>1</x:v>
      </x:c>
      <x:c r="N583" s="2" t="str">
        <x:v>historical source estimate</x:v>
      </x:c>
      <x:c r="O583" s="2" t="str"/>
      <x:c r="P583" s="2" t="str">
        <x:v>horizontal built-up surface</x:v>
      </x:c>
      <x:c r="Q583" s="2" t="str">
        <x:v>m2</x:v>
      </x:c>
      <x:c r="R583" s="17" t="n">
        <x:v>399585615</x:v>
      </x:c>
      <x:c r="S583" s="17" t="n">
        <x:v>185693532.73</x:v>
      </x:c>
      <x:c r="T583" s="18" t="n">
        <x:v>1.000000000000001</x:v>
      </x:c>
      <x:c r="U583" s="17" t="n">
        <x:v>185693532.7300002</x:v>
      </x:c>
      <x:c r="V583" s="2" t="str">
        <x:v>Area equivalent = model2020 * source surface / TEMPO2020 footprint</x:v>
      </x:c>
      <x:c r="W583" s="2" t="str">
        <x:v>legacy epoch_status=observed; not exact acquisition proof</x:v>
      </x:c>
      <x:c r="X583" s="2" t="str">
        <x:v>https://human-settlement.emergency.copernicus.eu/ghs_buS2023.php</x:v>
      </x:c>
    </x:row>
    <x:row r="584" ht="23" customHeight="1">
      <x:c r="A584" s="2" t="str">
        <x:v>THA</x:v>
      </x:c>
      <x:c r="B584" s="2" t="str">
        <x:v>Thailand (Kingdom of)</x:v>
      </x:c>
      <x:c r="C584" s="2" t="n">
        <x:v>2015</x:v>
      </x:c>
      <x:c r="D584" s="2" t="str">
        <x:v>GHSL_SURFACE</x:v>
      </x:c>
      <x:c r="E584" s="17" t="n">
        <x:v>4865280220.416097</x:v>
      </x:c>
      <x:c r="F584" s="17" t="n">
        <x:f>IF(AND(M584,ISNUMBER(R584)),IF(D584="TEMPO_PROXY",R584,IF(AND(ISNUMBER(S584),S584&gt;0,ISNUMBER(U584)),U584*R584/S584,"n.a.")),"n.a.")</x:f>
        <x:v>6258871919.999992</x:v>
      </x:c>
      <x:c r="G584" s="17" t="n">
        <x:f>IF(AND(ISNUMBER(E584),ISNUMBER(F584)),E584-F584,"n.a.")</x:f>
        <x:v>-1393591699.5838957</x:v>
      </x:c>
      <x:c r="H584" s="15" t="n">
        <x:f>IF(AND(ISNUMBER(E584),ISNUMBER(F584),F584&gt;0),(E584-F584)/F584,"n.a.")</x:f>
        <x:v>-0.22265860643844224</x:v>
      </x:c>
      <x:c r="I584" s="19" t="n">
        <x:f>IF(ISNUMBER(H584),ABS(H584),"n.a.")</x:f>
        <x:v>0.22265860643844224</x:v>
      </x:c>
      <x:c r="J584" s="2" t="str">
        <x:v>available</x:v>
      </x:c>
      <x:c r="K584" s="2" t="n">
        <x:v>1</x:v>
      </x:c>
      <x:c r="L584" s="13" t="b">
        <x:v>0</x:v>
      </x:c>
      <x:c r="M584" s="13" t="b">
        <x:v>1</x:v>
      </x:c>
      <x:c r="N584" s="2" t="str">
        <x:v>historical source estimate</x:v>
      </x:c>
      <x:c r="O584" s="2" t="str"/>
      <x:c r="P584" s="2" t="str">
        <x:v>horizontal built-up surface</x:v>
      </x:c>
      <x:c r="Q584" s="2" t="str">
        <x:v>m2</x:v>
      </x:c>
      <x:c r="R584" s="17" t="n">
        <x:v>6258871920</x:v>
      </x:c>
      <x:c r="S584" s="17" t="n">
        <x:v>5229846890.15</x:v>
      </x:c>
      <x:c r="T584" s="18" t="n">
        <x:v>0.9999999999999988</x:v>
      </x:c>
      <x:c r="U584" s="17" t="n">
        <x:v>5229846890.149993</x:v>
      </x:c>
      <x:c r="V584" s="2" t="str">
        <x:v>Area equivalent = model2020 * source surface / TEMPO2020 footprint</x:v>
      </x:c>
      <x:c r="W584" s="2" t="str">
        <x:v>legacy epoch_status=observed; not exact acquisition proof</x:v>
      </x:c>
      <x:c r="X584" s="2" t="str">
        <x:v>https://human-settlement.emergency.copernicus.eu/ghs_buS2023.php</x:v>
      </x:c>
    </x:row>
    <x:row r="585" ht="23" customHeight="1">
      <x:c r="A585" s="2" t="str">
        <x:v>TJK</x:v>
      </x:c>
      <x:c r="B585" s="2" t="str">
        <x:v>Tajikistan (Republic of)</x:v>
      </x:c>
      <x:c r="C585" s="2" t="n">
        <x:v>2015</x:v>
      </x:c>
      <x:c r="D585" s="2" t="str">
        <x:v>GHSL_SURFACE</x:v>
      </x:c>
      <x:c r="E585" s="17" t="n">
        <x:v>361846922.0538689</x:v>
      </x:c>
      <x:c r="F585" s="17" t="n">
        <x:f>IF(AND(M585,ISNUMBER(R585)),IF(D585="TEMPO_PROXY",R585,IF(AND(ISNUMBER(S585),S585&gt;0,ISNUMBER(U585)),U585*R585/S585,"n.a.")),"n.a.")</x:f>
        <x:v>677950813.0000006</x:v>
      </x:c>
      <x:c r="G585" s="17" t="n">
        <x:f>IF(AND(ISNUMBER(E585),ISNUMBER(F585)),E585-F585,"n.a.")</x:f>
        <x:v>-316103890.9461317</x:v>
      </x:c>
      <x:c r="H585" s="15" t="n">
        <x:f>IF(AND(ISNUMBER(E585),ISNUMBER(F585),F585&gt;0),(E585-F585)/F585,"n.a.")</x:f>
        <x:v>-0.46626375377785917</x:v>
      </x:c>
      <x:c r="I585" s="19" t="n">
        <x:f>IF(ISNUMBER(H585),ABS(H585),"n.a.")</x:f>
        <x:v>0.46626375377785917</x:v>
      </x:c>
      <x:c r="J585" s="2" t="str">
        <x:v>available</x:v>
      </x:c>
      <x:c r="K585" s="2" t="n">
        <x:v>1</x:v>
      </x:c>
      <x:c r="L585" s="13" t="b">
        <x:v>0</x:v>
      </x:c>
      <x:c r="M585" s="13" t="b">
        <x:v>1</x:v>
      </x:c>
      <x:c r="N585" s="2" t="str">
        <x:v>historical source estimate</x:v>
      </x:c>
      <x:c r="O585" s="2" t="str"/>
      <x:c r="P585" s="2" t="str">
        <x:v>horizontal built-up surface</x:v>
      </x:c>
      <x:c r="Q585" s="2" t="str">
        <x:v>m2</x:v>
      </x:c>
      <x:c r="R585" s="17" t="n">
        <x:v>677950813</x:v>
      </x:c>
      <x:c r="S585" s="17" t="n">
        <x:v>392955797.92</x:v>
      </x:c>
      <x:c r="T585" s="18" t="n">
        <x:v>1.0000000000000009</x:v>
      </x:c>
      <x:c r="U585" s="17" t="n">
        <x:v>392955797.9200004</x:v>
      </x:c>
      <x:c r="V585" s="2" t="str">
        <x:v>Area equivalent = model2020 * source surface / TEMPO2020 footprint</x:v>
      </x:c>
      <x:c r="W585" s="2" t="str">
        <x:v>legacy epoch_status=observed; not exact acquisition proof</x:v>
      </x:c>
      <x:c r="X585" s="2" t="str">
        <x:v>https://human-settlement.emergency.copernicus.eu/ghs_buS2023.php</x:v>
      </x:c>
    </x:row>
    <x:row r="586" ht="23" customHeight="1">
      <x:c r="A586" s="2" t="str">
        <x:v>TKM</x:v>
      </x:c>
      <x:c r="B586" s="2" t="str">
        <x:v>Turkmenistan</x:v>
      </x:c>
      <x:c r="C586" s="2" t="n">
        <x:v>2015</x:v>
      </x:c>
      <x:c r="D586" s="2" t="str">
        <x:v>GHSL_SURFACE</x:v>
      </x:c>
      <x:c r="E586" s="17" t="n">
        <x:v>327928169.32018465</x:v>
      </x:c>
      <x:c r="F586" s="17" t="n">
        <x:f>IF(AND(M586,ISNUMBER(R586)),IF(D586="TEMPO_PROXY",R586,IF(AND(ISNUMBER(S586),S586&gt;0,ISNUMBER(U586)),U586*R586/S586,"n.a.")),"n.a.")</x:f>
        <x:v>696769830.000001</x:v>
      </x:c>
      <x:c r="G586" s="17" t="n">
        <x:f>IF(AND(ISNUMBER(E586),ISNUMBER(F586)),E586-F586,"n.a.")</x:f>
        <x:v>-368841660.6798163</x:v>
      </x:c>
      <x:c r="H586" s="15" t="n">
        <x:f>IF(AND(ISNUMBER(E586),ISNUMBER(F586),F586&gt;0),(E586-F586)/F586,"n.a.")</x:f>
        <x:v>-0.529359402200029</x:v>
      </x:c>
      <x:c r="I586" s="19" t="n">
        <x:f>IF(ISNUMBER(H586),ABS(H586),"n.a.")</x:f>
        <x:v>0.529359402200029</x:v>
      </x:c>
      <x:c r="J586" s="2" t="str">
        <x:v>available</x:v>
      </x:c>
      <x:c r="K586" s="2" t="n">
        <x:v>1</x:v>
      </x:c>
      <x:c r="L586" s="13" t="b">
        <x:v>0</x:v>
      </x:c>
      <x:c r="M586" s="13" t="b">
        <x:v>1</x:v>
      </x:c>
      <x:c r="N586" s="2" t="str">
        <x:v>historical source estimate</x:v>
      </x:c>
      <x:c r="O586" s="2" t="str"/>
      <x:c r="P586" s="2" t="str">
        <x:v>horizontal built-up surface</x:v>
      </x:c>
      <x:c r="Q586" s="2" t="str">
        <x:v>m2</x:v>
      </x:c>
      <x:c r="R586" s="17" t="n">
        <x:v>696769830</x:v>
      </x:c>
      <x:c r="S586" s="17" t="n">
        <x:v>359976676.15</x:v>
      </x:c>
      <x:c r="T586" s="18" t="n">
        <x:v>1.0000000000000016</x:v>
      </x:c>
      <x:c r="U586" s="17" t="n">
        <x:v>359976676.1500005</x:v>
      </x:c>
      <x:c r="V586" s="2" t="str">
        <x:v>Area equivalent = model2020 * source surface / TEMPO2020 footprint</x:v>
      </x:c>
      <x:c r="W586" s="2" t="str">
        <x:v>legacy epoch_status=observed; not exact acquisition proof</x:v>
      </x:c>
      <x:c r="X586" s="2" t="str">
        <x:v>https://human-settlement.emergency.copernicus.eu/ghs_buS2023.php</x:v>
      </x:c>
    </x:row>
    <x:row r="587" ht="23" customHeight="1">
      <x:c r="A587" s="2" t="str">
        <x:v>TLS</x:v>
      </x:c>
      <x:c r="B587" s="2" t="str">
        <x:v>Timor-Leste (Democratic Republic of)</x:v>
      </x:c>
      <x:c r="C587" s="2" t="n">
        <x:v>2015</x:v>
      </x:c>
      <x:c r="D587" s="2" t="str">
        <x:v>GHSL_SURFACE</x:v>
      </x:c>
      <x:c r="E587" s="17" t="n">
        <x:v>36994624.25613674</x:v>
      </x:c>
      <x:c r="F587" s="17" t="n">
        <x:f>IF(AND(M587,ISNUMBER(R587)),IF(D587="TEMPO_PROXY",R587,IF(AND(ISNUMBER(S587),S587&gt;0,ISNUMBER(U587)),U587*R587/S587,"n.a.")),"n.a.")</x:f>
        <x:v>44682381.00000002</x:v>
      </x:c>
      <x:c r="G587" s="17" t="n">
        <x:f>IF(AND(ISNUMBER(E587),ISNUMBER(F587)),E587-F587,"n.a.")</x:f>
        <x:v>-7687756.743863285</x:v>
      </x:c>
      <x:c r="H587" s="15" t="n">
        <x:f>IF(AND(ISNUMBER(E587),ISNUMBER(F587),F587&gt;0),(E587-F587)/F587,"n.a.")</x:f>
        <x:v>-0.17205342624564435</x:v>
      </x:c>
      <x:c r="I587" s="19" t="n">
        <x:f>IF(ISNUMBER(H587),ABS(H587),"n.a.")</x:f>
        <x:v>0.17205342624564435</x:v>
      </x:c>
      <x:c r="J587" s="2" t="str">
        <x:v>available</x:v>
      </x:c>
      <x:c r="K587" s="2" t="n">
        <x:v>1</x:v>
      </x:c>
      <x:c r="L587" s="13" t="b">
        <x:v>0</x:v>
      </x:c>
      <x:c r="M587" s="13" t="b">
        <x:v>1</x:v>
      </x:c>
      <x:c r="N587" s="2" t="str">
        <x:v>historical source estimate</x:v>
      </x:c>
      <x:c r="O587" s="2" t="str"/>
      <x:c r="P587" s="2" t="str">
        <x:v>horizontal built-up surface</x:v>
      </x:c>
      <x:c r="Q587" s="2" t="str">
        <x:v>m2</x:v>
      </x:c>
      <x:c r="R587" s="17" t="n">
        <x:v>44682381</x:v>
      </x:c>
      <x:c r="S587" s="17" t="n">
        <x:v>41213693.9</x:v>
      </x:c>
      <x:c r="T587" s="18" t="n">
        <x:v>1.0000000000000004</x:v>
      </x:c>
      <x:c r="U587" s="17" t="n">
        <x:v>41213693.90000002</x:v>
      </x:c>
      <x:c r="V587" s="2" t="str">
        <x:v>Area equivalent = model2020 * source surface / TEMPO2020 footprint</x:v>
      </x:c>
      <x:c r="W587" s="2" t="str">
        <x:v>legacy epoch_status=observed; not exact acquisition proof</x:v>
      </x:c>
      <x:c r="X587" s="2" t="str">
        <x:v>https://human-settlement.emergency.copernicus.eu/ghs_buS2023.php</x:v>
      </x:c>
    </x:row>
    <x:row r="588" ht="23" customHeight="1">
      <x:c r="A588" s="2" t="str">
        <x:v>TON</x:v>
      </x:c>
      <x:c r="B588" s="2" t="str">
        <x:v>Tonga (Kingdom of)</x:v>
      </x:c>
      <x:c r="C588" s="2" t="n">
        <x:v>2015</x:v>
      </x:c>
      <x:c r="D588" s="2" t="str">
        <x:v>GHSL_SURFACE</x:v>
      </x:c>
      <x:c r="E588" s="17" t="n">
        <x:v>4632378.310123438</x:v>
      </x:c>
      <x:c r="F588" s="17" t="n">
        <x:f>IF(AND(M588,ISNUMBER(R588)),IF(D588="TEMPO_PROXY",R588,IF(AND(ISNUMBER(S588),S588&gt;0,ISNUMBER(U588)),U588*R588/S588,"n.a.")),"n.a.")</x:f>
        <x:v>6369794.999999996</x:v>
      </x:c>
      <x:c r="G588" s="17" t="n">
        <x:f>IF(AND(ISNUMBER(E588),ISNUMBER(F588)),E588-F588,"n.a.")</x:f>
        <x:v>-1737416.6898765583</x:v>
      </x:c>
      <x:c r="H588" s="15" t="n">
        <x:f>IF(AND(ISNUMBER(E588),ISNUMBER(F588),F588&gt;0),(E588-F588)/F588,"n.a.")</x:f>
        <x:v>-0.27275865076922556</x:v>
      </x:c>
      <x:c r="I588" s="19" t="n">
        <x:f>IF(ISNUMBER(H588),ABS(H588),"n.a.")</x:f>
        <x:v>0.27275865076922556</x:v>
      </x:c>
      <x:c r="J588" s="2" t="str">
        <x:v>available</x:v>
      </x:c>
      <x:c r="K588" s="2" t="n">
        <x:v>1</x:v>
      </x:c>
      <x:c r="L588" s="13" t="b">
        <x:v>0</x:v>
      </x:c>
      <x:c r="M588" s="13" t="b">
        <x:v>1</x:v>
      </x:c>
      <x:c r="N588" s="2" t="str">
        <x:v>historical source estimate</x:v>
      </x:c>
      <x:c r="O588" s="2" t="str"/>
      <x:c r="P588" s="2" t="str">
        <x:v>horizontal built-up surface</x:v>
      </x:c>
      <x:c r="Q588" s="2" t="str">
        <x:v>m2</x:v>
      </x:c>
      <x:c r="R588" s="17" t="n">
        <x:v>6369795</x:v>
      </x:c>
      <x:c r="S588" s="17" t="n">
        <x:v>4719083.85</x:v>
      </x:c>
      <x:c r="T588" s="18" t="n">
        <x:v>0.9999999999999994</x:v>
      </x:c>
      <x:c r="U588" s="17" t="n">
        <x:v>4719083.849999997</x:v>
      </x:c>
      <x:c r="V588" s="2" t="str">
        <x:v>Area equivalent = model2020 * source surface / TEMPO2020 footprint</x:v>
      </x:c>
      <x:c r="W588" s="2" t="str">
        <x:v>legacy epoch_status=observed; not exact acquisition proof</x:v>
      </x:c>
      <x:c r="X588" s="2" t="str">
        <x:v>https://human-settlement.emergency.copernicus.eu/ghs_buS2023.php</x:v>
      </x:c>
    </x:row>
    <x:row r="589" ht="23" customHeight="1">
      <x:c r="A589" s="2" t="str">
        <x:v>TTO</x:v>
      </x:c>
      <x:c r="B589" s="2" t="str">
        <x:v>Trinidad and Tobago (Republic of)</x:v>
      </x:c>
      <x:c r="C589" s="2" t="n">
        <x:v>2015</x:v>
      </x:c>
      <x:c r="D589" s="2" t="str">
        <x:v>GHSL_SURFACE</x:v>
      </x:c>
      <x:c r="E589" s="17" t="n">
        <x:v>92150385.27447325</x:v>
      </x:c>
      <x:c r="F589" s="17" t="n">
        <x:f>IF(AND(M589,ISNUMBER(R589)),IF(D589="TEMPO_PROXY",R589,IF(AND(ISNUMBER(S589),S589&gt;0,ISNUMBER(U589)),U589*R589/S589,"n.a.")),"n.a.")</x:f>
        <x:v>150157138.00000006</x:v>
      </x:c>
      <x:c r="G589" s="17" t="n">
        <x:f>IF(AND(ISNUMBER(E589),ISNUMBER(F589)),E589-F589,"n.a.")</x:f>
        <x:v>-58006752.72552681</x:v>
      </x:c>
      <x:c r="H589" s="15" t="n">
        <x:f>IF(AND(ISNUMBER(E589),ISNUMBER(F589),F589&gt;0),(E589-F589)/F589,"n.a.")</x:f>
        <x:v>-0.3863069947798738</x:v>
      </x:c>
      <x:c r="I589" s="19" t="n">
        <x:f>IF(ISNUMBER(H589),ABS(H589),"n.a.")</x:f>
        <x:v>0.3863069947798738</x:v>
      </x:c>
      <x:c r="J589" s="2" t="str">
        <x:v>available</x:v>
      </x:c>
      <x:c r="K589" s="2" t="n">
        <x:v>1</x:v>
      </x:c>
      <x:c r="L589" s="13" t="b">
        <x:v>0</x:v>
      </x:c>
      <x:c r="M589" s="13" t="b">
        <x:v>1</x:v>
      </x:c>
      <x:c r="N589" s="2" t="str">
        <x:v>historical source estimate</x:v>
      </x:c>
      <x:c r="O589" s="2" t="str"/>
      <x:c r="P589" s="2" t="str">
        <x:v>horizontal built-up surface</x:v>
      </x:c>
      <x:c r="Q589" s="2" t="str">
        <x:v>m2</x:v>
      </x:c>
      <x:c r="R589" s="17" t="n">
        <x:v>150157138</x:v>
      </x:c>
      <x:c r="S589" s="17" t="n">
        <x:v>100480869.27</x:v>
      </x:c>
      <x:c r="T589" s="18" t="n">
        <x:v>1.0000000000000004</x:v>
      </x:c>
      <x:c r="U589" s="17" t="n">
        <x:v>100480869.27000004</x:v>
      </x:c>
      <x:c r="V589" s="2" t="str">
        <x:v>Area equivalent = model2020 * source surface / TEMPO2020 footprint</x:v>
      </x:c>
      <x:c r="W589" s="2" t="str">
        <x:v>legacy epoch_status=observed; not exact acquisition proof</x:v>
      </x:c>
      <x:c r="X589" s="2" t="str">
        <x:v>https://human-settlement.emergency.copernicus.eu/ghs_buS2023.php</x:v>
      </x:c>
    </x:row>
    <x:row r="590" ht="23" customHeight="1">
      <x:c r="A590" s="2" t="str">
        <x:v>TUN</x:v>
      </x:c>
      <x:c r="B590" s="2" t="str">
        <x:v>Tunisia (Republic of)</x:v>
      </x:c>
      <x:c r="C590" s="2" t="n">
        <x:v>2015</x:v>
      </x:c>
      <x:c r="D590" s="2" t="str">
        <x:v>GHSL_SURFACE</x:v>
      </x:c>
      <x:c r="E590" s="17" t="n">
        <x:v>613930514.3647048</x:v>
      </x:c>
      <x:c r="F590" s="17" t="n">
        <x:f>IF(AND(M590,ISNUMBER(R590)),IF(D590="TEMPO_PROXY",R590,IF(AND(ISNUMBER(S590),S590&gt;0,ISNUMBER(U590)),U590*R590/S590,"n.a.")),"n.a.")</x:f>
        <x:v>1087042169.6892526</x:v>
      </x:c>
      <x:c r="G590" s="17" t="n">
        <x:f>IF(AND(ISNUMBER(E590),ISNUMBER(F590)),E590-F590,"n.a.")</x:f>
        <x:v>-473111655.32454777</x:v>
      </x:c>
      <x:c r="H590" s="15" t="n">
        <x:f>IF(AND(ISNUMBER(E590),ISNUMBER(F590),F590&gt;0),(E590-F590)/F590,"n.a.")</x:f>
        <x:v>-0.4352284285896598</x:v>
      </x:c>
      <x:c r="I590" s="19" t="n">
        <x:f>IF(ISNUMBER(H590),ABS(H590),"n.a.")</x:f>
        <x:v>0.4352284285896598</x:v>
      </x:c>
      <x:c r="J590" s="2" t="str">
        <x:v>available</x:v>
      </x:c>
      <x:c r="K590" s="2" t="n">
        <x:v>1</x:v>
      </x:c>
      <x:c r="L590" s="13" t="b">
        <x:v>0</x:v>
      </x:c>
      <x:c r="M590" s="13" t="b">
        <x:v>1</x:v>
      </x:c>
      <x:c r="N590" s="2" t="str">
        <x:v>historical source estimate</x:v>
      </x:c>
      <x:c r="O590" s="2" t="str"/>
      <x:c r="P590" s="2" t="str">
        <x:v>horizontal built-up surface</x:v>
      </x:c>
      <x:c r="Q590" s="2" t="str">
        <x:v>m2</x:v>
      </x:c>
      <x:c r="R590" s="17" t="n">
        <x:v>1072113334</x:v>
      </x:c>
      <x:c r="S590" s="17" t="n">
        <x:v>640256278.63</x:v>
      </x:c>
      <x:c r="T590" s="18" t="n">
        <x:v>1.0139246805499134</x:v>
      </x:c>
      <x:c r="U590" s="17" t="n">
        <x:v>649171642.779999</x:v>
      </x:c>
      <x:c r="V590" s="2" t="str">
        <x:v>Area equivalent = model2020 * source surface / TEMPO2020 footprint</x:v>
      </x:c>
      <x:c r="W590" s="2" t="str">
        <x:v>legacy epoch_status=observed; not exact acquisition proof</x:v>
      </x:c>
      <x:c r="X590" s="2" t="str">
        <x:v>https://human-settlement.emergency.copernicus.eu/ghs_buS2023.php</x:v>
      </x:c>
    </x:row>
    <x:row r="591" ht="23" customHeight="1">
      <x:c r="A591" s="2" t="str">
        <x:v>TUR</x:v>
      </x:c>
      <x:c r="B591" s="2" t="str">
        <x:v>Türkiye (Republic of)</x:v>
      </x:c>
      <x:c r="C591" s="2" t="n">
        <x:v>2015</x:v>
      </x:c>
      <x:c r="D591" s="2" t="str">
        <x:v>GHSL_SURFACE</x:v>
      </x:c>
      <x:c r="E591" s="17" t="n">
        <x:v>3665140556.485112</x:v>
      </x:c>
      <x:c r="F591" s="17" t="n">
        <x:f>IF(AND(M591,ISNUMBER(R591)),IF(D591="TEMPO_PROXY",R591,IF(AND(ISNUMBER(S591),S591&gt;0,ISNUMBER(U591)),U591*R591/S591,"n.a.")),"n.a.")</x:f>
        <x:v>3377173033.571892</x:v>
      </x:c>
      <x:c r="G591" s="17" t="n">
        <x:f>IF(AND(ISNUMBER(E591),ISNUMBER(F591)),E591-F591,"n.a.")</x:f>
        <x:v>287967522.9132204</x:v>
      </x:c>
      <x:c r="H591" s="15" t="n">
        <x:f>IF(AND(ISNUMBER(E591),ISNUMBER(F591),F591&gt;0),(E591-F591)/F591,"n.a.")</x:f>
        <x:v>0.08526880916393242</x:v>
      </x:c>
      <x:c r="I591" s="19" t="n">
        <x:f>IF(ISNUMBER(H591),ABS(H591),"n.a.")</x:f>
        <x:v>0.08526880916393242</x:v>
      </x:c>
      <x:c r="J591" s="2" t="str">
        <x:v>available</x:v>
      </x:c>
      <x:c r="K591" s="2" t="n">
        <x:v>1</x:v>
      </x:c>
      <x:c r="L591" s="13" t="b">
        <x:v>0</x:v>
      </x:c>
      <x:c r="M591" s="13" t="b">
        <x:v>1</x:v>
      </x:c>
      <x:c r="N591" s="2" t="str">
        <x:v>historical source estimate</x:v>
      </x:c>
      <x:c r="O591" s="2" t="str"/>
      <x:c r="P591" s="2" t="str">
        <x:v>horizontal built-up surface</x:v>
      </x:c>
      <x:c r="Q591" s="2" t="str">
        <x:v>m2</x:v>
      </x:c>
      <x:c r="R591" s="17" t="n">
        <x:v>3178315429</x:v>
      </x:c>
      <x:c r="S591" s="17" t="n">
        <x:v>3724845529.66</x:v>
      </x:c>
      <x:c r="T591" s="18" t="n">
        <x:v>1.0625669821055044</x:v>
      </x:c>
      <x:c r="U591" s="17" t="n">
        <x:v>3957897873.260005</x:v>
      </x:c>
      <x:c r="V591" s="2" t="str">
        <x:v>Area equivalent = model2020 * source surface / TEMPO2020 footprint</x:v>
      </x:c>
      <x:c r="W591" s="2" t="str">
        <x:v>legacy epoch_status=observed; not exact acquisition proof</x:v>
      </x:c>
      <x:c r="X591" s="2" t="str">
        <x:v>https://human-settlement.emergency.copernicus.eu/ghs_buS2023.php</x:v>
      </x:c>
    </x:row>
    <x:row r="592" ht="23" customHeight="1">
      <x:c r="A592" s="2" t="str">
        <x:v>TUV</x:v>
      </x:c>
      <x:c r="B592" s="2" t="str">
        <x:v>Tuvalu</x:v>
      </x:c>
      <x:c r="C592" s="2" t="n">
        <x:v>2015</x:v>
      </x:c>
      <x:c r="D592" s="2" t="str">
        <x:v>GHSL_SURFACE</x:v>
      </x:c>
      <x:c r="E592" s="17" t="n">
        <x:v>18938.49476458106</x:v>
      </x:c>
      <x:c r="F592" s="17" t="n">
        <x:f>IF(AND(M592,ISNUMBER(R592)),IF(D592="TEMPO_PROXY",R592,IF(AND(ISNUMBER(S592),S592&gt;0,ISNUMBER(U592)),U592*R592/S592,"n.a.")),"n.a.")</x:f>
        <x:v>7573.999999999996</x:v>
      </x:c>
      <x:c r="G592" s="17" t="n">
        <x:f>IF(AND(ISNUMBER(E592),ISNUMBER(F592)),E592-F592,"n.a.")</x:f>
        <x:v>11364.494764581064</x:v>
      </x:c>
      <x:c r="H592" s="15" t="n">
        <x:f>IF(AND(ISNUMBER(E592),ISNUMBER(F592),F592&gt;0),(E592-F592)/F592,"n.a.")</x:f>
        <x:v>1.500461415973207</x:v>
      </x:c>
      <x:c r="I592" s="19" t="n">
        <x:f>IF(ISNUMBER(H592),ABS(H592),"n.a.")</x:f>
        <x:v>1.500461415973207</x:v>
      </x:c>
      <x:c r="J592" s="2" t="str">
        <x:v>available</x:v>
      </x:c>
      <x:c r="K592" s="2" t="n">
        <x:v>1</x:v>
      </x:c>
      <x:c r="L592" s="13" t="b">
        <x:v>0</x:v>
      </x:c>
      <x:c r="M592" s="13" t="b">
        <x:v>1</x:v>
      </x:c>
      <x:c r="N592" s="2" t="str">
        <x:v>historical source estimate</x:v>
      </x:c>
      <x:c r="O592" s="2" t="str"/>
      <x:c r="P592" s="2" t="str">
        <x:v>horizontal built-up surface</x:v>
      </x:c>
      <x:c r="Q592" s="2" t="str">
        <x:v>m2</x:v>
      </x:c>
      <x:c r="R592" s="17" t="n">
        <x:v>7574</x:v>
      </x:c>
      <x:c r="S592" s="17" t="n">
        <x:v>19394.81</x:v>
      </x:c>
      <x:c r="T592" s="18" t="n">
        <x:v>0.9999999999999994</x:v>
      </x:c>
      <x:c r="U592" s="17" t="n">
        <x:v>19394.80999999999</x:v>
      </x:c>
      <x:c r="V592" s="2" t="str">
        <x:v>Area equivalent = model2020 * source surface / TEMPO2020 footprint</x:v>
      </x:c>
      <x:c r="W592" s="2" t="str">
        <x:v>legacy epoch_status=observed; not exact acquisition proof</x:v>
      </x:c>
      <x:c r="X592" s="2" t="str">
        <x:v>https://human-settlement.emergency.copernicus.eu/ghs_buS2023.php</x:v>
      </x:c>
    </x:row>
    <x:row r="593" ht="23" customHeight="1">
      <x:c r="A593" s="2" t="str">
        <x:v>TZA</x:v>
      </x:c>
      <x:c r="B593" s="2" t="str">
        <x:v>Tanzania (United Republic of)</x:v>
      </x:c>
      <x:c r="C593" s="2" t="n">
        <x:v>2015</x:v>
      </x:c>
      <x:c r="D593" s="2" t="str">
        <x:v>GHSL_SURFACE</x:v>
      </x:c>
      <x:c r="E593" s="17" t="n">
        <x:v>919308974.8738804</x:v>
      </x:c>
      <x:c r="F593" s="17" t="n">
        <x:f>IF(AND(M593,ISNUMBER(R593)),IF(D593="TEMPO_PROXY",R593,IF(AND(ISNUMBER(S593),S593&gt;0,ISNUMBER(U593)),U593*R593/S593,"n.a.")),"n.a.")</x:f>
        <x:v>3241671304.999996</x:v>
      </x:c>
      <x:c r="G593" s="17" t="n">
        <x:f>IF(AND(ISNUMBER(E593),ISNUMBER(F593)),E593-F593,"n.a.")</x:f>
        <x:v>-2322362330.126116</x:v>
      </x:c>
      <x:c r="H593" s="15" t="n">
        <x:f>IF(AND(ISNUMBER(E593),ISNUMBER(F593),F593&gt;0),(E593-F593)/F593,"n.a.")</x:f>
        <x:v>-0.7164089482311404</x:v>
      </x:c>
      <x:c r="I593" s="19" t="n">
        <x:f>IF(ISNUMBER(H593),ABS(H593),"n.a.")</x:f>
        <x:v>0.7164089482311404</x:v>
      </x:c>
      <x:c r="J593" s="2" t="str">
        <x:v>available</x:v>
      </x:c>
      <x:c r="K593" s="2" t="n">
        <x:v>1</x:v>
      </x:c>
      <x:c r="L593" s="13" t="b">
        <x:v>0</x:v>
      </x:c>
      <x:c r="M593" s="13" t="b">
        <x:v>1</x:v>
      </x:c>
      <x:c r="N593" s="2" t="str">
        <x:v>historical source estimate</x:v>
      </x:c>
      <x:c r="O593" s="2" t="str"/>
      <x:c r="P593" s="2" t="str">
        <x:v>horizontal built-up surface</x:v>
      </x:c>
      <x:c r="Q593" s="2" t="str">
        <x:v>m2</x:v>
      </x:c>
      <x:c r="R593" s="17" t="n">
        <x:v>3241671305</x:v>
      </x:c>
      <x:c r="S593" s="17" t="n">
        <x:v>1174486408.82</x:v>
      </x:c>
      <x:c r="T593" s="18" t="n">
        <x:v>0.9999999999999988</x:v>
      </x:c>
      <x:c r="U593" s="17" t="n">
        <x:v>1174486408.8199985</x:v>
      </x:c>
      <x:c r="V593" s="2" t="str">
        <x:v>Area equivalent = model2020 * source surface / TEMPO2020 footprint</x:v>
      </x:c>
      <x:c r="W593" s="2" t="str">
        <x:v>legacy epoch_status=observed; not exact acquisition proof</x:v>
      </x:c>
      <x:c r="X593" s="2" t="str">
        <x:v>https://human-settlement.emergency.copernicus.eu/ghs_buS2023.php</x:v>
      </x:c>
    </x:row>
    <x:row r="594" ht="23" customHeight="1">
      <x:c r="A594" s="2" t="str">
        <x:v>UGA</x:v>
      </x:c>
      <x:c r="B594" s="2" t="str">
        <x:v>Uganda (Republic of)</x:v>
      </x:c>
      <x:c r="C594" s="2" t="n">
        <x:v>2015</x:v>
      </x:c>
      <x:c r="D594" s="2" t="str">
        <x:v>GHSL_SURFACE</x:v>
      </x:c>
      <x:c r="E594" s="17" t="n">
        <x:v>575984024.6654693</x:v>
      </x:c>
      <x:c r="F594" s="17" t="n">
        <x:f>IF(AND(M594,ISNUMBER(R594)),IF(D594="TEMPO_PROXY",R594,IF(AND(ISNUMBER(S594),S594&gt;0,ISNUMBER(U594)),U594*R594/S594,"n.a.")),"n.a.")</x:f>
        <x:v>1998412883.0000024</x:v>
      </x:c>
      <x:c r="G594" s="17" t="n">
        <x:f>IF(AND(ISNUMBER(E594),ISNUMBER(F594)),E594-F594,"n.a.")</x:f>
        <x:v>-1422428858.3345332</x:v>
      </x:c>
      <x:c r="H594" s="15" t="n">
        <x:f>IF(AND(ISNUMBER(E594),ISNUMBER(F594),F594&gt;0),(E594-F594)/F594,"n.a.")</x:f>
        <x:v>-0.7117792676552374</x:v>
      </x:c>
      <x:c r="I594" s="19" t="n">
        <x:f>IF(ISNUMBER(H594),ABS(H594),"n.a.")</x:f>
        <x:v>0.7117792676552374</x:v>
      </x:c>
      <x:c r="J594" s="2" t="str">
        <x:v>available</x:v>
      </x:c>
      <x:c r="K594" s="2" t="n">
        <x:v>1</x:v>
      </x:c>
      <x:c r="L594" s="13" t="b">
        <x:v>0</x:v>
      </x:c>
      <x:c r="M594" s="13" t="b">
        <x:v>1</x:v>
      </x:c>
      <x:c r="N594" s="2" t="str">
        <x:v>historical source estimate</x:v>
      </x:c>
      <x:c r="O594" s="2" t="str"/>
      <x:c r="P594" s="2" t="str">
        <x:v>horizontal built-up surface</x:v>
      </x:c>
      <x:c r="Q594" s="2" t="str">
        <x:v>m2</x:v>
      </x:c>
      <x:c r="R594" s="17" t="n">
        <x:v>1998412883</x:v>
      </x:c>
      <x:c r="S594" s="17" t="n">
        <x:v>765891927.15</x:v>
      </x:c>
      <x:c r="T594" s="18" t="n">
        <x:v>1.000000000000001</x:v>
      </x:c>
      <x:c r="U594" s="17" t="n">
        <x:v>765891927.1500008</x:v>
      </x:c>
      <x:c r="V594" s="2" t="str">
        <x:v>Area equivalent = model2020 * source surface / TEMPO2020 footprint</x:v>
      </x:c>
      <x:c r="W594" s="2" t="str">
        <x:v>legacy epoch_status=observed; not exact acquisition proof</x:v>
      </x:c>
      <x:c r="X594" s="2" t="str">
        <x:v>https://human-settlement.emergency.copernicus.eu/ghs_buS2023.php</x:v>
      </x:c>
    </x:row>
    <x:row r="595" ht="23" customHeight="1">
      <x:c r="A595" s="2" t="str">
        <x:v>UKR</x:v>
      </x:c>
      <x:c r="B595" s="2" t="str">
        <x:v>Ukraine</x:v>
      </x:c>
      <x:c r="C595" s="2" t="n">
        <x:v>2015</x:v>
      </x:c>
      <x:c r="D595" s="2" t="str">
        <x:v>GHSL_SURFACE</x:v>
      </x:c>
      <x:c r="E595" s="17" t="n">
        <x:v>2687631859.9002776</x:v>
      </x:c>
      <x:c r="F595" s="17" t="n">
        <x:f>IF(AND(M595,ISNUMBER(R595)),IF(D595="TEMPO_PROXY",R595,IF(AND(ISNUMBER(S595),S595&gt;0,ISNUMBER(U595)),U595*R595/S595,"n.a.")),"n.a.")</x:f>
        <x:v>4125073405.999999</x:v>
      </x:c>
      <x:c r="G595" s="17" t="n">
        <x:f>IF(AND(ISNUMBER(E595),ISNUMBER(F595)),E595-F595,"n.a.")</x:f>
        <x:v>-1437441546.0997214</x:v>
      </x:c>
      <x:c r="H595" s="15" t="n">
        <x:f>IF(AND(ISNUMBER(E595),ISNUMBER(F595),F595&gt;0),(E595-F595)/F595,"n.a.")</x:f>
        <x:v>-0.3484644767797186</x:v>
      </x:c>
      <x:c r="I595" s="19" t="n">
        <x:f>IF(ISNUMBER(H595),ABS(H595),"n.a.")</x:f>
        <x:v>0.3484644767797186</x:v>
      </x:c>
      <x:c r="J595" s="2" t="str">
        <x:v>available</x:v>
      </x:c>
      <x:c r="K595" s="2" t="n">
        <x:v>1</x:v>
      </x:c>
      <x:c r="L595" s="13" t="b">
        <x:v>0</x:v>
      </x:c>
      <x:c r="M595" s="13" t="b">
        <x:v>1</x:v>
      </x:c>
      <x:c r="N595" s="2" t="str">
        <x:v>historical source estimate</x:v>
      </x:c>
      <x:c r="O595" s="2" t="str"/>
      <x:c r="P595" s="2" t="str">
        <x:v>horizontal built-up surface</x:v>
      </x:c>
      <x:c r="Q595" s="2" t="str">
        <x:v>m2</x:v>
      </x:c>
      <x:c r="R595" s="17" t="n">
        <x:v>4125073406</x:v>
      </x:c>
      <x:c r="S595" s="17" t="n">
        <x:v>2808807029.82</x:v>
      </x:c>
      <x:c r="T595" s="18" t="n">
        <x:v>0.9999999999999998</x:v>
      </x:c>
      <x:c r="U595" s="17" t="n">
        <x:v>2808807029.8199997</x:v>
      </x:c>
      <x:c r="V595" s="2" t="str">
        <x:v>Area equivalent = model2020 * source surface / TEMPO2020 footprint</x:v>
      </x:c>
      <x:c r="W595" s="2" t="str">
        <x:v>legacy epoch_status=observed; not exact acquisition proof</x:v>
      </x:c>
      <x:c r="X595" s="2" t="str">
        <x:v>https://human-settlement.emergency.copernicus.eu/ghs_buS2023.php</x:v>
      </x:c>
    </x:row>
    <x:row r="596" ht="23" customHeight="1">
      <x:c r="A596" s="2" t="str">
        <x:v>URY</x:v>
      </x:c>
      <x:c r="B596" s="2" t="str">
        <x:v>Uruguay (Oriental Republic of)</x:v>
      </x:c>
      <x:c r="C596" s="2" t="n">
        <x:v>2015</x:v>
      </x:c>
      <x:c r="D596" s="2" t="str">
        <x:v>GHSL_SURFACE</x:v>
      </x:c>
      <x:c r="E596" s="17" t="n">
        <x:v>201359785.87738177</x:v>
      </x:c>
      <x:c r="F596" s="17" t="n">
        <x:f>IF(AND(M596,ISNUMBER(R596)),IF(D596="TEMPO_PROXY",R596,IF(AND(ISNUMBER(S596),S596&gt;0,ISNUMBER(U596)),U596*R596/S596,"n.a.")),"n.a.")</x:f>
        <x:v>364059606.99999946</x:v>
      </x:c>
      <x:c r="G596" s="17" t="n">
        <x:f>IF(AND(ISNUMBER(E596),ISNUMBER(F596)),E596-F596,"n.a.")</x:f>
        <x:v>-162699821.1226177</x:v>
      </x:c>
      <x:c r="H596" s="15" t="n">
        <x:f>IF(AND(ISNUMBER(E596),ISNUMBER(F596),F596&gt;0),(E596-F596)/F596,"n.a.")</x:f>
        <x:v>-0.4469043475142188</x:v>
      </x:c>
      <x:c r="I596" s="19" t="n">
        <x:f>IF(ISNUMBER(H596),ABS(H596),"n.a.")</x:f>
        <x:v>0.4469043475142188</x:v>
      </x:c>
      <x:c r="J596" s="2" t="str">
        <x:v>available</x:v>
      </x:c>
      <x:c r="K596" s="2" t="n">
        <x:v>1</x:v>
      </x:c>
      <x:c r="L596" s="13" t="b">
        <x:v>0</x:v>
      </x:c>
      <x:c r="M596" s="13" t="b">
        <x:v>1</x:v>
      </x:c>
      <x:c r="N596" s="2" t="str">
        <x:v>historical source estimate</x:v>
      </x:c>
      <x:c r="O596" s="2" t="str"/>
      <x:c r="P596" s="2" t="str">
        <x:v>horizontal built-up surface</x:v>
      </x:c>
      <x:c r="Q596" s="2" t="str">
        <x:v>m2</x:v>
      </x:c>
      <x:c r="R596" s="17" t="n">
        <x:v>364059607</x:v>
      </x:c>
      <x:c r="S596" s="17" t="n">
        <x:v>209727833.29</x:v>
      </x:c>
      <x:c r="T596" s="18" t="n">
        <x:v>0.9999999999999986</x:v>
      </x:c>
      <x:c r="U596" s="17" t="n">
        <x:v>209727833.2899997</x:v>
      </x:c>
      <x:c r="V596" s="2" t="str">
        <x:v>Area equivalent = model2020 * source surface / TEMPO2020 footprint</x:v>
      </x:c>
      <x:c r="W596" s="2" t="str">
        <x:v>legacy epoch_status=observed; not exact acquisition proof</x:v>
      </x:c>
      <x:c r="X596" s="2" t="str">
        <x:v>https://human-settlement.emergency.copernicus.eu/ghs_buS2023.php</x:v>
      </x:c>
    </x:row>
    <x:row r="597" ht="23" customHeight="1">
      <x:c r="A597" s="2" t="str">
        <x:v>USA</x:v>
      </x:c>
      <x:c r="B597" s="2" t="str">
        <x:v>United States of America</x:v>
      </x:c>
      <x:c r="C597" s="2" t="n">
        <x:v>2015</x:v>
      </x:c>
      <x:c r="D597" s="2" t="str">
        <x:v>GHSL_SURFACE</x:v>
      </x:c>
      <x:c r="E597" s="17" t="n">
        <x:v>34465397434.22212</x:v>
      </x:c>
      <x:c r="F597" s="17" t="n">
        <x:f>IF(AND(M597,ISNUMBER(R597)),IF(D597="TEMPO_PROXY",R597,IF(AND(ISNUMBER(S597),S597&gt;0,ISNUMBER(U597)),U597*R597/S597,"n.a.")),"n.a.")</x:f>
        <x:v>58405119977.00006</x:v>
      </x:c>
      <x:c r="G597" s="17" t="n">
        <x:f>IF(AND(ISNUMBER(E597),ISNUMBER(F597)),E597-F597,"n.a.")</x:f>
        <x:v>-23939722542.77794</x:v>
      </x:c>
      <x:c r="H597" s="15" t="n">
        <x:f>IF(AND(ISNUMBER(E597),ISNUMBER(F597),F597&gt;0),(E597-F597)/F597,"n.a.")</x:f>
        <x:v>-0.40989082039734537</x:v>
      </x:c>
      <x:c r="I597" s="19" t="n">
        <x:f>IF(ISNUMBER(H597),ABS(H597),"n.a.")</x:f>
        <x:v>0.40989082039734537</x:v>
      </x:c>
      <x:c r="J597" s="2" t="str">
        <x:v>available</x:v>
      </x:c>
      <x:c r="K597" s="2" t="n">
        <x:v>1</x:v>
      </x:c>
      <x:c r="L597" s="13" t="b">
        <x:v>0</x:v>
      </x:c>
      <x:c r="M597" s="13" t="b">
        <x:v>1</x:v>
      </x:c>
      <x:c r="N597" s="2" t="str">
        <x:v>historical source estimate</x:v>
      </x:c>
      <x:c r="O597" s="2" t="str"/>
      <x:c r="P597" s="2" t="str">
        <x:v>horizontal built-up surface</x:v>
      </x:c>
      <x:c r="Q597" s="2" t="str">
        <x:v>m2</x:v>
      </x:c>
      <x:c r="R597" s="17" t="n">
        <x:v>58405119977</x:v>
      </x:c>
      <x:c r="S597" s="17" t="n">
        <x:v>35932980078.68</x:v>
      </x:c>
      <x:c r="T597" s="18" t="n">
        <x:v>1.000000000000001</x:v>
      </x:c>
      <x:c r="U597" s="17" t="n">
        <x:v>35932980078.68004</x:v>
      </x:c>
      <x:c r="V597" s="2" t="str">
        <x:v>Area equivalent = model2020 * source surface / TEMPO2020 footprint</x:v>
      </x:c>
      <x:c r="W597" s="2" t="str">
        <x:v>legacy epoch_status=observed; not exact acquisition proof</x:v>
      </x:c>
      <x:c r="X597" s="2" t="str">
        <x:v>https://human-settlement.emergency.copernicus.eu/ghs_buS2023.php</x:v>
      </x:c>
    </x:row>
    <x:row r="598" ht="23" customHeight="1">
      <x:c r="A598" s="2" t="str">
        <x:v>UZB</x:v>
      </x:c>
      <x:c r="B598" s="2" t="str">
        <x:v>Uzbekistan (Republic of)</x:v>
      </x:c>
      <x:c r="C598" s="2" t="n">
        <x:v>2015</x:v>
      </x:c>
      <x:c r="D598" s="2" t="str">
        <x:v>GHSL_SURFACE</x:v>
      </x:c>
      <x:c r="E598" s="17" t="n">
        <x:v>1826840510.7491636</x:v>
      </x:c>
      <x:c r="F598" s="17" t="n">
        <x:f>IF(AND(M598,ISNUMBER(R598)),IF(D598="TEMPO_PROXY",R598,IF(AND(ISNUMBER(S598),S598&gt;0,ISNUMBER(U598)),U598*R598/S598,"n.a.")),"n.a.")</x:f>
        <x:v>3493154279.0000024</x:v>
      </x:c>
      <x:c r="G598" s="17" t="n">
        <x:f>IF(AND(ISNUMBER(E598),ISNUMBER(F598)),E598-F598,"n.a.")</x:f>
        <x:v>-1666313768.2508388</x:v>
      </x:c>
      <x:c r="H598" s="15" t="n">
        <x:f>IF(AND(ISNUMBER(E598),ISNUMBER(F598),F598&gt;0),(E598-F598)/F598,"n.a.")</x:f>
        <x:v>-0.47702266638158913</x:v>
      </x:c>
      <x:c r="I598" s="19" t="n">
        <x:f>IF(ISNUMBER(H598),ABS(H598),"n.a.")</x:f>
        <x:v>0.47702266638158913</x:v>
      </x:c>
      <x:c r="J598" s="2" t="str">
        <x:v>available</x:v>
      </x:c>
      <x:c r="K598" s="2" t="n">
        <x:v>1</x:v>
      </x:c>
      <x:c r="L598" s="13" t="b">
        <x:v>0</x:v>
      </x:c>
      <x:c r="M598" s="13" t="b">
        <x:v>1</x:v>
      </x:c>
      <x:c r="N598" s="2" t="str">
        <x:v>historical source estimate</x:v>
      </x:c>
      <x:c r="O598" s="2" t="str"/>
      <x:c r="P598" s="2" t="str">
        <x:v>horizontal built-up surface</x:v>
      </x:c>
      <x:c r="Q598" s="2" t="str">
        <x:v>m2</x:v>
      </x:c>
      <x:c r="R598" s="17" t="n">
        <x:v>3493154279</x:v>
      </x:c>
      <x:c r="S598" s="17" t="n">
        <x:v>1997042653.63</x:v>
      </x:c>
      <x:c r="T598" s="18" t="n">
        <x:v>1.0000000000000007</x:v>
      </x:c>
      <x:c r="U598" s="17" t="n">
        <x:v>1997042653.6300015</x:v>
      </x:c>
      <x:c r="V598" s="2" t="str">
        <x:v>Area equivalent = model2020 * source surface / TEMPO2020 footprint</x:v>
      </x:c>
      <x:c r="W598" s="2" t="str">
        <x:v>legacy epoch_status=observed; not exact acquisition proof</x:v>
      </x:c>
      <x:c r="X598" s="2" t="str">
        <x:v>https://human-settlement.emergency.copernicus.eu/ghs_buS2023.php</x:v>
      </x:c>
    </x:row>
    <x:row r="599" ht="23" customHeight="1">
      <x:c r="A599" s="2" t="str">
        <x:v>VAT</x:v>
      </x:c>
      <x:c r="B599" s="2" t="str">
        <x:v>Holy See (State of the Vatican City)</x:v>
      </x:c>
      <x:c r="C599" s="2" t="n">
        <x:v>2015</x:v>
      </x:c>
      <x:c r="D599" s="2" t="str">
        <x:v>GHSL_SURFACE</x:v>
      </x:c>
      <x:c r="E599" s="17" t="n">
        <x:v>318151.8700189071</x:v>
      </x:c>
      <x:c r="F599" s="17" t="str">
        <x:f>IF(AND(M599,ISNUMBER(R599)),IF(D599="TEMPO_PROXY",R599,IF(AND(ISNUMBER(S599),S599&gt;0,ISNUMBER(U599)),U599*R599/S599,"n.a.")),"n.a.")</x:f>
        <x:v>n.a.</x:v>
      </x:c>
      <x:c r="G599" s="17" t="str">
        <x:f>IF(AND(ISNUMBER(E599),ISNUMBER(F599)),E599-F599,"n.a.")</x:f>
        <x:v>n.a.</x:v>
      </x:c>
      <x:c r="H599" s="15" t="str">
        <x:f>IF(AND(ISNUMBER(E599),ISNUMBER(F599),F599&gt;0),(E599-F599)/F599,"n.a.")</x:f>
        <x:v>n.a.</x:v>
      </x:c>
      <x:c r="I599" s="19" t="str">
        <x:f>IF(ISNUMBER(H599),ABS(H599),"n.a.")</x:f>
        <x:v>n.a.</x:v>
      </x:c>
      <x:c r="J599" s="2" t="str">
        <x:v>unqualified_or_missing_native_source: legacy epoch_status=observed; not exact acquisition proof</x:v>
      </x:c>
      <x:c r="K599" s="2" t="n">
        <x:v>1</x:v>
      </x:c>
      <x:c r="L599" s="13" t="b">
        <x:v>0</x:v>
      </x:c>
      <x:c r="M599" s="13" t="b">
        <x:v>0</x:v>
      </x:c>
      <x:c r="N599" s="2" t="str">
        <x:v>historical source estimate</x:v>
      </x:c>
      <x:c r="O599" s="2" t="str"/>
      <x:c r="P599" s="2" t="str">
        <x:v>horizontal built-up surface</x:v>
      </x:c>
      <x:c r="Q599" s="2" t="str">
        <x:v>m2</x:v>
      </x:c>
      <x:c r="R599" s="17" t="n">
        <x:v>0</x:v>
      </x:c>
      <x:c r="S599" s="17" t="n">
        <x:v>118080.97</x:v>
      </x:c>
      <x:c r="T599" s="18" t="n">
        <x:v>2.700894479440675</x:v>
      </x:c>
      <x:c r="U599" s="17" t="n">
        <x:v>318924.24</x:v>
      </x:c>
      <x:c r="V599" s="2" t="str">
        <x:v>Area equivalent = model2020 * source surface / TEMPO2020 footprint</x:v>
      </x:c>
      <x:c r="W599" s="2" t="str">
        <x:v>legacy epoch_status=observed; not exact acquisition proof</x:v>
      </x:c>
      <x:c r="X599" s="2" t="str">
        <x:v>https://human-settlement.emergency.copernicus.eu/ghs_buS2023.php</x:v>
      </x:c>
    </x:row>
    <x:row r="600" ht="23" customHeight="1">
      <x:c r="A600" s="2" t="str">
        <x:v>VCT</x:v>
      </x:c>
      <x:c r="B600" s="2" t="str">
        <x:v>Saint Vincent and the Grenadines</x:v>
      </x:c>
      <x:c r="C600" s="2" t="n">
        <x:v>2015</x:v>
      </x:c>
      <x:c r="D600" s="2" t="str">
        <x:v>GHSL_SURFACE</x:v>
      </x:c>
      <x:c r="E600" s="17" t="n">
        <x:v>5437525.574394897</x:v>
      </x:c>
      <x:c r="F600" s="17" t="n">
        <x:f>IF(AND(M600,ISNUMBER(R600)),IF(D600="TEMPO_PROXY",R600,IF(AND(ISNUMBER(S600),S600&gt;0,ISNUMBER(U600)),U600*R600/S600,"n.a.")),"n.a.")</x:f>
        <x:v>7850333.000000003</x:v>
      </x:c>
      <x:c r="G600" s="17" t="n">
        <x:f>IF(AND(ISNUMBER(E600),ISNUMBER(F600)),E600-F600,"n.a.")</x:f>
        <x:v>-2412807.425605106</x:v>
      </x:c>
      <x:c r="H600" s="15" t="n">
        <x:f>IF(AND(ISNUMBER(E600),ISNUMBER(F600),F600&gt;0),(E600-F600)/F600,"n.a.")</x:f>
        <x:v>-0.30735096531638917</x:v>
      </x:c>
      <x:c r="I600" s="19" t="n">
        <x:f>IF(ISNUMBER(H600),ABS(H600),"n.a.")</x:f>
        <x:v>0.30735096531638917</x:v>
      </x:c>
      <x:c r="J600" s="2" t="str">
        <x:v>available</x:v>
      </x:c>
      <x:c r="K600" s="2" t="n">
        <x:v>1</x:v>
      </x:c>
      <x:c r="L600" s="13" t="b">
        <x:v>0</x:v>
      </x:c>
      <x:c r="M600" s="13" t="b">
        <x:v>1</x:v>
      </x:c>
      <x:c r="N600" s="2" t="str">
        <x:v>historical source estimate</x:v>
      </x:c>
      <x:c r="O600" s="2" t="str"/>
      <x:c r="P600" s="2" t="str">
        <x:v>horizontal built-up surface</x:v>
      </x:c>
      <x:c r="Q600" s="2" t="str">
        <x:v>m2</x:v>
      </x:c>
      <x:c r="R600" s="17" t="n">
        <x:v>7850333</x:v>
      </x:c>
      <x:c r="S600" s="17" t="n">
        <x:v>6194383.57</x:v>
      </x:c>
      <x:c r="T600" s="18" t="n">
        <x:v>1.0000000000000002</x:v>
      </x:c>
      <x:c r="U600" s="17" t="n">
        <x:v>6194383.570000002</x:v>
      </x:c>
      <x:c r="V600" s="2" t="str">
        <x:v>Area equivalent = model2020 * source surface / TEMPO2020 footprint</x:v>
      </x:c>
      <x:c r="W600" s="2" t="str">
        <x:v>legacy epoch_status=observed; not exact acquisition proof</x:v>
      </x:c>
      <x:c r="X600" s="2" t="str">
        <x:v>https://human-settlement.emergency.copernicus.eu/ghs_buS2023.php</x:v>
      </x:c>
    </x:row>
    <x:row r="601" ht="23" customHeight="1">
      <x:c r="A601" s="2" t="str">
        <x:v>VEN</x:v>
      </x:c>
      <x:c r="B601" s="2" t="str">
        <x:v>Venezuela (Bolivarian Republic of)</x:v>
      </x:c>
      <x:c r="C601" s="2" t="n">
        <x:v>2015</x:v>
      </x:c>
      <x:c r="D601" s="2" t="str">
        <x:v>GHSL_SURFACE</x:v>
      </x:c>
      <x:c r="E601" s="17" t="n">
        <x:v>1114583415.3745449</x:v>
      </x:c>
      <x:c r="F601" s="17" t="n">
        <x:f>IF(AND(M601,ISNUMBER(R601)),IF(D601="TEMPO_PROXY",R601,IF(AND(ISNUMBER(S601),S601&gt;0,ISNUMBER(U601)),U601*R601/S601,"n.a.")),"n.a.")</x:f>
        <x:v>1411722005.0000017</x:v>
      </x:c>
      <x:c r="G601" s="17" t="n">
        <x:f>IF(AND(ISNUMBER(E601),ISNUMBER(F601)),E601-F601,"n.a.")</x:f>
        <x:v>-297138589.6254568</x:v>
      </x:c>
      <x:c r="H601" s="15" t="n">
        <x:f>IF(AND(ISNUMBER(E601),ISNUMBER(F601),F601&gt;0),(E601-F601)/F601,"n.a.")</x:f>
        <x:v>-0.21047953391181748</x:v>
      </x:c>
      <x:c r="I601" s="19" t="n">
        <x:f>IF(ISNUMBER(H601),ABS(H601),"n.a.")</x:f>
        <x:v>0.21047953391181748</x:v>
      </x:c>
      <x:c r="J601" s="2" t="str">
        <x:v>available</x:v>
      </x:c>
      <x:c r="K601" s="2" t="n">
        <x:v>1</x:v>
      </x:c>
      <x:c r="L601" s="13" t="b">
        <x:v>0</x:v>
      </x:c>
      <x:c r="M601" s="13" t="b">
        <x:v>1</x:v>
      </x:c>
      <x:c r="N601" s="2" t="str">
        <x:v>historical source estimate</x:v>
      </x:c>
      <x:c r="O601" s="2" t="str"/>
      <x:c r="P601" s="2" t="str">
        <x:v>horizontal built-up surface</x:v>
      </x:c>
      <x:c r="Q601" s="2" t="str">
        <x:v>m2</x:v>
      </x:c>
      <x:c r="R601" s="17" t="n">
        <x:v>1411722005</x:v>
      </x:c>
      <x:c r="S601" s="17" t="n">
        <x:v>1159546607.65</x:v>
      </x:c>
      <x:c r="T601" s="18" t="n">
        <x:v>1.0000000000000013</x:v>
      </x:c>
      <x:c r="U601" s="17" t="n">
        <x:v>1159546607.6500015</x:v>
      </x:c>
      <x:c r="V601" s="2" t="str">
        <x:v>Area equivalent = model2020 * source surface / TEMPO2020 footprint</x:v>
      </x:c>
      <x:c r="W601" s="2" t="str">
        <x:v>legacy epoch_status=observed; not exact acquisition proof</x:v>
      </x:c>
      <x:c r="X601" s="2" t="str">
        <x:v>https://human-settlement.emergency.copernicus.eu/ghs_buS2023.php</x:v>
      </x:c>
    </x:row>
    <x:row r="602" ht="23" customHeight="1">
      <x:c r="A602" s="2" t="str">
        <x:v>VNM</x:v>
      </x:c>
      <x:c r="B602" s="2" t="str">
        <x:v>Viet Nam (Socialist Republic of)</x:v>
      </x:c>
      <x:c r="C602" s="2" t="n">
        <x:v>2015</x:v>
      </x:c>
      <x:c r="D602" s="2" t="str">
        <x:v>GHSL_SURFACE</x:v>
      </x:c>
      <x:c r="E602" s="17" t="n">
        <x:v>4452886125.717495</x:v>
      </x:c>
      <x:c r="F602" s="17" t="n">
        <x:f>IF(AND(M602,ISNUMBER(R602)),IF(D602="TEMPO_PROXY",R602,IF(AND(ISNUMBER(S602),S602&gt;0,ISNUMBER(U602)),U602*R602/S602,"n.a.")),"n.a.")</x:f>
        <x:v>4725944855.25073</x:v>
      </x:c>
      <x:c r="G602" s="17" t="n">
        <x:f>IF(AND(ISNUMBER(E602),ISNUMBER(F602)),E602-F602,"n.a.")</x:f>
        <x:v>-273058729.5332346</x:v>
      </x:c>
      <x:c r="H602" s="15" t="n">
        <x:f>IF(AND(ISNUMBER(E602),ISNUMBER(F602),F602&gt;0),(E602-F602)/F602,"n.a.")</x:f>
        <x:v>-0.05777865334798702</x:v>
      </x:c>
      <x:c r="I602" s="19" t="n">
        <x:f>IF(ISNUMBER(H602),ABS(H602),"n.a.")</x:f>
        <x:v>0.05777865334798702</x:v>
      </x:c>
      <x:c r="J602" s="2" t="str">
        <x:v>available</x:v>
      </x:c>
      <x:c r="K602" s="2" t="n">
        <x:v>1</x:v>
      </x:c>
      <x:c r="L602" s="13" t="b">
        <x:v>0</x:v>
      </x:c>
      <x:c r="M602" s="13" t="b">
        <x:v>1</x:v>
      </x:c>
      <x:c r="N602" s="2" t="str">
        <x:v>historical source estimate</x:v>
      </x:c>
      <x:c r="O602" s="2" t="str"/>
      <x:c r="P602" s="2" t="str">
        <x:v>horizontal built-up surface</x:v>
      </x:c>
      <x:c r="Q602" s="2" t="str">
        <x:v>m2</x:v>
      </x:c>
      <x:c r="R602" s="17" t="n">
        <x:v>4641805472</x:v>
      </x:c>
      <x:c r="S602" s="17" t="n">
        <x:v>4775308196.86</x:v>
      </x:c>
      <x:c r="T602" s="18" t="n">
        <x:v>1.0181264345863414</x:v>
      </x:c>
      <x:c r="U602" s="17" t="n">
        <x:v>4861867508.520002</x:v>
      </x:c>
      <x:c r="V602" s="2" t="str">
        <x:v>Area equivalent = model2020 * source surface / TEMPO2020 footprint</x:v>
      </x:c>
      <x:c r="W602" s="2" t="str">
        <x:v>legacy epoch_status=observed; not exact acquisition proof</x:v>
      </x:c>
      <x:c r="X602" s="2" t="str">
        <x:v>https://human-settlement.emergency.copernicus.eu/ghs_buS2023.php</x:v>
      </x:c>
    </x:row>
    <x:row r="603" ht="23" customHeight="1">
      <x:c r="A603" s="2" t="str">
        <x:v>VUT</x:v>
      </x:c>
      <x:c r="B603" s="2" t="str">
        <x:v>Vanuatu (Republic of)</x:v>
      </x:c>
      <x:c r="C603" s="2" t="n">
        <x:v>2015</x:v>
      </x:c>
      <x:c r="D603" s="2" t="str">
        <x:v>GHSL_SURFACE</x:v>
      </x:c>
      <x:c r="E603" s="17" t="n">
        <x:v>7978040.337147347</x:v>
      </x:c>
      <x:c r="F603" s="17" t="n">
        <x:f>IF(AND(M603,ISNUMBER(R603)),IF(D603="TEMPO_PROXY",R603,IF(AND(ISNUMBER(S603),S603&gt;0,ISNUMBER(U603)),U603*R603/S603,"n.a.")),"n.a.")</x:f>
        <x:v>10140909.000000006</x:v>
      </x:c>
      <x:c r="G603" s="17" t="n">
        <x:f>IF(AND(ISNUMBER(E603),ISNUMBER(F603)),E603-F603,"n.a.")</x:f>
        <x:v>-2162868.662852659</x:v>
      </x:c>
      <x:c r="H603" s="15" t="n">
        <x:f>IF(AND(ISNUMBER(E603),ISNUMBER(F603),F603&gt;0),(E603-F603)/F603,"n.a.")</x:f>
        <x:v>-0.21328153746894463</x:v>
      </x:c>
      <x:c r="I603" s="19" t="n">
        <x:f>IF(ISNUMBER(H603),ABS(H603),"n.a.")</x:f>
        <x:v>0.21328153746894463</x:v>
      </x:c>
      <x:c r="J603" s="2" t="str">
        <x:v>available</x:v>
      </x:c>
      <x:c r="K603" s="2" t="n">
        <x:v>1</x:v>
      </x:c>
      <x:c r="L603" s="13" t="b">
        <x:v>0</x:v>
      </x:c>
      <x:c r="M603" s="13" t="b">
        <x:v>1</x:v>
      </x:c>
      <x:c r="N603" s="2" t="str">
        <x:v>historical source estimate</x:v>
      </x:c>
      <x:c r="O603" s="2" t="str"/>
      <x:c r="P603" s="2" t="str">
        <x:v>horizontal built-up surface</x:v>
      </x:c>
      <x:c r="Q603" s="2" t="str">
        <x:v>m2</x:v>
      </x:c>
      <x:c r="R603" s="17" t="n">
        <x:v>10140909</x:v>
      </x:c>
      <x:c r="S603" s="17" t="n">
        <x:v>8193524.7</x:v>
      </x:c>
      <x:c r="T603" s="18" t="n">
        <x:v>1.0000000000000004</x:v>
      </x:c>
      <x:c r="U603" s="17" t="n">
        <x:v>8193524.700000004</x:v>
      </x:c>
      <x:c r="V603" s="2" t="str">
        <x:v>Area equivalent = model2020 * source surface / TEMPO2020 footprint</x:v>
      </x:c>
      <x:c r="W603" s="2" t="str">
        <x:v>legacy epoch_status=observed; not exact acquisition proof</x:v>
      </x:c>
      <x:c r="X603" s="2" t="str">
        <x:v>https://human-settlement.emergency.copernicus.eu/ghs_buS2023.php</x:v>
      </x:c>
    </x:row>
    <x:row r="604" ht="23" customHeight="1">
      <x:c r="A604" s="2" t="str">
        <x:v>WSM</x:v>
      </x:c>
      <x:c r="B604" s="2" t="str">
        <x:v>Samoa (Independent State of)</x:v>
      </x:c>
      <x:c r="C604" s="2" t="n">
        <x:v>2015</x:v>
      </x:c>
      <x:c r="D604" s="2" t="str">
        <x:v>GHSL_SURFACE</x:v>
      </x:c>
      <x:c r="E604" s="17" t="n">
        <x:v>7908634.666206749</x:v>
      </x:c>
      <x:c r="F604" s="17" t="n">
        <x:f>IF(AND(M604,ISNUMBER(R604)),IF(D604="TEMPO_PROXY",R604,IF(AND(ISNUMBER(S604),S604&gt;0,ISNUMBER(U604)),U604*R604/S604,"n.a.")),"n.a.")</x:f>
        <x:v>12177776.000000002</x:v>
      </x:c>
      <x:c r="G604" s="17" t="n">
        <x:f>IF(AND(ISNUMBER(E604),ISNUMBER(F604)),E604-F604,"n.a.")</x:f>
        <x:v>-4269141.333793253</x:v>
      </x:c>
      <x:c r="H604" s="15" t="n">
        <x:f>IF(AND(ISNUMBER(E604),ISNUMBER(F604),F604&gt;0),(E604-F604)/F604,"n.a.")</x:f>
        <x:v>-0.35056822639809204</x:v>
      </x:c>
      <x:c r="I604" s="19" t="n">
        <x:f>IF(ISNUMBER(H604),ABS(H604),"n.a.")</x:f>
        <x:v>0.35056822639809204</x:v>
      </x:c>
      <x:c r="J604" s="2" t="str">
        <x:v>available</x:v>
      </x:c>
      <x:c r="K604" s="2" t="n">
        <x:v>1</x:v>
      </x:c>
      <x:c r="L604" s="13" t="b">
        <x:v>0</x:v>
      </x:c>
      <x:c r="M604" s="13" t="b">
        <x:v>1</x:v>
      </x:c>
      <x:c r="N604" s="2" t="str">
        <x:v>historical source estimate</x:v>
      </x:c>
      <x:c r="O604" s="2" t="str"/>
      <x:c r="P604" s="2" t="str">
        <x:v>horizontal built-up surface</x:v>
      </x:c>
      <x:c r="Q604" s="2" t="str">
        <x:v>m2</x:v>
      </x:c>
      <x:c r="R604" s="17" t="n">
        <x:v>12177776</x:v>
      </x:c>
      <x:c r="S604" s="17" t="n">
        <x:v>8105266</x:v>
      </x:c>
      <x:c r="T604" s="18" t="n">
        <x:v>1.0000000000000002</x:v>
      </x:c>
      <x:c r="U604" s="17" t="n">
        <x:v>8105266.000000001</x:v>
      </x:c>
      <x:c r="V604" s="2" t="str">
        <x:v>Area equivalent = model2020 * source surface / TEMPO2020 footprint</x:v>
      </x:c>
      <x:c r="W604" s="2" t="str">
        <x:v>legacy epoch_status=observed; not exact acquisition proof</x:v>
      </x:c>
      <x:c r="X604" s="2" t="str">
        <x:v>https://human-settlement.emergency.copernicus.eu/ghs_buS2023.php</x:v>
      </x:c>
    </x:row>
    <x:row r="605" ht="23" customHeight="1">
      <x:c r="A605" s="2" t="str">
        <x:v>YEM</x:v>
      </x:c>
      <x:c r="B605" s="2" t="str">
        <x:v>Yemen (Republic of)</x:v>
      </x:c>
      <x:c r="C605" s="2" t="n">
        <x:v>2015</x:v>
      </x:c>
      <x:c r="D605" s="2" t="str">
        <x:v>GHSL_SURFACE</x:v>
      </x:c>
      <x:c r="E605" s="17" t="n">
        <x:v>401216202.1769533</x:v>
      </x:c>
      <x:c r="F605" s="17" t="n">
        <x:f>IF(AND(M605,ISNUMBER(R605)),IF(D605="TEMPO_PROXY",R605,IF(AND(ISNUMBER(S605),S605&gt;0,ISNUMBER(U605)),U605*R605/S605,"n.a.")),"n.a.")</x:f>
        <x:v>231964351.9999996</x:v>
      </x:c>
      <x:c r="G605" s="17" t="n">
        <x:f>IF(AND(ISNUMBER(E605),ISNUMBER(F605)),E605-F605,"n.a.")</x:f>
        <x:v>169251850.1769537</x:v>
      </x:c>
      <x:c r="H605" s="15" t="n">
        <x:f>IF(AND(ISNUMBER(E605),ISNUMBER(F605),F605&gt;0),(E605-F605)/F605,"n.a.")</x:f>
        <x:v>0.7296459508440072</x:v>
      </x:c>
      <x:c r="I605" s="19" t="n">
        <x:f>IF(ISNUMBER(H605),ABS(H605),"n.a.")</x:f>
        <x:v>0.7296459508440072</x:v>
      </x:c>
      <x:c r="J605" s="2" t="str">
        <x:v>available</x:v>
      </x:c>
      <x:c r="K605" s="2" t="n">
        <x:v>1</x:v>
      </x:c>
      <x:c r="L605" s="13" t="b">
        <x:v>0</x:v>
      </x:c>
      <x:c r="M605" s="13" t="b">
        <x:v>1</x:v>
      </x:c>
      <x:c r="N605" s="2" t="str">
        <x:v>historical source estimate</x:v>
      </x:c>
      <x:c r="O605" s="2" t="str"/>
      <x:c r="P605" s="2" t="str">
        <x:v>horizontal built-up surface</x:v>
      </x:c>
      <x:c r="Q605" s="2" t="str">
        <x:v>m2</x:v>
      </x:c>
      <x:c r="R605" s="17" t="n">
        <x:v>231964352</x:v>
      </x:c>
      <x:c r="S605" s="17" t="n">
        <x:v>454480387.69</x:v>
      </x:c>
      <x:c r="T605" s="18" t="n">
        <x:v>0.9999999999999984</x:v>
      </x:c>
      <x:c r="U605" s="17" t="n">
        <x:v>454480387.6899993</x:v>
      </x:c>
      <x:c r="V605" s="2" t="str">
        <x:v>Area equivalent = model2020 * source surface / TEMPO2020 footprint</x:v>
      </x:c>
      <x:c r="W605" s="2" t="str">
        <x:v>legacy epoch_status=observed; not exact acquisition proof</x:v>
      </x:c>
      <x:c r="X605" s="2" t="str">
        <x:v>https://human-settlement.emergency.copernicus.eu/ghs_buS2023.php</x:v>
      </x:c>
    </x:row>
    <x:row r="606" ht="23" customHeight="1">
      <x:c r="A606" s="2" t="str">
        <x:v>ZAF</x:v>
      </x:c>
      <x:c r="B606" s="2" t="str">
        <x:v>South Africa (Republic of)</x:v>
      </x:c>
      <x:c r="C606" s="2" t="n">
        <x:v>2015</x:v>
      </x:c>
      <x:c r="D606" s="2" t="str">
        <x:v>GHSL_SURFACE</x:v>
      </x:c>
      <x:c r="E606" s="17" t="n">
        <x:v>2389932427.550691</x:v>
      </x:c>
      <x:c r="F606" s="17" t="n">
        <x:f>IF(AND(M606,ISNUMBER(R606)),IF(D606="TEMPO_PROXY",R606,IF(AND(ISNUMBER(S606),S606&gt;0,ISNUMBER(U606)),U606*R606/S606,"n.a.")),"n.a.")</x:f>
        <x:v>5618851632.999992</x:v>
      </x:c>
      <x:c r="G606" s="17" t="n">
        <x:f>IF(AND(ISNUMBER(E606),ISNUMBER(F606)),E606-F606,"n.a.")</x:f>
        <x:v>-3228919205.4493012</x:v>
      </x:c>
      <x:c r="H606" s="15" t="n">
        <x:f>IF(AND(ISNUMBER(E606),ISNUMBER(F606),F606&gt;0),(E606-F606)/F606,"n.a.")</x:f>
        <x:v>-0.5746582071122122</x:v>
      </x:c>
      <x:c r="I606" s="19" t="n">
        <x:f>IF(ISNUMBER(H606),ABS(H606),"n.a.")</x:f>
        <x:v>0.5746582071122122</x:v>
      </x:c>
      <x:c r="J606" s="2" t="str">
        <x:v>available</x:v>
      </x:c>
      <x:c r="K606" s="2" t="n">
        <x:v>1</x:v>
      </x:c>
      <x:c r="L606" s="13" t="b">
        <x:v>0</x:v>
      </x:c>
      <x:c r="M606" s="13" t="b">
        <x:v>1</x:v>
      </x:c>
      <x:c r="N606" s="2" t="str">
        <x:v>historical source estimate</x:v>
      </x:c>
      <x:c r="O606" s="2" t="str"/>
      <x:c r="P606" s="2" t="str">
        <x:v>horizontal built-up surface</x:v>
      </x:c>
      <x:c r="Q606" s="2" t="str">
        <x:v>m2</x:v>
      </x:c>
      <x:c r="R606" s="17" t="n">
        <x:v>5618851633</x:v>
      </x:c>
      <x:c r="S606" s="17" t="n">
        <x:v>2711325840.61</x:v>
      </x:c>
      <x:c r="T606" s="18" t="n">
        <x:v>0.9999999999999986</x:v>
      </x:c>
      <x:c r="U606" s="17" t="n">
        <x:v>2711325840.6099963</x:v>
      </x:c>
      <x:c r="V606" s="2" t="str">
        <x:v>Area equivalent = model2020 * source surface / TEMPO2020 footprint</x:v>
      </x:c>
      <x:c r="W606" s="2" t="str">
        <x:v>legacy epoch_status=observed; not exact acquisition proof</x:v>
      </x:c>
      <x:c r="X606" s="2" t="str">
        <x:v>https://human-settlement.emergency.copernicus.eu/ghs_buS2023.php</x:v>
      </x:c>
    </x:row>
    <x:row r="607" ht="23" customHeight="1">
      <x:c r="A607" s="2" t="str">
        <x:v>ZMB</x:v>
      </x:c>
      <x:c r="B607" s="2" t="str">
        <x:v>Zambia (Republic of)</x:v>
      </x:c>
      <x:c r="C607" s="2" t="n">
        <x:v>2015</x:v>
      </x:c>
      <x:c r="D607" s="2" t="str">
        <x:v>GHSL_SURFACE</x:v>
      </x:c>
      <x:c r="E607" s="17" t="n">
        <x:v>347701586.48264974</x:v>
      </x:c>
      <x:c r="F607" s="17" t="n">
        <x:f>IF(AND(M607,ISNUMBER(R607)),IF(D607="TEMPO_PROXY",R607,IF(AND(ISNUMBER(S607),S607&gt;0,ISNUMBER(U607)),U607*R607/S607,"n.a.")),"n.a.")</x:f>
        <x:v>1211334103.9999993</x:v>
      </x:c>
      <x:c r="G607" s="17" t="n">
        <x:f>IF(AND(ISNUMBER(E607),ISNUMBER(F607)),E607-F607,"n.a.")</x:f>
        <x:v>-863632517.5173495</x:v>
      </x:c>
      <x:c r="H607" s="15" t="n">
        <x:f>IF(AND(ISNUMBER(E607),ISNUMBER(F607),F607&gt;0),(E607-F607)/F607,"n.a.")</x:f>
        <x:v>-0.7129597975203628</x:v>
      </x:c>
      <x:c r="I607" s="19" t="n">
        <x:f>IF(ISNUMBER(H607),ABS(H607),"n.a.")</x:f>
        <x:v>0.7129597975203628</x:v>
      </x:c>
      <x:c r="J607" s="2" t="str">
        <x:v>available</x:v>
      </x:c>
      <x:c r="K607" s="2" t="n">
        <x:v>1</x:v>
      </x:c>
      <x:c r="L607" s="13" t="b">
        <x:v>0</x:v>
      </x:c>
      <x:c r="M607" s="13" t="b">
        <x:v>1</x:v>
      </x:c>
      <x:c r="N607" s="2" t="str">
        <x:v>historical source estimate</x:v>
      </x:c>
      <x:c r="O607" s="2" t="str"/>
      <x:c r="P607" s="2" t="str">
        <x:v>horizontal built-up surface</x:v>
      </x:c>
      <x:c r="Q607" s="2" t="str">
        <x:v>m2</x:v>
      </x:c>
      <x:c r="R607" s="17" t="n">
        <x:v>1211334104</x:v>
      </x:c>
      <x:c r="S607" s="17" t="n">
        <x:v>396696842.5</x:v>
      </x:c>
      <x:c r="T607" s="18" t="n">
        <x:v>0.9999999999999994</x:v>
      </x:c>
      <x:c r="U607" s="17" t="n">
        <x:v>396696842.49999976</x:v>
      </x:c>
      <x:c r="V607" s="2" t="str">
        <x:v>Area equivalent = model2020 * source surface / TEMPO2020 footprint</x:v>
      </x:c>
      <x:c r="W607" s="2" t="str">
        <x:v>legacy epoch_status=observed; not exact acquisition proof</x:v>
      </x:c>
      <x:c r="X607" s="2" t="str">
        <x:v>https://human-settlement.emergency.copernicus.eu/ghs_buS2023.php</x:v>
      </x:c>
    </x:row>
    <x:row r="608" ht="23" customHeight="1">
      <x:c r="A608" s="2" t="str">
        <x:v>ZWE</x:v>
      </x:c>
      <x:c r="B608" s="2" t="str">
        <x:v>Zimbabwe (Republic of)</x:v>
      </x:c>
      <x:c r="C608" s="2" t="n">
        <x:v>2015</x:v>
      </x:c>
      <x:c r="D608" s="2" t="str">
        <x:v>GHSL_SURFACE</x:v>
      </x:c>
      <x:c r="E608" s="17" t="n">
        <x:v>286327064.77887195</x:v>
      </x:c>
      <x:c r="F608" s="17" t="n">
        <x:f>IF(AND(M608,ISNUMBER(R608)),IF(D608="TEMPO_PROXY",R608,IF(AND(ISNUMBER(S608),S608&gt;0,ISNUMBER(U608)),U608*R608/S608,"n.a.")),"n.a.")</x:f>
        <x:v>910730487.999999</x:v>
      </x:c>
      <x:c r="G608" s="17" t="n">
        <x:f>IF(AND(ISNUMBER(E608),ISNUMBER(F608)),E608-F608,"n.a.")</x:f>
        <x:v>-624403423.221127</x:v>
      </x:c>
      <x:c r="H608" s="15" t="n">
        <x:f>IF(AND(ISNUMBER(E608),ISNUMBER(F608),F608&gt;0),(E608-F608)/F608,"n.a.")</x:f>
        <x:v>-0.6856072476417718</x:v>
      </x:c>
      <x:c r="I608" s="19" t="n">
        <x:f>IF(ISNUMBER(H608),ABS(H608),"n.a.")</x:f>
        <x:v>0.6856072476417718</x:v>
      </x:c>
      <x:c r="J608" s="2" t="str">
        <x:v>available</x:v>
      </x:c>
      <x:c r="K608" s="2" t="n">
        <x:v>1</x:v>
      </x:c>
      <x:c r="L608" s="13" t="b">
        <x:v>0</x:v>
      </x:c>
      <x:c r="M608" s="13" t="b">
        <x:v>1</x:v>
      </x:c>
      <x:c r="N608" s="2" t="str">
        <x:v>historical source estimate</x:v>
      </x:c>
      <x:c r="O608" s="2" t="str"/>
      <x:c r="P608" s="2" t="str">
        <x:v>horizontal built-up surface</x:v>
      </x:c>
      <x:c r="Q608" s="2" t="str">
        <x:v>m2</x:v>
      </x:c>
      <x:c r="R608" s="17" t="n">
        <x:v>910730488</x:v>
      </x:c>
      <x:c r="S608" s="17" t="n">
        <x:v>420425813.98</x:v>
      </x:c>
      <x:c r="T608" s="18" t="n">
        <x:v>0.999999999999999</x:v>
      </x:c>
      <x:c r="U608" s="17" t="n">
        <x:v>420425813.9799996</x:v>
      </x:c>
      <x:c r="V608" s="2" t="str">
        <x:v>Area equivalent = model2020 * source surface / TEMPO2020 footprint</x:v>
      </x:c>
      <x:c r="W608" s="2" t="str">
        <x:v>legacy epoch_status=observed; not exact acquisition proof</x:v>
      </x:c>
      <x:c r="X608" s="2" t="str">
        <x:v>https://human-settlement.emergency.copernicus.eu/ghs_buS2023.php</x:v>
      </x:c>
    </x:row>
    <x:row r="609" ht="23" customHeight="1">
      <x:c r="A609" s="2" t="str">
        <x:v>AFG</x:v>
      </x:c>
      <x:c r="B609" s="2" t="str">
        <x:v>Afghanistan (Islamic Republic of)</x:v>
      </x:c>
      <x:c r="C609" s="2" t="n">
        <x:v>2020</x:v>
      </x:c>
      <x:c r="D609" s="2" t="str">
        <x:v>GHSL_SURFACE</x:v>
      </x:c>
      <x:c r="E609" s="17" t="n">
        <x:v>853208432.4500008</x:v>
      </x:c>
      <x:c r="F609" s="17" t="n">
        <x:f>IF(AND(M609,ISNUMBER(R609)),IF(D609="TEMPO_PROXY",R609,IF(AND(ISNUMBER(S609),S609&gt;0,ISNUMBER(U609)),U609*R609/S609,"n.a.")),"n.a.")</x:f>
        <x:v>601824958.0000005</x:v>
      </x:c>
      <x:c r="G609" s="17" t="n">
        <x:f>IF(AND(ISNUMBER(E609),ISNUMBER(F609)),E609-F609,"n.a.")</x:f>
        <x:v>251383474.4500003</x:v>
      </x:c>
      <x:c r="H609" s="15" t="n">
        <x:f>IF(AND(ISNUMBER(E609),ISNUMBER(F609),F609&gt;0),(E609-F609)/F609,"n.a.")</x:f>
        <x:v>0.41770197647735324</x:v>
      </x:c>
      <x:c r="I609" s="19" t="n">
        <x:f>IF(ISNUMBER(H609),ABS(H609),"n.a.")</x:f>
        <x:v>0.41770197647735324</x:v>
      </x:c>
      <x:c r="J609" s="2" t="str">
        <x:v>available</x:v>
      </x:c>
      <x:c r="K609" s="2" t="n">
        <x:v>1</x:v>
      </x:c>
      <x:c r="L609" s="13" t="b">
        <x:v>0</x:v>
      </x:c>
      <x:c r="M609" s="13" t="b">
        <x:v>1</x:v>
      </x:c>
      <x:c r="N609" s="2" t="str">
        <x:v>historical source estimate</x:v>
      </x:c>
      <x:c r="O609" s="2" t="str"/>
      <x:c r="P609" s="2" t="str">
        <x:v>horizontal built-up surface</x:v>
      </x:c>
      <x:c r="Q609" s="2" t="str">
        <x:v>m2</x:v>
      </x:c>
      <x:c r="R609" s="17" t="n">
        <x:v>601824958</x:v>
      </x:c>
      <x:c r="S609" s="17" t="n">
        <x:v>853208432.45</x:v>
      </x:c>
      <x:c r="T609" s="18" t="n">
        <x:v>1.0000000000000009</x:v>
      </x:c>
      <x:c r="U609" s="17" t="n">
        <x:v>853208432.4500008</x:v>
      </x:c>
      <x:c r="V609" s="2" t="str">
        <x:v>Area equivalent = model2020 * source surface / TEMPO2020 footprint</x:v>
      </x:c>
      <x:c r="W609" s="2" t="str">
        <x:v>legacy epoch_status=observed; not exact acquisition proof</x:v>
      </x:c>
      <x:c r="X609" s="2" t="str">
        <x:v>https://human-settlement.emergency.copernicus.eu/ghs_buS2023.php</x:v>
      </x:c>
    </x:row>
    <x:row r="610" ht="23" customHeight="1">
      <x:c r="A610" s="2" t="str">
        <x:v>AGO</x:v>
      </x:c>
      <x:c r="B610" s="2" t="str">
        <x:v>Angola (Republic of)</x:v>
      </x:c>
      <x:c r="C610" s="2" t="n">
        <x:v>2020</x:v>
      </x:c>
      <x:c r="D610" s="2" t="str">
        <x:v>GHSL_SURFACE</x:v>
      </x:c>
      <x:c r="E610" s="17" t="n">
        <x:v>512504617.85999936</x:v>
      </x:c>
      <x:c r="F610" s="17" t="n">
        <x:f>IF(AND(M610,ISNUMBER(R610)),IF(D610="TEMPO_PROXY",R610,IF(AND(ISNUMBER(S610),S610&gt;0,ISNUMBER(U610)),U610*R610/S610,"n.a.")),"n.a.")</x:f>
        <x:v>1281466301.9999983</x:v>
      </x:c>
      <x:c r="G610" s="17" t="n">
        <x:f>IF(AND(ISNUMBER(E610),ISNUMBER(F610)),E610-F610,"n.a.")</x:f>
        <x:v>-768961684.1399989</x:v>
      </x:c>
      <x:c r="H610" s="15" t="n">
        <x:f>IF(AND(ISNUMBER(E610),ISNUMBER(F610),F610&gt;0),(E610-F610)/F610,"n.a.")</x:f>
        <x:v>-0.6000639134559154</x:v>
      </x:c>
      <x:c r="I610" s="19" t="n">
        <x:f>IF(ISNUMBER(H610),ABS(H610),"n.a.")</x:f>
        <x:v>0.6000639134559154</x:v>
      </x:c>
      <x:c r="J610" s="2" t="str">
        <x:v>available</x:v>
      </x:c>
      <x:c r="K610" s="2" t="n">
        <x:v>1</x:v>
      </x:c>
      <x:c r="L610" s="13" t="b">
        <x:v>0</x:v>
      </x:c>
      <x:c r="M610" s="13" t="b">
        <x:v>1</x:v>
      </x:c>
      <x:c r="N610" s="2" t="str">
        <x:v>historical source estimate</x:v>
      </x:c>
      <x:c r="O610" s="2" t="str"/>
      <x:c r="P610" s="2" t="str">
        <x:v>horizontal built-up surface</x:v>
      </x:c>
      <x:c r="Q610" s="2" t="str">
        <x:v>m2</x:v>
      </x:c>
      <x:c r="R610" s="17" t="n">
        <x:v>1281466302</x:v>
      </x:c>
      <x:c r="S610" s="17" t="n">
        <x:v>512504617.86</x:v>
      </x:c>
      <x:c r="T610" s="18" t="n">
        <x:v>0.9999999999999987</x:v>
      </x:c>
      <x:c r="U610" s="17" t="n">
        <x:v>512504617.85999936</x:v>
      </x:c>
      <x:c r="V610" s="2" t="str">
        <x:v>Area equivalent = model2020 * source surface / TEMPO2020 footprint</x:v>
      </x:c>
      <x:c r="W610" s="2" t="str">
        <x:v>legacy epoch_status=observed; not exact acquisition proof</x:v>
      </x:c>
      <x:c r="X610" s="2" t="str">
        <x:v>https://human-settlement.emergency.copernicus.eu/ghs_buS2023.php</x:v>
      </x:c>
    </x:row>
    <x:row r="611" ht="23" customHeight="1">
      <x:c r="A611" s="2" t="str">
        <x:v>ALB</x:v>
      </x:c>
      <x:c r="B611" s="2" t="str">
        <x:v>Albania (Republic of)</x:v>
      </x:c>
      <x:c r="C611" s="2" t="n">
        <x:v>2020</x:v>
      </x:c>
      <x:c r="D611" s="2" t="str">
        <x:v>GHSL_SURFACE</x:v>
      </x:c>
      <x:c r="E611" s="17" t="n">
        <x:v>161276383.52000022</x:v>
      </x:c>
      <x:c r="F611" s="17" t="n">
        <x:f>IF(AND(M611,ISNUMBER(R611)),IF(D611="TEMPO_PROXY",R611,IF(AND(ISNUMBER(S611),S611&gt;0,ISNUMBER(U611)),U611*R611/S611,"n.a.")),"n.a.")</x:f>
        <x:v>237955692.0000003</x:v>
      </x:c>
      <x:c r="G611" s="17" t="n">
        <x:f>IF(AND(ISNUMBER(E611),ISNUMBER(F611)),E611-F611,"n.a.")</x:f>
        <x:v>-76679308.48000008</x:v>
      </x:c>
      <x:c r="H611" s="15" t="n">
        <x:f>IF(AND(ISNUMBER(E611),ISNUMBER(F611),F611&gt;0),(E611-F611)/F611,"n.a.")</x:f>
        <x:v>-0.3222419595661531</x:v>
      </x:c>
      <x:c r="I611" s="19" t="n">
        <x:f>IF(ISNUMBER(H611),ABS(H611),"n.a.")</x:f>
        <x:v>0.3222419595661531</x:v>
      </x:c>
      <x:c r="J611" s="2" t="str">
        <x:v>available</x:v>
      </x:c>
      <x:c r="K611" s="2" t="n">
        <x:v>1</x:v>
      </x:c>
      <x:c r="L611" s="13" t="b">
        <x:v>0</x:v>
      </x:c>
      <x:c r="M611" s="13" t="b">
        <x:v>1</x:v>
      </x:c>
      <x:c r="N611" s="2" t="str">
        <x:v>historical source estimate</x:v>
      </x:c>
      <x:c r="O611" s="2" t="str"/>
      <x:c r="P611" s="2" t="str">
        <x:v>horizontal built-up surface</x:v>
      </x:c>
      <x:c r="Q611" s="2" t="str">
        <x:v>m2</x:v>
      </x:c>
      <x:c r="R611" s="17" t="n">
        <x:v>237955692</x:v>
      </x:c>
      <x:c r="S611" s="17" t="n">
        <x:v>161276383.52</x:v>
      </x:c>
      <x:c r="T611" s="18" t="n">
        <x:v>1.0000000000000013</x:v>
      </x:c>
      <x:c r="U611" s="17" t="n">
        <x:v>161276383.52000022</x:v>
      </x:c>
      <x:c r="V611" s="2" t="str">
        <x:v>Area equivalent = model2020 * source surface / TEMPO2020 footprint</x:v>
      </x:c>
      <x:c r="W611" s="2" t="str">
        <x:v>legacy epoch_status=observed; not exact acquisition proof</x:v>
      </x:c>
      <x:c r="X611" s="2" t="str">
        <x:v>https://human-settlement.emergency.copernicus.eu/ghs_buS2023.php</x:v>
      </x:c>
    </x:row>
    <x:row r="612" ht="23" customHeight="1">
      <x:c r="A612" s="2" t="str">
        <x:v>AND</x:v>
      </x:c>
      <x:c r="B612" s="2" t="str">
        <x:v>Andorra (Principality of)</x:v>
      </x:c>
      <x:c r="C612" s="2" t="n">
        <x:v>2020</x:v>
      </x:c>
      <x:c r="D612" s="2" t="str">
        <x:v>GHSL_SURFACE</x:v>
      </x:c>
      <x:c r="E612" s="17" t="n">
        <x:v>2995448.5899999994</x:v>
      </x:c>
      <x:c r="F612" s="17" t="n">
        <x:f>IF(AND(M612,ISNUMBER(R612)),IF(D612="TEMPO_PROXY",R612,IF(AND(ISNUMBER(S612),S612&gt;0,ISNUMBER(U612)),U612*R612/S612,"n.a.")),"n.a.")</x:f>
        <x:v>3017865.525807436</x:v>
      </x:c>
      <x:c r="G612" s="17" t="n">
        <x:f>IF(AND(ISNUMBER(E612),ISNUMBER(F612)),E612-F612,"n.a.")</x:f>
        <x:v>-22416.935807436705</x:v>
      </x:c>
      <x:c r="H612" s="15" t="n">
        <x:f>IF(AND(ISNUMBER(E612),ISNUMBER(F612),F612&gt;0),(E612-F612)/F612,"n.a.")</x:f>
        <x:v>-0.007428076438707125</x:v>
      </x:c>
      <x:c r="I612" s="19" t="n">
        <x:f>IF(ISNUMBER(H612),ABS(H612),"n.a.")</x:f>
        <x:v>0.007428076438707125</x:v>
      </x:c>
      <x:c r="J612" s="2" t="str">
        <x:v>available</x:v>
      </x:c>
      <x:c r="K612" s="2" t="n">
        <x:v>1</x:v>
      </x:c>
      <x:c r="L612" s="13" t="b">
        <x:v>0</x:v>
      </x:c>
      <x:c r="M612" s="13" t="b">
        <x:v>1</x:v>
      </x:c>
      <x:c r="N612" s="2" t="str">
        <x:v>historical source estimate</x:v>
      </x:c>
      <x:c r="O612" s="2" t="str"/>
      <x:c r="P612" s="2" t="str">
        <x:v>horizontal built-up surface</x:v>
      </x:c>
      <x:c r="Q612" s="2" t="str">
        <x:v>m2</x:v>
      </x:c>
      <x:c r="R612" s="17" t="n">
        <x:v>2225731</x:v>
      </x:c>
      <x:c r="S612" s="17" t="n">
        <x:v>2209198.1</x:v>
      </x:c>
      <x:c r="T612" s="18" t="n">
        <x:v>1.3558985905338228</x:v>
      </x:c>
      <x:c r="U612" s="17" t="n">
        <x:v>2995448.5899999994</x:v>
      </x:c>
      <x:c r="V612" s="2" t="str">
        <x:v>Area equivalent = model2020 * source surface / TEMPO2020 footprint</x:v>
      </x:c>
      <x:c r="W612" s="2" t="str">
        <x:v>legacy epoch_status=observed; not exact acquisition proof</x:v>
      </x:c>
      <x:c r="X612" s="2" t="str">
        <x:v>https://human-settlement.emergency.copernicus.eu/ghs_buS2023.php</x:v>
      </x:c>
    </x:row>
    <x:row r="613" ht="23" customHeight="1">
      <x:c r="A613" s="2" t="str">
        <x:v>ARE</x:v>
      </x:c>
      <x:c r="B613" s="2" t="str">
        <x:v>United Arab Emirates</x:v>
      </x:c>
      <x:c r="C613" s="2" t="n">
        <x:v>2020</x:v>
      </x:c>
      <x:c r="D613" s="2" t="str">
        <x:v>GHSL_SURFACE</x:v>
      </x:c>
      <x:c r="E613" s="17" t="n">
        <x:v>511804054.8699995</x:v>
      </x:c>
      <x:c r="F613" s="17" t="n">
        <x:f>IF(AND(M613,ISNUMBER(R613)),IF(D613="TEMPO_PROXY",R613,IF(AND(ISNUMBER(S613),S613&gt;0,ISNUMBER(U613)),U613*R613/S613,"n.a.")),"n.a.")</x:f>
        <x:v>691522870.3357589</x:v>
      </x:c>
      <x:c r="G613" s="17" t="n">
        <x:f>IF(AND(ISNUMBER(E613),ISNUMBER(F613)),E613-F613,"n.a.")</x:f>
        <x:v>-179718815.4657594</x:v>
      </x:c>
      <x:c r="H613" s="15" t="n">
        <x:f>IF(AND(ISNUMBER(E613),ISNUMBER(F613),F613&gt;0),(E613-F613)/F613,"n.a.")</x:f>
        <x:v>-0.2598884623707377</x:v>
      </x:c>
      <x:c r="I613" s="19" t="n">
        <x:f>IF(ISNUMBER(H613),ABS(H613),"n.a.")</x:f>
        <x:v>0.2598884623707377</x:v>
      </x:c>
      <x:c r="J613" s="2" t="str">
        <x:v>available</x:v>
      </x:c>
      <x:c r="K613" s="2" t="n">
        <x:v>1</x:v>
      </x:c>
      <x:c r="L613" s="13" t="b">
        <x:v>0</x:v>
      </x:c>
      <x:c r="M613" s="13" t="b">
        <x:v>1</x:v>
      </x:c>
      <x:c r="N613" s="2" t="str">
        <x:v>historical source estimate</x:v>
      </x:c>
      <x:c r="O613" s="2" t="str"/>
      <x:c r="P613" s="2" t="str">
        <x:v>horizontal built-up surface</x:v>
      </x:c>
      <x:c r="Q613" s="2" t="str">
        <x:v>m2</x:v>
      </x:c>
      <x:c r="R613" s="17" t="n">
        <x:v>620014254</x:v>
      </x:c>
      <x:c r="S613" s="17" t="n">
        <x:v>458879702.88</x:v>
      </x:c>
      <x:c r="T613" s="18" t="n">
        <x:v>1.1153338263990282</x:v>
      </x:c>
      <x:c r="U613" s="17" t="n">
        <x:v>511804054.8699995</x:v>
      </x:c>
      <x:c r="V613" s="2" t="str">
        <x:v>Area equivalent = model2020 * source surface / TEMPO2020 footprint</x:v>
      </x:c>
      <x:c r="W613" s="2" t="str">
        <x:v>legacy epoch_status=observed; not exact acquisition proof</x:v>
      </x:c>
      <x:c r="X613" s="2" t="str">
        <x:v>https://human-settlement.emergency.copernicus.eu/ghs_buS2023.php</x:v>
      </x:c>
    </x:row>
    <x:row r="614" ht="23" customHeight="1">
      <x:c r="A614" s="2" t="str">
        <x:v>ARG</x:v>
      </x:c>
      <x:c r="B614" s="2" t="str">
        <x:v>Argentina (Argentine Republic)</x:v>
      </x:c>
      <x:c r="C614" s="2" t="n">
        <x:v>2020</x:v>
      </x:c>
      <x:c r="D614" s="2" t="str">
        <x:v>GHSL_SURFACE</x:v>
      </x:c>
      <x:c r="E614" s="17" t="n">
        <x:v>2382940448.399998</x:v>
      </x:c>
      <x:c r="F614" s="17" t="n">
        <x:f>IF(AND(M614,ISNUMBER(R614)),IF(D614="TEMPO_PROXY",R614,IF(AND(ISNUMBER(S614),S614&gt;0,ISNUMBER(U614)),U614*R614/S614,"n.a.")),"n.a.")</x:f>
        <x:v>3922202526.9999967</x:v>
      </x:c>
      <x:c r="G614" s="17" t="n">
        <x:f>IF(AND(ISNUMBER(E614),ISNUMBER(F614)),E614-F614,"n.a.")</x:f>
        <x:v>-1539262078.5999985</x:v>
      </x:c>
      <x:c r="H614" s="15" t="n">
        <x:f>IF(AND(ISNUMBER(E614),ISNUMBER(F614),F614&gt;0),(E614-F614)/F614,"n.a.")</x:f>
        <x:v>-0.39244839296387507</x:v>
      </x:c>
      <x:c r="I614" s="19" t="n">
        <x:f>IF(ISNUMBER(H614),ABS(H614),"n.a.")</x:f>
        <x:v>0.39244839296387507</x:v>
      </x:c>
      <x:c r="J614" s="2" t="str">
        <x:v>available</x:v>
      </x:c>
      <x:c r="K614" s="2" t="n">
        <x:v>1</x:v>
      </x:c>
      <x:c r="L614" s="13" t="b">
        <x:v>0</x:v>
      </x:c>
      <x:c r="M614" s="13" t="b">
        <x:v>1</x:v>
      </x:c>
      <x:c r="N614" s="2" t="str">
        <x:v>historical source estimate</x:v>
      </x:c>
      <x:c r="O614" s="2" t="str"/>
      <x:c r="P614" s="2" t="str">
        <x:v>horizontal built-up surface</x:v>
      </x:c>
      <x:c r="Q614" s="2" t="str">
        <x:v>m2</x:v>
      </x:c>
      <x:c r="R614" s="17" t="n">
        <x:v>3922202527</x:v>
      </x:c>
      <x:c r="S614" s="17" t="n">
        <x:v>2382940448.4</x:v>
      </x:c>
      <x:c r="T614" s="18" t="n">
        <x:v>0.9999999999999992</x:v>
      </x:c>
      <x:c r="U614" s="17" t="n">
        <x:v>2382940448.399998</x:v>
      </x:c>
      <x:c r="V614" s="2" t="str">
        <x:v>Area equivalent = model2020 * source surface / TEMPO2020 footprint</x:v>
      </x:c>
      <x:c r="W614" s="2" t="str">
        <x:v>legacy epoch_status=observed; not exact acquisition proof</x:v>
      </x:c>
      <x:c r="X614" s="2" t="str">
        <x:v>https://human-settlement.emergency.copernicus.eu/ghs_buS2023.php</x:v>
      </x:c>
    </x:row>
    <x:row r="615" ht="23" customHeight="1">
      <x:c r="A615" s="2" t="str">
        <x:v>ARM</x:v>
      </x:c>
      <x:c r="B615" s="2" t="str">
        <x:v>Armenia (Republic of)</x:v>
      </x:c>
      <x:c r="C615" s="2" t="n">
        <x:v>2020</x:v>
      </x:c>
      <x:c r="D615" s="2" t="str">
        <x:v>GHSL_SURFACE</x:v>
      </x:c>
      <x:c r="E615" s="17" t="n">
        <x:v>142786500.21000025</x:v>
      </x:c>
      <x:c r="F615" s="17" t="n">
        <x:f>IF(AND(M615,ISNUMBER(R615)),IF(D615="TEMPO_PROXY",R615,IF(AND(ISNUMBER(S615),S615&gt;0,ISNUMBER(U615)),U615*R615/S615,"n.a.")),"n.a.")</x:f>
        <x:v>222493806.0000004</x:v>
      </x:c>
      <x:c r="G615" s="17" t="n">
        <x:f>IF(AND(ISNUMBER(E615),ISNUMBER(F615)),E615-F615,"n.a.")</x:f>
        <x:v>-79707305.79000014</x:v>
      </x:c>
      <x:c r="H615" s="15" t="n">
        <x:f>IF(AND(ISNUMBER(E615),ISNUMBER(F615),F615&gt;0),(E615-F615)/F615,"n.a.")</x:f>
        <x:v>-0.35824505510054516</x:v>
      </x:c>
      <x:c r="I615" s="19" t="n">
        <x:f>IF(ISNUMBER(H615),ABS(H615),"n.a.")</x:f>
        <x:v>0.35824505510054516</x:v>
      </x:c>
      <x:c r="J615" s="2" t="str">
        <x:v>available</x:v>
      </x:c>
      <x:c r="K615" s="2" t="n">
        <x:v>1</x:v>
      </x:c>
      <x:c r="L615" s="13" t="b">
        <x:v>0</x:v>
      </x:c>
      <x:c r="M615" s="13" t="b">
        <x:v>1</x:v>
      </x:c>
      <x:c r="N615" s="2" t="str">
        <x:v>historical source estimate</x:v>
      </x:c>
      <x:c r="O615" s="2" t="str"/>
      <x:c r="P615" s="2" t="str">
        <x:v>horizontal built-up surface</x:v>
      </x:c>
      <x:c r="Q615" s="2" t="str">
        <x:v>m2</x:v>
      </x:c>
      <x:c r="R615" s="17" t="n">
        <x:v>222493806</x:v>
      </x:c>
      <x:c r="S615" s="17" t="n">
        <x:v>142786500.21</x:v>
      </x:c>
      <x:c r="T615" s="18" t="n">
        <x:v>1.0000000000000018</x:v>
      </x:c>
      <x:c r="U615" s="17" t="n">
        <x:v>142786500.21000025</x:v>
      </x:c>
      <x:c r="V615" s="2" t="str">
        <x:v>Area equivalent = model2020 * source surface / TEMPO2020 footprint</x:v>
      </x:c>
      <x:c r="W615" s="2" t="str">
        <x:v>legacy epoch_status=observed; not exact acquisition proof</x:v>
      </x:c>
      <x:c r="X615" s="2" t="str">
        <x:v>https://human-settlement.emergency.copernicus.eu/ghs_buS2023.php</x:v>
      </x:c>
    </x:row>
    <x:row r="616" ht="23" customHeight="1">
      <x:c r="A616" s="2" t="str">
        <x:v>ATG</x:v>
      </x:c>
      <x:c r="B616" s="2" t="str">
        <x:v>Antigua and Barbuda</x:v>
      </x:c>
      <x:c r="C616" s="2" t="n">
        <x:v>2020</x:v>
      </x:c>
      <x:c r="D616" s="2" t="str">
        <x:v>GHSL_SURFACE</x:v>
      </x:c>
      <x:c r="E616" s="17" t="n">
        <x:v>7437404.659999999</x:v>
      </x:c>
      <x:c r="F616" s="17" t="n">
        <x:f>IF(AND(M616,ISNUMBER(R616)),IF(D616="TEMPO_PROXY",R616,IF(AND(ISNUMBER(S616),S616&gt;0,ISNUMBER(U616)),U616*R616/S616,"n.a.")),"n.a.")</x:f>
        <x:v>13752044.999999998</x:v>
      </x:c>
      <x:c r="G616" s="17" t="n">
        <x:f>IF(AND(ISNUMBER(E616),ISNUMBER(F616)),E616-F616,"n.a.")</x:f>
        <x:v>-6314640.339999999</x:v>
      </x:c>
      <x:c r="H616" s="15" t="n">
        <x:f>IF(AND(ISNUMBER(E616),ISNUMBER(F616),F616&gt;0),(E616-F616)/F616,"n.a.")</x:f>
        <x:v>-0.4591782778488581</x:v>
      </x:c>
      <x:c r="I616" s="19" t="n">
        <x:f>IF(ISNUMBER(H616),ABS(H616),"n.a.")</x:f>
        <x:v>0.4591782778488581</x:v>
      </x:c>
      <x:c r="J616" s="2" t="str">
        <x:v>available</x:v>
      </x:c>
      <x:c r="K616" s="2" t="n">
        <x:v>1</x:v>
      </x:c>
      <x:c r="L616" s="13" t="b">
        <x:v>0</x:v>
      </x:c>
      <x:c r="M616" s="13" t="b">
        <x:v>1</x:v>
      </x:c>
      <x:c r="N616" s="2" t="str">
        <x:v>historical source estimate</x:v>
      </x:c>
      <x:c r="O616" s="2" t="str"/>
      <x:c r="P616" s="2" t="str">
        <x:v>horizontal built-up surface</x:v>
      </x:c>
      <x:c r="Q616" s="2" t="str">
        <x:v>m2</x:v>
      </x:c>
      <x:c r="R616" s="17" t="n">
        <x:v>13752045</x:v>
      </x:c>
      <x:c r="S616" s="17" t="n">
        <x:v>7437404.66</x:v>
      </x:c>
      <x:c r="T616" s="18" t="n">
        <x:v>0.9999999999999999</x:v>
      </x:c>
      <x:c r="U616" s="17" t="n">
        <x:v>7437404.659999999</x:v>
      </x:c>
      <x:c r="V616" s="2" t="str">
        <x:v>Area equivalent = model2020 * source surface / TEMPO2020 footprint</x:v>
      </x:c>
      <x:c r="W616" s="2" t="str">
        <x:v>legacy epoch_status=observed; not exact acquisition proof</x:v>
      </x:c>
      <x:c r="X616" s="2" t="str">
        <x:v>https://human-settlement.emergency.copernicus.eu/ghs_buS2023.php</x:v>
      </x:c>
    </x:row>
    <x:row r="617" ht="23" customHeight="1">
      <x:c r="A617" s="2" t="str">
        <x:v>AUS</x:v>
      </x:c>
      <x:c r="B617" s="2" t="str">
        <x:v>Australia (Commonwealth of)</x:v>
      </x:c>
      <x:c r="C617" s="2" t="n">
        <x:v>2020</x:v>
      </x:c>
      <x:c r="D617" s="2" t="str">
        <x:v>GHSL_SURFACE</x:v>
      </x:c>
      <x:c r="E617" s="17" t="n">
        <x:v>3011161094.8599973</x:v>
      </x:c>
      <x:c r="F617" s="17" t="n">
        <x:f>IF(AND(M617,ISNUMBER(R617)),IF(D617="TEMPO_PROXY",R617,IF(AND(ISNUMBER(S617),S617&gt;0,ISNUMBER(U617)),U617*R617/S617,"n.a.")),"n.a.")</x:f>
        <x:v>5035897825.999995</x:v>
      </x:c>
      <x:c r="G617" s="17" t="n">
        <x:f>IF(AND(ISNUMBER(E617),ISNUMBER(F617)),E617-F617,"n.a.")</x:f>
        <x:v>-2024736731.139998</x:v>
      </x:c>
      <x:c r="H617" s="15" t="n">
        <x:f>IF(AND(ISNUMBER(E617),ISNUMBER(F617),F617&gt;0),(E617-F617)/F617,"n.a.")</x:f>
        <x:v>-0.40206072503822876</x:v>
      </x:c>
      <x:c r="I617" s="19" t="n">
        <x:f>IF(ISNUMBER(H617),ABS(H617),"n.a.")</x:f>
        <x:v>0.40206072503822876</x:v>
      </x:c>
      <x:c r="J617" s="2" t="str">
        <x:v>available</x:v>
      </x:c>
      <x:c r="K617" s="2" t="n">
        <x:v>1</x:v>
      </x:c>
      <x:c r="L617" s="13" t="b">
        <x:v>0</x:v>
      </x:c>
      <x:c r="M617" s="13" t="b">
        <x:v>1</x:v>
      </x:c>
      <x:c r="N617" s="2" t="str">
        <x:v>historical source estimate</x:v>
      </x:c>
      <x:c r="O617" s="2" t="str"/>
      <x:c r="P617" s="2" t="str">
        <x:v>horizontal built-up surface</x:v>
      </x:c>
      <x:c r="Q617" s="2" t="str">
        <x:v>m2</x:v>
      </x:c>
      <x:c r="R617" s="17" t="n">
        <x:v>5035897826</x:v>
      </x:c>
      <x:c r="S617" s="17" t="n">
        <x:v>3011161094.86</x:v>
      </x:c>
      <x:c r="T617" s="18" t="n">
        <x:v>0.999999999999999</x:v>
      </x:c>
      <x:c r="U617" s="17" t="n">
        <x:v>3011161094.8599973</x:v>
      </x:c>
      <x:c r="V617" s="2" t="str">
        <x:v>Area equivalent = model2020 * source surface / TEMPO2020 footprint</x:v>
      </x:c>
      <x:c r="W617" s="2" t="str">
        <x:v>legacy epoch_status=observed; not exact acquisition proof</x:v>
      </x:c>
      <x:c r="X617" s="2" t="str">
        <x:v>https://human-settlement.emergency.copernicus.eu/ghs_buS2023.php</x:v>
      </x:c>
    </x:row>
    <x:row r="618" ht="23" customHeight="1">
      <x:c r="A618" s="2" t="str">
        <x:v>AUT</x:v>
      </x:c>
      <x:c r="B618" s="2" t="str">
        <x:v>Austria (Republic of)</x:v>
      </x:c>
      <x:c r="C618" s="2" t="n">
        <x:v>2020</x:v>
      </x:c>
      <x:c r="D618" s="2" t="str">
        <x:v>GHSL_SURFACE</x:v>
      </x:c>
      <x:c r="E618" s="17" t="n">
        <x:v>865496536.0700006</x:v>
      </x:c>
      <x:c r="F618" s="17" t="n">
        <x:f>IF(AND(M618,ISNUMBER(R618)),IF(D618="TEMPO_PROXY",R618,IF(AND(ISNUMBER(S618),S618&gt;0,ISNUMBER(U618)),U618*R618/S618,"n.a.")),"n.a.")</x:f>
        <x:v>1157263898.2387552</x:v>
      </x:c>
      <x:c r="G618" s="17" t="n">
        <x:f>IF(AND(ISNUMBER(E618),ISNUMBER(F618)),E618-F618,"n.a.")</x:f>
        <x:v>-291767362.1687546</x:v>
      </x:c>
      <x:c r="H618" s="15" t="n">
        <x:f>IF(AND(ISNUMBER(E618),ISNUMBER(F618),F618&gt;0),(E618-F618)/F618,"n.a.")</x:f>
        <x:v>-0.25211826154155204</x:v>
      </x:c>
      <x:c r="I618" s="19" t="n">
        <x:f>IF(ISNUMBER(H618),ABS(H618),"n.a.")</x:f>
        <x:v>0.25211826154155204</x:v>
      </x:c>
      <x:c r="J618" s="2" t="str">
        <x:v>available</x:v>
      </x:c>
      <x:c r="K618" s="2" t="n">
        <x:v>1</x:v>
      </x:c>
      <x:c r="L618" s="13" t="b">
        <x:v>0</x:v>
      </x:c>
      <x:c r="M618" s="13" t="b">
        <x:v>1</x:v>
      </x:c>
      <x:c r="N618" s="2" t="str">
        <x:v>historical source estimate</x:v>
      </x:c>
      <x:c r="O618" s="2" t="str"/>
      <x:c r="P618" s="2" t="str">
        <x:v>horizontal built-up surface</x:v>
      </x:c>
      <x:c r="Q618" s="2" t="str">
        <x:v>m2</x:v>
      </x:c>
      <x:c r="R618" s="17" t="n">
        <x:v>1140281128</x:v>
      </x:c>
      <x:c r="S618" s="17" t="n">
        <x:v>852795432.34</x:v>
      </x:c>
      <x:c r="T618" s="18" t="n">
        <x:v>1.014893494088201</x:v>
      </x:c>
      <x:c r="U618" s="17" t="n">
        <x:v>865496536.0700006</x:v>
      </x:c>
      <x:c r="V618" s="2" t="str">
        <x:v>Area equivalent = model2020 * source surface / TEMPO2020 footprint</x:v>
      </x:c>
      <x:c r="W618" s="2" t="str">
        <x:v>legacy epoch_status=observed; not exact acquisition proof</x:v>
      </x:c>
      <x:c r="X618" s="2" t="str">
        <x:v>https://human-settlement.emergency.copernicus.eu/ghs_buS2023.php</x:v>
      </x:c>
    </x:row>
    <x:row r="619" ht="23" customHeight="1">
      <x:c r="A619" s="2" t="str">
        <x:v>AZE</x:v>
      </x:c>
      <x:c r="B619" s="2" t="str">
        <x:v>Azerbaijan (Republic of)</x:v>
      </x:c>
      <x:c r="C619" s="2" t="n">
        <x:v>2020</x:v>
      </x:c>
      <x:c r="D619" s="2" t="str">
        <x:v>GHSL_SURFACE</x:v>
      </x:c>
      <x:c r="E619" s="17" t="n">
        <x:v>507953272.9000006</x:v>
      </x:c>
      <x:c r="F619" s="17" t="n">
        <x:f>IF(AND(M619,ISNUMBER(R619)),IF(D619="TEMPO_PROXY",R619,IF(AND(ISNUMBER(S619),S619&gt;0,ISNUMBER(U619)),U619*R619/S619,"n.a.")),"n.a.")</x:f>
        <x:v>837638041.000001</x:v>
      </x:c>
      <x:c r="G619" s="17" t="n">
        <x:f>IF(AND(ISNUMBER(E619),ISNUMBER(F619)),E619-F619,"n.a.")</x:f>
        <x:v>-329684768.1000004</x:v>
      </x:c>
      <x:c r="H619" s="15" t="n">
        <x:f>IF(AND(ISNUMBER(E619),ISNUMBER(F619),F619&gt;0),(E619-F619)/F619,"n.a.")</x:f>
        <x:v>-0.39358858118049583</x:v>
      </x:c>
      <x:c r="I619" s="19" t="n">
        <x:f>IF(ISNUMBER(H619),ABS(H619),"n.a.")</x:f>
        <x:v>0.39358858118049583</x:v>
      </x:c>
      <x:c r="J619" s="2" t="str">
        <x:v>available</x:v>
      </x:c>
      <x:c r="K619" s="2" t="n">
        <x:v>1</x:v>
      </x:c>
      <x:c r="L619" s="13" t="b">
        <x:v>0</x:v>
      </x:c>
      <x:c r="M619" s="13" t="b">
        <x:v>1</x:v>
      </x:c>
      <x:c r="N619" s="2" t="str">
        <x:v>historical source estimate</x:v>
      </x:c>
      <x:c r="O619" s="2" t="str"/>
      <x:c r="P619" s="2" t="str">
        <x:v>horizontal built-up surface</x:v>
      </x:c>
      <x:c r="Q619" s="2" t="str">
        <x:v>m2</x:v>
      </x:c>
      <x:c r="R619" s="17" t="n">
        <x:v>837638041</x:v>
      </x:c>
      <x:c r="S619" s="17" t="n">
        <x:v>507953272.9</x:v>
      </x:c>
      <x:c r="T619" s="18" t="n">
        <x:v>1.000000000000001</x:v>
      </x:c>
      <x:c r="U619" s="17" t="n">
        <x:v>507953272.9000006</x:v>
      </x:c>
      <x:c r="V619" s="2" t="str">
        <x:v>Area equivalent = model2020 * source surface / TEMPO2020 footprint</x:v>
      </x:c>
      <x:c r="W619" s="2" t="str">
        <x:v>legacy epoch_status=observed; not exact acquisition proof</x:v>
      </x:c>
      <x:c r="X619" s="2" t="str">
        <x:v>https://human-settlement.emergency.copernicus.eu/ghs_buS2023.php</x:v>
      </x:c>
    </x:row>
    <x:row r="620" ht="23" customHeight="1">
      <x:c r="A620" s="2" t="str">
        <x:v>BDI</x:v>
      </x:c>
      <x:c r="B620" s="2" t="str">
        <x:v>Burundi (Republic of)</x:v>
      </x:c>
      <x:c r="C620" s="2" t="n">
        <x:v>2020</x:v>
      </x:c>
      <x:c r="D620" s="2" t="str">
        <x:v>GHSL_SURFACE</x:v>
      </x:c>
      <x:c r="E620" s="17" t="n">
        <x:v>147710691.6100001</x:v>
      </x:c>
      <x:c r="F620" s="17" t="n">
        <x:f>IF(AND(M620,ISNUMBER(R620)),IF(D620="TEMPO_PROXY",R620,IF(AND(ISNUMBER(S620),S620&gt;0,ISNUMBER(U620)),U620*R620/S620,"n.a.")),"n.a.")</x:f>
        <x:v>422744368.0000003</x:v>
      </x:c>
      <x:c r="G620" s="17" t="n">
        <x:f>IF(AND(ISNUMBER(E620),ISNUMBER(F620)),E620-F620,"n.a.")</x:f>
        <x:v>-275033676.3900002</x:v>
      </x:c>
      <x:c r="H620" s="15" t="n">
        <x:f>IF(AND(ISNUMBER(E620),ISNUMBER(F620),F620&gt;0),(E620-F620)/F620,"n.a.")</x:f>
        <x:v>-0.6505909888076854</x:v>
      </x:c>
      <x:c r="I620" s="19" t="n">
        <x:f>IF(ISNUMBER(H620),ABS(H620),"n.a.")</x:f>
        <x:v>0.6505909888076854</x:v>
      </x:c>
      <x:c r="J620" s="2" t="str">
        <x:v>available</x:v>
      </x:c>
      <x:c r="K620" s="2" t="n">
        <x:v>1</x:v>
      </x:c>
      <x:c r="L620" s="13" t="b">
        <x:v>0</x:v>
      </x:c>
      <x:c r="M620" s="13" t="b">
        <x:v>1</x:v>
      </x:c>
      <x:c r="N620" s="2" t="str">
        <x:v>historical source estimate</x:v>
      </x:c>
      <x:c r="O620" s="2" t="str"/>
      <x:c r="P620" s="2" t="str">
        <x:v>horizontal built-up surface</x:v>
      </x:c>
      <x:c r="Q620" s="2" t="str">
        <x:v>m2</x:v>
      </x:c>
      <x:c r="R620" s="17" t="n">
        <x:v>422744368</x:v>
      </x:c>
      <x:c r="S620" s="17" t="n">
        <x:v>147710691.61</x:v>
      </x:c>
      <x:c r="T620" s="18" t="n">
        <x:v>1.0000000000000007</x:v>
      </x:c>
      <x:c r="U620" s="17" t="n">
        <x:v>147710691.6100001</x:v>
      </x:c>
      <x:c r="V620" s="2" t="str">
        <x:v>Area equivalent = model2020 * source surface / TEMPO2020 footprint</x:v>
      </x:c>
      <x:c r="W620" s="2" t="str">
        <x:v>legacy epoch_status=observed; not exact acquisition proof</x:v>
      </x:c>
      <x:c r="X620" s="2" t="str">
        <x:v>https://human-settlement.emergency.copernicus.eu/ghs_buS2023.php</x:v>
      </x:c>
    </x:row>
    <x:row r="621" ht="23" customHeight="1">
      <x:c r="A621" s="2" t="str">
        <x:v>BEL</x:v>
      </x:c>
      <x:c r="B621" s="2" t="str">
        <x:v>Belgium (Kingdom of)</x:v>
      </x:c>
      <x:c r="C621" s="2" t="n">
        <x:v>2020</x:v>
      </x:c>
      <x:c r="D621" s="2" t="str">
        <x:v>GHSL_SURFACE</x:v>
      </x:c>
      <x:c r="E621" s="17" t="n">
        <x:v>1079109698.0100002</x:v>
      </x:c>
      <x:c r="F621" s="17" t="n">
        <x:f>IF(AND(M621,ISNUMBER(R621)),IF(D621="TEMPO_PROXY",R621,IF(AND(ISNUMBER(S621),S621&gt;0,ISNUMBER(U621)),U621*R621/S621,"n.a.")),"n.a.")</x:f>
        <x:v>1636639372.5149713</x:v>
      </x:c>
      <x:c r="G621" s="17" t="n">
        <x:f>IF(AND(ISNUMBER(E621),ISNUMBER(F621)),E621-F621,"n.a.")</x:f>
        <x:v>-557529674.504971</x:v>
      </x:c>
      <x:c r="H621" s="15" t="n">
        <x:f>IF(AND(ISNUMBER(E621),ISNUMBER(F621),F621&gt;0),(E621-F621)/F621,"n.a.")</x:f>
        <x:v>-0.3406551766185565</x:v>
      </x:c>
      <x:c r="I621" s="19" t="n">
        <x:f>IF(ISNUMBER(H621),ABS(H621),"n.a.")</x:f>
        <x:v>0.3406551766185565</x:v>
      </x:c>
      <x:c r="J621" s="2" t="str">
        <x:v>available</x:v>
      </x:c>
      <x:c r="K621" s="2" t="n">
        <x:v>1</x:v>
      </x:c>
      <x:c r="L621" s="13" t="b">
        <x:v>0</x:v>
      </x:c>
      <x:c r="M621" s="13" t="b">
        <x:v>1</x:v>
      </x:c>
      <x:c r="N621" s="2" t="str">
        <x:v>historical source estimate</x:v>
      </x:c>
      <x:c r="O621" s="2" t="str"/>
      <x:c r="P621" s="2" t="str">
        <x:v>horizontal built-up surface</x:v>
      </x:c>
      <x:c r="Q621" s="2" t="str">
        <x:v>m2</x:v>
      </x:c>
      <x:c r="R621" s="17" t="n">
        <x:v>1512873677</x:v>
      </x:c>
      <x:c r="S621" s="17" t="n">
        <x:v>997505427.36</x:v>
      </x:c>
      <x:c r="T621" s="18" t="n">
        <x:v>1.0818083475154359</x:v>
      </x:c>
      <x:c r="U621" s="17" t="n">
        <x:v>1079109698.0100002</x:v>
      </x:c>
      <x:c r="V621" s="2" t="str">
        <x:v>Area equivalent = model2020 * source surface / TEMPO2020 footprint</x:v>
      </x:c>
      <x:c r="W621" s="2" t="str">
        <x:v>legacy epoch_status=observed; not exact acquisition proof</x:v>
      </x:c>
      <x:c r="X621" s="2" t="str">
        <x:v>https://human-settlement.emergency.copernicus.eu/ghs_buS2023.php</x:v>
      </x:c>
    </x:row>
    <x:row r="622" ht="23" customHeight="1">
      <x:c r="A622" s="2" t="str">
        <x:v>BEN</x:v>
      </x:c>
      <x:c r="B622" s="2" t="str">
        <x:v>Benin (Republic of)</x:v>
      </x:c>
      <x:c r="C622" s="2" t="n">
        <x:v>2020</x:v>
      </x:c>
      <x:c r="D622" s="2" t="str">
        <x:v>GHSL_SURFACE</x:v>
      </x:c>
      <x:c r="E622" s="17" t="n">
        <x:v>302038367.25</x:v>
      </x:c>
      <x:c r="F622" s="17" t="n">
        <x:f>IF(AND(M622,ISNUMBER(R622)),IF(D622="TEMPO_PROXY",R622,IF(AND(ISNUMBER(S622),S622&gt;0,ISNUMBER(U622)),U622*R622/S622,"n.a.")),"n.a.")</x:f>
        <x:v>732731145</x:v>
      </x:c>
      <x:c r="G622" s="17" t="n">
        <x:f>IF(AND(ISNUMBER(E622),ISNUMBER(F622)),E622-F622,"n.a.")</x:f>
        <x:v>-430692777.75</x:v>
      </x:c>
      <x:c r="H622" s="15" t="n">
        <x:f>IF(AND(ISNUMBER(E622),ISNUMBER(F622),F622&gt;0),(E622-F622)/F622,"n.a.")</x:f>
        <x:v>-0.5877910072322639</x:v>
      </x:c>
      <x:c r="I622" s="19" t="n">
        <x:f>IF(ISNUMBER(H622),ABS(H622),"n.a.")</x:f>
        <x:v>0.5877910072322639</x:v>
      </x:c>
      <x:c r="J622" s="2" t="str">
        <x:v>available</x:v>
      </x:c>
      <x:c r="K622" s="2" t="n">
        <x:v>1</x:v>
      </x:c>
      <x:c r="L622" s="13" t="b">
        <x:v>0</x:v>
      </x:c>
      <x:c r="M622" s="13" t="b">
        <x:v>1</x:v>
      </x:c>
      <x:c r="N622" s="2" t="str">
        <x:v>historical source estimate</x:v>
      </x:c>
      <x:c r="O622" s="2" t="str"/>
      <x:c r="P622" s="2" t="str">
        <x:v>horizontal built-up surface</x:v>
      </x:c>
      <x:c r="Q622" s="2" t="str">
        <x:v>m2</x:v>
      </x:c>
      <x:c r="R622" s="17" t="n">
        <x:v>732731145</x:v>
      </x:c>
      <x:c r="S622" s="17" t="n">
        <x:v>302038367.25</x:v>
      </x:c>
      <x:c r="T622" s="18" t="n">
        <x:v>1</x:v>
      </x:c>
      <x:c r="U622" s="17" t="n">
        <x:v>302038367.25</x:v>
      </x:c>
      <x:c r="V622" s="2" t="str">
        <x:v>Area equivalent = model2020 * source surface / TEMPO2020 footprint</x:v>
      </x:c>
      <x:c r="W622" s="2" t="str">
        <x:v>legacy epoch_status=observed; not exact acquisition proof</x:v>
      </x:c>
      <x:c r="X622" s="2" t="str">
        <x:v>https://human-settlement.emergency.copernicus.eu/ghs_buS2023.php</x:v>
      </x:c>
    </x:row>
    <x:row r="623" ht="23" customHeight="1">
      <x:c r="A623" s="2" t="str">
        <x:v>BFA</x:v>
      </x:c>
      <x:c r="B623" s="2" t="str">
        <x:v>Burkina Faso</x:v>
      </x:c>
      <x:c r="C623" s="2" t="n">
        <x:v>2020</x:v>
      </x:c>
      <x:c r="D623" s="2" t="str">
        <x:v>GHSL_SURFACE</x:v>
      </x:c>
      <x:c r="E623" s="17" t="n">
        <x:v>359180891.3500002</x:v>
      </x:c>
      <x:c r="F623" s="17" t="n">
        <x:f>IF(AND(M623,ISNUMBER(R623)),IF(D623="TEMPO_PROXY",R623,IF(AND(ISNUMBER(S623),S623&gt;0,ISNUMBER(U623)),U623*R623/S623,"n.a.")),"n.a.")</x:f>
        <x:v>1249648002.0000005</x:v>
      </x:c>
      <x:c r="G623" s="17" t="n">
        <x:f>IF(AND(ISNUMBER(E623),ISNUMBER(F623)),E623-F623,"n.a.")</x:f>
        <x:v>-890467110.6500003</x:v>
      </x:c>
      <x:c r="H623" s="15" t="n">
        <x:f>IF(AND(ISNUMBER(E623),ISNUMBER(F623),F623&gt;0),(E623-F623)/F623,"n.a.")</x:f>
        <x:v>-0.7125743483163669</x:v>
      </x:c>
      <x:c r="I623" s="19" t="n">
        <x:f>IF(ISNUMBER(H623),ABS(H623),"n.a.")</x:f>
        <x:v>0.7125743483163669</x:v>
      </x:c>
      <x:c r="J623" s="2" t="str">
        <x:v>available</x:v>
      </x:c>
      <x:c r="K623" s="2" t="n">
        <x:v>1</x:v>
      </x:c>
      <x:c r="L623" s="13" t="b">
        <x:v>0</x:v>
      </x:c>
      <x:c r="M623" s="13" t="b">
        <x:v>1</x:v>
      </x:c>
      <x:c r="N623" s="2" t="str">
        <x:v>historical source estimate</x:v>
      </x:c>
      <x:c r="O623" s="2" t="str"/>
      <x:c r="P623" s="2" t="str">
        <x:v>horizontal built-up surface</x:v>
      </x:c>
      <x:c r="Q623" s="2" t="str">
        <x:v>m2</x:v>
      </x:c>
      <x:c r="R623" s="17" t="n">
        <x:v>1249648002</x:v>
      </x:c>
      <x:c r="S623" s="17" t="n">
        <x:v>359180891.35</x:v>
      </x:c>
      <x:c r="T623" s="18" t="n">
        <x:v>1.0000000000000004</x:v>
      </x:c>
      <x:c r="U623" s="17" t="n">
        <x:v>359180891.3500002</x:v>
      </x:c>
      <x:c r="V623" s="2" t="str">
        <x:v>Area equivalent = model2020 * source surface / TEMPO2020 footprint</x:v>
      </x:c>
      <x:c r="W623" s="2" t="str">
        <x:v>legacy epoch_status=observed; not exact acquisition proof</x:v>
      </x:c>
      <x:c r="X623" s="2" t="str">
        <x:v>https://human-settlement.emergency.copernicus.eu/ghs_buS2023.php</x:v>
      </x:c>
    </x:row>
    <x:row r="624" ht="23" customHeight="1">
      <x:c r="A624" s="2" t="str">
        <x:v>BGD</x:v>
      </x:c>
      <x:c r="B624" s="2" t="str">
        <x:v>Bangladesh (People's Republic of)</x:v>
      </x:c>
      <x:c r="C624" s="2" t="n">
        <x:v>2020</x:v>
      </x:c>
      <x:c r="D624" s="2" t="str">
        <x:v>GHSL_SURFACE</x:v>
      </x:c>
      <x:c r="E624" s="17" t="n">
        <x:v>2430930564.5499988</x:v>
      </x:c>
      <x:c r="F624" s="17" t="n">
        <x:f>IF(AND(M624,ISNUMBER(R624)),IF(D624="TEMPO_PROXY",R624,IF(AND(ISNUMBER(S624),S624&gt;0,ISNUMBER(U624)),U624*R624/S624,"n.a.")),"n.a.")</x:f>
        <x:v>2677880899.999998</x:v>
      </x:c>
      <x:c r="G624" s="17" t="n">
        <x:f>IF(AND(ISNUMBER(E624),ISNUMBER(F624)),E624-F624,"n.a.")</x:f>
        <x:v>-246950335.44999933</x:v>
      </x:c>
      <x:c r="H624" s="15" t="n">
        <x:f>IF(AND(ISNUMBER(E624),ISNUMBER(F624),F624&gt;0),(E624-F624)/F624,"n.a.")</x:f>
        <x:v>-0.09221856560162907</x:v>
      </x:c>
      <x:c r="I624" s="19" t="n">
        <x:f>IF(ISNUMBER(H624),ABS(H624),"n.a.")</x:f>
        <x:v>0.09221856560162907</x:v>
      </x:c>
      <x:c r="J624" s="2" t="str">
        <x:v>available</x:v>
      </x:c>
      <x:c r="K624" s="2" t="n">
        <x:v>1</x:v>
      </x:c>
      <x:c r="L624" s="13" t="b">
        <x:v>0</x:v>
      </x:c>
      <x:c r="M624" s="13" t="b">
        <x:v>1</x:v>
      </x:c>
      <x:c r="N624" s="2" t="str">
        <x:v>historical source estimate</x:v>
      </x:c>
      <x:c r="O624" s="2" t="str"/>
      <x:c r="P624" s="2" t="str">
        <x:v>horizontal built-up surface</x:v>
      </x:c>
      <x:c r="Q624" s="2" t="str">
        <x:v>m2</x:v>
      </x:c>
      <x:c r="R624" s="17" t="n">
        <x:v>2677880900</x:v>
      </x:c>
      <x:c r="S624" s="17" t="n">
        <x:v>2430930564.55</x:v>
      </x:c>
      <x:c r="T624" s="18" t="n">
        <x:v>0.9999999999999994</x:v>
      </x:c>
      <x:c r="U624" s="17" t="n">
        <x:v>2430930564.5499988</x:v>
      </x:c>
      <x:c r="V624" s="2" t="str">
        <x:v>Area equivalent = model2020 * source surface / TEMPO2020 footprint</x:v>
      </x:c>
      <x:c r="W624" s="2" t="str">
        <x:v>legacy epoch_status=observed; not exact acquisition proof</x:v>
      </x:c>
      <x:c r="X624" s="2" t="str">
        <x:v>https://human-settlement.emergency.copernicus.eu/ghs_buS2023.php</x:v>
      </x:c>
    </x:row>
    <x:row r="625" ht="23" customHeight="1">
      <x:c r="A625" s="2" t="str">
        <x:v>BGR</x:v>
      </x:c>
      <x:c r="B625" s="2" t="str">
        <x:v>Bulgaria (Republic of)</x:v>
      </x:c>
      <x:c r="C625" s="2" t="n">
        <x:v>2020</x:v>
      </x:c>
      <x:c r="D625" s="2" t="str">
        <x:v>GHSL_SURFACE</x:v>
      </x:c>
      <x:c r="E625" s="17" t="n">
        <x:v>543020803.5700008</x:v>
      </x:c>
      <x:c r="F625" s="17" t="n">
        <x:f>IF(AND(M625,ISNUMBER(R625)),IF(D625="TEMPO_PROXY",R625,IF(AND(ISNUMBER(S625),S625&gt;0,ISNUMBER(U625)),U625*R625/S625,"n.a.")),"n.a.")</x:f>
        <x:v>861728773.0000011</x:v>
      </x:c>
      <x:c r="G625" s="17" t="n">
        <x:f>IF(AND(ISNUMBER(E625),ISNUMBER(F625)),E625-F625,"n.a.")</x:f>
        <x:v>-318707969.4300003</x:v>
      </x:c>
      <x:c r="H625" s="15" t="n">
        <x:f>IF(AND(ISNUMBER(E625),ISNUMBER(F625),F625&gt;0),(E625-F625)/F625,"n.a.")</x:f>
        <x:v>-0.3698471948667309</x:v>
      </x:c>
      <x:c r="I625" s="19" t="n">
        <x:f>IF(ISNUMBER(H625),ABS(H625),"n.a.")</x:f>
        <x:v>0.3698471948667309</x:v>
      </x:c>
      <x:c r="J625" s="2" t="str">
        <x:v>available</x:v>
      </x:c>
      <x:c r="K625" s="2" t="n">
        <x:v>1</x:v>
      </x:c>
      <x:c r="L625" s="13" t="b">
        <x:v>0</x:v>
      </x:c>
      <x:c r="M625" s="13" t="b">
        <x:v>1</x:v>
      </x:c>
      <x:c r="N625" s="2" t="str">
        <x:v>historical source estimate</x:v>
      </x:c>
      <x:c r="O625" s="2" t="str"/>
      <x:c r="P625" s="2" t="str">
        <x:v>horizontal built-up surface</x:v>
      </x:c>
      <x:c r="Q625" s="2" t="str">
        <x:v>m2</x:v>
      </x:c>
      <x:c r="R625" s="17" t="n">
        <x:v>861728773</x:v>
      </x:c>
      <x:c r="S625" s="17" t="n">
        <x:v>543020803.57</x:v>
      </x:c>
      <x:c r="T625" s="18" t="n">
        <x:v>1.0000000000000013</x:v>
      </x:c>
      <x:c r="U625" s="17" t="n">
        <x:v>543020803.5700008</x:v>
      </x:c>
      <x:c r="V625" s="2" t="str">
        <x:v>Area equivalent = model2020 * source surface / TEMPO2020 footprint</x:v>
      </x:c>
      <x:c r="W625" s="2" t="str">
        <x:v>legacy epoch_status=observed; not exact acquisition proof</x:v>
      </x:c>
      <x:c r="X625" s="2" t="str">
        <x:v>https://human-settlement.emergency.copernicus.eu/ghs_buS2023.php</x:v>
      </x:c>
    </x:row>
    <x:row r="626" ht="23" customHeight="1">
      <x:c r="A626" s="2" t="str">
        <x:v>BHR</x:v>
      </x:c>
      <x:c r="B626" s="2" t="str">
        <x:v>Bahrain (Kingdom of)</x:v>
      </x:c>
      <x:c r="C626" s="2" t="n">
        <x:v>2020</x:v>
      </x:c>
      <x:c r="D626" s="2" t="str">
        <x:v>GHSL_SURFACE</x:v>
      </x:c>
      <x:c r="E626" s="17" t="n">
        <x:v>63702858.11000008</x:v>
      </x:c>
      <x:c r="F626" s="17" t="n">
        <x:f>IF(AND(M626,ISNUMBER(R626)),IF(D626="TEMPO_PROXY",R626,IF(AND(ISNUMBER(S626),S626&gt;0,ISNUMBER(U626)),U626*R626/S626,"n.a.")),"n.a.")</x:f>
        <x:v>91356163.90542087</x:v>
      </x:c>
      <x:c r="G626" s="17" t="n">
        <x:f>IF(AND(ISNUMBER(E626),ISNUMBER(F626)),E626-F626,"n.a.")</x:f>
        <x:v>-27653305.79542079</x:v>
      </x:c>
      <x:c r="H626" s="15" t="n">
        <x:f>IF(AND(ISNUMBER(E626),ISNUMBER(F626),F626&gt;0),(E626-F626)/F626,"n.a.")</x:f>
        <x:v>-0.30269775583013403</x:v>
      </x:c>
      <x:c r="I626" s="19" t="n">
        <x:f>IF(ISNUMBER(H626),ABS(H626),"n.a.")</x:f>
        <x:v>0.30269775583013403</x:v>
      </x:c>
      <x:c r="J626" s="2" t="str">
        <x:v>available</x:v>
      </x:c>
      <x:c r="K626" s="2" t="n">
        <x:v>1</x:v>
      </x:c>
      <x:c r="L626" s="13" t="b">
        <x:v>0</x:v>
      </x:c>
      <x:c r="M626" s="13" t="b">
        <x:v>1</x:v>
      </x:c>
      <x:c r="N626" s="2" t="str">
        <x:v>historical source estimate</x:v>
      </x:c>
      <x:c r="O626" s="2" t="str"/>
      <x:c r="P626" s="2" t="str">
        <x:v>horizontal built-up surface</x:v>
      </x:c>
      <x:c r="Q626" s="2" t="str">
        <x:v>m2</x:v>
      </x:c>
      <x:c r="R626" s="17" t="n">
        <x:v>78478685</x:v>
      </x:c>
      <x:c r="S626" s="17" t="n">
        <x:v>54723363.17</x:v>
      </x:c>
      <x:c r="T626" s="18" t="n">
        <x:v>1.1640888720984668</x:v>
      </x:c>
      <x:c r="U626" s="17" t="n">
        <x:v>63702858.11000008</x:v>
      </x:c>
      <x:c r="V626" s="2" t="str">
        <x:v>Area equivalent = model2020 * source surface / TEMPO2020 footprint</x:v>
      </x:c>
      <x:c r="W626" s="2" t="str">
        <x:v>legacy epoch_status=observed; not exact acquisition proof</x:v>
      </x:c>
      <x:c r="X626" s="2" t="str">
        <x:v>https://human-settlement.emergency.copernicus.eu/ghs_buS2023.php</x:v>
      </x:c>
    </x:row>
    <x:row r="627" ht="23" customHeight="1">
      <x:c r="A627" s="2" t="str">
        <x:v>BHS</x:v>
      </x:c>
      <x:c r="B627" s="2" t="str">
        <x:v>Bahamas (Commonwealth of the)</x:v>
      </x:c>
      <x:c r="C627" s="2" t="n">
        <x:v>2020</x:v>
      </x:c>
      <x:c r="D627" s="2" t="str">
        <x:v>GHSL_SURFACE</x:v>
      </x:c>
      <x:c r="E627" s="17" t="n">
        <x:v>29184660.44999999</x:v>
      </x:c>
      <x:c r="F627" s="17" t="n">
        <x:f>IF(AND(M627,ISNUMBER(R627)),IF(D627="TEMPO_PROXY",R627,IF(AND(ISNUMBER(S627),S627&gt;0,ISNUMBER(U627)),U627*R627/S627,"n.a.")),"n.a.")</x:f>
        <x:v>39878683.99999999</x:v>
      </x:c>
      <x:c r="G627" s="17" t="n">
        <x:f>IF(AND(ISNUMBER(E627),ISNUMBER(F627)),E627-F627,"n.a.")</x:f>
        <x:v>-10694023.55</x:v>
      </x:c>
      <x:c r="H627" s="15" t="n">
        <x:f>IF(AND(ISNUMBER(E627),ISNUMBER(F627),F627&gt;0),(E627-F627)/F627,"n.a.")</x:f>
        <x:v>-0.2681639030515652</x:v>
      </x:c>
      <x:c r="I627" s="19" t="n">
        <x:f>IF(ISNUMBER(H627),ABS(H627),"n.a.")</x:f>
        <x:v>0.2681639030515652</x:v>
      </x:c>
      <x:c r="J627" s="2" t="str">
        <x:v>available</x:v>
      </x:c>
      <x:c r="K627" s="2" t="n">
        <x:v>1</x:v>
      </x:c>
      <x:c r="L627" s="13" t="b">
        <x:v>0</x:v>
      </x:c>
      <x:c r="M627" s="13" t="b">
        <x:v>1</x:v>
      </x:c>
      <x:c r="N627" s="2" t="str">
        <x:v>historical source estimate</x:v>
      </x:c>
      <x:c r="O627" s="2" t="str"/>
      <x:c r="P627" s="2" t="str">
        <x:v>horizontal built-up surface</x:v>
      </x:c>
      <x:c r="Q627" s="2" t="str">
        <x:v>m2</x:v>
      </x:c>
      <x:c r="R627" s="17" t="n">
        <x:v>39878684</x:v>
      </x:c>
      <x:c r="S627" s="17" t="n">
        <x:v>29184660.45</x:v>
      </x:c>
      <x:c r="T627" s="18" t="n">
        <x:v>0.9999999999999998</x:v>
      </x:c>
      <x:c r="U627" s="17" t="n">
        <x:v>29184660.44999999</x:v>
      </x:c>
      <x:c r="V627" s="2" t="str">
        <x:v>Area equivalent = model2020 * source surface / TEMPO2020 footprint</x:v>
      </x:c>
      <x:c r="W627" s="2" t="str">
        <x:v>legacy epoch_status=observed; not exact acquisition proof</x:v>
      </x:c>
      <x:c r="X627" s="2" t="str">
        <x:v>https://human-settlement.emergency.copernicus.eu/ghs_buS2023.php</x:v>
      </x:c>
    </x:row>
    <x:row r="628" ht="23" customHeight="1">
      <x:c r="A628" s="2" t="str">
        <x:v>BIH</x:v>
      </x:c>
      <x:c r="B628" s="2" t="str">
        <x:v>Bosnia and Herzegovina</x:v>
      </x:c>
      <x:c r="C628" s="2" t="n">
        <x:v>2020</x:v>
      </x:c>
      <x:c r="D628" s="2" t="str">
        <x:v>GHSL_SURFACE</x:v>
      </x:c>
      <x:c r="E628" s="17" t="n">
        <x:v>247114206.72000027</x:v>
      </x:c>
      <x:c r="F628" s="17" t="n">
        <x:f>IF(AND(M628,ISNUMBER(R628)),IF(D628="TEMPO_PROXY",R628,IF(AND(ISNUMBER(S628),S628&gt;0,ISNUMBER(U628)),U628*R628/S628,"n.a.")),"n.a.")</x:f>
        <x:v>359276461.00000036</x:v>
      </x:c>
      <x:c r="G628" s="17" t="n">
        <x:f>IF(AND(ISNUMBER(E628),ISNUMBER(F628)),E628-F628,"n.a.")</x:f>
        <x:v>-112162254.28000009</x:v>
      </x:c>
      <x:c r="H628" s="15" t="n">
        <x:f>IF(AND(ISNUMBER(E628),ISNUMBER(F628),F628&gt;0),(E628-F628)/F628,"n.a.")</x:f>
        <x:v>-0.3121892649682941</x:v>
      </x:c>
      <x:c r="I628" s="19" t="n">
        <x:f>IF(ISNUMBER(H628),ABS(H628),"n.a.")</x:f>
        <x:v>0.3121892649682941</x:v>
      </x:c>
      <x:c r="J628" s="2" t="str">
        <x:v>available</x:v>
      </x:c>
      <x:c r="K628" s="2" t="n">
        <x:v>1</x:v>
      </x:c>
      <x:c r="L628" s="13" t="b">
        <x:v>0</x:v>
      </x:c>
      <x:c r="M628" s="13" t="b">
        <x:v>1</x:v>
      </x:c>
      <x:c r="N628" s="2" t="str">
        <x:v>historical source estimate</x:v>
      </x:c>
      <x:c r="O628" s="2" t="str"/>
      <x:c r="P628" s="2" t="str">
        <x:v>horizontal built-up surface</x:v>
      </x:c>
      <x:c r="Q628" s="2" t="str">
        <x:v>m2</x:v>
      </x:c>
      <x:c r="R628" s="17" t="n">
        <x:v>359276461</x:v>
      </x:c>
      <x:c r="S628" s="17" t="n">
        <x:v>247114206.72</x:v>
      </x:c>
      <x:c r="T628" s="18" t="n">
        <x:v>1.000000000000001</x:v>
      </x:c>
      <x:c r="U628" s="17" t="n">
        <x:v>247114206.72000027</x:v>
      </x:c>
      <x:c r="V628" s="2" t="str">
        <x:v>Area equivalent = model2020 * source surface / TEMPO2020 footprint</x:v>
      </x:c>
      <x:c r="W628" s="2" t="str">
        <x:v>legacy epoch_status=observed; not exact acquisition proof</x:v>
      </x:c>
      <x:c r="X628" s="2" t="str">
        <x:v>https://human-settlement.emergency.copernicus.eu/ghs_buS2023.php</x:v>
      </x:c>
    </x:row>
    <x:row r="629" ht="23" customHeight="1">
      <x:c r="A629" s="2" t="str">
        <x:v>BLR</x:v>
      </x:c>
      <x:c r="B629" s="2" t="str">
        <x:v>Belarus (Republic of)</x:v>
      </x:c>
      <x:c r="C629" s="2" t="n">
        <x:v>2020</x:v>
      </x:c>
      <x:c r="D629" s="2" t="str">
        <x:v>GHSL_SURFACE</x:v>
      </x:c>
      <x:c r="E629" s="17" t="n">
        <x:v>672205246.4400003</x:v>
      </x:c>
      <x:c r="F629" s="17" t="n">
        <x:f>IF(AND(M629,ISNUMBER(R629)),IF(D629="TEMPO_PROXY",R629,IF(AND(ISNUMBER(S629),S629&gt;0,ISNUMBER(U629)),U629*R629/S629,"n.a.")),"n.a.")</x:f>
        <x:v>1244637191.0000005</x:v>
      </x:c>
      <x:c r="G629" s="17" t="n">
        <x:f>IF(AND(ISNUMBER(E629),ISNUMBER(F629)),E629-F629,"n.a.")</x:f>
        <x:v>-572431944.5600002</x:v>
      </x:c>
      <x:c r="H629" s="15" t="n">
        <x:f>IF(AND(ISNUMBER(E629),ISNUMBER(F629),F629&gt;0),(E629-F629)/F629,"n.a.")</x:f>
        <x:v>-0.4599187206515027</x:v>
      </x:c>
      <x:c r="I629" s="19" t="n">
        <x:f>IF(ISNUMBER(H629),ABS(H629),"n.a.")</x:f>
        <x:v>0.4599187206515027</x:v>
      </x:c>
      <x:c r="J629" s="2" t="str">
        <x:v>available</x:v>
      </x:c>
      <x:c r="K629" s="2" t="n">
        <x:v>1</x:v>
      </x:c>
      <x:c r="L629" s="13" t="b">
        <x:v>0</x:v>
      </x:c>
      <x:c r="M629" s="13" t="b">
        <x:v>1</x:v>
      </x:c>
      <x:c r="N629" s="2" t="str">
        <x:v>historical source estimate</x:v>
      </x:c>
      <x:c r="O629" s="2" t="str"/>
      <x:c r="P629" s="2" t="str">
        <x:v>horizontal built-up surface</x:v>
      </x:c>
      <x:c r="Q629" s="2" t="str">
        <x:v>m2</x:v>
      </x:c>
      <x:c r="R629" s="17" t="n">
        <x:v>1244637191</x:v>
      </x:c>
      <x:c r="S629" s="17" t="n">
        <x:v>672205246.44</x:v>
      </x:c>
      <x:c r="T629" s="18" t="n">
        <x:v>1.0000000000000004</x:v>
      </x:c>
      <x:c r="U629" s="17" t="n">
        <x:v>672205246.4400003</x:v>
      </x:c>
      <x:c r="V629" s="2" t="str">
        <x:v>Area equivalent = model2020 * source surface / TEMPO2020 footprint</x:v>
      </x:c>
      <x:c r="W629" s="2" t="str">
        <x:v>legacy epoch_status=observed; not exact acquisition proof</x:v>
      </x:c>
      <x:c r="X629" s="2" t="str">
        <x:v>https://human-settlement.emergency.copernicus.eu/ghs_buS2023.php</x:v>
      </x:c>
    </x:row>
    <x:row r="630" ht="23" customHeight="1">
      <x:c r="A630" s="2" t="str">
        <x:v>BLZ</x:v>
      </x:c>
      <x:c r="B630" s="2" t="str">
        <x:v>Belize</x:v>
      </x:c>
      <x:c r="C630" s="2" t="n">
        <x:v>2020</x:v>
      </x:c>
      <x:c r="D630" s="2" t="str">
        <x:v>GHSL_SURFACE</x:v>
      </x:c>
      <x:c r="E630" s="17" t="n">
        <x:v>21867714.339999966</x:v>
      </x:c>
      <x:c r="F630" s="17" t="n">
        <x:f>IF(AND(M630,ISNUMBER(R630)),IF(D630="TEMPO_PROXY",R630,IF(AND(ISNUMBER(S630),S630&gt;0,ISNUMBER(U630)),U630*R630/S630,"n.a.")),"n.a.")</x:f>
        <x:v>49519968.999999925</x:v>
      </x:c>
      <x:c r="G630" s="17" t="n">
        <x:f>IF(AND(ISNUMBER(E630),ISNUMBER(F630)),E630-F630,"n.a.")</x:f>
        <x:v>-27652254.65999996</x:v>
      </x:c>
      <x:c r="H630" s="15" t="n">
        <x:f>IF(AND(ISNUMBER(E630),ISNUMBER(F630),F630&gt;0),(E630-F630)/F630,"n.a.")</x:f>
        <x:v>-0.5584061383398685</x:v>
      </x:c>
      <x:c r="I630" s="19" t="n">
        <x:f>IF(ISNUMBER(H630),ABS(H630),"n.a.")</x:f>
        <x:v>0.5584061383398685</x:v>
      </x:c>
      <x:c r="J630" s="2" t="str">
        <x:v>available</x:v>
      </x:c>
      <x:c r="K630" s="2" t="n">
        <x:v>1</x:v>
      </x:c>
      <x:c r="L630" s="13" t="b">
        <x:v>0</x:v>
      </x:c>
      <x:c r="M630" s="13" t="b">
        <x:v>1</x:v>
      </x:c>
      <x:c r="N630" s="2" t="str">
        <x:v>historical source estimate</x:v>
      </x:c>
      <x:c r="O630" s="2" t="str"/>
      <x:c r="P630" s="2" t="str">
        <x:v>horizontal built-up surface</x:v>
      </x:c>
      <x:c r="Q630" s="2" t="str">
        <x:v>m2</x:v>
      </x:c>
      <x:c r="R630" s="17" t="n">
        <x:v>49519969</x:v>
      </x:c>
      <x:c r="S630" s="17" t="n">
        <x:v>21867714.34</x:v>
      </x:c>
      <x:c r="T630" s="18" t="n">
        <x:v>0.9999999999999984</x:v>
      </x:c>
      <x:c r="U630" s="17" t="n">
        <x:v>21867714.339999966</x:v>
      </x:c>
      <x:c r="V630" s="2" t="str">
        <x:v>Area equivalent = model2020 * source surface / TEMPO2020 footprint</x:v>
      </x:c>
      <x:c r="W630" s="2" t="str">
        <x:v>legacy epoch_status=observed; not exact acquisition proof</x:v>
      </x:c>
      <x:c r="X630" s="2" t="str">
        <x:v>https://human-settlement.emergency.copernicus.eu/ghs_buS2023.php</x:v>
      </x:c>
    </x:row>
    <x:row r="631" ht="23" customHeight="1">
      <x:c r="A631" s="2" t="str">
        <x:v>BOL</x:v>
      </x:c>
      <x:c r="B631" s="2" t="str">
        <x:v>Bolivia (Plurinational State of)</x:v>
      </x:c>
      <x:c r="C631" s="2" t="n">
        <x:v>2020</x:v>
      </x:c>
      <x:c r="D631" s="2" t="str">
        <x:v>GHSL_SURFACE</x:v>
      </x:c>
      <x:c r="E631" s="17" t="n">
        <x:v>496419008.9399992</x:v>
      </x:c>
      <x:c r="F631" s="17" t="n">
        <x:f>IF(AND(M631,ISNUMBER(R631)),IF(D631="TEMPO_PROXY",R631,IF(AND(ISNUMBER(S631),S631&gt;0,ISNUMBER(U631)),U631*R631/S631,"n.a.")),"n.a.")</x:f>
        <x:v>715677140.9999988</x:v>
      </x:c>
      <x:c r="G631" s="17" t="n">
        <x:f>IF(AND(ISNUMBER(E631),ISNUMBER(F631)),E631-F631,"n.a.")</x:f>
        <x:v>-219258132.0599996</x:v>
      </x:c>
      <x:c r="H631" s="15" t="n">
        <x:f>IF(AND(ISNUMBER(E631),ISNUMBER(F631),F631&gt;0),(E631-F631)/F631,"n.a.")</x:f>
        <x:v>-0.30636458746416767</x:v>
      </x:c>
      <x:c r="I631" s="19" t="n">
        <x:f>IF(ISNUMBER(H631),ABS(H631),"n.a.")</x:f>
        <x:v>0.30636458746416767</x:v>
      </x:c>
      <x:c r="J631" s="2" t="str">
        <x:v>available</x:v>
      </x:c>
      <x:c r="K631" s="2" t="n">
        <x:v>1</x:v>
      </x:c>
      <x:c r="L631" s="13" t="b">
        <x:v>0</x:v>
      </x:c>
      <x:c r="M631" s="13" t="b">
        <x:v>1</x:v>
      </x:c>
      <x:c r="N631" s="2" t="str">
        <x:v>historical source estimate</x:v>
      </x:c>
      <x:c r="O631" s="2" t="str"/>
      <x:c r="P631" s="2" t="str">
        <x:v>horizontal built-up surface</x:v>
      </x:c>
      <x:c r="Q631" s="2" t="str">
        <x:v>m2</x:v>
      </x:c>
      <x:c r="R631" s="17" t="n">
        <x:v>715677141</x:v>
      </x:c>
      <x:c r="S631" s="17" t="n">
        <x:v>496419008.94</x:v>
      </x:c>
      <x:c r="T631" s="18" t="n">
        <x:v>0.9999999999999984</x:v>
      </x:c>
      <x:c r="U631" s="17" t="n">
        <x:v>496419008.9399992</x:v>
      </x:c>
      <x:c r="V631" s="2" t="str">
        <x:v>Area equivalent = model2020 * source surface / TEMPO2020 footprint</x:v>
      </x:c>
      <x:c r="W631" s="2" t="str">
        <x:v>legacy epoch_status=observed; not exact acquisition proof</x:v>
      </x:c>
      <x:c r="X631" s="2" t="str">
        <x:v>https://human-settlement.emergency.copernicus.eu/ghs_buS2023.php</x:v>
      </x:c>
    </x:row>
    <x:row r="632" ht="23" customHeight="1">
      <x:c r="A632" s="2" t="str">
        <x:v>BRA</x:v>
      </x:c>
      <x:c r="B632" s="2" t="str">
        <x:v>Brazil (Federative Republic of)</x:v>
      </x:c>
      <x:c r="C632" s="2" t="n">
        <x:v>2020</x:v>
      </x:c>
      <x:c r="D632" s="2" t="str">
        <x:v>GHSL_SURFACE</x:v>
      </x:c>
      <x:c r="E632" s="17" t="n">
        <x:v>12112839681.859997</x:v>
      </x:c>
      <x:c r="F632" s="17" t="n">
        <x:f>IF(AND(M632,ISNUMBER(R632)),IF(D632="TEMPO_PROXY",R632,IF(AND(ISNUMBER(S632),S632&gt;0,ISNUMBER(U632)),U632*R632/S632,"n.a.")),"n.a.")</x:f>
        <x:v>15705841033.999996</x:v>
      </x:c>
      <x:c r="G632" s="17" t="n">
        <x:f>IF(AND(ISNUMBER(E632),ISNUMBER(F632)),E632-F632,"n.a.")</x:f>
        <x:v>-3593001352.1399994</x:v>
      </x:c>
      <x:c r="H632" s="15" t="n">
        <x:f>IF(AND(ISNUMBER(E632),ISNUMBER(F632),F632&gt;0),(E632-F632)/F632,"n.a.")</x:f>
        <x:v>-0.2287684781962247</x:v>
      </x:c>
      <x:c r="I632" s="19" t="n">
        <x:f>IF(ISNUMBER(H632),ABS(H632),"n.a.")</x:f>
        <x:v>0.2287684781962247</x:v>
      </x:c>
      <x:c r="J632" s="2" t="str">
        <x:v>available</x:v>
      </x:c>
      <x:c r="K632" s="2" t="n">
        <x:v>1</x:v>
      </x:c>
      <x:c r="L632" s="13" t="b">
        <x:v>0</x:v>
      </x:c>
      <x:c r="M632" s="13" t="b">
        <x:v>1</x:v>
      </x:c>
      <x:c r="N632" s="2" t="str">
        <x:v>historical source estimate</x:v>
      </x:c>
      <x:c r="O632" s="2" t="str"/>
      <x:c r="P632" s="2" t="str">
        <x:v>horizontal built-up surface</x:v>
      </x:c>
      <x:c r="Q632" s="2" t="str">
        <x:v>m2</x:v>
      </x:c>
      <x:c r="R632" s="17" t="n">
        <x:v>15705841034</x:v>
      </x:c>
      <x:c r="S632" s="17" t="n">
        <x:v>12112839681.86</x:v>
      </x:c>
      <x:c r="T632" s="18" t="n">
        <x:v>0.9999999999999997</x:v>
      </x:c>
      <x:c r="U632" s="17" t="n">
        <x:v>12112839681.859997</x:v>
      </x:c>
      <x:c r="V632" s="2" t="str">
        <x:v>Area equivalent = model2020 * source surface / TEMPO2020 footprint</x:v>
      </x:c>
      <x:c r="W632" s="2" t="str">
        <x:v>legacy epoch_status=observed; not exact acquisition proof</x:v>
      </x:c>
      <x:c r="X632" s="2" t="str">
        <x:v>https://human-settlement.emergency.copernicus.eu/ghs_buS2023.php</x:v>
      </x:c>
    </x:row>
    <x:row r="633" ht="23" customHeight="1">
      <x:c r="A633" s="2" t="str">
        <x:v>BRB</x:v>
      </x:c>
      <x:c r="B633" s="2" t="str">
        <x:v>Barbados</x:v>
      </x:c>
      <x:c r="C633" s="2" t="n">
        <x:v>2020</x:v>
      </x:c>
      <x:c r="D633" s="2" t="str">
        <x:v>GHSL_SURFACE</x:v>
      </x:c>
      <x:c r="E633" s="17" t="n">
        <x:v>23684585.840000004</x:v>
      </x:c>
      <x:c r="F633" s="17" t="n">
        <x:f>IF(AND(M633,ISNUMBER(R633)),IF(D633="TEMPO_PROXY",R633,IF(AND(ISNUMBER(S633),S633&gt;0,ISNUMBER(U633)),U633*R633/S633,"n.a.")),"n.a.")</x:f>
        <x:v>38829977.00000001</x:v>
      </x:c>
      <x:c r="G633" s="17" t="n">
        <x:f>IF(AND(ISNUMBER(E633),ISNUMBER(F633)),E633-F633,"n.a.")</x:f>
        <x:v>-15145391.160000004</x:v>
      </x:c>
      <x:c r="H633" s="15" t="n">
        <x:f>IF(AND(ISNUMBER(E633),ISNUMBER(F633),F633&gt;0),(E633-F633)/F633,"n.a.")</x:f>
        <x:v>-0.39004378395588546</x:v>
      </x:c>
      <x:c r="I633" s="19" t="n">
        <x:f>IF(ISNUMBER(H633),ABS(H633),"n.a.")</x:f>
        <x:v>0.39004378395588546</x:v>
      </x:c>
      <x:c r="J633" s="2" t="str">
        <x:v>available</x:v>
      </x:c>
      <x:c r="K633" s="2" t="n">
        <x:v>1</x:v>
      </x:c>
      <x:c r="L633" s="13" t="b">
        <x:v>0</x:v>
      </x:c>
      <x:c r="M633" s="13" t="b">
        <x:v>1</x:v>
      </x:c>
      <x:c r="N633" s="2" t="str">
        <x:v>historical source estimate</x:v>
      </x:c>
      <x:c r="O633" s="2" t="str"/>
      <x:c r="P633" s="2" t="str">
        <x:v>horizontal built-up surface</x:v>
      </x:c>
      <x:c r="Q633" s="2" t="str">
        <x:v>m2</x:v>
      </x:c>
      <x:c r="R633" s="17" t="n">
        <x:v>38829977</x:v>
      </x:c>
      <x:c r="S633" s="17" t="n">
        <x:v>23684585.84</x:v>
      </x:c>
      <x:c r="T633" s="18" t="n">
        <x:v>1.0000000000000002</x:v>
      </x:c>
      <x:c r="U633" s="17" t="n">
        <x:v>23684585.840000004</x:v>
      </x:c>
      <x:c r="V633" s="2" t="str">
        <x:v>Area equivalent = model2020 * source surface / TEMPO2020 footprint</x:v>
      </x:c>
      <x:c r="W633" s="2" t="str">
        <x:v>legacy epoch_status=observed; not exact acquisition proof</x:v>
      </x:c>
      <x:c r="X633" s="2" t="str">
        <x:v>https://human-settlement.emergency.copernicus.eu/ghs_buS2023.php</x:v>
      </x:c>
    </x:row>
    <x:row r="634" ht="23" customHeight="1">
      <x:c r="A634" s="2" t="str">
        <x:v>BRN</x:v>
      </x:c>
      <x:c r="B634" s="2" t="str">
        <x:v>Brunei Darussalam</x:v>
      </x:c>
      <x:c r="C634" s="2" t="n">
        <x:v>2020</x:v>
      </x:c>
      <x:c r="D634" s="2" t="str">
        <x:v>GHSL_SURFACE</x:v>
      </x:c>
      <x:c r="E634" s="17" t="n">
        <x:v>37849769.86000001</x:v>
      </x:c>
      <x:c r="F634" s="17" t="n">
        <x:f>IF(AND(M634,ISNUMBER(R634)),IF(D634="TEMPO_PROXY",R634,IF(AND(ISNUMBER(S634),S634&gt;0,ISNUMBER(U634)),U634*R634/S634,"n.a.")),"n.a.")</x:f>
        <x:v>52067814.000000015</x:v>
      </x:c>
      <x:c r="G634" s="17" t="n">
        <x:f>IF(AND(ISNUMBER(E634),ISNUMBER(F634)),E634-F634,"n.a.")</x:f>
        <x:v>-14218044.140000008</x:v>
      </x:c>
      <x:c r="H634" s="15" t="n">
        <x:f>IF(AND(ISNUMBER(E634),ISNUMBER(F634),F634&gt;0),(E634-F634)/F634,"n.a.")</x:f>
        <x:v>-0.27306781383216905</x:v>
      </x:c>
      <x:c r="I634" s="19" t="n">
        <x:f>IF(ISNUMBER(H634),ABS(H634),"n.a.")</x:f>
        <x:v>0.27306781383216905</x:v>
      </x:c>
      <x:c r="J634" s="2" t="str">
        <x:v>available</x:v>
      </x:c>
      <x:c r="K634" s="2" t="n">
        <x:v>1</x:v>
      </x:c>
      <x:c r="L634" s="13" t="b">
        <x:v>0</x:v>
      </x:c>
      <x:c r="M634" s="13" t="b">
        <x:v>1</x:v>
      </x:c>
      <x:c r="N634" s="2" t="str">
        <x:v>historical source estimate</x:v>
      </x:c>
      <x:c r="O634" s="2" t="str"/>
      <x:c r="P634" s="2" t="str">
        <x:v>horizontal built-up surface</x:v>
      </x:c>
      <x:c r="Q634" s="2" t="str">
        <x:v>m2</x:v>
      </x:c>
      <x:c r="R634" s="17" t="n">
        <x:v>52067814</x:v>
      </x:c>
      <x:c r="S634" s="17" t="n">
        <x:v>37849769.86</x:v>
      </x:c>
      <x:c r="T634" s="18" t="n">
        <x:v>1.0000000000000002</x:v>
      </x:c>
      <x:c r="U634" s="17" t="n">
        <x:v>37849769.86000001</x:v>
      </x:c>
      <x:c r="V634" s="2" t="str">
        <x:v>Area equivalent = model2020 * source surface / TEMPO2020 footprint</x:v>
      </x:c>
      <x:c r="W634" s="2" t="str">
        <x:v>legacy epoch_status=observed; not exact acquisition proof</x:v>
      </x:c>
      <x:c r="X634" s="2" t="str">
        <x:v>https://human-settlement.emergency.copernicus.eu/ghs_buS2023.php</x:v>
      </x:c>
    </x:row>
    <x:row r="635" ht="23" customHeight="1">
      <x:c r="A635" s="2" t="str">
        <x:v>BTN</x:v>
      </x:c>
      <x:c r="B635" s="2" t="str">
        <x:v>Bhutan (Kingdom of)</x:v>
      </x:c>
      <x:c r="C635" s="2" t="n">
        <x:v>2020</x:v>
      </x:c>
      <x:c r="D635" s="2" t="str">
        <x:v>GHSL_SURFACE</x:v>
      </x:c>
      <x:c r="E635" s="17" t="n">
        <x:v>27177544.510000043</x:v>
      </x:c>
      <x:c r="F635" s="17" t="n">
        <x:f>IF(AND(M635,ISNUMBER(R635)),IF(D635="TEMPO_PROXY",R635,IF(AND(ISNUMBER(S635),S635&gt;0,ISNUMBER(U635)),U635*R635/S635,"n.a.")),"n.a.")</x:f>
        <x:v>31407011.00000005</x:v>
      </x:c>
      <x:c r="G635" s="17" t="n">
        <x:f>IF(AND(ISNUMBER(E635),ISNUMBER(F635)),E635-F635,"n.a.")</x:f>
        <x:v>-4229466.490000006</x:v>
      </x:c>
      <x:c r="H635" s="15" t="n">
        <x:f>IF(AND(ISNUMBER(E635),ISNUMBER(F635),F635&gt;0),(E635-F635)/F635,"n.a.")</x:f>
        <x:v>-0.1346663167023439</x:v>
      </x:c>
      <x:c r="I635" s="19" t="n">
        <x:f>IF(ISNUMBER(H635),ABS(H635),"n.a.")</x:f>
        <x:v>0.1346663167023439</x:v>
      </x:c>
      <x:c r="J635" s="2" t="str">
        <x:v>available</x:v>
      </x:c>
      <x:c r="K635" s="2" t="n">
        <x:v>1</x:v>
      </x:c>
      <x:c r="L635" s="13" t="b">
        <x:v>0</x:v>
      </x:c>
      <x:c r="M635" s="13" t="b">
        <x:v>1</x:v>
      </x:c>
      <x:c r="N635" s="2" t="str">
        <x:v>historical source estimate</x:v>
      </x:c>
      <x:c r="O635" s="2" t="str"/>
      <x:c r="P635" s="2" t="str">
        <x:v>horizontal built-up surface</x:v>
      </x:c>
      <x:c r="Q635" s="2" t="str">
        <x:v>m2</x:v>
      </x:c>
      <x:c r="R635" s="17" t="n">
        <x:v>31407011</x:v>
      </x:c>
      <x:c r="S635" s="17" t="n">
        <x:v>27177544.51</x:v>
      </x:c>
      <x:c r="T635" s="18" t="n">
        <x:v>1.0000000000000016</x:v>
      </x:c>
      <x:c r="U635" s="17" t="n">
        <x:v>27177544.510000043</x:v>
      </x:c>
      <x:c r="V635" s="2" t="str">
        <x:v>Area equivalent = model2020 * source surface / TEMPO2020 footprint</x:v>
      </x:c>
      <x:c r="W635" s="2" t="str">
        <x:v>legacy epoch_status=observed; not exact acquisition proof</x:v>
      </x:c>
      <x:c r="X635" s="2" t="str">
        <x:v>https://human-settlement.emergency.copernicus.eu/ghs_buS2023.php</x:v>
      </x:c>
    </x:row>
    <x:row r="636" ht="23" customHeight="1">
      <x:c r="A636" s="2" t="str">
        <x:v>BWA</x:v>
      </x:c>
      <x:c r="B636" s="2" t="str">
        <x:v>Botswana (Republic of)</x:v>
      </x:c>
      <x:c r="C636" s="2" t="n">
        <x:v>2020</x:v>
      </x:c>
      <x:c r="D636" s="2" t="str">
        <x:v>GHSL_SURFACE</x:v>
      </x:c>
      <x:c r="E636" s="17" t="n">
        <x:v>118564613.02000009</x:v>
      </x:c>
      <x:c r="F636" s="17" t="n">
        <x:f>IF(AND(M636,ISNUMBER(R636)),IF(D636="TEMPO_PROXY",R636,IF(AND(ISNUMBER(S636),S636&gt;0,ISNUMBER(U636)),U636*R636/S636,"n.a.")),"n.a.")</x:f>
        <x:v>479268825.00000036</x:v>
      </x:c>
      <x:c r="G636" s="17" t="n">
        <x:f>IF(AND(ISNUMBER(E636),ISNUMBER(F636)),E636-F636,"n.a.")</x:f>
        <x:v>-360704211.98000026</x:v>
      </x:c>
      <x:c r="H636" s="15" t="n">
        <x:f>IF(AND(ISNUMBER(E636),ISNUMBER(F636),F636&gt;0),(E636-F636)/F636,"n.a.")</x:f>
        <x:v>-0.7526135504014891</x:v>
      </x:c>
      <x:c r="I636" s="19" t="n">
        <x:f>IF(ISNUMBER(H636),ABS(H636),"n.a.")</x:f>
        <x:v>0.7526135504014891</x:v>
      </x:c>
      <x:c r="J636" s="2" t="str">
        <x:v>available</x:v>
      </x:c>
      <x:c r="K636" s="2" t="n">
        <x:v>1</x:v>
      </x:c>
      <x:c r="L636" s="13" t="b">
        <x:v>0</x:v>
      </x:c>
      <x:c r="M636" s="13" t="b">
        <x:v>1</x:v>
      </x:c>
      <x:c r="N636" s="2" t="str">
        <x:v>historical source estimate</x:v>
      </x:c>
      <x:c r="O636" s="2" t="str"/>
      <x:c r="P636" s="2" t="str">
        <x:v>horizontal built-up surface</x:v>
      </x:c>
      <x:c r="Q636" s="2" t="str">
        <x:v>m2</x:v>
      </x:c>
      <x:c r="R636" s="17" t="n">
        <x:v>479268825</x:v>
      </x:c>
      <x:c r="S636" s="17" t="n">
        <x:v>118564613.02</x:v>
      </x:c>
      <x:c r="T636" s="18" t="n">
        <x:v>1.0000000000000007</x:v>
      </x:c>
      <x:c r="U636" s="17" t="n">
        <x:v>118564613.02000009</x:v>
      </x:c>
      <x:c r="V636" s="2" t="str">
        <x:v>Area equivalent = model2020 * source surface / TEMPO2020 footprint</x:v>
      </x:c>
      <x:c r="W636" s="2" t="str">
        <x:v>legacy epoch_status=observed; not exact acquisition proof</x:v>
      </x:c>
      <x:c r="X636" s="2" t="str">
        <x:v>https://human-settlement.emergency.copernicus.eu/ghs_buS2023.php</x:v>
      </x:c>
    </x:row>
    <x:row r="637" ht="23" customHeight="1">
      <x:c r="A637" s="2" t="str">
        <x:v>CAF</x:v>
      </x:c>
      <x:c r="B637" s="2" t="str">
        <x:v>Central African Republic</x:v>
      </x:c>
      <x:c r="C637" s="2" t="n">
        <x:v>2020</x:v>
      </x:c>
      <x:c r="D637" s="2" t="str">
        <x:v>GHSL_SURFACE</x:v>
      </x:c>
      <x:c r="E637" s="17" t="n">
        <x:v>66989106.04000005</x:v>
      </x:c>
      <x:c r="F637" s="17" t="n">
        <x:f>IF(AND(M637,ISNUMBER(R637)),IF(D637="TEMPO_PROXY",R637,IF(AND(ISNUMBER(S637),S637&gt;0,ISNUMBER(U637)),U637*R637/S637,"n.a.")),"n.a.")</x:f>
        <x:v>203562278.00000018</x:v>
      </x:c>
      <x:c r="G637" s="17" t="n">
        <x:f>IF(AND(ISNUMBER(E637),ISNUMBER(F637)),E637-F637,"n.a.")</x:f>
        <x:v>-136573171.96000013</x:v>
      </x:c>
      <x:c r="H637" s="15" t="n">
        <x:f>IF(AND(ISNUMBER(E637),ISNUMBER(F637),F637&gt;0),(E637-F637)/F637,"n.a.")</x:f>
        <x:v>-0.6709159147845654</x:v>
      </x:c>
      <x:c r="I637" s="19" t="n">
        <x:f>IF(ISNUMBER(H637),ABS(H637),"n.a.")</x:f>
        <x:v>0.6709159147845654</x:v>
      </x:c>
      <x:c r="J637" s="2" t="str">
        <x:v>available</x:v>
      </x:c>
      <x:c r="K637" s="2" t="n">
        <x:v>1</x:v>
      </x:c>
      <x:c r="L637" s="13" t="b">
        <x:v>0</x:v>
      </x:c>
      <x:c r="M637" s="13" t="b">
        <x:v>1</x:v>
      </x:c>
      <x:c r="N637" s="2" t="str">
        <x:v>historical source estimate</x:v>
      </x:c>
      <x:c r="O637" s="2" t="str"/>
      <x:c r="P637" s="2" t="str">
        <x:v>horizontal built-up surface</x:v>
      </x:c>
      <x:c r="Q637" s="2" t="str">
        <x:v>m2</x:v>
      </x:c>
      <x:c r="R637" s="17" t="n">
        <x:v>203562278</x:v>
      </x:c>
      <x:c r="S637" s="17" t="n">
        <x:v>66989106.04</x:v>
      </x:c>
      <x:c r="T637" s="18" t="n">
        <x:v>1.0000000000000009</x:v>
      </x:c>
      <x:c r="U637" s="17" t="n">
        <x:v>66989106.04000005</x:v>
      </x:c>
      <x:c r="V637" s="2" t="str">
        <x:v>Area equivalent = model2020 * source surface / TEMPO2020 footprint</x:v>
      </x:c>
      <x:c r="W637" s="2" t="str">
        <x:v>legacy epoch_status=observed; not exact acquisition proof</x:v>
      </x:c>
      <x:c r="X637" s="2" t="str">
        <x:v>https://human-settlement.emergency.copernicus.eu/ghs_buS2023.php</x:v>
      </x:c>
    </x:row>
    <x:row r="638" ht="23" customHeight="1">
      <x:c r="A638" s="2" t="str">
        <x:v>CAN</x:v>
      </x:c>
      <x:c r="B638" s="2" t="str">
        <x:v>Canada</x:v>
      </x:c>
      <x:c r="C638" s="2" t="n">
        <x:v>2020</x:v>
      </x:c>
      <x:c r="D638" s="2" t="str">
        <x:v>GHSL_SURFACE</x:v>
      </x:c>
      <x:c r="E638" s="17" t="n">
        <x:v>2941628265.260001</x:v>
      </x:c>
      <x:c r="F638" s="17" t="n">
        <x:f>IF(AND(M638,ISNUMBER(R638)),IF(D638="TEMPO_PROXY",R638,IF(AND(ISNUMBER(S638),S638&gt;0,ISNUMBER(U638)),U638*R638/S638,"n.a.")),"n.a.")</x:f>
        <x:v>4923374604.000001</x:v>
      </x:c>
      <x:c r="G638" s="17" t="n">
        <x:f>IF(AND(ISNUMBER(E638),ISNUMBER(F638)),E638-F638,"n.a.")</x:f>
        <x:v>-1981746338.7399998</x:v>
      </x:c>
      <x:c r="H638" s="15" t="n">
        <x:f>IF(AND(ISNUMBER(E638),ISNUMBER(F638),F638&gt;0),(E638-F638)/F638,"n.a.")</x:f>
        <x:v>-0.4025178862339518</x:v>
      </x:c>
      <x:c r="I638" s="19" t="n">
        <x:f>IF(ISNUMBER(H638),ABS(H638),"n.a.")</x:f>
        <x:v>0.4025178862339518</x:v>
      </x:c>
      <x:c r="J638" s="2" t="str">
        <x:v>available</x:v>
      </x:c>
      <x:c r="K638" s="2" t="n">
        <x:v>1</x:v>
      </x:c>
      <x:c r="L638" s="13" t="b">
        <x:v>0</x:v>
      </x:c>
      <x:c r="M638" s="13" t="b">
        <x:v>1</x:v>
      </x:c>
      <x:c r="N638" s="2" t="str">
        <x:v>historical source estimate</x:v>
      </x:c>
      <x:c r="O638" s="2" t="str"/>
      <x:c r="P638" s="2" t="str">
        <x:v>horizontal built-up surface</x:v>
      </x:c>
      <x:c r="Q638" s="2" t="str">
        <x:v>m2</x:v>
      </x:c>
      <x:c r="R638" s="17" t="n">
        <x:v>4923374604</x:v>
      </x:c>
      <x:c r="S638" s="17" t="n">
        <x:v>2941628265.26</x:v>
      </x:c>
      <x:c r="T638" s="18" t="n">
        <x:v>1.0000000000000002</x:v>
      </x:c>
      <x:c r="U638" s="17" t="n">
        <x:v>2941628265.260001</x:v>
      </x:c>
      <x:c r="V638" s="2" t="str">
        <x:v>Area equivalent = model2020 * source surface / TEMPO2020 footprint</x:v>
      </x:c>
      <x:c r="W638" s="2" t="str">
        <x:v>legacy epoch_status=observed; not exact acquisition proof</x:v>
      </x:c>
      <x:c r="X638" s="2" t="str">
        <x:v>https://human-settlement.emergency.copernicus.eu/ghs_buS2023.php</x:v>
      </x:c>
    </x:row>
    <x:row r="639" ht="23" customHeight="1">
      <x:c r="A639" s="2" t="str">
        <x:v>CHE</x:v>
      </x:c>
      <x:c r="B639" s="2" t="str">
        <x:v>Switzerland (Swiss Confederation)</x:v>
      </x:c>
      <x:c r="C639" s="2" t="n">
        <x:v>2020</x:v>
      </x:c>
      <x:c r="D639" s="2" t="str">
        <x:v>GHSL_SURFACE</x:v>
      </x:c>
      <x:c r="E639" s="17" t="n">
        <x:v>554094959.2900008</x:v>
      </x:c>
      <x:c r="F639" s="17" t="n">
        <x:f>IF(AND(M639,ISNUMBER(R639)),IF(D639="TEMPO_PROXY",R639,IF(AND(ISNUMBER(S639),S639&gt;0,ISNUMBER(U639)),U639*R639/S639,"n.a.")),"n.a.")</x:f>
        <x:v>792953188.5713162</x:v>
      </x:c>
      <x:c r="G639" s="17" t="n">
        <x:f>IF(AND(ISNUMBER(E639),ISNUMBER(F639)),E639-F639,"n.a.")</x:f>
        <x:v>-238858229.28131545</x:v>
      </x:c>
      <x:c r="H639" s="15" t="n">
        <x:f>IF(AND(ISNUMBER(E639),ISNUMBER(F639),F639&gt;0),(E639-F639)/F639,"n.a.")</x:f>
        <x:v>-0.30122614137118525</x:v>
      </x:c>
      <x:c r="I639" s="19" t="n">
        <x:f>IF(ISNUMBER(H639),ABS(H639),"n.a.")</x:f>
        <x:v>0.30122614137118525</x:v>
      </x:c>
      <x:c r="J639" s="2" t="str">
        <x:v>available</x:v>
      </x:c>
      <x:c r="K639" s="2" t="n">
        <x:v>1</x:v>
      </x:c>
      <x:c r="L639" s="13" t="b">
        <x:v>0</x:v>
      </x:c>
      <x:c r="M639" s="13" t="b">
        <x:v>1</x:v>
      </x:c>
      <x:c r="N639" s="2" t="str">
        <x:v>historical source estimate</x:v>
      </x:c>
      <x:c r="O639" s="2" t="str"/>
      <x:c r="P639" s="2" t="str">
        <x:v>horizontal built-up surface</x:v>
      </x:c>
      <x:c r="Q639" s="2" t="str">
        <x:v>m2</x:v>
      </x:c>
      <x:c r="R639" s="17" t="n">
        <x:v>781101154</x:v>
      </x:c>
      <x:c r="S639" s="17" t="n">
        <x:v>545813067.36</x:v>
      </x:c>
      <x:c r="T639" s="18" t="n">
        <x:v>1.0151734951492803</x:v>
      </x:c>
      <x:c r="U639" s="17" t="n">
        <x:v>554094959.2900008</x:v>
      </x:c>
      <x:c r="V639" s="2" t="str">
        <x:v>Area equivalent = model2020 * source surface / TEMPO2020 footprint</x:v>
      </x:c>
      <x:c r="W639" s="2" t="str">
        <x:v>legacy epoch_status=observed; not exact acquisition proof</x:v>
      </x:c>
      <x:c r="X639" s="2" t="str">
        <x:v>https://human-settlement.emergency.copernicus.eu/ghs_buS2023.php</x:v>
      </x:c>
    </x:row>
    <x:row r="640" ht="23" customHeight="1">
      <x:c r="A640" s="2" t="str">
        <x:v>CHL</x:v>
      </x:c>
      <x:c r="B640" s="2" t="str">
        <x:v>Chile (Republic of)</x:v>
      </x:c>
      <x:c r="C640" s="2" t="n">
        <x:v>2020</x:v>
      </x:c>
      <x:c r="D640" s="2" t="str">
        <x:v>GHSL_SURFACE</x:v>
      </x:c>
      <x:c r="E640" s="17" t="n">
        <x:v>986436316.0700014</x:v>
      </x:c>
      <x:c r="F640" s="17" t="n">
        <x:f>IF(AND(M640,ISNUMBER(R640)),IF(D640="TEMPO_PROXY",R640,IF(AND(ISNUMBER(S640),S640&gt;0,ISNUMBER(U640)),U640*R640/S640,"n.a.")),"n.a.")</x:f>
        <x:v>1313803378.0000017</x:v>
      </x:c>
      <x:c r="G640" s="17" t="n">
        <x:f>IF(AND(ISNUMBER(E640),ISNUMBER(F640)),E640-F640,"n.a.")</x:f>
        <x:v>-327367061.9300003</x:v>
      </x:c>
      <x:c r="H640" s="15" t="n">
        <x:f>IF(AND(ISNUMBER(E640),ISNUMBER(F640),F640&gt;0),(E640-F640)/F640,"n.a.")</x:f>
        <x:v>-0.24917508008568987</x:v>
      </x:c>
      <x:c r="I640" s="19" t="n">
        <x:f>IF(ISNUMBER(H640),ABS(H640),"n.a.")</x:f>
        <x:v>0.24917508008568987</x:v>
      </x:c>
      <x:c r="J640" s="2" t="str">
        <x:v>available</x:v>
      </x:c>
      <x:c r="K640" s="2" t="n">
        <x:v>1</x:v>
      </x:c>
      <x:c r="L640" s="13" t="b">
        <x:v>0</x:v>
      </x:c>
      <x:c r="M640" s="13" t="b">
        <x:v>1</x:v>
      </x:c>
      <x:c r="N640" s="2" t="str">
        <x:v>historical source estimate</x:v>
      </x:c>
      <x:c r="O640" s="2" t="str"/>
      <x:c r="P640" s="2" t="str">
        <x:v>horizontal built-up surface</x:v>
      </x:c>
      <x:c r="Q640" s="2" t="str">
        <x:v>m2</x:v>
      </x:c>
      <x:c r="R640" s="17" t="n">
        <x:v>1313803378</x:v>
      </x:c>
      <x:c r="S640" s="17" t="n">
        <x:v>986436316.07</x:v>
      </x:c>
      <x:c r="T640" s="18" t="n">
        <x:v>1.0000000000000013</x:v>
      </x:c>
      <x:c r="U640" s="17" t="n">
        <x:v>986436316.0700014</x:v>
      </x:c>
      <x:c r="V640" s="2" t="str">
        <x:v>Area equivalent = model2020 * source surface / TEMPO2020 footprint</x:v>
      </x:c>
      <x:c r="W640" s="2" t="str">
        <x:v>legacy epoch_status=observed; not exact acquisition proof</x:v>
      </x:c>
      <x:c r="X640" s="2" t="str">
        <x:v>https://human-settlement.emergency.copernicus.eu/ghs_buS2023.php</x:v>
      </x:c>
    </x:row>
    <x:row r="641" ht="23" customHeight="1">
      <x:c r="A641" s="2" t="str">
        <x:v>CHN</x:v>
      </x:c>
      <x:c r="B641" s="2" t="str">
        <x:v>China (People's Republic of)</x:v>
      </x:c>
      <x:c r="C641" s="2" t="n">
        <x:v>2020</x:v>
      </x:c>
      <x:c r="D641" s="2" t="str">
        <x:v>GHSL_SURFACE</x:v>
      </x:c>
      <x:c r="E641" s="17" t="n">
        <x:v>86144650012.34993</x:v>
      </x:c>
      <x:c r="F641" s="17" t="n">
        <x:f>IF(AND(M641,ISNUMBER(R641)),IF(D641="TEMPO_PROXY",R641,IF(AND(ISNUMBER(S641),S641&gt;0,ISNUMBER(U641)),U641*R641/S641,"n.a.")),"n.a.")</x:f>
        <x:v>89750703071.77557</x:v>
      </x:c>
      <x:c r="G641" s="17" t="n">
        <x:f>IF(AND(ISNUMBER(E641),ISNUMBER(F641)),E641-F641,"n.a.")</x:f>
        <x:v>-3606053059.425644</x:v>
      </x:c>
      <x:c r="H641" s="15" t="n">
        <x:f>IF(AND(ISNUMBER(E641),ISNUMBER(F641),F641&gt;0),(E641-F641)/F641,"n.a.")</x:f>
        <x:v>-0.04017854942642405</x:v>
      </x:c>
      <x:c r="I641" s="19" t="n">
        <x:f>IF(ISNUMBER(H641),ABS(H641),"n.a.")</x:f>
        <x:v>0.04017854942642405</x:v>
      </x:c>
      <x:c r="J641" s="2" t="str">
        <x:v>available</x:v>
      </x:c>
      <x:c r="K641" s="2" t="n">
        <x:v>1</x:v>
      </x:c>
      <x:c r="L641" s="13" t="b">
        <x:v>0</x:v>
      </x:c>
      <x:c r="M641" s="13" t="b">
        <x:v>1</x:v>
      </x:c>
      <x:c r="N641" s="2" t="str">
        <x:v>historical source estimate</x:v>
      </x:c>
      <x:c r="O641" s="2" t="str"/>
      <x:c r="P641" s="2" t="str">
        <x:v>horizontal built-up surface</x:v>
      </x:c>
      <x:c r="Q641" s="2" t="str">
        <x:v>m2</x:v>
      </x:c>
      <x:c r="R641" s="17" t="n">
        <x:v>81421638765</x:v>
      </x:c>
      <x:c r="S641" s="17" t="n">
        <x:v>78150235427.5</x:v>
      </x:c>
      <x:c r="T641" s="18" t="n">
        <x:v>1.1022954638731235</x:v>
      </x:c>
      <x:c r="U641" s="17" t="n">
        <x:v>86144650012.34993</x:v>
      </x:c>
      <x:c r="V641" s="2" t="str">
        <x:v>Area equivalent = model2020 * source surface / TEMPO2020 footprint</x:v>
      </x:c>
      <x:c r="W641" s="2" t="str">
        <x:v>legacy epoch_status=observed; not exact acquisition proof</x:v>
      </x:c>
      <x:c r="X641" s="2" t="str">
        <x:v>https://human-settlement.emergency.copernicus.eu/ghs_buS2023.php</x:v>
      </x:c>
    </x:row>
    <x:row r="642" ht="23" customHeight="1">
      <x:c r="A642" s="2" t="str">
        <x:v>CIV</x:v>
      </x:c>
      <x:c r="B642" s="2" t="str">
        <x:v>Côte d'Ivoire (Republic of)</x:v>
      </x:c>
      <x:c r="C642" s="2" t="n">
        <x:v>2020</x:v>
      </x:c>
      <x:c r="D642" s="2" t="str">
        <x:v>GHSL_SURFACE</x:v>
      </x:c>
      <x:c r="E642" s="17" t="n">
        <x:v>602828854.8199993</x:v>
      </x:c>
      <x:c r="F642" s="17" t="n">
        <x:f>IF(AND(M642,ISNUMBER(R642)),IF(D642="TEMPO_PROXY",R642,IF(AND(ISNUMBER(S642),S642&gt;0,ISNUMBER(U642)),U642*R642/S642,"n.a.")),"n.a.")</x:f>
        <x:v>1260792971.9999986</x:v>
      </x:c>
      <x:c r="G642" s="17" t="n">
        <x:f>IF(AND(ISNUMBER(E642),ISNUMBER(F642)),E642-F642,"n.a.")</x:f>
        <x:v>-657964117.1799992</x:v>
      </x:c>
      <x:c r="H642" s="15" t="n">
        <x:f>IF(AND(ISNUMBER(E642),ISNUMBER(F642),F642&gt;0),(E642-F642)/F642,"n.a.")</x:f>
        <x:v>-0.5218653115874126</x:v>
      </x:c>
      <x:c r="I642" s="19" t="n">
        <x:f>IF(ISNUMBER(H642),ABS(H642),"n.a.")</x:f>
        <x:v>0.5218653115874126</x:v>
      </x:c>
      <x:c r="J642" s="2" t="str">
        <x:v>available</x:v>
      </x:c>
      <x:c r="K642" s="2" t="n">
        <x:v>1</x:v>
      </x:c>
      <x:c r="L642" s="13" t="b">
        <x:v>0</x:v>
      </x:c>
      <x:c r="M642" s="13" t="b">
        <x:v>1</x:v>
      </x:c>
      <x:c r="N642" s="2" t="str">
        <x:v>historical source estimate</x:v>
      </x:c>
      <x:c r="O642" s="2" t="str"/>
      <x:c r="P642" s="2" t="str">
        <x:v>horizontal built-up surface</x:v>
      </x:c>
      <x:c r="Q642" s="2" t="str">
        <x:v>m2</x:v>
      </x:c>
      <x:c r="R642" s="17" t="n">
        <x:v>1260792972</x:v>
      </x:c>
      <x:c r="S642" s="17" t="n">
        <x:v>602828854.82</x:v>
      </x:c>
      <x:c r="T642" s="18" t="n">
        <x:v>0.9999999999999988</x:v>
      </x:c>
      <x:c r="U642" s="17" t="n">
        <x:v>602828854.8199993</x:v>
      </x:c>
      <x:c r="V642" s="2" t="str">
        <x:v>Area equivalent = model2020 * source surface / TEMPO2020 footprint</x:v>
      </x:c>
      <x:c r="W642" s="2" t="str">
        <x:v>legacy epoch_status=observed; not exact acquisition proof</x:v>
      </x:c>
      <x:c r="X642" s="2" t="str">
        <x:v>https://human-settlement.emergency.copernicus.eu/ghs_buS2023.php</x:v>
      </x:c>
    </x:row>
    <x:row r="643" ht="23" customHeight="1">
      <x:c r="A643" s="2" t="str">
        <x:v>CMR</x:v>
      </x:c>
      <x:c r="B643" s="2" t="str">
        <x:v>Cameroon (Republic of)</x:v>
      </x:c>
      <x:c r="C643" s="2" t="n">
        <x:v>2020</x:v>
      </x:c>
      <x:c r="D643" s="2" t="str">
        <x:v>GHSL_SURFACE</x:v>
      </x:c>
      <x:c r="E643" s="17" t="n">
        <x:v>577057207.8100005</x:v>
      </x:c>
      <x:c r="F643" s="17" t="n">
        <x:f>IF(AND(M643,ISNUMBER(R643)),IF(D643="TEMPO_PROXY",R643,IF(AND(ISNUMBER(S643),S643&gt;0,ISNUMBER(U643)),U643*R643/S643,"n.a.")),"n.a.")</x:f>
        <x:v>1223755693.0000012</x:v>
      </x:c>
      <x:c r="G643" s="17" t="n">
        <x:f>IF(AND(ISNUMBER(E643),ISNUMBER(F643)),E643-F643,"n.a.")</x:f>
        <x:v>-646698485.1900007</x:v>
      </x:c>
      <x:c r="H643" s="15" t="n">
        <x:f>IF(AND(ISNUMBER(E643),ISNUMBER(F643),F643&gt;0),(E643-F643)/F643,"n.a.")</x:f>
        <x:v>-0.5284539135459614</x:v>
      </x:c>
      <x:c r="I643" s="19" t="n">
        <x:f>IF(ISNUMBER(H643),ABS(H643),"n.a.")</x:f>
        <x:v>0.5284539135459614</x:v>
      </x:c>
      <x:c r="J643" s="2" t="str">
        <x:v>available</x:v>
      </x:c>
      <x:c r="K643" s="2" t="n">
        <x:v>1</x:v>
      </x:c>
      <x:c r="L643" s="13" t="b">
        <x:v>0</x:v>
      </x:c>
      <x:c r="M643" s="13" t="b">
        <x:v>1</x:v>
      </x:c>
      <x:c r="N643" s="2" t="str">
        <x:v>historical source estimate</x:v>
      </x:c>
      <x:c r="O643" s="2" t="str"/>
      <x:c r="P643" s="2" t="str">
        <x:v>horizontal built-up surface</x:v>
      </x:c>
      <x:c r="Q643" s="2" t="str">
        <x:v>m2</x:v>
      </x:c>
      <x:c r="R643" s="17" t="n">
        <x:v>1223755693</x:v>
      </x:c>
      <x:c r="S643" s="17" t="n">
        <x:v>577057207.81</x:v>
      </x:c>
      <x:c r="T643" s="18" t="n">
        <x:v>1.000000000000001</x:v>
      </x:c>
      <x:c r="U643" s="17" t="n">
        <x:v>577057207.8100005</x:v>
      </x:c>
      <x:c r="V643" s="2" t="str">
        <x:v>Area equivalent = model2020 * source surface / TEMPO2020 footprint</x:v>
      </x:c>
      <x:c r="W643" s="2" t="str">
        <x:v>legacy epoch_status=observed; not exact acquisition proof</x:v>
      </x:c>
      <x:c r="X643" s="2" t="str">
        <x:v>https://human-settlement.emergency.copernicus.eu/ghs_buS2023.php</x:v>
      </x:c>
    </x:row>
    <x:row r="644" ht="23" customHeight="1">
      <x:c r="A644" s="2" t="str">
        <x:v>COD</x:v>
      </x:c>
      <x:c r="B644" s="2" t="str">
        <x:v>Congo (Democratic Republic of the)</x:v>
      </x:c>
      <x:c r="C644" s="2" t="n">
        <x:v>2020</x:v>
      </x:c>
      <x:c r="D644" s="2" t="str">
        <x:v>GHSL_SURFACE</x:v>
      </x:c>
      <x:c r="E644" s="17" t="n">
        <x:v>941825698.8399988</x:v>
      </x:c>
      <x:c r="F644" s="17" t="n">
        <x:f>IF(AND(M644,ISNUMBER(R644)),IF(D644="TEMPO_PROXY",R644,IF(AND(ISNUMBER(S644),S644&gt;0,ISNUMBER(U644)),U644*R644/S644,"n.a.")),"n.a.")</x:f>
        <x:v>2769375282.999996</x:v>
      </x:c>
      <x:c r="G644" s="17" t="n">
        <x:f>IF(AND(ISNUMBER(E644),ISNUMBER(F644)),E644-F644,"n.a.")</x:f>
        <x:v>-1827549584.1599975</x:v>
      </x:c>
      <x:c r="H644" s="15" t="n">
        <x:f>IF(AND(ISNUMBER(E644),ISNUMBER(F644),F644&gt;0),(E644-F644)/F644,"n.a.")</x:f>
        <x:v>-0.6599140229850893</x:v>
      </x:c>
      <x:c r="I644" s="19" t="n">
        <x:f>IF(ISNUMBER(H644),ABS(H644),"n.a.")</x:f>
        <x:v>0.6599140229850893</x:v>
      </x:c>
      <x:c r="J644" s="2" t="str">
        <x:v>available</x:v>
      </x:c>
      <x:c r="K644" s="2" t="n">
        <x:v>1</x:v>
      </x:c>
      <x:c r="L644" s="13" t="b">
        <x:v>0</x:v>
      </x:c>
      <x:c r="M644" s="13" t="b">
        <x:v>1</x:v>
      </x:c>
      <x:c r="N644" s="2" t="str">
        <x:v>historical source estimate</x:v>
      </x:c>
      <x:c r="O644" s="2" t="str"/>
      <x:c r="P644" s="2" t="str">
        <x:v>horizontal built-up surface</x:v>
      </x:c>
      <x:c r="Q644" s="2" t="str">
        <x:v>m2</x:v>
      </x:c>
      <x:c r="R644" s="17" t="n">
        <x:v>2769375283</x:v>
      </x:c>
      <x:c r="S644" s="17" t="n">
        <x:v>941825698.84</x:v>
      </x:c>
      <x:c r="T644" s="18" t="n">
        <x:v>0.9999999999999988</x:v>
      </x:c>
      <x:c r="U644" s="17" t="n">
        <x:v>941825698.8399988</x:v>
      </x:c>
      <x:c r="V644" s="2" t="str">
        <x:v>Area equivalent = model2020 * source surface / TEMPO2020 footprint</x:v>
      </x:c>
      <x:c r="W644" s="2" t="str">
        <x:v>legacy epoch_status=observed; not exact acquisition proof</x:v>
      </x:c>
      <x:c r="X644" s="2" t="str">
        <x:v>https://human-settlement.emergency.copernicus.eu/ghs_buS2023.php</x:v>
      </x:c>
    </x:row>
    <x:row r="645" ht="23" customHeight="1">
      <x:c r="A645" s="2" t="str">
        <x:v>COG</x:v>
      </x:c>
      <x:c r="B645" s="2" t="str">
        <x:v>Congo (Republic of the)</x:v>
      </x:c>
      <x:c r="C645" s="2" t="n">
        <x:v>2020</x:v>
      </x:c>
      <x:c r="D645" s="2" t="str">
        <x:v>GHSL_SURFACE</x:v>
      </x:c>
      <x:c r="E645" s="17" t="n">
        <x:v>110620071.65000013</x:v>
      </x:c>
      <x:c r="F645" s="17" t="n">
        <x:f>IF(AND(M645,ISNUMBER(R645)),IF(D645="TEMPO_PROXY",R645,IF(AND(ISNUMBER(S645),S645&gt;0,ISNUMBER(U645)),U645*R645/S645,"n.a.")),"n.a.")</x:f>
        <x:v>241420781.00000024</x:v>
      </x:c>
      <x:c r="G645" s="17" t="n">
        <x:f>IF(AND(ISNUMBER(E645),ISNUMBER(F645)),E645-F645,"n.a.")</x:f>
        <x:v>-130800709.35000011</x:v>
      </x:c>
      <x:c r="H645" s="15" t="n">
        <x:f>IF(AND(ISNUMBER(E645),ISNUMBER(F645),F645&gt;0),(E645-F645)/F645,"n.a.")</x:f>
        <x:v>-0.5417955687501482</x:v>
      </x:c>
      <x:c r="I645" s="19" t="n">
        <x:f>IF(ISNUMBER(H645),ABS(H645),"n.a.")</x:f>
        <x:v>0.5417955687501482</x:v>
      </x:c>
      <x:c r="J645" s="2" t="str">
        <x:v>available</x:v>
      </x:c>
      <x:c r="K645" s="2" t="n">
        <x:v>1</x:v>
      </x:c>
      <x:c r="L645" s="13" t="b">
        <x:v>0</x:v>
      </x:c>
      <x:c r="M645" s="13" t="b">
        <x:v>1</x:v>
      </x:c>
      <x:c r="N645" s="2" t="str">
        <x:v>historical source estimate</x:v>
      </x:c>
      <x:c r="O645" s="2" t="str"/>
      <x:c r="P645" s="2" t="str">
        <x:v>horizontal built-up surface</x:v>
      </x:c>
      <x:c r="Q645" s="2" t="str">
        <x:v>m2</x:v>
      </x:c>
      <x:c r="R645" s="17" t="n">
        <x:v>241420781</x:v>
      </x:c>
      <x:c r="S645" s="17" t="n">
        <x:v>110620071.65</x:v>
      </x:c>
      <x:c r="T645" s="18" t="n">
        <x:v>1.000000000000001</x:v>
      </x:c>
      <x:c r="U645" s="17" t="n">
        <x:v>110620071.65000013</x:v>
      </x:c>
      <x:c r="V645" s="2" t="str">
        <x:v>Area equivalent = model2020 * source surface / TEMPO2020 footprint</x:v>
      </x:c>
      <x:c r="W645" s="2" t="str">
        <x:v>legacy epoch_status=observed; not exact acquisition proof</x:v>
      </x:c>
      <x:c r="X645" s="2" t="str">
        <x:v>https://human-settlement.emergency.copernicus.eu/ghs_buS2023.php</x:v>
      </x:c>
    </x:row>
    <x:row r="646" ht="23" customHeight="1">
      <x:c r="A646" s="2" t="str">
        <x:v>COL</x:v>
      </x:c>
      <x:c r="B646" s="2" t="str">
        <x:v>Colombia (Republic of)</x:v>
      </x:c>
      <x:c r="C646" s="2" t="n">
        <x:v>2020</x:v>
      </x:c>
      <x:c r="D646" s="2" t="str">
        <x:v>GHSL_SURFACE</x:v>
      </x:c>
      <x:c r="E646" s="17" t="n">
        <x:v>1505534156.3100014</x:v>
      </x:c>
      <x:c r="F646" s="17" t="n">
        <x:f>IF(AND(M646,ISNUMBER(R646)),IF(D646="TEMPO_PROXY",R646,IF(AND(ISNUMBER(S646),S646&gt;0,ISNUMBER(U646)),U646*R646/S646,"n.a.")),"n.a.")</x:f>
        <x:v>1554621979.0000014</x:v>
      </x:c>
      <x:c r="G646" s="17" t="n">
        <x:f>IF(AND(ISNUMBER(E646),ISNUMBER(F646)),E646-F646,"n.a.")</x:f>
        <x:v>-49087822.69000006</x:v>
      </x:c>
      <x:c r="H646" s="15" t="n">
        <x:f>IF(AND(ISNUMBER(E646),ISNUMBER(F646),F646&gt;0),(E646-F646)/F646,"n.a.")</x:f>
        <x:v>-0.03157540762518707</x:v>
      </x:c>
      <x:c r="I646" s="19" t="n">
        <x:f>IF(ISNUMBER(H646),ABS(H646),"n.a.")</x:f>
        <x:v>0.03157540762518707</x:v>
      </x:c>
      <x:c r="J646" s="2" t="str">
        <x:v>available</x:v>
      </x:c>
      <x:c r="K646" s="2" t="n">
        <x:v>1</x:v>
      </x:c>
      <x:c r="L646" s="13" t="b">
        <x:v>0</x:v>
      </x:c>
      <x:c r="M646" s="13" t="b">
        <x:v>1</x:v>
      </x:c>
      <x:c r="N646" s="2" t="str">
        <x:v>historical source estimate</x:v>
      </x:c>
      <x:c r="O646" s="2" t="str"/>
      <x:c r="P646" s="2" t="str">
        <x:v>horizontal built-up surface</x:v>
      </x:c>
      <x:c r="Q646" s="2" t="str">
        <x:v>m2</x:v>
      </x:c>
      <x:c r="R646" s="17" t="n">
        <x:v>1554621979</x:v>
      </x:c>
      <x:c r="S646" s="17" t="n">
        <x:v>1505534156.31</x:v>
      </x:c>
      <x:c r="T646" s="18" t="n">
        <x:v>1.0000000000000009</x:v>
      </x:c>
      <x:c r="U646" s="17" t="n">
        <x:v>1505534156.3100014</x:v>
      </x:c>
      <x:c r="V646" s="2" t="str">
        <x:v>Area equivalent = model2020 * source surface / TEMPO2020 footprint</x:v>
      </x:c>
      <x:c r="W646" s="2" t="str">
        <x:v>legacy epoch_status=observed; not exact acquisition proof</x:v>
      </x:c>
      <x:c r="X646" s="2" t="str">
        <x:v>https://human-settlement.emergency.copernicus.eu/ghs_buS2023.php</x:v>
      </x:c>
    </x:row>
    <x:row r="647" ht="23" customHeight="1">
      <x:c r="A647" s="2" t="str">
        <x:v>COM</x:v>
      </x:c>
      <x:c r="B647" s="2" t="str">
        <x:v>Comoros (Union of the)</x:v>
      </x:c>
      <x:c r="C647" s="2" t="n">
        <x:v>2020</x:v>
      </x:c>
      <x:c r="D647" s="2" t="str">
        <x:v>GHSL_SURFACE</x:v>
      </x:c>
      <x:c r="E647" s="17" t="n">
        <x:v>18035090.40999997</x:v>
      </x:c>
      <x:c r="F647" s="17" t="n">
        <x:f>IF(AND(M647,ISNUMBER(R647)),IF(D647="TEMPO_PROXY",R647,IF(AND(ISNUMBER(S647),S647&gt;0,ISNUMBER(U647)),U647*R647/S647,"n.a.")),"n.a.")</x:f>
        <x:v>24199665.99999996</x:v>
      </x:c>
      <x:c r="G647" s="17" t="n">
        <x:f>IF(AND(ISNUMBER(E647),ISNUMBER(F647)),E647-F647,"n.a.")</x:f>
        <x:v>-6164575.589999989</x:v>
      </x:c>
      <x:c r="H647" s="15" t="n">
        <x:f>IF(AND(ISNUMBER(E647),ISNUMBER(F647),F647&gt;0),(E647-F647)/F647,"n.a.")</x:f>
        <x:v>-0.25473804431846286</x:v>
      </x:c>
      <x:c r="I647" s="19" t="n">
        <x:f>IF(ISNUMBER(H647),ABS(H647),"n.a.")</x:f>
        <x:v>0.25473804431846286</x:v>
      </x:c>
      <x:c r="J647" s="2" t="str">
        <x:v>available</x:v>
      </x:c>
      <x:c r="K647" s="2" t="n">
        <x:v>1</x:v>
      </x:c>
      <x:c r="L647" s="13" t="b">
        <x:v>0</x:v>
      </x:c>
      <x:c r="M647" s="13" t="b">
        <x:v>1</x:v>
      </x:c>
      <x:c r="N647" s="2" t="str">
        <x:v>historical source estimate</x:v>
      </x:c>
      <x:c r="O647" s="2" t="str"/>
      <x:c r="P647" s="2" t="str">
        <x:v>horizontal built-up surface</x:v>
      </x:c>
      <x:c r="Q647" s="2" t="str">
        <x:v>m2</x:v>
      </x:c>
      <x:c r="R647" s="17" t="n">
        <x:v>24199666</x:v>
      </x:c>
      <x:c r="S647" s="17" t="n">
        <x:v>18035090.41</x:v>
      </x:c>
      <x:c r="T647" s="18" t="n">
        <x:v>0.9999999999999983</x:v>
      </x:c>
      <x:c r="U647" s="17" t="n">
        <x:v>18035090.40999997</x:v>
      </x:c>
      <x:c r="V647" s="2" t="str">
        <x:v>Area equivalent = model2020 * source surface / TEMPO2020 footprint</x:v>
      </x:c>
      <x:c r="W647" s="2" t="str">
        <x:v>legacy epoch_status=observed; not exact acquisition proof</x:v>
      </x:c>
      <x:c r="X647" s="2" t="str">
        <x:v>https://human-settlement.emergency.copernicus.eu/ghs_buS2023.php</x:v>
      </x:c>
    </x:row>
    <x:row r="648" ht="23" customHeight="1">
      <x:c r="A648" s="2" t="str">
        <x:v>CPV</x:v>
      </x:c>
      <x:c r="B648" s="2" t="str">
        <x:v>Cabo Verde (Republic of)</x:v>
      </x:c>
      <x:c r="C648" s="2" t="n">
        <x:v>2020</x:v>
      </x:c>
      <x:c r="D648" s="2" t="str">
        <x:v>GHSL_SURFACE</x:v>
      </x:c>
      <x:c r="E648" s="17" t="n">
        <x:v>21833832.63999998</x:v>
      </x:c>
      <x:c r="F648" s="17" t="n">
        <x:f>IF(AND(M648,ISNUMBER(R648)),IF(D648="TEMPO_PROXY",R648,IF(AND(ISNUMBER(S648),S648&gt;0,ISNUMBER(U648)),U648*R648/S648,"n.a.")),"n.a.")</x:f>
        <x:v>23158495.19332043</x:v>
      </x:c>
      <x:c r="G648" s="17" t="n">
        <x:f>IF(AND(ISNUMBER(E648),ISNUMBER(F648)),E648-F648,"n.a.")</x:f>
        <x:v>-1324662.5533204526</x:v>
      </x:c>
      <x:c r="H648" s="15" t="n">
        <x:f>IF(AND(ISNUMBER(E648),ISNUMBER(F648),F648&gt;0),(E648-F648)/F648,"n.a.")</x:f>
        <x:v>-0.05719985440602043</x:v>
      </x:c>
      <x:c r="I648" s="19" t="n">
        <x:f>IF(ISNUMBER(H648),ABS(H648),"n.a.")</x:f>
        <x:v>0.05719985440602043</x:v>
      </x:c>
      <x:c r="J648" s="2" t="str">
        <x:v>available</x:v>
      </x:c>
      <x:c r="K648" s="2" t="n">
        <x:v>1</x:v>
      </x:c>
      <x:c r="L648" s="13" t="b">
        <x:v>0</x:v>
      </x:c>
      <x:c r="M648" s="13" t="b">
        <x:v>1</x:v>
      </x:c>
      <x:c r="N648" s="2" t="str">
        <x:v>historical source estimate</x:v>
      </x:c>
      <x:c r="O648" s="2" t="str"/>
      <x:c r="P648" s="2" t="str">
        <x:v>horizontal built-up surface</x:v>
      </x:c>
      <x:c r="Q648" s="2" t="str">
        <x:v>m2</x:v>
      </x:c>
      <x:c r="R648" s="17" t="n">
        <x:v>22272899</x:v>
      </x:c>
      <x:c r="S648" s="17" t="n">
        <x:v>20998892.42</x:v>
      </x:c>
      <x:c r="T648" s="18" t="n">
        <x:v>1.0397611551742965</x:v>
      </x:c>
      <x:c r="U648" s="17" t="n">
        <x:v>21833832.63999998</x:v>
      </x:c>
      <x:c r="V648" s="2" t="str">
        <x:v>Area equivalent = model2020 * source surface / TEMPO2020 footprint</x:v>
      </x:c>
      <x:c r="W648" s="2" t="str">
        <x:v>legacy epoch_status=observed; not exact acquisition proof</x:v>
      </x:c>
      <x:c r="X648" s="2" t="str">
        <x:v>https://human-settlement.emergency.copernicus.eu/ghs_buS2023.php</x:v>
      </x:c>
    </x:row>
    <x:row r="649" ht="23" customHeight="1">
      <x:c r="A649" s="2" t="str">
        <x:v>CRI</x:v>
      </x:c>
      <x:c r="B649" s="2" t="str">
        <x:v>Costa Rica (Republic of)</x:v>
      </x:c>
      <x:c r="C649" s="2" t="n">
        <x:v>2020</x:v>
      </x:c>
      <x:c r="D649" s="2" t="str">
        <x:v>GHSL_SURFACE</x:v>
      </x:c>
      <x:c r="E649" s="17" t="n">
        <x:v>284786315.38999987</x:v>
      </x:c>
      <x:c r="F649" s="17" t="n">
        <x:f>IF(AND(M649,ISNUMBER(R649)),IF(D649="TEMPO_PROXY",R649,IF(AND(ISNUMBER(S649),S649&gt;0,ISNUMBER(U649)),U649*R649/S649,"n.a.")),"n.a.")</x:f>
        <x:v>365803978.9999998</x:v>
      </x:c>
      <x:c r="G649" s="17" t="n">
        <x:f>IF(AND(ISNUMBER(E649),ISNUMBER(F649)),E649-F649,"n.a.")</x:f>
        <x:v>-81017663.60999995</x:v>
      </x:c>
      <x:c r="H649" s="15" t="n">
        <x:f>IF(AND(ISNUMBER(E649),ISNUMBER(F649),F649&gt;0),(E649-F649)/F649,"n.a.")</x:f>
        <x:v>-0.2214783552422758</x:v>
      </x:c>
      <x:c r="I649" s="19" t="n">
        <x:f>IF(ISNUMBER(H649),ABS(H649),"n.a.")</x:f>
        <x:v>0.2214783552422758</x:v>
      </x:c>
      <x:c r="J649" s="2" t="str">
        <x:v>available</x:v>
      </x:c>
      <x:c r="K649" s="2" t="n">
        <x:v>1</x:v>
      </x:c>
      <x:c r="L649" s="13" t="b">
        <x:v>0</x:v>
      </x:c>
      <x:c r="M649" s="13" t="b">
        <x:v>1</x:v>
      </x:c>
      <x:c r="N649" s="2" t="str">
        <x:v>historical source estimate</x:v>
      </x:c>
      <x:c r="O649" s="2" t="str"/>
      <x:c r="P649" s="2" t="str">
        <x:v>horizontal built-up surface</x:v>
      </x:c>
      <x:c r="Q649" s="2" t="str">
        <x:v>m2</x:v>
      </x:c>
      <x:c r="R649" s="17" t="n">
        <x:v>365803979</x:v>
      </x:c>
      <x:c r="S649" s="17" t="n">
        <x:v>284786315.39</x:v>
      </x:c>
      <x:c r="T649" s="18" t="n">
        <x:v>0.9999999999999996</x:v>
      </x:c>
      <x:c r="U649" s="17" t="n">
        <x:v>284786315.38999987</x:v>
      </x:c>
      <x:c r="V649" s="2" t="str">
        <x:v>Area equivalent = model2020 * source surface / TEMPO2020 footprint</x:v>
      </x:c>
      <x:c r="W649" s="2" t="str">
        <x:v>legacy epoch_status=observed; not exact acquisition proof</x:v>
      </x:c>
      <x:c r="X649" s="2" t="str">
        <x:v>https://human-settlement.emergency.copernicus.eu/ghs_buS2023.php</x:v>
      </x:c>
    </x:row>
    <x:row r="650" ht="23" customHeight="1">
      <x:c r="A650" s="2" t="str">
        <x:v>CUB</x:v>
      </x:c>
      <x:c r="B650" s="2" t="str">
        <x:v>Cuba (Republic of)</x:v>
      </x:c>
      <x:c r="C650" s="2" t="n">
        <x:v>2020</x:v>
      </x:c>
      <x:c r="D650" s="2" t="str">
        <x:v>GHSL_SURFACE</x:v>
      </x:c>
      <x:c r="E650" s="17" t="n">
        <x:v>360088927.4199998</x:v>
      </x:c>
      <x:c r="F650" s="17" t="n">
        <x:f>IF(AND(M650,ISNUMBER(R650)),IF(D650="TEMPO_PROXY",R650,IF(AND(ISNUMBER(S650),S650&gt;0,ISNUMBER(U650)),U650*R650/S650,"n.a.")),"n.a.")</x:f>
        <x:v>387153053.9999997</x:v>
      </x:c>
      <x:c r="G650" s="17" t="n">
        <x:f>IF(AND(ISNUMBER(E650),ISNUMBER(F650)),E650-F650,"n.a.")</x:f>
        <x:v>-27064126.579999924</x:v>
      </x:c>
      <x:c r="H650" s="15" t="n">
        <x:f>IF(AND(ISNUMBER(E650),ISNUMBER(F650),F650&gt;0),(E650-F650)/F650,"n.a.")</x:f>
        <x:v>-0.06990549680643858</x:v>
      </x:c>
      <x:c r="I650" s="19" t="n">
        <x:f>IF(ISNUMBER(H650),ABS(H650),"n.a.")</x:f>
        <x:v>0.06990549680643858</x:v>
      </x:c>
      <x:c r="J650" s="2" t="str">
        <x:v>available</x:v>
      </x:c>
      <x:c r="K650" s="2" t="n">
        <x:v>1</x:v>
      </x:c>
      <x:c r="L650" s="13" t="b">
        <x:v>0</x:v>
      </x:c>
      <x:c r="M650" s="13" t="b">
        <x:v>1</x:v>
      </x:c>
      <x:c r="N650" s="2" t="str">
        <x:v>historical source estimate</x:v>
      </x:c>
      <x:c r="O650" s="2" t="str"/>
      <x:c r="P650" s="2" t="str">
        <x:v>horizontal built-up surface</x:v>
      </x:c>
      <x:c r="Q650" s="2" t="str">
        <x:v>m2</x:v>
      </x:c>
      <x:c r="R650" s="17" t="n">
        <x:v>387153054</x:v>
      </x:c>
      <x:c r="S650" s="17" t="n">
        <x:v>360088927.42</x:v>
      </x:c>
      <x:c r="T650" s="18" t="n">
        <x:v>0.9999999999999993</x:v>
      </x:c>
      <x:c r="U650" s="17" t="n">
        <x:v>360088927.4199998</x:v>
      </x:c>
      <x:c r="V650" s="2" t="str">
        <x:v>Area equivalent = model2020 * source surface / TEMPO2020 footprint</x:v>
      </x:c>
      <x:c r="W650" s="2" t="str">
        <x:v>legacy epoch_status=observed; not exact acquisition proof</x:v>
      </x:c>
      <x:c r="X650" s="2" t="str">
        <x:v>https://human-settlement.emergency.copernicus.eu/ghs_buS2023.php</x:v>
      </x:c>
    </x:row>
    <x:row r="651" ht="23" customHeight="1">
      <x:c r="A651" s="2" t="str">
        <x:v>CYP</x:v>
      </x:c>
      <x:c r="B651" s="2" t="str">
        <x:v>Cyprus (Republic of)</x:v>
      </x:c>
      <x:c r="C651" s="2" t="n">
        <x:v>2020</x:v>
      </x:c>
      <x:c r="D651" s="2" t="str">
        <x:v>GHSL_SURFACE</x:v>
      </x:c>
      <x:c r="E651" s="17" t="n">
        <x:v>124124771.75000016</x:v>
      </x:c>
      <x:c r="F651" s="17" t="n">
        <x:f>IF(AND(M651,ISNUMBER(R651)),IF(D651="TEMPO_PROXY",R651,IF(AND(ISNUMBER(S651),S651&gt;0,ISNUMBER(U651)),U651*R651/S651,"n.a.")),"n.a.")</x:f>
        <x:v>141665206.00000018</x:v>
      </x:c>
      <x:c r="G651" s="17" t="n">
        <x:f>IF(AND(ISNUMBER(E651),ISNUMBER(F651)),E651-F651,"n.a.")</x:f>
        <x:v>-17540434.250000015</x:v>
      </x:c>
      <x:c r="H651" s="15" t="n">
        <x:f>IF(AND(ISNUMBER(E651),ISNUMBER(F651),F651&gt;0),(E651-F651)/F651,"n.a.")</x:f>
        <x:v>-0.12381610661689217</x:v>
      </x:c>
      <x:c r="I651" s="19" t="n">
        <x:f>IF(ISNUMBER(H651),ABS(H651),"n.a.")</x:f>
        <x:v>0.12381610661689217</x:v>
      </x:c>
      <x:c r="J651" s="2" t="str">
        <x:v>available</x:v>
      </x:c>
      <x:c r="K651" s="2" t="n">
        <x:v>1</x:v>
      </x:c>
      <x:c r="L651" s="13" t="b">
        <x:v>0</x:v>
      </x:c>
      <x:c r="M651" s="13" t="b">
        <x:v>1</x:v>
      </x:c>
      <x:c r="N651" s="2" t="str">
        <x:v>historical source estimate</x:v>
      </x:c>
      <x:c r="O651" s="2" t="str"/>
      <x:c r="P651" s="2" t="str">
        <x:v>horizontal built-up surface</x:v>
      </x:c>
      <x:c r="Q651" s="2" t="str">
        <x:v>m2</x:v>
      </x:c>
      <x:c r="R651" s="17" t="n">
        <x:v>141665206</x:v>
      </x:c>
      <x:c r="S651" s="17" t="n">
        <x:v>124124771.75</x:v>
      </x:c>
      <x:c r="T651" s="18" t="n">
        <x:v>1.0000000000000013</x:v>
      </x:c>
      <x:c r="U651" s="17" t="n">
        <x:v>124124771.75000016</x:v>
      </x:c>
      <x:c r="V651" s="2" t="str">
        <x:v>Area equivalent = model2020 * source surface / TEMPO2020 footprint</x:v>
      </x:c>
      <x:c r="W651" s="2" t="str">
        <x:v>legacy epoch_status=observed; not exact acquisition proof</x:v>
      </x:c>
      <x:c r="X651" s="2" t="str">
        <x:v>https://human-settlement.emergency.copernicus.eu/ghs_buS2023.php</x:v>
      </x:c>
    </x:row>
    <x:row r="652" ht="23" customHeight="1">
      <x:c r="A652" s="2" t="str">
        <x:v>CZE</x:v>
      </x:c>
      <x:c r="B652" s="2" t="str">
        <x:v>Czechia (Czech Republic)</x:v>
      </x:c>
      <x:c r="C652" s="2" t="n">
        <x:v>2020</x:v>
      </x:c>
      <x:c r="D652" s="2" t="str">
        <x:v>GHSL_SURFACE</x:v>
      </x:c>
      <x:c r="E652" s="17" t="n">
        <x:v>853858176.0500003</x:v>
      </x:c>
      <x:c r="F652" s="17" t="n">
        <x:f>IF(AND(M652,ISNUMBER(R652)),IF(D652="TEMPO_PROXY",R652,IF(AND(ISNUMBER(S652),S652&gt;0,ISNUMBER(U652)),U652*R652/S652,"n.a.")),"n.a.")</x:f>
        <x:v>1396124662.4146228</x:v>
      </x:c>
      <x:c r="G652" s="17" t="n">
        <x:f>IF(AND(ISNUMBER(E652),ISNUMBER(F652)),E652-F652,"n.a.")</x:f>
        <x:v>-542266486.3646225</x:v>
      </x:c>
      <x:c r="H652" s="15" t="n">
        <x:f>IF(AND(ISNUMBER(E652),ISNUMBER(F652),F652&gt;0),(E652-F652)/F652,"n.a.")</x:f>
        <x:v>-0.3884083570494076</x:v>
      </x:c>
      <x:c r="I652" s="19" t="n">
        <x:f>IF(ISNUMBER(H652),ABS(H652),"n.a.")</x:f>
        <x:v>0.3884083570494076</x:v>
      </x:c>
      <x:c r="J652" s="2" t="str">
        <x:v>available</x:v>
      </x:c>
      <x:c r="K652" s="2" t="n">
        <x:v>1</x:v>
      </x:c>
      <x:c r="L652" s="13" t="b">
        <x:v>0</x:v>
      </x:c>
      <x:c r="M652" s="13" t="b">
        <x:v>1</x:v>
      </x:c>
      <x:c r="N652" s="2" t="str">
        <x:v>historical source estimate</x:v>
      </x:c>
      <x:c r="O652" s="2" t="str"/>
      <x:c r="P652" s="2" t="str">
        <x:v>horizontal built-up surface</x:v>
      </x:c>
      <x:c r="Q652" s="2" t="str">
        <x:v>m2</x:v>
      </x:c>
      <x:c r="R652" s="17" t="n">
        <x:v>1361688970</x:v>
      </x:c>
      <x:c r="S652" s="17" t="n">
        <x:v>832797594.35</x:v>
      </x:c>
      <x:c r="T652" s="18" t="n">
        <x:v>1.025288955975477</x:v>
      </x:c>
      <x:c r="U652" s="17" t="n">
        <x:v>853858176.0500003</x:v>
      </x:c>
      <x:c r="V652" s="2" t="str">
        <x:v>Area equivalent = model2020 * source surface / TEMPO2020 footprint</x:v>
      </x:c>
      <x:c r="W652" s="2" t="str">
        <x:v>legacy epoch_status=observed; not exact acquisition proof</x:v>
      </x:c>
      <x:c r="X652" s="2" t="str">
        <x:v>https://human-settlement.emergency.copernicus.eu/ghs_buS2023.php</x:v>
      </x:c>
    </x:row>
    <x:row r="653" ht="23" customHeight="1">
      <x:c r="A653" s="2" t="str">
        <x:v>DEU</x:v>
      </x:c>
      <x:c r="B653" s="2" t="str">
        <x:v>Germany (Federal Republic of)</x:v>
      </x:c>
      <x:c r="C653" s="2" t="n">
        <x:v>2020</x:v>
      </x:c>
      <x:c r="D653" s="2" t="str">
        <x:v>GHSL_SURFACE</x:v>
      </x:c>
      <x:c r="E653" s="17" t="n">
        <x:v>6611215465.220001</x:v>
      </x:c>
      <x:c r="F653" s="17" t="n">
        <x:f>IF(AND(M653,ISNUMBER(R653)),IF(D653="TEMPO_PROXY",R653,IF(AND(ISNUMBER(S653),S653&gt;0,ISNUMBER(U653)),U653*R653/S653,"n.a.")),"n.a.")</x:f>
        <x:v>10005819832.503143</x:v>
      </x:c>
      <x:c r="G653" s="17" t="n">
        <x:f>IF(AND(ISNUMBER(E653),ISNUMBER(F653)),E653-F653,"n.a.")</x:f>
        <x:v>-3394604367.283142</x:v>
      </x:c>
      <x:c r="H653" s="15" t="n">
        <x:f>IF(AND(ISNUMBER(E653),ISNUMBER(F653),F653&gt;0),(E653-F653)/F653,"n.a.")</x:f>
        <x:v>-0.339262991349897</x:v>
      </x:c>
      <x:c r="I653" s="19" t="n">
        <x:f>IF(ISNUMBER(H653),ABS(H653),"n.a.")</x:f>
        <x:v>0.339262991349897</x:v>
      </x:c>
      <x:c r="J653" s="2" t="str">
        <x:v>available</x:v>
      </x:c>
      <x:c r="K653" s="2" t="n">
        <x:v>1</x:v>
      </x:c>
      <x:c r="L653" s="13" t="b">
        <x:v>0</x:v>
      </x:c>
      <x:c r="M653" s="13" t="b">
        <x:v>1</x:v>
      </x:c>
      <x:c r="N653" s="2" t="str">
        <x:v>historical source estimate</x:v>
      </x:c>
      <x:c r="O653" s="2" t="str"/>
      <x:c r="P653" s="2" t="str">
        <x:v>horizontal built-up surface</x:v>
      </x:c>
      <x:c r="Q653" s="2" t="str">
        <x:v>m2</x:v>
      </x:c>
      <x:c r="R653" s="17" t="n">
        <x:v>9548020066</x:v>
      </x:c>
      <x:c r="S653" s="17" t="n">
        <x:v>6308730216.94</x:v>
      </x:c>
      <x:c r="T653" s="18" t="n">
        <x:v>1.0479470888559759</x:v>
      </x:c>
      <x:c r="U653" s="17" t="n">
        <x:v>6611215465.220001</x:v>
      </x:c>
      <x:c r="V653" s="2" t="str">
        <x:v>Area equivalent = model2020 * source surface / TEMPO2020 footprint</x:v>
      </x:c>
      <x:c r="W653" s="2" t="str">
        <x:v>legacy epoch_status=observed; not exact acquisition proof</x:v>
      </x:c>
      <x:c r="X653" s="2" t="str">
        <x:v>https://human-settlement.emergency.copernicus.eu/ghs_buS2023.php</x:v>
      </x:c>
    </x:row>
    <x:row r="654" ht="23" customHeight="1">
      <x:c r="A654" s="2" t="str">
        <x:v>DJI</x:v>
      </x:c>
      <x:c r="B654" s="2" t="str">
        <x:v>Djibouti (Republic of)</x:v>
      </x:c>
      <x:c r="C654" s="2" t="n">
        <x:v>2020</x:v>
      </x:c>
      <x:c r="D654" s="2" t="str">
        <x:v>GHSL_SURFACE</x:v>
      </x:c>
      <x:c r="E654" s="17" t="n">
        <x:v>12588327.629999984</x:v>
      </x:c>
      <x:c r="F654" s="17" t="n">
        <x:f>IF(AND(M654,ISNUMBER(R654)),IF(D654="TEMPO_PROXY",R654,IF(AND(ISNUMBER(S654),S654&gt;0,ISNUMBER(U654)),U654*R654/S654,"n.a.")),"n.a.")</x:f>
        <x:v>19818838.038120292</x:v>
      </x:c>
      <x:c r="G654" s="17" t="n">
        <x:f>IF(AND(ISNUMBER(E654),ISNUMBER(F654)),E654-F654,"n.a.")</x:f>
        <x:v>-7230510.408120308</x:v>
      </x:c>
      <x:c r="H654" s="15" t="n">
        <x:f>IF(AND(ISNUMBER(E654),ISNUMBER(F654),F654&gt;0),(E654-F654)/F654,"n.a.")</x:f>
        <x:v>-0.36483018803690076</x:v>
      </x:c>
      <x:c r="I654" s="19" t="n">
        <x:f>IF(ISNUMBER(H654),ABS(H654),"n.a.")</x:f>
        <x:v>0.36483018803690076</x:v>
      </x:c>
      <x:c r="J654" s="2" t="str">
        <x:v>available</x:v>
      </x:c>
      <x:c r="K654" s="2" t="n">
        <x:v>1</x:v>
      </x:c>
      <x:c r="L654" s="13" t="b">
        <x:v>0</x:v>
      </x:c>
      <x:c r="M654" s="13" t="b">
        <x:v>1</x:v>
      </x:c>
      <x:c r="N654" s="2" t="str">
        <x:v>historical source estimate</x:v>
      </x:c>
      <x:c r="O654" s="2" t="str"/>
      <x:c r="P654" s="2" t="str">
        <x:v>horizontal built-up surface</x:v>
      </x:c>
      <x:c r="Q654" s="2" t="str">
        <x:v>m2</x:v>
      </x:c>
      <x:c r="R654" s="17" t="n">
        <x:v>19092795</x:v>
      </x:c>
      <x:c r="S654" s="17" t="n">
        <x:v>12127167.01</x:v>
      </x:c>
      <x:c r="T654" s="18" t="n">
        <x:v>1.0380270692751006</x:v>
      </x:c>
      <x:c r="U654" s="17" t="n">
        <x:v>12588327.629999984</x:v>
      </x:c>
      <x:c r="V654" s="2" t="str">
        <x:v>Area equivalent = model2020 * source surface / TEMPO2020 footprint</x:v>
      </x:c>
      <x:c r="W654" s="2" t="str">
        <x:v>legacy epoch_status=observed; not exact acquisition proof</x:v>
      </x:c>
      <x:c r="X654" s="2" t="str">
        <x:v>https://human-settlement.emergency.copernicus.eu/ghs_buS2023.php</x:v>
      </x:c>
    </x:row>
    <x:row r="655" ht="23" customHeight="1">
      <x:c r="A655" s="2" t="str">
        <x:v>DMA</x:v>
      </x:c>
      <x:c r="B655" s="2" t="str">
        <x:v>Dominica (Commonwealth of)</x:v>
      </x:c>
      <x:c r="C655" s="2" t="n">
        <x:v>2020</x:v>
      </x:c>
      <x:c r="D655" s="2" t="str">
        <x:v>GHSL_SURFACE</x:v>
      </x:c>
      <x:c r="E655" s="17" t="n">
        <x:v>3947192.6899999985</x:v>
      </x:c>
      <x:c r="F655" s="17" t="n">
        <x:f>IF(AND(M655,ISNUMBER(R655)),IF(D655="TEMPO_PROXY",R655,IF(AND(ISNUMBER(S655),S655&gt;0,ISNUMBER(U655)),U655*R655/S655,"n.a.")),"n.a.")</x:f>
        <x:v>4721714.999999998</x:v>
      </x:c>
      <x:c r="G655" s="17" t="n">
        <x:f>IF(AND(ISNUMBER(E655),ISNUMBER(F655)),E655-F655,"n.a.")</x:f>
        <x:v>-774522.3099999996</x:v>
      </x:c>
      <x:c r="H655" s="15" t="n">
        <x:f>IF(AND(ISNUMBER(E655),ISNUMBER(F655),F655&gt;0),(E655-F655)/F655,"n.a.")</x:f>
        <x:v>-0.16403410836952248</x:v>
      </x:c>
      <x:c r="I655" s="19" t="n">
        <x:f>IF(ISNUMBER(H655),ABS(H655),"n.a.")</x:f>
        <x:v>0.16403410836952248</x:v>
      </x:c>
      <x:c r="J655" s="2" t="str">
        <x:v>available</x:v>
      </x:c>
      <x:c r="K655" s="2" t="n">
        <x:v>1</x:v>
      </x:c>
      <x:c r="L655" s="13" t="b">
        <x:v>0</x:v>
      </x:c>
      <x:c r="M655" s="13" t="b">
        <x:v>1</x:v>
      </x:c>
      <x:c r="N655" s="2" t="str">
        <x:v>historical source estimate</x:v>
      </x:c>
      <x:c r="O655" s="2" t="str"/>
      <x:c r="P655" s="2" t="str">
        <x:v>horizontal built-up surface</x:v>
      </x:c>
      <x:c r="Q655" s="2" t="str">
        <x:v>m2</x:v>
      </x:c>
      <x:c r="R655" s="17" t="n">
        <x:v>4721715</x:v>
      </x:c>
      <x:c r="S655" s="17" t="n">
        <x:v>3947192.69</x:v>
      </x:c>
      <x:c r="T655" s="18" t="n">
        <x:v>0.9999999999999997</x:v>
      </x:c>
      <x:c r="U655" s="17" t="n">
        <x:v>3947192.6899999985</x:v>
      </x:c>
      <x:c r="V655" s="2" t="str">
        <x:v>Area equivalent = model2020 * source surface / TEMPO2020 footprint</x:v>
      </x:c>
      <x:c r="W655" s="2" t="str">
        <x:v>legacy epoch_status=observed; not exact acquisition proof</x:v>
      </x:c>
      <x:c r="X655" s="2" t="str">
        <x:v>https://human-settlement.emergency.copernicus.eu/ghs_buS2023.php</x:v>
      </x:c>
    </x:row>
    <x:row r="656" ht="23" customHeight="1">
      <x:c r="A656" s="2" t="str">
        <x:v>DNK</x:v>
      </x:c>
      <x:c r="B656" s="2" t="str">
        <x:v>Denmark (Kingdom of)</x:v>
      </x:c>
      <x:c r="C656" s="2" t="n">
        <x:v>2020</x:v>
      </x:c>
      <x:c r="D656" s="2" t="str">
        <x:v>GHSL_SURFACE</x:v>
      </x:c>
      <x:c r="E656" s="17" t="n">
        <x:v>665059716.8900009</x:v>
      </x:c>
      <x:c r="F656" s="17" t="n">
        <x:f>IF(AND(M656,ISNUMBER(R656)),IF(D656="TEMPO_PROXY",R656,IF(AND(ISNUMBER(S656),S656&gt;0,ISNUMBER(U656)),U656*R656/S656,"n.a.")),"n.a.")</x:f>
        <x:v>801511891.605522</x:v>
      </x:c>
      <x:c r="G656" s="17" t="n">
        <x:f>IF(AND(ISNUMBER(E656),ISNUMBER(F656)),E656-F656,"n.a.")</x:f>
        <x:v>-136452174.7155211</x:v>
      </x:c>
      <x:c r="H656" s="15" t="n">
        <x:f>IF(AND(ISNUMBER(E656),ISNUMBER(F656),F656&gt;0),(E656-F656)/F656,"n.a.")</x:f>
        <x:v>-0.17024348128159575</x:v>
      </x:c>
      <x:c r="I656" s="19" t="n">
        <x:f>IF(ISNUMBER(H656),ABS(H656),"n.a.")</x:f>
        <x:v>0.17024348128159575</x:v>
      </x:c>
      <x:c r="J656" s="2" t="str">
        <x:v>available</x:v>
      </x:c>
      <x:c r="K656" s="2" t="n">
        <x:v>1</x:v>
      </x:c>
      <x:c r="L656" s="13" t="b">
        <x:v>0</x:v>
      </x:c>
      <x:c r="M656" s="13" t="b">
        <x:v>1</x:v>
      </x:c>
      <x:c r="N656" s="2" t="str">
        <x:v>historical source estimate</x:v>
      </x:c>
      <x:c r="O656" s="2" t="str"/>
      <x:c r="P656" s="2" t="str">
        <x:v>horizontal built-up surface</x:v>
      </x:c>
      <x:c r="Q656" s="2" t="str">
        <x:v>m2</x:v>
      </x:c>
      <x:c r="R656" s="17" t="n">
        <x:v>796295710</x:v>
      </x:c>
      <x:c r="S656" s="17" t="n">
        <x:v>660731556.2</x:v>
      </x:c>
      <x:c r="T656" s="18" t="n">
        <x:v>1.006550558467183</x:v>
      </x:c>
      <x:c r="U656" s="17" t="n">
        <x:v>665059716.8900009</x:v>
      </x:c>
      <x:c r="V656" s="2" t="str">
        <x:v>Area equivalent = model2020 * source surface / TEMPO2020 footprint</x:v>
      </x:c>
      <x:c r="W656" s="2" t="str">
        <x:v>legacy epoch_status=observed; not exact acquisition proof</x:v>
      </x:c>
      <x:c r="X656" s="2" t="str">
        <x:v>https://human-settlement.emergency.copernicus.eu/ghs_buS2023.php</x:v>
      </x:c>
    </x:row>
    <x:row r="657" ht="23" customHeight="1">
      <x:c r="A657" s="2" t="str">
        <x:v>DOM</x:v>
      </x:c>
      <x:c r="B657" s="2" t="str">
        <x:v>Dominican Republic</x:v>
      </x:c>
      <x:c r="C657" s="2" t="n">
        <x:v>2020</x:v>
      </x:c>
      <x:c r="D657" s="2" t="str">
        <x:v>GHSL_SURFACE</x:v>
      </x:c>
      <x:c r="E657" s="17" t="n">
        <x:v>336248050.8900004</x:v>
      </x:c>
      <x:c r="F657" s="17" t="n">
        <x:f>IF(AND(M657,ISNUMBER(R657)),IF(D657="TEMPO_PROXY",R657,IF(AND(ISNUMBER(S657),S657&gt;0,ISNUMBER(U657)),U657*R657/S657,"n.a.")),"n.a.")</x:f>
        <x:v>501777002.00000066</x:v>
      </x:c>
      <x:c r="G657" s="17" t="n">
        <x:f>IF(AND(ISNUMBER(E657),ISNUMBER(F657)),E657-F657,"n.a.")</x:f>
        <x:v>-165528951.11000025</x:v>
      </x:c>
      <x:c r="H657" s="15" t="n">
        <x:f>IF(AND(ISNUMBER(E657),ISNUMBER(F657),F657&gt;0),(E657-F657)/F657,"n.a.")</x:f>
        <x:v>-0.32988548787654487</x:v>
      </x:c>
      <x:c r="I657" s="19" t="n">
        <x:f>IF(ISNUMBER(H657),ABS(H657),"n.a.")</x:f>
        <x:v>0.32988548787654487</x:v>
      </x:c>
      <x:c r="J657" s="2" t="str">
        <x:v>available</x:v>
      </x:c>
      <x:c r="K657" s="2" t="n">
        <x:v>1</x:v>
      </x:c>
      <x:c r="L657" s="13" t="b">
        <x:v>0</x:v>
      </x:c>
      <x:c r="M657" s="13" t="b">
        <x:v>1</x:v>
      </x:c>
      <x:c r="N657" s="2" t="str">
        <x:v>historical source estimate</x:v>
      </x:c>
      <x:c r="O657" s="2" t="str"/>
      <x:c r="P657" s="2" t="str">
        <x:v>horizontal built-up surface</x:v>
      </x:c>
      <x:c r="Q657" s="2" t="str">
        <x:v>m2</x:v>
      </x:c>
      <x:c r="R657" s="17" t="n">
        <x:v>501777002</x:v>
      </x:c>
      <x:c r="S657" s="17" t="n">
        <x:v>336248050.89</x:v>
      </x:c>
      <x:c r="T657" s="18" t="n">
        <x:v>1.0000000000000013</x:v>
      </x:c>
      <x:c r="U657" s="17" t="n">
        <x:v>336248050.8900004</x:v>
      </x:c>
      <x:c r="V657" s="2" t="str">
        <x:v>Area equivalent = model2020 * source surface / TEMPO2020 footprint</x:v>
      </x:c>
      <x:c r="W657" s="2" t="str">
        <x:v>legacy epoch_status=observed; not exact acquisition proof</x:v>
      </x:c>
      <x:c r="X657" s="2" t="str">
        <x:v>https://human-settlement.emergency.copernicus.eu/ghs_buS2023.php</x:v>
      </x:c>
    </x:row>
    <x:row r="658" ht="23" customHeight="1">
      <x:c r="A658" s="2" t="str">
        <x:v>DZA</x:v>
      </x:c>
      <x:c r="B658" s="2" t="str">
        <x:v>Algeria (People's Democratic Republic of)</x:v>
      </x:c>
      <x:c r="C658" s="2" t="n">
        <x:v>2020</x:v>
      </x:c>
      <x:c r="D658" s="2" t="str">
        <x:v>GHSL_SURFACE</x:v>
      </x:c>
      <x:c r="E658" s="17" t="n">
        <x:v>1607752786.8799975</x:v>
      </x:c>
      <x:c r="F658" s="17" t="n">
        <x:f>IF(AND(M658,ISNUMBER(R658)),IF(D658="TEMPO_PROXY",R658,IF(AND(ISNUMBER(S658),S658&gt;0,ISNUMBER(U658)),U658*R658/S658,"n.a.")),"n.a.")</x:f>
        <x:v>2264748725.1790786</x:v>
      </x:c>
      <x:c r="G658" s="17" t="n">
        <x:f>IF(AND(ISNUMBER(E658),ISNUMBER(F658)),E658-F658,"n.a.")</x:f>
        <x:v>-656995938.2990811</x:v>
      </x:c>
      <x:c r="H658" s="15" t="n">
        <x:f>IF(AND(ISNUMBER(E658),ISNUMBER(F658),F658&gt;0),(E658-F658)/F658,"n.a.")</x:f>
        <x:v>-0.29009661469050213</x:v>
      </x:c>
      <x:c r="I658" s="19" t="n">
        <x:f>IF(ISNUMBER(H658),ABS(H658),"n.a.")</x:f>
        <x:v>0.29009661469050213</x:v>
      </x:c>
      <x:c r="J658" s="2" t="str">
        <x:v>available</x:v>
      </x:c>
      <x:c r="K658" s="2" t="n">
        <x:v>1</x:v>
      </x:c>
      <x:c r="L658" s="13" t="b">
        <x:v>0</x:v>
      </x:c>
      <x:c r="M658" s="13" t="b">
        <x:v>1</x:v>
      </x:c>
      <x:c r="N658" s="2" t="str">
        <x:v>historical source estimate</x:v>
      </x:c>
      <x:c r="O658" s="2" t="str"/>
      <x:c r="P658" s="2" t="str">
        <x:v>horizontal built-up surface</x:v>
      </x:c>
      <x:c r="Q658" s="2" t="str">
        <x:v>m2</x:v>
      </x:c>
      <x:c r="R658" s="17" t="n">
        <x:v>2238737907</x:v>
      </x:c>
      <x:c r="S658" s="17" t="n">
        <x:v>1589287619</x:v>
      </x:c>
      <x:c r="T658" s="18" t="n">
        <x:v>1.0116185186741817</x:v>
      </x:c>
      <x:c r="U658" s="17" t="n">
        <x:v>1607752786.8799975</x:v>
      </x:c>
      <x:c r="V658" s="2" t="str">
        <x:v>Area equivalent = model2020 * source surface / TEMPO2020 footprint</x:v>
      </x:c>
      <x:c r="W658" s="2" t="str">
        <x:v>legacy epoch_status=observed; not exact acquisition proof</x:v>
      </x:c>
      <x:c r="X658" s="2" t="str">
        <x:v>https://human-settlement.emergency.copernicus.eu/ghs_buS2023.php</x:v>
      </x:c>
    </x:row>
    <x:row r="659" ht="23" customHeight="1">
      <x:c r="A659" s="2" t="str">
        <x:v>ECU</x:v>
      </x:c>
      <x:c r="B659" s="2" t="str">
        <x:v>Ecuador (Republic of)</x:v>
      </x:c>
      <x:c r="C659" s="2" t="n">
        <x:v>2020</x:v>
      </x:c>
      <x:c r="D659" s="2" t="str">
        <x:v>GHSL_SURFACE</x:v>
      </x:c>
      <x:c r="E659" s="17" t="n">
        <x:v>734538215.0500003</x:v>
      </x:c>
      <x:c r="F659" s="17" t="n">
        <x:f>IF(AND(M659,ISNUMBER(R659)),IF(D659="TEMPO_PROXY",R659,IF(AND(ISNUMBER(S659),S659&gt;0,ISNUMBER(U659)),U659*R659/S659,"n.a.")),"n.a.")</x:f>
        <x:v>919672837.0000004</x:v>
      </x:c>
      <x:c r="G659" s="17" t="n">
        <x:f>IF(AND(ISNUMBER(E659),ISNUMBER(F659)),E659-F659,"n.a.")</x:f>
        <x:v>-185134621.95000005</x:v>
      </x:c>
      <x:c r="H659" s="15" t="n">
        <x:f>IF(AND(ISNUMBER(E659),ISNUMBER(F659),F659&gt;0),(E659-F659)/F659,"n.a.")</x:f>
        <x:v>-0.2013048711473469</x:v>
      </x:c>
      <x:c r="I659" s="19" t="n">
        <x:f>IF(ISNUMBER(H659),ABS(H659),"n.a.")</x:f>
        <x:v>0.2013048711473469</x:v>
      </x:c>
      <x:c r="J659" s="2" t="str">
        <x:v>available</x:v>
      </x:c>
      <x:c r="K659" s="2" t="n">
        <x:v>1</x:v>
      </x:c>
      <x:c r="L659" s="13" t="b">
        <x:v>0</x:v>
      </x:c>
      <x:c r="M659" s="13" t="b">
        <x:v>1</x:v>
      </x:c>
      <x:c r="N659" s="2" t="str">
        <x:v>historical source estimate</x:v>
      </x:c>
      <x:c r="O659" s="2" t="str"/>
      <x:c r="P659" s="2" t="str">
        <x:v>horizontal built-up surface</x:v>
      </x:c>
      <x:c r="Q659" s="2" t="str">
        <x:v>m2</x:v>
      </x:c>
      <x:c r="R659" s="17" t="n">
        <x:v>919672837</x:v>
      </x:c>
      <x:c r="S659" s="17" t="n">
        <x:v>734538215.05</x:v>
      </x:c>
      <x:c r="T659" s="18" t="n">
        <x:v>1.0000000000000004</x:v>
      </x:c>
      <x:c r="U659" s="17" t="n">
        <x:v>734538215.0500003</x:v>
      </x:c>
      <x:c r="V659" s="2" t="str">
        <x:v>Area equivalent = model2020 * source surface / TEMPO2020 footprint</x:v>
      </x:c>
      <x:c r="W659" s="2" t="str">
        <x:v>legacy epoch_status=observed; not exact acquisition proof</x:v>
      </x:c>
      <x:c r="X659" s="2" t="str">
        <x:v>https://human-settlement.emergency.copernicus.eu/ghs_buS2023.php</x:v>
      </x:c>
    </x:row>
    <x:row r="660" ht="23" customHeight="1">
      <x:c r="A660" s="2" t="str">
        <x:v>EGY</x:v>
      </x:c>
      <x:c r="B660" s="2" t="str">
        <x:v>Egypt (Arab Republic of)</x:v>
      </x:c>
      <x:c r="C660" s="2" t="n">
        <x:v>2020</x:v>
      </x:c>
      <x:c r="D660" s="2" t="str">
        <x:v>GHSL_SURFACE</x:v>
      </x:c>
      <x:c r="E660" s="17" t="n">
        <x:v>2954306535.6</x:v>
      </x:c>
      <x:c r="F660" s="17" t="n">
        <x:f>IF(AND(M660,ISNUMBER(R660)),IF(D660="TEMPO_PROXY",R660,IF(AND(ISNUMBER(S660),S660&gt;0,ISNUMBER(U660)),U660*R660/S660,"n.a.")),"n.a.")</x:f>
        <x:v>4150925023.570561</x:v>
      </x:c>
      <x:c r="G660" s="17" t="n">
        <x:f>IF(AND(ISNUMBER(E660),ISNUMBER(F660)),E660-F660,"n.a.")</x:f>
        <x:v>-1196618487.970561</x:v>
      </x:c>
      <x:c r="H660" s="15" t="n">
        <x:f>IF(AND(ISNUMBER(E660),ISNUMBER(F660),F660&gt;0),(E660-F660)/F660,"n.a.")</x:f>
        <x:v>-0.2882775480587333</x:v>
      </x:c>
      <x:c r="I660" s="19" t="n">
        <x:f>IF(ISNUMBER(H660),ABS(H660),"n.a.")</x:f>
        <x:v>0.2882775480587333</x:v>
      </x:c>
      <x:c r="J660" s="2" t="str">
        <x:v>available</x:v>
      </x:c>
      <x:c r="K660" s="2" t="n">
        <x:v>1</x:v>
      </x:c>
      <x:c r="L660" s="13" t="b">
        <x:v>0</x:v>
      </x:c>
      <x:c r="M660" s="13" t="b">
        <x:v>1</x:v>
      </x:c>
      <x:c r="N660" s="2" t="str">
        <x:v>historical source estimate</x:v>
      </x:c>
      <x:c r="O660" s="2" t="str"/>
      <x:c r="P660" s="2" t="str">
        <x:v>horizontal built-up surface</x:v>
      </x:c>
      <x:c r="Q660" s="2" t="str">
        <x:v>m2</x:v>
      </x:c>
      <x:c r="R660" s="17" t="n">
        <x:v>3109010360</x:v>
      </x:c>
      <x:c r="S660" s="17" t="n">
        <x:v>2212752476.53</x:v>
      </x:c>
      <x:c r="T660" s="18" t="n">
        <x:v>1.3351274337891113</x:v>
      </x:c>
      <x:c r="U660" s="17" t="n">
        <x:v>2954306535.6</x:v>
      </x:c>
      <x:c r="V660" s="2" t="str">
        <x:v>Area equivalent = model2020 * source surface / TEMPO2020 footprint</x:v>
      </x:c>
      <x:c r="W660" s="2" t="str">
        <x:v>legacy epoch_status=observed; not exact acquisition proof</x:v>
      </x:c>
      <x:c r="X660" s="2" t="str">
        <x:v>https://human-settlement.emergency.copernicus.eu/ghs_buS2023.php</x:v>
      </x:c>
    </x:row>
    <x:row r="661" ht="23" customHeight="1">
      <x:c r="A661" s="2" t="str">
        <x:v>ERI</x:v>
      </x:c>
      <x:c r="B661" s="2" t="str">
        <x:v>Eritrea (State of)</x:v>
      </x:c>
      <x:c r="C661" s="2" t="n">
        <x:v>2020</x:v>
      </x:c>
      <x:c r="D661" s="2" t="str">
        <x:v>GHSL_SURFACE</x:v>
      </x:c>
      <x:c r="E661" s="17" t="n">
        <x:v>45298098.329999976</x:v>
      </x:c>
      <x:c r="F661" s="17" t="n">
        <x:f>IF(AND(M661,ISNUMBER(R661)),IF(D661="TEMPO_PROXY",R661,IF(AND(ISNUMBER(S661),S661&gt;0,ISNUMBER(U661)),U661*R661/S661,"n.a.")),"n.a.")</x:f>
        <x:v>105456245.99999996</x:v>
      </x:c>
      <x:c r="G661" s="17" t="n">
        <x:f>IF(AND(ISNUMBER(E661),ISNUMBER(F661)),E661-F661,"n.a.")</x:f>
        <x:v>-60158147.66999998</x:v>
      </x:c>
      <x:c r="H661" s="15" t="n">
        <x:f>IF(AND(ISNUMBER(E661),ISNUMBER(F661),F661&gt;0),(E661-F661)/F661,"n.a.")</x:f>
        <x:v>-0.5704559943277329</x:v>
      </x:c>
      <x:c r="I661" s="19" t="n">
        <x:f>IF(ISNUMBER(H661),ABS(H661),"n.a.")</x:f>
        <x:v>0.5704559943277329</x:v>
      </x:c>
      <x:c r="J661" s="2" t="str">
        <x:v>available</x:v>
      </x:c>
      <x:c r="K661" s="2" t="n">
        <x:v>1</x:v>
      </x:c>
      <x:c r="L661" s="13" t="b">
        <x:v>0</x:v>
      </x:c>
      <x:c r="M661" s="13" t="b">
        <x:v>1</x:v>
      </x:c>
      <x:c r="N661" s="2" t="str">
        <x:v>historical source estimate</x:v>
      </x:c>
      <x:c r="O661" s="2" t="str"/>
      <x:c r="P661" s="2" t="str">
        <x:v>horizontal built-up surface</x:v>
      </x:c>
      <x:c r="Q661" s="2" t="str">
        <x:v>m2</x:v>
      </x:c>
      <x:c r="R661" s="17" t="n">
        <x:v>105456246</x:v>
      </x:c>
      <x:c r="S661" s="17" t="n">
        <x:v>45298098.33</x:v>
      </x:c>
      <x:c r="T661" s="18" t="n">
        <x:v>0.9999999999999996</x:v>
      </x:c>
      <x:c r="U661" s="17" t="n">
        <x:v>45298098.329999976</x:v>
      </x:c>
      <x:c r="V661" s="2" t="str">
        <x:v>Area equivalent = model2020 * source surface / TEMPO2020 footprint</x:v>
      </x:c>
      <x:c r="W661" s="2" t="str">
        <x:v>legacy epoch_status=observed; not exact acquisition proof</x:v>
      </x:c>
      <x:c r="X661" s="2" t="str">
        <x:v>https://human-settlement.emergency.copernicus.eu/ghs_buS2023.php</x:v>
      </x:c>
    </x:row>
    <x:row r="662" ht="23" customHeight="1">
      <x:c r="A662" s="2" t="str">
        <x:v>ESP</x:v>
      </x:c>
      <x:c r="B662" s="2" t="str">
        <x:v>Spain (Kingdom of)</x:v>
      </x:c>
      <x:c r="C662" s="2" t="n">
        <x:v>2020</x:v>
      </x:c>
      <x:c r="D662" s="2" t="str">
        <x:v>GHSL_SURFACE</x:v>
      </x:c>
      <x:c r="E662" s="17" t="n">
        <x:v>3693503432.029994</x:v>
      </x:c>
      <x:c r="F662" s="17" t="n">
        <x:f>IF(AND(M662,ISNUMBER(R662)),IF(D662="TEMPO_PROXY",R662,IF(AND(ISNUMBER(S662),S662&gt;0,ISNUMBER(U662)),U662*R662/S662,"n.a.")),"n.a.")</x:f>
        <x:v>4923965750.694541</x:v>
      </x:c>
      <x:c r="G662" s="17" t="n">
        <x:f>IF(AND(ISNUMBER(E662),ISNUMBER(F662)),E662-F662,"n.a.")</x:f>
        <x:v>-1230462318.664547</x:v>
      </x:c>
      <x:c r="H662" s="15" t="n">
        <x:f>IF(AND(ISNUMBER(E662),ISNUMBER(F662),F662&gt;0),(E662-F662)/F662,"n.a.")</x:f>
        <x:v>-0.24989254210206202</x:v>
      </x:c>
      <x:c r="I662" s="19" t="n">
        <x:f>IF(ISNUMBER(H662),ABS(H662),"n.a.")</x:f>
        <x:v>0.24989254210206202</x:v>
      </x:c>
      <x:c r="J662" s="2" t="str">
        <x:v>available</x:v>
      </x:c>
      <x:c r="K662" s="2" t="n">
        <x:v>1</x:v>
      </x:c>
      <x:c r="L662" s="13" t="b">
        <x:v>0</x:v>
      </x:c>
      <x:c r="M662" s="13" t="b">
        <x:v>1</x:v>
      </x:c>
      <x:c r="N662" s="2" t="str">
        <x:v>historical source estimate</x:v>
      </x:c>
      <x:c r="O662" s="2" t="str"/>
      <x:c r="P662" s="2" t="str">
        <x:v>horizontal built-up surface</x:v>
      </x:c>
      <x:c r="Q662" s="2" t="str">
        <x:v>m2</x:v>
      </x:c>
      <x:c r="R662" s="17" t="n">
        <x:v>4372211992</x:v>
      </x:c>
      <x:c r="S662" s="17" t="n">
        <x:v>3279628822.71</x:v>
      </x:c>
      <x:c r="T662" s="18" t="n">
        <x:v>1.1261955640998436</x:v>
      </x:c>
      <x:c r="U662" s="17" t="n">
        <x:v>3693503432.029994</x:v>
      </x:c>
      <x:c r="V662" s="2" t="str">
        <x:v>Area equivalent = model2020 * source surface / TEMPO2020 footprint</x:v>
      </x:c>
      <x:c r="W662" s="2" t="str">
        <x:v>legacy epoch_status=observed; not exact acquisition proof</x:v>
      </x:c>
      <x:c r="X662" s="2" t="str">
        <x:v>https://human-settlement.emergency.copernicus.eu/ghs_buS2023.php</x:v>
      </x:c>
    </x:row>
    <x:row r="663" ht="23" customHeight="1">
      <x:c r="A663" s="2" t="str">
        <x:v>EST</x:v>
      </x:c>
      <x:c r="B663" s="2" t="str">
        <x:v>Estonia (Republic of)</x:v>
      </x:c>
      <x:c r="C663" s="2" t="n">
        <x:v>2020</x:v>
      </x:c>
      <x:c r="D663" s="2" t="str">
        <x:v>GHSL_SURFACE</x:v>
      </x:c>
      <x:c r="E663" s="17" t="n">
        <x:v>113094705.3700001</x:v>
      </x:c>
      <x:c r="F663" s="17" t="n">
        <x:f>IF(AND(M663,ISNUMBER(R663)),IF(D663="TEMPO_PROXY",R663,IF(AND(ISNUMBER(S663),S663&gt;0,ISNUMBER(U663)),U663*R663/S663,"n.a.")),"n.a.")</x:f>
        <x:v>189816777.00000018</x:v>
      </x:c>
      <x:c r="G663" s="17" t="n">
        <x:f>IF(AND(ISNUMBER(E663),ISNUMBER(F663)),E663-F663,"n.a.")</x:f>
        <x:v>-76722071.63000008</x:v>
      </x:c>
      <x:c r="H663" s="15" t="n">
        <x:f>IF(AND(ISNUMBER(E663),ISNUMBER(F663),F663&gt;0),(E663-F663)/F663,"n.a.")</x:f>
        <x:v>-0.40419015032585875</x:v>
      </x:c>
      <x:c r="I663" s="19" t="n">
        <x:f>IF(ISNUMBER(H663),ABS(H663),"n.a.")</x:f>
        <x:v>0.40419015032585875</x:v>
      </x:c>
      <x:c r="J663" s="2" t="str">
        <x:v>available</x:v>
      </x:c>
      <x:c r="K663" s="2" t="n">
        <x:v>1</x:v>
      </x:c>
      <x:c r="L663" s="13" t="b">
        <x:v>0</x:v>
      </x:c>
      <x:c r="M663" s="13" t="b">
        <x:v>1</x:v>
      </x:c>
      <x:c r="N663" s="2" t="str">
        <x:v>historical source estimate</x:v>
      </x:c>
      <x:c r="O663" s="2" t="str"/>
      <x:c r="P663" s="2" t="str">
        <x:v>horizontal built-up surface</x:v>
      </x:c>
      <x:c r="Q663" s="2" t="str">
        <x:v>m2</x:v>
      </x:c>
      <x:c r="R663" s="17" t="n">
        <x:v>189816777</x:v>
      </x:c>
      <x:c r="S663" s="17" t="n">
        <x:v>113094705.37</x:v>
      </x:c>
      <x:c r="T663" s="18" t="n">
        <x:v>1.0000000000000009</x:v>
      </x:c>
      <x:c r="U663" s="17" t="n">
        <x:v>113094705.3700001</x:v>
      </x:c>
      <x:c r="V663" s="2" t="str">
        <x:v>Area equivalent = model2020 * source surface / TEMPO2020 footprint</x:v>
      </x:c>
      <x:c r="W663" s="2" t="str">
        <x:v>legacy epoch_status=observed; not exact acquisition proof</x:v>
      </x:c>
      <x:c r="X663" s="2" t="str">
        <x:v>https://human-settlement.emergency.copernicus.eu/ghs_buS2023.php</x:v>
      </x:c>
    </x:row>
    <x:row r="664" ht="23" customHeight="1">
      <x:c r="A664" s="2" t="str">
        <x:v>ETH</x:v>
      </x:c>
      <x:c r="B664" s="2" t="str">
        <x:v>Ethiopia (Federal Democratic Republic of)</x:v>
      </x:c>
      <x:c r="C664" s="2" t="n">
        <x:v>2020</x:v>
      </x:c>
      <x:c r="D664" s="2" t="str">
        <x:v>GHSL_SURFACE</x:v>
      </x:c>
      <x:c r="E664" s="17" t="n">
        <x:v>1660821510.7100024</x:v>
      </x:c>
      <x:c r="F664" s="17" t="n">
        <x:f>IF(AND(M664,ISNUMBER(R664)),IF(D664="TEMPO_PROXY",R664,IF(AND(ISNUMBER(S664),S664&gt;0,ISNUMBER(U664)),U664*R664/S664,"n.a.")),"n.a.")</x:f>
        <x:v>2544076331.000004</x:v>
      </x:c>
      <x:c r="G664" s="17" t="n">
        <x:f>IF(AND(ISNUMBER(E664),ISNUMBER(F664)),E664-F664,"n.a.")</x:f>
        <x:v>-883254820.2900014</x:v>
      </x:c>
      <x:c r="H664" s="15" t="n">
        <x:f>IF(AND(ISNUMBER(E664),ISNUMBER(F664),F664&gt;0),(E664-F664)/F664,"n.a.")</x:f>
        <x:v>-0.34718094324741394</x:v>
      </x:c>
      <x:c r="I664" s="19" t="n">
        <x:f>IF(ISNUMBER(H664),ABS(H664),"n.a.")</x:f>
        <x:v>0.34718094324741394</x:v>
      </x:c>
      <x:c r="J664" s="2" t="str">
        <x:v>available</x:v>
      </x:c>
      <x:c r="K664" s="2" t="n">
        <x:v>1</x:v>
      </x:c>
      <x:c r="L664" s="13" t="b">
        <x:v>0</x:v>
      </x:c>
      <x:c r="M664" s="13" t="b">
        <x:v>1</x:v>
      </x:c>
      <x:c r="N664" s="2" t="str">
        <x:v>historical source estimate</x:v>
      </x:c>
      <x:c r="O664" s="2" t="str"/>
      <x:c r="P664" s="2" t="str">
        <x:v>horizontal built-up surface</x:v>
      </x:c>
      <x:c r="Q664" s="2" t="str">
        <x:v>m2</x:v>
      </x:c>
      <x:c r="R664" s="17" t="n">
        <x:v>2544076331</x:v>
      </x:c>
      <x:c r="S664" s="17" t="n">
        <x:v>1660821510.71</x:v>
      </x:c>
      <x:c r="T664" s="18" t="n">
        <x:v>1.0000000000000013</x:v>
      </x:c>
      <x:c r="U664" s="17" t="n">
        <x:v>1660821510.7100024</x:v>
      </x:c>
      <x:c r="V664" s="2" t="str">
        <x:v>Area equivalent = model2020 * source surface / TEMPO2020 footprint</x:v>
      </x:c>
      <x:c r="W664" s="2" t="str">
        <x:v>legacy epoch_status=observed; not exact acquisition proof</x:v>
      </x:c>
      <x:c r="X664" s="2" t="str">
        <x:v>https://human-settlement.emergency.copernicus.eu/ghs_buS2023.php</x:v>
      </x:c>
    </x:row>
    <x:row r="665" ht="23" customHeight="1">
      <x:c r="A665" s="2" t="str">
        <x:v>FIN</x:v>
      </x:c>
      <x:c r="B665" s="2" t="str">
        <x:v>Finland (Republic of)</x:v>
      </x:c>
      <x:c r="C665" s="2" t="n">
        <x:v>2020</x:v>
      </x:c>
      <x:c r="D665" s="2" t="str">
        <x:v>GHSL_SURFACE</x:v>
      </x:c>
      <x:c r="E665" s="17" t="n">
        <x:v>615866742.3399993</x:v>
      </x:c>
      <x:c r="F665" s="17" t="n">
        <x:f>IF(AND(M665,ISNUMBER(R665)),IF(D665="TEMPO_PROXY",R665,IF(AND(ISNUMBER(S665),S665&gt;0,ISNUMBER(U665)),U665*R665/S665,"n.a.")),"n.a.")</x:f>
        <x:v>525804614.99999934</x:v>
      </x:c>
      <x:c r="G665" s="17" t="n">
        <x:f>IF(AND(ISNUMBER(E665),ISNUMBER(F665)),E665-F665,"n.a.")</x:f>
        <x:v>90062127.33999997</x:v>
      </x:c>
      <x:c r="H665" s="15" t="n">
        <x:f>IF(AND(ISNUMBER(E665),ISNUMBER(F665),F665&gt;0),(E665-F665)/F665,"n.a.")</x:f>
        <x:v>0.17128439874952425</x:v>
      </x:c>
      <x:c r="I665" s="19" t="n">
        <x:f>IF(ISNUMBER(H665),ABS(H665),"n.a.")</x:f>
        <x:v>0.17128439874952425</x:v>
      </x:c>
      <x:c r="J665" s="2" t="str">
        <x:v>available</x:v>
      </x:c>
      <x:c r="K665" s="2" t="n">
        <x:v>1</x:v>
      </x:c>
      <x:c r="L665" s="13" t="b">
        <x:v>0</x:v>
      </x:c>
      <x:c r="M665" s="13" t="b">
        <x:v>1</x:v>
      </x:c>
      <x:c r="N665" s="2" t="str">
        <x:v>historical source estimate</x:v>
      </x:c>
      <x:c r="O665" s="2" t="str"/>
      <x:c r="P665" s="2" t="str">
        <x:v>horizontal built-up surface</x:v>
      </x:c>
      <x:c r="Q665" s="2" t="str">
        <x:v>m2</x:v>
      </x:c>
      <x:c r="R665" s="17" t="n">
        <x:v>525804615</x:v>
      </x:c>
      <x:c r="S665" s="17" t="n">
        <x:v>615866742.34</x:v>
      </x:c>
      <x:c r="T665" s="18" t="n">
        <x:v>0.9999999999999989</x:v>
      </x:c>
      <x:c r="U665" s="17" t="n">
        <x:v>615866742.3399993</x:v>
      </x:c>
      <x:c r="V665" s="2" t="str">
        <x:v>Area equivalent = model2020 * source surface / TEMPO2020 footprint</x:v>
      </x:c>
      <x:c r="W665" s="2" t="str">
        <x:v>legacy epoch_status=observed; not exact acquisition proof</x:v>
      </x:c>
      <x:c r="X665" s="2" t="str">
        <x:v>https://human-settlement.emergency.copernicus.eu/ghs_buS2023.php</x:v>
      </x:c>
    </x:row>
    <x:row r="666" ht="23" customHeight="1">
      <x:c r="A666" s="2" t="str">
        <x:v>FJI</x:v>
      </x:c>
      <x:c r="B666" s="2" t="str">
        <x:v>Fiji (Republic of)</x:v>
      </x:c>
      <x:c r="C666" s="2" t="n">
        <x:v>2020</x:v>
      </x:c>
      <x:c r="D666" s="2" t="str">
        <x:v>GHSL_SURFACE</x:v>
      </x:c>
      <x:c r="E666" s="17" t="n">
        <x:v>37460168.12</x:v>
      </x:c>
      <x:c r="F666" s="17" t="n">
        <x:f>IF(AND(M666,ISNUMBER(R666)),IF(D666="TEMPO_PROXY",R666,IF(AND(ISNUMBER(S666),S666&gt;0,ISNUMBER(U666)),U666*R666/S666,"n.a.")),"n.a.")</x:f>
        <x:v>78515030</x:v>
      </x:c>
      <x:c r="G666" s="17" t="n">
        <x:f>IF(AND(ISNUMBER(E666),ISNUMBER(F666)),E666-F666,"n.a.")</x:f>
        <x:v>-41054861.88</x:v>
      </x:c>
      <x:c r="H666" s="15" t="n">
        <x:f>IF(AND(ISNUMBER(E666),ISNUMBER(F666),F666&gt;0),(E666-F666)/F666,"n.a.")</x:f>
        <x:v>-0.5228917556294636</x:v>
      </x:c>
      <x:c r="I666" s="19" t="n">
        <x:f>IF(ISNUMBER(H666),ABS(H666),"n.a.")</x:f>
        <x:v>0.5228917556294636</x:v>
      </x:c>
      <x:c r="J666" s="2" t="str">
        <x:v>available</x:v>
      </x:c>
      <x:c r="K666" s="2" t="n">
        <x:v>1</x:v>
      </x:c>
      <x:c r="L666" s="13" t="b">
        <x:v>0</x:v>
      </x:c>
      <x:c r="M666" s="13" t="b">
        <x:v>1</x:v>
      </x:c>
      <x:c r="N666" s="2" t="str">
        <x:v>historical source estimate</x:v>
      </x:c>
      <x:c r="O666" s="2" t="str"/>
      <x:c r="P666" s="2" t="str">
        <x:v>horizontal built-up surface</x:v>
      </x:c>
      <x:c r="Q666" s="2" t="str">
        <x:v>m2</x:v>
      </x:c>
      <x:c r="R666" s="17" t="n">
        <x:v>78515030</x:v>
      </x:c>
      <x:c r="S666" s="17" t="n">
        <x:v>37460168.12</x:v>
      </x:c>
      <x:c r="T666" s="18" t="n">
        <x:v>1</x:v>
      </x:c>
      <x:c r="U666" s="17" t="n">
        <x:v>37460168.12</x:v>
      </x:c>
      <x:c r="V666" s="2" t="str">
        <x:v>Area equivalent = model2020 * source surface / TEMPO2020 footprint</x:v>
      </x:c>
      <x:c r="W666" s="2" t="str">
        <x:v>legacy epoch_status=observed; not exact acquisition proof</x:v>
      </x:c>
      <x:c r="X666" s="2" t="str">
        <x:v>https://human-settlement.emergency.copernicus.eu/ghs_buS2023.php</x:v>
      </x:c>
    </x:row>
    <x:row r="667" ht="23" customHeight="1">
      <x:c r="A667" s="2" t="str">
        <x:v>FRA</x:v>
      </x:c>
      <x:c r="B667" s="2" t="str">
        <x:v>France (French Republic)</x:v>
      </x:c>
      <x:c r="C667" s="2" t="n">
        <x:v>2020</x:v>
      </x:c>
      <x:c r="D667" s="2" t="str">
        <x:v>GHSL_SURFACE</x:v>
      </x:c>
      <x:c r="E667" s="17" t="n">
        <x:v>6074526882.680001</x:v>
      </x:c>
      <x:c r="F667" s="17" t="n">
        <x:f>IF(AND(M667,ISNUMBER(R667)),IF(D667="TEMPO_PROXY",R667,IF(AND(ISNUMBER(S667),S667&gt;0,ISNUMBER(U667)),U667*R667/S667,"n.a.")),"n.a.")</x:f>
        <x:v>10148800483.000002</x:v>
      </x:c>
      <x:c r="G667" s="17" t="n">
        <x:f>IF(AND(ISNUMBER(E667),ISNUMBER(F667)),E667-F667,"n.a.")</x:f>
        <x:v>-4074273600.3200006</x:v>
      </x:c>
      <x:c r="H667" s="15" t="n">
        <x:f>IF(AND(ISNUMBER(E667),ISNUMBER(F667),F667&gt;0),(E667-F667)/F667,"n.a.")</x:f>
        <x:v>-0.4014537094452406</x:v>
      </x:c>
      <x:c r="I667" s="19" t="n">
        <x:f>IF(ISNUMBER(H667),ABS(H667),"n.a.")</x:f>
        <x:v>0.4014537094452406</x:v>
      </x:c>
      <x:c r="J667" s="2" t="str">
        <x:v>available</x:v>
      </x:c>
      <x:c r="K667" s="2" t="n">
        <x:v>1</x:v>
      </x:c>
      <x:c r="L667" s="13" t="b">
        <x:v>0</x:v>
      </x:c>
      <x:c r="M667" s="13" t="b">
        <x:v>1</x:v>
      </x:c>
      <x:c r="N667" s="2" t="str">
        <x:v>historical source estimate</x:v>
      </x:c>
      <x:c r="O667" s="2" t="str"/>
      <x:c r="P667" s="2" t="str">
        <x:v>horizontal built-up surface</x:v>
      </x:c>
      <x:c r="Q667" s="2" t="str">
        <x:v>m2</x:v>
      </x:c>
      <x:c r="R667" s="17" t="n">
        <x:v>10148800483</x:v>
      </x:c>
      <x:c r="S667" s="17" t="n">
        <x:v>6074526882.68</x:v>
      </x:c>
      <x:c r="T667" s="18" t="n">
        <x:v>1.0000000000000002</x:v>
      </x:c>
      <x:c r="U667" s="17" t="n">
        <x:v>6074526882.680001</x:v>
      </x:c>
      <x:c r="V667" s="2" t="str">
        <x:v>Area equivalent = model2020 * source surface / TEMPO2020 footprint</x:v>
      </x:c>
      <x:c r="W667" s="2" t="str">
        <x:v>legacy epoch_status=observed; not exact acquisition proof</x:v>
      </x:c>
      <x:c r="X667" s="2" t="str">
        <x:v>https://human-settlement.emergency.copernicus.eu/ghs_buS2023.php</x:v>
      </x:c>
    </x:row>
    <x:row r="668" ht="23" customHeight="1">
      <x:c r="A668" s="2" t="str">
        <x:v>FSM</x:v>
      </x:c>
      <x:c r="B668" s="2" t="str">
        <x:v>Micronesia (Federated States of)</x:v>
      </x:c>
      <x:c r="C668" s="2" t="n">
        <x:v>2020</x:v>
      </x:c>
      <x:c r="D668" s="2" t="str">
        <x:v>GHSL_SURFACE</x:v>
      </x:c>
      <x:c r="E668" s="17" t="n">
        <x:v>2177822.609999999</x:v>
      </x:c>
      <x:c r="F668" s="17" t="n">
        <x:f>IF(AND(M668,ISNUMBER(R668)),IF(D668="TEMPO_PROXY",R668,IF(AND(ISNUMBER(S668),S668&gt;0,ISNUMBER(U668)),U668*R668/S668,"n.a.")),"n.a.")</x:f>
        <x:v>3384043.999999998</x:v>
      </x:c>
      <x:c r="G668" s="17" t="n">
        <x:f>IF(AND(ISNUMBER(E668),ISNUMBER(F668)),E668-F668,"n.a.")</x:f>
        <x:v>-1206221.3899999992</x:v>
      </x:c>
      <x:c r="H668" s="15" t="n">
        <x:f>IF(AND(ISNUMBER(E668),ISNUMBER(F668),F668&gt;0),(E668-F668)/F668,"n.a.")</x:f>
        <x:v>-0.3564437666886128</x:v>
      </x:c>
      <x:c r="I668" s="19" t="n">
        <x:f>IF(ISNUMBER(H668),ABS(H668),"n.a.")</x:f>
        <x:v>0.3564437666886128</x:v>
      </x:c>
      <x:c r="J668" s="2" t="str">
        <x:v>available</x:v>
      </x:c>
      <x:c r="K668" s="2" t="n">
        <x:v>1</x:v>
      </x:c>
      <x:c r="L668" s="13" t="b">
        <x:v>0</x:v>
      </x:c>
      <x:c r="M668" s="13" t="b">
        <x:v>1</x:v>
      </x:c>
      <x:c r="N668" s="2" t="str">
        <x:v>historical source estimate</x:v>
      </x:c>
      <x:c r="O668" s="2" t="str"/>
      <x:c r="P668" s="2" t="str">
        <x:v>horizontal built-up surface</x:v>
      </x:c>
      <x:c r="Q668" s="2" t="str">
        <x:v>m2</x:v>
      </x:c>
      <x:c r="R668" s="17" t="n">
        <x:v>3384044</x:v>
      </x:c>
      <x:c r="S668" s="17" t="n">
        <x:v>2177822.61</x:v>
      </x:c>
      <x:c r="T668" s="18" t="n">
        <x:v>0.9999999999999996</x:v>
      </x:c>
      <x:c r="U668" s="17" t="n">
        <x:v>2177822.609999999</x:v>
      </x:c>
      <x:c r="V668" s="2" t="str">
        <x:v>Area equivalent = model2020 * source surface / TEMPO2020 footprint</x:v>
      </x:c>
      <x:c r="W668" s="2" t="str">
        <x:v>legacy epoch_status=observed; not exact acquisition proof</x:v>
      </x:c>
      <x:c r="X668" s="2" t="str">
        <x:v>https://human-settlement.emergency.copernicus.eu/ghs_buS2023.php</x:v>
      </x:c>
    </x:row>
    <x:row r="669" ht="23" customHeight="1">
      <x:c r="A669" s="2" t="str">
        <x:v>GAB</x:v>
      </x:c>
      <x:c r="B669" s="2" t="str">
        <x:v>Gabon (Gabonese Republic)</x:v>
      </x:c>
      <x:c r="C669" s="2" t="n">
        <x:v>2020</x:v>
      </x:c>
      <x:c r="D669" s="2" t="str">
        <x:v>GHSL_SURFACE</x:v>
      </x:c>
      <x:c r="E669" s="17" t="n">
        <x:v>73743642.55999996</x:v>
      </x:c>
      <x:c r="F669" s="17" t="n">
        <x:f>IF(AND(M669,ISNUMBER(R669)),IF(D669="TEMPO_PROXY",R669,IF(AND(ISNUMBER(S669),S669&gt;0,ISNUMBER(U669)),U669*R669/S669,"n.a.")),"n.a.")</x:f>
        <x:v>143914059.9999999</x:v>
      </x:c>
      <x:c r="G669" s="17" t="n">
        <x:f>IF(AND(ISNUMBER(E669),ISNUMBER(F669)),E669-F669,"n.a.")</x:f>
        <x:v>-70170417.43999995</x:v>
      </x:c>
      <x:c r="H669" s="15" t="n">
        <x:f>IF(AND(ISNUMBER(E669),ISNUMBER(F669),F669&gt;0),(E669-F669)/F669,"n.a.")</x:f>
        <x:v>-0.48758555932617004</x:v>
      </x:c>
      <x:c r="I669" s="19" t="n">
        <x:f>IF(ISNUMBER(H669),ABS(H669),"n.a.")</x:f>
        <x:v>0.48758555932617004</x:v>
      </x:c>
      <x:c r="J669" s="2" t="str">
        <x:v>available</x:v>
      </x:c>
      <x:c r="K669" s="2" t="n">
        <x:v>1</x:v>
      </x:c>
      <x:c r="L669" s="13" t="b">
        <x:v>0</x:v>
      </x:c>
      <x:c r="M669" s="13" t="b">
        <x:v>1</x:v>
      </x:c>
      <x:c r="N669" s="2" t="str">
        <x:v>historical source estimate</x:v>
      </x:c>
      <x:c r="O669" s="2" t="str"/>
      <x:c r="P669" s="2" t="str">
        <x:v>horizontal built-up surface</x:v>
      </x:c>
      <x:c r="Q669" s="2" t="str">
        <x:v>m2</x:v>
      </x:c>
      <x:c r="R669" s="17" t="n">
        <x:v>143914060</x:v>
      </x:c>
      <x:c r="S669" s="17" t="n">
        <x:v>73743642.56</x:v>
      </x:c>
      <x:c r="T669" s="18" t="n">
        <x:v>0.9999999999999994</x:v>
      </x:c>
      <x:c r="U669" s="17" t="n">
        <x:v>73743642.55999996</x:v>
      </x:c>
      <x:c r="V669" s="2" t="str">
        <x:v>Area equivalent = model2020 * source surface / TEMPO2020 footprint</x:v>
      </x:c>
      <x:c r="W669" s="2" t="str">
        <x:v>legacy epoch_status=observed; not exact acquisition proof</x:v>
      </x:c>
      <x:c r="X669" s="2" t="str">
        <x:v>https://human-settlement.emergency.copernicus.eu/ghs_buS2023.php</x:v>
      </x:c>
    </x:row>
    <x:row r="670" ht="23" customHeight="1">
      <x:c r="A670" s="2" t="str">
        <x:v>GBR</x:v>
      </x:c>
      <x:c r="B670" s="2" t="str">
        <x:v>United Kingdom of Great Britain and Northern Ireland</x:v>
      </x:c>
      <x:c r="C670" s="2" t="n">
        <x:v>2020</x:v>
      </x:c>
      <x:c r="D670" s="2" t="str">
        <x:v>GHSL_SURFACE</x:v>
      </x:c>
      <x:c r="E670" s="17" t="n">
        <x:v>3418464510.0900006</x:v>
      </x:c>
      <x:c r="F670" s="17" t="n">
        <x:f>IF(AND(M670,ISNUMBER(R670)),IF(D670="TEMPO_PROXY",R670,IF(AND(ISNUMBER(S670),S670&gt;0,ISNUMBER(U670)),U670*R670/S670,"n.a.")),"n.a.")</x:f>
        <x:v>5606867836.333606</x:v>
      </x:c>
      <x:c r="G670" s="17" t="n">
        <x:f>IF(AND(ISNUMBER(E670),ISNUMBER(F670)),E670-F670,"n.a.")</x:f>
        <x:v>-2188403326.243605</x:v>
      </x:c>
      <x:c r="H670" s="15" t="n">
        <x:f>IF(AND(ISNUMBER(E670),ISNUMBER(F670),F670&gt;0),(E670-F670)/F670,"n.a.")</x:f>
        <x:v>-0.39030763522948075</x:v>
      </x:c>
      <x:c r="I670" s="19" t="n">
        <x:f>IF(ISNUMBER(H670),ABS(H670),"n.a.")</x:f>
        <x:v>0.39030763522948075</x:v>
      </x:c>
      <x:c r="J670" s="2" t="str">
        <x:v>available</x:v>
      </x:c>
      <x:c r="K670" s="2" t="n">
        <x:v>1</x:v>
      </x:c>
      <x:c r="L670" s="13" t="b">
        <x:v>0</x:v>
      </x:c>
      <x:c r="M670" s="13" t="b">
        <x:v>1</x:v>
      </x:c>
      <x:c r="N670" s="2" t="str">
        <x:v>historical source estimate</x:v>
      </x:c>
      <x:c r="O670" s="2" t="str"/>
      <x:c r="P670" s="2" t="str">
        <x:v>horizontal built-up surface</x:v>
      </x:c>
      <x:c r="Q670" s="2" t="str">
        <x:v>m2</x:v>
      </x:c>
      <x:c r="R670" s="17" t="n">
        <x:v>5578108570</x:v>
      </x:c>
      <x:c r="S670" s="17" t="n">
        <x:v>3400930204.99</x:v>
      </x:c>
      <x:c r="T670" s="18" t="n">
        <x:v>1.0051557380019953</x:v>
      </x:c>
      <x:c r="U670" s="17" t="n">
        <x:v>3418464510.0900006</x:v>
      </x:c>
      <x:c r="V670" s="2" t="str">
        <x:v>Area equivalent = model2020 * source surface / TEMPO2020 footprint</x:v>
      </x:c>
      <x:c r="W670" s="2" t="str">
        <x:v>legacy epoch_status=observed; not exact acquisition proof</x:v>
      </x:c>
      <x:c r="X670" s="2" t="str">
        <x:v>https://human-settlement.emergency.copernicus.eu/ghs_buS2023.php</x:v>
      </x:c>
    </x:row>
    <x:row r="671" ht="23" customHeight="1">
      <x:c r="A671" s="2" t="str">
        <x:v>GEO</x:v>
      </x:c>
      <x:c r="B671" s="2" t="str">
        <x:v>Georgia</x:v>
      </x:c>
      <x:c r="C671" s="2" t="n">
        <x:v>2020</x:v>
      </x:c>
      <x:c r="D671" s="2" t="str">
        <x:v>GHSL_SURFACE</x:v>
      </x:c>
      <x:c r="E671" s="17" t="n">
        <x:v>242256071.04000017</x:v>
      </x:c>
      <x:c r="F671" s="17" t="n">
        <x:f>IF(AND(M671,ISNUMBER(R671)),IF(D671="TEMPO_PROXY",R671,IF(AND(ISNUMBER(S671),S671&gt;0,ISNUMBER(U671)),U671*R671/S671,"n.a.")),"n.a.")</x:f>
        <x:v>490303136.00000036</x:v>
      </x:c>
      <x:c r="G671" s="17" t="n">
        <x:f>IF(AND(ISNUMBER(E671),ISNUMBER(F671)),E671-F671,"n.a.")</x:f>
        <x:v>-248047064.9600002</x:v>
      </x:c>
      <x:c r="H671" s="15" t="n">
        <x:f>IF(AND(ISNUMBER(E671),ISNUMBER(F671),F671&gt;0),(E671-F671)/F671,"n.a.")</x:f>
        <x:v>-0.5059055240470662</x:v>
      </x:c>
      <x:c r="I671" s="19" t="n">
        <x:f>IF(ISNUMBER(H671),ABS(H671),"n.a.")</x:f>
        <x:v>0.5059055240470662</x:v>
      </x:c>
      <x:c r="J671" s="2" t="str">
        <x:v>available</x:v>
      </x:c>
      <x:c r="K671" s="2" t="n">
        <x:v>1</x:v>
      </x:c>
      <x:c r="L671" s="13" t="b">
        <x:v>0</x:v>
      </x:c>
      <x:c r="M671" s="13" t="b">
        <x:v>1</x:v>
      </x:c>
      <x:c r="N671" s="2" t="str">
        <x:v>historical source estimate</x:v>
      </x:c>
      <x:c r="O671" s="2" t="str"/>
      <x:c r="P671" s="2" t="str">
        <x:v>horizontal built-up surface</x:v>
      </x:c>
      <x:c r="Q671" s="2" t="str">
        <x:v>m2</x:v>
      </x:c>
      <x:c r="R671" s="17" t="n">
        <x:v>490303136</x:v>
      </x:c>
      <x:c r="S671" s="17" t="n">
        <x:v>242256071.04</x:v>
      </x:c>
      <x:c r="T671" s="18" t="n">
        <x:v>1.0000000000000007</x:v>
      </x:c>
      <x:c r="U671" s="17" t="n">
        <x:v>242256071.04000017</x:v>
      </x:c>
      <x:c r="V671" s="2" t="str">
        <x:v>Area equivalent = model2020 * source surface / TEMPO2020 footprint</x:v>
      </x:c>
      <x:c r="W671" s="2" t="str">
        <x:v>legacy epoch_status=observed; not exact acquisition proof</x:v>
      </x:c>
      <x:c r="X671" s="2" t="str">
        <x:v>https://human-settlement.emergency.copernicus.eu/ghs_buS2023.php</x:v>
      </x:c>
    </x:row>
    <x:row r="672" ht="23" customHeight="1">
      <x:c r="A672" s="2" t="str">
        <x:v>GHA</x:v>
      </x:c>
      <x:c r="B672" s="2" t="str">
        <x:v>Ghana (Republic of)</x:v>
      </x:c>
      <x:c r="C672" s="2" t="n">
        <x:v>2020</x:v>
      </x:c>
      <x:c r="D672" s="2" t="str">
        <x:v>GHSL_SURFACE</x:v>
      </x:c>
      <x:c r="E672" s="17" t="n">
        <x:v>958424622.62</x:v>
      </x:c>
      <x:c r="F672" s="17" t="n">
        <x:f>IF(AND(M672,ISNUMBER(R672)),IF(D672="TEMPO_PROXY",R672,IF(AND(ISNUMBER(S672),S672&gt;0,ISNUMBER(U672)),U672*R672/S672,"n.a.")),"n.a.")</x:f>
        <x:v>1922849541</x:v>
      </x:c>
      <x:c r="G672" s="17" t="n">
        <x:f>IF(AND(ISNUMBER(E672),ISNUMBER(F672)),E672-F672,"n.a.")</x:f>
        <x:v>-964424918.38</x:v>
      </x:c>
      <x:c r="H672" s="15" t="n">
        <x:f>IF(AND(ISNUMBER(E672),ISNUMBER(F672),F672&gt;0),(E672-F672)/F672,"n.a.")</x:f>
        <x:v>-0.5015602613808461</x:v>
      </x:c>
      <x:c r="I672" s="19" t="n">
        <x:f>IF(ISNUMBER(H672),ABS(H672),"n.a.")</x:f>
        <x:v>0.5015602613808461</x:v>
      </x:c>
      <x:c r="J672" s="2" t="str">
        <x:v>available</x:v>
      </x:c>
      <x:c r="K672" s="2" t="n">
        <x:v>1</x:v>
      </x:c>
      <x:c r="L672" s="13" t="b">
        <x:v>0</x:v>
      </x:c>
      <x:c r="M672" s="13" t="b">
        <x:v>1</x:v>
      </x:c>
      <x:c r="N672" s="2" t="str">
        <x:v>historical source estimate</x:v>
      </x:c>
      <x:c r="O672" s="2" t="str"/>
      <x:c r="P672" s="2" t="str">
        <x:v>horizontal built-up surface</x:v>
      </x:c>
      <x:c r="Q672" s="2" t="str">
        <x:v>m2</x:v>
      </x:c>
      <x:c r="R672" s="17" t="n">
        <x:v>1922849541</x:v>
      </x:c>
      <x:c r="S672" s="17" t="n">
        <x:v>958424622.62</x:v>
      </x:c>
      <x:c r="T672" s="18" t="n">
        <x:v>1</x:v>
      </x:c>
      <x:c r="U672" s="17" t="n">
        <x:v>958424622.62</x:v>
      </x:c>
      <x:c r="V672" s="2" t="str">
        <x:v>Area equivalent = model2020 * source surface / TEMPO2020 footprint</x:v>
      </x:c>
      <x:c r="W672" s="2" t="str">
        <x:v>legacy epoch_status=observed; not exact acquisition proof</x:v>
      </x:c>
      <x:c r="X672" s="2" t="str">
        <x:v>https://human-settlement.emergency.copernicus.eu/ghs_buS2023.php</x:v>
      </x:c>
    </x:row>
    <x:row r="673" ht="23" customHeight="1">
      <x:c r="A673" s="2" t="str">
        <x:v>GIN</x:v>
      </x:c>
      <x:c r="B673" s="2" t="str">
        <x:v>Guinea (Republic of)</x:v>
      </x:c>
      <x:c r="C673" s="2" t="n">
        <x:v>2020</x:v>
      </x:c>
      <x:c r="D673" s="2" t="str">
        <x:v>GHSL_SURFACE</x:v>
      </x:c>
      <x:c r="E673" s="17" t="n">
        <x:v>277637578.22999954</x:v>
      </x:c>
      <x:c r="F673" s="17" t="n">
        <x:f>IF(AND(M673,ISNUMBER(R673)),IF(D673="TEMPO_PROXY",R673,IF(AND(ISNUMBER(S673),S673&gt;0,ISNUMBER(U673)),U673*R673/S673,"n.a.")),"n.a.")</x:f>
        <x:v>647376379.9999988</x:v>
      </x:c>
      <x:c r="G673" s="17" t="n">
        <x:f>IF(AND(ISNUMBER(E673),ISNUMBER(F673)),E673-F673,"n.a.")</x:f>
        <x:v>-369738801.76999927</x:v>
      </x:c>
      <x:c r="H673" s="15" t="n">
        <x:f>IF(AND(ISNUMBER(E673),ISNUMBER(F673),F673&gt;0),(E673-F673)/F673,"n.a.")</x:f>
        <x:v>-0.5711342168059946</x:v>
      </x:c>
      <x:c r="I673" s="19" t="n">
        <x:f>IF(ISNUMBER(H673),ABS(H673),"n.a.")</x:f>
        <x:v>0.5711342168059946</x:v>
      </x:c>
      <x:c r="J673" s="2" t="str">
        <x:v>available</x:v>
      </x:c>
      <x:c r="K673" s="2" t="n">
        <x:v>1</x:v>
      </x:c>
      <x:c r="L673" s="13" t="b">
        <x:v>0</x:v>
      </x:c>
      <x:c r="M673" s="13" t="b">
        <x:v>1</x:v>
      </x:c>
      <x:c r="N673" s="2" t="str">
        <x:v>historical source estimate</x:v>
      </x:c>
      <x:c r="O673" s="2" t="str"/>
      <x:c r="P673" s="2" t="str">
        <x:v>horizontal built-up surface</x:v>
      </x:c>
      <x:c r="Q673" s="2" t="str">
        <x:v>m2</x:v>
      </x:c>
      <x:c r="R673" s="17" t="n">
        <x:v>647376380</x:v>
      </x:c>
      <x:c r="S673" s="17" t="n">
        <x:v>277637578.23</x:v>
      </x:c>
      <x:c r="T673" s="18" t="n">
        <x:v>0.9999999999999983</x:v>
      </x:c>
      <x:c r="U673" s="17" t="n">
        <x:v>277637578.22999954</x:v>
      </x:c>
      <x:c r="V673" s="2" t="str">
        <x:v>Area equivalent = model2020 * source surface / TEMPO2020 footprint</x:v>
      </x:c>
      <x:c r="W673" s="2" t="str">
        <x:v>legacy epoch_status=observed; not exact acquisition proof</x:v>
      </x:c>
      <x:c r="X673" s="2" t="str">
        <x:v>https://human-settlement.emergency.copernicus.eu/ghs_buS2023.php</x:v>
      </x:c>
    </x:row>
    <x:row r="674" ht="23" customHeight="1">
      <x:c r="A674" s="2" t="str">
        <x:v>GMB</x:v>
      </x:c>
      <x:c r="B674" s="2" t="str">
        <x:v>Gambia (Republic of the)</x:v>
      </x:c>
      <x:c r="C674" s="2" t="n">
        <x:v>2020</x:v>
      </x:c>
      <x:c r="D674" s="2" t="str">
        <x:v>GHSL_SURFACE</x:v>
      </x:c>
      <x:c r="E674" s="17" t="n">
        <x:v>56875154.52999992</x:v>
      </x:c>
      <x:c r="F674" s="17" t="n">
        <x:f>IF(AND(M674,ISNUMBER(R674)),IF(D674="TEMPO_PROXY",R674,IF(AND(ISNUMBER(S674),S674&gt;0,ISNUMBER(U674)),U674*R674/S674,"n.a.")),"n.a.")</x:f>
        <x:v>111621937.99999984</x:v>
      </x:c>
      <x:c r="G674" s="17" t="n">
        <x:f>IF(AND(ISNUMBER(E674),ISNUMBER(F674)),E674-F674,"n.a.")</x:f>
        <x:v>-54746783.46999992</x:v>
      </x:c>
      <x:c r="H674" s="15" t="n">
        <x:f>IF(AND(ISNUMBER(E674),ISNUMBER(F674),F674&gt;0),(E674-F674)/F674,"n.a.")</x:f>
        <x:v>-0.4904661614995432</x:v>
      </x:c>
      <x:c r="I674" s="19" t="n">
        <x:f>IF(ISNUMBER(H674),ABS(H674),"n.a.")</x:f>
        <x:v>0.4904661614995432</x:v>
      </x:c>
      <x:c r="J674" s="2" t="str">
        <x:v>available</x:v>
      </x:c>
      <x:c r="K674" s="2" t="n">
        <x:v>1</x:v>
      </x:c>
      <x:c r="L674" s="13" t="b">
        <x:v>0</x:v>
      </x:c>
      <x:c r="M674" s="13" t="b">
        <x:v>1</x:v>
      </x:c>
      <x:c r="N674" s="2" t="str">
        <x:v>historical source estimate</x:v>
      </x:c>
      <x:c r="O674" s="2" t="str"/>
      <x:c r="P674" s="2" t="str">
        <x:v>horizontal built-up surface</x:v>
      </x:c>
      <x:c r="Q674" s="2" t="str">
        <x:v>m2</x:v>
      </x:c>
      <x:c r="R674" s="17" t="n">
        <x:v>111621938</x:v>
      </x:c>
      <x:c r="S674" s="17" t="n">
        <x:v>56875154.53</x:v>
      </x:c>
      <x:c r="T674" s="18" t="n">
        <x:v>0.9999999999999986</x:v>
      </x:c>
      <x:c r="U674" s="17" t="n">
        <x:v>56875154.52999992</x:v>
      </x:c>
      <x:c r="V674" s="2" t="str">
        <x:v>Area equivalent = model2020 * source surface / TEMPO2020 footprint</x:v>
      </x:c>
      <x:c r="W674" s="2" t="str">
        <x:v>legacy epoch_status=observed; not exact acquisition proof</x:v>
      </x:c>
      <x:c r="X674" s="2" t="str">
        <x:v>https://human-settlement.emergency.copernicus.eu/ghs_buS2023.php</x:v>
      </x:c>
    </x:row>
    <x:row r="675" ht="23" customHeight="1">
      <x:c r="A675" s="2" t="str">
        <x:v>GNB</x:v>
      </x:c>
      <x:c r="B675" s="2" t="str">
        <x:v>Guinea-Bissau (Republic of)</x:v>
      </x:c>
      <x:c r="C675" s="2" t="n">
        <x:v>2020</x:v>
      </x:c>
      <x:c r="D675" s="2" t="str">
        <x:v>GHSL_SURFACE</x:v>
      </x:c>
      <x:c r="E675" s="17" t="n">
        <x:v>48952674.499999925</x:v>
      </x:c>
      <x:c r="F675" s="17" t="n">
        <x:f>IF(AND(M675,ISNUMBER(R675)),IF(D675="TEMPO_PROXY",R675,IF(AND(ISNUMBER(S675),S675&gt;0,ISNUMBER(U675)),U675*R675/S675,"n.a.")),"n.a.")</x:f>
        <x:v>96752101.99999985</x:v>
      </x:c>
      <x:c r="G675" s="17" t="n">
        <x:f>IF(AND(ISNUMBER(E675),ISNUMBER(F675)),E675-F675,"n.a.")</x:f>
        <x:v>-47799427.499999925</x:v>
      </x:c>
      <x:c r="H675" s="15" t="n">
        <x:f>IF(AND(ISNUMBER(E675),ISNUMBER(F675),F675&gt;0),(E675-F675)/F675,"n.a.")</x:f>
        <x:v>-0.49404019666673493</x:v>
      </x:c>
      <x:c r="I675" s="19" t="n">
        <x:f>IF(ISNUMBER(H675),ABS(H675),"n.a.")</x:f>
        <x:v>0.49404019666673493</x:v>
      </x:c>
      <x:c r="J675" s="2" t="str">
        <x:v>available</x:v>
      </x:c>
      <x:c r="K675" s="2" t="n">
        <x:v>1</x:v>
      </x:c>
      <x:c r="L675" s="13" t="b">
        <x:v>0</x:v>
      </x:c>
      <x:c r="M675" s="13" t="b">
        <x:v>1</x:v>
      </x:c>
      <x:c r="N675" s="2" t="str">
        <x:v>historical source estimate</x:v>
      </x:c>
      <x:c r="O675" s="2" t="str"/>
      <x:c r="P675" s="2" t="str">
        <x:v>horizontal built-up surface</x:v>
      </x:c>
      <x:c r="Q675" s="2" t="str">
        <x:v>m2</x:v>
      </x:c>
      <x:c r="R675" s="17" t="n">
        <x:v>96752102</x:v>
      </x:c>
      <x:c r="S675" s="17" t="n">
        <x:v>48952674.5</x:v>
      </x:c>
      <x:c r="T675" s="18" t="n">
        <x:v>0.9999999999999984</x:v>
      </x:c>
      <x:c r="U675" s="17" t="n">
        <x:v>48952674.499999925</x:v>
      </x:c>
      <x:c r="V675" s="2" t="str">
        <x:v>Area equivalent = model2020 * source surface / TEMPO2020 footprint</x:v>
      </x:c>
      <x:c r="W675" s="2" t="str">
        <x:v>legacy epoch_status=observed; not exact acquisition proof</x:v>
      </x:c>
      <x:c r="X675" s="2" t="str">
        <x:v>https://human-settlement.emergency.copernicus.eu/ghs_buS2023.php</x:v>
      </x:c>
    </x:row>
    <x:row r="676" ht="23" customHeight="1">
      <x:c r="A676" s="2" t="str">
        <x:v>GNQ</x:v>
      </x:c>
      <x:c r="B676" s="2" t="str">
        <x:v>Equatorial Guinea (Republic of)</x:v>
      </x:c>
      <x:c r="C676" s="2" t="n">
        <x:v>2020</x:v>
      </x:c>
      <x:c r="D676" s="2" t="str">
        <x:v>GHSL_SURFACE</x:v>
      </x:c>
      <x:c r="E676" s="17" t="n">
        <x:v>34102626.51999995</x:v>
      </x:c>
      <x:c r="F676" s="17" t="n">
        <x:f>IF(AND(M676,ISNUMBER(R676)),IF(D676="TEMPO_PROXY",R676,IF(AND(ISNUMBER(S676),S676&gt;0,ISNUMBER(U676)),U676*R676/S676,"n.a.")),"n.a.")</x:f>
        <x:v>55615980.99999992</x:v>
      </x:c>
      <x:c r="G676" s="17" t="n">
        <x:f>IF(AND(ISNUMBER(E676),ISNUMBER(F676)),E676-F676,"n.a.")</x:f>
        <x:v>-21513354.479999967</x:v>
      </x:c>
      <x:c r="H676" s="15" t="n">
        <x:f>IF(AND(ISNUMBER(E676),ISNUMBER(F676),F676&gt;0),(E676-F676)/F676,"n.a.")</x:f>
        <x:v>-0.38681965314969446</x:v>
      </x:c>
      <x:c r="I676" s="19" t="n">
        <x:f>IF(ISNUMBER(H676),ABS(H676),"n.a.")</x:f>
        <x:v>0.38681965314969446</x:v>
      </x:c>
      <x:c r="J676" s="2" t="str">
        <x:v>available</x:v>
      </x:c>
      <x:c r="K676" s="2" t="n">
        <x:v>1</x:v>
      </x:c>
      <x:c r="L676" s="13" t="b">
        <x:v>0</x:v>
      </x:c>
      <x:c r="M676" s="13" t="b">
        <x:v>1</x:v>
      </x:c>
      <x:c r="N676" s="2" t="str">
        <x:v>historical source estimate</x:v>
      </x:c>
      <x:c r="O676" s="2" t="str"/>
      <x:c r="P676" s="2" t="str">
        <x:v>horizontal built-up surface</x:v>
      </x:c>
      <x:c r="Q676" s="2" t="str">
        <x:v>m2</x:v>
      </x:c>
      <x:c r="R676" s="17" t="n">
        <x:v>55615981</x:v>
      </x:c>
      <x:c r="S676" s="17" t="n">
        <x:v>34102626.52</x:v>
      </x:c>
      <x:c r="T676" s="18" t="n">
        <x:v>0.9999999999999984</x:v>
      </x:c>
      <x:c r="U676" s="17" t="n">
        <x:v>34102626.51999995</x:v>
      </x:c>
      <x:c r="V676" s="2" t="str">
        <x:v>Area equivalent = model2020 * source surface / TEMPO2020 footprint</x:v>
      </x:c>
      <x:c r="W676" s="2" t="str">
        <x:v>legacy epoch_status=observed; not exact acquisition proof</x:v>
      </x:c>
      <x:c r="X676" s="2" t="str">
        <x:v>https://human-settlement.emergency.copernicus.eu/ghs_buS2023.php</x:v>
      </x:c>
    </x:row>
    <x:row r="677" ht="23" customHeight="1">
      <x:c r="A677" s="2" t="str">
        <x:v>GRC</x:v>
      </x:c>
      <x:c r="B677" s="2" t="str">
        <x:v>Greece (Hellenic Republic)</x:v>
      </x:c>
      <x:c r="C677" s="2" t="n">
        <x:v>2020</x:v>
      </x:c>
      <x:c r="D677" s="2" t="str">
        <x:v>GHSL_SURFACE</x:v>
      </x:c>
      <x:c r="E677" s="17" t="n">
        <x:v>853851739.6700008</x:v>
      </x:c>
      <x:c r="F677" s="17" t="n">
        <x:f>IF(AND(M677,ISNUMBER(R677)),IF(D677="TEMPO_PROXY",R677,IF(AND(ISNUMBER(S677),S677&gt;0,ISNUMBER(U677)),U677*R677/S677,"n.a.")),"n.a.")</x:f>
        <x:v>1154682167.0000012</x:v>
      </x:c>
      <x:c r="G677" s="17" t="n">
        <x:f>IF(AND(ISNUMBER(E677),ISNUMBER(F677)),E677-F677,"n.a.")</x:f>
        <x:v>-300830427.3300004</x:v>
      </x:c>
      <x:c r="H677" s="15" t="n">
        <x:f>IF(AND(ISNUMBER(E677),ISNUMBER(F677),F677&gt;0),(E677-F677)/F677,"n.a.")</x:f>
        <x:v>-0.2605309373674601</x:v>
      </x:c>
      <x:c r="I677" s="19" t="n">
        <x:f>IF(ISNUMBER(H677),ABS(H677),"n.a.")</x:f>
        <x:v>0.2605309373674601</x:v>
      </x:c>
      <x:c r="J677" s="2" t="str">
        <x:v>available</x:v>
      </x:c>
      <x:c r="K677" s="2" t="n">
        <x:v>1</x:v>
      </x:c>
      <x:c r="L677" s="13" t="b">
        <x:v>0</x:v>
      </x:c>
      <x:c r="M677" s="13" t="b">
        <x:v>1</x:v>
      </x:c>
      <x:c r="N677" s="2" t="str">
        <x:v>historical source estimate</x:v>
      </x:c>
      <x:c r="O677" s="2" t="str"/>
      <x:c r="P677" s="2" t="str">
        <x:v>horizontal built-up surface</x:v>
      </x:c>
      <x:c r="Q677" s="2" t="str">
        <x:v>m2</x:v>
      </x:c>
      <x:c r="R677" s="17" t="n">
        <x:v>1154682167</x:v>
      </x:c>
      <x:c r="S677" s="17" t="n">
        <x:v>853851739.67</x:v>
      </x:c>
      <x:c r="T677" s="18" t="n">
        <x:v>1.0000000000000009</x:v>
      </x:c>
      <x:c r="U677" s="17" t="n">
        <x:v>853851739.6700008</x:v>
      </x:c>
      <x:c r="V677" s="2" t="str">
        <x:v>Area equivalent = model2020 * source surface / TEMPO2020 footprint</x:v>
      </x:c>
      <x:c r="W677" s="2" t="str">
        <x:v>legacy epoch_status=observed; not exact acquisition proof</x:v>
      </x:c>
      <x:c r="X677" s="2" t="str">
        <x:v>https://human-settlement.emergency.copernicus.eu/ghs_buS2023.php</x:v>
      </x:c>
    </x:row>
    <x:row r="678" ht="23" customHeight="1">
      <x:c r="A678" s="2" t="str">
        <x:v>GRD</x:v>
      </x:c>
      <x:c r="B678" s="2" t="str">
        <x:v>Grenada</x:v>
      </x:c>
      <x:c r="C678" s="2" t="n">
        <x:v>2020</x:v>
      </x:c>
      <x:c r="D678" s="2" t="str">
        <x:v>GHSL_SURFACE</x:v>
      </x:c>
      <x:c r="E678" s="17" t="n">
        <x:v>6904998.419999993</x:v>
      </x:c>
      <x:c r="F678" s="17" t="n">
        <x:f>IF(AND(M678,ISNUMBER(R678)),IF(D678="TEMPO_PROXY",R678,IF(AND(ISNUMBER(S678),S678&gt;0,ISNUMBER(U678)),U678*R678/S678,"n.a.")),"n.a.")</x:f>
        <x:v>8921674.99999999</x:v>
      </x:c>
      <x:c r="G678" s="17" t="n">
        <x:f>IF(AND(ISNUMBER(E678),ISNUMBER(F678)),E678-F678,"n.a.")</x:f>
        <x:v>-2016676.5799999973</x:v>
      </x:c>
      <x:c r="H678" s="15" t="n">
        <x:f>IF(AND(ISNUMBER(E678),ISNUMBER(F678),F678&gt;0),(E678-F678)/F678,"n.a.")</x:f>
        <x:v>-0.22604237208820085</x:v>
      </x:c>
      <x:c r="I678" s="19" t="n">
        <x:f>IF(ISNUMBER(H678),ABS(H678),"n.a.")</x:f>
        <x:v>0.22604237208820085</x:v>
      </x:c>
      <x:c r="J678" s="2" t="str">
        <x:v>available</x:v>
      </x:c>
      <x:c r="K678" s="2" t="n">
        <x:v>1</x:v>
      </x:c>
      <x:c r="L678" s="13" t="b">
        <x:v>0</x:v>
      </x:c>
      <x:c r="M678" s="13" t="b">
        <x:v>1</x:v>
      </x:c>
      <x:c r="N678" s="2" t="str">
        <x:v>historical source estimate</x:v>
      </x:c>
      <x:c r="O678" s="2" t="str"/>
      <x:c r="P678" s="2" t="str">
        <x:v>horizontal built-up surface</x:v>
      </x:c>
      <x:c r="Q678" s="2" t="str">
        <x:v>m2</x:v>
      </x:c>
      <x:c r="R678" s="17" t="n">
        <x:v>8921675</x:v>
      </x:c>
      <x:c r="S678" s="17" t="n">
        <x:v>6904998.42</x:v>
      </x:c>
      <x:c r="T678" s="18" t="n">
        <x:v>0.999999999999999</x:v>
      </x:c>
      <x:c r="U678" s="17" t="n">
        <x:v>6904998.419999993</x:v>
      </x:c>
      <x:c r="V678" s="2" t="str">
        <x:v>Area equivalent = model2020 * source surface / TEMPO2020 footprint</x:v>
      </x:c>
      <x:c r="W678" s="2" t="str">
        <x:v>legacy epoch_status=observed; not exact acquisition proof</x:v>
      </x:c>
      <x:c r="X678" s="2" t="str">
        <x:v>https://human-settlement.emergency.copernicus.eu/ghs_buS2023.php</x:v>
      </x:c>
    </x:row>
    <x:row r="679" ht="23" customHeight="1">
      <x:c r="A679" s="2" t="str">
        <x:v>GTM</x:v>
      </x:c>
      <x:c r="B679" s="2" t="str">
        <x:v>Guatemala (Republic of)</x:v>
      </x:c>
      <x:c r="C679" s="2" t="n">
        <x:v>2020</x:v>
      </x:c>
      <x:c r="D679" s="2" t="str">
        <x:v>GHSL_SURFACE</x:v>
      </x:c>
      <x:c r="E679" s="17" t="n">
        <x:v>599114028.8099989</x:v>
      </x:c>
      <x:c r="F679" s="17" t="n">
        <x:f>IF(AND(M679,ISNUMBER(R679)),IF(D679="TEMPO_PROXY",R679,IF(AND(ISNUMBER(S679),S679&gt;0,ISNUMBER(U679)),U679*R679/S679,"n.a.")),"n.a.")</x:f>
        <x:v>932538651.9999983</x:v>
      </x:c>
      <x:c r="G679" s="17" t="n">
        <x:f>IF(AND(ISNUMBER(E679),ISNUMBER(F679)),E679-F679,"n.a.")</x:f>
        <x:v>-333424623.18999946</x:v>
      </x:c>
      <x:c r="H679" s="15" t="n">
        <x:f>IF(AND(ISNUMBER(E679),ISNUMBER(F679),F679&gt;0),(E679-F679)/F679,"n.a.")</x:f>
        <x:v>-0.3575450974336665</x:v>
      </x:c>
      <x:c r="I679" s="19" t="n">
        <x:f>IF(ISNUMBER(H679),ABS(H679),"n.a.")</x:f>
        <x:v>0.3575450974336665</x:v>
      </x:c>
      <x:c r="J679" s="2" t="str">
        <x:v>available</x:v>
      </x:c>
      <x:c r="K679" s="2" t="n">
        <x:v>1</x:v>
      </x:c>
      <x:c r="L679" s="13" t="b">
        <x:v>0</x:v>
      </x:c>
      <x:c r="M679" s="13" t="b">
        <x:v>1</x:v>
      </x:c>
      <x:c r="N679" s="2" t="str">
        <x:v>historical source estimate</x:v>
      </x:c>
      <x:c r="O679" s="2" t="str"/>
      <x:c r="P679" s="2" t="str">
        <x:v>horizontal built-up surface</x:v>
      </x:c>
      <x:c r="Q679" s="2" t="str">
        <x:v>m2</x:v>
      </x:c>
      <x:c r="R679" s="17" t="n">
        <x:v>932538652</x:v>
      </x:c>
      <x:c r="S679" s="17" t="n">
        <x:v>599114028.81</x:v>
      </x:c>
      <x:c r="T679" s="18" t="n">
        <x:v>0.9999999999999982</x:v>
      </x:c>
      <x:c r="U679" s="17" t="n">
        <x:v>599114028.8099989</x:v>
      </x:c>
      <x:c r="V679" s="2" t="str">
        <x:v>Area equivalent = model2020 * source surface / TEMPO2020 footprint</x:v>
      </x:c>
      <x:c r="W679" s="2" t="str">
        <x:v>legacy epoch_status=observed; not exact acquisition proof</x:v>
      </x:c>
      <x:c r="X679" s="2" t="str">
        <x:v>https://human-settlement.emergency.copernicus.eu/ghs_buS2023.php</x:v>
      </x:c>
    </x:row>
    <x:row r="680" ht="23" customHeight="1">
      <x:c r="A680" s="2" t="str">
        <x:v>GUY</x:v>
      </x:c>
      <x:c r="B680" s="2" t="str">
        <x:v>Guyana (Co-operative Republic of)</x:v>
      </x:c>
      <x:c r="C680" s="2" t="n">
        <x:v>2020</x:v>
      </x:c>
      <x:c r="D680" s="2" t="str">
        <x:v>GHSL_SURFACE</x:v>
      </x:c>
      <x:c r="E680" s="17" t="n">
        <x:v>46462035.66000002</x:v>
      </x:c>
      <x:c r="F680" s="17" t="n">
        <x:f>IF(AND(M680,ISNUMBER(R680)),IF(D680="TEMPO_PROXY",R680,IF(AND(ISNUMBER(S680),S680&gt;0,ISNUMBER(U680)),U680*R680/S680,"n.a.")),"n.a.")</x:f>
        <x:v>55299179.00000002</x:v>
      </x:c>
      <x:c r="G680" s="17" t="n">
        <x:f>IF(AND(ISNUMBER(E680),ISNUMBER(F680)),E680-F680,"n.a.")</x:f>
        <x:v>-8837143.340000004</x:v>
      </x:c>
      <x:c r="H680" s="15" t="n">
        <x:f>IF(AND(ISNUMBER(E680),ISNUMBER(F680),F680&gt;0),(E680-F680)/F680,"n.a.")</x:f>
        <x:v>-0.15980604956178462</x:v>
      </x:c>
      <x:c r="I680" s="19" t="n">
        <x:f>IF(ISNUMBER(H680),ABS(H680),"n.a.")</x:f>
        <x:v>0.15980604956178462</x:v>
      </x:c>
      <x:c r="J680" s="2" t="str">
        <x:v>available</x:v>
      </x:c>
      <x:c r="K680" s="2" t="n">
        <x:v>1</x:v>
      </x:c>
      <x:c r="L680" s="13" t="b">
        <x:v>0</x:v>
      </x:c>
      <x:c r="M680" s="13" t="b">
        <x:v>1</x:v>
      </x:c>
      <x:c r="N680" s="2" t="str">
        <x:v>historical source estimate</x:v>
      </x:c>
      <x:c r="O680" s="2" t="str"/>
      <x:c r="P680" s="2" t="str">
        <x:v>horizontal built-up surface</x:v>
      </x:c>
      <x:c r="Q680" s="2" t="str">
        <x:v>m2</x:v>
      </x:c>
      <x:c r="R680" s="17" t="n">
        <x:v>55299179</x:v>
      </x:c>
      <x:c r="S680" s="17" t="n">
        <x:v>46462035.66</x:v>
      </x:c>
      <x:c r="T680" s="18" t="n">
        <x:v>1.0000000000000004</x:v>
      </x:c>
      <x:c r="U680" s="17" t="n">
        <x:v>46462035.66000002</x:v>
      </x:c>
      <x:c r="V680" s="2" t="str">
        <x:v>Area equivalent = model2020 * source surface / TEMPO2020 footprint</x:v>
      </x:c>
      <x:c r="W680" s="2" t="str">
        <x:v>legacy epoch_status=observed; not exact acquisition proof</x:v>
      </x:c>
      <x:c r="X680" s="2" t="str">
        <x:v>https://human-settlement.emergency.copernicus.eu/ghs_buS2023.php</x:v>
      </x:c>
    </x:row>
    <x:row r="681" ht="23" customHeight="1">
      <x:c r="A681" s="2" t="str">
        <x:v>HND</x:v>
      </x:c>
      <x:c r="B681" s="2" t="str">
        <x:v>Honduras (Republic of)</x:v>
      </x:c>
      <x:c r="C681" s="2" t="n">
        <x:v>2020</x:v>
      </x:c>
      <x:c r="D681" s="2" t="str">
        <x:v>GHSL_SURFACE</x:v>
      </x:c>
      <x:c r="E681" s="17" t="n">
        <x:v>335660713.2700002</x:v>
      </x:c>
      <x:c r="F681" s="17" t="n">
        <x:f>IF(AND(M681,ISNUMBER(R681)),IF(D681="TEMPO_PROXY",R681,IF(AND(ISNUMBER(S681),S681&gt;0,ISNUMBER(U681)),U681*R681/S681,"n.a.")),"n.a.")</x:f>
        <x:v>563718026.0000005</x:v>
      </x:c>
      <x:c r="G681" s="17" t="n">
        <x:f>IF(AND(ISNUMBER(E681),ISNUMBER(F681)),E681-F681,"n.a.")</x:f>
        <x:v>-228057312.73000026</x:v>
      </x:c>
      <x:c r="H681" s="15" t="n">
        <x:f>IF(AND(ISNUMBER(E681),ISNUMBER(F681),F681&gt;0),(E681-F681)/F681,"n.a.")</x:f>
        <x:v>-0.4045591984138539</x:v>
      </x:c>
      <x:c r="I681" s="19" t="n">
        <x:f>IF(ISNUMBER(H681),ABS(H681),"n.a.")</x:f>
        <x:v>0.4045591984138539</x:v>
      </x:c>
      <x:c r="J681" s="2" t="str">
        <x:v>available</x:v>
      </x:c>
      <x:c r="K681" s="2" t="n">
        <x:v>1</x:v>
      </x:c>
      <x:c r="L681" s="13" t="b">
        <x:v>0</x:v>
      </x:c>
      <x:c r="M681" s="13" t="b">
        <x:v>1</x:v>
      </x:c>
      <x:c r="N681" s="2" t="str">
        <x:v>historical source estimate</x:v>
      </x:c>
      <x:c r="O681" s="2" t="str"/>
      <x:c r="P681" s="2" t="str">
        <x:v>horizontal built-up surface</x:v>
      </x:c>
      <x:c r="Q681" s="2" t="str">
        <x:v>m2</x:v>
      </x:c>
      <x:c r="R681" s="17" t="n">
        <x:v>563718026</x:v>
      </x:c>
      <x:c r="S681" s="17" t="n">
        <x:v>335660713.27</x:v>
      </x:c>
      <x:c r="T681" s="18" t="n">
        <x:v>1.0000000000000007</x:v>
      </x:c>
      <x:c r="U681" s="17" t="n">
        <x:v>335660713.2700002</x:v>
      </x:c>
      <x:c r="V681" s="2" t="str">
        <x:v>Area equivalent = model2020 * source surface / TEMPO2020 footprint</x:v>
      </x:c>
      <x:c r="W681" s="2" t="str">
        <x:v>legacy epoch_status=observed; not exact acquisition proof</x:v>
      </x:c>
      <x:c r="X681" s="2" t="str">
        <x:v>https://human-settlement.emergency.copernicus.eu/ghs_buS2023.php</x:v>
      </x:c>
    </x:row>
    <x:row r="682" ht="23" customHeight="1">
      <x:c r="A682" s="2" t="str">
        <x:v>HRV</x:v>
      </x:c>
      <x:c r="B682" s="2" t="str">
        <x:v>Croatia (Republic of)</x:v>
      </x:c>
      <x:c r="C682" s="2" t="n">
        <x:v>2020</x:v>
      </x:c>
      <x:c r="D682" s="2" t="str">
        <x:v>GHSL_SURFACE</x:v>
      </x:c>
      <x:c r="E682" s="17" t="n">
        <x:v>361520718.4299994</x:v>
      </x:c>
      <x:c r="F682" s="17" t="n">
        <x:f>IF(AND(M682,ISNUMBER(R682)),IF(D682="TEMPO_PROXY",R682,IF(AND(ISNUMBER(S682),S682&gt;0,ISNUMBER(U682)),U682*R682/S682,"n.a.")),"n.a.")</x:f>
        <x:v>498223279.99999917</x:v>
      </x:c>
      <x:c r="G682" s="17" t="n">
        <x:f>IF(AND(ISNUMBER(E682),ISNUMBER(F682)),E682-F682,"n.a.")</x:f>
        <x:v>-136702561.56999975</x:v>
      </x:c>
      <x:c r="H682" s="15" t="n">
        <x:f>IF(AND(ISNUMBER(E682),ISNUMBER(F682),F682&gt;0),(E682-F682)/F682,"n.a.")</x:f>
        <x:v>-0.2743801164208946</x:v>
      </x:c>
      <x:c r="I682" s="19" t="n">
        <x:f>IF(ISNUMBER(H682),ABS(H682),"n.a.")</x:f>
        <x:v>0.2743801164208946</x:v>
      </x:c>
      <x:c r="J682" s="2" t="str">
        <x:v>available</x:v>
      </x:c>
      <x:c r="K682" s="2" t="n">
        <x:v>1</x:v>
      </x:c>
      <x:c r="L682" s="13" t="b">
        <x:v>0</x:v>
      </x:c>
      <x:c r="M682" s="13" t="b">
        <x:v>1</x:v>
      </x:c>
      <x:c r="N682" s="2" t="str">
        <x:v>historical source estimate</x:v>
      </x:c>
      <x:c r="O682" s="2" t="str"/>
      <x:c r="P682" s="2" t="str">
        <x:v>horizontal built-up surface</x:v>
      </x:c>
      <x:c r="Q682" s="2" t="str">
        <x:v>m2</x:v>
      </x:c>
      <x:c r="R682" s="17" t="n">
        <x:v>498223280</x:v>
      </x:c>
      <x:c r="S682" s="17" t="n">
        <x:v>361520718.43</x:v>
      </x:c>
      <x:c r="T682" s="18" t="n">
        <x:v>0.9999999999999983</x:v>
      </x:c>
      <x:c r="U682" s="17" t="n">
        <x:v>361520718.4299994</x:v>
      </x:c>
      <x:c r="V682" s="2" t="str">
        <x:v>Area equivalent = model2020 * source surface / TEMPO2020 footprint</x:v>
      </x:c>
      <x:c r="W682" s="2" t="str">
        <x:v>legacy epoch_status=observed; not exact acquisition proof</x:v>
      </x:c>
      <x:c r="X682" s="2" t="str">
        <x:v>https://human-settlement.emergency.copernicus.eu/ghs_buS2023.php</x:v>
      </x:c>
    </x:row>
    <x:row r="683" ht="23" customHeight="1">
      <x:c r="A683" s="2" t="str">
        <x:v>HTI</x:v>
      </x:c>
      <x:c r="B683" s="2" t="str">
        <x:v>Haiti (Republic of)</x:v>
      </x:c>
      <x:c r="C683" s="2" t="n">
        <x:v>2020</x:v>
      </x:c>
      <x:c r="D683" s="2" t="str">
        <x:v>GHSL_SURFACE</x:v>
      </x:c>
      <x:c r="E683" s="17" t="n">
        <x:v>189002396.5400002</x:v>
      </x:c>
      <x:c r="F683" s="17" t="n">
        <x:f>IF(AND(M683,ISNUMBER(R683)),IF(D683="TEMPO_PROXY",R683,IF(AND(ISNUMBER(S683),S683&gt;0,ISNUMBER(U683)),U683*R683/S683,"n.a.")),"n.a.")</x:f>
        <x:v>286862502.0000003</x:v>
      </x:c>
      <x:c r="G683" s="17" t="n">
        <x:f>IF(AND(ISNUMBER(E683),ISNUMBER(F683)),E683-F683,"n.a.")</x:f>
        <x:v>-97860105.4600001</x:v>
      </x:c>
      <x:c r="H683" s="15" t="n">
        <x:f>IF(AND(ISNUMBER(E683),ISNUMBER(F683),F683&gt;0),(E683-F683)/F683,"n.a.")</x:f>
        <x:v>-0.341139412707207</x:v>
      </x:c>
      <x:c r="I683" s="19" t="n">
        <x:f>IF(ISNUMBER(H683),ABS(H683),"n.a.")</x:f>
        <x:v>0.341139412707207</x:v>
      </x:c>
      <x:c r="J683" s="2" t="str">
        <x:v>available</x:v>
      </x:c>
      <x:c r="K683" s="2" t="n">
        <x:v>1</x:v>
      </x:c>
      <x:c r="L683" s="13" t="b">
        <x:v>0</x:v>
      </x:c>
      <x:c r="M683" s="13" t="b">
        <x:v>1</x:v>
      </x:c>
      <x:c r="N683" s="2" t="str">
        <x:v>historical source estimate</x:v>
      </x:c>
      <x:c r="O683" s="2" t="str"/>
      <x:c r="P683" s="2" t="str">
        <x:v>horizontal built-up surface</x:v>
      </x:c>
      <x:c r="Q683" s="2" t="str">
        <x:v>m2</x:v>
      </x:c>
      <x:c r="R683" s="17" t="n">
        <x:v>286862502</x:v>
      </x:c>
      <x:c r="S683" s="17" t="n">
        <x:v>189002396.54</x:v>
      </x:c>
      <x:c r="T683" s="18" t="n">
        <x:v>1.000000000000001</x:v>
      </x:c>
      <x:c r="U683" s="17" t="n">
        <x:v>189002396.5400002</x:v>
      </x:c>
      <x:c r="V683" s="2" t="str">
        <x:v>Area equivalent = model2020 * source surface / TEMPO2020 footprint</x:v>
      </x:c>
      <x:c r="W683" s="2" t="str">
        <x:v>legacy epoch_status=observed; not exact acquisition proof</x:v>
      </x:c>
      <x:c r="X683" s="2" t="str">
        <x:v>https://human-settlement.emergency.copernicus.eu/ghs_buS2023.php</x:v>
      </x:c>
    </x:row>
    <x:row r="684" ht="23" customHeight="1">
      <x:c r="A684" s="2" t="str">
        <x:v>HUN</x:v>
      </x:c>
      <x:c r="B684" s="2" t="str">
        <x:v>Hungary</x:v>
      </x:c>
      <x:c r="C684" s="2" t="n">
        <x:v>2020</x:v>
      </x:c>
      <x:c r="D684" s="2" t="str">
        <x:v>GHSL_SURFACE</x:v>
      </x:c>
      <x:c r="E684" s="17" t="n">
        <x:v>853072780.5300013</x:v>
      </x:c>
      <x:c r="F684" s="17" t="n">
        <x:f>IF(AND(M684,ISNUMBER(R684)),IF(D684="TEMPO_PROXY",R684,IF(AND(ISNUMBER(S684),S684&gt;0,ISNUMBER(U684)),U684*R684/S684,"n.a.")),"n.a.")</x:f>
        <x:v>1296608423.000002</x:v>
      </x:c>
      <x:c r="G684" s="17" t="n">
        <x:f>IF(AND(ISNUMBER(E684),ISNUMBER(F684)),E684-F684,"n.a.")</x:f>
        <x:v>-443535642.4700006</x:v>
      </x:c>
      <x:c r="H684" s="15" t="n">
        <x:f>IF(AND(ISNUMBER(E684),ISNUMBER(F684),F684&gt;0),(E684-F684)/F684,"n.a.")</x:f>
        <x:v>-0.3420737013598746</x:v>
      </x:c>
      <x:c r="I684" s="19" t="n">
        <x:f>IF(ISNUMBER(H684),ABS(H684),"n.a.")</x:f>
        <x:v>0.3420737013598746</x:v>
      </x:c>
      <x:c r="J684" s="2" t="str">
        <x:v>available</x:v>
      </x:c>
      <x:c r="K684" s="2" t="n">
        <x:v>1</x:v>
      </x:c>
      <x:c r="L684" s="13" t="b">
        <x:v>0</x:v>
      </x:c>
      <x:c r="M684" s="13" t="b">
        <x:v>1</x:v>
      </x:c>
      <x:c r="N684" s="2" t="str">
        <x:v>historical source estimate</x:v>
      </x:c>
      <x:c r="O684" s="2" t="str"/>
      <x:c r="P684" s="2" t="str">
        <x:v>horizontal built-up surface</x:v>
      </x:c>
      <x:c r="Q684" s="2" t="str">
        <x:v>m2</x:v>
      </x:c>
      <x:c r="R684" s="17" t="n">
        <x:v>1296608423</x:v>
      </x:c>
      <x:c r="S684" s="17" t="n">
        <x:v>853072780.53</x:v>
      </x:c>
      <x:c r="T684" s="18" t="n">
        <x:v>1.0000000000000016</x:v>
      </x:c>
      <x:c r="U684" s="17" t="n">
        <x:v>853072780.5300013</x:v>
      </x:c>
      <x:c r="V684" s="2" t="str">
        <x:v>Area equivalent = model2020 * source surface / TEMPO2020 footprint</x:v>
      </x:c>
      <x:c r="W684" s="2" t="str">
        <x:v>legacy epoch_status=observed; not exact acquisition proof</x:v>
      </x:c>
      <x:c r="X684" s="2" t="str">
        <x:v>https://human-settlement.emergency.copernicus.eu/ghs_buS2023.php</x:v>
      </x:c>
    </x:row>
    <x:row r="685" ht="23" customHeight="1">
      <x:c r="A685" s="2" t="str">
        <x:v>IDN</x:v>
      </x:c>
      <x:c r="B685" s="2" t="str">
        <x:v>Indonesia (Republic of)</x:v>
      </x:c>
      <x:c r="C685" s="2" t="n">
        <x:v>2020</x:v>
      </x:c>
      <x:c r="D685" s="2" t="str">
        <x:v>GHSL_SURFACE</x:v>
      </x:c>
      <x:c r="E685" s="17" t="n">
        <x:v>10794355074.089985</x:v>
      </x:c>
      <x:c r="F685" s="17" t="n">
        <x:f>IF(AND(M685,ISNUMBER(R685)),IF(D685="TEMPO_PROXY",R685,IF(AND(ISNUMBER(S685),S685&gt;0,ISNUMBER(U685)),U685*R685/S685,"n.a.")),"n.a.")</x:f>
        <x:v>10374602921.999985</x:v>
      </x:c>
      <x:c r="G685" s="17" t="n">
        <x:f>IF(AND(ISNUMBER(E685),ISNUMBER(F685)),E685-F685,"n.a.")</x:f>
        <x:v>419752152.09000015</x:v>
      </x:c>
      <x:c r="H685" s="15" t="n">
        <x:f>IF(AND(ISNUMBER(E685),ISNUMBER(F685),F685&gt;0),(E685-F685)/F685,"n.a.")</x:f>
        <x:v>0.04045958724838421</x:v>
      </x:c>
      <x:c r="I685" s="19" t="n">
        <x:f>IF(ISNUMBER(H685),ABS(H685),"n.a.")</x:f>
        <x:v>0.04045958724838421</x:v>
      </x:c>
      <x:c r="J685" s="2" t="str">
        <x:v>available</x:v>
      </x:c>
      <x:c r="K685" s="2" t="n">
        <x:v>1</x:v>
      </x:c>
      <x:c r="L685" s="13" t="b">
        <x:v>0</x:v>
      </x:c>
      <x:c r="M685" s="13" t="b">
        <x:v>1</x:v>
      </x:c>
      <x:c r="N685" s="2" t="str">
        <x:v>historical source estimate</x:v>
      </x:c>
      <x:c r="O685" s="2" t="str"/>
      <x:c r="P685" s="2" t="str">
        <x:v>horizontal built-up surface</x:v>
      </x:c>
      <x:c r="Q685" s="2" t="str">
        <x:v>m2</x:v>
      </x:c>
      <x:c r="R685" s="17" t="n">
        <x:v>10374602922</x:v>
      </x:c>
      <x:c r="S685" s="17" t="n">
        <x:v>10794355074.09</x:v>
      </x:c>
      <x:c r="T685" s="18" t="n">
        <x:v>0.9999999999999986</x:v>
      </x:c>
      <x:c r="U685" s="17" t="n">
        <x:v>10794355074.089985</x:v>
      </x:c>
      <x:c r="V685" s="2" t="str">
        <x:v>Area equivalent = model2020 * source surface / TEMPO2020 footprint</x:v>
      </x:c>
      <x:c r="W685" s="2" t="str">
        <x:v>legacy epoch_status=observed; not exact acquisition proof</x:v>
      </x:c>
      <x:c r="X685" s="2" t="str">
        <x:v>https://human-settlement.emergency.copernicus.eu/ghs_buS2023.php</x:v>
      </x:c>
    </x:row>
    <x:row r="686" ht="23" customHeight="1">
      <x:c r="A686" s="2" t="str">
        <x:v>IND</x:v>
      </x:c>
      <x:c r="B686" s="2" t="str">
        <x:v>India (Republic of)</x:v>
      </x:c>
      <x:c r="C686" s="2" t="n">
        <x:v>2020</x:v>
      </x:c>
      <x:c r="D686" s="2" t="str">
        <x:v>GHSL_SURFACE</x:v>
      </x:c>
      <x:c r="E686" s="17" t="n">
        <x:v>27853638424.040043</x:v>
      </x:c>
      <x:c r="F686" s="17" t="n">
        <x:f>IF(AND(M686,ISNUMBER(R686)),IF(D686="TEMPO_PROXY",R686,IF(AND(ISNUMBER(S686),S686&gt;0,ISNUMBER(U686)),U686*R686/S686,"n.a.")),"n.a.")</x:f>
        <x:v>38219711194.00006</x:v>
      </x:c>
      <x:c r="G686" s="17" t="n">
        <x:f>IF(AND(ISNUMBER(E686),ISNUMBER(F686)),E686-F686,"n.a.")</x:f>
        <x:v>-10366072769.960018</x:v>
      </x:c>
      <x:c r="H686" s="15" t="n">
        <x:f>IF(AND(ISNUMBER(E686),ISNUMBER(F686),F686&gt;0),(E686-F686)/F686,"n.a.")</x:f>
        <x:v>-0.27122321038332026</x:v>
      </x:c>
      <x:c r="I686" s="19" t="n">
        <x:f>IF(ISNUMBER(H686),ABS(H686),"n.a.")</x:f>
        <x:v>0.27122321038332026</x:v>
      </x:c>
      <x:c r="J686" s="2" t="str">
        <x:v>available</x:v>
      </x:c>
      <x:c r="K686" s="2" t="n">
        <x:v>1</x:v>
      </x:c>
      <x:c r="L686" s="13" t="b">
        <x:v>0</x:v>
      </x:c>
      <x:c r="M686" s="13" t="b">
        <x:v>1</x:v>
      </x:c>
      <x:c r="N686" s="2" t="str">
        <x:v>historical source estimate</x:v>
      </x:c>
      <x:c r="O686" s="2" t="str"/>
      <x:c r="P686" s="2" t="str">
        <x:v>horizontal built-up surface</x:v>
      </x:c>
      <x:c r="Q686" s="2" t="str">
        <x:v>m2</x:v>
      </x:c>
      <x:c r="R686" s="17" t="n">
        <x:v>38219711194</x:v>
      </x:c>
      <x:c r="S686" s="17" t="n">
        <x:v>27853638424.04</x:v>
      </x:c>
      <x:c r="T686" s="18" t="n">
        <x:v>1.0000000000000016</x:v>
      </x:c>
      <x:c r="U686" s="17" t="n">
        <x:v>27853638424.040043</x:v>
      </x:c>
      <x:c r="V686" s="2" t="str">
        <x:v>Area equivalent = model2020 * source surface / TEMPO2020 footprint</x:v>
      </x:c>
      <x:c r="W686" s="2" t="str">
        <x:v>legacy epoch_status=observed; not exact acquisition proof</x:v>
      </x:c>
      <x:c r="X686" s="2" t="str">
        <x:v>https://human-settlement.emergency.copernicus.eu/ghs_buS2023.php</x:v>
      </x:c>
    </x:row>
    <x:row r="687" ht="23" customHeight="1">
      <x:c r="A687" s="2" t="str">
        <x:v>IRL</x:v>
      </x:c>
      <x:c r="B687" s="2" t="str">
        <x:v>Ireland</x:v>
      </x:c>
      <x:c r="C687" s="2" t="n">
        <x:v>2020</x:v>
      </x:c>
      <x:c r="D687" s="2" t="str">
        <x:v>GHSL_SURFACE</x:v>
      </x:c>
      <x:c r="E687" s="17" t="n">
        <x:v>426553619.39999974</x:v>
      </x:c>
      <x:c r="F687" s="17" t="n">
        <x:f>IF(AND(M687,ISNUMBER(R687)),IF(D687="TEMPO_PROXY",R687,IF(AND(ISNUMBER(S687),S687&gt;0,ISNUMBER(U687)),U687*R687/S687,"n.a.")),"n.a.")</x:f>
        <x:v>724222994.9999995</x:v>
      </x:c>
      <x:c r="G687" s="17" t="n">
        <x:f>IF(AND(ISNUMBER(E687),ISNUMBER(F687)),E687-F687,"n.a.")</x:f>
        <x:v>-297669375.5999998</x:v>
      </x:c>
      <x:c r="H687" s="15" t="n">
        <x:f>IF(AND(ISNUMBER(E687),ISNUMBER(F687),F687&gt;0),(E687-F687)/F687,"n.a.")</x:f>
        <x:v>-0.4110189508688549</x:v>
      </x:c>
      <x:c r="I687" s="19" t="n">
        <x:f>IF(ISNUMBER(H687),ABS(H687),"n.a.")</x:f>
        <x:v>0.4110189508688549</x:v>
      </x:c>
      <x:c r="J687" s="2" t="str">
        <x:v>available</x:v>
      </x:c>
      <x:c r="K687" s="2" t="n">
        <x:v>1</x:v>
      </x:c>
      <x:c r="L687" s="13" t="b">
        <x:v>0</x:v>
      </x:c>
      <x:c r="M687" s="13" t="b">
        <x:v>1</x:v>
      </x:c>
      <x:c r="N687" s="2" t="str">
        <x:v>historical source estimate</x:v>
      </x:c>
      <x:c r="O687" s="2" t="str"/>
      <x:c r="P687" s="2" t="str">
        <x:v>horizontal built-up surface</x:v>
      </x:c>
      <x:c r="Q687" s="2" t="str">
        <x:v>m2</x:v>
      </x:c>
      <x:c r="R687" s="17" t="n">
        <x:v>724222995</x:v>
      </x:c>
      <x:c r="S687" s="17" t="n">
        <x:v>426553619.4</x:v>
      </x:c>
      <x:c r="T687" s="18" t="n">
        <x:v>0.9999999999999994</x:v>
      </x:c>
      <x:c r="U687" s="17" t="n">
        <x:v>426553619.39999974</x:v>
      </x:c>
      <x:c r="V687" s="2" t="str">
        <x:v>Area equivalent = model2020 * source surface / TEMPO2020 footprint</x:v>
      </x:c>
      <x:c r="W687" s="2" t="str">
        <x:v>legacy epoch_status=observed; not exact acquisition proof</x:v>
      </x:c>
      <x:c r="X687" s="2" t="str">
        <x:v>https://human-settlement.emergency.copernicus.eu/ghs_buS2023.php</x:v>
      </x:c>
    </x:row>
    <x:row r="688" ht="23" customHeight="1">
      <x:c r="A688" s="2" t="str">
        <x:v>IRN</x:v>
      </x:c>
      <x:c r="B688" s="2" t="str">
        <x:v>Iran (Islamic Republic of)</x:v>
      </x:c>
      <x:c r="C688" s="2" t="n">
        <x:v>2020</x:v>
      </x:c>
      <x:c r="D688" s="2" t="str">
        <x:v>GHSL_SURFACE</x:v>
      </x:c>
      <x:c r="E688" s="17" t="n">
        <x:v>3753827768.770001</x:v>
      </x:c>
      <x:c r="F688" s="17" t="n">
        <x:f>IF(AND(M688,ISNUMBER(R688)),IF(D688="TEMPO_PROXY",R688,IF(AND(ISNUMBER(S688),S688&gt;0,ISNUMBER(U688)),U688*R688/S688,"n.a.")),"n.a.")</x:f>
        <x:v>4258471090.077369</x:v>
      </x:c>
      <x:c r="G688" s="17" t="n">
        <x:f>IF(AND(ISNUMBER(E688),ISNUMBER(F688)),E688-F688,"n.a.")</x:f>
        <x:v>-504643321.3073683</x:v>
      </x:c>
      <x:c r="H688" s="15" t="n">
        <x:f>IF(AND(ISNUMBER(E688),ISNUMBER(F688),F688&gt;0),(E688-F688)/F688,"n.a.")</x:f>
        <x:v>-0.11850340430471251</x:v>
      </x:c>
      <x:c r="I688" s="19" t="n">
        <x:f>IF(ISNUMBER(H688),ABS(H688),"n.a.")</x:f>
        <x:v>0.11850340430471251</x:v>
      </x:c>
      <x:c r="J688" s="2" t="str">
        <x:v>available</x:v>
      </x:c>
      <x:c r="K688" s="2" t="n">
        <x:v>1</x:v>
      </x:c>
      <x:c r="L688" s="13" t="b">
        <x:v>0</x:v>
      </x:c>
      <x:c r="M688" s="13" t="b">
        <x:v>1</x:v>
      </x:c>
      <x:c r="N688" s="2" t="str">
        <x:v>historical source estimate</x:v>
      </x:c>
      <x:c r="O688" s="2" t="str"/>
      <x:c r="P688" s="2" t="str">
        <x:v>horizontal built-up surface</x:v>
      </x:c>
      <x:c r="Q688" s="2" t="str">
        <x:v>m2</x:v>
      </x:c>
      <x:c r="R688" s="17" t="n">
        <x:v>4192699745</x:v>
      </x:c>
      <x:c r="S688" s="17" t="n">
        <x:v>3695850551.99</x:v>
      </x:c>
      <x:c r="T688" s="18" t="n">
        <x:v>1.0156871107108982</x:v>
      </x:c>
      <x:c r="U688" s="17" t="n">
        <x:v>3753827768.770001</x:v>
      </x:c>
      <x:c r="V688" s="2" t="str">
        <x:v>Area equivalent = model2020 * source surface / TEMPO2020 footprint</x:v>
      </x:c>
      <x:c r="W688" s="2" t="str">
        <x:v>legacy epoch_status=observed; not exact acquisition proof</x:v>
      </x:c>
      <x:c r="X688" s="2" t="str">
        <x:v>https://human-settlement.emergency.copernicus.eu/ghs_buS2023.php</x:v>
      </x:c>
    </x:row>
    <x:row r="689" ht="23" customHeight="1">
      <x:c r="A689" s="2" t="str">
        <x:v>IRQ</x:v>
      </x:c>
      <x:c r="B689" s="2" t="str">
        <x:v>Iraq (Republic of)</x:v>
      </x:c>
      <x:c r="C689" s="2" t="n">
        <x:v>2020</x:v>
      </x:c>
      <x:c r="D689" s="2" t="str">
        <x:v>GHSL_SURFACE</x:v>
      </x:c>
      <x:c r="E689" s="17" t="n">
        <x:v>1226955244.870001</x:v>
      </x:c>
      <x:c r="F689" s="17" t="n">
        <x:f>IF(AND(M689,ISNUMBER(R689)),IF(D689="TEMPO_PROXY",R689,IF(AND(ISNUMBER(S689),S689&gt;0,ISNUMBER(U689)),U689*R689/S689,"n.a.")),"n.a.")</x:f>
        <x:v>1578256496.0000014</x:v>
      </x:c>
      <x:c r="G689" s="17" t="n">
        <x:f>IF(AND(ISNUMBER(E689),ISNUMBER(F689)),E689-F689,"n.a.")</x:f>
        <x:v>-351301251.13000035</x:v>
      </x:c>
      <x:c r="H689" s="15" t="n">
        <x:f>IF(AND(ISNUMBER(E689),ISNUMBER(F689),F689&gt;0),(E689-F689)/F689,"n.a.")</x:f>
        <x:v>-0.2225881864071859</x:v>
      </x:c>
      <x:c r="I689" s="19" t="n">
        <x:f>IF(ISNUMBER(H689),ABS(H689),"n.a.")</x:f>
        <x:v>0.2225881864071859</x:v>
      </x:c>
      <x:c r="J689" s="2" t="str">
        <x:v>available</x:v>
      </x:c>
      <x:c r="K689" s="2" t="n">
        <x:v>1</x:v>
      </x:c>
      <x:c r="L689" s="13" t="b">
        <x:v>0</x:v>
      </x:c>
      <x:c r="M689" s="13" t="b">
        <x:v>1</x:v>
      </x:c>
      <x:c r="N689" s="2" t="str">
        <x:v>historical source estimate</x:v>
      </x:c>
      <x:c r="O689" s="2" t="str"/>
      <x:c r="P689" s="2" t="str">
        <x:v>horizontal built-up surface</x:v>
      </x:c>
      <x:c r="Q689" s="2" t="str">
        <x:v>m2</x:v>
      </x:c>
      <x:c r="R689" s="17" t="n">
        <x:v>1578256496</x:v>
      </x:c>
      <x:c r="S689" s="17" t="n">
        <x:v>1226955244.87</x:v>
      </x:c>
      <x:c r="T689" s="18" t="n">
        <x:v>1.0000000000000009</x:v>
      </x:c>
      <x:c r="U689" s="17" t="n">
        <x:v>1226955244.870001</x:v>
      </x:c>
      <x:c r="V689" s="2" t="str">
        <x:v>Area equivalent = model2020 * source surface / TEMPO2020 footprint</x:v>
      </x:c>
      <x:c r="W689" s="2" t="str">
        <x:v>legacy epoch_status=observed; not exact acquisition proof</x:v>
      </x:c>
      <x:c r="X689" s="2" t="str">
        <x:v>https://human-settlement.emergency.copernicus.eu/ghs_buS2023.php</x:v>
      </x:c>
    </x:row>
    <x:row r="690" ht="23" customHeight="1">
      <x:c r="A690" s="2" t="str">
        <x:v>ISL</x:v>
      </x:c>
      <x:c r="B690" s="2" t="str">
        <x:v>Iceland</x:v>
      </x:c>
      <x:c r="C690" s="2" t="n">
        <x:v>2020</x:v>
      </x:c>
      <x:c r="D690" s="2" t="str">
        <x:v>GHSL_SURFACE</x:v>
      </x:c>
      <x:c r="E690" s="17" t="n">
        <x:v>26377629.56999999</x:v>
      </x:c>
      <x:c r="F690" s="17" t="n">
        <x:f>IF(AND(M690,ISNUMBER(R690)),IF(D690="TEMPO_PROXY",R690,IF(AND(ISNUMBER(S690),S690&gt;0,ISNUMBER(U690)),U690*R690/S690,"n.a.")),"n.a.")</x:f>
        <x:v>31695729.207167566</x:v>
      </x:c>
      <x:c r="G690" s="17" t="n">
        <x:f>IF(AND(ISNUMBER(E690),ISNUMBER(F690)),E690-F690,"n.a.")</x:f>
        <x:v>-5318099.637167577</x:v>
      </x:c>
      <x:c r="H690" s="15" t="n">
        <x:f>IF(AND(ISNUMBER(E690),ISNUMBER(F690),F690&gt;0),(E690-F690)/F690,"n.a.")</x:f>
        <x:v>-0.16778600051785397</x:v>
      </x:c>
      <x:c r="I690" s="19" t="n">
        <x:f>IF(ISNUMBER(H690),ABS(H690),"n.a.")</x:f>
        <x:v>0.16778600051785397</x:v>
      </x:c>
      <x:c r="J690" s="2" t="str">
        <x:v>available</x:v>
      </x:c>
      <x:c r="K690" s="2" t="n">
        <x:v>1</x:v>
      </x:c>
      <x:c r="L690" s="13" t="b">
        <x:v>0</x:v>
      </x:c>
      <x:c r="M690" s="13" t="b">
        <x:v>1</x:v>
      </x:c>
      <x:c r="N690" s="2" t="str">
        <x:v>historical source estimate</x:v>
      </x:c>
      <x:c r="O690" s="2" t="str"/>
      <x:c r="P690" s="2" t="str">
        <x:v>horizontal built-up surface</x:v>
      </x:c>
      <x:c r="Q690" s="2" t="str">
        <x:v>m2</x:v>
      </x:c>
      <x:c r="R690" s="17" t="n">
        <x:v>29008173</x:v>
      </x:c>
      <x:c r="S690" s="17" t="n">
        <x:v>24141007.67</x:v>
      </x:c>
      <x:c r="T690" s="18" t="n">
        <x:v>1.0926482411411282</x:v>
      </x:c>
      <x:c r="U690" s="17" t="n">
        <x:v>26377629.56999999</x:v>
      </x:c>
      <x:c r="V690" s="2" t="str">
        <x:v>Area equivalent = model2020 * source surface / TEMPO2020 footprint</x:v>
      </x:c>
      <x:c r="W690" s="2" t="str">
        <x:v>legacy epoch_status=observed; not exact acquisition proof</x:v>
      </x:c>
      <x:c r="X690" s="2" t="str">
        <x:v>https://human-settlement.emergency.copernicus.eu/ghs_buS2023.php</x:v>
      </x:c>
    </x:row>
    <x:row r="691" ht="23" customHeight="1">
      <x:c r="A691" s="2" t="str">
        <x:v>ISR</x:v>
      </x:c>
      <x:c r="B691" s="2" t="str">
        <x:v>Israel (State of)</x:v>
      </x:c>
      <x:c r="C691" s="2" t="n">
        <x:v>2020</x:v>
      </x:c>
      <x:c r="D691" s="2" t="str">
        <x:v>GHSL_SURFACE</x:v>
      </x:c>
      <x:c r="E691" s="17" t="n">
        <x:v>372353983.1399999</x:v>
      </x:c>
      <x:c r="F691" s="17" t="n">
        <x:f>IF(AND(M691,ISNUMBER(R691)),IF(D691="TEMPO_PROXY",R691,IF(AND(ISNUMBER(S691),S691&gt;0,ISNUMBER(U691)),U691*R691/S691,"n.a.")),"n.a.")</x:f>
        <x:v>479878809.52647877</x:v>
      </x:c>
      <x:c r="G691" s="17" t="n">
        <x:f>IF(AND(ISNUMBER(E691),ISNUMBER(F691)),E691-F691,"n.a.")</x:f>
        <x:v>-107524826.38647884</x:v>
      </x:c>
      <x:c r="H691" s="15" t="n">
        <x:f>IF(AND(ISNUMBER(E691),ISNUMBER(F691),F691&gt;0),(E691-F691)/F691,"n.a.")</x:f>
        <x:v>-0.2240666273482239</x:v>
      </x:c>
      <x:c r="I691" s="19" t="n">
        <x:f>IF(ISNUMBER(H691),ABS(H691),"n.a.")</x:f>
        <x:v>0.2240666273482239</x:v>
      </x:c>
      <x:c r="J691" s="2" t="str">
        <x:v>available</x:v>
      </x:c>
      <x:c r="K691" s="2" t="n">
        <x:v>1</x:v>
      </x:c>
      <x:c r="L691" s="13" t="b">
        <x:v>0</x:v>
      </x:c>
      <x:c r="M691" s="13" t="b">
        <x:v>1</x:v>
      </x:c>
      <x:c r="N691" s="2" t="str">
        <x:v>historical source estimate</x:v>
      </x:c>
      <x:c r="O691" s="2" t="str"/>
      <x:c r="P691" s="2" t="str">
        <x:v>horizontal built-up surface</x:v>
      </x:c>
      <x:c r="Q691" s="2" t="str">
        <x:v>m2</x:v>
      </x:c>
      <x:c r="R691" s="17" t="n">
        <x:v>460133516</x:v>
      </x:c>
      <x:c r="S691" s="17" t="n">
        <x:v>357032950.94</x:v>
      </x:c>
      <x:c r="T691" s="18" t="n">
        <x:v>1.0429120958154214</x:v>
      </x:c>
      <x:c r="U691" s="17" t="n">
        <x:v>372353983.1399999</x:v>
      </x:c>
      <x:c r="V691" s="2" t="str">
        <x:v>Area equivalent = model2020 * source surface / TEMPO2020 footprint</x:v>
      </x:c>
      <x:c r="W691" s="2" t="str">
        <x:v>legacy epoch_status=observed; not exact acquisition proof</x:v>
      </x:c>
      <x:c r="X691" s="2" t="str">
        <x:v>https://human-settlement.emergency.copernicus.eu/ghs_buS2023.php</x:v>
      </x:c>
    </x:row>
    <x:row r="692" ht="23" customHeight="1">
      <x:c r="A692" s="2" t="str">
        <x:v>ITA</x:v>
      </x:c>
      <x:c r="B692" s="2" t="str">
        <x:v>Italy (Italian Republic)</x:v>
      </x:c>
      <x:c r="C692" s="2" t="n">
        <x:v>2020</x:v>
      </x:c>
      <x:c r="D692" s="2" t="str">
        <x:v>GHSL_SURFACE</x:v>
      </x:c>
      <x:c r="E692" s="17" t="n">
        <x:v>5000634293.290002</x:v>
      </x:c>
      <x:c r="F692" s="17" t="n">
        <x:f>IF(AND(M692,ISNUMBER(R692)),IF(D692="TEMPO_PROXY",R692,IF(AND(ISNUMBER(S692),S692&gt;0,ISNUMBER(U692)),U692*R692/S692,"n.a.")),"n.a.")</x:f>
        <x:v>7273843775.751505</x:v>
      </x:c>
      <x:c r="G692" s="17" t="n">
        <x:f>IF(AND(ISNUMBER(E692),ISNUMBER(F692)),E692-F692,"n.a.")</x:f>
        <x:v>-2273209482.461503</x:v>
      </x:c>
      <x:c r="H692" s="15" t="n">
        <x:f>IF(AND(ISNUMBER(E692),ISNUMBER(F692),F692&gt;0),(E692-F692)/F692,"n.a.")</x:f>
        <x:v>-0.3125183262856981</x:v>
      </x:c>
      <x:c r="I692" s="19" t="n">
        <x:f>IF(ISNUMBER(H692),ABS(H692),"n.a.")</x:f>
        <x:v>0.3125183262856981</x:v>
      </x:c>
      <x:c r="J692" s="2" t="str">
        <x:v>available</x:v>
      </x:c>
      <x:c r="K692" s="2" t="n">
        <x:v>1</x:v>
      </x:c>
      <x:c r="L692" s="13" t="b">
        <x:v>0</x:v>
      </x:c>
      <x:c r="M692" s="13" t="b">
        <x:v>1</x:v>
      </x:c>
      <x:c r="N692" s="2" t="str">
        <x:v>historical source estimate</x:v>
      </x:c>
      <x:c r="O692" s="2" t="str"/>
      <x:c r="P692" s="2" t="str">
        <x:v>horizontal built-up surface</x:v>
      </x:c>
      <x:c r="Q692" s="2" t="str">
        <x:v>m2</x:v>
      </x:c>
      <x:c r="R692" s="17" t="n">
        <x:v>6852988629</x:v>
      </x:c>
      <x:c r="S692" s="17" t="n">
        <x:v>4711304092.61</x:v>
      </x:c>
      <x:c r="T692" s="18" t="n">
        <x:v>1.0614119137700826</x:v>
      </x:c>
      <x:c r="U692" s="17" t="n">
        <x:v>5000634293.290002</x:v>
      </x:c>
      <x:c r="V692" s="2" t="str">
        <x:v>Area equivalent = model2020 * source surface / TEMPO2020 footprint</x:v>
      </x:c>
      <x:c r="W692" s="2" t="str">
        <x:v>legacy epoch_status=observed; not exact acquisition proof</x:v>
      </x:c>
      <x:c r="X692" s="2" t="str">
        <x:v>https://human-settlement.emergency.copernicus.eu/ghs_buS2023.php</x:v>
      </x:c>
    </x:row>
    <x:row r="693" ht="23" customHeight="1">
      <x:c r="A693" s="2" t="str">
        <x:v>JAM</x:v>
      </x:c>
      <x:c r="B693" s="2" t="str">
        <x:v>Jamaica</x:v>
      </x:c>
      <x:c r="C693" s="2" t="n">
        <x:v>2020</x:v>
      </x:c>
      <x:c r="D693" s="2" t="str">
        <x:v>GHSL_SURFACE</x:v>
      </x:c>
      <x:c r="E693" s="17" t="n">
        <x:v>133338245.18999992</x:v>
      </x:c>
      <x:c r="F693" s="17" t="n">
        <x:f>IF(AND(M693,ISNUMBER(R693)),IF(D693="TEMPO_PROXY",R693,IF(AND(ISNUMBER(S693),S693&gt;0,ISNUMBER(U693)),U693*R693/S693,"n.a.")),"n.a.")</x:f>
        <x:v>218536790.99999988</x:v>
      </x:c>
      <x:c r="G693" s="17" t="n">
        <x:f>IF(AND(ISNUMBER(E693),ISNUMBER(F693)),E693-F693,"n.a.")</x:f>
        <x:v>-85198545.80999996</x:v>
      </x:c>
      <x:c r="H693" s="15" t="n">
        <x:f>IF(AND(ISNUMBER(E693),ISNUMBER(F693),F693&gt;0),(E693-F693)/F693,"n.a.")</x:f>
        <x:v>-0.3898590503692351</x:v>
      </x:c>
      <x:c r="I693" s="19" t="n">
        <x:f>IF(ISNUMBER(H693),ABS(H693),"n.a.")</x:f>
        <x:v>0.3898590503692351</x:v>
      </x:c>
      <x:c r="J693" s="2" t="str">
        <x:v>available</x:v>
      </x:c>
      <x:c r="K693" s="2" t="n">
        <x:v>1</x:v>
      </x:c>
      <x:c r="L693" s="13" t="b">
        <x:v>0</x:v>
      </x:c>
      <x:c r="M693" s="13" t="b">
        <x:v>1</x:v>
      </x:c>
      <x:c r="N693" s="2" t="str">
        <x:v>historical source estimate</x:v>
      </x:c>
      <x:c r="O693" s="2" t="str"/>
      <x:c r="P693" s="2" t="str">
        <x:v>horizontal built-up surface</x:v>
      </x:c>
      <x:c r="Q693" s="2" t="str">
        <x:v>m2</x:v>
      </x:c>
      <x:c r="R693" s="17" t="n">
        <x:v>218536791</x:v>
      </x:c>
      <x:c r="S693" s="17" t="n">
        <x:v>133338245.19</x:v>
      </x:c>
      <x:c r="T693" s="18" t="n">
        <x:v>0.9999999999999994</x:v>
      </x:c>
      <x:c r="U693" s="17" t="n">
        <x:v>133338245.18999992</x:v>
      </x:c>
      <x:c r="V693" s="2" t="str">
        <x:v>Area equivalent = model2020 * source surface / TEMPO2020 footprint</x:v>
      </x:c>
      <x:c r="W693" s="2" t="str">
        <x:v>legacy epoch_status=observed; not exact acquisition proof</x:v>
      </x:c>
      <x:c r="X693" s="2" t="str">
        <x:v>https://human-settlement.emergency.copernicus.eu/ghs_buS2023.php</x:v>
      </x:c>
    </x:row>
    <x:row r="694" ht="23" customHeight="1">
      <x:c r="A694" s="2" t="str">
        <x:v>JOR</x:v>
      </x:c>
      <x:c r="B694" s="2" t="str">
        <x:v>Jordan (Hashemite Kingdom of)</x:v>
      </x:c>
      <x:c r="C694" s="2" t="n">
        <x:v>2020</x:v>
      </x:c>
      <x:c r="D694" s="2" t="str">
        <x:v>GHSL_SURFACE</x:v>
      </x:c>
      <x:c r="E694" s="17" t="n">
        <x:v>279172690.0000002</x:v>
      </x:c>
      <x:c r="F694" s="17" t="n">
        <x:f>IF(AND(M694,ISNUMBER(R694)),IF(D694="TEMPO_PROXY",R694,IF(AND(ISNUMBER(S694),S694&gt;0,ISNUMBER(U694)),U694*R694/S694,"n.a.")),"n.a.")</x:f>
        <x:v>330406075.02177626</x:v>
      </x:c>
      <x:c r="G694" s="17" t="n">
        <x:f>IF(AND(ISNUMBER(E694),ISNUMBER(F694)),E694-F694,"n.a.")</x:f>
        <x:v>-51233385.02177608</x:v>
      </x:c>
      <x:c r="H694" s="15" t="n">
        <x:f>IF(AND(ISNUMBER(E694),ISNUMBER(F694),F694&gt;0),(E694-F694)/F694,"n.a.")</x:f>
        <x:v>-0.15506187353970236</x:v>
      </x:c>
      <x:c r="I694" s="19" t="n">
        <x:f>IF(ISNUMBER(H694),ABS(H694),"n.a.")</x:f>
        <x:v>0.15506187353970236</x:v>
      </x:c>
      <x:c r="J694" s="2" t="str">
        <x:v>available</x:v>
      </x:c>
      <x:c r="K694" s="2" t="n">
        <x:v>1</x:v>
      </x:c>
      <x:c r="L694" s="13" t="b">
        <x:v>0</x:v>
      </x:c>
      <x:c r="M694" s="13" t="b">
        <x:v>1</x:v>
      </x:c>
      <x:c r="N694" s="2" t="str">
        <x:v>historical source estimate</x:v>
      </x:c>
      <x:c r="O694" s="2" t="str"/>
      <x:c r="P694" s="2" t="str">
        <x:v>horizontal built-up surface</x:v>
      </x:c>
      <x:c r="Q694" s="2" t="str">
        <x:v>m2</x:v>
      </x:c>
      <x:c r="R694" s="17" t="n">
        <x:v>326632032</x:v>
      </x:c>
      <x:c r="S694" s="17" t="n">
        <x:v>275983857.16</x:v>
      </x:c>
      <x:c r="T694" s="18" t="n">
        <x:v>1.0115544179750755</x:v>
      </x:c>
      <x:c r="U694" s="17" t="n">
        <x:v>279172690.0000002</x:v>
      </x:c>
      <x:c r="V694" s="2" t="str">
        <x:v>Area equivalent = model2020 * source surface / TEMPO2020 footprint</x:v>
      </x:c>
      <x:c r="W694" s="2" t="str">
        <x:v>legacy epoch_status=observed; not exact acquisition proof</x:v>
      </x:c>
      <x:c r="X694" s="2" t="str">
        <x:v>https://human-settlement.emergency.copernicus.eu/ghs_buS2023.php</x:v>
      </x:c>
    </x:row>
    <x:row r="695" ht="23" customHeight="1">
      <x:c r="A695" s="2" t="str">
        <x:v>JPN</x:v>
      </x:c>
      <x:c r="B695" s="2" t="str">
        <x:v>Japan</x:v>
      </x:c>
      <x:c r="C695" s="2" t="n">
        <x:v>2020</x:v>
      </x:c>
      <x:c r="D695" s="2" t="str">
        <x:v>GHSL_SURFACE</x:v>
      </x:c>
      <x:c r="E695" s="17" t="n">
        <x:v>8341228241.779989</x:v>
      </x:c>
      <x:c r="F695" s="17" t="n">
        <x:f>IF(AND(M695,ISNUMBER(R695)),IF(D695="TEMPO_PROXY",R695,IF(AND(ISNUMBER(S695),S695&gt;0,ISNUMBER(U695)),U695*R695/S695,"n.a.")),"n.a.")</x:f>
        <x:v>12970165958.230064</x:v>
      </x:c>
      <x:c r="G695" s="17" t="n">
        <x:f>IF(AND(ISNUMBER(E695),ISNUMBER(F695)),E695-F695,"n.a.")</x:f>
        <x:v>-4628937716.450075</x:v>
      </x:c>
      <x:c r="H695" s="15" t="n">
        <x:f>IF(AND(ISNUMBER(E695),ISNUMBER(F695),F695&gt;0),(E695-F695)/F695,"n.a.")</x:f>
        <x:v>-0.3568911709655371</x:v>
      </x:c>
      <x:c r="I695" s="19" t="n">
        <x:f>IF(ISNUMBER(H695),ABS(H695),"n.a.")</x:f>
        <x:v>0.3568911709655371</x:v>
      </x:c>
      <x:c r="J695" s="2" t="str">
        <x:v>available</x:v>
      </x:c>
      <x:c r="K695" s="2" t="n">
        <x:v>1</x:v>
      </x:c>
      <x:c r="L695" s="13" t="b">
        <x:v>0</x:v>
      </x:c>
      <x:c r="M695" s="13" t="b">
        <x:v>1</x:v>
      </x:c>
      <x:c r="N695" s="2" t="str">
        <x:v>historical source estimate</x:v>
      </x:c>
      <x:c r="O695" s="2" t="str"/>
      <x:c r="P695" s="2" t="str">
        <x:v>horizontal built-up surface</x:v>
      </x:c>
      <x:c r="Q695" s="2" t="str">
        <x:v>m2</x:v>
      </x:c>
      <x:c r="R695" s="17" t="n">
        <x:v>12557834219</x:v>
      </x:c>
      <x:c r="S695" s="17" t="n">
        <x:v>8076054059.79</x:v>
      </x:c>
      <x:c r="T695" s="18" t="n">
        <x:v>1.032834621961023</x:v>
      </x:c>
      <x:c r="U695" s="17" t="n">
        <x:v>8341228241.779989</x:v>
      </x:c>
      <x:c r="V695" s="2" t="str">
        <x:v>Area equivalent = model2020 * source surface / TEMPO2020 footprint</x:v>
      </x:c>
      <x:c r="W695" s="2" t="str">
        <x:v>legacy epoch_status=observed; not exact acquisition proof</x:v>
      </x:c>
      <x:c r="X695" s="2" t="str">
        <x:v>https://human-settlement.emergency.copernicus.eu/ghs_buS2023.php</x:v>
      </x:c>
    </x:row>
    <x:row r="696" ht="23" customHeight="1">
      <x:c r="A696" s="2" t="str">
        <x:v>KAZ</x:v>
      </x:c>
      <x:c r="B696" s="2" t="str">
        <x:v>Kazakhstan (Republic of)</x:v>
      </x:c>
      <x:c r="C696" s="2" t="n">
        <x:v>2020</x:v>
      </x:c>
      <x:c r="D696" s="2" t="str">
        <x:v>GHSL_SURFACE</x:v>
      </x:c>
      <x:c r="E696" s="17" t="n">
        <x:v>1009034692.9700016</x:v>
      </x:c>
      <x:c r="F696" s="17" t="n">
        <x:f>IF(AND(M696,ISNUMBER(R696)),IF(D696="TEMPO_PROXY",R696,IF(AND(ISNUMBER(S696),S696&gt;0,ISNUMBER(U696)),U696*R696/S696,"n.a.")),"n.a.")</x:f>
        <x:v>2312894884.000004</x:v>
      </x:c>
      <x:c r="G696" s="17" t="n">
        <x:f>IF(AND(ISNUMBER(E696),ISNUMBER(F696)),E696-F696,"n.a.")</x:f>
        <x:v>-1303860191.030002</x:v>
      </x:c>
      <x:c r="H696" s="15" t="n">
        <x:f>IF(AND(ISNUMBER(E696),ISNUMBER(F696),F696&gt;0),(E696-F696)/F696,"n.a.")</x:f>
        <x:v>-0.5637351701755937</x:v>
      </x:c>
      <x:c r="I696" s="19" t="n">
        <x:f>IF(ISNUMBER(H696),ABS(H696),"n.a.")</x:f>
        <x:v>0.5637351701755937</x:v>
      </x:c>
      <x:c r="J696" s="2" t="str">
        <x:v>available</x:v>
      </x:c>
      <x:c r="K696" s="2" t="n">
        <x:v>1</x:v>
      </x:c>
      <x:c r="L696" s="13" t="b">
        <x:v>0</x:v>
      </x:c>
      <x:c r="M696" s="13" t="b">
        <x:v>1</x:v>
      </x:c>
      <x:c r="N696" s="2" t="str">
        <x:v>historical source estimate</x:v>
      </x:c>
      <x:c r="O696" s="2" t="str"/>
      <x:c r="P696" s="2" t="str">
        <x:v>horizontal built-up surface</x:v>
      </x:c>
      <x:c r="Q696" s="2" t="str">
        <x:v>m2</x:v>
      </x:c>
      <x:c r="R696" s="17" t="n">
        <x:v>2312894884</x:v>
      </x:c>
      <x:c r="S696" s="17" t="n">
        <x:v>1009034692.97</x:v>
      </x:c>
      <x:c r="T696" s="18" t="n">
        <x:v>1.0000000000000016</x:v>
      </x:c>
      <x:c r="U696" s="17" t="n">
        <x:v>1009034692.9700016</x:v>
      </x:c>
      <x:c r="V696" s="2" t="str">
        <x:v>Area equivalent = model2020 * source surface / TEMPO2020 footprint</x:v>
      </x:c>
      <x:c r="W696" s="2" t="str">
        <x:v>legacy epoch_status=observed; not exact acquisition proof</x:v>
      </x:c>
      <x:c r="X696" s="2" t="str">
        <x:v>https://human-settlement.emergency.copernicus.eu/ghs_buS2023.php</x:v>
      </x:c>
    </x:row>
    <x:row r="697" ht="23" customHeight="1">
      <x:c r="A697" s="2" t="str">
        <x:v>KEN</x:v>
      </x:c>
      <x:c r="B697" s="2" t="str">
        <x:v>Kenya (Republic of)</x:v>
      </x:c>
      <x:c r="C697" s="2" t="n">
        <x:v>2020</x:v>
      </x:c>
      <x:c r="D697" s="2" t="str">
        <x:v>GHSL_SURFACE</x:v>
      </x:c>
      <x:c r="E697" s="17" t="n">
        <x:v>1180050447.52</x:v>
      </x:c>
      <x:c r="F697" s="17" t="n">
        <x:f>IF(AND(M697,ISNUMBER(R697)),IF(D697="TEMPO_PROXY",R697,IF(AND(ISNUMBER(S697),S697&gt;0,ISNUMBER(U697)),U697*R697/S697,"n.a.")),"n.a.")</x:f>
        <x:v>3054216229</x:v>
      </x:c>
      <x:c r="G697" s="17" t="n">
        <x:f>IF(AND(ISNUMBER(E697),ISNUMBER(F697)),E697-F697,"n.a.")</x:f>
        <x:v>-1874165781.48</x:v>
      </x:c>
      <x:c r="H697" s="15" t="n">
        <x:f>IF(AND(ISNUMBER(E697),ISNUMBER(F697),F697&gt;0),(E697-F697)/F697,"n.a.")</x:f>
        <x:v>-0.613632317085039</x:v>
      </x:c>
      <x:c r="I697" s="19" t="n">
        <x:f>IF(ISNUMBER(H697),ABS(H697),"n.a.")</x:f>
        <x:v>0.613632317085039</x:v>
      </x:c>
      <x:c r="J697" s="2" t="str">
        <x:v>available</x:v>
      </x:c>
      <x:c r="K697" s="2" t="n">
        <x:v>1</x:v>
      </x:c>
      <x:c r="L697" s="13" t="b">
        <x:v>0</x:v>
      </x:c>
      <x:c r="M697" s="13" t="b">
        <x:v>1</x:v>
      </x:c>
      <x:c r="N697" s="2" t="str">
        <x:v>historical source estimate</x:v>
      </x:c>
      <x:c r="O697" s="2" t="str"/>
      <x:c r="P697" s="2" t="str">
        <x:v>horizontal built-up surface</x:v>
      </x:c>
      <x:c r="Q697" s="2" t="str">
        <x:v>m2</x:v>
      </x:c>
      <x:c r="R697" s="17" t="n">
        <x:v>3054216229</x:v>
      </x:c>
      <x:c r="S697" s="17" t="n">
        <x:v>1180050447.52</x:v>
      </x:c>
      <x:c r="T697" s="18" t="n">
        <x:v>1</x:v>
      </x:c>
      <x:c r="U697" s="17" t="n">
        <x:v>1180050447.52</x:v>
      </x:c>
      <x:c r="V697" s="2" t="str">
        <x:v>Area equivalent = model2020 * source surface / TEMPO2020 footprint</x:v>
      </x:c>
      <x:c r="W697" s="2" t="str">
        <x:v>legacy epoch_status=observed; not exact acquisition proof</x:v>
      </x:c>
      <x:c r="X697" s="2" t="str">
        <x:v>https://human-settlement.emergency.copernicus.eu/ghs_buS2023.php</x:v>
      </x:c>
    </x:row>
    <x:row r="698" ht="23" customHeight="1">
      <x:c r="A698" s="2" t="str">
        <x:v>KGZ</x:v>
      </x:c>
      <x:c r="B698" s="2" t="str">
        <x:v>Kyrgyzstan (Kyrgyz Republic)</x:v>
      </x:c>
      <x:c r="C698" s="2" t="n">
        <x:v>2020</x:v>
      </x:c>
      <x:c r="D698" s="2" t="str">
        <x:v>GHSL_SURFACE</x:v>
      </x:c>
      <x:c r="E698" s="17" t="n">
        <x:v>332236534.37000054</x:v>
      </x:c>
      <x:c r="F698" s="17" t="n">
        <x:f>IF(AND(M698,ISNUMBER(R698)),IF(D698="TEMPO_PROXY",R698,IF(AND(ISNUMBER(S698),S698&gt;0,ISNUMBER(U698)),U698*R698/S698,"n.a.")),"n.a.")</x:f>
        <x:v>677417918.0000011</x:v>
      </x:c>
      <x:c r="G698" s="17" t="n">
        <x:f>IF(AND(ISNUMBER(E698),ISNUMBER(F698)),E698-F698,"n.a.")</x:f>
        <x:v>-345181383.63000053</x:v>
      </x:c>
      <x:c r="H698" s="15" t="n">
        <x:f>IF(AND(ISNUMBER(E698),ISNUMBER(F698),F698&gt;0),(E698-F698)/F698,"n.a.")</x:f>
        <x:v>-0.5095545518623261</x:v>
      </x:c>
      <x:c r="I698" s="19" t="n">
        <x:f>IF(ISNUMBER(H698),ABS(H698),"n.a.")</x:f>
        <x:v>0.5095545518623261</x:v>
      </x:c>
      <x:c r="J698" s="2" t="str">
        <x:v>available</x:v>
      </x:c>
      <x:c r="K698" s="2" t="n">
        <x:v>1</x:v>
      </x:c>
      <x:c r="L698" s="13" t="b">
        <x:v>0</x:v>
      </x:c>
      <x:c r="M698" s="13" t="b">
        <x:v>1</x:v>
      </x:c>
      <x:c r="N698" s="2" t="str">
        <x:v>historical source estimate</x:v>
      </x:c>
      <x:c r="O698" s="2" t="str"/>
      <x:c r="P698" s="2" t="str">
        <x:v>horizontal built-up surface</x:v>
      </x:c>
      <x:c r="Q698" s="2" t="str">
        <x:v>m2</x:v>
      </x:c>
      <x:c r="R698" s="17" t="n">
        <x:v>677417918</x:v>
      </x:c>
      <x:c r="S698" s="17" t="n">
        <x:v>332236534.37</x:v>
      </x:c>
      <x:c r="T698" s="18" t="n">
        <x:v>1.0000000000000016</x:v>
      </x:c>
      <x:c r="U698" s="17" t="n">
        <x:v>332236534.37000054</x:v>
      </x:c>
      <x:c r="V698" s="2" t="str">
        <x:v>Area equivalent = model2020 * source surface / TEMPO2020 footprint</x:v>
      </x:c>
      <x:c r="W698" s="2" t="str">
        <x:v>legacy epoch_status=observed; not exact acquisition proof</x:v>
      </x:c>
      <x:c r="X698" s="2" t="str">
        <x:v>https://human-settlement.emergency.copernicus.eu/ghs_buS2023.php</x:v>
      </x:c>
    </x:row>
    <x:row r="699" ht="23" customHeight="1">
      <x:c r="A699" s="2" t="str">
        <x:v>KHM</x:v>
      </x:c>
      <x:c r="B699" s="2" t="str">
        <x:v>Cambodia (Kingdom of)</x:v>
      </x:c>
      <x:c r="C699" s="2" t="n">
        <x:v>2020</x:v>
      </x:c>
      <x:c r="D699" s="2" t="str">
        <x:v>GHSL_SURFACE</x:v>
      </x:c>
      <x:c r="E699" s="17" t="n">
        <x:v>672933221.830001</x:v>
      </x:c>
      <x:c r="F699" s="17" t="n">
        <x:f>IF(AND(M699,ISNUMBER(R699)),IF(D699="TEMPO_PROXY",R699,IF(AND(ISNUMBER(S699),S699&gt;0,ISNUMBER(U699)),U699*R699/S699,"n.a.")),"n.a.")</x:f>
        <x:v>810917690.0000012</x:v>
      </x:c>
      <x:c r="G699" s="17" t="n">
        <x:f>IF(AND(ISNUMBER(E699),ISNUMBER(F699)),E699-F699,"n.a.")</x:f>
        <x:v>-137984468.1700002</x:v>
      </x:c>
      <x:c r="H699" s="15" t="n">
        <x:f>IF(AND(ISNUMBER(E699),ISNUMBER(F699),F699&gt;0),(E699-F699)/F699,"n.a.")</x:f>
        <x:v>-0.17015841419121094</x:v>
      </x:c>
      <x:c r="I699" s="19" t="n">
        <x:f>IF(ISNUMBER(H699),ABS(H699),"n.a.")</x:f>
        <x:v>0.17015841419121094</x:v>
      </x:c>
      <x:c r="J699" s="2" t="str">
        <x:v>available</x:v>
      </x:c>
      <x:c r="K699" s="2" t="n">
        <x:v>1</x:v>
      </x:c>
      <x:c r="L699" s="13" t="b">
        <x:v>0</x:v>
      </x:c>
      <x:c r="M699" s="13" t="b">
        <x:v>1</x:v>
      </x:c>
      <x:c r="N699" s="2" t="str">
        <x:v>historical source estimate</x:v>
      </x:c>
      <x:c r="O699" s="2" t="str"/>
      <x:c r="P699" s="2" t="str">
        <x:v>horizontal built-up surface</x:v>
      </x:c>
      <x:c r="Q699" s="2" t="str">
        <x:v>m2</x:v>
      </x:c>
      <x:c r="R699" s="17" t="n">
        <x:v>810917690</x:v>
      </x:c>
      <x:c r="S699" s="17" t="n">
        <x:v>672933221.83</x:v>
      </x:c>
      <x:c r="T699" s="18" t="n">
        <x:v>1.0000000000000013</x:v>
      </x:c>
      <x:c r="U699" s="17" t="n">
        <x:v>672933221.830001</x:v>
      </x:c>
      <x:c r="V699" s="2" t="str">
        <x:v>Area equivalent = model2020 * source surface / TEMPO2020 footprint</x:v>
      </x:c>
      <x:c r="W699" s="2" t="str">
        <x:v>legacy epoch_status=observed; not exact acquisition proof</x:v>
      </x:c>
      <x:c r="X699" s="2" t="str">
        <x:v>https://human-settlement.emergency.copernicus.eu/ghs_buS2023.php</x:v>
      </x:c>
    </x:row>
    <x:row r="700" ht="23" customHeight="1">
      <x:c r="A700" s="2" t="str">
        <x:v>KIR</x:v>
      </x:c>
      <x:c r="B700" s="2" t="str">
        <x:v>Kiribati (Republic of)</x:v>
      </x:c>
      <x:c r="C700" s="2" t="n">
        <x:v>2020</x:v>
      </x:c>
      <x:c r="D700" s="2" t="str">
        <x:v>GHSL_SURFACE</x:v>
      </x:c>
      <x:c r="E700" s="17" t="n">
        <x:v>1721739.6700000002</x:v>
      </x:c>
      <x:c r="F700" s="17" t="n">
        <x:f>IF(AND(M700,ISNUMBER(R700)),IF(D700="TEMPO_PROXY",R700,IF(AND(ISNUMBER(S700),S700&gt;0,ISNUMBER(U700)),U700*R700/S700,"n.a.")),"n.a.")</x:f>
        <x:v>550127.0000000001</x:v>
      </x:c>
      <x:c r="G700" s="17" t="n">
        <x:f>IF(AND(ISNUMBER(E700),ISNUMBER(F700)),E700-F700,"n.a.")</x:f>
        <x:v>1171612.67</x:v>
      </x:c>
      <x:c r="H700" s="15" t="n">
        <x:f>IF(AND(ISNUMBER(E700),ISNUMBER(F700),F700&gt;0),(E700-F700)/F700,"n.a.")</x:f>
        <x:v>2.1297130844332304</x:v>
      </x:c>
      <x:c r="I700" s="19" t="n">
        <x:f>IF(ISNUMBER(H700),ABS(H700),"n.a.")</x:f>
        <x:v>2.1297130844332304</x:v>
      </x:c>
      <x:c r="J700" s="2" t="str">
        <x:v>available</x:v>
      </x:c>
      <x:c r="K700" s="2" t="n">
        <x:v>1</x:v>
      </x:c>
      <x:c r="L700" s="13" t="b">
        <x:v>0</x:v>
      </x:c>
      <x:c r="M700" s="13" t="b">
        <x:v>1</x:v>
      </x:c>
      <x:c r="N700" s="2" t="str">
        <x:v>historical source estimate</x:v>
      </x:c>
      <x:c r="O700" s="2" t="str"/>
      <x:c r="P700" s="2" t="str">
        <x:v>horizontal built-up surface</x:v>
      </x:c>
      <x:c r="Q700" s="2" t="str">
        <x:v>m2</x:v>
      </x:c>
      <x:c r="R700" s="17" t="n">
        <x:v>550127</x:v>
      </x:c>
      <x:c r="S700" s="17" t="n">
        <x:v>1721739.67</x:v>
      </x:c>
      <x:c r="T700" s="18" t="n">
        <x:v>1.0000000000000002</x:v>
      </x:c>
      <x:c r="U700" s="17" t="n">
        <x:v>1721739.6700000002</x:v>
      </x:c>
      <x:c r="V700" s="2" t="str">
        <x:v>Area equivalent = model2020 * source surface / TEMPO2020 footprint</x:v>
      </x:c>
      <x:c r="W700" s="2" t="str">
        <x:v>legacy epoch_status=observed; not exact acquisition proof</x:v>
      </x:c>
      <x:c r="X700" s="2" t="str">
        <x:v>https://human-settlement.emergency.copernicus.eu/ghs_buS2023.php</x:v>
      </x:c>
    </x:row>
    <x:row r="701" ht="23" customHeight="1">
      <x:c r="A701" s="2" t="str">
        <x:v>KNA</x:v>
      </x:c>
      <x:c r="B701" s="2" t="str">
        <x:v>Saint Kitts and Nevis (Federation of)</x:v>
      </x:c>
      <x:c r="C701" s="2" t="n">
        <x:v>2020</x:v>
      </x:c>
      <x:c r="D701" s="2" t="str">
        <x:v>GHSL_SURFACE</x:v>
      </x:c>
      <x:c r="E701" s="17" t="n">
        <x:v>4523960.760000001</x:v>
      </x:c>
      <x:c r="F701" s="17" t="n">
        <x:f>IF(AND(M701,ISNUMBER(R701)),IF(D701="TEMPO_PROXY",R701,IF(AND(ISNUMBER(S701),S701&gt;0,ISNUMBER(U701)),U701*R701/S701,"n.a.")),"n.a.")</x:f>
        <x:v>7398831.000000002</x:v>
      </x:c>
      <x:c r="G701" s="17" t="n">
        <x:f>IF(AND(ISNUMBER(E701),ISNUMBER(F701)),E701-F701,"n.a.")</x:f>
        <x:v>-2874870.240000001</x:v>
      </x:c>
      <x:c r="H701" s="15" t="n">
        <x:f>IF(AND(ISNUMBER(E701),ISNUMBER(F701),F701&gt;0),(E701-F701)/F701,"n.a.")</x:f>
        <x:v>-0.38855735993969864</x:v>
      </x:c>
      <x:c r="I701" s="19" t="n">
        <x:f>IF(ISNUMBER(H701),ABS(H701),"n.a.")</x:f>
        <x:v>0.38855735993969864</x:v>
      </x:c>
      <x:c r="J701" s="2" t="str">
        <x:v>available</x:v>
      </x:c>
      <x:c r="K701" s="2" t="n">
        <x:v>1</x:v>
      </x:c>
      <x:c r="L701" s="13" t="b">
        <x:v>0</x:v>
      </x:c>
      <x:c r="M701" s="13" t="b">
        <x:v>1</x:v>
      </x:c>
      <x:c r="N701" s="2" t="str">
        <x:v>historical source estimate</x:v>
      </x:c>
      <x:c r="O701" s="2" t="str"/>
      <x:c r="P701" s="2" t="str">
        <x:v>horizontal built-up surface</x:v>
      </x:c>
      <x:c r="Q701" s="2" t="str">
        <x:v>m2</x:v>
      </x:c>
      <x:c r="R701" s="17" t="n">
        <x:v>7398831</x:v>
      </x:c>
      <x:c r="S701" s="17" t="n">
        <x:v>4523960.76</x:v>
      </x:c>
      <x:c r="T701" s="18" t="n">
        <x:v>1.0000000000000002</x:v>
      </x:c>
      <x:c r="U701" s="17" t="n">
        <x:v>4523960.760000001</x:v>
      </x:c>
      <x:c r="V701" s="2" t="str">
        <x:v>Area equivalent = model2020 * source surface / TEMPO2020 footprint</x:v>
      </x:c>
      <x:c r="W701" s="2" t="str">
        <x:v>legacy epoch_status=observed; not exact acquisition proof</x:v>
      </x:c>
      <x:c r="X701" s="2" t="str">
        <x:v>https://human-settlement.emergency.copernicus.eu/ghs_buS2023.php</x:v>
      </x:c>
    </x:row>
    <x:row r="702" ht="23" customHeight="1">
      <x:c r="A702" s="2" t="str">
        <x:v>KOR</x:v>
      </x:c>
      <x:c r="B702" s="2" t="str">
        <x:v>Korea (Republic of)</x:v>
      </x:c>
      <x:c r="C702" s="2" t="n">
        <x:v>2020</x:v>
      </x:c>
      <x:c r="D702" s="2" t="str">
        <x:v>GHSL_SURFACE</x:v>
      </x:c>
      <x:c r="E702" s="17" t="n">
        <x:v>2947698717.329997</x:v>
      </x:c>
      <x:c r="F702" s="17" t="n">
        <x:f>IF(AND(M702,ISNUMBER(R702)),IF(D702="TEMPO_PROXY",R702,IF(AND(ISNUMBER(S702),S702&gt;0,ISNUMBER(U702)),U702*R702/S702,"n.a.")),"n.a.")</x:f>
        <x:v>4005058386.7279863</x:v>
      </x:c>
      <x:c r="G702" s="17" t="n">
        <x:f>IF(AND(ISNUMBER(E702),ISNUMBER(F702)),E702-F702,"n.a.")</x:f>
        <x:v>-1057359669.3979893</x:v>
      </x:c>
      <x:c r="H702" s="15" t="n">
        <x:f>IF(AND(ISNUMBER(E702),ISNUMBER(F702),F702&gt;0),(E702-F702)/F702,"n.a.")</x:f>
        <x:v>-0.26400605616684175</x:v>
      </x:c>
      <x:c r="I702" s="19" t="n">
        <x:f>IF(ISNUMBER(H702),ABS(H702),"n.a.")</x:f>
        <x:v>0.26400605616684175</x:v>
      </x:c>
      <x:c r="J702" s="2" t="str">
        <x:v>available</x:v>
      </x:c>
      <x:c r="K702" s="2" t="n">
        <x:v>1</x:v>
      </x:c>
      <x:c r="L702" s="13" t="b">
        <x:v>0</x:v>
      </x:c>
      <x:c r="M702" s="13" t="b">
        <x:v>1</x:v>
      </x:c>
      <x:c r="N702" s="2" t="str">
        <x:v>historical source estimate</x:v>
      </x:c>
      <x:c r="O702" s="2" t="str"/>
      <x:c r="P702" s="2" t="str">
        <x:v>horizontal built-up surface</x:v>
      </x:c>
      <x:c r="Q702" s="2" t="str">
        <x:v>m2</x:v>
      </x:c>
      <x:c r="R702" s="17" t="n">
        <x:v>3476969930</x:v>
      </x:c>
      <x:c r="S702" s="17" t="n">
        <x:v>2559028811.37</x:v>
      </x:c>
      <x:c r="T702" s="18" t="n">
        <x:v>1.151881801499499</x:v>
      </x:c>
      <x:c r="U702" s="17" t="n">
        <x:v>2947698717.329997</x:v>
      </x:c>
      <x:c r="V702" s="2" t="str">
        <x:v>Area equivalent = model2020 * source surface / TEMPO2020 footprint</x:v>
      </x:c>
      <x:c r="W702" s="2" t="str">
        <x:v>legacy epoch_status=observed; not exact acquisition proof</x:v>
      </x:c>
      <x:c r="X702" s="2" t="str">
        <x:v>https://human-settlement.emergency.copernicus.eu/ghs_buS2023.php</x:v>
      </x:c>
    </x:row>
    <x:row r="703" ht="23" customHeight="1">
      <x:c r="A703" s="2" t="str">
        <x:v>KWT</x:v>
      </x:c>
      <x:c r="B703" s="2" t="str">
        <x:v>Kuwait (State of)</x:v>
      </x:c>
      <x:c r="C703" s="2" t="n">
        <x:v>2020</x:v>
      </x:c>
      <x:c r="D703" s="2" t="str">
        <x:v>GHSL_SURFACE</x:v>
      </x:c>
      <x:c r="E703" s="17" t="n">
        <x:v>155594647.5199998</x:v>
      </x:c>
      <x:c r="F703" s="17" t="n">
        <x:f>IF(AND(M703,ISNUMBER(R703)),IF(D703="TEMPO_PROXY",R703,IF(AND(ISNUMBER(S703),S703&gt;0,ISNUMBER(U703)),U703*R703/S703,"n.a.")),"n.a.")</x:f>
        <x:v>232220539.43006483</x:v>
      </x:c>
      <x:c r="G703" s="17" t="n">
        <x:f>IF(AND(ISNUMBER(E703),ISNUMBER(F703)),E703-F703,"n.a.")</x:f>
        <x:v>-76625891.91006503</x:v>
      </x:c>
      <x:c r="H703" s="15" t="n">
        <x:f>IF(AND(ISNUMBER(E703),ISNUMBER(F703),F703&gt;0),(E703-F703)/F703,"n.a.")</x:f>
        <x:v>-0.32997034671492337</x:v>
      </x:c>
      <x:c r="I703" s="19" t="n">
        <x:f>IF(ISNUMBER(H703),ABS(H703),"n.a.")</x:f>
        <x:v>0.32997034671492337</x:v>
      </x:c>
      <x:c r="J703" s="2" t="str">
        <x:v>available</x:v>
      </x:c>
      <x:c r="K703" s="2" t="n">
        <x:v>1</x:v>
      </x:c>
      <x:c r="L703" s="13" t="b">
        <x:v>0</x:v>
      </x:c>
      <x:c r="M703" s="13" t="b">
        <x:v>1</x:v>
      </x:c>
      <x:c r="N703" s="2" t="str">
        <x:v>historical source estimate</x:v>
      </x:c>
      <x:c r="O703" s="2" t="str"/>
      <x:c r="P703" s="2" t="str">
        <x:v>horizontal built-up surface</x:v>
      </x:c>
      <x:c r="Q703" s="2" t="str">
        <x:v>m2</x:v>
      </x:c>
      <x:c r="R703" s="17" t="n">
        <x:v>213971234</x:v>
      </x:c>
      <x:c r="S703" s="17" t="n">
        <x:v>143367071.73</x:v>
      </x:c>
      <x:c r="T703" s="18" t="n">
        <x:v>1.0852885927183318</x:v>
      </x:c>
      <x:c r="U703" s="17" t="n">
        <x:v>155594647.5199998</x:v>
      </x:c>
      <x:c r="V703" s="2" t="str">
        <x:v>Area equivalent = model2020 * source surface / TEMPO2020 footprint</x:v>
      </x:c>
      <x:c r="W703" s="2" t="str">
        <x:v>legacy epoch_status=observed; not exact acquisition proof</x:v>
      </x:c>
      <x:c r="X703" s="2" t="str">
        <x:v>https://human-settlement.emergency.copernicus.eu/ghs_buS2023.php</x:v>
      </x:c>
    </x:row>
    <x:row r="704" ht="23" customHeight="1">
      <x:c r="A704" s="2" t="str">
        <x:v>LAO</x:v>
      </x:c>
      <x:c r="B704" s="2" t="str">
        <x:v>Lao People's Democratic Republic</x:v>
      </x:c>
      <x:c r="C704" s="2" t="n">
        <x:v>2020</x:v>
      </x:c>
      <x:c r="D704" s="2" t="str">
        <x:v>GHSL_SURFACE</x:v>
      </x:c>
      <x:c r="E704" s="17" t="n">
        <x:v>333393295.1899998</x:v>
      </x:c>
      <x:c r="F704" s="17" t="n">
        <x:f>IF(AND(M704,ISNUMBER(R704)),IF(D704="TEMPO_PROXY",R704,IF(AND(ISNUMBER(S704),S704&gt;0,ISNUMBER(U704)),U704*R704/S704,"n.a.")),"n.a.")</x:f>
        <x:v>340316417.9999998</x:v>
      </x:c>
      <x:c r="G704" s="17" t="n">
        <x:f>IF(AND(ISNUMBER(E704),ISNUMBER(F704)),E704-F704,"n.a.")</x:f>
        <x:v>-6923122.810000002</x:v>
      </x:c>
      <x:c r="H704" s="15" t="n">
        <x:f>IF(AND(ISNUMBER(E704),ISNUMBER(F704),F704&gt;0),(E704-F704)/F704,"n.a.")</x:f>
        <x:v>-0.020343193698048403</x:v>
      </x:c>
      <x:c r="I704" s="19" t="n">
        <x:f>IF(ISNUMBER(H704),ABS(H704),"n.a.")</x:f>
        <x:v>0.020343193698048403</x:v>
      </x:c>
      <x:c r="J704" s="2" t="str">
        <x:v>available</x:v>
      </x:c>
      <x:c r="K704" s="2" t="n">
        <x:v>1</x:v>
      </x:c>
      <x:c r="L704" s="13" t="b">
        <x:v>0</x:v>
      </x:c>
      <x:c r="M704" s="13" t="b">
        <x:v>1</x:v>
      </x:c>
      <x:c r="N704" s="2" t="str">
        <x:v>historical source estimate</x:v>
      </x:c>
      <x:c r="O704" s="2" t="str"/>
      <x:c r="P704" s="2" t="str">
        <x:v>horizontal built-up surface</x:v>
      </x:c>
      <x:c r="Q704" s="2" t="str">
        <x:v>m2</x:v>
      </x:c>
      <x:c r="R704" s="17" t="n">
        <x:v>340316418</x:v>
      </x:c>
      <x:c r="S704" s="17" t="n">
        <x:v>333393295.19</x:v>
      </x:c>
      <x:c r="T704" s="18" t="n">
        <x:v>0.9999999999999994</x:v>
      </x:c>
      <x:c r="U704" s="17" t="n">
        <x:v>333393295.1899998</x:v>
      </x:c>
      <x:c r="V704" s="2" t="str">
        <x:v>Area equivalent = model2020 * source surface / TEMPO2020 footprint</x:v>
      </x:c>
      <x:c r="W704" s="2" t="str">
        <x:v>legacy epoch_status=observed; not exact acquisition proof</x:v>
      </x:c>
      <x:c r="X704" s="2" t="str">
        <x:v>https://human-settlement.emergency.copernicus.eu/ghs_buS2023.php</x:v>
      </x:c>
    </x:row>
    <x:row r="705" ht="23" customHeight="1">
      <x:c r="A705" s="2" t="str">
        <x:v>LBN</x:v>
      </x:c>
      <x:c r="B705" s="2" t="str">
        <x:v>Lebanon (Lebanese Republic)</x:v>
      </x:c>
      <x:c r="C705" s="2" t="n">
        <x:v>2020</x:v>
      </x:c>
      <x:c r="D705" s="2" t="str">
        <x:v>GHSL_SURFACE</x:v>
      </x:c>
      <x:c r="E705" s="17" t="n">
        <x:v>226725070.95000017</x:v>
      </x:c>
      <x:c r="F705" s="17" t="n">
        <x:f>IF(AND(M705,ISNUMBER(R705)),IF(D705="TEMPO_PROXY",R705,IF(AND(ISNUMBER(S705),S705&gt;0,ISNUMBER(U705)),U705*R705/S705,"n.a.")),"n.a.")</x:f>
        <x:v>290871746.9311976</x:v>
      </x:c>
      <x:c r="G705" s="17" t="n">
        <x:f>IF(AND(ISNUMBER(E705),ISNUMBER(F705)),E705-F705,"n.a.")</x:f>
        <x:v>-64146675.98119742</x:v>
      </x:c>
      <x:c r="H705" s="15" t="n">
        <x:f>IF(AND(ISNUMBER(E705),ISNUMBER(F705),F705&gt;0),(E705-F705)/F705,"n.a.")</x:f>
        <x:v>-0.2205325084267142</x:v>
      </x:c>
      <x:c r="I705" s="19" t="n">
        <x:f>IF(ISNUMBER(H705),ABS(H705),"n.a.")</x:f>
        <x:v>0.2205325084267142</x:v>
      </x:c>
      <x:c r="J705" s="2" t="str">
        <x:v>available</x:v>
      </x:c>
      <x:c r="K705" s="2" t="n">
        <x:v>1</x:v>
      </x:c>
      <x:c r="L705" s="13" t="b">
        <x:v>0</x:v>
      </x:c>
      <x:c r="M705" s="13" t="b">
        <x:v>1</x:v>
      </x:c>
      <x:c r="N705" s="2" t="str">
        <x:v>historical source estimate</x:v>
      </x:c>
      <x:c r="O705" s="2" t="str"/>
      <x:c r="P705" s="2" t="str">
        <x:v>horizontal built-up surface</x:v>
      </x:c>
      <x:c r="Q705" s="2" t="str">
        <x:v>m2</x:v>
      </x:c>
      <x:c r="R705" s="17" t="n">
        <x:v>285815139</x:v>
      </x:c>
      <x:c r="S705" s="17" t="n">
        <x:v>222783609.45</x:v>
      </x:c>
      <x:c r="T705" s="18" t="n">
        <x:v>1.0176918827634165</x:v>
      </x:c>
      <x:c r="U705" s="17" t="n">
        <x:v>226725070.95000017</x:v>
      </x:c>
      <x:c r="V705" s="2" t="str">
        <x:v>Area equivalent = model2020 * source surface / TEMPO2020 footprint</x:v>
      </x:c>
      <x:c r="W705" s="2" t="str">
        <x:v>legacy epoch_status=observed; not exact acquisition proof</x:v>
      </x:c>
      <x:c r="X705" s="2" t="str">
        <x:v>https://human-settlement.emergency.copernicus.eu/ghs_buS2023.php</x:v>
      </x:c>
    </x:row>
    <x:row r="706" ht="23" customHeight="1">
      <x:c r="A706" s="2" t="str">
        <x:v>LBR</x:v>
      </x:c>
      <x:c r="B706" s="2" t="str">
        <x:v>Liberia (Republic of)</x:v>
      </x:c>
      <x:c r="C706" s="2" t="n">
        <x:v>2020</x:v>
      </x:c>
      <x:c r="D706" s="2" t="str">
        <x:v>GHSL_SURFACE</x:v>
      </x:c>
      <x:c r="E706" s="17" t="n">
        <x:v>93713430.84000014</x:v>
      </x:c>
      <x:c r="F706" s="17" t="n">
        <x:f>IF(AND(M706,ISNUMBER(R706)),IF(D706="TEMPO_PROXY",R706,IF(AND(ISNUMBER(S706),S706&gt;0,ISNUMBER(U706)),U706*R706/S706,"n.a.")),"n.a.")</x:f>
        <x:v>197494951.00000027</x:v>
      </x:c>
      <x:c r="G706" s="17" t="n">
        <x:f>IF(AND(ISNUMBER(E706),ISNUMBER(F706)),E706-F706,"n.a.")</x:f>
        <x:v>-103781520.16000013</x:v>
      </x:c>
      <x:c r="H706" s="15" t="n">
        <x:f>IF(AND(ISNUMBER(E706),ISNUMBER(F706),F706&gt;0),(E706-F706)/F706,"n.a.")</x:f>
        <x:v>-0.525489485348919</x:v>
      </x:c>
      <x:c r="I706" s="19" t="n">
        <x:f>IF(ISNUMBER(H706),ABS(H706),"n.a.")</x:f>
        <x:v>0.525489485348919</x:v>
      </x:c>
      <x:c r="J706" s="2" t="str">
        <x:v>available</x:v>
      </x:c>
      <x:c r="K706" s="2" t="n">
        <x:v>1</x:v>
      </x:c>
      <x:c r="L706" s="13" t="b">
        <x:v>0</x:v>
      </x:c>
      <x:c r="M706" s="13" t="b">
        <x:v>1</x:v>
      </x:c>
      <x:c r="N706" s="2" t="str">
        <x:v>historical source estimate</x:v>
      </x:c>
      <x:c r="O706" s="2" t="str"/>
      <x:c r="P706" s="2" t="str">
        <x:v>horizontal built-up surface</x:v>
      </x:c>
      <x:c r="Q706" s="2" t="str">
        <x:v>m2</x:v>
      </x:c>
      <x:c r="R706" s="17" t="n">
        <x:v>197494951</x:v>
      </x:c>
      <x:c r="S706" s="17" t="n">
        <x:v>93713430.84</x:v>
      </x:c>
      <x:c r="T706" s="18" t="n">
        <x:v>1.0000000000000013</x:v>
      </x:c>
      <x:c r="U706" s="17" t="n">
        <x:v>93713430.84000014</x:v>
      </x:c>
      <x:c r="V706" s="2" t="str">
        <x:v>Area equivalent = model2020 * source surface / TEMPO2020 footprint</x:v>
      </x:c>
      <x:c r="W706" s="2" t="str">
        <x:v>legacy epoch_status=observed; not exact acquisition proof</x:v>
      </x:c>
      <x:c r="X706" s="2" t="str">
        <x:v>https://human-settlement.emergency.copernicus.eu/ghs_buS2023.php</x:v>
      </x:c>
    </x:row>
    <x:row r="707" ht="23" customHeight="1">
      <x:c r="A707" s="2" t="str">
        <x:v>LBY</x:v>
      </x:c>
      <x:c r="B707" s="2" t="str">
        <x:v>Libya (State of)</x:v>
      </x:c>
      <x:c r="C707" s="2" t="n">
        <x:v>2020</x:v>
      </x:c>
      <x:c r="D707" s="2" t="str">
        <x:v>GHSL_SURFACE</x:v>
      </x:c>
      <x:c r="E707" s="17" t="n">
        <x:v>523048577.3000005</x:v>
      </x:c>
      <x:c r="F707" s="17" t="n">
        <x:f>IF(AND(M707,ISNUMBER(R707)),IF(D707="TEMPO_PROXY",R707,IF(AND(ISNUMBER(S707),S707&gt;0,ISNUMBER(U707)),U707*R707/S707,"n.a.")),"n.a.")</x:f>
        <x:v>998710141.0000008</x:v>
      </x:c>
      <x:c r="G707" s="17" t="n">
        <x:f>IF(AND(ISNUMBER(E707),ISNUMBER(F707)),E707-F707,"n.a.")</x:f>
        <x:v>-475661563.70000035</x:v>
      </x:c>
      <x:c r="H707" s="15" t="n">
        <x:f>IF(AND(ISNUMBER(E707),ISNUMBER(F707),F707&gt;0),(E707-F707)/F707,"n.a.")</x:f>
        <x:v>-0.47627589244635493</x:v>
      </x:c>
      <x:c r="I707" s="19" t="n">
        <x:f>IF(ISNUMBER(H707),ABS(H707),"n.a.")</x:f>
        <x:v>0.47627589244635493</x:v>
      </x:c>
      <x:c r="J707" s="2" t="str">
        <x:v>available</x:v>
      </x:c>
      <x:c r="K707" s="2" t="n">
        <x:v>1</x:v>
      </x:c>
      <x:c r="L707" s="13" t="b">
        <x:v>0</x:v>
      </x:c>
      <x:c r="M707" s="13" t="b">
        <x:v>1</x:v>
      </x:c>
      <x:c r="N707" s="2" t="str">
        <x:v>historical source estimate</x:v>
      </x:c>
      <x:c r="O707" s="2" t="str"/>
      <x:c r="P707" s="2" t="str">
        <x:v>horizontal built-up surface</x:v>
      </x:c>
      <x:c r="Q707" s="2" t="str">
        <x:v>m2</x:v>
      </x:c>
      <x:c r="R707" s="17" t="n">
        <x:v>998710141</x:v>
      </x:c>
      <x:c r="S707" s="17" t="n">
        <x:v>523048577.3</x:v>
      </x:c>
      <x:c r="T707" s="18" t="n">
        <x:v>1.0000000000000009</x:v>
      </x:c>
      <x:c r="U707" s="17" t="n">
        <x:v>523048577.3000005</x:v>
      </x:c>
      <x:c r="V707" s="2" t="str">
        <x:v>Area equivalent = model2020 * source surface / TEMPO2020 footprint</x:v>
      </x:c>
      <x:c r="W707" s="2" t="str">
        <x:v>legacy epoch_status=observed; not exact acquisition proof</x:v>
      </x:c>
      <x:c r="X707" s="2" t="str">
        <x:v>https://human-settlement.emergency.copernicus.eu/ghs_buS2023.php</x:v>
      </x:c>
    </x:row>
    <x:row r="708" ht="23" customHeight="1">
      <x:c r="A708" s="2" t="str">
        <x:v>LCA</x:v>
      </x:c>
      <x:c r="B708" s="2" t="str">
        <x:v>Saint Lucia</x:v>
      </x:c>
      <x:c r="C708" s="2" t="n">
        <x:v>2020</x:v>
      </x:c>
      <x:c r="D708" s="2" t="str">
        <x:v>GHSL_SURFACE</x:v>
      </x:c>
      <x:c r="E708" s="17" t="n">
        <x:v>10226894.600000018</x:v>
      </x:c>
      <x:c r="F708" s="17" t="n">
        <x:f>IF(AND(M708,ISNUMBER(R708)),IF(D708="TEMPO_PROXY",R708,IF(AND(ISNUMBER(S708),S708&gt;0,ISNUMBER(U708)),U708*R708/S708,"n.a.")),"n.a.")</x:f>
        <x:v>14791926.000000028</x:v>
      </x:c>
      <x:c r="G708" s="17" t="n">
        <x:f>IF(AND(ISNUMBER(E708),ISNUMBER(F708)),E708-F708,"n.a.")</x:f>
        <x:v>-4565031.40000001</x:v>
      </x:c>
      <x:c r="H708" s="15" t="n">
        <x:f>IF(AND(ISNUMBER(E708),ISNUMBER(F708),F708&gt;0),(E708-F708)/F708,"n.a.")</x:f>
        <x:v>-0.308616430341796</x:v>
      </x:c>
      <x:c r="I708" s="19" t="n">
        <x:f>IF(ISNUMBER(H708),ABS(H708),"n.a.")</x:f>
        <x:v>0.308616430341796</x:v>
      </x:c>
      <x:c r="J708" s="2" t="str">
        <x:v>available</x:v>
      </x:c>
      <x:c r="K708" s="2" t="n">
        <x:v>1</x:v>
      </x:c>
      <x:c r="L708" s="13" t="b">
        <x:v>0</x:v>
      </x:c>
      <x:c r="M708" s="13" t="b">
        <x:v>1</x:v>
      </x:c>
      <x:c r="N708" s="2" t="str">
        <x:v>historical source estimate</x:v>
      </x:c>
      <x:c r="O708" s="2" t="str"/>
      <x:c r="P708" s="2" t="str">
        <x:v>horizontal built-up surface</x:v>
      </x:c>
      <x:c r="Q708" s="2" t="str">
        <x:v>m2</x:v>
      </x:c>
      <x:c r="R708" s="17" t="n">
        <x:v>14791926</x:v>
      </x:c>
      <x:c r="S708" s="17" t="n">
        <x:v>10226894.6</x:v>
      </x:c>
      <x:c r="T708" s="18" t="n">
        <x:v>1.0000000000000018</x:v>
      </x:c>
      <x:c r="U708" s="17" t="n">
        <x:v>10226894.600000018</x:v>
      </x:c>
      <x:c r="V708" s="2" t="str">
        <x:v>Area equivalent = model2020 * source surface / TEMPO2020 footprint</x:v>
      </x:c>
      <x:c r="W708" s="2" t="str">
        <x:v>legacy epoch_status=observed; not exact acquisition proof</x:v>
      </x:c>
      <x:c r="X708" s="2" t="str">
        <x:v>https://human-settlement.emergency.copernicus.eu/ghs_buS2023.php</x:v>
      </x:c>
    </x:row>
    <x:row r="709" ht="23" customHeight="1">
      <x:c r="A709" s="2" t="str">
        <x:v>LIE</x:v>
      </x:c>
      <x:c r="B709" s="2" t="str">
        <x:v>Liechtenstein (Principality of)</x:v>
      </x:c>
      <x:c r="C709" s="2" t="n">
        <x:v>2020</x:v>
      </x:c>
      <x:c r="D709" s="2" t="str">
        <x:v>GHSL_SURFACE</x:v>
      </x:c>
      <x:c r="E709" s="17" t="n">
        <x:v>3628695.830000003</x:v>
      </x:c>
      <x:c r="F709" s="17" t="n">
        <x:f>IF(AND(M709,ISNUMBER(R709)),IF(D709="TEMPO_PROXY",R709,IF(AND(ISNUMBER(S709),S709&gt;0,ISNUMBER(U709)),U709*R709/S709,"n.a.")),"n.a.")</x:f>
        <x:v>5249402.884506399</x:v>
      </x:c>
      <x:c r="G709" s="17" t="n">
        <x:f>IF(AND(ISNUMBER(E709),ISNUMBER(F709)),E709-F709,"n.a.")</x:f>
        <x:v>-1620707.054506396</x:v>
      </x:c>
      <x:c r="H709" s="15" t="n">
        <x:f>IF(AND(ISNUMBER(E709),ISNUMBER(F709),F709&gt;0),(E709-F709)/F709,"n.a.")</x:f>
        <x:v>-0.3087412206995789</x:v>
      </x:c>
      <x:c r="I709" s="19" t="n">
        <x:f>IF(ISNUMBER(H709),ABS(H709),"n.a.")</x:f>
        <x:v>0.3087412206995789</x:v>
      </x:c>
      <x:c r="J709" s="2" t="str">
        <x:v>available</x:v>
      </x:c>
      <x:c r="K709" s="2" t="n">
        <x:v>1</x:v>
      </x:c>
      <x:c r="L709" s="13" t="b">
        <x:v>0</x:v>
      </x:c>
      <x:c r="M709" s="13" t="b">
        <x:v>1</x:v>
      </x:c>
      <x:c r="N709" s="2" t="str">
        <x:v>historical source estimate</x:v>
      </x:c>
      <x:c r="O709" s="2" t="str"/>
      <x:c r="P709" s="2" t="str">
        <x:v>horizontal built-up surface</x:v>
      </x:c>
      <x:c r="Q709" s="2" t="str">
        <x:v>m2</x:v>
      </x:c>
      <x:c r="R709" s="17" t="n">
        <x:v>5091949</x:v>
      </x:c>
      <x:c r="S709" s="17" t="n">
        <x:v>3519854.45</x:v>
      </x:c>
      <x:c r="T709" s="18" t="n">
        <x:v>1.0309221252032177</x:v>
      </x:c>
      <x:c r="U709" s="17" t="n">
        <x:v>3628695.830000003</x:v>
      </x:c>
      <x:c r="V709" s="2" t="str">
        <x:v>Area equivalent = model2020 * source surface / TEMPO2020 footprint</x:v>
      </x:c>
      <x:c r="W709" s="2" t="str">
        <x:v>legacy epoch_status=observed; not exact acquisition proof</x:v>
      </x:c>
      <x:c r="X709" s="2" t="str">
        <x:v>https://human-settlement.emergency.copernicus.eu/ghs_buS2023.php</x:v>
      </x:c>
    </x:row>
    <x:row r="710" ht="23" customHeight="1">
      <x:c r="A710" s="2" t="str">
        <x:v>LKA</x:v>
      </x:c>
      <x:c r="B710" s="2" t="str">
        <x:v>Sri Lanka (Democratic Socialist Republic of)</x:v>
      </x:c>
      <x:c r="C710" s="2" t="n">
        <x:v>2020</x:v>
      </x:c>
      <x:c r="D710" s="2" t="str">
        <x:v>GHSL_SURFACE</x:v>
      </x:c>
      <x:c r="E710" s="17" t="n">
        <x:v>899293602.2900008</x:v>
      </x:c>
      <x:c r="F710" s="17" t="n">
        <x:f>IF(AND(M710,ISNUMBER(R710)),IF(D710="TEMPO_PROXY",R710,IF(AND(ISNUMBER(S710),S710&gt;0,ISNUMBER(U710)),U710*R710/S710,"n.a.")),"n.a.")</x:f>
        <x:v>970761407.0000008</x:v>
      </x:c>
      <x:c r="G710" s="17" t="n">
        <x:f>IF(AND(ISNUMBER(E710),ISNUMBER(F710)),E710-F710,"n.a.")</x:f>
        <x:v>-71467804.71000004</x:v>
      </x:c>
      <x:c r="H710" s="15" t="n">
        <x:f>IF(AND(ISNUMBER(E710),ISNUMBER(F710),F710&gt;0),(E710-F710)/F710,"n.a.")</x:f>
        <x:v>-0.07362036046618402</x:v>
      </x:c>
      <x:c r="I710" s="19" t="n">
        <x:f>IF(ISNUMBER(H710),ABS(H710),"n.a.")</x:f>
        <x:v>0.07362036046618402</x:v>
      </x:c>
      <x:c r="J710" s="2" t="str">
        <x:v>available</x:v>
      </x:c>
      <x:c r="K710" s="2" t="n">
        <x:v>1</x:v>
      </x:c>
      <x:c r="L710" s="13" t="b">
        <x:v>0</x:v>
      </x:c>
      <x:c r="M710" s="13" t="b">
        <x:v>1</x:v>
      </x:c>
      <x:c r="N710" s="2" t="str">
        <x:v>historical source estimate</x:v>
      </x:c>
      <x:c r="O710" s="2" t="str"/>
      <x:c r="P710" s="2" t="str">
        <x:v>horizontal built-up surface</x:v>
      </x:c>
      <x:c r="Q710" s="2" t="str">
        <x:v>m2</x:v>
      </x:c>
      <x:c r="R710" s="17" t="n">
        <x:v>970761407</x:v>
      </x:c>
      <x:c r="S710" s="17" t="n">
        <x:v>899293602.29</x:v>
      </x:c>
      <x:c r="T710" s="18" t="n">
        <x:v>1.0000000000000009</x:v>
      </x:c>
      <x:c r="U710" s="17" t="n">
        <x:v>899293602.2900008</x:v>
      </x:c>
      <x:c r="V710" s="2" t="str">
        <x:v>Area equivalent = model2020 * source surface / TEMPO2020 footprint</x:v>
      </x:c>
      <x:c r="W710" s="2" t="str">
        <x:v>legacy epoch_status=observed; not exact acquisition proof</x:v>
      </x:c>
      <x:c r="X710" s="2" t="str">
        <x:v>https://human-settlement.emergency.copernicus.eu/ghs_buS2023.php</x:v>
      </x:c>
    </x:row>
    <x:row r="711" ht="23" customHeight="1">
      <x:c r="A711" s="2" t="str">
        <x:v>LSO</x:v>
      </x:c>
      <x:c r="B711" s="2" t="str">
        <x:v>Lesotho (Kingdom of)</x:v>
      </x:c>
      <x:c r="C711" s="2" t="n">
        <x:v>2020</x:v>
      </x:c>
      <x:c r="D711" s="2" t="str">
        <x:v>GHSL_SURFACE</x:v>
      </x:c>
      <x:c r="E711" s="17" t="n">
        <x:v>60655167.15000007</x:v>
      </x:c>
      <x:c r="F711" s="17" t="n">
        <x:f>IF(AND(M711,ISNUMBER(R711)),IF(D711="TEMPO_PROXY",R711,IF(AND(ISNUMBER(S711),S711&gt;0,ISNUMBER(U711)),U711*R711/S711,"n.a.")),"n.a.")</x:f>
        <x:v>209647362.00000027</x:v>
      </x:c>
      <x:c r="G711" s="17" t="n">
        <x:f>IF(AND(ISNUMBER(E711),ISNUMBER(F711)),E711-F711,"n.a.")</x:f>
        <x:v>-148992194.8500002</x:v>
      </x:c>
      <x:c r="H711" s="15" t="n">
        <x:f>IF(AND(ISNUMBER(E711),ISNUMBER(F711),F711&gt;0),(E711-F711)/F711,"n.a.")</x:f>
        <x:v>-0.7106800363650653</x:v>
      </x:c>
      <x:c r="I711" s="19" t="n">
        <x:f>IF(ISNUMBER(H711),ABS(H711),"n.a.")</x:f>
        <x:v>0.7106800363650653</x:v>
      </x:c>
      <x:c r="J711" s="2" t="str">
        <x:v>available</x:v>
      </x:c>
      <x:c r="K711" s="2" t="n">
        <x:v>1</x:v>
      </x:c>
      <x:c r="L711" s="13" t="b">
        <x:v>0</x:v>
      </x:c>
      <x:c r="M711" s="13" t="b">
        <x:v>1</x:v>
      </x:c>
      <x:c r="N711" s="2" t="str">
        <x:v>historical source estimate</x:v>
      </x:c>
      <x:c r="O711" s="2" t="str"/>
      <x:c r="P711" s="2" t="str">
        <x:v>horizontal built-up surface</x:v>
      </x:c>
      <x:c r="Q711" s="2" t="str">
        <x:v>m2</x:v>
      </x:c>
      <x:c r="R711" s="17" t="n">
        <x:v>209647362</x:v>
      </x:c>
      <x:c r="S711" s="17" t="n">
        <x:v>60655167.15</x:v>
      </x:c>
      <x:c r="T711" s="18" t="n">
        <x:v>1.0000000000000013</x:v>
      </x:c>
      <x:c r="U711" s="17" t="n">
        <x:v>60655167.15000007</x:v>
      </x:c>
      <x:c r="V711" s="2" t="str">
        <x:v>Area equivalent = model2020 * source surface / TEMPO2020 footprint</x:v>
      </x:c>
      <x:c r="W711" s="2" t="str">
        <x:v>legacy epoch_status=observed; not exact acquisition proof</x:v>
      </x:c>
      <x:c r="X711" s="2" t="str">
        <x:v>https://human-settlement.emergency.copernicus.eu/ghs_buS2023.php</x:v>
      </x:c>
    </x:row>
    <x:row r="712" ht="23" customHeight="1">
      <x:c r="A712" s="2" t="str">
        <x:v>LTU</x:v>
      </x:c>
      <x:c r="B712" s="2" t="str">
        <x:v>Lithuania (Republic of)</x:v>
      </x:c>
      <x:c r="C712" s="2" t="n">
        <x:v>2020</x:v>
      </x:c>
      <x:c r="D712" s="2" t="str">
        <x:v>GHSL_SURFACE</x:v>
      </x:c>
      <x:c r="E712" s="17" t="n">
        <x:v>269070067.6199997</x:v>
      </x:c>
      <x:c r="F712" s="17" t="n">
        <x:f>IF(AND(M712,ISNUMBER(R712)),IF(D712="TEMPO_PROXY",R712,IF(AND(ISNUMBER(S712),S712&gt;0,ISNUMBER(U712)),U712*R712/S712,"n.a.")),"n.a.")</x:f>
        <x:v>476242330.99999946</x:v>
      </x:c>
      <x:c r="G712" s="17" t="n">
        <x:f>IF(AND(ISNUMBER(E712),ISNUMBER(F712)),E712-F712,"n.a.")</x:f>
        <x:v>-207172263.37999976</x:v>
      </x:c>
      <x:c r="H712" s="15" t="n">
        <x:f>IF(AND(ISNUMBER(E712),ISNUMBER(F712),F712&gt;0),(E712-F712)/F712,"n.a.")</x:f>
        <x:v>-0.43501438216335286</x:v>
      </x:c>
      <x:c r="I712" s="19" t="n">
        <x:f>IF(ISNUMBER(H712),ABS(H712),"n.a.")</x:f>
        <x:v>0.43501438216335286</x:v>
      </x:c>
      <x:c r="J712" s="2" t="str">
        <x:v>available</x:v>
      </x:c>
      <x:c r="K712" s="2" t="n">
        <x:v>1</x:v>
      </x:c>
      <x:c r="L712" s="13" t="b">
        <x:v>0</x:v>
      </x:c>
      <x:c r="M712" s="13" t="b">
        <x:v>1</x:v>
      </x:c>
      <x:c r="N712" s="2" t="str">
        <x:v>historical source estimate</x:v>
      </x:c>
      <x:c r="O712" s="2" t="str"/>
      <x:c r="P712" s="2" t="str">
        <x:v>horizontal built-up surface</x:v>
      </x:c>
      <x:c r="Q712" s="2" t="str">
        <x:v>m2</x:v>
      </x:c>
      <x:c r="R712" s="17" t="n">
        <x:v>476242331</x:v>
      </x:c>
      <x:c r="S712" s="17" t="n">
        <x:v>269070067.62</x:v>
      </x:c>
      <x:c r="T712" s="18" t="n">
        <x:v>0.9999999999999989</x:v>
      </x:c>
      <x:c r="U712" s="17" t="n">
        <x:v>269070067.6199997</x:v>
      </x:c>
      <x:c r="V712" s="2" t="str">
        <x:v>Area equivalent = model2020 * source surface / TEMPO2020 footprint</x:v>
      </x:c>
      <x:c r="W712" s="2" t="str">
        <x:v>legacy epoch_status=observed; not exact acquisition proof</x:v>
      </x:c>
      <x:c r="X712" s="2" t="str">
        <x:v>https://human-settlement.emergency.copernicus.eu/ghs_buS2023.php</x:v>
      </x:c>
    </x:row>
    <x:row r="713" ht="23" customHeight="1">
      <x:c r="A713" s="2" t="str">
        <x:v>LUX</x:v>
      </x:c>
      <x:c r="B713" s="2" t="str">
        <x:v>Luxembourg (Grand Duchy of)</x:v>
      </x:c>
      <x:c r="C713" s="2" t="n">
        <x:v>2020</x:v>
      </x:c>
      <x:c r="D713" s="2" t="str">
        <x:v>GHSL_SURFACE</x:v>
      </x:c>
      <x:c r="E713" s="17" t="n">
        <x:v>49053600.56000002</x:v>
      </x:c>
      <x:c r="F713" s="17" t="n">
        <x:f>IF(AND(M713,ISNUMBER(R713)),IF(D713="TEMPO_PROXY",R713,IF(AND(ISNUMBER(S713),S713&gt;0,ISNUMBER(U713)),U713*R713/S713,"n.a.")),"n.a.")</x:f>
        <x:v>76474495.4627044</x:v>
      </x:c>
      <x:c r="G713" s="17" t="n">
        <x:f>IF(AND(ISNUMBER(E713),ISNUMBER(F713)),E713-F713,"n.a.")</x:f>
        <x:v>-27420894.902704388</x:v>
      </x:c>
      <x:c r="H713" s="15" t="n">
        <x:f>IF(AND(ISNUMBER(E713),ISNUMBER(F713),F713&gt;0),(E713-F713)/F713,"n.a.")</x:f>
        <x:v>-0.3585626127612335</x:v>
      </x:c>
      <x:c r="I713" s="19" t="n">
        <x:f>IF(ISNUMBER(H713),ABS(H713),"n.a.")</x:f>
        <x:v>0.3585626127612335</x:v>
      </x:c>
      <x:c r="J713" s="2" t="str">
        <x:v>available</x:v>
      </x:c>
      <x:c r="K713" s="2" t="n">
        <x:v>1</x:v>
      </x:c>
      <x:c r="L713" s="13" t="b">
        <x:v>0</x:v>
      </x:c>
      <x:c r="M713" s="13" t="b">
        <x:v>1</x:v>
      </x:c>
      <x:c r="N713" s="2" t="str">
        <x:v>historical source estimate</x:v>
      </x:c>
      <x:c r="O713" s="2" t="str"/>
      <x:c r="P713" s="2" t="str">
        <x:v>horizontal built-up surface</x:v>
      </x:c>
      <x:c r="Q713" s="2" t="str">
        <x:v>m2</x:v>
      </x:c>
      <x:c r="R713" s="17" t="n">
        <x:v>67500481</x:v>
      </x:c>
      <x:c r="S713" s="17" t="n">
        <x:v>43297332.17</x:v>
      </x:c>
      <x:c r="T713" s="18" t="n">
        <x:v>1.132947415037004</x:v>
      </x:c>
      <x:c r="U713" s="17" t="n">
        <x:v>49053600.56000002</x:v>
      </x:c>
      <x:c r="V713" s="2" t="str">
        <x:v>Area equivalent = model2020 * source surface / TEMPO2020 footprint</x:v>
      </x:c>
      <x:c r="W713" s="2" t="str">
        <x:v>legacy epoch_status=observed; not exact acquisition proof</x:v>
      </x:c>
      <x:c r="X713" s="2" t="str">
        <x:v>https://human-settlement.emergency.copernicus.eu/ghs_buS2023.php</x:v>
      </x:c>
    </x:row>
    <x:row r="714" ht="23" customHeight="1">
      <x:c r="A714" s="2" t="str">
        <x:v>LVA</x:v>
      </x:c>
      <x:c r="B714" s="2" t="str">
        <x:v>Latvia (Republic of)</x:v>
      </x:c>
      <x:c r="C714" s="2" t="n">
        <x:v>2020</x:v>
      </x:c>
      <x:c r="D714" s="2" t="str">
        <x:v>GHSL_SURFACE</x:v>
      </x:c>
      <x:c r="E714" s="17" t="n">
        <x:v>145154805.1899999</x:v>
      </x:c>
      <x:c r="F714" s="17" t="n">
        <x:f>IF(AND(M714,ISNUMBER(R714)),IF(D714="TEMPO_PROXY",R714,IF(AND(ISNUMBER(S714),S714&gt;0,ISNUMBER(U714)),U714*R714/S714,"n.a.")),"n.a.")</x:f>
        <x:v>254085900.99999982</x:v>
      </x:c>
      <x:c r="G714" s="17" t="n">
        <x:f>IF(AND(ISNUMBER(E714),ISNUMBER(F714)),E714-F714,"n.a.")</x:f>
        <x:v>-108931095.80999991</x:v>
      </x:c>
      <x:c r="H714" s="15" t="n">
        <x:f>IF(AND(ISNUMBER(E714),ISNUMBER(F714),F714&gt;0),(E714-F714)/F714,"n.a.")</x:f>
        <x:v>-0.42871759267744647</x:v>
      </x:c>
      <x:c r="I714" s="19" t="n">
        <x:f>IF(ISNUMBER(H714),ABS(H714),"n.a.")</x:f>
        <x:v>0.42871759267744647</x:v>
      </x:c>
      <x:c r="J714" s="2" t="str">
        <x:v>available</x:v>
      </x:c>
      <x:c r="K714" s="2" t="n">
        <x:v>1</x:v>
      </x:c>
      <x:c r="L714" s="13" t="b">
        <x:v>0</x:v>
      </x:c>
      <x:c r="M714" s="13" t="b">
        <x:v>1</x:v>
      </x:c>
      <x:c r="N714" s="2" t="str">
        <x:v>historical source estimate</x:v>
      </x:c>
      <x:c r="O714" s="2" t="str"/>
      <x:c r="P714" s="2" t="str">
        <x:v>horizontal built-up surface</x:v>
      </x:c>
      <x:c r="Q714" s="2" t="str">
        <x:v>m2</x:v>
      </x:c>
      <x:c r="R714" s="17" t="n">
        <x:v>254085901</x:v>
      </x:c>
      <x:c r="S714" s="17" t="n">
        <x:v>145154805.19</x:v>
      </x:c>
      <x:c r="T714" s="18" t="n">
        <x:v>0.9999999999999993</x:v>
      </x:c>
      <x:c r="U714" s="17" t="n">
        <x:v>145154805.1899999</x:v>
      </x:c>
      <x:c r="V714" s="2" t="str">
        <x:v>Area equivalent = model2020 * source surface / TEMPO2020 footprint</x:v>
      </x:c>
      <x:c r="W714" s="2" t="str">
        <x:v>legacy epoch_status=observed; not exact acquisition proof</x:v>
      </x:c>
      <x:c r="X714" s="2" t="str">
        <x:v>https://human-settlement.emergency.copernicus.eu/ghs_buS2023.php</x:v>
      </x:c>
    </x:row>
    <x:row r="715" ht="23" customHeight="1">
      <x:c r="A715" s="2" t="str">
        <x:v>MAR</x:v>
      </x:c>
      <x:c r="B715" s="2" t="str">
        <x:v>Morocco (Kingdom of)</x:v>
      </x:c>
      <x:c r="C715" s="2" t="n">
        <x:v>2020</x:v>
      </x:c>
      <x:c r="D715" s="2" t="str">
        <x:v>GHSL_SURFACE</x:v>
      </x:c>
      <x:c r="E715" s="17" t="n">
        <x:v>1247018524.7000012</x:v>
      </x:c>
      <x:c r="F715" s="17" t="n">
        <x:f>IF(AND(M715,ISNUMBER(R715)),IF(D715="TEMPO_PROXY",R715,IF(AND(ISNUMBER(S715),S715&gt;0,ISNUMBER(U715)),U715*R715/S715,"n.a.")),"n.a.")</x:f>
        <x:v>864718213.5994936</x:v>
      </x:c>
      <x:c r="G715" s="17" t="n">
        <x:f>IF(AND(ISNUMBER(E715),ISNUMBER(F715)),E715-F715,"n.a.")</x:f>
        <x:v>382300311.1005076</x:v>
      </x:c>
      <x:c r="H715" s="15" t="n">
        <x:f>IF(AND(ISNUMBER(E715),ISNUMBER(F715),F715&gt;0),(E715-F715)/F715,"n.a.")</x:f>
        <x:v>0.4421097012738249</x:v>
      </x:c>
      <x:c r="I715" s="19" t="n">
        <x:f>IF(ISNUMBER(H715),ABS(H715),"n.a.")</x:f>
        <x:v>0.4421097012738249</x:v>
      </x:c>
      <x:c r="J715" s="2" t="str">
        <x:v>available</x:v>
      </x:c>
      <x:c r="K715" s="2" t="n">
        <x:v>1</x:v>
      </x:c>
      <x:c r="L715" s="13" t="b">
        <x:v>0</x:v>
      </x:c>
      <x:c r="M715" s="13" t="b">
        <x:v>1</x:v>
      </x:c>
      <x:c r="N715" s="2" t="str">
        <x:v>historical source estimate</x:v>
      </x:c>
      <x:c r="O715" s="2" t="str"/>
      <x:c r="P715" s="2" t="str">
        <x:v>horizontal built-up surface</x:v>
      </x:c>
      <x:c r="Q715" s="2" t="str">
        <x:v>m2</x:v>
      </x:c>
      <x:c r="R715" s="17" t="n">
        <x:v>824943110</x:v>
      </x:c>
      <x:c r="S715" s="17" t="n">
        <x:v>1189658461.93</x:v>
      </x:c>
      <x:c r="T715" s="18" t="n">
        <x:v>1.0482155716161974</x:v>
      </x:c>
      <x:c r="U715" s="17" t="n">
        <x:v>1247018524.7000012</x:v>
      </x:c>
      <x:c r="V715" s="2" t="str">
        <x:v>Area equivalent = model2020 * source surface / TEMPO2020 footprint</x:v>
      </x:c>
      <x:c r="W715" s="2" t="str">
        <x:v>legacy epoch_status=observed; not exact acquisition proof</x:v>
      </x:c>
      <x:c r="X715" s="2" t="str">
        <x:v>https://human-settlement.emergency.copernicus.eu/ghs_buS2023.php</x:v>
      </x:c>
    </x:row>
    <x:row r="716" ht="23" customHeight="1">
      <x:c r="A716" s="2" t="str">
        <x:v>MCO</x:v>
      </x:c>
      <x:c r="B716" s="2" t="str">
        <x:v>Monaco (Principality of)</x:v>
      </x:c>
      <x:c r="C716" s="2" t="n">
        <x:v>2020</x:v>
      </x:c>
      <x:c r="D716" s="2" t="str">
        <x:v>GHSL_SURFACE</x:v>
      </x:c>
      <x:c r="E716" s="17" t="n">
        <x:v>1563267.7900000005</x:v>
      </x:c>
      <x:c r="F716" s="17" t="n">
        <x:f>IF(AND(M716,ISNUMBER(R716)),IF(D716="TEMPO_PROXY",R716,IF(AND(ISNUMBER(S716),S716&gt;0,ISNUMBER(U716)),U716*R716/S716,"n.a.")),"n.a.")</x:f>
        <x:v>1399276.0094398286</x:v>
      </x:c>
      <x:c r="G716" s="17" t="n">
        <x:f>IF(AND(ISNUMBER(E716),ISNUMBER(F716)),E716-F716,"n.a.")</x:f>
        <x:v>163991.78056017193</x:v>
      </x:c>
      <x:c r="H716" s="15" t="n">
        <x:f>IF(AND(ISNUMBER(E716),ISNUMBER(F716),F716&gt;0),(E716-F716)/F716,"n.a.")</x:f>
        <x:v>0.11719759322238553</x:v>
      </x:c>
      <x:c r="I716" s="19" t="n">
        <x:f>IF(ISNUMBER(H716),ABS(H716),"n.a.")</x:f>
        <x:v>0.11719759322238553</x:v>
      </x:c>
      <x:c r="J716" s="2" t="str">
        <x:v>available</x:v>
      </x:c>
      <x:c r="K716" s="2" t="n">
        <x:v>1</x:v>
      </x:c>
      <x:c r="L716" s="13" t="b">
        <x:v>0</x:v>
      </x:c>
      <x:c r="M716" s="13" t="b">
        <x:v>1</x:v>
      </x:c>
      <x:c r="N716" s="2" t="str">
        <x:v>historical source estimate</x:v>
      </x:c>
      <x:c r="O716" s="2" t="str"/>
      <x:c r="P716" s="2" t="str">
        <x:v>horizontal built-up surface</x:v>
      </x:c>
      <x:c r="Q716" s="2" t="str">
        <x:v>m2</x:v>
      </x:c>
      <x:c r="R716" s="17" t="n">
        <x:v>496930</x:v>
      </x:c>
      <x:c r="S716" s="17" t="n">
        <x:v>555169</x:v>
      </x:c>
      <x:c r="T716" s="18" t="n">
        <x:v>2.8158412843656624</x:v>
      </x:c>
      <x:c r="U716" s="17" t="n">
        <x:v>1563267.7900000005</x:v>
      </x:c>
      <x:c r="V716" s="2" t="str">
        <x:v>Area equivalent = model2020 * source surface / TEMPO2020 footprint</x:v>
      </x:c>
      <x:c r="W716" s="2" t="str">
        <x:v>legacy epoch_status=observed; not exact acquisition proof</x:v>
      </x:c>
      <x:c r="X716" s="2" t="str">
        <x:v>https://human-settlement.emergency.copernicus.eu/ghs_buS2023.php</x:v>
      </x:c>
    </x:row>
    <x:row r="717" ht="23" customHeight="1">
      <x:c r="A717" s="2" t="str">
        <x:v>MDA</x:v>
      </x:c>
      <x:c r="B717" s="2" t="str">
        <x:v>Moldova (Republic of)</x:v>
      </x:c>
      <x:c r="C717" s="2" t="n">
        <x:v>2020</x:v>
      </x:c>
      <x:c r="D717" s="2" t="str">
        <x:v>GHSL_SURFACE</x:v>
      </x:c>
      <x:c r="E717" s="17" t="n">
        <x:v>254566854.8299996</x:v>
      </x:c>
      <x:c r="F717" s="17" t="n">
        <x:f>IF(AND(M717,ISNUMBER(R717)),IF(D717="TEMPO_PROXY",R717,IF(AND(ISNUMBER(S717),S717&gt;0,ISNUMBER(U717)),U717*R717/S717,"n.a.")),"n.a.")</x:f>
        <x:v>488101077.99999917</x:v>
      </x:c>
      <x:c r="G717" s="17" t="n">
        <x:f>IF(AND(ISNUMBER(E717),ISNUMBER(F717)),E717-F717,"n.a.")</x:f>
        <x:v>-233534223.16999957</x:v>
      </x:c>
      <x:c r="H717" s="15" t="n">
        <x:f>IF(AND(ISNUMBER(E717),ISNUMBER(F717),F717&gt;0),(E717-F717)/F717,"n.a.")</x:f>
        <x:v>-0.47845463510736186</x:v>
      </x:c>
      <x:c r="I717" s="19" t="n">
        <x:f>IF(ISNUMBER(H717),ABS(H717),"n.a.")</x:f>
        <x:v>0.47845463510736186</x:v>
      </x:c>
      <x:c r="J717" s="2" t="str">
        <x:v>available</x:v>
      </x:c>
      <x:c r="K717" s="2" t="n">
        <x:v>1</x:v>
      </x:c>
      <x:c r="L717" s="13" t="b">
        <x:v>0</x:v>
      </x:c>
      <x:c r="M717" s="13" t="b">
        <x:v>1</x:v>
      </x:c>
      <x:c r="N717" s="2" t="str">
        <x:v>historical source estimate</x:v>
      </x:c>
      <x:c r="O717" s="2" t="str"/>
      <x:c r="P717" s="2" t="str">
        <x:v>horizontal built-up surface</x:v>
      </x:c>
      <x:c r="Q717" s="2" t="str">
        <x:v>m2</x:v>
      </x:c>
      <x:c r="R717" s="17" t="n">
        <x:v>488101078</x:v>
      </x:c>
      <x:c r="S717" s="17" t="n">
        <x:v>254566854.83</x:v>
      </x:c>
      <x:c r="T717" s="18" t="n">
        <x:v>0.9999999999999983</x:v>
      </x:c>
      <x:c r="U717" s="17" t="n">
        <x:v>254566854.8299996</x:v>
      </x:c>
      <x:c r="V717" s="2" t="str">
        <x:v>Area equivalent = model2020 * source surface / TEMPO2020 footprint</x:v>
      </x:c>
      <x:c r="W717" s="2" t="str">
        <x:v>legacy epoch_status=observed; not exact acquisition proof</x:v>
      </x:c>
      <x:c r="X717" s="2" t="str">
        <x:v>https://human-settlement.emergency.copernicus.eu/ghs_buS2023.php</x:v>
      </x:c>
    </x:row>
    <x:row r="718" ht="23" customHeight="1">
      <x:c r="A718" s="2" t="str">
        <x:v>MDG</x:v>
      </x:c>
      <x:c r="B718" s="2" t="str">
        <x:v>Madagascar (Republic of)</x:v>
      </x:c>
      <x:c r="C718" s="2" t="n">
        <x:v>2020</x:v>
      </x:c>
      <x:c r="D718" s="2" t="str">
        <x:v>GHSL_SURFACE</x:v>
      </x:c>
      <x:c r="E718" s="17" t="n">
        <x:v>360823089.7999994</x:v>
      </x:c>
      <x:c r="F718" s="17" t="n">
        <x:f>IF(AND(M718,ISNUMBER(R718)),IF(D718="TEMPO_PROXY",R718,IF(AND(ISNUMBER(S718),S718&gt;0,ISNUMBER(U718)),U718*R718/S718,"n.a.")),"n.a.")</x:f>
        <x:v>801040225.9999988</x:v>
      </x:c>
      <x:c r="G718" s="17" t="n">
        <x:f>IF(AND(ISNUMBER(E718),ISNUMBER(F718)),E718-F718,"n.a.")</x:f>
        <x:v>-440217136.1999994</x:v>
      </x:c>
      <x:c r="H718" s="15" t="n">
        <x:f>IF(AND(ISNUMBER(E718),ISNUMBER(F718),F718&gt;0),(E718-F718)/F718,"n.a.")</x:f>
        <x:v>-0.5495568411067536</x:v>
      </x:c>
      <x:c r="I718" s="19" t="n">
        <x:f>IF(ISNUMBER(H718),ABS(H718),"n.a.")</x:f>
        <x:v>0.5495568411067536</x:v>
      </x:c>
      <x:c r="J718" s="2" t="str">
        <x:v>available</x:v>
      </x:c>
      <x:c r="K718" s="2" t="n">
        <x:v>1</x:v>
      </x:c>
      <x:c r="L718" s="13" t="b">
        <x:v>0</x:v>
      </x:c>
      <x:c r="M718" s="13" t="b">
        <x:v>1</x:v>
      </x:c>
      <x:c r="N718" s="2" t="str">
        <x:v>historical source estimate</x:v>
      </x:c>
      <x:c r="O718" s="2" t="str"/>
      <x:c r="P718" s="2" t="str">
        <x:v>horizontal built-up surface</x:v>
      </x:c>
      <x:c r="Q718" s="2" t="str">
        <x:v>m2</x:v>
      </x:c>
      <x:c r="R718" s="17" t="n">
        <x:v>801040226</x:v>
      </x:c>
      <x:c r="S718" s="17" t="n">
        <x:v>360823089.8</x:v>
      </x:c>
      <x:c r="T718" s="18" t="n">
        <x:v>0.9999999999999983</x:v>
      </x:c>
      <x:c r="U718" s="17" t="n">
        <x:v>360823089.7999994</x:v>
      </x:c>
      <x:c r="V718" s="2" t="str">
        <x:v>Area equivalent = model2020 * source surface / TEMPO2020 footprint</x:v>
      </x:c>
      <x:c r="W718" s="2" t="str">
        <x:v>legacy epoch_status=observed; not exact acquisition proof</x:v>
      </x:c>
      <x:c r="X718" s="2" t="str">
        <x:v>https://human-settlement.emergency.copernicus.eu/ghs_buS2023.php</x:v>
      </x:c>
    </x:row>
    <x:row r="719" ht="23" customHeight="1">
      <x:c r="A719" s="2" t="str">
        <x:v>MDV</x:v>
      </x:c>
      <x:c r="B719" s="2" t="str">
        <x:v>Maldives (Republic of)</x:v>
      </x:c>
      <x:c r="C719" s="2" t="n">
        <x:v>2020</x:v>
      </x:c>
      <x:c r="D719" s="2" t="str">
        <x:v>GHSL_SURFACE</x:v>
      </x:c>
      <x:c r="E719" s="17" t="n">
        <x:v>2206666.830000001</x:v>
      </x:c>
      <x:c r="F719" s="17" t="n">
        <x:f>IF(AND(M719,ISNUMBER(R719)),IF(D719="TEMPO_PROXY",R719,IF(AND(ISNUMBER(S719),S719&gt;0,ISNUMBER(U719)),U719*R719/S719,"n.a.")),"n.a.")</x:f>
        <x:v>958826.0000000005</x:v>
      </x:c>
      <x:c r="G719" s="17" t="n">
        <x:f>IF(AND(ISNUMBER(E719),ISNUMBER(F719)),E719-F719,"n.a.")</x:f>
        <x:v>1247840.8300000005</x:v>
      </x:c>
      <x:c r="H719" s="15" t="n">
        <x:f>IF(AND(ISNUMBER(E719),ISNUMBER(F719),F719&gt;0),(E719-F719)/F719,"n.a.")</x:f>
        <x:v>1.3014257331361476</x:v>
      </x:c>
      <x:c r="I719" s="19" t="n">
        <x:f>IF(ISNUMBER(H719),ABS(H719),"n.a.")</x:f>
        <x:v>1.3014257331361476</x:v>
      </x:c>
      <x:c r="J719" s="2" t="str">
        <x:v>available</x:v>
      </x:c>
      <x:c r="K719" s="2" t="n">
        <x:v>1</x:v>
      </x:c>
      <x:c r="L719" s="13" t="b">
        <x:v>0</x:v>
      </x:c>
      <x:c r="M719" s="13" t="b">
        <x:v>1</x:v>
      </x:c>
      <x:c r="N719" s="2" t="str">
        <x:v>historical source estimate</x:v>
      </x:c>
      <x:c r="O719" s="2" t="str"/>
      <x:c r="P719" s="2" t="str">
        <x:v>horizontal built-up surface</x:v>
      </x:c>
      <x:c r="Q719" s="2" t="str">
        <x:v>m2</x:v>
      </x:c>
      <x:c r="R719" s="17" t="n">
        <x:v>958826</x:v>
      </x:c>
      <x:c r="S719" s="17" t="n">
        <x:v>2206666.83</x:v>
      </x:c>
      <x:c r="T719" s="18" t="n">
        <x:v>1.0000000000000004</x:v>
      </x:c>
      <x:c r="U719" s="17" t="n">
        <x:v>2206666.830000001</x:v>
      </x:c>
      <x:c r="V719" s="2" t="str">
        <x:v>Area equivalent = model2020 * source surface / TEMPO2020 footprint</x:v>
      </x:c>
      <x:c r="W719" s="2" t="str">
        <x:v>legacy epoch_status=observed; not exact acquisition proof</x:v>
      </x:c>
      <x:c r="X719" s="2" t="str">
        <x:v>https://human-settlement.emergency.copernicus.eu/ghs_buS2023.php</x:v>
      </x:c>
    </x:row>
    <x:row r="720" ht="23" customHeight="1">
      <x:c r="A720" s="2" t="str">
        <x:v>MEX</x:v>
      </x:c>
      <x:c r="B720" s="2" t="str">
        <x:v>Mexico (United Mexican States)</x:v>
      </x:c>
      <x:c r="C720" s="2" t="n">
        <x:v>2020</x:v>
      </x:c>
      <x:c r="D720" s="2" t="str">
        <x:v>GHSL_SURFACE</x:v>
      </x:c>
      <x:c r="E720" s="17" t="n">
        <x:v>6345872319.039995</x:v>
      </x:c>
      <x:c r="F720" s="17" t="n">
        <x:f>IF(AND(M720,ISNUMBER(R720)),IF(D720="TEMPO_PROXY",R720,IF(AND(ISNUMBER(S720),S720&gt;0,ISNUMBER(U720)),U720*R720/S720,"n.a.")),"n.a.")</x:f>
        <x:v>9735626156.999992</x:v>
      </x:c>
      <x:c r="G720" s="17" t="n">
        <x:f>IF(AND(ISNUMBER(E720),ISNUMBER(F720)),E720-F720,"n.a.")</x:f>
        <x:v>-3389753837.959997</x:v>
      </x:c>
      <x:c r="H720" s="15" t="n">
        <x:f>IF(AND(ISNUMBER(E720),ISNUMBER(F720),F720&gt;0),(E720-F720)/F720,"n.a.")</x:f>
        <x:v>-0.34818036182734247</x:v>
      </x:c>
      <x:c r="I720" s="19" t="n">
        <x:f>IF(ISNUMBER(H720),ABS(H720),"n.a.")</x:f>
        <x:v>0.34818036182734247</x:v>
      </x:c>
      <x:c r="J720" s="2" t="str">
        <x:v>available</x:v>
      </x:c>
      <x:c r="K720" s="2" t="n">
        <x:v>1</x:v>
      </x:c>
      <x:c r="L720" s="13" t="b">
        <x:v>0</x:v>
      </x:c>
      <x:c r="M720" s="13" t="b">
        <x:v>1</x:v>
      </x:c>
      <x:c r="N720" s="2" t="str">
        <x:v>historical source estimate</x:v>
      </x:c>
      <x:c r="O720" s="2" t="str"/>
      <x:c r="P720" s="2" t="str">
        <x:v>horizontal built-up surface</x:v>
      </x:c>
      <x:c r="Q720" s="2" t="str">
        <x:v>m2</x:v>
      </x:c>
      <x:c r="R720" s="17" t="n">
        <x:v>9735626157</x:v>
      </x:c>
      <x:c r="S720" s="17" t="n">
        <x:v>6345872319.04</x:v>
      </x:c>
      <x:c r="T720" s="18" t="n">
        <x:v>0.9999999999999992</x:v>
      </x:c>
      <x:c r="U720" s="17" t="n">
        <x:v>6345872319.039995</x:v>
      </x:c>
      <x:c r="V720" s="2" t="str">
        <x:v>Area equivalent = model2020 * source surface / TEMPO2020 footprint</x:v>
      </x:c>
      <x:c r="W720" s="2" t="str">
        <x:v>legacy epoch_status=observed; not exact acquisition proof</x:v>
      </x:c>
      <x:c r="X720" s="2" t="str">
        <x:v>https://human-settlement.emergency.copernicus.eu/ghs_buS2023.php</x:v>
      </x:c>
    </x:row>
    <x:row r="721" ht="23" customHeight="1">
      <x:c r="A721" s="2" t="str">
        <x:v>MHL</x:v>
      </x:c>
      <x:c r="B721" s="2" t="str">
        <x:v>Marshall Islands (Republic of the)</x:v>
      </x:c>
      <x:c r="C721" s="2" t="n">
        <x:v>2020</x:v>
      </x:c>
      <x:c r="D721" s="2" t="str">
        <x:v>GHSL_SURFACE</x:v>
      </x:c>
      <x:c r="E721" s="17" t="n">
        <x:v>198896.74</x:v>
      </x:c>
      <x:c r="F721" s="17" t="n">
        <x:f>IF(AND(M721,ISNUMBER(R721)),IF(D721="TEMPO_PROXY",R721,IF(AND(ISNUMBER(S721),S721&gt;0,ISNUMBER(U721)),U721*R721/S721,"n.a.")),"n.a.")</x:f>
        <x:v>474231.00000000006</x:v>
      </x:c>
      <x:c r="G721" s="17" t="n">
        <x:f>IF(AND(ISNUMBER(E721),ISNUMBER(F721)),E721-F721,"n.a.")</x:f>
        <x:v>-275334.26000000007</x:v>
      </x:c>
      <x:c r="H721" s="15" t="n">
        <x:f>IF(AND(ISNUMBER(E721),ISNUMBER(F721),F721&gt;0),(E721-F721)/F721,"n.a.")</x:f>
        <x:v>-0.5805910199881493</x:v>
      </x:c>
      <x:c r="I721" s="19" t="n">
        <x:f>IF(ISNUMBER(H721),ABS(H721),"n.a.")</x:f>
        <x:v>0.5805910199881493</x:v>
      </x:c>
      <x:c r="J721" s="2" t="str">
        <x:v>available</x:v>
      </x:c>
      <x:c r="K721" s="2" t="n">
        <x:v>1</x:v>
      </x:c>
      <x:c r="L721" s="13" t="b">
        <x:v>0</x:v>
      </x:c>
      <x:c r="M721" s="13" t="b">
        <x:v>1</x:v>
      </x:c>
      <x:c r="N721" s="2" t="str">
        <x:v>historical source estimate</x:v>
      </x:c>
      <x:c r="O721" s="2" t="str"/>
      <x:c r="P721" s="2" t="str">
        <x:v>horizontal built-up surface</x:v>
      </x:c>
      <x:c r="Q721" s="2" t="str">
        <x:v>m2</x:v>
      </x:c>
      <x:c r="R721" s="17" t="n">
        <x:v>474231</x:v>
      </x:c>
      <x:c r="S721" s="17" t="n">
        <x:v>198896.74</x:v>
      </x:c>
      <x:c r="T721" s="18" t="n">
        <x:v>1</x:v>
      </x:c>
      <x:c r="U721" s="17" t="n">
        <x:v>198896.74</x:v>
      </x:c>
      <x:c r="V721" s="2" t="str">
        <x:v>Area equivalent = model2020 * source surface / TEMPO2020 footprint</x:v>
      </x:c>
      <x:c r="W721" s="2" t="str">
        <x:v>legacy epoch_status=observed; not exact acquisition proof</x:v>
      </x:c>
      <x:c r="X721" s="2" t="str">
        <x:v>https://human-settlement.emergency.copernicus.eu/ghs_buS2023.php</x:v>
      </x:c>
    </x:row>
    <x:row r="722" ht="23" customHeight="1">
      <x:c r="A722" s="2" t="str">
        <x:v>MKD</x:v>
      </x:c>
      <x:c r="B722" s="2" t="str">
        <x:v>North Macedonia (Republic of)</x:v>
      </x:c>
      <x:c r="C722" s="2" t="n">
        <x:v>2020</x:v>
      </x:c>
      <x:c r="D722" s="2" t="str">
        <x:v>GHSL_SURFACE</x:v>
      </x:c>
      <x:c r="E722" s="17" t="n">
        <x:v>122189801.58999982</x:v>
      </x:c>
      <x:c r="F722" s="17" t="n">
        <x:f>IF(AND(M722,ISNUMBER(R722)),IF(D722="TEMPO_PROXY",R722,IF(AND(ISNUMBER(S722),S722&gt;0,ISNUMBER(U722)),U722*R722/S722,"n.a.")),"n.a.")</x:f>
        <x:v>176181015.99999973</x:v>
      </x:c>
      <x:c r="G722" s="17" t="n">
        <x:f>IF(AND(ISNUMBER(E722),ISNUMBER(F722)),E722-F722,"n.a.")</x:f>
        <x:v>-53991214.40999991</x:v>
      </x:c>
      <x:c r="H722" s="15" t="n">
        <x:f>IF(AND(ISNUMBER(E722),ISNUMBER(F722),F722&gt;0),(E722-F722)/F722,"n.a.")</x:f>
        <x:v>-0.3064530767037919</x:v>
      </x:c>
      <x:c r="I722" s="19" t="n">
        <x:f>IF(ISNUMBER(H722),ABS(H722),"n.a.")</x:f>
        <x:v>0.3064530767037919</x:v>
      </x:c>
      <x:c r="J722" s="2" t="str">
        <x:v>available</x:v>
      </x:c>
      <x:c r="K722" s="2" t="n">
        <x:v>1</x:v>
      </x:c>
      <x:c r="L722" s="13" t="b">
        <x:v>0</x:v>
      </x:c>
      <x:c r="M722" s="13" t="b">
        <x:v>1</x:v>
      </x:c>
      <x:c r="N722" s="2" t="str">
        <x:v>historical source estimate</x:v>
      </x:c>
      <x:c r="O722" s="2" t="str"/>
      <x:c r="P722" s="2" t="str">
        <x:v>horizontal built-up surface</x:v>
      </x:c>
      <x:c r="Q722" s="2" t="str">
        <x:v>m2</x:v>
      </x:c>
      <x:c r="R722" s="17" t="n">
        <x:v>176181016</x:v>
      </x:c>
      <x:c r="S722" s="17" t="n">
        <x:v>122189801.59</x:v>
      </x:c>
      <x:c r="T722" s="18" t="n">
        <x:v>0.9999999999999986</x:v>
      </x:c>
      <x:c r="U722" s="17" t="n">
        <x:v>122189801.58999982</x:v>
      </x:c>
      <x:c r="V722" s="2" t="str">
        <x:v>Area equivalent = model2020 * source surface / TEMPO2020 footprint</x:v>
      </x:c>
      <x:c r="W722" s="2" t="str">
        <x:v>legacy epoch_status=observed; not exact acquisition proof</x:v>
      </x:c>
      <x:c r="X722" s="2" t="str">
        <x:v>https://human-settlement.emergency.copernicus.eu/ghs_buS2023.php</x:v>
      </x:c>
    </x:row>
    <x:row r="723" ht="23" customHeight="1">
      <x:c r="A723" s="2" t="str">
        <x:v>MLI</x:v>
      </x:c>
      <x:c r="B723" s="2" t="str">
        <x:v>Mali (Republic of)</x:v>
      </x:c>
      <x:c r="C723" s="2" t="n">
        <x:v>2020</x:v>
      </x:c>
      <x:c r="D723" s="2" t="str">
        <x:v>GHSL_SURFACE</x:v>
      </x:c>
      <x:c r="E723" s="17" t="n">
        <x:v>323707340.7500005</x:v>
      </x:c>
      <x:c r="F723" s="17" t="n">
        <x:f>IF(AND(M723,ISNUMBER(R723)),IF(D723="TEMPO_PROXY",R723,IF(AND(ISNUMBER(S723),S723&gt;0,ISNUMBER(U723)),U723*R723/S723,"n.a.")),"n.a.")</x:f>
        <x:v>1032871210.0000015</x:v>
      </x:c>
      <x:c r="G723" s="17" t="n">
        <x:f>IF(AND(ISNUMBER(E723),ISNUMBER(F723)),E723-F723,"n.a.")</x:f>
        <x:v>-709163869.2500011</x:v>
      </x:c>
      <x:c r="H723" s="15" t="n">
        <x:f>IF(AND(ISNUMBER(E723),ISNUMBER(F723),F723&gt;0),(E723-F723)/F723,"n.a.")</x:f>
        <x:v>-0.6865946716144794</x:v>
      </x:c>
      <x:c r="I723" s="19" t="n">
        <x:f>IF(ISNUMBER(H723),ABS(H723),"n.a.")</x:f>
        <x:v>0.6865946716144794</x:v>
      </x:c>
      <x:c r="J723" s="2" t="str">
        <x:v>available</x:v>
      </x:c>
      <x:c r="K723" s="2" t="n">
        <x:v>1</x:v>
      </x:c>
      <x:c r="L723" s="13" t="b">
        <x:v>0</x:v>
      </x:c>
      <x:c r="M723" s="13" t="b">
        <x:v>1</x:v>
      </x:c>
      <x:c r="N723" s="2" t="str">
        <x:v>historical source estimate</x:v>
      </x:c>
      <x:c r="O723" s="2" t="str"/>
      <x:c r="P723" s="2" t="str">
        <x:v>horizontal built-up surface</x:v>
      </x:c>
      <x:c r="Q723" s="2" t="str">
        <x:v>m2</x:v>
      </x:c>
      <x:c r="R723" s="17" t="n">
        <x:v>1032871210</x:v>
      </x:c>
      <x:c r="S723" s="17" t="n">
        <x:v>323707340.75</x:v>
      </x:c>
      <x:c r="T723" s="18" t="n">
        <x:v>1.0000000000000016</x:v>
      </x:c>
      <x:c r="U723" s="17" t="n">
        <x:v>323707340.7500005</x:v>
      </x:c>
      <x:c r="V723" s="2" t="str">
        <x:v>Area equivalent = model2020 * source surface / TEMPO2020 footprint</x:v>
      </x:c>
      <x:c r="W723" s="2" t="str">
        <x:v>legacy epoch_status=observed; not exact acquisition proof</x:v>
      </x:c>
      <x:c r="X723" s="2" t="str">
        <x:v>https://human-settlement.emergency.copernicus.eu/ghs_buS2023.php</x:v>
      </x:c>
    </x:row>
    <x:row r="724" ht="23" customHeight="1">
      <x:c r="A724" s="2" t="str">
        <x:v>MLT</x:v>
      </x:c>
      <x:c r="B724" s="2" t="str">
        <x:v>Malta (Republic of)</x:v>
      </x:c>
      <x:c r="C724" s="2" t="n">
        <x:v>2020</x:v>
      </x:c>
      <x:c r="D724" s="2" t="str">
        <x:v>GHSL_SURFACE</x:v>
      </x:c>
      <x:c r="E724" s="17" t="n">
        <x:v>35087387.829999976</x:v>
      </x:c>
      <x:c r="F724" s="17" t="n">
        <x:f>IF(AND(M724,ISNUMBER(R724)),IF(D724="TEMPO_PROXY",R724,IF(AND(ISNUMBER(S724),S724&gt;0,ISNUMBER(U724)),U724*R724/S724,"n.a.")),"n.a.")</x:f>
        <x:v>44395387.42354957</x:v>
      </x:c>
      <x:c r="G724" s="17" t="n">
        <x:f>IF(AND(ISNUMBER(E724),ISNUMBER(F724)),E724-F724,"n.a.")</x:f>
        <x:v>-9307999.593549594</x:v>
      </x:c>
      <x:c r="H724" s="15" t="n">
        <x:f>IF(AND(ISNUMBER(E724),ISNUMBER(F724),F724&gt;0),(E724-F724)/F724,"n.a.")</x:f>
        <x:v>-0.20966141155042964</x:v>
      </x:c>
      <x:c r="I724" s="19" t="n">
        <x:f>IF(ISNUMBER(H724),ABS(H724),"n.a.")</x:f>
        <x:v>0.20966141155042964</x:v>
      </x:c>
      <x:c r="J724" s="2" t="str">
        <x:v>available</x:v>
      </x:c>
      <x:c r="K724" s="2" t="n">
        <x:v>1</x:v>
      </x:c>
      <x:c r="L724" s="13" t="b">
        <x:v>0</x:v>
      </x:c>
      <x:c r="M724" s="13" t="b">
        <x:v>1</x:v>
      </x:c>
      <x:c r="N724" s="2" t="str">
        <x:v>historical source estimate</x:v>
      </x:c>
      <x:c r="O724" s="2" t="str"/>
      <x:c r="P724" s="2" t="str">
        <x:v>horizontal built-up surface</x:v>
      </x:c>
      <x:c r="Q724" s="2" t="str">
        <x:v>m2</x:v>
      </x:c>
      <x:c r="R724" s="17" t="n">
        <x:v>33314899</x:v>
      </x:c>
      <x:c r="S724" s="17" t="n">
        <x:v>26330050.25</x:v>
      </x:c>
      <x:c r="T724" s="18" t="n">
        <x:v>1.3325985897045516</x:v>
      </x:c>
      <x:c r="U724" s="17" t="n">
        <x:v>35087387.829999976</x:v>
      </x:c>
      <x:c r="V724" s="2" t="str">
        <x:v>Area equivalent = model2020 * source surface / TEMPO2020 footprint</x:v>
      </x:c>
      <x:c r="W724" s="2" t="str">
        <x:v>legacy epoch_status=observed; not exact acquisition proof</x:v>
      </x:c>
      <x:c r="X724" s="2" t="str">
        <x:v>https://human-settlement.emergency.copernicus.eu/ghs_buS2023.php</x:v>
      </x:c>
    </x:row>
    <x:row r="725" ht="23" customHeight="1">
      <x:c r="A725" s="2" t="str">
        <x:v>MMR</x:v>
      </x:c>
      <x:c r="B725" s="2" t="str">
        <x:v>Myanmar (Republic of the Union of)</x:v>
      </x:c>
      <x:c r="C725" s="2" t="n">
        <x:v>2020</x:v>
      </x:c>
      <x:c r="D725" s="2" t="str">
        <x:v>GHSL_SURFACE</x:v>
      </x:c>
      <x:c r="E725" s="17" t="n">
        <x:v>1377164281.6799977</x:v>
      </x:c>
      <x:c r="F725" s="17" t="n">
        <x:f>IF(AND(M725,ISNUMBER(R725)),IF(D725="TEMPO_PROXY",R725,IF(AND(ISNUMBER(S725),S725&gt;0,ISNUMBER(U725)),U725*R725/S725,"n.a.")),"n.a.")</x:f>
        <x:v>1218116233.9999979</x:v>
      </x:c>
      <x:c r="G725" s="17" t="n">
        <x:f>IF(AND(ISNUMBER(E725),ISNUMBER(F725)),E725-F725,"n.a.")</x:f>
        <x:v>159048047.67999983</x:v>
      </x:c>
      <x:c r="H725" s="15" t="n">
        <x:f>IF(AND(ISNUMBER(E725),ISNUMBER(F725),F725&gt;0),(E725-F725)/F725,"n.a.")</x:f>
        <x:v>0.13056885972016372</x:v>
      </x:c>
      <x:c r="I725" s="19" t="n">
        <x:f>IF(ISNUMBER(H725),ABS(H725),"n.a.")</x:f>
        <x:v>0.13056885972016372</x:v>
      </x:c>
      <x:c r="J725" s="2" t="str">
        <x:v>available</x:v>
      </x:c>
      <x:c r="K725" s="2" t="n">
        <x:v>1</x:v>
      </x:c>
      <x:c r="L725" s="13" t="b">
        <x:v>0</x:v>
      </x:c>
      <x:c r="M725" s="13" t="b">
        <x:v>1</x:v>
      </x:c>
      <x:c r="N725" s="2" t="str">
        <x:v>historical source estimate</x:v>
      </x:c>
      <x:c r="O725" s="2" t="str"/>
      <x:c r="P725" s="2" t="str">
        <x:v>horizontal built-up surface</x:v>
      </x:c>
      <x:c r="Q725" s="2" t="str">
        <x:v>m2</x:v>
      </x:c>
      <x:c r="R725" s="17" t="n">
        <x:v>1218116234</x:v>
      </x:c>
      <x:c r="S725" s="17" t="n">
        <x:v>1377164281.68</x:v>
      </x:c>
      <x:c r="T725" s="18" t="n">
        <x:v>0.9999999999999982</x:v>
      </x:c>
      <x:c r="U725" s="17" t="n">
        <x:v>1377164281.6799977</x:v>
      </x:c>
      <x:c r="V725" s="2" t="str">
        <x:v>Area equivalent = model2020 * source surface / TEMPO2020 footprint</x:v>
      </x:c>
      <x:c r="W725" s="2" t="str">
        <x:v>legacy epoch_status=observed; not exact acquisition proof</x:v>
      </x:c>
      <x:c r="X725" s="2" t="str">
        <x:v>https://human-settlement.emergency.copernicus.eu/ghs_buS2023.php</x:v>
      </x:c>
    </x:row>
    <x:row r="726" ht="23" customHeight="1">
      <x:c r="A726" s="2" t="str">
        <x:v>MNE</x:v>
      </x:c>
      <x:c r="B726" s="2" t="str">
        <x:v>Montenegro</x:v>
      </x:c>
      <x:c r="C726" s="2" t="n">
        <x:v>2020</x:v>
      </x:c>
      <x:c r="D726" s="2" t="str">
        <x:v>GHSL_SURFACE</x:v>
      </x:c>
      <x:c r="E726" s="17" t="n">
        <x:v>39447648.85999995</x:v>
      </x:c>
      <x:c r="F726" s="17" t="n">
        <x:f>IF(AND(M726,ISNUMBER(R726)),IF(D726="TEMPO_PROXY",R726,IF(AND(ISNUMBER(S726),S726&gt;0,ISNUMBER(U726)),U726*R726/S726,"n.a.")),"n.a.")</x:f>
        <x:v>39408935.99999995</x:v>
      </x:c>
      <x:c r="G726" s="17" t="n">
        <x:f>IF(AND(ISNUMBER(E726),ISNUMBER(F726)),E726-F726,"n.a.")</x:f>
        <x:v>38712.859999999404</x:v>
      </x:c>
      <x:c r="H726" s="15" t="n">
        <x:f>IF(AND(ISNUMBER(E726),ISNUMBER(F726),F726&gt;0),(E726-F726)/F726,"n.a.")</x:f>
        <x:v>0.0009823371024277197</x:v>
      </x:c>
      <x:c r="I726" s="19" t="n">
        <x:f>IF(ISNUMBER(H726),ABS(H726),"n.a.")</x:f>
        <x:v>0.0009823371024277197</x:v>
      </x:c>
      <x:c r="J726" s="2" t="str">
        <x:v>available</x:v>
      </x:c>
      <x:c r="K726" s="2" t="n">
        <x:v>1</x:v>
      </x:c>
      <x:c r="L726" s="13" t="b">
        <x:v>0</x:v>
      </x:c>
      <x:c r="M726" s="13" t="b">
        <x:v>1</x:v>
      </x:c>
      <x:c r="N726" s="2" t="str">
        <x:v>historical source estimate</x:v>
      </x:c>
      <x:c r="O726" s="2" t="str"/>
      <x:c r="P726" s="2" t="str">
        <x:v>horizontal built-up surface</x:v>
      </x:c>
      <x:c r="Q726" s="2" t="str">
        <x:v>m2</x:v>
      </x:c>
      <x:c r="R726" s="17" t="n">
        <x:v>39408936</x:v>
      </x:c>
      <x:c r="S726" s="17" t="n">
        <x:v>39447648.86</x:v>
      </x:c>
      <x:c r="T726" s="18" t="n">
        <x:v>0.9999999999999987</x:v>
      </x:c>
      <x:c r="U726" s="17" t="n">
        <x:v>39447648.85999995</x:v>
      </x:c>
      <x:c r="V726" s="2" t="str">
        <x:v>Area equivalent = model2020 * source surface / TEMPO2020 footprint</x:v>
      </x:c>
      <x:c r="W726" s="2" t="str">
        <x:v>legacy epoch_status=observed; not exact acquisition proof</x:v>
      </x:c>
      <x:c r="X726" s="2" t="str">
        <x:v>https://human-settlement.emergency.copernicus.eu/ghs_buS2023.php</x:v>
      </x:c>
    </x:row>
    <x:row r="727" ht="23" customHeight="1">
      <x:c r="A727" s="2" t="str">
        <x:v>MNG</x:v>
      </x:c>
      <x:c r="B727" s="2" t="str">
        <x:v>Mongolia</x:v>
      </x:c>
      <x:c r="C727" s="2" t="n">
        <x:v>2020</x:v>
      </x:c>
      <x:c r="D727" s="2" t="str">
        <x:v>GHSL_SURFACE</x:v>
      </x:c>
      <x:c r="E727" s="17" t="n">
        <x:v>83342838.68000013</x:v>
      </x:c>
      <x:c r="F727" s="17" t="n">
        <x:f>IF(AND(M727,ISNUMBER(R727)),IF(D727="TEMPO_PROXY",R727,IF(AND(ISNUMBER(S727),S727&gt;0,ISNUMBER(U727)),U727*R727/S727,"n.a.")),"n.a.")</x:f>
        <x:v>161356630.0350089</x:v>
      </x:c>
      <x:c r="G727" s="17" t="n">
        <x:f>IF(AND(ISNUMBER(E727),ISNUMBER(F727)),E727-F727,"n.a.")</x:f>
        <x:v>-78013791.35500878</x:v>
      </x:c>
      <x:c r="H727" s="15" t="n">
        <x:f>IF(AND(ISNUMBER(E727),ISNUMBER(F727),F727&gt;0),(E727-F727)/F727,"n.a.")</x:f>
        <x:v>-0.4834867419955563</x:v>
      </x:c>
      <x:c r="I727" s="19" t="n">
        <x:f>IF(ISNUMBER(H727),ABS(H727),"n.a.")</x:f>
        <x:v>0.4834867419955563</x:v>
      </x:c>
      <x:c r="J727" s="2" t="str">
        <x:v>available</x:v>
      </x:c>
      <x:c r="K727" s="2" t="n">
        <x:v>1</x:v>
      </x:c>
      <x:c r="L727" s="13" t="b">
        <x:v>0</x:v>
      </x:c>
      <x:c r="M727" s="13" t="b">
        <x:v>1</x:v>
      </x:c>
      <x:c r="N727" s="2" t="str">
        <x:v>historical source estimate</x:v>
      </x:c>
      <x:c r="O727" s="2" t="str"/>
      <x:c r="P727" s="2" t="str">
        <x:v>horizontal built-up surface</x:v>
      </x:c>
      <x:c r="Q727" s="2" t="str">
        <x:v>m2</x:v>
      </x:c>
      <x:c r="R727" s="17" t="n">
        <x:v>160908341</x:v>
      </x:c>
      <x:c r="S727" s="17" t="n">
        <x:v>83111291.45</x:v>
      </x:c>
      <x:c r="T727" s="18" t="n">
        <x:v>1.0027859900377005</x:v>
      </x:c>
      <x:c r="U727" s="17" t="n">
        <x:v>83342838.68000013</x:v>
      </x:c>
      <x:c r="V727" s="2" t="str">
        <x:v>Area equivalent = model2020 * source surface / TEMPO2020 footprint</x:v>
      </x:c>
      <x:c r="W727" s="2" t="str">
        <x:v>legacy epoch_status=observed; not exact acquisition proof</x:v>
      </x:c>
      <x:c r="X727" s="2" t="str">
        <x:v>https://human-settlement.emergency.copernicus.eu/ghs_buS2023.php</x:v>
      </x:c>
    </x:row>
    <x:row r="728" ht="23" customHeight="1">
      <x:c r="A728" s="2" t="str">
        <x:v>MOZ</x:v>
      </x:c>
      <x:c r="B728" s="2" t="str">
        <x:v>Mozambique (Republic of)</x:v>
      </x:c>
      <x:c r="C728" s="2" t="n">
        <x:v>2020</x:v>
      </x:c>
      <x:c r="D728" s="2" t="str">
        <x:v>GHSL_SURFACE</x:v>
      </x:c>
      <x:c r="E728" s="17" t="n">
        <x:v>540811235.5300008</x:v>
      </x:c>
      <x:c r="F728" s="17" t="n">
        <x:f>IF(AND(M728,ISNUMBER(R728)),IF(D728="TEMPO_PROXY",R728,IF(AND(ISNUMBER(S728),S728&gt;0,ISNUMBER(U728)),U728*R728/S728,"n.a.")),"n.a.")</x:f>
        <x:v>1936571810.0000029</x:v>
      </x:c>
      <x:c r="G728" s="17" t="n">
        <x:f>IF(AND(ISNUMBER(E728),ISNUMBER(F728)),E728-F728,"n.a.")</x:f>
        <x:v>-1395760574.4700022</x:v>
      </x:c>
      <x:c r="H728" s="15" t="n">
        <x:f>IF(AND(ISNUMBER(E728),ISNUMBER(F728),F728&gt;0),(E728-F728)/F728,"n.a.")</x:f>
        <x:v>-0.7207378354175258</x:v>
      </x:c>
      <x:c r="I728" s="19" t="n">
        <x:f>IF(ISNUMBER(H728),ABS(H728),"n.a.")</x:f>
        <x:v>0.7207378354175258</x:v>
      </x:c>
      <x:c r="J728" s="2" t="str">
        <x:v>available</x:v>
      </x:c>
      <x:c r="K728" s="2" t="n">
        <x:v>1</x:v>
      </x:c>
      <x:c r="L728" s="13" t="b">
        <x:v>0</x:v>
      </x:c>
      <x:c r="M728" s="13" t="b">
        <x:v>1</x:v>
      </x:c>
      <x:c r="N728" s="2" t="str">
        <x:v>historical source estimate</x:v>
      </x:c>
      <x:c r="O728" s="2" t="str"/>
      <x:c r="P728" s="2" t="str">
        <x:v>horizontal built-up surface</x:v>
      </x:c>
      <x:c r="Q728" s="2" t="str">
        <x:v>m2</x:v>
      </x:c>
      <x:c r="R728" s="17" t="n">
        <x:v>1936571810</x:v>
      </x:c>
      <x:c r="S728" s="17" t="n">
        <x:v>540811235.53</x:v>
      </x:c>
      <x:c r="T728" s="18" t="n">
        <x:v>1.0000000000000016</x:v>
      </x:c>
      <x:c r="U728" s="17" t="n">
        <x:v>540811235.5300008</x:v>
      </x:c>
      <x:c r="V728" s="2" t="str">
        <x:v>Area equivalent = model2020 * source surface / TEMPO2020 footprint</x:v>
      </x:c>
      <x:c r="W728" s="2" t="str">
        <x:v>legacy epoch_status=observed; not exact acquisition proof</x:v>
      </x:c>
      <x:c r="X728" s="2" t="str">
        <x:v>https://human-settlement.emergency.copernicus.eu/ghs_buS2023.php</x:v>
      </x:c>
    </x:row>
    <x:row r="729" ht="23" customHeight="1">
      <x:c r="A729" s="2" t="str">
        <x:v>MRT</x:v>
      </x:c>
      <x:c r="B729" s="2" t="str">
        <x:v>Mauritania (Islamic Republic of)</x:v>
      </x:c>
      <x:c r="C729" s="2" t="n">
        <x:v>2020</x:v>
      </x:c>
      <x:c r="D729" s="2" t="str">
        <x:v>GHSL_SURFACE</x:v>
      </x:c>
      <x:c r="E729" s="17" t="n">
        <x:v>97384454.07000008</x:v>
      </x:c>
      <x:c r="F729" s="17" t="n">
        <x:f>IF(AND(M729,ISNUMBER(R729)),IF(D729="TEMPO_PROXY",R729,IF(AND(ISNUMBER(S729),S729&gt;0,ISNUMBER(U729)),U729*R729/S729,"n.a.")),"n.a.")</x:f>
        <x:v>225032380.0000002</x:v>
      </x:c>
      <x:c r="G729" s="17" t="n">
        <x:f>IF(AND(ISNUMBER(E729),ISNUMBER(F729)),E729-F729,"n.a.")</x:f>
        <x:v>-127647925.93000013</x:v>
      </x:c>
      <x:c r="H729" s="15" t="n">
        <x:f>IF(AND(ISNUMBER(E729),ISNUMBER(F729),F729&gt;0),(E729-F729)/F729,"n.a.")</x:f>
        <x:v>-0.5672424827484828</x:v>
      </x:c>
      <x:c r="I729" s="19" t="n">
        <x:f>IF(ISNUMBER(H729),ABS(H729),"n.a.")</x:f>
        <x:v>0.5672424827484828</x:v>
      </x:c>
      <x:c r="J729" s="2" t="str">
        <x:v>available</x:v>
      </x:c>
      <x:c r="K729" s="2" t="n">
        <x:v>1</x:v>
      </x:c>
      <x:c r="L729" s="13" t="b">
        <x:v>0</x:v>
      </x:c>
      <x:c r="M729" s="13" t="b">
        <x:v>1</x:v>
      </x:c>
      <x:c r="N729" s="2" t="str">
        <x:v>historical source estimate</x:v>
      </x:c>
      <x:c r="O729" s="2" t="str"/>
      <x:c r="P729" s="2" t="str">
        <x:v>horizontal built-up surface</x:v>
      </x:c>
      <x:c r="Q729" s="2" t="str">
        <x:v>m2</x:v>
      </x:c>
      <x:c r="R729" s="17" t="n">
        <x:v>225032380</x:v>
      </x:c>
      <x:c r="S729" s="17" t="n">
        <x:v>97384454.07</x:v>
      </x:c>
      <x:c r="T729" s="18" t="n">
        <x:v>1.0000000000000009</x:v>
      </x:c>
      <x:c r="U729" s="17" t="n">
        <x:v>97384454.07000008</x:v>
      </x:c>
      <x:c r="V729" s="2" t="str">
        <x:v>Area equivalent = model2020 * source surface / TEMPO2020 footprint</x:v>
      </x:c>
      <x:c r="W729" s="2" t="str">
        <x:v>legacy epoch_status=observed; not exact acquisition proof</x:v>
      </x:c>
      <x:c r="X729" s="2" t="str">
        <x:v>https://human-settlement.emergency.copernicus.eu/ghs_buS2023.php</x:v>
      </x:c>
    </x:row>
    <x:row r="730" ht="23" customHeight="1">
      <x:c r="A730" s="2" t="str">
        <x:v>MUS</x:v>
      </x:c>
      <x:c r="B730" s="2" t="str">
        <x:v>Mauritius (Republic of)</x:v>
      </x:c>
      <x:c r="C730" s="2" t="n">
        <x:v>2020</x:v>
      </x:c>
      <x:c r="D730" s="2" t="str">
        <x:v>GHSL_SURFACE</x:v>
      </x:c>
      <x:c r="E730" s="17" t="n">
        <x:v>65152566.7100001</x:v>
      </x:c>
      <x:c r="F730" s="17" t="n">
        <x:f>IF(AND(M730,ISNUMBER(R730)),IF(D730="TEMPO_PROXY",R730,IF(AND(ISNUMBER(S730),S730&gt;0,ISNUMBER(U730)),U730*R730/S730,"n.a.")),"n.a.")</x:f>
        <x:v>70893199.69996509</x:v>
      </x:c>
      <x:c r="G730" s="17" t="n">
        <x:f>IF(AND(ISNUMBER(E730),ISNUMBER(F730)),E730-F730,"n.a.")</x:f>
        <x:v>-5740632.989964992</x:v>
      </x:c>
      <x:c r="H730" s="15" t="n">
        <x:f>IF(AND(ISNUMBER(E730),ISNUMBER(F730),F730&gt;0),(E730-F730)/F730,"n.a.")</x:f>
        <x:v>-0.08097579195551274</x:v>
      </x:c>
      <x:c r="I730" s="19" t="n">
        <x:f>IF(ISNUMBER(H730),ABS(H730),"n.a.")</x:f>
        <x:v>0.08097579195551274</x:v>
      </x:c>
      <x:c r="J730" s="2" t="str">
        <x:v>available</x:v>
      </x:c>
      <x:c r="K730" s="2" t="n">
        <x:v>1</x:v>
      </x:c>
      <x:c r="L730" s="13" t="b">
        <x:v>0</x:v>
      </x:c>
      <x:c r="M730" s="13" t="b">
        <x:v>1</x:v>
      </x:c>
      <x:c r="N730" s="2" t="str">
        <x:v>historical source estimate</x:v>
      </x:c>
      <x:c r="O730" s="2" t="str"/>
      <x:c r="P730" s="2" t="str">
        <x:v>horizontal built-up surface</x:v>
      </x:c>
      <x:c r="Q730" s="2" t="str">
        <x:v>m2</x:v>
      </x:c>
      <x:c r="R730" s="17" t="n">
        <x:v>70472235</x:v>
      </x:c>
      <x:c r="S730" s="17" t="n">
        <x:v>64765689.96</x:v>
      </x:c>
      <x:c r="T730" s="18" t="n">
        <x:v>1.00597348303151</x:v>
      </x:c>
      <x:c r="U730" s="17" t="n">
        <x:v>65152566.7100001</x:v>
      </x:c>
      <x:c r="V730" s="2" t="str">
        <x:v>Area equivalent = model2020 * source surface / TEMPO2020 footprint</x:v>
      </x:c>
      <x:c r="W730" s="2" t="str">
        <x:v>legacy epoch_status=observed; not exact acquisition proof</x:v>
      </x:c>
      <x:c r="X730" s="2" t="str">
        <x:v>https://human-settlement.emergency.copernicus.eu/ghs_buS2023.php</x:v>
      </x:c>
    </x:row>
    <x:row r="731" ht="23" customHeight="1">
      <x:c r="A731" s="2" t="str">
        <x:v>MWI</x:v>
      </x:c>
      <x:c r="B731" s="2" t="str">
        <x:v>Malawi (Republic of)</x:v>
      </x:c>
      <x:c r="C731" s="2" t="n">
        <x:v>2020</x:v>
      </x:c>
      <x:c r="D731" s="2" t="str">
        <x:v>GHSL_SURFACE</x:v>
      </x:c>
      <x:c r="E731" s="17" t="n">
        <x:v>330771641.01999974</x:v>
      </x:c>
      <x:c r="F731" s="17" t="n">
        <x:f>IF(AND(M731,ISNUMBER(R731)),IF(D731="TEMPO_PROXY",R731,IF(AND(ISNUMBER(S731),S731&gt;0,ISNUMBER(U731)),U731*R731/S731,"n.a.")),"n.a.")</x:f>
        <x:v>1096174711.9999993</x:v>
      </x:c>
      <x:c r="G731" s="17" t="n">
        <x:f>IF(AND(ISNUMBER(E731),ISNUMBER(F731)),E731-F731,"n.a.")</x:f>
        <x:v>-765403070.9799995</x:v>
      </x:c>
      <x:c r="H731" s="15" t="n">
        <x:f>IF(AND(ISNUMBER(E731),ISNUMBER(F731),F731&gt;0),(E731-F731)/F731,"n.a.")</x:f>
        <x:v>-0.6982491591906017</x:v>
      </x:c>
      <x:c r="I731" s="19" t="n">
        <x:f>IF(ISNUMBER(H731),ABS(H731),"n.a.")</x:f>
        <x:v>0.6982491591906017</x:v>
      </x:c>
      <x:c r="J731" s="2" t="str">
        <x:v>available</x:v>
      </x:c>
      <x:c r="K731" s="2" t="n">
        <x:v>1</x:v>
      </x:c>
      <x:c r="L731" s="13" t="b">
        <x:v>0</x:v>
      </x:c>
      <x:c r="M731" s="13" t="b">
        <x:v>1</x:v>
      </x:c>
      <x:c r="N731" s="2" t="str">
        <x:v>historical source estimate</x:v>
      </x:c>
      <x:c r="O731" s="2" t="str"/>
      <x:c r="P731" s="2" t="str">
        <x:v>horizontal built-up surface</x:v>
      </x:c>
      <x:c r="Q731" s="2" t="str">
        <x:v>m2</x:v>
      </x:c>
      <x:c r="R731" s="17" t="n">
        <x:v>1096174712</x:v>
      </x:c>
      <x:c r="S731" s="17" t="n">
        <x:v>330771641.02</x:v>
      </x:c>
      <x:c r="T731" s="18" t="n">
        <x:v>0.9999999999999993</x:v>
      </x:c>
      <x:c r="U731" s="17" t="n">
        <x:v>330771641.01999974</x:v>
      </x:c>
      <x:c r="V731" s="2" t="str">
        <x:v>Area equivalent = model2020 * source surface / TEMPO2020 footprint</x:v>
      </x:c>
      <x:c r="W731" s="2" t="str">
        <x:v>legacy epoch_status=observed; not exact acquisition proof</x:v>
      </x:c>
      <x:c r="X731" s="2" t="str">
        <x:v>https://human-settlement.emergency.copernicus.eu/ghs_buS2023.php</x:v>
      </x:c>
    </x:row>
    <x:row r="732" ht="23" customHeight="1">
      <x:c r="A732" s="2" t="str">
        <x:v>MYS</x:v>
      </x:c>
      <x:c r="B732" s="2" t="str">
        <x:v>Malaysia</x:v>
      </x:c>
      <x:c r="C732" s="2" t="n">
        <x:v>2020</x:v>
      </x:c>
      <x:c r="D732" s="2" t="str">
        <x:v>GHSL_SURFACE</x:v>
      </x:c>
      <x:c r="E732" s="17" t="n">
        <x:v>2041076673.6399992</x:v>
      </x:c>
      <x:c r="F732" s="17" t="n">
        <x:f>IF(AND(M732,ISNUMBER(R732)),IF(D732="TEMPO_PROXY",R732,IF(AND(ISNUMBER(S732),S732&gt;0,ISNUMBER(U732)),U732*R732/S732,"n.a.")),"n.a.")</x:f>
        <x:v>2144815257.514375</x:v>
      </x:c>
      <x:c r="G732" s="17" t="n">
        <x:f>IF(AND(ISNUMBER(E732),ISNUMBER(F732)),E732-F732,"n.a.")</x:f>
        <x:v>-103738583.87437582</x:v>
      </x:c>
      <x:c r="H732" s="15" t="n">
        <x:f>IF(AND(ISNUMBER(E732),ISNUMBER(F732),F732&gt;0),(E732-F732)/F732,"n.a.")</x:f>
        <x:v>-0.04836714188363169</x:v>
      </x:c>
      <x:c r="I732" s="19" t="n">
        <x:f>IF(ISNUMBER(H732),ABS(H732),"n.a.")</x:f>
        <x:v>0.04836714188363169</x:v>
      </x:c>
      <x:c r="J732" s="2" t="str">
        <x:v>available</x:v>
      </x:c>
      <x:c r="K732" s="2" t="n">
        <x:v>1</x:v>
      </x:c>
      <x:c r="L732" s="13" t="b">
        <x:v>0</x:v>
      </x:c>
      <x:c r="M732" s="13" t="b">
        <x:v>1</x:v>
      </x:c>
      <x:c r="N732" s="2" t="str">
        <x:v>historical source estimate</x:v>
      </x:c>
      <x:c r="O732" s="2" t="str"/>
      <x:c r="P732" s="2" t="str">
        <x:v>horizontal built-up surface</x:v>
      </x:c>
      <x:c r="Q732" s="2" t="str">
        <x:v>m2</x:v>
      </x:c>
      <x:c r="R732" s="17" t="n">
        <x:v>2020918803</x:v>
      </x:c>
      <x:c r="S732" s="17" t="n">
        <x:v>1923172736.52</x:v>
      </x:c>
      <x:c r="T732" s="18" t="n">
        <x:v>1.0613069928046857</x:v>
      </x:c>
      <x:c r="U732" s="17" t="n">
        <x:v>2041076673.6399992</x:v>
      </x:c>
      <x:c r="V732" s="2" t="str">
        <x:v>Area equivalent = model2020 * source surface / TEMPO2020 footprint</x:v>
      </x:c>
      <x:c r="W732" s="2" t="str">
        <x:v>legacy epoch_status=observed; not exact acquisition proof</x:v>
      </x:c>
      <x:c r="X732" s="2" t="str">
        <x:v>https://human-settlement.emergency.copernicus.eu/ghs_buS2023.php</x:v>
      </x:c>
    </x:row>
    <x:row r="733" ht="23" customHeight="1">
      <x:c r="A733" s="2" t="str">
        <x:v>NAM</x:v>
      </x:c>
      <x:c r="B733" s="2" t="str">
        <x:v>Namibia (Republic of)</x:v>
      </x:c>
      <x:c r="C733" s="2" t="n">
        <x:v>2020</x:v>
      </x:c>
      <x:c r="D733" s="2" t="str">
        <x:v>GHSL_SURFACE</x:v>
      </x:c>
      <x:c r="E733" s="17" t="n">
        <x:v>112405609.30999991</x:v>
      </x:c>
      <x:c r="F733" s="17" t="n">
        <x:f>IF(AND(M733,ISNUMBER(R733)),IF(D733="TEMPO_PROXY",R733,IF(AND(ISNUMBER(S733),S733&gt;0,ISNUMBER(U733)),U733*R733/S733,"n.a.")),"n.a.")</x:f>
        <x:v>299797230.99999976</x:v>
      </x:c>
      <x:c r="G733" s="17" t="n">
        <x:f>IF(AND(ISNUMBER(E733),ISNUMBER(F733)),E733-F733,"n.a.")</x:f>
        <x:v>-187391621.68999985</x:v>
      </x:c>
      <x:c r="H733" s="15" t="n">
        <x:f>IF(AND(ISNUMBER(E733),ISNUMBER(F733),F733&gt;0),(E733-F733)/F733,"n.a.")</x:f>
        <x:v>-0.6250612157588606</x:v>
      </x:c>
      <x:c r="I733" s="19" t="n">
        <x:f>IF(ISNUMBER(H733),ABS(H733),"n.a.")</x:f>
        <x:v>0.6250612157588606</x:v>
      </x:c>
      <x:c r="J733" s="2" t="str">
        <x:v>available</x:v>
      </x:c>
      <x:c r="K733" s="2" t="n">
        <x:v>1</x:v>
      </x:c>
      <x:c r="L733" s="13" t="b">
        <x:v>0</x:v>
      </x:c>
      <x:c r="M733" s="13" t="b">
        <x:v>1</x:v>
      </x:c>
      <x:c r="N733" s="2" t="str">
        <x:v>historical source estimate</x:v>
      </x:c>
      <x:c r="O733" s="2" t="str"/>
      <x:c r="P733" s="2" t="str">
        <x:v>horizontal built-up surface</x:v>
      </x:c>
      <x:c r="Q733" s="2" t="str">
        <x:v>m2</x:v>
      </x:c>
      <x:c r="R733" s="17" t="n">
        <x:v>299797231</x:v>
      </x:c>
      <x:c r="S733" s="17" t="n">
        <x:v>112405609.31</x:v>
      </x:c>
      <x:c r="T733" s="18" t="n">
        <x:v>0.9999999999999992</x:v>
      </x:c>
      <x:c r="U733" s="17" t="n">
        <x:v>112405609.30999991</x:v>
      </x:c>
      <x:c r="V733" s="2" t="str">
        <x:v>Area equivalent = model2020 * source surface / TEMPO2020 footprint</x:v>
      </x:c>
      <x:c r="W733" s="2" t="str">
        <x:v>legacy epoch_status=observed; not exact acquisition proof</x:v>
      </x:c>
      <x:c r="X733" s="2" t="str">
        <x:v>https://human-settlement.emergency.copernicus.eu/ghs_buS2023.php</x:v>
      </x:c>
    </x:row>
    <x:row r="734" ht="23" customHeight="1">
      <x:c r="A734" s="2" t="str">
        <x:v>NER</x:v>
      </x:c>
      <x:c r="B734" s="2" t="str">
        <x:v>Niger (Republic of the)</x:v>
      </x:c>
      <x:c r="C734" s="2" t="n">
        <x:v>2020</x:v>
      </x:c>
      <x:c r="D734" s="2" t="str">
        <x:v>GHSL_SURFACE</x:v>
      </x:c>
      <x:c r="E734" s="17" t="n">
        <x:v>203236516.4300003</x:v>
      </x:c>
      <x:c r="F734" s="17" t="n">
        <x:f>IF(AND(M734,ISNUMBER(R734)),IF(D734="TEMPO_PROXY",R734,IF(AND(ISNUMBER(S734),S734&gt;0,ISNUMBER(U734)),U734*R734/S734,"n.a.")),"n.a.")</x:f>
        <x:v>724358609.0000011</x:v>
      </x:c>
      <x:c r="G734" s="17" t="n">
        <x:f>IF(AND(ISNUMBER(E734),ISNUMBER(F734)),E734-F734,"n.a.")</x:f>
        <x:v>-521122092.57000077</x:v>
      </x:c>
      <x:c r="H734" s="15" t="n">
        <x:f>IF(AND(ISNUMBER(E734),ISNUMBER(F734),F734&gt;0),(E734-F734)/F734,"n.a.")</x:f>
        <x:v>-0.7194255526132637</x:v>
      </x:c>
      <x:c r="I734" s="19" t="n">
        <x:f>IF(ISNUMBER(H734),ABS(H734),"n.a.")</x:f>
        <x:v>0.7194255526132637</x:v>
      </x:c>
      <x:c r="J734" s="2" t="str">
        <x:v>available</x:v>
      </x:c>
      <x:c r="K734" s="2" t="n">
        <x:v>1</x:v>
      </x:c>
      <x:c r="L734" s="13" t="b">
        <x:v>0</x:v>
      </x:c>
      <x:c r="M734" s="13" t="b">
        <x:v>1</x:v>
      </x:c>
      <x:c r="N734" s="2" t="str">
        <x:v>historical source estimate</x:v>
      </x:c>
      <x:c r="O734" s="2" t="str"/>
      <x:c r="P734" s="2" t="str">
        <x:v>horizontal built-up surface</x:v>
      </x:c>
      <x:c r="Q734" s="2" t="str">
        <x:v>m2</x:v>
      </x:c>
      <x:c r="R734" s="17" t="n">
        <x:v>724358609</x:v>
      </x:c>
      <x:c r="S734" s="17" t="n">
        <x:v>203236516.43</x:v>
      </x:c>
      <x:c r="T734" s="18" t="n">
        <x:v>1.0000000000000016</x:v>
      </x:c>
      <x:c r="U734" s="17" t="n">
        <x:v>203236516.4300003</x:v>
      </x:c>
      <x:c r="V734" s="2" t="str">
        <x:v>Area equivalent = model2020 * source surface / TEMPO2020 footprint</x:v>
      </x:c>
      <x:c r="W734" s="2" t="str">
        <x:v>legacy epoch_status=observed; not exact acquisition proof</x:v>
      </x:c>
      <x:c r="X734" s="2" t="str">
        <x:v>https://human-settlement.emergency.copernicus.eu/ghs_buS2023.php</x:v>
      </x:c>
    </x:row>
    <x:row r="735" ht="23" customHeight="1">
      <x:c r="A735" s="2" t="str">
        <x:v>NGA</x:v>
      </x:c>
      <x:c r="B735" s="2" t="str">
        <x:v>Nigeria (Federal Republic of)</x:v>
      </x:c>
      <x:c r="C735" s="2" t="n">
        <x:v>2020</x:v>
      </x:c>
      <x:c r="D735" s="2" t="str">
        <x:v>GHSL_SURFACE</x:v>
      </x:c>
      <x:c r="E735" s="17" t="n">
        <x:v>4102804870.2700024</x:v>
      </x:c>
      <x:c r="F735" s="17" t="n">
        <x:f>IF(AND(M735,ISNUMBER(R735)),IF(D735="TEMPO_PROXY",R735,IF(AND(ISNUMBER(S735),S735&gt;0,ISNUMBER(U735)),U735*R735/S735,"n.a.")),"n.a.")</x:f>
        <x:v>8179421162.000005</x:v>
      </x:c>
      <x:c r="G735" s="17" t="n">
        <x:f>IF(AND(ISNUMBER(E735),ISNUMBER(F735)),E735-F735,"n.a.")</x:f>
        <x:v>-4076616291.7300024</x:v>
      </x:c>
      <x:c r="H735" s="15" t="n">
        <x:f>IF(AND(ISNUMBER(E735),ISNUMBER(F735),F735&gt;0),(E735-F735)/F735,"n.a.")</x:f>
        <x:v>-0.49839911785801744</x:v>
      </x:c>
      <x:c r="I735" s="19" t="n">
        <x:f>IF(ISNUMBER(H735),ABS(H735),"n.a.")</x:f>
        <x:v>0.49839911785801744</x:v>
      </x:c>
      <x:c r="J735" s="2" t="str">
        <x:v>available</x:v>
      </x:c>
      <x:c r="K735" s="2" t="n">
        <x:v>1</x:v>
      </x:c>
      <x:c r="L735" s="13" t="b">
        <x:v>0</x:v>
      </x:c>
      <x:c r="M735" s="13" t="b">
        <x:v>1</x:v>
      </x:c>
      <x:c r="N735" s="2" t="str">
        <x:v>historical source estimate</x:v>
      </x:c>
      <x:c r="O735" s="2" t="str"/>
      <x:c r="P735" s="2" t="str">
        <x:v>horizontal built-up surface</x:v>
      </x:c>
      <x:c r="Q735" s="2" t="str">
        <x:v>m2</x:v>
      </x:c>
      <x:c r="R735" s="17" t="n">
        <x:v>8179421162</x:v>
      </x:c>
      <x:c r="S735" s="17" t="n">
        <x:v>4102804870.27</x:v>
      </x:c>
      <x:c r="T735" s="18" t="n">
        <x:v>1.0000000000000007</x:v>
      </x:c>
      <x:c r="U735" s="17" t="n">
        <x:v>4102804870.2700024</x:v>
      </x:c>
      <x:c r="V735" s="2" t="str">
        <x:v>Area equivalent = model2020 * source surface / TEMPO2020 footprint</x:v>
      </x:c>
      <x:c r="W735" s="2" t="str">
        <x:v>legacy epoch_status=observed; not exact acquisition proof</x:v>
      </x:c>
      <x:c r="X735" s="2" t="str">
        <x:v>https://human-settlement.emergency.copernicus.eu/ghs_buS2023.php</x:v>
      </x:c>
    </x:row>
    <x:row r="736" ht="23" customHeight="1">
      <x:c r="A736" s="2" t="str">
        <x:v>NIC</x:v>
      </x:c>
      <x:c r="B736" s="2" t="str">
        <x:v>Nicaragua (Republic of)</x:v>
      </x:c>
      <x:c r="C736" s="2" t="n">
        <x:v>2020</x:v>
      </x:c>
      <x:c r="D736" s="2" t="str">
        <x:v>GHSL_SURFACE</x:v>
      </x:c>
      <x:c r="E736" s="17" t="n">
        <x:v>201940338.64999992</x:v>
      </x:c>
      <x:c r="F736" s="17" t="n">
        <x:f>IF(AND(M736,ISNUMBER(R736)),IF(D736="TEMPO_PROXY",R736,IF(AND(ISNUMBER(S736),S736&gt;0,ISNUMBER(U736)),U736*R736/S736,"n.a.")),"n.a.")</x:f>
        <x:v>294619475.9999999</x:v>
      </x:c>
      <x:c r="G736" s="17" t="n">
        <x:f>IF(AND(ISNUMBER(E736),ISNUMBER(F736)),E736-F736,"n.a.")</x:f>
        <x:v>-92679137.34999996</x:v>
      </x:c>
      <x:c r="H736" s="15" t="n">
        <x:f>IF(AND(ISNUMBER(E736),ISNUMBER(F736),F736&gt;0),(E736-F736)/F736,"n.a.")</x:f>
        <x:v>-0.31457233787897987</x:v>
      </x:c>
      <x:c r="I736" s="19" t="n">
        <x:f>IF(ISNUMBER(H736),ABS(H736),"n.a.")</x:f>
        <x:v>0.31457233787897987</x:v>
      </x:c>
      <x:c r="J736" s="2" t="str">
        <x:v>available</x:v>
      </x:c>
      <x:c r="K736" s="2" t="n">
        <x:v>1</x:v>
      </x:c>
      <x:c r="L736" s="13" t="b">
        <x:v>0</x:v>
      </x:c>
      <x:c r="M736" s="13" t="b">
        <x:v>1</x:v>
      </x:c>
      <x:c r="N736" s="2" t="str">
        <x:v>historical source estimate</x:v>
      </x:c>
      <x:c r="O736" s="2" t="str"/>
      <x:c r="P736" s="2" t="str">
        <x:v>horizontal built-up surface</x:v>
      </x:c>
      <x:c r="Q736" s="2" t="str">
        <x:v>m2</x:v>
      </x:c>
      <x:c r="R736" s="17" t="n">
        <x:v>294619476</x:v>
      </x:c>
      <x:c r="S736" s="17" t="n">
        <x:v>201940338.65</x:v>
      </x:c>
      <x:c r="T736" s="18" t="n">
        <x:v>0.9999999999999996</x:v>
      </x:c>
      <x:c r="U736" s="17" t="n">
        <x:v>201940338.64999992</x:v>
      </x:c>
      <x:c r="V736" s="2" t="str">
        <x:v>Area equivalent = model2020 * source surface / TEMPO2020 footprint</x:v>
      </x:c>
      <x:c r="W736" s="2" t="str">
        <x:v>legacy epoch_status=observed; not exact acquisition proof</x:v>
      </x:c>
      <x:c r="X736" s="2" t="str">
        <x:v>https://human-settlement.emergency.copernicus.eu/ghs_buS2023.php</x:v>
      </x:c>
    </x:row>
    <x:row r="737" ht="23" customHeight="1">
      <x:c r="A737" s="2" t="str">
        <x:v>NLD</x:v>
      </x:c>
      <x:c r="B737" s="2" t="str">
        <x:v>Netherlands (Kingdom of the)</x:v>
      </x:c>
      <x:c r="C737" s="2" t="n">
        <x:v>2020</x:v>
      </x:c>
      <x:c r="D737" s="2" t="str">
        <x:v>GHSL_SURFACE</x:v>
      </x:c>
      <x:c r="E737" s="17" t="n">
        <x:v>1464947836.6400025</x:v>
      </x:c>
      <x:c r="F737" s="17" t="n">
        <x:f>IF(AND(M737,ISNUMBER(R737)),IF(D737="TEMPO_PROXY",R737,IF(AND(ISNUMBER(S737),S737&gt;0,ISNUMBER(U737)),U737*R737/S737,"n.a.")),"n.a.")</x:f>
        <x:v>2269955379.7451754</x:v>
      </x:c>
      <x:c r="G737" s="17" t="n">
        <x:f>IF(AND(ISNUMBER(E737),ISNUMBER(F737)),E737-F737,"n.a.")</x:f>
        <x:v>-805007543.1051729</x:v>
      </x:c>
      <x:c r="H737" s="15" t="n">
        <x:f>IF(AND(ISNUMBER(E737),ISNUMBER(F737),F737&gt;0),(E737-F737)/F737,"n.a.")</x:f>
        <x:v>-0.3546358445140639</x:v>
      </x:c>
      <x:c r="I737" s="19" t="n">
        <x:f>IF(ISNUMBER(H737),ABS(H737),"n.a.")</x:f>
        <x:v>0.3546358445140639</x:v>
      </x:c>
      <x:c r="J737" s="2" t="str">
        <x:v>available</x:v>
      </x:c>
      <x:c r="K737" s="2" t="n">
        <x:v>1</x:v>
      </x:c>
      <x:c r="L737" s="13" t="b">
        <x:v>0</x:v>
      </x:c>
      <x:c r="M737" s="13" t="b">
        <x:v>1</x:v>
      </x:c>
      <x:c r="N737" s="2" t="str">
        <x:v>historical source estimate</x:v>
      </x:c>
      <x:c r="O737" s="2" t="str"/>
      <x:c r="P737" s="2" t="str">
        <x:v>horizontal built-up surface</x:v>
      </x:c>
      <x:c r="Q737" s="2" t="str">
        <x:v>m2</x:v>
      </x:c>
      <x:c r="R737" s="17" t="n">
        <x:v>1958304344</x:v>
      </x:c>
      <x:c r="S737" s="17" t="n">
        <x:v>1263819429.15</x:v>
      </x:c>
      <x:c r="T737" s="18" t="n">
        <x:v>1.1591433102316477</x:v>
      </x:c>
      <x:c r="U737" s="17" t="n">
        <x:v>1464947836.6400025</x:v>
      </x:c>
      <x:c r="V737" s="2" t="str">
        <x:v>Area equivalent = model2020 * source surface / TEMPO2020 footprint</x:v>
      </x:c>
      <x:c r="W737" s="2" t="str">
        <x:v>legacy epoch_status=observed; not exact acquisition proof</x:v>
      </x:c>
      <x:c r="X737" s="2" t="str">
        <x:v>https://human-settlement.emergency.copernicus.eu/ghs_buS2023.php</x:v>
      </x:c>
    </x:row>
    <x:row r="738" ht="23" customHeight="1">
      <x:c r="A738" s="2" t="str">
        <x:v>NOR</x:v>
      </x:c>
      <x:c r="B738" s="2" t="str">
        <x:v>Norway (Kingdom of)</x:v>
      </x:c>
      <x:c r="C738" s="2" t="n">
        <x:v>2020</x:v>
      </x:c>
      <x:c r="D738" s="2" t="str">
        <x:v>GHSL_SURFACE</x:v>
      </x:c>
      <x:c r="E738" s="17" t="n">
        <x:v>478516256.6100005</x:v>
      </x:c>
      <x:c r="F738" s="17" t="n">
        <x:f>IF(AND(M738,ISNUMBER(R738)),IF(D738="TEMPO_PROXY",R738,IF(AND(ISNUMBER(S738),S738&gt;0,ISNUMBER(U738)),U738*R738/S738,"n.a.")),"n.a.")</x:f>
        <x:v>366859395.00000036</x:v>
      </x:c>
      <x:c r="G738" s="17" t="n">
        <x:f>IF(AND(ISNUMBER(E738),ISNUMBER(F738)),E738-F738,"n.a.")</x:f>
        <x:v>111656861.61000013</x:v>
      </x:c>
      <x:c r="H738" s="15" t="n">
        <x:f>IF(AND(ISNUMBER(E738),ISNUMBER(F738),F738&gt;0),(E738-F738)/F738,"n.a.")</x:f>
        <x:v>0.304358735613136</x:v>
      </x:c>
      <x:c r="I738" s="19" t="n">
        <x:f>IF(ISNUMBER(H738),ABS(H738),"n.a.")</x:f>
        <x:v>0.304358735613136</x:v>
      </x:c>
      <x:c r="J738" s="2" t="str">
        <x:v>available</x:v>
      </x:c>
      <x:c r="K738" s="2" t="n">
        <x:v>1</x:v>
      </x:c>
      <x:c r="L738" s="13" t="b">
        <x:v>0</x:v>
      </x:c>
      <x:c r="M738" s="13" t="b">
        <x:v>1</x:v>
      </x:c>
      <x:c r="N738" s="2" t="str">
        <x:v>historical source estimate</x:v>
      </x:c>
      <x:c r="O738" s="2" t="str"/>
      <x:c r="P738" s="2" t="str">
        <x:v>horizontal built-up surface</x:v>
      </x:c>
      <x:c r="Q738" s="2" t="str">
        <x:v>m2</x:v>
      </x:c>
      <x:c r="R738" s="17" t="n">
        <x:v>366859395</x:v>
      </x:c>
      <x:c r="S738" s="17" t="n">
        <x:v>478516256.61</x:v>
      </x:c>
      <x:c r="T738" s="18" t="n">
        <x:v>1.0000000000000009</x:v>
      </x:c>
      <x:c r="U738" s="17" t="n">
        <x:v>478516256.6100005</x:v>
      </x:c>
      <x:c r="V738" s="2" t="str">
        <x:v>Area equivalent = model2020 * source surface / TEMPO2020 footprint</x:v>
      </x:c>
      <x:c r="W738" s="2" t="str">
        <x:v>legacy epoch_status=observed; not exact acquisition proof</x:v>
      </x:c>
      <x:c r="X738" s="2" t="str">
        <x:v>https://human-settlement.emergency.copernicus.eu/ghs_buS2023.php</x:v>
      </x:c>
    </x:row>
    <x:row r="739" ht="23" customHeight="1">
      <x:c r="A739" s="2" t="str">
        <x:v>NPL</x:v>
      </x:c>
      <x:c r="B739" s="2" t="str">
        <x:v>Nepal (Federal Democratic Republic of)</x:v>
      </x:c>
      <x:c r="C739" s="2" t="n">
        <x:v>2020</x:v>
      </x:c>
      <x:c r="D739" s="2" t="str">
        <x:v>GHSL_SURFACE</x:v>
      </x:c>
      <x:c r="E739" s="17" t="n">
        <x:v>656084354.4999993</x:v>
      </x:c>
      <x:c r="F739" s="17" t="n">
        <x:f>IF(AND(M739,ISNUMBER(R739)),IF(D739="TEMPO_PROXY",R739,IF(AND(ISNUMBER(S739),S739&gt;0,ISNUMBER(U739)),U739*R739/S739,"n.a.")),"n.a.")</x:f>
        <x:v>1102008801.9999988</x:v>
      </x:c>
      <x:c r="G739" s="17" t="n">
        <x:f>IF(AND(ISNUMBER(E739),ISNUMBER(F739)),E739-F739,"n.a.")</x:f>
        <x:v>-445924447.4999995</x:v>
      </x:c>
      <x:c r="H739" s="15" t="n">
        <x:f>IF(AND(ISNUMBER(E739),ISNUMBER(F739),F739&gt;0),(E739-F739)/F739,"n.a.")</x:f>
        <x:v>-0.40464690181304014</x:v>
      </x:c>
      <x:c r="I739" s="19" t="n">
        <x:f>IF(ISNUMBER(H739),ABS(H739),"n.a.")</x:f>
        <x:v>0.40464690181304014</x:v>
      </x:c>
      <x:c r="J739" s="2" t="str">
        <x:v>available</x:v>
      </x:c>
      <x:c r="K739" s="2" t="n">
        <x:v>1</x:v>
      </x:c>
      <x:c r="L739" s="13" t="b">
        <x:v>0</x:v>
      </x:c>
      <x:c r="M739" s="13" t="b">
        <x:v>1</x:v>
      </x:c>
      <x:c r="N739" s="2" t="str">
        <x:v>historical source estimate</x:v>
      </x:c>
      <x:c r="O739" s="2" t="str"/>
      <x:c r="P739" s="2" t="str">
        <x:v>horizontal built-up surface</x:v>
      </x:c>
      <x:c r="Q739" s="2" t="str">
        <x:v>m2</x:v>
      </x:c>
      <x:c r="R739" s="17" t="n">
        <x:v>1102008802</x:v>
      </x:c>
      <x:c r="S739" s="17" t="n">
        <x:v>656084354.5</x:v>
      </x:c>
      <x:c r="T739" s="18" t="n">
        <x:v>0.9999999999999989</x:v>
      </x:c>
      <x:c r="U739" s="17" t="n">
        <x:v>656084354.4999993</x:v>
      </x:c>
      <x:c r="V739" s="2" t="str">
        <x:v>Area equivalent = model2020 * source surface / TEMPO2020 footprint</x:v>
      </x:c>
      <x:c r="W739" s="2" t="str">
        <x:v>legacy epoch_status=observed; not exact acquisition proof</x:v>
      </x:c>
      <x:c r="X739" s="2" t="str">
        <x:v>https://human-settlement.emergency.copernicus.eu/ghs_buS2023.php</x:v>
      </x:c>
    </x:row>
    <x:row r="740" ht="23" customHeight="1">
      <x:c r="A740" s="2" t="str">
        <x:v>NRU</x:v>
      </x:c>
      <x:c r="B740" s="2" t="str">
        <x:v>Nauru (Republic of)</x:v>
      </x:c>
      <x:c r="C740" s="2" t="n">
        <x:v>2020</x:v>
      </x:c>
      <x:c r="D740" s="2" t="str">
        <x:v>GHSL_SURFACE</x:v>
      </x:c>
      <x:c r="E740" s="17" t="n">
        <x:v>405989.38000000024</x:v>
      </x:c>
      <x:c r="F740" s="17" t="n">
        <x:f>IF(AND(M740,ISNUMBER(R740)),IF(D740="TEMPO_PROXY",R740,IF(AND(ISNUMBER(S740),S740&gt;0,ISNUMBER(U740)),U740*R740/S740,"n.a.")),"n.a.")</x:f>
        <x:v>462272.00000000023</x:v>
      </x:c>
      <x:c r="G740" s="17" t="n">
        <x:f>IF(AND(ISNUMBER(E740),ISNUMBER(F740)),E740-F740,"n.a.")</x:f>
        <x:v>-56282.619999999995</x:v>
      </x:c>
      <x:c r="H740" s="15" t="n">
        <x:f>IF(AND(ISNUMBER(E740),ISNUMBER(F740),F740&gt;0),(E740-F740)/F740,"n.a.")</x:f>
        <x:v>-0.12175217188148961</x:v>
      </x:c>
      <x:c r="I740" s="19" t="n">
        <x:f>IF(ISNUMBER(H740),ABS(H740),"n.a.")</x:f>
        <x:v>0.12175217188148961</x:v>
      </x:c>
      <x:c r="J740" s="2" t="str">
        <x:v>available</x:v>
      </x:c>
      <x:c r="K740" s="2" t="n">
        <x:v>1</x:v>
      </x:c>
      <x:c r="L740" s="13" t="b">
        <x:v>0</x:v>
      </x:c>
      <x:c r="M740" s="13" t="b">
        <x:v>1</x:v>
      </x:c>
      <x:c r="N740" s="2" t="str">
        <x:v>historical source estimate</x:v>
      </x:c>
      <x:c r="O740" s="2" t="str"/>
      <x:c r="P740" s="2" t="str">
        <x:v>horizontal built-up surface</x:v>
      </x:c>
      <x:c r="Q740" s="2" t="str">
        <x:v>m2</x:v>
      </x:c>
      <x:c r="R740" s="17" t="n">
        <x:v>462272</x:v>
      </x:c>
      <x:c r="S740" s="17" t="n">
        <x:v>405989.38</x:v>
      </x:c>
      <x:c r="T740" s="18" t="n">
        <x:v>1.0000000000000007</x:v>
      </x:c>
      <x:c r="U740" s="17" t="n">
        <x:v>405989.38000000024</x:v>
      </x:c>
      <x:c r="V740" s="2" t="str">
        <x:v>Area equivalent = model2020 * source surface / TEMPO2020 footprint</x:v>
      </x:c>
      <x:c r="W740" s="2" t="str">
        <x:v>legacy epoch_status=observed; not exact acquisition proof</x:v>
      </x:c>
      <x:c r="X740" s="2" t="str">
        <x:v>https://human-settlement.emergency.copernicus.eu/ghs_buS2023.php</x:v>
      </x:c>
    </x:row>
    <x:row r="741" ht="23" customHeight="1">
      <x:c r="A741" s="2" t="str">
        <x:v>NZL</x:v>
      </x:c>
      <x:c r="B741" s="2" t="str">
        <x:v>New Zealand</x:v>
      </x:c>
      <x:c r="C741" s="2" t="n">
        <x:v>2020</x:v>
      </x:c>
      <x:c r="D741" s="2" t="str">
        <x:v>GHSL_SURFACE</x:v>
      </x:c>
      <x:c r="E741" s="17" t="n">
        <x:v>553529463.7899991</x:v>
      </x:c>
      <x:c r="F741" s="17" t="n">
        <x:f>IF(AND(M741,ISNUMBER(R741)),IF(D741="TEMPO_PROXY",R741,IF(AND(ISNUMBER(S741),S741&gt;0,ISNUMBER(U741)),U741*R741/S741,"n.a.")),"n.a.")</x:f>
        <x:v>933984430.9999986</x:v>
      </x:c>
      <x:c r="G741" s="17" t="n">
        <x:f>IF(AND(ISNUMBER(E741),ISNUMBER(F741)),E741-F741,"n.a.")</x:f>
        <x:v>-380454967.20999944</x:v>
      </x:c>
      <x:c r="H741" s="15" t="n">
        <x:f>IF(AND(ISNUMBER(E741),ISNUMBER(F741),F741&gt;0),(E741-F741)/F741,"n.a.")</x:f>
        <x:v>-0.4073461554414284</x:v>
      </x:c>
      <x:c r="I741" s="19" t="n">
        <x:f>IF(ISNUMBER(H741),ABS(H741),"n.a.")</x:f>
        <x:v>0.4073461554414284</x:v>
      </x:c>
      <x:c r="J741" s="2" t="str">
        <x:v>available</x:v>
      </x:c>
      <x:c r="K741" s="2" t="n">
        <x:v>1</x:v>
      </x:c>
      <x:c r="L741" s="13" t="b">
        <x:v>0</x:v>
      </x:c>
      <x:c r="M741" s="13" t="b">
        <x:v>1</x:v>
      </x:c>
      <x:c r="N741" s="2" t="str">
        <x:v>historical source estimate</x:v>
      </x:c>
      <x:c r="O741" s="2" t="str"/>
      <x:c r="P741" s="2" t="str">
        <x:v>horizontal built-up surface</x:v>
      </x:c>
      <x:c r="Q741" s="2" t="str">
        <x:v>m2</x:v>
      </x:c>
      <x:c r="R741" s="17" t="n">
        <x:v>933984431</x:v>
      </x:c>
      <x:c r="S741" s="17" t="n">
        <x:v>553529463.79</x:v>
      </x:c>
      <x:c r="T741" s="18" t="n">
        <x:v>0.9999999999999984</x:v>
      </x:c>
      <x:c r="U741" s="17" t="n">
        <x:v>553529463.7899991</x:v>
      </x:c>
      <x:c r="V741" s="2" t="str">
        <x:v>Area equivalent = model2020 * source surface / TEMPO2020 footprint</x:v>
      </x:c>
      <x:c r="W741" s="2" t="str">
        <x:v>legacy epoch_status=observed; not exact acquisition proof</x:v>
      </x:c>
      <x:c r="X741" s="2" t="str">
        <x:v>https://human-settlement.emergency.copernicus.eu/ghs_buS2023.php</x:v>
      </x:c>
    </x:row>
    <x:row r="742" ht="23" customHeight="1">
      <x:c r="A742" s="2" t="str">
        <x:v>OMN</x:v>
      </x:c>
      <x:c r="B742" s="2" t="str">
        <x:v>Oman (Sultanate of)</x:v>
      </x:c>
      <x:c r="C742" s="2" t="n">
        <x:v>2020</x:v>
      </x:c>
      <x:c r="D742" s="2" t="str">
        <x:v>GHSL_SURFACE</x:v>
      </x:c>
      <x:c r="E742" s="17" t="n">
        <x:v>262659820.8500002</x:v>
      </x:c>
      <x:c r="F742" s="17" t="n">
        <x:f>IF(AND(M742,ISNUMBER(R742)),IF(D742="TEMPO_PROXY",R742,IF(AND(ISNUMBER(S742),S742&gt;0,ISNUMBER(U742)),U742*R742/S742,"n.a.")),"n.a.")</x:f>
        <x:v>427916040.00000036</x:v>
      </x:c>
      <x:c r="G742" s="17" t="n">
        <x:f>IF(AND(ISNUMBER(E742),ISNUMBER(F742)),E742-F742,"n.a.")</x:f>
        <x:v>-165256219.15000015</x:v>
      </x:c>
      <x:c r="H742" s="15" t="n">
        <x:f>IF(AND(ISNUMBER(E742),ISNUMBER(F742),F742&gt;0),(E742-F742)/F742,"n.a.")</x:f>
        <x:v>-0.3861884194619113</x:v>
      </x:c>
      <x:c r="I742" s="19" t="n">
        <x:f>IF(ISNUMBER(H742),ABS(H742),"n.a.")</x:f>
        <x:v>0.3861884194619113</x:v>
      </x:c>
      <x:c r="J742" s="2" t="str">
        <x:v>available</x:v>
      </x:c>
      <x:c r="K742" s="2" t="n">
        <x:v>1</x:v>
      </x:c>
      <x:c r="L742" s="13" t="b">
        <x:v>0</x:v>
      </x:c>
      <x:c r="M742" s="13" t="b">
        <x:v>1</x:v>
      </x:c>
      <x:c r="N742" s="2" t="str">
        <x:v>historical source estimate</x:v>
      </x:c>
      <x:c r="O742" s="2" t="str"/>
      <x:c r="P742" s="2" t="str">
        <x:v>horizontal built-up surface</x:v>
      </x:c>
      <x:c r="Q742" s="2" t="str">
        <x:v>m2</x:v>
      </x:c>
      <x:c r="R742" s="17" t="n">
        <x:v>427916040</x:v>
      </x:c>
      <x:c r="S742" s="17" t="n">
        <x:v>262659820.85</x:v>
      </x:c>
      <x:c r="T742" s="18" t="n">
        <x:v>1.0000000000000009</x:v>
      </x:c>
      <x:c r="U742" s="17" t="n">
        <x:v>262659820.8500002</x:v>
      </x:c>
      <x:c r="V742" s="2" t="str">
        <x:v>Area equivalent = model2020 * source surface / TEMPO2020 footprint</x:v>
      </x:c>
      <x:c r="W742" s="2" t="str">
        <x:v>legacy epoch_status=observed; not exact acquisition proof</x:v>
      </x:c>
      <x:c r="X742" s="2" t="str">
        <x:v>https://human-settlement.emergency.copernicus.eu/ghs_buS2023.php</x:v>
      </x:c>
    </x:row>
    <x:row r="743" ht="23" customHeight="1">
      <x:c r="A743" s="2" t="str">
        <x:v>PAK</x:v>
      </x:c>
      <x:c r="B743" s="2" t="str">
        <x:v>Pakistan (Islamic Republic of)</x:v>
      </x:c>
      <x:c r="C743" s="2" t="n">
        <x:v>2020</x:v>
      </x:c>
      <x:c r="D743" s="2" t="str">
        <x:v>GHSL_SURFACE</x:v>
      </x:c>
      <x:c r="E743" s="17" t="n">
        <x:v>4301390083.520005</x:v>
      </x:c>
      <x:c r="F743" s="17" t="n">
        <x:f>IF(AND(M743,ISNUMBER(R743)),IF(D743="TEMPO_PROXY",R743,IF(AND(ISNUMBER(S743),S743&gt;0,ISNUMBER(U743)),U743*R743/S743,"n.a.")),"n.a.")</x:f>
        <x:v>6256084711.000007</x:v>
      </x:c>
      <x:c r="G743" s="17" t="n">
        <x:f>IF(AND(ISNUMBER(E743),ISNUMBER(F743)),E743-F743,"n.a.")</x:f>
        <x:v>-1954694627.4800014</x:v>
      </x:c>
      <x:c r="H743" s="15" t="n">
        <x:f>IF(AND(ISNUMBER(E743),ISNUMBER(F743),F743&gt;0),(E743-F743)/F743,"n.a.")</x:f>
        <x:v>-0.3124469564875109</x:v>
      </x:c>
      <x:c r="I743" s="19" t="n">
        <x:f>IF(ISNUMBER(H743),ABS(H743),"n.a.")</x:f>
        <x:v>0.3124469564875109</x:v>
      </x:c>
      <x:c r="J743" s="2" t="str">
        <x:v>available</x:v>
      </x:c>
      <x:c r="K743" s="2" t="n">
        <x:v>1</x:v>
      </x:c>
      <x:c r="L743" s="13" t="b">
        <x:v>0</x:v>
      </x:c>
      <x:c r="M743" s="13" t="b">
        <x:v>1</x:v>
      </x:c>
      <x:c r="N743" s="2" t="str">
        <x:v>historical source estimate</x:v>
      </x:c>
      <x:c r="O743" s="2" t="str"/>
      <x:c r="P743" s="2" t="str">
        <x:v>horizontal built-up surface</x:v>
      </x:c>
      <x:c r="Q743" s="2" t="str">
        <x:v>m2</x:v>
      </x:c>
      <x:c r="R743" s="17" t="n">
        <x:v>6256084711</x:v>
      </x:c>
      <x:c r="S743" s="17" t="n">
        <x:v>4301390083.52</x:v>
      </x:c>
      <x:c r="T743" s="18" t="n">
        <x:v>1.000000000000001</x:v>
      </x:c>
      <x:c r="U743" s="17" t="n">
        <x:v>4301390083.520005</x:v>
      </x:c>
      <x:c r="V743" s="2" t="str">
        <x:v>Area equivalent = model2020 * source surface / TEMPO2020 footprint</x:v>
      </x:c>
      <x:c r="W743" s="2" t="str">
        <x:v>legacy epoch_status=observed; not exact acquisition proof</x:v>
      </x:c>
      <x:c r="X743" s="2" t="str">
        <x:v>https://human-settlement.emergency.copernicus.eu/ghs_buS2023.php</x:v>
      </x:c>
    </x:row>
    <x:row r="744" ht="23" customHeight="1">
      <x:c r="A744" s="2" t="str">
        <x:v>PAN</x:v>
      </x:c>
      <x:c r="B744" s="2" t="str">
        <x:v>Panama (Republic of)</x:v>
      </x:c>
      <x:c r="C744" s="2" t="n">
        <x:v>2020</x:v>
      </x:c>
      <x:c r="D744" s="2" t="str">
        <x:v>GHSL_SURFACE</x:v>
      </x:c>
      <x:c r="E744" s="17" t="n">
        <x:v>209722829.7800001</x:v>
      </x:c>
      <x:c r="F744" s="17" t="n">
        <x:f>IF(AND(M744,ISNUMBER(R744)),IF(D744="TEMPO_PROXY",R744,IF(AND(ISNUMBER(S744),S744&gt;0,ISNUMBER(U744)),U744*R744/S744,"n.a.")),"n.a.")</x:f>
        <x:v>286803553.0000001</x:v>
      </x:c>
      <x:c r="G744" s="17" t="n">
        <x:f>IF(AND(ISNUMBER(E744),ISNUMBER(F744)),E744-F744,"n.a.")</x:f>
        <x:v>-77080723.22000003</x:v>
      </x:c>
      <x:c r="H744" s="15" t="n">
        <x:f>IF(AND(ISNUMBER(E744),ISNUMBER(F744),F744&gt;0),(E744-F744)/F744,"n.a.")</x:f>
        <x:v>-0.26875790907653085</x:v>
      </x:c>
      <x:c r="I744" s="19" t="n">
        <x:f>IF(ISNUMBER(H744),ABS(H744),"n.a.")</x:f>
        <x:v>0.26875790907653085</x:v>
      </x:c>
      <x:c r="J744" s="2" t="str">
        <x:v>available</x:v>
      </x:c>
      <x:c r="K744" s="2" t="n">
        <x:v>1</x:v>
      </x:c>
      <x:c r="L744" s="13" t="b">
        <x:v>0</x:v>
      </x:c>
      <x:c r="M744" s="13" t="b">
        <x:v>1</x:v>
      </x:c>
      <x:c r="N744" s="2" t="str">
        <x:v>historical source estimate</x:v>
      </x:c>
      <x:c r="O744" s="2" t="str"/>
      <x:c r="P744" s="2" t="str">
        <x:v>horizontal built-up surface</x:v>
      </x:c>
      <x:c r="Q744" s="2" t="str">
        <x:v>m2</x:v>
      </x:c>
      <x:c r="R744" s="17" t="n">
        <x:v>286803553</x:v>
      </x:c>
      <x:c r="S744" s="17" t="n">
        <x:v>209722829.78</x:v>
      </x:c>
      <x:c r="T744" s="18" t="n">
        <x:v>1.0000000000000004</x:v>
      </x:c>
      <x:c r="U744" s="17" t="n">
        <x:v>209722829.7800001</x:v>
      </x:c>
      <x:c r="V744" s="2" t="str">
        <x:v>Area equivalent = model2020 * source surface / TEMPO2020 footprint</x:v>
      </x:c>
      <x:c r="W744" s="2" t="str">
        <x:v>legacy epoch_status=observed; not exact acquisition proof</x:v>
      </x:c>
      <x:c r="X744" s="2" t="str">
        <x:v>https://human-settlement.emergency.copernicus.eu/ghs_buS2023.php</x:v>
      </x:c>
    </x:row>
    <x:row r="745" ht="23" customHeight="1">
      <x:c r="A745" s="2" t="str">
        <x:v>PER</x:v>
      </x:c>
      <x:c r="B745" s="2" t="str">
        <x:v>Peru (Republic of)</x:v>
      </x:c>
      <x:c r="C745" s="2" t="n">
        <x:v>2020</x:v>
      </x:c>
      <x:c r="D745" s="2" t="str">
        <x:v>GHSL_SURFACE</x:v>
      </x:c>
      <x:c r="E745" s="17" t="n">
        <x:v>1228349086.860001</x:v>
      </x:c>
      <x:c r="F745" s="17" t="n">
        <x:f>IF(AND(M745,ISNUMBER(R745)),IF(D745="TEMPO_PROXY",R745,IF(AND(ISNUMBER(S745),S745&gt;0,ISNUMBER(U745)),U745*R745/S745,"n.a.")),"n.a.")</x:f>
        <x:v>1466079228.0000014</x:v>
      </x:c>
      <x:c r="G745" s="17" t="n">
        <x:f>IF(AND(ISNUMBER(E745),ISNUMBER(F745)),E745-F745,"n.a.")</x:f>
        <x:v>-237730141.14000034</x:v>
      </x:c>
      <x:c r="H745" s="15" t="n">
        <x:f>IF(AND(ISNUMBER(E745),ISNUMBER(F745),F745&gt;0),(E745-F745)/F745,"n.a.")</x:f>
        <x:v>-0.1621536794190226</x:v>
      </x:c>
      <x:c r="I745" s="19" t="n">
        <x:f>IF(ISNUMBER(H745),ABS(H745),"n.a.")</x:f>
        <x:v>0.1621536794190226</x:v>
      </x:c>
      <x:c r="J745" s="2" t="str">
        <x:v>available</x:v>
      </x:c>
      <x:c r="K745" s="2" t="n">
        <x:v>1</x:v>
      </x:c>
      <x:c r="L745" s="13" t="b">
        <x:v>0</x:v>
      </x:c>
      <x:c r="M745" s="13" t="b">
        <x:v>1</x:v>
      </x:c>
      <x:c r="N745" s="2" t="str">
        <x:v>historical source estimate</x:v>
      </x:c>
      <x:c r="O745" s="2" t="str"/>
      <x:c r="P745" s="2" t="str">
        <x:v>horizontal built-up surface</x:v>
      </x:c>
      <x:c r="Q745" s="2" t="str">
        <x:v>m2</x:v>
      </x:c>
      <x:c r="R745" s="17" t="n">
        <x:v>1466079228</x:v>
      </x:c>
      <x:c r="S745" s="17" t="n">
        <x:v>1228349086.86</x:v>
      </x:c>
      <x:c r="T745" s="18" t="n">
        <x:v>1.0000000000000009</x:v>
      </x:c>
      <x:c r="U745" s="17" t="n">
        <x:v>1228349086.860001</x:v>
      </x:c>
      <x:c r="V745" s="2" t="str">
        <x:v>Area equivalent = model2020 * source surface / TEMPO2020 footprint</x:v>
      </x:c>
      <x:c r="W745" s="2" t="str">
        <x:v>legacy epoch_status=observed; not exact acquisition proof</x:v>
      </x:c>
      <x:c r="X745" s="2" t="str">
        <x:v>https://human-settlement.emergency.copernicus.eu/ghs_buS2023.php</x:v>
      </x:c>
    </x:row>
    <x:row r="746" ht="23" customHeight="1">
      <x:c r="A746" s="2" t="str">
        <x:v>PHL</x:v>
      </x:c>
      <x:c r="B746" s="2" t="str">
        <x:v>Philippines (Republic of the)</x:v>
      </x:c>
      <x:c r="C746" s="2" t="n">
        <x:v>2020</x:v>
      </x:c>
      <x:c r="D746" s="2" t="str">
        <x:v>GHSL_SURFACE</x:v>
      </x:c>
      <x:c r="E746" s="17" t="n">
        <x:v>2290609295.400001</x:v>
      </x:c>
      <x:c r="F746" s="17" t="n">
        <x:f>IF(AND(M746,ISNUMBER(R746)),IF(D746="TEMPO_PROXY",R746,IF(AND(ISNUMBER(S746),S746&gt;0,ISNUMBER(U746)),U746*R746/S746,"n.a.")),"n.a.")</x:f>
        <x:v>2318969682.000001</x:v>
      </x:c>
      <x:c r="G746" s="17" t="n">
        <x:f>IF(AND(ISNUMBER(E746),ISNUMBER(F746)),E746-F746,"n.a.")</x:f>
        <x:v>-28360386.599999905</x:v>
      </x:c>
      <x:c r="H746" s="15" t="n">
        <x:f>IF(AND(ISNUMBER(E746),ISNUMBER(F746),F746&gt;0),(E746-F746)/F746,"n.a.")</x:f>
        <x:v>-0.012229735826274547</x:v>
      </x:c>
      <x:c r="I746" s="19" t="n">
        <x:f>IF(ISNUMBER(H746),ABS(H746),"n.a.")</x:f>
        <x:v>0.012229735826274547</x:v>
      </x:c>
      <x:c r="J746" s="2" t="str">
        <x:v>available</x:v>
      </x:c>
      <x:c r="K746" s="2" t="n">
        <x:v>1</x:v>
      </x:c>
      <x:c r="L746" s="13" t="b">
        <x:v>0</x:v>
      </x:c>
      <x:c r="M746" s="13" t="b">
        <x:v>1</x:v>
      </x:c>
      <x:c r="N746" s="2" t="str">
        <x:v>historical source estimate</x:v>
      </x:c>
      <x:c r="O746" s="2" t="str"/>
      <x:c r="P746" s="2" t="str">
        <x:v>horizontal built-up surface</x:v>
      </x:c>
      <x:c r="Q746" s="2" t="str">
        <x:v>m2</x:v>
      </x:c>
      <x:c r="R746" s="17" t="n">
        <x:v>2318969682</x:v>
      </x:c>
      <x:c r="S746" s="17" t="n">
        <x:v>2290609295.4</x:v>
      </x:c>
      <x:c r="T746" s="18" t="n">
        <x:v>1.0000000000000004</x:v>
      </x:c>
      <x:c r="U746" s="17" t="n">
        <x:v>2290609295.400001</x:v>
      </x:c>
      <x:c r="V746" s="2" t="str">
        <x:v>Area equivalent = model2020 * source surface / TEMPO2020 footprint</x:v>
      </x:c>
      <x:c r="W746" s="2" t="str">
        <x:v>legacy epoch_status=observed; not exact acquisition proof</x:v>
      </x:c>
      <x:c r="X746" s="2" t="str">
        <x:v>https://human-settlement.emergency.copernicus.eu/ghs_buS2023.php</x:v>
      </x:c>
    </x:row>
    <x:row r="747" ht="23" customHeight="1">
      <x:c r="A747" s="2" t="str">
        <x:v>PLW</x:v>
      </x:c>
      <x:c r="B747" s="2" t="str">
        <x:v>Palau (Republic of)</x:v>
      </x:c>
      <x:c r="C747" s="2" t="n">
        <x:v>2020</x:v>
      </x:c>
      <x:c r="D747" s="2" t="str">
        <x:v>GHSL_SURFACE</x:v>
      </x:c>
      <x:c r="E747" s="17" t="n">
        <x:v>1152226.26</x:v>
      </x:c>
      <x:c r="F747" s="17" t="n">
        <x:f>IF(AND(M747,ISNUMBER(R747)),IF(D747="TEMPO_PROXY",R747,IF(AND(ISNUMBER(S747),S747&gt;0,ISNUMBER(U747)),U747*R747/S747,"n.a.")),"n.a.")</x:f>
        <x:v>1035553</x:v>
      </x:c>
      <x:c r="G747" s="17" t="n">
        <x:f>IF(AND(ISNUMBER(E747),ISNUMBER(F747)),E747-F747,"n.a.")</x:f>
        <x:v>116673.26000000001</x:v>
      </x:c>
      <x:c r="H747" s="15" t="n">
        <x:f>IF(AND(ISNUMBER(E747),ISNUMBER(F747),F747&gt;0),(E747-F747)/F747,"n.a.")</x:f>
        <x:v>0.11266758920113215</x:v>
      </x:c>
      <x:c r="I747" s="19" t="n">
        <x:f>IF(ISNUMBER(H747),ABS(H747),"n.a.")</x:f>
        <x:v>0.11266758920113215</x:v>
      </x:c>
      <x:c r="J747" s="2" t="str">
        <x:v>available</x:v>
      </x:c>
      <x:c r="K747" s="2" t="n">
        <x:v>1</x:v>
      </x:c>
      <x:c r="L747" s="13" t="b">
        <x:v>0</x:v>
      </x:c>
      <x:c r="M747" s="13" t="b">
        <x:v>1</x:v>
      </x:c>
      <x:c r="N747" s="2" t="str">
        <x:v>historical source estimate</x:v>
      </x:c>
      <x:c r="O747" s="2" t="str"/>
      <x:c r="P747" s="2" t="str">
        <x:v>horizontal built-up surface</x:v>
      </x:c>
      <x:c r="Q747" s="2" t="str">
        <x:v>m2</x:v>
      </x:c>
      <x:c r="R747" s="17" t="n">
        <x:v>1035553</x:v>
      </x:c>
      <x:c r="S747" s="17" t="n">
        <x:v>1152226.26</x:v>
      </x:c>
      <x:c r="T747" s="18" t="n">
        <x:v>1</x:v>
      </x:c>
      <x:c r="U747" s="17" t="n">
        <x:v>1152226.26</x:v>
      </x:c>
      <x:c r="V747" s="2" t="str">
        <x:v>Area equivalent = model2020 * source surface / TEMPO2020 footprint</x:v>
      </x:c>
      <x:c r="W747" s="2" t="str">
        <x:v>legacy epoch_status=observed; not exact acquisition proof</x:v>
      </x:c>
      <x:c r="X747" s="2" t="str">
        <x:v>https://human-settlement.emergency.copernicus.eu/ghs_buS2023.php</x:v>
      </x:c>
    </x:row>
    <x:row r="748" ht="23" customHeight="1">
      <x:c r="A748" s="2" t="str">
        <x:v>PNG</x:v>
      </x:c>
      <x:c r="B748" s="2" t="str">
        <x:v>Papua New Guinea (Independent State of)</x:v>
      </x:c>
      <x:c r="C748" s="2" t="n">
        <x:v>2020</x:v>
      </x:c>
      <x:c r="D748" s="2" t="str">
        <x:v>GHSL_SURFACE</x:v>
      </x:c>
      <x:c r="E748" s="17" t="n">
        <x:v>111325792.03000018</x:v>
      </x:c>
      <x:c r="F748" s="17" t="n">
        <x:f>IF(AND(M748,ISNUMBER(R748)),IF(D748="TEMPO_PROXY",R748,IF(AND(ISNUMBER(S748),S748&gt;0,ISNUMBER(U748)),U748*R748/S748,"n.a.")),"n.a.")</x:f>
        <x:v>174457095.00000027</x:v>
      </x:c>
      <x:c r="G748" s="17" t="n">
        <x:f>IF(AND(ISNUMBER(E748),ISNUMBER(F748)),E748-F748,"n.a.")</x:f>
        <x:v>-63131302.97000009</x:v>
      </x:c>
      <x:c r="H748" s="15" t="n">
        <x:f>IF(AND(ISNUMBER(E748),ISNUMBER(F748),F748&gt;0),(E748-F748)/F748,"n.a.")</x:f>
        <x:v>-0.36187294629662375</x:v>
      </x:c>
      <x:c r="I748" s="19" t="n">
        <x:f>IF(ISNUMBER(H748),ABS(H748),"n.a.")</x:f>
        <x:v>0.36187294629662375</x:v>
      </x:c>
      <x:c r="J748" s="2" t="str">
        <x:v>available</x:v>
      </x:c>
      <x:c r="K748" s="2" t="n">
        <x:v>1</x:v>
      </x:c>
      <x:c r="L748" s="13" t="b">
        <x:v>0</x:v>
      </x:c>
      <x:c r="M748" s="13" t="b">
        <x:v>1</x:v>
      </x:c>
      <x:c r="N748" s="2" t="str">
        <x:v>historical source estimate</x:v>
      </x:c>
      <x:c r="O748" s="2" t="str"/>
      <x:c r="P748" s="2" t="str">
        <x:v>horizontal built-up surface</x:v>
      </x:c>
      <x:c r="Q748" s="2" t="str">
        <x:v>m2</x:v>
      </x:c>
      <x:c r="R748" s="17" t="n">
        <x:v>174457095</x:v>
      </x:c>
      <x:c r="S748" s="17" t="n">
        <x:v>111325792.03</x:v>
      </x:c>
      <x:c r="T748" s="18" t="n">
        <x:v>1.0000000000000016</x:v>
      </x:c>
      <x:c r="U748" s="17" t="n">
        <x:v>111325792.03000018</x:v>
      </x:c>
      <x:c r="V748" s="2" t="str">
        <x:v>Area equivalent = model2020 * source surface / TEMPO2020 footprint</x:v>
      </x:c>
      <x:c r="W748" s="2" t="str">
        <x:v>legacy epoch_status=observed; not exact acquisition proof</x:v>
      </x:c>
      <x:c r="X748" s="2" t="str">
        <x:v>https://human-settlement.emergency.copernicus.eu/ghs_buS2023.php</x:v>
      </x:c>
    </x:row>
    <x:row r="749" ht="23" customHeight="1">
      <x:c r="A749" s="2" t="str">
        <x:v>POL</x:v>
      </x:c>
      <x:c r="B749" s="2" t="str">
        <x:v>Poland (Republic of)</x:v>
      </x:c>
      <x:c r="C749" s="2" t="n">
        <x:v>2020</x:v>
      </x:c>
      <x:c r="D749" s="2" t="str">
        <x:v>GHSL_SURFACE</x:v>
      </x:c>
      <x:c r="E749" s="17" t="n">
        <x:v>2573023573.5300016</x:v>
      </x:c>
      <x:c r="F749" s="17" t="n">
        <x:f>IF(AND(M749,ISNUMBER(R749)),IF(D749="TEMPO_PROXY",R749,IF(AND(ISNUMBER(S749),S749&gt;0,ISNUMBER(U749)),U749*R749/S749,"n.a.")),"n.a.")</x:f>
        <x:v>4543610074.000003</x:v>
      </x:c>
      <x:c r="G749" s="17" t="n">
        <x:f>IF(AND(ISNUMBER(E749),ISNUMBER(F749)),E749-F749,"n.a.")</x:f>
        <x:v>-1970586500.4700012</x:v>
      </x:c>
      <x:c r="H749" s="15" t="n">
        <x:f>IF(AND(ISNUMBER(E749),ISNUMBER(F749),F749&gt;0),(E749-F749)/F749,"n.a.")</x:f>
        <x:v>-0.4337050205400174</x:v>
      </x:c>
      <x:c r="I749" s="19" t="n">
        <x:f>IF(ISNUMBER(H749),ABS(H749),"n.a.")</x:f>
        <x:v>0.4337050205400174</x:v>
      </x:c>
      <x:c r="J749" s="2" t="str">
        <x:v>available</x:v>
      </x:c>
      <x:c r="K749" s="2" t="n">
        <x:v>1</x:v>
      </x:c>
      <x:c r="L749" s="13" t="b">
        <x:v>0</x:v>
      </x:c>
      <x:c r="M749" s="13" t="b">
        <x:v>1</x:v>
      </x:c>
      <x:c r="N749" s="2" t="str">
        <x:v>historical source estimate</x:v>
      </x:c>
      <x:c r="O749" s="2" t="str"/>
      <x:c r="P749" s="2" t="str">
        <x:v>horizontal built-up surface</x:v>
      </x:c>
      <x:c r="Q749" s="2" t="str">
        <x:v>m2</x:v>
      </x:c>
      <x:c r="R749" s="17" t="n">
        <x:v>4543610074</x:v>
      </x:c>
      <x:c r="S749" s="17" t="n">
        <x:v>2573023573.53</x:v>
      </x:c>
      <x:c r="T749" s="18" t="n">
        <x:v>1.0000000000000007</x:v>
      </x:c>
      <x:c r="U749" s="17" t="n">
        <x:v>2573023573.5300016</x:v>
      </x:c>
      <x:c r="V749" s="2" t="str">
        <x:v>Area equivalent = model2020 * source surface / TEMPO2020 footprint</x:v>
      </x:c>
      <x:c r="W749" s="2" t="str">
        <x:v>legacy epoch_status=observed; not exact acquisition proof</x:v>
      </x:c>
      <x:c r="X749" s="2" t="str">
        <x:v>https://human-settlement.emergency.copernicus.eu/ghs_buS2023.php</x:v>
      </x:c>
    </x:row>
    <x:row r="750" ht="23" customHeight="1">
      <x:c r="A750" s="2" t="str">
        <x:v>PRK</x:v>
      </x:c>
      <x:c r="B750" s="2" t="str">
        <x:v>Korea (Democratic People's Republic of)</x:v>
      </x:c>
      <x:c r="C750" s="2" t="n">
        <x:v>2020</x:v>
      </x:c>
      <x:c r="D750" s="2" t="str">
        <x:v>GHSL_SURFACE</x:v>
      </x:c>
      <x:c r="E750" s="17" t="n">
        <x:v>469713807.49000067</x:v>
      </x:c>
      <x:c r="F750" s="17" t="n">
        <x:f>IF(AND(M750,ISNUMBER(R750)),IF(D750="TEMPO_PROXY",R750,IF(AND(ISNUMBER(S750),S750&gt;0,ISNUMBER(U750)),U750*R750/S750,"n.a.")),"n.a.")</x:f>
        <x:v>375221524.5982695</x:v>
      </x:c>
      <x:c r="G750" s="17" t="n">
        <x:f>IF(AND(ISNUMBER(E750),ISNUMBER(F750)),E750-F750,"n.a.")</x:f>
        <x:v>94492282.89173114</x:v>
      </x:c>
      <x:c r="H750" s="15" t="n">
        <x:f>IF(AND(ISNUMBER(E750),ISNUMBER(F750),F750&gt;0),(E750-F750)/F750,"n.a.")</x:f>
        <x:v>0.25183065655121784</x:v>
      </x:c>
      <x:c r="I750" s="19" t="n">
        <x:f>IF(ISNUMBER(H750),ABS(H750),"n.a.")</x:f>
        <x:v>0.25183065655121784</x:v>
      </x:c>
      <x:c r="J750" s="2" t="str">
        <x:v>available</x:v>
      </x:c>
      <x:c r="K750" s="2" t="n">
        <x:v>1</x:v>
      </x:c>
      <x:c r="L750" s="13" t="b">
        <x:v>0</x:v>
      </x:c>
      <x:c r="M750" s="13" t="b">
        <x:v>1</x:v>
      </x:c>
      <x:c r="N750" s="2" t="str">
        <x:v>historical source estimate</x:v>
      </x:c>
      <x:c r="O750" s="2" t="str"/>
      <x:c r="P750" s="2" t="str">
        <x:v>horizontal built-up surface</x:v>
      </x:c>
      <x:c r="Q750" s="2" t="str">
        <x:v>m2</x:v>
      </x:c>
      <x:c r="R750" s="17" t="n">
        <x:v>370290380</x:v>
      </x:c>
      <x:c r="S750" s="17" t="n">
        <x:v>463540849.51</x:v>
      </x:c>
      <x:c r="T750" s="18" t="n">
        <x:v>1.0133169665338577</x:v>
      </x:c>
      <x:c r="U750" s="17" t="n">
        <x:v>469713807.49000067</x:v>
      </x:c>
      <x:c r="V750" s="2" t="str">
        <x:v>Area equivalent = model2020 * source surface / TEMPO2020 footprint</x:v>
      </x:c>
      <x:c r="W750" s="2" t="str">
        <x:v>legacy epoch_status=observed; not exact acquisition proof</x:v>
      </x:c>
      <x:c r="X750" s="2" t="str">
        <x:v>https://human-settlement.emergency.copernicus.eu/ghs_buS2023.php</x:v>
      </x:c>
    </x:row>
    <x:row r="751" ht="23" customHeight="1">
      <x:c r="A751" s="2" t="str">
        <x:v>PRT</x:v>
      </x:c>
      <x:c r="B751" s="2" t="str">
        <x:v>Portugal (Portuguese Republic)</x:v>
      </x:c>
      <x:c r="C751" s="2" t="n">
        <x:v>2020</x:v>
      </x:c>
      <x:c r="D751" s="2" t="str">
        <x:v>GHSL_SURFACE</x:v>
      </x:c>
      <x:c r="E751" s="17" t="n">
        <x:v>1019333626.31</x:v>
      </x:c>
      <x:c r="F751" s="17" t="n">
        <x:f>IF(AND(M751,ISNUMBER(R751)),IF(D751="TEMPO_PROXY",R751,IF(AND(ISNUMBER(S751),S751&gt;0,ISNUMBER(U751)),U751*R751/S751,"n.a.")),"n.a.")</x:f>
        <x:v>1365564489</x:v>
      </x:c>
      <x:c r="G751" s="17" t="n">
        <x:f>IF(AND(ISNUMBER(E751),ISNUMBER(F751)),E751-F751,"n.a.")</x:f>
        <x:v>-346230862.69000006</x:v>
      </x:c>
      <x:c r="H751" s="15" t="n">
        <x:f>IF(AND(ISNUMBER(E751),ISNUMBER(F751),F751&gt;0),(E751-F751)/F751,"n.a.")</x:f>
        <x:v>-0.25354413173378887</x:v>
      </x:c>
      <x:c r="I751" s="19" t="n">
        <x:f>IF(ISNUMBER(H751),ABS(H751),"n.a.")</x:f>
        <x:v>0.25354413173378887</x:v>
      </x:c>
      <x:c r="J751" s="2" t="str">
        <x:v>available</x:v>
      </x:c>
      <x:c r="K751" s="2" t="n">
        <x:v>1</x:v>
      </x:c>
      <x:c r="L751" s="13" t="b">
        <x:v>0</x:v>
      </x:c>
      <x:c r="M751" s="13" t="b">
        <x:v>1</x:v>
      </x:c>
      <x:c r="N751" s="2" t="str">
        <x:v>historical source estimate</x:v>
      </x:c>
      <x:c r="O751" s="2" t="str"/>
      <x:c r="P751" s="2" t="str">
        <x:v>horizontal built-up surface</x:v>
      </x:c>
      <x:c r="Q751" s="2" t="str">
        <x:v>m2</x:v>
      </x:c>
      <x:c r="R751" s="17" t="n">
        <x:v>1365564489</x:v>
      </x:c>
      <x:c r="S751" s="17" t="n">
        <x:v>1019333626.31</x:v>
      </x:c>
      <x:c r="T751" s="18" t="n">
        <x:v>1</x:v>
      </x:c>
      <x:c r="U751" s="17" t="n">
        <x:v>1019333626.31</x:v>
      </x:c>
      <x:c r="V751" s="2" t="str">
        <x:v>Area equivalent = model2020 * source surface / TEMPO2020 footprint</x:v>
      </x:c>
      <x:c r="W751" s="2" t="str">
        <x:v>legacy epoch_status=observed; not exact acquisition proof</x:v>
      </x:c>
      <x:c r="X751" s="2" t="str">
        <x:v>https://human-settlement.emergency.copernicus.eu/ghs_buS2023.php</x:v>
      </x:c>
    </x:row>
    <x:row r="752" ht="23" customHeight="1">
      <x:c r="A752" s="2" t="str">
        <x:v>PRY</x:v>
      </x:c>
      <x:c r="B752" s="2" t="str">
        <x:v>Paraguay (Republic of)</x:v>
      </x:c>
      <x:c r="C752" s="2" t="n">
        <x:v>2020</x:v>
      </x:c>
      <x:c r="D752" s="2" t="str">
        <x:v>GHSL_SURFACE</x:v>
      </x:c>
      <x:c r="E752" s="17" t="n">
        <x:v>336793873.4500005</x:v>
      </x:c>
      <x:c r="F752" s="17" t="n">
        <x:f>IF(AND(M752,ISNUMBER(R752)),IF(D752="TEMPO_PROXY",R752,IF(AND(ISNUMBER(S752),S752&gt;0,ISNUMBER(U752)),U752*R752/S752,"n.a.")),"n.a.")</x:f>
        <x:v>562623032.0000008</x:v>
      </x:c>
      <x:c r="G752" s="17" t="n">
        <x:f>IF(AND(ISNUMBER(E752),ISNUMBER(F752)),E752-F752,"n.a.")</x:f>
        <x:v>-225829158.5500003</x:v>
      </x:c>
      <x:c r="H752" s="15" t="n">
        <x:f>IF(AND(ISNUMBER(E752),ISNUMBER(F752),F752&gt;0),(E752-F752)/F752,"n.a.")</x:f>
        <x:v>-0.40138626701297214</x:v>
      </x:c>
      <x:c r="I752" s="19" t="n">
        <x:f>IF(ISNUMBER(H752),ABS(H752),"n.a.")</x:f>
        <x:v>0.40138626701297214</x:v>
      </x:c>
      <x:c r="J752" s="2" t="str">
        <x:v>available</x:v>
      </x:c>
      <x:c r="K752" s="2" t="n">
        <x:v>1</x:v>
      </x:c>
      <x:c r="L752" s="13" t="b">
        <x:v>0</x:v>
      </x:c>
      <x:c r="M752" s="13" t="b">
        <x:v>1</x:v>
      </x:c>
      <x:c r="N752" s="2" t="str">
        <x:v>historical source estimate</x:v>
      </x:c>
      <x:c r="O752" s="2" t="str"/>
      <x:c r="P752" s="2" t="str">
        <x:v>horizontal built-up surface</x:v>
      </x:c>
      <x:c r="Q752" s="2" t="str">
        <x:v>m2</x:v>
      </x:c>
      <x:c r="R752" s="17" t="n">
        <x:v>562623032</x:v>
      </x:c>
      <x:c r="S752" s="17" t="n">
        <x:v>336793873.45</x:v>
      </x:c>
      <x:c r="T752" s="18" t="n">
        <x:v>1.0000000000000016</x:v>
      </x:c>
      <x:c r="U752" s="17" t="n">
        <x:v>336793873.4500005</x:v>
      </x:c>
      <x:c r="V752" s="2" t="str">
        <x:v>Area equivalent = model2020 * source surface / TEMPO2020 footprint</x:v>
      </x:c>
      <x:c r="W752" s="2" t="str">
        <x:v>legacy epoch_status=observed; not exact acquisition proof</x:v>
      </x:c>
      <x:c r="X752" s="2" t="str">
        <x:v>https://human-settlement.emergency.copernicus.eu/ghs_buS2023.php</x:v>
      </x:c>
    </x:row>
    <x:row r="753" ht="23" customHeight="1">
      <x:c r="A753" s="2" t="str">
        <x:v>PSE</x:v>
      </x:c>
      <x:c r="B753" s="2" t="str">
        <x:v>State of Palestine</x:v>
      </x:c>
      <x:c r="C753" s="2" t="n">
        <x:v>2020</x:v>
      </x:c>
      <x:c r="D753" s="2" t="str">
        <x:v>GHSL_SURFACE</x:v>
      </x:c>
      <x:c r="E753" s="17" t="n">
        <x:v>239938472.63190365</x:v>
      </x:c>
      <x:c r="F753" s="17" t="str">
        <x:f>IF(AND(M753,ISNUMBER(R753)),IF(D753="TEMPO_PROXY",R753,IF(AND(ISNUMBER(S753),S753&gt;0,ISNUMBER(U753)),U753*R753/S753,"n.a.")),"n.a.")</x:f>
        <x:v>n.a.</x:v>
      </x:c>
      <x:c r="G753" s="17" t="str">
        <x:f>IF(AND(ISNUMBER(E753),ISNUMBER(F753)),E753-F753,"n.a.")</x:f>
        <x:v>n.a.</x:v>
      </x:c>
      <x:c r="H753" s="15" t="str">
        <x:f>IF(AND(ISNUMBER(E753),ISNUMBER(F753),F753&gt;0),(E753-F753)/F753,"n.a.")</x:f>
        <x:v>n.a.</x:v>
      </x:c>
      <x:c r="I753" s="19" t="str">
        <x:f>IF(ISNUMBER(H753),ABS(H753),"n.a.")</x:f>
        <x:v>n.a.</x:v>
      </x:c>
      <x:c r="J753" s="2" t="str">
        <x:v>unqualified_or_missing_native_source: legacy epoch_status=missing; not exact acquisition proof</x:v>
      </x:c>
      <x:c r="K753" s="2" t="n">
        <x:v>0</x:v>
      </x:c>
      <x:c r="L753" s="13" t="b">
        <x:v>0</x:v>
      </x:c>
      <x:c r="M753" s="13" t="b">
        <x:v>0</x:v>
      </x:c>
      <x:c r="N753" s="2" t="str">
        <x:v>historical source estimate</x:v>
      </x:c>
      <x:c r="O753" s="2" t="str"/>
      <x:c r="P753" s="2" t="str">
        <x:v>horizontal built-up surface</x:v>
      </x:c>
      <x:c r="Q753" s="2" t="str">
        <x:v>m2</x:v>
      </x:c>
      <x:c r="R753" s="17"/>
      <x:c r="S753" s="17"/>
      <x:c r="T753" s="18"/>
      <x:c r="U753" s="17" t="n">
        <x:v>239938472.63190365</x:v>
      </x:c>
      <x:c r="V753" s="2" t="str">
        <x:v>Area equivalent = model2020 * source surface / TEMPO2020 footprint</x:v>
      </x:c>
      <x:c r="W753" s="2" t="str">
        <x:v>legacy epoch_status=missing; not exact acquisition proof</x:v>
      </x:c>
      <x:c r="X753" s="2" t="str">
        <x:v>https://human-settlement.emergency.copernicus.eu/ghs_buS2023.php</x:v>
      </x:c>
    </x:row>
    <x:row r="754" ht="23" customHeight="1">
      <x:c r="A754" s="2" t="str">
        <x:v>QAT</x:v>
      </x:c>
      <x:c r="B754" s="2" t="str">
        <x:v>Qatar (State of)</x:v>
      </x:c>
      <x:c r="C754" s="2" t="n">
        <x:v>2020</x:v>
      </x:c>
      <x:c r="D754" s="2" t="str">
        <x:v>GHSL_SURFACE</x:v>
      </x:c>
      <x:c r="E754" s="17" t="n">
        <x:v>137316242.80000022</x:v>
      </x:c>
      <x:c r="F754" s="17" t="n">
        <x:f>IF(AND(M754,ISNUMBER(R754)),IF(D754="TEMPO_PROXY",R754,IF(AND(ISNUMBER(S754),S754&gt;0,ISNUMBER(U754)),U754*R754/S754,"n.a.")),"n.a.")</x:f>
        <x:v>237873113.42608666</x:v>
      </x:c>
      <x:c r="G754" s="17" t="n">
        <x:f>IF(AND(ISNUMBER(E754),ISNUMBER(F754)),E754-F754,"n.a.")</x:f>
        <x:v>-100556870.62608644</x:v>
      </x:c>
      <x:c r="H754" s="15" t="n">
        <x:f>IF(AND(ISNUMBER(E754),ISNUMBER(F754),F754&gt;0),(E754-F754)/F754,"n.a.")</x:f>
        <x:v>-0.4227332344448927</x:v>
      </x:c>
      <x:c r="I754" s="19" t="n">
        <x:f>IF(ISNUMBER(H754),ABS(H754),"n.a.")</x:f>
        <x:v>0.4227332344448927</x:v>
      </x:c>
      <x:c r="J754" s="2" t="str">
        <x:v>available</x:v>
      </x:c>
      <x:c r="K754" s="2" t="n">
        <x:v>1</x:v>
      </x:c>
      <x:c r="L754" s="13" t="b">
        <x:v>0</x:v>
      </x:c>
      <x:c r="M754" s="13" t="b">
        <x:v>1</x:v>
      </x:c>
      <x:c r="N754" s="2" t="str">
        <x:v>historical source estimate</x:v>
      </x:c>
      <x:c r="O754" s="2" t="str"/>
      <x:c r="P754" s="2" t="str">
        <x:v>horizontal built-up surface</x:v>
      </x:c>
      <x:c r="Q754" s="2" t="str">
        <x:v>m2</x:v>
      </x:c>
      <x:c r="R754" s="17" t="n">
        <x:v>213763441</x:v>
      </x:c>
      <x:c r="S754" s="17" t="n">
        <x:v>123398530.18</x:v>
      </x:c>
      <x:c r="T754" s="18" t="n">
        <x:v>1.1127866968893276</x:v>
      </x:c>
      <x:c r="U754" s="17" t="n">
        <x:v>137316242.80000022</x:v>
      </x:c>
      <x:c r="V754" s="2" t="str">
        <x:v>Area equivalent = model2020 * source surface / TEMPO2020 footprint</x:v>
      </x:c>
      <x:c r="W754" s="2" t="str">
        <x:v>legacy epoch_status=observed; not exact acquisition proof</x:v>
      </x:c>
      <x:c r="X754" s="2" t="str">
        <x:v>https://human-settlement.emergency.copernicus.eu/ghs_buS2023.php</x:v>
      </x:c>
    </x:row>
    <x:row r="755" ht="23" customHeight="1">
      <x:c r="A755" s="2" t="str">
        <x:v>ROU</x:v>
      </x:c>
      <x:c r="B755" s="2" t="str">
        <x:v>Romania</x:v>
      </x:c>
      <x:c r="C755" s="2" t="n">
        <x:v>2020</x:v>
      </x:c>
      <x:c r="D755" s="2" t="str">
        <x:v>GHSL_SURFACE</x:v>
      </x:c>
      <x:c r="E755" s="17" t="n">
        <x:v>1451492077.9900024</x:v>
      </x:c>
      <x:c r="F755" s="17" t="n">
        <x:f>IF(AND(M755,ISNUMBER(R755)),IF(D755="TEMPO_PROXY",R755,IF(AND(ISNUMBER(S755),S755&gt;0,ISNUMBER(U755)),U755*R755/S755,"n.a.")),"n.a.")</x:f>
        <x:v>2283253218.000004</x:v>
      </x:c>
      <x:c r="G755" s="17" t="n">
        <x:f>IF(AND(ISNUMBER(E755),ISNUMBER(F755)),E755-F755,"n.a.")</x:f>
        <x:v>-831761140.0100014</x:v>
      </x:c>
      <x:c r="H755" s="15" t="n">
        <x:f>IF(AND(ISNUMBER(E755),ISNUMBER(F755),F755&gt;0),(E755-F755)/F755,"n.a.")</x:f>
        <x:v>-0.3642877335955648</x:v>
      </x:c>
      <x:c r="I755" s="19" t="n">
        <x:f>IF(ISNUMBER(H755),ABS(H755),"n.a.")</x:f>
        <x:v>0.3642877335955648</x:v>
      </x:c>
      <x:c r="J755" s="2" t="str">
        <x:v>available</x:v>
      </x:c>
      <x:c r="K755" s="2" t="n">
        <x:v>1</x:v>
      </x:c>
      <x:c r="L755" s="13" t="b">
        <x:v>0</x:v>
      </x:c>
      <x:c r="M755" s="13" t="b">
        <x:v>1</x:v>
      </x:c>
      <x:c r="N755" s="2" t="str">
        <x:v>historical source estimate</x:v>
      </x:c>
      <x:c r="O755" s="2" t="str"/>
      <x:c r="P755" s="2" t="str">
        <x:v>horizontal built-up surface</x:v>
      </x:c>
      <x:c r="Q755" s="2" t="str">
        <x:v>m2</x:v>
      </x:c>
      <x:c r="R755" s="17" t="n">
        <x:v>2283253218</x:v>
      </x:c>
      <x:c r="S755" s="17" t="n">
        <x:v>1451492077.99</x:v>
      </x:c>
      <x:c r="T755" s="18" t="n">
        <x:v>1.0000000000000016</x:v>
      </x:c>
      <x:c r="U755" s="17" t="n">
        <x:v>1451492077.9900024</x:v>
      </x:c>
      <x:c r="V755" s="2" t="str">
        <x:v>Area equivalent = model2020 * source surface / TEMPO2020 footprint</x:v>
      </x:c>
      <x:c r="W755" s="2" t="str">
        <x:v>legacy epoch_status=observed; not exact acquisition proof</x:v>
      </x:c>
      <x:c r="X755" s="2" t="str">
        <x:v>https://human-settlement.emergency.copernicus.eu/ghs_buS2023.php</x:v>
      </x:c>
    </x:row>
    <x:row r="756" ht="23" customHeight="1">
      <x:c r="A756" s="2" t="str">
        <x:v>RUS</x:v>
      </x:c>
      <x:c r="B756" s="2" t="str">
        <x:v>Russian Federation</x:v>
      </x:c>
      <x:c r="C756" s="2" t="n">
        <x:v>2020</x:v>
      </x:c>
      <x:c r="D756" s="2" t="str">
        <x:v>GHSL_SURFACE</x:v>
      </x:c>
      <x:c r="E756" s="17" t="n">
        <x:v>7767687345.91001</x:v>
      </x:c>
      <x:c r="F756" s="17" t="n">
        <x:f>IF(AND(M756,ISNUMBER(R756)),IF(D756="TEMPO_PROXY",R756,IF(AND(ISNUMBER(S756),S756&gt;0,ISNUMBER(U756)),U756*R756/S756,"n.a.")),"n.a.")</x:f>
        <x:v>12616176498.54473</x:v>
      </x:c>
      <x:c r="G756" s="17" t="n">
        <x:f>IF(AND(ISNUMBER(E756),ISNUMBER(F756)),E756-F756,"n.a.")</x:f>
        <x:v>-4848489152.634719</x:v>
      </x:c>
      <x:c r="H756" s="15" t="n">
        <x:f>IF(AND(ISNUMBER(E756),ISNUMBER(F756),F756&gt;0),(E756-F756)/F756,"n.a.")</x:f>
        <x:v>-0.38430733377850174</x:v>
      </x:c>
      <x:c r="I756" s="19" t="n">
        <x:f>IF(ISNUMBER(H756),ABS(H756),"n.a.")</x:f>
        <x:v>0.38430733377850174</x:v>
      </x:c>
      <x:c r="J756" s="2" t="str">
        <x:v>available</x:v>
      </x:c>
      <x:c r="K756" s="2" t="n">
        <x:v>1</x:v>
      </x:c>
      <x:c r="L756" s="13" t="b">
        <x:v>0</x:v>
      </x:c>
      <x:c r="M756" s="13" t="b">
        <x:v>1</x:v>
      </x:c>
      <x:c r="N756" s="2" t="str">
        <x:v>historical source estimate</x:v>
      </x:c>
      <x:c r="O756" s="2" t="str"/>
      <x:c r="P756" s="2" t="str">
        <x:v>horizontal built-up surface</x:v>
      </x:c>
      <x:c r="Q756" s="2" t="str">
        <x:v>m2</x:v>
      </x:c>
      <x:c r="R756" s="17" t="n">
        <x:v>12575889656</x:v>
      </x:c>
      <x:c r="S756" s="17" t="n">
        <x:v>7742883032.41</x:v>
      </x:c>
      <x:c r="T756" s="18" t="n">
        <x:v>1.0032034984121787</x:v>
      </x:c>
      <x:c r="U756" s="17" t="n">
        <x:v>7767687345.91001</x:v>
      </x:c>
      <x:c r="V756" s="2" t="str">
        <x:v>Area equivalent = model2020 * source surface / TEMPO2020 footprint</x:v>
      </x:c>
      <x:c r="W756" s="2" t="str">
        <x:v>legacy epoch_status=observed; not exact acquisition proof</x:v>
      </x:c>
      <x:c r="X756" s="2" t="str">
        <x:v>https://human-settlement.emergency.copernicus.eu/ghs_buS2023.php</x:v>
      </x:c>
    </x:row>
    <x:row r="757" ht="23" customHeight="1">
      <x:c r="A757" s="2" t="str">
        <x:v>RWA</x:v>
      </x:c>
      <x:c r="B757" s="2" t="str">
        <x:v>Rwanda (Republic of)</x:v>
      </x:c>
      <x:c r="C757" s="2" t="n">
        <x:v>2020</x:v>
      </x:c>
      <x:c r="D757" s="2" t="str">
        <x:v>GHSL_SURFACE</x:v>
      </x:c>
      <x:c r="E757" s="17" t="n">
        <x:v>244877324.63000005</x:v>
      </x:c>
      <x:c r="F757" s="17" t="n">
        <x:f>IF(AND(M757,ISNUMBER(R757)),IF(D757="TEMPO_PROXY",R757,IF(AND(ISNUMBER(S757),S757&gt;0,ISNUMBER(U757)),U757*R757/S757,"n.a.")),"n.a.")</x:f>
        <x:v>676279394.0000001</x:v>
      </x:c>
      <x:c r="G757" s="17" t="n">
        <x:f>IF(AND(ISNUMBER(E757),ISNUMBER(F757)),E757-F757,"n.a.")</x:f>
        <x:v>-431402069.37000006</x:v>
      </x:c>
      <x:c r="H757" s="15" t="n">
        <x:f>IF(AND(ISNUMBER(E757),ISNUMBER(F757),F757&gt;0),(E757-F757)/F757,"n.a.")</x:f>
        <x:v>-0.6379050924772077</x:v>
      </x:c>
      <x:c r="I757" s="19" t="n">
        <x:f>IF(ISNUMBER(H757),ABS(H757),"n.a.")</x:f>
        <x:v>0.6379050924772077</x:v>
      </x:c>
      <x:c r="J757" s="2" t="str">
        <x:v>available</x:v>
      </x:c>
      <x:c r="K757" s="2" t="n">
        <x:v>1</x:v>
      </x:c>
      <x:c r="L757" s="13" t="b">
        <x:v>0</x:v>
      </x:c>
      <x:c r="M757" s="13" t="b">
        <x:v>1</x:v>
      </x:c>
      <x:c r="N757" s="2" t="str">
        <x:v>historical source estimate</x:v>
      </x:c>
      <x:c r="O757" s="2" t="str"/>
      <x:c r="P757" s="2" t="str">
        <x:v>horizontal built-up surface</x:v>
      </x:c>
      <x:c r="Q757" s="2" t="str">
        <x:v>m2</x:v>
      </x:c>
      <x:c r="R757" s="17" t="n">
        <x:v>676279394</x:v>
      </x:c>
      <x:c r="S757" s="17" t="n">
        <x:v>244877324.63</x:v>
      </x:c>
      <x:c r="T757" s="18" t="n">
        <x:v>1.0000000000000002</x:v>
      </x:c>
      <x:c r="U757" s="17" t="n">
        <x:v>244877324.63000005</x:v>
      </x:c>
      <x:c r="V757" s="2" t="str">
        <x:v>Area equivalent = model2020 * source surface / TEMPO2020 footprint</x:v>
      </x:c>
      <x:c r="W757" s="2" t="str">
        <x:v>legacy epoch_status=observed; not exact acquisition proof</x:v>
      </x:c>
      <x:c r="X757" s="2" t="str">
        <x:v>https://human-settlement.emergency.copernicus.eu/ghs_buS2023.php</x:v>
      </x:c>
    </x:row>
    <x:row r="758" ht="23" customHeight="1">
      <x:c r="A758" s="2" t="str">
        <x:v>SAU</x:v>
      </x:c>
      <x:c r="B758" s="2" t="str">
        <x:v>Saudi Arabia (Kingdom of)</x:v>
      </x:c>
      <x:c r="C758" s="2" t="n">
        <x:v>2020</x:v>
      </x:c>
      <x:c r="D758" s="2" t="str">
        <x:v>GHSL_SURFACE</x:v>
      </x:c>
      <x:c r="E758" s="17" t="n">
        <x:v>1911722272.930002</x:v>
      </x:c>
      <x:c r="F758" s="17" t="n">
        <x:f>IF(AND(M758,ISNUMBER(R758)),IF(D758="TEMPO_PROXY",R758,IF(AND(ISNUMBER(S758),S758&gt;0,ISNUMBER(U758)),U758*R758/S758,"n.a.")),"n.a.")</x:f>
        <x:v>2865034302.293984</x:v>
      </x:c>
      <x:c r="G758" s="17" t="n">
        <x:f>IF(AND(ISNUMBER(E758),ISNUMBER(F758)),E758-F758,"n.a.")</x:f>
        <x:v>-953312029.363982</x:v>
      </x:c>
      <x:c r="H758" s="15" t="n">
        <x:f>IF(AND(ISNUMBER(E758),ISNUMBER(F758),F758&gt;0),(E758-F758)/F758,"n.a.")</x:f>
        <x:v>-0.3327401799694619</x:v>
      </x:c>
      <x:c r="I758" s="19" t="n">
        <x:f>IF(ISNUMBER(H758),ABS(H758),"n.a.")</x:f>
        <x:v>0.3327401799694619</x:v>
      </x:c>
      <x:c r="J758" s="2" t="str">
        <x:v>available</x:v>
      </x:c>
      <x:c r="K758" s="2" t="n">
        <x:v>1</x:v>
      </x:c>
      <x:c r="L758" s="13" t="b">
        <x:v>0</x:v>
      </x:c>
      <x:c r="M758" s="13" t="b">
        <x:v>1</x:v>
      </x:c>
      <x:c r="N758" s="2" t="str">
        <x:v>historical source estimate</x:v>
      </x:c>
      <x:c r="O758" s="2" t="str"/>
      <x:c r="P758" s="2" t="str">
        <x:v>horizontal built-up surface</x:v>
      </x:c>
      <x:c r="Q758" s="2" t="str">
        <x:v>m2</x:v>
      </x:c>
      <x:c r="R758" s="17" t="n">
        <x:v>2788803471</x:v>
      </x:c>
      <x:c r="S758" s="17" t="n">
        <x:v>1860856502.16</x:v>
      </x:c>
      <x:c r="T758" s="18" t="n">
        <x:v>1.02733460141121</x:v>
      </x:c>
      <x:c r="U758" s="17" t="n">
        <x:v>1911722272.930002</x:v>
      </x:c>
      <x:c r="V758" s="2" t="str">
        <x:v>Area equivalent = model2020 * source surface / TEMPO2020 footprint</x:v>
      </x:c>
      <x:c r="W758" s="2" t="str">
        <x:v>legacy epoch_status=observed; not exact acquisition proof</x:v>
      </x:c>
      <x:c r="X758" s="2" t="str">
        <x:v>https://human-settlement.emergency.copernicus.eu/ghs_buS2023.php</x:v>
      </x:c>
    </x:row>
    <x:row r="759" ht="23" customHeight="1">
      <x:c r="A759" s="2" t="str">
        <x:v>SDN</x:v>
      </x:c>
      <x:c r="B759" s="2" t="str">
        <x:v>Sudan (Republic of the)</x:v>
      </x:c>
      <x:c r="C759" s="2" t="n">
        <x:v>2020</x:v>
      </x:c>
      <x:c r="D759" s="2" t="str">
        <x:v>GHSL_SURFACE</x:v>
      </x:c>
      <x:c r="E759" s="17" t="n">
        <x:v>751311239.6000005</x:v>
      </x:c>
      <x:c r="F759" s="17" t="n">
        <x:f>IF(AND(M759,ISNUMBER(R759)),IF(D759="TEMPO_PROXY",R759,IF(AND(ISNUMBER(S759),S759&gt;0,ISNUMBER(U759)),U759*R759/S759,"n.a.")),"n.a.")</x:f>
        <x:v>1633884999.0000012</x:v>
      </x:c>
      <x:c r="G759" s="17" t="n">
        <x:f>IF(AND(ISNUMBER(E759),ISNUMBER(F759)),E759-F759,"n.a.")</x:f>
        <x:v>-882573759.4000007</x:v>
      </x:c>
      <x:c r="H759" s="15" t="n">
        <x:f>IF(AND(ISNUMBER(E759),ISNUMBER(F759),F759&gt;0),(E759-F759)/F759,"n.a.")</x:f>
        <x:v>-0.5401688368154239</x:v>
      </x:c>
      <x:c r="I759" s="19" t="n">
        <x:f>IF(ISNUMBER(H759),ABS(H759),"n.a.")</x:f>
        <x:v>0.5401688368154239</x:v>
      </x:c>
      <x:c r="J759" s="2" t="str">
        <x:v>available</x:v>
      </x:c>
      <x:c r="K759" s="2" t="n">
        <x:v>1</x:v>
      </x:c>
      <x:c r="L759" s="13" t="b">
        <x:v>0</x:v>
      </x:c>
      <x:c r="M759" s="13" t="b">
        <x:v>1</x:v>
      </x:c>
      <x:c r="N759" s="2" t="str">
        <x:v>historical source estimate</x:v>
      </x:c>
      <x:c r="O759" s="2" t="str"/>
      <x:c r="P759" s="2" t="str">
        <x:v>horizontal built-up surface</x:v>
      </x:c>
      <x:c r="Q759" s="2" t="str">
        <x:v>m2</x:v>
      </x:c>
      <x:c r="R759" s="17" t="n">
        <x:v>1633884999</x:v>
      </x:c>
      <x:c r="S759" s="17" t="n">
        <x:v>751311239.6</x:v>
      </x:c>
      <x:c r="T759" s="18" t="n">
        <x:v>1.0000000000000007</x:v>
      </x:c>
      <x:c r="U759" s="17" t="n">
        <x:v>751311239.6000005</x:v>
      </x:c>
      <x:c r="V759" s="2" t="str">
        <x:v>Area equivalent = model2020 * source surface / TEMPO2020 footprint</x:v>
      </x:c>
      <x:c r="W759" s="2" t="str">
        <x:v>legacy epoch_status=observed; not exact acquisition proof</x:v>
      </x:c>
      <x:c r="X759" s="2" t="str">
        <x:v>https://human-settlement.emergency.copernicus.eu/ghs_buS2023.php</x:v>
      </x:c>
    </x:row>
    <x:row r="760" ht="23" customHeight="1">
      <x:c r="A760" s="2" t="str">
        <x:v>SEN</x:v>
      </x:c>
      <x:c r="B760" s="2" t="str">
        <x:v>Senegal (Republic of)</x:v>
      </x:c>
      <x:c r="C760" s="2" t="n">
        <x:v>2020</x:v>
      </x:c>
      <x:c r="D760" s="2" t="str">
        <x:v>GHSL_SURFACE</x:v>
      </x:c>
      <x:c r="E760" s="17" t="n">
        <x:v>305052833.6899998</x:v>
      </x:c>
      <x:c r="F760" s="17" t="n">
        <x:f>IF(AND(M760,ISNUMBER(R760)),IF(D760="TEMPO_PROXY",R760,IF(AND(ISNUMBER(S760),S760&gt;0,ISNUMBER(U760)),U760*R760/S760,"n.a.")),"n.a.")</x:f>
        <x:v>698769295.9999995</x:v>
      </x:c>
      <x:c r="G760" s="17" t="n">
        <x:f>IF(AND(ISNUMBER(E760),ISNUMBER(F760)),E760-F760,"n.a.")</x:f>
        <x:v>-393716462.3099997</x:v>
      </x:c>
      <x:c r="H760" s="15" t="n">
        <x:f>IF(AND(ISNUMBER(E760),ISNUMBER(F760),F760&gt;0),(E760-F760)/F760,"n.a.")</x:f>
        <x:v>-0.5634427050011653</x:v>
      </x:c>
      <x:c r="I760" s="19" t="n">
        <x:f>IF(ISNUMBER(H760),ABS(H760),"n.a.")</x:f>
        <x:v>0.5634427050011653</x:v>
      </x:c>
      <x:c r="J760" s="2" t="str">
        <x:v>available</x:v>
      </x:c>
      <x:c r="K760" s="2" t="n">
        <x:v>1</x:v>
      </x:c>
      <x:c r="L760" s="13" t="b">
        <x:v>0</x:v>
      </x:c>
      <x:c r="M760" s="13" t="b">
        <x:v>1</x:v>
      </x:c>
      <x:c r="N760" s="2" t="str">
        <x:v>historical source estimate</x:v>
      </x:c>
      <x:c r="O760" s="2" t="str"/>
      <x:c r="P760" s="2" t="str">
        <x:v>horizontal built-up surface</x:v>
      </x:c>
      <x:c r="Q760" s="2" t="str">
        <x:v>m2</x:v>
      </x:c>
      <x:c r="R760" s="17" t="n">
        <x:v>698769296</x:v>
      </x:c>
      <x:c r="S760" s="17" t="n">
        <x:v>305052833.69</x:v>
      </x:c>
      <x:c r="T760" s="18" t="n">
        <x:v>0.9999999999999994</x:v>
      </x:c>
      <x:c r="U760" s="17" t="n">
        <x:v>305052833.6899998</x:v>
      </x:c>
      <x:c r="V760" s="2" t="str">
        <x:v>Area equivalent = model2020 * source surface / TEMPO2020 footprint</x:v>
      </x:c>
      <x:c r="W760" s="2" t="str">
        <x:v>legacy epoch_status=observed; not exact acquisition proof</x:v>
      </x:c>
      <x:c r="X760" s="2" t="str">
        <x:v>https://human-settlement.emergency.copernicus.eu/ghs_buS2023.php</x:v>
      </x:c>
    </x:row>
    <x:row r="761" ht="23" customHeight="1">
      <x:c r="A761" s="2" t="str">
        <x:v>SGP</x:v>
      </x:c>
      <x:c r="B761" s="2" t="str">
        <x:v>Singapore (Republic of)</x:v>
      </x:c>
      <x:c r="C761" s="2" t="n">
        <x:v>2020</x:v>
      </x:c>
      <x:c r="D761" s="2" t="str">
        <x:v>GHSL_SURFACE</x:v>
      </x:c>
      <x:c r="E761" s="17" t="n">
        <x:v>194662203.04</x:v>
      </x:c>
      <x:c r="F761" s="17" t="n">
        <x:f>IF(AND(M761,ISNUMBER(R761)),IF(D761="TEMPO_PROXY",R761,IF(AND(ISNUMBER(S761),S761&gt;0,ISNUMBER(U761)),U761*R761/S761,"n.a.")),"n.a.")</x:f>
        <x:v>243427615.7769197</x:v>
      </x:c>
      <x:c r="G761" s="17" t="n">
        <x:f>IF(AND(ISNUMBER(E761),ISNUMBER(F761)),E761-F761,"n.a.")</x:f>
        <x:v>-48765412.7369197</x:v>
      </x:c>
      <x:c r="H761" s="15" t="n">
        <x:f>IF(AND(ISNUMBER(E761),ISNUMBER(F761),F761&gt;0),(E761-F761)/F761,"n.a.")</x:f>
        <x:v>-0.2003281861890681</x:v>
      </x:c>
      <x:c r="I761" s="19" t="n">
        <x:f>IF(ISNUMBER(H761),ABS(H761),"n.a.")</x:f>
        <x:v>0.2003281861890681</x:v>
      </x:c>
      <x:c r="J761" s="2" t="str">
        <x:v>available</x:v>
      </x:c>
      <x:c r="K761" s="2" t="n">
        <x:v>1</x:v>
      </x:c>
      <x:c r="L761" s="13" t="b">
        <x:v>0</x:v>
      </x:c>
      <x:c r="M761" s="13" t="b">
        <x:v>1</x:v>
      </x:c>
      <x:c r="N761" s="2" t="str">
        <x:v>historical source estimate</x:v>
      </x:c>
      <x:c r="O761" s="2" t="str"/>
      <x:c r="P761" s="2" t="str">
        <x:v>horizontal built-up surface</x:v>
      </x:c>
      <x:c r="Q761" s="2" t="str">
        <x:v>m2</x:v>
      </x:c>
      <x:c r="R761" s="17" t="n">
        <x:v>107391783</x:v>
      </x:c>
      <x:c r="S761" s="17" t="n">
        <x:v>85878181.9</x:v>
      </x:c>
      <x:c r="T761" s="18" t="n">
        <x:v>2.266724780767628</x:v>
      </x:c>
      <x:c r="U761" s="17" t="n">
        <x:v>194662203.04</x:v>
      </x:c>
      <x:c r="V761" s="2" t="str">
        <x:v>Area equivalent = model2020 * source surface / TEMPO2020 footprint</x:v>
      </x:c>
      <x:c r="W761" s="2" t="str">
        <x:v>legacy epoch_status=observed; not exact acquisition proof</x:v>
      </x:c>
      <x:c r="X761" s="2" t="str">
        <x:v>https://human-settlement.emergency.copernicus.eu/ghs_buS2023.php</x:v>
      </x:c>
    </x:row>
    <x:row r="762" ht="23" customHeight="1">
      <x:c r="A762" s="2" t="str">
        <x:v>SLB</x:v>
      </x:c>
      <x:c r="B762" s="2" t="str">
        <x:v>Solomon Islands</x:v>
      </x:c>
      <x:c r="C762" s="2" t="n">
        <x:v>2020</x:v>
      </x:c>
      <x:c r="D762" s="2" t="str">
        <x:v>GHSL_SURFACE</x:v>
      </x:c>
      <x:c r="E762" s="17" t="n">
        <x:v>14438629.189999975</x:v>
      </x:c>
      <x:c r="F762" s="17" t="n">
        <x:f>IF(AND(M762,ISNUMBER(R762)),IF(D762="TEMPO_PROXY",R762,IF(AND(ISNUMBER(S762),S762&gt;0,ISNUMBER(U762)),U762*R762/S762,"n.a.")),"n.a.")</x:f>
        <x:v>22068395.999999963</x:v>
      </x:c>
      <x:c r="G762" s="17" t="n">
        <x:f>IF(AND(ISNUMBER(E762),ISNUMBER(F762)),E762-F762,"n.a.")</x:f>
        <x:v>-7629766.8099999875</x:v>
      </x:c>
      <x:c r="H762" s="15" t="n">
        <x:f>IF(AND(ISNUMBER(E762),ISNUMBER(F762),F762&gt;0),(E762-F762)/F762,"n.a.")</x:f>
        <x:v>-0.3457327306434052</x:v>
      </x:c>
      <x:c r="I762" s="19" t="n">
        <x:f>IF(ISNUMBER(H762),ABS(H762),"n.a.")</x:f>
        <x:v>0.3457327306434052</x:v>
      </x:c>
      <x:c r="J762" s="2" t="str">
        <x:v>available</x:v>
      </x:c>
      <x:c r="K762" s="2" t="n">
        <x:v>1</x:v>
      </x:c>
      <x:c r="L762" s="13" t="b">
        <x:v>0</x:v>
      </x:c>
      <x:c r="M762" s="13" t="b">
        <x:v>1</x:v>
      </x:c>
      <x:c r="N762" s="2" t="str">
        <x:v>historical source estimate</x:v>
      </x:c>
      <x:c r="O762" s="2" t="str"/>
      <x:c r="P762" s="2" t="str">
        <x:v>horizontal built-up surface</x:v>
      </x:c>
      <x:c r="Q762" s="2" t="str">
        <x:v>m2</x:v>
      </x:c>
      <x:c r="R762" s="17" t="n">
        <x:v>22068396</x:v>
      </x:c>
      <x:c r="S762" s="17" t="n">
        <x:v>14438629.19</x:v>
      </x:c>
      <x:c r="T762" s="18" t="n">
        <x:v>0.9999999999999983</x:v>
      </x:c>
      <x:c r="U762" s="17" t="n">
        <x:v>14438629.189999975</x:v>
      </x:c>
      <x:c r="V762" s="2" t="str">
        <x:v>Area equivalent = model2020 * source surface / TEMPO2020 footprint</x:v>
      </x:c>
      <x:c r="W762" s="2" t="str">
        <x:v>legacy epoch_status=observed; not exact acquisition proof</x:v>
      </x:c>
      <x:c r="X762" s="2" t="str">
        <x:v>https://human-settlement.emergency.copernicus.eu/ghs_buS2023.php</x:v>
      </x:c>
    </x:row>
    <x:row r="763" ht="23" customHeight="1">
      <x:c r="A763" s="2" t="str">
        <x:v>SLE</x:v>
      </x:c>
      <x:c r="B763" s="2" t="str">
        <x:v>Sierra Leone (Republic of)</x:v>
      </x:c>
      <x:c r="C763" s="2" t="n">
        <x:v>2020</x:v>
      </x:c>
      <x:c r="D763" s="2" t="str">
        <x:v>GHSL_SURFACE</x:v>
      </x:c>
      <x:c r="E763" s="17" t="n">
        <x:v>115259924.94999996</x:v>
      </x:c>
      <x:c r="F763" s="17" t="n">
        <x:f>IF(AND(M763,ISNUMBER(R763)),IF(D763="TEMPO_PROXY",R763,IF(AND(ISNUMBER(S763),S763&gt;0,ISNUMBER(U763)),U763*R763/S763,"n.a.")),"n.a.")</x:f>
        <x:v>221509990.99999994</x:v>
      </x:c>
      <x:c r="G763" s="17" t="n">
        <x:f>IF(AND(ISNUMBER(E763),ISNUMBER(F763)),E763-F763,"n.a.")</x:f>
        <x:v>-106250066.04999998</x:v>
      </x:c>
      <x:c r="H763" s="15" t="n">
        <x:f>IF(AND(ISNUMBER(E763),ISNUMBER(F763),F763&gt;0),(E763-F763)/F763,"n.a.")</x:f>
        <x:v>-0.4796626353977867</x:v>
      </x:c>
      <x:c r="I763" s="19" t="n">
        <x:f>IF(ISNUMBER(H763),ABS(H763),"n.a.")</x:f>
        <x:v>0.4796626353977867</x:v>
      </x:c>
      <x:c r="J763" s="2" t="str">
        <x:v>available</x:v>
      </x:c>
      <x:c r="K763" s="2" t="n">
        <x:v>1</x:v>
      </x:c>
      <x:c r="L763" s="13" t="b">
        <x:v>0</x:v>
      </x:c>
      <x:c r="M763" s="13" t="b">
        <x:v>1</x:v>
      </x:c>
      <x:c r="N763" s="2" t="str">
        <x:v>historical source estimate</x:v>
      </x:c>
      <x:c r="O763" s="2" t="str"/>
      <x:c r="P763" s="2" t="str">
        <x:v>horizontal built-up surface</x:v>
      </x:c>
      <x:c r="Q763" s="2" t="str">
        <x:v>m2</x:v>
      </x:c>
      <x:c r="R763" s="17" t="n">
        <x:v>221509991</x:v>
      </x:c>
      <x:c r="S763" s="17" t="n">
        <x:v>115259924.95</x:v>
      </x:c>
      <x:c r="T763" s="18" t="n">
        <x:v>0.9999999999999997</x:v>
      </x:c>
      <x:c r="U763" s="17" t="n">
        <x:v>115259924.94999996</x:v>
      </x:c>
      <x:c r="V763" s="2" t="str">
        <x:v>Area equivalent = model2020 * source surface / TEMPO2020 footprint</x:v>
      </x:c>
      <x:c r="W763" s="2" t="str">
        <x:v>legacy epoch_status=observed; not exact acquisition proof</x:v>
      </x:c>
      <x:c r="X763" s="2" t="str">
        <x:v>https://human-settlement.emergency.copernicus.eu/ghs_buS2023.php</x:v>
      </x:c>
    </x:row>
    <x:row r="764" ht="23" customHeight="1">
      <x:c r="A764" s="2" t="str">
        <x:v>SLV</x:v>
      </x:c>
      <x:c r="B764" s="2" t="str">
        <x:v>El Salvador (Republic of)</x:v>
      </x:c>
      <x:c r="C764" s="2" t="n">
        <x:v>2020</x:v>
      </x:c>
      <x:c r="D764" s="2" t="str">
        <x:v>GHSL_SURFACE</x:v>
      </x:c>
      <x:c r="E764" s="17" t="n">
        <x:v>245414047.01000017</x:v>
      </x:c>
      <x:c r="F764" s="17" t="n">
        <x:f>IF(AND(M764,ISNUMBER(R764)),IF(D764="TEMPO_PROXY",R764,IF(AND(ISNUMBER(S764),S764&gt;0,ISNUMBER(U764)),U764*R764/S764,"n.a.")),"n.a.")</x:f>
        <x:v>339386096.00000024</x:v>
      </x:c>
      <x:c r="G764" s="17" t="n">
        <x:f>IF(AND(ISNUMBER(E764),ISNUMBER(F764)),E764-F764,"n.a.")</x:f>
        <x:v>-93972048.99000007</x:v>
      </x:c>
      <x:c r="H764" s="15" t="n">
        <x:f>IF(AND(ISNUMBER(E764),ISNUMBER(F764),F764&gt;0),(E764-F764)/F764,"n.a.")</x:f>
        <x:v>-0.2768883289491034</x:v>
      </x:c>
      <x:c r="I764" s="19" t="n">
        <x:f>IF(ISNUMBER(H764),ABS(H764),"n.a.")</x:f>
        <x:v>0.2768883289491034</x:v>
      </x:c>
      <x:c r="J764" s="2" t="str">
        <x:v>available</x:v>
      </x:c>
      <x:c r="K764" s="2" t="n">
        <x:v>1</x:v>
      </x:c>
      <x:c r="L764" s="13" t="b">
        <x:v>0</x:v>
      </x:c>
      <x:c r="M764" s="13" t="b">
        <x:v>1</x:v>
      </x:c>
      <x:c r="N764" s="2" t="str">
        <x:v>historical source estimate</x:v>
      </x:c>
      <x:c r="O764" s="2" t="str"/>
      <x:c r="P764" s="2" t="str">
        <x:v>horizontal built-up surface</x:v>
      </x:c>
      <x:c r="Q764" s="2" t="str">
        <x:v>m2</x:v>
      </x:c>
      <x:c r="R764" s="17" t="n">
        <x:v>339386096</x:v>
      </x:c>
      <x:c r="S764" s="17" t="n">
        <x:v>245414047.01</x:v>
      </x:c>
      <x:c r="T764" s="18" t="n">
        <x:v>1.0000000000000007</x:v>
      </x:c>
      <x:c r="U764" s="17" t="n">
        <x:v>245414047.01000017</x:v>
      </x:c>
      <x:c r="V764" s="2" t="str">
        <x:v>Area equivalent = model2020 * source surface / TEMPO2020 footprint</x:v>
      </x:c>
      <x:c r="W764" s="2" t="str">
        <x:v>legacy epoch_status=observed; not exact acquisition proof</x:v>
      </x:c>
      <x:c r="X764" s="2" t="str">
        <x:v>https://human-settlement.emergency.copernicus.eu/ghs_buS2023.php</x:v>
      </x:c>
    </x:row>
    <x:row r="765" ht="23" customHeight="1">
      <x:c r="A765" s="2" t="str">
        <x:v>SMR</x:v>
      </x:c>
      <x:c r="B765" s="2" t="str">
        <x:v>San Marino (Republic of)</x:v>
      </x:c>
      <x:c r="C765" s="2" t="n">
        <x:v>2020</x:v>
      </x:c>
      <x:c r="D765" s="2" t="str">
        <x:v>GHSL_SURFACE</x:v>
      </x:c>
      <x:c r="E765" s="17" t="n">
        <x:v>3030681.630000002</x:v>
      </x:c>
      <x:c r="F765" s="17" t="n">
        <x:f>IF(AND(M765,ISNUMBER(R765)),IF(D765="TEMPO_PROXY",R765,IF(AND(ISNUMBER(S765),S765&gt;0,ISNUMBER(U765)),U765*R765/S765,"n.a.")),"n.a.")</x:f>
        <x:v>4425242.922355581</x:v>
      </x:c>
      <x:c r="G765" s="17" t="n">
        <x:f>IF(AND(ISNUMBER(E765),ISNUMBER(F765)),E765-F765,"n.a.")</x:f>
        <x:v>-1394561.2923555789</x:v>
      </x:c>
      <x:c r="H765" s="15" t="n">
        <x:f>IF(AND(ISNUMBER(E765),ISNUMBER(F765),F765&gt;0),(E765-F765)/F765,"n.a.")</x:f>
        <x:v>-0.3151377939752167</x:v>
      </x:c>
      <x:c r="I765" s="19" t="n">
        <x:f>IF(ISNUMBER(H765),ABS(H765),"n.a.")</x:f>
        <x:v>0.3151377939752167</x:v>
      </x:c>
      <x:c r="J765" s="2" t="str">
        <x:v>available</x:v>
      </x:c>
      <x:c r="K765" s="2" t="n">
        <x:v>1</x:v>
      </x:c>
      <x:c r="L765" s="13" t="b">
        <x:v>0</x:v>
      </x:c>
      <x:c r="M765" s="13" t="b">
        <x:v>1</x:v>
      </x:c>
      <x:c r="N765" s="2" t="str">
        <x:v>historical source estimate</x:v>
      </x:c>
      <x:c r="O765" s="2" t="str"/>
      <x:c r="P765" s="2" t="str">
        <x:v>horizontal built-up surface</x:v>
      </x:c>
      <x:c r="Q765" s="2" t="str">
        <x:v>m2</x:v>
      </x:c>
      <x:c r="R765" s="17" t="n">
        <x:v>3935876</x:v>
      </x:c>
      <x:c r="S765" s="17" t="n">
        <x:v>2695532.72</x:v>
      </x:c>
      <x:c r="T765" s="18" t="n">
        <x:v>1.1243349440774</x:v>
      </x:c>
      <x:c r="U765" s="17" t="n">
        <x:v>3030681.630000002</x:v>
      </x:c>
      <x:c r="V765" s="2" t="str">
        <x:v>Area equivalent = model2020 * source surface / TEMPO2020 footprint</x:v>
      </x:c>
      <x:c r="W765" s="2" t="str">
        <x:v>legacy epoch_status=observed; not exact acquisition proof</x:v>
      </x:c>
      <x:c r="X765" s="2" t="str">
        <x:v>https://human-settlement.emergency.copernicus.eu/ghs_buS2023.php</x:v>
      </x:c>
    </x:row>
    <x:row r="766" ht="23" customHeight="1">
      <x:c r="A766" s="2" t="str">
        <x:v>SOM</x:v>
      </x:c>
      <x:c r="B766" s="2" t="str">
        <x:v>Somalia (Federal Republic of)</x:v>
      </x:c>
      <x:c r="C766" s="2" t="n">
        <x:v>2020</x:v>
      </x:c>
      <x:c r="D766" s="2" t="str">
        <x:v>GHSL_SURFACE</x:v>
      </x:c>
      <x:c r="E766" s="17" t="n">
        <x:v>134848326.33000013</x:v>
      </x:c>
      <x:c r="F766" s="17" t="n">
        <x:f>IF(AND(M766,ISNUMBER(R766)),IF(D766="TEMPO_PROXY",R766,IF(AND(ISNUMBER(S766),S766&gt;0,ISNUMBER(U766)),U766*R766/S766,"n.a.")),"n.a.")</x:f>
        <x:v>234315715.0000002</x:v>
      </x:c>
      <x:c r="G766" s="17" t="n">
        <x:f>IF(AND(ISNUMBER(E766),ISNUMBER(F766)),E766-F766,"n.a.")</x:f>
        <x:v>-99467388.67000008</x:v>
      </x:c>
      <x:c r="H766" s="15" t="n">
        <x:f>IF(AND(ISNUMBER(E766),ISNUMBER(F766),F766&gt;0),(E766-F766)/F766,"n.a.")</x:f>
        <x:v>-0.42450156904755615</x:v>
      </x:c>
      <x:c r="I766" s="19" t="n">
        <x:f>IF(ISNUMBER(H766),ABS(H766),"n.a.")</x:f>
        <x:v>0.42450156904755615</x:v>
      </x:c>
      <x:c r="J766" s="2" t="str">
        <x:v>available</x:v>
      </x:c>
      <x:c r="K766" s="2" t="n">
        <x:v>1</x:v>
      </x:c>
      <x:c r="L766" s="13" t="b">
        <x:v>0</x:v>
      </x:c>
      <x:c r="M766" s="13" t="b">
        <x:v>1</x:v>
      </x:c>
      <x:c r="N766" s="2" t="str">
        <x:v>historical source estimate</x:v>
      </x:c>
      <x:c r="O766" s="2" t="str"/>
      <x:c r="P766" s="2" t="str">
        <x:v>horizontal built-up surface</x:v>
      </x:c>
      <x:c r="Q766" s="2" t="str">
        <x:v>m2</x:v>
      </x:c>
      <x:c r="R766" s="17" t="n">
        <x:v>234315715</x:v>
      </x:c>
      <x:c r="S766" s="17" t="n">
        <x:v>134848326.33</x:v>
      </x:c>
      <x:c r="T766" s="18" t="n">
        <x:v>1.0000000000000009</x:v>
      </x:c>
      <x:c r="U766" s="17" t="n">
        <x:v>134848326.33000013</x:v>
      </x:c>
      <x:c r="V766" s="2" t="str">
        <x:v>Area equivalent = model2020 * source surface / TEMPO2020 footprint</x:v>
      </x:c>
      <x:c r="W766" s="2" t="str">
        <x:v>legacy epoch_status=observed; not exact acquisition proof</x:v>
      </x:c>
      <x:c r="X766" s="2" t="str">
        <x:v>https://human-settlement.emergency.copernicus.eu/ghs_buS2023.php</x:v>
      </x:c>
    </x:row>
    <x:row r="767" ht="23" customHeight="1">
      <x:c r="A767" s="2" t="str">
        <x:v>SRB</x:v>
      </x:c>
      <x:c r="B767" s="2" t="str">
        <x:v>Serbia (Republic of)</x:v>
      </x:c>
      <x:c r="C767" s="2" t="n">
        <x:v>2020</x:v>
      </x:c>
      <x:c r="D767" s="2" t="str">
        <x:v>GHSL_SURFACE</x:v>
      </x:c>
      <x:c r="E767" s="17" t="n">
        <x:v>584520286.2100008</x:v>
      </x:c>
      <x:c r="F767" s="17" t="n">
        <x:f>IF(AND(M767,ISNUMBER(R767)),IF(D767="TEMPO_PROXY",R767,IF(AND(ISNUMBER(S767),S767&gt;0,ISNUMBER(U767)),U767*R767/S767,"n.a.")),"n.a.")</x:f>
        <x:v>808806773.0000011</x:v>
      </x:c>
      <x:c r="G767" s="17" t="n">
        <x:f>IF(AND(ISNUMBER(E767),ISNUMBER(F767)),E767-F767,"n.a.")</x:f>
        <x:v>-224286486.79000032</x:v>
      </x:c>
      <x:c r="H767" s="15" t="n">
        <x:f>IF(AND(ISNUMBER(E767),ISNUMBER(F767),F767&gt;0),(E767-F767)/F767,"n.a.")</x:f>
        <x:v>-0.2773054013359505</x:v>
      </x:c>
      <x:c r="I767" s="19" t="n">
        <x:f>IF(ISNUMBER(H767),ABS(H767),"n.a.")</x:f>
        <x:v>0.2773054013359505</x:v>
      </x:c>
      <x:c r="J767" s="2" t="str">
        <x:v>available</x:v>
      </x:c>
      <x:c r="K767" s="2" t="n">
        <x:v>1</x:v>
      </x:c>
      <x:c r="L767" s="13" t="b">
        <x:v>0</x:v>
      </x:c>
      <x:c r="M767" s="13" t="b">
        <x:v>1</x:v>
      </x:c>
      <x:c r="N767" s="2" t="str">
        <x:v>historical source estimate</x:v>
      </x:c>
      <x:c r="O767" s="2" t="str"/>
      <x:c r="P767" s="2" t="str">
        <x:v>horizontal built-up surface</x:v>
      </x:c>
      <x:c r="Q767" s="2" t="str">
        <x:v>m2</x:v>
      </x:c>
      <x:c r="R767" s="17" t="n">
        <x:v>808806773</x:v>
      </x:c>
      <x:c r="S767" s="17" t="n">
        <x:v>584520286.21</x:v>
      </x:c>
      <x:c r="T767" s="18" t="n">
        <x:v>1.0000000000000013</x:v>
      </x:c>
      <x:c r="U767" s="17" t="n">
        <x:v>584520286.2100008</x:v>
      </x:c>
      <x:c r="V767" s="2" t="str">
        <x:v>Area equivalent = model2020 * source surface / TEMPO2020 footprint</x:v>
      </x:c>
      <x:c r="W767" s="2" t="str">
        <x:v>legacy epoch_status=observed; not exact acquisition proof</x:v>
      </x:c>
      <x:c r="X767" s="2" t="str">
        <x:v>https://human-settlement.emergency.copernicus.eu/ghs_buS2023.php</x:v>
      </x:c>
    </x:row>
    <x:row r="768" ht="23" customHeight="1">
      <x:c r="A768" s="2" t="str">
        <x:v>SSD</x:v>
      </x:c>
      <x:c r="B768" s="2" t="str">
        <x:v>South Sudan (Republic of)</x:v>
      </x:c>
      <x:c r="C768" s="2" t="n">
        <x:v>2020</x:v>
      </x:c>
      <x:c r="D768" s="2" t="str">
        <x:v>GHSL_SURFACE</x:v>
      </x:c>
      <x:c r="E768" s="17" t="n">
        <x:v>82483216.59000005</x:v>
      </x:c>
      <x:c r="F768" s="17" t="n">
        <x:f>IF(AND(M768,ISNUMBER(R768)),IF(D768="TEMPO_PROXY",R768,IF(AND(ISNUMBER(S768),S768&gt;0,ISNUMBER(U768)),U768*R768/S768,"n.a.")),"n.a.")</x:f>
        <x:v>193596976.00000012</x:v>
      </x:c>
      <x:c r="G768" s="17" t="n">
        <x:f>IF(AND(ISNUMBER(E768),ISNUMBER(F768)),E768-F768,"n.a.")</x:f>
        <x:v>-111113759.41000007</x:v>
      </x:c>
      <x:c r="H768" s="15" t="n">
        <x:f>IF(AND(ISNUMBER(E768),ISNUMBER(F768),F768&gt;0),(E768-F768)/F768,"n.a.")</x:f>
        <x:v>-0.5739436726015803</x:v>
      </x:c>
      <x:c r="I768" s="19" t="n">
        <x:f>IF(ISNUMBER(H768),ABS(H768),"n.a.")</x:f>
        <x:v>0.5739436726015803</x:v>
      </x:c>
      <x:c r="J768" s="2" t="str">
        <x:v>available</x:v>
      </x:c>
      <x:c r="K768" s="2" t="n">
        <x:v>1</x:v>
      </x:c>
      <x:c r="L768" s="13" t="b">
        <x:v>0</x:v>
      </x:c>
      <x:c r="M768" s="13" t="b">
        <x:v>1</x:v>
      </x:c>
      <x:c r="N768" s="2" t="str">
        <x:v>historical source estimate</x:v>
      </x:c>
      <x:c r="O768" s="2" t="str"/>
      <x:c r="P768" s="2" t="str">
        <x:v>horizontal built-up surface</x:v>
      </x:c>
      <x:c r="Q768" s="2" t="str">
        <x:v>m2</x:v>
      </x:c>
      <x:c r="R768" s="17" t="n">
        <x:v>193596976</x:v>
      </x:c>
      <x:c r="S768" s="17" t="n">
        <x:v>82483216.59</x:v>
      </x:c>
      <x:c r="T768" s="18" t="n">
        <x:v>1.0000000000000004</x:v>
      </x:c>
      <x:c r="U768" s="17" t="n">
        <x:v>82483216.59000005</x:v>
      </x:c>
      <x:c r="V768" s="2" t="str">
        <x:v>Area equivalent = model2020 * source surface / TEMPO2020 footprint</x:v>
      </x:c>
      <x:c r="W768" s="2" t="str">
        <x:v>legacy epoch_status=observed; not exact acquisition proof</x:v>
      </x:c>
      <x:c r="X768" s="2" t="str">
        <x:v>https://human-settlement.emergency.copernicus.eu/ghs_buS2023.php</x:v>
      </x:c>
    </x:row>
    <x:row r="769" ht="23" customHeight="1">
      <x:c r="A769" s="2" t="str">
        <x:v>STP</x:v>
      </x:c>
      <x:c r="B769" s="2" t="str">
        <x:v>Sao Tome and Principe (Democratic Republic of)</x:v>
      </x:c>
      <x:c r="C769" s="2" t="n">
        <x:v>2020</x:v>
      </x:c>
      <x:c r="D769" s="2" t="str">
        <x:v>GHSL_SURFACE</x:v>
      </x:c>
      <x:c r="E769" s="17" t="n">
        <x:v>6153544.550000003</x:v>
      </x:c>
      <x:c r="F769" s="17" t="n">
        <x:f>IF(AND(M769,ISNUMBER(R769)),IF(D769="TEMPO_PROXY",R769,IF(AND(ISNUMBER(S769),S769&gt;0,ISNUMBER(U769)),U769*R769/S769,"n.a.")),"n.a.")</x:f>
        <x:v>7042445.000000003</x:v>
      </x:c>
      <x:c r="G769" s="17" t="n">
        <x:f>IF(AND(ISNUMBER(E769),ISNUMBER(F769)),E769-F769,"n.a.")</x:f>
        <x:v>-888900.4500000002</x:v>
      </x:c>
      <x:c r="H769" s="15" t="n">
        <x:f>IF(AND(ISNUMBER(E769),ISNUMBER(F769),F769&gt;0),(E769-F769)/F769,"n.a.")</x:f>
        <x:v>-0.1262204319664548</x:v>
      </x:c>
      <x:c r="I769" s="19" t="n">
        <x:f>IF(ISNUMBER(H769),ABS(H769),"n.a.")</x:f>
        <x:v>0.1262204319664548</x:v>
      </x:c>
      <x:c r="J769" s="2" t="str">
        <x:v>available</x:v>
      </x:c>
      <x:c r="K769" s="2" t="n">
        <x:v>1</x:v>
      </x:c>
      <x:c r="L769" s="13" t="b">
        <x:v>0</x:v>
      </x:c>
      <x:c r="M769" s="13" t="b">
        <x:v>1</x:v>
      </x:c>
      <x:c r="N769" s="2" t="str">
        <x:v>historical source estimate</x:v>
      </x:c>
      <x:c r="O769" s="2" t="str"/>
      <x:c r="P769" s="2" t="str">
        <x:v>horizontal built-up surface</x:v>
      </x:c>
      <x:c r="Q769" s="2" t="str">
        <x:v>m2</x:v>
      </x:c>
      <x:c r="R769" s="17" t="n">
        <x:v>7042445</x:v>
      </x:c>
      <x:c r="S769" s="17" t="n">
        <x:v>6153544.55</x:v>
      </x:c>
      <x:c r="T769" s="18" t="n">
        <x:v>1.0000000000000004</x:v>
      </x:c>
      <x:c r="U769" s="17" t="n">
        <x:v>6153544.550000003</x:v>
      </x:c>
      <x:c r="V769" s="2" t="str">
        <x:v>Area equivalent = model2020 * source surface / TEMPO2020 footprint</x:v>
      </x:c>
      <x:c r="W769" s="2" t="str">
        <x:v>legacy epoch_status=observed; not exact acquisition proof</x:v>
      </x:c>
      <x:c r="X769" s="2" t="str">
        <x:v>https://human-settlement.emergency.copernicus.eu/ghs_buS2023.php</x:v>
      </x:c>
    </x:row>
    <x:row r="770" ht="23" customHeight="1">
      <x:c r="A770" s="2" t="str">
        <x:v>SUR</x:v>
      </x:c>
      <x:c r="B770" s="2" t="str">
        <x:v>Suriname (Republic of)</x:v>
      </x:c>
      <x:c r="C770" s="2" t="n">
        <x:v>2020</x:v>
      </x:c>
      <x:c r="D770" s="2" t="str">
        <x:v>GHSL_SURFACE</x:v>
      </x:c>
      <x:c r="E770" s="17" t="n">
        <x:v>50598825.22000002</x:v>
      </x:c>
      <x:c r="F770" s="17" t="n">
        <x:f>IF(AND(M770,ISNUMBER(R770)),IF(D770="TEMPO_PROXY",R770,IF(AND(ISNUMBER(S770),S770&gt;0,ISNUMBER(U770)),U770*R770/S770,"n.a.")),"n.a.")</x:f>
        <x:v>67839211.00000003</x:v>
      </x:c>
      <x:c r="G770" s="17" t="n">
        <x:f>IF(AND(ISNUMBER(E770),ISNUMBER(F770)),E770-F770,"n.a.")</x:f>
        <x:v>-17240385.78000001</x:v>
      </x:c>
      <x:c r="H770" s="15" t="n">
        <x:f>IF(AND(ISNUMBER(E770),ISNUMBER(F770),F770&gt;0),(E770-F770)/F770,"n.a.")</x:f>
        <x:v>-0.2541360007857403</x:v>
      </x:c>
      <x:c r="I770" s="19" t="n">
        <x:f>IF(ISNUMBER(H770),ABS(H770),"n.a.")</x:f>
        <x:v>0.2541360007857403</x:v>
      </x:c>
      <x:c r="J770" s="2" t="str">
        <x:v>available</x:v>
      </x:c>
      <x:c r="K770" s="2" t="n">
        <x:v>1</x:v>
      </x:c>
      <x:c r="L770" s="13" t="b">
        <x:v>0</x:v>
      </x:c>
      <x:c r="M770" s="13" t="b">
        <x:v>1</x:v>
      </x:c>
      <x:c r="N770" s="2" t="str">
        <x:v>historical source estimate</x:v>
      </x:c>
      <x:c r="O770" s="2" t="str"/>
      <x:c r="P770" s="2" t="str">
        <x:v>horizontal built-up surface</x:v>
      </x:c>
      <x:c r="Q770" s="2" t="str">
        <x:v>m2</x:v>
      </x:c>
      <x:c r="R770" s="17" t="n">
        <x:v>67839211</x:v>
      </x:c>
      <x:c r="S770" s="17" t="n">
        <x:v>50598825.22</x:v>
      </x:c>
      <x:c r="T770" s="18" t="n">
        <x:v>1.0000000000000004</x:v>
      </x:c>
      <x:c r="U770" s="17" t="n">
        <x:v>50598825.22000002</x:v>
      </x:c>
      <x:c r="V770" s="2" t="str">
        <x:v>Area equivalent = model2020 * source surface / TEMPO2020 footprint</x:v>
      </x:c>
      <x:c r="W770" s="2" t="str">
        <x:v>legacy epoch_status=observed; not exact acquisition proof</x:v>
      </x:c>
      <x:c r="X770" s="2" t="str">
        <x:v>https://human-settlement.emergency.copernicus.eu/ghs_buS2023.php</x:v>
      </x:c>
    </x:row>
    <x:row r="771" ht="23" customHeight="1">
      <x:c r="A771" s="2" t="str">
        <x:v>SVK</x:v>
      </x:c>
      <x:c r="B771" s="2" t="str">
        <x:v>Slovakia (Slovak Republic)</x:v>
      </x:c>
      <x:c r="C771" s="2" t="n">
        <x:v>2020</x:v>
      </x:c>
      <x:c r="D771" s="2" t="str">
        <x:v>GHSL_SURFACE</x:v>
      </x:c>
      <x:c r="E771" s="17" t="n">
        <x:v>391189188.0500002</x:v>
      </x:c>
      <x:c r="F771" s="17" t="n">
        <x:f>IF(AND(M771,ISNUMBER(R771)),IF(D771="TEMPO_PROXY",R771,IF(AND(ISNUMBER(S771),S771&gt;0,ISNUMBER(U771)),U771*R771/S771,"n.a.")),"n.a.")</x:f>
        <x:v>681786467.0481439</x:v>
      </x:c>
      <x:c r="G771" s="17" t="n">
        <x:f>IF(AND(ISNUMBER(E771),ISNUMBER(F771)),E771-F771,"n.a.")</x:f>
        <x:v>-290597278.9981437</x:v>
      </x:c>
      <x:c r="H771" s="15" t="n">
        <x:f>IF(AND(ISNUMBER(E771),ISNUMBER(F771),F771&gt;0),(E771-F771)/F771,"n.a.")</x:f>
        <x:v>-0.42622916857870596</x:v>
      </x:c>
      <x:c r="I771" s="19" t="n">
        <x:f>IF(ISNUMBER(H771),ABS(H771),"n.a.")</x:f>
        <x:v>0.42622916857870596</x:v>
      </x:c>
      <x:c r="J771" s="2" t="str">
        <x:v>available</x:v>
      </x:c>
      <x:c r="K771" s="2" t="n">
        <x:v>1</x:v>
      </x:c>
      <x:c r="L771" s="13" t="b">
        <x:v>0</x:v>
      </x:c>
      <x:c r="M771" s="13" t="b">
        <x:v>1</x:v>
      </x:c>
      <x:c r="N771" s="2" t="str">
        <x:v>historical source estimate</x:v>
      </x:c>
      <x:c r="O771" s="2" t="str"/>
      <x:c r="P771" s="2" t="str">
        <x:v>horizontal built-up surface</x:v>
      </x:c>
      <x:c r="Q771" s="2" t="str">
        <x:v>m2</x:v>
      </x:c>
      <x:c r="R771" s="17" t="n">
        <x:v>675522198</x:v>
      </x:c>
      <x:c r="S771" s="17" t="n">
        <x:v>387594933.19</x:v>
      </x:c>
      <x:c r="T771" s="18" t="n">
        <x:v>1.0092732245760248</x:v>
      </x:c>
      <x:c r="U771" s="17" t="n">
        <x:v>391189188.0500002</x:v>
      </x:c>
      <x:c r="V771" s="2" t="str">
        <x:v>Area equivalent = model2020 * source surface / TEMPO2020 footprint</x:v>
      </x:c>
      <x:c r="W771" s="2" t="str">
        <x:v>legacy epoch_status=observed; not exact acquisition proof</x:v>
      </x:c>
      <x:c r="X771" s="2" t="str">
        <x:v>https://human-settlement.emergency.copernicus.eu/ghs_buS2023.php</x:v>
      </x:c>
    </x:row>
    <x:row r="772" ht="23" customHeight="1">
      <x:c r="A772" s="2" t="str">
        <x:v>SVN</x:v>
      </x:c>
      <x:c r="B772" s="2" t="str">
        <x:v>Slovenia (Republic of)</x:v>
      </x:c>
      <x:c r="C772" s="2" t="n">
        <x:v>2020</x:v>
      </x:c>
      <x:c r="D772" s="2" t="str">
        <x:v>GHSL_SURFACE</x:v>
      </x:c>
      <x:c r="E772" s="17" t="n">
        <x:v>188783306.59000015</x:v>
      </x:c>
      <x:c r="F772" s="17" t="n">
        <x:f>IF(AND(M772,ISNUMBER(R772)),IF(D772="TEMPO_PROXY",R772,IF(AND(ISNUMBER(S772),S772&gt;0,ISNUMBER(U772)),U772*R772/S772,"n.a.")),"n.a.")</x:f>
        <x:v>254790018.00000018</x:v>
      </x:c>
      <x:c r="G772" s="17" t="n">
        <x:f>IF(AND(ISNUMBER(E772),ISNUMBER(F772)),E772-F772,"n.a.")</x:f>
        <x:v>-66006711.410000026</x:v>
      </x:c>
      <x:c r="H772" s="15" t="n">
        <x:f>IF(AND(ISNUMBER(E772),ISNUMBER(F772),F772&gt;0),(E772-F772)/F772,"n.a.")</x:f>
        <x:v>-0.25906317652522787</x:v>
      </x:c>
      <x:c r="I772" s="19" t="n">
        <x:f>IF(ISNUMBER(H772),ABS(H772),"n.a.")</x:f>
        <x:v>0.25906317652522787</x:v>
      </x:c>
      <x:c r="J772" s="2" t="str">
        <x:v>available</x:v>
      </x:c>
      <x:c r="K772" s="2" t="n">
        <x:v>1</x:v>
      </x:c>
      <x:c r="L772" s="13" t="b">
        <x:v>0</x:v>
      </x:c>
      <x:c r="M772" s="13" t="b">
        <x:v>1</x:v>
      </x:c>
      <x:c r="N772" s="2" t="str">
        <x:v>historical source estimate</x:v>
      </x:c>
      <x:c r="O772" s="2" t="str"/>
      <x:c r="P772" s="2" t="str">
        <x:v>horizontal built-up surface</x:v>
      </x:c>
      <x:c r="Q772" s="2" t="str">
        <x:v>m2</x:v>
      </x:c>
      <x:c r="R772" s="17" t="n">
        <x:v>254790018</x:v>
      </x:c>
      <x:c r="S772" s="17" t="n">
        <x:v>188783306.59</x:v>
      </x:c>
      <x:c r="T772" s="18" t="n">
        <x:v>1.0000000000000009</x:v>
      </x:c>
      <x:c r="U772" s="17" t="n">
        <x:v>188783306.59000015</x:v>
      </x:c>
      <x:c r="V772" s="2" t="str">
        <x:v>Area equivalent = model2020 * source surface / TEMPO2020 footprint</x:v>
      </x:c>
      <x:c r="W772" s="2" t="str">
        <x:v>legacy epoch_status=observed; not exact acquisition proof</x:v>
      </x:c>
      <x:c r="X772" s="2" t="str">
        <x:v>https://human-settlement.emergency.copernicus.eu/ghs_buS2023.php</x:v>
      </x:c>
    </x:row>
    <x:row r="773" ht="23" customHeight="1">
      <x:c r="A773" s="2" t="str">
        <x:v>SWE</x:v>
      </x:c>
      <x:c r="B773" s="2" t="str">
        <x:v>Sweden (Kingdom of)</x:v>
      </x:c>
      <x:c r="C773" s="2" t="n">
        <x:v>2020</x:v>
      </x:c>
      <x:c r="D773" s="2" t="str">
        <x:v>GHSL_SURFACE</x:v>
      </x:c>
      <x:c r="E773" s="17" t="n">
        <x:v>860750073.0500002</x:v>
      </x:c>
      <x:c r="F773" s="17" t="n">
        <x:f>IF(AND(M773,ISNUMBER(R773)),IF(D773="TEMPO_PROXY",R773,IF(AND(ISNUMBER(S773),S773&gt;0,ISNUMBER(U773)),U773*R773/S773,"n.a.")),"n.a.")</x:f>
        <x:v>904350390.0648117</x:v>
      </x:c>
      <x:c r="G773" s="17" t="n">
        <x:f>IF(AND(ISNUMBER(E773),ISNUMBER(F773)),E773-F773,"n.a.")</x:f>
        <x:v>-43600317.014811516</x:v>
      </x:c>
      <x:c r="H773" s="15" t="n">
        <x:f>IF(AND(ISNUMBER(E773),ISNUMBER(F773),F773&gt;0),(E773-F773)/F773,"n.a.")</x:f>
        <x:v>-0.048211752318353986</x:v>
      </x:c>
      <x:c r="I773" s="19" t="n">
        <x:f>IF(ISNUMBER(H773),ABS(H773),"n.a.")</x:f>
        <x:v>0.048211752318353986</x:v>
      </x:c>
      <x:c r="J773" s="2" t="str">
        <x:v>available</x:v>
      </x:c>
      <x:c r="K773" s="2" t="n">
        <x:v>1</x:v>
      </x:c>
      <x:c r="L773" s="13" t="b">
        <x:v>0</x:v>
      </x:c>
      <x:c r="M773" s="13" t="b">
        <x:v>1</x:v>
      </x:c>
      <x:c r="N773" s="2" t="str">
        <x:v>historical source estimate</x:v>
      </x:c>
      <x:c r="O773" s="2" t="str"/>
      <x:c r="P773" s="2" t="str">
        <x:v>horizontal built-up surface</x:v>
      </x:c>
      <x:c r="Q773" s="2" t="str">
        <x:v>m2</x:v>
      </x:c>
      <x:c r="R773" s="17" t="n">
        <x:v>896337955</x:v>
      </x:c>
      <x:c r="S773" s="17" t="n">
        <x:v>853123931.52</x:v>
      </x:c>
      <x:c r="T773" s="18" t="n">
        <x:v>1.0089390781904486</x:v>
      </x:c>
      <x:c r="U773" s="17" t="n">
        <x:v>860750073.0500002</x:v>
      </x:c>
      <x:c r="V773" s="2" t="str">
        <x:v>Area equivalent = model2020 * source surface / TEMPO2020 footprint</x:v>
      </x:c>
      <x:c r="W773" s="2" t="str">
        <x:v>legacy epoch_status=observed; not exact acquisition proof</x:v>
      </x:c>
      <x:c r="X773" s="2" t="str">
        <x:v>https://human-settlement.emergency.copernicus.eu/ghs_buS2023.php</x:v>
      </x:c>
    </x:row>
    <x:row r="774" ht="23" customHeight="1">
      <x:c r="A774" s="2" t="str">
        <x:v>SWZ</x:v>
      </x:c>
      <x:c r="B774" s="2" t="str">
        <x:v>Eswatini (Kingdom of)</x:v>
      </x:c>
      <x:c r="C774" s="2" t="n">
        <x:v>2020</x:v>
      </x:c>
      <x:c r="D774" s="2" t="str">
        <x:v>GHSL_SURFACE</x:v>
      </x:c>
      <x:c r="E774" s="17" t="n">
        <x:v>51228621.629999995</x:v>
      </x:c>
      <x:c r="F774" s="17" t="n">
        <x:f>IF(AND(M774,ISNUMBER(R774)),IF(D774="TEMPO_PROXY",R774,IF(AND(ISNUMBER(S774),S774&gt;0,ISNUMBER(U774)),U774*R774/S774,"n.a.")),"n.a.")</x:f>
        <x:v>159842878.99999997</x:v>
      </x:c>
      <x:c r="G774" s="17" t="n">
        <x:f>IF(AND(ISNUMBER(E774),ISNUMBER(F774)),E774-F774,"n.a.")</x:f>
        <x:v>-108614257.36999997</x:v>
      </x:c>
      <x:c r="H774" s="15" t="n">
        <x:f>IF(AND(ISNUMBER(E774),ISNUMBER(F774),F774&gt;0),(E774-F774)/F774,"n.a.")</x:f>
        <x:v>-0.679506388082512</x:v>
      </x:c>
      <x:c r="I774" s="19" t="n">
        <x:f>IF(ISNUMBER(H774),ABS(H774),"n.a.")</x:f>
        <x:v>0.679506388082512</x:v>
      </x:c>
      <x:c r="J774" s="2" t="str">
        <x:v>available</x:v>
      </x:c>
      <x:c r="K774" s="2" t="n">
        <x:v>1</x:v>
      </x:c>
      <x:c r="L774" s="13" t="b">
        <x:v>0</x:v>
      </x:c>
      <x:c r="M774" s="13" t="b">
        <x:v>1</x:v>
      </x:c>
      <x:c r="N774" s="2" t="str">
        <x:v>historical source estimate</x:v>
      </x:c>
      <x:c r="O774" s="2" t="str"/>
      <x:c r="P774" s="2" t="str">
        <x:v>horizontal built-up surface</x:v>
      </x:c>
      <x:c r="Q774" s="2" t="str">
        <x:v>m2</x:v>
      </x:c>
      <x:c r="R774" s="17" t="n">
        <x:v>159842879</x:v>
      </x:c>
      <x:c r="S774" s="17" t="n">
        <x:v>51228621.63</x:v>
      </x:c>
      <x:c r="T774" s="18" t="n">
        <x:v>0.9999999999999999</x:v>
      </x:c>
      <x:c r="U774" s="17" t="n">
        <x:v>51228621.629999995</x:v>
      </x:c>
      <x:c r="V774" s="2" t="str">
        <x:v>Area equivalent = model2020 * source surface / TEMPO2020 footprint</x:v>
      </x:c>
      <x:c r="W774" s="2" t="str">
        <x:v>legacy epoch_status=observed; not exact acquisition proof</x:v>
      </x:c>
      <x:c r="X774" s="2" t="str">
        <x:v>https://human-settlement.emergency.copernicus.eu/ghs_buS2023.php</x:v>
      </x:c>
    </x:row>
    <x:row r="775" ht="23" customHeight="1">
      <x:c r="A775" s="2" t="str">
        <x:v>SYC</x:v>
      </x:c>
      <x:c r="B775" s="2" t="str">
        <x:v>Seychelles (Republic of)</x:v>
      </x:c>
      <x:c r="C775" s="2" t="n">
        <x:v>2020</x:v>
      </x:c>
      <x:c r="D775" s="2" t="str">
        <x:v>GHSL_SURFACE</x:v>
      </x:c>
      <x:c r="E775" s="17" t="n">
        <x:v>7317572.880000001</x:v>
      </x:c>
      <x:c r="F775" s="17" t="n">
        <x:f>IF(AND(M775,ISNUMBER(R775)),IF(D775="TEMPO_PROXY",R775,IF(AND(ISNUMBER(S775),S775&gt;0,ISNUMBER(U775)),U775*R775/S775,"n.a.")),"n.a.")</x:f>
        <x:v>4373119</x:v>
      </x:c>
      <x:c r="G775" s="17" t="n">
        <x:f>IF(AND(ISNUMBER(E775),ISNUMBER(F775)),E775-F775,"n.a.")</x:f>
        <x:v>2944453.880000001</x:v>
      </x:c>
      <x:c r="H775" s="15" t="n">
        <x:f>IF(AND(ISNUMBER(E775),ISNUMBER(F775),F775&gt;0),(E775-F775)/F775,"n.a.")</x:f>
        <x:v>0.6733075134703631</x:v>
      </x:c>
      <x:c r="I775" s="19" t="n">
        <x:f>IF(ISNUMBER(H775),ABS(H775),"n.a.")</x:f>
        <x:v>0.6733075134703631</x:v>
      </x:c>
      <x:c r="J775" s="2" t="str">
        <x:v>available</x:v>
      </x:c>
      <x:c r="K775" s="2" t="n">
        <x:v>1</x:v>
      </x:c>
      <x:c r="L775" s="13" t="b">
        <x:v>0</x:v>
      </x:c>
      <x:c r="M775" s="13" t="b">
        <x:v>1</x:v>
      </x:c>
      <x:c r="N775" s="2" t="str">
        <x:v>historical source estimate</x:v>
      </x:c>
      <x:c r="O775" s="2" t="str"/>
      <x:c r="P775" s="2" t="str">
        <x:v>horizontal built-up surface</x:v>
      </x:c>
      <x:c r="Q775" s="2" t="str">
        <x:v>m2</x:v>
      </x:c>
      <x:c r="R775" s="17" t="n">
        <x:v>4373119</x:v>
      </x:c>
      <x:c r="S775" s="17" t="n">
        <x:v>7317572.88</x:v>
      </x:c>
      <x:c r="T775" s="18" t="n">
        <x:v>1.0000000000000002</x:v>
      </x:c>
      <x:c r="U775" s="17" t="n">
        <x:v>7317572.880000001</x:v>
      </x:c>
      <x:c r="V775" s="2" t="str">
        <x:v>Area equivalent = model2020 * source surface / TEMPO2020 footprint</x:v>
      </x:c>
      <x:c r="W775" s="2" t="str">
        <x:v>legacy epoch_status=observed; not exact acquisition proof</x:v>
      </x:c>
      <x:c r="X775" s="2" t="str">
        <x:v>https://human-settlement.emergency.copernicus.eu/ghs_buS2023.php</x:v>
      </x:c>
    </x:row>
    <x:row r="776" ht="23" customHeight="1">
      <x:c r="A776" s="2" t="str">
        <x:v>SYR</x:v>
      </x:c>
      <x:c r="B776" s="2" t="str">
        <x:v>Syrian Arab Republic</x:v>
      </x:c>
      <x:c r="C776" s="2" t="n">
        <x:v>2020</x:v>
      </x:c>
      <x:c r="D776" s="2" t="str">
        <x:v>GHSL_SURFACE</x:v>
      </x:c>
      <x:c r="E776" s="17" t="n">
        <x:v>795482211.65</x:v>
      </x:c>
      <x:c r="F776" s="17" t="n">
        <x:f>IF(AND(M776,ISNUMBER(R776)),IF(D776="TEMPO_PROXY",R776,IF(AND(ISNUMBER(S776),S776&gt;0,ISNUMBER(U776)),U776*R776/S776,"n.a.")),"n.a.")</x:f>
        <x:v>979225797.5666277</x:v>
      </x:c>
      <x:c r="G776" s="17" t="n">
        <x:f>IF(AND(ISNUMBER(E776),ISNUMBER(F776)),E776-F776,"n.a.")</x:f>
        <x:v>-183743585.91662776</x:v>
      </x:c>
      <x:c r="H776" s="15" t="n">
        <x:f>IF(AND(ISNUMBER(E776),ISNUMBER(F776),F776&gt;0),(E776-F776)/F776,"n.a.")</x:f>
        <x:v>-0.18764169241989934</x:v>
      </x:c>
      <x:c r="I776" s="19" t="n">
        <x:f>IF(ISNUMBER(H776),ABS(H776),"n.a.")</x:f>
        <x:v>0.18764169241989934</x:v>
      </x:c>
      <x:c r="J776" s="2" t="str">
        <x:v>available</x:v>
      </x:c>
      <x:c r="K776" s="2" t="n">
        <x:v>1</x:v>
      </x:c>
      <x:c r="L776" s="13" t="b">
        <x:v>0</x:v>
      </x:c>
      <x:c r="M776" s="13" t="b">
        <x:v>1</x:v>
      </x:c>
      <x:c r="N776" s="2" t="str">
        <x:v>historical source estimate</x:v>
      </x:c>
      <x:c r="O776" s="2" t="str"/>
      <x:c r="P776" s="2" t="str">
        <x:v>horizontal built-up surface</x:v>
      </x:c>
      <x:c r="Q776" s="2" t="str">
        <x:v>m2</x:v>
      </x:c>
      <x:c r="R776" s="17" t="n">
        <x:v>965574253</x:v>
      </x:c>
      <x:c r="S776" s="17" t="n">
        <x:v>784392266.01</x:v>
      </x:c>
      <x:c r="T776" s="18" t="n">
        <x:v>1.0141382648969905</x:v>
      </x:c>
      <x:c r="U776" s="17" t="n">
        <x:v>795482211.65</x:v>
      </x:c>
      <x:c r="V776" s="2" t="str">
        <x:v>Area equivalent = model2020 * source surface / TEMPO2020 footprint</x:v>
      </x:c>
      <x:c r="W776" s="2" t="str">
        <x:v>legacy epoch_status=observed; not exact acquisition proof</x:v>
      </x:c>
      <x:c r="X776" s="2" t="str">
        <x:v>https://human-settlement.emergency.copernicus.eu/ghs_buS2023.php</x:v>
      </x:c>
    </x:row>
    <x:row r="777" ht="23" customHeight="1">
      <x:c r="A777" s="2" t="str">
        <x:v>TCD</x:v>
      </x:c>
      <x:c r="B777" s="2" t="str">
        <x:v>Chad (Republic of)</x:v>
      </x:c>
      <x:c r="C777" s="2" t="n">
        <x:v>2020</x:v>
      </x:c>
      <x:c r="D777" s="2" t="str">
        <x:v>GHSL_SURFACE</x:v>
      </x:c>
      <x:c r="E777" s="17" t="n">
        <x:v>126450494.21999988</x:v>
      </x:c>
      <x:c r="F777" s="17" t="n">
        <x:f>IF(AND(M777,ISNUMBER(R777)),IF(D777="TEMPO_PROXY",R777,IF(AND(ISNUMBER(S777),S777&gt;0,ISNUMBER(U777)),U777*R777/S777,"n.a.")),"n.a.")</x:f>
        <x:v>555299722.9999994</x:v>
      </x:c>
      <x:c r="G777" s="17" t="n">
        <x:f>IF(AND(ISNUMBER(E777),ISNUMBER(F777)),E777-F777,"n.a.")</x:f>
        <x:v>-428849228.7799995</x:v>
      </x:c>
      <x:c r="H777" s="15" t="n">
        <x:f>IF(AND(ISNUMBER(E777),ISNUMBER(F777),F777&gt;0),(E777-F777)/F777,"n.a.")</x:f>
        <x:v>-0.7722842476188304</x:v>
      </x:c>
      <x:c r="I777" s="19" t="n">
        <x:f>IF(ISNUMBER(H777),ABS(H777),"n.a.")</x:f>
        <x:v>0.7722842476188304</x:v>
      </x:c>
      <x:c r="J777" s="2" t="str">
        <x:v>available</x:v>
      </x:c>
      <x:c r="K777" s="2" t="n">
        <x:v>1</x:v>
      </x:c>
      <x:c r="L777" s="13" t="b">
        <x:v>0</x:v>
      </x:c>
      <x:c r="M777" s="13" t="b">
        <x:v>1</x:v>
      </x:c>
      <x:c r="N777" s="2" t="str">
        <x:v>historical source estimate</x:v>
      </x:c>
      <x:c r="O777" s="2" t="str"/>
      <x:c r="P777" s="2" t="str">
        <x:v>horizontal built-up surface</x:v>
      </x:c>
      <x:c r="Q777" s="2" t="str">
        <x:v>m2</x:v>
      </x:c>
      <x:c r="R777" s="17" t="n">
        <x:v>555299723</x:v>
      </x:c>
      <x:c r="S777" s="17" t="n">
        <x:v>126450494.22</x:v>
      </x:c>
      <x:c r="T777" s="18" t="n">
        <x:v>0.9999999999999991</x:v>
      </x:c>
      <x:c r="U777" s="17" t="n">
        <x:v>126450494.21999988</x:v>
      </x:c>
      <x:c r="V777" s="2" t="str">
        <x:v>Area equivalent = model2020 * source surface / TEMPO2020 footprint</x:v>
      </x:c>
      <x:c r="W777" s="2" t="str">
        <x:v>legacy epoch_status=observed; not exact acquisition proof</x:v>
      </x:c>
      <x:c r="X777" s="2" t="str">
        <x:v>https://human-settlement.emergency.copernicus.eu/ghs_buS2023.php</x:v>
      </x:c>
    </x:row>
    <x:row r="778" ht="23" customHeight="1">
      <x:c r="A778" s="2" t="str">
        <x:v>TGO</x:v>
      </x:c>
      <x:c r="B778" s="2" t="str">
        <x:v>Togo (Togolese Republic)</x:v>
      </x:c>
      <x:c r="C778" s="2" t="n">
        <x:v>2020</x:v>
      </x:c>
      <x:c r="D778" s="2" t="str">
        <x:v>GHSL_SURFACE</x:v>
      </x:c>
      <x:c r="E778" s="17" t="n">
        <x:v>185693532.7300002</x:v>
      </x:c>
      <x:c r="F778" s="17" t="n">
        <x:f>IF(AND(M778,ISNUMBER(R778)),IF(D778="TEMPO_PROXY",R778,IF(AND(ISNUMBER(S778),S778&gt;0,ISNUMBER(U778)),U778*R778/S778,"n.a.")),"n.a.")</x:f>
        <x:v>468331079.0000006</x:v>
      </x:c>
      <x:c r="G778" s="17" t="n">
        <x:f>IF(AND(ISNUMBER(E778),ISNUMBER(F778)),E778-F778,"n.a.")</x:f>
        <x:v>-282637546.2700004</x:v>
      </x:c>
      <x:c r="H778" s="15" t="n">
        <x:f>IF(AND(ISNUMBER(E778),ISNUMBER(F778),F778&gt;0),(E778-F778)/F778,"n.a.")</x:f>
        <x:v>-0.6034994450368305</x:v>
      </x:c>
      <x:c r="I778" s="19" t="n">
        <x:f>IF(ISNUMBER(H778),ABS(H778),"n.a.")</x:f>
        <x:v>0.6034994450368305</x:v>
      </x:c>
      <x:c r="J778" s="2" t="str">
        <x:v>available</x:v>
      </x:c>
      <x:c r="K778" s="2" t="n">
        <x:v>1</x:v>
      </x:c>
      <x:c r="L778" s="13" t="b">
        <x:v>0</x:v>
      </x:c>
      <x:c r="M778" s="13" t="b">
        <x:v>1</x:v>
      </x:c>
      <x:c r="N778" s="2" t="str">
        <x:v>historical source estimate</x:v>
      </x:c>
      <x:c r="O778" s="2" t="str"/>
      <x:c r="P778" s="2" t="str">
        <x:v>horizontal built-up surface</x:v>
      </x:c>
      <x:c r="Q778" s="2" t="str">
        <x:v>m2</x:v>
      </x:c>
      <x:c r="R778" s="17" t="n">
        <x:v>468331079</x:v>
      </x:c>
      <x:c r="S778" s="17" t="n">
        <x:v>185693532.73</x:v>
      </x:c>
      <x:c r="T778" s="18" t="n">
        <x:v>1.000000000000001</x:v>
      </x:c>
      <x:c r="U778" s="17" t="n">
        <x:v>185693532.7300002</x:v>
      </x:c>
      <x:c r="V778" s="2" t="str">
        <x:v>Area equivalent = model2020 * source surface / TEMPO2020 footprint</x:v>
      </x:c>
      <x:c r="W778" s="2" t="str">
        <x:v>legacy epoch_status=observed; not exact acquisition proof</x:v>
      </x:c>
      <x:c r="X778" s="2" t="str">
        <x:v>https://human-settlement.emergency.copernicus.eu/ghs_buS2023.php</x:v>
      </x:c>
    </x:row>
    <x:row r="779" ht="23" customHeight="1">
      <x:c r="A779" s="2" t="str">
        <x:v>THA</x:v>
      </x:c>
      <x:c r="B779" s="2" t="str">
        <x:v>Thailand (Kingdom of)</x:v>
      </x:c>
      <x:c r="C779" s="2" t="n">
        <x:v>2020</x:v>
      </x:c>
      <x:c r="D779" s="2" t="str">
        <x:v>GHSL_SURFACE</x:v>
      </x:c>
      <x:c r="E779" s="17" t="n">
        <x:v>5229846890.149993</x:v>
      </x:c>
      <x:c r="F779" s="17" t="n">
        <x:f>IF(AND(M779,ISNUMBER(R779)),IF(D779="TEMPO_PROXY",R779,IF(AND(ISNUMBER(S779),S779&gt;0,ISNUMBER(U779)),U779*R779/S779,"n.a.")),"n.a.")</x:f>
        <x:v>6682044282.999991</x:v>
      </x:c>
      <x:c r="G779" s="17" t="n">
        <x:f>IF(AND(ISNUMBER(E779),ISNUMBER(F779)),E779-F779,"n.a.")</x:f>
        <x:v>-1452197392.8499985</x:v>
      </x:c>
      <x:c r="H779" s="15" t="n">
        <x:f>IF(AND(ISNUMBER(E779),ISNUMBER(F779),F779&gt;0),(E779-F779)/F779,"n.a.")</x:f>
        <x:v>-0.21732831022155624</x:v>
      </x:c>
      <x:c r="I779" s="19" t="n">
        <x:f>IF(ISNUMBER(H779),ABS(H779),"n.a.")</x:f>
        <x:v>0.21732831022155624</x:v>
      </x:c>
      <x:c r="J779" s="2" t="str">
        <x:v>available</x:v>
      </x:c>
      <x:c r="K779" s="2" t="n">
        <x:v>1</x:v>
      </x:c>
      <x:c r="L779" s="13" t="b">
        <x:v>0</x:v>
      </x:c>
      <x:c r="M779" s="13" t="b">
        <x:v>1</x:v>
      </x:c>
      <x:c r="N779" s="2" t="str">
        <x:v>historical source estimate</x:v>
      </x:c>
      <x:c r="O779" s="2" t="str"/>
      <x:c r="P779" s="2" t="str">
        <x:v>horizontal built-up surface</x:v>
      </x:c>
      <x:c r="Q779" s="2" t="str">
        <x:v>m2</x:v>
      </x:c>
      <x:c r="R779" s="17" t="n">
        <x:v>6682044283</x:v>
      </x:c>
      <x:c r="S779" s="17" t="n">
        <x:v>5229846890.15</x:v>
      </x:c>
      <x:c r="T779" s="18" t="n">
        <x:v>0.9999999999999988</x:v>
      </x:c>
      <x:c r="U779" s="17" t="n">
        <x:v>5229846890.149993</x:v>
      </x:c>
      <x:c r="V779" s="2" t="str">
        <x:v>Area equivalent = model2020 * source surface / TEMPO2020 footprint</x:v>
      </x:c>
      <x:c r="W779" s="2" t="str">
        <x:v>legacy epoch_status=observed; not exact acquisition proof</x:v>
      </x:c>
      <x:c r="X779" s="2" t="str">
        <x:v>https://human-settlement.emergency.copernicus.eu/ghs_buS2023.php</x:v>
      </x:c>
    </x:row>
    <x:row r="780" ht="23" customHeight="1">
      <x:c r="A780" s="2" t="str">
        <x:v>TJK</x:v>
      </x:c>
      <x:c r="B780" s="2" t="str">
        <x:v>Tajikistan (Republic of)</x:v>
      </x:c>
      <x:c r="C780" s="2" t="n">
        <x:v>2020</x:v>
      </x:c>
      <x:c r="D780" s="2" t="str">
        <x:v>GHSL_SURFACE</x:v>
      </x:c>
      <x:c r="E780" s="17" t="n">
        <x:v>392955797.9200004</x:v>
      </x:c>
      <x:c r="F780" s="17" t="n">
        <x:f>IF(AND(M780,ISNUMBER(R780)),IF(D780="TEMPO_PROXY",R780,IF(AND(ISNUMBER(S780),S780&gt;0,ISNUMBER(U780)),U780*R780/S780,"n.a.")),"n.a.")</x:f>
        <x:v>729509384.0000007</x:v>
      </x:c>
      <x:c r="G780" s="17" t="n">
        <x:f>IF(AND(ISNUMBER(E780),ISNUMBER(F780)),E780-F780,"n.a.")</x:f>
        <x:v>-336553586.08000034</x:v>
      </x:c>
      <x:c r="H780" s="15" t="n">
        <x:f>IF(AND(ISNUMBER(E780),ISNUMBER(F780),F780&gt;0),(E780-F780)/F780,"n.a.")</x:f>
        <x:v>-0.46134236716000904</x:v>
      </x:c>
      <x:c r="I780" s="19" t="n">
        <x:f>IF(ISNUMBER(H780),ABS(H780),"n.a.")</x:f>
        <x:v>0.46134236716000904</x:v>
      </x:c>
      <x:c r="J780" s="2" t="str">
        <x:v>available</x:v>
      </x:c>
      <x:c r="K780" s="2" t="n">
        <x:v>1</x:v>
      </x:c>
      <x:c r="L780" s="13" t="b">
        <x:v>0</x:v>
      </x:c>
      <x:c r="M780" s="13" t="b">
        <x:v>1</x:v>
      </x:c>
      <x:c r="N780" s="2" t="str">
        <x:v>historical source estimate</x:v>
      </x:c>
      <x:c r="O780" s="2" t="str"/>
      <x:c r="P780" s="2" t="str">
        <x:v>horizontal built-up surface</x:v>
      </x:c>
      <x:c r="Q780" s="2" t="str">
        <x:v>m2</x:v>
      </x:c>
      <x:c r="R780" s="17" t="n">
        <x:v>729509384</x:v>
      </x:c>
      <x:c r="S780" s="17" t="n">
        <x:v>392955797.92</x:v>
      </x:c>
      <x:c r="T780" s="18" t="n">
        <x:v>1.0000000000000009</x:v>
      </x:c>
      <x:c r="U780" s="17" t="n">
        <x:v>392955797.9200004</x:v>
      </x:c>
      <x:c r="V780" s="2" t="str">
        <x:v>Area equivalent = model2020 * source surface / TEMPO2020 footprint</x:v>
      </x:c>
      <x:c r="W780" s="2" t="str">
        <x:v>legacy epoch_status=observed; not exact acquisition proof</x:v>
      </x:c>
      <x:c r="X780" s="2" t="str">
        <x:v>https://human-settlement.emergency.copernicus.eu/ghs_buS2023.php</x:v>
      </x:c>
    </x:row>
    <x:row r="781" ht="23" customHeight="1">
      <x:c r="A781" s="2" t="str">
        <x:v>TKM</x:v>
      </x:c>
      <x:c r="B781" s="2" t="str">
        <x:v>Turkmenistan</x:v>
      </x:c>
      <x:c r="C781" s="2" t="n">
        <x:v>2020</x:v>
      </x:c>
      <x:c r="D781" s="2" t="str">
        <x:v>GHSL_SURFACE</x:v>
      </x:c>
      <x:c r="E781" s="17" t="n">
        <x:v>359976676.1500005</x:v>
      </x:c>
      <x:c r="F781" s="17" t="n">
        <x:f>IF(AND(M781,ISNUMBER(R781)),IF(D781="TEMPO_PROXY",R781,IF(AND(ISNUMBER(S781),S781&gt;0,ISNUMBER(U781)),U781*R781/S781,"n.a.")),"n.a.")</x:f>
        <x:v>755791419.0000012</x:v>
      </x:c>
      <x:c r="G781" s="17" t="n">
        <x:f>IF(AND(ISNUMBER(E781),ISNUMBER(F781)),E781-F781,"n.a.")</x:f>
        <x:v>-395814742.8500007</x:v>
      </x:c>
      <x:c r="H781" s="15" t="n">
        <x:f>IF(AND(ISNUMBER(E781),ISNUMBER(F781),F781&gt;0),(E781-F781)/F781,"n.a.")</x:f>
        <x:v>-0.523708966388781</x:v>
      </x:c>
      <x:c r="I781" s="19" t="n">
        <x:f>IF(ISNUMBER(H781),ABS(H781),"n.a.")</x:f>
        <x:v>0.523708966388781</x:v>
      </x:c>
      <x:c r="J781" s="2" t="str">
        <x:v>available</x:v>
      </x:c>
      <x:c r="K781" s="2" t="n">
        <x:v>1</x:v>
      </x:c>
      <x:c r="L781" s="13" t="b">
        <x:v>0</x:v>
      </x:c>
      <x:c r="M781" s="13" t="b">
        <x:v>1</x:v>
      </x:c>
      <x:c r="N781" s="2" t="str">
        <x:v>historical source estimate</x:v>
      </x:c>
      <x:c r="O781" s="2" t="str"/>
      <x:c r="P781" s="2" t="str">
        <x:v>horizontal built-up surface</x:v>
      </x:c>
      <x:c r="Q781" s="2" t="str">
        <x:v>m2</x:v>
      </x:c>
      <x:c r="R781" s="17" t="n">
        <x:v>755791419</x:v>
      </x:c>
      <x:c r="S781" s="17" t="n">
        <x:v>359976676.15</x:v>
      </x:c>
      <x:c r="T781" s="18" t="n">
        <x:v>1.0000000000000016</x:v>
      </x:c>
      <x:c r="U781" s="17" t="n">
        <x:v>359976676.1500005</x:v>
      </x:c>
      <x:c r="V781" s="2" t="str">
        <x:v>Area equivalent = model2020 * source surface / TEMPO2020 footprint</x:v>
      </x:c>
      <x:c r="W781" s="2" t="str">
        <x:v>legacy epoch_status=observed; not exact acquisition proof</x:v>
      </x:c>
      <x:c r="X781" s="2" t="str">
        <x:v>https://human-settlement.emergency.copernicus.eu/ghs_buS2023.php</x:v>
      </x:c>
    </x:row>
    <x:row r="782" ht="23" customHeight="1">
      <x:c r="A782" s="2" t="str">
        <x:v>TLS</x:v>
      </x:c>
      <x:c r="B782" s="2" t="str">
        <x:v>Timor-Leste (Democratic Republic of)</x:v>
      </x:c>
      <x:c r="C782" s="2" t="n">
        <x:v>2020</x:v>
      </x:c>
      <x:c r="D782" s="2" t="str">
        <x:v>GHSL_SURFACE</x:v>
      </x:c>
      <x:c r="E782" s="17" t="n">
        <x:v>41213693.90000002</x:v>
      </x:c>
      <x:c r="F782" s="17" t="n">
        <x:f>IF(AND(M782,ISNUMBER(R782)),IF(D782="TEMPO_PROXY",R782,IF(AND(ISNUMBER(S782),S782&gt;0,ISNUMBER(U782)),U782*R782/S782,"n.a.")),"n.a.")</x:f>
        <x:v>49386692.00000002</x:v>
      </x:c>
      <x:c r="G782" s="17" t="n">
        <x:f>IF(AND(ISNUMBER(E782),ISNUMBER(F782)),E782-F782,"n.a.")</x:f>
        <x:v>-8172998.1000000015</x:v>
      </x:c>
      <x:c r="H782" s="15" t="n">
        <x:f>IF(AND(ISNUMBER(E782),ISNUMBER(F782),F782&gt;0),(E782-F782)/F782,"n.a.")</x:f>
        <x:v>-0.1654898874376927</x:v>
      </x:c>
      <x:c r="I782" s="19" t="n">
        <x:f>IF(ISNUMBER(H782),ABS(H782),"n.a.")</x:f>
        <x:v>0.1654898874376927</x:v>
      </x:c>
      <x:c r="J782" s="2" t="str">
        <x:v>available</x:v>
      </x:c>
      <x:c r="K782" s="2" t="n">
        <x:v>1</x:v>
      </x:c>
      <x:c r="L782" s="13" t="b">
        <x:v>0</x:v>
      </x:c>
      <x:c r="M782" s="13" t="b">
        <x:v>1</x:v>
      </x:c>
      <x:c r="N782" s="2" t="str">
        <x:v>historical source estimate</x:v>
      </x:c>
      <x:c r="O782" s="2" t="str"/>
      <x:c r="P782" s="2" t="str">
        <x:v>horizontal built-up surface</x:v>
      </x:c>
      <x:c r="Q782" s="2" t="str">
        <x:v>m2</x:v>
      </x:c>
      <x:c r="R782" s="17" t="n">
        <x:v>49386692</x:v>
      </x:c>
      <x:c r="S782" s="17" t="n">
        <x:v>41213693.9</x:v>
      </x:c>
      <x:c r="T782" s="18" t="n">
        <x:v>1.0000000000000004</x:v>
      </x:c>
      <x:c r="U782" s="17" t="n">
        <x:v>41213693.90000002</x:v>
      </x:c>
      <x:c r="V782" s="2" t="str">
        <x:v>Area equivalent = model2020 * source surface / TEMPO2020 footprint</x:v>
      </x:c>
      <x:c r="W782" s="2" t="str">
        <x:v>legacy epoch_status=observed; not exact acquisition proof</x:v>
      </x:c>
      <x:c r="X782" s="2" t="str">
        <x:v>https://human-settlement.emergency.copernicus.eu/ghs_buS2023.php</x:v>
      </x:c>
    </x:row>
    <x:row r="783" ht="23" customHeight="1">
      <x:c r="A783" s="2" t="str">
        <x:v>TON</x:v>
      </x:c>
      <x:c r="B783" s="2" t="str">
        <x:v>Tonga (Kingdom of)</x:v>
      </x:c>
      <x:c r="C783" s="2" t="n">
        <x:v>2020</x:v>
      </x:c>
      <x:c r="D783" s="2" t="str">
        <x:v>GHSL_SURFACE</x:v>
      </x:c>
      <x:c r="E783" s="17" t="n">
        <x:v>4719083.849999997</x:v>
      </x:c>
      <x:c r="F783" s="17" t="n">
        <x:f>IF(AND(M783,ISNUMBER(R783)),IF(D783="TEMPO_PROXY",R783,IF(AND(ISNUMBER(S783),S783&gt;0,ISNUMBER(U783)),U783*R783/S783,"n.a.")),"n.a.")</x:f>
        <x:v>6477643.999999996</x:v>
      </x:c>
      <x:c r="G783" s="17" t="n">
        <x:f>IF(AND(ISNUMBER(E783),ISNUMBER(F783)),E783-F783,"n.a.")</x:f>
        <x:v>-1758560.1499999994</x:v>
      </x:c>
      <x:c r="H783" s="15" t="n">
        <x:f>IF(AND(ISNUMBER(E783),ISNUMBER(F783),F783&gt;0),(E783-F783)/F783,"n.a.")</x:f>
        <x:v>-0.27148144448815037</x:v>
      </x:c>
      <x:c r="I783" s="19" t="n">
        <x:f>IF(ISNUMBER(H783),ABS(H783),"n.a.")</x:f>
        <x:v>0.27148144448815037</x:v>
      </x:c>
      <x:c r="J783" s="2" t="str">
        <x:v>available</x:v>
      </x:c>
      <x:c r="K783" s="2" t="n">
        <x:v>1</x:v>
      </x:c>
      <x:c r="L783" s="13" t="b">
        <x:v>0</x:v>
      </x:c>
      <x:c r="M783" s="13" t="b">
        <x:v>1</x:v>
      </x:c>
      <x:c r="N783" s="2" t="str">
        <x:v>historical source estimate</x:v>
      </x:c>
      <x:c r="O783" s="2" t="str"/>
      <x:c r="P783" s="2" t="str">
        <x:v>horizontal built-up surface</x:v>
      </x:c>
      <x:c r="Q783" s="2" t="str">
        <x:v>m2</x:v>
      </x:c>
      <x:c r="R783" s="17" t="n">
        <x:v>6477644</x:v>
      </x:c>
      <x:c r="S783" s="17" t="n">
        <x:v>4719083.85</x:v>
      </x:c>
      <x:c r="T783" s="18" t="n">
        <x:v>0.9999999999999994</x:v>
      </x:c>
      <x:c r="U783" s="17" t="n">
        <x:v>4719083.849999997</x:v>
      </x:c>
      <x:c r="V783" s="2" t="str">
        <x:v>Area equivalent = model2020 * source surface / TEMPO2020 footprint</x:v>
      </x:c>
      <x:c r="W783" s="2" t="str">
        <x:v>legacy epoch_status=observed; not exact acquisition proof</x:v>
      </x:c>
      <x:c r="X783" s="2" t="str">
        <x:v>https://human-settlement.emergency.copernicus.eu/ghs_buS2023.php</x:v>
      </x:c>
    </x:row>
    <x:row r="784" ht="23" customHeight="1">
      <x:c r="A784" s="2" t="str">
        <x:v>TTO</x:v>
      </x:c>
      <x:c r="B784" s="2" t="str">
        <x:v>Trinidad and Tobago (Republic of)</x:v>
      </x:c>
      <x:c r="C784" s="2" t="n">
        <x:v>2020</x:v>
      </x:c>
      <x:c r="D784" s="2" t="str">
        <x:v>GHSL_SURFACE</x:v>
      </x:c>
      <x:c r="E784" s="17" t="n">
        <x:v>100480869.27000004</x:v>
      </x:c>
      <x:c r="F784" s="17" t="n">
        <x:f>IF(AND(M784,ISNUMBER(R784)),IF(D784="TEMPO_PROXY",R784,IF(AND(ISNUMBER(S784),S784&gt;0,ISNUMBER(U784)),U784*R784/S784,"n.a.")),"n.a.")</x:f>
        <x:v>163068221.0000001</x:v>
      </x:c>
      <x:c r="G784" s="17" t="n">
        <x:f>IF(AND(ISNUMBER(E784),ISNUMBER(F784)),E784-F784,"n.a.")</x:f>
        <x:v>-62587351.73000005</x:v>
      </x:c>
      <x:c r="H784" s="15" t="n">
        <x:f>IF(AND(ISNUMBER(E784),ISNUMBER(F784),F784&gt;0),(E784-F784)/F784,"n.a.")</x:f>
        <x:v>-0.38381084521673914</x:v>
      </x:c>
      <x:c r="I784" s="19" t="n">
        <x:f>IF(ISNUMBER(H784),ABS(H784),"n.a.")</x:f>
        <x:v>0.38381084521673914</x:v>
      </x:c>
      <x:c r="J784" s="2" t="str">
        <x:v>available</x:v>
      </x:c>
      <x:c r="K784" s="2" t="n">
        <x:v>1</x:v>
      </x:c>
      <x:c r="L784" s="13" t="b">
        <x:v>0</x:v>
      </x:c>
      <x:c r="M784" s="13" t="b">
        <x:v>1</x:v>
      </x:c>
      <x:c r="N784" s="2" t="str">
        <x:v>historical source estimate</x:v>
      </x:c>
      <x:c r="O784" s="2" t="str"/>
      <x:c r="P784" s="2" t="str">
        <x:v>horizontal built-up surface</x:v>
      </x:c>
      <x:c r="Q784" s="2" t="str">
        <x:v>m2</x:v>
      </x:c>
      <x:c r="R784" s="17" t="n">
        <x:v>163068221</x:v>
      </x:c>
      <x:c r="S784" s="17" t="n">
        <x:v>100480869.27</x:v>
      </x:c>
      <x:c r="T784" s="18" t="n">
        <x:v>1.0000000000000004</x:v>
      </x:c>
      <x:c r="U784" s="17" t="n">
        <x:v>100480869.27000004</x:v>
      </x:c>
      <x:c r="V784" s="2" t="str">
        <x:v>Area equivalent = model2020 * source surface / TEMPO2020 footprint</x:v>
      </x:c>
      <x:c r="W784" s="2" t="str">
        <x:v>legacy epoch_status=observed; not exact acquisition proof</x:v>
      </x:c>
      <x:c r="X784" s="2" t="str">
        <x:v>https://human-settlement.emergency.copernicus.eu/ghs_buS2023.php</x:v>
      </x:c>
    </x:row>
    <x:row r="785" ht="23" customHeight="1">
      <x:c r="A785" s="2" t="str">
        <x:v>TUN</x:v>
      </x:c>
      <x:c r="B785" s="2" t="str">
        <x:v>Tunisia (Republic of)</x:v>
      </x:c>
      <x:c r="C785" s="2" t="n">
        <x:v>2020</x:v>
      </x:c>
      <x:c r="D785" s="2" t="str">
        <x:v>GHSL_SURFACE</x:v>
      </x:c>
      <x:c r="E785" s="17" t="n">
        <x:v>649171642.779999</x:v>
      </x:c>
      <x:c r="F785" s="17" t="n">
        <x:f>IF(AND(M785,ISNUMBER(R785)),IF(D785="TEMPO_PROXY",R785,IF(AND(ISNUMBER(S785),S785&gt;0,ISNUMBER(U785)),U785*R785/S785,"n.a.")),"n.a.")</x:f>
        <x:v>1141380591.5086298</x:v>
      </x:c>
      <x:c r="G785" s="17" t="n">
        <x:f>IF(AND(ISNUMBER(E785),ISNUMBER(F785)),E785-F785,"n.a.")</x:f>
        <x:v>-492208948.7286308</x:v>
      </x:c>
      <x:c r="H785" s="15" t="n">
        <x:f>IF(AND(ISNUMBER(E785),ISNUMBER(F785),F785&gt;0),(E785-F785)/F785,"n.a.")</x:f>
        <x:v>-0.4312399846207734</x:v>
      </x:c>
      <x:c r="I785" s="19" t="n">
        <x:f>IF(ISNUMBER(H785),ABS(H785),"n.a.")</x:f>
        <x:v>0.4312399846207734</x:v>
      </x:c>
      <x:c r="J785" s="2" t="str">
        <x:v>available</x:v>
      </x:c>
      <x:c r="K785" s="2" t="n">
        <x:v>1</x:v>
      </x:c>
      <x:c r="L785" s="13" t="b">
        <x:v>0</x:v>
      </x:c>
      <x:c r="M785" s="13" t="b">
        <x:v>1</x:v>
      </x:c>
      <x:c r="N785" s="2" t="str">
        <x:v>historical source estimate</x:v>
      </x:c>
      <x:c r="O785" s="2" t="str"/>
      <x:c r="P785" s="2" t="str">
        <x:v>horizontal built-up surface</x:v>
      </x:c>
      <x:c r="Q785" s="2" t="str">
        <x:v>m2</x:v>
      </x:c>
      <x:c r="R785" s="17" t="n">
        <x:v>1125705502</x:v>
      </x:c>
      <x:c r="S785" s="17" t="n">
        <x:v>640256278.63</x:v>
      </x:c>
      <x:c r="T785" s="18" t="n">
        <x:v>1.0139246805499134</x:v>
      </x:c>
      <x:c r="U785" s="17" t="n">
        <x:v>649171642.779999</x:v>
      </x:c>
      <x:c r="V785" s="2" t="str">
        <x:v>Area equivalent = model2020 * source surface / TEMPO2020 footprint</x:v>
      </x:c>
      <x:c r="W785" s="2" t="str">
        <x:v>legacy epoch_status=observed; not exact acquisition proof</x:v>
      </x:c>
      <x:c r="X785" s="2" t="str">
        <x:v>https://human-settlement.emergency.copernicus.eu/ghs_buS2023.php</x:v>
      </x:c>
    </x:row>
    <x:row r="786" ht="23" customHeight="1">
      <x:c r="A786" s="2" t="str">
        <x:v>TUR</x:v>
      </x:c>
      <x:c r="B786" s="2" t="str">
        <x:v>Türkiye (Republic of)</x:v>
      </x:c>
      <x:c r="C786" s="2" t="n">
        <x:v>2020</x:v>
      </x:c>
      <x:c r="D786" s="2" t="str">
        <x:v>GHSL_SURFACE</x:v>
      </x:c>
      <x:c r="E786" s="17" t="n">
        <x:v>3957897873.260005</x:v>
      </x:c>
      <x:c r="F786" s="17" t="n">
        <x:f>IF(AND(M786,ISNUMBER(R786)),IF(D786="TEMPO_PROXY",R786,IF(AND(ISNUMBER(S786),S786&gt;0,ISNUMBER(U786)),U786*R786/S786,"n.a.")),"n.a.")</x:f>
        <x:v>3610272804.592031</x:v>
      </x:c>
      <x:c r="G786" s="17" t="n">
        <x:f>IF(AND(ISNUMBER(E786),ISNUMBER(F786)),E786-F786,"n.a.")</x:f>
        <x:v>347625068.667974</x:v>
      </x:c>
      <x:c r="H786" s="15" t="n">
        <x:f>IF(AND(ISNUMBER(E786),ISNUMBER(F786),F786&gt;0),(E786-F786)/F786,"n.a.")</x:f>
        <x:v>0.0962877564891544</x:v>
      </x:c>
      <x:c r="I786" s="19" t="n">
        <x:f>IF(ISNUMBER(H786),ABS(H786),"n.a.")</x:f>
        <x:v>0.0962877564891544</x:v>
      </x:c>
      <x:c r="J786" s="2" t="str">
        <x:v>available</x:v>
      </x:c>
      <x:c r="K786" s="2" t="n">
        <x:v>1</x:v>
      </x:c>
      <x:c r="L786" s="13" t="b">
        <x:v>0</x:v>
      </x:c>
      <x:c r="M786" s="13" t="b">
        <x:v>1</x:v>
      </x:c>
      <x:c r="N786" s="2" t="str">
        <x:v>historical source estimate</x:v>
      </x:c>
      <x:c r="O786" s="2" t="str"/>
      <x:c r="P786" s="2" t="str">
        <x:v>horizontal built-up surface</x:v>
      </x:c>
      <x:c r="Q786" s="2" t="str">
        <x:v>m2</x:v>
      </x:c>
      <x:c r="R786" s="17" t="n">
        <x:v>3397689619</x:v>
      </x:c>
      <x:c r="S786" s="17" t="n">
        <x:v>3724845529.66</x:v>
      </x:c>
      <x:c r="T786" s="18" t="n">
        <x:v>1.0625669821055044</x:v>
      </x:c>
      <x:c r="U786" s="17" t="n">
        <x:v>3957897873.260005</x:v>
      </x:c>
      <x:c r="V786" s="2" t="str">
        <x:v>Area equivalent = model2020 * source surface / TEMPO2020 footprint</x:v>
      </x:c>
      <x:c r="W786" s="2" t="str">
        <x:v>legacy epoch_status=observed; not exact acquisition proof</x:v>
      </x:c>
      <x:c r="X786" s="2" t="str">
        <x:v>https://human-settlement.emergency.copernicus.eu/ghs_buS2023.php</x:v>
      </x:c>
    </x:row>
    <x:row r="787" ht="23" customHeight="1">
      <x:c r="A787" s="2" t="str">
        <x:v>TUV</x:v>
      </x:c>
      <x:c r="B787" s="2" t="str">
        <x:v>Tuvalu</x:v>
      </x:c>
      <x:c r="C787" s="2" t="n">
        <x:v>2020</x:v>
      </x:c>
      <x:c r="D787" s="2" t="str">
        <x:v>GHSL_SURFACE</x:v>
      </x:c>
      <x:c r="E787" s="17" t="n">
        <x:v>19394.80999999999</x:v>
      </x:c>
      <x:c r="F787" s="17" t="n">
        <x:f>IF(AND(M787,ISNUMBER(R787)),IF(D787="TEMPO_PROXY",R787,IF(AND(ISNUMBER(S787),S787&gt;0,ISNUMBER(U787)),U787*R787/S787,"n.a.")),"n.a.")</x:f>
        <x:v>7757.999999999995</x:v>
      </x:c>
      <x:c r="G787" s="17" t="n">
        <x:f>IF(AND(ISNUMBER(E787),ISNUMBER(F787)),E787-F787,"n.a.")</x:f>
        <x:v>11636.809999999994</x:v>
      </x:c>
      <x:c r="H787" s="15" t="n">
        <x:f>IF(AND(ISNUMBER(E787),ISNUMBER(F787),F787&gt;0),(E787-F787)/F787,"n.a.")</x:f>
        <x:v>1.4999755091518434</x:v>
      </x:c>
      <x:c r="I787" s="19" t="n">
        <x:f>IF(ISNUMBER(H787),ABS(H787),"n.a.")</x:f>
        <x:v>1.4999755091518434</x:v>
      </x:c>
      <x:c r="J787" s="2" t="str">
        <x:v>available</x:v>
      </x:c>
      <x:c r="K787" s="2" t="n">
        <x:v>1</x:v>
      </x:c>
      <x:c r="L787" s="13" t="b">
        <x:v>0</x:v>
      </x:c>
      <x:c r="M787" s="13" t="b">
        <x:v>1</x:v>
      </x:c>
      <x:c r="N787" s="2" t="str">
        <x:v>historical source estimate</x:v>
      </x:c>
      <x:c r="O787" s="2" t="str"/>
      <x:c r="P787" s="2" t="str">
        <x:v>horizontal built-up surface</x:v>
      </x:c>
      <x:c r="Q787" s="2" t="str">
        <x:v>m2</x:v>
      </x:c>
      <x:c r="R787" s="17" t="n">
        <x:v>7758</x:v>
      </x:c>
      <x:c r="S787" s="17" t="n">
        <x:v>19394.81</x:v>
      </x:c>
      <x:c r="T787" s="18" t="n">
        <x:v>0.9999999999999994</x:v>
      </x:c>
      <x:c r="U787" s="17" t="n">
        <x:v>19394.80999999999</x:v>
      </x:c>
      <x:c r="V787" s="2" t="str">
        <x:v>Area equivalent = model2020 * source surface / TEMPO2020 footprint</x:v>
      </x:c>
      <x:c r="W787" s="2" t="str">
        <x:v>legacy epoch_status=observed; not exact acquisition proof</x:v>
      </x:c>
      <x:c r="X787" s="2" t="str">
        <x:v>https://human-settlement.emergency.copernicus.eu/ghs_buS2023.php</x:v>
      </x:c>
    </x:row>
    <x:row r="788" ht="23" customHeight="1">
      <x:c r="A788" s="2" t="str">
        <x:v>TZA</x:v>
      </x:c>
      <x:c r="B788" s="2" t="str">
        <x:v>Tanzania (United Republic of)</x:v>
      </x:c>
      <x:c r="C788" s="2" t="n">
        <x:v>2020</x:v>
      </x:c>
      <x:c r="D788" s="2" t="str">
        <x:v>GHSL_SURFACE</x:v>
      </x:c>
      <x:c r="E788" s="17" t="n">
        <x:v>1174486408.8199985</x:v>
      </x:c>
      <x:c r="F788" s="17" t="n">
        <x:f>IF(AND(M788,ISNUMBER(R788)),IF(D788="TEMPO_PROXY",R788,IF(AND(ISNUMBER(S788),S788&gt;0,ISNUMBER(U788)),U788*R788/S788,"n.a.")),"n.a.")</x:f>
        <x:v>4108005047.999995</x:v>
      </x:c>
      <x:c r="G788" s="17" t="n">
        <x:f>IF(AND(ISNUMBER(E788),ISNUMBER(F788)),E788-F788,"n.a.")</x:f>
        <x:v>-2933518639.1799965</x:v>
      </x:c>
      <x:c r="H788" s="15" t="n">
        <x:f>IF(AND(ISNUMBER(E788),ISNUMBER(F788),F788&gt;0),(E788-F788)/F788,"n.a.")</x:f>
        <x:v>-0.7140981096428293</x:v>
      </x:c>
      <x:c r="I788" s="19" t="n">
        <x:f>IF(ISNUMBER(H788),ABS(H788),"n.a.")</x:f>
        <x:v>0.7140981096428293</x:v>
      </x:c>
      <x:c r="J788" s="2" t="str">
        <x:v>available</x:v>
      </x:c>
      <x:c r="K788" s="2" t="n">
        <x:v>1</x:v>
      </x:c>
      <x:c r="L788" s="13" t="b">
        <x:v>0</x:v>
      </x:c>
      <x:c r="M788" s="13" t="b">
        <x:v>1</x:v>
      </x:c>
      <x:c r="N788" s="2" t="str">
        <x:v>historical source estimate</x:v>
      </x:c>
      <x:c r="O788" s="2" t="str"/>
      <x:c r="P788" s="2" t="str">
        <x:v>horizontal built-up surface</x:v>
      </x:c>
      <x:c r="Q788" s="2" t="str">
        <x:v>m2</x:v>
      </x:c>
      <x:c r="R788" s="17" t="n">
        <x:v>4108005048</x:v>
      </x:c>
      <x:c r="S788" s="17" t="n">
        <x:v>1174486408.82</x:v>
      </x:c>
      <x:c r="T788" s="18" t="n">
        <x:v>0.9999999999999988</x:v>
      </x:c>
      <x:c r="U788" s="17" t="n">
        <x:v>1174486408.8199985</x:v>
      </x:c>
      <x:c r="V788" s="2" t="str">
        <x:v>Area equivalent = model2020 * source surface / TEMPO2020 footprint</x:v>
      </x:c>
      <x:c r="W788" s="2" t="str">
        <x:v>legacy epoch_status=observed; not exact acquisition proof</x:v>
      </x:c>
      <x:c r="X788" s="2" t="str">
        <x:v>https://human-settlement.emergency.copernicus.eu/ghs_buS2023.php</x:v>
      </x:c>
    </x:row>
    <x:row r="789" ht="23" customHeight="1">
      <x:c r="A789" s="2" t="str">
        <x:v>UGA</x:v>
      </x:c>
      <x:c r="B789" s="2" t="str">
        <x:v>Uganda (Republic of)</x:v>
      </x:c>
      <x:c r="C789" s="2" t="n">
        <x:v>2020</x:v>
      </x:c>
      <x:c r="D789" s="2" t="str">
        <x:v>GHSL_SURFACE</x:v>
      </x:c>
      <x:c r="E789" s="17" t="n">
        <x:v>765891927.1500008</x:v>
      </x:c>
      <x:c r="F789" s="17" t="n">
        <x:f>IF(AND(M789,ISNUMBER(R789)),IF(D789="TEMPO_PROXY",R789,IF(AND(ISNUMBER(S789),S789&gt;0,ISNUMBER(U789)),U789*R789/S789,"n.a.")),"n.a.")</x:f>
        <x:v>2641631116.000003</x:v>
      </x:c>
      <x:c r="G789" s="17" t="n">
        <x:f>IF(AND(ISNUMBER(E789),ISNUMBER(F789)),E789-F789,"n.a.")</x:f>
        <x:v>-1875739188.850002</x:v>
      </x:c>
      <x:c r="H789" s="15" t="n">
        <x:f>IF(AND(ISNUMBER(E789),ISNUMBER(F789),F789&gt;0),(E789-F789)/F789,"n.a.")</x:f>
        <x:v>-0.7100685547989283</x:v>
      </x:c>
      <x:c r="I789" s="19" t="n">
        <x:f>IF(ISNUMBER(H789),ABS(H789),"n.a.")</x:f>
        <x:v>0.7100685547989283</x:v>
      </x:c>
      <x:c r="J789" s="2" t="str">
        <x:v>available</x:v>
      </x:c>
      <x:c r="K789" s="2" t="n">
        <x:v>1</x:v>
      </x:c>
      <x:c r="L789" s="13" t="b">
        <x:v>0</x:v>
      </x:c>
      <x:c r="M789" s="13" t="b">
        <x:v>1</x:v>
      </x:c>
      <x:c r="N789" s="2" t="str">
        <x:v>historical source estimate</x:v>
      </x:c>
      <x:c r="O789" s="2" t="str"/>
      <x:c r="P789" s="2" t="str">
        <x:v>horizontal built-up surface</x:v>
      </x:c>
      <x:c r="Q789" s="2" t="str">
        <x:v>m2</x:v>
      </x:c>
      <x:c r="R789" s="17" t="n">
        <x:v>2641631116</x:v>
      </x:c>
      <x:c r="S789" s="17" t="n">
        <x:v>765891927.15</x:v>
      </x:c>
      <x:c r="T789" s="18" t="n">
        <x:v>1.000000000000001</x:v>
      </x:c>
      <x:c r="U789" s="17" t="n">
        <x:v>765891927.1500008</x:v>
      </x:c>
      <x:c r="V789" s="2" t="str">
        <x:v>Area equivalent = model2020 * source surface / TEMPO2020 footprint</x:v>
      </x:c>
      <x:c r="W789" s="2" t="str">
        <x:v>legacy epoch_status=observed; not exact acquisition proof</x:v>
      </x:c>
      <x:c r="X789" s="2" t="str">
        <x:v>https://human-settlement.emergency.copernicus.eu/ghs_buS2023.php</x:v>
      </x:c>
    </x:row>
    <x:row r="790" ht="23" customHeight="1">
      <x:c r="A790" s="2" t="str">
        <x:v>UKR</x:v>
      </x:c>
      <x:c r="B790" s="2" t="str">
        <x:v>Ukraine</x:v>
      </x:c>
      <x:c r="C790" s="2" t="n">
        <x:v>2020</x:v>
      </x:c>
      <x:c r="D790" s="2" t="str">
        <x:v>GHSL_SURFACE</x:v>
      </x:c>
      <x:c r="E790" s="17" t="n">
        <x:v>2808807029.8199997</x:v>
      </x:c>
      <x:c r="F790" s="17" t="n">
        <x:f>IF(AND(M790,ISNUMBER(R790)),IF(D790="TEMPO_PROXY",R790,IF(AND(ISNUMBER(S790),S790&gt;0,ISNUMBER(U790)),U790*R790/S790,"n.a.")),"n.a.")</x:f>
        <x:v>4301915405</x:v>
      </x:c>
      <x:c r="G790" s="17" t="n">
        <x:f>IF(AND(ISNUMBER(E790),ISNUMBER(F790)),E790-F790,"n.a.")</x:f>
        <x:v>-1493108375.1800003</x:v>
      </x:c>
      <x:c r="H790" s="15" t="n">
        <x:f>IF(AND(ISNUMBER(E790),ISNUMBER(F790),F790&gt;0),(E790-F790)/F790,"n.a.")</x:f>
        <x:v>-0.3470799015351629</x:v>
      </x:c>
      <x:c r="I790" s="19" t="n">
        <x:f>IF(ISNUMBER(H790),ABS(H790),"n.a.")</x:f>
        <x:v>0.3470799015351629</x:v>
      </x:c>
      <x:c r="J790" s="2" t="str">
        <x:v>available</x:v>
      </x:c>
      <x:c r="K790" s="2" t="n">
        <x:v>1</x:v>
      </x:c>
      <x:c r="L790" s="13" t="b">
        <x:v>0</x:v>
      </x:c>
      <x:c r="M790" s="13" t="b">
        <x:v>1</x:v>
      </x:c>
      <x:c r="N790" s="2" t="str">
        <x:v>historical source estimate</x:v>
      </x:c>
      <x:c r="O790" s="2" t="str"/>
      <x:c r="P790" s="2" t="str">
        <x:v>horizontal built-up surface</x:v>
      </x:c>
      <x:c r="Q790" s="2" t="str">
        <x:v>m2</x:v>
      </x:c>
      <x:c r="R790" s="17" t="n">
        <x:v>4301915405</x:v>
      </x:c>
      <x:c r="S790" s="17" t="n">
        <x:v>2808807029.82</x:v>
      </x:c>
      <x:c r="T790" s="18" t="n">
        <x:v>0.9999999999999998</x:v>
      </x:c>
      <x:c r="U790" s="17" t="n">
        <x:v>2808807029.8199997</x:v>
      </x:c>
      <x:c r="V790" s="2" t="str">
        <x:v>Area equivalent = model2020 * source surface / TEMPO2020 footprint</x:v>
      </x:c>
      <x:c r="W790" s="2" t="str">
        <x:v>legacy epoch_status=observed; not exact acquisition proof</x:v>
      </x:c>
      <x:c r="X790" s="2" t="str">
        <x:v>https://human-settlement.emergency.copernicus.eu/ghs_buS2023.php</x:v>
      </x:c>
    </x:row>
    <x:row r="791" ht="23" customHeight="1">
      <x:c r="A791" s="2" t="str">
        <x:v>URY</x:v>
      </x:c>
      <x:c r="B791" s="2" t="str">
        <x:v>Uruguay (Oriental Republic of)</x:v>
      </x:c>
      <x:c r="C791" s="2" t="n">
        <x:v>2020</x:v>
      </x:c>
      <x:c r="D791" s="2" t="str">
        <x:v>GHSL_SURFACE</x:v>
      </x:c>
      <x:c r="E791" s="17" t="n">
        <x:v>209727833.2899997</x:v>
      </x:c>
      <x:c r="F791" s="17" t="n">
        <x:f>IF(AND(M791,ISNUMBER(R791)),IF(D791="TEMPO_PROXY",R791,IF(AND(ISNUMBER(S791),S791&gt;0,ISNUMBER(U791)),U791*R791/S791,"n.a.")),"n.a.")</x:f>
        <x:v>377811412.9999994</x:v>
      </x:c>
      <x:c r="G791" s="17" t="n">
        <x:f>IF(AND(ISNUMBER(E791),ISNUMBER(F791)),E791-F791,"n.a.")</x:f>
        <x:v>-168083579.7099997</x:v>
      </x:c>
      <x:c r="H791" s="15" t="n">
        <x:f>IF(AND(ISNUMBER(E791),ISNUMBER(F791),F791&gt;0),(E791-F791)/F791,"n.a.")</x:f>
        <x:v>-0.444887512463791</x:v>
      </x:c>
      <x:c r="I791" s="19" t="n">
        <x:f>IF(ISNUMBER(H791),ABS(H791),"n.a.")</x:f>
        <x:v>0.444887512463791</x:v>
      </x:c>
      <x:c r="J791" s="2" t="str">
        <x:v>available</x:v>
      </x:c>
      <x:c r="K791" s="2" t="n">
        <x:v>1</x:v>
      </x:c>
      <x:c r="L791" s="13" t="b">
        <x:v>0</x:v>
      </x:c>
      <x:c r="M791" s="13" t="b">
        <x:v>1</x:v>
      </x:c>
      <x:c r="N791" s="2" t="str">
        <x:v>historical source estimate</x:v>
      </x:c>
      <x:c r="O791" s="2" t="str"/>
      <x:c r="P791" s="2" t="str">
        <x:v>horizontal built-up surface</x:v>
      </x:c>
      <x:c r="Q791" s="2" t="str">
        <x:v>m2</x:v>
      </x:c>
      <x:c r="R791" s="17" t="n">
        <x:v>377811413</x:v>
      </x:c>
      <x:c r="S791" s="17" t="n">
        <x:v>209727833.29</x:v>
      </x:c>
      <x:c r="T791" s="18" t="n">
        <x:v>0.9999999999999986</x:v>
      </x:c>
      <x:c r="U791" s="17" t="n">
        <x:v>209727833.2899997</x:v>
      </x:c>
      <x:c r="V791" s="2" t="str">
        <x:v>Area equivalent = model2020 * source surface / TEMPO2020 footprint</x:v>
      </x:c>
      <x:c r="W791" s="2" t="str">
        <x:v>legacy epoch_status=observed; not exact acquisition proof</x:v>
      </x:c>
      <x:c r="X791" s="2" t="str">
        <x:v>https://human-settlement.emergency.copernicus.eu/ghs_buS2023.php</x:v>
      </x:c>
    </x:row>
    <x:row r="792" ht="23" customHeight="1">
      <x:c r="A792" s="2" t="str">
        <x:v>USA</x:v>
      </x:c>
      <x:c r="B792" s="2" t="str">
        <x:v>United States of America</x:v>
      </x:c>
      <x:c r="C792" s="2" t="n">
        <x:v>2020</x:v>
      </x:c>
      <x:c r="D792" s="2" t="str">
        <x:v>GHSL_SURFACE</x:v>
      </x:c>
      <x:c r="E792" s="17" t="n">
        <x:v>35932980078.68004</x:v>
      </x:c>
      <x:c r="F792" s="17" t="n">
        <x:f>IF(AND(M792,ISNUMBER(R792)),IF(D792="TEMPO_PROXY",R792,IF(AND(ISNUMBER(S792),S792&gt;0,ISNUMBER(U792)),U792*R792/S792,"n.a.")),"n.a.")</x:f>
        <x:v>60491887152.00006</x:v>
      </x:c>
      <x:c r="G792" s="17" t="n">
        <x:f>IF(AND(ISNUMBER(E792),ISNUMBER(F792)),E792-F792,"n.a.")</x:f>
        <x:v>-24558907073.320023</x:v>
      </x:c>
      <x:c r="H792" s="15" t="n">
        <x:f>IF(AND(ISNUMBER(E792),ISNUMBER(F792),F792&gt;0),(E792-F792)/F792,"n.a.")</x:f>
        <x:v>-0.40598678979232383</x:v>
      </x:c>
      <x:c r="I792" s="19" t="n">
        <x:f>IF(ISNUMBER(H792),ABS(H792),"n.a.")</x:f>
        <x:v>0.40598678979232383</x:v>
      </x:c>
      <x:c r="J792" s="2" t="str">
        <x:v>available</x:v>
      </x:c>
      <x:c r="K792" s="2" t="n">
        <x:v>1</x:v>
      </x:c>
      <x:c r="L792" s="13" t="b">
        <x:v>0</x:v>
      </x:c>
      <x:c r="M792" s="13" t="b">
        <x:v>1</x:v>
      </x:c>
      <x:c r="N792" s="2" t="str">
        <x:v>historical source estimate</x:v>
      </x:c>
      <x:c r="O792" s="2" t="str"/>
      <x:c r="P792" s="2" t="str">
        <x:v>horizontal built-up surface</x:v>
      </x:c>
      <x:c r="Q792" s="2" t="str">
        <x:v>m2</x:v>
      </x:c>
      <x:c r="R792" s="17" t="n">
        <x:v>60491887152</x:v>
      </x:c>
      <x:c r="S792" s="17" t="n">
        <x:v>35932980078.68</x:v>
      </x:c>
      <x:c r="T792" s="18" t="n">
        <x:v>1.000000000000001</x:v>
      </x:c>
      <x:c r="U792" s="17" t="n">
        <x:v>35932980078.68004</x:v>
      </x:c>
      <x:c r="V792" s="2" t="str">
        <x:v>Area equivalent = model2020 * source surface / TEMPO2020 footprint</x:v>
      </x:c>
      <x:c r="W792" s="2" t="str">
        <x:v>legacy epoch_status=observed; not exact acquisition proof</x:v>
      </x:c>
      <x:c r="X792" s="2" t="str">
        <x:v>https://human-settlement.emergency.copernicus.eu/ghs_buS2023.php</x:v>
      </x:c>
    </x:row>
    <x:row r="793" ht="23" customHeight="1">
      <x:c r="A793" s="2" t="str">
        <x:v>UZB</x:v>
      </x:c>
      <x:c r="B793" s="2" t="str">
        <x:v>Uzbekistan (Republic of)</x:v>
      </x:c>
      <x:c r="C793" s="2" t="n">
        <x:v>2020</x:v>
      </x:c>
      <x:c r="D793" s="2" t="str">
        <x:v>GHSL_SURFACE</x:v>
      </x:c>
      <x:c r="E793" s="17" t="n">
        <x:v>1997042653.6300015</x:v>
      </x:c>
      <x:c r="F793" s="17" t="n">
        <x:f>IF(AND(M793,ISNUMBER(R793)),IF(D793="TEMPO_PROXY",R793,IF(AND(ISNUMBER(S793),S793&gt;0,ISNUMBER(U793)),U793*R793/S793,"n.a.")),"n.a.")</x:f>
        <x:v>3791926639.000003</x:v>
      </x:c>
      <x:c r="G793" s="17" t="n">
        <x:f>IF(AND(ISNUMBER(E793),ISNUMBER(F793)),E793-F793,"n.a.")</x:f>
        <x:v>-1794883985.3700013</x:v>
      </x:c>
      <x:c r="H793" s="15" t="n">
        <x:f>IF(AND(ISNUMBER(E793),ISNUMBER(F793),F793&gt;0),(E793-F793)/F793,"n.a.")</x:f>
        <x:v>-0.4733435417525228</x:v>
      </x:c>
      <x:c r="I793" s="19" t="n">
        <x:f>IF(ISNUMBER(H793),ABS(H793),"n.a.")</x:f>
        <x:v>0.4733435417525228</x:v>
      </x:c>
      <x:c r="J793" s="2" t="str">
        <x:v>available</x:v>
      </x:c>
      <x:c r="K793" s="2" t="n">
        <x:v>1</x:v>
      </x:c>
      <x:c r="L793" s="13" t="b">
        <x:v>0</x:v>
      </x:c>
      <x:c r="M793" s="13" t="b">
        <x:v>1</x:v>
      </x:c>
      <x:c r="N793" s="2" t="str">
        <x:v>historical source estimate</x:v>
      </x:c>
      <x:c r="O793" s="2" t="str"/>
      <x:c r="P793" s="2" t="str">
        <x:v>horizontal built-up surface</x:v>
      </x:c>
      <x:c r="Q793" s="2" t="str">
        <x:v>m2</x:v>
      </x:c>
      <x:c r="R793" s="17" t="n">
        <x:v>3791926639</x:v>
      </x:c>
      <x:c r="S793" s="17" t="n">
        <x:v>1997042653.63</x:v>
      </x:c>
      <x:c r="T793" s="18" t="n">
        <x:v>1.0000000000000007</x:v>
      </x:c>
      <x:c r="U793" s="17" t="n">
        <x:v>1997042653.6300015</x:v>
      </x:c>
      <x:c r="V793" s="2" t="str">
        <x:v>Area equivalent = model2020 * source surface / TEMPO2020 footprint</x:v>
      </x:c>
      <x:c r="W793" s="2" t="str">
        <x:v>legacy epoch_status=observed; not exact acquisition proof</x:v>
      </x:c>
      <x:c r="X793" s="2" t="str">
        <x:v>https://human-settlement.emergency.copernicus.eu/ghs_buS2023.php</x:v>
      </x:c>
    </x:row>
    <x:row r="794" ht="23" customHeight="1">
      <x:c r="A794" s="2" t="str">
        <x:v>VAT</x:v>
      </x:c>
      <x:c r="B794" s="2" t="str">
        <x:v>Holy See (State of the Vatican City)</x:v>
      </x:c>
      <x:c r="C794" s="2" t="n">
        <x:v>2020</x:v>
      </x:c>
      <x:c r="D794" s="2" t="str">
        <x:v>GHSL_SURFACE</x:v>
      </x:c>
      <x:c r="E794" s="17" t="n">
        <x:v>318924.24</x:v>
      </x:c>
      <x:c r="F794" s="17" t="str">
        <x:f>IF(AND(M794,ISNUMBER(R794)),IF(D794="TEMPO_PROXY",R794,IF(AND(ISNUMBER(S794),S794&gt;0,ISNUMBER(U794)),U794*R794/S794,"n.a.")),"n.a.")</x:f>
        <x:v>n.a.</x:v>
      </x:c>
      <x:c r="G794" s="17" t="str">
        <x:f>IF(AND(ISNUMBER(E794),ISNUMBER(F794)),E794-F794,"n.a.")</x:f>
        <x:v>n.a.</x:v>
      </x:c>
      <x:c r="H794" s="15" t="str">
        <x:f>IF(AND(ISNUMBER(E794),ISNUMBER(F794),F794&gt;0),(E794-F794)/F794,"n.a.")</x:f>
        <x:v>n.a.</x:v>
      </x:c>
      <x:c r="I794" s="19" t="str">
        <x:f>IF(ISNUMBER(H794),ABS(H794),"n.a.")</x:f>
        <x:v>n.a.</x:v>
      </x:c>
      <x:c r="J794" s="2" t="str">
        <x:v>unqualified_or_missing_native_source: legacy epoch_status=observed; not exact acquisition proof</x:v>
      </x:c>
      <x:c r="K794" s="2" t="n">
        <x:v>1</x:v>
      </x:c>
      <x:c r="L794" s="13" t="b">
        <x:v>0</x:v>
      </x:c>
      <x:c r="M794" s="13" t="b">
        <x:v>0</x:v>
      </x:c>
      <x:c r="N794" s="2" t="str">
        <x:v>historical source estimate</x:v>
      </x:c>
      <x:c r="O794" s="2" t="str"/>
      <x:c r="P794" s="2" t="str">
        <x:v>horizontal built-up surface</x:v>
      </x:c>
      <x:c r="Q794" s="2" t="str">
        <x:v>m2</x:v>
      </x:c>
      <x:c r="R794" s="17" t="n">
        <x:v>0</x:v>
      </x:c>
      <x:c r="S794" s="17" t="n">
        <x:v>118080.97</x:v>
      </x:c>
      <x:c r="T794" s="18" t="n">
        <x:v>2.700894479440675</x:v>
      </x:c>
      <x:c r="U794" s="17" t="n">
        <x:v>318924.24</x:v>
      </x:c>
      <x:c r="V794" s="2" t="str">
        <x:v>Area equivalent = model2020 * source surface / TEMPO2020 footprint</x:v>
      </x:c>
      <x:c r="W794" s="2" t="str">
        <x:v>legacy epoch_status=observed; not exact acquisition proof</x:v>
      </x:c>
      <x:c r="X794" s="2" t="str">
        <x:v>https://human-settlement.emergency.copernicus.eu/ghs_buS2023.php</x:v>
      </x:c>
    </x:row>
    <x:row r="795" ht="23" customHeight="1">
      <x:c r="A795" s="2" t="str">
        <x:v>VCT</x:v>
      </x:c>
      <x:c r="B795" s="2" t="str">
        <x:v>Saint Vincent and the Grenadines</x:v>
      </x:c>
      <x:c r="C795" s="2" t="n">
        <x:v>2020</x:v>
      </x:c>
      <x:c r="D795" s="2" t="str">
        <x:v>GHSL_SURFACE</x:v>
      </x:c>
      <x:c r="E795" s="17" t="n">
        <x:v>6194383.570000002</x:v>
      </x:c>
      <x:c r="F795" s="17" t="n">
        <x:f>IF(AND(M795,ISNUMBER(R795)),IF(D795="TEMPO_PROXY",R795,IF(AND(ISNUMBER(S795),S795&gt;0,ISNUMBER(U795)),U795*R795/S795,"n.a.")),"n.a.")</x:f>
        <x:v>8928921.000000004</x:v>
      </x:c>
      <x:c r="G795" s="17" t="n">
        <x:f>IF(AND(ISNUMBER(E795),ISNUMBER(F795)),E795-F795,"n.a.")</x:f>
        <x:v>-2734537.4300000016</x:v>
      </x:c>
      <x:c r="H795" s="15" t="n">
        <x:f>IF(AND(ISNUMBER(E795),ISNUMBER(F795),F795&gt;0),(E795-F795)/F795,"n.a.")</x:f>
        <x:v>-0.30625620161719436</x:v>
      </x:c>
      <x:c r="I795" s="19" t="n">
        <x:f>IF(ISNUMBER(H795),ABS(H795),"n.a.")</x:f>
        <x:v>0.30625620161719436</x:v>
      </x:c>
      <x:c r="J795" s="2" t="str">
        <x:v>available</x:v>
      </x:c>
      <x:c r="K795" s="2" t="n">
        <x:v>1</x:v>
      </x:c>
      <x:c r="L795" s="13" t="b">
        <x:v>0</x:v>
      </x:c>
      <x:c r="M795" s="13" t="b">
        <x:v>1</x:v>
      </x:c>
      <x:c r="N795" s="2" t="str">
        <x:v>historical source estimate</x:v>
      </x:c>
      <x:c r="O795" s="2" t="str"/>
      <x:c r="P795" s="2" t="str">
        <x:v>horizontal built-up surface</x:v>
      </x:c>
      <x:c r="Q795" s="2" t="str">
        <x:v>m2</x:v>
      </x:c>
      <x:c r="R795" s="17" t="n">
        <x:v>8928921</x:v>
      </x:c>
      <x:c r="S795" s="17" t="n">
        <x:v>6194383.57</x:v>
      </x:c>
      <x:c r="T795" s="18" t="n">
        <x:v>1.0000000000000002</x:v>
      </x:c>
      <x:c r="U795" s="17" t="n">
        <x:v>6194383.570000002</x:v>
      </x:c>
      <x:c r="V795" s="2" t="str">
        <x:v>Area equivalent = model2020 * source surface / TEMPO2020 footprint</x:v>
      </x:c>
      <x:c r="W795" s="2" t="str">
        <x:v>legacy epoch_status=observed; not exact acquisition proof</x:v>
      </x:c>
      <x:c r="X795" s="2" t="str">
        <x:v>https://human-settlement.emergency.copernicus.eu/ghs_buS2023.php</x:v>
      </x:c>
    </x:row>
    <x:row r="796" ht="23" customHeight="1">
      <x:c r="A796" s="2" t="str">
        <x:v>VEN</x:v>
      </x:c>
      <x:c r="B796" s="2" t="str">
        <x:v>Venezuela (Bolivarian Republic of)</x:v>
      </x:c>
      <x:c r="C796" s="2" t="n">
        <x:v>2020</x:v>
      </x:c>
      <x:c r="D796" s="2" t="str">
        <x:v>GHSL_SURFACE</x:v>
      </x:c>
      <x:c r="E796" s="17" t="n">
        <x:v>1159546607.6500015</x:v>
      </x:c>
      <x:c r="F796" s="17" t="n">
        <x:f>IF(AND(M796,ISNUMBER(R796)),IF(D796="TEMPO_PROXY",R796,IF(AND(ISNUMBER(S796),S796&gt;0,ISNUMBER(U796)),U796*R796/S796,"n.a.")),"n.a.")</x:f>
        <x:v>1468777487.000002</x:v>
      </x:c>
      <x:c r="G796" s="17" t="n">
        <x:f>IF(AND(ISNUMBER(E796),ISNUMBER(F796)),E796-F796,"n.a.")</x:f>
        <x:v>-309230879.3500004</x:v>
      </x:c>
      <x:c r="H796" s="15" t="n">
        <x:f>IF(AND(ISNUMBER(E796),ISNUMBER(F796),F796&gt;0),(E796-F796)/F796,"n.a.")</x:f>
        <x:v>-0.21053623308293531</x:v>
      </x:c>
      <x:c r="I796" s="19" t="n">
        <x:f>IF(ISNUMBER(H796),ABS(H796),"n.a.")</x:f>
        <x:v>0.21053623308293531</x:v>
      </x:c>
      <x:c r="J796" s="2" t="str">
        <x:v>available</x:v>
      </x:c>
      <x:c r="K796" s="2" t="n">
        <x:v>1</x:v>
      </x:c>
      <x:c r="L796" s="13" t="b">
        <x:v>0</x:v>
      </x:c>
      <x:c r="M796" s="13" t="b">
        <x:v>1</x:v>
      </x:c>
      <x:c r="N796" s="2" t="str">
        <x:v>historical source estimate</x:v>
      </x:c>
      <x:c r="O796" s="2" t="str"/>
      <x:c r="P796" s="2" t="str">
        <x:v>horizontal built-up surface</x:v>
      </x:c>
      <x:c r="Q796" s="2" t="str">
        <x:v>m2</x:v>
      </x:c>
      <x:c r="R796" s="17" t="n">
        <x:v>1468777487</x:v>
      </x:c>
      <x:c r="S796" s="17" t="n">
        <x:v>1159546607.65</x:v>
      </x:c>
      <x:c r="T796" s="18" t="n">
        <x:v>1.0000000000000013</x:v>
      </x:c>
      <x:c r="U796" s="17" t="n">
        <x:v>1159546607.6500015</x:v>
      </x:c>
      <x:c r="V796" s="2" t="str">
        <x:v>Area equivalent = model2020 * source surface / TEMPO2020 footprint</x:v>
      </x:c>
      <x:c r="W796" s="2" t="str">
        <x:v>legacy epoch_status=observed; not exact acquisition proof</x:v>
      </x:c>
      <x:c r="X796" s="2" t="str">
        <x:v>https://human-settlement.emergency.copernicus.eu/ghs_buS2023.php</x:v>
      </x:c>
    </x:row>
    <x:row r="797" ht="23" customHeight="1">
      <x:c r="A797" s="2" t="str">
        <x:v>VNM</x:v>
      </x:c>
      <x:c r="B797" s="2" t="str">
        <x:v>Viet Nam (Socialist Republic of)</x:v>
      </x:c>
      <x:c r="C797" s="2" t="n">
        <x:v>2020</x:v>
      </x:c>
      <x:c r="D797" s="2" t="str">
        <x:v>GHSL_SURFACE</x:v>
      </x:c>
      <x:c r="E797" s="17" t="n">
        <x:v>4861867508.520002</x:v>
      </x:c>
      <x:c r="F797" s="17" t="n">
        <x:f>IF(AND(M797,ISNUMBER(R797)),IF(D797="TEMPO_PROXY",R797,IF(AND(ISNUMBER(S797),S797&gt;0,ISNUMBER(U797)),U797*R797/S797,"n.a.")),"n.a.")</x:f>
        <x:v>5117373019.385773</x:v>
      </x:c>
      <x:c r="G797" s="17" t="n">
        <x:f>IF(AND(ISNUMBER(E797),ISNUMBER(F797)),E797-F797,"n.a.")</x:f>
        <x:v>-255505510.86577034</x:v>
      </x:c>
      <x:c r="H797" s="15" t="n">
        <x:f>IF(AND(ISNUMBER(E797),ISNUMBER(F797),F797&gt;0),(E797-F797)/F797,"n.a.")</x:f>
        <x:v>-0.049929037789087756</x:v>
      </x:c>
      <x:c r="I797" s="19" t="n">
        <x:f>IF(ISNUMBER(H797),ABS(H797),"n.a.")</x:f>
        <x:v>0.049929037789087756</x:v>
      </x:c>
      <x:c r="J797" s="2" t="str">
        <x:v>available</x:v>
      </x:c>
      <x:c r="K797" s="2" t="n">
        <x:v>1</x:v>
      </x:c>
      <x:c r="L797" s="13" t="b">
        <x:v>0</x:v>
      </x:c>
      <x:c r="M797" s="13" t="b">
        <x:v>1</x:v>
      </x:c>
      <x:c r="N797" s="2" t="str">
        <x:v>historical source estimate</x:v>
      </x:c>
      <x:c r="O797" s="2" t="str"/>
      <x:c r="P797" s="2" t="str">
        <x:v>horizontal built-up surface</x:v>
      </x:c>
      <x:c r="Q797" s="2" t="str">
        <x:v>m2</x:v>
      </x:c>
      <x:c r="R797" s="17" t="n">
        <x:v>5026264760</x:v>
      </x:c>
      <x:c r="S797" s="17" t="n">
        <x:v>4775308196.86</x:v>
      </x:c>
      <x:c r="T797" s="18" t="n">
        <x:v>1.0181264345863414</x:v>
      </x:c>
      <x:c r="U797" s="17" t="n">
        <x:v>4861867508.520002</x:v>
      </x:c>
      <x:c r="V797" s="2" t="str">
        <x:v>Area equivalent = model2020 * source surface / TEMPO2020 footprint</x:v>
      </x:c>
      <x:c r="W797" s="2" t="str">
        <x:v>legacy epoch_status=observed; not exact acquisition proof</x:v>
      </x:c>
      <x:c r="X797" s="2" t="str">
        <x:v>https://human-settlement.emergency.copernicus.eu/ghs_buS2023.php</x:v>
      </x:c>
    </x:row>
    <x:row r="798" ht="23" customHeight="1">
      <x:c r="A798" s="2" t="str">
        <x:v>VUT</x:v>
      </x:c>
      <x:c r="B798" s="2" t="str">
        <x:v>Vanuatu (Republic of)</x:v>
      </x:c>
      <x:c r="C798" s="2" t="n">
        <x:v>2020</x:v>
      </x:c>
      <x:c r="D798" s="2" t="str">
        <x:v>GHSL_SURFACE</x:v>
      </x:c>
      <x:c r="E798" s="17" t="n">
        <x:v>8193524.700000004</x:v>
      </x:c>
      <x:c r="F798" s="17" t="n">
        <x:f>IF(AND(M798,ISNUMBER(R798)),IF(D798="TEMPO_PROXY",R798,IF(AND(ISNUMBER(S798),S798&gt;0,ISNUMBER(U798)),U798*R798/S798,"n.a.")),"n.a.")</x:f>
        <x:v>10341804.000000006</x:v>
      </x:c>
      <x:c r="G798" s="17" t="n">
        <x:f>IF(AND(ISNUMBER(E798),ISNUMBER(F798)),E798-F798,"n.a.")</x:f>
        <x:v>-2148279.3000000017</x:v>
      </x:c>
      <x:c r="H798" s="15" t="n">
        <x:f>IF(AND(ISNUMBER(E798),ISNUMBER(F798),F798&gt;0),(E798-F798)/F798,"n.a.")</x:f>
        <x:v>-0.20772771365614748</x:v>
      </x:c>
      <x:c r="I798" s="19" t="n">
        <x:f>IF(ISNUMBER(H798),ABS(H798),"n.a.")</x:f>
        <x:v>0.20772771365614748</x:v>
      </x:c>
      <x:c r="J798" s="2" t="str">
        <x:v>available</x:v>
      </x:c>
      <x:c r="K798" s="2" t="n">
        <x:v>1</x:v>
      </x:c>
      <x:c r="L798" s="13" t="b">
        <x:v>0</x:v>
      </x:c>
      <x:c r="M798" s="13" t="b">
        <x:v>1</x:v>
      </x:c>
      <x:c r="N798" s="2" t="str">
        <x:v>historical source estimate</x:v>
      </x:c>
      <x:c r="O798" s="2" t="str"/>
      <x:c r="P798" s="2" t="str">
        <x:v>horizontal built-up surface</x:v>
      </x:c>
      <x:c r="Q798" s="2" t="str">
        <x:v>m2</x:v>
      </x:c>
      <x:c r="R798" s="17" t="n">
        <x:v>10341804</x:v>
      </x:c>
      <x:c r="S798" s="17" t="n">
        <x:v>8193524.7</x:v>
      </x:c>
      <x:c r="T798" s="18" t="n">
        <x:v>1.0000000000000004</x:v>
      </x:c>
      <x:c r="U798" s="17" t="n">
        <x:v>8193524.700000004</x:v>
      </x:c>
      <x:c r="V798" s="2" t="str">
        <x:v>Area equivalent = model2020 * source surface / TEMPO2020 footprint</x:v>
      </x:c>
      <x:c r="W798" s="2" t="str">
        <x:v>legacy epoch_status=observed; not exact acquisition proof</x:v>
      </x:c>
      <x:c r="X798" s="2" t="str">
        <x:v>https://human-settlement.emergency.copernicus.eu/ghs_buS2023.php</x:v>
      </x:c>
    </x:row>
    <x:row r="799" ht="23" customHeight="1">
      <x:c r="A799" s="2" t="str">
        <x:v>WSM</x:v>
      </x:c>
      <x:c r="B799" s="2" t="str">
        <x:v>Samoa (Independent State of)</x:v>
      </x:c>
      <x:c r="C799" s="2" t="n">
        <x:v>2020</x:v>
      </x:c>
      <x:c r="D799" s="2" t="str">
        <x:v>GHSL_SURFACE</x:v>
      </x:c>
      <x:c r="E799" s="17" t="n">
        <x:v>8105266.000000001</x:v>
      </x:c>
      <x:c r="F799" s="17" t="n">
        <x:f>IF(AND(M799,ISNUMBER(R799)),IF(D799="TEMPO_PROXY",R799,IF(AND(ISNUMBER(S799),S799&gt;0,ISNUMBER(U799)),U799*R799/S799,"n.a.")),"n.a.")</x:f>
        <x:v>12412460.000000002</x:v>
      </x:c>
      <x:c r="G799" s="17" t="n">
        <x:f>IF(AND(ISNUMBER(E799),ISNUMBER(F799)),E799-F799,"n.a.")</x:f>
        <x:v>-4307194.000000001</x:v>
      </x:c>
      <x:c r="H799" s="15" t="n">
        <x:f>IF(AND(ISNUMBER(E799),ISNUMBER(F799),F799&gt;0),(E799-F799)/F799,"n.a.")</x:f>
        <x:v>-0.3470056701089067</x:v>
      </x:c>
      <x:c r="I799" s="19" t="n">
        <x:f>IF(ISNUMBER(H799),ABS(H799),"n.a.")</x:f>
        <x:v>0.3470056701089067</x:v>
      </x:c>
      <x:c r="J799" s="2" t="str">
        <x:v>available</x:v>
      </x:c>
      <x:c r="K799" s="2" t="n">
        <x:v>1</x:v>
      </x:c>
      <x:c r="L799" s="13" t="b">
        <x:v>0</x:v>
      </x:c>
      <x:c r="M799" s="13" t="b">
        <x:v>1</x:v>
      </x:c>
      <x:c r="N799" s="2" t="str">
        <x:v>historical source estimate</x:v>
      </x:c>
      <x:c r="O799" s="2" t="str"/>
      <x:c r="P799" s="2" t="str">
        <x:v>horizontal built-up surface</x:v>
      </x:c>
      <x:c r="Q799" s="2" t="str">
        <x:v>m2</x:v>
      </x:c>
      <x:c r="R799" s="17" t="n">
        <x:v>12412460</x:v>
      </x:c>
      <x:c r="S799" s="17" t="n">
        <x:v>8105266</x:v>
      </x:c>
      <x:c r="T799" s="18" t="n">
        <x:v>1.0000000000000002</x:v>
      </x:c>
      <x:c r="U799" s="17" t="n">
        <x:v>8105266.000000001</x:v>
      </x:c>
      <x:c r="V799" s="2" t="str">
        <x:v>Area equivalent = model2020 * source surface / TEMPO2020 footprint</x:v>
      </x:c>
      <x:c r="W799" s="2" t="str">
        <x:v>legacy epoch_status=observed; not exact acquisition proof</x:v>
      </x:c>
      <x:c r="X799" s="2" t="str">
        <x:v>https://human-settlement.emergency.copernicus.eu/ghs_buS2023.php</x:v>
      </x:c>
    </x:row>
    <x:row r="800" ht="23" customHeight="1">
      <x:c r="A800" s="2" t="str">
        <x:v>YEM</x:v>
      </x:c>
      <x:c r="B800" s="2" t="str">
        <x:v>Yemen (Republic of)</x:v>
      </x:c>
      <x:c r="C800" s="2" t="n">
        <x:v>2020</x:v>
      </x:c>
      <x:c r="D800" s="2" t="str">
        <x:v>GHSL_SURFACE</x:v>
      </x:c>
      <x:c r="E800" s="17" t="n">
        <x:v>454480387.6899993</x:v>
      </x:c>
      <x:c r="F800" s="17" t="n">
        <x:f>IF(AND(M800,ISNUMBER(R800)),IF(D800="TEMPO_PROXY",R800,IF(AND(ISNUMBER(S800),S800&gt;0,ISNUMBER(U800)),U800*R800/S800,"n.a.")),"n.a.")</x:f>
        <x:v>260274945.9999996</x:v>
      </x:c>
      <x:c r="G800" s="17" t="n">
        <x:f>IF(AND(ISNUMBER(E800),ISNUMBER(F800)),E800-F800,"n.a.")</x:f>
        <x:v>194205441.68999967</x:v>
      </x:c>
      <x:c r="H800" s="15" t="n">
        <x:f>IF(AND(ISNUMBER(E800),ISNUMBER(F800),F800&gt;0),(E800-F800)/F800,"n.a.")</x:f>
        <x:v>0.746154959110048</x:v>
      </x:c>
      <x:c r="I800" s="19" t="n">
        <x:f>IF(ISNUMBER(H800),ABS(H800),"n.a.")</x:f>
        <x:v>0.746154959110048</x:v>
      </x:c>
      <x:c r="J800" s="2" t="str">
        <x:v>available</x:v>
      </x:c>
      <x:c r="K800" s="2" t="n">
        <x:v>1</x:v>
      </x:c>
      <x:c r="L800" s="13" t="b">
        <x:v>0</x:v>
      </x:c>
      <x:c r="M800" s="13" t="b">
        <x:v>1</x:v>
      </x:c>
      <x:c r="N800" s="2" t="str">
        <x:v>historical source estimate</x:v>
      </x:c>
      <x:c r="O800" s="2" t="str"/>
      <x:c r="P800" s="2" t="str">
        <x:v>horizontal built-up surface</x:v>
      </x:c>
      <x:c r="Q800" s="2" t="str">
        <x:v>m2</x:v>
      </x:c>
      <x:c r="R800" s="17" t="n">
        <x:v>260274946</x:v>
      </x:c>
      <x:c r="S800" s="17" t="n">
        <x:v>454480387.69</x:v>
      </x:c>
      <x:c r="T800" s="18" t="n">
        <x:v>0.9999999999999984</x:v>
      </x:c>
      <x:c r="U800" s="17" t="n">
        <x:v>454480387.6899993</x:v>
      </x:c>
      <x:c r="V800" s="2" t="str">
        <x:v>Area equivalent = model2020 * source surface / TEMPO2020 footprint</x:v>
      </x:c>
      <x:c r="W800" s="2" t="str">
        <x:v>legacy epoch_status=observed; not exact acquisition proof</x:v>
      </x:c>
      <x:c r="X800" s="2" t="str">
        <x:v>https://human-settlement.emergency.copernicus.eu/ghs_buS2023.php</x:v>
      </x:c>
    </x:row>
    <x:row r="801" ht="23" customHeight="1">
      <x:c r="A801" s="2" t="str">
        <x:v>ZAF</x:v>
      </x:c>
      <x:c r="B801" s="2" t="str">
        <x:v>South Africa (Republic of)</x:v>
      </x:c>
      <x:c r="C801" s="2" t="n">
        <x:v>2020</x:v>
      </x:c>
      <x:c r="D801" s="2" t="str">
        <x:v>GHSL_SURFACE</x:v>
      </x:c>
      <x:c r="E801" s="17" t="n">
        <x:v>2711325840.6099963</x:v>
      </x:c>
      <x:c r="F801" s="17" t="n">
        <x:f>IF(AND(M801,ISNUMBER(R801)),IF(D801="TEMPO_PROXY",R801,IF(AND(ISNUMBER(S801),S801&gt;0,ISNUMBER(U801)),U801*R801/S801,"n.a.")),"n.a.")</x:f>
        <x:v>6330801325.999991</x:v>
      </x:c>
      <x:c r="G801" s="17" t="n">
        <x:f>IF(AND(ISNUMBER(E801),ISNUMBER(F801)),E801-F801,"n.a.")</x:f>
        <x:v>-3619475485.389995</x:v>
      </x:c>
      <x:c r="H801" s="15" t="n">
        <x:f>IF(AND(ISNUMBER(E801),ISNUMBER(F801),F801&gt;0),(E801-F801)/F801,"n.a.")</x:f>
        <x:v>-0.571724699450788</x:v>
      </x:c>
      <x:c r="I801" s="19" t="n">
        <x:f>IF(ISNUMBER(H801),ABS(H801),"n.a.")</x:f>
        <x:v>0.571724699450788</x:v>
      </x:c>
      <x:c r="J801" s="2" t="str">
        <x:v>available</x:v>
      </x:c>
      <x:c r="K801" s="2" t="n">
        <x:v>1</x:v>
      </x:c>
      <x:c r="L801" s="13" t="b">
        <x:v>0</x:v>
      </x:c>
      <x:c r="M801" s="13" t="b">
        <x:v>1</x:v>
      </x:c>
      <x:c r="N801" s="2" t="str">
        <x:v>historical source estimate</x:v>
      </x:c>
      <x:c r="O801" s="2" t="str"/>
      <x:c r="P801" s="2" t="str">
        <x:v>horizontal built-up surface</x:v>
      </x:c>
      <x:c r="Q801" s="2" t="str">
        <x:v>m2</x:v>
      </x:c>
      <x:c r="R801" s="17" t="n">
        <x:v>6330801326</x:v>
      </x:c>
      <x:c r="S801" s="17" t="n">
        <x:v>2711325840.61</x:v>
      </x:c>
      <x:c r="T801" s="18" t="n">
        <x:v>0.9999999999999986</x:v>
      </x:c>
      <x:c r="U801" s="17" t="n">
        <x:v>2711325840.6099963</x:v>
      </x:c>
      <x:c r="V801" s="2" t="str">
        <x:v>Area equivalent = model2020 * source surface / TEMPO2020 footprint</x:v>
      </x:c>
      <x:c r="W801" s="2" t="str">
        <x:v>legacy epoch_status=observed; not exact acquisition proof</x:v>
      </x:c>
      <x:c r="X801" s="2" t="str">
        <x:v>https://human-settlement.emergency.copernicus.eu/ghs_buS2023.php</x:v>
      </x:c>
    </x:row>
    <x:row r="802" ht="23" customHeight="1">
      <x:c r="A802" s="2" t="str">
        <x:v>ZMB</x:v>
      </x:c>
      <x:c r="B802" s="2" t="str">
        <x:v>Zambia (Republic of)</x:v>
      </x:c>
      <x:c r="C802" s="2" t="n">
        <x:v>2020</x:v>
      </x:c>
      <x:c r="D802" s="2" t="str">
        <x:v>GHSL_SURFACE</x:v>
      </x:c>
      <x:c r="E802" s="17" t="n">
        <x:v>396696842.49999976</x:v>
      </x:c>
      <x:c r="F802" s="17" t="n">
        <x:f>IF(AND(M802,ISNUMBER(R802)),IF(D802="TEMPO_PROXY",R802,IF(AND(ISNUMBER(S802),S802&gt;0,ISNUMBER(U802)),U802*R802/S802,"n.a.")),"n.a.")</x:f>
        <x:v>1372179147.999999</x:v>
      </x:c>
      <x:c r="G802" s="17" t="n">
        <x:f>IF(AND(ISNUMBER(E802),ISNUMBER(F802)),E802-F802,"n.a.")</x:f>
        <x:v>-975482305.4999993</x:v>
      </x:c>
      <x:c r="H802" s="15" t="n">
        <x:f>IF(AND(ISNUMBER(E802),ISNUMBER(F802),F802&gt;0),(E802-F802)/F802,"n.a.")</x:f>
        <x:v>-0.7109001087225383</x:v>
      </x:c>
      <x:c r="I802" s="19" t="n">
        <x:f>IF(ISNUMBER(H802),ABS(H802),"n.a.")</x:f>
        <x:v>0.7109001087225383</x:v>
      </x:c>
      <x:c r="J802" s="2" t="str">
        <x:v>available</x:v>
      </x:c>
      <x:c r="K802" s="2" t="n">
        <x:v>1</x:v>
      </x:c>
      <x:c r="L802" s="13" t="b">
        <x:v>0</x:v>
      </x:c>
      <x:c r="M802" s="13" t="b">
        <x:v>1</x:v>
      </x:c>
      <x:c r="N802" s="2" t="str">
        <x:v>historical source estimate</x:v>
      </x:c>
      <x:c r="O802" s="2" t="str"/>
      <x:c r="P802" s="2" t="str">
        <x:v>horizontal built-up surface</x:v>
      </x:c>
      <x:c r="Q802" s="2" t="str">
        <x:v>m2</x:v>
      </x:c>
      <x:c r="R802" s="17" t="n">
        <x:v>1372179148</x:v>
      </x:c>
      <x:c r="S802" s="17" t="n">
        <x:v>396696842.5</x:v>
      </x:c>
      <x:c r="T802" s="18" t="n">
        <x:v>0.9999999999999994</x:v>
      </x:c>
      <x:c r="U802" s="17" t="n">
        <x:v>396696842.49999976</x:v>
      </x:c>
      <x:c r="V802" s="2" t="str">
        <x:v>Area equivalent = model2020 * source surface / TEMPO2020 footprint</x:v>
      </x:c>
      <x:c r="W802" s="2" t="str">
        <x:v>legacy epoch_status=observed; not exact acquisition proof</x:v>
      </x:c>
      <x:c r="X802" s="2" t="str">
        <x:v>https://human-settlement.emergency.copernicus.eu/ghs_buS2023.php</x:v>
      </x:c>
    </x:row>
    <x:row r="803" ht="23" customHeight="1">
      <x:c r="A803" s="2" t="str">
        <x:v>ZWE</x:v>
      </x:c>
      <x:c r="B803" s="2" t="str">
        <x:v>Zimbabwe (Republic of)</x:v>
      </x:c>
      <x:c r="C803" s="2" t="n">
        <x:v>2020</x:v>
      </x:c>
      <x:c r="D803" s="2" t="str">
        <x:v>GHSL_SURFACE</x:v>
      </x:c>
      <x:c r="E803" s="17" t="n">
        <x:v>420425813.9799996</x:v>
      </x:c>
      <x:c r="F803" s="17" t="n">
        <x:f>IF(AND(M803,ISNUMBER(R803)),IF(D803="TEMPO_PROXY",R803,IF(AND(ISNUMBER(S803),S803&gt;0,ISNUMBER(U803)),U803*R803/S803,"n.a.")),"n.a.")</x:f>
        <x:v>1327037942.9999986</x:v>
      </x:c>
      <x:c r="G803" s="17" t="n">
        <x:f>IF(AND(ISNUMBER(E803),ISNUMBER(F803)),E803-F803,"n.a.")</x:f>
        <x:v>-906612129.019999</x:v>
      </x:c>
      <x:c r="H803" s="15" t="n">
        <x:f>IF(AND(ISNUMBER(E803),ISNUMBER(F803),F803&gt;0),(E803-F803)/F803,"n.a.")</x:f>
        <x:v>-0.6831847829237239</x:v>
      </x:c>
      <x:c r="I803" s="19" t="n">
        <x:f>IF(ISNUMBER(H803),ABS(H803),"n.a.")</x:f>
        <x:v>0.6831847829237239</x:v>
      </x:c>
      <x:c r="J803" s="2" t="str">
        <x:v>available</x:v>
      </x:c>
      <x:c r="K803" s="2" t="n">
        <x:v>1</x:v>
      </x:c>
      <x:c r="L803" s="13" t="b">
        <x:v>0</x:v>
      </x:c>
      <x:c r="M803" s="13" t="b">
        <x:v>1</x:v>
      </x:c>
      <x:c r="N803" s="2" t="str">
        <x:v>historical source estimate</x:v>
      </x:c>
      <x:c r="O803" s="2" t="str"/>
      <x:c r="P803" s="2" t="str">
        <x:v>horizontal built-up surface</x:v>
      </x:c>
      <x:c r="Q803" s="2" t="str">
        <x:v>m2</x:v>
      </x:c>
      <x:c r="R803" s="17" t="n">
        <x:v>1327037943</x:v>
      </x:c>
      <x:c r="S803" s="17" t="n">
        <x:v>420425813.98</x:v>
      </x:c>
      <x:c r="T803" s="18" t="n">
        <x:v>0.999999999999999</x:v>
      </x:c>
      <x:c r="U803" s="17" t="n">
        <x:v>420425813.9799996</x:v>
      </x:c>
      <x:c r="V803" s="2" t="str">
        <x:v>Area equivalent = model2020 * source surface / TEMPO2020 footprint</x:v>
      </x:c>
      <x:c r="W803" s="2" t="str">
        <x:v>legacy epoch_status=observed; not exact acquisition proof</x:v>
      </x:c>
      <x:c r="X803" s="2" t="str">
        <x:v>https://human-settlement.emergency.copernicus.eu/ghs_buS2023.php</x:v>
      </x:c>
    </x:row>
    <x:row r="804" ht="23" customHeight="1">
      <x:c r="A804" s="2" t="str">
        <x:v>AFG</x:v>
      </x:c>
      <x:c r="B804" s="2" t="str">
        <x:v>Afghanistan (Islamic Republic of)</x:v>
      </x:c>
      <x:c r="C804" s="2" t="n">
        <x:v>2015</x:v>
      </x:c>
      <x:c r="D804" s="2" t="str">
        <x:v>GHSL_VOLUME</x:v>
      </x:c>
      <x:c r="E804" s="17" t="n">
        <x:v>723941377.8198509</x:v>
      </x:c>
      <x:c r="F804" s="17" t="n">
        <x:f>IF(AND(M804,ISNUMBER(R804)),IF(D804="TEMPO_PROXY",R804,IF(AND(ISNUMBER(S804),S804&gt;0,ISNUMBER(U804)),U804*R804/S804,"n.a.")),"n.a.")</x:f>
        <x:v>967720955.7226315</x:v>
      </x:c>
      <x:c r="G804" s="17" t="n">
        <x:f>IF(AND(ISNUMBER(E804),ISNUMBER(F804)),E804-F804,"n.a.")</x:f>
        <x:v>-243779577.90278053</x:v>
      </x:c>
      <x:c r="H804" s="15" t="n">
        <x:f>IF(AND(ISNUMBER(E804),ISNUMBER(F804),F804&gt;0),(E804-F804)/F804,"n.a.")</x:f>
        <x:v>-0.25191102503380397</x:v>
      </x:c>
      <x:c r="I804" s="19" t="n">
        <x:f>IF(ISNUMBER(H804),ABS(H804),"n.a.")</x:f>
        <x:v>0.25191102503380397</x:v>
      </x:c>
      <x:c r="J804" s="2" t="str">
        <x:v>available</x:v>
      </x:c>
      <x:c r="K804" s="2" t="n">
        <x:v>1</x:v>
      </x:c>
      <x:c r="L804" s="13" t="b">
        <x:v>0</x:v>
      </x:c>
      <x:c r="M804" s="13" t="b">
        <x:v>1</x:v>
      </x:c>
      <x:c r="N804" s="2" t="str">
        <x:v>modeled_epoch_volume_with_fixed2018_height_and_predominant_use</x:v>
      </x:c>
      <x:c r="O804" s="2" t="str"/>
      <x:c r="P804" s="2" t="str">
        <x:v>built-up volume</x:v>
      </x:c>
      <x:c r="Q804" s="2" t="str">
        <x:v>m3</x:v>
      </x:c>
      <x:c r="R804" s="17" t="n">
        <x:v>2163834616.5529413</x:v>
      </x:c>
      <x:c r="S804" s="17" t="n">
        <x:v>1907783364.98</x:v>
      </x:c>
      <x:c r="T804" s="18" t="n">
        <x:v>0.4472250089354067</x:v>
      </x:c>
      <x:c r="U804" s="17" t="n">
        <x:v>853208432.4500008</x:v>
      </x:c>
      <x:c r="V804" s="2" t="str">
        <x:v>Area equivalent = model2020 * source volume / TEMPO2020 volume</x:v>
      </x:c>
      <x:c r="W804" s="2" t="str">
        <x:v>qualified_paired_native_source_frame</x:v>
      </x:c>
      <x:c r="X804" s="2" t="str">
        <x:v>https://human-settlement.emergency.copernicus.eu/ghs_buV2023.php</x:v>
      </x:c>
    </x:row>
    <x:row r="805" ht="23" customHeight="1">
      <x:c r="A805" s="2" t="str">
        <x:v>AGO</x:v>
      </x:c>
      <x:c r="B805" s="2" t="str">
        <x:v>Angola (Republic of)</x:v>
      </x:c>
      <x:c r="C805" s="2" t="n">
        <x:v>2015</x:v>
      </x:c>
      <x:c r="D805" s="2" t="str">
        <x:v>GHSL_VOLUME</x:v>
      </x:c>
      <x:c r="E805" s="17" t="n">
        <x:v>402759467.7748718</x:v>
      </x:c>
      <x:c r="F805" s="17" t="n">
        <x:f>IF(AND(M805,ISNUMBER(R805)),IF(D805="TEMPO_PROXY",R805,IF(AND(ISNUMBER(S805),S805&gt;0,ISNUMBER(U805)),U805*R805/S805,"n.a.")),"n.a.")</x:f>
        <x:v>2152144026.4569197</x:v>
      </x:c>
      <x:c r="G805" s="17" t="n">
        <x:f>IF(AND(ISNUMBER(E805),ISNUMBER(F805)),E805-F805,"n.a.")</x:f>
        <x:v>-1749384558.6820478</x:v>
      </x:c>
      <x:c r="H805" s="15" t="n">
        <x:f>IF(AND(ISNUMBER(E805),ISNUMBER(F805),F805&gt;0),(E805-F805)/F805,"n.a.")</x:f>
        <x:v>-0.8128566383923962</x:v>
      </x:c>
      <x:c r="I805" s="19" t="n">
        <x:f>IF(ISNUMBER(H805),ABS(H805),"n.a.")</x:f>
        <x:v>0.8128566383923962</x:v>
      </x:c>
      <x:c r="J805" s="2" t="str">
        <x:v>available</x:v>
      </x:c>
      <x:c r="K805" s="2" t="n">
        <x:v>1</x:v>
      </x:c>
      <x:c r="L805" s="13" t="b">
        <x:v>0</x:v>
      </x:c>
      <x:c r="M805" s="13" t="b">
        <x:v>1</x:v>
      </x:c>
      <x:c r="N805" s="2" t="str">
        <x:v>modeled_epoch_volume_with_fixed2018_height_and_predominant_use</x:v>
      </x:c>
      <x:c r="O805" s="2" t="str"/>
      <x:c r="P805" s="2" t="str">
        <x:v>built-up volume</x:v>
      </x:c>
      <x:c r="Q805" s="2" t="str">
        <x:v>m3</x:v>
      </x:c>
      <x:c r="R805" s="17" t="n">
        <x:v>5252025248.603921</x:v>
      </x:c>
      <x:c r="S805" s="17" t="n">
        <x:v>1250700306.27</x:v>
      </x:c>
      <x:c r="T805" s="18" t="n">
        <x:v>0.40977412037937117</x:v>
      </x:c>
      <x:c r="U805" s="17" t="n">
        <x:v>512504617.85999936</x:v>
      </x:c>
      <x:c r="V805" s="2" t="str">
        <x:v>Area equivalent = model2020 * source volume / TEMPO2020 volume</x:v>
      </x:c>
      <x:c r="W805" s="2" t="str">
        <x:v>qualified_paired_native_source_frame</x:v>
      </x:c>
      <x:c r="X805" s="2" t="str">
        <x:v>https://human-settlement.emergency.copernicus.eu/ghs_buV2023.php</x:v>
      </x:c>
    </x:row>
    <x:row r="806" ht="23" customHeight="1">
      <x:c r="A806" s="2" t="str">
        <x:v>ALB</x:v>
      </x:c>
      <x:c r="B806" s="2" t="str">
        <x:v>Albania (Republic of)</x:v>
      </x:c>
      <x:c r="C806" s="2" t="n">
        <x:v>2015</x:v>
      </x:c>
      <x:c r="D806" s="2" t="str">
        <x:v>GHSL_VOLUME</x:v>
      </x:c>
      <x:c r="E806" s="17" t="n">
        <x:v>152591911.14729556</x:v>
      </x:c>
      <x:c r="F806" s="17" t="n">
        <x:f>IF(AND(M806,ISNUMBER(R806)),IF(D806="TEMPO_PROXY",R806,IF(AND(ISNUMBER(S806),S806&gt;0,ISNUMBER(U806)),U806*R806/S806,"n.a.")),"n.a.")</x:f>
        <x:v>335716420.1151798</x:v>
      </x:c>
      <x:c r="G806" s="17" t="n">
        <x:f>IF(AND(ISNUMBER(E806),ISNUMBER(F806)),E806-F806,"n.a.")</x:f>
        <x:v>-183124508.9678842</x:v>
      </x:c>
      <x:c r="H806" s="15" t="n">
        <x:f>IF(AND(ISNUMBER(E806),ISNUMBER(F806),F806&gt;0),(E806-F806)/F806,"n.a.")</x:f>
        <x:v>-0.5454737927476311</x:v>
      </x:c>
      <x:c r="I806" s="19" t="n">
        <x:f>IF(ISNUMBER(H806),ABS(H806),"n.a.")</x:f>
        <x:v>0.5454737927476311</x:v>
      </x:c>
      <x:c r="J806" s="2" t="str">
        <x:v>available</x:v>
      </x:c>
      <x:c r="K806" s="2" t="n">
        <x:v>1</x:v>
      </x:c>
      <x:c r="L806" s="13" t="b">
        <x:v>0</x:v>
      </x:c>
      <x:c r="M806" s="13" t="b">
        <x:v>1</x:v>
      </x:c>
      <x:c r="N806" s="2" t="str">
        <x:v>modeled_epoch_volume_with_fixed2018_height_and_predominant_use</x:v>
      </x:c>
      <x:c r="O806" s="2" t="str"/>
      <x:c r="P806" s="2" t="str">
        <x:v>built-up volume</x:v>
      </x:c>
      <x:c r="Q806" s="2" t="str">
        <x:v>m3</x:v>
      </x:c>
      <x:c r="R806" s="17" t="n">
        <x:v>958250352.2862743</x:v>
      </x:c>
      <x:c r="S806" s="17" t="n">
        <x:v>460338375.08</x:v>
      </x:c>
      <x:c r="T806" s="18" t="n">
        <x:v>0.3503431220392451</x:v>
      </x:c>
      <x:c r="U806" s="17" t="n">
        <x:v>161276383.52000022</x:v>
      </x:c>
      <x:c r="V806" s="2" t="str">
        <x:v>Area equivalent = model2020 * source volume / TEMPO2020 volume</x:v>
      </x:c>
      <x:c r="W806" s="2" t="str">
        <x:v>qualified_paired_native_source_frame</x:v>
      </x:c>
      <x:c r="X806" s="2" t="str">
        <x:v>https://human-settlement.emergency.copernicus.eu/ghs_buV2023.php</x:v>
      </x:c>
    </x:row>
    <x:row r="807" ht="23" customHeight="1">
      <x:c r="A807" s="2" t="str">
        <x:v>AND</x:v>
      </x:c>
      <x:c r="B807" s="2" t="str">
        <x:v>Andorra (Principality of)</x:v>
      </x:c>
      <x:c r="C807" s="2" t="n">
        <x:v>2015</x:v>
      </x:c>
      <x:c r="D807" s="2" t="str">
        <x:v>GHSL_VOLUME</x:v>
      </x:c>
      <x:c r="E807" s="17" t="n">
        <x:v>2845560.5783106415</x:v>
      </x:c>
      <x:c r="F807" s="17" t="n">
        <x:f>IF(AND(M807,ISNUMBER(R807)),IF(D807="TEMPO_PROXY",R807,IF(AND(ISNUMBER(S807),S807&gt;0,ISNUMBER(U807)),U807*R807/S807,"n.a.")),"n.a.")</x:f>
        <x:v>2500822.3500271407</x:v>
      </x:c>
      <x:c r="G807" s="17" t="n">
        <x:f>IF(AND(ISNUMBER(E807),ISNUMBER(F807)),E807-F807,"n.a.")</x:f>
        <x:v>344738.22828350076</x:v>
      </x:c>
      <x:c r="H807" s="15" t="n">
        <x:f>IF(AND(ISNUMBER(E807),ISNUMBER(F807),F807&gt;0),(E807-F807)/F807,"n.a.")</x:f>
        <x:v>0.1378499469503539</x:v>
      </x:c>
      <x:c r="I807" s="19" t="n">
        <x:f>IF(ISNUMBER(H807),ABS(H807),"n.a.")</x:f>
        <x:v>0.1378499469503539</x:v>
      </x:c>
      <x:c r="J807" s="2" t="str">
        <x:v>available</x:v>
      </x:c>
      <x:c r="K807" s="2" t="n">
        <x:v>1</x:v>
      </x:c>
      <x:c r="L807" s="13" t="b">
        <x:v>0</x:v>
      </x:c>
      <x:c r="M807" s="13" t="b">
        <x:v>1</x:v>
      </x:c>
      <x:c r="N807" s="2" t="str">
        <x:v>modeled_epoch_volume_with_fixed2018_height_and_predominant_use</x:v>
      </x:c>
      <x:c r="O807" s="2" t="str"/>
      <x:c r="P807" s="2" t="str">
        <x:v>built-up volume</x:v>
      </x:c>
      <x:c r="Q807" s="2" t="str">
        <x:v>m3</x:v>
      </x:c>
      <x:c r="R807" s="17" t="n">
        <x:v>9506199.494117647</x:v>
      </x:c>
      <x:c r="S807" s="17" t="n">
        <x:v>11386387.31</x:v>
      </x:c>
      <x:c r="T807" s="18" t="n">
        <x:v>0.26307278230113174</x:v>
      </x:c>
      <x:c r="U807" s="17" t="n">
        <x:v>2995448.5899999994</x:v>
      </x:c>
      <x:c r="V807" s="2" t="str">
        <x:v>Area equivalent = model2020 * source volume / TEMPO2020 volume</x:v>
      </x:c>
      <x:c r="W807" s="2" t="str">
        <x:v>qualified_paired_native_source_frame</x:v>
      </x:c>
      <x:c r="X807" s="2" t="str">
        <x:v>https://human-settlement.emergency.copernicus.eu/ghs_buV2023.php</x:v>
      </x:c>
    </x:row>
    <x:row r="808" ht="23" customHeight="1">
      <x:c r="A808" s="2" t="str">
        <x:v>ARE</x:v>
      </x:c>
      <x:c r="B808" s="2" t="str">
        <x:v>United Arab Emirates</x:v>
      </x:c>
      <x:c r="C808" s="2" t="n">
        <x:v>2015</x:v>
      </x:c>
      <x:c r="D808" s="2" t="str">
        <x:v>GHSL_VOLUME</x:v>
      </x:c>
      <x:c r="E808" s="17" t="n">
        <x:v>432363221.29956406</x:v>
      </x:c>
      <x:c r="F808" s="17" t="n">
        <x:f>IF(AND(M808,ISNUMBER(R808)),IF(D808="TEMPO_PROXY",R808,IF(AND(ISNUMBER(S808),S808&gt;0,ISNUMBER(U808)),U808*R808/S808,"n.a.")),"n.a.")</x:f>
        <x:v>1241614694.7121127</x:v>
      </x:c>
      <x:c r="G808" s="17" t="n">
        <x:f>IF(AND(ISNUMBER(E808),ISNUMBER(F808)),E808-F808,"n.a.")</x:f>
        <x:v>-809251473.4125485</x:v>
      </x:c>
      <x:c r="H808" s="15" t="n">
        <x:f>IF(AND(ISNUMBER(E808),ISNUMBER(F808),F808&gt;0),(E808-F808)/F808,"n.a.")</x:f>
        <x:v>-0.6517734341088689</x:v>
      </x:c>
      <x:c r="I808" s="19" t="n">
        <x:f>IF(ISNUMBER(H808),ABS(H808),"n.a.")</x:f>
        <x:v>0.6517734341088689</x:v>
      </x:c>
      <x:c r="J808" s="2" t="str">
        <x:v>available</x:v>
      </x:c>
      <x:c r="K808" s="2" t="n">
        <x:v>1</x:v>
      </x:c>
      <x:c r="L808" s="13" t="b">
        <x:v>0</x:v>
      </x:c>
      <x:c r="M808" s="13" t="b">
        <x:v>1</x:v>
      </x:c>
      <x:c r="N808" s="2" t="str">
        <x:v>modeled_epoch_volume_with_fixed2018_height_and_predominant_use</x:v>
      </x:c>
      <x:c r="O808" s="2" t="str"/>
      <x:c r="P808" s="2" t="str">
        <x:v>built-up volume</x:v>
      </x:c>
      <x:c r="Q808" s="2" t="str">
        <x:v>m3</x:v>
      </x:c>
      <x:c r="R808" s="17" t="n">
        <x:v>4410561392.541177</x:v>
      </x:c>
      <x:c r="S808" s="17" t="n">
        <x:v>1818070625.75</x:v>
      </x:c>
      <x:c r="T808" s="18" t="n">
        <x:v>0.2815094461244416</x:v>
      </x:c>
      <x:c r="U808" s="17" t="n">
        <x:v>511804054.8699995</x:v>
      </x:c>
      <x:c r="V808" s="2" t="str">
        <x:v>Area equivalent = model2020 * source volume / TEMPO2020 volume</x:v>
      </x:c>
      <x:c r="W808" s="2" t="str">
        <x:v>qualified_paired_native_source_frame</x:v>
      </x:c>
      <x:c r="X808" s="2" t="str">
        <x:v>https://human-settlement.emergency.copernicus.eu/ghs_buV2023.php</x:v>
      </x:c>
    </x:row>
    <x:row r="809" ht="23" customHeight="1">
      <x:c r="A809" s="2" t="str">
        <x:v>ARG</x:v>
      </x:c>
      <x:c r="B809" s="2" t="str">
        <x:v>Argentina (Argentine Republic)</x:v>
      </x:c>
      <x:c r="C809" s="2" t="n">
        <x:v>2015</x:v>
      </x:c>
      <x:c r="D809" s="2" t="str">
        <x:v>GHSL_VOLUME</x:v>
      </x:c>
      <x:c r="E809" s="17" t="n">
        <x:v>2281407992.298051</x:v>
      </x:c>
      <x:c r="F809" s="17" t="n">
        <x:f>IF(AND(M809,ISNUMBER(R809)),IF(D809="TEMPO_PROXY",R809,IF(AND(ISNUMBER(S809),S809&gt;0,ISNUMBER(U809)),U809*R809/S809,"n.a.")),"n.a.")</x:f>
        <x:v>7666830612.989832</x:v>
      </x:c>
      <x:c r="G809" s="17" t="n">
        <x:f>IF(AND(ISNUMBER(E809),ISNUMBER(F809)),E809-F809,"n.a.")</x:f>
        <x:v>-5385422620.691781</x:v>
      </x:c>
      <x:c r="H809" s="15" t="n">
        <x:f>IF(AND(ISNUMBER(E809),ISNUMBER(F809),F809&gt;0),(E809-F809)/F809,"n.a.")</x:f>
        <x:v>-0.7024314077798086</x:v>
      </x:c>
      <x:c r="I809" s="19" t="n">
        <x:f>IF(ISNUMBER(H809),ABS(H809),"n.a.")</x:f>
        <x:v>0.7024314077798086</x:v>
      </x:c>
      <x:c r="J809" s="2" t="str">
        <x:v>available</x:v>
      </x:c>
      <x:c r="K809" s="2" t="n">
        <x:v>1</x:v>
      </x:c>
      <x:c r="L809" s="13" t="b">
        <x:v>0</x:v>
      </x:c>
      <x:c r="M809" s="13" t="b">
        <x:v>1</x:v>
      </x:c>
      <x:c r="N809" s="2" t="str">
        <x:v>modeled_epoch_volume_with_fixed2018_height_and_predominant_use</x:v>
      </x:c>
      <x:c r="O809" s="2" t="str"/>
      <x:c r="P809" s="2" t="str">
        <x:v>built-up volume</x:v>
      </x:c>
      <x:c r="Q809" s="2" t="str">
        <x:v>m3</x:v>
      </x:c>
      <x:c r="R809" s="17" t="n">
        <x:v>22295159127.75294</x:v>
      </x:c>
      <x:c r="S809" s="17" t="n">
        <x:v>6929595705.3</x:v>
      </x:c>
      <x:c r="T809" s="18" t="n">
        <x:v>0.34387871237241746</x:v>
      </x:c>
      <x:c r="U809" s="17" t="n">
        <x:v>2382940448.399998</x:v>
      </x:c>
      <x:c r="V809" s="2" t="str">
        <x:v>Area equivalent = model2020 * source volume / TEMPO2020 volume</x:v>
      </x:c>
      <x:c r="W809" s="2" t="str">
        <x:v>qualified_paired_native_source_frame</x:v>
      </x:c>
      <x:c r="X809" s="2" t="str">
        <x:v>https://human-settlement.emergency.copernicus.eu/ghs_buV2023.php</x:v>
      </x:c>
    </x:row>
    <x:row r="810" ht="23" customHeight="1">
      <x:c r="A810" s="2" t="str">
        <x:v>ARM</x:v>
      </x:c>
      <x:c r="B810" s="2" t="str">
        <x:v>Armenia (Republic of)</x:v>
      </x:c>
      <x:c r="C810" s="2" t="n">
        <x:v>2015</x:v>
      </x:c>
      <x:c r="D810" s="2" t="str">
        <x:v>GHSL_VOLUME</x:v>
      </x:c>
      <x:c r="E810" s="17" t="n">
        <x:v>138576247.47924888</x:v>
      </x:c>
      <x:c r="F810" s="17" t="n">
        <x:f>IF(AND(M810,ISNUMBER(R810)),IF(D810="TEMPO_PROXY",R810,IF(AND(ISNUMBER(S810),S810&gt;0,ISNUMBER(U810)),U810*R810/S810,"n.a.")),"n.a.")</x:f>
        <x:v>492507829.37051547</x:v>
      </x:c>
      <x:c r="G810" s="17" t="n">
        <x:f>IF(AND(ISNUMBER(E810),ISNUMBER(F810)),E810-F810,"n.a.")</x:f>
        <x:v>-353931581.8912666</x:v>
      </x:c>
      <x:c r="H810" s="15" t="n">
        <x:f>IF(AND(ISNUMBER(E810),ISNUMBER(F810),F810&gt;0),(E810-F810)/F810,"n.a.")</x:f>
        <x:v>-0.7186313816444988</x:v>
      </x:c>
      <x:c r="I810" s="19" t="n">
        <x:f>IF(ISNUMBER(H810),ABS(H810),"n.a.")</x:f>
        <x:v>0.7186313816444988</x:v>
      </x:c>
      <x:c r="J810" s="2" t="str">
        <x:v>available</x:v>
      </x:c>
      <x:c r="K810" s="2" t="n">
        <x:v>1</x:v>
      </x:c>
      <x:c r="L810" s="13" t="b">
        <x:v>0</x:v>
      </x:c>
      <x:c r="M810" s="13" t="b">
        <x:v>1</x:v>
      </x:c>
      <x:c r="N810" s="2" t="str">
        <x:v>modeled_epoch_volume_with_fixed2018_height_and_predominant_use</x:v>
      </x:c>
      <x:c r="O810" s="2" t="str"/>
      <x:c r="P810" s="2" t="str">
        <x:v>built-up volume</x:v>
      </x:c>
      <x:c r="Q810" s="2" t="str">
        <x:v>m3</x:v>
      </x:c>
      <x:c r="R810" s="17" t="n">
        <x:v>1425573023.2039218</x:v>
      </x:c>
      <x:c r="S810" s="17" t="n">
        <x:v>413298166.32</x:v>
      </x:c>
      <x:c r="T810" s="18" t="n">
        <x:v>0.3454806041879374</x:v>
      </x:c>
      <x:c r="U810" s="17" t="n">
        <x:v>142786500.21000025</x:v>
      </x:c>
      <x:c r="V810" s="2" t="str">
        <x:v>Area equivalent = model2020 * source volume / TEMPO2020 volume</x:v>
      </x:c>
      <x:c r="W810" s="2" t="str">
        <x:v>qualified_paired_native_source_frame</x:v>
      </x:c>
      <x:c r="X810" s="2" t="str">
        <x:v>https://human-settlement.emergency.copernicus.eu/ghs_buV2023.php</x:v>
      </x:c>
    </x:row>
    <x:row r="811" ht="23" customHeight="1">
      <x:c r="A811" s="2" t="str">
        <x:v>ATG</x:v>
      </x:c>
      <x:c r="B811" s="2" t="str">
        <x:v>Antigua and Barbuda</x:v>
      </x:c>
      <x:c r="C811" s="2" t="n">
        <x:v>2015</x:v>
      </x:c>
      <x:c r="D811" s="2" t="str">
        <x:v>GHSL_VOLUME</x:v>
      </x:c>
      <x:c r="E811" s="17" t="n">
        <x:v>6409689.412213599</x:v>
      </x:c>
      <x:c r="F811" s="17" t="n">
        <x:f>IF(AND(M811,ISNUMBER(R811)),IF(D811="TEMPO_PROXY",R811,IF(AND(ISNUMBER(S811),S811&gt;0,ISNUMBER(U811)),U811*R811/S811,"n.a.")),"n.a.")</x:f>
        <x:v>22749786.70778527</x:v>
      </x:c>
      <x:c r="G811" s="17" t="n">
        <x:f>IF(AND(ISNUMBER(E811),ISNUMBER(F811)),E811-F811,"n.a.")</x:f>
        <x:v>-16340097.295571672</x:v>
      </x:c>
      <x:c r="H811" s="15" t="n">
        <x:f>IF(AND(ISNUMBER(E811),ISNUMBER(F811),F811&gt;0),(E811-F811)/F811,"n.a.")</x:f>
        <x:v>-0.7182527689360656</x:v>
      </x:c>
      <x:c r="I811" s="19" t="n">
        <x:f>IF(ISNUMBER(H811),ABS(H811),"n.a.")</x:f>
        <x:v>0.7182527689360656</x:v>
      </x:c>
      <x:c r="J811" s="2" t="str">
        <x:v>available</x:v>
      </x:c>
      <x:c r="K811" s="2" t="n">
        <x:v>1</x:v>
      </x:c>
      <x:c r="L811" s="13" t="b">
        <x:v>0</x:v>
      </x:c>
      <x:c r="M811" s="13" t="b">
        <x:v>1</x:v>
      </x:c>
      <x:c r="N811" s="2" t="str">
        <x:v>modeled_epoch_volume_with_fixed2018_height_and_predominant_use</x:v>
      </x:c>
      <x:c r="O811" s="2" t="str"/>
      <x:c r="P811" s="2" t="str">
        <x:v>built-up volume</x:v>
      </x:c>
      <x:c r="Q811" s="2" t="str">
        <x:v>m3</x:v>
      </x:c>
      <x:c r="R811" s="17" t="n">
        <x:v>52874498.9019608</x:v>
      </x:c>
      <x:c r="S811" s="17" t="n">
        <x:v>17285834.35</x:v>
      </x:c>
      <x:c r="T811" s="18" t="n">
        <x:v>0.43026009097443413</x:v>
      </x:c>
      <x:c r="U811" s="17" t="n">
        <x:v>7437404.659999999</x:v>
      </x:c>
      <x:c r="V811" s="2" t="str">
        <x:v>Area equivalent = model2020 * source volume / TEMPO2020 volume</x:v>
      </x:c>
      <x:c r="W811" s="2" t="str">
        <x:v>qualified_paired_native_source_frame</x:v>
      </x:c>
      <x:c r="X811" s="2" t="str">
        <x:v>https://human-settlement.emergency.copernicus.eu/ghs_buV2023.php</x:v>
      </x:c>
    </x:row>
    <x:row r="812" ht="23" customHeight="1">
      <x:c r="A812" s="2" t="str">
        <x:v>AUS</x:v>
      </x:c>
      <x:c r="B812" s="2" t="str">
        <x:v>Australia (Commonwealth of)</x:v>
      </x:c>
      <x:c r="C812" s="2" t="n">
        <x:v>2015</x:v>
      </x:c>
      <x:c r="D812" s="2" t="str">
        <x:v>GHSL_VOLUME</x:v>
      </x:c>
      <x:c r="E812" s="17" t="n">
        <x:v>2689879598.545835</x:v>
      </x:c>
      <x:c r="F812" s="17" t="n">
        <x:f>IF(AND(M812,ISNUMBER(R812)),IF(D812="TEMPO_PROXY",R812,IF(AND(ISNUMBER(S812),S812&gt;0,ISNUMBER(U812)),U812*R812/S812,"n.a.")),"n.a.")</x:f>
        <x:v>9664705614.504036</x:v>
      </x:c>
      <x:c r="G812" s="17" t="n">
        <x:f>IF(AND(ISNUMBER(E812),ISNUMBER(F812)),E812-F812,"n.a.")</x:f>
        <x:v>-6974826015.9582</x:v>
      </x:c>
      <x:c r="H812" s="15" t="n">
        <x:f>IF(AND(ISNUMBER(E812),ISNUMBER(F812),F812&gt;0),(E812-F812)/F812,"n.a.")</x:f>
        <x:v>-0.7216801312076103</x:v>
      </x:c>
      <x:c r="I812" s="19" t="n">
        <x:f>IF(ISNUMBER(H812),ABS(H812),"n.a.")</x:f>
        <x:v>0.7216801312076103</x:v>
      </x:c>
      <x:c r="J812" s="2" t="str">
        <x:v>available</x:v>
      </x:c>
      <x:c r="K812" s="2" t="n">
        <x:v>1</x:v>
      </x:c>
      <x:c r="L812" s="13" t="b">
        <x:v>0</x:v>
      </x:c>
      <x:c r="M812" s="13" t="b">
        <x:v>1</x:v>
      </x:c>
      <x:c r="N812" s="2" t="str">
        <x:v>modeled_epoch_volume_with_fixed2018_height_and_predominant_use</x:v>
      </x:c>
      <x:c r="O812" s="2" t="str"/>
      <x:c r="P812" s="2" t="str">
        <x:v>built-up volume</x:v>
      </x:c>
      <x:c r="Q812" s="2" t="str">
        <x:v>m3</x:v>
      </x:c>
      <x:c r="R812" s="17" t="n">
        <x:v>27507689199.564705</x:v>
      </x:c>
      <x:c r="S812" s="17" t="n">
        <x:v>8570367979.23</x:v>
      </x:c>
      <x:c r="T812" s="18" t="n">
        <x:v>0.3513456017474915</x:v>
      </x:c>
      <x:c r="U812" s="17" t="n">
        <x:v>3011161094.8599973</x:v>
      </x:c>
      <x:c r="V812" s="2" t="str">
        <x:v>Area equivalent = model2020 * source volume / TEMPO2020 volume</x:v>
      </x:c>
      <x:c r="W812" s="2" t="str">
        <x:v>qualified_paired_native_source_frame</x:v>
      </x:c>
      <x:c r="X812" s="2" t="str">
        <x:v>https://human-settlement.emergency.copernicus.eu/ghs_buV2023.php</x:v>
      </x:c>
    </x:row>
    <x:row r="813" ht="23" customHeight="1">
      <x:c r="A813" s="2" t="str">
        <x:v>AUT</x:v>
      </x:c>
      <x:c r="B813" s="2" t="str">
        <x:v>Austria (Republic of)</x:v>
      </x:c>
      <x:c r="C813" s="2" t="n">
        <x:v>2015</x:v>
      </x:c>
      <x:c r="D813" s="2" t="str">
        <x:v>GHSL_VOLUME</x:v>
      </x:c>
      <x:c r="E813" s="17" t="n">
        <x:v>818030285.5067213</x:v>
      </x:c>
      <x:c r="F813" s="17" t="n">
        <x:f>IF(AND(M813,ISNUMBER(R813)),IF(D813="TEMPO_PROXY",R813,IF(AND(ISNUMBER(S813),S813&gt;0,ISNUMBER(U813)),U813*R813/S813,"n.a.")),"n.a.")</x:f>
        <x:v>1422735577.1706712</x:v>
      </x:c>
      <x:c r="G813" s="17" t="n">
        <x:f>IF(AND(ISNUMBER(E813),ISNUMBER(F813)),E813-F813,"n.a.")</x:f>
        <x:v>-604705291.66395</x:v>
      </x:c>
      <x:c r="H813" s="15" t="n">
        <x:f>IF(AND(ISNUMBER(E813),ISNUMBER(F813),F813&gt;0),(E813-F813)/F813,"n.a.")</x:f>
        <x:v>-0.42502999247864426</x:v>
      </x:c>
      <x:c r="I813" s="19" t="n">
        <x:f>IF(ISNUMBER(H813),ABS(H813),"n.a.")</x:f>
        <x:v>0.42502999247864426</x:v>
      </x:c>
      <x:c r="J813" s="2" t="str">
        <x:v>available</x:v>
      </x:c>
      <x:c r="K813" s="2" t="n">
        <x:v>1</x:v>
      </x:c>
      <x:c r="L813" s="13" t="b">
        <x:v>0</x:v>
      </x:c>
      <x:c r="M813" s="13" t="b">
        <x:v>1</x:v>
      </x:c>
      <x:c r="N813" s="2" t="str">
        <x:v>modeled_epoch_volume_with_fixed2018_height_and_predominant_use</x:v>
      </x:c>
      <x:c r="O813" s="2" t="str"/>
      <x:c r="P813" s="2" t="str">
        <x:v>built-up volume</x:v>
      </x:c>
      <x:c r="Q813" s="2" t="str">
        <x:v>m3</x:v>
      </x:c>
      <x:c r="R813" s="17" t="n">
        <x:v>4830612164.439215</x:v>
      </x:c>
      <x:c r="S813" s="17" t="n">
        <x:v>2938619208.31</x:v>
      </x:c>
      <x:c r="T813" s="18" t="n">
        <x:v>0.2945249025877523</x:v>
      </x:c>
      <x:c r="U813" s="17" t="n">
        <x:v>865496536.0700006</x:v>
      </x:c>
      <x:c r="V813" s="2" t="str">
        <x:v>Area equivalent = model2020 * source volume / TEMPO2020 volume</x:v>
      </x:c>
      <x:c r="W813" s="2" t="str">
        <x:v>qualified_paired_native_source_frame</x:v>
      </x:c>
      <x:c r="X813" s="2" t="str">
        <x:v>https://human-settlement.emergency.copernicus.eu/ghs_buV2023.php</x:v>
      </x:c>
    </x:row>
    <x:row r="814" ht="23" customHeight="1">
      <x:c r="A814" s="2" t="str">
        <x:v>AZE</x:v>
      </x:c>
      <x:c r="B814" s="2" t="str">
        <x:v>Azerbaijan (Republic of)</x:v>
      </x:c>
      <x:c r="C814" s="2" t="n">
        <x:v>2015</x:v>
      </x:c>
      <x:c r="D814" s="2" t="str">
        <x:v>GHSL_VOLUME</x:v>
      </x:c>
      <x:c r="E814" s="17" t="n">
        <x:v>469894353.8704014</x:v>
      </x:c>
      <x:c r="F814" s="17" t="n">
        <x:f>IF(AND(M814,ISNUMBER(R814)),IF(D814="TEMPO_PROXY",R814,IF(AND(ISNUMBER(S814),S814&gt;0,ISNUMBER(U814)),U814*R814/S814,"n.a.")),"n.a.")</x:f>
        <x:v>1519962816.0352678</x:v>
      </x:c>
      <x:c r="G814" s="17" t="n">
        <x:f>IF(AND(ISNUMBER(E814),ISNUMBER(F814)),E814-F814,"n.a.")</x:f>
        <x:v>-1050068462.1648664</x:v>
      </x:c>
      <x:c r="H814" s="15" t="n">
        <x:f>IF(AND(ISNUMBER(E814),ISNUMBER(F814),F814&gt;0),(E814-F814)/F814,"n.a.")</x:f>
        <x:v>-0.6908514149733658</x:v>
      </x:c>
      <x:c r="I814" s="19" t="n">
        <x:f>IF(ISNUMBER(H814),ABS(H814),"n.a.")</x:f>
        <x:v>0.6908514149733658</x:v>
      </x:c>
      <x:c r="J814" s="2" t="str">
        <x:v>available</x:v>
      </x:c>
      <x:c r="K814" s="2" t="n">
        <x:v>1</x:v>
      </x:c>
      <x:c r="L814" s="13" t="b">
        <x:v>0</x:v>
      </x:c>
      <x:c r="M814" s="13" t="b">
        <x:v>1</x:v>
      </x:c>
      <x:c r="N814" s="2" t="str">
        <x:v>modeled_epoch_volume_with_fixed2018_height_and_predominant_use</x:v>
      </x:c>
      <x:c r="O814" s="2" t="str"/>
      <x:c r="P814" s="2" t="str">
        <x:v>built-up volume</x:v>
      </x:c>
      <x:c r="Q814" s="2" t="str">
        <x:v>m3</x:v>
      </x:c>
      <x:c r="R814" s="17" t="n">
        <x:v>4239668834.443137</x:v>
      </x:c>
      <x:c r="S814" s="17" t="n">
        <x:v>1416846279.23</x:v>
      </x:c>
      <x:c r="T814" s="18" t="n">
        <x:v>0.35850979767265445</x:v>
      </x:c>
      <x:c r="U814" s="17" t="n">
        <x:v>507953272.9000006</x:v>
      </x:c>
      <x:c r="V814" s="2" t="str">
        <x:v>Area equivalent = model2020 * source volume / TEMPO2020 volume</x:v>
      </x:c>
      <x:c r="W814" s="2" t="str">
        <x:v>qualified_paired_native_source_frame</x:v>
      </x:c>
      <x:c r="X814" s="2" t="str">
        <x:v>https://human-settlement.emergency.copernicus.eu/ghs_buV2023.php</x:v>
      </x:c>
    </x:row>
    <x:row r="815" ht="23" customHeight="1">
      <x:c r="A815" s="2" t="str">
        <x:v>BDI</x:v>
      </x:c>
      <x:c r="B815" s="2" t="str">
        <x:v>Burundi (Republic of)</x:v>
      </x:c>
      <x:c r="C815" s="2" t="n">
        <x:v>2015</x:v>
      </x:c>
      <x:c r="D815" s="2" t="str">
        <x:v>GHSL_VOLUME</x:v>
      </x:c>
      <x:c r="E815" s="17" t="n">
        <x:v>107174310.50762644</x:v>
      </x:c>
      <x:c r="F815" s="17" t="n">
        <x:f>IF(AND(M815,ISNUMBER(R815)),IF(D815="TEMPO_PROXY",R815,IF(AND(ISNUMBER(S815),S815&gt;0,ISNUMBER(U815)),U815*R815/S815,"n.a.")),"n.a.")</x:f>
        <x:v>614290658.3261425</x:v>
      </x:c>
      <x:c r="G815" s="17" t="n">
        <x:f>IF(AND(ISNUMBER(E815),ISNUMBER(F815)),E815-F815,"n.a.")</x:f>
        <x:v>-507116347.81851614</x:v>
      </x:c>
      <x:c r="H815" s="15" t="n">
        <x:f>IF(AND(ISNUMBER(E815),ISNUMBER(F815),F815&gt;0),(E815-F815)/F815,"n.a.")</x:f>
        <x:v>-0.8255315963950003</x:v>
      </x:c>
      <x:c r="I815" s="19" t="n">
        <x:f>IF(ISNUMBER(H815),ABS(H815),"n.a.")</x:f>
        <x:v>0.8255315963950003</x:v>
      </x:c>
      <x:c r="J815" s="2" t="str">
        <x:v>available</x:v>
      </x:c>
      <x:c r="K815" s="2" t="n">
        <x:v>1</x:v>
      </x:c>
      <x:c r="L815" s="13" t="b">
        <x:v>0</x:v>
      </x:c>
      <x:c r="M815" s="13" t="b">
        <x:v>1</x:v>
      </x:c>
      <x:c r="N815" s="2" t="str">
        <x:v>modeled_epoch_volume_with_fixed2018_height_and_predominant_use</x:v>
      </x:c>
      <x:c r="O815" s="2" t="str"/>
      <x:c r="P815" s="2" t="str">
        <x:v>built-up volume</x:v>
      </x:c>
      <x:c r="Q815" s="2" t="str">
        <x:v>m3</x:v>
      </x:c>
      <x:c r="R815" s="17" t="n">
        <x:v>1173933676.9058824</x:v>
      </x:c>
      <x:c r="S815" s="17" t="n">
        <x:v>282280957.67</x:v>
      </x:c>
      <x:c r="T815" s="18" t="n">
        <x:v>0.5232754374550513</x:v>
      </x:c>
      <x:c r="U815" s="17" t="n">
        <x:v>147710691.6100001</x:v>
      </x:c>
      <x:c r="V815" s="2" t="str">
        <x:v>Area equivalent = model2020 * source volume / TEMPO2020 volume</x:v>
      </x:c>
      <x:c r="W815" s="2" t="str">
        <x:v>qualified_paired_native_source_frame</x:v>
      </x:c>
      <x:c r="X815" s="2" t="str">
        <x:v>https://human-settlement.emergency.copernicus.eu/ghs_buV2023.php</x:v>
      </x:c>
    </x:row>
    <x:row r="816" ht="23" customHeight="1">
      <x:c r="A816" s="2" t="str">
        <x:v>BEL</x:v>
      </x:c>
      <x:c r="B816" s="2" t="str">
        <x:v>Belgium (Kingdom of)</x:v>
      </x:c>
      <x:c r="C816" s="2" t="n">
        <x:v>2015</x:v>
      </x:c>
      <x:c r="D816" s="2" t="str">
        <x:v>GHSL_VOLUME</x:v>
      </x:c>
      <x:c r="E816" s="17" t="n">
        <x:v>1030499520.953178</x:v>
      </x:c>
      <x:c r="F816" s="17" t="n">
        <x:f>IF(AND(M816,ISNUMBER(R816)),IF(D816="TEMPO_PROXY",R816,IF(AND(ISNUMBER(S816),S816&gt;0,ISNUMBER(U816)),U816*R816/S816,"n.a.")),"n.a.")</x:f>
        <x:v>2361213005.554706</x:v>
      </x:c>
      <x:c r="G816" s="17" t="n">
        <x:f>IF(AND(ISNUMBER(E816),ISNUMBER(F816)),E816-F816,"n.a.")</x:f>
        <x:v>-1330713484.6015282</x:v>
      </x:c>
      <x:c r="H816" s="15" t="n">
        <x:f>IF(AND(ISNUMBER(E816),ISNUMBER(F816),F816&gt;0),(E816-F816)/F816,"n.a.")</x:f>
        <x:v>-0.5635719782463723</x:v>
      </x:c>
      <x:c r="I816" s="19" t="n">
        <x:f>IF(ISNUMBER(H816),ABS(H816),"n.a.")</x:f>
        <x:v>0.5635719782463723</x:v>
      </x:c>
      <x:c r="J816" s="2" t="str">
        <x:v>available</x:v>
      </x:c>
      <x:c r="K816" s="2" t="n">
        <x:v>1</x:v>
      </x:c>
      <x:c r="L816" s="13" t="b">
        <x:v>0</x:v>
      </x:c>
      <x:c r="M816" s="13" t="b">
        <x:v>1</x:v>
      </x:c>
      <x:c r="N816" s="2" t="str">
        <x:v>modeled_epoch_volume_with_fixed2018_height_and_predominant_use</x:v>
      </x:c>
      <x:c r="O816" s="2" t="str"/>
      <x:c r="P816" s="2" t="str">
        <x:v>built-up volume</x:v>
      </x:c>
      <x:c r="Q816" s="2" t="str">
        <x:v>m3</x:v>
      </x:c>
      <x:c r="R816" s="17" t="n">
        <x:v>8434437490.466666</x:v>
      </x:c>
      <x:c r="S816" s="17" t="n">
        <x:v>3854664222.08</x:v>
      </x:c>
      <x:c r="T816" s="18" t="n">
        <x:v>0.2799490787884259</x:v>
      </x:c>
      <x:c r="U816" s="17" t="n">
        <x:v>1079109698.0100002</x:v>
      </x:c>
      <x:c r="V816" s="2" t="str">
        <x:v>Area equivalent = model2020 * source volume / TEMPO2020 volume</x:v>
      </x:c>
      <x:c r="W816" s="2" t="str">
        <x:v>qualified_paired_native_source_frame</x:v>
      </x:c>
      <x:c r="X816" s="2" t="str">
        <x:v>https://human-settlement.emergency.copernicus.eu/ghs_buV2023.php</x:v>
      </x:c>
    </x:row>
    <x:row r="817" ht="23" customHeight="1">
      <x:c r="A817" s="2" t="str">
        <x:v>BEN</x:v>
      </x:c>
      <x:c r="B817" s="2" t="str">
        <x:v>Benin (Republic of)</x:v>
      </x:c>
      <x:c r="C817" s="2" t="n">
        <x:v>2015</x:v>
      </x:c>
      <x:c r="D817" s="2" t="str">
        <x:v>GHSL_VOLUME</x:v>
      </x:c>
      <x:c r="E817" s="17" t="n">
        <x:v>272547821.67471457</x:v>
      </x:c>
      <x:c r="F817" s="17" t="n">
        <x:f>IF(AND(M817,ISNUMBER(R817)),IF(D817="TEMPO_PROXY",R817,IF(AND(ISNUMBER(S817),S817&gt;0,ISNUMBER(U817)),U817*R817/S817,"n.a.")),"n.a.")</x:f>
        <x:v>1477096032.1525526</x:v>
      </x:c>
      <x:c r="G817" s="17" t="n">
        <x:f>IF(AND(ISNUMBER(E817),ISNUMBER(F817)),E817-F817,"n.a.")</x:f>
        <x:v>-1204548210.477838</x:v>
      </x:c>
      <x:c r="H817" s="15" t="n">
        <x:f>IF(AND(ISNUMBER(E817),ISNUMBER(F817),F817&gt;0),(E817-F817)/F817,"n.a.")</x:f>
        <x:v>-0.815484020170622</x:v>
      </x:c>
      <x:c r="I817" s="19" t="n">
        <x:f>IF(ISNUMBER(H817),ABS(H817),"n.a.")</x:f>
        <x:v>0.815484020170622</x:v>
      </x:c>
      <x:c r="J817" s="2" t="str">
        <x:v>available</x:v>
      </x:c>
      <x:c r="K817" s="2" t="n">
        <x:v>1</x:v>
      </x:c>
      <x:c r="L817" s="13" t="b">
        <x:v>0</x:v>
      </x:c>
      <x:c r="M817" s="13" t="b">
        <x:v>1</x:v>
      </x:c>
      <x:c r="N817" s="2" t="str">
        <x:v>modeled_epoch_volume_with_fixed2018_height_and_predominant_use</x:v>
      </x:c>
      <x:c r="O817" s="2" t="str"/>
      <x:c r="P817" s="2" t="str">
        <x:v>built-up volume</x:v>
      </x:c>
      <x:c r="Q817" s="2" t="str">
        <x:v>m3</x:v>
      </x:c>
      <x:c r="R817" s="17" t="n">
        <x:v>3329727523.0078425</x:v>
      </x:c>
      <x:c r="S817" s="17" t="n">
        <x:v>680866675.25</x:v>
      </x:c>
      <x:c r="T817" s="18" t="n">
        <x:v>0.44360868027370826</x:v>
      </x:c>
      <x:c r="U817" s="17" t="n">
        <x:v>302038367.25</x:v>
      </x:c>
      <x:c r="V817" s="2" t="str">
        <x:v>Area equivalent = model2020 * source volume / TEMPO2020 volume</x:v>
      </x:c>
      <x:c r="W817" s="2" t="str">
        <x:v>qualified_paired_native_source_frame</x:v>
      </x:c>
      <x:c r="X817" s="2" t="str">
        <x:v>https://human-settlement.emergency.copernicus.eu/ghs_buV2023.php</x:v>
      </x:c>
    </x:row>
    <x:row r="818" ht="23" customHeight="1">
      <x:c r="A818" s="2" t="str">
        <x:v>BFA</x:v>
      </x:c>
      <x:c r="B818" s="2" t="str">
        <x:v>Burkina Faso</x:v>
      </x:c>
      <x:c r="C818" s="2" t="n">
        <x:v>2015</x:v>
      </x:c>
      <x:c r="D818" s="2" t="str">
        <x:v>GHSL_VOLUME</x:v>
      </x:c>
      <x:c r="E818" s="17" t="n">
        <x:v>275678764.0195087</x:v>
      </x:c>
      <x:c r="F818" s="17" t="n">
        <x:f>IF(AND(M818,ISNUMBER(R818)),IF(D818="TEMPO_PROXY",R818,IF(AND(ISNUMBER(S818),S818&gt;0,ISNUMBER(U818)),U818*R818/S818,"n.a.")),"n.a.")</x:f>
        <x:v>1955511190.4475498</x:v>
      </x:c>
      <x:c r="G818" s="17" t="n">
        <x:f>IF(AND(ISNUMBER(E818),ISNUMBER(F818)),E818-F818,"n.a.")</x:f>
        <x:v>-1679832426.428041</x:v>
      </x:c>
      <x:c r="H818" s="15" t="n">
        <x:f>IF(AND(ISNUMBER(E818),ISNUMBER(F818),F818&gt;0),(E818-F818)/F818,"n.a.")</x:f>
        <x:v>-0.8590247064981431</x:v>
      </x:c>
      <x:c r="I818" s="19" t="n">
        <x:f>IF(ISNUMBER(H818),ABS(H818),"n.a.")</x:f>
        <x:v>0.8590247064981431</x:v>
      </x:c>
      <x:c r="J818" s="2" t="str">
        <x:v>available</x:v>
      </x:c>
      <x:c r="K818" s="2" t="n">
        <x:v>1</x:v>
      </x:c>
      <x:c r="L818" s="13" t="b">
        <x:v>0</x:v>
      </x:c>
      <x:c r="M818" s="13" t="b">
        <x:v>1</x:v>
      </x:c>
      <x:c r="N818" s="2" t="str">
        <x:v>modeled_epoch_volume_with_fixed2018_height_and_predominant_use</x:v>
      </x:c>
      <x:c r="O818" s="2" t="str"/>
      <x:c r="P818" s="2" t="str">
        <x:v>built-up volume</x:v>
      </x:c>
      <x:c r="Q818" s="2" t="str">
        <x:v>m3</x:v>
      </x:c>
      <x:c r="R818" s="17" t="n">
        <x:v>3923509687.517646</x:v>
      </x:c>
      <x:c r="S818" s="17" t="n">
        <x:v>720655403.9</x:v>
      </x:c>
      <x:c r="T818" s="18" t="n">
        <x:v>0.49840865607363305</x:v>
      </x:c>
      <x:c r="U818" s="17" t="n">
        <x:v>359180891.3500002</x:v>
      </x:c>
      <x:c r="V818" s="2" t="str">
        <x:v>Area equivalent = model2020 * source volume / TEMPO2020 volume</x:v>
      </x:c>
      <x:c r="W818" s="2" t="str">
        <x:v>qualified_paired_native_source_frame</x:v>
      </x:c>
      <x:c r="X818" s="2" t="str">
        <x:v>https://human-settlement.emergency.copernicus.eu/ghs_buV2023.php</x:v>
      </x:c>
    </x:row>
    <x:row r="819" ht="23" customHeight="1">
      <x:c r="A819" s="2" t="str">
        <x:v>BGD</x:v>
      </x:c>
      <x:c r="B819" s="2" t="str">
        <x:v>Bangladesh (People's Republic of)</x:v>
      </x:c>
      <x:c r="C819" s="2" t="n">
        <x:v>2015</x:v>
      </x:c>
      <x:c r="D819" s="2" t="str">
        <x:v>GHSL_VOLUME</x:v>
      </x:c>
      <x:c r="E819" s="17" t="n">
        <x:v>2168931873.230832</x:v>
      </x:c>
      <x:c r="F819" s="17" t="n">
        <x:f>IF(AND(M819,ISNUMBER(R819)),IF(D819="TEMPO_PROXY",R819,IF(AND(ISNUMBER(S819),S819&gt;0,ISNUMBER(U819)),U819*R819/S819,"n.a.")),"n.a.")</x:f>
        <x:v>3690941206.1502256</x:v>
      </x:c>
      <x:c r="G819" s="17" t="n">
        <x:f>IF(AND(ISNUMBER(E819),ISNUMBER(F819)),E819-F819,"n.a.")</x:f>
        <x:v>-1522009332.9193935</x:v>
      </x:c>
      <x:c r="H819" s="15" t="n">
        <x:f>IF(AND(ISNUMBER(E819),ISNUMBER(F819),F819&gt;0),(E819-F819)/F819,"n.a.")</x:f>
        <x:v>-0.4123634725969802</x:v>
      </x:c>
      <x:c r="I819" s="19" t="n">
        <x:f>IF(ISNUMBER(H819),ABS(H819),"n.a.")</x:f>
        <x:v>0.4123634725969802</x:v>
      </x:c>
      <x:c r="J819" s="2" t="str">
        <x:v>available</x:v>
      </x:c>
      <x:c r="K819" s="2" t="n">
        <x:v>1</x:v>
      </x:c>
      <x:c r="L819" s="13" t="b">
        <x:v>0</x:v>
      </x:c>
      <x:c r="M819" s="13" t="b">
        <x:v>1</x:v>
      </x:c>
      <x:c r="N819" s="2" t="str">
        <x:v>modeled_epoch_volume_with_fixed2018_height_and_predominant_use</x:v>
      </x:c>
      <x:c r="O819" s="2" t="str"/>
      <x:c r="P819" s="2" t="str">
        <x:v>built-up volume</x:v>
      </x:c>
      <x:c r="Q819" s="2" t="str">
        <x:v>m3</x:v>
      </x:c>
      <x:c r="R819" s="17" t="n">
        <x:v>8851533947.04314</x:v>
      </x:c>
      <x:c r="S819" s="17" t="n">
        <x:v>5829804164.63</x:v>
      </x:c>
      <x:c r="T819" s="18" t="n">
        <x:v>0.4169832289219414</x:v>
      </x:c>
      <x:c r="U819" s="17" t="n">
        <x:v>2430930564.5499988</x:v>
      </x:c>
      <x:c r="V819" s="2" t="str">
        <x:v>Area equivalent = model2020 * source volume / TEMPO2020 volume</x:v>
      </x:c>
      <x:c r="W819" s="2" t="str">
        <x:v>qualified_paired_native_source_frame</x:v>
      </x:c>
      <x:c r="X819" s="2" t="str">
        <x:v>https://human-settlement.emergency.copernicus.eu/ghs_buV2023.php</x:v>
      </x:c>
    </x:row>
    <x:row r="820" ht="23" customHeight="1">
      <x:c r="A820" s="2" t="str">
        <x:v>BGR</x:v>
      </x:c>
      <x:c r="B820" s="2" t="str">
        <x:v>Bulgaria (Republic of)</x:v>
      </x:c>
      <x:c r="C820" s="2" t="n">
        <x:v>2015</x:v>
      </x:c>
      <x:c r="D820" s="2" t="str">
        <x:v>GHSL_VOLUME</x:v>
      </x:c>
      <x:c r="E820" s="17" t="n">
        <x:v>515270007.50160265</x:v>
      </x:c>
      <x:c r="F820" s="17" t="n">
        <x:f>IF(AND(M820,ISNUMBER(R820)),IF(D820="TEMPO_PROXY",R820,IF(AND(ISNUMBER(S820),S820&gt;0,ISNUMBER(U820)),U820*R820/S820,"n.a.")),"n.a.")</x:f>
        <x:v>1227059144.675435</x:v>
      </x:c>
      <x:c r="G820" s="17" t="n">
        <x:f>IF(AND(ISNUMBER(E820),ISNUMBER(F820)),E820-F820,"n.a.")</x:f>
        <x:v>-711789137.1738324</x:v>
      </x:c>
      <x:c r="H820" s="15" t="n">
        <x:f>IF(AND(ISNUMBER(E820),ISNUMBER(F820),F820&gt;0),(E820-F820)/F820,"n.a.")</x:f>
        <x:v>-0.5800772849968086</x:v>
      </x:c>
      <x:c r="I820" s="19" t="n">
        <x:f>IF(ISNUMBER(H820),ABS(H820),"n.a.")</x:f>
        <x:v>0.5800772849968086</x:v>
      </x:c>
      <x:c r="J820" s="2" t="str">
        <x:v>available</x:v>
      </x:c>
      <x:c r="K820" s="2" t="n">
        <x:v>1</x:v>
      </x:c>
      <x:c r="L820" s="13" t="b">
        <x:v>0</x:v>
      </x:c>
      <x:c r="M820" s="13" t="b">
        <x:v>1</x:v>
      </x:c>
      <x:c r="N820" s="2" t="str">
        <x:v>modeled_epoch_volume_with_fixed2018_height_and_predominant_use</x:v>
      </x:c>
      <x:c r="O820" s="2" t="str"/>
      <x:c r="P820" s="2" t="str">
        <x:v>built-up volume</x:v>
      </x:c>
      <x:c r="Q820" s="2" t="str">
        <x:v>m3</x:v>
      </x:c>
      <x:c r="R820" s="17" t="n">
        <x:v>3783219118.1843123</x:v>
      </x:c>
      <x:c r="S820" s="17" t="n">
        <x:v>1674219775.43</x:v>
      </x:c>
      <x:c r="T820" s="18" t="n">
        <x:v>0.32434260515799573</x:v>
      </x:c>
      <x:c r="U820" s="17" t="n">
        <x:v>543020803.5700008</x:v>
      </x:c>
      <x:c r="V820" s="2" t="str">
        <x:v>Area equivalent = model2020 * source volume / TEMPO2020 volume</x:v>
      </x:c>
      <x:c r="W820" s="2" t="str">
        <x:v>qualified_paired_native_source_frame</x:v>
      </x:c>
      <x:c r="X820" s="2" t="str">
        <x:v>https://human-settlement.emergency.copernicus.eu/ghs_buV2023.php</x:v>
      </x:c>
    </x:row>
    <x:row r="821" ht="23" customHeight="1">
      <x:c r="A821" s="2" t="str">
        <x:v>BHR</x:v>
      </x:c>
      <x:c r="B821" s="2" t="str">
        <x:v>Bahrain (Kingdom of)</x:v>
      </x:c>
      <x:c r="C821" s="2" t="n">
        <x:v>2015</x:v>
      </x:c>
      <x:c r="D821" s="2" t="str">
        <x:v>GHSL_VOLUME</x:v>
      </x:c>
      <x:c r="E821" s="17" t="n">
        <x:v>55998295.60212009</x:v>
      </x:c>
      <x:c r="F821" s="17" t="n">
        <x:f>IF(AND(M821,ISNUMBER(R821)),IF(D821="TEMPO_PROXY",R821,IF(AND(ISNUMBER(S821),S821&gt;0,ISNUMBER(U821)),U821*R821/S821,"n.a.")),"n.a.")</x:f>
        <x:v>161129762.25833508</x:v>
      </x:c>
      <x:c r="G821" s="17" t="n">
        <x:f>IF(AND(ISNUMBER(E821),ISNUMBER(F821)),E821-F821,"n.a.")</x:f>
        <x:v>-105131466.656215</x:v>
      </x:c>
      <x:c r="H821" s="15" t="n">
        <x:f>IF(AND(ISNUMBER(E821),ISNUMBER(F821),F821&gt;0),(E821-F821)/F821,"n.a.")</x:f>
        <x:v>-0.6524646048174545</x:v>
      </x:c>
      <x:c r="I821" s="19" t="n">
        <x:f>IF(ISNUMBER(H821),ABS(H821),"n.a.")</x:f>
        <x:v>0.6524646048174545</x:v>
      </x:c>
      <x:c r="J821" s="2" t="str">
        <x:v>available</x:v>
      </x:c>
      <x:c r="K821" s="2" t="n">
        <x:v>1</x:v>
      </x:c>
      <x:c r="L821" s="13" t="b">
        <x:v>0</x:v>
      </x:c>
      <x:c r="M821" s="13" t="b">
        <x:v>1</x:v>
      </x:c>
      <x:c r="N821" s="2" t="str">
        <x:v>modeled_epoch_volume_with_fixed2018_height_and_predominant_use</x:v>
      </x:c>
      <x:c r="O821" s="2" t="str"/>
      <x:c r="P821" s="2" t="str">
        <x:v>built-up volume</x:v>
      </x:c>
      <x:c r="Q821" s="2" t="str">
        <x:v>m3</x:v>
      </x:c>
      <x:c r="R821" s="17" t="n">
        <x:v>589550199.8901963</x:v>
      </x:c>
      <x:c r="S821" s="17" t="n">
        <x:v>233079427.45</x:v>
      </x:c>
      <x:c r="T821" s="18" t="n">
        <x:v>0.27330965588400363</x:v>
      </x:c>
      <x:c r="U821" s="17" t="n">
        <x:v>63702858.11000008</x:v>
      </x:c>
      <x:c r="V821" s="2" t="str">
        <x:v>Area equivalent = model2020 * source volume / TEMPO2020 volume</x:v>
      </x:c>
      <x:c r="W821" s="2" t="str">
        <x:v>qualified_paired_native_source_frame</x:v>
      </x:c>
      <x:c r="X821" s="2" t="str">
        <x:v>https://human-settlement.emergency.copernicus.eu/ghs_buV2023.php</x:v>
      </x:c>
    </x:row>
    <x:row r="822" ht="23" customHeight="1">
      <x:c r="A822" s="2" t="str">
        <x:v>BHS</x:v>
      </x:c>
      <x:c r="B822" s="2" t="str">
        <x:v>Bahamas (Commonwealth of the)</x:v>
      </x:c>
      <x:c r="C822" s="2" t="n">
        <x:v>2015</x:v>
      </x:c>
      <x:c r="D822" s="2" t="str">
        <x:v>GHSL_VOLUME</x:v>
      </x:c>
      <x:c r="E822" s="17" t="n">
        <x:v>27680989.498857055</x:v>
      </x:c>
      <x:c r="F822" s="17" t="n">
        <x:f>IF(AND(M822,ISNUMBER(R822)),IF(D822="TEMPO_PROXY",R822,IF(AND(ISNUMBER(S822),S822&gt;0,ISNUMBER(U822)),U822*R822/S822,"n.a.")),"n.a.")</x:f>
        <x:v>74992430.21543996</x:v>
      </x:c>
      <x:c r="G822" s="17" t="n">
        <x:f>IF(AND(ISNUMBER(E822),ISNUMBER(F822)),E822-F822,"n.a.")</x:f>
        <x:v>-47311440.71658291</x:v>
      </x:c>
      <x:c r="H822" s="15" t="n">
        <x:f>IF(AND(ISNUMBER(E822),ISNUMBER(F822),F822&gt;0),(E822-F822)/F822,"n.a.")</x:f>
        <x:v>-0.6308828848547183</x:v>
      </x:c>
      <x:c r="I822" s="19" t="n">
        <x:f>IF(ISNUMBER(H822),ABS(H822),"n.a.")</x:f>
        <x:v>0.6308828848547183</x:v>
      </x:c>
      <x:c r="J822" s="2" t="str">
        <x:v>available</x:v>
      </x:c>
      <x:c r="K822" s="2" t="n">
        <x:v>1</x:v>
      </x:c>
      <x:c r="L822" s="13" t="b">
        <x:v>0</x:v>
      </x:c>
      <x:c r="M822" s="13" t="b">
        <x:v>1</x:v>
      </x:c>
      <x:c r="N822" s="2" t="str">
        <x:v>modeled_epoch_volume_with_fixed2018_height_and_predominant_use</x:v>
      </x:c>
      <x:c r="O822" s="2" t="str"/>
      <x:c r="P822" s="2" t="str">
        <x:v>built-up volume</x:v>
      </x:c>
      <x:c r="Q822" s="2" t="str">
        <x:v>m3</x:v>
      </x:c>
      <x:c r="R822" s="17" t="n">
        <x:v>189067499.4745098</x:v>
      </x:c>
      <x:c r="S822" s="17" t="n">
        <x:v>73579036.69</x:v>
      </x:c>
      <x:c r="T822" s="18" t="n">
        <x:v>0.3966436876981624</x:v>
      </x:c>
      <x:c r="U822" s="17" t="n">
        <x:v>29184660.44999999</x:v>
      </x:c>
      <x:c r="V822" s="2" t="str">
        <x:v>Area equivalent = model2020 * source volume / TEMPO2020 volume</x:v>
      </x:c>
      <x:c r="W822" s="2" t="str">
        <x:v>qualified_paired_native_source_frame</x:v>
      </x:c>
      <x:c r="X822" s="2" t="str">
        <x:v>https://human-settlement.emergency.copernicus.eu/ghs_buV2023.php</x:v>
      </x:c>
    </x:row>
    <x:row r="823" ht="23" customHeight="1">
      <x:c r="A823" s="2" t="str">
        <x:v>BIH</x:v>
      </x:c>
      <x:c r="B823" s="2" t="str">
        <x:v>Bosnia and Herzegovina</x:v>
      </x:c>
      <x:c r="C823" s="2" t="n">
        <x:v>2015</x:v>
      </x:c>
      <x:c r="D823" s="2" t="str">
        <x:v>GHSL_VOLUME</x:v>
      </x:c>
      <x:c r="E823" s="17" t="n">
        <x:v>233894193.35508087</x:v>
      </x:c>
      <x:c r="F823" s="17" t="n">
        <x:f>IF(AND(M823,ISNUMBER(R823)),IF(D823="TEMPO_PROXY",R823,IF(AND(ISNUMBER(S823),S823&gt;0,ISNUMBER(U823)),U823*R823/S823,"n.a.")),"n.a.")</x:f>
        <x:v>489441478.504089</x:v>
      </x:c>
      <x:c r="G823" s="17" t="n">
        <x:f>IF(AND(ISNUMBER(E823),ISNUMBER(F823)),E823-F823,"n.a.")</x:f>
        <x:v>-255547285.14900813</x:v>
      </x:c>
      <x:c r="H823" s="15" t="n">
        <x:f>IF(AND(ISNUMBER(E823),ISNUMBER(F823),F823&gt;0),(E823-F823)/F823,"n.a.")</x:f>
        <x:v>-0.5221202051163573</x:v>
      </x:c>
      <x:c r="I823" s="19" t="n">
        <x:f>IF(ISNUMBER(H823),ABS(H823),"n.a.")</x:f>
        <x:v>0.5221202051163573</x:v>
      </x:c>
      <x:c r="J823" s="2" t="str">
        <x:v>available</x:v>
      </x:c>
      <x:c r="K823" s="2" t="n">
        <x:v>1</x:v>
      </x:c>
      <x:c r="L823" s="13" t="b">
        <x:v>0</x:v>
      </x:c>
      <x:c r="M823" s="13" t="b">
        <x:v>1</x:v>
      </x:c>
      <x:c r="N823" s="2" t="str">
        <x:v>modeled_epoch_volume_with_fixed2018_height_and_predominant_use</x:v>
      </x:c>
      <x:c r="O823" s="2" t="str"/>
      <x:c r="P823" s="2" t="str">
        <x:v>built-up volume</x:v>
      </x:c>
      <x:c r="Q823" s="2" t="str">
        <x:v>m3</x:v>
      </x:c>
      <x:c r="R823" s="17" t="n">
        <x:v>1243100010.6274512</x:v>
      </x:c>
      <x:c r="S823" s="17" t="n">
        <x:v>627629014.89</x:v>
      </x:c>
      <x:c r="T823" s="18" t="n">
        <x:v>0.3937265500118891</x:v>
      </x:c>
      <x:c r="U823" s="17" t="n">
        <x:v>247114206.72000027</x:v>
      </x:c>
      <x:c r="V823" s="2" t="str">
        <x:v>Area equivalent = model2020 * source volume / TEMPO2020 volume</x:v>
      </x:c>
      <x:c r="W823" s="2" t="str">
        <x:v>qualified_paired_native_source_frame</x:v>
      </x:c>
      <x:c r="X823" s="2" t="str">
        <x:v>https://human-settlement.emergency.copernicus.eu/ghs_buV2023.php</x:v>
      </x:c>
    </x:row>
    <x:row r="824" ht="23" customHeight="1">
      <x:c r="A824" s="2" t="str">
        <x:v>BLR</x:v>
      </x:c>
      <x:c r="B824" s="2" t="str">
        <x:v>Belarus (Republic of)</x:v>
      </x:c>
      <x:c r="C824" s="2" t="n">
        <x:v>2015</x:v>
      </x:c>
      <x:c r="D824" s="2" t="str">
        <x:v>GHSL_VOLUME</x:v>
      </x:c>
      <x:c r="E824" s="17" t="n">
        <x:v>642607051.7109698</x:v>
      </x:c>
      <x:c r="F824" s="17" t="n">
        <x:f>IF(AND(M824,ISNUMBER(R824)),IF(D824="TEMPO_PROXY",R824,IF(AND(ISNUMBER(S824),S824&gt;0,ISNUMBER(U824)),U824*R824/S824,"n.a.")),"n.a.")</x:f>
        <x:v>1883847204.8491626</x:v>
      </x:c>
      <x:c r="G824" s="17" t="n">
        <x:f>IF(AND(ISNUMBER(E824),ISNUMBER(F824)),E824-F824,"n.a.")</x:f>
        <x:v>-1241240153.1381927</x:v>
      </x:c>
      <x:c r="H824" s="15" t="n">
        <x:f>IF(AND(ISNUMBER(E824),ISNUMBER(F824),F824&gt;0),(E824-F824)/F824,"n.a.")</x:f>
        <x:v>-0.6588857896453324</x:v>
      </x:c>
      <x:c r="I824" s="19" t="n">
        <x:f>IF(ISNUMBER(H824),ABS(H824),"n.a.")</x:f>
        <x:v>0.6588857896453324</x:v>
      </x:c>
      <x:c r="J824" s="2" t="str">
        <x:v>available</x:v>
      </x:c>
      <x:c r="K824" s="2" t="n">
        <x:v>1</x:v>
      </x:c>
      <x:c r="L824" s="13" t="b">
        <x:v>0</x:v>
      </x:c>
      <x:c r="M824" s="13" t="b">
        <x:v>1</x:v>
      </x:c>
      <x:c r="N824" s="2" t="str">
        <x:v>modeled_epoch_volume_with_fixed2018_height_and_predominant_use</x:v>
      </x:c>
      <x:c r="O824" s="2" t="str"/>
      <x:c r="P824" s="2" t="str">
        <x:v>built-up volume</x:v>
      </x:c>
      <x:c r="Q824" s="2" t="str">
        <x:v>m3</x:v>
      </x:c>
      <x:c r="R824" s="17" t="n">
        <x:v>5870683006.694118</x:v>
      </x:c>
      <x:c r="S824" s="17" t="n">
        <x:v>2094811037.29</x:v>
      </x:c>
      <x:c r="T824" s="18" t="n">
        <x:v>0.32089063618340197</x:v>
      </x:c>
      <x:c r="U824" s="17" t="n">
        <x:v>672205246.4400003</x:v>
      </x:c>
      <x:c r="V824" s="2" t="str">
        <x:v>Area equivalent = model2020 * source volume / TEMPO2020 volume</x:v>
      </x:c>
      <x:c r="W824" s="2" t="str">
        <x:v>qualified_paired_native_source_frame</x:v>
      </x:c>
      <x:c r="X824" s="2" t="str">
        <x:v>https://human-settlement.emergency.copernicus.eu/ghs_buV2023.php</x:v>
      </x:c>
    </x:row>
    <x:row r="825" ht="23" customHeight="1">
      <x:c r="A825" s="2" t="str">
        <x:v>BLZ</x:v>
      </x:c>
      <x:c r="B825" s="2" t="str">
        <x:v>Belize</x:v>
      </x:c>
      <x:c r="C825" s="2" t="n">
        <x:v>2015</x:v>
      </x:c>
      <x:c r="D825" s="2" t="str">
        <x:v>GHSL_VOLUME</x:v>
      </x:c>
      <x:c r="E825" s="17" t="n">
        <x:v>16540709.810359346</x:v>
      </x:c>
      <x:c r="F825" s="17" t="n">
        <x:f>IF(AND(M825,ISNUMBER(R825)),IF(D825="TEMPO_PROXY",R825,IF(AND(ISNUMBER(S825),S825&gt;0,ISNUMBER(U825)),U825*R825/S825,"n.a.")),"n.a.")</x:f>
        <x:v>69618164.91393244</x:v>
      </x:c>
      <x:c r="G825" s="17" t="n">
        <x:f>IF(AND(ISNUMBER(E825),ISNUMBER(F825)),E825-F825,"n.a.")</x:f>
        <x:v>-53077455.1035731</x:v>
      </x:c>
      <x:c r="H825" s="15" t="n">
        <x:f>IF(AND(ISNUMBER(E825),ISNUMBER(F825),F825&gt;0),(E825-F825)/F825,"n.a.")</x:f>
        <x:v>-0.7624081325497692</x:v>
      </x:c>
      <x:c r="I825" s="19" t="n">
        <x:f>IF(ISNUMBER(H825),ABS(H825),"n.a.")</x:f>
        <x:v>0.7624081325497692</x:v>
      </x:c>
      <x:c r="J825" s="2" t="str">
        <x:v>available</x:v>
      </x:c>
      <x:c r="K825" s="2" t="n">
        <x:v>1</x:v>
      </x:c>
      <x:c r="L825" s="13" t="b">
        <x:v>0</x:v>
      </x:c>
      <x:c r="M825" s="13" t="b">
        <x:v>1</x:v>
      </x:c>
      <x:c r="N825" s="2" t="str">
        <x:v>modeled_epoch_volume_with_fixed2018_height_and_predominant_use</x:v>
      </x:c>
      <x:c r="O825" s="2" t="str"/>
      <x:c r="P825" s="2" t="str">
        <x:v>built-up volume</x:v>
      </x:c>
      <x:c r="Q825" s="2" t="str">
        <x:v>m3</x:v>
      </x:c>
      <x:c r="R825" s="17" t="n">
        <x:v>151995085.85098034</x:v>
      </x:c>
      <x:c r="S825" s="17" t="n">
        <x:v>47743072.84</x:v>
      </x:c>
      <x:c r="T825" s="18" t="n">
        <x:v>0.4580290509009467</x:v>
      </x:c>
      <x:c r="U825" s="17" t="n">
        <x:v>21867714.339999966</x:v>
      </x:c>
      <x:c r="V825" s="2" t="str">
        <x:v>Area equivalent = model2020 * source volume / TEMPO2020 volume</x:v>
      </x:c>
      <x:c r="W825" s="2" t="str">
        <x:v>qualified_paired_native_source_frame</x:v>
      </x:c>
      <x:c r="X825" s="2" t="str">
        <x:v>https://human-settlement.emergency.copernicus.eu/ghs_buV2023.php</x:v>
      </x:c>
    </x:row>
    <x:row r="826" ht="23" customHeight="1">
      <x:c r="A826" s="2" t="str">
        <x:v>BOL</x:v>
      </x:c>
      <x:c r="B826" s="2" t="str">
        <x:v>Bolivia (Plurinational State of)</x:v>
      </x:c>
      <x:c r="C826" s="2" t="n">
        <x:v>2015</x:v>
      </x:c>
      <x:c r="D826" s="2" t="str">
        <x:v>GHSL_VOLUME</x:v>
      </x:c>
      <x:c r="E826" s="17" t="n">
        <x:v>459985037.8168253</x:v>
      </x:c>
      <x:c r="F826" s="17" t="n">
        <x:f>IF(AND(M826,ISNUMBER(R826)),IF(D826="TEMPO_PROXY",R826,IF(AND(ISNUMBER(S826),S826&gt;0,ISNUMBER(U826)),U826*R826/S826,"n.a.")),"n.a.")</x:f>
        <x:v>1443843228.7463884</x:v>
      </x:c>
      <x:c r="G826" s="17" t="n">
        <x:f>IF(AND(ISNUMBER(E826),ISNUMBER(F826)),E826-F826,"n.a.")</x:f>
        <x:v>-983858190.9295632</x:v>
      </x:c>
      <x:c r="H826" s="15" t="n">
        <x:f>IF(AND(ISNUMBER(E826),ISNUMBER(F826),F826&gt;0),(E826-F826)/F826,"n.a.")</x:f>
        <x:v>-0.6814162170388779</x:v>
      </x:c>
      <x:c r="I826" s="19" t="n">
        <x:f>IF(ISNUMBER(H826),ABS(H826),"n.a.")</x:f>
        <x:v>0.6814162170388779</x:v>
      </x:c>
      <x:c r="J826" s="2" t="str">
        <x:v>available</x:v>
      </x:c>
      <x:c r="K826" s="2" t="n">
        <x:v>1</x:v>
      </x:c>
      <x:c r="L826" s="13" t="b">
        <x:v>0</x:v>
      </x:c>
      <x:c r="M826" s="13" t="b">
        <x:v>1</x:v>
      </x:c>
      <x:c r="N826" s="2" t="str">
        <x:v>modeled_epoch_volume_with_fixed2018_height_and_predominant_use</x:v>
      </x:c>
      <x:c r="O826" s="2" t="str"/>
      <x:c r="P826" s="2" t="str">
        <x:v>built-up volume</x:v>
      </x:c>
      <x:c r="Q826" s="2" t="str">
        <x:v>m3</x:v>
      </x:c>
      <x:c r="R826" s="17" t="n">
        <x:v>3712280405.0862746</x:v>
      </x:c>
      <x:c r="S826" s="17" t="n">
        <x:v>1276348098.54</x:v>
      </x:c>
      <x:c r="T826" s="18" t="n">
        <x:v>0.38893700668951303</x:v>
      </x:c>
      <x:c r="U826" s="17" t="n">
        <x:v>496419008.9399992</x:v>
      </x:c>
      <x:c r="V826" s="2" t="str">
        <x:v>Area equivalent = model2020 * source volume / TEMPO2020 volume</x:v>
      </x:c>
      <x:c r="W826" s="2" t="str">
        <x:v>qualified_paired_native_source_frame</x:v>
      </x:c>
      <x:c r="X826" s="2" t="str">
        <x:v>https://human-settlement.emergency.copernicus.eu/ghs_buV2023.php</x:v>
      </x:c>
    </x:row>
    <x:row r="827" ht="23" customHeight="1">
      <x:c r="A827" s="2" t="str">
        <x:v>BRA</x:v>
      </x:c>
      <x:c r="B827" s="2" t="str">
        <x:v>Brazil (Federative Republic of)</x:v>
      </x:c>
      <x:c r="C827" s="2" t="n">
        <x:v>2015</x:v>
      </x:c>
      <x:c r="D827" s="2" t="str">
        <x:v>GHSL_VOLUME</x:v>
      </x:c>
      <x:c r="E827" s="17" t="n">
        <x:v>11501843459.570875</x:v>
      </x:c>
      <x:c r="F827" s="17" t="n">
        <x:f>IF(AND(M827,ISNUMBER(R827)),IF(D827="TEMPO_PROXY",R827,IF(AND(ISNUMBER(S827),S827&gt;0,ISNUMBER(U827)),U827*R827/S827,"n.a.")),"n.a.")</x:f>
        <x:v>31585004400.302288</x:v>
      </x:c>
      <x:c r="G827" s="17" t="n">
        <x:f>IF(AND(ISNUMBER(E827),ISNUMBER(F827)),E827-F827,"n.a.")</x:f>
        <x:v>-20083160940.731415</x:v>
      </x:c>
      <x:c r="H827" s="15" t="n">
        <x:f>IF(AND(ISNUMBER(E827),ISNUMBER(F827),F827&gt;0),(E827-F827)/F827,"n.a.")</x:f>
        <x:v>-0.6358448042685474</x:v>
      </x:c>
      <x:c r="I827" s="19" t="n">
        <x:f>IF(ISNUMBER(H827),ABS(H827),"n.a.")</x:f>
        <x:v>0.6358448042685474</x:v>
      </x:c>
      <x:c r="J827" s="2" t="str">
        <x:v>available</x:v>
      </x:c>
      <x:c r="K827" s="2" t="n">
        <x:v>1</x:v>
      </x:c>
      <x:c r="L827" s="13" t="b">
        <x:v>0</x:v>
      </x:c>
      <x:c r="M827" s="13" t="b">
        <x:v>1</x:v>
      </x:c>
      <x:c r="N827" s="2" t="str">
        <x:v>modeled_epoch_volume_with_fixed2018_height_and_predominant_use</x:v>
      </x:c>
      <x:c r="O827" s="2" t="str"/>
      <x:c r="P827" s="2" t="str">
        <x:v>built-up volume</x:v>
      </x:c>
      <x:c r="Q827" s="2" t="str">
        <x:v>m3</x:v>
      </x:c>
      <x:c r="R827" s="17" t="n">
        <x:v>92694805239.99608</x:v>
      </x:c>
      <x:c r="S827" s="17" t="n">
        <x:v>35548429912.6</x:v>
      </x:c>
      <x:c r="T827" s="18" t="n">
        <x:v>0.3407419036970364</x:v>
      </x:c>
      <x:c r="U827" s="17" t="n">
        <x:v>12112839681.859997</x:v>
      </x:c>
      <x:c r="V827" s="2" t="str">
        <x:v>Area equivalent = model2020 * source volume / TEMPO2020 volume</x:v>
      </x:c>
      <x:c r="W827" s="2" t="str">
        <x:v>qualified_paired_native_source_frame</x:v>
      </x:c>
      <x:c r="X827" s="2" t="str">
        <x:v>https://human-settlement.emergency.copernicus.eu/ghs_buV2023.php</x:v>
      </x:c>
    </x:row>
    <x:row r="828" ht="23" customHeight="1">
      <x:c r="A828" s="2" t="str">
        <x:v>BRB</x:v>
      </x:c>
      <x:c r="B828" s="2" t="str">
        <x:v>Barbados</x:v>
      </x:c>
      <x:c r="C828" s="2" t="n">
        <x:v>2015</x:v>
      </x:c>
      <x:c r="D828" s="2" t="str">
        <x:v>GHSL_VOLUME</x:v>
      </x:c>
      <x:c r="E828" s="17" t="n">
        <x:v>17895946.814018443</x:v>
      </x:c>
      <x:c r="F828" s="17" t="n">
        <x:f>IF(AND(M828,ISNUMBER(R828)),IF(D828="TEMPO_PROXY",R828,IF(AND(ISNUMBER(S828),S828&gt;0,ISNUMBER(U828)),U828*R828/S828,"n.a.")),"n.a.")</x:f>
        <x:v>73071161.38459653</x:v>
      </x:c>
      <x:c r="G828" s="17" t="n">
        <x:f>IF(AND(ISNUMBER(E828),ISNUMBER(F828)),E828-F828,"n.a.")</x:f>
        <x:v>-55175214.57057808</x:v>
      </x:c>
      <x:c r="H828" s="15" t="n">
        <x:f>IF(AND(ISNUMBER(E828),ISNUMBER(F828),F828&gt;0),(E828-F828)/F828,"n.a.")</x:f>
        <x:v>-0.7550887863978726</x:v>
      </x:c>
      <x:c r="I828" s="19" t="n">
        <x:f>IF(ISNUMBER(H828),ABS(H828),"n.a.")</x:f>
        <x:v>0.7550887863978726</x:v>
      </x:c>
      <x:c r="J828" s="2" t="str">
        <x:v>available</x:v>
      </x:c>
      <x:c r="K828" s="2" t="n">
        <x:v>1</x:v>
      </x:c>
      <x:c r="L828" s="13" t="b">
        <x:v>0</x:v>
      </x:c>
      <x:c r="M828" s="13" t="b">
        <x:v>1</x:v>
      </x:c>
      <x:c r="N828" s="2" t="str">
        <x:v>modeled_epoch_volume_with_fixed2018_height_and_predominant_use</x:v>
      </x:c>
      <x:c r="O828" s="2" t="str"/>
      <x:c r="P828" s="2" t="str">
        <x:v>built-up volume</x:v>
      </x:c>
      <x:c r="Q828" s="2" t="str">
        <x:v>m3</x:v>
      </x:c>
      <x:c r="R828" s="17" t="n">
        <x:v>182089645.5215686</x:v>
      </x:c>
      <x:c r="S828" s="17" t="n">
        <x:v>59020792.31</x:v>
      </x:c>
      <x:c r="T828" s="18" t="n">
        <x:v>0.40129223809127146</x:v>
      </x:c>
      <x:c r="U828" s="17" t="n">
        <x:v>23684585.840000004</x:v>
      </x:c>
      <x:c r="V828" s="2" t="str">
        <x:v>Area equivalent = model2020 * source volume / TEMPO2020 volume</x:v>
      </x:c>
      <x:c r="W828" s="2" t="str">
        <x:v>qualified_paired_native_source_frame</x:v>
      </x:c>
      <x:c r="X828" s="2" t="str">
        <x:v>https://human-settlement.emergency.copernicus.eu/ghs_buV2023.php</x:v>
      </x:c>
    </x:row>
    <x:row r="829" ht="23" customHeight="1">
      <x:c r="A829" s="2" t="str">
        <x:v>BRN</x:v>
      </x:c>
      <x:c r="B829" s="2" t="str">
        <x:v>Brunei Darussalam</x:v>
      </x:c>
      <x:c r="C829" s="2" t="n">
        <x:v>2015</x:v>
      </x:c>
      <x:c r="D829" s="2" t="str">
        <x:v>GHSL_VOLUME</x:v>
      </x:c>
      <x:c r="E829" s="17" t="n">
        <x:v>34359495.97534139</x:v>
      </x:c>
      <x:c r="F829" s="17" t="n">
        <x:f>IF(AND(M829,ISNUMBER(R829)),IF(D829="TEMPO_PROXY",R829,IF(AND(ISNUMBER(S829),S829&gt;0,ISNUMBER(U829)),U829*R829/S829,"n.a.")),"n.a.")</x:f>
        <x:v>91287819.44542539</x:v>
      </x:c>
      <x:c r="G829" s="17" t="n">
        <x:f>IF(AND(ISNUMBER(E829),ISNUMBER(F829)),E829-F829,"n.a.")</x:f>
        <x:v>-56928323.470084004</x:v>
      </x:c>
      <x:c r="H829" s="15" t="n">
        <x:f>IF(AND(ISNUMBER(E829),ISNUMBER(F829),F829&gt;0),(E829-F829)/F829,"n.a.")</x:f>
        <x:v>-0.6236135753479956</x:v>
      </x:c>
      <x:c r="I829" s="19" t="n">
        <x:f>IF(ISNUMBER(H829),ABS(H829),"n.a.")</x:f>
        <x:v>0.6236135753479956</x:v>
      </x:c>
      <x:c r="J829" s="2" t="str">
        <x:v>available</x:v>
      </x:c>
      <x:c r="K829" s="2" t="n">
        <x:v>1</x:v>
      </x:c>
      <x:c r="L829" s="13" t="b">
        <x:v>0</x:v>
      </x:c>
      <x:c r="M829" s="13" t="b">
        <x:v>1</x:v>
      </x:c>
      <x:c r="N829" s="2" t="str">
        <x:v>modeled_epoch_volume_with_fixed2018_height_and_predominant_use</x:v>
      </x:c>
      <x:c r="O829" s="2" t="str"/>
      <x:c r="P829" s="2" t="str">
        <x:v>built-up volume</x:v>
      </x:c>
      <x:c r="Q829" s="2" t="str">
        <x:v>m3</x:v>
      </x:c>
      <x:c r="R829" s="17" t="n">
        <x:v>253496601.1647059</x:v>
      </x:c>
      <x:c r="S829" s="17" t="n">
        <x:v>105104800.1</x:v>
      </x:c>
      <x:c r="T829" s="18" t="n">
        <x:v>0.36011456968652766</x:v>
      </x:c>
      <x:c r="U829" s="17" t="n">
        <x:v>37849769.86000001</x:v>
      </x:c>
      <x:c r="V829" s="2" t="str">
        <x:v>Area equivalent = model2020 * source volume / TEMPO2020 volume</x:v>
      </x:c>
      <x:c r="W829" s="2" t="str">
        <x:v>qualified_paired_native_source_frame</x:v>
      </x:c>
      <x:c r="X829" s="2" t="str">
        <x:v>https://human-settlement.emergency.copernicus.eu/ghs_buV2023.php</x:v>
      </x:c>
    </x:row>
    <x:row r="830" ht="23" customHeight="1">
      <x:c r="A830" s="2" t="str">
        <x:v>BTN</x:v>
      </x:c>
      <x:c r="B830" s="2" t="str">
        <x:v>Bhutan (Kingdom of)</x:v>
      </x:c>
      <x:c r="C830" s="2" t="n">
        <x:v>2015</x:v>
      </x:c>
      <x:c r="D830" s="2" t="str">
        <x:v>GHSL_VOLUME</x:v>
      </x:c>
      <x:c r="E830" s="17" t="n">
        <x:v>21797976.569607902</x:v>
      </x:c>
      <x:c r="F830" s="17" t="n">
        <x:f>IF(AND(M830,ISNUMBER(R830)),IF(D830="TEMPO_PROXY",R830,IF(AND(ISNUMBER(S830),S830&gt;0,ISNUMBER(U830)),U830*R830/S830,"n.a.")),"n.a.")</x:f>
        <x:v>39543178.44265822</x:v>
      </x:c>
      <x:c r="G830" s="17" t="n">
        <x:f>IF(AND(ISNUMBER(E830),ISNUMBER(F830)),E830-F830,"n.a.")</x:f>
        <x:v>-17745201.87305032</x:v>
      </x:c>
      <x:c r="H830" s="15" t="n">
        <x:f>IF(AND(ISNUMBER(E830),ISNUMBER(F830),F830&gt;0),(E830-F830)/F830,"n.a.")</x:f>
        <x:v>-0.44875507159301153</x:v>
      </x:c>
      <x:c r="I830" s="19" t="n">
        <x:f>IF(ISNUMBER(H830),ABS(H830),"n.a.")</x:f>
        <x:v>0.44875507159301153</x:v>
      </x:c>
      <x:c r="J830" s="2" t="str">
        <x:v>available</x:v>
      </x:c>
      <x:c r="K830" s="2" t="n">
        <x:v>1</x:v>
      </x:c>
      <x:c r="L830" s="13" t="b">
        <x:v>0</x:v>
      </x:c>
      <x:c r="M830" s="13" t="b">
        <x:v>1</x:v>
      </x:c>
      <x:c r="N830" s="2" t="str">
        <x:v>modeled_epoch_volume_with_fixed2018_height_and_predominant_use</x:v>
      </x:c>
      <x:c r="O830" s="2" t="str"/>
      <x:c r="P830" s="2" t="str">
        <x:v>built-up volume</x:v>
      </x:c>
      <x:c r="Q830" s="2" t="str">
        <x:v>m3</x:v>
      </x:c>
      <x:c r="R830" s="17" t="n">
        <x:v>79314201.65098038</x:v>
      </x:c>
      <x:c r="S830" s="17" t="n">
        <x:v>54511683.95</x:v>
      </x:c>
      <x:c r="T830" s="18" t="n">
        <x:v>0.4985636571955514</x:v>
      </x:c>
      <x:c r="U830" s="17" t="n">
        <x:v>27177544.510000043</x:v>
      </x:c>
      <x:c r="V830" s="2" t="str">
        <x:v>Area equivalent = model2020 * source volume / TEMPO2020 volume</x:v>
      </x:c>
      <x:c r="W830" s="2" t="str">
        <x:v>qualified_paired_native_source_frame</x:v>
      </x:c>
      <x:c r="X830" s="2" t="str">
        <x:v>https://human-settlement.emergency.copernicus.eu/ghs_buV2023.php</x:v>
      </x:c>
    </x:row>
    <x:row r="831" ht="23" customHeight="1">
      <x:c r="A831" s="2" t="str">
        <x:v>BWA</x:v>
      </x:c>
      <x:c r="B831" s="2" t="str">
        <x:v>Botswana (Republic of)</x:v>
      </x:c>
      <x:c r="C831" s="2" t="n">
        <x:v>2015</x:v>
      </x:c>
      <x:c r="D831" s="2" t="str">
        <x:v>GHSL_VOLUME</x:v>
      </x:c>
      <x:c r="E831" s="17" t="n">
        <x:v>111331344.3203508</x:v>
      </x:c>
      <x:c r="F831" s="17" t="n">
        <x:f>IF(AND(M831,ISNUMBER(R831)),IF(D831="TEMPO_PROXY",R831,IF(AND(ISNUMBER(S831),S831&gt;0,ISNUMBER(U831)),U831*R831/S831,"n.a.")),"n.a.")</x:f>
        <x:v>956411549.6076735</x:v>
      </x:c>
      <x:c r="G831" s="17" t="n">
        <x:f>IF(AND(ISNUMBER(E831),ISNUMBER(F831)),E831-F831,"n.a.")</x:f>
        <x:v>-845080205.2873228</x:v>
      </x:c>
      <x:c r="H831" s="15" t="n">
        <x:f>IF(AND(ISNUMBER(E831),ISNUMBER(F831),F831&gt;0),(E831-F831)/F831,"n.a.")</x:f>
        <x:v>-0.8835947303584742</x:v>
      </x:c>
      <x:c r="I831" s="19" t="n">
        <x:f>IF(ISNUMBER(H831),ABS(H831),"n.a.")</x:f>
        <x:v>0.8835947303584742</x:v>
      </x:c>
      <x:c r="J831" s="2" t="str">
        <x:v>available</x:v>
      </x:c>
      <x:c r="K831" s="2" t="n">
        <x:v>1</x:v>
      </x:c>
      <x:c r="L831" s="13" t="b">
        <x:v>0</x:v>
      </x:c>
      <x:c r="M831" s="13" t="b">
        <x:v>1</x:v>
      </x:c>
      <x:c r="N831" s="2" t="str">
        <x:v>modeled_epoch_volume_with_fixed2018_height_and_predominant_use</x:v>
      </x:c>
      <x:c r="O831" s="2" t="str"/>
      <x:c r="P831" s="2" t="str">
        <x:v>built-up volume</x:v>
      </x:c>
      <x:c r="Q831" s="2" t="str">
        <x:v>m3</x:v>
      </x:c>
      <x:c r="R831" s="17" t="n">
        <x:v>2068965024.6941178</x:v>
      </x:c>
      <x:c r="S831" s="17" t="n">
        <x:v>256485858.63</x:v>
      </x:c>
      <x:c r="T831" s="18" t="n">
        <x:v>0.462265692359431</x:v>
      </x:c>
      <x:c r="U831" s="17" t="n">
        <x:v>118564613.02000009</x:v>
      </x:c>
      <x:c r="V831" s="2" t="str">
        <x:v>Area equivalent = model2020 * source volume / TEMPO2020 volume</x:v>
      </x:c>
      <x:c r="W831" s="2" t="str">
        <x:v>qualified_paired_native_source_frame</x:v>
      </x:c>
      <x:c r="X831" s="2" t="str">
        <x:v>https://human-settlement.emergency.copernicus.eu/ghs_buV2023.php</x:v>
      </x:c>
    </x:row>
    <x:row r="832" ht="23" customHeight="1">
      <x:c r="A832" s="2" t="str">
        <x:v>CAF</x:v>
      </x:c>
      <x:c r="B832" s="2" t="str">
        <x:v>Central African Republic</x:v>
      </x:c>
      <x:c r="C832" s="2" t="n">
        <x:v>2015</x:v>
      </x:c>
      <x:c r="D832" s="2" t="str">
        <x:v>GHSL_VOLUME</x:v>
      </x:c>
      <x:c r="E832" s="17" t="n">
        <x:v>62024265.65545923</x:v>
      </x:c>
      <x:c r="F832" s="17" t="n">
        <x:f>IF(AND(M832,ISNUMBER(R832)),IF(D832="TEMPO_PROXY",R832,IF(AND(ISNUMBER(S832),S832&gt;0,ISNUMBER(U832)),U832*R832/S832,"n.a.")),"n.a.")</x:f>
        <x:v>378581878.1312169</x:v>
      </x:c>
      <x:c r="G832" s="17" t="n">
        <x:f>IF(AND(ISNUMBER(E832),ISNUMBER(F832)),E832-F832,"n.a.")</x:f>
        <x:v>-316557612.47575766</x:v>
      </x:c>
      <x:c r="H832" s="15" t="n">
        <x:f>IF(AND(ISNUMBER(E832),ISNUMBER(F832),F832&gt;0),(E832-F832)/F832,"n.a.")</x:f>
        <x:v>-0.8361668393594858</x:v>
      </x:c>
      <x:c r="I832" s="19" t="n">
        <x:f>IF(ISNUMBER(H832),ABS(H832),"n.a.")</x:f>
        <x:v>0.8361668393594858</x:v>
      </x:c>
      <x:c r="J832" s="2" t="str">
        <x:v>available</x:v>
      </x:c>
      <x:c r="K832" s="2" t="n">
        <x:v>1</x:v>
      </x:c>
      <x:c r="L832" s="13" t="b">
        <x:v>0</x:v>
      </x:c>
      <x:c r="M832" s="13" t="b">
        <x:v>1</x:v>
      </x:c>
      <x:c r="N832" s="2" t="str">
        <x:v>modeled_epoch_volume_with_fixed2018_height_and_predominant_use</x:v>
      </x:c>
      <x:c r="O832" s="2" t="str"/>
      <x:c r="P832" s="2" t="str">
        <x:v>built-up volume</x:v>
      </x:c>
      <x:c r="Q832" s="2" t="str">
        <x:v>m3</x:v>
      </x:c>
      <x:c r="R832" s="17" t="n">
        <x:v>820209011.1843138</x:v>
      </x:c>
      <x:c r="S832" s="17" t="n">
        <x:v>145133910.52</x:v>
      </x:c>
      <x:c r="T832" s="18" t="n">
        <x:v>0.4615675674966995</x:v>
      </x:c>
      <x:c r="U832" s="17" t="n">
        <x:v>66989106.04000005</x:v>
      </x:c>
      <x:c r="V832" s="2" t="str">
        <x:v>Area equivalent = model2020 * source volume / TEMPO2020 volume</x:v>
      </x:c>
      <x:c r="W832" s="2" t="str">
        <x:v>qualified_paired_native_source_frame</x:v>
      </x:c>
      <x:c r="X832" s="2" t="str">
        <x:v>https://human-settlement.emergency.copernicus.eu/ghs_buV2023.php</x:v>
      </x:c>
    </x:row>
    <x:row r="833" ht="23" customHeight="1">
      <x:c r="A833" s="2" t="str">
        <x:v>CAN</x:v>
      </x:c>
      <x:c r="B833" s="2" t="str">
        <x:v>Canada</x:v>
      </x:c>
      <x:c r="C833" s="2" t="n">
        <x:v>2015</x:v>
      </x:c>
      <x:c r="D833" s="2" t="str">
        <x:v>GHSL_VOLUME</x:v>
      </x:c>
      <x:c r="E833" s="17" t="n">
        <x:v>2816886264.1935463</x:v>
      </x:c>
      <x:c r="F833" s="17" t="str">
        <x:f>IF(AND(M833,ISNUMBER(R833)),IF(D833="TEMPO_PROXY",R833,IF(AND(ISNUMBER(S833),S833&gt;0,ISNUMBER(U833)),U833*R833/S833,"n.a.")),"n.a.")</x:f>
        <x:v>n.a.</x:v>
      </x:c>
      <x:c r="G833" s="17" t="str">
        <x:f>IF(AND(ISNUMBER(E833),ISNUMBER(F833)),E833-F833,"n.a.")</x:f>
        <x:v>n.a.</x:v>
      </x:c>
      <x:c r="H833" s="15" t="str">
        <x:f>IF(AND(ISNUMBER(E833),ISNUMBER(F833),F833&gt;0),(E833-F833)/F833,"n.a.")</x:f>
        <x:v>n.a.</x:v>
      </x:c>
      <x:c r="I833" s="19" t="str">
        <x:f>IF(ISNUMBER(H833),ABS(H833),"n.a.")</x:f>
        <x:v>n.a.</x:v>
      </x:c>
      <x:c r="J833" s="2" t="str">
        <x:v>unqualified_or_missing_native_source: source_support_or_logical_consistency_failed</x:v>
      </x:c>
      <x:c r="K833" s="2" t="n">
        <x:v>1</x:v>
      </x:c>
      <x:c r="L833" s="13" t="b">
        <x:v>0</x:v>
      </x:c>
      <x:c r="M833" s="13" t="b">
        <x:v>0</x:v>
      </x:c>
      <x:c r="N833" s="2" t="str">
        <x:v>modeled_epoch_volume_with_fixed2018_height_and_predominant_use</x:v>
      </x:c>
      <x:c r="O833" s="2" t="str"/>
      <x:c r="P833" s="2" t="str">
        <x:v>built-up volume</x:v>
      </x:c>
      <x:c r="Q833" s="2" t="str">
        <x:v>m3</x:v>
      </x:c>
      <x:c r="R833" s="17" t="n">
        <x:v>27011162947.074512</x:v>
      </x:c>
      <x:c r="S833" s="17" t="n">
        <x:v>8910828189.5</x:v>
      </x:c>
      <x:c r="T833" s="18" t="n">
        <x:v>0.3301183910970525</x:v>
      </x:c>
      <x:c r="U833" s="17" t="n">
        <x:v>2941628265.260001</x:v>
      </x:c>
      <x:c r="V833" s="2" t="str">
        <x:v>Area equivalent = model2020 * source volume / TEMPO2020 volume</x:v>
      </x:c>
      <x:c r="W833" s="2" t="str">
        <x:v>source_support_or_logical_consistency_failed</x:v>
      </x:c>
      <x:c r="X833" s="2" t="str">
        <x:v>https://human-settlement.emergency.copernicus.eu/ghs_buV2023.php</x:v>
      </x:c>
    </x:row>
    <x:row r="834" ht="23" customHeight="1">
      <x:c r="A834" s="2" t="str">
        <x:v>CHE</x:v>
      </x:c>
      <x:c r="B834" s="2" t="str">
        <x:v>Switzerland (Swiss Confederation)</x:v>
      </x:c>
      <x:c r="C834" s="2" t="n">
        <x:v>2015</x:v>
      </x:c>
      <x:c r="D834" s="2" t="str">
        <x:v>GHSL_VOLUME</x:v>
      </x:c>
      <x:c r="E834" s="17" t="n">
        <x:v>523761622.51901233</x:v>
      </x:c>
      <x:c r="F834" s="17" t="n">
        <x:f>IF(AND(M834,ISNUMBER(R834)),IF(D834="TEMPO_PROXY",R834,IF(AND(ISNUMBER(S834),S834&gt;0,ISNUMBER(U834)),U834*R834/S834,"n.a.")),"n.a.")</x:f>
        <x:v>1256316887.771964</x:v>
      </x:c>
      <x:c r="G834" s="17" t="n">
        <x:f>IF(AND(ISNUMBER(E834),ISNUMBER(F834)),E834-F834,"n.a.")</x:f>
        <x:v>-732555265.2529517</x:v>
      </x:c>
      <x:c r="H834" s="15" t="n">
        <x:f>IF(AND(ISNUMBER(E834),ISNUMBER(F834),F834&gt;0),(E834-F834)/F834,"n.a.")</x:f>
        <x:v>-0.5830975229124826</x:v>
      </x:c>
      <x:c r="I834" s="19" t="n">
        <x:f>IF(ISNUMBER(H834),ABS(H834),"n.a.")</x:f>
        <x:v>0.5830975229124826</x:v>
      </x:c>
      <x:c r="J834" s="2" t="str">
        <x:v>available</x:v>
      </x:c>
      <x:c r="K834" s="2" t="n">
        <x:v>1</x:v>
      </x:c>
      <x:c r="L834" s="13" t="b">
        <x:v>0</x:v>
      </x:c>
      <x:c r="M834" s="13" t="b">
        <x:v>1</x:v>
      </x:c>
      <x:c r="N834" s="2" t="str">
        <x:v>modeled_epoch_volume_with_fixed2018_height_and_predominant_use</x:v>
      </x:c>
      <x:c r="O834" s="2" t="str"/>
      <x:c r="P834" s="2" t="str">
        <x:v>built-up volume</x:v>
      </x:c>
      <x:c r="Q834" s="2" t="str">
        <x:v>m3</x:v>
      </x:c>
      <x:c r="R834" s="17" t="n">
        <x:v>4266558501.9137263</x:v>
      </x:c>
      <x:c r="S834" s="17" t="n">
        <x:v>1881753387.57</x:v>
      </x:c>
      <x:c r="T834" s="18" t="n">
        <x:v>0.29445673537781203</x:v>
      </x:c>
      <x:c r="U834" s="17" t="n">
        <x:v>554094959.2900008</x:v>
      </x:c>
      <x:c r="V834" s="2" t="str">
        <x:v>Area equivalent = model2020 * source volume / TEMPO2020 volume</x:v>
      </x:c>
      <x:c r="W834" s="2" t="str">
        <x:v>qualified_paired_native_source_frame</x:v>
      </x:c>
      <x:c r="X834" s="2" t="str">
        <x:v>https://human-settlement.emergency.copernicus.eu/ghs_buV2023.php</x:v>
      </x:c>
    </x:row>
    <x:row r="835" ht="23" customHeight="1">
      <x:c r="A835" s="2" t="str">
        <x:v>CHL</x:v>
      </x:c>
      <x:c r="B835" s="2" t="str">
        <x:v>Chile (Republic of)</x:v>
      </x:c>
      <x:c r="C835" s="2" t="n">
        <x:v>2015</x:v>
      </x:c>
      <x:c r="D835" s="2" t="str">
        <x:v>GHSL_VOLUME</x:v>
      </x:c>
      <x:c r="E835" s="17" t="n">
        <x:v>948297662.3062444</x:v>
      </x:c>
      <x:c r="F835" s="17" t="n">
        <x:f>IF(AND(M835,ISNUMBER(R835)),IF(D835="TEMPO_PROXY",R835,IF(AND(ISNUMBER(S835),S835&gt;0,ISNUMBER(U835)),U835*R835/S835,"n.a.")),"n.a.")</x:f>
        <x:v>2241408093.310984</x:v>
      </x:c>
      <x:c r="G835" s="17" t="n">
        <x:f>IF(AND(ISNUMBER(E835),ISNUMBER(F835)),E835-F835,"n.a.")</x:f>
        <x:v>-1293110431.0047398</x:v>
      </x:c>
      <x:c r="H835" s="15" t="n">
        <x:f>IF(AND(ISNUMBER(E835),ISNUMBER(F835),F835&gt;0),(E835-F835)/F835,"n.a.")</x:f>
        <x:v>-0.5769187837162535</x:v>
      </x:c>
      <x:c r="I835" s="19" t="n">
        <x:f>IF(ISNUMBER(H835),ABS(H835),"n.a.")</x:f>
        <x:v>0.5769187837162535</x:v>
      </x:c>
      <x:c r="J835" s="2" t="str">
        <x:v>available</x:v>
      </x:c>
      <x:c r="K835" s="2" t="n">
        <x:v>1</x:v>
      </x:c>
      <x:c r="L835" s="13" t="b">
        <x:v>0</x:v>
      </x:c>
      <x:c r="M835" s="13" t="b">
        <x:v>1</x:v>
      </x:c>
      <x:c r="N835" s="2" t="str">
        <x:v>modeled_epoch_volume_with_fixed2018_height_and_predominant_use</x:v>
      </x:c>
      <x:c r="O835" s="2" t="str"/>
      <x:c r="P835" s="2" t="str">
        <x:v>built-up volume</x:v>
      </x:c>
      <x:c r="Q835" s="2" t="str">
        <x:v>m3</x:v>
      </x:c>
      <x:c r="R835" s="17" t="n">
        <x:v>6660602808.760785</x:v>
      </x:c>
      <x:c r="S835" s="17" t="n">
        <x:v>2931309348.39</x:v>
      </x:c>
      <x:c r="T835" s="18" t="n">
        <x:v>0.3365173029628532</x:v>
      </x:c>
      <x:c r="U835" s="17" t="n">
        <x:v>986436316.0700014</x:v>
      </x:c>
      <x:c r="V835" s="2" t="str">
        <x:v>Area equivalent = model2020 * source volume / TEMPO2020 volume</x:v>
      </x:c>
      <x:c r="W835" s="2" t="str">
        <x:v>qualified_paired_native_source_frame</x:v>
      </x:c>
      <x:c r="X835" s="2" t="str">
        <x:v>https://human-settlement.emergency.copernicus.eu/ghs_buV2023.php</x:v>
      </x:c>
    </x:row>
    <x:row r="836" ht="23" customHeight="1">
      <x:c r="A836" s="2" t="str">
        <x:v>CHN</x:v>
      </x:c>
      <x:c r="B836" s="2" t="str">
        <x:v>China (People's Republic of)</x:v>
      </x:c>
      <x:c r="C836" s="2" t="n">
        <x:v>2015</x:v>
      </x:c>
      <x:c r="D836" s="2" t="str">
        <x:v>GHSL_VOLUME</x:v>
      </x:c>
      <x:c r="E836" s="17" t="n">
        <x:v>76119805856.33177</x:v>
      </x:c>
      <x:c r="F836" s="17" t="n">
        <x:f>IF(AND(M836,ISNUMBER(R836)),IF(D836="TEMPO_PROXY",R836,IF(AND(ISNUMBER(S836),S836&gt;0,ISNUMBER(U836)),U836*R836/S836,"n.a.")),"n.a.")</x:f>
        <x:v>141030544211.942</x:v>
      </x:c>
      <x:c r="G836" s="17" t="n">
        <x:f>IF(AND(ISNUMBER(E836),ISNUMBER(F836)),E836-F836,"n.a.")</x:f>
        <x:v>-64910738355.610214</x:v>
      </x:c>
      <x:c r="H836" s="15" t="n">
        <x:f>IF(AND(ISNUMBER(E836),ISNUMBER(F836),F836&gt;0),(E836-F836)/F836,"n.a.")</x:f>
        <x:v>-0.46026014235655055</x:v>
      </x:c>
      <x:c r="I836" s="19" t="n">
        <x:f>IF(ISNUMBER(H836),ABS(H836),"n.a.")</x:f>
        <x:v>0.46026014235655055</x:v>
      </x:c>
      <x:c r="J836" s="2" t="str">
        <x:v>available</x:v>
      </x:c>
      <x:c r="K836" s="2" t="n">
        <x:v>1</x:v>
      </x:c>
      <x:c r="L836" s="13" t="b">
        <x:v>0</x:v>
      </x:c>
      <x:c r="M836" s="13" t="b">
        <x:v>1</x:v>
      </x:c>
      <x:c r="N836" s="2" t="str">
        <x:v>modeled_epoch_volume_with_fixed2018_height_and_predominant_use</x:v>
      </x:c>
      <x:c r="O836" s="2" t="str"/>
      <x:c r="P836" s="2" t="str">
        <x:v>built-up volume</x:v>
      </x:c>
      <x:c r="Q836" s="2" t="str">
        <x:v>m3</x:v>
      </x:c>
      <x:c r="R836" s="17" t="n">
        <x:v>482256534909.45886</x:v>
      </x:c>
      <x:c r="S836" s="17" t="n">
        <x:v>294573212122.84</x:v>
      </x:c>
      <x:c r="T836" s="18" t="n">
        <x:v>0.29243884530962283</x:v>
      </x:c>
      <x:c r="U836" s="17" t="n">
        <x:v>86144650012.34993</x:v>
      </x:c>
      <x:c r="V836" s="2" t="str">
        <x:v>Area equivalent = model2020 * source volume / TEMPO2020 volume</x:v>
      </x:c>
      <x:c r="W836" s="2" t="str">
        <x:v>qualified_paired_native_source_frame</x:v>
      </x:c>
      <x:c r="X836" s="2" t="str">
        <x:v>https://human-settlement.emergency.copernicus.eu/ghs_buV2023.php</x:v>
      </x:c>
    </x:row>
    <x:row r="837" ht="23" customHeight="1">
      <x:c r="A837" s="2" t="str">
        <x:v>CIV</x:v>
      </x:c>
      <x:c r="B837" s="2" t="str">
        <x:v>Côte d'Ivoire (Republic of)</x:v>
      </x:c>
      <x:c r="C837" s="2" t="n">
        <x:v>2015</x:v>
      </x:c>
      <x:c r="D837" s="2" t="str">
        <x:v>GHSL_VOLUME</x:v>
      </x:c>
      <x:c r="E837" s="17" t="n">
        <x:v>535082766.1071231</x:v>
      </x:c>
      <x:c r="F837" s="17" t="n">
        <x:f>IF(AND(M837,ISNUMBER(R837)),IF(D837="TEMPO_PROXY",R837,IF(AND(ISNUMBER(S837),S837&gt;0,ISNUMBER(U837)),U837*R837/S837,"n.a.")),"n.a.")</x:f>
        <x:v>2434659359.1282053</x:v>
      </x:c>
      <x:c r="G837" s="17" t="n">
        <x:f>IF(AND(ISNUMBER(E837),ISNUMBER(F837)),E837-F837,"n.a.")</x:f>
        <x:v>-1899576593.0210822</x:v>
      </x:c>
      <x:c r="H837" s="15" t="n">
        <x:f>IF(AND(ISNUMBER(E837),ISNUMBER(F837),F837&gt;0),(E837-F837)/F837,"n.a.")</x:f>
        <x:v>-0.7802227387166294</x:v>
      </x:c>
      <x:c r="I837" s="19" t="n">
        <x:f>IF(ISNUMBER(H837),ABS(H837),"n.a.")</x:f>
        <x:v>0.7802227387166294</x:v>
      </x:c>
      <x:c r="J837" s="2" t="str">
        <x:v>available</x:v>
      </x:c>
      <x:c r="K837" s="2" t="n">
        <x:v>1</x:v>
      </x:c>
      <x:c r="L837" s="13" t="b">
        <x:v>0</x:v>
      </x:c>
      <x:c r="M837" s="13" t="b">
        <x:v>1</x:v>
      </x:c>
      <x:c r="N837" s="2" t="str">
        <x:v>modeled_epoch_volume_with_fixed2018_height_and_predominant_use</x:v>
      </x:c>
      <x:c r="O837" s="2" t="str"/>
      <x:c r="P837" s="2" t="str">
        <x:v>built-up volume</x:v>
      </x:c>
      <x:c r="Q837" s="2" t="str">
        <x:v>m3</x:v>
      </x:c>
      <x:c r="R837" s="17" t="n">
        <x:v>5958515522.678431</x:v>
      </x:c>
      <x:c r="S837" s="17" t="n">
        <x:v>1475346058.37</x:v>
      </x:c>
      <x:c r="T837" s="18" t="n">
        <x:v>0.4086016642671755</x:v>
      </x:c>
      <x:c r="U837" s="17" t="n">
        <x:v>602828854.8199993</x:v>
      </x:c>
      <x:c r="V837" s="2" t="str">
        <x:v>Area equivalent = model2020 * source volume / TEMPO2020 volume</x:v>
      </x:c>
      <x:c r="W837" s="2" t="str">
        <x:v>qualified_paired_native_source_frame</x:v>
      </x:c>
      <x:c r="X837" s="2" t="str">
        <x:v>https://human-settlement.emergency.copernicus.eu/ghs_buV2023.php</x:v>
      </x:c>
    </x:row>
    <x:row r="838" ht="23" customHeight="1">
      <x:c r="A838" s="2" t="str">
        <x:v>CMR</x:v>
      </x:c>
      <x:c r="B838" s="2" t="str">
        <x:v>Cameroon (Republic of)</x:v>
      </x:c>
      <x:c r="C838" s="2" t="n">
        <x:v>2015</x:v>
      </x:c>
      <x:c r="D838" s="2" t="str">
        <x:v>GHSL_VOLUME</x:v>
      </x:c>
      <x:c r="E838" s="17" t="n">
        <x:v>500876494.0247831</x:v>
      </x:c>
      <x:c r="F838" s="17" t="n">
        <x:f>IF(AND(M838,ISNUMBER(R838)),IF(D838="TEMPO_PROXY",R838,IF(AND(ISNUMBER(S838),S838&gt;0,ISNUMBER(U838)),U838*R838/S838,"n.a.")),"n.a.")</x:f>
        <x:v>2460057541.2055106</x:v>
      </x:c>
      <x:c r="G838" s="17" t="n">
        <x:f>IF(AND(ISNUMBER(E838),ISNUMBER(F838)),E838-F838,"n.a.")</x:f>
        <x:v>-1959181047.1807275</x:v>
      </x:c>
      <x:c r="H838" s="15" t="n">
        <x:f>IF(AND(ISNUMBER(E838),ISNUMBER(F838),F838&gt;0),(E838-F838)/F838,"n.a.")</x:f>
        <x:v>-0.7963964315325174</x:v>
      </x:c>
      <x:c r="I838" s="19" t="n">
        <x:f>IF(ISNUMBER(H838),ABS(H838),"n.a.")</x:f>
        <x:v>0.7963964315325174</x:v>
      </x:c>
      <x:c r="J838" s="2" t="str">
        <x:v>available</x:v>
      </x:c>
      <x:c r="K838" s="2" t="n">
        <x:v>1</x:v>
      </x:c>
      <x:c r="L838" s="13" t="b">
        <x:v>0</x:v>
      </x:c>
      <x:c r="M838" s="13" t="b">
        <x:v>1</x:v>
      </x:c>
      <x:c r="N838" s="2" t="str">
        <x:v>modeled_epoch_volume_with_fixed2018_height_and_predominant_use</x:v>
      </x:c>
      <x:c r="O838" s="2" t="str"/>
      <x:c r="P838" s="2" t="str">
        <x:v>built-up volume</x:v>
      </x:c>
      <x:c r="Q838" s="2" t="str">
        <x:v>m3</x:v>
      </x:c>
      <x:c r="R838" s="17" t="n">
        <x:v>5571210425.274509</x:v>
      </x:c>
      <x:c r="S838" s="17" t="n">
        <x:v>1306842249.94</x:v>
      </x:c>
      <x:c r="T838" s="18" t="n">
        <x:v>0.4415660787187547</x:v>
      </x:c>
      <x:c r="U838" s="17" t="n">
        <x:v>577057207.8100005</x:v>
      </x:c>
      <x:c r="V838" s="2" t="str">
        <x:v>Area equivalent = model2020 * source volume / TEMPO2020 volume</x:v>
      </x:c>
      <x:c r="W838" s="2" t="str">
        <x:v>qualified_paired_native_source_frame</x:v>
      </x:c>
      <x:c r="X838" s="2" t="str">
        <x:v>https://human-settlement.emergency.copernicus.eu/ghs_buV2023.php</x:v>
      </x:c>
    </x:row>
    <x:row r="839" ht="23" customHeight="1">
      <x:c r="A839" s="2" t="str">
        <x:v>COD</x:v>
      </x:c>
      <x:c r="B839" s="2" t="str">
        <x:v>Congo (Democratic Republic of the)</x:v>
      </x:c>
      <x:c r="C839" s="2" t="n">
        <x:v>2015</x:v>
      </x:c>
      <x:c r="D839" s="2" t="str">
        <x:v>GHSL_VOLUME</x:v>
      </x:c>
      <x:c r="E839" s="17" t="n">
        <x:v>771777552.5431249</x:v>
      </x:c>
      <x:c r="F839" s="17" t="n">
        <x:f>IF(AND(M839,ISNUMBER(R839)),IF(D839="TEMPO_PROXY",R839,IF(AND(ISNUMBER(S839),S839&gt;0,ISNUMBER(U839)),U839*R839/S839,"n.a.")),"n.a.")</x:f>
        <x:v>4896560990.407137</x:v>
      </x:c>
      <x:c r="G839" s="17" t="n">
        <x:f>IF(AND(ISNUMBER(E839),ISNUMBER(F839)),E839-F839,"n.a.")</x:f>
        <x:v>-4124783437.864012</x:v>
      </x:c>
      <x:c r="H839" s="15" t="n">
        <x:f>IF(AND(ISNUMBER(E839),ISNUMBER(F839),F839&gt;0),(E839-F839)/F839,"n.a.")</x:f>
        <x:v>-0.842383755853319</x:v>
      </x:c>
      <x:c r="I839" s="19" t="n">
        <x:f>IF(ISNUMBER(H839),ABS(H839),"n.a.")</x:f>
        <x:v>0.842383755853319</x:v>
      </x:c>
      <x:c r="J839" s="2" t="str">
        <x:v>available</x:v>
      </x:c>
      <x:c r="K839" s="2" t="n">
        <x:v>1</x:v>
      </x:c>
      <x:c r="L839" s="13" t="b">
        <x:v>0</x:v>
      </x:c>
      <x:c r="M839" s="13" t="b">
        <x:v>1</x:v>
      </x:c>
      <x:c r="N839" s="2" t="str">
        <x:v>modeled_epoch_volume_with_fixed2018_height_and_predominant_use</x:v>
      </x:c>
      <x:c r="O839" s="2" t="str"/>
      <x:c r="P839" s="2" t="str">
        <x:v>built-up volume</x:v>
      </x:c>
      <x:c r="Q839" s="2" t="str">
        <x:v>m3</x:v>
      </x:c>
      <x:c r="R839" s="17" t="n">
        <x:v>10893602243.298038</x:v>
      </x:c>
      <x:c r="S839" s="17" t="n">
        <x:v>2095322526.52</x:v>
      </x:c>
      <x:c r="T839" s="18" t="n">
        <x:v>0.44948960693140766</x:v>
      </x:c>
      <x:c r="U839" s="17" t="n">
        <x:v>941825698.8399988</x:v>
      </x:c>
      <x:c r="V839" s="2" t="str">
        <x:v>Area equivalent = model2020 * source volume / TEMPO2020 volume</x:v>
      </x:c>
      <x:c r="W839" s="2" t="str">
        <x:v>qualified_paired_native_source_frame</x:v>
      </x:c>
      <x:c r="X839" s="2" t="str">
        <x:v>https://human-settlement.emergency.copernicus.eu/ghs_buV2023.php</x:v>
      </x:c>
    </x:row>
    <x:row r="840" ht="23" customHeight="1">
      <x:c r="A840" s="2" t="str">
        <x:v>COG</x:v>
      </x:c>
      <x:c r="B840" s="2" t="str">
        <x:v>Congo (Republic of the)</x:v>
      </x:c>
      <x:c r="C840" s="2" t="n">
        <x:v>2015</x:v>
      </x:c>
      <x:c r="D840" s="2" t="str">
        <x:v>GHSL_VOLUME</x:v>
      </x:c>
      <x:c r="E840" s="17" t="n">
        <x:v>91893894.47278675</x:v>
      </x:c>
      <x:c r="F840" s="17" t="n">
        <x:f>IF(AND(M840,ISNUMBER(R840)),IF(D840="TEMPO_PROXY",R840,IF(AND(ISNUMBER(S840),S840&gt;0,ISNUMBER(U840)),U840*R840/S840,"n.a.")),"n.a.")</x:f>
        <x:v>462699823.91770065</x:v>
      </x:c>
      <x:c r="G840" s="17" t="n">
        <x:f>IF(AND(ISNUMBER(E840),ISNUMBER(F840)),E840-F840,"n.a.")</x:f>
        <x:v>-370805929.44491386</x:v>
      </x:c>
      <x:c r="H840" s="15" t="n">
        <x:f>IF(AND(ISNUMBER(E840),ISNUMBER(F840),F840&gt;0),(E840-F840)/F840,"n.a.")</x:f>
        <x:v>-0.8013963055038211</x:v>
      </x:c>
      <x:c r="I840" s="19" t="n">
        <x:f>IF(ISNUMBER(H840),ABS(H840),"n.a.")</x:f>
        <x:v>0.8013963055038211</x:v>
      </x:c>
      <x:c r="J840" s="2" t="str">
        <x:v>available</x:v>
      </x:c>
      <x:c r="K840" s="2" t="n">
        <x:v>1</x:v>
      </x:c>
      <x:c r="L840" s="13" t="b">
        <x:v>0</x:v>
      </x:c>
      <x:c r="M840" s="13" t="b">
        <x:v>1</x:v>
      </x:c>
      <x:c r="N840" s="2" t="str">
        <x:v>modeled_epoch_volume_with_fixed2018_height_and_predominant_use</x:v>
      </x:c>
      <x:c r="O840" s="2" t="str"/>
      <x:c r="P840" s="2" t="str">
        <x:v>built-up volume</x:v>
      </x:c>
      <x:c r="Q840" s="2" t="str">
        <x:v>m3</x:v>
      </x:c>
      <x:c r="R840" s="17" t="n">
        <x:v>1191339017.6156864</x:v>
      </x:c>
      <x:c r="S840" s="17" t="n">
        <x:v>284819662.07</x:v>
      </x:c>
      <x:c r="T840" s="18" t="n">
        <x:v>0.38838635944597494</x:v>
      </x:c>
      <x:c r="U840" s="17" t="n">
        <x:v>110620071.65000013</x:v>
      </x:c>
      <x:c r="V840" s="2" t="str">
        <x:v>Area equivalent = model2020 * source volume / TEMPO2020 volume</x:v>
      </x:c>
      <x:c r="W840" s="2" t="str">
        <x:v>qualified_paired_native_source_frame</x:v>
      </x:c>
      <x:c r="X840" s="2" t="str">
        <x:v>https://human-settlement.emergency.copernicus.eu/ghs_buV2023.php</x:v>
      </x:c>
    </x:row>
    <x:row r="841" ht="23" customHeight="1">
      <x:c r="A841" s="2" t="str">
        <x:v>COL</x:v>
      </x:c>
      <x:c r="B841" s="2" t="str">
        <x:v>Colombia (Republic of)</x:v>
      </x:c>
      <x:c r="C841" s="2" t="n">
        <x:v>2015</x:v>
      </x:c>
      <x:c r="D841" s="2" t="str">
        <x:v>GHSL_VOLUME</x:v>
      </x:c>
      <x:c r="E841" s="17" t="n">
        <x:v>1430230197.3322928</x:v>
      </x:c>
      <x:c r="F841" s="17" t="n">
        <x:f>IF(AND(M841,ISNUMBER(R841)),IF(D841="TEMPO_PROXY",R841,IF(AND(ISNUMBER(S841),S841&gt;0,ISNUMBER(U841)),U841*R841/S841,"n.a.")),"n.a.")</x:f>
        <x:v>3185022149.759641</x:v>
      </x:c>
      <x:c r="G841" s="17" t="n">
        <x:f>IF(AND(ISNUMBER(E841),ISNUMBER(F841)),E841-F841,"n.a.")</x:f>
        <x:v>-1754791952.4273484</x:v>
      </x:c>
      <x:c r="H841" s="15" t="n">
        <x:f>IF(AND(ISNUMBER(E841),ISNUMBER(F841),F841&gt;0),(E841-F841)/F841,"n.a.")</x:f>
        <x:v>-0.5509512555696903</x:v>
      </x:c>
      <x:c r="I841" s="19" t="n">
        <x:f>IF(ISNUMBER(H841),ABS(H841),"n.a.")</x:f>
        <x:v>0.5509512555696903</x:v>
      </x:c>
      <x:c r="J841" s="2" t="str">
        <x:v>available</x:v>
      </x:c>
      <x:c r="K841" s="2" t="n">
        <x:v>1</x:v>
      </x:c>
      <x:c r="L841" s="13" t="b">
        <x:v>0</x:v>
      </x:c>
      <x:c r="M841" s="13" t="b">
        <x:v>1</x:v>
      </x:c>
      <x:c r="N841" s="2" t="str">
        <x:v>modeled_epoch_volume_with_fixed2018_height_and_predominant_use</x:v>
      </x:c>
      <x:c r="O841" s="2" t="str"/>
      <x:c r="P841" s="2" t="str">
        <x:v>built-up volume</x:v>
      </x:c>
      <x:c r="Q841" s="2" t="str">
        <x:v>m3</x:v>
      </x:c>
      <x:c r="R841" s="17" t="n">
        <x:v>9535088068.635294</x:v>
      </x:c>
      <x:c r="S841" s="17" t="n">
        <x:v>4507158850.32</x:v>
      </x:c>
      <x:c r="T841" s="18" t="n">
        <x:v>0.3340317495583967</x:v>
      </x:c>
      <x:c r="U841" s="17" t="n">
        <x:v>1505534156.3100014</x:v>
      </x:c>
      <x:c r="V841" s="2" t="str">
        <x:v>Area equivalent = model2020 * source volume / TEMPO2020 volume</x:v>
      </x:c>
      <x:c r="W841" s="2" t="str">
        <x:v>qualified_paired_native_source_frame</x:v>
      </x:c>
      <x:c r="X841" s="2" t="str">
        <x:v>https://human-settlement.emergency.copernicus.eu/ghs_buV2023.php</x:v>
      </x:c>
    </x:row>
    <x:row r="842" ht="23" customHeight="1">
      <x:c r="A842" s="2" t="str">
        <x:v>COM</x:v>
      </x:c>
      <x:c r="B842" s="2" t="str">
        <x:v>Comoros (Union of the)</x:v>
      </x:c>
      <x:c r="C842" s="2" t="n">
        <x:v>2015</x:v>
      </x:c>
      <x:c r="D842" s="2" t="str">
        <x:v>GHSL_VOLUME</x:v>
      </x:c>
      <x:c r="E842" s="17" t="n">
        <x:v>17623145.13508351</x:v>
      </x:c>
      <x:c r="F842" s="17" t="n">
        <x:f>IF(AND(M842,ISNUMBER(R842)),IF(D842="TEMPO_PROXY",R842,IF(AND(ISNUMBER(S842),S842&gt;0,ISNUMBER(U842)),U842*R842/S842,"n.a.")),"n.a.")</x:f>
        <x:v>51190930.40395814</x:v>
      </x:c>
      <x:c r="G842" s="17" t="n">
        <x:f>IF(AND(ISNUMBER(E842),ISNUMBER(F842)),E842-F842,"n.a.")</x:f>
        <x:v>-33567785.26887463</x:v>
      </x:c>
      <x:c r="H842" s="15" t="n">
        <x:f>IF(AND(ISNUMBER(E842),ISNUMBER(F842),F842&gt;0),(E842-F842)/F842,"n.a.")</x:f>
        <x:v>-0.6557369636375886</x:v>
      </x:c>
      <x:c r="I842" s="19" t="n">
        <x:f>IF(ISNUMBER(H842),ABS(H842),"n.a.")</x:f>
        <x:v>0.6557369636375886</x:v>
      </x:c>
      <x:c r="J842" s="2" t="str">
        <x:v>available</x:v>
      </x:c>
      <x:c r="K842" s="2" t="n">
        <x:v>1</x:v>
      </x:c>
      <x:c r="L842" s="13" t="b">
        <x:v>0</x:v>
      </x:c>
      <x:c r="M842" s="13" t="b">
        <x:v>1</x:v>
      </x:c>
      <x:c r="N842" s="2" t="str">
        <x:v>modeled_epoch_volume_with_fixed2018_height_and_predominant_use</x:v>
      </x:c>
      <x:c r="O842" s="2" t="str"/>
      <x:c r="P842" s="2" t="str">
        <x:v>built-up volume</x:v>
      </x:c>
      <x:c r="Q842" s="2" t="str">
        <x:v>m3</x:v>
      </x:c>
      <x:c r="R842" s="17" t="n">
        <x:v>133786240.56862745</x:v>
      </x:c>
      <x:c r="S842" s="17" t="n">
        <x:v>47134266.27</x:v>
      </x:c>
      <x:c r="T842" s="18" t="n">
        <x:v>0.38263225116710764</x:v>
      </x:c>
      <x:c r="U842" s="17" t="n">
        <x:v>18035090.40999997</x:v>
      </x:c>
      <x:c r="V842" s="2" t="str">
        <x:v>Area equivalent = model2020 * source volume / TEMPO2020 volume</x:v>
      </x:c>
      <x:c r="W842" s="2" t="str">
        <x:v>qualified_paired_native_source_frame</x:v>
      </x:c>
      <x:c r="X842" s="2" t="str">
        <x:v>https://human-settlement.emergency.copernicus.eu/ghs_buV2023.php</x:v>
      </x:c>
    </x:row>
    <x:row r="843" ht="23" customHeight="1">
      <x:c r="A843" s="2" t="str">
        <x:v>CPV</x:v>
      </x:c>
      <x:c r="B843" s="2" t="str">
        <x:v>Cabo Verde (Republic of)</x:v>
      </x:c>
      <x:c r="C843" s="2" t="n">
        <x:v>2015</x:v>
      </x:c>
      <x:c r="D843" s="2" t="str">
        <x:v>GHSL_VOLUME</x:v>
      </x:c>
      <x:c r="E843" s="17" t="n">
        <x:v>19695500.817529745</x:v>
      </x:c>
      <x:c r="F843" s="17" t="n">
        <x:f>IF(AND(M843,ISNUMBER(R843)),IF(D843="TEMPO_PROXY",R843,IF(AND(ISNUMBER(S843),S843&gt;0,ISNUMBER(U843)),U843*R843/S843,"n.a.")),"n.a.")</x:f>
        <x:v>42283205.80272258</x:v>
      </x:c>
      <x:c r="G843" s="17" t="n">
        <x:f>IF(AND(ISNUMBER(E843),ISNUMBER(F843)),E843-F843,"n.a.")</x:f>
        <x:v>-22587704.985192835</x:v>
      </x:c>
      <x:c r="H843" s="15" t="n">
        <x:f>IF(AND(ISNUMBER(E843),ISNUMBER(F843),F843&gt;0),(E843-F843)/F843,"n.a.")</x:f>
        <x:v>-0.5342003889340489</x:v>
      </x:c>
      <x:c r="I843" s="19" t="n">
        <x:f>IF(ISNUMBER(H843),ABS(H843),"n.a.")</x:f>
        <x:v>0.5342003889340489</x:v>
      </x:c>
      <x:c r="J843" s="2" t="str">
        <x:v>available</x:v>
      </x:c>
      <x:c r="K843" s="2" t="n">
        <x:v>1</x:v>
      </x:c>
      <x:c r="L843" s="13" t="b">
        <x:v>0</x:v>
      </x:c>
      <x:c r="M843" s="13" t="b">
        <x:v>1</x:v>
      </x:c>
      <x:c r="N843" s="2" t="str">
        <x:v>modeled_epoch_volume_with_fixed2018_height_and_predominant_use</x:v>
      </x:c>
      <x:c r="O843" s="2" t="str"/>
      <x:c r="P843" s="2" t="str">
        <x:v>built-up volume</x:v>
      </x:c>
      <x:c r="Q843" s="2" t="str">
        <x:v>m3</x:v>
      </x:c>
      <x:c r="R843" s="17" t="n">
        <x:v>124996148.69803919</x:v>
      </x:c>
      <x:c r="S843" s="17" t="n">
        <x:v>64544419.93</x:v>
      </x:c>
      <x:c r="T843" s="18" t="n">
        <x:v>0.33827606884807865</x:v>
      </x:c>
      <x:c r="U843" s="17" t="n">
        <x:v>21833832.63999998</x:v>
      </x:c>
      <x:c r="V843" s="2" t="str">
        <x:v>Area equivalent = model2020 * source volume / TEMPO2020 volume</x:v>
      </x:c>
      <x:c r="W843" s="2" t="str">
        <x:v>qualified_paired_native_source_frame</x:v>
      </x:c>
      <x:c r="X843" s="2" t="str">
        <x:v>https://human-settlement.emergency.copernicus.eu/ghs_buV2023.php</x:v>
      </x:c>
    </x:row>
    <x:row r="844" ht="23" customHeight="1">
      <x:c r="A844" s="2" t="str">
        <x:v>CRI</x:v>
      </x:c>
      <x:c r="B844" s="2" t="str">
        <x:v>Costa Rica (Republic of)</x:v>
      </x:c>
      <x:c r="C844" s="2" t="n">
        <x:v>2015</x:v>
      </x:c>
      <x:c r="D844" s="2" t="str">
        <x:v>GHSL_VOLUME</x:v>
      </x:c>
      <x:c r="E844" s="17" t="n">
        <x:v>251814595.18811685</x:v>
      </x:c>
      <x:c r="F844" s="17" t="n">
        <x:f>IF(AND(M844,ISNUMBER(R844)),IF(D844="TEMPO_PROXY",R844,IF(AND(ISNUMBER(S844),S844&gt;0,ISNUMBER(U844)),U844*R844/S844,"n.a.")),"n.a.")</x:f>
        <x:v>670223558.0640814</x:v>
      </x:c>
      <x:c r="G844" s="17" t="n">
        <x:f>IF(AND(ISNUMBER(E844),ISNUMBER(F844)),E844-F844,"n.a.")</x:f>
        <x:v>-418408962.8759646</x:v>
      </x:c>
      <x:c r="H844" s="15" t="n">
        <x:f>IF(AND(ISNUMBER(E844),ISNUMBER(F844),F844&gt;0),(E844-F844)/F844,"n.a.")</x:f>
        <x:v>-0.6242826857422396</x:v>
      </x:c>
      <x:c r="I844" s="19" t="n">
        <x:f>IF(ISNUMBER(H844),ABS(H844),"n.a.")</x:f>
        <x:v>0.6242826857422396</x:v>
      </x:c>
      <x:c r="J844" s="2" t="str">
        <x:v>available</x:v>
      </x:c>
      <x:c r="K844" s="2" t="n">
        <x:v>1</x:v>
      </x:c>
      <x:c r="L844" s="13" t="b">
        <x:v>0</x:v>
      </x:c>
      <x:c r="M844" s="13" t="b">
        <x:v>1</x:v>
      </x:c>
      <x:c r="N844" s="2" t="str">
        <x:v>modeled_epoch_volume_with_fixed2018_height_and_predominant_use</x:v>
      </x:c>
      <x:c r="O844" s="2" t="str"/>
      <x:c r="P844" s="2" t="str">
        <x:v>built-up volume</x:v>
      </x:c>
      <x:c r="Q844" s="2" t="str">
        <x:v>m3</x:v>
      </x:c>
      <x:c r="R844" s="17" t="n">
        <x:v>1772484124.0901964</x:v>
      </x:c>
      <x:c r="S844" s="17" t="n">
        <x:v>753150522.26</x:v>
      </x:c>
      <x:c r="T844" s="18" t="n">
        <x:v>0.37812669177395447</x:v>
      </x:c>
      <x:c r="U844" s="17" t="n">
        <x:v>284786315.38999987</x:v>
      </x:c>
      <x:c r="V844" s="2" t="str">
        <x:v>Area equivalent = model2020 * source volume / TEMPO2020 volume</x:v>
      </x:c>
      <x:c r="W844" s="2" t="str">
        <x:v>qualified_paired_native_source_frame</x:v>
      </x:c>
      <x:c r="X844" s="2" t="str">
        <x:v>https://human-settlement.emergency.copernicus.eu/ghs_buV2023.php</x:v>
      </x:c>
    </x:row>
    <x:row r="845" ht="23" customHeight="1">
      <x:c r="A845" s="2" t="str">
        <x:v>CUB</x:v>
      </x:c>
      <x:c r="B845" s="2" t="str">
        <x:v>Cuba (Republic of)</x:v>
      </x:c>
      <x:c r="C845" s="2" t="n">
        <x:v>2015</x:v>
      </x:c>
      <x:c r="D845" s="2" t="str">
        <x:v>GHSL_VOLUME</x:v>
      </x:c>
      <x:c r="E845" s="17" t="n">
        <x:v>333742028.5469901</x:v>
      </x:c>
      <x:c r="F845" s="17" t="n">
        <x:f>IF(AND(M845,ISNUMBER(R845)),IF(D845="TEMPO_PROXY",R845,IF(AND(ISNUMBER(S845),S845&gt;0,ISNUMBER(U845)),U845*R845/S845,"n.a.")),"n.a.")</x:f>
        <x:v>752177105.8322178</x:v>
      </x:c>
      <x:c r="G845" s="17" t="n">
        <x:f>IF(AND(ISNUMBER(E845),ISNUMBER(F845)),E845-F845,"n.a.")</x:f>
        <x:v>-418435077.2852277</x:v>
      </x:c>
      <x:c r="H845" s="15" t="n">
        <x:f>IF(AND(ISNUMBER(E845),ISNUMBER(F845),F845&gt;0),(E845-F845)/F845,"n.a.")</x:f>
        <x:v>-0.5562986084537446</x:v>
      </x:c>
      <x:c r="I845" s="19" t="n">
        <x:f>IF(ISNUMBER(H845),ABS(H845),"n.a.")</x:f>
        <x:v>0.5562986084537446</x:v>
      </x:c>
      <x:c r="J845" s="2" t="str">
        <x:v>available</x:v>
      </x:c>
      <x:c r="K845" s="2" t="n">
        <x:v>1</x:v>
      </x:c>
      <x:c r="L845" s="13" t="b">
        <x:v>0</x:v>
      </x:c>
      <x:c r="M845" s="13" t="b">
        <x:v>1</x:v>
      </x:c>
      <x:c r="N845" s="2" t="str">
        <x:v>modeled_epoch_volume_with_fixed2018_height_and_predominant_use</x:v>
      </x:c>
      <x:c r="O845" s="2" t="str"/>
      <x:c r="P845" s="2" t="str">
        <x:v>built-up volume</x:v>
      </x:c>
      <x:c r="Q845" s="2" t="str">
        <x:v>m3</x:v>
      </x:c>
      <x:c r="R845" s="17" t="n">
        <x:v>1951807568.3803926</x:v>
      </x:c>
      <x:c r="S845" s="17" t="n">
        <x:v>934386713.42</x:v>
      </x:c>
      <x:c r="T845" s="18" t="n">
        <x:v>0.38537462299952724</x:v>
      </x:c>
      <x:c r="U845" s="17" t="n">
        <x:v>360088927.4199998</x:v>
      </x:c>
      <x:c r="V845" s="2" t="str">
        <x:v>Area equivalent = model2020 * source volume / TEMPO2020 volume</x:v>
      </x:c>
      <x:c r="W845" s="2" t="str">
        <x:v>qualified_paired_native_source_frame</x:v>
      </x:c>
      <x:c r="X845" s="2" t="str">
        <x:v>https://human-settlement.emergency.copernicus.eu/ghs_buV2023.php</x:v>
      </x:c>
    </x:row>
    <x:row r="846" ht="23" customHeight="1">
      <x:c r="A846" s="2" t="str">
        <x:v>CYP</x:v>
      </x:c>
      <x:c r="B846" s="2" t="str">
        <x:v>Cyprus (Republic of)</x:v>
      </x:c>
      <x:c r="C846" s="2" t="n">
        <x:v>2015</x:v>
      </x:c>
      <x:c r="D846" s="2" t="str">
        <x:v>GHSL_VOLUME</x:v>
      </x:c>
      <x:c r="E846" s="17" t="n">
        <x:v>118707748.12306449</x:v>
      </x:c>
      <x:c r="F846" s="17" t="n">
        <x:f>IF(AND(M846,ISNUMBER(R846)),IF(D846="TEMPO_PROXY",R846,IF(AND(ISNUMBER(S846),S846&gt;0,ISNUMBER(U846)),U846*R846/S846,"n.a.")),"n.a.")</x:f>
        <x:v>285197358.2588453</x:v>
      </x:c>
      <x:c r="G846" s="17" t="n">
        <x:f>IF(AND(ISNUMBER(E846),ISNUMBER(F846)),E846-F846,"n.a.")</x:f>
        <x:v>-166489610.13578084</x:v>
      </x:c>
      <x:c r="H846" s="15" t="n">
        <x:f>IF(AND(ISNUMBER(E846),ISNUMBER(F846),F846&gt;0),(E846-F846)/F846,"n.a.")</x:f>
        <x:v>-0.5837698187396068</x:v>
      </x:c>
      <x:c r="I846" s="19" t="n">
        <x:f>IF(ISNUMBER(H846),ABS(H846),"n.a.")</x:f>
        <x:v>0.5837698187396068</x:v>
      </x:c>
      <x:c r="J846" s="2" t="str">
        <x:v>available</x:v>
      </x:c>
      <x:c r="K846" s="2" t="n">
        <x:v>1</x:v>
      </x:c>
      <x:c r="L846" s="13" t="b">
        <x:v>0</x:v>
      </x:c>
      <x:c r="M846" s="13" t="b">
        <x:v>1</x:v>
      </x:c>
      <x:c r="N846" s="2" t="str">
        <x:v>modeled_epoch_volume_with_fixed2018_height_and_predominant_use</x:v>
      </x:c>
      <x:c r="O846" s="2" t="str"/>
      <x:c r="P846" s="2" t="str">
        <x:v>built-up volume</x:v>
      </x:c>
      <x:c r="Q846" s="2" t="str">
        <x:v>m3</x:v>
      </x:c>
      <x:c r="R846" s="17" t="n">
        <x:v>815098462.270588</x:v>
      </x:c>
      <x:c r="S846" s="17" t="n">
        <x:v>354750518.03</x:v>
      </x:c>
      <x:c r="T846" s="18" t="n">
        <x:v>0.3498931374062247</x:v>
      </x:c>
      <x:c r="U846" s="17" t="n">
        <x:v>124124771.75000016</x:v>
      </x:c>
      <x:c r="V846" s="2" t="str">
        <x:v>Area equivalent = model2020 * source volume / TEMPO2020 volume</x:v>
      </x:c>
      <x:c r="W846" s="2" t="str">
        <x:v>qualified_paired_native_source_frame</x:v>
      </x:c>
      <x:c r="X846" s="2" t="str">
        <x:v>https://human-settlement.emergency.copernicus.eu/ghs_buV2023.php</x:v>
      </x:c>
    </x:row>
    <x:row r="847" ht="23" customHeight="1">
      <x:c r="A847" s="2" t="str">
        <x:v>CZE</x:v>
      </x:c>
      <x:c r="B847" s="2" t="str">
        <x:v>Czechia (Czech Republic)</x:v>
      </x:c>
      <x:c r="C847" s="2" t="n">
        <x:v>2015</x:v>
      </x:c>
      <x:c r="D847" s="2" t="str">
        <x:v>GHSL_VOLUME</x:v>
      </x:c>
      <x:c r="E847" s="17" t="n">
        <x:v>802655135.3985859</x:v>
      </x:c>
      <x:c r="F847" s="17" t="n">
        <x:f>IF(AND(M847,ISNUMBER(R847)),IF(D847="TEMPO_PROXY",R847,IF(AND(ISNUMBER(S847),S847&gt;0,ISNUMBER(U847)),U847*R847/S847,"n.a.")),"n.a.")</x:f>
        <x:v>1653796915.9019113</x:v>
      </x:c>
      <x:c r="G847" s="17" t="n">
        <x:f>IF(AND(ISNUMBER(E847),ISNUMBER(F847)),E847-F847,"n.a.")</x:f>
        <x:v>-851141780.5033253</x:v>
      </x:c>
      <x:c r="H847" s="15" t="n">
        <x:f>IF(AND(ISNUMBER(E847),ISNUMBER(F847),F847&gt;0),(E847-F847)/F847,"n.a.")</x:f>
        <x:v>-0.5146591896013716</x:v>
      </x:c>
      <x:c r="I847" s="19" t="n">
        <x:f>IF(ISNUMBER(H847),ABS(H847),"n.a.")</x:f>
        <x:v>0.5146591896013716</x:v>
      </x:c>
      <x:c r="J847" s="2" t="str">
        <x:v>available</x:v>
      </x:c>
      <x:c r="K847" s="2" t="n">
        <x:v>1</x:v>
      </x:c>
      <x:c r="L847" s="13" t="b">
        <x:v>0</x:v>
      </x:c>
      <x:c r="M847" s="13" t="b">
        <x:v>1</x:v>
      </x:c>
      <x:c r="N847" s="2" t="str">
        <x:v>modeled_epoch_volume_with_fixed2018_height_and_predominant_use</x:v>
      </x:c>
      <x:c r="O847" s="2" t="str"/>
      <x:c r="P847" s="2" t="str">
        <x:v>built-up volume</x:v>
      </x:c>
      <x:c r="Q847" s="2" t="str">
        <x:v>m3</x:v>
      </x:c>
      <x:c r="R847" s="17" t="n">
        <x:v>5662941033.254902</x:v>
      </x:c>
      <x:c r="S847" s="17" t="n">
        <x:v>2923786140.39</x:v>
      </x:c>
      <x:c r="T847" s="18" t="n">
        <x:v>0.292038519594359</x:v>
      </x:c>
      <x:c r="U847" s="17" t="n">
        <x:v>853858176.0500003</x:v>
      </x:c>
      <x:c r="V847" s="2" t="str">
        <x:v>Area equivalent = model2020 * source volume / TEMPO2020 volume</x:v>
      </x:c>
      <x:c r="W847" s="2" t="str">
        <x:v>qualified_paired_native_source_frame</x:v>
      </x:c>
      <x:c r="X847" s="2" t="str">
        <x:v>https://human-settlement.emergency.copernicus.eu/ghs_buV2023.php</x:v>
      </x:c>
    </x:row>
    <x:row r="848" ht="23" customHeight="1">
      <x:c r="A848" s="2" t="str">
        <x:v>DEU</x:v>
      </x:c>
      <x:c r="B848" s="2" t="str">
        <x:v>Germany (Federal Republic of)</x:v>
      </x:c>
      <x:c r="C848" s="2" t="n">
        <x:v>2015</x:v>
      </x:c>
      <x:c r="D848" s="2" t="str">
        <x:v>GHSL_VOLUME</x:v>
      </x:c>
      <x:c r="E848" s="17" t="n">
        <x:v>6295283925.7990055</x:v>
      </x:c>
      <x:c r="F848" s="17" t="n">
        <x:f>IF(AND(M848,ISNUMBER(R848)),IF(D848="TEMPO_PROXY",R848,IF(AND(ISNUMBER(S848),S848&gt;0,ISNUMBER(U848)),U848*R848/S848,"n.a.")),"n.a.")</x:f>
        <x:v>14748966473.668098</x:v>
      </x:c>
      <x:c r="G848" s="17" t="n">
        <x:f>IF(AND(ISNUMBER(E848),ISNUMBER(F848)),E848-F848,"n.a.")</x:f>
        <x:v>-8453682547.869093</x:v>
      </x:c>
      <x:c r="H848" s="15" t="n">
        <x:f>IF(AND(ISNUMBER(E848),ISNUMBER(F848),F848&gt;0),(E848-F848)/F848,"n.a.")</x:f>
        <x:v>-0.5731711820595552</x:v>
      </x:c>
      <x:c r="I848" s="19" t="n">
        <x:f>IF(ISNUMBER(H848),ABS(H848),"n.a.")</x:f>
        <x:v>0.5731711820595552</x:v>
      </x:c>
      <x:c r="J848" s="2" t="str">
        <x:v>available</x:v>
      </x:c>
      <x:c r="K848" s="2" t="n">
        <x:v>1</x:v>
      </x:c>
      <x:c r="L848" s="13" t="b">
        <x:v>0</x:v>
      </x:c>
      <x:c r="M848" s="13" t="b">
        <x:v>1</x:v>
      </x:c>
      <x:c r="N848" s="2" t="str">
        <x:v>modeled_epoch_volume_with_fixed2018_height_and_predominant_use</x:v>
      </x:c>
      <x:c r="O848" s="2" t="str"/>
      <x:c r="P848" s="2" t="str">
        <x:v>built-up volume</x:v>
      </x:c>
      <x:c r="Q848" s="2" t="str">
        <x:v>m3</x:v>
      </x:c>
      <x:c r="R848" s="17" t="n">
        <x:v>51404782243.65489</x:v>
      </x:c>
      <x:c r="S848" s="17" t="n">
        <x:v>23042163121.21</x:v>
      </x:c>
      <x:c r="T848" s="18" t="n">
        <x:v>0.2869181782301709</x:v>
      </x:c>
      <x:c r="U848" s="17" t="n">
        <x:v>6611215465.220001</x:v>
      </x:c>
      <x:c r="V848" s="2" t="str">
        <x:v>Area equivalent = model2020 * source volume / TEMPO2020 volume</x:v>
      </x:c>
      <x:c r="W848" s="2" t="str">
        <x:v>qualified_paired_native_source_frame</x:v>
      </x:c>
      <x:c r="X848" s="2" t="str">
        <x:v>https://human-settlement.emergency.copernicus.eu/ghs_buV2023.php</x:v>
      </x:c>
    </x:row>
    <x:row r="849" ht="23" customHeight="1">
      <x:c r="A849" s="2" t="str">
        <x:v>DJI</x:v>
      </x:c>
      <x:c r="B849" s="2" t="str">
        <x:v>Djibouti (Republic of)</x:v>
      </x:c>
      <x:c r="C849" s="2" t="n">
        <x:v>2015</x:v>
      </x:c>
      <x:c r="D849" s="2" t="str">
        <x:v>GHSL_VOLUME</x:v>
      </x:c>
      <x:c r="E849" s="17" t="n">
        <x:v>11226600.057405254</x:v>
      </x:c>
      <x:c r="F849" s="17" t="n">
        <x:f>IF(AND(M849,ISNUMBER(R849)),IF(D849="TEMPO_PROXY",R849,IF(AND(ISNUMBER(S849),S849&gt;0,ISNUMBER(U849)),U849*R849/S849,"n.a.")),"n.a.")</x:f>
        <x:v>46782657.97862591</x:v>
      </x:c>
      <x:c r="G849" s="17" t="n">
        <x:f>IF(AND(ISNUMBER(E849),ISNUMBER(F849)),E849-F849,"n.a.")</x:f>
        <x:v>-35556057.92122065</x:v>
      </x:c>
      <x:c r="H849" s="15" t="n">
        <x:f>IF(AND(ISNUMBER(E849),ISNUMBER(F849),F849&gt;0),(E849-F849)/F849,"n.a.")</x:f>
        <x:v>-0.7600264597506522</x:v>
      </x:c>
      <x:c r="I849" s="19" t="n">
        <x:f>IF(ISNUMBER(H849),ABS(H849),"n.a.")</x:f>
        <x:v>0.7600264597506522</x:v>
      </x:c>
      <x:c r="J849" s="2" t="str">
        <x:v>available</x:v>
      </x:c>
      <x:c r="K849" s="2" t="n">
        <x:v>1</x:v>
      </x:c>
      <x:c r="L849" s="13" t="b">
        <x:v>0</x:v>
      </x:c>
      <x:c r="M849" s="13" t="b">
        <x:v>1</x:v>
      </x:c>
      <x:c r="N849" s="2" t="str">
        <x:v>modeled_epoch_volume_with_fixed2018_height_and_predominant_use</x:v>
      </x:c>
      <x:c r="O849" s="2" t="str"/>
      <x:c r="P849" s="2" t="str">
        <x:v>built-up volume</x:v>
      </x:c>
      <x:c r="Q849" s="2" t="str">
        <x:v>m3</x:v>
      </x:c>
      <x:c r="R849" s="17" t="n">
        <x:v>137821280.91372553</x:v>
      </x:c>
      <x:c r="S849" s="17" t="n">
        <x:v>37085097.63</x:v>
      </x:c>
      <x:c r="T849" s="18" t="n">
        <x:v>0.3394443707710952</x:v>
      </x:c>
      <x:c r="U849" s="17" t="n">
        <x:v>12588327.629999984</x:v>
      </x:c>
      <x:c r="V849" s="2" t="str">
        <x:v>Area equivalent = model2020 * source volume / TEMPO2020 volume</x:v>
      </x:c>
      <x:c r="W849" s="2" t="str">
        <x:v>qualified_paired_native_source_frame</x:v>
      </x:c>
      <x:c r="X849" s="2" t="str">
        <x:v>https://human-settlement.emergency.copernicus.eu/ghs_buV2023.php</x:v>
      </x:c>
    </x:row>
    <x:row r="850" ht="23" customHeight="1">
      <x:c r="A850" s="2" t="str">
        <x:v>DMA</x:v>
      </x:c>
      <x:c r="B850" s="2" t="str">
        <x:v>Dominica (Commonwealth of)</x:v>
      </x:c>
      <x:c r="C850" s="2" t="n">
        <x:v>2015</x:v>
      </x:c>
      <x:c r="D850" s="2" t="str">
        <x:v>GHSL_VOLUME</x:v>
      </x:c>
      <x:c r="E850" s="17" t="n">
        <x:v>3486495.3852494587</x:v>
      </x:c>
      <x:c r="F850" s="17" t="n">
        <x:f>IF(AND(M850,ISNUMBER(R850)),IF(D850="TEMPO_PROXY",R850,IF(AND(ISNUMBER(S850),S850&gt;0,ISNUMBER(U850)),U850*R850/S850,"n.a.")),"n.a.")</x:f>
        <x:v>7695049.108212861</x:v>
      </x:c>
      <x:c r="G850" s="17" t="n">
        <x:f>IF(AND(ISNUMBER(E850),ISNUMBER(F850)),E850-F850,"n.a.")</x:f>
        <x:v>-4208553.722963402</x:v>
      </x:c>
      <x:c r="H850" s="15" t="n">
        <x:f>IF(AND(ISNUMBER(E850),ISNUMBER(F850),F850&gt;0),(E850-F850)/F850,"n.a.")</x:f>
        <x:v>-0.546917071454638</x:v>
      </x:c>
      <x:c r="I850" s="19" t="n">
        <x:f>IF(ISNUMBER(H850),ABS(H850),"n.a.")</x:f>
        <x:v>0.546917071454638</x:v>
      </x:c>
      <x:c r="J850" s="2" t="str">
        <x:v>available</x:v>
      </x:c>
      <x:c r="K850" s="2" t="n">
        <x:v>1</x:v>
      </x:c>
      <x:c r="L850" s="13" t="b">
        <x:v>0</x:v>
      </x:c>
      <x:c r="M850" s="13" t="b">
        <x:v>1</x:v>
      </x:c>
      <x:c r="N850" s="2" t="str">
        <x:v>modeled_epoch_volume_with_fixed2018_height_and_predominant_use</x:v>
      </x:c>
      <x:c r="O850" s="2" t="str"/>
      <x:c r="P850" s="2" t="str">
        <x:v>built-up volume</x:v>
      </x:c>
      <x:c r="Q850" s="2" t="str">
        <x:v>m3</x:v>
      </x:c>
      <x:c r="R850" s="17" t="n">
        <x:v>18429198.435294114</x:v>
      </x:c>
      <x:c r="S850" s="17" t="n">
        <x:v>9453298.65</x:v>
      </x:c>
      <x:c r="T850" s="18" t="n">
        <x:v>0.41754659787459464</x:v>
      </x:c>
      <x:c r="U850" s="17" t="n">
        <x:v>3947192.6899999985</x:v>
      </x:c>
      <x:c r="V850" s="2" t="str">
        <x:v>Area equivalent = model2020 * source volume / TEMPO2020 volume</x:v>
      </x:c>
      <x:c r="W850" s="2" t="str">
        <x:v>qualified_paired_native_source_frame</x:v>
      </x:c>
      <x:c r="X850" s="2" t="str">
        <x:v>https://human-settlement.emergency.copernicus.eu/ghs_buV2023.php</x:v>
      </x:c>
    </x:row>
    <x:row r="851" ht="23" customHeight="1">
      <x:c r="A851" s="2" t="str">
        <x:v>DNK</x:v>
      </x:c>
      <x:c r="B851" s="2" t="str">
        <x:v>Denmark (Kingdom of)</x:v>
      </x:c>
      <x:c r="C851" s="2" t="n">
        <x:v>2015</x:v>
      </x:c>
      <x:c r="D851" s="2" t="str">
        <x:v>GHSL_VOLUME</x:v>
      </x:c>
      <x:c r="E851" s="17" t="n">
        <x:v>637662032.609485</x:v>
      </x:c>
      <x:c r="F851" s="17" t="n">
        <x:f>IF(AND(M851,ISNUMBER(R851)),IF(D851="TEMPO_PROXY",R851,IF(AND(ISNUMBER(S851),S851&gt;0,ISNUMBER(U851)),U851*R851/S851,"n.a.")),"n.a.")</x:f>
        <x:v>1088745004.0269718</x:v>
      </x:c>
      <x:c r="G851" s="17" t="n">
        <x:f>IF(AND(ISNUMBER(E851),ISNUMBER(F851)),E851-F851,"n.a.")</x:f>
        <x:v>-451082971.4174868</x:v>
      </x:c>
      <x:c r="H851" s="15" t="n">
        <x:f>IF(AND(ISNUMBER(E851),ISNUMBER(F851),F851&gt;0),(E851-F851)/F851,"n.a.")</x:f>
        <x:v>-0.41431461889519905</x:v>
      </x:c>
      <x:c r="I851" s="19" t="n">
        <x:f>IF(ISNUMBER(H851),ABS(H851),"n.a.")</x:f>
        <x:v>0.41431461889519905</x:v>
      </x:c>
      <x:c r="J851" s="2" t="str">
        <x:v>available</x:v>
      </x:c>
      <x:c r="K851" s="2" t="n">
        <x:v>1</x:v>
      </x:c>
      <x:c r="L851" s="13" t="b">
        <x:v>0</x:v>
      </x:c>
      <x:c r="M851" s="13" t="b">
        <x:v>1</x:v>
      </x:c>
      <x:c r="N851" s="2" t="str">
        <x:v>modeled_epoch_volume_with_fixed2018_height_and_predominant_use</x:v>
      </x:c>
      <x:c r="O851" s="2" t="str"/>
      <x:c r="P851" s="2" t="str">
        <x:v>built-up volume</x:v>
      </x:c>
      <x:c r="Q851" s="2" t="str">
        <x:v>m3</x:v>
      </x:c>
      <x:c r="R851" s="17" t="n">
        <x:v>3640441663.8352942</x:v>
      </x:c>
      <x:c r="S851" s="17" t="n">
        <x:v>2223763225.87</x:v>
      </x:c>
      <x:c r="T851" s="18" t="n">
        <x:v>0.2990694823770235</x:v>
      </x:c>
      <x:c r="U851" s="17" t="n">
        <x:v>665059716.8900009</x:v>
      </x:c>
      <x:c r="V851" s="2" t="str">
        <x:v>Area equivalent = model2020 * source volume / TEMPO2020 volume</x:v>
      </x:c>
      <x:c r="W851" s="2" t="str">
        <x:v>qualified_paired_native_source_frame</x:v>
      </x:c>
      <x:c r="X851" s="2" t="str">
        <x:v>https://human-settlement.emergency.copernicus.eu/ghs_buV2023.php</x:v>
      </x:c>
    </x:row>
    <x:row r="852" ht="23" customHeight="1">
      <x:c r="A852" s="2" t="str">
        <x:v>DOM</x:v>
      </x:c>
      <x:c r="B852" s="2" t="str">
        <x:v>Dominican Republic</x:v>
      </x:c>
      <x:c r="C852" s="2" t="n">
        <x:v>2015</x:v>
      </x:c>
      <x:c r="D852" s="2" t="str">
        <x:v>GHSL_VOLUME</x:v>
      </x:c>
      <x:c r="E852" s="17" t="n">
        <x:v>247208125.3674467</x:v>
      </x:c>
      <x:c r="F852" s="17" t="n">
        <x:f>IF(AND(M852,ISNUMBER(R852)),IF(D852="TEMPO_PROXY",R852,IF(AND(ISNUMBER(S852),S852&gt;0,ISNUMBER(U852)),U852*R852/S852,"n.a.")),"n.a.")</x:f>
        <x:v>842783779.1265464</x:v>
      </x:c>
      <x:c r="G852" s="17" t="n">
        <x:f>IF(AND(ISNUMBER(E852),ISNUMBER(F852)),E852-F852,"n.a.")</x:f>
        <x:v>-595575653.7590997</x:v>
      </x:c>
      <x:c r="H852" s="15" t="n">
        <x:f>IF(AND(ISNUMBER(E852),ISNUMBER(F852),F852&gt;0),(E852-F852)/F852,"n.a.")</x:f>
        <x:v>-0.7066766927768223</x:v>
      </x:c>
      <x:c r="I852" s="19" t="n">
        <x:f>IF(ISNUMBER(H852),ABS(H852),"n.a.")</x:f>
        <x:v>0.7066766927768223</x:v>
      </x:c>
      <x:c r="J852" s="2" t="str">
        <x:v>available</x:v>
      </x:c>
      <x:c r="K852" s="2" t="n">
        <x:v>1</x:v>
      </x:c>
      <x:c r="L852" s="13" t="b">
        <x:v>0</x:v>
      </x:c>
      <x:c r="M852" s="13" t="b">
        <x:v>1</x:v>
      </x:c>
      <x:c r="N852" s="2" t="str">
        <x:v>modeled_epoch_volume_with_fixed2018_height_and_predominant_use</x:v>
      </x:c>
      <x:c r="O852" s="2" t="str"/>
      <x:c r="P852" s="2" t="str">
        <x:v>built-up volume</x:v>
      </x:c>
      <x:c r="Q852" s="2" t="str">
        <x:v>m3</x:v>
      </x:c>
      <x:c r="R852" s="17" t="n">
        <x:v>2256736230.082353</x:v>
      </x:c>
      <x:c r="S852" s="17" t="n">
        <x:v>900377033.27</x:v>
      </x:c>
      <x:c r="T852" s="18" t="n">
        <x:v>0.37345249652671697</x:v>
      </x:c>
      <x:c r="U852" s="17" t="n">
        <x:v>336248050.8900004</x:v>
      </x:c>
      <x:c r="V852" s="2" t="str">
        <x:v>Area equivalent = model2020 * source volume / TEMPO2020 volume</x:v>
      </x:c>
      <x:c r="W852" s="2" t="str">
        <x:v>qualified_paired_native_source_frame</x:v>
      </x:c>
      <x:c r="X852" s="2" t="str">
        <x:v>https://human-settlement.emergency.copernicus.eu/ghs_buV2023.php</x:v>
      </x:c>
    </x:row>
    <x:row r="853" ht="23" customHeight="1">
      <x:c r="A853" s="2" t="str">
        <x:v>DZA</x:v>
      </x:c>
      <x:c r="B853" s="2" t="str">
        <x:v>Algeria (People's Democratic Republic of)</x:v>
      </x:c>
      <x:c r="C853" s="2" t="n">
        <x:v>2015</x:v>
      </x:c>
      <x:c r="D853" s="2" t="str">
        <x:v>GHSL_VOLUME</x:v>
      </x:c>
      <x:c r="E853" s="17" t="n">
        <x:v>1502138846.737166</x:v>
      </x:c>
      <x:c r="F853" s="17" t="n">
        <x:f>IF(AND(M853,ISNUMBER(R853)),IF(D853="TEMPO_PROXY",R853,IF(AND(ISNUMBER(S853),S853&gt;0,ISNUMBER(U853)),U853*R853/S853,"n.a.")),"n.a.")</x:f>
        <x:v>3748915515.576762</x:v>
      </x:c>
      <x:c r="G853" s="17" t="n">
        <x:f>IF(AND(ISNUMBER(E853),ISNUMBER(F853)),E853-F853,"n.a.")</x:f>
        <x:v>-2246776668.8395963</x:v>
      </x:c>
      <x:c r="H853" s="15" t="n">
        <x:f>IF(AND(ISNUMBER(E853),ISNUMBER(F853),F853&gt;0),(E853-F853)/F853,"n.a.")</x:f>
        <x:v>-0.5993137640750313</x:v>
      </x:c>
      <x:c r="I853" s="19" t="n">
        <x:f>IF(ISNUMBER(H853),ABS(H853),"n.a.")</x:f>
        <x:v>0.5993137640750313</x:v>
      </x:c>
      <x:c r="J853" s="2" t="str">
        <x:v>available</x:v>
      </x:c>
      <x:c r="K853" s="2" t="n">
        <x:v>1</x:v>
      </x:c>
      <x:c r="L853" s="13" t="b">
        <x:v>0</x:v>
      </x:c>
      <x:c r="M853" s="13" t="b">
        <x:v>1</x:v>
      </x:c>
      <x:c r="N853" s="2" t="str">
        <x:v>modeled_epoch_volume_with_fixed2018_height_and_predominant_use</x:v>
      </x:c>
      <x:c r="O853" s="2" t="str"/>
      <x:c r="P853" s="2" t="str">
        <x:v>built-up volume</x:v>
      </x:c>
      <x:c r="Q853" s="2" t="str">
        <x:v>m3</x:v>
      </x:c>
      <x:c r="R853" s="17" t="n">
        <x:v>11261748745.94902</x:v>
      </x:c>
      <x:c r="S853" s="17" t="n">
        <x:v>4829692175.3</x:v>
      </x:c>
      <x:c r="T853" s="18" t="n">
        <x:v>0.33288928745860097</x:v>
      </x:c>
      <x:c r="U853" s="17" t="n">
        <x:v>1607752786.8799975</x:v>
      </x:c>
      <x:c r="V853" s="2" t="str">
        <x:v>Area equivalent = model2020 * source volume / TEMPO2020 volume</x:v>
      </x:c>
      <x:c r="W853" s="2" t="str">
        <x:v>qualified_paired_native_source_frame</x:v>
      </x:c>
      <x:c r="X853" s="2" t="str">
        <x:v>https://human-settlement.emergency.copernicus.eu/ghs_buV2023.php</x:v>
      </x:c>
    </x:row>
    <x:row r="854" ht="23" customHeight="1">
      <x:c r="A854" s="2" t="str">
        <x:v>ECU</x:v>
      </x:c>
      <x:c r="B854" s="2" t="str">
        <x:v>Ecuador (Republic of)</x:v>
      </x:c>
      <x:c r="C854" s="2" t="n">
        <x:v>2015</x:v>
      </x:c>
      <x:c r="D854" s="2" t="str">
        <x:v>GHSL_VOLUME</x:v>
      </x:c>
      <x:c r="E854" s="17" t="n">
        <x:v>703386333.4302019</x:v>
      </x:c>
      <x:c r="F854" s="17" t="n">
        <x:f>IF(AND(M854,ISNUMBER(R854)),IF(D854="TEMPO_PROXY",R854,IF(AND(ISNUMBER(S854),S854&gt;0,ISNUMBER(U854)),U854*R854/S854,"n.a.")),"n.a.")</x:f>
        <x:v>2160994311.499292</x:v>
      </x:c>
      <x:c r="G854" s="17" t="n">
        <x:f>IF(AND(ISNUMBER(E854),ISNUMBER(F854)),E854-F854,"n.a.")</x:f>
        <x:v>-1457607978.06909</x:v>
      </x:c>
      <x:c r="H854" s="15" t="n">
        <x:f>IF(AND(ISNUMBER(E854),ISNUMBER(F854),F854&gt;0),(E854-F854)/F854,"n.a.")</x:f>
        <x:v>-0.6745080124981011</x:v>
      </x:c>
      <x:c r="I854" s="19" t="n">
        <x:f>IF(ISNUMBER(H854),ABS(H854),"n.a.")</x:f>
        <x:v>0.6745080124981011</x:v>
      </x:c>
      <x:c r="J854" s="2" t="str">
        <x:v>available</x:v>
      </x:c>
      <x:c r="K854" s="2" t="n">
        <x:v>1</x:v>
      </x:c>
      <x:c r="L854" s="13" t="b">
        <x:v>0</x:v>
      </x:c>
      <x:c r="M854" s="13" t="b">
        <x:v>1</x:v>
      </x:c>
      <x:c r="N854" s="2" t="str">
        <x:v>modeled_epoch_volume_with_fixed2018_height_and_predominant_use</x:v>
      </x:c>
      <x:c r="O854" s="2" t="str"/>
      <x:c r="P854" s="2" t="str">
        <x:v>built-up volume</x:v>
      </x:c>
      <x:c r="Q854" s="2" t="str">
        <x:v>m3</x:v>
      </x:c>
      <x:c r="R854" s="17" t="n">
        <x:v>5860845387.419608</x:v>
      </x:c>
      <x:c r="S854" s="17" t="n">
        <x:v>1992145415.03</x:v>
      </x:c>
      <x:c r="T854" s="18" t="n">
        <x:v>0.3687171676867468</x:v>
      </x:c>
      <x:c r="U854" s="17" t="n">
        <x:v>734538215.0500003</x:v>
      </x:c>
      <x:c r="V854" s="2" t="str">
        <x:v>Area equivalent = model2020 * source volume / TEMPO2020 volume</x:v>
      </x:c>
      <x:c r="W854" s="2" t="str">
        <x:v>qualified_paired_native_source_frame</x:v>
      </x:c>
      <x:c r="X854" s="2" t="str">
        <x:v>https://human-settlement.emergency.copernicus.eu/ghs_buV2023.php</x:v>
      </x:c>
    </x:row>
    <x:row r="855" ht="23" customHeight="1">
      <x:c r="A855" s="2" t="str">
        <x:v>EGY</x:v>
      </x:c>
      <x:c r="B855" s="2" t="str">
        <x:v>Egypt (Arab Republic of)</x:v>
      </x:c>
      <x:c r="C855" s="2" t="n">
        <x:v>2015</x:v>
      </x:c>
      <x:c r="D855" s="2" t="str">
        <x:v>GHSL_VOLUME</x:v>
      </x:c>
      <x:c r="E855" s="17" t="n">
        <x:v>2430072384.0124</x:v>
      </x:c>
      <x:c r="F855" s="17" t="n">
        <x:f>IF(AND(M855,ISNUMBER(R855)),IF(D855="TEMPO_PROXY",R855,IF(AND(ISNUMBER(S855),S855&gt;0,ISNUMBER(U855)),U855*R855/S855,"n.a.")),"n.a.")</x:f>
        <x:v>5755389603.752577</x:v>
      </x:c>
      <x:c r="G855" s="17" t="n">
        <x:f>IF(AND(ISNUMBER(E855),ISNUMBER(F855)),E855-F855,"n.a.")</x:f>
        <x:v>-3325317219.7401767</x:v>
      </x:c>
      <x:c r="H855" s="15" t="n">
        <x:f>IF(AND(ISNUMBER(E855),ISNUMBER(F855),F855&gt;0),(E855-F855)/F855,"n.a.")</x:f>
        <x:v>-0.5777744772607633</x:v>
      </x:c>
      <x:c r="I855" s="19" t="n">
        <x:f>IF(ISNUMBER(H855),ABS(H855),"n.a.")</x:f>
        <x:v>0.5777744772607633</x:v>
      </x:c>
      <x:c r="J855" s="2" t="str">
        <x:v>available</x:v>
      </x:c>
      <x:c r="K855" s="2" t="n">
        <x:v>1</x:v>
      </x:c>
      <x:c r="L855" s="13" t="b">
        <x:v>0</x:v>
      </x:c>
      <x:c r="M855" s="13" t="b">
        <x:v>1</x:v>
      </x:c>
      <x:c r="N855" s="2" t="str">
        <x:v>modeled_epoch_volume_with_fixed2018_height_and_predominant_use</x:v>
      </x:c>
      <x:c r="O855" s="2" t="str"/>
      <x:c r="P855" s="2" t="str">
        <x:v>built-up volume</x:v>
      </x:c>
      <x:c r="Q855" s="2" t="str">
        <x:v>m3</x:v>
      </x:c>
      <x:c r="R855" s="17" t="n">
        <x:v>19556454906.784313</x:v>
      </x:c>
      <x:c r="S855" s="17" t="n">
        <x:v>10038549346.27</x:v>
      </x:c>
      <x:c r="T855" s="18" t="n">
        <x:v>0.29429616109799017</x:v>
      </x:c>
      <x:c r="U855" s="17" t="n">
        <x:v>2954306535.6</x:v>
      </x:c>
      <x:c r="V855" s="2" t="str">
        <x:v>Area equivalent = model2020 * source volume / TEMPO2020 volume</x:v>
      </x:c>
      <x:c r="W855" s="2" t="str">
        <x:v>qualified_paired_native_source_frame</x:v>
      </x:c>
      <x:c r="X855" s="2" t="str">
        <x:v>https://human-settlement.emergency.copernicus.eu/ghs_buV2023.php</x:v>
      </x:c>
    </x:row>
    <x:row r="856" ht="23" customHeight="1">
      <x:c r="A856" s="2" t="str">
        <x:v>ERI</x:v>
      </x:c>
      <x:c r="B856" s="2" t="str">
        <x:v>Eritrea (State of)</x:v>
      </x:c>
      <x:c r="C856" s="2" t="n">
        <x:v>2015</x:v>
      </x:c>
      <x:c r="D856" s="2" t="str">
        <x:v>GHSL_VOLUME</x:v>
      </x:c>
      <x:c r="E856" s="17" t="n">
        <x:v>31760779.71501907</x:v>
      </x:c>
      <x:c r="F856" s="17" t="n">
        <x:f>IF(AND(M856,ISNUMBER(R856)),IF(D856="TEMPO_PROXY",R856,IF(AND(ISNUMBER(S856),S856&gt;0,ISNUMBER(U856)),U856*R856/S856,"n.a.")),"n.a.")</x:f>
        <x:v>155570247.46072966</x:v>
      </x:c>
      <x:c r="G856" s="17" t="n">
        <x:f>IF(AND(ISNUMBER(E856),ISNUMBER(F856)),E856-F856,"n.a.")</x:f>
        <x:v>-123809467.74571058</x:v>
      </x:c>
      <x:c r="H856" s="15" t="n">
        <x:f>IF(AND(ISNUMBER(E856),ISNUMBER(F856),F856&gt;0),(E856-F856)/F856,"n.a.")</x:f>
        <x:v>-0.7958428412024195</x:v>
      </x:c>
      <x:c r="I856" s="19" t="n">
        <x:f>IF(ISNUMBER(H856),ABS(H856),"n.a.")</x:f>
        <x:v>0.7958428412024195</x:v>
      </x:c>
      <x:c r="J856" s="2" t="str">
        <x:v>available</x:v>
      </x:c>
      <x:c r="K856" s="2" t="n">
        <x:v>1</x:v>
      </x:c>
      <x:c r="L856" s="13" t="b">
        <x:v>0</x:v>
      </x:c>
      <x:c r="M856" s="13" t="b">
        <x:v>1</x:v>
      </x:c>
      <x:c r="N856" s="2" t="str">
        <x:v>modeled_epoch_volume_with_fixed2018_height_and_predominant_use</x:v>
      </x:c>
      <x:c r="O856" s="2" t="str"/>
      <x:c r="P856" s="2" t="str">
        <x:v>built-up volume</x:v>
      </x:c>
      <x:c r="Q856" s="2" t="str">
        <x:v>m3</x:v>
      </x:c>
      <x:c r="R856" s="17" t="n">
        <x:v>336985707.13333327</x:v>
      </x:c>
      <x:c r="S856" s="17" t="n">
        <x:v>98121664.95</x:v>
      </x:c>
      <x:c r="T856" s="18" t="n">
        <x:v>0.4616523614135838</x:v>
      </x:c>
      <x:c r="U856" s="17" t="n">
        <x:v>45298098.329999976</x:v>
      </x:c>
      <x:c r="V856" s="2" t="str">
        <x:v>Area equivalent = model2020 * source volume / TEMPO2020 volume</x:v>
      </x:c>
      <x:c r="W856" s="2" t="str">
        <x:v>qualified_paired_native_source_frame</x:v>
      </x:c>
      <x:c r="X856" s="2" t="str">
        <x:v>https://human-settlement.emergency.copernicus.eu/ghs_buV2023.php</x:v>
      </x:c>
    </x:row>
    <x:row r="857" ht="23" customHeight="1">
      <x:c r="A857" s="2" t="str">
        <x:v>ESP</x:v>
      </x:c>
      <x:c r="B857" s="2" t="str">
        <x:v>Spain (Kingdom of)</x:v>
      </x:c>
      <x:c r="C857" s="2" t="n">
        <x:v>2015</x:v>
      </x:c>
      <x:c r="D857" s="2" t="str">
        <x:v>GHSL_VOLUME</x:v>
      </x:c>
      <x:c r="E857" s="17" t="n">
        <x:v>3537491129.653378</x:v>
      </x:c>
      <x:c r="F857" s="17" t="n">
        <x:f>IF(AND(M857,ISNUMBER(R857)),IF(D857="TEMPO_PROXY",R857,IF(AND(ISNUMBER(S857),S857&gt;0,ISNUMBER(U857)),U857*R857/S857,"n.a.")),"n.a.")</x:f>
        <x:v>7254696782.7974415</x:v>
      </x:c>
      <x:c r="G857" s="17" t="n">
        <x:f>IF(AND(ISNUMBER(E857),ISNUMBER(F857)),E857-F857,"n.a.")</x:f>
        <x:v>-3717205653.1440635</x:v>
      </x:c>
      <x:c r="H857" s="15" t="n">
        <x:f>IF(AND(ISNUMBER(E857),ISNUMBER(F857),F857&gt;0),(E857-F857)/F857,"n.a.")</x:f>
        <x:v>-0.5123860809673555</x:v>
      </x:c>
      <x:c r="I857" s="19" t="n">
        <x:f>IF(ISNUMBER(H857),ABS(H857),"n.a.")</x:f>
        <x:v>0.5123860809673555</x:v>
      </x:c>
      <x:c r="J857" s="2" t="str">
        <x:v>available</x:v>
      </x:c>
      <x:c r="K857" s="2" t="n">
        <x:v>1</x:v>
      </x:c>
      <x:c r="L857" s="13" t="b">
        <x:v>0</x:v>
      </x:c>
      <x:c r="M857" s="13" t="b">
        <x:v>1</x:v>
      </x:c>
      <x:c r="N857" s="2" t="str">
        <x:v>modeled_epoch_volume_with_fixed2018_height_and_predominant_use</x:v>
      </x:c>
      <x:c r="O857" s="2" t="str"/>
      <x:c r="P857" s="2" t="str">
        <x:v>built-up volume</x:v>
      </x:c>
      <x:c r="Q857" s="2" t="str">
        <x:v>m3</x:v>
      </x:c>
      <x:c r="R857" s="17" t="n">
        <x:v>26684670980.02745</x:v>
      </x:c>
      <x:c r="S857" s="17" t="n">
        <x:v>13585671020.88</x:v>
      </x:c>
      <x:c r="T857" s="18" t="n">
        <x:v>0.27186757476707624</x:v>
      </x:c>
      <x:c r="U857" s="17" t="n">
        <x:v>3693503432.029994</x:v>
      </x:c>
      <x:c r="V857" s="2" t="str">
        <x:v>Area equivalent = model2020 * source volume / TEMPO2020 volume</x:v>
      </x:c>
      <x:c r="W857" s="2" t="str">
        <x:v>qualified_paired_native_source_frame</x:v>
      </x:c>
      <x:c r="X857" s="2" t="str">
        <x:v>https://human-settlement.emergency.copernicus.eu/ghs_buV2023.php</x:v>
      </x:c>
    </x:row>
    <x:row r="858" ht="23" customHeight="1">
      <x:c r="A858" s="2" t="str">
        <x:v>EST</x:v>
      </x:c>
      <x:c r="B858" s="2" t="str">
        <x:v>Estonia (Republic of)</x:v>
      </x:c>
      <x:c r="C858" s="2" t="n">
        <x:v>2015</x:v>
      </x:c>
      <x:c r="D858" s="2" t="str">
        <x:v>GHSL_VOLUME</x:v>
      </x:c>
      <x:c r="E858" s="17" t="n">
        <x:v>107839154.44477116</x:v>
      </x:c>
      <x:c r="F858" s="17" t="n">
        <x:f>IF(AND(M858,ISNUMBER(R858)),IF(D858="TEMPO_PROXY",R858,IF(AND(ISNUMBER(S858),S858&gt;0,ISNUMBER(U858)),U858*R858/S858,"n.a.")),"n.a.")</x:f>
        <x:v>222937110.4126103</x:v>
      </x:c>
      <x:c r="G858" s="17" t="n">
        <x:f>IF(AND(ISNUMBER(E858),ISNUMBER(F858)),E858-F858,"n.a.")</x:f>
        <x:v>-115097955.96783914</x:v>
      </x:c>
      <x:c r="H858" s="15" t="n">
        <x:f>IF(AND(ISNUMBER(E858),ISNUMBER(F858),F858&gt;0),(E858-F858)/F858,"n.a.")</x:f>
        <x:v>-0.5162799309402402</x:v>
      </x:c>
      <x:c r="I858" s="19" t="n">
        <x:f>IF(ISNUMBER(H858),ABS(H858),"n.a.")</x:f>
        <x:v>0.5162799309402402</x:v>
      </x:c>
      <x:c r="J858" s="2" t="str">
        <x:v>available</x:v>
      </x:c>
      <x:c r="K858" s="2" t="n">
        <x:v>1</x:v>
      </x:c>
      <x:c r="L858" s="13" t="b">
        <x:v>0</x:v>
      </x:c>
      <x:c r="M858" s="13" t="b">
        <x:v>1</x:v>
      </x:c>
      <x:c r="N858" s="2" t="str">
        <x:v>modeled_epoch_volume_with_fixed2018_height_and_predominant_use</x:v>
      </x:c>
      <x:c r="O858" s="2" t="str"/>
      <x:c r="P858" s="2" t="str">
        <x:v>built-up volume</x:v>
      </x:c>
      <x:c r="Q858" s="2" t="str">
        <x:v>m3</x:v>
      </x:c>
      <x:c r="R858" s="17" t="n">
        <x:v>718579453.262745</x:v>
      </x:c>
      <x:c r="S858" s="17" t="n">
        <x:v>364531196.27</x:v>
      </x:c>
      <x:c r="T858" s="18" t="n">
        <x:v>0.31024698716384597</x:v>
      </x:c>
      <x:c r="U858" s="17" t="n">
        <x:v>113094705.3700001</x:v>
      </x:c>
      <x:c r="V858" s="2" t="str">
        <x:v>Area equivalent = model2020 * source volume / TEMPO2020 volume</x:v>
      </x:c>
      <x:c r="W858" s="2" t="str">
        <x:v>qualified_paired_native_source_frame</x:v>
      </x:c>
      <x:c r="X858" s="2" t="str">
        <x:v>https://human-settlement.emergency.copernicus.eu/ghs_buV2023.php</x:v>
      </x:c>
    </x:row>
    <x:row r="859" ht="23" customHeight="1">
      <x:c r="A859" s="2" t="str">
        <x:v>ETH</x:v>
      </x:c>
      <x:c r="B859" s="2" t="str">
        <x:v>Ethiopia (Federal Democratic Republic of)</x:v>
      </x:c>
      <x:c r="C859" s="2" t="n">
        <x:v>2015</x:v>
      </x:c>
      <x:c r="D859" s="2" t="str">
        <x:v>GHSL_VOLUME</x:v>
      </x:c>
      <x:c r="E859" s="17" t="n">
        <x:v>975794014.8213218</x:v>
      </x:c>
      <x:c r="F859" s="17" t="n">
        <x:f>IF(AND(M859,ISNUMBER(R859)),IF(D859="TEMPO_PROXY",R859,IF(AND(ISNUMBER(S859),S859&gt;0,ISNUMBER(U859)),U859*R859/S859,"n.a.")),"n.a.")</x:f>
        <x:v>3333596611.2140822</x:v>
      </x:c>
      <x:c r="G859" s="17" t="n">
        <x:f>IF(AND(ISNUMBER(E859),ISNUMBER(F859)),E859-F859,"n.a.")</x:f>
        <x:v>-2357802596.3927603</x:v>
      </x:c>
      <x:c r="H859" s="15" t="n">
        <x:f>IF(AND(ISNUMBER(E859),ISNUMBER(F859),F859&gt;0),(E859-F859)/F859,"n.a.")</x:f>
        <x:v>-0.7072849151757621</x:v>
      </x:c>
      <x:c r="I859" s="19" t="n">
        <x:f>IF(ISNUMBER(H859),ABS(H859),"n.a.")</x:f>
        <x:v>0.7072849151757621</x:v>
      </x:c>
      <x:c r="J859" s="2" t="str">
        <x:v>available</x:v>
      </x:c>
      <x:c r="K859" s="2" t="n">
        <x:v>1</x:v>
      </x:c>
      <x:c r="L859" s="13" t="b">
        <x:v>0</x:v>
      </x:c>
      <x:c r="M859" s="13" t="b">
        <x:v>1</x:v>
      </x:c>
      <x:c r="N859" s="2" t="str">
        <x:v>modeled_epoch_volume_with_fixed2018_height_and_predominant_use</x:v>
      </x:c>
      <x:c r="O859" s="2" t="str"/>
      <x:c r="P859" s="2" t="str">
        <x:v>built-up volume</x:v>
      </x:c>
      <x:c r="Q859" s="2" t="str">
        <x:v>m3</x:v>
      </x:c>
      <x:c r="R859" s="17" t="n">
        <x:v>6461719471.482353</x:v>
      </x:c>
      <x:c r="S859" s="17" t="n">
        <x:v>3219274539.19</x:v>
      </x:c>
      <x:c r="T859" s="18" t="n">
        <x:v>0.515899309143072</x:v>
      </x:c>
      <x:c r="U859" s="17" t="n">
        <x:v>1660821510.7100024</x:v>
      </x:c>
      <x:c r="V859" s="2" t="str">
        <x:v>Area equivalent = model2020 * source volume / TEMPO2020 volume</x:v>
      </x:c>
      <x:c r="W859" s="2" t="str">
        <x:v>qualified_paired_native_source_frame</x:v>
      </x:c>
      <x:c r="X859" s="2" t="str">
        <x:v>https://human-settlement.emergency.copernicus.eu/ghs_buV2023.php</x:v>
      </x:c>
    </x:row>
    <x:row r="860" ht="23" customHeight="1">
      <x:c r="A860" s="2" t="str">
        <x:v>FIN</x:v>
      </x:c>
      <x:c r="B860" s="2" t="str">
        <x:v>Finland (Republic of)</x:v>
      </x:c>
      <x:c r="C860" s="2" t="n">
        <x:v>2015</x:v>
      </x:c>
      <x:c r="D860" s="2" t="str">
        <x:v>GHSL_VOLUME</x:v>
      </x:c>
      <x:c r="E860" s="17" t="n">
        <x:v>584197324.5432632</x:v>
      </x:c>
      <x:c r="F860" s="17" t="n">
        <x:f>IF(AND(M860,ISNUMBER(R860)),IF(D860="TEMPO_PROXY",R860,IF(AND(ISNUMBER(S860),S860&gt;0,ISNUMBER(U860)),U860*R860/S860,"n.a.")),"n.a.")</x:f>
        <x:v>672837172.0928457</x:v>
      </x:c>
      <x:c r="G860" s="17" t="n">
        <x:f>IF(AND(ISNUMBER(E860),ISNUMBER(F860)),E860-F860,"n.a.")</x:f>
        <x:v>-88639847.54958248</x:v>
      </x:c>
      <x:c r="H860" s="15" t="n">
        <x:f>IF(AND(ISNUMBER(E860),ISNUMBER(F860),F860&gt;0),(E860-F860)/F860,"n.a.")</x:f>
        <x:v>-0.1317404139160001</x:v>
      </x:c>
      <x:c r="I860" s="19" t="n">
        <x:f>IF(ISNUMBER(H860),ABS(H860),"n.a.")</x:f>
        <x:v>0.1317404139160001</x:v>
      </x:c>
      <x:c r="J860" s="2" t="str">
        <x:v>available</x:v>
      </x:c>
      <x:c r="K860" s="2" t="n">
        <x:v>1</x:v>
      </x:c>
      <x:c r="L860" s="13" t="b">
        <x:v>0</x:v>
      </x:c>
      <x:c r="M860" s="13" t="b">
        <x:v>1</x:v>
      </x:c>
      <x:c r="N860" s="2" t="str">
        <x:v>modeled_epoch_volume_with_fixed2018_height_and_predominant_use</x:v>
      </x:c>
      <x:c r="O860" s="2" t="str"/>
      <x:c r="P860" s="2" t="str">
        <x:v>built-up volume</x:v>
      </x:c>
      <x:c r="Q860" s="2" t="str">
        <x:v>m3</x:v>
      </x:c>
      <x:c r="R860" s="17" t="n">
        <x:v>2056362000.9137256</x:v>
      </x:c>
      <x:c r="S860" s="17" t="n">
        <x:v>1882245837.63</x:v>
      </x:c>
      <x:c r="T860" s="18" t="n">
        <x:v>0.3271978240182792</x:v>
      </x:c>
      <x:c r="U860" s="17" t="n">
        <x:v>615866742.3399993</x:v>
      </x:c>
      <x:c r="V860" s="2" t="str">
        <x:v>Area equivalent = model2020 * source volume / TEMPO2020 volume</x:v>
      </x:c>
      <x:c r="W860" s="2" t="str">
        <x:v>qualified_paired_native_source_frame</x:v>
      </x:c>
      <x:c r="X860" s="2" t="str">
        <x:v>https://human-settlement.emergency.copernicus.eu/ghs_buV2023.php</x:v>
      </x:c>
    </x:row>
    <x:row r="861" ht="23" customHeight="1">
      <x:c r="A861" s="2" t="str">
        <x:v>FJI</x:v>
      </x:c>
      <x:c r="B861" s="2" t="str">
        <x:v>Fiji (Republic of)</x:v>
      </x:c>
      <x:c r="C861" s="2" t="n">
        <x:v>2015</x:v>
      </x:c>
      <x:c r="D861" s="2" t="str">
        <x:v>GHSL_VOLUME</x:v>
      </x:c>
      <x:c r="E861" s="17" t="n">
        <x:v>33411339.28812197</x:v>
      </x:c>
      <x:c r="F861" s="17" t="n">
        <x:f>IF(AND(M861,ISNUMBER(R861)),IF(D861="TEMPO_PROXY",R861,IF(AND(ISNUMBER(S861),S861&gt;0,ISNUMBER(U861)),U861*R861/S861,"n.a.")),"n.a.")</x:f>
        <x:v>207000093.37662193</x:v>
      </x:c>
      <x:c r="G861" s="17" t="n">
        <x:f>IF(AND(ISNUMBER(E861),ISNUMBER(F861)),E861-F861,"n.a.")</x:f>
        <x:v>-173588754.08849996</x:v>
      </x:c>
      <x:c r="H861" s="15" t="n">
        <x:f>IF(AND(ISNUMBER(E861),ISNUMBER(F861),F861&gt;0),(E861-F861)/F861,"n.a.")</x:f>
        <x:v>-0.8385926366355188</x:v>
      </x:c>
      <x:c r="I861" s="19" t="n">
        <x:f>IF(ISNUMBER(H861),ABS(H861),"n.a.")</x:f>
        <x:v>0.8385926366355188</x:v>
      </x:c>
      <x:c r="J861" s="2" t="str">
        <x:v>available</x:v>
      </x:c>
      <x:c r="K861" s="2" t="n">
        <x:v>1</x:v>
      </x:c>
      <x:c r="L861" s="13" t="b">
        <x:v>0</x:v>
      </x:c>
      <x:c r="M861" s="13" t="b">
        <x:v>1</x:v>
      </x:c>
      <x:c r="N861" s="2" t="str">
        <x:v>modeled_epoch_volume_with_fixed2018_height_and_predominant_use</x:v>
      </x:c>
      <x:c r="O861" s="2" t="str"/>
      <x:c r="P861" s="2" t="str">
        <x:v>built-up volume</x:v>
      </x:c>
      <x:c r="Q861" s="2" t="str">
        <x:v>m3</x:v>
      </x:c>
      <x:c r="R861" s="17" t="n">
        <x:v>451600319.1490195</x:v>
      </x:c>
      <x:c r="S861" s="17" t="n">
        <x:v>81724716.17</x:v>
      </x:c>
      <x:c r="T861" s="18" t="n">
        <x:v>0.4583701219846035</x:v>
      </x:c>
      <x:c r="U861" s="17" t="n">
        <x:v>37460168.12</x:v>
      </x:c>
      <x:c r="V861" s="2" t="str">
        <x:v>Area equivalent = model2020 * source volume / TEMPO2020 volume</x:v>
      </x:c>
      <x:c r="W861" s="2" t="str">
        <x:v>qualified_paired_native_source_frame</x:v>
      </x:c>
      <x:c r="X861" s="2" t="str">
        <x:v>https://human-settlement.emergency.copernicus.eu/ghs_buV2023.php</x:v>
      </x:c>
    </x:row>
    <x:row r="862" ht="23" customHeight="1">
      <x:c r="A862" s="2" t="str">
        <x:v>FRA</x:v>
      </x:c>
      <x:c r="B862" s="2" t="str">
        <x:v>France (French Republic)</x:v>
      </x:c>
      <x:c r="C862" s="2" t="n">
        <x:v>2015</x:v>
      </x:c>
      <x:c r="D862" s="2" t="str">
        <x:v>GHSL_VOLUME</x:v>
      </x:c>
      <x:c r="E862" s="17" t="n">
        <x:v>5782378618.188952</x:v>
      </x:c>
      <x:c r="F862" s="17" t="n">
        <x:f>IF(AND(M862,ISNUMBER(R862)),IF(D862="TEMPO_PROXY",R862,IF(AND(ISNUMBER(S862),S862&gt;0,ISNUMBER(U862)),U862*R862/S862,"n.a.")),"n.a.")</x:f>
        <x:v>15391314283.272587</x:v>
      </x:c>
      <x:c r="G862" s="17" t="n">
        <x:f>IF(AND(ISNUMBER(E862),ISNUMBER(F862)),E862-F862,"n.a.")</x:f>
        <x:v>-9608935665.083633</x:v>
      </x:c>
      <x:c r="H862" s="15" t="n">
        <x:f>IF(AND(ISNUMBER(E862),ISNUMBER(F862),F862&gt;0),(E862-F862)/F862,"n.a.")</x:f>
        <x:v>-0.6243089763638124</x:v>
      </x:c>
      <x:c r="I862" s="19" t="n">
        <x:f>IF(ISNUMBER(H862),ABS(H862),"n.a.")</x:f>
        <x:v>0.6243089763638124</x:v>
      </x:c>
      <x:c r="J862" s="2" t="str">
        <x:v>available</x:v>
      </x:c>
      <x:c r="K862" s="2" t="n">
        <x:v>1</x:v>
      </x:c>
      <x:c r="L862" s="13" t="b">
        <x:v>0</x:v>
      </x:c>
      <x:c r="M862" s="13" t="b">
        <x:v>1</x:v>
      </x:c>
      <x:c r="N862" s="2" t="str">
        <x:v>modeled_epoch_volume_with_fixed2018_height_and_predominant_use</x:v>
      </x:c>
      <x:c r="O862" s="2" t="str"/>
      <x:c r="P862" s="2" t="str">
        <x:v>built-up volume</x:v>
      </x:c>
      <x:c r="Q862" s="2" t="str">
        <x:v>m3</x:v>
      </x:c>
      <x:c r="R862" s="17" t="n">
        <x:v>48579869764.00392</x:v>
      </x:c>
      <x:c r="S862" s="17" t="n">
        <x:v>19173133587.38</x:v>
      </x:c>
      <x:c r="T862" s="18" t="n">
        <x:v>0.31682493917834753</x:v>
      </x:c>
      <x:c r="U862" s="17" t="n">
        <x:v>6074526882.680001</x:v>
      </x:c>
      <x:c r="V862" s="2" t="str">
        <x:v>Area equivalent = model2020 * source volume / TEMPO2020 volume</x:v>
      </x:c>
      <x:c r="W862" s="2" t="str">
        <x:v>qualified_paired_native_source_frame</x:v>
      </x:c>
      <x:c r="X862" s="2" t="str">
        <x:v>https://human-settlement.emergency.copernicus.eu/ghs_buV2023.php</x:v>
      </x:c>
    </x:row>
    <x:row r="863" ht="23" customHeight="1">
      <x:c r="A863" s="2" t="str">
        <x:v>FSM</x:v>
      </x:c>
      <x:c r="B863" s="2" t="str">
        <x:v>Micronesia (Federated States of)</x:v>
      </x:c>
      <x:c r="C863" s="2" t="n">
        <x:v>2015</x:v>
      </x:c>
      <x:c r="D863" s="2" t="str">
        <x:v>GHSL_VOLUME</x:v>
      </x:c>
      <x:c r="E863" s="17" t="n">
        <x:v>2128005.492623716</x:v>
      </x:c>
      <x:c r="F863" s="17" t="n">
        <x:f>IF(AND(M863,ISNUMBER(R863)),IF(D863="TEMPO_PROXY",R863,IF(AND(ISNUMBER(S863),S863&gt;0,ISNUMBER(U863)),U863*R863/S863,"n.a.")),"n.a.")</x:f>
        <x:v>5955095.536051235</x:v>
      </x:c>
      <x:c r="G863" s="17" t="n">
        <x:f>IF(AND(ISNUMBER(E863),ISNUMBER(F863)),E863-F863,"n.a.")</x:f>
        <x:v>-3827090.043427519</x:v>
      </x:c>
      <x:c r="H863" s="15" t="n">
        <x:f>IF(AND(ISNUMBER(E863),ISNUMBER(F863),F863&gt;0),(E863-F863)/F863,"n.a.")</x:f>
        <x:v>-0.642658043058907</x:v>
      </x:c>
      <x:c r="I863" s="19" t="n">
        <x:f>IF(ISNUMBER(H863),ABS(H863),"n.a.")</x:f>
        <x:v>0.642658043058907</x:v>
      </x:c>
      <x:c r="J863" s="2" t="str">
        <x:v>available</x:v>
      </x:c>
      <x:c r="K863" s="2" t="n">
        <x:v>1</x:v>
      </x:c>
      <x:c r="L863" s="13" t="b">
        <x:v>0</x:v>
      </x:c>
      <x:c r="M863" s="13" t="b">
        <x:v>1</x:v>
      </x:c>
      <x:c r="N863" s="2" t="str">
        <x:v>modeled_epoch_volume_with_fixed2018_height_and_predominant_use</x:v>
      </x:c>
      <x:c r="O863" s="2" t="str"/>
      <x:c r="P863" s="2" t="str">
        <x:v>built-up volume</x:v>
      </x:c>
      <x:c r="Q863" s="2" t="str">
        <x:v>m3</x:v>
      </x:c>
      <x:c r="R863" s="17" t="n">
        <x:v>12189791.69019608</x:v>
      </x:c>
      <x:c r="S863" s="17" t="n">
        <x:v>4457897.24</x:v>
      </x:c>
      <x:c r="T863" s="18" t="n">
        <x:v>0.48853136192973323</x:v>
      </x:c>
      <x:c r="U863" s="17" t="n">
        <x:v>2177822.609999999</x:v>
      </x:c>
      <x:c r="V863" s="2" t="str">
        <x:v>Area equivalent = model2020 * source volume / TEMPO2020 volume</x:v>
      </x:c>
      <x:c r="W863" s="2" t="str">
        <x:v>qualified_paired_native_source_frame</x:v>
      </x:c>
      <x:c r="X863" s="2" t="str">
        <x:v>https://human-settlement.emergency.copernicus.eu/ghs_buV2023.php</x:v>
      </x:c>
    </x:row>
    <x:row r="864" ht="23" customHeight="1">
      <x:c r="A864" s="2" t="str">
        <x:v>GAB</x:v>
      </x:c>
      <x:c r="B864" s="2" t="str">
        <x:v>Gabon (Gabonese Republic)</x:v>
      </x:c>
      <x:c r="C864" s="2" t="n">
        <x:v>2015</x:v>
      </x:c>
      <x:c r="D864" s="2" t="str">
        <x:v>GHSL_VOLUME</x:v>
      </x:c>
      <x:c r="E864" s="17" t="n">
        <x:v>66275060.77817436</x:v>
      </x:c>
      <x:c r="F864" s="17" t="n">
        <x:f>IF(AND(M864,ISNUMBER(R864)),IF(D864="TEMPO_PROXY",R864,IF(AND(ISNUMBER(S864),S864&gt;0,ISNUMBER(U864)),U864*R864/S864,"n.a.")),"n.a.")</x:f>
        <x:v>351106199.861293</x:v>
      </x:c>
      <x:c r="G864" s="17" t="n">
        <x:f>IF(AND(ISNUMBER(E864),ISNUMBER(F864)),E864-F864,"n.a.")</x:f>
        <x:v>-284831139.0831187</x:v>
      </x:c>
      <x:c r="H864" s="15" t="n">
        <x:f>IF(AND(ISNUMBER(E864),ISNUMBER(F864),F864&gt;0),(E864-F864)/F864,"n.a.")</x:f>
        <x:v>-0.811239275169858</x:v>
      </x:c>
      <x:c r="I864" s="19" t="n">
        <x:f>IF(ISNUMBER(H864),ABS(H864),"n.a.")</x:f>
        <x:v>0.811239275169858</x:v>
      </x:c>
      <x:c r="J864" s="2" t="str">
        <x:v>available</x:v>
      </x:c>
      <x:c r="K864" s="2" t="n">
        <x:v>1</x:v>
      </x:c>
      <x:c r="L864" s="13" t="b">
        <x:v>0</x:v>
      </x:c>
      <x:c r="M864" s="13" t="b">
        <x:v>1</x:v>
      </x:c>
      <x:c r="N864" s="2" t="str">
        <x:v>modeled_epoch_volume_with_fixed2018_height_and_predominant_use</x:v>
      </x:c>
      <x:c r="O864" s="2" t="str"/>
      <x:c r="P864" s="2" t="str">
        <x:v>built-up volume</x:v>
      </x:c>
      <x:c r="Q864" s="2" t="str">
        <x:v>m3</x:v>
      </x:c>
      <x:c r="R864" s="17" t="n">
        <x:v>907067747.4588231</x:v>
      </x:c>
      <x:c r="S864" s="17" t="n">
        <x:v>190513524.89</x:v>
      </x:c>
      <x:c r="T864" s="18" t="n">
        <x:v>0.3870782539065327</x:v>
      </x:c>
      <x:c r="U864" s="17" t="n">
        <x:v>73743642.55999996</x:v>
      </x:c>
      <x:c r="V864" s="2" t="str">
        <x:v>Area equivalent = model2020 * source volume / TEMPO2020 volume</x:v>
      </x:c>
      <x:c r="W864" s="2" t="str">
        <x:v>qualified_paired_native_source_frame</x:v>
      </x:c>
      <x:c r="X864" s="2" t="str">
        <x:v>https://human-settlement.emergency.copernicus.eu/ghs_buV2023.php</x:v>
      </x:c>
    </x:row>
    <x:row r="865" ht="23" customHeight="1">
      <x:c r="A865" s="2" t="str">
        <x:v>GBR</x:v>
      </x:c>
      <x:c r="B865" s="2" t="str">
        <x:v>United Kingdom of Great Britain and Northern Ireland</x:v>
      </x:c>
      <x:c r="C865" s="2" t="n">
        <x:v>2015</x:v>
      </x:c>
      <x:c r="D865" s="2" t="str">
        <x:v>GHSL_VOLUME</x:v>
      </x:c>
      <x:c r="E865" s="17" t="n">
        <x:v>3281370012.838597</x:v>
      </x:c>
      <x:c r="F865" s="17" t="n">
        <x:f>IF(AND(M865,ISNUMBER(R865)),IF(D865="TEMPO_PROXY",R865,IF(AND(ISNUMBER(S865),S865&gt;0,ISNUMBER(U865)),U865*R865/S865,"n.a.")),"n.a.")</x:f>
        <x:v>9200880938.712038</x:v>
      </x:c>
      <x:c r="G865" s="17" t="n">
        <x:f>IF(AND(ISNUMBER(E865),ISNUMBER(F865)),E865-F865,"n.a.")</x:f>
        <x:v>-5919510925.873442</x:v>
      </x:c>
      <x:c r="H865" s="15" t="n">
        <x:f>IF(AND(ISNUMBER(E865),ISNUMBER(F865),F865&gt;0),(E865-F865)/F865,"n.a.")</x:f>
        <x:v>-0.6433634958765231</x:v>
      </x:c>
      <x:c r="I865" s="19" t="n">
        <x:f>IF(ISNUMBER(H865),ABS(H865),"n.a.")</x:f>
        <x:v>0.6433634958765231</x:v>
      </x:c>
      <x:c r="J865" s="2" t="str">
        <x:v>available</x:v>
      </x:c>
      <x:c r="K865" s="2" t="n">
        <x:v>1</x:v>
      </x:c>
      <x:c r="L865" s="13" t="b">
        <x:v>0</x:v>
      </x:c>
      <x:c r="M865" s="13" t="b">
        <x:v>1</x:v>
      </x:c>
      <x:c r="N865" s="2" t="str">
        <x:v>modeled_epoch_volume_with_fixed2018_height_and_predominant_use</x:v>
      </x:c>
      <x:c r="O865" s="2" t="str"/>
      <x:c r="P865" s="2" t="str">
        <x:v>built-up volume</x:v>
      </x:c>
      <x:c r="Q865" s="2" t="str">
        <x:v>m3</x:v>
      </x:c>
      <x:c r="R865" s="17" t="n">
        <x:v>30631432887.101963</x:v>
      </x:c>
      <x:c r="S865" s="17" t="n">
        <x:v>11380700056.36</x:v>
      </x:c>
      <x:c r="T865" s="18" t="n">
        <x:v>0.300373834048954</x:v>
      </x:c>
      <x:c r="U865" s="17" t="n">
        <x:v>3418464510.0900006</x:v>
      </x:c>
      <x:c r="V865" s="2" t="str">
        <x:v>Area equivalent = model2020 * source volume / TEMPO2020 volume</x:v>
      </x:c>
      <x:c r="W865" s="2" t="str">
        <x:v>qualified_paired_native_source_frame</x:v>
      </x:c>
      <x:c r="X865" s="2" t="str">
        <x:v>https://human-settlement.emergency.copernicus.eu/ghs_buV2023.php</x:v>
      </x:c>
    </x:row>
    <x:row r="866" ht="23" customHeight="1">
      <x:c r="A866" s="2" t="str">
        <x:v>GEO</x:v>
      </x:c>
      <x:c r="B866" s="2" t="str">
        <x:v>Georgia</x:v>
      </x:c>
      <x:c r="C866" s="2" t="n">
        <x:v>2015</x:v>
      </x:c>
      <x:c r="D866" s="2" t="str">
        <x:v>GHSL_VOLUME</x:v>
      </x:c>
      <x:c r="E866" s="17" t="n">
        <x:v>231517997.01246288</x:v>
      </x:c>
      <x:c r="F866" s="17" t="n">
        <x:f>IF(AND(M866,ISNUMBER(R866)),IF(D866="TEMPO_PROXY",R866,IF(AND(ISNUMBER(S866),S866&gt;0,ISNUMBER(U866)),U866*R866/S866,"n.a.")),"n.a.")</x:f>
        <x:v>869148364.497983</x:v>
      </x:c>
      <x:c r="G866" s="17" t="n">
        <x:f>IF(AND(ISNUMBER(E866),ISNUMBER(F866)),E866-F866,"n.a.")</x:f>
        <x:v>-637630367.4855201</x:v>
      </x:c>
      <x:c r="H866" s="15" t="n">
        <x:f>IF(AND(ISNUMBER(E866),ISNUMBER(F866),F866&gt;0),(E866-F866)/F866,"n.a.")</x:f>
        <x:v>-0.733626609139181</x:v>
      </x:c>
      <x:c r="I866" s="19" t="n">
        <x:f>IF(ISNUMBER(H866),ABS(H866),"n.a.")</x:f>
        <x:v>0.733626609139181</x:v>
      </x:c>
      <x:c r="J866" s="2" t="str">
        <x:v>available</x:v>
      </x:c>
      <x:c r="K866" s="2" t="n">
        <x:v>1</x:v>
      </x:c>
      <x:c r="L866" s="13" t="b">
        <x:v>0</x:v>
      </x:c>
      <x:c r="M866" s="13" t="b">
        <x:v>1</x:v>
      </x:c>
      <x:c r="N866" s="2" t="str">
        <x:v>modeled_epoch_volume_with_fixed2018_height_and_predominant_use</x:v>
      </x:c>
      <x:c r="O866" s="2" t="str"/>
      <x:c r="P866" s="2" t="str">
        <x:v>built-up volume</x:v>
      </x:c>
      <x:c r="Q866" s="2" t="str">
        <x:v>m3</x:v>
      </x:c>
      <x:c r="R866" s="17" t="n">
        <x:v>2317319571.7921567</x:v>
      </x:c>
      <x:c r="S866" s="17" t="n">
        <x:v>645902078.1</x:v>
      </x:c>
      <x:c r="T866" s="18" t="n">
        <x:v>0.37506625114541514</x:v>
      </x:c>
      <x:c r="U866" s="17" t="n">
        <x:v>242256071.04000017</x:v>
      </x:c>
      <x:c r="V866" s="2" t="str">
        <x:v>Area equivalent = model2020 * source volume / TEMPO2020 volume</x:v>
      </x:c>
      <x:c r="W866" s="2" t="str">
        <x:v>qualified_paired_native_source_frame</x:v>
      </x:c>
      <x:c r="X866" s="2" t="str">
        <x:v>https://human-settlement.emergency.copernicus.eu/ghs_buV2023.php</x:v>
      </x:c>
    </x:row>
    <x:row r="867" ht="23" customHeight="1">
      <x:c r="A867" s="2" t="str">
        <x:v>GHA</x:v>
      </x:c>
      <x:c r="B867" s="2" t="str">
        <x:v>Ghana (Republic of)</x:v>
      </x:c>
      <x:c r="C867" s="2" t="n">
        <x:v>2015</x:v>
      </x:c>
      <x:c r="D867" s="2" t="str">
        <x:v>GHSL_VOLUME</x:v>
      </x:c>
      <x:c r="E867" s="17" t="n">
        <x:v>867754316.8806722</x:v>
      </x:c>
      <x:c r="F867" s="17" t="n">
        <x:f>IF(AND(M867,ISNUMBER(R867)),IF(D867="TEMPO_PROXY",R867,IF(AND(ISNUMBER(S867),S867&gt;0,ISNUMBER(U867)),U867*R867/S867,"n.a.")),"n.a.")</x:f>
        <x:v>4282138740.3980465</x:v>
      </x:c>
      <x:c r="G867" s="17" t="n">
        <x:f>IF(AND(ISNUMBER(E867),ISNUMBER(F867)),E867-F867,"n.a.")</x:f>
        <x:v>-3414384423.517374</x:v>
      </x:c>
      <x:c r="H867" s="15" t="n">
        <x:f>IF(AND(ISNUMBER(E867),ISNUMBER(F867),F867&gt;0),(E867-F867)/F867,"n.a.")</x:f>
        <x:v>-0.7973549271782795</x:v>
      </x:c>
      <x:c r="I867" s="19" t="n">
        <x:f>IF(ISNUMBER(H867),ABS(H867),"n.a.")</x:f>
        <x:v>0.7973549271782795</x:v>
      </x:c>
      <x:c r="J867" s="2" t="str">
        <x:v>available</x:v>
      </x:c>
      <x:c r="K867" s="2" t="n">
        <x:v>1</x:v>
      </x:c>
      <x:c r="L867" s="13" t="b">
        <x:v>0</x:v>
      </x:c>
      <x:c r="M867" s="13" t="b">
        <x:v>1</x:v>
      </x:c>
      <x:c r="N867" s="2" t="str">
        <x:v>modeled_epoch_volume_with_fixed2018_height_and_predominant_use</x:v>
      </x:c>
      <x:c r="O867" s="2" t="str"/>
      <x:c r="P867" s="2" t="str">
        <x:v>built-up volume</x:v>
      </x:c>
      <x:c r="Q867" s="2" t="str">
        <x:v>m3</x:v>
      </x:c>
      <x:c r="R867" s="17" t="n">
        <x:v>10306731220.01176</x:v>
      </x:c>
      <x:c r="S867" s="17" t="n">
        <x:v>2306843747.68</x:v>
      </x:c>
      <x:c r="T867" s="18" t="n">
        <x:v>0.41547010870757534</x:v>
      </x:c>
      <x:c r="U867" s="17" t="n">
        <x:v>958424622.62</x:v>
      </x:c>
      <x:c r="V867" s="2" t="str">
        <x:v>Area equivalent = model2020 * source volume / TEMPO2020 volume</x:v>
      </x:c>
      <x:c r="W867" s="2" t="str">
        <x:v>qualified_paired_native_source_frame</x:v>
      </x:c>
      <x:c r="X867" s="2" t="str">
        <x:v>https://human-settlement.emergency.copernicus.eu/ghs_buV2023.php</x:v>
      </x:c>
    </x:row>
    <x:row r="868" ht="23" customHeight="1">
      <x:c r="A868" s="2" t="str">
        <x:v>GIN</x:v>
      </x:c>
      <x:c r="B868" s="2" t="str">
        <x:v>Guinea (Republic of)</x:v>
      </x:c>
      <x:c r="C868" s="2" t="n">
        <x:v>2015</x:v>
      </x:c>
      <x:c r="D868" s="2" t="str">
        <x:v>GHSL_VOLUME</x:v>
      </x:c>
      <x:c r="E868" s="17" t="n">
        <x:v>253265001.86701941</x:v>
      </x:c>
      <x:c r="F868" s="17" t="n">
        <x:f>IF(AND(M868,ISNUMBER(R868)),IF(D868="TEMPO_PROXY",R868,IF(AND(ISNUMBER(S868),S868&gt;0,ISNUMBER(U868)),U868*R868/S868,"n.a.")),"n.a.")</x:f>
        <x:v>1184885942.0000253</x:v>
      </x:c>
      <x:c r="G868" s="17" t="n">
        <x:f>IF(AND(ISNUMBER(E868),ISNUMBER(F868)),E868-F868,"n.a.")</x:f>
        <x:v>-931620940.1330059</x:v>
      </x:c>
      <x:c r="H868" s="15" t="n">
        <x:f>IF(AND(ISNUMBER(E868),ISNUMBER(F868),F868&gt;0),(E868-F868)/F868,"n.a.")</x:f>
        <x:v>-0.7862536866295152</x:v>
      </x:c>
      <x:c r="I868" s="19" t="n">
        <x:f>IF(ISNUMBER(H868),ABS(H868),"n.a.")</x:f>
        <x:v>0.7862536866295152</x:v>
      </x:c>
      <x:c r="J868" s="2" t="str">
        <x:v>available</x:v>
      </x:c>
      <x:c r="K868" s="2" t="n">
        <x:v>1</x:v>
      </x:c>
      <x:c r="L868" s="13" t="b">
        <x:v>0</x:v>
      </x:c>
      <x:c r="M868" s="13" t="b">
        <x:v>1</x:v>
      </x:c>
      <x:c r="N868" s="2" t="str">
        <x:v>modeled_epoch_volume_with_fixed2018_height_and_predominant_use</x:v>
      </x:c>
      <x:c r="O868" s="2" t="str"/>
      <x:c r="P868" s="2" t="str">
        <x:v>built-up volume</x:v>
      </x:c>
      <x:c r="Q868" s="2" t="str">
        <x:v>m3</x:v>
      </x:c>
      <x:c r="R868" s="17" t="n">
        <x:v>2694086306.921568</x:v>
      </x:c>
      <x:c r="S868" s="17" t="n">
        <x:v>631267172.04</x:v>
      </x:c>
      <x:c r="T868" s="18" t="n">
        <x:v>0.4398099418551851</x:v>
      </x:c>
      <x:c r="U868" s="17" t="n">
        <x:v>277637578.22999954</x:v>
      </x:c>
      <x:c r="V868" s="2" t="str">
        <x:v>Area equivalent = model2020 * source volume / TEMPO2020 volume</x:v>
      </x:c>
      <x:c r="W868" s="2" t="str">
        <x:v>qualified_paired_native_source_frame</x:v>
      </x:c>
      <x:c r="X868" s="2" t="str">
        <x:v>https://human-settlement.emergency.copernicus.eu/ghs_buV2023.php</x:v>
      </x:c>
    </x:row>
    <x:row r="869" ht="23" customHeight="1">
      <x:c r="A869" s="2" t="str">
        <x:v>GMB</x:v>
      </x:c>
      <x:c r="B869" s="2" t="str">
        <x:v>Gambia (Republic of the)</x:v>
      </x:c>
      <x:c r="C869" s="2" t="n">
        <x:v>2015</x:v>
      </x:c>
      <x:c r="D869" s="2" t="str">
        <x:v>GHSL_VOLUME</x:v>
      </x:c>
      <x:c r="E869" s="17" t="n">
        <x:v>54523887.232732646</x:v>
      </x:c>
      <x:c r="F869" s="17" t="n">
        <x:f>IF(AND(M869,ISNUMBER(R869)),IF(D869="TEMPO_PROXY",R869,IF(AND(ISNUMBER(S869),S869&gt;0,ISNUMBER(U869)),U869*R869/S869,"n.a.")),"n.a.")</x:f>
        <x:v>233640474.70001656</x:v>
      </x:c>
      <x:c r="G869" s="17" t="n">
        <x:f>IF(AND(ISNUMBER(E869),ISNUMBER(F869)),E869-F869,"n.a.")</x:f>
        <x:v>-179116587.4672839</x:v>
      </x:c>
      <x:c r="H869" s="15" t="n">
        <x:f>IF(AND(ISNUMBER(E869),ISNUMBER(F869),F869&gt;0),(E869-F869)/F869,"n.a.")</x:f>
        <x:v>-0.7666333827529722</x:v>
      </x:c>
      <x:c r="I869" s="19" t="n">
        <x:f>IF(ISNUMBER(H869),ABS(H869),"n.a.")</x:f>
        <x:v>0.7666333827529722</x:v>
      </x:c>
      <x:c r="J869" s="2" t="str">
        <x:v>available</x:v>
      </x:c>
      <x:c r="K869" s="2" t="n">
        <x:v>1</x:v>
      </x:c>
      <x:c r="L869" s="13" t="b">
        <x:v>0</x:v>
      </x:c>
      <x:c r="M869" s="13" t="b">
        <x:v>1</x:v>
      </x:c>
      <x:c r="N869" s="2" t="str">
        <x:v>modeled_epoch_volume_with_fixed2018_height_and_predominant_use</x:v>
      </x:c>
      <x:c r="O869" s="2" t="str"/>
      <x:c r="P869" s="2" t="str">
        <x:v>built-up volume</x:v>
      </x:c>
      <x:c r="Q869" s="2" t="str">
        <x:v>m3</x:v>
      </x:c>
      <x:c r="R869" s="17" t="n">
        <x:v>550740409.7019608</x:v>
      </x:c>
      <x:c r="S869" s="17" t="n">
        <x:v>134066864.69</x:v>
      </x:c>
      <x:c r="T869" s="18" t="n">
        <x:v>0.4242297652108979</x:v>
      </x:c>
      <x:c r="U869" s="17" t="n">
        <x:v>56875154.52999992</x:v>
      </x:c>
      <x:c r="V869" s="2" t="str">
        <x:v>Area equivalent = model2020 * source volume / TEMPO2020 volume</x:v>
      </x:c>
      <x:c r="W869" s="2" t="str">
        <x:v>qualified_paired_native_source_frame</x:v>
      </x:c>
      <x:c r="X869" s="2" t="str">
        <x:v>https://human-settlement.emergency.copernicus.eu/ghs_buV2023.php</x:v>
      </x:c>
    </x:row>
    <x:row r="870" ht="23" customHeight="1">
      <x:c r="A870" s="2" t="str">
        <x:v>GNB</x:v>
      </x:c>
      <x:c r="B870" s="2" t="str">
        <x:v>Guinea-Bissau (Republic of)</x:v>
      </x:c>
      <x:c r="C870" s="2" t="n">
        <x:v>2015</x:v>
      </x:c>
      <x:c r="D870" s="2" t="str">
        <x:v>GHSL_VOLUME</x:v>
      </x:c>
      <x:c r="E870" s="17" t="n">
        <x:v>46182866.527540356</x:v>
      </x:c>
      <x:c r="F870" s="17" t="n">
        <x:f>IF(AND(M870,ISNUMBER(R870)),IF(D870="TEMPO_PROXY",R870,IF(AND(ISNUMBER(S870),S870&gt;0,ISNUMBER(U870)),U870*R870/S870,"n.a.")),"n.a.")</x:f>
        <x:v>174080583.05375606</x:v>
      </x:c>
      <x:c r="G870" s="17" t="n">
        <x:f>IF(AND(ISNUMBER(E870),ISNUMBER(F870)),E870-F870,"n.a.")</x:f>
        <x:v>-127897716.5262157</x:v>
      </x:c>
      <x:c r="H870" s="15" t="n">
        <x:f>IF(AND(ISNUMBER(E870),ISNUMBER(F870),F870&gt;0),(E870-F870)/F870,"n.a.")</x:f>
        <x:v>-0.7347040909595351</x:v>
      </x:c>
      <x:c r="I870" s="19" t="n">
        <x:f>IF(ISNUMBER(H870),ABS(H870),"n.a.")</x:f>
        <x:v>0.7347040909595351</x:v>
      </x:c>
      <x:c r="J870" s="2" t="str">
        <x:v>available</x:v>
      </x:c>
      <x:c r="K870" s="2" t="n">
        <x:v>1</x:v>
      </x:c>
      <x:c r="L870" s="13" t="b">
        <x:v>0</x:v>
      </x:c>
      <x:c r="M870" s="13" t="b">
        <x:v>1</x:v>
      </x:c>
      <x:c r="N870" s="2" t="str">
        <x:v>modeled_epoch_volume_with_fixed2018_height_and_predominant_use</x:v>
      </x:c>
      <x:c r="O870" s="2" t="str"/>
      <x:c r="P870" s="2" t="str">
        <x:v>built-up volume</x:v>
      </x:c>
      <x:c r="Q870" s="2" t="str">
        <x:v>m3</x:v>
      </x:c>
      <x:c r="R870" s="17" t="n">
        <x:v>378196587.8196078</x:v>
      </x:c>
      <x:c r="S870" s="17" t="n">
        <x:v>106351519.14</x:v>
      </x:c>
      <x:c r="T870" s="18" t="n">
        <x:v>0.4602912576693817</x:v>
      </x:c>
      <x:c r="U870" s="17" t="n">
        <x:v>48952674.499999925</x:v>
      </x:c>
      <x:c r="V870" s="2" t="str">
        <x:v>Area equivalent = model2020 * source volume / TEMPO2020 volume</x:v>
      </x:c>
      <x:c r="W870" s="2" t="str">
        <x:v>qualified_paired_native_source_frame</x:v>
      </x:c>
      <x:c r="X870" s="2" t="str">
        <x:v>https://human-settlement.emergency.copernicus.eu/ghs_buV2023.php</x:v>
      </x:c>
    </x:row>
    <x:row r="871" ht="23" customHeight="1">
      <x:c r="A871" s="2" t="str">
        <x:v>GNQ</x:v>
      </x:c>
      <x:c r="B871" s="2" t="str">
        <x:v>Equatorial Guinea (Republic of)</x:v>
      </x:c>
      <x:c r="C871" s="2" t="n">
        <x:v>2015</x:v>
      </x:c>
      <x:c r="D871" s="2" t="str">
        <x:v>GHSL_VOLUME</x:v>
      </x:c>
      <x:c r="E871" s="17" t="n">
        <x:v>30500131.86462052</x:v>
      </x:c>
      <x:c r="F871" s="17" t="n">
        <x:f>IF(AND(M871,ISNUMBER(R871)),IF(D871="TEMPO_PROXY",R871,IF(AND(ISNUMBER(S871),S871&gt;0,ISNUMBER(U871)),U871*R871/S871,"n.a.")),"n.a.")</x:f>
        <x:v>122583270.8277026</x:v>
      </x:c>
      <x:c r="G871" s="17" t="n">
        <x:f>IF(AND(ISNUMBER(E871),ISNUMBER(F871)),E871-F871,"n.a.")</x:f>
        <x:v>-92083138.96308208</x:v>
      </x:c>
      <x:c r="H871" s="15" t="n">
        <x:f>IF(AND(ISNUMBER(E871),ISNUMBER(F871),F871&gt;0),(E871-F871)/F871,"n.a.")</x:f>
        <x:v>-0.7511884643093746</x:v>
      </x:c>
      <x:c r="I871" s="19" t="n">
        <x:f>IF(ISNUMBER(H871),ABS(H871),"n.a.")</x:f>
        <x:v>0.7511884643093746</x:v>
      </x:c>
      <x:c r="J871" s="2" t="str">
        <x:v>available</x:v>
      </x:c>
      <x:c r="K871" s="2" t="n">
        <x:v>1</x:v>
      </x:c>
      <x:c r="L871" s="13" t="b">
        <x:v>0</x:v>
      </x:c>
      <x:c r="M871" s="13" t="b">
        <x:v>1</x:v>
      </x:c>
      <x:c r="N871" s="2" t="str">
        <x:v>modeled_epoch_volume_with_fixed2018_height_and_predominant_use</x:v>
      </x:c>
      <x:c r="O871" s="2" t="str"/>
      <x:c r="P871" s="2" t="str">
        <x:v>built-up volume</x:v>
      </x:c>
      <x:c r="Q871" s="2" t="str">
        <x:v>m3</x:v>
      </x:c>
      <x:c r="R871" s="17" t="n">
        <x:v>323095061.0039215</x:v>
      </x:c>
      <x:c r="S871" s="17" t="n">
        <x:v>89884942.06</x:v>
      </x:c>
      <x:c r="T871" s="18" t="n">
        <x:v>0.3794031095579476</x:v>
      </x:c>
      <x:c r="U871" s="17" t="n">
        <x:v>34102626.51999995</x:v>
      </x:c>
      <x:c r="V871" s="2" t="str">
        <x:v>Area equivalent = model2020 * source volume / TEMPO2020 volume</x:v>
      </x:c>
      <x:c r="W871" s="2" t="str">
        <x:v>qualified_paired_native_source_frame</x:v>
      </x:c>
      <x:c r="X871" s="2" t="str">
        <x:v>https://human-settlement.emergency.copernicus.eu/ghs_buV2023.php</x:v>
      </x:c>
    </x:row>
    <x:row r="872" ht="23" customHeight="1">
      <x:c r="A872" s="2" t="str">
        <x:v>GRC</x:v>
      </x:c>
      <x:c r="B872" s="2" t="str">
        <x:v>Greece (Hellenic Republic)</x:v>
      </x:c>
      <x:c r="C872" s="2" t="n">
        <x:v>2015</x:v>
      </x:c>
      <x:c r="D872" s="2" t="str">
        <x:v>GHSL_VOLUME</x:v>
      </x:c>
      <x:c r="E872" s="17" t="n">
        <x:v>826514330.7150826</x:v>
      </x:c>
      <x:c r="F872" s="17" t="n">
        <x:f>IF(AND(M872,ISNUMBER(R872)),IF(D872="TEMPO_PROXY",R872,IF(AND(ISNUMBER(S872),S872&gt;0,ISNUMBER(U872)),U872*R872/S872,"n.a.")),"n.a.")</x:f>
        <x:v>1872955222.7986965</x:v>
      </x:c>
      <x:c r="G872" s="17" t="n">
        <x:f>IF(AND(ISNUMBER(E872),ISNUMBER(F872)),E872-F872,"n.a.")</x:f>
        <x:v>-1046440892.0836139</x:v>
      </x:c>
      <x:c r="H872" s="15" t="n">
        <x:f>IF(AND(ISNUMBER(E872),ISNUMBER(F872),F872&gt;0),(E872-F872)/F872,"n.a.")</x:f>
        <x:v>-0.5587111103061776</x:v>
      </x:c>
      <x:c r="I872" s="19" t="n">
        <x:f>IF(ISNUMBER(H872),ABS(H872),"n.a.")</x:f>
        <x:v>0.5587111103061776</x:v>
      </x:c>
      <x:c r="J872" s="2" t="str">
        <x:v>available</x:v>
      </x:c>
      <x:c r="K872" s="2" t="n">
        <x:v>1</x:v>
      </x:c>
      <x:c r="L872" s="13" t="b">
        <x:v>0</x:v>
      </x:c>
      <x:c r="M872" s="13" t="b">
        <x:v>1</x:v>
      </x:c>
      <x:c r="N872" s="2" t="str">
        <x:v>modeled_epoch_volume_with_fixed2018_height_and_predominant_use</x:v>
      </x:c>
      <x:c r="O872" s="2" t="str"/>
      <x:c r="P872" s="2" t="str">
        <x:v>built-up volume</x:v>
      </x:c>
      <x:c r="Q872" s="2" t="str">
        <x:v>m3</x:v>
      </x:c>
      <x:c r="R872" s="17" t="n">
        <x:v>5811357558.152945</x:v>
      </x:c>
      <x:c r="S872" s="17" t="n">
        <x:v>2649309337.71</x:v>
      </x:c>
      <x:c r="T872" s="18" t="n">
        <x:v>0.3222922017887311</x:v>
      </x:c>
      <x:c r="U872" s="17" t="n">
        <x:v>853851739.6700008</x:v>
      </x:c>
      <x:c r="V872" s="2" t="str">
        <x:v>Area equivalent = model2020 * source volume / TEMPO2020 volume</x:v>
      </x:c>
      <x:c r="W872" s="2" t="str">
        <x:v>qualified_paired_native_source_frame</x:v>
      </x:c>
      <x:c r="X872" s="2" t="str">
        <x:v>https://human-settlement.emergency.copernicus.eu/ghs_buV2023.php</x:v>
      </x:c>
    </x:row>
    <x:row r="873" ht="23" customHeight="1">
      <x:c r="A873" s="2" t="str">
        <x:v>GRD</x:v>
      </x:c>
      <x:c r="B873" s="2" t="str">
        <x:v>Grenada</x:v>
      </x:c>
      <x:c r="C873" s="2" t="n">
        <x:v>2015</x:v>
      </x:c>
      <x:c r="D873" s="2" t="str">
        <x:v>GHSL_VOLUME</x:v>
      </x:c>
      <x:c r="E873" s="17" t="n">
        <x:v>5896774.169807444</x:v>
      </x:c>
      <x:c r="F873" s="17" t="n">
        <x:f>IF(AND(M873,ISNUMBER(R873)),IF(D873="TEMPO_PROXY",R873,IF(AND(ISNUMBER(S873),S873&gt;0,ISNUMBER(U873)),U873*R873/S873,"n.a.")),"n.a.")</x:f>
        <x:v>13601789.815728791</x:v>
      </x:c>
      <x:c r="G873" s="17" t="n">
        <x:f>IF(AND(ISNUMBER(E873),ISNUMBER(F873)),E873-F873,"n.a.")</x:f>
        <x:v>-7705015.645921347</x:v>
      </x:c>
      <x:c r="H873" s="15" t="n">
        <x:f>IF(AND(ISNUMBER(E873),ISNUMBER(F873),F873&gt;0),(E873-F873)/F873,"n.a.")</x:f>
        <x:v>-0.5664707182147048</x:v>
      </x:c>
      <x:c r="I873" s="19" t="n">
        <x:f>IF(ISNUMBER(H873),ABS(H873),"n.a.")</x:f>
        <x:v>0.5664707182147048</x:v>
      </x:c>
      <x:c r="J873" s="2" t="str">
        <x:v>available</x:v>
      </x:c>
      <x:c r="K873" s="2" t="n">
        <x:v>1</x:v>
      </x:c>
      <x:c r="L873" s="13" t="b">
        <x:v>0</x:v>
      </x:c>
      <x:c r="M873" s="13" t="b">
        <x:v>1</x:v>
      </x:c>
      <x:c r="N873" s="2" t="str">
        <x:v>modeled_epoch_volume_with_fixed2018_height_and_predominant_use</x:v>
      </x:c>
      <x:c r="O873" s="2" t="str"/>
      <x:c r="P873" s="2" t="str">
        <x:v>built-up volume</x:v>
      </x:c>
      <x:c r="Q873" s="2" t="str">
        <x:v>m3</x:v>
      </x:c>
      <x:c r="R873" s="17" t="n">
        <x:v>29864537.24705883</x:v>
      </x:c>
      <x:c r="S873" s="17" t="n">
        <x:v>15160841.72</x:v>
      </x:c>
      <x:c r="T873" s="18" t="n">
        <x:v>0.455449542151146</x:v>
      </x:c>
      <x:c r="U873" s="17" t="n">
        <x:v>6904998.419999993</x:v>
      </x:c>
      <x:c r="V873" s="2" t="str">
        <x:v>Area equivalent = model2020 * source volume / TEMPO2020 volume</x:v>
      </x:c>
      <x:c r="W873" s="2" t="str">
        <x:v>qualified_paired_native_source_frame</x:v>
      </x:c>
      <x:c r="X873" s="2" t="str">
        <x:v>https://human-settlement.emergency.copernicus.eu/ghs_buV2023.php</x:v>
      </x:c>
    </x:row>
    <x:row r="874" ht="23" customHeight="1">
      <x:c r="A874" s="2" t="str">
        <x:v>GTM</x:v>
      </x:c>
      <x:c r="B874" s="2" t="str">
        <x:v>Guatemala (Republic of)</x:v>
      </x:c>
      <x:c r="C874" s="2" t="n">
        <x:v>2015</x:v>
      </x:c>
      <x:c r="D874" s="2" t="str">
        <x:v>GHSL_VOLUME</x:v>
      </x:c>
      <x:c r="E874" s="17" t="n">
        <x:v>499576793.66361964</x:v>
      </x:c>
      <x:c r="F874" s="17" t="n">
        <x:f>IF(AND(M874,ISNUMBER(R874)),IF(D874="TEMPO_PROXY",R874,IF(AND(ISNUMBER(S874),S874&gt;0,ISNUMBER(U874)),U874*R874/S874,"n.a.")),"n.a.")</x:f>
        <x:v>1632174271.6993086</x:v>
      </x:c>
      <x:c r="G874" s="17" t="n">
        <x:f>IF(AND(ISNUMBER(E874),ISNUMBER(F874)),E874-F874,"n.a.")</x:f>
        <x:v>-1132597478.0356889</x:v>
      </x:c>
      <x:c r="H874" s="15" t="n">
        <x:f>IF(AND(ISNUMBER(E874),ISNUMBER(F874),F874&gt;0),(E874-F874)/F874,"n.a.")</x:f>
        <x:v>-0.6939194531332157</x:v>
      </x:c>
      <x:c r="I874" s="19" t="n">
        <x:f>IF(ISNUMBER(H874),ABS(H874),"n.a.")</x:f>
        <x:v>0.6939194531332157</x:v>
      </x:c>
      <x:c r="J874" s="2" t="str">
        <x:v>available</x:v>
      </x:c>
      <x:c r="K874" s="2" t="n">
        <x:v>1</x:v>
      </x:c>
      <x:c r="L874" s="13" t="b">
        <x:v>0</x:v>
      </x:c>
      <x:c r="M874" s="13" t="b">
        <x:v>1</x:v>
      </x:c>
      <x:c r="N874" s="2" t="str">
        <x:v>modeled_epoch_volume_with_fixed2018_height_and_predominant_use</x:v>
      </x:c>
      <x:c r="O874" s="2" t="str"/>
      <x:c r="P874" s="2" t="str">
        <x:v>built-up volume</x:v>
      </x:c>
      <x:c r="Q874" s="2" t="str">
        <x:v>m3</x:v>
      </x:c>
      <x:c r="R874" s="17" t="n">
        <x:v>4047933791.713725</x:v>
      </x:c>
      <x:c r="S874" s="17" t="n">
        <x:v>1485854767.08</x:v>
      </x:c>
      <x:c r="T874" s="18" t="n">
        <x:v>0.40321170149581786</x:v>
      </x:c>
      <x:c r="U874" s="17" t="n">
        <x:v>599114028.8099989</x:v>
      </x:c>
      <x:c r="V874" s="2" t="str">
        <x:v>Area equivalent = model2020 * source volume / TEMPO2020 volume</x:v>
      </x:c>
      <x:c r="W874" s="2" t="str">
        <x:v>qualified_paired_native_source_frame</x:v>
      </x:c>
      <x:c r="X874" s="2" t="str">
        <x:v>https://human-settlement.emergency.copernicus.eu/ghs_buV2023.php</x:v>
      </x:c>
    </x:row>
    <x:row r="875" ht="23" customHeight="1">
      <x:c r="A875" s="2" t="str">
        <x:v>GUY</x:v>
      </x:c>
      <x:c r="B875" s="2" t="str">
        <x:v>Guyana (Co-operative Republic of)</x:v>
      </x:c>
      <x:c r="C875" s="2" t="n">
        <x:v>2015</x:v>
      </x:c>
      <x:c r="D875" s="2" t="str">
        <x:v>GHSL_VOLUME</x:v>
      </x:c>
      <x:c r="E875" s="17" t="n">
        <x:v>44014828.67558784</x:v>
      </x:c>
      <x:c r="F875" s="17" t="n">
        <x:f>IF(AND(M875,ISNUMBER(R875)),IF(D875="TEMPO_PROXY",R875,IF(AND(ISNUMBER(S875),S875&gt;0,ISNUMBER(U875)),U875*R875/S875,"n.a.")),"n.a.")</x:f>
        <x:v>94367730.32048291</x:v>
      </x:c>
      <x:c r="G875" s="17" t="n">
        <x:f>IF(AND(ISNUMBER(E875),ISNUMBER(F875)),E875-F875,"n.a.")</x:f>
        <x:v>-50352901.64489507</x:v>
      </x:c>
      <x:c r="H875" s="15" t="n">
        <x:f>IF(AND(ISNUMBER(E875),ISNUMBER(F875),F875&gt;0),(E875-F875)/F875,"n.a.")</x:f>
        <x:v>-0.5335817813344798</x:v>
      </x:c>
      <x:c r="I875" s="19" t="n">
        <x:f>IF(ISNUMBER(H875),ABS(H875),"n.a.")</x:f>
        <x:v>0.5335817813344798</x:v>
      </x:c>
      <x:c r="J875" s="2" t="str">
        <x:v>available</x:v>
      </x:c>
      <x:c r="K875" s="2" t="n">
        <x:v>1</x:v>
      </x:c>
      <x:c r="L875" s="13" t="b">
        <x:v>0</x:v>
      </x:c>
      <x:c r="M875" s="13" t="b">
        <x:v>1</x:v>
      </x:c>
      <x:c r="N875" s="2" t="str">
        <x:v>modeled_epoch_volume_with_fixed2018_height_and_predominant_use</x:v>
      </x:c>
      <x:c r="O875" s="2" t="str"/>
      <x:c r="P875" s="2" t="str">
        <x:v>built-up volume</x:v>
      </x:c>
      <x:c r="Q875" s="2" t="str">
        <x:v>m3</x:v>
      </x:c>
      <x:c r="R875" s="17" t="n">
        <x:v>230599108.01960784</x:v>
      </x:c>
      <x:c r="S875" s="17" t="n">
        <x:v>113535675.21</x:v>
      </x:c>
      <x:c r="T875" s="18" t="n">
        <x:v>0.4092285140689218</x:v>
      </x:c>
      <x:c r="U875" s="17" t="n">
        <x:v>46462035.66000002</x:v>
      </x:c>
      <x:c r="V875" s="2" t="str">
        <x:v>Area equivalent = model2020 * source volume / TEMPO2020 volume</x:v>
      </x:c>
      <x:c r="W875" s="2" t="str">
        <x:v>qualified_paired_native_source_frame</x:v>
      </x:c>
      <x:c r="X875" s="2" t="str">
        <x:v>https://human-settlement.emergency.copernicus.eu/ghs_buV2023.php</x:v>
      </x:c>
    </x:row>
    <x:row r="876" ht="23" customHeight="1">
      <x:c r="A876" s="2" t="str">
        <x:v>HND</x:v>
      </x:c>
      <x:c r="B876" s="2" t="str">
        <x:v>Honduras (Republic of)</x:v>
      </x:c>
      <x:c r="C876" s="2" t="n">
        <x:v>2015</x:v>
      </x:c>
      <x:c r="D876" s="2" t="str">
        <x:v>GHSL_VOLUME</x:v>
      </x:c>
      <x:c r="E876" s="17" t="n">
        <x:v>261857176.83585</x:v>
      </x:c>
      <x:c r="F876" s="17" t="n">
        <x:f>IF(AND(M876,ISNUMBER(R876)),IF(D876="TEMPO_PROXY",R876,IF(AND(ISNUMBER(S876),S876&gt;0,ISNUMBER(U876)),U876*R876/S876,"n.a.")),"n.a.")</x:f>
        <x:v>959453100.3210553</x:v>
      </x:c>
      <x:c r="G876" s="17" t="n">
        <x:f>IF(AND(ISNUMBER(E876),ISNUMBER(F876)),E876-F876,"n.a.")</x:f>
        <x:v>-697595923.4852053</x:v>
      </x:c>
      <x:c r="H876" s="15" t="n">
        <x:f>IF(AND(ISNUMBER(E876),ISNUMBER(F876),F876&gt;0),(E876-F876)/F876,"n.a.")</x:f>
        <x:v>-0.7270766265196011</x:v>
      </x:c>
      <x:c r="I876" s="19" t="n">
        <x:f>IF(ISNUMBER(H876),ABS(H876),"n.a.")</x:f>
        <x:v>0.7270766265196011</x:v>
      </x:c>
      <x:c r="J876" s="2" t="str">
        <x:v>available</x:v>
      </x:c>
      <x:c r="K876" s="2" t="n">
        <x:v>1</x:v>
      </x:c>
      <x:c r="L876" s="13" t="b">
        <x:v>0</x:v>
      </x:c>
      <x:c r="M876" s="13" t="b">
        <x:v>1</x:v>
      </x:c>
      <x:c r="N876" s="2" t="str">
        <x:v>modeled_epoch_volume_with_fixed2018_height_and_predominant_use</x:v>
      </x:c>
      <x:c r="O876" s="2" t="str"/>
      <x:c r="P876" s="2" t="str">
        <x:v>built-up volume</x:v>
      </x:c>
      <x:c r="Q876" s="2" t="str">
        <x:v>m3</x:v>
      </x:c>
      <x:c r="R876" s="17" t="n">
        <x:v>2259245126</x:v>
      </x:c>
      <x:c r="S876" s="17" t="n">
        <x:v>790387597.05</x:v>
      </x:c>
      <x:c r="T876" s="18" t="n">
        <x:v>0.42467861910131455</x:v>
      </x:c>
      <x:c r="U876" s="17" t="n">
        <x:v>335660713.2700002</x:v>
      </x:c>
      <x:c r="V876" s="2" t="str">
        <x:v>Area equivalent = model2020 * source volume / TEMPO2020 volume</x:v>
      </x:c>
      <x:c r="W876" s="2" t="str">
        <x:v>qualified_paired_native_source_frame</x:v>
      </x:c>
      <x:c r="X876" s="2" t="str">
        <x:v>https://human-settlement.emergency.copernicus.eu/ghs_buV2023.php</x:v>
      </x:c>
    </x:row>
    <x:row r="877" ht="23" customHeight="1">
      <x:c r="A877" s="2" t="str">
        <x:v>HRV</x:v>
      </x:c>
      <x:c r="B877" s="2" t="str">
        <x:v>Croatia (Republic of)</x:v>
      </x:c>
      <x:c r="C877" s="2" t="n">
        <x:v>2015</x:v>
      </x:c>
      <x:c r="D877" s="2" t="str">
        <x:v>GHSL_VOLUME</x:v>
      </x:c>
      <x:c r="E877" s="17" t="n">
        <x:v>344650373.6507369</x:v>
      </x:c>
      <x:c r="F877" s="17" t="n">
        <x:f>IF(AND(M877,ISNUMBER(R877)),IF(D877="TEMPO_PROXY",R877,IF(AND(ISNUMBER(S877),S877&gt;0,ISNUMBER(U877)),U877*R877/S877,"n.a.")),"n.a.")</x:f>
        <x:v>694296760.7586721</x:v>
      </x:c>
      <x:c r="G877" s="17" t="n">
        <x:f>IF(AND(ISNUMBER(E877),ISNUMBER(F877)),E877-F877,"n.a.")</x:f>
        <x:v>-349646387.1079352</x:v>
      </x:c>
      <x:c r="H877" s="15" t="n">
        <x:f>IF(AND(ISNUMBER(E877),ISNUMBER(F877),F877&gt;0),(E877-F877)/F877,"n.a.")</x:f>
        <x:v>-0.5035978948337156</x:v>
      </x:c>
      <x:c r="I877" s="19" t="n">
        <x:f>IF(ISNUMBER(H877),ABS(H877),"n.a.")</x:f>
        <x:v>0.5035978948337156</x:v>
      </x:c>
      <x:c r="J877" s="2" t="str">
        <x:v>available</x:v>
      </x:c>
      <x:c r="K877" s="2" t="n">
        <x:v>1</x:v>
      </x:c>
      <x:c r="L877" s="13" t="b">
        <x:v>0</x:v>
      </x:c>
      <x:c r="M877" s="13" t="b">
        <x:v>1</x:v>
      </x:c>
      <x:c r="N877" s="2" t="str">
        <x:v>modeled_epoch_volume_with_fixed2018_height_and_predominant_use</x:v>
      </x:c>
      <x:c r="O877" s="2" t="str"/>
      <x:c r="P877" s="2" t="str">
        <x:v>built-up volume</x:v>
      </x:c>
      <x:c r="Q877" s="2" t="str">
        <x:v>m3</x:v>
      </x:c>
      <x:c r="R877" s="17" t="n">
        <x:v>1943518120.5176482</x:v>
      </x:c>
      <x:c r="S877" s="17" t="n">
        <x:v>1011990991.35</x:v>
      </x:c>
      <x:c r="T877" s="18" t="n">
        <x:v>0.3572370915552611</x:v>
      </x:c>
      <x:c r="U877" s="17" t="n">
        <x:v>361520718.4299994</x:v>
      </x:c>
      <x:c r="V877" s="2" t="str">
        <x:v>Area equivalent = model2020 * source volume / TEMPO2020 volume</x:v>
      </x:c>
      <x:c r="W877" s="2" t="str">
        <x:v>qualified_paired_native_source_frame</x:v>
      </x:c>
      <x:c r="X877" s="2" t="str">
        <x:v>https://human-settlement.emergency.copernicus.eu/ghs_buV2023.php</x:v>
      </x:c>
    </x:row>
    <x:row r="878" ht="23" customHeight="1">
      <x:c r="A878" s="2" t="str">
        <x:v>HTI</x:v>
      </x:c>
      <x:c r="B878" s="2" t="str">
        <x:v>Haiti (Republic of)</x:v>
      </x:c>
      <x:c r="C878" s="2" t="n">
        <x:v>2015</x:v>
      </x:c>
      <x:c r="D878" s="2" t="str">
        <x:v>GHSL_VOLUME</x:v>
      </x:c>
      <x:c r="E878" s="17" t="n">
        <x:v>157168330.99131426</x:v>
      </x:c>
      <x:c r="F878" s="17" t="n">
        <x:f>IF(AND(M878,ISNUMBER(R878)),IF(D878="TEMPO_PROXY",R878,IF(AND(ISNUMBER(S878),S878&gt;0,ISNUMBER(U878)),U878*R878/S878,"n.a.")),"n.a.")</x:f>
        <x:v>574748076.7132243</x:v>
      </x:c>
      <x:c r="G878" s="17" t="n">
        <x:f>IF(AND(ISNUMBER(E878),ISNUMBER(F878)),E878-F878,"n.a.")</x:f>
        <x:v>-417579745.72191</x:v>
      </x:c>
      <x:c r="H878" s="15" t="n">
        <x:f>IF(AND(ISNUMBER(E878),ISNUMBER(F878),F878&gt;0),(E878-F878)/F878,"n.a.")</x:f>
        <x:v>-0.726543963591661</x:v>
      </x:c>
      <x:c r="I878" s="19" t="n">
        <x:f>IF(ISNUMBER(H878),ABS(H878),"n.a.")</x:f>
        <x:v>0.726543963591661</x:v>
      </x:c>
      <x:c r="J878" s="2" t="str">
        <x:v>available</x:v>
      </x:c>
      <x:c r="K878" s="2" t="n">
        <x:v>1</x:v>
      </x:c>
      <x:c r="L878" s="13" t="b">
        <x:v>0</x:v>
      </x:c>
      <x:c r="M878" s="13" t="b">
        <x:v>1</x:v>
      </x:c>
      <x:c r="N878" s="2" t="str">
        <x:v>modeled_epoch_volume_with_fixed2018_height_and_predominant_use</x:v>
      </x:c>
      <x:c r="O878" s="2" t="str"/>
      <x:c r="P878" s="2" t="str">
        <x:v>built-up volume</x:v>
      </x:c>
      <x:c r="Q878" s="2" t="str">
        <x:v>m3</x:v>
      </x:c>
      <x:c r="R878" s="17" t="n">
        <x:v>1302703210.0352943</x:v>
      </x:c>
      <x:c r="S878" s="17" t="n">
        <x:v>428385998.41</x:v>
      </x:c>
      <x:c r="T878" s="18" t="n">
        <x:v>0.44119648457583255</x:v>
      </x:c>
      <x:c r="U878" s="17" t="n">
        <x:v>189002396.5400002</x:v>
      </x:c>
      <x:c r="V878" s="2" t="str">
        <x:v>Area equivalent = model2020 * source volume / TEMPO2020 volume</x:v>
      </x:c>
      <x:c r="W878" s="2" t="str">
        <x:v>qualified_paired_native_source_frame</x:v>
      </x:c>
      <x:c r="X878" s="2" t="str">
        <x:v>https://human-settlement.emergency.copernicus.eu/ghs_buV2023.php</x:v>
      </x:c>
    </x:row>
    <x:row r="879" ht="23" customHeight="1">
      <x:c r="A879" s="2" t="str">
        <x:v>HUN</x:v>
      </x:c>
      <x:c r="B879" s="2" t="str">
        <x:v>Hungary</x:v>
      </x:c>
      <x:c r="C879" s="2" t="n">
        <x:v>2015</x:v>
      </x:c>
      <x:c r="D879" s="2" t="str">
        <x:v>GHSL_VOLUME</x:v>
      </x:c>
      <x:c r="E879" s="17" t="n">
        <x:v>820761043.9030477</x:v>
      </x:c>
      <x:c r="F879" s="17" t="n">
        <x:f>IF(AND(M879,ISNUMBER(R879)),IF(D879="TEMPO_PROXY",R879,IF(AND(ISNUMBER(S879),S879&gt;0,ISNUMBER(U879)),U879*R879/S879,"n.a.")),"n.a.")</x:f>
        <x:v>1889757451.1485064</x:v>
      </x:c>
      <x:c r="G879" s="17" t="n">
        <x:f>IF(AND(ISNUMBER(E879),ISNUMBER(F879)),E879-F879,"n.a.")</x:f>
        <x:v>-1068996407.2454587</x:v>
      </x:c>
      <x:c r="H879" s="15" t="n">
        <x:f>IF(AND(ISNUMBER(E879),ISNUMBER(F879),F879&gt;0),(E879-F879)/F879,"n.a.")</x:f>
        <x:v>-0.5656791598285656</x:v>
      </x:c>
      <x:c r="I879" s="19" t="n">
        <x:f>IF(ISNUMBER(H879),ABS(H879),"n.a.")</x:f>
        <x:v>0.5656791598285656</x:v>
      </x:c>
      <x:c r="J879" s="2" t="str">
        <x:v>available</x:v>
      </x:c>
      <x:c r="K879" s="2" t="n">
        <x:v>1</x:v>
      </x:c>
      <x:c r="L879" s="13" t="b">
        <x:v>0</x:v>
      </x:c>
      <x:c r="M879" s="13" t="b">
        <x:v>1</x:v>
      </x:c>
      <x:c r="N879" s="2" t="str">
        <x:v>modeled_epoch_volume_with_fixed2018_height_and_predominant_use</x:v>
      </x:c>
      <x:c r="O879" s="2" t="str"/>
      <x:c r="P879" s="2" t="str">
        <x:v>built-up volume</x:v>
      </x:c>
      <x:c r="Q879" s="2" t="str">
        <x:v>m3</x:v>
      </x:c>
      <x:c r="R879" s="17" t="n">
        <x:v>5767742031.180393</x:v>
      </x:c>
      <x:c r="S879" s="17" t="n">
        <x:v>2603669443.89</x:v>
      </x:c>
      <x:c r="T879" s="18" t="n">
        <x:v>0.32764250566902686</x:v>
      </x:c>
      <x:c r="U879" s="17" t="n">
        <x:v>853072780.5300013</x:v>
      </x:c>
      <x:c r="V879" s="2" t="str">
        <x:v>Area equivalent = model2020 * source volume / TEMPO2020 volume</x:v>
      </x:c>
      <x:c r="W879" s="2" t="str">
        <x:v>qualified_paired_native_source_frame</x:v>
      </x:c>
      <x:c r="X879" s="2" t="str">
        <x:v>https://human-settlement.emergency.copernicus.eu/ghs_buV2023.php</x:v>
      </x:c>
    </x:row>
    <x:row r="880" ht="23" customHeight="1">
      <x:c r="A880" s="2" t="str">
        <x:v>IDN</x:v>
      </x:c>
      <x:c r="B880" s="2" t="str">
        <x:v>Indonesia (Republic of)</x:v>
      </x:c>
      <x:c r="C880" s="2" t="n">
        <x:v>2015</x:v>
      </x:c>
      <x:c r="D880" s="2" t="str">
        <x:v>GHSL_VOLUME</x:v>
      </x:c>
      <x:c r="E880" s="17" t="n">
        <x:v>10348556797.890797</x:v>
      </x:c>
      <x:c r="F880" s="17" t="n">
        <x:f>IF(AND(M880,ISNUMBER(R880)),IF(D880="TEMPO_PROXY",R880,IF(AND(ISNUMBER(S880),S880&gt;0,ISNUMBER(U880)),U880*R880/S880,"n.a.")),"n.a.")</x:f>
        <x:v>16752955175.00354</x:v>
      </x:c>
      <x:c r="G880" s="17" t="n">
        <x:f>IF(AND(ISNUMBER(E880),ISNUMBER(F880)),E880-F880,"n.a.")</x:f>
        <x:v>-6404398377.112743</x:v>
      </x:c>
      <x:c r="H880" s="15" t="n">
        <x:f>IF(AND(ISNUMBER(E880),ISNUMBER(F880),F880&gt;0),(E880-F880)/F880,"n.a.")</x:f>
        <x:v>-0.3822846960558044</x:v>
      </x:c>
      <x:c r="I880" s="19" t="n">
        <x:f>IF(ISNUMBER(H880),ABS(H880),"n.a.")</x:f>
        <x:v>0.3822846960558044</x:v>
      </x:c>
      <x:c r="J880" s="2" t="str">
        <x:v>available</x:v>
      </x:c>
      <x:c r="K880" s="2" t="n">
        <x:v>1</x:v>
      </x:c>
      <x:c r="L880" s="13" t="b">
        <x:v>0</x:v>
      </x:c>
      <x:c r="M880" s="13" t="b">
        <x:v>1</x:v>
      </x:c>
      <x:c r="N880" s="2" t="str">
        <x:v>modeled_epoch_volume_with_fixed2018_height_and_predominant_use</x:v>
      </x:c>
      <x:c r="O880" s="2" t="str"/>
      <x:c r="P880" s="2" t="str">
        <x:v>built-up volume</x:v>
      </x:c>
      <x:c r="Q880" s="2" t="str">
        <x:v>m3</x:v>
      </x:c>
      <x:c r="R880" s="17" t="n">
        <x:v>47550614133.745094</x:v>
      </x:c>
      <x:c r="S880" s="17" t="n">
        <x:v>30638069975.65</x:v>
      </x:c>
      <x:c r="T880" s="18" t="n">
        <x:v>0.35231837653836995</x:v>
      </x:c>
      <x:c r="U880" s="17" t="n">
        <x:v>10794355074.089985</x:v>
      </x:c>
      <x:c r="V880" s="2" t="str">
        <x:v>Area equivalent = model2020 * source volume / TEMPO2020 volume</x:v>
      </x:c>
      <x:c r="W880" s="2" t="str">
        <x:v>qualified_paired_native_source_frame</x:v>
      </x:c>
      <x:c r="X880" s="2" t="str">
        <x:v>https://human-settlement.emergency.copernicus.eu/ghs_buV2023.php</x:v>
      </x:c>
    </x:row>
    <x:row r="881" ht="23" customHeight="1">
      <x:c r="A881" s="2" t="str">
        <x:v>IND</x:v>
      </x:c>
      <x:c r="B881" s="2" t="str">
        <x:v>India (Republic of)</x:v>
      </x:c>
      <x:c r="C881" s="2" t="n">
        <x:v>2015</x:v>
      </x:c>
      <x:c r="D881" s="2" t="str">
        <x:v>GHSL_VOLUME</x:v>
      </x:c>
      <x:c r="E881" s="17" t="n">
        <x:v>23332628208.733402</x:v>
      </x:c>
      <x:c r="F881" s="17" t="n">
        <x:f>IF(AND(M881,ISNUMBER(R881)),IF(D881="TEMPO_PROXY",R881,IF(AND(ISNUMBER(S881),S881&gt;0,ISNUMBER(U881)),U881*R881/S881,"n.a.")),"n.a.")</x:f>
        <x:v>55026152022.7688</x:v>
      </x:c>
      <x:c r="G881" s="17" t="n">
        <x:f>IF(AND(ISNUMBER(E881),ISNUMBER(F881)),E881-F881,"n.a.")</x:f>
        <x:v>-31693523814.035397</x:v>
      </x:c>
      <x:c r="H881" s="15" t="n">
        <x:f>IF(AND(ISNUMBER(E881),ISNUMBER(F881),F881&gt;0),(E881-F881)/F881,"n.a.")</x:f>
        <x:v>-0.5759720178311071</x:v>
      </x:c>
      <x:c r="I881" s="19" t="n">
        <x:f>IF(ISNUMBER(H881),ABS(H881),"n.a.")</x:f>
        <x:v>0.5759720178311071</x:v>
      </x:c>
      <x:c r="J881" s="2" t="str">
        <x:v>available</x:v>
      </x:c>
      <x:c r="K881" s="2" t="n">
        <x:v>1</x:v>
      </x:c>
      <x:c r="L881" s="13" t="b">
        <x:v>0</x:v>
      </x:c>
      <x:c r="M881" s="13" t="b">
        <x:v>1</x:v>
      </x:c>
      <x:c r="N881" s="2" t="str">
        <x:v>modeled_epoch_volume_with_fixed2018_height_and_predominant_use</x:v>
      </x:c>
      <x:c r="O881" s="2" t="str"/>
      <x:c r="P881" s="2" t="str">
        <x:v>built-up volume</x:v>
      </x:c>
      <x:c r="Q881" s="2" t="str">
        <x:v>m3</x:v>
      </x:c>
      <x:c r="R881" s="17" t="n">
        <x:v>145453017966.17648</x:v>
      </x:c>
      <x:c r="S881" s="17" t="n">
        <x:v>73626732402.42</x:v>
      </x:c>
      <x:c r="T881" s="18" t="n">
        <x:v>0.37830876795945567</x:v>
      </x:c>
      <x:c r="U881" s="17" t="n">
        <x:v>27853638424.040043</x:v>
      </x:c>
      <x:c r="V881" s="2" t="str">
        <x:v>Area equivalent = model2020 * source volume / TEMPO2020 volume</x:v>
      </x:c>
      <x:c r="W881" s="2" t="str">
        <x:v>qualified_paired_native_source_frame</x:v>
      </x:c>
      <x:c r="X881" s="2" t="str">
        <x:v>https://human-settlement.emergency.copernicus.eu/ghs_buV2023.php</x:v>
      </x:c>
    </x:row>
    <x:row r="882" ht="23" customHeight="1">
      <x:c r="A882" s="2" t="str">
        <x:v>IRL</x:v>
      </x:c>
      <x:c r="B882" s="2" t="str">
        <x:v>Ireland</x:v>
      </x:c>
      <x:c r="C882" s="2" t="n">
        <x:v>2015</x:v>
      </x:c>
      <x:c r="D882" s="2" t="str">
        <x:v>GHSL_VOLUME</x:v>
      </x:c>
      <x:c r="E882" s="17" t="n">
        <x:v>405777737.91803694</x:v>
      </x:c>
      <x:c r="F882" s="17" t="n">
        <x:f>IF(AND(M882,ISNUMBER(R882)),IF(D882="TEMPO_PROXY",R882,IF(AND(ISNUMBER(S882),S882&gt;0,ISNUMBER(U882)),U882*R882/S882,"n.a.")),"n.a.")</x:f>
        <x:v>946174784.8317155</x:v>
      </x:c>
      <x:c r="G882" s="17" t="n">
        <x:f>IF(AND(ISNUMBER(E882),ISNUMBER(F882)),E882-F882,"n.a.")</x:f>
        <x:v>-540397046.9136785</x:v>
      </x:c>
      <x:c r="H882" s="15" t="n">
        <x:f>IF(AND(ISNUMBER(E882),ISNUMBER(F882),F882&gt;0),(E882-F882)/F882,"n.a.")</x:f>
        <x:v>-0.5711387109198776</x:v>
      </x:c>
      <x:c r="I882" s="19" t="n">
        <x:f>IF(ISNUMBER(H882),ABS(H882),"n.a.")</x:f>
        <x:v>0.5711387109198776</x:v>
      </x:c>
      <x:c r="J882" s="2" t="str">
        <x:v>available</x:v>
      </x:c>
      <x:c r="K882" s="2" t="n">
        <x:v>1</x:v>
      </x:c>
      <x:c r="L882" s="13" t="b">
        <x:v>0</x:v>
      </x:c>
      <x:c r="M882" s="13" t="b">
        <x:v>1</x:v>
      </x:c>
      <x:c r="N882" s="2" t="str">
        <x:v>modeled_epoch_volume_with_fixed2018_height_and_predominant_use</x:v>
      </x:c>
      <x:c r="O882" s="2" t="str"/>
      <x:c r="P882" s="2" t="str">
        <x:v>built-up volume</x:v>
      </x:c>
      <x:c r="Q882" s="2" t="str">
        <x:v>m3</x:v>
      </x:c>
      <x:c r="R882" s="17" t="n">
        <x:v>2606404596.8313704</x:v>
      </x:c>
      <x:c r="S882" s="17" t="n">
        <x:v>1175016849.13</x:v>
      </x:c>
      <x:c r="T882" s="18" t="n">
        <x:v>0.36301915135585194</x:v>
      </x:c>
      <x:c r="U882" s="17" t="n">
        <x:v>426553619.39999974</x:v>
      </x:c>
      <x:c r="V882" s="2" t="str">
        <x:v>Area equivalent = model2020 * source volume / TEMPO2020 volume</x:v>
      </x:c>
      <x:c r="W882" s="2" t="str">
        <x:v>qualified_paired_native_source_frame</x:v>
      </x:c>
      <x:c r="X882" s="2" t="str">
        <x:v>https://human-settlement.emergency.copernicus.eu/ghs_buV2023.php</x:v>
      </x:c>
    </x:row>
    <x:row r="883" ht="23" customHeight="1">
      <x:c r="A883" s="2" t="str">
        <x:v>IRN</x:v>
      </x:c>
      <x:c r="B883" s="2" t="str">
        <x:v>Iran (Islamic Republic of)</x:v>
      </x:c>
      <x:c r="C883" s="2" t="n">
        <x:v>2015</x:v>
      </x:c>
      <x:c r="D883" s="2" t="str">
        <x:v>GHSL_VOLUME</x:v>
      </x:c>
      <x:c r="E883" s="17" t="n">
        <x:v>3491042780.907833</x:v>
      </x:c>
      <x:c r="F883" s="17" t="n">
        <x:f>IF(AND(M883,ISNUMBER(R883)),IF(D883="TEMPO_PROXY",R883,IF(AND(ISNUMBER(S883),S883&gt;0,ISNUMBER(U883)),U883*R883/S883,"n.a.")),"n.a.")</x:f>
        <x:v>7568763419.937072</x:v>
      </x:c>
      <x:c r="G883" s="17" t="n">
        <x:f>IF(AND(ISNUMBER(E883),ISNUMBER(F883)),E883-F883,"n.a.")</x:f>
        <x:v>-4077720639.0292387</x:v>
      </x:c>
      <x:c r="H883" s="15" t="n">
        <x:f>IF(AND(ISNUMBER(E883),ISNUMBER(F883),F883&gt;0),(E883-F883)/F883,"n.a.")</x:f>
        <x:v>-0.5387565197622655</x:v>
      </x:c>
      <x:c r="I883" s="19" t="n">
        <x:f>IF(ISNUMBER(H883),ABS(H883),"n.a.")</x:f>
        <x:v>0.5387565197622655</x:v>
      </x:c>
      <x:c r="J883" s="2" t="str">
        <x:v>available</x:v>
      </x:c>
      <x:c r="K883" s="2" t="n">
        <x:v>1</x:v>
      </x:c>
      <x:c r="L883" s="13" t="b">
        <x:v>0</x:v>
      </x:c>
      <x:c r="M883" s="13" t="b">
        <x:v>1</x:v>
      </x:c>
      <x:c r="N883" s="2" t="str">
        <x:v>modeled_epoch_volume_with_fixed2018_height_and_predominant_use</x:v>
      </x:c>
      <x:c r="O883" s="2" t="str"/>
      <x:c r="P883" s="2" t="str">
        <x:v>built-up volume</x:v>
      </x:c>
      <x:c r="Q883" s="2" t="str">
        <x:v>m3</x:v>
      </x:c>
      <x:c r="R883" s="17" t="n">
        <x:v>24187970995.7451</x:v>
      </x:c>
      <x:c r="S883" s="17" t="n">
        <x:v>11996342355.59</x:v>
      </x:c>
      <x:c r="T883" s="18" t="n">
        <x:v>0.31291435818525215</x:v>
      </x:c>
      <x:c r="U883" s="17" t="n">
        <x:v>3753827768.770001</x:v>
      </x:c>
      <x:c r="V883" s="2" t="str">
        <x:v>Area equivalent = model2020 * source volume / TEMPO2020 volume</x:v>
      </x:c>
      <x:c r="W883" s="2" t="str">
        <x:v>qualified_paired_native_source_frame</x:v>
      </x:c>
      <x:c r="X883" s="2" t="str">
        <x:v>https://human-settlement.emergency.copernicus.eu/ghs_buV2023.php</x:v>
      </x:c>
    </x:row>
    <x:row r="884" ht="23" customHeight="1">
      <x:c r="A884" s="2" t="str">
        <x:v>IRQ</x:v>
      </x:c>
      <x:c r="B884" s="2" t="str">
        <x:v>Iraq (Republic of)</x:v>
      </x:c>
      <x:c r="C884" s="2" t="n">
        <x:v>2015</x:v>
      </x:c>
      <x:c r="D884" s="2" t="str">
        <x:v>GHSL_VOLUME</x:v>
      </x:c>
      <x:c r="E884" s="17" t="n">
        <x:v>1135556484.5551572</x:v>
      </x:c>
      <x:c r="F884" s="17" t="n">
        <x:f>IF(AND(M884,ISNUMBER(R884)),IF(D884="TEMPO_PROXY",R884,IF(AND(ISNUMBER(S884),S884&gt;0,ISNUMBER(U884)),U884*R884/S884,"n.a.")),"n.a.")</x:f>
        <x:v>2683065287.6576304</x:v>
      </x:c>
      <x:c r="G884" s="17" t="n">
        <x:f>IF(AND(ISNUMBER(E884),ISNUMBER(F884)),E884-F884,"n.a.")</x:f>
        <x:v>-1547508803.1024733</x:v>
      </x:c>
      <x:c r="H884" s="15" t="n">
        <x:f>IF(AND(ISNUMBER(E884),ISNUMBER(F884),F884&gt;0),(E884-F884)/F884,"n.a.")</x:f>
        <x:v>-0.576768970259937</x:v>
      </x:c>
      <x:c r="I884" s="19" t="n">
        <x:f>IF(ISNUMBER(H884),ABS(H884),"n.a.")</x:f>
        <x:v>0.576768970259937</x:v>
      </x:c>
      <x:c r="J884" s="2" t="str">
        <x:v>available</x:v>
      </x:c>
      <x:c r="K884" s="2" t="n">
        <x:v>1</x:v>
      </x:c>
      <x:c r="L884" s="13" t="b">
        <x:v>0</x:v>
      </x:c>
      <x:c r="M884" s="13" t="b">
        <x:v>1</x:v>
      </x:c>
      <x:c r="N884" s="2" t="str">
        <x:v>modeled_epoch_volume_with_fixed2018_height_and_predominant_use</x:v>
      </x:c>
      <x:c r="O884" s="2" t="str"/>
      <x:c r="P884" s="2" t="str">
        <x:v>built-up volume</x:v>
      </x:c>
      <x:c r="Q884" s="2" t="str">
        <x:v>m3</x:v>
      </x:c>
      <x:c r="R884" s="17" t="n">
        <x:v>7671666815.525491</x:v>
      </x:c>
      <x:c r="S884" s="17" t="n">
        <x:v>3508223180.22</x:v>
      </x:c>
      <x:c r="T884" s="18" t="n">
        <x:v>0.34973694142031725</x:v>
      </x:c>
      <x:c r="U884" s="17" t="n">
        <x:v>1226955244.870001</x:v>
      </x:c>
      <x:c r="V884" s="2" t="str">
        <x:v>Area equivalent = model2020 * source volume / TEMPO2020 volume</x:v>
      </x:c>
      <x:c r="W884" s="2" t="str">
        <x:v>qualified_paired_native_source_frame</x:v>
      </x:c>
      <x:c r="X884" s="2" t="str">
        <x:v>https://human-settlement.emergency.copernicus.eu/ghs_buV2023.php</x:v>
      </x:c>
    </x:row>
    <x:row r="885" ht="23" customHeight="1">
      <x:c r="A885" s="2" t="str">
        <x:v>ISL</x:v>
      </x:c>
      <x:c r="B885" s="2" t="str">
        <x:v>Iceland</x:v>
      </x:c>
      <x:c r="C885" s="2" t="n">
        <x:v>2015</x:v>
      </x:c>
      <x:c r="D885" s="2" t="str">
        <x:v>GHSL_VOLUME</x:v>
      </x:c>
      <x:c r="E885" s="17" t="n">
        <x:v>25861968.358574174</x:v>
      </x:c>
      <x:c r="F885" s="17" t="n">
        <x:f>IF(AND(M885,ISNUMBER(R885)),IF(D885="TEMPO_PROXY",R885,IF(AND(ISNUMBER(S885),S885&gt;0,ISNUMBER(U885)),U885*R885/S885,"n.a.")),"n.a.")</x:f>
        <x:v>37966537.150734395</x:v>
      </x:c>
      <x:c r="G885" s="17" t="n">
        <x:f>IF(AND(ISNUMBER(E885),ISNUMBER(F885)),E885-F885,"n.a.")</x:f>
        <x:v>-12104568.79216022</x:v>
      </x:c>
      <x:c r="H885" s="15" t="n">
        <x:f>IF(AND(ISNUMBER(E885),ISNUMBER(F885),F885&gt;0),(E885-F885)/F885,"n.a.")</x:f>
        <x:v>-0.3188220391051934</x:v>
      </x:c>
      <x:c r="I885" s="19" t="n">
        <x:f>IF(ISNUMBER(H885),ABS(H885),"n.a.")</x:f>
        <x:v>0.3188220391051934</x:v>
      </x:c>
      <x:c r="J885" s="2" t="str">
        <x:v>available</x:v>
      </x:c>
      <x:c r="K885" s="2" t="n">
        <x:v>1</x:v>
      </x:c>
      <x:c r="L885" s="13" t="b">
        <x:v>0</x:v>
      </x:c>
      <x:c r="M885" s="13" t="b">
        <x:v>1</x:v>
      </x:c>
      <x:c r="N885" s="2" t="str">
        <x:v>modeled_epoch_volume_with_fixed2018_height_and_predominant_use</x:v>
      </x:c>
      <x:c r="O885" s="2" t="str"/>
      <x:c r="P885" s="2" t="str">
        <x:v>built-up volume</x:v>
      </x:c>
      <x:c r="Q885" s="2" t="str">
        <x:v>m3</x:v>
      </x:c>
      <x:c r="R885" s="17" t="n">
        <x:v>136632783.07450974</x:v>
      </x:c>
      <x:c r="S885" s="17" t="n">
        <x:v>94926985.96</x:v>
      </x:c>
      <x:c r="T885" s="18" t="n">
        <x:v>0.27787282302542404</x:v>
      </x:c>
      <x:c r="U885" s="17" t="n">
        <x:v>26377629.56999999</x:v>
      </x:c>
      <x:c r="V885" s="2" t="str">
        <x:v>Area equivalent = model2020 * source volume / TEMPO2020 volume</x:v>
      </x:c>
      <x:c r="W885" s="2" t="str">
        <x:v>qualified_paired_native_source_frame</x:v>
      </x:c>
      <x:c r="X885" s="2" t="str">
        <x:v>https://human-settlement.emergency.copernicus.eu/ghs_buV2023.php</x:v>
      </x:c>
    </x:row>
    <x:row r="886" ht="23" customHeight="1">
      <x:c r="A886" s="2" t="str">
        <x:v>ISR</x:v>
      </x:c>
      <x:c r="B886" s="2" t="str">
        <x:v>Israel (State of)</x:v>
      </x:c>
      <x:c r="C886" s="2" t="n">
        <x:v>2015</x:v>
      </x:c>
      <x:c r="D886" s="2" t="str">
        <x:v>GHSL_VOLUME</x:v>
      </x:c>
      <x:c r="E886" s="17" t="n">
        <x:v>349771256.8497736</x:v>
      </x:c>
      <x:c r="F886" s="17" t="n">
        <x:f>IF(AND(M886,ISNUMBER(R886)),IF(D886="TEMPO_PROXY",R886,IF(AND(ISNUMBER(S886),S886&gt;0,ISNUMBER(U886)),U886*R886/S886,"n.a.")),"n.a.")</x:f>
        <x:v>1061961308.2237971</x:v>
      </x:c>
      <x:c r="G886" s="17" t="n">
        <x:f>IF(AND(ISNUMBER(E886),ISNUMBER(F886)),E886-F886,"n.a.")</x:f>
        <x:v>-712190051.3740234</x:v>
      </x:c>
      <x:c r="H886" s="15" t="n">
        <x:f>IF(AND(ISNUMBER(E886),ISNUMBER(F886),F886&gt;0),(E886-F886)/F886,"n.a.")</x:f>
        <x:v>-0.6706365343622641</x:v>
      </x:c>
      <x:c r="I886" s="19" t="n">
        <x:f>IF(ISNUMBER(H886),ABS(H886),"n.a.")</x:f>
        <x:v>0.6706365343622641</x:v>
      </x:c>
      <x:c r="J886" s="2" t="str">
        <x:v>available</x:v>
      </x:c>
      <x:c r="K886" s="2" t="n">
        <x:v>1</x:v>
      </x:c>
      <x:c r="L886" s="13" t="b">
        <x:v>0</x:v>
      </x:c>
      <x:c r="M886" s="13" t="b">
        <x:v>1</x:v>
      </x:c>
      <x:c r="N886" s="2" t="str">
        <x:v>modeled_epoch_volume_with_fixed2018_height_and_predominant_use</x:v>
      </x:c>
      <x:c r="O886" s="2" t="str"/>
      <x:c r="P886" s="2" t="str">
        <x:v>built-up volume</x:v>
      </x:c>
      <x:c r="Q886" s="2" t="str">
        <x:v>m3</x:v>
      </x:c>
      <x:c r="R886" s="17" t="n">
        <x:v>3585659455.105883</x:v>
      </x:c>
      <x:c r="S886" s="17" t="n">
        <x:v>1257234675.08</x:v>
      </x:c>
      <x:c r="T886" s="18" t="n">
        <x:v>0.29616903711020093</x:v>
      </x:c>
      <x:c r="U886" s="17" t="n">
        <x:v>372353983.1399999</x:v>
      </x:c>
      <x:c r="V886" s="2" t="str">
        <x:v>Area equivalent = model2020 * source volume / TEMPO2020 volume</x:v>
      </x:c>
      <x:c r="W886" s="2" t="str">
        <x:v>qualified_paired_native_source_frame</x:v>
      </x:c>
      <x:c r="X886" s="2" t="str">
        <x:v>https://human-settlement.emergency.copernicus.eu/ghs_buV2023.php</x:v>
      </x:c>
    </x:row>
    <x:row r="887" ht="23" customHeight="1">
      <x:c r="A887" s="2" t="str">
        <x:v>ITA</x:v>
      </x:c>
      <x:c r="B887" s="2" t="str">
        <x:v>Italy (Italian Republic)</x:v>
      </x:c>
      <x:c r="C887" s="2" t="n">
        <x:v>2015</x:v>
      </x:c>
      <x:c r="D887" s="2" t="str">
        <x:v>GHSL_VOLUME</x:v>
      </x:c>
      <x:c r="E887" s="17" t="n">
        <x:v>4823889767.431577</x:v>
      </x:c>
      <x:c r="F887" s="17" t="n">
        <x:f>IF(AND(M887,ISNUMBER(R887)),IF(D887="TEMPO_PROXY",R887,IF(AND(ISNUMBER(S887),S887&gt;0,ISNUMBER(U887)),U887*R887/S887,"n.a.")),"n.a.")</x:f>
        <x:v>10997930677.504187</x:v>
      </x:c>
      <x:c r="G887" s="17" t="n">
        <x:f>IF(AND(ISNUMBER(E887),ISNUMBER(F887)),E887-F887,"n.a.")</x:f>
        <x:v>-6174040910.07261</x:v>
      </x:c>
      <x:c r="H887" s="15" t="n">
        <x:f>IF(AND(ISNUMBER(E887),ISNUMBER(F887),F887&gt;0),(E887-F887)/F887,"n.a.")</x:f>
        <x:v>-0.5613820536895505</x:v>
      </x:c>
      <x:c r="I887" s="19" t="n">
        <x:f>IF(ISNUMBER(H887),ABS(H887),"n.a.")</x:f>
        <x:v>0.5613820536895505</x:v>
      </x:c>
      <x:c r="J887" s="2" t="str">
        <x:v>available</x:v>
      </x:c>
      <x:c r="K887" s="2" t="n">
        <x:v>1</x:v>
      </x:c>
      <x:c r="L887" s="13" t="b">
        <x:v>0</x:v>
      </x:c>
      <x:c r="M887" s="13" t="b">
        <x:v>1</x:v>
      </x:c>
      <x:c r="N887" s="2" t="str">
        <x:v>modeled_epoch_volume_with_fixed2018_height_and_predominant_use</x:v>
      </x:c>
      <x:c r="O887" s="2" t="str"/>
      <x:c r="P887" s="2" t="str">
        <x:v>built-up volume</x:v>
      </x:c>
      <x:c r="Q887" s="2" t="str">
        <x:v>m3</x:v>
      </x:c>
      <x:c r="R887" s="17" t="n">
        <x:v>38717645195.827446</x:v>
      </x:c>
      <x:c r="S887" s="17" t="n">
        <x:v>17604473968.7</x:v>
      </x:c>
      <x:c r="T887" s="18" t="n">
        <x:v>0.2840547409812366</x:v>
      </x:c>
      <x:c r="U887" s="17" t="n">
        <x:v>5000634293.290002</x:v>
      </x:c>
      <x:c r="V887" s="2" t="str">
        <x:v>Area equivalent = model2020 * source volume / TEMPO2020 volume</x:v>
      </x:c>
      <x:c r="W887" s="2" t="str">
        <x:v>qualified_paired_native_source_frame</x:v>
      </x:c>
      <x:c r="X887" s="2" t="str">
        <x:v>https://human-settlement.emergency.copernicus.eu/ghs_buV2023.php</x:v>
      </x:c>
    </x:row>
    <x:row r="888" ht="23" customHeight="1">
      <x:c r="A888" s="2" t="str">
        <x:v>JAM</x:v>
      </x:c>
      <x:c r="B888" s="2" t="str">
        <x:v>Jamaica</x:v>
      </x:c>
      <x:c r="C888" s="2" t="n">
        <x:v>2015</x:v>
      </x:c>
      <x:c r="D888" s="2" t="str">
        <x:v>GHSL_VOLUME</x:v>
      </x:c>
      <x:c r="E888" s="17" t="n">
        <x:v>118767913.59415096</x:v>
      </x:c>
      <x:c r="F888" s="17" t="n">
        <x:f>IF(AND(M888,ISNUMBER(R888)),IF(D888="TEMPO_PROXY",R888,IF(AND(ISNUMBER(S888),S888&gt;0,ISNUMBER(U888)),U888*R888/S888,"n.a.")),"n.a.")</x:f>
        <x:v>399500194.5830344</x:v>
      </x:c>
      <x:c r="G888" s="17" t="n">
        <x:f>IF(AND(ISNUMBER(E888),ISNUMBER(F888)),E888-F888,"n.a.")</x:f>
        <x:v>-280732280.98888344</x:v>
      </x:c>
      <x:c r="H888" s="15" t="n">
        <x:f>IF(AND(ISNUMBER(E888),ISNUMBER(F888),F888&gt;0),(E888-F888)/F888,"n.a.")</x:f>
        <x:v>-0.7027087465674173</x:v>
      </x:c>
      <x:c r="I888" s="19" t="n">
        <x:f>IF(ISNUMBER(H888),ABS(H888),"n.a.")</x:f>
        <x:v>0.7027087465674173</x:v>
      </x:c>
      <x:c r="J888" s="2" t="str">
        <x:v>available</x:v>
      </x:c>
      <x:c r="K888" s="2" t="n">
        <x:v>1</x:v>
      </x:c>
      <x:c r="L888" s="13" t="b">
        <x:v>0</x:v>
      </x:c>
      <x:c r="M888" s="13" t="b">
        <x:v>1</x:v>
      </x:c>
      <x:c r="N888" s="2" t="str">
        <x:v>modeled_epoch_volume_with_fixed2018_height_and_predominant_use</x:v>
      </x:c>
      <x:c r="O888" s="2" t="str"/>
      <x:c r="P888" s="2" t="str">
        <x:v>built-up volume</x:v>
      </x:c>
      <x:c r="Q888" s="2" t="str">
        <x:v>m3</x:v>
      </x:c>
      <x:c r="R888" s="17" t="n">
        <x:v>929958765.5607843</x:v>
      </x:c>
      <x:c r="S888" s="17" t="n">
        <x:v>310385505.64</x:v>
      </x:c>
      <x:c r="T888" s="18" t="n">
        <x:v>0.4295891488717003</x:v>
      </x:c>
      <x:c r="U888" s="17" t="n">
        <x:v>133338245.18999992</x:v>
      </x:c>
      <x:c r="V888" s="2" t="str">
        <x:v>Area equivalent = model2020 * source volume / TEMPO2020 volume</x:v>
      </x:c>
      <x:c r="W888" s="2" t="str">
        <x:v>qualified_paired_native_source_frame</x:v>
      </x:c>
      <x:c r="X888" s="2" t="str">
        <x:v>https://human-settlement.emergency.copernicus.eu/ghs_buV2023.php</x:v>
      </x:c>
    </x:row>
    <x:row r="889" ht="23" customHeight="1">
      <x:c r="A889" s="2" t="str">
        <x:v>JOR</x:v>
      </x:c>
      <x:c r="B889" s="2" t="str">
        <x:v>Jordan (Hashemite Kingdom of)</x:v>
      </x:c>
      <x:c r="C889" s="2" t="n">
        <x:v>2015</x:v>
      </x:c>
      <x:c r="D889" s="2" t="str">
        <x:v>GHSL_VOLUME</x:v>
      </x:c>
      <x:c r="E889" s="17" t="n">
        <x:v>256921049.6360146</x:v>
      </x:c>
      <x:c r="F889" s="17" t="n">
        <x:f>IF(AND(M889,ISNUMBER(R889)),IF(D889="TEMPO_PROXY",R889,IF(AND(ISNUMBER(S889),S889&gt;0,ISNUMBER(U889)),U889*R889/S889,"n.a.")),"n.a.")</x:f>
        <x:v>809143887.4332659</x:v>
      </x:c>
      <x:c r="G889" s="17" t="n">
        <x:f>IF(AND(ISNUMBER(E889),ISNUMBER(F889)),E889-F889,"n.a.")</x:f>
        <x:v>-552222837.7972513</x:v>
      </x:c>
      <x:c r="H889" s="15" t="n">
        <x:f>IF(AND(ISNUMBER(E889),ISNUMBER(F889),F889&gt;0),(E889-F889)/F889,"n.a.")</x:f>
        <x:v>-0.6824779206439916</x:v>
      </x:c>
      <x:c r="I889" s="19" t="n">
        <x:f>IF(ISNUMBER(H889),ABS(H889),"n.a.")</x:f>
        <x:v>0.6824779206439916</x:v>
      </x:c>
      <x:c r="J889" s="2" t="str">
        <x:v>available</x:v>
      </x:c>
      <x:c r="K889" s="2" t="n">
        <x:v>1</x:v>
      </x:c>
      <x:c r="L889" s="13" t="b">
        <x:v>0</x:v>
      </x:c>
      <x:c r="M889" s="13" t="b">
        <x:v>1</x:v>
      </x:c>
      <x:c r="N889" s="2" t="str">
        <x:v>modeled_epoch_volume_with_fixed2018_height_and_predominant_use</x:v>
      </x:c>
      <x:c r="O889" s="2" t="str"/>
      <x:c r="P889" s="2" t="str">
        <x:v>built-up volume</x:v>
      </x:c>
      <x:c r="Q889" s="2" t="str">
        <x:v>m3</x:v>
      </x:c>
      <x:c r="R889" s="17" t="n">
        <x:v>2377075172.7529407</x:v>
      </x:c>
      <x:c r="S889" s="17" t="n">
        <x:v>820143957.85</x:v>
      </x:c>
      <x:c r="T889" s="18" t="n">
        <x:v>0.34039474085970084</x:v>
      </x:c>
      <x:c r="U889" s="17" t="n">
        <x:v>279172690.0000002</x:v>
      </x:c>
      <x:c r="V889" s="2" t="str">
        <x:v>Area equivalent = model2020 * source volume / TEMPO2020 volume</x:v>
      </x:c>
      <x:c r="W889" s="2" t="str">
        <x:v>qualified_paired_native_source_frame</x:v>
      </x:c>
      <x:c r="X889" s="2" t="str">
        <x:v>https://human-settlement.emergency.copernicus.eu/ghs_buV2023.php</x:v>
      </x:c>
    </x:row>
    <x:row r="890" ht="23" customHeight="1">
      <x:c r="A890" s="2" t="str">
        <x:v>JPN</x:v>
      </x:c>
      <x:c r="B890" s="2" t="str">
        <x:v>Japan</x:v>
      </x:c>
      <x:c r="C890" s="2" t="n">
        <x:v>2015</x:v>
      </x:c>
      <x:c r="D890" s="2" t="str">
        <x:v>GHSL_VOLUME</x:v>
      </x:c>
      <x:c r="E890" s="17" t="n">
        <x:v>8023790686.244393</x:v>
      </x:c>
      <x:c r="F890" s="17" t="n">
        <x:f>IF(AND(M890,ISNUMBER(R890)),IF(D890="TEMPO_PROXY",R890,IF(AND(ISNUMBER(S890),S890&gt;0,ISNUMBER(U890)),U890*R890/S890,"n.a.")),"n.a.")</x:f>
        <x:v>31115078705.126183</x:v>
      </x:c>
      <x:c r="G890" s="17" t="n">
        <x:f>IF(AND(ISNUMBER(E890),ISNUMBER(F890)),E890-F890,"n.a.")</x:f>
        <x:v>-23091288018.88179</x:v>
      </x:c>
      <x:c r="H890" s="15" t="n">
        <x:f>IF(AND(ISNUMBER(E890),ISNUMBER(F890),F890&gt;0),(E890-F890)/F890,"n.a.")</x:f>
        <x:v>-0.7421253289350517</x:v>
      </x:c>
      <x:c r="I890" s="19" t="n">
        <x:f>IF(ISNUMBER(H890),ABS(H890),"n.a.")</x:f>
        <x:v>0.7421253289350517</x:v>
      </x:c>
      <x:c r="J890" s="2" t="str">
        <x:v>available</x:v>
      </x:c>
      <x:c r="K890" s="2" t="n">
        <x:v>1</x:v>
      </x:c>
      <x:c r="L890" s="13" t="b">
        <x:v>0</x:v>
      </x:c>
      <x:c r="M890" s="13" t="b">
        <x:v>1</x:v>
      </x:c>
      <x:c r="N890" s="2" t="str">
        <x:v>modeled_epoch_volume_with_fixed2018_height_and_predominant_use</x:v>
      </x:c>
      <x:c r="O890" s="2" t="str"/>
      <x:c r="P890" s="2" t="str">
        <x:v>built-up volume</x:v>
      </x:c>
      <x:c r="Q890" s="2" t="str">
        <x:v>m3</x:v>
      </x:c>
      <x:c r="R890" s="17" t="n">
        <x:v>104239214241.68234</x:v>
      </x:c>
      <x:c r="S890" s="17" t="n">
        <x:v>27944106649.18</x:v>
      </x:c>
      <x:c r="T890" s="18" t="n">
        <x:v>0.2984968654213448</x:v>
      </x:c>
      <x:c r="U890" s="17" t="n">
        <x:v>8341228241.779989</x:v>
      </x:c>
      <x:c r="V890" s="2" t="str">
        <x:v>Area equivalent = model2020 * source volume / TEMPO2020 volume</x:v>
      </x:c>
      <x:c r="W890" s="2" t="str">
        <x:v>qualified_paired_native_source_frame</x:v>
      </x:c>
      <x:c r="X890" s="2" t="str">
        <x:v>https://human-settlement.emergency.copernicus.eu/ghs_buV2023.php</x:v>
      </x:c>
    </x:row>
    <x:row r="891" ht="23" customHeight="1">
      <x:c r="A891" s="2" t="str">
        <x:v>KAZ</x:v>
      </x:c>
      <x:c r="B891" s="2" t="str">
        <x:v>Kazakhstan (Republic of)</x:v>
      </x:c>
      <x:c r="C891" s="2" t="n">
        <x:v>2015</x:v>
      </x:c>
      <x:c r="D891" s="2" t="str">
        <x:v>GHSL_VOLUME</x:v>
      </x:c>
      <x:c r="E891" s="17" t="n">
        <x:v>937035930.5887325</x:v>
      </x:c>
      <x:c r="F891" s="17" t="n">
        <x:f>IF(AND(M891,ISNUMBER(R891)),IF(D891="TEMPO_PROXY",R891,IF(AND(ISNUMBER(S891),S891&gt;0,ISNUMBER(U891)),U891*R891/S891,"n.a.")),"n.a.")</x:f>
        <x:v>3938715959.020529</x:v>
      </x:c>
      <x:c r="G891" s="17" t="n">
        <x:f>IF(AND(ISNUMBER(E891),ISNUMBER(F891)),E891-F891,"n.a.")</x:f>
        <x:v>-3001680028.431796</x:v>
      </x:c>
      <x:c r="H891" s="15" t="n">
        <x:f>IF(AND(ISNUMBER(E891),ISNUMBER(F891),F891&gt;0),(E891-F891)/F891,"n.a.")</x:f>
        <x:v>-0.7620960890965712</x:v>
      </x:c>
      <x:c r="I891" s="19" t="n">
        <x:f>IF(ISNUMBER(H891),ABS(H891),"n.a.")</x:f>
        <x:v>0.7620960890965712</x:v>
      </x:c>
      <x:c r="J891" s="2" t="str">
        <x:v>available</x:v>
      </x:c>
      <x:c r="K891" s="2" t="n">
        <x:v>1</x:v>
      </x:c>
      <x:c r="L891" s="13" t="b">
        <x:v>0</x:v>
      </x:c>
      <x:c r="M891" s="13" t="b">
        <x:v>1</x:v>
      </x:c>
      <x:c r="N891" s="2" t="str">
        <x:v>modeled_epoch_volume_with_fixed2018_height_and_predominant_use</x:v>
      </x:c>
      <x:c r="O891" s="2" t="str"/>
      <x:c r="P891" s="2" t="str">
        <x:v>built-up volume</x:v>
      </x:c>
      <x:c r="Q891" s="2" t="str">
        <x:v>m3</x:v>
      </x:c>
      <x:c r="R891" s="17" t="n">
        <x:v>11490456917.898039</x:v>
      </x:c>
      <x:c r="S891" s="17" t="n">
        <x:v>2943667375.07</x:v>
      </x:c>
      <x:c r="T891" s="18" t="n">
        <x:v>0.34278149138572656</x:v>
      </x:c>
      <x:c r="U891" s="17" t="n">
        <x:v>1009034692.9700016</x:v>
      </x:c>
      <x:c r="V891" s="2" t="str">
        <x:v>Area equivalent = model2020 * source volume / TEMPO2020 volume</x:v>
      </x:c>
      <x:c r="W891" s="2" t="str">
        <x:v>qualified_paired_native_source_frame</x:v>
      </x:c>
      <x:c r="X891" s="2" t="str">
        <x:v>https://human-settlement.emergency.copernicus.eu/ghs_buV2023.php</x:v>
      </x:c>
    </x:row>
    <x:row r="892" ht="23" customHeight="1">
      <x:c r="A892" s="2" t="str">
        <x:v>KEN</x:v>
      </x:c>
      <x:c r="B892" s="2" t="str">
        <x:v>Kenya (Republic of)</x:v>
      </x:c>
      <x:c r="C892" s="2" t="n">
        <x:v>2015</x:v>
      </x:c>
      <x:c r="D892" s="2" t="str">
        <x:v>GHSL_VOLUME</x:v>
      </x:c>
      <x:c r="E892" s="17" t="n">
        <x:v>795387215.5234706</x:v>
      </x:c>
      <x:c r="F892" s="17" t="n">
        <x:f>IF(AND(M892,ISNUMBER(R892)),IF(D892="TEMPO_PROXY",R892,IF(AND(ISNUMBER(S892),S892&gt;0,ISNUMBER(U892)),U892*R892/S892,"n.a.")),"n.a.")</x:f>
        <x:v>3583901638.459774</x:v>
      </x:c>
      <x:c r="G892" s="17" t="n">
        <x:f>IF(AND(ISNUMBER(E892),ISNUMBER(F892)),E892-F892,"n.a.")</x:f>
        <x:v>-2788514422.936303</x:v>
      </x:c>
      <x:c r="H892" s="15" t="n">
        <x:f>IF(AND(ISNUMBER(E892),ISNUMBER(F892),F892&gt;0),(E892-F892)/F892,"n.a.")</x:f>
        <x:v>-0.7780666726486114</x:v>
      </x:c>
      <x:c r="I892" s="19" t="n">
        <x:f>IF(ISNUMBER(H892),ABS(H892),"n.a.")</x:f>
        <x:v>0.7780666726486114</x:v>
      </x:c>
      <x:c r="J892" s="2" t="str">
        <x:v>available</x:v>
      </x:c>
      <x:c r="K892" s="2" t="n">
        <x:v>1</x:v>
      </x:c>
      <x:c r="L892" s="13" t="b">
        <x:v>0</x:v>
      </x:c>
      <x:c r="M892" s="13" t="b">
        <x:v>1</x:v>
      </x:c>
      <x:c r="N892" s="2" t="str">
        <x:v>modeled_epoch_volume_with_fixed2018_height_and_predominant_use</x:v>
      </x:c>
      <x:c r="O892" s="2" t="str"/>
      <x:c r="P892" s="2" t="str">
        <x:v>built-up volume</x:v>
      </x:c>
      <x:c r="Q892" s="2" t="str">
        <x:v>m3</x:v>
      </x:c>
      <x:c r="R892" s="17" t="n">
        <x:v>7472493032.533334</x:v>
      </x:c>
      <x:c r="S892" s="17" t="n">
        <x:v>2460424318.71</x:v>
      </x:c>
      <x:c r="T892" s="18" t="n">
        <x:v>0.47961257680085856</x:v>
      </x:c>
      <x:c r="U892" s="17" t="n">
        <x:v>1180050447.52</x:v>
      </x:c>
      <x:c r="V892" s="2" t="str">
        <x:v>Area equivalent = model2020 * source volume / TEMPO2020 volume</x:v>
      </x:c>
      <x:c r="W892" s="2" t="str">
        <x:v>qualified_paired_native_source_frame</x:v>
      </x:c>
      <x:c r="X892" s="2" t="str">
        <x:v>https://human-settlement.emergency.copernicus.eu/ghs_buV2023.php</x:v>
      </x:c>
    </x:row>
    <x:row r="893" ht="23" customHeight="1">
      <x:c r="A893" s="2" t="str">
        <x:v>KGZ</x:v>
      </x:c>
      <x:c r="B893" s="2" t="str">
        <x:v>Kyrgyzstan (Kyrgyz Republic)</x:v>
      </x:c>
      <x:c r="C893" s="2" t="n">
        <x:v>2015</x:v>
      </x:c>
      <x:c r="D893" s="2" t="str">
        <x:v>GHSL_VOLUME</x:v>
      </x:c>
      <x:c r="E893" s="17" t="n">
        <x:v>303607959.0383275</x:v>
      </x:c>
      <x:c r="F893" s="17" t="n">
        <x:f>IF(AND(M893,ISNUMBER(R893)),IF(D893="TEMPO_PROXY",R893,IF(AND(ISNUMBER(S893),S893&gt;0,ISNUMBER(U893)),U893*R893/S893,"n.a.")),"n.a.")</x:f>
        <x:v>1231489699.013802</x:v>
      </x:c>
      <x:c r="G893" s="17" t="n">
        <x:f>IF(AND(ISNUMBER(E893),ISNUMBER(F893)),E893-F893,"n.a.")</x:f>
        <x:v>-927881739.9754746</x:v>
      </x:c>
      <x:c r="H893" s="15" t="n">
        <x:f>IF(AND(ISNUMBER(E893),ISNUMBER(F893),F893&gt;0),(E893-F893)/F893,"n.a.")</x:f>
        <x:v>-0.7534628513080849</x:v>
      </x:c>
      <x:c r="I893" s="19" t="n">
        <x:f>IF(ISNUMBER(H893),ABS(H893),"n.a.")</x:f>
        <x:v>0.7534628513080849</x:v>
      </x:c>
      <x:c r="J893" s="2" t="str">
        <x:v>available</x:v>
      </x:c>
      <x:c r="K893" s="2" t="n">
        <x:v>1</x:v>
      </x:c>
      <x:c r="L893" s="13" t="b">
        <x:v>0</x:v>
      </x:c>
      <x:c r="M893" s="13" t="b">
        <x:v>1</x:v>
      </x:c>
      <x:c r="N893" s="2" t="str">
        <x:v>modeled_epoch_volume_with_fixed2018_height_and_predominant_use</x:v>
      </x:c>
      <x:c r="O893" s="2" t="str"/>
      <x:c r="P893" s="2" t="str">
        <x:v>built-up volume</x:v>
      </x:c>
      <x:c r="Q893" s="2" t="str">
        <x:v>m3</x:v>
      </x:c>
      <x:c r="R893" s="17" t="n">
        <x:v>3062491729.5529404</x:v>
      </x:c>
      <x:c r="S893" s="17" t="n">
        <x:v>826212058.11</x:v>
      </x:c>
      <x:c r="T893" s="18" t="n">
        <x:v>0.4021201713395562</x:v>
      </x:c>
      <x:c r="U893" s="17" t="n">
        <x:v>332236534.37000054</x:v>
      </x:c>
      <x:c r="V893" s="2" t="str">
        <x:v>Area equivalent = model2020 * source volume / TEMPO2020 volume</x:v>
      </x:c>
      <x:c r="W893" s="2" t="str">
        <x:v>qualified_paired_native_source_frame</x:v>
      </x:c>
      <x:c r="X893" s="2" t="str">
        <x:v>https://human-settlement.emergency.copernicus.eu/ghs_buV2023.php</x:v>
      </x:c>
    </x:row>
    <x:row r="894" ht="23" customHeight="1">
      <x:c r="A894" s="2" t="str">
        <x:v>KHM</x:v>
      </x:c>
      <x:c r="B894" s="2" t="str">
        <x:v>Cambodia (Kingdom of)</x:v>
      </x:c>
      <x:c r="C894" s="2" t="n">
        <x:v>2015</x:v>
      </x:c>
      <x:c r="D894" s="2" t="str">
        <x:v>GHSL_VOLUME</x:v>
      </x:c>
      <x:c r="E894" s="17" t="n">
        <x:v>598581339.8071607</x:v>
      </x:c>
      <x:c r="F894" s="17" t="n">
        <x:f>IF(AND(M894,ISNUMBER(R894)),IF(D894="TEMPO_PROXY",R894,IF(AND(ISNUMBER(S894),S894&gt;0,ISNUMBER(U894)),U894*R894/S894,"n.a.")),"n.a.")</x:f>
        <x:v>986157736.282284</x:v>
      </x:c>
      <x:c r="G894" s="17" t="n">
        <x:f>IF(AND(ISNUMBER(E894),ISNUMBER(F894)),E894-F894,"n.a.")</x:f>
        <x:v>-387576396.4751233</x:v>
      </x:c>
      <x:c r="H894" s="15" t="n">
        <x:f>IF(AND(ISNUMBER(E894),ISNUMBER(F894),F894&gt;0),(E894-F894)/F894,"n.a.")</x:f>
        <x:v>-0.3930166364016445</x:v>
      </x:c>
      <x:c r="I894" s="19" t="n">
        <x:f>IF(ISNUMBER(H894),ABS(H894),"n.a.")</x:f>
        <x:v>0.3930166364016445</x:v>
      </x:c>
      <x:c r="J894" s="2" t="str">
        <x:v>available</x:v>
      </x:c>
      <x:c r="K894" s="2" t="n">
        <x:v>1</x:v>
      </x:c>
      <x:c r="L894" s="13" t="b">
        <x:v>0</x:v>
      </x:c>
      <x:c r="M894" s="13" t="b">
        <x:v>1</x:v>
      </x:c>
      <x:c r="N894" s="2" t="str">
        <x:v>modeled_epoch_volume_with_fixed2018_height_and_predominant_use</x:v>
      </x:c>
      <x:c r="O894" s="2" t="str"/>
      <x:c r="P894" s="2" t="str">
        <x:v>built-up volume</x:v>
      </x:c>
      <x:c r="Q894" s="2" t="str">
        <x:v>m3</x:v>
      </x:c>
      <x:c r="R894" s="17" t="n">
        <x:v>2631745587.9882345</x:v>
      </x:c>
      <x:c r="S894" s="17" t="n">
        <x:v>1795847634.11</x:v>
      </x:c>
      <x:c r="T894" s="18" t="n">
        <x:v>0.37471621146940925</x:v>
      </x:c>
      <x:c r="U894" s="17" t="n">
        <x:v>672933221.830001</x:v>
      </x:c>
      <x:c r="V894" s="2" t="str">
        <x:v>Area equivalent = model2020 * source volume / TEMPO2020 volume</x:v>
      </x:c>
      <x:c r="W894" s="2" t="str">
        <x:v>qualified_paired_native_source_frame</x:v>
      </x:c>
      <x:c r="X894" s="2" t="str">
        <x:v>https://human-settlement.emergency.copernicus.eu/ghs_buV2023.php</x:v>
      </x:c>
    </x:row>
    <x:row r="895" ht="23" customHeight="1">
      <x:c r="A895" s="2" t="str">
        <x:v>KIR</x:v>
      </x:c>
      <x:c r="B895" s="2" t="str">
        <x:v>Kiribati (Republic of)</x:v>
      </x:c>
      <x:c r="C895" s="2" t="n">
        <x:v>2015</x:v>
      </x:c>
      <x:c r="D895" s="2" t="str">
        <x:v>GHSL_VOLUME</x:v>
      </x:c>
      <x:c r="E895" s="17" t="n">
        <x:v>1691624.8246794736</x:v>
      </x:c>
      <x:c r="F895" s="17" t="n">
        <x:f>IF(AND(M895,ISNUMBER(R895)),IF(D895="TEMPO_PROXY",R895,IF(AND(ISNUMBER(S895),S895&gt;0,ISNUMBER(U895)),U895*R895/S895,"n.a.")),"n.a.")</x:f>
        <x:v>771146.1318511771</x:v>
      </x:c>
      <x:c r="G895" s="17" t="n">
        <x:f>IF(AND(ISNUMBER(E895),ISNUMBER(F895)),E895-F895,"n.a.")</x:f>
        <x:v>920478.6928282966</x:v>
      </x:c>
      <x:c r="H895" s="15" t="n">
        <x:f>IF(AND(ISNUMBER(E895),ISNUMBER(F895),F895&gt;0),(E895-F895)/F895,"n.a.")</x:f>
        <x:v>1.1936501459439843</x:v>
      </x:c>
      <x:c r="I895" s="19" t="n">
        <x:f>IF(ISNUMBER(H895),ABS(H895),"n.a.")</x:f>
        <x:v>1.1936501459439843</x:v>
      </x:c>
      <x:c r="J895" s="2" t="str">
        <x:v>available</x:v>
      </x:c>
      <x:c r="K895" s="2" t="n">
        <x:v>1</x:v>
      </x:c>
      <x:c r="L895" s="13" t="b">
        <x:v>0</x:v>
      </x:c>
      <x:c r="M895" s="13" t="b">
        <x:v>1</x:v>
      </x:c>
      <x:c r="N895" s="2" t="str">
        <x:v>modeled_epoch_volume_with_fixed2018_height_and_predominant_use</x:v>
      </x:c>
      <x:c r="O895" s="2" t="str"/>
      <x:c r="P895" s="2" t="str">
        <x:v>built-up volume</x:v>
      </x:c>
      <x:c r="Q895" s="2" t="str">
        <x:v>m3</x:v>
      </x:c>
      <x:c r="R895" s="17" t="n">
        <x:v>1951371.2745098036</x:v>
      </x:c>
      <x:c r="S895" s="17" t="n">
        <x:v>4356830.95</x:v>
      </x:c>
      <x:c r="T895" s="18" t="n">
        <x:v>0.39518165606127087</x:v>
      </x:c>
      <x:c r="U895" s="17" t="n">
        <x:v>1721739.6700000002</x:v>
      </x:c>
      <x:c r="V895" s="2" t="str">
        <x:v>Area equivalent = model2020 * source volume / TEMPO2020 volume</x:v>
      </x:c>
      <x:c r="W895" s="2" t="str">
        <x:v>qualified_paired_native_source_frame</x:v>
      </x:c>
      <x:c r="X895" s="2" t="str">
        <x:v>https://human-settlement.emergency.copernicus.eu/ghs_buV2023.php</x:v>
      </x:c>
    </x:row>
    <x:row r="896" ht="23" customHeight="1">
      <x:c r="A896" s="2" t="str">
        <x:v>KNA</x:v>
      </x:c>
      <x:c r="B896" s="2" t="str">
        <x:v>Saint Kitts and Nevis (Federation of)</x:v>
      </x:c>
      <x:c r="C896" s="2" t="n">
        <x:v>2015</x:v>
      </x:c>
      <x:c r="D896" s="2" t="str">
        <x:v>GHSL_VOLUME</x:v>
      </x:c>
      <x:c r="E896" s="17" t="n">
        <x:v>4061235.1620539096</x:v>
      </x:c>
      <x:c r="F896" s="17" t="n">
        <x:f>IF(AND(M896,ISNUMBER(R896)),IF(D896="TEMPO_PROXY",R896,IF(AND(ISNUMBER(S896),S896&gt;0,ISNUMBER(U896)),U896*R896/S896,"n.a.")),"n.a.")</x:f>
        <x:v>12116138.466236982</x:v>
      </x:c>
      <x:c r="G896" s="17" t="n">
        <x:f>IF(AND(ISNUMBER(E896),ISNUMBER(F896)),E896-F896,"n.a.")</x:f>
        <x:v>-8054903.304183073</x:v>
      </x:c>
      <x:c r="H896" s="15" t="n">
        <x:f>IF(AND(ISNUMBER(E896),ISNUMBER(F896),F896&gt;0),(E896-F896)/F896,"n.a.")</x:f>
        <x:v>-0.6648077955388997</x:v>
      </x:c>
      <x:c r="I896" s="19" t="n">
        <x:f>IF(ISNUMBER(H896),ABS(H896),"n.a.")</x:f>
        <x:v>0.6648077955388997</x:v>
      </x:c>
      <x:c r="J896" s="2" t="str">
        <x:v>available</x:v>
      </x:c>
      <x:c r="K896" s="2" t="n">
        <x:v>1</x:v>
      </x:c>
      <x:c r="L896" s="13" t="b">
        <x:v>0</x:v>
      </x:c>
      <x:c r="M896" s="13" t="b">
        <x:v>1</x:v>
      </x:c>
      <x:c r="N896" s="2" t="str">
        <x:v>modeled_epoch_volume_with_fixed2018_height_and_predominant_use</x:v>
      </x:c>
      <x:c r="O896" s="2" t="str"/>
      <x:c r="P896" s="2" t="str">
        <x:v>built-up volume</x:v>
      </x:c>
      <x:c r="Q896" s="2" t="str">
        <x:v>m3</x:v>
      </x:c>
      <x:c r="R896" s="17" t="n">
        <x:v>28242561.094117656</x:v>
      </x:c>
      <x:c r="S896" s="17" t="n">
        <x:v>10545293.66</x:v>
      </x:c>
      <x:c r="T896" s="18" t="n">
        <x:v>0.4290028239953254</x:v>
      </x:c>
      <x:c r="U896" s="17" t="n">
        <x:v>4523960.760000001</x:v>
      </x:c>
      <x:c r="V896" s="2" t="str">
        <x:v>Area equivalent = model2020 * source volume / TEMPO2020 volume</x:v>
      </x:c>
      <x:c r="W896" s="2" t="str">
        <x:v>qualified_paired_native_source_frame</x:v>
      </x:c>
      <x:c r="X896" s="2" t="str">
        <x:v>https://human-settlement.emergency.copernicus.eu/ghs_buV2023.php</x:v>
      </x:c>
    </x:row>
    <x:row r="897" ht="23" customHeight="1">
      <x:c r="A897" s="2" t="str">
        <x:v>KOR</x:v>
      </x:c>
      <x:c r="B897" s="2" t="str">
        <x:v>Korea (Republic of)</x:v>
      </x:c>
      <x:c r="C897" s="2" t="n">
        <x:v>2015</x:v>
      </x:c>
      <x:c r="D897" s="2" t="str">
        <x:v>GHSL_VOLUME</x:v>
      </x:c>
      <x:c r="E897" s="17" t="n">
        <x:v>2658803650.6668043</x:v>
      </x:c>
      <x:c r="F897" s="17" t="n">
        <x:f>IF(AND(M897,ISNUMBER(R897)),IF(D897="TEMPO_PROXY",R897,IF(AND(ISNUMBER(S897),S897&gt;0,ISNUMBER(U897)),U897*R897/S897,"n.a.")),"n.a.")</x:f>
        <x:v>7807500675.0256</x:v>
      </x:c>
      <x:c r="G897" s="17" t="n">
        <x:f>IF(AND(ISNUMBER(E897),ISNUMBER(F897)),E897-F897,"n.a.")</x:f>
        <x:v>-5148697024.358796</x:v>
      </x:c>
      <x:c r="H897" s="15" t="n">
        <x:f>IF(AND(ISNUMBER(E897),ISNUMBER(F897),F897&gt;0),(E897-F897)/F897,"n.a.")</x:f>
        <x:v>-0.6594552134754588</x:v>
      </x:c>
      <x:c r="I897" s="19" t="n">
        <x:f>IF(ISNUMBER(H897),ABS(H897),"n.a.")</x:f>
        <x:v>0.6594552134754588</x:v>
      </x:c>
      <x:c r="J897" s="2" t="str">
        <x:v>available</x:v>
      </x:c>
      <x:c r="K897" s="2" t="n">
        <x:v>1</x:v>
      </x:c>
      <x:c r="L897" s="13" t="b">
        <x:v>0</x:v>
      </x:c>
      <x:c r="M897" s="13" t="b">
        <x:v>1</x:v>
      </x:c>
      <x:c r="N897" s="2" t="str">
        <x:v>modeled_epoch_volume_with_fixed2018_height_and_predominant_use</x:v>
      </x:c>
      <x:c r="O897" s="2" t="str"/>
      <x:c r="P897" s="2" t="str">
        <x:v>built-up volume</x:v>
      </x:c>
      <x:c r="Q897" s="2" t="str">
        <x:v>m3</x:v>
      </x:c>
      <x:c r="R897" s="17" t="n">
        <x:v>28364481162.643127</x:v>
      </x:c>
      <x:c r="S897" s="17" t="n">
        <x:v>10708925714</x:v>
      </x:c>
      <x:c r="T897" s="18" t="n">
        <x:v>0.27525624848404817</x:v>
      </x:c>
      <x:c r="U897" s="17" t="n">
        <x:v>2947698717.329997</x:v>
      </x:c>
      <x:c r="V897" s="2" t="str">
        <x:v>Area equivalent = model2020 * source volume / TEMPO2020 volume</x:v>
      </x:c>
      <x:c r="W897" s="2" t="str">
        <x:v>qualified_paired_native_source_frame</x:v>
      </x:c>
      <x:c r="X897" s="2" t="str">
        <x:v>https://human-settlement.emergency.copernicus.eu/ghs_buV2023.php</x:v>
      </x:c>
    </x:row>
    <x:row r="898" ht="23" customHeight="1">
      <x:c r="A898" s="2" t="str">
        <x:v>KWT</x:v>
      </x:c>
      <x:c r="B898" s="2" t="str">
        <x:v>Kuwait (State of)</x:v>
      </x:c>
      <x:c r="C898" s="2" t="n">
        <x:v>2015</x:v>
      </x:c>
      <x:c r="D898" s="2" t="str">
        <x:v>GHSL_VOLUME</x:v>
      </x:c>
      <x:c r="E898" s="17" t="n">
        <x:v>137379674.9540703</x:v>
      </x:c>
      <x:c r="F898" s="17" t="n">
        <x:f>IF(AND(M898,ISNUMBER(R898)),IF(D898="TEMPO_PROXY",R898,IF(AND(ISNUMBER(S898),S898&gt;0,ISNUMBER(U898)),U898*R898/S898,"n.a.")),"n.a.")</x:f>
        <x:v>583947635.3648117</x:v>
      </x:c>
      <x:c r="G898" s="17" t="n">
        <x:f>IF(AND(ISNUMBER(E898),ISNUMBER(F898)),E898-F898,"n.a.")</x:f>
        <x:v>-446567960.4107413</x:v>
      </x:c>
      <x:c r="H898" s="15" t="n">
        <x:f>IF(AND(ISNUMBER(E898),ISNUMBER(F898),F898&gt;0),(E898-F898)/F898,"n.a.")</x:f>
        <x:v>-0.7647397358356548</x:v>
      </x:c>
      <x:c r="I898" s="19" t="n">
        <x:f>IF(ISNUMBER(H898),ABS(H898),"n.a.")</x:f>
        <x:v>0.7647397358356548</x:v>
      </x:c>
      <x:c r="J898" s="2" t="str">
        <x:v>available</x:v>
      </x:c>
      <x:c r="K898" s="2" t="n">
        <x:v>1</x:v>
      </x:c>
      <x:c r="L898" s="13" t="b">
        <x:v>0</x:v>
      </x:c>
      <x:c r="M898" s="13" t="b">
        <x:v>1</x:v>
      </x:c>
      <x:c r="N898" s="2" t="str">
        <x:v>modeled_epoch_volume_with_fixed2018_height_and_predominant_use</x:v>
      </x:c>
      <x:c r="O898" s="2" t="str"/>
      <x:c r="P898" s="2" t="str">
        <x:v>built-up volume</x:v>
      </x:c>
      <x:c r="Q898" s="2" t="str">
        <x:v>m3</x:v>
      </x:c>
      <x:c r="R898" s="17" t="n">
        <x:v>2033337782.5960786</x:v>
      </x:c>
      <x:c r="S898" s="17" t="n">
        <x:v>541789120.14</x:v>
      </x:c>
      <x:c r="T898" s="18" t="n">
        <x:v>0.2871867332437271</x:v>
      </x:c>
      <x:c r="U898" s="17" t="n">
        <x:v>155594647.5199998</x:v>
      </x:c>
      <x:c r="V898" s="2" t="str">
        <x:v>Area equivalent = model2020 * source volume / TEMPO2020 volume</x:v>
      </x:c>
      <x:c r="W898" s="2" t="str">
        <x:v>qualified_paired_native_source_frame</x:v>
      </x:c>
      <x:c r="X898" s="2" t="str">
        <x:v>https://human-settlement.emergency.copernicus.eu/ghs_buV2023.php</x:v>
      </x:c>
    </x:row>
    <x:row r="899" ht="23" customHeight="1">
      <x:c r="A899" s="2" t="str">
        <x:v>LAO</x:v>
      </x:c>
      <x:c r="B899" s="2" t="str">
        <x:v>Lao People's Democratic Republic</x:v>
      </x:c>
      <x:c r="C899" s="2" t="n">
        <x:v>2015</x:v>
      </x:c>
      <x:c r="D899" s="2" t="str">
        <x:v>GHSL_VOLUME</x:v>
      </x:c>
      <x:c r="E899" s="17" t="n">
        <x:v>290579669.68239933</x:v>
      </x:c>
      <x:c r="F899" s="17" t="n">
        <x:f>IF(AND(M899,ISNUMBER(R899)),IF(D899="TEMPO_PROXY",R899,IF(AND(ISNUMBER(S899),S899&gt;0,ISNUMBER(U899)),U899*R899/S899,"n.a.")),"n.a.")</x:f>
        <x:v>434909975.8974477</x:v>
      </x:c>
      <x:c r="G899" s="17" t="n">
        <x:f>IF(AND(ISNUMBER(E899),ISNUMBER(F899)),E899-F899,"n.a.")</x:f>
        <x:v>-144330306.21504837</x:v>
      </x:c>
      <x:c r="H899" s="15" t="n">
        <x:f>IF(AND(ISNUMBER(E899),ISNUMBER(F899),F899&gt;0),(E899-F899)/F899,"n.a.")</x:f>
        <x:v>-0.331862486983011</x:v>
      </x:c>
      <x:c r="I899" s="19" t="n">
        <x:f>IF(ISNUMBER(H899),ABS(H899),"n.a.")</x:f>
        <x:v>0.331862486983011</x:v>
      </x:c>
      <x:c r="J899" s="2" t="str">
        <x:v>available</x:v>
      </x:c>
      <x:c r="K899" s="2" t="n">
        <x:v>1</x:v>
      </x:c>
      <x:c r="L899" s="13" t="b">
        <x:v>0</x:v>
      </x:c>
      <x:c r="M899" s="13" t="b">
        <x:v>1</x:v>
      </x:c>
      <x:c r="N899" s="2" t="str">
        <x:v>modeled_epoch_volume_with_fixed2018_height_and_predominant_use</x:v>
      </x:c>
      <x:c r="O899" s="2" t="str"/>
      <x:c r="P899" s="2" t="str">
        <x:v>built-up volume</x:v>
      </x:c>
      <x:c r="Q899" s="2" t="str">
        <x:v>m3</x:v>
      </x:c>
      <x:c r="R899" s="17" t="n">
        <x:v>1029010627.5921571</x:v>
      </x:c>
      <x:c r="S899" s="17" t="n">
        <x:v>788818980.78</x:v>
      </x:c>
      <x:c r="T899" s="18" t="n">
        <x:v>0.4226486726527978</x:v>
      </x:c>
      <x:c r="U899" s="17" t="n">
        <x:v>333393295.1899998</x:v>
      </x:c>
      <x:c r="V899" s="2" t="str">
        <x:v>Area equivalent = model2020 * source volume / TEMPO2020 volume</x:v>
      </x:c>
      <x:c r="W899" s="2" t="str">
        <x:v>qualified_paired_native_source_frame</x:v>
      </x:c>
      <x:c r="X899" s="2" t="str">
        <x:v>https://human-settlement.emergency.copernicus.eu/ghs_buV2023.php</x:v>
      </x:c>
    </x:row>
    <x:row r="900" ht="23" customHeight="1">
      <x:c r="A900" s="2" t="str">
        <x:v>LBN</x:v>
      </x:c>
      <x:c r="B900" s="2" t="str">
        <x:v>Lebanon (Lebanese Republic)</x:v>
      </x:c>
      <x:c r="C900" s="2" t="n">
        <x:v>2015</x:v>
      </x:c>
      <x:c r="D900" s="2" t="str">
        <x:v>GHSL_VOLUME</x:v>
      </x:c>
      <x:c r="E900" s="17" t="n">
        <x:v>216766434.49609855</x:v>
      </x:c>
      <x:c r="F900" s="17" t="n">
        <x:f>IF(AND(M900,ISNUMBER(R900)),IF(D900="TEMPO_PROXY",R900,IF(AND(ISNUMBER(S900),S900&gt;0,ISNUMBER(U900)),U900*R900/S900,"n.a.")),"n.a.")</x:f>
        <x:v>645544802.4963851</x:v>
      </x:c>
      <x:c r="G900" s="17" t="n">
        <x:f>IF(AND(ISNUMBER(E900),ISNUMBER(F900)),E900-F900,"n.a.")</x:f>
        <x:v>-428778368.0002866</x:v>
      </x:c>
      <x:c r="H900" s="15" t="n">
        <x:f>IF(AND(ISNUMBER(E900),ISNUMBER(F900),F900&gt;0),(E900-F900)/F900,"n.a.")</x:f>
        <x:v>-0.66421163386671</x:v>
      </x:c>
      <x:c r="I900" s="19" t="n">
        <x:f>IF(ISNUMBER(H900),ABS(H900),"n.a.")</x:f>
        <x:v>0.66421163386671</x:v>
      </x:c>
      <x:c r="J900" s="2" t="str">
        <x:v>available</x:v>
      </x:c>
      <x:c r="K900" s="2" t="n">
        <x:v>1</x:v>
      </x:c>
      <x:c r="L900" s="13" t="b">
        <x:v>0</x:v>
      </x:c>
      <x:c r="M900" s="13" t="b">
        <x:v>1</x:v>
      </x:c>
      <x:c r="N900" s="2" t="str">
        <x:v>modeled_epoch_volume_with_fixed2018_height_and_predominant_use</x:v>
      </x:c>
      <x:c r="O900" s="2" t="str"/>
      <x:c r="P900" s="2" t="str">
        <x:v>built-up volume</x:v>
      </x:c>
      <x:c r="Q900" s="2" t="str">
        <x:v>m3</x:v>
      </x:c>
      <x:c r="R900" s="17" t="n">
        <x:v>1922156268.4627457</x:v>
      </x:c>
      <x:c r="S900" s="17" t="n">
        <x:v>675090272.06</x:v>
      </x:c>
      <x:c r="T900" s="18" t="n">
        <x:v>0.33584407942683187</x:v>
      </x:c>
      <x:c r="U900" s="17" t="n">
        <x:v>226725070.95000017</x:v>
      </x:c>
      <x:c r="V900" s="2" t="str">
        <x:v>Area equivalent = model2020 * source volume / TEMPO2020 volume</x:v>
      </x:c>
      <x:c r="W900" s="2" t="str">
        <x:v>qualified_paired_native_source_frame</x:v>
      </x:c>
      <x:c r="X900" s="2" t="str">
        <x:v>https://human-settlement.emergency.copernicus.eu/ghs_buV2023.php</x:v>
      </x:c>
    </x:row>
    <x:row r="901" ht="23" customHeight="1">
      <x:c r="A901" s="2" t="str">
        <x:v>LBR</x:v>
      </x:c>
      <x:c r="B901" s="2" t="str">
        <x:v>Liberia (Republic of)</x:v>
      </x:c>
      <x:c r="C901" s="2" t="n">
        <x:v>2015</x:v>
      </x:c>
      <x:c r="D901" s="2" t="str">
        <x:v>GHSL_VOLUME</x:v>
      </x:c>
      <x:c r="E901" s="17" t="n">
        <x:v>87042901.95199455</x:v>
      </x:c>
      <x:c r="F901" s="17" t="n">
        <x:f>IF(AND(M901,ISNUMBER(R901)),IF(D901="TEMPO_PROXY",R901,IF(AND(ISNUMBER(S901),S901&gt;0,ISNUMBER(U901)),U901*R901/S901,"n.a.")),"n.a.")</x:f>
        <x:v>413232045.7057843</x:v>
      </x:c>
      <x:c r="G901" s="17" t="n">
        <x:f>IF(AND(ISNUMBER(E901),ISNUMBER(F901)),E901-F901,"n.a.")</x:f>
        <x:v>-326189143.7537898</x:v>
      </x:c>
      <x:c r="H901" s="15" t="n">
        <x:f>IF(AND(ISNUMBER(E901),ISNUMBER(F901),F901&gt;0),(E901-F901)/F901,"n.a.")</x:f>
        <x:v>-0.789360716680797</x:v>
      </x:c>
      <x:c r="I901" s="19" t="n">
        <x:f>IF(ISNUMBER(H901),ABS(H901),"n.a.")</x:f>
        <x:v>0.789360716680797</x:v>
      </x:c>
      <x:c r="J901" s="2" t="str">
        <x:v>available</x:v>
      </x:c>
      <x:c r="K901" s="2" t="n">
        <x:v>1</x:v>
      </x:c>
      <x:c r="L901" s="13" t="b">
        <x:v>0</x:v>
      </x:c>
      <x:c r="M901" s="13" t="b">
        <x:v>1</x:v>
      </x:c>
      <x:c r="N901" s="2" t="str">
        <x:v>modeled_epoch_volume_with_fixed2018_height_and_predominant_use</x:v>
      </x:c>
      <x:c r="O901" s="2" t="str"/>
      <x:c r="P901" s="2" t="str">
        <x:v>built-up volume</x:v>
      </x:c>
      <x:c r="Q901" s="2" t="str">
        <x:v>m3</x:v>
      </x:c>
      <x:c r="R901" s="17" t="n">
        <x:v>964132035.5333334</x:v>
      </x:c>
      <x:c r="S901" s="17" t="n">
        <x:v>218647420.43</x:v>
      </x:c>
      <x:c r="T901" s="18" t="n">
        <x:v>0.42860524334428407</x:v>
      </x:c>
      <x:c r="U901" s="17" t="n">
        <x:v>93713430.84000014</x:v>
      </x:c>
      <x:c r="V901" s="2" t="str">
        <x:v>Area equivalent = model2020 * source volume / TEMPO2020 volume</x:v>
      </x:c>
      <x:c r="W901" s="2" t="str">
        <x:v>qualified_paired_native_source_frame</x:v>
      </x:c>
      <x:c r="X901" s="2" t="str">
        <x:v>https://human-settlement.emergency.copernicus.eu/ghs_buV2023.php</x:v>
      </x:c>
    </x:row>
    <x:row r="902" ht="23" customHeight="1">
      <x:c r="A902" s="2" t="str">
        <x:v>LBY</x:v>
      </x:c>
      <x:c r="B902" s="2" t="str">
        <x:v>Libya (State of)</x:v>
      </x:c>
      <x:c r="C902" s="2" t="n">
        <x:v>2015</x:v>
      </x:c>
      <x:c r="D902" s="2" t="str">
        <x:v>GHSL_VOLUME</x:v>
      </x:c>
      <x:c r="E902" s="17" t="n">
        <x:v>451050058.3672139</x:v>
      </x:c>
      <x:c r="F902" s="17" t="n">
        <x:f>IF(AND(M902,ISNUMBER(R902)),IF(D902="TEMPO_PROXY",R902,IF(AND(ISNUMBER(S902),S902&gt;0,ISNUMBER(U902)),U902*R902/S902,"n.a.")),"n.a.")</x:f>
        <x:v>1775618174.3539212</x:v>
      </x:c>
      <x:c r="G902" s="17" t="n">
        <x:f>IF(AND(ISNUMBER(E902),ISNUMBER(F902)),E902-F902,"n.a.")</x:f>
        <x:v>-1324568115.9867072</x:v>
      </x:c>
      <x:c r="H902" s="15" t="n">
        <x:f>IF(AND(ISNUMBER(E902),ISNUMBER(F902),F902&gt;0),(E902-F902)/F902,"n.a.")</x:f>
        <x:v>-0.7459757593823156</x:v>
      </x:c>
      <x:c r="I902" s="19" t="n">
        <x:f>IF(ISNUMBER(H902),ABS(H902),"n.a.")</x:f>
        <x:v>0.7459757593823156</x:v>
      </x:c>
      <x:c r="J902" s="2" t="str">
        <x:v>available</x:v>
      </x:c>
      <x:c r="K902" s="2" t="n">
        <x:v>1</x:v>
      </x:c>
      <x:c r="L902" s="13" t="b">
        <x:v>0</x:v>
      </x:c>
      <x:c r="M902" s="13" t="b">
        <x:v>1</x:v>
      </x:c>
      <x:c r="N902" s="2" t="str">
        <x:v>modeled_epoch_volume_with_fixed2018_height_and_predominant_use</x:v>
      </x:c>
      <x:c r="O902" s="2" t="str"/>
      <x:c r="P902" s="2" t="str">
        <x:v>built-up volume</x:v>
      </x:c>
      <x:c r="Q902" s="2" t="str">
        <x:v>m3</x:v>
      </x:c>
      <x:c r="R902" s="17" t="n">
        <x:v>4522393455.34902</x:v>
      </x:c>
      <x:c r="S902" s="17" t="n">
        <x:v>1332173491.45</x:v>
      </x:c>
      <x:c r="T902" s="18" t="n">
        <x:v>0.3926279727505236</x:v>
      </x:c>
      <x:c r="U902" s="17" t="n">
        <x:v>523048577.3000005</x:v>
      </x:c>
      <x:c r="V902" s="2" t="str">
        <x:v>Area equivalent = model2020 * source volume / TEMPO2020 volume</x:v>
      </x:c>
      <x:c r="W902" s="2" t="str">
        <x:v>qualified_paired_native_source_frame</x:v>
      </x:c>
      <x:c r="X902" s="2" t="str">
        <x:v>https://human-settlement.emergency.copernicus.eu/ghs_buV2023.php</x:v>
      </x:c>
    </x:row>
    <x:row r="903" ht="23" customHeight="1">
      <x:c r="A903" s="2" t="str">
        <x:v>LCA</x:v>
      </x:c>
      <x:c r="B903" s="2" t="str">
        <x:v>Saint Lucia</x:v>
      </x:c>
      <x:c r="C903" s="2" t="n">
        <x:v>2015</x:v>
      </x:c>
      <x:c r="D903" s="2" t="str">
        <x:v>GHSL_VOLUME</x:v>
      </x:c>
      <x:c r="E903" s="17" t="n">
        <x:v>8882463.634134484</x:v>
      </x:c>
      <x:c r="F903" s="17" t="n">
        <x:f>IF(AND(M903,ISNUMBER(R903)),IF(D903="TEMPO_PROXY",R903,IF(AND(ISNUMBER(S903),S903&gt;0,ISNUMBER(U903)),U903*R903/S903,"n.a.")),"n.a.")</x:f>
        <x:v>25684253.51118897</x:v>
      </x:c>
      <x:c r="G903" s="17" t="n">
        <x:f>IF(AND(ISNUMBER(E903),ISNUMBER(F903)),E903-F903,"n.a.")</x:f>
        <x:v>-16801789.877054483</x:v>
      </x:c>
      <x:c r="H903" s="15" t="n">
        <x:f>IF(AND(ISNUMBER(E903),ISNUMBER(F903),F903&gt;0),(E903-F903)/F903,"n.a.")</x:f>
        <x:v>-0.6541669536837047</x:v>
      </x:c>
      <x:c r="I903" s="19" t="n">
        <x:f>IF(ISNUMBER(H903),ABS(H903),"n.a.")</x:f>
        <x:v>0.6541669536837047</x:v>
      </x:c>
      <x:c r="J903" s="2" t="str">
        <x:v>available</x:v>
      </x:c>
      <x:c r="K903" s="2" t="n">
        <x:v>1</x:v>
      </x:c>
      <x:c r="L903" s="13" t="b">
        <x:v>0</x:v>
      </x:c>
      <x:c r="M903" s="13" t="b">
        <x:v>1</x:v>
      </x:c>
      <x:c r="N903" s="2" t="str">
        <x:v>modeled_epoch_volume_with_fixed2018_height_and_predominant_use</x:v>
      </x:c>
      <x:c r="O903" s="2" t="str"/>
      <x:c r="P903" s="2" t="str">
        <x:v>built-up volume</x:v>
      </x:c>
      <x:c r="Q903" s="2" t="str">
        <x:v>m3</x:v>
      </x:c>
      <x:c r="R903" s="17" t="n">
        <x:v>60363848.0392157</x:v>
      </x:c>
      <x:c r="S903" s="17" t="n">
        <x:v>24035532.56</x:v>
      </x:c>
      <x:c r="T903" s="18" t="n">
        <x:v>0.4254906594838529</x:v>
      </x:c>
      <x:c r="U903" s="17" t="n">
        <x:v>10226894.600000018</x:v>
      </x:c>
      <x:c r="V903" s="2" t="str">
        <x:v>Area equivalent = model2020 * source volume / TEMPO2020 volume</x:v>
      </x:c>
      <x:c r="W903" s="2" t="str">
        <x:v>qualified_paired_native_source_frame</x:v>
      </x:c>
      <x:c r="X903" s="2" t="str">
        <x:v>https://human-settlement.emergency.copernicus.eu/ghs_buV2023.php</x:v>
      </x:c>
    </x:row>
    <x:row r="904" ht="23" customHeight="1">
      <x:c r="A904" s="2" t="str">
        <x:v>LIE</x:v>
      </x:c>
      <x:c r="B904" s="2" t="str">
        <x:v>Liechtenstein (Principality of)</x:v>
      </x:c>
      <x:c r="C904" s="2" t="n">
        <x:v>2015</x:v>
      </x:c>
      <x:c r="D904" s="2" t="str">
        <x:v>GHSL_VOLUME</x:v>
      </x:c>
      <x:c r="E904" s="17" t="n">
        <x:v>3201232.1963177915</x:v>
      </x:c>
      <x:c r="F904" s="17" t="n">
        <x:f>IF(AND(M904,ISNUMBER(R904)),IF(D904="TEMPO_PROXY",R904,IF(AND(ISNUMBER(S904),S904&gt;0,ISNUMBER(U904)),U904*R904/S904,"n.a.")),"n.a.")</x:f>
        <x:v>7554429.098906345</x:v>
      </x:c>
      <x:c r="G904" s="17" t="n">
        <x:f>IF(AND(ISNUMBER(E904),ISNUMBER(F904)),E904-F904,"n.a.")</x:f>
        <x:v>-4353196.902588554</x:v>
      </x:c>
      <x:c r="H904" s="15" t="n">
        <x:f>IF(AND(ISNUMBER(E904),ISNUMBER(F904),F904&gt;0),(E904-F904)/F904,"n.a.")</x:f>
        <x:v>-0.576244325758351</x:v>
      </x:c>
      <x:c r="I904" s="19" t="n">
        <x:f>IF(ISNUMBER(H904),ABS(H904),"n.a.")</x:f>
        <x:v>0.576244325758351</x:v>
      </x:c>
      <x:c r="J904" s="2" t="str">
        <x:v>available</x:v>
      </x:c>
      <x:c r="K904" s="2" t="n">
        <x:v>1</x:v>
      </x:c>
      <x:c r="L904" s="13" t="b">
        <x:v>0</x:v>
      </x:c>
      <x:c r="M904" s="13" t="b">
        <x:v>1</x:v>
      </x:c>
      <x:c r="N904" s="2" t="str">
        <x:v>modeled_epoch_volume_with_fixed2018_height_and_predominant_use</x:v>
      </x:c>
      <x:c r="O904" s="2" t="str"/>
      <x:c r="P904" s="2" t="str">
        <x:v>built-up volume</x:v>
      </x:c>
      <x:c r="Q904" s="2" t="str">
        <x:v>m3</x:v>
      </x:c>
      <x:c r="R904" s="17" t="n">
        <x:v>25984499.403921567</x:v>
      </x:c>
      <x:c r="S904" s="17" t="n">
        <x:v>12481399.11</x:v>
      </x:c>
      <x:c r="T904" s="18" t="n">
        <x:v>0.2907282907965598</x:v>
      </x:c>
      <x:c r="U904" s="17" t="n">
        <x:v>3628695.830000003</x:v>
      </x:c>
      <x:c r="V904" s="2" t="str">
        <x:v>Area equivalent = model2020 * source volume / TEMPO2020 volume</x:v>
      </x:c>
      <x:c r="W904" s="2" t="str">
        <x:v>qualified_paired_native_source_frame</x:v>
      </x:c>
      <x:c r="X904" s="2" t="str">
        <x:v>https://human-settlement.emergency.copernicus.eu/ghs_buV2023.php</x:v>
      </x:c>
    </x:row>
    <x:row r="905" ht="23" customHeight="1">
      <x:c r="A905" s="2" t="str">
        <x:v>LKA</x:v>
      </x:c>
      <x:c r="B905" s="2" t="str">
        <x:v>Sri Lanka (Democratic Socialist Republic of)</x:v>
      </x:c>
      <x:c r="C905" s="2" t="n">
        <x:v>2015</x:v>
      </x:c>
      <x:c r="D905" s="2" t="str">
        <x:v>GHSL_VOLUME</x:v>
      </x:c>
      <x:c r="E905" s="17" t="n">
        <x:v>724754528.0104082</x:v>
      </x:c>
      <x:c r="F905" s="17" t="n">
        <x:f>IF(AND(M905,ISNUMBER(R905)),IF(D905="TEMPO_PROXY",R905,IF(AND(ISNUMBER(S905),S905&gt;0,ISNUMBER(U905)),U905*R905/S905,"n.a.")),"n.a.")</x:f>
        <x:v>1575493014.4972637</x:v>
      </x:c>
      <x:c r="G905" s="17" t="n">
        <x:f>IF(AND(ISNUMBER(E905),ISNUMBER(F905)),E905-F905,"n.a.")</x:f>
        <x:v>-850738486.4868555</x:v>
      </x:c>
      <x:c r="H905" s="15" t="n">
        <x:f>IF(AND(ISNUMBER(E905),ISNUMBER(F905),F905&gt;0),(E905-F905)/F905,"n.a.")</x:f>
        <x:v>-0.5399823919614929</x:v>
      </x:c>
      <x:c r="I905" s="19" t="n">
        <x:f>IF(ISNUMBER(H905),ABS(H905),"n.a.")</x:f>
        <x:v>0.5399823919614929</x:v>
      </x:c>
      <x:c r="J905" s="2" t="str">
        <x:v>available</x:v>
      </x:c>
      <x:c r="K905" s="2" t="n">
        <x:v>1</x:v>
      </x:c>
      <x:c r="L905" s="13" t="b">
        <x:v>0</x:v>
      </x:c>
      <x:c r="M905" s="13" t="b">
        <x:v>1</x:v>
      </x:c>
      <x:c r="N905" s="2" t="str">
        <x:v>modeled_epoch_volume_with_fixed2018_height_and_predominant_use</x:v>
      </x:c>
      <x:c r="O905" s="2" t="str"/>
      <x:c r="P905" s="2" t="str">
        <x:v>built-up volume</x:v>
      </x:c>
      <x:c r="Q905" s="2" t="str">
        <x:v>m3</x:v>
      </x:c>
      <x:c r="R905" s="17" t="n">
        <x:v>3625330077.2745104</x:v>
      </x:c>
      <x:c r="S905" s="17" t="n">
        <x:v>2069343446.58</x:v>
      </x:c>
      <x:c r="T905" s="18" t="n">
        <x:v>0.4345791916640332</x:v>
      </x:c>
      <x:c r="U905" s="17" t="n">
        <x:v>899293602.2900008</x:v>
      </x:c>
      <x:c r="V905" s="2" t="str">
        <x:v>Area equivalent = model2020 * source volume / TEMPO2020 volume</x:v>
      </x:c>
      <x:c r="W905" s="2" t="str">
        <x:v>qualified_paired_native_source_frame</x:v>
      </x:c>
      <x:c r="X905" s="2" t="str">
        <x:v>https://human-settlement.emergency.copernicus.eu/ghs_buV2023.php</x:v>
      </x:c>
    </x:row>
    <x:row r="906" ht="23" customHeight="1">
      <x:c r="A906" s="2" t="str">
        <x:v>LSO</x:v>
      </x:c>
      <x:c r="B906" s="2" t="str">
        <x:v>Lesotho (Kingdom of)</x:v>
      </x:c>
      <x:c r="C906" s="2" t="n">
        <x:v>2015</x:v>
      </x:c>
      <x:c r="D906" s="2" t="str">
        <x:v>GHSL_VOLUME</x:v>
      </x:c>
      <x:c r="E906" s="17" t="n">
        <x:v>50326429.45555801</x:v>
      </x:c>
      <x:c r="F906" s="17" t="n">
        <x:f>IF(AND(M906,ISNUMBER(R906)),IF(D906="TEMPO_PROXY",R906,IF(AND(ISNUMBER(S906),S906&gt;0,ISNUMBER(U906)),U906*R906/S906,"n.a.")),"n.a.")</x:f>
        <x:v>341711227.66032386</x:v>
      </x:c>
      <x:c r="G906" s="17" t="n">
        <x:f>IF(AND(ISNUMBER(E906),ISNUMBER(F906)),E906-F906,"n.a.")</x:f>
        <x:v>-291384798.20476586</x:v>
      </x:c>
      <x:c r="H906" s="15" t="n">
        <x:f>IF(AND(ISNUMBER(E906),ISNUMBER(F906),F906&gt;0),(E906-F906)/F906,"n.a.")</x:f>
        <x:v>-0.8527223416094928</x:v>
      </x:c>
      <x:c r="I906" s="19" t="n">
        <x:f>IF(ISNUMBER(H906),ABS(H906),"n.a.")</x:f>
        <x:v>0.8527223416094928</x:v>
      </x:c>
      <x:c r="J906" s="2" t="str">
        <x:v>available</x:v>
      </x:c>
      <x:c r="K906" s="2" t="n">
        <x:v>1</x:v>
      </x:c>
      <x:c r="L906" s="13" t="b">
        <x:v>0</x:v>
      </x:c>
      <x:c r="M906" s="13" t="b">
        <x:v>1</x:v>
      </x:c>
      <x:c r="N906" s="2" t="str">
        <x:v>modeled_epoch_volume_with_fixed2018_height_and_predominant_use</x:v>
      </x:c>
      <x:c r="O906" s="2" t="str"/>
      <x:c r="P906" s="2" t="str">
        <x:v>built-up volume</x:v>
      </x:c>
      <x:c r="Q906" s="2" t="str">
        <x:v>m3</x:v>
      </x:c>
      <x:c r="R906" s="17" t="n">
        <x:v>687616622.52549</x:v>
      </x:c>
      <x:c r="S906" s="17" t="n">
        <x:v>122054816.46</x:v>
      </x:c>
      <x:c r="T906" s="18" t="n">
        <x:v>0.4969502139219396</x:v>
      </x:c>
      <x:c r="U906" s="17" t="n">
        <x:v>60655167.15000007</x:v>
      </x:c>
      <x:c r="V906" s="2" t="str">
        <x:v>Area equivalent = model2020 * source volume / TEMPO2020 volume</x:v>
      </x:c>
      <x:c r="W906" s="2" t="str">
        <x:v>qualified_paired_native_source_frame</x:v>
      </x:c>
      <x:c r="X906" s="2" t="str">
        <x:v>https://human-settlement.emergency.copernicus.eu/ghs_buV2023.php</x:v>
      </x:c>
    </x:row>
    <x:row r="907" ht="23" customHeight="1">
      <x:c r="A907" s="2" t="str">
        <x:v>LTU</x:v>
      </x:c>
      <x:c r="B907" s="2" t="str">
        <x:v>Lithuania (Republic of)</x:v>
      </x:c>
      <x:c r="C907" s="2" t="n">
        <x:v>2015</x:v>
      </x:c>
      <x:c r="D907" s="2" t="str">
        <x:v>GHSL_VOLUME</x:v>
      </x:c>
      <x:c r="E907" s="17" t="n">
        <x:v>256994964.96758032</x:v>
      </x:c>
      <x:c r="F907" s="17" t="n">
        <x:f>IF(AND(M907,ISNUMBER(R907)),IF(D907="TEMPO_PROXY",R907,IF(AND(ISNUMBER(S907),S907&gt;0,ISNUMBER(U907)),U907*R907/S907,"n.a.")),"n.a.")</x:f>
        <x:v>686130523.6827649</x:v>
      </x:c>
      <x:c r="G907" s="17" t="n">
        <x:f>IF(AND(ISNUMBER(E907),ISNUMBER(F907)),E907-F907,"n.a.")</x:f>
        <x:v>-429135558.71518457</x:v>
      </x:c>
      <x:c r="H907" s="15" t="n">
        <x:f>IF(AND(ISNUMBER(E907),ISNUMBER(F907),F907&gt;0),(E907-F907)/F907,"n.a.")</x:f>
        <x:v>-0.625443037298246</x:v>
      </x:c>
      <x:c r="I907" s="19" t="n">
        <x:f>IF(ISNUMBER(H907),ABS(H907),"n.a.")</x:f>
        <x:v>0.625443037298246</x:v>
      </x:c>
      <x:c r="J907" s="2" t="str">
        <x:v>available</x:v>
      </x:c>
      <x:c r="K907" s="2" t="n">
        <x:v>1</x:v>
      </x:c>
      <x:c r="L907" s="13" t="b">
        <x:v>0</x:v>
      </x:c>
      <x:c r="M907" s="13" t="b">
        <x:v>1</x:v>
      </x:c>
      <x:c r="N907" s="2" t="str">
        <x:v>modeled_epoch_volume_with_fixed2018_height_and_predominant_use</x:v>
      </x:c>
      <x:c r="O907" s="2" t="str"/>
      <x:c r="P907" s="2" t="str">
        <x:v>built-up volume</x:v>
      </x:c>
      <x:c r="Q907" s="2" t="str">
        <x:v>m3</x:v>
      </x:c>
      <x:c r="R907" s="17" t="n">
        <x:v>2033342854.662746</x:v>
      </x:c>
      <x:c r="S907" s="17" t="n">
        <x:v>797387203.33</x:v>
      </x:c>
      <x:c r="T907" s="18" t="n">
        <x:v>0.33743966105340745</x:v>
      </x:c>
      <x:c r="U907" s="17" t="n">
        <x:v>269070067.6199997</x:v>
      </x:c>
      <x:c r="V907" s="2" t="str">
        <x:v>Area equivalent = model2020 * source volume / TEMPO2020 volume</x:v>
      </x:c>
      <x:c r="W907" s="2" t="str">
        <x:v>qualified_paired_native_source_frame</x:v>
      </x:c>
      <x:c r="X907" s="2" t="str">
        <x:v>https://human-settlement.emergency.copernicus.eu/ghs_buV2023.php</x:v>
      </x:c>
    </x:row>
    <x:row r="908" ht="23" customHeight="1">
      <x:c r="A908" s="2" t="str">
        <x:v>LUX</x:v>
      </x:c>
      <x:c r="B908" s="2" t="str">
        <x:v>Luxembourg (Grand Duchy of)</x:v>
      </x:c>
      <x:c r="C908" s="2" t="n">
        <x:v>2015</x:v>
      </x:c>
      <x:c r="D908" s="2" t="str">
        <x:v>GHSL_VOLUME</x:v>
      </x:c>
      <x:c r="E908" s="17" t="n">
        <x:v>45518478.90477848</x:v>
      </x:c>
      <x:c r="F908" s="17" t="n">
        <x:f>IF(AND(M908,ISNUMBER(R908)),IF(D908="TEMPO_PROXY",R908,IF(AND(ISNUMBER(S908),S908&gt;0,ISNUMBER(U908)),U908*R908/S908,"n.a.")),"n.a.")</x:f>
        <x:v>97707525.02434812</x:v>
      </x:c>
      <x:c r="G908" s="17" t="n">
        <x:f>IF(AND(ISNUMBER(E908),ISNUMBER(F908)),E908-F908,"n.a.")</x:f>
        <x:v>-52189046.119569644</x:v>
      </x:c>
      <x:c r="H908" s="15" t="n">
        <x:f>IF(AND(ISNUMBER(E908),ISNUMBER(F908),F908&gt;0),(E908-F908)/F908,"n.a.")</x:f>
        <x:v>-0.5341353811445377</x:v>
      </x:c>
      <x:c r="I908" s="19" t="n">
        <x:f>IF(ISNUMBER(H908),ABS(H908),"n.a.")</x:f>
        <x:v>0.5341353811445377</x:v>
      </x:c>
      <x:c r="J908" s="2" t="str">
        <x:v>available</x:v>
      </x:c>
      <x:c r="K908" s="2" t="n">
        <x:v>1</x:v>
      </x:c>
      <x:c r="L908" s="13" t="b">
        <x:v>0</x:v>
      </x:c>
      <x:c r="M908" s="13" t="b">
        <x:v>1</x:v>
      </x:c>
      <x:c r="N908" s="2" t="str">
        <x:v>modeled_epoch_volume_with_fixed2018_height_and_predominant_use</x:v>
      </x:c>
      <x:c r="O908" s="2" t="str"/>
      <x:c r="P908" s="2" t="str">
        <x:v>built-up volume</x:v>
      </x:c>
      <x:c r="Q908" s="2" t="str">
        <x:v>m3</x:v>
      </x:c>
      <x:c r="R908" s="17" t="n">
        <x:v>360903969.89411765</x:v>
      </x:c>
      <x:c r="S908" s="17" t="n">
        <x:v>181190130.19</x:v>
      </x:c>
      <x:c r="T908" s="18" t="n">
        <x:v>0.2707299813105787</x:v>
      </x:c>
      <x:c r="U908" s="17" t="n">
        <x:v>49053600.56000002</x:v>
      </x:c>
      <x:c r="V908" s="2" t="str">
        <x:v>Area equivalent = model2020 * source volume / TEMPO2020 volume</x:v>
      </x:c>
      <x:c r="W908" s="2" t="str">
        <x:v>qualified_paired_native_source_frame</x:v>
      </x:c>
      <x:c r="X908" s="2" t="str">
        <x:v>https://human-settlement.emergency.copernicus.eu/ghs_buV2023.php</x:v>
      </x:c>
    </x:row>
    <x:row r="909" ht="23" customHeight="1">
      <x:c r="A909" s="2" t="str">
        <x:v>LVA</x:v>
      </x:c>
      <x:c r="B909" s="2" t="str">
        <x:v>Latvia (Republic of)</x:v>
      </x:c>
      <x:c r="C909" s="2" t="n">
        <x:v>2015</x:v>
      </x:c>
      <x:c r="D909" s="2" t="str">
        <x:v>GHSL_VOLUME</x:v>
      </x:c>
      <x:c r="E909" s="17" t="n">
        <x:v>140683330.01405793</x:v>
      </x:c>
      <x:c r="F909" s="17" t="n">
        <x:f>IF(AND(M909,ISNUMBER(R909)),IF(D909="TEMPO_PROXY",R909,IF(AND(ISNUMBER(S909),S909&gt;0,ISNUMBER(U909)),U909*R909/S909,"n.a.")),"n.a.")</x:f>
        <x:v>308953294.5836661</x:v>
      </x:c>
      <x:c r="G909" s="17" t="n">
        <x:f>IF(AND(ISNUMBER(E909),ISNUMBER(F909)),E909-F909,"n.a.")</x:f>
        <x:v>-168269964.56960815</x:v>
      </x:c>
      <x:c r="H909" s="15" t="n">
        <x:f>IF(AND(ISNUMBER(E909),ISNUMBER(F909),F909&gt;0),(E909-F909)/F909,"n.a.")</x:f>
        <x:v>-0.5446453153909961</x:v>
      </x:c>
      <x:c r="I909" s="19" t="n">
        <x:f>IF(ISNUMBER(H909),ABS(H909),"n.a.")</x:f>
        <x:v>0.5446453153909961</x:v>
      </x:c>
      <x:c r="J909" s="2" t="str">
        <x:v>available</x:v>
      </x:c>
      <x:c r="K909" s="2" t="n">
        <x:v>1</x:v>
      </x:c>
      <x:c r="L909" s="13" t="b">
        <x:v>0</x:v>
      </x:c>
      <x:c r="M909" s="13" t="b">
        <x:v>1</x:v>
      </x:c>
      <x:c r="N909" s="2" t="str">
        <x:v>modeled_epoch_volume_with_fixed2018_height_and_predominant_use</x:v>
      </x:c>
      <x:c r="O909" s="2" t="str"/>
      <x:c r="P909" s="2" t="str">
        <x:v>built-up volume</x:v>
      </x:c>
      <x:c r="Q909" s="2" t="str">
        <x:v>m3</x:v>
      </x:c>
      <x:c r="R909" s="17" t="n">
        <x:v>956455105.5450983</x:v>
      </x:c>
      <x:c r="S909" s="17" t="n">
        <x:v>449369069.54</x:v>
      </x:c>
      <x:c r="T909" s="18" t="n">
        <x:v>0.3230191284384319</x:v>
      </x:c>
      <x:c r="U909" s="17" t="n">
        <x:v>145154805.1899999</x:v>
      </x:c>
      <x:c r="V909" s="2" t="str">
        <x:v>Area equivalent = model2020 * source volume / TEMPO2020 volume</x:v>
      </x:c>
      <x:c r="W909" s="2" t="str">
        <x:v>qualified_paired_native_source_frame</x:v>
      </x:c>
      <x:c r="X909" s="2" t="str">
        <x:v>https://human-settlement.emergency.copernicus.eu/ghs_buV2023.php</x:v>
      </x:c>
    </x:row>
    <x:row r="910" ht="23" customHeight="1">
      <x:c r="A910" s="2" t="str">
        <x:v>MAR</x:v>
      </x:c>
      <x:c r="B910" s="2" t="str">
        <x:v>Morocco (Kingdom of)</x:v>
      </x:c>
      <x:c r="C910" s="2" t="n">
        <x:v>2015</x:v>
      </x:c>
      <x:c r="D910" s="2" t="str">
        <x:v>GHSL_VOLUME</x:v>
      </x:c>
      <x:c r="E910" s="17" t="n">
        <x:v>1142910844.8265724</x:v>
      </x:c>
      <x:c r="F910" s="17" t="n">
        <x:f>IF(AND(M910,ISNUMBER(R910)),IF(D910="TEMPO_PROXY",R910,IF(AND(ISNUMBER(S910),S910&gt;0,ISNUMBER(U910)),U910*R910/S910,"n.a.")),"n.a.")</x:f>
        <x:v>1502967489.9652827</x:v>
      </x:c>
      <x:c r="G910" s="17" t="n">
        <x:f>IF(AND(ISNUMBER(E910),ISNUMBER(F910)),E910-F910,"n.a.")</x:f>
        <x:v>-360056645.13871026</x:v>
      </x:c>
      <x:c r="H910" s="15" t="n">
        <x:f>IF(AND(ISNUMBER(E910),ISNUMBER(F910),F910&gt;0),(E910-F910)/F910,"n.a.")</x:f>
        <x:v>-0.23956382792220426</x:v>
      </x:c>
      <x:c r="I910" s="19" t="n">
        <x:f>IF(ISNUMBER(H910),ABS(H910),"n.a.")</x:f>
        <x:v>0.23956382792220426</x:v>
      </x:c>
      <x:c r="J910" s="2" t="str">
        <x:v>available</x:v>
      </x:c>
      <x:c r="K910" s="2" t="n">
        <x:v>1</x:v>
      </x:c>
      <x:c r="L910" s="13" t="b">
        <x:v>0</x:v>
      </x:c>
      <x:c r="M910" s="13" t="b">
        <x:v>1</x:v>
      </x:c>
      <x:c r="N910" s="2" t="str">
        <x:v>modeled_epoch_volume_with_fixed2018_height_and_predominant_use</x:v>
      </x:c>
      <x:c r="O910" s="2" t="str"/>
      <x:c r="P910" s="2" t="str">
        <x:v>built-up volume</x:v>
      </x:c>
      <x:c r="Q910" s="2" t="str">
        <x:v>m3</x:v>
      </x:c>
      <x:c r="R910" s="17" t="n">
        <x:v>4516850915.831373</x:v>
      </x:c>
      <x:c r="S910" s="17" t="n">
        <x:v>3747650433.53</x:v>
      </x:c>
      <x:c r="T910" s="18" t="n">
        <x:v>0.332746756085627</x:v>
      </x:c>
      <x:c r="U910" s="17" t="n">
        <x:v>1247018524.7000012</x:v>
      </x:c>
      <x:c r="V910" s="2" t="str">
        <x:v>Area equivalent = model2020 * source volume / TEMPO2020 volume</x:v>
      </x:c>
      <x:c r="W910" s="2" t="str">
        <x:v>qualified_paired_native_source_frame</x:v>
      </x:c>
      <x:c r="X910" s="2" t="str">
        <x:v>https://human-settlement.emergency.copernicus.eu/ghs_buV2023.php</x:v>
      </x:c>
    </x:row>
    <x:row r="911" ht="23" customHeight="1">
      <x:c r="A911" s="2" t="str">
        <x:v>MCO</x:v>
      </x:c>
      <x:c r="B911" s="2" t="str">
        <x:v>Monaco (Principality of)</x:v>
      </x:c>
      <x:c r="C911" s="2" t="n">
        <x:v>2015</x:v>
      </x:c>
      <x:c r="D911" s="2" t="str">
        <x:v>GHSL_VOLUME</x:v>
      </x:c>
      <x:c r="E911" s="17" t="n">
        <x:v>1552878.5574787627</x:v>
      </x:c>
      <x:c r="F911" s="17" t="n">
        <x:f>IF(AND(M911,ISNUMBER(R911)),IF(D911="TEMPO_PROXY",R911,IF(AND(ISNUMBER(S911),S911&gt;0,ISNUMBER(U911)),U911*R911/S911,"n.a.")),"n.a.")</x:f>
        <x:v>3778481.3195277043</x:v>
      </x:c>
      <x:c r="G911" s="17" t="n">
        <x:f>IF(AND(ISNUMBER(E911),ISNUMBER(F911)),E911-F911,"n.a.")</x:f>
        <x:v>-2225602.7620489416</x:v>
      </x:c>
      <x:c r="H911" s="15" t="n">
        <x:f>IF(AND(ISNUMBER(E911),ISNUMBER(F911),F911&gt;0),(E911-F911)/F911,"n.a.")</x:f>
        <x:v>-0.5890204486513468</x:v>
      </x:c>
      <x:c r="I911" s="19" t="n">
        <x:f>IF(ISNUMBER(H911),ABS(H911),"n.a.")</x:f>
        <x:v>0.5890204486513468</x:v>
      </x:c>
      <x:c r="J911" s="2" t="str">
        <x:v>available</x:v>
      </x:c>
      <x:c r="K911" s="2" t="n">
        <x:v>1</x:v>
      </x:c>
      <x:c r="L911" s="13" t="b">
        <x:v>0</x:v>
      </x:c>
      <x:c r="M911" s="13" t="b">
        <x:v>1</x:v>
      </x:c>
      <x:c r="N911" s="2" t="str">
        <x:v>modeled_epoch_volume_with_fixed2018_height_and_predominant_use</x:v>
      </x:c>
      <x:c r="O911" s="2" t="str"/>
      <x:c r="P911" s="2" t="str">
        <x:v>built-up volume</x:v>
      </x:c>
      <x:c r="Q911" s="2" t="str">
        <x:v>m3</x:v>
      </x:c>
      <x:c r="R911" s="17" t="n">
        <x:v>13842311.505882349</x:v>
      </x:c>
      <x:c r="S911" s="17" t="n">
        <x:v>5726967.5</x:v>
      </x:c>
      <x:c r="T911" s="18" t="n">
        <x:v>0.27296606624710207</x:v>
      </x:c>
      <x:c r="U911" s="17" t="n">
        <x:v>1563267.7900000005</x:v>
      </x:c>
      <x:c r="V911" s="2" t="str">
        <x:v>Area equivalent = model2020 * source volume / TEMPO2020 volume</x:v>
      </x:c>
      <x:c r="W911" s="2" t="str">
        <x:v>qualified_paired_native_source_frame</x:v>
      </x:c>
      <x:c r="X911" s="2" t="str">
        <x:v>https://human-settlement.emergency.copernicus.eu/ghs_buV2023.php</x:v>
      </x:c>
    </x:row>
    <x:row r="912" ht="23" customHeight="1">
      <x:c r="A912" s="2" t="str">
        <x:v>MDA</x:v>
      </x:c>
      <x:c r="B912" s="2" t="str">
        <x:v>Moldova (Republic of)</x:v>
      </x:c>
      <x:c r="C912" s="2" t="n">
        <x:v>2015</x:v>
      </x:c>
      <x:c r="D912" s="2" t="str">
        <x:v>GHSL_VOLUME</x:v>
      </x:c>
      <x:c r="E912" s="17" t="n">
        <x:v>247909213.73238635</x:v>
      </x:c>
      <x:c r="F912" s="17" t="n">
        <x:f>IF(AND(M912,ISNUMBER(R912)),IF(D912="TEMPO_PROXY",R912,IF(AND(ISNUMBER(S912),S912&gt;0,ISNUMBER(U912)),U912*R912/S912,"n.a.")),"n.a.")</x:f>
        <x:v>808749311.11052</x:v>
      </x:c>
      <x:c r="G912" s="17" t="n">
        <x:f>IF(AND(ISNUMBER(E912),ISNUMBER(F912)),E912-F912,"n.a.")</x:f>
        <x:v>-560840097.3781337</x:v>
      </x:c>
      <x:c r="H912" s="15" t="n">
        <x:f>IF(AND(ISNUMBER(E912),ISNUMBER(F912),F912&gt;0),(E912-F912)/F912,"n.a.")</x:f>
        <x:v>-0.6934659352080632</x:v>
      </x:c>
      <x:c r="I912" s="19" t="n">
        <x:f>IF(ISNUMBER(H912),ABS(H912),"n.a.")</x:f>
        <x:v>0.6934659352080632</x:v>
      </x:c>
      <x:c r="J912" s="2" t="str">
        <x:v>available</x:v>
      </x:c>
      <x:c r="K912" s="2" t="n">
        <x:v>1</x:v>
      </x:c>
      <x:c r="L912" s="13" t="b">
        <x:v>0</x:v>
      </x:c>
      <x:c r="M912" s="13" t="b">
        <x:v>1</x:v>
      </x:c>
      <x:c r="N912" s="2" t="str">
        <x:v>modeled_epoch_volume_with_fixed2018_height_and_predominant_use</x:v>
      </x:c>
      <x:c r="O912" s="2" t="str"/>
      <x:c r="P912" s="2" t="str">
        <x:v>built-up volume</x:v>
      </x:c>
      <x:c r="Q912" s="2" t="str">
        <x:v>m3</x:v>
      </x:c>
      <x:c r="R912" s="17" t="n">
        <x:v>2111439589.972549</x:v>
      </x:c>
      <x:c r="S912" s="17" t="n">
        <x:v>664609574.56</x:v>
      </x:c>
      <x:c r="T912" s="18" t="n">
        <x:v>0.38303218095907476</x:v>
      </x:c>
      <x:c r="U912" s="17" t="n">
        <x:v>254566854.8299996</x:v>
      </x:c>
      <x:c r="V912" s="2" t="str">
        <x:v>Area equivalent = model2020 * source volume / TEMPO2020 volume</x:v>
      </x:c>
      <x:c r="W912" s="2" t="str">
        <x:v>qualified_paired_native_source_frame</x:v>
      </x:c>
      <x:c r="X912" s="2" t="str">
        <x:v>https://human-settlement.emergency.copernicus.eu/ghs_buV2023.php</x:v>
      </x:c>
    </x:row>
    <x:row r="913" ht="23" customHeight="1">
      <x:c r="A913" s="2" t="str">
        <x:v>MDG</x:v>
      </x:c>
      <x:c r="B913" s="2" t="str">
        <x:v>Madagascar (Republic of)</x:v>
      </x:c>
      <x:c r="C913" s="2" t="n">
        <x:v>2015</x:v>
      </x:c>
      <x:c r="D913" s="2" t="str">
        <x:v>GHSL_VOLUME</x:v>
      </x:c>
      <x:c r="E913" s="17" t="n">
        <x:v>317984451.7483883</x:v>
      </x:c>
      <x:c r="F913" s="17" t="n">
        <x:f>IF(AND(M913,ISNUMBER(R913)),IF(D913="TEMPO_PROXY",R913,IF(AND(ISNUMBER(S913),S913&gt;0,ISNUMBER(U913)),U913*R913/S913,"n.a.")),"n.a.")</x:f>
        <x:v>1279031931.0203817</x:v>
      </x:c>
      <x:c r="G913" s="17" t="n">
        <x:f>IF(AND(ISNUMBER(E913),ISNUMBER(F913)),E913-F913,"n.a.")</x:f>
        <x:v>-961047479.2719934</x:v>
      </x:c>
      <x:c r="H913" s="15" t="n">
        <x:f>IF(AND(ISNUMBER(E913),ISNUMBER(F913),F913&gt;0),(E913-F913)/F913,"n.a.")</x:f>
        <x:v>-0.7513866198049428</x:v>
      </x:c>
      <x:c r="I913" s="19" t="n">
        <x:f>IF(ISNUMBER(H913),ABS(H913),"n.a.")</x:f>
        <x:v>0.7513866198049428</x:v>
      </x:c>
      <x:c r="J913" s="2" t="str">
        <x:v>available</x:v>
      </x:c>
      <x:c r="K913" s="2" t="n">
        <x:v>1</x:v>
      </x:c>
      <x:c r="L913" s="13" t="b">
        <x:v>0</x:v>
      </x:c>
      <x:c r="M913" s="13" t="b">
        <x:v>1</x:v>
      </x:c>
      <x:c r="N913" s="2" t="str">
        <x:v>modeled_epoch_volume_with_fixed2018_height_and_predominant_use</x:v>
      </x:c>
      <x:c r="O913" s="2" t="str"/>
      <x:c r="P913" s="2" t="str">
        <x:v>built-up volume</x:v>
      </x:c>
      <x:c r="Q913" s="2" t="str">
        <x:v>m3</x:v>
      </x:c>
      <x:c r="R913" s="17" t="n">
        <x:v>2602208465.8117647</x:v>
      </x:c>
      <x:c r="S913" s="17" t="n">
        <x:v>734099654.72</x:v>
      </x:c>
      <x:c r="T913" s="18" t="n">
        <x:v>0.4915178579366372</x:v>
      </x:c>
      <x:c r="U913" s="17" t="n">
        <x:v>360823089.7999994</x:v>
      </x:c>
      <x:c r="V913" s="2" t="str">
        <x:v>Area equivalent = model2020 * source volume / TEMPO2020 volume</x:v>
      </x:c>
      <x:c r="W913" s="2" t="str">
        <x:v>qualified_paired_native_source_frame</x:v>
      </x:c>
      <x:c r="X913" s="2" t="str">
        <x:v>https://human-settlement.emergency.copernicus.eu/ghs_buV2023.php</x:v>
      </x:c>
    </x:row>
    <x:row r="914" ht="23" customHeight="1">
      <x:c r="A914" s="2" t="str">
        <x:v>MDV</x:v>
      </x:c>
      <x:c r="B914" s="2" t="str">
        <x:v>Maldives (Republic of)</x:v>
      </x:c>
      <x:c r="C914" s="2" t="n">
        <x:v>2015</x:v>
      </x:c>
      <x:c r="D914" s="2" t="str">
        <x:v>GHSL_VOLUME</x:v>
      </x:c>
      <x:c r="E914" s="17" t="n">
        <x:v>2180948.3287212565</x:v>
      </x:c>
      <x:c r="F914" s="17" t="n">
        <x:f>IF(AND(M914,ISNUMBER(R914)),IF(D914="TEMPO_PROXY",R914,IF(AND(ISNUMBER(S914),S914&gt;0,ISNUMBER(U914)),U914*R914/S914,"n.a.")),"n.a.")</x:f>
        <x:v>2660272.2839058726</x:v>
      </x:c>
      <x:c r="G914" s="17" t="n">
        <x:f>IF(AND(ISNUMBER(E914),ISNUMBER(F914)),E914-F914,"n.a.")</x:f>
        <x:v>-479323.95518461615</x:v>
      </x:c>
      <x:c r="H914" s="15" t="n">
        <x:f>IF(AND(ISNUMBER(E914),ISNUMBER(F914),F914&gt;0),(E914-F914)/F914,"n.a.")</x:f>
        <x:v>-0.18017853213162893</x:v>
      </x:c>
      <x:c r="I914" s="19" t="n">
        <x:f>IF(ISNUMBER(H914),ABS(H914),"n.a.")</x:f>
        <x:v>0.18017853213162893</x:v>
      </x:c>
      <x:c r="J914" s="2" t="str">
        <x:v>available</x:v>
      </x:c>
      <x:c r="K914" s="2" t="n">
        <x:v>1</x:v>
      </x:c>
      <x:c r="L914" s="13" t="b">
        <x:v>0</x:v>
      </x:c>
      <x:c r="M914" s="13" t="b">
        <x:v>1</x:v>
      </x:c>
      <x:c r="N914" s="2" t="str">
        <x:v>modeled_epoch_volume_with_fixed2018_height_and_predominant_use</x:v>
      </x:c>
      <x:c r="O914" s="2" t="str"/>
      <x:c r="P914" s="2" t="str">
        <x:v>built-up volume</x:v>
      </x:c>
      <x:c r="Q914" s="2" t="str">
        <x:v>m3</x:v>
      </x:c>
      <x:c r="R914" s="17" t="n">
        <x:v>6803611.419607839</x:v>
      </x:c>
      <x:c r="S914" s="17" t="n">
        <x:v>5643521.43</x:v>
      </x:c>
      <x:c r="T914" s="18" t="n">
        <x:v>0.3910088510109549</x:v>
      </x:c>
      <x:c r="U914" s="17" t="n">
        <x:v>2206666.830000001</x:v>
      </x:c>
      <x:c r="V914" s="2" t="str">
        <x:v>Area equivalent = model2020 * source volume / TEMPO2020 volume</x:v>
      </x:c>
      <x:c r="W914" s="2" t="str">
        <x:v>qualified_paired_native_source_frame</x:v>
      </x:c>
      <x:c r="X914" s="2" t="str">
        <x:v>https://human-settlement.emergency.copernicus.eu/ghs_buV2023.php</x:v>
      </x:c>
    </x:row>
    <x:row r="915" ht="23" customHeight="1">
      <x:c r="A915" s="2" t="str">
        <x:v>MEX</x:v>
      </x:c>
      <x:c r="B915" s="2" t="str">
        <x:v>Mexico (United Mexican States)</x:v>
      </x:c>
      <x:c r="C915" s="2" t="n">
        <x:v>2015</x:v>
      </x:c>
      <x:c r="D915" s="2" t="str">
        <x:v>GHSL_VOLUME</x:v>
      </x:c>
      <x:c r="E915" s="17" t="n">
        <x:v>5563232285.719894</x:v>
      </x:c>
      <x:c r="F915" s="17" t="n">
        <x:f>IF(AND(M915,ISNUMBER(R915)),IF(D915="TEMPO_PROXY",R915,IF(AND(ISNUMBER(S915),S915&gt;0,ISNUMBER(U915)),U915*R915/S915,"n.a.")),"n.a.")</x:f>
        <x:v>18336210431.334873</x:v>
      </x:c>
      <x:c r="G915" s="17" t="n">
        <x:f>IF(AND(ISNUMBER(E915),ISNUMBER(F915)),E915-F915,"n.a.")</x:f>
        <x:v>-12772978145.614979</x:v>
      </x:c>
      <x:c r="H915" s="15" t="n">
        <x:f>IF(AND(ISNUMBER(E915),ISNUMBER(F915),F915&gt;0),(E915-F915)/F915,"n.a.")</x:f>
        <x:v>-0.6965985798127159</x:v>
      </x:c>
      <x:c r="I915" s="19" t="n">
        <x:f>IF(ISNUMBER(H915),ABS(H915),"n.a.")</x:f>
        <x:v>0.6965985798127159</x:v>
      </x:c>
      <x:c r="J915" s="2" t="str">
        <x:v>available</x:v>
      </x:c>
      <x:c r="K915" s="2" t="n">
        <x:v>1</x:v>
      </x:c>
      <x:c r="L915" s="13" t="b">
        <x:v>0</x:v>
      </x:c>
      <x:c r="M915" s="13" t="b">
        <x:v>1</x:v>
      </x:c>
      <x:c r="N915" s="2" t="str">
        <x:v>modeled_epoch_volume_with_fixed2018_height_and_predominant_use</x:v>
      </x:c>
      <x:c r="O915" s="2" t="str"/>
      <x:c r="P915" s="2" t="str">
        <x:v>built-up volume</x:v>
      </x:c>
      <x:c r="Q915" s="2" t="str">
        <x:v>m3</x:v>
      </x:c>
      <x:c r="R915" s="17" t="n">
        <x:v>52065929794.12941</x:v>
      </x:c>
      <x:c r="S915" s="17" t="n">
        <x:v>18019194526.75</x:v>
      </x:c>
      <x:c r="T915" s="18" t="n">
        <x:v>0.3521729181412282</x:v>
      </x:c>
      <x:c r="U915" s="17" t="n">
        <x:v>6345872319.039995</x:v>
      </x:c>
      <x:c r="V915" s="2" t="str">
        <x:v>Area equivalent = model2020 * source volume / TEMPO2020 volume</x:v>
      </x:c>
      <x:c r="W915" s="2" t="str">
        <x:v>qualified_paired_native_source_frame</x:v>
      </x:c>
      <x:c r="X915" s="2" t="str">
        <x:v>https://human-settlement.emergency.copernicus.eu/ghs_buV2023.php</x:v>
      </x:c>
    </x:row>
    <x:row r="916" ht="23" customHeight="1">
      <x:c r="A916" s="2" t="str">
        <x:v>MHL</x:v>
      </x:c>
      <x:c r="B916" s="2" t="str">
        <x:v>Marshall Islands (Republic of the)</x:v>
      </x:c>
      <x:c r="C916" s="2" t="n">
        <x:v>2015</x:v>
      </x:c>
      <x:c r="D916" s="2" t="str">
        <x:v>GHSL_VOLUME</x:v>
      </x:c>
      <x:c r="E916" s="17" t="n">
        <x:v>195648.419756377</x:v>
      </x:c>
      <x:c r="F916" s="17" t="n">
        <x:f>IF(AND(M916,ISNUMBER(R916)),IF(D916="TEMPO_PROXY",R916,IF(AND(ISNUMBER(S916),S916&gt;0,ISNUMBER(U916)),U916*R916/S916,"n.a.")),"n.a.")</x:f>
        <x:v>549594.6132640295</x:v>
      </x:c>
      <x:c r="G916" s="17" t="n">
        <x:f>IF(AND(ISNUMBER(E916),ISNUMBER(F916)),E916-F916,"n.a.")</x:f>
        <x:v>-353946.1935076525</x:v>
      </x:c>
      <x:c r="H916" s="15" t="n">
        <x:f>IF(AND(ISNUMBER(E916),ISNUMBER(F916),F916&gt;0),(E916-F916)/F916,"n.a.")</x:f>
        <x:v>-0.644013214404658</x:v>
      </x:c>
      <x:c r="I916" s="19" t="n">
        <x:f>IF(ISNUMBER(H916),ABS(H916),"n.a.")</x:f>
        <x:v>0.644013214404658</x:v>
      </x:c>
      <x:c r="J916" s="2" t="str">
        <x:v>available</x:v>
      </x:c>
      <x:c r="K916" s="2" t="n">
        <x:v>1</x:v>
      </x:c>
      <x:c r="L916" s="13" t="b">
        <x:v>0</x:v>
      </x:c>
      <x:c r="M916" s="13" t="b">
        <x:v>1</x:v>
      </x:c>
      <x:c r="N916" s="2" t="str">
        <x:v>modeled_epoch_volume_with_fixed2018_height_and_predominant_use</x:v>
      </x:c>
      <x:c r="O916" s="2" t="str"/>
      <x:c r="P916" s="2" t="str">
        <x:v>built-up volume</x:v>
      </x:c>
      <x:c r="Q916" s="2" t="str">
        <x:v>m3</x:v>
      </x:c>
      <x:c r="R916" s="17" t="n">
        <x:v>1446778.9215686275</x:v>
      </x:c>
      <x:c r="S916" s="17" t="n">
        <x:v>523585.21</x:v>
      </x:c>
      <x:c r="T916" s="18" t="n">
        <x:v>0.3798746339683659</x:v>
      </x:c>
      <x:c r="U916" s="17" t="n">
        <x:v>198896.74</x:v>
      </x:c>
      <x:c r="V916" s="2" t="str">
        <x:v>Area equivalent = model2020 * source volume / TEMPO2020 volume</x:v>
      </x:c>
      <x:c r="W916" s="2" t="str">
        <x:v>qualified_paired_native_source_frame</x:v>
      </x:c>
      <x:c r="X916" s="2" t="str">
        <x:v>https://human-settlement.emergency.copernicus.eu/ghs_buV2023.php</x:v>
      </x:c>
    </x:row>
    <x:row r="917" ht="23" customHeight="1">
      <x:c r="A917" s="2" t="str">
        <x:v>MKD</x:v>
      </x:c>
      <x:c r="B917" s="2" t="str">
        <x:v>North Macedonia (Republic of)</x:v>
      </x:c>
      <x:c r="C917" s="2" t="n">
        <x:v>2015</x:v>
      </x:c>
      <x:c r="D917" s="2" t="str">
        <x:v>GHSL_VOLUME</x:v>
      </x:c>
      <x:c r="E917" s="17" t="n">
        <x:v>114316435.8808353</x:v>
      </x:c>
      <x:c r="F917" s="17" t="n">
        <x:f>IF(AND(M917,ISNUMBER(R917)),IF(D917="TEMPO_PROXY",R917,IF(AND(ISNUMBER(S917),S917&gt;0,ISNUMBER(U917)),U917*R917/S917,"n.a.")),"n.a.")</x:f>
        <x:v>242612318.16022062</x:v>
      </x:c>
      <x:c r="G917" s="17" t="n">
        <x:f>IF(AND(ISNUMBER(E917),ISNUMBER(F917)),E917-F917,"n.a.")</x:f>
        <x:v>-128295882.27938533</x:v>
      </x:c>
      <x:c r="H917" s="15" t="n">
        <x:f>IF(AND(ISNUMBER(E917),ISNUMBER(F917),F917&gt;0),(E917-F917)/F917,"n.a.")</x:f>
        <x:v>-0.5288102568421897</x:v>
      </x:c>
      <x:c r="I917" s="19" t="n">
        <x:f>IF(ISNUMBER(H917),ABS(H917),"n.a.")</x:f>
        <x:v>0.5288102568421897</x:v>
      </x:c>
      <x:c r="J917" s="2" t="str">
        <x:v>available</x:v>
      </x:c>
      <x:c r="K917" s="2" t="n">
        <x:v>1</x:v>
      </x:c>
      <x:c r="L917" s="13" t="b">
        <x:v>0</x:v>
      </x:c>
      <x:c r="M917" s="13" t="b">
        <x:v>1</x:v>
      </x:c>
      <x:c r="N917" s="2" t="str">
        <x:v>modeled_epoch_volume_with_fixed2018_height_and_predominant_use</x:v>
      </x:c>
      <x:c r="O917" s="2" t="str"/>
      <x:c r="P917" s="2" t="str">
        <x:v>built-up volume</x:v>
      </x:c>
      <x:c r="Q917" s="2" t="str">
        <x:v>m3</x:v>
      </x:c>
      <x:c r="R917" s="17" t="n">
        <x:v>746281425.3882352</x:v>
      </x:c>
      <x:c r="S917" s="17" t="n">
        <x:v>375858818.67</x:v>
      </x:c>
      <x:c r="T917" s="18" t="n">
        <x:v>0.32509494395362626</x:v>
      </x:c>
      <x:c r="U917" s="17" t="n">
        <x:v>122189801.58999982</x:v>
      </x:c>
      <x:c r="V917" s="2" t="str">
        <x:v>Area equivalent = model2020 * source volume / TEMPO2020 volume</x:v>
      </x:c>
      <x:c r="W917" s="2" t="str">
        <x:v>qualified_paired_native_source_frame</x:v>
      </x:c>
      <x:c r="X917" s="2" t="str">
        <x:v>https://human-settlement.emergency.copernicus.eu/ghs_buV2023.php</x:v>
      </x:c>
    </x:row>
    <x:row r="918" ht="23" customHeight="1">
      <x:c r="A918" s="2" t="str">
        <x:v>MLI</x:v>
      </x:c>
      <x:c r="B918" s="2" t="str">
        <x:v>Mali (Republic of)</x:v>
      </x:c>
      <x:c r="C918" s="2" t="n">
        <x:v>2015</x:v>
      </x:c>
      <x:c r="D918" s="2" t="str">
        <x:v>GHSL_VOLUME</x:v>
      </x:c>
      <x:c r="E918" s="17" t="n">
        <x:v>292905544.7978866</x:v>
      </x:c>
      <x:c r="F918" s="17" t="n">
        <x:f>IF(AND(M918,ISNUMBER(R918)),IF(D918="TEMPO_PROXY",R918,IF(AND(ISNUMBER(S918),S918&gt;0,ISNUMBER(U918)),U918*R918/S918,"n.a.")),"n.a.")</x:f>
        <x:v>1720987764.0127528</x:v>
      </x:c>
      <x:c r="G918" s="17" t="n">
        <x:f>IF(AND(ISNUMBER(E918),ISNUMBER(F918)),E918-F918,"n.a.")</x:f>
        <x:v>-1428082219.2148662</x:v>
      </x:c>
      <x:c r="H918" s="15" t="n">
        <x:f>IF(AND(ISNUMBER(E918),ISNUMBER(F918),F918&gt;0),(E918-F918)/F918,"n.a.")</x:f>
        <x:v>-0.8298038191073879</x:v>
      </x:c>
      <x:c r="I918" s="19" t="n">
        <x:f>IF(ISNUMBER(H918),ABS(H918),"n.a.")</x:f>
        <x:v>0.8298038191073879</x:v>
      </x:c>
      <x:c r="J918" s="2" t="str">
        <x:v>available</x:v>
      </x:c>
      <x:c r="K918" s="2" t="n">
        <x:v>1</x:v>
      </x:c>
      <x:c r="L918" s="13" t="b">
        <x:v>0</x:v>
      </x:c>
      <x:c r="M918" s="13" t="b">
        <x:v>1</x:v>
      </x:c>
      <x:c r="N918" s="2" t="str">
        <x:v>modeled_epoch_volume_with_fixed2018_height_and_predominant_use</x:v>
      </x:c>
      <x:c r="O918" s="2" t="str"/>
      <x:c r="P918" s="2" t="str">
        <x:v>built-up volume</x:v>
      </x:c>
      <x:c r="Q918" s="2" t="str">
        <x:v>m3</x:v>
      </x:c>
      <x:c r="R918" s="17" t="n">
        <x:v>3915538250.596079</x:v>
      </x:c>
      <x:c r="S918" s="17" t="n">
        <x:v>736488951.99</x:v>
      </x:c>
      <x:c r="T918" s="18" t="n">
        <x:v>0.43952776192411336</x:v>
      </x:c>
      <x:c r="U918" s="17" t="n">
        <x:v>323707340.7500005</x:v>
      </x:c>
      <x:c r="V918" s="2" t="str">
        <x:v>Area equivalent = model2020 * source volume / TEMPO2020 volume</x:v>
      </x:c>
      <x:c r="W918" s="2" t="str">
        <x:v>qualified_paired_native_source_frame</x:v>
      </x:c>
      <x:c r="X918" s="2" t="str">
        <x:v>https://human-settlement.emergency.copernicus.eu/ghs_buV2023.php</x:v>
      </x:c>
    </x:row>
    <x:row r="919" ht="23" customHeight="1">
      <x:c r="A919" s="2" t="str">
        <x:v>MLT</x:v>
      </x:c>
      <x:c r="B919" s="2" t="str">
        <x:v>Malta (Republic of)</x:v>
      </x:c>
      <x:c r="C919" s="2" t="n">
        <x:v>2015</x:v>
      </x:c>
      <x:c r="D919" s="2" t="str">
        <x:v>GHSL_VOLUME</x:v>
      </x:c>
      <x:c r="E919" s="17" t="n">
        <x:v>33156469.088490263</x:v>
      </x:c>
      <x:c r="F919" s="17" t="n">
        <x:f>IF(AND(M919,ISNUMBER(R919)),IF(D919="TEMPO_PROXY",R919,IF(AND(ISNUMBER(S919),S919&gt;0,ISNUMBER(U919)),U919*R919/S919,"n.a.")),"n.a.")</x:f>
        <x:v>67769921.24568778</x:v>
      </x:c>
      <x:c r="G919" s="17" t="n">
        <x:f>IF(AND(ISNUMBER(E919),ISNUMBER(F919)),E919-F919,"n.a.")</x:f>
        <x:v>-34613452.15719752</x:v>
      </x:c>
      <x:c r="H919" s="15" t="n">
        <x:f>IF(AND(ISNUMBER(E919),ISNUMBER(F919),F919&gt;0),(E919-F919)/F919,"n.a.")</x:f>
        <x:v>-0.5107494817901973</x:v>
      </x:c>
      <x:c r="I919" s="19" t="n">
        <x:f>IF(ISNUMBER(H919),ABS(H919),"n.a.")</x:f>
        <x:v>0.5107494817901973</x:v>
      </x:c>
      <x:c r="J919" s="2" t="str">
        <x:v>available</x:v>
      </x:c>
      <x:c r="K919" s="2" t="n">
        <x:v>1</x:v>
      </x:c>
      <x:c r="L919" s="13" t="b">
        <x:v>0</x:v>
      </x:c>
      <x:c r="M919" s="13" t="b">
        <x:v>1</x:v>
      </x:c>
      <x:c r="N919" s="2" t="str">
        <x:v>modeled_epoch_volume_with_fixed2018_height_and_predominant_use</x:v>
      </x:c>
      <x:c r="O919" s="2" t="str"/>
      <x:c r="P919" s="2" t="str">
        <x:v>built-up volume</x:v>
      </x:c>
      <x:c r="Q919" s="2" t="str">
        <x:v>m3</x:v>
      </x:c>
      <x:c r="R919" s="17" t="n">
        <x:v>257944259.91372555</x:v>
      </x:c>
      <x:c r="S919" s="17" t="n">
        <x:v>133548779.75</x:v>
      </x:c>
      <x:c r="T919" s="18" t="n">
        <x:v>0.2627308755323912</x:v>
      </x:c>
      <x:c r="U919" s="17" t="n">
        <x:v>35087387.829999976</x:v>
      </x:c>
      <x:c r="V919" s="2" t="str">
        <x:v>Area equivalent = model2020 * source volume / TEMPO2020 volume</x:v>
      </x:c>
      <x:c r="W919" s="2" t="str">
        <x:v>qualified_paired_native_source_frame</x:v>
      </x:c>
      <x:c r="X919" s="2" t="str">
        <x:v>https://human-settlement.emergency.copernicus.eu/ghs_buV2023.php</x:v>
      </x:c>
    </x:row>
    <x:row r="920" ht="23" customHeight="1">
      <x:c r="A920" s="2" t="str">
        <x:v>MMR</x:v>
      </x:c>
      <x:c r="B920" s="2" t="str">
        <x:v>Myanmar (Republic of the Union of)</x:v>
      </x:c>
      <x:c r="C920" s="2" t="n">
        <x:v>2015</x:v>
      </x:c>
      <x:c r="D920" s="2" t="str">
        <x:v>GHSL_VOLUME</x:v>
      </x:c>
      <x:c r="E920" s="17" t="n">
        <x:v>1286938747.3309321</x:v>
      </x:c>
      <x:c r="F920" s="17" t="n">
        <x:f>IF(AND(M920,ISNUMBER(R920)),IF(D920="TEMPO_PROXY",R920,IF(AND(ISNUMBER(S920),S920&gt;0,ISNUMBER(U920)),U920*R920/S920,"n.a.")),"n.a.")</x:f>
        <x:v>2006644587.1356754</x:v>
      </x:c>
      <x:c r="G920" s="17" t="n">
        <x:f>IF(AND(ISNUMBER(E920),ISNUMBER(F920)),E920-F920,"n.a.")</x:f>
        <x:v>-719705839.8047433</x:v>
      </x:c>
      <x:c r="H920" s="15" t="n">
        <x:f>IF(AND(ISNUMBER(E920),ISNUMBER(F920),F920&gt;0),(E920-F920)/F920,"n.a.")</x:f>
        <x:v>-0.35866134163402885</x:v>
      </x:c>
      <x:c r="I920" s="19" t="n">
        <x:f>IF(ISNUMBER(H920),ABS(H920),"n.a.")</x:f>
        <x:v>0.35866134163402885</x:v>
      </x:c>
      <x:c r="J920" s="2" t="str">
        <x:v>available</x:v>
      </x:c>
      <x:c r="K920" s="2" t="n">
        <x:v>1</x:v>
      </x:c>
      <x:c r="L920" s="13" t="b">
        <x:v>0</x:v>
      </x:c>
      <x:c r="M920" s="13" t="b">
        <x:v>1</x:v>
      </x:c>
      <x:c r="N920" s="2" t="str">
        <x:v>modeled_epoch_volume_with_fixed2018_height_and_predominant_use</x:v>
      </x:c>
      <x:c r="O920" s="2" t="str"/>
      <x:c r="P920" s="2" t="str">
        <x:v>built-up volume</x:v>
      </x:c>
      <x:c r="Q920" s="2" t="str">
        <x:v>m3</x:v>
      </x:c>
      <x:c r="R920" s="17" t="n">
        <x:v>4909759777.050981</x:v>
      </x:c>
      <x:c r="S920" s="17" t="n">
        <x:v>3369578170.41</x:v>
      </x:c>
      <x:c r="T920" s="18" t="n">
        <x:v>0.40870524796652175</x:v>
      </x:c>
      <x:c r="U920" s="17" t="n">
        <x:v>1377164281.6799977</x:v>
      </x:c>
      <x:c r="V920" s="2" t="str">
        <x:v>Area equivalent = model2020 * source volume / TEMPO2020 volume</x:v>
      </x:c>
      <x:c r="W920" s="2" t="str">
        <x:v>qualified_paired_native_source_frame</x:v>
      </x:c>
      <x:c r="X920" s="2" t="str">
        <x:v>https://human-settlement.emergency.copernicus.eu/ghs_buV2023.php</x:v>
      </x:c>
    </x:row>
    <x:row r="921" ht="23" customHeight="1">
      <x:c r="A921" s="2" t="str">
        <x:v>MNE</x:v>
      </x:c>
      <x:c r="B921" s="2" t="str">
        <x:v>Montenegro</x:v>
      </x:c>
      <x:c r="C921" s="2" t="n">
        <x:v>2015</x:v>
      </x:c>
      <x:c r="D921" s="2" t="str">
        <x:v>GHSL_VOLUME</x:v>
      </x:c>
      <x:c r="E921" s="17" t="n">
        <x:v>36534168.559464976</x:v>
      </x:c>
      <x:c r="F921" s="17" t="n">
        <x:f>IF(AND(M921,ISNUMBER(R921)),IF(D921="TEMPO_PROXY",R921,IF(AND(ISNUMBER(S921),S921&gt;0,ISNUMBER(U921)),U921*R921/S921,"n.a.")),"n.a.")</x:f>
        <x:v>73006341.8730741</x:v>
      </x:c>
      <x:c r="G921" s="17" t="n">
        <x:f>IF(AND(ISNUMBER(E921),ISNUMBER(F921)),E921-F921,"n.a.")</x:f>
        <x:v>-36472173.31360912</x:v>
      </x:c>
      <x:c r="H921" s="15" t="n">
        <x:f>IF(AND(ISNUMBER(E921),ISNUMBER(F921),F921&gt;0),(E921-F921)/F921,"n.a.")</x:f>
        <x:v>-0.4995754119144633</x:v>
      </x:c>
      <x:c r="I921" s="19" t="n">
        <x:f>IF(ISNUMBER(H921),ABS(H921),"n.a.")</x:f>
        <x:v>0.4995754119144633</x:v>
      </x:c>
      <x:c r="J921" s="2" t="str">
        <x:v>available</x:v>
      </x:c>
      <x:c r="K921" s="2" t="n">
        <x:v>1</x:v>
      </x:c>
      <x:c r="L921" s="13" t="b">
        <x:v>0</x:v>
      </x:c>
      <x:c r="M921" s="13" t="b">
        <x:v>1</x:v>
      </x:c>
      <x:c r="N921" s="2" t="str">
        <x:v>modeled_epoch_volume_with_fixed2018_height_and_predominant_use</x:v>
      </x:c>
      <x:c r="O921" s="2" t="str"/>
      <x:c r="P921" s="2" t="str">
        <x:v>built-up volume</x:v>
      </x:c>
      <x:c r="Q921" s="2" t="str">
        <x:v>m3</x:v>
      </x:c>
      <x:c r="R921" s="17" t="n">
        <x:v>190071678.44313726</x:v>
      </x:c>
      <x:c r="S921" s="17" t="n">
        <x:v>102701774.08</x:v>
      </x:c>
      <x:c r="T921" s="18" t="n">
        <x:v>0.38409900134024977</x:v>
      </x:c>
      <x:c r="U921" s="17" t="n">
        <x:v>39447648.85999995</x:v>
      </x:c>
      <x:c r="V921" s="2" t="str">
        <x:v>Area equivalent = model2020 * source volume / TEMPO2020 volume</x:v>
      </x:c>
      <x:c r="W921" s="2" t="str">
        <x:v>qualified_paired_native_source_frame</x:v>
      </x:c>
      <x:c r="X921" s="2" t="str">
        <x:v>https://human-settlement.emergency.copernicus.eu/ghs_buV2023.php</x:v>
      </x:c>
    </x:row>
    <x:row r="922" ht="23" customHeight="1">
      <x:c r="A922" s="2" t="str">
        <x:v>MNG</x:v>
      </x:c>
      <x:c r="B922" s="2" t="str">
        <x:v>Mongolia</x:v>
      </x:c>
      <x:c r="C922" s="2" t="n">
        <x:v>2015</x:v>
      </x:c>
      <x:c r="D922" s="2" t="str">
        <x:v>GHSL_VOLUME</x:v>
      </x:c>
      <x:c r="E922" s="17" t="n">
        <x:v>80989306.79948433</x:v>
      </x:c>
      <x:c r="F922" s="17" t="n">
        <x:f>IF(AND(M922,ISNUMBER(R922)),IF(D922="TEMPO_PROXY",R922,IF(AND(ISNUMBER(S922),S922&gt;0,ISNUMBER(U922)),U922*R922/S922,"n.a.")),"n.a.")</x:f>
        <x:v>306629100.5164915</x:v>
      </x:c>
      <x:c r="G922" s="17" t="n">
        <x:f>IF(AND(ISNUMBER(E922),ISNUMBER(F922)),E922-F922,"n.a.")</x:f>
        <x:v>-225639793.71700716</x:v>
      </x:c>
      <x:c r="H922" s="15" t="n">
        <x:f>IF(AND(ISNUMBER(E922),ISNUMBER(F922),F922&gt;0),(E922-F922)/F922,"n.a.")</x:f>
        <x:v>-0.7358720791240476</x:v>
      </x:c>
      <x:c r="I922" s="19" t="n">
        <x:f>IF(ISNUMBER(H922),ABS(H922),"n.a.")</x:f>
        <x:v>0.7358720791240476</x:v>
      </x:c>
      <x:c r="J922" s="2" t="str">
        <x:v>available</x:v>
      </x:c>
      <x:c r="K922" s="2" t="n">
        <x:v>1</x:v>
      </x:c>
      <x:c r="L922" s="13" t="b">
        <x:v>0</x:v>
      </x:c>
      <x:c r="M922" s="13" t="b">
        <x:v>1</x:v>
      </x:c>
      <x:c r="N922" s="2" t="str">
        <x:v>modeled_epoch_volume_with_fixed2018_height_and_predominant_use</x:v>
      </x:c>
      <x:c r="O922" s="2" t="str"/>
      <x:c r="P922" s="2" t="str">
        <x:v>built-up volume</x:v>
      </x:c>
      <x:c r="Q922" s="2" t="str">
        <x:v>m3</x:v>
      </x:c>
      <x:c r="R922" s="17" t="n">
        <x:v>951959532.6823529</x:v>
      </x:c>
      <x:c r="S922" s="17" t="n">
        <x:v>258745858.2</x:v>
      </x:c>
      <x:c r="T922" s="18" t="n">
        <x:v>0.3221030831557486</x:v>
      </x:c>
      <x:c r="U922" s="17" t="n">
        <x:v>83342838.68000013</x:v>
      </x:c>
      <x:c r="V922" s="2" t="str">
        <x:v>Area equivalent = model2020 * source volume / TEMPO2020 volume</x:v>
      </x:c>
      <x:c r="W922" s="2" t="str">
        <x:v>qualified_paired_native_source_frame</x:v>
      </x:c>
      <x:c r="X922" s="2" t="str">
        <x:v>https://human-settlement.emergency.copernicus.eu/ghs_buV2023.php</x:v>
      </x:c>
    </x:row>
    <x:row r="923" ht="23" customHeight="1">
      <x:c r="A923" s="2" t="str">
        <x:v>MOZ</x:v>
      </x:c>
      <x:c r="B923" s="2" t="str">
        <x:v>Mozambique (Republic of)</x:v>
      </x:c>
      <x:c r="C923" s="2" t="n">
        <x:v>2015</x:v>
      </x:c>
      <x:c r="D923" s="2" t="str">
        <x:v>GHSL_VOLUME</x:v>
      </x:c>
      <x:c r="E923" s="17" t="n">
        <x:v>435532536.29439145</x:v>
      </x:c>
      <x:c r="F923" s="17" t="n">
        <x:f>IF(AND(M923,ISNUMBER(R923)),IF(D923="TEMPO_PROXY",R923,IF(AND(ISNUMBER(S923),S923&gt;0,ISNUMBER(U923)),U923*R923/S923,"n.a.")),"n.a.")</x:f>
        <x:v>3076164201.379042</x:v>
      </x:c>
      <x:c r="G923" s="17" t="n">
        <x:f>IF(AND(ISNUMBER(E923),ISNUMBER(F923)),E923-F923,"n.a.")</x:f>
        <x:v>-2640631665.0846505</x:v>
      </x:c>
      <x:c r="H923" s="15" t="n">
        <x:f>IF(AND(ISNUMBER(E923),ISNUMBER(F923),F923&gt;0),(E923-F923)/F923,"n.a.")</x:f>
        <x:v>-0.8584170064461635</x:v>
      </x:c>
      <x:c r="I923" s="19" t="n">
        <x:f>IF(ISNUMBER(H923),ABS(H923),"n.a.")</x:f>
        <x:v>0.8584170064461635</x:v>
      </x:c>
      <x:c r="J923" s="2" t="str">
        <x:v>available</x:v>
      </x:c>
      <x:c r="K923" s="2" t="n">
        <x:v>1</x:v>
      </x:c>
      <x:c r="L923" s="13" t="b">
        <x:v>0</x:v>
      </x:c>
      <x:c r="M923" s="13" t="b">
        <x:v>1</x:v>
      </x:c>
      <x:c r="N923" s="2" t="str">
        <x:v>modeled_epoch_volume_with_fixed2018_height_and_predominant_use</x:v>
      </x:c>
      <x:c r="O923" s="2" t="str"/>
      <x:c r="P923" s="2" t="str">
        <x:v>built-up volume</x:v>
      </x:c>
      <x:c r="Q923" s="2" t="str">
        <x:v>m3</x:v>
      </x:c>
      <x:c r="R923" s="17" t="n">
        <x:v>6222209889.486275</x:v>
      </x:c>
      <x:c r="S923" s="17" t="n">
        <x:v>1093908126.41</x:v>
      </x:c>
      <x:c r="T923" s="18" t="n">
        <x:v>0.4943845122577535</x:v>
      </x:c>
      <x:c r="U923" s="17" t="n">
        <x:v>540811235.5300008</x:v>
      </x:c>
      <x:c r="V923" s="2" t="str">
        <x:v>Area equivalent = model2020 * source volume / TEMPO2020 volume</x:v>
      </x:c>
      <x:c r="W923" s="2" t="str">
        <x:v>qualified_paired_native_source_frame</x:v>
      </x:c>
      <x:c r="X923" s="2" t="str">
        <x:v>https://human-settlement.emergency.copernicus.eu/ghs_buV2023.php</x:v>
      </x:c>
    </x:row>
    <x:row r="924" ht="23" customHeight="1">
      <x:c r="A924" s="2" t="str">
        <x:v>MRT</x:v>
      </x:c>
      <x:c r="B924" s="2" t="str">
        <x:v>Mauritania (Islamic Republic of)</x:v>
      </x:c>
      <x:c r="C924" s="2" t="n">
        <x:v>2015</x:v>
      </x:c>
      <x:c r="D924" s="2" t="str">
        <x:v>GHSL_VOLUME</x:v>
      </x:c>
      <x:c r="E924" s="17" t="n">
        <x:v>72013775.59625307</x:v>
      </x:c>
      <x:c r="F924" s="17" t="n">
        <x:f>IF(AND(M924,ISNUMBER(R924)),IF(D924="TEMPO_PROXY",R924,IF(AND(ISNUMBER(S924),S924&gt;0,ISNUMBER(U924)),U924*R924/S924,"n.a.")),"n.a.")</x:f>
        <x:v>349546747.9715655</x:v>
      </x:c>
      <x:c r="G924" s="17" t="n">
        <x:f>IF(AND(ISNUMBER(E924),ISNUMBER(F924)),E924-F924,"n.a.")</x:f>
        <x:v>-277532972.37531245</x:v>
      </x:c>
      <x:c r="H924" s="15" t="n">
        <x:f>IF(AND(ISNUMBER(E924),ISNUMBER(F924),F924&gt;0),(E924-F924)/F924,"n.a.")</x:f>
        <x:v>-0.7939795577725954</x:v>
      </x:c>
      <x:c r="I924" s="19" t="n">
        <x:f>IF(ISNUMBER(H924),ABS(H924),"n.a.")</x:f>
        <x:v>0.7939795577725954</x:v>
      </x:c>
      <x:c r="J924" s="2" t="str">
        <x:v>available</x:v>
      </x:c>
      <x:c r="K924" s="2" t="n">
        <x:v>1</x:v>
      </x:c>
      <x:c r="L924" s="13" t="b">
        <x:v>0</x:v>
      </x:c>
      <x:c r="M924" s="13" t="b">
        <x:v>1</x:v>
      </x:c>
      <x:c r="N924" s="2" t="str">
        <x:v>modeled_epoch_volume_with_fixed2018_height_and_predominant_use</x:v>
      </x:c>
      <x:c r="O924" s="2" t="str"/>
      <x:c r="P924" s="2" t="str">
        <x:v>built-up volume</x:v>
      </x:c>
      <x:c r="Q924" s="2" t="str">
        <x:v>m3</x:v>
      </x:c>
      <x:c r="R924" s="17" t="n">
        <x:v>829577989.309804</x:v>
      </x:c>
      <x:c r="S924" s="17" t="n">
        <x:v>231122160.53</x:v>
      </x:c>
      <x:c r="T924" s="18" t="n">
        <x:v>0.4213548966775059</x:v>
      </x:c>
      <x:c r="U924" s="17" t="n">
        <x:v>97384454.07000008</x:v>
      </x:c>
      <x:c r="V924" s="2" t="str">
        <x:v>Area equivalent = model2020 * source volume / TEMPO2020 volume</x:v>
      </x:c>
      <x:c r="W924" s="2" t="str">
        <x:v>qualified_paired_native_source_frame</x:v>
      </x:c>
      <x:c r="X924" s="2" t="str">
        <x:v>https://human-settlement.emergency.copernicus.eu/ghs_buV2023.php</x:v>
      </x:c>
    </x:row>
    <x:row r="925" ht="23" customHeight="1">
      <x:c r="A925" s="2" t="str">
        <x:v>MUS</x:v>
      </x:c>
      <x:c r="B925" s="2" t="str">
        <x:v>Mauritius (Republic of)</x:v>
      </x:c>
      <x:c r="C925" s="2" t="n">
        <x:v>2015</x:v>
      </x:c>
      <x:c r="D925" s="2" t="str">
        <x:v>GHSL_VOLUME</x:v>
      </x:c>
      <x:c r="E925" s="17" t="n">
        <x:v>62566806.81444254</x:v>
      </x:c>
      <x:c r="F925" s="17" t="n">
        <x:f>IF(AND(M925,ISNUMBER(R925)),IF(D925="TEMPO_PROXY",R925,IF(AND(ISNUMBER(S925),S925&gt;0,ISNUMBER(U925)),U925*R925/S925,"n.a.")),"n.a.")</x:f>
        <x:v>130780801.2294509</x:v>
      </x:c>
      <x:c r="G925" s="17" t="n">
        <x:f>IF(AND(ISNUMBER(E925),ISNUMBER(F925)),E925-F925,"n.a.")</x:f>
        <x:v>-68213994.41500837</x:v>
      </x:c>
      <x:c r="H925" s="15" t="n">
        <x:f>IF(AND(ISNUMBER(E925),ISNUMBER(F925),F925&gt;0),(E925-F925)/F925,"n.a.")</x:f>
        <x:v>-0.5215902775769741</x:v>
      </x:c>
      <x:c r="I925" s="19" t="n">
        <x:f>IF(ISNUMBER(H925),ABS(H925),"n.a.")</x:f>
        <x:v>0.5215902775769741</x:v>
      </x:c>
      <x:c r="J925" s="2" t="str">
        <x:v>available</x:v>
      </x:c>
      <x:c r="K925" s="2" t="n">
        <x:v>1</x:v>
      </x:c>
      <x:c r="L925" s="13" t="b">
        <x:v>0</x:v>
      </x:c>
      <x:c r="M925" s="13" t="b">
        <x:v>1</x:v>
      </x:c>
      <x:c r="N925" s="2" t="str">
        <x:v>modeled_epoch_volume_with_fixed2018_height_and_predominant_use</x:v>
      </x:c>
      <x:c r="O925" s="2" t="str"/>
      <x:c r="P925" s="2" t="str">
        <x:v>built-up volume</x:v>
      </x:c>
      <x:c r="Q925" s="2" t="str">
        <x:v>m3</x:v>
      </x:c>
      <x:c r="R925" s="17" t="n">
        <x:v>387913544.2156864</x:v>
      </x:c>
      <x:c r="S925" s="17" t="n">
        <x:v>193251324.58</x:v>
      </x:c>
      <x:c r="T925" s="18" t="n">
        <x:v>0.33713904342750817</x:v>
      </x:c>
      <x:c r="U925" s="17" t="n">
        <x:v>65152566.7100001</x:v>
      </x:c>
      <x:c r="V925" s="2" t="str">
        <x:v>Area equivalent = model2020 * source volume / TEMPO2020 volume</x:v>
      </x:c>
      <x:c r="W925" s="2" t="str">
        <x:v>qualified_paired_native_source_frame</x:v>
      </x:c>
      <x:c r="X925" s="2" t="str">
        <x:v>https://human-settlement.emergency.copernicus.eu/ghs_buV2023.php</x:v>
      </x:c>
    </x:row>
    <x:row r="926" ht="23" customHeight="1">
      <x:c r="A926" s="2" t="str">
        <x:v>MWI</x:v>
      </x:c>
      <x:c r="B926" s="2" t="str">
        <x:v>Malawi (Republic of)</x:v>
      </x:c>
      <x:c r="C926" s="2" t="n">
        <x:v>2015</x:v>
      </x:c>
      <x:c r="D926" s="2" t="str">
        <x:v>GHSL_VOLUME</x:v>
      </x:c>
      <x:c r="E926" s="17" t="n">
        <x:v>275589507.2350312</x:v>
      </x:c>
      <x:c r="F926" s="17" t="n">
        <x:f>IF(AND(M926,ISNUMBER(R926)),IF(D926="TEMPO_PROXY",R926,IF(AND(ISNUMBER(S926),S926&gt;0,ISNUMBER(U926)),U926*R926/S926,"n.a.")),"n.a.")</x:f>
        <x:v>1542025124.5429966</x:v>
      </x:c>
      <x:c r="G926" s="17" t="n">
        <x:f>IF(AND(ISNUMBER(E926),ISNUMBER(F926)),E926-F926,"n.a.")</x:f>
        <x:v>-1266435617.3079655</x:v>
      </x:c>
      <x:c r="H926" s="15" t="n">
        <x:f>IF(AND(ISNUMBER(E926),ISNUMBER(F926),F926&gt;0),(E926-F926)/F926,"n.a.")</x:f>
        <x:v>-0.8212807931279936</x:v>
      </x:c>
      <x:c r="I926" s="19" t="n">
        <x:f>IF(ISNUMBER(H926),ABS(H926),"n.a.")</x:f>
        <x:v>0.8212807931279936</x:v>
      </x:c>
      <x:c r="J926" s="2" t="str">
        <x:v>available</x:v>
      </x:c>
      <x:c r="K926" s="2" t="n">
        <x:v>1</x:v>
      </x:c>
      <x:c r="L926" s="13" t="b">
        <x:v>0</x:v>
      </x:c>
      <x:c r="M926" s="13" t="b">
        <x:v>1</x:v>
      </x:c>
      <x:c r="N926" s="2" t="str">
        <x:v>modeled_epoch_volume_with_fixed2018_height_and_predominant_use</x:v>
      </x:c>
      <x:c r="O926" s="2" t="str"/>
      <x:c r="P926" s="2" t="str">
        <x:v>built-up volume</x:v>
      </x:c>
      <x:c r="Q926" s="2" t="str">
        <x:v>m3</x:v>
      </x:c>
      <x:c r="R926" s="17" t="n">
        <x:v>3007928410.7843122</x:v>
      </x:c>
      <x:c r="S926" s="17" t="n">
        <x:v>645214789.74</x:v>
      </x:c>
      <x:c r="T926" s="18" t="n">
        <x:v>0.512653532249764</x:v>
      </x:c>
      <x:c r="U926" s="17" t="n">
        <x:v>330771641.01999974</x:v>
      </x:c>
      <x:c r="V926" s="2" t="str">
        <x:v>Area equivalent = model2020 * source volume / TEMPO2020 volume</x:v>
      </x:c>
      <x:c r="W926" s="2" t="str">
        <x:v>qualified_paired_native_source_frame</x:v>
      </x:c>
      <x:c r="X926" s="2" t="str">
        <x:v>https://human-settlement.emergency.copernicus.eu/ghs_buV2023.php</x:v>
      </x:c>
    </x:row>
    <x:row r="927" ht="23" customHeight="1">
      <x:c r="A927" s="2" t="str">
        <x:v>MYS</x:v>
      </x:c>
      <x:c r="B927" s="2" t="str">
        <x:v>Malaysia</x:v>
      </x:c>
      <x:c r="C927" s="2" t="n">
        <x:v>2015</x:v>
      </x:c>
      <x:c r="D927" s="2" t="str">
        <x:v>GHSL_VOLUME</x:v>
      </x:c>
      <x:c r="E927" s="17" t="n">
        <x:v>1864992782.9575677</x:v>
      </x:c>
      <x:c r="F927" s="17" t="n">
        <x:f>IF(AND(M927,ISNUMBER(R927)),IF(D927="TEMPO_PROXY",R927,IF(AND(ISNUMBER(S927),S927&gt;0,ISNUMBER(U927)),U927*R927/S927,"n.a.")),"n.a.")</x:f>
        <x:v>3636661340.368136</x:v>
      </x:c>
      <x:c r="G927" s="17" t="n">
        <x:f>IF(AND(ISNUMBER(E927),ISNUMBER(F927)),E927-F927,"n.a.")</x:f>
        <x:v>-1771668557.4105682</x:v>
      </x:c>
      <x:c r="H927" s="15" t="n">
        <x:f>IF(AND(ISNUMBER(E927),ISNUMBER(F927),F927&gt;0),(E927-F927)/F927,"n.a.")</x:f>
        <x:v>-0.4871689694458115</x:v>
      </x:c>
      <x:c r="I927" s="19" t="n">
        <x:f>IF(ISNUMBER(H927),ABS(H927),"n.a.")</x:f>
        <x:v>0.4871689694458115</x:v>
      </x:c>
      <x:c r="J927" s="2" t="str">
        <x:v>available</x:v>
      </x:c>
      <x:c r="K927" s="2" t="n">
        <x:v>1</x:v>
      </x:c>
      <x:c r="L927" s="13" t="b">
        <x:v>0</x:v>
      </x:c>
      <x:c r="M927" s="13" t="b">
        <x:v>1</x:v>
      </x:c>
      <x:c r="N927" s="2" t="str">
        <x:v>modeled_epoch_volume_with_fixed2018_height_and_predominant_use</x:v>
      </x:c>
      <x:c r="O927" s="2" t="str"/>
      <x:c r="P927" s="2" t="str">
        <x:v>built-up volume</x:v>
      </x:c>
      <x:c r="Q927" s="2" t="str">
        <x:v>m3</x:v>
      </x:c>
      <x:c r="R927" s="17" t="n">
        <x:v>12086710907.521568</x:v>
      </x:c>
      <x:c r="S927" s="17" t="n">
        <x:v>6783668146.53</x:v>
      </x:c>
      <x:c r="T927" s="18" t="n">
        <x:v>0.30088097317732976</x:v>
      </x:c>
      <x:c r="U927" s="17" t="n">
        <x:v>2041076673.6399992</x:v>
      </x:c>
      <x:c r="V927" s="2" t="str">
        <x:v>Area equivalent = model2020 * source volume / TEMPO2020 volume</x:v>
      </x:c>
      <x:c r="W927" s="2" t="str">
        <x:v>qualified_paired_native_source_frame</x:v>
      </x:c>
      <x:c r="X927" s="2" t="str">
        <x:v>https://human-settlement.emergency.copernicus.eu/ghs_buV2023.php</x:v>
      </x:c>
    </x:row>
    <x:row r="928" ht="23" customHeight="1">
      <x:c r="A928" s="2" t="str">
        <x:v>NAM</x:v>
      </x:c>
      <x:c r="B928" s="2" t="str">
        <x:v>Namibia (Republic of)</x:v>
      </x:c>
      <x:c r="C928" s="2" t="n">
        <x:v>2015</x:v>
      </x:c>
      <x:c r="D928" s="2" t="str">
        <x:v>GHSL_VOLUME</x:v>
      </x:c>
      <x:c r="E928" s="17" t="n">
        <x:v>89132702.8848472</x:v>
      </x:c>
      <x:c r="F928" s="17" t="n">
        <x:f>IF(AND(M928,ISNUMBER(R928)),IF(D928="TEMPO_PROXY",R928,IF(AND(ISNUMBER(S928),S928&gt;0,ISNUMBER(U928)),U928*R928/S928,"n.a.")),"n.a.")</x:f>
        <x:v>497813371.47171646</x:v>
      </x:c>
      <x:c r="G928" s="17" t="n">
        <x:f>IF(AND(ISNUMBER(E928),ISNUMBER(F928)),E928-F928,"n.a.")</x:f>
        <x:v>-408680668.58686924</x:v>
      </x:c>
      <x:c r="H928" s="15" t="n">
        <x:f>IF(AND(ISNUMBER(E928),ISNUMBER(F928),F928&gt;0),(E928-F928)/F928,"n.a.")</x:f>
        <x:v>-0.8209515694177947</x:v>
      </x:c>
      <x:c r="I928" s="19" t="n">
        <x:f>IF(ISNUMBER(H928),ABS(H928),"n.a.")</x:f>
        <x:v>0.8209515694177947</x:v>
      </x:c>
      <x:c r="J928" s="2" t="str">
        <x:v>available</x:v>
      </x:c>
      <x:c r="K928" s="2" t="n">
        <x:v>1</x:v>
      </x:c>
      <x:c r="L928" s="13" t="b">
        <x:v>0</x:v>
      </x:c>
      <x:c r="M928" s="13" t="b">
        <x:v>1</x:v>
      </x:c>
      <x:c r="N928" s="2" t="str">
        <x:v>modeled_epoch_volume_with_fixed2018_height_and_predominant_use</x:v>
      </x:c>
      <x:c r="O928" s="2" t="str"/>
      <x:c r="P928" s="2" t="str">
        <x:v>built-up volume</x:v>
      </x:c>
      <x:c r="Q928" s="2" t="str">
        <x:v>m3</x:v>
      </x:c>
      <x:c r="R928" s="17" t="n">
        <x:v>1045118652.5490196</x:v>
      </x:c>
      <x:c r="S928" s="17" t="n">
        <x:v>235986427.19</x:v>
      </x:c>
      <x:c r="T928" s="18" t="n">
        <x:v>0.47632234890991704</x:v>
      </x:c>
      <x:c r="U928" s="17" t="n">
        <x:v>112405609.30999991</x:v>
      </x:c>
      <x:c r="V928" s="2" t="str">
        <x:v>Area equivalent = model2020 * source volume / TEMPO2020 volume</x:v>
      </x:c>
      <x:c r="W928" s="2" t="str">
        <x:v>qualified_paired_native_source_frame</x:v>
      </x:c>
      <x:c r="X928" s="2" t="str">
        <x:v>https://human-settlement.emergency.copernicus.eu/ghs_buV2023.php</x:v>
      </x:c>
    </x:row>
    <x:row r="929" ht="23" customHeight="1">
      <x:c r="A929" s="2" t="str">
        <x:v>NER</x:v>
      </x:c>
      <x:c r="B929" s="2" t="str">
        <x:v>Niger (Republic of the)</x:v>
      </x:c>
      <x:c r="C929" s="2" t="n">
        <x:v>2015</x:v>
      </x:c>
      <x:c r="D929" s="2" t="str">
        <x:v>GHSL_VOLUME</x:v>
      </x:c>
      <x:c r="E929" s="17" t="n">
        <x:v>150823337.09848765</x:v>
      </x:c>
      <x:c r="F929" s="17" t="n">
        <x:f>IF(AND(M929,ISNUMBER(R929)),IF(D929="TEMPO_PROXY",R929,IF(AND(ISNUMBER(S929),S929&gt;0,ISNUMBER(U929)),U929*R929/S929,"n.a.")),"n.a.")</x:f>
        <x:v>975565216.9000318</x:v>
      </x:c>
      <x:c r="G929" s="17" t="n">
        <x:f>IF(AND(ISNUMBER(E929),ISNUMBER(F929)),E929-F929,"n.a.")</x:f>
        <x:v>-824741879.8015442</x:v>
      </x:c>
      <x:c r="H929" s="15" t="n">
        <x:f>IF(AND(ISNUMBER(E929),ISNUMBER(F929),F929&gt;0),(E929-F929)/F929,"n.a.")</x:f>
        <x:v>-0.8453990215254438</x:v>
      </x:c>
      <x:c r="I929" s="19" t="n">
        <x:f>IF(ISNUMBER(H929),ABS(H929),"n.a.")</x:f>
        <x:v>0.8453990215254438</x:v>
      </x:c>
      <x:c r="J929" s="2" t="str">
        <x:v>available</x:v>
      </x:c>
      <x:c r="K929" s="2" t="n">
        <x:v>1</x:v>
      </x:c>
      <x:c r="L929" s="13" t="b">
        <x:v>0</x:v>
      </x:c>
      <x:c r="M929" s="13" t="b">
        <x:v>1</x:v>
      </x:c>
      <x:c r="N929" s="2" t="str">
        <x:v>modeled_epoch_volume_with_fixed2018_height_and_predominant_use</x:v>
      </x:c>
      <x:c r="O929" s="2" t="str"/>
      <x:c r="P929" s="2" t="str">
        <x:v>built-up volume</x:v>
      </x:c>
      <x:c r="Q929" s="2" t="str">
        <x:v>m3</x:v>
      </x:c>
      <x:c r="R929" s="17" t="n">
        <x:v>2080135835.6313725</x:v>
      </x:c>
      <x:c r="S929" s="17" t="n">
        <x:v>433348333.47</x:v>
      </x:c>
      <x:c r="T929" s="18" t="n">
        <x:v>0.4689911111520867</x:v>
      </x:c>
      <x:c r="U929" s="17" t="n">
        <x:v>203236516.4300003</x:v>
      </x:c>
      <x:c r="V929" s="2" t="str">
        <x:v>Area equivalent = model2020 * source volume / TEMPO2020 volume</x:v>
      </x:c>
      <x:c r="W929" s="2" t="str">
        <x:v>qualified_paired_native_source_frame</x:v>
      </x:c>
      <x:c r="X929" s="2" t="str">
        <x:v>https://human-settlement.emergency.copernicus.eu/ghs_buV2023.php</x:v>
      </x:c>
    </x:row>
    <x:row r="930" ht="23" customHeight="1">
      <x:c r="A930" s="2" t="str">
        <x:v>NGA</x:v>
      </x:c>
      <x:c r="B930" s="2" t="str">
        <x:v>Nigeria (Federal Republic of)</x:v>
      </x:c>
      <x:c r="C930" s="2" t="n">
        <x:v>2015</x:v>
      </x:c>
      <x:c r="D930" s="2" t="str">
        <x:v>GHSL_VOLUME</x:v>
      </x:c>
      <x:c r="E930" s="17" t="n">
        <x:v>3643539830.5807</x:v>
      </x:c>
      <x:c r="F930" s="17" t="n">
        <x:f>IF(AND(M930,ISNUMBER(R930)),IF(D930="TEMPO_PROXY",R930,IF(AND(ISNUMBER(S930),S930&gt;0,ISNUMBER(U930)),U930*R930/S930,"n.a.")),"n.a.")</x:f>
        <x:v>17049395843.27473</x:v>
      </x:c>
      <x:c r="G930" s="17" t="n">
        <x:f>IF(AND(ISNUMBER(E930),ISNUMBER(F930)),E930-F930,"n.a.")</x:f>
        <x:v>-13405856012.69403</x:v>
      </x:c>
      <x:c r="H930" s="15" t="n">
        <x:f>IF(AND(ISNUMBER(E930),ISNUMBER(F930),F930&gt;0),(E930-F930)/F930,"n.a.")</x:f>
        <x:v>-0.7862950767244974</x:v>
      </x:c>
      <x:c r="I930" s="19" t="n">
        <x:f>IF(ISNUMBER(H930),ABS(H930),"n.a.")</x:f>
        <x:v>0.7862950767244974</x:v>
      </x:c>
      <x:c r="J930" s="2" t="str">
        <x:v>available</x:v>
      </x:c>
      <x:c r="K930" s="2" t="n">
        <x:v>1</x:v>
      </x:c>
      <x:c r="L930" s="13" t="b">
        <x:v>0</x:v>
      </x:c>
      <x:c r="M930" s="13" t="b">
        <x:v>1</x:v>
      </x:c>
      <x:c r="N930" s="2" t="str">
        <x:v>modeled_epoch_volume_with_fixed2018_height_and_predominant_use</x:v>
      </x:c>
      <x:c r="O930" s="2" t="str"/>
      <x:c r="P930" s="2" t="str">
        <x:v>built-up volume</x:v>
      </x:c>
      <x:c r="Q930" s="2" t="str">
        <x:v>m3</x:v>
      </x:c>
      <x:c r="R930" s="17" t="n">
        <x:v>41316745166.780396</x:v>
      </x:c>
      <x:c r="S930" s="17" t="n">
        <x:v>9942554261.29</x:v>
      </x:c>
      <x:c r="T930" s="18" t="n">
        <x:v>0.41265099112847914</x:v>
      </x:c>
      <x:c r="U930" s="17" t="n">
        <x:v>4102804870.2700024</x:v>
      </x:c>
      <x:c r="V930" s="2" t="str">
        <x:v>Area equivalent = model2020 * source volume / TEMPO2020 volume</x:v>
      </x:c>
      <x:c r="W930" s="2" t="str">
        <x:v>qualified_paired_native_source_frame</x:v>
      </x:c>
      <x:c r="X930" s="2" t="str">
        <x:v>https://human-settlement.emergency.copernicus.eu/ghs_buV2023.php</x:v>
      </x:c>
    </x:row>
    <x:row r="931" ht="23" customHeight="1">
      <x:c r="A931" s="2" t="str">
        <x:v>NIC</x:v>
      </x:c>
      <x:c r="B931" s="2" t="str">
        <x:v>Nicaragua (Republic of)</x:v>
      </x:c>
      <x:c r="C931" s="2" t="n">
        <x:v>2015</x:v>
      </x:c>
      <x:c r="D931" s="2" t="str">
        <x:v>GHSL_VOLUME</x:v>
      </x:c>
      <x:c r="E931" s="17" t="n">
        <x:v>175735308.9370167</x:v>
      </x:c>
      <x:c r="F931" s="17" t="n">
        <x:f>IF(AND(M931,ISNUMBER(R931)),IF(D931="TEMPO_PROXY",R931,IF(AND(ISNUMBER(S931),S931&gt;0,ISNUMBER(U931)),U931*R931/S931,"n.a.")),"n.a.")</x:f>
        <x:v>548156209.2818846</x:v>
      </x:c>
      <x:c r="G931" s="17" t="n">
        <x:f>IF(AND(ISNUMBER(E931),ISNUMBER(F931)),E931-F931,"n.a.")</x:f>
        <x:v>-372420900.3448678</x:v>
      </x:c>
      <x:c r="H931" s="15" t="n">
        <x:f>IF(AND(ISNUMBER(E931),ISNUMBER(F931),F931&gt;0),(E931-F931)/F931,"n.a.")</x:f>
        <x:v>-0.6794065159505538</x:v>
      </x:c>
      <x:c r="I931" s="19" t="n">
        <x:f>IF(ISNUMBER(H931),ABS(H931),"n.a.")</x:f>
        <x:v>0.6794065159505538</x:v>
      </x:c>
      <x:c r="J931" s="2" t="str">
        <x:v>available</x:v>
      </x:c>
      <x:c r="K931" s="2" t="n">
        <x:v>1</x:v>
      </x:c>
      <x:c r="L931" s="13" t="b">
        <x:v>0</x:v>
      </x:c>
      <x:c r="M931" s="13" t="b">
        <x:v>1</x:v>
      </x:c>
      <x:c r="N931" s="2" t="str">
        <x:v>modeled_epoch_volume_with_fixed2018_height_and_predominant_use</x:v>
      </x:c>
      <x:c r="O931" s="2" t="str"/>
      <x:c r="P931" s="2" t="str">
        <x:v>built-up volume</x:v>
      </x:c>
      <x:c r="Q931" s="2" t="str">
        <x:v>m3</x:v>
      </x:c>
      <x:c r="R931" s="17" t="n">
        <x:v>1247178885.8431373</x:v>
      </x:c>
      <x:c r="S931" s="17" t="n">
        <x:v>459459771.32</x:v>
      </x:c>
      <x:c r="T931" s="18" t="n">
        <x:v>0.43951690932557075</x:v>
      </x:c>
      <x:c r="U931" s="17" t="n">
        <x:v>201940338.64999992</x:v>
      </x:c>
      <x:c r="V931" s="2" t="str">
        <x:v>Area equivalent = model2020 * source volume / TEMPO2020 volume</x:v>
      </x:c>
      <x:c r="W931" s="2" t="str">
        <x:v>qualified_paired_native_source_frame</x:v>
      </x:c>
      <x:c r="X931" s="2" t="str">
        <x:v>https://human-settlement.emergency.copernicus.eu/ghs_buV2023.php</x:v>
      </x:c>
    </x:row>
    <x:row r="932" ht="23" customHeight="1">
      <x:c r="A932" s="2" t="str">
        <x:v>NLD</x:v>
      </x:c>
      <x:c r="B932" s="2" t="str">
        <x:v>Netherlands (Kingdom of the)</x:v>
      </x:c>
      <x:c r="C932" s="2" t="n">
        <x:v>2015</x:v>
      </x:c>
      <x:c r="D932" s="2" t="str">
        <x:v>GHSL_VOLUME</x:v>
      </x:c>
      <x:c r="E932" s="17" t="n">
        <x:v>1398821482.4145422</x:v>
      </x:c>
      <x:c r="F932" s="17" t="n">
        <x:f>IF(AND(M932,ISNUMBER(R932)),IF(D932="TEMPO_PROXY",R932,IF(AND(ISNUMBER(S932),S932&gt;0,ISNUMBER(U932)),U932*R932/S932,"n.a.")),"n.a.")</x:f>
        <x:v>3258483933.5666533</x:v>
      </x:c>
      <x:c r="G932" s="17" t="n">
        <x:f>IF(AND(ISNUMBER(E932),ISNUMBER(F932)),E932-F932,"n.a.")</x:f>
        <x:v>-1859662451.152111</x:v>
      </x:c>
      <x:c r="H932" s="15" t="n">
        <x:f>IF(AND(ISNUMBER(E932),ISNUMBER(F932),F932&gt;0),(E932-F932)/F932,"n.a.")</x:f>
        <x:v>-0.5707140158019967</x:v>
      </x:c>
      <x:c r="I932" s="19" t="n">
        <x:f>IF(ISNUMBER(H932),ABS(H932),"n.a.")</x:f>
        <x:v>0.5707140158019967</x:v>
      </x:c>
      <x:c r="J932" s="2" t="str">
        <x:v>available</x:v>
      </x:c>
      <x:c r="K932" s="2" t="n">
        <x:v>1</x:v>
      </x:c>
      <x:c r="L932" s="13" t="b">
        <x:v>0</x:v>
      </x:c>
      <x:c r="M932" s="13" t="b">
        <x:v>1</x:v>
      </x:c>
      <x:c r="N932" s="2" t="str">
        <x:v>modeled_epoch_volume_with_fixed2018_height_and_predominant_use</x:v>
      </x:c>
      <x:c r="O932" s="2" t="str"/>
      <x:c r="P932" s="2" t="str">
        <x:v>built-up volume</x:v>
      </x:c>
      <x:c r="Q932" s="2" t="str">
        <x:v>m3</x:v>
      </x:c>
      <x:c r="R932" s="17" t="n">
        <x:v>12226015726.247059</x:v>
      </x:c>
      <x:c r="S932" s="17" t="n">
        <x:v>5496567009.09</x:v>
      </x:c>
      <x:c r="T932" s="18" t="n">
        <x:v>0.26652050893172613</x:v>
      </x:c>
      <x:c r="U932" s="17" t="n">
        <x:v>1464947836.6400025</x:v>
      </x:c>
      <x:c r="V932" s="2" t="str">
        <x:v>Area equivalent = model2020 * source volume / TEMPO2020 volume</x:v>
      </x:c>
      <x:c r="W932" s="2" t="str">
        <x:v>qualified_paired_native_source_frame</x:v>
      </x:c>
      <x:c r="X932" s="2" t="str">
        <x:v>https://human-settlement.emergency.copernicus.eu/ghs_buV2023.php</x:v>
      </x:c>
    </x:row>
    <x:row r="933" ht="23" customHeight="1">
      <x:c r="A933" s="2" t="str">
        <x:v>NOR</x:v>
      </x:c>
      <x:c r="B933" s="2" t="str">
        <x:v>Norway (Kingdom of)</x:v>
      </x:c>
      <x:c r="C933" s="2" t="n">
        <x:v>2015</x:v>
      </x:c>
      <x:c r="D933" s="2" t="str">
        <x:v>GHSL_VOLUME</x:v>
      </x:c>
      <x:c r="E933" s="17" t="n">
        <x:v>444569121.96455026</x:v>
      </x:c>
      <x:c r="F933" s="17" t="n">
        <x:f>IF(AND(M933,ISNUMBER(R933)),IF(D933="TEMPO_PROXY",R933,IF(AND(ISNUMBER(S933),S933&gt;0,ISNUMBER(U933)),U933*R933/S933,"n.a.")),"n.a.")</x:f>
        <x:v>489144821.1966733</x:v>
      </x:c>
      <x:c r="G933" s="17" t="n">
        <x:f>IF(AND(ISNUMBER(E933),ISNUMBER(F933)),E933-F933,"n.a.")</x:f>
        <x:v>-44575699.23212302</x:v>
      </x:c>
      <x:c r="H933" s="15" t="n">
        <x:f>IF(AND(ISNUMBER(E933),ISNUMBER(F933),F933&gt;0),(E933-F933)/F933,"n.a.")</x:f>
        <x:v>-0.09112986032044733</x:v>
      </x:c>
      <x:c r="I933" s="19" t="n">
        <x:f>IF(ISNUMBER(H933),ABS(H933),"n.a.")</x:f>
        <x:v>0.09112986032044733</x:v>
      </x:c>
      <x:c r="J933" s="2" t="str">
        <x:v>available</x:v>
      </x:c>
      <x:c r="K933" s="2" t="n">
        <x:v>1</x:v>
      </x:c>
      <x:c r="L933" s="13" t="b">
        <x:v>0</x:v>
      </x:c>
      <x:c r="M933" s="13" t="b">
        <x:v>1</x:v>
      </x:c>
      <x:c r="N933" s="2" t="str">
        <x:v>modeled_epoch_volume_with_fixed2018_height_and_predominant_use</x:v>
      </x:c>
      <x:c r="O933" s="2" t="str"/>
      <x:c r="P933" s="2" t="str">
        <x:v>built-up volume</x:v>
      </x:c>
      <x:c r="Q933" s="2" t="str">
        <x:v>m3</x:v>
      </x:c>
      <x:c r="R933" s="17" t="n">
        <x:v>1576986361.988235</x:v>
      </x:c>
      <x:c r="S933" s="17" t="n">
        <x:v>1542720229.19</x:v>
      </x:c>
      <x:c r="T933" s="18" t="n">
        <x:v>0.31017695078857155</x:v>
      </x:c>
      <x:c r="U933" s="17" t="n">
        <x:v>478516256.6100005</x:v>
      </x:c>
      <x:c r="V933" s="2" t="str">
        <x:v>Area equivalent = model2020 * source volume / TEMPO2020 volume</x:v>
      </x:c>
      <x:c r="W933" s="2" t="str">
        <x:v>qualified_paired_native_source_frame</x:v>
      </x:c>
      <x:c r="X933" s="2" t="str">
        <x:v>https://human-settlement.emergency.copernicus.eu/ghs_buV2023.php</x:v>
      </x:c>
    </x:row>
    <x:row r="934" ht="23" customHeight="1">
      <x:c r="A934" s="2" t="str">
        <x:v>NPL</x:v>
      </x:c>
      <x:c r="B934" s="2" t="str">
        <x:v>Nepal (Federal Democratic Republic of)</x:v>
      </x:c>
      <x:c r="C934" s="2" t="n">
        <x:v>2015</x:v>
      </x:c>
      <x:c r="D934" s="2" t="str">
        <x:v>GHSL_VOLUME</x:v>
      </x:c>
      <x:c r="E934" s="17" t="n">
        <x:v>540535876.2611996</x:v>
      </x:c>
      <x:c r="F934" s="17" t="n">
        <x:f>IF(AND(M934,ISNUMBER(R934)),IF(D934="TEMPO_PROXY",R934,IF(AND(ISNUMBER(S934),S934&gt;0,ISNUMBER(U934)),U934*R934/S934,"n.a.")),"n.a.")</x:f>
        <x:v>1502013646.919299</x:v>
      </x:c>
      <x:c r="G934" s="17" t="n">
        <x:f>IF(AND(ISNUMBER(E934),ISNUMBER(F934)),E934-F934,"n.a.")</x:f>
        <x:v>-961477770.6580993</x:v>
      </x:c>
      <x:c r="H934" s="15" t="n">
        <x:f>IF(AND(ISNUMBER(E934),ISNUMBER(F934),F934&gt;0),(E934-F934)/F934,"n.a.")</x:f>
        <x:v>-0.6401258554675157</x:v>
      </x:c>
      <x:c r="I934" s="19" t="n">
        <x:f>IF(ISNUMBER(H934),ABS(H934),"n.a.")</x:f>
        <x:v>0.6401258554675157</x:v>
      </x:c>
      <x:c r="J934" s="2" t="str">
        <x:v>available</x:v>
      </x:c>
      <x:c r="K934" s="2" t="n">
        <x:v>1</x:v>
      </x:c>
      <x:c r="L934" s="13" t="b">
        <x:v>0</x:v>
      </x:c>
      <x:c r="M934" s="13" t="b">
        <x:v>1</x:v>
      </x:c>
      <x:c r="N934" s="2" t="str">
        <x:v>modeled_epoch_volume_with_fixed2018_height_and_predominant_use</x:v>
      </x:c>
      <x:c r="O934" s="2" t="str"/>
      <x:c r="P934" s="2" t="str">
        <x:v>built-up volume</x:v>
      </x:c>
      <x:c r="Q934" s="2" t="str">
        <x:v>m3</x:v>
      </x:c>
      <x:c r="R934" s="17" t="n">
        <x:v>3260277258.843138</x:v>
      </x:c>
      <x:c r="S934" s="17" t="n">
        <x:v>1424099511.51</x:v>
      </x:c>
      <x:c r="T934" s="18" t="n">
        <x:v>0.4607012004409302</x:v>
      </x:c>
      <x:c r="U934" s="17" t="n">
        <x:v>656084354.4999993</x:v>
      </x:c>
      <x:c r="V934" s="2" t="str">
        <x:v>Area equivalent = model2020 * source volume / TEMPO2020 volume</x:v>
      </x:c>
      <x:c r="W934" s="2" t="str">
        <x:v>qualified_paired_native_source_frame</x:v>
      </x:c>
      <x:c r="X934" s="2" t="str">
        <x:v>https://human-settlement.emergency.copernicus.eu/ghs_buV2023.php</x:v>
      </x:c>
    </x:row>
    <x:row r="935" ht="23" customHeight="1">
      <x:c r="A935" s="2" t="str">
        <x:v>NRU</x:v>
      </x:c>
      <x:c r="B935" s="2" t="str">
        <x:v>Nauru (Republic of)</x:v>
      </x:c>
      <x:c r="C935" s="2" t="n">
        <x:v>2015</x:v>
      </x:c>
      <x:c r="D935" s="2" t="str">
        <x:v>GHSL_VOLUME</x:v>
      </x:c>
      <x:c r="E935" s="17" t="n">
        <x:v>400075.14321742795</x:v>
      </x:c>
      <x:c r="F935" s="17" t="n">
        <x:f>IF(AND(M935,ISNUMBER(R935)),IF(D935="TEMPO_PROXY",R935,IF(AND(ISNUMBER(S935),S935&gt;0,ISNUMBER(U935)),U935*R935/S935,"n.a.")),"n.a.")</x:f>
        <x:v>736323.2813547356</x:v>
      </x:c>
      <x:c r="G935" s="17" t="n">
        <x:f>IF(AND(ISNUMBER(E935),ISNUMBER(F935)),E935-F935,"n.a.")</x:f>
        <x:v>-336248.13813730766</x:v>
      </x:c>
      <x:c r="H935" s="15" t="n">
        <x:f>IF(AND(ISNUMBER(E935),ISNUMBER(F935),F935&gt;0),(E935-F935)/F935,"n.a.")</x:f>
        <x:v>-0.45665830030344334</x:v>
      </x:c>
      <x:c r="I935" s="19" t="n">
        <x:f>IF(ISNUMBER(H935),ABS(H935),"n.a.")</x:f>
        <x:v>0.45665830030344334</x:v>
      </x:c>
      <x:c r="J935" s="2" t="str">
        <x:v>available</x:v>
      </x:c>
      <x:c r="K935" s="2" t="n">
        <x:v>1</x:v>
      </x:c>
      <x:c r="L935" s="13" t="b">
        <x:v>0</x:v>
      </x:c>
      <x:c r="M935" s="13" t="b">
        <x:v>1</x:v>
      </x:c>
      <x:c r="N935" s="2" t="str">
        <x:v>modeled_epoch_volume_with_fixed2018_height_and_predominant_use</x:v>
      </x:c>
      <x:c r="O935" s="2" t="str"/>
      <x:c r="P935" s="2" t="str">
        <x:v>built-up volume</x:v>
      </x:c>
      <x:c r="Q935" s="2" t="str">
        <x:v>m3</x:v>
      </x:c>
      <x:c r="R935" s="17" t="n">
        <x:v>1981727.552941176</x:v>
      </x:c>
      <x:c r="S935" s="17" t="n">
        <x:v>1092672.69</x:v>
      </x:c>
      <x:c r="T935" s="18" t="n">
        <x:v>0.37155626173836215</x:v>
      </x:c>
      <x:c r="U935" s="17" t="n">
        <x:v>405989.38000000024</x:v>
      </x:c>
      <x:c r="V935" s="2" t="str">
        <x:v>Area equivalent = model2020 * source volume / TEMPO2020 volume</x:v>
      </x:c>
      <x:c r="W935" s="2" t="str">
        <x:v>qualified_paired_native_source_frame</x:v>
      </x:c>
      <x:c r="X935" s="2" t="str">
        <x:v>https://human-settlement.emergency.copernicus.eu/ghs_buV2023.php</x:v>
      </x:c>
    </x:row>
    <x:row r="936" ht="23" customHeight="1">
      <x:c r="A936" s="2" t="str">
        <x:v>NZL</x:v>
      </x:c>
      <x:c r="B936" s="2" t="str">
        <x:v>New Zealand</x:v>
      </x:c>
      <x:c r="C936" s="2" t="n">
        <x:v>2015</x:v>
      </x:c>
      <x:c r="D936" s="2" t="str">
        <x:v>GHSL_VOLUME</x:v>
      </x:c>
      <x:c r="E936" s="17" t="n">
        <x:v>480029552.55422294</x:v>
      </x:c>
      <x:c r="F936" s="17" t="n">
        <x:f>IF(AND(M936,ISNUMBER(R936)),IF(D936="TEMPO_PROXY",R936,IF(AND(ISNUMBER(S936),S936&gt;0,ISNUMBER(U936)),U936*R936/S936,"n.a.")),"n.a.")</x:f>
        <x:v>2271174591.034113</x:v>
      </x:c>
      <x:c r="G936" s="17" t="n">
        <x:f>IF(AND(ISNUMBER(E936),ISNUMBER(F936)),E936-F936,"n.a.")</x:f>
        <x:v>-1791145038.4798899</x:v>
      </x:c>
      <x:c r="H936" s="15" t="n">
        <x:f>IF(AND(ISNUMBER(E936),ISNUMBER(F936),F936&gt;0),(E936-F936)/F936,"n.a.")</x:f>
        <x:v>-0.7886426017404256</x:v>
      </x:c>
      <x:c r="I936" s="19" t="n">
        <x:f>IF(ISNUMBER(H936),ABS(H936),"n.a.")</x:f>
        <x:v>0.7886426017404256</x:v>
      </x:c>
      <x:c r="J936" s="2" t="str">
        <x:v>available</x:v>
      </x:c>
      <x:c r="K936" s="2" t="n">
        <x:v>1</x:v>
      </x:c>
      <x:c r="L936" s="13" t="b">
        <x:v>0</x:v>
      </x:c>
      <x:c r="M936" s="13" t="b">
        <x:v>1</x:v>
      </x:c>
      <x:c r="N936" s="2" t="str">
        <x:v>modeled_epoch_volume_with_fixed2018_height_and_predominant_use</x:v>
      </x:c>
      <x:c r="O936" s="2" t="str"/>
      <x:c r="P936" s="2" t="str">
        <x:v>built-up volume</x:v>
      </x:c>
      <x:c r="Q936" s="2" t="str">
        <x:v>m3</x:v>
      </x:c>
      <x:c r="R936" s="17" t="n">
        <x:v>6224501767.7647085</x:v>
      </x:c>
      <x:c r="S936" s="17" t="n">
        <x:v>1517032261.4</x:v>
      </x:c>
      <x:c r="T936" s="18" t="n">
        <x:v>0.36487652759551203</x:v>
      </x:c>
      <x:c r="U936" s="17" t="n">
        <x:v>553529463.7899991</x:v>
      </x:c>
      <x:c r="V936" s="2" t="str">
        <x:v>Area equivalent = model2020 * source volume / TEMPO2020 volume</x:v>
      </x:c>
      <x:c r="W936" s="2" t="str">
        <x:v>qualified_paired_native_source_frame</x:v>
      </x:c>
      <x:c r="X936" s="2" t="str">
        <x:v>https://human-settlement.emergency.copernicus.eu/ghs_buV2023.php</x:v>
      </x:c>
    </x:row>
    <x:row r="937" ht="23" customHeight="1">
      <x:c r="A937" s="2" t="str">
        <x:v>OMN</x:v>
      </x:c>
      <x:c r="B937" s="2" t="str">
        <x:v>Oman (Sultanate of)</x:v>
      </x:c>
      <x:c r="C937" s="2" t="n">
        <x:v>2015</x:v>
      </x:c>
      <x:c r="D937" s="2" t="str">
        <x:v>GHSL_VOLUME</x:v>
      </x:c>
      <x:c r="E937" s="17" t="n">
        <x:v>222748482.34837043</x:v>
      </x:c>
      <x:c r="F937" s="17" t="n">
        <x:f>IF(AND(M937,ISNUMBER(R937)),IF(D937="TEMPO_PROXY",R937,IF(AND(ISNUMBER(S937),S937&gt;0,ISNUMBER(U937)),U937*R937/S937,"n.a.")),"n.a.")</x:f>
        <x:v>703511096.847862</x:v>
      </x:c>
      <x:c r="G937" s="17" t="n">
        <x:f>IF(AND(ISNUMBER(E937),ISNUMBER(F937)),E937-F937,"n.a.")</x:f>
        <x:v>-480762614.4994916</x:v>
      </x:c>
      <x:c r="H937" s="15" t="n">
        <x:f>IF(AND(ISNUMBER(E937),ISNUMBER(F937),F937&gt;0),(E937-F937)/F937,"n.a.")</x:f>
        <x:v>-0.6833760215774664</x:v>
      </x:c>
      <x:c r="I937" s="19" t="n">
        <x:f>IF(ISNUMBER(H937),ABS(H937),"n.a.")</x:f>
        <x:v>0.6833760215774664</x:v>
      </x:c>
      <x:c r="J937" s="2" t="str">
        <x:v>available</x:v>
      </x:c>
      <x:c r="K937" s="2" t="n">
        <x:v>1</x:v>
      </x:c>
      <x:c r="L937" s="13" t="b">
        <x:v>0</x:v>
      </x:c>
      <x:c r="M937" s="13" t="b">
        <x:v>1</x:v>
      </x:c>
      <x:c r="N937" s="2" t="str">
        <x:v>modeled_epoch_volume_with_fixed2018_height_and_predominant_use</x:v>
      </x:c>
      <x:c r="O937" s="2" t="str"/>
      <x:c r="P937" s="2" t="str">
        <x:v>built-up volume</x:v>
      </x:c>
      <x:c r="Q937" s="2" t="str">
        <x:v>m3</x:v>
      </x:c>
      <x:c r="R937" s="17" t="n">
        <x:v>1955714303.2039218</x:v>
      </x:c>
      <x:c r="S937" s="17" t="n">
        <x:v>730176923.74</x:v>
      </x:c>
      <x:c r="T937" s="18" t="n">
        <x:v>0.3597207913729243</x:v>
      </x:c>
      <x:c r="U937" s="17" t="n">
        <x:v>262659820.8500002</x:v>
      </x:c>
      <x:c r="V937" s="2" t="str">
        <x:v>Area equivalent = model2020 * source volume / TEMPO2020 volume</x:v>
      </x:c>
      <x:c r="W937" s="2" t="str">
        <x:v>qualified_paired_native_source_frame</x:v>
      </x:c>
      <x:c r="X937" s="2" t="str">
        <x:v>https://human-settlement.emergency.copernicus.eu/ghs_buV2023.php</x:v>
      </x:c>
    </x:row>
    <x:row r="938" ht="23" customHeight="1">
      <x:c r="A938" s="2" t="str">
        <x:v>PAK</x:v>
      </x:c>
      <x:c r="B938" s="2" t="str">
        <x:v>Pakistan (Islamic Republic of)</x:v>
      </x:c>
      <x:c r="C938" s="2" t="n">
        <x:v>2015</x:v>
      </x:c>
      <x:c r="D938" s="2" t="str">
        <x:v>GHSL_VOLUME</x:v>
      </x:c>
      <x:c r="E938" s="17" t="n">
        <x:v>3517876725.135339</x:v>
      </x:c>
      <x:c r="F938" s="17" t="str">
        <x:f>IF(AND(M938,ISNUMBER(R938)),IF(D938="TEMPO_PROXY",R938,IF(AND(ISNUMBER(S938),S938&gt;0,ISNUMBER(U938)),U938*R938/S938,"n.a.")),"n.a.")</x:f>
        <x:v>n.a.</x:v>
      </x:c>
      <x:c r="G938" s="17" t="str">
        <x:f>IF(AND(ISNUMBER(E938),ISNUMBER(F938)),E938-F938,"n.a.")</x:f>
        <x:v>n.a.</x:v>
      </x:c>
      <x:c r="H938" s="15" t="str">
        <x:f>IF(AND(ISNUMBER(E938),ISNUMBER(F938),F938&gt;0),(E938-F938)/F938,"n.a.")</x:f>
        <x:v>n.a.</x:v>
      </x:c>
      <x:c r="I938" s="19" t="str">
        <x:f>IF(ISNUMBER(H938),ABS(H938),"n.a.")</x:f>
        <x:v>n.a.</x:v>
      </x:c>
      <x:c r="J938" s="2" t="str">
        <x:v>unqualified_or_missing_native_source: source_support_or_logical_consistency_failed</x:v>
      </x:c>
      <x:c r="K938" s="2" t="n">
        <x:v>1</x:v>
      </x:c>
      <x:c r="L938" s="13" t="b">
        <x:v>0</x:v>
      </x:c>
      <x:c r="M938" s="13" t="b">
        <x:v>0</x:v>
      </x:c>
      <x:c r="N938" s="2" t="str">
        <x:v>modeled_epoch_volume_with_fixed2018_height_and_predominant_use</x:v>
      </x:c>
      <x:c r="O938" s="2" t="str"/>
      <x:c r="P938" s="2" t="str">
        <x:v>built-up volume</x:v>
      </x:c>
      <x:c r="Q938" s="2" t="str">
        <x:v>m3</x:v>
      </x:c>
      <x:c r="R938" s="17" t="n">
        <x:v>23218031178.886276</x:v>
      </x:c>
      <x:c r="S938" s="17" t="n">
        <x:v>11536929090.5</x:v>
      </x:c>
      <x:c r="T938" s="18" t="n">
        <x:v>0.3728366578123422</x:v>
      </x:c>
      <x:c r="U938" s="17" t="n">
        <x:v>4301390083.520005</x:v>
      </x:c>
      <x:c r="V938" s="2" t="str">
        <x:v>Area equivalent = model2020 * source volume / TEMPO2020 volume</x:v>
      </x:c>
      <x:c r="W938" s="2" t="str">
        <x:v>source_support_or_logical_consistency_failed</x:v>
      </x:c>
      <x:c r="X938" s="2" t="str">
        <x:v>https://human-settlement.emergency.copernicus.eu/ghs_buV2023.php</x:v>
      </x:c>
    </x:row>
    <x:row r="939" ht="23" customHeight="1">
      <x:c r="A939" s="2" t="str">
        <x:v>PAN</x:v>
      </x:c>
      <x:c r="B939" s="2" t="str">
        <x:v>Panama (Republic of)</x:v>
      </x:c>
      <x:c r="C939" s="2" t="n">
        <x:v>2015</x:v>
      </x:c>
      <x:c r="D939" s="2" t="str">
        <x:v>GHSL_VOLUME</x:v>
      </x:c>
      <x:c r="E939" s="17" t="n">
        <x:v>181431559.5106657</x:v>
      </x:c>
      <x:c r="F939" s="17" t="n">
        <x:f>IF(AND(M939,ISNUMBER(R939)),IF(D939="TEMPO_PROXY",R939,IF(AND(ISNUMBER(S939),S939&gt;0,ISNUMBER(U939)),U939*R939/S939,"n.a.")),"n.a.")</x:f>
        <x:v>499520142.3136932</x:v>
      </x:c>
      <x:c r="G939" s="17" t="n">
        <x:f>IF(AND(ISNUMBER(E939),ISNUMBER(F939)),E939-F939,"n.a.")</x:f>
        <x:v>-318088582.8030275</x:v>
      </x:c>
      <x:c r="H939" s="15" t="n">
        <x:f>IF(AND(ISNUMBER(E939),ISNUMBER(F939),F939&gt;0),(E939-F939)/F939,"n.a.")</x:f>
        <x:v>-0.6367883011277478</x:v>
      </x:c>
      <x:c r="I939" s="19" t="n">
        <x:f>IF(ISNUMBER(H939),ABS(H939),"n.a.")</x:f>
        <x:v>0.6367883011277478</x:v>
      </x:c>
      <x:c r="J939" s="2" t="str">
        <x:v>available</x:v>
      </x:c>
      <x:c r="K939" s="2" t="n">
        <x:v>1</x:v>
      </x:c>
      <x:c r="L939" s="13" t="b">
        <x:v>0</x:v>
      </x:c>
      <x:c r="M939" s="13" t="b">
        <x:v>1</x:v>
      </x:c>
      <x:c r="N939" s="2" t="str">
        <x:v>modeled_epoch_volume_with_fixed2018_height_and_predominant_use</x:v>
      </x:c>
      <x:c r="O939" s="2" t="str"/>
      <x:c r="P939" s="2" t="str">
        <x:v>built-up volume</x:v>
      </x:c>
      <x:c r="Q939" s="2" t="str">
        <x:v>m3</x:v>
      </x:c>
      <x:c r="R939" s="17" t="n">
        <x:v>1429209615.2274513</x:v>
      </x:c>
      <x:c r="S939" s="17" t="n">
        <x:v>600051648.5</x:v>
      </x:c>
      <x:c r="T939" s="18" t="n">
        <x:v>0.34950796369656184</x:v>
      </x:c>
      <x:c r="U939" s="17" t="n">
        <x:v>209722829.7800001</x:v>
      </x:c>
      <x:c r="V939" s="2" t="str">
        <x:v>Area equivalent = model2020 * source volume / TEMPO2020 volume</x:v>
      </x:c>
      <x:c r="W939" s="2" t="str">
        <x:v>qualified_paired_native_source_frame</x:v>
      </x:c>
      <x:c r="X939" s="2" t="str">
        <x:v>https://human-settlement.emergency.copernicus.eu/ghs_buV2023.php</x:v>
      </x:c>
    </x:row>
    <x:row r="940" ht="23" customHeight="1">
      <x:c r="A940" s="2" t="str">
        <x:v>PER</x:v>
      </x:c>
      <x:c r="B940" s="2" t="str">
        <x:v>Peru (Republic of)</x:v>
      </x:c>
      <x:c r="C940" s="2" t="n">
        <x:v>2015</x:v>
      </x:c>
      <x:c r="D940" s="2" t="str">
        <x:v>GHSL_VOLUME</x:v>
      </x:c>
      <x:c r="E940" s="17" t="n">
        <x:v>1167948144.3467624</x:v>
      </x:c>
      <x:c r="F940" s="17" t="n">
        <x:f>IF(AND(M940,ISNUMBER(R940)),IF(D940="TEMPO_PROXY",R940,IF(AND(ISNUMBER(S940),S940&gt;0,ISNUMBER(U940)),U940*R940/S940,"n.a.")),"n.a.")</x:f>
        <x:v>2661302234.746275</x:v>
      </x:c>
      <x:c r="G940" s="17" t="n">
        <x:f>IF(AND(ISNUMBER(E940),ISNUMBER(F940)),E940-F940,"n.a.")</x:f>
        <x:v>-1493354090.3995125</x:v>
      </x:c>
      <x:c r="H940" s="15" t="n">
        <x:f>IF(AND(ISNUMBER(E940),ISNUMBER(F940),F940&gt;0),(E940-F940)/F940,"n.a.")</x:f>
        <x:v>-0.5611366010602276</x:v>
      </x:c>
      <x:c r="I940" s="19" t="n">
        <x:f>IF(ISNUMBER(H940),ABS(H940),"n.a.")</x:f>
        <x:v>0.5611366010602276</x:v>
      </x:c>
      <x:c r="J940" s="2" t="str">
        <x:v>available</x:v>
      </x:c>
      <x:c r="K940" s="2" t="n">
        <x:v>1</x:v>
      </x:c>
      <x:c r="L940" s="13" t="b">
        <x:v>0</x:v>
      </x:c>
      <x:c r="M940" s="13" t="b">
        <x:v>1</x:v>
      </x:c>
      <x:c r="N940" s="2" t="str">
        <x:v>modeled_epoch_volume_with_fixed2018_height_and_predominant_use</x:v>
      </x:c>
      <x:c r="O940" s="2" t="str"/>
      <x:c r="P940" s="2" t="str">
        <x:v>built-up volume</x:v>
      </x:c>
      <x:c r="Q940" s="2" t="str">
        <x:v>m3</x:v>
      </x:c>
      <x:c r="R940" s="17" t="n">
        <x:v>7618468312.580393</x:v>
      </x:c>
      <x:c r="S940" s="17" t="n">
        <x:v>3516375732.47</x:v>
      </x:c>
      <x:c r="T940" s="18" t="n">
        <x:v>0.34932247868664895</x:v>
      </x:c>
      <x:c r="U940" s="17" t="n">
        <x:v>1228349086.860001</x:v>
      </x:c>
      <x:c r="V940" s="2" t="str">
        <x:v>Area equivalent = model2020 * source volume / TEMPO2020 volume</x:v>
      </x:c>
      <x:c r="W940" s="2" t="str">
        <x:v>qualified_paired_native_source_frame</x:v>
      </x:c>
      <x:c r="X940" s="2" t="str">
        <x:v>https://human-settlement.emergency.copernicus.eu/ghs_buV2023.php</x:v>
      </x:c>
    </x:row>
    <x:row r="941" ht="23" customHeight="1">
      <x:c r="A941" s="2" t="str">
        <x:v>PHL</x:v>
      </x:c>
      <x:c r="B941" s="2" t="str">
        <x:v>Philippines (Republic of the)</x:v>
      </x:c>
      <x:c r="C941" s="2" t="n">
        <x:v>2015</x:v>
      </x:c>
      <x:c r="D941" s="2" t="str">
        <x:v>GHSL_VOLUME</x:v>
      </x:c>
      <x:c r="E941" s="17" t="n">
        <x:v>2119006423.4482572</x:v>
      </x:c>
      <x:c r="F941" s="17" t="n">
        <x:f>IF(AND(M941,ISNUMBER(R941)),IF(D941="TEMPO_PROXY",R941,IF(AND(ISNUMBER(S941),S941&gt;0,ISNUMBER(U941)),U941*R941/S941,"n.a.")),"n.a.")</x:f>
        <x:v>3825280797.9757943</x:v>
      </x:c>
      <x:c r="G941" s="17" t="n">
        <x:f>IF(AND(ISNUMBER(E941),ISNUMBER(F941)),E941-F941,"n.a.")</x:f>
        <x:v>-1706274374.527537</x:v>
      </x:c>
      <x:c r="H941" s="15" t="n">
        <x:f>IF(AND(ISNUMBER(E941),ISNUMBER(F941),F941&gt;0),(E941-F941)/F941,"n.a.")</x:f>
        <x:v>-0.44605205856533153</x:v>
      </x:c>
      <x:c r="I941" s="19" t="n">
        <x:f>IF(ISNUMBER(H941),ABS(H941),"n.a.")</x:f>
        <x:v>0.44605205856533153</x:v>
      </x:c>
      <x:c r="J941" s="2" t="str">
        <x:v>available</x:v>
      </x:c>
      <x:c r="K941" s="2" t="n">
        <x:v>1</x:v>
      </x:c>
      <x:c r="L941" s="13" t="b">
        <x:v>0</x:v>
      </x:c>
      <x:c r="M941" s="13" t="b">
        <x:v>1</x:v>
      </x:c>
      <x:c r="N941" s="2" t="str">
        <x:v>modeled_epoch_volume_with_fixed2018_height_and_predominant_use</x:v>
      </x:c>
      <x:c r="O941" s="2" t="str"/>
      <x:c r="P941" s="2" t="str">
        <x:v>built-up volume</x:v>
      </x:c>
      <x:c r="Q941" s="2" t="str">
        <x:v>m3</x:v>
      </x:c>
      <x:c r="R941" s="17" t="n">
        <x:v>10531072282.199997</x:v>
      </x:c>
      <x:c r="S941" s="17" t="n">
        <x:v>6306091848.97</x:v>
      </x:c>
      <x:c r="T941" s="18" t="n">
        <x:v>0.3632375408192216</x:v>
      </x:c>
      <x:c r="U941" s="17" t="n">
        <x:v>2290609295.400001</x:v>
      </x:c>
      <x:c r="V941" s="2" t="str">
        <x:v>Area equivalent = model2020 * source volume / TEMPO2020 volume</x:v>
      </x:c>
      <x:c r="W941" s="2" t="str">
        <x:v>qualified_paired_native_source_frame</x:v>
      </x:c>
      <x:c r="X941" s="2" t="str">
        <x:v>https://human-settlement.emergency.copernicus.eu/ghs_buV2023.php</x:v>
      </x:c>
    </x:row>
    <x:row r="942" ht="23" customHeight="1">
      <x:c r="A942" s="2" t="str">
        <x:v>PLW</x:v>
      </x:c>
      <x:c r="B942" s="2" t="str">
        <x:v>Palau (Republic of)</x:v>
      </x:c>
      <x:c r="C942" s="2" t="n">
        <x:v>2015</x:v>
      </x:c>
      <x:c r="D942" s="2" t="str">
        <x:v>GHSL_VOLUME</x:v>
      </x:c>
      <x:c r="E942" s="17" t="n">
        <x:v>1134148.4645909867</x:v>
      </x:c>
      <x:c r="F942" s="17" t="n">
        <x:f>IF(AND(M942,ISNUMBER(R942)),IF(D942="TEMPO_PROXY",R942,IF(AND(ISNUMBER(S942),S942&gt;0,ISNUMBER(U942)),U942*R942/S942,"n.a.")),"n.a.")</x:f>
        <x:v>1401518.7800214894</x:v>
      </x:c>
      <x:c r="G942" s="17" t="n">
        <x:f>IF(AND(ISNUMBER(E942),ISNUMBER(F942)),E942-F942,"n.a.")</x:f>
        <x:v>-267370.31543050264</x:v>
      </x:c>
      <x:c r="H942" s="15" t="n">
        <x:f>IF(AND(ISNUMBER(E942),ISNUMBER(F942),F942&gt;0),(E942-F942)/F942,"n.a.")</x:f>
        <x:v>-0.19077183926597335</x:v>
      </x:c>
      <x:c r="I942" s="19" t="n">
        <x:f>IF(ISNUMBER(H942),ABS(H942),"n.a.")</x:f>
        <x:v>0.19077183926597335</x:v>
      </x:c>
      <x:c r="J942" s="2" t="str">
        <x:v>available</x:v>
      </x:c>
      <x:c r="K942" s="2" t="n">
        <x:v>1</x:v>
      </x:c>
      <x:c r="L942" s="13" t="b">
        <x:v>0</x:v>
      </x:c>
      <x:c r="M942" s="13" t="b">
        <x:v>1</x:v>
      </x:c>
      <x:c r="N942" s="2" t="str">
        <x:v>modeled_epoch_volume_with_fixed2018_height_and_predominant_use</x:v>
      </x:c>
      <x:c r="O942" s="2" t="str"/>
      <x:c r="P942" s="2" t="str">
        <x:v>built-up volume</x:v>
      </x:c>
      <x:c r="Q942" s="2" t="str">
        <x:v>m3</x:v>
      </x:c>
      <x:c r="R942" s="17" t="n">
        <x:v>3366322.780392157</x:v>
      </x:c>
      <x:c r="S942" s="17" t="n">
        <x:v>2767544.44</x:v>
      </x:c>
      <x:c r="T942" s="18" t="n">
        <x:v>0.41633523326548644</x:v>
      </x:c>
      <x:c r="U942" s="17" t="n">
        <x:v>1152226.26</x:v>
      </x:c>
      <x:c r="V942" s="2" t="str">
        <x:v>Area equivalent = model2020 * source volume / TEMPO2020 volume</x:v>
      </x:c>
      <x:c r="W942" s="2" t="str">
        <x:v>qualified_paired_native_source_frame</x:v>
      </x:c>
      <x:c r="X942" s="2" t="str">
        <x:v>https://human-settlement.emergency.copernicus.eu/ghs_buV2023.php</x:v>
      </x:c>
    </x:row>
    <x:row r="943" ht="23" customHeight="1">
      <x:c r="A943" s="2" t="str">
        <x:v>PNG</x:v>
      </x:c>
      <x:c r="B943" s="2" t="str">
        <x:v>Papua New Guinea (Independent State of)</x:v>
      </x:c>
      <x:c r="C943" s="2" t="n">
        <x:v>2015</x:v>
      </x:c>
      <x:c r="D943" s="2" t="str">
        <x:v>GHSL_VOLUME</x:v>
      </x:c>
      <x:c r="E943" s="17" t="n">
        <x:v>101313150.79228555</x:v>
      </x:c>
      <x:c r="F943" s="17" t="n">
        <x:f>IF(AND(M943,ISNUMBER(R943)),IF(D943="TEMPO_PROXY",R943,IF(AND(ISNUMBER(S943),S943&gt;0,ISNUMBER(U943)),U943*R943/S943,"n.a.")),"n.a.")</x:f>
        <x:v>247728306.96241432</x:v>
      </x:c>
      <x:c r="G943" s="17" t="n">
        <x:f>IF(AND(ISNUMBER(E943),ISNUMBER(F943)),E943-F943,"n.a.")</x:f>
        <x:v>-146415156.17012876</x:v>
      </x:c>
      <x:c r="H943" s="15" t="n">
        <x:f>IF(AND(ISNUMBER(E943),ISNUMBER(F943),F943&gt;0),(E943-F943)/F943,"n.a.")</x:f>
        <x:v>-0.5910311904418055</x:v>
      </x:c>
      <x:c r="I943" s="19" t="n">
        <x:f>IF(ISNUMBER(H943),ABS(H943),"n.a.")</x:f>
        <x:v>0.5910311904418055</x:v>
      </x:c>
      <x:c r="J943" s="2" t="str">
        <x:v>available</x:v>
      </x:c>
      <x:c r="K943" s="2" t="n">
        <x:v>1</x:v>
      </x:c>
      <x:c r="L943" s="13" t="b">
        <x:v>0</x:v>
      </x:c>
      <x:c r="M943" s="13" t="b">
        <x:v>1</x:v>
      </x:c>
      <x:c r="N943" s="2" t="str">
        <x:v>modeled_epoch_volume_with_fixed2018_height_and_predominant_use</x:v>
      </x:c>
      <x:c r="O943" s="2" t="str"/>
      <x:c r="P943" s="2" t="str">
        <x:v>built-up volume</x:v>
      </x:c>
      <x:c r="Q943" s="2" t="str">
        <x:v>m3</x:v>
      </x:c>
      <x:c r="R943" s="17" t="n">
        <x:v>514927917.1176471</x:v>
      </x:c>
      <x:c r="S943" s="17" t="n">
        <x:v>231401727.62</x:v>
      </x:c>
      <x:c r="T943" s="18" t="n">
        <x:v>0.4810931758159368</x:v>
      </x:c>
      <x:c r="U943" s="17" t="n">
        <x:v>111325792.03000018</x:v>
      </x:c>
      <x:c r="V943" s="2" t="str">
        <x:v>Area equivalent = model2020 * source volume / TEMPO2020 volume</x:v>
      </x:c>
      <x:c r="W943" s="2" t="str">
        <x:v>qualified_paired_native_source_frame</x:v>
      </x:c>
      <x:c r="X943" s="2" t="str">
        <x:v>https://human-settlement.emergency.copernicus.eu/ghs_buV2023.php</x:v>
      </x:c>
    </x:row>
    <x:row r="944" ht="23" customHeight="1">
      <x:c r="A944" s="2" t="str">
        <x:v>POL</x:v>
      </x:c>
      <x:c r="B944" s="2" t="str">
        <x:v>Poland (Republic of)</x:v>
      </x:c>
      <x:c r="C944" s="2" t="n">
        <x:v>2015</x:v>
      </x:c>
      <x:c r="D944" s="2" t="str">
        <x:v>GHSL_VOLUME</x:v>
      </x:c>
      <x:c r="E944" s="17" t="n">
        <x:v>2405618895.24534</x:v>
      </x:c>
      <x:c r="F944" s="17" t="n">
        <x:f>IF(AND(M944,ISNUMBER(R944)),IF(D944="TEMPO_PROXY",R944,IF(AND(ISNUMBER(S944),S944&gt;0,ISNUMBER(U944)),U944*R944/S944,"n.a.")),"n.a.")</x:f>
        <x:v>6087064633.203078</x:v>
      </x:c>
      <x:c r="G944" s="17" t="n">
        <x:f>IF(AND(ISNUMBER(E944),ISNUMBER(F944)),E944-F944,"n.a.")</x:f>
        <x:v>-3681445737.9577384</x:v>
      </x:c>
      <x:c r="H944" s="15" t="n">
        <x:f>IF(AND(ISNUMBER(E944),ISNUMBER(F944),F944&gt;0),(E944-F944)/F944,"n.a.")</x:f>
        <x:v>-0.6047982007413847</x:v>
      </x:c>
      <x:c r="I944" s="19" t="n">
        <x:f>IF(ISNUMBER(H944),ABS(H944),"n.a.")</x:f>
        <x:v>0.6047982007413847</x:v>
      </x:c>
      <x:c r="J944" s="2" t="str">
        <x:v>available</x:v>
      </x:c>
      <x:c r="K944" s="2" t="n">
        <x:v>1</x:v>
      </x:c>
      <x:c r="L944" s="13" t="b">
        <x:v>0</x:v>
      </x:c>
      <x:c r="M944" s="13" t="b">
        <x:v>1</x:v>
      </x:c>
      <x:c r="N944" s="2" t="str">
        <x:v>modeled_epoch_volume_with_fixed2018_height_and_predominant_use</x:v>
      </x:c>
      <x:c r="O944" s="2" t="str"/>
      <x:c r="P944" s="2" t="str">
        <x:v>built-up volume</x:v>
      </x:c>
      <x:c r="Q944" s="2" t="str">
        <x:v>m3</x:v>
      </x:c>
      <x:c r="R944" s="17" t="n">
        <x:v>18125841304.788242</x:v>
      </x:c>
      <x:c r="S944" s="17" t="n">
        <x:v>7661856703.95</x:v>
      </x:c>
      <x:c r="T944" s="18" t="n">
        <x:v>0.3358224609191011</x:v>
      </x:c>
      <x:c r="U944" s="17" t="n">
        <x:v>2573023573.5300016</x:v>
      </x:c>
      <x:c r="V944" s="2" t="str">
        <x:v>Area equivalent = model2020 * source volume / TEMPO2020 volume</x:v>
      </x:c>
      <x:c r="W944" s="2" t="str">
        <x:v>qualified_paired_native_source_frame</x:v>
      </x:c>
      <x:c r="X944" s="2" t="str">
        <x:v>https://human-settlement.emergency.copernicus.eu/ghs_buV2023.php</x:v>
      </x:c>
    </x:row>
    <x:row r="945" ht="23" customHeight="1">
      <x:c r="A945" s="2" t="str">
        <x:v>PRK</x:v>
      </x:c>
      <x:c r="B945" s="2" t="str">
        <x:v>Korea (Democratic People's Republic of)</x:v>
      </x:c>
      <x:c r="C945" s="2" t="n">
        <x:v>2015</x:v>
      </x:c>
      <x:c r="D945" s="2" t="str">
        <x:v>GHSL_VOLUME</x:v>
      </x:c>
      <x:c r="E945" s="17" t="n">
        <x:v>399529994.4119029</x:v>
      </x:c>
      <x:c r="F945" s="17" t="n">
        <x:f>IF(AND(M945,ISNUMBER(R945)),IF(D945="TEMPO_PROXY",R945,IF(AND(ISNUMBER(S945),S945&gt;0,ISNUMBER(U945)),U945*R945/S945,"n.a.")),"n.a.")</x:f>
        <x:v>792505346.3572637</x:v>
      </x:c>
      <x:c r="G945" s="17" t="n">
        <x:f>IF(AND(ISNUMBER(E945),ISNUMBER(F945)),E945-F945,"n.a.")</x:f>
        <x:v>-392975351.9453608</x:v>
      </x:c>
      <x:c r="H945" s="15" t="n">
        <x:f>IF(AND(ISNUMBER(E945),ISNUMBER(F945),F945&gt;0),(E945-F945)/F945,"n.a.")</x:f>
        <x:v>-0.49586460678361954</x:v>
      </x:c>
      <x:c r="I945" s="19" t="n">
        <x:f>IF(ISNUMBER(H945),ABS(H945),"n.a.")</x:f>
        <x:v>0.49586460678361954</x:v>
      </x:c>
      <x:c r="J945" s="2" t="str">
        <x:v>available</x:v>
      </x:c>
      <x:c r="K945" s="2" t="n">
        <x:v>1</x:v>
      </x:c>
      <x:c r="L945" s="13" t="b">
        <x:v>0</x:v>
      </x:c>
      <x:c r="M945" s="13" t="b">
        <x:v>1</x:v>
      </x:c>
      <x:c r="N945" s="2" t="str">
        <x:v>modeled_epoch_volume_with_fixed2018_height_and_predominant_use</x:v>
      </x:c>
      <x:c r="O945" s="2" t="str"/>
      <x:c r="P945" s="2" t="str">
        <x:v>built-up volume</x:v>
      </x:c>
      <x:c r="Q945" s="2" t="str">
        <x:v>m3</x:v>
      </x:c>
      <x:c r="R945" s="17" t="n">
        <x:v>2218448291.2078433</x:v>
      </x:c>
      <x:c r="S945" s="17" t="n">
        <x:v>1314862793.51</x:v>
      </x:c>
      <x:c r="T945" s="18" t="n">
        <x:v>0.3572340854182276</x:v>
      </x:c>
      <x:c r="U945" s="17" t="n">
        <x:v>469713807.49000067</x:v>
      </x:c>
      <x:c r="V945" s="2" t="str">
        <x:v>Area equivalent = model2020 * source volume / TEMPO2020 volume</x:v>
      </x:c>
      <x:c r="W945" s="2" t="str">
        <x:v>qualified_paired_native_source_frame</x:v>
      </x:c>
      <x:c r="X945" s="2" t="str">
        <x:v>https://human-settlement.emergency.copernicus.eu/ghs_buV2023.php</x:v>
      </x:c>
    </x:row>
    <x:row r="946" ht="23" customHeight="1">
      <x:c r="A946" s="2" t="str">
        <x:v>PRT</x:v>
      </x:c>
      <x:c r="B946" s="2" t="str">
        <x:v>Portugal (Portuguese Republic)</x:v>
      </x:c>
      <x:c r="C946" s="2" t="n">
        <x:v>2015</x:v>
      </x:c>
      <x:c r="D946" s="2" t="str">
        <x:v>GHSL_VOLUME</x:v>
      </x:c>
      <x:c r="E946" s="17" t="n">
        <x:v>971474702.6920972</x:v>
      </x:c>
      <x:c r="F946" s="17" t="n">
        <x:f>IF(AND(M946,ISNUMBER(R946)),IF(D946="TEMPO_PROXY",R946,IF(AND(ISNUMBER(S946),S946&gt;0,ISNUMBER(U946)),U946*R946/S946,"n.a.")),"n.a.")</x:f>
        <x:v>2057344199.6211586</x:v>
      </x:c>
      <x:c r="G946" s="17" t="n">
        <x:f>IF(AND(ISNUMBER(E946),ISNUMBER(F946)),E946-F946,"n.a.")</x:f>
        <x:v>-1085869496.9290614</x:v>
      </x:c>
      <x:c r="H946" s="15" t="n">
        <x:f>IF(AND(ISNUMBER(E946),ISNUMBER(F946),F946&gt;0),(E946-F946)/F946,"n.a.")</x:f>
        <x:v>-0.527801569192464</x:v>
      </x:c>
      <x:c r="I946" s="19" t="n">
        <x:f>IF(ISNUMBER(H946),ABS(H946),"n.a.")</x:f>
        <x:v>0.527801569192464</x:v>
      </x:c>
      <x:c r="J946" s="2" t="str">
        <x:v>available</x:v>
      </x:c>
      <x:c r="K946" s="2" t="n">
        <x:v>1</x:v>
      </x:c>
      <x:c r="L946" s="13" t="b">
        <x:v>0</x:v>
      </x:c>
      <x:c r="M946" s="13" t="b">
        <x:v>1</x:v>
      </x:c>
      <x:c r="N946" s="2" t="str">
        <x:v>modeled_epoch_volume_with_fixed2018_height_and_predominant_use</x:v>
      </x:c>
      <x:c r="O946" s="2" t="str"/>
      <x:c r="P946" s="2" t="str">
        <x:v>built-up volume</x:v>
      </x:c>
      <x:c r="Q946" s="2" t="str">
        <x:v>m3</x:v>
      </x:c>
      <x:c r="R946" s="17" t="n">
        <x:v>6620970338.650981</x:v>
      </x:c>
      <x:c r="S946" s="17" t="n">
        <x:v>3280431979.36</x:v>
      </x:c>
      <x:c r="T946" s="18" t="n">
        <x:v>0.3107315233857914</x:v>
      </x:c>
      <x:c r="U946" s="17" t="n">
        <x:v>1019333626.31</x:v>
      </x:c>
      <x:c r="V946" s="2" t="str">
        <x:v>Area equivalent = model2020 * source volume / TEMPO2020 volume</x:v>
      </x:c>
      <x:c r="W946" s="2" t="str">
        <x:v>qualified_paired_native_source_frame</x:v>
      </x:c>
      <x:c r="X946" s="2" t="str">
        <x:v>https://human-settlement.emergency.copernicus.eu/ghs_buV2023.php</x:v>
      </x:c>
    </x:row>
    <x:row r="947" ht="23" customHeight="1">
      <x:c r="A947" s="2" t="str">
        <x:v>PRY</x:v>
      </x:c>
      <x:c r="B947" s="2" t="str">
        <x:v>Paraguay (Republic of)</x:v>
      </x:c>
      <x:c r="C947" s="2" t="n">
        <x:v>2015</x:v>
      </x:c>
      <x:c r="D947" s="2" t="str">
        <x:v>GHSL_VOLUME</x:v>
      </x:c>
      <x:c r="E947" s="17" t="n">
        <x:v>320713958.5472337</x:v>
      </x:c>
      <x:c r="F947" s="17" t="n">
        <x:f>IF(AND(M947,ISNUMBER(R947)),IF(D947="TEMPO_PROXY",R947,IF(AND(ISNUMBER(S947),S947&gt;0,ISNUMBER(U947)),U947*R947/S947,"n.a.")),"n.a.")</x:f>
        <x:v>1048228542.7220365</x:v>
      </x:c>
      <x:c r="G947" s="17" t="n">
        <x:f>IF(AND(ISNUMBER(E947),ISNUMBER(F947)),E947-F947,"n.a.")</x:f>
        <x:v>-727514584.1748028</x:v>
      </x:c>
      <x:c r="H947" s="15" t="n">
        <x:f>IF(AND(ISNUMBER(E947),ISNUMBER(F947),F947&gt;0),(E947-F947)/F947,"n.a.")</x:f>
        <x:v>-0.6940419522307562</x:v>
      </x:c>
      <x:c r="I947" s="19" t="n">
        <x:f>IF(ISNUMBER(H947),ABS(H947),"n.a.")</x:f>
        <x:v>0.6940419522307562</x:v>
      </x:c>
      <x:c r="J947" s="2" t="str">
        <x:v>available</x:v>
      </x:c>
      <x:c r="K947" s="2" t="n">
        <x:v>1</x:v>
      </x:c>
      <x:c r="L947" s="13" t="b">
        <x:v>0</x:v>
      </x:c>
      <x:c r="M947" s="13" t="b">
        <x:v>1</x:v>
      </x:c>
      <x:c r="N947" s="2" t="str">
        <x:v>modeled_epoch_volume_with_fixed2018_height_and_predominant_use</x:v>
      </x:c>
      <x:c r="O947" s="2" t="str"/>
      <x:c r="P947" s="2" t="str">
        <x:v>built-up volume</x:v>
      </x:c>
      <x:c r="Q947" s="2" t="str">
        <x:v>m3</x:v>
      </x:c>
      <x:c r="R947" s="17" t="n">
        <x:v>2455109406.5490193</x:v>
      </x:c>
      <x:c r="S947" s="17" t="n">
        <x:v>788822067.97</x:v>
      </x:c>
      <x:c r="T947" s="18" t="n">
        <x:v>0.4269579758547136</x:v>
      </x:c>
      <x:c r="U947" s="17" t="n">
        <x:v>336793873.4500005</x:v>
      </x:c>
      <x:c r="V947" s="2" t="str">
        <x:v>Area equivalent = model2020 * source volume / TEMPO2020 volume</x:v>
      </x:c>
      <x:c r="W947" s="2" t="str">
        <x:v>qualified_paired_native_source_frame</x:v>
      </x:c>
      <x:c r="X947" s="2" t="str">
        <x:v>https://human-settlement.emergency.copernicus.eu/ghs_buV2023.php</x:v>
      </x:c>
    </x:row>
    <x:row r="948" ht="23" customHeight="1">
      <x:c r="A948" s="2" t="str">
        <x:v>PSE</x:v>
      </x:c>
      <x:c r="B948" s="2" t="str">
        <x:v>State of Palestine</x:v>
      </x:c>
      <x:c r="C948" s="2" t="n">
        <x:v>2015</x:v>
      </x:c>
      <x:c r="D948" s="2" t="str">
        <x:v>GHSL_VOLUME</x:v>
      </x:c>
      <x:c r="E948" s="17" t="n">
        <x:v>227721164.33217236</x:v>
      </x:c>
      <x:c r="F948" s="17" t="str">
        <x:f>IF(AND(M948,ISNUMBER(R948)),IF(D948="TEMPO_PROXY",R948,IF(AND(ISNUMBER(S948),S948&gt;0,ISNUMBER(U948)),U948*R948/S948,"n.a.")),"n.a.")</x:f>
        <x:v>n.a.</x:v>
      </x:c>
      <x:c r="G948" s="17" t="str">
        <x:f>IF(AND(ISNUMBER(E948),ISNUMBER(F948)),E948-F948,"n.a.")</x:f>
        <x:v>n.a.</x:v>
      </x:c>
      <x:c r="H948" s="15" t="str">
        <x:f>IF(AND(ISNUMBER(E948),ISNUMBER(F948),F948&gt;0),(E948-F948)/F948,"n.a.")</x:f>
        <x:v>n.a.</x:v>
      </x:c>
      <x:c r="I948" s="19" t="str">
        <x:f>IF(ISNUMBER(H948),ABS(H948),"n.a.")</x:f>
        <x:v>n.a.</x:v>
      </x:c>
      <x:c r="J948" s="2" t="str">
        <x:v>unqualified_or_missing_native_source: boundary_unmapped</x:v>
      </x:c>
      <x:c r="K948" s="2" t="n">
        <x:v>0</x:v>
      </x:c>
      <x:c r="L948" s="13" t="b">
        <x:v>0</x:v>
      </x:c>
      <x:c r="M948" s="13" t="b">
        <x:v>0</x:v>
      </x:c>
      <x:c r="N948" s="2" t="str">
        <x:v>modeled_epoch_volume_with_fixed2018_height_and_predominant_use</x:v>
      </x:c>
      <x:c r="O948" s="2" t="str"/>
      <x:c r="P948" s="2" t="str">
        <x:v>built-up volume</x:v>
      </x:c>
      <x:c r="Q948" s="2" t="str">
        <x:v>m3</x:v>
      </x:c>
      <x:c r="R948" s="17"/>
      <x:c r="S948" s="17"/>
      <x:c r="T948" s="18"/>
      <x:c r="U948" s="17" t="n">
        <x:v>239938472.63190365</x:v>
      </x:c>
      <x:c r="V948" s="2" t="str">
        <x:v>Area equivalent = model2020 * source volume / TEMPO2020 volume</x:v>
      </x:c>
      <x:c r="W948" s="2" t="str">
        <x:v>boundary_unmapped</x:v>
      </x:c>
      <x:c r="X948" s="2" t="str">
        <x:v>https://human-settlement.emergency.copernicus.eu/ghs_buV2023.php</x:v>
      </x:c>
    </x:row>
    <x:row r="949" ht="23" customHeight="1">
      <x:c r="A949" s="2" t="str">
        <x:v>QAT</x:v>
      </x:c>
      <x:c r="B949" s="2" t="str">
        <x:v>Qatar (State of)</x:v>
      </x:c>
      <x:c r="C949" s="2" t="n">
        <x:v>2015</x:v>
      </x:c>
      <x:c r="D949" s="2" t="str">
        <x:v>GHSL_VOLUME</x:v>
      </x:c>
      <x:c r="E949" s="17" t="n">
        <x:v>105013579.42282487</x:v>
      </x:c>
      <x:c r="F949" s="17" t="n">
        <x:f>IF(AND(M949,ISNUMBER(R949)),IF(D949="TEMPO_PROXY",R949,IF(AND(ISNUMBER(S949),S949&gt;0,ISNUMBER(U949)),U949*R949/S949,"n.a.")),"n.a.")</x:f>
        <x:v>372905348.0931602</x:v>
      </x:c>
      <x:c r="G949" s="17" t="n">
        <x:f>IF(AND(ISNUMBER(E949),ISNUMBER(F949)),E949-F949,"n.a.")</x:f>
        <x:v>-267891768.67033535</x:v>
      </x:c>
      <x:c r="H949" s="15" t="n">
        <x:f>IF(AND(ISNUMBER(E949),ISNUMBER(F949),F949&gt;0),(E949-F949)/F949,"n.a.")</x:f>
        <x:v>-0.718390792838428</x:v>
      </x:c>
      <x:c r="I949" s="19" t="n">
        <x:f>IF(ISNUMBER(H949),ABS(H949),"n.a.")</x:f>
        <x:v>0.718390792838428</x:v>
      </x:c>
      <x:c r="J949" s="2" t="str">
        <x:v>available</x:v>
      </x:c>
      <x:c r="K949" s="2" t="n">
        <x:v>1</x:v>
      </x:c>
      <x:c r="L949" s="13" t="b">
        <x:v>0</x:v>
      </x:c>
      <x:c r="M949" s="13" t="b">
        <x:v>1</x:v>
      </x:c>
      <x:c r="N949" s="2" t="str">
        <x:v>modeled_epoch_volume_with_fixed2018_height_and_predominant_use</x:v>
      </x:c>
      <x:c r="O949" s="2" t="str"/>
      <x:c r="P949" s="2" t="str">
        <x:v>built-up volume</x:v>
      </x:c>
      <x:c r="Q949" s="2" t="str">
        <x:v>m3</x:v>
      </x:c>
      <x:c r="R949" s="17" t="n">
        <x:v>1322496102.8509805</x:v>
      </x:c>
      <x:c r="S949" s="17" t="n">
        <x:v>486987373.31</x:v>
      </x:c>
      <x:c r="T949" s="18" t="n">
        <x:v>0.28197084837472625</x:v>
      </x:c>
      <x:c r="U949" s="17" t="n">
        <x:v>137316242.80000022</x:v>
      </x:c>
      <x:c r="V949" s="2" t="str">
        <x:v>Area equivalent = model2020 * source volume / TEMPO2020 volume</x:v>
      </x:c>
      <x:c r="W949" s="2" t="str">
        <x:v>qualified_paired_native_source_frame</x:v>
      </x:c>
      <x:c r="X949" s="2" t="str">
        <x:v>https://human-settlement.emergency.copernicus.eu/ghs_buV2023.php</x:v>
      </x:c>
    </x:row>
    <x:row r="950" ht="23" customHeight="1">
      <x:c r="A950" s="2" t="str">
        <x:v>ROU</x:v>
      </x:c>
      <x:c r="B950" s="2" t="str">
        <x:v>Romania</x:v>
      </x:c>
      <x:c r="C950" s="2" t="n">
        <x:v>2015</x:v>
      </x:c>
      <x:c r="D950" s="2" t="str">
        <x:v>GHSL_VOLUME</x:v>
      </x:c>
      <x:c r="E950" s="17" t="n">
        <x:v>1361197456.7154684</x:v>
      </x:c>
      <x:c r="F950" s="17" t="n">
        <x:f>IF(AND(M950,ISNUMBER(R950)),IF(D950="TEMPO_PROXY",R950,IF(AND(ISNUMBER(S950),S950&gt;0,ISNUMBER(U950)),U950*R950/S950,"n.a.")),"n.a.")</x:f>
        <x:v>3028929195.241463</x:v>
      </x:c>
      <x:c r="G950" s="17" t="n">
        <x:f>IF(AND(ISNUMBER(E950),ISNUMBER(F950)),E950-F950,"n.a.")</x:f>
        <x:v>-1667731738.5259948</x:v>
      </x:c>
      <x:c r="H950" s="15" t="n">
        <x:f>IF(AND(ISNUMBER(E950),ISNUMBER(F950),F950&gt;0),(E950-F950)/F950,"n.a.")</x:f>
        <x:v>-0.5506010972940703</x:v>
      </x:c>
      <x:c r="I950" s="19" t="n">
        <x:f>IF(ISNUMBER(H950),ABS(H950),"n.a.")</x:f>
        <x:v>0.5506010972940703</x:v>
      </x:c>
      <x:c r="J950" s="2" t="str">
        <x:v>available</x:v>
      </x:c>
      <x:c r="K950" s="2" t="n">
        <x:v>1</x:v>
      </x:c>
      <x:c r="L950" s="13" t="b">
        <x:v>0</x:v>
      </x:c>
      <x:c r="M950" s="13" t="b">
        <x:v>1</x:v>
      </x:c>
      <x:c r="N950" s="2" t="str">
        <x:v>modeled_epoch_volume_with_fixed2018_height_and_predominant_use</x:v>
      </x:c>
      <x:c r="O950" s="2" t="str"/>
      <x:c r="P950" s="2" t="str">
        <x:v>built-up volume</x:v>
      </x:c>
      <x:c r="Q950" s="2" t="str">
        <x:v>m3</x:v>
      </x:c>
      <x:c r="R950" s="17" t="n">
        <x:v>8816258061.509802</x:v>
      </x:c>
      <x:c r="S950" s="17" t="n">
        <x:v>4224835877.28</x:v>
      </x:c>
      <x:c r="T950" s="18" t="n">
        <x:v>0.34356176669387933</x:v>
      </x:c>
      <x:c r="U950" s="17" t="n">
        <x:v>1451492077.9900024</x:v>
      </x:c>
      <x:c r="V950" s="2" t="str">
        <x:v>Area equivalent = model2020 * source volume / TEMPO2020 volume</x:v>
      </x:c>
      <x:c r="W950" s="2" t="str">
        <x:v>qualified_paired_native_source_frame</x:v>
      </x:c>
      <x:c r="X950" s="2" t="str">
        <x:v>https://human-settlement.emergency.copernicus.eu/ghs_buV2023.php</x:v>
      </x:c>
    </x:row>
    <x:row r="951" ht="23" customHeight="1">
      <x:c r="A951" s="2" t="str">
        <x:v>RUS</x:v>
      </x:c>
      <x:c r="B951" s="2" t="str">
        <x:v>Russian Federation</x:v>
      </x:c>
      <x:c r="C951" s="2" t="n">
        <x:v>2015</x:v>
      </x:c>
      <x:c r="D951" s="2" t="str">
        <x:v>GHSL_VOLUME</x:v>
      </x:c>
      <x:c r="E951" s="17" t="n">
        <x:v>7329903918.534828</x:v>
      </x:c>
      <x:c r="F951" s="17" t="n">
        <x:f>IF(AND(M951,ISNUMBER(R951)),IF(D951="TEMPO_PROXY",R951,IF(AND(ISNUMBER(S951),S951&gt;0,ISNUMBER(U951)),U951*R951/S951,"n.a.")),"n.a.")</x:f>
        <x:v>20615158402.82643</x:v>
      </x:c>
      <x:c r="G951" s="17" t="n">
        <x:f>IF(AND(ISNUMBER(E951),ISNUMBER(F951)),E951-F951,"n.a.")</x:f>
        <x:v>-13285254484.291603</x:v>
      </x:c>
      <x:c r="H951" s="15" t="n">
        <x:f>IF(AND(ISNUMBER(E951),ISNUMBER(F951),F951&gt;0),(E951-F951)/F951,"n.a.")</x:f>
        <x:v>-0.6444410576282613</x:v>
      </x:c>
      <x:c r="I951" s="19" t="n">
        <x:f>IF(ISNUMBER(H951),ABS(H951),"n.a.")</x:f>
        <x:v>0.6444410576282613</x:v>
      </x:c>
      <x:c r="J951" s="2" t="str">
        <x:v>available</x:v>
      </x:c>
      <x:c r="K951" s="2" t="n">
        <x:v>1</x:v>
      </x:c>
      <x:c r="L951" s="13" t="b">
        <x:v>0</x:v>
      </x:c>
      <x:c r="M951" s="13" t="b">
        <x:v>1</x:v>
      </x:c>
      <x:c r="N951" s="2" t="str">
        <x:v>modeled_epoch_volume_with_fixed2018_height_and_predominant_use</x:v>
      </x:c>
      <x:c r="O951" s="2" t="str"/>
      <x:c r="P951" s="2" t="str">
        <x:v>built-up volume</x:v>
      </x:c>
      <x:c r="Q951" s="2" t="str">
        <x:v>m3</x:v>
      </x:c>
      <x:c r="R951" s="17" t="n">
        <x:v>68211515567.89804</x:v>
      </x:c>
      <x:c r="S951" s="17" t="n">
        <x:v>25701753824.48</x:v>
      </x:c>
      <x:c r="T951" s="18" t="n">
        <x:v>0.3022240193784584</x:v>
      </x:c>
      <x:c r="U951" s="17" t="n">
        <x:v>7767687345.91001</x:v>
      </x:c>
      <x:c r="V951" s="2" t="str">
        <x:v>Area equivalent = model2020 * source volume / TEMPO2020 volume</x:v>
      </x:c>
      <x:c r="W951" s="2" t="str">
        <x:v>qualified_paired_native_source_frame</x:v>
      </x:c>
      <x:c r="X951" s="2" t="str">
        <x:v>https://human-settlement.emergency.copernicus.eu/ghs_buV2023.php</x:v>
      </x:c>
    </x:row>
    <x:row r="952" ht="23" customHeight="1">
      <x:c r="A952" s="2" t="str">
        <x:v>RWA</x:v>
      </x:c>
      <x:c r="B952" s="2" t="str">
        <x:v>Rwanda (Republic of)</x:v>
      </x:c>
      <x:c r="C952" s="2" t="n">
        <x:v>2015</x:v>
      </x:c>
      <x:c r="D952" s="2" t="str">
        <x:v>GHSL_VOLUME</x:v>
      </x:c>
      <x:c r="E952" s="17" t="n">
        <x:v>190675524.79529798</x:v>
      </x:c>
      <x:c r="F952" s="17" t="n">
        <x:f>IF(AND(M952,ISNUMBER(R952)),IF(D952="TEMPO_PROXY",R952,IF(AND(ISNUMBER(S952),S952&gt;0,ISNUMBER(U952)),U952*R952/S952,"n.a.")),"n.a.")</x:f>
        <x:v>953655019.1370453</x:v>
      </x:c>
      <x:c r="G952" s="17" t="n">
        <x:f>IF(AND(ISNUMBER(E952),ISNUMBER(F952)),E952-F952,"n.a.")</x:f>
        <x:v>-762979494.3417473</x:v>
      </x:c>
      <x:c r="H952" s="15" t="n">
        <x:f>IF(AND(ISNUMBER(E952),ISNUMBER(F952),F952&gt;0),(E952-F952)/F952,"n.a.")</x:f>
        <x:v>-0.8000581751587291</x:v>
      </x:c>
      <x:c r="I952" s="19" t="n">
        <x:f>IF(ISNUMBER(H952),ABS(H952),"n.a.")</x:f>
        <x:v>0.8000581751587291</x:v>
      </x:c>
      <x:c r="J952" s="2" t="str">
        <x:v>available</x:v>
      </x:c>
      <x:c r="K952" s="2" t="n">
        <x:v>1</x:v>
      </x:c>
      <x:c r="L952" s="13" t="b">
        <x:v>0</x:v>
      </x:c>
      <x:c r="M952" s="13" t="b">
        <x:v>1</x:v>
      </x:c>
      <x:c r="N952" s="2" t="str">
        <x:v>modeled_epoch_volume_with_fixed2018_height_and_predominant_use</x:v>
      </x:c>
      <x:c r="O952" s="2" t="str"/>
      <x:c r="P952" s="2" t="str">
        <x:v>built-up volume</x:v>
      </x:c>
      <x:c r="Q952" s="2" t="str">
        <x:v>m3</x:v>
      </x:c>
      <x:c r="R952" s="17" t="n">
        <x:v>1928013922.9803922</x:v>
      </x:c>
      <x:c r="S952" s="17" t="n">
        <x:v>495070944.77</x:v>
      </x:c>
      <x:c r="T952" s="18" t="n">
        <x:v>0.4946307740676746</x:v>
      </x:c>
      <x:c r="U952" s="17" t="n">
        <x:v>244877324.63000005</x:v>
      </x:c>
      <x:c r="V952" s="2" t="str">
        <x:v>Area equivalent = model2020 * source volume / TEMPO2020 volume</x:v>
      </x:c>
      <x:c r="W952" s="2" t="str">
        <x:v>qualified_paired_native_source_frame</x:v>
      </x:c>
      <x:c r="X952" s="2" t="str">
        <x:v>https://human-settlement.emergency.copernicus.eu/ghs_buV2023.php</x:v>
      </x:c>
    </x:row>
    <x:row r="953" ht="23" customHeight="1">
      <x:c r="A953" s="2" t="str">
        <x:v>SAU</x:v>
      </x:c>
      <x:c r="B953" s="2" t="str">
        <x:v>Saudi Arabia (Kingdom of)</x:v>
      </x:c>
      <x:c r="C953" s="2" t="n">
        <x:v>2015</x:v>
      </x:c>
      <x:c r="D953" s="2" t="str">
        <x:v>GHSL_VOLUME</x:v>
      </x:c>
      <x:c r="E953" s="17" t="n">
        <x:v>1566644512.76466</x:v>
      </x:c>
      <x:c r="F953" s="17" t="n">
        <x:f>IF(AND(M953,ISNUMBER(R953)),IF(D953="TEMPO_PROXY",R953,IF(AND(ISNUMBER(S953),S953&gt;0,ISNUMBER(U953)),U953*R953/S953,"n.a.")),"n.a.")</x:f>
        <x:v>4880721064.854459</x:v>
      </x:c>
      <x:c r="G953" s="17" t="n">
        <x:f>IF(AND(ISNUMBER(E953),ISNUMBER(F953)),E953-F953,"n.a.")</x:f>
        <x:v>-3314076552.089799</x:v>
      </x:c>
      <x:c r="H953" s="15" t="n">
        <x:f>IF(AND(ISNUMBER(E953),ISNUMBER(F953),F953&gt;0),(E953-F953)/F953,"n.a.")</x:f>
        <x:v>-0.6790137170415461</x:v>
      </x:c>
      <x:c r="I953" s="19" t="n">
        <x:f>IF(ISNUMBER(H953),ABS(H953),"n.a.")</x:f>
        <x:v>0.6790137170415461</x:v>
      </x:c>
      <x:c r="J953" s="2" t="str">
        <x:v>available</x:v>
      </x:c>
      <x:c r="K953" s="2" t="n">
        <x:v>1</x:v>
      </x:c>
      <x:c r="L953" s="13" t="b">
        <x:v>0</x:v>
      </x:c>
      <x:c r="M953" s="13" t="b">
        <x:v>1</x:v>
      </x:c>
      <x:c r="N953" s="2" t="str">
        <x:v>modeled_epoch_volume_with_fixed2018_height_and_predominant_use</x:v>
      </x:c>
      <x:c r="O953" s="2" t="str"/>
      <x:c r="P953" s="2" t="str">
        <x:v>built-up volume</x:v>
      </x:c>
      <x:c r="Q953" s="2" t="str">
        <x:v>m3</x:v>
      </x:c>
      <x:c r="R953" s="17" t="n">
        <x:v>16279839650.756863</x:v>
      </x:c>
      <x:c r="S953" s="17" t="n">
        <x:v>6376625840.02</x:v>
      </x:c>
      <x:c r="T953" s="18" t="n">
        <x:v>0.29980154409122517</x:v>
      </x:c>
      <x:c r="U953" s="17" t="n">
        <x:v>1911722272.930002</x:v>
      </x:c>
      <x:c r="V953" s="2" t="str">
        <x:v>Area equivalent = model2020 * source volume / TEMPO2020 volume</x:v>
      </x:c>
      <x:c r="W953" s="2" t="str">
        <x:v>qualified_paired_native_source_frame</x:v>
      </x:c>
      <x:c r="X953" s="2" t="str">
        <x:v>https://human-settlement.emergency.copernicus.eu/ghs_buV2023.php</x:v>
      </x:c>
    </x:row>
    <x:row r="954" ht="23" customHeight="1">
      <x:c r="A954" s="2" t="str">
        <x:v>SDN</x:v>
      </x:c>
      <x:c r="B954" s="2" t="str">
        <x:v>Sudan (Republic of the)</x:v>
      </x:c>
      <x:c r="C954" s="2" t="n">
        <x:v>2015</x:v>
      </x:c>
      <x:c r="D954" s="2" t="str">
        <x:v>GHSL_VOLUME</x:v>
      </x:c>
      <x:c r="E954" s="17" t="n">
        <x:v>556895482.4611582</x:v>
      </x:c>
      <x:c r="F954" s="17" t="n">
        <x:f>IF(AND(M954,ISNUMBER(R954)),IF(D954="TEMPO_PROXY",R954,IF(AND(ISNUMBER(S954),S954&gt;0,ISNUMBER(U954)),U954*R954/S954,"n.a.")),"n.a.")</x:f>
        <x:v>2717664280.769064</x:v>
      </x:c>
      <x:c r="G954" s="17" t="n">
        <x:f>IF(AND(ISNUMBER(E954),ISNUMBER(F954)),E954-F954,"n.a.")</x:f>
        <x:v>-2160768798.3079057</x:v>
      </x:c>
      <x:c r="H954" s="15" t="n">
        <x:f>IF(AND(ISNUMBER(E954),ISNUMBER(F954),F954&gt;0),(E954-F954)/F954,"n.a.")</x:f>
        <x:v>-0.7950830474529532</x:v>
      </x:c>
      <x:c r="I954" s="19" t="n">
        <x:f>IF(ISNUMBER(H954),ABS(H954),"n.a.")</x:f>
        <x:v>0.7950830474529532</x:v>
      </x:c>
      <x:c r="J954" s="2" t="str">
        <x:v>available</x:v>
      </x:c>
      <x:c r="K954" s="2" t="n">
        <x:v>1</x:v>
      </x:c>
      <x:c r="L954" s="13" t="b">
        <x:v>0</x:v>
      </x:c>
      <x:c r="M954" s="13" t="b">
        <x:v>1</x:v>
      </x:c>
      <x:c r="N954" s="2" t="str">
        <x:v>modeled_epoch_volume_with_fixed2018_height_and_predominant_use</x:v>
      </x:c>
      <x:c r="O954" s="2" t="str"/>
      <x:c r="P954" s="2" t="str">
        <x:v>built-up volume</x:v>
      </x:c>
      <x:c r="Q954" s="2" t="str">
        <x:v>m3</x:v>
      </x:c>
      <x:c r="R954" s="17" t="n">
        <x:v>6416171095.384314</x:v>
      </x:c>
      <x:c r="S954" s="17" t="n">
        <x:v>1773781071.22</x:v>
      </x:c>
      <x:c r="T954" s="18" t="n">
        <x:v>0.42356480841418126</x:v>
      </x:c>
      <x:c r="U954" s="17" t="n">
        <x:v>751311239.6000005</x:v>
      </x:c>
      <x:c r="V954" s="2" t="str">
        <x:v>Area equivalent = model2020 * source volume / TEMPO2020 volume</x:v>
      </x:c>
      <x:c r="W954" s="2" t="str">
        <x:v>qualified_paired_native_source_frame</x:v>
      </x:c>
      <x:c r="X954" s="2" t="str">
        <x:v>https://human-settlement.emergency.copernicus.eu/ghs_buV2023.php</x:v>
      </x:c>
    </x:row>
    <x:row r="955" ht="23" customHeight="1">
      <x:c r="A955" s="2" t="str">
        <x:v>SEN</x:v>
      </x:c>
      <x:c r="B955" s="2" t="str">
        <x:v>Senegal (Republic of)</x:v>
      </x:c>
      <x:c r="C955" s="2" t="n">
        <x:v>2015</x:v>
      </x:c>
      <x:c r="D955" s="2" t="str">
        <x:v>GHSL_VOLUME</x:v>
      </x:c>
      <x:c r="E955" s="17" t="n">
        <x:v>264389994.98968568</x:v>
      </x:c>
      <x:c r="F955" s="17" t="n">
        <x:f>IF(AND(M955,ISNUMBER(R955)),IF(D955="TEMPO_PROXY",R955,IF(AND(ISNUMBER(S955),S955&gt;0,ISNUMBER(U955)),U955*R955/S955,"n.a.")),"n.a.")</x:f>
        <x:v>1158763770.2044737</x:v>
      </x:c>
      <x:c r="G955" s="17" t="n">
        <x:f>IF(AND(ISNUMBER(E955),ISNUMBER(F955)),E955-F955,"n.a.")</x:f>
        <x:v>-894373775.2147881</x:v>
      </x:c>
      <x:c r="H955" s="15" t="n">
        <x:f>IF(AND(ISNUMBER(E955),ISNUMBER(F955),F955&gt;0),(E955-F955)/F955,"n.a.")</x:f>
        <x:v>-0.771834430978946</x:v>
      </x:c>
      <x:c r="I955" s="19" t="n">
        <x:f>IF(ISNUMBER(H955),ABS(H955),"n.a.")</x:f>
        <x:v>0.771834430978946</x:v>
      </x:c>
      <x:c r="J955" s="2" t="str">
        <x:v>available</x:v>
      </x:c>
      <x:c r="K955" s="2" t="n">
        <x:v>1</x:v>
      </x:c>
      <x:c r="L955" s="13" t="b">
        <x:v>0</x:v>
      </x:c>
      <x:c r="M955" s="13" t="b">
        <x:v>1</x:v>
      </x:c>
      <x:c r="N955" s="2" t="str">
        <x:v>modeled_epoch_volume_with_fixed2018_height_and_predominant_use</x:v>
      </x:c>
      <x:c r="O955" s="2" t="str"/>
      <x:c r="P955" s="2" t="str">
        <x:v>built-up volume</x:v>
      </x:c>
      <x:c r="Q955" s="2" t="str">
        <x:v>m3</x:v>
      </x:c>
      <x:c r="R955" s="17" t="n">
        <x:v>2943123499.592157</x:v>
      </x:c>
      <x:c r="S955" s="17" t="n">
        <x:v>774798269.1</x:v>
      </x:c>
      <x:c r="T955" s="18" t="n">
        <x:v>0.3937190438542757</x:v>
      </x:c>
      <x:c r="U955" s="17" t="n">
        <x:v>305052833.6899998</x:v>
      </x:c>
      <x:c r="V955" s="2" t="str">
        <x:v>Area equivalent = model2020 * source volume / TEMPO2020 volume</x:v>
      </x:c>
      <x:c r="W955" s="2" t="str">
        <x:v>qualified_paired_native_source_frame</x:v>
      </x:c>
      <x:c r="X955" s="2" t="str">
        <x:v>https://human-settlement.emergency.copernicus.eu/ghs_buV2023.php</x:v>
      </x:c>
    </x:row>
    <x:row r="956" ht="23" customHeight="1">
      <x:c r="A956" s="2" t="str">
        <x:v>SGP</x:v>
      </x:c>
      <x:c r="B956" s="2" t="str">
        <x:v>Singapore (Republic of)</x:v>
      </x:c>
      <x:c r="C956" s="2" t="n">
        <x:v>2015</x:v>
      </x:c>
      <x:c r="D956" s="2" t="str">
        <x:v>GHSL_VOLUME</x:v>
      </x:c>
      <x:c r="E956" s="17" t="n">
        <x:v>187575286.78208792</x:v>
      </x:c>
      <x:c r="F956" s="17" t="n">
        <x:f>IF(AND(M956,ISNUMBER(R956)),IF(D956="TEMPO_PROXY",R956,IF(AND(ISNUMBER(S956),S956&gt;0,ISNUMBER(U956)),U956*R956/S956,"n.a.")),"n.a.")</x:f>
        <x:v>458075490.4402473</x:v>
      </x:c>
      <x:c r="G956" s="17" t="n">
        <x:f>IF(AND(ISNUMBER(E956),ISNUMBER(F956)),E956-F956,"n.a.")</x:f>
        <x:v>-270500203.6581594</x:v>
      </x:c>
      <x:c r="H956" s="15" t="n">
        <x:f>IF(AND(ISNUMBER(E956),ISNUMBER(F956),F956&gt;0),(E956-F956)/F956,"n.a.")</x:f>
        <x:v>-0.590514466072365</x:v>
      </x:c>
      <x:c r="I956" s="19" t="n">
        <x:f>IF(ISNUMBER(H956),ABS(H956),"n.a.")</x:f>
        <x:v>0.590514466072365</x:v>
      </x:c>
      <x:c r="J956" s="2" t="str">
        <x:v>available</x:v>
      </x:c>
      <x:c r="K956" s="2" t="n">
        <x:v>1</x:v>
      </x:c>
      <x:c r="L956" s="13" t="b">
        <x:v>0</x:v>
      </x:c>
      <x:c r="M956" s="13" t="b">
        <x:v>1</x:v>
      </x:c>
      <x:c r="N956" s="2" t="str">
        <x:v>modeled_epoch_volume_with_fixed2018_height_and_predominant_use</x:v>
      </x:c>
      <x:c r="O956" s="2" t="str"/>
      <x:c r="P956" s="2" t="str">
        <x:v>built-up volume</x:v>
      </x:c>
      <x:c r="Q956" s="2" t="str">
        <x:v>m3</x:v>
      </x:c>
      <x:c r="R956" s="17" t="n">
        <x:v>1656587281.4392176</x:v>
      </x:c>
      <x:c r="S956" s="17" t="n">
        <x:v>703977699.01</x:v>
      </x:c>
      <x:c r="T956" s="18" t="n">
        <x:v>0.27651757053348763</x:v>
      </x:c>
      <x:c r="U956" s="17" t="n">
        <x:v>194662203.04</x:v>
      </x:c>
      <x:c r="V956" s="2" t="str">
        <x:v>Area equivalent = model2020 * source volume / TEMPO2020 volume</x:v>
      </x:c>
      <x:c r="W956" s="2" t="str">
        <x:v>qualified_paired_native_source_frame</x:v>
      </x:c>
      <x:c r="X956" s="2" t="str">
        <x:v>https://human-settlement.emergency.copernicus.eu/ghs_buV2023.php</x:v>
      </x:c>
    </x:row>
    <x:row r="957" ht="23" customHeight="1">
      <x:c r="A957" s="2" t="str">
        <x:v>SLB</x:v>
      </x:c>
      <x:c r="B957" s="2" t="str">
        <x:v>Solomon Islands</x:v>
      </x:c>
      <x:c r="C957" s="2" t="n">
        <x:v>2015</x:v>
      </x:c>
      <x:c r="D957" s="2" t="str">
        <x:v>GHSL_VOLUME</x:v>
      </x:c>
      <x:c r="E957" s="17" t="n">
        <x:v>13834538.346259255</x:v>
      </x:c>
      <x:c r="F957" s="17" t="n">
        <x:f>IF(AND(M957,ISNUMBER(R957)),IF(D957="TEMPO_PROXY",R957,IF(AND(ISNUMBER(S957),S957&gt;0,ISNUMBER(U957)),U957*R957/S957,"n.a.")),"n.a.")</x:f>
        <x:v>56675680.01626518</x:v>
      </x:c>
      <x:c r="G957" s="17" t="n">
        <x:f>IF(AND(ISNUMBER(E957),ISNUMBER(F957)),E957-F957,"n.a.")</x:f>
        <x:v>-42841141.67000593</x:v>
      </x:c>
      <x:c r="H957" s="15" t="n">
        <x:f>IF(AND(ISNUMBER(E957),ISNUMBER(F957),F957&gt;0),(E957-F957)/F957,"n.a.")</x:f>
        <x:v>-0.7558999143497014</x:v>
      </x:c>
      <x:c r="I957" s="19" t="n">
        <x:f>IF(ISNUMBER(H957),ABS(H957),"n.a.")</x:f>
        <x:v>0.7558999143497014</x:v>
      </x:c>
      <x:c r="J957" s="2" t="str">
        <x:v>available</x:v>
      </x:c>
      <x:c r="K957" s="2" t="n">
        <x:v>1</x:v>
      </x:c>
      <x:c r="L957" s="13" t="b">
        <x:v>0</x:v>
      </x:c>
      <x:c r="M957" s="13" t="b">
        <x:v>1</x:v>
      </x:c>
      <x:c r="N957" s="2" t="str">
        <x:v>modeled_epoch_volume_with_fixed2018_height_and_predominant_use</x:v>
      </x:c>
      <x:c r="O957" s="2" t="str"/>
      <x:c r="P957" s="2" t="str">
        <x:v>built-up volume</x:v>
      </x:c>
      <x:c r="Q957" s="2" t="str">
        <x:v>m3</x:v>
      </x:c>
      <x:c r="R957" s="17" t="n">
        <x:v>122403984.5019608</x:v>
      </x:c>
      <x:c r="S957" s="17" t="n">
        <x:v>31183494.28</x:v>
      </x:c>
      <x:c r="T957" s="18" t="n">
        <x:v>0.4630215286444151</x:v>
      </x:c>
      <x:c r="U957" s="17" t="n">
        <x:v>14438629.189999975</x:v>
      </x:c>
      <x:c r="V957" s="2" t="str">
        <x:v>Area equivalent = model2020 * source volume / TEMPO2020 volume</x:v>
      </x:c>
      <x:c r="W957" s="2" t="str">
        <x:v>qualified_paired_native_source_frame</x:v>
      </x:c>
      <x:c r="X957" s="2" t="str">
        <x:v>https://human-settlement.emergency.copernicus.eu/ghs_buV2023.php</x:v>
      </x:c>
    </x:row>
    <x:row r="958" ht="23" customHeight="1">
      <x:c r="A958" s="2" t="str">
        <x:v>SLE</x:v>
      </x:c>
      <x:c r="B958" s="2" t="str">
        <x:v>Sierra Leone (Republic of)</x:v>
      </x:c>
      <x:c r="C958" s="2" t="n">
        <x:v>2015</x:v>
      </x:c>
      <x:c r="D958" s="2" t="str">
        <x:v>GHSL_VOLUME</x:v>
      </x:c>
      <x:c r="E958" s="17" t="n">
        <x:v>109212964.25369625</x:v>
      </x:c>
      <x:c r="F958" s="17" t="n">
        <x:f>IF(AND(M958,ISNUMBER(R958)),IF(D958="TEMPO_PROXY",R958,IF(AND(ISNUMBER(S958),S958&gt;0,ISNUMBER(U958)),U958*R958/S958,"n.a.")),"n.a.")</x:f>
        <x:v>518667463.87475073</x:v>
      </x:c>
      <x:c r="G958" s="17" t="n">
        <x:f>IF(AND(ISNUMBER(E958),ISNUMBER(F958)),E958-F958,"n.a.")</x:f>
        <x:v>-409454499.6210545</x:v>
      </x:c>
      <x:c r="H958" s="15" t="n">
        <x:f>IF(AND(ISNUMBER(E958),ISNUMBER(F958),F958&gt;0),(E958-F958)/F958,"n.a.")</x:f>
        <x:v>-0.7894354825386362</x:v>
      </x:c>
      <x:c r="I958" s="19" t="n">
        <x:f>IF(ISNUMBER(H958),ABS(H958),"n.a.")</x:f>
        <x:v>0.7894354825386362</x:v>
      </x:c>
      <x:c r="J958" s="2" t="str">
        <x:v>available</x:v>
      </x:c>
      <x:c r="K958" s="2" t="n">
        <x:v>1</x:v>
      </x:c>
      <x:c r="L958" s="13" t="b">
        <x:v>0</x:v>
      </x:c>
      <x:c r="M958" s="13" t="b">
        <x:v>1</x:v>
      </x:c>
      <x:c r="N958" s="2" t="str">
        <x:v>modeled_epoch_volume_with_fixed2018_height_and_predominant_use</x:v>
      </x:c>
      <x:c r="O958" s="2" t="str"/>
      <x:c r="P958" s="2" t="str">
        <x:v>built-up volume</x:v>
      </x:c>
      <x:c r="Q958" s="2" t="str">
        <x:v>m3</x:v>
      </x:c>
      <x:c r="R958" s="17" t="n">
        <x:v>1187162322.752941</x:v>
      </x:c>
      <x:c r="S958" s="17" t="n">
        <x:v>263814967.69</x:v>
      </x:c>
      <x:c r="T958" s="18" t="n">
        <x:v>0.43689683704920784</x:v>
      </x:c>
      <x:c r="U958" s="17" t="n">
        <x:v>115259924.94999996</x:v>
      </x:c>
      <x:c r="V958" s="2" t="str">
        <x:v>Area equivalent = model2020 * source volume / TEMPO2020 volume</x:v>
      </x:c>
      <x:c r="W958" s="2" t="str">
        <x:v>qualified_paired_native_source_frame</x:v>
      </x:c>
      <x:c r="X958" s="2" t="str">
        <x:v>https://human-settlement.emergency.copernicus.eu/ghs_buV2023.php</x:v>
      </x:c>
    </x:row>
    <x:row r="959" ht="23" customHeight="1">
      <x:c r="A959" s="2" t="str">
        <x:v>SLV</x:v>
      </x:c>
      <x:c r="B959" s="2" t="str">
        <x:v>El Salvador (Republic of)</x:v>
      </x:c>
      <x:c r="C959" s="2" t="n">
        <x:v>2015</x:v>
      </x:c>
      <x:c r="D959" s="2" t="str">
        <x:v>GHSL_VOLUME</x:v>
      </x:c>
      <x:c r="E959" s="17" t="n">
        <x:v>216811219.0565358</x:v>
      </x:c>
      <x:c r="F959" s="17" t="n">
        <x:f>IF(AND(M959,ISNUMBER(R959)),IF(D959="TEMPO_PROXY",R959,IF(AND(ISNUMBER(S959),S959&gt;0,ISNUMBER(U959)),U959*R959/S959,"n.a.")),"n.a.")</x:f>
        <x:v>649894375.8013803</x:v>
      </x:c>
      <x:c r="G959" s="17" t="n">
        <x:f>IF(AND(ISNUMBER(E959),ISNUMBER(F959)),E959-F959,"n.a.")</x:f>
        <x:v>-433083156.74484444</x:v>
      </x:c>
      <x:c r="H959" s="15" t="n">
        <x:f>IF(AND(ISNUMBER(E959),ISNUMBER(F959),F959&gt;0),(E959-F959)/F959,"n.a.")</x:f>
        <x:v>-0.666390067171781</x:v>
      </x:c>
      <x:c r="I959" s="19" t="n">
        <x:f>IF(ISNUMBER(H959),ABS(H959),"n.a.")</x:f>
        <x:v>0.666390067171781</x:v>
      </x:c>
      <x:c r="J959" s="2" t="str">
        <x:v>available</x:v>
      </x:c>
      <x:c r="K959" s="2" t="n">
        <x:v>1</x:v>
      </x:c>
      <x:c r="L959" s="13" t="b">
        <x:v>0</x:v>
      </x:c>
      <x:c r="M959" s="13" t="b">
        <x:v>1</x:v>
      </x:c>
      <x:c r="N959" s="2" t="str">
        <x:v>modeled_epoch_volume_with_fixed2018_height_and_predominant_use</x:v>
      </x:c>
      <x:c r="O959" s="2" t="str"/>
      <x:c r="P959" s="2" t="str">
        <x:v>built-up volume</x:v>
      </x:c>
      <x:c r="Q959" s="2" t="str">
        <x:v>m3</x:v>
      </x:c>
      <x:c r="R959" s="17" t="n">
        <x:v>1673178697.7607844</x:v>
      </x:c>
      <x:c r="S959" s="17" t="n">
        <x:v>631828141.43</x:v>
      </x:c>
      <x:c r="T959" s="18" t="n">
        <x:v>0.3884189875660825</x:v>
      </x:c>
      <x:c r="U959" s="17" t="n">
        <x:v>245414047.01000017</x:v>
      </x:c>
      <x:c r="V959" s="2" t="str">
        <x:v>Area equivalent = model2020 * source volume / TEMPO2020 volume</x:v>
      </x:c>
      <x:c r="W959" s="2" t="str">
        <x:v>qualified_paired_native_source_frame</x:v>
      </x:c>
      <x:c r="X959" s="2" t="str">
        <x:v>https://human-settlement.emergency.copernicus.eu/ghs_buV2023.php</x:v>
      </x:c>
    </x:row>
    <x:row r="960" ht="23" customHeight="1">
      <x:c r="A960" s="2" t="str">
        <x:v>SMR</x:v>
      </x:c>
      <x:c r="B960" s="2" t="str">
        <x:v>San Marino (Republic of)</x:v>
      </x:c>
      <x:c r="C960" s="2" t="n">
        <x:v>2015</x:v>
      </x:c>
      <x:c r="D960" s="2" t="str">
        <x:v>GHSL_VOLUME</x:v>
      </x:c>
      <x:c r="E960" s="17" t="n">
        <x:v>2893084.9931119457</x:v>
      </x:c>
      <x:c r="F960" s="17" t="n">
        <x:f>IF(AND(M960,ISNUMBER(R960)),IF(D960="TEMPO_PROXY",R960,IF(AND(ISNUMBER(S960),S960&gt;0,ISNUMBER(U960)),U960*R960/S960,"n.a.")),"n.a.")</x:f>
        <x:v>7473688.060707801</x:v>
      </x:c>
      <x:c r="G960" s="17" t="n">
        <x:f>IF(AND(ISNUMBER(E960),ISNUMBER(F960)),E960-F960,"n.a.")</x:f>
        <x:v>-4580603.067595855</x:v>
      </x:c>
      <x:c r="H960" s="15" t="n">
        <x:f>IF(AND(ISNUMBER(E960),ISNUMBER(F960),F960&gt;0),(E960-F960)/F960,"n.a.")</x:f>
        <x:v>-0.6128972778082533</x:v>
      </x:c>
      <x:c r="I960" s="19" t="n">
        <x:f>IF(ISNUMBER(H960),ABS(H960),"n.a.")</x:f>
        <x:v>0.6128972778082533</x:v>
      </x:c>
      <x:c r="J960" s="2" t="str">
        <x:v>available</x:v>
      </x:c>
      <x:c r="K960" s="2" t="n">
        <x:v>1</x:v>
      </x:c>
      <x:c r="L960" s="13" t="b">
        <x:v>0</x:v>
      </x:c>
      <x:c r="M960" s="13" t="b">
        <x:v>1</x:v>
      </x:c>
      <x:c r="N960" s="2" t="str">
        <x:v>modeled_epoch_volume_with_fixed2018_height_and_predominant_use</x:v>
      </x:c>
      <x:c r="O960" s="2" t="str"/>
      <x:c r="P960" s="2" t="str">
        <x:v>built-up volume</x:v>
      </x:c>
      <x:c r="Q960" s="2" t="str">
        <x:v>m3</x:v>
      </x:c>
      <x:c r="R960" s="17" t="n">
        <x:v>27458113.69411765</x:v>
      </x:c>
      <x:c r="S960" s="17" t="n">
        <x:v>11134636.62</x:v>
      </x:c>
      <x:c r="T960" s="18" t="n">
        <x:v>0.27218505043588953</x:v>
      </x:c>
      <x:c r="U960" s="17" t="n">
        <x:v>3030681.630000002</x:v>
      </x:c>
      <x:c r="V960" s="2" t="str">
        <x:v>Area equivalent = model2020 * source volume / TEMPO2020 volume</x:v>
      </x:c>
      <x:c r="W960" s="2" t="str">
        <x:v>qualified_paired_native_source_frame</x:v>
      </x:c>
      <x:c r="X960" s="2" t="str">
        <x:v>https://human-settlement.emergency.copernicus.eu/ghs_buV2023.php</x:v>
      </x:c>
    </x:row>
    <x:row r="961" ht="23" customHeight="1">
      <x:c r="A961" s="2" t="str">
        <x:v>SOM</x:v>
      </x:c>
      <x:c r="B961" s="2" t="str">
        <x:v>Somalia (Federal Republic of)</x:v>
      </x:c>
      <x:c r="C961" s="2" t="n">
        <x:v>2015</x:v>
      </x:c>
      <x:c r="D961" s="2" t="str">
        <x:v>GHSL_VOLUME</x:v>
      </x:c>
      <x:c r="E961" s="17" t="n">
        <x:v>105330761.59132184</x:v>
      </x:c>
      <x:c r="F961" s="17" t="n">
        <x:f>IF(AND(M961,ISNUMBER(R961)),IF(D961="TEMPO_PROXY",R961,IF(AND(ISNUMBER(S961),S961&gt;0,ISNUMBER(U961)),U961*R961/S961,"n.a.")),"n.a.")</x:f>
        <x:v>426086210.47481513</x:v>
      </x:c>
      <x:c r="G961" s="17" t="n">
        <x:f>IF(AND(ISNUMBER(E961),ISNUMBER(F961)),E961-F961,"n.a.")</x:f>
        <x:v>-320755448.8834933</x:v>
      </x:c>
      <x:c r="H961" s="15" t="n">
        <x:f>IF(AND(ISNUMBER(E961),ISNUMBER(F961),F961&gt;0),(E961-F961)/F961,"n.a.")</x:f>
        <x:v>-0.7527947185290389</x:v>
      </x:c>
      <x:c r="I961" s="19" t="n">
        <x:f>IF(ISNUMBER(H961),ABS(H961),"n.a.")</x:f>
        <x:v>0.7527947185290389</x:v>
      </x:c>
      <x:c r="J961" s="2" t="str">
        <x:v>available</x:v>
      </x:c>
      <x:c r="K961" s="2" t="n">
        <x:v>1</x:v>
      </x:c>
      <x:c r="L961" s="13" t="b">
        <x:v>0</x:v>
      </x:c>
      <x:c r="M961" s="13" t="b">
        <x:v>1</x:v>
      </x:c>
      <x:c r="N961" s="2" t="str">
        <x:v>modeled_epoch_volume_with_fixed2018_height_and_predominant_use</x:v>
      </x:c>
      <x:c r="O961" s="2" t="str"/>
      <x:c r="P961" s="2" t="str">
        <x:v>built-up volume</x:v>
      </x:c>
      <x:c r="Q961" s="2" t="str">
        <x:v>m3</x:v>
      </x:c>
      <x:c r="R961" s="17" t="n">
        <x:v>1047009055.9764707</x:v>
      </x:c>
      <x:c r="S961" s="17" t="n">
        <x:v>331358808.1</x:v>
      </x:c>
      <x:c r="T961" s="18" t="n">
        <x:v>0.4069556113604337</x:v>
      </x:c>
      <x:c r="U961" s="17" t="n">
        <x:v>134848326.33000013</x:v>
      </x:c>
      <x:c r="V961" s="2" t="str">
        <x:v>Area equivalent = model2020 * source volume / TEMPO2020 volume</x:v>
      </x:c>
      <x:c r="W961" s="2" t="str">
        <x:v>qualified_paired_native_source_frame</x:v>
      </x:c>
      <x:c r="X961" s="2" t="str">
        <x:v>https://human-settlement.emergency.copernicus.eu/ghs_buV2023.php</x:v>
      </x:c>
    </x:row>
    <x:row r="962" ht="23" customHeight="1">
      <x:c r="A962" s="2" t="str">
        <x:v>SRB</x:v>
      </x:c>
      <x:c r="B962" s="2" t="str">
        <x:v>Serbia (Republic of)</x:v>
      </x:c>
      <x:c r="C962" s="2" t="n">
        <x:v>2015</x:v>
      </x:c>
      <x:c r="D962" s="2" t="str">
        <x:v>GHSL_VOLUME</x:v>
      </x:c>
      <x:c r="E962" s="17" t="n">
        <x:v>557424319.8298955</x:v>
      </x:c>
      <x:c r="F962" s="17" t="n">
        <x:f>IF(AND(M962,ISNUMBER(R962)),IF(D962="TEMPO_PROXY",R962,IF(AND(ISNUMBER(S962),S962&gt;0,ISNUMBER(U962)),U962*R962/S962,"n.a.")),"n.a.")</x:f>
        <x:v>1190251229.7470794</x:v>
      </x:c>
      <x:c r="G962" s="17" t="n">
        <x:f>IF(AND(ISNUMBER(E962),ISNUMBER(F962)),E962-F962,"n.a.")</x:f>
        <x:v>-632826909.9171839</x:v>
      </x:c>
      <x:c r="H962" s="15" t="n">
        <x:f>IF(AND(ISNUMBER(E962),ISNUMBER(F962),F962&gt;0),(E962-F962)/F962,"n.a.")</x:f>
        <x:v>-0.5316750733806471</x:v>
      </x:c>
      <x:c r="I962" s="19" t="n">
        <x:f>IF(ISNUMBER(H962),ABS(H962),"n.a.")</x:f>
        <x:v>0.5316750733806471</x:v>
      </x:c>
      <x:c r="J962" s="2" t="str">
        <x:v>available</x:v>
      </x:c>
      <x:c r="K962" s="2" t="n">
        <x:v>1</x:v>
      </x:c>
      <x:c r="L962" s="13" t="b">
        <x:v>0</x:v>
      </x:c>
      <x:c r="M962" s="13" t="b">
        <x:v>1</x:v>
      </x:c>
      <x:c r="N962" s="2" t="str">
        <x:v>modeled_epoch_volume_with_fixed2018_height_and_predominant_use</x:v>
      </x:c>
      <x:c r="O962" s="2" t="str"/>
      <x:c r="P962" s="2" t="str">
        <x:v>built-up volume</x:v>
      </x:c>
      <x:c r="Q962" s="2" t="str">
        <x:v>m3</x:v>
      </x:c>
      <x:c r="R962" s="17" t="n">
        <x:v>3307805234.0901957</x:v>
      </x:c>
      <x:c r="S962" s="17" t="n">
        <x:v>1624429543.81</x:v>
      </x:c>
      <x:c r="T962" s="18" t="n">
        <x:v>0.3598311102118004</x:v>
      </x:c>
      <x:c r="U962" s="17" t="n">
        <x:v>584520286.2100008</x:v>
      </x:c>
      <x:c r="V962" s="2" t="str">
        <x:v>Area equivalent = model2020 * source volume / TEMPO2020 volume</x:v>
      </x:c>
      <x:c r="W962" s="2" t="str">
        <x:v>qualified_paired_native_source_frame</x:v>
      </x:c>
      <x:c r="X962" s="2" t="str">
        <x:v>https://human-settlement.emergency.copernicus.eu/ghs_buV2023.php</x:v>
      </x:c>
    </x:row>
    <x:row r="963" ht="23" customHeight="1">
      <x:c r="A963" s="2" t="str">
        <x:v>SSD</x:v>
      </x:c>
      <x:c r="B963" s="2" t="str">
        <x:v>South Sudan (Republic of)</x:v>
      </x:c>
      <x:c r="C963" s="2" t="n">
        <x:v>2015</x:v>
      </x:c>
      <x:c r="D963" s="2" t="str">
        <x:v>GHSL_VOLUME</x:v>
      </x:c>
      <x:c r="E963" s="17" t="n">
        <x:v>48697573.65751788</x:v>
      </x:c>
      <x:c r="F963" s="17" t="n">
        <x:f>IF(AND(M963,ISNUMBER(R963)),IF(D963="TEMPO_PROXY",R963,IF(AND(ISNUMBER(S963),S963&gt;0,ISNUMBER(U963)),U963*R963/S963,"n.a.")),"n.a.")</x:f>
        <x:v>285711213.5325419</x:v>
      </x:c>
      <x:c r="G963" s="17" t="n">
        <x:f>IF(AND(ISNUMBER(E963),ISNUMBER(F963)),E963-F963,"n.a.")</x:f>
        <x:v>-237013639.875024</x:v>
      </x:c>
      <x:c r="H963" s="15" t="n">
        <x:f>IF(AND(ISNUMBER(E963),ISNUMBER(F963),F963&gt;0),(E963-F963)/F963,"n.a.")</x:f>
        <x:v>-0.8295566594834706</x:v>
      </x:c>
      <x:c r="I963" s="19" t="n">
        <x:f>IF(ISNUMBER(H963),ABS(H963),"n.a.")</x:f>
        <x:v>0.8295566594834706</x:v>
      </x:c>
      <x:c r="J963" s="2" t="str">
        <x:v>available</x:v>
      </x:c>
      <x:c r="K963" s="2" t="n">
        <x:v>1</x:v>
      </x:c>
      <x:c r="L963" s="13" t="b">
        <x:v>0</x:v>
      </x:c>
      <x:c r="M963" s="13" t="b">
        <x:v>1</x:v>
      </x:c>
      <x:c r="N963" s="2" t="str">
        <x:v>modeled_epoch_volume_with_fixed2018_height_and_predominant_use</x:v>
      </x:c>
      <x:c r="O963" s="2" t="str"/>
      <x:c r="P963" s="2" t="str">
        <x:v>built-up volume</x:v>
      </x:c>
      <x:c r="Q963" s="2" t="str">
        <x:v>m3</x:v>
      </x:c>
      <x:c r="R963" s="17" t="n">
        <x:v>514284103.72156864</x:v>
      </x:c>
      <x:c r="S963" s="17" t="n">
        <x:v>148470921.36</x:v>
      </x:c>
      <x:c r="T963" s="18" t="n">
        <x:v>0.5555513216625197</x:v>
      </x:c>
      <x:c r="U963" s="17" t="n">
        <x:v>82483216.59000005</x:v>
      </x:c>
      <x:c r="V963" s="2" t="str">
        <x:v>Area equivalent = model2020 * source volume / TEMPO2020 volume</x:v>
      </x:c>
      <x:c r="W963" s="2" t="str">
        <x:v>qualified_paired_native_source_frame</x:v>
      </x:c>
      <x:c r="X963" s="2" t="str">
        <x:v>https://human-settlement.emergency.copernicus.eu/ghs_buV2023.php</x:v>
      </x:c>
    </x:row>
    <x:row r="964" ht="23" customHeight="1">
      <x:c r="A964" s="2" t="str">
        <x:v>STP</x:v>
      </x:c>
      <x:c r="B964" s="2" t="str">
        <x:v>Sao Tome and Principe (Democratic Republic of)</x:v>
      </x:c>
      <x:c r="C964" s="2" t="n">
        <x:v>2015</x:v>
      </x:c>
      <x:c r="D964" s="2" t="str">
        <x:v>GHSL_VOLUME</x:v>
      </x:c>
      <x:c r="E964" s="17" t="n">
        <x:v>6006619.554736206</x:v>
      </x:c>
      <x:c r="F964" s="17" t="n">
        <x:f>IF(AND(M964,ISNUMBER(R964)),IF(D964="TEMPO_PROXY",R964,IF(AND(ISNUMBER(S964),S964&gt;0,ISNUMBER(U964)),U964*R964/S964,"n.a.")),"n.a.")</x:f>
        <x:v>13525955.907844245</x:v>
      </x:c>
      <x:c r="G964" s="17" t="n">
        <x:f>IF(AND(ISNUMBER(E964),ISNUMBER(F964)),E964-F964,"n.a.")</x:f>
        <x:v>-7519336.353108039</x:v>
      </x:c>
      <x:c r="H964" s="15" t="n">
        <x:f>IF(AND(ISNUMBER(E964),ISNUMBER(F964),F964&gt;0),(E964-F964)/F964,"n.a.")</x:f>
        <x:v>-0.5559190348053163</x:v>
      </x:c>
      <x:c r="I964" s="19" t="n">
        <x:f>IF(ISNUMBER(H964),ABS(H964),"n.a.")</x:f>
        <x:v>0.5559190348053163</x:v>
      </x:c>
      <x:c r="J964" s="2" t="str">
        <x:v>available</x:v>
      </x:c>
      <x:c r="K964" s="2" t="n">
        <x:v>1</x:v>
      </x:c>
      <x:c r="L964" s="13" t="b">
        <x:v>0</x:v>
      </x:c>
      <x:c r="M964" s="13" t="b">
        <x:v>1</x:v>
      </x:c>
      <x:c r="N964" s="2" t="str">
        <x:v>modeled_epoch_volume_with_fixed2018_height_and_predominant_use</x:v>
      </x:c>
      <x:c r="O964" s="2" t="str"/>
      <x:c r="P964" s="2" t="str">
        <x:v>built-up volume</x:v>
      </x:c>
      <x:c r="Q964" s="2" t="str">
        <x:v>m3</x:v>
      </x:c>
      <x:c r="R964" s="17" t="n">
        <x:v>32002691.745098047</x:v>
      </x:c>
      <x:c r="S964" s="17" t="n">
        <x:v>14559413.82</x:v>
      </x:c>
      <x:c r="T964" s="18" t="n">
        <x:v>0.4226505700076325</x:v>
      </x:c>
      <x:c r="U964" s="17" t="n">
        <x:v>6153544.550000003</x:v>
      </x:c>
      <x:c r="V964" s="2" t="str">
        <x:v>Area equivalent = model2020 * source volume / TEMPO2020 volume</x:v>
      </x:c>
      <x:c r="W964" s="2" t="str">
        <x:v>qualified_paired_native_source_frame</x:v>
      </x:c>
      <x:c r="X964" s="2" t="str">
        <x:v>https://human-settlement.emergency.copernicus.eu/ghs_buV2023.php</x:v>
      </x:c>
    </x:row>
    <x:row r="965" ht="23" customHeight="1">
      <x:c r="A965" s="2" t="str">
        <x:v>SUR</x:v>
      </x:c>
      <x:c r="B965" s="2" t="str">
        <x:v>Suriname (Republic of)</x:v>
      </x:c>
      <x:c r="C965" s="2" t="n">
        <x:v>2015</x:v>
      </x:c>
      <x:c r="D965" s="2" t="str">
        <x:v>GHSL_VOLUME</x:v>
      </x:c>
      <x:c r="E965" s="17" t="n">
        <x:v>49112414.35196055</x:v>
      </x:c>
      <x:c r="F965" s="17" t="n">
        <x:f>IF(AND(M965,ISNUMBER(R965)),IF(D965="TEMPO_PROXY",R965,IF(AND(ISNUMBER(S965),S965&gt;0,ISNUMBER(U965)),U965*R965/S965,"n.a.")),"n.a.")</x:f>
        <x:v>129232935.26391727</x:v>
      </x:c>
      <x:c r="G965" s="17" t="n">
        <x:f>IF(AND(ISNUMBER(E965),ISNUMBER(F965)),E965-F965,"n.a.")</x:f>
        <x:v>-80120520.91195673</x:v>
      </x:c>
      <x:c r="H965" s="15" t="n">
        <x:f>IF(AND(ISNUMBER(E965),ISNUMBER(F965),F965&gt;0),(E965-F965)/F965,"n.a.")</x:f>
        <x:v>-0.6199698300463112</x:v>
      </x:c>
      <x:c r="I965" s="19" t="n">
        <x:f>IF(ISNUMBER(H965),ABS(H965),"n.a.")</x:f>
        <x:v>0.6199698300463112</x:v>
      </x:c>
      <x:c r="J965" s="2" t="str">
        <x:v>available</x:v>
      </x:c>
      <x:c r="K965" s="2" t="n">
        <x:v>1</x:v>
      </x:c>
      <x:c r="L965" s="13" t="b">
        <x:v>0</x:v>
      </x:c>
      <x:c r="M965" s="13" t="b">
        <x:v>1</x:v>
      </x:c>
      <x:c r="N965" s="2" t="str">
        <x:v>modeled_epoch_volume_with_fixed2018_height_and_predominant_use</x:v>
      </x:c>
      <x:c r="O965" s="2" t="str"/>
      <x:c r="P965" s="2" t="str">
        <x:v>built-up volume</x:v>
      </x:c>
      <x:c r="Q965" s="2" t="str">
        <x:v>m3</x:v>
      </x:c>
      <x:c r="R965" s="17" t="n">
        <x:v>315353021.2392157</x:v>
      </x:c>
      <x:c r="S965" s="17" t="n">
        <x:v>123470788.4</x:v>
      </x:c>
      <x:c r="T965" s="18" t="n">
        <x:v>0.4098040182271973</x:v>
      </x:c>
      <x:c r="U965" s="17" t="n">
        <x:v>50598825.22000002</x:v>
      </x:c>
      <x:c r="V965" s="2" t="str">
        <x:v>Area equivalent = model2020 * source volume / TEMPO2020 volume</x:v>
      </x:c>
      <x:c r="W965" s="2" t="str">
        <x:v>qualified_paired_native_source_frame</x:v>
      </x:c>
      <x:c r="X965" s="2" t="str">
        <x:v>https://human-settlement.emergency.copernicus.eu/ghs_buV2023.php</x:v>
      </x:c>
    </x:row>
    <x:row r="966" ht="23" customHeight="1">
      <x:c r="A966" s="2" t="str">
        <x:v>SVK</x:v>
      </x:c>
      <x:c r="B966" s="2" t="str">
        <x:v>Slovakia (Slovak Republic)</x:v>
      </x:c>
      <x:c r="C966" s="2" t="n">
        <x:v>2015</x:v>
      </x:c>
      <x:c r="D966" s="2" t="str">
        <x:v>GHSL_VOLUME</x:v>
      </x:c>
      <x:c r="E966" s="17" t="n">
        <x:v>365029895.774204</x:v>
      </x:c>
      <x:c r="F966" s="17" t="n">
        <x:f>IF(AND(M966,ISNUMBER(R966)),IF(D966="TEMPO_PROXY",R966,IF(AND(ISNUMBER(S966),S966&gt;0,ISNUMBER(U966)),U966*R966/S966,"n.a.")),"n.a.")</x:f>
        <x:v>834406687.4939287</x:v>
      </x:c>
      <x:c r="G966" s="17" t="n">
        <x:f>IF(AND(ISNUMBER(E966),ISNUMBER(F966)),E966-F966,"n.a.")</x:f>
        <x:v>-469376791.71972466</x:v>
      </x:c>
      <x:c r="H966" s="15" t="n">
        <x:f>IF(AND(ISNUMBER(E966),ISNUMBER(F966),F966&gt;0),(E966-F966)/F966,"n.a.")</x:f>
        <x:v>-0.5625276004551917</x:v>
      </x:c>
      <x:c r="I966" s="19" t="n">
        <x:f>IF(ISNUMBER(H966),ABS(H966),"n.a.")</x:f>
        <x:v>0.5625276004551917</x:v>
      </x:c>
      <x:c r="J966" s="2" t="str">
        <x:v>available</x:v>
      </x:c>
      <x:c r="K966" s="2" t="n">
        <x:v>1</x:v>
      </x:c>
      <x:c r="L966" s="13" t="b">
        <x:v>0</x:v>
      </x:c>
      <x:c r="M966" s="13" t="b">
        <x:v>1</x:v>
      </x:c>
      <x:c r="N966" s="2" t="str">
        <x:v>modeled_epoch_volume_with_fixed2018_height_and_predominant_use</x:v>
      </x:c>
      <x:c r="O966" s="2" t="str"/>
      <x:c r="P966" s="2" t="str">
        <x:v>built-up volume</x:v>
      </x:c>
      <x:c r="Q966" s="2" t="str">
        <x:v>m3</x:v>
      </x:c>
      <x:c r="R966" s="17" t="n">
        <x:v>2813575180.8156867</x:v>
      </x:c>
      <x:c r="S966" s="17" t="n">
        <x:v>1319069234.46</x:v>
      </x:c>
      <x:c r="T966" s="18" t="n">
        <x:v>0.29656456069960957</x:v>
      </x:c>
      <x:c r="U966" s="17" t="n">
        <x:v>391189188.0500002</x:v>
      </x:c>
      <x:c r="V966" s="2" t="str">
        <x:v>Area equivalent = model2020 * source volume / TEMPO2020 volume</x:v>
      </x:c>
      <x:c r="W966" s="2" t="str">
        <x:v>qualified_paired_native_source_frame</x:v>
      </x:c>
      <x:c r="X966" s="2" t="str">
        <x:v>https://human-settlement.emergency.copernicus.eu/ghs_buV2023.php</x:v>
      </x:c>
    </x:row>
    <x:row r="967" ht="23" customHeight="1">
      <x:c r="A967" s="2" t="str">
        <x:v>SVN</x:v>
      </x:c>
      <x:c r="B967" s="2" t="str">
        <x:v>Slovenia (Republic of)</x:v>
      </x:c>
      <x:c r="C967" s="2" t="n">
        <x:v>2015</x:v>
      </x:c>
      <x:c r="D967" s="2" t="str">
        <x:v>GHSL_VOLUME</x:v>
      </x:c>
      <x:c r="E967" s="17" t="n">
        <x:v>180123963.30761537</x:v>
      </x:c>
      <x:c r="F967" s="17" t="n">
        <x:f>IF(AND(M967,ISNUMBER(R967)),IF(D967="TEMPO_PROXY",R967,IF(AND(ISNUMBER(S967),S967&gt;0,ISNUMBER(U967)),U967*R967/S967,"n.a.")),"n.a.")</x:f>
        <x:v>310232528.22669286</x:v>
      </x:c>
      <x:c r="G967" s="17" t="n">
        <x:f>IF(AND(ISNUMBER(E967),ISNUMBER(F967)),E967-F967,"n.a.")</x:f>
        <x:v>-130108564.91907749</x:v>
      </x:c>
      <x:c r="H967" s="15" t="n">
        <x:f>IF(AND(ISNUMBER(E967),ISNUMBER(F967),F967&gt;0),(E967-F967)/F967,"n.a.")</x:f>
        <x:v>-0.41939046708862415</x:v>
      </x:c>
      <x:c r="I967" s="19" t="n">
        <x:f>IF(ISNUMBER(H967),ABS(H967),"n.a.")</x:f>
        <x:v>0.41939046708862415</x:v>
      </x:c>
      <x:c r="J967" s="2" t="str">
        <x:v>available</x:v>
      </x:c>
      <x:c r="K967" s="2" t="n">
        <x:v>1</x:v>
      </x:c>
      <x:c r="L967" s="13" t="b">
        <x:v>0</x:v>
      </x:c>
      <x:c r="M967" s="13" t="b">
        <x:v>1</x:v>
      </x:c>
      <x:c r="N967" s="2" t="str">
        <x:v>modeled_epoch_volume_with_fixed2018_height_and_predominant_use</x:v>
      </x:c>
      <x:c r="O967" s="2" t="str"/>
      <x:c r="P967" s="2" t="str">
        <x:v>built-up volume</x:v>
      </x:c>
      <x:c r="Q967" s="2" t="str">
        <x:v>m3</x:v>
      </x:c>
      <x:c r="R967" s="17" t="n">
        <x:v>943473364.5568628</x:v>
      </x:c>
      <x:c r="S967" s="17" t="n">
        <x:v>574124262.4</x:v>
      </x:c>
      <x:c r="T967" s="18" t="n">
        <x:v>0.3288195935159283</x:v>
      </x:c>
      <x:c r="U967" s="17" t="n">
        <x:v>188783306.59000015</x:v>
      </x:c>
      <x:c r="V967" s="2" t="str">
        <x:v>Area equivalent = model2020 * source volume / TEMPO2020 volume</x:v>
      </x:c>
      <x:c r="W967" s="2" t="str">
        <x:v>qualified_paired_native_source_frame</x:v>
      </x:c>
      <x:c r="X967" s="2" t="str">
        <x:v>https://human-settlement.emergency.copernicus.eu/ghs_buV2023.php</x:v>
      </x:c>
    </x:row>
    <x:row r="968" ht="23" customHeight="1">
      <x:c r="A968" s="2" t="str">
        <x:v>SWE</x:v>
      </x:c>
      <x:c r="B968" s="2" t="str">
        <x:v>Sweden (Kingdom of)</x:v>
      </x:c>
      <x:c r="C968" s="2" t="n">
        <x:v>2015</x:v>
      </x:c>
      <x:c r="D968" s="2" t="str">
        <x:v>GHSL_VOLUME</x:v>
      </x:c>
      <x:c r="E968" s="17" t="n">
        <x:v>808375078.7663457</x:v>
      </x:c>
      <x:c r="F968" s="17" t="n">
        <x:f>IF(AND(M968,ISNUMBER(R968)),IF(D968="TEMPO_PROXY",R968,IF(AND(ISNUMBER(S968),S968&gt;0,ISNUMBER(U968)),U968*R968/S968,"n.a.")),"n.a.")</x:f>
        <x:v>1313782657.8120527</x:v>
      </x:c>
      <x:c r="G968" s="17" t="n">
        <x:f>IF(AND(ISNUMBER(E968),ISNUMBER(F968)),E968-F968,"n.a.")</x:f>
        <x:v>-505407579.045707</x:v>
      </x:c>
      <x:c r="H968" s="15" t="n">
        <x:f>IF(AND(ISNUMBER(E968),ISNUMBER(F968),F968&gt;0),(E968-F968)/F968,"n.a.")</x:f>
        <x:v>-0.38469649149380813</x:v>
      </x:c>
      <x:c r="I968" s="19" t="n">
        <x:f>IF(ISNUMBER(H968),ABS(H968),"n.a.")</x:f>
        <x:v>0.38469649149380813</x:v>
      </x:c>
      <x:c r="J968" s="2" t="str">
        <x:v>available</x:v>
      </x:c>
      <x:c r="K968" s="2" t="n">
        <x:v>1</x:v>
      </x:c>
      <x:c r="L968" s="13" t="b">
        <x:v>0</x:v>
      </x:c>
      <x:c r="M968" s="13" t="b">
        <x:v>1</x:v>
      </x:c>
      <x:c r="N968" s="2" t="str">
        <x:v>modeled_epoch_volume_with_fixed2018_height_and_predominant_use</x:v>
      </x:c>
      <x:c r="O968" s="2" t="str"/>
      <x:c r="P968" s="2" t="str">
        <x:v>built-up volume</x:v>
      </x:c>
      <x:c r="Q968" s="2" t="str">
        <x:v>m3</x:v>
      </x:c>
      <x:c r="R968" s="17" t="n">
        <x:v>4425461149.427451</x:v>
      </x:c>
      <x:c r="S968" s="17" t="n">
        <x:v>2899426313.02</x:v>
      </x:c>
      <x:c r="T968" s="18" t="n">
        <x:v>0.2968690975813955</x:v>
      </x:c>
      <x:c r="U968" s="17" t="n">
        <x:v>860750073.0500002</x:v>
      </x:c>
      <x:c r="V968" s="2" t="str">
        <x:v>Area equivalent = model2020 * source volume / TEMPO2020 volume</x:v>
      </x:c>
      <x:c r="W968" s="2" t="str">
        <x:v>qualified_paired_native_source_frame</x:v>
      </x:c>
      <x:c r="X968" s="2" t="str">
        <x:v>https://human-settlement.emergency.copernicus.eu/ghs_buV2023.php</x:v>
      </x:c>
    </x:row>
    <x:row r="969" ht="23" customHeight="1">
      <x:c r="A969" s="2" t="str">
        <x:v>SWZ</x:v>
      </x:c>
      <x:c r="B969" s="2" t="str">
        <x:v>Eswatini (Kingdom of)</x:v>
      </x:c>
      <x:c r="C969" s="2" t="n">
        <x:v>2015</x:v>
      </x:c>
      <x:c r="D969" s="2" t="str">
        <x:v>GHSL_VOLUME</x:v>
      </x:c>
      <x:c r="E969" s="17" t="n">
        <x:v>33675400.7123071</x:v>
      </x:c>
      <x:c r="F969" s="17" t="n">
        <x:f>IF(AND(M969,ISNUMBER(R969)),IF(D969="TEMPO_PROXY",R969,IF(AND(ISNUMBER(S969),S969&gt;0,ISNUMBER(U969)),U969*R969/S969,"n.a.")),"n.a.")</x:f>
        <x:v>192830871.79519567</x:v>
      </x:c>
      <x:c r="G969" s="17" t="n">
        <x:f>IF(AND(ISNUMBER(E969),ISNUMBER(F969)),E969-F969,"n.a.")</x:f>
        <x:v>-159155471.08288857</x:v>
      </x:c>
      <x:c r="H969" s="15" t="n">
        <x:f>IF(AND(ISNUMBER(E969),ISNUMBER(F969),F969&gt;0),(E969-F969)/F969,"n.a.")</x:f>
        <x:v>-0.8253630220161349</x:v>
      </x:c>
      <x:c r="I969" s="19" t="n">
        <x:f>IF(ISNUMBER(H969),ABS(H969),"n.a.")</x:f>
        <x:v>0.8253630220161349</x:v>
      </x:c>
      <x:c r="J969" s="2" t="str">
        <x:v>available</x:v>
      </x:c>
      <x:c r="K969" s="2" t="n">
        <x:v>1</x:v>
      </x:c>
      <x:c r="L969" s="13" t="b">
        <x:v>0</x:v>
      </x:c>
      <x:c r="M969" s="13" t="b">
        <x:v>1</x:v>
      </x:c>
      <x:c r="N969" s="2" t="str">
        <x:v>modeled_epoch_volume_with_fixed2018_height_and_predominant_use</x:v>
      </x:c>
      <x:c r="O969" s="2" t="str"/>
      <x:c r="P969" s="2" t="str">
        <x:v>built-up volume</x:v>
      </x:c>
      <x:c r="Q969" s="2" t="str">
        <x:v>m3</x:v>
      </x:c>
      <x:c r="R969" s="17" t="n">
        <x:v>350674663.18039215</x:v>
      </x:c>
      <x:c r="S969" s="17" t="n">
        <x:v>93162362.79</x:v>
      </x:c>
      <x:c r="T969" s="18" t="n">
        <x:v>0.5498853839235048</x:v>
      </x:c>
      <x:c r="U969" s="17" t="n">
        <x:v>51228621.629999995</x:v>
      </x:c>
      <x:c r="V969" s="2" t="str">
        <x:v>Area equivalent = model2020 * source volume / TEMPO2020 volume</x:v>
      </x:c>
      <x:c r="W969" s="2" t="str">
        <x:v>qualified_paired_native_source_frame</x:v>
      </x:c>
      <x:c r="X969" s="2" t="str">
        <x:v>https://human-settlement.emergency.copernicus.eu/ghs_buV2023.php</x:v>
      </x:c>
    </x:row>
    <x:row r="970" ht="23" customHeight="1">
      <x:c r="A970" s="2" t="str">
        <x:v>SYC</x:v>
      </x:c>
      <x:c r="B970" s="2" t="str">
        <x:v>Seychelles (Republic of)</x:v>
      </x:c>
      <x:c r="C970" s="2" t="n">
        <x:v>2015</x:v>
      </x:c>
      <x:c r="D970" s="2" t="str">
        <x:v>GHSL_VOLUME</x:v>
      </x:c>
      <x:c r="E970" s="17" t="n">
        <x:v>7079080.10364114</x:v>
      </x:c>
      <x:c r="F970" s="17" t="n">
        <x:f>IF(AND(M970,ISNUMBER(R970)),IF(D970="TEMPO_PROXY",R970,IF(AND(ISNUMBER(S970),S970&gt;0,ISNUMBER(U970)),U970*R970/S970,"n.a.")),"n.a.")</x:f>
        <x:v>7160120.965519759</x:v>
      </x:c>
      <x:c r="G970" s="17" t="n">
        <x:f>IF(AND(ISNUMBER(E970),ISNUMBER(F970)),E970-F970,"n.a.")</x:f>
        <x:v>-81040.8618786186</x:v>
      </x:c>
      <x:c r="H970" s="15" t="n">
        <x:f>IF(AND(ISNUMBER(E970),ISNUMBER(F970),F970&gt;0),(E970-F970)/F970,"n.a.")</x:f>
        <x:v>-0.011318364908760417</x:v>
      </x:c>
      <x:c r="I970" s="19" t="n">
        <x:f>IF(ISNUMBER(H970),ABS(H970),"n.a.")</x:f>
        <x:v>0.011318364908760417</x:v>
      </x:c>
      <x:c r="J970" s="2" t="str">
        <x:v>available</x:v>
      </x:c>
      <x:c r="K970" s="2" t="n">
        <x:v>1</x:v>
      </x:c>
      <x:c r="L970" s="13" t="b">
        <x:v>0</x:v>
      </x:c>
      <x:c r="M970" s="13" t="b">
        <x:v>1</x:v>
      </x:c>
      <x:c r="N970" s="2" t="str">
        <x:v>modeled_epoch_volume_with_fixed2018_height_and_predominant_use</x:v>
      </x:c>
      <x:c r="O970" s="2" t="str"/>
      <x:c r="P970" s="2" t="str">
        <x:v>built-up volume</x:v>
      </x:c>
      <x:c r="Q970" s="2" t="str">
        <x:v>m3</x:v>
      </x:c>
      <x:c r="R970" s="17" t="n">
        <x:v>19092704.3137255</x:v>
      </x:c>
      <x:c r="S970" s="17" t="n">
        <x:v>19512555.16</x:v>
      </x:c>
      <x:c r="T970" s="18" t="n">
        <x:v>0.375018690273878</x:v>
      </x:c>
      <x:c r="U970" s="17" t="n">
        <x:v>7317572.880000001</x:v>
      </x:c>
      <x:c r="V970" s="2" t="str">
        <x:v>Area equivalent = model2020 * source volume / TEMPO2020 volume</x:v>
      </x:c>
      <x:c r="W970" s="2" t="str">
        <x:v>qualified_paired_native_source_frame</x:v>
      </x:c>
      <x:c r="X970" s="2" t="str">
        <x:v>https://human-settlement.emergency.copernicus.eu/ghs_buV2023.php</x:v>
      </x:c>
    </x:row>
    <x:row r="971" ht="23" customHeight="1">
      <x:c r="A971" s="2" t="str">
        <x:v>SYR</x:v>
      </x:c>
      <x:c r="B971" s="2" t="str">
        <x:v>Syrian Arab Republic</x:v>
      </x:c>
      <x:c r="C971" s="2" t="n">
        <x:v>2015</x:v>
      </x:c>
      <x:c r="D971" s="2" t="str">
        <x:v>GHSL_VOLUME</x:v>
      </x:c>
      <x:c r="E971" s="17" t="n">
        <x:v>760444963.635695</x:v>
      </x:c>
      <x:c r="F971" s="17" t="n">
        <x:f>IF(AND(M971,ISNUMBER(R971)),IF(D971="TEMPO_PROXY",R971,IF(AND(ISNUMBER(S971),S971&gt;0,ISNUMBER(U971)),U971*R971/S971,"n.a.")),"n.a.")</x:f>
        <x:v>1817236650.892606</x:v>
      </x:c>
      <x:c r="G971" s="17" t="n">
        <x:f>IF(AND(ISNUMBER(E971),ISNUMBER(F971)),E971-F971,"n.a.")</x:f>
        <x:v>-1056791687.256911</x:v>
      </x:c>
      <x:c r="H971" s="15" t="n">
        <x:f>IF(AND(ISNUMBER(E971),ISNUMBER(F971),F971&gt;0),(E971-F971)/F971,"n.a.")</x:f>
        <x:v>-0.5815377357361943</x:v>
      </x:c>
      <x:c r="I971" s="19" t="n">
        <x:f>IF(ISNUMBER(H971),ABS(H971),"n.a.")</x:f>
        <x:v>0.5815377357361943</x:v>
      </x:c>
      <x:c r="J971" s="2" t="str">
        <x:v>available</x:v>
      </x:c>
      <x:c r="K971" s="2" t="n">
        <x:v>1</x:v>
      </x:c>
      <x:c r="L971" s="13" t="b">
        <x:v>0</x:v>
      </x:c>
      <x:c r="M971" s="13" t="b">
        <x:v>1</x:v>
      </x:c>
      <x:c r="N971" s="2" t="str">
        <x:v>modeled_epoch_volume_with_fixed2018_height_and_predominant_use</x:v>
      </x:c>
      <x:c r="O971" s="2" t="str"/>
      <x:c r="P971" s="2" t="str">
        <x:v>built-up volume</x:v>
      </x:c>
      <x:c r="Q971" s="2" t="str">
        <x:v>m3</x:v>
      </x:c>
      <x:c r="R971" s="17" t="n">
        <x:v>5096167210.717648</x:v>
      </x:c>
      <x:c r="S971" s="17" t="n">
        <x:v>2230810368.99</x:v>
      </x:c>
      <x:c r="T971" s="18" t="n">
        <x:v>0.35658889823528783</x:v>
      </x:c>
      <x:c r="U971" s="17" t="n">
        <x:v>795482211.65</x:v>
      </x:c>
      <x:c r="V971" s="2" t="str">
        <x:v>Area equivalent = model2020 * source volume / TEMPO2020 volume</x:v>
      </x:c>
      <x:c r="W971" s="2" t="str">
        <x:v>qualified_paired_native_source_frame</x:v>
      </x:c>
      <x:c r="X971" s="2" t="str">
        <x:v>https://human-settlement.emergency.copernicus.eu/ghs_buV2023.php</x:v>
      </x:c>
    </x:row>
    <x:row r="972" ht="23" customHeight="1">
      <x:c r="A972" s="2" t="str">
        <x:v>TCD</x:v>
      </x:c>
      <x:c r="B972" s="2" t="str">
        <x:v>Chad (Republic of)</x:v>
      </x:c>
      <x:c r="C972" s="2" t="n">
        <x:v>2015</x:v>
      </x:c>
      <x:c r="D972" s="2" t="str">
        <x:v>GHSL_VOLUME</x:v>
      </x:c>
      <x:c r="E972" s="17" t="n">
        <x:v>100386445.63678944</x:v>
      </x:c>
      <x:c r="F972" s="17" t="n">
        <x:f>IF(AND(M972,ISNUMBER(R972)),IF(D972="TEMPO_PROXY",R972,IF(AND(ISNUMBER(S972),S972&gt;0,ISNUMBER(U972)),U972*R972/S972,"n.a.")),"n.a.")</x:f>
        <x:v>855050188.5473666</x:v>
      </x:c>
      <x:c r="G972" s="17" t="n">
        <x:f>IF(AND(ISNUMBER(E972),ISNUMBER(F972)),E972-F972,"n.a.")</x:f>
        <x:v>-754663742.9105772</x:v>
      </x:c>
      <x:c r="H972" s="15" t="n">
        <x:f>IF(AND(ISNUMBER(E972),ISNUMBER(F972),F972&gt;0),(E972-F972)/F972,"n.a.")</x:f>
        <x:v>-0.8825958441020466</x:v>
      </x:c>
      <x:c r="I972" s="19" t="n">
        <x:f>IF(ISNUMBER(H972),ABS(H972),"n.a.")</x:f>
        <x:v>0.8825958441020466</x:v>
      </x:c>
      <x:c r="J972" s="2" t="str">
        <x:v>available</x:v>
      </x:c>
      <x:c r="K972" s="2" t="n">
        <x:v>1</x:v>
      </x:c>
      <x:c r="L972" s="13" t="b">
        <x:v>0</x:v>
      </x:c>
      <x:c r="M972" s="13" t="b">
        <x:v>1</x:v>
      </x:c>
      <x:c r="N972" s="2" t="str">
        <x:v>modeled_epoch_volume_with_fixed2018_height_and_predominant_use</x:v>
      </x:c>
      <x:c r="O972" s="2" t="str"/>
      <x:c r="P972" s="2" t="str">
        <x:v>built-up volume</x:v>
      </x:c>
      <x:c r="Q972" s="2" t="str">
        <x:v>m3</x:v>
      </x:c>
      <x:c r="R972" s="17" t="n">
        <x:v>1706803881.5490193</x:v>
      </x:c>
      <x:c r="S972" s="17" t="n">
        <x:v>252413480.81</x:v>
      </x:c>
      <x:c r="T972" s="18" t="n">
        <x:v>0.5009656925383608</x:v>
      </x:c>
      <x:c r="U972" s="17" t="n">
        <x:v>126450494.21999988</x:v>
      </x:c>
      <x:c r="V972" s="2" t="str">
        <x:v>Area equivalent = model2020 * source volume / TEMPO2020 volume</x:v>
      </x:c>
      <x:c r="W972" s="2" t="str">
        <x:v>qualified_paired_native_source_frame</x:v>
      </x:c>
      <x:c r="X972" s="2" t="str">
        <x:v>https://human-settlement.emergency.copernicus.eu/ghs_buV2023.php</x:v>
      </x:c>
    </x:row>
    <x:row r="973" ht="23" customHeight="1">
      <x:c r="A973" s="2" t="str">
        <x:v>TGO</x:v>
      </x:c>
      <x:c r="B973" s="2" t="str">
        <x:v>Togo (Togolese Republic)</x:v>
      </x:c>
      <x:c r="C973" s="2" t="n">
        <x:v>2015</x:v>
      </x:c>
      <x:c r="D973" s="2" t="str">
        <x:v>GHSL_VOLUME</x:v>
      </x:c>
      <x:c r="E973" s="17" t="n">
        <x:v>157342554.75317118</x:v>
      </x:c>
      <x:c r="F973" s="17" t="n">
        <x:f>IF(AND(M973,ISNUMBER(R973)),IF(D973="TEMPO_PROXY",R973,IF(AND(ISNUMBER(S973),S973&gt;0,ISNUMBER(U973)),U973*R973/S973,"n.a.")),"n.a.")</x:f>
        <x:v>1070482257.9680607</x:v>
      </x:c>
      <x:c r="G973" s="17" t="n">
        <x:f>IF(AND(ISNUMBER(E973),ISNUMBER(F973)),E973-F973,"n.a.")</x:f>
        <x:v>-913139703.2148895</x:v>
      </x:c>
      <x:c r="H973" s="15" t="n">
        <x:f>IF(AND(ISNUMBER(E973),ISNUMBER(F973),F973&gt;0),(E973-F973)/F973,"n.a.")</x:f>
        <x:v>-0.8530171298197585</x:v>
      </x:c>
      <x:c r="I973" s="19" t="n">
        <x:f>IF(ISNUMBER(H973),ABS(H973),"n.a.")</x:f>
        <x:v>0.8530171298197585</x:v>
      </x:c>
      <x:c r="J973" s="2" t="str">
        <x:v>available</x:v>
      </x:c>
      <x:c r="K973" s="2" t="n">
        <x:v>1</x:v>
      </x:c>
      <x:c r="L973" s="13" t="b">
        <x:v>0</x:v>
      </x:c>
      <x:c r="M973" s="13" t="b">
        <x:v>1</x:v>
      </x:c>
      <x:c r="N973" s="2" t="str">
        <x:v>modeled_epoch_volume_with_fixed2018_height_and_predominant_use</x:v>
      </x:c>
      <x:c r="O973" s="2" t="str"/>
      <x:c r="P973" s="2" t="str">
        <x:v>built-up volume</x:v>
      </x:c>
      <x:c r="Q973" s="2" t="str">
        <x:v>m3</x:v>
      </x:c>
      <x:c r="R973" s="17" t="n">
        <x:v>2388249239.4196086</x:v>
      </x:c>
      <x:c r="S973" s="17" t="n">
        <x:v>414282847.76</x:v>
      </x:c>
      <x:c r="T973" s="18" t="n">
        <x:v>0.4482288700438188</x:v>
      </x:c>
      <x:c r="U973" s="17" t="n">
        <x:v>185693532.7300002</x:v>
      </x:c>
      <x:c r="V973" s="2" t="str">
        <x:v>Area equivalent = model2020 * source volume / TEMPO2020 volume</x:v>
      </x:c>
      <x:c r="W973" s="2" t="str">
        <x:v>qualified_paired_native_source_frame</x:v>
      </x:c>
      <x:c r="X973" s="2" t="str">
        <x:v>https://human-settlement.emergency.copernicus.eu/ghs_buV2023.php</x:v>
      </x:c>
    </x:row>
    <x:row r="974" ht="23" customHeight="1">
      <x:c r="A974" s="2" t="str">
        <x:v>THA</x:v>
      </x:c>
      <x:c r="B974" s="2" t="str">
        <x:v>Thailand (Kingdom of)</x:v>
      </x:c>
      <x:c r="C974" s="2" t="n">
        <x:v>2015</x:v>
      </x:c>
      <x:c r="D974" s="2" t="str">
        <x:v>GHSL_VOLUME</x:v>
      </x:c>
      <x:c r="E974" s="17" t="n">
        <x:v>4865280220.416097</x:v>
      </x:c>
      <x:c r="F974" s="17" t="n">
        <x:f>IF(AND(M974,ISNUMBER(R974)),IF(D974="TEMPO_PROXY",R974,IF(AND(ISNUMBER(S974),S974&gt;0,ISNUMBER(U974)),U974*R974/S974,"n.a.")),"n.a.")</x:f>
        <x:v>9590751701.815168</x:v>
      </x:c>
      <x:c r="G974" s="17" t="n">
        <x:f>IF(AND(ISNUMBER(E974),ISNUMBER(F974)),E974-F974,"n.a.")</x:f>
        <x:v>-4725471481.399072</x:v>
      </x:c>
      <x:c r="H974" s="15" t="n">
        <x:f>IF(AND(ISNUMBER(E974),ISNUMBER(F974),F974&gt;0),(E974-F974)/F974,"n.a.")</x:f>
        <x:v>-0.49271127314292973</x:v>
      </x:c>
      <x:c r="I974" s="19" t="n">
        <x:f>IF(ISNUMBER(H974),ABS(H974),"n.a.")</x:f>
        <x:v>0.49271127314292973</x:v>
      </x:c>
      <x:c r="J974" s="2" t="str">
        <x:v>available</x:v>
      </x:c>
      <x:c r="K974" s="2" t="n">
        <x:v>1</x:v>
      </x:c>
      <x:c r="L974" s="13" t="b">
        <x:v>0</x:v>
      </x:c>
      <x:c r="M974" s="13" t="b">
        <x:v>1</x:v>
      </x:c>
      <x:c r="N974" s="2" t="str">
        <x:v>modeled_epoch_volume_with_fixed2018_height_and_predominant_use</x:v>
      </x:c>
      <x:c r="O974" s="2" t="str"/>
      <x:c r="P974" s="2" t="str">
        <x:v>built-up volume</x:v>
      </x:c>
      <x:c r="Q974" s="2" t="str">
        <x:v>m3</x:v>
      </x:c>
      <x:c r="R974" s="17" t="n">
        <x:v>27318953036.839214</x:v>
      </x:c>
      <x:c r="S974" s="17" t="n">
        <x:v>14897053539.07</x:v>
      </x:c>
      <x:c r="T974" s="18" t="n">
        <x:v>0.35106585852254946</x:v>
      </x:c>
      <x:c r="U974" s="17" t="n">
        <x:v>5229846890.149993</x:v>
      </x:c>
      <x:c r="V974" s="2" t="str">
        <x:v>Area equivalent = model2020 * source volume / TEMPO2020 volume</x:v>
      </x:c>
      <x:c r="W974" s="2" t="str">
        <x:v>qualified_paired_native_source_frame</x:v>
      </x:c>
      <x:c r="X974" s="2" t="str">
        <x:v>https://human-settlement.emergency.copernicus.eu/ghs_buV2023.php</x:v>
      </x:c>
    </x:row>
    <x:row r="975" ht="23" customHeight="1">
      <x:c r="A975" s="2" t="str">
        <x:v>TJK</x:v>
      </x:c>
      <x:c r="B975" s="2" t="str">
        <x:v>Tajikistan (Republic of)</x:v>
      </x:c>
      <x:c r="C975" s="2" t="n">
        <x:v>2015</x:v>
      </x:c>
      <x:c r="D975" s="2" t="str">
        <x:v>GHSL_VOLUME</x:v>
      </x:c>
      <x:c r="E975" s="17" t="n">
        <x:v>361846922.0538689</x:v>
      </x:c>
      <x:c r="F975" s="17" t="n">
        <x:f>IF(AND(M975,ISNUMBER(R975)),IF(D975="TEMPO_PROXY",R975,IF(AND(ISNUMBER(S975),S975&gt;0,ISNUMBER(U975)),U975*R975/S975,"n.a.")),"n.a.")</x:f>
        <x:v>1389526459.008386</x:v>
      </x:c>
      <x:c r="G975" s="17" t="n">
        <x:f>IF(AND(ISNUMBER(E975),ISNUMBER(F975)),E975-F975,"n.a.")</x:f>
        <x:v>-1027679536.954517</x:v>
      </x:c>
      <x:c r="H975" s="15" t="n">
        <x:f>IF(AND(ISNUMBER(E975),ISNUMBER(F975),F975&gt;0),(E975-F975)/F975,"n.a.")</x:f>
        <x:v>-0.7395897575695713</x:v>
      </x:c>
      <x:c r="I975" s="19" t="n">
        <x:f>IF(ISNUMBER(H975),ABS(H975),"n.a.")</x:f>
        <x:v>0.7395897575695713</x:v>
      </x:c>
      <x:c r="J975" s="2" t="str">
        <x:v>available</x:v>
      </x:c>
      <x:c r="K975" s="2" t="n">
        <x:v>1</x:v>
      </x:c>
      <x:c r="L975" s="13" t="b">
        <x:v>0</x:v>
      </x:c>
      <x:c r="M975" s="13" t="b">
        <x:v>1</x:v>
      </x:c>
      <x:c r="N975" s="2" t="str">
        <x:v>modeled_epoch_volume_with_fixed2018_height_and_predominant_use</x:v>
      </x:c>
      <x:c r="O975" s="2" t="str"/>
      <x:c r="P975" s="2" t="str">
        <x:v>built-up volume</x:v>
      </x:c>
      <x:c r="Q975" s="2" t="str">
        <x:v>m3</x:v>
      </x:c>
      <x:c r="R975" s="17" t="n">
        <x:v>3430294336.384313</x:v>
      </x:c>
      <x:c r="S975" s="17" t="n">
        <x:v>970081598.17</x:v>
      </x:c>
      <x:c r="T975" s="18" t="n">
        <x:v>0.40507499437293487</x:v>
      </x:c>
      <x:c r="U975" s="17" t="n">
        <x:v>392955797.9200004</x:v>
      </x:c>
      <x:c r="V975" s="2" t="str">
        <x:v>Area equivalent = model2020 * source volume / TEMPO2020 volume</x:v>
      </x:c>
      <x:c r="W975" s="2" t="str">
        <x:v>qualified_paired_native_source_frame</x:v>
      </x:c>
      <x:c r="X975" s="2" t="str">
        <x:v>https://human-settlement.emergency.copernicus.eu/ghs_buV2023.php</x:v>
      </x:c>
    </x:row>
    <x:row r="976" ht="23" customHeight="1">
      <x:c r="A976" s="2" t="str">
        <x:v>TKM</x:v>
      </x:c>
      <x:c r="B976" s="2" t="str">
        <x:v>Turkmenistan</x:v>
      </x:c>
      <x:c r="C976" s="2" t="n">
        <x:v>2015</x:v>
      </x:c>
      <x:c r="D976" s="2" t="str">
        <x:v>GHSL_VOLUME</x:v>
      </x:c>
      <x:c r="E976" s="17" t="n">
        <x:v>327928169.32018465</x:v>
      </x:c>
      <x:c r="F976" s="17" t="n">
        <x:f>IF(AND(M976,ISNUMBER(R976)),IF(D976="TEMPO_PROXY",R976,IF(AND(ISNUMBER(S976),S976&gt;0,ISNUMBER(U976)),U976*R976/S976,"n.a.")),"n.a.")</x:f>
        <x:v>1271768646.4903884</x:v>
      </x:c>
      <x:c r="G976" s="17" t="n">
        <x:f>IF(AND(ISNUMBER(E976),ISNUMBER(F976)),E976-F976,"n.a.")</x:f>
        <x:v>-943840477.1702037</x:v>
      </x:c>
      <x:c r="H976" s="15" t="n">
        <x:f>IF(AND(ISNUMBER(E976),ISNUMBER(F976),F976&gt;0),(E976-F976)/F976,"n.a.")</x:f>
        <x:v>-0.7421479368711084</x:v>
      </x:c>
      <x:c r="I976" s="19" t="n">
        <x:f>IF(ISNUMBER(H976),ABS(H976),"n.a.")</x:f>
        <x:v>0.7421479368711084</x:v>
      </x:c>
      <x:c r="J976" s="2" t="str">
        <x:v>available</x:v>
      </x:c>
      <x:c r="K976" s="2" t="n">
        <x:v>1</x:v>
      </x:c>
      <x:c r="L976" s="13" t="b">
        <x:v>0</x:v>
      </x:c>
      <x:c r="M976" s="13" t="b">
        <x:v>1</x:v>
      </x:c>
      <x:c r="N976" s="2" t="str">
        <x:v>modeled_epoch_volume_with_fixed2018_height_and_predominant_use</x:v>
      </x:c>
      <x:c r="O976" s="2" t="str"/>
      <x:c r="P976" s="2" t="str">
        <x:v>built-up volume</x:v>
      </x:c>
      <x:c r="Q976" s="2" t="str">
        <x:v>m3</x:v>
      </x:c>
      <x:c r="R976" s="17" t="n">
        <x:v>3293865884.8235297</x:v>
      </x:c>
      <x:c r="S976" s="17" t="n">
        <x:v>932335371.04</x:v>
      </x:c>
      <x:c r="T976" s="18" t="n">
        <x:v>0.3861021337723724</x:v>
      </x:c>
      <x:c r="U976" s="17" t="n">
        <x:v>359976676.1500005</x:v>
      </x:c>
      <x:c r="V976" s="2" t="str">
        <x:v>Area equivalent = model2020 * source volume / TEMPO2020 volume</x:v>
      </x:c>
      <x:c r="W976" s="2" t="str">
        <x:v>qualified_paired_native_source_frame</x:v>
      </x:c>
      <x:c r="X976" s="2" t="str">
        <x:v>https://human-settlement.emergency.copernicus.eu/ghs_buV2023.php</x:v>
      </x:c>
    </x:row>
    <x:row r="977" ht="23" customHeight="1">
      <x:c r="A977" s="2" t="str">
        <x:v>TLS</x:v>
      </x:c>
      <x:c r="B977" s="2" t="str">
        <x:v>Timor-Leste (Democratic Republic of)</x:v>
      </x:c>
      <x:c r="C977" s="2" t="n">
        <x:v>2015</x:v>
      </x:c>
      <x:c r="D977" s="2" t="str">
        <x:v>GHSL_VOLUME</x:v>
      </x:c>
      <x:c r="E977" s="17" t="n">
        <x:v>36994624.25613674</x:v>
      </x:c>
      <x:c r="F977" s="17" t="n">
        <x:f>IF(AND(M977,ISNUMBER(R977)),IF(D977="TEMPO_PROXY",R977,IF(AND(ISNUMBER(S977),S977&gt;0,ISNUMBER(U977)),U977*R977/S977,"n.a.")),"n.a.")</x:f>
        <x:v>75489906.29037344</x:v>
      </x:c>
      <x:c r="G977" s="17" t="n">
        <x:f>IF(AND(ISNUMBER(E977),ISNUMBER(F977)),E977-F977,"n.a.")</x:f>
        <x:v>-38495282.03423671</x:v>
      </x:c>
      <x:c r="H977" s="15" t="n">
        <x:f>IF(AND(ISNUMBER(E977),ISNUMBER(F977),F977&gt;0),(E977-F977)/F977,"n.a.")</x:f>
        <x:v>-0.5099394598022658</x:v>
      </x:c>
      <x:c r="I977" s="19" t="n">
        <x:f>IF(ISNUMBER(H977),ABS(H977),"n.a.")</x:f>
        <x:v>0.5099394598022658</x:v>
      </x:c>
      <x:c r="J977" s="2" t="str">
        <x:v>available</x:v>
      </x:c>
      <x:c r="K977" s="2" t="n">
        <x:v>1</x:v>
      </x:c>
      <x:c r="L977" s="13" t="b">
        <x:v>0</x:v>
      </x:c>
      <x:c r="M977" s="13" t="b">
        <x:v>1</x:v>
      </x:c>
      <x:c r="N977" s="2" t="str">
        <x:v>modeled_epoch_volume_with_fixed2018_height_and_predominant_use</x:v>
      </x:c>
      <x:c r="O977" s="2" t="str"/>
      <x:c r="P977" s="2" t="str">
        <x:v>built-up volume</x:v>
      </x:c>
      <x:c r="Q977" s="2" t="str">
        <x:v>m3</x:v>
      </x:c>
      <x:c r="R977" s="17" t="n">
        <x:v>162605375.2470588</x:v>
      </x:c>
      <x:c r="S977" s="17" t="n">
        <x:v>88774360.59</x:v>
      </x:c>
      <x:c r="T977" s="18" t="n">
        <x:v>0.46425221906518066</x:v>
      </x:c>
      <x:c r="U977" s="17" t="n">
        <x:v>41213693.90000002</x:v>
      </x:c>
      <x:c r="V977" s="2" t="str">
        <x:v>Area equivalent = model2020 * source volume / TEMPO2020 volume</x:v>
      </x:c>
      <x:c r="W977" s="2" t="str">
        <x:v>qualified_paired_native_source_frame</x:v>
      </x:c>
      <x:c r="X977" s="2" t="str">
        <x:v>https://human-settlement.emergency.copernicus.eu/ghs_buV2023.php</x:v>
      </x:c>
    </x:row>
    <x:row r="978" ht="23" customHeight="1">
      <x:c r="A978" s="2" t="str">
        <x:v>TON</x:v>
      </x:c>
      <x:c r="B978" s="2" t="str">
        <x:v>Tonga (Kingdom of)</x:v>
      </x:c>
      <x:c r="C978" s="2" t="n">
        <x:v>2015</x:v>
      </x:c>
      <x:c r="D978" s="2" t="str">
        <x:v>GHSL_VOLUME</x:v>
      </x:c>
      <x:c r="E978" s="17" t="n">
        <x:v>4632378.310123438</x:v>
      </x:c>
      <x:c r="F978" s="17" t="n">
        <x:f>IF(AND(M978,ISNUMBER(R978)),IF(D978="TEMPO_PROXY",R978,IF(AND(ISNUMBER(S978),S978&gt;0,ISNUMBER(U978)),U978*R978/S978,"n.a.")),"n.a.")</x:f>
        <x:v>9925010.492225822</x:v>
      </x:c>
      <x:c r="G978" s="17" t="n">
        <x:f>IF(AND(ISNUMBER(E978),ISNUMBER(F978)),E978-F978,"n.a.")</x:f>
        <x:v>-5292632.182102384</x:v>
      </x:c>
      <x:c r="H978" s="15" t="n">
        <x:f>IF(AND(ISNUMBER(E978),ISNUMBER(F978),F978&gt;0),(E978-F978)/F978,"n.a.")</x:f>
        <x:v>-0.5332621246343325</x:v>
      </x:c>
      <x:c r="I978" s="19" t="n">
        <x:f>IF(ISNUMBER(H978),ABS(H978),"n.a.")</x:f>
        <x:v>0.5332621246343325</x:v>
      </x:c>
      <x:c r="J978" s="2" t="str">
        <x:v>available</x:v>
      </x:c>
      <x:c r="K978" s="2" t="n">
        <x:v>1</x:v>
      </x:c>
      <x:c r="L978" s="13" t="b">
        <x:v>0</x:v>
      </x:c>
      <x:c r="M978" s="13" t="b">
        <x:v>1</x:v>
      </x:c>
      <x:c r="N978" s="2" t="str">
        <x:v>modeled_epoch_volume_with_fixed2018_height_and_predominant_use</x:v>
      </x:c>
      <x:c r="O978" s="2" t="str"/>
      <x:c r="P978" s="2" t="str">
        <x:v>built-up volume</x:v>
      </x:c>
      <x:c r="Q978" s="2" t="str">
        <x:v>m3</x:v>
      </x:c>
      <x:c r="R978" s="17" t="n">
        <x:v>22386126.976470586</x:v>
      </x:c>
      <x:c r="S978" s="17" t="n">
        <x:v>10644020.01</x:v>
      </x:c>
      <x:c r="T978" s="18" t="n">
        <x:v>0.4433554094755969</x:v>
      </x:c>
      <x:c r="U978" s="17" t="n">
        <x:v>4719083.849999997</x:v>
      </x:c>
      <x:c r="V978" s="2" t="str">
        <x:v>Area equivalent = model2020 * source volume / TEMPO2020 volume</x:v>
      </x:c>
      <x:c r="W978" s="2" t="str">
        <x:v>qualified_paired_native_source_frame</x:v>
      </x:c>
      <x:c r="X978" s="2" t="str">
        <x:v>https://human-settlement.emergency.copernicus.eu/ghs_buV2023.php</x:v>
      </x:c>
    </x:row>
    <x:row r="979" ht="23" customHeight="1">
      <x:c r="A979" s="2" t="str">
        <x:v>TTO</x:v>
      </x:c>
      <x:c r="B979" s="2" t="str">
        <x:v>Trinidad and Tobago (Republic of)</x:v>
      </x:c>
      <x:c r="C979" s="2" t="n">
        <x:v>2015</x:v>
      </x:c>
      <x:c r="D979" s="2" t="str">
        <x:v>GHSL_VOLUME</x:v>
      </x:c>
      <x:c r="E979" s="17" t="n">
        <x:v>92150385.27447325</x:v>
      </x:c>
      <x:c r="F979" s="17" t="n">
        <x:f>IF(AND(M979,ISNUMBER(R979)),IF(D979="TEMPO_PROXY",R979,IF(AND(ISNUMBER(S979),S979&gt;0,ISNUMBER(U979)),U979*R979/S979,"n.a.")),"n.a.")</x:f>
        <x:v>367393886.89478403</x:v>
      </x:c>
      <x:c r="G979" s="17" t="n">
        <x:f>IF(AND(ISNUMBER(E979),ISNUMBER(F979)),E979-F979,"n.a.")</x:f>
        <x:v>-275243501.6203108</x:v>
      </x:c>
      <x:c r="H979" s="15" t="n">
        <x:f>IF(AND(ISNUMBER(E979),ISNUMBER(F979),F979&gt;0),(E979-F979)/F979,"n.a.")</x:f>
        <x:v>-0.7491782292478272</x:v>
      </x:c>
      <x:c r="I979" s="19" t="n">
        <x:f>IF(ISNUMBER(H979),ABS(H979),"n.a.")</x:f>
        <x:v>0.7491782292478272</x:v>
      </x:c>
      <x:c r="J979" s="2" t="str">
        <x:v>available</x:v>
      </x:c>
      <x:c r="K979" s="2" t="n">
        <x:v>1</x:v>
      </x:c>
      <x:c r="L979" s="13" t="b">
        <x:v>0</x:v>
      </x:c>
      <x:c r="M979" s="13" t="b">
        <x:v>1</x:v>
      </x:c>
      <x:c r="N979" s="2" t="str">
        <x:v>modeled_epoch_volume_with_fixed2018_height_and_predominant_use</x:v>
      </x:c>
      <x:c r="O979" s="2" t="str"/>
      <x:c r="P979" s="2" t="str">
        <x:v>built-up volume</x:v>
      </x:c>
      <x:c r="Q979" s="2" t="str">
        <x:v>m3</x:v>
      </x:c>
      <x:c r="R979" s="17" t="n">
        <x:v>969700618.2078432</x:v>
      </x:c>
      <x:c r="S979" s="17" t="n">
        <x:v>265209532.67</x:v>
      </x:c>
      <x:c r="T979" s="18" t="n">
        <x:v>0.37887352033845745</x:v>
      </x:c>
      <x:c r="U979" s="17" t="n">
        <x:v>100480869.27000004</x:v>
      </x:c>
      <x:c r="V979" s="2" t="str">
        <x:v>Area equivalent = model2020 * source volume / TEMPO2020 volume</x:v>
      </x:c>
      <x:c r="W979" s="2" t="str">
        <x:v>qualified_paired_native_source_frame</x:v>
      </x:c>
      <x:c r="X979" s="2" t="str">
        <x:v>https://human-settlement.emergency.copernicus.eu/ghs_buV2023.php</x:v>
      </x:c>
    </x:row>
    <x:row r="980" ht="23" customHeight="1">
      <x:c r="A980" s="2" t="str">
        <x:v>TUN</x:v>
      </x:c>
      <x:c r="B980" s="2" t="str">
        <x:v>Tunisia (Republic of)</x:v>
      </x:c>
      <x:c r="C980" s="2" t="n">
        <x:v>2015</x:v>
      </x:c>
      <x:c r="D980" s="2" t="str">
        <x:v>GHSL_VOLUME</x:v>
      </x:c>
      <x:c r="E980" s="17" t="n">
        <x:v>613930514.3647048</x:v>
      </x:c>
      <x:c r="F980" s="17" t="n">
        <x:f>IF(AND(M980,ISNUMBER(R980)),IF(D980="TEMPO_PROXY",R980,IF(AND(ISNUMBER(S980),S980&gt;0,ISNUMBER(U980)),U980*R980/S980,"n.a.")),"n.a.")</x:f>
        <x:v>1872934244.219561</x:v>
      </x:c>
      <x:c r="G980" s="17" t="n">
        <x:f>IF(AND(ISNUMBER(E980),ISNUMBER(F980)),E980-F980,"n.a.")</x:f>
        <x:v>-1259003729.8548563</x:v>
      </x:c>
      <x:c r="H980" s="15" t="n">
        <x:f>IF(AND(ISNUMBER(E980),ISNUMBER(F980),F980&gt;0),(E980-F980)/F980,"n.a.")</x:f>
        <x:v>-0.6722092533363202</x:v>
      </x:c>
      <x:c r="I980" s="19" t="n">
        <x:f>IF(ISNUMBER(H980),ABS(H980),"n.a.")</x:f>
        <x:v>0.6722092533363202</x:v>
      </x:c>
      <x:c r="J980" s="2" t="str">
        <x:v>available</x:v>
      </x:c>
      <x:c r="K980" s="2" t="n">
        <x:v>1</x:v>
      </x:c>
      <x:c r="L980" s="13" t="b">
        <x:v>0</x:v>
      </x:c>
      <x:c r="M980" s="13" t="b">
        <x:v>1</x:v>
      </x:c>
      <x:c r="N980" s="2" t="str">
        <x:v>modeled_epoch_volume_with_fixed2018_height_and_predominant_use</x:v>
      </x:c>
      <x:c r="O980" s="2" t="str"/>
      <x:c r="P980" s="2" t="str">
        <x:v>built-up volume</x:v>
      </x:c>
      <x:c r="Q980" s="2" t="str">
        <x:v>m3</x:v>
      </x:c>
      <x:c r="R980" s="17" t="n">
        <x:v>5246031394.113727</x:v>
      </x:c>
      <x:c r="S980" s="17" t="n">
        <x:v>1818309867.9</x:v>
      </x:c>
      <x:c r="T980" s="18" t="n">
        <x:v>0.35701925961043124</x:v>
      </x:c>
      <x:c r="U980" s="17" t="n">
        <x:v>649171642.779999</x:v>
      </x:c>
      <x:c r="V980" s="2" t="str">
        <x:v>Area equivalent = model2020 * source volume / TEMPO2020 volume</x:v>
      </x:c>
      <x:c r="W980" s="2" t="str">
        <x:v>qualified_paired_native_source_frame</x:v>
      </x:c>
      <x:c r="X980" s="2" t="str">
        <x:v>https://human-settlement.emergency.copernicus.eu/ghs_buV2023.php</x:v>
      </x:c>
    </x:row>
    <x:row r="981" ht="23" customHeight="1">
      <x:c r="A981" s="2" t="str">
        <x:v>TUR</x:v>
      </x:c>
      <x:c r="B981" s="2" t="str">
        <x:v>Türkiye (Republic of)</x:v>
      </x:c>
      <x:c r="C981" s="2" t="n">
        <x:v>2015</x:v>
      </x:c>
      <x:c r="D981" s="2" t="str">
        <x:v>GHSL_VOLUME</x:v>
      </x:c>
      <x:c r="E981" s="17" t="n">
        <x:v>3665140556.485112</x:v>
      </x:c>
      <x:c r="F981" s="17" t="n">
        <x:f>IF(AND(M981,ISNUMBER(R981)),IF(D981="TEMPO_PROXY",R981,IF(AND(ISNUMBER(S981),S981&gt;0,ISNUMBER(U981)),U981*R981/S981,"n.a.")),"n.a.")</x:f>
        <x:v>6132522923.673477</x:v>
      </x:c>
      <x:c r="G981" s="17" t="n">
        <x:f>IF(AND(ISNUMBER(E981),ISNUMBER(F981)),E981-F981,"n.a.")</x:f>
        <x:v>-2467382367.188365</x:v>
      </x:c>
      <x:c r="H981" s="15" t="n">
        <x:f>IF(AND(ISNUMBER(E981),ISNUMBER(F981),F981&gt;0),(E981-F981)/F981,"n.a.")</x:f>
        <x:v>-0.4023437658363231</x:v>
      </x:c>
      <x:c r="I981" s="19" t="n">
        <x:f>IF(ISNUMBER(H981),ABS(H981),"n.a.")</x:f>
        <x:v>0.4023437658363231</x:v>
      </x:c>
      <x:c r="J981" s="2" t="str">
        <x:v>available</x:v>
      </x:c>
      <x:c r="K981" s="2" t="n">
        <x:v>1</x:v>
      </x:c>
      <x:c r="L981" s="13" t="b">
        <x:v>0</x:v>
      </x:c>
      <x:c r="M981" s="13" t="b">
        <x:v>1</x:v>
      </x:c>
      <x:c r="N981" s="2" t="str">
        <x:v>modeled_epoch_volume_with_fixed2018_height_and_predominant_use</x:v>
      </x:c>
      <x:c r="O981" s="2" t="str"/>
      <x:c r="P981" s="2" t="str">
        <x:v>built-up volume</x:v>
      </x:c>
      <x:c r="Q981" s="2" t="str">
        <x:v>m3</x:v>
      </x:c>
      <x:c r="R981" s="17" t="n">
        <x:v>20400623645.36863</x:v>
      </x:c>
      <x:c r="S981" s="17" t="n">
        <x:v>13166454645.85</x:v>
      </x:c>
      <x:c r="T981" s="18" t="n">
        <x:v>0.3006046790665484</x:v>
      </x:c>
      <x:c r="U981" s="17" t="n">
        <x:v>3957897873.260005</x:v>
      </x:c>
      <x:c r="V981" s="2" t="str">
        <x:v>Area equivalent = model2020 * source volume / TEMPO2020 volume</x:v>
      </x:c>
      <x:c r="W981" s="2" t="str">
        <x:v>qualified_paired_native_source_frame</x:v>
      </x:c>
      <x:c r="X981" s="2" t="str">
        <x:v>https://human-settlement.emergency.copernicus.eu/ghs_buV2023.php</x:v>
      </x:c>
    </x:row>
    <x:row r="982" ht="23" customHeight="1">
      <x:c r="A982" s="2" t="str">
        <x:v>TUV</x:v>
      </x:c>
      <x:c r="B982" s="2" t="str">
        <x:v>Tuvalu</x:v>
      </x:c>
      <x:c r="C982" s="2" t="n">
        <x:v>2015</x:v>
      </x:c>
      <x:c r="D982" s="2" t="str">
        <x:v>GHSL_VOLUME</x:v>
      </x:c>
      <x:c r="E982" s="17" t="n">
        <x:v>18938.49476458106</x:v>
      </x:c>
      <x:c r="F982" s="17" t="str">
        <x:f>IF(AND(M982,ISNUMBER(R982)),IF(D982="TEMPO_PROXY",R982,IF(AND(ISNUMBER(S982),S982&gt;0,ISNUMBER(U982)),U982*R982/S982,"n.a.")),"n.a.")</x:f>
        <x:v>n.a.</x:v>
      </x:c>
      <x:c r="G982" s="17" t="str">
        <x:f>IF(AND(ISNUMBER(E982),ISNUMBER(F982)),E982-F982,"n.a.")</x:f>
        <x:v>n.a.</x:v>
      </x:c>
      <x:c r="H982" s="15" t="str">
        <x:f>IF(AND(ISNUMBER(E982),ISNUMBER(F982),F982&gt;0),(E982-F982)/F982,"n.a.")</x:f>
        <x:v>n.a.</x:v>
      </x:c>
      <x:c r="I982" s="19" t="str">
        <x:f>IF(ISNUMBER(H982),ABS(H982),"n.a.")</x:f>
        <x:v>n.a.</x:v>
      </x:c>
      <x:c r="J982" s="2" t="str">
        <x:v>unqualified_or_missing_native_source: source_support_or_logical_consistency_failed</x:v>
      </x:c>
      <x:c r="K982" s="2" t="n">
        <x:v>1</x:v>
      </x:c>
      <x:c r="L982" s="13" t="b">
        <x:v>0</x:v>
      </x:c>
      <x:c r="M982" s="13" t="b">
        <x:v>0</x:v>
      </x:c>
      <x:c r="N982" s="2" t="str">
        <x:v>modeled_epoch_volume_with_fixed2018_height_and_predominant_use</x:v>
      </x:c>
      <x:c r="O982" s="2" t="str"/>
      <x:c r="P982" s="2" t="str">
        <x:v>built-up volume</x:v>
      </x:c>
      <x:c r="Q982" s="2" t="str">
        <x:v>m3</x:v>
      </x:c>
      <x:c r="R982" s="17" t="n">
        <x:v>70166.70196078431</x:v>
      </x:c>
      <x:c r="S982" s="17" t="n">
        <x:v>45934.54</x:v>
      </x:c>
      <x:c r="T982" s="18" t="n">
        <x:v>0.42222715194274263</x:v>
      </x:c>
      <x:c r="U982" s="17" t="n">
        <x:v>19394.80999999999</x:v>
      </x:c>
      <x:c r="V982" s="2" t="str">
        <x:v>Area equivalent = model2020 * source volume / TEMPO2020 volume</x:v>
      </x:c>
      <x:c r="W982" s="2" t="str">
        <x:v>source_support_or_logical_consistency_failed</x:v>
      </x:c>
      <x:c r="X982" s="2" t="str">
        <x:v>https://human-settlement.emergency.copernicus.eu/ghs_buV2023.php</x:v>
      </x:c>
    </x:row>
    <x:row r="983" ht="23" customHeight="1">
      <x:c r="A983" s="2" t="str">
        <x:v>TZA</x:v>
      </x:c>
      <x:c r="B983" s="2" t="str">
        <x:v>Tanzania (United Republic of)</x:v>
      </x:c>
      <x:c r="C983" s="2" t="n">
        <x:v>2015</x:v>
      </x:c>
      <x:c r="D983" s="2" t="str">
        <x:v>GHSL_VOLUME</x:v>
      </x:c>
      <x:c r="E983" s="17" t="n">
        <x:v>919308974.8738804</x:v>
      </x:c>
      <x:c r="F983" s="17" t="n">
        <x:f>IF(AND(M983,ISNUMBER(R983)),IF(D983="TEMPO_PROXY",R983,IF(AND(ISNUMBER(S983),S983&gt;0,ISNUMBER(U983)),U983*R983/S983,"n.a.")),"n.a.")</x:f>
        <x:v>5893068861.367689</x:v>
      </x:c>
      <x:c r="G983" s="17" t="n">
        <x:f>IF(AND(ISNUMBER(E983),ISNUMBER(F983)),E983-F983,"n.a.")</x:f>
        <x:v>-4973759886.493809</x:v>
      </x:c>
      <x:c r="H983" s="15" t="n">
        <x:f>IF(AND(ISNUMBER(E983),ISNUMBER(F983),F983&gt;0),(E983-F983)/F983,"n.a.")</x:f>
        <x:v>-0.844001657455514</x:v>
      </x:c>
      <x:c r="I983" s="19" t="n">
        <x:f>IF(ISNUMBER(H983),ABS(H983),"n.a.")</x:f>
        <x:v>0.844001657455514</x:v>
      </x:c>
      <x:c r="J983" s="2" t="str">
        <x:v>available</x:v>
      </x:c>
      <x:c r="K983" s="2" t="n">
        <x:v>1</x:v>
      </x:c>
      <x:c r="L983" s="13" t="b">
        <x:v>0</x:v>
      </x:c>
      <x:c r="M983" s="13" t="b">
        <x:v>1</x:v>
      </x:c>
      <x:c r="N983" s="2" t="str">
        <x:v>modeled_epoch_volume_with_fixed2018_height_and_predominant_use</x:v>
      </x:c>
      <x:c r="O983" s="2" t="str"/>
      <x:c r="P983" s="2" t="str">
        <x:v>built-up volume</x:v>
      </x:c>
      <x:c r="Q983" s="2" t="str">
        <x:v>m3</x:v>
      </x:c>
      <x:c r="R983" s="17" t="n">
        <x:v>12048247064.827452</x:v>
      </x:c>
      <x:c r="S983" s="17" t="n">
        <x:v>2401211110.99</x:v>
      </x:c>
      <x:c r="T983" s="18" t="n">
        <x:v>0.48912251132128376</x:v>
      </x:c>
      <x:c r="U983" s="17" t="n">
        <x:v>1174486408.8199985</x:v>
      </x:c>
      <x:c r="V983" s="2" t="str">
        <x:v>Area equivalent = model2020 * source volume / TEMPO2020 volume</x:v>
      </x:c>
      <x:c r="W983" s="2" t="str">
        <x:v>qualified_paired_native_source_frame</x:v>
      </x:c>
      <x:c r="X983" s="2" t="str">
        <x:v>https://human-settlement.emergency.copernicus.eu/ghs_buV2023.php</x:v>
      </x:c>
    </x:row>
    <x:row r="984" ht="23" customHeight="1">
      <x:c r="A984" s="2" t="str">
        <x:v>UGA</x:v>
      </x:c>
      <x:c r="B984" s="2" t="str">
        <x:v>Uganda (Republic of)</x:v>
      </x:c>
      <x:c r="C984" s="2" t="n">
        <x:v>2015</x:v>
      </x:c>
      <x:c r="D984" s="2" t="str">
        <x:v>GHSL_VOLUME</x:v>
      </x:c>
      <x:c r="E984" s="17" t="n">
        <x:v>575984024.6654693</x:v>
      </x:c>
      <x:c r="F984" s="17" t="n">
        <x:f>IF(AND(M984,ISNUMBER(R984)),IF(D984="TEMPO_PROXY",R984,IF(AND(ISNUMBER(S984),S984&gt;0,ISNUMBER(U984)),U984*R984/S984,"n.a.")),"n.a.")</x:f>
        <x:v>3324087589.7548513</x:v>
      </x:c>
      <x:c r="G984" s="17" t="n">
        <x:f>IF(AND(ISNUMBER(E984),ISNUMBER(F984)),E984-F984,"n.a.")</x:f>
        <x:v>-2748103565.089382</x:v>
      </x:c>
      <x:c r="H984" s="15" t="n">
        <x:f>IF(AND(ISNUMBER(E984),ISNUMBER(F984),F984&gt;0),(E984-F984)/F984,"n.a.")</x:f>
        <x:v>-0.8267241734421482</x:v>
      </x:c>
      <x:c r="I984" s="19" t="n">
        <x:f>IF(ISNUMBER(H984),ABS(H984),"n.a.")</x:f>
        <x:v>0.8267241734421482</x:v>
      </x:c>
      <x:c r="J984" s="2" t="str">
        <x:v>available</x:v>
      </x:c>
      <x:c r="K984" s="2" t="n">
        <x:v>1</x:v>
      </x:c>
      <x:c r="L984" s="13" t="b">
        <x:v>0</x:v>
      </x:c>
      <x:c r="M984" s="13" t="b">
        <x:v>1</x:v>
      </x:c>
      <x:c r="N984" s="2" t="str">
        <x:v>modeled_epoch_volume_with_fixed2018_height_and_predominant_use</x:v>
      </x:c>
      <x:c r="O984" s="2" t="str"/>
      <x:c r="P984" s="2" t="str">
        <x:v>built-up volume</x:v>
      </x:c>
      <x:c r="Q984" s="2" t="str">
        <x:v>m3</x:v>
      </x:c>
      <x:c r="R984" s="17" t="n">
        <x:v>6327649705.705882</x:v>
      </x:c>
      <x:c r="S984" s="17" t="n">
        <x:v>1457932649.66</x:v>
      </x:c>
      <x:c r="T984" s="18" t="n">
        <x:v>0.52532737182929</x:v>
      </x:c>
      <x:c r="U984" s="17" t="n">
        <x:v>765891927.1500008</x:v>
      </x:c>
      <x:c r="V984" s="2" t="str">
        <x:v>Area equivalent = model2020 * source volume / TEMPO2020 volume</x:v>
      </x:c>
      <x:c r="W984" s="2" t="str">
        <x:v>qualified_paired_native_source_frame</x:v>
      </x:c>
      <x:c r="X984" s="2" t="str">
        <x:v>https://human-settlement.emergency.copernicus.eu/ghs_buV2023.php</x:v>
      </x:c>
    </x:row>
    <x:row r="985" ht="23" customHeight="1">
      <x:c r="A985" s="2" t="str">
        <x:v>UKR</x:v>
      </x:c>
      <x:c r="B985" s="2" t="str">
        <x:v>Ukraine</x:v>
      </x:c>
      <x:c r="C985" s="2" t="n">
        <x:v>2015</x:v>
      </x:c>
      <x:c r="D985" s="2" t="str">
        <x:v>GHSL_VOLUME</x:v>
      </x:c>
      <x:c r="E985" s="17" t="n">
        <x:v>2687631859.9002776</x:v>
      </x:c>
      <x:c r="F985" s="17" t="n">
        <x:f>IF(AND(M985,ISNUMBER(R985)),IF(D985="TEMPO_PROXY",R985,IF(AND(ISNUMBER(S985),S985&gt;0,ISNUMBER(U985)),U985*R985/S985,"n.a.")),"n.a.")</x:f>
        <x:v>7435777525.652787</x:v>
      </x:c>
      <x:c r="G985" s="17" t="n">
        <x:f>IF(AND(ISNUMBER(E985),ISNUMBER(F985)),E985-F985,"n.a.")</x:f>
        <x:v>-4748145665.75251</x:v>
      </x:c>
      <x:c r="H985" s="15" t="n">
        <x:f>IF(AND(ISNUMBER(E985),ISNUMBER(F985),F985&gt;0),(E985-F985)/F985,"n.a.")</x:f>
        <x:v>-0.6385540246963844</x:v>
      </x:c>
      <x:c r="I985" s="19" t="n">
        <x:f>IF(ISNUMBER(H985),ABS(H985),"n.a.")</x:f>
        <x:v>0.6385540246963844</x:v>
      </x:c>
      <x:c r="J985" s="2" t="str">
        <x:v>available</x:v>
      </x:c>
      <x:c r="K985" s="2" t="n">
        <x:v>1</x:v>
      </x:c>
      <x:c r="L985" s="13" t="b">
        <x:v>0</x:v>
      </x:c>
      <x:c r="M985" s="13" t="b">
        <x:v>1</x:v>
      </x:c>
      <x:c r="N985" s="2" t="str">
        <x:v>modeled_epoch_volume_with_fixed2018_height_and_predominant_use</x:v>
      </x:c>
      <x:c r="O985" s="2" t="str"/>
      <x:c r="P985" s="2" t="str">
        <x:v>built-up volume</x:v>
      </x:c>
      <x:c r="Q985" s="2" t="str">
        <x:v>m3</x:v>
      </x:c>
      <x:c r="R985" s="17" t="n">
        <x:v>21265412501.568623</x:v>
      </x:c>
      <x:c r="S985" s="17" t="n">
        <x:v>8032843898.35</x:v>
      </x:c>
      <x:c r="T985" s="18" t="n">
        <x:v>0.3496653321492961</x:v>
      </x:c>
      <x:c r="U985" s="17" t="n">
        <x:v>2808807029.8199997</x:v>
      </x:c>
      <x:c r="V985" s="2" t="str">
        <x:v>Area equivalent = model2020 * source volume / TEMPO2020 volume</x:v>
      </x:c>
      <x:c r="W985" s="2" t="str">
        <x:v>qualified_paired_native_source_frame</x:v>
      </x:c>
      <x:c r="X985" s="2" t="str">
        <x:v>https://human-settlement.emergency.copernicus.eu/ghs_buV2023.php</x:v>
      </x:c>
    </x:row>
    <x:row r="986" ht="23" customHeight="1">
      <x:c r="A986" s="2" t="str">
        <x:v>URY</x:v>
      </x:c>
      <x:c r="B986" s="2" t="str">
        <x:v>Uruguay (Oriental Republic of)</x:v>
      </x:c>
      <x:c r="C986" s="2" t="n">
        <x:v>2015</x:v>
      </x:c>
      <x:c r="D986" s="2" t="str">
        <x:v>GHSL_VOLUME</x:v>
      </x:c>
      <x:c r="E986" s="17" t="n">
        <x:v>201359785.87738177</x:v>
      </x:c>
      <x:c r="F986" s="17" t="n">
        <x:f>IF(AND(M986,ISNUMBER(R986)),IF(D986="TEMPO_PROXY",R986,IF(AND(ISNUMBER(S986),S986&gt;0,ISNUMBER(U986)),U986*R986/S986,"n.a.")),"n.a.")</x:f>
        <x:v>766622491.1449487</x:v>
      </x:c>
      <x:c r="G986" s="17" t="n">
        <x:f>IF(AND(ISNUMBER(E986),ISNUMBER(F986)),E986-F986,"n.a.")</x:f>
        <x:v>-565262705.2675669</x:v>
      </x:c>
      <x:c r="H986" s="15" t="n">
        <x:f>IF(AND(ISNUMBER(E986),ISNUMBER(F986),F986&gt;0),(E986-F986)/F986,"n.a.")</x:f>
        <x:v>-0.7373416665917909</x:v>
      </x:c>
      <x:c r="I986" s="19" t="n">
        <x:f>IF(ISNUMBER(H986),ABS(H986),"n.a.")</x:f>
        <x:v>0.7373416665917909</x:v>
      </x:c>
      <x:c r="J986" s="2" t="str">
        <x:v>available</x:v>
      </x:c>
      <x:c r="K986" s="2" t="n">
        <x:v>1</x:v>
      </x:c>
      <x:c r="L986" s="13" t="b">
        <x:v>0</x:v>
      </x:c>
      <x:c r="M986" s="13" t="b">
        <x:v>1</x:v>
      </x:c>
      <x:c r="N986" s="2" t="str">
        <x:v>modeled_epoch_volume_with_fixed2018_height_and_predominant_use</x:v>
      </x:c>
      <x:c r="O986" s="2" t="str"/>
      <x:c r="P986" s="2" t="str">
        <x:v>built-up volume</x:v>
      </x:c>
      <x:c r="Q986" s="2" t="str">
        <x:v>m3</x:v>
      </x:c>
      <x:c r="R986" s="17" t="n">
        <x:v>2135430994.5764704</x:v>
      </x:c>
      <x:c r="S986" s="17" t="n">
        <x:v>584197986.37</x:v>
      </x:c>
      <x:c r="T986" s="18" t="n">
        <x:v>0.35900129439537165</x:v>
      </x:c>
      <x:c r="U986" s="17" t="n">
        <x:v>209727833.2899997</x:v>
      </x:c>
      <x:c r="V986" s="2" t="str">
        <x:v>Area equivalent = model2020 * source volume / TEMPO2020 volume</x:v>
      </x:c>
      <x:c r="W986" s="2" t="str">
        <x:v>qualified_paired_native_source_frame</x:v>
      </x:c>
      <x:c r="X986" s="2" t="str">
        <x:v>https://human-settlement.emergency.copernicus.eu/ghs_buV2023.php</x:v>
      </x:c>
    </x:row>
    <x:row r="987" ht="23" customHeight="1">
      <x:c r="A987" s="2" t="str">
        <x:v>USA</x:v>
      </x:c>
      <x:c r="B987" s="2" t="str">
        <x:v>United States of America</x:v>
      </x:c>
      <x:c r="C987" s="2" t="n">
        <x:v>2015</x:v>
      </x:c>
      <x:c r="D987" s="2" t="str">
        <x:v>GHSL_VOLUME</x:v>
      </x:c>
      <x:c r="E987" s="17" t="n">
        <x:v>34465397434.22212</x:v>
      </x:c>
      <x:c r="F987" s="17" t="str">
        <x:f>IF(AND(M987,ISNUMBER(R987)),IF(D987="TEMPO_PROXY",R987,IF(AND(ISNUMBER(S987),S987&gt;0,ISNUMBER(U987)),U987*R987/S987,"n.a.")),"n.a.")</x:f>
        <x:v>n.a.</x:v>
      </x:c>
      <x:c r="G987" s="17" t="str">
        <x:f>IF(AND(ISNUMBER(E987),ISNUMBER(F987)),E987-F987,"n.a.")</x:f>
        <x:v>n.a.</x:v>
      </x:c>
      <x:c r="H987" s="15" t="str">
        <x:f>IF(AND(ISNUMBER(E987),ISNUMBER(F987),F987&gt;0),(E987-F987)/F987,"n.a.")</x:f>
        <x:v>n.a.</x:v>
      </x:c>
      <x:c r="I987" s="19" t="str">
        <x:f>IF(ISNUMBER(H987),ABS(H987),"n.a.")</x:f>
        <x:v>n.a.</x:v>
      </x:c>
      <x:c r="J987" s="2" t="str">
        <x:v>unqualified_or_missing_native_source: source_support_or_logical_consistency_failed</x:v>
      </x:c>
      <x:c r="K987" s="2" t="n">
        <x:v>1</x:v>
      </x:c>
      <x:c r="L987" s="13" t="b">
        <x:v>0</x:v>
      </x:c>
      <x:c r="M987" s="13" t="b">
        <x:v>0</x:v>
      </x:c>
      <x:c r="N987" s="2" t="str">
        <x:v>modeled_epoch_volume_with_fixed2018_height_and_predominant_use</x:v>
      </x:c>
      <x:c r="O987" s="2" t="str"/>
      <x:c r="P987" s="2" t="str">
        <x:v>built-up volume</x:v>
      </x:c>
      <x:c r="Q987" s="2" t="str">
        <x:v>m3</x:v>
      </x:c>
      <x:c r="R987" s="17" t="n">
        <x:v>319455889029.749</x:v>
      </x:c>
      <x:c r="S987" s="17" t="n">
        <x:v>98610675090.34</x:v>
      </x:c>
      <x:c r="T987" s="18" t="n">
        <x:v>0.3643923951008431</x:v>
      </x:c>
      <x:c r="U987" s="17" t="n">
        <x:v>35932980078.68004</x:v>
      </x:c>
      <x:c r="V987" s="2" t="str">
        <x:v>Area equivalent = model2020 * source volume / TEMPO2020 volume</x:v>
      </x:c>
      <x:c r="W987" s="2" t="str">
        <x:v>source_support_or_logical_consistency_failed</x:v>
      </x:c>
      <x:c r="X987" s="2" t="str">
        <x:v>https://human-settlement.emergency.copernicus.eu/ghs_buV2023.php</x:v>
      </x:c>
    </x:row>
    <x:row r="988" ht="23" customHeight="1">
      <x:c r="A988" s="2" t="str">
        <x:v>UZB</x:v>
      </x:c>
      <x:c r="B988" s="2" t="str">
        <x:v>Uzbekistan (Republic of)</x:v>
      </x:c>
      <x:c r="C988" s="2" t="n">
        <x:v>2015</x:v>
      </x:c>
      <x:c r="D988" s="2" t="str">
        <x:v>GHSL_VOLUME</x:v>
      </x:c>
      <x:c r="E988" s="17" t="n">
        <x:v>1826840510.7491636</x:v>
      </x:c>
      <x:c r="F988" s="17" t="n">
        <x:f>IF(AND(M988,ISNUMBER(R988)),IF(D988="TEMPO_PROXY",R988,IF(AND(ISNUMBER(S988),S988&gt;0,ISNUMBER(U988)),U988*R988/S988,"n.a.")),"n.a.")</x:f>
        <x:v>6877117928.094903</x:v>
      </x:c>
      <x:c r="G988" s="17" t="n">
        <x:f>IF(AND(ISNUMBER(E988),ISNUMBER(F988)),E988-F988,"n.a.")</x:f>
        <x:v>-5050277417.345739</x:v>
      </x:c>
      <x:c r="H988" s="15" t="n">
        <x:f>IF(AND(ISNUMBER(E988),ISNUMBER(F988),F988&gt;0),(E988-F988)/F988,"n.a.")</x:f>
        <x:v>-0.7343595776820954</x:v>
      </x:c>
      <x:c r="I988" s="19" t="n">
        <x:f>IF(ISNUMBER(H988),ABS(H988),"n.a.")</x:f>
        <x:v>0.7343595776820954</x:v>
      </x:c>
      <x:c r="J988" s="2" t="str">
        <x:v>available</x:v>
      </x:c>
      <x:c r="K988" s="2" t="n">
        <x:v>1</x:v>
      </x:c>
      <x:c r="L988" s="13" t="b">
        <x:v>0</x:v>
      </x:c>
      <x:c r="M988" s="13" t="b">
        <x:v>1</x:v>
      </x:c>
      <x:c r="N988" s="2" t="str">
        <x:v>modeled_epoch_volume_with_fixed2018_height_and_predominant_use</x:v>
      </x:c>
      <x:c r="O988" s="2" t="str"/>
      <x:c r="P988" s="2" t="str">
        <x:v>built-up volume</x:v>
      </x:c>
      <x:c r="Q988" s="2" t="str">
        <x:v>m3</x:v>
      </x:c>
      <x:c r="R988" s="17" t="n">
        <x:v>18264849777.474514</x:v>
      </x:c>
      <x:c r="S988" s="17" t="n">
        <x:v>5303920108.56</x:v>
      </x:c>
      <x:c r="T988" s="18" t="n">
        <x:v>0.3765220087698857</x:v>
      </x:c>
      <x:c r="U988" s="17" t="n">
        <x:v>1997042653.6300015</x:v>
      </x:c>
      <x:c r="V988" s="2" t="str">
        <x:v>Area equivalent = model2020 * source volume / TEMPO2020 volume</x:v>
      </x:c>
      <x:c r="W988" s="2" t="str">
        <x:v>qualified_paired_native_source_frame</x:v>
      </x:c>
      <x:c r="X988" s="2" t="str">
        <x:v>https://human-settlement.emergency.copernicus.eu/ghs_buV2023.php</x:v>
      </x:c>
    </x:row>
    <x:row r="989" ht="23" customHeight="1">
      <x:c r="A989" s="2" t="str">
        <x:v>VAT</x:v>
      </x:c>
      <x:c r="B989" s="2" t="str">
        <x:v>Holy See (State of the Vatican City)</x:v>
      </x:c>
      <x:c r="C989" s="2" t="n">
        <x:v>2015</x:v>
      </x:c>
      <x:c r="D989" s="2" t="str">
        <x:v>GHSL_VOLUME</x:v>
      </x:c>
      <x:c r="E989" s="17" t="n">
        <x:v>318151.8700189071</x:v>
      </x:c>
      <x:c r="F989" s="17" t="n">
        <x:f>IF(AND(M989,ISNUMBER(R989)),IF(D989="TEMPO_PROXY",R989,IF(AND(ISNUMBER(S989),S989&gt;0,ISNUMBER(U989)),U989*R989/S989,"n.a.")),"n.a.")</x:f>
        <x:v>583048.6015015736</x:v>
      </x:c>
      <x:c r="G989" s="17" t="n">
        <x:f>IF(AND(ISNUMBER(E989),ISNUMBER(F989)),E989-F989,"n.a.")</x:f>
        <x:v>-264896.73148266645</x:v>
      </x:c>
      <x:c r="H989" s="15" t="n">
        <x:f>IF(AND(ISNUMBER(E989),ISNUMBER(F989),F989&gt;0),(E989-F989)/F989,"n.a.")</x:f>
        <x:v>-0.4543304465536078</x:v>
      </x:c>
      <x:c r="I989" s="19" t="n">
        <x:f>IF(ISNUMBER(H989),ABS(H989),"n.a.")</x:f>
        <x:v>0.4543304465536078</x:v>
      </x:c>
      <x:c r="J989" s="2" t="str">
        <x:v>available</x:v>
      </x:c>
      <x:c r="K989" s="2" t="n">
        <x:v>1</x:v>
      </x:c>
      <x:c r="L989" s="13" t="b">
        <x:v>0</x:v>
      </x:c>
      <x:c r="M989" s="13" t="b">
        <x:v>1</x:v>
      </x:c>
      <x:c r="N989" s="2" t="str">
        <x:v>modeled_epoch_volume_with_fixed2018_height_and_predominant_use</x:v>
      </x:c>
      <x:c r="O989" s="2" t="str"/>
      <x:c r="P989" s="2" t="str">
        <x:v>built-up volume</x:v>
      </x:c>
      <x:c r="Q989" s="2" t="str">
        <x:v>m3</x:v>
      </x:c>
      <x:c r="R989" s="17" t="n">
        <x:v>2138840.1294117654</x:v>
      </x:c>
      <x:c r="S989" s="17" t="n">
        <x:v>1169933.28</x:v>
      </x:c>
      <x:c r="T989" s="18" t="n">
        <x:v>0.2726003657234197</x:v>
      </x:c>
      <x:c r="U989" s="17" t="n">
        <x:v>318924.24</x:v>
      </x:c>
      <x:c r="V989" s="2" t="str">
        <x:v>Area equivalent = model2020 * source volume / TEMPO2020 volume</x:v>
      </x:c>
      <x:c r="W989" s="2" t="str">
        <x:v>qualified_paired_native_source_frame</x:v>
      </x:c>
      <x:c r="X989" s="2" t="str">
        <x:v>https://human-settlement.emergency.copernicus.eu/ghs_buV2023.php</x:v>
      </x:c>
    </x:row>
    <x:row r="990" ht="23" customHeight="1">
      <x:c r="A990" s="2" t="str">
        <x:v>VCT</x:v>
      </x:c>
      <x:c r="B990" s="2" t="str">
        <x:v>Saint Vincent and the Grenadines</x:v>
      </x:c>
      <x:c r="C990" s="2" t="n">
        <x:v>2015</x:v>
      </x:c>
      <x:c r="D990" s="2" t="str">
        <x:v>GHSL_VOLUME</x:v>
      </x:c>
      <x:c r="E990" s="17" t="n">
        <x:v>5437525.574394897</x:v>
      </x:c>
      <x:c r="F990" s="17" t="n">
        <x:f>IF(AND(M990,ISNUMBER(R990)),IF(D990="TEMPO_PROXY",R990,IF(AND(ISNUMBER(S990),S990&gt;0,ISNUMBER(U990)),U990*R990/S990,"n.a.")),"n.a.")</x:f>
        <x:v>20476540.793770734</x:v>
      </x:c>
      <x:c r="G990" s="17" t="n">
        <x:f>IF(AND(ISNUMBER(E990),ISNUMBER(F990)),E990-F990,"n.a.")</x:f>
        <x:v>-15039015.219375838</x:v>
      </x:c>
      <x:c r="H990" s="15" t="n">
        <x:f>IF(AND(ISNUMBER(E990),ISNUMBER(F990),F990&gt;0),(E990-F990)/F990,"n.a.")</x:f>
        <x:v>-0.7344509685908924</x:v>
      </x:c>
      <x:c r="I990" s="19" t="n">
        <x:f>IF(ISNUMBER(H990),ABS(H990),"n.a.")</x:f>
        <x:v>0.7344509685908924</x:v>
      </x:c>
      <x:c r="J990" s="2" t="str">
        <x:v>available</x:v>
      </x:c>
      <x:c r="K990" s="2" t="n">
        <x:v>1</x:v>
      </x:c>
      <x:c r="L990" s="13" t="b">
        <x:v>0</x:v>
      </x:c>
      <x:c r="M990" s="13" t="b">
        <x:v>1</x:v>
      </x:c>
      <x:c r="N990" s="2" t="str">
        <x:v>modeled_epoch_volume_with_fixed2018_height_and_predominant_use</x:v>
      </x:c>
      <x:c r="O990" s="2" t="str"/>
      <x:c r="P990" s="2" t="str">
        <x:v>built-up volume</x:v>
      </x:c>
      <x:c r="Q990" s="2" t="str">
        <x:v>m3</x:v>
      </x:c>
      <x:c r="R990" s="17" t="n">
        <x:v>47316748.15686274</x:v>
      </x:c>
      <x:c r="S990" s="17" t="n">
        <x:v>14313847.75</x:v>
      </x:c>
      <x:c r="T990" s="18" t="n">
        <x:v>0.43275460785867326</x:v>
      </x:c>
      <x:c r="U990" s="17" t="n">
        <x:v>6194383.570000002</x:v>
      </x:c>
      <x:c r="V990" s="2" t="str">
        <x:v>Area equivalent = model2020 * source volume / TEMPO2020 volume</x:v>
      </x:c>
      <x:c r="W990" s="2" t="str">
        <x:v>qualified_paired_native_source_frame</x:v>
      </x:c>
      <x:c r="X990" s="2" t="str">
        <x:v>https://human-settlement.emergency.copernicus.eu/ghs_buV2023.php</x:v>
      </x:c>
    </x:row>
    <x:row r="991" ht="23" customHeight="1">
      <x:c r="A991" s="2" t="str">
        <x:v>VEN</x:v>
      </x:c>
      <x:c r="B991" s="2" t="str">
        <x:v>Venezuela (Bolivarian Republic of)</x:v>
      </x:c>
      <x:c r="C991" s="2" t="n">
        <x:v>2015</x:v>
      </x:c>
      <x:c r="D991" s="2" t="str">
        <x:v>GHSL_VOLUME</x:v>
      </x:c>
      <x:c r="E991" s="17" t="n">
        <x:v>1114583415.3745449</x:v>
      </x:c>
      <x:c r="F991" s="17" t="n">
        <x:f>IF(AND(M991,ISNUMBER(R991)),IF(D991="TEMPO_PROXY",R991,IF(AND(ISNUMBER(S991),S991&gt;0,ISNUMBER(U991)),U991*R991/S991,"n.a.")),"n.a.")</x:f>
        <x:v>3623611979.6196294</x:v>
      </x:c>
      <x:c r="G991" s="17" t="n">
        <x:f>IF(AND(ISNUMBER(E991),ISNUMBER(F991)),E991-F991,"n.a.")</x:f>
        <x:v>-2509028564.245085</x:v>
      </x:c>
      <x:c r="H991" s="15" t="n">
        <x:f>IF(AND(ISNUMBER(E991),ISNUMBER(F991),F991&gt;0),(E991-F991)/F991,"n.a.")</x:f>
        <x:v>-0.6924109364790371</x:v>
      </x:c>
      <x:c r="I991" s="19" t="n">
        <x:f>IF(ISNUMBER(H991),ABS(H991),"n.a.")</x:f>
        <x:v>0.6924109364790371</x:v>
      </x:c>
      <x:c r="J991" s="2" t="str">
        <x:v>available</x:v>
      </x:c>
      <x:c r="K991" s="2" t="n">
        <x:v>1</x:v>
      </x:c>
      <x:c r="L991" s="13" t="b">
        <x:v>0</x:v>
      </x:c>
      <x:c r="M991" s="13" t="b">
        <x:v>1</x:v>
      </x:c>
      <x:c r="N991" s="2" t="str">
        <x:v>modeled_epoch_volume_with_fixed2018_height_and_predominant_use</x:v>
      </x:c>
      <x:c r="O991" s="2" t="str"/>
      <x:c r="P991" s="2" t="str">
        <x:v>built-up volume</x:v>
      </x:c>
      <x:c r="Q991" s="2" t="str">
        <x:v>m3</x:v>
      </x:c>
      <x:c r="R991" s="17" t="n">
        <x:v>10150859273.568626</x:v>
      </x:c>
      <x:c r="S991" s="17" t="n">
        <x:v>3248249123.14</x:v>
      </x:c>
      <x:c r="T991" s="18" t="n">
        <x:v>0.35697588568240646</x:v>
      </x:c>
      <x:c r="U991" s="17" t="n">
        <x:v>1159546607.6500015</x:v>
      </x:c>
      <x:c r="V991" s="2" t="str">
        <x:v>Area equivalent = model2020 * source volume / TEMPO2020 volume</x:v>
      </x:c>
      <x:c r="W991" s="2" t="str">
        <x:v>qualified_paired_native_source_frame</x:v>
      </x:c>
      <x:c r="X991" s="2" t="str">
        <x:v>https://human-settlement.emergency.copernicus.eu/ghs_buV2023.php</x:v>
      </x:c>
    </x:row>
    <x:row r="992" ht="23" customHeight="1">
      <x:c r="A992" s="2" t="str">
        <x:v>VNM</x:v>
      </x:c>
      <x:c r="B992" s="2" t="str">
        <x:v>Viet Nam (Socialist Republic of)</x:v>
      </x:c>
      <x:c r="C992" s="2" t="n">
        <x:v>2015</x:v>
      </x:c>
      <x:c r="D992" s="2" t="str">
        <x:v>GHSL_VOLUME</x:v>
      </x:c>
      <x:c r="E992" s="17" t="n">
        <x:v>4452886125.717495</x:v>
      </x:c>
      <x:c r="F992" s="17" t="n">
        <x:f>IF(AND(M992,ISNUMBER(R992)),IF(D992="TEMPO_PROXY",R992,IF(AND(ISNUMBER(S992),S992&gt;0,ISNUMBER(U992)),U992*R992/S992,"n.a.")),"n.a.")</x:f>
        <x:v>6999950112.348824</x:v>
      </x:c>
      <x:c r="G992" s="17" t="n">
        <x:f>IF(AND(ISNUMBER(E992),ISNUMBER(F992)),E992-F992,"n.a.")</x:f>
        <x:v>-2547063986.6313286</x:v>
      </x:c>
      <x:c r="H992" s="15" t="n">
        <x:f>IF(AND(ISNUMBER(E992),ISNUMBER(F992),F992&gt;0),(E992-F992)/F992,"n.a.")</x:f>
        <x:v>-0.36386887702784854</x:v>
      </x:c>
      <x:c r="I992" s="19" t="n">
        <x:f>IF(ISNUMBER(H992),ABS(H992),"n.a.")</x:f>
        <x:v>0.36386887702784854</x:v>
      </x:c>
      <x:c r="J992" s="2" t="str">
        <x:v>available</x:v>
      </x:c>
      <x:c r="K992" s="2" t="n">
        <x:v>1</x:v>
      </x:c>
      <x:c r="L992" s="13" t="b">
        <x:v>0</x:v>
      </x:c>
      <x:c r="M992" s="13" t="b">
        <x:v>1</x:v>
      </x:c>
      <x:c r="N992" s="2" t="str">
        <x:v>modeled_epoch_volume_with_fixed2018_height_and_predominant_use</x:v>
      </x:c>
      <x:c r="O992" s="2" t="str"/>
      <x:c r="P992" s="2" t="str">
        <x:v>built-up volume</x:v>
      </x:c>
      <x:c r="Q992" s="2" t="str">
        <x:v>m3</x:v>
      </x:c>
      <x:c r="R992" s="17" t="n">
        <x:v>20862458459.188236</x:v>
      </x:c>
      <x:c r="S992" s="17" t="n">
        <x:v>14490175973.06</x:v>
      </x:c>
      <x:c r="T992" s="18" t="n">
        <x:v>0.3355285344746083</x:v>
      </x:c>
      <x:c r="U992" s="17" t="n">
        <x:v>4861867508.520002</x:v>
      </x:c>
      <x:c r="V992" s="2" t="str">
        <x:v>Area equivalent = model2020 * source volume / TEMPO2020 volume</x:v>
      </x:c>
      <x:c r="W992" s="2" t="str">
        <x:v>qualified_paired_native_source_frame</x:v>
      </x:c>
      <x:c r="X992" s="2" t="str">
        <x:v>https://human-settlement.emergency.copernicus.eu/ghs_buV2023.php</x:v>
      </x:c>
    </x:row>
    <x:row r="993" ht="23" customHeight="1">
      <x:c r="A993" s="2" t="str">
        <x:v>VUT</x:v>
      </x:c>
      <x:c r="B993" s="2" t="str">
        <x:v>Vanuatu (Republic of)</x:v>
      </x:c>
      <x:c r="C993" s="2" t="n">
        <x:v>2015</x:v>
      </x:c>
      <x:c r="D993" s="2" t="str">
        <x:v>GHSL_VOLUME</x:v>
      </x:c>
      <x:c r="E993" s="17" t="n">
        <x:v>7978040.337147347</x:v>
      </x:c>
      <x:c r="F993" s="17" t="n">
        <x:f>IF(AND(M993,ISNUMBER(R993)),IF(D993="TEMPO_PROXY",R993,IF(AND(ISNUMBER(S993),S993&gt;0,ISNUMBER(U993)),U993*R993/S993,"n.a.")),"n.a.")</x:f>
        <x:v>23314103.594435874</x:v>
      </x:c>
      <x:c r="G993" s="17" t="n">
        <x:f>IF(AND(ISNUMBER(E993),ISNUMBER(F993)),E993-F993,"n.a.")</x:f>
        <x:v>-15336063.257288527</x:v>
      </x:c>
      <x:c r="H993" s="15" t="n">
        <x:f>IF(AND(ISNUMBER(E993),ISNUMBER(F993),F993&gt;0),(E993-F993)/F993,"n.a.")</x:f>
        <x:v>-0.6578019693173457</x:v>
      </x:c>
      <x:c r="I993" s="19" t="n">
        <x:f>IF(ISNUMBER(H993),ABS(H993),"n.a.")</x:f>
        <x:v>0.6578019693173457</x:v>
      </x:c>
      <x:c r="J993" s="2" t="str">
        <x:v>available</x:v>
      </x:c>
      <x:c r="K993" s="2" t="n">
        <x:v>1</x:v>
      </x:c>
      <x:c r="L993" s="13" t="b">
        <x:v>0</x:v>
      </x:c>
      <x:c r="M993" s="13" t="b">
        <x:v>1</x:v>
      </x:c>
      <x:c r="N993" s="2" t="str">
        <x:v>modeled_epoch_volume_with_fixed2018_height_and_predominant_use</x:v>
      </x:c>
      <x:c r="O993" s="2" t="str"/>
      <x:c r="P993" s="2" t="str">
        <x:v>built-up volume</x:v>
      </x:c>
      <x:c r="Q993" s="2" t="str">
        <x:v>m3</x:v>
      </x:c>
      <x:c r="R993" s="17" t="n">
        <x:v>46348245.47058823</x:v>
      </x:c>
      <x:c r="S993" s="17" t="n">
        <x:v>16288659.46</x:v>
      </x:c>
      <x:c r="T993" s="18" t="n">
        <x:v>0.5030201975872116</x:v>
      </x:c>
      <x:c r="U993" s="17" t="n">
        <x:v>8193524.700000004</x:v>
      </x:c>
      <x:c r="V993" s="2" t="str">
        <x:v>Area equivalent = model2020 * source volume / TEMPO2020 volume</x:v>
      </x:c>
      <x:c r="W993" s="2" t="str">
        <x:v>qualified_paired_native_source_frame</x:v>
      </x:c>
      <x:c r="X993" s="2" t="str">
        <x:v>https://human-settlement.emergency.copernicus.eu/ghs_buV2023.php</x:v>
      </x:c>
    </x:row>
    <x:row r="994" ht="23" customHeight="1">
      <x:c r="A994" s="2" t="str">
        <x:v>WSM</x:v>
      </x:c>
      <x:c r="B994" s="2" t="str">
        <x:v>Samoa (Independent State of)</x:v>
      </x:c>
      <x:c r="C994" s="2" t="n">
        <x:v>2015</x:v>
      </x:c>
      <x:c r="D994" s="2" t="str">
        <x:v>GHSL_VOLUME</x:v>
      </x:c>
      <x:c r="E994" s="17" t="n">
        <x:v>7908634.666206749</x:v>
      </x:c>
      <x:c r="F994" s="17" t="n">
        <x:f>IF(AND(M994,ISNUMBER(R994)),IF(D994="TEMPO_PROXY",R994,IF(AND(ISNUMBER(S994),S994&gt;0,ISNUMBER(U994)),U994*R994/S994,"n.a.")),"n.a.")</x:f>
        <x:v>18555197.02798941</x:v>
      </x:c>
      <x:c r="G994" s="17" t="n">
        <x:f>IF(AND(ISNUMBER(E994),ISNUMBER(F994)),E994-F994,"n.a.")</x:f>
        <x:v>-10646562.36178266</x:v>
      </x:c>
      <x:c r="H994" s="15" t="n">
        <x:f>IF(AND(ISNUMBER(E994),ISNUMBER(F994),F994&gt;0),(E994-F994)/F994,"n.a.")</x:f>
        <x:v>-0.5737779203164998</x:v>
      </x:c>
      <x:c r="I994" s="19" t="n">
        <x:f>IF(ISNUMBER(H994),ABS(H994),"n.a.")</x:f>
        <x:v>0.5737779203164998</x:v>
      </x:c>
      <x:c r="J994" s="2" t="str">
        <x:v>available</x:v>
      </x:c>
      <x:c r="K994" s="2" t="n">
        <x:v>1</x:v>
      </x:c>
      <x:c r="L994" s="13" t="b">
        <x:v>0</x:v>
      </x:c>
      <x:c r="M994" s="13" t="b">
        <x:v>1</x:v>
      </x:c>
      <x:c r="N994" s="2" t="str">
        <x:v>modeled_epoch_volume_with_fixed2018_height_and_predominant_use</x:v>
      </x:c>
      <x:c r="O994" s="2" t="str"/>
      <x:c r="P994" s="2" t="str">
        <x:v>built-up volume</x:v>
      </x:c>
      <x:c r="Q994" s="2" t="str">
        <x:v>m3</x:v>
      </x:c>
      <x:c r="R994" s="17" t="n">
        <x:v>41396278.019607835</x:v>
      </x:c>
      <x:c r="S994" s="17" t="n">
        <x:v>18082688.33</x:v>
      </x:c>
      <x:c r="T994" s="18" t="n">
        <x:v>0.4482334624190253</x:v>
      </x:c>
      <x:c r="U994" s="17" t="n">
        <x:v>8105266.000000001</x:v>
      </x:c>
      <x:c r="V994" s="2" t="str">
        <x:v>Area equivalent = model2020 * source volume / TEMPO2020 volume</x:v>
      </x:c>
      <x:c r="W994" s="2" t="str">
        <x:v>qualified_paired_native_source_frame</x:v>
      </x:c>
      <x:c r="X994" s="2" t="str">
        <x:v>https://human-settlement.emergency.copernicus.eu/ghs_buV2023.php</x:v>
      </x:c>
    </x:row>
    <x:row r="995" ht="23" customHeight="1">
      <x:c r="A995" s="2" t="str">
        <x:v>YEM</x:v>
      </x:c>
      <x:c r="B995" s="2" t="str">
        <x:v>Yemen (Republic of)</x:v>
      </x:c>
      <x:c r="C995" s="2" t="n">
        <x:v>2015</x:v>
      </x:c>
      <x:c r="D995" s="2" t="str">
        <x:v>GHSL_VOLUME</x:v>
      </x:c>
      <x:c r="E995" s="17" t="n">
        <x:v>401216202.1769533</x:v>
      </x:c>
      <x:c r="F995" s="17" t="n">
        <x:f>IF(AND(M995,ISNUMBER(R995)),IF(D995="TEMPO_PROXY",R995,IF(AND(ISNUMBER(S995),S995&gt;0,ISNUMBER(U995)),U995*R995/S995,"n.a.")),"n.a.")</x:f>
        <x:v>597982723.065613</x:v>
      </x:c>
      <x:c r="G995" s="17" t="n">
        <x:f>IF(AND(ISNUMBER(E995),ISNUMBER(F995)),E995-F995,"n.a.")</x:f>
        <x:v>-196766520.88865972</x:v>
      </x:c>
      <x:c r="H995" s="15" t="n">
        <x:f>IF(AND(ISNUMBER(E995),ISNUMBER(F995),F995&gt;0),(E995-F995)/F995,"n.a.")</x:f>
        <x:v>-0.3290505114929043</x:v>
      </x:c>
      <x:c r="I995" s="19" t="n">
        <x:f>IF(ISNUMBER(H995),ABS(H995),"n.a.")</x:f>
        <x:v>0.3290505114929043</x:v>
      </x:c>
      <x:c r="J995" s="2" t="str">
        <x:v>available</x:v>
      </x:c>
      <x:c r="K995" s="2" t="n">
        <x:v>1</x:v>
      </x:c>
      <x:c r="L995" s="13" t="b">
        <x:v>0</x:v>
      </x:c>
      <x:c r="M995" s="13" t="b">
        <x:v>1</x:v>
      </x:c>
      <x:c r="N995" s="2" t="str">
        <x:v>modeled_epoch_volume_with_fixed2018_height_and_predominant_use</x:v>
      </x:c>
      <x:c r="O995" s="2" t="str"/>
      <x:c r="P995" s="2" t="str">
        <x:v>built-up volume</x:v>
      </x:c>
      <x:c r="Q995" s="2" t="str">
        <x:v>m3</x:v>
      </x:c>
      <x:c r="R995" s="17" t="n">
        <x:v>1421700316.2313726</x:v>
      </x:c>
      <x:c r="S995" s="17" t="n">
        <x:v>1080524379.68</x:v>
      </x:c>
      <x:c r="T995" s="18" t="n">
        <x:v>0.4206109517164201</x:v>
      </x:c>
      <x:c r="U995" s="17" t="n">
        <x:v>454480387.6899993</x:v>
      </x:c>
      <x:c r="V995" s="2" t="str">
        <x:v>Area equivalent = model2020 * source volume / TEMPO2020 volume</x:v>
      </x:c>
      <x:c r="W995" s="2" t="str">
        <x:v>qualified_paired_native_source_frame</x:v>
      </x:c>
      <x:c r="X995" s="2" t="str">
        <x:v>https://human-settlement.emergency.copernicus.eu/ghs_buV2023.php</x:v>
      </x:c>
    </x:row>
    <x:row r="996" ht="23" customHeight="1">
      <x:c r="A996" s="2" t="str">
        <x:v>ZAF</x:v>
      </x:c>
      <x:c r="B996" s="2" t="str">
        <x:v>South Africa (Republic of)</x:v>
      </x:c>
      <x:c r="C996" s="2" t="n">
        <x:v>2015</x:v>
      </x:c>
      <x:c r="D996" s="2" t="str">
        <x:v>GHSL_VOLUME</x:v>
      </x:c>
      <x:c r="E996" s="17" t="n">
        <x:v>2389932427.550691</x:v>
      </x:c>
      <x:c r="F996" s="17" t="n">
        <x:f>IF(AND(M996,ISNUMBER(R996)),IF(D996="TEMPO_PROXY",R996,IF(AND(ISNUMBER(S996),S996&gt;0,ISNUMBER(U996)),U996*R996/S996,"n.a.")),"n.a.")</x:f>
        <x:v>11408500322.77289</x:v>
      </x:c>
      <x:c r="G996" s="17" t="n">
        <x:f>IF(AND(ISNUMBER(E996),ISNUMBER(F996)),E996-F996,"n.a.")</x:f>
        <x:v>-9018567895.222198</x:v>
      </x:c>
      <x:c r="H996" s="15" t="n">
        <x:f>IF(AND(ISNUMBER(E996),ISNUMBER(F996),F996&gt;0),(E996-F996)/F996,"n.a.")</x:f>
        <x:v>-0.7905130069742763</x:v>
      </x:c>
      <x:c r="I996" s="19" t="n">
        <x:f>IF(ISNUMBER(H996),ABS(H996),"n.a.")</x:f>
        <x:v>0.7905130069742763</x:v>
      </x:c>
      <x:c r="J996" s="2" t="str">
        <x:v>available</x:v>
      </x:c>
      <x:c r="K996" s="2" t="n">
        <x:v>1</x:v>
      </x:c>
      <x:c r="L996" s="13" t="b">
        <x:v>0</x:v>
      </x:c>
      <x:c r="M996" s="13" t="b">
        <x:v>1</x:v>
      </x:c>
      <x:c r="N996" s="2" t="str">
        <x:v>modeled_epoch_volume_with_fixed2018_height_and_predominant_use</x:v>
      </x:c>
      <x:c r="O996" s="2" t="str"/>
      <x:c r="P996" s="2" t="str">
        <x:v>built-up volume</x:v>
      </x:c>
      <x:c r="Q996" s="2" t="str">
        <x:v>m3</x:v>
      </x:c>
      <x:c r="R996" s="17" t="n">
        <x:v>29464682878.192154</x:v>
      </x:c>
      <x:c r="S996" s="17" t="n">
        <x:v>7002529150.44</x:v>
      </x:c>
      <x:c r="T996" s="18" t="n">
        <x:v>0.3871923675518911</x:v>
      </x:c>
      <x:c r="U996" s="17" t="n">
        <x:v>2711325840.6099963</x:v>
      </x:c>
      <x:c r="V996" s="2" t="str">
        <x:v>Area equivalent = model2020 * source volume / TEMPO2020 volume</x:v>
      </x:c>
      <x:c r="W996" s="2" t="str">
        <x:v>qualified_paired_native_source_frame</x:v>
      </x:c>
      <x:c r="X996" s="2" t="str">
        <x:v>https://human-settlement.emergency.copernicus.eu/ghs_buV2023.php</x:v>
      </x:c>
    </x:row>
    <x:row r="997" ht="23" customHeight="1">
      <x:c r="A997" s="2" t="str">
        <x:v>ZMB</x:v>
      </x:c>
      <x:c r="B997" s="2" t="str">
        <x:v>Zambia (Republic of)</x:v>
      </x:c>
      <x:c r="C997" s="2" t="n">
        <x:v>2015</x:v>
      </x:c>
      <x:c r="D997" s="2" t="str">
        <x:v>GHSL_VOLUME</x:v>
      </x:c>
      <x:c r="E997" s="17" t="n">
        <x:v>347701586.48264974</x:v>
      </x:c>
      <x:c r="F997" s="17" t="n">
        <x:f>IF(AND(M997,ISNUMBER(R997)),IF(D997="TEMPO_PROXY",R997,IF(AND(ISNUMBER(S997),S997&gt;0,ISNUMBER(U997)),U997*R997/S997,"n.a.")),"n.a.")</x:f>
        <x:v>2247858408.7631993</x:v>
      </x:c>
      <x:c r="G997" s="17" t="n">
        <x:f>IF(AND(ISNUMBER(E997),ISNUMBER(F997)),E997-F997,"n.a.")</x:f>
        <x:v>-1900156822.2805495</x:v>
      </x:c>
      <x:c r="H997" s="15" t="n">
        <x:f>IF(AND(ISNUMBER(E997),ISNUMBER(F997),F997&gt;0),(E997-F997)/F997,"n.a.")</x:f>
        <x:v>-0.8453187330985141</x:v>
      </x:c>
      <x:c r="I997" s="19" t="n">
        <x:f>IF(ISNUMBER(H997),ABS(H997),"n.a.")</x:f>
        <x:v>0.8453187330985141</x:v>
      </x:c>
      <x:c r="J997" s="2" t="str">
        <x:v>available</x:v>
      </x:c>
      <x:c r="K997" s="2" t="n">
        <x:v>1</x:v>
      </x:c>
      <x:c r="L997" s="13" t="b">
        <x:v>0</x:v>
      </x:c>
      <x:c r="M997" s="13" t="b">
        <x:v>1</x:v>
      </x:c>
      <x:c r="N997" s="2" t="str">
        <x:v>modeled_epoch_volume_with_fixed2018_height_and_predominant_use</x:v>
      </x:c>
      <x:c r="O997" s="2" t="str"/>
      <x:c r="P997" s="2" t="str">
        <x:v>built-up volume</x:v>
      </x:c>
      <x:c r="Q997" s="2" t="str">
        <x:v>m3</x:v>
      </x:c>
      <x:c r="R997" s="17" t="n">
        <x:v>4633291765.701961</x:v>
      </x:c>
      <x:c r="S997" s="17" t="n">
        <x:v>817672593.02</x:v>
      </x:c>
      <x:c r="T997" s="18" t="n">
        <x:v>0.48515364937796895</x:v>
      </x:c>
      <x:c r="U997" s="17" t="n">
        <x:v>396696842.49999976</x:v>
      </x:c>
      <x:c r="V997" s="2" t="str">
        <x:v>Area equivalent = model2020 * source volume / TEMPO2020 volume</x:v>
      </x:c>
      <x:c r="W997" s="2" t="str">
        <x:v>qualified_paired_native_source_frame</x:v>
      </x:c>
      <x:c r="X997" s="2" t="str">
        <x:v>https://human-settlement.emergency.copernicus.eu/ghs_buV2023.php</x:v>
      </x:c>
    </x:row>
    <x:row r="998" ht="23" customHeight="1">
      <x:c r="A998" s="2" t="str">
        <x:v>ZWE</x:v>
      </x:c>
      <x:c r="B998" s="2" t="str">
        <x:v>Zimbabwe (Republic of)</x:v>
      </x:c>
      <x:c r="C998" s="2" t="n">
        <x:v>2015</x:v>
      </x:c>
      <x:c r="D998" s="2" t="str">
        <x:v>GHSL_VOLUME</x:v>
      </x:c>
      <x:c r="E998" s="17" t="n">
        <x:v>286327064.77887195</x:v>
      </x:c>
      <x:c r="F998" s="17" t="n">
        <x:f>IF(AND(M998,ISNUMBER(R998)),IF(D998="TEMPO_PROXY",R998,IF(AND(ISNUMBER(S998),S998&gt;0,ISNUMBER(U998)),U998*R998/S998,"n.a.")),"n.a.")</x:f>
        <x:v>1693540710.0376322</x:v>
      </x:c>
      <x:c r="G998" s="17" t="n">
        <x:f>IF(AND(ISNUMBER(E998),ISNUMBER(F998)),E998-F998,"n.a.")</x:f>
        <x:v>-1407213645.2587602</x:v>
      </x:c>
      <x:c r="H998" s="15" t="n">
        <x:f>IF(AND(ISNUMBER(E998),ISNUMBER(F998),F998&gt;0),(E998-F998)/F998,"n.a.")</x:f>
        <x:v>-0.8309299191440698</x:v>
      </x:c>
      <x:c r="I998" s="19" t="n">
        <x:f>IF(ISNUMBER(H998),ABS(H998),"n.a.")</x:f>
        <x:v>0.8309299191440698</x:v>
      </x:c>
      <x:c r="J998" s="2" t="str">
        <x:v>available</x:v>
      </x:c>
      <x:c r="K998" s="2" t="n">
        <x:v>1</x:v>
      </x:c>
      <x:c r="L998" s="13" t="b">
        <x:v>0</x:v>
      </x:c>
      <x:c r="M998" s="13" t="b">
        <x:v>1</x:v>
      </x:c>
      <x:c r="N998" s="2" t="str">
        <x:v>modeled_epoch_volume_with_fixed2018_height_and_predominant_use</x:v>
      </x:c>
      <x:c r="O998" s="2" t="str"/>
      <x:c r="P998" s="2" t="str">
        <x:v>built-up volume</x:v>
      </x:c>
      <x:c r="Q998" s="2" t="str">
        <x:v>m3</x:v>
      </x:c>
      <x:c r="R998" s="17" t="n">
        <x:v>3115893654.8392153</x:v>
      </x:c>
      <x:c r="S998" s="17" t="n">
        <x:v>773528571.44</x:v>
      </x:c>
      <x:c r="T998" s="18" t="n">
        <x:v>0.5435168518692662</x:v>
      </x:c>
      <x:c r="U998" s="17" t="n">
        <x:v>420425813.9799996</x:v>
      </x:c>
      <x:c r="V998" s="2" t="str">
        <x:v>Area equivalent = model2020 * source volume / TEMPO2020 volume</x:v>
      </x:c>
      <x:c r="W998" s="2" t="str">
        <x:v>qualified_paired_native_source_frame</x:v>
      </x:c>
      <x:c r="X998" s="2" t="str">
        <x:v>https://human-settlement.emergency.copernicus.eu/ghs_buV2023.php</x:v>
      </x:c>
    </x:row>
    <x:row r="999" ht="23" customHeight="1">
      <x:c r="A999" s="2" t="str">
        <x:v>AFG</x:v>
      </x:c>
      <x:c r="B999" s="2" t="str">
        <x:v>Afghanistan (Islamic Republic of)</x:v>
      </x:c>
      <x:c r="C999" s="2" t="n">
        <x:v>2020</x:v>
      </x:c>
      <x:c r="D999" s="2" t="str">
        <x:v>GHSL_VOLUME</x:v>
      </x:c>
      <x:c r="E999" s="17" t="n">
        <x:v>853208432.4500008</x:v>
      </x:c>
      <x:c r="F999" s="17" t="n">
        <x:f>IF(AND(M999,ISNUMBER(R999)),IF(D999="TEMPO_PROXY",R999,IF(AND(ISNUMBER(S999),S999&gt;0,ISNUMBER(U999)),U999*R999/S999,"n.a.")),"n.a.")</x:f>
        <x:v>1086378945.2535052</x:v>
      </x:c>
      <x:c r="G999" s="17" t="n">
        <x:f>IF(AND(ISNUMBER(E999),ISNUMBER(F999)),E999-F999,"n.a.")</x:f>
        <x:v>-233170512.80350447</x:v>
      </x:c>
      <x:c r="H999" s="15" t="n">
        <x:f>IF(AND(ISNUMBER(E999),ISNUMBER(F999),F999&gt;0),(E999-F999)/F999,"n.a.")</x:f>
        <x:v>-0.21463092029005992</x:v>
      </x:c>
      <x:c r="I999" s="19" t="n">
        <x:f>IF(ISNUMBER(H999),ABS(H999),"n.a.")</x:f>
        <x:v>0.21463092029005992</x:v>
      </x:c>
      <x:c r="J999" s="2" t="str">
        <x:v>available</x:v>
      </x:c>
      <x:c r="K999" s="2" t="n">
        <x:v>1</x:v>
      </x:c>
      <x:c r="L999" s="13" t="b">
        <x:v>0</x:v>
      </x:c>
      <x:c r="M999" s="13" t="b">
        <x:v>1</x:v>
      </x:c>
      <x:c r="N999" s="2" t="str">
        <x:v>modeled_epoch_volume_with_fixed2018_height_and_predominant_use</x:v>
      </x:c>
      <x:c r="O999" s="2" t="str"/>
      <x:c r="P999" s="2" t="str">
        <x:v>built-up volume</x:v>
      </x:c>
      <x:c r="Q999" s="2" t="str">
        <x:v>m3</x:v>
      </x:c>
      <x:c r="R999" s="17" t="n">
        <x:v>2429155175.9137254</x:v>
      </x:c>
      <x:c r="S999" s="17" t="n">
        <x:v>1907783364.98</x:v>
      </x:c>
      <x:c r="T999" s="18" t="n">
        <x:v>0.4472250089354067</x:v>
      </x:c>
      <x:c r="U999" s="17" t="n">
        <x:v>853208432.4500008</x:v>
      </x:c>
      <x:c r="V999" s="2" t="str">
        <x:v>Area equivalent = model2020 * source volume / TEMPO2020 volume</x:v>
      </x:c>
      <x:c r="W999" s="2" t="str">
        <x:v>qualified_paired_native_source_frame</x:v>
      </x:c>
      <x:c r="X999" s="2" t="str">
        <x:v>https://human-settlement.emergency.copernicus.eu/ghs_buV2023.php</x:v>
      </x:c>
    </x:row>
    <x:row r="1000" ht="23" customHeight="1">
      <x:c r="A1000" s="2" t="str">
        <x:v>AGO</x:v>
      </x:c>
      <x:c r="B1000" s="2" t="str">
        <x:v>Angola (Republic of)</x:v>
      </x:c>
      <x:c r="C1000" s="2" t="n">
        <x:v>2020</x:v>
      </x:c>
      <x:c r="D1000" s="2" t="str">
        <x:v>GHSL_VOLUME</x:v>
      </x:c>
      <x:c r="E1000" s="17" t="n">
        <x:v>512504617.85999936</x:v>
      </x:c>
      <x:c r="F1000" s="17" t="n">
        <x:f>IF(AND(M1000,ISNUMBER(R1000)),IF(D1000="TEMPO_PROXY",R1000,IF(AND(ISNUMBER(S1000),S1000&gt;0,ISNUMBER(U1000)),U1000*R1000/S1000,"n.a.")),"n.a.")</x:f>
        <x:v>2561328652.680561</x:v>
      </x:c>
      <x:c r="G1000" s="17" t="n">
        <x:f>IF(AND(ISNUMBER(E1000),ISNUMBER(F1000)),E1000-F1000,"n.a.")</x:f>
        <x:v>-2048824034.8205616</x:v>
      </x:c>
      <x:c r="H1000" s="15" t="n">
        <x:f>IF(AND(ISNUMBER(E1000),ISNUMBER(F1000),F1000&gt;0),(E1000-F1000)/F1000,"n.a.")</x:f>
        <x:v>-0.7999067330451182</x:v>
      </x:c>
      <x:c r="I1000" s="19" t="n">
        <x:f>IF(ISNUMBER(H1000),ABS(H1000),"n.a.")</x:f>
        <x:v>0.7999067330451182</x:v>
      </x:c>
      <x:c r="J1000" s="2" t="str">
        <x:v>available</x:v>
      </x:c>
      <x:c r="K1000" s="2" t="n">
        <x:v>1</x:v>
      </x:c>
      <x:c r="L1000" s="13" t="b">
        <x:v>0</x:v>
      </x:c>
      <x:c r="M1000" s="13" t="b">
        <x:v>1</x:v>
      </x:c>
      <x:c r="N1000" s="2" t="str">
        <x:v>modeled_epoch_volume_with_fixed2018_height_and_predominant_use</x:v>
      </x:c>
      <x:c r="O1000" s="2" t="str"/>
      <x:c r="P1000" s="2" t="str">
        <x:v>built-up volume</x:v>
      </x:c>
      <x:c r="Q1000" s="2" t="str">
        <x:v>m3</x:v>
      </x:c>
      <x:c r="R1000" s="17" t="n">
        <x:v>6250586665.427452</x:v>
      </x:c>
      <x:c r="S1000" s="17" t="n">
        <x:v>1250700306.27</x:v>
      </x:c>
      <x:c r="T1000" s="18" t="n">
        <x:v>0.40977412037937117</x:v>
      </x:c>
      <x:c r="U1000" s="17" t="n">
        <x:v>512504617.85999936</x:v>
      </x:c>
      <x:c r="V1000" s="2" t="str">
        <x:v>Area equivalent = model2020 * source volume / TEMPO2020 volume</x:v>
      </x:c>
      <x:c r="W1000" s="2" t="str">
        <x:v>qualified_paired_native_source_frame</x:v>
      </x:c>
      <x:c r="X1000" s="2" t="str">
        <x:v>https://human-settlement.emergency.copernicus.eu/ghs_buV2023.php</x:v>
      </x:c>
    </x:row>
    <x:row r="1001" ht="23" customHeight="1">
      <x:c r="A1001" s="2" t="str">
        <x:v>ALB</x:v>
      </x:c>
      <x:c r="B1001" s="2" t="str">
        <x:v>Albania (Republic of)</x:v>
      </x:c>
      <x:c r="C1001" s="2" t="n">
        <x:v>2020</x:v>
      </x:c>
      <x:c r="D1001" s="2" t="str">
        <x:v>GHSL_VOLUME</x:v>
      </x:c>
      <x:c r="E1001" s="17" t="n">
        <x:v>161276383.52000022</x:v>
      </x:c>
      <x:c r="F1001" s="17" t="n">
        <x:f>IF(AND(M1001,ISNUMBER(R1001)),IF(D1001="TEMPO_PROXY",R1001,IF(AND(ISNUMBER(S1001),S1001&gt;0,ISNUMBER(U1001)),U1001*R1001/S1001,"n.a.")),"n.a.")</x:f>
        <x:v>351677245.9040866</x:v>
      </x:c>
      <x:c r="G1001" s="17" t="n">
        <x:f>IF(AND(ISNUMBER(E1001),ISNUMBER(F1001)),E1001-F1001,"n.a.")</x:f>
        <x:v>-190400862.38408637</x:v>
      </x:c>
      <x:c r="H1001" s="15" t="n">
        <x:f>IF(AND(ISNUMBER(E1001),ISNUMBER(F1001),F1001&gt;0),(E1001-F1001)/F1001,"n.a.")</x:f>
        <x:v>-0.5414079659734786</x:v>
      </x:c>
      <x:c r="I1001" s="19" t="n">
        <x:f>IF(ISNUMBER(H1001),ABS(H1001),"n.a.")</x:f>
        <x:v>0.5414079659734786</x:v>
      </x:c>
      <x:c r="J1001" s="2" t="str">
        <x:v>available</x:v>
      </x:c>
      <x:c r="K1001" s="2" t="n">
        <x:v>1</x:v>
      </x:c>
      <x:c r="L1001" s="13" t="b">
        <x:v>0</x:v>
      </x:c>
      <x:c r="M1001" s="13" t="b">
        <x:v>1</x:v>
      </x:c>
      <x:c r="N1001" s="2" t="str">
        <x:v>modeled_epoch_volume_with_fixed2018_height_and_predominant_use</x:v>
      </x:c>
      <x:c r="O1001" s="2" t="str"/>
      <x:c r="P1001" s="2" t="str">
        <x:v>built-up volume</x:v>
      </x:c>
      <x:c r="Q1001" s="2" t="str">
        <x:v>m3</x:v>
      </x:c>
      <x:c r="R1001" s="17" t="n">
        <x:v>1003808049.2549018</x:v>
      </x:c>
      <x:c r="S1001" s="17" t="n">
        <x:v>460338375.08</x:v>
      </x:c>
      <x:c r="T1001" s="18" t="n">
        <x:v>0.3503431220392451</x:v>
      </x:c>
      <x:c r="U1001" s="17" t="n">
        <x:v>161276383.52000022</x:v>
      </x:c>
      <x:c r="V1001" s="2" t="str">
        <x:v>Area equivalent = model2020 * source volume / TEMPO2020 volume</x:v>
      </x:c>
      <x:c r="W1001" s="2" t="str">
        <x:v>qualified_paired_native_source_frame</x:v>
      </x:c>
      <x:c r="X1001" s="2" t="str">
        <x:v>https://human-settlement.emergency.copernicus.eu/ghs_buV2023.php</x:v>
      </x:c>
    </x:row>
    <x:row r="1002" ht="23" customHeight="1">
      <x:c r="A1002" s="2" t="str">
        <x:v>AND</x:v>
      </x:c>
      <x:c r="B1002" s="2" t="str">
        <x:v>Andorra (Principality of)</x:v>
      </x:c>
      <x:c r="C1002" s="2" t="n">
        <x:v>2020</x:v>
      </x:c>
      <x:c r="D1002" s="2" t="str">
        <x:v>GHSL_VOLUME</x:v>
      </x:c>
      <x:c r="E1002" s="17" t="n">
        <x:v>2995448.5899999994</x:v>
      </x:c>
      <x:c r="F1002" s="17" t="n">
        <x:f>IF(AND(M1002,ISNUMBER(R1002)),IF(D1002="TEMPO_PROXY",R1002,IF(AND(ISNUMBER(S1002),S1002&gt;0,ISNUMBER(U1002)),U1002*R1002/S1002,"n.a.")),"n.a.")</x:f>
        <x:v>2618516.3960884293</x:v>
      </x:c>
      <x:c r="G1002" s="17" t="n">
        <x:f>IF(AND(ISNUMBER(E1002),ISNUMBER(F1002)),E1002-F1002,"n.a.")</x:f>
        <x:v>376932.1939115701</x:v>
      </x:c>
      <x:c r="H1002" s="15" t="n">
        <x:f>IF(AND(ISNUMBER(E1002),ISNUMBER(F1002),F1002&gt;0),(E1002-F1002)/F1002,"n.a.")</x:f>
        <x:v>0.1439487621596091</x:v>
      </x:c>
      <x:c r="I1002" s="19" t="n">
        <x:f>IF(ISNUMBER(H1002),ABS(H1002),"n.a.")</x:f>
        <x:v>0.1439487621596091</x:v>
      </x:c>
      <x:c r="J1002" s="2" t="str">
        <x:v>available</x:v>
      </x:c>
      <x:c r="K1002" s="2" t="n">
        <x:v>1</x:v>
      </x:c>
      <x:c r="L1002" s="13" t="b">
        <x:v>0</x:v>
      </x:c>
      <x:c r="M1002" s="13" t="b">
        <x:v>1</x:v>
      </x:c>
      <x:c r="N1002" s="2" t="str">
        <x:v>modeled_epoch_volume_with_fixed2018_height_and_predominant_use</x:v>
      </x:c>
      <x:c r="O1002" s="2" t="str"/>
      <x:c r="P1002" s="2" t="str">
        <x:v>built-up volume</x:v>
      </x:c>
      <x:c r="Q1002" s="2" t="str">
        <x:v>m3</x:v>
      </x:c>
      <x:c r="R1002" s="17" t="n">
        <x:v>9953581.564705884</x:v>
      </x:c>
      <x:c r="S1002" s="17" t="n">
        <x:v>11386387.31</x:v>
      </x:c>
      <x:c r="T1002" s="18" t="n">
        <x:v>0.26307278230113174</x:v>
      </x:c>
      <x:c r="U1002" s="17" t="n">
        <x:v>2995448.5899999994</x:v>
      </x:c>
      <x:c r="V1002" s="2" t="str">
        <x:v>Area equivalent = model2020 * source volume / TEMPO2020 volume</x:v>
      </x:c>
      <x:c r="W1002" s="2" t="str">
        <x:v>qualified_paired_native_source_frame</x:v>
      </x:c>
      <x:c r="X1002" s="2" t="str">
        <x:v>https://human-settlement.emergency.copernicus.eu/ghs_buV2023.php</x:v>
      </x:c>
    </x:row>
    <x:row r="1003" ht="23" customHeight="1">
      <x:c r="A1003" s="2" t="str">
        <x:v>ARE</x:v>
      </x:c>
      <x:c r="B1003" s="2" t="str">
        <x:v>United Arab Emirates</x:v>
      </x:c>
      <x:c r="C1003" s="2" t="n">
        <x:v>2020</x:v>
      </x:c>
      <x:c r="D1003" s="2" t="str">
        <x:v>GHSL_VOLUME</x:v>
      </x:c>
      <x:c r="E1003" s="17" t="n">
        <x:v>511804054.8699995</x:v>
      </x:c>
      <x:c r="F1003" s="17" t="n">
        <x:f>IF(AND(M1003,ISNUMBER(R1003)),IF(D1003="TEMPO_PROXY",R1003,IF(AND(ISNUMBER(S1003),S1003&gt;0,ISNUMBER(U1003)),U1003*R1003/S1003,"n.a.")),"n.a.")</x:f>
        <x:v>1353234097.557745</x:v>
      </x:c>
      <x:c r="G1003" s="17" t="n">
        <x:f>IF(AND(ISNUMBER(E1003),ISNUMBER(F1003)),E1003-F1003,"n.a.")</x:f>
        <x:v>-841430042.6877455</x:v>
      </x:c>
      <x:c r="H1003" s="15" t="n">
        <x:f>IF(AND(ISNUMBER(E1003),ISNUMBER(F1003),F1003&gt;0),(E1003-F1003)/F1003,"n.a.")</x:f>
        <x:v>-0.6217919310534075</x:v>
      </x:c>
      <x:c r="I1003" s="19" t="n">
        <x:f>IF(ISNUMBER(H1003),ABS(H1003),"n.a.")</x:f>
        <x:v>0.6217919310534075</x:v>
      </x:c>
      <x:c r="J1003" s="2" t="str">
        <x:v>available</x:v>
      </x:c>
      <x:c r="K1003" s="2" t="n">
        <x:v>1</x:v>
      </x:c>
      <x:c r="L1003" s="13" t="b">
        <x:v>0</x:v>
      </x:c>
      <x:c r="M1003" s="13" t="b">
        <x:v>1</x:v>
      </x:c>
      <x:c r="N1003" s="2" t="str">
        <x:v>modeled_epoch_volume_with_fixed2018_height_and_predominant_use</x:v>
      </x:c>
      <x:c r="O1003" s="2" t="str"/>
      <x:c r="P1003" s="2" t="str">
        <x:v>built-up volume</x:v>
      </x:c>
      <x:c r="Q1003" s="2" t="str">
        <x:v>m3</x:v>
      </x:c>
      <x:c r="R1003" s="17" t="n">
        <x:v>4807064616.082353</x:v>
      </x:c>
      <x:c r="S1003" s="17" t="n">
        <x:v>1818070625.75</x:v>
      </x:c>
      <x:c r="T1003" s="18" t="n">
        <x:v>0.2815094461244416</x:v>
      </x:c>
      <x:c r="U1003" s="17" t="n">
        <x:v>511804054.8699995</x:v>
      </x:c>
      <x:c r="V1003" s="2" t="str">
        <x:v>Area equivalent = model2020 * source volume / TEMPO2020 volume</x:v>
      </x:c>
      <x:c r="W1003" s="2" t="str">
        <x:v>qualified_paired_native_source_frame</x:v>
      </x:c>
      <x:c r="X1003" s="2" t="str">
        <x:v>https://human-settlement.emergency.copernicus.eu/ghs_buV2023.php</x:v>
      </x:c>
    </x:row>
    <x:row r="1004" ht="23" customHeight="1">
      <x:c r="A1004" s="2" t="str">
        <x:v>ARG</x:v>
      </x:c>
      <x:c r="B1004" s="2" t="str">
        <x:v>Argentina (Argentine Republic)</x:v>
      </x:c>
      <x:c r="C1004" s="2" t="n">
        <x:v>2020</x:v>
      </x:c>
      <x:c r="D1004" s="2" t="str">
        <x:v>GHSL_VOLUME</x:v>
      </x:c>
      <x:c r="E1004" s="17" t="n">
        <x:v>2382940448.399998</x:v>
      </x:c>
      <x:c r="F1004" s="17" t="n">
        <x:f>IF(AND(M1004,ISNUMBER(R1004)),IF(D1004="TEMPO_PROXY",R1004,IF(AND(ISNUMBER(S1004),S1004&gt;0,ISNUMBER(U1004)),U1004*R1004/S1004,"n.a.")),"n.a.")</x:f>
        <x:v>7932581617.620973</x:v>
      </x:c>
      <x:c r="G1004" s="17" t="n">
        <x:f>IF(AND(ISNUMBER(E1004),ISNUMBER(F1004)),E1004-F1004,"n.a.")</x:f>
        <x:v>-5549641169.220974</x:v>
      </x:c>
      <x:c r="H1004" s="15" t="n">
        <x:f>IF(AND(ISNUMBER(E1004),ISNUMBER(F1004),F1004&gt;0),(E1004-F1004)/F1004,"n.a.")</x:f>
        <x:v>-0.6996008912020931</x:v>
      </x:c>
      <x:c r="I1004" s="19" t="n">
        <x:f>IF(ISNUMBER(H1004),ABS(H1004),"n.a.")</x:f>
        <x:v>0.6996008912020931</x:v>
      </x:c>
      <x:c r="J1004" s="2" t="str">
        <x:v>available</x:v>
      </x:c>
      <x:c r="K1004" s="2" t="n">
        <x:v>1</x:v>
      </x:c>
      <x:c r="L1004" s="13" t="b">
        <x:v>0</x:v>
      </x:c>
      <x:c r="M1004" s="13" t="b">
        <x:v>1</x:v>
      </x:c>
      <x:c r="N1004" s="2" t="str">
        <x:v>modeled_epoch_volume_with_fixed2018_height_and_predominant_use</x:v>
      </x:c>
      <x:c r="O1004" s="2" t="str"/>
      <x:c r="P1004" s="2" t="str">
        <x:v>built-up volume</x:v>
      </x:c>
      <x:c r="Q1004" s="2" t="str">
        <x:v>m3</x:v>
      </x:c>
      <x:c r="R1004" s="17" t="n">
        <x:v>23067963593.600002</x:v>
      </x:c>
      <x:c r="S1004" s="17" t="n">
        <x:v>6929595705.3</x:v>
      </x:c>
      <x:c r="T1004" s="18" t="n">
        <x:v>0.34387871237241746</x:v>
      </x:c>
      <x:c r="U1004" s="17" t="n">
        <x:v>2382940448.399998</x:v>
      </x:c>
      <x:c r="V1004" s="2" t="str">
        <x:v>Area equivalent = model2020 * source volume / TEMPO2020 volume</x:v>
      </x:c>
      <x:c r="W1004" s="2" t="str">
        <x:v>qualified_paired_native_source_frame</x:v>
      </x:c>
      <x:c r="X1004" s="2" t="str">
        <x:v>https://human-settlement.emergency.copernicus.eu/ghs_buV2023.php</x:v>
      </x:c>
    </x:row>
    <x:row r="1005" ht="23" customHeight="1">
      <x:c r="A1005" s="2" t="str">
        <x:v>ARM</x:v>
      </x:c>
      <x:c r="B1005" s="2" t="str">
        <x:v>Armenia (Republic of)</x:v>
      </x:c>
      <x:c r="C1005" s="2" t="n">
        <x:v>2020</x:v>
      </x:c>
      <x:c r="D1005" s="2" t="str">
        <x:v>GHSL_VOLUME</x:v>
      </x:c>
      <x:c r="E1005" s="17" t="n">
        <x:v>142786500.21000025</x:v>
      </x:c>
      <x:c r="F1005" s="17" t="n">
        <x:f>IF(AND(M1005,ISNUMBER(R1005)),IF(D1005="TEMPO_PROXY",R1005,IF(AND(ISNUMBER(S1005),S1005&gt;0,ISNUMBER(U1005)),U1005*R1005/S1005,"n.a.")),"n.a.")</x:f>
        <x:v>503912778.85882175</x:v>
      </x:c>
      <x:c r="G1005" s="17" t="n">
        <x:f>IF(AND(ISNUMBER(E1005),ISNUMBER(F1005)),E1005-F1005,"n.a.")</x:f>
        <x:v>-361126278.6488215</x:v>
      </x:c>
      <x:c r="H1005" s="15" t="n">
        <x:f>IF(AND(ISNUMBER(E1005),ISNUMBER(F1005),F1005&gt;0),(E1005-F1005)/F1005,"n.a.")</x:f>
        <x:v>-0.7166444150645286</x:v>
      </x:c>
      <x:c r="I1005" s="19" t="n">
        <x:f>IF(ISNUMBER(H1005),ABS(H1005),"n.a.")</x:f>
        <x:v>0.7166444150645286</x:v>
      </x:c>
      <x:c r="J1005" s="2" t="str">
        <x:v>available</x:v>
      </x:c>
      <x:c r="K1005" s="2" t="n">
        <x:v>1</x:v>
      </x:c>
      <x:c r="L1005" s="13" t="b">
        <x:v>0</x:v>
      </x:c>
      <x:c r="M1005" s="13" t="b">
        <x:v>1</x:v>
      </x:c>
      <x:c r="N1005" s="2" t="str">
        <x:v>modeled_epoch_volume_with_fixed2018_height_and_predominant_use</x:v>
      </x:c>
      <x:c r="O1005" s="2" t="str"/>
      <x:c r="P1005" s="2" t="str">
        <x:v>built-up volume</x:v>
      </x:c>
      <x:c r="Q1005" s="2" t="str">
        <x:v>m3</x:v>
      </x:c>
      <x:c r="R1005" s="17" t="n">
        <x:v>1458584860.482353</x:v>
      </x:c>
      <x:c r="S1005" s="17" t="n">
        <x:v>413298166.32</x:v>
      </x:c>
      <x:c r="T1005" s="18" t="n">
        <x:v>0.3454806041879374</x:v>
      </x:c>
      <x:c r="U1005" s="17" t="n">
        <x:v>142786500.21000025</x:v>
      </x:c>
      <x:c r="V1005" s="2" t="str">
        <x:v>Area equivalent = model2020 * source volume / TEMPO2020 volume</x:v>
      </x:c>
      <x:c r="W1005" s="2" t="str">
        <x:v>qualified_paired_native_source_frame</x:v>
      </x:c>
      <x:c r="X1005" s="2" t="str">
        <x:v>https://human-settlement.emergency.copernicus.eu/ghs_buV2023.php</x:v>
      </x:c>
    </x:row>
    <x:row r="1006" ht="23" customHeight="1">
      <x:c r="A1006" s="2" t="str">
        <x:v>ATG</x:v>
      </x:c>
      <x:c r="B1006" s="2" t="str">
        <x:v>Antigua and Barbuda</x:v>
      </x:c>
      <x:c r="C1006" s="2" t="n">
        <x:v>2020</x:v>
      </x:c>
      <x:c r="D1006" s="2" t="str">
        <x:v>GHSL_VOLUME</x:v>
      </x:c>
      <x:c r="E1006" s="17" t="n">
        <x:v>7437404.659999999</x:v>
      </x:c>
      <x:c r="F1006" s="17" t="n">
        <x:f>IF(AND(M1006,ISNUMBER(R1006)),IF(D1006="TEMPO_PROXY",R1006,IF(AND(ISNUMBER(S1006),S1006&gt;0,ISNUMBER(U1006)),U1006*R1006/S1006,"n.a.")),"n.a.")</x:f>
        <x:v>25948333.76850055</x:v>
      </x:c>
      <x:c r="G1006" s="17" t="n">
        <x:f>IF(AND(ISNUMBER(E1006),ISNUMBER(F1006)),E1006-F1006,"n.a.")</x:f>
        <x:v>-18510929.10850055</x:v>
      </x:c>
      <x:c r="H1006" s="15" t="n">
        <x:f>IF(AND(ISNUMBER(E1006),ISNUMBER(F1006),F1006&gt;0),(E1006-F1006)/F1006,"n.a.")</x:f>
        <x:v>-0.7133764068878872</x:v>
      </x:c>
      <x:c r="I1006" s="19" t="n">
        <x:f>IF(ISNUMBER(H1006),ABS(H1006),"n.a.")</x:f>
        <x:v>0.7133764068878872</x:v>
      </x:c>
      <x:c r="J1006" s="2" t="str">
        <x:v>available</x:v>
      </x:c>
      <x:c r="K1006" s="2" t="n">
        <x:v>1</x:v>
      </x:c>
      <x:c r="L1006" s="13" t="b">
        <x:v>0</x:v>
      </x:c>
      <x:c r="M1006" s="13" t="b">
        <x:v>1</x:v>
      </x:c>
      <x:c r="N1006" s="2" t="str">
        <x:v>modeled_epoch_volume_with_fixed2018_height_and_predominant_use</x:v>
      </x:c>
      <x:c r="O1006" s="2" t="str"/>
      <x:c r="P1006" s="2" t="str">
        <x:v>built-up volume</x:v>
      </x:c>
      <x:c r="Q1006" s="2" t="str">
        <x:v>m3</x:v>
      </x:c>
      <x:c r="R1006" s="17" t="n">
        <x:v>60308483.89803922</x:v>
      </x:c>
      <x:c r="S1006" s="17" t="n">
        <x:v>17285834.35</x:v>
      </x:c>
      <x:c r="T1006" s="18" t="n">
        <x:v>0.43026009097443413</x:v>
      </x:c>
      <x:c r="U1006" s="17" t="n">
        <x:v>7437404.659999999</x:v>
      </x:c>
      <x:c r="V1006" s="2" t="str">
        <x:v>Area equivalent = model2020 * source volume / TEMPO2020 volume</x:v>
      </x:c>
      <x:c r="W1006" s="2" t="str">
        <x:v>qualified_paired_native_source_frame</x:v>
      </x:c>
      <x:c r="X1006" s="2" t="str">
        <x:v>https://human-settlement.emergency.copernicus.eu/ghs_buV2023.php</x:v>
      </x:c>
    </x:row>
    <x:row r="1007" ht="23" customHeight="1">
      <x:c r="A1007" s="2" t="str">
        <x:v>AUS</x:v>
      </x:c>
      <x:c r="B1007" s="2" t="str">
        <x:v>Australia (Commonwealth of)</x:v>
      </x:c>
      <x:c r="C1007" s="2" t="n">
        <x:v>2020</x:v>
      </x:c>
      <x:c r="D1007" s="2" t="str">
        <x:v>GHSL_VOLUME</x:v>
      </x:c>
      <x:c r="E1007" s="17" t="n">
        <x:v>3011161094.8599973</x:v>
      </x:c>
      <x:c r="F1007" s="17" t="n">
        <x:f>IF(AND(M1007,ISNUMBER(R1007)),IF(D1007="TEMPO_PROXY",R1007,IF(AND(ISNUMBER(S1007),S1007&gt;0,ISNUMBER(U1007)),U1007*R1007/S1007,"n.a.")),"n.a.")</x:f>
        <x:v>10305277458.936708</x:v>
      </x:c>
      <x:c r="G1007" s="17" t="n">
        <x:f>IF(AND(ISNUMBER(E1007),ISNUMBER(F1007)),E1007-F1007,"n.a.")</x:f>
        <x:v>-7294116364.076712</x:v>
      </x:c>
      <x:c r="H1007" s="15" t="n">
        <x:f>IF(AND(ISNUMBER(E1007),ISNUMBER(F1007),F1007&gt;0),(E1007-F1007)/F1007,"n.a.")</x:f>
        <x:v>-0.7078039764714218</x:v>
      </x:c>
      <x:c r="I1007" s="19" t="n">
        <x:f>IF(ISNUMBER(H1007),ABS(H1007),"n.a.")</x:f>
        <x:v>0.7078039764714218</x:v>
      </x:c>
      <x:c r="J1007" s="2" t="str">
        <x:v>available</x:v>
      </x:c>
      <x:c r="K1007" s="2" t="n">
        <x:v>1</x:v>
      </x:c>
      <x:c r="L1007" s="13" t="b">
        <x:v>0</x:v>
      </x:c>
      <x:c r="M1007" s="13" t="b">
        <x:v>1</x:v>
      </x:c>
      <x:c r="N1007" s="2" t="str">
        <x:v>modeled_epoch_volume_with_fixed2018_height_and_predominant_use</x:v>
      </x:c>
      <x:c r="O1007" s="2" t="str"/>
      <x:c r="P1007" s="2" t="str">
        <x:v>built-up volume</x:v>
      </x:c>
      <x:c r="Q1007" s="2" t="str">
        <x:v>m3</x:v>
      </x:c>
      <x:c r="R1007" s="17" t="n">
        <x:v>29330885053.58039</x:v>
      </x:c>
      <x:c r="S1007" s="17" t="n">
        <x:v>8570367979.23</x:v>
      </x:c>
      <x:c r="T1007" s="18" t="n">
        <x:v>0.3513456017474915</x:v>
      </x:c>
      <x:c r="U1007" s="17" t="n">
        <x:v>3011161094.8599973</x:v>
      </x:c>
      <x:c r="V1007" s="2" t="str">
        <x:v>Area equivalent = model2020 * source volume / TEMPO2020 volume</x:v>
      </x:c>
      <x:c r="W1007" s="2" t="str">
        <x:v>qualified_paired_native_source_frame</x:v>
      </x:c>
      <x:c r="X1007" s="2" t="str">
        <x:v>https://human-settlement.emergency.copernicus.eu/ghs_buV2023.php</x:v>
      </x:c>
    </x:row>
    <x:row r="1008" ht="23" customHeight="1">
      <x:c r="A1008" s="2" t="str">
        <x:v>AUT</x:v>
      </x:c>
      <x:c r="B1008" s="2" t="str">
        <x:v>Austria (Republic of)</x:v>
      </x:c>
      <x:c r="C1008" s="2" t="n">
        <x:v>2020</x:v>
      </x:c>
      <x:c r="D1008" s="2" t="str">
        <x:v>GHSL_VOLUME</x:v>
      </x:c>
      <x:c r="E1008" s="17" t="n">
        <x:v>865496536.0700006</x:v>
      </x:c>
      <x:c r="F1008" s="17" t="n">
        <x:f>IF(AND(M1008,ISNUMBER(R1008)),IF(D1008="TEMPO_PROXY",R1008,IF(AND(ISNUMBER(S1008),S1008&gt;0,ISNUMBER(U1008)),U1008*R1008/S1008,"n.a.")),"n.a.")</x:f>
        <x:v>1480411248.9764628</x:v>
      </x:c>
      <x:c r="G1008" s="17" t="n">
        <x:f>IF(AND(ISNUMBER(E1008),ISNUMBER(F1008)),E1008-F1008,"n.a.")</x:f>
        <x:v>-614914712.9064622</x:v>
      </x:c>
      <x:c r="H1008" s="15" t="n">
        <x:f>IF(AND(ISNUMBER(E1008),ISNUMBER(F1008),F1008&gt;0),(E1008-F1008)/F1008,"n.a.")</x:f>
        <x:v>-0.4153674955736835</x:v>
      </x:c>
      <x:c r="I1008" s="19" t="n">
        <x:f>IF(ISNUMBER(H1008),ABS(H1008),"n.a.")</x:f>
        <x:v>0.4153674955736835</x:v>
      </x:c>
      <x:c r="J1008" s="2" t="str">
        <x:v>available</x:v>
      </x:c>
      <x:c r="K1008" s="2" t="n">
        <x:v>1</x:v>
      </x:c>
      <x:c r="L1008" s="13" t="b">
        <x:v>0</x:v>
      </x:c>
      <x:c r="M1008" s="13" t="b">
        <x:v>1</x:v>
      </x:c>
      <x:c r="N1008" s="2" t="str">
        <x:v>modeled_epoch_volume_with_fixed2018_height_and_predominant_use</x:v>
      </x:c>
      <x:c r="O1008" s="2" t="str"/>
      <x:c r="P1008" s="2" t="str">
        <x:v>built-up volume</x:v>
      </x:c>
      <x:c r="Q1008" s="2" t="str">
        <x:v>m3</x:v>
      </x:c>
      <x:c r="R1008" s="17" t="n">
        <x:v>5026438294.247058</x:v>
      </x:c>
      <x:c r="S1008" s="17" t="n">
        <x:v>2938619208.31</x:v>
      </x:c>
      <x:c r="T1008" s="18" t="n">
        <x:v>0.2945249025877523</x:v>
      </x:c>
      <x:c r="U1008" s="17" t="n">
        <x:v>865496536.0700006</x:v>
      </x:c>
      <x:c r="V1008" s="2" t="str">
        <x:v>Area equivalent = model2020 * source volume / TEMPO2020 volume</x:v>
      </x:c>
      <x:c r="W1008" s="2" t="str">
        <x:v>qualified_paired_native_source_frame</x:v>
      </x:c>
      <x:c r="X1008" s="2" t="str">
        <x:v>https://human-settlement.emergency.copernicus.eu/ghs_buV2023.php</x:v>
      </x:c>
    </x:row>
    <x:row r="1009" ht="23" customHeight="1">
      <x:c r="A1009" s="2" t="str">
        <x:v>AZE</x:v>
      </x:c>
      <x:c r="B1009" s="2" t="str">
        <x:v>Azerbaijan (Republic of)</x:v>
      </x:c>
      <x:c r="C1009" s="2" t="n">
        <x:v>2020</x:v>
      </x:c>
      <x:c r="D1009" s="2" t="str">
        <x:v>GHSL_VOLUME</x:v>
      </x:c>
      <x:c r="E1009" s="17" t="n">
        <x:v>507953272.9000006</x:v>
      </x:c>
      <x:c r="F1009" s="17" t="n">
        <x:f>IF(AND(M1009,ISNUMBER(R1009)),IF(D1009="TEMPO_PROXY",R1009,IF(AND(ISNUMBER(S1009),S1009&gt;0,ISNUMBER(U1009)),U1009*R1009/S1009,"n.a.")),"n.a.")</x:f>
        <x:v>1626816887.9841285</x:v>
      </x:c>
      <x:c r="G1009" s="17" t="n">
        <x:f>IF(AND(ISNUMBER(E1009),ISNUMBER(F1009)),E1009-F1009,"n.a.")</x:f>
        <x:v>-1118863615.084128</x:v>
      </x:c>
      <x:c r="H1009" s="15" t="n">
        <x:f>IF(AND(ISNUMBER(E1009),ISNUMBER(F1009),F1009&gt;0),(E1009-F1009)/F1009,"n.a.")</x:f>
        <x:v>-0.6877624785851398</x:v>
      </x:c>
      <x:c r="I1009" s="19" t="n">
        <x:f>IF(ISNUMBER(H1009),ABS(H1009),"n.a.")</x:f>
        <x:v>0.6877624785851398</x:v>
      </x:c>
      <x:c r="J1009" s="2" t="str">
        <x:v>available</x:v>
      </x:c>
      <x:c r="K1009" s="2" t="n">
        <x:v>1</x:v>
      </x:c>
      <x:c r="L1009" s="13" t="b">
        <x:v>0</x:v>
      </x:c>
      <x:c r="M1009" s="13" t="b">
        <x:v>1</x:v>
      </x:c>
      <x:c r="N1009" s="2" t="str">
        <x:v>modeled_epoch_volume_with_fixed2018_height_and_predominant_use</x:v>
      </x:c>
      <x:c r="O1009" s="2" t="str"/>
      <x:c r="P1009" s="2" t="str">
        <x:v>built-up volume</x:v>
      </x:c>
      <x:c r="Q1009" s="2" t="str">
        <x:v>m3</x:v>
      </x:c>
      <x:c r="R1009" s="17" t="n">
        <x:v>4537719466.929411</x:v>
      </x:c>
      <x:c r="S1009" s="17" t="n">
        <x:v>1416846279.23</x:v>
      </x:c>
      <x:c r="T1009" s="18" t="n">
        <x:v>0.35850979767265445</x:v>
      </x:c>
      <x:c r="U1009" s="17" t="n">
        <x:v>507953272.9000006</x:v>
      </x:c>
      <x:c r="V1009" s="2" t="str">
        <x:v>Area equivalent = model2020 * source volume / TEMPO2020 volume</x:v>
      </x:c>
      <x:c r="W1009" s="2" t="str">
        <x:v>qualified_paired_native_source_frame</x:v>
      </x:c>
      <x:c r="X1009" s="2" t="str">
        <x:v>https://human-settlement.emergency.copernicus.eu/ghs_buV2023.php</x:v>
      </x:c>
    </x:row>
    <x:row r="1010" ht="23" customHeight="1">
      <x:c r="A1010" s="2" t="str">
        <x:v>BDI</x:v>
      </x:c>
      <x:c r="B1010" s="2" t="str">
        <x:v>Burundi (Republic of)</x:v>
      </x:c>
      <x:c r="C1010" s="2" t="n">
        <x:v>2020</x:v>
      </x:c>
      <x:c r="D1010" s="2" t="str">
        <x:v>GHSL_VOLUME</x:v>
      </x:c>
      <x:c r="E1010" s="17" t="n">
        <x:v>147710691.6100001</x:v>
      </x:c>
      <x:c r="F1010" s="17" t="n">
        <x:f>IF(AND(M1010,ISNUMBER(R1010)),IF(D1010="TEMPO_PROXY",R1010,IF(AND(ISNUMBER(S1010),S1010&gt;0,ISNUMBER(U1010)),U1010*R1010/S1010,"n.a.")),"n.a.")</x:f>
        <x:v>769777991.9549277</x:v>
      </x:c>
      <x:c r="G1010" s="17" t="n">
        <x:f>IF(AND(ISNUMBER(E1010),ISNUMBER(F1010)),E1010-F1010,"n.a.")</x:f>
        <x:v>-622067300.3449275</x:v>
      </x:c>
      <x:c r="H1010" s="15" t="n">
        <x:f>IF(AND(ISNUMBER(E1010),ISNUMBER(F1010),F1010&gt;0),(E1010-F1010)/F1010,"n.a.")</x:f>
        <x:v>-0.8081126075910872</x:v>
      </x:c>
      <x:c r="I1010" s="19" t="n">
        <x:f>IF(ISNUMBER(H1010),ABS(H1010),"n.a.")</x:f>
        <x:v>0.8081126075910872</x:v>
      </x:c>
      <x:c r="J1010" s="2" t="str">
        <x:v>available</x:v>
      </x:c>
      <x:c r="K1010" s="2" t="n">
        <x:v>1</x:v>
      </x:c>
      <x:c r="L1010" s="13" t="b">
        <x:v>0</x:v>
      </x:c>
      <x:c r="M1010" s="13" t="b">
        <x:v>1</x:v>
      </x:c>
      <x:c r="N1010" s="2" t="str">
        <x:v>modeled_epoch_volume_with_fixed2018_height_and_predominant_use</x:v>
      </x:c>
      <x:c r="O1010" s="2" t="str"/>
      <x:c r="P1010" s="2" t="str">
        <x:v>built-up volume</x:v>
      </x:c>
      <x:c r="Q1010" s="2" t="str">
        <x:v>m3</x:v>
      </x:c>
      <x:c r="R1010" s="17" t="n">
        <x:v>1471076104.1999998</x:v>
      </x:c>
      <x:c r="S1010" s="17" t="n">
        <x:v>282280957.67</x:v>
      </x:c>
      <x:c r="T1010" s="18" t="n">
        <x:v>0.5232754374550513</x:v>
      </x:c>
      <x:c r="U1010" s="17" t="n">
        <x:v>147710691.6100001</x:v>
      </x:c>
      <x:c r="V1010" s="2" t="str">
        <x:v>Area equivalent = model2020 * source volume / TEMPO2020 volume</x:v>
      </x:c>
      <x:c r="W1010" s="2" t="str">
        <x:v>qualified_paired_native_source_frame</x:v>
      </x:c>
      <x:c r="X1010" s="2" t="str">
        <x:v>https://human-settlement.emergency.copernicus.eu/ghs_buV2023.php</x:v>
      </x:c>
    </x:row>
    <x:row r="1011" ht="23" customHeight="1">
      <x:c r="A1011" s="2" t="str">
        <x:v>BEL</x:v>
      </x:c>
      <x:c r="B1011" s="2" t="str">
        <x:v>Belgium (Kingdom of)</x:v>
      </x:c>
      <x:c r="C1011" s="2" t="n">
        <x:v>2020</x:v>
      </x:c>
      <x:c r="D1011" s="2" t="str">
        <x:v>GHSL_VOLUME</x:v>
      </x:c>
      <x:c r="E1011" s="17" t="n">
        <x:v>1079109698.0100002</x:v>
      </x:c>
      <x:c r="F1011" s="17" t="n">
        <x:f>IF(AND(M1011,ISNUMBER(R1011)),IF(D1011="TEMPO_PROXY",R1011,IF(AND(ISNUMBER(S1011),S1011&gt;0,ISNUMBER(U1011)),U1011*R1011/S1011,"n.a.")),"n.a.")</x:f>
        <x:v>2437263987.092854</x:v>
      </x:c>
      <x:c r="G1011" s="17" t="n">
        <x:f>IF(AND(ISNUMBER(E1011),ISNUMBER(F1011)),E1011-F1011,"n.a.")</x:f>
        <x:v>-1358154289.0828538</x:v>
      </x:c>
      <x:c r="H1011" s="15" t="n">
        <x:f>IF(AND(ISNUMBER(E1011),ISNUMBER(F1011),F1011&gt;0),(E1011-F1011)/F1011,"n.a.")</x:f>
        <x:v>-0.5572454589553295</x:v>
      </x:c>
      <x:c r="I1011" s="19" t="n">
        <x:f>IF(ISNUMBER(H1011),ABS(H1011),"n.a.")</x:f>
        <x:v>0.5572454589553295</x:v>
      </x:c>
      <x:c r="J1011" s="2" t="str">
        <x:v>available</x:v>
      </x:c>
      <x:c r="K1011" s="2" t="n">
        <x:v>1</x:v>
      </x:c>
      <x:c r="L1011" s="13" t="b">
        <x:v>0</x:v>
      </x:c>
      <x:c r="M1011" s="13" t="b">
        <x:v>1</x:v>
      </x:c>
      <x:c r="N1011" s="2" t="str">
        <x:v>modeled_epoch_volume_with_fixed2018_height_and_predominant_use</x:v>
      </x:c>
      <x:c r="O1011" s="2" t="str"/>
      <x:c r="P1011" s="2" t="str">
        <x:v>built-up volume</x:v>
      </x:c>
      <x:c r="Q1011" s="2" t="str">
        <x:v>m3</x:v>
      </x:c>
      <x:c r="R1011" s="17" t="n">
        <x:v>8706097543.313723</x:v>
      </x:c>
      <x:c r="S1011" s="17" t="n">
        <x:v>3854664222.08</x:v>
      </x:c>
      <x:c r="T1011" s="18" t="n">
        <x:v>0.2799490787884259</x:v>
      </x:c>
      <x:c r="U1011" s="17" t="n">
        <x:v>1079109698.0100002</x:v>
      </x:c>
      <x:c r="V1011" s="2" t="str">
        <x:v>Area equivalent = model2020 * source volume / TEMPO2020 volume</x:v>
      </x:c>
      <x:c r="W1011" s="2" t="str">
        <x:v>qualified_paired_native_source_frame</x:v>
      </x:c>
      <x:c r="X1011" s="2" t="str">
        <x:v>https://human-settlement.emergency.copernicus.eu/ghs_buV2023.php</x:v>
      </x:c>
    </x:row>
    <x:row r="1012" ht="23" customHeight="1">
      <x:c r="A1012" s="2" t="str">
        <x:v>BEN</x:v>
      </x:c>
      <x:c r="B1012" s="2" t="str">
        <x:v>Benin (Republic of)</x:v>
      </x:c>
      <x:c r="C1012" s="2" t="n">
        <x:v>2020</x:v>
      </x:c>
      <x:c r="D1012" s="2" t="str">
        <x:v>GHSL_VOLUME</x:v>
      </x:c>
      <x:c r="E1012" s="17" t="n">
        <x:v>302038367.25</x:v>
      </x:c>
      <x:c r="F1012" s="17" t="n">
        <x:f>IF(AND(M1012,ISNUMBER(R1012)),IF(D1012="TEMPO_PROXY",R1012,IF(AND(ISNUMBER(S1012),S1012&gt;0,ISNUMBER(U1012)),U1012*R1012/S1012,"n.a.")),"n.a.")</x:f>
        <x:v>1560466823.8935547</x:v>
      </x:c>
      <x:c r="G1012" s="17" t="n">
        <x:f>IF(AND(ISNUMBER(E1012),ISNUMBER(F1012)),E1012-F1012,"n.a.")</x:f>
        <x:v>-1258428456.6435547</x:v>
      </x:c>
      <x:c r="H1012" s="15" t="n">
        <x:f>IF(AND(ISNUMBER(E1012),ISNUMBER(F1012),F1012&gt;0),(E1012-F1012)/F1012,"n.a.")</x:f>
        <x:v>-0.8064435830193573</x:v>
      </x:c>
      <x:c r="I1012" s="19" t="n">
        <x:f>IF(ISNUMBER(H1012),ABS(H1012),"n.a.")</x:f>
        <x:v>0.8064435830193573</x:v>
      </x:c>
      <x:c r="J1012" s="2" t="str">
        <x:v>available</x:v>
      </x:c>
      <x:c r="K1012" s="2" t="n">
        <x:v>1</x:v>
      </x:c>
      <x:c r="L1012" s="13" t="b">
        <x:v>0</x:v>
      </x:c>
      <x:c r="M1012" s="13" t="b">
        <x:v>1</x:v>
      </x:c>
      <x:c r="N1012" s="2" t="str">
        <x:v>modeled_epoch_volume_with_fixed2018_height_and_predominant_use</x:v>
      </x:c>
      <x:c r="O1012" s="2" t="str"/>
      <x:c r="P1012" s="2" t="str">
        <x:v>built-up volume</x:v>
      </x:c>
      <x:c r="Q1012" s="2" t="str">
        <x:v>m3</x:v>
      </x:c>
      <x:c r="R1012" s="17" t="n">
        <x:v>3517665215.501961</x:v>
      </x:c>
      <x:c r="S1012" s="17" t="n">
        <x:v>680866675.25</x:v>
      </x:c>
      <x:c r="T1012" s="18" t="n">
        <x:v>0.44360868027370826</x:v>
      </x:c>
      <x:c r="U1012" s="17" t="n">
        <x:v>302038367.25</x:v>
      </x:c>
      <x:c r="V1012" s="2" t="str">
        <x:v>Area equivalent = model2020 * source volume / TEMPO2020 volume</x:v>
      </x:c>
      <x:c r="W1012" s="2" t="str">
        <x:v>qualified_paired_native_source_frame</x:v>
      </x:c>
      <x:c r="X1012" s="2" t="str">
        <x:v>https://human-settlement.emergency.copernicus.eu/ghs_buV2023.php</x:v>
      </x:c>
    </x:row>
    <x:row r="1013" ht="23" customHeight="1">
      <x:c r="A1013" s="2" t="str">
        <x:v>BFA</x:v>
      </x:c>
      <x:c r="B1013" s="2" t="str">
        <x:v>Burkina Faso</x:v>
      </x:c>
      <x:c r="C1013" s="2" t="n">
        <x:v>2020</x:v>
      </x:c>
      <x:c r="D1013" s="2" t="str">
        <x:v>GHSL_VOLUME</x:v>
      </x:c>
      <x:c r="E1013" s="17" t="n">
        <x:v>359180891.3500002</x:v>
      </x:c>
      <x:c r="F1013" s="17" t="n">
        <x:f>IF(AND(M1013,ISNUMBER(R1013)),IF(D1013="TEMPO_PROXY",R1013,IF(AND(ISNUMBER(S1013),S1013&gt;0,ISNUMBER(U1013)),U1013*R1013/S1013,"n.a.")),"n.a.")</x:f>
        <x:v>2332568323.7116246</x:v>
      </x:c>
      <x:c r="G1013" s="17" t="n">
        <x:f>IF(AND(ISNUMBER(E1013),ISNUMBER(F1013)),E1013-F1013,"n.a.")</x:f>
        <x:v>-1973387432.3616245</x:v>
      </x:c>
      <x:c r="H1013" s="15" t="n">
        <x:f>IF(AND(ISNUMBER(E1013),ISNUMBER(F1013),F1013&gt;0),(E1013-F1013)/F1013,"n.a.")</x:f>
        <x:v>-0.8460148465111346</x:v>
      </x:c>
      <x:c r="I1013" s="19" t="n">
        <x:f>IF(ISNUMBER(H1013),ABS(H1013),"n.a.")</x:f>
        <x:v>0.8460148465111346</x:v>
      </x:c>
      <x:c r="J1013" s="2" t="str">
        <x:v>available</x:v>
      </x:c>
      <x:c r="K1013" s="2" t="n">
        <x:v>1</x:v>
      </x:c>
      <x:c r="L1013" s="13" t="b">
        <x:v>0</x:v>
      </x:c>
      <x:c r="M1013" s="13" t="b">
        <x:v>1</x:v>
      </x:c>
      <x:c r="N1013" s="2" t="str">
        <x:v>modeled_epoch_volume_with_fixed2018_height_and_predominant_use</x:v>
      </x:c>
      <x:c r="O1013" s="2" t="str"/>
      <x:c r="P1013" s="2" t="str">
        <x:v>built-up volume</x:v>
      </x:c>
      <x:c r="Q1013" s="2" t="str">
        <x:v>m3</x:v>
      </x:c>
      <x:c r="R1013" s="17" t="n">
        <x:v>4680031727.552941</x:v>
      </x:c>
      <x:c r="S1013" s="17" t="n">
        <x:v>720655403.9</x:v>
      </x:c>
      <x:c r="T1013" s="18" t="n">
        <x:v>0.49840865607363305</x:v>
      </x:c>
      <x:c r="U1013" s="17" t="n">
        <x:v>359180891.3500002</x:v>
      </x:c>
      <x:c r="V1013" s="2" t="str">
        <x:v>Area equivalent = model2020 * source volume / TEMPO2020 volume</x:v>
      </x:c>
      <x:c r="W1013" s="2" t="str">
        <x:v>qualified_paired_native_source_frame</x:v>
      </x:c>
      <x:c r="X1013" s="2" t="str">
        <x:v>https://human-settlement.emergency.copernicus.eu/ghs_buV2023.php</x:v>
      </x:c>
    </x:row>
    <x:row r="1014" ht="23" customHeight="1">
      <x:c r="A1014" s="2" t="str">
        <x:v>BGD</x:v>
      </x:c>
      <x:c r="B1014" s="2" t="str">
        <x:v>Bangladesh (People's Republic of)</x:v>
      </x:c>
      <x:c r="C1014" s="2" t="n">
        <x:v>2020</x:v>
      </x:c>
      <x:c r="D1014" s="2" t="str">
        <x:v>GHSL_VOLUME</x:v>
      </x:c>
      <x:c r="E1014" s="17" t="n">
        <x:v>2430930564.5499988</x:v>
      </x:c>
      <x:c r="F1014" s="17" t="n">
        <x:f>IF(AND(M1014,ISNUMBER(R1014)),IF(D1014="TEMPO_PROXY",R1014,IF(AND(ISNUMBER(S1014),S1014&gt;0,ISNUMBER(U1014)),U1014*R1014/S1014,"n.a.")),"n.a.")</x:f>
        <x:v>3985332682.3585033</x:v>
      </x:c>
      <x:c r="G1014" s="17" t="n">
        <x:f>IF(AND(ISNUMBER(E1014),ISNUMBER(F1014)),E1014-F1014,"n.a.")</x:f>
        <x:v>-1554402117.8085046</x:v>
      </x:c>
      <x:c r="H1014" s="15" t="n">
        <x:f>IF(AND(ISNUMBER(E1014),ISNUMBER(F1014),F1014&gt;0),(E1014-F1014)/F1014,"n.a.")</x:f>
        <x:v>-0.39003070551405405</x:v>
      </x:c>
      <x:c r="I1014" s="19" t="n">
        <x:f>IF(ISNUMBER(H1014),ABS(H1014),"n.a.")</x:f>
        <x:v>0.39003070551405405</x:v>
      </x:c>
      <x:c r="J1014" s="2" t="str">
        <x:v>available</x:v>
      </x:c>
      <x:c r="K1014" s="2" t="n">
        <x:v>1</x:v>
      </x:c>
      <x:c r="L1014" s="13" t="b">
        <x:v>0</x:v>
      </x:c>
      <x:c r="M1014" s="13" t="b">
        <x:v>1</x:v>
      </x:c>
      <x:c r="N1014" s="2" t="str">
        <x:v>modeled_epoch_volume_with_fixed2018_height_and_predominant_use</x:v>
      </x:c>
      <x:c r="O1014" s="2" t="str"/>
      <x:c r="P1014" s="2" t="str">
        <x:v>built-up volume</x:v>
      </x:c>
      <x:c r="Q1014" s="2" t="str">
        <x:v>m3</x:v>
      </x:c>
      <x:c r="R1014" s="17" t="n">
        <x:v>9557537104.458824</x:v>
      </x:c>
      <x:c r="S1014" s="17" t="n">
        <x:v>5829804164.63</x:v>
      </x:c>
      <x:c r="T1014" s="18" t="n">
        <x:v>0.4169832289219414</x:v>
      </x:c>
      <x:c r="U1014" s="17" t="n">
        <x:v>2430930564.5499988</x:v>
      </x:c>
      <x:c r="V1014" s="2" t="str">
        <x:v>Area equivalent = model2020 * source volume / TEMPO2020 volume</x:v>
      </x:c>
      <x:c r="W1014" s="2" t="str">
        <x:v>qualified_paired_native_source_frame</x:v>
      </x:c>
      <x:c r="X1014" s="2" t="str">
        <x:v>https://human-settlement.emergency.copernicus.eu/ghs_buV2023.php</x:v>
      </x:c>
    </x:row>
    <x:row r="1015" ht="23" customHeight="1">
      <x:c r="A1015" s="2" t="str">
        <x:v>BGR</x:v>
      </x:c>
      <x:c r="B1015" s="2" t="str">
        <x:v>Bulgaria (Republic of)</x:v>
      </x:c>
      <x:c r="C1015" s="2" t="n">
        <x:v>2020</x:v>
      </x:c>
      <x:c r="D1015" s="2" t="str">
        <x:v>GHSL_VOLUME</x:v>
      </x:c>
      <x:c r="E1015" s="17" t="n">
        <x:v>543020803.5700008</x:v>
      </x:c>
      <x:c r="F1015" s="17" t="n">
        <x:f>IF(AND(M1015,ISNUMBER(R1015)),IF(D1015="TEMPO_PROXY",R1015,IF(AND(ISNUMBER(S1015),S1015&gt;0,ISNUMBER(U1015)),U1015*R1015/S1015,"n.a.")),"n.a.")</x:f>
        <x:v>1276736785.4630854</x:v>
      </x:c>
      <x:c r="G1015" s="17" t="n">
        <x:f>IF(AND(ISNUMBER(E1015),ISNUMBER(F1015)),E1015-F1015,"n.a.")</x:f>
        <x:v>-733715981.8930846</x:v>
      </x:c>
      <x:c r="H1015" s="15" t="n">
        <x:f>IF(AND(ISNUMBER(E1015),ISNUMBER(F1015),F1015&gt;0),(E1015-F1015)/F1015,"n.a.")</x:f>
        <x:v>-0.5746806939748026</x:v>
      </x:c>
      <x:c r="I1015" s="19" t="n">
        <x:f>IF(ISNUMBER(H1015),ABS(H1015),"n.a.")</x:f>
        <x:v>0.5746806939748026</x:v>
      </x:c>
      <x:c r="J1015" s="2" t="str">
        <x:v>available</x:v>
      </x:c>
      <x:c r="K1015" s="2" t="n">
        <x:v>1</x:v>
      </x:c>
      <x:c r="L1015" s="13" t="b">
        <x:v>0</x:v>
      </x:c>
      <x:c r="M1015" s="13" t="b">
        <x:v>1</x:v>
      </x:c>
      <x:c r="N1015" s="2" t="str">
        <x:v>modeled_epoch_volume_with_fixed2018_height_and_predominant_use</x:v>
      </x:c>
      <x:c r="O1015" s="2" t="str"/>
      <x:c r="P1015" s="2" t="str">
        <x:v>built-up volume</x:v>
      </x:c>
      <x:c r="Q1015" s="2" t="str">
        <x:v>m3</x:v>
      </x:c>
      <x:c r="R1015" s="17" t="n">
        <x:v>3936383210.7137256</x:v>
      </x:c>
      <x:c r="S1015" s="17" t="n">
        <x:v>1674219775.43</x:v>
      </x:c>
      <x:c r="T1015" s="18" t="n">
        <x:v>0.32434260515799573</x:v>
      </x:c>
      <x:c r="U1015" s="17" t="n">
        <x:v>543020803.5700008</x:v>
      </x:c>
      <x:c r="V1015" s="2" t="str">
        <x:v>Area equivalent = model2020 * source volume / TEMPO2020 volume</x:v>
      </x:c>
      <x:c r="W1015" s="2" t="str">
        <x:v>qualified_paired_native_source_frame</x:v>
      </x:c>
      <x:c r="X1015" s="2" t="str">
        <x:v>https://human-settlement.emergency.copernicus.eu/ghs_buV2023.php</x:v>
      </x:c>
    </x:row>
    <x:row r="1016" ht="23" customHeight="1">
      <x:c r="A1016" s="2" t="str">
        <x:v>BHR</x:v>
      </x:c>
      <x:c r="B1016" s="2" t="str">
        <x:v>Bahrain (Kingdom of)</x:v>
      </x:c>
      <x:c r="C1016" s="2" t="n">
        <x:v>2020</x:v>
      </x:c>
      <x:c r="D1016" s="2" t="str">
        <x:v>GHSL_VOLUME</x:v>
      </x:c>
      <x:c r="E1016" s="17" t="n">
        <x:v>63702858.11000008</x:v>
      </x:c>
      <x:c r="F1016" s="17" t="n">
        <x:f>IF(AND(M1016,ISNUMBER(R1016)),IF(D1016="TEMPO_PROXY",R1016,IF(AND(ISNUMBER(S1016),S1016&gt;0,ISNUMBER(U1016)),U1016*R1016/S1016,"n.a.")),"n.a.")</x:f>
        <x:v>174498629.09688044</x:v>
      </x:c>
      <x:c r="G1016" s="17" t="n">
        <x:f>IF(AND(ISNUMBER(E1016),ISNUMBER(F1016)),E1016-F1016,"n.a.")</x:f>
        <x:v>-110795770.98688036</x:v>
      </x:c>
      <x:c r="H1016" s="15" t="n">
        <x:f>IF(AND(ISNUMBER(E1016),ISNUMBER(F1016),F1016&gt;0),(E1016-F1016)/F1016,"n.a.")</x:f>
        <x:v>-0.6349377732094807</x:v>
      </x:c>
      <x:c r="I1016" s="19" t="n">
        <x:f>IF(ISNUMBER(H1016),ABS(H1016),"n.a.")</x:f>
        <x:v>0.6349377732094807</x:v>
      </x:c>
      <x:c r="J1016" s="2" t="str">
        <x:v>available</x:v>
      </x:c>
      <x:c r="K1016" s="2" t="n">
        <x:v>1</x:v>
      </x:c>
      <x:c r="L1016" s="13" t="b">
        <x:v>0</x:v>
      </x:c>
      <x:c r="M1016" s="13" t="b">
        <x:v>1</x:v>
      </x:c>
      <x:c r="N1016" s="2" t="str">
        <x:v>modeled_epoch_volume_with_fixed2018_height_and_predominant_use</x:v>
      </x:c>
      <x:c r="O1016" s="2" t="str"/>
      <x:c r="P1016" s="2" t="str">
        <x:v>built-up volume</x:v>
      </x:c>
      <x:c r="Q1016" s="2" t="str">
        <x:v>m3</x:v>
      </x:c>
      <x:c r="R1016" s="17" t="n">
        <x:v>638464925.5529416</x:v>
      </x:c>
      <x:c r="S1016" s="17" t="n">
        <x:v>233079427.45</x:v>
      </x:c>
      <x:c r="T1016" s="18" t="n">
        <x:v>0.27330965588400363</x:v>
      </x:c>
      <x:c r="U1016" s="17" t="n">
        <x:v>63702858.11000008</x:v>
      </x:c>
      <x:c r="V1016" s="2" t="str">
        <x:v>Area equivalent = model2020 * source volume / TEMPO2020 volume</x:v>
      </x:c>
      <x:c r="W1016" s="2" t="str">
        <x:v>qualified_paired_native_source_frame</x:v>
      </x:c>
      <x:c r="X1016" s="2" t="str">
        <x:v>https://human-settlement.emergency.copernicus.eu/ghs_buV2023.php</x:v>
      </x:c>
    </x:row>
    <x:row r="1017" ht="23" customHeight="1">
      <x:c r="A1017" s="2" t="str">
        <x:v>BHS</x:v>
      </x:c>
      <x:c r="B1017" s="2" t="str">
        <x:v>Bahamas (Commonwealth of the)</x:v>
      </x:c>
      <x:c r="C1017" s="2" t="n">
        <x:v>2020</x:v>
      </x:c>
      <x:c r="D1017" s="2" t="str">
        <x:v>GHSL_VOLUME</x:v>
      </x:c>
      <x:c r="E1017" s="17" t="n">
        <x:v>29184660.44999999</x:v>
      </x:c>
      <x:c r="F1017" s="17" t="n">
        <x:f>IF(AND(M1017,ISNUMBER(R1017)),IF(D1017="TEMPO_PROXY",R1017,IF(AND(ISNUMBER(S1017),S1017&gt;0,ISNUMBER(U1017)),U1017*R1017/S1017,"n.a.")),"n.a.")</x:f>
        <x:v>77752889.38429919</x:v>
      </x:c>
      <x:c r="G1017" s="17" t="n">
        <x:f>IF(AND(ISNUMBER(E1017),ISNUMBER(F1017)),E1017-F1017,"n.a.")</x:f>
        <x:v>-48568228.9342992</x:v>
      </x:c>
      <x:c r="H1017" s="15" t="n">
        <x:f>IF(AND(ISNUMBER(E1017),ISNUMBER(F1017),F1017&gt;0),(E1017-F1017)/F1017,"n.a.")</x:f>
        <x:v>-0.624648541281177</x:v>
      </x:c>
      <x:c r="I1017" s="19" t="n">
        <x:f>IF(ISNUMBER(H1017),ABS(H1017),"n.a.")</x:f>
        <x:v>0.624648541281177</x:v>
      </x:c>
      <x:c r="J1017" s="2" t="str">
        <x:v>available</x:v>
      </x:c>
      <x:c r="K1017" s="2" t="n">
        <x:v>1</x:v>
      </x:c>
      <x:c r="L1017" s="13" t="b">
        <x:v>0</x:v>
      </x:c>
      <x:c r="M1017" s="13" t="b">
        <x:v>1</x:v>
      </x:c>
      <x:c r="N1017" s="2" t="str">
        <x:v>modeled_epoch_volume_with_fixed2018_height_and_predominant_use</x:v>
      </x:c>
      <x:c r="O1017" s="2" t="str"/>
      <x:c r="P1017" s="2" t="str">
        <x:v>built-up volume</x:v>
      </x:c>
      <x:c r="Q1017" s="2" t="str">
        <x:v>m3</x:v>
      </x:c>
      <x:c r="R1017" s="17" t="n">
        <x:v>196027043.40392154</x:v>
      </x:c>
      <x:c r="S1017" s="17" t="n">
        <x:v>73579036.69</x:v>
      </x:c>
      <x:c r="T1017" s="18" t="n">
        <x:v>0.3966436876981624</x:v>
      </x:c>
      <x:c r="U1017" s="17" t="n">
        <x:v>29184660.44999999</x:v>
      </x:c>
      <x:c r="V1017" s="2" t="str">
        <x:v>Area equivalent = model2020 * source volume / TEMPO2020 volume</x:v>
      </x:c>
      <x:c r="W1017" s="2" t="str">
        <x:v>qualified_paired_native_source_frame</x:v>
      </x:c>
      <x:c r="X1017" s="2" t="str">
        <x:v>https://human-settlement.emergency.copernicus.eu/ghs_buV2023.php</x:v>
      </x:c>
    </x:row>
    <x:row r="1018" ht="23" customHeight="1">
      <x:c r="A1018" s="2" t="str">
        <x:v>BIH</x:v>
      </x:c>
      <x:c r="B1018" s="2" t="str">
        <x:v>Bosnia and Herzegovina</x:v>
      </x:c>
      <x:c r="C1018" s="2" t="n">
        <x:v>2020</x:v>
      </x:c>
      <x:c r="D1018" s="2" t="str">
        <x:v>GHSL_VOLUME</x:v>
      </x:c>
      <x:c r="E1018" s="17" t="n">
        <x:v>247114206.72000027</x:v>
      </x:c>
      <x:c r="F1018" s="17" t="n">
        <x:f>IF(AND(M1018,ISNUMBER(R1018)),IF(D1018="TEMPO_PROXY",R1018,IF(AND(ISNUMBER(S1018),S1018&gt;0,ISNUMBER(U1018)),U1018*R1018/S1018,"n.a.")),"n.a.")</x:f>
        <x:v>515478026.9378119</x:v>
      </x:c>
      <x:c r="G1018" s="17" t="n">
        <x:f>IF(AND(ISNUMBER(E1018),ISNUMBER(F1018)),E1018-F1018,"n.a.")</x:f>
        <x:v>-268363820.21781164</x:v>
      </x:c>
      <x:c r="H1018" s="15" t="n">
        <x:f>IF(AND(ISNUMBER(E1018),ISNUMBER(F1018),F1018&gt;0),(E1018-F1018)/F1018,"n.a.")</x:f>
        <x:v>-0.5206115609078862</x:v>
      </x:c>
      <x:c r="I1018" s="19" t="n">
        <x:f>IF(ISNUMBER(H1018),ABS(H1018),"n.a.")</x:f>
        <x:v>0.5206115609078862</x:v>
      </x:c>
      <x:c r="J1018" s="2" t="str">
        <x:v>available</x:v>
      </x:c>
      <x:c r="K1018" s="2" t="n">
        <x:v>1</x:v>
      </x:c>
      <x:c r="L1018" s="13" t="b">
        <x:v>0</x:v>
      </x:c>
      <x:c r="M1018" s="13" t="b">
        <x:v>1</x:v>
      </x:c>
      <x:c r="N1018" s="2" t="str">
        <x:v>modeled_epoch_volume_with_fixed2018_height_and_predominant_use</x:v>
      </x:c>
      <x:c r="O1018" s="2" t="str"/>
      <x:c r="P1018" s="2" t="str">
        <x:v>built-up volume</x:v>
      </x:c>
      <x:c r="Q1018" s="2" t="str">
        <x:v>m3</x:v>
      </x:c>
      <x:c r="R1018" s="17" t="n">
        <x:v>1309228516.3960783</x:v>
      </x:c>
      <x:c r="S1018" s="17" t="n">
        <x:v>627629014.89</x:v>
      </x:c>
      <x:c r="T1018" s="18" t="n">
        <x:v>0.3937265500118891</x:v>
      </x:c>
      <x:c r="U1018" s="17" t="n">
        <x:v>247114206.72000027</x:v>
      </x:c>
      <x:c r="V1018" s="2" t="str">
        <x:v>Area equivalent = model2020 * source volume / TEMPO2020 volume</x:v>
      </x:c>
      <x:c r="W1018" s="2" t="str">
        <x:v>qualified_paired_native_source_frame</x:v>
      </x:c>
      <x:c r="X1018" s="2" t="str">
        <x:v>https://human-settlement.emergency.copernicus.eu/ghs_buV2023.php</x:v>
      </x:c>
    </x:row>
    <x:row r="1019" ht="23" customHeight="1">
      <x:c r="A1019" s="2" t="str">
        <x:v>BLR</x:v>
      </x:c>
      <x:c r="B1019" s="2" t="str">
        <x:v>Belarus (Republic of)</x:v>
      </x:c>
      <x:c r="C1019" s="2" t="n">
        <x:v>2020</x:v>
      </x:c>
      <x:c r="D1019" s="2" t="str">
        <x:v>GHSL_VOLUME</x:v>
      </x:c>
      <x:c r="E1019" s="17" t="n">
        <x:v>672205246.4400003</x:v>
      </x:c>
      <x:c r="F1019" s="17" t="n">
        <x:f>IF(AND(M1019,ISNUMBER(R1019)),IF(D1019="TEMPO_PROXY",R1019,IF(AND(ISNUMBER(S1019),S1019&gt;0,ISNUMBER(U1019)),U1019*R1019/S1019,"n.a.")),"n.a.")</x:f>
        <x:v>1953179539.4651911</x:v>
      </x:c>
      <x:c r="G1019" s="17" t="n">
        <x:f>IF(AND(ISNUMBER(E1019),ISNUMBER(F1019)),E1019-F1019,"n.a.")</x:f>
        <x:v>-1280974293.0251908</x:v>
      </x:c>
      <x:c r="H1019" s="15" t="n">
        <x:f>IF(AND(ISNUMBER(E1019),ISNUMBER(F1019),F1019&gt;0),(E1019-F1019)/F1019,"n.a.")</x:f>
        <x:v>-0.6558405242028801</x:v>
      </x:c>
      <x:c r="I1019" s="19" t="n">
        <x:f>IF(ISNUMBER(H1019),ABS(H1019),"n.a.")</x:f>
        <x:v>0.6558405242028801</x:v>
      </x:c>
      <x:c r="J1019" s="2" t="str">
        <x:v>available</x:v>
      </x:c>
      <x:c r="K1019" s="2" t="n">
        <x:v>1</x:v>
      </x:c>
      <x:c r="L1019" s="13" t="b">
        <x:v>0</x:v>
      </x:c>
      <x:c r="M1019" s="13" t="b">
        <x:v>1</x:v>
      </x:c>
      <x:c r="N1019" s="2" t="str">
        <x:v>modeled_epoch_volume_with_fixed2018_height_and_predominant_use</x:v>
      </x:c>
      <x:c r="O1019" s="2" t="str"/>
      <x:c r="P1019" s="2" t="str">
        <x:v>built-up volume</x:v>
      </x:c>
      <x:c r="Q1019" s="2" t="str">
        <x:v>m3</x:v>
      </x:c>
      <x:c r="R1019" s="17" t="n">
        <x:v>6086745199.847059</x:v>
      </x:c>
      <x:c r="S1019" s="17" t="n">
        <x:v>2094811037.29</x:v>
      </x:c>
      <x:c r="T1019" s="18" t="n">
        <x:v>0.32089063618340197</x:v>
      </x:c>
      <x:c r="U1019" s="17" t="n">
        <x:v>672205246.4400003</x:v>
      </x:c>
      <x:c r="V1019" s="2" t="str">
        <x:v>Area equivalent = model2020 * source volume / TEMPO2020 volume</x:v>
      </x:c>
      <x:c r="W1019" s="2" t="str">
        <x:v>qualified_paired_native_source_frame</x:v>
      </x:c>
      <x:c r="X1019" s="2" t="str">
        <x:v>https://human-settlement.emergency.copernicus.eu/ghs_buV2023.php</x:v>
      </x:c>
    </x:row>
    <x:row r="1020" ht="23" customHeight="1">
      <x:c r="A1020" s="2" t="str">
        <x:v>BLZ</x:v>
      </x:c>
      <x:c r="B1020" s="2" t="str">
        <x:v>Belize</x:v>
      </x:c>
      <x:c r="C1020" s="2" t="n">
        <x:v>2020</x:v>
      </x:c>
      <x:c r="D1020" s="2" t="str">
        <x:v>GHSL_VOLUME</x:v>
      </x:c>
      <x:c r="E1020" s="17" t="n">
        <x:v>21867714.339999966</x:v>
      </x:c>
      <x:c r="F1020" s="17" t="n">
        <x:f>IF(AND(M1020,ISNUMBER(R1020)),IF(D1020="TEMPO_PROXY",R1020,IF(AND(ISNUMBER(S1020),S1020&gt;0,ISNUMBER(U1020)),U1020*R1020/S1020,"n.a.")),"n.a.")</x:f>
        <x:v>85616614.3552726</x:v>
      </x:c>
      <x:c r="G1020" s="17" t="n">
        <x:f>IF(AND(ISNUMBER(E1020),ISNUMBER(F1020)),E1020-F1020,"n.a.")</x:f>
        <x:v>-63748900.01527264</x:v>
      </x:c>
      <x:c r="H1020" s="15" t="n">
        <x:f>IF(AND(ISNUMBER(E1020),ISNUMBER(F1020),F1020&gt;0),(E1020-F1020)/F1020,"n.a.")</x:f>
        <x:v>-0.7445856215563695</x:v>
      </x:c>
      <x:c r="I1020" s="19" t="n">
        <x:f>IF(ISNUMBER(H1020),ABS(H1020),"n.a.")</x:f>
        <x:v>0.7445856215563695</x:v>
      </x:c>
      <x:c r="J1020" s="2" t="str">
        <x:v>available</x:v>
      </x:c>
      <x:c r="K1020" s="2" t="n">
        <x:v>1</x:v>
      </x:c>
      <x:c r="L1020" s="13" t="b">
        <x:v>0</x:v>
      </x:c>
      <x:c r="M1020" s="13" t="b">
        <x:v>1</x:v>
      </x:c>
      <x:c r="N1020" s="2" t="str">
        <x:v>modeled_epoch_volume_with_fixed2018_height_and_predominant_use</x:v>
      </x:c>
      <x:c r="O1020" s="2" t="str"/>
      <x:c r="P1020" s="2" t="str">
        <x:v>built-up volume</x:v>
      </x:c>
      <x:c r="Q1020" s="2" t="str">
        <x:v>m3</x:v>
      </x:c>
      <x:c r="R1020" s="17" t="n">
        <x:v>186923982.63137254</x:v>
      </x:c>
      <x:c r="S1020" s="17" t="n">
        <x:v>47743072.84</x:v>
      </x:c>
      <x:c r="T1020" s="18" t="n">
        <x:v>0.4580290509009467</x:v>
      </x:c>
      <x:c r="U1020" s="17" t="n">
        <x:v>21867714.339999966</x:v>
      </x:c>
      <x:c r="V1020" s="2" t="str">
        <x:v>Area equivalent = model2020 * source volume / TEMPO2020 volume</x:v>
      </x:c>
      <x:c r="W1020" s="2" t="str">
        <x:v>qualified_paired_native_source_frame</x:v>
      </x:c>
      <x:c r="X1020" s="2" t="str">
        <x:v>https://human-settlement.emergency.copernicus.eu/ghs_buV2023.php</x:v>
      </x:c>
    </x:row>
    <x:row r="1021" ht="23" customHeight="1">
      <x:c r="A1021" s="2" t="str">
        <x:v>BOL</x:v>
      </x:c>
      <x:c r="B1021" s="2" t="str">
        <x:v>Bolivia (Plurinational State of)</x:v>
      </x:c>
      <x:c r="C1021" s="2" t="n">
        <x:v>2020</x:v>
      </x:c>
      <x:c r="D1021" s="2" t="str">
        <x:v>GHSL_VOLUME</x:v>
      </x:c>
      <x:c r="E1021" s="17" t="n">
        <x:v>496419008.9399992</x:v>
      </x:c>
      <x:c r="F1021" s="17" t="n">
        <x:f>IF(AND(M1021,ISNUMBER(R1021)),IF(D1021="TEMPO_PROXY",R1021,IF(AND(ISNUMBER(S1021),S1021&gt;0,ISNUMBER(U1021)),U1021*R1021/S1021,"n.a.")),"n.a.")</x:f>
        <x:v>1521166572.6340961</x:v>
      </x:c>
      <x:c r="G1021" s="17" t="n">
        <x:f>IF(AND(ISNUMBER(E1021),ISNUMBER(F1021)),E1021-F1021,"n.a.")</x:f>
        <x:v>-1024747563.6940969</x:v>
      </x:c>
      <x:c r="H1021" s="15" t="n">
        <x:f>IF(AND(ISNUMBER(E1021),ISNUMBER(F1021),F1021&gt;0),(E1021-F1021)/F1021,"n.a.")</x:f>
        <x:v>-0.6736590075862726</x:v>
      </x:c>
      <x:c r="I1021" s="19" t="n">
        <x:f>IF(ISNUMBER(H1021),ABS(H1021),"n.a.")</x:f>
        <x:v>0.6736590075862726</x:v>
      </x:c>
      <x:c r="J1021" s="2" t="str">
        <x:v>available</x:v>
      </x:c>
      <x:c r="K1021" s="2" t="n">
        <x:v>1</x:v>
      </x:c>
      <x:c r="L1021" s="13" t="b">
        <x:v>0</x:v>
      </x:c>
      <x:c r="M1021" s="13" t="b">
        <x:v>1</x:v>
      </x:c>
      <x:c r="N1021" s="2" t="str">
        <x:v>modeled_epoch_volume_with_fixed2018_height_and_predominant_use</x:v>
      </x:c>
      <x:c r="O1021" s="2" t="str"/>
      <x:c r="P1021" s="2" t="str">
        <x:v>built-up volume</x:v>
      </x:c>
      <x:c r="Q1021" s="2" t="str">
        <x:v>m3</x:v>
      </x:c>
      <x:c r="R1021" s="17" t="n">
        <x:v>3911087262.1294117</x:v>
      </x:c>
      <x:c r="S1021" s="17" t="n">
        <x:v>1276348098.54</x:v>
      </x:c>
      <x:c r="T1021" s="18" t="n">
        <x:v>0.38893700668951303</x:v>
      </x:c>
      <x:c r="U1021" s="17" t="n">
        <x:v>496419008.9399992</x:v>
      </x:c>
      <x:c r="V1021" s="2" t="str">
        <x:v>Area equivalent = model2020 * source volume / TEMPO2020 volume</x:v>
      </x:c>
      <x:c r="W1021" s="2" t="str">
        <x:v>qualified_paired_native_source_frame</x:v>
      </x:c>
      <x:c r="X1021" s="2" t="str">
        <x:v>https://human-settlement.emergency.copernicus.eu/ghs_buV2023.php</x:v>
      </x:c>
    </x:row>
    <x:row r="1022" ht="23" customHeight="1">
      <x:c r="A1022" s="2" t="str">
        <x:v>BRA</x:v>
      </x:c>
      <x:c r="B1022" s="2" t="str">
        <x:v>Brazil (Federative Republic of)</x:v>
      </x:c>
      <x:c r="C1022" s="2" t="n">
        <x:v>2020</x:v>
      </x:c>
      <x:c r="D1022" s="2" t="str">
        <x:v>GHSL_VOLUME</x:v>
      </x:c>
      <x:c r="E1022" s="17" t="n">
        <x:v>12112839681.859997</x:v>
      </x:c>
      <x:c r="F1022" s="17" t="n">
        <x:f>IF(AND(M1022,ISNUMBER(R1022)),IF(D1022="TEMPO_PROXY",R1022,IF(AND(ISNUMBER(S1022),S1022&gt;0,ISNUMBER(U1022)),U1022*R1022/S1022,"n.a.")),"n.a.")</x:f>
        <x:v>32741527533.264824</x:v>
      </x:c>
      <x:c r="G1022" s="17" t="n">
        <x:f>IF(AND(ISNUMBER(E1022),ISNUMBER(F1022)),E1022-F1022,"n.a.")</x:f>
        <x:v>-20628687851.404827</x:v>
      </x:c>
      <x:c r="H1022" s="15" t="n">
        <x:f>IF(AND(ISNUMBER(E1022),ISNUMBER(F1022),F1022&gt;0),(E1022-F1022)/F1022,"n.a.")</x:f>
        <x:v>-0.6300465923725287</x:v>
      </x:c>
      <x:c r="I1022" s="19" t="n">
        <x:f>IF(ISNUMBER(H1022),ABS(H1022),"n.a.")</x:f>
        <x:v>0.6300465923725287</x:v>
      </x:c>
      <x:c r="J1022" s="2" t="str">
        <x:v>available</x:v>
      </x:c>
      <x:c r="K1022" s="2" t="n">
        <x:v>1</x:v>
      </x:c>
      <x:c r="L1022" s="13" t="b">
        <x:v>0</x:v>
      </x:c>
      <x:c r="M1022" s="13" t="b">
        <x:v>1</x:v>
      </x:c>
      <x:c r="N1022" s="2" t="str">
        <x:v>modeled_epoch_volume_with_fixed2018_height_and_predominant_use</x:v>
      </x:c>
      <x:c r="O1022" s="2" t="str"/>
      <x:c r="P1022" s="2" t="str">
        <x:v>built-up volume</x:v>
      </x:c>
      <x:c r="Q1022" s="2" t="str">
        <x:v>m3</x:v>
      </x:c>
      <x:c r="R1022" s="17" t="n">
        <x:v>96088937632.91373</x:v>
      </x:c>
      <x:c r="S1022" s="17" t="n">
        <x:v>35548429912.6</x:v>
      </x:c>
      <x:c r="T1022" s="18" t="n">
        <x:v>0.3407419036970364</x:v>
      </x:c>
      <x:c r="U1022" s="17" t="n">
        <x:v>12112839681.859997</x:v>
      </x:c>
      <x:c r="V1022" s="2" t="str">
        <x:v>Area equivalent = model2020 * source volume / TEMPO2020 volume</x:v>
      </x:c>
      <x:c r="W1022" s="2" t="str">
        <x:v>qualified_paired_native_source_frame</x:v>
      </x:c>
      <x:c r="X1022" s="2" t="str">
        <x:v>https://human-settlement.emergency.copernicus.eu/ghs_buV2023.php</x:v>
      </x:c>
    </x:row>
    <x:row r="1023" ht="23" customHeight="1">
      <x:c r="A1023" s="2" t="str">
        <x:v>BRB</x:v>
      </x:c>
      <x:c r="B1023" s="2" t="str">
        <x:v>Barbados</x:v>
      </x:c>
      <x:c r="C1023" s="2" t="n">
        <x:v>2020</x:v>
      </x:c>
      <x:c r="D1023" s="2" t="str">
        <x:v>GHSL_VOLUME</x:v>
      </x:c>
      <x:c r="E1023" s="17" t="n">
        <x:v>23684585.840000004</x:v>
      </x:c>
      <x:c r="F1023" s="17" t="n">
        <x:f>IF(AND(M1023,ISNUMBER(R1023)),IF(D1023="TEMPO_PROXY",R1023,IF(AND(ISNUMBER(S1023),S1023&gt;0,ISNUMBER(U1023)),U1023*R1023/S1023,"n.a.")),"n.a.")</x:f>
        <x:v>87291188.8398355</x:v>
      </x:c>
      <x:c r="G1023" s="17" t="n">
        <x:f>IF(AND(ISNUMBER(E1023),ISNUMBER(F1023)),E1023-F1023,"n.a.")</x:f>
        <x:v>-63606602.99983549</x:v>
      </x:c>
      <x:c r="H1023" s="15" t="n">
        <x:f>IF(AND(ISNUMBER(E1023),ISNUMBER(F1023),F1023&gt;0),(E1023-F1023)/F1023,"n.a.")</x:f>
        <x:v>-0.728671517082243</x:v>
      </x:c>
      <x:c r="I1023" s="19" t="n">
        <x:f>IF(ISNUMBER(H1023),ABS(H1023),"n.a.")</x:f>
        <x:v>0.728671517082243</x:v>
      </x:c>
      <x:c r="J1023" s="2" t="str">
        <x:v>available</x:v>
      </x:c>
      <x:c r="K1023" s="2" t="n">
        <x:v>1</x:v>
      </x:c>
      <x:c r="L1023" s="13" t="b">
        <x:v>0</x:v>
      </x:c>
      <x:c r="M1023" s="13" t="b">
        <x:v>1</x:v>
      </x:c>
      <x:c r="N1023" s="2" t="str">
        <x:v>modeled_epoch_volume_with_fixed2018_height_and_predominant_use</x:v>
      </x:c>
      <x:c r="O1023" s="2" t="str"/>
      <x:c r="P1023" s="2" t="str">
        <x:v>built-up volume</x:v>
      </x:c>
      <x:c r="Q1023" s="2" t="str">
        <x:v>m3</x:v>
      </x:c>
      <x:c r="R1023" s="17" t="n">
        <x:v>217525236.10980397</x:v>
      </x:c>
      <x:c r="S1023" s="17" t="n">
        <x:v>59020792.31</x:v>
      </x:c>
      <x:c r="T1023" s="18" t="n">
        <x:v>0.40129223809127146</x:v>
      </x:c>
      <x:c r="U1023" s="17" t="n">
        <x:v>23684585.840000004</x:v>
      </x:c>
      <x:c r="V1023" s="2" t="str">
        <x:v>Area equivalent = model2020 * source volume / TEMPO2020 volume</x:v>
      </x:c>
      <x:c r="W1023" s="2" t="str">
        <x:v>qualified_paired_native_source_frame</x:v>
      </x:c>
      <x:c r="X1023" s="2" t="str">
        <x:v>https://human-settlement.emergency.copernicus.eu/ghs_buV2023.php</x:v>
      </x:c>
    </x:row>
    <x:row r="1024" ht="23" customHeight="1">
      <x:c r="A1024" s="2" t="str">
        <x:v>BRN</x:v>
      </x:c>
      <x:c r="B1024" s="2" t="str">
        <x:v>Brunei Darussalam</x:v>
      </x:c>
      <x:c r="C1024" s="2" t="n">
        <x:v>2020</x:v>
      </x:c>
      <x:c r="D1024" s="2" t="str">
        <x:v>GHSL_VOLUME</x:v>
      </x:c>
      <x:c r="E1024" s="17" t="n">
        <x:v>37849769.86000001</x:v>
      </x:c>
      <x:c r="F1024" s="17" t="n">
        <x:f>IF(AND(M1024,ISNUMBER(R1024)),IF(D1024="TEMPO_PROXY",R1024,IF(AND(ISNUMBER(S1024),S1024&gt;0,ISNUMBER(U1024)),U1024*R1024/S1024,"n.a.")),"n.a.")</x:f>
        <x:v>98077700.54463667</x:v>
      </x:c>
      <x:c r="G1024" s="17" t="n">
        <x:f>IF(AND(ISNUMBER(E1024),ISNUMBER(F1024)),E1024-F1024,"n.a.")</x:f>
        <x:v>-60227930.68463666</x:v>
      </x:c>
      <x:c r="H1024" s="15" t="n">
        <x:f>IF(AND(ISNUMBER(E1024),ISNUMBER(F1024),F1024&gt;0),(E1024-F1024)/F1024,"n.a.")</x:f>
        <x:v>-0.6140838371024615</x:v>
      </x:c>
      <x:c r="I1024" s="19" t="n">
        <x:f>IF(ISNUMBER(H1024),ABS(H1024),"n.a.")</x:f>
        <x:v>0.6140838371024615</x:v>
      </x:c>
      <x:c r="J1024" s="2" t="str">
        <x:v>available</x:v>
      </x:c>
      <x:c r="K1024" s="2" t="n">
        <x:v>1</x:v>
      </x:c>
      <x:c r="L1024" s="13" t="b">
        <x:v>0</x:v>
      </x:c>
      <x:c r="M1024" s="13" t="b">
        <x:v>1</x:v>
      </x:c>
      <x:c r="N1024" s="2" t="str">
        <x:v>modeled_epoch_volume_with_fixed2018_height_and_predominant_use</x:v>
      </x:c>
      <x:c r="O1024" s="2" t="str"/>
      <x:c r="P1024" s="2" t="str">
        <x:v>built-up volume</x:v>
      </x:c>
      <x:c r="Q1024" s="2" t="str">
        <x:v>m3</x:v>
      </x:c>
      <x:c r="R1024" s="17" t="n">
        <x:v>272351381.4784314</x:v>
      </x:c>
      <x:c r="S1024" s="17" t="n">
        <x:v>105104800.1</x:v>
      </x:c>
      <x:c r="T1024" s="18" t="n">
        <x:v>0.36011456968652766</x:v>
      </x:c>
      <x:c r="U1024" s="17" t="n">
        <x:v>37849769.86000001</x:v>
      </x:c>
      <x:c r="V1024" s="2" t="str">
        <x:v>Area equivalent = model2020 * source volume / TEMPO2020 volume</x:v>
      </x:c>
      <x:c r="W1024" s="2" t="str">
        <x:v>qualified_paired_native_source_frame</x:v>
      </x:c>
      <x:c r="X1024" s="2" t="str">
        <x:v>https://human-settlement.emergency.copernicus.eu/ghs_buV2023.php</x:v>
      </x:c>
    </x:row>
    <x:row r="1025" ht="23" customHeight="1">
      <x:c r="A1025" s="2" t="str">
        <x:v>BTN</x:v>
      </x:c>
      <x:c r="B1025" s="2" t="str">
        <x:v>Bhutan (Kingdom of)</x:v>
      </x:c>
      <x:c r="C1025" s="2" t="n">
        <x:v>2020</x:v>
      </x:c>
      <x:c r="D1025" s="2" t="str">
        <x:v>GHSL_VOLUME</x:v>
      </x:c>
      <x:c r="E1025" s="17" t="n">
        <x:v>27177544.510000043</x:v>
      </x:c>
      <x:c r="F1025" s="17" t="n">
        <x:f>IF(AND(M1025,ISNUMBER(R1025)),IF(D1025="TEMPO_PROXY",R1025,IF(AND(ISNUMBER(S1025),S1025&gt;0,ISNUMBER(U1025)),U1025*R1025/S1025,"n.a.")),"n.a.")</x:f>
        <x:v>47484372.226290144</x:v>
      </x:c>
      <x:c r="G1025" s="17" t="n">
        <x:f>IF(AND(ISNUMBER(E1025),ISNUMBER(F1025)),E1025-F1025,"n.a.")</x:f>
        <x:v>-20306827.7162901</x:v>
      </x:c>
      <x:c r="H1025" s="15" t="n">
        <x:f>IF(AND(ISNUMBER(E1025),ISNUMBER(F1025),F1025&gt;0),(E1025-F1025)/F1025,"n.a.")</x:f>
        <x:v>-0.4276528627043119</x:v>
      </x:c>
      <x:c r="I1025" s="19" t="n">
        <x:f>IF(ISNUMBER(H1025),ABS(H1025),"n.a.")</x:f>
        <x:v>0.4276528627043119</x:v>
      </x:c>
      <x:c r="J1025" s="2" t="str">
        <x:v>available</x:v>
      </x:c>
      <x:c r="K1025" s="2" t="n">
        <x:v>1</x:v>
      </x:c>
      <x:c r="L1025" s="13" t="b">
        <x:v>0</x:v>
      </x:c>
      <x:c r="M1025" s="13" t="b">
        <x:v>1</x:v>
      </x:c>
      <x:c r="N1025" s="2" t="str">
        <x:v>modeled_epoch_volume_with_fixed2018_height_and_predominant_use</x:v>
      </x:c>
      <x:c r="O1025" s="2" t="str"/>
      <x:c r="P1025" s="2" t="str">
        <x:v>built-up volume</x:v>
      </x:c>
      <x:c r="Q1025" s="2" t="str">
        <x:v>m3</x:v>
      </x:c>
      <x:c r="R1025" s="17" t="n">
        <x:v>95242345.76862743</x:v>
      </x:c>
      <x:c r="S1025" s="17" t="n">
        <x:v>54511683.95</x:v>
      </x:c>
      <x:c r="T1025" s="18" t="n">
        <x:v>0.4985636571955514</x:v>
      </x:c>
      <x:c r="U1025" s="17" t="n">
        <x:v>27177544.510000043</x:v>
      </x:c>
      <x:c r="V1025" s="2" t="str">
        <x:v>Area equivalent = model2020 * source volume / TEMPO2020 volume</x:v>
      </x:c>
      <x:c r="W1025" s="2" t="str">
        <x:v>qualified_paired_native_source_frame</x:v>
      </x:c>
      <x:c r="X1025" s="2" t="str">
        <x:v>https://human-settlement.emergency.copernicus.eu/ghs_buV2023.php</x:v>
      </x:c>
    </x:row>
    <x:row r="1026" ht="23" customHeight="1">
      <x:c r="A1026" s="2" t="str">
        <x:v>BWA</x:v>
      </x:c>
      <x:c r="B1026" s="2" t="str">
        <x:v>Botswana (Republic of)</x:v>
      </x:c>
      <x:c r="C1026" s="2" t="n">
        <x:v>2020</x:v>
      </x:c>
      <x:c r="D1026" s="2" t="str">
        <x:v>GHSL_VOLUME</x:v>
      </x:c>
      <x:c r="E1026" s="17" t="n">
        <x:v>118564613.02000009</x:v>
      </x:c>
      <x:c r="F1026" s="17" t="n">
        <x:f>IF(AND(M1026,ISNUMBER(R1026)),IF(D1026="TEMPO_PROXY",R1026,IF(AND(ISNUMBER(S1026),S1026&gt;0,ISNUMBER(U1026)),U1026*R1026/S1026,"n.a.")),"n.a.")</x:f>
        <x:v>989232582.8674219</x:v>
      </x:c>
      <x:c r="G1026" s="17" t="n">
        <x:f>IF(AND(ISNUMBER(E1026),ISNUMBER(F1026)),E1026-F1026,"n.a.")</x:f>
        <x:v>-870667969.8474218</x:v>
      </x:c>
      <x:c r="H1026" s="15" t="n">
        <x:f>IF(AND(ISNUMBER(E1026),ISNUMBER(F1026),F1026&gt;0),(E1026-F1026)/F1026,"n.a.")</x:f>
        <x:v>-0.8801448566561315</x:v>
      </x:c>
      <x:c r="I1026" s="19" t="n">
        <x:f>IF(ISNUMBER(H1026),ABS(H1026),"n.a.")</x:f>
        <x:v>0.8801448566561315</x:v>
      </x:c>
      <x:c r="J1026" s="2" t="str">
        <x:v>available</x:v>
      </x:c>
      <x:c r="K1026" s="2" t="n">
        <x:v>1</x:v>
      </x:c>
      <x:c r="L1026" s="13" t="b">
        <x:v>0</x:v>
      </x:c>
      <x:c r="M1026" s="13" t="b">
        <x:v>1</x:v>
      </x:c>
      <x:c r="N1026" s="2" t="str">
        <x:v>modeled_epoch_volume_with_fixed2018_height_and_predominant_use</x:v>
      </x:c>
      <x:c r="O1026" s="2" t="str"/>
      <x:c r="P1026" s="2" t="str">
        <x:v>built-up volume</x:v>
      </x:c>
      <x:c r="Q1026" s="2" t="str">
        <x:v>m3</x:v>
      </x:c>
      <x:c r="R1026" s="17" t="n">
        <x:v>2139965390.5058825</x:v>
      </x:c>
      <x:c r="S1026" s="17" t="n">
        <x:v>256485858.63</x:v>
      </x:c>
      <x:c r="T1026" s="18" t="n">
        <x:v>0.462265692359431</x:v>
      </x:c>
      <x:c r="U1026" s="17" t="n">
        <x:v>118564613.02000009</x:v>
      </x:c>
      <x:c r="V1026" s="2" t="str">
        <x:v>Area equivalent = model2020 * source volume / TEMPO2020 volume</x:v>
      </x:c>
      <x:c r="W1026" s="2" t="str">
        <x:v>qualified_paired_native_source_frame</x:v>
      </x:c>
      <x:c r="X1026" s="2" t="str">
        <x:v>https://human-settlement.emergency.copernicus.eu/ghs_buV2023.php</x:v>
      </x:c>
    </x:row>
    <x:row r="1027" ht="23" customHeight="1">
      <x:c r="A1027" s="2" t="str">
        <x:v>CAF</x:v>
      </x:c>
      <x:c r="B1027" s="2" t="str">
        <x:v>Central African Republic</x:v>
      </x:c>
      <x:c r="C1027" s="2" t="n">
        <x:v>2020</x:v>
      </x:c>
      <x:c r="D1027" s="2" t="str">
        <x:v>GHSL_VOLUME</x:v>
      </x:c>
      <x:c r="E1027" s="17" t="n">
        <x:v>66989106.04000005</x:v>
      </x:c>
      <x:c r="F1027" s="17" t="n">
        <x:f>IF(AND(M1027,ISNUMBER(R1027)),IF(D1027="TEMPO_PROXY",R1027,IF(AND(ISNUMBER(S1027),S1027&gt;0,ISNUMBER(U1027)),U1027*R1027/S1027,"n.a.")),"n.a.")</x:f>
        <x:v>399149602.14523816</x:v>
      </x:c>
      <x:c r="G1027" s="17" t="n">
        <x:f>IF(AND(ISNUMBER(E1027),ISNUMBER(F1027)),E1027-F1027,"n.a.")</x:f>
        <x:v>-332160496.1052381</x:v>
      </x:c>
      <x:c r="H1027" s="15" t="n">
        <x:f>IF(AND(ISNUMBER(E1027),ISNUMBER(F1027),F1027&gt;0),(E1027-F1027)/F1027,"n.a.")</x:f>
        <x:v>-0.8321704301345518</x:v>
      </x:c>
      <x:c r="I1027" s="19" t="n">
        <x:f>IF(ISNUMBER(H1027),ABS(H1027),"n.a.")</x:f>
        <x:v>0.8321704301345518</x:v>
      </x:c>
      <x:c r="J1027" s="2" t="str">
        <x:v>available</x:v>
      </x:c>
      <x:c r="K1027" s="2" t="n">
        <x:v>1</x:v>
      </x:c>
      <x:c r="L1027" s="13" t="b">
        <x:v>0</x:v>
      </x:c>
      <x:c r="M1027" s="13" t="b">
        <x:v>1</x:v>
      </x:c>
      <x:c r="N1027" s="2" t="str">
        <x:v>modeled_epoch_volume_with_fixed2018_height_and_predominant_use</x:v>
      </x:c>
      <x:c r="O1027" s="2" t="str"/>
      <x:c r="P1027" s="2" t="str">
        <x:v>built-up volume</x:v>
      </x:c>
      <x:c r="Q1027" s="2" t="str">
        <x:v>m3</x:v>
      </x:c>
      <x:c r="R1027" s="17" t="n">
        <x:v>864769603.0941176</x:v>
      </x:c>
      <x:c r="S1027" s="17" t="n">
        <x:v>145133910.52</x:v>
      </x:c>
      <x:c r="T1027" s="18" t="n">
        <x:v>0.4615675674966995</x:v>
      </x:c>
      <x:c r="U1027" s="17" t="n">
        <x:v>66989106.04000005</x:v>
      </x:c>
      <x:c r="V1027" s="2" t="str">
        <x:v>Area equivalent = model2020 * source volume / TEMPO2020 volume</x:v>
      </x:c>
      <x:c r="W1027" s="2" t="str">
        <x:v>qualified_paired_native_source_frame</x:v>
      </x:c>
      <x:c r="X1027" s="2" t="str">
        <x:v>https://human-settlement.emergency.copernicus.eu/ghs_buV2023.php</x:v>
      </x:c>
    </x:row>
    <x:row r="1028" ht="23" customHeight="1">
      <x:c r="A1028" s="2" t="str">
        <x:v>CAN</x:v>
      </x:c>
      <x:c r="B1028" s="2" t="str">
        <x:v>Canada</x:v>
      </x:c>
      <x:c r="C1028" s="2" t="n">
        <x:v>2020</x:v>
      </x:c>
      <x:c r="D1028" s="2" t="str">
        <x:v>GHSL_VOLUME</x:v>
      </x:c>
      <x:c r="E1028" s="17" t="n">
        <x:v>2941628265.260001</x:v>
      </x:c>
      <x:c r="F1028" s="17" t="str">
        <x:f>IF(AND(M1028,ISNUMBER(R1028)),IF(D1028="TEMPO_PROXY",R1028,IF(AND(ISNUMBER(S1028),S1028&gt;0,ISNUMBER(U1028)),U1028*R1028/S1028,"n.a.")),"n.a.")</x:f>
        <x:v>n.a.</x:v>
      </x:c>
      <x:c r="G1028" s="17" t="str">
        <x:f>IF(AND(ISNUMBER(E1028),ISNUMBER(F1028)),E1028-F1028,"n.a.")</x:f>
        <x:v>n.a.</x:v>
      </x:c>
      <x:c r="H1028" s="15" t="str">
        <x:f>IF(AND(ISNUMBER(E1028),ISNUMBER(F1028),F1028&gt;0),(E1028-F1028)/F1028,"n.a.")</x:f>
        <x:v>n.a.</x:v>
      </x:c>
      <x:c r="I1028" s="19" t="str">
        <x:f>IF(ISNUMBER(H1028),ABS(H1028),"n.a.")</x:f>
        <x:v>n.a.</x:v>
      </x:c>
      <x:c r="J1028" s="2" t="str">
        <x:v>unqualified_or_missing_native_source: source_support_or_logical_consistency_failed</x:v>
      </x:c>
      <x:c r="K1028" s="2" t="n">
        <x:v>1</x:v>
      </x:c>
      <x:c r="L1028" s="13" t="b">
        <x:v>0</x:v>
      </x:c>
      <x:c r="M1028" s="13" t="b">
        <x:v>0</x:v>
      </x:c>
      <x:c r="N1028" s="2" t="str">
        <x:v>modeled_epoch_volume_with_fixed2018_height_and_predominant_use</x:v>
      </x:c>
      <x:c r="O1028" s="2" t="str"/>
      <x:c r="P1028" s="2" t="str">
        <x:v>built-up volume</x:v>
      </x:c>
      <x:c r="Q1028" s="2" t="str">
        <x:v>m3</x:v>
      </x:c>
      <x:c r="R1028" s="17" t="n">
        <x:v>27711309978.321568</x:v>
      </x:c>
      <x:c r="S1028" s="17" t="n">
        <x:v>8910828189.5</x:v>
      </x:c>
      <x:c r="T1028" s="18" t="n">
        <x:v>0.3301183910970525</x:v>
      </x:c>
      <x:c r="U1028" s="17" t="n">
        <x:v>2941628265.260001</x:v>
      </x:c>
      <x:c r="V1028" s="2" t="str">
        <x:v>Area equivalent = model2020 * source volume / TEMPO2020 volume</x:v>
      </x:c>
      <x:c r="W1028" s="2" t="str">
        <x:v>source_support_or_logical_consistency_failed</x:v>
      </x:c>
      <x:c r="X1028" s="2" t="str">
        <x:v>https://human-settlement.emergency.copernicus.eu/ghs_buV2023.php</x:v>
      </x:c>
    </x:row>
    <x:row r="1029" ht="23" customHeight="1">
      <x:c r="A1029" s="2" t="str">
        <x:v>CHE</x:v>
      </x:c>
      <x:c r="B1029" s="2" t="str">
        <x:v>Switzerland (Swiss Confederation)</x:v>
      </x:c>
      <x:c r="C1029" s="2" t="n">
        <x:v>2020</x:v>
      </x:c>
      <x:c r="D1029" s="2" t="str">
        <x:v>GHSL_VOLUME</x:v>
      </x:c>
      <x:c r="E1029" s="17" t="n">
        <x:v>554094959.2900008</x:v>
      </x:c>
      <x:c r="F1029" s="17" t="n">
        <x:f>IF(AND(M1029,ISNUMBER(R1029)),IF(D1029="TEMPO_PROXY",R1029,IF(AND(ISNUMBER(S1029),S1029&gt;0,ISNUMBER(U1029)),U1029*R1029/S1029,"n.a.")),"n.a.")</x:f>
        <x:v>1305998855.4213204</x:v>
      </x:c>
      <x:c r="G1029" s="17" t="n">
        <x:f>IF(AND(ISNUMBER(E1029),ISNUMBER(F1029)),E1029-F1029,"n.a.")</x:f>
        <x:v>-751903896.1313196</x:v>
      </x:c>
      <x:c r="H1029" s="15" t="n">
        <x:f>IF(AND(ISNUMBER(E1029),ISNUMBER(F1029),F1029&gt;0),(E1029-F1029)/F1029,"n.a.")</x:f>
        <x:v>-0.5757308997707754</x:v>
      </x:c>
      <x:c r="I1029" s="19" t="n">
        <x:f>IF(ISNUMBER(H1029),ABS(H1029),"n.a.")</x:f>
        <x:v>0.5757308997707754</x:v>
      </x:c>
      <x:c r="J1029" s="2" t="str">
        <x:v>available</x:v>
      </x:c>
      <x:c r="K1029" s="2" t="n">
        <x:v>1</x:v>
      </x:c>
      <x:c r="L1029" s="13" t="b">
        <x:v>0</x:v>
      </x:c>
      <x:c r="M1029" s="13" t="b">
        <x:v>1</x:v>
      </x:c>
      <x:c r="N1029" s="2" t="str">
        <x:v>modeled_epoch_volume_with_fixed2018_height_and_predominant_use</x:v>
      </x:c>
      <x:c r="O1029" s="2" t="str"/>
      <x:c r="P1029" s="2" t="str">
        <x:v>built-up volume</x:v>
      </x:c>
      <x:c r="Q1029" s="2" t="str">
        <x:v>m3</x:v>
      </x:c>
      <x:c r="R1029" s="17" t="n">
        <x:v>4435282669.780392</x:v>
      </x:c>
      <x:c r="S1029" s="17" t="n">
        <x:v>1881753387.57</x:v>
      </x:c>
      <x:c r="T1029" s="18" t="n">
        <x:v>0.29445673537781203</x:v>
      </x:c>
      <x:c r="U1029" s="17" t="n">
        <x:v>554094959.2900008</x:v>
      </x:c>
      <x:c r="V1029" s="2" t="str">
        <x:v>Area equivalent = model2020 * source volume / TEMPO2020 volume</x:v>
      </x:c>
      <x:c r="W1029" s="2" t="str">
        <x:v>qualified_paired_native_source_frame</x:v>
      </x:c>
      <x:c r="X1029" s="2" t="str">
        <x:v>https://human-settlement.emergency.copernicus.eu/ghs_buV2023.php</x:v>
      </x:c>
    </x:row>
    <x:row r="1030" ht="23" customHeight="1">
      <x:c r="A1030" s="2" t="str">
        <x:v>CHL</x:v>
      </x:c>
      <x:c r="B1030" s="2" t="str">
        <x:v>Chile (Republic of)</x:v>
      </x:c>
      <x:c r="C1030" s="2" t="n">
        <x:v>2020</x:v>
      </x:c>
      <x:c r="D1030" s="2" t="str">
        <x:v>GHSL_VOLUME</x:v>
      </x:c>
      <x:c r="E1030" s="17" t="n">
        <x:v>986436316.0700014</x:v>
      </x:c>
      <x:c r="F1030" s="17" t="n">
        <x:f>IF(AND(M1030,ISNUMBER(R1030)),IF(D1030="TEMPO_PROXY",R1030,IF(AND(ISNUMBER(S1030),S1030&gt;0,ISNUMBER(U1030)),U1030*R1030/S1030,"n.a.")),"n.a.")</x:f>
        <x:v>2306593074.2154603</x:v>
      </x:c>
      <x:c r="G1030" s="17" t="n">
        <x:f>IF(AND(ISNUMBER(E1030),ISNUMBER(F1030)),E1030-F1030,"n.a.")</x:f>
        <x:v>-1320156758.145459</x:v>
      </x:c>
      <x:c r="H1030" s="15" t="n">
        <x:f>IF(AND(ISNUMBER(E1030),ISNUMBER(F1030),F1030&gt;0),(E1030-F1030)/F1030,"n.a.")</x:f>
        <x:v>-0.5723405540851556</x:v>
      </x:c>
      <x:c r="I1030" s="19" t="n">
        <x:f>IF(ISNUMBER(H1030),ABS(H1030),"n.a.")</x:f>
        <x:v>0.5723405540851556</x:v>
      </x:c>
      <x:c r="J1030" s="2" t="str">
        <x:v>available</x:v>
      </x:c>
      <x:c r="K1030" s="2" t="n">
        <x:v>1</x:v>
      </x:c>
      <x:c r="L1030" s="13" t="b">
        <x:v>0</x:v>
      </x:c>
      <x:c r="M1030" s="13" t="b">
        <x:v>1</x:v>
      </x:c>
      <x:c r="N1030" s="2" t="str">
        <x:v>modeled_epoch_volume_with_fixed2018_height_and_predominant_use</x:v>
      </x:c>
      <x:c r="O1030" s="2" t="str"/>
      <x:c r="P1030" s="2" t="str">
        <x:v>built-up volume</x:v>
      </x:c>
      <x:c r="Q1030" s="2" t="str">
        <x:v>m3</x:v>
      </x:c>
      <x:c r="R1030" s="17" t="n">
        <x:v>6854307501.894117</x:v>
      </x:c>
      <x:c r="S1030" s="17" t="n">
        <x:v>2931309348.39</x:v>
      </x:c>
      <x:c r="T1030" s="18" t="n">
        <x:v>0.3365173029628532</x:v>
      </x:c>
      <x:c r="U1030" s="17" t="n">
        <x:v>986436316.0700014</x:v>
      </x:c>
      <x:c r="V1030" s="2" t="str">
        <x:v>Area equivalent = model2020 * source volume / TEMPO2020 volume</x:v>
      </x:c>
      <x:c r="W1030" s="2" t="str">
        <x:v>qualified_paired_native_source_frame</x:v>
      </x:c>
      <x:c r="X1030" s="2" t="str">
        <x:v>https://human-settlement.emergency.copernicus.eu/ghs_buV2023.php</x:v>
      </x:c>
    </x:row>
    <x:row r="1031" ht="23" customHeight="1">
      <x:c r="A1031" s="2" t="str">
        <x:v>CHN</x:v>
      </x:c>
      <x:c r="B1031" s="2" t="str">
        <x:v>China (People's Republic of)</x:v>
      </x:c>
      <x:c r="C1031" s="2" t="n">
        <x:v>2020</x:v>
      </x:c>
      <x:c r="D1031" s="2" t="str">
        <x:v>GHSL_VOLUME</x:v>
      </x:c>
      <x:c r="E1031" s="17" t="n">
        <x:v>86144650012.34993</x:v>
      </x:c>
      <x:c r="F1031" s="17" t="n">
        <x:f>IF(AND(M1031,ISNUMBER(R1031)),IF(D1031="TEMPO_PROXY",R1031,IF(AND(ISNUMBER(S1031),S1031&gt;0,ISNUMBER(U1031)),U1031*R1031/S1031,"n.a.")),"n.a.")</x:f>
        <x:v>152426734643.0558</x:v>
      </x:c>
      <x:c r="G1031" s="17" t="n">
        <x:f>IF(AND(ISNUMBER(E1031),ISNUMBER(F1031)),E1031-F1031,"n.a.")</x:f>
        <x:v>-66282084630.70586</x:v>
      </x:c>
      <x:c r="H1031" s="15" t="n">
        <x:f>IF(AND(ISNUMBER(E1031),ISNUMBER(F1031),F1031&gt;0),(E1031-F1031)/F1031,"n.a.")</x:f>
        <x:v>-0.4348455327467419</x:v>
      </x:c>
      <x:c r="I1031" s="19" t="n">
        <x:f>IF(ISNUMBER(H1031),ABS(H1031),"n.a.")</x:f>
        <x:v>0.4348455327467419</x:v>
      </x:c>
      <x:c r="J1031" s="2" t="str">
        <x:v>available</x:v>
      </x:c>
      <x:c r="K1031" s="2" t="n">
        <x:v>1</x:v>
      </x:c>
      <x:c r="L1031" s="13" t="b">
        <x:v>0</x:v>
      </x:c>
      <x:c r="M1031" s="13" t="b">
        <x:v>1</x:v>
      </x:c>
      <x:c r="N1031" s="2" t="str">
        <x:v>modeled_epoch_volume_with_fixed2018_height_and_predominant_use</x:v>
      </x:c>
      <x:c r="O1031" s="2" t="str"/>
      <x:c r="P1031" s="2" t="str">
        <x:v>built-up volume</x:v>
      </x:c>
      <x:c r="Q1031" s="2" t="str">
        <x:v>m3</x:v>
      </x:c>
      <x:c r="R1031" s="17" t="n">
        <x:v>521226017294.9059</x:v>
      </x:c>
      <x:c r="S1031" s="17" t="n">
        <x:v>294573212122.84</x:v>
      </x:c>
      <x:c r="T1031" s="18" t="n">
        <x:v>0.29243884530962283</x:v>
      </x:c>
      <x:c r="U1031" s="17" t="n">
        <x:v>86144650012.34993</x:v>
      </x:c>
      <x:c r="V1031" s="2" t="str">
        <x:v>Area equivalent = model2020 * source volume / TEMPO2020 volume</x:v>
      </x:c>
      <x:c r="W1031" s="2" t="str">
        <x:v>qualified_paired_native_source_frame</x:v>
      </x:c>
      <x:c r="X1031" s="2" t="str">
        <x:v>https://human-settlement.emergency.copernicus.eu/ghs_buV2023.php</x:v>
      </x:c>
    </x:row>
    <x:row r="1032" ht="23" customHeight="1">
      <x:c r="A1032" s="2" t="str">
        <x:v>CIV</x:v>
      </x:c>
      <x:c r="B1032" s="2" t="str">
        <x:v>Côte d'Ivoire (Republic of)</x:v>
      </x:c>
      <x:c r="C1032" s="2" t="n">
        <x:v>2020</x:v>
      </x:c>
      <x:c r="D1032" s="2" t="str">
        <x:v>GHSL_VOLUME</x:v>
      </x:c>
      <x:c r="E1032" s="17" t="n">
        <x:v>602828854.8199993</x:v>
      </x:c>
      <x:c r="F1032" s="17" t="n">
        <x:f>IF(AND(M1032,ISNUMBER(R1032)),IF(D1032="TEMPO_PROXY",R1032,IF(AND(ISNUMBER(S1032),S1032&gt;0,ISNUMBER(U1032)),U1032*R1032/S1032,"n.a.")),"n.a.")</x:f>
        <x:v>2632995429.738225</x:v>
      </x:c>
      <x:c r="G1032" s="17" t="n">
        <x:f>IF(AND(ISNUMBER(E1032),ISNUMBER(F1032)),E1032-F1032,"n.a.")</x:f>
        <x:v>-2030166574.9182258</x:v>
      </x:c>
      <x:c r="H1032" s="15" t="n">
        <x:f>IF(AND(ISNUMBER(E1032),ISNUMBER(F1032),F1032&gt;0),(E1032-F1032)/F1032,"n.a.")</x:f>
        <x:v>-0.7710482714814537</x:v>
      </x:c>
      <x:c r="I1032" s="19" t="n">
        <x:f>IF(ISNUMBER(H1032),ABS(H1032),"n.a.")</x:f>
        <x:v>0.7710482714814537</x:v>
      </x:c>
      <x:c r="J1032" s="2" t="str">
        <x:v>available</x:v>
      </x:c>
      <x:c r="K1032" s="2" t="n">
        <x:v>1</x:v>
      </x:c>
      <x:c r="L1032" s="13" t="b">
        <x:v>0</x:v>
      </x:c>
      <x:c r="M1032" s="13" t="b">
        <x:v>1</x:v>
      </x:c>
      <x:c r="N1032" s="2" t="str">
        <x:v>modeled_epoch_volume_with_fixed2018_height_and_predominant_use</x:v>
      </x:c>
      <x:c r="O1032" s="2" t="str"/>
      <x:c r="P1032" s="2" t="str">
        <x:v>built-up volume</x:v>
      </x:c>
      <x:c r="Q1032" s="2" t="str">
        <x:v>m3</x:v>
      </x:c>
      <x:c r="R1032" s="17" t="n">
        <x:v>6443917536.313725</x:v>
      </x:c>
      <x:c r="S1032" s="17" t="n">
        <x:v>1475346058.37</x:v>
      </x:c>
      <x:c r="T1032" s="18" t="n">
        <x:v>0.4086016642671755</x:v>
      </x:c>
      <x:c r="U1032" s="17" t="n">
        <x:v>602828854.8199993</x:v>
      </x:c>
      <x:c r="V1032" s="2" t="str">
        <x:v>Area equivalent = model2020 * source volume / TEMPO2020 volume</x:v>
      </x:c>
      <x:c r="W1032" s="2" t="str">
        <x:v>qualified_paired_native_source_frame</x:v>
      </x:c>
      <x:c r="X1032" s="2" t="str">
        <x:v>https://human-settlement.emergency.copernicus.eu/ghs_buV2023.php</x:v>
      </x:c>
    </x:row>
    <x:row r="1033" ht="23" customHeight="1">
      <x:c r="A1033" s="2" t="str">
        <x:v>CMR</x:v>
      </x:c>
      <x:c r="B1033" s="2" t="str">
        <x:v>Cameroon (Republic of)</x:v>
      </x:c>
      <x:c r="C1033" s="2" t="n">
        <x:v>2020</x:v>
      </x:c>
      <x:c r="D1033" s="2" t="str">
        <x:v>GHSL_VOLUME</x:v>
      </x:c>
      <x:c r="E1033" s="17" t="n">
        <x:v>577057207.8100005</x:v>
      </x:c>
      <x:c r="F1033" s="17" t="n">
        <x:f>IF(AND(M1033,ISNUMBER(R1033)),IF(D1033="TEMPO_PROXY",R1033,IF(AND(ISNUMBER(S1033),S1033&gt;0,ISNUMBER(U1033)),U1033*R1033/S1033,"n.a.")),"n.a.")</x:f>
        <x:v>2681173379.2455244</x:v>
      </x:c>
      <x:c r="G1033" s="17" t="n">
        <x:f>IF(AND(ISNUMBER(E1033),ISNUMBER(F1033)),E1033-F1033,"n.a.")</x:f>
        <x:v>-2104116171.435524</x:v>
      </x:c>
      <x:c r="H1033" s="15" t="n">
        <x:f>IF(AND(ISNUMBER(E1033),ISNUMBER(F1033),F1033&gt;0),(E1033-F1033)/F1033,"n.a.")</x:f>
        <x:v>-0.7847743781596165</x:v>
      </x:c>
      <x:c r="I1033" s="19" t="n">
        <x:f>IF(ISNUMBER(H1033),ABS(H1033),"n.a.")</x:f>
        <x:v>0.7847743781596165</x:v>
      </x:c>
      <x:c r="J1033" s="2" t="str">
        <x:v>available</x:v>
      </x:c>
      <x:c r="K1033" s="2" t="n">
        <x:v>1</x:v>
      </x:c>
      <x:c r="L1033" s="13" t="b">
        <x:v>0</x:v>
      </x:c>
      <x:c r="M1033" s="13" t="b">
        <x:v>1</x:v>
      </x:c>
      <x:c r="N1033" s="2" t="str">
        <x:v>modeled_epoch_volume_with_fixed2018_height_and_predominant_use</x:v>
      </x:c>
      <x:c r="O1033" s="2" t="str"/>
      <x:c r="P1033" s="2" t="str">
        <x:v>built-up volume</x:v>
      </x:c>
      <x:c r="Q1033" s="2" t="str">
        <x:v>m3</x:v>
      </x:c>
      <x:c r="R1033" s="17" t="n">
        <x:v>6071964103.368628</x:v>
      </x:c>
      <x:c r="S1033" s="17" t="n">
        <x:v>1306842249.94</x:v>
      </x:c>
      <x:c r="T1033" s="18" t="n">
        <x:v>0.4415660787187547</x:v>
      </x:c>
      <x:c r="U1033" s="17" t="n">
        <x:v>577057207.8100005</x:v>
      </x:c>
      <x:c r="V1033" s="2" t="str">
        <x:v>Area equivalent = model2020 * source volume / TEMPO2020 volume</x:v>
      </x:c>
      <x:c r="W1033" s="2" t="str">
        <x:v>qualified_paired_native_source_frame</x:v>
      </x:c>
      <x:c r="X1033" s="2" t="str">
        <x:v>https://human-settlement.emergency.copernicus.eu/ghs_buV2023.php</x:v>
      </x:c>
    </x:row>
    <x:row r="1034" ht="23" customHeight="1">
      <x:c r="A1034" s="2" t="str">
        <x:v>COD</x:v>
      </x:c>
      <x:c r="B1034" s="2" t="str">
        <x:v>Congo (Democratic Republic of the)</x:v>
      </x:c>
      <x:c r="C1034" s="2" t="n">
        <x:v>2020</x:v>
      </x:c>
      <x:c r="D1034" s="2" t="str">
        <x:v>GHSL_VOLUME</x:v>
      </x:c>
      <x:c r="E1034" s="17" t="n">
        <x:v>941825698.8399988</x:v>
      </x:c>
      <x:c r="F1034" s="17" t="n">
        <x:f>IF(AND(M1034,ISNUMBER(R1034)),IF(D1034="TEMPO_PROXY",R1034,IF(AND(ISNUMBER(S1034),S1034&gt;0,ISNUMBER(U1034)),U1034*R1034/S1034,"n.a.")),"n.a.")</x:f>
        <x:v>5664166516.370458</x:v>
      </x:c>
      <x:c r="G1034" s="17" t="n">
        <x:f>IF(AND(ISNUMBER(E1034),ISNUMBER(F1034)),E1034-F1034,"n.a.")</x:f>
        <x:v>-4722340817.530458</x:v>
      </x:c>
      <x:c r="H1034" s="15" t="n">
        <x:f>IF(AND(ISNUMBER(E1034),ISNUMBER(F1034),F1034&gt;0),(E1034-F1034)/F1034,"n.a.")</x:f>
        <x:v>-0.8337221026045132</x:v>
      </x:c>
      <x:c r="I1034" s="19" t="n">
        <x:f>IF(ISNUMBER(H1034),ABS(H1034),"n.a.")</x:f>
        <x:v>0.8337221026045132</x:v>
      </x:c>
      <x:c r="J1034" s="2" t="str">
        <x:v>available</x:v>
      </x:c>
      <x:c r="K1034" s="2" t="n">
        <x:v>1</x:v>
      </x:c>
      <x:c r="L1034" s="13" t="b">
        <x:v>0</x:v>
      </x:c>
      <x:c r="M1034" s="13" t="b">
        <x:v>1</x:v>
      </x:c>
      <x:c r="N1034" s="2" t="str">
        <x:v>modeled_epoch_volume_with_fixed2018_height_and_predominant_use</x:v>
      </x:c>
      <x:c r="O1034" s="2" t="str"/>
      <x:c r="P1034" s="2" t="str">
        <x:v>built-up volume</x:v>
      </x:c>
      <x:c r="Q1034" s="2" t="str">
        <x:v>m3</x:v>
      </x:c>
      <x:c r="R1034" s="17" t="n">
        <x:v>12601329216.572548</x:v>
      </x:c>
      <x:c r="S1034" s="17" t="n">
        <x:v>2095322526.52</x:v>
      </x:c>
      <x:c r="T1034" s="18" t="n">
        <x:v>0.44948960693140766</x:v>
      </x:c>
      <x:c r="U1034" s="17" t="n">
        <x:v>941825698.8399988</x:v>
      </x:c>
      <x:c r="V1034" s="2" t="str">
        <x:v>Area equivalent = model2020 * source volume / TEMPO2020 volume</x:v>
      </x:c>
      <x:c r="W1034" s="2" t="str">
        <x:v>qualified_paired_native_source_frame</x:v>
      </x:c>
      <x:c r="X1034" s="2" t="str">
        <x:v>https://human-settlement.emergency.copernicus.eu/ghs_buV2023.php</x:v>
      </x:c>
    </x:row>
    <x:row r="1035" ht="23" customHeight="1">
      <x:c r="A1035" s="2" t="str">
        <x:v>COG</x:v>
      </x:c>
      <x:c r="B1035" s="2" t="str">
        <x:v>Congo (Republic of the)</x:v>
      </x:c>
      <x:c r="C1035" s="2" t="n">
        <x:v>2020</x:v>
      </x:c>
      <x:c r="D1035" s="2" t="str">
        <x:v>GHSL_VOLUME</x:v>
      </x:c>
      <x:c r="E1035" s="17" t="n">
        <x:v>110620071.65000013</x:v>
      </x:c>
      <x:c r="F1035" s="17" t="n">
        <x:f>IF(AND(M1035,ISNUMBER(R1035)),IF(D1035="TEMPO_PROXY",R1035,IF(AND(ISNUMBER(S1035),S1035&gt;0,ISNUMBER(U1035)),U1035*R1035/S1035,"n.a.")),"n.a.")</x:f>
        <x:v>526975217.12323874</x:v>
      </x:c>
      <x:c r="G1035" s="17" t="n">
        <x:f>IF(AND(ISNUMBER(E1035),ISNUMBER(F1035)),E1035-F1035,"n.a.")</x:f>
        <x:v>-416355145.4732386</x:v>
      </x:c>
      <x:c r="H1035" s="15" t="n">
        <x:f>IF(AND(ISNUMBER(E1035),ISNUMBER(F1035),F1035&gt;0),(E1035-F1035)/F1035,"n.a.")</x:f>
        <x:v>-0.7900848691635332</x:v>
      </x:c>
      <x:c r="I1035" s="19" t="n">
        <x:f>IF(ISNUMBER(H1035),ABS(H1035),"n.a.")</x:f>
        <x:v>0.7900848691635332</x:v>
      </x:c>
      <x:c r="J1035" s="2" t="str">
        <x:v>available</x:v>
      </x:c>
      <x:c r="K1035" s="2" t="n">
        <x:v>1</x:v>
      </x:c>
      <x:c r="L1035" s="13" t="b">
        <x:v>0</x:v>
      </x:c>
      <x:c r="M1035" s="13" t="b">
        <x:v>1</x:v>
      </x:c>
      <x:c r="N1035" s="2" t="str">
        <x:v>modeled_epoch_volume_with_fixed2018_height_and_predominant_use</x:v>
      </x:c>
      <x:c r="O1035" s="2" t="str"/>
      <x:c r="P1035" s="2" t="str">
        <x:v>built-up volume</x:v>
      </x:c>
      <x:c r="Q1035" s="2" t="str">
        <x:v>m3</x:v>
      </x:c>
      <x:c r="R1035" s="17" t="n">
        <x:v>1356832453.8352942</x:v>
      </x:c>
      <x:c r="S1035" s="17" t="n">
        <x:v>284819662.07</x:v>
      </x:c>
      <x:c r="T1035" s="18" t="n">
        <x:v>0.38838635944597494</x:v>
      </x:c>
      <x:c r="U1035" s="17" t="n">
        <x:v>110620071.65000013</x:v>
      </x:c>
      <x:c r="V1035" s="2" t="str">
        <x:v>Area equivalent = model2020 * source volume / TEMPO2020 volume</x:v>
      </x:c>
      <x:c r="W1035" s="2" t="str">
        <x:v>qualified_paired_native_source_frame</x:v>
      </x:c>
      <x:c r="X1035" s="2" t="str">
        <x:v>https://human-settlement.emergency.copernicus.eu/ghs_buV2023.php</x:v>
      </x:c>
    </x:row>
    <x:row r="1036" ht="23" customHeight="1">
      <x:c r="A1036" s="2" t="str">
        <x:v>COL</x:v>
      </x:c>
      <x:c r="B1036" s="2" t="str">
        <x:v>Colombia (Republic of)</x:v>
      </x:c>
      <x:c r="C1036" s="2" t="n">
        <x:v>2020</x:v>
      </x:c>
      <x:c r="D1036" s="2" t="str">
        <x:v>GHSL_VOLUME</x:v>
      </x:c>
      <x:c r="E1036" s="17" t="n">
        <x:v>1505534156.3100014</x:v>
      </x:c>
      <x:c r="F1036" s="17" t="n">
        <x:f>IF(AND(M1036,ISNUMBER(R1036)),IF(D1036="TEMPO_PROXY",R1036,IF(AND(ISNUMBER(S1036),S1036&gt;0,ISNUMBER(U1036)),U1036*R1036/S1036,"n.a.")),"n.a.")</x:f>
        <x:v>3316880363.5677137</x:v>
      </x:c>
      <x:c r="G1036" s="17" t="n">
        <x:f>IF(AND(ISNUMBER(E1036),ISNUMBER(F1036)),E1036-F1036,"n.a.")</x:f>
        <x:v>-1811346207.2577124</x:v>
      </x:c>
      <x:c r="H1036" s="15" t="n">
        <x:f>IF(AND(ISNUMBER(E1036),ISNUMBER(F1036),F1036&gt;0),(E1036-F1036)/F1036,"n.a.")</x:f>
        <x:v>-0.5460993490007539</x:v>
      </x:c>
      <x:c r="I1036" s="19" t="n">
        <x:f>IF(ISNUMBER(H1036),ABS(H1036),"n.a.")</x:f>
        <x:v>0.5460993490007539</x:v>
      </x:c>
      <x:c r="J1036" s="2" t="str">
        <x:v>available</x:v>
      </x:c>
      <x:c r="K1036" s="2" t="n">
        <x:v>1</x:v>
      </x:c>
      <x:c r="L1036" s="13" t="b">
        <x:v>0</x:v>
      </x:c>
      <x:c r="M1036" s="13" t="b">
        <x:v>1</x:v>
      </x:c>
      <x:c r="N1036" s="2" t="str">
        <x:v>modeled_epoch_volume_with_fixed2018_height_and_predominant_use</x:v>
      </x:c>
      <x:c r="O1036" s="2" t="str"/>
      <x:c r="P1036" s="2" t="str">
        <x:v>built-up volume</x:v>
      </x:c>
      <x:c r="Q1036" s="2" t="str">
        <x:v>m3</x:v>
      </x:c>
      <x:c r="R1036" s="17" t="n">
        <x:v>9929835615.784313</x:v>
      </x:c>
      <x:c r="S1036" s="17" t="n">
        <x:v>4507158850.32</x:v>
      </x:c>
      <x:c r="T1036" s="18" t="n">
        <x:v>0.3340317495583967</x:v>
      </x:c>
      <x:c r="U1036" s="17" t="n">
        <x:v>1505534156.3100014</x:v>
      </x:c>
      <x:c r="V1036" s="2" t="str">
        <x:v>Area equivalent = model2020 * source volume / TEMPO2020 volume</x:v>
      </x:c>
      <x:c r="W1036" s="2" t="str">
        <x:v>qualified_paired_native_source_frame</x:v>
      </x:c>
      <x:c r="X1036" s="2" t="str">
        <x:v>https://human-settlement.emergency.copernicus.eu/ghs_buV2023.php</x:v>
      </x:c>
    </x:row>
    <x:row r="1037" ht="23" customHeight="1">
      <x:c r="A1037" s="2" t="str">
        <x:v>COM</x:v>
      </x:c>
      <x:c r="B1037" s="2" t="str">
        <x:v>Comoros (Union of the)</x:v>
      </x:c>
      <x:c r="C1037" s="2" t="n">
        <x:v>2020</x:v>
      </x:c>
      <x:c r="D1037" s="2" t="str">
        <x:v>GHSL_VOLUME</x:v>
      </x:c>
      <x:c r="E1037" s="17" t="n">
        <x:v>18035090.40999997</x:v>
      </x:c>
      <x:c r="F1037" s="17" t="n">
        <x:f>IF(AND(M1037,ISNUMBER(R1037)),IF(D1037="TEMPO_PROXY",R1037,IF(AND(ISNUMBER(S1037),S1037&gt;0,ISNUMBER(U1037)),U1037*R1037/S1037,"n.a.")),"n.a.")</x:f>
        <x:v>51729111.91292102</x:v>
      </x:c>
      <x:c r="G1037" s="17" t="n">
        <x:f>IF(AND(ISNUMBER(E1037),ISNUMBER(F1037)),E1037-F1037,"n.a.")</x:f>
        <x:v>-33694021.502921045</x:v>
      </x:c>
      <x:c r="H1037" s="15" t="n">
        <x:f>IF(AND(ISNUMBER(E1037),ISNUMBER(F1037),F1037&gt;0),(E1037-F1037)/F1037,"n.a.")</x:f>
        <x:v>-0.6513551123715479</x:v>
      </x:c>
      <x:c r="I1037" s="19" t="n">
        <x:f>IF(ISNUMBER(H1037),ABS(H1037),"n.a.")</x:f>
        <x:v>0.6513551123715479</x:v>
      </x:c>
      <x:c r="J1037" s="2" t="str">
        <x:v>available</x:v>
      </x:c>
      <x:c r="K1037" s="2" t="n">
        <x:v>1</x:v>
      </x:c>
      <x:c r="L1037" s="13" t="b">
        <x:v>0</x:v>
      </x:c>
      <x:c r="M1037" s="13" t="b">
        <x:v>1</x:v>
      </x:c>
      <x:c r="N1037" s="2" t="str">
        <x:v>modeled_epoch_volume_with_fixed2018_height_and_predominant_use</x:v>
      </x:c>
      <x:c r="O1037" s="2" t="str"/>
      <x:c r="P1037" s="2" t="str">
        <x:v>built-up volume</x:v>
      </x:c>
      <x:c r="Q1037" s="2" t="str">
        <x:v>m3</x:v>
      </x:c>
      <x:c r="R1037" s="17" t="n">
        <x:v>135192764.73725492</x:v>
      </x:c>
      <x:c r="S1037" s="17" t="n">
        <x:v>47134266.27</x:v>
      </x:c>
      <x:c r="T1037" s="18" t="n">
        <x:v>0.38263225116710764</x:v>
      </x:c>
      <x:c r="U1037" s="17" t="n">
        <x:v>18035090.40999997</x:v>
      </x:c>
      <x:c r="V1037" s="2" t="str">
        <x:v>Area equivalent = model2020 * source volume / TEMPO2020 volume</x:v>
      </x:c>
      <x:c r="W1037" s="2" t="str">
        <x:v>qualified_paired_native_source_frame</x:v>
      </x:c>
      <x:c r="X1037" s="2" t="str">
        <x:v>https://human-settlement.emergency.copernicus.eu/ghs_buV2023.php</x:v>
      </x:c>
    </x:row>
    <x:row r="1038" ht="23" customHeight="1">
      <x:c r="A1038" s="2" t="str">
        <x:v>CPV</x:v>
      </x:c>
      <x:c r="B1038" s="2" t="str">
        <x:v>Cabo Verde (Republic of)</x:v>
      </x:c>
      <x:c r="C1038" s="2" t="n">
        <x:v>2020</x:v>
      </x:c>
      <x:c r="D1038" s="2" t="str">
        <x:v>GHSL_VOLUME</x:v>
      </x:c>
      <x:c r="E1038" s="17" t="n">
        <x:v>21833832.63999998</x:v>
      </x:c>
      <x:c r="F1038" s="17" t="n">
        <x:f>IF(AND(M1038,ISNUMBER(R1038)),IF(D1038="TEMPO_PROXY",R1038,IF(AND(ISNUMBER(S1038),S1038&gt;0,ISNUMBER(U1038)),U1038*R1038/S1038,"n.a.")),"n.a.")</x:f>
        <x:v>44173453.18368532</x:v>
      </x:c>
      <x:c r="G1038" s="17" t="n">
        <x:f>IF(AND(ISNUMBER(E1038),ISNUMBER(F1038)),E1038-F1038,"n.a.")</x:f>
        <x:v>-22339620.54368534</x:v>
      </x:c>
      <x:c r="H1038" s="15" t="n">
        <x:f>IF(AND(ISNUMBER(E1038),ISNUMBER(F1038),F1038&gt;0),(E1038-F1038)/F1038,"n.a.")</x:f>
        <x:v>-0.5057250211069322</x:v>
      </x:c>
      <x:c r="I1038" s="19" t="n">
        <x:f>IF(ISNUMBER(H1038),ABS(H1038),"n.a.")</x:f>
        <x:v>0.5057250211069322</x:v>
      </x:c>
      <x:c r="J1038" s="2" t="str">
        <x:v>available</x:v>
      </x:c>
      <x:c r="K1038" s="2" t="n">
        <x:v>1</x:v>
      </x:c>
      <x:c r="L1038" s="13" t="b">
        <x:v>0</x:v>
      </x:c>
      <x:c r="M1038" s="13" t="b">
        <x:v>1</x:v>
      </x:c>
      <x:c r="N1038" s="2" t="str">
        <x:v>modeled_epoch_volume_with_fixed2018_height_and_predominant_use</x:v>
      </x:c>
      <x:c r="O1038" s="2" t="str"/>
      <x:c r="P1038" s="2" t="str">
        <x:v>built-up volume</x:v>
      </x:c>
      <x:c r="Q1038" s="2" t="str">
        <x:v>m3</x:v>
      </x:c>
      <x:c r="R1038" s="17" t="n">
        <x:v>130584032.545098</x:v>
      </x:c>
      <x:c r="S1038" s="17" t="n">
        <x:v>64544419.93</x:v>
      </x:c>
      <x:c r="T1038" s="18" t="n">
        <x:v>0.33827606884807865</x:v>
      </x:c>
      <x:c r="U1038" s="17" t="n">
        <x:v>21833832.63999998</x:v>
      </x:c>
      <x:c r="V1038" s="2" t="str">
        <x:v>Area equivalent = model2020 * source volume / TEMPO2020 volume</x:v>
      </x:c>
      <x:c r="W1038" s="2" t="str">
        <x:v>qualified_paired_native_source_frame</x:v>
      </x:c>
      <x:c r="X1038" s="2" t="str">
        <x:v>https://human-settlement.emergency.copernicus.eu/ghs_buV2023.php</x:v>
      </x:c>
    </x:row>
    <x:row r="1039" ht="23" customHeight="1">
      <x:c r="A1039" s="2" t="str">
        <x:v>CRI</x:v>
      </x:c>
      <x:c r="B1039" s="2" t="str">
        <x:v>Costa Rica (Republic of)</x:v>
      </x:c>
      <x:c r="C1039" s="2" t="n">
        <x:v>2020</x:v>
      </x:c>
      <x:c r="D1039" s="2" t="str">
        <x:v>GHSL_VOLUME</x:v>
      </x:c>
      <x:c r="E1039" s="17" t="n">
        <x:v>284786315.38999987</x:v>
      </x:c>
      <x:c r="F1039" s="17" t="n">
        <x:f>IF(AND(M1039,ISNUMBER(R1039)),IF(D1039="TEMPO_PROXY",R1039,IF(AND(ISNUMBER(S1039),S1039&gt;0,ISNUMBER(U1039)),U1039*R1039/S1039,"n.a.")),"n.a.")</x:f>
        <x:v>716577972.1710887</x:v>
      </x:c>
      <x:c r="G1039" s="17" t="n">
        <x:f>IF(AND(ISNUMBER(E1039),ISNUMBER(F1039)),E1039-F1039,"n.a.")</x:f>
        <x:v>-431791656.7810888</x:v>
      </x:c>
      <x:c r="H1039" s="15" t="n">
        <x:f>IF(AND(ISNUMBER(E1039),ISNUMBER(F1039),F1039&gt;0),(E1039-F1039)/F1039,"n.a.")</x:f>
        <x:v>-0.6025745606899497</x:v>
      </x:c>
      <x:c r="I1039" s="19" t="n">
        <x:f>IF(ISNUMBER(H1039),ABS(H1039),"n.a.")</x:f>
        <x:v>0.6025745606899497</x:v>
      </x:c>
      <x:c r="J1039" s="2" t="str">
        <x:v>available</x:v>
      </x:c>
      <x:c r="K1039" s="2" t="n">
        <x:v>1</x:v>
      </x:c>
      <x:c r="L1039" s="13" t="b">
        <x:v>0</x:v>
      </x:c>
      <x:c r="M1039" s="13" t="b">
        <x:v>1</x:v>
      </x:c>
      <x:c r="N1039" s="2" t="str">
        <x:v>modeled_epoch_volume_with_fixed2018_height_and_predominant_use</x:v>
      </x:c>
      <x:c r="O1039" s="2" t="str"/>
      <x:c r="P1039" s="2" t="str">
        <x:v>built-up volume</x:v>
      </x:c>
      <x:c r="Q1039" s="2" t="str">
        <x:v>m3</x:v>
      </x:c>
      <x:c r="R1039" s="17" t="n">
        <x:v>1895073761.6784313</x:v>
      </x:c>
      <x:c r="S1039" s="17" t="n">
        <x:v>753150522.26</x:v>
      </x:c>
      <x:c r="T1039" s="18" t="n">
        <x:v>0.37812669177395447</x:v>
      </x:c>
      <x:c r="U1039" s="17" t="n">
        <x:v>284786315.38999987</x:v>
      </x:c>
      <x:c r="V1039" s="2" t="str">
        <x:v>Area equivalent = model2020 * source volume / TEMPO2020 volume</x:v>
      </x:c>
      <x:c r="W1039" s="2" t="str">
        <x:v>qualified_paired_native_source_frame</x:v>
      </x:c>
      <x:c r="X1039" s="2" t="str">
        <x:v>https://human-settlement.emergency.copernicus.eu/ghs_buV2023.php</x:v>
      </x:c>
    </x:row>
    <x:row r="1040" ht="23" customHeight="1">
      <x:c r="A1040" s="2" t="str">
        <x:v>CUB</x:v>
      </x:c>
      <x:c r="B1040" s="2" t="str">
        <x:v>Cuba (Republic of)</x:v>
      </x:c>
      <x:c r="C1040" s="2" t="n">
        <x:v>2020</x:v>
      </x:c>
      <x:c r="D1040" s="2" t="str">
        <x:v>GHSL_VOLUME</x:v>
      </x:c>
      <x:c r="E1040" s="17" t="n">
        <x:v>360088927.4199998</x:v>
      </x:c>
      <x:c r="F1040" s="17" t="n">
        <x:f>IF(AND(M1040,ISNUMBER(R1040)),IF(D1040="TEMPO_PROXY",R1040,IF(AND(ISNUMBER(S1040),S1040&gt;0,ISNUMBER(U1040)),U1040*R1040/S1040,"n.a.")),"n.a.")</x:f>
        <x:v>790894676.1510149</x:v>
      </x:c>
      <x:c r="G1040" s="17" t="n">
        <x:f>IF(AND(ISNUMBER(E1040),ISNUMBER(F1040)),E1040-F1040,"n.a.")</x:f>
        <x:v>-430805748.73101515</x:v>
      </x:c>
      <x:c r="H1040" s="15" t="n">
        <x:f>IF(AND(ISNUMBER(E1040),ISNUMBER(F1040),F1040&gt;0),(E1040-F1040)/F1040,"n.a.")</x:f>
        <x:v>-0.5447068512682165</x:v>
      </x:c>
      <x:c r="I1040" s="19" t="n">
        <x:f>IF(ISNUMBER(H1040),ABS(H1040),"n.a.")</x:f>
        <x:v>0.5447068512682165</x:v>
      </x:c>
      <x:c r="J1040" s="2" t="str">
        <x:v>available</x:v>
      </x:c>
      <x:c r="K1040" s="2" t="n">
        <x:v>1</x:v>
      </x:c>
      <x:c r="L1040" s="13" t="b">
        <x:v>0</x:v>
      </x:c>
      <x:c r="M1040" s="13" t="b">
        <x:v>1</x:v>
      </x:c>
      <x:c r="N1040" s="2" t="str">
        <x:v>modeled_epoch_volume_with_fixed2018_height_and_predominant_use</x:v>
      </x:c>
      <x:c r="O1040" s="2" t="str"/>
      <x:c r="P1040" s="2" t="str">
        <x:v>built-up volume</x:v>
      </x:c>
      <x:c r="Q1040" s="2" t="str">
        <x:v>m3</x:v>
      </x:c>
      <x:c r="R1040" s="17" t="n">
        <x:v>2052274926.6549013</x:v>
      </x:c>
      <x:c r="S1040" s="17" t="n">
        <x:v>934386713.42</x:v>
      </x:c>
      <x:c r="T1040" s="18" t="n">
        <x:v>0.38537462299952724</x:v>
      </x:c>
      <x:c r="U1040" s="17" t="n">
        <x:v>360088927.4199998</x:v>
      </x:c>
      <x:c r="V1040" s="2" t="str">
        <x:v>Area equivalent = model2020 * source volume / TEMPO2020 volume</x:v>
      </x:c>
      <x:c r="W1040" s="2" t="str">
        <x:v>qualified_paired_native_source_frame</x:v>
      </x:c>
      <x:c r="X1040" s="2" t="str">
        <x:v>https://human-settlement.emergency.copernicus.eu/ghs_buV2023.php</x:v>
      </x:c>
    </x:row>
    <x:row r="1041" ht="23" customHeight="1">
      <x:c r="A1041" s="2" t="str">
        <x:v>CYP</x:v>
      </x:c>
      <x:c r="B1041" s="2" t="str">
        <x:v>Cyprus (Republic of)</x:v>
      </x:c>
      <x:c r="C1041" s="2" t="n">
        <x:v>2020</x:v>
      </x:c>
      <x:c r="D1041" s="2" t="str">
        <x:v>GHSL_VOLUME</x:v>
      </x:c>
      <x:c r="E1041" s="17" t="n">
        <x:v>124124771.75000016</x:v>
      </x:c>
      <x:c r="F1041" s="17" t="n">
        <x:f>IF(AND(M1041,ISNUMBER(R1041)),IF(D1041="TEMPO_PROXY",R1041,IF(AND(ISNUMBER(S1041),S1041&gt;0,ISNUMBER(U1041)),U1041*R1041/S1041,"n.a.")),"n.a.")</x:f>
        <x:v>292340319.1087037</x:v>
      </x:c>
      <x:c r="G1041" s="17" t="n">
        <x:f>IF(AND(ISNUMBER(E1041),ISNUMBER(F1041)),E1041-F1041,"n.a.")</x:f>
        <x:v>-168215547.3587035</x:v>
      </x:c>
      <x:c r="H1041" s="15" t="n">
        <x:f>IF(AND(ISNUMBER(E1041),ISNUMBER(F1041),F1041&gt;0),(E1041-F1041)/F1041,"n.a.")</x:f>
        <x:v>-0.5754100148469575</x:v>
      </x:c>
      <x:c r="I1041" s="19" t="n">
        <x:f>IF(ISNUMBER(H1041),ABS(H1041),"n.a.")</x:f>
        <x:v>0.5754100148469575</x:v>
      </x:c>
      <x:c r="J1041" s="2" t="str">
        <x:v>available</x:v>
      </x:c>
      <x:c r="K1041" s="2" t="n">
        <x:v>1</x:v>
      </x:c>
      <x:c r="L1041" s="13" t="b">
        <x:v>0</x:v>
      </x:c>
      <x:c r="M1041" s="13" t="b">
        <x:v>1</x:v>
      </x:c>
      <x:c r="N1041" s="2" t="str">
        <x:v>modeled_epoch_volume_with_fixed2018_height_and_predominant_use</x:v>
      </x:c>
      <x:c r="O1041" s="2" t="str"/>
      <x:c r="P1041" s="2" t="str">
        <x:v>built-up volume</x:v>
      </x:c>
      <x:c r="Q1041" s="2" t="str">
        <x:v>m3</x:v>
      </x:c>
      <x:c r="R1041" s="17" t="n">
        <x:v>835513154.8901961</x:v>
      </x:c>
      <x:c r="S1041" s="17" t="n">
        <x:v>354750518.03</x:v>
      </x:c>
      <x:c r="T1041" s="18" t="n">
        <x:v>0.3498931374062247</x:v>
      </x:c>
      <x:c r="U1041" s="17" t="n">
        <x:v>124124771.75000016</x:v>
      </x:c>
      <x:c r="V1041" s="2" t="str">
        <x:v>Area equivalent = model2020 * source volume / TEMPO2020 volume</x:v>
      </x:c>
      <x:c r="W1041" s="2" t="str">
        <x:v>qualified_paired_native_source_frame</x:v>
      </x:c>
      <x:c r="X1041" s="2" t="str">
        <x:v>https://human-settlement.emergency.copernicus.eu/ghs_buV2023.php</x:v>
      </x:c>
    </x:row>
    <x:row r="1042" ht="23" customHeight="1">
      <x:c r="A1042" s="2" t="str">
        <x:v>CZE</x:v>
      </x:c>
      <x:c r="B1042" s="2" t="str">
        <x:v>Czechia (Czech Republic)</x:v>
      </x:c>
      <x:c r="C1042" s="2" t="n">
        <x:v>2020</x:v>
      </x:c>
      <x:c r="D1042" s="2" t="str">
        <x:v>GHSL_VOLUME</x:v>
      </x:c>
      <x:c r="E1042" s="17" t="n">
        <x:v>853858176.0500003</x:v>
      </x:c>
      <x:c r="F1042" s="17" t="n">
        <x:f>IF(AND(M1042,ISNUMBER(R1042)),IF(D1042="TEMPO_PROXY",R1042,IF(AND(ISNUMBER(S1042),S1042&gt;0,ISNUMBER(U1042)),U1042*R1042/S1042,"n.a.")),"n.a.")</x:f>
        <x:v>1727428467.669378</x:v>
      </x:c>
      <x:c r="G1042" s="17" t="n">
        <x:f>IF(AND(ISNUMBER(E1042),ISNUMBER(F1042)),E1042-F1042,"n.a.")</x:f>
        <x:v>-873570291.6193777</x:v>
      </x:c>
      <x:c r="H1042" s="15" t="n">
        <x:f>IF(AND(ISNUMBER(E1042),ISNUMBER(F1042),F1042&gt;0),(E1042-F1042)/F1042,"n.a.")</x:f>
        <x:v>-0.5057056242670276</x:v>
      </x:c>
      <x:c r="I1042" s="19" t="n">
        <x:f>IF(ISNUMBER(H1042),ABS(H1042),"n.a.")</x:f>
        <x:v>0.5057056242670276</x:v>
      </x:c>
      <x:c r="J1042" s="2" t="str">
        <x:v>available</x:v>
      </x:c>
      <x:c r="K1042" s="2" t="n">
        <x:v>1</x:v>
      </x:c>
      <x:c r="L1042" s="13" t="b">
        <x:v>0</x:v>
      </x:c>
      <x:c r="M1042" s="13" t="b">
        <x:v>1</x:v>
      </x:c>
      <x:c r="N1042" s="2" t="str">
        <x:v>modeled_epoch_volume_with_fixed2018_height_and_predominant_use</x:v>
      </x:c>
      <x:c r="O1042" s="2" t="str"/>
      <x:c r="P1042" s="2" t="str">
        <x:v>built-up volume</x:v>
      </x:c>
      <x:c r="Q1042" s="2" t="str">
        <x:v>m3</x:v>
      </x:c>
      <x:c r="R1042" s="17" t="n">
        <x:v>5915070621.741177</x:v>
      </x:c>
      <x:c r="S1042" s="17" t="n">
        <x:v>2923786140.39</x:v>
      </x:c>
      <x:c r="T1042" s="18" t="n">
        <x:v>0.292038519594359</x:v>
      </x:c>
      <x:c r="U1042" s="17" t="n">
        <x:v>853858176.0500003</x:v>
      </x:c>
      <x:c r="V1042" s="2" t="str">
        <x:v>Area equivalent = model2020 * source volume / TEMPO2020 volume</x:v>
      </x:c>
      <x:c r="W1042" s="2" t="str">
        <x:v>qualified_paired_native_source_frame</x:v>
      </x:c>
      <x:c r="X1042" s="2" t="str">
        <x:v>https://human-settlement.emergency.copernicus.eu/ghs_buV2023.php</x:v>
      </x:c>
    </x:row>
    <x:row r="1043" ht="23" customHeight="1">
      <x:c r="A1043" s="2" t="str">
        <x:v>DEU</x:v>
      </x:c>
      <x:c r="B1043" s="2" t="str">
        <x:v>Germany (Federal Republic of)</x:v>
      </x:c>
      <x:c r="C1043" s="2" t="n">
        <x:v>2020</x:v>
      </x:c>
      <x:c r="D1043" s="2" t="str">
        <x:v>GHSL_VOLUME</x:v>
      </x:c>
      <x:c r="E1043" s="17" t="n">
        <x:v>6611215465.220001</x:v>
      </x:c>
      <x:c r="F1043" s="17" t="n">
        <x:f>IF(AND(M1043,ISNUMBER(R1043)),IF(D1043="TEMPO_PROXY",R1043,IF(AND(ISNUMBER(S1043),S1043&gt;0,ISNUMBER(U1043)),U1043*R1043/S1043,"n.a.")),"n.a.")</x:f>
        <x:v>15233961641.689268</x:v>
      </x:c>
      <x:c r="G1043" s="17" t="n">
        <x:f>IF(AND(ISNUMBER(E1043),ISNUMBER(F1043)),E1043-F1043,"n.a.")</x:f>
        <x:v>-8622746176.469267</x:v>
      </x:c>
      <x:c r="H1043" s="15" t="n">
        <x:f>IF(AND(ISNUMBER(E1043),ISNUMBER(F1043),F1043&gt;0),(E1043-F1043)/F1043,"n.a.")</x:f>
        <x:v>-0.5660212608696779</x:v>
      </x:c>
      <x:c r="I1043" s="19" t="n">
        <x:f>IF(ISNUMBER(H1043),ABS(H1043),"n.a.")</x:f>
        <x:v>0.5660212608696779</x:v>
      </x:c>
      <x:c r="J1043" s="2" t="str">
        <x:v>available</x:v>
      </x:c>
      <x:c r="K1043" s="2" t="n">
        <x:v>1</x:v>
      </x:c>
      <x:c r="L1043" s="13" t="b">
        <x:v>0</x:v>
      </x:c>
      <x:c r="M1043" s="13" t="b">
        <x:v>1</x:v>
      </x:c>
      <x:c r="N1043" s="2" t="str">
        <x:v>modeled_epoch_volume_with_fixed2018_height_and_predominant_use</x:v>
      </x:c>
      <x:c r="O1043" s="2" t="str"/>
      <x:c r="P1043" s="2" t="str">
        <x:v>built-up volume</x:v>
      </x:c>
      <x:c r="Q1043" s="2" t="str">
        <x:v>m3</x:v>
      </x:c>
      <x:c r="R1043" s="17" t="n">
        <x:v>53095142788.298035</x:v>
      </x:c>
      <x:c r="S1043" s="17" t="n">
        <x:v>23042163121.21</x:v>
      </x:c>
      <x:c r="T1043" s="18" t="n">
        <x:v>0.2869181782301709</x:v>
      </x:c>
      <x:c r="U1043" s="17" t="n">
        <x:v>6611215465.220001</x:v>
      </x:c>
      <x:c r="V1043" s="2" t="str">
        <x:v>Area equivalent = model2020 * source volume / TEMPO2020 volume</x:v>
      </x:c>
      <x:c r="W1043" s="2" t="str">
        <x:v>qualified_paired_native_source_frame</x:v>
      </x:c>
      <x:c r="X1043" s="2" t="str">
        <x:v>https://human-settlement.emergency.copernicus.eu/ghs_buV2023.php</x:v>
      </x:c>
    </x:row>
    <x:row r="1044" ht="23" customHeight="1">
      <x:c r="A1044" s="2" t="str">
        <x:v>DJI</x:v>
      </x:c>
      <x:c r="B1044" s="2" t="str">
        <x:v>Djibouti (Republic of)</x:v>
      </x:c>
      <x:c r="C1044" s="2" t="n">
        <x:v>2020</x:v>
      </x:c>
      <x:c r="D1044" s="2" t="str">
        <x:v>GHSL_VOLUME</x:v>
      </x:c>
      <x:c r="E1044" s="17" t="n">
        <x:v>12588327.629999984</x:v>
      </x:c>
      <x:c r="F1044" s="17" t="n">
        <x:f>IF(AND(M1044,ISNUMBER(R1044)),IF(D1044="TEMPO_PROXY",R1044,IF(AND(ISNUMBER(S1044),S1044&gt;0,ISNUMBER(U1044)),U1044*R1044/S1044,"n.a.")),"n.a.")</x:f>
        <x:v>48590312.67798569</x:v>
      </x:c>
      <x:c r="G1044" s="17" t="n">
        <x:f>IF(AND(ISNUMBER(E1044),ISNUMBER(F1044)),E1044-F1044,"n.a.")</x:f>
        <x:v>-36001985.0479857</x:v>
      </x:c>
      <x:c r="H1044" s="15" t="n">
        <x:f>IF(AND(ISNUMBER(E1044),ISNUMBER(F1044),F1044&gt;0),(E1044-F1044)/F1044,"n.a.")</x:f>
        <x:v>-0.7409292730132347</x:v>
      </x:c>
      <x:c r="I1044" s="19" t="n">
        <x:f>IF(ISNUMBER(H1044),ABS(H1044),"n.a.")</x:f>
        <x:v>0.7409292730132347</x:v>
      </x:c>
      <x:c r="J1044" s="2" t="str">
        <x:v>available</x:v>
      </x:c>
      <x:c r="K1044" s="2" t="n">
        <x:v>1</x:v>
      </x:c>
      <x:c r="L1044" s="13" t="b">
        <x:v>0</x:v>
      </x:c>
      <x:c r="M1044" s="13" t="b">
        <x:v>1</x:v>
      </x:c>
      <x:c r="N1044" s="2" t="str">
        <x:v>modeled_epoch_volume_with_fixed2018_height_and_predominant_use</x:v>
      </x:c>
      <x:c r="O1044" s="2" t="str"/>
      <x:c r="P1044" s="2" t="str">
        <x:v>built-up volume</x:v>
      </x:c>
      <x:c r="Q1044" s="2" t="str">
        <x:v>m3</x:v>
      </x:c>
      <x:c r="R1044" s="17" t="n">
        <x:v>143146615.06274512</x:v>
      </x:c>
      <x:c r="S1044" s="17" t="n">
        <x:v>37085097.63</x:v>
      </x:c>
      <x:c r="T1044" s="18" t="n">
        <x:v>0.3394443707710952</x:v>
      </x:c>
      <x:c r="U1044" s="17" t="n">
        <x:v>12588327.629999984</x:v>
      </x:c>
      <x:c r="V1044" s="2" t="str">
        <x:v>Area equivalent = model2020 * source volume / TEMPO2020 volume</x:v>
      </x:c>
      <x:c r="W1044" s="2" t="str">
        <x:v>qualified_paired_native_source_frame</x:v>
      </x:c>
      <x:c r="X1044" s="2" t="str">
        <x:v>https://human-settlement.emergency.copernicus.eu/ghs_buV2023.php</x:v>
      </x:c>
    </x:row>
    <x:row r="1045" ht="23" customHeight="1">
      <x:c r="A1045" s="2" t="str">
        <x:v>DMA</x:v>
      </x:c>
      <x:c r="B1045" s="2" t="str">
        <x:v>Dominica (Commonwealth of)</x:v>
      </x:c>
      <x:c r="C1045" s="2" t="n">
        <x:v>2020</x:v>
      </x:c>
      <x:c r="D1045" s="2" t="str">
        <x:v>GHSL_VOLUME</x:v>
      </x:c>
      <x:c r="E1045" s="17" t="n">
        <x:v>3947192.6899999985</x:v>
      </x:c>
      <x:c r="F1045" s="17" t="n">
        <x:f>IF(AND(M1045,ISNUMBER(R1045)),IF(D1045="TEMPO_PROXY",R1045,IF(AND(ISNUMBER(S1045),S1045&gt;0,ISNUMBER(U1045)),U1045*R1045/S1045,"n.a.")),"n.a.")</x:f>
        <x:v>8317881.086011006</x:v>
      </x:c>
      <x:c r="G1045" s="17" t="n">
        <x:f>IF(AND(ISNUMBER(E1045),ISNUMBER(F1045)),E1045-F1045,"n.a.")</x:f>
        <x:v>-4370688.396011007</x:v>
      </x:c>
      <x:c r="H1045" s="15" t="n">
        <x:f>IF(AND(ISNUMBER(E1045),ISNUMBER(F1045),F1045&gt;0),(E1045-F1045)/F1045,"n.a.")</x:f>
        <x:v>-0.5254569464044901</x:v>
      </x:c>
      <x:c r="I1045" s="19" t="n">
        <x:f>IF(ISNUMBER(H1045),ABS(H1045),"n.a.")</x:f>
        <x:v>0.5254569464044901</x:v>
      </x:c>
      <x:c r="J1045" s="2" t="str">
        <x:v>available</x:v>
      </x:c>
      <x:c r="K1045" s="2" t="n">
        <x:v>1</x:v>
      </x:c>
      <x:c r="L1045" s="13" t="b">
        <x:v>0</x:v>
      </x:c>
      <x:c r="M1045" s="13" t="b">
        <x:v>1</x:v>
      </x:c>
      <x:c r="N1045" s="2" t="str">
        <x:v>modeled_epoch_volume_with_fixed2018_height_and_predominant_use</x:v>
      </x:c>
      <x:c r="O1045" s="2" t="str"/>
      <x:c r="P1045" s="2" t="str">
        <x:v>built-up volume</x:v>
      </x:c>
      <x:c r="Q1045" s="2" t="str">
        <x:v>m3</x:v>
      </x:c>
      <x:c r="R1045" s="17" t="n">
        <x:v>19920845.07058823</x:v>
      </x:c>
      <x:c r="S1045" s="17" t="n">
        <x:v>9453298.65</x:v>
      </x:c>
      <x:c r="T1045" s="18" t="n">
        <x:v>0.41754659787459464</x:v>
      </x:c>
      <x:c r="U1045" s="17" t="n">
        <x:v>3947192.6899999985</x:v>
      </x:c>
      <x:c r="V1045" s="2" t="str">
        <x:v>Area equivalent = model2020 * source volume / TEMPO2020 volume</x:v>
      </x:c>
      <x:c r="W1045" s="2" t="str">
        <x:v>qualified_paired_native_source_frame</x:v>
      </x:c>
      <x:c r="X1045" s="2" t="str">
        <x:v>https://human-settlement.emergency.copernicus.eu/ghs_buV2023.php</x:v>
      </x:c>
    </x:row>
    <x:row r="1046" ht="23" customHeight="1">
      <x:c r="A1046" s="2" t="str">
        <x:v>DNK</x:v>
      </x:c>
      <x:c r="B1046" s="2" t="str">
        <x:v>Denmark (Kingdom of)</x:v>
      </x:c>
      <x:c r="C1046" s="2" t="n">
        <x:v>2020</x:v>
      </x:c>
      <x:c r="D1046" s="2" t="str">
        <x:v>GHSL_VOLUME</x:v>
      </x:c>
      <x:c r="E1046" s="17" t="n">
        <x:v>665059716.8900009</x:v>
      </x:c>
      <x:c r="F1046" s="17" t="n">
        <x:f>IF(AND(M1046,ISNUMBER(R1046)),IF(D1046="TEMPO_PROXY",R1046,IF(AND(ISNUMBER(S1046),S1046&gt;0,ISNUMBER(U1046)),U1046*R1046/S1046,"n.a.")),"n.a.")</x:f>
        <x:v>1119543846.4112985</x:v>
      </x:c>
      <x:c r="G1046" s="17" t="n">
        <x:f>IF(AND(ISNUMBER(E1046),ISNUMBER(F1046)),E1046-F1046,"n.a.")</x:f>
        <x:v>-454484129.5212976</x:v>
      </x:c>
      <x:c r="H1046" s="15" t="n">
        <x:f>IF(AND(ISNUMBER(E1046),ISNUMBER(F1046),F1046&gt;0),(E1046-F1046)/F1046,"n.a.")</x:f>
        <x:v>-0.4059547386001432</x:v>
      </x:c>
      <x:c r="I1046" s="19" t="n">
        <x:f>IF(ISNUMBER(H1046),ABS(H1046),"n.a.")</x:f>
        <x:v>0.4059547386001432</x:v>
      </x:c>
      <x:c r="J1046" s="2" t="str">
        <x:v>available</x:v>
      </x:c>
      <x:c r="K1046" s="2" t="n">
        <x:v>1</x:v>
      </x:c>
      <x:c r="L1046" s="13" t="b">
        <x:v>0</x:v>
      </x:c>
      <x:c r="M1046" s="13" t="b">
        <x:v>1</x:v>
      </x:c>
      <x:c r="N1046" s="2" t="str">
        <x:v>modeled_epoch_volume_with_fixed2018_height_and_predominant_use</x:v>
      </x:c>
      <x:c r="O1046" s="2" t="str"/>
      <x:c r="P1046" s="2" t="str">
        <x:v>built-up volume</x:v>
      </x:c>
      <x:c r="Q1046" s="2" t="str">
        <x:v>m3</x:v>
      </x:c>
      <x:c r="R1046" s="17" t="n">
        <x:v>3743423894.384314</x:v>
      </x:c>
      <x:c r="S1046" s="17" t="n">
        <x:v>2223763225.87</x:v>
      </x:c>
      <x:c r="T1046" s="18" t="n">
        <x:v>0.2990694823770235</x:v>
      </x:c>
      <x:c r="U1046" s="17" t="n">
        <x:v>665059716.8900009</x:v>
      </x:c>
      <x:c r="V1046" s="2" t="str">
        <x:v>Area equivalent = model2020 * source volume / TEMPO2020 volume</x:v>
      </x:c>
      <x:c r="W1046" s="2" t="str">
        <x:v>qualified_paired_native_source_frame</x:v>
      </x:c>
      <x:c r="X1046" s="2" t="str">
        <x:v>https://human-settlement.emergency.copernicus.eu/ghs_buV2023.php</x:v>
      </x:c>
    </x:row>
    <x:row r="1047" ht="23" customHeight="1">
      <x:c r="A1047" s="2" t="str">
        <x:v>DOM</x:v>
      </x:c>
      <x:c r="B1047" s="2" t="str">
        <x:v>Dominican Republic</x:v>
      </x:c>
      <x:c r="C1047" s="2" t="n">
        <x:v>2020</x:v>
      </x:c>
      <x:c r="D1047" s="2" t="str">
        <x:v>GHSL_VOLUME</x:v>
      </x:c>
      <x:c r="E1047" s="17" t="n">
        <x:v>336248050.8900004</x:v>
      </x:c>
      <x:c r="F1047" s="17" t="n">
        <x:f>IF(AND(M1047,ISNUMBER(R1047)),IF(D1047="TEMPO_PROXY",R1047,IF(AND(ISNUMBER(S1047),S1047&gt;0,ISNUMBER(U1047)),U1047*R1047/S1047,"n.a.")),"n.a.")</x:f>
        <x:v>997931957.5348227</x:v>
      </x:c>
      <x:c r="G1047" s="17" t="n">
        <x:f>IF(AND(ISNUMBER(E1047),ISNUMBER(F1047)),E1047-F1047,"n.a.")</x:f>
        <x:v>-661683906.6448224</x:v>
      </x:c>
      <x:c r="H1047" s="15" t="n">
        <x:f>IF(AND(ISNUMBER(E1047),ISNUMBER(F1047),F1047&gt;0),(E1047-F1047)/F1047,"n.a.")</x:f>
        <x:v>-0.6630551328162401</x:v>
      </x:c>
      <x:c r="I1047" s="19" t="n">
        <x:f>IF(ISNUMBER(H1047),ABS(H1047),"n.a.")</x:f>
        <x:v>0.6630551328162401</x:v>
      </x:c>
      <x:c r="J1047" s="2" t="str">
        <x:v>available</x:v>
      </x:c>
      <x:c r="K1047" s="2" t="n">
        <x:v>1</x:v>
      </x:c>
      <x:c r="L1047" s="13" t="b">
        <x:v>0</x:v>
      </x:c>
      <x:c r="M1047" s="13" t="b">
        <x:v>1</x:v>
      </x:c>
      <x:c r="N1047" s="2" t="str">
        <x:v>modeled_epoch_volume_with_fixed2018_height_and_predominant_use</x:v>
      </x:c>
      <x:c r="O1047" s="2" t="str"/>
      <x:c r="P1047" s="2" t="str">
        <x:v>built-up volume</x:v>
      </x:c>
      <x:c r="Q1047" s="2" t="str">
        <x:v>m3</x:v>
      </x:c>
      <x:c r="R1047" s="17" t="n">
        <x:v>2672179103.945099</x:v>
      </x:c>
      <x:c r="S1047" s="17" t="n">
        <x:v>900377033.27</x:v>
      </x:c>
      <x:c r="T1047" s="18" t="n">
        <x:v>0.37345249652671697</x:v>
      </x:c>
      <x:c r="U1047" s="17" t="n">
        <x:v>336248050.8900004</x:v>
      </x:c>
      <x:c r="V1047" s="2" t="str">
        <x:v>Area equivalent = model2020 * source volume / TEMPO2020 volume</x:v>
      </x:c>
      <x:c r="W1047" s="2" t="str">
        <x:v>qualified_paired_native_source_frame</x:v>
      </x:c>
      <x:c r="X1047" s="2" t="str">
        <x:v>https://human-settlement.emergency.copernicus.eu/ghs_buV2023.php</x:v>
      </x:c>
    </x:row>
    <x:row r="1048" ht="23" customHeight="1">
      <x:c r="A1048" s="2" t="str">
        <x:v>DZA</x:v>
      </x:c>
      <x:c r="B1048" s="2" t="str">
        <x:v>Algeria (People's Democratic Republic of)</x:v>
      </x:c>
      <x:c r="C1048" s="2" t="n">
        <x:v>2020</x:v>
      </x:c>
      <x:c r="D1048" s="2" t="str">
        <x:v>GHSL_VOLUME</x:v>
      </x:c>
      <x:c r="E1048" s="17" t="n">
        <x:v>1607752786.8799975</x:v>
      </x:c>
      <x:c r="F1048" s="17" t="n">
        <x:f>IF(AND(M1048,ISNUMBER(R1048)),IF(D1048="TEMPO_PROXY",R1048,IF(AND(ISNUMBER(S1048),S1048&gt;0,ISNUMBER(U1048)),U1048*R1048/S1048,"n.a.")),"n.a.")</x:f>
        <x:v>3956537336.5120797</x:v>
      </x:c>
      <x:c r="G1048" s="17" t="n">
        <x:f>IF(AND(ISNUMBER(E1048),ISNUMBER(F1048)),E1048-F1048,"n.a.")</x:f>
        <x:v>-2348784549.632082</x:v>
      </x:c>
      <x:c r="H1048" s="15" t="n">
        <x:f>IF(AND(ISNUMBER(E1048),ISNUMBER(F1048),F1048&gt;0),(E1048-F1048)/F1048,"n.a.")</x:f>
        <x:v>-0.5936465019442161</x:v>
      </x:c>
      <x:c r="I1048" s="19" t="n">
        <x:f>IF(ISNUMBER(H1048),ABS(H1048),"n.a.")</x:f>
        <x:v>0.5936465019442161</x:v>
      </x:c>
      <x:c r="J1048" s="2" t="str">
        <x:v>available</x:v>
      </x:c>
      <x:c r="K1048" s="2" t="n">
        <x:v>1</x:v>
      </x:c>
      <x:c r="L1048" s="13" t="b">
        <x:v>0</x:v>
      </x:c>
      <x:c r="M1048" s="13" t="b">
        <x:v>1</x:v>
      </x:c>
      <x:c r="N1048" s="2" t="str">
        <x:v>modeled_epoch_volume_with_fixed2018_height_and_predominant_use</x:v>
      </x:c>
      <x:c r="O1048" s="2" t="str"/>
      <x:c r="P1048" s="2" t="str">
        <x:v>built-up volume</x:v>
      </x:c>
      <x:c r="Q1048" s="2" t="str">
        <x:v>m3</x:v>
      </x:c>
      <x:c r="R1048" s="17" t="n">
        <x:v>11885445058.078432</x:v>
      </x:c>
      <x:c r="S1048" s="17" t="n">
        <x:v>4829692175.3</x:v>
      </x:c>
      <x:c r="T1048" s="18" t="n">
        <x:v>0.33288928745860097</x:v>
      </x:c>
      <x:c r="U1048" s="17" t="n">
        <x:v>1607752786.8799975</x:v>
      </x:c>
      <x:c r="V1048" s="2" t="str">
        <x:v>Area equivalent = model2020 * source volume / TEMPO2020 volume</x:v>
      </x:c>
      <x:c r="W1048" s="2" t="str">
        <x:v>qualified_paired_native_source_frame</x:v>
      </x:c>
      <x:c r="X1048" s="2" t="str">
        <x:v>https://human-settlement.emergency.copernicus.eu/ghs_buV2023.php</x:v>
      </x:c>
    </x:row>
    <x:row r="1049" ht="23" customHeight="1">
      <x:c r="A1049" s="2" t="str">
        <x:v>ECU</x:v>
      </x:c>
      <x:c r="B1049" s="2" t="str">
        <x:v>Ecuador (Republic of)</x:v>
      </x:c>
      <x:c r="C1049" s="2" t="n">
        <x:v>2020</x:v>
      </x:c>
      <x:c r="D1049" s="2" t="str">
        <x:v>GHSL_VOLUME</x:v>
      </x:c>
      <x:c r="E1049" s="17" t="n">
        <x:v>734538215.0500003</x:v>
      </x:c>
      <x:c r="F1049" s="17" t="n">
        <x:f>IF(AND(M1049,ISNUMBER(R1049)),IF(D1049="TEMPO_PROXY",R1049,IF(AND(ISNUMBER(S1049),S1049&gt;0,ISNUMBER(U1049)),U1049*R1049/S1049,"n.a.")),"n.a.")</x:f>
        <x:v>2244467251.581754</x:v>
      </x:c>
      <x:c r="G1049" s="17" t="n">
        <x:f>IF(AND(ISNUMBER(E1049),ISNUMBER(F1049)),E1049-F1049,"n.a.")</x:f>
        <x:v>-1509929036.531754</x:v>
      </x:c>
      <x:c r="H1049" s="15" t="n">
        <x:f>IF(AND(ISNUMBER(E1049),ISNUMBER(F1049),F1049&gt;0),(E1049-F1049)/F1049,"n.a.")</x:f>
        <x:v>-0.6727338237916612</x:v>
      </x:c>
      <x:c r="I1049" s="19" t="n">
        <x:f>IF(ISNUMBER(H1049),ABS(H1049),"n.a.")</x:f>
        <x:v>0.6727338237916612</x:v>
      </x:c>
      <x:c r="J1049" s="2" t="str">
        <x:v>available</x:v>
      </x:c>
      <x:c r="K1049" s="2" t="n">
        <x:v>1</x:v>
      </x:c>
      <x:c r="L1049" s="13" t="b">
        <x:v>0</x:v>
      </x:c>
      <x:c r="M1049" s="13" t="b">
        <x:v>1</x:v>
      </x:c>
      <x:c r="N1049" s="2" t="str">
        <x:v>modeled_epoch_volume_with_fixed2018_height_and_predominant_use</x:v>
      </x:c>
      <x:c r="O1049" s="2" t="str"/>
      <x:c r="P1049" s="2" t="str">
        <x:v>built-up volume</x:v>
      </x:c>
      <x:c r="Q1049" s="2" t="str">
        <x:v>m3</x:v>
      </x:c>
      <x:c r="R1049" s="17" t="n">
        <x:v>6087232839.368628</x:v>
      </x:c>
      <x:c r="S1049" s="17" t="n">
        <x:v>1992145415.03</x:v>
      </x:c>
      <x:c r="T1049" s="18" t="n">
        <x:v>0.3687171676867468</x:v>
      </x:c>
      <x:c r="U1049" s="17" t="n">
        <x:v>734538215.0500003</x:v>
      </x:c>
      <x:c r="V1049" s="2" t="str">
        <x:v>Area equivalent = model2020 * source volume / TEMPO2020 volume</x:v>
      </x:c>
      <x:c r="W1049" s="2" t="str">
        <x:v>qualified_paired_native_source_frame</x:v>
      </x:c>
      <x:c r="X1049" s="2" t="str">
        <x:v>https://human-settlement.emergency.copernicus.eu/ghs_buV2023.php</x:v>
      </x:c>
    </x:row>
    <x:row r="1050" ht="23" customHeight="1">
      <x:c r="A1050" s="2" t="str">
        <x:v>EGY</x:v>
      </x:c>
      <x:c r="B1050" s="2" t="str">
        <x:v>Egypt (Arab Republic of)</x:v>
      </x:c>
      <x:c r="C1050" s="2" t="n">
        <x:v>2020</x:v>
      </x:c>
      <x:c r="D1050" s="2" t="str">
        <x:v>GHSL_VOLUME</x:v>
      </x:c>
      <x:c r="E1050" s="17" t="n">
        <x:v>2954306535.6</x:v>
      </x:c>
      <x:c r="F1050" s="17" t="n">
        <x:f>IF(AND(M1050,ISNUMBER(R1050)),IF(D1050="TEMPO_PROXY",R1050,IF(AND(ISNUMBER(S1050),S1050&gt;0,ISNUMBER(U1050)),U1050*R1050/S1050,"n.a.")),"n.a.")</x:f>
        <x:v>6412887034.470847</x:v>
      </x:c>
      <x:c r="G1050" s="17" t="n">
        <x:f>IF(AND(ISNUMBER(E1050),ISNUMBER(F1050)),E1050-F1050,"n.a.")</x:f>
        <x:v>-3458580498.870847</x:v>
      </x:c>
      <x:c r="H1050" s="15" t="n">
        <x:f>IF(AND(ISNUMBER(E1050),ISNUMBER(F1050),F1050&gt;0),(E1050-F1050)/F1050,"n.a.")</x:f>
        <x:v>-0.5393172342316535</x:v>
      </x:c>
      <x:c r="I1050" s="19" t="n">
        <x:f>IF(ISNUMBER(H1050),ABS(H1050),"n.a.")</x:f>
        <x:v>0.5393172342316535</x:v>
      </x:c>
      <x:c r="J1050" s="2" t="str">
        <x:v>available</x:v>
      </x:c>
      <x:c r="K1050" s="2" t="n">
        <x:v>1</x:v>
      </x:c>
      <x:c r="L1050" s="13" t="b">
        <x:v>0</x:v>
      </x:c>
      <x:c r="M1050" s="13" t="b">
        <x:v>1</x:v>
      </x:c>
      <x:c r="N1050" s="2" t="str">
        <x:v>modeled_epoch_volume_with_fixed2018_height_and_predominant_use</x:v>
      </x:c>
      <x:c r="O1050" s="2" t="str"/>
      <x:c r="P1050" s="2" t="str">
        <x:v>built-up volume</x:v>
      </x:c>
      <x:c r="Q1050" s="2" t="str">
        <x:v>m3</x:v>
      </x:c>
      <x:c r="R1050" s="17" t="n">
        <x:v>21790590167.894115</x:v>
      </x:c>
      <x:c r="S1050" s="17" t="n">
        <x:v>10038549346.27</x:v>
      </x:c>
      <x:c r="T1050" s="18" t="n">
        <x:v>0.29429616109799017</x:v>
      </x:c>
      <x:c r="U1050" s="17" t="n">
        <x:v>2954306535.6</x:v>
      </x:c>
      <x:c r="V1050" s="2" t="str">
        <x:v>Area equivalent = model2020 * source volume / TEMPO2020 volume</x:v>
      </x:c>
      <x:c r="W1050" s="2" t="str">
        <x:v>qualified_paired_native_source_frame</x:v>
      </x:c>
      <x:c r="X1050" s="2" t="str">
        <x:v>https://human-settlement.emergency.copernicus.eu/ghs_buV2023.php</x:v>
      </x:c>
    </x:row>
    <x:row r="1051" ht="23" customHeight="1">
      <x:c r="A1051" s="2" t="str">
        <x:v>ERI</x:v>
      </x:c>
      <x:c r="B1051" s="2" t="str">
        <x:v>Eritrea (State of)</x:v>
      </x:c>
      <x:c r="C1051" s="2" t="n">
        <x:v>2020</x:v>
      </x:c>
      <x:c r="D1051" s="2" t="str">
        <x:v>GHSL_VOLUME</x:v>
      </x:c>
      <x:c r="E1051" s="17" t="n">
        <x:v>45298098.329999976</x:v>
      </x:c>
      <x:c r="F1051" s="17" t="n">
        <x:f>IF(AND(M1051,ISNUMBER(R1051)),IF(D1051="TEMPO_PROXY",R1051,IF(AND(ISNUMBER(S1051),S1051&gt;0,ISNUMBER(U1051)),U1051*R1051/S1051,"n.a.")),"n.a.")</x:f>
        <x:v>193358988.8988892</x:v>
      </x:c>
      <x:c r="G1051" s="17" t="n">
        <x:f>IF(AND(ISNUMBER(E1051),ISNUMBER(F1051)),E1051-F1051,"n.a.")</x:f>
        <x:v>-148060890.56888923</x:v>
      </x:c>
      <x:c r="H1051" s="15" t="n">
        <x:f>IF(AND(ISNUMBER(E1051),ISNUMBER(F1051),F1051&gt;0),(E1051-F1051)/F1051,"n.a.")</x:f>
        <x:v>-0.7657305792300809</x:v>
      </x:c>
      <x:c r="I1051" s="19" t="n">
        <x:f>IF(ISNUMBER(H1051),ABS(H1051),"n.a.")</x:f>
        <x:v>0.7657305792300809</x:v>
      </x:c>
      <x:c r="J1051" s="2" t="str">
        <x:v>available</x:v>
      </x:c>
      <x:c r="K1051" s="2" t="n">
        <x:v>1</x:v>
      </x:c>
      <x:c r="L1051" s="13" t="b">
        <x:v>0</x:v>
      </x:c>
      <x:c r="M1051" s="13" t="b">
        <x:v>1</x:v>
      </x:c>
      <x:c r="N1051" s="2" t="str">
        <x:v>modeled_epoch_volume_with_fixed2018_height_and_predominant_use</x:v>
      </x:c>
      <x:c r="O1051" s="2" t="str"/>
      <x:c r="P1051" s="2" t="str">
        <x:v>built-up volume</x:v>
      </x:c>
      <x:c r="Q1051" s="2" t="str">
        <x:v>m3</x:v>
      </x:c>
      <x:c r="R1051" s="17" t="n">
        <x:v>418841113.0549018</x:v>
      </x:c>
      <x:c r="S1051" s="17" t="n">
        <x:v>98121664.95</x:v>
      </x:c>
      <x:c r="T1051" s="18" t="n">
        <x:v>0.4616523614135838</x:v>
      </x:c>
      <x:c r="U1051" s="17" t="n">
        <x:v>45298098.329999976</x:v>
      </x:c>
      <x:c r="V1051" s="2" t="str">
        <x:v>Area equivalent = model2020 * source volume / TEMPO2020 volume</x:v>
      </x:c>
      <x:c r="W1051" s="2" t="str">
        <x:v>qualified_paired_native_source_frame</x:v>
      </x:c>
      <x:c r="X1051" s="2" t="str">
        <x:v>https://human-settlement.emergency.copernicus.eu/ghs_buV2023.php</x:v>
      </x:c>
    </x:row>
    <x:row r="1052" ht="23" customHeight="1">
      <x:c r="A1052" s="2" t="str">
        <x:v>ESP</x:v>
      </x:c>
      <x:c r="B1052" s="2" t="str">
        <x:v>Spain (Kingdom of)</x:v>
      </x:c>
      <x:c r="C1052" s="2" t="n">
        <x:v>2020</x:v>
      </x:c>
      <x:c r="D1052" s="2" t="str">
        <x:v>GHSL_VOLUME</x:v>
      </x:c>
      <x:c r="E1052" s="17" t="n">
        <x:v>3693503432.029994</x:v>
      </x:c>
      <x:c r="F1052" s="17" t="n">
        <x:f>IF(AND(M1052,ISNUMBER(R1052)),IF(D1052="TEMPO_PROXY",R1052,IF(AND(ISNUMBER(S1052),S1052&gt;0,ISNUMBER(U1052)),U1052*R1052/S1052,"n.a.")),"n.a.")</x:f>
        <x:v>7449568596.6621895</x:v>
      </x:c>
      <x:c r="G1052" s="17" t="n">
        <x:f>IF(AND(ISNUMBER(E1052),ISNUMBER(F1052)),E1052-F1052,"n.a.")</x:f>
        <x:v>-3756065164.6321955</x:v>
      </x:c>
      <x:c r="H1052" s="15" t="n">
        <x:f>IF(AND(ISNUMBER(E1052),ISNUMBER(F1052),F1052&gt;0),(E1052-F1052)/F1052,"n.a.")</x:f>
        <x:v>-0.5041990171504852</x:v>
      </x:c>
      <x:c r="I1052" s="19" t="n">
        <x:f>IF(ISNUMBER(H1052),ABS(H1052),"n.a.")</x:f>
        <x:v>0.5041990171504852</x:v>
      </x:c>
      <x:c r="J1052" s="2" t="str">
        <x:v>available</x:v>
      </x:c>
      <x:c r="K1052" s="2" t="n">
        <x:v>1</x:v>
      </x:c>
      <x:c r="L1052" s="13" t="b">
        <x:v>0</x:v>
      </x:c>
      <x:c r="M1052" s="13" t="b">
        <x:v>1</x:v>
      </x:c>
      <x:c r="N1052" s="2" t="str">
        <x:v>modeled_epoch_volume_with_fixed2018_height_and_predominant_use</x:v>
      </x:c>
      <x:c r="O1052" s="2" t="str"/>
      <x:c r="P1052" s="2" t="str">
        <x:v>built-up volume</x:v>
      </x:c>
      <x:c r="Q1052" s="2" t="str">
        <x:v>m3</x:v>
      </x:c>
      <x:c r="R1052" s="17" t="n">
        <x:v>27401460446.48628</x:v>
      </x:c>
      <x:c r="S1052" s="17" t="n">
        <x:v>13585671020.88</x:v>
      </x:c>
      <x:c r="T1052" s="18" t="n">
        <x:v>0.27186757476707624</x:v>
      </x:c>
      <x:c r="U1052" s="17" t="n">
        <x:v>3693503432.029994</x:v>
      </x:c>
      <x:c r="V1052" s="2" t="str">
        <x:v>Area equivalent = model2020 * source volume / TEMPO2020 volume</x:v>
      </x:c>
      <x:c r="W1052" s="2" t="str">
        <x:v>qualified_paired_native_source_frame</x:v>
      </x:c>
      <x:c r="X1052" s="2" t="str">
        <x:v>https://human-settlement.emergency.copernicus.eu/ghs_buV2023.php</x:v>
      </x:c>
    </x:row>
    <x:row r="1053" ht="23" customHeight="1">
      <x:c r="A1053" s="2" t="str">
        <x:v>EST</x:v>
      </x:c>
      <x:c r="B1053" s="2" t="str">
        <x:v>Estonia (Republic of)</x:v>
      </x:c>
      <x:c r="C1053" s="2" t="n">
        <x:v>2020</x:v>
      </x:c>
      <x:c r="D1053" s="2" t="str">
        <x:v>GHSL_VOLUME</x:v>
      </x:c>
      <x:c r="E1053" s="17" t="n">
        <x:v>113094705.3700001</x:v>
      </x:c>
      <x:c r="F1053" s="17" t="n">
        <x:f>IF(AND(M1053,ISNUMBER(R1053)),IF(D1053="TEMPO_PROXY",R1053,IF(AND(ISNUMBER(S1053),S1053&gt;0,ISNUMBER(U1053)),U1053*R1053/S1053,"n.a.")),"n.a.")</x:f>
        <x:v>231508049.68383825</x:v>
      </x:c>
      <x:c r="G1053" s="17" t="n">
        <x:f>IF(AND(ISNUMBER(E1053),ISNUMBER(F1053)),E1053-F1053,"n.a.")</x:f>
        <x:v>-118413344.31383815</x:v>
      </x:c>
      <x:c r="H1053" s="15" t="n">
        <x:f>IF(AND(ISNUMBER(E1053),ISNUMBER(F1053),F1053&gt;0),(E1053-F1053)/F1053,"n.a.")</x:f>
        <x:v>-0.5114869417091576</x:v>
      </x:c>
      <x:c r="I1053" s="19" t="n">
        <x:f>IF(ISNUMBER(H1053),ABS(H1053),"n.a.")</x:f>
        <x:v>0.5114869417091576</x:v>
      </x:c>
      <x:c r="J1053" s="2" t="str">
        <x:v>available</x:v>
      </x:c>
      <x:c r="K1053" s="2" t="n">
        <x:v>1</x:v>
      </x:c>
      <x:c r="L1053" s="13" t="b">
        <x:v>0</x:v>
      </x:c>
      <x:c r="M1053" s="13" t="b">
        <x:v>1</x:v>
      </x:c>
      <x:c r="N1053" s="2" t="str">
        <x:v>modeled_epoch_volume_with_fixed2018_height_and_predominant_use</x:v>
      </x:c>
      <x:c r="O1053" s="2" t="str"/>
      <x:c r="P1053" s="2" t="str">
        <x:v>built-up volume</x:v>
      </x:c>
      <x:c r="Q1053" s="2" t="str">
        <x:v>m3</x:v>
      </x:c>
      <x:c r="R1053" s="17" t="n">
        <x:v>746205633.7764707</x:v>
      </x:c>
      <x:c r="S1053" s="17" t="n">
        <x:v>364531196.27</x:v>
      </x:c>
      <x:c r="T1053" s="18" t="n">
        <x:v>0.31024698716384597</x:v>
      </x:c>
      <x:c r="U1053" s="17" t="n">
        <x:v>113094705.3700001</x:v>
      </x:c>
      <x:c r="V1053" s="2" t="str">
        <x:v>Area equivalent = model2020 * source volume / TEMPO2020 volume</x:v>
      </x:c>
      <x:c r="W1053" s="2" t="str">
        <x:v>qualified_paired_native_source_frame</x:v>
      </x:c>
      <x:c r="X1053" s="2" t="str">
        <x:v>https://human-settlement.emergency.copernicus.eu/ghs_buV2023.php</x:v>
      </x:c>
    </x:row>
    <x:row r="1054" ht="23" customHeight="1">
      <x:c r="A1054" s="2" t="str">
        <x:v>ETH</x:v>
      </x:c>
      <x:c r="B1054" s="2" t="str">
        <x:v>Ethiopia (Federal Democratic Republic of)</x:v>
      </x:c>
      <x:c r="C1054" s="2" t="n">
        <x:v>2020</x:v>
      </x:c>
      <x:c r="D1054" s="2" t="str">
        <x:v>GHSL_VOLUME</x:v>
      </x:c>
      <x:c r="E1054" s="17" t="n">
        <x:v>1660821510.7100024</x:v>
      </x:c>
      <x:c r="F1054" s="17" t="n">
        <x:f>IF(AND(M1054,ISNUMBER(R1054)),IF(D1054="TEMPO_PROXY",R1054,IF(AND(ISNUMBER(S1054),S1054&gt;0,ISNUMBER(U1054)),U1054*R1054/S1054,"n.a.")),"n.a.")</x:f>
        <x:v>4763034293.192085</x:v>
      </x:c>
      <x:c r="G1054" s="17" t="n">
        <x:f>IF(AND(ISNUMBER(E1054),ISNUMBER(F1054)),E1054-F1054,"n.a.")</x:f>
        <x:v>-3102212782.482083</x:v>
      </x:c>
      <x:c r="H1054" s="15" t="n">
        <x:f>IF(AND(ISNUMBER(E1054),ISNUMBER(F1054),F1054&gt;0),(E1054-F1054)/F1054,"n.a.")</x:f>
        <x:v>-0.6513101925207944</x:v>
      </x:c>
      <x:c r="I1054" s="19" t="n">
        <x:f>IF(ISNUMBER(H1054),ABS(H1054),"n.a.")</x:f>
        <x:v>0.6513101925207944</x:v>
      </x:c>
      <x:c r="J1054" s="2" t="str">
        <x:v>available</x:v>
      </x:c>
      <x:c r="K1054" s="2" t="n">
        <x:v>1</x:v>
      </x:c>
      <x:c r="L1054" s="13" t="b">
        <x:v>0</x:v>
      </x:c>
      <x:c r="M1054" s="13" t="b">
        <x:v>1</x:v>
      </x:c>
      <x:c r="N1054" s="2" t="str">
        <x:v>modeled_epoch_volume_with_fixed2018_height_and_predominant_use</x:v>
      </x:c>
      <x:c r="O1054" s="2" t="str"/>
      <x:c r="P1054" s="2" t="str">
        <x:v>built-up volume</x:v>
      </x:c>
      <x:c r="Q1054" s="2" t="str">
        <x:v>m3</x:v>
      </x:c>
      <x:c r="R1054" s="17" t="n">
        <x:v>9232488217.717646</x:v>
      </x:c>
      <x:c r="S1054" s="17" t="n">
        <x:v>3219274539.19</x:v>
      </x:c>
      <x:c r="T1054" s="18" t="n">
        <x:v>0.515899309143072</x:v>
      </x:c>
      <x:c r="U1054" s="17" t="n">
        <x:v>1660821510.7100024</x:v>
      </x:c>
      <x:c r="V1054" s="2" t="str">
        <x:v>Area equivalent = model2020 * source volume / TEMPO2020 volume</x:v>
      </x:c>
      <x:c r="W1054" s="2" t="str">
        <x:v>qualified_paired_native_source_frame</x:v>
      </x:c>
      <x:c r="X1054" s="2" t="str">
        <x:v>https://human-settlement.emergency.copernicus.eu/ghs_buV2023.php</x:v>
      </x:c>
    </x:row>
    <x:row r="1055" ht="23" customHeight="1">
      <x:c r="A1055" s="2" t="str">
        <x:v>FIN</x:v>
      </x:c>
      <x:c r="B1055" s="2" t="str">
        <x:v>Finland (Republic of)</x:v>
      </x:c>
      <x:c r="C1055" s="2" t="n">
        <x:v>2020</x:v>
      </x:c>
      <x:c r="D1055" s="2" t="str">
        <x:v>GHSL_VOLUME</x:v>
      </x:c>
      <x:c r="E1055" s="17" t="n">
        <x:v>615866742.3399993</x:v>
      </x:c>
      <x:c r="F1055" s="17" t="n">
        <x:f>IF(AND(M1055,ISNUMBER(R1055)),IF(D1055="TEMPO_PROXY",R1055,IF(AND(ISNUMBER(S1055),S1055&gt;0,ISNUMBER(U1055)),U1055*R1055/S1055,"n.a.")),"n.a.")</x:f>
        <x:v>701095920.2793181</x:v>
      </x:c>
      <x:c r="G1055" s="17" t="n">
        <x:f>IF(AND(ISNUMBER(E1055),ISNUMBER(F1055)),E1055-F1055,"n.a.")</x:f>
        <x:v>-85229177.93931878</x:v>
      </x:c>
      <x:c r="H1055" s="15" t="n">
        <x:f>IF(AND(ISNUMBER(E1055),ISNUMBER(F1055),F1055&gt;0),(E1055-F1055)/F1055,"n.a.")</x:f>
        <x:v>-0.12156564526201107</x:v>
      </x:c>
      <x:c r="I1055" s="19" t="n">
        <x:f>IF(ISNUMBER(H1055),ABS(H1055),"n.a.")</x:f>
        <x:v>0.12156564526201107</x:v>
      </x:c>
      <x:c r="J1055" s="2" t="str">
        <x:v>available</x:v>
      </x:c>
      <x:c r="K1055" s="2" t="n">
        <x:v>1</x:v>
      </x:c>
      <x:c r="L1055" s="13" t="b">
        <x:v>0</x:v>
      </x:c>
      <x:c r="M1055" s="13" t="b">
        <x:v>1</x:v>
      </x:c>
      <x:c r="N1055" s="2" t="str">
        <x:v>modeled_epoch_volume_with_fixed2018_height_and_predominant_use</x:v>
      </x:c>
      <x:c r="O1055" s="2" t="str"/>
      <x:c r="P1055" s="2" t="str">
        <x:v>built-up volume</x:v>
      </x:c>
      <x:c r="Q1055" s="2" t="str">
        <x:v>m3</x:v>
      </x:c>
      <x:c r="R1055" s="17" t="n">
        <x:v>2142727942.5921571</x:v>
      </x:c>
      <x:c r="S1055" s="17" t="n">
        <x:v>1882245837.63</x:v>
      </x:c>
      <x:c r="T1055" s="18" t="n">
        <x:v>0.3271978240182792</x:v>
      </x:c>
      <x:c r="U1055" s="17" t="n">
        <x:v>615866742.3399993</x:v>
      </x:c>
      <x:c r="V1055" s="2" t="str">
        <x:v>Area equivalent = model2020 * source volume / TEMPO2020 volume</x:v>
      </x:c>
      <x:c r="W1055" s="2" t="str">
        <x:v>qualified_paired_native_source_frame</x:v>
      </x:c>
      <x:c r="X1055" s="2" t="str">
        <x:v>https://human-settlement.emergency.copernicus.eu/ghs_buV2023.php</x:v>
      </x:c>
    </x:row>
    <x:row r="1056" ht="23" customHeight="1">
      <x:c r="A1056" s="2" t="str">
        <x:v>FJI</x:v>
      </x:c>
      <x:c r="B1056" s="2" t="str">
        <x:v>Fiji (Republic of)</x:v>
      </x:c>
      <x:c r="C1056" s="2" t="n">
        <x:v>2020</x:v>
      </x:c>
      <x:c r="D1056" s="2" t="str">
        <x:v>GHSL_VOLUME</x:v>
      </x:c>
      <x:c r="E1056" s="17" t="n">
        <x:v>37460168.12</x:v>
      </x:c>
      <x:c r="F1056" s="17" t="n">
        <x:f>IF(AND(M1056,ISNUMBER(R1056)),IF(D1056="TEMPO_PROXY",R1056,IF(AND(ISNUMBER(S1056),S1056&gt;0,ISNUMBER(U1056)),U1056*R1056/S1056,"n.a.")),"n.a.")</x:f>
        <x:v>221101458.93631253</x:v>
      </x:c>
      <x:c r="G1056" s="17" t="n">
        <x:f>IF(AND(ISNUMBER(E1056),ISNUMBER(F1056)),E1056-F1056,"n.a.")</x:f>
        <x:v>-183641290.81631252</x:v>
      </x:c>
      <x:c r="H1056" s="15" t="n">
        <x:f>IF(AND(ISNUMBER(E1056),ISNUMBER(F1056),F1056&gt;0),(E1056-F1056)/F1056,"n.a.")</x:f>
        <x:v>-0.8305747583022948</x:v>
      </x:c>
      <x:c r="I1056" s="19" t="n">
        <x:f>IF(ISNUMBER(H1056),ABS(H1056),"n.a.")</x:f>
        <x:v>0.8305747583022948</x:v>
      </x:c>
      <x:c r="J1056" s="2" t="str">
        <x:v>available</x:v>
      </x:c>
      <x:c r="K1056" s="2" t="n">
        <x:v>1</x:v>
      </x:c>
      <x:c r="L1056" s="13" t="b">
        <x:v>0</x:v>
      </x:c>
      <x:c r="M1056" s="13" t="b">
        <x:v>1</x:v>
      </x:c>
      <x:c r="N1056" s="2" t="str">
        <x:v>modeled_epoch_volume_with_fixed2018_height_and_predominant_use</x:v>
      </x:c>
      <x:c r="O1056" s="2" t="str"/>
      <x:c r="P1056" s="2" t="str">
        <x:v>built-up volume</x:v>
      </x:c>
      <x:c r="Q1056" s="2" t="str">
        <x:v>m3</x:v>
      </x:c>
      <x:c r="R1056" s="17" t="n">
        <x:v>482364465.59607846</x:v>
      </x:c>
      <x:c r="S1056" s="17" t="n">
        <x:v>81724716.17</x:v>
      </x:c>
      <x:c r="T1056" s="18" t="n">
        <x:v>0.4583701219846035</x:v>
      </x:c>
      <x:c r="U1056" s="17" t="n">
        <x:v>37460168.12</x:v>
      </x:c>
      <x:c r="V1056" s="2" t="str">
        <x:v>Area equivalent = model2020 * source volume / TEMPO2020 volume</x:v>
      </x:c>
      <x:c r="W1056" s="2" t="str">
        <x:v>qualified_paired_native_source_frame</x:v>
      </x:c>
      <x:c r="X1056" s="2" t="str">
        <x:v>https://human-settlement.emergency.copernicus.eu/ghs_buV2023.php</x:v>
      </x:c>
    </x:row>
    <x:row r="1057" ht="23" customHeight="1">
      <x:c r="A1057" s="2" t="str">
        <x:v>FRA</x:v>
      </x:c>
      <x:c r="B1057" s="2" t="str">
        <x:v>France (French Republic)</x:v>
      </x:c>
      <x:c r="C1057" s="2" t="n">
        <x:v>2020</x:v>
      </x:c>
      <x:c r="D1057" s="2" t="str">
        <x:v>GHSL_VOLUME</x:v>
      </x:c>
      <x:c r="E1057" s="17" t="n">
        <x:v>6074526882.680001</x:v>
      </x:c>
      <x:c r="F1057" s="17" t="n">
        <x:f>IF(AND(M1057,ISNUMBER(R1057)),IF(D1057="TEMPO_PROXY",R1057,IF(AND(ISNUMBER(S1057),S1057&gt;0,ISNUMBER(U1057)),U1057*R1057/S1057,"n.a.")),"n.a.")</x:f>
        <x:v>15916594397.866253</x:v>
      </x:c>
      <x:c r="G1057" s="17" t="n">
        <x:f>IF(AND(ISNUMBER(E1057),ISNUMBER(F1057)),E1057-F1057,"n.a.")</x:f>
        <x:v>-9842067515.186253</x:v>
      </x:c>
      <x:c r="H1057" s="15" t="n">
        <x:f>IF(AND(ISNUMBER(E1057),ISNUMBER(F1057),F1057&gt;0),(E1057-F1057)/F1057,"n.a.")</x:f>
        <x:v>-0.618352599127968</x:v>
      </x:c>
      <x:c r="I1057" s="19" t="n">
        <x:f>IF(ISNUMBER(H1057),ABS(H1057),"n.a.")</x:f>
        <x:v>0.618352599127968</x:v>
      </x:c>
      <x:c r="J1057" s="2" t="str">
        <x:v>available</x:v>
      </x:c>
      <x:c r="K1057" s="2" t="n">
        <x:v>1</x:v>
      </x:c>
      <x:c r="L1057" s="13" t="b">
        <x:v>0</x:v>
      </x:c>
      <x:c r="M1057" s="13" t="b">
        <x:v>1</x:v>
      </x:c>
      <x:c r="N1057" s="2" t="str">
        <x:v>modeled_epoch_volume_with_fixed2018_height_and_predominant_use</x:v>
      </x:c>
      <x:c r="O1057" s="2" t="str"/>
      <x:c r="P1057" s="2" t="str">
        <x:v>built-up volume</x:v>
      </x:c>
      <x:c r="Q1057" s="2" t="str">
        <x:v>m3</x:v>
      </x:c>
      <x:c r="R1057" s="17" t="n">
        <x:v>50237820416.36079</x:v>
      </x:c>
      <x:c r="S1057" s="17" t="n">
        <x:v>19173133587.38</x:v>
      </x:c>
      <x:c r="T1057" s="18" t="n">
        <x:v>0.31682493917834753</x:v>
      </x:c>
      <x:c r="U1057" s="17" t="n">
        <x:v>6074526882.680001</x:v>
      </x:c>
      <x:c r="V1057" s="2" t="str">
        <x:v>Area equivalent = model2020 * source volume / TEMPO2020 volume</x:v>
      </x:c>
      <x:c r="W1057" s="2" t="str">
        <x:v>qualified_paired_native_source_frame</x:v>
      </x:c>
      <x:c r="X1057" s="2" t="str">
        <x:v>https://human-settlement.emergency.copernicus.eu/ghs_buV2023.php</x:v>
      </x:c>
    </x:row>
    <x:row r="1058" ht="23" customHeight="1">
      <x:c r="A1058" s="2" t="str">
        <x:v>FSM</x:v>
      </x:c>
      <x:c r="B1058" s="2" t="str">
        <x:v>Micronesia (Federated States of)</x:v>
      </x:c>
      <x:c r="C1058" s="2" t="n">
        <x:v>2020</x:v>
      </x:c>
      <x:c r="D1058" s="2" t="str">
        <x:v>GHSL_VOLUME</x:v>
      </x:c>
      <x:c r="E1058" s="17" t="n">
        <x:v>2177822.609999999</x:v>
      </x:c>
      <x:c r="F1058" s="17" t="n">
        <x:f>IF(AND(M1058,ISNUMBER(R1058)),IF(D1058="TEMPO_PROXY",R1058,IF(AND(ISNUMBER(S1058),S1058&gt;0,ISNUMBER(U1058)),U1058*R1058/S1058,"n.a.")),"n.a.")</x:f>
        <x:v>6062437.698726156</x:v>
      </x:c>
      <x:c r="G1058" s="17" t="n">
        <x:f>IF(AND(ISNUMBER(E1058),ISNUMBER(F1058)),E1058-F1058,"n.a.")</x:f>
        <x:v>-3884615.088726157</x:v>
      </x:c>
      <x:c r="H1058" s="15" t="n">
        <x:f>IF(AND(ISNUMBER(E1058),ISNUMBER(F1058),F1058&gt;0),(E1058-F1058)/F1058,"n.a.")</x:f>
        <x:v>-0.6407678365985345</x:v>
      </x:c>
      <x:c r="I1058" s="19" t="n">
        <x:f>IF(ISNUMBER(H1058),ABS(H1058),"n.a.")</x:f>
        <x:v>0.6407678365985345</x:v>
      </x:c>
      <x:c r="J1058" s="2" t="str">
        <x:v>available</x:v>
      </x:c>
      <x:c r="K1058" s="2" t="n">
        <x:v>1</x:v>
      </x:c>
      <x:c r="L1058" s="13" t="b">
        <x:v>0</x:v>
      </x:c>
      <x:c r="M1058" s="13" t="b">
        <x:v>1</x:v>
      </x:c>
      <x:c r="N1058" s="2" t="str">
        <x:v>modeled_epoch_volume_with_fixed2018_height_and_predominant_use</x:v>
      </x:c>
      <x:c r="O1058" s="2" t="str"/>
      <x:c r="P1058" s="2" t="str">
        <x:v>built-up volume</x:v>
      </x:c>
      <x:c r="Q1058" s="2" t="str">
        <x:v>m3</x:v>
      </x:c>
      <x:c r="R1058" s="17" t="n">
        <x:v>12409515.890196078</x:v>
      </x:c>
      <x:c r="S1058" s="17" t="n">
        <x:v>4457897.24</x:v>
      </x:c>
      <x:c r="T1058" s="18" t="n">
        <x:v>0.48853136192973323</x:v>
      </x:c>
      <x:c r="U1058" s="17" t="n">
        <x:v>2177822.609999999</x:v>
      </x:c>
      <x:c r="V1058" s="2" t="str">
        <x:v>Area equivalent = model2020 * source volume / TEMPO2020 volume</x:v>
      </x:c>
      <x:c r="W1058" s="2" t="str">
        <x:v>qualified_paired_native_source_frame</x:v>
      </x:c>
      <x:c r="X1058" s="2" t="str">
        <x:v>https://human-settlement.emergency.copernicus.eu/ghs_buV2023.php</x:v>
      </x:c>
    </x:row>
    <x:row r="1059" ht="23" customHeight="1">
      <x:c r="A1059" s="2" t="str">
        <x:v>GAB</x:v>
      </x:c>
      <x:c r="B1059" s="2" t="str">
        <x:v>Gabon (Gabonese Republic)</x:v>
      </x:c>
      <x:c r="C1059" s="2" t="n">
        <x:v>2020</x:v>
      </x:c>
      <x:c r="D1059" s="2" t="str">
        <x:v>GHSL_VOLUME</x:v>
      </x:c>
      <x:c r="E1059" s="17" t="n">
        <x:v>73743642.55999996</x:v>
      </x:c>
      <x:c r="F1059" s="17" t="n">
        <x:f>IF(AND(M1059,ISNUMBER(R1059)),IF(D1059="TEMPO_PROXY",R1059,IF(AND(ISNUMBER(S1059),S1059&gt;0,ISNUMBER(U1059)),U1059*R1059/S1059,"n.a.")),"n.a.")</x:f>
        <x:v>373062774.6746211</x:v>
      </x:c>
      <x:c r="G1059" s="17" t="n">
        <x:f>IF(AND(ISNUMBER(E1059),ISNUMBER(F1059)),E1059-F1059,"n.a.")</x:f>
        <x:v>-299319132.11462116</x:v>
      </x:c>
      <x:c r="H1059" s="15" t="n">
        <x:f>IF(AND(ISNUMBER(E1059),ISNUMBER(F1059),F1059&gt;0),(E1059-F1059)/F1059,"n.a.")</x:f>
        <x:v>-0.802329131808131</x:v>
      </x:c>
      <x:c r="I1059" s="19" t="n">
        <x:f>IF(ISNUMBER(H1059),ABS(H1059),"n.a.")</x:f>
        <x:v>0.802329131808131</x:v>
      </x:c>
      <x:c r="J1059" s="2" t="str">
        <x:v>available</x:v>
      </x:c>
      <x:c r="K1059" s="2" t="n">
        <x:v>1</x:v>
      </x:c>
      <x:c r="L1059" s="13" t="b">
        <x:v>0</x:v>
      </x:c>
      <x:c r="M1059" s="13" t="b">
        <x:v>1</x:v>
      </x:c>
      <x:c r="N1059" s="2" t="str">
        <x:v>modeled_epoch_volume_with_fixed2018_height_and_predominant_use</x:v>
      </x:c>
      <x:c r="O1059" s="2" t="str"/>
      <x:c r="P1059" s="2" t="str">
        <x:v>built-up volume</x:v>
      </x:c>
      <x:c r="Q1059" s="2" t="str">
        <x:v>m3</x:v>
      </x:c>
      <x:c r="R1059" s="17" t="n">
        <x:v>963791612.9607841</x:v>
      </x:c>
      <x:c r="S1059" s="17" t="n">
        <x:v>190513524.89</x:v>
      </x:c>
      <x:c r="T1059" s="18" t="n">
        <x:v>0.3870782539065327</x:v>
      </x:c>
      <x:c r="U1059" s="17" t="n">
        <x:v>73743642.55999996</x:v>
      </x:c>
      <x:c r="V1059" s="2" t="str">
        <x:v>Area equivalent = model2020 * source volume / TEMPO2020 volume</x:v>
      </x:c>
      <x:c r="W1059" s="2" t="str">
        <x:v>qualified_paired_native_source_frame</x:v>
      </x:c>
      <x:c r="X1059" s="2" t="str">
        <x:v>https://human-settlement.emergency.copernicus.eu/ghs_buV2023.php</x:v>
      </x:c>
    </x:row>
    <x:row r="1060" ht="23" customHeight="1">
      <x:c r="A1060" s="2" t="str">
        <x:v>GBR</x:v>
      </x:c>
      <x:c r="B1060" s="2" t="str">
        <x:v>United Kingdom of Great Britain and Northern Ireland</x:v>
      </x:c>
      <x:c r="C1060" s="2" t="n">
        <x:v>2020</x:v>
      </x:c>
      <x:c r="D1060" s="2" t="str">
        <x:v>GHSL_VOLUME</x:v>
      </x:c>
      <x:c r="E1060" s="17" t="n">
        <x:v>3418464510.0900006</x:v>
      </x:c>
      <x:c r="F1060" s="17" t="n">
        <x:f>IF(AND(M1060,ISNUMBER(R1060)),IF(D1060="TEMPO_PROXY",R1060,IF(AND(ISNUMBER(S1060),S1060&gt;0,ISNUMBER(U1060)),U1060*R1060/S1060,"n.a.")),"n.a.")</x:f>
        <x:v>9430689084.874636</x:v>
      </x:c>
      <x:c r="G1060" s="17" t="n">
        <x:f>IF(AND(ISNUMBER(E1060),ISNUMBER(F1060)),E1060-F1060,"n.a.")</x:f>
        <x:v>-6012224574.784636</x:v>
      </x:c>
      <x:c r="H1060" s="15" t="n">
        <x:f>IF(AND(ISNUMBER(E1060),ISNUMBER(F1060),F1060&gt;0),(E1060-F1060)/F1060,"n.a.")</x:f>
        <x:v>-0.6375169959136191</x:v>
      </x:c>
      <x:c r="I1060" s="19" t="n">
        <x:f>IF(ISNUMBER(H1060),ABS(H1060),"n.a.")</x:f>
        <x:v>0.6375169959136191</x:v>
      </x:c>
      <x:c r="J1060" s="2" t="str">
        <x:v>available</x:v>
      </x:c>
      <x:c r="K1060" s="2" t="n">
        <x:v>1</x:v>
      </x:c>
      <x:c r="L1060" s="13" t="b">
        <x:v>0</x:v>
      </x:c>
      <x:c r="M1060" s="13" t="b">
        <x:v>1</x:v>
      </x:c>
      <x:c r="N1060" s="2" t="str">
        <x:v>modeled_epoch_volume_with_fixed2018_height_and_predominant_use</x:v>
      </x:c>
      <x:c r="O1060" s="2" t="str"/>
      <x:c r="P1060" s="2" t="str">
        <x:v>built-up volume</x:v>
      </x:c>
      <x:c r="Q1060" s="2" t="str">
        <x:v>m3</x:v>
      </x:c>
      <x:c r="R1060" s="17" t="n">
        <x:v>31396506672.20784</x:v>
      </x:c>
      <x:c r="S1060" s="17" t="n">
        <x:v>11380700056.36</x:v>
      </x:c>
      <x:c r="T1060" s="18" t="n">
        <x:v>0.300373834048954</x:v>
      </x:c>
      <x:c r="U1060" s="17" t="n">
        <x:v>3418464510.0900006</x:v>
      </x:c>
      <x:c r="V1060" s="2" t="str">
        <x:v>Area equivalent = model2020 * source volume / TEMPO2020 volume</x:v>
      </x:c>
      <x:c r="W1060" s="2" t="str">
        <x:v>qualified_paired_native_source_frame</x:v>
      </x:c>
      <x:c r="X1060" s="2" t="str">
        <x:v>https://human-settlement.emergency.copernicus.eu/ghs_buV2023.php</x:v>
      </x:c>
    </x:row>
    <x:row r="1061" ht="23" customHeight="1">
      <x:c r="A1061" s="2" t="str">
        <x:v>GEO</x:v>
      </x:c>
      <x:c r="B1061" s="2" t="str">
        <x:v>Georgia</x:v>
      </x:c>
      <x:c r="C1061" s="2" t="n">
        <x:v>2020</x:v>
      </x:c>
      <x:c r="D1061" s="2" t="str">
        <x:v>GHSL_VOLUME</x:v>
      </x:c>
      <x:c r="E1061" s="17" t="n">
        <x:v>242256071.04000017</x:v>
      </x:c>
      <x:c r="F1061" s="17" t="n">
        <x:f>IF(AND(M1061,ISNUMBER(R1061)),IF(D1061="TEMPO_PROXY",R1061,IF(AND(ISNUMBER(S1061),S1061&gt;0,ISNUMBER(U1061)),U1061*R1061/S1061,"n.a.")),"n.a.")</x:f>
        <x:v>901290050.8709505</x:v>
      </x:c>
      <x:c r="G1061" s="17" t="n">
        <x:f>IF(AND(ISNUMBER(E1061),ISNUMBER(F1061)),E1061-F1061,"n.a.")</x:f>
        <x:v>-659033979.8309503</x:v>
      </x:c>
      <x:c r="H1061" s="15" t="n">
        <x:f>IF(AND(ISNUMBER(E1061),ISNUMBER(F1061),F1061&gt;0),(E1061-F1061)/F1061,"n.a.")</x:f>
        <x:v>-0.7312118659183033</x:v>
      </x:c>
      <x:c r="I1061" s="19" t="n">
        <x:f>IF(ISNUMBER(H1061),ABS(H1061),"n.a.")</x:f>
        <x:v>0.7312118659183033</x:v>
      </x:c>
      <x:c r="J1061" s="2" t="str">
        <x:v>available</x:v>
      </x:c>
      <x:c r="K1061" s="2" t="n">
        <x:v>1</x:v>
      </x:c>
      <x:c r="L1061" s="13" t="b">
        <x:v>0</x:v>
      </x:c>
      <x:c r="M1061" s="13" t="b">
        <x:v>1</x:v>
      </x:c>
      <x:c r="N1061" s="2" t="str">
        <x:v>modeled_epoch_volume_with_fixed2018_height_and_predominant_use</x:v>
      </x:c>
      <x:c r="O1061" s="2" t="str"/>
      <x:c r="P1061" s="2" t="str">
        <x:v>built-up volume</x:v>
      </x:c>
      <x:c r="Q1061" s="2" t="str">
        <x:v>m3</x:v>
      </x:c>
      <x:c r="R1061" s="17" t="n">
        <x:v>2403015595.5607843</x:v>
      </x:c>
      <x:c r="S1061" s="17" t="n">
        <x:v>645902078.1</x:v>
      </x:c>
      <x:c r="T1061" s="18" t="n">
        <x:v>0.37506625114541514</x:v>
      </x:c>
      <x:c r="U1061" s="17" t="n">
        <x:v>242256071.04000017</x:v>
      </x:c>
      <x:c r="V1061" s="2" t="str">
        <x:v>Area equivalent = model2020 * source volume / TEMPO2020 volume</x:v>
      </x:c>
      <x:c r="W1061" s="2" t="str">
        <x:v>qualified_paired_native_source_frame</x:v>
      </x:c>
      <x:c r="X1061" s="2" t="str">
        <x:v>https://human-settlement.emergency.copernicus.eu/ghs_buV2023.php</x:v>
      </x:c>
    </x:row>
    <x:row r="1062" ht="23" customHeight="1">
      <x:c r="A1062" s="2" t="str">
        <x:v>GHA</x:v>
      </x:c>
      <x:c r="B1062" s="2" t="str">
        <x:v>Ghana (Republic of)</x:v>
      </x:c>
      <x:c r="C1062" s="2" t="n">
        <x:v>2020</x:v>
      </x:c>
      <x:c r="D1062" s="2" t="str">
        <x:v>GHSL_VOLUME</x:v>
      </x:c>
      <x:c r="E1062" s="17" t="n">
        <x:v>958424622.62</x:v>
      </x:c>
      <x:c r="F1062" s="17" t="n">
        <x:f>IF(AND(M1062,ISNUMBER(R1062)),IF(D1062="TEMPO_PROXY",R1062,IF(AND(ISNUMBER(S1062),S1062&gt;0,ISNUMBER(U1062)),U1062*R1062/S1062,"n.a.")),"n.a.")</x:f>
        <x:v>4502532459.060975</x:v>
      </x:c>
      <x:c r="G1062" s="17" t="n">
        <x:f>IF(AND(ISNUMBER(E1062),ISNUMBER(F1062)),E1062-F1062,"n.a.")</x:f>
        <x:v>-3544107836.440975</x:v>
      </x:c>
      <x:c r="H1062" s="15" t="n">
        <x:f>IF(AND(ISNUMBER(E1062),ISNUMBER(F1062),F1062&gt;0),(E1062-F1062)/F1062,"n.a.")</x:f>
        <x:v>-0.7871365434154174</x:v>
      </x:c>
      <x:c r="I1062" s="19" t="n">
        <x:f>IF(ISNUMBER(H1062),ABS(H1062),"n.a.")</x:f>
        <x:v>0.7871365434154174</x:v>
      </x:c>
      <x:c r="J1062" s="2" t="str">
        <x:v>available</x:v>
      </x:c>
      <x:c r="K1062" s="2" t="n">
        <x:v>1</x:v>
      </x:c>
      <x:c r="L1062" s="13" t="b">
        <x:v>0</x:v>
      </x:c>
      <x:c r="M1062" s="13" t="b">
        <x:v>1</x:v>
      </x:c>
      <x:c r="N1062" s="2" t="str">
        <x:v>modeled_epoch_volume_with_fixed2018_height_and_predominant_use</x:v>
      </x:c>
      <x:c r="O1062" s="2" t="str"/>
      <x:c r="P1062" s="2" t="str">
        <x:v>built-up volume</x:v>
      </x:c>
      <x:c r="Q1062" s="2" t="str">
        <x:v>m3</x:v>
      </x:c>
      <x:c r="R1062" s="17" t="n">
        <x:v>10837199511.337263</x:v>
      </x:c>
      <x:c r="S1062" s="17" t="n">
        <x:v>2306843747.68</x:v>
      </x:c>
      <x:c r="T1062" s="18" t="n">
        <x:v>0.41547010870757534</x:v>
      </x:c>
      <x:c r="U1062" s="17" t="n">
        <x:v>958424622.62</x:v>
      </x:c>
      <x:c r="V1062" s="2" t="str">
        <x:v>Area equivalent = model2020 * source volume / TEMPO2020 volume</x:v>
      </x:c>
      <x:c r="W1062" s="2" t="str">
        <x:v>qualified_paired_native_source_frame</x:v>
      </x:c>
      <x:c r="X1062" s="2" t="str">
        <x:v>https://human-settlement.emergency.copernicus.eu/ghs_buV2023.php</x:v>
      </x:c>
    </x:row>
    <x:row r="1063" ht="23" customHeight="1">
      <x:c r="A1063" s="2" t="str">
        <x:v>GIN</x:v>
      </x:c>
      <x:c r="B1063" s="2" t="str">
        <x:v>Guinea (Republic of)</x:v>
      </x:c>
      <x:c r="C1063" s="2" t="n">
        <x:v>2020</x:v>
      </x:c>
      <x:c r="D1063" s="2" t="str">
        <x:v>GHSL_VOLUME</x:v>
      </x:c>
      <x:c r="E1063" s="17" t="n">
        <x:v>277637578.22999954</x:v>
      </x:c>
      <x:c r="F1063" s="17" t="n">
        <x:f>IF(AND(M1063,ISNUMBER(R1063)),IF(D1063="TEMPO_PROXY",R1063,IF(AND(ISNUMBER(S1063),S1063&gt;0,ISNUMBER(U1063)),U1063*R1063/S1063,"n.a.")),"n.a.")</x:f>
        <x:v>1251819153.5376785</x:v>
      </x:c>
      <x:c r="G1063" s="17" t="n">
        <x:f>IF(AND(ISNUMBER(E1063),ISNUMBER(F1063)),E1063-F1063,"n.a.")</x:f>
        <x:v>-974181575.3076789</x:v>
      </x:c>
      <x:c r="H1063" s="15" t="n">
        <x:f>IF(AND(ISNUMBER(E1063),ISNUMBER(F1063),F1063&gt;0),(E1063-F1063)/F1063,"n.a.")</x:f>
        <x:v>-0.7782127095232667</x:v>
      </x:c>
      <x:c r="I1063" s="19" t="n">
        <x:f>IF(ISNUMBER(H1063),ABS(H1063),"n.a.")</x:f>
        <x:v>0.7782127095232667</x:v>
      </x:c>
      <x:c r="J1063" s="2" t="str">
        <x:v>available</x:v>
      </x:c>
      <x:c r="K1063" s="2" t="n">
        <x:v>1</x:v>
      </x:c>
      <x:c r="L1063" s="13" t="b">
        <x:v>0</x:v>
      </x:c>
      <x:c r="M1063" s="13" t="b">
        <x:v>1</x:v>
      </x:c>
      <x:c r="N1063" s="2" t="str">
        <x:v>modeled_epoch_volume_with_fixed2018_height_and_predominant_use</x:v>
      </x:c>
      <x:c r="O1063" s="2" t="str"/>
      <x:c r="P1063" s="2" t="str">
        <x:v>built-up volume</x:v>
      </x:c>
      <x:c r="Q1063" s="2" t="str">
        <x:v>m3</x:v>
      </x:c>
      <x:c r="R1063" s="17" t="n">
        <x:v>2846272979.317646</x:v>
      </x:c>
      <x:c r="S1063" s="17" t="n">
        <x:v>631267172.04</x:v>
      </x:c>
      <x:c r="T1063" s="18" t="n">
        <x:v>0.4398099418551851</x:v>
      </x:c>
      <x:c r="U1063" s="17" t="n">
        <x:v>277637578.22999954</x:v>
      </x:c>
      <x:c r="V1063" s="2" t="str">
        <x:v>Area equivalent = model2020 * source volume / TEMPO2020 volume</x:v>
      </x:c>
      <x:c r="W1063" s="2" t="str">
        <x:v>qualified_paired_native_source_frame</x:v>
      </x:c>
      <x:c r="X1063" s="2" t="str">
        <x:v>https://human-settlement.emergency.copernicus.eu/ghs_buV2023.php</x:v>
      </x:c>
    </x:row>
    <x:row r="1064" ht="23" customHeight="1">
      <x:c r="A1064" s="2" t="str">
        <x:v>GMB</x:v>
      </x:c>
      <x:c r="B1064" s="2" t="str">
        <x:v>Gambia (Republic of the)</x:v>
      </x:c>
      <x:c r="C1064" s="2" t="n">
        <x:v>2020</x:v>
      </x:c>
      <x:c r="D1064" s="2" t="str">
        <x:v>GHSL_VOLUME</x:v>
      </x:c>
      <x:c r="E1064" s="17" t="n">
        <x:v>56875154.52999992</x:v>
      </x:c>
      <x:c r="F1064" s="17" t="n">
        <x:f>IF(AND(M1064,ISNUMBER(R1064)),IF(D1064="TEMPO_PROXY",R1064,IF(AND(ISNUMBER(S1064),S1064&gt;0,ISNUMBER(U1064)),U1064*R1064/S1064,"n.a.")),"n.a.")</x:f>
        <x:v>238863152.4365858</x:v>
      </x:c>
      <x:c r="G1064" s="17" t="n">
        <x:f>IF(AND(ISNUMBER(E1064),ISNUMBER(F1064)),E1064-F1064,"n.a.")</x:f>
        <x:v>-181987997.9065859</x:v>
      </x:c>
      <x:c r="H1064" s="15" t="n">
        <x:f>IF(AND(ISNUMBER(E1064),ISNUMBER(F1064),F1064&gt;0),(E1064-F1064)/F1064,"n.a.")</x:f>
        <x:v>-0.7618923054902772</x:v>
      </x:c>
      <x:c r="I1064" s="19" t="n">
        <x:f>IF(ISNUMBER(H1064),ABS(H1064),"n.a.")</x:f>
        <x:v>0.7618923054902772</x:v>
      </x:c>
      <x:c r="J1064" s="2" t="str">
        <x:v>available</x:v>
      </x:c>
      <x:c r="K1064" s="2" t="n">
        <x:v>1</x:v>
      </x:c>
      <x:c r="L1064" s="13" t="b">
        <x:v>0</x:v>
      </x:c>
      <x:c r="M1064" s="13" t="b">
        <x:v>1</x:v>
      </x:c>
      <x:c r="N1064" s="2" t="str">
        <x:v>modeled_epoch_volume_with_fixed2018_height_and_predominant_use</x:v>
      </x:c>
      <x:c r="O1064" s="2" t="str"/>
      <x:c r="P1064" s="2" t="str">
        <x:v>built-up volume</x:v>
      </x:c>
      <x:c r="Q1064" s="2" t="str">
        <x:v>m3</x:v>
      </x:c>
      <x:c r="R1064" s="17" t="n">
        <x:v>563051374.572549</x:v>
      </x:c>
      <x:c r="S1064" s="17" t="n">
        <x:v>134066864.69</x:v>
      </x:c>
      <x:c r="T1064" s="18" t="n">
        <x:v>0.4242297652108979</x:v>
      </x:c>
      <x:c r="U1064" s="17" t="n">
        <x:v>56875154.52999992</x:v>
      </x:c>
      <x:c r="V1064" s="2" t="str">
        <x:v>Area equivalent = model2020 * source volume / TEMPO2020 volume</x:v>
      </x:c>
      <x:c r="W1064" s="2" t="str">
        <x:v>qualified_paired_native_source_frame</x:v>
      </x:c>
      <x:c r="X1064" s="2" t="str">
        <x:v>https://human-settlement.emergency.copernicus.eu/ghs_buV2023.php</x:v>
      </x:c>
    </x:row>
    <x:row r="1065" ht="23" customHeight="1">
      <x:c r="A1065" s="2" t="str">
        <x:v>GNB</x:v>
      </x:c>
      <x:c r="B1065" s="2" t="str">
        <x:v>Guinea-Bissau (Republic of)</x:v>
      </x:c>
      <x:c r="C1065" s="2" t="n">
        <x:v>2020</x:v>
      </x:c>
      <x:c r="D1065" s="2" t="str">
        <x:v>GHSL_VOLUME</x:v>
      </x:c>
      <x:c r="E1065" s="17" t="n">
        <x:v>48952674.499999925</x:v>
      </x:c>
      <x:c r="F1065" s="17" t="n">
        <x:f>IF(AND(M1065,ISNUMBER(R1065)),IF(D1065="TEMPO_PROXY",R1065,IF(AND(ISNUMBER(S1065),S1065&gt;0,ISNUMBER(U1065)),U1065*R1065/S1065,"n.a.")),"n.a.")</x:f>
        <x:v>180468413.54597703</x:v>
      </x:c>
      <x:c r="G1065" s="17" t="n">
        <x:f>IF(AND(ISNUMBER(E1065),ISNUMBER(F1065)),E1065-F1065,"n.a.")</x:f>
        <x:v>-131515739.0459771</x:v>
      </x:c>
      <x:c r="H1065" s="15" t="n">
        <x:f>IF(AND(ISNUMBER(E1065),ISNUMBER(F1065),F1065&gt;0),(E1065-F1065)/F1065,"n.a.")</x:f>
        <x:v>-0.728746579314676</x:v>
      </x:c>
      <x:c r="I1065" s="19" t="n">
        <x:f>IF(ISNUMBER(H1065),ABS(H1065),"n.a.")</x:f>
        <x:v>0.728746579314676</x:v>
      </x:c>
      <x:c r="J1065" s="2" t="str">
        <x:v>available</x:v>
      </x:c>
      <x:c r="K1065" s="2" t="n">
        <x:v>1</x:v>
      </x:c>
      <x:c r="L1065" s="13" t="b">
        <x:v>0</x:v>
      </x:c>
      <x:c r="M1065" s="13" t="b">
        <x:v>1</x:v>
      </x:c>
      <x:c r="N1065" s="2" t="str">
        <x:v>modeled_epoch_volume_with_fixed2018_height_and_predominant_use</x:v>
      </x:c>
      <x:c r="O1065" s="2" t="str"/>
      <x:c r="P1065" s="2" t="str">
        <x:v>built-up volume</x:v>
      </x:c>
      <x:c r="Q1065" s="2" t="str">
        <x:v>m3</x:v>
      </x:c>
      <x:c r="R1065" s="17" t="n">
        <x:v>392074388.8549019</x:v>
      </x:c>
      <x:c r="S1065" s="17" t="n">
        <x:v>106351519.14</x:v>
      </x:c>
      <x:c r="T1065" s="18" t="n">
        <x:v>0.4602912576693817</x:v>
      </x:c>
      <x:c r="U1065" s="17" t="n">
        <x:v>48952674.499999925</x:v>
      </x:c>
      <x:c r="V1065" s="2" t="str">
        <x:v>Area equivalent = model2020 * source volume / TEMPO2020 volume</x:v>
      </x:c>
      <x:c r="W1065" s="2" t="str">
        <x:v>qualified_paired_native_source_frame</x:v>
      </x:c>
      <x:c r="X1065" s="2" t="str">
        <x:v>https://human-settlement.emergency.copernicus.eu/ghs_buV2023.php</x:v>
      </x:c>
    </x:row>
    <x:row r="1066" ht="23" customHeight="1">
      <x:c r="A1066" s="2" t="str">
        <x:v>GNQ</x:v>
      </x:c>
      <x:c r="B1066" s="2" t="str">
        <x:v>Equatorial Guinea (Republic of)</x:v>
      </x:c>
      <x:c r="C1066" s="2" t="n">
        <x:v>2020</x:v>
      </x:c>
      <x:c r="D1066" s="2" t="str">
        <x:v>GHSL_VOLUME</x:v>
      </x:c>
      <x:c r="E1066" s="17" t="n">
        <x:v>34102626.51999995</x:v>
      </x:c>
      <x:c r="F1066" s="17" t="n">
        <x:f>IF(AND(M1066,ISNUMBER(R1066)),IF(D1066="TEMPO_PROXY",R1066,IF(AND(ISNUMBER(S1066),S1066&gt;0,ISNUMBER(U1066)),U1066*R1066/S1066,"n.a.")),"n.a.")</x:f>
        <x:v>132033122.6974746</x:v>
      </x:c>
      <x:c r="G1066" s="17" t="n">
        <x:f>IF(AND(ISNUMBER(E1066),ISNUMBER(F1066)),E1066-F1066,"n.a.")</x:f>
        <x:v>-97930496.17747465</x:v>
      </x:c>
      <x:c r="H1066" s="15" t="n">
        <x:f>IF(AND(ISNUMBER(E1066),ISNUMBER(F1066),F1066&gt;0),(E1066-F1066)/F1066,"n.a.")</x:f>
        <x:v>-0.7417115809785189</x:v>
      </x:c>
      <x:c r="I1066" s="19" t="n">
        <x:f>IF(ISNUMBER(H1066),ABS(H1066),"n.a.")</x:f>
        <x:v>0.7417115809785189</x:v>
      </x:c>
      <x:c r="J1066" s="2" t="str">
        <x:v>available</x:v>
      </x:c>
      <x:c r="K1066" s="2" t="n">
        <x:v>1</x:v>
      </x:c>
      <x:c r="L1066" s="13" t="b">
        <x:v>0</x:v>
      </x:c>
      <x:c r="M1066" s="13" t="b">
        <x:v>1</x:v>
      </x:c>
      <x:c r="N1066" s="2" t="str">
        <x:v>modeled_epoch_volume_with_fixed2018_height_and_predominant_use</x:v>
      </x:c>
      <x:c r="O1066" s="2" t="str"/>
      <x:c r="P1066" s="2" t="str">
        <x:v>built-up volume</x:v>
      </x:c>
      <x:c r="Q1066" s="2" t="str">
        <x:v>m3</x:v>
      </x:c>
      <x:c r="R1066" s="17" t="n">
        <x:v>348002215.5098039</x:v>
      </x:c>
      <x:c r="S1066" s="17" t="n">
        <x:v>89884942.06</x:v>
      </x:c>
      <x:c r="T1066" s="18" t="n">
        <x:v>0.3794031095579476</x:v>
      </x:c>
      <x:c r="U1066" s="17" t="n">
        <x:v>34102626.51999995</x:v>
      </x:c>
      <x:c r="V1066" s="2" t="str">
        <x:v>Area equivalent = model2020 * source volume / TEMPO2020 volume</x:v>
      </x:c>
      <x:c r="W1066" s="2" t="str">
        <x:v>qualified_paired_native_source_frame</x:v>
      </x:c>
      <x:c r="X1066" s="2" t="str">
        <x:v>https://human-settlement.emergency.copernicus.eu/ghs_buV2023.php</x:v>
      </x:c>
    </x:row>
    <x:row r="1067" ht="23" customHeight="1">
      <x:c r="A1067" s="2" t="str">
        <x:v>GRC</x:v>
      </x:c>
      <x:c r="B1067" s="2" t="str">
        <x:v>Greece (Hellenic Republic)</x:v>
      </x:c>
      <x:c r="C1067" s="2" t="n">
        <x:v>2020</x:v>
      </x:c>
      <x:c r="D1067" s="2" t="str">
        <x:v>GHSL_VOLUME</x:v>
      </x:c>
      <x:c r="E1067" s="17" t="n">
        <x:v>853851739.6700008</x:v>
      </x:c>
      <x:c r="F1067" s="17" t="n">
        <x:f>IF(AND(M1067,ISNUMBER(R1067)),IF(D1067="TEMPO_PROXY",R1067,IF(AND(ISNUMBER(S1067),S1067&gt;0,ISNUMBER(U1067)),U1067*R1067/S1067,"n.a.")),"n.a.")</x:f>
        <x:v>1909229821.5311856</x:v>
      </x:c>
      <x:c r="G1067" s="17" t="n">
        <x:f>IF(AND(ISNUMBER(E1067),ISNUMBER(F1067)),E1067-F1067,"n.a.")</x:f>
        <x:v>-1055378081.8611848</x:v>
      </x:c>
      <x:c r="H1067" s="15" t="n">
        <x:f>IF(AND(ISNUMBER(E1067),ISNUMBER(F1067),F1067&gt;0),(E1067-F1067)/F1067,"n.a.")</x:f>
        <x:v>-0.5527768684310519</x:v>
      </x:c>
      <x:c r="I1067" s="19" t="n">
        <x:f>IF(ISNUMBER(H1067),ABS(H1067),"n.a.")</x:f>
        <x:v>0.5527768684310519</x:v>
      </x:c>
      <x:c r="J1067" s="2" t="str">
        <x:v>available</x:v>
      </x:c>
      <x:c r="K1067" s="2" t="n">
        <x:v>1</x:v>
      </x:c>
      <x:c r="L1067" s="13" t="b">
        <x:v>0</x:v>
      </x:c>
      <x:c r="M1067" s="13" t="b">
        <x:v>1</x:v>
      </x:c>
      <x:c r="N1067" s="2" t="str">
        <x:v>modeled_epoch_volume_with_fixed2018_height_and_predominant_use</x:v>
      </x:c>
      <x:c r="O1067" s="2" t="str"/>
      <x:c r="P1067" s="2" t="str">
        <x:v>built-up volume</x:v>
      </x:c>
      <x:c r="Q1067" s="2" t="str">
        <x:v>m3</x:v>
      </x:c>
      <x:c r="R1067" s="17" t="n">
        <x:v>5923909455.254904</x:v>
      </x:c>
      <x:c r="S1067" s="17" t="n">
        <x:v>2649309337.71</x:v>
      </x:c>
      <x:c r="T1067" s="18" t="n">
        <x:v>0.3222922017887311</x:v>
      </x:c>
      <x:c r="U1067" s="17" t="n">
        <x:v>853851739.6700008</x:v>
      </x:c>
      <x:c r="V1067" s="2" t="str">
        <x:v>Area equivalent = model2020 * source volume / TEMPO2020 volume</x:v>
      </x:c>
      <x:c r="W1067" s="2" t="str">
        <x:v>qualified_paired_native_source_frame</x:v>
      </x:c>
      <x:c r="X1067" s="2" t="str">
        <x:v>https://human-settlement.emergency.copernicus.eu/ghs_buV2023.php</x:v>
      </x:c>
    </x:row>
    <x:row r="1068" ht="23" customHeight="1">
      <x:c r="A1068" s="2" t="str">
        <x:v>GRD</x:v>
      </x:c>
      <x:c r="B1068" s="2" t="str">
        <x:v>Grenada</x:v>
      </x:c>
      <x:c r="C1068" s="2" t="n">
        <x:v>2020</x:v>
      </x:c>
      <x:c r="D1068" s="2" t="str">
        <x:v>GHSL_VOLUME</x:v>
      </x:c>
      <x:c r="E1068" s="17" t="n">
        <x:v>6904998.419999993</x:v>
      </x:c>
      <x:c r="F1068" s="17" t="n">
        <x:f>IF(AND(M1068,ISNUMBER(R1068)),IF(D1068="TEMPO_PROXY",R1068,IF(AND(ISNUMBER(S1068),S1068&gt;0,ISNUMBER(U1068)),U1068*R1068/S1068,"n.a.")),"n.a.")</x:f>
        <x:v>15743312.439481279</x:v>
      </x:c>
      <x:c r="G1068" s="17" t="n">
        <x:f>IF(AND(ISNUMBER(E1068),ISNUMBER(F1068)),E1068-F1068,"n.a.")</x:f>
        <x:v>-8838314.019481286</x:v>
      </x:c>
      <x:c r="H1068" s="15" t="n">
        <x:f>IF(AND(ISNUMBER(E1068),ISNUMBER(F1068),F1068&gt;0),(E1068-F1068)/F1068,"n.a.")</x:f>
        <x:v>-0.5614011697637691</x:v>
      </x:c>
      <x:c r="I1068" s="19" t="n">
        <x:f>IF(ISNUMBER(H1068),ABS(H1068),"n.a.")</x:f>
        <x:v>0.5614011697637691</x:v>
      </x:c>
      <x:c r="J1068" s="2" t="str">
        <x:v>available</x:v>
      </x:c>
      <x:c r="K1068" s="2" t="n">
        <x:v>1</x:v>
      </x:c>
      <x:c r="L1068" s="13" t="b">
        <x:v>0</x:v>
      </x:c>
      <x:c r="M1068" s="13" t="b">
        <x:v>1</x:v>
      </x:c>
      <x:c r="N1068" s="2" t="str">
        <x:v>modeled_epoch_volume_with_fixed2018_height_and_predominant_use</x:v>
      </x:c>
      <x:c r="O1068" s="2" t="str"/>
      <x:c r="P1068" s="2" t="str">
        <x:v>built-up volume</x:v>
      </x:c>
      <x:c r="Q1068" s="2" t="str">
        <x:v>m3</x:v>
      </x:c>
      <x:c r="R1068" s="17" t="n">
        <x:v>34566534.78039217</x:v>
      </x:c>
      <x:c r="S1068" s="17" t="n">
        <x:v>15160841.72</x:v>
      </x:c>
      <x:c r="T1068" s="18" t="n">
        <x:v>0.455449542151146</x:v>
      </x:c>
      <x:c r="U1068" s="17" t="n">
        <x:v>6904998.419999993</x:v>
      </x:c>
      <x:c r="V1068" s="2" t="str">
        <x:v>Area equivalent = model2020 * source volume / TEMPO2020 volume</x:v>
      </x:c>
      <x:c r="W1068" s="2" t="str">
        <x:v>qualified_paired_native_source_frame</x:v>
      </x:c>
      <x:c r="X1068" s="2" t="str">
        <x:v>https://human-settlement.emergency.copernicus.eu/ghs_buV2023.php</x:v>
      </x:c>
    </x:row>
    <x:row r="1069" ht="23" customHeight="1">
      <x:c r="A1069" s="2" t="str">
        <x:v>GTM</x:v>
      </x:c>
      <x:c r="B1069" s="2" t="str">
        <x:v>Guatemala (Republic of)</x:v>
      </x:c>
      <x:c r="C1069" s="2" t="n">
        <x:v>2020</x:v>
      </x:c>
      <x:c r="D1069" s="2" t="str">
        <x:v>GHSL_VOLUME</x:v>
      </x:c>
      <x:c r="E1069" s="17" t="n">
        <x:v>599114028.8099989</x:v>
      </x:c>
      <x:c r="F1069" s="17" t="n">
        <x:f>IF(AND(M1069,ISNUMBER(R1069)),IF(D1069="TEMPO_PROXY",R1069,IF(AND(ISNUMBER(S1069),S1069&gt;0,ISNUMBER(U1069)),U1069*R1069/S1069,"n.a.")),"n.a.")</x:f>
        <x:v>1818232746.1424587</x:v>
      </x:c>
      <x:c r="G1069" s="17" t="n">
        <x:f>IF(AND(ISNUMBER(E1069),ISNUMBER(F1069)),E1069-F1069,"n.a.")</x:f>
        <x:v>-1219118717.33246</x:v>
      </x:c>
      <x:c r="H1069" s="15" t="n">
        <x:f>IF(AND(ISNUMBER(E1069),ISNUMBER(F1069),F1069&gt;0),(E1069-F1069)/F1069,"n.a.")</x:f>
        <x:v>-0.6704965136718212</x:v>
      </x:c>
      <x:c r="I1069" s="19" t="n">
        <x:f>IF(ISNUMBER(H1069),ABS(H1069),"n.a.")</x:f>
        <x:v>0.6704965136718212</x:v>
      </x:c>
      <x:c r="J1069" s="2" t="str">
        <x:v>available</x:v>
      </x:c>
      <x:c r="K1069" s="2" t="n">
        <x:v>1</x:v>
      </x:c>
      <x:c r="L1069" s="13" t="b">
        <x:v>0</x:v>
      </x:c>
      <x:c r="M1069" s="13" t="b">
        <x:v>1</x:v>
      </x:c>
      <x:c r="N1069" s="2" t="str">
        <x:v>modeled_epoch_volume_with_fixed2018_height_and_predominant_use</x:v>
      </x:c>
      <x:c r="O1069" s="2" t="str"/>
      <x:c r="P1069" s="2" t="str">
        <x:v>built-up volume</x:v>
      </x:c>
      <x:c r="Q1069" s="2" t="str">
        <x:v>m3</x:v>
      </x:c>
      <x:c r="R1069" s="17" t="n">
        <x:v>4509374949.678432</x:v>
      </x:c>
      <x:c r="S1069" s="17" t="n">
        <x:v>1485854767.08</x:v>
      </x:c>
      <x:c r="T1069" s="18" t="n">
        <x:v>0.40321170149581786</x:v>
      </x:c>
      <x:c r="U1069" s="17" t="n">
        <x:v>599114028.8099989</x:v>
      </x:c>
      <x:c r="V1069" s="2" t="str">
        <x:v>Area equivalent = model2020 * source volume / TEMPO2020 volume</x:v>
      </x:c>
      <x:c r="W1069" s="2" t="str">
        <x:v>qualified_paired_native_source_frame</x:v>
      </x:c>
      <x:c r="X1069" s="2" t="str">
        <x:v>https://human-settlement.emergency.copernicus.eu/ghs_buV2023.php</x:v>
      </x:c>
    </x:row>
    <x:row r="1070" ht="23" customHeight="1">
      <x:c r="A1070" s="2" t="str">
        <x:v>GUY</x:v>
      </x:c>
      <x:c r="B1070" s="2" t="str">
        <x:v>Guyana (Co-operative Republic of)</x:v>
      </x:c>
      <x:c r="C1070" s="2" t="n">
        <x:v>2020</x:v>
      </x:c>
      <x:c r="D1070" s="2" t="str">
        <x:v>GHSL_VOLUME</x:v>
      </x:c>
      <x:c r="E1070" s="17" t="n">
        <x:v>46462035.66000002</x:v>
      </x:c>
      <x:c r="F1070" s="17" t="n">
        <x:f>IF(AND(M1070,ISNUMBER(R1070)),IF(D1070="TEMPO_PROXY",R1070,IF(AND(ISNUMBER(S1070),S1070&gt;0,ISNUMBER(U1070)),U1070*R1070/S1070,"n.a.")),"n.a.")</x:f>
        <x:v>98278523.68559597</x:v>
      </x:c>
      <x:c r="G1070" s="17" t="n">
        <x:f>IF(AND(ISNUMBER(E1070),ISNUMBER(F1070)),E1070-F1070,"n.a.")</x:f>
        <x:v>-51816488.025595956</x:v>
      </x:c>
      <x:c r="H1070" s="15" t="n">
        <x:f>IF(AND(ISNUMBER(E1070),ISNUMBER(F1070),F1070&gt;0),(E1070-F1070)/F1070,"n.a.")</x:f>
        <x:v>-0.5272412128550356</x:v>
      </x:c>
      <x:c r="I1070" s="19" t="n">
        <x:f>IF(ISNUMBER(H1070),ABS(H1070),"n.a.")</x:f>
        <x:v>0.5272412128550356</x:v>
      </x:c>
      <x:c r="J1070" s="2" t="str">
        <x:v>available</x:v>
      </x:c>
      <x:c r="K1070" s="2" t="n">
        <x:v>1</x:v>
      </x:c>
      <x:c r="L1070" s="13" t="b">
        <x:v>0</x:v>
      </x:c>
      <x:c r="M1070" s="13" t="b">
        <x:v>1</x:v>
      </x:c>
      <x:c r="N1070" s="2" t="str">
        <x:v>modeled_epoch_volume_with_fixed2018_height_and_predominant_use</x:v>
      </x:c>
      <x:c r="O1070" s="2" t="str"/>
      <x:c r="P1070" s="2" t="str">
        <x:v>built-up volume</x:v>
      </x:c>
      <x:c r="Q1070" s="2" t="str">
        <x:v>m3</x:v>
      </x:c>
      <x:c r="R1070" s="17" t="n">
        <x:v>240155610.63529414</x:v>
      </x:c>
      <x:c r="S1070" s="17" t="n">
        <x:v>113535675.21</x:v>
      </x:c>
      <x:c r="T1070" s="18" t="n">
        <x:v>0.4092285140689218</x:v>
      </x:c>
      <x:c r="U1070" s="17" t="n">
        <x:v>46462035.66000002</x:v>
      </x:c>
      <x:c r="V1070" s="2" t="str">
        <x:v>Area equivalent = model2020 * source volume / TEMPO2020 volume</x:v>
      </x:c>
      <x:c r="W1070" s="2" t="str">
        <x:v>qualified_paired_native_source_frame</x:v>
      </x:c>
      <x:c r="X1070" s="2" t="str">
        <x:v>https://human-settlement.emergency.copernicus.eu/ghs_buV2023.php</x:v>
      </x:c>
    </x:row>
    <x:row r="1071" ht="23" customHeight="1">
      <x:c r="A1071" s="2" t="str">
        <x:v>HND</x:v>
      </x:c>
      <x:c r="B1071" s="2" t="str">
        <x:v>Honduras (Republic of)</x:v>
      </x:c>
      <x:c r="C1071" s="2" t="n">
        <x:v>2020</x:v>
      </x:c>
      <x:c r="D1071" s="2" t="str">
        <x:v>GHSL_VOLUME</x:v>
      </x:c>
      <x:c r="E1071" s="17" t="n">
        <x:v>335660713.2700002</x:v>
      </x:c>
      <x:c r="F1071" s="17" t="n">
        <x:f>IF(AND(M1071,ISNUMBER(R1071)),IF(D1071="TEMPO_PROXY",R1071,IF(AND(ISNUMBER(S1071),S1071&gt;0,ISNUMBER(U1071)),U1071*R1071/S1071,"n.a.")),"n.a.")</x:f>
        <x:v>1118649025.875833</x:v>
      </x:c>
      <x:c r="G1071" s="17" t="n">
        <x:f>IF(AND(ISNUMBER(E1071),ISNUMBER(F1071)),E1071-F1071,"n.a.")</x:f>
        <x:v>-782988312.6058328</x:v>
      </x:c>
      <x:c r="H1071" s="15" t="n">
        <x:f>IF(AND(ISNUMBER(E1071),ISNUMBER(F1071),F1071&gt;0),(E1071-F1071)/F1071,"n.a.")</x:f>
        <x:v>-0.6999409953383737</x:v>
      </x:c>
      <x:c r="I1071" s="19" t="n">
        <x:f>IF(ISNUMBER(H1071),ABS(H1071),"n.a.")</x:f>
        <x:v>0.6999409953383737</x:v>
      </x:c>
      <x:c r="J1071" s="2" t="str">
        <x:v>available</x:v>
      </x:c>
      <x:c r="K1071" s="2" t="n">
        <x:v>1</x:v>
      </x:c>
      <x:c r="L1071" s="13" t="b">
        <x:v>0</x:v>
      </x:c>
      <x:c r="M1071" s="13" t="b">
        <x:v>1</x:v>
      </x:c>
      <x:c r="N1071" s="2" t="str">
        <x:v>modeled_epoch_volume_with_fixed2018_height_and_predominant_use</x:v>
      </x:c>
      <x:c r="O1071" s="2" t="str"/>
      <x:c r="P1071" s="2" t="str">
        <x:v>built-up volume</x:v>
      </x:c>
      <x:c r="Q1071" s="2" t="str">
        <x:v>m3</x:v>
      </x:c>
      <x:c r="R1071" s="17" t="n">
        <x:v>2634107241.478431</x:v>
      </x:c>
      <x:c r="S1071" s="17" t="n">
        <x:v>790387597.05</x:v>
      </x:c>
      <x:c r="T1071" s="18" t="n">
        <x:v>0.42467861910131455</x:v>
      </x:c>
      <x:c r="U1071" s="17" t="n">
        <x:v>335660713.2700002</x:v>
      </x:c>
      <x:c r="V1071" s="2" t="str">
        <x:v>Area equivalent = model2020 * source volume / TEMPO2020 volume</x:v>
      </x:c>
      <x:c r="W1071" s="2" t="str">
        <x:v>qualified_paired_native_source_frame</x:v>
      </x:c>
      <x:c r="X1071" s="2" t="str">
        <x:v>https://human-settlement.emergency.copernicus.eu/ghs_buV2023.php</x:v>
      </x:c>
    </x:row>
    <x:row r="1072" ht="23" customHeight="1">
      <x:c r="A1072" s="2" t="str">
        <x:v>HRV</x:v>
      </x:c>
      <x:c r="B1072" s="2" t="str">
        <x:v>Croatia (Republic of)</x:v>
      </x:c>
      <x:c r="C1072" s="2" t="n">
        <x:v>2020</x:v>
      </x:c>
      <x:c r="D1072" s="2" t="str">
        <x:v>GHSL_VOLUME</x:v>
      </x:c>
      <x:c r="E1072" s="17" t="n">
        <x:v>361520718.4299994</x:v>
      </x:c>
      <x:c r="F1072" s="17" t="n">
        <x:f>IF(AND(M1072,ISNUMBER(R1072)),IF(D1072="TEMPO_PROXY",R1072,IF(AND(ISNUMBER(S1072),S1072&gt;0,ISNUMBER(U1072)),U1072*R1072/S1072,"n.a.")),"n.a.")</x:f>
        <x:v>721730228.117057</x:v>
      </x:c>
      <x:c r="G1072" s="17" t="n">
        <x:f>IF(AND(ISNUMBER(E1072),ISNUMBER(F1072)),E1072-F1072,"n.a.")</x:f>
        <x:v>-360209509.68705755</x:v>
      </x:c>
      <x:c r="H1072" s="15" t="n">
        <x:f>IF(AND(ISNUMBER(E1072),ISNUMBER(F1072),F1072&gt;0),(E1072-F1072)/F1072,"n.a.")</x:f>
        <x:v>-0.49909162129292917</x:v>
      </x:c>
      <x:c r="I1072" s="19" t="n">
        <x:f>IF(ISNUMBER(H1072),ABS(H1072),"n.a.")</x:f>
        <x:v>0.49909162129292917</x:v>
      </x:c>
      <x:c r="J1072" s="2" t="str">
        <x:v>available</x:v>
      </x:c>
      <x:c r="K1072" s="2" t="n">
        <x:v>1</x:v>
      </x:c>
      <x:c r="L1072" s="13" t="b">
        <x:v>0</x:v>
      </x:c>
      <x:c r="M1072" s="13" t="b">
        <x:v>1</x:v>
      </x:c>
      <x:c r="N1072" s="2" t="str">
        <x:v>modeled_epoch_volume_with_fixed2018_height_and_predominant_use</x:v>
      </x:c>
      <x:c r="O1072" s="2" t="str"/>
      <x:c r="P1072" s="2" t="str">
        <x:v>built-up volume</x:v>
      </x:c>
      <x:c r="Q1072" s="2" t="str">
        <x:v>m3</x:v>
      </x:c>
      <x:c r="R1072" s="17" t="n">
        <x:v>2020311566.6823537</x:v>
      </x:c>
      <x:c r="S1072" s="17" t="n">
        <x:v>1011990991.35</x:v>
      </x:c>
      <x:c r="T1072" s="18" t="n">
        <x:v>0.3572370915552611</x:v>
      </x:c>
      <x:c r="U1072" s="17" t="n">
        <x:v>361520718.4299994</x:v>
      </x:c>
      <x:c r="V1072" s="2" t="str">
        <x:v>Area equivalent = model2020 * source volume / TEMPO2020 volume</x:v>
      </x:c>
      <x:c r="W1072" s="2" t="str">
        <x:v>qualified_paired_native_source_frame</x:v>
      </x:c>
      <x:c r="X1072" s="2" t="str">
        <x:v>https://human-settlement.emergency.copernicus.eu/ghs_buV2023.php</x:v>
      </x:c>
    </x:row>
    <x:row r="1073" ht="23" customHeight="1">
      <x:c r="A1073" s="2" t="str">
        <x:v>HTI</x:v>
      </x:c>
      <x:c r="B1073" s="2" t="str">
        <x:v>Haiti (Republic of)</x:v>
      </x:c>
      <x:c r="C1073" s="2" t="n">
        <x:v>2020</x:v>
      </x:c>
      <x:c r="D1073" s="2" t="str">
        <x:v>GHSL_VOLUME</x:v>
      </x:c>
      <x:c r="E1073" s="17" t="n">
        <x:v>189002396.5400002</x:v>
      </x:c>
      <x:c r="F1073" s="17" t="n">
        <x:f>IF(AND(M1073,ISNUMBER(R1073)),IF(D1073="TEMPO_PROXY",R1073,IF(AND(ISNUMBER(S1073),S1073&gt;0,ISNUMBER(U1073)),U1073*R1073/S1073,"n.a.")),"n.a.")</x:f>
        <x:v>651355622.039752</x:v>
      </x:c>
      <x:c r="G1073" s="17" t="n">
        <x:f>IF(AND(ISNUMBER(E1073),ISNUMBER(F1073)),E1073-F1073,"n.a.")</x:f>
        <x:v>-462353225.4997518</x:v>
      </x:c>
      <x:c r="H1073" s="15" t="n">
        <x:f>IF(AND(ISNUMBER(E1073),ISNUMBER(F1073),F1073&gt;0),(E1073-F1073)/F1073,"n.a.")</x:f>
        <x:v>-0.7098322480918643</x:v>
      </x:c>
      <x:c r="I1073" s="19" t="n">
        <x:f>IF(ISNUMBER(H1073),ABS(H1073),"n.a.")</x:f>
        <x:v>0.7098322480918643</x:v>
      </x:c>
      <x:c r="J1073" s="2" t="str">
        <x:v>available</x:v>
      </x:c>
      <x:c r="K1073" s="2" t="n">
        <x:v>1</x:v>
      </x:c>
      <x:c r="L1073" s="13" t="b">
        <x:v>0</x:v>
      </x:c>
      <x:c r="M1073" s="13" t="b">
        <x:v>1</x:v>
      </x:c>
      <x:c r="N1073" s="2" t="str">
        <x:v>modeled_epoch_volume_with_fixed2018_height_and_predominant_use</x:v>
      </x:c>
      <x:c r="O1073" s="2" t="str"/>
      <x:c r="P1073" s="2" t="str">
        <x:v>built-up volume</x:v>
      </x:c>
      <x:c r="Q1073" s="2" t="str">
        <x:v>m3</x:v>
      </x:c>
      <x:c r="R1073" s="17" t="n">
        <x:v>1476339102.4431372</x:v>
      </x:c>
      <x:c r="S1073" s="17" t="n">
        <x:v>428385998.41</x:v>
      </x:c>
      <x:c r="T1073" s="18" t="n">
        <x:v>0.44119648457583255</x:v>
      </x:c>
      <x:c r="U1073" s="17" t="n">
        <x:v>189002396.5400002</x:v>
      </x:c>
      <x:c r="V1073" s="2" t="str">
        <x:v>Area equivalent = model2020 * source volume / TEMPO2020 volume</x:v>
      </x:c>
      <x:c r="W1073" s="2" t="str">
        <x:v>qualified_paired_native_source_frame</x:v>
      </x:c>
      <x:c r="X1073" s="2" t="str">
        <x:v>https://human-settlement.emergency.copernicus.eu/ghs_buV2023.php</x:v>
      </x:c>
    </x:row>
    <x:row r="1074" ht="23" customHeight="1">
      <x:c r="A1074" s="2" t="str">
        <x:v>HUN</x:v>
      </x:c>
      <x:c r="B1074" s="2" t="str">
        <x:v>Hungary</x:v>
      </x:c>
      <x:c r="C1074" s="2" t="n">
        <x:v>2020</x:v>
      </x:c>
      <x:c r="D1074" s="2" t="str">
        <x:v>GHSL_VOLUME</x:v>
      </x:c>
      <x:c r="E1074" s="17" t="n">
        <x:v>853072780.5300013</x:v>
      </x:c>
      <x:c r="F1074" s="17" t="n">
        <x:f>IF(AND(M1074,ISNUMBER(R1074)),IF(D1074="TEMPO_PROXY",R1074,IF(AND(ISNUMBER(S1074),S1074&gt;0,ISNUMBER(U1074)),U1074*R1074/S1074,"n.a.")),"n.a.")</x:f>
        <x:v>1943608996.5472143</x:v>
      </x:c>
      <x:c r="G1074" s="17" t="n">
        <x:f>IF(AND(ISNUMBER(E1074),ISNUMBER(F1074)),E1074-F1074,"n.a.")</x:f>
        <x:v>-1090536216.0172129</x:v>
      </x:c>
      <x:c r="H1074" s="15" t="n">
        <x:f>IF(AND(ISNUMBER(E1074),ISNUMBER(F1074),F1074&gt;0),(E1074-F1074)/F1074,"n.a.")</x:f>
        <x:v>-0.5610882733896223</x:v>
      </x:c>
      <x:c r="I1074" s="19" t="n">
        <x:f>IF(ISNUMBER(H1074),ABS(H1074),"n.a.")</x:f>
        <x:v>0.5610882733896223</x:v>
      </x:c>
      <x:c r="J1074" s="2" t="str">
        <x:v>available</x:v>
      </x:c>
      <x:c r="K1074" s="2" t="n">
        <x:v>1</x:v>
      </x:c>
      <x:c r="L1074" s="13" t="b">
        <x:v>0</x:v>
      </x:c>
      <x:c r="M1074" s="13" t="b">
        <x:v>1</x:v>
      </x:c>
      <x:c r="N1074" s="2" t="str">
        <x:v>modeled_epoch_volume_with_fixed2018_height_and_predominant_use</x:v>
      </x:c>
      <x:c r="O1074" s="2" t="str"/>
      <x:c r="P1074" s="2" t="str">
        <x:v>built-up volume</x:v>
      </x:c>
      <x:c r="Q1074" s="2" t="str">
        <x:v>m3</x:v>
      </x:c>
      <x:c r="R1074" s="17" t="n">
        <x:v>5932102712.309803</x:v>
      </x:c>
      <x:c r="S1074" s="17" t="n">
        <x:v>2603669443.89</x:v>
      </x:c>
      <x:c r="T1074" s="18" t="n">
        <x:v>0.32764250566902686</x:v>
      </x:c>
      <x:c r="U1074" s="17" t="n">
        <x:v>853072780.5300013</x:v>
      </x:c>
      <x:c r="V1074" s="2" t="str">
        <x:v>Area equivalent = model2020 * source volume / TEMPO2020 volume</x:v>
      </x:c>
      <x:c r="W1074" s="2" t="str">
        <x:v>qualified_paired_native_source_frame</x:v>
      </x:c>
      <x:c r="X1074" s="2" t="str">
        <x:v>https://human-settlement.emergency.copernicus.eu/ghs_buV2023.php</x:v>
      </x:c>
    </x:row>
    <x:row r="1075" ht="23" customHeight="1">
      <x:c r="A1075" s="2" t="str">
        <x:v>IDN</x:v>
      </x:c>
      <x:c r="B1075" s="2" t="str">
        <x:v>Indonesia (Republic of)</x:v>
      </x:c>
      <x:c r="C1075" s="2" t="n">
        <x:v>2020</x:v>
      </x:c>
      <x:c r="D1075" s="2" t="str">
        <x:v>GHSL_VOLUME</x:v>
      </x:c>
      <x:c r="E1075" s="17" t="n">
        <x:v>10794355074.089985</x:v>
      </x:c>
      <x:c r="F1075" s="17" t="n">
        <x:f>IF(AND(M1075,ISNUMBER(R1075)),IF(D1075="TEMPO_PROXY",R1075,IF(AND(ISNUMBER(S1075),S1075&gt;0,ISNUMBER(U1075)),U1075*R1075/S1075,"n.a.")),"n.a.")</x:f>
        <x:v>17105261493.65963</x:v>
      </x:c>
      <x:c r="G1075" s="17" t="n">
        <x:f>IF(AND(ISNUMBER(E1075),ISNUMBER(F1075)),E1075-F1075,"n.a.")</x:f>
        <x:v>-6310906419.569645</x:v>
      </x:c>
      <x:c r="H1075" s="15" t="n">
        <x:f>IF(AND(ISNUMBER(E1075),ISNUMBER(F1075),F1075&gt;0),(E1075-F1075)/F1075,"n.a.")</x:f>
        <x:v>-0.36894533427091397</x:v>
      </x:c>
      <x:c r="I1075" s="19" t="n">
        <x:f>IF(ISNUMBER(H1075),ABS(H1075),"n.a.")</x:f>
        <x:v>0.36894533427091397</x:v>
      </x:c>
      <x:c r="J1075" s="2" t="str">
        <x:v>available</x:v>
      </x:c>
      <x:c r="K1075" s="2" t="n">
        <x:v>1</x:v>
      </x:c>
      <x:c r="L1075" s="13" t="b">
        <x:v>0</x:v>
      </x:c>
      <x:c r="M1075" s="13" t="b">
        <x:v>1</x:v>
      </x:c>
      <x:c r="N1075" s="2" t="str">
        <x:v>modeled_epoch_volume_with_fixed2018_height_and_predominant_use</x:v>
      </x:c>
      <x:c r="O1075" s="2" t="str"/>
      <x:c r="P1075" s="2" t="str">
        <x:v>built-up volume</x:v>
      </x:c>
      <x:c r="Q1075" s="2" t="str">
        <x:v>m3</x:v>
      </x:c>
      <x:c r="R1075" s="17" t="n">
        <x:v>48550579909.35294</x:v>
      </x:c>
      <x:c r="S1075" s="17" t="n">
        <x:v>30638069975.65</x:v>
      </x:c>
      <x:c r="T1075" s="18" t="n">
        <x:v>0.35231837653836995</x:v>
      </x:c>
      <x:c r="U1075" s="17" t="n">
        <x:v>10794355074.089985</x:v>
      </x:c>
      <x:c r="V1075" s="2" t="str">
        <x:v>Area equivalent = model2020 * source volume / TEMPO2020 volume</x:v>
      </x:c>
      <x:c r="W1075" s="2" t="str">
        <x:v>qualified_paired_native_source_frame</x:v>
      </x:c>
      <x:c r="X1075" s="2" t="str">
        <x:v>https://human-settlement.emergency.copernicus.eu/ghs_buV2023.php</x:v>
      </x:c>
    </x:row>
    <x:row r="1076" ht="23" customHeight="1">
      <x:c r="A1076" s="2" t="str">
        <x:v>IND</x:v>
      </x:c>
      <x:c r="B1076" s="2" t="str">
        <x:v>India (Republic of)</x:v>
      </x:c>
      <x:c r="C1076" s="2" t="n">
        <x:v>2020</x:v>
      </x:c>
      <x:c r="D1076" s="2" t="str">
        <x:v>GHSL_VOLUME</x:v>
      </x:c>
      <x:c r="E1076" s="17" t="n">
        <x:v>27853638424.040043</x:v>
      </x:c>
      <x:c r="F1076" s="17" t="n">
        <x:f>IF(AND(M1076,ISNUMBER(R1076)),IF(D1076="TEMPO_PROXY",R1076,IF(AND(ISNUMBER(S1076),S1076&gt;0,ISNUMBER(U1076)),U1076*R1076/S1076,"n.a.")),"n.a.")</x:f>
        <x:v>61132811343.359764</x:v>
      </x:c>
      <x:c r="G1076" s="17" t="n">
        <x:f>IF(AND(ISNUMBER(E1076),ISNUMBER(F1076)),E1076-F1076,"n.a.")</x:f>
        <x:v>-33279172919.31972</x:v>
      </x:c>
      <x:c r="H1076" s="15" t="n">
        <x:f>IF(AND(ISNUMBER(E1076),ISNUMBER(F1076),F1076&gt;0),(E1076-F1076)/F1076,"n.a.")</x:f>
        <x:v>-0.5443749794591198</x:v>
      </x:c>
      <x:c r="I1076" s="19" t="n">
        <x:f>IF(ISNUMBER(H1076),ABS(H1076),"n.a.")</x:f>
        <x:v>0.5443749794591198</x:v>
      </x:c>
      <x:c r="J1076" s="2" t="str">
        <x:v>available</x:v>
      </x:c>
      <x:c r="K1076" s="2" t="n">
        <x:v>1</x:v>
      </x:c>
      <x:c r="L1076" s="13" t="b">
        <x:v>0</x:v>
      </x:c>
      <x:c r="M1076" s="13" t="b">
        <x:v>1</x:v>
      </x:c>
      <x:c r="N1076" s="2" t="str">
        <x:v>modeled_epoch_volume_with_fixed2018_height_and_predominant_use</x:v>
      </x:c>
      <x:c r="O1076" s="2" t="str"/>
      <x:c r="P1076" s="2" t="str">
        <x:v>built-up volume</x:v>
      </x:c>
      <x:c r="Q1076" s="2" t="str">
        <x:v>m3</x:v>
      </x:c>
      <x:c r="R1076" s="17" t="n">
        <x:v>161595015820.28235</x:v>
      </x:c>
      <x:c r="S1076" s="17" t="n">
        <x:v>73626732402.42</x:v>
      </x:c>
      <x:c r="T1076" s="18" t="n">
        <x:v>0.37830876795945567</x:v>
      </x:c>
      <x:c r="U1076" s="17" t="n">
        <x:v>27853638424.040043</x:v>
      </x:c>
      <x:c r="V1076" s="2" t="str">
        <x:v>Area equivalent = model2020 * source volume / TEMPO2020 volume</x:v>
      </x:c>
      <x:c r="W1076" s="2" t="str">
        <x:v>qualified_paired_native_source_frame</x:v>
      </x:c>
      <x:c r="X1076" s="2" t="str">
        <x:v>https://human-settlement.emergency.copernicus.eu/ghs_buV2023.php</x:v>
      </x:c>
    </x:row>
    <x:row r="1077" ht="23" customHeight="1">
      <x:c r="A1077" s="2" t="str">
        <x:v>IRL</x:v>
      </x:c>
      <x:c r="B1077" s="2" t="str">
        <x:v>Ireland</x:v>
      </x:c>
      <x:c r="C1077" s="2" t="n">
        <x:v>2020</x:v>
      </x:c>
      <x:c r="D1077" s="2" t="str">
        <x:v>GHSL_VOLUME</x:v>
      </x:c>
      <x:c r="E1077" s="17" t="n">
        <x:v>426553619.39999974</x:v>
      </x:c>
      <x:c r="F1077" s="17" t="n">
        <x:f>IF(AND(M1077,ISNUMBER(R1077)),IF(D1077="TEMPO_PROXY",R1077,IF(AND(ISNUMBER(S1077),S1077&gt;0,ISNUMBER(U1077)),U1077*R1077/S1077,"n.a.")),"n.a.")</x:f>
        <x:v>980559286.4640698</x:v>
      </x:c>
      <x:c r="G1077" s="17" t="n">
        <x:f>IF(AND(ISNUMBER(E1077),ISNUMBER(F1077)),E1077-F1077,"n.a.")</x:f>
        <x:v>-554005667.0640701</x:v>
      </x:c>
      <x:c r="H1077" s="15" t="n">
        <x:f>IF(AND(ISNUMBER(E1077),ISNUMBER(F1077),F1077&gt;0),(E1077-F1077)/F1077,"n.a.")</x:f>
        <x:v>-0.5649894654119624</x:v>
      </x:c>
      <x:c r="I1077" s="19" t="n">
        <x:f>IF(ISNUMBER(H1077),ABS(H1077),"n.a.")</x:f>
        <x:v>0.5649894654119624</x:v>
      </x:c>
      <x:c r="J1077" s="2" t="str">
        <x:v>available</x:v>
      </x:c>
      <x:c r="K1077" s="2" t="n">
        <x:v>1</x:v>
      </x:c>
      <x:c r="L1077" s="13" t="b">
        <x:v>0</x:v>
      </x:c>
      <x:c r="M1077" s="13" t="b">
        <x:v>1</x:v>
      </x:c>
      <x:c r="N1077" s="2" t="str">
        <x:v>modeled_epoch_volume_with_fixed2018_height_and_predominant_use</x:v>
      </x:c>
      <x:c r="O1077" s="2" t="str"/>
      <x:c r="P1077" s="2" t="str">
        <x:v>built-up volume</x:v>
      </x:c>
      <x:c r="Q1077" s="2" t="str">
        <x:v>m3</x:v>
      </x:c>
      <x:c r="R1077" s="17" t="n">
        <x:v>2701122744.631371</x:v>
      </x:c>
      <x:c r="S1077" s="17" t="n">
        <x:v>1175016849.13</x:v>
      </x:c>
      <x:c r="T1077" s="18" t="n">
        <x:v>0.36301915135585194</x:v>
      </x:c>
      <x:c r="U1077" s="17" t="n">
        <x:v>426553619.39999974</x:v>
      </x:c>
      <x:c r="V1077" s="2" t="str">
        <x:v>Area equivalent = model2020 * source volume / TEMPO2020 volume</x:v>
      </x:c>
      <x:c r="W1077" s="2" t="str">
        <x:v>qualified_paired_native_source_frame</x:v>
      </x:c>
      <x:c r="X1077" s="2" t="str">
        <x:v>https://human-settlement.emergency.copernicus.eu/ghs_buV2023.php</x:v>
      </x:c>
    </x:row>
    <x:row r="1078" ht="23" customHeight="1">
      <x:c r="A1078" s="2" t="str">
        <x:v>IRN</x:v>
      </x:c>
      <x:c r="B1078" s="2" t="str">
        <x:v>Iran (Islamic Republic of)</x:v>
      </x:c>
      <x:c r="C1078" s="2" t="n">
        <x:v>2020</x:v>
      </x:c>
      <x:c r="D1078" s="2" t="str">
        <x:v>GHSL_VOLUME</x:v>
      </x:c>
      <x:c r="E1078" s="17" t="n">
        <x:v>3753827768.770001</x:v>
      </x:c>
      <x:c r="F1078" s="17" t="n">
        <x:f>IF(AND(M1078,ISNUMBER(R1078)),IF(D1078="TEMPO_PROXY",R1078,IF(AND(ISNUMBER(S1078),S1078&gt;0,ISNUMBER(U1078)),U1078*R1078/S1078,"n.a.")),"n.a.")</x:f>
        <x:v>8005578405.011567</x:v>
      </x:c>
      <x:c r="G1078" s="17" t="n">
        <x:f>IF(AND(ISNUMBER(E1078),ISNUMBER(F1078)),E1078-F1078,"n.a.")</x:f>
        <x:v>-4251750636.241566</x:v>
      </x:c>
      <x:c r="H1078" s="15" t="n">
        <x:f>IF(AND(ISNUMBER(E1078),ISNUMBER(F1078),F1078&gt;0),(E1078-F1078)/F1078,"n.a.")</x:f>
        <x:v>-0.5310984942174735</x:v>
      </x:c>
      <x:c r="I1078" s="19" t="n">
        <x:f>IF(ISNUMBER(H1078),ABS(H1078),"n.a.")</x:f>
        <x:v>0.5310984942174735</x:v>
      </x:c>
      <x:c r="J1078" s="2" t="str">
        <x:v>available</x:v>
      </x:c>
      <x:c r="K1078" s="2" t="n">
        <x:v>1</x:v>
      </x:c>
      <x:c r="L1078" s="13" t="b">
        <x:v>0</x:v>
      </x:c>
      <x:c r="M1078" s="13" t="b">
        <x:v>1</x:v>
      </x:c>
      <x:c r="N1078" s="2" t="str">
        <x:v>modeled_epoch_volume_with_fixed2018_height_and_predominant_use</x:v>
      </x:c>
      <x:c r="O1078" s="2" t="str"/>
      <x:c r="P1078" s="2" t="str">
        <x:v>built-up volume</x:v>
      </x:c>
      <x:c r="Q1078" s="2" t="str">
        <x:v>m3</x:v>
      </x:c>
      <x:c r="R1078" s="17" t="n">
        <x:v>25583927984.129414</x:v>
      </x:c>
      <x:c r="S1078" s="17" t="n">
        <x:v>11996342355.59</x:v>
      </x:c>
      <x:c r="T1078" s="18" t="n">
        <x:v>0.31291435818525215</x:v>
      </x:c>
      <x:c r="U1078" s="17" t="n">
        <x:v>3753827768.770001</x:v>
      </x:c>
      <x:c r="V1078" s="2" t="str">
        <x:v>Area equivalent = model2020 * source volume / TEMPO2020 volume</x:v>
      </x:c>
      <x:c r="W1078" s="2" t="str">
        <x:v>qualified_paired_native_source_frame</x:v>
      </x:c>
      <x:c r="X1078" s="2" t="str">
        <x:v>https://human-settlement.emergency.copernicus.eu/ghs_buV2023.php</x:v>
      </x:c>
    </x:row>
    <x:row r="1079" ht="23" customHeight="1">
      <x:c r="A1079" s="2" t="str">
        <x:v>IRQ</x:v>
      </x:c>
      <x:c r="B1079" s="2" t="str">
        <x:v>Iraq (Republic of)</x:v>
      </x:c>
      <x:c r="C1079" s="2" t="n">
        <x:v>2020</x:v>
      </x:c>
      <x:c r="D1079" s="2" t="str">
        <x:v>GHSL_VOLUME</x:v>
      </x:c>
      <x:c r="E1079" s="17" t="n">
        <x:v>1226955244.870001</x:v>
      </x:c>
      <x:c r="F1079" s="17" t="n">
        <x:f>IF(AND(M1079,ISNUMBER(R1079)),IF(D1079="TEMPO_PROXY",R1079,IF(AND(ISNUMBER(S1079),S1079&gt;0,ISNUMBER(U1079)),U1079*R1079/S1079,"n.a.")),"n.a.")</x:f>
        <x:v>2865137586.000244</x:v>
      </x:c>
      <x:c r="G1079" s="17" t="n">
        <x:f>IF(AND(ISNUMBER(E1079),ISNUMBER(F1079)),E1079-F1079,"n.a.")</x:f>
        <x:v>-1638182341.130243</x:v>
      </x:c>
      <x:c r="H1079" s="15" t="n">
        <x:f>IF(AND(ISNUMBER(E1079),ISNUMBER(F1079),F1079&gt;0),(E1079-F1079)/F1079,"n.a.")</x:f>
        <x:v>-0.5717639352241926</x:v>
      </x:c>
      <x:c r="I1079" s="19" t="n">
        <x:f>IF(ISNUMBER(H1079),ABS(H1079),"n.a.")</x:f>
        <x:v>0.5717639352241926</x:v>
      </x:c>
      <x:c r="J1079" s="2" t="str">
        <x:v>available</x:v>
      </x:c>
      <x:c r="K1079" s="2" t="n">
        <x:v>1</x:v>
      </x:c>
      <x:c r="L1079" s="13" t="b">
        <x:v>0</x:v>
      </x:c>
      <x:c r="M1079" s="13" t="b">
        <x:v>1</x:v>
      </x:c>
      <x:c r="N1079" s="2" t="str">
        <x:v>modeled_epoch_volume_with_fixed2018_height_and_predominant_use</x:v>
      </x:c>
      <x:c r="O1079" s="2" t="str"/>
      <x:c r="P1079" s="2" t="str">
        <x:v>built-up volume</x:v>
      </x:c>
      <x:c r="Q1079" s="2" t="str">
        <x:v>m3</x:v>
      </x:c>
      <x:c r="R1079" s="17" t="n">
        <x:v>8192264661.447058</x:v>
      </x:c>
      <x:c r="S1079" s="17" t="n">
        <x:v>3508223180.22</x:v>
      </x:c>
      <x:c r="T1079" s="18" t="n">
        <x:v>0.34973694142031725</x:v>
      </x:c>
      <x:c r="U1079" s="17" t="n">
        <x:v>1226955244.870001</x:v>
      </x:c>
      <x:c r="V1079" s="2" t="str">
        <x:v>Area equivalent = model2020 * source volume / TEMPO2020 volume</x:v>
      </x:c>
      <x:c r="W1079" s="2" t="str">
        <x:v>qualified_paired_native_source_frame</x:v>
      </x:c>
      <x:c r="X1079" s="2" t="str">
        <x:v>https://human-settlement.emergency.copernicus.eu/ghs_buV2023.php</x:v>
      </x:c>
    </x:row>
    <x:row r="1080" ht="23" customHeight="1">
      <x:c r="A1080" s="2" t="str">
        <x:v>ISL</x:v>
      </x:c>
      <x:c r="B1080" s="2" t="str">
        <x:v>Iceland</x:v>
      </x:c>
      <x:c r="C1080" s="2" t="n">
        <x:v>2020</x:v>
      </x:c>
      <x:c r="D1080" s="2" t="str">
        <x:v>GHSL_VOLUME</x:v>
      </x:c>
      <x:c r="E1080" s="17" t="n">
        <x:v>26377629.56999999</x:v>
      </x:c>
      <x:c r="F1080" s="17" t="n">
        <x:f>IF(AND(M1080,ISNUMBER(R1080)),IF(D1080="TEMPO_PROXY",R1080,IF(AND(ISNUMBER(S1080),S1080&gt;0,ISNUMBER(U1080)),U1080*R1080/S1080,"n.a.")),"n.a.")</x:f>
        <x:v>38226732.72471569</x:v>
      </x:c>
      <x:c r="G1080" s="17" t="n">
        <x:f>IF(AND(ISNUMBER(E1080),ISNUMBER(F1080)),E1080-F1080,"n.a.")</x:f>
        <x:v>-11849103.154715698</x:v>
      </x:c>
      <x:c r="H1080" s="15" t="n">
        <x:f>IF(AND(ISNUMBER(E1080),ISNUMBER(F1080),F1080&gt;0),(E1080-F1080)/F1080,"n.a.")</x:f>
        <x:v>-0.3099690271738709</x:v>
      </x:c>
      <x:c r="I1080" s="19" t="n">
        <x:f>IF(ISNUMBER(H1080),ABS(H1080),"n.a.")</x:f>
        <x:v>0.3099690271738709</x:v>
      </x:c>
      <x:c r="J1080" s="2" t="str">
        <x:v>available</x:v>
      </x:c>
      <x:c r="K1080" s="2" t="n">
        <x:v>1</x:v>
      </x:c>
      <x:c r="L1080" s="13" t="b">
        <x:v>0</x:v>
      </x:c>
      <x:c r="M1080" s="13" t="b">
        <x:v>1</x:v>
      </x:c>
      <x:c r="N1080" s="2" t="str">
        <x:v>modeled_epoch_volume_with_fixed2018_height_and_predominant_use</x:v>
      </x:c>
      <x:c r="O1080" s="2" t="str"/>
      <x:c r="P1080" s="2" t="str">
        <x:v>built-up volume</x:v>
      </x:c>
      <x:c r="Q1080" s="2" t="str">
        <x:v>m3</x:v>
      </x:c>
      <x:c r="R1080" s="17" t="n">
        <x:v>137569166.74509808</x:v>
      </x:c>
      <x:c r="S1080" s="17" t="n">
        <x:v>94926985.96</x:v>
      </x:c>
      <x:c r="T1080" s="18" t="n">
        <x:v>0.27787282302542404</x:v>
      </x:c>
      <x:c r="U1080" s="17" t="n">
        <x:v>26377629.56999999</x:v>
      </x:c>
      <x:c r="V1080" s="2" t="str">
        <x:v>Area equivalent = model2020 * source volume / TEMPO2020 volume</x:v>
      </x:c>
      <x:c r="W1080" s="2" t="str">
        <x:v>qualified_paired_native_source_frame</x:v>
      </x:c>
      <x:c r="X1080" s="2" t="str">
        <x:v>https://human-settlement.emergency.copernicus.eu/ghs_buV2023.php</x:v>
      </x:c>
    </x:row>
    <x:row r="1081" ht="23" customHeight="1">
      <x:c r="A1081" s="2" t="str">
        <x:v>ISR</x:v>
      </x:c>
      <x:c r="B1081" s="2" t="str">
        <x:v>Israel (State of)</x:v>
      </x:c>
      <x:c r="C1081" s="2" t="n">
        <x:v>2020</x:v>
      </x:c>
      <x:c r="D1081" s="2" t="str">
        <x:v>GHSL_VOLUME</x:v>
      </x:c>
      <x:c r="E1081" s="17" t="n">
        <x:v>372353983.1399999</x:v>
      </x:c>
      <x:c r="F1081" s="17" t="n">
        <x:f>IF(AND(M1081,ISNUMBER(R1081)),IF(D1081="TEMPO_PROXY",R1081,IF(AND(ISNUMBER(S1081),S1081&gt;0,ISNUMBER(U1081)),U1081*R1081/S1081,"n.a.")),"n.a.")</x:f>
        <x:v>1105166871.0684717</x:v>
      </x:c>
      <x:c r="G1081" s="17" t="n">
        <x:f>IF(AND(ISNUMBER(E1081),ISNUMBER(F1081)),E1081-F1081,"n.a.")</x:f>
        <x:v>-732812887.9284718</x:v>
      </x:c>
      <x:c r="H1081" s="15" t="n">
        <x:f>IF(AND(ISNUMBER(E1081),ISNUMBER(F1081),F1081&gt;0),(E1081-F1081)/F1081,"n.a.")</x:f>
        <x:v>-0.6630789495345537</x:v>
      </x:c>
      <x:c r="I1081" s="19" t="n">
        <x:f>IF(ISNUMBER(H1081),ABS(H1081),"n.a.")</x:f>
        <x:v>0.6630789495345537</x:v>
      </x:c>
      <x:c r="J1081" s="2" t="str">
        <x:v>available</x:v>
      </x:c>
      <x:c r="K1081" s="2" t="n">
        <x:v>1</x:v>
      </x:c>
      <x:c r="L1081" s="13" t="b">
        <x:v>0</x:v>
      </x:c>
      <x:c r="M1081" s="13" t="b">
        <x:v>1</x:v>
      </x:c>
      <x:c r="N1081" s="2" t="str">
        <x:v>modeled_epoch_volume_with_fixed2018_height_and_predominant_use</x:v>
      </x:c>
      <x:c r="O1081" s="2" t="str"/>
      <x:c r="P1081" s="2" t="str">
        <x:v>built-up volume</x:v>
      </x:c>
      <x:c r="Q1081" s="2" t="str">
        <x:v>m3</x:v>
      </x:c>
      <x:c r="R1081" s="17" t="n">
        <x:v>3731540885.7450967</x:v>
      </x:c>
      <x:c r="S1081" s="17" t="n">
        <x:v>1257234675.08</x:v>
      </x:c>
      <x:c r="T1081" s="18" t="n">
        <x:v>0.29616903711020093</x:v>
      </x:c>
      <x:c r="U1081" s="17" t="n">
        <x:v>372353983.1399999</x:v>
      </x:c>
      <x:c r="V1081" s="2" t="str">
        <x:v>Area equivalent = model2020 * source volume / TEMPO2020 volume</x:v>
      </x:c>
      <x:c r="W1081" s="2" t="str">
        <x:v>qualified_paired_native_source_frame</x:v>
      </x:c>
      <x:c r="X1081" s="2" t="str">
        <x:v>https://human-settlement.emergency.copernicus.eu/ghs_buV2023.php</x:v>
      </x:c>
    </x:row>
    <x:row r="1082" ht="23" customHeight="1">
      <x:c r="A1082" s="2" t="str">
        <x:v>ITA</x:v>
      </x:c>
      <x:c r="B1082" s="2" t="str">
        <x:v>Italy (Italian Republic)</x:v>
      </x:c>
      <x:c r="C1082" s="2" t="n">
        <x:v>2020</x:v>
      </x:c>
      <x:c r="D1082" s="2" t="str">
        <x:v>GHSL_VOLUME</x:v>
      </x:c>
      <x:c r="E1082" s="17" t="n">
        <x:v>5000634293.290002</x:v>
      </x:c>
      <x:c r="F1082" s="17" t="n">
        <x:f>IF(AND(M1082,ISNUMBER(R1082)),IF(D1082="TEMPO_PROXY",R1082,IF(AND(ISNUMBER(S1082),S1082&gt;0,ISNUMBER(U1082)),U1082*R1082/S1082,"n.a.")),"n.a.")</x:f>
        <x:v>11257038617.203432</x:v>
      </x:c>
      <x:c r="G1082" s="17" t="n">
        <x:f>IF(AND(ISNUMBER(E1082),ISNUMBER(F1082)),E1082-F1082,"n.a.")</x:f>
        <x:v>-6256404323.91343</x:v>
      </x:c>
      <x:c r="H1082" s="15" t="n">
        <x:f>IF(AND(ISNUMBER(E1082),ISNUMBER(F1082),F1082&gt;0),(E1082-F1082)/F1082,"n.a.")</x:f>
        <x:v>-0.5557771041446155</x:v>
      </x:c>
      <x:c r="I1082" s="19" t="n">
        <x:f>IF(ISNUMBER(H1082),ABS(H1082),"n.a.")</x:f>
        <x:v>0.5557771041446155</x:v>
      </x:c>
      <x:c r="J1082" s="2" t="str">
        <x:v>available</x:v>
      </x:c>
      <x:c r="K1082" s="2" t="n">
        <x:v>1</x:v>
      </x:c>
      <x:c r="L1082" s="13" t="b">
        <x:v>0</x:v>
      </x:c>
      <x:c r="M1082" s="13" t="b">
        <x:v>1</x:v>
      </x:c>
      <x:c r="N1082" s="2" t="str">
        <x:v>modeled_epoch_volume_with_fixed2018_height_and_predominant_use</x:v>
      </x:c>
      <x:c r="O1082" s="2" t="str"/>
      <x:c r="P1082" s="2" t="str">
        <x:v>built-up volume</x:v>
      </x:c>
      <x:c r="Q1082" s="2" t="str">
        <x:v>m3</x:v>
      </x:c>
      <x:c r="R1082" s="17" t="n">
        <x:v>39629821274.29804</x:v>
      </x:c>
      <x:c r="S1082" s="17" t="n">
        <x:v>17604473968.7</x:v>
      </x:c>
      <x:c r="T1082" s="18" t="n">
        <x:v>0.2840547409812366</x:v>
      </x:c>
      <x:c r="U1082" s="17" t="n">
        <x:v>5000634293.290002</x:v>
      </x:c>
      <x:c r="V1082" s="2" t="str">
        <x:v>Area equivalent = model2020 * source volume / TEMPO2020 volume</x:v>
      </x:c>
      <x:c r="W1082" s="2" t="str">
        <x:v>qualified_paired_native_source_frame</x:v>
      </x:c>
      <x:c r="X1082" s="2" t="str">
        <x:v>https://human-settlement.emergency.copernicus.eu/ghs_buV2023.php</x:v>
      </x:c>
    </x:row>
    <x:row r="1083" ht="23" customHeight="1">
      <x:c r="A1083" s="2" t="str">
        <x:v>JAM</x:v>
      </x:c>
      <x:c r="B1083" s="2" t="str">
        <x:v>Jamaica</x:v>
      </x:c>
      <x:c r="C1083" s="2" t="n">
        <x:v>2020</x:v>
      </x:c>
      <x:c r="D1083" s="2" t="str">
        <x:v>GHSL_VOLUME</x:v>
      </x:c>
      <x:c r="E1083" s="17" t="n">
        <x:v>133338245.18999992</x:v>
      </x:c>
      <x:c r="F1083" s="17" t="n">
        <x:f>IF(AND(M1083,ISNUMBER(R1083)),IF(D1083="TEMPO_PROXY",R1083,IF(AND(ISNUMBER(S1083),S1083&gt;0,ISNUMBER(U1083)),U1083*R1083/S1083,"n.a.")),"n.a.")</x:f>
        <x:v>429780746.73218226</x:v>
      </x:c>
      <x:c r="G1083" s="17" t="n">
        <x:f>IF(AND(ISNUMBER(E1083),ISNUMBER(F1083)),E1083-F1083,"n.a.")</x:f>
        <x:v>-296442501.5421823</x:v>
      </x:c>
      <x:c r="H1083" s="15" t="n">
        <x:f>IF(AND(ISNUMBER(E1083),ISNUMBER(F1083),F1083&gt;0),(E1083-F1083)/F1083,"n.a.")</x:f>
        <x:v>-0.689752865376518</x:v>
      </x:c>
      <x:c r="I1083" s="19" t="n">
        <x:f>IF(ISNUMBER(H1083),ABS(H1083),"n.a.")</x:f>
        <x:v>0.689752865376518</x:v>
      </x:c>
      <x:c r="J1083" s="2" t="str">
        <x:v>available</x:v>
      </x:c>
      <x:c r="K1083" s="2" t="n">
        <x:v>1</x:v>
      </x:c>
      <x:c r="L1083" s="13" t="b">
        <x:v>0</x:v>
      </x:c>
      <x:c r="M1083" s="13" t="b">
        <x:v>1</x:v>
      </x:c>
      <x:c r="N1083" s="2" t="str">
        <x:v>modeled_epoch_volume_with_fixed2018_height_and_predominant_use</x:v>
      </x:c>
      <x:c r="O1083" s="2" t="str"/>
      <x:c r="P1083" s="2" t="str">
        <x:v>built-up volume</x:v>
      </x:c>
      <x:c r="Q1083" s="2" t="str">
        <x:v>m3</x:v>
      </x:c>
      <x:c r="R1083" s="17" t="n">
        <x:v>1000446002.5607845</x:v>
      </x:c>
      <x:c r="S1083" s="17" t="n">
        <x:v>310385505.64</x:v>
      </x:c>
      <x:c r="T1083" s="18" t="n">
        <x:v>0.4295891488717003</x:v>
      </x:c>
      <x:c r="U1083" s="17" t="n">
        <x:v>133338245.18999992</x:v>
      </x:c>
      <x:c r="V1083" s="2" t="str">
        <x:v>Area equivalent = model2020 * source volume / TEMPO2020 volume</x:v>
      </x:c>
      <x:c r="W1083" s="2" t="str">
        <x:v>qualified_paired_native_source_frame</x:v>
      </x:c>
      <x:c r="X1083" s="2" t="str">
        <x:v>https://human-settlement.emergency.copernicus.eu/ghs_buV2023.php</x:v>
      </x:c>
    </x:row>
    <x:row r="1084" ht="23" customHeight="1">
      <x:c r="A1084" s="2" t="str">
        <x:v>JOR</x:v>
      </x:c>
      <x:c r="B1084" s="2" t="str">
        <x:v>Jordan (Hashemite Kingdom of)</x:v>
      </x:c>
      <x:c r="C1084" s="2" t="n">
        <x:v>2020</x:v>
      </x:c>
      <x:c r="D1084" s="2" t="str">
        <x:v>GHSL_VOLUME</x:v>
      </x:c>
      <x:c r="E1084" s="17" t="n">
        <x:v>279172690.0000002</x:v>
      </x:c>
      <x:c r="F1084" s="17" t="n">
        <x:f>IF(AND(M1084,ISNUMBER(R1084)),IF(D1084="TEMPO_PROXY",R1084,IF(AND(ISNUMBER(S1084),S1084&gt;0,ISNUMBER(U1084)),U1084*R1084/S1084,"n.a.")),"n.a.")</x:f>
        <x:v>864501214.5535941</x:v>
      </x:c>
      <x:c r="G1084" s="17" t="n">
        <x:f>IF(AND(ISNUMBER(E1084),ISNUMBER(F1084)),E1084-F1084,"n.a.")</x:f>
        <x:v>-585328524.5535939</x:v>
      </x:c>
      <x:c r="H1084" s="15" t="n">
        <x:f>IF(AND(ISNUMBER(E1084),ISNUMBER(F1084),F1084&gt;0),(E1084-F1084)/F1084,"n.a.")</x:f>
        <x:v>-0.6770707949275031</x:v>
      </x:c>
      <x:c r="I1084" s="19" t="n">
        <x:f>IF(ISNUMBER(H1084),ABS(H1084),"n.a.")</x:f>
        <x:v>0.6770707949275031</x:v>
      </x:c>
      <x:c r="J1084" s="2" t="str">
        <x:v>available</x:v>
      </x:c>
      <x:c r="K1084" s="2" t="n">
        <x:v>1</x:v>
      </x:c>
      <x:c r="L1084" s="13" t="b">
        <x:v>0</x:v>
      </x:c>
      <x:c r="M1084" s="13" t="b">
        <x:v>1</x:v>
      </x:c>
      <x:c r="N1084" s="2" t="str">
        <x:v>modeled_epoch_volume_with_fixed2018_height_and_predominant_use</x:v>
      </x:c>
      <x:c r="O1084" s="2" t="str"/>
      <x:c r="P1084" s="2" t="str">
        <x:v>built-up volume</x:v>
      </x:c>
      <x:c r="Q1084" s="2" t="str">
        <x:v>m3</x:v>
      </x:c>
      <x:c r="R1084" s="17" t="n">
        <x:v>2539702030.560784</x:v>
      </x:c>
      <x:c r="S1084" s="17" t="n">
        <x:v>820143957.85</x:v>
      </x:c>
      <x:c r="T1084" s="18" t="n">
        <x:v>0.34039474085970084</x:v>
      </x:c>
      <x:c r="U1084" s="17" t="n">
        <x:v>279172690.0000002</x:v>
      </x:c>
      <x:c r="V1084" s="2" t="str">
        <x:v>Area equivalent = model2020 * source volume / TEMPO2020 volume</x:v>
      </x:c>
      <x:c r="W1084" s="2" t="str">
        <x:v>qualified_paired_native_source_frame</x:v>
      </x:c>
      <x:c r="X1084" s="2" t="str">
        <x:v>https://human-settlement.emergency.copernicus.eu/ghs_buV2023.php</x:v>
      </x:c>
    </x:row>
    <x:row r="1085" ht="23" customHeight="1">
      <x:c r="A1085" s="2" t="str">
        <x:v>JPN</x:v>
      </x:c>
      <x:c r="B1085" s="2" t="str">
        <x:v>Japan</x:v>
      </x:c>
      <x:c r="C1085" s="2" t="n">
        <x:v>2020</x:v>
      </x:c>
      <x:c r="D1085" s="2" t="str">
        <x:v>GHSL_VOLUME</x:v>
      </x:c>
      <x:c r="E1085" s="17" t="n">
        <x:v>8341228241.779989</x:v>
      </x:c>
      <x:c r="F1085" s="17" t="n">
        <x:f>IF(AND(M1085,ISNUMBER(R1085)),IF(D1085="TEMPO_PROXY",R1085,IF(AND(ISNUMBER(S1085),S1085&gt;0,ISNUMBER(U1085)),U1085*R1085/S1085,"n.a.")),"n.a.")</x:f>
        <x:v>31945090429.091125</x:v>
      </x:c>
      <x:c r="G1085" s="17" t="n">
        <x:f>IF(AND(ISNUMBER(E1085),ISNUMBER(F1085)),E1085-F1085,"n.a.")</x:f>
        <x:v>-23603862187.311134</x:v>
      </x:c>
      <x:c r="H1085" s="15" t="n">
        <x:f>IF(AND(ISNUMBER(E1085),ISNUMBER(F1085),F1085&gt;0),(E1085-F1085)/F1085,"n.a.")</x:f>
        <x:v>-0.7388885700513164</x:v>
      </x:c>
      <x:c r="I1085" s="19" t="n">
        <x:f>IF(ISNUMBER(H1085),ABS(H1085),"n.a.")</x:f>
        <x:v>0.7388885700513164</x:v>
      </x:c>
      <x:c r="J1085" s="2" t="str">
        <x:v>available</x:v>
      </x:c>
      <x:c r="K1085" s="2" t="n">
        <x:v>1</x:v>
      </x:c>
      <x:c r="L1085" s="13" t="b">
        <x:v>0</x:v>
      </x:c>
      <x:c r="M1085" s="13" t="b">
        <x:v>1</x:v>
      </x:c>
      <x:c r="N1085" s="2" t="str">
        <x:v>modeled_epoch_volume_with_fixed2018_height_and_predominant_use</x:v>
      </x:c>
      <x:c r="O1085" s="2" t="str"/>
      <x:c r="P1085" s="2" t="str">
        <x:v>built-up volume</x:v>
      </x:c>
      <x:c r="Q1085" s="2" t="str">
        <x:v>m3</x:v>
      </x:c>
      <x:c r="R1085" s="17" t="n">
        <x:v>107019852231.9451</x:v>
      </x:c>
      <x:c r="S1085" s="17" t="n">
        <x:v>27944106649.18</x:v>
      </x:c>
      <x:c r="T1085" s="18" t="n">
        <x:v>0.2984968654213448</x:v>
      </x:c>
      <x:c r="U1085" s="17" t="n">
        <x:v>8341228241.779989</x:v>
      </x:c>
      <x:c r="V1085" s="2" t="str">
        <x:v>Area equivalent = model2020 * source volume / TEMPO2020 volume</x:v>
      </x:c>
      <x:c r="W1085" s="2" t="str">
        <x:v>qualified_paired_native_source_frame</x:v>
      </x:c>
      <x:c r="X1085" s="2" t="str">
        <x:v>https://human-settlement.emergency.copernicus.eu/ghs_buV2023.php</x:v>
      </x:c>
    </x:row>
    <x:row r="1086" ht="23" customHeight="1">
      <x:c r="A1086" s="2" t="str">
        <x:v>KAZ</x:v>
      </x:c>
      <x:c r="B1086" s="2" t="str">
        <x:v>Kazakhstan (Republic of)</x:v>
      </x:c>
      <x:c r="C1086" s="2" t="n">
        <x:v>2020</x:v>
      </x:c>
      <x:c r="D1086" s="2" t="str">
        <x:v>GHSL_VOLUME</x:v>
      </x:c>
      <x:c r="E1086" s="17" t="n">
        <x:v>1009034692.9700016</x:v>
      </x:c>
      <x:c r="F1086" s="17" t="n">
        <x:f>IF(AND(M1086,ISNUMBER(R1086)),IF(D1086="TEMPO_PROXY",R1086,IF(AND(ISNUMBER(S1086),S1086&gt;0,ISNUMBER(U1086)),U1086*R1086/S1086,"n.a.")),"n.a.")</x:f>
        <x:v>4157473757.5187783</x:v>
      </x:c>
      <x:c r="G1086" s="17" t="n">
        <x:f>IF(AND(ISNUMBER(E1086),ISNUMBER(F1086)),E1086-F1086,"n.a.")</x:f>
        <x:v>-3148439064.5487766</x:v>
      </x:c>
      <x:c r="H1086" s="15" t="n">
        <x:f>IF(AND(ISNUMBER(E1086),ISNUMBER(F1086),F1086&gt;0),(E1086-F1086)/F1086,"n.a.")</x:f>
        <x:v>-0.7572961967239924</x:v>
      </x:c>
      <x:c r="I1086" s="19" t="n">
        <x:f>IF(ISNUMBER(H1086),ABS(H1086),"n.a.")</x:f>
        <x:v>0.7572961967239924</x:v>
      </x:c>
      <x:c r="J1086" s="2" t="str">
        <x:v>available</x:v>
      </x:c>
      <x:c r="K1086" s="2" t="n">
        <x:v>1</x:v>
      </x:c>
      <x:c r="L1086" s="13" t="b">
        <x:v>0</x:v>
      </x:c>
      <x:c r="M1086" s="13" t="b">
        <x:v>1</x:v>
      </x:c>
      <x:c r="N1086" s="2" t="str">
        <x:v>modeled_epoch_volume_with_fixed2018_height_and_predominant_use</x:v>
      </x:c>
      <x:c r="O1086" s="2" t="str"/>
      <x:c r="P1086" s="2" t="str">
        <x:v>built-up volume</x:v>
      </x:c>
      <x:c r="Q1086" s="2" t="str">
        <x:v>m3</x:v>
      </x:c>
      <x:c r="R1086" s="17" t="n">
        <x:v>12128641312.317646</x:v>
      </x:c>
      <x:c r="S1086" s="17" t="n">
        <x:v>2943667375.07</x:v>
      </x:c>
      <x:c r="T1086" s="18" t="n">
        <x:v>0.34278149138572656</x:v>
      </x:c>
      <x:c r="U1086" s="17" t="n">
        <x:v>1009034692.9700016</x:v>
      </x:c>
      <x:c r="V1086" s="2" t="str">
        <x:v>Area equivalent = model2020 * source volume / TEMPO2020 volume</x:v>
      </x:c>
      <x:c r="W1086" s="2" t="str">
        <x:v>qualified_paired_native_source_frame</x:v>
      </x:c>
      <x:c r="X1086" s="2" t="str">
        <x:v>https://human-settlement.emergency.copernicus.eu/ghs_buV2023.php</x:v>
      </x:c>
    </x:row>
    <x:row r="1087" ht="23" customHeight="1">
      <x:c r="A1087" s="2" t="str">
        <x:v>KEN</x:v>
      </x:c>
      <x:c r="B1087" s="2" t="str">
        <x:v>Kenya (Republic of)</x:v>
      </x:c>
      <x:c r="C1087" s="2" t="n">
        <x:v>2020</x:v>
      </x:c>
      <x:c r="D1087" s="2" t="str">
        <x:v>GHSL_VOLUME</x:v>
      </x:c>
      <x:c r="E1087" s="17" t="n">
        <x:v>1180050447.52</x:v>
      </x:c>
      <x:c r="F1087" s="17" t="n">
        <x:f>IF(AND(M1087,ISNUMBER(R1087)),IF(D1087="TEMPO_PROXY",R1087,IF(AND(ISNUMBER(S1087),S1087&gt;0,ISNUMBER(U1087)),U1087*R1087/S1087,"n.a.")),"n.a.")</x:f>
        <x:v>4796343425.301053</x:v>
      </x:c>
      <x:c r="G1087" s="17" t="n">
        <x:f>IF(AND(ISNUMBER(E1087),ISNUMBER(F1087)),E1087-F1087,"n.a.")</x:f>
        <x:v>-3616292977.781053</x:v>
      </x:c>
      <x:c r="H1087" s="15" t="n">
        <x:f>IF(AND(ISNUMBER(E1087),ISNUMBER(F1087),F1087&gt;0),(E1087-F1087)/F1087,"n.a.")</x:f>
        <x:v>-0.7539687334949474</x:v>
      </x:c>
      <x:c r="I1087" s="19" t="n">
        <x:f>IF(ISNUMBER(H1087),ABS(H1087),"n.a.")</x:f>
        <x:v>0.7539687334949474</x:v>
      </x:c>
      <x:c r="J1087" s="2" t="str">
        <x:v>available</x:v>
      </x:c>
      <x:c r="K1087" s="2" t="n">
        <x:v>1</x:v>
      </x:c>
      <x:c r="L1087" s="13" t="b">
        <x:v>0</x:v>
      </x:c>
      <x:c r="M1087" s="13" t="b">
        <x:v>1</x:v>
      </x:c>
      <x:c r="N1087" s="2" t="str">
        <x:v>modeled_epoch_volume_with_fixed2018_height_and_predominant_use</x:v>
      </x:c>
      <x:c r="O1087" s="2" t="str"/>
      <x:c r="P1087" s="2" t="str">
        <x:v>built-up volume</x:v>
      </x:c>
      <x:c r="Q1087" s="2" t="str">
        <x:v>m3</x:v>
      </x:c>
      <x:c r="R1087" s="17" t="n">
        <x:v>10000453818.984314</x:v>
      </x:c>
      <x:c r="S1087" s="17" t="n">
        <x:v>2460424318.71</x:v>
      </x:c>
      <x:c r="T1087" s="18" t="n">
        <x:v>0.47961257680085856</x:v>
      </x:c>
      <x:c r="U1087" s="17" t="n">
        <x:v>1180050447.52</x:v>
      </x:c>
      <x:c r="V1087" s="2" t="str">
        <x:v>Area equivalent = model2020 * source volume / TEMPO2020 volume</x:v>
      </x:c>
      <x:c r="W1087" s="2" t="str">
        <x:v>qualified_paired_native_source_frame</x:v>
      </x:c>
      <x:c r="X1087" s="2" t="str">
        <x:v>https://human-settlement.emergency.copernicus.eu/ghs_buV2023.php</x:v>
      </x:c>
    </x:row>
    <x:row r="1088" ht="23" customHeight="1">
      <x:c r="A1088" s="2" t="str">
        <x:v>KGZ</x:v>
      </x:c>
      <x:c r="B1088" s="2" t="str">
        <x:v>Kyrgyzstan (Kyrgyz Republic)</x:v>
      </x:c>
      <x:c r="C1088" s="2" t="n">
        <x:v>2020</x:v>
      </x:c>
      <x:c r="D1088" s="2" t="str">
        <x:v>GHSL_VOLUME</x:v>
      </x:c>
      <x:c r="E1088" s="17" t="n">
        <x:v>332236534.37000054</x:v>
      </x:c>
      <x:c r="F1088" s="17" t="n">
        <x:f>IF(AND(M1088,ISNUMBER(R1088)),IF(D1088="TEMPO_PROXY",R1088,IF(AND(ISNUMBER(S1088),S1088&gt;0,ISNUMBER(U1088)),U1088*R1088/S1088,"n.a.")),"n.a.")</x:f>
        <x:v>1297699685.0468023</x:v>
      </x:c>
      <x:c r="G1088" s="17" t="n">
        <x:f>IF(AND(ISNUMBER(E1088),ISNUMBER(F1088)),E1088-F1088,"n.a.")</x:f>
        <x:v>-965463150.6768017</x:v>
      </x:c>
      <x:c r="H1088" s="15" t="n">
        <x:f>IF(AND(ISNUMBER(E1088),ISNUMBER(F1088),F1088&gt;0),(E1088-F1088)/F1088,"n.a.")</x:f>
        <x:v>-0.7439804153470082</x:v>
      </x:c>
      <x:c r="I1088" s="19" t="n">
        <x:f>IF(ISNUMBER(H1088),ABS(H1088),"n.a.")</x:f>
        <x:v>0.7439804153470082</x:v>
      </x:c>
      <x:c r="J1088" s="2" t="str">
        <x:v>available</x:v>
      </x:c>
      <x:c r="K1088" s="2" t="n">
        <x:v>1</x:v>
      </x:c>
      <x:c r="L1088" s="13" t="b">
        <x:v>0</x:v>
      </x:c>
      <x:c r="M1088" s="13" t="b">
        <x:v>1</x:v>
      </x:c>
      <x:c r="N1088" s="2" t="str">
        <x:v>modeled_epoch_volume_with_fixed2018_height_and_predominant_use</x:v>
      </x:c>
      <x:c r="O1088" s="2" t="str"/>
      <x:c r="P1088" s="2" t="str">
        <x:v>built-up volume</x:v>
      </x:c>
      <x:c r="Q1088" s="2" t="str">
        <x:v>m3</x:v>
      </x:c>
      <x:c r="R1088" s="17" t="n">
        <x:v>3227143967.247059</x:v>
      </x:c>
      <x:c r="S1088" s="17" t="n">
        <x:v>826212058.11</x:v>
      </x:c>
      <x:c r="T1088" s="18" t="n">
        <x:v>0.4021201713395562</x:v>
      </x:c>
      <x:c r="U1088" s="17" t="n">
        <x:v>332236534.37000054</x:v>
      </x:c>
      <x:c r="V1088" s="2" t="str">
        <x:v>Area equivalent = model2020 * source volume / TEMPO2020 volume</x:v>
      </x:c>
      <x:c r="W1088" s="2" t="str">
        <x:v>qualified_paired_native_source_frame</x:v>
      </x:c>
      <x:c r="X1088" s="2" t="str">
        <x:v>https://human-settlement.emergency.copernicus.eu/ghs_buV2023.php</x:v>
      </x:c>
    </x:row>
    <x:row r="1089" ht="23" customHeight="1">
      <x:c r="A1089" s="2" t="str">
        <x:v>KHM</x:v>
      </x:c>
      <x:c r="B1089" s="2" t="str">
        <x:v>Cambodia (Kingdom of)</x:v>
      </x:c>
      <x:c r="C1089" s="2" t="n">
        <x:v>2020</x:v>
      </x:c>
      <x:c r="D1089" s="2" t="str">
        <x:v>GHSL_VOLUME</x:v>
      </x:c>
      <x:c r="E1089" s="17" t="n">
        <x:v>672933221.830001</x:v>
      </x:c>
      <x:c r="F1089" s="17" t="n">
        <x:f>IF(AND(M1089,ISNUMBER(R1089)),IF(D1089="TEMPO_PROXY",R1089,IF(AND(ISNUMBER(S1089),S1089&gt;0,ISNUMBER(U1089)),U1089*R1089/S1089,"n.a.")),"n.a.")</x:f>
        <x:v>1077012507.0221906</x:v>
      </x:c>
      <x:c r="G1089" s="17" t="n">
        <x:f>IF(AND(ISNUMBER(E1089),ISNUMBER(F1089)),E1089-F1089,"n.a.")</x:f>
        <x:v>-404079285.1921896</x:v>
      </x:c>
      <x:c r="H1089" s="15" t="n">
        <x:f>IF(AND(ISNUMBER(E1089),ISNUMBER(F1089),F1089&gt;0),(E1089-F1089)/F1089,"n.a.")</x:f>
        <x:v>-0.3751853228793229</x:v>
      </x:c>
      <x:c r="I1089" s="19" t="n">
        <x:f>IF(ISNUMBER(H1089),ABS(H1089),"n.a.")</x:f>
        <x:v>0.3751853228793229</x:v>
      </x:c>
      <x:c r="J1089" s="2" t="str">
        <x:v>available</x:v>
      </x:c>
      <x:c r="K1089" s="2" t="n">
        <x:v>1</x:v>
      </x:c>
      <x:c r="L1089" s="13" t="b">
        <x:v>0</x:v>
      </x:c>
      <x:c r="M1089" s="13" t="b">
        <x:v>1</x:v>
      </x:c>
      <x:c r="N1089" s="2" t="str">
        <x:v>modeled_epoch_volume_with_fixed2018_height_and_predominant_use</x:v>
      </x:c>
      <x:c r="O1089" s="2" t="str"/>
      <x:c r="P1089" s="2" t="str">
        <x:v>built-up volume</x:v>
      </x:c>
      <x:c r="Q1089" s="2" t="str">
        <x:v>m3</x:v>
      </x:c>
      <x:c r="R1089" s="17" t="n">
        <x:v>2874208465.1176476</x:v>
      </x:c>
      <x:c r="S1089" s="17" t="n">
        <x:v>1795847634.11</x:v>
      </x:c>
      <x:c r="T1089" s="18" t="n">
        <x:v>0.37471621146940925</x:v>
      </x:c>
      <x:c r="U1089" s="17" t="n">
        <x:v>672933221.830001</x:v>
      </x:c>
      <x:c r="V1089" s="2" t="str">
        <x:v>Area equivalent = model2020 * source volume / TEMPO2020 volume</x:v>
      </x:c>
      <x:c r="W1089" s="2" t="str">
        <x:v>qualified_paired_native_source_frame</x:v>
      </x:c>
      <x:c r="X1089" s="2" t="str">
        <x:v>https://human-settlement.emergency.copernicus.eu/ghs_buV2023.php</x:v>
      </x:c>
    </x:row>
    <x:row r="1090" ht="23" customHeight="1">
      <x:c r="A1090" s="2" t="str">
        <x:v>KIR</x:v>
      </x:c>
      <x:c r="B1090" s="2" t="str">
        <x:v>Kiribati (Republic of)</x:v>
      </x:c>
      <x:c r="C1090" s="2" t="n">
        <x:v>2020</x:v>
      </x:c>
      <x:c r="D1090" s="2" t="str">
        <x:v>GHSL_VOLUME</x:v>
      </x:c>
      <x:c r="E1090" s="17" t="n">
        <x:v>1721739.6700000002</x:v>
      </x:c>
      <x:c r="F1090" s="17" t="n">
        <x:f>IF(AND(M1090,ISNUMBER(R1090)),IF(D1090="TEMPO_PROXY",R1090,IF(AND(ISNUMBER(S1090),S1090&gt;0,ISNUMBER(U1090)),U1090*R1090/S1090,"n.a.")),"n.a.")</x:f>
        <x:v>781307.9553839633</x:v>
      </x:c>
      <x:c r="G1090" s="17" t="n">
        <x:f>IF(AND(ISNUMBER(E1090),ISNUMBER(F1090)),E1090-F1090,"n.a.")</x:f>
        <x:v>940431.7146160369</x:v>
      </x:c>
      <x:c r="H1090" s="15" t="n">
        <x:f>IF(AND(ISNUMBER(E1090),ISNUMBER(F1090),F1090&gt;0),(E1090-F1090)/F1090,"n.a.")</x:f>
        <x:v>1.2036633034843147</x:v>
      </x:c>
      <x:c r="I1090" s="19" t="n">
        <x:f>IF(ISNUMBER(H1090),ABS(H1090),"n.a.")</x:f>
        <x:v>1.2036633034843147</x:v>
      </x:c>
      <x:c r="J1090" s="2" t="str">
        <x:v>available</x:v>
      </x:c>
      <x:c r="K1090" s="2" t="n">
        <x:v>1</x:v>
      </x:c>
      <x:c r="L1090" s="13" t="b">
        <x:v>0</x:v>
      </x:c>
      <x:c r="M1090" s="13" t="b">
        <x:v>1</x:v>
      </x:c>
      <x:c r="N1090" s="2" t="str">
        <x:v>modeled_epoch_volume_with_fixed2018_height_and_predominant_use</x:v>
      </x:c>
      <x:c r="O1090" s="2" t="str"/>
      <x:c r="P1090" s="2" t="str">
        <x:v>built-up volume</x:v>
      </x:c>
      <x:c r="Q1090" s="2" t="str">
        <x:v>m3</x:v>
      </x:c>
      <x:c r="R1090" s="17" t="n">
        <x:v>1977085.5843137254</x:v>
      </x:c>
      <x:c r="S1090" s="17" t="n">
        <x:v>4356830.95</x:v>
      </x:c>
      <x:c r="T1090" s="18" t="n">
        <x:v>0.39518165606127087</x:v>
      </x:c>
      <x:c r="U1090" s="17" t="n">
        <x:v>1721739.6700000002</x:v>
      </x:c>
      <x:c r="V1090" s="2" t="str">
        <x:v>Area equivalent = model2020 * source volume / TEMPO2020 volume</x:v>
      </x:c>
      <x:c r="W1090" s="2" t="str">
        <x:v>qualified_paired_native_source_frame</x:v>
      </x:c>
      <x:c r="X1090" s="2" t="str">
        <x:v>https://human-settlement.emergency.copernicus.eu/ghs_buV2023.php</x:v>
      </x:c>
    </x:row>
    <x:row r="1091" ht="23" customHeight="1">
      <x:c r="A1091" s="2" t="str">
        <x:v>KNA</x:v>
      </x:c>
      <x:c r="B1091" s="2" t="str">
        <x:v>Saint Kitts and Nevis (Federation of)</x:v>
      </x:c>
      <x:c r="C1091" s="2" t="n">
        <x:v>2020</x:v>
      </x:c>
      <x:c r="D1091" s="2" t="str">
        <x:v>GHSL_VOLUME</x:v>
      </x:c>
      <x:c r="E1091" s="17" t="n">
        <x:v>4523960.760000001</x:v>
      </x:c>
      <x:c r="F1091" s="17" t="n">
        <x:f>IF(AND(M1091,ISNUMBER(R1091)),IF(D1091="TEMPO_PROXY",R1091,IF(AND(ISNUMBER(S1091),S1091&gt;0,ISNUMBER(U1091)),U1091*R1091/S1091,"n.a.")),"n.a.")</x:f>
        <x:v>13429494.523508161</x:v>
      </x:c>
      <x:c r="G1091" s="17" t="n">
        <x:f>IF(AND(ISNUMBER(E1091),ISNUMBER(F1091)),E1091-F1091,"n.a.")</x:f>
        <x:v>-8905533.76350816</x:v>
      </x:c>
      <x:c r="H1091" s="15" t="n">
        <x:f>IF(AND(ISNUMBER(E1091),ISNUMBER(F1091),F1091&gt;0),(E1091-F1091)/F1091,"n.a.")</x:f>
        <x:v>-0.6631324617556629</x:v>
      </x:c>
      <x:c r="I1091" s="19" t="n">
        <x:f>IF(ISNUMBER(H1091),ABS(H1091),"n.a.")</x:f>
        <x:v>0.6631324617556629</x:v>
      </x:c>
      <x:c r="J1091" s="2" t="str">
        <x:v>available</x:v>
      </x:c>
      <x:c r="K1091" s="2" t="n">
        <x:v>1</x:v>
      </x:c>
      <x:c r="L1091" s="13" t="b">
        <x:v>0</x:v>
      </x:c>
      <x:c r="M1091" s="13" t="b">
        <x:v>1</x:v>
      </x:c>
      <x:c r="N1091" s="2" t="str">
        <x:v>modeled_epoch_volume_with_fixed2018_height_and_predominant_use</x:v>
      </x:c>
      <x:c r="O1091" s="2" t="str"/>
      <x:c r="P1091" s="2" t="str">
        <x:v>built-up volume</x:v>
      </x:c>
      <x:c r="Q1091" s="2" t="str">
        <x:v>m3</x:v>
      </x:c>
      <x:c r="R1091" s="17" t="n">
        <x:v>31303976.972549014</x:v>
      </x:c>
      <x:c r="S1091" s="17" t="n">
        <x:v>10545293.66</x:v>
      </x:c>
      <x:c r="T1091" s="18" t="n">
        <x:v>0.4290028239953254</x:v>
      </x:c>
      <x:c r="U1091" s="17" t="n">
        <x:v>4523960.760000001</x:v>
      </x:c>
      <x:c r="V1091" s="2" t="str">
        <x:v>Area equivalent = model2020 * source volume / TEMPO2020 volume</x:v>
      </x:c>
      <x:c r="W1091" s="2" t="str">
        <x:v>qualified_paired_native_source_frame</x:v>
      </x:c>
      <x:c r="X1091" s="2" t="str">
        <x:v>https://human-settlement.emergency.copernicus.eu/ghs_buV2023.php</x:v>
      </x:c>
    </x:row>
    <x:row r="1092" ht="23" customHeight="1">
      <x:c r="A1092" s="2" t="str">
        <x:v>KOR</x:v>
      </x:c>
      <x:c r="B1092" s="2" t="str">
        <x:v>Korea (Republic of)</x:v>
      </x:c>
      <x:c r="C1092" s="2" t="n">
        <x:v>2020</x:v>
      </x:c>
      <x:c r="D1092" s="2" t="str">
        <x:v>GHSL_VOLUME</x:v>
      </x:c>
      <x:c r="E1092" s="17" t="n">
        <x:v>2947698717.329997</x:v>
      </x:c>
      <x:c r="F1092" s="17" t="n">
        <x:f>IF(AND(M1092,ISNUMBER(R1092)),IF(D1092="TEMPO_PROXY",R1092,IF(AND(ISNUMBER(S1092),S1092&gt;0,ISNUMBER(U1092)),U1092*R1092/S1092,"n.a.")),"n.a.")</x:f>
        <x:v>8247977286.030591</x:v>
      </x:c>
      <x:c r="G1092" s="17" t="n">
        <x:f>IF(AND(ISNUMBER(E1092),ISNUMBER(F1092)),E1092-F1092,"n.a.")</x:f>
        <x:v>-5300278568.700594</x:v>
      </x:c>
      <x:c r="H1092" s="15" t="n">
        <x:f>IF(AND(ISNUMBER(E1092),ISNUMBER(F1092),F1092&gt;0),(E1092-F1092)/F1092,"n.a.")</x:f>
        <x:v>-0.642615563172992</x:v>
      </x:c>
      <x:c r="I1092" s="19" t="n">
        <x:f>IF(ISNUMBER(H1092),ABS(H1092),"n.a.")</x:f>
        <x:v>0.642615563172992</x:v>
      </x:c>
      <x:c r="J1092" s="2" t="str">
        <x:v>available</x:v>
      </x:c>
      <x:c r="K1092" s="2" t="n">
        <x:v>1</x:v>
      </x:c>
      <x:c r="L1092" s="13" t="b">
        <x:v>0</x:v>
      </x:c>
      <x:c r="M1092" s="13" t="b">
        <x:v>1</x:v>
      </x:c>
      <x:c r="N1092" s="2" t="str">
        <x:v>modeled_epoch_volume_with_fixed2018_height_and_predominant_use</x:v>
      </x:c>
      <x:c r="O1092" s="2" t="str"/>
      <x:c r="P1092" s="2" t="str">
        <x:v>built-up volume</x:v>
      </x:c>
      <x:c r="Q1092" s="2" t="str">
        <x:v>m3</x:v>
      </x:c>
      <x:c r="R1092" s="17" t="n">
        <x:v>29964723167.796074</x:v>
      </x:c>
      <x:c r="S1092" s="17" t="n">
        <x:v>10708925714</x:v>
      </x:c>
      <x:c r="T1092" s="18" t="n">
        <x:v>0.27525624848404817</x:v>
      </x:c>
      <x:c r="U1092" s="17" t="n">
        <x:v>2947698717.329997</x:v>
      </x:c>
      <x:c r="V1092" s="2" t="str">
        <x:v>Area equivalent = model2020 * source volume / TEMPO2020 volume</x:v>
      </x:c>
      <x:c r="W1092" s="2" t="str">
        <x:v>qualified_paired_native_source_frame</x:v>
      </x:c>
      <x:c r="X1092" s="2" t="str">
        <x:v>https://human-settlement.emergency.copernicus.eu/ghs_buV2023.php</x:v>
      </x:c>
    </x:row>
    <x:row r="1093" ht="23" customHeight="1">
      <x:c r="A1093" s="2" t="str">
        <x:v>KWT</x:v>
      </x:c>
      <x:c r="B1093" s="2" t="str">
        <x:v>Kuwait (State of)</x:v>
      </x:c>
      <x:c r="C1093" s="2" t="n">
        <x:v>2020</x:v>
      </x:c>
      <x:c r="D1093" s="2" t="str">
        <x:v>GHSL_VOLUME</x:v>
      </x:c>
      <x:c r="E1093" s="17" t="n">
        <x:v>155594647.5199998</x:v>
      </x:c>
      <x:c r="F1093" s="17" t="n">
        <x:f>IF(AND(M1093,ISNUMBER(R1093)),IF(D1093="TEMPO_PROXY",R1093,IF(AND(ISNUMBER(S1093),S1093&gt;0,ISNUMBER(U1093)),U1093*R1093/S1093,"n.a.")),"n.a.")</x:f>
        <x:v>618071450.0108638</x:v>
      </x:c>
      <x:c r="G1093" s="17" t="n">
        <x:f>IF(AND(ISNUMBER(E1093),ISNUMBER(F1093)),E1093-F1093,"n.a.")</x:f>
        <x:v>-462476802.490864</x:v>
      </x:c>
      <x:c r="H1093" s="15" t="n">
        <x:f>IF(AND(ISNUMBER(E1093),ISNUMBER(F1093),F1093&gt;0),(E1093-F1093)/F1093,"n.a.")</x:f>
        <x:v>-0.7482578308425912</x:v>
      </x:c>
      <x:c r="I1093" s="19" t="n">
        <x:f>IF(ISNUMBER(H1093),ABS(H1093),"n.a.")</x:f>
        <x:v>0.7482578308425912</x:v>
      </x:c>
      <x:c r="J1093" s="2" t="str">
        <x:v>available</x:v>
      </x:c>
      <x:c r="K1093" s="2" t="n">
        <x:v>1</x:v>
      </x:c>
      <x:c r="L1093" s="13" t="b">
        <x:v>0</x:v>
      </x:c>
      <x:c r="M1093" s="13" t="b">
        <x:v>1</x:v>
      </x:c>
      <x:c r="N1093" s="2" t="str">
        <x:v>modeled_epoch_volume_with_fixed2018_height_and_predominant_use</x:v>
      </x:c>
      <x:c r="O1093" s="2" t="str"/>
      <x:c r="P1093" s="2" t="str">
        <x:v>built-up volume</x:v>
      </x:c>
      <x:c r="Q1093" s="2" t="str">
        <x:v>m3</x:v>
      </x:c>
      <x:c r="R1093" s="17" t="n">
        <x:v>2152158781.9529405</x:v>
      </x:c>
      <x:c r="S1093" s="17" t="n">
        <x:v>541789120.14</x:v>
      </x:c>
      <x:c r="T1093" s="18" t="n">
        <x:v>0.2871867332437271</x:v>
      </x:c>
      <x:c r="U1093" s="17" t="n">
        <x:v>155594647.5199998</x:v>
      </x:c>
      <x:c r="V1093" s="2" t="str">
        <x:v>Area equivalent = model2020 * source volume / TEMPO2020 volume</x:v>
      </x:c>
      <x:c r="W1093" s="2" t="str">
        <x:v>qualified_paired_native_source_frame</x:v>
      </x:c>
      <x:c r="X1093" s="2" t="str">
        <x:v>https://human-settlement.emergency.copernicus.eu/ghs_buV2023.php</x:v>
      </x:c>
    </x:row>
    <x:row r="1094" ht="23" customHeight="1">
      <x:c r="A1094" s="2" t="str">
        <x:v>LAO</x:v>
      </x:c>
      <x:c r="B1094" s="2" t="str">
        <x:v>Lao People's Democratic Republic</x:v>
      </x:c>
      <x:c r="C1094" s="2" t="n">
        <x:v>2020</x:v>
      </x:c>
      <x:c r="D1094" s="2" t="str">
        <x:v>GHSL_VOLUME</x:v>
      </x:c>
      <x:c r="E1094" s="17" t="n">
        <x:v>333393295.1899998</x:v>
      </x:c>
      <x:c r="F1094" s="17" t="n">
        <x:f>IF(AND(M1094,ISNUMBER(R1094)),IF(D1094="TEMPO_PROXY",R1094,IF(AND(ISNUMBER(S1094),S1094&gt;0,ISNUMBER(U1094)),U1094*R1094/S1094,"n.a.")),"n.a.")</x:f>
        <x:v>482150611.2400363</x:v>
      </x:c>
      <x:c r="G1094" s="17" t="n">
        <x:f>IF(AND(ISNUMBER(E1094),ISNUMBER(F1094)),E1094-F1094,"n.a.")</x:f>
        <x:v>-148757316.0500365</x:v>
      </x:c>
      <x:c r="H1094" s="15" t="n">
        <x:f>IF(AND(ISNUMBER(E1094),ISNUMBER(F1094),F1094&gt;0),(E1094-F1094)/F1094,"n.a.")</x:f>
        <x:v>-0.3085287306127222</x:v>
      </x:c>
      <x:c r="I1094" s="19" t="n">
        <x:f>IF(ISNUMBER(H1094),ABS(H1094),"n.a.")</x:f>
        <x:v>0.3085287306127222</x:v>
      </x:c>
      <x:c r="J1094" s="2" t="str">
        <x:v>available</x:v>
      </x:c>
      <x:c r="K1094" s="2" t="n">
        <x:v>1</x:v>
      </x:c>
      <x:c r="L1094" s="13" t="b">
        <x:v>0</x:v>
      </x:c>
      <x:c r="M1094" s="13" t="b">
        <x:v>1</x:v>
      </x:c>
      <x:c r="N1094" s="2" t="str">
        <x:v>modeled_epoch_volume_with_fixed2018_height_and_predominant_use</x:v>
      </x:c>
      <x:c r="O1094" s="2" t="str"/>
      <x:c r="P1094" s="2" t="str">
        <x:v>built-up volume</x:v>
      </x:c>
      <x:c r="Q1094" s="2" t="str">
        <x:v>m3</x:v>
      </x:c>
      <x:c r="R1094" s="17" t="n">
        <x:v>1140783450.741176</x:v>
      </x:c>
      <x:c r="S1094" s="17" t="n">
        <x:v>788818980.78</x:v>
      </x:c>
      <x:c r="T1094" s="18" t="n">
        <x:v>0.4226486726527978</x:v>
      </x:c>
      <x:c r="U1094" s="17" t="n">
        <x:v>333393295.1899998</x:v>
      </x:c>
      <x:c r="V1094" s="2" t="str">
        <x:v>Area equivalent = model2020 * source volume / TEMPO2020 volume</x:v>
      </x:c>
      <x:c r="W1094" s="2" t="str">
        <x:v>qualified_paired_native_source_frame</x:v>
      </x:c>
      <x:c r="X1094" s="2" t="str">
        <x:v>https://human-settlement.emergency.copernicus.eu/ghs_buV2023.php</x:v>
      </x:c>
    </x:row>
    <x:row r="1095" ht="23" customHeight="1">
      <x:c r="A1095" s="2" t="str">
        <x:v>LBN</x:v>
      </x:c>
      <x:c r="B1095" s="2" t="str">
        <x:v>Lebanon (Lebanese Republic)</x:v>
      </x:c>
      <x:c r="C1095" s="2" t="n">
        <x:v>2020</x:v>
      </x:c>
      <x:c r="D1095" s="2" t="str">
        <x:v>GHSL_VOLUME</x:v>
      </x:c>
      <x:c r="E1095" s="17" t="n">
        <x:v>226725070.95000017</x:v>
      </x:c>
      <x:c r="F1095" s="17" t="n">
        <x:f>IF(AND(M1095,ISNUMBER(R1095)),IF(D1095="TEMPO_PROXY",R1095,IF(AND(ISNUMBER(S1095),S1095&gt;0,ISNUMBER(U1095)),U1095*R1095/S1095,"n.a.")),"n.a.")</x:f>
        <x:v>673904774.942983</x:v>
      </x:c>
      <x:c r="G1095" s="17" t="n">
        <x:f>IF(AND(ISNUMBER(E1095),ISNUMBER(F1095)),E1095-F1095,"n.a.")</x:f>
        <x:v>-447179703.99298286</x:v>
      </x:c>
      <x:c r="H1095" s="15" t="n">
        <x:f>IF(AND(ISNUMBER(E1095),ISNUMBER(F1095),F1095&gt;0),(E1095-F1095)/F1095,"n.a.")</x:f>
        <x:v>-0.6635651216906978</x:v>
      </x:c>
      <x:c r="I1095" s="19" t="n">
        <x:f>IF(ISNUMBER(H1095),ABS(H1095),"n.a.")</x:f>
        <x:v>0.6635651216906978</x:v>
      </x:c>
      <x:c r="J1095" s="2" t="str">
        <x:v>available</x:v>
      </x:c>
      <x:c r="K1095" s="2" t="n">
        <x:v>1</x:v>
      </x:c>
      <x:c r="L1095" s="13" t="b">
        <x:v>0</x:v>
      </x:c>
      <x:c r="M1095" s="13" t="b">
        <x:v>1</x:v>
      </x:c>
      <x:c r="N1095" s="2" t="str">
        <x:v>modeled_epoch_volume_with_fixed2018_height_and_predominant_use</x:v>
      </x:c>
      <x:c r="O1095" s="2" t="str"/>
      <x:c r="P1095" s="2" t="str">
        <x:v>built-up volume</x:v>
      </x:c>
      <x:c r="Q1095" s="2" t="str">
        <x:v>m3</x:v>
      </x:c>
      <x:c r="R1095" s="17" t="n">
        <x:v>2006600134.4823532</x:v>
      </x:c>
      <x:c r="S1095" s="17" t="n">
        <x:v>675090272.06</x:v>
      </x:c>
      <x:c r="T1095" s="18" t="n">
        <x:v>0.33584407942683187</x:v>
      </x:c>
      <x:c r="U1095" s="17" t="n">
        <x:v>226725070.95000017</x:v>
      </x:c>
      <x:c r="V1095" s="2" t="str">
        <x:v>Area equivalent = model2020 * source volume / TEMPO2020 volume</x:v>
      </x:c>
      <x:c r="W1095" s="2" t="str">
        <x:v>qualified_paired_native_source_frame</x:v>
      </x:c>
      <x:c r="X1095" s="2" t="str">
        <x:v>https://human-settlement.emergency.copernicus.eu/ghs_buV2023.php</x:v>
      </x:c>
    </x:row>
    <x:row r="1096" ht="23" customHeight="1">
      <x:c r="A1096" s="2" t="str">
        <x:v>LBR</x:v>
      </x:c>
      <x:c r="B1096" s="2" t="str">
        <x:v>Liberia (Republic of)</x:v>
      </x:c>
      <x:c r="C1096" s="2" t="n">
        <x:v>2020</x:v>
      </x:c>
      <x:c r="D1096" s="2" t="str">
        <x:v>GHSL_VOLUME</x:v>
      </x:c>
      <x:c r="E1096" s="17" t="n">
        <x:v>93713430.84000014</x:v>
      </x:c>
      <x:c r="F1096" s="17" t="n">
        <x:f>IF(AND(M1096,ISNUMBER(R1096)),IF(D1096="TEMPO_PROXY",R1096,IF(AND(ISNUMBER(S1096),S1096&gt;0,ISNUMBER(U1096)),U1096*R1096/S1096,"n.a.")),"n.a.")</x:f>
        <x:v>431513560.97053653</x:v>
      </x:c>
      <x:c r="G1096" s="17" t="n">
        <x:f>IF(AND(ISNUMBER(E1096),ISNUMBER(F1096)),E1096-F1096,"n.a.")</x:f>
        <x:v>-337800130.1305364</x:v>
      </x:c>
      <x:c r="H1096" s="15" t="n">
        <x:f>IF(AND(ISNUMBER(E1096),ISNUMBER(F1096),F1096&gt;0),(E1096-F1096)/F1096,"n.a.")</x:f>
        <x:v>-0.7828262207351605</x:v>
      </x:c>
      <x:c r="I1096" s="19" t="n">
        <x:f>IF(ISNUMBER(H1096),ABS(H1096),"n.a.")</x:f>
        <x:v>0.7828262207351605</x:v>
      </x:c>
      <x:c r="J1096" s="2" t="str">
        <x:v>available</x:v>
      </x:c>
      <x:c r="K1096" s="2" t="n">
        <x:v>1</x:v>
      </x:c>
      <x:c r="L1096" s="13" t="b">
        <x:v>0</x:v>
      </x:c>
      <x:c r="M1096" s="13" t="b">
        <x:v>1</x:v>
      </x:c>
      <x:c r="N1096" s="2" t="str">
        <x:v>modeled_epoch_volume_with_fixed2018_height_and_predominant_use</x:v>
      </x:c>
      <x:c r="O1096" s="2" t="str"/>
      <x:c r="P1096" s="2" t="str">
        <x:v>built-up volume</x:v>
      </x:c>
      <x:c r="Q1096" s="2" t="str">
        <x:v>m3</x:v>
      </x:c>
      <x:c r="R1096" s="17" t="n">
        <x:v>1006785539.07451</x:v>
      </x:c>
      <x:c r="S1096" s="17" t="n">
        <x:v>218647420.43</x:v>
      </x:c>
      <x:c r="T1096" s="18" t="n">
        <x:v>0.42860524334428407</x:v>
      </x:c>
      <x:c r="U1096" s="17" t="n">
        <x:v>93713430.84000014</x:v>
      </x:c>
      <x:c r="V1096" s="2" t="str">
        <x:v>Area equivalent = model2020 * source volume / TEMPO2020 volume</x:v>
      </x:c>
      <x:c r="W1096" s="2" t="str">
        <x:v>qualified_paired_native_source_frame</x:v>
      </x:c>
      <x:c r="X1096" s="2" t="str">
        <x:v>https://human-settlement.emergency.copernicus.eu/ghs_buV2023.php</x:v>
      </x:c>
    </x:row>
    <x:row r="1097" ht="23" customHeight="1">
      <x:c r="A1097" s="2" t="str">
        <x:v>LBY</x:v>
      </x:c>
      <x:c r="B1097" s="2" t="str">
        <x:v>Libya (State of)</x:v>
      </x:c>
      <x:c r="C1097" s="2" t="n">
        <x:v>2020</x:v>
      </x:c>
      <x:c r="D1097" s="2" t="str">
        <x:v>GHSL_VOLUME</x:v>
      </x:c>
      <x:c r="E1097" s="17" t="n">
        <x:v>523048577.3000005</x:v>
      </x:c>
      <x:c r="F1097" s="17" t="n">
        <x:f>IF(AND(M1097,ISNUMBER(R1097)),IF(D1097="TEMPO_PROXY",R1097,IF(AND(ISNUMBER(S1097),S1097&gt;0,ISNUMBER(U1097)),U1097*R1097/S1097,"n.a.")),"n.a.")</x:f>
        <x:v>2011970311.6289883</x:v>
      </x:c>
      <x:c r="G1097" s="17" t="n">
        <x:f>IF(AND(ISNUMBER(E1097),ISNUMBER(F1097)),E1097-F1097,"n.a.")</x:f>
        <x:v>-1488921734.3289878</x:v>
      </x:c>
      <x:c r="H1097" s="15" t="n">
        <x:f>IF(AND(ISNUMBER(E1097),ISNUMBER(F1097),F1097&gt;0),(E1097-F1097)/F1097,"n.a.")</x:f>
        <x:v>-0.7400316623576244</x:v>
      </x:c>
      <x:c r="I1097" s="19" t="n">
        <x:f>IF(ISNUMBER(H1097),ABS(H1097),"n.a.")</x:f>
        <x:v>0.7400316623576244</x:v>
      </x:c>
      <x:c r="J1097" s="2" t="str">
        <x:v>available</x:v>
      </x:c>
      <x:c r="K1097" s="2" t="n">
        <x:v>1</x:v>
      </x:c>
      <x:c r="L1097" s="13" t="b">
        <x:v>0</x:v>
      </x:c>
      <x:c r="M1097" s="13" t="b">
        <x:v>1</x:v>
      </x:c>
      <x:c r="N1097" s="2" t="str">
        <x:v>modeled_epoch_volume_with_fixed2018_height_and_predominant_use</x:v>
      </x:c>
      <x:c r="O1097" s="2" t="str"/>
      <x:c r="P1097" s="2" t="str">
        <x:v>built-up volume</x:v>
      </x:c>
      <x:c r="Q1097" s="2" t="str">
        <x:v>m3</x:v>
      </x:c>
      <x:c r="R1097" s="17" t="n">
        <x:v>5124368234.729412</x:v>
      </x:c>
      <x:c r="S1097" s="17" t="n">
        <x:v>1332173491.45</x:v>
      </x:c>
      <x:c r="T1097" s="18" t="n">
        <x:v>0.3926279727505236</x:v>
      </x:c>
      <x:c r="U1097" s="17" t="n">
        <x:v>523048577.3000005</x:v>
      </x:c>
      <x:c r="V1097" s="2" t="str">
        <x:v>Area equivalent = model2020 * source volume / TEMPO2020 volume</x:v>
      </x:c>
      <x:c r="W1097" s="2" t="str">
        <x:v>qualified_paired_native_source_frame</x:v>
      </x:c>
      <x:c r="X1097" s="2" t="str">
        <x:v>https://human-settlement.emergency.copernicus.eu/ghs_buV2023.php</x:v>
      </x:c>
    </x:row>
    <x:row r="1098" ht="23" customHeight="1">
      <x:c r="A1098" s="2" t="str">
        <x:v>LCA</x:v>
      </x:c>
      <x:c r="B1098" s="2" t="str">
        <x:v>Saint Lucia</x:v>
      </x:c>
      <x:c r="C1098" s="2" t="n">
        <x:v>2020</x:v>
      </x:c>
      <x:c r="D1098" s="2" t="str">
        <x:v>GHSL_VOLUME</x:v>
      </x:c>
      <x:c r="E1098" s="17" t="n">
        <x:v>10226894.600000018</x:v>
      </x:c>
      <x:c r="F1098" s="17" t="n">
        <x:f>IF(AND(M1098,ISNUMBER(R1098)),IF(D1098="TEMPO_PROXY",R1098,IF(AND(ISNUMBER(S1098),S1098&gt;0,ISNUMBER(U1098)),U1098*R1098/S1098,"n.a.")),"n.a.")</x:f>
        <x:v>28557754.50715575</x:v>
      </x:c>
      <x:c r="G1098" s="17" t="n">
        <x:f>IF(AND(ISNUMBER(E1098),ISNUMBER(F1098)),E1098-F1098,"n.a.")</x:f>
        <x:v>-18330859.90715573</x:v>
      </x:c>
      <x:c r="H1098" s="15" t="n">
        <x:f>IF(AND(ISNUMBER(E1098),ISNUMBER(F1098),F1098&gt;0),(E1098-F1098)/F1098,"n.a.")</x:f>
        <x:v>-0.6418872990368534</x:v>
      </x:c>
      <x:c r="I1098" s="19" t="n">
        <x:f>IF(ISNUMBER(H1098),ABS(H1098),"n.a.")</x:f>
        <x:v>0.6418872990368534</x:v>
      </x:c>
      <x:c r="J1098" s="2" t="str">
        <x:v>available</x:v>
      </x:c>
      <x:c r="K1098" s="2" t="n">
        <x:v>1</x:v>
      </x:c>
      <x:c r="L1098" s="13" t="b">
        <x:v>0</x:v>
      </x:c>
      <x:c r="M1098" s="13" t="b">
        <x:v>1</x:v>
      </x:c>
      <x:c r="N1098" s="2" t="str">
        <x:v>modeled_epoch_volume_with_fixed2018_height_and_predominant_use</x:v>
      </x:c>
      <x:c r="O1098" s="2" t="str"/>
      <x:c r="P1098" s="2" t="str">
        <x:v>built-up volume</x:v>
      </x:c>
      <x:c r="Q1098" s="2" t="str">
        <x:v>m3</x:v>
      </x:c>
      <x:c r="R1098" s="17" t="n">
        <x:v>67117230.12156862</x:v>
      </x:c>
      <x:c r="S1098" s="17" t="n">
        <x:v>24035532.56</x:v>
      </x:c>
      <x:c r="T1098" s="18" t="n">
        <x:v>0.4254906594838529</x:v>
      </x:c>
      <x:c r="U1098" s="17" t="n">
        <x:v>10226894.600000018</x:v>
      </x:c>
      <x:c r="V1098" s="2" t="str">
        <x:v>Area equivalent = model2020 * source volume / TEMPO2020 volume</x:v>
      </x:c>
      <x:c r="W1098" s="2" t="str">
        <x:v>qualified_paired_native_source_frame</x:v>
      </x:c>
      <x:c r="X1098" s="2" t="str">
        <x:v>https://human-settlement.emergency.copernicus.eu/ghs_buV2023.php</x:v>
      </x:c>
    </x:row>
    <x:row r="1099" ht="23" customHeight="1">
      <x:c r="A1099" s="2" t="str">
        <x:v>LIE</x:v>
      </x:c>
      <x:c r="B1099" s="2" t="str">
        <x:v>Liechtenstein (Principality of)</x:v>
      </x:c>
      <x:c r="C1099" s="2" t="n">
        <x:v>2020</x:v>
      </x:c>
      <x:c r="D1099" s="2" t="str">
        <x:v>GHSL_VOLUME</x:v>
      </x:c>
      <x:c r="E1099" s="17" t="n">
        <x:v>3628695.830000003</x:v>
      </x:c>
      <x:c r="F1099" s="17" t="n">
        <x:f>IF(AND(M1099,ISNUMBER(R1099)),IF(D1099="TEMPO_PROXY",R1099,IF(AND(ISNUMBER(S1099),S1099&gt;0,ISNUMBER(U1099)),U1099*R1099/S1099,"n.a.")),"n.a.")</x:f>
        <x:v>8384415.584187118</x:v>
      </x:c>
      <x:c r="G1099" s="17" t="n">
        <x:f>IF(AND(ISNUMBER(E1099),ISNUMBER(F1099)),E1099-F1099,"n.a.")</x:f>
        <x:v>-4755719.7541871155</x:v>
      </x:c>
      <x:c r="H1099" s="15" t="n">
        <x:f>IF(AND(ISNUMBER(E1099),ISNUMBER(F1099),F1099&gt;0),(E1099-F1099)/F1099,"n.a.")</x:f>
        <x:v>-0.5672094502515276</x:v>
      </x:c>
      <x:c r="I1099" s="19" t="n">
        <x:f>IF(ISNUMBER(H1099),ABS(H1099),"n.a.")</x:f>
        <x:v>0.5672094502515276</x:v>
      </x:c>
      <x:c r="J1099" s="2" t="str">
        <x:v>available</x:v>
      </x:c>
      <x:c r="K1099" s="2" t="n">
        <x:v>1</x:v>
      </x:c>
      <x:c r="L1099" s="13" t="b">
        <x:v>0</x:v>
      </x:c>
      <x:c r="M1099" s="13" t="b">
        <x:v>1</x:v>
      </x:c>
      <x:c r="N1099" s="2" t="str">
        <x:v>modeled_epoch_volume_with_fixed2018_height_and_predominant_use</x:v>
      </x:c>
      <x:c r="O1099" s="2" t="str"/>
      <x:c r="P1099" s="2" t="str">
        <x:v>built-up volume</x:v>
      </x:c>
      <x:c r="Q1099" s="2" t="str">
        <x:v>m3</x:v>
      </x:c>
      <x:c r="R1099" s="17" t="n">
        <x:v>28839352.23921569</x:v>
      </x:c>
      <x:c r="S1099" s="17" t="n">
        <x:v>12481399.11</x:v>
      </x:c>
      <x:c r="T1099" s="18" t="n">
        <x:v>0.2907282907965598</x:v>
      </x:c>
      <x:c r="U1099" s="17" t="n">
        <x:v>3628695.830000003</x:v>
      </x:c>
      <x:c r="V1099" s="2" t="str">
        <x:v>Area equivalent = model2020 * source volume / TEMPO2020 volume</x:v>
      </x:c>
      <x:c r="W1099" s="2" t="str">
        <x:v>qualified_paired_native_source_frame</x:v>
      </x:c>
      <x:c r="X1099" s="2" t="str">
        <x:v>https://human-settlement.emergency.copernicus.eu/ghs_buV2023.php</x:v>
      </x:c>
    </x:row>
    <x:row r="1100" ht="23" customHeight="1">
      <x:c r="A1100" s="2" t="str">
        <x:v>LKA</x:v>
      </x:c>
      <x:c r="B1100" s="2" t="str">
        <x:v>Sri Lanka (Democratic Socialist Republic of)</x:v>
      </x:c>
      <x:c r="C1100" s="2" t="n">
        <x:v>2020</x:v>
      </x:c>
      <x:c r="D1100" s="2" t="str">
        <x:v>GHSL_VOLUME</x:v>
      </x:c>
      <x:c r="E1100" s="17" t="n">
        <x:v>899293602.2900008</x:v>
      </x:c>
      <x:c r="F1100" s="17" t="n">
        <x:f>IF(AND(M1100,ISNUMBER(R1100)),IF(D1100="TEMPO_PROXY",R1100,IF(AND(ISNUMBER(S1100),S1100&gt;0,ISNUMBER(U1100)),U1100*R1100/S1100,"n.a.")),"n.a.")</x:f>
        <x:v>1824622574.677442</x:v>
      </x:c>
      <x:c r="G1100" s="17" t="n">
        <x:f>IF(AND(ISNUMBER(E1100),ISNUMBER(F1100)),E1100-F1100,"n.a.")</x:f>
        <x:v>-925328972.3874413</x:v>
      </x:c>
      <x:c r="H1100" s="15" t="n">
        <x:f>IF(AND(ISNUMBER(E1100),ISNUMBER(F1100),F1100&gt;0),(E1100-F1100)/F1100,"n.a.")</x:f>
        <x:v>-0.5071344535737872</x:v>
      </x:c>
      <x:c r="I1100" s="19" t="n">
        <x:f>IF(ISNUMBER(H1100),ABS(H1100),"n.a.")</x:f>
        <x:v>0.5071344535737872</x:v>
      </x:c>
      <x:c r="J1100" s="2" t="str">
        <x:v>available</x:v>
      </x:c>
      <x:c r="K1100" s="2" t="n">
        <x:v>1</x:v>
      </x:c>
      <x:c r="L1100" s="13" t="b">
        <x:v>0</x:v>
      </x:c>
      <x:c r="M1100" s="13" t="b">
        <x:v>1</x:v>
      </x:c>
      <x:c r="N1100" s="2" t="str">
        <x:v>modeled_epoch_volume_with_fixed2018_height_and_predominant_use</x:v>
      </x:c>
      <x:c r="O1100" s="2" t="str"/>
      <x:c r="P1100" s="2" t="str">
        <x:v>built-up volume</x:v>
      </x:c>
      <x:c r="Q1100" s="2" t="str">
        <x:v>m3</x:v>
      </x:c>
      <x:c r="R1100" s="17" t="n">
        <x:v>4198596273.537255</x:v>
      </x:c>
      <x:c r="S1100" s="17" t="n">
        <x:v>2069343446.58</x:v>
      </x:c>
      <x:c r="T1100" s="18" t="n">
        <x:v>0.4345791916640332</x:v>
      </x:c>
      <x:c r="U1100" s="17" t="n">
        <x:v>899293602.2900008</x:v>
      </x:c>
      <x:c r="V1100" s="2" t="str">
        <x:v>Area equivalent = model2020 * source volume / TEMPO2020 volume</x:v>
      </x:c>
      <x:c r="W1100" s="2" t="str">
        <x:v>qualified_paired_native_source_frame</x:v>
      </x:c>
      <x:c r="X1100" s="2" t="str">
        <x:v>https://human-settlement.emergency.copernicus.eu/ghs_buV2023.php</x:v>
      </x:c>
    </x:row>
    <x:row r="1101" ht="23" customHeight="1">
      <x:c r="A1101" s="2" t="str">
        <x:v>LSO</x:v>
      </x:c>
      <x:c r="B1101" s="2" t="str">
        <x:v>Lesotho (Kingdom of)</x:v>
      </x:c>
      <x:c r="C1101" s="2" t="n">
        <x:v>2020</x:v>
      </x:c>
      <x:c r="D1101" s="2" t="str">
        <x:v>GHSL_VOLUME</x:v>
      </x:c>
      <x:c r="E1101" s="17" t="n">
        <x:v>60655167.15000007</x:v>
      </x:c>
      <x:c r="F1101" s="17" t="n">
        <x:f>IF(AND(M1101,ISNUMBER(R1101)),IF(D1101="TEMPO_PROXY",R1101,IF(AND(ISNUMBER(S1101),S1101&gt;0,ISNUMBER(U1101)),U1101*R1101/S1101,"n.a.")),"n.a.")</x:f>
        <x:v>389661415.77606684</x:v>
      </x:c>
      <x:c r="G1101" s="17" t="n">
        <x:f>IF(AND(ISNUMBER(E1101),ISNUMBER(F1101)),E1101-F1101,"n.a.")</x:f>
        <x:v>-329006248.62606674</x:v>
      </x:c>
      <x:c r="H1101" s="15" t="n">
        <x:f>IF(AND(ISNUMBER(E1101),ISNUMBER(F1101),F1101&gt;0),(E1101-F1101)/F1101,"n.a.")</x:f>
        <x:v>-0.8443387908212657</x:v>
      </x:c>
      <x:c r="I1101" s="19" t="n">
        <x:f>IF(ISNUMBER(H1101),ABS(H1101),"n.a.")</x:f>
        <x:v>0.8443387908212657</x:v>
      </x:c>
      <x:c r="J1101" s="2" t="str">
        <x:v>available</x:v>
      </x:c>
      <x:c r="K1101" s="2" t="n">
        <x:v>1</x:v>
      </x:c>
      <x:c r="L1101" s="13" t="b">
        <x:v>0</x:v>
      </x:c>
      <x:c r="M1101" s="13" t="b">
        <x:v>1</x:v>
      </x:c>
      <x:c r="N1101" s="2" t="str">
        <x:v>modeled_epoch_volume_with_fixed2018_height_and_predominant_use</x:v>
      </x:c>
      <x:c r="O1101" s="2" t="str"/>
      <x:c r="P1101" s="2" t="str">
        <x:v>built-up volume</x:v>
      </x:c>
      <x:c r="Q1101" s="2" t="str">
        <x:v>m3</x:v>
      </x:c>
      <x:c r="R1101" s="17" t="n">
        <x:v>784105539.8705884</x:v>
      </x:c>
      <x:c r="S1101" s="17" t="n">
        <x:v>122054816.46</x:v>
      </x:c>
      <x:c r="T1101" s="18" t="n">
        <x:v>0.4969502139219396</x:v>
      </x:c>
      <x:c r="U1101" s="17" t="n">
        <x:v>60655167.15000007</x:v>
      </x:c>
      <x:c r="V1101" s="2" t="str">
        <x:v>Area equivalent = model2020 * source volume / TEMPO2020 volume</x:v>
      </x:c>
      <x:c r="W1101" s="2" t="str">
        <x:v>qualified_paired_native_source_frame</x:v>
      </x:c>
      <x:c r="X1101" s="2" t="str">
        <x:v>https://human-settlement.emergency.copernicus.eu/ghs_buV2023.php</x:v>
      </x:c>
    </x:row>
    <x:row r="1102" ht="23" customHeight="1">
      <x:c r="A1102" s="2" t="str">
        <x:v>LTU</x:v>
      </x:c>
      <x:c r="B1102" s="2" t="str">
        <x:v>Lithuania (Republic of)</x:v>
      </x:c>
      <x:c r="C1102" s="2" t="n">
        <x:v>2020</x:v>
      </x:c>
      <x:c r="D1102" s="2" t="str">
        <x:v>GHSL_VOLUME</x:v>
      </x:c>
      <x:c r="E1102" s="17" t="n">
        <x:v>269070067.6199997</x:v>
      </x:c>
      <x:c r="F1102" s="17" t="n">
        <x:f>IF(AND(M1102,ISNUMBER(R1102)),IF(D1102="TEMPO_PROXY",R1102,IF(AND(ISNUMBER(S1102),S1102&gt;0,ISNUMBER(U1102)),U1102*R1102/S1102,"n.a.")),"n.a.")</x:f>
        <x:v>712447743.5401405</x:v>
      </x:c>
      <x:c r="G1102" s="17" t="n">
        <x:f>IF(AND(ISNUMBER(E1102),ISNUMBER(F1102)),E1102-F1102,"n.a.")</x:f>
        <x:v>-443377675.9201408</x:v>
      </x:c>
      <x:c r="H1102" s="15" t="n">
        <x:f>IF(AND(ISNUMBER(E1102),ISNUMBER(F1102),F1102&gt;0),(E1102-F1102)/F1102,"n.a.")</x:f>
        <x:v>-0.6223301006148252</x:v>
      </x:c>
      <x:c r="I1102" s="19" t="n">
        <x:f>IF(ISNUMBER(H1102),ABS(H1102),"n.a.")</x:f>
        <x:v>0.6223301006148252</x:v>
      </x:c>
      <x:c r="J1102" s="2" t="str">
        <x:v>available</x:v>
      </x:c>
      <x:c r="K1102" s="2" t="n">
        <x:v>1</x:v>
      </x:c>
      <x:c r="L1102" s="13" t="b">
        <x:v>0</x:v>
      </x:c>
      <x:c r="M1102" s="13" t="b">
        <x:v>1</x:v>
      </x:c>
      <x:c r="N1102" s="2" t="str">
        <x:v>modeled_epoch_volume_with_fixed2018_height_and_predominant_use</x:v>
      </x:c>
      <x:c r="O1102" s="2" t="str"/>
      <x:c r="P1102" s="2" t="str">
        <x:v>built-up volume</x:v>
      </x:c>
      <x:c r="Q1102" s="2" t="str">
        <x:v>m3</x:v>
      </x:c>
      <x:c r="R1102" s="17" t="n">
        <x:v>2111333745.760785</x:v>
      </x:c>
      <x:c r="S1102" s="17" t="n">
        <x:v>797387203.33</x:v>
      </x:c>
      <x:c r="T1102" s="18" t="n">
        <x:v>0.33743966105340745</x:v>
      </x:c>
      <x:c r="U1102" s="17" t="n">
        <x:v>269070067.6199997</x:v>
      </x:c>
      <x:c r="V1102" s="2" t="str">
        <x:v>Area equivalent = model2020 * source volume / TEMPO2020 volume</x:v>
      </x:c>
      <x:c r="W1102" s="2" t="str">
        <x:v>qualified_paired_native_source_frame</x:v>
      </x:c>
      <x:c r="X1102" s="2" t="str">
        <x:v>https://human-settlement.emergency.copernicus.eu/ghs_buV2023.php</x:v>
      </x:c>
    </x:row>
    <x:row r="1103" ht="23" customHeight="1">
      <x:c r="A1103" s="2" t="str">
        <x:v>LUX</x:v>
      </x:c>
      <x:c r="B1103" s="2" t="str">
        <x:v>Luxembourg (Grand Duchy of)</x:v>
      </x:c>
      <x:c r="C1103" s="2" t="n">
        <x:v>2020</x:v>
      </x:c>
      <x:c r="D1103" s="2" t="str">
        <x:v>GHSL_VOLUME</x:v>
      </x:c>
      <x:c r="E1103" s="17" t="n">
        <x:v>49053600.56000002</x:v>
      </x:c>
      <x:c r="F1103" s="17" t="n">
        <x:f>IF(AND(M1103,ISNUMBER(R1103)),IF(D1103="TEMPO_PROXY",R1103,IF(AND(ISNUMBER(S1103),S1103&gt;0,ISNUMBER(U1103)),U1103*R1103/S1103,"n.a.")),"n.a.")</x:f>
        <x:v>103287758.5526295</x:v>
      </x:c>
      <x:c r="G1103" s="17" t="n">
        <x:f>IF(AND(ISNUMBER(E1103),ISNUMBER(F1103)),E1103-F1103,"n.a.")</x:f>
        <x:v>-54234157.99262948</x:v>
      </x:c>
      <x:c r="H1103" s="15" t="n">
        <x:f>IF(AND(ISNUMBER(E1103),ISNUMBER(F1103),F1103&gt;0),(E1103-F1103)/F1103,"n.a.")</x:f>
        <x:v>-0.525078274062796</x:v>
      </x:c>
      <x:c r="I1103" s="19" t="n">
        <x:f>IF(ISNUMBER(H1103),ABS(H1103),"n.a.")</x:f>
        <x:v>0.525078274062796</x:v>
      </x:c>
      <x:c r="J1103" s="2" t="str">
        <x:v>available</x:v>
      </x:c>
      <x:c r="K1103" s="2" t="n">
        <x:v>1</x:v>
      </x:c>
      <x:c r="L1103" s="13" t="b">
        <x:v>0</x:v>
      </x:c>
      <x:c r="M1103" s="13" t="b">
        <x:v>1</x:v>
      </x:c>
      <x:c r="N1103" s="2" t="str">
        <x:v>modeled_epoch_volume_with_fixed2018_height_and_predominant_use</x:v>
      </x:c>
      <x:c r="O1103" s="2" t="str"/>
      <x:c r="P1103" s="2" t="str">
        <x:v>built-up volume</x:v>
      </x:c>
      <x:c r="Q1103" s="2" t="str">
        <x:v>m3</x:v>
      </x:c>
      <x:c r="R1103" s="17" t="n">
        <x:v>381515774.6941179</x:v>
      </x:c>
      <x:c r="S1103" s="17" t="n">
        <x:v>181190130.19</x:v>
      </x:c>
      <x:c r="T1103" s="18" t="n">
        <x:v>0.2707299813105787</x:v>
      </x:c>
      <x:c r="U1103" s="17" t="n">
        <x:v>49053600.56000002</x:v>
      </x:c>
      <x:c r="V1103" s="2" t="str">
        <x:v>Area equivalent = model2020 * source volume / TEMPO2020 volume</x:v>
      </x:c>
      <x:c r="W1103" s="2" t="str">
        <x:v>qualified_paired_native_source_frame</x:v>
      </x:c>
      <x:c r="X1103" s="2" t="str">
        <x:v>https://human-settlement.emergency.copernicus.eu/ghs_buV2023.php</x:v>
      </x:c>
    </x:row>
    <x:row r="1104" ht="23" customHeight="1">
      <x:c r="A1104" s="2" t="str">
        <x:v>LVA</x:v>
      </x:c>
      <x:c r="B1104" s="2" t="str">
        <x:v>Latvia (Republic of)</x:v>
      </x:c>
      <x:c r="C1104" s="2" t="n">
        <x:v>2020</x:v>
      </x:c>
      <x:c r="D1104" s="2" t="str">
        <x:v>GHSL_VOLUME</x:v>
      </x:c>
      <x:c r="E1104" s="17" t="n">
        <x:v>145154805.1899999</x:v>
      </x:c>
      <x:c r="F1104" s="17" t="n">
        <x:f>IF(AND(M1104,ISNUMBER(R1104)),IF(D1104="TEMPO_PROXY",R1104,IF(AND(ISNUMBER(S1104),S1104&gt;0,ISNUMBER(U1104)),U1104*R1104/S1104,"n.a.")),"n.a.")</x:f>
        <x:v>317302162.5129942</x:v>
      </x:c>
      <x:c r="G1104" s="17" t="n">
        <x:f>IF(AND(ISNUMBER(E1104),ISNUMBER(F1104)),E1104-F1104,"n.a.")</x:f>
        <x:v>-172147357.32299432</x:v>
      </x:c>
      <x:c r="H1104" s="15" t="n">
        <x:f>IF(AND(ISNUMBER(E1104),ISNUMBER(F1104),F1104&gt;0),(E1104-F1104)/F1104,"n.a.")</x:f>
        <x:v>-0.5425344597704861</x:v>
      </x:c>
      <x:c r="I1104" s="19" t="n">
        <x:f>IF(ISNUMBER(H1104),ABS(H1104),"n.a.")</x:f>
        <x:v>0.5425344597704861</x:v>
      </x:c>
      <x:c r="J1104" s="2" t="str">
        <x:v>available</x:v>
      </x:c>
      <x:c r="K1104" s="2" t="n">
        <x:v>1</x:v>
      </x:c>
      <x:c r="L1104" s="13" t="b">
        <x:v>0</x:v>
      </x:c>
      <x:c r="M1104" s="13" t="b">
        <x:v>1</x:v>
      </x:c>
      <x:c r="N1104" s="2" t="str">
        <x:v>modeled_epoch_volume_with_fixed2018_height_and_predominant_use</x:v>
      </x:c>
      <x:c r="O1104" s="2" t="str"/>
      <x:c r="P1104" s="2" t="str">
        <x:v>built-up volume</x:v>
      </x:c>
      <x:c r="Q1104" s="2" t="str">
        <x:v>m3</x:v>
      </x:c>
      <x:c r="R1104" s="17" t="n">
        <x:v>982301463.2196082</x:v>
      </x:c>
      <x:c r="S1104" s="17" t="n">
        <x:v>449369069.54</x:v>
      </x:c>
      <x:c r="T1104" s="18" t="n">
        <x:v>0.3230191284384319</x:v>
      </x:c>
      <x:c r="U1104" s="17" t="n">
        <x:v>145154805.1899999</x:v>
      </x:c>
      <x:c r="V1104" s="2" t="str">
        <x:v>Area equivalent = model2020 * source volume / TEMPO2020 volume</x:v>
      </x:c>
      <x:c r="W1104" s="2" t="str">
        <x:v>qualified_paired_native_source_frame</x:v>
      </x:c>
      <x:c r="X1104" s="2" t="str">
        <x:v>https://human-settlement.emergency.copernicus.eu/ghs_buV2023.php</x:v>
      </x:c>
    </x:row>
    <x:row r="1105" ht="23" customHeight="1">
      <x:c r="A1105" s="2" t="str">
        <x:v>MAR</x:v>
      </x:c>
      <x:c r="B1105" s="2" t="str">
        <x:v>Morocco (Kingdom of)</x:v>
      </x:c>
      <x:c r="C1105" s="2" t="n">
        <x:v>2020</x:v>
      </x:c>
      <x:c r="D1105" s="2" t="str">
        <x:v>GHSL_VOLUME</x:v>
      </x:c>
      <x:c r="E1105" s="17" t="n">
        <x:v>1247018524.7000012</x:v>
      </x:c>
      <x:c r="F1105" s="17" t="n">
        <x:f>IF(AND(M1105,ISNUMBER(R1105)),IF(D1105="TEMPO_PROXY",R1105,IF(AND(ISNUMBER(S1105),S1105&gt;0,ISNUMBER(U1105)),U1105*R1105/S1105,"n.a.")),"n.a.")</x:f>
        <x:v>1602741817.9507885</x:v>
      </x:c>
      <x:c r="G1105" s="17" t="n">
        <x:f>IF(AND(ISNUMBER(E1105),ISNUMBER(F1105)),E1105-F1105,"n.a.")</x:f>
        <x:v>-355723293.25078726</x:v>
      </x:c>
      <x:c r="H1105" s="15" t="n">
        <x:f>IF(AND(ISNUMBER(E1105),ISNUMBER(F1105),F1105&gt;0),(E1105-F1105)/F1105,"n.a.")</x:f>
        <x:v>-0.22194672233959867</x:v>
      </x:c>
      <x:c r="I1105" s="19" t="n">
        <x:f>IF(ISNUMBER(H1105),ABS(H1105),"n.a.")</x:f>
        <x:v>0.22194672233959867</x:v>
      </x:c>
      <x:c r="J1105" s="2" t="str">
        <x:v>available</x:v>
      </x:c>
      <x:c r="K1105" s="2" t="n">
        <x:v>1</x:v>
      </x:c>
      <x:c r="L1105" s="13" t="b">
        <x:v>0</x:v>
      </x:c>
      <x:c r="M1105" s="13" t="b">
        <x:v>1</x:v>
      </x:c>
      <x:c r="N1105" s="2" t="str">
        <x:v>modeled_epoch_volume_with_fixed2018_height_and_predominant_use</x:v>
      </x:c>
      <x:c r="O1105" s="2" t="str"/>
      <x:c r="P1105" s="2" t="str">
        <x:v>built-up volume</x:v>
      </x:c>
      <x:c r="Q1105" s="2" t="str">
        <x:v>m3</x:v>
      </x:c>
      <x:c r="R1105" s="17" t="n">
        <x:v>4816701556.478432</x:v>
      </x:c>
      <x:c r="S1105" s="17" t="n">
        <x:v>3747650433.53</x:v>
      </x:c>
      <x:c r="T1105" s="18" t="n">
        <x:v>0.332746756085627</x:v>
      </x:c>
      <x:c r="U1105" s="17" t="n">
        <x:v>1247018524.7000012</x:v>
      </x:c>
      <x:c r="V1105" s="2" t="str">
        <x:v>Area equivalent = model2020 * source volume / TEMPO2020 volume</x:v>
      </x:c>
      <x:c r="W1105" s="2" t="str">
        <x:v>qualified_paired_native_source_frame</x:v>
      </x:c>
      <x:c r="X1105" s="2" t="str">
        <x:v>https://human-settlement.emergency.copernicus.eu/ghs_buV2023.php</x:v>
      </x:c>
    </x:row>
    <x:row r="1106" ht="23" customHeight="1">
      <x:c r="A1106" s="2" t="str">
        <x:v>MCO</x:v>
      </x:c>
      <x:c r="B1106" s="2" t="str">
        <x:v>Monaco (Principality of)</x:v>
      </x:c>
      <x:c r="C1106" s="2" t="n">
        <x:v>2020</x:v>
      </x:c>
      <x:c r="D1106" s="2" t="str">
        <x:v>GHSL_VOLUME</x:v>
      </x:c>
      <x:c r="E1106" s="17" t="n">
        <x:v>1563267.7900000005</x:v>
      </x:c>
      <x:c r="F1106" s="17" t="n">
        <x:f>IF(AND(M1106,ISNUMBER(R1106)),IF(D1106="TEMPO_PROXY",R1106,IF(AND(ISNUMBER(S1106),S1106&gt;0,ISNUMBER(U1106)),U1106*R1106/S1106,"n.a.")),"n.a.")</x:f>
        <x:v>3781861.1404008595</x:v>
      </x:c>
      <x:c r="G1106" s="17" t="n">
        <x:f>IF(AND(ISNUMBER(E1106),ISNUMBER(F1106)),E1106-F1106,"n.a.")</x:f>
        <x:v>-2218593.350400859</x:v>
      </x:c>
      <x:c r="H1106" s="15" t="n">
        <x:f>IF(AND(ISNUMBER(E1106),ISNUMBER(F1106),F1106&gt;0),(E1106-F1106)/F1106,"n.a.")</x:f>
        <x:v>-0.5866406163621594</x:v>
      </x:c>
      <x:c r="I1106" s="19" t="n">
        <x:f>IF(ISNUMBER(H1106),ABS(H1106),"n.a.")</x:f>
        <x:v>0.5866406163621594</x:v>
      </x:c>
      <x:c r="J1106" s="2" t="str">
        <x:v>available</x:v>
      </x:c>
      <x:c r="K1106" s="2" t="n">
        <x:v>1</x:v>
      </x:c>
      <x:c r="L1106" s="13" t="b">
        <x:v>0</x:v>
      </x:c>
      <x:c r="M1106" s="13" t="b">
        <x:v>1</x:v>
      </x:c>
      <x:c r="N1106" s="2" t="str">
        <x:v>modeled_epoch_volume_with_fixed2018_height_and_predominant_use</x:v>
      </x:c>
      <x:c r="O1106" s="2" t="str"/>
      <x:c r="P1106" s="2" t="str">
        <x:v>built-up volume</x:v>
      </x:c>
      <x:c r="Q1106" s="2" t="str">
        <x:v>m3</x:v>
      </x:c>
      <x:c r="R1106" s="17" t="n">
        <x:v>13854693.341176467</x:v>
      </x:c>
      <x:c r="S1106" s="17" t="n">
        <x:v>5726967.5</x:v>
      </x:c>
      <x:c r="T1106" s="18" t="n">
        <x:v>0.27296606624710207</x:v>
      </x:c>
      <x:c r="U1106" s="17" t="n">
        <x:v>1563267.7900000005</x:v>
      </x:c>
      <x:c r="V1106" s="2" t="str">
        <x:v>Area equivalent = model2020 * source volume / TEMPO2020 volume</x:v>
      </x:c>
      <x:c r="W1106" s="2" t="str">
        <x:v>qualified_paired_native_source_frame</x:v>
      </x:c>
      <x:c r="X1106" s="2" t="str">
        <x:v>https://human-settlement.emergency.copernicus.eu/ghs_buV2023.php</x:v>
      </x:c>
    </x:row>
    <x:row r="1107" ht="23" customHeight="1">
      <x:c r="A1107" s="2" t="str">
        <x:v>MDA</x:v>
      </x:c>
      <x:c r="B1107" s="2" t="str">
        <x:v>Moldova (Republic of)</x:v>
      </x:c>
      <x:c r="C1107" s="2" t="n">
        <x:v>2020</x:v>
      </x:c>
      <x:c r="D1107" s="2" t="str">
        <x:v>GHSL_VOLUME</x:v>
      </x:c>
      <x:c r="E1107" s="17" t="n">
        <x:v>254566854.8299996</x:v>
      </x:c>
      <x:c r="F1107" s="17" t="n">
        <x:f>IF(AND(M1107,ISNUMBER(R1107)),IF(D1107="TEMPO_PROXY",R1107,IF(AND(ISNUMBER(S1107),S1107&gt;0,ISNUMBER(U1107)),U1107*R1107/S1107,"n.a.")),"n.a.")</x:f>
        <x:v>826781348.8942139</x:v>
      </x:c>
      <x:c r="G1107" s="17" t="n">
        <x:f>IF(AND(ISNUMBER(E1107),ISNUMBER(F1107)),E1107-F1107,"n.a.")</x:f>
        <x:v>-572214494.0642143</x:v>
      </x:c>
      <x:c r="H1107" s="15" t="n">
        <x:f>IF(AND(ISNUMBER(E1107),ISNUMBER(F1107),F1107&gt;0),(E1107-F1107)/F1107,"n.a.")</x:f>
        <x:v>-0.6920989386486859</x:v>
      </x:c>
      <x:c r="I1107" s="19" t="n">
        <x:f>IF(ISNUMBER(H1107),ABS(H1107),"n.a.")</x:f>
        <x:v>0.6920989386486859</x:v>
      </x:c>
      <x:c r="J1107" s="2" t="str">
        <x:v>available</x:v>
      </x:c>
      <x:c r="K1107" s="2" t="n">
        <x:v>1</x:v>
      </x:c>
      <x:c r="L1107" s="13" t="b">
        <x:v>0</x:v>
      </x:c>
      <x:c r="M1107" s="13" t="b">
        <x:v>1</x:v>
      </x:c>
      <x:c r="N1107" s="2" t="str">
        <x:v>modeled_epoch_volume_with_fixed2018_height_and_predominant_use</x:v>
      </x:c>
      <x:c r="O1107" s="2" t="str"/>
      <x:c r="P1107" s="2" t="str">
        <x:v>built-up volume</x:v>
      </x:c>
      <x:c r="Q1107" s="2" t="str">
        <x:v>m3</x:v>
      </x:c>
      <x:c r="R1107" s="17" t="n">
        <x:v>2158516672.9960785</x:v>
      </x:c>
      <x:c r="S1107" s="17" t="n">
        <x:v>664609574.56</x:v>
      </x:c>
      <x:c r="T1107" s="18" t="n">
        <x:v>0.38303218095907476</x:v>
      </x:c>
      <x:c r="U1107" s="17" t="n">
        <x:v>254566854.8299996</x:v>
      </x:c>
      <x:c r="V1107" s="2" t="str">
        <x:v>Area equivalent = model2020 * source volume / TEMPO2020 volume</x:v>
      </x:c>
      <x:c r="W1107" s="2" t="str">
        <x:v>qualified_paired_native_source_frame</x:v>
      </x:c>
      <x:c r="X1107" s="2" t="str">
        <x:v>https://human-settlement.emergency.copernicus.eu/ghs_buV2023.php</x:v>
      </x:c>
    </x:row>
    <x:row r="1108" ht="23" customHeight="1">
      <x:c r="A1108" s="2" t="str">
        <x:v>MDG</x:v>
      </x:c>
      <x:c r="B1108" s="2" t="str">
        <x:v>Madagascar (Republic of)</x:v>
      </x:c>
      <x:c r="C1108" s="2" t="n">
        <x:v>2020</x:v>
      </x:c>
      <x:c r="D1108" s="2" t="str">
        <x:v>GHSL_VOLUME</x:v>
      </x:c>
      <x:c r="E1108" s="17" t="n">
        <x:v>360823089.7999994</x:v>
      </x:c>
      <x:c r="F1108" s="17" t="n">
        <x:f>IF(AND(M1108,ISNUMBER(R1108)),IF(D1108="TEMPO_PROXY",R1108,IF(AND(ISNUMBER(S1108),S1108&gt;0,ISNUMBER(U1108)),U1108*R1108/S1108,"n.a.")),"n.a.")</x:f>
        <x:v>1390398384.7539523</x:v>
      </x:c>
      <x:c r="G1108" s="17" t="n">
        <x:f>IF(AND(ISNUMBER(E1108),ISNUMBER(F1108)),E1108-F1108,"n.a.")</x:f>
        <x:v>-1029575294.9539528</x:v>
      </x:c>
      <x:c r="H1108" s="15" t="n">
        <x:f>IF(AND(ISNUMBER(E1108),ISNUMBER(F1108),F1108&gt;0),(E1108-F1108)/F1108,"n.a.")</x:f>
        <x:v>-0.7404894210490244</x:v>
      </x:c>
      <x:c r="I1108" s="19" t="n">
        <x:f>IF(ISNUMBER(H1108),ABS(H1108),"n.a.")</x:f>
        <x:v>0.7404894210490244</x:v>
      </x:c>
      <x:c r="J1108" s="2" t="str">
        <x:v>available</x:v>
      </x:c>
      <x:c r="K1108" s="2" t="n">
        <x:v>1</x:v>
      </x:c>
      <x:c r="L1108" s="13" t="b">
        <x:v>0</x:v>
      </x:c>
      <x:c r="M1108" s="13" t="b">
        <x:v>1</x:v>
      </x:c>
      <x:c r="N1108" s="2" t="str">
        <x:v>modeled_epoch_volume_with_fixed2018_height_and_predominant_use</x:v>
      </x:c>
      <x:c r="O1108" s="2" t="str"/>
      <x:c r="P1108" s="2" t="str">
        <x:v>built-up volume</x:v>
      </x:c>
      <x:c r="Q1108" s="2" t="str">
        <x:v>m3</x:v>
      </x:c>
      <x:c r="R1108" s="17" t="n">
        <x:v>2828785083.3960786</x:v>
      </x:c>
      <x:c r="S1108" s="17" t="n">
        <x:v>734099654.72</x:v>
      </x:c>
      <x:c r="T1108" s="18" t="n">
        <x:v>0.4915178579366372</x:v>
      </x:c>
      <x:c r="U1108" s="17" t="n">
        <x:v>360823089.7999994</x:v>
      </x:c>
      <x:c r="V1108" s="2" t="str">
        <x:v>Area equivalent = model2020 * source volume / TEMPO2020 volume</x:v>
      </x:c>
      <x:c r="W1108" s="2" t="str">
        <x:v>qualified_paired_native_source_frame</x:v>
      </x:c>
      <x:c r="X1108" s="2" t="str">
        <x:v>https://human-settlement.emergency.copernicus.eu/ghs_buV2023.php</x:v>
      </x:c>
    </x:row>
    <x:row r="1109" ht="23" customHeight="1">
      <x:c r="A1109" s="2" t="str">
        <x:v>MDV</x:v>
      </x:c>
      <x:c r="B1109" s="2" t="str">
        <x:v>Maldives (Republic of)</x:v>
      </x:c>
      <x:c r="C1109" s="2" t="n">
        <x:v>2020</x:v>
      </x:c>
      <x:c r="D1109" s="2" t="str">
        <x:v>GHSL_VOLUME</x:v>
      </x:c>
      <x:c r="E1109" s="17" t="n">
        <x:v>2206666.830000001</x:v>
      </x:c>
      <x:c r="F1109" s="17" t="n">
        <x:f>IF(AND(M1109,ISNUMBER(R1109)),IF(D1109="TEMPO_PROXY",R1109,IF(AND(ISNUMBER(S1109),S1109&gt;0,ISNUMBER(U1109)),U1109*R1109/S1109,"n.a.")),"n.a.")</x:f>
        <x:v>2663109.189589713</x:v>
      </x:c>
      <x:c r="G1109" s="17" t="n">
        <x:f>IF(AND(ISNUMBER(E1109),ISNUMBER(F1109)),E1109-F1109,"n.a.")</x:f>
        <x:v>-456442.35958971176</x:v>
      </x:c>
      <x:c r="H1109" s="15" t="n">
        <x:f>IF(AND(ISNUMBER(E1109),ISNUMBER(F1109),F1109&gt;0),(E1109-F1109)/F1109,"n.a.")</x:f>
        <x:v>-0.1713945343938499</x:v>
      </x:c>
      <x:c r="I1109" s="19" t="n">
        <x:f>IF(ISNUMBER(H1109),ABS(H1109),"n.a.")</x:f>
        <x:v>0.1713945343938499</x:v>
      </x:c>
      <x:c r="J1109" s="2" t="str">
        <x:v>available</x:v>
      </x:c>
      <x:c r="K1109" s="2" t="n">
        <x:v>1</x:v>
      </x:c>
      <x:c r="L1109" s="13" t="b">
        <x:v>0</x:v>
      </x:c>
      <x:c r="M1109" s="13" t="b">
        <x:v>1</x:v>
      </x:c>
      <x:c r="N1109" s="2" t="str">
        <x:v>modeled_epoch_volume_with_fixed2018_height_and_predominant_use</x:v>
      </x:c>
      <x:c r="O1109" s="2" t="str"/>
      <x:c r="P1109" s="2" t="str">
        <x:v>built-up volume</x:v>
      </x:c>
      <x:c r="Q1109" s="2" t="str">
        <x:v>m3</x:v>
      </x:c>
      <x:c r="R1109" s="17" t="n">
        <x:v>6810866.768627446</x:v>
      </x:c>
      <x:c r="S1109" s="17" t="n">
        <x:v>5643521.43</x:v>
      </x:c>
      <x:c r="T1109" s="18" t="n">
        <x:v>0.3910088510109549</x:v>
      </x:c>
      <x:c r="U1109" s="17" t="n">
        <x:v>2206666.830000001</x:v>
      </x:c>
      <x:c r="V1109" s="2" t="str">
        <x:v>Area equivalent = model2020 * source volume / TEMPO2020 volume</x:v>
      </x:c>
      <x:c r="W1109" s="2" t="str">
        <x:v>qualified_paired_native_source_frame</x:v>
      </x:c>
      <x:c r="X1109" s="2" t="str">
        <x:v>https://human-settlement.emergency.copernicus.eu/ghs_buV2023.php</x:v>
      </x:c>
    </x:row>
    <x:row r="1110" ht="23" customHeight="1">
      <x:c r="A1110" s="2" t="str">
        <x:v>MEX</x:v>
      </x:c>
      <x:c r="B1110" s="2" t="str">
        <x:v>Mexico (United Mexican States)</x:v>
      </x:c>
      <x:c r="C1110" s="2" t="n">
        <x:v>2020</x:v>
      </x:c>
      <x:c r="D1110" s="2" t="str">
        <x:v>GHSL_VOLUME</x:v>
      </x:c>
      <x:c r="E1110" s="17" t="n">
        <x:v>6345872319.039995</x:v>
      </x:c>
      <x:c r="F1110" s="17" t="n">
        <x:f>IF(AND(M1110,ISNUMBER(R1110)),IF(D1110="TEMPO_PROXY",R1110,IF(AND(ISNUMBER(S1110),S1110&gt;0,ISNUMBER(U1110)),U1110*R1110/S1110,"n.a.")),"n.a.")</x:f>
        <x:v>19756873044.328876</x:v>
      </x:c>
      <x:c r="G1110" s="17" t="n">
        <x:f>IF(AND(ISNUMBER(E1110),ISNUMBER(F1110)),E1110-F1110,"n.a.")</x:f>
        <x:v>-13411000725.288881</x:v>
      </x:c>
      <x:c r="H1110" s="15" t="n">
        <x:f>IF(AND(ISNUMBER(E1110),ISNUMBER(F1110),F1110&gt;0),(E1110-F1110)/F1110,"n.a.")</x:f>
        <x:v>-0.6788017868616335</x:v>
      </x:c>
      <x:c r="I1110" s="19" t="n">
        <x:f>IF(ISNUMBER(H1110),ABS(H1110),"n.a.")</x:f>
        <x:v>0.6788017868616335</x:v>
      </x:c>
      <x:c r="J1110" s="2" t="str">
        <x:v>available</x:v>
      </x:c>
      <x:c r="K1110" s="2" t="n">
        <x:v>1</x:v>
      </x:c>
      <x:c r="L1110" s="13" t="b">
        <x:v>0</x:v>
      </x:c>
      <x:c r="M1110" s="13" t="b">
        <x:v>1</x:v>
      </x:c>
      <x:c r="N1110" s="2" t="str">
        <x:v>modeled_epoch_volume_with_fixed2018_height_and_predominant_use</x:v>
      </x:c>
      <x:c r="O1110" s="2" t="str"/>
      <x:c r="P1110" s="2" t="str">
        <x:v>built-up volume</x:v>
      </x:c>
      <x:c r="Q1110" s="2" t="str">
        <x:v>m3</x:v>
      </x:c>
      <x:c r="R1110" s="17" t="n">
        <x:v>56099921449.399994</x:v>
      </x:c>
      <x:c r="S1110" s="17" t="n">
        <x:v>18019194526.75</x:v>
      </x:c>
      <x:c r="T1110" s="18" t="n">
        <x:v>0.3521729181412282</x:v>
      </x:c>
      <x:c r="U1110" s="17" t="n">
        <x:v>6345872319.039995</x:v>
      </x:c>
      <x:c r="V1110" s="2" t="str">
        <x:v>Area equivalent = model2020 * source volume / TEMPO2020 volume</x:v>
      </x:c>
      <x:c r="W1110" s="2" t="str">
        <x:v>qualified_paired_native_source_frame</x:v>
      </x:c>
      <x:c r="X1110" s="2" t="str">
        <x:v>https://human-settlement.emergency.copernicus.eu/ghs_buV2023.php</x:v>
      </x:c>
    </x:row>
    <x:row r="1111" ht="23" customHeight="1">
      <x:c r="A1111" s="2" t="str">
        <x:v>MHL</x:v>
      </x:c>
      <x:c r="B1111" s="2" t="str">
        <x:v>Marshall Islands (Republic of the)</x:v>
      </x:c>
      <x:c r="C1111" s="2" t="n">
        <x:v>2020</x:v>
      </x:c>
      <x:c r="D1111" s="2" t="str">
        <x:v>GHSL_VOLUME</x:v>
      </x:c>
      <x:c r="E1111" s="17" t="n">
        <x:v>198896.74</x:v>
      </x:c>
      <x:c r="F1111" s="17" t="n">
        <x:f>IF(AND(M1111,ISNUMBER(R1111)),IF(D1111="TEMPO_PROXY",R1111,IF(AND(ISNUMBER(S1111),S1111&gt;0,ISNUMBER(U1111)),U1111*R1111/S1111,"n.a.")),"n.a.")</x:f>
        <x:v>567849.8180240621</x:v>
      </x:c>
      <x:c r="G1111" s="17" t="n">
        <x:f>IF(AND(ISNUMBER(E1111),ISNUMBER(F1111)),E1111-F1111,"n.a.")</x:f>
        <x:v>-368953.0780240621</x:v>
      </x:c>
      <x:c r="H1111" s="15" t="n">
        <x:f>IF(AND(ISNUMBER(E1111),ISNUMBER(F1111),F1111&gt;0),(E1111-F1111)/F1111,"n.a.")</x:f>
        <x:v>-0.6497370718685835</x:v>
      </x:c>
      <x:c r="I1111" s="19" t="n">
        <x:f>IF(ISNUMBER(H1111),ABS(H1111),"n.a.")</x:f>
        <x:v>0.6497370718685835</x:v>
      </x:c>
      <x:c r="J1111" s="2" t="str">
        <x:v>available</x:v>
      </x:c>
      <x:c r="K1111" s="2" t="n">
        <x:v>1</x:v>
      </x:c>
      <x:c r="L1111" s="13" t="b">
        <x:v>0</x:v>
      </x:c>
      <x:c r="M1111" s="13" t="b">
        <x:v>1</x:v>
      </x:c>
      <x:c r="N1111" s="2" t="str">
        <x:v>modeled_epoch_volume_with_fixed2018_height_and_predominant_use</x:v>
      </x:c>
      <x:c r="O1111" s="2" t="str"/>
      <x:c r="P1111" s="2" t="str">
        <x:v>built-up volume</x:v>
      </x:c>
      <x:c r="Q1111" s="2" t="str">
        <x:v>m3</x:v>
      </x:c>
      <x:c r="R1111" s="17" t="n">
        <x:v>1494834.788235294</x:v>
      </x:c>
      <x:c r="S1111" s="17" t="n">
        <x:v>523585.21</x:v>
      </x:c>
      <x:c r="T1111" s="18" t="n">
        <x:v>0.3798746339683659</x:v>
      </x:c>
      <x:c r="U1111" s="17" t="n">
        <x:v>198896.74</x:v>
      </x:c>
      <x:c r="V1111" s="2" t="str">
        <x:v>Area equivalent = model2020 * source volume / TEMPO2020 volume</x:v>
      </x:c>
      <x:c r="W1111" s="2" t="str">
        <x:v>qualified_paired_native_source_frame</x:v>
      </x:c>
      <x:c r="X1111" s="2" t="str">
        <x:v>https://human-settlement.emergency.copernicus.eu/ghs_buV2023.php</x:v>
      </x:c>
    </x:row>
    <x:row r="1112" ht="23" customHeight="1">
      <x:c r="A1112" s="2" t="str">
        <x:v>MKD</x:v>
      </x:c>
      <x:c r="B1112" s="2" t="str">
        <x:v>North Macedonia (Republic of)</x:v>
      </x:c>
      <x:c r="C1112" s="2" t="n">
        <x:v>2020</x:v>
      </x:c>
      <x:c r="D1112" s="2" t="str">
        <x:v>GHSL_VOLUME</x:v>
      </x:c>
      <x:c r="E1112" s="17" t="n">
        <x:v>122189801.58999982</x:v>
      </x:c>
      <x:c r="F1112" s="17" t="n">
        <x:f>IF(AND(M1112,ISNUMBER(R1112)),IF(D1112="TEMPO_PROXY",R1112,IF(AND(ISNUMBER(S1112),S1112&gt;0,ISNUMBER(U1112)),U1112*R1112/S1112,"n.a.")),"n.a.")</x:f>
        <x:v>255831934.30075487</x:v>
      </x:c>
      <x:c r="G1112" s="17" t="n">
        <x:f>IF(AND(ISNUMBER(E1112),ISNUMBER(F1112)),E1112-F1112,"n.a.")</x:f>
        <x:v>-133642132.71075505</x:v>
      </x:c>
      <x:c r="H1112" s="15" t="n">
        <x:f>IF(AND(ISNUMBER(E1112),ISNUMBER(F1112),F1112&gt;0),(E1112-F1112)/F1112,"n.a.")</x:f>
        <x:v>-0.5223825284987524</x:v>
      </x:c>
      <x:c r="I1112" s="19" t="n">
        <x:f>IF(ISNUMBER(H1112),ABS(H1112),"n.a.")</x:f>
        <x:v>0.5223825284987524</x:v>
      </x:c>
      <x:c r="J1112" s="2" t="str">
        <x:v>available</x:v>
      </x:c>
      <x:c r="K1112" s="2" t="n">
        <x:v>1</x:v>
      </x:c>
      <x:c r="L1112" s="13" t="b">
        <x:v>0</x:v>
      </x:c>
      <x:c r="M1112" s="13" t="b">
        <x:v>1</x:v>
      </x:c>
      <x:c r="N1112" s="2" t="str">
        <x:v>modeled_epoch_volume_with_fixed2018_height_and_predominant_use</x:v>
      </x:c>
      <x:c r="O1112" s="2" t="str"/>
      <x:c r="P1112" s="2" t="str">
        <x:v>built-up volume</x:v>
      </x:c>
      <x:c r="Q1112" s="2" t="str">
        <x:v>m3</x:v>
      </x:c>
      <x:c r="R1112" s="17" t="n">
        <x:v>786945288.0117646</x:v>
      </x:c>
      <x:c r="S1112" s="17" t="n">
        <x:v>375858818.67</x:v>
      </x:c>
      <x:c r="T1112" s="18" t="n">
        <x:v>0.32509494395362626</x:v>
      </x:c>
      <x:c r="U1112" s="17" t="n">
        <x:v>122189801.58999982</x:v>
      </x:c>
      <x:c r="V1112" s="2" t="str">
        <x:v>Area equivalent = model2020 * source volume / TEMPO2020 volume</x:v>
      </x:c>
      <x:c r="W1112" s="2" t="str">
        <x:v>qualified_paired_native_source_frame</x:v>
      </x:c>
      <x:c r="X1112" s="2" t="str">
        <x:v>https://human-settlement.emergency.copernicus.eu/ghs_buV2023.php</x:v>
      </x:c>
    </x:row>
    <x:row r="1113" ht="23" customHeight="1">
      <x:c r="A1113" s="2" t="str">
        <x:v>MLI</x:v>
      </x:c>
      <x:c r="B1113" s="2" t="str">
        <x:v>Mali (Republic of)</x:v>
      </x:c>
      <x:c r="C1113" s="2" t="n">
        <x:v>2020</x:v>
      </x:c>
      <x:c r="D1113" s="2" t="str">
        <x:v>GHSL_VOLUME</x:v>
      </x:c>
      <x:c r="E1113" s="17" t="n">
        <x:v>323707340.7500005</x:v>
      </x:c>
      <x:c r="F1113" s="17" t="n">
        <x:f>IF(AND(M1113,ISNUMBER(R1113)),IF(D1113="TEMPO_PROXY",R1113,IF(AND(ISNUMBER(S1113),S1113&gt;0,ISNUMBER(U1113)),U1113*R1113/S1113,"n.a.")),"n.a.")</x:f>
        <x:v>1837286225.711332</x:v>
      </x:c>
      <x:c r="G1113" s="17" t="n">
        <x:f>IF(AND(ISNUMBER(E1113),ISNUMBER(F1113)),E1113-F1113,"n.a.")</x:f>
        <x:v>-1513578884.9613316</x:v>
      </x:c>
      <x:c r="H1113" s="15" t="n">
        <x:f>IF(AND(ISNUMBER(E1113),ISNUMBER(F1113),F1113&gt;0),(E1113-F1113)/F1113,"n.a.")</x:f>
        <x:v>-0.82381224208837</x:v>
      </x:c>
      <x:c r="I1113" s="19" t="n">
        <x:f>IF(ISNUMBER(H1113),ABS(H1113),"n.a.")</x:f>
        <x:v>0.82381224208837</x:v>
      </x:c>
      <x:c r="J1113" s="2" t="str">
        <x:v>available</x:v>
      </x:c>
      <x:c r="K1113" s="2" t="n">
        <x:v>1</x:v>
      </x:c>
      <x:c r="L1113" s="13" t="b">
        <x:v>0</x:v>
      </x:c>
      <x:c r="M1113" s="13" t="b">
        <x:v>1</x:v>
      </x:c>
      <x:c r="N1113" s="2" t="str">
        <x:v>modeled_epoch_volume_with_fixed2018_height_and_predominant_use</x:v>
      </x:c>
      <x:c r="O1113" s="2" t="str"/>
      <x:c r="P1113" s="2" t="str">
        <x:v>built-up volume</x:v>
      </x:c>
      <x:c r="Q1113" s="2" t="str">
        <x:v>m3</x:v>
      </x:c>
      <x:c r="R1113" s="17" t="n">
        <x:v>4180136921.654903</x:v>
      </x:c>
      <x:c r="S1113" s="17" t="n">
        <x:v>736488951.99</x:v>
      </x:c>
      <x:c r="T1113" s="18" t="n">
        <x:v>0.43952776192411336</x:v>
      </x:c>
      <x:c r="U1113" s="17" t="n">
        <x:v>323707340.7500005</x:v>
      </x:c>
      <x:c r="V1113" s="2" t="str">
        <x:v>Area equivalent = model2020 * source volume / TEMPO2020 volume</x:v>
      </x:c>
      <x:c r="W1113" s="2" t="str">
        <x:v>qualified_paired_native_source_frame</x:v>
      </x:c>
      <x:c r="X1113" s="2" t="str">
        <x:v>https://human-settlement.emergency.copernicus.eu/ghs_buV2023.php</x:v>
      </x:c>
    </x:row>
    <x:row r="1114" ht="23" customHeight="1">
      <x:c r="A1114" s="2" t="str">
        <x:v>MLT</x:v>
      </x:c>
      <x:c r="B1114" s="2" t="str">
        <x:v>Malta (Republic of)</x:v>
      </x:c>
      <x:c r="C1114" s="2" t="n">
        <x:v>2020</x:v>
      </x:c>
      <x:c r="D1114" s="2" t="str">
        <x:v>GHSL_VOLUME</x:v>
      </x:c>
      <x:c r="E1114" s="17" t="n">
        <x:v>35087387.829999976</x:v>
      </x:c>
      <x:c r="F1114" s="17" t="n">
        <x:f>IF(AND(M1114,ISNUMBER(R1114)),IF(D1114="TEMPO_PROXY",R1114,IF(AND(ISNUMBER(S1114),S1114&gt;0,ISNUMBER(U1114)),U1114*R1114/S1114,"n.a.")),"n.a.")</x:f>
        <x:v>70003757.84766608</x:v>
      </x:c>
      <x:c r="G1114" s="17" t="n">
        <x:f>IF(AND(ISNUMBER(E1114),ISNUMBER(F1114)),E1114-F1114,"n.a.")</x:f>
        <x:v>-34916370.01766611</x:v>
      </x:c>
      <x:c r="H1114" s="15" t="n">
        <x:f>IF(AND(ISNUMBER(E1114),ISNUMBER(F1114),F1114&gt;0),(E1114-F1114)/F1114,"n.a.")</x:f>
        <x:v>-0.49877850977153243</x:v>
      </x:c>
      <x:c r="I1114" s="19" t="n">
        <x:f>IF(ISNUMBER(H1114),ABS(H1114),"n.a.")</x:f>
        <x:v>0.49877850977153243</x:v>
      </x:c>
      <x:c r="J1114" s="2" t="str">
        <x:v>available</x:v>
      </x:c>
      <x:c r="K1114" s="2" t="n">
        <x:v>1</x:v>
      </x:c>
      <x:c r="L1114" s="13" t="b">
        <x:v>0</x:v>
      </x:c>
      <x:c r="M1114" s="13" t="b">
        <x:v>1</x:v>
      </x:c>
      <x:c r="N1114" s="2" t="str">
        <x:v>modeled_epoch_volume_with_fixed2018_height_and_predominant_use</x:v>
      </x:c>
      <x:c r="O1114" s="2" t="str"/>
      <x:c r="P1114" s="2" t="str">
        <x:v>built-up volume</x:v>
      </x:c>
      <x:c r="Q1114" s="2" t="str">
        <x:v>m3</x:v>
      </x:c>
      <x:c r="R1114" s="17" t="n">
        <x:v>266446635.57647055</x:v>
      </x:c>
      <x:c r="S1114" s="17" t="n">
        <x:v>133548779.75</x:v>
      </x:c>
      <x:c r="T1114" s="18" t="n">
        <x:v>0.2627308755323912</x:v>
      </x:c>
      <x:c r="U1114" s="17" t="n">
        <x:v>35087387.829999976</x:v>
      </x:c>
      <x:c r="V1114" s="2" t="str">
        <x:v>Area equivalent = model2020 * source volume / TEMPO2020 volume</x:v>
      </x:c>
      <x:c r="W1114" s="2" t="str">
        <x:v>qualified_paired_native_source_frame</x:v>
      </x:c>
      <x:c r="X1114" s="2" t="str">
        <x:v>https://human-settlement.emergency.copernicus.eu/ghs_buV2023.php</x:v>
      </x:c>
    </x:row>
    <x:row r="1115" ht="23" customHeight="1">
      <x:c r="A1115" s="2" t="str">
        <x:v>MMR</x:v>
      </x:c>
      <x:c r="B1115" s="2" t="str">
        <x:v>Myanmar (Republic of the Union of)</x:v>
      </x:c>
      <x:c r="C1115" s="2" t="n">
        <x:v>2020</x:v>
      </x:c>
      <x:c r="D1115" s="2" t="str">
        <x:v>GHSL_VOLUME</x:v>
      </x:c>
      <x:c r="E1115" s="17" t="n">
        <x:v>1377164281.6799977</x:v>
      </x:c>
      <x:c r="F1115" s="17" t="n">
        <x:f>IF(AND(M1115,ISNUMBER(R1115)),IF(D1115="TEMPO_PROXY",R1115,IF(AND(ISNUMBER(S1115),S1115&gt;0,ISNUMBER(U1115)),U1115*R1115/S1115,"n.a.")),"n.a.")</x:f>
        <x:v>2090664774.7373192</x:v>
      </x:c>
      <x:c r="G1115" s="17" t="n">
        <x:f>IF(AND(ISNUMBER(E1115),ISNUMBER(F1115)),E1115-F1115,"n.a.")</x:f>
        <x:v>-713500493.0573215</x:v>
      </x:c>
      <x:c r="H1115" s="15" t="n">
        <x:f>IF(AND(ISNUMBER(E1115),ISNUMBER(F1115),F1115&gt;0),(E1115-F1115)/F1115,"n.a.")</x:f>
        <x:v>-0.3412792436544348</x:v>
      </x:c>
      <x:c r="I1115" s="19" t="n">
        <x:f>IF(ISNUMBER(H1115),ABS(H1115),"n.a.")</x:f>
        <x:v>0.3412792436544348</x:v>
      </x:c>
      <x:c r="J1115" s="2" t="str">
        <x:v>available</x:v>
      </x:c>
      <x:c r="K1115" s="2" t="n">
        <x:v>1</x:v>
      </x:c>
      <x:c r="L1115" s="13" t="b">
        <x:v>0</x:v>
      </x:c>
      <x:c r="M1115" s="13" t="b">
        <x:v>1</x:v>
      </x:c>
      <x:c r="N1115" s="2" t="str">
        <x:v>modeled_epoch_volume_with_fixed2018_height_and_predominant_use</x:v>
      </x:c>
      <x:c r="O1115" s="2" t="str"/>
      <x:c r="P1115" s="2" t="str">
        <x:v>built-up volume</x:v>
      </x:c>
      <x:c r="Q1115" s="2" t="str">
        <x:v>m3</x:v>
      </x:c>
      <x:c r="R1115" s="17" t="n">
        <x:v>5115336260.396078</x:v>
      </x:c>
      <x:c r="S1115" s="17" t="n">
        <x:v>3369578170.41</x:v>
      </x:c>
      <x:c r="T1115" s="18" t="n">
        <x:v>0.40870524796652175</x:v>
      </x:c>
      <x:c r="U1115" s="17" t="n">
        <x:v>1377164281.6799977</x:v>
      </x:c>
      <x:c r="V1115" s="2" t="str">
        <x:v>Area equivalent = model2020 * source volume / TEMPO2020 volume</x:v>
      </x:c>
      <x:c r="W1115" s="2" t="str">
        <x:v>qualified_paired_native_source_frame</x:v>
      </x:c>
      <x:c r="X1115" s="2" t="str">
        <x:v>https://human-settlement.emergency.copernicus.eu/ghs_buV2023.php</x:v>
      </x:c>
    </x:row>
    <x:row r="1116" ht="23" customHeight="1">
      <x:c r="A1116" s="2" t="str">
        <x:v>MNE</x:v>
      </x:c>
      <x:c r="B1116" s="2" t="str">
        <x:v>Montenegro</x:v>
      </x:c>
      <x:c r="C1116" s="2" t="n">
        <x:v>2020</x:v>
      </x:c>
      <x:c r="D1116" s="2" t="str">
        <x:v>GHSL_VOLUME</x:v>
      </x:c>
      <x:c r="E1116" s="17" t="n">
        <x:v>39447648.85999995</x:v>
      </x:c>
      <x:c r="F1116" s="17" t="n">
        <x:f>IF(AND(M1116,ISNUMBER(R1116)),IF(D1116="TEMPO_PROXY",R1116,IF(AND(ISNUMBER(S1116),S1116&gt;0,ISNUMBER(U1116)),U1116*R1116/S1116,"n.a.")),"n.a.")</x:f>
        <x:v>77484774.7655314</x:v>
      </x:c>
      <x:c r="G1116" s="17" t="n">
        <x:f>IF(AND(ISNUMBER(E1116),ISNUMBER(F1116)),E1116-F1116,"n.a.")</x:f>
        <x:v>-38037125.90553146</x:v>
      </x:c>
      <x:c r="H1116" s="15" t="n">
        <x:f>IF(AND(ISNUMBER(E1116),ISNUMBER(F1116),F1116&gt;0),(E1116-F1116)/F1116,"n.a.")</x:f>
        <x:v>-0.49089806378906875</x:v>
      </x:c>
      <x:c r="I1116" s="19" t="n">
        <x:f>IF(ISNUMBER(H1116),ABS(H1116),"n.a.")</x:f>
        <x:v>0.49089806378906875</x:v>
      </x:c>
      <x:c r="J1116" s="2" t="str">
        <x:v>available</x:v>
      </x:c>
      <x:c r="K1116" s="2" t="n">
        <x:v>1</x:v>
      </x:c>
      <x:c r="L1116" s="13" t="b">
        <x:v>0</x:v>
      </x:c>
      <x:c r="M1116" s="13" t="b">
        <x:v>1</x:v>
      </x:c>
      <x:c r="N1116" s="2" t="str">
        <x:v>modeled_epoch_volume_with_fixed2018_height_and_predominant_use</x:v>
      </x:c>
      <x:c r="O1116" s="2" t="str"/>
      <x:c r="P1116" s="2" t="str">
        <x:v>built-up volume</x:v>
      </x:c>
      <x:c r="Q1116" s="2" t="str">
        <x:v>m3</x:v>
      </x:c>
      <x:c r="R1116" s="17" t="n">
        <x:v>201731258.0745098</x:v>
      </x:c>
      <x:c r="S1116" s="17" t="n">
        <x:v>102701774.08</x:v>
      </x:c>
      <x:c r="T1116" s="18" t="n">
        <x:v>0.38409900134024977</x:v>
      </x:c>
      <x:c r="U1116" s="17" t="n">
        <x:v>39447648.85999995</x:v>
      </x:c>
      <x:c r="V1116" s="2" t="str">
        <x:v>Area equivalent = model2020 * source volume / TEMPO2020 volume</x:v>
      </x:c>
      <x:c r="W1116" s="2" t="str">
        <x:v>qualified_paired_native_source_frame</x:v>
      </x:c>
      <x:c r="X1116" s="2" t="str">
        <x:v>https://human-settlement.emergency.copernicus.eu/ghs_buV2023.php</x:v>
      </x:c>
    </x:row>
    <x:row r="1117" ht="23" customHeight="1">
      <x:c r="A1117" s="2" t="str">
        <x:v>MNG</x:v>
      </x:c>
      <x:c r="B1117" s="2" t="str">
        <x:v>Mongolia</x:v>
      </x:c>
      <x:c r="C1117" s="2" t="n">
        <x:v>2020</x:v>
      </x:c>
      <x:c r="D1117" s="2" t="str">
        <x:v>GHSL_VOLUME</x:v>
      </x:c>
      <x:c r="E1117" s="17" t="n">
        <x:v>83342838.68000013</x:v>
      </x:c>
      <x:c r="F1117" s="17" t="n">
        <x:f>IF(AND(M1117,ISNUMBER(R1117)),IF(D1117="TEMPO_PROXY",R1117,IF(AND(ISNUMBER(S1117),S1117&gt;0,ISNUMBER(U1117)),U1117*R1117/S1117,"n.a.")),"n.a.")</x:f>
        <x:v>311874689.0386314</x:v>
      </x:c>
      <x:c r="G1117" s="17" t="n">
        <x:f>IF(AND(ISNUMBER(E1117),ISNUMBER(F1117)),E1117-F1117,"n.a.")</x:f>
        <x:v>-228531850.35863125</x:v>
      </x:c>
      <x:c r="H1117" s="15" t="n">
        <x:f>IF(AND(ISNUMBER(E1117),ISNUMBER(F1117),F1117&gt;0),(E1117-F1117)/F1117,"n.a.")</x:f>
        <x:v>-0.7327681866812968</x:v>
      </x:c>
      <x:c r="I1117" s="19" t="n">
        <x:f>IF(ISNUMBER(H1117),ABS(H1117),"n.a.")</x:f>
        <x:v>0.7327681866812968</x:v>
      </x:c>
      <x:c r="J1117" s="2" t="str">
        <x:v>available</x:v>
      </x:c>
      <x:c r="K1117" s="2" t="n">
        <x:v>1</x:v>
      </x:c>
      <x:c r="L1117" s="13" t="b">
        <x:v>0</x:v>
      </x:c>
      <x:c r="M1117" s="13" t="b">
        <x:v>1</x:v>
      </x:c>
      <x:c r="N1117" s="2" t="str">
        <x:v>modeled_epoch_volume_with_fixed2018_height_and_predominant_use</x:v>
      </x:c>
      <x:c r="O1117" s="2" t="str"/>
      <x:c r="P1117" s="2" t="str">
        <x:v>built-up volume</x:v>
      </x:c>
      <x:c r="Q1117" s="2" t="str">
        <x:v>m3</x:v>
      </x:c>
      <x:c r="R1117" s="17" t="n">
        <x:v>968244966.7450981</x:v>
      </x:c>
      <x:c r="S1117" s="17" t="n">
        <x:v>258745858.2</x:v>
      </x:c>
      <x:c r="T1117" s="18" t="n">
        <x:v>0.3221030831557486</x:v>
      </x:c>
      <x:c r="U1117" s="17" t="n">
        <x:v>83342838.68000013</x:v>
      </x:c>
      <x:c r="V1117" s="2" t="str">
        <x:v>Area equivalent = model2020 * source volume / TEMPO2020 volume</x:v>
      </x:c>
      <x:c r="W1117" s="2" t="str">
        <x:v>qualified_paired_native_source_frame</x:v>
      </x:c>
      <x:c r="X1117" s="2" t="str">
        <x:v>https://human-settlement.emergency.copernicus.eu/ghs_buV2023.php</x:v>
      </x:c>
    </x:row>
    <x:row r="1118" ht="23" customHeight="1">
      <x:c r="A1118" s="2" t="str">
        <x:v>MOZ</x:v>
      </x:c>
      <x:c r="B1118" s="2" t="str">
        <x:v>Mozambique (Republic of)</x:v>
      </x:c>
      <x:c r="C1118" s="2" t="n">
        <x:v>2020</x:v>
      </x:c>
      <x:c r="D1118" s="2" t="str">
        <x:v>GHSL_VOLUME</x:v>
      </x:c>
      <x:c r="E1118" s="17" t="n">
        <x:v>540811235.5300008</x:v>
      </x:c>
      <x:c r="F1118" s="17" t="n">
        <x:f>IF(AND(M1118,ISNUMBER(R1118)),IF(D1118="TEMPO_PROXY",R1118,IF(AND(ISNUMBER(S1118),S1118&gt;0,ISNUMBER(U1118)),U1118*R1118/S1118,"n.a.")),"n.a.")</x:f>
        <x:v>3555845583.690173</x:v>
      </x:c>
      <x:c r="G1118" s="17" t="n">
        <x:f>IF(AND(ISNUMBER(E1118),ISNUMBER(F1118)),E1118-F1118,"n.a.")</x:f>
        <x:v>-3015034348.1601725</x:v>
      </x:c>
      <x:c r="H1118" s="15" t="n">
        <x:f>IF(AND(ISNUMBER(E1118),ISNUMBER(F1118),F1118&gt;0),(E1118-F1118)/F1118,"n.a.")</x:f>
        <x:v>-0.8479092461127743</x:v>
      </x:c>
      <x:c r="I1118" s="19" t="n">
        <x:f>IF(ISNUMBER(H1118),ABS(H1118),"n.a.")</x:f>
        <x:v>0.8479092461127743</x:v>
      </x:c>
      <x:c r="J1118" s="2" t="str">
        <x:v>available</x:v>
      </x:c>
      <x:c r="K1118" s="2" t="n">
        <x:v>1</x:v>
      </x:c>
      <x:c r="L1118" s="13" t="b">
        <x:v>0</x:v>
      </x:c>
      <x:c r="M1118" s="13" t="b">
        <x:v>1</x:v>
      </x:c>
      <x:c r="N1118" s="2" t="str">
        <x:v>modeled_epoch_volume_with_fixed2018_height_and_predominant_use</x:v>
      </x:c>
      <x:c r="O1118" s="2" t="str"/>
      <x:c r="P1118" s="2" t="str">
        <x:v>built-up volume</x:v>
      </x:c>
      <x:c r="Q1118" s="2" t="str">
        <x:v>m3</x:v>
      </x:c>
      <x:c r="R1118" s="17" t="n">
        <x:v>7192469617.32549</x:v>
      </x:c>
      <x:c r="S1118" s="17" t="n">
        <x:v>1093908126.41</x:v>
      </x:c>
      <x:c r="T1118" s="18" t="n">
        <x:v>0.4943845122577535</x:v>
      </x:c>
      <x:c r="U1118" s="17" t="n">
        <x:v>540811235.5300008</x:v>
      </x:c>
      <x:c r="V1118" s="2" t="str">
        <x:v>Area equivalent = model2020 * source volume / TEMPO2020 volume</x:v>
      </x:c>
      <x:c r="W1118" s="2" t="str">
        <x:v>qualified_paired_native_source_frame</x:v>
      </x:c>
      <x:c r="X1118" s="2" t="str">
        <x:v>https://human-settlement.emergency.copernicus.eu/ghs_buV2023.php</x:v>
      </x:c>
    </x:row>
    <x:row r="1119" ht="23" customHeight="1">
      <x:c r="A1119" s="2" t="str">
        <x:v>MRT</x:v>
      </x:c>
      <x:c r="B1119" s="2" t="str">
        <x:v>Mauritania (Islamic Republic of)</x:v>
      </x:c>
      <x:c r="C1119" s="2" t="n">
        <x:v>2020</x:v>
      </x:c>
      <x:c r="D1119" s="2" t="str">
        <x:v>GHSL_VOLUME</x:v>
      </x:c>
      <x:c r="E1119" s="17" t="n">
        <x:v>97384454.07000008</x:v>
      </x:c>
      <x:c r="F1119" s="17" t="n">
        <x:f>IF(AND(M1119,ISNUMBER(R1119)),IF(D1119="TEMPO_PROXY",R1119,IF(AND(ISNUMBER(S1119),S1119&gt;0,ISNUMBER(U1119)),U1119*R1119/S1119,"n.a.")),"n.a.")</x:f>
        <x:v>424025279.3207164</x:v>
      </x:c>
      <x:c r="G1119" s="17" t="n">
        <x:f>IF(AND(ISNUMBER(E1119),ISNUMBER(F1119)),E1119-F1119,"n.a.")</x:f>
        <x:v>-326640825.2507163</x:v>
      </x:c>
      <x:c r="H1119" s="15" t="n">
        <x:f>IF(AND(ISNUMBER(E1119),ISNUMBER(F1119),F1119&gt;0),(E1119-F1119)/F1119,"n.a.")</x:f>
        <x:v>-0.7703333767599686</x:v>
      </x:c>
      <x:c r="I1119" s="19" t="n">
        <x:f>IF(ISNUMBER(H1119),ABS(H1119),"n.a.")</x:f>
        <x:v>0.7703333767599686</x:v>
      </x:c>
      <x:c r="J1119" s="2" t="str">
        <x:v>available</x:v>
      </x:c>
      <x:c r="K1119" s="2" t="n">
        <x:v>1</x:v>
      </x:c>
      <x:c r="L1119" s="13" t="b">
        <x:v>0</x:v>
      </x:c>
      <x:c r="M1119" s="13" t="b">
        <x:v>1</x:v>
      </x:c>
      <x:c r="N1119" s="2" t="str">
        <x:v>modeled_epoch_volume_with_fixed2018_height_and_predominant_use</x:v>
      </x:c>
      <x:c r="O1119" s="2" t="str"/>
      <x:c r="P1119" s="2" t="str">
        <x:v>built-up volume</x:v>
      </x:c>
      <x:c r="Q1119" s="2" t="str">
        <x:v>m3</x:v>
      </x:c>
      <x:c r="R1119" s="17" t="n">
        <x:v>1006337609.137255</x:v>
      </x:c>
      <x:c r="S1119" s="17" t="n">
        <x:v>231122160.53</x:v>
      </x:c>
      <x:c r="T1119" s="18" t="n">
        <x:v>0.4213548966775059</x:v>
      </x:c>
      <x:c r="U1119" s="17" t="n">
        <x:v>97384454.07000008</x:v>
      </x:c>
      <x:c r="V1119" s="2" t="str">
        <x:v>Area equivalent = model2020 * source volume / TEMPO2020 volume</x:v>
      </x:c>
      <x:c r="W1119" s="2" t="str">
        <x:v>qualified_paired_native_source_frame</x:v>
      </x:c>
      <x:c r="X1119" s="2" t="str">
        <x:v>https://human-settlement.emergency.copernicus.eu/ghs_buV2023.php</x:v>
      </x:c>
    </x:row>
    <x:row r="1120" ht="23" customHeight="1">
      <x:c r="A1120" s="2" t="str">
        <x:v>MUS</x:v>
      </x:c>
      <x:c r="B1120" s="2" t="str">
        <x:v>Mauritius (Republic of)</x:v>
      </x:c>
      <x:c r="C1120" s="2" t="n">
        <x:v>2020</x:v>
      </x:c>
      <x:c r="D1120" s="2" t="str">
        <x:v>GHSL_VOLUME</x:v>
      </x:c>
      <x:c r="E1120" s="17" t="n">
        <x:v>65152566.7100001</x:v>
      </x:c>
      <x:c r="F1120" s="17" t="n">
        <x:f>IF(AND(M1120,ISNUMBER(R1120)),IF(D1120="TEMPO_PROXY",R1120,IF(AND(ISNUMBER(S1120),S1120&gt;0,ISNUMBER(U1120)),U1120*R1120/S1120,"n.a.")),"n.a.")</x:f>
        <x:v>133684260.03609253</x:v>
      </x:c>
      <x:c r="G1120" s="17" t="n">
        <x:f>IF(AND(ISNUMBER(E1120),ISNUMBER(F1120)),E1120-F1120,"n.a.")</x:f>
        <x:v>-68531693.32609244</x:v>
      </x:c>
      <x:c r="H1120" s="15" t="n">
        <x:f>IF(AND(ISNUMBER(E1120),ISNUMBER(F1120),F1120&gt;0),(E1120-F1120)/F1120,"n.a.")</x:f>
        <x:v>-0.5126384610094712</x:v>
      </x:c>
      <x:c r="I1120" s="19" t="n">
        <x:f>IF(ISNUMBER(H1120),ABS(H1120),"n.a.")</x:f>
        <x:v>0.5126384610094712</x:v>
      </x:c>
      <x:c r="J1120" s="2" t="str">
        <x:v>available</x:v>
      </x:c>
      <x:c r="K1120" s="2" t="n">
        <x:v>1</x:v>
      </x:c>
      <x:c r="L1120" s="13" t="b">
        <x:v>0</x:v>
      </x:c>
      <x:c r="M1120" s="13" t="b">
        <x:v>1</x:v>
      </x:c>
      <x:c r="N1120" s="2" t="str">
        <x:v>modeled_epoch_volume_with_fixed2018_height_and_predominant_use</x:v>
      </x:c>
      <x:c r="O1120" s="2" t="str"/>
      <x:c r="P1120" s="2" t="str">
        <x:v>built-up volume</x:v>
      </x:c>
      <x:c r="Q1120" s="2" t="str">
        <x:v>m3</x:v>
      </x:c>
      <x:c r="R1120" s="17" t="n">
        <x:v>396525595.7215688</x:v>
      </x:c>
      <x:c r="S1120" s="17" t="n">
        <x:v>193251324.58</x:v>
      </x:c>
      <x:c r="T1120" s="18" t="n">
        <x:v>0.33713904342750817</x:v>
      </x:c>
      <x:c r="U1120" s="17" t="n">
        <x:v>65152566.7100001</x:v>
      </x:c>
      <x:c r="V1120" s="2" t="str">
        <x:v>Area equivalent = model2020 * source volume / TEMPO2020 volume</x:v>
      </x:c>
      <x:c r="W1120" s="2" t="str">
        <x:v>qualified_paired_native_source_frame</x:v>
      </x:c>
      <x:c r="X1120" s="2" t="str">
        <x:v>https://human-settlement.emergency.copernicus.eu/ghs_buV2023.php</x:v>
      </x:c>
    </x:row>
    <x:row r="1121" ht="23" customHeight="1">
      <x:c r="A1121" s="2" t="str">
        <x:v>MWI</x:v>
      </x:c>
      <x:c r="B1121" s="2" t="str">
        <x:v>Malawi (Republic of)</x:v>
      </x:c>
      <x:c r="C1121" s="2" t="n">
        <x:v>2020</x:v>
      </x:c>
      <x:c r="D1121" s="2" t="str">
        <x:v>GHSL_VOLUME</x:v>
      </x:c>
      <x:c r="E1121" s="17" t="n">
        <x:v>330771641.01999974</x:v>
      </x:c>
      <x:c r="F1121" s="17" t="n">
        <x:f>IF(AND(M1121,ISNUMBER(R1121)),IF(D1121="TEMPO_PROXY",R1121,IF(AND(ISNUMBER(S1121),S1121&gt;0,ISNUMBER(U1121)),U1121*R1121/S1121,"n.a.")),"n.a.")</x:f>
        <x:v>1771886468.5174642</x:v>
      </x:c>
      <x:c r="G1121" s="17" t="n">
        <x:f>IF(AND(ISNUMBER(E1121),ISNUMBER(F1121)),E1121-F1121,"n.a.")</x:f>
        <x:v>-1441114827.4974644</x:v>
      </x:c>
      <x:c r="H1121" s="15" t="n">
        <x:f>IF(AND(ISNUMBER(E1121),ISNUMBER(F1121),F1121&gt;0),(E1121-F1121)/F1121,"n.a.")</x:f>
        <x:v>-0.8133223279837133</x:v>
      </x:c>
      <x:c r="I1121" s="19" t="n">
        <x:f>IF(ISNUMBER(H1121),ABS(H1121),"n.a.")</x:f>
        <x:v>0.8133223279837133</x:v>
      </x:c>
      <x:c r="J1121" s="2" t="str">
        <x:v>available</x:v>
      </x:c>
      <x:c r="K1121" s="2" t="n">
        <x:v>1</x:v>
      </x:c>
      <x:c r="L1121" s="13" t="b">
        <x:v>0</x:v>
      </x:c>
      <x:c r="M1121" s="13" t="b">
        <x:v>1</x:v>
      </x:c>
      <x:c r="N1121" s="2" t="str">
        <x:v>modeled_epoch_volume_with_fixed2018_height_and_predominant_use</x:v>
      </x:c>
      <x:c r="O1121" s="2" t="str"/>
      <x:c r="P1121" s="2" t="str">
        <x:v>built-up volume</x:v>
      </x:c>
      <x:c r="Q1121" s="2" t="str">
        <x:v>m3</x:v>
      </x:c>
      <x:c r="R1121" s="17" t="n">
        <x:v>3456304028.066667</x:v>
      </x:c>
      <x:c r="S1121" s="17" t="n">
        <x:v>645214789.74</x:v>
      </x:c>
      <x:c r="T1121" s="18" t="n">
        <x:v>0.512653532249764</x:v>
      </x:c>
      <x:c r="U1121" s="17" t="n">
        <x:v>330771641.01999974</x:v>
      </x:c>
      <x:c r="V1121" s="2" t="str">
        <x:v>Area equivalent = model2020 * source volume / TEMPO2020 volume</x:v>
      </x:c>
      <x:c r="W1121" s="2" t="str">
        <x:v>qualified_paired_native_source_frame</x:v>
      </x:c>
      <x:c r="X1121" s="2" t="str">
        <x:v>https://human-settlement.emergency.copernicus.eu/ghs_buV2023.php</x:v>
      </x:c>
    </x:row>
    <x:row r="1122" ht="23" customHeight="1">
      <x:c r="A1122" s="2" t="str">
        <x:v>MYS</x:v>
      </x:c>
      <x:c r="B1122" s="2" t="str">
        <x:v>Malaysia</x:v>
      </x:c>
      <x:c r="C1122" s="2" t="n">
        <x:v>2020</x:v>
      </x:c>
      <x:c r="D1122" s="2" t="str">
        <x:v>GHSL_VOLUME</x:v>
      </x:c>
      <x:c r="E1122" s="17" t="n">
        <x:v>2041076673.6399992</x:v>
      </x:c>
      <x:c r="F1122" s="17" t="n">
        <x:f>IF(AND(M1122,ISNUMBER(R1122)),IF(D1122="TEMPO_PROXY",R1122,IF(AND(ISNUMBER(S1122),S1122&gt;0,ISNUMBER(U1122)),U1122*R1122/S1122,"n.a.")),"n.a.")</x:f>
        <x:v>3831866325.6298084</x:v>
      </x:c>
      <x:c r="G1122" s="17" t="n">
        <x:f>IF(AND(ISNUMBER(E1122),ISNUMBER(F1122)),E1122-F1122,"n.a.")</x:f>
        <x:v>-1790789651.9898093</x:v>
      </x:c>
      <x:c r="H1122" s="15" t="n">
        <x:f>IF(AND(ISNUMBER(E1122),ISNUMBER(F1122),F1122&gt;0),(E1122-F1122)/F1122,"n.a.")</x:f>
        <x:v>-0.46734136835931345</x:v>
      </x:c>
      <x:c r="I1122" s="19" t="n">
        <x:f>IF(ISNUMBER(H1122),ABS(H1122),"n.a.")</x:f>
        <x:v>0.46734136835931345</x:v>
      </x:c>
      <x:c r="J1122" s="2" t="str">
        <x:v>available</x:v>
      </x:c>
      <x:c r="K1122" s="2" t="n">
        <x:v>1</x:v>
      </x:c>
      <x:c r="L1122" s="13" t="b">
        <x:v>0</x:v>
      </x:c>
      <x:c r="M1122" s="13" t="b">
        <x:v>1</x:v>
      </x:c>
      <x:c r="N1122" s="2" t="str">
        <x:v>modeled_epoch_volume_with_fixed2018_height_and_predominant_use</x:v>
      </x:c>
      <x:c r="O1122" s="2" t="str"/>
      <x:c r="P1122" s="2" t="str">
        <x:v>built-up volume</x:v>
      </x:c>
      <x:c r="Q1122" s="2" t="str">
        <x:v>m3</x:v>
      </x:c>
      <x:c r="R1122" s="17" t="n">
        <x:v>12735489004.72157</x:v>
      </x:c>
      <x:c r="S1122" s="17" t="n">
        <x:v>6783668146.53</x:v>
      </x:c>
      <x:c r="T1122" s="18" t="n">
        <x:v>0.30088097317732976</x:v>
      </x:c>
      <x:c r="U1122" s="17" t="n">
        <x:v>2041076673.6399992</x:v>
      </x:c>
      <x:c r="V1122" s="2" t="str">
        <x:v>Area equivalent = model2020 * source volume / TEMPO2020 volume</x:v>
      </x:c>
      <x:c r="W1122" s="2" t="str">
        <x:v>qualified_paired_native_source_frame</x:v>
      </x:c>
      <x:c r="X1122" s="2" t="str">
        <x:v>https://human-settlement.emergency.copernicus.eu/ghs_buV2023.php</x:v>
      </x:c>
    </x:row>
    <x:row r="1123" ht="23" customHeight="1">
      <x:c r="A1123" s="2" t="str">
        <x:v>NAM</x:v>
      </x:c>
      <x:c r="B1123" s="2" t="str">
        <x:v>Namibia (Republic of)</x:v>
      </x:c>
      <x:c r="C1123" s="2" t="n">
        <x:v>2020</x:v>
      </x:c>
      <x:c r="D1123" s="2" t="str">
        <x:v>GHSL_VOLUME</x:v>
      </x:c>
      <x:c r="E1123" s="17" t="n">
        <x:v>112405609.30999991</x:v>
      </x:c>
      <x:c r="F1123" s="17" t="n">
        <x:f>IF(AND(M1123,ISNUMBER(R1123)),IF(D1123="TEMPO_PROXY",R1123,IF(AND(ISNUMBER(S1123),S1123&gt;0,ISNUMBER(U1123)),U1123*R1123/S1123,"n.a.")),"n.a.")</x:f>
        <x:v>578692865.8796549</x:v>
      </x:c>
      <x:c r="G1123" s="17" t="n">
        <x:f>IF(AND(ISNUMBER(E1123),ISNUMBER(F1123)),E1123-F1123,"n.a.")</x:f>
        <x:v>-466287256.56965494</x:v>
      </x:c>
      <x:c r="H1123" s="15" t="n">
        <x:f>IF(AND(ISNUMBER(E1123),ISNUMBER(F1123),F1123&gt;0),(E1123-F1123)/F1123,"n.a.")</x:f>
        <x:v>-0.8057594694222896</x:v>
      </x:c>
      <x:c r="I1123" s="19" t="n">
        <x:f>IF(ISNUMBER(H1123),ABS(H1123),"n.a.")</x:f>
        <x:v>0.8057594694222896</x:v>
      </x:c>
      <x:c r="J1123" s="2" t="str">
        <x:v>available</x:v>
      </x:c>
      <x:c r="K1123" s="2" t="n">
        <x:v>1</x:v>
      </x:c>
      <x:c r="L1123" s="13" t="b">
        <x:v>0</x:v>
      </x:c>
      <x:c r="M1123" s="13" t="b">
        <x:v>1</x:v>
      </x:c>
      <x:c r="N1123" s="2" t="str">
        <x:v>modeled_epoch_volume_with_fixed2018_height_and_predominant_use</x:v>
      </x:c>
      <x:c r="O1123" s="2" t="str"/>
      <x:c r="P1123" s="2" t="str">
        <x:v>built-up volume</x:v>
      </x:c>
      <x:c r="Q1123" s="2" t="str">
        <x:v>m3</x:v>
      </x:c>
      <x:c r="R1123" s="17" t="n">
        <x:v>1214918567.654902</x:v>
      </x:c>
      <x:c r="S1123" s="17" t="n">
        <x:v>235986427.19</x:v>
      </x:c>
      <x:c r="T1123" s="18" t="n">
        <x:v>0.47632234890991704</x:v>
      </x:c>
      <x:c r="U1123" s="17" t="n">
        <x:v>112405609.30999991</x:v>
      </x:c>
      <x:c r="V1123" s="2" t="str">
        <x:v>Area equivalent = model2020 * source volume / TEMPO2020 volume</x:v>
      </x:c>
      <x:c r="W1123" s="2" t="str">
        <x:v>qualified_paired_native_source_frame</x:v>
      </x:c>
      <x:c r="X1123" s="2" t="str">
        <x:v>https://human-settlement.emergency.copernicus.eu/ghs_buV2023.php</x:v>
      </x:c>
    </x:row>
    <x:row r="1124" ht="23" customHeight="1">
      <x:c r="A1124" s="2" t="str">
        <x:v>NER</x:v>
      </x:c>
      <x:c r="B1124" s="2" t="str">
        <x:v>Niger (Republic of the)</x:v>
      </x:c>
      <x:c r="C1124" s="2" t="n">
        <x:v>2020</x:v>
      </x:c>
      <x:c r="D1124" s="2" t="str">
        <x:v>GHSL_VOLUME</x:v>
      </x:c>
      <x:c r="E1124" s="17" t="n">
        <x:v>203236516.4300003</x:v>
      </x:c>
      <x:c r="F1124" s="17" t="n">
        <x:f>IF(AND(M1124,ISNUMBER(R1124)),IF(D1124="TEMPO_PROXY",R1124,IF(AND(ISNUMBER(S1124),S1124&gt;0,ISNUMBER(U1124)),U1124*R1124/S1124,"n.a.")),"n.a.")</x:f>
        <x:v>1219591191.083021</x:v>
      </x:c>
      <x:c r="G1124" s="17" t="n">
        <x:f>IF(AND(ISNUMBER(E1124),ISNUMBER(F1124)),E1124-F1124,"n.a.")</x:f>
        <x:v>-1016354674.6530206</x:v>
      </x:c>
      <x:c r="H1124" s="15" t="n">
        <x:f>IF(AND(ISNUMBER(E1124),ISNUMBER(F1124),F1124&gt;0),(E1124-F1124)/F1124,"n.a.")</x:f>
        <x:v>-0.8333568511186751</x:v>
      </x:c>
      <x:c r="I1124" s="19" t="n">
        <x:f>IF(ISNUMBER(H1124),ABS(H1124),"n.a.")</x:f>
        <x:v>0.8333568511186751</x:v>
      </x:c>
      <x:c r="J1124" s="2" t="str">
        <x:v>available</x:v>
      </x:c>
      <x:c r="K1124" s="2" t="n">
        <x:v>1</x:v>
      </x:c>
      <x:c r="L1124" s="13" t="b">
        <x:v>0</x:v>
      </x:c>
      <x:c r="M1124" s="13" t="b">
        <x:v>1</x:v>
      </x:c>
      <x:c r="N1124" s="2" t="str">
        <x:v>modeled_epoch_volume_with_fixed2018_height_and_predominant_use</x:v>
      </x:c>
      <x:c r="O1124" s="2" t="str"/>
      <x:c r="P1124" s="2" t="str">
        <x:v>built-up volume</x:v>
      </x:c>
      <x:c r="Q1124" s="2" t="str">
        <x:v>m3</x:v>
      </x:c>
      <x:c r="R1124" s="17" t="n">
        <x:v>2600456942.7490196</x:v>
      </x:c>
      <x:c r="S1124" s="17" t="n">
        <x:v>433348333.47</x:v>
      </x:c>
      <x:c r="T1124" s="18" t="n">
        <x:v>0.4689911111520867</x:v>
      </x:c>
      <x:c r="U1124" s="17" t="n">
        <x:v>203236516.4300003</x:v>
      </x:c>
      <x:c r="V1124" s="2" t="str">
        <x:v>Area equivalent = model2020 * source volume / TEMPO2020 volume</x:v>
      </x:c>
      <x:c r="W1124" s="2" t="str">
        <x:v>qualified_paired_native_source_frame</x:v>
      </x:c>
      <x:c r="X1124" s="2" t="str">
        <x:v>https://human-settlement.emergency.copernicus.eu/ghs_buV2023.php</x:v>
      </x:c>
    </x:row>
    <x:row r="1125" ht="23" customHeight="1">
      <x:c r="A1125" s="2" t="str">
        <x:v>NGA</x:v>
      </x:c>
      <x:c r="B1125" s="2" t="str">
        <x:v>Nigeria (Federal Republic of)</x:v>
      </x:c>
      <x:c r="C1125" s="2" t="n">
        <x:v>2020</x:v>
      </x:c>
      <x:c r="D1125" s="2" t="str">
        <x:v>GHSL_VOLUME</x:v>
      </x:c>
      <x:c r="E1125" s="17" t="n">
        <x:v>4102804870.2700024</x:v>
      </x:c>
      <x:c r="F1125" s="17" t="n">
        <x:f>IF(AND(M1125,ISNUMBER(R1125)),IF(D1125="TEMPO_PROXY",R1125,IF(AND(ISNUMBER(S1125),S1125&gt;0,ISNUMBER(U1125)),U1125*R1125/S1125,"n.a.")),"n.a.")</x:f>
        <x:v>18128275823.583233</x:v>
      </x:c>
      <x:c r="G1125" s="17" t="n">
        <x:f>IF(AND(ISNUMBER(E1125),ISNUMBER(F1125)),E1125-F1125,"n.a.")</x:f>
        <x:v>-14025470953.31323</x:v>
      </x:c>
      <x:c r="H1125" s="15" t="n">
        <x:f>IF(AND(ISNUMBER(E1125),ISNUMBER(F1125),F1125&gt;0),(E1125-F1125)/F1125,"n.a.")</x:f>
        <x:v>-0.7736792560860847</x:v>
      </x:c>
      <x:c r="I1125" s="19" t="n">
        <x:f>IF(ISNUMBER(H1125),ABS(H1125),"n.a.")</x:f>
        <x:v>0.7736792560860847</x:v>
      </x:c>
      <x:c r="J1125" s="2" t="str">
        <x:v>available</x:v>
      </x:c>
      <x:c r="K1125" s="2" t="n">
        <x:v>1</x:v>
      </x:c>
      <x:c r="L1125" s="13" t="b">
        <x:v>0</x:v>
      </x:c>
      <x:c r="M1125" s="13" t="b">
        <x:v>1</x:v>
      </x:c>
      <x:c r="N1125" s="2" t="str">
        <x:v>modeled_epoch_volume_with_fixed2018_height_and_predominant_use</x:v>
      </x:c>
      <x:c r="O1125" s="2" t="str"/>
      <x:c r="P1125" s="2" t="str">
        <x:v>built-up volume</x:v>
      </x:c>
      <x:c r="Q1125" s="2" t="str">
        <x:v>m3</x:v>
      </x:c>
      <x:c r="R1125" s="17" t="n">
        <x:v>43931254772.96863</x:v>
      </x:c>
      <x:c r="S1125" s="17" t="n">
        <x:v>9942554261.29</x:v>
      </x:c>
      <x:c r="T1125" s="18" t="n">
        <x:v>0.41265099112847914</x:v>
      </x:c>
      <x:c r="U1125" s="17" t="n">
        <x:v>4102804870.2700024</x:v>
      </x:c>
      <x:c r="V1125" s="2" t="str">
        <x:v>Area equivalent = model2020 * source volume / TEMPO2020 volume</x:v>
      </x:c>
      <x:c r="W1125" s="2" t="str">
        <x:v>qualified_paired_native_source_frame</x:v>
      </x:c>
      <x:c r="X1125" s="2" t="str">
        <x:v>https://human-settlement.emergency.copernicus.eu/ghs_buV2023.php</x:v>
      </x:c>
    </x:row>
    <x:row r="1126" ht="23" customHeight="1">
      <x:c r="A1126" s="2" t="str">
        <x:v>NIC</x:v>
      </x:c>
      <x:c r="B1126" s="2" t="str">
        <x:v>Nicaragua (Republic of)</x:v>
      </x:c>
      <x:c r="C1126" s="2" t="n">
        <x:v>2020</x:v>
      </x:c>
      <x:c r="D1126" s="2" t="str">
        <x:v>GHSL_VOLUME</x:v>
      </x:c>
      <x:c r="E1126" s="17" t="n">
        <x:v>201940338.64999992</x:v>
      </x:c>
      <x:c r="F1126" s="17" t="n">
        <x:f>IF(AND(M1126,ISNUMBER(R1126)),IF(D1126="TEMPO_PROXY",R1126,IF(AND(ISNUMBER(S1126),S1126&gt;0,ISNUMBER(U1126)),U1126*R1126/S1126,"n.a.")),"n.a.")</x:f>
        <x:v>597612431.8247929</x:v>
      </x:c>
      <x:c r="G1126" s="17" t="n">
        <x:f>IF(AND(ISNUMBER(E1126),ISNUMBER(F1126)),E1126-F1126,"n.a.")</x:f>
        <x:v>-395672093.17479295</x:v>
      </x:c>
      <x:c r="H1126" s="15" t="n">
        <x:f>IF(AND(ISNUMBER(E1126),ISNUMBER(F1126),F1126&gt;0),(E1126-F1126)/F1126,"n.a.")</x:f>
        <x:v>-0.6620881228434611</x:v>
      </x:c>
      <x:c r="I1126" s="19" t="n">
        <x:f>IF(ISNUMBER(H1126),ABS(H1126),"n.a.")</x:f>
        <x:v>0.6620881228434611</x:v>
      </x:c>
      <x:c r="J1126" s="2" t="str">
        <x:v>available</x:v>
      </x:c>
      <x:c r="K1126" s="2" t="n">
        <x:v>1</x:v>
      </x:c>
      <x:c r="L1126" s="13" t="b">
        <x:v>0</x:v>
      </x:c>
      <x:c r="M1126" s="13" t="b">
        <x:v>1</x:v>
      </x:c>
      <x:c r="N1126" s="2" t="str">
        <x:v>modeled_epoch_volume_with_fixed2018_height_and_predominant_use</x:v>
      </x:c>
      <x:c r="O1126" s="2" t="str"/>
      <x:c r="P1126" s="2" t="str">
        <x:v>built-up volume</x:v>
      </x:c>
      <x:c r="Q1126" s="2" t="str">
        <x:v>m3</x:v>
      </x:c>
      <x:c r="R1126" s="17" t="n">
        <x:v>1359702935.5294118</x:v>
      </x:c>
      <x:c r="S1126" s="17" t="n">
        <x:v>459459771.32</x:v>
      </x:c>
      <x:c r="T1126" s="18" t="n">
        <x:v>0.43951690932557075</x:v>
      </x:c>
      <x:c r="U1126" s="17" t="n">
        <x:v>201940338.64999992</x:v>
      </x:c>
      <x:c r="V1126" s="2" t="str">
        <x:v>Area equivalent = model2020 * source volume / TEMPO2020 volume</x:v>
      </x:c>
      <x:c r="W1126" s="2" t="str">
        <x:v>qualified_paired_native_source_frame</x:v>
      </x:c>
      <x:c r="X1126" s="2" t="str">
        <x:v>https://human-settlement.emergency.copernicus.eu/ghs_buV2023.php</x:v>
      </x:c>
    </x:row>
    <x:row r="1127" ht="23" customHeight="1">
      <x:c r="A1127" s="2" t="str">
        <x:v>NLD</x:v>
      </x:c>
      <x:c r="B1127" s="2" t="str">
        <x:v>Netherlands (Kingdom of the)</x:v>
      </x:c>
      <x:c r="C1127" s="2" t="n">
        <x:v>2020</x:v>
      </x:c>
      <x:c r="D1127" s="2" t="str">
        <x:v>GHSL_VOLUME</x:v>
      </x:c>
      <x:c r="E1127" s="17" t="n">
        <x:v>1464947836.6400025</x:v>
      </x:c>
      <x:c r="F1127" s="17" t="n">
        <x:f>IF(AND(M1127,ISNUMBER(R1127)),IF(D1127="TEMPO_PROXY",R1127,IF(AND(ISNUMBER(S1127),S1127&gt;0,ISNUMBER(U1127)),U1127*R1127/S1127,"n.a.")),"n.a.")</x:f>
        <x:v>3367316133.0867405</x:v>
      </x:c>
      <x:c r="G1127" s="17" t="n">
        <x:f>IF(AND(ISNUMBER(E1127),ISNUMBER(F1127)),E1127-F1127,"n.a.")</x:f>
        <x:v>-1902368296.446738</x:v>
      </x:c>
      <x:c r="H1127" s="15" t="n">
        <x:f>IF(AND(ISNUMBER(E1127),ISNUMBER(F1127),F1127&gt;0),(E1127-F1127)/F1127,"n.a.")</x:f>
        <x:v>-0.5649509048925802</x:v>
      </x:c>
      <x:c r="I1127" s="19" t="n">
        <x:f>IF(ISNUMBER(H1127),ABS(H1127),"n.a.")</x:f>
        <x:v>0.5649509048925802</x:v>
      </x:c>
      <x:c r="J1127" s="2" t="str">
        <x:v>available</x:v>
      </x:c>
      <x:c r="K1127" s="2" t="n">
        <x:v>1</x:v>
      </x:c>
      <x:c r="L1127" s="13" t="b">
        <x:v>0</x:v>
      </x:c>
      <x:c r="M1127" s="13" t="b">
        <x:v>1</x:v>
      </x:c>
      <x:c r="N1127" s="2" t="str">
        <x:v>modeled_epoch_volume_with_fixed2018_height_and_predominant_use</x:v>
      </x:c>
      <x:c r="O1127" s="2" t="str"/>
      <x:c r="P1127" s="2" t="str">
        <x:v>built-up volume</x:v>
      </x:c>
      <x:c r="Q1127" s="2" t="str">
        <x:v>m3</x:v>
      </x:c>
      <x:c r="R1127" s="17" t="n">
        <x:v>12634360284.631369</x:v>
      </x:c>
      <x:c r="S1127" s="17" t="n">
        <x:v>5496567009.09</x:v>
      </x:c>
      <x:c r="T1127" s="18" t="n">
        <x:v>0.26652050893172613</x:v>
      </x:c>
      <x:c r="U1127" s="17" t="n">
        <x:v>1464947836.6400025</x:v>
      </x:c>
      <x:c r="V1127" s="2" t="str">
        <x:v>Area equivalent = model2020 * source volume / TEMPO2020 volume</x:v>
      </x:c>
      <x:c r="W1127" s="2" t="str">
        <x:v>qualified_paired_native_source_frame</x:v>
      </x:c>
      <x:c r="X1127" s="2" t="str">
        <x:v>https://human-settlement.emergency.copernicus.eu/ghs_buV2023.php</x:v>
      </x:c>
    </x:row>
    <x:row r="1128" ht="23" customHeight="1">
      <x:c r="A1128" s="2" t="str">
        <x:v>NOR</x:v>
      </x:c>
      <x:c r="B1128" s="2" t="str">
        <x:v>Norway (Kingdom of)</x:v>
      </x:c>
      <x:c r="C1128" s="2" t="n">
        <x:v>2020</x:v>
      </x:c>
      <x:c r="D1128" s="2" t="str">
        <x:v>GHSL_VOLUME</x:v>
      </x:c>
      <x:c r="E1128" s="17" t="n">
        <x:v>478516256.6100005</x:v>
      </x:c>
      <x:c r="F1128" s="17" t="n">
        <x:f>IF(AND(M1128,ISNUMBER(R1128)),IF(D1128="TEMPO_PROXY",R1128,IF(AND(ISNUMBER(S1128),S1128&gt;0,ISNUMBER(U1128)),U1128*R1128/S1128,"n.a.")),"n.a.")</x:f>
        <x:v>517548979.3361609</x:v>
      </x:c>
      <x:c r="G1128" s="17" t="n">
        <x:f>IF(AND(ISNUMBER(E1128),ISNUMBER(F1128)),E1128-F1128,"n.a.")</x:f>
        <x:v>-39032722.72616041</x:v>
      </x:c>
      <x:c r="H1128" s="15" t="n">
        <x:f>IF(AND(ISNUMBER(E1128),ISNUMBER(F1128),F1128&gt;0),(E1128-F1128)/F1128,"n.a.")</x:f>
        <x:v>-0.07541841310599452</x:v>
      </x:c>
      <x:c r="I1128" s="19" t="n">
        <x:f>IF(ISNUMBER(H1128),ABS(H1128),"n.a.")</x:f>
        <x:v>0.07541841310599452</x:v>
      </x:c>
      <x:c r="J1128" s="2" t="str">
        <x:v>available</x:v>
      </x:c>
      <x:c r="K1128" s="2" t="n">
        <x:v>1</x:v>
      </x:c>
      <x:c r="L1128" s="13" t="b">
        <x:v>0</x:v>
      </x:c>
      <x:c r="M1128" s="13" t="b">
        <x:v>1</x:v>
      </x:c>
      <x:c r="N1128" s="2" t="str">
        <x:v>modeled_epoch_volume_with_fixed2018_height_and_predominant_use</x:v>
      </x:c>
      <x:c r="O1128" s="2" t="str"/>
      <x:c r="P1128" s="2" t="str">
        <x:v>built-up volume</x:v>
      </x:c>
      <x:c r="Q1128" s="2" t="str">
        <x:v>m3</x:v>
      </x:c>
      <x:c r="R1128" s="17" t="n">
        <x:v>1668560407.2784312</x:v>
      </x:c>
      <x:c r="S1128" s="17" t="n">
        <x:v>1542720229.19</x:v>
      </x:c>
      <x:c r="T1128" s="18" t="n">
        <x:v>0.31017695078857155</x:v>
      </x:c>
      <x:c r="U1128" s="17" t="n">
        <x:v>478516256.6100005</x:v>
      </x:c>
      <x:c r="V1128" s="2" t="str">
        <x:v>Area equivalent = model2020 * source volume / TEMPO2020 volume</x:v>
      </x:c>
      <x:c r="W1128" s="2" t="str">
        <x:v>qualified_paired_native_source_frame</x:v>
      </x:c>
      <x:c r="X1128" s="2" t="str">
        <x:v>https://human-settlement.emergency.copernicus.eu/ghs_buV2023.php</x:v>
      </x:c>
    </x:row>
    <x:row r="1129" ht="23" customHeight="1">
      <x:c r="A1129" s="2" t="str">
        <x:v>NPL</x:v>
      </x:c>
      <x:c r="B1129" s="2" t="str">
        <x:v>Nepal (Federal Democratic Republic of)</x:v>
      </x:c>
      <x:c r="C1129" s="2" t="n">
        <x:v>2020</x:v>
      </x:c>
      <x:c r="D1129" s="2" t="str">
        <x:v>GHSL_VOLUME</x:v>
      </x:c>
      <x:c r="E1129" s="17" t="n">
        <x:v>656084354.4999993</x:v>
      </x:c>
      <x:c r="F1129" s="17" t="n">
        <x:f>IF(AND(M1129,ISNUMBER(R1129)),IF(D1129="TEMPO_PROXY",R1129,IF(AND(ISNUMBER(S1129),S1129&gt;0,ISNUMBER(U1129)),U1129*R1129/S1129,"n.a.")),"n.a.")</x:f>
        <x:v>1729554609.2956338</x:v>
      </x:c>
      <x:c r="G1129" s="17" t="n">
        <x:f>IF(AND(ISNUMBER(E1129),ISNUMBER(F1129)),E1129-F1129,"n.a.")</x:f>
        <x:v>-1073470254.7956345</x:v>
      </x:c>
      <x:c r="H1129" s="15" t="n">
        <x:f>IF(AND(ISNUMBER(E1129),ISNUMBER(F1129),F1129&gt;0),(E1129-F1129)/F1129,"n.a.")</x:f>
        <x:v>-0.6206628278900129</x:v>
      </x:c>
      <x:c r="I1129" s="19" t="n">
        <x:f>IF(ISNUMBER(H1129),ABS(H1129),"n.a.")</x:f>
        <x:v>0.6206628278900129</x:v>
      </x:c>
      <x:c r="J1129" s="2" t="str">
        <x:v>available</x:v>
      </x:c>
      <x:c r="K1129" s="2" t="n">
        <x:v>1</x:v>
      </x:c>
      <x:c r="L1129" s="13" t="b">
        <x:v>0</x:v>
      </x:c>
      <x:c r="M1129" s="13" t="b">
        <x:v>1</x:v>
      </x:c>
      <x:c r="N1129" s="2" t="str">
        <x:v>modeled_epoch_volume_with_fixed2018_height_and_predominant_use</x:v>
      </x:c>
      <x:c r="O1129" s="2" t="str"/>
      <x:c r="P1129" s="2" t="str">
        <x:v>built-up volume</x:v>
      </x:c>
      <x:c r="Q1129" s="2" t="str">
        <x:v>m3</x:v>
      </x:c>
      <x:c r="R1129" s="17" t="n">
        <x:v>3754178646.8980393</x:v>
      </x:c>
      <x:c r="S1129" s="17" t="n">
        <x:v>1424099511.51</x:v>
      </x:c>
      <x:c r="T1129" s="18" t="n">
        <x:v>0.4607012004409302</x:v>
      </x:c>
      <x:c r="U1129" s="17" t="n">
        <x:v>656084354.4999993</x:v>
      </x:c>
      <x:c r="V1129" s="2" t="str">
        <x:v>Area equivalent = model2020 * source volume / TEMPO2020 volume</x:v>
      </x:c>
      <x:c r="W1129" s="2" t="str">
        <x:v>qualified_paired_native_source_frame</x:v>
      </x:c>
      <x:c r="X1129" s="2" t="str">
        <x:v>https://human-settlement.emergency.copernicus.eu/ghs_buV2023.php</x:v>
      </x:c>
    </x:row>
    <x:row r="1130" ht="23" customHeight="1">
      <x:c r="A1130" s="2" t="str">
        <x:v>NRU</x:v>
      </x:c>
      <x:c r="B1130" s="2" t="str">
        <x:v>Nauru (Republic of)</x:v>
      </x:c>
      <x:c r="C1130" s="2" t="n">
        <x:v>2020</x:v>
      </x:c>
      <x:c r="D1130" s="2" t="str">
        <x:v>GHSL_VOLUME</x:v>
      </x:c>
      <x:c r="E1130" s="17" t="n">
        <x:v>405989.38000000024</x:v>
      </x:c>
      <x:c r="F1130" s="17" t="n">
        <x:f>IF(AND(M1130,ISNUMBER(R1130)),IF(D1130="TEMPO_PROXY",R1130,IF(AND(ISNUMBER(S1130),S1130&gt;0,ISNUMBER(U1130)),U1130*R1130/S1130,"n.a.")),"n.a.")</x:f>
        <x:v>744332.4913065161</x:v>
      </x:c>
      <x:c r="G1130" s="17" t="n">
        <x:f>IF(AND(ISNUMBER(E1130),ISNUMBER(F1130)),E1130-F1130,"n.a.")</x:f>
        <x:v>-338343.1113065159</x:v>
      </x:c>
      <x:c r="H1130" s="15" t="n">
        <x:f>IF(AND(ISNUMBER(E1130),ISNUMBER(F1130),F1130&gt;0),(E1130-F1130)/F1130,"n.a.")</x:f>
        <x:v>-0.4545591053168015</x:v>
      </x:c>
      <x:c r="I1130" s="19" t="n">
        <x:f>IF(ISNUMBER(H1130),ABS(H1130),"n.a.")</x:f>
        <x:v>0.4545591053168015</x:v>
      </x:c>
      <x:c r="J1130" s="2" t="str">
        <x:v>available</x:v>
      </x:c>
      <x:c r="K1130" s="2" t="n">
        <x:v>1</x:v>
      </x:c>
      <x:c r="L1130" s="13" t="b">
        <x:v>0</x:v>
      </x:c>
      <x:c r="M1130" s="13" t="b">
        <x:v>1</x:v>
      </x:c>
      <x:c r="N1130" s="2" t="str">
        <x:v>modeled_epoch_volume_with_fixed2018_height_and_predominant_use</x:v>
      </x:c>
      <x:c r="O1130" s="2" t="str"/>
      <x:c r="P1130" s="2" t="str">
        <x:v>built-up volume</x:v>
      </x:c>
      <x:c r="Q1130" s="2" t="str">
        <x:v>m3</x:v>
      </x:c>
      <x:c r="R1130" s="17" t="n">
        <x:v>2003283.4</x:v>
      </x:c>
      <x:c r="S1130" s="17" t="n">
        <x:v>1092672.69</x:v>
      </x:c>
      <x:c r="T1130" s="18" t="n">
        <x:v>0.37155626173836215</x:v>
      </x:c>
      <x:c r="U1130" s="17" t="n">
        <x:v>405989.38000000024</x:v>
      </x:c>
      <x:c r="V1130" s="2" t="str">
        <x:v>Area equivalent = model2020 * source volume / TEMPO2020 volume</x:v>
      </x:c>
      <x:c r="W1130" s="2" t="str">
        <x:v>qualified_paired_native_source_frame</x:v>
      </x:c>
      <x:c r="X1130" s="2" t="str">
        <x:v>https://human-settlement.emergency.copernicus.eu/ghs_buV2023.php</x:v>
      </x:c>
    </x:row>
    <x:row r="1131" ht="23" customHeight="1">
      <x:c r="A1131" s="2" t="str">
        <x:v>NZL</x:v>
      </x:c>
      <x:c r="B1131" s="2" t="str">
        <x:v>New Zealand</x:v>
      </x:c>
      <x:c r="C1131" s="2" t="n">
        <x:v>2020</x:v>
      </x:c>
      <x:c r="D1131" s="2" t="str">
        <x:v>GHSL_VOLUME</x:v>
      </x:c>
      <x:c r="E1131" s="17" t="n">
        <x:v>553529463.7899991</x:v>
      </x:c>
      <x:c r="F1131" s="17" t="n">
        <x:f>IF(AND(M1131,ISNUMBER(R1131)),IF(D1131="TEMPO_PROXY",R1131,IF(AND(ISNUMBER(S1131),S1131&gt;0,ISNUMBER(U1131)),U1131*R1131/S1131,"n.a.")),"n.a.")</x:f>
        <x:v>2503498371.7152805</x:v>
      </x:c>
      <x:c r="G1131" s="17" t="n">
        <x:f>IF(AND(ISNUMBER(E1131),ISNUMBER(F1131)),E1131-F1131,"n.a.")</x:f>
        <x:v>-1949968907.9252815</x:v>
      </x:c>
      <x:c r="H1131" s="15" t="n">
        <x:f>IF(AND(ISNUMBER(E1131),ISNUMBER(F1131),F1131&gt;0),(E1131-F1131)/F1131,"n.a.")</x:f>
        <x:v>-0.778897613817601</x:v>
      </x:c>
      <x:c r="I1131" s="19" t="n">
        <x:f>IF(ISNUMBER(H1131),ABS(H1131),"n.a.")</x:f>
        <x:v>0.778897613817601</x:v>
      </x:c>
      <x:c r="J1131" s="2" t="str">
        <x:v>available</x:v>
      </x:c>
      <x:c r="K1131" s="2" t="n">
        <x:v>1</x:v>
      </x:c>
      <x:c r="L1131" s="13" t="b">
        <x:v>0</x:v>
      </x:c>
      <x:c r="M1131" s="13" t="b">
        <x:v>1</x:v>
      </x:c>
      <x:c r="N1131" s="2" t="str">
        <x:v>modeled_epoch_volume_with_fixed2018_height_and_predominant_use</x:v>
      </x:c>
      <x:c r="O1131" s="2" t="str"/>
      <x:c r="P1131" s="2" t="str">
        <x:v>built-up volume</x:v>
      </x:c>
      <x:c r="Q1131" s="2" t="str">
        <x:v>m3</x:v>
      </x:c>
      <x:c r="R1131" s="17" t="n">
        <x:v>6861220666.105884</x:v>
      </x:c>
      <x:c r="S1131" s="17" t="n">
        <x:v>1517032261.4</x:v>
      </x:c>
      <x:c r="T1131" s="18" t="n">
        <x:v>0.36487652759551203</x:v>
      </x:c>
      <x:c r="U1131" s="17" t="n">
        <x:v>553529463.7899991</x:v>
      </x:c>
      <x:c r="V1131" s="2" t="str">
        <x:v>Area equivalent = model2020 * source volume / TEMPO2020 volume</x:v>
      </x:c>
      <x:c r="W1131" s="2" t="str">
        <x:v>qualified_paired_native_source_frame</x:v>
      </x:c>
      <x:c r="X1131" s="2" t="str">
        <x:v>https://human-settlement.emergency.copernicus.eu/ghs_buV2023.php</x:v>
      </x:c>
    </x:row>
    <x:row r="1132" ht="23" customHeight="1">
      <x:c r="A1132" s="2" t="str">
        <x:v>OMN</x:v>
      </x:c>
      <x:c r="B1132" s="2" t="str">
        <x:v>Oman (Sultanate of)</x:v>
      </x:c>
      <x:c r="C1132" s="2" t="n">
        <x:v>2020</x:v>
      </x:c>
      <x:c r="D1132" s="2" t="str">
        <x:v>GHSL_VOLUME</x:v>
      </x:c>
      <x:c r="E1132" s="17" t="n">
        <x:v>262659820.8500002</x:v>
      </x:c>
      <x:c r="F1132" s="17" t="n">
        <x:f>IF(AND(M1132,ISNUMBER(R1132)),IF(D1132="TEMPO_PROXY",R1132,IF(AND(ISNUMBER(S1132),S1132&gt;0,ISNUMBER(U1132)),U1132*R1132/S1132,"n.a.")),"n.a.")</x:f>
        <x:v>780421899.4197991</x:v>
      </x:c>
      <x:c r="G1132" s="17" t="n">
        <x:f>IF(AND(ISNUMBER(E1132),ISNUMBER(F1132)),E1132-F1132,"n.a.")</x:f>
        <x:v>-517762078.5697989</x:v>
      </x:c>
      <x:c r="H1132" s="15" t="n">
        <x:f>IF(AND(ISNUMBER(E1132),ISNUMBER(F1132),F1132&gt;0),(E1132-F1132)/F1132,"n.a.")</x:f>
        <x:v>-0.6634386848379403</x:v>
      </x:c>
      <x:c r="I1132" s="19" t="n">
        <x:f>IF(ISNUMBER(H1132),ABS(H1132),"n.a.")</x:f>
        <x:v>0.6634386848379403</x:v>
      </x:c>
      <x:c r="J1132" s="2" t="str">
        <x:v>available</x:v>
      </x:c>
      <x:c r="K1132" s="2" t="n">
        <x:v>1</x:v>
      </x:c>
      <x:c r="L1132" s="13" t="b">
        <x:v>0</x:v>
      </x:c>
      <x:c r="M1132" s="13" t="b">
        <x:v>1</x:v>
      </x:c>
      <x:c r="N1132" s="2" t="str">
        <x:v>modeled_epoch_volume_with_fixed2018_height_and_predominant_use</x:v>
      </x:c>
      <x:c r="O1132" s="2" t="str"/>
      <x:c r="P1132" s="2" t="str">
        <x:v>built-up volume</x:v>
      </x:c>
      <x:c r="Q1132" s="2" t="str">
        <x:v>m3</x:v>
      </x:c>
      <x:c r="R1132" s="17" t="n">
        <x:v>2169521245.7450976</x:v>
      </x:c>
      <x:c r="S1132" s="17" t="n">
        <x:v>730176923.74</x:v>
      </x:c>
      <x:c r="T1132" s="18" t="n">
        <x:v>0.3597207913729243</x:v>
      </x:c>
      <x:c r="U1132" s="17" t="n">
        <x:v>262659820.8500002</x:v>
      </x:c>
      <x:c r="V1132" s="2" t="str">
        <x:v>Area equivalent = model2020 * source volume / TEMPO2020 volume</x:v>
      </x:c>
      <x:c r="W1132" s="2" t="str">
        <x:v>qualified_paired_native_source_frame</x:v>
      </x:c>
      <x:c r="X1132" s="2" t="str">
        <x:v>https://human-settlement.emergency.copernicus.eu/ghs_buV2023.php</x:v>
      </x:c>
    </x:row>
    <x:row r="1133" ht="23" customHeight="1">
      <x:c r="A1133" s="2" t="str">
        <x:v>PAK</x:v>
      </x:c>
      <x:c r="B1133" s="2" t="str">
        <x:v>Pakistan (Islamic Republic of)</x:v>
      </x:c>
      <x:c r="C1133" s="2" t="n">
        <x:v>2020</x:v>
      </x:c>
      <x:c r="D1133" s="2" t="str">
        <x:v>GHSL_VOLUME</x:v>
      </x:c>
      <x:c r="E1133" s="17" t="n">
        <x:v>4301390083.520005</x:v>
      </x:c>
      <x:c r="F1133" s="17" t="str">
        <x:f>IF(AND(M1133,ISNUMBER(R1133)),IF(D1133="TEMPO_PROXY",R1133,IF(AND(ISNUMBER(S1133),S1133&gt;0,ISNUMBER(U1133)),U1133*R1133/S1133,"n.a.")),"n.a.")</x:f>
        <x:v>n.a.</x:v>
      </x:c>
      <x:c r="G1133" s="17" t="str">
        <x:f>IF(AND(ISNUMBER(E1133),ISNUMBER(F1133)),E1133-F1133,"n.a.")</x:f>
        <x:v>n.a.</x:v>
      </x:c>
      <x:c r="H1133" s="15" t="str">
        <x:f>IF(AND(ISNUMBER(E1133),ISNUMBER(F1133),F1133&gt;0),(E1133-F1133)/F1133,"n.a.")</x:f>
        <x:v>n.a.</x:v>
      </x:c>
      <x:c r="I1133" s="19" t="str">
        <x:f>IF(ISNUMBER(H1133),ABS(H1133),"n.a.")</x:f>
        <x:v>n.a.</x:v>
      </x:c>
      <x:c r="J1133" s="2" t="str">
        <x:v>unqualified_or_missing_native_source: source_support_or_logical_consistency_failed</x:v>
      </x:c>
      <x:c r="K1133" s="2" t="n">
        <x:v>1</x:v>
      </x:c>
      <x:c r="L1133" s="13" t="b">
        <x:v>0</x:v>
      </x:c>
      <x:c r="M1133" s="13" t="b">
        <x:v>0</x:v>
      </x:c>
      <x:c r="N1133" s="2" t="str">
        <x:v>modeled_epoch_volume_with_fixed2018_height_and_predominant_use</x:v>
      </x:c>
      <x:c r="O1133" s="2" t="str"/>
      <x:c r="P1133" s="2" t="str">
        <x:v>built-up volume</x:v>
      </x:c>
      <x:c r="Q1133" s="2" t="str">
        <x:v>m3</x:v>
      </x:c>
      <x:c r="R1133" s="17" t="n">
        <x:v>26394675492.44706</x:v>
      </x:c>
      <x:c r="S1133" s="17" t="n">
        <x:v>11536929090.5</x:v>
      </x:c>
      <x:c r="T1133" s="18" t="n">
        <x:v>0.3728366578123422</x:v>
      </x:c>
      <x:c r="U1133" s="17" t="n">
        <x:v>4301390083.520005</x:v>
      </x:c>
      <x:c r="V1133" s="2" t="str">
        <x:v>Area equivalent = model2020 * source volume / TEMPO2020 volume</x:v>
      </x:c>
      <x:c r="W1133" s="2" t="str">
        <x:v>source_support_or_logical_consistency_failed</x:v>
      </x:c>
      <x:c r="X1133" s="2" t="str">
        <x:v>https://human-settlement.emergency.copernicus.eu/ghs_buV2023.php</x:v>
      </x:c>
    </x:row>
    <x:row r="1134" ht="23" customHeight="1">
      <x:c r="A1134" s="2" t="str">
        <x:v>PAN</x:v>
      </x:c>
      <x:c r="B1134" s="2" t="str">
        <x:v>Panama (Republic of)</x:v>
      </x:c>
      <x:c r="C1134" s="2" t="n">
        <x:v>2020</x:v>
      </x:c>
      <x:c r="D1134" s="2" t="str">
        <x:v>GHSL_VOLUME</x:v>
      </x:c>
      <x:c r="E1134" s="17" t="n">
        <x:v>209722829.7800001</x:v>
      </x:c>
      <x:c r="F1134" s="17" t="n">
        <x:f>IF(AND(M1134,ISNUMBER(R1134)),IF(D1134="TEMPO_PROXY",R1134,IF(AND(ISNUMBER(S1134),S1134&gt;0,ISNUMBER(U1134)),U1134*R1134/S1134,"n.a.")),"n.a.")</x:f>
        <x:v>546162405.7093916</x:v>
      </x:c>
      <x:c r="G1134" s="17" t="n">
        <x:f>IF(AND(ISNUMBER(E1134),ISNUMBER(F1134)),E1134-F1134,"n.a.")</x:f>
        <x:v>-336439575.9293915</x:v>
      </x:c>
      <x:c r="H1134" s="15" t="n">
        <x:f>IF(AND(ISNUMBER(E1134),ISNUMBER(F1134),F1134&gt;0),(E1134-F1134)/F1134,"n.a.")</x:f>
        <x:v>-0.6160064706255307</x:v>
      </x:c>
      <x:c r="I1134" s="19" t="n">
        <x:f>IF(ISNUMBER(H1134),ABS(H1134),"n.a.")</x:f>
        <x:v>0.6160064706255307</x:v>
      </x:c>
      <x:c r="J1134" s="2" t="str">
        <x:v>available</x:v>
      </x:c>
      <x:c r="K1134" s="2" t="n">
        <x:v>1</x:v>
      </x:c>
      <x:c r="L1134" s="13" t="b">
        <x:v>0</x:v>
      </x:c>
      <x:c r="M1134" s="13" t="b">
        <x:v>1</x:v>
      </x:c>
      <x:c r="N1134" s="2" t="str">
        <x:v>modeled_epoch_volume_with_fixed2018_height_and_predominant_use</x:v>
      </x:c>
      <x:c r="O1134" s="2" t="str"/>
      <x:c r="P1134" s="2" t="str">
        <x:v>built-up volume</x:v>
      </x:c>
      <x:c r="Q1134" s="2" t="str">
        <x:v>m3</x:v>
      </x:c>
      <x:c r="R1134" s="17" t="n">
        <x:v>1562660833.0549016</x:v>
      </x:c>
      <x:c r="S1134" s="17" t="n">
        <x:v>600051648.5</x:v>
      </x:c>
      <x:c r="T1134" s="18" t="n">
        <x:v>0.34950796369656184</x:v>
      </x:c>
      <x:c r="U1134" s="17" t="n">
        <x:v>209722829.7800001</x:v>
      </x:c>
      <x:c r="V1134" s="2" t="str">
        <x:v>Area equivalent = model2020 * source volume / TEMPO2020 volume</x:v>
      </x:c>
      <x:c r="W1134" s="2" t="str">
        <x:v>qualified_paired_native_source_frame</x:v>
      </x:c>
      <x:c r="X1134" s="2" t="str">
        <x:v>https://human-settlement.emergency.copernicus.eu/ghs_buV2023.php</x:v>
      </x:c>
    </x:row>
    <x:row r="1135" ht="23" customHeight="1">
      <x:c r="A1135" s="2" t="str">
        <x:v>PER</x:v>
      </x:c>
      <x:c r="B1135" s="2" t="str">
        <x:v>Peru (Republic of)</x:v>
      </x:c>
      <x:c r="C1135" s="2" t="n">
        <x:v>2020</x:v>
      </x:c>
      <x:c r="D1135" s="2" t="str">
        <x:v>GHSL_VOLUME</x:v>
      </x:c>
      <x:c r="E1135" s="17" t="n">
        <x:v>1228349086.860001</x:v>
      </x:c>
      <x:c r="F1135" s="17" t="n">
        <x:f>IF(AND(M1135,ISNUMBER(R1135)),IF(D1135="TEMPO_PROXY",R1135,IF(AND(ISNUMBER(S1135),S1135&gt;0,ISNUMBER(U1135)),U1135*R1135/S1135,"n.a.")),"n.a.")</x:f>
        <x:v>2766988439.8368945</x:v>
      </x:c>
      <x:c r="G1135" s="17" t="n">
        <x:f>IF(AND(ISNUMBER(E1135),ISNUMBER(F1135)),E1135-F1135,"n.a.")</x:f>
        <x:v>-1538639352.9768934</x:v>
      </x:c>
      <x:c r="H1135" s="15" t="n">
        <x:f>IF(AND(ISNUMBER(E1135),ISNUMBER(F1135),F1135&gt;0),(E1135-F1135)/F1135,"n.a.")</x:f>
        <x:v>-0.5560700329733186</x:v>
      </x:c>
      <x:c r="I1135" s="19" t="n">
        <x:f>IF(ISNUMBER(H1135),ABS(H1135),"n.a.")</x:f>
        <x:v>0.5560700329733186</x:v>
      </x:c>
      <x:c r="J1135" s="2" t="str">
        <x:v>available</x:v>
      </x:c>
      <x:c r="K1135" s="2" t="n">
        <x:v>1</x:v>
      </x:c>
      <x:c r="L1135" s="13" t="b">
        <x:v>0</x:v>
      </x:c>
      <x:c r="M1135" s="13" t="b">
        <x:v>1</x:v>
      </x:c>
      <x:c r="N1135" s="2" t="str">
        <x:v>modeled_epoch_volume_with_fixed2018_height_and_predominant_use</x:v>
      </x:c>
      <x:c r="O1135" s="2" t="str"/>
      <x:c r="P1135" s="2" t="str">
        <x:v>built-up volume</x:v>
      </x:c>
      <x:c r="Q1135" s="2" t="str">
        <x:v>m3</x:v>
      </x:c>
      <x:c r="R1135" s="17" t="n">
        <x:v>7921014560.070589</x:v>
      </x:c>
      <x:c r="S1135" s="17" t="n">
        <x:v>3516375732.47</x:v>
      </x:c>
      <x:c r="T1135" s="18" t="n">
        <x:v>0.34932247868664895</x:v>
      </x:c>
      <x:c r="U1135" s="17" t="n">
        <x:v>1228349086.860001</x:v>
      </x:c>
      <x:c r="V1135" s="2" t="str">
        <x:v>Area equivalent = model2020 * source volume / TEMPO2020 volume</x:v>
      </x:c>
      <x:c r="W1135" s="2" t="str">
        <x:v>qualified_paired_native_source_frame</x:v>
      </x:c>
      <x:c r="X1135" s="2" t="str">
        <x:v>https://human-settlement.emergency.copernicus.eu/ghs_buV2023.php</x:v>
      </x:c>
    </x:row>
    <x:row r="1136" ht="23" customHeight="1">
      <x:c r="A1136" s="2" t="str">
        <x:v>PHL</x:v>
      </x:c>
      <x:c r="B1136" s="2" t="str">
        <x:v>Philippines (Republic of the)</x:v>
      </x:c>
      <x:c r="C1136" s="2" t="n">
        <x:v>2020</x:v>
      </x:c>
      <x:c r="D1136" s="2" t="str">
        <x:v>GHSL_VOLUME</x:v>
      </x:c>
      <x:c r="E1136" s="17" t="n">
        <x:v>2290609295.400001</x:v>
      </x:c>
      <x:c r="F1136" s="17" t="n">
        <x:f>IF(AND(M1136,ISNUMBER(R1136)),IF(D1136="TEMPO_PROXY",R1136,IF(AND(ISNUMBER(S1136),S1136&gt;0,ISNUMBER(U1136)),U1136*R1136/S1136,"n.a.")),"n.a.")</x:f>
        <x:v>3984081188.8574038</x:v>
      </x:c>
      <x:c r="G1136" s="17" t="n">
        <x:f>IF(AND(ISNUMBER(E1136),ISNUMBER(F1136)),E1136-F1136,"n.a.")</x:f>
        <x:v>-1693471893.4574027</x:v>
      </x:c>
      <x:c r="H1136" s="15" t="n">
        <x:f>IF(AND(ISNUMBER(E1136),ISNUMBER(F1136),F1136&gt;0),(E1136-F1136)/F1136,"n.a.")</x:f>
        <x:v>-0.425059584175561</x:v>
      </x:c>
      <x:c r="I1136" s="19" t="n">
        <x:f>IF(ISNUMBER(H1136),ABS(H1136),"n.a.")</x:f>
        <x:v>0.425059584175561</x:v>
      </x:c>
      <x:c r="J1136" s="2" t="str">
        <x:v>available</x:v>
      </x:c>
      <x:c r="K1136" s="2" t="n">
        <x:v>1</x:v>
      </x:c>
      <x:c r="L1136" s="13" t="b">
        <x:v>0</x:v>
      </x:c>
      <x:c r="M1136" s="13" t="b">
        <x:v>1</x:v>
      </x:c>
      <x:c r="N1136" s="2" t="str">
        <x:v>modeled_epoch_volume_with_fixed2018_height_and_predominant_use</x:v>
      </x:c>
      <x:c r="O1136" s="2" t="str"/>
      <x:c r="P1136" s="2" t="str">
        <x:v>built-up volume</x:v>
      </x:c>
      <x:c r="Q1136" s="2" t="str">
        <x:v>m3</x:v>
      </x:c>
      <x:c r="R1136" s="17" t="n">
        <x:v>10968252840.474512</x:v>
      </x:c>
      <x:c r="S1136" s="17" t="n">
        <x:v>6306091848.97</x:v>
      </x:c>
      <x:c r="T1136" s="18" t="n">
        <x:v>0.3632375408192216</x:v>
      </x:c>
      <x:c r="U1136" s="17" t="n">
        <x:v>2290609295.400001</x:v>
      </x:c>
      <x:c r="V1136" s="2" t="str">
        <x:v>Area equivalent = model2020 * source volume / TEMPO2020 volume</x:v>
      </x:c>
      <x:c r="W1136" s="2" t="str">
        <x:v>qualified_paired_native_source_frame</x:v>
      </x:c>
      <x:c r="X1136" s="2" t="str">
        <x:v>https://human-settlement.emergency.copernicus.eu/ghs_buV2023.php</x:v>
      </x:c>
    </x:row>
    <x:row r="1137" ht="23" customHeight="1">
      <x:c r="A1137" s="2" t="str">
        <x:v>PLW</x:v>
      </x:c>
      <x:c r="B1137" s="2" t="str">
        <x:v>Palau (Republic of)</x:v>
      </x:c>
      <x:c r="C1137" s="2" t="n">
        <x:v>2020</x:v>
      </x:c>
      <x:c r="D1137" s="2" t="str">
        <x:v>GHSL_VOLUME</x:v>
      </x:c>
      <x:c r="E1137" s="17" t="n">
        <x:v>1152226.26</x:v>
      </x:c>
      <x:c r="F1137" s="17" t="n">
        <x:f>IF(AND(M1137,ISNUMBER(R1137)),IF(D1137="TEMPO_PROXY",R1137,IF(AND(ISNUMBER(S1137),S1137&gt;0,ISNUMBER(U1137)),U1137*R1137/S1137,"n.a.")),"n.a.")</x:f>
        <x:v>1419868.688487491</x:v>
      </x:c>
      <x:c r="G1137" s="17" t="n">
        <x:f>IF(AND(ISNUMBER(E1137),ISNUMBER(F1137)),E1137-F1137,"n.a.")</x:f>
        <x:v>-267642.4284874911</x:v>
      </x:c>
      <x:c r="H1137" s="15" t="n">
        <x:f>IF(AND(ISNUMBER(E1137),ISNUMBER(F1137),F1137&gt;0),(E1137-F1137)/F1137,"n.a.")</x:f>
        <x:v>-0.18849801439920197</x:v>
      </x:c>
      <x:c r="I1137" s="19" t="n">
        <x:f>IF(ISNUMBER(H1137),ABS(H1137),"n.a.")</x:f>
        <x:v>0.18849801439920197</x:v>
      </x:c>
      <x:c r="J1137" s="2" t="str">
        <x:v>available</x:v>
      </x:c>
      <x:c r="K1137" s="2" t="n">
        <x:v>1</x:v>
      </x:c>
      <x:c r="L1137" s="13" t="b">
        <x:v>0</x:v>
      </x:c>
      <x:c r="M1137" s="13" t="b">
        <x:v>1</x:v>
      </x:c>
      <x:c r="N1137" s="2" t="str">
        <x:v>modeled_epoch_volume_with_fixed2018_height_and_predominant_use</x:v>
      </x:c>
      <x:c r="O1137" s="2" t="str"/>
      <x:c r="P1137" s="2" t="str">
        <x:v>built-up volume</x:v>
      </x:c>
      <x:c r="Q1137" s="2" t="str">
        <x:v>m3</x:v>
      </x:c>
      <x:c r="R1137" s="17" t="n">
        <x:v>3410397.6196078435</x:v>
      </x:c>
      <x:c r="S1137" s="17" t="n">
        <x:v>2767544.44</x:v>
      </x:c>
      <x:c r="T1137" s="18" t="n">
        <x:v>0.41633523326548644</x:v>
      </x:c>
      <x:c r="U1137" s="17" t="n">
        <x:v>1152226.26</x:v>
      </x:c>
      <x:c r="V1137" s="2" t="str">
        <x:v>Area equivalent = model2020 * source volume / TEMPO2020 volume</x:v>
      </x:c>
      <x:c r="W1137" s="2" t="str">
        <x:v>qualified_paired_native_source_frame</x:v>
      </x:c>
      <x:c r="X1137" s="2" t="str">
        <x:v>https://human-settlement.emergency.copernicus.eu/ghs_buV2023.php</x:v>
      </x:c>
    </x:row>
    <x:row r="1138" ht="23" customHeight="1">
      <x:c r="A1138" s="2" t="str">
        <x:v>PNG</x:v>
      </x:c>
      <x:c r="B1138" s="2" t="str">
        <x:v>Papua New Guinea (Independent State of)</x:v>
      </x:c>
      <x:c r="C1138" s="2" t="n">
        <x:v>2020</x:v>
      </x:c>
      <x:c r="D1138" s="2" t="str">
        <x:v>GHSL_VOLUME</x:v>
      </x:c>
      <x:c r="E1138" s="17" t="n">
        <x:v>111325792.03000018</x:v>
      </x:c>
      <x:c r="F1138" s="17" t="n">
        <x:f>IF(AND(M1138,ISNUMBER(R1138)),IF(D1138="TEMPO_PROXY",R1138,IF(AND(ISNUMBER(S1138),S1138&gt;0,ISNUMBER(U1138)),U1138*R1138/S1138,"n.a.")),"n.a.")</x:f>
        <x:v>264799589.45951712</x:v>
      </x:c>
      <x:c r="G1138" s="17" t="n">
        <x:f>IF(AND(ISNUMBER(E1138),ISNUMBER(F1138)),E1138-F1138,"n.a.")</x:f>
        <x:v>-153473797.42951694</x:v>
      </x:c>
      <x:c r="H1138" s="15" t="n">
        <x:f>IF(AND(ISNUMBER(E1138),ISNUMBER(F1138),F1138&gt;0),(E1138-F1138)/F1138,"n.a.")</x:f>
        <x:v>-0.5795847257270019</x:v>
      </x:c>
      <x:c r="I1138" s="19" t="n">
        <x:f>IF(ISNUMBER(H1138),ABS(H1138),"n.a.")</x:f>
        <x:v>0.5795847257270019</x:v>
      </x:c>
      <x:c r="J1138" s="2" t="str">
        <x:v>available</x:v>
      </x:c>
      <x:c r="K1138" s="2" t="n">
        <x:v>1</x:v>
      </x:c>
      <x:c r="L1138" s="13" t="b">
        <x:v>0</x:v>
      </x:c>
      <x:c r="M1138" s="13" t="b">
        <x:v>1</x:v>
      </x:c>
      <x:c r="N1138" s="2" t="str">
        <x:v>modeled_epoch_volume_with_fixed2018_height_and_predominant_use</x:v>
      </x:c>
      <x:c r="O1138" s="2" t="str"/>
      <x:c r="P1138" s="2" t="str">
        <x:v>built-up volume</x:v>
      </x:c>
      <x:c r="Q1138" s="2" t="str">
        <x:v>m3</x:v>
      </x:c>
      <x:c r="R1138" s="17" t="n">
        <x:v>550412275.1490197</x:v>
      </x:c>
      <x:c r="S1138" s="17" t="n">
        <x:v>231401727.62</x:v>
      </x:c>
      <x:c r="T1138" s="18" t="n">
        <x:v>0.4810931758159368</x:v>
      </x:c>
      <x:c r="U1138" s="17" t="n">
        <x:v>111325792.03000018</x:v>
      </x:c>
      <x:c r="V1138" s="2" t="str">
        <x:v>Area equivalent = model2020 * source volume / TEMPO2020 volume</x:v>
      </x:c>
      <x:c r="W1138" s="2" t="str">
        <x:v>qualified_paired_native_source_frame</x:v>
      </x:c>
      <x:c r="X1138" s="2" t="str">
        <x:v>https://human-settlement.emergency.copernicus.eu/ghs_buV2023.php</x:v>
      </x:c>
    </x:row>
    <x:row r="1139" ht="23" customHeight="1">
      <x:c r="A1139" s="2" t="str">
        <x:v>POL</x:v>
      </x:c>
      <x:c r="B1139" s="2" t="str">
        <x:v>Poland (Republic of)</x:v>
      </x:c>
      <x:c r="C1139" s="2" t="n">
        <x:v>2020</x:v>
      </x:c>
      <x:c r="D1139" s="2" t="str">
        <x:v>GHSL_VOLUME</x:v>
      </x:c>
      <x:c r="E1139" s="17" t="n">
        <x:v>2573023573.5300016</x:v>
      </x:c>
      <x:c r="F1139" s="17" t="n">
        <x:f>IF(AND(M1139,ISNUMBER(R1139)),IF(D1139="TEMPO_PROXY",R1139,IF(AND(ISNUMBER(S1139),S1139&gt;0,ISNUMBER(U1139)),U1139*R1139/S1139,"n.a.")),"n.a.")</x:f>
        <x:v>6431051475.997741</x:v>
      </x:c>
      <x:c r="G1139" s="17" t="n">
        <x:f>IF(AND(ISNUMBER(E1139),ISNUMBER(F1139)),E1139-F1139,"n.a.")</x:f>
        <x:v>-3858027902.467739</x:v>
      </x:c>
      <x:c r="H1139" s="15" t="n">
        <x:f>IF(AND(ISNUMBER(E1139),ISNUMBER(F1139),F1139&gt;0),(E1139-F1139)/F1139,"n.a.")</x:f>
        <x:v>-0.5999062387957621</x:v>
      </x:c>
      <x:c r="I1139" s="19" t="n">
        <x:f>IF(ISNUMBER(H1139),ABS(H1139),"n.a.")</x:f>
        <x:v>0.5999062387957621</x:v>
      </x:c>
      <x:c r="J1139" s="2" t="str">
        <x:v>available</x:v>
      </x:c>
      <x:c r="K1139" s="2" t="n">
        <x:v>1</x:v>
      </x:c>
      <x:c r="L1139" s="13" t="b">
        <x:v>0</x:v>
      </x:c>
      <x:c r="M1139" s="13" t="b">
        <x:v>1</x:v>
      </x:c>
      <x:c r="N1139" s="2" t="str">
        <x:v>modeled_epoch_volume_with_fixed2018_height_and_predominant_use</x:v>
      </x:c>
      <x:c r="O1139" s="2" t="str"/>
      <x:c r="P1139" s="2" t="str">
        <x:v>built-up volume</x:v>
      </x:c>
      <x:c r="Q1139" s="2" t="str">
        <x:v>m3</x:v>
      </x:c>
      <x:c r="R1139" s="17" t="n">
        <x:v>19150152906.380394</x:v>
      </x:c>
      <x:c r="S1139" s="17" t="n">
        <x:v>7661856703.95</x:v>
      </x:c>
      <x:c r="T1139" s="18" t="n">
        <x:v>0.3358224609191011</x:v>
      </x:c>
      <x:c r="U1139" s="17" t="n">
        <x:v>2573023573.5300016</x:v>
      </x:c>
      <x:c r="V1139" s="2" t="str">
        <x:v>Area equivalent = model2020 * source volume / TEMPO2020 volume</x:v>
      </x:c>
      <x:c r="W1139" s="2" t="str">
        <x:v>qualified_paired_native_source_frame</x:v>
      </x:c>
      <x:c r="X1139" s="2" t="str">
        <x:v>https://human-settlement.emergency.copernicus.eu/ghs_buV2023.php</x:v>
      </x:c>
    </x:row>
    <x:row r="1140" ht="23" customHeight="1">
      <x:c r="A1140" s="2" t="str">
        <x:v>PRK</x:v>
      </x:c>
      <x:c r="B1140" s="2" t="str">
        <x:v>Korea (Democratic People's Republic of)</x:v>
      </x:c>
      <x:c r="C1140" s="2" t="n">
        <x:v>2020</x:v>
      </x:c>
      <x:c r="D1140" s="2" t="str">
        <x:v>GHSL_VOLUME</x:v>
      </x:c>
      <x:c r="E1140" s="17" t="n">
        <x:v>469713807.49000067</x:v>
      </x:c>
      <x:c r="F1140" s="17" t="n">
        <x:f>IF(AND(M1140,ISNUMBER(R1140)),IF(D1140="TEMPO_PROXY",R1140,IF(AND(ISNUMBER(S1140),S1140&gt;0,ISNUMBER(U1140)),U1140*R1140/S1140,"n.a.")),"n.a.")</x:f>
        <x:v>881137042.7030866</x:v>
      </x:c>
      <x:c r="G1140" s="17" t="n">
        <x:f>IF(AND(ISNUMBER(E1140),ISNUMBER(F1140)),E1140-F1140,"n.a.")</x:f>
        <x:v>-411423235.21308595</x:v>
      </x:c>
      <x:c r="H1140" s="15" t="n">
        <x:f>IF(AND(ISNUMBER(E1140),ISNUMBER(F1140),F1140&gt;0),(E1140-F1140)/F1140,"n.a.")</x:f>
        <x:v>-0.4669230951305286</x:v>
      </x:c>
      <x:c r="I1140" s="19" t="n">
        <x:f>IF(ISNUMBER(H1140),ABS(H1140),"n.a.")</x:f>
        <x:v>0.4669230951305286</x:v>
      </x:c>
      <x:c r="J1140" s="2" t="str">
        <x:v>available</x:v>
      </x:c>
      <x:c r="K1140" s="2" t="n">
        <x:v>1</x:v>
      </x:c>
      <x:c r="L1140" s="13" t="b">
        <x:v>0</x:v>
      </x:c>
      <x:c r="M1140" s="13" t="b">
        <x:v>1</x:v>
      </x:c>
      <x:c r="N1140" s="2" t="str">
        <x:v>modeled_epoch_volume_with_fixed2018_height_and_predominant_use</x:v>
      </x:c>
      <x:c r="O1140" s="2" t="str"/>
      <x:c r="P1140" s="2" t="str">
        <x:v>built-up volume</x:v>
      </x:c>
      <x:c r="Q1140" s="2" t="str">
        <x:v>m3</x:v>
      </x:c>
      <x:c r="R1140" s="17" t="n">
        <x:v>2466553665.145099</x:v>
      </x:c>
      <x:c r="S1140" s="17" t="n">
        <x:v>1314862793.51</x:v>
      </x:c>
      <x:c r="T1140" s="18" t="n">
        <x:v>0.3572340854182276</x:v>
      </x:c>
      <x:c r="U1140" s="17" t="n">
        <x:v>469713807.49000067</x:v>
      </x:c>
      <x:c r="V1140" s="2" t="str">
        <x:v>Area equivalent = model2020 * source volume / TEMPO2020 volume</x:v>
      </x:c>
      <x:c r="W1140" s="2" t="str">
        <x:v>qualified_paired_native_source_frame</x:v>
      </x:c>
      <x:c r="X1140" s="2" t="str">
        <x:v>https://human-settlement.emergency.copernicus.eu/ghs_buV2023.php</x:v>
      </x:c>
    </x:row>
    <x:row r="1141" ht="23" customHeight="1">
      <x:c r="A1141" s="2" t="str">
        <x:v>PRT</x:v>
      </x:c>
      <x:c r="B1141" s="2" t="str">
        <x:v>Portugal (Portuguese Republic)</x:v>
      </x:c>
      <x:c r="C1141" s="2" t="n">
        <x:v>2020</x:v>
      </x:c>
      <x:c r="D1141" s="2" t="str">
        <x:v>GHSL_VOLUME</x:v>
      </x:c>
      <x:c r="E1141" s="17" t="n">
        <x:v>1019333626.31</x:v>
      </x:c>
      <x:c r="F1141" s="17" t="n">
        <x:f>IF(AND(M1141,ISNUMBER(R1141)),IF(D1141="TEMPO_PROXY",R1141,IF(AND(ISNUMBER(S1141),S1141&gt;0,ISNUMBER(U1141)),U1141*R1141/S1141,"n.a.")),"n.a.")</x:f>
        <x:v>2131625966.246072</x:v>
      </x:c>
      <x:c r="G1141" s="17" t="n">
        <x:f>IF(AND(ISNUMBER(E1141),ISNUMBER(F1141)),E1141-F1141,"n.a.")</x:f>
        <x:v>-1112292339.936072</x:v>
      </x:c>
      <x:c r="H1141" s="15" t="n">
        <x:f>IF(AND(ISNUMBER(E1141),ISNUMBER(F1141),F1141&gt;0),(E1141-F1141)/F1141,"n.a.")</x:f>
        <x:v>-0.5218046493845677</x:v>
      </x:c>
      <x:c r="I1141" s="19" t="n">
        <x:f>IF(ISNUMBER(H1141),ABS(H1141),"n.a.")</x:f>
        <x:v>0.5218046493845677</x:v>
      </x:c>
      <x:c r="J1141" s="2" t="str">
        <x:v>available</x:v>
      </x:c>
      <x:c r="K1141" s="2" t="n">
        <x:v>1</x:v>
      </x:c>
      <x:c r="L1141" s="13" t="b">
        <x:v>0</x:v>
      </x:c>
      <x:c r="M1141" s="13" t="b">
        <x:v>1</x:v>
      </x:c>
      <x:c r="N1141" s="2" t="str">
        <x:v>modeled_epoch_volume_with_fixed2018_height_and_predominant_use</x:v>
      </x:c>
      <x:c r="O1141" s="2" t="str"/>
      <x:c r="P1141" s="2" t="str">
        <x:v>built-up volume</x:v>
      </x:c>
      <x:c r="Q1141" s="2" t="str">
        <x:v>m3</x:v>
      </x:c>
      <x:c r="R1141" s="17" t="n">
        <x:v>6860024831.145095</x:v>
      </x:c>
      <x:c r="S1141" s="17" t="n">
        <x:v>3280431979.36</x:v>
      </x:c>
      <x:c r="T1141" s="18" t="n">
        <x:v>0.3107315233857914</x:v>
      </x:c>
      <x:c r="U1141" s="17" t="n">
        <x:v>1019333626.31</x:v>
      </x:c>
      <x:c r="V1141" s="2" t="str">
        <x:v>Area equivalent = model2020 * source volume / TEMPO2020 volume</x:v>
      </x:c>
      <x:c r="W1141" s="2" t="str">
        <x:v>qualified_paired_native_source_frame</x:v>
      </x:c>
      <x:c r="X1141" s="2" t="str">
        <x:v>https://human-settlement.emergency.copernicus.eu/ghs_buV2023.php</x:v>
      </x:c>
    </x:row>
    <x:row r="1142" ht="23" customHeight="1">
      <x:c r="A1142" s="2" t="str">
        <x:v>PRY</x:v>
      </x:c>
      <x:c r="B1142" s="2" t="str">
        <x:v>Paraguay (Republic of)</x:v>
      </x:c>
      <x:c r="C1142" s="2" t="n">
        <x:v>2020</x:v>
      </x:c>
      <x:c r="D1142" s="2" t="str">
        <x:v>GHSL_VOLUME</x:v>
      </x:c>
      <x:c r="E1142" s="17" t="n">
        <x:v>336793873.4500005</x:v>
      </x:c>
      <x:c r="F1142" s="17" t="n">
        <x:f>IF(AND(M1142,ISNUMBER(R1142)),IF(D1142="TEMPO_PROXY",R1142,IF(AND(ISNUMBER(S1142),S1142&gt;0,ISNUMBER(U1142)),U1142*R1142/S1142,"n.a.")),"n.a.")</x:f>
        <x:v>1091639339.1644692</x:v>
      </x:c>
      <x:c r="G1142" s="17" t="n">
        <x:f>IF(AND(ISNUMBER(E1142),ISNUMBER(F1142)),E1142-F1142,"n.a.")</x:f>
        <x:v>-754845465.7144687</x:v>
      </x:c>
      <x:c r="H1142" s="15" t="n">
        <x:f>IF(AND(ISNUMBER(E1142),ISNUMBER(F1142),F1142&gt;0),(E1142-F1142)/F1142,"n.a.")</x:f>
        <x:v>-0.691478804979876</x:v>
      </x:c>
      <x:c r="I1142" s="19" t="n">
        <x:f>IF(ISNUMBER(H1142),ABS(H1142),"n.a.")</x:f>
        <x:v>0.691478804979876</x:v>
      </x:c>
      <x:c r="J1142" s="2" t="str">
        <x:v>available</x:v>
      </x:c>
      <x:c r="K1142" s="2" t="n">
        <x:v>1</x:v>
      </x:c>
      <x:c r="L1142" s="13" t="b">
        <x:v>0</x:v>
      </x:c>
      <x:c r="M1142" s="13" t="b">
        <x:v>1</x:v>
      </x:c>
      <x:c r="N1142" s="2" t="str">
        <x:v>modeled_epoch_volume_with_fixed2018_height_and_predominant_use</x:v>
      </x:c>
      <x:c r="O1142" s="2" t="str"/>
      <x:c r="P1142" s="2" t="str">
        <x:v>built-up volume</x:v>
      </x:c>
      <x:c r="Q1142" s="2" t="str">
        <x:v>m3</x:v>
      </x:c>
      <x:c r="R1142" s="17" t="n">
        <x:v>2556784041.752941</x:v>
      </x:c>
      <x:c r="S1142" s="17" t="n">
        <x:v>788822067.97</x:v>
      </x:c>
      <x:c r="T1142" s="18" t="n">
        <x:v>0.4269579758547136</x:v>
      </x:c>
      <x:c r="U1142" s="17" t="n">
        <x:v>336793873.4500005</x:v>
      </x:c>
      <x:c r="V1142" s="2" t="str">
        <x:v>Area equivalent = model2020 * source volume / TEMPO2020 volume</x:v>
      </x:c>
      <x:c r="W1142" s="2" t="str">
        <x:v>qualified_paired_native_source_frame</x:v>
      </x:c>
      <x:c r="X1142" s="2" t="str">
        <x:v>https://human-settlement.emergency.copernicus.eu/ghs_buV2023.php</x:v>
      </x:c>
    </x:row>
    <x:row r="1143" ht="23" customHeight="1">
      <x:c r="A1143" s="2" t="str">
        <x:v>PSE</x:v>
      </x:c>
      <x:c r="B1143" s="2" t="str">
        <x:v>State of Palestine</x:v>
      </x:c>
      <x:c r="C1143" s="2" t="n">
        <x:v>2020</x:v>
      </x:c>
      <x:c r="D1143" s="2" t="str">
        <x:v>GHSL_VOLUME</x:v>
      </x:c>
      <x:c r="E1143" s="17" t="n">
        <x:v>239938472.63190365</x:v>
      </x:c>
      <x:c r="F1143" s="17" t="str">
        <x:f>IF(AND(M1143,ISNUMBER(R1143)),IF(D1143="TEMPO_PROXY",R1143,IF(AND(ISNUMBER(S1143),S1143&gt;0,ISNUMBER(U1143)),U1143*R1143/S1143,"n.a.")),"n.a.")</x:f>
        <x:v>n.a.</x:v>
      </x:c>
      <x:c r="G1143" s="17" t="str">
        <x:f>IF(AND(ISNUMBER(E1143),ISNUMBER(F1143)),E1143-F1143,"n.a.")</x:f>
        <x:v>n.a.</x:v>
      </x:c>
      <x:c r="H1143" s="15" t="str">
        <x:f>IF(AND(ISNUMBER(E1143),ISNUMBER(F1143),F1143&gt;0),(E1143-F1143)/F1143,"n.a.")</x:f>
        <x:v>n.a.</x:v>
      </x:c>
      <x:c r="I1143" s="19" t="str">
        <x:f>IF(ISNUMBER(H1143),ABS(H1143),"n.a.")</x:f>
        <x:v>n.a.</x:v>
      </x:c>
      <x:c r="J1143" s="2" t="str">
        <x:v>unqualified_or_missing_native_source: boundary_unmapped</x:v>
      </x:c>
      <x:c r="K1143" s="2" t="n">
        <x:v>0</x:v>
      </x:c>
      <x:c r="L1143" s="13" t="b">
        <x:v>0</x:v>
      </x:c>
      <x:c r="M1143" s="13" t="b">
        <x:v>0</x:v>
      </x:c>
      <x:c r="N1143" s="2" t="str">
        <x:v>modeled_epoch_volume_with_fixed2018_height_and_predominant_use</x:v>
      </x:c>
      <x:c r="O1143" s="2" t="str"/>
      <x:c r="P1143" s="2" t="str">
        <x:v>built-up volume</x:v>
      </x:c>
      <x:c r="Q1143" s="2" t="str">
        <x:v>m3</x:v>
      </x:c>
      <x:c r="R1143" s="17"/>
      <x:c r="S1143" s="17"/>
      <x:c r="T1143" s="18"/>
      <x:c r="U1143" s="17" t="n">
        <x:v>239938472.63190365</x:v>
      </x:c>
      <x:c r="V1143" s="2" t="str">
        <x:v>Area equivalent = model2020 * source volume / TEMPO2020 volume</x:v>
      </x:c>
      <x:c r="W1143" s="2" t="str">
        <x:v>boundary_unmapped</x:v>
      </x:c>
      <x:c r="X1143" s="2" t="str">
        <x:v>https://human-settlement.emergency.copernicus.eu/ghs_buV2023.php</x:v>
      </x:c>
    </x:row>
    <x:row r="1144" ht="23" customHeight="1">
      <x:c r="A1144" s="2" t="str">
        <x:v>QAT</x:v>
      </x:c>
      <x:c r="B1144" s="2" t="str">
        <x:v>Qatar (State of)</x:v>
      </x:c>
      <x:c r="C1144" s="2" t="n">
        <x:v>2020</x:v>
      </x:c>
      <x:c r="D1144" s="2" t="str">
        <x:v>GHSL_VOLUME</x:v>
      </x:c>
      <x:c r="E1144" s="17" t="n">
        <x:v>137316242.80000022</x:v>
      </x:c>
      <x:c r="F1144" s="17" t="n">
        <x:f>IF(AND(M1144,ISNUMBER(R1144)),IF(D1144="TEMPO_PROXY",R1144,IF(AND(ISNUMBER(S1144),S1144&gt;0,ISNUMBER(U1144)),U1144*R1144/S1144,"n.a.")),"n.a.")</x:f>
        <x:v>432633982.1060219</x:v>
      </x:c>
      <x:c r="G1144" s="17" t="n">
        <x:f>IF(AND(ISNUMBER(E1144),ISNUMBER(F1144)),E1144-F1144,"n.a.")</x:f>
        <x:v>-295317739.3060217</x:v>
      </x:c>
      <x:c r="H1144" s="15" t="n">
        <x:f>IF(AND(ISNUMBER(E1144),ISNUMBER(F1144),F1144&gt;0),(E1144-F1144)/F1144,"n.a.")</x:f>
        <x:v>-0.6826041215450587</x:v>
      </x:c>
      <x:c r="I1144" s="19" t="n">
        <x:f>IF(ISNUMBER(H1144),ABS(H1144),"n.a.")</x:f>
        <x:v>0.6826041215450587</x:v>
      </x:c>
      <x:c r="J1144" s="2" t="str">
        <x:v>available</x:v>
      </x:c>
      <x:c r="K1144" s="2" t="n">
        <x:v>1</x:v>
      </x:c>
      <x:c r="L1144" s="13" t="b">
        <x:v>0</x:v>
      </x:c>
      <x:c r="M1144" s="13" t="b">
        <x:v>1</x:v>
      </x:c>
      <x:c r="N1144" s="2" t="str">
        <x:v>modeled_epoch_volume_with_fixed2018_height_and_predominant_use</x:v>
      </x:c>
      <x:c r="O1144" s="2" t="str"/>
      <x:c r="P1144" s="2" t="str">
        <x:v>built-up volume</x:v>
      </x:c>
      <x:c r="Q1144" s="2" t="str">
        <x:v>m3</x:v>
      </x:c>
      <x:c r="R1144" s="17" t="n">
        <x:v>1534321666.937255</x:v>
      </x:c>
      <x:c r="S1144" s="17" t="n">
        <x:v>486987373.31</x:v>
      </x:c>
      <x:c r="T1144" s="18" t="n">
        <x:v>0.28197084837472625</x:v>
      </x:c>
      <x:c r="U1144" s="17" t="n">
        <x:v>137316242.80000022</x:v>
      </x:c>
      <x:c r="V1144" s="2" t="str">
        <x:v>Area equivalent = model2020 * source volume / TEMPO2020 volume</x:v>
      </x:c>
      <x:c r="W1144" s="2" t="str">
        <x:v>qualified_paired_native_source_frame</x:v>
      </x:c>
      <x:c r="X1144" s="2" t="str">
        <x:v>https://human-settlement.emergency.copernicus.eu/ghs_buV2023.php</x:v>
      </x:c>
    </x:row>
    <x:row r="1145" ht="23" customHeight="1">
      <x:c r="A1145" s="2" t="str">
        <x:v>ROU</x:v>
      </x:c>
      <x:c r="B1145" s="2" t="str">
        <x:v>Romania</x:v>
      </x:c>
      <x:c r="C1145" s="2" t="n">
        <x:v>2020</x:v>
      </x:c>
      <x:c r="D1145" s="2" t="str">
        <x:v>GHSL_VOLUME</x:v>
      </x:c>
      <x:c r="E1145" s="17" t="n">
        <x:v>1451492077.9900024</x:v>
      </x:c>
      <x:c r="F1145" s="17" t="n">
        <x:f>IF(AND(M1145,ISNUMBER(R1145)),IF(D1145="TEMPO_PROXY",R1145,IF(AND(ISNUMBER(S1145),S1145&gt;0,ISNUMBER(U1145)),U1145*R1145/S1145,"n.a.")),"n.a.")</x:f>
        <x:v>3184238656.6770906</x:v>
      </x:c>
      <x:c r="G1145" s="17" t="n">
        <x:f>IF(AND(ISNUMBER(E1145),ISNUMBER(F1145)),E1145-F1145,"n.a.")</x:f>
        <x:v>-1732746578.6870883</x:v>
      </x:c>
      <x:c r="H1145" s="15" t="n">
        <x:f>IF(AND(ISNUMBER(E1145),ISNUMBER(F1145),F1145&gt;0),(E1145-F1145)/F1145,"n.a.")</x:f>
        <x:v>-0.5441635397063154</x:v>
      </x:c>
      <x:c r="I1145" s="19" t="n">
        <x:f>IF(ISNUMBER(H1145),ABS(H1145),"n.a.")</x:f>
        <x:v>0.5441635397063154</x:v>
      </x:c>
      <x:c r="J1145" s="2" t="str">
        <x:v>available</x:v>
      </x:c>
      <x:c r="K1145" s="2" t="n">
        <x:v>1</x:v>
      </x:c>
      <x:c r="L1145" s="13" t="b">
        <x:v>0</x:v>
      </x:c>
      <x:c r="M1145" s="13" t="b">
        <x:v>1</x:v>
      </x:c>
      <x:c r="N1145" s="2" t="str">
        <x:v>modeled_epoch_volume_with_fixed2018_height_and_predominant_use</x:v>
      </x:c>
      <x:c r="O1145" s="2" t="str"/>
      <x:c r="P1145" s="2" t="str">
        <x:v>built-up volume</x:v>
      </x:c>
      <x:c r="Q1145" s="2" t="str">
        <x:v>m3</x:v>
      </x:c>
      <x:c r="R1145" s="17" t="n">
        <x:v>9268314944.701962</x:v>
      </x:c>
      <x:c r="S1145" s="17" t="n">
        <x:v>4224835877.28</x:v>
      </x:c>
      <x:c r="T1145" s="18" t="n">
        <x:v>0.34356176669387933</x:v>
      </x:c>
      <x:c r="U1145" s="17" t="n">
        <x:v>1451492077.9900024</x:v>
      </x:c>
      <x:c r="V1145" s="2" t="str">
        <x:v>Area equivalent = model2020 * source volume / TEMPO2020 volume</x:v>
      </x:c>
      <x:c r="W1145" s="2" t="str">
        <x:v>qualified_paired_native_source_frame</x:v>
      </x:c>
      <x:c r="X1145" s="2" t="str">
        <x:v>https://human-settlement.emergency.copernicus.eu/ghs_buV2023.php</x:v>
      </x:c>
    </x:row>
    <x:row r="1146" ht="23" customHeight="1">
      <x:c r="A1146" s="2" t="str">
        <x:v>RUS</x:v>
      </x:c>
      <x:c r="B1146" s="2" t="str">
        <x:v>Russian Federation</x:v>
      </x:c>
      <x:c r="C1146" s="2" t="n">
        <x:v>2020</x:v>
      </x:c>
      <x:c r="D1146" s="2" t="str">
        <x:v>GHSL_VOLUME</x:v>
      </x:c>
      <x:c r="E1146" s="17" t="n">
        <x:v>7767687345.91001</x:v>
      </x:c>
      <x:c r="F1146" s="17" t="n">
        <x:f>IF(AND(M1146,ISNUMBER(R1146)),IF(D1146="TEMPO_PROXY",R1146,IF(AND(ISNUMBER(S1146),S1146&gt;0,ISNUMBER(U1146)),U1146*R1146/S1146,"n.a.")),"n.a.")</x:f>
        <x:v>21500576521.04414</x:v>
      </x:c>
      <x:c r="G1146" s="17" t="n">
        <x:f>IF(AND(ISNUMBER(E1146),ISNUMBER(F1146)),E1146-F1146,"n.a.")</x:f>
        <x:v>-13732889175.134129</x:v>
      </x:c>
      <x:c r="H1146" s="15" t="n">
        <x:f>IF(AND(ISNUMBER(E1146),ISNUMBER(F1146),F1146&gt;0),(E1146-F1146)/F1146,"n.a.")</x:f>
        <x:v>-0.6387219041169792</x:v>
      </x:c>
      <x:c r="I1146" s="19" t="n">
        <x:f>IF(ISNUMBER(H1146),ABS(H1146),"n.a.")</x:f>
        <x:v>0.6387219041169792</x:v>
      </x:c>
      <x:c r="J1146" s="2" t="str">
        <x:v>available</x:v>
      </x:c>
      <x:c r="K1146" s="2" t="n">
        <x:v>1</x:v>
      </x:c>
      <x:c r="L1146" s="13" t="b">
        <x:v>0</x:v>
      </x:c>
      <x:c r="M1146" s="13" t="b">
        <x:v>1</x:v>
      </x:c>
      <x:c r="N1146" s="2" t="str">
        <x:v>modeled_epoch_volume_with_fixed2018_height_and_predominant_use</x:v>
      </x:c>
      <x:c r="O1146" s="2" t="str"/>
      <x:c r="P1146" s="2" t="str">
        <x:v>built-up volume</x:v>
      </x:c>
      <x:c r="Q1146" s="2" t="str">
        <x:v>m3</x:v>
      </x:c>
      <x:c r="R1146" s="17" t="n">
        <x:v>71141190449.59216</x:v>
      </x:c>
      <x:c r="S1146" s="17" t="n">
        <x:v>25701753824.48</x:v>
      </x:c>
      <x:c r="T1146" s="18" t="n">
        <x:v>0.3022240193784584</x:v>
      </x:c>
      <x:c r="U1146" s="17" t="n">
        <x:v>7767687345.91001</x:v>
      </x:c>
      <x:c r="V1146" s="2" t="str">
        <x:v>Area equivalent = model2020 * source volume / TEMPO2020 volume</x:v>
      </x:c>
      <x:c r="W1146" s="2" t="str">
        <x:v>qualified_paired_native_source_frame</x:v>
      </x:c>
      <x:c r="X1146" s="2" t="str">
        <x:v>https://human-settlement.emergency.copernicus.eu/ghs_buV2023.php</x:v>
      </x:c>
    </x:row>
    <x:row r="1147" ht="23" customHeight="1">
      <x:c r="A1147" s="2" t="str">
        <x:v>RWA</x:v>
      </x:c>
      <x:c r="B1147" s="2" t="str">
        <x:v>Rwanda (Republic of)</x:v>
      </x:c>
      <x:c r="C1147" s="2" t="n">
        <x:v>2020</x:v>
      </x:c>
      <x:c r="D1147" s="2" t="str">
        <x:v>GHSL_VOLUME</x:v>
      </x:c>
      <x:c r="E1147" s="17" t="n">
        <x:v>244877324.63000005</x:v>
      </x:c>
      <x:c r="F1147" s="17" t="n">
        <x:f>IF(AND(M1147,ISNUMBER(R1147)),IF(D1147="TEMPO_PROXY",R1147,IF(AND(ISNUMBER(S1147),S1147&gt;0,ISNUMBER(U1147)),U1147*R1147/S1147,"n.a.")),"n.a.")</x:f>
        <x:v>1151172715.2546692</x:v>
      </x:c>
      <x:c r="G1147" s="17" t="n">
        <x:f>IF(AND(ISNUMBER(E1147),ISNUMBER(F1147)),E1147-F1147,"n.a.")</x:f>
        <x:v>-906295390.6246691</x:v>
      </x:c>
      <x:c r="H1147" s="15" t="n">
        <x:f>IF(AND(ISNUMBER(E1147),ISNUMBER(F1147),F1147&gt;0),(E1147-F1147)/F1147,"n.a.")</x:f>
        <x:v>-0.7872801175835488</x:v>
      </x:c>
      <x:c r="I1147" s="19" t="n">
        <x:f>IF(ISNUMBER(H1147),ABS(H1147),"n.a.")</x:f>
        <x:v>0.7872801175835488</x:v>
      </x:c>
      <x:c r="J1147" s="2" t="str">
        <x:v>available</x:v>
      </x:c>
      <x:c r="K1147" s="2" t="n">
        <x:v>1</x:v>
      </x:c>
      <x:c r="L1147" s="13" t="b">
        <x:v>0</x:v>
      </x:c>
      <x:c r="M1147" s="13" t="b">
        <x:v>1</x:v>
      </x:c>
      <x:c r="N1147" s="2" t="str">
        <x:v>modeled_epoch_volume_with_fixed2018_height_and_predominant_use</x:v>
      </x:c>
      <x:c r="O1147" s="2" t="str"/>
      <x:c r="P1147" s="2" t="str">
        <x:v>built-up volume</x:v>
      </x:c>
      <x:c r="Q1147" s="2" t="str">
        <x:v>m3</x:v>
      </x:c>
      <x:c r="R1147" s="17" t="n">
        <x:v>2327337431.490196</x:v>
      </x:c>
      <x:c r="S1147" s="17" t="n">
        <x:v>495070944.77</x:v>
      </x:c>
      <x:c r="T1147" s="18" t="n">
        <x:v>0.4946307740676746</x:v>
      </x:c>
      <x:c r="U1147" s="17" t="n">
        <x:v>244877324.63000005</x:v>
      </x:c>
      <x:c r="V1147" s="2" t="str">
        <x:v>Area equivalent = model2020 * source volume / TEMPO2020 volume</x:v>
      </x:c>
      <x:c r="W1147" s="2" t="str">
        <x:v>qualified_paired_native_source_frame</x:v>
      </x:c>
      <x:c r="X1147" s="2" t="str">
        <x:v>https://human-settlement.emergency.copernicus.eu/ghs_buV2023.php</x:v>
      </x:c>
    </x:row>
    <x:row r="1148" ht="23" customHeight="1">
      <x:c r="A1148" s="2" t="str">
        <x:v>SAU</x:v>
      </x:c>
      <x:c r="B1148" s="2" t="str">
        <x:v>Saudi Arabia (Kingdom of)</x:v>
      </x:c>
      <x:c r="C1148" s="2" t="n">
        <x:v>2020</x:v>
      </x:c>
      <x:c r="D1148" s="2" t="str">
        <x:v>GHSL_VOLUME</x:v>
      </x:c>
      <x:c r="E1148" s="17" t="n">
        <x:v>1911722272.930002</x:v>
      </x:c>
      <x:c r="F1148" s="17" t="n">
        <x:f>IF(AND(M1148,ISNUMBER(R1148)),IF(D1148="TEMPO_PROXY",R1148,IF(AND(ISNUMBER(S1148),S1148&gt;0,ISNUMBER(U1148)),U1148*R1148/S1148,"n.a.")),"n.a.")</x:f>
        <x:v>5579195220.6793375</x:v>
      </x:c>
      <x:c r="G1148" s="17" t="n">
        <x:f>IF(AND(ISNUMBER(E1148),ISNUMBER(F1148)),E1148-F1148,"n.a.")</x:f>
        <x:v>-3667472947.7493353</x:v>
      </x:c>
      <x:c r="H1148" s="15" t="n">
        <x:f>IF(AND(ISNUMBER(E1148),ISNUMBER(F1148),F1148&gt;0),(E1148-F1148)/F1148,"n.a.")</x:f>
        <x:v>-0.6573480229112281</x:v>
      </x:c>
      <x:c r="I1148" s="19" t="n">
        <x:f>IF(ISNUMBER(H1148),ABS(H1148),"n.a.")</x:f>
        <x:v>0.6573480229112281</x:v>
      </x:c>
      <x:c r="J1148" s="2" t="str">
        <x:v>available</x:v>
      </x:c>
      <x:c r="K1148" s="2" t="n">
        <x:v>1</x:v>
      </x:c>
      <x:c r="L1148" s="13" t="b">
        <x:v>0</x:v>
      </x:c>
      <x:c r="M1148" s="13" t="b">
        <x:v>1</x:v>
      </x:c>
      <x:c r="N1148" s="2" t="str">
        <x:v>modeled_epoch_volume_with_fixed2018_height_and_predominant_use</x:v>
      </x:c>
      <x:c r="O1148" s="2" t="str"/>
      <x:c r="P1148" s="2" t="str">
        <x:v>built-up volume</x:v>
      </x:c>
      <x:c r="Q1148" s="2" t="str">
        <x:v>m3</x:v>
      </x:c>
      <x:c r="R1148" s="17" t="n">
        <x:v>18609628037.7451</x:v>
      </x:c>
      <x:c r="S1148" s="17" t="n">
        <x:v>6376625840.02</x:v>
      </x:c>
      <x:c r="T1148" s="18" t="n">
        <x:v>0.29980154409122517</x:v>
      </x:c>
      <x:c r="U1148" s="17" t="n">
        <x:v>1911722272.930002</x:v>
      </x:c>
      <x:c r="V1148" s="2" t="str">
        <x:v>Area equivalent = model2020 * source volume / TEMPO2020 volume</x:v>
      </x:c>
      <x:c r="W1148" s="2" t="str">
        <x:v>qualified_paired_native_source_frame</x:v>
      </x:c>
      <x:c r="X1148" s="2" t="str">
        <x:v>https://human-settlement.emergency.copernicus.eu/ghs_buV2023.php</x:v>
      </x:c>
    </x:row>
    <x:row r="1149" ht="23" customHeight="1">
      <x:c r="A1149" s="2" t="str">
        <x:v>SDN</x:v>
      </x:c>
      <x:c r="B1149" s="2" t="str">
        <x:v>Sudan (Republic of the)</x:v>
      </x:c>
      <x:c r="C1149" s="2" t="n">
        <x:v>2020</x:v>
      </x:c>
      <x:c r="D1149" s="2" t="str">
        <x:v>GHSL_VOLUME</x:v>
      </x:c>
      <x:c r="E1149" s="17" t="n">
        <x:v>751311239.6000005</x:v>
      </x:c>
      <x:c r="F1149" s="17" t="n">
        <x:f>IF(AND(M1149,ISNUMBER(R1149)),IF(D1149="TEMPO_PROXY",R1149,IF(AND(ISNUMBER(S1149),S1149&gt;0,ISNUMBER(U1149)),U1149*R1149/S1149,"n.a.")),"n.a.")</x:f>
        <x:v>3256337277.441256</x:v>
      </x:c>
      <x:c r="G1149" s="17" t="n">
        <x:f>IF(AND(ISNUMBER(E1149),ISNUMBER(F1149)),E1149-F1149,"n.a.")</x:f>
        <x:v>-2505026037.8412557</x:v>
      </x:c>
      <x:c r="H1149" s="15" t="n">
        <x:f>IF(AND(ISNUMBER(E1149),ISNUMBER(F1149),F1149&gt;0),(E1149-F1149)/F1149,"n.a.")</x:f>
        <x:v>-0.7692772045436396</x:v>
      </x:c>
      <x:c r="I1149" s="19" t="n">
        <x:f>IF(ISNUMBER(H1149),ABS(H1149),"n.a.")</x:f>
        <x:v>0.7692772045436396</x:v>
      </x:c>
      <x:c r="J1149" s="2" t="str">
        <x:v>available</x:v>
      </x:c>
      <x:c r="K1149" s="2" t="n">
        <x:v>1</x:v>
      </x:c>
      <x:c r="L1149" s="13" t="b">
        <x:v>0</x:v>
      </x:c>
      <x:c r="M1149" s="13" t="b">
        <x:v>1</x:v>
      </x:c>
      <x:c r="N1149" s="2" t="str">
        <x:v>modeled_epoch_volume_with_fixed2018_height_and_predominant_use</x:v>
      </x:c>
      <x:c r="O1149" s="2" t="str"/>
      <x:c r="P1149" s="2" t="str">
        <x:v>built-up volume</x:v>
      </x:c>
      <x:c r="Q1149" s="2" t="str">
        <x:v>m3</x:v>
      </x:c>
      <x:c r="R1149" s="17" t="n">
        <x:v>7687931605.160784</x:v>
      </x:c>
      <x:c r="S1149" s="17" t="n">
        <x:v>1773781071.22</x:v>
      </x:c>
      <x:c r="T1149" s="18" t="n">
        <x:v>0.42356480841418126</x:v>
      </x:c>
      <x:c r="U1149" s="17" t="n">
        <x:v>751311239.6000005</x:v>
      </x:c>
      <x:c r="V1149" s="2" t="str">
        <x:v>Area equivalent = model2020 * source volume / TEMPO2020 volume</x:v>
      </x:c>
      <x:c r="W1149" s="2" t="str">
        <x:v>qualified_paired_native_source_frame</x:v>
      </x:c>
      <x:c r="X1149" s="2" t="str">
        <x:v>https://human-settlement.emergency.copernicus.eu/ghs_buV2023.php</x:v>
      </x:c>
    </x:row>
    <x:row r="1150" ht="23" customHeight="1">
      <x:c r="A1150" s="2" t="str">
        <x:v>SEN</x:v>
      </x:c>
      <x:c r="B1150" s="2" t="str">
        <x:v>Senegal (Republic of)</x:v>
      </x:c>
      <x:c r="C1150" s="2" t="n">
        <x:v>2020</x:v>
      </x:c>
      <x:c r="D1150" s="2" t="str">
        <x:v>GHSL_VOLUME</x:v>
      </x:c>
      <x:c r="E1150" s="17" t="n">
        <x:v>305052833.6899998</x:v>
      </x:c>
      <x:c r="F1150" s="17" t="n">
        <x:f>IF(AND(M1150,ISNUMBER(R1150)),IF(D1150="TEMPO_PROXY",R1150,IF(AND(ISNUMBER(S1150),S1150&gt;0,ISNUMBER(U1150)),U1150*R1150/S1150,"n.a.")),"n.a.")</x:f>
        <x:v>1271917672.8515332</x:v>
      </x:c>
      <x:c r="G1150" s="17" t="n">
        <x:f>IF(AND(ISNUMBER(E1150),ISNUMBER(F1150)),E1150-F1150,"n.a.")</x:f>
        <x:v>-966864839.1615334</x:v>
      </x:c>
      <x:c r="H1150" s="15" t="n">
        <x:f>IF(AND(ISNUMBER(E1150),ISNUMBER(F1150),F1150&gt;0),(E1150-F1150)/F1150,"n.a.")</x:f>
        <x:v>-0.7601630669962335</x:v>
      </x:c>
      <x:c r="I1150" s="19" t="n">
        <x:f>IF(ISNUMBER(H1150),ABS(H1150),"n.a.")</x:f>
        <x:v>0.7601630669962335</x:v>
      </x:c>
      <x:c r="J1150" s="2" t="str">
        <x:v>available</x:v>
      </x:c>
      <x:c r="K1150" s="2" t="n">
        <x:v>1</x:v>
      </x:c>
      <x:c r="L1150" s="13" t="b">
        <x:v>0</x:v>
      </x:c>
      <x:c r="M1150" s="13" t="b">
        <x:v>1</x:v>
      </x:c>
      <x:c r="N1150" s="2" t="str">
        <x:v>modeled_epoch_volume_with_fixed2018_height_and_predominant_use</x:v>
      </x:c>
      <x:c r="O1150" s="2" t="str"/>
      <x:c r="P1150" s="2" t="str">
        <x:v>built-up volume</x:v>
      </x:c>
      <x:c r="Q1150" s="2" t="str">
        <x:v>m3</x:v>
      </x:c>
      <x:c r="R1150" s="17" t="n">
        <x:v>3230521085.2901964</x:v>
      </x:c>
      <x:c r="S1150" s="17" t="n">
        <x:v>774798269.1</x:v>
      </x:c>
      <x:c r="T1150" s="18" t="n">
        <x:v>0.3937190438542757</x:v>
      </x:c>
      <x:c r="U1150" s="17" t="n">
        <x:v>305052833.6899998</x:v>
      </x:c>
      <x:c r="V1150" s="2" t="str">
        <x:v>Area equivalent = model2020 * source volume / TEMPO2020 volume</x:v>
      </x:c>
      <x:c r="W1150" s="2" t="str">
        <x:v>qualified_paired_native_source_frame</x:v>
      </x:c>
      <x:c r="X1150" s="2" t="str">
        <x:v>https://human-settlement.emergency.copernicus.eu/ghs_buV2023.php</x:v>
      </x:c>
    </x:row>
    <x:row r="1151" ht="23" customHeight="1">
      <x:c r="A1151" s="2" t="str">
        <x:v>SGP</x:v>
      </x:c>
      <x:c r="B1151" s="2" t="str">
        <x:v>Singapore (Republic of)</x:v>
      </x:c>
      <x:c r="C1151" s="2" t="n">
        <x:v>2020</x:v>
      </x:c>
      <x:c r="D1151" s="2" t="str">
        <x:v>GHSL_VOLUME</x:v>
      </x:c>
      <x:c r="E1151" s="17" t="n">
        <x:v>194662203.04</x:v>
      </x:c>
      <x:c r="F1151" s="17" t="n">
        <x:f>IF(AND(M1151,ISNUMBER(R1151)),IF(D1151="TEMPO_PROXY",R1151,IF(AND(ISNUMBER(S1151),S1151&gt;0,ISNUMBER(U1151)),U1151*R1151/S1151,"n.a.")),"n.a.")</x:f>
        <x:v>468195486.896417</x:v>
      </x:c>
      <x:c r="G1151" s="17" t="n">
        <x:f>IF(AND(ISNUMBER(E1151),ISNUMBER(F1151)),E1151-F1151,"n.a.")</x:f>
        <x:v>-273533283.85641706</x:v>
      </x:c>
      <x:c r="H1151" s="15" t="n">
        <x:f>IF(AND(ISNUMBER(E1151),ISNUMBER(F1151),F1151&gt;0),(E1151-F1151)/F1151,"n.a.")</x:f>
        <x:v>-0.584228792271407</x:v>
      </x:c>
      <x:c r="I1151" s="19" t="n">
        <x:f>IF(ISNUMBER(H1151),ABS(H1151),"n.a.")</x:f>
        <x:v>0.584228792271407</x:v>
      </x:c>
      <x:c r="J1151" s="2" t="str">
        <x:v>available</x:v>
      </x:c>
      <x:c r="K1151" s="2" t="n">
        <x:v>1</x:v>
      </x:c>
      <x:c r="L1151" s="13" t="b">
        <x:v>0</x:v>
      </x:c>
      <x:c r="M1151" s="13" t="b">
        <x:v>1</x:v>
      </x:c>
      <x:c r="N1151" s="2" t="str">
        <x:v>modeled_epoch_volume_with_fixed2018_height_and_predominant_use</x:v>
      </x:c>
      <x:c r="O1151" s="2" t="str"/>
      <x:c r="P1151" s="2" t="str">
        <x:v>built-up volume</x:v>
      </x:c>
      <x:c r="Q1151" s="2" t="str">
        <x:v>m3</x:v>
      </x:c>
      <x:c r="R1151" s="17" t="n">
        <x:v>1693185304.6196074</x:v>
      </x:c>
      <x:c r="S1151" s="17" t="n">
        <x:v>703977699.01</x:v>
      </x:c>
      <x:c r="T1151" s="18" t="n">
        <x:v>0.27651757053348763</x:v>
      </x:c>
      <x:c r="U1151" s="17" t="n">
        <x:v>194662203.04</x:v>
      </x:c>
      <x:c r="V1151" s="2" t="str">
        <x:v>Area equivalent = model2020 * source volume / TEMPO2020 volume</x:v>
      </x:c>
      <x:c r="W1151" s="2" t="str">
        <x:v>qualified_paired_native_source_frame</x:v>
      </x:c>
      <x:c r="X1151" s="2" t="str">
        <x:v>https://human-settlement.emergency.copernicus.eu/ghs_buV2023.php</x:v>
      </x:c>
    </x:row>
    <x:row r="1152" ht="23" customHeight="1">
      <x:c r="A1152" s="2" t="str">
        <x:v>SLB</x:v>
      </x:c>
      <x:c r="B1152" s="2" t="str">
        <x:v>Solomon Islands</x:v>
      </x:c>
      <x:c r="C1152" s="2" t="n">
        <x:v>2020</x:v>
      </x:c>
      <x:c r="D1152" s="2" t="str">
        <x:v>GHSL_VOLUME</x:v>
      </x:c>
      <x:c r="E1152" s="17" t="n">
        <x:v>14438629.189999975</x:v>
      </x:c>
      <x:c r="F1152" s="17" t="n">
        <x:f>IF(AND(M1152,ISNUMBER(R1152)),IF(D1152="TEMPO_PROXY",R1152,IF(AND(ISNUMBER(S1152),S1152&gt;0,ISNUMBER(U1152)),U1152*R1152/S1152,"n.a.")),"n.a.")</x:f>
        <x:v>57619471.071874574</x:v>
      </x:c>
      <x:c r="G1152" s="17" t="n">
        <x:f>IF(AND(ISNUMBER(E1152),ISNUMBER(F1152)),E1152-F1152,"n.a.")</x:f>
        <x:v>-43180841.8818746</x:v>
      </x:c>
      <x:c r="H1152" s="15" t="n">
        <x:f>IF(AND(ISNUMBER(E1152),ISNUMBER(F1152),F1152&gt;0),(E1152-F1152)/F1152,"n.a.")</x:f>
        <x:v>-0.7494140622709081</x:v>
      </x:c>
      <x:c r="I1152" s="19" t="n">
        <x:f>IF(ISNUMBER(H1152),ABS(H1152),"n.a.")</x:f>
        <x:v>0.7494140622709081</x:v>
      </x:c>
      <x:c r="J1152" s="2" t="str">
        <x:v>available</x:v>
      </x:c>
      <x:c r="K1152" s="2" t="n">
        <x:v>1</x:v>
      </x:c>
      <x:c r="L1152" s="13" t="b">
        <x:v>0</x:v>
      </x:c>
      <x:c r="M1152" s="13" t="b">
        <x:v>1</x:v>
      </x:c>
      <x:c r="N1152" s="2" t="str">
        <x:v>modeled_epoch_volume_with_fixed2018_height_and_predominant_use</x:v>
      </x:c>
      <x:c r="O1152" s="2" t="str"/>
      <x:c r="P1152" s="2" t="str">
        <x:v>built-up volume</x:v>
      </x:c>
      <x:c r="Q1152" s="2" t="str">
        <x:v>m3</x:v>
      </x:c>
      <x:c r="R1152" s="17" t="n">
        <x:v>124442315.32941177</x:v>
      </x:c>
      <x:c r="S1152" s="17" t="n">
        <x:v>31183494.28</x:v>
      </x:c>
      <x:c r="T1152" s="18" t="n">
        <x:v>0.4630215286444151</x:v>
      </x:c>
      <x:c r="U1152" s="17" t="n">
        <x:v>14438629.189999975</x:v>
      </x:c>
      <x:c r="V1152" s="2" t="str">
        <x:v>Area equivalent = model2020 * source volume / TEMPO2020 volume</x:v>
      </x:c>
      <x:c r="W1152" s="2" t="str">
        <x:v>qualified_paired_native_source_frame</x:v>
      </x:c>
      <x:c r="X1152" s="2" t="str">
        <x:v>https://human-settlement.emergency.copernicus.eu/ghs_buV2023.php</x:v>
      </x:c>
    </x:row>
    <x:row r="1153" ht="23" customHeight="1">
      <x:c r="A1153" s="2" t="str">
        <x:v>SLE</x:v>
      </x:c>
      <x:c r="B1153" s="2" t="str">
        <x:v>Sierra Leone (Republic of)</x:v>
      </x:c>
      <x:c r="C1153" s="2" t="n">
        <x:v>2020</x:v>
      </x:c>
      <x:c r="D1153" s="2" t="str">
        <x:v>GHSL_VOLUME</x:v>
      </x:c>
      <x:c r="E1153" s="17" t="n">
        <x:v>115259924.94999996</x:v>
      </x:c>
      <x:c r="F1153" s="17" t="n">
        <x:f>IF(AND(M1153,ISNUMBER(R1153)),IF(D1153="TEMPO_PROXY",R1153,IF(AND(ISNUMBER(S1153),S1153&gt;0,ISNUMBER(U1153)),U1153*R1153/S1153,"n.a.")),"n.a.")</x:f>
        <x:v>534385650.78519</x:v>
      </x:c>
      <x:c r="G1153" s="17" t="n">
        <x:f>IF(AND(ISNUMBER(E1153),ISNUMBER(F1153)),E1153-F1153,"n.a.")</x:f>
        <x:v>-419125725.83519006</x:v>
      </x:c>
      <x:c r="H1153" s="15" t="n">
        <x:f>IF(AND(ISNUMBER(E1153),ISNUMBER(F1153),F1153&gt;0),(E1153-F1153)/F1153,"n.a.")</x:f>
        <x:v>-0.7843132112910501</x:v>
      </x:c>
      <x:c r="I1153" s="19" t="n">
        <x:f>IF(ISNUMBER(H1153),ABS(H1153),"n.a.")</x:f>
        <x:v>0.7843132112910501</x:v>
      </x:c>
      <x:c r="J1153" s="2" t="str">
        <x:v>available</x:v>
      </x:c>
      <x:c r="K1153" s="2" t="n">
        <x:v>1</x:v>
      </x:c>
      <x:c r="L1153" s="13" t="b">
        <x:v>0</x:v>
      </x:c>
      <x:c r="M1153" s="13" t="b">
        <x:v>1</x:v>
      </x:c>
      <x:c r="N1153" s="2" t="str">
        <x:v>modeled_epoch_volume_with_fixed2018_height_and_predominant_use</x:v>
      </x:c>
      <x:c r="O1153" s="2" t="str"/>
      <x:c r="P1153" s="2" t="str">
        <x:v>built-up volume</x:v>
      </x:c>
      <x:c r="Q1153" s="2" t="str">
        <x:v>m3</x:v>
      </x:c>
      <x:c r="R1153" s="17" t="n">
        <x:v>1223139206.9450984</x:v>
      </x:c>
      <x:c r="S1153" s="17" t="n">
        <x:v>263814967.69</x:v>
      </x:c>
      <x:c r="T1153" s="18" t="n">
        <x:v>0.43689683704920784</x:v>
      </x:c>
      <x:c r="U1153" s="17" t="n">
        <x:v>115259924.94999996</x:v>
      </x:c>
      <x:c r="V1153" s="2" t="str">
        <x:v>Area equivalent = model2020 * source volume / TEMPO2020 volume</x:v>
      </x:c>
      <x:c r="W1153" s="2" t="str">
        <x:v>qualified_paired_native_source_frame</x:v>
      </x:c>
      <x:c r="X1153" s="2" t="str">
        <x:v>https://human-settlement.emergency.copernicus.eu/ghs_buV2023.php</x:v>
      </x:c>
    </x:row>
    <x:row r="1154" ht="23" customHeight="1">
      <x:c r="A1154" s="2" t="str">
        <x:v>SLV</x:v>
      </x:c>
      <x:c r="B1154" s="2" t="str">
        <x:v>El Salvador (Republic of)</x:v>
      </x:c>
      <x:c r="C1154" s="2" t="n">
        <x:v>2020</x:v>
      </x:c>
      <x:c r="D1154" s="2" t="str">
        <x:v>GHSL_VOLUME</x:v>
      </x:c>
      <x:c r="E1154" s="17" t="n">
        <x:v>245414047.01000017</x:v>
      </x:c>
      <x:c r="F1154" s="17" t="n">
        <x:f>IF(AND(M1154,ISNUMBER(R1154)),IF(D1154="TEMPO_PROXY",R1154,IF(AND(ISNUMBER(S1154),S1154&gt;0,ISNUMBER(U1154)),U1154*R1154/S1154,"n.a.")),"n.a.")</x:f>
        <x:v>695869686.7760838</x:v>
      </x:c>
      <x:c r="G1154" s="17" t="n">
        <x:f>IF(AND(ISNUMBER(E1154),ISNUMBER(F1154)),E1154-F1154,"n.a.")</x:f>
        <x:v>-450455639.76608366</x:v>
      </x:c>
      <x:c r="H1154" s="15" t="n">
        <x:f>IF(AND(ISNUMBER(E1154),ISNUMBER(F1154),F1154&gt;0),(E1154-F1154)/F1154,"n.a.")</x:f>
        <x:v>-0.6473275791808284</x:v>
      </x:c>
      <x:c r="I1154" s="19" t="n">
        <x:f>IF(ISNUMBER(H1154),ABS(H1154),"n.a.")</x:f>
        <x:v>0.6473275791808284</x:v>
      </x:c>
      <x:c r="J1154" s="2" t="str">
        <x:v>available</x:v>
      </x:c>
      <x:c r="K1154" s="2" t="n">
        <x:v>1</x:v>
      </x:c>
      <x:c r="L1154" s="13" t="b">
        <x:v>0</x:v>
      </x:c>
      <x:c r="M1154" s="13" t="b">
        <x:v>1</x:v>
      </x:c>
      <x:c r="N1154" s="2" t="str">
        <x:v>modeled_epoch_volume_with_fixed2018_height_and_predominant_use</x:v>
      </x:c>
      <x:c r="O1154" s="2" t="str"/>
      <x:c r="P1154" s="2" t="str">
        <x:v>built-up volume</x:v>
      </x:c>
      <x:c r="Q1154" s="2" t="str">
        <x:v>m3</x:v>
      </x:c>
      <x:c r="R1154" s="17" t="n">
        <x:v>1791543948.807843</x:v>
      </x:c>
      <x:c r="S1154" s="17" t="n">
        <x:v>631828141.43</x:v>
      </x:c>
      <x:c r="T1154" s="18" t="n">
        <x:v>0.3884189875660825</x:v>
      </x:c>
      <x:c r="U1154" s="17" t="n">
        <x:v>245414047.01000017</x:v>
      </x:c>
      <x:c r="V1154" s="2" t="str">
        <x:v>Area equivalent = model2020 * source volume / TEMPO2020 volume</x:v>
      </x:c>
      <x:c r="W1154" s="2" t="str">
        <x:v>qualified_paired_native_source_frame</x:v>
      </x:c>
      <x:c r="X1154" s="2" t="str">
        <x:v>https://human-settlement.emergency.copernicus.eu/ghs_buV2023.php</x:v>
      </x:c>
    </x:row>
    <x:row r="1155" ht="23" customHeight="1">
      <x:c r="A1155" s="2" t="str">
        <x:v>SMR</x:v>
      </x:c>
      <x:c r="B1155" s="2" t="str">
        <x:v>San Marino (Republic of)</x:v>
      </x:c>
      <x:c r="C1155" s="2" t="n">
        <x:v>2020</x:v>
      </x:c>
      <x:c r="D1155" s="2" t="str">
        <x:v>GHSL_VOLUME</x:v>
      </x:c>
      <x:c r="E1155" s="17" t="n">
        <x:v>3030681.630000002</x:v>
      </x:c>
      <x:c r="F1155" s="17" t="n">
        <x:f>IF(AND(M1155,ISNUMBER(R1155)),IF(D1155="TEMPO_PROXY",R1155,IF(AND(ISNUMBER(S1155),S1155&gt;0,ISNUMBER(U1155)),U1155*R1155/S1155,"n.a.")),"n.a.")</x:f>
        <x:v>7670044.674468446</x:v>
      </x:c>
      <x:c r="G1155" s="17" t="n">
        <x:f>IF(AND(ISNUMBER(E1155),ISNUMBER(F1155)),E1155-F1155,"n.a.")</x:f>
        <x:v>-4639363.044468444</x:v>
      </x:c>
      <x:c r="H1155" s="15" t="n">
        <x:f>IF(AND(ISNUMBER(E1155),ISNUMBER(F1155),F1155&gt;0),(E1155-F1155)/F1155,"n.a.")</x:f>
        <x:v>-0.6048677995203416</x:v>
      </x:c>
      <x:c r="I1155" s="19" t="n">
        <x:f>IF(ISNUMBER(H1155),ABS(H1155),"n.a.")</x:f>
        <x:v>0.6048677995203416</x:v>
      </x:c>
      <x:c r="J1155" s="2" t="str">
        <x:v>available</x:v>
      </x:c>
      <x:c r="K1155" s="2" t="n">
        <x:v>1</x:v>
      </x:c>
      <x:c r="L1155" s="13" t="b">
        <x:v>0</x:v>
      </x:c>
      <x:c r="M1155" s="13" t="b">
        <x:v>1</x:v>
      </x:c>
      <x:c r="N1155" s="2" t="str">
        <x:v>modeled_epoch_volume_with_fixed2018_height_and_predominant_use</x:v>
      </x:c>
      <x:c r="O1155" s="2" t="str"/>
      <x:c r="P1155" s="2" t="str">
        <x:v>built-up volume</x:v>
      </x:c>
      <x:c r="Q1155" s="2" t="str">
        <x:v>m3</x:v>
      </x:c>
      <x:c r="R1155" s="17" t="n">
        <x:v>28179522.211764704</x:v>
      </x:c>
      <x:c r="S1155" s="17" t="n">
        <x:v>11134636.62</x:v>
      </x:c>
      <x:c r="T1155" s="18" t="n">
        <x:v>0.27218505043588953</x:v>
      </x:c>
      <x:c r="U1155" s="17" t="n">
        <x:v>3030681.630000002</x:v>
      </x:c>
      <x:c r="V1155" s="2" t="str">
        <x:v>Area equivalent = model2020 * source volume / TEMPO2020 volume</x:v>
      </x:c>
      <x:c r="W1155" s="2" t="str">
        <x:v>qualified_paired_native_source_frame</x:v>
      </x:c>
      <x:c r="X1155" s="2" t="str">
        <x:v>https://human-settlement.emergency.copernicus.eu/ghs_buV2023.php</x:v>
      </x:c>
    </x:row>
    <x:row r="1156" ht="23" customHeight="1">
      <x:c r="A1156" s="2" t="str">
        <x:v>SOM</x:v>
      </x:c>
      <x:c r="B1156" s="2" t="str">
        <x:v>Somalia (Federal Republic of)</x:v>
      </x:c>
      <x:c r="C1156" s="2" t="n">
        <x:v>2020</x:v>
      </x:c>
      <x:c r="D1156" s="2" t="str">
        <x:v>GHSL_VOLUME</x:v>
      </x:c>
      <x:c r="E1156" s="17" t="n">
        <x:v>134848326.33000013</x:v>
      </x:c>
      <x:c r="F1156" s="17" t="n">
        <x:f>IF(AND(M1156,ISNUMBER(R1156)),IF(D1156="TEMPO_PROXY",R1156,IF(AND(ISNUMBER(S1156),S1156&gt;0,ISNUMBER(U1156)),U1156*R1156/S1156,"n.a.")),"n.a.")</x:f>
        <x:v>488451814.43569016</x:v>
      </x:c>
      <x:c r="G1156" s="17" t="n">
        <x:f>IF(AND(ISNUMBER(E1156),ISNUMBER(F1156)),E1156-F1156,"n.a.")</x:f>
        <x:v>-353603488.10569</x:v>
      </x:c>
      <x:c r="H1156" s="15" t="n">
        <x:f>IF(AND(ISNUMBER(E1156),ISNUMBER(F1156),F1156&gt;0),(E1156-F1156)/F1156,"n.a.")</x:f>
        <x:v>-0.7239270643598881</x:v>
      </x:c>
      <x:c r="I1156" s="19" t="n">
        <x:f>IF(ISNUMBER(H1156),ABS(H1156),"n.a.")</x:f>
        <x:v>0.7239270643598881</x:v>
      </x:c>
      <x:c r="J1156" s="2" t="str">
        <x:v>available</x:v>
      </x:c>
      <x:c r="K1156" s="2" t="n">
        <x:v>1</x:v>
      </x:c>
      <x:c r="L1156" s="13" t="b">
        <x:v>0</x:v>
      </x:c>
      <x:c r="M1156" s="13" t="b">
        <x:v>1</x:v>
      </x:c>
      <x:c r="N1156" s="2" t="str">
        <x:v>modeled_epoch_volume_with_fixed2018_height_and_predominant_use</x:v>
      </x:c>
      <x:c r="O1156" s="2" t="str"/>
      <x:c r="P1156" s="2" t="str">
        <x:v>built-up volume</x:v>
      </x:c>
      <x:c r="Q1156" s="2" t="str">
        <x:v>m3</x:v>
      </x:c>
      <x:c r="R1156" s="17" t="n">
        <x:v>1200258211.9529412</x:v>
      </x:c>
      <x:c r="S1156" s="17" t="n">
        <x:v>331358808.1</x:v>
      </x:c>
      <x:c r="T1156" s="18" t="n">
        <x:v>0.4069556113604337</x:v>
      </x:c>
      <x:c r="U1156" s="17" t="n">
        <x:v>134848326.33000013</x:v>
      </x:c>
      <x:c r="V1156" s="2" t="str">
        <x:v>Area equivalent = model2020 * source volume / TEMPO2020 volume</x:v>
      </x:c>
      <x:c r="W1156" s="2" t="str">
        <x:v>qualified_paired_native_source_frame</x:v>
      </x:c>
      <x:c r="X1156" s="2" t="str">
        <x:v>https://human-settlement.emergency.copernicus.eu/ghs_buV2023.php</x:v>
      </x:c>
    </x:row>
    <x:row r="1157" ht="23" customHeight="1">
      <x:c r="A1157" s="2" t="str">
        <x:v>SRB</x:v>
      </x:c>
      <x:c r="B1157" s="2" t="str">
        <x:v>Serbia (Republic of)</x:v>
      </x:c>
      <x:c r="C1157" s="2" t="n">
        <x:v>2020</x:v>
      </x:c>
      <x:c r="D1157" s="2" t="str">
        <x:v>GHSL_VOLUME</x:v>
      </x:c>
      <x:c r="E1157" s="17" t="n">
        <x:v>584520286.2100008</x:v>
      </x:c>
      <x:c r="F1157" s="17" t="n">
        <x:f>IF(AND(M1157,ISNUMBER(R1157)),IF(D1157="TEMPO_PROXY",R1157,IF(AND(ISNUMBER(S1157),S1157&gt;0,ISNUMBER(U1157)),U1157*R1157/S1157,"n.a.")),"n.a.")</x:f>
        <x:v>1237272595.4894052</x:v>
      </x:c>
      <x:c r="G1157" s="17" t="n">
        <x:f>IF(AND(ISNUMBER(E1157),ISNUMBER(F1157)),E1157-F1157,"n.a.")</x:f>
        <x:v>-652752309.2794044</x:v>
      </x:c>
      <x:c r="H1157" s="15" t="n">
        <x:f>IF(AND(ISNUMBER(E1157),ISNUMBER(F1157),F1157&gt;0),(E1157-F1157)/F1157,"n.a.")</x:f>
        <x:v>-0.5275735611207061</x:v>
      </x:c>
      <x:c r="I1157" s="19" t="n">
        <x:f>IF(ISNUMBER(H1157),ABS(H1157),"n.a.")</x:f>
        <x:v>0.5275735611207061</x:v>
      </x:c>
      <x:c r="J1157" s="2" t="str">
        <x:v>available</x:v>
      </x:c>
      <x:c r="K1157" s="2" t="n">
        <x:v>1</x:v>
      </x:c>
      <x:c r="L1157" s="13" t="b">
        <x:v>0</x:v>
      </x:c>
      <x:c r="M1157" s="13" t="b">
        <x:v>1</x:v>
      </x:c>
      <x:c r="N1157" s="2" t="str">
        <x:v>modeled_epoch_volume_with_fixed2018_height_and_predominant_use</x:v>
      </x:c>
      <x:c r="O1157" s="2" t="str"/>
      <x:c r="P1157" s="2" t="str">
        <x:v>built-up volume</x:v>
      </x:c>
      <x:c r="Q1157" s="2" t="str">
        <x:v>m3</x:v>
      </x:c>
      <x:c r="R1157" s="17" t="n">
        <x:v>3438481444.1450973</x:v>
      </x:c>
      <x:c r="S1157" s="17" t="n">
        <x:v>1624429543.81</x:v>
      </x:c>
      <x:c r="T1157" s="18" t="n">
        <x:v>0.3598311102118004</x:v>
      </x:c>
      <x:c r="U1157" s="17" t="n">
        <x:v>584520286.2100008</x:v>
      </x:c>
      <x:c r="V1157" s="2" t="str">
        <x:v>Area equivalent = model2020 * source volume / TEMPO2020 volume</x:v>
      </x:c>
      <x:c r="W1157" s="2" t="str">
        <x:v>qualified_paired_native_source_frame</x:v>
      </x:c>
      <x:c r="X1157" s="2" t="str">
        <x:v>https://human-settlement.emergency.copernicus.eu/ghs_buV2023.php</x:v>
      </x:c>
    </x:row>
    <x:row r="1158" ht="23" customHeight="1">
      <x:c r="A1158" s="2" t="str">
        <x:v>SSD</x:v>
      </x:c>
      <x:c r="B1158" s="2" t="str">
        <x:v>South Sudan (Republic of)</x:v>
      </x:c>
      <x:c r="C1158" s="2" t="n">
        <x:v>2020</x:v>
      </x:c>
      <x:c r="D1158" s="2" t="str">
        <x:v>GHSL_VOLUME</x:v>
      </x:c>
      <x:c r="E1158" s="17" t="n">
        <x:v>82483216.59000005</x:v>
      </x:c>
      <x:c r="F1158" s="17" t="n">
        <x:f>IF(AND(M1158,ISNUMBER(R1158)),IF(D1158="TEMPO_PROXY",R1158,IF(AND(ISNUMBER(S1158),S1158&gt;0,ISNUMBER(U1158)),U1158*R1158/S1158,"n.a.")),"n.a.")</x:f>
        <x:v>411320660.405041</x:v>
      </x:c>
      <x:c r="G1158" s="17" t="n">
        <x:f>IF(AND(ISNUMBER(E1158),ISNUMBER(F1158)),E1158-F1158,"n.a.")</x:f>
        <x:v>-328837443.81504095</x:v>
      </x:c>
      <x:c r="H1158" s="15" t="n">
        <x:f>IF(AND(ISNUMBER(E1158),ISNUMBER(F1158),F1158&gt;0),(E1158-F1158)/F1158,"n.a.")</x:f>
        <x:v>-0.7994673632275702</x:v>
      </x:c>
      <x:c r="I1158" s="19" t="n">
        <x:f>IF(ISNUMBER(H1158),ABS(H1158),"n.a.")</x:f>
        <x:v>0.7994673632275702</x:v>
      </x:c>
      <x:c r="J1158" s="2" t="str">
        <x:v>available</x:v>
      </x:c>
      <x:c r="K1158" s="2" t="n">
        <x:v>1</x:v>
      </x:c>
      <x:c r="L1158" s="13" t="b">
        <x:v>0</x:v>
      </x:c>
      <x:c r="M1158" s="13" t="b">
        <x:v>1</x:v>
      </x:c>
      <x:c r="N1158" s="2" t="str">
        <x:v>modeled_epoch_volume_with_fixed2018_height_and_predominant_use</x:v>
      </x:c>
      <x:c r="O1158" s="2" t="str"/>
      <x:c r="P1158" s="2" t="str">
        <x:v>built-up volume</x:v>
      </x:c>
      <x:c r="Q1158" s="2" t="str">
        <x:v>m3</x:v>
      </x:c>
      <x:c r="R1158" s="17" t="n">
        <x:v>740382831.1921568</x:v>
      </x:c>
      <x:c r="S1158" s="17" t="n">
        <x:v>148470921.36</x:v>
      </x:c>
      <x:c r="T1158" s="18" t="n">
        <x:v>0.5555513216625197</x:v>
      </x:c>
      <x:c r="U1158" s="17" t="n">
        <x:v>82483216.59000005</x:v>
      </x:c>
      <x:c r="V1158" s="2" t="str">
        <x:v>Area equivalent = model2020 * source volume / TEMPO2020 volume</x:v>
      </x:c>
      <x:c r="W1158" s="2" t="str">
        <x:v>qualified_paired_native_source_frame</x:v>
      </x:c>
      <x:c r="X1158" s="2" t="str">
        <x:v>https://human-settlement.emergency.copernicus.eu/ghs_buV2023.php</x:v>
      </x:c>
    </x:row>
    <x:row r="1159" ht="23" customHeight="1">
      <x:c r="A1159" s="2" t="str">
        <x:v>STP</x:v>
      </x:c>
      <x:c r="B1159" s="2" t="str">
        <x:v>Sao Tome and Principe (Democratic Republic of)</x:v>
      </x:c>
      <x:c r="C1159" s="2" t="n">
        <x:v>2020</x:v>
      </x:c>
      <x:c r="D1159" s="2" t="str">
        <x:v>GHSL_VOLUME</x:v>
      </x:c>
      <x:c r="E1159" s="17" t="n">
        <x:v>6153544.550000003</x:v>
      </x:c>
      <x:c r="F1159" s="17" t="n">
        <x:f>IF(AND(M1159,ISNUMBER(R1159)),IF(D1159="TEMPO_PROXY",R1159,IF(AND(ISNUMBER(S1159),S1159&gt;0,ISNUMBER(U1159)),U1159*R1159/S1159,"n.a.")),"n.a.")</x:f>
        <x:v>13675395.579264075</x:v>
      </x:c>
      <x:c r="G1159" s="17" t="n">
        <x:f>IF(AND(ISNUMBER(E1159),ISNUMBER(F1159)),E1159-F1159,"n.a.")</x:f>
        <x:v>-7521851.029264072</x:v>
      </x:c>
      <x:c r="H1159" s="15" t="n">
        <x:f>IF(AND(ISNUMBER(E1159),ISNUMBER(F1159),F1159&gt;0),(E1159-F1159)/F1159,"n.a.")</x:f>
        <x:v>-0.5500280401884251</x:v>
      </x:c>
      <x:c r="I1159" s="19" t="n">
        <x:f>IF(ISNUMBER(H1159),ABS(H1159),"n.a.")</x:f>
        <x:v>0.5500280401884251</x:v>
      </x:c>
      <x:c r="J1159" s="2" t="str">
        <x:v>available</x:v>
      </x:c>
      <x:c r="K1159" s="2" t="n">
        <x:v>1</x:v>
      </x:c>
      <x:c r="L1159" s="13" t="b">
        <x:v>0</x:v>
      </x:c>
      <x:c r="M1159" s="13" t="b">
        <x:v>1</x:v>
      </x:c>
      <x:c r="N1159" s="2" t="str">
        <x:v>modeled_epoch_volume_with_fixed2018_height_and_predominant_use</x:v>
      </x:c>
      <x:c r="O1159" s="2" t="str"/>
      <x:c r="P1159" s="2" t="str">
        <x:v>built-up volume</x:v>
      </x:c>
      <x:c r="Q1159" s="2" t="str">
        <x:v>m3</x:v>
      </x:c>
      <x:c r="R1159" s="17" t="n">
        <x:v>32356269.101960786</x:v>
      </x:c>
      <x:c r="S1159" s="17" t="n">
        <x:v>14559413.82</x:v>
      </x:c>
      <x:c r="T1159" s="18" t="n">
        <x:v>0.4226505700076325</x:v>
      </x:c>
      <x:c r="U1159" s="17" t="n">
        <x:v>6153544.550000003</x:v>
      </x:c>
      <x:c r="V1159" s="2" t="str">
        <x:v>Area equivalent = model2020 * source volume / TEMPO2020 volume</x:v>
      </x:c>
      <x:c r="W1159" s="2" t="str">
        <x:v>qualified_paired_native_source_frame</x:v>
      </x:c>
      <x:c r="X1159" s="2" t="str">
        <x:v>https://human-settlement.emergency.copernicus.eu/ghs_buV2023.php</x:v>
      </x:c>
    </x:row>
    <x:row r="1160" ht="23" customHeight="1">
      <x:c r="A1160" s="2" t="str">
        <x:v>SUR</x:v>
      </x:c>
      <x:c r="B1160" s="2" t="str">
        <x:v>Suriname (Republic of)</x:v>
      </x:c>
      <x:c r="C1160" s="2" t="n">
        <x:v>2020</x:v>
      </x:c>
      <x:c r="D1160" s="2" t="str">
        <x:v>GHSL_VOLUME</x:v>
      </x:c>
      <x:c r="E1160" s="17" t="n">
        <x:v>50598825.22000002</x:v>
      </x:c>
      <x:c r="F1160" s="17" t="n">
        <x:f>IF(AND(M1160,ISNUMBER(R1160)),IF(D1160="TEMPO_PROXY",R1160,IF(AND(ISNUMBER(S1160),S1160&gt;0,ISNUMBER(U1160)),U1160*R1160/S1160,"n.a.")),"n.a.")</x:f>
        <x:v>132071148.64205784</x:v>
      </x:c>
      <x:c r="G1160" s="17" t="n">
        <x:f>IF(AND(ISNUMBER(E1160),ISNUMBER(F1160)),E1160-F1160,"n.a.")</x:f>
        <x:v>-81472323.4220578</x:v>
      </x:c>
      <x:c r="H1160" s="15" t="n">
        <x:f>IF(AND(ISNUMBER(E1160),ISNUMBER(F1160),F1160&gt;0),(E1160-F1160)/F1160,"n.a.")</x:f>
        <x:v>-0.616882068943505</x:v>
      </x:c>
      <x:c r="I1160" s="19" t="n">
        <x:f>IF(ISNUMBER(H1160),ABS(H1160),"n.a.")</x:f>
        <x:v>0.616882068943505</x:v>
      </x:c>
      <x:c r="J1160" s="2" t="str">
        <x:v>available</x:v>
      </x:c>
      <x:c r="K1160" s="2" t="n">
        <x:v>1</x:v>
      </x:c>
      <x:c r="L1160" s="13" t="b">
        <x:v>0</x:v>
      </x:c>
      <x:c r="M1160" s="13" t="b">
        <x:v>1</x:v>
      </x:c>
      <x:c r="N1160" s="2" t="str">
        <x:v>modeled_epoch_volume_with_fixed2018_height_and_predominant_use</x:v>
      </x:c>
      <x:c r="O1160" s="2" t="str"/>
      <x:c r="P1160" s="2" t="str">
        <x:v>built-up volume</x:v>
      </x:c>
      <x:c r="Q1160" s="2" t="str">
        <x:v>m3</x:v>
      </x:c>
      <x:c r="R1160" s="17" t="n">
        <x:v>322278803.44705886</x:v>
      </x:c>
      <x:c r="S1160" s="17" t="n">
        <x:v>123470788.4</x:v>
      </x:c>
      <x:c r="T1160" s="18" t="n">
        <x:v>0.4098040182271973</x:v>
      </x:c>
      <x:c r="U1160" s="17" t="n">
        <x:v>50598825.22000002</x:v>
      </x:c>
      <x:c r="V1160" s="2" t="str">
        <x:v>Area equivalent = model2020 * source volume / TEMPO2020 volume</x:v>
      </x:c>
      <x:c r="W1160" s="2" t="str">
        <x:v>qualified_paired_native_source_frame</x:v>
      </x:c>
      <x:c r="X1160" s="2" t="str">
        <x:v>https://human-settlement.emergency.copernicus.eu/ghs_buV2023.php</x:v>
      </x:c>
    </x:row>
    <x:row r="1161" ht="23" customHeight="1">
      <x:c r="A1161" s="2" t="str">
        <x:v>SVK</x:v>
      </x:c>
      <x:c r="B1161" s="2" t="str">
        <x:v>Slovakia (Slovak Republic)</x:v>
      </x:c>
      <x:c r="C1161" s="2" t="n">
        <x:v>2020</x:v>
      </x:c>
      <x:c r="D1161" s="2" t="str">
        <x:v>GHSL_VOLUME</x:v>
      </x:c>
      <x:c r="E1161" s="17" t="n">
        <x:v>391189188.0500002</x:v>
      </x:c>
      <x:c r="F1161" s="17" t="n">
        <x:f>IF(AND(M1161,ISNUMBER(R1161)),IF(D1161="TEMPO_PROXY",R1161,IF(AND(ISNUMBER(S1161),S1161&gt;0,ISNUMBER(U1161)),U1161*R1161/S1161,"n.a.")),"n.a.")</x:f>
        <x:v>878130491.7885505</x:v>
      </x:c>
      <x:c r="G1161" s="17" t="n">
        <x:f>IF(AND(ISNUMBER(E1161),ISNUMBER(F1161)),E1161-F1161,"n.a.")</x:f>
        <x:v>-486941303.7385503</x:v>
      </x:c>
      <x:c r="H1161" s="15" t="n">
        <x:f>IF(AND(ISNUMBER(E1161),ISNUMBER(F1161),F1161&gt;0),(E1161-F1161)/F1161,"n.a.")</x:f>
        <x:v>-0.5545204366457683</x:v>
      </x:c>
      <x:c r="I1161" s="19" t="n">
        <x:f>IF(ISNUMBER(H1161),ABS(H1161),"n.a.")</x:f>
        <x:v>0.5545204366457683</x:v>
      </x:c>
      <x:c r="J1161" s="2" t="str">
        <x:v>available</x:v>
      </x:c>
      <x:c r="K1161" s="2" t="n">
        <x:v>1</x:v>
      </x:c>
      <x:c r="L1161" s="13" t="b">
        <x:v>0</x:v>
      </x:c>
      <x:c r="M1161" s="13" t="b">
        <x:v>1</x:v>
      </x:c>
      <x:c r="N1161" s="2" t="str">
        <x:v>modeled_epoch_volume_with_fixed2018_height_and_predominant_use</x:v>
      </x:c>
      <x:c r="O1161" s="2" t="str"/>
      <x:c r="P1161" s="2" t="str">
        <x:v>built-up volume</x:v>
      </x:c>
      <x:c r="Q1161" s="2" t="str">
        <x:v>m3</x:v>
      </x:c>
      <x:c r="R1161" s="17" t="n">
        <x:v>2961009534.372549</x:v>
      </x:c>
      <x:c r="S1161" s="17" t="n">
        <x:v>1319069234.46</x:v>
      </x:c>
      <x:c r="T1161" s="18" t="n">
        <x:v>0.29656456069960957</x:v>
      </x:c>
      <x:c r="U1161" s="17" t="n">
        <x:v>391189188.0500002</x:v>
      </x:c>
      <x:c r="V1161" s="2" t="str">
        <x:v>Area equivalent = model2020 * source volume / TEMPO2020 volume</x:v>
      </x:c>
      <x:c r="W1161" s="2" t="str">
        <x:v>qualified_paired_native_source_frame</x:v>
      </x:c>
      <x:c r="X1161" s="2" t="str">
        <x:v>https://human-settlement.emergency.copernicus.eu/ghs_buV2023.php</x:v>
      </x:c>
    </x:row>
    <x:row r="1162" ht="23" customHeight="1">
      <x:c r="A1162" s="2" t="str">
        <x:v>SVN</x:v>
      </x:c>
      <x:c r="B1162" s="2" t="str">
        <x:v>Slovenia (Republic of)</x:v>
      </x:c>
      <x:c r="C1162" s="2" t="n">
        <x:v>2020</x:v>
      </x:c>
      <x:c r="D1162" s="2" t="str">
        <x:v>GHSL_VOLUME</x:v>
      </x:c>
      <x:c r="E1162" s="17" t="n">
        <x:v>188783306.59000015</x:v>
      </x:c>
      <x:c r="F1162" s="17" t="n">
        <x:f>IF(AND(M1162,ISNUMBER(R1162)),IF(D1162="TEMPO_PROXY",R1162,IF(AND(ISNUMBER(S1162),S1162&gt;0,ISNUMBER(U1162)),U1162*R1162/S1162,"n.a.")),"n.a.")</x:f>
        <x:v>321144803.1744771</x:v>
      </x:c>
      <x:c r="G1162" s="17" t="n">
        <x:f>IF(AND(ISNUMBER(E1162),ISNUMBER(F1162)),E1162-F1162,"n.a.")</x:f>
        <x:v>-132361496.58447695</x:v>
      </x:c>
      <x:c r="H1162" s="15" t="n">
        <x:f>IF(AND(ISNUMBER(E1162),ISNUMBER(F1162),F1162&gt;0),(E1162-F1162)/F1162,"n.a.")</x:f>
        <x:v>-0.41215518755433606</x:v>
      </x:c>
      <x:c r="I1162" s="19" t="n">
        <x:f>IF(ISNUMBER(H1162),ABS(H1162),"n.a.")</x:f>
        <x:v>0.41215518755433606</x:v>
      </x:c>
      <x:c r="J1162" s="2" t="str">
        <x:v>available</x:v>
      </x:c>
      <x:c r="K1162" s="2" t="n">
        <x:v>1</x:v>
      </x:c>
      <x:c r="L1162" s="13" t="b">
        <x:v>0</x:v>
      </x:c>
      <x:c r="M1162" s="13" t="b">
        <x:v>1</x:v>
      </x:c>
      <x:c r="N1162" s="2" t="str">
        <x:v>modeled_epoch_volume_with_fixed2018_height_and_predominant_use</x:v>
      </x:c>
      <x:c r="O1162" s="2" t="str"/>
      <x:c r="P1162" s="2" t="str">
        <x:v>built-up volume</x:v>
      </x:c>
      <x:c r="Q1162" s="2" t="str">
        <x:v>m3</x:v>
      </x:c>
      <x:c r="R1162" s="17" t="n">
        <x:v>976659571.1058824</x:v>
      </x:c>
      <x:c r="S1162" s="17" t="n">
        <x:v>574124262.4</x:v>
      </x:c>
      <x:c r="T1162" s="18" t="n">
        <x:v>0.3288195935159283</x:v>
      </x:c>
      <x:c r="U1162" s="17" t="n">
        <x:v>188783306.59000015</x:v>
      </x:c>
      <x:c r="V1162" s="2" t="str">
        <x:v>Area equivalent = model2020 * source volume / TEMPO2020 volume</x:v>
      </x:c>
      <x:c r="W1162" s="2" t="str">
        <x:v>qualified_paired_native_source_frame</x:v>
      </x:c>
      <x:c r="X1162" s="2" t="str">
        <x:v>https://human-settlement.emergency.copernicus.eu/ghs_buV2023.php</x:v>
      </x:c>
    </x:row>
    <x:row r="1163" ht="23" customHeight="1">
      <x:c r="A1163" s="2" t="str">
        <x:v>SWE</x:v>
      </x:c>
      <x:c r="B1163" s="2" t="str">
        <x:v>Sweden (Kingdom of)</x:v>
      </x:c>
      <x:c r="C1163" s="2" t="n">
        <x:v>2020</x:v>
      </x:c>
      <x:c r="D1163" s="2" t="str">
        <x:v>GHSL_VOLUME</x:v>
      </x:c>
      <x:c r="E1163" s="17" t="n">
        <x:v>860750073.0500002</x:v>
      </x:c>
      <x:c r="F1163" s="17" t="n">
        <x:f>IF(AND(M1163,ISNUMBER(R1163)),IF(D1163="TEMPO_PROXY",R1163,IF(AND(ISNUMBER(S1163),S1163&gt;0,ISNUMBER(U1163)),U1163*R1163/S1163,"n.a.")),"n.a.")</x:f>
        <x:v>1371658643.5091543</x:v>
      </x:c>
      <x:c r="G1163" s="17" t="n">
        <x:f>IF(AND(ISNUMBER(E1163),ISNUMBER(F1163)),E1163-F1163,"n.a.")</x:f>
        <x:v>-510908570.4591541</x:v>
      </x:c>
      <x:c r="H1163" s="15" t="n">
        <x:f>IF(AND(ISNUMBER(E1163),ISNUMBER(F1163),F1163&gt;0),(E1163-F1163)/F1163,"n.a.")</x:f>
        <x:v>-0.3724750125527455</x:v>
      </x:c>
      <x:c r="I1163" s="19" t="n">
        <x:f>IF(ISNUMBER(H1163),ABS(H1163),"n.a.")</x:f>
        <x:v>0.3724750125527455</x:v>
      </x:c>
      <x:c r="J1163" s="2" t="str">
        <x:v>available</x:v>
      </x:c>
      <x:c r="K1163" s="2" t="n">
        <x:v>1</x:v>
      </x:c>
      <x:c r="L1163" s="13" t="b">
        <x:v>0</x:v>
      </x:c>
      <x:c r="M1163" s="13" t="b">
        <x:v>1</x:v>
      </x:c>
      <x:c r="N1163" s="2" t="str">
        <x:v>modeled_epoch_volume_with_fixed2018_height_and_predominant_use</x:v>
      </x:c>
      <x:c r="O1163" s="2" t="str"/>
      <x:c r="P1163" s="2" t="str">
        <x:v>built-up volume</x:v>
      </x:c>
      <x:c r="Q1163" s="2" t="str">
        <x:v>m3</x:v>
      </x:c>
      <x:c r="R1163" s="17" t="n">
        <x:v>4620415714.145098</x:v>
      </x:c>
      <x:c r="S1163" s="17" t="n">
        <x:v>2899426313.02</x:v>
      </x:c>
      <x:c r="T1163" s="18" t="n">
        <x:v>0.2968690975813955</x:v>
      </x:c>
      <x:c r="U1163" s="17" t="n">
        <x:v>860750073.0500002</x:v>
      </x:c>
      <x:c r="V1163" s="2" t="str">
        <x:v>Area equivalent = model2020 * source volume / TEMPO2020 volume</x:v>
      </x:c>
      <x:c r="W1163" s="2" t="str">
        <x:v>qualified_paired_native_source_frame</x:v>
      </x:c>
      <x:c r="X1163" s="2" t="str">
        <x:v>https://human-settlement.emergency.copernicus.eu/ghs_buV2023.php</x:v>
      </x:c>
    </x:row>
    <x:row r="1164" ht="23" customHeight="1">
      <x:c r="A1164" s="2" t="str">
        <x:v>SWZ</x:v>
      </x:c>
      <x:c r="B1164" s="2" t="str">
        <x:v>Eswatini (Kingdom of)</x:v>
      </x:c>
      <x:c r="C1164" s="2" t="n">
        <x:v>2020</x:v>
      </x:c>
      <x:c r="D1164" s="2" t="str">
        <x:v>GHSL_VOLUME</x:v>
      </x:c>
      <x:c r="E1164" s="17" t="n">
        <x:v>51228621.629999995</x:v>
      </x:c>
      <x:c r="F1164" s="17" t="n">
        <x:f>IF(AND(M1164,ISNUMBER(R1164)),IF(D1164="TEMPO_PROXY",R1164,IF(AND(ISNUMBER(S1164),S1164&gt;0,ISNUMBER(U1164)),U1164*R1164/S1164,"n.a.")),"n.a.")</x:f>
        <x:v>268226299.7842563</x:v>
      </x:c>
      <x:c r="G1164" s="17" t="n">
        <x:f>IF(AND(ISNUMBER(E1164),ISNUMBER(F1164)),E1164-F1164,"n.a.")</x:f>
        <x:v>-216997678.1542563</x:v>
      </x:c>
      <x:c r="H1164" s="15" t="n">
        <x:f>IF(AND(ISNUMBER(E1164),ISNUMBER(F1164),F1164&gt;0),(E1164-F1164)/F1164,"n.a.")</x:f>
        <x:v>-0.8090096993799454</x:v>
      </x:c>
      <x:c r="I1164" s="19" t="n">
        <x:f>IF(ISNUMBER(H1164),ABS(H1164),"n.a.")</x:f>
        <x:v>0.8090096993799454</x:v>
      </x:c>
      <x:c r="J1164" s="2" t="str">
        <x:v>available</x:v>
      </x:c>
      <x:c r="K1164" s="2" t="n">
        <x:v>1</x:v>
      </x:c>
      <x:c r="L1164" s="13" t="b">
        <x:v>0</x:v>
      </x:c>
      <x:c r="M1164" s="13" t="b">
        <x:v>1</x:v>
      </x:c>
      <x:c r="N1164" s="2" t="str">
        <x:v>modeled_epoch_volume_with_fixed2018_height_and_predominant_use</x:v>
      </x:c>
      <x:c r="O1164" s="2" t="str"/>
      <x:c r="P1164" s="2" t="str">
        <x:v>built-up volume</x:v>
      </x:c>
      <x:c r="Q1164" s="2" t="str">
        <x:v>m3</x:v>
      </x:c>
      <x:c r="R1164" s="17" t="n">
        <x:v>487785832.5137254</x:v>
      </x:c>
      <x:c r="S1164" s="17" t="n">
        <x:v>93162362.79</x:v>
      </x:c>
      <x:c r="T1164" s="18" t="n">
        <x:v>0.5498853839235048</x:v>
      </x:c>
      <x:c r="U1164" s="17" t="n">
        <x:v>51228621.629999995</x:v>
      </x:c>
      <x:c r="V1164" s="2" t="str">
        <x:v>Area equivalent = model2020 * source volume / TEMPO2020 volume</x:v>
      </x:c>
      <x:c r="W1164" s="2" t="str">
        <x:v>qualified_paired_native_source_frame</x:v>
      </x:c>
      <x:c r="X1164" s="2" t="str">
        <x:v>https://human-settlement.emergency.copernicus.eu/ghs_buV2023.php</x:v>
      </x:c>
    </x:row>
    <x:row r="1165" ht="23" customHeight="1">
      <x:c r="A1165" s="2" t="str">
        <x:v>SYC</x:v>
      </x:c>
      <x:c r="B1165" s="2" t="str">
        <x:v>Seychelles (Republic of)</x:v>
      </x:c>
      <x:c r="C1165" s="2" t="n">
        <x:v>2020</x:v>
      </x:c>
      <x:c r="D1165" s="2" t="str">
        <x:v>GHSL_VOLUME</x:v>
      </x:c>
      <x:c r="E1165" s="17" t="n">
        <x:v>7317572.880000001</x:v>
      </x:c>
      <x:c r="F1165" s="17" t="n">
        <x:f>IF(AND(M1165,ISNUMBER(R1165)),IF(D1165="TEMPO_PROXY",R1165,IF(AND(ISNUMBER(S1165),S1165&gt;0,ISNUMBER(U1165)),U1165*R1165/S1165,"n.a.")),"n.a.")</x:f>
        <x:v>7319634.406566402</x:v>
      </x:c>
      <x:c r="G1165" s="17" t="n">
        <x:f>IF(AND(ISNUMBER(E1165),ISNUMBER(F1165)),E1165-F1165,"n.a.")</x:f>
        <x:v>-2061.526566401124</x:v>
      </x:c>
      <x:c r="H1165" s="15" t="n">
        <x:f>IF(AND(ISNUMBER(E1165),ISNUMBER(F1165),F1165&gt;0),(E1165-F1165)/F1165,"n.a.")</x:f>
        <x:v>-0.0002816433788758275</x:v>
      </x:c>
      <x:c r="I1165" s="19" t="n">
        <x:f>IF(ISNUMBER(H1165),ABS(H1165),"n.a.")</x:f>
        <x:v>0.0002816433788758275</x:v>
      </x:c>
      <x:c r="J1165" s="2" t="str">
        <x:v>available</x:v>
      </x:c>
      <x:c r="K1165" s="2" t="n">
        <x:v>1</x:v>
      </x:c>
      <x:c r="L1165" s="13" t="b">
        <x:v>0</x:v>
      </x:c>
      <x:c r="M1165" s="13" t="b">
        <x:v>1</x:v>
      </x:c>
      <x:c r="N1165" s="2" t="str">
        <x:v>modeled_epoch_volume_with_fixed2018_height_and_predominant_use</x:v>
      </x:c>
      <x:c r="O1165" s="2" t="str"/>
      <x:c r="P1165" s="2" t="str">
        <x:v>built-up volume</x:v>
      </x:c>
      <x:c r="Q1165" s="2" t="str">
        <x:v>m3</x:v>
      </x:c>
      <x:c r="R1165" s="17" t="n">
        <x:v>19518052.290196083</x:v>
      </x:c>
      <x:c r="S1165" s="17" t="n">
        <x:v>19512555.16</x:v>
      </x:c>
      <x:c r="T1165" s="18" t="n">
        <x:v>0.375018690273878</x:v>
      </x:c>
      <x:c r="U1165" s="17" t="n">
        <x:v>7317572.880000001</x:v>
      </x:c>
      <x:c r="V1165" s="2" t="str">
        <x:v>Area equivalent = model2020 * source volume / TEMPO2020 volume</x:v>
      </x:c>
      <x:c r="W1165" s="2" t="str">
        <x:v>qualified_paired_native_source_frame</x:v>
      </x:c>
      <x:c r="X1165" s="2" t="str">
        <x:v>https://human-settlement.emergency.copernicus.eu/ghs_buV2023.php</x:v>
      </x:c>
    </x:row>
    <x:row r="1166" ht="23" customHeight="1">
      <x:c r="A1166" s="2" t="str">
        <x:v>SYR</x:v>
      </x:c>
      <x:c r="B1166" s="2" t="str">
        <x:v>Syrian Arab Republic</x:v>
      </x:c>
      <x:c r="C1166" s="2" t="n">
        <x:v>2020</x:v>
      </x:c>
      <x:c r="D1166" s="2" t="str">
        <x:v>GHSL_VOLUME</x:v>
      </x:c>
      <x:c r="E1166" s="17" t="n">
        <x:v>795482211.65</x:v>
      </x:c>
      <x:c r="F1166" s="17" t="n">
        <x:f>IF(AND(M1166,ISNUMBER(R1166)),IF(D1166="TEMPO_PROXY",R1166,IF(AND(ISNUMBER(S1166),S1166&gt;0,ISNUMBER(U1166)),U1166*R1166/S1166,"n.a.")),"n.a.")</x:f>
        <x:v>1876345671.5574327</x:v>
      </x:c>
      <x:c r="G1166" s="17" t="n">
        <x:f>IF(AND(ISNUMBER(E1166),ISNUMBER(F1166)),E1166-F1166,"n.a.")</x:f>
        <x:v>-1080863459.9074326</x:v>
      </x:c>
      <x:c r="H1166" s="15" t="n">
        <x:f>IF(AND(ISNUMBER(E1166),ISNUMBER(F1166),F1166&gt;0),(E1166-F1166)/F1166,"n.a.")</x:f>
        <x:v>-0.5760470878536352</x:v>
      </x:c>
      <x:c r="I1166" s="19" t="n">
        <x:f>IF(ISNUMBER(H1166),ABS(H1166),"n.a.")</x:f>
        <x:v>0.5760470878536352</x:v>
      </x:c>
      <x:c r="J1166" s="2" t="str">
        <x:v>available</x:v>
      </x:c>
      <x:c r="K1166" s="2" t="n">
        <x:v>1</x:v>
      </x:c>
      <x:c r="L1166" s="13" t="b">
        <x:v>0</x:v>
      </x:c>
      <x:c r="M1166" s="13" t="b">
        <x:v>1</x:v>
      </x:c>
      <x:c r="N1166" s="2" t="str">
        <x:v>modeled_epoch_volume_with_fixed2018_height_and_predominant_use</x:v>
      </x:c>
      <x:c r="O1166" s="2" t="str"/>
      <x:c r="P1166" s="2" t="str">
        <x:v>built-up volume</x:v>
      </x:c>
      <x:c r="Q1166" s="2" t="str">
        <x:v>m3</x:v>
      </x:c>
      <x:c r="R1166" s="17" t="n">
        <x:v>5261929580.094119</x:v>
      </x:c>
      <x:c r="S1166" s="17" t="n">
        <x:v>2230810368.99</x:v>
      </x:c>
      <x:c r="T1166" s="18" t="n">
        <x:v>0.35658889823528783</x:v>
      </x:c>
      <x:c r="U1166" s="17" t="n">
        <x:v>795482211.65</x:v>
      </x:c>
      <x:c r="V1166" s="2" t="str">
        <x:v>Area equivalent = model2020 * source volume / TEMPO2020 volume</x:v>
      </x:c>
      <x:c r="W1166" s="2" t="str">
        <x:v>qualified_paired_native_source_frame</x:v>
      </x:c>
      <x:c r="X1166" s="2" t="str">
        <x:v>https://human-settlement.emergency.copernicus.eu/ghs_buV2023.php</x:v>
      </x:c>
    </x:row>
    <x:row r="1167" ht="23" customHeight="1">
      <x:c r="A1167" s="2" t="str">
        <x:v>TCD</x:v>
      </x:c>
      <x:c r="B1167" s="2" t="str">
        <x:v>Chad (Republic of)</x:v>
      </x:c>
      <x:c r="C1167" s="2" t="n">
        <x:v>2020</x:v>
      </x:c>
      <x:c r="D1167" s="2" t="str">
        <x:v>GHSL_VOLUME</x:v>
      </x:c>
      <x:c r="E1167" s="17" t="n">
        <x:v>126450494.21999988</x:v>
      </x:c>
      <x:c r="F1167" s="17" t="n">
        <x:f>IF(AND(M1167,ISNUMBER(R1167)),IF(D1167="TEMPO_PROXY",R1167,IF(AND(ISNUMBER(S1167),S1167&gt;0,ISNUMBER(U1167)),U1167*R1167/S1167,"n.a.")),"n.a.")</x:f>
        <x:v>1007957591.0553014</x:v>
      </x:c>
      <x:c r="G1167" s="17" t="n">
        <x:f>IF(AND(ISNUMBER(E1167),ISNUMBER(F1167)),E1167-F1167,"n.a.")</x:f>
        <x:v>-881507096.8353015</x:v>
      </x:c>
      <x:c r="H1167" s="15" t="n">
        <x:f>IF(AND(ISNUMBER(E1167),ISNUMBER(F1167),F1167&gt;0),(E1167-F1167)/F1167,"n.a.")</x:f>
        <x:v>-0.8745478030602358</x:v>
      </x:c>
      <x:c r="I1167" s="19" t="n">
        <x:f>IF(ISNUMBER(H1167),ABS(H1167),"n.a.")</x:f>
        <x:v>0.8745478030602358</x:v>
      </x:c>
      <x:c r="J1167" s="2" t="str">
        <x:v>available</x:v>
      </x:c>
      <x:c r="K1167" s="2" t="n">
        <x:v>1</x:v>
      </x:c>
      <x:c r="L1167" s="13" t="b">
        <x:v>0</x:v>
      </x:c>
      <x:c r="M1167" s="13" t="b">
        <x:v>1</x:v>
      </x:c>
      <x:c r="N1167" s="2" t="str">
        <x:v>modeled_epoch_volume_with_fixed2018_height_and_predominant_use</x:v>
      </x:c>
      <x:c r="O1167" s="2" t="str"/>
      <x:c r="P1167" s="2" t="str">
        <x:v>built-up volume</x:v>
      </x:c>
      <x:c r="Q1167" s="2" t="str">
        <x:v>m3</x:v>
      </x:c>
      <x:c r="R1167" s="17" t="n">
        <x:v>2012029178.980392</x:v>
      </x:c>
      <x:c r="S1167" s="17" t="n">
        <x:v>252413480.81</x:v>
      </x:c>
      <x:c r="T1167" s="18" t="n">
        <x:v>0.5009656925383608</x:v>
      </x:c>
      <x:c r="U1167" s="17" t="n">
        <x:v>126450494.21999988</x:v>
      </x:c>
      <x:c r="V1167" s="2" t="str">
        <x:v>Area equivalent = model2020 * source volume / TEMPO2020 volume</x:v>
      </x:c>
      <x:c r="W1167" s="2" t="str">
        <x:v>qualified_paired_native_source_frame</x:v>
      </x:c>
      <x:c r="X1167" s="2" t="str">
        <x:v>https://human-settlement.emergency.copernicus.eu/ghs_buV2023.php</x:v>
      </x:c>
    </x:row>
    <x:row r="1168" ht="23" customHeight="1">
      <x:c r="A1168" s="2" t="str">
        <x:v>TGO</x:v>
      </x:c>
      <x:c r="B1168" s="2" t="str">
        <x:v>Togo (Togolese Republic)</x:v>
      </x:c>
      <x:c r="C1168" s="2" t="n">
        <x:v>2020</x:v>
      </x:c>
      <x:c r="D1168" s="2" t="str">
        <x:v>GHSL_VOLUME</x:v>
      </x:c>
      <x:c r="E1168" s="17" t="n">
        <x:v>185693532.7300002</x:v>
      </x:c>
      <x:c r="F1168" s="17" t="n">
        <x:f>IF(AND(M1168,ISNUMBER(R1168)),IF(D1168="TEMPO_PROXY",R1168,IF(AND(ISNUMBER(S1168),S1168&gt;0,ISNUMBER(U1168)),U1168*R1168/S1168,"n.a.")),"n.a.")</x:f>
        <x:v>1178581704.7577546</x:v>
      </x:c>
      <x:c r="G1168" s="17" t="n">
        <x:f>IF(AND(ISNUMBER(E1168),ISNUMBER(F1168)),E1168-F1168,"n.a.")</x:f>
        <x:v>-992888172.0277543</x:v>
      </x:c>
      <x:c r="H1168" s="15" t="n">
        <x:f>IF(AND(ISNUMBER(E1168),ISNUMBER(F1168),F1168&gt;0),(E1168-F1168)/F1168,"n.a.")</x:f>
        <x:v>-0.842443224784176</x:v>
      </x:c>
      <x:c r="I1168" s="19" t="n">
        <x:f>IF(ISNUMBER(H1168),ABS(H1168),"n.a.")</x:f>
        <x:v>0.842443224784176</x:v>
      </x:c>
      <x:c r="J1168" s="2" t="str">
        <x:v>available</x:v>
      </x:c>
      <x:c r="K1168" s="2" t="n">
        <x:v>1</x:v>
      </x:c>
      <x:c r="L1168" s="13" t="b">
        <x:v>0</x:v>
      </x:c>
      <x:c r="M1168" s="13" t="b">
        <x:v>1</x:v>
      </x:c>
      <x:c r="N1168" s="2" t="str">
        <x:v>modeled_epoch_volume_with_fixed2018_height_and_predominant_use</x:v>
      </x:c>
      <x:c r="O1168" s="2" t="str"/>
      <x:c r="P1168" s="2" t="str">
        <x:v>built-up volume</x:v>
      </x:c>
      <x:c r="Q1168" s="2" t="str">
        <x:v>m3</x:v>
      </x:c>
      <x:c r="R1168" s="17" t="n">
        <x:v>2629419440.6588235</x:v>
      </x:c>
      <x:c r="S1168" s="17" t="n">
        <x:v>414282847.76</x:v>
      </x:c>
      <x:c r="T1168" s="18" t="n">
        <x:v>0.4482288700438188</x:v>
      </x:c>
      <x:c r="U1168" s="17" t="n">
        <x:v>185693532.7300002</x:v>
      </x:c>
      <x:c r="V1168" s="2" t="str">
        <x:v>Area equivalent = model2020 * source volume / TEMPO2020 volume</x:v>
      </x:c>
      <x:c r="W1168" s="2" t="str">
        <x:v>qualified_paired_native_source_frame</x:v>
      </x:c>
      <x:c r="X1168" s="2" t="str">
        <x:v>https://human-settlement.emergency.copernicus.eu/ghs_buV2023.php</x:v>
      </x:c>
    </x:row>
    <x:row r="1169" ht="23" customHeight="1">
      <x:c r="A1169" s="2" t="str">
        <x:v>THA</x:v>
      </x:c>
      <x:c r="B1169" s="2" t="str">
        <x:v>Thailand (Kingdom of)</x:v>
      </x:c>
      <x:c r="C1169" s="2" t="n">
        <x:v>2020</x:v>
      </x:c>
      <x:c r="D1169" s="2" t="str">
        <x:v>GHSL_VOLUME</x:v>
      </x:c>
      <x:c r="E1169" s="17" t="n">
        <x:v>5229846890.149993</x:v>
      </x:c>
      <x:c r="F1169" s="17" t="n">
        <x:f>IF(AND(M1169,ISNUMBER(R1169)),IF(D1169="TEMPO_PROXY",R1169,IF(AND(ISNUMBER(S1169),S1169&gt;0,ISNUMBER(U1169)),U1169*R1169/S1169,"n.a.")),"n.a.")</x:f>
        <x:v>10015299529.846687</x:v>
      </x:c>
      <x:c r="G1169" s="17" t="n">
        <x:f>IF(AND(ISNUMBER(E1169),ISNUMBER(F1169)),E1169-F1169,"n.a.")</x:f>
        <x:v>-4785452639.696694</x:v>
      </x:c>
      <x:c r="H1169" s="15" t="n">
        <x:f>IF(AND(ISNUMBER(E1169),ISNUMBER(F1169),F1169&gt;0),(E1169-F1169)/F1169,"n.a.")</x:f>
        <x:v>-0.4778142306613519</x:v>
      </x:c>
      <x:c r="I1169" s="19" t="n">
        <x:f>IF(ISNUMBER(H1169),ABS(H1169),"n.a.")</x:f>
        <x:v>0.4778142306613519</x:v>
      </x:c>
      <x:c r="J1169" s="2" t="str">
        <x:v>available</x:v>
      </x:c>
      <x:c r="K1169" s="2" t="n">
        <x:v>1</x:v>
      </x:c>
      <x:c r="L1169" s="13" t="b">
        <x:v>0</x:v>
      </x:c>
      <x:c r="M1169" s="13" t="b">
        <x:v>1</x:v>
      </x:c>
      <x:c r="N1169" s="2" t="str">
        <x:v>modeled_epoch_volume_with_fixed2018_height_and_predominant_use</x:v>
      </x:c>
      <x:c r="O1169" s="2" t="str"/>
      <x:c r="P1169" s="2" t="str">
        <x:v>built-up volume</x:v>
      </x:c>
      <x:c r="Q1169" s="2" t="str">
        <x:v>m3</x:v>
      </x:c>
      <x:c r="R1169" s="17" t="n">
        <x:v>28528264104.050983</x:v>
      </x:c>
      <x:c r="S1169" s="17" t="n">
        <x:v>14897053539.07</x:v>
      </x:c>
      <x:c r="T1169" s="18" t="n">
        <x:v>0.35106585852254946</x:v>
      </x:c>
      <x:c r="U1169" s="17" t="n">
        <x:v>5229846890.149993</x:v>
      </x:c>
      <x:c r="V1169" s="2" t="str">
        <x:v>Area equivalent = model2020 * source volume / TEMPO2020 volume</x:v>
      </x:c>
      <x:c r="W1169" s="2" t="str">
        <x:v>qualified_paired_native_source_frame</x:v>
      </x:c>
      <x:c r="X1169" s="2" t="str">
        <x:v>https://human-settlement.emergency.copernicus.eu/ghs_buV2023.php</x:v>
      </x:c>
    </x:row>
    <x:row r="1170" ht="23" customHeight="1">
      <x:c r="A1170" s="2" t="str">
        <x:v>TJK</x:v>
      </x:c>
      <x:c r="B1170" s="2" t="str">
        <x:v>Tajikistan (Republic of)</x:v>
      </x:c>
      <x:c r="C1170" s="2" t="n">
        <x:v>2020</x:v>
      </x:c>
      <x:c r="D1170" s="2" t="str">
        <x:v>GHSL_VOLUME</x:v>
      </x:c>
      <x:c r="E1170" s="17" t="n">
        <x:v>392955797.9200004</x:v>
      </x:c>
      <x:c r="F1170" s="17" t="n">
        <x:f>IF(AND(M1170,ISNUMBER(R1170)),IF(D1170="TEMPO_PROXY",R1170,IF(AND(ISNUMBER(S1170),S1170&gt;0,ISNUMBER(U1170)),U1170*R1170/S1170,"n.a.")),"n.a.")</x:f>
        <x:v>1451279860.799145</x:v>
      </x:c>
      <x:c r="G1170" s="17" t="n">
        <x:f>IF(AND(ISNUMBER(E1170),ISNUMBER(F1170)),E1170-F1170,"n.a.")</x:f>
        <x:v>-1058324062.8791447</x:v>
      </x:c>
      <x:c r="H1170" s="15" t="n">
        <x:f>IF(AND(ISNUMBER(E1170),ISNUMBER(F1170),F1170&gt;0),(E1170-F1170)/F1170,"n.a.")</x:f>
        <x:v>-0.7292349955827129</x:v>
      </x:c>
      <x:c r="I1170" s="19" t="n">
        <x:f>IF(ISNUMBER(H1170),ABS(H1170),"n.a.")</x:f>
        <x:v>0.7292349955827129</x:v>
      </x:c>
      <x:c r="J1170" s="2" t="str">
        <x:v>available</x:v>
      </x:c>
      <x:c r="K1170" s="2" t="n">
        <x:v>1</x:v>
      </x:c>
      <x:c r="L1170" s="13" t="b">
        <x:v>0</x:v>
      </x:c>
      <x:c r="M1170" s="13" t="b">
        <x:v>1</x:v>
      </x:c>
      <x:c r="N1170" s="2" t="str">
        <x:v>modeled_epoch_volume_with_fixed2018_height_and_predominant_use</x:v>
      </x:c>
      <x:c r="O1170" s="2" t="str"/>
      <x:c r="P1170" s="2" t="str">
        <x:v>built-up volume</x:v>
      </x:c>
      <x:c r="Q1170" s="2" t="str">
        <x:v>m3</x:v>
      </x:c>
      <x:c r="R1170" s="17" t="n">
        <x:v>3582743642.435294</x:v>
      </x:c>
      <x:c r="S1170" s="17" t="n">
        <x:v>970081598.17</x:v>
      </x:c>
      <x:c r="T1170" s="18" t="n">
        <x:v>0.40507499437293487</x:v>
      </x:c>
      <x:c r="U1170" s="17" t="n">
        <x:v>392955797.9200004</x:v>
      </x:c>
      <x:c r="V1170" s="2" t="str">
        <x:v>Area equivalent = model2020 * source volume / TEMPO2020 volume</x:v>
      </x:c>
      <x:c r="W1170" s="2" t="str">
        <x:v>qualified_paired_native_source_frame</x:v>
      </x:c>
      <x:c r="X1170" s="2" t="str">
        <x:v>https://human-settlement.emergency.copernicus.eu/ghs_buV2023.php</x:v>
      </x:c>
    </x:row>
    <x:row r="1171" ht="23" customHeight="1">
      <x:c r="A1171" s="2" t="str">
        <x:v>TKM</x:v>
      </x:c>
      <x:c r="B1171" s="2" t="str">
        <x:v>Turkmenistan</x:v>
      </x:c>
      <x:c r="C1171" s="2" t="n">
        <x:v>2020</x:v>
      </x:c>
      <x:c r="D1171" s="2" t="str">
        <x:v>GHSL_VOLUME</x:v>
      </x:c>
      <x:c r="E1171" s="17" t="n">
        <x:v>359976676.1500005</x:v>
      </x:c>
      <x:c r="F1171" s="17" t="n">
        <x:f>IF(AND(M1171,ISNUMBER(R1171)),IF(D1171="TEMPO_PROXY",R1171,IF(AND(ISNUMBER(S1171),S1171&gt;0,ISNUMBER(U1171)),U1171*R1171/S1171,"n.a.")),"n.a.")</x:f>
        <x:v>1358603528.335111</x:v>
      </x:c>
      <x:c r="G1171" s="17" t="n">
        <x:f>IF(AND(ISNUMBER(E1171),ISNUMBER(F1171)),E1171-F1171,"n.a.")</x:f>
        <x:v>-998626852.1851103</x:v>
      </x:c>
      <x:c r="H1171" s="15" t="n">
        <x:f>IF(AND(ISNUMBER(E1171),ISNUMBER(F1171),F1171&gt;0),(E1171-F1171)/F1171,"n.a.")</x:f>
        <x:v>-0.7350392011780428</x:v>
      </x:c>
      <x:c r="I1171" s="19" t="n">
        <x:f>IF(ISNUMBER(H1171),ABS(H1171),"n.a.")</x:f>
        <x:v>0.7350392011780428</x:v>
      </x:c>
      <x:c r="J1171" s="2" t="str">
        <x:v>available</x:v>
      </x:c>
      <x:c r="K1171" s="2" t="n">
        <x:v>1</x:v>
      </x:c>
      <x:c r="L1171" s="13" t="b">
        <x:v>0</x:v>
      </x:c>
      <x:c r="M1171" s="13" t="b">
        <x:v>1</x:v>
      </x:c>
      <x:c r="N1171" s="2" t="str">
        <x:v>modeled_epoch_volume_with_fixed2018_height_and_predominant_use</x:v>
      </x:c>
      <x:c r="O1171" s="2" t="str"/>
      <x:c r="P1171" s="2" t="str">
        <x:v>built-up volume</x:v>
      </x:c>
      <x:c r="Q1171" s="2" t="str">
        <x:v>m3</x:v>
      </x:c>
      <x:c r="R1171" s="17" t="n">
        <x:v>3518767210.7921567</x:v>
      </x:c>
      <x:c r="S1171" s="17" t="n">
        <x:v>932335371.04</x:v>
      </x:c>
      <x:c r="T1171" s="18" t="n">
        <x:v>0.3861021337723724</x:v>
      </x:c>
      <x:c r="U1171" s="17" t="n">
        <x:v>359976676.1500005</x:v>
      </x:c>
      <x:c r="V1171" s="2" t="str">
        <x:v>Area equivalent = model2020 * source volume / TEMPO2020 volume</x:v>
      </x:c>
      <x:c r="W1171" s="2" t="str">
        <x:v>qualified_paired_native_source_frame</x:v>
      </x:c>
      <x:c r="X1171" s="2" t="str">
        <x:v>https://human-settlement.emergency.copernicus.eu/ghs_buV2023.php</x:v>
      </x:c>
    </x:row>
    <x:row r="1172" ht="23" customHeight="1">
      <x:c r="A1172" s="2" t="str">
        <x:v>TLS</x:v>
      </x:c>
      <x:c r="B1172" s="2" t="str">
        <x:v>Timor-Leste (Democratic Republic of)</x:v>
      </x:c>
      <x:c r="C1172" s="2" t="n">
        <x:v>2020</x:v>
      </x:c>
      <x:c r="D1172" s="2" t="str">
        <x:v>GHSL_VOLUME</x:v>
      </x:c>
      <x:c r="E1172" s="17" t="n">
        <x:v>41213693.90000002</x:v>
      </x:c>
      <x:c r="F1172" s="17" t="n">
        <x:f>IF(AND(M1172,ISNUMBER(R1172)),IF(D1172="TEMPO_PROXY",R1172,IF(AND(ISNUMBER(S1172),S1172&gt;0,ISNUMBER(U1172)),U1172*R1172/S1172,"n.a.")),"n.a.")</x:f>
        <x:v>81231785.68631841</x:v>
      </x:c>
      <x:c r="G1172" s="17" t="n">
        <x:f>IF(AND(ISNUMBER(E1172),ISNUMBER(F1172)),E1172-F1172,"n.a.")</x:f>
        <x:v>-40018091.78631839</x:v>
      </x:c>
      <x:c r="H1172" s="15" t="n">
        <x:f>IF(AND(ISNUMBER(E1172),ISNUMBER(F1172),F1172&gt;0),(E1172-F1172)/F1172,"n.a.")</x:f>
        <x:v>-0.49264079877365663</x:v>
      </x:c>
      <x:c r="I1172" s="19" t="n">
        <x:f>IF(ISNUMBER(H1172),ABS(H1172),"n.a.")</x:f>
        <x:v>0.49264079877365663</x:v>
      </x:c>
      <x:c r="J1172" s="2" t="str">
        <x:v>available</x:v>
      </x:c>
      <x:c r="K1172" s="2" t="n">
        <x:v>1</x:v>
      </x:c>
      <x:c r="L1172" s="13" t="b">
        <x:v>0</x:v>
      </x:c>
      <x:c r="M1172" s="13" t="b">
        <x:v>1</x:v>
      </x:c>
      <x:c r="N1172" s="2" t="str">
        <x:v>modeled_epoch_volume_with_fixed2018_height_and_predominant_use</x:v>
      </x:c>
      <x:c r="O1172" s="2" t="str"/>
      <x:c r="P1172" s="2" t="str">
        <x:v>built-up volume</x:v>
      </x:c>
      <x:c r="Q1172" s="2" t="str">
        <x:v>m3</x:v>
      </x:c>
      <x:c r="R1172" s="17" t="n">
        <x:v>174973392.37254897</x:v>
      </x:c>
      <x:c r="S1172" s="17" t="n">
        <x:v>88774360.59</x:v>
      </x:c>
      <x:c r="T1172" s="18" t="n">
        <x:v>0.46425221906518066</x:v>
      </x:c>
      <x:c r="U1172" s="17" t="n">
        <x:v>41213693.90000002</x:v>
      </x:c>
      <x:c r="V1172" s="2" t="str">
        <x:v>Area equivalent = model2020 * source volume / TEMPO2020 volume</x:v>
      </x:c>
      <x:c r="W1172" s="2" t="str">
        <x:v>qualified_paired_native_source_frame</x:v>
      </x:c>
      <x:c r="X1172" s="2" t="str">
        <x:v>https://human-settlement.emergency.copernicus.eu/ghs_buV2023.php</x:v>
      </x:c>
    </x:row>
    <x:row r="1173" ht="23" customHeight="1">
      <x:c r="A1173" s="2" t="str">
        <x:v>TON</x:v>
      </x:c>
      <x:c r="B1173" s="2" t="str">
        <x:v>Tonga (Kingdom of)</x:v>
      </x:c>
      <x:c r="C1173" s="2" t="n">
        <x:v>2020</x:v>
      </x:c>
      <x:c r="D1173" s="2" t="str">
        <x:v>GHSL_VOLUME</x:v>
      </x:c>
      <x:c r="E1173" s="17" t="n">
        <x:v>4719083.849999997</x:v>
      </x:c>
      <x:c r="F1173" s="17" t="n">
        <x:f>IF(AND(M1173,ISNUMBER(R1173)),IF(D1173="TEMPO_PROXY",R1173,IF(AND(ISNUMBER(S1173),S1173&gt;0,ISNUMBER(U1173)),U1173*R1173/S1173,"n.a.")),"n.a.")</x:f>
        <x:v>10076906.345312452</x:v>
      </x:c>
      <x:c r="G1173" s="17" t="n">
        <x:f>IF(AND(ISNUMBER(E1173),ISNUMBER(F1173)),E1173-F1173,"n.a.")</x:f>
        <x:v>-5357822.495312455</x:v>
      </x:c>
      <x:c r="H1173" s="15" t="n">
        <x:f>IF(AND(ISNUMBER(E1173),ISNUMBER(F1173),F1173&gt;0),(E1173-F1173)/F1173,"n.a.")</x:f>
        <x:v>-0.531693191512571</x:v>
      </x:c>
      <x:c r="I1173" s="19" t="n">
        <x:f>IF(ISNUMBER(H1173),ABS(H1173),"n.a.")</x:f>
        <x:v>0.531693191512571</x:v>
      </x:c>
      <x:c r="J1173" s="2" t="str">
        <x:v>available</x:v>
      </x:c>
      <x:c r="K1173" s="2" t="n">
        <x:v>1</x:v>
      </x:c>
      <x:c r="L1173" s="13" t="b">
        <x:v>0</x:v>
      </x:c>
      <x:c r="M1173" s="13" t="b">
        <x:v>1</x:v>
      </x:c>
      <x:c r="N1173" s="2" t="str">
        <x:v>modeled_epoch_volume_with_fixed2018_height_and_predominant_use</x:v>
      </x:c>
      <x:c r="O1173" s="2" t="str"/>
      <x:c r="P1173" s="2" t="str">
        <x:v>built-up volume</x:v>
      </x:c>
      <x:c r="Q1173" s="2" t="str">
        <x:v>m3</x:v>
      </x:c>
      <x:c r="R1173" s="17" t="n">
        <x:v>22728732.141176466</x:v>
      </x:c>
      <x:c r="S1173" s="17" t="n">
        <x:v>10644020.01</x:v>
      </x:c>
      <x:c r="T1173" s="18" t="n">
        <x:v>0.4433554094755969</x:v>
      </x:c>
      <x:c r="U1173" s="17" t="n">
        <x:v>4719083.849999997</x:v>
      </x:c>
      <x:c r="V1173" s="2" t="str">
        <x:v>Area equivalent = model2020 * source volume / TEMPO2020 volume</x:v>
      </x:c>
      <x:c r="W1173" s="2" t="str">
        <x:v>qualified_paired_native_source_frame</x:v>
      </x:c>
      <x:c r="X1173" s="2" t="str">
        <x:v>https://human-settlement.emergency.copernicus.eu/ghs_buV2023.php</x:v>
      </x:c>
    </x:row>
    <x:row r="1174" ht="23" customHeight="1">
      <x:c r="A1174" s="2" t="str">
        <x:v>TTO</x:v>
      </x:c>
      <x:c r="B1174" s="2" t="str">
        <x:v>Trinidad and Tobago (Republic of)</x:v>
      </x:c>
      <x:c r="C1174" s="2" t="n">
        <x:v>2020</x:v>
      </x:c>
      <x:c r="D1174" s="2" t="str">
        <x:v>GHSL_VOLUME</x:v>
      </x:c>
      <x:c r="E1174" s="17" t="n">
        <x:v>100480869.27000004</x:v>
      </x:c>
      <x:c r="F1174" s="17" t="n">
        <x:f>IF(AND(M1174,ISNUMBER(R1174)),IF(D1174="TEMPO_PROXY",R1174,IF(AND(ISNUMBER(S1174),S1174&gt;0,ISNUMBER(U1174)),U1174*R1174/S1174,"n.a.")),"n.a.")</x:f>
        <x:v>384266280.05670977</x:v>
      </x:c>
      <x:c r="G1174" s="17" t="n">
        <x:f>IF(AND(ISNUMBER(E1174),ISNUMBER(F1174)),E1174-F1174,"n.a.")</x:f>
        <x:v>-283785410.7867097</x:v>
      </x:c>
      <x:c r="H1174" s="15" t="n">
        <x:f>IF(AND(ISNUMBER(E1174),ISNUMBER(F1174),F1174&gt;0),(E1174-F1174)/F1174,"n.a.")</x:f>
        <x:v>-0.7385123949591124</x:v>
      </x:c>
      <x:c r="I1174" s="19" t="n">
        <x:f>IF(ISNUMBER(H1174),ABS(H1174),"n.a.")</x:f>
        <x:v>0.7385123949591124</x:v>
      </x:c>
      <x:c r="J1174" s="2" t="str">
        <x:v>available</x:v>
      </x:c>
      <x:c r="K1174" s="2" t="n">
        <x:v>1</x:v>
      </x:c>
      <x:c r="L1174" s="13" t="b">
        <x:v>0</x:v>
      </x:c>
      <x:c r="M1174" s="13" t="b">
        <x:v>1</x:v>
      </x:c>
      <x:c r="N1174" s="2" t="str">
        <x:v>modeled_epoch_volume_with_fixed2018_height_and_predominant_use</x:v>
      </x:c>
      <x:c r="O1174" s="2" t="str"/>
      <x:c r="P1174" s="2" t="str">
        <x:v>built-up volume</x:v>
      </x:c>
      <x:c r="Q1174" s="2" t="str">
        <x:v>m3</x:v>
      </x:c>
      <x:c r="R1174" s="17" t="n">
        <x:v>1014233667.5137254</x:v>
      </x:c>
      <x:c r="S1174" s="17" t="n">
        <x:v>265209532.67</x:v>
      </x:c>
      <x:c r="T1174" s="18" t="n">
        <x:v>0.37887352033845745</x:v>
      </x:c>
      <x:c r="U1174" s="17" t="n">
        <x:v>100480869.27000004</x:v>
      </x:c>
      <x:c r="V1174" s="2" t="str">
        <x:v>Area equivalent = model2020 * source volume / TEMPO2020 volume</x:v>
      </x:c>
      <x:c r="W1174" s="2" t="str">
        <x:v>qualified_paired_native_source_frame</x:v>
      </x:c>
      <x:c r="X1174" s="2" t="str">
        <x:v>https://human-settlement.emergency.copernicus.eu/ghs_buV2023.php</x:v>
      </x:c>
    </x:row>
    <x:row r="1175" ht="23" customHeight="1">
      <x:c r="A1175" s="2" t="str">
        <x:v>TUN</x:v>
      </x:c>
      <x:c r="B1175" s="2" t="str">
        <x:v>Tunisia (Republic of)</x:v>
      </x:c>
      <x:c r="C1175" s="2" t="n">
        <x:v>2020</x:v>
      </x:c>
      <x:c r="D1175" s="2" t="str">
        <x:v>GHSL_VOLUME</x:v>
      </x:c>
      <x:c r="E1175" s="17" t="n">
        <x:v>649171642.779999</x:v>
      </x:c>
      <x:c r="F1175" s="17" t="n">
        <x:f>IF(AND(M1175,ISNUMBER(R1175)),IF(D1175="TEMPO_PROXY",R1175,IF(AND(ISNUMBER(S1175),S1175&gt;0,ISNUMBER(U1175)),U1175*R1175/S1175,"n.a.")),"n.a.")</x:f>
        <x:v>1957122097.7192051</x:v>
      </x:c>
      <x:c r="G1175" s="17" t="n">
        <x:f>IF(AND(ISNUMBER(E1175),ISNUMBER(F1175)),E1175-F1175,"n.a.")</x:f>
        <x:v>-1307950454.9392061</x:v>
      </x:c>
      <x:c r="H1175" s="15" t="n">
        <x:f>IF(AND(ISNUMBER(E1175),ISNUMBER(F1175),F1175&gt;0),(E1175-F1175)/F1175,"n.a.")</x:f>
        <x:v>-0.6683029415811451</x:v>
      </x:c>
      <x:c r="I1175" s="19" t="n">
        <x:f>IF(ISNUMBER(H1175),ABS(H1175),"n.a.")</x:f>
        <x:v>0.6683029415811451</x:v>
      </x:c>
      <x:c r="J1175" s="2" t="str">
        <x:v>available</x:v>
      </x:c>
      <x:c r="K1175" s="2" t="n">
        <x:v>1</x:v>
      </x:c>
      <x:c r="L1175" s="13" t="b">
        <x:v>0</x:v>
      </x:c>
      <x:c r="M1175" s="13" t="b">
        <x:v>1</x:v>
      </x:c>
      <x:c r="N1175" s="2" t="str">
        <x:v>modeled_epoch_volume_with_fixed2018_height_and_predominant_use</x:v>
      </x:c>
      <x:c r="O1175" s="2" t="str"/>
      <x:c r="P1175" s="2" t="str">
        <x:v>built-up volume</x:v>
      </x:c>
      <x:c r="Q1175" s="2" t="str">
        <x:v>m3</x:v>
      </x:c>
      <x:c r="R1175" s="17" t="n">
        <x:v>5481838990.57647</x:v>
      </x:c>
      <x:c r="S1175" s="17" t="n">
        <x:v>1818309867.9</x:v>
      </x:c>
      <x:c r="T1175" s="18" t="n">
        <x:v>0.35701925961043124</x:v>
      </x:c>
      <x:c r="U1175" s="17" t="n">
        <x:v>649171642.779999</x:v>
      </x:c>
      <x:c r="V1175" s="2" t="str">
        <x:v>Area equivalent = model2020 * source volume / TEMPO2020 volume</x:v>
      </x:c>
      <x:c r="W1175" s="2" t="str">
        <x:v>qualified_paired_native_source_frame</x:v>
      </x:c>
      <x:c r="X1175" s="2" t="str">
        <x:v>https://human-settlement.emergency.copernicus.eu/ghs_buV2023.php</x:v>
      </x:c>
    </x:row>
    <x:row r="1176" ht="23" customHeight="1">
      <x:c r="A1176" s="2" t="str">
        <x:v>TUR</x:v>
      </x:c>
      <x:c r="B1176" s="2" t="str">
        <x:v>Türkiye (Republic of)</x:v>
      </x:c>
      <x:c r="C1176" s="2" t="n">
        <x:v>2020</x:v>
      </x:c>
      <x:c r="D1176" s="2" t="str">
        <x:v>GHSL_VOLUME</x:v>
      </x:c>
      <x:c r="E1176" s="17" t="n">
        <x:v>3957897873.260005</x:v>
      </x:c>
      <x:c r="F1176" s="17" t="n">
        <x:f>IF(AND(M1176,ISNUMBER(R1176)),IF(D1176="TEMPO_PROXY",R1176,IF(AND(ISNUMBER(S1176),S1176&gt;0,ISNUMBER(U1176)),U1176*R1176/S1176,"n.a.")),"n.a.")</x:f>
        <x:v>6485779462.152772</x:v>
      </x:c>
      <x:c r="G1176" s="17" t="n">
        <x:f>IF(AND(ISNUMBER(E1176),ISNUMBER(F1176)),E1176-F1176,"n.a.")</x:f>
        <x:v>-2527881588.892767</x:v>
      </x:c>
      <x:c r="H1176" s="15" t="n">
        <x:f>IF(AND(ISNUMBER(E1176),ISNUMBER(F1176),F1176&gt;0),(E1176-F1176)/F1176,"n.a.")</x:f>
        <x:v>-0.38975756170002546</x:v>
      </x:c>
      <x:c r="I1176" s="19" t="n">
        <x:f>IF(ISNUMBER(H1176),ABS(H1176),"n.a.")</x:f>
        <x:v>0.38975756170002546</x:v>
      </x:c>
      <x:c r="J1176" s="2" t="str">
        <x:v>available</x:v>
      </x:c>
      <x:c r="K1176" s="2" t="n">
        <x:v>1</x:v>
      </x:c>
      <x:c r="L1176" s="13" t="b">
        <x:v>0</x:v>
      </x:c>
      <x:c r="M1176" s="13" t="b">
        <x:v>1</x:v>
      </x:c>
      <x:c r="N1176" s="2" t="str">
        <x:v>modeled_epoch_volume_with_fixed2018_height_and_predominant_use</x:v>
      </x:c>
      <x:c r="O1176" s="2" t="str"/>
      <x:c r="P1176" s="2" t="str">
        <x:v>built-up volume</x:v>
      </x:c>
      <x:c r="Q1176" s="2" t="str">
        <x:v>m3</x:v>
      </x:c>
      <x:c r="R1176" s="17" t="n">
        <x:v>21575776805.24706</x:v>
      </x:c>
      <x:c r="S1176" s="17" t="n">
        <x:v>13166454645.85</x:v>
      </x:c>
      <x:c r="T1176" s="18" t="n">
        <x:v>0.3006046790665484</x:v>
      </x:c>
      <x:c r="U1176" s="17" t="n">
        <x:v>3957897873.260005</x:v>
      </x:c>
      <x:c r="V1176" s="2" t="str">
        <x:v>Area equivalent = model2020 * source volume / TEMPO2020 volume</x:v>
      </x:c>
      <x:c r="W1176" s="2" t="str">
        <x:v>qualified_paired_native_source_frame</x:v>
      </x:c>
      <x:c r="X1176" s="2" t="str">
        <x:v>https://human-settlement.emergency.copernicus.eu/ghs_buV2023.php</x:v>
      </x:c>
    </x:row>
    <x:row r="1177" ht="23" customHeight="1">
      <x:c r="A1177" s="2" t="str">
        <x:v>TUV</x:v>
      </x:c>
      <x:c r="B1177" s="2" t="str">
        <x:v>Tuvalu</x:v>
      </x:c>
      <x:c r="C1177" s="2" t="n">
        <x:v>2020</x:v>
      </x:c>
      <x:c r="D1177" s="2" t="str">
        <x:v>GHSL_VOLUME</x:v>
      </x:c>
      <x:c r="E1177" s="17" t="n">
        <x:v>19394.80999999999</x:v>
      </x:c>
      <x:c r="F1177" s="17" t="str">
        <x:f>IF(AND(M1177,ISNUMBER(R1177)),IF(D1177="TEMPO_PROXY",R1177,IF(AND(ISNUMBER(S1177),S1177&gt;0,ISNUMBER(U1177)),U1177*R1177/S1177,"n.a.")),"n.a.")</x:f>
        <x:v>n.a.</x:v>
      </x:c>
      <x:c r="G1177" s="17" t="str">
        <x:f>IF(AND(ISNUMBER(E1177),ISNUMBER(F1177)),E1177-F1177,"n.a.")</x:f>
        <x:v>n.a.</x:v>
      </x:c>
      <x:c r="H1177" s="15" t="str">
        <x:f>IF(AND(ISNUMBER(E1177),ISNUMBER(F1177),F1177&gt;0),(E1177-F1177)/F1177,"n.a.")</x:f>
        <x:v>n.a.</x:v>
      </x:c>
      <x:c r="I1177" s="19" t="str">
        <x:f>IF(ISNUMBER(H1177),ABS(H1177),"n.a.")</x:f>
        <x:v>n.a.</x:v>
      </x:c>
      <x:c r="J1177" s="2" t="str">
        <x:v>unqualified_or_missing_native_source: source_support_or_logical_consistency_failed</x:v>
      </x:c>
      <x:c r="K1177" s="2" t="n">
        <x:v>1</x:v>
      </x:c>
      <x:c r="L1177" s="13" t="b">
        <x:v>0</x:v>
      </x:c>
      <x:c r="M1177" s="13" t="b">
        <x:v>0</x:v>
      </x:c>
      <x:c r="N1177" s="2" t="str">
        <x:v>modeled_epoch_volume_with_fixed2018_height_and_predominant_use</x:v>
      </x:c>
      <x:c r="O1177" s="2" t="str"/>
      <x:c r="P1177" s="2" t="str">
        <x:v>built-up volume</x:v>
      </x:c>
      <x:c r="Q1177" s="2" t="str">
        <x:v>m3</x:v>
      </x:c>
      <x:c r="R1177" s="17" t="n">
        <x:v>71460.90980392156</x:v>
      </x:c>
      <x:c r="S1177" s="17" t="n">
        <x:v>45934.54</x:v>
      </x:c>
      <x:c r="T1177" s="18" t="n">
        <x:v>0.42222715194274263</x:v>
      </x:c>
      <x:c r="U1177" s="17" t="n">
        <x:v>19394.80999999999</x:v>
      </x:c>
      <x:c r="V1177" s="2" t="str">
        <x:v>Area equivalent = model2020 * source volume / TEMPO2020 volume</x:v>
      </x:c>
      <x:c r="W1177" s="2" t="str">
        <x:v>source_support_or_logical_consistency_failed</x:v>
      </x:c>
      <x:c r="X1177" s="2" t="str">
        <x:v>https://human-settlement.emergency.copernicus.eu/ghs_buV2023.php</x:v>
      </x:c>
    </x:row>
    <x:row r="1178" ht="23" customHeight="1">
      <x:c r="A1178" s="2" t="str">
        <x:v>TZA</x:v>
      </x:c>
      <x:c r="B1178" s="2" t="str">
        <x:v>Tanzania (United Republic of)</x:v>
      </x:c>
      <x:c r="C1178" s="2" t="n">
        <x:v>2020</x:v>
      </x:c>
      <x:c r="D1178" s="2" t="str">
        <x:v>GHSL_VOLUME</x:v>
      </x:c>
      <x:c r="E1178" s="17" t="n">
        <x:v>1174486408.8199985</x:v>
      </x:c>
      <x:c r="F1178" s="17" t="n">
        <x:f>IF(AND(M1178,ISNUMBER(R1178)),IF(D1178="TEMPO_PROXY",R1178,IF(AND(ISNUMBER(S1178),S1178&gt;0,ISNUMBER(U1178)),U1178*R1178/S1178,"n.a.")),"n.a.")</x:f>
        <x:v>7009373359.149283</x:v>
      </x:c>
      <x:c r="G1178" s="17" t="n">
        <x:f>IF(AND(ISNUMBER(E1178),ISNUMBER(F1178)),E1178-F1178,"n.a.")</x:f>
        <x:v>-5834886950.329285</x:v>
      </x:c>
      <x:c r="H1178" s="15" t="n">
        <x:f>IF(AND(ISNUMBER(E1178),ISNUMBER(F1178),F1178&gt;0),(E1178-F1178)/F1178,"n.a.")</x:f>
        <x:v>-0.8324405979477537</x:v>
      </x:c>
      <x:c r="I1178" s="19" t="n">
        <x:f>IF(ISNUMBER(H1178),ABS(H1178),"n.a.")</x:f>
        <x:v>0.8324405979477537</x:v>
      </x:c>
      <x:c r="J1178" s="2" t="str">
        <x:v>available</x:v>
      </x:c>
      <x:c r="K1178" s="2" t="n">
        <x:v>1</x:v>
      </x:c>
      <x:c r="L1178" s="13" t="b">
        <x:v>0</x:v>
      </x:c>
      <x:c r="M1178" s="13" t="b">
        <x:v>1</x:v>
      </x:c>
      <x:c r="N1178" s="2" t="str">
        <x:v>modeled_epoch_volume_with_fixed2018_height_and_predominant_use</x:v>
      </x:c>
      <x:c r="O1178" s="2" t="str"/>
      <x:c r="P1178" s="2" t="str">
        <x:v>built-up volume</x:v>
      </x:c>
      <x:c r="Q1178" s="2" t="str">
        <x:v>m3</x:v>
      </x:c>
      <x:c r="R1178" s="17" t="n">
        <x:v>14330506564.121569</x:v>
      </x:c>
      <x:c r="S1178" s="17" t="n">
        <x:v>2401211110.99</x:v>
      </x:c>
      <x:c r="T1178" s="18" t="n">
        <x:v>0.48912251132128376</x:v>
      </x:c>
      <x:c r="U1178" s="17" t="n">
        <x:v>1174486408.8199985</x:v>
      </x:c>
      <x:c r="V1178" s="2" t="str">
        <x:v>Area equivalent = model2020 * source volume / TEMPO2020 volume</x:v>
      </x:c>
      <x:c r="W1178" s="2" t="str">
        <x:v>qualified_paired_native_source_frame</x:v>
      </x:c>
      <x:c r="X1178" s="2" t="str">
        <x:v>https://human-settlement.emergency.copernicus.eu/ghs_buV2023.php</x:v>
      </x:c>
    </x:row>
    <x:row r="1179" ht="23" customHeight="1">
      <x:c r="A1179" s="2" t="str">
        <x:v>UGA</x:v>
      </x:c>
      <x:c r="B1179" s="2" t="str">
        <x:v>Uganda (Republic of)</x:v>
      </x:c>
      <x:c r="C1179" s="2" t="n">
        <x:v>2020</x:v>
      </x:c>
      <x:c r="D1179" s="2" t="str">
        <x:v>GHSL_VOLUME</x:v>
      </x:c>
      <x:c r="E1179" s="17" t="n">
        <x:v>765891927.1500008</x:v>
      </x:c>
      <x:c r="F1179" s="17" t="n">
        <x:f>IF(AND(M1179,ISNUMBER(R1179)),IF(D1179="TEMPO_PROXY",R1179,IF(AND(ISNUMBER(S1179),S1179&gt;0,ISNUMBER(U1179)),U1179*R1179/S1179,"n.a.")),"n.a.")</x:f>
        <x:v>4182459039.0349197</x:v>
      </x:c>
      <x:c r="G1179" s="17" t="n">
        <x:f>IF(AND(ISNUMBER(E1179),ISNUMBER(F1179)),E1179-F1179,"n.a.")</x:f>
        <x:v>-3416567111.884919</x:v>
      </x:c>
      <x:c r="H1179" s="15" t="n">
        <x:f>IF(AND(ISNUMBER(E1179),ISNUMBER(F1179),F1179&gt;0),(E1179-F1179)/F1179,"n.a.")</x:f>
        <x:v>-0.8168799933240407</x:v>
      </x:c>
      <x:c r="I1179" s="19" t="n">
        <x:f>IF(ISNUMBER(H1179),ABS(H1179),"n.a.")</x:f>
        <x:v>0.8168799933240407</x:v>
      </x:c>
      <x:c r="J1179" s="2" t="str">
        <x:v>available</x:v>
      </x:c>
      <x:c r="K1179" s="2" t="n">
        <x:v>1</x:v>
      </x:c>
      <x:c r="L1179" s="13" t="b">
        <x:v>0</x:v>
      </x:c>
      <x:c r="M1179" s="13" t="b">
        <x:v>1</x:v>
      </x:c>
      <x:c r="N1179" s="2" t="str">
        <x:v>modeled_epoch_volume_with_fixed2018_height_and_predominant_use</x:v>
      </x:c>
      <x:c r="O1179" s="2" t="str"/>
      <x:c r="P1179" s="2" t="str">
        <x:v>built-up volume</x:v>
      </x:c>
      <x:c r="Q1179" s="2" t="str">
        <x:v>m3</x:v>
      </x:c>
      <x:c r="R1179" s="17" t="n">
        <x:v>7961624052.580395</x:v>
      </x:c>
      <x:c r="S1179" s="17" t="n">
        <x:v>1457932649.66</x:v>
      </x:c>
      <x:c r="T1179" s="18" t="n">
        <x:v>0.52532737182929</x:v>
      </x:c>
      <x:c r="U1179" s="17" t="n">
        <x:v>765891927.1500008</x:v>
      </x:c>
      <x:c r="V1179" s="2" t="str">
        <x:v>Area equivalent = model2020 * source volume / TEMPO2020 volume</x:v>
      </x:c>
      <x:c r="W1179" s="2" t="str">
        <x:v>qualified_paired_native_source_frame</x:v>
      </x:c>
      <x:c r="X1179" s="2" t="str">
        <x:v>https://human-settlement.emergency.copernicus.eu/ghs_buV2023.php</x:v>
      </x:c>
    </x:row>
    <x:row r="1180" ht="23" customHeight="1">
      <x:c r="A1180" s="2" t="str">
        <x:v>UKR</x:v>
      </x:c>
      <x:c r="B1180" s="2" t="str">
        <x:v>Ukraine</x:v>
      </x:c>
      <x:c r="C1180" s="2" t="n">
        <x:v>2020</x:v>
      </x:c>
      <x:c r="D1180" s="2" t="str">
        <x:v>GHSL_VOLUME</x:v>
      </x:c>
      <x:c r="E1180" s="17" t="n">
        <x:v>2808807029.8199997</x:v>
      </x:c>
      <x:c r="F1180" s="17" t="n">
        <x:f>IF(AND(M1180,ISNUMBER(R1180)),IF(D1180="TEMPO_PROXY",R1180,IF(AND(ISNUMBER(S1180),S1180&gt;0,ISNUMBER(U1180)),U1180*R1180/S1180,"n.a.")),"n.a.")</x:f>
        <x:v>7670186591.984555</x:v>
      </x:c>
      <x:c r="G1180" s="17" t="n">
        <x:f>IF(AND(ISNUMBER(E1180),ISNUMBER(F1180)),E1180-F1180,"n.a.")</x:f>
        <x:v>-4861379562.164556</x:v>
      </x:c>
      <x:c r="H1180" s="15" t="n">
        <x:f>IF(AND(ISNUMBER(E1180),ISNUMBER(F1180),F1180&gt;0),(E1180-F1180)/F1180,"n.a.")</x:f>
        <x:v>-0.6338019947578277</x:v>
      </x:c>
      <x:c r="I1180" s="19" t="n">
        <x:f>IF(ISNUMBER(H1180),ABS(H1180),"n.a.")</x:f>
        <x:v>0.6338019947578277</x:v>
      </x:c>
      <x:c r="J1180" s="2" t="str">
        <x:v>available</x:v>
      </x:c>
      <x:c r="K1180" s="2" t="n">
        <x:v>1</x:v>
      </x:c>
      <x:c r="L1180" s="13" t="b">
        <x:v>0</x:v>
      </x:c>
      <x:c r="M1180" s="13" t="b">
        <x:v>1</x:v>
      </x:c>
      <x:c r="N1180" s="2" t="str">
        <x:v>modeled_epoch_volume_with_fixed2018_height_and_predominant_use</x:v>
      </x:c>
      <x:c r="O1180" s="2" t="str"/>
      <x:c r="P1180" s="2" t="str">
        <x:v>built-up volume</x:v>
      </x:c>
      <x:c r="Q1180" s="2" t="str">
        <x:v>m3</x:v>
      </x:c>
      <x:c r="R1180" s="17" t="n">
        <x:v>21935793705.47843</x:v>
      </x:c>
      <x:c r="S1180" s="17" t="n">
        <x:v>8032843898.35</x:v>
      </x:c>
      <x:c r="T1180" s="18" t="n">
        <x:v>0.3496653321492961</x:v>
      </x:c>
      <x:c r="U1180" s="17" t="n">
        <x:v>2808807029.8199997</x:v>
      </x:c>
      <x:c r="V1180" s="2" t="str">
        <x:v>Area equivalent = model2020 * source volume / TEMPO2020 volume</x:v>
      </x:c>
      <x:c r="W1180" s="2" t="str">
        <x:v>qualified_paired_native_source_frame</x:v>
      </x:c>
      <x:c r="X1180" s="2" t="str">
        <x:v>https://human-settlement.emergency.copernicus.eu/ghs_buV2023.php</x:v>
      </x:c>
    </x:row>
    <x:row r="1181" ht="23" customHeight="1">
      <x:c r="A1181" s="2" t="str">
        <x:v>URY</x:v>
      </x:c>
      <x:c r="B1181" s="2" t="str">
        <x:v>Uruguay (Oriental Republic of)</x:v>
      </x:c>
      <x:c r="C1181" s="2" t="n">
        <x:v>2020</x:v>
      </x:c>
      <x:c r="D1181" s="2" t="str">
        <x:v>GHSL_VOLUME</x:v>
      </x:c>
      <x:c r="E1181" s="17" t="n">
        <x:v>209727833.2899997</x:v>
      </x:c>
      <x:c r="F1181" s="17" t="n">
        <x:f>IF(AND(M1181,ISNUMBER(R1181)),IF(D1181="TEMPO_PROXY",R1181,IF(AND(ISNUMBER(S1181),S1181&gt;0,ISNUMBER(U1181)),U1181*R1181/S1181,"n.a.")),"n.a.")</x:f>
        <x:v>788205978.0105065</x:v>
      </x:c>
      <x:c r="G1181" s="17" t="n">
        <x:f>IF(AND(ISNUMBER(E1181),ISNUMBER(F1181)),E1181-F1181,"n.a.")</x:f>
        <x:v>-578478144.7205068</x:v>
      </x:c>
      <x:c r="H1181" s="15" t="n">
        <x:f>IF(AND(ISNUMBER(E1181),ISNUMBER(F1181),F1181&gt;0),(E1181-F1181)/F1181,"n.a.")</x:f>
        <x:v>-0.7339174795154826</x:v>
      </x:c>
      <x:c r="I1181" s="19" t="n">
        <x:f>IF(ISNUMBER(H1181),ABS(H1181),"n.a.")</x:f>
        <x:v>0.7339174795154826</x:v>
      </x:c>
      <x:c r="J1181" s="2" t="str">
        <x:v>available</x:v>
      </x:c>
      <x:c r="K1181" s="2" t="n">
        <x:v>1</x:v>
      </x:c>
      <x:c r="L1181" s="13" t="b">
        <x:v>0</x:v>
      </x:c>
      <x:c r="M1181" s="13" t="b">
        <x:v>1</x:v>
      </x:c>
      <x:c r="N1181" s="2" t="str">
        <x:v>modeled_epoch_volume_with_fixed2018_height_and_predominant_use</x:v>
      </x:c>
      <x:c r="O1181" s="2" t="str"/>
      <x:c r="P1181" s="2" t="str">
        <x:v>built-up volume</x:v>
      </x:c>
      <x:c r="Q1181" s="2" t="str">
        <x:v>m3</x:v>
      </x:c>
      <x:c r="R1181" s="17" t="n">
        <x:v>2195551911.1372547</x:v>
      </x:c>
      <x:c r="S1181" s="17" t="n">
        <x:v>584197986.37</x:v>
      </x:c>
      <x:c r="T1181" s="18" t="n">
        <x:v>0.35900129439537165</x:v>
      </x:c>
      <x:c r="U1181" s="17" t="n">
        <x:v>209727833.2899997</x:v>
      </x:c>
      <x:c r="V1181" s="2" t="str">
        <x:v>Area equivalent = model2020 * source volume / TEMPO2020 volume</x:v>
      </x:c>
      <x:c r="W1181" s="2" t="str">
        <x:v>qualified_paired_native_source_frame</x:v>
      </x:c>
      <x:c r="X1181" s="2" t="str">
        <x:v>https://human-settlement.emergency.copernicus.eu/ghs_buV2023.php</x:v>
      </x:c>
    </x:row>
    <x:row r="1182" ht="23" customHeight="1">
      <x:c r="A1182" s="2" t="str">
        <x:v>USA</x:v>
      </x:c>
      <x:c r="B1182" s="2" t="str">
        <x:v>United States of America</x:v>
      </x:c>
      <x:c r="C1182" s="2" t="n">
        <x:v>2020</x:v>
      </x:c>
      <x:c r="D1182" s="2" t="str">
        <x:v>GHSL_VOLUME</x:v>
      </x:c>
      <x:c r="E1182" s="17" t="n">
        <x:v>35932980078.68004</x:v>
      </x:c>
      <x:c r="F1182" s="17" t="str">
        <x:f>IF(AND(M1182,ISNUMBER(R1182)),IF(D1182="TEMPO_PROXY",R1182,IF(AND(ISNUMBER(S1182),S1182&gt;0,ISNUMBER(U1182)),U1182*R1182/S1182,"n.a.")),"n.a.")</x:f>
        <x:v>n.a.</x:v>
      </x:c>
      <x:c r="G1182" s="17" t="str">
        <x:f>IF(AND(ISNUMBER(E1182),ISNUMBER(F1182)),E1182-F1182,"n.a.")</x:f>
        <x:v>n.a.</x:v>
      </x:c>
      <x:c r="H1182" s="15" t="str">
        <x:f>IF(AND(ISNUMBER(E1182),ISNUMBER(F1182),F1182&gt;0),(E1182-F1182)/F1182,"n.a.")</x:f>
        <x:v>n.a.</x:v>
      </x:c>
      <x:c r="I1182" s="19" t="str">
        <x:f>IF(ISNUMBER(H1182),ABS(H1182),"n.a.")</x:f>
        <x:v>n.a.</x:v>
      </x:c>
      <x:c r="J1182" s="2" t="str">
        <x:v>unqualified_or_missing_native_source: source_support_or_logical_consistency_failed</x:v>
      </x:c>
      <x:c r="K1182" s="2" t="n">
        <x:v>1</x:v>
      </x:c>
      <x:c r="L1182" s="13" t="b">
        <x:v>0</x:v>
      </x:c>
      <x:c r="M1182" s="13" t="b">
        <x:v>0</x:v>
      </x:c>
      <x:c r="N1182" s="2" t="str">
        <x:v>modeled_epoch_volume_with_fixed2018_height_and_predominant_use</x:v>
      </x:c>
      <x:c r="O1182" s="2" t="str"/>
      <x:c r="P1182" s="2" t="str">
        <x:v>built-up volume</x:v>
      </x:c>
      <x:c r="Q1182" s="2" t="str">
        <x:v>m3</x:v>
      </x:c>
      <x:c r="R1182" s="17" t="n">
        <x:v>328431959761.06274</x:v>
      </x:c>
      <x:c r="S1182" s="17" t="n">
        <x:v>98610675090.34</x:v>
      </x:c>
      <x:c r="T1182" s="18" t="n">
        <x:v>0.3643923951008431</x:v>
      </x:c>
      <x:c r="U1182" s="17" t="n">
        <x:v>35932980078.68004</x:v>
      </x:c>
      <x:c r="V1182" s="2" t="str">
        <x:v>Area equivalent = model2020 * source volume / TEMPO2020 volume</x:v>
      </x:c>
      <x:c r="W1182" s="2" t="str">
        <x:v>source_support_or_logical_consistency_failed</x:v>
      </x:c>
      <x:c r="X1182" s="2" t="str">
        <x:v>https://human-settlement.emergency.copernicus.eu/ghs_buV2023.php</x:v>
      </x:c>
    </x:row>
    <x:row r="1183" ht="23" customHeight="1">
      <x:c r="A1183" s="2" t="str">
        <x:v>UZB</x:v>
      </x:c>
      <x:c r="B1183" s="2" t="str">
        <x:v>Uzbekistan (Republic of)</x:v>
      </x:c>
      <x:c r="C1183" s="2" t="n">
        <x:v>2020</x:v>
      </x:c>
      <x:c r="D1183" s="2" t="str">
        <x:v>GHSL_VOLUME</x:v>
      </x:c>
      <x:c r="E1183" s="17" t="n">
        <x:v>1997042653.6300015</x:v>
      </x:c>
      <x:c r="F1183" s="17" t="n">
        <x:f>IF(AND(M1183,ISNUMBER(R1183)),IF(D1183="TEMPO_PROXY",R1183,IF(AND(ISNUMBER(S1183),S1183&gt;0,ISNUMBER(U1183)),U1183*R1183/S1183,"n.a.")),"n.a.")</x:f>
        <x:v>7268258949.149218</x:v>
      </x:c>
      <x:c r="G1183" s="17" t="n">
        <x:f>IF(AND(ISNUMBER(E1183),ISNUMBER(F1183)),E1183-F1183,"n.a.")</x:f>
        <x:v>-5271216295.519217</x:v>
      </x:c>
      <x:c r="H1183" s="15" t="n">
        <x:f>IF(AND(ISNUMBER(E1183),ISNUMBER(F1183),F1183&gt;0),(E1183-F1183)/F1183,"n.a.")</x:f>
        <x:v>-0.725237822757572</x:v>
      </x:c>
      <x:c r="I1183" s="19" t="n">
        <x:f>IF(ISNUMBER(H1183),ABS(H1183),"n.a.")</x:f>
        <x:v>0.725237822757572</x:v>
      </x:c>
      <x:c r="J1183" s="2" t="str">
        <x:v>available</x:v>
      </x:c>
      <x:c r="K1183" s="2" t="n">
        <x:v>1</x:v>
      </x:c>
      <x:c r="L1183" s="13" t="b">
        <x:v>0</x:v>
      </x:c>
      <x:c r="M1183" s="13" t="b">
        <x:v>1</x:v>
      </x:c>
      <x:c r="N1183" s="2" t="str">
        <x:v>modeled_epoch_volume_with_fixed2018_height_and_predominant_use</x:v>
      </x:c>
      <x:c r="O1183" s="2" t="str"/>
      <x:c r="P1183" s="2" t="str">
        <x:v>built-up volume</x:v>
      </x:c>
      <x:c r="Q1183" s="2" t="str">
        <x:v>m3</x:v>
      </x:c>
      <x:c r="R1183" s="17" t="n">
        <x:v>19303676225.713726</x:v>
      </x:c>
      <x:c r="S1183" s="17" t="n">
        <x:v>5303920108.56</x:v>
      </x:c>
      <x:c r="T1183" s="18" t="n">
        <x:v>0.3765220087698857</x:v>
      </x:c>
      <x:c r="U1183" s="17" t="n">
        <x:v>1997042653.6300015</x:v>
      </x:c>
      <x:c r="V1183" s="2" t="str">
        <x:v>Area equivalent = model2020 * source volume / TEMPO2020 volume</x:v>
      </x:c>
      <x:c r="W1183" s="2" t="str">
        <x:v>qualified_paired_native_source_frame</x:v>
      </x:c>
      <x:c r="X1183" s="2" t="str">
        <x:v>https://human-settlement.emergency.copernicus.eu/ghs_buV2023.php</x:v>
      </x:c>
    </x:row>
    <x:row r="1184" ht="23" customHeight="1">
      <x:c r="A1184" s="2" t="str">
        <x:v>VAT</x:v>
      </x:c>
      <x:c r="B1184" s="2" t="str">
        <x:v>Holy See (State of the Vatican City)</x:v>
      </x:c>
      <x:c r="C1184" s="2" t="n">
        <x:v>2020</x:v>
      </x:c>
      <x:c r="D1184" s="2" t="str">
        <x:v>GHSL_VOLUME</x:v>
      </x:c>
      <x:c r="E1184" s="17" t="n">
        <x:v>318924.24</x:v>
      </x:c>
      <x:c r="F1184" s="17" t="n">
        <x:f>IF(AND(M1184,ISNUMBER(R1184)),IF(D1184="TEMPO_PROXY",R1184,IF(AND(ISNUMBER(S1184),S1184&gt;0,ISNUMBER(U1184)),U1184*R1184/S1184,"n.a.")),"n.a.")</x:f>
        <x:v>585203.1663749047</x:v>
      </x:c>
      <x:c r="G1184" s="17" t="n">
        <x:f>IF(AND(ISNUMBER(E1184),ISNUMBER(F1184)),E1184-F1184,"n.a.")</x:f>
        <x:v>-266278.9263749047</x:v>
      </x:c>
      <x:c r="H1184" s="15" t="n">
        <x:f>IF(AND(ISNUMBER(E1184),ISNUMBER(F1184),F1184&gt;0),(E1184-F1184)/F1184,"n.a.")</x:f>
        <x:v>-0.455019626815067</x:v>
      </x:c>
      <x:c r="I1184" s="19" t="n">
        <x:f>IF(ISNUMBER(H1184),ABS(H1184),"n.a.")</x:f>
        <x:v>0.455019626815067</x:v>
      </x:c>
      <x:c r="J1184" s="2" t="str">
        <x:v>available</x:v>
      </x:c>
      <x:c r="K1184" s="2" t="n">
        <x:v>1</x:v>
      </x:c>
      <x:c r="L1184" s="13" t="b">
        <x:v>0</x:v>
      </x:c>
      <x:c r="M1184" s="13" t="b">
        <x:v>1</x:v>
      </x:c>
      <x:c r="N1184" s="2" t="str">
        <x:v>modeled_epoch_volume_with_fixed2018_height_and_predominant_use</x:v>
      </x:c>
      <x:c r="O1184" s="2" t="str"/>
      <x:c r="P1184" s="2" t="str">
        <x:v>built-up volume</x:v>
      </x:c>
      <x:c r="Q1184" s="2" t="str">
        <x:v>m3</x:v>
      </x:c>
      <x:c r="R1184" s="17" t="n">
        <x:v>2146743.878431373</x:v>
      </x:c>
      <x:c r="S1184" s="17" t="n">
        <x:v>1169933.28</x:v>
      </x:c>
      <x:c r="T1184" s="18" t="n">
        <x:v>0.2726003657234197</x:v>
      </x:c>
      <x:c r="U1184" s="17" t="n">
        <x:v>318924.24</x:v>
      </x:c>
      <x:c r="V1184" s="2" t="str">
        <x:v>Area equivalent = model2020 * source volume / TEMPO2020 volume</x:v>
      </x:c>
      <x:c r="W1184" s="2" t="str">
        <x:v>qualified_paired_native_source_frame</x:v>
      </x:c>
      <x:c r="X1184" s="2" t="str">
        <x:v>https://human-settlement.emergency.copernicus.eu/ghs_buV2023.php</x:v>
      </x:c>
    </x:row>
    <x:row r="1185" ht="23" customHeight="1">
      <x:c r="A1185" s="2" t="str">
        <x:v>VCT</x:v>
      </x:c>
      <x:c r="B1185" s="2" t="str">
        <x:v>Saint Vincent and the Grenadines</x:v>
      </x:c>
      <x:c r="C1185" s="2" t="n">
        <x:v>2020</x:v>
      </x:c>
      <x:c r="D1185" s="2" t="str">
        <x:v>GHSL_VOLUME</x:v>
      </x:c>
      <x:c r="E1185" s="17" t="n">
        <x:v>6194383.570000002</x:v>
      </x:c>
      <x:c r="F1185" s="17" t="n">
        <x:f>IF(AND(M1185,ISNUMBER(R1185)),IF(D1185="TEMPO_PROXY",R1185,IF(AND(ISNUMBER(S1185),S1185&gt;0,ISNUMBER(U1185)),U1185*R1185/S1185,"n.a.")),"n.a.")</x:f>
        <x:v>22450582.820501667</x:v>
      </x:c>
      <x:c r="G1185" s="17" t="n">
        <x:f>IF(AND(ISNUMBER(E1185),ISNUMBER(F1185)),E1185-F1185,"n.a.")</x:f>
        <x:v>-16256199.250501664</x:v>
      </x:c>
      <x:c r="H1185" s="15" t="n">
        <x:f>IF(AND(ISNUMBER(E1185),ISNUMBER(F1185),F1185&gt;0),(E1185-F1185)/F1185,"n.a.")</x:f>
        <x:v>-0.7240880729232851</x:v>
      </x:c>
      <x:c r="I1185" s="19" t="n">
        <x:f>IF(ISNUMBER(H1185),ABS(H1185),"n.a.")</x:f>
        <x:v>0.7240880729232851</x:v>
      </x:c>
      <x:c r="J1185" s="2" t="str">
        <x:v>available</x:v>
      </x:c>
      <x:c r="K1185" s="2" t="n">
        <x:v>1</x:v>
      </x:c>
      <x:c r="L1185" s="13" t="b">
        <x:v>0</x:v>
      </x:c>
      <x:c r="M1185" s="13" t="b">
        <x:v>1</x:v>
      </x:c>
      <x:c r="N1185" s="2" t="str">
        <x:v>modeled_epoch_volume_with_fixed2018_height_and_predominant_use</x:v>
      </x:c>
      <x:c r="O1185" s="2" t="str"/>
      <x:c r="P1185" s="2" t="str">
        <x:v>built-up volume</x:v>
      </x:c>
      <x:c r="Q1185" s="2" t="str">
        <x:v>m3</x:v>
      </x:c>
      <x:c r="R1185" s="17" t="n">
        <x:v>51878321.83137253</x:v>
      </x:c>
      <x:c r="S1185" s="17" t="n">
        <x:v>14313847.75</x:v>
      </x:c>
      <x:c r="T1185" s="18" t="n">
        <x:v>0.43275460785867326</x:v>
      </x:c>
      <x:c r="U1185" s="17" t="n">
        <x:v>6194383.570000002</x:v>
      </x:c>
      <x:c r="V1185" s="2" t="str">
        <x:v>Area equivalent = model2020 * source volume / TEMPO2020 volume</x:v>
      </x:c>
      <x:c r="W1185" s="2" t="str">
        <x:v>qualified_paired_native_source_frame</x:v>
      </x:c>
      <x:c r="X1185" s="2" t="str">
        <x:v>https://human-settlement.emergency.copernicus.eu/ghs_buV2023.php</x:v>
      </x:c>
    </x:row>
    <x:row r="1186" ht="23" customHeight="1">
      <x:c r="A1186" s="2" t="str">
        <x:v>VEN</x:v>
      </x:c>
      <x:c r="B1186" s="2" t="str">
        <x:v>Venezuela (Bolivarian Republic of)</x:v>
      </x:c>
      <x:c r="C1186" s="2" t="n">
        <x:v>2020</x:v>
      </x:c>
      <x:c r="D1186" s="2" t="str">
        <x:v>GHSL_VOLUME</x:v>
      </x:c>
      <x:c r="E1186" s="17" t="n">
        <x:v>1159546607.6500015</x:v>
      </x:c>
      <x:c r="F1186" s="17" t="n">
        <x:f>IF(AND(M1186,ISNUMBER(R1186)),IF(D1186="TEMPO_PROXY",R1186,IF(AND(ISNUMBER(S1186),S1186&gt;0,ISNUMBER(U1186)),U1186*R1186/S1186,"n.a.")),"n.a.")</x:f>
        <x:v>3737626928.224729</x:v>
      </x:c>
      <x:c r="G1186" s="17" t="n">
        <x:f>IF(AND(ISNUMBER(E1186),ISNUMBER(F1186)),E1186-F1186,"n.a.")</x:f>
        <x:v>-2578080320.5747275</x:v>
      </x:c>
      <x:c r="H1186" s="15" t="n">
        <x:f>IF(AND(ISNUMBER(E1186),ISNUMBER(F1186),F1186&gt;0),(E1186-F1186)/F1186,"n.a.")</x:f>
        <x:v>-0.6897639518557421</x:v>
      </x:c>
      <x:c r="I1186" s="19" t="n">
        <x:f>IF(ISNUMBER(H1186),ABS(H1186),"n.a.")</x:f>
        <x:v>0.6897639518557421</x:v>
      </x:c>
      <x:c r="J1186" s="2" t="str">
        <x:v>available</x:v>
      </x:c>
      <x:c r="K1186" s="2" t="n">
        <x:v>1</x:v>
      </x:c>
      <x:c r="L1186" s="13" t="b">
        <x:v>0</x:v>
      </x:c>
      <x:c r="M1186" s="13" t="b">
        <x:v>1</x:v>
      </x:c>
      <x:c r="N1186" s="2" t="str">
        <x:v>modeled_epoch_volume_with_fixed2018_height_and_predominant_use</x:v>
      </x:c>
      <x:c r="O1186" s="2" t="str"/>
      <x:c r="P1186" s="2" t="str">
        <x:v>built-up volume</x:v>
      </x:c>
      <x:c r="Q1186" s="2" t="str">
        <x:v>m3</x:v>
      </x:c>
      <x:c r="R1186" s="17" t="n">
        <x:v>10470250451.4549</x:v>
      </x:c>
      <x:c r="S1186" s="17" t="n">
        <x:v>3248249123.14</x:v>
      </x:c>
      <x:c r="T1186" s="18" t="n">
        <x:v>0.35697588568240646</x:v>
      </x:c>
      <x:c r="U1186" s="17" t="n">
        <x:v>1159546607.6500015</x:v>
      </x:c>
      <x:c r="V1186" s="2" t="str">
        <x:v>Area equivalent = model2020 * source volume / TEMPO2020 volume</x:v>
      </x:c>
      <x:c r="W1186" s="2" t="str">
        <x:v>qualified_paired_native_source_frame</x:v>
      </x:c>
      <x:c r="X1186" s="2" t="str">
        <x:v>https://human-settlement.emergency.copernicus.eu/ghs_buV2023.php</x:v>
      </x:c>
    </x:row>
    <x:row r="1187" ht="23" customHeight="1">
      <x:c r="A1187" s="2" t="str">
        <x:v>VNM</x:v>
      </x:c>
      <x:c r="B1187" s="2" t="str">
        <x:v>Viet Nam (Socialist Republic of)</x:v>
      </x:c>
      <x:c r="C1187" s="2" t="n">
        <x:v>2020</x:v>
      </x:c>
      <x:c r="D1187" s="2" t="str">
        <x:v>GHSL_VOLUME</x:v>
      </x:c>
      <x:c r="E1187" s="17" t="n">
        <x:v>4861867508.520002</x:v>
      </x:c>
      <x:c r="F1187" s="17" t="n">
        <x:f>IF(AND(M1187,ISNUMBER(R1187)),IF(D1187="TEMPO_PROXY",R1187,IF(AND(ISNUMBER(S1187),S1187&gt;0,ISNUMBER(U1187)),U1187*R1187/S1187,"n.a.")),"n.a.")</x:f>
        <x:v>7396852042.3291855</x:v>
      </x:c>
      <x:c r="G1187" s="17" t="n">
        <x:f>IF(AND(ISNUMBER(E1187),ISNUMBER(F1187)),E1187-F1187,"n.a.")</x:f>
        <x:v>-2534984533.809183</x:v>
      </x:c>
      <x:c r="H1187" s="15" t="n">
        <x:f>IF(AND(ISNUMBER(E1187),ISNUMBER(F1187),F1187&gt;0),(E1187-F1187)/F1187,"n.a.")</x:f>
        <x:v>-0.34271126680681113</x:v>
      </x:c>
      <x:c r="I1187" s="19" t="n">
        <x:f>IF(ISNUMBER(H1187),ABS(H1187),"n.a.")</x:f>
        <x:v>0.34271126680681113</x:v>
      </x:c>
      <x:c r="J1187" s="2" t="str">
        <x:v>available</x:v>
      </x:c>
      <x:c r="K1187" s="2" t="n">
        <x:v>1</x:v>
      </x:c>
      <x:c r="L1187" s="13" t="b">
        <x:v>0</x:v>
      </x:c>
      <x:c r="M1187" s="13" t="b">
        <x:v>1</x:v>
      </x:c>
      <x:c r="N1187" s="2" t="str">
        <x:v>modeled_epoch_volume_with_fixed2018_height_and_predominant_use</x:v>
      </x:c>
      <x:c r="O1187" s="2" t="str"/>
      <x:c r="P1187" s="2" t="str">
        <x:v>built-up volume</x:v>
      </x:c>
      <x:c r="Q1187" s="2" t="str">
        <x:v>m3</x:v>
      </x:c>
      <x:c r="R1187" s="17" t="n">
        <x:v>22045374036.254898</x:v>
      </x:c>
      <x:c r="S1187" s="17" t="n">
        <x:v>14490175973.06</x:v>
      </x:c>
      <x:c r="T1187" s="18" t="n">
        <x:v>0.3355285344746083</x:v>
      </x:c>
      <x:c r="U1187" s="17" t="n">
        <x:v>4861867508.520002</x:v>
      </x:c>
      <x:c r="V1187" s="2" t="str">
        <x:v>Area equivalent = model2020 * source volume / TEMPO2020 volume</x:v>
      </x:c>
      <x:c r="W1187" s="2" t="str">
        <x:v>qualified_paired_native_source_frame</x:v>
      </x:c>
      <x:c r="X1187" s="2" t="str">
        <x:v>https://human-settlement.emergency.copernicus.eu/ghs_buV2023.php</x:v>
      </x:c>
    </x:row>
    <x:row r="1188" ht="23" customHeight="1">
      <x:c r="A1188" s="2" t="str">
        <x:v>VUT</x:v>
      </x:c>
      <x:c r="B1188" s="2" t="str">
        <x:v>Vanuatu (Republic of)</x:v>
      </x:c>
      <x:c r="C1188" s="2" t="n">
        <x:v>2020</x:v>
      </x:c>
      <x:c r="D1188" s="2" t="str">
        <x:v>GHSL_VOLUME</x:v>
      </x:c>
      <x:c r="E1188" s="17" t="n">
        <x:v>8193524.700000004</x:v>
      </x:c>
      <x:c r="F1188" s="17" t="n">
        <x:f>IF(AND(M1188,ISNUMBER(R1188)),IF(D1188="TEMPO_PROXY",R1188,IF(AND(ISNUMBER(S1188),S1188&gt;0,ISNUMBER(U1188)),U1188*R1188/S1188,"n.a.")),"n.a.")</x:f>
        <x:v>23700226.703426186</x:v>
      </x:c>
      <x:c r="G1188" s="17" t="n">
        <x:f>IF(AND(ISNUMBER(E1188),ISNUMBER(F1188)),E1188-F1188,"n.a.")</x:f>
        <x:v>-15506702.003426183</x:v>
      </x:c>
      <x:c r="H1188" s="15" t="n">
        <x:f>IF(AND(ISNUMBER(E1188),ISNUMBER(F1188),F1188&gt;0),(E1188-F1188)/F1188,"n.a.")</x:f>
        <x:v>-0.654284965180712</x:v>
      </x:c>
      <x:c r="I1188" s="19" t="n">
        <x:f>IF(ISNUMBER(H1188),ABS(H1188),"n.a.")</x:f>
        <x:v>0.654284965180712</x:v>
      </x:c>
      <x:c r="J1188" s="2" t="str">
        <x:v>available</x:v>
      </x:c>
      <x:c r="K1188" s="2" t="n">
        <x:v>1</x:v>
      </x:c>
      <x:c r="L1188" s="13" t="b">
        <x:v>0</x:v>
      </x:c>
      <x:c r="M1188" s="13" t="b">
        <x:v>1</x:v>
      </x:c>
      <x:c r="N1188" s="2" t="str">
        <x:v>modeled_epoch_volume_with_fixed2018_height_and_predominant_use</x:v>
      </x:c>
      <x:c r="O1188" s="2" t="str"/>
      <x:c r="P1188" s="2" t="str">
        <x:v>built-up volume</x:v>
      </x:c>
      <x:c r="Q1188" s="2" t="str">
        <x:v>m3</x:v>
      </x:c>
      <x:c r="R1188" s="17" t="n">
        <x:v>47115855.02352942</x:v>
      </x:c>
      <x:c r="S1188" s="17" t="n">
        <x:v>16288659.46</x:v>
      </x:c>
      <x:c r="T1188" s="18" t="n">
        <x:v>0.5030201975872116</x:v>
      </x:c>
      <x:c r="U1188" s="17" t="n">
        <x:v>8193524.700000004</x:v>
      </x:c>
      <x:c r="V1188" s="2" t="str">
        <x:v>Area equivalent = model2020 * source volume / TEMPO2020 volume</x:v>
      </x:c>
      <x:c r="W1188" s="2" t="str">
        <x:v>qualified_paired_native_source_frame</x:v>
      </x:c>
      <x:c r="X1188" s="2" t="str">
        <x:v>https://human-settlement.emergency.copernicus.eu/ghs_buV2023.php</x:v>
      </x:c>
    </x:row>
    <x:row r="1189" ht="23" customHeight="1">
      <x:c r="A1189" s="2" t="str">
        <x:v>WSM</x:v>
      </x:c>
      <x:c r="B1189" s="2" t="str">
        <x:v>Samoa (Independent State of)</x:v>
      </x:c>
      <x:c r="C1189" s="2" t="n">
        <x:v>2020</x:v>
      </x:c>
      <x:c r="D1189" s="2" t="str">
        <x:v>GHSL_VOLUME</x:v>
      </x:c>
      <x:c r="E1189" s="17" t="n">
        <x:v>8105266.000000001</x:v>
      </x:c>
      <x:c r="F1189" s="17" t="n">
        <x:f>IF(AND(M1189,ISNUMBER(R1189)),IF(D1189="TEMPO_PROXY",R1189,IF(AND(ISNUMBER(S1189),S1189&gt;0,ISNUMBER(U1189)),U1189*R1189/S1189,"n.a.")),"n.a.")</x:f>
        <x:v>18870402.058386788</x:v>
      </x:c>
      <x:c r="G1189" s="17" t="n">
        <x:f>IF(AND(ISNUMBER(E1189),ISNUMBER(F1189)),E1189-F1189,"n.a.")</x:f>
        <x:v>-10765136.058386788</x:v>
      </x:c>
      <x:c r="H1189" s="15" t="n">
        <x:f>IF(AND(ISNUMBER(E1189),ISNUMBER(F1189),F1189&gt;0),(E1189-F1189)/F1189,"n.a.")</x:f>
        <x:v>-0.5704773022365104</x:v>
      </x:c>
      <x:c r="I1189" s="19" t="n">
        <x:f>IF(ISNUMBER(H1189),ABS(H1189),"n.a.")</x:f>
        <x:v>0.5704773022365104</x:v>
      </x:c>
      <x:c r="J1189" s="2" t="str">
        <x:v>available</x:v>
      </x:c>
      <x:c r="K1189" s="2" t="n">
        <x:v>1</x:v>
      </x:c>
      <x:c r="L1189" s="13" t="b">
        <x:v>0</x:v>
      </x:c>
      <x:c r="M1189" s="13" t="b">
        <x:v>1</x:v>
      </x:c>
      <x:c r="N1189" s="2" t="str">
        <x:v>modeled_epoch_volume_with_fixed2018_height_and_predominant_use</x:v>
      </x:c>
      <x:c r="O1189" s="2" t="str"/>
      <x:c r="P1189" s="2" t="str">
        <x:v>built-up volume</x:v>
      </x:c>
      <x:c r="Q1189" s="2" t="str">
        <x:v>m3</x:v>
      </x:c>
      <x:c r="R1189" s="17" t="n">
        <x:v>42099494.21568628</x:v>
      </x:c>
      <x:c r="S1189" s="17" t="n">
        <x:v>18082688.33</x:v>
      </x:c>
      <x:c r="T1189" s="18" t="n">
        <x:v>0.4482334624190253</x:v>
      </x:c>
      <x:c r="U1189" s="17" t="n">
        <x:v>8105266.000000001</x:v>
      </x:c>
      <x:c r="V1189" s="2" t="str">
        <x:v>Area equivalent = model2020 * source volume / TEMPO2020 volume</x:v>
      </x:c>
      <x:c r="W1189" s="2" t="str">
        <x:v>qualified_paired_native_source_frame</x:v>
      </x:c>
      <x:c r="X1189" s="2" t="str">
        <x:v>https://human-settlement.emergency.copernicus.eu/ghs_buV2023.php</x:v>
      </x:c>
    </x:row>
    <x:row r="1190" ht="23" customHeight="1">
      <x:c r="A1190" s="2" t="str">
        <x:v>YEM</x:v>
      </x:c>
      <x:c r="B1190" s="2" t="str">
        <x:v>Yemen (Republic of)</x:v>
      </x:c>
      <x:c r="C1190" s="2" t="n">
        <x:v>2020</x:v>
      </x:c>
      <x:c r="D1190" s="2" t="str">
        <x:v>GHSL_VOLUME</x:v>
      </x:c>
      <x:c r="E1190" s="17" t="n">
        <x:v>454480387.6899993</x:v>
      </x:c>
      <x:c r="F1190" s="17" t="n">
        <x:f>IF(AND(M1190,ISNUMBER(R1190)),IF(D1190="TEMPO_PROXY",R1190,IF(AND(ISNUMBER(S1190),S1190&gt;0,ISNUMBER(U1190)),U1190*R1190/S1190,"n.a.")),"n.a.")</x:f>
        <x:v>636133228.8152001</x:v>
      </x:c>
      <x:c r="G1190" s="17" t="n">
        <x:f>IF(AND(ISNUMBER(E1190),ISNUMBER(F1190)),E1190-F1190,"n.a.")</x:f>
        <x:v>-181652841.1252008</x:v>
      </x:c>
      <x:c r="H1190" s="15" t="n">
        <x:f>IF(AND(ISNUMBER(E1190),ISNUMBER(F1190),F1190&gt;0),(E1190-F1190)/F1190,"n.a.")</x:f>
        <x:v>-0.2855578562741169</x:v>
      </x:c>
      <x:c r="I1190" s="19" t="n">
        <x:f>IF(ISNUMBER(H1190),ABS(H1190),"n.a.")</x:f>
        <x:v>0.2855578562741169</x:v>
      </x:c>
      <x:c r="J1190" s="2" t="str">
        <x:v>available</x:v>
      </x:c>
      <x:c r="K1190" s="2" t="n">
        <x:v>1</x:v>
      </x:c>
      <x:c r="L1190" s="13" t="b">
        <x:v>0</x:v>
      </x:c>
      <x:c r="M1190" s="13" t="b">
        <x:v>1</x:v>
      </x:c>
      <x:c r="N1190" s="2" t="str">
        <x:v>modeled_epoch_volume_with_fixed2018_height_and_predominant_use</x:v>
      </x:c>
      <x:c r="O1190" s="2" t="str"/>
      <x:c r="P1190" s="2" t="str">
        <x:v>built-up volume</x:v>
      </x:c>
      <x:c r="Q1190" s="2" t="str">
        <x:v>m3</x:v>
      </x:c>
      <x:c r="R1190" s="17" t="n">
        <x:v>1512402913.4745097</x:v>
      </x:c>
      <x:c r="S1190" s="17" t="n">
        <x:v>1080524379.68</x:v>
      </x:c>
      <x:c r="T1190" s="18" t="n">
        <x:v>0.4206109517164201</x:v>
      </x:c>
      <x:c r="U1190" s="17" t="n">
        <x:v>454480387.6899993</x:v>
      </x:c>
      <x:c r="V1190" s="2" t="str">
        <x:v>Area equivalent = model2020 * source volume / TEMPO2020 volume</x:v>
      </x:c>
      <x:c r="W1190" s="2" t="str">
        <x:v>qualified_paired_native_source_frame</x:v>
      </x:c>
      <x:c r="X1190" s="2" t="str">
        <x:v>https://human-settlement.emergency.copernicus.eu/ghs_buV2023.php</x:v>
      </x:c>
    </x:row>
    <x:row r="1191" ht="23" customHeight="1">
      <x:c r="A1191" s="2" t="str">
        <x:v>ZAF</x:v>
      </x:c>
      <x:c r="B1191" s="2" t="str">
        <x:v>South Africa (Republic of)</x:v>
      </x:c>
      <x:c r="C1191" s="2" t="n">
        <x:v>2020</x:v>
      </x:c>
      <x:c r="D1191" s="2" t="str">
        <x:v>GHSL_VOLUME</x:v>
      </x:c>
      <x:c r="E1191" s="17" t="n">
        <x:v>2711325840.6099963</x:v>
      </x:c>
      <x:c r="F1191" s="17" t="n">
        <x:f>IF(AND(M1191,ISNUMBER(R1191)),IF(D1191="TEMPO_PROXY",R1191,IF(AND(ISNUMBER(S1191),S1191&gt;0,ISNUMBER(U1191)),U1191*R1191/S1191,"n.a.")),"n.a.")</x:f>
        <x:v>12281378561.597805</x:v>
      </x:c>
      <x:c r="G1191" s="17" t="n">
        <x:f>IF(AND(ISNUMBER(E1191),ISNUMBER(F1191)),E1191-F1191,"n.a.")</x:f>
        <x:v>-9570052720.987808</x:v>
      </x:c>
      <x:c r="H1191" s="15" t="n">
        <x:f>IF(AND(ISNUMBER(E1191),ISNUMBER(F1191),F1191&gt;0),(E1191-F1191)/F1191,"n.a.")</x:f>
        <x:v>-0.7792327769222958</x:v>
      </x:c>
      <x:c r="I1191" s="19" t="n">
        <x:f>IF(ISNUMBER(H1191),ABS(H1191),"n.a.")</x:f>
        <x:v>0.7792327769222958</x:v>
      </x:c>
      <x:c r="J1191" s="2" t="str">
        <x:v>available</x:v>
      </x:c>
      <x:c r="K1191" s="2" t="n">
        <x:v>1</x:v>
      </x:c>
      <x:c r="L1191" s="13" t="b">
        <x:v>0</x:v>
      </x:c>
      <x:c r="M1191" s="13" t="b">
        <x:v>1</x:v>
      </x:c>
      <x:c r="N1191" s="2" t="str">
        <x:v>modeled_epoch_volume_with_fixed2018_height_and_predominant_use</x:v>
      </x:c>
      <x:c r="O1191" s="2" t="str"/>
      <x:c r="P1191" s="2" t="str">
        <x:v>built-up volume</x:v>
      </x:c>
      <x:c r="Q1191" s="2" t="str">
        <x:v>m3</x:v>
      </x:c>
      <x:c r="R1191" s="17" t="n">
        <x:v>31719061610.768627</x:v>
      </x:c>
      <x:c r="S1191" s="17" t="n">
        <x:v>7002529150.44</x:v>
      </x:c>
      <x:c r="T1191" s="18" t="n">
        <x:v>0.3871923675518911</x:v>
      </x:c>
      <x:c r="U1191" s="17" t="n">
        <x:v>2711325840.6099963</x:v>
      </x:c>
      <x:c r="V1191" s="2" t="str">
        <x:v>Area equivalent = model2020 * source volume / TEMPO2020 volume</x:v>
      </x:c>
      <x:c r="W1191" s="2" t="str">
        <x:v>qualified_paired_native_source_frame</x:v>
      </x:c>
      <x:c r="X1191" s="2" t="str">
        <x:v>https://human-settlement.emergency.copernicus.eu/ghs_buV2023.php</x:v>
      </x:c>
    </x:row>
    <x:row r="1192" ht="23" customHeight="1">
      <x:c r="A1192" s="2" t="str">
        <x:v>ZMB</x:v>
      </x:c>
      <x:c r="B1192" s="2" t="str">
        <x:v>Zambia (Republic of)</x:v>
      </x:c>
      <x:c r="C1192" s="2" t="n">
        <x:v>2020</x:v>
      </x:c>
      <x:c r="D1192" s="2" t="str">
        <x:v>GHSL_VOLUME</x:v>
      </x:c>
      <x:c r="E1192" s="17" t="n">
        <x:v>396696842.49999976</x:v>
      </x:c>
      <x:c r="F1192" s="17" t="n">
        <x:f>IF(AND(M1192,ISNUMBER(R1192)),IF(D1192="TEMPO_PROXY",R1192,IF(AND(ISNUMBER(S1192),S1192&gt;0,ISNUMBER(U1192)),U1192*R1192/S1192,"n.a.")),"n.a.")</x:f>
        <x:v>2450969014.935468</x:v>
      </x:c>
      <x:c r="G1192" s="17" t="n">
        <x:f>IF(AND(ISNUMBER(E1192),ISNUMBER(F1192)),E1192-F1192,"n.a.")</x:f>
        <x:v>-2054272172.4354684</x:v>
      </x:c>
      <x:c r="H1192" s="15" t="n">
        <x:f>IF(AND(ISNUMBER(E1192),ISNUMBER(F1192),F1192&gt;0),(E1192-F1192)/F1192,"n.a.")</x:f>
        <x:v>-0.8381469369532424</x:v>
      </x:c>
      <x:c r="I1192" s="19" t="n">
        <x:f>IF(ISNUMBER(H1192),ABS(H1192),"n.a.")</x:f>
        <x:v>0.8381469369532424</x:v>
      </x:c>
      <x:c r="J1192" s="2" t="str">
        <x:v>available</x:v>
      </x:c>
      <x:c r="K1192" s="2" t="n">
        <x:v>1</x:v>
      </x:c>
      <x:c r="L1192" s="13" t="b">
        <x:v>0</x:v>
      </x:c>
      <x:c r="M1192" s="13" t="b">
        <x:v>1</x:v>
      </x:c>
      <x:c r="N1192" s="2" t="str">
        <x:v>modeled_epoch_volume_with_fixed2018_height_and_predominant_use</x:v>
      </x:c>
      <x:c r="O1192" s="2" t="str"/>
      <x:c r="P1192" s="2" t="str">
        <x:v>built-up volume</x:v>
      </x:c>
      <x:c r="Q1192" s="2" t="str">
        <x:v>m3</x:v>
      </x:c>
      <x:c r="R1192" s="17" t="n">
        <x:v>5051943890.513725</x:v>
      </x:c>
      <x:c r="S1192" s="17" t="n">
        <x:v>817672593.02</x:v>
      </x:c>
      <x:c r="T1192" s="18" t="n">
        <x:v>0.48515364937796895</x:v>
      </x:c>
      <x:c r="U1192" s="17" t="n">
        <x:v>396696842.49999976</x:v>
      </x:c>
      <x:c r="V1192" s="2" t="str">
        <x:v>Area equivalent = model2020 * source volume / TEMPO2020 volume</x:v>
      </x:c>
      <x:c r="W1192" s="2" t="str">
        <x:v>qualified_paired_native_source_frame</x:v>
      </x:c>
      <x:c r="X1192" s="2" t="str">
        <x:v>https://human-settlement.emergency.copernicus.eu/ghs_buV2023.php</x:v>
      </x:c>
    </x:row>
    <x:row r="1193" ht="23" customHeight="1">
      <x:c r="A1193" s="2" t="str">
        <x:v>ZWE</x:v>
      </x:c>
      <x:c r="B1193" s="2" t="str">
        <x:v>Zimbabwe (Republic of)</x:v>
      </x:c>
      <x:c r="C1193" s="2" t="n">
        <x:v>2020</x:v>
      </x:c>
      <x:c r="D1193" s="2" t="str">
        <x:v>GHSL_VOLUME</x:v>
      </x:c>
      <x:c r="E1193" s="17" t="n">
        <x:v>420425813.9799996</x:v>
      </x:c>
      <x:c r="F1193" s="17" t="n">
        <x:f>IF(AND(M1193,ISNUMBER(R1193)),IF(D1193="TEMPO_PROXY",R1193,IF(AND(ISNUMBER(S1193),S1193&gt;0,ISNUMBER(U1193)),U1193*R1193/S1193,"n.a.")),"n.a.")</x:f>
        <x:v>2295440559.2431073</x:v>
      </x:c>
      <x:c r="G1193" s="17" t="n">
        <x:f>IF(AND(ISNUMBER(E1193),ISNUMBER(F1193)),E1193-F1193,"n.a.")</x:f>
        <x:v>-1875014745.2631078</x:v>
      </x:c>
      <x:c r="H1193" s="15" t="n">
        <x:f>IF(AND(ISNUMBER(E1193),ISNUMBER(F1193),F1193&gt;0),(E1193-F1193)/F1193,"n.a.")</x:f>
        <x:v>-0.8168430838746573</x:v>
      </x:c>
      <x:c r="I1193" s="19" t="n">
        <x:f>IF(ISNUMBER(H1193),ABS(H1193),"n.a.")</x:f>
        <x:v>0.8168430838746573</x:v>
      </x:c>
      <x:c r="J1193" s="2" t="str">
        <x:v>available</x:v>
      </x:c>
      <x:c r="K1193" s="2" t="n">
        <x:v>1</x:v>
      </x:c>
      <x:c r="L1193" s="13" t="b">
        <x:v>0</x:v>
      </x:c>
      <x:c r="M1193" s="13" t="b">
        <x:v>1</x:v>
      </x:c>
      <x:c r="N1193" s="2" t="str">
        <x:v>modeled_epoch_volume_with_fixed2018_height_and_predominant_use</x:v>
      </x:c>
      <x:c r="O1193" s="2" t="str"/>
      <x:c r="P1193" s="2" t="str">
        <x:v>built-up volume</x:v>
      </x:c>
      <x:c r="Q1193" s="2" t="str">
        <x:v>m3</x:v>
      </x:c>
      <x:c r="R1193" s="17" t="n">
        <x:v>4223310742.5254903</x:v>
      </x:c>
      <x:c r="S1193" s="17" t="n">
        <x:v>773528571.44</x:v>
      </x:c>
      <x:c r="T1193" s="18" t="n">
        <x:v>0.5435168518692662</x:v>
      </x:c>
      <x:c r="U1193" s="17" t="n">
        <x:v>420425813.9799996</x:v>
      </x:c>
      <x:c r="V1193" s="2" t="str">
        <x:v>Area equivalent = model2020 * source volume / TEMPO2020 volume</x:v>
      </x:c>
      <x:c r="W1193" s="2" t="str">
        <x:v>qualified_paired_native_source_frame</x:v>
      </x:c>
      <x:c r="X1193" s="2" t="str">
        <x:v>https://human-settlement.emergency.copernicus.eu/ghs_buV2023.php</x:v>
      </x:c>
    </x:row>
    <x:row r="1194" ht="23" customHeight="1">
      <x:c r="A1194" s="2" t="str">
        <x:v>AFG</x:v>
      </x:c>
      <x:c r="B1194" s="2" t="str">
        <x:v>Afghanistan (Islamic Republic of)</x:v>
      </x:c>
      <x:c r="C1194" s="2" t="n">
        <x:v>2020</x:v>
      </x:c>
      <x:c r="D1194" s="2" t="str">
        <x:v>OBAT_FOOTPRINT</x:v>
      </x:c>
      <x:c r="E1194" s="17" t="n">
        <x:v>853208432.4500008</x:v>
      </x:c>
      <x:c r="F1194" s="17" t="n">
        <x:f>IF(AND(M1194,ISNUMBER(R1194)),IF(D1194="TEMPO_PROXY",R1194,IF(AND(ISNUMBER(S1194),S1194&gt;0,ISNUMBER(U1194)),U1194*R1194/S1194,"n.a.")),"n.a.")</x:f>
        <x:v>961316677.06</x:v>
      </x:c>
      <x:c r="G1194" s="17" t="n">
        <x:f>IF(AND(ISNUMBER(E1194),ISNUMBER(F1194)),E1194-F1194,"n.a.")</x:f>
        <x:v>-108108244.60999918</x:v>
      </x:c>
      <x:c r="H1194" s="15" t="n">
        <x:f>IF(AND(ISNUMBER(E1194),ISNUMBER(F1194),F1194&gt;0),(E1194-F1194)/F1194,"n.a.")</x:f>
        <x:v>-0.11245851360930013</x:v>
      </x:c>
      <x:c r="I1194" s="19" t="n">
        <x:f>IF(ISNUMBER(H1194),ABS(H1194),"n.a.")</x:f>
        <x:v>0.11245851360930013</x:v>
      </x:c>
      <x:c r="J1194" s="2" t="str">
        <x:v>available</x:v>
      </x:c>
      <x:c r="K1194" s="2" t="n">
        <x:v>1</x:v>
      </x:c>
      <x:c r="L1194" s="13" t="b">
        <x:v>0</x:v>
      </x:c>
      <x:c r="M1194" s="13" t="b">
        <x:v>1</x:v>
      </x:c>
      <x:c r="N1194" s="2" t="str">
        <x:v>nominal2020; Overture geometry2024-07-22.0; height support2018</x:v>
      </x:c>
      <x:c r="O1194" s="2" t="str"/>
      <x:c r="P1194" s="2" t="str">
        <x:v>included-footprint horizontal area</x:v>
      </x:c>
      <x:c r="Q1194" s="2" t="str">
        <x:v>m2</x:v>
      </x:c>
      <x:c r="R1194" s="17" t="n">
        <x:v>961316677.0599991</x:v>
      </x:c>
      <x:c r="S1194" s="17" t="n">
        <x:v>853208432.45</x:v>
      </x:c>
      <x:c r="T1194" s="18" t="n">
        <x:v>1.0000000000000009</x:v>
      </x:c>
      <x:c r="U1194" s="17" t="n">
        <x:v>853208432.4500008</x:v>
      </x:c>
      <x:c r="V1194" s="2" t="str">
        <x:v>Area equivalent = model2020 * OBAT footprint / TEMPO2020 footprint</x:v>
      </x:c>
      <x:c r="W1194" s="2" t="str">
        <x:v>qualified_source_frame_numeric_summary</x:v>
      </x:c>
      <x:c r="X1194" s="2" t="str">
        <x:v>https://data.jrc.ec.europa.eu/dataset/f41a22f1-5741-4c41-86eb-6384654f6927</x:v>
      </x:c>
    </x:row>
    <x:row r="1195" ht="23" customHeight="1">
      <x:c r="A1195" s="2" t="str">
        <x:v>AGO</x:v>
      </x:c>
      <x:c r="B1195" s="2" t="str">
        <x:v>Angola (Republic of)</x:v>
      </x:c>
      <x:c r="C1195" s="2" t="n">
        <x:v>2020</x:v>
      </x:c>
      <x:c r="D1195" s="2" t="str">
        <x:v>OBAT_FOOTPRINT</x:v>
      </x:c>
      <x:c r="E1195" s="17" t="n">
        <x:v>512504617.85999936</x:v>
      </x:c>
      <x:c r="F1195" s="17" t="n">
        <x:f>IF(AND(M1195,ISNUMBER(R1195)),IF(D1195="TEMPO_PROXY",R1195,IF(AND(ISNUMBER(S1195),S1195&gt;0,ISNUMBER(U1195)),U1195*R1195/S1195,"n.a.")),"n.a.")</x:f>
        <x:v>582267286.7599993</x:v>
      </x:c>
      <x:c r="G1195" s="17" t="n">
        <x:f>IF(AND(ISNUMBER(E1195),ISNUMBER(F1195)),E1195-F1195,"n.a.")</x:f>
        <x:v>-69762668.89999992</x:v>
      </x:c>
      <x:c r="H1195" s="15" t="n">
        <x:f>IF(AND(ISNUMBER(E1195),ISNUMBER(F1195),F1195&gt;0),(E1195-F1195)/F1195,"n.a.")</x:f>
        <x:v>-0.11981210431413934</x:v>
      </x:c>
      <x:c r="I1195" s="19" t="n">
        <x:f>IF(ISNUMBER(H1195),ABS(H1195),"n.a.")</x:f>
        <x:v>0.11981210431413934</x:v>
      </x:c>
      <x:c r="J1195" s="2" t="str">
        <x:v>available</x:v>
      </x:c>
      <x:c r="K1195" s="2" t="n">
        <x:v>1</x:v>
      </x:c>
      <x:c r="L1195" s="13" t="b">
        <x:v>0</x:v>
      </x:c>
      <x:c r="M1195" s="13" t="b">
        <x:v>1</x:v>
      </x:c>
      <x:c r="N1195" s="2" t="str">
        <x:v>nominal2020; Overture geometry2024-07-22.0; height support2018</x:v>
      </x:c>
      <x:c r="O1195" s="2" t="str"/>
      <x:c r="P1195" s="2" t="str">
        <x:v>included-footprint horizontal area</x:v>
      </x:c>
      <x:c r="Q1195" s="2" t="str">
        <x:v>m2</x:v>
      </x:c>
      <x:c r="R1195" s="17" t="n">
        <x:v>582267286.76</x:v>
      </x:c>
      <x:c r="S1195" s="17" t="n">
        <x:v>512504617.86</x:v>
      </x:c>
      <x:c r="T1195" s="18" t="n">
        <x:v>0.9999999999999987</x:v>
      </x:c>
      <x:c r="U1195" s="17" t="n">
        <x:v>512504617.85999936</x:v>
      </x:c>
      <x:c r="V1195" s="2" t="str">
        <x:v>Area equivalent = model2020 * OBAT footprint / TEMPO2020 footprint</x:v>
      </x:c>
      <x:c r="W1195" s="2" t="str">
        <x:v>qualified_source_frame_numeric_summary</x:v>
      </x:c>
      <x:c r="X1195" s="2" t="str">
        <x:v>https://data.jrc.ec.europa.eu/dataset/f41a22f1-5741-4c41-86eb-6384654f6927</x:v>
      </x:c>
    </x:row>
    <x:row r="1196" ht="23" customHeight="1">
      <x:c r="A1196" s="2" t="str">
        <x:v>ALB</x:v>
      </x:c>
      <x:c r="B1196" s="2" t="str">
        <x:v>Albania (Republic of)</x:v>
      </x:c>
      <x:c r="C1196" s="2" t="n">
        <x:v>2020</x:v>
      </x:c>
      <x:c r="D1196" s="2" t="str">
        <x:v>OBAT_FOOTPRINT</x:v>
      </x:c>
      <x:c r="E1196" s="17" t="n">
        <x:v>161276383.52000022</x:v>
      </x:c>
      <x:c r="F1196" s="17" t="n">
        <x:f>IF(AND(M1196,ISNUMBER(R1196)),IF(D1196="TEMPO_PROXY",R1196,IF(AND(ISNUMBER(S1196),S1196&gt;0,ISNUMBER(U1196)),U1196*R1196/S1196,"n.a.")),"n.a.")</x:f>
        <x:v>157910927.5600002</x:v>
      </x:c>
      <x:c r="G1196" s="17" t="n">
        <x:f>IF(AND(ISNUMBER(E1196),ISNUMBER(F1196)),E1196-F1196,"n.a.")</x:f>
        <x:v>3365455.9600000083</x:v>
      </x:c>
      <x:c r="H1196" s="15" t="n">
        <x:f>IF(AND(ISNUMBER(E1196),ISNUMBER(F1196),F1196&gt;0),(E1196-F1196)/F1196,"n.a.")</x:f>
        <x:v>0.02131236901715533</x:v>
      </x:c>
      <x:c r="I1196" s="19" t="n">
        <x:f>IF(ISNUMBER(H1196),ABS(H1196),"n.a.")</x:f>
        <x:v>0.02131236901715533</x:v>
      </x:c>
      <x:c r="J1196" s="2" t="str">
        <x:v>available</x:v>
      </x:c>
      <x:c r="K1196" s="2" t="n">
        <x:v>1</x:v>
      </x:c>
      <x:c r="L1196" s="13" t="b">
        <x:v>0</x:v>
      </x:c>
      <x:c r="M1196" s="13" t="b">
        <x:v>1</x:v>
      </x:c>
      <x:c r="N1196" s="2" t="str">
        <x:v>nominal2020; Overture geometry2024-07-22.0; height support2018</x:v>
      </x:c>
      <x:c r="O1196" s="2" t="str"/>
      <x:c r="P1196" s="2" t="str">
        <x:v>included-footprint horizontal area</x:v>
      </x:c>
      <x:c r="Q1196" s="2" t="str">
        <x:v>m2</x:v>
      </x:c>
      <x:c r="R1196" s="17" t="n">
        <x:v>157910927.56</x:v>
      </x:c>
      <x:c r="S1196" s="17" t="n">
        <x:v>161276383.52</x:v>
      </x:c>
      <x:c r="T1196" s="18" t="n">
        <x:v>1.0000000000000013</x:v>
      </x:c>
      <x:c r="U1196" s="17" t="n">
        <x:v>161276383.52000022</x:v>
      </x:c>
      <x:c r="V1196" s="2" t="str">
        <x:v>Area equivalent = model2020 * OBAT footprint / TEMPO2020 footprint</x:v>
      </x:c>
      <x:c r="W1196" s="2" t="str">
        <x:v>qualified_source_frame_numeric_summary</x:v>
      </x:c>
      <x:c r="X1196" s="2" t="str">
        <x:v>https://data.jrc.ec.europa.eu/dataset/f41a22f1-5741-4c41-86eb-6384654f6927</x:v>
      </x:c>
    </x:row>
    <x:row r="1197" ht="23" customHeight="1">
      <x:c r="A1197" s="2" t="str">
        <x:v>AND</x:v>
      </x:c>
      <x:c r="B1197" s="2" t="str">
        <x:v>Andorra (Principality of)</x:v>
      </x:c>
      <x:c r="C1197" s="2" t="n">
        <x:v>2020</x:v>
      </x:c>
      <x:c r="D1197" s="2" t="str">
        <x:v>OBAT_FOOTPRINT</x:v>
      </x:c>
      <x:c r="E1197" s="17" t="n">
        <x:v>2995448.5899999994</x:v>
      </x:c>
      <x:c r="F1197" s="17" t="n">
        <x:f>IF(AND(M1197,ISNUMBER(R1197)),IF(D1197="TEMPO_PROXY",R1197,IF(AND(ISNUMBER(S1197),S1197&gt;0,ISNUMBER(U1197)),U1197*R1197/S1197,"n.a.")),"n.a.")</x:f>
        <x:v>3653362.517538817</x:v>
      </x:c>
      <x:c r="G1197" s="17" t="n">
        <x:f>IF(AND(ISNUMBER(E1197),ISNUMBER(F1197)),E1197-F1197,"n.a.")</x:f>
        <x:v>-657913.9275388177</x:v>
      </x:c>
      <x:c r="H1197" s="15" t="n">
        <x:f>IF(AND(ISNUMBER(E1197),ISNUMBER(F1197),F1197&gt;0),(E1197-F1197)/F1197,"n.a.")</x:f>
        <x:v>-0.18008449048796796</x:v>
      </x:c>
      <x:c r="I1197" s="19" t="n">
        <x:f>IF(ISNUMBER(H1197),ABS(H1197),"n.a.")</x:f>
        <x:v>0.18008449048796796</x:v>
      </x:c>
      <x:c r="J1197" s="2" t="str">
        <x:v>available</x:v>
      </x:c>
      <x:c r="K1197" s="2" t="n">
        <x:v>1</x:v>
      </x:c>
      <x:c r="L1197" s="13" t="b">
        <x:v>0</x:v>
      </x:c>
      <x:c r="M1197" s="13" t="b">
        <x:v>1</x:v>
      </x:c>
      <x:c r="N1197" s="2" t="str">
        <x:v>nominal2020; Overture geometry2024-07-22.0; height support2018</x:v>
      </x:c>
      <x:c r="O1197" s="2" t="str"/>
      <x:c r="P1197" s="2" t="str">
        <x:v>included-footprint horizontal area</x:v>
      </x:c>
      <x:c r="Q1197" s="2" t="str">
        <x:v>m2</x:v>
      </x:c>
      <x:c r="R1197" s="17" t="n">
        <x:v>2694421.65</x:v>
      </x:c>
      <x:c r="S1197" s="17" t="n">
        <x:v>2209198.1</x:v>
      </x:c>
      <x:c r="T1197" s="18" t="n">
        <x:v>1.3558985905338228</x:v>
      </x:c>
      <x:c r="U1197" s="17" t="n">
        <x:v>2995448.5899999994</x:v>
      </x:c>
      <x:c r="V1197" s="2" t="str">
        <x:v>Area equivalent = model2020 * OBAT footprint / TEMPO2020 footprint</x:v>
      </x:c>
      <x:c r="W1197" s="2" t="str">
        <x:v>qualified_source_frame_numeric_summary</x:v>
      </x:c>
      <x:c r="X1197" s="2" t="str">
        <x:v>https://data.jrc.ec.europa.eu/dataset/f41a22f1-5741-4c41-86eb-6384654f6927</x:v>
      </x:c>
    </x:row>
    <x:row r="1198" ht="23" customHeight="1">
      <x:c r="A1198" s="2" t="str">
        <x:v>ARE</x:v>
      </x:c>
      <x:c r="B1198" s="2" t="str">
        <x:v>United Arab Emirates</x:v>
      </x:c>
      <x:c r="C1198" s="2" t="n">
        <x:v>2020</x:v>
      </x:c>
      <x:c r="D1198" s="2" t="str">
        <x:v>OBAT_FOOTPRINT</x:v>
      </x:c>
      <x:c r="E1198" s="17" t="n">
        <x:v>511804054.8699995</x:v>
      </x:c>
      <x:c r="F1198" s="17" t="n">
        <x:f>IF(AND(M1198,ISNUMBER(R1198)),IF(D1198="TEMPO_PROXY",R1198,IF(AND(ISNUMBER(S1198),S1198&gt;0,ISNUMBER(U1198)),U1198*R1198/S1198,"n.a.")),"n.a.")</x:f>
        <x:v>425707793.56116134</x:v>
      </x:c>
      <x:c r="G1198" s="17" t="n">
        <x:f>IF(AND(ISNUMBER(E1198),ISNUMBER(F1198)),E1198-F1198,"n.a.")</x:f>
        <x:v>86096261.30883819</x:v>
      </x:c>
      <x:c r="H1198" s="15" t="n">
        <x:f>IF(AND(ISNUMBER(E1198),ISNUMBER(F1198),F1198&gt;0),(E1198-F1198)/F1198,"n.a.")</x:f>
        <x:v>0.20224262419210035</x:v>
      </x:c>
      <x:c r="I1198" s="19" t="n">
        <x:f>IF(ISNUMBER(H1198),ABS(H1198),"n.a.")</x:f>
        <x:v>0.20224262419210035</x:v>
      </x:c>
      <x:c r="J1198" s="2" t="str">
        <x:v>available</x:v>
      </x:c>
      <x:c r="K1198" s="2" t="n">
        <x:v>1</x:v>
      </x:c>
      <x:c r="L1198" s="13" t="b">
        <x:v>0</x:v>
      </x:c>
      <x:c r="M1198" s="13" t="b">
        <x:v>1</x:v>
      </x:c>
      <x:c r="N1198" s="2" t="str">
        <x:v>nominal2020; Overture geometry2024-07-22.0; height support2018</x:v>
      </x:c>
      <x:c r="O1198" s="2" t="str"/>
      <x:c r="P1198" s="2" t="str">
        <x:v>included-footprint horizontal area</x:v>
      </x:c>
      <x:c r="Q1198" s="2" t="str">
        <x:v>m2</x:v>
      </x:c>
      <x:c r="R1198" s="17" t="n">
        <x:v>381686436.37</x:v>
      </x:c>
      <x:c r="S1198" s="17" t="n">
        <x:v>458879702.88</x:v>
      </x:c>
      <x:c r="T1198" s="18" t="n">
        <x:v>1.1153338263990282</x:v>
      </x:c>
      <x:c r="U1198" s="17" t="n">
        <x:v>511804054.8699995</x:v>
      </x:c>
      <x:c r="V1198" s="2" t="str">
        <x:v>Area equivalent = model2020 * OBAT footprint / TEMPO2020 footprint</x:v>
      </x:c>
      <x:c r="W1198" s="2" t="str">
        <x:v>qualified_source_frame_numeric_summary</x:v>
      </x:c>
      <x:c r="X1198" s="2" t="str">
        <x:v>https://data.jrc.ec.europa.eu/dataset/f41a22f1-5741-4c41-86eb-6384654f6927</x:v>
      </x:c>
    </x:row>
    <x:row r="1199" ht="23" customHeight="1">
      <x:c r="A1199" s="2" t="str">
        <x:v>ARG</x:v>
      </x:c>
      <x:c r="B1199" s="2" t="str">
        <x:v>Argentina (Argentine Republic)</x:v>
      </x:c>
      <x:c r="C1199" s="2" t="n">
        <x:v>2020</x:v>
      </x:c>
      <x:c r="D1199" s="2" t="str">
        <x:v>OBAT_FOOTPRINT</x:v>
      </x:c>
      <x:c r="E1199" s="17" t="n">
        <x:v>2382940448.399998</x:v>
      </x:c>
      <x:c r="F1199" s="17" t="n">
        <x:f>IF(AND(M1199,ISNUMBER(R1199)),IF(D1199="TEMPO_PROXY",R1199,IF(AND(ISNUMBER(S1199),S1199&gt;0,ISNUMBER(U1199)),U1199*R1199/S1199,"n.a.")),"n.a.")</x:f>
        <x:v>2572301255.249998</x:v>
      </x:c>
      <x:c r="G1199" s="17" t="n">
        <x:f>IF(AND(ISNUMBER(E1199),ISNUMBER(F1199)),E1199-F1199,"n.a.")</x:f>
        <x:v>-189360806.8499999</x:v>
      </x:c>
      <x:c r="H1199" s="15" t="n">
        <x:f>IF(AND(ISNUMBER(E1199),ISNUMBER(F1199),F1199&gt;0),(E1199-F1199)/F1199,"n.a.")</x:f>
        <x:v>-0.0736153304219401</x:v>
      </x:c>
      <x:c r="I1199" s="19" t="n">
        <x:f>IF(ISNUMBER(H1199),ABS(H1199),"n.a.")</x:f>
        <x:v>0.0736153304219401</x:v>
      </x:c>
      <x:c r="J1199" s="2" t="str">
        <x:v>available</x:v>
      </x:c>
      <x:c r="K1199" s="2" t="n">
        <x:v>1</x:v>
      </x:c>
      <x:c r="L1199" s="13" t="b">
        <x:v>0</x:v>
      </x:c>
      <x:c r="M1199" s="13" t="b">
        <x:v>1</x:v>
      </x:c>
      <x:c r="N1199" s="2" t="str">
        <x:v>nominal2020; Overture geometry2024-07-22.0; height support2018</x:v>
      </x:c>
      <x:c r="O1199" s="2" t="str"/>
      <x:c r="P1199" s="2" t="str">
        <x:v>included-footprint horizontal area</x:v>
      </x:c>
      <x:c r="Q1199" s="2" t="str">
        <x:v>m2</x:v>
      </x:c>
      <x:c r="R1199" s="17" t="n">
        <x:v>2572301255.25</x:v>
      </x:c>
      <x:c r="S1199" s="17" t="n">
        <x:v>2382940448.4</x:v>
      </x:c>
      <x:c r="T1199" s="18" t="n">
        <x:v>0.9999999999999992</x:v>
      </x:c>
      <x:c r="U1199" s="17" t="n">
        <x:v>2382940448.399998</x:v>
      </x:c>
      <x:c r="V1199" s="2" t="str">
        <x:v>Area equivalent = model2020 * OBAT footprint / TEMPO2020 footprint</x:v>
      </x:c>
      <x:c r="W1199" s="2" t="str">
        <x:v>qualified_source_frame_numeric_summary</x:v>
      </x:c>
      <x:c r="X1199" s="2" t="str">
        <x:v>https://data.jrc.ec.europa.eu/dataset/f41a22f1-5741-4c41-86eb-6384654f6927</x:v>
      </x:c>
    </x:row>
    <x:row r="1200" ht="23" customHeight="1">
      <x:c r="A1200" s="2" t="str">
        <x:v>ARM</x:v>
      </x:c>
      <x:c r="B1200" s="2" t="str">
        <x:v>Armenia (Republic of)</x:v>
      </x:c>
      <x:c r="C1200" s="2" t="n">
        <x:v>2020</x:v>
      </x:c>
      <x:c r="D1200" s="2" t="str">
        <x:v>OBAT_FOOTPRINT</x:v>
      </x:c>
      <x:c r="E1200" s="17" t="n">
        <x:v>142786500.21000025</x:v>
      </x:c>
      <x:c r="F1200" s="17" t="n">
        <x:f>IF(AND(M1200,ISNUMBER(R1200)),IF(D1200="TEMPO_PROXY",R1200,IF(AND(ISNUMBER(S1200),S1200&gt;0,ISNUMBER(U1200)),U1200*R1200/S1200,"n.a.")),"n.a.")</x:f>
        <x:v>156816095.43000028</x:v>
      </x:c>
      <x:c r="G1200" s="17" t="n">
        <x:f>IF(AND(ISNUMBER(E1200),ISNUMBER(F1200)),E1200-F1200,"n.a.")</x:f>
        <x:v>-14029595.220000029</x:v>
      </x:c>
      <x:c r="H1200" s="15" t="n">
        <x:f>IF(AND(ISNUMBER(E1200),ISNUMBER(F1200),F1200&gt;0),(E1200-F1200)/F1200,"n.a.")</x:f>
        <x:v>-0.08946527575201982</x:v>
      </x:c>
      <x:c r="I1200" s="19" t="n">
        <x:f>IF(ISNUMBER(H1200),ABS(H1200),"n.a.")</x:f>
        <x:v>0.08946527575201982</x:v>
      </x:c>
      <x:c r="J1200" s="2" t="str">
        <x:v>available</x:v>
      </x:c>
      <x:c r="K1200" s="2" t="n">
        <x:v>1</x:v>
      </x:c>
      <x:c r="L1200" s="13" t="b">
        <x:v>0</x:v>
      </x:c>
      <x:c r="M1200" s="13" t="b">
        <x:v>1</x:v>
      </x:c>
      <x:c r="N1200" s="2" t="str">
        <x:v>nominal2020; Overture geometry2024-07-22.0; height support2018</x:v>
      </x:c>
      <x:c r="O1200" s="2" t="str"/>
      <x:c r="P1200" s="2" t="str">
        <x:v>included-footprint horizontal area</x:v>
      </x:c>
      <x:c r="Q1200" s="2" t="str">
        <x:v>m2</x:v>
      </x:c>
      <x:c r="R1200" s="17" t="n">
        <x:v>156816095.43</x:v>
      </x:c>
      <x:c r="S1200" s="17" t="n">
        <x:v>142786500.21</x:v>
      </x:c>
      <x:c r="T1200" s="18" t="n">
        <x:v>1.0000000000000018</x:v>
      </x:c>
      <x:c r="U1200" s="17" t="n">
        <x:v>142786500.21000025</x:v>
      </x:c>
      <x:c r="V1200" s="2" t="str">
        <x:v>Area equivalent = model2020 * OBAT footprint / TEMPO2020 footprint</x:v>
      </x:c>
      <x:c r="W1200" s="2" t="str">
        <x:v>qualified_source_frame_numeric_summary</x:v>
      </x:c>
      <x:c r="X1200" s="2" t="str">
        <x:v>https://data.jrc.ec.europa.eu/dataset/f41a22f1-5741-4c41-86eb-6384654f6927</x:v>
      </x:c>
    </x:row>
    <x:row r="1201" ht="23" customHeight="1">
      <x:c r="A1201" s="2" t="str">
        <x:v>ATG</x:v>
      </x:c>
      <x:c r="B1201" s="2" t="str">
        <x:v>Antigua and Barbuda</x:v>
      </x:c>
      <x:c r="C1201" s="2" t="n">
        <x:v>2020</x:v>
      </x:c>
      <x:c r="D1201" s="2" t="str">
        <x:v>OBAT_FOOTPRINT</x:v>
      </x:c>
      <x:c r="E1201" s="17" t="n">
        <x:v>7437404.659999999</x:v>
      </x:c>
      <x:c r="F1201" s="17" t="n">
        <x:f>IF(AND(M1201,ISNUMBER(R1201)),IF(D1201="TEMPO_PROXY",R1201,IF(AND(ISNUMBER(S1201),S1201&gt;0,ISNUMBER(U1201)),U1201*R1201/S1201,"n.a.")),"n.a.")</x:f>
        <x:v>7718998.910000039</x:v>
      </x:c>
      <x:c r="G1201" s="17" t="n">
        <x:f>IF(AND(ISNUMBER(E1201),ISNUMBER(F1201)),E1201-F1201,"n.a.")</x:f>
        <x:v>-281594.25000004005</x:v>
      </x:c>
      <x:c r="H1201" s="15" t="n">
        <x:f>IF(AND(ISNUMBER(E1201),ISNUMBER(F1201),F1201&gt;0),(E1201-F1201)/F1201,"n.a.")</x:f>
        <x:v>-0.03648066974529973</x:v>
      </x:c>
      <x:c r="I1201" s="19" t="n">
        <x:f>IF(ISNUMBER(H1201),ABS(H1201),"n.a.")</x:f>
        <x:v>0.03648066974529973</x:v>
      </x:c>
      <x:c r="J1201" s="2" t="str">
        <x:v>available</x:v>
      </x:c>
      <x:c r="K1201" s="2" t="n">
        <x:v>1</x:v>
      </x:c>
      <x:c r="L1201" s="13" t="b">
        <x:v>0</x:v>
      </x:c>
      <x:c r="M1201" s="13" t="b">
        <x:v>1</x:v>
      </x:c>
      <x:c r="N1201" s="2" t="str">
        <x:v>nominal2020; Overture geometry2024-07-22.0; height support2018</x:v>
      </x:c>
      <x:c r="O1201" s="2" t="str"/>
      <x:c r="P1201" s="2" t="str">
        <x:v>included-footprint horizontal area</x:v>
      </x:c>
      <x:c r="Q1201" s="2" t="str">
        <x:v>m2</x:v>
      </x:c>
      <x:c r="R1201" s="17" t="n">
        <x:v>7718998.91000004</x:v>
      </x:c>
      <x:c r="S1201" s="17" t="n">
        <x:v>7437404.66</x:v>
      </x:c>
      <x:c r="T1201" s="18" t="n">
        <x:v>0.9999999999999999</x:v>
      </x:c>
      <x:c r="U1201" s="17" t="n">
        <x:v>7437404.659999999</x:v>
      </x:c>
      <x:c r="V1201" s="2" t="str">
        <x:v>Area equivalent = model2020 * OBAT footprint / TEMPO2020 footprint</x:v>
      </x:c>
      <x:c r="W1201" s="2" t="str">
        <x:v>qualified_source_frame_numeric_summary</x:v>
      </x:c>
      <x:c r="X1201" s="2" t="str">
        <x:v>https://data.jrc.ec.europa.eu/dataset/f41a22f1-5741-4c41-86eb-6384654f6927</x:v>
      </x:c>
    </x:row>
    <x:row r="1202" ht="23" customHeight="1">
      <x:c r="A1202" s="2" t="str">
        <x:v>AUS</x:v>
      </x:c>
      <x:c r="B1202" s="2" t="str">
        <x:v>Australia (Commonwealth of)</x:v>
      </x:c>
      <x:c r="C1202" s="2" t="n">
        <x:v>2020</x:v>
      </x:c>
      <x:c r="D1202" s="2" t="str">
        <x:v>OBAT_FOOTPRINT</x:v>
      </x:c>
      <x:c r="E1202" s="17" t="n">
        <x:v>3011161094.8599973</x:v>
      </x:c>
      <x:c r="F1202" s="17" t="n">
        <x:f>IF(AND(M1202,ISNUMBER(R1202)),IF(D1202="TEMPO_PROXY",R1202,IF(AND(ISNUMBER(S1202),S1202&gt;0,ISNUMBER(U1202)),U1202*R1202/S1202,"n.a.")),"n.a.")</x:f>
        <x:v>2877065317.909997</x:v>
      </x:c>
      <x:c r="G1202" s="17" t="n">
        <x:f>IF(AND(ISNUMBER(E1202),ISNUMBER(F1202)),E1202-F1202,"n.a.")</x:f>
        <x:v>134095776.95000029</x:v>
      </x:c>
      <x:c r="H1202" s="15" t="n">
        <x:f>IF(AND(ISNUMBER(E1202),ISNUMBER(F1202),F1202&gt;0),(E1202-F1202)/F1202,"n.a.")</x:f>
        <x:v>0.04660852713883196</x:v>
      </x:c>
      <x:c r="I1202" s="19" t="n">
        <x:f>IF(ISNUMBER(H1202),ABS(H1202),"n.a.")</x:f>
        <x:v>0.04660852713883196</x:v>
      </x:c>
      <x:c r="J1202" s="2" t="str">
        <x:v>available</x:v>
      </x:c>
      <x:c r="K1202" s="2" t="n">
        <x:v>1</x:v>
      </x:c>
      <x:c r="L1202" s="13" t="b">
        <x:v>0</x:v>
      </x:c>
      <x:c r="M1202" s="13" t="b">
        <x:v>1</x:v>
      </x:c>
      <x:c r="N1202" s="2" t="str">
        <x:v>nominal2020; Overture geometry2024-07-22.0; height support2018</x:v>
      </x:c>
      <x:c r="O1202" s="2" t="str"/>
      <x:c r="P1202" s="2" t="str">
        <x:v>included-footprint horizontal area</x:v>
      </x:c>
      <x:c r="Q1202" s="2" t="str">
        <x:v>m2</x:v>
      </x:c>
      <x:c r="R1202" s="17" t="n">
        <x:v>2877065317.91</x:v>
      </x:c>
      <x:c r="S1202" s="17" t="n">
        <x:v>3011161094.86</x:v>
      </x:c>
      <x:c r="T1202" s="18" t="n">
        <x:v>0.999999999999999</x:v>
      </x:c>
      <x:c r="U1202" s="17" t="n">
        <x:v>3011161094.8599973</x:v>
      </x:c>
      <x:c r="V1202" s="2" t="str">
        <x:v>Area equivalent = model2020 * OBAT footprint / TEMPO2020 footprint</x:v>
      </x:c>
      <x:c r="W1202" s="2" t="str">
        <x:v>qualified_source_frame_numeric_summary</x:v>
      </x:c>
      <x:c r="X1202" s="2" t="str">
        <x:v>https://data.jrc.ec.europa.eu/dataset/f41a22f1-5741-4c41-86eb-6384654f6927</x:v>
      </x:c>
    </x:row>
    <x:row r="1203" ht="23" customHeight="1">
      <x:c r="A1203" s="2" t="str">
        <x:v>AUT</x:v>
      </x:c>
      <x:c r="B1203" s="2" t="str">
        <x:v>Austria (Republic of)</x:v>
      </x:c>
      <x:c r="C1203" s="2" t="n">
        <x:v>2020</x:v>
      </x:c>
      <x:c r="D1203" s="2" t="str">
        <x:v>OBAT_FOOTPRINT</x:v>
      </x:c>
      <x:c r="E1203" s="17" t="n">
        <x:v>865496536.0700006</x:v>
      </x:c>
      <x:c r="F1203" s="17" t="n">
        <x:f>IF(AND(M1203,ISNUMBER(R1203)),IF(D1203="TEMPO_PROXY",R1203,IF(AND(ISNUMBER(S1203),S1203&gt;0,ISNUMBER(U1203)),U1203*R1203/S1203,"n.a.")),"n.a.")</x:f>
        <x:v>925087751.6597099</x:v>
      </x:c>
      <x:c r="G1203" s="17" t="n">
        <x:f>IF(AND(ISNUMBER(E1203),ISNUMBER(F1203)),E1203-F1203,"n.a.")</x:f>
        <x:v>-59591215.58970928</x:v>
      </x:c>
      <x:c r="H1203" s="15" t="n">
        <x:f>IF(AND(ISNUMBER(E1203),ISNUMBER(F1203),F1203&gt;0),(E1203-F1203)/F1203,"n.a.")</x:f>
        <x:v>-0.06441682476370057</x:v>
      </x:c>
      <x:c r="I1203" s="19" t="n">
        <x:f>IF(ISNUMBER(H1203),ABS(H1203),"n.a.")</x:f>
        <x:v>0.06441682476370057</x:v>
      </x:c>
      <x:c r="J1203" s="2" t="str">
        <x:v>available</x:v>
      </x:c>
      <x:c r="K1203" s="2" t="n">
        <x:v>1</x:v>
      </x:c>
      <x:c r="L1203" s="13" t="b">
        <x:v>0</x:v>
      </x:c>
      <x:c r="M1203" s="13" t="b">
        <x:v>1</x:v>
      </x:c>
      <x:c r="N1203" s="2" t="str">
        <x:v>nominal2020; Overture geometry2024-07-22.0; height support2018</x:v>
      </x:c>
      <x:c r="O1203" s="2" t="str"/>
      <x:c r="P1203" s="2" t="str">
        <x:v>included-footprint horizontal area</x:v>
      </x:c>
      <x:c r="Q1203" s="2" t="str">
        <x:v>m2</x:v>
      </x:c>
      <x:c r="R1203" s="17" t="n">
        <x:v>911512150.83</x:v>
      </x:c>
      <x:c r="S1203" s="17" t="n">
        <x:v>852795432.34</x:v>
      </x:c>
      <x:c r="T1203" s="18" t="n">
        <x:v>1.014893494088201</x:v>
      </x:c>
      <x:c r="U1203" s="17" t="n">
        <x:v>865496536.0700006</x:v>
      </x:c>
      <x:c r="V1203" s="2" t="str">
        <x:v>Area equivalent = model2020 * OBAT footprint / TEMPO2020 footprint</x:v>
      </x:c>
      <x:c r="W1203" s="2" t="str">
        <x:v>qualified_source_frame_numeric_summary</x:v>
      </x:c>
      <x:c r="X1203" s="2" t="str">
        <x:v>https://data.jrc.ec.europa.eu/dataset/f41a22f1-5741-4c41-86eb-6384654f6927</x:v>
      </x:c>
    </x:row>
    <x:row r="1204" ht="23" customHeight="1">
      <x:c r="A1204" s="2" t="str">
        <x:v>AZE</x:v>
      </x:c>
      <x:c r="B1204" s="2" t="str">
        <x:v>Azerbaijan (Republic of)</x:v>
      </x:c>
      <x:c r="C1204" s="2" t="n">
        <x:v>2020</x:v>
      </x:c>
      <x:c r="D1204" s="2" t="str">
        <x:v>OBAT_FOOTPRINT</x:v>
      </x:c>
      <x:c r="E1204" s="17" t="n">
        <x:v>507953272.9000006</x:v>
      </x:c>
      <x:c r="F1204" s="17" t="n">
        <x:f>IF(AND(M1204,ISNUMBER(R1204)),IF(D1204="TEMPO_PROXY",R1204,IF(AND(ISNUMBER(S1204),S1204&gt;0,ISNUMBER(U1204)),U1204*R1204/S1204,"n.a.")),"n.a.")</x:f>
        <x:v>353465417.84000045</x:v>
      </x:c>
      <x:c r="G1204" s="17" t="n">
        <x:f>IF(AND(ISNUMBER(E1204),ISNUMBER(F1204)),E1204-F1204,"n.a.")</x:f>
        <x:v>154487855.06000012</x:v>
      </x:c>
      <x:c r="H1204" s="15" t="n">
        <x:f>IF(AND(ISNUMBER(E1204),ISNUMBER(F1204),F1204&gt;0),(E1204-F1204)/F1204,"n.a.")</x:f>
        <x:v>0.43706639253159</x:v>
      </x:c>
      <x:c r="I1204" s="19" t="n">
        <x:f>IF(ISNUMBER(H1204),ABS(H1204),"n.a.")</x:f>
        <x:v>0.43706639253159</x:v>
      </x:c>
      <x:c r="J1204" s="2" t="str">
        <x:v>available</x:v>
      </x:c>
      <x:c r="K1204" s="2" t="n">
        <x:v>1</x:v>
      </x:c>
      <x:c r="L1204" s="13" t="b">
        <x:v>0</x:v>
      </x:c>
      <x:c r="M1204" s="13" t="b">
        <x:v>1</x:v>
      </x:c>
      <x:c r="N1204" s="2" t="str">
        <x:v>nominal2020; Overture geometry2024-07-22.0; height support2018</x:v>
      </x:c>
      <x:c r="O1204" s="2" t="str"/>
      <x:c r="P1204" s="2" t="str">
        <x:v>included-footprint horizontal area</x:v>
      </x:c>
      <x:c r="Q1204" s="2" t="str">
        <x:v>m2</x:v>
      </x:c>
      <x:c r="R1204" s="17" t="n">
        <x:v>353465417.84000003</x:v>
      </x:c>
      <x:c r="S1204" s="17" t="n">
        <x:v>507953272.9</x:v>
      </x:c>
      <x:c r="T1204" s="18" t="n">
        <x:v>1.000000000000001</x:v>
      </x:c>
      <x:c r="U1204" s="17" t="n">
        <x:v>507953272.9000006</x:v>
      </x:c>
      <x:c r="V1204" s="2" t="str">
        <x:v>Area equivalent = model2020 * OBAT footprint / TEMPO2020 footprint</x:v>
      </x:c>
      <x:c r="W1204" s="2" t="str">
        <x:v>qualified_source_frame_numeric_summary</x:v>
      </x:c>
      <x:c r="X1204" s="2" t="str">
        <x:v>https://data.jrc.ec.europa.eu/dataset/f41a22f1-5741-4c41-86eb-6384654f6927</x:v>
      </x:c>
    </x:row>
    <x:row r="1205" ht="23" customHeight="1">
      <x:c r="A1205" s="2" t="str">
        <x:v>BDI</x:v>
      </x:c>
      <x:c r="B1205" s="2" t="str">
        <x:v>Burundi (Republic of)</x:v>
      </x:c>
      <x:c r="C1205" s="2" t="n">
        <x:v>2020</x:v>
      </x:c>
      <x:c r="D1205" s="2" t="str">
        <x:v>OBAT_FOOTPRINT</x:v>
      </x:c>
      <x:c r="E1205" s="17" t="n">
        <x:v>147710691.6100001</x:v>
      </x:c>
      <x:c r="F1205" s="17" t="n">
        <x:f>IF(AND(M1205,ISNUMBER(R1205)),IF(D1205="TEMPO_PROXY",R1205,IF(AND(ISNUMBER(S1205),S1205&gt;0,ISNUMBER(U1205)),U1205*R1205/S1205,"n.a.")),"n.a.")</x:f>
        <x:v>193035643.06000012</x:v>
      </x:c>
      <x:c r="G1205" s="17" t="n">
        <x:f>IF(AND(ISNUMBER(E1205),ISNUMBER(F1205)),E1205-F1205,"n.a.")</x:f>
        <x:v>-45324951.45000002</x:v>
      </x:c>
      <x:c r="H1205" s="15" t="n">
        <x:f>IF(AND(ISNUMBER(E1205),ISNUMBER(F1205),F1205&gt;0),(E1205-F1205)/F1205,"n.a.")</x:f>
        <x:v>-0.2348009452115117</x:v>
      </x:c>
      <x:c r="I1205" s="19" t="n">
        <x:f>IF(ISNUMBER(H1205),ABS(H1205),"n.a.")</x:f>
        <x:v>0.2348009452115117</x:v>
      </x:c>
      <x:c r="J1205" s="2" t="str">
        <x:v>available</x:v>
      </x:c>
      <x:c r="K1205" s="2" t="n">
        <x:v>1</x:v>
      </x:c>
      <x:c r="L1205" s="13" t="b">
        <x:v>0</x:v>
      </x:c>
      <x:c r="M1205" s="13" t="b">
        <x:v>1</x:v>
      </x:c>
      <x:c r="N1205" s="2" t="str">
        <x:v>nominal2020; Overture geometry2024-07-22.0; height support2018</x:v>
      </x:c>
      <x:c r="O1205" s="2" t="str"/>
      <x:c r="P1205" s="2" t="str">
        <x:v>included-footprint horizontal area</x:v>
      </x:c>
      <x:c r="Q1205" s="2" t="str">
        <x:v>m2</x:v>
      </x:c>
      <x:c r="R1205" s="17" t="n">
        <x:v>193035643.06</x:v>
      </x:c>
      <x:c r="S1205" s="17" t="n">
        <x:v>147710691.61</x:v>
      </x:c>
      <x:c r="T1205" s="18" t="n">
        <x:v>1.0000000000000007</x:v>
      </x:c>
      <x:c r="U1205" s="17" t="n">
        <x:v>147710691.6100001</x:v>
      </x:c>
      <x:c r="V1205" s="2" t="str">
        <x:v>Area equivalent = model2020 * OBAT footprint / TEMPO2020 footprint</x:v>
      </x:c>
      <x:c r="W1205" s="2" t="str">
        <x:v>qualified_source_frame_numeric_summary</x:v>
      </x:c>
      <x:c r="X1205" s="2" t="str">
        <x:v>https://data.jrc.ec.europa.eu/dataset/f41a22f1-5741-4c41-86eb-6384654f6927</x:v>
      </x:c>
    </x:row>
    <x:row r="1206" ht="23" customHeight="1">
      <x:c r="A1206" s="2" t="str">
        <x:v>BEL</x:v>
      </x:c>
      <x:c r="B1206" s="2" t="str">
        <x:v>Belgium (Kingdom of)</x:v>
      </x:c>
      <x:c r="C1206" s="2" t="n">
        <x:v>2020</x:v>
      </x:c>
      <x:c r="D1206" s="2" t="str">
        <x:v>OBAT_FOOTPRINT</x:v>
      </x:c>
      <x:c r="E1206" s="17" t="n">
        <x:v>1079109698.0100002</x:v>
      </x:c>
      <x:c r="F1206" s="17" t="n">
        <x:f>IF(AND(M1206,ISNUMBER(R1206)),IF(D1206="TEMPO_PROXY",R1206,IF(AND(ISNUMBER(S1206),S1206&gt;0,ISNUMBER(U1206)),U1206*R1206/S1206,"n.a.")),"n.a.")</x:f>
        <x:v>1171105714.8880305</x:v>
      </x:c>
      <x:c r="G1206" s="17" t="n">
        <x:f>IF(AND(ISNUMBER(E1206),ISNUMBER(F1206)),E1206-F1206,"n.a.")</x:f>
        <x:v>-91996016.8780303</x:v>
      </x:c>
      <x:c r="H1206" s="15" t="n">
        <x:f>IF(AND(ISNUMBER(E1206),ISNUMBER(F1206),F1206&gt;0),(E1206-F1206)/F1206,"n.a.")</x:f>
        <x:v>-0.07855483557846529</x:v>
      </x:c>
      <x:c r="I1206" s="19" t="n">
        <x:f>IF(ISNUMBER(H1206),ABS(H1206),"n.a.")</x:f>
        <x:v>0.07855483557846529</x:v>
      </x:c>
      <x:c r="J1206" s="2" t="str">
        <x:v>available</x:v>
      </x:c>
      <x:c r="K1206" s="2" t="n">
        <x:v>1</x:v>
      </x:c>
      <x:c r="L1206" s="13" t="b">
        <x:v>0</x:v>
      </x:c>
      <x:c r="M1206" s="13" t="b">
        <x:v>1</x:v>
      </x:c>
      <x:c r="N1206" s="2" t="str">
        <x:v>nominal2020; Overture geometry2024-07-22.0; height support2018</x:v>
      </x:c>
      <x:c r="O1206" s="2" t="str"/>
      <x:c r="P1206" s="2" t="str">
        <x:v>included-footprint horizontal area</x:v>
      </x:c>
      <x:c r="Q1206" s="2" t="str">
        <x:v>m2</x:v>
      </x:c>
      <x:c r="R1206" s="17" t="n">
        <x:v>1082544535.34</x:v>
      </x:c>
      <x:c r="S1206" s="17" t="n">
        <x:v>997505427.36</x:v>
      </x:c>
      <x:c r="T1206" s="18" t="n">
        <x:v>1.0818083475154359</x:v>
      </x:c>
      <x:c r="U1206" s="17" t="n">
        <x:v>1079109698.0100002</x:v>
      </x:c>
      <x:c r="V1206" s="2" t="str">
        <x:v>Area equivalent = model2020 * OBAT footprint / TEMPO2020 footprint</x:v>
      </x:c>
      <x:c r="W1206" s="2" t="str">
        <x:v>qualified_source_frame_numeric_summary</x:v>
      </x:c>
      <x:c r="X1206" s="2" t="str">
        <x:v>https://data.jrc.ec.europa.eu/dataset/f41a22f1-5741-4c41-86eb-6384654f6927</x:v>
      </x:c>
    </x:row>
    <x:row r="1207" ht="23" customHeight="1">
      <x:c r="A1207" s="2" t="str">
        <x:v>BEN</x:v>
      </x:c>
      <x:c r="B1207" s="2" t="str">
        <x:v>Benin (Republic of)</x:v>
      </x:c>
      <x:c r="C1207" s="2" t="n">
        <x:v>2020</x:v>
      </x:c>
      <x:c r="D1207" s="2" t="str">
        <x:v>OBAT_FOOTPRINT</x:v>
      </x:c>
      <x:c r="E1207" s="17" t="n">
        <x:v>302038367.25</x:v>
      </x:c>
      <x:c r="F1207" s="17" t="n">
        <x:f>IF(AND(M1207,ISNUMBER(R1207)),IF(D1207="TEMPO_PROXY",R1207,IF(AND(ISNUMBER(S1207),S1207&gt;0,ISNUMBER(U1207)),U1207*R1207/S1207,"n.a.")),"n.a.")</x:f>
        <x:v>341675074.37</x:v>
      </x:c>
      <x:c r="G1207" s="17" t="n">
        <x:f>IF(AND(ISNUMBER(E1207),ISNUMBER(F1207)),E1207-F1207,"n.a.")</x:f>
        <x:v>-39636707.120000005</x:v>
      </x:c>
      <x:c r="H1207" s="15" t="n">
        <x:f>IF(AND(ISNUMBER(E1207),ISNUMBER(F1207),F1207&gt;0),(E1207-F1207)/F1207,"n.a.")</x:f>
        <x:v>-0.11600701980700356</x:v>
      </x:c>
      <x:c r="I1207" s="19" t="n">
        <x:f>IF(ISNUMBER(H1207),ABS(H1207),"n.a.")</x:f>
        <x:v>0.11600701980700356</x:v>
      </x:c>
      <x:c r="J1207" s="2" t="str">
        <x:v>available</x:v>
      </x:c>
      <x:c r="K1207" s="2" t="n">
        <x:v>1</x:v>
      </x:c>
      <x:c r="L1207" s="13" t="b">
        <x:v>0</x:v>
      </x:c>
      <x:c r="M1207" s="13" t="b">
        <x:v>1</x:v>
      </x:c>
      <x:c r="N1207" s="2" t="str">
        <x:v>nominal2020; Overture geometry2024-07-22.0; height support2018</x:v>
      </x:c>
      <x:c r="O1207" s="2" t="str"/>
      <x:c r="P1207" s="2" t="str">
        <x:v>included-footprint horizontal area</x:v>
      </x:c>
      <x:c r="Q1207" s="2" t="str">
        <x:v>m2</x:v>
      </x:c>
      <x:c r="R1207" s="17" t="n">
        <x:v>341675074.37</x:v>
      </x:c>
      <x:c r="S1207" s="17" t="n">
        <x:v>302038367.25</x:v>
      </x:c>
      <x:c r="T1207" s="18" t="n">
        <x:v>1</x:v>
      </x:c>
      <x:c r="U1207" s="17" t="n">
        <x:v>302038367.25</x:v>
      </x:c>
      <x:c r="V1207" s="2" t="str">
        <x:v>Area equivalent = model2020 * OBAT footprint / TEMPO2020 footprint</x:v>
      </x:c>
      <x:c r="W1207" s="2" t="str">
        <x:v>qualified_source_frame_numeric_summary</x:v>
      </x:c>
      <x:c r="X1207" s="2" t="str">
        <x:v>https://data.jrc.ec.europa.eu/dataset/f41a22f1-5741-4c41-86eb-6384654f6927</x:v>
      </x:c>
    </x:row>
    <x:row r="1208" ht="23" customHeight="1">
      <x:c r="A1208" s="2" t="str">
        <x:v>BFA</x:v>
      </x:c>
      <x:c r="B1208" s="2" t="str">
        <x:v>Burkina Faso</x:v>
      </x:c>
      <x:c r="C1208" s="2" t="n">
        <x:v>2020</x:v>
      </x:c>
      <x:c r="D1208" s="2" t="str">
        <x:v>OBAT_FOOTPRINT</x:v>
      </x:c>
      <x:c r="E1208" s="17" t="n">
        <x:v>359180891.3500002</x:v>
      </x:c>
      <x:c r="F1208" s="17" t="n">
        <x:f>IF(AND(M1208,ISNUMBER(R1208)),IF(D1208="TEMPO_PROXY",R1208,IF(AND(ISNUMBER(S1208),S1208&gt;0,ISNUMBER(U1208)),U1208*R1208/S1208,"n.a.")),"n.a.")</x:f>
        <x:v>451666498.36000013</x:v>
      </x:c>
      <x:c r="G1208" s="17" t="n">
        <x:f>IF(AND(ISNUMBER(E1208),ISNUMBER(F1208)),E1208-F1208,"n.a.")</x:f>
        <x:v>-92485607.00999993</x:v>
      </x:c>
      <x:c r="H1208" s="15" t="n">
        <x:f>IF(AND(ISNUMBER(E1208),ISNUMBER(F1208),F1208&gt;0),(E1208-F1208)/F1208,"n.a.")</x:f>
        <x:v>-0.20476525787459315</x:v>
      </x:c>
      <x:c r="I1208" s="19" t="n">
        <x:f>IF(ISNUMBER(H1208),ABS(H1208),"n.a.")</x:f>
        <x:v>0.20476525787459315</x:v>
      </x:c>
      <x:c r="J1208" s="2" t="str">
        <x:v>available</x:v>
      </x:c>
      <x:c r="K1208" s="2" t="n">
        <x:v>1</x:v>
      </x:c>
      <x:c r="L1208" s="13" t="b">
        <x:v>0</x:v>
      </x:c>
      <x:c r="M1208" s="13" t="b">
        <x:v>1</x:v>
      </x:c>
      <x:c r="N1208" s="2" t="str">
        <x:v>nominal2020; Overture geometry2024-07-22.0; height support2018</x:v>
      </x:c>
      <x:c r="O1208" s="2" t="str"/>
      <x:c r="P1208" s="2" t="str">
        <x:v>included-footprint horizontal area</x:v>
      </x:c>
      <x:c r="Q1208" s="2" t="str">
        <x:v>m2</x:v>
      </x:c>
      <x:c r="R1208" s="17" t="n">
        <x:v>451666498.35999995</x:v>
      </x:c>
      <x:c r="S1208" s="17" t="n">
        <x:v>359180891.35</x:v>
      </x:c>
      <x:c r="T1208" s="18" t="n">
        <x:v>1.0000000000000004</x:v>
      </x:c>
      <x:c r="U1208" s="17" t="n">
        <x:v>359180891.3500002</x:v>
      </x:c>
      <x:c r="V1208" s="2" t="str">
        <x:v>Area equivalent = model2020 * OBAT footprint / TEMPO2020 footprint</x:v>
      </x:c>
      <x:c r="W1208" s="2" t="str">
        <x:v>qualified_source_frame_numeric_summary</x:v>
      </x:c>
      <x:c r="X1208" s="2" t="str">
        <x:v>https://data.jrc.ec.europa.eu/dataset/f41a22f1-5741-4c41-86eb-6384654f6927</x:v>
      </x:c>
    </x:row>
    <x:row r="1209" ht="23" customHeight="1">
      <x:c r="A1209" s="2" t="str">
        <x:v>BGD</x:v>
      </x:c>
      <x:c r="B1209" s="2" t="str">
        <x:v>Bangladesh (People's Republic of)</x:v>
      </x:c>
      <x:c r="C1209" s="2" t="n">
        <x:v>2020</x:v>
      </x:c>
      <x:c r="D1209" s="2" t="str">
        <x:v>OBAT_FOOTPRINT</x:v>
      </x:c>
      <x:c r="E1209" s="17" t="n">
        <x:v>2430930564.5499988</x:v>
      </x:c>
      <x:c r="F1209" s="17" t="n">
        <x:f>IF(AND(M1209,ISNUMBER(R1209)),IF(D1209="TEMPO_PROXY",R1209,IF(AND(ISNUMBER(S1209),S1209&gt;0,ISNUMBER(U1209)),U1209*R1209/S1209,"n.a.")),"n.a.")</x:f>
        <x:v>2513003737.329998</x:v>
      </x:c>
      <x:c r="G1209" s="17" t="n">
        <x:f>IF(AND(ISNUMBER(E1209),ISNUMBER(F1209)),E1209-F1209,"n.a.")</x:f>
        <x:v>-82073172.77999926</x:v>
      </x:c>
      <x:c r="H1209" s="15" t="n">
        <x:f>IF(AND(ISNUMBER(E1209),ISNUMBER(F1209),F1209&gt;0),(E1209-F1209)/F1209,"n.a.")</x:f>
        <x:v>-0.03265939145287539</x:v>
      </x:c>
      <x:c r="I1209" s="19" t="n">
        <x:f>IF(ISNUMBER(H1209),ABS(H1209),"n.a.")</x:f>
        <x:v>0.03265939145287539</x:v>
      </x:c>
      <x:c r="J1209" s="2" t="str">
        <x:v>available</x:v>
      </x:c>
      <x:c r="K1209" s="2" t="n">
        <x:v>1</x:v>
      </x:c>
      <x:c r="L1209" s="13" t="b">
        <x:v>0</x:v>
      </x:c>
      <x:c r="M1209" s="13" t="b">
        <x:v>1</x:v>
      </x:c>
      <x:c r="N1209" s="2" t="str">
        <x:v>nominal2020; Overture geometry2024-07-22.0; height support2018</x:v>
      </x:c>
      <x:c r="O1209" s="2" t="str"/>
      <x:c r="P1209" s="2" t="str">
        <x:v>included-footprint horizontal area</x:v>
      </x:c>
      <x:c r="Q1209" s="2" t="str">
        <x:v>m2</x:v>
      </x:c>
      <x:c r="R1209" s="17" t="n">
        <x:v>2513003737.33</x:v>
      </x:c>
      <x:c r="S1209" s="17" t="n">
        <x:v>2430930564.55</x:v>
      </x:c>
      <x:c r="T1209" s="18" t="n">
        <x:v>0.9999999999999994</x:v>
      </x:c>
      <x:c r="U1209" s="17" t="n">
        <x:v>2430930564.5499988</x:v>
      </x:c>
      <x:c r="V1209" s="2" t="str">
        <x:v>Area equivalent = model2020 * OBAT footprint / TEMPO2020 footprint</x:v>
      </x:c>
      <x:c r="W1209" s="2" t="str">
        <x:v>qualified_source_frame_numeric_summary</x:v>
      </x:c>
      <x:c r="X1209" s="2" t="str">
        <x:v>https://data.jrc.ec.europa.eu/dataset/f41a22f1-5741-4c41-86eb-6384654f6927</x:v>
      </x:c>
    </x:row>
    <x:row r="1210" ht="23" customHeight="1">
      <x:c r="A1210" s="2" t="str">
        <x:v>BGR</x:v>
      </x:c>
      <x:c r="B1210" s="2" t="str">
        <x:v>Bulgaria (Republic of)</x:v>
      </x:c>
      <x:c r="C1210" s="2" t="n">
        <x:v>2020</x:v>
      </x:c>
      <x:c r="D1210" s="2" t="str">
        <x:v>OBAT_FOOTPRINT</x:v>
      </x:c>
      <x:c r="E1210" s="17" t="n">
        <x:v>543020803.5700008</x:v>
      </x:c>
      <x:c r="F1210" s="17" t="n">
        <x:f>IF(AND(M1210,ISNUMBER(R1210)),IF(D1210="TEMPO_PROXY",R1210,IF(AND(ISNUMBER(S1210),S1210&gt;0,ISNUMBER(U1210)),U1210*R1210/S1210,"n.a.")),"n.a.")</x:f>
        <x:v>535975198.9500007</x:v>
      </x:c>
      <x:c r="G1210" s="17" t="n">
        <x:f>IF(AND(ISNUMBER(E1210),ISNUMBER(F1210)),E1210-F1210,"n.a.")</x:f>
        <x:v>7045604.620000064</x:v>
      </x:c>
      <x:c r="H1210" s="15" t="n">
        <x:f>IF(AND(ISNUMBER(E1210),ISNUMBER(F1210),F1210&gt;0),(E1210-F1210)/F1210,"n.a.")</x:f>
        <x:v>0.0131453929842327</x:v>
      </x:c>
      <x:c r="I1210" s="19" t="n">
        <x:f>IF(ISNUMBER(H1210),ABS(H1210),"n.a.")</x:f>
        <x:v>0.0131453929842327</x:v>
      </x:c>
      <x:c r="J1210" s="2" t="str">
        <x:v>available</x:v>
      </x:c>
      <x:c r="K1210" s="2" t="n">
        <x:v>1</x:v>
      </x:c>
      <x:c r="L1210" s="13" t="b">
        <x:v>0</x:v>
      </x:c>
      <x:c r="M1210" s="13" t="b">
        <x:v>1</x:v>
      </x:c>
      <x:c r="N1210" s="2" t="str">
        <x:v>nominal2020; Overture geometry2024-07-22.0; height support2018</x:v>
      </x:c>
      <x:c r="O1210" s="2" t="str"/>
      <x:c r="P1210" s="2" t="str">
        <x:v>included-footprint horizontal area</x:v>
      </x:c>
      <x:c r="Q1210" s="2" t="str">
        <x:v>m2</x:v>
      </x:c>
      <x:c r="R1210" s="17" t="n">
        <x:v>535975198.95</x:v>
      </x:c>
      <x:c r="S1210" s="17" t="n">
        <x:v>543020803.57</x:v>
      </x:c>
      <x:c r="T1210" s="18" t="n">
        <x:v>1.0000000000000013</x:v>
      </x:c>
      <x:c r="U1210" s="17" t="n">
        <x:v>543020803.5700008</x:v>
      </x:c>
      <x:c r="V1210" s="2" t="str">
        <x:v>Area equivalent = model2020 * OBAT footprint / TEMPO2020 footprint</x:v>
      </x:c>
      <x:c r="W1210" s="2" t="str">
        <x:v>qualified_source_frame_numeric_summary</x:v>
      </x:c>
      <x:c r="X1210" s="2" t="str">
        <x:v>https://data.jrc.ec.europa.eu/dataset/f41a22f1-5741-4c41-86eb-6384654f6927</x:v>
      </x:c>
    </x:row>
    <x:row r="1211" ht="23" customHeight="1">
      <x:c r="A1211" s="2" t="str">
        <x:v>BHR</x:v>
      </x:c>
      <x:c r="B1211" s="2" t="str">
        <x:v>Bahrain (Kingdom of)</x:v>
      </x:c>
      <x:c r="C1211" s="2" t="n">
        <x:v>2020</x:v>
      </x:c>
      <x:c r="D1211" s="2" t="str">
        <x:v>OBAT_FOOTPRINT</x:v>
      </x:c>
      <x:c r="E1211" s="17" t="n">
        <x:v>63702858.11000008</x:v>
      </x:c>
      <x:c r="F1211" s="17" t="n">
        <x:f>IF(AND(M1211,ISNUMBER(R1211)),IF(D1211="TEMPO_PROXY",R1211,IF(AND(ISNUMBER(S1211),S1211&gt;0,ISNUMBER(U1211)),U1211*R1211/S1211,"n.a.")),"n.a.")</x:f>
        <x:v>67472166.99362396</x:v>
      </x:c>
      <x:c r="G1211" s="17" t="n">
        <x:f>IF(AND(ISNUMBER(E1211),ISNUMBER(F1211)),E1211-F1211,"n.a.")</x:f>
        <x:v>-3769308.8836238757</x:v>
      </x:c>
      <x:c r="H1211" s="15" t="n">
        <x:f>IF(AND(ISNUMBER(E1211),ISNUMBER(F1211),F1211&gt;0),(E1211-F1211)/F1211,"n.a.")</x:f>
        <x:v>-0.05586464836648971</x:v>
      </x:c>
      <x:c r="I1211" s="19" t="n">
        <x:f>IF(ISNUMBER(H1211),ABS(H1211),"n.a.")</x:f>
        <x:v>0.05586464836648971</x:v>
      </x:c>
      <x:c r="J1211" s="2" t="str">
        <x:v>available</x:v>
      </x:c>
      <x:c r="K1211" s="2" t="n">
        <x:v>1</x:v>
      </x:c>
      <x:c r="L1211" s="13" t="b">
        <x:v>0</x:v>
      </x:c>
      <x:c r="M1211" s="13" t="b">
        <x:v>1</x:v>
      </x:c>
      <x:c r="N1211" s="2" t="str">
        <x:v>nominal2020; Overture geometry2024-07-22.0; height support2018</x:v>
      </x:c>
      <x:c r="O1211" s="2" t="str"/>
      <x:c r="P1211" s="2" t="str">
        <x:v>included-footprint horizontal area</x:v>
      </x:c>
      <x:c r="Q1211" s="2" t="str">
        <x:v>m2</x:v>
      </x:c>
      <x:c r="R1211" s="17" t="n">
        <x:v>57961353.82</x:v>
      </x:c>
      <x:c r="S1211" s="17" t="n">
        <x:v>54723363.17</x:v>
      </x:c>
      <x:c r="T1211" s="18" t="n">
        <x:v>1.1640888720984668</x:v>
      </x:c>
      <x:c r="U1211" s="17" t="n">
        <x:v>63702858.11000008</x:v>
      </x:c>
      <x:c r="V1211" s="2" t="str">
        <x:v>Area equivalent = model2020 * OBAT footprint / TEMPO2020 footprint</x:v>
      </x:c>
      <x:c r="W1211" s="2" t="str">
        <x:v>qualified_source_frame_numeric_summary</x:v>
      </x:c>
      <x:c r="X1211" s="2" t="str">
        <x:v>https://data.jrc.ec.europa.eu/dataset/f41a22f1-5741-4c41-86eb-6384654f6927</x:v>
      </x:c>
    </x:row>
    <x:row r="1212" ht="23" customHeight="1">
      <x:c r="A1212" s="2" t="str">
        <x:v>BHS</x:v>
      </x:c>
      <x:c r="B1212" s="2" t="str">
        <x:v>Bahamas (Commonwealth of the)</x:v>
      </x:c>
      <x:c r="C1212" s="2" t="n">
        <x:v>2020</x:v>
      </x:c>
      <x:c r="D1212" s="2" t="str">
        <x:v>OBAT_FOOTPRINT</x:v>
      </x:c>
      <x:c r="E1212" s="17" t="n">
        <x:v>29184660.44999999</x:v>
      </x:c>
      <x:c r="F1212" s="17" t="n">
        <x:f>IF(AND(M1212,ISNUMBER(R1212)),IF(D1212="TEMPO_PROXY",R1212,IF(AND(ISNUMBER(S1212),S1212&gt;0,ISNUMBER(U1212)),U1212*R1212/S1212,"n.a.")),"n.a.")</x:f>
        <x:v>30700453.769999992</x:v>
      </x:c>
      <x:c r="G1212" s="17" t="n">
        <x:f>IF(AND(ISNUMBER(E1212),ISNUMBER(F1212)),E1212-F1212,"n.a.")</x:f>
        <x:v>-1515793.3200000003</x:v>
      </x:c>
      <x:c r="H1212" s="15" t="n">
        <x:f>IF(AND(ISNUMBER(E1212),ISNUMBER(F1212),F1212&gt;0),(E1212-F1212)/F1212,"n.a.")</x:f>
        <x:v>-0.04937364546322146</x:v>
      </x:c>
      <x:c r="I1212" s="19" t="n">
        <x:f>IF(ISNUMBER(H1212),ABS(H1212),"n.a.")</x:f>
        <x:v>0.04937364546322146</x:v>
      </x:c>
      <x:c r="J1212" s="2" t="str">
        <x:v>available</x:v>
      </x:c>
      <x:c r="K1212" s="2" t="n">
        <x:v>1</x:v>
      </x:c>
      <x:c r="L1212" s="13" t="b">
        <x:v>0</x:v>
      </x:c>
      <x:c r="M1212" s="13" t="b">
        <x:v>1</x:v>
      </x:c>
      <x:c r="N1212" s="2" t="str">
        <x:v>nominal2020; Overture geometry2024-07-22.0; height support2018</x:v>
      </x:c>
      <x:c r="O1212" s="2" t="str"/>
      <x:c r="P1212" s="2" t="str">
        <x:v>included-footprint horizontal area</x:v>
      </x:c>
      <x:c r="Q1212" s="2" t="str">
        <x:v>m2</x:v>
      </x:c>
      <x:c r="R1212" s="17" t="n">
        <x:v>30700453.77</x:v>
      </x:c>
      <x:c r="S1212" s="17" t="n">
        <x:v>29184660.45</x:v>
      </x:c>
      <x:c r="T1212" s="18" t="n">
        <x:v>0.9999999999999998</x:v>
      </x:c>
      <x:c r="U1212" s="17" t="n">
        <x:v>29184660.44999999</x:v>
      </x:c>
      <x:c r="V1212" s="2" t="str">
        <x:v>Area equivalent = model2020 * OBAT footprint / TEMPO2020 footprint</x:v>
      </x:c>
      <x:c r="W1212" s="2" t="str">
        <x:v>qualified_source_frame_numeric_summary</x:v>
      </x:c>
      <x:c r="X1212" s="2" t="str">
        <x:v>https://data.jrc.ec.europa.eu/dataset/f41a22f1-5741-4c41-86eb-6384654f6927</x:v>
      </x:c>
    </x:row>
    <x:row r="1213" ht="23" customHeight="1">
      <x:c r="A1213" s="2" t="str">
        <x:v>BIH</x:v>
      </x:c>
      <x:c r="B1213" s="2" t="str">
        <x:v>Bosnia and Herzegovina</x:v>
      </x:c>
      <x:c r="C1213" s="2" t="n">
        <x:v>2020</x:v>
      </x:c>
      <x:c r="D1213" s="2" t="str">
        <x:v>OBAT_FOOTPRINT</x:v>
      </x:c>
      <x:c r="E1213" s="17" t="n">
        <x:v>247114206.72000027</x:v>
      </x:c>
      <x:c r="F1213" s="17" t="n">
        <x:f>IF(AND(M1213,ISNUMBER(R1213)),IF(D1213="TEMPO_PROXY",R1213,IF(AND(ISNUMBER(S1213),S1213&gt;0,ISNUMBER(U1213)),U1213*R1213/S1213,"n.a.")),"n.a.")</x:f>
        <x:v>248402223.68000025</x:v>
      </x:c>
      <x:c r="G1213" s="17" t="n">
        <x:f>IF(AND(ISNUMBER(E1213),ISNUMBER(F1213)),E1213-F1213,"n.a.")</x:f>
        <x:v>-1288016.9599999785</x:v>
      </x:c>
      <x:c r="H1213" s="15" t="n">
        <x:f>IF(AND(ISNUMBER(E1213),ISNUMBER(F1213),F1213&gt;0),(E1213-F1213)/F1213,"n.a.")</x:f>
        <x:v>-0.005185207044117461</x:v>
      </x:c>
      <x:c r="I1213" s="19" t="n">
        <x:f>IF(ISNUMBER(H1213),ABS(H1213),"n.a.")</x:f>
        <x:v>0.005185207044117461</x:v>
      </x:c>
      <x:c r="J1213" s="2" t="str">
        <x:v>available</x:v>
      </x:c>
      <x:c r="K1213" s="2" t="n">
        <x:v>1</x:v>
      </x:c>
      <x:c r="L1213" s="13" t="b">
        <x:v>0</x:v>
      </x:c>
      <x:c r="M1213" s="13" t="b">
        <x:v>1</x:v>
      </x:c>
      <x:c r="N1213" s="2" t="str">
        <x:v>nominal2020; Overture geometry2024-07-22.0; height support2018</x:v>
      </x:c>
      <x:c r="O1213" s="2" t="str"/>
      <x:c r="P1213" s="2" t="str">
        <x:v>included-footprint horizontal area</x:v>
      </x:c>
      <x:c r="Q1213" s="2" t="str">
        <x:v>m2</x:v>
      </x:c>
      <x:c r="R1213" s="17" t="n">
        <x:v>248402223.67999998</x:v>
      </x:c>
      <x:c r="S1213" s="17" t="n">
        <x:v>247114206.72</x:v>
      </x:c>
      <x:c r="T1213" s="18" t="n">
        <x:v>1.000000000000001</x:v>
      </x:c>
      <x:c r="U1213" s="17" t="n">
        <x:v>247114206.72000027</x:v>
      </x:c>
      <x:c r="V1213" s="2" t="str">
        <x:v>Area equivalent = model2020 * OBAT footprint / TEMPO2020 footprint</x:v>
      </x:c>
      <x:c r="W1213" s="2" t="str">
        <x:v>qualified_source_frame_numeric_summary</x:v>
      </x:c>
      <x:c r="X1213" s="2" t="str">
        <x:v>https://data.jrc.ec.europa.eu/dataset/f41a22f1-5741-4c41-86eb-6384654f6927</x:v>
      </x:c>
    </x:row>
    <x:row r="1214" ht="23" customHeight="1">
      <x:c r="A1214" s="2" t="str">
        <x:v>BLR</x:v>
      </x:c>
      <x:c r="B1214" s="2" t="str">
        <x:v>Belarus (Republic of)</x:v>
      </x:c>
      <x:c r="C1214" s="2" t="n">
        <x:v>2020</x:v>
      </x:c>
      <x:c r="D1214" s="2" t="str">
        <x:v>OBAT_FOOTPRINT</x:v>
      </x:c>
      <x:c r="E1214" s="17" t="n">
        <x:v>672205246.4400003</x:v>
      </x:c>
      <x:c r="F1214" s="17" t="n">
        <x:f>IF(AND(M1214,ISNUMBER(R1214)),IF(D1214="TEMPO_PROXY",R1214,IF(AND(ISNUMBER(S1214),S1214&gt;0,ISNUMBER(U1214)),U1214*R1214/S1214,"n.a.")),"n.a.")</x:f>
        <x:v>764587436.6400002</x:v>
      </x:c>
      <x:c r="G1214" s="17" t="n">
        <x:f>IF(AND(ISNUMBER(E1214),ISNUMBER(F1214)),E1214-F1214,"n.a.")</x:f>
        <x:v>-92382190.19999993</x:v>
      </x:c>
      <x:c r="H1214" s="15" t="n">
        <x:f>IF(AND(ISNUMBER(E1214),ISNUMBER(F1214),F1214&gt;0),(E1214-F1214)/F1214,"n.a.")</x:f>
        <x:v>-0.12082619432772256</x:v>
      </x:c>
      <x:c r="I1214" s="19" t="n">
        <x:f>IF(ISNUMBER(H1214),ABS(H1214),"n.a.")</x:f>
        <x:v>0.12082619432772256</x:v>
      </x:c>
      <x:c r="J1214" s="2" t="str">
        <x:v>available</x:v>
      </x:c>
      <x:c r="K1214" s="2" t="n">
        <x:v>1</x:v>
      </x:c>
      <x:c r="L1214" s="13" t="b">
        <x:v>0</x:v>
      </x:c>
      <x:c r="M1214" s="13" t="b">
        <x:v>1</x:v>
      </x:c>
      <x:c r="N1214" s="2" t="str">
        <x:v>nominal2020; Overture geometry2024-07-22.0; height support2018</x:v>
      </x:c>
      <x:c r="O1214" s="2" t="str"/>
      <x:c r="P1214" s="2" t="str">
        <x:v>included-footprint horizontal area</x:v>
      </x:c>
      <x:c r="Q1214" s="2" t="str">
        <x:v>m2</x:v>
      </x:c>
      <x:c r="R1214" s="17" t="n">
        <x:v>764587436.64</x:v>
      </x:c>
      <x:c r="S1214" s="17" t="n">
        <x:v>672205246.44</x:v>
      </x:c>
      <x:c r="T1214" s="18" t="n">
        <x:v>1.0000000000000004</x:v>
      </x:c>
      <x:c r="U1214" s="17" t="n">
        <x:v>672205246.4400003</x:v>
      </x:c>
      <x:c r="V1214" s="2" t="str">
        <x:v>Area equivalent = model2020 * OBAT footprint / TEMPO2020 footprint</x:v>
      </x:c>
      <x:c r="W1214" s="2" t="str">
        <x:v>qualified_source_frame_numeric_summary</x:v>
      </x:c>
      <x:c r="X1214" s="2" t="str">
        <x:v>https://data.jrc.ec.europa.eu/dataset/f41a22f1-5741-4c41-86eb-6384654f6927</x:v>
      </x:c>
    </x:row>
    <x:row r="1215" ht="23" customHeight="1">
      <x:c r="A1215" s="2" t="str">
        <x:v>BLZ</x:v>
      </x:c>
      <x:c r="B1215" s="2" t="str">
        <x:v>Belize</x:v>
      </x:c>
      <x:c r="C1215" s="2" t="n">
        <x:v>2020</x:v>
      </x:c>
      <x:c r="D1215" s="2" t="str">
        <x:v>OBAT_FOOTPRINT</x:v>
      </x:c>
      <x:c r="E1215" s="17" t="n">
        <x:v>21867714.339999966</x:v>
      </x:c>
      <x:c r="F1215" s="17" t="n">
        <x:f>IF(AND(M1215,ISNUMBER(R1215)),IF(D1215="TEMPO_PROXY",R1215,IF(AND(ISNUMBER(S1215),S1215&gt;0,ISNUMBER(U1215)),U1215*R1215/S1215,"n.a.")),"n.a.")</x:f>
        <x:v>23691614.339999963</x:v>
      </x:c>
      <x:c r="G1215" s="17" t="n">
        <x:f>IF(AND(ISNUMBER(E1215),ISNUMBER(F1215)),E1215-F1215,"n.a.")</x:f>
        <x:v>-1823899.9999999963</x:v>
      </x:c>
      <x:c r="H1215" s="15" t="n">
        <x:f>IF(AND(ISNUMBER(E1215),ISNUMBER(F1215),F1215&gt;0),(E1215-F1215)/F1215,"n.a.")</x:f>
        <x:v>-0.07698504516514088</x:v>
      </x:c>
      <x:c r="I1215" s="19" t="n">
        <x:f>IF(ISNUMBER(H1215),ABS(H1215),"n.a.")</x:f>
        <x:v>0.07698504516514088</x:v>
      </x:c>
      <x:c r="J1215" s="2" t="str">
        <x:v>available</x:v>
      </x:c>
      <x:c r="K1215" s="2" t="n">
        <x:v>1</x:v>
      </x:c>
      <x:c r="L1215" s="13" t="b">
        <x:v>0</x:v>
      </x:c>
      <x:c r="M1215" s="13" t="b">
        <x:v>1</x:v>
      </x:c>
      <x:c r="N1215" s="2" t="str">
        <x:v>nominal2020; Overture geometry2024-07-22.0; height support2018</x:v>
      </x:c>
      <x:c r="O1215" s="2" t="str"/>
      <x:c r="P1215" s="2" t="str">
        <x:v>included-footprint horizontal area</x:v>
      </x:c>
      <x:c r="Q1215" s="2" t="str">
        <x:v>m2</x:v>
      </x:c>
      <x:c r="R1215" s="17" t="n">
        <x:v>23691614.34</x:v>
      </x:c>
      <x:c r="S1215" s="17" t="n">
        <x:v>21867714.34</x:v>
      </x:c>
      <x:c r="T1215" s="18" t="n">
        <x:v>0.9999999999999984</x:v>
      </x:c>
      <x:c r="U1215" s="17" t="n">
        <x:v>21867714.339999966</x:v>
      </x:c>
      <x:c r="V1215" s="2" t="str">
        <x:v>Area equivalent = model2020 * OBAT footprint / TEMPO2020 footprint</x:v>
      </x:c>
      <x:c r="W1215" s="2" t="str">
        <x:v>qualified_source_frame_numeric_summary</x:v>
      </x:c>
      <x:c r="X1215" s="2" t="str">
        <x:v>https://data.jrc.ec.europa.eu/dataset/f41a22f1-5741-4c41-86eb-6384654f6927</x:v>
      </x:c>
    </x:row>
    <x:row r="1216" ht="23" customHeight="1">
      <x:c r="A1216" s="2" t="str">
        <x:v>BOL</x:v>
      </x:c>
      <x:c r="B1216" s="2" t="str">
        <x:v>Bolivia (Plurinational State of)</x:v>
      </x:c>
      <x:c r="C1216" s="2" t="n">
        <x:v>2020</x:v>
      </x:c>
      <x:c r="D1216" s="2" t="str">
        <x:v>OBAT_FOOTPRINT</x:v>
      </x:c>
      <x:c r="E1216" s="17" t="n">
        <x:v>496419008.9399992</x:v>
      </x:c>
      <x:c r="F1216" s="17" t="n">
        <x:f>IF(AND(M1216,ISNUMBER(R1216)),IF(D1216="TEMPO_PROXY",R1216,IF(AND(ISNUMBER(S1216),S1216&gt;0,ISNUMBER(U1216)),U1216*R1216/S1216,"n.a.")),"n.a.")</x:f>
        <x:v>532487039.15999913</x:v>
      </x:c>
      <x:c r="G1216" s="17" t="n">
        <x:f>IF(AND(ISNUMBER(E1216),ISNUMBER(F1216)),E1216-F1216,"n.a.")</x:f>
        <x:v>-36068030.21999991</x:v>
      </x:c>
      <x:c r="H1216" s="15" t="n">
        <x:f>IF(AND(ISNUMBER(E1216),ISNUMBER(F1216),F1216&gt;0),(E1216-F1216)/F1216,"n.a.")</x:f>
        <x:v>-0.06773503872863723</x:v>
      </x:c>
      <x:c r="I1216" s="19" t="n">
        <x:f>IF(ISNUMBER(H1216),ABS(H1216),"n.a.")</x:f>
        <x:v>0.06773503872863723</x:v>
      </x:c>
      <x:c r="J1216" s="2" t="str">
        <x:v>available</x:v>
      </x:c>
      <x:c r="K1216" s="2" t="n">
        <x:v>1</x:v>
      </x:c>
      <x:c r="L1216" s="13" t="b">
        <x:v>0</x:v>
      </x:c>
      <x:c r="M1216" s="13" t="b">
        <x:v>1</x:v>
      </x:c>
      <x:c r="N1216" s="2" t="str">
        <x:v>nominal2020; Overture geometry2024-07-22.0; height support2018</x:v>
      </x:c>
      <x:c r="O1216" s="2" t="str"/>
      <x:c r="P1216" s="2" t="str">
        <x:v>included-footprint horizontal area</x:v>
      </x:c>
      <x:c r="Q1216" s="2" t="str">
        <x:v>m2</x:v>
      </x:c>
      <x:c r="R1216" s="17" t="n">
        <x:v>532487039.15999997</x:v>
      </x:c>
      <x:c r="S1216" s="17" t="n">
        <x:v>496419008.94</x:v>
      </x:c>
      <x:c r="T1216" s="18" t="n">
        <x:v>0.9999999999999984</x:v>
      </x:c>
      <x:c r="U1216" s="17" t="n">
        <x:v>496419008.9399992</x:v>
      </x:c>
      <x:c r="V1216" s="2" t="str">
        <x:v>Area equivalent = model2020 * OBAT footprint / TEMPO2020 footprint</x:v>
      </x:c>
      <x:c r="W1216" s="2" t="str">
        <x:v>qualified_source_frame_numeric_summary</x:v>
      </x:c>
      <x:c r="X1216" s="2" t="str">
        <x:v>https://data.jrc.ec.europa.eu/dataset/f41a22f1-5741-4c41-86eb-6384654f6927</x:v>
      </x:c>
    </x:row>
    <x:row r="1217" ht="23" customHeight="1">
      <x:c r="A1217" s="2" t="str">
        <x:v>BRA</x:v>
      </x:c>
      <x:c r="B1217" s="2" t="str">
        <x:v>Brazil (Federative Republic of)</x:v>
      </x:c>
      <x:c r="C1217" s="2" t="n">
        <x:v>2020</x:v>
      </x:c>
      <x:c r="D1217" s="2" t="str">
        <x:v>OBAT_FOOTPRINT</x:v>
      </x:c>
      <x:c r="E1217" s="17" t="n">
        <x:v>12112839681.859997</x:v>
      </x:c>
      <x:c r="F1217" s="17" t="n">
        <x:f>IF(AND(M1217,ISNUMBER(R1217)),IF(D1217="TEMPO_PROXY",R1217,IF(AND(ISNUMBER(S1217),S1217&gt;0,ISNUMBER(U1217)),U1217*R1217/S1217,"n.a.")),"n.a.")</x:f>
        <x:v>12423502461.849997</x:v>
      </x:c>
      <x:c r="G1217" s="17" t="n">
        <x:f>IF(AND(ISNUMBER(E1217),ISNUMBER(F1217)),E1217-F1217,"n.a.")</x:f>
        <x:v>-310662779.9899998</x:v>
      </x:c>
      <x:c r="H1217" s="15" t="n">
        <x:f>IF(AND(ISNUMBER(E1217),ISNUMBER(F1217),F1217&gt;0),(E1217-F1217)/F1217,"n.a.")</x:f>
        <x:v>-0.025006054528019038</x:v>
      </x:c>
      <x:c r="I1217" s="19" t="n">
        <x:f>IF(ISNUMBER(H1217),ABS(H1217),"n.a.")</x:f>
        <x:v>0.025006054528019038</x:v>
      </x:c>
      <x:c r="J1217" s="2" t="str">
        <x:v>available</x:v>
      </x:c>
      <x:c r="K1217" s="2" t="n">
        <x:v>1</x:v>
      </x:c>
      <x:c r="L1217" s="13" t="b">
        <x:v>0</x:v>
      </x:c>
      <x:c r="M1217" s="13" t="b">
        <x:v>1</x:v>
      </x:c>
      <x:c r="N1217" s="2" t="str">
        <x:v>nominal2020; Overture geometry2024-07-22.0; height support2018</x:v>
      </x:c>
      <x:c r="O1217" s="2" t="str"/>
      <x:c r="P1217" s="2" t="str">
        <x:v>included-footprint horizontal area</x:v>
      </x:c>
      <x:c r="Q1217" s="2" t="str">
        <x:v>m2</x:v>
      </x:c>
      <x:c r="R1217" s="17" t="n">
        <x:v>12423502461.85</x:v>
      </x:c>
      <x:c r="S1217" s="17" t="n">
        <x:v>12112839681.86</x:v>
      </x:c>
      <x:c r="T1217" s="18" t="n">
        <x:v>0.9999999999999997</x:v>
      </x:c>
      <x:c r="U1217" s="17" t="n">
        <x:v>12112839681.859997</x:v>
      </x:c>
      <x:c r="V1217" s="2" t="str">
        <x:v>Area equivalent = model2020 * OBAT footprint / TEMPO2020 footprint</x:v>
      </x:c>
      <x:c r="W1217" s="2" t="str">
        <x:v>qualified_source_frame_numeric_summary</x:v>
      </x:c>
      <x:c r="X1217" s="2" t="str">
        <x:v>https://data.jrc.ec.europa.eu/dataset/f41a22f1-5741-4c41-86eb-6384654f6927</x:v>
      </x:c>
    </x:row>
    <x:row r="1218" ht="23" customHeight="1">
      <x:c r="A1218" s="2" t="str">
        <x:v>BRB</x:v>
      </x:c>
      <x:c r="B1218" s="2" t="str">
        <x:v>Barbados</x:v>
      </x:c>
      <x:c r="C1218" s="2" t="n">
        <x:v>2020</x:v>
      </x:c>
      <x:c r="D1218" s="2" t="str">
        <x:v>OBAT_FOOTPRINT</x:v>
      </x:c>
      <x:c r="E1218" s="17" t="n">
        <x:v>23684585.840000004</x:v>
      </x:c>
      <x:c r="F1218" s="17" t="n">
        <x:f>IF(AND(M1218,ISNUMBER(R1218)),IF(D1218="TEMPO_PROXY",R1218,IF(AND(ISNUMBER(S1218),S1218&gt;0,ISNUMBER(U1218)),U1218*R1218/S1218,"n.a.")),"n.a.")</x:f>
        <x:v>23479110.050000004</x:v>
      </x:c>
      <x:c r="G1218" s="17" t="n">
        <x:f>IF(AND(ISNUMBER(E1218),ISNUMBER(F1218)),E1218-F1218,"n.a.")</x:f>
        <x:v>205475.7899999991</x:v>
      </x:c>
      <x:c r="H1218" s="15" t="n">
        <x:f>IF(AND(ISNUMBER(E1218),ISNUMBER(F1218),F1218&gt;0),(E1218-F1218)/F1218,"n.a.")</x:f>
        <x:v>0.00875143008241912</x:v>
      </x:c>
      <x:c r="I1218" s="19" t="n">
        <x:f>IF(ISNUMBER(H1218),ABS(H1218),"n.a.")</x:f>
        <x:v>0.00875143008241912</x:v>
      </x:c>
      <x:c r="J1218" s="2" t="str">
        <x:v>available</x:v>
      </x:c>
      <x:c r="K1218" s="2" t="n">
        <x:v>1</x:v>
      </x:c>
      <x:c r="L1218" s="13" t="b">
        <x:v>0</x:v>
      </x:c>
      <x:c r="M1218" s="13" t="b">
        <x:v>1</x:v>
      </x:c>
      <x:c r="N1218" s="2" t="str">
        <x:v>nominal2020; Overture geometry2024-07-22.0; height support2018</x:v>
      </x:c>
      <x:c r="O1218" s="2" t="str"/>
      <x:c r="P1218" s="2" t="str">
        <x:v>included-footprint horizontal area</x:v>
      </x:c>
      <x:c r="Q1218" s="2" t="str">
        <x:v>m2</x:v>
      </x:c>
      <x:c r="R1218" s="17" t="n">
        <x:v>23479110.05</x:v>
      </x:c>
      <x:c r="S1218" s="17" t="n">
        <x:v>23684585.84</x:v>
      </x:c>
      <x:c r="T1218" s="18" t="n">
        <x:v>1.0000000000000002</x:v>
      </x:c>
      <x:c r="U1218" s="17" t="n">
        <x:v>23684585.840000004</x:v>
      </x:c>
      <x:c r="V1218" s="2" t="str">
        <x:v>Area equivalent = model2020 * OBAT footprint / TEMPO2020 footprint</x:v>
      </x:c>
      <x:c r="W1218" s="2" t="str">
        <x:v>qualified_source_frame_numeric_summary</x:v>
      </x:c>
      <x:c r="X1218" s="2" t="str">
        <x:v>https://data.jrc.ec.europa.eu/dataset/f41a22f1-5741-4c41-86eb-6384654f6927</x:v>
      </x:c>
    </x:row>
    <x:row r="1219" ht="23" customHeight="1">
      <x:c r="A1219" s="2" t="str">
        <x:v>BRN</x:v>
      </x:c>
      <x:c r="B1219" s="2" t="str">
        <x:v>Brunei Darussalam</x:v>
      </x:c>
      <x:c r="C1219" s="2" t="n">
        <x:v>2020</x:v>
      </x:c>
      <x:c r="D1219" s="2" t="str">
        <x:v>OBAT_FOOTPRINT</x:v>
      </x:c>
      <x:c r="E1219" s="17" t="n">
        <x:v>37849769.86000001</x:v>
      </x:c>
      <x:c r="F1219" s="17" t="n">
        <x:f>IF(AND(M1219,ISNUMBER(R1219)),IF(D1219="TEMPO_PROXY",R1219,IF(AND(ISNUMBER(S1219),S1219&gt;0,ISNUMBER(U1219)),U1219*R1219/S1219,"n.a.")),"n.a.")</x:f>
        <x:v>40454947.56000001</x:v>
      </x:c>
      <x:c r="G1219" s="17" t="n">
        <x:f>IF(AND(ISNUMBER(E1219),ISNUMBER(F1219)),E1219-F1219,"n.a.")</x:f>
        <x:v>-2605177.700000003</x:v>
      </x:c>
      <x:c r="H1219" s="15" t="n">
        <x:f>IF(AND(ISNUMBER(E1219),ISNUMBER(F1219),F1219&gt;0),(E1219-F1219)/F1219,"n.a.")</x:f>
        <x:v>-0.06439701092520715</x:v>
      </x:c>
      <x:c r="I1219" s="19" t="n">
        <x:f>IF(ISNUMBER(H1219),ABS(H1219),"n.a.")</x:f>
        <x:v>0.06439701092520715</x:v>
      </x:c>
      <x:c r="J1219" s="2" t="str">
        <x:v>available</x:v>
      </x:c>
      <x:c r="K1219" s="2" t="n">
        <x:v>1</x:v>
      </x:c>
      <x:c r="L1219" s="13" t="b">
        <x:v>0</x:v>
      </x:c>
      <x:c r="M1219" s="13" t="b">
        <x:v>1</x:v>
      </x:c>
      <x:c r="N1219" s="2" t="str">
        <x:v>nominal2020; Overture geometry2024-07-22.0; height support2018</x:v>
      </x:c>
      <x:c r="O1219" s="2" t="str"/>
      <x:c r="P1219" s="2" t="str">
        <x:v>included-footprint horizontal area</x:v>
      </x:c>
      <x:c r="Q1219" s="2" t="str">
        <x:v>m2</x:v>
      </x:c>
      <x:c r="R1219" s="17" t="n">
        <x:v>40454947.56</x:v>
      </x:c>
      <x:c r="S1219" s="17" t="n">
        <x:v>37849769.86</x:v>
      </x:c>
      <x:c r="T1219" s="18" t="n">
        <x:v>1.0000000000000002</x:v>
      </x:c>
      <x:c r="U1219" s="17" t="n">
        <x:v>37849769.86000001</x:v>
      </x:c>
      <x:c r="V1219" s="2" t="str">
        <x:v>Area equivalent = model2020 * OBAT footprint / TEMPO2020 footprint</x:v>
      </x:c>
      <x:c r="W1219" s="2" t="str">
        <x:v>qualified_source_frame_numeric_summary</x:v>
      </x:c>
      <x:c r="X1219" s="2" t="str">
        <x:v>https://data.jrc.ec.europa.eu/dataset/f41a22f1-5741-4c41-86eb-6384654f6927</x:v>
      </x:c>
    </x:row>
    <x:row r="1220" ht="23" customHeight="1">
      <x:c r="A1220" s="2" t="str">
        <x:v>BTN</x:v>
      </x:c>
      <x:c r="B1220" s="2" t="str">
        <x:v>Bhutan (Kingdom of)</x:v>
      </x:c>
      <x:c r="C1220" s="2" t="n">
        <x:v>2020</x:v>
      </x:c>
      <x:c r="D1220" s="2" t="str">
        <x:v>OBAT_FOOTPRINT</x:v>
      </x:c>
      <x:c r="E1220" s="17" t="n">
        <x:v>27177544.510000043</x:v>
      </x:c>
      <x:c r="F1220" s="17" t="n">
        <x:f>IF(AND(M1220,ISNUMBER(R1220)),IF(D1220="TEMPO_PROXY",R1220,IF(AND(ISNUMBER(S1220),S1220&gt;0,ISNUMBER(U1220)),U1220*R1220/S1220,"n.a.")),"n.a.")</x:f>
        <x:v>33592196.15000005</x:v>
      </x:c>
      <x:c r="G1220" s="17" t="n">
        <x:f>IF(AND(ISNUMBER(E1220),ISNUMBER(F1220)),E1220-F1220,"n.a.")</x:f>
        <x:v>-6414651.640000008</x:v>
      </x:c>
      <x:c r="H1220" s="15" t="n">
        <x:f>IF(AND(ISNUMBER(E1220),ISNUMBER(F1220),F1220&gt;0),(E1220-F1220)/F1220,"n.a.")</x:f>
        <x:v>-0.19095660228216424</x:v>
      </x:c>
      <x:c r="I1220" s="19" t="n">
        <x:f>IF(ISNUMBER(H1220),ABS(H1220),"n.a.")</x:f>
        <x:v>0.19095660228216424</x:v>
      </x:c>
      <x:c r="J1220" s="2" t="str">
        <x:v>available</x:v>
      </x:c>
      <x:c r="K1220" s="2" t="n">
        <x:v>1</x:v>
      </x:c>
      <x:c r="L1220" s="13" t="b">
        <x:v>0</x:v>
      </x:c>
      <x:c r="M1220" s="13" t="b">
        <x:v>1</x:v>
      </x:c>
      <x:c r="N1220" s="2" t="str">
        <x:v>nominal2020; Overture geometry2024-07-22.0; height support2018</x:v>
      </x:c>
      <x:c r="O1220" s="2" t="str"/>
      <x:c r="P1220" s="2" t="str">
        <x:v>included-footprint horizontal area</x:v>
      </x:c>
      <x:c r="Q1220" s="2" t="str">
        <x:v>m2</x:v>
      </x:c>
      <x:c r="R1220" s="17" t="n">
        <x:v>33592196.15</x:v>
      </x:c>
      <x:c r="S1220" s="17" t="n">
        <x:v>27177544.51</x:v>
      </x:c>
      <x:c r="T1220" s="18" t="n">
        <x:v>1.0000000000000016</x:v>
      </x:c>
      <x:c r="U1220" s="17" t="n">
        <x:v>27177544.510000043</x:v>
      </x:c>
      <x:c r="V1220" s="2" t="str">
        <x:v>Area equivalent = model2020 * OBAT footprint / TEMPO2020 footprint</x:v>
      </x:c>
      <x:c r="W1220" s="2" t="str">
        <x:v>qualified_source_frame_numeric_summary</x:v>
      </x:c>
      <x:c r="X1220" s="2" t="str">
        <x:v>https://data.jrc.ec.europa.eu/dataset/f41a22f1-5741-4c41-86eb-6384654f6927</x:v>
      </x:c>
    </x:row>
    <x:row r="1221" ht="23" customHeight="1">
      <x:c r="A1221" s="2" t="str">
        <x:v>BWA</x:v>
      </x:c>
      <x:c r="B1221" s="2" t="str">
        <x:v>Botswana (Republic of)</x:v>
      </x:c>
      <x:c r="C1221" s="2" t="n">
        <x:v>2020</x:v>
      </x:c>
      <x:c r="D1221" s="2" t="str">
        <x:v>OBAT_FOOTPRINT</x:v>
      </x:c>
      <x:c r="E1221" s="17" t="n">
        <x:v>118564613.02000009</x:v>
      </x:c>
      <x:c r="F1221" s="17" t="n">
        <x:f>IF(AND(M1221,ISNUMBER(R1221)),IF(D1221="TEMPO_PROXY",R1221,IF(AND(ISNUMBER(S1221),S1221&gt;0,ISNUMBER(U1221)),U1221*R1221/S1221,"n.a.")),"n.a.")</x:f>
        <x:v>147251833.75000012</x:v>
      </x:c>
      <x:c r="G1221" s="17" t="n">
        <x:f>IF(AND(ISNUMBER(E1221),ISNUMBER(F1221)),E1221-F1221,"n.a.")</x:f>
        <x:v>-28687220.730000034</x:v>
      </x:c>
      <x:c r="H1221" s="15" t="n">
        <x:f>IF(AND(ISNUMBER(E1221),ISNUMBER(F1221),F1221&gt;0),(E1221-F1221)/F1221,"n.a.")</x:f>
        <x:v>-0.19481740905654432</x:v>
      </x:c>
      <x:c r="I1221" s="19" t="n">
        <x:f>IF(ISNUMBER(H1221),ABS(H1221),"n.a.")</x:f>
        <x:v>0.19481740905654432</x:v>
      </x:c>
      <x:c r="J1221" s="2" t="str">
        <x:v>available</x:v>
      </x:c>
      <x:c r="K1221" s="2" t="n">
        <x:v>1</x:v>
      </x:c>
      <x:c r="L1221" s="13" t="b">
        <x:v>0</x:v>
      </x:c>
      <x:c r="M1221" s="13" t="b">
        <x:v>1</x:v>
      </x:c>
      <x:c r="N1221" s="2" t="str">
        <x:v>nominal2020; Overture geometry2024-07-22.0; height support2018</x:v>
      </x:c>
      <x:c r="O1221" s="2" t="str"/>
      <x:c r="P1221" s="2" t="str">
        <x:v>included-footprint horizontal area</x:v>
      </x:c>
      <x:c r="Q1221" s="2" t="str">
        <x:v>m2</x:v>
      </x:c>
      <x:c r="R1221" s="17" t="n">
        <x:v>147251833.75</x:v>
      </x:c>
      <x:c r="S1221" s="17" t="n">
        <x:v>118564613.02</x:v>
      </x:c>
      <x:c r="T1221" s="18" t="n">
        <x:v>1.0000000000000007</x:v>
      </x:c>
      <x:c r="U1221" s="17" t="n">
        <x:v>118564613.02000009</x:v>
      </x:c>
      <x:c r="V1221" s="2" t="str">
        <x:v>Area equivalent = model2020 * OBAT footprint / TEMPO2020 footprint</x:v>
      </x:c>
      <x:c r="W1221" s="2" t="str">
        <x:v>qualified_source_frame_numeric_summary</x:v>
      </x:c>
      <x:c r="X1221" s="2" t="str">
        <x:v>https://data.jrc.ec.europa.eu/dataset/f41a22f1-5741-4c41-86eb-6384654f6927</x:v>
      </x:c>
    </x:row>
    <x:row r="1222" ht="23" customHeight="1">
      <x:c r="A1222" s="2" t="str">
        <x:v>CAF</x:v>
      </x:c>
      <x:c r="B1222" s="2" t="str">
        <x:v>Central African Republic</x:v>
      </x:c>
      <x:c r="C1222" s="2" t="n">
        <x:v>2020</x:v>
      </x:c>
      <x:c r="D1222" s="2" t="str">
        <x:v>OBAT_FOOTPRINT</x:v>
      </x:c>
      <x:c r="E1222" s="17" t="n">
        <x:v>66989106.04000005</x:v>
      </x:c>
      <x:c r="F1222" s="17" t="n">
        <x:f>IF(AND(M1222,ISNUMBER(R1222)),IF(D1222="TEMPO_PROXY",R1222,IF(AND(ISNUMBER(S1222),S1222&gt;0,ISNUMBER(U1222)),U1222*R1222/S1222,"n.a.")),"n.a.")</x:f>
        <x:v>86312590.79000005</x:v>
      </x:c>
      <x:c r="G1222" s="17" t="n">
        <x:f>IF(AND(ISNUMBER(E1222),ISNUMBER(F1222)),E1222-F1222,"n.a.")</x:f>
        <x:v>-19323484.75</x:v>
      </x:c>
      <x:c r="H1222" s="15" t="n">
        <x:f>IF(AND(ISNUMBER(E1222),ISNUMBER(F1222),F1222&gt;0),(E1222-F1222)/F1222,"n.a.")</x:f>
        <x:v>-0.2238779368471786</x:v>
      </x:c>
      <x:c r="I1222" s="19" t="n">
        <x:f>IF(ISNUMBER(H1222),ABS(H1222),"n.a.")</x:f>
        <x:v>0.2238779368471786</x:v>
      </x:c>
      <x:c r="J1222" s="2" t="str">
        <x:v>available</x:v>
      </x:c>
      <x:c r="K1222" s="2" t="n">
        <x:v>1</x:v>
      </x:c>
      <x:c r="L1222" s="13" t="b">
        <x:v>0</x:v>
      </x:c>
      <x:c r="M1222" s="13" t="b">
        <x:v>1</x:v>
      </x:c>
      <x:c r="N1222" s="2" t="str">
        <x:v>nominal2020; Overture geometry2024-07-22.0; height support2018</x:v>
      </x:c>
      <x:c r="O1222" s="2" t="str"/>
      <x:c r="P1222" s="2" t="str">
        <x:v>included-footprint horizontal area</x:v>
      </x:c>
      <x:c r="Q1222" s="2" t="str">
        <x:v>m2</x:v>
      </x:c>
      <x:c r="R1222" s="17" t="n">
        <x:v>86312590.78999999</x:v>
      </x:c>
      <x:c r="S1222" s="17" t="n">
        <x:v>66989106.04</x:v>
      </x:c>
      <x:c r="T1222" s="18" t="n">
        <x:v>1.0000000000000009</x:v>
      </x:c>
      <x:c r="U1222" s="17" t="n">
        <x:v>66989106.04000005</x:v>
      </x:c>
      <x:c r="V1222" s="2" t="str">
        <x:v>Area equivalent = model2020 * OBAT footprint / TEMPO2020 footprint</x:v>
      </x:c>
      <x:c r="W1222" s="2" t="str">
        <x:v>qualified_source_frame_numeric_summary</x:v>
      </x:c>
      <x:c r="X1222" s="2" t="str">
        <x:v>https://data.jrc.ec.europa.eu/dataset/f41a22f1-5741-4c41-86eb-6384654f6927</x:v>
      </x:c>
    </x:row>
    <x:row r="1223" ht="23" customHeight="1">
      <x:c r="A1223" s="2" t="str">
        <x:v>CAN</x:v>
      </x:c>
      <x:c r="B1223" s="2" t="str">
        <x:v>Canada</x:v>
      </x:c>
      <x:c r="C1223" s="2" t="n">
        <x:v>2020</x:v>
      </x:c>
      <x:c r="D1223" s="2" t="str">
        <x:v>OBAT_FOOTPRINT</x:v>
      </x:c>
      <x:c r="E1223" s="17" t="n">
        <x:v>2941628265.260001</x:v>
      </x:c>
      <x:c r="F1223" s="17" t="n">
        <x:f>IF(AND(M1223,ISNUMBER(R1223)),IF(D1223="TEMPO_PROXY",R1223,IF(AND(ISNUMBER(S1223),S1223&gt;0,ISNUMBER(U1223)),U1223*R1223/S1223,"n.a.")),"n.a.")</x:f>
        <x:v>5216186320.810002</x:v>
      </x:c>
      <x:c r="G1223" s="17" t="n">
        <x:f>IF(AND(ISNUMBER(E1223),ISNUMBER(F1223)),E1223-F1223,"n.a.")</x:f>
        <x:v>-2274558055.550001</x:v>
      </x:c>
      <x:c r="H1223" s="15" t="n">
        <x:f>IF(AND(ISNUMBER(E1223),ISNUMBER(F1223),F1223&gt;0),(E1223-F1223)/F1223,"n.a.")</x:f>
        <x:v>-0.4360576704240107</x:v>
      </x:c>
      <x:c r="I1223" s="19" t="n">
        <x:f>IF(ISNUMBER(H1223),ABS(H1223),"n.a.")</x:f>
        <x:v>0.4360576704240107</x:v>
      </x:c>
      <x:c r="J1223" s="2" t="str">
        <x:v>available</x:v>
      </x:c>
      <x:c r="K1223" s="2" t="n">
        <x:v>1</x:v>
      </x:c>
      <x:c r="L1223" s="13" t="b">
        <x:v>0</x:v>
      </x:c>
      <x:c r="M1223" s="13" t="b">
        <x:v>1</x:v>
      </x:c>
      <x:c r="N1223" s="2" t="str">
        <x:v>nominal2020; Overture geometry2024-07-22.0; height support2018</x:v>
      </x:c>
      <x:c r="O1223" s="2" t="str"/>
      <x:c r="P1223" s="2" t="str">
        <x:v>included-footprint horizontal area</x:v>
      </x:c>
      <x:c r="Q1223" s="2" t="str">
        <x:v>m2</x:v>
      </x:c>
      <x:c r="R1223" s="17" t="n">
        <x:v>5216186320.81</x:v>
      </x:c>
      <x:c r="S1223" s="17" t="n">
        <x:v>2941628265.26</x:v>
      </x:c>
      <x:c r="T1223" s="18" t="n">
        <x:v>1.0000000000000002</x:v>
      </x:c>
      <x:c r="U1223" s="17" t="n">
        <x:v>2941628265.260001</x:v>
      </x:c>
      <x:c r="V1223" s="2" t="str">
        <x:v>Area equivalent = model2020 * OBAT footprint / TEMPO2020 footprint</x:v>
      </x:c>
      <x:c r="W1223" s="2" t="str">
        <x:v>qualified_source_frame_numeric_summary</x:v>
      </x:c>
      <x:c r="X1223" s="2" t="str">
        <x:v>https://data.jrc.ec.europa.eu/dataset/f41a22f1-5741-4c41-86eb-6384654f6927</x:v>
      </x:c>
    </x:row>
    <x:row r="1224" ht="23" customHeight="1">
      <x:c r="A1224" s="2" t="str">
        <x:v>CHE</x:v>
      </x:c>
      <x:c r="B1224" s="2" t="str">
        <x:v>Switzerland (Swiss Confederation)</x:v>
      </x:c>
      <x:c r="C1224" s="2" t="n">
        <x:v>2020</x:v>
      </x:c>
      <x:c r="D1224" s="2" t="str">
        <x:v>OBAT_FOOTPRINT</x:v>
      </x:c>
      <x:c r="E1224" s="17" t="n">
        <x:v>554094959.2900008</x:v>
      </x:c>
      <x:c r="F1224" s="17" t="n">
        <x:f>IF(AND(M1224,ISNUMBER(R1224)),IF(D1224="TEMPO_PROXY",R1224,IF(AND(ISNUMBER(S1224),S1224&gt;0,ISNUMBER(U1224)),U1224*R1224/S1224,"n.a.")),"n.a.")</x:f>
        <x:v>575437024.8217745</x:v>
      </x:c>
      <x:c r="G1224" s="17" t="n">
        <x:f>IF(AND(ISNUMBER(E1224),ISNUMBER(F1224)),E1224-F1224,"n.a.")</x:f>
        <x:v>-21342065.531773686</x:v>
      </x:c>
      <x:c r="H1224" s="15" t="n">
        <x:f>IF(AND(ISNUMBER(E1224),ISNUMBER(F1224),F1224&gt;0),(E1224-F1224)/F1224,"n.a.")</x:f>
        <x:v>-0.03708844688675324</x:v>
      </x:c>
      <x:c r="I1224" s="19" t="n">
        <x:f>IF(ISNUMBER(H1224),ABS(H1224),"n.a.")</x:f>
        <x:v>0.03708844688675324</x:v>
      </x:c>
      <x:c r="J1224" s="2" t="str">
        <x:v>available</x:v>
      </x:c>
      <x:c r="K1224" s="2" t="n">
        <x:v>1</x:v>
      </x:c>
      <x:c r="L1224" s="13" t="b">
        <x:v>0</x:v>
      </x:c>
      <x:c r="M1224" s="13" t="b">
        <x:v>1</x:v>
      </x:c>
      <x:c r="N1224" s="2" t="str">
        <x:v>nominal2020; Overture geometry2024-07-22.0; height support2018</x:v>
      </x:c>
      <x:c r="O1224" s="2" t="str"/>
      <x:c r="P1224" s="2" t="str">
        <x:v>included-footprint horizontal area</x:v>
      </x:c>
      <x:c r="Q1224" s="2" t="str">
        <x:v>m2</x:v>
      </x:c>
      <x:c r="R1224" s="17" t="n">
        <x:v>566836139.4100001</x:v>
      </x:c>
      <x:c r="S1224" s="17" t="n">
        <x:v>545813067.36</x:v>
      </x:c>
      <x:c r="T1224" s="18" t="n">
        <x:v>1.0151734951492803</x:v>
      </x:c>
      <x:c r="U1224" s="17" t="n">
        <x:v>554094959.2900008</x:v>
      </x:c>
      <x:c r="V1224" s="2" t="str">
        <x:v>Area equivalent = model2020 * OBAT footprint / TEMPO2020 footprint</x:v>
      </x:c>
      <x:c r="W1224" s="2" t="str">
        <x:v>qualified_source_frame_numeric_summary</x:v>
      </x:c>
      <x:c r="X1224" s="2" t="str">
        <x:v>https://data.jrc.ec.europa.eu/dataset/f41a22f1-5741-4c41-86eb-6384654f6927</x:v>
      </x:c>
    </x:row>
    <x:row r="1225" ht="23" customHeight="1">
      <x:c r="A1225" s="2" t="str">
        <x:v>CHL</x:v>
      </x:c>
      <x:c r="B1225" s="2" t="str">
        <x:v>Chile (Republic of)</x:v>
      </x:c>
      <x:c r="C1225" s="2" t="n">
        <x:v>2020</x:v>
      </x:c>
      <x:c r="D1225" s="2" t="str">
        <x:v>OBAT_FOOTPRINT</x:v>
      </x:c>
      <x:c r="E1225" s="17" t="n">
        <x:v>986436316.0700014</x:v>
      </x:c>
      <x:c r="F1225" s="17" t="n">
        <x:f>IF(AND(M1225,ISNUMBER(R1225)),IF(D1225="TEMPO_PROXY",R1225,IF(AND(ISNUMBER(S1225),S1225&gt;0,ISNUMBER(U1225)),U1225*R1225/S1225,"n.a.")),"n.a.")</x:f>
        <x:v>1135828098.0700014</x:v>
      </x:c>
      <x:c r="G1225" s="17" t="n">
        <x:f>IF(AND(ISNUMBER(E1225),ISNUMBER(F1225)),E1225-F1225,"n.a.")</x:f>
        <x:v>-149391782</x:v>
      </x:c>
      <x:c r="H1225" s="15" t="n">
        <x:f>IF(AND(ISNUMBER(E1225),ISNUMBER(F1225),F1225&gt;0),(E1225-F1225)/F1225,"n.a.")</x:f>
        <x:v>-0.13152675325944696</x:v>
      </x:c>
      <x:c r="I1225" s="19" t="n">
        <x:f>IF(ISNUMBER(H1225),ABS(H1225),"n.a.")</x:f>
        <x:v>0.13152675325944696</x:v>
      </x:c>
      <x:c r="J1225" s="2" t="str">
        <x:v>available</x:v>
      </x:c>
      <x:c r="K1225" s="2" t="n">
        <x:v>1</x:v>
      </x:c>
      <x:c r="L1225" s="13" t="b">
        <x:v>0</x:v>
      </x:c>
      <x:c r="M1225" s="13" t="b">
        <x:v>1</x:v>
      </x:c>
      <x:c r="N1225" s="2" t="str">
        <x:v>nominal2020; Overture geometry2024-07-22.0; height support2018</x:v>
      </x:c>
      <x:c r="O1225" s="2" t="str"/>
      <x:c r="P1225" s="2" t="str">
        <x:v>included-footprint horizontal area</x:v>
      </x:c>
      <x:c r="Q1225" s="2" t="str">
        <x:v>m2</x:v>
      </x:c>
      <x:c r="R1225" s="17" t="n">
        <x:v>1135828098.07</x:v>
      </x:c>
      <x:c r="S1225" s="17" t="n">
        <x:v>986436316.07</x:v>
      </x:c>
      <x:c r="T1225" s="18" t="n">
        <x:v>1.0000000000000013</x:v>
      </x:c>
      <x:c r="U1225" s="17" t="n">
        <x:v>986436316.0700014</x:v>
      </x:c>
      <x:c r="V1225" s="2" t="str">
        <x:v>Area equivalent = model2020 * OBAT footprint / TEMPO2020 footprint</x:v>
      </x:c>
      <x:c r="W1225" s="2" t="str">
        <x:v>qualified_source_frame_numeric_summary</x:v>
      </x:c>
      <x:c r="X1225" s="2" t="str">
        <x:v>https://data.jrc.ec.europa.eu/dataset/f41a22f1-5741-4c41-86eb-6384654f6927</x:v>
      </x:c>
    </x:row>
    <x:row r="1226" ht="23" customHeight="1">
      <x:c r="A1226" s="2" t="str">
        <x:v>CHN</x:v>
      </x:c>
      <x:c r="B1226" s="2" t="str">
        <x:v>China (People's Republic of)</x:v>
      </x:c>
      <x:c r="C1226" s="2" t="n">
        <x:v>2020</x:v>
      </x:c>
      <x:c r="D1226" s="2" t="str">
        <x:v>OBAT_FOOTPRINT</x:v>
      </x:c>
      <x:c r="E1226" s="17" t="n">
        <x:v>86144650012.34993</x:v>
      </x:c>
      <x:c r="F1226" s="17" t="n">
        <x:f>IF(AND(M1226,ISNUMBER(R1226)),IF(D1226="TEMPO_PROXY",R1226,IF(AND(ISNUMBER(S1226),S1226&gt;0,ISNUMBER(U1226)),U1226*R1226/S1226,"n.a.")),"n.a.")</x:f>
        <x:v>4219943125.9507914</x:v>
      </x:c>
      <x:c r="G1226" s="17" t="n">
        <x:f>IF(AND(ISNUMBER(E1226),ISNUMBER(F1226)),E1226-F1226,"n.a.")</x:f>
        <x:v>81924706886.39914</x:v>
      </x:c>
      <x:c r="H1226" s="15" t="n">
        <x:f>IF(AND(ISNUMBER(E1226),ISNUMBER(F1226),F1226&gt;0),(E1226-F1226)/F1226,"n.a.")</x:f>
        <x:v>19.41369929433368</x:v>
      </x:c>
      <x:c r="I1226" s="19" t="n">
        <x:f>IF(ISNUMBER(H1226),ABS(H1226),"n.a.")</x:f>
        <x:v>19.41369929433368</x:v>
      </x:c>
      <x:c r="J1226" s="2" t="str">
        <x:v>available</x:v>
      </x:c>
      <x:c r="K1226" s="2" t="n">
        <x:v>1</x:v>
      </x:c>
      <x:c r="L1226" s="13" t="b">
        <x:v>0</x:v>
      </x:c>
      <x:c r="M1226" s="13" t="b">
        <x:v>1</x:v>
      </x:c>
      <x:c r="N1226" s="2" t="str">
        <x:v>nominal2020; Overture geometry2024-07-22.0; height support2018</x:v>
      </x:c>
      <x:c r="O1226" s="2" t="str">
        <x:v>OBAT China coverage shortfall; do not interpret as model GFA error</x:v>
      </x:c>
      <x:c r="P1226" s="2" t="str">
        <x:v>included-footprint horizontal area</x:v>
      </x:c>
      <x:c r="Q1226" s="2" t="str">
        <x:v>m2</x:v>
      </x:c>
      <x:c r="R1226" s="17" t="n">
        <x:v>3828323044.28</x:v>
      </x:c>
      <x:c r="S1226" s="17" t="n">
        <x:v>78150235427.5</x:v>
      </x:c>
      <x:c r="T1226" s="18" t="n">
        <x:v>1.1022954638731235</x:v>
      </x:c>
      <x:c r="U1226" s="17" t="n">
        <x:v>86144650012.34993</x:v>
      </x:c>
      <x:c r="V1226" s="2" t="str">
        <x:v>Area equivalent = model2020 * OBAT footprint / TEMPO2020 footprint</x:v>
      </x:c>
      <x:c r="W1226" s="2" t="str">
        <x:v>qualified_source_frame_numeric_summary</x:v>
      </x:c>
      <x:c r="X1226" s="2" t="str">
        <x:v>https://data.jrc.ec.europa.eu/dataset/f41a22f1-5741-4c41-86eb-6384654f6927</x:v>
      </x:c>
    </x:row>
    <x:row r="1227" ht="23" customHeight="1">
      <x:c r="A1227" s="2" t="str">
        <x:v>CIV</x:v>
      </x:c>
      <x:c r="B1227" s="2" t="str">
        <x:v>Côte d'Ivoire (Republic of)</x:v>
      </x:c>
      <x:c r="C1227" s="2" t="n">
        <x:v>2020</x:v>
      </x:c>
      <x:c r="D1227" s="2" t="str">
        <x:v>OBAT_FOOTPRINT</x:v>
      </x:c>
      <x:c r="E1227" s="17" t="n">
        <x:v>602828854.8199993</x:v>
      </x:c>
      <x:c r="F1227" s="17" t="n">
        <x:f>IF(AND(M1227,ISNUMBER(R1227)),IF(D1227="TEMPO_PROXY",R1227,IF(AND(ISNUMBER(S1227),S1227&gt;0,ISNUMBER(U1227)),U1227*R1227/S1227,"n.a.")),"n.a.")</x:f>
        <x:v>652973981.6699991</x:v>
      </x:c>
      <x:c r="G1227" s="17" t="n">
        <x:f>IF(AND(ISNUMBER(E1227),ISNUMBER(F1227)),E1227-F1227,"n.a.")</x:f>
        <x:v>-50145126.849999785</x:v>
      </x:c>
      <x:c r="H1227" s="15" t="n">
        <x:f>IF(AND(ISNUMBER(E1227),ISNUMBER(F1227),F1227&gt;0),(E1227-F1227)/F1227,"n.a.")</x:f>
        <x:v>-0.07679498457465675</x:v>
      </x:c>
      <x:c r="I1227" s="19" t="n">
        <x:f>IF(ISNUMBER(H1227),ABS(H1227),"n.a.")</x:f>
        <x:v>0.07679498457465675</x:v>
      </x:c>
      <x:c r="J1227" s="2" t="str">
        <x:v>available</x:v>
      </x:c>
      <x:c r="K1227" s="2" t="n">
        <x:v>1</x:v>
      </x:c>
      <x:c r="L1227" s="13" t="b">
        <x:v>0</x:v>
      </x:c>
      <x:c r="M1227" s="13" t="b">
        <x:v>1</x:v>
      </x:c>
      <x:c r="N1227" s="2" t="str">
        <x:v>nominal2020; Overture geometry2024-07-22.0; height support2018</x:v>
      </x:c>
      <x:c r="O1227" s="2" t="str"/>
      <x:c r="P1227" s="2" t="str">
        <x:v>included-footprint horizontal area</x:v>
      </x:c>
      <x:c r="Q1227" s="2" t="str">
        <x:v>m2</x:v>
      </x:c>
      <x:c r="R1227" s="17" t="n">
        <x:v>652973981.67</x:v>
      </x:c>
      <x:c r="S1227" s="17" t="n">
        <x:v>602828854.82</x:v>
      </x:c>
      <x:c r="T1227" s="18" t="n">
        <x:v>0.9999999999999988</x:v>
      </x:c>
      <x:c r="U1227" s="17" t="n">
        <x:v>602828854.8199993</x:v>
      </x:c>
      <x:c r="V1227" s="2" t="str">
        <x:v>Area equivalent = model2020 * OBAT footprint / TEMPO2020 footprint</x:v>
      </x:c>
      <x:c r="W1227" s="2" t="str">
        <x:v>qualified_source_frame_numeric_summary</x:v>
      </x:c>
      <x:c r="X1227" s="2" t="str">
        <x:v>https://data.jrc.ec.europa.eu/dataset/f41a22f1-5741-4c41-86eb-6384654f6927</x:v>
      </x:c>
    </x:row>
    <x:row r="1228" ht="23" customHeight="1">
      <x:c r="A1228" s="2" t="str">
        <x:v>CMR</x:v>
      </x:c>
      <x:c r="B1228" s="2" t="str">
        <x:v>Cameroon (Republic of)</x:v>
      </x:c>
      <x:c r="C1228" s="2" t="n">
        <x:v>2020</x:v>
      </x:c>
      <x:c r="D1228" s="2" t="str">
        <x:v>OBAT_FOOTPRINT</x:v>
      </x:c>
      <x:c r="E1228" s="17" t="n">
        <x:v>577057207.8100005</x:v>
      </x:c>
      <x:c r="F1228" s="17" t="n">
        <x:f>IF(AND(M1228,ISNUMBER(R1228)),IF(D1228="TEMPO_PROXY",R1228,IF(AND(ISNUMBER(S1228),S1228&gt;0,ISNUMBER(U1228)),U1228*R1228/S1228,"n.a.")),"n.a.")</x:f>
        <x:v>666649164.5600008</x:v>
      </x:c>
      <x:c r="G1228" s="17" t="n">
        <x:f>IF(AND(ISNUMBER(E1228),ISNUMBER(F1228)),E1228-F1228,"n.a.")</x:f>
        <x:v>-89591956.75000024</x:v>
      </x:c>
      <x:c r="H1228" s="15" t="n">
        <x:f>IF(AND(ISNUMBER(E1228),ISNUMBER(F1228),F1228&gt;0),(E1228-F1228)/F1228,"n.a.")</x:f>
        <x:v>-0.13439146332558952</x:v>
      </x:c>
      <x:c r="I1228" s="19" t="n">
        <x:f>IF(ISNUMBER(H1228),ABS(H1228),"n.a.")</x:f>
        <x:v>0.13439146332558952</x:v>
      </x:c>
      <x:c r="J1228" s="2" t="str">
        <x:v>available</x:v>
      </x:c>
      <x:c r="K1228" s="2" t="n">
        <x:v>1</x:v>
      </x:c>
      <x:c r="L1228" s="13" t="b">
        <x:v>0</x:v>
      </x:c>
      <x:c r="M1228" s="13" t="b">
        <x:v>1</x:v>
      </x:c>
      <x:c r="N1228" s="2" t="str">
        <x:v>nominal2020; Overture geometry2024-07-22.0; height support2018</x:v>
      </x:c>
      <x:c r="O1228" s="2" t="str"/>
      <x:c r="P1228" s="2" t="str">
        <x:v>included-footprint horizontal area</x:v>
      </x:c>
      <x:c r="Q1228" s="2" t="str">
        <x:v>m2</x:v>
      </x:c>
      <x:c r="R1228" s="17" t="n">
        <x:v>666649164.5600001</x:v>
      </x:c>
      <x:c r="S1228" s="17" t="n">
        <x:v>577057207.81</x:v>
      </x:c>
      <x:c r="T1228" s="18" t="n">
        <x:v>1.000000000000001</x:v>
      </x:c>
      <x:c r="U1228" s="17" t="n">
        <x:v>577057207.8100005</x:v>
      </x:c>
      <x:c r="V1228" s="2" t="str">
        <x:v>Area equivalent = model2020 * OBAT footprint / TEMPO2020 footprint</x:v>
      </x:c>
      <x:c r="W1228" s="2" t="str">
        <x:v>qualified_source_frame_numeric_summary</x:v>
      </x:c>
      <x:c r="X1228" s="2" t="str">
        <x:v>https://data.jrc.ec.europa.eu/dataset/f41a22f1-5741-4c41-86eb-6384654f6927</x:v>
      </x:c>
    </x:row>
    <x:row r="1229" ht="23" customHeight="1">
      <x:c r="A1229" s="2" t="str">
        <x:v>COD</x:v>
      </x:c>
      <x:c r="B1229" s="2" t="str">
        <x:v>Congo (Democratic Republic of the)</x:v>
      </x:c>
      <x:c r="C1229" s="2" t="n">
        <x:v>2020</x:v>
      </x:c>
      <x:c r="D1229" s="2" t="str">
        <x:v>OBAT_FOOTPRINT</x:v>
      </x:c>
      <x:c r="E1229" s="17" t="n">
        <x:v>941825698.8399988</x:v>
      </x:c>
      <x:c r="F1229" s="17" t="n">
        <x:f>IF(AND(M1229,ISNUMBER(R1229)),IF(D1229="TEMPO_PROXY",R1229,IF(AND(ISNUMBER(S1229),S1229&gt;0,ISNUMBER(U1229)),U1229*R1229/S1229,"n.a.")),"n.a.")</x:f>
        <x:v>1094463711.1699986</x:v>
      </x:c>
      <x:c r="G1229" s="17" t="n">
        <x:f>IF(AND(ISNUMBER(E1229),ISNUMBER(F1229)),E1229-F1229,"n.a.")</x:f>
        <x:v>-152638012.3299998</x:v>
      </x:c>
      <x:c r="H1229" s="15" t="n">
        <x:f>IF(AND(ISNUMBER(E1229),ISNUMBER(F1229),F1229&gt;0),(E1229-F1229)/F1229,"n.a.")</x:f>
        <x:v>-0.13946374902355366</x:v>
      </x:c>
      <x:c r="I1229" s="19" t="n">
        <x:f>IF(ISNUMBER(H1229),ABS(H1229),"n.a.")</x:f>
        <x:v>0.13946374902355366</x:v>
      </x:c>
      <x:c r="J1229" s="2" t="str">
        <x:v>available</x:v>
      </x:c>
      <x:c r="K1229" s="2" t="n">
        <x:v>1</x:v>
      </x:c>
      <x:c r="L1229" s="13" t="b">
        <x:v>0</x:v>
      </x:c>
      <x:c r="M1229" s="13" t="b">
        <x:v>1</x:v>
      </x:c>
      <x:c r="N1229" s="2" t="str">
        <x:v>nominal2020; Overture geometry2024-07-22.0; height support2018</x:v>
      </x:c>
      <x:c r="O1229" s="2" t="str"/>
      <x:c r="P1229" s="2" t="str">
        <x:v>included-footprint horizontal area</x:v>
      </x:c>
      <x:c r="Q1229" s="2" t="str">
        <x:v>m2</x:v>
      </x:c>
      <x:c r="R1229" s="17" t="n">
        <x:v>1094463711.17</x:v>
      </x:c>
      <x:c r="S1229" s="17" t="n">
        <x:v>941825698.84</x:v>
      </x:c>
      <x:c r="T1229" s="18" t="n">
        <x:v>0.9999999999999988</x:v>
      </x:c>
      <x:c r="U1229" s="17" t="n">
        <x:v>941825698.8399988</x:v>
      </x:c>
      <x:c r="V1229" s="2" t="str">
        <x:v>Area equivalent = model2020 * OBAT footprint / TEMPO2020 footprint</x:v>
      </x:c>
      <x:c r="W1229" s="2" t="str">
        <x:v>qualified_source_frame_numeric_summary</x:v>
      </x:c>
      <x:c r="X1229" s="2" t="str">
        <x:v>https://data.jrc.ec.europa.eu/dataset/f41a22f1-5741-4c41-86eb-6384654f6927</x:v>
      </x:c>
    </x:row>
    <x:row r="1230" ht="23" customHeight="1">
      <x:c r="A1230" s="2" t="str">
        <x:v>COG</x:v>
      </x:c>
      <x:c r="B1230" s="2" t="str">
        <x:v>Congo (Republic of the)</x:v>
      </x:c>
      <x:c r="C1230" s="2" t="n">
        <x:v>2020</x:v>
      </x:c>
      <x:c r="D1230" s="2" t="str">
        <x:v>OBAT_FOOTPRINT</x:v>
      </x:c>
      <x:c r="E1230" s="17" t="n">
        <x:v>110620071.65000013</x:v>
      </x:c>
      <x:c r="F1230" s="17" t="n">
        <x:f>IF(AND(M1230,ISNUMBER(R1230)),IF(D1230="TEMPO_PROXY",R1230,IF(AND(ISNUMBER(S1230),S1230&gt;0,ISNUMBER(U1230)),U1230*R1230/S1230,"n.a.")),"n.a.")</x:f>
        <x:v>112336290.71000011</x:v>
      </x:c>
      <x:c r="G1230" s="17" t="n">
        <x:f>IF(AND(ISNUMBER(E1230),ISNUMBER(F1230)),E1230-F1230,"n.a.")</x:f>
        <x:v>-1716219.0599999875</x:v>
      </x:c>
      <x:c r="H1230" s="15" t="n">
        <x:f>IF(AND(ISNUMBER(E1230),ISNUMBER(F1230),F1230&gt;0),(E1230-F1230)/F1230,"n.a.")</x:f>
        <x:v>-0.015277512272774471</x:v>
      </x:c>
      <x:c r="I1230" s="19" t="n">
        <x:f>IF(ISNUMBER(H1230),ABS(H1230),"n.a.")</x:f>
        <x:v>0.015277512272774471</x:v>
      </x:c>
      <x:c r="J1230" s="2" t="str">
        <x:v>available</x:v>
      </x:c>
      <x:c r="K1230" s="2" t="n">
        <x:v>1</x:v>
      </x:c>
      <x:c r="L1230" s="13" t="b">
        <x:v>0</x:v>
      </x:c>
      <x:c r="M1230" s="13" t="b">
        <x:v>1</x:v>
      </x:c>
      <x:c r="N1230" s="2" t="str">
        <x:v>nominal2020; Overture geometry2024-07-22.0; height support2018</x:v>
      </x:c>
      <x:c r="O1230" s="2" t="str"/>
      <x:c r="P1230" s="2" t="str">
        <x:v>included-footprint horizontal area</x:v>
      </x:c>
      <x:c r="Q1230" s="2" t="str">
        <x:v>m2</x:v>
      </x:c>
      <x:c r="R1230" s="17" t="n">
        <x:v>112336290.71</x:v>
      </x:c>
      <x:c r="S1230" s="17" t="n">
        <x:v>110620071.65</x:v>
      </x:c>
      <x:c r="T1230" s="18" t="n">
        <x:v>1.000000000000001</x:v>
      </x:c>
      <x:c r="U1230" s="17" t="n">
        <x:v>110620071.65000013</x:v>
      </x:c>
      <x:c r="V1230" s="2" t="str">
        <x:v>Area equivalent = model2020 * OBAT footprint / TEMPO2020 footprint</x:v>
      </x:c>
      <x:c r="W1230" s="2" t="str">
        <x:v>qualified_source_frame_numeric_summary</x:v>
      </x:c>
      <x:c r="X1230" s="2" t="str">
        <x:v>https://data.jrc.ec.europa.eu/dataset/f41a22f1-5741-4c41-86eb-6384654f6927</x:v>
      </x:c>
    </x:row>
    <x:row r="1231" ht="23" customHeight="1">
      <x:c r="A1231" s="2" t="str">
        <x:v>COL</x:v>
      </x:c>
      <x:c r="B1231" s="2" t="str">
        <x:v>Colombia (Republic of)</x:v>
      </x:c>
      <x:c r="C1231" s="2" t="n">
        <x:v>2020</x:v>
      </x:c>
      <x:c r="D1231" s="2" t="str">
        <x:v>OBAT_FOOTPRINT</x:v>
      </x:c>
      <x:c r="E1231" s="17" t="n">
        <x:v>1505534156.3100014</x:v>
      </x:c>
      <x:c r="F1231" s="17" t="n">
        <x:f>IF(AND(M1231,ISNUMBER(R1231)),IF(D1231="TEMPO_PROXY",R1231,IF(AND(ISNUMBER(S1231),S1231&gt;0,ISNUMBER(U1231)),U1231*R1231/S1231,"n.a.")),"n.a.")</x:f>
        <x:v>1688934703.8100014</x:v>
      </x:c>
      <x:c r="G1231" s="17" t="n">
        <x:f>IF(AND(ISNUMBER(E1231),ISNUMBER(F1231)),E1231-F1231,"n.a.")</x:f>
        <x:v>-183400547.5</x:v>
      </x:c>
      <x:c r="H1231" s="15" t="n">
        <x:f>IF(AND(ISNUMBER(E1231),ISNUMBER(F1231),F1231&gt;0),(E1231-F1231)/F1231,"n.a.")</x:f>
        <x:v>-0.10858948370607456</x:v>
      </x:c>
      <x:c r="I1231" s="19" t="n">
        <x:f>IF(ISNUMBER(H1231),ABS(H1231),"n.a.")</x:f>
        <x:v>0.10858948370607456</x:v>
      </x:c>
      <x:c r="J1231" s="2" t="str">
        <x:v>available</x:v>
      </x:c>
      <x:c r="K1231" s="2" t="n">
        <x:v>1</x:v>
      </x:c>
      <x:c r="L1231" s="13" t="b">
        <x:v>0</x:v>
      </x:c>
      <x:c r="M1231" s="13" t="b">
        <x:v>1</x:v>
      </x:c>
      <x:c r="N1231" s="2" t="str">
        <x:v>nominal2020; Overture geometry2024-07-22.0; height support2018</x:v>
      </x:c>
      <x:c r="O1231" s="2" t="str"/>
      <x:c r="P1231" s="2" t="str">
        <x:v>included-footprint horizontal area</x:v>
      </x:c>
      <x:c r="Q1231" s="2" t="str">
        <x:v>m2</x:v>
      </x:c>
      <x:c r="R1231" s="17" t="n">
        <x:v>1688934703.81</x:v>
      </x:c>
      <x:c r="S1231" s="17" t="n">
        <x:v>1505534156.31</x:v>
      </x:c>
      <x:c r="T1231" s="18" t="n">
        <x:v>1.0000000000000009</x:v>
      </x:c>
      <x:c r="U1231" s="17" t="n">
        <x:v>1505534156.3100014</x:v>
      </x:c>
      <x:c r="V1231" s="2" t="str">
        <x:v>Area equivalent = model2020 * OBAT footprint / TEMPO2020 footprint</x:v>
      </x:c>
      <x:c r="W1231" s="2" t="str">
        <x:v>qualified_source_frame_numeric_summary</x:v>
      </x:c>
      <x:c r="X1231" s="2" t="str">
        <x:v>https://data.jrc.ec.europa.eu/dataset/f41a22f1-5741-4c41-86eb-6384654f6927</x:v>
      </x:c>
    </x:row>
    <x:row r="1232" ht="23" customHeight="1">
      <x:c r="A1232" s="2" t="str">
        <x:v>COM</x:v>
      </x:c>
      <x:c r="B1232" s="2" t="str">
        <x:v>Comoros (Union of the)</x:v>
      </x:c>
      <x:c r="C1232" s="2" t="n">
        <x:v>2020</x:v>
      </x:c>
      <x:c r="D1232" s="2" t="str">
        <x:v>OBAT_FOOTPRINT</x:v>
      </x:c>
      <x:c r="E1232" s="17" t="n">
        <x:v>18035090.40999997</x:v>
      </x:c>
      <x:c r="F1232" s="17" t="n">
        <x:f>IF(AND(M1232,ISNUMBER(R1232)),IF(D1232="TEMPO_PROXY",R1232,IF(AND(ISNUMBER(S1232),S1232&gt;0,ISNUMBER(U1232)),U1232*R1232/S1232,"n.a.")),"n.a.")</x:f>
        <x:v>18356127.829999972</x:v>
      </x:c>
      <x:c r="G1232" s="17" t="n">
        <x:f>IF(AND(ISNUMBER(E1232),ISNUMBER(F1232)),E1232-F1232,"n.a.")</x:f>
        <x:v>-321037.4200000018</x:v>
      </x:c>
      <x:c r="H1232" s="15" t="n">
        <x:f>IF(AND(ISNUMBER(E1232),ISNUMBER(F1232),F1232&gt;0),(E1232-F1232)/F1232,"n.a.")</x:f>
        <x:v>-0.017489386812578233</x:v>
      </x:c>
      <x:c r="I1232" s="19" t="n">
        <x:f>IF(ISNUMBER(H1232),ABS(H1232),"n.a.")</x:f>
        <x:v>0.017489386812578233</x:v>
      </x:c>
      <x:c r="J1232" s="2" t="str">
        <x:v>available</x:v>
      </x:c>
      <x:c r="K1232" s="2" t="n">
        <x:v>1</x:v>
      </x:c>
      <x:c r="L1232" s="13" t="b">
        <x:v>0</x:v>
      </x:c>
      <x:c r="M1232" s="13" t="b">
        <x:v>1</x:v>
      </x:c>
      <x:c r="N1232" s="2" t="str">
        <x:v>nominal2020; Overture geometry2024-07-22.0; height support2018</x:v>
      </x:c>
      <x:c r="O1232" s="2" t="str"/>
      <x:c r="P1232" s="2" t="str">
        <x:v>included-footprint horizontal area</x:v>
      </x:c>
      <x:c r="Q1232" s="2" t="str">
        <x:v>m2</x:v>
      </x:c>
      <x:c r="R1232" s="17" t="n">
        <x:v>18356127.830000002</x:v>
      </x:c>
      <x:c r="S1232" s="17" t="n">
        <x:v>18035090.41</x:v>
      </x:c>
      <x:c r="T1232" s="18" t="n">
        <x:v>0.9999999999999983</x:v>
      </x:c>
      <x:c r="U1232" s="17" t="n">
        <x:v>18035090.40999997</x:v>
      </x:c>
      <x:c r="V1232" s="2" t="str">
        <x:v>Area equivalent = model2020 * OBAT footprint / TEMPO2020 footprint</x:v>
      </x:c>
      <x:c r="W1232" s="2" t="str">
        <x:v>qualified_source_frame_numeric_summary</x:v>
      </x:c>
      <x:c r="X1232" s="2" t="str">
        <x:v>https://data.jrc.ec.europa.eu/dataset/f41a22f1-5741-4c41-86eb-6384654f6927</x:v>
      </x:c>
    </x:row>
    <x:row r="1233" ht="23" customHeight="1">
      <x:c r="A1233" s="2" t="str">
        <x:v>CPV</x:v>
      </x:c>
      <x:c r="B1233" s="2" t="str">
        <x:v>Cabo Verde (Republic of)</x:v>
      </x:c>
      <x:c r="C1233" s="2" t="n">
        <x:v>2020</x:v>
      </x:c>
      <x:c r="D1233" s="2" t="str">
        <x:v>OBAT_FOOTPRINT</x:v>
      </x:c>
      <x:c r="E1233" s="17" t="n">
        <x:v>21833832.63999998</x:v>
      </x:c>
      <x:c r="F1233" s="17" t="n">
        <x:f>IF(AND(M1233,ISNUMBER(R1233)),IF(D1233="TEMPO_PROXY",R1233,IF(AND(ISNUMBER(S1233),S1233&gt;0,ISNUMBER(U1233)),U1233*R1233/S1233,"n.a.")),"n.a.")</x:f>
        <x:v>24491203.40806201</x:v>
      </x:c>
      <x:c r="G1233" s="17" t="n">
        <x:f>IF(AND(ISNUMBER(E1233),ISNUMBER(F1233)),E1233-F1233,"n.a.")</x:f>
        <x:v>-2657370.7680620328</x:v>
      </x:c>
      <x:c r="H1233" s="15" t="n">
        <x:f>IF(AND(ISNUMBER(E1233),ISNUMBER(F1233),F1233&gt;0),(E1233-F1233)/F1233,"n.a.")</x:f>
        <x:v>-0.10850307042026688</x:v>
      </x:c>
      <x:c r="I1233" s="19" t="n">
        <x:f>IF(ISNUMBER(H1233),ABS(H1233),"n.a.")</x:f>
        <x:v>0.10850307042026688</x:v>
      </x:c>
      <x:c r="J1233" s="2" t="str">
        <x:v>available</x:v>
      </x:c>
      <x:c r="K1233" s="2" t="n">
        <x:v>1</x:v>
      </x:c>
      <x:c r="L1233" s="13" t="b">
        <x:v>0</x:v>
      </x:c>
      <x:c r="M1233" s="13" t="b">
        <x:v>1</x:v>
      </x:c>
      <x:c r="N1233" s="2" t="str">
        <x:v>nominal2020; Overture geometry2024-07-22.0; height support2018</x:v>
      </x:c>
      <x:c r="O1233" s="2" t="str"/>
      <x:c r="P1233" s="2" t="str">
        <x:v>included-footprint horizontal area</x:v>
      </x:c>
      <x:c r="Q1233" s="2" t="str">
        <x:v>m2</x:v>
      </x:c>
      <x:c r="R1233" s="17" t="n">
        <x:v>23554643.569999997</x:v>
      </x:c>
      <x:c r="S1233" s="17" t="n">
        <x:v>20998892.42</x:v>
      </x:c>
      <x:c r="T1233" s="18" t="n">
        <x:v>1.0397611551742965</x:v>
      </x:c>
      <x:c r="U1233" s="17" t="n">
        <x:v>21833832.63999998</x:v>
      </x:c>
      <x:c r="V1233" s="2" t="str">
        <x:v>Area equivalent = model2020 * OBAT footprint / TEMPO2020 footprint</x:v>
      </x:c>
      <x:c r="W1233" s="2" t="str">
        <x:v>qualified_source_frame_numeric_summary</x:v>
      </x:c>
      <x:c r="X1233" s="2" t="str">
        <x:v>https://data.jrc.ec.europa.eu/dataset/f41a22f1-5741-4c41-86eb-6384654f6927</x:v>
      </x:c>
    </x:row>
    <x:row r="1234" ht="23" customHeight="1">
      <x:c r="A1234" s="2" t="str">
        <x:v>CRI</x:v>
      </x:c>
      <x:c r="B1234" s="2" t="str">
        <x:v>Costa Rica (Republic of)</x:v>
      </x:c>
      <x:c r="C1234" s="2" t="n">
        <x:v>2020</x:v>
      </x:c>
      <x:c r="D1234" s="2" t="str">
        <x:v>OBAT_FOOTPRINT</x:v>
      </x:c>
      <x:c r="E1234" s="17" t="n">
        <x:v>284786315.38999987</x:v>
      </x:c>
      <x:c r="F1234" s="17" t="n">
        <x:f>IF(AND(M1234,ISNUMBER(R1234)),IF(D1234="TEMPO_PROXY",R1234,IF(AND(ISNUMBER(S1234),S1234&gt;0,ISNUMBER(U1234)),U1234*R1234/S1234,"n.a.")),"n.a.")</x:f>
        <x:v>326717226.9999998</x:v>
      </x:c>
      <x:c r="G1234" s="17" t="n">
        <x:f>IF(AND(ISNUMBER(E1234),ISNUMBER(F1234)),E1234-F1234,"n.a.")</x:f>
        <x:v>-41930911.609999955</x:v>
      </x:c>
      <x:c r="H1234" s="15" t="n">
        <x:f>IF(AND(ISNUMBER(E1234),ISNUMBER(F1234),F1234&gt;0),(E1234-F1234)/F1234,"n.a.")</x:f>
        <x:v>-0.12834006946930893</x:v>
      </x:c>
      <x:c r="I1234" s="19" t="n">
        <x:f>IF(ISNUMBER(H1234),ABS(H1234),"n.a.")</x:f>
        <x:v>0.12834006946930893</x:v>
      </x:c>
      <x:c r="J1234" s="2" t="str">
        <x:v>available</x:v>
      </x:c>
      <x:c r="K1234" s="2" t="n">
        <x:v>1</x:v>
      </x:c>
      <x:c r="L1234" s="13" t="b">
        <x:v>0</x:v>
      </x:c>
      <x:c r="M1234" s="13" t="b">
        <x:v>1</x:v>
      </x:c>
      <x:c r="N1234" s="2" t="str">
        <x:v>nominal2020; Overture geometry2024-07-22.0; height support2018</x:v>
      </x:c>
      <x:c r="O1234" s="2" t="str"/>
      <x:c r="P1234" s="2" t="str">
        <x:v>included-footprint horizontal area</x:v>
      </x:c>
      <x:c r="Q1234" s="2" t="str">
        <x:v>m2</x:v>
      </x:c>
      <x:c r="R1234" s="17" t="n">
        <x:v>326717227</x:v>
      </x:c>
      <x:c r="S1234" s="17" t="n">
        <x:v>284786315.39</x:v>
      </x:c>
      <x:c r="T1234" s="18" t="n">
        <x:v>0.9999999999999996</x:v>
      </x:c>
      <x:c r="U1234" s="17" t="n">
        <x:v>284786315.38999987</x:v>
      </x:c>
      <x:c r="V1234" s="2" t="str">
        <x:v>Area equivalent = model2020 * OBAT footprint / TEMPO2020 footprint</x:v>
      </x:c>
      <x:c r="W1234" s="2" t="str">
        <x:v>qualified_source_frame_numeric_summary</x:v>
      </x:c>
      <x:c r="X1234" s="2" t="str">
        <x:v>https://data.jrc.ec.europa.eu/dataset/f41a22f1-5741-4c41-86eb-6384654f6927</x:v>
      </x:c>
    </x:row>
    <x:row r="1235" ht="23" customHeight="1">
      <x:c r="A1235" s="2" t="str">
        <x:v>CUB</x:v>
      </x:c>
      <x:c r="B1235" s="2" t="str">
        <x:v>Cuba (Republic of)</x:v>
      </x:c>
      <x:c r="C1235" s="2" t="n">
        <x:v>2020</x:v>
      </x:c>
      <x:c r="D1235" s="2" t="str">
        <x:v>OBAT_FOOTPRINT</x:v>
      </x:c>
      <x:c r="E1235" s="17" t="n">
        <x:v>360088927.4199998</x:v>
      </x:c>
      <x:c r="F1235" s="17" t="n">
        <x:f>IF(AND(M1235,ISNUMBER(R1235)),IF(D1235="TEMPO_PROXY",R1235,IF(AND(ISNUMBER(S1235),S1235&gt;0,ISNUMBER(U1235)),U1235*R1235/S1235,"n.a.")),"n.a.")</x:f>
        <x:v>381707160.6699997</x:v>
      </x:c>
      <x:c r="G1235" s="17" t="n">
        <x:f>IF(AND(ISNUMBER(E1235),ISNUMBER(F1235)),E1235-F1235,"n.a.")</x:f>
        <x:v>-21618233.24999994</x:v>
      </x:c>
      <x:c r="H1235" s="15" t="n">
        <x:f>IF(AND(ISNUMBER(E1235),ISNUMBER(F1235),F1235&gt;0),(E1235-F1235)/F1235,"n.a.")</x:f>
        <x:v>-0.05663565025097792</x:v>
      </x:c>
      <x:c r="I1235" s="19" t="n">
        <x:f>IF(ISNUMBER(H1235),ABS(H1235),"n.a.")</x:f>
        <x:v>0.05663565025097792</x:v>
      </x:c>
      <x:c r="J1235" s="2" t="str">
        <x:v>available</x:v>
      </x:c>
      <x:c r="K1235" s="2" t="n">
        <x:v>1</x:v>
      </x:c>
      <x:c r="L1235" s="13" t="b">
        <x:v>0</x:v>
      </x:c>
      <x:c r="M1235" s="13" t="b">
        <x:v>1</x:v>
      </x:c>
      <x:c r="N1235" s="2" t="str">
        <x:v>nominal2020; Overture geometry2024-07-22.0; height support2018</x:v>
      </x:c>
      <x:c r="O1235" s="2" t="str"/>
      <x:c r="P1235" s="2" t="str">
        <x:v>included-footprint horizontal area</x:v>
      </x:c>
      <x:c r="Q1235" s="2" t="str">
        <x:v>m2</x:v>
      </x:c>
      <x:c r="R1235" s="17" t="n">
        <x:v>381707160.67</x:v>
      </x:c>
      <x:c r="S1235" s="17" t="n">
        <x:v>360088927.42</x:v>
      </x:c>
      <x:c r="T1235" s="18" t="n">
        <x:v>0.9999999999999993</x:v>
      </x:c>
      <x:c r="U1235" s="17" t="n">
        <x:v>360088927.4199998</x:v>
      </x:c>
      <x:c r="V1235" s="2" t="str">
        <x:v>Area equivalent = model2020 * OBAT footprint / TEMPO2020 footprint</x:v>
      </x:c>
      <x:c r="W1235" s="2" t="str">
        <x:v>qualified_source_frame_numeric_summary</x:v>
      </x:c>
      <x:c r="X1235" s="2" t="str">
        <x:v>https://data.jrc.ec.europa.eu/dataset/f41a22f1-5741-4c41-86eb-6384654f6927</x:v>
      </x:c>
    </x:row>
    <x:row r="1236" ht="23" customHeight="1">
      <x:c r="A1236" s="2" t="str">
        <x:v>CYP</x:v>
      </x:c>
      <x:c r="B1236" s="2" t="str">
        <x:v>Cyprus (Republic of)</x:v>
      </x:c>
      <x:c r="C1236" s="2" t="n">
        <x:v>2020</x:v>
      </x:c>
      <x:c r="D1236" s="2" t="str">
        <x:v>OBAT_FOOTPRINT</x:v>
      </x:c>
      <x:c r="E1236" s="17" t="n">
        <x:v>124124771.75000016</x:v>
      </x:c>
      <x:c r="F1236" s="17" t="n">
        <x:f>IF(AND(M1236,ISNUMBER(R1236)),IF(D1236="TEMPO_PROXY",R1236,IF(AND(ISNUMBER(S1236),S1236&gt;0,ISNUMBER(U1236)),U1236*R1236/S1236,"n.a.")),"n.a.")</x:f>
        <x:v>87527885.44000012</x:v>
      </x:c>
      <x:c r="G1236" s="17" t="n">
        <x:f>IF(AND(ISNUMBER(E1236),ISNUMBER(F1236)),E1236-F1236,"n.a.")</x:f>
        <x:v>36596886.31000005</x:v>
      </x:c>
      <x:c r="H1236" s="15" t="n">
        <x:f>IF(AND(ISNUMBER(E1236),ISNUMBER(F1236),F1236&gt;0),(E1236-F1236)/F1236,"n.a.")</x:f>
        <x:v>0.4181168792782845</x:v>
      </x:c>
      <x:c r="I1236" s="19" t="n">
        <x:f>IF(ISNUMBER(H1236),ABS(H1236),"n.a.")</x:f>
        <x:v>0.4181168792782845</x:v>
      </x:c>
      <x:c r="J1236" s="2" t="str">
        <x:v>available</x:v>
      </x:c>
      <x:c r="K1236" s="2" t="n">
        <x:v>1</x:v>
      </x:c>
      <x:c r="L1236" s="13" t="b">
        <x:v>0</x:v>
      </x:c>
      <x:c r="M1236" s="13" t="b">
        <x:v>1</x:v>
      </x:c>
      <x:c r="N1236" s="2" t="str">
        <x:v>nominal2020; Overture geometry2024-07-22.0; height support2018</x:v>
      </x:c>
      <x:c r="O1236" s="2" t="str"/>
      <x:c r="P1236" s="2" t="str">
        <x:v>included-footprint horizontal area</x:v>
      </x:c>
      <x:c r="Q1236" s="2" t="str">
        <x:v>m2</x:v>
      </x:c>
      <x:c r="R1236" s="17" t="n">
        <x:v>87527885.44</x:v>
      </x:c>
      <x:c r="S1236" s="17" t="n">
        <x:v>124124771.75</x:v>
      </x:c>
      <x:c r="T1236" s="18" t="n">
        <x:v>1.0000000000000013</x:v>
      </x:c>
      <x:c r="U1236" s="17" t="n">
        <x:v>124124771.75000016</x:v>
      </x:c>
      <x:c r="V1236" s="2" t="str">
        <x:v>Area equivalent = model2020 * OBAT footprint / TEMPO2020 footprint</x:v>
      </x:c>
      <x:c r="W1236" s="2" t="str">
        <x:v>qualified_source_frame_numeric_summary</x:v>
      </x:c>
      <x:c r="X1236" s="2" t="str">
        <x:v>https://data.jrc.ec.europa.eu/dataset/f41a22f1-5741-4c41-86eb-6384654f6927</x:v>
      </x:c>
    </x:row>
    <x:row r="1237" ht="23" customHeight="1">
      <x:c r="A1237" s="2" t="str">
        <x:v>CZE</x:v>
      </x:c>
      <x:c r="B1237" s="2" t="str">
        <x:v>Czechia (Czech Republic)</x:v>
      </x:c>
      <x:c r="C1237" s="2" t="n">
        <x:v>2020</x:v>
      </x:c>
      <x:c r="D1237" s="2" t="str">
        <x:v>OBAT_FOOTPRINT</x:v>
      </x:c>
      <x:c r="E1237" s="17" t="n">
        <x:v>853858176.0500003</x:v>
      </x:c>
      <x:c r="F1237" s="17" t="n">
        <x:f>IF(AND(M1237,ISNUMBER(R1237)),IF(D1237="TEMPO_PROXY",R1237,IF(AND(ISNUMBER(S1237),S1237&gt;0,ISNUMBER(U1237)),U1237*R1237/S1237,"n.a.")),"n.a.")</x:f>
        <x:v>879230509.8996314</x:v>
      </x:c>
      <x:c r="G1237" s="17" t="n">
        <x:f>IF(AND(ISNUMBER(E1237),ISNUMBER(F1237)),E1237-F1237,"n.a.")</x:f>
        <x:v>-25372333.84963107</x:v>
      </x:c>
      <x:c r="H1237" s="15" t="n">
        <x:f>IF(AND(ISNUMBER(E1237),ISNUMBER(F1237),F1237&gt;0),(E1237-F1237)/F1237,"n.a.")</x:f>
        <x:v>-0.028857431087699007</x:v>
      </x:c>
      <x:c r="I1237" s="19" t="n">
        <x:f>IF(ISNUMBER(H1237),ABS(H1237),"n.a.")</x:f>
        <x:v>0.028857431087699007</x:v>
      </x:c>
      <x:c r="J1237" s="2" t="str">
        <x:v>available</x:v>
      </x:c>
      <x:c r="K1237" s="2" t="n">
        <x:v>1</x:v>
      </x:c>
      <x:c r="L1237" s="13" t="b">
        <x:v>0</x:v>
      </x:c>
      <x:c r="M1237" s="13" t="b">
        <x:v>1</x:v>
      </x:c>
      <x:c r="N1237" s="2" t="str">
        <x:v>nominal2020; Overture geometry2024-07-22.0; height support2018</x:v>
      </x:c>
      <x:c r="O1237" s="2" t="str"/>
      <x:c r="P1237" s="2" t="str">
        <x:v>included-footprint horizontal area</x:v>
      </x:c>
      <x:c r="Q1237" s="2" t="str">
        <x:v>m2</x:v>
      </x:c>
      <x:c r="R1237" s="17" t="n">
        <x:v>857544114.54</x:v>
      </x:c>
      <x:c r="S1237" s="17" t="n">
        <x:v>832797594.35</x:v>
      </x:c>
      <x:c r="T1237" s="18" t="n">
        <x:v>1.025288955975477</x:v>
      </x:c>
      <x:c r="U1237" s="17" t="n">
        <x:v>853858176.0500003</x:v>
      </x:c>
      <x:c r="V1237" s="2" t="str">
        <x:v>Area equivalent = model2020 * OBAT footprint / TEMPO2020 footprint</x:v>
      </x:c>
      <x:c r="W1237" s="2" t="str">
        <x:v>qualified_source_frame_numeric_summary</x:v>
      </x:c>
      <x:c r="X1237" s="2" t="str">
        <x:v>https://data.jrc.ec.europa.eu/dataset/f41a22f1-5741-4c41-86eb-6384654f6927</x:v>
      </x:c>
    </x:row>
    <x:row r="1238" ht="23" customHeight="1">
      <x:c r="A1238" s="2" t="str">
        <x:v>DEU</x:v>
      </x:c>
      <x:c r="B1238" s="2" t="str">
        <x:v>Germany (Federal Republic of)</x:v>
      </x:c>
      <x:c r="C1238" s="2" t="n">
        <x:v>2020</x:v>
      </x:c>
      <x:c r="D1238" s="2" t="str">
        <x:v>OBAT_FOOTPRINT</x:v>
      </x:c>
      <x:c r="E1238" s="17" t="n">
        <x:v>6611215465.220001</x:v>
      </x:c>
      <x:c r="F1238" s="17" t="n">
        <x:f>IF(AND(M1238,ISNUMBER(R1238)),IF(D1238="TEMPO_PROXY",R1238,IF(AND(ISNUMBER(S1238),S1238&gt;0,ISNUMBER(U1238)),U1238*R1238/S1238,"n.a.")),"n.a.")</x:f>
        <x:v>6917703212.474418</x:v>
      </x:c>
      <x:c r="G1238" s="17" t="n">
        <x:f>IF(AND(ISNUMBER(E1238),ISNUMBER(F1238)),E1238-F1238,"n.a.")</x:f>
        <x:v>-306487747.25441647</x:v>
      </x:c>
      <x:c r="H1238" s="15" t="n">
        <x:f>IF(AND(ISNUMBER(E1238),ISNUMBER(F1238),F1238&gt;0),(E1238-F1238)/F1238,"n.a.")</x:f>
        <x:v>-0.0443048419165684</x:v>
      </x:c>
      <x:c r="I1238" s="19" t="n">
        <x:f>IF(ISNUMBER(H1238),ABS(H1238),"n.a.")</x:f>
        <x:v>0.0443048419165684</x:v>
      </x:c>
      <x:c r="J1238" s="2" t="str">
        <x:v>available</x:v>
      </x:c>
      <x:c r="K1238" s="2" t="n">
        <x:v>1</x:v>
      </x:c>
      <x:c r="L1238" s="13" t="b">
        <x:v>0</x:v>
      </x:c>
      <x:c r="M1238" s="13" t="b">
        <x:v>1</x:v>
      </x:c>
      <x:c r="N1238" s="2" t="str">
        <x:v>nominal2020; Overture geometry2024-07-22.0; height support2018</x:v>
      </x:c>
      <x:c r="O1238" s="2" t="str"/>
      <x:c r="P1238" s="2" t="str">
        <x:v>included-footprint horizontal area</x:v>
      </x:c>
      <x:c r="Q1238" s="2" t="str">
        <x:v>m2</x:v>
      </x:c>
      <x:c r="R1238" s="17" t="n">
        <x:v>6601195123.34</x:v>
      </x:c>
      <x:c r="S1238" s="17" t="n">
        <x:v>6308730216.94</x:v>
      </x:c>
      <x:c r="T1238" s="18" t="n">
        <x:v>1.0479470888559759</x:v>
      </x:c>
      <x:c r="U1238" s="17" t="n">
        <x:v>6611215465.220001</x:v>
      </x:c>
      <x:c r="V1238" s="2" t="str">
        <x:v>Area equivalent = model2020 * OBAT footprint / TEMPO2020 footprint</x:v>
      </x:c>
      <x:c r="W1238" s="2" t="str">
        <x:v>qualified_source_frame_numeric_summary</x:v>
      </x:c>
      <x:c r="X1238" s="2" t="str">
        <x:v>https://data.jrc.ec.europa.eu/dataset/f41a22f1-5741-4c41-86eb-6384654f6927</x:v>
      </x:c>
    </x:row>
    <x:row r="1239" ht="23" customHeight="1">
      <x:c r="A1239" s="2" t="str">
        <x:v>DJI</x:v>
      </x:c>
      <x:c r="B1239" s="2" t="str">
        <x:v>Djibouti (Republic of)</x:v>
      </x:c>
      <x:c r="C1239" s="2" t="n">
        <x:v>2020</x:v>
      </x:c>
      <x:c r="D1239" s="2" t="str">
        <x:v>OBAT_FOOTPRINT</x:v>
      </x:c>
      <x:c r="E1239" s="17" t="n">
        <x:v>12588327.629999984</x:v>
      </x:c>
      <x:c r="F1239" s="17" t="n">
        <x:f>IF(AND(M1239,ISNUMBER(R1239)),IF(D1239="TEMPO_PROXY",R1239,IF(AND(ISNUMBER(S1239),S1239&gt;0,ISNUMBER(U1239)),U1239*R1239/S1239,"n.a.")),"n.a.")</x:f>
        <x:v>14481701.668288015</x:v>
      </x:c>
      <x:c r="G1239" s="17" t="n">
        <x:f>IF(AND(ISNUMBER(E1239),ISNUMBER(F1239)),E1239-F1239,"n.a.")</x:f>
        <x:v>-1893374.0382880308</x:v>
      </x:c>
      <x:c r="H1239" s="15" t="n">
        <x:f>IF(AND(ISNUMBER(E1239),ISNUMBER(F1239),F1239&gt;0),(E1239-F1239)/F1239,"n.a.")</x:f>
        <x:v>-0.130742510904926</x:v>
      </x:c>
      <x:c r="I1239" s="19" t="n">
        <x:f>IF(ISNUMBER(H1239),ABS(H1239),"n.a.")</x:f>
        <x:v>0.130742510904926</x:v>
      </x:c>
      <x:c r="J1239" s="2" t="str">
        <x:v>available</x:v>
      </x:c>
      <x:c r="K1239" s="2" t="n">
        <x:v>1</x:v>
      </x:c>
      <x:c r="L1239" s="13" t="b">
        <x:v>0</x:v>
      </x:c>
      <x:c r="M1239" s="13" t="b">
        <x:v>1</x:v>
      </x:c>
      <x:c r="N1239" s="2" t="str">
        <x:v>nominal2020; Overture geometry2024-07-22.0; height support2018</x:v>
      </x:c>
      <x:c r="O1239" s="2" t="str"/>
      <x:c r="P1239" s="2" t="str">
        <x:v>included-footprint horizontal area</x:v>
      </x:c>
      <x:c r="Q1239" s="2" t="str">
        <x:v>m2</x:v>
      </x:c>
      <x:c r="R1239" s="17" t="n">
        <x:v>13951179.21</x:v>
      </x:c>
      <x:c r="S1239" s="17" t="n">
        <x:v>12127167.01</x:v>
      </x:c>
      <x:c r="T1239" s="18" t="n">
        <x:v>1.0380270692751006</x:v>
      </x:c>
      <x:c r="U1239" s="17" t="n">
        <x:v>12588327.629999984</x:v>
      </x:c>
      <x:c r="V1239" s="2" t="str">
        <x:v>Area equivalent = model2020 * OBAT footprint / TEMPO2020 footprint</x:v>
      </x:c>
      <x:c r="W1239" s="2" t="str">
        <x:v>qualified_source_frame_numeric_summary</x:v>
      </x:c>
      <x:c r="X1239" s="2" t="str">
        <x:v>https://data.jrc.ec.europa.eu/dataset/f41a22f1-5741-4c41-86eb-6384654f6927</x:v>
      </x:c>
    </x:row>
    <x:row r="1240" ht="23" customHeight="1">
      <x:c r="A1240" s="2" t="str">
        <x:v>DMA</x:v>
      </x:c>
      <x:c r="B1240" s="2" t="str">
        <x:v>Dominica (Commonwealth of)</x:v>
      </x:c>
      <x:c r="C1240" s="2" t="n">
        <x:v>2020</x:v>
      </x:c>
      <x:c r="D1240" s="2" t="str">
        <x:v>OBAT_FOOTPRINT</x:v>
      </x:c>
      <x:c r="E1240" s="17" t="n">
        <x:v>3947192.6899999985</x:v>
      </x:c>
      <x:c r="F1240" s="17" t="n">
        <x:f>IF(AND(M1240,ISNUMBER(R1240)),IF(D1240="TEMPO_PROXY",R1240,IF(AND(ISNUMBER(S1240),S1240&gt;0,ISNUMBER(U1240)),U1240*R1240/S1240,"n.a.")),"n.a.")</x:f>
        <x:v>4645179.8700000085</x:v>
      </x:c>
      <x:c r="G1240" s="17" t="n">
        <x:f>IF(AND(ISNUMBER(E1240),ISNUMBER(F1240)),E1240-F1240,"n.a.")</x:f>
        <x:v>-697987.18000001</x:v>
      </x:c>
      <x:c r="H1240" s="15" t="n">
        <x:f>IF(AND(ISNUMBER(E1240),ISNUMBER(F1240),F1240&gt;0),(E1240-F1240)/F1240,"n.a.")</x:f>
        <x:v>-0.15026052801697184</x:v>
      </x:c>
      <x:c r="I1240" s="19" t="n">
        <x:f>IF(ISNUMBER(H1240),ABS(H1240),"n.a.")</x:f>
        <x:v>0.15026052801697184</x:v>
      </x:c>
      <x:c r="J1240" s="2" t="str">
        <x:v>available</x:v>
      </x:c>
      <x:c r="K1240" s="2" t="n">
        <x:v>1</x:v>
      </x:c>
      <x:c r="L1240" s="13" t="b">
        <x:v>0</x:v>
      </x:c>
      <x:c r="M1240" s="13" t="b">
        <x:v>1</x:v>
      </x:c>
      <x:c r="N1240" s="2" t="str">
        <x:v>nominal2020; Overture geometry2024-07-22.0; height support2018</x:v>
      </x:c>
      <x:c r="O1240" s="2" t="str"/>
      <x:c r="P1240" s="2" t="str">
        <x:v>included-footprint horizontal area</x:v>
      </x:c>
      <x:c r="Q1240" s="2" t="str">
        <x:v>m2</x:v>
      </x:c>
      <x:c r="R1240" s="17" t="n">
        <x:v>4645179.87000001</x:v>
      </x:c>
      <x:c r="S1240" s="17" t="n">
        <x:v>3947192.69</x:v>
      </x:c>
      <x:c r="T1240" s="18" t="n">
        <x:v>0.9999999999999997</x:v>
      </x:c>
      <x:c r="U1240" s="17" t="n">
        <x:v>3947192.6899999985</x:v>
      </x:c>
      <x:c r="V1240" s="2" t="str">
        <x:v>Area equivalent = model2020 * OBAT footprint / TEMPO2020 footprint</x:v>
      </x:c>
      <x:c r="W1240" s="2" t="str">
        <x:v>qualified_source_frame_numeric_summary</x:v>
      </x:c>
      <x:c r="X1240" s="2" t="str">
        <x:v>https://data.jrc.ec.europa.eu/dataset/f41a22f1-5741-4c41-86eb-6384654f6927</x:v>
      </x:c>
    </x:row>
    <x:row r="1241" ht="23" customHeight="1">
      <x:c r="A1241" s="2" t="str">
        <x:v>DNK</x:v>
      </x:c>
      <x:c r="B1241" s="2" t="str">
        <x:v>Denmark (Kingdom of)</x:v>
      </x:c>
      <x:c r="C1241" s="2" t="n">
        <x:v>2020</x:v>
      </x:c>
      <x:c r="D1241" s="2" t="str">
        <x:v>OBAT_FOOTPRINT</x:v>
      </x:c>
      <x:c r="E1241" s="17" t="n">
        <x:v>665059716.8900009</x:v>
      </x:c>
      <x:c r="F1241" s="17" t="n">
        <x:f>IF(AND(M1241,ISNUMBER(R1241)),IF(D1241="TEMPO_PROXY",R1241,IF(AND(ISNUMBER(S1241),S1241&gt;0,ISNUMBER(U1241)),U1241*R1241/S1241,"n.a.")),"n.a.")</x:f>
        <x:v>752719249.4983974</x:v>
      </x:c>
      <x:c r="G1241" s="17" t="n">
        <x:f>IF(AND(ISNUMBER(E1241),ISNUMBER(F1241)),E1241-F1241,"n.a.")</x:f>
        <x:v>-87659532.60839641</x:v>
      </x:c>
      <x:c r="H1241" s="15" t="n">
        <x:f>IF(AND(ISNUMBER(E1241),ISNUMBER(F1241),F1241&gt;0),(E1241-F1241)/F1241,"n.a.")</x:f>
        <x:v>-0.11645714211083565</x:v>
      </x:c>
      <x:c r="I1241" s="19" t="n">
        <x:f>IF(ISNUMBER(H1241),ABS(H1241),"n.a.")</x:f>
        <x:v>0.11645714211083565</x:v>
      </x:c>
      <x:c r="J1241" s="2" t="str">
        <x:v>available</x:v>
      </x:c>
      <x:c r="K1241" s="2" t="n">
        <x:v>1</x:v>
      </x:c>
      <x:c r="L1241" s="13" t="b">
        <x:v>0</x:v>
      </x:c>
      <x:c r="M1241" s="13" t="b">
        <x:v>1</x:v>
      </x:c>
      <x:c r="N1241" s="2" t="str">
        <x:v>nominal2020; Overture geometry2024-07-22.0; height support2018</x:v>
      </x:c>
      <x:c r="O1241" s="2" t="str"/>
      <x:c r="P1241" s="2" t="str">
        <x:v>included-footprint horizontal area</x:v>
      </x:c>
      <x:c r="Q1241" s="2" t="str">
        <x:v>m2</x:v>
      </x:c>
      <x:c r="R1241" s="17" t="n">
        <x:v>747820606.8900001</x:v>
      </x:c>
      <x:c r="S1241" s="17" t="n">
        <x:v>660731556.2</x:v>
      </x:c>
      <x:c r="T1241" s="18" t="n">
        <x:v>1.006550558467183</x:v>
      </x:c>
      <x:c r="U1241" s="17" t="n">
        <x:v>665059716.8900009</x:v>
      </x:c>
      <x:c r="V1241" s="2" t="str">
        <x:v>Area equivalent = model2020 * OBAT footprint / TEMPO2020 footprint</x:v>
      </x:c>
      <x:c r="W1241" s="2" t="str">
        <x:v>qualified_source_frame_numeric_summary</x:v>
      </x:c>
      <x:c r="X1241" s="2" t="str">
        <x:v>https://data.jrc.ec.europa.eu/dataset/f41a22f1-5741-4c41-86eb-6384654f6927</x:v>
      </x:c>
    </x:row>
    <x:row r="1242" ht="23" customHeight="1">
      <x:c r="A1242" s="2" t="str">
        <x:v>DOM</x:v>
      </x:c>
      <x:c r="B1242" s="2" t="str">
        <x:v>Dominican Republic</x:v>
      </x:c>
      <x:c r="C1242" s="2" t="n">
        <x:v>2020</x:v>
      </x:c>
      <x:c r="D1242" s="2" t="str">
        <x:v>OBAT_FOOTPRINT</x:v>
      </x:c>
      <x:c r="E1242" s="17" t="n">
        <x:v>336248050.8900004</x:v>
      </x:c>
      <x:c r="F1242" s="17" t="n">
        <x:f>IF(AND(M1242,ISNUMBER(R1242)),IF(D1242="TEMPO_PROXY",R1242,IF(AND(ISNUMBER(S1242),S1242&gt;0,ISNUMBER(U1242)),U1242*R1242/S1242,"n.a.")),"n.a.")</x:f>
        <x:v>368169986.0900005</x:v>
      </x:c>
      <x:c r="G1242" s="17" t="n">
        <x:f>IF(AND(ISNUMBER(E1242),ISNUMBER(F1242)),E1242-F1242,"n.a.")</x:f>
        <x:v>-31921935.200000107</x:v>
      </x:c>
      <x:c r="H1242" s="15" t="n">
        <x:f>IF(AND(ISNUMBER(E1242),ISNUMBER(F1242),F1242&gt;0),(E1242-F1242)/F1242,"n.a.")</x:f>
        <x:v>-0.08670433877300544</x:v>
      </x:c>
      <x:c r="I1242" s="19" t="n">
        <x:f>IF(ISNUMBER(H1242),ABS(H1242),"n.a.")</x:f>
        <x:v>0.08670433877300544</x:v>
      </x:c>
      <x:c r="J1242" s="2" t="str">
        <x:v>available</x:v>
      </x:c>
      <x:c r="K1242" s="2" t="n">
        <x:v>1</x:v>
      </x:c>
      <x:c r="L1242" s="13" t="b">
        <x:v>0</x:v>
      </x:c>
      <x:c r="M1242" s="13" t="b">
        <x:v>1</x:v>
      </x:c>
      <x:c r="N1242" s="2" t="str">
        <x:v>nominal2020; Overture geometry2024-07-22.0; height support2018</x:v>
      </x:c>
      <x:c r="O1242" s="2" t="str"/>
      <x:c r="P1242" s="2" t="str">
        <x:v>included-footprint horizontal area</x:v>
      </x:c>
      <x:c r="Q1242" s="2" t="str">
        <x:v>m2</x:v>
      </x:c>
      <x:c r="R1242" s="17" t="n">
        <x:v>368169986.09000003</x:v>
      </x:c>
      <x:c r="S1242" s="17" t="n">
        <x:v>336248050.89</x:v>
      </x:c>
      <x:c r="T1242" s="18" t="n">
        <x:v>1.0000000000000013</x:v>
      </x:c>
      <x:c r="U1242" s="17" t="n">
        <x:v>336248050.8900004</x:v>
      </x:c>
      <x:c r="V1242" s="2" t="str">
        <x:v>Area equivalent = model2020 * OBAT footprint / TEMPO2020 footprint</x:v>
      </x:c>
      <x:c r="W1242" s="2" t="str">
        <x:v>qualified_source_frame_numeric_summary</x:v>
      </x:c>
      <x:c r="X1242" s="2" t="str">
        <x:v>https://data.jrc.ec.europa.eu/dataset/f41a22f1-5741-4c41-86eb-6384654f6927</x:v>
      </x:c>
    </x:row>
    <x:row r="1243" ht="23" customHeight="1">
      <x:c r="A1243" s="2" t="str">
        <x:v>DZA</x:v>
      </x:c>
      <x:c r="B1243" s="2" t="str">
        <x:v>Algeria (People's Democratic Republic of)</x:v>
      </x:c>
      <x:c r="C1243" s="2" t="n">
        <x:v>2020</x:v>
      </x:c>
      <x:c r="D1243" s="2" t="str">
        <x:v>OBAT_FOOTPRINT</x:v>
      </x:c>
      <x:c r="E1243" s="17" t="n">
        <x:v>1607752786.8799975</x:v>
      </x:c>
      <x:c r="F1243" s="17" t="n">
        <x:f>IF(AND(M1243,ISNUMBER(R1243)),IF(D1243="TEMPO_PROXY",R1243,IF(AND(ISNUMBER(S1243),S1243&gt;0,ISNUMBER(U1243)),U1243*R1243/S1243,"n.a.")),"n.a.")</x:f>
        <x:v>2017944950.4721527</x:v>
      </x:c>
      <x:c r="G1243" s="17" t="n">
        <x:f>IF(AND(ISNUMBER(E1243),ISNUMBER(F1243)),E1243-F1243,"n.a.")</x:f>
        <x:v>-410192163.5921552</x:v>
      </x:c>
      <x:c r="H1243" s="15" t="n">
        <x:f>IF(AND(ISNUMBER(E1243),ISNUMBER(F1243),F1243&gt;0),(E1243-F1243)/F1243,"n.a.")</x:f>
        <x:v>-0.20327222677515544</x:v>
      </x:c>
      <x:c r="I1243" s="19" t="n">
        <x:f>IF(ISNUMBER(H1243),ABS(H1243),"n.a.")</x:f>
        <x:v>0.20327222677515544</x:v>
      </x:c>
      <x:c r="J1243" s="2" t="str">
        <x:v>available</x:v>
      </x:c>
      <x:c r="K1243" s="2" t="n">
        <x:v>1</x:v>
      </x:c>
      <x:c r="L1243" s="13" t="b">
        <x:v>0</x:v>
      </x:c>
      <x:c r="M1243" s="13" t="b">
        <x:v>1</x:v>
      </x:c>
      <x:c r="N1243" s="2" t="str">
        <x:v>nominal2020; Overture geometry2024-07-22.0; height support2018</x:v>
      </x:c>
      <x:c r="O1243" s="2" t="str"/>
      <x:c r="P1243" s="2" t="str">
        <x:v>included-footprint horizontal area</x:v>
      </x:c>
      <x:c r="Q1243" s="2" t="str">
        <x:v>m2</x:v>
      </x:c>
      <x:c r="R1243" s="17" t="n">
        <x:v>1994768693.1599998</x:v>
      </x:c>
      <x:c r="S1243" s="17" t="n">
        <x:v>1589287619</x:v>
      </x:c>
      <x:c r="T1243" s="18" t="n">
        <x:v>1.0116185186741817</x:v>
      </x:c>
      <x:c r="U1243" s="17" t="n">
        <x:v>1607752786.8799975</x:v>
      </x:c>
      <x:c r="V1243" s="2" t="str">
        <x:v>Area equivalent = model2020 * OBAT footprint / TEMPO2020 footprint</x:v>
      </x:c>
      <x:c r="W1243" s="2" t="str">
        <x:v>qualified_source_frame_numeric_summary</x:v>
      </x:c>
      <x:c r="X1243" s="2" t="str">
        <x:v>https://data.jrc.ec.europa.eu/dataset/f41a22f1-5741-4c41-86eb-6384654f6927</x:v>
      </x:c>
    </x:row>
    <x:row r="1244" ht="23" customHeight="1">
      <x:c r="A1244" s="2" t="str">
        <x:v>ECU</x:v>
      </x:c>
      <x:c r="B1244" s="2" t="str">
        <x:v>Ecuador (Republic of)</x:v>
      </x:c>
      <x:c r="C1244" s="2" t="n">
        <x:v>2020</x:v>
      </x:c>
      <x:c r="D1244" s="2" t="str">
        <x:v>OBAT_FOOTPRINT</x:v>
      </x:c>
      <x:c r="E1244" s="17" t="n">
        <x:v>734538215.0500003</x:v>
      </x:c>
      <x:c r="F1244" s="17" t="n">
        <x:f>IF(AND(M1244,ISNUMBER(R1244)),IF(D1244="TEMPO_PROXY",R1244,IF(AND(ISNUMBER(S1244),S1244&gt;0,ISNUMBER(U1244)),U1244*R1244/S1244,"n.a.")),"n.a.")</x:f>
        <x:v>788960654.9500004</x:v>
      </x:c>
      <x:c r="G1244" s="17" t="n">
        <x:f>IF(AND(ISNUMBER(E1244),ISNUMBER(F1244)),E1244-F1244,"n.a.")</x:f>
        <x:v>-54422439.900000095</x:v>
      </x:c>
      <x:c r="H1244" s="15" t="n">
        <x:f>IF(AND(ISNUMBER(E1244),ISNUMBER(F1244),F1244&gt;0),(E1244-F1244)/F1244,"n.a.")</x:f>
        <x:v>-0.06897991624620249</x:v>
      </x:c>
      <x:c r="I1244" s="19" t="n">
        <x:f>IF(ISNUMBER(H1244),ABS(H1244),"n.a.")</x:f>
        <x:v>0.06897991624620249</x:v>
      </x:c>
      <x:c r="J1244" s="2" t="str">
        <x:v>available</x:v>
      </x:c>
      <x:c r="K1244" s="2" t="n">
        <x:v>1</x:v>
      </x:c>
      <x:c r="L1244" s="13" t="b">
        <x:v>0</x:v>
      </x:c>
      <x:c r="M1244" s="13" t="b">
        <x:v>1</x:v>
      </x:c>
      <x:c r="N1244" s="2" t="str">
        <x:v>nominal2020; Overture geometry2024-07-22.0; height support2018</x:v>
      </x:c>
      <x:c r="O1244" s="2" t="str"/>
      <x:c r="P1244" s="2" t="str">
        <x:v>included-footprint horizontal area</x:v>
      </x:c>
      <x:c r="Q1244" s="2" t="str">
        <x:v>m2</x:v>
      </x:c>
      <x:c r="R1244" s="17" t="n">
        <x:v>788960654.95</x:v>
      </x:c>
      <x:c r="S1244" s="17" t="n">
        <x:v>734538215.05</x:v>
      </x:c>
      <x:c r="T1244" s="18" t="n">
        <x:v>1.0000000000000004</x:v>
      </x:c>
      <x:c r="U1244" s="17" t="n">
        <x:v>734538215.0500003</x:v>
      </x:c>
      <x:c r="V1244" s="2" t="str">
        <x:v>Area equivalent = model2020 * OBAT footprint / TEMPO2020 footprint</x:v>
      </x:c>
      <x:c r="W1244" s="2" t="str">
        <x:v>qualified_source_frame_numeric_summary</x:v>
      </x:c>
      <x:c r="X1244" s="2" t="str">
        <x:v>https://data.jrc.ec.europa.eu/dataset/f41a22f1-5741-4c41-86eb-6384654f6927</x:v>
      </x:c>
    </x:row>
    <x:row r="1245" ht="23" customHeight="1">
      <x:c r="A1245" s="2" t="str">
        <x:v>EGY</x:v>
      </x:c>
      <x:c r="B1245" s="2" t="str">
        <x:v>Egypt (Arab Republic of)</x:v>
      </x:c>
      <x:c r="C1245" s="2" t="n">
        <x:v>2020</x:v>
      </x:c>
      <x:c r="D1245" s="2" t="str">
        <x:v>OBAT_FOOTPRINT</x:v>
      </x:c>
      <x:c r="E1245" s="17" t="n">
        <x:v>2954306535.6</x:v>
      </x:c>
      <x:c r="F1245" s="17" t="n">
        <x:f>IF(AND(M1245,ISNUMBER(R1245)),IF(D1245="TEMPO_PROXY",R1245,IF(AND(ISNUMBER(S1245),S1245&gt;0,ISNUMBER(U1245)),U1245*R1245/S1245,"n.a.")),"n.a.")</x:f>
        <x:v>3530873764.1580486</x:v>
      </x:c>
      <x:c r="G1245" s="17" t="n">
        <x:f>IF(AND(ISNUMBER(E1245),ISNUMBER(F1245)),E1245-F1245,"n.a.")</x:f>
        <x:v>-576567228.5580487</x:v>
      </x:c>
      <x:c r="H1245" s="15" t="n">
        <x:f>IF(AND(ISNUMBER(E1245),ISNUMBER(F1245),F1245&gt;0),(E1245-F1245)/F1245,"n.a.")</x:f>
        <x:v>-0.16329307334937632</x:v>
      </x:c>
      <x:c r="I1245" s="19" t="n">
        <x:f>IF(ISNUMBER(H1245),ABS(H1245),"n.a.")</x:f>
        <x:v>0.16329307334937632</x:v>
      </x:c>
      <x:c r="J1245" s="2" t="str">
        <x:v>available</x:v>
      </x:c>
      <x:c r="K1245" s="2" t="n">
        <x:v>1</x:v>
      </x:c>
      <x:c r="L1245" s="13" t="b">
        <x:v>0</x:v>
      </x:c>
      <x:c r="M1245" s="13" t="b">
        <x:v>1</x:v>
      </x:c>
      <x:c r="N1245" s="2" t="str">
        <x:v>nominal2020; Overture geometry2024-07-22.0; height support2018</x:v>
      </x:c>
      <x:c r="O1245" s="2" t="str"/>
      <x:c r="P1245" s="2" t="str">
        <x:v>included-footprint horizontal area</x:v>
      </x:c>
      <x:c r="Q1245" s="2" t="str">
        <x:v>m2</x:v>
      </x:c>
      <x:c r="R1245" s="17" t="n">
        <x:v>2644596818.8500004</x:v>
      </x:c>
      <x:c r="S1245" s="17" t="n">
        <x:v>2212752476.53</x:v>
      </x:c>
      <x:c r="T1245" s="18" t="n">
        <x:v>1.3351274337891113</x:v>
      </x:c>
      <x:c r="U1245" s="17" t="n">
        <x:v>2954306535.6</x:v>
      </x:c>
      <x:c r="V1245" s="2" t="str">
        <x:v>Area equivalent = model2020 * OBAT footprint / TEMPO2020 footprint</x:v>
      </x:c>
      <x:c r="W1245" s="2" t="str">
        <x:v>qualified_source_frame_numeric_summary</x:v>
      </x:c>
      <x:c r="X1245" s="2" t="str">
        <x:v>https://data.jrc.ec.europa.eu/dataset/f41a22f1-5741-4c41-86eb-6384654f6927</x:v>
      </x:c>
    </x:row>
    <x:row r="1246" ht="23" customHeight="1">
      <x:c r="A1246" s="2" t="str">
        <x:v>ERI</x:v>
      </x:c>
      <x:c r="B1246" s="2" t="str">
        <x:v>Eritrea (State of)</x:v>
      </x:c>
      <x:c r="C1246" s="2" t="n">
        <x:v>2020</x:v>
      </x:c>
      <x:c r="D1246" s="2" t="str">
        <x:v>OBAT_FOOTPRINT</x:v>
      </x:c>
      <x:c r="E1246" s="17" t="n">
        <x:v>45298098.329999976</x:v>
      </x:c>
      <x:c r="F1246" s="17" t="n">
        <x:f>IF(AND(M1246,ISNUMBER(R1246)),IF(D1246="TEMPO_PROXY",R1246,IF(AND(ISNUMBER(S1246),S1246&gt;0,ISNUMBER(U1246)),U1246*R1246/S1246,"n.a.")),"n.a.")</x:f>
        <x:v>55887007.30999997</x:v>
      </x:c>
      <x:c r="G1246" s="17" t="n">
        <x:f>IF(AND(ISNUMBER(E1246),ISNUMBER(F1246)),E1246-F1246,"n.a.")</x:f>
        <x:v>-10588908.979999997</x:v>
      </x:c>
      <x:c r="H1246" s="15" t="n">
        <x:f>IF(AND(ISNUMBER(E1246),ISNUMBER(F1246),F1246&gt;0),(E1246-F1246)/F1246,"n.a.")</x:f>
        <x:v>-0.18946995893453938</x:v>
      </x:c>
      <x:c r="I1246" s="19" t="n">
        <x:f>IF(ISNUMBER(H1246),ABS(H1246),"n.a.")</x:f>
        <x:v>0.18946995893453938</x:v>
      </x:c>
      <x:c r="J1246" s="2" t="str">
        <x:v>available</x:v>
      </x:c>
      <x:c r="K1246" s="2" t="n">
        <x:v>1</x:v>
      </x:c>
      <x:c r="L1246" s="13" t="b">
        <x:v>0</x:v>
      </x:c>
      <x:c r="M1246" s="13" t="b">
        <x:v>1</x:v>
      </x:c>
      <x:c r="N1246" s="2" t="str">
        <x:v>nominal2020; Overture geometry2024-07-22.0; height support2018</x:v>
      </x:c>
      <x:c r="O1246" s="2" t="str"/>
      <x:c r="P1246" s="2" t="str">
        <x:v>included-footprint horizontal area</x:v>
      </x:c>
      <x:c r="Q1246" s="2" t="str">
        <x:v>m2</x:v>
      </x:c>
      <x:c r="R1246" s="17" t="n">
        <x:v>55887007.31</x:v>
      </x:c>
      <x:c r="S1246" s="17" t="n">
        <x:v>45298098.33</x:v>
      </x:c>
      <x:c r="T1246" s="18" t="n">
        <x:v>0.9999999999999996</x:v>
      </x:c>
      <x:c r="U1246" s="17" t="n">
        <x:v>45298098.329999976</x:v>
      </x:c>
      <x:c r="V1246" s="2" t="str">
        <x:v>Area equivalent = model2020 * OBAT footprint / TEMPO2020 footprint</x:v>
      </x:c>
      <x:c r="W1246" s="2" t="str">
        <x:v>qualified_source_frame_numeric_summary</x:v>
      </x:c>
      <x:c r="X1246" s="2" t="str">
        <x:v>https://data.jrc.ec.europa.eu/dataset/f41a22f1-5741-4c41-86eb-6384654f6927</x:v>
      </x:c>
    </x:row>
    <x:row r="1247" ht="23" customHeight="1">
      <x:c r="A1247" s="2" t="str">
        <x:v>ESP</x:v>
      </x:c>
      <x:c r="B1247" s="2" t="str">
        <x:v>Spain (Kingdom of)</x:v>
      </x:c>
      <x:c r="C1247" s="2" t="n">
        <x:v>2020</x:v>
      </x:c>
      <x:c r="D1247" s="2" t="str">
        <x:v>OBAT_FOOTPRINT</x:v>
      </x:c>
      <x:c r="E1247" s="17" t="n">
        <x:v>3693503432.029994</x:v>
      </x:c>
      <x:c r="F1247" s="17" t="n">
        <x:f>IF(AND(M1247,ISNUMBER(R1247)),IF(D1247="TEMPO_PROXY",R1247,IF(AND(ISNUMBER(S1247),S1247&gt;0,ISNUMBER(U1247)),U1247*R1247/S1247,"n.a.")),"n.a.")</x:f>
        <x:v>2676147841.3357205</x:v>
      </x:c>
      <x:c r="G1247" s="17" t="n">
        <x:f>IF(AND(ISNUMBER(E1247),ISNUMBER(F1247)),E1247-F1247,"n.a.")</x:f>
        <x:v>1017355590.6942735</x:v>
      </x:c>
      <x:c r="H1247" s="15" t="n">
        <x:f>IF(AND(ISNUMBER(E1247),ISNUMBER(F1247),F1247&gt;0),(E1247-F1247)/F1247,"n.a.")</x:f>
        <x:v>0.38015672190460537</x:v>
      </x:c>
      <x:c r="I1247" s="19" t="n">
        <x:f>IF(ISNUMBER(H1247),ABS(H1247),"n.a.")</x:f>
        <x:v>0.38015672190460537</x:v>
      </x:c>
      <x:c r="J1247" s="2" t="str">
        <x:v>available</x:v>
      </x:c>
      <x:c r="K1247" s="2" t="n">
        <x:v>1</x:v>
      </x:c>
      <x:c r="L1247" s="13" t="b">
        <x:v>0</x:v>
      </x:c>
      <x:c r="M1247" s="13" t="b">
        <x:v>1</x:v>
      </x:c>
      <x:c r="N1247" s="2" t="str">
        <x:v>nominal2020; Overture geometry2024-07-22.0; height support2018</x:v>
      </x:c>
      <x:c r="O1247" s="2" t="str"/>
      <x:c r="P1247" s="2" t="str">
        <x:v>included-footprint horizontal area</x:v>
      </x:c>
      <x:c r="Q1247" s="2" t="str">
        <x:v>m2</x:v>
      </x:c>
      <x:c r="R1247" s="17" t="n">
        <x:v>2376272759.94</x:v>
      </x:c>
      <x:c r="S1247" s="17" t="n">
        <x:v>3279628822.71</x:v>
      </x:c>
      <x:c r="T1247" s="18" t="n">
        <x:v>1.1261955640998436</x:v>
      </x:c>
      <x:c r="U1247" s="17" t="n">
        <x:v>3693503432.029994</x:v>
      </x:c>
      <x:c r="V1247" s="2" t="str">
        <x:v>Area equivalent = model2020 * OBAT footprint / TEMPO2020 footprint</x:v>
      </x:c>
      <x:c r="W1247" s="2" t="str">
        <x:v>qualified_source_frame_numeric_summary</x:v>
      </x:c>
      <x:c r="X1247" s="2" t="str">
        <x:v>https://data.jrc.ec.europa.eu/dataset/f41a22f1-5741-4c41-86eb-6384654f6927</x:v>
      </x:c>
    </x:row>
    <x:row r="1248" ht="23" customHeight="1">
      <x:c r="A1248" s="2" t="str">
        <x:v>EST</x:v>
      </x:c>
      <x:c r="B1248" s="2" t="str">
        <x:v>Estonia (Republic of)</x:v>
      </x:c>
      <x:c r="C1248" s="2" t="n">
        <x:v>2020</x:v>
      </x:c>
      <x:c r="D1248" s="2" t="str">
        <x:v>OBAT_FOOTPRINT</x:v>
      </x:c>
      <x:c r="E1248" s="17" t="n">
        <x:v>113094705.3700001</x:v>
      </x:c>
      <x:c r="F1248" s="17" t="n">
        <x:f>IF(AND(M1248,ISNUMBER(R1248)),IF(D1248="TEMPO_PROXY",R1248,IF(AND(ISNUMBER(S1248),S1248&gt;0,ISNUMBER(U1248)),U1248*R1248/S1248,"n.a.")),"n.a.")</x:f>
        <x:v>139863540.5200001</x:v>
      </x:c>
      <x:c r="G1248" s="17" t="n">
        <x:f>IF(AND(ISNUMBER(E1248),ISNUMBER(F1248)),E1248-F1248,"n.a.")</x:f>
        <x:v>-26768835.150000006</x:v>
      </x:c>
      <x:c r="H1248" s="15" t="n">
        <x:f>IF(AND(ISNUMBER(E1248),ISNUMBER(F1248),F1248&gt;0),(E1248-F1248)/F1248,"n.a.")</x:f>
        <x:v>-0.1913925176674055</x:v>
      </x:c>
      <x:c r="I1248" s="19" t="n">
        <x:f>IF(ISNUMBER(H1248),ABS(H1248),"n.a.")</x:f>
        <x:v>0.1913925176674055</x:v>
      </x:c>
      <x:c r="J1248" s="2" t="str">
        <x:v>available</x:v>
      </x:c>
      <x:c r="K1248" s="2" t="n">
        <x:v>1</x:v>
      </x:c>
      <x:c r="L1248" s="13" t="b">
        <x:v>0</x:v>
      </x:c>
      <x:c r="M1248" s="13" t="b">
        <x:v>1</x:v>
      </x:c>
      <x:c r="N1248" s="2" t="str">
        <x:v>nominal2020; Overture geometry2024-07-22.0; height support2018</x:v>
      </x:c>
      <x:c r="O1248" s="2" t="str"/>
      <x:c r="P1248" s="2" t="str">
        <x:v>included-footprint horizontal area</x:v>
      </x:c>
      <x:c r="Q1248" s="2" t="str">
        <x:v>m2</x:v>
      </x:c>
      <x:c r="R1248" s="17" t="n">
        <x:v>139863540.52</x:v>
      </x:c>
      <x:c r="S1248" s="17" t="n">
        <x:v>113094705.37</x:v>
      </x:c>
      <x:c r="T1248" s="18" t="n">
        <x:v>1.0000000000000009</x:v>
      </x:c>
      <x:c r="U1248" s="17" t="n">
        <x:v>113094705.3700001</x:v>
      </x:c>
      <x:c r="V1248" s="2" t="str">
        <x:v>Area equivalent = model2020 * OBAT footprint / TEMPO2020 footprint</x:v>
      </x:c>
      <x:c r="W1248" s="2" t="str">
        <x:v>qualified_source_frame_numeric_summary</x:v>
      </x:c>
      <x:c r="X1248" s="2" t="str">
        <x:v>https://data.jrc.ec.europa.eu/dataset/f41a22f1-5741-4c41-86eb-6384654f6927</x:v>
      </x:c>
    </x:row>
    <x:row r="1249" ht="23" customHeight="1">
      <x:c r="A1249" s="2" t="str">
        <x:v>ETH</x:v>
      </x:c>
      <x:c r="B1249" s="2" t="str">
        <x:v>Ethiopia (Federal Democratic Republic of)</x:v>
      </x:c>
      <x:c r="C1249" s="2" t="n">
        <x:v>2020</x:v>
      </x:c>
      <x:c r="D1249" s="2" t="str">
        <x:v>OBAT_FOOTPRINT</x:v>
      </x:c>
      <x:c r="E1249" s="17" t="n">
        <x:v>1660821510.7100024</x:v>
      </x:c>
      <x:c r="F1249" s="17" t="n">
        <x:f>IF(AND(M1249,ISNUMBER(R1249)),IF(D1249="TEMPO_PROXY",R1249,IF(AND(ISNUMBER(S1249),S1249&gt;0,ISNUMBER(U1249)),U1249*R1249/S1249,"n.a.")),"n.a.")</x:f>
        <x:v>1978956437.7900028</x:v>
      </x:c>
      <x:c r="G1249" s="17" t="n">
        <x:f>IF(AND(ISNUMBER(E1249),ISNUMBER(F1249)),E1249-F1249,"n.a.")</x:f>
        <x:v>-318134927.0800004</x:v>
      </x:c>
      <x:c r="H1249" s="15" t="n">
        <x:f>IF(AND(ISNUMBER(E1249),ISNUMBER(F1249),F1249&gt;0),(E1249-F1249)/F1249,"n.a.")</x:f>
        <x:v>-0.16075893385267095</x:v>
      </x:c>
      <x:c r="I1249" s="19" t="n">
        <x:f>IF(ISNUMBER(H1249),ABS(H1249),"n.a.")</x:f>
        <x:v>0.16075893385267095</x:v>
      </x:c>
      <x:c r="J1249" s="2" t="str">
        <x:v>available</x:v>
      </x:c>
      <x:c r="K1249" s="2" t="n">
        <x:v>1</x:v>
      </x:c>
      <x:c r="L1249" s="13" t="b">
        <x:v>0</x:v>
      </x:c>
      <x:c r="M1249" s="13" t="b">
        <x:v>1</x:v>
      </x:c>
      <x:c r="N1249" s="2" t="str">
        <x:v>nominal2020; Overture geometry2024-07-22.0; height support2018</x:v>
      </x:c>
      <x:c r="O1249" s="2" t="str"/>
      <x:c r="P1249" s="2" t="str">
        <x:v>included-footprint horizontal area</x:v>
      </x:c>
      <x:c r="Q1249" s="2" t="str">
        <x:v>m2</x:v>
      </x:c>
      <x:c r="R1249" s="17" t="n">
        <x:v>1978956437.79</x:v>
      </x:c>
      <x:c r="S1249" s="17" t="n">
        <x:v>1660821510.71</x:v>
      </x:c>
      <x:c r="T1249" s="18" t="n">
        <x:v>1.0000000000000013</x:v>
      </x:c>
      <x:c r="U1249" s="17" t="n">
        <x:v>1660821510.7100024</x:v>
      </x:c>
      <x:c r="V1249" s="2" t="str">
        <x:v>Area equivalent = model2020 * OBAT footprint / TEMPO2020 footprint</x:v>
      </x:c>
      <x:c r="W1249" s="2" t="str">
        <x:v>qualified_source_frame_numeric_summary</x:v>
      </x:c>
      <x:c r="X1249" s="2" t="str">
        <x:v>https://data.jrc.ec.europa.eu/dataset/f41a22f1-5741-4c41-86eb-6384654f6927</x:v>
      </x:c>
    </x:row>
    <x:row r="1250" ht="23" customHeight="1">
      <x:c r="A1250" s="2" t="str">
        <x:v>FIN</x:v>
      </x:c>
      <x:c r="B1250" s="2" t="str">
        <x:v>Finland (Republic of)</x:v>
      </x:c>
      <x:c r="C1250" s="2" t="n">
        <x:v>2020</x:v>
      </x:c>
      <x:c r="D1250" s="2" t="str">
        <x:v>OBAT_FOOTPRINT</x:v>
      </x:c>
      <x:c r="E1250" s="17" t="n">
        <x:v>615866742.3399993</x:v>
      </x:c>
      <x:c r="F1250" s="17" t="n">
        <x:f>IF(AND(M1250,ISNUMBER(R1250)),IF(D1250="TEMPO_PROXY",R1250,IF(AND(ISNUMBER(S1250),S1250&gt;0,ISNUMBER(U1250)),U1250*R1250/S1250,"n.a.")),"n.a.")</x:f>
        <x:v>768830654.9899992</x:v>
      </x:c>
      <x:c r="G1250" s="17" t="n">
        <x:f>IF(AND(ISNUMBER(E1250),ISNUMBER(F1250)),E1250-F1250,"n.a.")</x:f>
        <x:v>-152963912.64999986</x:v>
      </x:c>
      <x:c r="H1250" s="15" t="n">
        <x:f>IF(AND(ISNUMBER(E1250),ISNUMBER(F1250),F1250&gt;0),(E1250-F1250)/F1250,"n.a.")</x:f>
        <x:v>-0.19895657341081124</x:v>
      </x:c>
      <x:c r="I1250" s="19" t="n">
        <x:f>IF(ISNUMBER(H1250),ABS(H1250),"n.a.")</x:f>
        <x:v>0.19895657341081124</x:v>
      </x:c>
      <x:c r="J1250" s="2" t="str">
        <x:v>available</x:v>
      </x:c>
      <x:c r="K1250" s="2" t="n">
        <x:v>1</x:v>
      </x:c>
      <x:c r="L1250" s="13" t="b">
        <x:v>0</x:v>
      </x:c>
      <x:c r="M1250" s="13" t="b">
        <x:v>1</x:v>
      </x:c>
      <x:c r="N1250" s="2" t="str">
        <x:v>nominal2020; Overture geometry2024-07-22.0; height support2018</x:v>
      </x:c>
      <x:c r="O1250" s="2" t="str"/>
      <x:c r="P1250" s="2" t="str">
        <x:v>included-footprint horizontal area</x:v>
      </x:c>
      <x:c r="Q1250" s="2" t="str">
        <x:v>m2</x:v>
      </x:c>
      <x:c r="R1250" s="17" t="n">
        <x:v>768830654.99</x:v>
      </x:c>
      <x:c r="S1250" s="17" t="n">
        <x:v>615866742.34</x:v>
      </x:c>
      <x:c r="T1250" s="18" t="n">
        <x:v>0.9999999999999989</x:v>
      </x:c>
      <x:c r="U1250" s="17" t="n">
        <x:v>615866742.3399993</x:v>
      </x:c>
      <x:c r="V1250" s="2" t="str">
        <x:v>Area equivalent = model2020 * OBAT footprint / TEMPO2020 footprint</x:v>
      </x:c>
      <x:c r="W1250" s="2" t="str">
        <x:v>qualified_source_frame_numeric_summary</x:v>
      </x:c>
      <x:c r="X1250" s="2" t="str">
        <x:v>https://data.jrc.ec.europa.eu/dataset/f41a22f1-5741-4c41-86eb-6384654f6927</x:v>
      </x:c>
    </x:row>
    <x:row r="1251" ht="23" customHeight="1">
      <x:c r="A1251" s="2" t="str">
        <x:v>FJI</x:v>
      </x:c>
      <x:c r="B1251" s="2" t="str">
        <x:v>Fiji (Republic of)</x:v>
      </x:c>
      <x:c r="C1251" s="2" t="n">
        <x:v>2020</x:v>
      </x:c>
      <x:c r="D1251" s="2" t="str">
        <x:v>OBAT_FOOTPRINT</x:v>
      </x:c>
      <x:c r="E1251" s="17" t="n">
        <x:v>37460168.12</x:v>
      </x:c>
      <x:c r="F1251" s="17" t="n">
        <x:f>IF(AND(M1251,ISNUMBER(R1251)),IF(D1251="TEMPO_PROXY",R1251,IF(AND(ISNUMBER(S1251),S1251&gt;0,ISNUMBER(U1251)),U1251*R1251/S1251,"n.a.")),"n.a.")</x:f>
        <x:v>38478182.33</x:v>
      </x:c>
      <x:c r="G1251" s="17" t="n">
        <x:f>IF(AND(ISNUMBER(E1251),ISNUMBER(F1251)),E1251-F1251,"n.a.")</x:f>
        <x:v>-1018014.2100000009</x:v>
      </x:c>
      <x:c r="H1251" s="15" t="n">
        <x:f>IF(AND(ISNUMBER(E1251),ISNUMBER(F1251),F1251&gt;0),(E1251-F1251)/F1251,"n.a.")</x:f>
        <x:v>-0.026456920476887844</x:v>
      </x:c>
      <x:c r="I1251" s="19" t="n">
        <x:f>IF(ISNUMBER(H1251),ABS(H1251),"n.a.")</x:f>
        <x:v>0.026456920476887844</x:v>
      </x:c>
      <x:c r="J1251" s="2" t="str">
        <x:v>available</x:v>
      </x:c>
      <x:c r="K1251" s="2" t="n">
        <x:v>1</x:v>
      </x:c>
      <x:c r="L1251" s="13" t="b">
        <x:v>0</x:v>
      </x:c>
      <x:c r="M1251" s="13" t="b">
        <x:v>1</x:v>
      </x:c>
      <x:c r="N1251" s="2" t="str">
        <x:v>nominal2020; Overture geometry2024-07-22.0; height support2018</x:v>
      </x:c>
      <x:c r="O1251" s="2" t="str"/>
      <x:c r="P1251" s="2" t="str">
        <x:v>included-footprint horizontal area</x:v>
      </x:c>
      <x:c r="Q1251" s="2" t="str">
        <x:v>m2</x:v>
      </x:c>
      <x:c r="R1251" s="17" t="n">
        <x:v>38478182.33</x:v>
      </x:c>
      <x:c r="S1251" s="17" t="n">
        <x:v>37460168.12</x:v>
      </x:c>
      <x:c r="T1251" s="18" t="n">
        <x:v>1</x:v>
      </x:c>
      <x:c r="U1251" s="17" t="n">
        <x:v>37460168.12</x:v>
      </x:c>
      <x:c r="V1251" s="2" t="str">
        <x:v>Area equivalent = model2020 * OBAT footprint / TEMPO2020 footprint</x:v>
      </x:c>
      <x:c r="W1251" s="2" t="str">
        <x:v>qualified_source_frame_numeric_summary</x:v>
      </x:c>
      <x:c r="X1251" s="2" t="str">
        <x:v>https://data.jrc.ec.europa.eu/dataset/f41a22f1-5741-4c41-86eb-6384654f6927</x:v>
      </x:c>
    </x:row>
    <x:row r="1252" ht="23" customHeight="1">
      <x:c r="A1252" s="2" t="str">
        <x:v>FRA</x:v>
      </x:c>
      <x:c r="B1252" s="2" t="str">
        <x:v>France (French Republic)</x:v>
      </x:c>
      <x:c r="C1252" s="2" t="n">
        <x:v>2020</x:v>
      </x:c>
      <x:c r="D1252" s="2" t="str">
        <x:v>OBAT_FOOTPRINT</x:v>
      </x:c>
      <x:c r="E1252" s="17" t="n">
        <x:v>6074526882.680001</x:v>
      </x:c>
      <x:c r="F1252" s="17" t="n">
        <x:f>IF(AND(M1252,ISNUMBER(R1252)),IF(D1252="TEMPO_PROXY",R1252,IF(AND(ISNUMBER(S1252),S1252&gt;0,ISNUMBER(U1252)),U1252*R1252/S1252,"n.a.")),"n.a.")</x:f>
        <x:v>6038004799.9400015</x:v>
      </x:c>
      <x:c r="G1252" s="17" t="n">
        <x:f>IF(AND(ISNUMBER(E1252),ISNUMBER(F1252)),E1252-F1252,"n.a.")</x:f>
        <x:v>36522082.73999977</x:v>
      </x:c>
      <x:c r="H1252" s="15" t="n">
        <x:f>IF(AND(ISNUMBER(E1252),ISNUMBER(F1252),F1252&gt;0),(E1252-F1252)/F1252,"n.a.")</x:f>
        <x:v>0.006048700514508151</x:v>
      </x:c>
      <x:c r="I1252" s="19" t="n">
        <x:f>IF(ISNUMBER(H1252),ABS(H1252),"n.a.")</x:f>
        <x:v>0.006048700514508151</x:v>
      </x:c>
      <x:c r="J1252" s="2" t="str">
        <x:v>available</x:v>
      </x:c>
      <x:c r="K1252" s="2" t="n">
        <x:v>1</x:v>
      </x:c>
      <x:c r="L1252" s="13" t="b">
        <x:v>0</x:v>
      </x:c>
      <x:c r="M1252" s="13" t="b">
        <x:v>1</x:v>
      </x:c>
      <x:c r="N1252" s="2" t="str">
        <x:v>nominal2020; Overture geometry2024-07-22.0; height support2018</x:v>
      </x:c>
      <x:c r="O1252" s="2" t="str"/>
      <x:c r="P1252" s="2" t="str">
        <x:v>included-footprint horizontal area</x:v>
      </x:c>
      <x:c r="Q1252" s="2" t="str">
        <x:v>m2</x:v>
      </x:c>
      <x:c r="R1252" s="17" t="n">
        <x:v>6038004799.940001</x:v>
      </x:c>
      <x:c r="S1252" s="17" t="n">
        <x:v>6074526882.68</x:v>
      </x:c>
      <x:c r="T1252" s="18" t="n">
        <x:v>1.0000000000000002</x:v>
      </x:c>
      <x:c r="U1252" s="17" t="n">
        <x:v>6074526882.680001</x:v>
      </x:c>
      <x:c r="V1252" s="2" t="str">
        <x:v>Area equivalent = model2020 * OBAT footprint / TEMPO2020 footprint</x:v>
      </x:c>
      <x:c r="W1252" s="2" t="str">
        <x:v>qualified_source_frame_numeric_summary</x:v>
      </x:c>
      <x:c r="X1252" s="2" t="str">
        <x:v>https://data.jrc.ec.europa.eu/dataset/f41a22f1-5741-4c41-86eb-6384654f6927</x:v>
      </x:c>
    </x:row>
    <x:row r="1253" ht="23" customHeight="1">
      <x:c r="A1253" s="2" t="str">
        <x:v>FSM</x:v>
      </x:c>
      <x:c r="B1253" s="2" t="str">
        <x:v>Micronesia (Federated States of)</x:v>
      </x:c>
      <x:c r="C1253" s="2" t="n">
        <x:v>2020</x:v>
      </x:c>
      <x:c r="D1253" s="2" t="str">
        <x:v>OBAT_FOOTPRINT</x:v>
      </x:c>
      <x:c r="E1253" s="17" t="n">
        <x:v>2177822.609999999</x:v>
      </x:c>
      <x:c r="F1253" s="17" t="n">
        <x:f>IF(AND(M1253,ISNUMBER(R1253)),IF(D1253="TEMPO_PROXY",R1253,IF(AND(ISNUMBER(S1253),S1253&gt;0,ISNUMBER(U1253)),U1253*R1253/S1253,"n.a.")),"n.a.")</x:f>
        <x:v>3275334.3299999987</x:v>
      </x:c>
      <x:c r="G1253" s="17" t="n">
        <x:f>IF(AND(ISNUMBER(E1253),ISNUMBER(F1253)),E1253-F1253,"n.a.")</x:f>
        <x:v>-1097511.7199999997</x:v>
      </x:c>
      <x:c r="H1253" s="15" t="n">
        <x:f>IF(AND(ISNUMBER(E1253),ISNUMBER(F1253),F1253&gt;0),(E1253-F1253)/F1253,"n.a.")</x:f>
        <x:v>-0.3350838752390814</x:v>
      </x:c>
      <x:c r="I1253" s="19" t="n">
        <x:f>IF(ISNUMBER(H1253),ABS(H1253),"n.a.")</x:f>
        <x:v>0.3350838752390814</x:v>
      </x:c>
      <x:c r="J1253" s="2" t="str">
        <x:v>available</x:v>
      </x:c>
      <x:c r="K1253" s="2" t="n">
        <x:v>1</x:v>
      </x:c>
      <x:c r="L1253" s="13" t="b">
        <x:v>0</x:v>
      </x:c>
      <x:c r="M1253" s="13" t="b">
        <x:v>1</x:v>
      </x:c>
      <x:c r="N1253" s="2" t="str">
        <x:v>nominal2020; Overture geometry2024-07-22.0; height support2018</x:v>
      </x:c>
      <x:c r="O1253" s="2" t="str"/>
      <x:c r="P1253" s="2" t="str">
        <x:v>included-footprint horizontal area</x:v>
      </x:c>
      <x:c r="Q1253" s="2" t="str">
        <x:v>m2</x:v>
      </x:c>
      <x:c r="R1253" s="17" t="n">
        <x:v>3275334.33</x:v>
      </x:c>
      <x:c r="S1253" s="17" t="n">
        <x:v>2177822.61</x:v>
      </x:c>
      <x:c r="T1253" s="18" t="n">
        <x:v>0.9999999999999996</x:v>
      </x:c>
      <x:c r="U1253" s="17" t="n">
        <x:v>2177822.609999999</x:v>
      </x:c>
      <x:c r="V1253" s="2" t="str">
        <x:v>Area equivalent = model2020 * OBAT footprint / TEMPO2020 footprint</x:v>
      </x:c>
      <x:c r="W1253" s="2" t="str">
        <x:v>qualified_source_frame_numeric_summary</x:v>
      </x:c>
      <x:c r="X1253" s="2" t="str">
        <x:v>https://data.jrc.ec.europa.eu/dataset/f41a22f1-5741-4c41-86eb-6384654f6927</x:v>
      </x:c>
    </x:row>
    <x:row r="1254" ht="23" customHeight="1">
      <x:c r="A1254" s="2" t="str">
        <x:v>GAB</x:v>
      </x:c>
      <x:c r="B1254" s="2" t="str">
        <x:v>Gabon (Gabonese Republic)</x:v>
      </x:c>
      <x:c r="C1254" s="2" t="n">
        <x:v>2020</x:v>
      </x:c>
      <x:c r="D1254" s="2" t="str">
        <x:v>OBAT_FOOTPRINT</x:v>
      </x:c>
      <x:c r="E1254" s="17" t="n">
        <x:v>73743642.55999996</x:v>
      </x:c>
      <x:c r="F1254" s="17" t="n">
        <x:f>IF(AND(M1254,ISNUMBER(R1254)),IF(D1254="TEMPO_PROXY",R1254,IF(AND(ISNUMBER(S1254),S1254&gt;0,ISNUMBER(U1254)),U1254*R1254/S1254,"n.a.")),"n.a.")</x:f>
        <x:v>77565730.07999995</x:v>
      </x:c>
      <x:c r="G1254" s="17" t="n">
        <x:f>IF(AND(ISNUMBER(E1254),ISNUMBER(F1254)),E1254-F1254,"n.a.")</x:f>
        <x:v>-3822087.519999996</x:v>
      </x:c>
      <x:c r="H1254" s="15" t="n">
        <x:f>IF(AND(ISNUMBER(E1254),ISNUMBER(F1254),F1254&gt;0),(E1254-F1254)/F1254,"n.a.")</x:f>
        <x:v>-0.04927546631815315</x:v>
      </x:c>
      <x:c r="I1254" s="19" t="n">
        <x:f>IF(ISNUMBER(H1254),ABS(H1254),"n.a.")</x:f>
        <x:v>0.04927546631815315</x:v>
      </x:c>
      <x:c r="J1254" s="2" t="str">
        <x:v>available</x:v>
      </x:c>
      <x:c r="K1254" s="2" t="n">
        <x:v>1</x:v>
      </x:c>
      <x:c r="L1254" s="13" t="b">
        <x:v>0</x:v>
      </x:c>
      <x:c r="M1254" s="13" t="b">
        <x:v>1</x:v>
      </x:c>
      <x:c r="N1254" s="2" t="str">
        <x:v>nominal2020; Overture geometry2024-07-22.0; height support2018</x:v>
      </x:c>
      <x:c r="O1254" s="2" t="str"/>
      <x:c r="P1254" s="2" t="str">
        <x:v>included-footprint horizontal area</x:v>
      </x:c>
      <x:c r="Q1254" s="2" t="str">
        <x:v>m2</x:v>
      </x:c>
      <x:c r="R1254" s="17" t="n">
        <x:v>77565730.08</x:v>
      </x:c>
      <x:c r="S1254" s="17" t="n">
        <x:v>73743642.56</x:v>
      </x:c>
      <x:c r="T1254" s="18" t="n">
        <x:v>0.9999999999999994</x:v>
      </x:c>
      <x:c r="U1254" s="17" t="n">
        <x:v>73743642.55999996</x:v>
      </x:c>
      <x:c r="V1254" s="2" t="str">
        <x:v>Area equivalent = model2020 * OBAT footprint / TEMPO2020 footprint</x:v>
      </x:c>
      <x:c r="W1254" s="2" t="str">
        <x:v>qualified_source_frame_numeric_summary</x:v>
      </x:c>
      <x:c r="X1254" s="2" t="str">
        <x:v>https://data.jrc.ec.europa.eu/dataset/f41a22f1-5741-4c41-86eb-6384654f6927</x:v>
      </x:c>
    </x:row>
    <x:row r="1255" ht="23" customHeight="1">
      <x:c r="A1255" s="2" t="str">
        <x:v>GBR</x:v>
      </x:c>
      <x:c r="B1255" s="2" t="str">
        <x:v>United Kingdom of Great Britain and Northern Ireland</x:v>
      </x:c>
      <x:c r="C1255" s="2" t="n">
        <x:v>2020</x:v>
      </x:c>
      <x:c r="D1255" s="2" t="str">
        <x:v>OBAT_FOOTPRINT</x:v>
      </x:c>
      <x:c r="E1255" s="17" t="n">
        <x:v>3418464510.0900006</x:v>
      </x:c>
      <x:c r="F1255" s="17" t="n">
        <x:f>IF(AND(M1255,ISNUMBER(R1255)),IF(D1255="TEMPO_PROXY",R1255,IF(AND(ISNUMBER(S1255),S1255&gt;0,ISNUMBER(U1255)),U1255*R1255/S1255,"n.a.")),"n.a.")</x:f>
        <x:v>3485343183.6529374</x:v>
      </x:c>
      <x:c r="G1255" s="17" t="n">
        <x:f>IF(AND(ISNUMBER(E1255),ISNUMBER(F1255)),E1255-F1255,"n.a.")</x:f>
        <x:v>-66878673.56293678</x:v>
      </x:c>
      <x:c r="H1255" s="15" t="n">
        <x:f>IF(AND(ISNUMBER(E1255),ISNUMBER(F1255),F1255&gt;0),(E1255-F1255)/F1255,"n.a.")</x:f>
        <x:v>-0.01918854759457065</x:v>
      </x:c>
      <x:c r="I1255" s="19" t="n">
        <x:f>IF(ISNUMBER(H1255),ABS(H1255),"n.a.")</x:f>
        <x:v>0.01918854759457065</x:v>
      </x:c>
      <x:c r="J1255" s="2" t="str">
        <x:v>available</x:v>
      </x:c>
      <x:c r="K1255" s="2" t="n">
        <x:v>1</x:v>
      </x:c>
      <x:c r="L1255" s="13" t="b">
        <x:v>0</x:v>
      </x:c>
      <x:c r="M1255" s="13" t="b">
        <x:v>1</x:v>
      </x:c>
      <x:c r="N1255" s="2" t="str">
        <x:v>nominal2020; Overture geometry2024-07-22.0; height support2018</x:v>
      </x:c>
      <x:c r="O1255" s="2" t="str"/>
      <x:c r="P1255" s="2" t="str">
        <x:v>included-footprint horizontal area</x:v>
      </x:c>
      <x:c r="Q1255" s="2" t="str">
        <x:v>m2</x:v>
      </x:c>
      <x:c r="R1255" s="17" t="n">
        <x:v>3467465838.2599998</x:v>
      </x:c>
      <x:c r="S1255" s="17" t="n">
        <x:v>3400930204.99</x:v>
      </x:c>
      <x:c r="T1255" s="18" t="n">
        <x:v>1.0051557380019953</x:v>
      </x:c>
      <x:c r="U1255" s="17" t="n">
        <x:v>3418464510.0900006</x:v>
      </x:c>
      <x:c r="V1255" s="2" t="str">
        <x:v>Area equivalent = model2020 * OBAT footprint / TEMPO2020 footprint</x:v>
      </x:c>
      <x:c r="W1255" s="2" t="str">
        <x:v>qualified_source_frame_numeric_summary</x:v>
      </x:c>
      <x:c r="X1255" s="2" t="str">
        <x:v>https://data.jrc.ec.europa.eu/dataset/f41a22f1-5741-4c41-86eb-6384654f6927</x:v>
      </x:c>
    </x:row>
    <x:row r="1256" ht="23" customHeight="1">
      <x:c r="A1256" s="2" t="str">
        <x:v>GEO</x:v>
      </x:c>
      <x:c r="B1256" s="2" t="str">
        <x:v>Georgia</x:v>
      </x:c>
      <x:c r="C1256" s="2" t="n">
        <x:v>2020</x:v>
      </x:c>
      <x:c r="D1256" s="2" t="str">
        <x:v>OBAT_FOOTPRINT</x:v>
      </x:c>
      <x:c r="E1256" s="17" t="n">
        <x:v>242256071.04000017</x:v>
      </x:c>
      <x:c r="F1256" s="17" t="n">
        <x:f>IF(AND(M1256,ISNUMBER(R1256)),IF(D1256="TEMPO_PROXY",R1256,IF(AND(ISNUMBER(S1256),S1256&gt;0,ISNUMBER(U1256)),U1256*R1256/S1256,"n.a.")),"n.a.")</x:f>
        <x:v>197472815.59000015</x:v>
      </x:c>
      <x:c r="G1256" s="17" t="n">
        <x:f>IF(AND(ISNUMBER(E1256),ISNUMBER(F1256)),E1256-F1256,"n.a.")</x:f>
        <x:v>44783255.45000002</x:v>
      </x:c>
      <x:c r="H1256" s="15" t="n">
        <x:f>IF(AND(ISNUMBER(E1256),ISNUMBER(F1256),F1256&gt;0),(E1256-F1256)/F1256,"n.a.")</x:f>
        <x:v>0.22678187534926605</x:v>
      </x:c>
      <x:c r="I1256" s="19" t="n">
        <x:f>IF(ISNUMBER(H1256),ABS(H1256),"n.a.")</x:f>
        <x:v>0.22678187534926605</x:v>
      </x:c>
      <x:c r="J1256" s="2" t="str">
        <x:v>available</x:v>
      </x:c>
      <x:c r="K1256" s="2" t="n">
        <x:v>1</x:v>
      </x:c>
      <x:c r="L1256" s="13" t="b">
        <x:v>0</x:v>
      </x:c>
      <x:c r="M1256" s="13" t="b">
        <x:v>1</x:v>
      </x:c>
      <x:c r="N1256" s="2" t="str">
        <x:v>nominal2020; Overture geometry2024-07-22.0; height support2018</x:v>
      </x:c>
      <x:c r="O1256" s="2" t="str"/>
      <x:c r="P1256" s="2" t="str">
        <x:v>included-footprint horizontal area</x:v>
      </x:c>
      <x:c r="Q1256" s="2" t="str">
        <x:v>m2</x:v>
      </x:c>
      <x:c r="R1256" s="17" t="n">
        <x:v>197472815.59</x:v>
      </x:c>
      <x:c r="S1256" s="17" t="n">
        <x:v>242256071.04</x:v>
      </x:c>
      <x:c r="T1256" s="18" t="n">
        <x:v>1.0000000000000007</x:v>
      </x:c>
      <x:c r="U1256" s="17" t="n">
        <x:v>242256071.04000017</x:v>
      </x:c>
      <x:c r="V1256" s="2" t="str">
        <x:v>Area equivalent = model2020 * OBAT footprint / TEMPO2020 footprint</x:v>
      </x:c>
      <x:c r="W1256" s="2" t="str">
        <x:v>qualified_source_frame_numeric_summary</x:v>
      </x:c>
      <x:c r="X1256" s="2" t="str">
        <x:v>https://data.jrc.ec.europa.eu/dataset/f41a22f1-5741-4c41-86eb-6384654f6927</x:v>
      </x:c>
    </x:row>
    <x:row r="1257" ht="23" customHeight="1">
      <x:c r="A1257" s="2" t="str">
        <x:v>GHA</x:v>
      </x:c>
      <x:c r="B1257" s="2" t="str">
        <x:v>Ghana (Republic of)</x:v>
      </x:c>
      <x:c r="C1257" s="2" t="n">
        <x:v>2020</x:v>
      </x:c>
      <x:c r="D1257" s="2" t="str">
        <x:v>OBAT_FOOTPRINT</x:v>
      </x:c>
      <x:c r="E1257" s="17" t="n">
        <x:v>958424622.62</x:v>
      </x:c>
      <x:c r="F1257" s="17" t="n">
        <x:f>IF(AND(M1257,ISNUMBER(R1257)),IF(D1257="TEMPO_PROXY",R1257,IF(AND(ISNUMBER(S1257),S1257&gt;0,ISNUMBER(U1257)),U1257*R1257/S1257,"n.a.")),"n.a.")</x:f>
        <x:v>1068207935.5699999</x:v>
      </x:c>
      <x:c r="G1257" s="17" t="n">
        <x:f>IF(AND(ISNUMBER(E1257),ISNUMBER(F1257)),E1257-F1257,"n.a.")</x:f>
        <x:v>-109783312.94999993</x:v>
      </x:c>
      <x:c r="H1257" s="15" t="n">
        <x:f>IF(AND(ISNUMBER(E1257),ISNUMBER(F1257),F1257&gt;0),(E1257-F1257)/F1257,"n.a.")</x:f>
        <x:v>-0.1027733546010582</x:v>
      </x:c>
      <x:c r="I1257" s="19" t="n">
        <x:f>IF(ISNUMBER(H1257),ABS(H1257),"n.a.")</x:f>
        <x:v>0.1027733546010582</x:v>
      </x:c>
      <x:c r="J1257" s="2" t="str">
        <x:v>available</x:v>
      </x:c>
      <x:c r="K1257" s="2" t="n">
        <x:v>1</x:v>
      </x:c>
      <x:c r="L1257" s="13" t="b">
        <x:v>0</x:v>
      </x:c>
      <x:c r="M1257" s="13" t="b">
        <x:v>1</x:v>
      </x:c>
      <x:c r="N1257" s="2" t="str">
        <x:v>nominal2020; Overture geometry2024-07-22.0; height support2018</x:v>
      </x:c>
      <x:c r="O1257" s="2" t="str"/>
      <x:c r="P1257" s="2" t="str">
        <x:v>included-footprint horizontal area</x:v>
      </x:c>
      <x:c r="Q1257" s="2" t="str">
        <x:v>m2</x:v>
      </x:c>
      <x:c r="R1257" s="17" t="n">
        <x:v>1068207935.5699999</x:v>
      </x:c>
      <x:c r="S1257" s="17" t="n">
        <x:v>958424622.62</x:v>
      </x:c>
      <x:c r="T1257" s="18" t="n">
        <x:v>1</x:v>
      </x:c>
      <x:c r="U1257" s="17" t="n">
        <x:v>958424622.62</x:v>
      </x:c>
      <x:c r="V1257" s="2" t="str">
        <x:v>Area equivalent = model2020 * OBAT footprint / TEMPO2020 footprint</x:v>
      </x:c>
      <x:c r="W1257" s="2" t="str">
        <x:v>qualified_source_frame_numeric_summary</x:v>
      </x:c>
      <x:c r="X1257" s="2" t="str">
        <x:v>https://data.jrc.ec.europa.eu/dataset/f41a22f1-5741-4c41-86eb-6384654f6927</x:v>
      </x:c>
    </x:row>
    <x:row r="1258" ht="23" customHeight="1">
      <x:c r="A1258" s="2" t="str">
        <x:v>GIN</x:v>
      </x:c>
      <x:c r="B1258" s="2" t="str">
        <x:v>Guinea (Republic of)</x:v>
      </x:c>
      <x:c r="C1258" s="2" t="n">
        <x:v>2020</x:v>
      </x:c>
      <x:c r="D1258" s="2" t="str">
        <x:v>OBAT_FOOTPRINT</x:v>
      </x:c>
      <x:c r="E1258" s="17" t="n">
        <x:v>277637578.22999954</x:v>
      </x:c>
      <x:c r="F1258" s="17" t="n">
        <x:f>IF(AND(M1258,ISNUMBER(R1258)),IF(D1258="TEMPO_PROXY",R1258,IF(AND(ISNUMBER(S1258),S1258&gt;0,ISNUMBER(U1258)),U1258*R1258/S1258,"n.a.")),"n.a.")</x:f>
        <x:v>316896817.8599995</x:v>
      </x:c>
      <x:c r="G1258" s="17" t="n">
        <x:f>IF(AND(ISNUMBER(E1258),ISNUMBER(F1258)),E1258-F1258,"n.a.")</x:f>
        <x:v>-39259239.629999936</x:v>
      </x:c>
      <x:c r="H1258" s="15" t="n">
        <x:f>IF(AND(ISNUMBER(E1258),ISNUMBER(F1258),F1258&gt;0),(E1258-F1258)/F1258,"n.a.")</x:f>
        <x:v>-0.12388650632441539</x:v>
      </x:c>
      <x:c r="I1258" s="19" t="n">
        <x:f>IF(ISNUMBER(H1258),ABS(H1258),"n.a.")</x:f>
        <x:v>0.12388650632441539</x:v>
      </x:c>
      <x:c r="J1258" s="2" t="str">
        <x:v>available</x:v>
      </x:c>
      <x:c r="K1258" s="2" t="n">
        <x:v>1</x:v>
      </x:c>
      <x:c r="L1258" s="13" t="b">
        <x:v>0</x:v>
      </x:c>
      <x:c r="M1258" s="13" t="b">
        <x:v>1</x:v>
      </x:c>
      <x:c r="N1258" s="2" t="str">
        <x:v>nominal2020; Overture geometry2024-07-22.0; height support2018</x:v>
      </x:c>
      <x:c r="O1258" s="2" t="str"/>
      <x:c r="P1258" s="2" t="str">
        <x:v>included-footprint horizontal area</x:v>
      </x:c>
      <x:c r="Q1258" s="2" t="str">
        <x:v>m2</x:v>
      </x:c>
      <x:c r="R1258" s="17" t="n">
        <x:v>316896817.86</x:v>
      </x:c>
      <x:c r="S1258" s="17" t="n">
        <x:v>277637578.23</x:v>
      </x:c>
      <x:c r="T1258" s="18" t="n">
        <x:v>0.9999999999999983</x:v>
      </x:c>
      <x:c r="U1258" s="17" t="n">
        <x:v>277637578.22999954</x:v>
      </x:c>
      <x:c r="V1258" s="2" t="str">
        <x:v>Area equivalent = model2020 * OBAT footprint / TEMPO2020 footprint</x:v>
      </x:c>
      <x:c r="W1258" s="2" t="str">
        <x:v>qualified_source_frame_numeric_summary</x:v>
      </x:c>
      <x:c r="X1258" s="2" t="str">
        <x:v>https://data.jrc.ec.europa.eu/dataset/f41a22f1-5741-4c41-86eb-6384654f6927</x:v>
      </x:c>
    </x:row>
    <x:row r="1259" ht="23" customHeight="1">
      <x:c r="A1259" s="2" t="str">
        <x:v>GMB</x:v>
      </x:c>
      <x:c r="B1259" s="2" t="str">
        <x:v>Gambia (Republic of the)</x:v>
      </x:c>
      <x:c r="C1259" s="2" t="n">
        <x:v>2020</x:v>
      </x:c>
      <x:c r="D1259" s="2" t="str">
        <x:v>OBAT_FOOTPRINT</x:v>
      </x:c>
      <x:c r="E1259" s="17" t="n">
        <x:v>56875154.52999992</x:v>
      </x:c>
      <x:c r="F1259" s="17" t="n">
        <x:f>IF(AND(M1259,ISNUMBER(R1259)),IF(D1259="TEMPO_PROXY",R1259,IF(AND(ISNUMBER(S1259),S1259&gt;0,ISNUMBER(U1259)),U1259*R1259/S1259,"n.a.")),"n.a.")</x:f>
        <x:v>63782562.72999991</x:v>
      </x:c>
      <x:c r="G1259" s="17" t="n">
        <x:f>IF(AND(ISNUMBER(E1259),ISNUMBER(F1259)),E1259-F1259,"n.a.")</x:f>
        <x:v>-6907408.199999988</x:v>
      </x:c>
      <x:c r="H1259" s="15" t="n">
        <x:f>IF(AND(ISNUMBER(E1259),ISNUMBER(F1259),F1259&gt;0),(E1259-F1259)/F1259,"n.a.")</x:f>
        <x:v>-0.10829618479332616</x:v>
      </x:c>
      <x:c r="I1259" s="19" t="n">
        <x:f>IF(ISNUMBER(H1259),ABS(H1259),"n.a.")</x:f>
        <x:v>0.10829618479332616</x:v>
      </x:c>
      <x:c r="J1259" s="2" t="str">
        <x:v>available</x:v>
      </x:c>
      <x:c r="K1259" s="2" t="n">
        <x:v>1</x:v>
      </x:c>
      <x:c r="L1259" s="13" t="b">
        <x:v>0</x:v>
      </x:c>
      <x:c r="M1259" s="13" t="b">
        <x:v>1</x:v>
      </x:c>
      <x:c r="N1259" s="2" t="str">
        <x:v>nominal2020; Overture geometry2024-07-22.0; height support2018</x:v>
      </x:c>
      <x:c r="O1259" s="2" t="str"/>
      <x:c r="P1259" s="2" t="str">
        <x:v>included-footprint horizontal area</x:v>
      </x:c>
      <x:c r="Q1259" s="2" t="str">
        <x:v>m2</x:v>
      </x:c>
      <x:c r="R1259" s="17" t="n">
        <x:v>63782562.73</x:v>
      </x:c>
      <x:c r="S1259" s="17" t="n">
        <x:v>56875154.53</x:v>
      </x:c>
      <x:c r="T1259" s="18" t="n">
        <x:v>0.9999999999999986</x:v>
      </x:c>
      <x:c r="U1259" s="17" t="n">
        <x:v>56875154.52999992</x:v>
      </x:c>
      <x:c r="V1259" s="2" t="str">
        <x:v>Area equivalent = model2020 * OBAT footprint / TEMPO2020 footprint</x:v>
      </x:c>
      <x:c r="W1259" s="2" t="str">
        <x:v>qualified_source_frame_numeric_summary</x:v>
      </x:c>
      <x:c r="X1259" s="2" t="str">
        <x:v>https://data.jrc.ec.europa.eu/dataset/f41a22f1-5741-4c41-86eb-6384654f6927</x:v>
      </x:c>
    </x:row>
    <x:row r="1260" ht="23" customHeight="1">
      <x:c r="A1260" s="2" t="str">
        <x:v>GNB</x:v>
      </x:c>
      <x:c r="B1260" s="2" t="str">
        <x:v>Guinea-Bissau (Republic of)</x:v>
      </x:c>
      <x:c r="C1260" s="2" t="n">
        <x:v>2020</x:v>
      </x:c>
      <x:c r="D1260" s="2" t="str">
        <x:v>OBAT_FOOTPRINT</x:v>
      </x:c>
      <x:c r="E1260" s="17" t="n">
        <x:v>48952674.499999925</x:v>
      </x:c>
      <x:c r="F1260" s="17" t="n">
        <x:f>IF(AND(M1260,ISNUMBER(R1260)),IF(D1260="TEMPO_PROXY",R1260,IF(AND(ISNUMBER(S1260),S1260&gt;0,ISNUMBER(U1260)),U1260*R1260/S1260,"n.a.")),"n.a.")</x:f>
        <x:v>56377366.939999916</x:v>
      </x:c>
      <x:c r="G1260" s="17" t="n">
        <x:f>IF(AND(ISNUMBER(E1260),ISNUMBER(F1260)),E1260-F1260,"n.a.")</x:f>
        <x:v>-7424692.43999999</x:v>
      </x:c>
      <x:c r="H1260" s="15" t="n">
        <x:f>IF(AND(ISNUMBER(E1260),ISNUMBER(F1260),F1260&gt;0),(E1260-F1260)/F1260,"n.a.")</x:f>
        <x:v>-0.13169633210968829</x:v>
      </x:c>
      <x:c r="I1260" s="19" t="n">
        <x:f>IF(ISNUMBER(H1260),ABS(H1260),"n.a.")</x:f>
        <x:v>0.13169633210968829</x:v>
      </x:c>
      <x:c r="J1260" s="2" t="str">
        <x:v>available</x:v>
      </x:c>
      <x:c r="K1260" s="2" t="n">
        <x:v>1</x:v>
      </x:c>
      <x:c r="L1260" s="13" t="b">
        <x:v>0</x:v>
      </x:c>
      <x:c r="M1260" s="13" t="b">
        <x:v>1</x:v>
      </x:c>
      <x:c r="N1260" s="2" t="str">
        <x:v>nominal2020; Overture geometry2024-07-22.0; height support2018</x:v>
      </x:c>
      <x:c r="O1260" s="2" t="str"/>
      <x:c r="P1260" s="2" t="str">
        <x:v>included-footprint horizontal area</x:v>
      </x:c>
      <x:c r="Q1260" s="2" t="str">
        <x:v>m2</x:v>
      </x:c>
      <x:c r="R1260" s="17" t="n">
        <x:v>56377366.940000005</x:v>
      </x:c>
      <x:c r="S1260" s="17" t="n">
        <x:v>48952674.5</x:v>
      </x:c>
      <x:c r="T1260" s="18" t="n">
        <x:v>0.9999999999999984</x:v>
      </x:c>
      <x:c r="U1260" s="17" t="n">
        <x:v>48952674.499999925</x:v>
      </x:c>
      <x:c r="V1260" s="2" t="str">
        <x:v>Area equivalent = model2020 * OBAT footprint / TEMPO2020 footprint</x:v>
      </x:c>
      <x:c r="W1260" s="2" t="str">
        <x:v>qualified_source_frame_numeric_summary</x:v>
      </x:c>
      <x:c r="X1260" s="2" t="str">
        <x:v>https://data.jrc.ec.europa.eu/dataset/f41a22f1-5741-4c41-86eb-6384654f6927</x:v>
      </x:c>
    </x:row>
    <x:row r="1261" ht="23" customHeight="1">
      <x:c r="A1261" s="2" t="str">
        <x:v>GNQ</x:v>
      </x:c>
      <x:c r="B1261" s="2" t="str">
        <x:v>Equatorial Guinea (Republic of)</x:v>
      </x:c>
      <x:c r="C1261" s="2" t="n">
        <x:v>2020</x:v>
      </x:c>
      <x:c r="D1261" s="2" t="str">
        <x:v>OBAT_FOOTPRINT</x:v>
      </x:c>
      <x:c r="E1261" s="17" t="n">
        <x:v>34102626.51999995</x:v>
      </x:c>
      <x:c r="F1261" s="17" t="n">
        <x:f>IF(AND(M1261,ISNUMBER(R1261)),IF(D1261="TEMPO_PROXY",R1261,IF(AND(ISNUMBER(S1261),S1261&gt;0,ISNUMBER(U1261)),U1261*R1261/S1261,"n.a.")),"n.a.")</x:f>
        <x:v>34934138.06999995</x:v>
      </x:c>
      <x:c r="G1261" s="17" t="n">
        <x:f>IF(AND(ISNUMBER(E1261),ISNUMBER(F1261)),E1261-F1261,"n.a.")</x:f>
        <x:v>-831511.549999997</x:v>
      </x:c>
      <x:c r="H1261" s="15" t="n">
        <x:f>IF(AND(ISNUMBER(E1261),ISNUMBER(F1261),F1261&gt;0),(E1261-F1261)/F1261,"n.a.")</x:f>
        <x:v>-0.023802263228416852</x:v>
      </x:c>
      <x:c r="I1261" s="19" t="n">
        <x:f>IF(ISNUMBER(H1261),ABS(H1261),"n.a.")</x:f>
        <x:v>0.023802263228416852</x:v>
      </x:c>
      <x:c r="J1261" s="2" t="str">
        <x:v>available</x:v>
      </x:c>
      <x:c r="K1261" s="2" t="n">
        <x:v>1</x:v>
      </x:c>
      <x:c r="L1261" s="13" t="b">
        <x:v>0</x:v>
      </x:c>
      <x:c r="M1261" s="13" t="b">
        <x:v>1</x:v>
      </x:c>
      <x:c r="N1261" s="2" t="str">
        <x:v>nominal2020; Overture geometry2024-07-22.0; height support2018</x:v>
      </x:c>
      <x:c r="O1261" s="2" t="str"/>
      <x:c r="P1261" s="2" t="str">
        <x:v>included-footprint horizontal area</x:v>
      </x:c>
      <x:c r="Q1261" s="2" t="str">
        <x:v>m2</x:v>
      </x:c>
      <x:c r="R1261" s="17" t="n">
        <x:v>34934138.07</x:v>
      </x:c>
      <x:c r="S1261" s="17" t="n">
        <x:v>34102626.52</x:v>
      </x:c>
      <x:c r="T1261" s="18" t="n">
        <x:v>0.9999999999999984</x:v>
      </x:c>
      <x:c r="U1261" s="17" t="n">
        <x:v>34102626.51999995</x:v>
      </x:c>
      <x:c r="V1261" s="2" t="str">
        <x:v>Area equivalent = model2020 * OBAT footprint / TEMPO2020 footprint</x:v>
      </x:c>
      <x:c r="W1261" s="2" t="str">
        <x:v>qualified_source_frame_numeric_summary</x:v>
      </x:c>
      <x:c r="X1261" s="2" t="str">
        <x:v>https://data.jrc.ec.europa.eu/dataset/f41a22f1-5741-4c41-86eb-6384654f6927</x:v>
      </x:c>
    </x:row>
    <x:row r="1262" ht="23" customHeight="1">
      <x:c r="A1262" s="2" t="str">
        <x:v>GRC</x:v>
      </x:c>
      <x:c r="B1262" s="2" t="str">
        <x:v>Greece (Hellenic Republic)</x:v>
      </x:c>
      <x:c r="C1262" s="2" t="n">
        <x:v>2020</x:v>
      </x:c>
      <x:c r="D1262" s="2" t="str">
        <x:v>OBAT_FOOTPRINT</x:v>
      </x:c>
      <x:c r="E1262" s="17" t="n">
        <x:v>853851739.6700008</x:v>
      </x:c>
      <x:c r="F1262" s="17" t="n">
        <x:f>IF(AND(M1262,ISNUMBER(R1262)),IF(D1262="TEMPO_PROXY",R1262,IF(AND(ISNUMBER(S1262),S1262&gt;0,ISNUMBER(U1262)),U1262*R1262/S1262,"n.a.")),"n.a.")</x:f>
        <x:v>900261233.6200008</x:v>
      </x:c>
      <x:c r="G1262" s="17" t="n">
        <x:f>IF(AND(ISNUMBER(E1262),ISNUMBER(F1262)),E1262-F1262,"n.a.")</x:f>
        <x:v>-46409493.95000005</x:v>
      </x:c>
      <x:c r="H1262" s="15" t="n">
        <x:f>IF(AND(ISNUMBER(E1262),ISNUMBER(F1262),F1262&gt;0),(E1262-F1262)/F1262,"n.a.")</x:f>
        <x:v>-0.05155114117641706</x:v>
      </x:c>
      <x:c r="I1262" s="19" t="n">
        <x:f>IF(ISNUMBER(H1262),ABS(H1262),"n.a.")</x:f>
        <x:v>0.05155114117641706</x:v>
      </x:c>
      <x:c r="J1262" s="2" t="str">
        <x:v>available</x:v>
      </x:c>
      <x:c r="K1262" s="2" t="n">
        <x:v>1</x:v>
      </x:c>
      <x:c r="L1262" s="13" t="b">
        <x:v>0</x:v>
      </x:c>
      <x:c r="M1262" s="13" t="b">
        <x:v>1</x:v>
      </x:c>
      <x:c r="N1262" s="2" t="str">
        <x:v>nominal2020; Overture geometry2024-07-22.0; height support2018</x:v>
      </x:c>
      <x:c r="O1262" s="2" t="str"/>
      <x:c r="P1262" s="2" t="str">
        <x:v>included-footprint horizontal area</x:v>
      </x:c>
      <x:c r="Q1262" s="2" t="str">
        <x:v>m2</x:v>
      </x:c>
      <x:c r="R1262" s="17" t="n">
        <x:v>900261233.62</x:v>
      </x:c>
      <x:c r="S1262" s="17" t="n">
        <x:v>853851739.67</x:v>
      </x:c>
      <x:c r="T1262" s="18" t="n">
        <x:v>1.0000000000000009</x:v>
      </x:c>
      <x:c r="U1262" s="17" t="n">
        <x:v>853851739.6700008</x:v>
      </x:c>
      <x:c r="V1262" s="2" t="str">
        <x:v>Area equivalent = model2020 * OBAT footprint / TEMPO2020 footprint</x:v>
      </x:c>
      <x:c r="W1262" s="2" t="str">
        <x:v>qualified_source_frame_numeric_summary</x:v>
      </x:c>
      <x:c r="X1262" s="2" t="str">
        <x:v>https://data.jrc.ec.europa.eu/dataset/f41a22f1-5741-4c41-86eb-6384654f6927</x:v>
      </x:c>
    </x:row>
    <x:row r="1263" ht="23" customHeight="1">
      <x:c r="A1263" s="2" t="str">
        <x:v>GRD</x:v>
      </x:c>
      <x:c r="B1263" s="2" t="str">
        <x:v>Grenada</x:v>
      </x:c>
      <x:c r="C1263" s="2" t="n">
        <x:v>2020</x:v>
      </x:c>
      <x:c r="D1263" s="2" t="str">
        <x:v>OBAT_FOOTPRINT</x:v>
      </x:c>
      <x:c r="E1263" s="17" t="n">
        <x:v>6904998.419999993</x:v>
      </x:c>
      <x:c r="F1263" s="17" t="n">
        <x:f>IF(AND(M1263,ISNUMBER(R1263)),IF(D1263="TEMPO_PROXY",R1263,IF(AND(ISNUMBER(S1263),S1263&gt;0,ISNUMBER(U1263)),U1263*R1263/S1263,"n.a.")),"n.a.")</x:f>
        <x:v>7432345.150000032</x:v>
      </x:c>
      <x:c r="G1263" s="17" t="n">
        <x:f>IF(AND(ISNUMBER(E1263),ISNUMBER(F1263)),E1263-F1263,"n.a.")</x:f>
        <x:v>-527346.7300000386</x:v>
      </x:c>
      <x:c r="H1263" s="15" t="n">
        <x:f>IF(AND(ISNUMBER(E1263),ISNUMBER(F1263),F1263&gt;0),(E1263-F1263)/F1263,"n.a.")</x:f>
        <x:v>-0.07095293872352475</x:v>
      </x:c>
      <x:c r="I1263" s="19" t="n">
        <x:f>IF(ISNUMBER(H1263),ABS(H1263),"n.a.")</x:f>
        <x:v>0.07095293872352475</x:v>
      </x:c>
      <x:c r="J1263" s="2" t="str">
        <x:v>available</x:v>
      </x:c>
      <x:c r="K1263" s="2" t="n">
        <x:v>1</x:v>
      </x:c>
      <x:c r="L1263" s="13" t="b">
        <x:v>0</x:v>
      </x:c>
      <x:c r="M1263" s="13" t="b">
        <x:v>1</x:v>
      </x:c>
      <x:c r="N1263" s="2" t="str">
        <x:v>nominal2020; Overture geometry2024-07-22.0; height support2018</x:v>
      </x:c>
      <x:c r="O1263" s="2" t="str"/>
      <x:c r="P1263" s="2" t="str">
        <x:v>included-footprint horizontal area</x:v>
      </x:c>
      <x:c r="Q1263" s="2" t="str">
        <x:v>m2</x:v>
      </x:c>
      <x:c r="R1263" s="17" t="n">
        <x:v>7432345.1500000395</x:v>
      </x:c>
      <x:c r="S1263" s="17" t="n">
        <x:v>6904998.42</x:v>
      </x:c>
      <x:c r="T1263" s="18" t="n">
        <x:v>0.999999999999999</x:v>
      </x:c>
      <x:c r="U1263" s="17" t="n">
        <x:v>6904998.419999993</x:v>
      </x:c>
      <x:c r="V1263" s="2" t="str">
        <x:v>Area equivalent = model2020 * OBAT footprint / TEMPO2020 footprint</x:v>
      </x:c>
      <x:c r="W1263" s="2" t="str">
        <x:v>qualified_source_frame_numeric_summary</x:v>
      </x:c>
      <x:c r="X1263" s="2" t="str">
        <x:v>https://data.jrc.ec.europa.eu/dataset/f41a22f1-5741-4c41-86eb-6384654f6927</x:v>
      </x:c>
    </x:row>
    <x:row r="1264" ht="23" customHeight="1">
      <x:c r="A1264" s="2" t="str">
        <x:v>GTM</x:v>
      </x:c>
      <x:c r="B1264" s="2" t="str">
        <x:v>Guatemala (Republic of)</x:v>
      </x:c>
      <x:c r="C1264" s="2" t="n">
        <x:v>2020</x:v>
      </x:c>
      <x:c r="D1264" s="2" t="str">
        <x:v>OBAT_FOOTPRINT</x:v>
      </x:c>
      <x:c r="E1264" s="17" t="n">
        <x:v>599114028.8099989</x:v>
      </x:c>
      <x:c r="F1264" s="17" t="n">
        <x:f>IF(AND(M1264,ISNUMBER(R1264)),IF(D1264="TEMPO_PROXY",R1264,IF(AND(ISNUMBER(S1264),S1264&gt;0,ISNUMBER(U1264)),U1264*R1264/S1264,"n.a.")),"n.a.")</x:f>
        <x:v>675151613.0799986</x:v>
      </x:c>
      <x:c r="G1264" s="17" t="n">
        <x:f>IF(AND(ISNUMBER(E1264),ISNUMBER(F1264)),E1264-F1264,"n.a.")</x:f>
        <x:v>-76037584.26999974</x:v>
      </x:c>
      <x:c r="H1264" s="15" t="n">
        <x:f>IF(AND(ISNUMBER(E1264),ISNUMBER(F1264),F1264&gt;0),(E1264-F1264)/F1264,"n.a.")</x:f>
        <x:v>-0.11262297652392643</x:v>
      </x:c>
      <x:c r="I1264" s="19" t="n">
        <x:f>IF(ISNUMBER(H1264),ABS(H1264),"n.a.")</x:f>
        <x:v>0.11262297652392643</x:v>
      </x:c>
      <x:c r="J1264" s="2" t="str">
        <x:v>available</x:v>
      </x:c>
      <x:c r="K1264" s="2" t="n">
        <x:v>1</x:v>
      </x:c>
      <x:c r="L1264" s="13" t="b">
        <x:v>0</x:v>
      </x:c>
      <x:c r="M1264" s="13" t="b">
        <x:v>1</x:v>
      </x:c>
      <x:c r="N1264" s="2" t="str">
        <x:v>nominal2020; Overture geometry2024-07-22.0; height support2018</x:v>
      </x:c>
      <x:c r="O1264" s="2" t="str"/>
      <x:c r="P1264" s="2" t="str">
        <x:v>included-footprint horizontal area</x:v>
      </x:c>
      <x:c r="Q1264" s="2" t="str">
        <x:v>m2</x:v>
      </x:c>
      <x:c r="R1264" s="17" t="n">
        <x:v>675151613.0799999</x:v>
      </x:c>
      <x:c r="S1264" s="17" t="n">
        <x:v>599114028.81</x:v>
      </x:c>
      <x:c r="T1264" s="18" t="n">
        <x:v>0.9999999999999982</x:v>
      </x:c>
      <x:c r="U1264" s="17" t="n">
        <x:v>599114028.8099989</x:v>
      </x:c>
      <x:c r="V1264" s="2" t="str">
        <x:v>Area equivalent = model2020 * OBAT footprint / TEMPO2020 footprint</x:v>
      </x:c>
      <x:c r="W1264" s="2" t="str">
        <x:v>qualified_source_frame_numeric_summary</x:v>
      </x:c>
      <x:c r="X1264" s="2" t="str">
        <x:v>https://data.jrc.ec.europa.eu/dataset/f41a22f1-5741-4c41-86eb-6384654f6927</x:v>
      </x:c>
    </x:row>
    <x:row r="1265" ht="23" customHeight="1">
      <x:c r="A1265" s="2" t="str">
        <x:v>GUY</x:v>
      </x:c>
      <x:c r="B1265" s="2" t="str">
        <x:v>Guyana (Co-operative Republic of)</x:v>
      </x:c>
      <x:c r="C1265" s="2" t="n">
        <x:v>2020</x:v>
      </x:c>
      <x:c r="D1265" s="2" t="str">
        <x:v>OBAT_FOOTPRINT</x:v>
      </x:c>
      <x:c r="E1265" s="17" t="n">
        <x:v>46462035.66000002</x:v>
      </x:c>
      <x:c r="F1265" s="17" t="n">
        <x:f>IF(AND(M1265,ISNUMBER(R1265)),IF(D1265="TEMPO_PROXY",R1265,IF(AND(ISNUMBER(S1265),S1265&gt;0,ISNUMBER(U1265)),U1265*R1265/S1265,"n.a.")),"n.a.")</x:f>
        <x:v>41194615.15000002</x:v>
      </x:c>
      <x:c r="G1265" s="17" t="n">
        <x:f>IF(AND(ISNUMBER(E1265),ISNUMBER(F1265)),E1265-F1265,"n.a.")</x:f>
        <x:v>5267420.509999998</x:v>
      </x:c>
      <x:c r="H1265" s="15" t="n">
        <x:f>IF(AND(ISNUMBER(E1265),ISNUMBER(F1265),F1265&gt;0),(E1265-F1265)/F1265,"n.a.")</x:f>
        <x:v>0.12786672459058027</x:v>
      </x:c>
      <x:c r="I1265" s="19" t="n">
        <x:f>IF(ISNUMBER(H1265),ABS(H1265),"n.a.")</x:f>
        <x:v>0.12786672459058027</x:v>
      </x:c>
      <x:c r="J1265" s="2" t="str">
        <x:v>available</x:v>
      </x:c>
      <x:c r="K1265" s="2" t="n">
        <x:v>1</x:v>
      </x:c>
      <x:c r="L1265" s="13" t="b">
        <x:v>0</x:v>
      </x:c>
      <x:c r="M1265" s="13" t="b">
        <x:v>1</x:v>
      </x:c>
      <x:c r="N1265" s="2" t="str">
        <x:v>nominal2020; Overture geometry2024-07-22.0; height support2018</x:v>
      </x:c>
      <x:c r="O1265" s="2" t="str"/>
      <x:c r="P1265" s="2" t="str">
        <x:v>included-footprint horizontal area</x:v>
      </x:c>
      <x:c r="Q1265" s="2" t="str">
        <x:v>m2</x:v>
      </x:c>
      <x:c r="R1265" s="17" t="n">
        <x:v>41194615.15</x:v>
      </x:c>
      <x:c r="S1265" s="17" t="n">
        <x:v>46462035.66</x:v>
      </x:c>
      <x:c r="T1265" s="18" t="n">
        <x:v>1.0000000000000004</x:v>
      </x:c>
      <x:c r="U1265" s="17" t="n">
        <x:v>46462035.66000002</x:v>
      </x:c>
      <x:c r="V1265" s="2" t="str">
        <x:v>Area equivalent = model2020 * OBAT footprint / TEMPO2020 footprint</x:v>
      </x:c>
      <x:c r="W1265" s="2" t="str">
        <x:v>qualified_source_frame_numeric_summary</x:v>
      </x:c>
      <x:c r="X1265" s="2" t="str">
        <x:v>https://data.jrc.ec.europa.eu/dataset/f41a22f1-5741-4c41-86eb-6384654f6927</x:v>
      </x:c>
    </x:row>
    <x:row r="1266" ht="23" customHeight="1">
      <x:c r="A1266" s="2" t="str">
        <x:v>HND</x:v>
      </x:c>
      <x:c r="B1266" s="2" t="str">
        <x:v>Honduras (Republic of)</x:v>
      </x:c>
      <x:c r="C1266" s="2" t="n">
        <x:v>2020</x:v>
      </x:c>
      <x:c r="D1266" s="2" t="str">
        <x:v>OBAT_FOOTPRINT</x:v>
      </x:c>
      <x:c r="E1266" s="17" t="n">
        <x:v>335660713.2700002</x:v>
      </x:c>
      <x:c r="F1266" s="17" t="n">
        <x:f>IF(AND(M1266,ISNUMBER(R1266)),IF(D1266="TEMPO_PROXY",R1266,IF(AND(ISNUMBER(S1266),S1266&gt;0,ISNUMBER(U1266)),U1266*R1266/S1266,"n.a.")),"n.a.")</x:f>
        <x:v>368866980.2300002</x:v>
      </x:c>
      <x:c r="G1266" s="17" t="n">
        <x:f>IF(AND(ISNUMBER(E1266),ISNUMBER(F1266)),E1266-F1266,"n.a.")</x:f>
        <x:v>-33206266.95999998</x:v>
      </x:c>
      <x:c r="H1266" s="15" t="n">
        <x:f>IF(AND(ISNUMBER(E1266),ISNUMBER(F1266),F1266&gt;0),(E1266-F1266)/F1266,"n.a.")</x:f>
        <x:v>-0.0900223352583493</x:v>
      </x:c>
      <x:c r="I1266" s="19" t="n">
        <x:f>IF(ISNUMBER(H1266),ABS(H1266),"n.a.")</x:f>
        <x:v>0.0900223352583493</x:v>
      </x:c>
      <x:c r="J1266" s="2" t="str">
        <x:v>available</x:v>
      </x:c>
      <x:c r="K1266" s="2" t="n">
        <x:v>1</x:v>
      </x:c>
      <x:c r="L1266" s="13" t="b">
        <x:v>0</x:v>
      </x:c>
      <x:c r="M1266" s="13" t="b">
        <x:v>1</x:v>
      </x:c>
      <x:c r="N1266" s="2" t="str">
        <x:v>nominal2020; Overture geometry2024-07-22.0; height support2018</x:v>
      </x:c>
      <x:c r="O1266" s="2" t="str"/>
      <x:c r="P1266" s="2" t="str">
        <x:v>included-footprint horizontal area</x:v>
      </x:c>
      <x:c r="Q1266" s="2" t="str">
        <x:v>m2</x:v>
      </x:c>
      <x:c r="R1266" s="17" t="n">
        <x:v>368866980.22999996</x:v>
      </x:c>
      <x:c r="S1266" s="17" t="n">
        <x:v>335660713.27</x:v>
      </x:c>
      <x:c r="T1266" s="18" t="n">
        <x:v>1.0000000000000007</x:v>
      </x:c>
      <x:c r="U1266" s="17" t="n">
        <x:v>335660713.2700002</x:v>
      </x:c>
      <x:c r="V1266" s="2" t="str">
        <x:v>Area equivalent = model2020 * OBAT footprint / TEMPO2020 footprint</x:v>
      </x:c>
      <x:c r="W1266" s="2" t="str">
        <x:v>qualified_source_frame_numeric_summary</x:v>
      </x:c>
      <x:c r="X1266" s="2" t="str">
        <x:v>https://data.jrc.ec.europa.eu/dataset/f41a22f1-5741-4c41-86eb-6384654f6927</x:v>
      </x:c>
    </x:row>
    <x:row r="1267" ht="23" customHeight="1">
      <x:c r="A1267" s="2" t="str">
        <x:v>HRV</x:v>
      </x:c>
      <x:c r="B1267" s="2" t="str">
        <x:v>Croatia (Republic of)</x:v>
      </x:c>
      <x:c r="C1267" s="2" t="n">
        <x:v>2020</x:v>
      </x:c>
      <x:c r="D1267" s="2" t="str">
        <x:v>OBAT_FOOTPRINT</x:v>
      </x:c>
      <x:c r="E1267" s="17" t="n">
        <x:v>361520718.4299994</x:v>
      </x:c>
      <x:c r="F1267" s="17" t="n">
        <x:f>IF(AND(M1267,ISNUMBER(R1267)),IF(D1267="TEMPO_PROXY",R1267,IF(AND(ISNUMBER(S1267),S1267&gt;0,ISNUMBER(U1267)),U1267*R1267/S1267,"n.a.")),"n.a.")</x:f>
        <x:v>364778865.3299994</x:v>
      </x:c>
      <x:c r="G1267" s="17" t="n">
        <x:f>IF(AND(ISNUMBER(E1267),ISNUMBER(F1267)),E1267-F1267,"n.a.")</x:f>
        <x:v>-3258146.899999976</x:v>
      </x:c>
      <x:c r="H1267" s="15" t="n">
        <x:f>IF(AND(ISNUMBER(E1267),ISNUMBER(F1267),F1267&gt;0),(E1267-F1267)/F1267,"n.a.")</x:f>
        <x:v>-0.008931841204814522</x:v>
      </x:c>
      <x:c r="I1267" s="19" t="n">
        <x:f>IF(ISNUMBER(H1267),ABS(H1267),"n.a.")</x:f>
        <x:v>0.008931841204814522</x:v>
      </x:c>
      <x:c r="J1267" s="2" t="str">
        <x:v>available</x:v>
      </x:c>
      <x:c r="K1267" s="2" t="n">
        <x:v>1</x:v>
      </x:c>
      <x:c r="L1267" s="13" t="b">
        <x:v>0</x:v>
      </x:c>
      <x:c r="M1267" s="13" t="b">
        <x:v>1</x:v>
      </x:c>
      <x:c r="N1267" s="2" t="str">
        <x:v>nominal2020; Overture geometry2024-07-22.0; height support2018</x:v>
      </x:c>
      <x:c r="O1267" s="2" t="str"/>
      <x:c r="P1267" s="2" t="str">
        <x:v>included-footprint horizontal area</x:v>
      </x:c>
      <x:c r="Q1267" s="2" t="str">
        <x:v>m2</x:v>
      </x:c>
      <x:c r="R1267" s="17" t="n">
        <x:v>364778865.33</x:v>
      </x:c>
      <x:c r="S1267" s="17" t="n">
        <x:v>361520718.43</x:v>
      </x:c>
      <x:c r="T1267" s="18" t="n">
        <x:v>0.9999999999999983</x:v>
      </x:c>
      <x:c r="U1267" s="17" t="n">
        <x:v>361520718.4299994</x:v>
      </x:c>
      <x:c r="V1267" s="2" t="str">
        <x:v>Area equivalent = model2020 * OBAT footprint / TEMPO2020 footprint</x:v>
      </x:c>
      <x:c r="W1267" s="2" t="str">
        <x:v>qualified_source_frame_numeric_summary</x:v>
      </x:c>
      <x:c r="X1267" s="2" t="str">
        <x:v>https://data.jrc.ec.europa.eu/dataset/f41a22f1-5741-4c41-86eb-6384654f6927</x:v>
      </x:c>
    </x:row>
    <x:row r="1268" ht="23" customHeight="1">
      <x:c r="A1268" s="2" t="str">
        <x:v>HTI</x:v>
      </x:c>
      <x:c r="B1268" s="2" t="str">
        <x:v>Haiti (Republic of)</x:v>
      </x:c>
      <x:c r="C1268" s="2" t="n">
        <x:v>2020</x:v>
      </x:c>
      <x:c r="D1268" s="2" t="str">
        <x:v>OBAT_FOOTPRINT</x:v>
      </x:c>
      <x:c r="E1268" s="17" t="n">
        <x:v>189002396.5400002</x:v>
      </x:c>
      <x:c r="F1268" s="17" t="n">
        <x:f>IF(AND(M1268,ISNUMBER(R1268)),IF(D1268="TEMPO_PROXY",R1268,IF(AND(ISNUMBER(S1268),S1268&gt;0,ISNUMBER(U1268)),U1268*R1268/S1268,"n.a.")),"n.a.")</x:f>
        <x:v>210546088.0600002</x:v>
      </x:c>
      <x:c r="G1268" s="17" t="n">
        <x:f>IF(AND(ISNUMBER(E1268),ISNUMBER(F1268)),E1268-F1268,"n.a.")</x:f>
        <x:v>-21543691.52000001</x:v>
      </x:c>
      <x:c r="H1268" s="15" t="n">
        <x:f>IF(AND(ISNUMBER(E1268),ISNUMBER(F1268),F1268&gt;0),(E1268-F1268)/F1268,"n.a.")</x:f>
        <x:v>-0.10232292472639345</x:v>
      </x:c>
      <x:c r="I1268" s="19" t="n">
        <x:f>IF(ISNUMBER(H1268),ABS(H1268),"n.a.")</x:f>
        <x:v>0.10232292472639345</x:v>
      </x:c>
      <x:c r="J1268" s="2" t="str">
        <x:v>available</x:v>
      </x:c>
      <x:c r="K1268" s="2" t="n">
        <x:v>1</x:v>
      </x:c>
      <x:c r="L1268" s="13" t="b">
        <x:v>0</x:v>
      </x:c>
      <x:c r="M1268" s="13" t="b">
        <x:v>1</x:v>
      </x:c>
      <x:c r="N1268" s="2" t="str">
        <x:v>nominal2020; Overture geometry2024-07-22.0; height support2018</x:v>
      </x:c>
      <x:c r="O1268" s="2" t="str"/>
      <x:c r="P1268" s="2" t="str">
        <x:v>included-footprint horizontal area</x:v>
      </x:c>
      <x:c r="Q1268" s="2" t="str">
        <x:v>m2</x:v>
      </x:c>
      <x:c r="R1268" s="17" t="n">
        <x:v>210546088.06</x:v>
      </x:c>
      <x:c r="S1268" s="17" t="n">
        <x:v>189002396.54</x:v>
      </x:c>
      <x:c r="T1268" s="18" t="n">
        <x:v>1.000000000000001</x:v>
      </x:c>
      <x:c r="U1268" s="17" t="n">
        <x:v>189002396.5400002</x:v>
      </x:c>
      <x:c r="V1268" s="2" t="str">
        <x:v>Area equivalent = model2020 * OBAT footprint / TEMPO2020 footprint</x:v>
      </x:c>
      <x:c r="W1268" s="2" t="str">
        <x:v>qualified_source_frame_numeric_summary</x:v>
      </x:c>
      <x:c r="X1268" s="2" t="str">
        <x:v>https://data.jrc.ec.europa.eu/dataset/f41a22f1-5741-4c41-86eb-6384654f6927</x:v>
      </x:c>
    </x:row>
    <x:row r="1269" ht="23" customHeight="1">
      <x:c r="A1269" s="2" t="str">
        <x:v>HUN</x:v>
      </x:c>
      <x:c r="B1269" s="2" t="str">
        <x:v>Hungary</x:v>
      </x:c>
      <x:c r="C1269" s="2" t="n">
        <x:v>2020</x:v>
      </x:c>
      <x:c r="D1269" s="2" t="str">
        <x:v>OBAT_FOOTPRINT</x:v>
      </x:c>
      <x:c r="E1269" s="17" t="n">
        <x:v>853072780.5300013</x:v>
      </x:c>
      <x:c r="F1269" s="17" t="n">
        <x:f>IF(AND(M1269,ISNUMBER(R1269)),IF(D1269="TEMPO_PROXY",R1269,IF(AND(ISNUMBER(S1269),S1269&gt;0,ISNUMBER(U1269)),U1269*R1269/S1269,"n.a.")),"n.a.")</x:f>
        <x:v>829873348.1200013</x:v>
      </x:c>
      <x:c r="G1269" s="17" t="n">
        <x:f>IF(AND(ISNUMBER(E1269),ISNUMBER(F1269)),E1269-F1269,"n.a.")</x:f>
        <x:v>23199432.409999967</x:v>
      </x:c>
      <x:c r="H1269" s="15" t="n">
        <x:f>IF(AND(ISNUMBER(E1269),ISNUMBER(F1269),F1269&gt;0),(E1269-F1269)/F1269,"n.a.")</x:f>
        <x:v>0.027955389171800807</x:v>
      </x:c>
      <x:c r="I1269" s="19" t="n">
        <x:f>IF(ISNUMBER(H1269),ABS(H1269),"n.a.")</x:f>
        <x:v>0.027955389171800807</x:v>
      </x:c>
      <x:c r="J1269" s="2" t="str">
        <x:v>available</x:v>
      </x:c>
      <x:c r="K1269" s="2" t="n">
        <x:v>1</x:v>
      </x:c>
      <x:c r="L1269" s="13" t="b">
        <x:v>0</x:v>
      </x:c>
      <x:c r="M1269" s="13" t="b">
        <x:v>1</x:v>
      </x:c>
      <x:c r="N1269" s="2" t="str">
        <x:v>nominal2020; Overture geometry2024-07-22.0; height support2018</x:v>
      </x:c>
      <x:c r="O1269" s="2" t="str"/>
      <x:c r="P1269" s="2" t="str">
        <x:v>included-footprint horizontal area</x:v>
      </x:c>
      <x:c r="Q1269" s="2" t="str">
        <x:v>m2</x:v>
      </x:c>
      <x:c r="R1269" s="17" t="n">
        <x:v>829873348.12</x:v>
      </x:c>
      <x:c r="S1269" s="17" t="n">
        <x:v>853072780.53</x:v>
      </x:c>
      <x:c r="T1269" s="18" t="n">
        <x:v>1.0000000000000016</x:v>
      </x:c>
      <x:c r="U1269" s="17" t="n">
        <x:v>853072780.5300013</x:v>
      </x:c>
      <x:c r="V1269" s="2" t="str">
        <x:v>Area equivalent = model2020 * OBAT footprint / TEMPO2020 footprint</x:v>
      </x:c>
      <x:c r="W1269" s="2" t="str">
        <x:v>qualified_source_frame_numeric_summary</x:v>
      </x:c>
      <x:c r="X1269" s="2" t="str">
        <x:v>https://data.jrc.ec.europa.eu/dataset/f41a22f1-5741-4c41-86eb-6384654f6927</x:v>
      </x:c>
    </x:row>
    <x:row r="1270" ht="23" customHeight="1">
      <x:c r="A1270" s="2" t="str">
        <x:v>IDN</x:v>
      </x:c>
      <x:c r="B1270" s="2" t="str">
        <x:v>Indonesia (Republic of)</x:v>
      </x:c>
      <x:c r="C1270" s="2" t="n">
        <x:v>2020</x:v>
      </x:c>
      <x:c r="D1270" s="2" t="str">
        <x:v>OBAT_FOOTPRINT</x:v>
      </x:c>
      <x:c r="E1270" s="17" t="n">
        <x:v>10794355074.089985</x:v>
      </x:c>
      <x:c r="F1270" s="17" t="n">
        <x:f>IF(AND(M1270,ISNUMBER(R1270)),IF(D1270="TEMPO_PROXY",R1270,IF(AND(ISNUMBER(S1270),S1270&gt;0,ISNUMBER(U1270)),U1270*R1270/S1270,"n.a.")),"n.a.")</x:f>
        <x:v>10631809672.649986</x:v>
      </x:c>
      <x:c r="G1270" s="17" t="n">
        <x:f>IF(AND(ISNUMBER(E1270),ISNUMBER(F1270)),E1270-F1270,"n.a.")</x:f>
        <x:v>162545401.43999863</x:v>
      </x:c>
      <x:c r="H1270" s="15" t="n">
        <x:f>IF(AND(ISNUMBER(E1270),ISNUMBER(F1270),F1270&gt;0),(E1270-F1270)/F1270,"n.a.")</x:f>
        <x:v>0.015288592106585753</x:v>
      </x:c>
      <x:c r="I1270" s="19" t="n">
        <x:f>IF(ISNUMBER(H1270),ABS(H1270),"n.a.")</x:f>
        <x:v>0.015288592106585753</x:v>
      </x:c>
      <x:c r="J1270" s="2" t="str">
        <x:v>available</x:v>
      </x:c>
      <x:c r="K1270" s="2" t="n">
        <x:v>1</x:v>
      </x:c>
      <x:c r="L1270" s="13" t="b">
        <x:v>0</x:v>
      </x:c>
      <x:c r="M1270" s="13" t="b">
        <x:v>1</x:v>
      </x:c>
      <x:c r="N1270" s="2" t="str">
        <x:v>nominal2020; Overture geometry2024-07-22.0; height support2018</x:v>
      </x:c>
      <x:c r="O1270" s="2" t="str"/>
      <x:c r="P1270" s="2" t="str">
        <x:v>included-footprint horizontal area</x:v>
      </x:c>
      <x:c r="Q1270" s="2" t="str">
        <x:v>m2</x:v>
      </x:c>
      <x:c r="R1270" s="17" t="n">
        <x:v>10631809672.650002</x:v>
      </x:c>
      <x:c r="S1270" s="17" t="n">
        <x:v>10794355074.09</x:v>
      </x:c>
      <x:c r="T1270" s="18" t="n">
        <x:v>0.9999999999999986</x:v>
      </x:c>
      <x:c r="U1270" s="17" t="n">
        <x:v>10794355074.089985</x:v>
      </x:c>
      <x:c r="V1270" s="2" t="str">
        <x:v>Area equivalent = model2020 * OBAT footprint / TEMPO2020 footprint</x:v>
      </x:c>
      <x:c r="W1270" s="2" t="str">
        <x:v>qualified_source_frame_numeric_summary</x:v>
      </x:c>
      <x:c r="X1270" s="2" t="str">
        <x:v>https://data.jrc.ec.europa.eu/dataset/f41a22f1-5741-4c41-86eb-6384654f6927</x:v>
      </x:c>
    </x:row>
    <x:row r="1271" ht="23" customHeight="1">
      <x:c r="A1271" s="2" t="str">
        <x:v>IND</x:v>
      </x:c>
      <x:c r="B1271" s="2" t="str">
        <x:v>India (Republic of)</x:v>
      </x:c>
      <x:c r="C1271" s="2" t="n">
        <x:v>2020</x:v>
      </x:c>
      <x:c r="D1271" s="2" t="str">
        <x:v>OBAT_FOOTPRINT</x:v>
      </x:c>
      <x:c r="E1271" s="17" t="n">
        <x:v>27853638424.040043</x:v>
      </x:c>
      <x:c r="F1271" s="17" t="n">
        <x:f>IF(AND(M1271,ISNUMBER(R1271)),IF(D1271="TEMPO_PROXY",R1271,IF(AND(ISNUMBER(S1271),S1271&gt;0,ISNUMBER(U1271)),U1271*R1271/S1271,"n.a.")),"n.a.")</x:f>
        <x:v>31182073061.300045</x:v>
      </x:c>
      <x:c r="G1271" s="17" t="n">
        <x:f>IF(AND(ISNUMBER(E1271),ISNUMBER(F1271)),E1271-F1271,"n.a.")</x:f>
        <x:v>-3328434637.260002</x:v>
      </x:c>
      <x:c r="H1271" s="15" t="n">
        <x:f>IF(AND(ISNUMBER(E1271),ISNUMBER(F1271),F1271&gt;0),(E1271-F1271)/F1271,"n.a.")</x:f>
        <x:v>-0.10674192927188379</x:v>
      </x:c>
      <x:c r="I1271" s="19" t="n">
        <x:f>IF(ISNUMBER(H1271),ABS(H1271),"n.a.")</x:f>
        <x:v>0.10674192927188379</x:v>
      </x:c>
      <x:c r="J1271" s="2" t="str">
        <x:v>available</x:v>
      </x:c>
      <x:c r="K1271" s="2" t="n">
        <x:v>1</x:v>
      </x:c>
      <x:c r="L1271" s="13" t="b">
        <x:v>0</x:v>
      </x:c>
      <x:c r="M1271" s="13" t="b">
        <x:v>1</x:v>
      </x:c>
      <x:c r="N1271" s="2" t="str">
        <x:v>nominal2020; Overture geometry2024-07-22.0; height support2018</x:v>
      </x:c>
      <x:c r="O1271" s="2" t="str"/>
      <x:c r="P1271" s="2" t="str">
        <x:v>included-footprint horizontal area</x:v>
      </x:c>
      <x:c r="Q1271" s="2" t="str">
        <x:v>m2</x:v>
      </x:c>
      <x:c r="R1271" s="17" t="n">
        <x:v>31182073061.3</x:v>
      </x:c>
      <x:c r="S1271" s="17" t="n">
        <x:v>27853638424.04</x:v>
      </x:c>
      <x:c r="T1271" s="18" t="n">
        <x:v>1.0000000000000016</x:v>
      </x:c>
      <x:c r="U1271" s="17" t="n">
        <x:v>27853638424.040043</x:v>
      </x:c>
      <x:c r="V1271" s="2" t="str">
        <x:v>Area equivalent = model2020 * OBAT footprint / TEMPO2020 footprint</x:v>
      </x:c>
      <x:c r="W1271" s="2" t="str">
        <x:v>qualified_source_frame_numeric_summary</x:v>
      </x:c>
      <x:c r="X1271" s="2" t="str">
        <x:v>https://data.jrc.ec.europa.eu/dataset/f41a22f1-5741-4c41-86eb-6384654f6927</x:v>
      </x:c>
    </x:row>
    <x:row r="1272" ht="23" customHeight="1">
      <x:c r="A1272" s="2" t="str">
        <x:v>IRL</x:v>
      </x:c>
      <x:c r="B1272" s="2" t="str">
        <x:v>Ireland</x:v>
      </x:c>
      <x:c r="C1272" s="2" t="n">
        <x:v>2020</x:v>
      </x:c>
      <x:c r="D1272" s="2" t="str">
        <x:v>OBAT_FOOTPRINT</x:v>
      </x:c>
      <x:c r="E1272" s="17" t="n">
        <x:v>426553619.39999974</x:v>
      </x:c>
      <x:c r="F1272" s="17" t="n">
        <x:f>IF(AND(M1272,ISNUMBER(R1272)),IF(D1272="TEMPO_PROXY",R1272,IF(AND(ISNUMBER(S1272),S1272&gt;0,ISNUMBER(U1272)),U1272*R1272/S1272,"n.a.")),"n.a.")</x:f>
        <x:v>463922117.9899997</x:v>
      </x:c>
      <x:c r="G1272" s="17" t="n">
        <x:f>IF(AND(ISNUMBER(E1272),ISNUMBER(F1272)),E1272-F1272,"n.a.")</x:f>
        <x:v>-37368498.589999974</x:v>
      </x:c>
      <x:c r="H1272" s="15" t="n">
        <x:f>IF(AND(ISNUMBER(E1272),ISNUMBER(F1272),F1272&gt;0),(E1272-F1272)/F1272,"n.a.")</x:f>
        <x:v>-0.08054907740097333</x:v>
      </x:c>
      <x:c r="I1272" s="19" t="n">
        <x:f>IF(ISNUMBER(H1272),ABS(H1272),"n.a.")</x:f>
        <x:v>0.08054907740097333</x:v>
      </x:c>
      <x:c r="J1272" s="2" t="str">
        <x:v>available</x:v>
      </x:c>
      <x:c r="K1272" s="2" t="n">
        <x:v>1</x:v>
      </x:c>
      <x:c r="L1272" s="13" t="b">
        <x:v>0</x:v>
      </x:c>
      <x:c r="M1272" s="13" t="b">
        <x:v>1</x:v>
      </x:c>
      <x:c r="N1272" s="2" t="str">
        <x:v>nominal2020; Overture geometry2024-07-22.0; height support2018</x:v>
      </x:c>
      <x:c r="O1272" s="2" t="str"/>
      <x:c r="P1272" s="2" t="str">
        <x:v>included-footprint horizontal area</x:v>
      </x:c>
      <x:c r="Q1272" s="2" t="str">
        <x:v>m2</x:v>
      </x:c>
      <x:c r="R1272" s="17" t="n">
        <x:v>463922117.98999995</x:v>
      </x:c>
      <x:c r="S1272" s="17" t="n">
        <x:v>426553619.4</x:v>
      </x:c>
      <x:c r="T1272" s="18" t="n">
        <x:v>0.9999999999999994</x:v>
      </x:c>
      <x:c r="U1272" s="17" t="n">
        <x:v>426553619.39999974</x:v>
      </x:c>
      <x:c r="V1272" s="2" t="str">
        <x:v>Area equivalent = model2020 * OBAT footprint / TEMPO2020 footprint</x:v>
      </x:c>
      <x:c r="W1272" s="2" t="str">
        <x:v>qualified_source_frame_numeric_summary</x:v>
      </x:c>
      <x:c r="X1272" s="2" t="str">
        <x:v>https://data.jrc.ec.europa.eu/dataset/f41a22f1-5741-4c41-86eb-6384654f6927</x:v>
      </x:c>
    </x:row>
    <x:row r="1273" ht="23" customHeight="1">
      <x:c r="A1273" s="2" t="str">
        <x:v>IRN</x:v>
      </x:c>
      <x:c r="B1273" s="2" t="str">
        <x:v>Iran (Islamic Republic of)</x:v>
      </x:c>
      <x:c r="C1273" s="2" t="n">
        <x:v>2020</x:v>
      </x:c>
      <x:c r="D1273" s="2" t="str">
        <x:v>OBAT_FOOTPRINT</x:v>
      </x:c>
      <x:c r="E1273" s="17" t="n">
        <x:v>3753827768.770001</x:v>
      </x:c>
      <x:c r="F1273" s="17" t="n">
        <x:f>IF(AND(M1273,ISNUMBER(R1273)),IF(D1273="TEMPO_PROXY",R1273,IF(AND(ISNUMBER(S1273),S1273&gt;0,ISNUMBER(U1273)),U1273*R1273/S1273,"n.a.")),"n.a.")</x:f>
        <x:v>2058291514.2970574</x:v>
      </x:c>
      <x:c r="G1273" s="17" t="n">
        <x:f>IF(AND(ISNUMBER(E1273),ISNUMBER(F1273)),E1273-F1273,"n.a.")</x:f>
        <x:v>1695536254.4729435</x:v>
      </x:c>
      <x:c r="H1273" s="15" t="n">
        <x:f>IF(AND(ISNUMBER(E1273),ISNUMBER(F1273),F1273&gt;0),(E1273-F1273)/F1273,"n.a.")</x:f>
        <x:v>0.8237590461290897</x:v>
      </x:c>
      <x:c r="I1273" s="19" t="n">
        <x:f>IF(ISNUMBER(H1273),ABS(H1273),"n.a.")</x:f>
        <x:v>0.8237590461290897</x:v>
      </x:c>
      <x:c r="J1273" s="2" t="str">
        <x:v>available</x:v>
      </x:c>
      <x:c r="K1273" s="2" t="n">
        <x:v>1</x:v>
      </x:c>
      <x:c r="L1273" s="13" t="b">
        <x:v>0</x:v>
      </x:c>
      <x:c r="M1273" s="13" t="b">
        <x:v>1</x:v>
      </x:c>
      <x:c r="N1273" s="2" t="str">
        <x:v>nominal2020; Overture geometry2024-07-22.0; height support2018</x:v>
      </x:c>
      <x:c r="O1273" s="2" t="str"/>
      <x:c r="P1273" s="2" t="str">
        <x:v>included-footprint horizontal area</x:v>
      </x:c>
      <x:c r="Q1273" s="2" t="str">
        <x:v>m2</x:v>
      </x:c>
      <x:c r="R1273" s="17" t="n">
        <x:v>2026501559.97</x:v>
      </x:c>
      <x:c r="S1273" s="17" t="n">
        <x:v>3695850551.99</x:v>
      </x:c>
      <x:c r="T1273" s="18" t="n">
        <x:v>1.0156871107108982</x:v>
      </x:c>
      <x:c r="U1273" s="17" t="n">
        <x:v>3753827768.770001</x:v>
      </x:c>
      <x:c r="V1273" s="2" t="str">
        <x:v>Area equivalent = model2020 * OBAT footprint / TEMPO2020 footprint</x:v>
      </x:c>
      <x:c r="W1273" s="2" t="str">
        <x:v>qualified_source_frame_numeric_summary</x:v>
      </x:c>
      <x:c r="X1273" s="2" t="str">
        <x:v>https://data.jrc.ec.europa.eu/dataset/f41a22f1-5741-4c41-86eb-6384654f6927</x:v>
      </x:c>
    </x:row>
    <x:row r="1274" ht="23" customHeight="1">
      <x:c r="A1274" s="2" t="str">
        <x:v>IRQ</x:v>
      </x:c>
      <x:c r="B1274" s="2" t="str">
        <x:v>Iraq (Republic of)</x:v>
      </x:c>
      <x:c r="C1274" s="2" t="n">
        <x:v>2020</x:v>
      </x:c>
      <x:c r="D1274" s="2" t="str">
        <x:v>OBAT_FOOTPRINT</x:v>
      </x:c>
      <x:c r="E1274" s="17" t="n">
        <x:v>1226955244.870001</x:v>
      </x:c>
      <x:c r="F1274" s="17" t="n">
        <x:f>IF(AND(M1274,ISNUMBER(R1274)),IF(D1274="TEMPO_PROXY",R1274,IF(AND(ISNUMBER(S1274),S1274&gt;0,ISNUMBER(U1274)),U1274*R1274/S1274,"n.a.")),"n.a.")</x:f>
        <x:v>1174342782.890001</x:v>
      </x:c>
      <x:c r="G1274" s="17" t="n">
        <x:f>IF(AND(ISNUMBER(E1274),ISNUMBER(F1274)),E1274-F1274,"n.a.")</x:f>
        <x:v>52612461.98000002</x:v>
      </x:c>
      <x:c r="H1274" s="15" t="n">
        <x:f>IF(AND(ISNUMBER(E1274),ISNUMBER(F1274),F1274&gt;0),(E1274-F1274)/F1274,"n.a.")</x:f>
        <x:v>0.04480162244495877</x:v>
      </x:c>
      <x:c r="I1274" s="19" t="n">
        <x:f>IF(ISNUMBER(H1274),ABS(H1274),"n.a.")</x:f>
        <x:v>0.04480162244495877</x:v>
      </x:c>
      <x:c r="J1274" s="2" t="str">
        <x:v>available</x:v>
      </x:c>
      <x:c r="K1274" s="2" t="n">
        <x:v>1</x:v>
      </x:c>
      <x:c r="L1274" s="13" t="b">
        <x:v>0</x:v>
      </x:c>
      <x:c r="M1274" s="13" t="b">
        <x:v>1</x:v>
      </x:c>
      <x:c r="N1274" s="2" t="str">
        <x:v>nominal2020; Overture geometry2024-07-22.0; height support2018</x:v>
      </x:c>
      <x:c r="O1274" s="2" t="str"/>
      <x:c r="P1274" s="2" t="str">
        <x:v>included-footprint horizontal area</x:v>
      </x:c>
      <x:c r="Q1274" s="2" t="str">
        <x:v>m2</x:v>
      </x:c>
      <x:c r="R1274" s="17" t="n">
        <x:v>1174342782.8899999</x:v>
      </x:c>
      <x:c r="S1274" s="17" t="n">
        <x:v>1226955244.87</x:v>
      </x:c>
      <x:c r="T1274" s="18" t="n">
        <x:v>1.0000000000000009</x:v>
      </x:c>
      <x:c r="U1274" s="17" t="n">
        <x:v>1226955244.870001</x:v>
      </x:c>
      <x:c r="V1274" s="2" t="str">
        <x:v>Area equivalent = model2020 * OBAT footprint / TEMPO2020 footprint</x:v>
      </x:c>
      <x:c r="W1274" s="2" t="str">
        <x:v>qualified_source_frame_numeric_summary</x:v>
      </x:c>
      <x:c r="X1274" s="2" t="str">
        <x:v>https://data.jrc.ec.europa.eu/dataset/f41a22f1-5741-4c41-86eb-6384654f6927</x:v>
      </x:c>
    </x:row>
    <x:row r="1275" ht="23" customHeight="1">
      <x:c r="A1275" s="2" t="str">
        <x:v>ISL</x:v>
      </x:c>
      <x:c r="B1275" s="2" t="str">
        <x:v>Iceland</x:v>
      </x:c>
      <x:c r="C1275" s="2" t="n">
        <x:v>2020</x:v>
      </x:c>
      <x:c r="D1275" s="2" t="str">
        <x:v>OBAT_FOOTPRINT</x:v>
      </x:c>
      <x:c r="E1275" s="17" t="n">
        <x:v>26377629.56999999</x:v>
      </x:c>
      <x:c r="F1275" s="17" t="n">
        <x:f>IF(AND(M1275,ISNUMBER(R1275)),IF(D1275="TEMPO_PROXY",R1275,IF(AND(ISNUMBER(S1275),S1275&gt;0,ISNUMBER(U1275)),U1275*R1275/S1275,"n.a.")),"n.a.")</x:f>
        <x:v>35088361.119940065</x:v>
      </x:c>
      <x:c r="G1275" s="17" t="n">
        <x:f>IF(AND(ISNUMBER(E1275),ISNUMBER(F1275)),E1275-F1275,"n.a.")</x:f>
        <x:v>-8710731.549940076</x:v>
      </x:c>
      <x:c r="H1275" s="15" t="n">
        <x:f>IF(AND(ISNUMBER(E1275),ISNUMBER(F1275),F1275&gt;0),(E1275-F1275)/F1275,"n.a.")</x:f>
        <x:v>-0.24825130818064708</x:v>
      </x:c>
      <x:c r="I1275" s="19" t="n">
        <x:f>IF(ISNUMBER(H1275),ABS(H1275),"n.a.")</x:f>
        <x:v>0.24825130818064708</x:v>
      </x:c>
      <x:c r="J1275" s="2" t="str">
        <x:v>available</x:v>
      </x:c>
      <x:c r="K1275" s="2" t="n">
        <x:v>1</x:v>
      </x:c>
      <x:c r="L1275" s="13" t="b">
        <x:v>0</x:v>
      </x:c>
      <x:c r="M1275" s="13" t="b">
        <x:v>1</x:v>
      </x:c>
      <x:c r="N1275" s="2" t="str">
        <x:v>nominal2020; Overture geometry2024-07-22.0; height support2018</x:v>
      </x:c>
      <x:c r="O1275" s="2" t="str"/>
      <x:c r="P1275" s="2" t="str">
        <x:v>included-footprint horizontal area</x:v>
      </x:c>
      <x:c r="Q1275" s="2" t="str">
        <x:v>m2</x:v>
      </x:c>
      <x:c r="R1275" s="17" t="n">
        <x:v>32113135.59</x:v>
      </x:c>
      <x:c r="S1275" s="17" t="n">
        <x:v>24141007.67</x:v>
      </x:c>
      <x:c r="T1275" s="18" t="n">
        <x:v>1.0926482411411282</x:v>
      </x:c>
      <x:c r="U1275" s="17" t="n">
        <x:v>26377629.56999999</x:v>
      </x:c>
      <x:c r="V1275" s="2" t="str">
        <x:v>Area equivalent = model2020 * OBAT footprint / TEMPO2020 footprint</x:v>
      </x:c>
      <x:c r="W1275" s="2" t="str">
        <x:v>qualified_source_frame_numeric_summary</x:v>
      </x:c>
      <x:c r="X1275" s="2" t="str">
        <x:v>https://data.jrc.ec.europa.eu/dataset/f41a22f1-5741-4c41-86eb-6384654f6927</x:v>
      </x:c>
    </x:row>
    <x:row r="1276" ht="23" customHeight="1">
      <x:c r="A1276" s="2" t="str">
        <x:v>ISR</x:v>
      </x:c>
      <x:c r="B1276" s="2" t="str">
        <x:v>Israel (State of)</x:v>
      </x:c>
      <x:c r="C1276" s="2" t="n">
        <x:v>2020</x:v>
      </x:c>
      <x:c r="D1276" s="2" t="str">
        <x:v>OBAT_FOOTPRINT</x:v>
      </x:c>
      <x:c r="E1276" s="17" t="n">
        <x:v>372353983.1399999</x:v>
      </x:c>
      <x:c r="F1276" s="17" t="n">
        <x:f>IF(AND(M1276,ISNUMBER(R1276)),IF(D1276="TEMPO_PROXY",R1276,IF(AND(ISNUMBER(S1276),S1276&gt;0,ISNUMBER(U1276)),U1276*R1276/S1276,"n.a.")),"n.a.")</x:f>
        <x:v>401512042.53597087</x:v>
      </x:c>
      <x:c r="G1276" s="17" t="n">
        <x:f>IF(AND(ISNUMBER(E1276),ISNUMBER(F1276)),E1276-F1276,"n.a.")</x:f>
        <x:v>-29158059.39597094</x:v>
      </x:c>
      <x:c r="H1276" s="15" t="n">
        <x:f>IF(AND(ISNUMBER(E1276),ISNUMBER(F1276),F1276&gt;0),(E1276-F1276)/F1276,"n.a.")</x:f>
        <x:v>-0.07262063476803118</x:v>
      </x:c>
      <x:c r="I1276" s="19" t="n">
        <x:f>IF(ISNUMBER(H1276),ABS(H1276),"n.a.")</x:f>
        <x:v>0.07262063476803118</x:v>
      </x:c>
      <x:c r="J1276" s="2" t="str">
        <x:v>available</x:v>
      </x:c>
      <x:c r="K1276" s="2" t="n">
        <x:v>1</x:v>
      </x:c>
      <x:c r="L1276" s="13" t="b">
        <x:v>0</x:v>
      </x:c>
      <x:c r="M1276" s="13" t="b">
        <x:v>1</x:v>
      </x:c>
      <x:c r="N1276" s="2" t="str">
        <x:v>nominal2020; Overture geometry2024-07-22.0; height support2018</x:v>
      </x:c>
      <x:c r="O1276" s="2" t="str"/>
      <x:c r="P1276" s="2" t="str">
        <x:v>included-footprint horizontal area</x:v>
      </x:c>
      <x:c r="Q1276" s="2" t="str">
        <x:v>m2</x:v>
      </x:c>
      <x:c r="R1276" s="17" t="n">
        <x:v>384991260.66999996</x:v>
      </x:c>
      <x:c r="S1276" s="17" t="n">
        <x:v>357032950.94</x:v>
      </x:c>
      <x:c r="T1276" s="18" t="n">
        <x:v>1.0429120958154214</x:v>
      </x:c>
      <x:c r="U1276" s="17" t="n">
        <x:v>372353983.1399999</x:v>
      </x:c>
      <x:c r="V1276" s="2" t="str">
        <x:v>Area equivalent = model2020 * OBAT footprint / TEMPO2020 footprint</x:v>
      </x:c>
      <x:c r="W1276" s="2" t="str">
        <x:v>qualified_source_frame_numeric_summary</x:v>
      </x:c>
      <x:c r="X1276" s="2" t="str">
        <x:v>https://data.jrc.ec.europa.eu/dataset/f41a22f1-5741-4c41-86eb-6384654f6927</x:v>
      </x:c>
    </x:row>
    <x:row r="1277" ht="23" customHeight="1">
      <x:c r="A1277" s="2" t="str">
        <x:v>ITA</x:v>
      </x:c>
      <x:c r="B1277" s="2" t="str">
        <x:v>Italy (Italian Republic)</x:v>
      </x:c>
      <x:c r="C1277" s="2" t="n">
        <x:v>2020</x:v>
      </x:c>
      <x:c r="D1277" s="2" t="str">
        <x:v>OBAT_FOOTPRINT</x:v>
      </x:c>
      <x:c r="E1277" s="17" t="n">
        <x:v>5000634293.290002</x:v>
      </x:c>
      <x:c r="F1277" s="17" t="n">
        <x:f>IF(AND(M1277,ISNUMBER(R1277)),IF(D1277="TEMPO_PROXY",R1277,IF(AND(ISNUMBER(S1277),S1277&gt;0,ISNUMBER(U1277)),U1277*R1277/S1277,"n.a.")),"n.a.")</x:f>
        <x:v>5130466879.637314</x:v>
      </x:c>
      <x:c r="G1277" s="17" t="n">
        <x:f>IF(AND(ISNUMBER(E1277),ISNUMBER(F1277)),E1277-F1277,"n.a.")</x:f>
        <x:v>-129832586.34731197</x:v>
      </x:c>
      <x:c r="H1277" s="15" t="n">
        <x:f>IF(AND(ISNUMBER(E1277),ISNUMBER(F1277),F1277&gt;0),(E1277-F1277)/F1277,"n.a.")</x:f>
        <x:v>-0.025306193255552247</x:v>
      </x:c>
      <x:c r="I1277" s="19" t="n">
        <x:f>IF(ISNUMBER(H1277),ABS(H1277),"n.a.")</x:f>
        <x:v>0.025306193255552247</x:v>
      </x:c>
      <x:c r="J1277" s="2" t="str">
        <x:v>available</x:v>
      </x:c>
      <x:c r="K1277" s="2" t="n">
        <x:v>1</x:v>
      </x:c>
      <x:c r="L1277" s="13" t="b">
        <x:v>0</x:v>
      </x:c>
      <x:c r="M1277" s="13" t="b">
        <x:v>1</x:v>
      </x:c>
      <x:c r="N1277" s="2" t="str">
        <x:v>nominal2020; Overture geometry2024-07-22.0; height support2018</x:v>
      </x:c>
      <x:c r="O1277" s="2" t="str"/>
      <x:c r="P1277" s="2" t="str">
        <x:v>included-footprint horizontal area</x:v>
      </x:c>
      <x:c r="Q1277" s="2" t="str">
        <x:v>m2</x:v>
      </x:c>
      <x:c r="R1277" s="17" t="n">
        <x:v>4833624734.26</x:v>
      </x:c>
      <x:c r="S1277" s="17" t="n">
        <x:v>4711304092.61</x:v>
      </x:c>
      <x:c r="T1277" s="18" t="n">
        <x:v>1.0614119137700826</x:v>
      </x:c>
      <x:c r="U1277" s="17" t="n">
        <x:v>5000634293.290002</x:v>
      </x:c>
      <x:c r="V1277" s="2" t="str">
        <x:v>Area equivalent = model2020 * OBAT footprint / TEMPO2020 footprint</x:v>
      </x:c>
      <x:c r="W1277" s="2" t="str">
        <x:v>qualified_source_frame_numeric_summary</x:v>
      </x:c>
      <x:c r="X1277" s="2" t="str">
        <x:v>https://data.jrc.ec.europa.eu/dataset/f41a22f1-5741-4c41-86eb-6384654f6927</x:v>
      </x:c>
    </x:row>
    <x:row r="1278" ht="23" customHeight="1">
      <x:c r="A1278" s="2" t="str">
        <x:v>JAM</x:v>
      </x:c>
      <x:c r="B1278" s="2" t="str">
        <x:v>Jamaica</x:v>
      </x:c>
      <x:c r="C1278" s="2" t="n">
        <x:v>2020</x:v>
      </x:c>
      <x:c r="D1278" s="2" t="str">
        <x:v>OBAT_FOOTPRINT</x:v>
      </x:c>
      <x:c r="E1278" s="17" t="n">
        <x:v>133338245.18999992</x:v>
      </x:c>
      <x:c r="F1278" s="17" t="n">
        <x:f>IF(AND(M1278,ISNUMBER(R1278)),IF(D1278="TEMPO_PROXY",R1278,IF(AND(ISNUMBER(S1278),S1278&gt;0,ISNUMBER(U1278)),U1278*R1278/S1278,"n.a.")),"n.a.")</x:f>
        <x:v>144060661.2499999</x:v>
      </x:c>
      <x:c r="G1278" s="17" t="n">
        <x:f>IF(AND(ISNUMBER(E1278),ISNUMBER(F1278)),E1278-F1278,"n.a.")</x:f>
        <x:v>-10722416.059999987</x:v>
      </x:c>
      <x:c r="H1278" s="15" t="n">
        <x:f>IF(AND(ISNUMBER(E1278),ISNUMBER(F1278),F1278&gt;0),(E1278-F1278)/F1278,"n.a.")</x:f>
        <x:v>-0.07442986841072823</x:v>
      </x:c>
      <x:c r="I1278" s="19" t="n">
        <x:f>IF(ISNUMBER(H1278),ABS(H1278),"n.a.")</x:f>
        <x:v>0.07442986841072823</x:v>
      </x:c>
      <x:c r="J1278" s="2" t="str">
        <x:v>available</x:v>
      </x:c>
      <x:c r="K1278" s="2" t="n">
        <x:v>1</x:v>
      </x:c>
      <x:c r="L1278" s="13" t="b">
        <x:v>0</x:v>
      </x:c>
      <x:c r="M1278" s="13" t="b">
        <x:v>1</x:v>
      </x:c>
      <x:c r="N1278" s="2" t="str">
        <x:v>nominal2020; Overture geometry2024-07-22.0; height support2018</x:v>
      </x:c>
      <x:c r="O1278" s="2" t="str"/>
      <x:c r="P1278" s="2" t="str">
        <x:v>included-footprint horizontal area</x:v>
      </x:c>
      <x:c r="Q1278" s="2" t="str">
        <x:v>m2</x:v>
      </x:c>
      <x:c r="R1278" s="17" t="n">
        <x:v>144060661.25</x:v>
      </x:c>
      <x:c r="S1278" s="17" t="n">
        <x:v>133338245.19</x:v>
      </x:c>
      <x:c r="T1278" s="18" t="n">
        <x:v>0.9999999999999994</x:v>
      </x:c>
      <x:c r="U1278" s="17" t="n">
        <x:v>133338245.18999992</x:v>
      </x:c>
      <x:c r="V1278" s="2" t="str">
        <x:v>Area equivalent = model2020 * OBAT footprint / TEMPO2020 footprint</x:v>
      </x:c>
      <x:c r="W1278" s="2" t="str">
        <x:v>qualified_source_frame_numeric_summary</x:v>
      </x:c>
      <x:c r="X1278" s="2" t="str">
        <x:v>https://data.jrc.ec.europa.eu/dataset/f41a22f1-5741-4c41-86eb-6384654f6927</x:v>
      </x:c>
    </x:row>
    <x:row r="1279" ht="23" customHeight="1">
      <x:c r="A1279" s="2" t="str">
        <x:v>JOR</x:v>
      </x:c>
      <x:c r="B1279" s="2" t="str">
        <x:v>Jordan (Hashemite Kingdom of)</x:v>
      </x:c>
      <x:c r="C1279" s="2" t="n">
        <x:v>2020</x:v>
      </x:c>
      <x:c r="D1279" s="2" t="str">
        <x:v>OBAT_FOOTPRINT</x:v>
      </x:c>
      <x:c r="E1279" s="17" t="n">
        <x:v>279172690.0000002</x:v>
      </x:c>
      <x:c r="F1279" s="17" t="n">
        <x:f>IF(AND(M1279,ISNUMBER(R1279)),IF(D1279="TEMPO_PROXY",R1279,IF(AND(ISNUMBER(S1279),S1279&gt;0,ISNUMBER(U1279)),U1279*R1279/S1279,"n.a.")),"n.a.")</x:f>
        <x:v>287952439.173648</x:v>
      </x:c>
      <x:c r="G1279" s="17" t="n">
        <x:f>IF(AND(ISNUMBER(E1279),ISNUMBER(F1279)),E1279-F1279,"n.a.")</x:f>
        <x:v>-8779749.173647821</x:v>
      </x:c>
      <x:c r="H1279" s="15" t="n">
        <x:f>IF(AND(ISNUMBER(E1279),ISNUMBER(F1279),F1279&gt;0),(E1279-F1279)/F1279,"n.a.")</x:f>
        <x:v>-0.030490275403964352</x:v>
      </x:c>
      <x:c r="I1279" s="19" t="n">
        <x:f>IF(ISNUMBER(H1279),ABS(H1279),"n.a.")</x:f>
        <x:v>0.030490275403964352</x:v>
      </x:c>
      <x:c r="J1279" s="2" t="str">
        <x:v>available</x:v>
      </x:c>
      <x:c r="K1279" s="2" t="n">
        <x:v>1</x:v>
      </x:c>
      <x:c r="L1279" s="13" t="b">
        <x:v>0</x:v>
      </x:c>
      <x:c r="M1279" s="13" t="b">
        <x:v>1</x:v>
      </x:c>
      <x:c r="N1279" s="2" t="str">
        <x:v>nominal2020; Overture geometry2024-07-22.0; height support2018</x:v>
      </x:c>
      <x:c r="O1279" s="2" t="str"/>
      <x:c r="P1279" s="2" t="str">
        <x:v>included-footprint horizontal area</x:v>
      </x:c>
      <x:c r="Q1279" s="2" t="str">
        <x:v>m2</x:v>
      </x:c>
      <x:c r="R1279" s="17" t="n">
        <x:v>284663320.19</x:v>
      </x:c>
      <x:c r="S1279" s="17" t="n">
        <x:v>275983857.16</x:v>
      </x:c>
      <x:c r="T1279" s="18" t="n">
        <x:v>1.0115544179750755</x:v>
      </x:c>
      <x:c r="U1279" s="17" t="n">
        <x:v>279172690.0000002</x:v>
      </x:c>
      <x:c r="V1279" s="2" t="str">
        <x:v>Area equivalent = model2020 * OBAT footprint / TEMPO2020 footprint</x:v>
      </x:c>
      <x:c r="W1279" s="2" t="str">
        <x:v>qualified_source_frame_numeric_summary</x:v>
      </x:c>
      <x:c r="X1279" s="2" t="str">
        <x:v>https://data.jrc.ec.europa.eu/dataset/f41a22f1-5741-4c41-86eb-6384654f6927</x:v>
      </x:c>
    </x:row>
    <x:row r="1280" ht="23" customHeight="1">
      <x:c r="A1280" s="2" t="str">
        <x:v>JPN</x:v>
      </x:c>
      <x:c r="B1280" s="2" t="str">
        <x:v>Japan</x:v>
      </x:c>
      <x:c r="C1280" s="2" t="n">
        <x:v>2020</x:v>
      </x:c>
      <x:c r="D1280" s="2" t="str">
        <x:v>OBAT_FOOTPRINT</x:v>
      </x:c>
      <x:c r="E1280" s="17" t="n">
        <x:v>8341228241.779989</x:v>
      </x:c>
      <x:c r="F1280" s="17" t="n">
        <x:f>IF(AND(M1280,ISNUMBER(R1280)),IF(D1280="TEMPO_PROXY",R1280,IF(AND(ISNUMBER(S1280),S1280&gt;0,ISNUMBER(U1280)),U1280*R1280/S1280,"n.a.")),"n.a.")</x:f>
        <x:v>6990467037.758082</x:v>
      </x:c>
      <x:c r="G1280" s="17" t="n">
        <x:f>IF(AND(ISNUMBER(E1280),ISNUMBER(F1280)),E1280-F1280,"n.a.")</x:f>
        <x:v>1350761204.0219069</x:v>
      </x:c>
      <x:c r="H1280" s="15" t="n">
        <x:f>IF(AND(ISNUMBER(E1280),ISNUMBER(F1280),F1280&gt;0),(E1280-F1280)/F1280,"n.a.")</x:f>
        <x:v>0.19322903558888826</x:v>
      </x:c>
      <x:c r="I1280" s="19" t="n">
        <x:f>IF(ISNUMBER(H1280),ABS(H1280),"n.a.")</x:f>
        <x:v>0.19322903558888826</x:v>
      </x:c>
      <x:c r="J1280" s="2" t="str">
        <x:v>available</x:v>
      </x:c>
      <x:c r="K1280" s="2" t="n">
        <x:v>1</x:v>
      </x:c>
      <x:c r="L1280" s="13" t="b">
        <x:v>0</x:v>
      </x:c>
      <x:c r="M1280" s="13" t="b">
        <x:v>1</x:v>
      </x:c>
      <x:c r="N1280" s="2" t="str">
        <x:v>nominal2020; Overture geometry2024-07-22.0; height support2018</x:v>
      </x:c>
      <x:c r="O1280" s="2" t="str"/>
      <x:c r="P1280" s="2" t="str">
        <x:v>included-footprint horizontal area</x:v>
      </x:c>
      <x:c r="Q1280" s="2" t="str">
        <x:v>m2</x:v>
      </x:c>
      <x:c r="R1280" s="17" t="n">
        <x:v>6768234612.9</x:v>
      </x:c>
      <x:c r="S1280" s="17" t="n">
        <x:v>8076054059.79</x:v>
      </x:c>
      <x:c r="T1280" s="18" t="n">
        <x:v>1.032834621961023</x:v>
      </x:c>
      <x:c r="U1280" s="17" t="n">
        <x:v>8341228241.779989</x:v>
      </x:c>
      <x:c r="V1280" s="2" t="str">
        <x:v>Area equivalent = model2020 * OBAT footprint / TEMPO2020 footprint</x:v>
      </x:c>
      <x:c r="W1280" s="2" t="str">
        <x:v>qualified_source_frame_numeric_summary</x:v>
      </x:c>
      <x:c r="X1280" s="2" t="str">
        <x:v>https://data.jrc.ec.europa.eu/dataset/f41a22f1-5741-4c41-86eb-6384654f6927</x:v>
      </x:c>
    </x:row>
    <x:row r="1281" ht="23" customHeight="1">
      <x:c r="A1281" s="2" t="str">
        <x:v>KAZ</x:v>
      </x:c>
      <x:c r="B1281" s="2" t="str">
        <x:v>Kazakhstan (Republic of)</x:v>
      </x:c>
      <x:c r="C1281" s="2" t="n">
        <x:v>2020</x:v>
      </x:c>
      <x:c r="D1281" s="2" t="str">
        <x:v>OBAT_FOOTPRINT</x:v>
      </x:c>
      <x:c r="E1281" s="17" t="n">
        <x:v>1009034692.9700016</x:v>
      </x:c>
      <x:c r="F1281" s="17" t="n">
        <x:f>IF(AND(M1281,ISNUMBER(R1281)),IF(D1281="TEMPO_PROXY",R1281,IF(AND(ISNUMBER(S1281),S1281&gt;0,ISNUMBER(U1281)),U1281*R1281/S1281,"n.a.")),"n.a.")</x:f>
        <x:v>965614093.2900006</x:v>
      </x:c>
      <x:c r="G1281" s="17" t="n">
        <x:f>IF(AND(ISNUMBER(E1281),ISNUMBER(F1281)),E1281-F1281,"n.a.")</x:f>
        <x:v>43420599.68000102</x:v>
      </x:c>
      <x:c r="H1281" s="15" t="n">
        <x:f>IF(AND(ISNUMBER(E1281),ISNUMBER(F1281),F1281&gt;0),(E1281-F1281)/F1281,"n.a.")</x:f>
        <x:v>0.04496682471986313</x:v>
      </x:c>
      <x:c r="I1281" s="19" t="n">
        <x:f>IF(ISNUMBER(H1281),ABS(H1281),"n.a.")</x:f>
        <x:v>0.04496682471986313</x:v>
      </x:c>
      <x:c r="J1281" s="2" t="str">
        <x:v>available</x:v>
      </x:c>
      <x:c r="K1281" s="2" t="n">
        <x:v>1</x:v>
      </x:c>
      <x:c r="L1281" s="13" t="b">
        <x:v>0</x:v>
      </x:c>
      <x:c r="M1281" s="13" t="b">
        <x:v>1</x:v>
      </x:c>
      <x:c r="N1281" s="2" t="str">
        <x:v>nominal2020; Overture geometry2024-07-22.0; height support2018</x:v>
      </x:c>
      <x:c r="O1281" s="2" t="str"/>
      <x:c r="P1281" s="2" t="str">
        <x:v>included-footprint horizontal area</x:v>
      </x:c>
      <x:c r="Q1281" s="2" t="str">
        <x:v>m2</x:v>
      </x:c>
      <x:c r="R1281" s="17" t="n">
        <x:v>965614093.289999</x:v>
      </x:c>
      <x:c r="S1281" s="17" t="n">
        <x:v>1009034692.97</x:v>
      </x:c>
      <x:c r="T1281" s="18" t="n">
        <x:v>1.0000000000000016</x:v>
      </x:c>
      <x:c r="U1281" s="17" t="n">
        <x:v>1009034692.9700016</x:v>
      </x:c>
      <x:c r="V1281" s="2" t="str">
        <x:v>Area equivalent = model2020 * OBAT footprint / TEMPO2020 footprint</x:v>
      </x:c>
      <x:c r="W1281" s="2" t="str">
        <x:v>qualified_source_frame_numeric_summary</x:v>
      </x:c>
      <x:c r="X1281" s="2" t="str">
        <x:v>https://data.jrc.ec.europa.eu/dataset/f41a22f1-5741-4c41-86eb-6384654f6927</x:v>
      </x:c>
    </x:row>
    <x:row r="1282" ht="23" customHeight="1">
      <x:c r="A1282" s="2" t="str">
        <x:v>KEN</x:v>
      </x:c>
      <x:c r="B1282" s="2" t="str">
        <x:v>Kenya (Republic of)</x:v>
      </x:c>
      <x:c r="C1282" s="2" t="n">
        <x:v>2020</x:v>
      </x:c>
      <x:c r="D1282" s="2" t="str">
        <x:v>OBAT_FOOTPRINT</x:v>
      </x:c>
      <x:c r="E1282" s="17" t="n">
        <x:v>1180050447.52</x:v>
      </x:c>
      <x:c r="F1282" s="17" t="n">
        <x:f>IF(AND(M1282,ISNUMBER(R1282)),IF(D1282="TEMPO_PROXY",R1282,IF(AND(ISNUMBER(S1282),S1282&gt;0,ISNUMBER(U1282)),U1282*R1282/S1282,"n.a.")),"n.a.")</x:f>
        <x:v>1413036657.19</x:v>
      </x:c>
      <x:c r="G1282" s="17" t="n">
        <x:f>IF(AND(ISNUMBER(E1282),ISNUMBER(F1282)),E1282-F1282,"n.a.")</x:f>
        <x:v>-232986209.67000008</x:v>
      </x:c>
      <x:c r="H1282" s="15" t="n">
        <x:f>IF(AND(ISNUMBER(E1282),ISNUMBER(F1282),F1282&gt;0),(E1282-F1282)/F1282,"n.a.")</x:f>
        <x:v>-0.16488334430992205</x:v>
      </x:c>
      <x:c r="I1282" s="19" t="n">
        <x:f>IF(ISNUMBER(H1282),ABS(H1282),"n.a.")</x:f>
        <x:v>0.16488334430992205</x:v>
      </x:c>
      <x:c r="J1282" s="2" t="str">
        <x:v>available</x:v>
      </x:c>
      <x:c r="K1282" s="2" t="n">
        <x:v>1</x:v>
      </x:c>
      <x:c r="L1282" s="13" t="b">
        <x:v>0</x:v>
      </x:c>
      <x:c r="M1282" s="13" t="b">
        <x:v>1</x:v>
      </x:c>
      <x:c r="N1282" s="2" t="str">
        <x:v>nominal2020; Overture geometry2024-07-22.0; height support2018</x:v>
      </x:c>
      <x:c r="O1282" s="2" t="str"/>
      <x:c r="P1282" s="2" t="str">
        <x:v>included-footprint horizontal area</x:v>
      </x:c>
      <x:c r="Q1282" s="2" t="str">
        <x:v>m2</x:v>
      </x:c>
      <x:c r="R1282" s="17" t="n">
        <x:v>1413036657.19</x:v>
      </x:c>
      <x:c r="S1282" s="17" t="n">
        <x:v>1180050447.52</x:v>
      </x:c>
      <x:c r="T1282" s="18" t="n">
        <x:v>1</x:v>
      </x:c>
      <x:c r="U1282" s="17" t="n">
        <x:v>1180050447.52</x:v>
      </x:c>
      <x:c r="V1282" s="2" t="str">
        <x:v>Area equivalent = model2020 * OBAT footprint / TEMPO2020 footprint</x:v>
      </x:c>
      <x:c r="W1282" s="2" t="str">
        <x:v>qualified_source_frame_numeric_summary</x:v>
      </x:c>
      <x:c r="X1282" s="2" t="str">
        <x:v>https://data.jrc.ec.europa.eu/dataset/f41a22f1-5741-4c41-86eb-6384654f6927</x:v>
      </x:c>
    </x:row>
    <x:row r="1283" ht="23" customHeight="1">
      <x:c r="A1283" s="2" t="str">
        <x:v>KGZ</x:v>
      </x:c>
      <x:c r="B1283" s="2" t="str">
        <x:v>Kyrgyzstan (Kyrgyz Republic)</x:v>
      </x:c>
      <x:c r="C1283" s="2" t="n">
        <x:v>2020</x:v>
      </x:c>
      <x:c r="D1283" s="2" t="str">
        <x:v>OBAT_FOOTPRINT</x:v>
      </x:c>
      <x:c r="E1283" s="17" t="n">
        <x:v>332236534.37000054</x:v>
      </x:c>
      <x:c r="F1283" s="17" t="n">
        <x:f>IF(AND(M1283,ISNUMBER(R1283)),IF(D1283="TEMPO_PROXY",R1283,IF(AND(ISNUMBER(S1283),S1283&gt;0,ISNUMBER(U1283)),U1283*R1283/S1283,"n.a.")),"n.a.")</x:f>
        <x:v>257129907.1100004</x:v>
      </x:c>
      <x:c r="G1283" s="17" t="n">
        <x:f>IF(AND(ISNUMBER(E1283),ISNUMBER(F1283)),E1283-F1283,"n.a.")</x:f>
        <x:v>75106627.26000014</x:v>
      </x:c>
      <x:c r="H1283" s="15" t="n">
        <x:f>IF(AND(ISNUMBER(E1283),ISNUMBER(F1283),F1283&gt;0),(E1283-F1283)/F1283,"n.a.")</x:f>
        <x:v>0.2920960385517094</x:v>
      </x:c>
      <x:c r="I1283" s="19" t="n">
        <x:f>IF(ISNUMBER(H1283),ABS(H1283),"n.a.")</x:f>
        <x:v>0.2920960385517094</x:v>
      </x:c>
      <x:c r="J1283" s="2" t="str">
        <x:v>available</x:v>
      </x:c>
      <x:c r="K1283" s="2" t="n">
        <x:v>1</x:v>
      </x:c>
      <x:c r="L1283" s="13" t="b">
        <x:v>0</x:v>
      </x:c>
      <x:c r="M1283" s="13" t="b">
        <x:v>1</x:v>
      </x:c>
      <x:c r="N1283" s="2" t="str">
        <x:v>nominal2020; Overture geometry2024-07-22.0; height support2018</x:v>
      </x:c>
      <x:c r="O1283" s="2" t="str"/>
      <x:c r="P1283" s="2" t="str">
        <x:v>included-footprint horizontal area</x:v>
      </x:c>
      <x:c r="Q1283" s="2" t="str">
        <x:v>m2</x:v>
      </x:c>
      <x:c r="R1283" s="17" t="n">
        <x:v>257129907.10999998</x:v>
      </x:c>
      <x:c r="S1283" s="17" t="n">
        <x:v>332236534.37</x:v>
      </x:c>
      <x:c r="T1283" s="18" t="n">
        <x:v>1.0000000000000016</x:v>
      </x:c>
      <x:c r="U1283" s="17" t="n">
        <x:v>332236534.37000054</x:v>
      </x:c>
      <x:c r="V1283" s="2" t="str">
        <x:v>Area equivalent = model2020 * OBAT footprint / TEMPO2020 footprint</x:v>
      </x:c>
      <x:c r="W1283" s="2" t="str">
        <x:v>qualified_source_frame_numeric_summary</x:v>
      </x:c>
      <x:c r="X1283" s="2" t="str">
        <x:v>https://data.jrc.ec.europa.eu/dataset/f41a22f1-5741-4c41-86eb-6384654f6927</x:v>
      </x:c>
    </x:row>
    <x:row r="1284" ht="23" customHeight="1">
      <x:c r="A1284" s="2" t="str">
        <x:v>KHM</x:v>
      </x:c>
      <x:c r="B1284" s="2" t="str">
        <x:v>Cambodia (Kingdom of)</x:v>
      </x:c>
      <x:c r="C1284" s="2" t="n">
        <x:v>2020</x:v>
      </x:c>
      <x:c r="D1284" s="2" t="str">
        <x:v>OBAT_FOOTPRINT</x:v>
      </x:c>
      <x:c r="E1284" s="17" t="n">
        <x:v>672933221.830001</x:v>
      </x:c>
      <x:c r="F1284" s="17" t="n">
        <x:f>IF(AND(M1284,ISNUMBER(R1284)),IF(D1284="TEMPO_PROXY",R1284,IF(AND(ISNUMBER(S1284),S1284&gt;0,ISNUMBER(U1284)),U1284*R1284/S1284,"n.a.")),"n.a.")</x:f>
        <x:v>691502026.5400009</x:v>
      </x:c>
      <x:c r="G1284" s="17" t="n">
        <x:f>IF(AND(ISNUMBER(E1284),ISNUMBER(F1284)),E1284-F1284,"n.a.")</x:f>
        <x:v>-18568804.70999992</x:v>
      </x:c>
      <x:c r="H1284" s="15" t="n">
        <x:f>IF(AND(ISNUMBER(E1284),ISNUMBER(F1284),F1284&gt;0),(E1284-F1284)/F1284,"n.a.")</x:f>
        <x:v>-0.026852856531615357</x:v>
      </x:c>
      <x:c r="I1284" s="19" t="n">
        <x:f>IF(ISNUMBER(H1284),ABS(H1284),"n.a.")</x:f>
        <x:v>0.026852856531615357</x:v>
      </x:c>
      <x:c r="J1284" s="2" t="str">
        <x:v>available</x:v>
      </x:c>
      <x:c r="K1284" s="2" t="n">
        <x:v>1</x:v>
      </x:c>
      <x:c r="L1284" s="13" t="b">
        <x:v>0</x:v>
      </x:c>
      <x:c r="M1284" s="13" t="b">
        <x:v>1</x:v>
      </x:c>
      <x:c r="N1284" s="2" t="str">
        <x:v>nominal2020; Overture geometry2024-07-22.0; height support2018</x:v>
      </x:c>
      <x:c r="O1284" s="2" t="str"/>
      <x:c r="P1284" s="2" t="str">
        <x:v>included-footprint horizontal area</x:v>
      </x:c>
      <x:c r="Q1284" s="2" t="str">
        <x:v>m2</x:v>
      </x:c>
      <x:c r="R1284" s="17" t="n">
        <x:v>691502026.54</x:v>
      </x:c>
      <x:c r="S1284" s="17" t="n">
        <x:v>672933221.83</x:v>
      </x:c>
      <x:c r="T1284" s="18" t="n">
        <x:v>1.0000000000000013</x:v>
      </x:c>
      <x:c r="U1284" s="17" t="n">
        <x:v>672933221.830001</x:v>
      </x:c>
      <x:c r="V1284" s="2" t="str">
        <x:v>Area equivalent = model2020 * OBAT footprint / TEMPO2020 footprint</x:v>
      </x:c>
      <x:c r="W1284" s="2" t="str">
        <x:v>qualified_source_frame_numeric_summary</x:v>
      </x:c>
      <x:c r="X1284" s="2" t="str">
        <x:v>https://data.jrc.ec.europa.eu/dataset/f41a22f1-5741-4c41-86eb-6384654f6927</x:v>
      </x:c>
    </x:row>
    <x:row r="1285" ht="23" customHeight="1">
      <x:c r="A1285" s="2" t="str">
        <x:v>KIR</x:v>
      </x:c>
      <x:c r="B1285" s="2" t="str">
        <x:v>Kiribati (Republic of)</x:v>
      </x:c>
      <x:c r="C1285" s="2" t="n">
        <x:v>2020</x:v>
      </x:c>
      <x:c r="D1285" s="2" t="str">
        <x:v>OBAT_FOOTPRINT</x:v>
      </x:c>
      <x:c r="E1285" s="17" t="n">
        <x:v>1721739.6700000002</x:v>
      </x:c>
      <x:c r="F1285" s="17" t="n">
        <x:f>IF(AND(M1285,ISNUMBER(R1285)),IF(D1285="TEMPO_PROXY",R1285,IF(AND(ISNUMBER(S1285),S1285&gt;0,ISNUMBER(U1285)),U1285*R1285/S1285,"n.a.")),"n.a.")</x:f>
        <x:v>3985851.0699999905</x:v>
      </x:c>
      <x:c r="G1285" s="17" t="n">
        <x:f>IF(AND(ISNUMBER(E1285),ISNUMBER(F1285)),E1285-F1285,"n.a.")</x:f>
        <x:v>-2264111.39999999</x:v>
      </x:c>
      <x:c r="H1285" s="15" t="n">
        <x:f>IF(AND(ISNUMBER(E1285),ISNUMBER(F1285),F1285&gt;0),(E1285-F1285)/F1285,"n.a.")</x:f>
        <x:v>-0.5680371293953026</x:v>
      </x:c>
      <x:c r="I1285" s="19" t="n">
        <x:f>IF(ISNUMBER(H1285),ABS(H1285),"n.a.")</x:f>
        <x:v>0.5680371293953026</x:v>
      </x:c>
      <x:c r="J1285" s="2" t="str">
        <x:v>available</x:v>
      </x:c>
      <x:c r="K1285" s="2" t="n">
        <x:v>1</x:v>
      </x:c>
      <x:c r="L1285" s="13" t="b">
        <x:v>0</x:v>
      </x:c>
      <x:c r="M1285" s="13" t="b">
        <x:v>1</x:v>
      </x:c>
      <x:c r="N1285" s="2" t="str">
        <x:v>nominal2020; Overture geometry2024-07-22.0; height support2018</x:v>
      </x:c>
      <x:c r="O1285" s="2" t="str"/>
      <x:c r="P1285" s="2" t="str">
        <x:v>included-footprint horizontal area</x:v>
      </x:c>
      <x:c r="Q1285" s="2" t="str">
        <x:v>m2</x:v>
      </x:c>
      <x:c r="R1285" s="17" t="n">
        <x:v>3985851.06999999</x:v>
      </x:c>
      <x:c r="S1285" s="17" t="n">
        <x:v>1721739.67</x:v>
      </x:c>
      <x:c r="T1285" s="18" t="n">
        <x:v>1.0000000000000002</x:v>
      </x:c>
      <x:c r="U1285" s="17" t="n">
        <x:v>1721739.6700000002</x:v>
      </x:c>
      <x:c r="V1285" s="2" t="str">
        <x:v>Area equivalent = model2020 * OBAT footprint / TEMPO2020 footprint</x:v>
      </x:c>
      <x:c r="W1285" s="2" t="str">
        <x:v>qualified_source_frame_numeric_summary</x:v>
      </x:c>
      <x:c r="X1285" s="2" t="str">
        <x:v>https://data.jrc.ec.europa.eu/dataset/f41a22f1-5741-4c41-86eb-6384654f6927</x:v>
      </x:c>
    </x:row>
    <x:row r="1286" ht="23" customHeight="1">
      <x:c r="A1286" s="2" t="str">
        <x:v>KNA</x:v>
      </x:c>
      <x:c r="B1286" s="2" t="str">
        <x:v>Saint Kitts and Nevis (Federation of)</x:v>
      </x:c>
      <x:c r="C1286" s="2" t="n">
        <x:v>2020</x:v>
      </x:c>
      <x:c r="D1286" s="2" t="str">
        <x:v>OBAT_FOOTPRINT</x:v>
      </x:c>
      <x:c r="E1286" s="17" t="n">
        <x:v>4523960.760000001</x:v>
      </x:c>
      <x:c r="F1286" s="17" t="n">
        <x:f>IF(AND(M1286,ISNUMBER(R1286)),IF(D1286="TEMPO_PROXY",R1286,IF(AND(ISNUMBER(S1286),S1286&gt;0,ISNUMBER(U1286)),U1286*R1286/S1286,"n.a.")),"n.a.")</x:f>
        <x:v>4752527.110000011</x:v>
      </x:c>
      <x:c r="G1286" s="17" t="n">
        <x:f>IF(AND(ISNUMBER(E1286),ISNUMBER(F1286)),E1286-F1286,"n.a.")</x:f>
        <x:v>-228566.35000000987</x:v>
      </x:c>
      <x:c r="H1286" s="15" t="n">
        <x:f>IF(AND(ISNUMBER(E1286),ISNUMBER(F1286),F1286&gt;0),(E1286-F1286)/F1286,"n.a.")</x:f>
        <x:v>-0.048093644646249975</x:v>
      </x:c>
      <x:c r="I1286" s="19" t="n">
        <x:f>IF(ISNUMBER(H1286),ABS(H1286),"n.a.")</x:f>
        <x:v>0.048093644646249975</x:v>
      </x:c>
      <x:c r="J1286" s="2" t="str">
        <x:v>available</x:v>
      </x:c>
      <x:c r="K1286" s="2" t="n">
        <x:v>1</x:v>
      </x:c>
      <x:c r="L1286" s="13" t="b">
        <x:v>0</x:v>
      </x:c>
      <x:c r="M1286" s="13" t="b">
        <x:v>1</x:v>
      </x:c>
      <x:c r="N1286" s="2" t="str">
        <x:v>nominal2020; Overture geometry2024-07-22.0; height support2018</x:v>
      </x:c>
      <x:c r="O1286" s="2" t="str"/>
      <x:c r="P1286" s="2" t="str">
        <x:v>included-footprint horizontal area</x:v>
      </x:c>
      <x:c r="Q1286" s="2" t="str">
        <x:v>m2</x:v>
      </x:c>
      <x:c r="R1286" s="17" t="n">
        <x:v>4752527.11000001</x:v>
      </x:c>
      <x:c r="S1286" s="17" t="n">
        <x:v>4523960.76</x:v>
      </x:c>
      <x:c r="T1286" s="18" t="n">
        <x:v>1.0000000000000002</x:v>
      </x:c>
      <x:c r="U1286" s="17" t="n">
        <x:v>4523960.760000001</x:v>
      </x:c>
      <x:c r="V1286" s="2" t="str">
        <x:v>Area equivalent = model2020 * OBAT footprint / TEMPO2020 footprint</x:v>
      </x:c>
      <x:c r="W1286" s="2" t="str">
        <x:v>qualified_source_frame_numeric_summary</x:v>
      </x:c>
      <x:c r="X1286" s="2" t="str">
        <x:v>https://data.jrc.ec.europa.eu/dataset/f41a22f1-5741-4c41-86eb-6384654f6927</x:v>
      </x:c>
    </x:row>
    <x:row r="1287" ht="23" customHeight="1">
      <x:c r="A1287" s="2" t="str">
        <x:v>KOR</x:v>
      </x:c>
      <x:c r="B1287" s="2" t="str">
        <x:v>Korea (Republic of)</x:v>
      </x:c>
      <x:c r="C1287" s="2" t="n">
        <x:v>2020</x:v>
      </x:c>
      <x:c r="D1287" s="2" t="str">
        <x:v>OBAT_FOOTPRINT</x:v>
      </x:c>
      <x:c r="E1287" s="17" t="n">
        <x:v>2947698717.329997</x:v>
      </x:c>
      <x:c r="F1287" s="17" t="n">
        <x:f>IF(AND(M1287,ISNUMBER(R1287)),IF(D1287="TEMPO_PROXY",R1287,IF(AND(ISNUMBER(S1287),S1287&gt;0,ISNUMBER(U1287)),U1287*R1287/S1287,"n.a.")),"n.a.")</x:f>
        <x:v>454752468.8192763</x:v>
      </x:c>
      <x:c r="G1287" s="17" t="n">
        <x:f>IF(AND(ISNUMBER(E1287),ISNUMBER(F1287)),E1287-F1287,"n.a.")</x:f>
        <x:v>2492946248.5107207</x:v>
      </x:c>
      <x:c r="H1287" s="15" t="n">
        <x:f>IF(AND(ISNUMBER(E1287),ISNUMBER(F1287),F1287&gt;0),(E1287-F1287)/F1287,"n.a.")</x:f>
        <x:v>5.481985078571273</x:v>
      </x:c>
      <x:c r="I1287" s="19" t="n">
        <x:f>IF(ISNUMBER(H1287),ABS(H1287),"n.a.")</x:f>
        <x:v>5.481985078571273</x:v>
      </x:c>
      <x:c r="J1287" s="2" t="str">
        <x:v>available</x:v>
      </x:c>
      <x:c r="K1287" s="2" t="n">
        <x:v>1</x:v>
      </x:c>
      <x:c r="L1287" s="13" t="b">
        <x:v>0</x:v>
      </x:c>
      <x:c r="M1287" s="13" t="b">
        <x:v>1</x:v>
      </x:c>
      <x:c r="N1287" s="2" t="str">
        <x:v>nominal2020; Overture geometry2024-07-22.0; height support2018</x:v>
      </x:c>
      <x:c r="O1287" s="2" t="str"/>
      <x:c r="P1287" s="2" t="str">
        <x:v>included-footprint horizontal area</x:v>
      </x:c>
      <x:c r="Q1287" s="2" t="str">
        <x:v>m2</x:v>
      </x:c>
      <x:c r="R1287" s="17" t="n">
        <x:v>394790913.64</x:v>
      </x:c>
      <x:c r="S1287" s="17" t="n">
        <x:v>2559028811.37</x:v>
      </x:c>
      <x:c r="T1287" s="18" t="n">
        <x:v>1.151881801499499</x:v>
      </x:c>
      <x:c r="U1287" s="17" t="n">
        <x:v>2947698717.329997</x:v>
      </x:c>
      <x:c r="V1287" s="2" t="str">
        <x:v>Area equivalent = model2020 * OBAT footprint / TEMPO2020 footprint</x:v>
      </x:c>
      <x:c r="W1287" s="2" t="str">
        <x:v>qualified_source_frame_numeric_summary</x:v>
      </x:c>
      <x:c r="X1287" s="2" t="str">
        <x:v>https://data.jrc.ec.europa.eu/dataset/f41a22f1-5741-4c41-86eb-6384654f6927</x:v>
      </x:c>
    </x:row>
    <x:row r="1288" ht="23" customHeight="1">
      <x:c r="A1288" s="2" t="str">
        <x:v>KWT</x:v>
      </x:c>
      <x:c r="B1288" s="2" t="str">
        <x:v>Kuwait (State of)</x:v>
      </x:c>
      <x:c r="C1288" s="2" t="n">
        <x:v>2020</x:v>
      </x:c>
      <x:c r="D1288" s="2" t="str">
        <x:v>OBAT_FOOTPRINT</x:v>
      </x:c>
      <x:c r="E1288" s="17" t="n">
        <x:v>155594647.5199998</x:v>
      </x:c>
      <x:c r="F1288" s="17" t="n">
        <x:f>IF(AND(M1288,ISNUMBER(R1288)),IF(D1288="TEMPO_PROXY",R1288,IF(AND(ISNUMBER(S1288),S1288&gt;0,ISNUMBER(U1288)),U1288*R1288/S1288,"n.a.")),"n.a.")</x:f>
        <x:v>86236037.21428421</x:v>
      </x:c>
      <x:c r="G1288" s="17" t="n">
        <x:f>IF(AND(ISNUMBER(E1288),ISNUMBER(F1288)),E1288-F1288,"n.a.")</x:f>
        <x:v>69358610.30571559</x:v>
      </x:c>
      <x:c r="H1288" s="15" t="n">
        <x:f>IF(AND(ISNUMBER(E1288),ISNUMBER(F1288),F1288&gt;0),(E1288-F1288)/F1288,"n.a.")</x:f>
        <x:v>0.8042880047162808</x:v>
      </x:c>
      <x:c r="I1288" s="19" t="n">
        <x:f>IF(ISNUMBER(H1288),ABS(H1288),"n.a.")</x:f>
        <x:v>0.8042880047162808</x:v>
      </x:c>
      <x:c r="J1288" s="2" t="str">
        <x:v>available</x:v>
      </x:c>
      <x:c r="K1288" s="2" t="n">
        <x:v>1</x:v>
      </x:c>
      <x:c r="L1288" s="13" t="b">
        <x:v>0</x:v>
      </x:c>
      <x:c r="M1288" s="13" t="b">
        <x:v>1</x:v>
      </x:c>
      <x:c r="N1288" s="2" t="str">
        <x:v>nominal2020; Overture geometry2024-07-22.0; height support2018</x:v>
      </x:c>
      <x:c r="O1288" s="2" t="str"/>
      <x:c r="P1288" s="2" t="str">
        <x:v>included-footprint horizontal area</x:v>
      </x:c>
      <x:c r="Q1288" s="2" t="str">
        <x:v>m2</x:v>
      </x:c>
      <x:c r="R1288" s="17" t="n">
        <x:v>79459083.78</x:v>
      </x:c>
      <x:c r="S1288" s="17" t="n">
        <x:v>143367071.73</x:v>
      </x:c>
      <x:c r="T1288" s="18" t="n">
        <x:v>1.0852885927183318</x:v>
      </x:c>
      <x:c r="U1288" s="17" t="n">
        <x:v>155594647.5199998</x:v>
      </x:c>
      <x:c r="V1288" s="2" t="str">
        <x:v>Area equivalent = model2020 * OBAT footprint / TEMPO2020 footprint</x:v>
      </x:c>
      <x:c r="W1288" s="2" t="str">
        <x:v>qualified_source_frame_numeric_summary</x:v>
      </x:c>
      <x:c r="X1288" s="2" t="str">
        <x:v>https://data.jrc.ec.europa.eu/dataset/f41a22f1-5741-4c41-86eb-6384654f6927</x:v>
      </x:c>
    </x:row>
    <x:row r="1289" ht="23" customHeight="1">
      <x:c r="A1289" s="2" t="str">
        <x:v>LAO</x:v>
      </x:c>
      <x:c r="B1289" s="2" t="str">
        <x:v>Lao People's Democratic Republic</x:v>
      </x:c>
      <x:c r="C1289" s="2" t="n">
        <x:v>2020</x:v>
      </x:c>
      <x:c r="D1289" s="2" t="str">
        <x:v>OBAT_FOOTPRINT</x:v>
      </x:c>
      <x:c r="E1289" s="17" t="n">
        <x:v>333393295.1899998</x:v>
      </x:c>
      <x:c r="F1289" s="17" t="n">
        <x:f>IF(AND(M1289,ISNUMBER(R1289)),IF(D1289="TEMPO_PROXY",R1289,IF(AND(ISNUMBER(S1289),S1289&gt;0,ISNUMBER(U1289)),U1289*R1289/S1289,"n.a.")),"n.a.")</x:f>
        <x:v>366663882.84999985</x:v>
      </x:c>
      <x:c r="G1289" s="17" t="n">
        <x:f>IF(AND(ISNUMBER(E1289),ISNUMBER(F1289)),E1289-F1289,"n.a.")</x:f>
        <x:v>-33270587.660000026</x:v>
      </x:c>
      <x:c r="H1289" s="15" t="n">
        <x:f>IF(AND(ISNUMBER(E1289),ISNUMBER(F1289),F1289&gt;0),(E1289-F1289)/F1289,"n.a.")</x:f>
        <x:v>-0.09073865525394777</x:v>
      </x:c>
      <x:c r="I1289" s="19" t="n">
        <x:f>IF(ISNUMBER(H1289),ABS(H1289),"n.a.")</x:f>
        <x:v>0.09073865525394777</x:v>
      </x:c>
      <x:c r="J1289" s="2" t="str">
        <x:v>available</x:v>
      </x:c>
      <x:c r="K1289" s="2" t="n">
        <x:v>1</x:v>
      </x:c>
      <x:c r="L1289" s="13" t="b">
        <x:v>0</x:v>
      </x:c>
      <x:c r="M1289" s="13" t="b">
        <x:v>1</x:v>
      </x:c>
      <x:c r="N1289" s="2" t="str">
        <x:v>nominal2020; Overture geometry2024-07-22.0; height support2018</x:v>
      </x:c>
      <x:c r="O1289" s="2" t="str"/>
      <x:c r="P1289" s="2" t="str">
        <x:v>included-footprint horizontal area</x:v>
      </x:c>
      <x:c r="Q1289" s="2" t="str">
        <x:v>m2</x:v>
      </x:c>
      <x:c r="R1289" s="17" t="n">
        <x:v>366663882.85</x:v>
      </x:c>
      <x:c r="S1289" s="17" t="n">
        <x:v>333393295.19</x:v>
      </x:c>
      <x:c r="T1289" s="18" t="n">
        <x:v>0.9999999999999994</x:v>
      </x:c>
      <x:c r="U1289" s="17" t="n">
        <x:v>333393295.1899998</x:v>
      </x:c>
      <x:c r="V1289" s="2" t="str">
        <x:v>Area equivalent = model2020 * OBAT footprint / TEMPO2020 footprint</x:v>
      </x:c>
      <x:c r="W1289" s="2" t="str">
        <x:v>qualified_source_frame_numeric_summary</x:v>
      </x:c>
      <x:c r="X1289" s="2" t="str">
        <x:v>https://data.jrc.ec.europa.eu/dataset/f41a22f1-5741-4c41-86eb-6384654f6927</x:v>
      </x:c>
    </x:row>
    <x:row r="1290" ht="23" customHeight="1">
      <x:c r="A1290" s="2" t="str">
        <x:v>LBN</x:v>
      </x:c>
      <x:c r="B1290" s="2" t="str">
        <x:v>Lebanon (Lebanese Republic)</x:v>
      </x:c>
      <x:c r="C1290" s="2" t="n">
        <x:v>2020</x:v>
      </x:c>
      <x:c r="D1290" s="2" t="str">
        <x:v>OBAT_FOOTPRINT</x:v>
      </x:c>
      <x:c r="E1290" s="17" t="n">
        <x:v>226725070.95000017</x:v>
      </x:c>
      <x:c r="F1290" s="17" t="n">
        <x:f>IF(AND(M1290,ISNUMBER(R1290)),IF(D1290="TEMPO_PROXY",R1290,IF(AND(ISNUMBER(S1290),S1290&gt;0,ISNUMBER(U1290)),U1290*R1290/S1290,"n.a.")),"n.a.")</x:f>
        <x:v>233048174.0667481</x:v>
      </x:c>
      <x:c r="G1290" s="17" t="n">
        <x:f>IF(AND(ISNUMBER(E1290),ISNUMBER(F1290)),E1290-F1290,"n.a.")</x:f>
        <x:v>-6323103.116747946</x:v>
      </x:c>
      <x:c r="H1290" s="15" t="n">
        <x:f>IF(AND(ISNUMBER(E1290),ISNUMBER(F1290),F1290&gt;0),(E1290-F1290)/F1290,"n.a.")</x:f>
        <x:v>-0.027132171887074834</x:v>
      </x:c>
      <x:c r="I1290" s="19" t="n">
        <x:f>IF(ISNUMBER(H1290),ABS(H1290),"n.a.")</x:f>
        <x:v>0.027132171887074834</x:v>
      </x:c>
      <x:c r="J1290" s="2" t="str">
        <x:v>available</x:v>
      </x:c>
      <x:c r="K1290" s="2" t="n">
        <x:v>1</x:v>
      </x:c>
      <x:c r="L1290" s="13" t="b">
        <x:v>0</x:v>
      </x:c>
      <x:c r="M1290" s="13" t="b">
        <x:v>1</x:v>
      </x:c>
      <x:c r="N1290" s="2" t="str">
        <x:v>nominal2020; Overture geometry2024-07-22.0; height support2018</x:v>
      </x:c>
      <x:c r="O1290" s="2" t="str"/>
      <x:c r="P1290" s="2" t="str">
        <x:v>included-footprint horizontal area</x:v>
      </x:c>
      <x:c r="Q1290" s="2" t="str">
        <x:v>m2</x:v>
      </x:c>
      <x:c r="R1290" s="17" t="n">
        <x:v>228996789.71</x:v>
      </x:c>
      <x:c r="S1290" s="17" t="n">
        <x:v>222783609.45</x:v>
      </x:c>
      <x:c r="T1290" s="18" t="n">
        <x:v>1.0176918827634165</x:v>
      </x:c>
      <x:c r="U1290" s="17" t="n">
        <x:v>226725070.95000017</x:v>
      </x:c>
      <x:c r="V1290" s="2" t="str">
        <x:v>Area equivalent = model2020 * OBAT footprint / TEMPO2020 footprint</x:v>
      </x:c>
      <x:c r="W1290" s="2" t="str">
        <x:v>qualified_source_frame_numeric_summary</x:v>
      </x:c>
      <x:c r="X1290" s="2" t="str">
        <x:v>https://data.jrc.ec.europa.eu/dataset/f41a22f1-5741-4c41-86eb-6384654f6927</x:v>
      </x:c>
    </x:row>
    <x:row r="1291" ht="23" customHeight="1">
      <x:c r="A1291" s="2" t="str">
        <x:v>LBR</x:v>
      </x:c>
      <x:c r="B1291" s="2" t="str">
        <x:v>Liberia (Republic of)</x:v>
      </x:c>
      <x:c r="C1291" s="2" t="n">
        <x:v>2020</x:v>
      </x:c>
      <x:c r="D1291" s="2" t="str">
        <x:v>OBAT_FOOTPRINT</x:v>
      </x:c>
      <x:c r="E1291" s="17" t="n">
        <x:v>93713430.84000014</x:v>
      </x:c>
      <x:c r="F1291" s="17" t="n">
        <x:f>IF(AND(M1291,ISNUMBER(R1291)),IF(D1291="TEMPO_PROXY",R1291,IF(AND(ISNUMBER(S1291),S1291&gt;0,ISNUMBER(U1291)),U1291*R1291/S1291,"n.a.")),"n.a.")</x:f>
        <x:v>105398295.12000015</x:v>
      </x:c>
      <x:c r="G1291" s="17" t="n">
        <x:f>IF(AND(ISNUMBER(E1291),ISNUMBER(F1291)),E1291-F1291,"n.a.")</x:f>
        <x:v>-11684864.280000016</x:v>
      </x:c>
      <x:c r="H1291" s="15" t="n">
        <x:f>IF(AND(ISNUMBER(E1291),ISNUMBER(F1291),F1291&gt;0),(E1291-F1291)/F1291,"n.a.")</x:f>
        <x:v>-0.11086388320319919</x:v>
      </x:c>
      <x:c r="I1291" s="19" t="n">
        <x:f>IF(ISNUMBER(H1291),ABS(H1291),"n.a.")</x:f>
        <x:v>0.11086388320319919</x:v>
      </x:c>
      <x:c r="J1291" s="2" t="str">
        <x:v>available</x:v>
      </x:c>
      <x:c r="K1291" s="2" t="n">
        <x:v>1</x:v>
      </x:c>
      <x:c r="L1291" s="13" t="b">
        <x:v>0</x:v>
      </x:c>
      <x:c r="M1291" s="13" t="b">
        <x:v>1</x:v>
      </x:c>
      <x:c r="N1291" s="2" t="str">
        <x:v>nominal2020; Overture geometry2024-07-22.0; height support2018</x:v>
      </x:c>
      <x:c r="O1291" s="2" t="str"/>
      <x:c r="P1291" s="2" t="str">
        <x:v>included-footprint horizontal area</x:v>
      </x:c>
      <x:c r="Q1291" s="2" t="str">
        <x:v>m2</x:v>
      </x:c>
      <x:c r="R1291" s="17" t="n">
        <x:v>105398295.12</x:v>
      </x:c>
      <x:c r="S1291" s="17" t="n">
        <x:v>93713430.84</x:v>
      </x:c>
      <x:c r="T1291" s="18" t="n">
        <x:v>1.0000000000000013</x:v>
      </x:c>
      <x:c r="U1291" s="17" t="n">
        <x:v>93713430.84000014</x:v>
      </x:c>
      <x:c r="V1291" s="2" t="str">
        <x:v>Area equivalent = model2020 * OBAT footprint / TEMPO2020 footprint</x:v>
      </x:c>
      <x:c r="W1291" s="2" t="str">
        <x:v>qualified_source_frame_numeric_summary</x:v>
      </x:c>
      <x:c r="X1291" s="2" t="str">
        <x:v>https://data.jrc.ec.europa.eu/dataset/f41a22f1-5741-4c41-86eb-6384654f6927</x:v>
      </x:c>
    </x:row>
    <x:row r="1292" ht="23" customHeight="1">
      <x:c r="A1292" s="2" t="str">
        <x:v>LBY</x:v>
      </x:c>
      <x:c r="B1292" s="2" t="str">
        <x:v>Libya (State of)</x:v>
      </x:c>
      <x:c r="C1292" s="2" t="n">
        <x:v>2020</x:v>
      </x:c>
      <x:c r="D1292" s="2" t="str">
        <x:v>OBAT_FOOTPRINT</x:v>
      </x:c>
      <x:c r="E1292" s="17" t="n">
        <x:v>523048577.3000005</x:v>
      </x:c>
      <x:c r="F1292" s="17" t="n">
        <x:f>IF(AND(M1292,ISNUMBER(R1292)),IF(D1292="TEMPO_PROXY",R1292,IF(AND(ISNUMBER(S1292),S1292&gt;0,ISNUMBER(U1292)),U1292*R1292/S1292,"n.a.")),"n.a.")</x:f>
        <x:v>536196097.0300005</x:v>
      </x:c>
      <x:c r="G1292" s="17" t="n">
        <x:f>IF(AND(ISNUMBER(E1292),ISNUMBER(F1292)),E1292-F1292,"n.a.")</x:f>
        <x:v>-13147519.73000002</x:v>
      </x:c>
      <x:c r="H1292" s="15" t="n">
        <x:f>IF(AND(ISNUMBER(E1292),ISNUMBER(F1292),F1292&gt;0),(E1292-F1292)/F1292,"n.a.")</x:f>
        <x:v>-0.02451998401857895</x:v>
      </x:c>
      <x:c r="I1292" s="19" t="n">
        <x:f>IF(ISNUMBER(H1292),ABS(H1292),"n.a.")</x:f>
        <x:v>0.02451998401857895</x:v>
      </x:c>
      <x:c r="J1292" s="2" t="str">
        <x:v>available</x:v>
      </x:c>
      <x:c r="K1292" s="2" t="n">
        <x:v>1</x:v>
      </x:c>
      <x:c r="L1292" s="13" t="b">
        <x:v>0</x:v>
      </x:c>
      <x:c r="M1292" s="13" t="b">
        <x:v>1</x:v>
      </x:c>
      <x:c r="N1292" s="2" t="str">
        <x:v>nominal2020; Overture geometry2024-07-22.0; height support2018</x:v>
      </x:c>
      <x:c r="O1292" s="2" t="str"/>
      <x:c r="P1292" s="2" t="str">
        <x:v>included-footprint horizontal area</x:v>
      </x:c>
      <x:c r="Q1292" s="2" t="str">
        <x:v>m2</x:v>
      </x:c>
      <x:c r="R1292" s="17" t="n">
        <x:v>536196097.03000003</x:v>
      </x:c>
      <x:c r="S1292" s="17" t="n">
        <x:v>523048577.3</x:v>
      </x:c>
      <x:c r="T1292" s="18" t="n">
        <x:v>1.0000000000000009</x:v>
      </x:c>
      <x:c r="U1292" s="17" t="n">
        <x:v>523048577.3000005</x:v>
      </x:c>
      <x:c r="V1292" s="2" t="str">
        <x:v>Area equivalent = model2020 * OBAT footprint / TEMPO2020 footprint</x:v>
      </x:c>
      <x:c r="W1292" s="2" t="str">
        <x:v>qualified_source_frame_numeric_summary</x:v>
      </x:c>
      <x:c r="X1292" s="2" t="str">
        <x:v>https://data.jrc.ec.europa.eu/dataset/f41a22f1-5741-4c41-86eb-6384654f6927</x:v>
      </x:c>
    </x:row>
    <x:row r="1293" ht="23" customHeight="1">
      <x:c r="A1293" s="2" t="str">
        <x:v>LCA</x:v>
      </x:c>
      <x:c r="B1293" s="2" t="str">
        <x:v>Saint Lucia</x:v>
      </x:c>
      <x:c r="C1293" s="2" t="n">
        <x:v>2020</x:v>
      </x:c>
      <x:c r="D1293" s="2" t="str">
        <x:v>OBAT_FOOTPRINT</x:v>
      </x:c>
      <x:c r="E1293" s="17" t="n">
        <x:v>10226894.600000018</x:v>
      </x:c>
      <x:c r="F1293" s="17" t="n">
        <x:f>IF(AND(M1293,ISNUMBER(R1293)),IF(D1293="TEMPO_PROXY",R1293,IF(AND(ISNUMBER(S1293),S1293&gt;0,ISNUMBER(U1293)),U1293*R1293/S1293,"n.a.")),"n.a.")</x:f>
        <x:v>10722749.660000019</x:v>
      </x:c>
      <x:c r="G1293" s="17" t="n">
        <x:f>IF(AND(ISNUMBER(E1293),ISNUMBER(F1293)),E1293-F1293,"n.a.")</x:f>
        <x:v>-495855.0600000005</x:v>
      </x:c>
      <x:c r="H1293" s="15" t="n">
        <x:f>IF(AND(ISNUMBER(E1293),ISNUMBER(F1293),F1293&gt;0),(E1293-F1293)/F1293,"n.a.")</x:f>
        <x:v>-0.04624327488029779</x:v>
      </x:c>
      <x:c r="I1293" s="19" t="n">
        <x:f>IF(ISNUMBER(H1293),ABS(H1293),"n.a.")</x:f>
        <x:v>0.04624327488029779</x:v>
      </x:c>
      <x:c r="J1293" s="2" t="str">
        <x:v>available</x:v>
      </x:c>
      <x:c r="K1293" s="2" t="n">
        <x:v>1</x:v>
      </x:c>
      <x:c r="L1293" s="13" t="b">
        <x:v>0</x:v>
      </x:c>
      <x:c r="M1293" s="13" t="b">
        <x:v>1</x:v>
      </x:c>
      <x:c r="N1293" s="2" t="str">
        <x:v>nominal2020; Overture geometry2024-07-22.0; height support2018</x:v>
      </x:c>
      <x:c r="O1293" s="2" t="str"/>
      <x:c r="P1293" s="2" t="str">
        <x:v>included-footprint horizontal area</x:v>
      </x:c>
      <x:c r="Q1293" s="2" t="str">
        <x:v>m2</x:v>
      </x:c>
      <x:c r="R1293" s="17" t="n">
        <x:v>10722749.66</x:v>
      </x:c>
      <x:c r="S1293" s="17" t="n">
        <x:v>10226894.6</x:v>
      </x:c>
      <x:c r="T1293" s="18" t="n">
        <x:v>1.0000000000000018</x:v>
      </x:c>
      <x:c r="U1293" s="17" t="n">
        <x:v>10226894.600000018</x:v>
      </x:c>
      <x:c r="V1293" s="2" t="str">
        <x:v>Area equivalent = model2020 * OBAT footprint / TEMPO2020 footprint</x:v>
      </x:c>
      <x:c r="W1293" s="2" t="str">
        <x:v>qualified_source_frame_numeric_summary</x:v>
      </x:c>
      <x:c r="X1293" s="2" t="str">
        <x:v>https://data.jrc.ec.europa.eu/dataset/f41a22f1-5741-4c41-86eb-6384654f6927</x:v>
      </x:c>
    </x:row>
    <x:row r="1294" ht="23" customHeight="1">
      <x:c r="A1294" s="2" t="str">
        <x:v>LIE</x:v>
      </x:c>
      <x:c r="B1294" s="2" t="str">
        <x:v>Liechtenstein (Principality of)</x:v>
      </x:c>
      <x:c r="C1294" s="2" t="n">
        <x:v>2020</x:v>
      </x:c>
      <x:c r="D1294" s="2" t="str">
        <x:v>OBAT_FOOTPRINT</x:v>
      </x:c>
      <x:c r="E1294" s="17" t="n">
        <x:v>3628695.830000003</x:v>
      </x:c>
      <x:c r="F1294" s="17" t="n">
        <x:f>IF(AND(M1294,ISNUMBER(R1294)),IF(D1294="TEMPO_PROXY",R1294,IF(AND(ISNUMBER(S1294),S1294&gt;0,ISNUMBER(U1294)),U1294*R1294/S1294,"n.a.")),"n.a.")</x:f>
        <x:v>3782760.7086575623</x:v>
      </x:c>
      <x:c r="G1294" s="17" t="n">
        <x:f>IF(AND(ISNUMBER(E1294),ISNUMBER(F1294)),E1294-F1294,"n.a.")</x:f>
        <x:v>-154064.8786575594</x:v>
      </x:c>
      <x:c r="H1294" s="15" t="n">
        <x:f>IF(AND(ISNUMBER(E1294),ISNUMBER(F1294),F1294&gt;0),(E1294-F1294)/F1294,"n.a.")</x:f>
        <x:v>-0.040728158750552954</x:v>
      </x:c>
      <x:c r="I1294" s="19" t="n">
        <x:f>IF(ISNUMBER(H1294),ABS(H1294),"n.a.")</x:f>
        <x:v>0.040728158750552954</x:v>
      </x:c>
      <x:c r="J1294" s="2" t="str">
        <x:v>available</x:v>
      </x:c>
      <x:c r="K1294" s="2" t="n">
        <x:v>1</x:v>
      </x:c>
      <x:c r="L1294" s="13" t="b">
        <x:v>0</x:v>
      </x:c>
      <x:c r="M1294" s="13" t="b">
        <x:v>1</x:v>
      </x:c>
      <x:c r="N1294" s="2" t="str">
        <x:v>nominal2020; Overture geometry2024-07-22.0; height support2018</x:v>
      </x:c>
      <x:c r="O1294" s="2" t="str"/>
      <x:c r="P1294" s="2" t="str">
        <x:v>included-footprint horizontal area</x:v>
      </x:c>
      <x:c r="Q1294" s="2" t="str">
        <x:v>m2</x:v>
      </x:c>
      <x:c r="R1294" s="17" t="n">
        <x:v>3669298.21</x:v>
      </x:c>
      <x:c r="S1294" s="17" t="n">
        <x:v>3519854.45</x:v>
      </x:c>
      <x:c r="T1294" s="18" t="n">
        <x:v>1.0309221252032177</x:v>
      </x:c>
      <x:c r="U1294" s="17" t="n">
        <x:v>3628695.830000003</x:v>
      </x:c>
      <x:c r="V1294" s="2" t="str">
        <x:v>Area equivalent = model2020 * OBAT footprint / TEMPO2020 footprint</x:v>
      </x:c>
      <x:c r="W1294" s="2" t="str">
        <x:v>qualified_source_frame_numeric_summary</x:v>
      </x:c>
      <x:c r="X1294" s="2" t="str">
        <x:v>https://data.jrc.ec.europa.eu/dataset/f41a22f1-5741-4c41-86eb-6384654f6927</x:v>
      </x:c>
    </x:row>
    <x:row r="1295" ht="23" customHeight="1">
      <x:c r="A1295" s="2" t="str">
        <x:v>LKA</x:v>
      </x:c>
      <x:c r="B1295" s="2" t="str">
        <x:v>Sri Lanka (Democratic Socialist Republic of)</x:v>
      </x:c>
      <x:c r="C1295" s="2" t="n">
        <x:v>2020</x:v>
      </x:c>
      <x:c r="D1295" s="2" t="str">
        <x:v>OBAT_FOOTPRINT</x:v>
      </x:c>
      <x:c r="E1295" s="17" t="n">
        <x:v>899293602.2900008</x:v>
      </x:c>
      <x:c r="F1295" s="17" t="n">
        <x:f>IF(AND(M1295,ISNUMBER(R1295)),IF(D1295="TEMPO_PROXY",R1295,IF(AND(ISNUMBER(S1295),S1295&gt;0,ISNUMBER(U1295)),U1295*R1295/S1295,"n.a.")),"n.a.")</x:f>
        <x:v>940534683.5200008</x:v>
      </x:c>
      <x:c r="G1295" s="17" t="n">
        <x:f>IF(AND(ISNUMBER(E1295),ISNUMBER(F1295)),E1295-F1295,"n.a.")</x:f>
        <x:v>-41241081.23000002</x:v>
      </x:c>
      <x:c r="H1295" s="15" t="n">
        <x:f>IF(AND(ISNUMBER(E1295),ISNUMBER(F1295),F1295&gt;0),(E1295-F1295)/F1295,"n.a.")</x:f>
        <x:v>-0.04384854907811915</x:v>
      </x:c>
      <x:c r="I1295" s="19" t="n">
        <x:f>IF(ISNUMBER(H1295),ABS(H1295),"n.a.")</x:f>
        <x:v>0.04384854907811915</x:v>
      </x:c>
      <x:c r="J1295" s="2" t="str">
        <x:v>available</x:v>
      </x:c>
      <x:c r="K1295" s="2" t="n">
        <x:v>1</x:v>
      </x:c>
      <x:c r="L1295" s="13" t="b">
        <x:v>0</x:v>
      </x:c>
      <x:c r="M1295" s="13" t="b">
        <x:v>1</x:v>
      </x:c>
      <x:c r="N1295" s="2" t="str">
        <x:v>nominal2020; Overture geometry2024-07-22.0; height support2018</x:v>
      </x:c>
      <x:c r="O1295" s="2" t="str"/>
      <x:c r="P1295" s="2" t="str">
        <x:v>included-footprint horizontal area</x:v>
      </x:c>
      <x:c r="Q1295" s="2" t="str">
        <x:v>m2</x:v>
      </x:c>
      <x:c r="R1295" s="17" t="n">
        <x:v>940534683.52</x:v>
      </x:c>
      <x:c r="S1295" s="17" t="n">
        <x:v>899293602.29</x:v>
      </x:c>
      <x:c r="T1295" s="18" t="n">
        <x:v>1.0000000000000009</x:v>
      </x:c>
      <x:c r="U1295" s="17" t="n">
        <x:v>899293602.2900008</x:v>
      </x:c>
      <x:c r="V1295" s="2" t="str">
        <x:v>Area equivalent = model2020 * OBAT footprint / TEMPO2020 footprint</x:v>
      </x:c>
      <x:c r="W1295" s="2" t="str">
        <x:v>qualified_source_frame_numeric_summary</x:v>
      </x:c>
      <x:c r="X1295" s="2" t="str">
        <x:v>https://data.jrc.ec.europa.eu/dataset/f41a22f1-5741-4c41-86eb-6384654f6927</x:v>
      </x:c>
    </x:row>
    <x:row r="1296" ht="23" customHeight="1">
      <x:c r="A1296" s="2" t="str">
        <x:v>LSO</x:v>
      </x:c>
      <x:c r="B1296" s="2" t="str">
        <x:v>Lesotho (Kingdom of)</x:v>
      </x:c>
      <x:c r="C1296" s="2" t="n">
        <x:v>2020</x:v>
      </x:c>
      <x:c r="D1296" s="2" t="str">
        <x:v>OBAT_FOOTPRINT</x:v>
      </x:c>
      <x:c r="E1296" s="17" t="n">
        <x:v>60655167.15000007</x:v>
      </x:c>
      <x:c r="F1296" s="17" t="n">
        <x:f>IF(AND(M1296,ISNUMBER(R1296)),IF(D1296="TEMPO_PROXY",R1296,IF(AND(ISNUMBER(S1296),S1296&gt;0,ISNUMBER(U1296)),U1296*R1296/S1296,"n.a.")),"n.a.")</x:f>
        <x:v>74480239.0800001</x:v>
      </x:c>
      <x:c r="G1296" s="17" t="n">
        <x:f>IF(AND(ISNUMBER(E1296),ISNUMBER(F1296)),E1296-F1296,"n.a.")</x:f>
        <x:v>-13825071.93000003</x:v>
      </x:c>
      <x:c r="H1296" s="15" t="n">
        <x:f>IF(AND(ISNUMBER(E1296),ISNUMBER(F1296),F1296&gt;0),(E1296-F1296)/F1296,"n.a.")</x:f>
        <x:v>-0.1856206706741416</x:v>
      </x:c>
      <x:c r="I1296" s="19" t="n">
        <x:f>IF(ISNUMBER(H1296),ABS(H1296),"n.a.")</x:f>
        <x:v>0.1856206706741416</x:v>
      </x:c>
      <x:c r="J1296" s="2" t="str">
        <x:v>available</x:v>
      </x:c>
      <x:c r="K1296" s="2" t="n">
        <x:v>1</x:v>
      </x:c>
      <x:c r="L1296" s="13" t="b">
        <x:v>0</x:v>
      </x:c>
      <x:c r="M1296" s="13" t="b">
        <x:v>1</x:v>
      </x:c>
      <x:c r="N1296" s="2" t="str">
        <x:v>nominal2020; Overture geometry2024-07-22.0; height support2018</x:v>
      </x:c>
      <x:c r="O1296" s="2" t="str"/>
      <x:c r="P1296" s="2" t="str">
        <x:v>included-footprint horizontal area</x:v>
      </x:c>
      <x:c r="Q1296" s="2" t="str">
        <x:v>m2</x:v>
      </x:c>
      <x:c r="R1296" s="17" t="n">
        <x:v>74480239.08</x:v>
      </x:c>
      <x:c r="S1296" s="17" t="n">
        <x:v>60655167.15</x:v>
      </x:c>
      <x:c r="T1296" s="18" t="n">
        <x:v>1.0000000000000013</x:v>
      </x:c>
      <x:c r="U1296" s="17" t="n">
        <x:v>60655167.15000007</x:v>
      </x:c>
      <x:c r="V1296" s="2" t="str">
        <x:v>Area equivalent = model2020 * OBAT footprint / TEMPO2020 footprint</x:v>
      </x:c>
      <x:c r="W1296" s="2" t="str">
        <x:v>qualified_source_frame_numeric_summary</x:v>
      </x:c>
      <x:c r="X1296" s="2" t="str">
        <x:v>https://data.jrc.ec.europa.eu/dataset/f41a22f1-5741-4c41-86eb-6384654f6927</x:v>
      </x:c>
    </x:row>
    <x:row r="1297" ht="23" customHeight="1">
      <x:c r="A1297" s="2" t="str">
        <x:v>LTU</x:v>
      </x:c>
      <x:c r="B1297" s="2" t="str">
        <x:v>Lithuania (Republic of)</x:v>
      </x:c>
      <x:c r="C1297" s="2" t="n">
        <x:v>2020</x:v>
      </x:c>
      <x:c r="D1297" s="2" t="str">
        <x:v>OBAT_FOOTPRINT</x:v>
      </x:c>
      <x:c r="E1297" s="17" t="n">
        <x:v>269070067.6199997</x:v>
      </x:c>
      <x:c r="F1297" s="17" t="n">
        <x:f>IF(AND(M1297,ISNUMBER(R1297)),IF(D1297="TEMPO_PROXY",R1297,IF(AND(ISNUMBER(S1297),S1297&gt;0,ISNUMBER(U1297)),U1297*R1297/S1297,"n.a.")),"n.a.")</x:f>
        <x:v>306277116.5399996</x:v>
      </x:c>
      <x:c r="G1297" s="17" t="n">
        <x:f>IF(AND(ISNUMBER(E1297),ISNUMBER(F1297)),E1297-F1297,"n.a.")</x:f>
        <x:v>-37207048.9199999</x:v>
      </x:c>
      <x:c r="H1297" s="15" t="n">
        <x:f>IF(AND(ISNUMBER(E1297),ISNUMBER(F1297),F1297&gt;0),(E1297-F1297)/F1297,"n.a.")</x:f>
        <x:v>-0.12148164818947771</x:v>
      </x:c>
      <x:c r="I1297" s="19" t="n">
        <x:f>IF(ISNUMBER(H1297),ABS(H1297),"n.a.")</x:f>
        <x:v>0.12148164818947771</x:v>
      </x:c>
      <x:c r="J1297" s="2" t="str">
        <x:v>available</x:v>
      </x:c>
      <x:c r="K1297" s="2" t="n">
        <x:v>1</x:v>
      </x:c>
      <x:c r="L1297" s="13" t="b">
        <x:v>0</x:v>
      </x:c>
      <x:c r="M1297" s="13" t="b">
        <x:v>1</x:v>
      </x:c>
      <x:c r="N1297" s="2" t="str">
        <x:v>nominal2020; Overture geometry2024-07-22.0; height support2018</x:v>
      </x:c>
      <x:c r="O1297" s="2" t="str"/>
      <x:c r="P1297" s="2" t="str">
        <x:v>included-footprint horizontal area</x:v>
      </x:c>
      <x:c r="Q1297" s="2" t="str">
        <x:v>m2</x:v>
      </x:c>
      <x:c r="R1297" s="17" t="n">
        <x:v>306277116.53999996</x:v>
      </x:c>
      <x:c r="S1297" s="17" t="n">
        <x:v>269070067.62</x:v>
      </x:c>
      <x:c r="T1297" s="18" t="n">
        <x:v>0.9999999999999989</x:v>
      </x:c>
      <x:c r="U1297" s="17" t="n">
        <x:v>269070067.6199997</x:v>
      </x:c>
      <x:c r="V1297" s="2" t="str">
        <x:v>Area equivalent = model2020 * OBAT footprint / TEMPO2020 footprint</x:v>
      </x:c>
      <x:c r="W1297" s="2" t="str">
        <x:v>qualified_source_frame_numeric_summary</x:v>
      </x:c>
      <x:c r="X1297" s="2" t="str">
        <x:v>https://data.jrc.ec.europa.eu/dataset/f41a22f1-5741-4c41-86eb-6384654f6927</x:v>
      </x:c>
    </x:row>
    <x:row r="1298" ht="23" customHeight="1">
      <x:c r="A1298" s="2" t="str">
        <x:v>LUX</x:v>
      </x:c>
      <x:c r="B1298" s="2" t="str">
        <x:v>Luxembourg (Grand Duchy of)</x:v>
      </x:c>
      <x:c r="C1298" s="2" t="n">
        <x:v>2020</x:v>
      </x:c>
      <x:c r="D1298" s="2" t="str">
        <x:v>OBAT_FOOTPRINT</x:v>
      </x:c>
      <x:c r="E1298" s="17" t="n">
        <x:v>49053600.56000002</x:v>
      </x:c>
      <x:c r="F1298" s="17" t="n">
        <x:f>IF(AND(M1298,ISNUMBER(R1298)),IF(D1298="TEMPO_PROXY",R1298,IF(AND(ISNUMBER(S1298),S1298&gt;0,ISNUMBER(U1298)),U1298*R1298/S1298,"n.a.")),"n.a.")</x:f>
        <x:v>54349118.615047984</x:v>
      </x:c>
      <x:c r="G1298" s="17" t="n">
        <x:f>IF(AND(ISNUMBER(E1298),ISNUMBER(F1298)),E1298-F1298,"n.a.")</x:f>
        <x:v>-5295518.055047967</x:v>
      </x:c>
      <x:c r="H1298" s="15" t="n">
        <x:f>IF(AND(ISNUMBER(E1298),ISNUMBER(F1298),F1298&gt;0),(E1298-F1298)/F1298,"n.a.")</x:f>
        <x:v>-0.09743521495823786</x:v>
      </x:c>
      <x:c r="I1298" s="19" t="n">
        <x:f>IF(ISNUMBER(H1298),ABS(H1298),"n.a.")</x:f>
        <x:v>0.09743521495823786</x:v>
      </x:c>
      <x:c r="J1298" s="2" t="str">
        <x:v>available</x:v>
      </x:c>
      <x:c r="K1298" s="2" t="n">
        <x:v>1</x:v>
      </x:c>
      <x:c r="L1298" s="13" t="b">
        <x:v>0</x:v>
      </x:c>
      <x:c r="M1298" s="13" t="b">
        <x:v>1</x:v>
      </x:c>
      <x:c r="N1298" s="2" t="str">
        <x:v>nominal2020; Overture geometry2024-07-22.0; height support2018</x:v>
      </x:c>
      <x:c r="O1298" s="2" t="str"/>
      <x:c r="P1298" s="2" t="str">
        <x:v>included-footprint horizontal area</x:v>
      </x:c>
      <x:c r="Q1298" s="2" t="str">
        <x:v>m2</x:v>
      </x:c>
      <x:c r="R1298" s="17" t="n">
        <x:v>47971439.71</x:v>
      </x:c>
      <x:c r="S1298" s="17" t="n">
        <x:v>43297332.17</x:v>
      </x:c>
      <x:c r="T1298" s="18" t="n">
        <x:v>1.132947415037004</x:v>
      </x:c>
      <x:c r="U1298" s="17" t="n">
        <x:v>49053600.56000002</x:v>
      </x:c>
      <x:c r="V1298" s="2" t="str">
        <x:v>Area equivalent = model2020 * OBAT footprint / TEMPO2020 footprint</x:v>
      </x:c>
      <x:c r="W1298" s="2" t="str">
        <x:v>qualified_source_frame_numeric_summary</x:v>
      </x:c>
      <x:c r="X1298" s="2" t="str">
        <x:v>https://data.jrc.ec.europa.eu/dataset/f41a22f1-5741-4c41-86eb-6384654f6927</x:v>
      </x:c>
    </x:row>
    <x:row r="1299" ht="23" customHeight="1">
      <x:c r="A1299" s="2" t="str">
        <x:v>LVA</x:v>
      </x:c>
      <x:c r="B1299" s="2" t="str">
        <x:v>Latvia (Republic of)</x:v>
      </x:c>
      <x:c r="C1299" s="2" t="n">
        <x:v>2020</x:v>
      </x:c>
      <x:c r="D1299" s="2" t="str">
        <x:v>OBAT_FOOTPRINT</x:v>
      </x:c>
      <x:c r="E1299" s="17" t="n">
        <x:v>145154805.1899999</x:v>
      </x:c>
      <x:c r="F1299" s="17" t="n">
        <x:f>IF(AND(M1299,ISNUMBER(R1299)),IF(D1299="TEMPO_PROXY",R1299,IF(AND(ISNUMBER(S1299),S1299&gt;0,ISNUMBER(U1299)),U1299*R1299/S1299,"n.a.")),"n.a.")</x:f>
        <x:v>173776992.32999986</x:v>
      </x:c>
      <x:c r="G1299" s="17" t="n">
        <x:f>IF(AND(ISNUMBER(E1299),ISNUMBER(F1299)),E1299-F1299,"n.a.")</x:f>
        <x:v>-28622187.139999956</x:v>
      </x:c>
      <x:c r="H1299" s="15" t="n">
        <x:f>IF(AND(ISNUMBER(E1299),ISNUMBER(F1299),F1299&gt;0),(E1299-F1299)/F1299,"n.a.")</x:f>
        <x:v>-0.16470642491985854</x:v>
      </x:c>
      <x:c r="I1299" s="19" t="n">
        <x:f>IF(ISNUMBER(H1299),ABS(H1299),"n.a.")</x:f>
        <x:v>0.16470642491985854</x:v>
      </x:c>
      <x:c r="J1299" s="2" t="str">
        <x:v>available</x:v>
      </x:c>
      <x:c r="K1299" s="2" t="n">
        <x:v>1</x:v>
      </x:c>
      <x:c r="L1299" s="13" t="b">
        <x:v>0</x:v>
      </x:c>
      <x:c r="M1299" s="13" t="b">
        <x:v>1</x:v>
      </x:c>
      <x:c r="N1299" s="2" t="str">
        <x:v>nominal2020; Overture geometry2024-07-22.0; height support2018</x:v>
      </x:c>
      <x:c r="O1299" s="2" t="str"/>
      <x:c r="P1299" s="2" t="str">
        <x:v>included-footprint horizontal area</x:v>
      </x:c>
      <x:c r="Q1299" s="2" t="str">
        <x:v>m2</x:v>
      </x:c>
      <x:c r="R1299" s="17" t="n">
        <x:v>173776992.32999998</x:v>
      </x:c>
      <x:c r="S1299" s="17" t="n">
        <x:v>145154805.19</x:v>
      </x:c>
      <x:c r="T1299" s="18" t="n">
        <x:v>0.9999999999999993</x:v>
      </x:c>
      <x:c r="U1299" s="17" t="n">
        <x:v>145154805.1899999</x:v>
      </x:c>
      <x:c r="V1299" s="2" t="str">
        <x:v>Area equivalent = model2020 * OBAT footprint / TEMPO2020 footprint</x:v>
      </x:c>
      <x:c r="W1299" s="2" t="str">
        <x:v>qualified_source_frame_numeric_summary</x:v>
      </x:c>
      <x:c r="X1299" s="2" t="str">
        <x:v>https://data.jrc.ec.europa.eu/dataset/f41a22f1-5741-4c41-86eb-6384654f6927</x:v>
      </x:c>
    </x:row>
    <x:row r="1300" ht="23" customHeight="1">
      <x:c r="A1300" s="2" t="str">
        <x:v>MAR</x:v>
      </x:c>
      <x:c r="B1300" s="2" t="str">
        <x:v>Morocco (Kingdom of)</x:v>
      </x:c>
      <x:c r="C1300" s="2" t="n">
        <x:v>2020</x:v>
      </x:c>
      <x:c r="D1300" s="2" t="str">
        <x:v>OBAT_FOOTPRINT</x:v>
      </x:c>
      <x:c r="E1300" s="17" t="n">
        <x:v>1247018524.7000012</x:v>
      </x:c>
      <x:c r="F1300" s="17" t="n">
        <x:f>IF(AND(M1300,ISNUMBER(R1300)),IF(D1300="TEMPO_PROXY",R1300,IF(AND(ISNUMBER(S1300),S1300&gt;0,ISNUMBER(U1300)),U1300*R1300/S1300,"n.a.")),"n.a.")</x:f>
        <x:v>851718830.4730645</x:v>
      </x:c>
      <x:c r="G1300" s="17" t="n">
        <x:f>IF(AND(ISNUMBER(E1300),ISNUMBER(F1300)),E1300-F1300,"n.a.")</x:f>
        <x:v>395299694.2269367</x:v>
      </x:c>
      <x:c r="H1300" s="15" t="n">
        <x:f>IF(AND(ISNUMBER(E1300),ISNUMBER(F1300),F1300&gt;0),(E1300-F1300)/F1300,"n.a.")</x:f>
        <x:v>0.4641199420322526</x:v>
      </x:c>
      <x:c r="I1300" s="19" t="n">
        <x:f>IF(ISNUMBER(H1300),ABS(H1300),"n.a.")</x:f>
        <x:v>0.4641199420322526</x:v>
      </x:c>
      <x:c r="J1300" s="2" t="str">
        <x:v>available</x:v>
      </x:c>
      <x:c r="K1300" s="2" t="n">
        <x:v>1</x:v>
      </x:c>
      <x:c r="L1300" s="13" t="b">
        <x:v>0</x:v>
      </x:c>
      <x:c r="M1300" s="13" t="b">
        <x:v>1</x:v>
      </x:c>
      <x:c r="N1300" s="2" t="str">
        <x:v>nominal2020; Overture geometry2024-07-22.0; height support2018</x:v>
      </x:c>
      <x:c r="O1300" s="2" t="str"/>
      <x:c r="P1300" s="2" t="str">
        <x:v>included-footprint horizontal area</x:v>
      </x:c>
      <x:c r="Q1300" s="2" t="str">
        <x:v>m2</x:v>
      </x:c>
      <x:c r="R1300" s="17" t="n">
        <x:v>812541669.42</x:v>
      </x:c>
      <x:c r="S1300" s="17" t="n">
        <x:v>1189658461.93</x:v>
      </x:c>
      <x:c r="T1300" s="18" t="n">
        <x:v>1.0482155716161974</x:v>
      </x:c>
      <x:c r="U1300" s="17" t="n">
        <x:v>1247018524.7000012</x:v>
      </x:c>
      <x:c r="V1300" s="2" t="str">
        <x:v>Area equivalent = model2020 * OBAT footprint / TEMPO2020 footprint</x:v>
      </x:c>
      <x:c r="W1300" s="2" t="str">
        <x:v>qualified_source_frame_numeric_summary</x:v>
      </x:c>
      <x:c r="X1300" s="2" t="str">
        <x:v>https://data.jrc.ec.europa.eu/dataset/f41a22f1-5741-4c41-86eb-6384654f6927</x:v>
      </x:c>
    </x:row>
    <x:row r="1301" ht="23" customHeight="1">
      <x:c r="A1301" s="2" t="str">
        <x:v>MCO</x:v>
      </x:c>
      <x:c r="B1301" s="2" t="str">
        <x:v>Monaco (Principality of)</x:v>
      </x:c>
      <x:c r="C1301" s="2" t="n">
        <x:v>2020</x:v>
      </x:c>
      <x:c r="D1301" s="2" t="str">
        <x:v>OBAT_FOOTPRINT</x:v>
      </x:c>
      <x:c r="E1301" s="17" t="n">
        <x:v>1563267.7900000005</x:v>
      </x:c>
      <x:c r="F1301" s="17" t="n">
        <x:f>IF(AND(M1301,ISNUMBER(R1301)),IF(D1301="TEMPO_PROXY",R1301,IF(AND(ISNUMBER(S1301),S1301&gt;0,ISNUMBER(U1301)),U1301*R1301/S1301,"n.a.")),"n.a.")</x:f>
        <x:v>1908735.022288622</x:v>
      </x:c>
      <x:c r="G1301" s="17" t="n">
        <x:f>IF(AND(ISNUMBER(E1301),ISNUMBER(F1301)),E1301-F1301,"n.a.")</x:f>
        <x:v>-345467.2322886216</x:v>
      </x:c>
      <x:c r="H1301" s="15" t="n">
        <x:f>IF(AND(ISNUMBER(E1301),ISNUMBER(F1301),F1301&gt;0),(E1301-F1301)/F1301,"n.a.")</x:f>
        <x:v>-0.18099276654671403</x:v>
      </x:c>
      <x:c r="I1301" s="19" t="n">
        <x:f>IF(ISNUMBER(H1301),ABS(H1301),"n.a.")</x:f>
        <x:v>0.18099276654671403</x:v>
      </x:c>
      <x:c r="J1301" s="2" t="str">
        <x:v>available</x:v>
      </x:c>
      <x:c r="K1301" s="2" t="n">
        <x:v>1</x:v>
      </x:c>
      <x:c r="L1301" s="13" t="b">
        <x:v>0</x:v>
      </x:c>
      <x:c r="M1301" s="13" t="b">
        <x:v>1</x:v>
      </x:c>
      <x:c r="N1301" s="2" t="str">
        <x:v>nominal2020; Overture geometry2024-07-22.0; height support2018</x:v>
      </x:c>
      <x:c r="O1301" s="2" t="str"/>
      <x:c r="P1301" s="2" t="str">
        <x:v>included-footprint horizontal area</x:v>
      </x:c>
      <x:c r="Q1301" s="2" t="str">
        <x:v>m2</x:v>
      </x:c>
      <x:c r="R1301" s="17" t="n">
        <x:v>677856.04</x:v>
      </x:c>
      <x:c r="S1301" s="17" t="n">
        <x:v>555169</x:v>
      </x:c>
      <x:c r="T1301" s="18" t="n">
        <x:v>2.8158412843656624</x:v>
      </x:c>
      <x:c r="U1301" s="17" t="n">
        <x:v>1563267.7900000005</x:v>
      </x:c>
      <x:c r="V1301" s="2" t="str">
        <x:v>Area equivalent = model2020 * OBAT footprint / TEMPO2020 footprint</x:v>
      </x:c>
      <x:c r="W1301" s="2" t="str">
        <x:v>qualified_source_frame_numeric_summary</x:v>
      </x:c>
      <x:c r="X1301" s="2" t="str">
        <x:v>https://data.jrc.ec.europa.eu/dataset/f41a22f1-5741-4c41-86eb-6384654f6927</x:v>
      </x:c>
    </x:row>
    <x:row r="1302" ht="23" customHeight="1">
      <x:c r="A1302" s="2" t="str">
        <x:v>MDA</x:v>
      </x:c>
      <x:c r="B1302" s="2" t="str">
        <x:v>Moldova (Republic of)</x:v>
      </x:c>
      <x:c r="C1302" s="2" t="n">
        <x:v>2020</x:v>
      </x:c>
      <x:c r="D1302" s="2" t="str">
        <x:v>OBAT_FOOTPRINT</x:v>
      </x:c>
      <x:c r="E1302" s="17" t="n">
        <x:v>254566854.8299996</x:v>
      </x:c>
      <x:c r="F1302" s="17" t="n">
        <x:f>IF(AND(M1302,ISNUMBER(R1302)),IF(D1302="TEMPO_PROXY",R1302,IF(AND(ISNUMBER(S1302),S1302&gt;0,ISNUMBER(U1302)),U1302*R1302/S1302,"n.a.")),"n.a.")</x:f>
        <x:v>279170193.2499995</x:v>
      </x:c>
      <x:c r="G1302" s="17" t="n">
        <x:f>IF(AND(ISNUMBER(E1302),ISNUMBER(F1302)),E1302-F1302,"n.a.")</x:f>
        <x:v>-24603338.419999927</x:v>
      </x:c>
      <x:c r="H1302" s="15" t="n">
        <x:f>IF(AND(ISNUMBER(E1302),ISNUMBER(F1302),F1302&gt;0),(E1302-F1302)/F1302,"n.a.")</x:f>
        <x:v>-0.08813024819582872</x:v>
      </x:c>
      <x:c r="I1302" s="19" t="n">
        <x:f>IF(ISNUMBER(H1302),ABS(H1302),"n.a.")</x:f>
        <x:v>0.08813024819582872</x:v>
      </x:c>
      <x:c r="J1302" s="2" t="str">
        <x:v>available</x:v>
      </x:c>
      <x:c r="K1302" s="2" t="n">
        <x:v>1</x:v>
      </x:c>
      <x:c r="L1302" s="13" t="b">
        <x:v>0</x:v>
      </x:c>
      <x:c r="M1302" s="13" t="b">
        <x:v>1</x:v>
      </x:c>
      <x:c r="N1302" s="2" t="str">
        <x:v>nominal2020; Overture geometry2024-07-22.0; height support2018</x:v>
      </x:c>
      <x:c r="O1302" s="2" t="str"/>
      <x:c r="P1302" s="2" t="str">
        <x:v>included-footprint horizontal area</x:v>
      </x:c>
      <x:c r="Q1302" s="2" t="str">
        <x:v>m2</x:v>
      </x:c>
      <x:c r="R1302" s="17" t="n">
        <x:v>279170193.25</x:v>
      </x:c>
      <x:c r="S1302" s="17" t="n">
        <x:v>254566854.83</x:v>
      </x:c>
      <x:c r="T1302" s="18" t="n">
        <x:v>0.9999999999999983</x:v>
      </x:c>
      <x:c r="U1302" s="17" t="n">
        <x:v>254566854.8299996</x:v>
      </x:c>
      <x:c r="V1302" s="2" t="str">
        <x:v>Area equivalent = model2020 * OBAT footprint / TEMPO2020 footprint</x:v>
      </x:c>
      <x:c r="W1302" s="2" t="str">
        <x:v>qualified_source_frame_numeric_summary</x:v>
      </x:c>
      <x:c r="X1302" s="2" t="str">
        <x:v>https://data.jrc.ec.europa.eu/dataset/f41a22f1-5741-4c41-86eb-6384654f6927</x:v>
      </x:c>
    </x:row>
    <x:row r="1303" ht="23" customHeight="1">
      <x:c r="A1303" s="2" t="str">
        <x:v>MDG</x:v>
      </x:c>
      <x:c r="B1303" s="2" t="str">
        <x:v>Madagascar (Republic of)</x:v>
      </x:c>
      <x:c r="C1303" s="2" t="n">
        <x:v>2020</x:v>
      </x:c>
      <x:c r="D1303" s="2" t="str">
        <x:v>OBAT_FOOTPRINT</x:v>
      </x:c>
      <x:c r="E1303" s="17" t="n">
        <x:v>360823089.7999994</x:v>
      </x:c>
      <x:c r="F1303" s="17" t="n">
        <x:f>IF(AND(M1303,ISNUMBER(R1303)),IF(D1303="TEMPO_PROXY",R1303,IF(AND(ISNUMBER(S1303),S1303&gt;0,ISNUMBER(U1303)),U1303*R1303/S1303,"n.a.")),"n.a.")</x:f>
        <x:v>423870352.3499993</x:v>
      </x:c>
      <x:c r="G1303" s="17" t="n">
        <x:f>IF(AND(ISNUMBER(E1303),ISNUMBER(F1303)),E1303-F1303,"n.a.")</x:f>
        <x:v>-63047262.54999989</x:v>
      </x:c>
      <x:c r="H1303" s="15" t="n">
        <x:f>IF(AND(ISNUMBER(E1303),ISNUMBER(F1303),F1303&gt;0),(E1303-F1303)/F1303,"n.a.")</x:f>
        <x:v>-0.1487418551461706</x:v>
      </x:c>
      <x:c r="I1303" s="19" t="n">
        <x:f>IF(ISNUMBER(H1303),ABS(H1303),"n.a.")</x:f>
        <x:v>0.1487418551461706</x:v>
      </x:c>
      <x:c r="J1303" s="2" t="str">
        <x:v>available</x:v>
      </x:c>
      <x:c r="K1303" s="2" t="n">
        <x:v>1</x:v>
      </x:c>
      <x:c r="L1303" s="13" t="b">
        <x:v>0</x:v>
      </x:c>
      <x:c r="M1303" s="13" t="b">
        <x:v>1</x:v>
      </x:c>
      <x:c r="N1303" s="2" t="str">
        <x:v>nominal2020; Overture geometry2024-07-22.0; height support2018</x:v>
      </x:c>
      <x:c r="O1303" s="2" t="str"/>
      <x:c r="P1303" s="2" t="str">
        <x:v>included-footprint horizontal area</x:v>
      </x:c>
      <x:c r="Q1303" s="2" t="str">
        <x:v>m2</x:v>
      </x:c>
      <x:c r="R1303" s="17" t="n">
        <x:v>423870352.35</x:v>
      </x:c>
      <x:c r="S1303" s="17" t="n">
        <x:v>360823089.8</x:v>
      </x:c>
      <x:c r="T1303" s="18" t="n">
        <x:v>0.9999999999999983</x:v>
      </x:c>
      <x:c r="U1303" s="17" t="n">
        <x:v>360823089.7999994</x:v>
      </x:c>
      <x:c r="V1303" s="2" t="str">
        <x:v>Area equivalent = model2020 * OBAT footprint / TEMPO2020 footprint</x:v>
      </x:c>
      <x:c r="W1303" s="2" t="str">
        <x:v>qualified_source_frame_numeric_summary</x:v>
      </x:c>
      <x:c r="X1303" s="2" t="str">
        <x:v>https://data.jrc.ec.europa.eu/dataset/f41a22f1-5741-4c41-86eb-6384654f6927</x:v>
      </x:c>
    </x:row>
    <x:row r="1304" ht="23" customHeight="1">
      <x:c r="A1304" s="2" t="str">
        <x:v>MDV</x:v>
      </x:c>
      <x:c r="B1304" s="2" t="str">
        <x:v>Maldives (Republic of)</x:v>
      </x:c>
      <x:c r="C1304" s="2" t="n">
        <x:v>2020</x:v>
      </x:c>
      <x:c r="D1304" s="2" t="str">
        <x:v>OBAT_FOOTPRINT</x:v>
      </x:c>
      <x:c r="E1304" s="17" t="n">
        <x:v>2206666.830000001</x:v>
      </x:c>
      <x:c r="F1304" s="17" t="n">
        <x:f>IF(AND(M1304,ISNUMBER(R1304)),IF(D1304="TEMPO_PROXY",R1304,IF(AND(ISNUMBER(S1304),S1304&gt;0,ISNUMBER(U1304)),U1304*R1304/S1304,"n.a.")),"n.a.")</x:f>
        <x:v>17738120.020000007</x:v>
      </x:c>
      <x:c r="G1304" s="17" t="n">
        <x:f>IF(AND(ISNUMBER(E1304),ISNUMBER(F1304)),E1304-F1304,"n.a.")</x:f>
        <x:v>-15531453.190000005</x:v>
      </x:c>
      <x:c r="H1304" s="15" t="n">
        <x:f>IF(AND(ISNUMBER(E1304),ISNUMBER(F1304),F1304&gt;0),(E1304-F1304)/F1304,"n.a.")</x:f>
        <x:v>-0.875597480031032</x:v>
      </x:c>
      <x:c r="I1304" s="19" t="n">
        <x:f>IF(ISNUMBER(H1304),ABS(H1304),"n.a.")</x:f>
        <x:v>0.875597480031032</x:v>
      </x:c>
      <x:c r="J1304" s="2" t="str">
        <x:v>available</x:v>
      </x:c>
      <x:c r="K1304" s="2" t="n">
        <x:v>1</x:v>
      </x:c>
      <x:c r="L1304" s="13" t="b">
        <x:v>0</x:v>
      </x:c>
      <x:c r="M1304" s="13" t="b">
        <x:v>1</x:v>
      </x:c>
      <x:c r="N1304" s="2" t="str">
        <x:v>nominal2020; Overture geometry2024-07-22.0; height support2018</x:v>
      </x:c>
      <x:c r="O1304" s="2" t="str"/>
      <x:c r="P1304" s="2" t="str">
        <x:v>included-footprint horizontal area</x:v>
      </x:c>
      <x:c r="Q1304" s="2" t="str">
        <x:v>m2</x:v>
      </x:c>
      <x:c r="R1304" s="17" t="n">
        <x:v>17738120.02</x:v>
      </x:c>
      <x:c r="S1304" s="17" t="n">
        <x:v>2206666.83</x:v>
      </x:c>
      <x:c r="T1304" s="18" t="n">
        <x:v>1.0000000000000004</x:v>
      </x:c>
      <x:c r="U1304" s="17" t="n">
        <x:v>2206666.830000001</x:v>
      </x:c>
      <x:c r="V1304" s="2" t="str">
        <x:v>Area equivalent = model2020 * OBAT footprint / TEMPO2020 footprint</x:v>
      </x:c>
      <x:c r="W1304" s="2" t="str">
        <x:v>qualified_source_frame_numeric_summary</x:v>
      </x:c>
      <x:c r="X1304" s="2" t="str">
        <x:v>https://data.jrc.ec.europa.eu/dataset/f41a22f1-5741-4c41-86eb-6384654f6927</x:v>
      </x:c>
    </x:row>
    <x:row r="1305" ht="23" customHeight="1">
      <x:c r="A1305" s="2" t="str">
        <x:v>MEX</x:v>
      </x:c>
      <x:c r="B1305" s="2" t="str">
        <x:v>Mexico (United Mexican States)</x:v>
      </x:c>
      <x:c r="C1305" s="2" t="n">
        <x:v>2020</x:v>
      </x:c>
      <x:c r="D1305" s="2" t="str">
        <x:v>OBAT_FOOTPRINT</x:v>
      </x:c>
      <x:c r="E1305" s="17" t="n">
        <x:v>6345872319.039995</x:v>
      </x:c>
      <x:c r="F1305" s="17" t="n">
        <x:f>IF(AND(M1305,ISNUMBER(R1305)),IF(D1305="TEMPO_PROXY",R1305,IF(AND(ISNUMBER(S1305),S1305&gt;0,ISNUMBER(U1305)),U1305*R1305/S1305,"n.a.")),"n.a.")</x:f>
        <x:v>6994690460.709994</x:v>
      </x:c>
      <x:c r="G1305" s="17" t="n">
        <x:f>IF(AND(ISNUMBER(E1305),ISNUMBER(F1305)),E1305-F1305,"n.a.")</x:f>
        <x:v>-648818141.6699991</x:v>
      </x:c>
      <x:c r="H1305" s="15" t="n">
        <x:f>IF(AND(ISNUMBER(E1305),ISNUMBER(F1305),F1305&gt;0),(E1305-F1305)/F1305,"n.a.")</x:f>
        <x:v>-0.0927586639200816</x:v>
      </x:c>
      <x:c r="I1305" s="19" t="n">
        <x:f>IF(ISNUMBER(H1305),ABS(H1305),"n.a.")</x:f>
        <x:v>0.0927586639200816</x:v>
      </x:c>
      <x:c r="J1305" s="2" t="str">
        <x:v>available</x:v>
      </x:c>
      <x:c r="K1305" s="2" t="n">
        <x:v>1</x:v>
      </x:c>
      <x:c r="L1305" s="13" t="b">
        <x:v>0</x:v>
      </x:c>
      <x:c r="M1305" s="13" t="b">
        <x:v>1</x:v>
      </x:c>
      <x:c r="N1305" s="2" t="str">
        <x:v>nominal2020; Overture geometry2024-07-22.0; height support2018</x:v>
      </x:c>
      <x:c r="O1305" s="2" t="str"/>
      <x:c r="P1305" s="2" t="str">
        <x:v>included-footprint horizontal area</x:v>
      </x:c>
      <x:c r="Q1305" s="2" t="str">
        <x:v>m2</x:v>
      </x:c>
      <x:c r="R1305" s="17" t="n">
        <x:v>6994690460.71</x:v>
      </x:c>
      <x:c r="S1305" s="17" t="n">
        <x:v>6345872319.04</x:v>
      </x:c>
      <x:c r="T1305" s="18" t="n">
        <x:v>0.9999999999999992</x:v>
      </x:c>
      <x:c r="U1305" s="17" t="n">
        <x:v>6345872319.039995</x:v>
      </x:c>
      <x:c r="V1305" s="2" t="str">
        <x:v>Area equivalent = model2020 * OBAT footprint / TEMPO2020 footprint</x:v>
      </x:c>
      <x:c r="W1305" s="2" t="str">
        <x:v>qualified_source_frame_numeric_summary</x:v>
      </x:c>
      <x:c r="X1305" s="2" t="str">
        <x:v>https://data.jrc.ec.europa.eu/dataset/f41a22f1-5741-4c41-86eb-6384654f6927</x:v>
      </x:c>
    </x:row>
    <x:row r="1306" ht="23" customHeight="1">
      <x:c r="A1306" s="2" t="str">
        <x:v>MHL</x:v>
      </x:c>
      <x:c r="B1306" s="2" t="str">
        <x:v>Marshall Islands (Republic of the)</x:v>
      </x:c>
      <x:c r="C1306" s="2" t="n">
        <x:v>2020</x:v>
      </x:c>
      <x:c r="D1306" s="2" t="str">
        <x:v>OBAT_FOOTPRINT</x:v>
      </x:c>
      <x:c r="E1306" s="17" t="n">
        <x:v>198896.74</x:v>
      </x:c>
      <x:c r="F1306" s="17" t="n">
        <x:f>IF(AND(M1306,ISNUMBER(R1306)),IF(D1306="TEMPO_PROXY",R1306,IF(AND(ISNUMBER(S1306),S1306&gt;0,ISNUMBER(U1306)),U1306*R1306/S1306,"n.a.")),"n.a.")</x:f>
        <x:v>1369172.35</x:v>
      </x:c>
      <x:c r="G1306" s="17" t="n">
        <x:f>IF(AND(ISNUMBER(E1306),ISNUMBER(F1306)),E1306-F1306,"n.a.")</x:f>
        <x:v>-1170275.61</x:v>
      </x:c>
      <x:c r="H1306" s="15" t="n">
        <x:f>IF(AND(ISNUMBER(E1306),ISNUMBER(F1306),F1306&gt;0),(E1306-F1306)/F1306,"n.a.")</x:f>
        <x:v>-0.8547321379956293</x:v>
      </x:c>
      <x:c r="I1306" s="19" t="n">
        <x:f>IF(ISNUMBER(H1306),ABS(H1306),"n.a.")</x:f>
        <x:v>0.8547321379956293</x:v>
      </x:c>
      <x:c r="J1306" s="2" t="str">
        <x:v>available</x:v>
      </x:c>
      <x:c r="K1306" s="2" t="n">
        <x:v>1</x:v>
      </x:c>
      <x:c r="L1306" s="13" t="b">
        <x:v>0</x:v>
      </x:c>
      <x:c r="M1306" s="13" t="b">
        <x:v>1</x:v>
      </x:c>
      <x:c r="N1306" s="2" t="str">
        <x:v>nominal2020; Overture geometry2024-07-22.0; height support2018</x:v>
      </x:c>
      <x:c r="O1306" s="2" t="str"/>
      <x:c r="P1306" s="2" t="str">
        <x:v>included-footprint horizontal area</x:v>
      </x:c>
      <x:c r="Q1306" s="2" t="str">
        <x:v>m2</x:v>
      </x:c>
      <x:c r="R1306" s="17" t="n">
        <x:v>1369172.35</x:v>
      </x:c>
      <x:c r="S1306" s="17" t="n">
        <x:v>198896.74</x:v>
      </x:c>
      <x:c r="T1306" s="18" t="n">
        <x:v>1</x:v>
      </x:c>
      <x:c r="U1306" s="17" t="n">
        <x:v>198896.74</x:v>
      </x:c>
      <x:c r="V1306" s="2" t="str">
        <x:v>Area equivalent = model2020 * OBAT footprint / TEMPO2020 footprint</x:v>
      </x:c>
      <x:c r="W1306" s="2" t="str">
        <x:v>qualified_source_frame_numeric_summary</x:v>
      </x:c>
      <x:c r="X1306" s="2" t="str">
        <x:v>https://data.jrc.ec.europa.eu/dataset/f41a22f1-5741-4c41-86eb-6384654f6927</x:v>
      </x:c>
    </x:row>
    <x:row r="1307" ht="23" customHeight="1">
      <x:c r="A1307" s="2" t="str">
        <x:v>MKD</x:v>
      </x:c>
      <x:c r="B1307" s="2" t="str">
        <x:v>North Macedonia (Republic of)</x:v>
      </x:c>
      <x:c r="C1307" s="2" t="n">
        <x:v>2020</x:v>
      </x:c>
      <x:c r="D1307" s="2" t="str">
        <x:v>OBAT_FOOTPRINT</x:v>
      </x:c>
      <x:c r="E1307" s="17" t="n">
        <x:v>122189801.58999982</x:v>
      </x:c>
      <x:c r="F1307" s="17" t="n">
        <x:f>IF(AND(M1307,ISNUMBER(R1307)),IF(D1307="TEMPO_PROXY",R1307,IF(AND(ISNUMBER(S1307),S1307&gt;0,ISNUMBER(U1307)),U1307*R1307/S1307,"n.a.")),"n.a.")</x:f>
        <x:v>112764932.94999984</x:v>
      </x:c>
      <x:c r="G1307" s="17" t="n">
        <x:f>IF(AND(ISNUMBER(E1307),ISNUMBER(F1307)),E1307-F1307,"n.a.")</x:f>
        <x:v>9424868.639999986</x:v>
      </x:c>
      <x:c r="H1307" s="15" t="n">
        <x:f>IF(AND(ISNUMBER(E1307),ISNUMBER(F1307),F1307&gt;0),(E1307-F1307)/F1307,"n.a.")</x:f>
        <x:v>0.08357978312441323</x:v>
      </x:c>
      <x:c r="I1307" s="19" t="n">
        <x:f>IF(ISNUMBER(H1307),ABS(H1307),"n.a.")</x:f>
        <x:v>0.08357978312441323</x:v>
      </x:c>
      <x:c r="J1307" s="2" t="str">
        <x:v>available</x:v>
      </x:c>
      <x:c r="K1307" s="2" t="n">
        <x:v>1</x:v>
      </x:c>
      <x:c r="L1307" s="13" t="b">
        <x:v>0</x:v>
      </x:c>
      <x:c r="M1307" s="13" t="b">
        <x:v>1</x:v>
      </x:c>
      <x:c r="N1307" s="2" t="str">
        <x:v>nominal2020; Overture geometry2024-07-22.0; height support2018</x:v>
      </x:c>
      <x:c r="O1307" s="2" t="str"/>
      <x:c r="P1307" s="2" t="str">
        <x:v>included-footprint horizontal area</x:v>
      </x:c>
      <x:c r="Q1307" s="2" t="str">
        <x:v>m2</x:v>
      </x:c>
      <x:c r="R1307" s="17" t="n">
        <x:v>112764932.95</x:v>
      </x:c>
      <x:c r="S1307" s="17" t="n">
        <x:v>122189801.59</x:v>
      </x:c>
      <x:c r="T1307" s="18" t="n">
        <x:v>0.9999999999999986</x:v>
      </x:c>
      <x:c r="U1307" s="17" t="n">
        <x:v>122189801.58999982</x:v>
      </x:c>
      <x:c r="V1307" s="2" t="str">
        <x:v>Area equivalent = model2020 * OBAT footprint / TEMPO2020 footprint</x:v>
      </x:c>
      <x:c r="W1307" s="2" t="str">
        <x:v>qualified_source_frame_numeric_summary</x:v>
      </x:c>
      <x:c r="X1307" s="2" t="str">
        <x:v>https://data.jrc.ec.europa.eu/dataset/f41a22f1-5741-4c41-86eb-6384654f6927</x:v>
      </x:c>
    </x:row>
    <x:row r="1308" ht="23" customHeight="1">
      <x:c r="A1308" s="2" t="str">
        <x:v>MLI</x:v>
      </x:c>
      <x:c r="B1308" s="2" t="str">
        <x:v>Mali (Republic of)</x:v>
      </x:c>
      <x:c r="C1308" s="2" t="n">
        <x:v>2020</x:v>
      </x:c>
      <x:c r="D1308" s="2" t="str">
        <x:v>OBAT_FOOTPRINT</x:v>
      </x:c>
      <x:c r="E1308" s="17" t="n">
        <x:v>323707340.7500005</x:v>
      </x:c>
      <x:c r="F1308" s="17" t="n">
        <x:f>IF(AND(M1308,ISNUMBER(R1308)),IF(D1308="TEMPO_PROXY",R1308,IF(AND(ISNUMBER(S1308),S1308&gt;0,ISNUMBER(U1308)),U1308*R1308/S1308,"n.a.")),"n.a.")</x:f>
        <x:v>278055312.4300004</x:v>
      </x:c>
      <x:c r="G1308" s="17" t="n">
        <x:f>IF(AND(ISNUMBER(E1308),ISNUMBER(F1308)),E1308-F1308,"n.a.")</x:f>
        <x:v>45652028.32000005</x:v>
      </x:c>
      <x:c r="H1308" s="15" t="n">
        <x:f>IF(AND(ISNUMBER(E1308),ISNUMBER(F1308),F1308&gt;0),(E1308-F1308)/F1308,"n.a.")</x:f>
        <x:v>0.16418326239133738</x:v>
      </x:c>
      <x:c r="I1308" s="19" t="n">
        <x:f>IF(ISNUMBER(H1308),ABS(H1308),"n.a.")</x:f>
        <x:v>0.16418326239133738</x:v>
      </x:c>
      <x:c r="J1308" s="2" t="str">
        <x:v>available</x:v>
      </x:c>
      <x:c r="K1308" s="2" t="n">
        <x:v>1</x:v>
      </x:c>
      <x:c r="L1308" s="13" t="b">
        <x:v>0</x:v>
      </x:c>
      <x:c r="M1308" s="13" t="b">
        <x:v>1</x:v>
      </x:c>
      <x:c r="N1308" s="2" t="str">
        <x:v>nominal2020; Overture geometry2024-07-22.0; height support2018</x:v>
      </x:c>
      <x:c r="O1308" s="2" t="str"/>
      <x:c r="P1308" s="2" t="str">
        <x:v>included-footprint horizontal area</x:v>
      </x:c>
      <x:c r="Q1308" s="2" t="str">
        <x:v>m2</x:v>
      </x:c>
      <x:c r="R1308" s="17" t="n">
        <x:v>278055312.43</x:v>
      </x:c>
      <x:c r="S1308" s="17" t="n">
        <x:v>323707340.75</x:v>
      </x:c>
      <x:c r="T1308" s="18" t="n">
        <x:v>1.0000000000000016</x:v>
      </x:c>
      <x:c r="U1308" s="17" t="n">
        <x:v>323707340.7500005</x:v>
      </x:c>
      <x:c r="V1308" s="2" t="str">
        <x:v>Area equivalent = model2020 * OBAT footprint / TEMPO2020 footprint</x:v>
      </x:c>
      <x:c r="W1308" s="2" t="str">
        <x:v>qualified_source_frame_numeric_summary</x:v>
      </x:c>
      <x:c r="X1308" s="2" t="str">
        <x:v>https://data.jrc.ec.europa.eu/dataset/f41a22f1-5741-4c41-86eb-6384654f6927</x:v>
      </x:c>
    </x:row>
    <x:row r="1309" ht="23" customHeight="1">
      <x:c r="A1309" s="2" t="str">
        <x:v>MLT</x:v>
      </x:c>
      <x:c r="B1309" s="2" t="str">
        <x:v>Malta (Republic of)</x:v>
      </x:c>
      <x:c r="C1309" s="2" t="n">
        <x:v>2020</x:v>
      </x:c>
      <x:c r="D1309" s="2" t="str">
        <x:v>OBAT_FOOTPRINT</x:v>
      </x:c>
      <x:c r="E1309" s="17" t="n">
        <x:v>35087387.829999976</x:v>
      </x:c>
      <x:c r="F1309" s="17" t="n">
        <x:f>IF(AND(M1309,ISNUMBER(R1309)),IF(D1309="TEMPO_PROXY",R1309,IF(AND(ISNUMBER(S1309),S1309&gt;0,ISNUMBER(U1309)),U1309*R1309/S1309,"n.a.")),"n.a.")</x:f>
        <x:v>37664041.14908946</x:v>
      </x:c>
      <x:c r="G1309" s="17" t="n">
        <x:f>IF(AND(ISNUMBER(E1309),ISNUMBER(F1309)),E1309-F1309,"n.a.")</x:f>
        <x:v>-2576653.319089487</x:v>
      </x:c>
      <x:c r="H1309" s="15" t="n">
        <x:f>IF(AND(ISNUMBER(E1309),ISNUMBER(F1309),F1309&gt;0),(E1309-F1309)/F1309,"n.a.")</x:f>
        <x:v>-0.0684114938407712</x:v>
      </x:c>
      <x:c r="I1309" s="19" t="n">
        <x:f>IF(ISNUMBER(H1309),ABS(H1309),"n.a.")</x:f>
        <x:v>0.0684114938407712</x:v>
      </x:c>
      <x:c r="J1309" s="2" t="str">
        <x:v>available</x:v>
      </x:c>
      <x:c r="K1309" s="2" t="n">
        <x:v>1</x:v>
      </x:c>
      <x:c r="L1309" s="13" t="b">
        <x:v>0</x:v>
      </x:c>
      <x:c r="M1309" s="13" t="b">
        <x:v>1</x:v>
      </x:c>
      <x:c r="N1309" s="2" t="str">
        <x:v>nominal2020; Overture geometry2024-07-22.0; height support2018</x:v>
      </x:c>
      <x:c r="O1309" s="2" t="str"/>
      <x:c r="P1309" s="2" t="str">
        <x:v>included-footprint horizontal area</x:v>
      </x:c>
      <x:c r="Q1309" s="2" t="str">
        <x:v>m2</x:v>
      </x:c>
      <x:c r="R1309" s="17" t="n">
        <x:v>28263605.74</x:v>
      </x:c>
      <x:c r="S1309" s="17" t="n">
        <x:v>26330050.25</x:v>
      </x:c>
      <x:c r="T1309" s="18" t="n">
        <x:v>1.3325985897045516</x:v>
      </x:c>
      <x:c r="U1309" s="17" t="n">
        <x:v>35087387.829999976</x:v>
      </x:c>
      <x:c r="V1309" s="2" t="str">
        <x:v>Area equivalent = model2020 * OBAT footprint / TEMPO2020 footprint</x:v>
      </x:c>
      <x:c r="W1309" s="2" t="str">
        <x:v>qualified_source_frame_numeric_summary</x:v>
      </x:c>
      <x:c r="X1309" s="2" t="str">
        <x:v>https://data.jrc.ec.europa.eu/dataset/f41a22f1-5741-4c41-86eb-6384654f6927</x:v>
      </x:c>
    </x:row>
    <x:row r="1310" ht="23" customHeight="1">
      <x:c r="A1310" s="2" t="str">
        <x:v>MMR</x:v>
      </x:c>
      <x:c r="B1310" s="2" t="str">
        <x:v>Myanmar (Republic of the Union of)</x:v>
      </x:c>
      <x:c r="C1310" s="2" t="n">
        <x:v>2020</x:v>
      </x:c>
      <x:c r="D1310" s="2" t="str">
        <x:v>OBAT_FOOTPRINT</x:v>
      </x:c>
      <x:c r="E1310" s="17" t="n">
        <x:v>1377164281.6799977</x:v>
      </x:c>
      <x:c r="F1310" s="17" t="n">
        <x:f>IF(AND(M1310,ISNUMBER(R1310)),IF(D1310="TEMPO_PROXY",R1310,IF(AND(ISNUMBER(S1310),S1310&gt;0,ISNUMBER(U1310)),U1310*R1310/S1310,"n.a.")),"n.a.")</x:f>
        <x:v>877079907.7199986</x:v>
      </x:c>
      <x:c r="G1310" s="17" t="n">
        <x:f>IF(AND(ISNUMBER(E1310),ISNUMBER(F1310)),E1310-F1310,"n.a.")</x:f>
        <x:v>500084373.9599991</x:v>
      </x:c>
      <x:c r="H1310" s="15" t="n">
        <x:f>IF(AND(ISNUMBER(E1310),ISNUMBER(F1310),F1310&gt;0),(E1310-F1310)/F1310,"n.a.")</x:f>
        <x:v>0.5701696841511131</x:v>
      </x:c>
      <x:c r="I1310" s="19" t="n">
        <x:f>IF(ISNUMBER(H1310),ABS(H1310),"n.a.")</x:f>
        <x:v>0.5701696841511131</x:v>
      </x:c>
      <x:c r="J1310" s="2" t="str">
        <x:v>available</x:v>
      </x:c>
      <x:c r="K1310" s="2" t="n">
        <x:v>1</x:v>
      </x:c>
      <x:c r="L1310" s="13" t="b">
        <x:v>0</x:v>
      </x:c>
      <x:c r="M1310" s="13" t="b">
        <x:v>1</x:v>
      </x:c>
      <x:c r="N1310" s="2" t="str">
        <x:v>nominal2020; Overture geometry2024-07-22.0; height support2018</x:v>
      </x:c>
      <x:c r="O1310" s="2" t="str"/>
      <x:c r="P1310" s="2" t="str">
        <x:v>included-footprint horizontal area</x:v>
      </x:c>
      <x:c r="Q1310" s="2" t="str">
        <x:v>m2</x:v>
      </x:c>
      <x:c r="R1310" s="17" t="n">
        <x:v>877079907.72</x:v>
      </x:c>
      <x:c r="S1310" s="17" t="n">
        <x:v>1377164281.68</x:v>
      </x:c>
      <x:c r="T1310" s="18" t="n">
        <x:v>0.9999999999999982</x:v>
      </x:c>
      <x:c r="U1310" s="17" t="n">
        <x:v>1377164281.6799977</x:v>
      </x:c>
      <x:c r="V1310" s="2" t="str">
        <x:v>Area equivalent = model2020 * OBAT footprint / TEMPO2020 footprint</x:v>
      </x:c>
      <x:c r="W1310" s="2" t="str">
        <x:v>qualified_source_frame_numeric_summary</x:v>
      </x:c>
      <x:c r="X1310" s="2" t="str">
        <x:v>https://data.jrc.ec.europa.eu/dataset/f41a22f1-5741-4c41-86eb-6384654f6927</x:v>
      </x:c>
    </x:row>
    <x:row r="1311" ht="23" customHeight="1">
      <x:c r="A1311" s="2" t="str">
        <x:v>MNE</x:v>
      </x:c>
      <x:c r="B1311" s="2" t="str">
        <x:v>Montenegro</x:v>
      </x:c>
      <x:c r="C1311" s="2" t="n">
        <x:v>2020</x:v>
      </x:c>
      <x:c r="D1311" s="2" t="str">
        <x:v>OBAT_FOOTPRINT</x:v>
      </x:c>
      <x:c r="E1311" s="17" t="n">
        <x:v>39447648.85999995</x:v>
      </x:c>
      <x:c r="F1311" s="17" t="n">
        <x:f>IF(AND(M1311,ISNUMBER(R1311)),IF(D1311="TEMPO_PROXY",R1311,IF(AND(ISNUMBER(S1311),S1311&gt;0,ISNUMBER(U1311)),U1311*R1311/S1311,"n.a.")),"n.a.")</x:f>
        <x:v>39442520.03999995</x:v>
      </x:c>
      <x:c r="G1311" s="17" t="n">
        <x:f>IF(AND(ISNUMBER(E1311),ISNUMBER(F1311)),E1311-F1311,"n.a.")</x:f>
        <x:v>5128.820000000298</x:v>
      </x:c>
      <x:c r="H1311" s="15" t="n">
        <x:f>IF(AND(ISNUMBER(E1311),ISNUMBER(F1311),F1311&gt;0),(E1311-F1311)/F1311,"n.a.")</x:f>
        <x:v>0.00013003276653720386</x:v>
      </x:c>
      <x:c r="I1311" s="19" t="n">
        <x:f>IF(ISNUMBER(H1311),ABS(H1311),"n.a.")</x:f>
        <x:v>0.00013003276653720386</x:v>
      </x:c>
      <x:c r="J1311" s="2" t="str">
        <x:v>available</x:v>
      </x:c>
      <x:c r="K1311" s="2" t="n">
        <x:v>1</x:v>
      </x:c>
      <x:c r="L1311" s="13" t="b">
        <x:v>0</x:v>
      </x:c>
      <x:c r="M1311" s="13" t="b">
        <x:v>1</x:v>
      </x:c>
      <x:c r="N1311" s="2" t="str">
        <x:v>nominal2020; Overture geometry2024-07-22.0; height support2018</x:v>
      </x:c>
      <x:c r="O1311" s="2" t="str"/>
      <x:c r="P1311" s="2" t="str">
        <x:v>included-footprint horizontal area</x:v>
      </x:c>
      <x:c r="Q1311" s="2" t="str">
        <x:v>m2</x:v>
      </x:c>
      <x:c r="R1311" s="17" t="n">
        <x:v>39442520.04</x:v>
      </x:c>
      <x:c r="S1311" s="17" t="n">
        <x:v>39447648.86</x:v>
      </x:c>
      <x:c r="T1311" s="18" t="n">
        <x:v>0.9999999999999987</x:v>
      </x:c>
      <x:c r="U1311" s="17" t="n">
        <x:v>39447648.85999995</x:v>
      </x:c>
      <x:c r="V1311" s="2" t="str">
        <x:v>Area equivalent = model2020 * OBAT footprint / TEMPO2020 footprint</x:v>
      </x:c>
      <x:c r="W1311" s="2" t="str">
        <x:v>qualified_source_frame_numeric_summary</x:v>
      </x:c>
      <x:c r="X1311" s="2" t="str">
        <x:v>https://data.jrc.ec.europa.eu/dataset/f41a22f1-5741-4c41-86eb-6384654f6927</x:v>
      </x:c>
    </x:row>
    <x:row r="1312" ht="23" customHeight="1">
      <x:c r="A1312" s="2" t="str">
        <x:v>MNG</x:v>
      </x:c>
      <x:c r="B1312" s="2" t="str">
        <x:v>Mongolia</x:v>
      </x:c>
      <x:c r="C1312" s="2" t="n">
        <x:v>2020</x:v>
      </x:c>
      <x:c r="D1312" s="2" t="str">
        <x:v>OBAT_FOOTPRINT</x:v>
      </x:c>
      <x:c r="E1312" s="17" t="n">
        <x:v>83342838.68000013</x:v>
      </x:c>
      <x:c r="F1312" s="17" t="n">
        <x:f>IF(AND(M1312,ISNUMBER(R1312)),IF(D1312="TEMPO_PROXY",R1312,IF(AND(ISNUMBER(S1312),S1312&gt;0,ISNUMBER(U1312)),U1312*R1312/S1312,"n.a.")),"n.a.")</x:f>
        <x:v>68835543.1682573</x:v>
      </x:c>
      <x:c r="G1312" s="17" t="n">
        <x:f>IF(AND(ISNUMBER(E1312),ISNUMBER(F1312)),E1312-F1312,"n.a.")</x:f>
        <x:v>14507295.51174283</x:v>
      </x:c>
      <x:c r="H1312" s="15" t="n">
        <x:f>IF(AND(ISNUMBER(E1312),ISNUMBER(F1312),F1312&gt;0),(E1312-F1312)/F1312,"n.a.")</x:f>
        <x:v>0.21075297504781948</x:v>
      </x:c>
      <x:c r="I1312" s="19" t="n">
        <x:f>IF(ISNUMBER(H1312),ABS(H1312),"n.a.")</x:f>
        <x:v>0.21075297504781948</x:v>
      </x:c>
      <x:c r="J1312" s="2" t="str">
        <x:v>available</x:v>
      </x:c>
      <x:c r="K1312" s="2" t="n">
        <x:v>1</x:v>
      </x:c>
      <x:c r="L1312" s="13" t="b">
        <x:v>0</x:v>
      </x:c>
      <x:c r="M1312" s="13" t="b">
        <x:v>1</x:v>
      </x:c>
      <x:c r="N1312" s="2" t="str">
        <x:v>nominal2020; Overture geometry2024-07-22.0; height support2018</x:v>
      </x:c>
      <x:c r="O1312" s="2" t="str"/>
      <x:c r="P1312" s="2" t="str">
        <x:v>included-footprint horizontal area</x:v>
      </x:c>
      <x:c r="Q1312" s="2" t="str">
        <x:v>m2</x:v>
      </x:c>
      <x:c r="R1312" s="17" t="n">
        <x:v>68644300.83</x:v>
      </x:c>
      <x:c r="S1312" s="17" t="n">
        <x:v>83111291.45</x:v>
      </x:c>
      <x:c r="T1312" s="18" t="n">
        <x:v>1.0027859900377005</x:v>
      </x:c>
      <x:c r="U1312" s="17" t="n">
        <x:v>83342838.68000013</x:v>
      </x:c>
      <x:c r="V1312" s="2" t="str">
        <x:v>Area equivalent = model2020 * OBAT footprint / TEMPO2020 footprint</x:v>
      </x:c>
      <x:c r="W1312" s="2" t="str">
        <x:v>qualified_source_frame_numeric_summary</x:v>
      </x:c>
      <x:c r="X1312" s="2" t="str">
        <x:v>https://data.jrc.ec.europa.eu/dataset/f41a22f1-5741-4c41-86eb-6384654f6927</x:v>
      </x:c>
    </x:row>
    <x:row r="1313" ht="23" customHeight="1">
      <x:c r="A1313" s="2" t="str">
        <x:v>MOZ</x:v>
      </x:c>
      <x:c r="B1313" s="2" t="str">
        <x:v>Mozambique (Republic of)</x:v>
      </x:c>
      <x:c r="C1313" s="2" t="n">
        <x:v>2020</x:v>
      </x:c>
      <x:c r="D1313" s="2" t="str">
        <x:v>OBAT_FOOTPRINT</x:v>
      </x:c>
      <x:c r="E1313" s="17" t="n">
        <x:v>540811235.5300008</x:v>
      </x:c>
      <x:c r="F1313" s="17" t="n">
        <x:f>IF(AND(M1313,ISNUMBER(R1313)),IF(D1313="TEMPO_PROXY",R1313,IF(AND(ISNUMBER(S1313),S1313&gt;0,ISNUMBER(U1313)),U1313*R1313/S1313,"n.a.")),"n.a.")</x:f>
        <x:v>698908410.1800011</x:v>
      </x:c>
      <x:c r="G1313" s="17" t="n">
        <x:f>IF(AND(ISNUMBER(E1313),ISNUMBER(F1313)),E1313-F1313,"n.a.")</x:f>
        <x:v>-158097174.65000033</x:v>
      </x:c>
      <x:c r="H1313" s="15" t="n">
        <x:f>IF(AND(ISNUMBER(E1313),ISNUMBER(F1313),F1313&gt;0),(E1313-F1313)/F1313,"n.a.")</x:f>
        <x:v>-0.226205855226843</x:v>
      </x:c>
      <x:c r="I1313" s="19" t="n">
        <x:f>IF(ISNUMBER(H1313),ABS(H1313),"n.a.")</x:f>
        <x:v>0.226205855226843</x:v>
      </x:c>
      <x:c r="J1313" s="2" t="str">
        <x:v>available</x:v>
      </x:c>
      <x:c r="K1313" s="2" t="n">
        <x:v>1</x:v>
      </x:c>
      <x:c r="L1313" s="13" t="b">
        <x:v>0</x:v>
      </x:c>
      <x:c r="M1313" s="13" t="b">
        <x:v>1</x:v>
      </x:c>
      <x:c r="N1313" s="2" t="str">
        <x:v>nominal2020; Overture geometry2024-07-22.0; height support2018</x:v>
      </x:c>
      <x:c r="O1313" s="2" t="str"/>
      <x:c r="P1313" s="2" t="str">
        <x:v>included-footprint horizontal area</x:v>
      </x:c>
      <x:c r="Q1313" s="2" t="str">
        <x:v>m2</x:v>
      </x:c>
      <x:c r="R1313" s="17" t="n">
        <x:v>698908410.1800001</x:v>
      </x:c>
      <x:c r="S1313" s="17" t="n">
        <x:v>540811235.53</x:v>
      </x:c>
      <x:c r="T1313" s="18" t="n">
        <x:v>1.0000000000000016</x:v>
      </x:c>
      <x:c r="U1313" s="17" t="n">
        <x:v>540811235.5300008</x:v>
      </x:c>
      <x:c r="V1313" s="2" t="str">
        <x:v>Area equivalent = model2020 * OBAT footprint / TEMPO2020 footprint</x:v>
      </x:c>
      <x:c r="W1313" s="2" t="str">
        <x:v>qualified_source_frame_numeric_summary</x:v>
      </x:c>
      <x:c r="X1313" s="2" t="str">
        <x:v>https://data.jrc.ec.europa.eu/dataset/f41a22f1-5741-4c41-86eb-6384654f6927</x:v>
      </x:c>
    </x:row>
    <x:row r="1314" ht="23" customHeight="1">
      <x:c r="A1314" s="2" t="str">
        <x:v>MRT</x:v>
      </x:c>
      <x:c r="B1314" s="2" t="str">
        <x:v>Mauritania (Islamic Republic of)</x:v>
      </x:c>
      <x:c r="C1314" s="2" t="n">
        <x:v>2020</x:v>
      </x:c>
      <x:c r="D1314" s="2" t="str">
        <x:v>OBAT_FOOTPRINT</x:v>
      </x:c>
      <x:c r="E1314" s="17" t="n">
        <x:v>97384454.07000008</x:v>
      </x:c>
      <x:c r="F1314" s="17" t="n">
        <x:f>IF(AND(M1314,ISNUMBER(R1314)),IF(D1314="TEMPO_PROXY",R1314,IF(AND(ISNUMBER(S1314),S1314&gt;0,ISNUMBER(U1314)),U1314*R1314/S1314,"n.a.")),"n.a.")</x:f>
        <x:v>118497935.19000012</x:v>
      </x:c>
      <x:c r="G1314" s="17" t="n">
        <x:f>IF(AND(ISNUMBER(E1314),ISNUMBER(F1314)),E1314-F1314,"n.a.")</x:f>
        <x:v>-21113481.120000035</x:v>
      </x:c>
      <x:c r="H1314" s="15" t="n">
        <x:f>IF(AND(ISNUMBER(E1314),ISNUMBER(F1314),F1314&gt;0),(E1314-F1314)/F1314,"n.a.")</x:f>
        <x:v>-0.17817594109253115</x:v>
      </x:c>
      <x:c r="I1314" s="19" t="n">
        <x:f>IF(ISNUMBER(H1314),ABS(H1314),"n.a.")</x:f>
        <x:v>0.17817594109253115</x:v>
      </x:c>
      <x:c r="J1314" s="2" t="str">
        <x:v>available</x:v>
      </x:c>
      <x:c r="K1314" s="2" t="n">
        <x:v>1</x:v>
      </x:c>
      <x:c r="L1314" s="13" t="b">
        <x:v>0</x:v>
      </x:c>
      <x:c r="M1314" s="13" t="b">
        <x:v>1</x:v>
      </x:c>
      <x:c r="N1314" s="2" t="str">
        <x:v>nominal2020; Overture geometry2024-07-22.0; height support2018</x:v>
      </x:c>
      <x:c r="O1314" s="2" t="str"/>
      <x:c r="P1314" s="2" t="str">
        <x:v>included-footprint horizontal area</x:v>
      </x:c>
      <x:c r="Q1314" s="2" t="str">
        <x:v>m2</x:v>
      </x:c>
      <x:c r="R1314" s="17" t="n">
        <x:v>118497935.19000001</x:v>
      </x:c>
      <x:c r="S1314" s="17" t="n">
        <x:v>97384454.07</x:v>
      </x:c>
      <x:c r="T1314" s="18" t="n">
        <x:v>1.0000000000000009</x:v>
      </x:c>
      <x:c r="U1314" s="17" t="n">
        <x:v>97384454.07000008</x:v>
      </x:c>
      <x:c r="V1314" s="2" t="str">
        <x:v>Area equivalent = model2020 * OBAT footprint / TEMPO2020 footprint</x:v>
      </x:c>
      <x:c r="W1314" s="2" t="str">
        <x:v>qualified_source_frame_numeric_summary</x:v>
      </x:c>
      <x:c r="X1314" s="2" t="str">
        <x:v>https://data.jrc.ec.europa.eu/dataset/f41a22f1-5741-4c41-86eb-6384654f6927</x:v>
      </x:c>
    </x:row>
    <x:row r="1315" ht="23" customHeight="1">
      <x:c r="A1315" s="2" t="str">
        <x:v>MUS</x:v>
      </x:c>
      <x:c r="B1315" s="2" t="str">
        <x:v>Mauritius (Republic of)</x:v>
      </x:c>
      <x:c r="C1315" s="2" t="n">
        <x:v>2020</x:v>
      </x:c>
      <x:c r="D1315" s="2" t="str">
        <x:v>OBAT_FOOTPRINT</x:v>
      </x:c>
      <x:c r="E1315" s="17" t="n">
        <x:v>65152566.7100001</x:v>
      </x:c>
      <x:c r="F1315" s="17" t="n">
        <x:f>IF(AND(M1315,ISNUMBER(R1315)),IF(D1315="TEMPO_PROXY",R1315,IF(AND(ISNUMBER(S1315),S1315&gt;0,ISNUMBER(U1315)),U1315*R1315/S1315,"n.a.")),"n.a.")</x:f>
        <x:v>71384884.5909521</x:v>
      </x:c>
      <x:c r="G1315" s="17" t="n">
        <x:f>IF(AND(ISNUMBER(E1315),ISNUMBER(F1315)),E1315-F1315,"n.a.")</x:f>
        <x:v>-6232317.880952001</x:v>
      </x:c>
      <x:c r="H1315" s="15" t="n">
        <x:f>IF(AND(ISNUMBER(E1315),ISNUMBER(F1315),F1315&gt;0),(E1315-F1315)/F1315,"n.a.")</x:f>
        <x:v>-0.08730584796297247</x:v>
      </x:c>
      <x:c r="I1315" s="19" t="n">
        <x:f>IF(ISNUMBER(H1315),ABS(H1315),"n.a.")</x:f>
        <x:v>0.08730584796297247</x:v>
      </x:c>
      <x:c r="J1315" s="2" t="str">
        <x:v>available</x:v>
      </x:c>
      <x:c r="K1315" s="2" t="n">
        <x:v>1</x:v>
      </x:c>
      <x:c r="L1315" s="13" t="b">
        <x:v>0</x:v>
      </x:c>
      <x:c r="M1315" s="13" t="b">
        <x:v>1</x:v>
      </x:c>
      <x:c r="N1315" s="2" t="str">
        <x:v>nominal2020; Overture geometry2024-07-22.0; height support2018</x:v>
      </x:c>
      <x:c r="O1315" s="2" t="str"/>
      <x:c r="P1315" s="2" t="str">
        <x:v>included-footprint horizontal area</x:v>
      </x:c>
      <x:c r="Q1315" s="2" t="str">
        <x:v>m2</x:v>
      </x:c>
      <x:c r="R1315" s="17" t="n">
        <x:v>70961000.26</x:v>
      </x:c>
      <x:c r="S1315" s="17" t="n">
        <x:v>64765689.96</x:v>
      </x:c>
      <x:c r="T1315" s="18" t="n">
        <x:v>1.00597348303151</x:v>
      </x:c>
      <x:c r="U1315" s="17" t="n">
        <x:v>65152566.7100001</x:v>
      </x:c>
      <x:c r="V1315" s="2" t="str">
        <x:v>Area equivalent = model2020 * OBAT footprint / TEMPO2020 footprint</x:v>
      </x:c>
      <x:c r="W1315" s="2" t="str">
        <x:v>qualified_source_frame_numeric_summary</x:v>
      </x:c>
      <x:c r="X1315" s="2" t="str">
        <x:v>https://data.jrc.ec.europa.eu/dataset/f41a22f1-5741-4c41-86eb-6384654f6927</x:v>
      </x:c>
    </x:row>
    <x:row r="1316" ht="23" customHeight="1">
      <x:c r="A1316" s="2" t="str">
        <x:v>MWI</x:v>
      </x:c>
      <x:c r="B1316" s="2" t="str">
        <x:v>Malawi (Republic of)</x:v>
      </x:c>
      <x:c r="C1316" s="2" t="n">
        <x:v>2020</x:v>
      </x:c>
      <x:c r="D1316" s="2" t="str">
        <x:v>OBAT_FOOTPRINT</x:v>
      </x:c>
      <x:c r="E1316" s="17" t="n">
        <x:v>330771641.01999974</x:v>
      </x:c>
      <x:c r="F1316" s="17" t="n">
        <x:f>IF(AND(M1316,ISNUMBER(R1316)),IF(D1316="TEMPO_PROXY",R1316,IF(AND(ISNUMBER(S1316),S1316&gt;0,ISNUMBER(U1316)),U1316*R1316/S1316,"n.a.")),"n.a.")</x:f>
        <x:v>427881527.1499997</x:v>
      </x:c>
      <x:c r="G1316" s="17" t="n">
        <x:f>IF(AND(ISNUMBER(E1316),ISNUMBER(F1316)),E1316-F1316,"n.a.")</x:f>
        <x:v>-97109886.12999994</x:v>
      </x:c>
      <x:c r="H1316" s="15" t="n">
        <x:f>IF(AND(ISNUMBER(E1316),ISNUMBER(F1316),F1316&gt;0),(E1316-F1316)/F1316,"n.a.")</x:f>
        <x:v>-0.22695507977832552</x:v>
      </x:c>
      <x:c r="I1316" s="19" t="n">
        <x:f>IF(ISNUMBER(H1316),ABS(H1316),"n.a.")</x:f>
        <x:v>0.22695507977832552</x:v>
      </x:c>
      <x:c r="J1316" s="2" t="str">
        <x:v>available</x:v>
      </x:c>
      <x:c r="K1316" s="2" t="n">
        <x:v>1</x:v>
      </x:c>
      <x:c r="L1316" s="13" t="b">
        <x:v>0</x:v>
      </x:c>
      <x:c r="M1316" s="13" t="b">
        <x:v>1</x:v>
      </x:c>
      <x:c r="N1316" s="2" t="str">
        <x:v>nominal2020; Overture geometry2024-07-22.0; height support2018</x:v>
      </x:c>
      <x:c r="O1316" s="2" t="str"/>
      <x:c r="P1316" s="2" t="str">
        <x:v>included-footprint horizontal area</x:v>
      </x:c>
      <x:c r="Q1316" s="2" t="str">
        <x:v>m2</x:v>
      </x:c>
      <x:c r="R1316" s="17" t="n">
        <x:v>427881527.15</x:v>
      </x:c>
      <x:c r="S1316" s="17" t="n">
        <x:v>330771641.02</x:v>
      </x:c>
      <x:c r="T1316" s="18" t="n">
        <x:v>0.9999999999999993</x:v>
      </x:c>
      <x:c r="U1316" s="17" t="n">
        <x:v>330771641.01999974</x:v>
      </x:c>
      <x:c r="V1316" s="2" t="str">
        <x:v>Area equivalent = model2020 * OBAT footprint / TEMPO2020 footprint</x:v>
      </x:c>
      <x:c r="W1316" s="2" t="str">
        <x:v>qualified_source_frame_numeric_summary</x:v>
      </x:c>
      <x:c r="X1316" s="2" t="str">
        <x:v>https://data.jrc.ec.europa.eu/dataset/f41a22f1-5741-4c41-86eb-6384654f6927</x:v>
      </x:c>
    </x:row>
    <x:row r="1317" ht="23" customHeight="1">
      <x:c r="A1317" s="2" t="str">
        <x:v>MYS</x:v>
      </x:c>
      <x:c r="B1317" s="2" t="str">
        <x:v>Malaysia</x:v>
      </x:c>
      <x:c r="C1317" s="2" t="n">
        <x:v>2020</x:v>
      </x:c>
      <x:c r="D1317" s="2" t="str">
        <x:v>OBAT_FOOTPRINT</x:v>
      </x:c>
      <x:c r="E1317" s="17" t="n">
        <x:v>2041076673.6399992</x:v>
      </x:c>
      <x:c r="F1317" s="17" t="n">
        <x:f>IF(AND(M1317,ISNUMBER(R1317)),IF(D1317="TEMPO_PROXY",R1317,IF(AND(ISNUMBER(S1317),S1317&gt;0,ISNUMBER(U1317)),U1317*R1317/S1317,"n.a.")),"n.a.")</x:f>
        <x:v>2202457078.239814</x:v>
      </x:c>
      <x:c r="G1317" s="17" t="n">
        <x:f>IF(AND(ISNUMBER(E1317),ISNUMBER(F1317)),E1317-F1317,"n.a.")</x:f>
        <x:v>-161380404.59981465</x:v>
      </x:c>
      <x:c r="H1317" s="15" t="n">
        <x:f>IF(AND(ISNUMBER(E1317),ISNUMBER(F1317),F1317&gt;0),(E1317-F1317)/F1317,"n.a.")</x:f>
        <x:v>-0.0732728942571669</x:v>
      </x:c>
      <x:c r="I1317" s="19" t="n">
        <x:f>IF(ISNUMBER(H1317),ABS(H1317),"n.a.")</x:f>
        <x:v>0.0732728942571669</x:v>
      </x:c>
      <x:c r="J1317" s="2" t="str">
        <x:v>available</x:v>
      </x:c>
      <x:c r="K1317" s="2" t="n">
        <x:v>1</x:v>
      </x:c>
      <x:c r="L1317" s="13" t="b">
        <x:v>0</x:v>
      </x:c>
      <x:c r="M1317" s="13" t="b">
        <x:v>1</x:v>
      </x:c>
      <x:c r="N1317" s="2" t="str">
        <x:v>nominal2020; Overture geometry2024-07-22.0; height support2018</x:v>
      </x:c>
      <x:c r="O1317" s="2" t="str"/>
      <x:c r="P1317" s="2" t="str">
        <x:v>included-footprint horizontal area</x:v>
      </x:c>
      <x:c r="Q1317" s="2" t="str">
        <x:v>m2</x:v>
      </x:c>
      <x:c r="R1317" s="17" t="n">
        <x:v>2075230911.67</x:v>
      </x:c>
      <x:c r="S1317" s="17" t="n">
        <x:v>1923172736.52</x:v>
      </x:c>
      <x:c r="T1317" s="18" t="n">
        <x:v>1.0613069928046857</x:v>
      </x:c>
      <x:c r="U1317" s="17" t="n">
        <x:v>2041076673.6399992</x:v>
      </x:c>
      <x:c r="V1317" s="2" t="str">
        <x:v>Area equivalent = model2020 * OBAT footprint / TEMPO2020 footprint</x:v>
      </x:c>
      <x:c r="W1317" s="2" t="str">
        <x:v>qualified_source_frame_numeric_summary</x:v>
      </x:c>
      <x:c r="X1317" s="2" t="str">
        <x:v>https://data.jrc.ec.europa.eu/dataset/f41a22f1-5741-4c41-86eb-6384654f6927</x:v>
      </x:c>
    </x:row>
    <x:row r="1318" ht="23" customHeight="1">
      <x:c r="A1318" s="2" t="str">
        <x:v>NAM</x:v>
      </x:c>
      <x:c r="B1318" s="2" t="str">
        <x:v>Namibia (Republic of)</x:v>
      </x:c>
      <x:c r="C1318" s="2" t="n">
        <x:v>2020</x:v>
      </x:c>
      <x:c r="D1318" s="2" t="str">
        <x:v>OBAT_FOOTPRINT</x:v>
      </x:c>
      <x:c r="E1318" s="17" t="n">
        <x:v>112405609.30999991</x:v>
      </x:c>
      <x:c r="F1318" s="17" t="n">
        <x:f>IF(AND(M1318,ISNUMBER(R1318)),IF(D1318="TEMPO_PROXY",R1318,IF(AND(ISNUMBER(S1318),S1318&gt;0,ISNUMBER(U1318)),U1318*R1318/S1318,"n.a.")),"n.a.")</x:f>
        <x:v>134506829.53999987</x:v>
      </x:c>
      <x:c r="G1318" s="17" t="n">
        <x:f>IF(AND(ISNUMBER(E1318),ISNUMBER(F1318)),E1318-F1318,"n.a.")</x:f>
        <x:v>-22101220.22999996</x:v>
      </x:c>
      <x:c r="H1318" s="15" t="n">
        <x:f>IF(AND(ISNUMBER(E1318),ISNUMBER(F1318),F1318&gt;0),(E1318-F1318)/F1318,"n.a.")</x:f>
        <x:v>-0.16431299663804402</x:v>
      </x:c>
      <x:c r="I1318" s="19" t="n">
        <x:f>IF(ISNUMBER(H1318),ABS(H1318),"n.a.")</x:f>
        <x:v>0.16431299663804402</x:v>
      </x:c>
      <x:c r="J1318" s="2" t="str">
        <x:v>available</x:v>
      </x:c>
      <x:c r="K1318" s="2" t="n">
        <x:v>1</x:v>
      </x:c>
      <x:c r="L1318" s="13" t="b">
        <x:v>0</x:v>
      </x:c>
      <x:c r="M1318" s="13" t="b">
        <x:v>1</x:v>
      </x:c>
      <x:c r="N1318" s="2" t="str">
        <x:v>nominal2020; Overture geometry2024-07-22.0; height support2018</x:v>
      </x:c>
      <x:c r="O1318" s="2" t="str"/>
      <x:c r="P1318" s="2" t="str">
        <x:v>included-footprint horizontal area</x:v>
      </x:c>
      <x:c r="Q1318" s="2" t="str">
        <x:v>m2</x:v>
      </x:c>
      <x:c r="R1318" s="17" t="n">
        <x:v>134506829.54</x:v>
      </x:c>
      <x:c r="S1318" s="17" t="n">
        <x:v>112405609.31</x:v>
      </x:c>
      <x:c r="T1318" s="18" t="n">
        <x:v>0.9999999999999992</x:v>
      </x:c>
      <x:c r="U1318" s="17" t="n">
        <x:v>112405609.30999991</x:v>
      </x:c>
      <x:c r="V1318" s="2" t="str">
        <x:v>Area equivalent = model2020 * OBAT footprint / TEMPO2020 footprint</x:v>
      </x:c>
      <x:c r="W1318" s="2" t="str">
        <x:v>qualified_source_frame_numeric_summary</x:v>
      </x:c>
      <x:c r="X1318" s="2" t="str">
        <x:v>https://data.jrc.ec.europa.eu/dataset/f41a22f1-5741-4c41-86eb-6384654f6927</x:v>
      </x:c>
    </x:row>
    <x:row r="1319" ht="23" customHeight="1">
      <x:c r="A1319" s="2" t="str">
        <x:v>NER</x:v>
      </x:c>
      <x:c r="B1319" s="2" t="str">
        <x:v>Niger (Republic of the)</x:v>
      </x:c>
      <x:c r="C1319" s="2" t="n">
        <x:v>2020</x:v>
      </x:c>
      <x:c r="D1319" s="2" t="str">
        <x:v>OBAT_FOOTPRINT</x:v>
      </x:c>
      <x:c r="E1319" s="17" t="n">
        <x:v>203236516.4300003</x:v>
      </x:c>
      <x:c r="F1319" s="17" t="n">
        <x:f>IF(AND(M1319,ISNUMBER(R1319)),IF(D1319="TEMPO_PROXY",R1319,IF(AND(ISNUMBER(S1319),S1319&gt;0,ISNUMBER(U1319)),U1319*R1319/S1319,"n.a.")),"n.a.")</x:f>
        <x:v>269534918.3700004</x:v>
      </x:c>
      <x:c r="G1319" s="17" t="n">
        <x:f>IF(AND(ISNUMBER(E1319),ISNUMBER(F1319)),E1319-F1319,"n.a.")</x:f>
        <x:v>-66298401.94000012</x:v>
      </x:c>
      <x:c r="H1319" s="15" t="n">
        <x:f>IF(AND(ISNUMBER(E1319),ISNUMBER(F1319),F1319&gt;0),(E1319-F1319)/F1319,"n.a.")</x:f>
        <x:v>-0.24597333191905726</x:v>
      </x:c>
      <x:c r="I1319" s="19" t="n">
        <x:f>IF(ISNUMBER(H1319),ABS(H1319),"n.a.")</x:f>
        <x:v>0.24597333191905726</x:v>
      </x:c>
      <x:c r="J1319" s="2" t="str">
        <x:v>available</x:v>
      </x:c>
      <x:c r="K1319" s="2" t="n">
        <x:v>1</x:v>
      </x:c>
      <x:c r="L1319" s="13" t="b">
        <x:v>0</x:v>
      </x:c>
      <x:c r="M1319" s="13" t="b">
        <x:v>1</x:v>
      </x:c>
      <x:c r="N1319" s="2" t="str">
        <x:v>nominal2020; Overture geometry2024-07-22.0; height support2018</x:v>
      </x:c>
      <x:c r="O1319" s="2" t="str"/>
      <x:c r="P1319" s="2" t="str">
        <x:v>included-footprint horizontal area</x:v>
      </x:c>
      <x:c r="Q1319" s="2" t="str">
        <x:v>m2</x:v>
      </x:c>
      <x:c r="R1319" s="17" t="n">
        <x:v>269534918.37</x:v>
      </x:c>
      <x:c r="S1319" s="17" t="n">
        <x:v>203236516.43</x:v>
      </x:c>
      <x:c r="T1319" s="18" t="n">
        <x:v>1.0000000000000016</x:v>
      </x:c>
      <x:c r="U1319" s="17" t="n">
        <x:v>203236516.4300003</x:v>
      </x:c>
      <x:c r="V1319" s="2" t="str">
        <x:v>Area equivalent = model2020 * OBAT footprint / TEMPO2020 footprint</x:v>
      </x:c>
      <x:c r="W1319" s="2" t="str">
        <x:v>qualified_source_frame_numeric_summary</x:v>
      </x:c>
      <x:c r="X1319" s="2" t="str">
        <x:v>https://data.jrc.ec.europa.eu/dataset/f41a22f1-5741-4c41-86eb-6384654f6927</x:v>
      </x:c>
    </x:row>
    <x:row r="1320" ht="23" customHeight="1">
      <x:c r="A1320" s="2" t="str">
        <x:v>NGA</x:v>
      </x:c>
      <x:c r="B1320" s="2" t="str">
        <x:v>Nigeria (Federal Republic of)</x:v>
      </x:c>
      <x:c r="C1320" s="2" t="n">
        <x:v>2020</x:v>
      </x:c>
      <x:c r="D1320" s="2" t="str">
        <x:v>OBAT_FOOTPRINT</x:v>
      </x:c>
      <x:c r="E1320" s="17" t="n">
        <x:v>4102804870.2700024</x:v>
      </x:c>
      <x:c r="F1320" s="17" t="n">
        <x:f>IF(AND(M1320,ISNUMBER(R1320)),IF(D1320="TEMPO_PROXY",R1320,IF(AND(ISNUMBER(S1320),S1320&gt;0,ISNUMBER(U1320)),U1320*R1320/S1320,"n.a.")),"n.a.")</x:f>
        <x:v>4658588796.700002</x:v>
      </x:c>
      <x:c r="G1320" s="17" t="n">
        <x:f>IF(AND(ISNUMBER(E1320),ISNUMBER(F1320)),E1320-F1320,"n.a.")</x:f>
        <x:v>-555783926.4299994</x:v>
      </x:c>
      <x:c r="H1320" s="15" t="n">
        <x:f>IF(AND(ISNUMBER(E1320),ISNUMBER(F1320),F1320&gt;0),(E1320-F1320)/F1320,"n.a.")</x:f>
        <x:v>-0.1193030659464298</x:v>
      </x:c>
      <x:c r="I1320" s="19" t="n">
        <x:f>IF(ISNUMBER(H1320),ABS(H1320),"n.a.")</x:f>
        <x:v>0.1193030659464298</x:v>
      </x:c>
      <x:c r="J1320" s="2" t="str">
        <x:v>available</x:v>
      </x:c>
      <x:c r="K1320" s="2" t="n">
        <x:v>1</x:v>
      </x:c>
      <x:c r="L1320" s="13" t="b">
        <x:v>0</x:v>
      </x:c>
      <x:c r="M1320" s="13" t="b">
        <x:v>1</x:v>
      </x:c>
      <x:c r="N1320" s="2" t="str">
        <x:v>nominal2020; Overture geometry2024-07-22.0; height support2018</x:v>
      </x:c>
      <x:c r="O1320" s="2" t="str"/>
      <x:c r="P1320" s="2" t="str">
        <x:v>included-footprint horizontal area</x:v>
      </x:c>
      <x:c r="Q1320" s="2" t="str">
        <x:v>m2</x:v>
      </x:c>
      <x:c r="R1320" s="17" t="n">
        <x:v>4658588796.7</x:v>
      </x:c>
      <x:c r="S1320" s="17" t="n">
        <x:v>4102804870.27</x:v>
      </x:c>
      <x:c r="T1320" s="18" t="n">
        <x:v>1.0000000000000007</x:v>
      </x:c>
      <x:c r="U1320" s="17" t="n">
        <x:v>4102804870.2700024</x:v>
      </x:c>
      <x:c r="V1320" s="2" t="str">
        <x:v>Area equivalent = model2020 * OBAT footprint / TEMPO2020 footprint</x:v>
      </x:c>
      <x:c r="W1320" s="2" t="str">
        <x:v>qualified_source_frame_numeric_summary</x:v>
      </x:c>
      <x:c r="X1320" s="2" t="str">
        <x:v>https://data.jrc.ec.europa.eu/dataset/f41a22f1-5741-4c41-86eb-6384654f6927</x:v>
      </x:c>
    </x:row>
    <x:row r="1321" ht="23" customHeight="1">
      <x:c r="A1321" s="2" t="str">
        <x:v>NIC</x:v>
      </x:c>
      <x:c r="B1321" s="2" t="str">
        <x:v>Nicaragua (Republic of)</x:v>
      </x:c>
      <x:c r="C1321" s="2" t="n">
        <x:v>2020</x:v>
      </x:c>
      <x:c r="D1321" s="2" t="str">
        <x:v>OBAT_FOOTPRINT</x:v>
      </x:c>
      <x:c r="E1321" s="17" t="n">
        <x:v>201940338.64999992</x:v>
      </x:c>
      <x:c r="F1321" s="17" t="n">
        <x:f>IF(AND(M1321,ISNUMBER(R1321)),IF(D1321="TEMPO_PROXY",R1321,IF(AND(ISNUMBER(S1321),S1321&gt;0,ISNUMBER(U1321)),U1321*R1321/S1321,"n.a.")),"n.a.")</x:f>
        <x:v>206853598.6599999</x:v>
      </x:c>
      <x:c r="G1321" s="17" t="n">
        <x:f>IF(AND(ISNUMBER(E1321),ISNUMBER(F1321)),E1321-F1321,"n.a.")</x:f>
        <x:v>-4913260.00999999</x:v>
      </x:c>
      <x:c r="H1321" s="15" t="n">
        <x:f>IF(AND(ISNUMBER(E1321),ISNUMBER(F1321),F1321&gt;0),(E1321-F1321)/F1321,"n.a.")</x:f>
        <x:v>-0.02375235452430196</x:v>
      </x:c>
      <x:c r="I1321" s="19" t="n">
        <x:f>IF(ISNUMBER(H1321),ABS(H1321),"n.a.")</x:f>
        <x:v>0.02375235452430196</x:v>
      </x:c>
      <x:c r="J1321" s="2" t="str">
        <x:v>available</x:v>
      </x:c>
      <x:c r="K1321" s="2" t="n">
        <x:v>1</x:v>
      </x:c>
      <x:c r="L1321" s="13" t="b">
        <x:v>0</x:v>
      </x:c>
      <x:c r="M1321" s="13" t="b">
        <x:v>1</x:v>
      </x:c>
      <x:c r="N1321" s="2" t="str">
        <x:v>nominal2020; Overture geometry2024-07-22.0; height support2018</x:v>
      </x:c>
      <x:c r="O1321" s="2" t="str"/>
      <x:c r="P1321" s="2" t="str">
        <x:v>included-footprint horizontal area</x:v>
      </x:c>
      <x:c r="Q1321" s="2" t="str">
        <x:v>m2</x:v>
      </x:c>
      <x:c r="R1321" s="17" t="n">
        <x:v>206853598.66</x:v>
      </x:c>
      <x:c r="S1321" s="17" t="n">
        <x:v>201940338.65</x:v>
      </x:c>
      <x:c r="T1321" s="18" t="n">
        <x:v>0.9999999999999996</x:v>
      </x:c>
      <x:c r="U1321" s="17" t="n">
        <x:v>201940338.64999992</x:v>
      </x:c>
      <x:c r="V1321" s="2" t="str">
        <x:v>Area equivalent = model2020 * OBAT footprint / TEMPO2020 footprint</x:v>
      </x:c>
      <x:c r="W1321" s="2" t="str">
        <x:v>qualified_source_frame_numeric_summary</x:v>
      </x:c>
      <x:c r="X1321" s="2" t="str">
        <x:v>https://data.jrc.ec.europa.eu/dataset/f41a22f1-5741-4c41-86eb-6384654f6927</x:v>
      </x:c>
    </x:row>
    <x:row r="1322" ht="23" customHeight="1">
      <x:c r="A1322" s="2" t="str">
        <x:v>NLD</x:v>
      </x:c>
      <x:c r="B1322" s="2" t="str">
        <x:v>Netherlands (Kingdom of the)</x:v>
      </x:c>
      <x:c r="C1322" s="2" t="n">
        <x:v>2020</x:v>
      </x:c>
      <x:c r="D1322" s="2" t="str">
        <x:v>OBAT_FOOTPRINT</x:v>
      </x:c>
      <x:c r="E1322" s="17" t="n">
        <x:v>1464947836.6400025</x:v>
      </x:c>
      <x:c r="F1322" s="17" t="n">
        <x:f>IF(AND(M1322,ISNUMBER(R1322)),IF(D1322="TEMPO_PROXY",R1322,IF(AND(ISNUMBER(S1322),S1322&gt;0,ISNUMBER(U1322)),U1322*R1322/S1322,"n.a.")),"n.a.")</x:f>
        <x:v>1587945802.1796813</x:v>
      </x:c>
      <x:c r="G1322" s="17" t="n">
        <x:f>IF(AND(ISNUMBER(E1322),ISNUMBER(F1322)),E1322-F1322,"n.a.")</x:f>
        <x:v>-122997965.53967881</x:v>
      </x:c>
      <x:c r="H1322" s="15" t="n">
        <x:f>IF(AND(ISNUMBER(E1322),ISNUMBER(F1322),F1322&gt;0),(E1322-F1322)/F1322,"n.a.")</x:f>
        <x:v>-0.07745728183597111</x:v>
      </x:c>
      <x:c r="I1322" s="19" t="n">
        <x:f>IF(ISNUMBER(H1322),ABS(H1322),"n.a.")</x:f>
        <x:v>0.07745728183597111</x:v>
      </x:c>
      <x:c r="J1322" s="2" t="str">
        <x:v>available</x:v>
      </x:c>
      <x:c r="K1322" s="2" t="n">
        <x:v>1</x:v>
      </x:c>
      <x:c r="L1322" s="13" t="b">
        <x:v>0</x:v>
      </x:c>
      <x:c r="M1322" s="13" t="b">
        <x:v>1</x:v>
      </x:c>
      <x:c r="N1322" s="2" t="str">
        <x:v>nominal2020; Overture geometry2024-07-22.0; height support2018</x:v>
      </x:c>
      <x:c r="O1322" s="2" t="str"/>
      <x:c r="P1322" s="2" t="str">
        <x:v>included-footprint horizontal area</x:v>
      </x:c>
      <x:c r="Q1322" s="2" t="str">
        <x:v>m2</x:v>
      </x:c>
      <x:c r="R1322" s="17" t="n">
        <x:v>1369930523.83</x:v>
      </x:c>
      <x:c r="S1322" s="17" t="n">
        <x:v>1263819429.15</x:v>
      </x:c>
      <x:c r="T1322" s="18" t="n">
        <x:v>1.1591433102316477</x:v>
      </x:c>
      <x:c r="U1322" s="17" t="n">
        <x:v>1464947836.6400025</x:v>
      </x:c>
      <x:c r="V1322" s="2" t="str">
        <x:v>Area equivalent = model2020 * OBAT footprint / TEMPO2020 footprint</x:v>
      </x:c>
      <x:c r="W1322" s="2" t="str">
        <x:v>qualified_source_frame_numeric_summary</x:v>
      </x:c>
      <x:c r="X1322" s="2" t="str">
        <x:v>https://data.jrc.ec.europa.eu/dataset/f41a22f1-5741-4c41-86eb-6384654f6927</x:v>
      </x:c>
    </x:row>
    <x:row r="1323" ht="23" customHeight="1">
      <x:c r="A1323" s="2" t="str">
        <x:v>NOR</x:v>
      </x:c>
      <x:c r="B1323" s="2" t="str">
        <x:v>Norway (Kingdom of)</x:v>
      </x:c>
      <x:c r="C1323" s="2" t="n">
        <x:v>2020</x:v>
      </x:c>
      <x:c r="D1323" s="2" t="str">
        <x:v>OBAT_FOOTPRINT</x:v>
      </x:c>
      <x:c r="E1323" s="17" t="n">
        <x:v>478516256.6100005</x:v>
      </x:c>
      <x:c r="F1323" s="17" t="n">
        <x:f>IF(AND(M1323,ISNUMBER(R1323)),IF(D1323="TEMPO_PROXY",R1323,IF(AND(ISNUMBER(S1323),S1323&gt;0,ISNUMBER(U1323)),U1323*R1323/S1323,"n.a.")),"n.a.")</x:f>
        <x:v>587260041.1900005</x:v>
      </x:c>
      <x:c r="G1323" s="17" t="n">
        <x:f>IF(AND(ISNUMBER(E1323),ISNUMBER(F1323)),E1323-F1323,"n.a.")</x:f>
        <x:v>-108743784.58000004</x:v>
      </x:c>
      <x:c r="H1323" s="15" t="n">
        <x:f>IF(AND(ISNUMBER(E1323),ISNUMBER(F1323),F1323&gt;0),(E1323-F1323)/F1323,"n.a.")</x:f>
        <x:v>-0.18517143505906844</x:v>
      </x:c>
      <x:c r="I1323" s="19" t="n">
        <x:f>IF(ISNUMBER(H1323),ABS(H1323),"n.a.")</x:f>
        <x:v>0.18517143505906844</x:v>
      </x:c>
      <x:c r="J1323" s="2" t="str">
        <x:v>available</x:v>
      </x:c>
      <x:c r="K1323" s="2" t="n">
        <x:v>1</x:v>
      </x:c>
      <x:c r="L1323" s="13" t="b">
        <x:v>0</x:v>
      </x:c>
      <x:c r="M1323" s="13" t="b">
        <x:v>1</x:v>
      </x:c>
      <x:c r="N1323" s="2" t="str">
        <x:v>nominal2020; Overture geometry2024-07-22.0; height support2018</x:v>
      </x:c>
      <x:c r="O1323" s="2" t="str"/>
      <x:c r="P1323" s="2" t="str">
        <x:v>included-footprint horizontal area</x:v>
      </x:c>
      <x:c r="Q1323" s="2" t="str">
        <x:v>m2</x:v>
      </x:c>
      <x:c r="R1323" s="17" t="n">
        <x:v>587260041.1899999</x:v>
      </x:c>
      <x:c r="S1323" s="17" t="n">
        <x:v>478516256.61</x:v>
      </x:c>
      <x:c r="T1323" s="18" t="n">
        <x:v>1.0000000000000009</x:v>
      </x:c>
      <x:c r="U1323" s="17" t="n">
        <x:v>478516256.6100005</x:v>
      </x:c>
      <x:c r="V1323" s="2" t="str">
        <x:v>Area equivalent = model2020 * OBAT footprint / TEMPO2020 footprint</x:v>
      </x:c>
      <x:c r="W1323" s="2" t="str">
        <x:v>qualified_source_frame_numeric_summary</x:v>
      </x:c>
      <x:c r="X1323" s="2" t="str">
        <x:v>https://data.jrc.ec.europa.eu/dataset/f41a22f1-5741-4c41-86eb-6384654f6927</x:v>
      </x:c>
    </x:row>
    <x:row r="1324" ht="23" customHeight="1">
      <x:c r="A1324" s="2" t="str">
        <x:v>NPL</x:v>
      </x:c>
      <x:c r="B1324" s="2" t="str">
        <x:v>Nepal (Federal Democratic Republic of)</x:v>
      </x:c>
      <x:c r="C1324" s="2" t="n">
        <x:v>2020</x:v>
      </x:c>
      <x:c r="D1324" s="2" t="str">
        <x:v>OBAT_FOOTPRINT</x:v>
      </x:c>
      <x:c r="E1324" s="17" t="n">
        <x:v>656084354.4999993</x:v>
      </x:c>
      <x:c r="F1324" s="17" t="n">
        <x:f>IF(AND(M1324,ISNUMBER(R1324)),IF(D1324="TEMPO_PROXY",R1324,IF(AND(ISNUMBER(S1324),S1324&gt;0,ISNUMBER(U1324)),U1324*R1324/S1324,"n.a.")),"n.a.")</x:f>
        <x:v>744562924.4399992</x:v>
      </x:c>
      <x:c r="G1324" s="17" t="n">
        <x:f>IF(AND(ISNUMBER(E1324),ISNUMBER(F1324)),E1324-F1324,"n.a.")</x:f>
        <x:v>-88478569.93999994</x:v>
      </x:c>
      <x:c r="H1324" s="15" t="n">
        <x:f>IF(AND(ISNUMBER(E1324),ISNUMBER(F1324),F1324&gt;0),(E1324-F1324)/F1324,"n.a.")</x:f>
        <x:v>-0.11883289784613765</x:v>
      </x:c>
      <x:c r="I1324" s="19" t="n">
        <x:f>IF(ISNUMBER(H1324),ABS(H1324),"n.a.")</x:f>
        <x:v>0.11883289784613765</x:v>
      </x:c>
      <x:c r="J1324" s="2" t="str">
        <x:v>available</x:v>
      </x:c>
      <x:c r="K1324" s="2" t="n">
        <x:v>1</x:v>
      </x:c>
      <x:c r="L1324" s="13" t="b">
        <x:v>0</x:v>
      </x:c>
      <x:c r="M1324" s="13" t="b">
        <x:v>1</x:v>
      </x:c>
      <x:c r="N1324" s="2" t="str">
        <x:v>nominal2020; Overture geometry2024-07-22.0; height support2018</x:v>
      </x:c>
      <x:c r="O1324" s="2" t="str"/>
      <x:c r="P1324" s="2" t="str">
        <x:v>included-footprint horizontal area</x:v>
      </x:c>
      <x:c r="Q1324" s="2" t="str">
        <x:v>m2</x:v>
      </x:c>
      <x:c r="R1324" s="17" t="n">
        <x:v>744562924.44</x:v>
      </x:c>
      <x:c r="S1324" s="17" t="n">
        <x:v>656084354.5</x:v>
      </x:c>
      <x:c r="T1324" s="18" t="n">
        <x:v>0.9999999999999989</x:v>
      </x:c>
      <x:c r="U1324" s="17" t="n">
        <x:v>656084354.4999993</x:v>
      </x:c>
      <x:c r="V1324" s="2" t="str">
        <x:v>Area equivalent = model2020 * OBAT footprint / TEMPO2020 footprint</x:v>
      </x:c>
      <x:c r="W1324" s="2" t="str">
        <x:v>qualified_source_frame_numeric_summary</x:v>
      </x:c>
      <x:c r="X1324" s="2" t="str">
        <x:v>https://data.jrc.ec.europa.eu/dataset/f41a22f1-5741-4c41-86eb-6384654f6927</x:v>
      </x:c>
    </x:row>
    <x:row r="1325" ht="23" customHeight="1">
      <x:c r="A1325" s="2" t="str">
        <x:v>NRU</x:v>
      </x:c>
      <x:c r="B1325" s="2" t="str">
        <x:v>Nauru (Republic of)</x:v>
      </x:c>
      <x:c r="C1325" s="2" t="n">
        <x:v>2020</x:v>
      </x:c>
      <x:c r="D1325" s="2" t="str">
        <x:v>OBAT_FOOTPRINT</x:v>
      </x:c>
      <x:c r="E1325" s="17" t="n">
        <x:v>405989.38000000024</x:v>
      </x:c>
      <x:c r="F1325" s="17" t="n">
        <x:f>IF(AND(M1325,ISNUMBER(R1325)),IF(D1325="TEMPO_PROXY",R1325,IF(AND(ISNUMBER(S1325),S1325&gt;0,ISNUMBER(U1325)),U1325*R1325/S1325,"n.a.")),"n.a.")</x:f>
        <x:v>536853.7300000002</x:v>
      </x:c>
      <x:c r="G1325" s="17" t="n">
        <x:f>IF(AND(ISNUMBER(E1325),ISNUMBER(F1325)),E1325-F1325,"n.a.")</x:f>
        <x:v>-130864.34999999998</x:v>
      </x:c>
      <x:c r="H1325" s="15" t="n">
        <x:f>IF(AND(ISNUMBER(E1325),ISNUMBER(F1325),F1325&gt;0),(E1325-F1325)/F1325,"n.a.")</x:f>
        <x:v>-0.24376164807497924</x:v>
      </x:c>
      <x:c r="I1325" s="19" t="n">
        <x:f>IF(ISNUMBER(H1325),ABS(H1325),"n.a.")</x:f>
        <x:v>0.24376164807497924</x:v>
      </x:c>
      <x:c r="J1325" s="2" t="str">
        <x:v>available</x:v>
      </x:c>
      <x:c r="K1325" s="2" t="n">
        <x:v>1</x:v>
      </x:c>
      <x:c r="L1325" s="13" t="b">
        <x:v>0</x:v>
      </x:c>
      <x:c r="M1325" s="13" t="b">
        <x:v>1</x:v>
      </x:c>
      <x:c r="N1325" s="2" t="str">
        <x:v>nominal2020; Overture geometry2024-07-22.0; height support2018</x:v>
      </x:c>
      <x:c r="O1325" s="2" t="str"/>
      <x:c r="P1325" s="2" t="str">
        <x:v>included-footprint horizontal area</x:v>
      </x:c>
      <x:c r="Q1325" s="2" t="str">
        <x:v>m2</x:v>
      </x:c>
      <x:c r="R1325" s="17" t="n">
        <x:v>536853.73</x:v>
      </x:c>
      <x:c r="S1325" s="17" t="n">
        <x:v>405989.38</x:v>
      </x:c>
      <x:c r="T1325" s="18" t="n">
        <x:v>1.0000000000000007</x:v>
      </x:c>
      <x:c r="U1325" s="17" t="n">
        <x:v>405989.38000000024</x:v>
      </x:c>
      <x:c r="V1325" s="2" t="str">
        <x:v>Area equivalent = model2020 * OBAT footprint / TEMPO2020 footprint</x:v>
      </x:c>
      <x:c r="W1325" s="2" t="str">
        <x:v>qualified_source_frame_numeric_summary</x:v>
      </x:c>
      <x:c r="X1325" s="2" t="str">
        <x:v>https://data.jrc.ec.europa.eu/dataset/f41a22f1-5741-4c41-86eb-6384654f6927</x:v>
      </x:c>
    </x:row>
    <x:row r="1326" ht="23" customHeight="1">
      <x:c r="A1326" s="2" t="str">
        <x:v>NZL</x:v>
      </x:c>
      <x:c r="B1326" s="2" t="str">
        <x:v>New Zealand</x:v>
      </x:c>
      <x:c r="C1326" s="2" t="n">
        <x:v>2020</x:v>
      </x:c>
      <x:c r="D1326" s="2" t="str">
        <x:v>OBAT_FOOTPRINT</x:v>
      </x:c>
      <x:c r="E1326" s="17" t="n">
        <x:v>553529463.7899991</x:v>
      </x:c>
      <x:c r="F1326" s="17" t="n">
        <x:f>IF(AND(M1326,ISNUMBER(R1326)),IF(D1326="TEMPO_PROXY",R1326,IF(AND(ISNUMBER(S1326),S1326&gt;0,ISNUMBER(U1326)),U1326*R1326/S1326,"n.a.")),"n.a.")</x:f>
        <x:v>539122826.8199991</x:v>
      </x:c>
      <x:c r="G1326" s="17" t="n">
        <x:f>IF(AND(ISNUMBER(E1326),ISNUMBER(F1326)),E1326-F1326,"n.a.")</x:f>
        <x:v>14406636.970000029</x:v>
      </x:c>
      <x:c r="H1326" s="15" t="n">
        <x:f>IF(AND(ISNUMBER(E1326),ISNUMBER(F1326),F1326&gt;0),(E1326-F1326)/F1326,"n.a.")</x:f>
        <x:v>0.02672236502204363</x:v>
      </x:c>
      <x:c r="I1326" s="19" t="n">
        <x:f>IF(ISNUMBER(H1326),ABS(H1326),"n.a.")</x:f>
        <x:v>0.02672236502204363</x:v>
      </x:c>
      <x:c r="J1326" s="2" t="str">
        <x:v>available</x:v>
      </x:c>
      <x:c r="K1326" s="2" t="n">
        <x:v>1</x:v>
      </x:c>
      <x:c r="L1326" s="13" t="b">
        <x:v>0</x:v>
      </x:c>
      <x:c r="M1326" s="13" t="b">
        <x:v>1</x:v>
      </x:c>
      <x:c r="N1326" s="2" t="str">
        <x:v>nominal2020; Overture geometry2024-07-22.0; height support2018</x:v>
      </x:c>
      <x:c r="O1326" s="2" t="str"/>
      <x:c r="P1326" s="2" t="str">
        <x:v>included-footprint horizontal area</x:v>
      </x:c>
      <x:c r="Q1326" s="2" t="str">
        <x:v>m2</x:v>
      </x:c>
      <x:c r="R1326" s="17" t="n">
        <x:v>539122826.8199999</x:v>
      </x:c>
      <x:c r="S1326" s="17" t="n">
        <x:v>553529463.79</x:v>
      </x:c>
      <x:c r="T1326" s="18" t="n">
        <x:v>0.9999999999999984</x:v>
      </x:c>
      <x:c r="U1326" s="17" t="n">
        <x:v>553529463.7899991</x:v>
      </x:c>
      <x:c r="V1326" s="2" t="str">
        <x:v>Area equivalent = model2020 * OBAT footprint / TEMPO2020 footprint</x:v>
      </x:c>
      <x:c r="W1326" s="2" t="str">
        <x:v>qualified_source_frame_numeric_summary</x:v>
      </x:c>
      <x:c r="X1326" s="2" t="str">
        <x:v>https://data.jrc.ec.europa.eu/dataset/f41a22f1-5741-4c41-86eb-6384654f6927</x:v>
      </x:c>
    </x:row>
    <x:row r="1327" ht="23" customHeight="1">
      <x:c r="A1327" s="2" t="str">
        <x:v>OMN</x:v>
      </x:c>
      <x:c r="B1327" s="2" t="str">
        <x:v>Oman (Sultanate of)</x:v>
      </x:c>
      <x:c r="C1327" s="2" t="n">
        <x:v>2020</x:v>
      </x:c>
      <x:c r="D1327" s="2" t="str">
        <x:v>OBAT_FOOTPRINT</x:v>
      </x:c>
      <x:c r="E1327" s="17" t="n">
        <x:v>262659820.8500002</x:v>
      </x:c>
      <x:c r="F1327" s="17" t="n">
        <x:f>IF(AND(M1327,ISNUMBER(R1327)),IF(D1327="TEMPO_PROXY",R1327,IF(AND(ISNUMBER(S1327),S1327&gt;0,ISNUMBER(U1327)),U1327*R1327/S1327,"n.a.")),"n.a.")</x:f>
        <x:v>135379846.25000012</x:v>
      </x:c>
      <x:c r="G1327" s="17" t="n">
        <x:f>IF(AND(ISNUMBER(E1327),ISNUMBER(F1327)),E1327-F1327,"n.a.")</x:f>
        <x:v>127279974.60000008</x:v>
      </x:c>
      <x:c r="H1327" s="15" t="n">
        <x:f>IF(AND(ISNUMBER(E1327),ISNUMBER(F1327),F1327&gt;0),(E1327-F1327)/F1327,"n.a.")</x:f>
        <x:v>0.9401692949551563</x:v>
      </x:c>
      <x:c r="I1327" s="19" t="n">
        <x:f>IF(ISNUMBER(H1327),ABS(H1327),"n.a.")</x:f>
        <x:v>0.9401692949551563</x:v>
      </x:c>
      <x:c r="J1327" s="2" t="str">
        <x:v>available</x:v>
      </x:c>
      <x:c r="K1327" s="2" t="n">
        <x:v>1</x:v>
      </x:c>
      <x:c r="L1327" s="13" t="b">
        <x:v>0</x:v>
      </x:c>
      <x:c r="M1327" s="13" t="b">
        <x:v>1</x:v>
      </x:c>
      <x:c r="N1327" s="2" t="str">
        <x:v>nominal2020; Overture geometry2024-07-22.0; height support2018</x:v>
      </x:c>
      <x:c r="O1327" s="2" t="str"/>
      <x:c r="P1327" s="2" t="str">
        <x:v>included-footprint horizontal area</x:v>
      </x:c>
      <x:c r="Q1327" s="2" t="str">
        <x:v>m2</x:v>
      </x:c>
      <x:c r="R1327" s="17" t="n">
        <x:v>135379846.25</x:v>
      </x:c>
      <x:c r="S1327" s="17" t="n">
        <x:v>262659820.85</x:v>
      </x:c>
      <x:c r="T1327" s="18" t="n">
        <x:v>1.0000000000000009</x:v>
      </x:c>
      <x:c r="U1327" s="17" t="n">
        <x:v>262659820.8500002</x:v>
      </x:c>
      <x:c r="V1327" s="2" t="str">
        <x:v>Area equivalent = model2020 * OBAT footprint / TEMPO2020 footprint</x:v>
      </x:c>
      <x:c r="W1327" s="2" t="str">
        <x:v>qualified_source_frame_numeric_summary</x:v>
      </x:c>
      <x:c r="X1327" s="2" t="str">
        <x:v>https://data.jrc.ec.europa.eu/dataset/f41a22f1-5741-4c41-86eb-6384654f6927</x:v>
      </x:c>
    </x:row>
    <x:row r="1328" ht="23" customHeight="1">
      <x:c r="A1328" s="2" t="str">
        <x:v>PAK</x:v>
      </x:c>
      <x:c r="B1328" s="2" t="str">
        <x:v>Pakistan (Islamic Republic of)</x:v>
      </x:c>
      <x:c r="C1328" s="2" t="n">
        <x:v>2020</x:v>
      </x:c>
      <x:c r="D1328" s="2" t="str">
        <x:v>OBAT_FOOTPRINT</x:v>
      </x:c>
      <x:c r="E1328" s="17" t="n">
        <x:v>4301390083.520005</x:v>
      </x:c>
      <x:c r="F1328" s="17" t="n">
        <x:f>IF(AND(M1328,ISNUMBER(R1328)),IF(D1328="TEMPO_PROXY",R1328,IF(AND(ISNUMBER(S1328),S1328&gt;0,ISNUMBER(U1328)),U1328*R1328/S1328,"n.a.")),"n.a.")</x:f>
        <x:v>4970762648.900005</x:v>
      </x:c>
      <x:c r="G1328" s="17" t="n">
        <x:f>IF(AND(ISNUMBER(E1328),ISNUMBER(F1328)),E1328-F1328,"n.a.")</x:f>
        <x:v>-669372565.3800001</x:v>
      </x:c>
      <x:c r="H1328" s="15" t="n">
        <x:f>IF(AND(ISNUMBER(E1328),ISNUMBER(F1328),F1328&gt;0),(E1328-F1328)/F1328,"n.a.")</x:f>
        <x:v>-0.1346619447879145</x:v>
      </x:c>
      <x:c r="I1328" s="19" t="n">
        <x:f>IF(ISNUMBER(H1328),ABS(H1328),"n.a.")</x:f>
        <x:v>0.1346619447879145</x:v>
      </x:c>
      <x:c r="J1328" s="2" t="str">
        <x:v>available</x:v>
      </x:c>
      <x:c r="K1328" s="2" t="n">
        <x:v>1</x:v>
      </x:c>
      <x:c r="L1328" s="13" t="b">
        <x:v>0</x:v>
      </x:c>
      <x:c r="M1328" s="13" t="b">
        <x:v>1</x:v>
      </x:c>
      <x:c r="N1328" s="2" t="str">
        <x:v>nominal2020; Overture geometry2024-07-22.0; height support2018</x:v>
      </x:c>
      <x:c r="O1328" s="2" t="str"/>
      <x:c r="P1328" s="2" t="str">
        <x:v>included-footprint horizontal area</x:v>
      </x:c>
      <x:c r="Q1328" s="2" t="str">
        <x:v>m2</x:v>
      </x:c>
      <x:c r="R1328" s="17" t="n">
        <x:v>4970762648.9</x:v>
      </x:c>
      <x:c r="S1328" s="17" t="n">
        <x:v>4301390083.52</x:v>
      </x:c>
      <x:c r="T1328" s="18" t="n">
        <x:v>1.000000000000001</x:v>
      </x:c>
      <x:c r="U1328" s="17" t="n">
        <x:v>4301390083.520005</x:v>
      </x:c>
      <x:c r="V1328" s="2" t="str">
        <x:v>Area equivalent = model2020 * OBAT footprint / TEMPO2020 footprint</x:v>
      </x:c>
      <x:c r="W1328" s="2" t="str">
        <x:v>qualified_source_frame_numeric_summary</x:v>
      </x:c>
      <x:c r="X1328" s="2" t="str">
        <x:v>https://data.jrc.ec.europa.eu/dataset/f41a22f1-5741-4c41-86eb-6384654f6927</x:v>
      </x:c>
    </x:row>
    <x:row r="1329" ht="23" customHeight="1">
      <x:c r="A1329" s="2" t="str">
        <x:v>PAN</x:v>
      </x:c>
      <x:c r="B1329" s="2" t="str">
        <x:v>Panama (Republic of)</x:v>
      </x:c>
      <x:c r="C1329" s="2" t="n">
        <x:v>2020</x:v>
      </x:c>
      <x:c r="D1329" s="2" t="str">
        <x:v>OBAT_FOOTPRINT</x:v>
      </x:c>
      <x:c r="E1329" s="17" t="n">
        <x:v>209722829.7800001</x:v>
      </x:c>
      <x:c r="F1329" s="17" t="n">
        <x:f>IF(AND(M1329,ISNUMBER(R1329)),IF(D1329="TEMPO_PROXY",R1329,IF(AND(ISNUMBER(S1329),S1329&gt;0,ISNUMBER(U1329)),U1329*R1329/S1329,"n.a.")),"n.a.")</x:f>
        <x:v>221659504.26000008</x:v>
      </x:c>
      <x:c r="G1329" s="17" t="n">
        <x:f>IF(AND(ISNUMBER(E1329),ISNUMBER(F1329)),E1329-F1329,"n.a.")</x:f>
        <x:v>-11936674.47999999</x:v>
      </x:c>
      <x:c r="H1329" s="15" t="n">
        <x:f>IF(AND(ISNUMBER(E1329),ISNUMBER(F1329),F1329&gt;0),(E1329-F1329)/F1329,"n.a.")</x:f>
        <x:v>-0.05385139933363119</x:v>
      </x:c>
      <x:c r="I1329" s="19" t="n">
        <x:f>IF(ISNUMBER(H1329),ABS(H1329),"n.a.")</x:f>
        <x:v>0.05385139933363119</x:v>
      </x:c>
      <x:c r="J1329" s="2" t="str">
        <x:v>available</x:v>
      </x:c>
      <x:c r="K1329" s="2" t="n">
        <x:v>1</x:v>
      </x:c>
      <x:c r="L1329" s="13" t="b">
        <x:v>0</x:v>
      </x:c>
      <x:c r="M1329" s="13" t="b">
        <x:v>1</x:v>
      </x:c>
      <x:c r="N1329" s="2" t="str">
        <x:v>nominal2020; Overture geometry2024-07-22.0; height support2018</x:v>
      </x:c>
      <x:c r="O1329" s="2" t="str"/>
      <x:c r="P1329" s="2" t="str">
        <x:v>included-footprint horizontal area</x:v>
      </x:c>
      <x:c r="Q1329" s="2" t="str">
        <x:v>m2</x:v>
      </x:c>
      <x:c r="R1329" s="17" t="n">
        <x:v>221659504.26</x:v>
      </x:c>
      <x:c r="S1329" s="17" t="n">
        <x:v>209722829.78</x:v>
      </x:c>
      <x:c r="T1329" s="18" t="n">
        <x:v>1.0000000000000004</x:v>
      </x:c>
      <x:c r="U1329" s="17" t="n">
        <x:v>209722829.7800001</x:v>
      </x:c>
      <x:c r="V1329" s="2" t="str">
        <x:v>Area equivalent = model2020 * OBAT footprint / TEMPO2020 footprint</x:v>
      </x:c>
      <x:c r="W1329" s="2" t="str">
        <x:v>qualified_source_frame_numeric_summary</x:v>
      </x:c>
      <x:c r="X1329" s="2" t="str">
        <x:v>https://data.jrc.ec.europa.eu/dataset/f41a22f1-5741-4c41-86eb-6384654f6927</x:v>
      </x:c>
    </x:row>
    <x:row r="1330" ht="23" customHeight="1">
      <x:c r="A1330" s="2" t="str">
        <x:v>PER</x:v>
      </x:c>
      <x:c r="B1330" s="2" t="str">
        <x:v>Peru (Republic of)</x:v>
      </x:c>
      <x:c r="C1330" s="2" t="n">
        <x:v>2020</x:v>
      </x:c>
      <x:c r="D1330" s="2" t="str">
        <x:v>OBAT_FOOTPRINT</x:v>
      </x:c>
      <x:c r="E1330" s="17" t="n">
        <x:v>1228349086.860001</x:v>
      </x:c>
      <x:c r="F1330" s="17" t="n">
        <x:f>IF(AND(M1330,ISNUMBER(R1330)),IF(D1330="TEMPO_PROXY",R1330,IF(AND(ISNUMBER(S1330),S1330&gt;0,ISNUMBER(U1330)),U1330*R1330/S1330,"n.a.")),"n.a.")</x:f>
        <x:v>1365854140.8300016</x:v>
      </x:c>
      <x:c r="G1330" s="17" t="n">
        <x:f>IF(AND(ISNUMBER(E1330),ISNUMBER(F1330)),E1330-F1330,"n.a.")</x:f>
        <x:v>-137505053.9700005</x:v>
      </x:c>
      <x:c r="H1330" s="15" t="n">
        <x:f>IF(AND(ISNUMBER(E1330),ISNUMBER(F1330),F1330&gt;0),(E1330-F1330)/F1330,"n.a.")</x:f>
        <x:v>-0.1006733075366609</x:v>
      </x:c>
      <x:c r="I1330" s="19" t="n">
        <x:f>IF(ISNUMBER(H1330),ABS(H1330),"n.a.")</x:f>
        <x:v>0.1006733075366609</x:v>
      </x:c>
      <x:c r="J1330" s="2" t="str">
        <x:v>available</x:v>
      </x:c>
      <x:c r="K1330" s="2" t="n">
        <x:v>1</x:v>
      </x:c>
      <x:c r="L1330" s="13" t="b">
        <x:v>0</x:v>
      </x:c>
      <x:c r="M1330" s="13" t="b">
        <x:v>1</x:v>
      </x:c>
      <x:c r="N1330" s="2" t="str">
        <x:v>nominal2020; Overture geometry2024-07-22.0; height support2018</x:v>
      </x:c>
      <x:c r="O1330" s="2" t="str"/>
      <x:c r="P1330" s="2" t="str">
        <x:v>included-footprint horizontal area</x:v>
      </x:c>
      <x:c r="Q1330" s="2" t="str">
        <x:v>m2</x:v>
      </x:c>
      <x:c r="R1330" s="17" t="n">
        <x:v>1365854140.8300002</x:v>
      </x:c>
      <x:c r="S1330" s="17" t="n">
        <x:v>1228349086.86</x:v>
      </x:c>
      <x:c r="T1330" s="18" t="n">
        <x:v>1.0000000000000009</x:v>
      </x:c>
      <x:c r="U1330" s="17" t="n">
        <x:v>1228349086.860001</x:v>
      </x:c>
      <x:c r="V1330" s="2" t="str">
        <x:v>Area equivalent = model2020 * OBAT footprint / TEMPO2020 footprint</x:v>
      </x:c>
      <x:c r="W1330" s="2" t="str">
        <x:v>qualified_source_frame_numeric_summary</x:v>
      </x:c>
      <x:c r="X1330" s="2" t="str">
        <x:v>https://data.jrc.ec.europa.eu/dataset/f41a22f1-5741-4c41-86eb-6384654f6927</x:v>
      </x:c>
    </x:row>
    <x:row r="1331" ht="23" customHeight="1">
      <x:c r="A1331" s="2" t="str">
        <x:v>PHL</x:v>
      </x:c>
      <x:c r="B1331" s="2" t="str">
        <x:v>Philippines (Republic of the)</x:v>
      </x:c>
      <x:c r="C1331" s="2" t="n">
        <x:v>2020</x:v>
      </x:c>
      <x:c r="D1331" s="2" t="str">
        <x:v>OBAT_FOOTPRINT</x:v>
      </x:c>
      <x:c r="E1331" s="17" t="n">
        <x:v>2290609295.400001</x:v>
      </x:c>
      <x:c r="F1331" s="17" t="n">
        <x:f>IF(AND(M1331,ISNUMBER(R1331)),IF(D1331="TEMPO_PROXY",R1331,IF(AND(ISNUMBER(S1331),S1331&gt;0,ISNUMBER(U1331)),U1331*R1331/S1331,"n.a.")),"n.a.")</x:f>
        <x:v>2523878400.3800015</x:v>
      </x:c>
      <x:c r="G1331" s="17" t="n">
        <x:f>IF(AND(ISNUMBER(E1331),ISNUMBER(F1331)),E1331-F1331,"n.a.")</x:f>
        <x:v>-233269104.9800005</x:v>
      </x:c>
      <x:c r="H1331" s="15" t="n">
        <x:f>IF(AND(ISNUMBER(E1331),ISNUMBER(F1331),F1331&gt;0),(E1331-F1331)/F1331,"n.a.")</x:f>
        <x:v>-0.09242485887785992</x:v>
      </x:c>
      <x:c r="I1331" s="19" t="n">
        <x:f>IF(ISNUMBER(H1331),ABS(H1331),"n.a.")</x:f>
        <x:v>0.09242485887785992</x:v>
      </x:c>
      <x:c r="J1331" s="2" t="str">
        <x:v>available</x:v>
      </x:c>
      <x:c r="K1331" s="2" t="n">
        <x:v>1</x:v>
      </x:c>
      <x:c r="L1331" s="13" t="b">
        <x:v>0</x:v>
      </x:c>
      <x:c r="M1331" s="13" t="b">
        <x:v>1</x:v>
      </x:c>
      <x:c r="N1331" s="2" t="str">
        <x:v>nominal2020; Overture geometry2024-07-22.0; height support2018</x:v>
      </x:c>
      <x:c r="O1331" s="2" t="str"/>
      <x:c r="P1331" s="2" t="str">
        <x:v>included-footprint horizontal area</x:v>
      </x:c>
      <x:c r="Q1331" s="2" t="str">
        <x:v>m2</x:v>
      </x:c>
      <x:c r="R1331" s="17" t="n">
        <x:v>2523878400.38</x:v>
      </x:c>
      <x:c r="S1331" s="17" t="n">
        <x:v>2290609295.4</x:v>
      </x:c>
      <x:c r="T1331" s="18" t="n">
        <x:v>1.0000000000000004</x:v>
      </x:c>
      <x:c r="U1331" s="17" t="n">
        <x:v>2290609295.400001</x:v>
      </x:c>
      <x:c r="V1331" s="2" t="str">
        <x:v>Area equivalent = model2020 * OBAT footprint / TEMPO2020 footprint</x:v>
      </x:c>
      <x:c r="W1331" s="2" t="str">
        <x:v>qualified_source_frame_numeric_summary</x:v>
      </x:c>
      <x:c r="X1331" s="2" t="str">
        <x:v>https://data.jrc.ec.europa.eu/dataset/f41a22f1-5741-4c41-86eb-6384654f6927</x:v>
      </x:c>
    </x:row>
    <x:row r="1332" ht="23" customHeight="1">
      <x:c r="A1332" s="2" t="str">
        <x:v>PLW</x:v>
      </x:c>
      <x:c r="B1332" s="2" t="str">
        <x:v>Palau (Republic of)</x:v>
      </x:c>
      <x:c r="C1332" s="2" t="n">
        <x:v>2020</x:v>
      </x:c>
      <x:c r="D1332" s="2" t="str">
        <x:v>OBAT_FOOTPRINT</x:v>
      </x:c>
      <x:c r="E1332" s="17" t="n">
        <x:v>1152226.26</x:v>
      </x:c>
      <x:c r="F1332" s="17" t="n">
        <x:f>IF(AND(M1332,ISNUMBER(R1332)),IF(D1332="TEMPO_PROXY",R1332,IF(AND(ISNUMBER(S1332),S1332&gt;0,ISNUMBER(U1332)),U1332*R1332/S1332,"n.a.")),"n.a.")</x:f>
        <x:v>1000004.2999999999</x:v>
      </x:c>
      <x:c r="G1332" s="17" t="n">
        <x:f>IF(AND(ISNUMBER(E1332),ISNUMBER(F1332)),E1332-F1332,"n.a.")</x:f>
        <x:v>152221.96000000008</x:v>
      </x:c>
      <x:c r="H1332" s="15" t="n">
        <x:f>IF(AND(ISNUMBER(E1332),ISNUMBER(F1332),F1332&gt;0),(E1332-F1332)/F1332,"n.a.")</x:f>
        <x:v>0.15222130544838666</x:v>
      </x:c>
      <x:c r="I1332" s="19" t="n">
        <x:f>IF(ISNUMBER(H1332),ABS(H1332),"n.a.")</x:f>
        <x:v>0.15222130544838666</x:v>
      </x:c>
      <x:c r="J1332" s="2" t="str">
        <x:v>available</x:v>
      </x:c>
      <x:c r="K1332" s="2" t="n">
        <x:v>1</x:v>
      </x:c>
      <x:c r="L1332" s="13" t="b">
        <x:v>0</x:v>
      </x:c>
      <x:c r="M1332" s="13" t="b">
        <x:v>1</x:v>
      </x:c>
      <x:c r="N1332" s="2" t="str">
        <x:v>nominal2020; Overture geometry2024-07-22.0; height support2018</x:v>
      </x:c>
      <x:c r="O1332" s="2" t="str"/>
      <x:c r="P1332" s="2" t="str">
        <x:v>included-footprint horizontal area</x:v>
      </x:c>
      <x:c r="Q1332" s="2" t="str">
        <x:v>m2</x:v>
      </x:c>
      <x:c r="R1332" s="17" t="n">
        <x:v>1000004.2999999999</x:v>
      </x:c>
      <x:c r="S1332" s="17" t="n">
        <x:v>1152226.26</x:v>
      </x:c>
      <x:c r="T1332" s="18" t="n">
        <x:v>1</x:v>
      </x:c>
      <x:c r="U1332" s="17" t="n">
        <x:v>1152226.26</x:v>
      </x:c>
      <x:c r="V1332" s="2" t="str">
        <x:v>Area equivalent = model2020 * OBAT footprint / TEMPO2020 footprint</x:v>
      </x:c>
      <x:c r="W1332" s="2" t="str">
        <x:v>qualified_source_frame_numeric_summary</x:v>
      </x:c>
      <x:c r="X1332" s="2" t="str">
        <x:v>https://data.jrc.ec.europa.eu/dataset/f41a22f1-5741-4c41-86eb-6384654f6927</x:v>
      </x:c>
    </x:row>
    <x:row r="1333" ht="23" customHeight="1">
      <x:c r="A1333" s="2" t="str">
        <x:v>PNG</x:v>
      </x:c>
      <x:c r="B1333" s="2" t="str">
        <x:v>Papua New Guinea (Independent State of)</x:v>
      </x:c>
      <x:c r="C1333" s="2" t="n">
        <x:v>2020</x:v>
      </x:c>
      <x:c r="D1333" s="2" t="str">
        <x:v>OBAT_FOOTPRINT</x:v>
      </x:c>
      <x:c r="E1333" s="17" t="n">
        <x:v>111325792.03000018</x:v>
      </x:c>
      <x:c r="F1333" s="17" t="n">
        <x:f>IF(AND(M1333,ISNUMBER(R1333)),IF(D1333="TEMPO_PROXY",R1333,IF(AND(ISNUMBER(S1333),S1333&gt;0,ISNUMBER(U1333)),U1333*R1333/S1333,"n.a.")),"n.a.")</x:f>
        <x:v>43387269.63000007</x:v>
      </x:c>
      <x:c r="G1333" s="17" t="n">
        <x:f>IF(AND(ISNUMBER(E1333),ISNUMBER(F1333)),E1333-F1333,"n.a.")</x:f>
        <x:v>67938522.40000011</x:v>
      </x:c>
      <x:c r="H1333" s="15" t="n">
        <x:f>IF(AND(ISNUMBER(E1333),ISNUMBER(F1333),F1333&gt;0),(E1333-F1333)/F1333,"n.a.")</x:f>
        <x:v>1.5658630510601228</x:v>
      </x:c>
      <x:c r="I1333" s="19" t="n">
        <x:f>IF(ISNUMBER(H1333),ABS(H1333),"n.a.")</x:f>
        <x:v>1.5658630510601228</x:v>
      </x:c>
      <x:c r="J1333" s="2" t="str">
        <x:v>available</x:v>
      </x:c>
      <x:c r="K1333" s="2" t="n">
        <x:v>1</x:v>
      </x:c>
      <x:c r="L1333" s="13" t="b">
        <x:v>0</x:v>
      </x:c>
      <x:c r="M1333" s="13" t="b">
        <x:v>1</x:v>
      </x:c>
      <x:c r="N1333" s="2" t="str">
        <x:v>nominal2020; Overture geometry2024-07-22.0; height support2018</x:v>
      </x:c>
      <x:c r="O1333" s="2" t="str"/>
      <x:c r="P1333" s="2" t="str">
        <x:v>included-footprint horizontal area</x:v>
      </x:c>
      <x:c r="Q1333" s="2" t="str">
        <x:v>m2</x:v>
      </x:c>
      <x:c r="R1333" s="17" t="n">
        <x:v>43387269.63</x:v>
      </x:c>
      <x:c r="S1333" s="17" t="n">
        <x:v>111325792.03</x:v>
      </x:c>
      <x:c r="T1333" s="18" t="n">
        <x:v>1.0000000000000016</x:v>
      </x:c>
      <x:c r="U1333" s="17" t="n">
        <x:v>111325792.03000018</x:v>
      </x:c>
      <x:c r="V1333" s="2" t="str">
        <x:v>Area equivalent = model2020 * OBAT footprint / TEMPO2020 footprint</x:v>
      </x:c>
      <x:c r="W1333" s="2" t="str">
        <x:v>qualified_source_frame_numeric_summary</x:v>
      </x:c>
      <x:c r="X1333" s="2" t="str">
        <x:v>https://data.jrc.ec.europa.eu/dataset/f41a22f1-5741-4c41-86eb-6384654f6927</x:v>
      </x:c>
    </x:row>
    <x:row r="1334" ht="23" customHeight="1">
      <x:c r="A1334" s="2" t="str">
        <x:v>POL</x:v>
      </x:c>
      <x:c r="B1334" s="2" t="str">
        <x:v>Poland (Republic of)</x:v>
      </x:c>
      <x:c r="C1334" s="2" t="n">
        <x:v>2020</x:v>
      </x:c>
      <x:c r="D1334" s="2" t="str">
        <x:v>OBAT_FOOTPRINT</x:v>
      </x:c>
      <x:c r="E1334" s="17" t="n">
        <x:v>2573023573.5300016</x:v>
      </x:c>
      <x:c r="F1334" s="17" t="n">
        <x:f>IF(AND(M1334,ISNUMBER(R1334)),IF(D1334="TEMPO_PROXY",R1334,IF(AND(ISNUMBER(S1334),S1334&gt;0,ISNUMBER(U1334)),U1334*R1334/S1334,"n.a.")),"n.a.")</x:f>
        <x:v>2714018463.9800014</x:v>
      </x:c>
      <x:c r="G1334" s="17" t="n">
        <x:f>IF(AND(ISNUMBER(E1334),ISNUMBER(F1334)),E1334-F1334,"n.a.")</x:f>
        <x:v>-140994890.4499998</x:v>
      </x:c>
      <x:c r="H1334" s="15" t="n">
        <x:f>IF(AND(ISNUMBER(E1334),ISNUMBER(F1334),F1334&gt;0),(E1334-F1334)/F1334,"n.a.")</x:f>
        <x:v>-0.051950601044635614</x:v>
      </x:c>
      <x:c r="I1334" s="19" t="n">
        <x:f>IF(ISNUMBER(H1334),ABS(H1334),"n.a.")</x:f>
        <x:v>0.051950601044635614</x:v>
      </x:c>
      <x:c r="J1334" s="2" t="str">
        <x:v>available</x:v>
      </x:c>
      <x:c r="K1334" s="2" t="n">
        <x:v>1</x:v>
      </x:c>
      <x:c r="L1334" s="13" t="b">
        <x:v>0</x:v>
      </x:c>
      <x:c r="M1334" s="13" t="b">
        <x:v>1</x:v>
      </x:c>
      <x:c r="N1334" s="2" t="str">
        <x:v>nominal2020; Overture geometry2024-07-22.0; height support2018</x:v>
      </x:c>
      <x:c r="O1334" s="2" t="str"/>
      <x:c r="P1334" s="2" t="str">
        <x:v>included-footprint horizontal area</x:v>
      </x:c>
      <x:c r="Q1334" s="2" t="str">
        <x:v>m2</x:v>
      </x:c>
      <x:c r="R1334" s="17" t="n">
        <x:v>2714018463.98</x:v>
      </x:c>
      <x:c r="S1334" s="17" t="n">
        <x:v>2573023573.53</x:v>
      </x:c>
      <x:c r="T1334" s="18" t="n">
        <x:v>1.0000000000000007</x:v>
      </x:c>
      <x:c r="U1334" s="17" t="n">
        <x:v>2573023573.5300016</x:v>
      </x:c>
      <x:c r="V1334" s="2" t="str">
        <x:v>Area equivalent = model2020 * OBAT footprint / TEMPO2020 footprint</x:v>
      </x:c>
      <x:c r="W1334" s="2" t="str">
        <x:v>qualified_source_frame_numeric_summary</x:v>
      </x:c>
      <x:c r="X1334" s="2" t="str">
        <x:v>https://data.jrc.ec.europa.eu/dataset/f41a22f1-5741-4c41-86eb-6384654f6927</x:v>
      </x:c>
    </x:row>
    <x:row r="1335" ht="23" customHeight="1">
      <x:c r="A1335" s="2" t="str">
        <x:v>PRK</x:v>
      </x:c>
      <x:c r="B1335" s="2" t="str">
        <x:v>Korea (Democratic People's Republic of)</x:v>
      </x:c>
      <x:c r="C1335" s="2" t="n">
        <x:v>2020</x:v>
      </x:c>
      <x:c r="D1335" s="2" t="str">
        <x:v>OBAT_FOOTPRINT</x:v>
      </x:c>
      <x:c r="E1335" s="17" t="n">
        <x:v>469713807.49000067</x:v>
      </x:c>
      <x:c r="F1335" s="17" t="n">
        <x:f>IF(AND(M1335,ISNUMBER(R1335)),IF(D1335="TEMPO_PROXY",R1335,IF(AND(ISNUMBER(S1335),S1335&gt;0,ISNUMBER(U1335)),U1335*R1335/S1335,"n.a.")),"n.a.")</x:f>
        <x:v>150564284.85927725</x:v>
      </x:c>
      <x:c r="G1335" s="17" t="n">
        <x:f>IF(AND(ISNUMBER(E1335),ISNUMBER(F1335)),E1335-F1335,"n.a.")</x:f>
        <x:v>319149522.6307234</x:v>
      </x:c>
      <x:c r="H1335" s="15" t="n">
        <x:f>IF(AND(ISNUMBER(E1335),ISNUMBER(F1335),F1335&gt;0),(E1335-F1335)/F1335,"n.a.")</x:f>
        <x:v>2.119689426539713</x:v>
      </x:c>
      <x:c r="I1335" s="19" t="n">
        <x:f>IF(ISNUMBER(H1335),ABS(H1335),"n.a.")</x:f>
        <x:v>2.119689426539713</x:v>
      </x:c>
      <x:c r="J1335" s="2" t="str">
        <x:v>available</x:v>
      </x:c>
      <x:c r="K1335" s="2" t="n">
        <x:v>1</x:v>
      </x:c>
      <x:c r="L1335" s="13" t="b">
        <x:v>0</x:v>
      </x:c>
      <x:c r="M1335" s="13" t="b">
        <x:v>1</x:v>
      </x:c>
      <x:c r="N1335" s="2" t="str">
        <x:v>nominal2020; Overture geometry2024-07-22.0; height support2018</x:v>
      </x:c>
      <x:c r="O1335" s="2" t="str"/>
      <x:c r="P1335" s="2" t="str">
        <x:v>included-footprint horizontal area</x:v>
      </x:c>
      <x:c r="Q1335" s="2" t="str">
        <x:v>m2</x:v>
      </x:c>
      <x:c r="R1335" s="17" t="n">
        <x:v>148585575.72</x:v>
      </x:c>
      <x:c r="S1335" s="17" t="n">
        <x:v>463540849.51</x:v>
      </x:c>
      <x:c r="T1335" s="18" t="n">
        <x:v>1.0133169665338577</x:v>
      </x:c>
      <x:c r="U1335" s="17" t="n">
        <x:v>469713807.49000067</x:v>
      </x:c>
      <x:c r="V1335" s="2" t="str">
        <x:v>Area equivalent = model2020 * OBAT footprint / TEMPO2020 footprint</x:v>
      </x:c>
      <x:c r="W1335" s="2" t="str">
        <x:v>qualified_source_frame_numeric_summary</x:v>
      </x:c>
      <x:c r="X1335" s="2" t="str">
        <x:v>https://data.jrc.ec.europa.eu/dataset/f41a22f1-5741-4c41-86eb-6384654f6927</x:v>
      </x:c>
    </x:row>
    <x:row r="1336" ht="23" customHeight="1">
      <x:c r="A1336" s="2" t="str">
        <x:v>PRT</x:v>
      </x:c>
      <x:c r="B1336" s="2" t="str">
        <x:v>Portugal (Portuguese Republic)</x:v>
      </x:c>
      <x:c r="C1336" s="2" t="n">
        <x:v>2020</x:v>
      </x:c>
      <x:c r="D1336" s="2" t="str">
        <x:v>OBAT_FOOTPRINT</x:v>
      </x:c>
      <x:c r="E1336" s="17" t="n">
        <x:v>1019333626.31</x:v>
      </x:c>
      <x:c r="F1336" s="17" t="n">
        <x:f>IF(AND(M1336,ISNUMBER(R1336)),IF(D1336="TEMPO_PROXY",R1336,IF(AND(ISNUMBER(S1336),S1336&gt;0,ISNUMBER(U1336)),U1336*R1336/S1336,"n.a.")),"n.a.")</x:f>
        <x:v>1057531281.01</x:v>
      </x:c>
      <x:c r="G1336" s="17" t="n">
        <x:f>IF(AND(ISNUMBER(E1336),ISNUMBER(F1336)),E1336-F1336,"n.a.")</x:f>
        <x:v>-38197654.70000005</x:v>
      </x:c>
      <x:c r="H1336" s="15" t="n">
        <x:f>IF(AND(ISNUMBER(E1336),ISNUMBER(F1336),F1336&gt;0),(E1336-F1336)/F1336,"n.a.")</x:f>
        <x:v>-0.036119645239731546</x:v>
      </x:c>
      <x:c r="I1336" s="19" t="n">
        <x:f>IF(ISNUMBER(H1336),ABS(H1336),"n.a.")</x:f>
        <x:v>0.036119645239731546</x:v>
      </x:c>
      <x:c r="J1336" s="2" t="str">
        <x:v>available</x:v>
      </x:c>
      <x:c r="K1336" s="2" t="n">
        <x:v>1</x:v>
      </x:c>
      <x:c r="L1336" s="13" t="b">
        <x:v>0</x:v>
      </x:c>
      <x:c r="M1336" s="13" t="b">
        <x:v>1</x:v>
      </x:c>
      <x:c r="N1336" s="2" t="str">
        <x:v>nominal2020; Overture geometry2024-07-22.0; height support2018</x:v>
      </x:c>
      <x:c r="O1336" s="2" t="str"/>
      <x:c r="P1336" s="2" t="str">
        <x:v>included-footprint horizontal area</x:v>
      </x:c>
      <x:c r="Q1336" s="2" t="str">
        <x:v>m2</x:v>
      </x:c>
      <x:c r="R1336" s="17" t="n">
        <x:v>1057531281.01</x:v>
      </x:c>
      <x:c r="S1336" s="17" t="n">
        <x:v>1019333626.31</x:v>
      </x:c>
      <x:c r="T1336" s="18" t="n">
        <x:v>1</x:v>
      </x:c>
      <x:c r="U1336" s="17" t="n">
        <x:v>1019333626.31</x:v>
      </x:c>
      <x:c r="V1336" s="2" t="str">
        <x:v>Area equivalent = model2020 * OBAT footprint / TEMPO2020 footprint</x:v>
      </x:c>
      <x:c r="W1336" s="2" t="str">
        <x:v>qualified_source_frame_numeric_summary</x:v>
      </x:c>
      <x:c r="X1336" s="2" t="str">
        <x:v>https://data.jrc.ec.europa.eu/dataset/f41a22f1-5741-4c41-86eb-6384654f6927</x:v>
      </x:c>
    </x:row>
    <x:row r="1337" ht="23" customHeight="1">
      <x:c r="A1337" s="2" t="str">
        <x:v>PRY</x:v>
      </x:c>
      <x:c r="B1337" s="2" t="str">
        <x:v>Paraguay (Republic of)</x:v>
      </x:c>
      <x:c r="C1337" s="2" t="n">
        <x:v>2020</x:v>
      </x:c>
      <x:c r="D1337" s="2" t="str">
        <x:v>OBAT_FOOTPRINT</x:v>
      </x:c>
      <x:c r="E1337" s="17" t="n">
        <x:v>336793873.4500005</x:v>
      </x:c>
      <x:c r="F1337" s="17" t="n">
        <x:f>IF(AND(M1337,ISNUMBER(R1337)),IF(D1337="TEMPO_PROXY",R1337,IF(AND(ISNUMBER(S1337),S1337&gt;0,ISNUMBER(U1337)),U1337*R1337/S1337,"n.a.")),"n.a.")</x:f>
        <x:v>367370999.78000057</x:v>
      </x:c>
      <x:c r="G1337" s="17" t="n">
        <x:f>IF(AND(ISNUMBER(E1337),ISNUMBER(F1337)),E1337-F1337,"n.a.")</x:f>
        <x:v>-30577126.330000043</x:v>
      </x:c>
      <x:c r="H1337" s="15" t="n">
        <x:f>IF(AND(ISNUMBER(E1337),ISNUMBER(F1337),F1337&gt;0),(E1337-F1337)/F1337,"n.a.")</x:f>
        <x:v>-0.08323228112265557</x:v>
      </x:c>
      <x:c r="I1337" s="19" t="n">
        <x:f>IF(ISNUMBER(H1337),ABS(H1337),"n.a.")</x:f>
        <x:v>0.08323228112265557</x:v>
      </x:c>
      <x:c r="J1337" s="2" t="str">
        <x:v>available</x:v>
      </x:c>
      <x:c r="K1337" s="2" t="n">
        <x:v>1</x:v>
      </x:c>
      <x:c r="L1337" s="13" t="b">
        <x:v>0</x:v>
      </x:c>
      <x:c r="M1337" s="13" t="b">
        <x:v>1</x:v>
      </x:c>
      <x:c r="N1337" s="2" t="str">
        <x:v>nominal2020; Overture geometry2024-07-22.0; height support2018</x:v>
      </x:c>
      <x:c r="O1337" s="2" t="str"/>
      <x:c r="P1337" s="2" t="str">
        <x:v>included-footprint horizontal area</x:v>
      </x:c>
      <x:c r="Q1337" s="2" t="str">
        <x:v>m2</x:v>
      </x:c>
      <x:c r="R1337" s="17" t="n">
        <x:v>367370999.78</x:v>
      </x:c>
      <x:c r="S1337" s="17" t="n">
        <x:v>336793873.45</x:v>
      </x:c>
      <x:c r="T1337" s="18" t="n">
        <x:v>1.0000000000000016</x:v>
      </x:c>
      <x:c r="U1337" s="17" t="n">
        <x:v>336793873.4500005</x:v>
      </x:c>
      <x:c r="V1337" s="2" t="str">
        <x:v>Area equivalent = model2020 * OBAT footprint / TEMPO2020 footprint</x:v>
      </x:c>
      <x:c r="W1337" s="2" t="str">
        <x:v>qualified_source_frame_numeric_summary</x:v>
      </x:c>
      <x:c r="X1337" s="2" t="str">
        <x:v>https://data.jrc.ec.europa.eu/dataset/f41a22f1-5741-4c41-86eb-6384654f6927</x:v>
      </x:c>
    </x:row>
    <x:row r="1338" ht="23" customHeight="1">
      <x:c r="A1338" s="2" t="str">
        <x:v>PSE</x:v>
      </x:c>
      <x:c r="B1338" s="2" t="str">
        <x:v>State of Palestine</x:v>
      </x:c>
      <x:c r="C1338" s="2" t="n">
        <x:v>2020</x:v>
      </x:c>
      <x:c r="D1338" s="2" t="str">
        <x:v>OBAT_FOOTPRINT</x:v>
      </x:c>
      <x:c r="E1338" s="17" t="n">
        <x:v>239938472.63190365</x:v>
      </x:c>
      <x:c r="F1338" s="17" t="str">
        <x:f>IF(AND(M1338,ISNUMBER(R1338)),IF(D1338="TEMPO_PROXY",R1338,IF(AND(ISNUMBER(S1338),S1338&gt;0,ISNUMBER(U1338)),U1338*R1338/S1338,"n.a.")),"n.a.")</x:f>
        <x:v>n.a.</x:v>
      </x:c>
      <x:c r="G1338" s="17" t="str">
        <x:f>IF(AND(ISNUMBER(E1338),ISNUMBER(F1338)),E1338-F1338,"n.a.")</x:f>
        <x:v>n.a.</x:v>
      </x:c>
      <x:c r="H1338" s="15" t="str">
        <x:f>IF(AND(ISNUMBER(E1338),ISNUMBER(F1338),F1338&gt;0),(E1338-F1338)/F1338,"n.a.")</x:f>
        <x:v>n.a.</x:v>
      </x:c>
      <x:c r="I1338" s="19" t="str">
        <x:f>IF(ISNUMBER(H1338),ABS(H1338),"n.a.")</x:f>
        <x:v>n.a.</x:v>
      </x:c>
      <x:c r="J1338" s="2" t="str">
        <x:v>no_qualified_TEMPO2020_conversion_base</x:v>
      </x:c>
      <x:c r="K1338" s="2" t="n">
        <x:v>0</x:v>
      </x:c>
      <x:c r="L1338" s="13" t="b">
        <x:v>0</x:v>
      </x:c>
      <x:c r="M1338" s="13" t="b">
        <x:v>1</x:v>
      </x:c>
      <x:c r="N1338" s="2" t="str">
        <x:v>nominal2020; Overture geometry2024-07-22.0; height support2018</x:v>
      </x:c>
      <x:c r="O1338" s="2" t="str"/>
      <x:c r="P1338" s="2" t="str">
        <x:v>included-footprint horizontal area</x:v>
      </x:c>
      <x:c r="Q1338" s="2" t="str">
        <x:v>m2</x:v>
      </x:c>
      <x:c r="R1338" s="17" t="n">
        <x:v>207518037.82</x:v>
      </x:c>
      <x:c r="S1338" s="17"/>
      <x:c r="T1338" s="18"/>
      <x:c r="U1338" s="17" t="n">
        <x:v>239938472.63190365</x:v>
      </x:c>
      <x:c r="V1338" s="2" t="str">
        <x:v>Area equivalent = model2020 * OBAT footprint / TEMPO2020 footprint</x:v>
      </x:c>
      <x:c r="W1338" s="2" t="str">
        <x:v>qualified_source_frame_numeric_summary</x:v>
      </x:c>
      <x:c r="X1338" s="2" t="str">
        <x:v>https://data.jrc.ec.europa.eu/dataset/f41a22f1-5741-4c41-86eb-6384654f6927</x:v>
      </x:c>
    </x:row>
    <x:row r="1339" ht="23" customHeight="1">
      <x:c r="A1339" s="2" t="str">
        <x:v>QAT</x:v>
      </x:c>
      <x:c r="B1339" s="2" t="str">
        <x:v>Qatar (State of)</x:v>
      </x:c>
      <x:c r="C1339" s="2" t="n">
        <x:v>2020</x:v>
      </x:c>
      <x:c r="D1339" s="2" t="str">
        <x:v>OBAT_FOOTPRINT</x:v>
      </x:c>
      <x:c r="E1339" s="17" t="n">
        <x:v>137316242.80000022</x:v>
      </x:c>
      <x:c r="F1339" s="17" t="n">
        <x:f>IF(AND(M1339,ISNUMBER(R1339)),IF(D1339="TEMPO_PROXY",R1339,IF(AND(ISNUMBER(S1339),S1339&gt;0,ISNUMBER(U1339)),U1339*R1339/S1339,"n.a.")),"n.a.")</x:f>
        <x:v>153647724.62345102</x:v>
      </x:c>
      <x:c r="G1339" s="17" t="n">
        <x:f>IF(AND(ISNUMBER(E1339),ISNUMBER(F1339)),E1339-F1339,"n.a.")</x:f>
        <x:v>-16331481.823450804</x:v>
      </x:c>
      <x:c r="H1339" s="15" t="n">
        <x:f>IF(AND(ISNUMBER(E1339),ISNUMBER(F1339),F1339&gt;0),(E1339-F1339)/F1339,"n.a.")</x:f>
        <x:v>-0.10629172585194376</x:v>
      </x:c>
      <x:c r="I1339" s="19" t="n">
        <x:f>IF(ISNUMBER(H1339),ABS(H1339),"n.a.")</x:f>
        <x:v>0.10629172585194376</x:v>
      </x:c>
      <x:c r="J1339" s="2" t="str">
        <x:v>available</x:v>
      </x:c>
      <x:c r="K1339" s="2" t="n">
        <x:v>1</x:v>
      </x:c>
      <x:c r="L1339" s="13" t="b">
        <x:v>0</x:v>
      </x:c>
      <x:c r="M1339" s="13" t="b">
        <x:v>1</x:v>
      </x:c>
      <x:c r="N1339" s="2" t="str">
        <x:v>nominal2020; Overture geometry2024-07-22.0; height support2018</x:v>
      </x:c>
      <x:c r="O1339" s="2" t="str"/>
      <x:c r="P1339" s="2" t="str">
        <x:v>included-footprint horizontal area</x:v>
      </x:c>
      <x:c r="Q1339" s="2" t="str">
        <x:v>m2</x:v>
      </x:c>
      <x:c r="R1339" s="17" t="n">
        <x:v>138074731.71</x:v>
      </x:c>
      <x:c r="S1339" s="17" t="n">
        <x:v>123398530.18</x:v>
      </x:c>
      <x:c r="T1339" s="18" t="n">
        <x:v>1.1127866968893276</x:v>
      </x:c>
      <x:c r="U1339" s="17" t="n">
        <x:v>137316242.80000022</x:v>
      </x:c>
      <x:c r="V1339" s="2" t="str">
        <x:v>Area equivalent = model2020 * OBAT footprint / TEMPO2020 footprint</x:v>
      </x:c>
      <x:c r="W1339" s="2" t="str">
        <x:v>qualified_source_frame_numeric_summary</x:v>
      </x:c>
      <x:c r="X1339" s="2" t="str">
        <x:v>https://data.jrc.ec.europa.eu/dataset/f41a22f1-5741-4c41-86eb-6384654f6927</x:v>
      </x:c>
    </x:row>
    <x:row r="1340" ht="23" customHeight="1">
      <x:c r="A1340" s="2" t="str">
        <x:v>ROU</x:v>
      </x:c>
      <x:c r="B1340" s="2" t="str">
        <x:v>Romania</x:v>
      </x:c>
      <x:c r="C1340" s="2" t="n">
        <x:v>2020</x:v>
      </x:c>
      <x:c r="D1340" s="2" t="str">
        <x:v>OBAT_FOOTPRINT</x:v>
      </x:c>
      <x:c r="E1340" s="17" t="n">
        <x:v>1451492077.9900024</x:v>
      </x:c>
      <x:c r="F1340" s="17" t="n">
        <x:f>IF(AND(M1340,ISNUMBER(R1340)),IF(D1340="TEMPO_PROXY",R1340,IF(AND(ISNUMBER(S1340),S1340&gt;0,ISNUMBER(U1340)),U1340*R1340/S1340,"n.a.")),"n.a.")</x:f>
        <x:v>1456793007.0700023</x:v>
      </x:c>
      <x:c r="G1340" s="17" t="n">
        <x:f>IF(AND(ISNUMBER(E1340),ISNUMBER(F1340)),E1340-F1340,"n.a.")</x:f>
        <x:v>-5300929.079999924</x:v>
      </x:c>
      <x:c r="H1340" s="15" t="n">
        <x:f>IF(AND(ISNUMBER(E1340),ISNUMBER(F1340),F1340&gt;0),(E1340-F1340)/F1340,"n.a.")</x:f>
        <x:v>-0.003638766148844646</x:v>
      </x:c>
      <x:c r="I1340" s="19" t="n">
        <x:f>IF(ISNUMBER(H1340),ABS(H1340),"n.a.")</x:f>
        <x:v>0.003638766148844646</x:v>
      </x:c>
      <x:c r="J1340" s="2" t="str">
        <x:v>available</x:v>
      </x:c>
      <x:c r="K1340" s="2" t="n">
        <x:v>1</x:v>
      </x:c>
      <x:c r="L1340" s="13" t="b">
        <x:v>0</x:v>
      </x:c>
      <x:c r="M1340" s="13" t="b">
        <x:v>1</x:v>
      </x:c>
      <x:c r="N1340" s="2" t="str">
        <x:v>nominal2020; Overture geometry2024-07-22.0; height support2018</x:v>
      </x:c>
      <x:c r="O1340" s="2" t="str"/>
      <x:c r="P1340" s="2" t="str">
        <x:v>included-footprint horizontal area</x:v>
      </x:c>
      <x:c r="Q1340" s="2" t="str">
        <x:v>m2</x:v>
      </x:c>
      <x:c r="R1340" s="17" t="n">
        <x:v>1456793007.07</x:v>
      </x:c>
      <x:c r="S1340" s="17" t="n">
        <x:v>1451492077.99</x:v>
      </x:c>
      <x:c r="T1340" s="18" t="n">
        <x:v>1.0000000000000016</x:v>
      </x:c>
      <x:c r="U1340" s="17" t="n">
        <x:v>1451492077.9900024</x:v>
      </x:c>
      <x:c r="V1340" s="2" t="str">
        <x:v>Area equivalent = model2020 * OBAT footprint / TEMPO2020 footprint</x:v>
      </x:c>
      <x:c r="W1340" s="2" t="str">
        <x:v>qualified_source_frame_numeric_summary</x:v>
      </x:c>
      <x:c r="X1340" s="2" t="str">
        <x:v>https://data.jrc.ec.europa.eu/dataset/f41a22f1-5741-4c41-86eb-6384654f6927</x:v>
      </x:c>
    </x:row>
    <x:row r="1341" ht="23" customHeight="1">
      <x:c r="A1341" s="2" t="str">
        <x:v>RUS</x:v>
      </x:c>
      <x:c r="B1341" s="2" t="str">
        <x:v>Russian Federation</x:v>
      </x:c>
      <x:c r="C1341" s="2" t="n">
        <x:v>2020</x:v>
      </x:c>
      <x:c r="D1341" s="2" t="str">
        <x:v>OBAT_FOOTPRINT</x:v>
      </x:c>
      <x:c r="E1341" s="17" t="n">
        <x:v>7767687345.91001</x:v>
      </x:c>
      <x:c r="F1341" s="17" t="n">
        <x:f>IF(AND(M1341,ISNUMBER(R1341)),IF(D1341="TEMPO_PROXY",R1341,IF(AND(ISNUMBER(S1341),S1341&gt;0,ISNUMBER(U1341)),U1341*R1341/S1341,"n.a.")),"n.a.")</x:f>
        <x:v>8464695612.327066</x:v>
      </x:c>
      <x:c r="G1341" s="17" t="n">
        <x:f>IF(AND(ISNUMBER(E1341),ISNUMBER(F1341)),E1341-F1341,"n.a.")</x:f>
        <x:v>-697008266.4170561</x:v>
      </x:c>
      <x:c r="H1341" s="15" t="n">
        <x:f>IF(AND(ISNUMBER(E1341),ISNUMBER(F1341),F1341&gt;0),(E1341-F1341)/F1341,"n.a.")</x:f>
        <x:v>-0.08234298057947986</x:v>
      </x:c>
      <x:c r="I1341" s="19" t="n">
        <x:f>IF(ISNUMBER(H1341),ABS(H1341),"n.a.")</x:f>
        <x:v>0.08234298057947986</x:v>
      </x:c>
      <x:c r="J1341" s="2" t="str">
        <x:v>available</x:v>
      </x:c>
      <x:c r="K1341" s="2" t="n">
        <x:v>1</x:v>
      </x:c>
      <x:c r="L1341" s="13" t="b">
        <x:v>0</x:v>
      </x:c>
      <x:c r="M1341" s="13" t="b">
        <x:v>1</x:v>
      </x:c>
      <x:c r="N1341" s="2" t="str">
        <x:v>nominal2020; Overture geometry2024-07-22.0; height support2018</x:v>
      </x:c>
      <x:c r="O1341" s="2" t="str"/>
      <x:c r="P1341" s="2" t="str">
        <x:v>included-footprint horizontal area</x:v>
      </x:c>
      <x:c r="Q1341" s="2" t="str">
        <x:v>m2</x:v>
      </x:c>
      <x:c r="R1341" s="17" t="n">
        <x:v>8437665564.09001</x:v>
      </x:c>
      <x:c r="S1341" s="17" t="n">
        <x:v>7742883032.41</x:v>
      </x:c>
      <x:c r="T1341" s="18" t="n">
        <x:v>1.0032034984121787</x:v>
      </x:c>
      <x:c r="U1341" s="17" t="n">
        <x:v>7767687345.91001</x:v>
      </x:c>
      <x:c r="V1341" s="2" t="str">
        <x:v>Area equivalent = model2020 * OBAT footprint / TEMPO2020 footprint</x:v>
      </x:c>
      <x:c r="W1341" s="2" t="str">
        <x:v>qualified_source_frame_numeric_summary</x:v>
      </x:c>
      <x:c r="X1341" s="2" t="str">
        <x:v>https://data.jrc.ec.europa.eu/dataset/f41a22f1-5741-4c41-86eb-6384654f6927</x:v>
      </x:c>
    </x:row>
    <x:row r="1342" ht="23" customHeight="1">
      <x:c r="A1342" s="2" t="str">
        <x:v>RWA</x:v>
      </x:c>
      <x:c r="B1342" s="2" t="str">
        <x:v>Rwanda (Republic of)</x:v>
      </x:c>
      <x:c r="C1342" s="2" t="n">
        <x:v>2020</x:v>
      </x:c>
      <x:c r="D1342" s="2" t="str">
        <x:v>OBAT_FOOTPRINT</x:v>
      </x:c>
      <x:c r="E1342" s="17" t="n">
        <x:v>244877324.63000005</x:v>
      </x:c>
      <x:c r="F1342" s="17" t="n">
        <x:f>IF(AND(M1342,ISNUMBER(R1342)),IF(D1342="TEMPO_PROXY",R1342,IF(AND(ISNUMBER(S1342),S1342&gt;0,ISNUMBER(U1342)),U1342*R1342/S1342,"n.a.")),"n.a.")</x:f>
        <x:v>317131671.15000004</x:v>
      </x:c>
      <x:c r="G1342" s="17" t="n">
        <x:f>IF(AND(ISNUMBER(E1342),ISNUMBER(F1342)),E1342-F1342,"n.a.")</x:f>
        <x:v>-72254346.51999998</x:v>
      </x:c>
      <x:c r="H1342" s="15" t="n">
        <x:f>IF(AND(ISNUMBER(E1342),ISNUMBER(F1342),F1342&gt;0),(E1342-F1342)/F1342,"n.a.")</x:f>
        <x:v>-0.22783705663325066</x:v>
      </x:c>
      <x:c r="I1342" s="19" t="n">
        <x:f>IF(ISNUMBER(H1342),ABS(H1342),"n.a.")</x:f>
        <x:v>0.22783705663325066</x:v>
      </x:c>
      <x:c r="J1342" s="2" t="str">
        <x:v>available</x:v>
      </x:c>
      <x:c r="K1342" s="2" t="n">
        <x:v>1</x:v>
      </x:c>
      <x:c r="L1342" s="13" t="b">
        <x:v>0</x:v>
      </x:c>
      <x:c r="M1342" s="13" t="b">
        <x:v>1</x:v>
      </x:c>
      <x:c r="N1342" s="2" t="str">
        <x:v>nominal2020; Overture geometry2024-07-22.0; height support2018</x:v>
      </x:c>
      <x:c r="O1342" s="2" t="str"/>
      <x:c r="P1342" s="2" t="str">
        <x:v>included-footprint horizontal area</x:v>
      </x:c>
      <x:c r="Q1342" s="2" t="str">
        <x:v>m2</x:v>
      </x:c>
      <x:c r="R1342" s="17" t="n">
        <x:v>317131671.15</x:v>
      </x:c>
      <x:c r="S1342" s="17" t="n">
        <x:v>244877324.63</x:v>
      </x:c>
      <x:c r="T1342" s="18" t="n">
        <x:v>1.0000000000000002</x:v>
      </x:c>
      <x:c r="U1342" s="17" t="n">
        <x:v>244877324.63000005</x:v>
      </x:c>
      <x:c r="V1342" s="2" t="str">
        <x:v>Area equivalent = model2020 * OBAT footprint / TEMPO2020 footprint</x:v>
      </x:c>
      <x:c r="W1342" s="2" t="str">
        <x:v>qualified_source_frame_numeric_summary</x:v>
      </x:c>
      <x:c r="X1342" s="2" t="str">
        <x:v>https://data.jrc.ec.europa.eu/dataset/f41a22f1-5741-4c41-86eb-6384654f6927</x:v>
      </x:c>
    </x:row>
    <x:row r="1343" ht="23" customHeight="1">
      <x:c r="A1343" s="2" t="str">
        <x:v>SAU</x:v>
      </x:c>
      <x:c r="B1343" s="2" t="str">
        <x:v>Saudi Arabia (Kingdom of)</x:v>
      </x:c>
      <x:c r="C1343" s="2" t="n">
        <x:v>2020</x:v>
      </x:c>
      <x:c r="D1343" s="2" t="str">
        <x:v>OBAT_FOOTPRINT</x:v>
      </x:c>
      <x:c r="E1343" s="17" t="n">
        <x:v>1911722272.930002</x:v>
      </x:c>
      <x:c r="F1343" s="17" t="n">
        <x:f>IF(AND(M1343,ISNUMBER(R1343)),IF(D1343="TEMPO_PROXY",R1343,IF(AND(ISNUMBER(S1343),S1343&gt;0,ISNUMBER(U1343)),U1343*R1343/S1343,"n.a.")),"n.a.")</x:f>
        <x:v>1867798222.715842</x:v>
      </x:c>
      <x:c r="G1343" s="17" t="n">
        <x:f>IF(AND(ISNUMBER(E1343),ISNUMBER(F1343)),E1343-F1343,"n.a.")</x:f>
        <x:v>43924050.214159966</x:v>
      </x:c>
      <x:c r="H1343" s="15" t="n">
        <x:f>IF(AND(ISNUMBER(E1343),ISNUMBER(F1343),F1343&gt;0),(E1343-F1343)/F1343,"n.a.")</x:f>
        <x:v>0.02351648571026741</x:v>
      </x:c>
      <x:c r="I1343" s="19" t="n">
        <x:f>IF(ISNUMBER(H1343),ABS(H1343),"n.a.")</x:f>
        <x:v>0.02351648571026741</x:v>
      </x:c>
      <x:c r="J1343" s="2" t="str">
        <x:v>available</x:v>
      </x:c>
      <x:c r="K1343" s="2" t="n">
        <x:v>1</x:v>
      </x:c>
      <x:c r="L1343" s="13" t="b">
        <x:v>0</x:v>
      </x:c>
      <x:c r="M1343" s="13" t="b">
        <x:v>1</x:v>
      </x:c>
      <x:c r="N1343" s="2" t="str">
        <x:v>nominal2020; Overture geometry2024-07-22.0; height support2018</x:v>
      </x:c>
      <x:c r="O1343" s="2" t="str"/>
      <x:c r="P1343" s="2" t="str">
        <x:v>included-footprint horizontal area</x:v>
      </x:c>
      <x:c r="Q1343" s="2" t="str">
        <x:v>m2</x:v>
      </x:c>
      <x:c r="R1343" s="17" t="n">
        <x:v>1818101152.39</x:v>
      </x:c>
      <x:c r="S1343" s="17" t="n">
        <x:v>1860856502.16</x:v>
      </x:c>
      <x:c r="T1343" s="18" t="n">
        <x:v>1.02733460141121</x:v>
      </x:c>
      <x:c r="U1343" s="17" t="n">
        <x:v>1911722272.930002</x:v>
      </x:c>
      <x:c r="V1343" s="2" t="str">
        <x:v>Area equivalent = model2020 * OBAT footprint / TEMPO2020 footprint</x:v>
      </x:c>
      <x:c r="W1343" s="2" t="str">
        <x:v>qualified_source_frame_numeric_summary</x:v>
      </x:c>
      <x:c r="X1343" s="2" t="str">
        <x:v>https://data.jrc.ec.europa.eu/dataset/f41a22f1-5741-4c41-86eb-6384654f6927</x:v>
      </x:c>
    </x:row>
    <x:row r="1344" ht="23" customHeight="1">
      <x:c r="A1344" s="2" t="str">
        <x:v>SDN</x:v>
      </x:c>
      <x:c r="B1344" s="2" t="str">
        <x:v>Sudan (Republic of the)</x:v>
      </x:c>
      <x:c r="C1344" s="2" t="n">
        <x:v>2020</x:v>
      </x:c>
      <x:c r="D1344" s="2" t="str">
        <x:v>OBAT_FOOTPRINT</x:v>
      </x:c>
      <x:c r="E1344" s="17" t="n">
        <x:v>751311239.6000005</x:v>
      </x:c>
      <x:c r="F1344" s="17" t="n">
        <x:f>IF(AND(M1344,ISNUMBER(R1344)),IF(D1344="TEMPO_PROXY",R1344,IF(AND(ISNUMBER(S1344),S1344&gt;0,ISNUMBER(U1344)),U1344*R1344/S1344,"n.a.")),"n.a.")</x:f>
        <x:v>819775308.3000005</x:v>
      </x:c>
      <x:c r="G1344" s="17" t="n">
        <x:f>IF(AND(ISNUMBER(E1344),ISNUMBER(F1344)),E1344-F1344,"n.a.")</x:f>
        <x:v>-68464068.70000005</x:v>
      </x:c>
      <x:c r="H1344" s="15" t="n">
        <x:f>IF(AND(ISNUMBER(E1344),ISNUMBER(F1344),F1344&gt;0),(E1344-F1344)/F1344,"n.a.")</x:f>
        <x:v>-0.08351565118736817</x:v>
      </x:c>
      <x:c r="I1344" s="19" t="n">
        <x:f>IF(ISNUMBER(H1344),ABS(H1344),"n.a.")</x:f>
        <x:v>0.08351565118736817</x:v>
      </x:c>
      <x:c r="J1344" s="2" t="str">
        <x:v>available</x:v>
      </x:c>
      <x:c r="K1344" s="2" t="n">
        <x:v>1</x:v>
      </x:c>
      <x:c r="L1344" s="13" t="b">
        <x:v>0</x:v>
      </x:c>
      <x:c r="M1344" s="13" t="b">
        <x:v>1</x:v>
      </x:c>
      <x:c r="N1344" s="2" t="str">
        <x:v>nominal2020; Overture geometry2024-07-22.0; height support2018</x:v>
      </x:c>
      <x:c r="O1344" s="2" t="str"/>
      <x:c r="P1344" s="2" t="str">
        <x:v>included-footprint horizontal area</x:v>
      </x:c>
      <x:c r="Q1344" s="2" t="str">
        <x:v>m2</x:v>
      </x:c>
      <x:c r="R1344" s="17" t="n">
        <x:v>819775308.3000001</x:v>
      </x:c>
      <x:c r="S1344" s="17" t="n">
        <x:v>751311239.6</x:v>
      </x:c>
      <x:c r="T1344" s="18" t="n">
        <x:v>1.0000000000000007</x:v>
      </x:c>
      <x:c r="U1344" s="17" t="n">
        <x:v>751311239.6000005</x:v>
      </x:c>
      <x:c r="V1344" s="2" t="str">
        <x:v>Area equivalent = model2020 * OBAT footprint / TEMPO2020 footprint</x:v>
      </x:c>
      <x:c r="W1344" s="2" t="str">
        <x:v>qualified_source_frame_numeric_summary</x:v>
      </x:c>
      <x:c r="X1344" s="2" t="str">
        <x:v>https://data.jrc.ec.europa.eu/dataset/f41a22f1-5741-4c41-86eb-6384654f6927</x:v>
      </x:c>
    </x:row>
    <x:row r="1345" ht="23" customHeight="1">
      <x:c r="A1345" s="2" t="str">
        <x:v>SEN</x:v>
      </x:c>
      <x:c r="B1345" s="2" t="str">
        <x:v>Senegal (Republic of)</x:v>
      </x:c>
      <x:c r="C1345" s="2" t="n">
        <x:v>2020</x:v>
      </x:c>
      <x:c r="D1345" s="2" t="str">
        <x:v>OBAT_FOOTPRINT</x:v>
      </x:c>
      <x:c r="E1345" s="17" t="n">
        <x:v>305052833.6899998</x:v>
      </x:c>
      <x:c r="F1345" s="17" t="n">
        <x:f>IF(AND(M1345,ISNUMBER(R1345)),IF(D1345="TEMPO_PROXY",R1345,IF(AND(ISNUMBER(S1345),S1345&gt;0,ISNUMBER(U1345)),U1345*R1345/S1345,"n.a.")),"n.a.")</x:f>
        <x:v>350994647.35999984</x:v>
      </x:c>
      <x:c r="G1345" s="17" t="n">
        <x:f>IF(AND(ISNUMBER(E1345),ISNUMBER(F1345)),E1345-F1345,"n.a.")</x:f>
        <x:v>-45941813.67000002</x:v>
      </x:c>
      <x:c r="H1345" s="15" t="n">
        <x:f>IF(AND(ISNUMBER(E1345),ISNUMBER(F1345),F1345&gt;0),(E1345-F1345)/F1345,"n.a.")</x:f>
        <x:v>-0.13089035407106797</x:v>
      </x:c>
      <x:c r="I1345" s="19" t="n">
        <x:f>IF(ISNUMBER(H1345),ABS(H1345),"n.a.")</x:f>
        <x:v>0.13089035407106797</x:v>
      </x:c>
      <x:c r="J1345" s="2" t="str">
        <x:v>available</x:v>
      </x:c>
      <x:c r="K1345" s="2" t="n">
        <x:v>1</x:v>
      </x:c>
      <x:c r="L1345" s="13" t="b">
        <x:v>0</x:v>
      </x:c>
      <x:c r="M1345" s="13" t="b">
        <x:v>1</x:v>
      </x:c>
      <x:c r="N1345" s="2" t="str">
        <x:v>nominal2020; Overture geometry2024-07-22.0; height support2018</x:v>
      </x:c>
      <x:c r="O1345" s="2" t="str"/>
      <x:c r="P1345" s="2" t="str">
        <x:v>included-footprint horizontal area</x:v>
      </x:c>
      <x:c r="Q1345" s="2" t="str">
        <x:v>m2</x:v>
      </x:c>
      <x:c r="R1345" s="17" t="n">
        <x:v>350994647.36</x:v>
      </x:c>
      <x:c r="S1345" s="17" t="n">
        <x:v>305052833.69</x:v>
      </x:c>
      <x:c r="T1345" s="18" t="n">
        <x:v>0.9999999999999994</x:v>
      </x:c>
      <x:c r="U1345" s="17" t="n">
        <x:v>305052833.6899998</x:v>
      </x:c>
      <x:c r="V1345" s="2" t="str">
        <x:v>Area equivalent = model2020 * OBAT footprint / TEMPO2020 footprint</x:v>
      </x:c>
      <x:c r="W1345" s="2" t="str">
        <x:v>qualified_source_frame_numeric_summary</x:v>
      </x:c>
      <x:c r="X1345" s="2" t="str">
        <x:v>https://data.jrc.ec.europa.eu/dataset/f41a22f1-5741-4c41-86eb-6384654f6927</x:v>
      </x:c>
    </x:row>
    <x:row r="1346" ht="23" customHeight="1">
      <x:c r="A1346" s="2" t="str">
        <x:v>SGP</x:v>
      </x:c>
      <x:c r="B1346" s="2" t="str">
        <x:v>Singapore (Republic of)</x:v>
      </x:c>
      <x:c r="C1346" s="2" t="n">
        <x:v>2020</x:v>
      </x:c>
      <x:c r="D1346" s="2" t="str">
        <x:v>OBAT_FOOTPRINT</x:v>
      </x:c>
      <x:c r="E1346" s="17" t="n">
        <x:v>194662203.04</x:v>
      </x:c>
      <x:c r="F1346" s="17" t="n">
        <x:f>IF(AND(M1346,ISNUMBER(R1346)),IF(D1346="TEMPO_PROXY",R1346,IF(AND(ISNUMBER(S1346),S1346&gt;0,ISNUMBER(U1346)),U1346*R1346/S1346,"n.a.")),"n.a.")</x:f>
        <x:v>249741194.39592195</x:v>
      </x:c>
      <x:c r="G1346" s="17" t="n">
        <x:f>IF(AND(ISNUMBER(E1346),ISNUMBER(F1346)),E1346-F1346,"n.a.")</x:f>
        <x:v>-55078991.355921954</x:v>
      </x:c>
      <x:c r="H1346" s="15" t="n">
        <x:f>IF(AND(ISNUMBER(E1346),ISNUMBER(F1346),F1346&gt;0),(E1346-F1346)/F1346,"n.a.")</x:f>
        <x:v>-0.22054427780385977</x:v>
      </x:c>
      <x:c r="I1346" s="19" t="n">
        <x:f>IF(ISNUMBER(H1346),ABS(H1346),"n.a.")</x:f>
        <x:v>0.22054427780385977</x:v>
      </x:c>
      <x:c r="J1346" s="2" t="str">
        <x:v>available</x:v>
      </x:c>
      <x:c r="K1346" s="2" t="n">
        <x:v>1</x:v>
      </x:c>
      <x:c r="L1346" s="13" t="b">
        <x:v>0</x:v>
      </x:c>
      <x:c r="M1346" s="13" t="b">
        <x:v>1</x:v>
      </x:c>
      <x:c r="N1346" s="2" t="str">
        <x:v>nominal2020; Overture geometry2024-07-22.0; height support2018</x:v>
      </x:c>
      <x:c r="O1346" s="2" t="str"/>
      <x:c r="P1346" s="2" t="str">
        <x:v>included-footprint horizontal area</x:v>
      </x:c>
      <x:c r="Q1346" s="2" t="str">
        <x:v>m2</x:v>
      </x:c>
      <x:c r="R1346" s="17" t="n">
        <x:v>110177113.91999999</x:v>
      </x:c>
      <x:c r="S1346" s="17" t="n">
        <x:v>85878181.9</x:v>
      </x:c>
      <x:c r="T1346" s="18" t="n">
        <x:v>2.266724780767628</x:v>
      </x:c>
      <x:c r="U1346" s="17" t="n">
        <x:v>194662203.04</x:v>
      </x:c>
      <x:c r="V1346" s="2" t="str">
        <x:v>Area equivalent = model2020 * OBAT footprint / TEMPO2020 footprint</x:v>
      </x:c>
      <x:c r="W1346" s="2" t="str">
        <x:v>qualified_source_frame_numeric_summary</x:v>
      </x:c>
      <x:c r="X1346" s="2" t="str">
        <x:v>https://data.jrc.ec.europa.eu/dataset/f41a22f1-5741-4c41-86eb-6384654f6927</x:v>
      </x:c>
    </x:row>
    <x:row r="1347" ht="23" customHeight="1">
      <x:c r="A1347" s="2" t="str">
        <x:v>SLB</x:v>
      </x:c>
      <x:c r="B1347" s="2" t="str">
        <x:v>Solomon Islands</x:v>
      </x:c>
      <x:c r="C1347" s="2" t="n">
        <x:v>2020</x:v>
      </x:c>
      <x:c r="D1347" s="2" t="str">
        <x:v>OBAT_FOOTPRINT</x:v>
      </x:c>
      <x:c r="E1347" s="17" t="n">
        <x:v>14438629.189999975</x:v>
      </x:c>
      <x:c r="F1347" s="17" t="n">
        <x:f>IF(AND(M1347,ISNUMBER(R1347)),IF(D1347="TEMPO_PROXY",R1347,IF(AND(ISNUMBER(S1347),S1347&gt;0,ISNUMBER(U1347)),U1347*R1347/S1347,"n.a.")),"n.a.")</x:f>
        <x:v>7219741.050000008</x:v>
      </x:c>
      <x:c r="G1347" s="17" t="n">
        <x:f>IF(AND(ISNUMBER(E1347),ISNUMBER(F1347)),E1347-F1347,"n.a.")</x:f>
        <x:v>7218888.139999967</x:v>
      </x:c>
      <x:c r="H1347" s="15" t="n">
        <x:f>IF(AND(ISNUMBER(E1347),ISNUMBER(F1347),F1347&gt;0),(E1347-F1347)/F1347,"n.a.")</x:f>
        <x:v>0.999881864184029</x:v>
      </x:c>
      <x:c r="I1347" s="19" t="n">
        <x:f>IF(ISNUMBER(H1347),ABS(H1347),"n.a.")</x:f>
        <x:v>0.999881864184029</x:v>
      </x:c>
      <x:c r="J1347" s="2" t="str">
        <x:v>available</x:v>
      </x:c>
      <x:c r="K1347" s="2" t="n">
        <x:v>1</x:v>
      </x:c>
      <x:c r="L1347" s="13" t="b">
        <x:v>0</x:v>
      </x:c>
      <x:c r="M1347" s="13" t="b">
        <x:v>1</x:v>
      </x:c>
      <x:c r="N1347" s="2" t="str">
        <x:v>nominal2020; Overture geometry2024-07-22.0; height support2018</x:v>
      </x:c>
      <x:c r="O1347" s="2" t="str"/>
      <x:c r="P1347" s="2" t="str">
        <x:v>included-footprint horizontal area</x:v>
      </x:c>
      <x:c r="Q1347" s="2" t="str">
        <x:v>m2</x:v>
      </x:c>
      <x:c r="R1347" s="17" t="n">
        <x:v>7219741.05000002</x:v>
      </x:c>
      <x:c r="S1347" s="17" t="n">
        <x:v>14438629.19</x:v>
      </x:c>
      <x:c r="T1347" s="18" t="n">
        <x:v>0.9999999999999983</x:v>
      </x:c>
      <x:c r="U1347" s="17" t="n">
        <x:v>14438629.189999975</x:v>
      </x:c>
      <x:c r="V1347" s="2" t="str">
        <x:v>Area equivalent = model2020 * OBAT footprint / TEMPO2020 footprint</x:v>
      </x:c>
      <x:c r="W1347" s="2" t="str">
        <x:v>qualified_source_frame_numeric_summary</x:v>
      </x:c>
      <x:c r="X1347" s="2" t="str">
        <x:v>https://data.jrc.ec.europa.eu/dataset/f41a22f1-5741-4c41-86eb-6384654f6927</x:v>
      </x:c>
    </x:row>
    <x:row r="1348" ht="23" customHeight="1">
      <x:c r="A1348" s="2" t="str">
        <x:v>SLE</x:v>
      </x:c>
      <x:c r="B1348" s="2" t="str">
        <x:v>Sierra Leone (Republic of)</x:v>
      </x:c>
      <x:c r="C1348" s="2" t="n">
        <x:v>2020</x:v>
      </x:c>
      <x:c r="D1348" s="2" t="str">
        <x:v>OBAT_FOOTPRINT</x:v>
      </x:c>
      <x:c r="E1348" s="17" t="n">
        <x:v>115259924.94999996</x:v>
      </x:c>
      <x:c r="F1348" s="17" t="n">
        <x:f>IF(AND(M1348,ISNUMBER(R1348)),IF(D1348="TEMPO_PROXY",R1348,IF(AND(ISNUMBER(S1348),S1348&gt;0,ISNUMBER(U1348)),U1348*R1348/S1348,"n.a.")),"n.a.")</x:f>
        <x:v>128927133.19999994</x:v>
      </x:c>
      <x:c r="G1348" s="17" t="n">
        <x:f>IF(AND(ISNUMBER(E1348),ISNUMBER(F1348)),E1348-F1348,"n.a.")</x:f>
        <x:v>-13667208.249999985</x:v>
      </x:c>
      <x:c r="H1348" s="15" t="n">
        <x:f>IF(AND(ISNUMBER(E1348),ISNUMBER(F1348),F1348&gt;0),(E1348-F1348)/F1348,"n.a.")</x:f>
        <x:v>-0.10600722990403072</x:v>
      </x:c>
      <x:c r="I1348" s="19" t="n">
        <x:f>IF(ISNUMBER(H1348),ABS(H1348),"n.a.")</x:f>
        <x:v>0.10600722990403072</x:v>
      </x:c>
      <x:c r="J1348" s="2" t="str">
        <x:v>available</x:v>
      </x:c>
      <x:c r="K1348" s="2" t="n">
        <x:v>1</x:v>
      </x:c>
      <x:c r="L1348" s="13" t="b">
        <x:v>0</x:v>
      </x:c>
      <x:c r="M1348" s="13" t="b">
        <x:v>1</x:v>
      </x:c>
      <x:c r="N1348" s="2" t="str">
        <x:v>nominal2020; Overture geometry2024-07-22.0; height support2018</x:v>
      </x:c>
      <x:c r="O1348" s="2" t="str"/>
      <x:c r="P1348" s="2" t="str">
        <x:v>included-footprint horizontal area</x:v>
      </x:c>
      <x:c r="Q1348" s="2" t="str">
        <x:v>m2</x:v>
      </x:c>
      <x:c r="R1348" s="17" t="n">
        <x:v>128927133.2</x:v>
      </x:c>
      <x:c r="S1348" s="17" t="n">
        <x:v>115259924.95</x:v>
      </x:c>
      <x:c r="T1348" s="18" t="n">
        <x:v>0.9999999999999997</x:v>
      </x:c>
      <x:c r="U1348" s="17" t="n">
        <x:v>115259924.94999996</x:v>
      </x:c>
      <x:c r="V1348" s="2" t="str">
        <x:v>Area equivalent = model2020 * OBAT footprint / TEMPO2020 footprint</x:v>
      </x:c>
      <x:c r="W1348" s="2" t="str">
        <x:v>qualified_source_frame_numeric_summary</x:v>
      </x:c>
      <x:c r="X1348" s="2" t="str">
        <x:v>https://data.jrc.ec.europa.eu/dataset/f41a22f1-5741-4c41-86eb-6384654f6927</x:v>
      </x:c>
    </x:row>
    <x:row r="1349" ht="23" customHeight="1">
      <x:c r="A1349" s="2" t="str">
        <x:v>SLV</x:v>
      </x:c>
      <x:c r="B1349" s="2" t="str">
        <x:v>El Salvador (Republic of)</x:v>
      </x:c>
      <x:c r="C1349" s="2" t="n">
        <x:v>2020</x:v>
      </x:c>
      <x:c r="D1349" s="2" t="str">
        <x:v>OBAT_FOOTPRINT</x:v>
      </x:c>
      <x:c r="E1349" s="17" t="n">
        <x:v>245414047.01000017</x:v>
      </x:c>
      <x:c r="F1349" s="17" t="n">
        <x:f>IF(AND(M1349,ISNUMBER(R1349)),IF(D1349="TEMPO_PROXY",R1349,IF(AND(ISNUMBER(S1349),S1349&gt;0,ISNUMBER(U1349)),U1349*R1349/S1349,"n.a.")),"n.a.")</x:f>
        <x:v>264306520.7600002</x:v>
      </x:c>
      <x:c r="G1349" s="17" t="n">
        <x:f>IF(AND(ISNUMBER(E1349),ISNUMBER(F1349)),E1349-F1349,"n.a.")</x:f>
        <x:v>-18892473.75000003</x:v>
      </x:c>
      <x:c r="H1349" s="15" t="n">
        <x:f>IF(AND(ISNUMBER(E1349),ISNUMBER(F1349),F1349&gt;0),(E1349-F1349)/F1349,"n.a.")</x:f>
        <x:v>-0.07147940843712695</x:v>
      </x:c>
      <x:c r="I1349" s="19" t="n">
        <x:f>IF(ISNUMBER(H1349),ABS(H1349),"n.a.")</x:f>
        <x:v>0.07147940843712695</x:v>
      </x:c>
      <x:c r="J1349" s="2" t="str">
        <x:v>available</x:v>
      </x:c>
      <x:c r="K1349" s="2" t="n">
        <x:v>1</x:v>
      </x:c>
      <x:c r="L1349" s="13" t="b">
        <x:v>0</x:v>
      </x:c>
      <x:c r="M1349" s="13" t="b">
        <x:v>1</x:v>
      </x:c>
      <x:c r="N1349" s="2" t="str">
        <x:v>nominal2020; Overture geometry2024-07-22.0; height support2018</x:v>
      </x:c>
      <x:c r="O1349" s="2" t="str"/>
      <x:c r="P1349" s="2" t="str">
        <x:v>included-footprint horizontal area</x:v>
      </x:c>
      <x:c r="Q1349" s="2" t="str">
        <x:v>m2</x:v>
      </x:c>
      <x:c r="R1349" s="17" t="n">
        <x:v>264306520.76</x:v>
      </x:c>
      <x:c r="S1349" s="17" t="n">
        <x:v>245414047.01</x:v>
      </x:c>
      <x:c r="T1349" s="18" t="n">
        <x:v>1.0000000000000007</x:v>
      </x:c>
      <x:c r="U1349" s="17" t="n">
        <x:v>245414047.01000017</x:v>
      </x:c>
      <x:c r="V1349" s="2" t="str">
        <x:v>Area equivalent = model2020 * OBAT footprint / TEMPO2020 footprint</x:v>
      </x:c>
      <x:c r="W1349" s="2" t="str">
        <x:v>qualified_source_frame_numeric_summary</x:v>
      </x:c>
      <x:c r="X1349" s="2" t="str">
        <x:v>https://data.jrc.ec.europa.eu/dataset/f41a22f1-5741-4c41-86eb-6384654f6927</x:v>
      </x:c>
    </x:row>
    <x:row r="1350" ht="23" customHeight="1">
      <x:c r="A1350" s="2" t="str">
        <x:v>SMR</x:v>
      </x:c>
      <x:c r="B1350" s="2" t="str">
        <x:v>San Marino (Republic of)</x:v>
      </x:c>
      <x:c r="C1350" s="2" t="n">
        <x:v>2020</x:v>
      </x:c>
      <x:c r="D1350" s="2" t="str">
        <x:v>OBAT_FOOTPRINT</x:v>
      </x:c>
      <x:c r="E1350" s="17" t="n">
        <x:v>3030681.630000002</x:v>
      </x:c>
      <x:c r="F1350" s="17" t="n">
        <x:f>IF(AND(M1350,ISNUMBER(R1350)),IF(D1350="TEMPO_PROXY",R1350,IF(AND(ISNUMBER(S1350),S1350&gt;0,ISNUMBER(U1350)),U1350*R1350/S1350,"n.a.")),"n.a.")</x:f>
        <x:v>2977827.9709941577</x:v>
      </x:c>
      <x:c r="G1350" s="17" t="n">
        <x:f>IF(AND(ISNUMBER(E1350),ISNUMBER(F1350)),E1350-F1350,"n.a.")</x:f>
        <x:v>52853.6590058445</x:v>
      </x:c>
      <x:c r="H1350" s="15" t="n">
        <x:f>IF(AND(ISNUMBER(E1350),ISNUMBER(F1350),F1350&gt;0),(E1350-F1350)/F1350,"n.a.")</x:f>
        <x:v>0.017749063921983086</x:v>
      </x:c>
      <x:c r="I1350" s="19" t="n">
        <x:f>IF(ISNUMBER(H1350),ABS(H1350),"n.a.")</x:f>
        <x:v>0.017749063921983086</x:v>
      </x:c>
      <x:c r="J1350" s="2" t="str">
        <x:v>available</x:v>
      </x:c>
      <x:c r="K1350" s="2" t="n">
        <x:v>1</x:v>
      </x:c>
      <x:c r="L1350" s="13" t="b">
        <x:v>0</x:v>
      </x:c>
      <x:c r="M1350" s="13" t="b">
        <x:v>1</x:v>
      </x:c>
      <x:c r="N1350" s="2" t="str">
        <x:v>nominal2020; Overture geometry2024-07-22.0; height support2018</x:v>
      </x:c>
      <x:c r="O1350" s="2" t="str"/>
      <x:c r="P1350" s="2" t="str">
        <x:v>included-footprint horizontal area</x:v>
      </x:c>
      <x:c r="Q1350" s="2" t="str">
        <x:v>m2</x:v>
      </x:c>
      <x:c r="R1350" s="17" t="n">
        <x:v>2648523.9000000004</x:v>
      </x:c>
      <x:c r="S1350" s="17" t="n">
        <x:v>2695532.72</x:v>
      </x:c>
      <x:c r="T1350" s="18" t="n">
        <x:v>1.1243349440774</x:v>
      </x:c>
      <x:c r="U1350" s="17" t="n">
        <x:v>3030681.630000002</x:v>
      </x:c>
      <x:c r="V1350" s="2" t="str">
        <x:v>Area equivalent = model2020 * OBAT footprint / TEMPO2020 footprint</x:v>
      </x:c>
      <x:c r="W1350" s="2" t="str">
        <x:v>qualified_source_frame_numeric_summary</x:v>
      </x:c>
      <x:c r="X1350" s="2" t="str">
        <x:v>https://data.jrc.ec.europa.eu/dataset/f41a22f1-5741-4c41-86eb-6384654f6927</x:v>
      </x:c>
    </x:row>
    <x:row r="1351" ht="23" customHeight="1">
      <x:c r="A1351" s="2" t="str">
        <x:v>SOM</x:v>
      </x:c>
      <x:c r="B1351" s="2" t="str">
        <x:v>Somalia (Federal Republic of)</x:v>
      </x:c>
      <x:c r="C1351" s="2" t="n">
        <x:v>2020</x:v>
      </x:c>
      <x:c r="D1351" s="2" t="str">
        <x:v>OBAT_FOOTPRINT</x:v>
      </x:c>
      <x:c r="E1351" s="17" t="n">
        <x:v>134848326.33000013</x:v>
      </x:c>
      <x:c r="F1351" s="17" t="n">
        <x:f>IF(AND(M1351,ISNUMBER(R1351)),IF(D1351="TEMPO_PROXY",R1351,IF(AND(ISNUMBER(S1351),S1351&gt;0,ISNUMBER(U1351)),U1351*R1351/S1351,"n.a.")),"n.a.")</x:f>
        <x:v>149450157.17000017</x:v>
      </x:c>
      <x:c r="G1351" s="17" t="n">
        <x:f>IF(AND(ISNUMBER(E1351),ISNUMBER(F1351)),E1351-F1351,"n.a.")</x:f>
        <x:v>-14601830.840000033</x:v>
      </x:c>
      <x:c r="H1351" s="15" t="n">
        <x:f>IF(AND(ISNUMBER(E1351),ISNUMBER(F1351),F1351&gt;0),(E1351-F1351)/F1351,"n.a.")</x:f>
        <x:v>-0.09770368339854198</x:v>
      </x:c>
      <x:c r="I1351" s="19" t="n">
        <x:f>IF(ISNUMBER(H1351),ABS(H1351),"n.a.")</x:f>
        <x:v>0.09770368339854198</x:v>
      </x:c>
      <x:c r="J1351" s="2" t="str">
        <x:v>available</x:v>
      </x:c>
      <x:c r="K1351" s="2" t="n">
        <x:v>1</x:v>
      </x:c>
      <x:c r="L1351" s="13" t="b">
        <x:v>0</x:v>
      </x:c>
      <x:c r="M1351" s="13" t="b">
        <x:v>1</x:v>
      </x:c>
      <x:c r="N1351" s="2" t="str">
        <x:v>nominal2020; Overture geometry2024-07-22.0; height support2018</x:v>
      </x:c>
      <x:c r="O1351" s="2" t="str"/>
      <x:c r="P1351" s="2" t="str">
        <x:v>included-footprint horizontal area</x:v>
      </x:c>
      <x:c r="Q1351" s="2" t="str">
        <x:v>m2</x:v>
      </x:c>
      <x:c r="R1351" s="17" t="n">
        <x:v>149450157.17000002</x:v>
      </x:c>
      <x:c r="S1351" s="17" t="n">
        <x:v>134848326.33</x:v>
      </x:c>
      <x:c r="T1351" s="18" t="n">
        <x:v>1.0000000000000009</x:v>
      </x:c>
      <x:c r="U1351" s="17" t="n">
        <x:v>134848326.33000013</x:v>
      </x:c>
      <x:c r="V1351" s="2" t="str">
        <x:v>Area equivalent = model2020 * OBAT footprint / TEMPO2020 footprint</x:v>
      </x:c>
      <x:c r="W1351" s="2" t="str">
        <x:v>qualified_source_frame_numeric_summary</x:v>
      </x:c>
      <x:c r="X1351" s="2" t="str">
        <x:v>https://data.jrc.ec.europa.eu/dataset/f41a22f1-5741-4c41-86eb-6384654f6927</x:v>
      </x:c>
    </x:row>
    <x:row r="1352" ht="23" customHeight="1">
      <x:c r="A1352" s="2" t="str">
        <x:v>SRB</x:v>
      </x:c>
      <x:c r="B1352" s="2" t="str">
        <x:v>Serbia (Republic of)</x:v>
      </x:c>
      <x:c r="C1352" s="2" t="n">
        <x:v>2020</x:v>
      </x:c>
      <x:c r="D1352" s="2" t="str">
        <x:v>OBAT_FOOTPRINT</x:v>
      </x:c>
      <x:c r="E1352" s="17" t="n">
        <x:v>584520286.2100008</x:v>
      </x:c>
      <x:c r="F1352" s="17" t="n">
        <x:f>IF(AND(M1352,ISNUMBER(R1352)),IF(D1352="TEMPO_PROXY",R1352,IF(AND(ISNUMBER(S1352),S1352&gt;0,ISNUMBER(U1352)),U1352*R1352/S1352,"n.a.")),"n.a.")</x:f>
        <x:v>581521029.3000007</x:v>
      </x:c>
      <x:c r="G1352" s="17" t="n">
        <x:f>IF(AND(ISNUMBER(E1352),ISNUMBER(F1352)),E1352-F1352,"n.a.")</x:f>
        <x:v>2999256.910000086</x:v>
      </x:c>
      <x:c r="H1352" s="15" t="n">
        <x:f>IF(AND(ISNUMBER(E1352),ISNUMBER(F1352),F1352&gt;0),(E1352-F1352)/F1352,"n.a.")</x:f>
        <x:v>0.005157606963260481</x:v>
      </x:c>
      <x:c r="I1352" s="19" t="n">
        <x:f>IF(ISNUMBER(H1352),ABS(H1352),"n.a.")</x:f>
        <x:v>0.005157606963260481</x:v>
      </x:c>
      <x:c r="J1352" s="2" t="str">
        <x:v>available</x:v>
      </x:c>
      <x:c r="K1352" s="2" t="n">
        <x:v>1</x:v>
      </x:c>
      <x:c r="L1352" s="13" t="b">
        <x:v>0</x:v>
      </x:c>
      <x:c r="M1352" s="13" t="b">
        <x:v>1</x:v>
      </x:c>
      <x:c r="N1352" s="2" t="str">
        <x:v>nominal2020; Overture geometry2024-07-22.0; height support2018</x:v>
      </x:c>
      <x:c r="O1352" s="2" t="str"/>
      <x:c r="P1352" s="2" t="str">
        <x:v>included-footprint horizontal area</x:v>
      </x:c>
      <x:c r="Q1352" s="2" t="str">
        <x:v>m2</x:v>
      </x:c>
      <x:c r="R1352" s="17" t="n">
        <x:v>581521029.3</x:v>
      </x:c>
      <x:c r="S1352" s="17" t="n">
        <x:v>584520286.21</x:v>
      </x:c>
      <x:c r="T1352" s="18" t="n">
        <x:v>1.0000000000000013</x:v>
      </x:c>
      <x:c r="U1352" s="17" t="n">
        <x:v>584520286.2100008</x:v>
      </x:c>
      <x:c r="V1352" s="2" t="str">
        <x:v>Area equivalent = model2020 * OBAT footprint / TEMPO2020 footprint</x:v>
      </x:c>
      <x:c r="W1352" s="2" t="str">
        <x:v>qualified_source_frame_numeric_summary</x:v>
      </x:c>
      <x:c r="X1352" s="2" t="str">
        <x:v>https://data.jrc.ec.europa.eu/dataset/f41a22f1-5741-4c41-86eb-6384654f6927</x:v>
      </x:c>
    </x:row>
    <x:row r="1353" ht="23" customHeight="1">
      <x:c r="A1353" s="2" t="str">
        <x:v>SSD</x:v>
      </x:c>
      <x:c r="B1353" s="2" t="str">
        <x:v>South Sudan (Republic of)</x:v>
      </x:c>
      <x:c r="C1353" s="2" t="n">
        <x:v>2020</x:v>
      </x:c>
      <x:c r="D1353" s="2" t="str">
        <x:v>OBAT_FOOTPRINT</x:v>
      </x:c>
      <x:c r="E1353" s="17" t="n">
        <x:v>82483216.59000005</x:v>
      </x:c>
      <x:c r="F1353" s="17" t="n">
        <x:f>IF(AND(M1353,ISNUMBER(R1353)),IF(D1353="TEMPO_PROXY",R1353,IF(AND(ISNUMBER(S1353),S1353&gt;0,ISNUMBER(U1353)),U1353*R1353/S1353,"n.a.")),"n.a.")</x:f>
        <x:v>106825993.80000006</x:v>
      </x:c>
      <x:c r="G1353" s="17" t="n">
        <x:f>IF(AND(ISNUMBER(E1353),ISNUMBER(F1353)),E1353-F1353,"n.a.")</x:f>
        <x:v>-24342777.21000001</x:v>
      </x:c>
      <x:c r="H1353" s="15" t="n">
        <x:f>IF(AND(ISNUMBER(E1353),ISNUMBER(F1353),F1353&gt;0),(E1353-F1353)/F1353,"n.a.")</x:f>
        <x:v>-0.22787316405007782</x:v>
      </x:c>
      <x:c r="I1353" s="19" t="n">
        <x:f>IF(ISNUMBER(H1353),ABS(H1353),"n.a.")</x:f>
        <x:v>0.22787316405007782</x:v>
      </x:c>
      <x:c r="J1353" s="2" t="str">
        <x:v>available</x:v>
      </x:c>
      <x:c r="K1353" s="2" t="n">
        <x:v>1</x:v>
      </x:c>
      <x:c r="L1353" s="13" t="b">
        <x:v>0</x:v>
      </x:c>
      <x:c r="M1353" s="13" t="b">
        <x:v>1</x:v>
      </x:c>
      <x:c r="N1353" s="2" t="str">
        <x:v>nominal2020; Overture geometry2024-07-22.0; height support2018</x:v>
      </x:c>
      <x:c r="O1353" s="2" t="str"/>
      <x:c r="P1353" s="2" t="str">
        <x:v>included-footprint horizontal area</x:v>
      </x:c>
      <x:c r="Q1353" s="2" t="str">
        <x:v>m2</x:v>
      </x:c>
      <x:c r="R1353" s="17" t="n">
        <x:v>106825993.8</x:v>
      </x:c>
      <x:c r="S1353" s="17" t="n">
        <x:v>82483216.59</x:v>
      </x:c>
      <x:c r="T1353" s="18" t="n">
        <x:v>1.0000000000000004</x:v>
      </x:c>
      <x:c r="U1353" s="17" t="n">
        <x:v>82483216.59000005</x:v>
      </x:c>
      <x:c r="V1353" s="2" t="str">
        <x:v>Area equivalent = model2020 * OBAT footprint / TEMPO2020 footprint</x:v>
      </x:c>
      <x:c r="W1353" s="2" t="str">
        <x:v>qualified_source_frame_numeric_summary</x:v>
      </x:c>
      <x:c r="X1353" s="2" t="str">
        <x:v>https://data.jrc.ec.europa.eu/dataset/f41a22f1-5741-4c41-86eb-6384654f6927</x:v>
      </x:c>
    </x:row>
    <x:row r="1354" ht="23" customHeight="1">
      <x:c r="A1354" s="2" t="str">
        <x:v>STP</x:v>
      </x:c>
      <x:c r="B1354" s="2" t="str">
        <x:v>Sao Tome and Principe (Democratic Republic of)</x:v>
      </x:c>
      <x:c r="C1354" s="2" t="n">
        <x:v>2020</x:v>
      </x:c>
      <x:c r="D1354" s="2" t="str">
        <x:v>OBAT_FOOTPRINT</x:v>
      </x:c>
      <x:c r="E1354" s="17" t="n">
        <x:v>6153544.550000003</x:v>
      </x:c>
      <x:c r="F1354" s="17" t="n">
        <x:f>IF(AND(M1354,ISNUMBER(R1354)),IF(D1354="TEMPO_PROXY",R1354,IF(AND(ISNUMBER(S1354),S1354&gt;0,ISNUMBER(U1354)),U1354*R1354/S1354,"n.a.")),"n.a.")</x:f>
        <x:v>6291892.260000003</x:v>
      </x:c>
      <x:c r="G1354" s="17" t="n">
        <x:f>IF(AND(ISNUMBER(E1354),ISNUMBER(F1354)),E1354-F1354,"n.a.")</x:f>
        <x:v>-138347.70999999996</x:v>
      </x:c>
      <x:c r="H1354" s="15" t="n">
        <x:f>IF(AND(ISNUMBER(E1354),ISNUMBER(F1354),F1354&gt;0),(E1354-F1354)/F1354,"n.a.")</x:f>
        <x:v>-0.0219882515915808</x:v>
      </x:c>
      <x:c r="I1354" s="19" t="n">
        <x:f>IF(ISNUMBER(H1354),ABS(H1354),"n.a.")</x:f>
        <x:v>0.0219882515915808</x:v>
      </x:c>
      <x:c r="J1354" s="2" t="str">
        <x:v>available</x:v>
      </x:c>
      <x:c r="K1354" s="2" t="n">
        <x:v>1</x:v>
      </x:c>
      <x:c r="L1354" s="13" t="b">
        <x:v>0</x:v>
      </x:c>
      <x:c r="M1354" s="13" t="b">
        <x:v>1</x:v>
      </x:c>
      <x:c r="N1354" s="2" t="str">
        <x:v>nominal2020; Overture geometry2024-07-22.0; height support2018</x:v>
      </x:c>
      <x:c r="O1354" s="2" t="str"/>
      <x:c r="P1354" s="2" t="str">
        <x:v>included-footprint horizontal area</x:v>
      </x:c>
      <x:c r="Q1354" s="2" t="str">
        <x:v>m2</x:v>
      </x:c>
      <x:c r="R1354" s="17" t="n">
        <x:v>6291892.26</x:v>
      </x:c>
      <x:c r="S1354" s="17" t="n">
        <x:v>6153544.55</x:v>
      </x:c>
      <x:c r="T1354" s="18" t="n">
        <x:v>1.0000000000000004</x:v>
      </x:c>
      <x:c r="U1354" s="17" t="n">
        <x:v>6153544.550000003</x:v>
      </x:c>
      <x:c r="V1354" s="2" t="str">
        <x:v>Area equivalent = model2020 * OBAT footprint / TEMPO2020 footprint</x:v>
      </x:c>
      <x:c r="W1354" s="2" t="str">
        <x:v>qualified_source_frame_numeric_summary</x:v>
      </x:c>
      <x:c r="X1354" s="2" t="str">
        <x:v>https://data.jrc.ec.europa.eu/dataset/f41a22f1-5741-4c41-86eb-6384654f6927</x:v>
      </x:c>
    </x:row>
    <x:row r="1355" ht="23" customHeight="1">
      <x:c r="A1355" s="2" t="str">
        <x:v>SUR</x:v>
      </x:c>
      <x:c r="B1355" s="2" t="str">
        <x:v>Suriname (Republic of)</x:v>
      </x:c>
      <x:c r="C1355" s="2" t="n">
        <x:v>2020</x:v>
      </x:c>
      <x:c r="D1355" s="2" t="str">
        <x:v>OBAT_FOOTPRINT</x:v>
      </x:c>
      <x:c r="E1355" s="17" t="n">
        <x:v>50598825.22000002</x:v>
      </x:c>
      <x:c r="F1355" s="17" t="n">
        <x:f>IF(AND(M1355,ISNUMBER(R1355)),IF(D1355="TEMPO_PROXY",R1355,IF(AND(ISNUMBER(S1355),S1355&gt;0,ISNUMBER(U1355)),U1355*R1355/S1355,"n.a.")),"n.a.")</x:f>
        <x:v>55432030.92000002</x:v>
      </x:c>
      <x:c r="G1355" s="17" t="n">
        <x:f>IF(AND(ISNUMBER(E1355),ISNUMBER(F1355)),E1355-F1355,"n.a.")</x:f>
        <x:v>-4833205.6999999955</x:v>
      </x:c>
      <x:c r="H1355" s="15" t="n">
        <x:f>IF(AND(ISNUMBER(E1355),ISNUMBER(F1355),F1355&gt;0),(E1355-F1355)/F1355,"n.a.")</x:f>
        <x:v>-0.08719156812015998</x:v>
      </x:c>
      <x:c r="I1355" s="19" t="n">
        <x:f>IF(ISNUMBER(H1355),ABS(H1355),"n.a.")</x:f>
        <x:v>0.08719156812015998</x:v>
      </x:c>
      <x:c r="J1355" s="2" t="str">
        <x:v>available</x:v>
      </x:c>
      <x:c r="K1355" s="2" t="n">
        <x:v>1</x:v>
      </x:c>
      <x:c r="L1355" s="13" t="b">
        <x:v>0</x:v>
      </x:c>
      <x:c r="M1355" s="13" t="b">
        <x:v>1</x:v>
      </x:c>
      <x:c r="N1355" s="2" t="str">
        <x:v>nominal2020; Overture geometry2024-07-22.0; height support2018</x:v>
      </x:c>
      <x:c r="O1355" s="2" t="str"/>
      <x:c r="P1355" s="2" t="str">
        <x:v>included-footprint horizontal area</x:v>
      </x:c>
      <x:c r="Q1355" s="2" t="str">
        <x:v>m2</x:v>
      </x:c>
      <x:c r="R1355" s="17" t="n">
        <x:v>55432030.919999994</x:v>
      </x:c>
      <x:c r="S1355" s="17" t="n">
        <x:v>50598825.22</x:v>
      </x:c>
      <x:c r="T1355" s="18" t="n">
        <x:v>1.0000000000000004</x:v>
      </x:c>
      <x:c r="U1355" s="17" t="n">
        <x:v>50598825.22000002</x:v>
      </x:c>
      <x:c r="V1355" s="2" t="str">
        <x:v>Area equivalent = model2020 * OBAT footprint / TEMPO2020 footprint</x:v>
      </x:c>
      <x:c r="W1355" s="2" t="str">
        <x:v>qualified_source_frame_numeric_summary</x:v>
      </x:c>
      <x:c r="X1355" s="2" t="str">
        <x:v>https://data.jrc.ec.europa.eu/dataset/f41a22f1-5741-4c41-86eb-6384654f6927</x:v>
      </x:c>
    </x:row>
    <x:row r="1356" ht="23" customHeight="1">
      <x:c r="A1356" s="2" t="str">
        <x:v>SVK</x:v>
      </x:c>
      <x:c r="B1356" s="2" t="str">
        <x:v>Slovakia (Slovak Republic)</x:v>
      </x:c>
      <x:c r="C1356" s="2" t="n">
        <x:v>2020</x:v>
      </x:c>
      <x:c r="D1356" s="2" t="str">
        <x:v>OBAT_FOOTPRINT</x:v>
      </x:c>
      <x:c r="E1356" s="17" t="n">
        <x:v>391189188.0500002</x:v>
      </x:c>
      <x:c r="F1356" s="17" t="n">
        <x:f>IF(AND(M1356,ISNUMBER(R1356)),IF(D1356="TEMPO_PROXY",R1356,IF(AND(ISNUMBER(S1356),S1356&gt;0,ISNUMBER(U1356)),U1356*R1356/S1356,"n.a.")),"n.a.")</x:f>
        <x:v>396588487.14882237</x:v>
      </x:c>
      <x:c r="G1356" s="17" t="n">
        <x:f>IF(AND(ISNUMBER(E1356),ISNUMBER(F1356)),E1356-F1356,"n.a.")</x:f>
        <x:v>-5399299.098822176</x:v>
      </x:c>
      <x:c r="H1356" s="15" t="n">
        <x:f>IF(AND(ISNUMBER(E1356),ISNUMBER(F1356),F1356&gt;0),(E1356-F1356)/F1356,"n.a.")</x:f>
        <x:v>-0.013614361671563236</x:v>
      </x:c>
      <x:c r="I1356" s="19" t="n">
        <x:f>IF(ISNUMBER(H1356),ABS(H1356),"n.a.")</x:f>
        <x:v>0.013614361671563236</x:v>
      </x:c>
      <x:c r="J1356" s="2" t="str">
        <x:v>available</x:v>
      </x:c>
      <x:c r="K1356" s="2" t="n">
        <x:v>1</x:v>
      </x:c>
      <x:c r="L1356" s="13" t="b">
        <x:v>0</x:v>
      </x:c>
      <x:c r="M1356" s="13" t="b">
        <x:v>1</x:v>
      </x:c>
      <x:c r="N1356" s="2" t="str">
        <x:v>nominal2020; Overture geometry2024-07-22.0; height support2018</x:v>
      </x:c>
      <x:c r="O1356" s="2" t="str"/>
      <x:c r="P1356" s="2" t="str">
        <x:v>included-footprint horizontal area</x:v>
      </x:c>
      <x:c r="Q1356" s="2" t="str">
        <x:v>m2</x:v>
      </x:c>
      <x:c r="R1356" s="17" t="n">
        <x:v>392944623.40999997</x:v>
      </x:c>
      <x:c r="S1356" s="17" t="n">
        <x:v>387594933.19</x:v>
      </x:c>
      <x:c r="T1356" s="18" t="n">
        <x:v>1.0092732245760248</x:v>
      </x:c>
      <x:c r="U1356" s="17" t="n">
        <x:v>391189188.0500002</x:v>
      </x:c>
      <x:c r="V1356" s="2" t="str">
        <x:v>Area equivalent = model2020 * OBAT footprint / TEMPO2020 footprint</x:v>
      </x:c>
      <x:c r="W1356" s="2" t="str">
        <x:v>qualified_source_frame_numeric_summary</x:v>
      </x:c>
      <x:c r="X1356" s="2" t="str">
        <x:v>https://data.jrc.ec.europa.eu/dataset/f41a22f1-5741-4c41-86eb-6384654f6927</x:v>
      </x:c>
    </x:row>
    <x:row r="1357" ht="23" customHeight="1">
      <x:c r="A1357" s="2" t="str">
        <x:v>SVN</x:v>
      </x:c>
      <x:c r="B1357" s="2" t="str">
        <x:v>Slovenia (Republic of)</x:v>
      </x:c>
      <x:c r="C1357" s="2" t="n">
        <x:v>2020</x:v>
      </x:c>
      <x:c r="D1357" s="2" t="str">
        <x:v>OBAT_FOOTPRINT</x:v>
      </x:c>
      <x:c r="E1357" s="17" t="n">
        <x:v>188783306.59000015</x:v>
      </x:c>
      <x:c r="F1357" s="17" t="n">
        <x:f>IF(AND(M1357,ISNUMBER(R1357)),IF(D1357="TEMPO_PROXY",R1357,IF(AND(ISNUMBER(S1357),S1357&gt;0,ISNUMBER(U1357)),U1357*R1357/S1357,"n.a.")),"n.a.")</x:f>
        <x:v>192395664.93000013</x:v>
      </x:c>
      <x:c r="G1357" s="17" t="n">
        <x:f>IF(AND(ISNUMBER(E1357),ISNUMBER(F1357)),E1357-F1357,"n.a.")</x:f>
        <x:v>-3612358.339999974</x:v>
      </x:c>
      <x:c r="H1357" s="15" t="n">
        <x:f>IF(AND(ISNUMBER(E1357),ISNUMBER(F1357),F1357&gt;0),(E1357-F1357)/F1357,"n.a.")</x:f>
        <x:v>-0.018775674292423734</x:v>
      </x:c>
      <x:c r="I1357" s="19" t="n">
        <x:f>IF(ISNUMBER(H1357),ABS(H1357),"n.a.")</x:f>
        <x:v>0.018775674292423734</x:v>
      </x:c>
      <x:c r="J1357" s="2" t="str">
        <x:v>available</x:v>
      </x:c>
      <x:c r="K1357" s="2" t="n">
        <x:v>1</x:v>
      </x:c>
      <x:c r="L1357" s="13" t="b">
        <x:v>0</x:v>
      </x:c>
      <x:c r="M1357" s="13" t="b">
        <x:v>1</x:v>
      </x:c>
      <x:c r="N1357" s="2" t="str">
        <x:v>nominal2020; Overture geometry2024-07-22.0; height support2018</x:v>
      </x:c>
      <x:c r="O1357" s="2" t="str"/>
      <x:c r="P1357" s="2" t="str">
        <x:v>included-footprint horizontal area</x:v>
      </x:c>
      <x:c r="Q1357" s="2" t="str">
        <x:v>m2</x:v>
      </x:c>
      <x:c r="R1357" s="17" t="n">
        <x:v>192395664.92999998</x:v>
      </x:c>
      <x:c r="S1357" s="17" t="n">
        <x:v>188783306.59</x:v>
      </x:c>
      <x:c r="T1357" s="18" t="n">
        <x:v>1.0000000000000009</x:v>
      </x:c>
      <x:c r="U1357" s="17" t="n">
        <x:v>188783306.59000015</x:v>
      </x:c>
      <x:c r="V1357" s="2" t="str">
        <x:v>Area equivalent = model2020 * OBAT footprint / TEMPO2020 footprint</x:v>
      </x:c>
      <x:c r="W1357" s="2" t="str">
        <x:v>qualified_source_frame_numeric_summary</x:v>
      </x:c>
      <x:c r="X1357" s="2" t="str">
        <x:v>https://data.jrc.ec.europa.eu/dataset/f41a22f1-5741-4c41-86eb-6384654f6927</x:v>
      </x:c>
    </x:row>
    <x:row r="1358" ht="23" customHeight="1">
      <x:c r="A1358" s="2" t="str">
        <x:v>SWE</x:v>
      </x:c>
      <x:c r="B1358" s="2" t="str">
        <x:v>Sweden (Kingdom of)</x:v>
      </x:c>
      <x:c r="C1358" s="2" t="n">
        <x:v>2020</x:v>
      </x:c>
      <x:c r="D1358" s="2" t="str">
        <x:v>OBAT_FOOTPRINT</x:v>
      </x:c>
      <x:c r="E1358" s="17" t="n">
        <x:v>860750073.0500002</x:v>
      </x:c>
      <x:c r="F1358" s="17" t="n">
        <x:f>IF(AND(M1358,ISNUMBER(R1358)),IF(D1358="TEMPO_PROXY",R1358,IF(AND(ISNUMBER(S1358),S1358&gt;0,ISNUMBER(U1358)),U1358*R1358/S1358,"n.a.")),"n.a.")</x:f>
        <x:v>972793340.8901944</x:v>
      </x:c>
      <x:c r="G1358" s="17" t="n">
        <x:f>IF(AND(ISNUMBER(E1358),ISNUMBER(F1358)),E1358-F1358,"n.a.")</x:f>
        <x:v>-112043267.84019423</x:v>
      </x:c>
      <x:c r="H1358" s="15" t="n">
        <x:f>IF(AND(ISNUMBER(E1358),ISNUMBER(F1358),F1358&gt;0),(E1358-F1358)/F1358,"n.a.")</x:f>
        <x:v>-0.11517684499943683</x:v>
      </x:c>
      <x:c r="I1358" s="19" t="n">
        <x:f>IF(ISNUMBER(H1358),ABS(H1358),"n.a.")</x:f>
        <x:v>0.11517684499943683</x:v>
      </x:c>
      <x:c r="J1358" s="2" t="str">
        <x:v>available</x:v>
      </x:c>
      <x:c r="K1358" s="2" t="n">
        <x:v>1</x:v>
      </x:c>
      <x:c r="L1358" s="13" t="b">
        <x:v>0</x:v>
      </x:c>
      <x:c r="M1358" s="13" t="b">
        <x:v>1</x:v>
      </x:c>
      <x:c r="N1358" s="2" t="str">
        <x:v>nominal2020; Overture geometry2024-07-22.0; height support2018</x:v>
      </x:c>
      <x:c r="O1358" s="2" t="str"/>
      <x:c r="P1358" s="2" t="str">
        <x:v>included-footprint horizontal area</x:v>
      </x:c>
      <x:c r="Q1358" s="2" t="str">
        <x:v>m2</x:v>
      </x:c>
      <x:c r="R1358" s="17" t="n">
        <x:v>964174509.5600001</x:v>
      </x:c>
      <x:c r="S1358" s="17" t="n">
        <x:v>853123931.52</x:v>
      </x:c>
      <x:c r="T1358" s="18" t="n">
        <x:v>1.0089390781904486</x:v>
      </x:c>
      <x:c r="U1358" s="17" t="n">
        <x:v>860750073.0500002</x:v>
      </x:c>
      <x:c r="V1358" s="2" t="str">
        <x:v>Area equivalent = model2020 * OBAT footprint / TEMPO2020 footprint</x:v>
      </x:c>
      <x:c r="W1358" s="2" t="str">
        <x:v>qualified_source_frame_numeric_summary</x:v>
      </x:c>
      <x:c r="X1358" s="2" t="str">
        <x:v>https://data.jrc.ec.europa.eu/dataset/f41a22f1-5741-4c41-86eb-6384654f6927</x:v>
      </x:c>
    </x:row>
    <x:row r="1359" ht="23" customHeight="1">
      <x:c r="A1359" s="2" t="str">
        <x:v>SWZ</x:v>
      </x:c>
      <x:c r="B1359" s="2" t="str">
        <x:v>Eswatini (Kingdom of)</x:v>
      </x:c>
      <x:c r="C1359" s="2" t="n">
        <x:v>2020</x:v>
      </x:c>
      <x:c r="D1359" s="2" t="str">
        <x:v>OBAT_FOOTPRINT</x:v>
      </x:c>
      <x:c r="E1359" s="17" t="n">
        <x:v>51228621.629999995</x:v>
      </x:c>
      <x:c r="F1359" s="17" t="n">
        <x:f>IF(AND(M1359,ISNUMBER(R1359)),IF(D1359="TEMPO_PROXY",R1359,IF(AND(ISNUMBER(S1359),S1359&gt;0,ISNUMBER(U1359)),U1359*R1359/S1359,"n.a.")),"n.a.")</x:f>
        <x:v>61445981.099999994</x:v>
      </x:c>
      <x:c r="G1359" s="17" t="n">
        <x:f>IF(AND(ISNUMBER(E1359),ISNUMBER(F1359)),E1359-F1359,"n.a.")</x:f>
        <x:v>-10217359.469999999</x:v>
      </x:c>
      <x:c r="H1359" s="15" t="n">
        <x:f>IF(AND(ISNUMBER(E1359),ISNUMBER(F1359),F1359&gt;0),(E1359-F1359)/F1359,"n.a.")</x:f>
        <x:v>-0.16628198113350653</x:v>
      </x:c>
      <x:c r="I1359" s="19" t="n">
        <x:f>IF(ISNUMBER(H1359),ABS(H1359),"n.a.")</x:f>
        <x:v>0.16628198113350653</x:v>
      </x:c>
      <x:c r="J1359" s="2" t="str">
        <x:v>available</x:v>
      </x:c>
      <x:c r="K1359" s="2" t="n">
        <x:v>1</x:v>
      </x:c>
      <x:c r="L1359" s="13" t="b">
        <x:v>0</x:v>
      </x:c>
      <x:c r="M1359" s="13" t="b">
        <x:v>1</x:v>
      </x:c>
      <x:c r="N1359" s="2" t="str">
        <x:v>nominal2020; Overture geometry2024-07-22.0; height support2018</x:v>
      </x:c>
      <x:c r="O1359" s="2" t="str"/>
      <x:c r="P1359" s="2" t="str">
        <x:v>included-footprint horizontal area</x:v>
      </x:c>
      <x:c r="Q1359" s="2" t="str">
        <x:v>m2</x:v>
      </x:c>
      <x:c r="R1359" s="17" t="n">
        <x:v>61445981.1</x:v>
      </x:c>
      <x:c r="S1359" s="17" t="n">
        <x:v>51228621.63</x:v>
      </x:c>
      <x:c r="T1359" s="18" t="n">
        <x:v>0.9999999999999999</x:v>
      </x:c>
      <x:c r="U1359" s="17" t="n">
        <x:v>51228621.629999995</x:v>
      </x:c>
      <x:c r="V1359" s="2" t="str">
        <x:v>Area equivalent = model2020 * OBAT footprint / TEMPO2020 footprint</x:v>
      </x:c>
      <x:c r="W1359" s="2" t="str">
        <x:v>qualified_source_frame_numeric_summary</x:v>
      </x:c>
      <x:c r="X1359" s="2" t="str">
        <x:v>https://data.jrc.ec.europa.eu/dataset/f41a22f1-5741-4c41-86eb-6384654f6927</x:v>
      </x:c>
    </x:row>
    <x:row r="1360" ht="23" customHeight="1">
      <x:c r="A1360" s="2" t="str">
        <x:v>SYC</x:v>
      </x:c>
      <x:c r="B1360" s="2" t="str">
        <x:v>Seychelles (Republic of)</x:v>
      </x:c>
      <x:c r="C1360" s="2" t="n">
        <x:v>2020</x:v>
      </x:c>
      <x:c r="D1360" s="2" t="str">
        <x:v>OBAT_FOOTPRINT</x:v>
      </x:c>
      <x:c r="E1360" s="17" t="n">
        <x:v>7317572.880000001</x:v>
      </x:c>
      <x:c r="F1360" s="17" t="n">
        <x:f>IF(AND(M1360,ISNUMBER(R1360)),IF(D1360="TEMPO_PROXY",R1360,IF(AND(ISNUMBER(S1360),S1360&gt;0,ISNUMBER(U1360)),U1360*R1360/S1360,"n.a.")),"n.a.")</x:f>
        <x:v>7859458.63000002</x:v>
      </x:c>
      <x:c r="G1360" s="17" t="n">
        <x:f>IF(AND(ISNUMBER(E1360),ISNUMBER(F1360)),E1360-F1360,"n.a.")</x:f>
        <x:v>-541885.7500000196</x:v>
      </x:c>
      <x:c r="H1360" s="15" t="n">
        <x:f>IF(AND(ISNUMBER(E1360),ISNUMBER(F1360),F1360&gt;0),(E1360-F1360)/F1360,"n.a.")</x:f>
        <x:v>-0.06894695621039462</x:v>
      </x:c>
      <x:c r="I1360" s="19" t="n">
        <x:f>IF(ISNUMBER(H1360),ABS(H1360),"n.a.")</x:f>
        <x:v>0.06894695621039462</x:v>
      </x:c>
      <x:c r="J1360" s="2" t="str">
        <x:v>available</x:v>
      </x:c>
      <x:c r="K1360" s="2" t="n">
        <x:v>1</x:v>
      </x:c>
      <x:c r="L1360" s="13" t="b">
        <x:v>0</x:v>
      </x:c>
      <x:c r="M1360" s="13" t="b">
        <x:v>1</x:v>
      </x:c>
      <x:c r="N1360" s="2" t="str">
        <x:v>nominal2020; Overture geometry2024-07-22.0; height support2018</x:v>
      </x:c>
      <x:c r="O1360" s="2" t="str"/>
      <x:c r="P1360" s="2" t="str">
        <x:v>included-footprint horizontal area</x:v>
      </x:c>
      <x:c r="Q1360" s="2" t="str">
        <x:v>m2</x:v>
      </x:c>
      <x:c r="R1360" s="17" t="n">
        <x:v>7859458.630000019</x:v>
      </x:c>
      <x:c r="S1360" s="17" t="n">
        <x:v>7317572.88</x:v>
      </x:c>
      <x:c r="T1360" s="18" t="n">
        <x:v>1.0000000000000002</x:v>
      </x:c>
      <x:c r="U1360" s="17" t="n">
        <x:v>7317572.880000001</x:v>
      </x:c>
      <x:c r="V1360" s="2" t="str">
        <x:v>Area equivalent = model2020 * OBAT footprint / TEMPO2020 footprint</x:v>
      </x:c>
      <x:c r="W1360" s="2" t="str">
        <x:v>qualified_source_frame_numeric_summary</x:v>
      </x:c>
      <x:c r="X1360" s="2" t="str">
        <x:v>https://data.jrc.ec.europa.eu/dataset/f41a22f1-5741-4c41-86eb-6384654f6927</x:v>
      </x:c>
    </x:row>
    <x:row r="1361" ht="23" customHeight="1">
      <x:c r="A1361" s="2" t="str">
        <x:v>SYR</x:v>
      </x:c>
      <x:c r="B1361" s="2" t="str">
        <x:v>Syrian Arab Republic</x:v>
      </x:c>
      <x:c r="C1361" s="2" t="n">
        <x:v>2020</x:v>
      </x:c>
      <x:c r="D1361" s="2" t="str">
        <x:v>OBAT_FOOTPRINT</x:v>
      </x:c>
      <x:c r="E1361" s="17" t="n">
        <x:v>795482211.65</x:v>
      </x:c>
      <x:c r="F1361" s="17" t="n">
        <x:f>IF(AND(M1361,ISNUMBER(R1361)),IF(D1361="TEMPO_PROXY",R1361,IF(AND(ISNUMBER(S1361),S1361&gt;0,ISNUMBER(U1361)),U1361*R1361/S1361,"n.a.")),"n.a.")</x:f>
        <x:v>768016860.9419675</x:v>
      </x:c>
      <x:c r="G1361" s="17" t="n">
        <x:f>IF(AND(ISNUMBER(E1361),ISNUMBER(F1361)),E1361-F1361,"n.a.")</x:f>
        <x:v>27465350.70803249</x:v>
      </x:c>
      <x:c r="H1361" s="15" t="n">
        <x:f>IF(AND(ISNUMBER(E1361),ISNUMBER(F1361),F1361&gt;0),(E1361-F1361)/F1361,"n.a.")</x:f>
        <x:v>0.03576139028295085</x:v>
      </x:c>
      <x:c r="I1361" s="19" t="n">
        <x:f>IF(ISNUMBER(H1361),ABS(H1361),"n.a.")</x:f>
        <x:v>0.03576139028295085</x:v>
      </x:c>
      <x:c r="J1361" s="2" t="str">
        <x:v>available</x:v>
      </x:c>
      <x:c r="K1361" s="2" t="n">
        <x:v>1</x:v>
      </x:c>
      <x:c r="L1361" s="13" t="b">
        <x:v>0</x:v>
      </x:c>
      <x:c r="M1361" s="13" t="b">
        <x:v>1</x:v>
      </x:c>
      <x:c r="N1361" s="2" t="str">
        <x:v>nominal2020; Overture geometry2024-07-22.0; height support2018</x:v>
      </x:c>
      <x:c r="O1361" s="2" t="str"/>
      <x:c r="P1361" s="2" t="str">
        <x:v>included-footprint horizontal area</x:v>
      </x:c>
      <x:c r="Q1361" s="2" t="str">
        <x:v>m2</x:v>
      </x:c>
      <x:c r="R1361" s="17" t="n">
        <x:v>757309814.18</x:v>
      </x:c>
      <x:c r="S1361" s="17" t="n">
        <x:v>784392266.01</x:v>
      </x:c>
      <x:c r="T1361" s="18" t="n">
        <x:v>1.0141382648969905</x:v>
      </x:c>
      <x:c r="U1361" s="17" t="n">
        <x:v>795482211.65</x:v>
      </x:c>
      <x:c r="V1361" s="2" t="str">
        <x:v>Area equivalent = model2020 * OBAT footprint / TEMPO2020 footprint</x:v>
      </x:c>
      <x:c r="W1361" s="2" t="str">
        <x:v>qualified_source_frame_numeric_summary</x:v>
      </x:c>
      <x:c r="X1361" s="2" t="str">
        <x:v>https://data.jrc.ec.europa.eu/dataset/f41a22f1-5741-4c41-86eb-6384654f6927</x:v>
      </x:c>
    </x:row>
    <x:row r="1362" ht="23" customHeight="1">
      <x:c r="A1362" s="2" t="str">
        <x:v>TCD</x:v>
      </x:c>
      <x:c r="B1362" s="2" t="str">
        <x:v>Chad (Republic of)</x:v>
      </x:c>
      <x:c r="C1362" s="2" t="n">
        <x:v>2020</x:v>
      </x:c>
      <x:c r="D1362" s="2" t="str">
        <x:v>OBAT_FOOTPRINT</x:v>
      </x:c>
      <x:c r="E1362" s="17" t="n">
        <x:v>126450494.21999988</x:v>
      </x:c>
      <x:c r="F1362" s="17" t="n">
        <x:f>IF(AND(M1362,ISNUMBER(R1362)),IF(D1362="TEMPO_PROXY",R1362,IF(AND(ISNUMBER(S1362),S1362&gt;0,ISNUMBER(U1362)),U1362*R1362/S1362,"n.a.")),"n.a.")</x:f>
        <x:v>162945415.31999984</x:v>
      </x:c>
      <x:c r="G1362" s="17" t="n">
        <x:f>IF(AND(ISNUMBER(E1362),ISNUMBER(F1362)),E1362-F1362,"n.a.")</x:f>
        <x:v>-36494921.099999964</x:v>
      </x:c>
      <x:c r="H1362" s="15" t="n">
        <x:f>IF(AND(ISNUMBER(E1362),ISNUMBER(F1362),F1362&gt;0),(E1362-F1362)/F1362,"n.a.")</x:f>
        <x:v>-0.2239702235765856</x:v>
      </x:c>
      <x:c r="I1362" s="19" t="n">
        <x:f>IF(ISNUMBER(H1362),ABS(H1362),"n.a.")</x:f>
        <x:v>0.2239702235765856</x:v>
      </x:c>
      <x:c r="J1362" s="2" t="str">
        <x:v>available</x:v>
      </x:c>
      <x:c r="K1362" s="2" t="n">
        <x:v>1</x:v>
      </x:c>
      <x:c r="L1362" s="13" t="b">
        <x:v>0</x:v>
      </x:c>
      <x:c r="M1362" s="13" t="b">
        <x:v>1</x:v>
      </x:c>
      <x:c r="N1362" s="2" t="str">
        <x:v>nominal2020; Overture geometry2024-07-22.0; height support2018</x:v>
      </x:c>
      <x:c r="O1362" s="2" t="str"/>
      <x:c r="P1362" s="2" t="str">
        <x:v>included-footprint horizontal area</x:v>
      </x:c>
      <x:c r="Q1362" s="2" t="str">
        <x:v>m2</x:v>
      </x:c>
      <x:c r="R1362" s="17" t="n">
        <x:v>162945415.32</x:v>
      </x:c>
      <x:c r="S1362" s="17" t="n">
        <x:v>126450494.22</x:v>
      </x:c>
      <x:c r="T1362" s="18" t="n">
        <x:v>0.9999999999999991</x:v>
      </x:c>
      <x:c r="U1362" s="17" t="n">
        <x:v>126450494.21999988</x:v>
      </x:c>
      <x:c r="V1362" s="2" t="str">
        <x:v>Area equivalent = model2020 * OBAT footprint / TEMPO2020 footprint</x:v>
      </x:c>
      <x:c r="W1362" s="2" t="str">
        <x:v>qualified_source_frame_numeric_summary</x:v>
      </x:c>
      <x:c r="X1362" s="2" t="str">
        <x:v>https://data.jrc.ec.europa.eu/dataset/f41a22f1-5741-4c41-86eb-6384654f6927</x:v>
      </x:c>
    </x:row>
    <x:row r="1363" ht="23" customHeight="1">
      <x:c r="A1363" s="2" t="str">
        <x:v>TGO</x:v>
      </x:c>
      <x:c r="B1363" s="2" t="str">
        <x:v>Togo (Togolese Republic)</x:v>
      </x:c>
      <x:c r="C1363" s="2" t="n">
        <x:v>2020</x:v>
      </x:c>
      <x:c r="D1363" s="2" t="str">
        <x:v>OBAT_FOOTPRINT</x:v>
      </x:c>
      <x:c r="E1363" s="17" t="n">
        <x:v>185693532.7300002</x:v>
      </x:c>
      <x:c r="F1363" s="17" t="n">
        <x:f>IF(AND(M1363,ISNUMBER(R1363)),IF(D1363="TEMPO_PROXY",R1363,IF(AND(ISNUMBER(S1363),S1363&gt;0,ISNUMBER(U1363)),U1363*R1363/S1363,"n.a.")),"n.a.")</x:f>
        <x:v>209928198.41000023</x:v>
      </x:c>
      <x:c r="G1363" s="17" t="n">
        <x:f>IF(AND(ISNUMBER(E1363),ISNUMBER(F1363)),E1363-F1363,"n.a.")</x:f>
        <x:v>-24234665.680000037</x:v>
      </x:c>
      <x:c r="H1363" s="15" t="n">
        <x:f>IF(AND(ISNUMBER(E1363),ISNUMBER(F1363),F1363&gt;0),(E1363-F1363)/F1363,"n.a.")</x:f>
        <x:v>-0.11544264116756972</x:v>
      </x:c>
      <x:c r="I1363" s="19" t="n">
        <x:f>IF(ISNUMBER(H1363),ABS(H1363),"n.a.")</x:f>
        <x:v>0.11544264116756972</x:v>
      </x:c>
      <x:c r="J1363" s="2" t="str">
        <x:v>available</x:v>
      </x:c>
      <x:c r="K1363" s="2" t="n">
        <x:v>1</x:v>
      </x:c>
      <x:c r="L1363" s="13" t="b">
        <x:v>0</x:v>
      </x:c>
      <x:c r="M1363" s="13" t="b">
        <x:v>1</x:v>
      </x:c>
      <x:c r="N1363" s="2" t="str">
        <x:v>nominal2020; Overture geometry2024-07-22.0; height support2018</x:v>
      </x:c>
      <x:c r="O1363" s="2" t="str"/>
      <x:c r="P1363" s="2" t="str">
        <x:v>included-footprint horizontal area</x:v>
      </x:c>
      <x:c r="Q1363" s="2" t="str">
        <x:v>m2</x:v>
      </x:c>
      <x:c r="R1363" s="17" t="n">
        <x:v>209928198.41</x:v>
      </x:c>
      <x:c r="S1363" s="17" t="n">
        <x:v>185693532.73</x:v>
      </x:c>
      <x:c r="T1363" s="18" t="n">
        <x:v>1.000000000000001</x:v>
      </x:c>
      <x:c r="U1363" s="17" t="n">
        <x:v>185693532.7300002</x:v>
      </x:c>
      <x:c r="V1363" s="2" t="str">
        <x:v>Area equivalent = model2020 * OBAT footprint / TEMPO2020 footprint</x:v>
      </x:c>
      <x:c r="W1363" s="2" t="str">
        <x:v>qualified_source_frame_numeric_summary</x:v>
      </x:c>
      <x:c r="X1363" s="2" t="str">
        <x:v>https://data.jrc.ec.europa.eu/dataset/f41a22f1-5741-4c41-86eb-6384654f6927</x:v>
      </x:c>
    </x:row>
    <x:row r="1364" ht="23" customHeight="1">
      <x:c r="A1364" s="2" t="str">
        <x:v>THA</x:v>
      </x:c>
      <x:c r="B1364" s="2" t="str">
        <x:v>Thailand (Kingdom of)</x:v>
      </x:c>
      <x:c r="C1364" s="2" t="n">
        <x:v>2020</x:v>
      </x:c>
      <x:c r="D1364" s="2" t="str">
        <x:v>OBAT_FOOTPRINT</x:v>
      </x:c>
      <x:c r="E1364" s="17" t="n">
        <x:v>5229846890.149993</x:v>
      </x:c>
      <x:c r="F1364" s="17" t="n">
        <x:f>IF(AND(M1364,ISNUMBER(R1364)),IF(D1364="TEMPO_PROXY",R1364,IF(AND(ISNUMBER(S1364),S1364&gt;0,ISNUMBER(U1364)),U1364*R1364/S1364,"n.a.")),"n.a.")</x:f>
        <x:v>5397035325.759993</x:v>
      </x:c>
      <x:c r="G1364" s="17" t="n">
        <x:f>IF(AND(ISNUMBER(E1364),ISNUMBER(F1364)),E1364-F1364,"n.a.")</x:f>
        <x:v>-167188435.60999966</x:v>
      </x:c>
      <x:c r="H1364" s="15" t="n">
        <x:f>IF(AND(ISNUMBER(E1364),ISNUMBER(F1364),F1364&gt;0),(E1364-F1364)/F1364,"n.a.")</x:f>
        <x:v>-0.03097782866308305</x:v>
      </x:c>
      <x:c r="I1364" s="19" t="n">
        <x:f>IF(ISNUMBER(H1364),ABS(H1364),"n.a.")</x:f>
        <x:v>0.03097782866308305</x:v>
      </x:c>
      <x:c r="J1364" s="2" t="str">
        <x:v>available</x:v>
      </x:c>
      <x:c r="K1364" s="2" t="n">
        <x:v>1</x:v>
      </x:c>
      <x:c r="L1364" s="13" t="b">
        <x:v>0</x:v>
      </x:c>
      <x:c r="M1364" s="13" t="b">
        <x:v>1</x:v>
      </x:c>
      <x:c r="N1364" s="2" t="str">
        <x:v>nominal2020; Overture geometry2024-07-22.0; height support2018</x:v>
      </x:c>
      <x:c r="O1364" s="2" t="str"/>
      <x:c r="P1364" s="2" t="str">
        <x:v>included-footprint horizontal area</x:v>
      </x:c>
      <x:c r="Q1364" s="2" t="str">
        <x:v>m2</x:v>
      </x:c>
      <x:c r="R1364" s="17" t="n">
        <x:v>5397035325.759999</x:v>
      </x:c>
      <x:c r="S1364" s="17" t="n">
        <x:v>5229846890.15</x:v>
      </x:c>
      <x:c r="T1364" s="18" t="n">
        <x:v>0.9999999999999988</x:v>
      </x:c>
      <x:c r="U1364" s="17" t="n">
        <x:v>5229846890.149993</x:v>
      </x:c>
      <x:c r="V1364" s="2" t="str">
        <x:v>Area equivalent = model2020 * OBAT footprint / TEMPO2020 footprint</x:v>
      </x:c>
      <x:c r="W1364" s="2" t="str">
        <x:v>qualified_source_frame_numeric_summary</x:v>
      </x:c>
      <x:c r="X1364" s="2" t="str">
        <x:v>https://data.jrc.ec.europa.eu/dataset/f41a22f1-5741-4c41-86eb-6384654f6927</x:v>
      </x:c>
    </x:row>
    <x:row r="1365" ht="23" customHeight="1">
      <x:c r="A1365" s="2" t="str">
        <x:v>TJK</x:v>
      </x:c>
      <x:c r="B1365" s="2" t="str">
        <x:v>Tajikistan (Republic of)</x:v>
      </x:c>
      <x:c r="C1365" s="2" t="n">
        <x:v>2020</x:v>
      </x:c>
      <x:c r="D1365" s="2" t="str">
        <x:v>OBAT_FOOTPRINT</x:v>
      </x:c>
      <x:c r="E1365" s="17" t="n">
        <x:v>392955797.9200004</x:v>
      </x:c>
      <x:c r="F1365" s="17" t="n">
        <x:f>IF(AND(M1365,ISNUMBER(R1365)),IF(D1365="TEMPO_PROXY",R1365,IF(AND(ISNUMBER(S1365),S1365&gt;0,ISNUMBER(U1365)),U1365*R1365/S1365,"n.a.")),"n.a.")</x:f>
        <x:v>295714374.2500003</x:v>
      </x:c>
      <x:c r="G1365" s="17" t="n">
        <x:f>IF(AND(ISNUMBER(E1365),ISNUMBER(F1365)),E1365-F1365,"n.a.")</x:f>
        <x:v>97241423.67000008</x:v>
      </x:c>
      <x:c r="H1365" s="15" t="n">
        <x:f>IF(AND(ISNUMBER(E1365),ISNUMBER(F1365),F1365&gt;0),(E1365-F1365)/F1365,"n.a.")</x:f>
        <x:v>0.32883563376527336</x:v>
      </x:c>
      <x:c r="I1365" s="19" t="n">
        <x:f>IF(ISNUMBER(H1365),ABS(H1365),"n.a.")</x:f>
        <x:v>0.32883563376527336</x:v>
      </x:c>
      <x:c r="J1365" s="2" t="str">
        <x:v>available</x:v>
      </x:c>
      <x:c r="K1365" s="2" t="n">
        <x:v>1</x:v>
      </x:c>
      <x:c r="L1365" s="13" t="b">
        <x:v>0</x:v>
      </x:c>
      <x:c r="M1365" s="13" t="b">
        <x:v>1</x:v>
      </x:c>
      <x:c r="N1365" s="2" t="str">
        <x:v>nominal2020; Overture geometry2024-07-22.0; height support2018</x:v>
      </x:c>
      <x:c r="O1365" s="2" t="str"/>
      <x:c r="P1365" s="2" t="str">
        <x:v>included-footprint horizontal area</x:v>
      </x:c>
      <x:c r="Q1365" s="2" t="str">
        <x:v>m2</x:v>
      </x:c>
      <x:c r="R1365" s="17" t="n">
        <x:v>295714374.25</x:v>
      </x:c>
      <x:c r="S1365" s="17" t="n">
        <x:v>392955797.92</x:v>
      </x:c>
      <x:c r="T1365" s="18" t="n">
        <x:v>1.0000000000000009</x:v>
      </x:c>
      <x:c r="U1365" s="17" t="n">
        <x:v>392955797.9200004</x:v>
      </x:c>
      <x:c r="V1365" s="2" t="str">
        <x:v>Area equivalent = model2020 * OBAT footprint / TEMPO2020 footprint</x:v>
      </x:c>
      <x:c r="W1365" s="2" t="str">
        <x:v>qualified_source_frame_numeric_summary</x:v>
      </x:c>
      <x:c r="X1365" s="2" t="str">
        <x:v>https://data.jrc.ec.europa.eu/dataset/f41a22f1-5741-4c41-86eb-6384654f6927</x:v>
      </x:c>
    </x:row>
    <x:row r="1366" ht="23" customHeight="1">
      <x:c r="A1366" s="2" t="str">
        <x:v>TKM</x:v>
      </x:c>
      <x:c r="B1366" s="2" t="str">
        <x:v>Turkmenistan</x:v>
      </x:c>
      <x:c r="C1366" s="2" t="n">
        <x:v>2020</x:v>
      </x:c>
      <x:c r="D1366" s="2" t="str">
        <x:v>OBAT_FOOTPRINT</x:v>
      </x:c>
      <x:c r="E1366" s="17" t="n">
        <x:v>359976676.1500005</x:v>
      </x:c>
      <x:c r="F1366" s="17" t="n">
        <x:f>IF(AND(M1366,ISNUMBER(R1366)),IF(D1366="TEMPO_PROXY",R1366,IF(AND(ISNUMBER(S1366),S1366&gt;0,ISNUMBER(U1366)),U1366*R1366/S1366,"n.a.")),"n.a.")</x:f>
        <x:v>275416569.3800004</x:v>
      </x:c>
      <x:c r="G1366" s="17" t="n">
        <x:f>IF(AND(ISNUMBER(E1366),ISNUMBER(F1366)),E1366-F1366,"n.a.")</x:f>
        <x:v>84560106.7700001</x:v>
      </x:c>
      <x:c r="H1366" s="15" t="n">
        <x:f>IF(AND(ISNUMBER(E1366),ISNUMBER(F1366),F1366&gt;0),(E1366-F1366)/F1366,"n.a.")</x:f>
        <x:v>0.3070262147275897</x:v>
      </x:c>
      <x:c r="I1366" s="19" t="n">
        <x:f>IF(ISNUMBER(H1366),ABS(H1366),"n.a.")</x:f>
        <x:v>0.3070262147275897</x:v>
      </x:c>
      <x:c r="J1366" s="2" t="str">
        <x:v>available</x:v>
      </x:c>
      <x:c r="K1366" s="2" t="n">
        <x:v>1</x:v>
      </x:c>
      <x:c r="L1366" s="13" t="b">
        <x:v>0</x:v>
      </x:c>
      <x:c r="M1366" s="13" t="b">
        <x:v>1</x:v>
      </x:c>
      <x:c r="N1366" s="2" t="str">
        <x:v>nominal2020; Overture geometry2024-07-22.0; height support2018</x:v>
      </x:c>
      <x:c r="O1366" s="2" t="str"/>
      <x:c r="P1366" s="2" t="str">
        <x:v>included-footprint horizontal area</x:v>
      </x:c>
      <x:c r="Q1366" s="2" t="str">
        <x:v>m2</x:v>
      </x:c>
      <x:c r="R1366" s="17" t="n">
        <x:v>275416569.38</x:v>
      </x:c>
      <x:c r="S1366" s="17" t="n">
        <x:v>359976676.15</x:v>
      </x:c>
      <x:c r="T1366" s="18" t="n">
        <x:v>1.0000000000000016</x:v>
      </x:c>
      <x:c r="U1366" s="17" t="n">
        <x:v>359976676.1500005</x:v>
      </x:c>
      <x:c r="V1366" s="2" t="str">
        <x:v>Area equivalent = model2020 * OBAT footprint / TEMPO2020 footprint</x:v>
      </x:c>
      <x:c r="W1366" s="2" t="str">
        <x:v>qualified_source_frame_numeric_summary</x:v>
      </x:c>
      <x:c r="X1366" s="2" t="str">
        <x:v>https://data.jrc.ec.europa.eu/dataset/f41a22f1-5741-4c41-86eb-6384654f6927</x:v>
      </x:c>
    </x:row>
    <x:row r="1367" ht="23" customHeight="1">
      <x:c r="A1367" s="2" t="str">
        <x:v>TLS</x:v>
      </x:c>
      <x:c r="B1367" s="2" t="str">
        <x:v>Timor-Leste (Democratic Republic of)</x:v>
      </x:c>
      <x:c r="C1367" s="2" t="n">
        <x:v>2020</x:v>
      </x:c>
      <x:c r="D1367" s="2" t="str">
        <x:v>OBAT_FOOTPRINT</x:v>
      </x:c>
      <x:c r="E1367" s="17" t="n">
        <x:v>41213693.90000002</x:v>
      </x:c>
      <x:c r="F1367" s="17" t="n">
        <x:f>IF(AND(M1367,ISNUMBER(R1367)),IF(D1367="TEMPO_PROXY",R1367,IF(AND(ISNUMBER(S1367),S1367&gt;0,ISNUMBER(U1367)),U1367*R1367/S1367,"n.a.")),"n.a.")</x:f>
        <x:v>47415777.79000003</x:v>
      </x:c>
      <x:c r="G1367" s="17" t="n">
        <x:f>IF(AND(ISNUMBER(E1367),ISNUMBER(F1367)),E1367-F1367,"n.a.")</x:f>
        <x:v>-6202083.890000008</x:v>
      </x:c>
      <x:c r="H1367" s="15" t="n">
        <x:f>IF(AND(ISNUMBER(E1367),ISNUMBER(F1367),F1367&gt;0),(E1367-F1367)/F1367,"n.a.")</x:f>
        <x:v>-0.13080211227301697</x:v>
      </x:c>
      <x:c r="I1367" s="19" t="n">
        <x:f>IF(ISNUMBER(H1367),ABS(H1367),"n.a.")</x:f>
        <x:v>0.13080211227301697</x:v>
      </x:c>
      <x:c r="J1367" s="2" t="str">
        <x:v>available</x:v>
      </x:c>
      <x:c r="K1367" s="2" t="n">
        <x:v>1</x:v>
      </x:c>
      <x:c r="L1367" s="13" t="b">
        <x:v>0</x:v>
      </x:c>
      <x:c r="M1367" s="13" t="b">
        <x:v>1</x:v>
      </x:c>
      <x:c r="N1367" s="2" t="str">
        <x:v>nominal2020; Overture geometry2024-07-22.0; height support2018</x:v>
      </x:c>
      <x:c r="O1367" s="2" t="str"/>
      <x:c r="P1367" s="2" t="str">
        <x:v>included-footprint horizontal area</x:v>
      </x:c>
      <x:c r="Q1367" s="2" t="str">
        <x:v>m2</x:v>
      </x:c>
      <x:c r="R1367" s="17" t="n">
        <x:v>47415777.79</x:v>
      </x:c>
      <x:c r="S1367" s="17" t="n">
        <x:v>41213693.9</x:v>
      </x:c>
      <x:c r="T1367" s="18" t="n">
        <x:v>1.0000000000000004</x:v>
      </x:c>
      <x:c r="U1367" s="17" t="n">
        <x:v>41213693.90000002</x:v>
      </x:c>
      <x:c r="V1367" s="2" t="str">
        <x:v>Area equivalent = model2020 * OBAT footprint / TEMPO2020 footprint</x:v>
      </x:c>
      <x:c r="W1367" s="2" t="str">
        <x:v>qualified_source_frame_numeric_summary</x:v>
      </x:c>
      <x:c r="X1367" s="2" t="str">
        <x:v>https://data.jrc.ec.europa.eu/dataset/f41a22f1-5741-4c41-86eb-6384654f6927</x:v>
      </x:c>
    </x:row>
    <x:row r="1368" ht="23" customHeight="1">
      <x:c r="A1368" s="2" t="str">
        <x:v>TON</x:v>
      </x:c>
      <x:c r="B1368" s="2" t="str">
        <x:v>Tonga (Kingdom of)</x:v>
      </x:c>
      <x:c r="C1368" s="2" t="n">
        <x:v>2020</x:v>
      </x:c>
      <x:c r="D1368" s="2" t="str">
        <x:v>OBAT_FOOTPRINT</x:v>
      </x:c>
      <x:c r="E1368" s="17" t="n">
        <x:v>4719083.849999997</x:v>
      </x:c>
      <x:c r="F1368" s="17" t="n">
        <x:f>IF(AND(M1368,ISNUMBER(R1368)),IF(D1368="TEMPO_PROXY",R1368,IF(AND(ISNUMBER(S1368),S1368&gt;0,ISNUMBER(U1368)),U1368*R1368/S1368,"n.a.")),"n.a.")</x:f>
        <x:v>11275526.169999994</x:v>
      </x:c>
      <x:c r="G1368" s="17" t="n">
        <x:f>IF(AND(ISNUMBER(E1368),ISNUMBER(F1368)),E1368-F1368,"n.a.")</x:f>
        <x:v>-6556442.3199999975</x:v>
      </x:c>
      <x:c r="H1368" s="15" t="n">
        <x:f>IF(AND(ISNUMBER(E1368),ISNUMBER(F1368),F1368&gt;0),(E1368-F1368)/F1368,"n.a.")</x:f>
        <x:v>-0.5814755090936923</x:v>
      </x:c>
      <x:c r="I1368" s="19" t="n">
        <x:f>IF(ISNUMBER(H1368),ABS(H1368),"n.a.")</x:f>
        <x:v>0.5814755090936923</x:v>
      </x:c>
      <x:c r="J1368" s="2" t="str">
        <x:v>available</x:v>
      </x:c>
      <x:c r="K1368" s="2" t="n">
        <x:v>1</x:v>
      </x:c>
      <x:c r="L1368" s="13" t="b">
        <x:v>0</x:v>
      </x:c>
      <x:c r="M1368" s="13" t="b">
        <x:v>1</x:v>
      </x:c>
      <x:c r="N1368" s="2" t="str">
        <x:v>nominal2020; Overture geometry2024-07-22.0; height support2018</x:v>
      </x:c>
      <x:c r="O1368" s="2" t="str"/>
      <x:c r="P1368" s="2" t="str">
        <x:v>included-footprint horizontal area</x:v>
      </x:c>
      <x:c r="Q1368" s="2" t="str">
        <x:v>m2</x:v>
      </x:c>
      <x:c r="R1368" s="17" t="n">
        <x:v>11275526.17</x:v>
      </x:c>
      <x:c r="S1368" s="17" t="n">
        <x:v>4719083.85</x:v>
      </x:c>
      <x:c r="T1368" s="18" t="n">
        <x:v>0.9999999999999994</x:v>
      </x:c>
      <x:c r="U1368" s="17" t="n">
        <x:v>4719083.849999997</x:v>
      </x:c>
      <x:c r="V1368" s="2" t="str">
        <x:v>Area equivalent = model2020 * OBAT footprint / TEMPO2020 footprint</x:v>
      </x:c>
      <x:c r="W1368" s="2" t="str">
        <x:v>qualified_source_frame_numeric_summary</x:v>
      </x:c>
      <x:c r="X1368" s="2" t="str">
        <x:v>https://data.jrc.ec.europa.eu/dataset/f41a22f1-5741-4c41-86eb-6384654f6927</x:v>
      </x:c>
    </x:row>
    <x:row r="1369" ht="23" customHeight="1">
      <x:c r="A1369" s="2" t="str">
        <x:v>TTO</x:v>
      </x:c>
      <x:c r="B1369" s="2" t="str">
        <x:v>Trinidad and Tobago (Republic of)</x:v>
      </x:c>
      <x:c r="C1369" s="2" t="n">
        <x:v>2020</x:v>
      </x:c>
      <x:c r="D1369" s="2" t="str">
        <x:v>OBAT_FOOTPRINT</x:v>
      </x:c>
      <x:c r="E1369" s="17" t="n">
        <x:v>100480869.27000004</x:v>
      </x:c>
      <x:c r="F1369" s="17" t="n">
        <x:f>IF(AND(M1369,ISNUMBER(R1369)),IF(D1369="TEMPO_PROXY",R1369,IF(AND(ISNUMBER(S1369),S1369&gt;0,ISNUMBER(U1369)),U1369*R1369/S1369,"n.a.")),"n.a.")</x:f>
        <x:v>103937067.48000003</x:v>
      </x:c>
      <x:c r="G1369" s="17" t="n">
        <x:f>IF(AND(ISNUMBER(E1369),ISNUMBER(F1369)),E1369-F1369,"n.a.")</x:f>
        <x:v>-3456198.2099999934</x:v>
      </x:c>
      <x:c r="H1369" s="15" t="n">
        <x:f>IF(AND(ISNUMBER(E1369),ISNUMBER(F1369),F1369&gt;0),(E1369-F1369)/F1369,"n.a.")</x:f>
        <x:v>-0.033252797041489056</x:v>
      </x:c>
      <x:c r="I1369" s="19" t="n">
        <x:f>IF(ISNUMBER(H1369),ABS(H1369),"n.a.")</x:f>
        <x:v>0.033252797041489056</x:v>
      </x:c>
      <x:c r="J1369" s="2" t="str">
        <x:v>available</x:v>
      </x:c>
      <x:c r="K1369" s="2" t="n">
        <x:v>1</x:v>
      </x:c>
      <x:c r="L1369" s="13" t="b">
        <x:v>0</x:v>
      </x:c>
      <x:c r="M1369" s="13" t="b">
        <x:v>1</x:v>
      </x:c>
      <x:c r="N1369" s="2" t="str">
        <x:v>nominal2020; Overture geometry2024-07-22.0; height support2018</x:v>
      </x:c>
      <x:c r="O1369" s="2" t="str"/>
      <x:c r="P1369" s="2" t="str">
        <x:v>included-footprint horizontal area</x:v>
      </x:c>
      <x:c r="Q1369" s="2" t="str">
        <x:v>m2</x:v>
      </x:c>
      <x:c r="R1369" s="17" t="n">
        <x:v>103937067.48</x:v>
      </x:c>
      <x:c r="S1369" s="17" t="n">
        <x:v>100480869.27</x:v>
      </x:c>
      <x:c r="T1369" s="18" t="n">
        <x:v>1.0000000000000004</x:v>
      </x:c>
      <x:c r="U1369" s="17" t="n">
        <x:v>100480869.27000004</x:v>
      </x:c>
      <x:c r="V1369" s="2" t="str">
        <x:v>Area equivalent = model2020 * OBAT footprint / TEMPO2020 footprint</x:v>
      </x:c>
      <x:c r="W1369" s="2" t="str">
        <x:v>qualified_source_frame_numeric_summary</x:v>
      </x:c>
      <x:c r="X1369" s="2" t="str">
        <x:v>https://data.jrc.ec.europa.eu/dataset/f41a22f1-5741-4c41-86eb-6384654f6927</x:v>
      </x:c>
    </x:row>
    <x:row r="1370" ht="23" customHeight="1">
      <x:c r="A1370" s="2" t="str">
        <x:v>TUN</x:v>
      </x:c>
      <x:c r="B1370" s="2" t="str">
        <x:v>Tunisia (Republic of)</x:v>
      </x:c>
      <x:c r="C1370" s="2" t="n">
        <x:v>2020</x:v>
      </x:c>
      <x:c r="D1370" s="2" t="str">
        <x:v>OBAT_FOOTPRINT</x:v>
      </x:c>
      <x:c r="E1370" s="17" t="n">
        <x:v>649171642.779999</x:v>
      </x:c>
      <x:c r="F1370" s="17" t="n">
        <x:f>IF(AND(M1370,ISNUMBER(R1370)),IF(D1370="TEMPO_PROXY",R1370,IF(AND(ISNUMBER(S1370),S1370&gt;0,ISNUMBER(U1370)),U1370*R1370/S1370,"n.a.")),"n.a.")</x:f>
        <x:v>771402257.1972136</x:v>
      </x:c>
      <x:c r="G1370" s="17" t="n">
        <x:f>IF(AND(ISNUMBER(E1370),ISNUMBER(F1370)),E1370-F1370,"n.a.")</x:f>
        <x:v>-122230614.41721463</x:v>
      </x:c>
      <x:c r="H1370" s="15" t="n">
        <x:f>IF(AND(ISNUMBER(E1370),ISNUMBER(F1370),F1370&gt;0),(E1370-F1370)/F1370,"n.a.")</x:f>
        <x:v>-0.15845249774264744</x:v>
      </x:c>
      <x:c r="I1370" s="19" t="n">
        <x:f>IF(ISNUMBER(H1370),ABS(H1370),"n.a.")</x:f>
        <x:v>0.15845249774264744</x:v>
      </x:c>
      <x:c r="J1370" s="2" t="str">
        <x:v>available</x:v>
      </x:c>
      <x:c r="K1370" s="2" t="n">
        <x:v>1</x:v>
      </x:c>
      <x:c r="L1370" s="13" t="b">
        <x:v>0</x:v>
      </x:c>
      <x:c r="M1370" s="13" t="b">
        <x:v>1</x:v>
      </x:c>
      <x:c r="N1370" s="2" t="str">
        <x:v>nominal2020; Overture geometry2024-07-22.0; height support2018</x:v>
      </x:c>
      <x:c r="O1370" s="2" t="str"/>
      <x:c r="P1370" s="2" t="str">
        <x:v>included-footprint horizontal area</x:v>
      </x:c>
      <x:c r="Q1370" s="2" t="str">
        <x:v>m2</x:v>
      </x:c>
      <x:c r="R1370" s="17" t="n">
        <x:v>760808245.4200001</x:v>
      </x:c>
      <x:c r="S1370" s="17" t="n">
        <x:v>640256278.63</x:v>
      </x:c>
      <x:c r="T1370" s="18" t="n">
        <x:v>1.0139246805499134</x:v>
      </x:c>
      <x:c r="U1370" s="17" t="n">
        <x:v>649171642.779999</x:v>
      </x:c>
      <x:c r="V1370" s="2" t="str">
        <x:v>Area equivalent = model2020 * OBAT footprint / TEMPO2020 footprint</x:v>
      </x:c>
      <x:c r="W1370" s="2" t="str">
        <x:v>qualified_source_frame_numeric_summary</x:v>
      </x:c>
      <x:c r="X1370" s="2" t="str">
        <x:v>https://data.jrc.ec.europa.eu/dataset/f41a22f1-5741-4c41-86eb-6384654f6927</x:v>
      </x:c>
    </x:row>
    <x:row r="1371" ht="23" customHeight="1">
      <x:c r="A1371" s="2" t="str">
        <x:v>TUR</x:v>
      </x:c>
      <x:c r="B1371" s="2" t="str">
        <x:v>Türkiye (Republic of)</x:v>
      </x:c>
      <x:c r="C1371" s="2" t="n">
        <x:v>2020</x:v>
      </x:c>
      <x:c r="D1371" s="2" t="str">
        <x:v>OBAT_FOOTPRINT</x:v>
      </x:c>
      <x:c r="E1371" s="17" t="n">
        <x:v>3957897873.260005</x:v>
      </x:c>
      <x:c r="F1371" s="17" t="n">
        <x:f>IF(AND(M1371,ISNUMBER(R1371)),IF(D1371="TEMPO_PROXY",R1371,IF(AND(ISNUMBER(S1371),S1371&gt;0,ISNUMBER(U1371)),U1371*R1371/S1371,"n.a.")),"n.a.")</x:f>
        <x:v>4092996326.68484</x:v>
      </x:c>
      <x:c r="G1371" s="17" t="n">
        <x:f>IF(AND(ISNUMBER(E1371),ISNUMBER(F1371)),E1371-F1371,"n.a.")</x:f>
        <x:v>-135098453.4248352</x:v>
      </x:c>
      <x:c r="H1371" s="15" t="n">
        <x:f>IF(AND(ISNUMBER(E1371),ISNUMBER(F1371),F1371&gt;0),(E1371-F1371)/F1371,"n.a.")</x:f>
        <x:v>-0.03300722567084721</x:v>
      </x:c>
      <x:c r="I1371" s="19" t="n">
        <x:f>IF(ISNUMBER(H1371),ABS(H1371),"n.a.")</x:f>
        <x:v>0.03300722567084721</x:v>
      </x:c>
      <x:c r="J1371" s="2" t="str">
        <x:v>available</x:v>
      </x:c>
      <x:c r="K1371" s="2" t="n">
        <x:v>1</x:v>
      </x:c>
      <x:c r="L1371" s="13" t="b">
        <x:v>0</x:v>
      </x:c>
      <x:c r="M1371" s="13" t="b">
        <x:v>1</x:v>
      </x:c>
      <x:c r="N1371" s="2" t="str">
        <x:v>nominal2020; Overture geometry2024-07-22.0; height support2018</x:v>
      </x:c>
      <x:c r="O1371" s="2" t="str"/>
      <x:c r="P1371" s="2" t="str">
        <x:v>included-footprint horizontal area</x:v>
      </x:c>
      <x:c r="Q1371" s="2" t="str">
        <x:v>m2</x:v>
      </x:c>
      <x:c r="R1371" s="17" t="n">
        <x:v>3851988999.8599997</x:v>
      </x:c>
      <x:c r="S1371" s="17" t="n">
        <x:v>3724845529.66</x:v>
      </x:c>
      <x:c r="T1371" s="18" t="n">
        <x:v>1.0625669821055044</x:v>
      </x:c>
      <x:c r="U1371" s="17" t="n">
        <x:v>3957897873.260005</x:v>
      </x:c>
      <x:c r="V1371" s="2" t="str">
        <x:v>Area equivalent = model2020 * OBAT footprint / TEMPO2020 footprint</x:v>
      </x:c>
      <x:c r="W1371" s="2" t="str">
        <x:v>qualified_source_frame_numeric_summary</x:v>
      </x:c>
      <x:c r="X1371" s="2" t="str">
        <x:v>https://data.jrc.ec.europa.eu/dataset/f41a22f1-5741-4c41-86eb-6384654f6927</x:v>
      </x:c>
    </x:row>
    <x:row r="1372" ht="23" customHeight="1">
      <x:c r="A1372" s="2" t="str">
        <x:v>TUV</x:v>
      </x:c>
      <x:c r="B1372" s="2" t="str">
        <x:v>Tuvalu</x:v>
      </x:c>
      <x:c r="C1372" s="2" t="n">
        <x:v>2020</x:v>
      </x:c>
      <x:c r="D1372" s="2" t="str">
        <x:v>OBAT_FOOTPRINT</x:v>
      </x:c>
      <x:c r="E1372" s="17" t="n">
        <x:v>19394.80999999999</x:v>
      </x:c>
      <x:c r="F1372" s="17" t="n">
        <x:f>IF(AND(M1372,ISNUMBER(R1372)),IF(D1372="TEMPO_PROXY",R1372,IF(AND(ISNUMBER(S1372),S1372&gt;0,ISNUMBER(U1372)),U1372*R1372/S1372,"n.a.")),"n.a.")</x:f>
        <x:v>467023.9099999997</x:v>
      </x:c>
      <x:c r="G1372" s="17" t="n">
        <x:f>IF(AND(ISNUMBER(E1372),ISNUMBER(F1372)),E1372-F1372,"n.a.")</x:f>
        <x:v>-447629.0999999997</x:v>
      </x:c>
      <x:c r="H1372" s="15" t="n">
        <x:f>IF(AND(ISNUMBER(E1372),ISNUMBER(F1372),F1372&gt;0),(E1372-F1372)/F1372,"n.a.")</x:f>
        <x:v>-0.9584714838261706</x:v>
      </x:c>
      <x:c r="I1372" s="19" t="n">
        <x:f>IF(ISNUMBER(H1372),ABS(H1372),"n.a.")</x:f>
        <x:v>0.9584714838261706</x:v>
      </x:c>
      <x:c r="J1372" s="2" t="str">
        <x:v>available</x:v>
      </x:c>
      <x:c r="K1372" s="2" t="n">
        <x:v>1</x:v>
      </x:c>
      <x:c r="L1372" s="13" t="b">
        <x:v>0</x:v>
      </x:c>
      <x:c r="M1372" s="13" t="b">
        <x:v>1</x:v>
      </x:c>
      <x:c r="N1372" s="2" t="str">
        <x:v>nominal2020; Overture geometry2024-07-22.0; height support2018</x:v>
      </x:c>
      <x:c r="O1372" s="2" t="str"/>
      <x:c r="P1372" s="2" t="str">
        <x:v>included-footprint horizontal area</x:v>
      </x:c>
      <x:c r="Q1372" s="2" t="str">
        <x:v>m2</x:v>
      </x:c>
      <x:c r="R1372" s="17" t="n">
        <x:v>467023.91</x:v>
      </x:c>
      <x:c r="S1372" s="17" t="n">
        <x:v>19394.81</x:v>
      </x:c>
      <x:c r="T1372" s="18" t="n">
        <x:v>0.9999999999999994</x:v>
      </x:c>
      <x:c r="U1372" s="17" t="n">
        <x:v>19394.80999999999</x:v>
      </x:c>
      <x:c r="V1372" s="2" t="str">
        <x:v>Area equivalent = model2020 * OBAT footprint / TEMPO2020 footprint</x:v>
      </x:c>
      <x:c r="W1372" s="2" t="str">
        <x:v>qualified_source_frame_numeric_summary</x:v>
      </x:c>
      <x:c r="X1372" s="2" t="str">
        <x:v>https://data.jrc.ec.europa.eu/dataset/f41a22f1-5741-4c41-86eb-6384654f6927</x:v>
      </x:c>
    </x:row>
    <x:row r="1373" ht="23" customHeight="1">
      <x:c r="A1373" s="2" t="str">
        <x:v>TZA</x:v>
      </x:c>
      <x:c r="B1373" s="2" t="str">
        <x:v>Tanzania (United Republic of)</x:v>
      </x:c>
      <x:c r="C1373" s="2" t="n">
        <x:v>2020</x:v>
      </x:c>
      <x:c r="D1373" s="2" t="str">
        <x:v>OBAT_FOOTPRINT</x:v>
      </x:c>
      <x:c r="E1373" s="17" t="n">
        <x:v>1174486408.8199985</x:v>
      </x:c>
      <x:c r="F1373" s="17" t="n">
        <x:f>IF(AND(M1373,ISNUMBER(R1373)),IF(D1373="TEMPO_PROXY",R1373,IF(AND(ISNUMBER(S1373),S1373&gt;0,ISNUMBER(U1373)),U1373*R1373/S1373,"n.a.")),"n.a.")</x:f>
        <x:v>1453207168.279998</x:v>
      </x:c>
      <x:c r="G1373" s="17" t="n">
        <x:f>IF(AND(ISNUMBER(E1373),ISNUMBER(F1373)),E1373-F1373,"n.a.")</x:f>
        <x:v>-278720759.45999956</x:v>
      </x:c>
      <x:c r="H1373" s="15" t="n">
        <x:f>IF(AND(ISNUMBER(E1373),ISNUMBER(F1373),F1373&gt;0),(E1373-F1373)/F1373,"n.a.")</x:f>
        <x:v>-0.19179698913121296</x:v>
      </x:c>
      <x:c r="I1373" s="19" t="n">
        <x:f>IF(ISNUMBER(H1373),ABS(H1373),"n.a.")</x:f>
        <x:v>0.19179698913121296</x:v>
      </x:c>
      <x:c r="J1373" s="2" t="str">
        <x:v>available</x:v>
      </x:c>
      <x:c r="K1373" s="2" t="n">
        <x:v>1</x:v>
      </x:c>
      <x:c r="L1373" s="13" t="b">
        <x:v>0</x:v>
      </x:c>
      <x:c r="M1373" s="13" t="b">
        <x:v>1</x:v>
      </x:c>
      <x:c r="N1373" s="2" t="str">
        <x:v>nominal2020; Overture geometry2024-07-22.0; height support2018</x:v>
      </x:c>
      <x:c r="O1373" s="2" t="str"/>
      <x:c r="P1373" s="2" t="str">
        <x:v>included-footprint horizontal area</x:v>
      </x:c>
      <x:c r="Q1373" s="2" t="str">
        <x:v>m2</x:v>
      </x:c>
      <x:c r="R1373" s="17" t="n">
        <x:v>1453207168.28</x:v>
      </x:c>
      <x:c r="S1373" s="17" t="n">
        <x:v>1174486408.82</x:v>
      </x:c>
      <x:c r="T1373" s="18" t="n">
        <x:v>0.9999999999999988</x:v>
      </x:c>
      <x:c r="U1373" s="17" t="n">
        <x:v>1174486408.8199985</x:v>
      </x:c>
      <x:c r="V1373" s="2" t="str">
        <x:v>Area equivalent = model2020 * OBAT footprint / TEMPO2020 footprint</x:v>
      </x:c>
      <x:c r="W1373" s="2" t="str">
        <x:v>qualified_source_frame_numeric_summary</x:v>
      </x:c>
      <x:c r="X1373" s="2" t="str">
        <x:v>https://data.jrc.ec.europa.eu/dataset/f41a22f1-5741-4c41-86eb-6384654f6927</x:v>
      </x:c>
    </x:row>
    <x:row r="1374" ht="23" customHeight="1">
      <x:c r="A1374" s="2" t="str">
        <x:v>UGA</x:v>
      </x:c>
      <x:c r="B1374" s="2" t="str">
        <x:v>Uganda (Republic of)</x:v>
      </x:c>
      <x:c r="C1374" s="2" t="n">
        <x:v>2020</x:v>
      </x:c>
      <x:c r="D1374" s="2" t="str">
        <x:v>OBAT_FOOTPRINT</x:v>
      </x:c>
      <x:c r="E1374" s="17" t="n">
        <x:v>765891927.1500008</x:v>
      </x:c>
      <x:c r="F1374" s="17" t="n">
        <x:f>IF(AND(M1374,ISNUMBER(R1374)),IF(D1374="TEMPO_PROXY",R1374,IF(AND(ISNUMBER(S1374),S1374&gt;0,ISNUMBER(U1374)),U1374*R1374/S1374,"n.a.")),"n.a.")</x:f>
        <x:v>936104562.3800011</x:v>
      </x:c>
      <x:c r="G1374" s="17" t="n">
        <x:f>IF(AND(ISNUMBER(E1374),ISNUMBER(F1374)),E1374-F1374,"n.a.")</x:f>
        <x:v>-170212635.23000026</x:v>
      </x:c>
      <x:c r="H1374" s="15" t="n">
        <x:f>IF(AND(ISNUMBER(E1374),ISNUMBER(F1374),F1374&gt;0),(E1374-F1374)/F1374,"n.a.")</x:f>
        <x:v>-0.18183079334347305</x:v>
      </x:c>
      <x:c r="I1374" s="19" t="n">
        <x:f>IF(ISNUMBER(H1374),ABS(H1374),"n.a.")</x:f>
        <x:v>0.18183079334347305</x:v>
      </x:c>
      <x:c r="J1374" s="2" t="str">
        <x:v>available</x:v>
      </x:c>
      <x:c r="K1374" s="2" t="n">
        <x:v>1</x:v>
      </x:c>
      <x:c r="L1374" s="13" t="b">
        <x:v>0</x:v>
      </x:c>
      <x:c r="M1374" s="13" t="b">
        <x:v>1</x:v>
      </x:c>
      <x:c r="N1374" s="2" t="str">
        <x:v>nominal2020; Overture geometry2024-07-22.0; height support2018</x:v>
      </x:c>
      <x:c r="O1374" s="2" t="str"/>
      <x:c r="P1374" s="2" t="str">
        <x:v>included-footprint horizontal area</x:v>
      </x:c>
      <x:c r="Q1374" s="2" t="str">
        <x:v>m2</x:v>
      </x:c>
      <x:c r="R1374" s="17" t="n">
        <x:v>936104562.38</x:v>
      </x:c>
      <x:c r="S1374" s="17" t="n">
        <x:v>765891927.15</x:v>
      </x:c>
      <x:c r="T1374" s="18" t="n">
        <x:v>1.000000000000001</x:v>
      </x:c>
      <x:c r="U1374" s="17" t="n">
        <x:v>765891927.1500008</x:v>
      </x:c>
      <x:c r="V1374" s="2" t="str">
        <x:v>Area equivalent = model2020 * OBAT footprint / TEMPO2020 footprint</x:v>
      </x:c>
      <x:c r="W1374" s="2" t="str">
        <x:v>qualified_source_frame_numeric_summary</x:v>
      </x:c>
      <x:c r="X1374" s="2" t="str">
        <x:v>https://data.jrc.ec.europa.eu/dataset/f41a22f1-5741-4c41-86eb-6384654f6927</x:v>
      </x:c>
    </x:row>
    <x:row r="1375" ht="23" customHeight="1">
      <x:c r="A1375" s="2" t="str">
        <x:v>UKR</x:v>
      </x:c>
      <x:c r="B1375" s="2" t="str">
        <x:v>Ukraine</x:v>
      </x:c>
      <x:c r="C1375" s="2" t="n">
        <x:v>2020</x:v>
      </x:c>
      <x:c r="D1375" s="2" t="str">
        <x:v>OBAT_FOOTPRINT</x:v>
      </x:c>
      <x:c r="E1375" s="17" t="n">
        <x:v>2808807029.8199997</x:v>
      </x:c>
      <x:c r="F1375" s="17" t="n">
        <x:f>IF(AND(M1375,ISNUMBER(R1375)),IF(D1375="TEMPO_PROXY",R1375,IF(AND(ISNUMBER(S1375),S1375&gt;0,ISNUMBER(U1375)),U1375*R1375/S1375,"n.a.")),"n.a.")</x:f>
        <x:v>2858008890.0299993</x:v>
      </x:c>
      <x:c r="G1375" s="17" t="n">
        <x:f>IF(AND(ISNUMBER(E1375),ISNUMBER(F1375)),E1375-F1375,"n.a.")</x:f>
        <x:v>-49201860.20999956</x:v>
      </x:c>
      <x:c r="H1375" s="15" t="n">
        <x:f>IF(AND(ISNUMBER(E1375),ISNUMBER(F1375),F1375&gt;0),(E1375-F1375)/F1375,"n.a.")</x:f>
        <x:v>-0.0172154328776364</x:v>
      </x:c>
      <x:c r="I1375" s="19" t="n">
        <x:f>IF(ISNUMBER(H1375),ABS(H1375),"n.a.")</x:f>
        <x:v>0.0172154328776364</x:v>
      </x:c>
      <x:c r="J1375" s="2" t="str">
        <x:v>available</x:v>
      </x:c>
      <x:c r="K1375" s="2" t="n">
        <x:v>1</x:v>
      </x:c>
      <x:c r="L1375" s="13" t="b">
        <x:v>0</x:v>
      </x:c>
      <x:c r="M1375" s="13" t="b">
        <x:v>1</x:v>
      </x:c>
      <x:c r="N1375" s="2" t="str">
        <x:v>nominal2020; Overture geometry2024-07-22.0; height support2018</x:v>
      </x:c>
      <x:c r="O1375" s="2" t="str"/>
      <x:c r="P1375" s="2" t="str">
        <x:v>included-footprint horizontal area</x:v>
      </x:c>
      <x:c r="Q1375" s="2" t="str">
        <x:v>m2</x:v>
      </x:c>
      <x:c r="R1375" s="17" t="n">
        <x:v>2858008890.0299997</x:v>
      </x:c>
      <x:c r="S1375" s="17" t="n">
        <x:v>2808807029.82</x:v>
      </x:c>
      <x:c r="T1375" s="18" t="n">
        <x:v>0.9999999999999998</x:v>
      </x:c>
      <x:c r="U1375" s="17" t="n">
        <x:v>2808807029.8199997</x:v>
      </x:c>
      <x:c r="V1375" s="2" t="str">
        <x:v>Area equivalent = model2020 * OBAT footprint / TEMPO2020 footprint</x:v>
      </x:c>
      <x:c r="W1375" s="2" t="str">
        <x:v>qualified_source_frame_numeric_summary</x:v>
      </x:c>
      <x:c r="X1375" s="2" t="str">
        <x:v>https://data.jrc.ec.europa.eu/dataset/f41a22f1-5741-4c41-86eb-6384654f6927</x:v>
      </x:c>
    </x:row>
    <x:row r="1376" ht="23" customHeight="1">
      <x:c r="A1376" s="2" t="str">
        <x:v>URY</x:v>
      </x:c>
      <x:c r="B1376" s="2" t="str">
        <x:v>Uruguay (Oriental Republic of)</x:v>
      </x:c>
      <x:c r="C1376" s="2" t="n">
        <x:v>2020</x:v>
      </x:c>
      <x:c r="D1376" s="2" t="str">
        <x:v>OBAT_FOOTPRINT</x:v>
      </x:c>
      <x:c r="E1376" s="17" t="n">
        <x:v>209727833.2899997</x:v>
      </x:c>
      <x:c r="F1376" s="17" t="n">
        <x:f>IF(AND(M1376,ISNUMBER(R1376)),IF(D1376="TEMPO_PROXY",R1376,IF(AND(ISNUMBER(S1376),S1376&gt;0,ISNUMBER(U1376)),U1376*R1376/S1376,"n.a.")),"n.a.")</x:f>
        <x:v>222271536.0899997</x:v>
      </x:c>
      <x:c r="G1376" s="17" t="n">
        <x:f>IF(AND(ISNUMBER(E1376),ISNUMBER(F1376)),E1376-F1376,"n.a.")</x:f>
        <x:v>-12543702.800000012</x:v>
      </x:c>
      <x:c r="H1376" s="15" t="n">
        <x:f>IF(AND(ISNUMBER(E1376),ISNUMBER(F1376),F1376&gt;0),(E1376-F1376)/F1376,"n.a.")</x:f>
        <x:v>-0.05643413916445404</x:v>
      </x:c>
      <x:c r="I1376" s="19" t="n">
        <x:f>IF(ISNUMBER(H1376),ABS(H1376),"n.a.")</x:f>
        <x:v>0.05643413916445404</x:v>
      </x:c>
      <x:c r="J1376" s="2" t="str">
        <x:v>available</x:v>
      </x:c>
      <x:c r="K1376" s="2" t="n">
        <x:v>1</x:v>
      </x:c>
      <x:c r="L1376" s="13" t="b">
        <x:v>0</x:v>
      </x:c>
      <x:c r="M1376" s="13" t="b">
        <x:v>1</x:v>
      </x:c>
      <x:c r="N1376" s="2" t="str">
        <x:v>nominal2020; Overture geometry2024-07-22.0; height support2018</x:v>
      </x:c>
      <x:c r="O1376" s="2" t="str"/>
      <x:c r="P1376" s="2" t="str">
        <x:v>included-footprint horizontal area</x:v>
      </x:c>
      <x:c r="Q1376" s="2" t="str">
        <x:v>m2</x:v>
      </x:c>
      <x:c r="R1376" s="17" t="n">
        <x:v>222271536.09</x:v>
      </x:c>
      <x:c r="S1376" s="17" t="n">
        <x:v>209727833.29</x:v>
      </x:c>
      <x:c r="T1376" s="18" t="n">
        <x:v>0.9999999999999986</x:v>
      </x:c>
      <x:c r="U1376" s="17" t="n">
        <x:v>209727833.2899997</x:v>
      </x:c>
      <x:c r="V1376" s="2" t="str">
        <x:v>Area equivalent = model2020 * OBAT footprint / TEMPO2020 footprint</x:v>
      </x:c>
      <x:c r="W1376" s="2" t="str">
        <x:v>qualified_source_frame_numeric_summary</x:v>
      </x:c>
      <x:c r="X1376" s="2" t="str">
        <x:v>https://data.jrc.ec.europa.eu/dataset/f41a22f1-5741-4c41-86eb-6384654f6927</x:v>
      </x:c>
    </x:row>
    <x:row r="1377" ht="23" customHeight="1">
      <x:c r="A1377" s="2" t="str">
        <x:v>USA</x:v>
      </x:c>
      <x:c r="B1377" s="2" t="str">
        <x:v>United States of America</x:v>
      </x:c>
      <x:c r="C1377" s="2" t="n">
        <x:v>2020</x:v>
      </x:c>
      <x:c r="D1377" s="2" t="str">
        <x:v>OBAT_FOOTPRINT</x:v>
      </x:c>
      <x:c r="E1377" s="17" t="n">
        <x:v>35932980078.68004</x:v>
      </x:c>
      <x:c r="F1377" s="17" t="n">
        <x:f>IF(AND(M1377,ISNUMBER(R1377)),IF(D1377="TEMPO_PROXY",R1377,IF(AND(ISNUMBER(S1377),S1377&gt;0,ISNUMBER(U1377)),U1377*R1377/S1377,"n.a.")),"n.a.")</x:f>
        <x:v>48425575111.11005</x:v>
      </x:c>
      <x:c r="G1377" s="17" t="n">
        <x:f>IF(AND(ISNUMBER(E1377),ISNUMBER(F1377)),E1377-F1377,"n.a.")</x:f>
        <x:v>-12492595032.430008</x:v>
      </x:c>
      <x:c r="H1377" s="15" t="n">
        <x:f>IF(AND(ISNUMBER(E1377),ISNUMBER(F1377),F1377&gt;0),(E1377-F1377)/F1377,"n.a.")</x:f>
        <x:v>-0.2579751506051581</x:v>
      </x:c>
      <x:c r="I1377" s="19" t="n">
        <x:f>IF(ISNUMBER(H1377),ABS(H1377),"n.a.")</x:f>
        <x:v>0.2579751506051581</x:v>
      </x:c>
      <x:c r="J1377" s="2" t="str">
        <x:v>available</x:v>
      </x:c>
      <x:c r="K1377" s="2" t="n">
        <x:v>1</x:v>
      </x:c>
      <x:c r="L1377" s="13" t="b">
        <x:v>0</x:v>
      </x:c>
      <x:c r="M1377" s="13" t="b">
        <x:v>1</x:v>
      </x:c>
      <x:c r="N1377" s="2" t="str">
        <x:v>nominal2020; Overture geometry2024-07-22.0; height support2018</x:v>
      </x:c>
      <x:c r="O1377" s="2" t="str"/>
      <x:c r="P1377" s="2" t="str">
        <x:v>included-footprint horizontal area</x:v>
      </x:c>
      <x:c r="Q1377" s="2" t="str">
        <x:v>m2</x:v>
      </x:c>
      <x:c r="R1377" s="17" t="n">
        <x:v>48425575111.10999</x:v>
      </x:c>
      <x:c r="S1377" s="17" t="n">
        <x:v>35932980078.68</x:v>
      </x:c>
      <x:c r="T1377" s="18" t="n">
        <x:v>1.000000000000001</x:v>
      </x:c>
      <x:c r="U1377" s="17" t="n">
        <x:v>35932980078.68004</x:v>
      </x:c>
      <x:c r="V1377" s="2" t="str">
        <x:v>Area equivalent = model2020 * OBAT footprint / TEMPO2020 footprint</x:v>
      </x:c>
      <x:c r="W1377" s="2" t="str">
        <x:v>qualified_source_frame_numeric_summary</x:v>
      </x:c>
      <x:c r="X1377" s="2" t="str">
        <x:v>https://data.jrc.ec.europa.eu/dataset/f41a22f1-5741-4c41-86eb-6384654f6927</x:v>
      </x:c>
    </x:row>
    <x:row r="1378" ht="23" customHeight="1">
      <x:c r="A1378" s="2" t="str">
        <x:v>UZB</x:v>
      </x:c>
      <x:c r="B1378" s="2" t="str">
        <x:v>Uzbekistan (Republic of)</x:v>
      </x:c>
      <x:c r="C1378" s="2" t="n">
        <x:v>2020</x:v>
      </x:c>
      <x:c r="D1378" s="2" t="str">
        <x:v>OBAT_FOOTPRINT</x:v>
      </x:c>
      <x:c r="E1378" s="17" t="n">
        <x:v>1997042653.6300015</x:v>
      </x:c>
      <x:c r="F1378" s="17" t="n">
        <x:f>IF(AND(M1378,ISNUMBER(R1378)),IF(D1378="TEMPO_PROXY",R1378,IF(AND(ISNUMBER(S1378),S1378&gt;0,ISNUMBER(U1378)),U1378*R1378/S1378,"n.a.")),"n.a.")</x:f>
        <x:v>1188997052.010001</x:v>
      </x:c>
      <x:c r="G1378" s="17" t="n">
        <x:f>IF(AND(ISNUMBER(E1378),ISNUMBER(F1378)),E1378-F1378,"n.a.")</x:f>
        <x:v>808045601.6200006</x:v>
      </x:c>
      <x:c r="H1378" s="15" t="n">
        <x:f>IF(AND(ISNUMBER(E1378),ISNUMBER(F1378),F1378&gt;0),(E1378-F1378)/F1378,"n.a.")</x:f>
        <x:v>0.6796026956113966</x:v>
      </x:c>
      <x:c r="I1378" s="19" t="n">
        <x:f>IF(ISNUMBER(H1378),ABS(H1378),"n.a.")</x:f>
        <x:v>0.6796026956113966</x:v>
      </x:c>
      <x:c r="J1378" s="2" t="str">
        <x:v>available</x:v>
      </x:c>
      <x:c r="K1378" s="2" t="n">
        <x:v>1</x:v>
      </x:c>
      <x:c r="L1378" s="13" t="b">
        <x:v>0</x:v>
      </x:c>
      <x:c r="M1378" s="13" t="b">
        <x:v>1</x:v>
      </x:c>
      <x:c r="N1378" s="2" t="str">
        <x:v>nominal2020; Overture geometry2024-07-22.0; height support2018</x:v>
      </x:c>
      <x:c r="O1378" s="2" t="str"/>
      <x:c r="P1378" s="2" t="str">
        <x:v>included-footprint horizontal area</x:v>
      </x:c>
      <x:c r="Q1378" s="2" t="str">
        <x:v>m2</x:v>
      </x:c>
      <x:c r="R1378" s="17" t="n">
        <x:v>1188997052.01</x:v>
      </x:c>
      <x:c r="S1378" s="17" t="n">
        <x:v>1997042653.63</x:v>
      </x:c>
      <x:c r="T1378" s="18" t="n">
        <x:v>1.0000000000000007</x:v>
      </x:c>
      <x:c r="U1378" s="17" t="n">
        <x:v>1997042653.6300015</x:v>
      </x:c>
      <x:c r="V1378" s="2" t="str">
        <x:v>Area equivalent = model2020 * OBAT footprint / TEMPO2020 footprint</x:v>
      </x:c>
      <x:c r="W1378" s="2" t="str">
        <x:v>qualified_source_frame_numeric_summary</x:v>
      </x:c>
      <x:c r="X1378" s="2" t="str">
        <x:v>https://data.jrc.ec.europa.eu/dataset/f41a22f1-5741-4c41-86eb-6384654f6927</x:v>
      </x:c>
    </x:row>
    <x:row r="1379" ht="23" customHeight="1">
      <x:c r="A1379" s="2" t="str">
        <x:v>VAT</x:v>
      </x:c>
      <x:c r="B1379" s="2" t="str">
        <x:v>Holy See (State of the Vatican City)</x:v>
      </x:c>
      <x:c r="C1379" s="2" t="n">
        <x:v>2020</x:v>
      </x:c>
      <x:c r="D1379" s="2" t="str">
        <x:v>OBAT_FOOTPRINT</x:v>
      </x:c>
      <x:c r="E1379" s="17" t="n">
        <x:v>318924.24</x:v>
      </x:c>
      <x:c r="F1379" s="17" t="n">
        <x:f>IF(AND(M1379,ISNUMBER(R1379)),IF(D1379="TEMPO_PROXY",R1379,IF(AND(ISNUMBER(S1379),S1379&gt;0,ISNUMBER(U1379)),U1379*R1379/S1379,"n.a.")),"n.a.")</x:f>
        <x:v>361437.9666520287</x:v>
      </x:c>
      <x:c r="G1379" s="17" t="n">
        <x:f>IF(AND(ISNUMBER(E1379),ISNUMBER(F1379)),E1379-F1379,"n.a.")</x:f>
        <x:v>-42513.72665202874</x:v>
      </x:c>
      <x:c r="H1379" s="15" t="n">
        <x:f>IF(AND(ISNUMBER(E1379),ISNUMBER(F1379),F1379&gt;0),(E1379-F1379)/F1379,"n.a.")</x:f>
        <x:v>-0.11762385408990102</x:v>
      </x:c>
      <x:c r="I1379" s="19" t="n">
        <x:f>IF(ISNUMBER(H1379),ABS(H1379),"n.a.")</x:f>
        <x:v>0.11762385408990102</x:v>
      </x:c>
      <x:c r="J1379" s="2" t="str">
        <x:v>available</x:v>
      </x:c>
      <x:c r="K1379" s="2" t="n">
        <x:v>1</x:v>
      </x:c>
      <x:c r="L1379" s="13" t="b">
        <x:v>0</x:v>
      </x:c>
      <x:c r="M1379" s="13" t="b">
        <x:v>1</x:v>
      </x:c>
      <x:c r="N1379" s="2" t="str">
        <x:v>nominal2020; Overture geometry2024-07-22.0; height support2018</x:v>
      </x:c>
      <x:c r="O1379" s="2" t="str"/>
      <x:c r="P1379" s="2" t="str">
        <x:v>included-footprint horizontal area</x:v>
      </x:c>
      <x:c r="Q1379" s="2" t="str">
        <x:v>m2</x:v>
      </x:c>
      <x:c r="R1379" s="17" t="n">
        <x:v>133821.58000000002</x:v>
      </x:c>
      <x:c r="S1379" s="17" t="n">
        <x:v>118080.97</x:v>
      </x:c>
      <x:c r="T1379" s="18" t="n">
        <x:v>2.700894479440675</x:v>
      </x:c>
      <x:c r="U1379" s="17" t="n">
        <x:v>318924.24</x:v>
      </x:c>
      <x:c r="V1379" s="2" t="str">
        <x:v>Area equivalent = model2020 * OBAT footprint / TEMPO2020 footprint</x:v>
      </x:c>
      <x:c r="W1379" s="2" t="str">
        <x:v>qualified_source_frame_numeric_summary</x:v>
      </x:c>
      <x:c r="X1379" s="2" t="str">
        <x:v>https://data.jrc.ec.europa.eu/dataset/f41a22f1-5741-4c41-86eb-6384654f6927</x:v>
      </x:c>
    </x:row>
    <x:row r="1380" ht="23" customHeight="1">
      <x:c r="A1380" s="2" t="str">
        <x:v>VCT</x:v>
      </x:c>
      <x:c r="B1380" s="2" t="str">
        <x:v>Saint Vincent and the Grenadines</x:v>
      </x:c>
      <x:c r="C1380" s="2" t="n">
        <x:v>2020</x:v>
      </x:c>
      <x:c r="D1380" s="2" t="str">
        <x:v>OBAT_FOOTPRINT</x:v>
      </x:c>
      <x:c r="E1380" s="17" t="n">
        <x:v>6194383.570000002</x:v>
      </x:c>
      <x:c r="F1380" s="17" t="n">
        <x:f>IF(AND(M1380,ISNUMBER(R1380)),IF(D1380="TEMPO_PROXY",R1380,IF(AND(ISNUMBER(S1380),S1380&gt;0,ISNUMBER(U1380)),U1380*R1380/S1380,"n.a.")),"n.a.")</x:f>
        <x:v>7027734.440000022</x:v>
      </x:c>
      <x:c r="G1380" s="17" t="n">
        <x:f>IF(AND(ISNUMBER(E1380),ISNUMBER(F1380)),E1380-F1380,"n.a.")</x:f>
        <x:v>-833350.8700000197</x:v>
      </x:c>
      <x:c r="H1380" s="15" t="n">
        <x:f>IF(AND(ISNUMBER(E1380),ISNUMBER(F1380),F1380&gt;0),(E1380-F1380)/F1380,"n.a.")</x:f>
        <x:v>-0.11858030167685407</x:v>
      </x:c>
      <x:c r="I1380" s="19" t="n">
        <x:f>IF(ISNUMBER(H1380),ABS(H1380),"n.a.")</x:f>
        <x:v>0.11858030167685407</x:v>
      </x:c>
      <x:c r="J1380" s="2" t="str">
        <x:v>available</x:v>
      </x:c>
      <x:c r="K1380" s="2" t="n">
        <x:v>1</x:v>
      </x:c>
      <x:c r="L1380" s="13" t="b">
        <x:v>0</x:v>
      </x:c>
      <x:c r="M1380" s="13" t="b">
        <x:v>1</x:v>
      </x:c>
      <x:c r="N1380" s="2" t="str">
        <x:v>nominal2020; Overture geometry2024-07-22.0; height support2018</x:v>
      </x:c>
      <x:c r="O1380" s="2" t="str"/>
      <x:c r="P1380" s="2" t="str">
        <x:v>included-footprint horizontal area</x:v>
      </x:c>
      <x:c r="Q1380" s="2" t="str">
        <x:v>m2</x:v>
      </x:c>
      <x:c r="R1380" s="17" t="n">
        <x:v>7027734.44000002</x:v>
      </x:c>
      <x:c r="S1380" s="17" t="n">
        <x:v>6194383.57</x:v>
      </x:c>
      <x:c r="T1380" s="18" t="n">
        <x:v>1.0000000000000002</x:v>
      </x:c>
      <x:c r="U1380" s="17" t="n">
        <x:v>6194383.570000002</x:v>
      </x:c>
      <x:c r="V1380" s="2" t="str">
        <x:v>Area equivalent = model2020 * OBAT footprint / TEMPO2020 footprint</x:v>
      </x:c>
      <x:c r="W1380" s="2" t="str">
        <x:v>qualified_source_frame_numeric_summary</x:v>
      </x:c>
      <x:c r="X1380" s="2" t="str">
        <x:v>https://data.jrc.ec.europa.eu/dataset/f41a22f1-5741-4c41-86eb-6384654f6927</x:v>
      </x:c>
    </x:row>
    <x:row r="1381" ht="23" customHeight="1">
      <x:c r="A1381" s="2" t="str">
        <x:v>VEN</x:v>
      </x:c>
      <x:c r="B1381" s="2" t="str">
        <x:v>Venezuela (Bolivarian Republic of)</x:v>
      </x:c>
      <x:c r="C1381" s="2" t="n">
        <x:v>2020</x:v>
      </x:c>
      <x:c r="D1381" s="2" t="str">
        <x:v>OBAT_FOOTPRINT</x:v>
      </x:c>
      <x:c r="E1381" s="17" t="n">
        <x:v>1159546607.6500015</x:v>
      </x:c>
      <x:c r="F1381" s="17" t="n">
        <x:f>IF(AND(M1381,ISNUMBER(R1381)),IF(D1381="TEMPO_PROXY",R1381,IF(AND(ISNUMBER(S1381),S1381&gt;0,ISNUMBER(U1381)),U1381*R1381/S1381,"n.a.")),"n.a.")</x:f>
        <x:v>1197068772.3700013</x:v>
      </x:c>
      <x:c r="G1381" s="17" t="n">
        <x:f>IF(AND(ISNUMBER(E1381),ISNUMBER(F1381)),E1381-F1381,"n.a.")</x:f>
        <x:v>-37522164.71999979</x:v>
      </x:c>
      <x:c r="H1381" s="15" t="n">
        <x:f>IF(AND(ISNUMBER(E1381),ISNUMBER(F1381),F1381&gt;0),(E1381-F1381)/F1381,"n.a.")</x:f>
        <x:v>-0.031345036798271844</x:v>
      </x:c>
      <x:c r="I1381" s="19" t="n">
        <x:f>IF(ISNUMBER(H1381),ABS(H1381),"n.a.")</x:f>
        <x:v>0.031345036798271844</x:v>
      </x:c>
      <x:c r="J1381" s="2" t="str">
        <x:v>available</x:v>
      </x:c>
      <x:c r="K1381" s="2" t="n">
        <x:v>1</x:v>
      </x:c>
      <x:c r="L1381" s="13" t="b">
        <x:v>0</x:v>
      </x:c>
      <x:c r="M1381" s="13" t="b">
        <x:v>1</x:v>
      </x:c>
      <x:c r="N1381" s="2" t="str">
        <x:v>nominal2020; Overture geometry2024-07-22.0; height support2018</x:v>
      </x:c>
      <x:c r="O1381" s="2" t="str"/>
      <x:c r="P1381" s="2" t="str">
        <x:v>included-footprint horizontal area</x:v>
      </x:c>
      <x:c r="Q1381" s="2" t="str">
        <x:v>m2</x:v>
      </x:c>
      <x:c r="R1381" s="17" t="n">
        <x:v>1197068772.37</x:v>
      </x:c>
      <x:c r="S1381" s="17" t="n">
        <x:v>1159546607.65</x:v>
      </x:c>
      <x:c r="T1381" s="18" t="n">
        <x:v>1.0000000000000013</x:v>
      </x:c>
      <x:c r="U1381" s="17" t="n">
        <x:v>1159546607.6500015</x:v>
      </x:c>
      <x:c r="V1381" s="2" t="str">
        <x:v>Area equivalent = model2020 * OBAT footprint / TEMPO2020 footprint</x:v>
      </x:c>
      <x:c r="W1381" s="2" t="str">
        <x:v>qualified_source_frame_numeric_summary</x:v>
      </x:c>
      <x:c r="X1381" s="2" t="str">
        <x:v>https://data.jrc.ec.europa.eu/dataset/f41a22f1-5741-4c41-86eb-6384654f6927</x:v>
      </x:c>
    </x:row>
    <x:row r="1382" ht="23" customHeight="1">
      <x:c r="A1382" s="2" t="str">
        <x:v>VNM</x:v>
      </x:c>
      <x:c r="B1382" s="2" t="str">
        <x:v>Viet Nam (Socialist Republic of)</x:v>
      </x:c>
      <x:c r="C1382" s="2" t="n">
        <x:v>2020</x:v>
      </x:c>
      <x:c r="D1382" s="2" t="str">
        <x:v>OBAT_FOOTPRINT</x:v>
      </x:c>
      <x:c r="E1382" s="17" t="n">
        <x:v>4861867508.520002</x:v>
      </x:c>
      <x:c r="F1382" s="17" t="n">
        <x:f>IF(AND(M1382,ISNUMBER(R1382)),IF(D1382="TEMPO_PROXY",R1382,IF(AND(ISNUMBER(S1382),S1382&gt;0,ISNUMBER(U1382)),U1382*R1382/S1382,"n.a.")),"n.a.")</x:f>
        <x:v>4821565659.009618</x:v>
      </x:c>
      <x:c r="G1382" s="17" t="n">
        <x:f>IF(AND(ISNUMBER(E1382),ISNUMBER(F1382)),E1382-F1382,"n.a.")</x:f>
        <x:v>40301849.51038456</x:v>
      </x:c>
      <x:c r="H1382" s="15" t="n">
        <x:f>IF(AND(ISNUMBER(E1382),ISNUMBER(F1382),F1382&gt;0),(E1382-F1382)/F1382,"n.a.")</x:f>
        <x:v>0.008358664458934866</x:v>
      </x:c>
      <x:c r="I1382" s="19" t="n">
        <x:f>IF(ISNUMBER(H1382),ABS(H1382),"n.a.")</x:f>
        <x:v>0.008358664458934866</x:v>
      </x:c>
      <x:c r="J1382" s="2" t="str">
        <x:v>available</x:v>
      </x:c>
      <x:c r="K1382" s="2" t="n">
        <x:v>1</x:v>
      </x:c>
      <x:c r="L1382" s="13" t="b">
        <x:v>0</x:v>
      </x:c>
      <x:c r="M1382" s="13" t="b">
        <x:v>1</x:v>
      </x:c>
      <x:c r="N1382" s="2" t="str">
        <x:v>nominal2020; Overture geometry2024-07-22.0; height support2018</x:v>
      </x:c>
      <x:c r="O1382" s="2" t="str"/>
      <x:c r="P1382" s="2" t="str">
        <x:v>included-footprint horizontal area</x:v>
      </x:c>
      <x:c r="Q1382" s="2" t="str">
        <x:v>m2</x:v>
      </x:c>
      <x:c r="R1382" s="17" t="n">
        <x:v>4735723870.059999</x:v>
      </x:c>
      <x:c r="S1382" s="17" t="n">
        <x:v>4775308196.86</x:v>
      </x:c>
      <x:c r="T1382" s="18" t="n">
        <x:v>1.0181264345863414</x:v>
      </x:c>
      <x:c r="U1382" s="17" t="n">
        <x:v>4861867508.520002</x:v>
      </x:c>
      <x:c r="V1382" s="2" t="str">
        <x:v>Area equivalent = model2020 * OBAT footprint / TEMPO2020 footprint</x:v>
      </x:c>
      <x:c r="W1382" s="2" t="str">
        <x:v>qualified_source_frame_numeric_summary</x:v>
      </x:c>
      <x:c r="X1382" s="2" t="str">
        <x:v>https://data.jrc.ec.europa.eu/dataset/f41a22f1-5741-4c41-86eb-6384654f6927</x:v>
      </x:c>
    </x:row>
    <x:row r="1383" ht="23" customHeight="1">
      <x:c r="A1383" s="2" t="str">
        <x:v>VUT</x:v>
      </x:c>
      <x:c r="B1383" s="2" t="str">
        <x:v>Vanuatu (Republic of)</x:v>
      </x:c>
      <x:c r="C1383" s="2" t="n">
        <x:v>2020</x:v>
      </x:c>
      <x:c r="D1383" s="2" t="str">
        <x:v>OBAT_FOOTPRINT</x:v>
      </x:c>
      <x:c r="E1383" s="17" t="n">
        <x:v>8193524.700000004</x:v>
      </x:c>
      <x:c r="F1383" s="17" t="n">
        <x:f>IF(AND(M1383,ISNUMBER(R1383)),IF(D1383="TEMPO_PROXY",R1383,IF(AND(ISNUMBER(S1383),S1383&gt;0,ISNUMBER(U1383)),U1383*R1383/S1383,"n.a.")),"n.a.")</x:f>
        <x:v>9526349.760000004</x:v>
      </x:c>
      <x:c r="G1383" s="17" t="n">
        <x:f>IF(AND(ISNUMBER(E1383),ISNUMBER(F1383)),E1383-F1383,"n.a.")</x:f>
        <x:v>-1332825.0599999996</x:v>
      </x:c>
      <x:c r="H1383" s="15" t="n">
        <x:f>IF(AND(ISNUMBER(E1383),ISNUMBER(F1383),F1383&gt;0),(E1383-F1383)/F1383,"n.a.")</x:f>
        <x:v>-0.1399093140162008</x:v>
      </x:c>
      <x:c r="I1383" s="19" t="n">
        <x:f>IF(ISNUMBER(H1383),ABS(H1383),"n.a.")</x:f>
        <x:v>0.1399093140162008</x:v>
      </x:c>
      <x:c r="J1383" s="2" t="str">
        <x:v>available</x:v>
      </x:c>
      <x:c r="K1383" s="2" t="n">
        <x:v>1</x:v>
      </x:c>
      <x:c r="L1383" s="13" t="b">
        <x:v>0</x:v>
      </x:c>
      <x:c r="M1383" s="13" t="b">
        <x:v>1</x:v>
      </x:c>
      <x:c r="N1383" s="2" t="str">
        <x:v>nominal2020; Overture geometry2024-07-22.0; height support2018</x:v>
      </x:c>
      <x:c r="O1383" s="2" t="str"/>
      <x:c r="P1383" s="2" t="str">
        <x:v>included-footprint horizontal area</x:v>
      </x:c>
      <x:c r="Q1383" s="2" t="str">
        <x:v>m2</x:v>
      </x:c>
      <x:c r="R1383" s="17" t="n">
        <x:v>9526349.76</x:v>
      </x:c>
      <x:c r="S1383" s="17" t="n">
        <x:v>8193524.7</x:v>
      </x:c>
      <x:c r="T1383" s="18" t="n">
        <x:v>1.0000000000000004</x:v>
      </x:c>
      <x:c r="U1383" s="17" t="n">
        <x:v>8193524.700000004</x:v>
      </x:c>
      <x:c r="V1383" s="2" t="str">
        <x:v>Area equivalent = model2020 * OBAT footprint / TEMPO2020 footprint</x:v>
      </x:c>
      <x:c r="W1383" s="2" t="str">
        <x:v>qualified_source_frame_numeric_summary</x:v>
      </x:c>
      <x:c r="X1383" s="2" t="str">
        <x:v>https://data.jrc.ec.europa.eu/dataset/f41a22f1-5741-4c41-86eb-6384654f6927</x:v>
      </x:c>
    </x:row>
    <x:row r="1384" ht="23" customHeight="1">
      <x:c r="A1384" s="2" t="str">
        <x:v>WSM</x:v>
      </x:c>
      <x:c r="B1384" s="2" t="str">
        <x:v>Samoa (Independent State of)</x:v>
      </x:c>
      <x:c r="C1384" s="2" t="n">
        <x:v>2020</x:v>
      </x:c>
      <x:c r="D1384" s="2" t="str">
        <x:v>OBAT_FOOTPRINT</x:v>
      </x:c>
      <x:c r="E1384" s="17" t="n">
        <x:v>8105266.000000001</x:v>
      </x:c>
      <x:c r="F1384" s="17" t="n">
        <x:f>IF(AND(M1384,ISNUMBER(R1384)),IF(D1384="TEMPO_PROXY",R1384,IF(AND(ISNUMBER(S1384),S1384&gt;0,ISNUMBER(U1384)),U1384*R1384/S1384,"n.a.")),"n.a.")</x:f>
        <x:v>19062259.250000004</x:v>
      </x:c>
      <x:c r="G1384" s="17" t="n">
        <x:f>IF(AND(ISNUMBER(E1384),ISNUMBER(F1384)),E1384-F1384,"n.a.")</x:f>
        <x:v>-10956993.250000004</x:v>
      </x:c>
      <x:c r="H1384" s="15" t="n">
        <x:f>IF(AND(ISNUMBER(E1384),ISNUMBER(F1384),F1384&gt;0),(E1384-F1384)/F1384,"n.a.")</x:f>
        <x:v>-0.5748003479702964</x:v>
      </x:c>
      <x:c r="I1384" s="19" t="n">
        <x:f>IF(ISNUMBER(H1384),ABS(H1384),"n.a.")</x:f>
        <x:v>0.5748003479702964</x:v>
      </x:c>
      <x:c r="J1384" s="2" t="str">
        <x:v>available</x:v>
      </x:c>
      <x:c r="K1384" s="2" t="n">
        <x:v>1</x:v>
      </x:c>
      <x:c r="L1384" s="13" t="b">
        <x:v>0</x:v>
      </x:c>
      <x:c r="M1384" s="13" t="b">
        <x:v>1</x:v>
      </x:c>
      <x:c r="N1384" s="2" t="str">
        <x:v>nominal2020; Overture geometry2024-07-22.0; height support2018</x:v>
      </x:c>
      <x:c r="O1384" s="2" t="str"/>
      <x:c r="P1384" s="2" t="str">
        <x:v>included-footprint horizontal area</x:v>
      </x:c>
      <x:c r="Q1384" s="2" t="str">
        <x:v>m2</x:v>
      </x:c>
      <x:c r="R1384" s="17" t="n">
        <x:v>19062259.25</x:v>
      </x:c>
      <x:c r="S1384" s="17" t="n">
        <x:v>8105266</x:v>
      </x:c>
      <x:c r="T1384" s="18" t="n">
        <x:v>1.0000000000000002</x:v>
      </x:c>
      <x:c r="U1384" s="17" t="n">
        <x:v>8105266.000000001</x:v>
      </x:c>
      <x:c r="V1384" s="2" t="str">
        <x:v>Area equivalent = model2020 * OBAT footprint / TEMPO2020 footprint</x:v>
      </x:c>
      <x:c r="W1384" s="2" t="str">
        <x:v>qualified_source_frame_numeric_summary</x:v>
      </x:c>
      <x:c r="X1384" s="2" t="str">
        <x:v>https://data.jrc.ec.europa.eu/dataset/f41a22f1-5741-4c41-86eb-6384654f6927</x:v>
      </x:c>
    </x:row>
    <x:row r="1385" ht="23" customHeight="1">
      <x:c r="A1385" s="2" t="str">
        <x:v>YEM</x:v>
      </x:c>
      <x:c r="B1385" s="2" t="str">
        <x:v>Yemen (Republic of)</x:v>
      </x:c>
      <x:c r="C1385" s="2" t="n">
        <x:v>2020</x:v>
      </x:c>
      <x:c r="D1385" s="2" t="str">
        <x:v>OBAT_FOOTPRINT</x:v>
      </x:c>
      <x:c r="E1385" s="17" t="n">
        <x:v>454480387.6899993</x:v>
      </x:c>
      <x:c r="F1385" s="17" t="n">
        <x:f>IF(AND(M1385,ISNUMBER(R1385)),IF(D1385="TEMPO_PROXY",R1385,IF(AND(ISNUMBER(S1385),S1385&gt;0,ISNUMBER(U1385)),U1385*R1385/S1385,"n.a.")),"n.a.")</x:f>
        <x:v>491232185.8799993</x:v>
      </x:c>
      <x:c r="G1385" s="17" t="n">
        <x:f>IF(AND(ISNUMBER(E1385),ISNUMBER(F1385)),E1385-F1385,"n.a.")</x:f>
        <x:v>-36751798.19</x:v>
      </x:c>
      <x:c r="H1385" s="15" t="n">
        <x:f>IF(AND(ISNUMBER(E1385),ISNUMBER(F1385),F1385&gt;0),(E1385-F1385)/F1385,"n.a.")</x:f>
        <x:v>-0.0748155337667103</x:v>
      </x:c>
      <x:c r="I1385" s="19" t="n">
        <x:f>IF(ISNUMBER(H1385),ABS(H1385),"n.a.")</x:f>
        <x:v>0.0748155337667103</x:v>
      </x:c>
      <x:c r="J1385" s="2" t="str">
        <x:v>available</x:v>
      </x:c>
      <x:c r="K1385" s="2" t="n">
        <x:v>1</x:v>
      </x:c>
      <x:c r="L1385" s="13" t="b">
        <x:v>0</x:v>
      </x:c>
      <x:c r="M1385" s="13" t="b">
        <x:v>1</x:v>
      </x:c>
      <x:c r="N1385" s="2" t="str">
        <x:v>nominal2020; Overture geometry2024-07-22.0; height support2018</x:v>
      </x:c>
      <x:c r="O1385" s="2" t="str"/>
      <x:c r="P1385" s="2" t="str">
        <x:v>included-footprint horizontal area</x:v>
      </x:c>
      <x:c r="Q1385" s="2" t="str">
        <x:v>m2</x:v>
      </x:c>
      <x:c r="R1385" s="17" t="n">
        <x:v>491232185.88000005</x:v>
      </x:c>
      <x:c r="S1385" s="17" t="n">
        <x:v>454480387.69</x:v>
      </x:c>
      <x:c r="T1385" s="18" t="n">
        <x:v>0.9999999999999984</x:v>
      </x:c>
      <x:c r="U1385" s="17" t="n">
        <x:v>454480387.6899993</x:v>
      </x:c>
      <x:c r="V1385" s="2" t="str">
        <x:v>Area equivalent = model2020 * OBAT footprint / TEMPO2020 footprint</x:v>
      </x:c>
      <x:c r="W1385" s="2" t="str">
        <x:v>qualified_source_frame_numeric_summary</x:v>
      </x:c>
      <x:c r="X1385" s="2" t="str">
        <x:v>https://data.jrc.ec.europa.eu/dataset/f41a22f1-5741-4c41-86eb-6384654f6927</x:v>
      </x:c>
    </x:row>
    <x:row r="1386" ht="23" customHeight="1">
      <x:c r="A1386" s="2" t="str">
        <x:v>ZAF</x:v>
      </x:c>
      <x:c r="B1386" s="2" t="str">
        <x:v>South Africa (Republic of)</x:v>
      </x:c>
      <x:c r="C1386" s="2" t="n">
        <x:v>2020</x:v>
      </x:c>
      <x:c r="D1386" s="2" t="str">
        <x:v>OBAT_FOOTPRINT</x:v>
      </x:c>
      <x:c r="E1386" s="17" t="n">
        <x:v>2711325840.6099963</x:v>
      </x:c>
      <x:c r="F1386" s="17" t="n">
        <x:f>IF(AND(M1386,ISNUMBER(R1386)),IF(D1386="TEMPO_PROXY",R1386,IF(AND(ISNUMBER(S1386),S1386&gt;0,ISNUMBER(U1386)),U1386*R1386/S1386,"n.a.")),"n.a.")</x:f>
        <x:v>2969965974.7499957</x:v>
      </x:c>
      <x:c r="G1386" s="17" t="n">
        <x:f>IF(AND(ISNUMBER(E1386),ISNUMBER(F1386)),E1386-F1386,"n.a.")</x:f>
        <x:v>-258640134.1399994</x:v>
      </x:c>
      <x:c r="H1386" s="15" t="n">
        <x:f>IF(AND(ISNUMBER(E1386),ISNUMBER(F1386),F1386&gt;0),(E1386-F1386)/F1386,"n.a.")</x:f>
        <x:v>-0.08708521792468382</x:v>
      </x:c>
      <x:c r="I1386" s="19" t="n">
        <x:f>IF(ISNUMBER(H1386),ABS(H1386),"n.a.")</x:f>
        <x:v>0.08708521792468382</x:v>
      </x:c>
      <x:c r="J1386" s="2" t="str">
        <x:v>available</x:v>
      </x:c>
      <x:c r="K1386" s="2" t="n">
        <x:v>1</x:v>
      </x:c>
      <x:c r="L1386" s="13" t="b">
        <x:v>0</x:v>
      </x:c>
      <x:c r="M1386" s="13" t="b">
        <x:v>1</x:v>
      </x:c>
      <x:c r="N1386" s="2" t="str">
        <x:v>nominal2020; Overture geometry2024-07-22.0; height support2018</x:v>
      </x:c>
      <x:c r="O1386" s="2" t="str"/>
      <x:c r="P1386" s="2" t="str">
        <x:v>included-footprint horizontal area</x:v>
      </x:c>
      <x:c r="Q1386" s="2" t="str">
        <x:v>m2</x:v>
      </x:c>
      <x:c r="R1386" s="17" t="n">
        <x:v>2969965974.75</x:v>
      </x:c>
      <x:c r="S1386" s="17" t="n">
        <x:v>2711325840.61</x:v>
      </x:c>
      <x:c r="T1386" s="18" t="n">
        <x:v>0.9999999999999986</x:v>
      </x:c>
      <x:c r="U1386" s="17" t="n">
        <x:v>2711325840.6099963</x:v>
      </x:c>
      <x:c r="V1386" s="2" t="str">
        <x:v>Area equivalent = model2020 * OBAT footprint / TEMPO2020 footprint</x:v>
      </x:c>
      <x:c r="W1386" s="2" t="str">
        <x:v>qualified_source_frame_numeric_summary</x:v>
      </x:c>
      <x:c r="X1386" s="2" t="str">
        <x:v>https://data.jrc.ec.europa.eu/dataset/f41a22f1-5741-4c41-86eb-6384654f6927</x:v>
      </x:c>
    </x:row>
    <x:row r="1387" ht="23" customHeight="1">
      <x:c r="A1387" s="2" t="str">
        <x:v>ZMB</x:v>
      </x:c>
      <x:c r="B1387" s="2" t="str">
        <x:v>Zambia (Republic of)</x:v>
      </x:c>
      <x:c r="C1387" s="2" t="n">
        <x:v>2020</x:v>
      </x:c>
      <x:c r="D1387" s="2" t="str">
        <x:v>OBAT_FOOTPRINT</x:v>
      </x:c>
      <x:c r="E1387" s="17" t="n">
        <x:v>396696842.49999976</x:v>
      </x:c>
      <x:c r="F1387" s="17" t="n">
        <x:f>IF(AND(M1387,ISNUMBER(R1387)),IF(D1387="TEMPO_PROXY",R1387,IF(AND(ISNUMBER(S1387),S1387&gt;0,ISNUMBER(U1387)),U1387*R1387/S1387,"n.a.")),"n.a.")</x:f>
        <x:v>478557287.6599997</x:v>
      </x:c>
      <x:c r="G1387" s="17" t="n">
        <x:f>IF(AND(ISNUMBER(E1387),ISNUMBER(F1387)),E1387-F1387,"n.a.")</x:f>
        <x:v>-81860445.15999997</x:v>
      </x:c>
      <x:c r="H1387" s="15" t="n">
        <x:f>IF(AND(ISNUMBER(E1387),ISNUMBER(F1387),F1387&gt;0),(E1387-F1387)/F1387,"n.a.")</x:f>
        <x:v>-0.17105673086763085</x:v>
      </x:c>
      <x:c r="I1387" s="19" t="n">
        <x:f>IF(ISNUMBER(H1387),ABS(H1387),"n.a.")</x:f>
        <x:v>0.17105673086763085</x:v>
      </x:c>
      <x:c r="J1387" s="2" t="str">
        <x:v>available</x:v>
      </x:c>
      <x:c r="K1387" s="2" t="n">
        <x:v>1</x:v>
      </x:c>
      <x:c r="L1387" s="13" t="b">
        <x:v>0</x:v>
      </x:c>
      <x:c r="M1387" s="13" t="b">
        <x:v>1</x:v>
      </x:c>
      <x:c r="N1387" s="2" t="str">
        <x:v>nominal2020; Overture geometry2024-07-22.0; height support2018</x:v>
      </x:c>
      <x:c r="O1387" s="2" t="str"/>
      <x:c r="P1387" s="2" t="str">
        <x:v>included-footprint horizontal area</x:v>
      </x:c>
      <x:c r="Q1387" s="2" t="str">
        <x:v>m2</x:v>
      </x:c>
      <x:c r="R1387" s="17" t="n">
        <x:v>478557287.66</x:v>
      </x:c>
      <x:c r="S1387" s="17" t="n">
        <x:v>396696842.5</x:v>
      </x:c>
      <x:c r="T1387" s="18" t="n">
        <x:v>0.9999999999999994</x:v>
      </x:c>
      <x:c r="U1387" s="17" t="n">
        <x:v>396696842.49999976</x:v>
      </x:c>
      <x:c r="V1387" s="2" t="str">
        <x:v>Area equivalent = model2020 * OBAT footprint / TEMPO2020 footprint</x:v>
      </x:c>
      <x:c r="W1387" s="2" t="str">
        <x:v>qualified_source_frame_numeric_summary</x:v>
      </x:c>
      <x:c r="X1387" s="2" t="str">
        <x:v>https://data.jrc.ec.europa.eu/dataset/f41a22f1-5741-4c41-86eb-6384654f6927</x:v>
      </x:c>
    </x:row>
    <x:row r="1388" ht="23" customHeight="1">
      <x:c r="A1388" s="2" t="str">
        <x:v>ZWE</x:v>
      </x:c>
      <x:c r="B1388" s="2" t="str">
        <x:v>Zimbabwe (Republic of)</x:v>
      </x:c>
      <x:c r="C1388" s="2" t="n">
        <x:v>2020</x:v>
      </x:c>
      <x:c r="D1388" s="2" t="str">
        <x:v>OBAT_FOOTPRINT</x:v>
      </x:c>
      <x:c r="E1388" s="17" t="n">
        <x:v>420425813.9799996</x:v>
      </x:c>
      <x:c r="F1388" s="17" t="n">
        <x:f>IF(AND(M1388,ISNUMBER(R1388)),IF(D1388="TEMPO_PROXY",R1388,IF(AND(ISNUMBER(S1388),S1388&gt;0,ISNUMBER(U1388)),U1388*R1388/S1388,"n.a.")),"n.a.")</x:f>
        <x:v>541794593.2099994</x:v>
      </x:c>
      <x:c r="G1388" s="17" t="n">
        <x:f>IF(AND(ISNUMBER(E1388),ISNUMBER(F1388)),E1388-F1388,"n.a.")</x:f>
        <x:v>-121368779.22999984</x:v>
      </x:c>
      <x:c r="H1388" s="15" t="n">
        <x:f>IF(AND(ISNUMBER(E1388),ISNUMBER(F1388),F1388&gt;0),(E1388-F1388)/F1388,"n.a.")</x:f>
        <x:v>-0.22401253307257965</x:v>
      </x:c>
      <x:c r="I1388" s="19" t="n">
        <x:f>IF(ISNUMBER(H1388),ABS(H1388),"n.a.")</x:f>
        <x:v>0.22401253307257965</x:v>
      </x:c>
      <x:c r="J1388" s="2" t="str">
        <x:v>available</x:v>
      </x:c>
      <x:c r="K1388" s="2" t="n">
        <x:v>1</x:v>
      </x:c>
      <x:c r="L1388" s="13" t="b">
        <x:v>0</x:v>
      </x:c>
      <x:c r="M1388" s="13" t="b">
        <x:v>1</x:v>
      </x:c>
      <x:c r="N1388" s="2" t="str">
        <x:v>nominal2020; Overture geometry2024-07-22.0; height support2018</x:v>
      </x:c>
      <x:c r="O1388" s="2" t="str"/>
      <x:c r="P1388" s="2" t="str">
        <x:v>included-footprint horizontal area</x:v>
      </x:c>
      <x:c r="Q1388" s="2" t="str">
        <x:v>m2</x:v>
      </x:c>
      <x:c r="R1388" s="17" t="n">
        <x:v>541794593.21</x:v>
      </x:c>
      <x:c r="S1388" s="17" t="n">
        <x:v>420425813.98</x:v>
      </x:c>
      <x:c r="T1388" s="18" t="n">
        <x:v>0.999999999999999</x:v>
      </x:c>
      <x:c r="U1388" s="17" t="n">
        <x:v>420425813.9799996</x:v>
      </x:c>
      <x:c r="V1388" s="2" t="str">
        <x:v>Area equivalent = model2020 * OBAT footprint / TEMPO2020 footprint</x:v>
      </x:c>
      <x:c r="W1388" s="2" t="str">
        <x:v>qualified_source_frame_numeric_summary</x:v>
      </x:c>
      <x:c r="X1388" s="2" t="str">
        <x:v>https://data.jrc.ec.europa.eu/dataset/f41a22f1-5741-4c41-86eb-6384654f6927</x:v>
      </x:c>
    </x:row>
    <x:row r="1389" ht="23" customHeight="1">
      <x:c r="A1389" s="2" t="str">
        <x:v>AFG</x:v>
      </x:c>
      <x:c r="B1389" s="2" t="str">
        <x:v>Afghanistan (Islamic Republic of)</x:v>
      </x:c>
      <x:c r="C1389" s="2" t="n">
        <x:v>2015</x:v>
      </x:c>
      <x:c r="D1389" s="2" t="str">
        <x:v>WUP_SURFACE</x:v>
      </x:c>
      <x:c r="E1389" s="17" t="n">
        <x:v>723941377.8198509</x:v>
      </x:c>
      <x:c r="F1389" s="17" t="n">
        <x:f>IF(AND(M1389,ISNUMBER(R1389)),IF(D1389="TEMPO_PROXY",R1389,IF(AND(ISNUMBER(S1389),S1389&gt;0,ISNUMBER(U1389)),U1389*R1389/S1389,"n.a.")),"n.a.")</x:f>
        <x:v>515409737.9606481</x:v>
      </x:c>
      <x:c r="G1389" s="17" t="n">
        <x:f>IF(AND(ISNUMBER(E1389),ISNUMBER(F1389)),E1389-F1389,"n.a.")</x:f>
        <x:v>208531639.8592028</x:v>
      </x:c>
      <x:c r="H1389" s="15" t="n">
        <x:f>IF(AND(ISNUMBER(E1389),ISNUMBER(F1389),F1389&gt;0),(E1389-F1389)/F1389,"n.a.")</x:f>
        <x:v>0.4045939075274599</x:v>
      </x:c>
      <x:c r="I1389" s="19" t="n">
        <x:f>IF(ISNUMBER(H1389),ABS(H1389),"n.a.")</x:f>
        <x:v>0.4045939075274599</x:v>
      </x:c>
      <x:c r="J1389" s="2" t="str">
        <x:v>available</x:v>
      </x:c>
      <x:c r="K1389" s="2" t="n">
        <x:v>1</x:v>
      </x:c>
      <x:c r="L1389" s="13" t="b">
        <x:v>0</x:v>
      </x:c>
      <x:c r="M1389" s="13" t="b">
        <x:v>1</x:v>
      </x:c>
      <x:c r="N1389" s="2" t="str">
        <x:v>historical_GHSL_BU_estimate</x:v>
      </x:c>
      <x:c r="O1389" s="2" t="str"/>
      <x:c r="P1389" s="2" t="str">
        <x:v>horizontal built-up surface</x:v>
      </x:c>
      <x:c r="Q1389" s="2" t="str">
        <x:v>m2</x:v>
      </x:c>
      <x:c r="R1389" s="17" t="n">
        <x:v>515409737.9606477</x:v>
      </x:c>
      <x:c r="S1389" s="17" t="n">
        <x:v>853208432.45</x:v>
      </x:c>
      <x:c r="T1389" s="18" t="n">
        <x:v>1.0000000000000009</x:v>
      </x:c>
      <x:c r="U1389" s="17" t="n">
        <x:v>853208432.4500008</x:v>
      </x:c>
      <x:c r="V1389" s="2" t="str">
        <x:v>Area equivalent = model2020 * WUP surface / TEMPO2020 footprint; km2 multiplied by1e6 once</x:v>
      </x:c>
      <x:c r="W1389" s="2" t="str">
        <x:v>L1_numeric_partition_qualified_not_national_completeness</x:v>
      </x:c>
      <x:c r="X1389" s="2" t="str">
        <x:v>https://human-settlement.emergency.copernicus.eu/datasets.php</x:v>
      </x:c>
    </x:row>
    <x:row r="1390" ht="23" customHeight="1">
      <x:c r="A1390" s="2" t="str">
        <x:v>AGO</x:v>
      </x:c>
      <x:c r="B1390" s="2" t="str">
        <x:v>Angola (Republic of)</x:v>
      </x:c>
      <x:c r="C1390" s="2" t="n">
        <x:v>2015</x:v>
      </x:c>
      <x:c r="D1390" s="2" t="str">
        <x:v>WUP_SURFACE</x:v>
      </x:c>
      <x:c r="E1390" s="17" t="n">
        <x:v>402759467.7748718</x:v>
      </x:c>
      <x:c r="F1390" s="17" t="n">
        <x:f>IF(AND(M1390,ISNUMBER(R1390)),IF(D1390="TEMPO_PROXY",R1390,IF(AND(ISNUMBER(S1390),S1390&gt;0,ISNUMBER(U1390)),U1390*R1390/S1390,"n.a.")),"n.a.")</x:f>
        <x:v>1019376166.0719543</x:v>
      </x:c>
      <x:c r="G1390" s="17" t="n">
        <x:f>IF(AND(ISNUMBER(E1390),ISNUMBER(F1390)),E1390-F1390,"n.a.")</x:f>
        <x:v>-616616698.2970824</x:v>
      </x:c>
      <x:c r="H1390" s="15" t="n">
        <x:f>IF(AND(ISNUMBER(E1390),ISNUMBER(F1390),F1390&gt;0),(E1390-F1390)/F1390,"n.a.")</x:f>
        <x:v>-0.6048961304178242</x:v>
      </x:c>
      <x:c r="I1390" s="19" t="n">
        <x:f>IF(ISNUMBER(H1390),ABS(H1390),"n.a.")</x:f>
        <x:v>0.6048961304178242</x:v>
      </x:c>
      <x:c r="J1390" s="2" t="str">
        <x:v>available</x:v>
      </x:c>
      <x:c r="K1390" s="2" t="n">
        <x:v>1</x:v>
      </x:c>
      <x:c r="L1390" s="13" t="b">
        <x:v>0</x:v>
      </x:c>
      <x:c r="M1390" s="13" t="b">
        <x:v>1</x:v>
      </x:c>
      <x:c r="N1390" s="2" t="str">
        <x:v>historical_GHSL_BU_estimate</x:v>
      </x:c>
      <x:c r="O1390" s="2" t="str"/>
      <x:c r="P1390" s="2" t="str">
        <x:v>horizontal built-up surface</x:v>
      </x:c>
      <x:c r="Q1390" s="2" t="str">
        <x:v>m2</x:v>
      </x:c>
      <x:c r="R1390" s="17" t="n">
        <x:v>1019376166.0719556</x:v>
      </x:c>
      <x:c r="S1390" s="17" t="n">
        <x:v>512504617.86</x:v>
      </x:c>
      <x:c r="T1390" s="18" t="n">
        <x:v>0.9999999999999987</x:v>
      </x:c>
      <x:c r="U1390" s="17" t="n">
        <x:v>512504617.85999936</x:v>
      </x:c>
      <x:c r="V1390" s="2" t="str">
        <x:v>Area equivalent = model2020 * WUP surface / TEMPO2020 footprint; km2 multiplied by1e6 once</x:v>
      </x:c>
      <x:c r="W1390" s="2" t="str">
        <x:v>L1_numeric_partition_qualified_not_national_completeness</x:v>
      </x:c>
      <x:c r="X1390" s="2" t="str">
        <x:v>https://human-settlement.emergency.copernicus.eu/datasets.php</x:v>
      </x:c>
    </x:row>
    <x:row r="1391" ht="23" customHeight="1">
      <x:c r="A1391" s="2" t="str">
        <x:v>ALB</x:v>
      </x:c>
      <x:c r="B1391" s="2" t="str">
        <x:v>Albania (Republic of)</x:v>
      </x:c>
      <x:c r="C1391" s="2" t="n">
        <x:v>2015</x:v>
      </x:c>
      <x:c r="D1391" s="2" t="str">
        <x:v>WUP_SURFACE</x:v>
      </x:c>
      <x:c r="E1391" s="17" t="n">
        <x:v>152591911.14729556</x:v>
      </x:c>
      <x:c r="F1391" s="17" t="n">
        <x:f>IF(AND(M1391,ISNUMBER(R1391)),IF(D1391="TEMPO_PROXY",R1391,IF(AND(ISNUMBER(S1391),S1391&gt;0,ISNUMBER(U1391)),U1391*R1391/S1391,"n.a.")),"n.a.")</x:f>
        <x:v>226470687.05026478</x:v>
      </x:c>
      <x:c r="G1391" s="17" t="n">
        <x:f>IF(AND(ISNUMBER(E1391),ISNUMBER(F1391)),E1391-F1391,"n.a.")</x:f>
        <x:v>-73878775.90296921</x:v>
      </x:c>
      <x:c r="H1391" s="15" t="n">
        <x:f>IF(AND(ISNUMBER(E1391),ISNUMBER(F1391),F1391&gt;0),(E1391-F1391)/F1391,"n.a.")</x:f>
        <x:v>-0.3262178291823345</x:v>
      </x:c>
      <x:c r="I1391" s="19" t="n">
        <x:f>IF(ISNUMBER(H1391),ABS(H1391),"n.a.")</x:f>
        <x:v>0.3262178291823345</x:v>
      </x:c>
      <x:c r="J1391" s="2" t="str">
        <x:v>available</x:v>
      </x:c>
      <x:c r="K1391" s="2" t="n">
        <x:v>1</x:v>
      </x:c>
      <x:c r="L1391" s="13" t="b">
        <x:v>0</x:v>
      </x:c>
      <x:c r="M1391" s="13" t="b">
        <x:v>1</x:v>
      </x:c>
      <x:c r="N1391" s="2" t="str">
        <x:v>historical_GHSL_BU_estimate</x:v>
      </x:c>
      <x:c r="O1391" s="2" t="str"/>
      <x:c r="P1391" s="2" t="str">
        <x:v>horizontal built-up surface</x:v>
      </x:c>
      <x:c r="Q1391" s="2" t="str">
        <x:v>m2</x:v>
      </x:c>
      <x:c r="R1391" s="17" t="n">
        <x:v>226470687.05026448</x:v>
      </x:c>
      <x:c r="S1391" s="17" t="n">
        <x:v>161276383.52</x:v>
      </x:c>
      <x:c r="T1391" s="18" t="n">
        <x:v>1.0000000000000013</x:v>
      </x:c>
      <x:c r="U1391" s="17" t="n">
        <x:v>161276383.52000022</x:v>
      </x:c>
      <x:c r="V1391" s="2" t="str">
        <x:v>Area equivalent = model2020 * WUP surface / TEMPO2020 footprint; km2 multiplied by1e6 once</x:v>
      </x:c>
      <x:c r="W1391" s="2" t="str">
        <x:v>L1_numeric_partition_qualified_not_national_completeness</x:v>
      </x:c>
      <x:c r="X1391" s="2" t="str">
        <x:v>https://human-settlement.emergency.copernicus.eu/datasets.php</x:v>
      </x:c>
    </x:row>
    <x:row r="1392" ht="23" customHeight="1">
      <x:c r="A1392" s="2" t="str">
        <x:v>AND</x:v>
      </x:c>
      <x:c r="B1392" s="2" t="str">
        <x:v>Andorra (Principality of)</x:v>
      </x:c>
      <x:c r="C1392" s="2" t="n">
        <x:v>2015</x:v>
      </x:c>
      <x:c r="D1392" s="2" t="str">
        <x:v>WUP_SURFACE</x:v>
      </x:c>
      <x:c r="E1392" s="17" t="n">
        <x:v>2845560.5783106415</x:v>
      </x:c>
      <x:c r="F1392" s="17" t="n">
        <x:f>IF(AND(M1392,ISNUMBER(R1392)),IF(D1392="TEMPO_PROXY",R1392,IF(AND(ISNUMBER(S1392),S1392&gt;0,ISNUMBER(U1392)),U1392*R1392/S1392,"n.a.")),"n.a.")</x:f>
        <x:v>2905088.657892468</x:v>
      </x:c>
      <x:c r="G1392" s="17" t="n">
        <x:f>IF(AND(ISNUMBER(E1392),ISNUMBER(F1392)),E1392-F1392,"n.a.")</x:f>
        <x:v>-59528.07958182646</x:v>
      </x:c>
      <x:c r="H1392" s="15" t="n">
        <x:f>IF(AND(ISNUMBER(E1392),ISNUMBER(F1392),F1392&gt;0),(E1392-F1392)/F1392,"n.a.")</x:f>
        <x:v>-0.02049096829458273</x:v>
      </x:c>
      <x:c r="I1392" s="19" t="n">
        <x:f>IF(ISNUMBER(H1392),ABS(H1392),"n.a.")</x:f>
        <x:v>0.02049096829458273</x:v>
      </x:c>
      <x:c r="J1392" s="2" t="str">
        <x:v>available</x:v>
      </x:c>
      <x:c r="K1392" s="2" t="n">
        <x:v>1</x:v>
      </x:c>
      <x:c r="L1392" s="13" t="b">
        <x:v>0</x:v>
      </x:c>
      <x:c r="M1392" s="13" t="b">
        <x:v>1</x:v>
      </x:c>
      <x:c r="N1392" s="2" t="str">
        <x:v>historical_GHSL_BU_estimate</x:v>
      </x:c>
      <x:c r="O1392" s="2" t="str"/>
      <x:c r="P1392" s="2" t="str">
        <x:v>horizontal built-up surface</x:v>
      </x:c>
      <x:c r="Q1392" s="2" t="str">
        <x:v>m2</x:v>
      </x:c>
      <x:c r="R1392" s="17" t="n">
        <x:v>2142555.9980475553</x:v>
      </x:c>
      <x:c r="S1392" s="17" t="n">
        <x:v>2209198.1</x:v>
      </x:c>
      <x:c r="T1392" s="18" t="n">
        <x:v>1.3558985905338228</x:v>
      </x:c>
      <x:c r="U1392" s="17" t="n">
        <x:v>2995448.5899999994</x:v>
      </x:c>
      <x:c r="V1392" s="2" t="str">
        <x:v>Area equivalent = model2020 * WUP surface / TEMPO2020 footprint; km2 multiplied by1e6 once</x:v>
      </x:c>
      <x:c r="W1392" s="2" t="str">
        <x:v>L1_numeric_partition_qualified_not_national_completeness</x:v>
      </x:c>
      <x:c r="X1392" s="2" t="str">
        <x:v>https://human-settlement.emergency.copernicus.eu/datasets.php</x:v>
      </x:c>
    </x:row>
    <x:row r="1393" ht="23" customHeight="1">
      <x:c r="A1393" s="2" t="str">
        <x:v>ARE</x:v>
      </x:c>
      <x:c r="B1393" s="2" t="str">
        <x:v>United Arab Emirates</x:v>
      </x:c>
      <x:c r="C1393" s="2" t="n">
        <x:v>2015</x:v>
      </x:c>
      <x:c r="D1393" s="2" t="str">
        <x:v>WUP_SURFACE</x:v>
      </x:c>
      <x:c r="E1393" s="17" t="n">
        <x:v>432363221.29956406</x:v>
      </x:c>
      <x:c r="F1393" s="17" t="n">
        <x:f>IF(AND(M1393,ISNUMBER(R1393)),IF(D1393="TEMPO_PROXY",R1393,IF(AND(ISNUMBER(S1393),S1393&gt;0,ISNUMBER(U1393)),U1393*R1393/S1393,"n.a.")),"n.a.")</x:f>
        <x:v>606555590.222156</x:v>
      </x:c>
      <x:c r="G1393" s="17" t="n">
        <x:f>IF(AND(ISNUMBER(E1393),ISNUMBER(F1393)),E1393-F1393,"n.a.")</x:f>
        <x:v>-174192368.92259198</x:v>
      </x:c>
      <x:c r="H1393" s="15" t="n">
        <x:f>IF(AND(ISNUMBER(E1393),ISNUMBER(F1393),F1393&gt;0),(E1393-F1393)/F1393,"n.a.")</x:f>
        <x:v>-0.2871828596267534</x:v>
      </x:c>
      <x:c r="I1393" s="19" t="n">
        <x:f>IF(ISNUMBER(H1393),ABS(H1393),"n.a.")</x:f>
        <x:v>0.2871828596267534</x:v>
      </x:c>
      <x:c r="J1393" s="2" t="str">
        <x:v>available</x:v>
      </x:c>
      <x:c r="K1393" s="2" t="n">
        <x:v>1</x:v>
      </x:c>
      <x:c r="L1393" s="13" t="b">
        <x:v>0</x:v>
      </x:c>
      <x:c r="M1393" s="13" t="b">
        <x:v>1</x:v>
      </x:c>
      <x:c r="N1393" s="2" t="str">
        <x:v>historical_GHSL_BU_estimate</x:v>
      </x:c>
      <x:c r="O1393" s="2" t="str"/>
      <x:c r="P1393" s="2" t="str">
        <x:v>horizontal built-up surface</x:v>
      </x:c>
      <x:c r="Q1393" s="2" t="str">
        <x:v>m2</x:v>
      </x:c>
      <x:c r="R1393" s="17" t="n">
        <x:v>543833223.6192317</x:v>
      </x:c>
      <x:c r="S1393" s="17" t="n">
        <x:v>458879702.88</x:v>
      </x:c>
      <x:c r="T1393" s="18" t="n">
        <x:v>1.1153338263990282</x:v>
      </x:c>
      <x:c r="U1393" s="17" t="n">
        <x:v>511804054.8699995</x:v>
      </x:c>
      <x:c r="V1393" s="2" t="str">
        <x:v>Area equivalent = model2020 * WUP surface / TEMPO2020 footprint; km2 multiplied by1e6 once</x:v>
      </x:c>
      <x:c r="W1393" s="2" t="str">
        <x:v>L1_numeric_partition_qualified_not_national_completeness</x:v>
      </x:c>
      <x:c r="X1393" s="2" t="str">
        <x:v>https://human-settlement.emergency.copernicus.eu/datasets.php</x:v>
      </x:c>
    </x:row>
    <x:row r="1394" ht="23" customHeight="1">
      <x:c r="A1394" s="2" t="str">
        <x:v>ARG</x:v>
      </x:c>
      <x:c r="B1394" s="2" t="str">
        <x:v>Argentina (Argentine Republic)</x:v>
      </x:c>
      <x:c r="C1394" s="2" t="n">
        <x:v>2015</x:v>
      </x:c>
      <x:c r="D1394" s="2" t="str">
        <x:v>WUP_SURFACE</x:v>
      </x:c>
      <x:c r="E1394" s="17" t="n">
        <x:v>2281407992.298051</x:v>
      </x:c>
      <x:c r="F1394" s="17" t="n">
        <x:f>IF(AND(M1394,ISNUMBER(R1394)),IF(D1394="TEMPO_PROXY",R1394,IF(AND(ISNUMBER(S1394),S1394&gt;0,ISNUMBER(U1394)),U1394*R1394/S1394,"n.a.")),"n.a.")</x:f>
        <x:v>3789432398.314037</x:v>
      </x:c>
      <x:c r="G1394" s="17" t="n">
        <x:f>IF(AND(ISNUMBER(E1394),ISNUMBER(F1394)),E1394-F1394,"n.a.")</x:f>
        <x:v>-1508024406.015986</x:v>
      </x:c>
      <x:c r="H1394" s="15" t="n">
        <x:f>IF(AND(ISNUMBER(E1394),ISNUMBER(F1394),F1394&gt;0),(E1394-F1394)/F1394,"n.a.")</x:f>
        <x:v>-0.3979552205989804</x:v>
      </x:c>
      <x:c r="I1394" s="19" t="n">
        <x:f>IF(ISNUMBER(H1394),ABS(H1394),"n.a.")</x:f>
        <x:v>0.3979552205989804</x:v>
      </x:c>
      <x:c r="J1394" s="2" t="str">
        <x:v>available</x:v>
      </x:c>
      <x:c r="K1394" s="2" t="n">
        <x:v>1</x:v>
      </x:c>
      <x:c r="L1394" s="13" t="b">
        <x:v>0</x:v>
      </x:c>
      <x:c r="M1394" s="13" t="b">
        <x:v>1</x:v>
      </x:c>
      <x:c r="N1394" s="2" t="str">
        <x:v>historical_GHSL_BU_estimate</x:v>
      </x:c>
      <x:c r="O1394" s="2" t="str"/>
      <x:c r="P1394" s="2" t="str">
        <x:v>horizontal built-up surface</x:v>
      </x:c>
      <x:c r="Q1394" s="2" t="str">
        <x:v>m2</x:v>
      </x:c>
      <x:c r="R1394" s="17" t="n">
        <x:v>3789432398.3140397</x:v>
      </x:c>
      <x:c r="S1394" s="17" t="n">
        <x:v>2382940448.4</x:v>
      </x:c>
      <x:c r="T1394" s="18" t="n">
        <x:v>0.9999999999999992</x:v>
      </x:c>
      <x:c r="U1394" s="17" t="n">
        <x:v>2382940448.399998</x:v>
      </x:c>
      <x:c r="V1394" s="2" t="str">
        <x:v>Area equivalent = model2020 * WUP surface / TEMPO2020 footprint; km2 multiplied by1e6 once</x:v>
      </x:c>
      <x:c r="W1394" s="2" t="str">
        <x:v>L1_numeric_partition_qualified_not_national_completeness</x:v>
      </x:c>
      <x:c r="X1394" s="2" t="str">
        <x:v>https://human-settlement.emergency.copernicus.eu/datasets.php</x:v>
      </x:c>
    </x:row>
    <x:row r="1395" ht="23" customHeight="1">
      <x:c r="A1395" s="2" t="str">
        <x:v>ARM</x:v>
      </x:c>
      <x:c r="B1395" s="2" t="str">
        <x:v>Armenia (Republic of)</x:v>
      </x:c>
      <x:c r="C1395" s="2" t="n">
        <x:v>2015</x:v>
      </x:c>
      <x:c r="D1395" s="2" t="str">
        <x:v>WUP_SURFACE</x:v>
      </x:c>
      <x:c r="E1395" s="17" t="n">
        <x:v>138576247.47924888</x:v>
      </x:c>
      <x:c r="F1395" s="17" t="n">
        <x:f>IF(AND(M1395,ISNUMBER(R1395)),IF(D1395="TEMPO_PROXY",R1395,IF(AND(ISNUMBER(S1395),S1395&gt;0,ISNUMBER(U1395)),U1395*R1395/S1395,"n.a.")),"n.a.")</x:f>
        <x:v>216037935.98268294</x:v>
      </x:c>
      <x:c r="G1395" s="17" t="n">
        <x:f>IF(AND(ISNUMBER(E1395),ISNUMBER(F1395)),E1395-F1395,"n.a.")</x:f>
        <x:v>-77461688.50343406</x:v>
      </x:c>
      <x:c r="H1395" s="15" t="n">
        <x:f>IF(AND(ISNUMBER(E1395),ISNUMBER(F1395),F1395&gt;0),(E1395-F1395)/F1395,"n.a.")</x:f>
        <x:v>-0.3585559552357656</x:v>
      </x:c>
      <x:c r="I1395" s="19" t="n">
        <x:f>IF(ISNUMBER(H1395),ABS(H1395),"n.a.")</x:f>
        <x:v>0.3585559552357656</x:v>
      </x:c>
      <x:c r="J1395" s="2" t="str">
        <x:v>available</x:v>
      </x:c>
      <x:c r="K1395" s="2" t="n">
        <x:v>1</x:v>
      </x:c>
      <x:c r="L1395" s="13" t="b">
        <x:v>0</x:v>
      </x:c>
      <x:c r="M1395" s="13" t="b">
        <x:v>1</x:v>
      </x:c>
      <x:c r="N1395" s="2" t="str">
        <x:v>historical_GHSL_BU_estimate</x:v>
      </x:c>
      <x:c r="O1395" s="2" t="str"/>
      <x:c r="P1395" s="2" t="str">
        <x:v>horizontal built-up surface</x:v>
      </x:c>
      <x:c r="Q1395" s="2" t="str">
        <x:v>m2</x:v>
      </x:c>
      <x:c r="R1395" s="17" t="n">
        <x:v>216037935.9826826</x:v>
      </x:c>
      <x:c r="S1395" s="17" t="n">
        <x:v>142786500.21</x:v>
      </x:c>
      <x:c r="T1395" s="18" t="n">
        <x:v>1.0000000000000018</x:v>
      </x:c>
      <x:c r="U1395" s="17" t="n">
        <x:v>142786500.21000025</x:v>
      </x:c>
      <x:c r="V1395" s="2" t="str">
        <x:v>Area equivalent = model2020 * WUP surface / TEMPO2020 footprint; km2 multiplied by1e6 once</x:v>
      </x:c>
      <x:c r="W1395" s="2" t="str">
        <x:v>L1_numeric_partition_qualified_not_national_completeness</x:v>
      </x:c>
      <x:c r="X1395" s="2" t="str">
        <x:v>https://human-settlement.emergency.copernicus.eu/datasets.php</x:v>
      </x:c>
    </x:row>
    <x:row r="1396" ht="23" customHeight="1">
      <x:c r="A1396" s="2" t="str">
        <x:v>ATG</x:v>
      </x:c>
      <x:c r="B1396" s="2" t="str">
        <x:v>Antigua and Barbuda</x:v>
      </x:c>
      <x:c r="C1396" s="2" t="n">
        <x:v>2015</x:v>
      </x:c>
      <x:c r="D1396" s="2" t="str">
        <x:v>WUP_SURFACE</x:v>
      </x:c>
      <x:c r="E1396" s="17" t="n">
        <x:v>6409689.412213599</x:v>
      </x:c>
      <x:c r="F1396" s="17" t="n">
        <x:f>IF(AND(M1396,ISNUMBER(R1396)),IF(D1396="TEMPO_PROXY",R1396,IF(AND(ISNUMBER(S1396),S1396&gt;0,ISNUMBER(U1396)),U1396*R1396/S1396,"n.a.")),"n.a.")</x:f>
        <x:v>12621399.975482745</x:v>
      </x:c>
      <x:c r="G1396" s="17" t="n">
        <x:f>IF(AND(ISNUMBER(E1396),ISNUMBER(F1396)),E1396-F1396,"n.a.")</x:f>
        <x:v>-6211710.563269146</x:v>
      </x:c>
      <x:c r="H1396" s="15" t="n">
        <x:f>IF(AND(ISNUMBER(E1396),ISNUMBER(F1396),F1396&gt;0),(E1396-F1396)/F1396,"n.a.")</x:f>
        <x:v>-0.4921570170769871</x:v>
      </x:c>
      <x:c r="I1396" s="19" t="n">
        <x:f>IF(ISNUMBER(H1396),ABS(H1396),"n.a.")</x:f>
        <x:v>0.4921570170769871</x:v>
      </x:c>
      <x:c r="J1396" s="2" t="str">
        <x:v>available</x:v>
      </x:c>
      <x:c r="K1396" s="2" t="n">
        <x:v>1</x:v>
      </x:c>
      <x:c r="L1396" s="13" t="b">
        <x:v>0</x:v>
      </x:c>
      <x:c r="M1396" s="13" t="b">
        <x:v>1</x:v>
      </x:c>
      <x:c r="N1396" s="2" t="str">
        <x:v>historical_GHSL_BU_estimate</x:v>
      </x:c>
      <x:c r="O1396" s="2" t="str"/>
      <x:c r="P1396" s="2" t="str">
        <x:v>horizontal built-up surface</x:v>
      </x:c>
      <x:c r="Q1396" s="2" t="str">
        <x:v>m2</x:v>
      </x:c>
      <x:c r="R1396" s="17" t="n">
        <x:v>12621399.975482745</x:v>
      </x:c>
      <x:c r="S1396" s="17" t="n">
        <x:v>7437404.66</x:v>
      </x:c>
      <x:c r="T1396" s="18" t="n">
        <x:v>0.9999999999999999</x:v>
      </x:c>
      <x:c r="U1396" s="17" t="n">
        <x:v>7437404.659999999</x:v>
      </x:c>
      <x:c r="V1396" s="2" t="str">
        <x:v>Area equivalent = model2020 * WUP surface / TEMPO2020 footprint; km2 multiplied by1e6 once</x:v>
      </x:c>
      <x:c r="W1396" s="2" t="str">
        <x:v>L1_numeric_partition_qualified_not_national_completeness</x:v>
      </x:c>
      <x:c r="X1396" s="2" t="str">
        <x:v>https://human-settlement.emergency.copernicus.eu/datasets.php</x:v>
      </x:c>
    </x:row>
    <x:row r="1397" ht="23" customHeight="1">
      <x:c r="A1397" s="2" t="str">
        <x:v>AUS</x:v>
      </x:c>
      <x:c r="B1397" s="2" t="str">
        <x:v>Australia (Commonwealth of)</x:v>
      </x:c>
      <x:c r="C1397" s="2" t="n">
        <x:v>2015</x:v>
      </x:c>
      <x:c r="D1397" s="2" t="str">
        <x:v>WUP_SURFACE</x:v>
      </x:c>
      <x:c r="E1397" s="17" t="n">
        <x:v>2689879598.545835</x:v>
      </x:c>
      <x:c r="F1397" s="17" t="n">
        <x:f>IF(AND(M1397,ISNUMBER(R1397)),IF(D1397="TEMPO_PROXY",R1397,IF(AND(ISNUMBER(S1397),S1397&gt;0,ISNUMBER(U1397)),U1397*R1397/S1397,"n.a.")),"n.a.")</x:f>
        <x:v>4612844291.573209</x:v>
      </x:c>
      <x:c r="G1397" s="17" t="n">
        <x:f>IF(AND(ISNUMBER(E1397),ISNUMBER(F1397)),E1397-F1397,"n.a.")</x:f>
        <x:v>-1922964693.0273738</x:v>
      </x:c>
      <x:c r="H1397" s="15" t="n">
        <x:f>IF(AND(ISNUMBER(E1397),ISNUMBER(F1397),F1397&gt;0),(E1397-F1397)/F1397,"n.a.")</x:f>
        <x:v>-0.4168717978493801</x:v>
      </x:c>
      <x:c r="I1397" s="19" t="n">
        <x:f>IF(ISNUMBER(H1397),ABS(H1397),"n.a.")</x:f>
        <x:v>0.4168717978493801</x:v>
      </x:c>
      <x:c r="J1397" s="2" t="str">
        <x:v>available</x:v>
      </x:c>
      <x:c r="K1397" s="2" t="n">
        <x:v>1</x:v>
      </x:c>
      <x:c r="L1397" s="13" t="b">
        <x:v>0</x:v>
      </x:c>
      <x:c r="M1397" s="13" t="b">
        <x:v>1</x:v>
      </x:c>
      <x:c r="N1397" s="2" t="str">
        <x:v>historical_GHSL_BU_estimate</x:v>
      </x:c>
      <x:c r="O1397" s="2" t="str"/>
      <x:c r="P1397" s="2" t="str">
        <x:v>horizontal built-up surface</x:v>
      </x:c>
      <x:c r="Q1397" s="2" t="str">
        <x:v>m2</x:v>
      </x:c>
      <x:c r="R1397" s="17" t="n">
        <x:v>4612844291.573213</x:v>
      </x:c>
      <x:c r="S1397" s="17" t="n">
        <x:v>3011161094.86</x:v>
      </x:c>
      <x:c r="T1397" s="18" t="n">
        <x:v>0.999999999999999</x:v>
      </x:c>
      <x:c r="U1397" s="17" t="n">
        <x:v>3011161094.8599973</x:v>
      </x:c>
      <x:c r="V1397" s="2" t="str">
        <x:v>Area equivalent = model2020 * WUP surface / TEMPO2020 footprint; km2 multiplied by1e6 once</x:v>
      </x:c>
      <x:c r="W1397" s="2" t="str">
        <x:v>L1_numeric_partition_qualified_not_national_completeness</x:v>
      </x:c>
      <x:c r="X1397" s="2" t="str">
        <x:v>https://human-settlement.emergency.copernicus.eu/datasets.php</x:v>
      </x:c>
    </x:row>
    <x:row r="1398" ht="23" customHeight="1">
      <x:c r="A1398" s="2" t="str">
        <x:v>AUT</x:v>
      </x:c>
      <x:c r="B1398" s="2" t="str">
        <x:v>Austria (Republic of)</x:v>
      </x:c>
      <x:c r="C1398" s="2" t="n">
        <x:v>2015</x:v>
      </x:c>
      <x:c r="D1398" s="2" t="str">
        <x:v>WUP_SURFACE</x:v>
      </x:c>
      <x:c r="E1398" s="17" t="n">
        <x:v>818030285.5067213</x:v>
      </x:c>
      <x:c r="F1398" s="17" t="n">
        <x:f>IF(AND(M1398,ISNUMBER(R1398)),IF(D1398="TEMPO_PROXY",R1398,IF(AND(ISNUMBER(S1398),S1398&gt;0,ISNUMBER(U1398)),U1398*R1398/S1398,"n.a.")),"n.a.")</x:f>
        <x:v>1101111989.0465524</x:v>
      </x:c>
      <x:c r="G1398" s="17" t="n">
        <x:f>IF(AND(ISNUMBER(E1398),ISNUMBER(F1398)),E1398-F1398,"n.a.")</x:f>
        <x:v>-283081703.53983116</x:v>
      </x:c>
      <x:c r="H1398" s="15" t="n">
        <x:f>IF(AND(ISNUMBER(E1398),ISNUMBER(F1398),F1398&gt;0),(E1398-F1398)/F1398,"n.a.")</x:f>
        <x:v>-0.25708711407724316</x:v>
      </x:c>
      <x:c r="I1398" s="19" t="n">
        <x:f>IF(ISNUMBER(H1398),ABS(H1398),"n.a.")</x:f>
        <x:v>0.25708711407724316</x:v>
      </x:c>
      <x:c r="J1398" s="2" t="str">
        <x:v>available</x:v>
      </x:c>
      <x:c r="K1398" s="2" t="n">
        <x:v>1</x:v>
      </x:c>
      <x:c r="L1398" s="13" t="b">
        <x:v>0</x:v>
      </x:c>
      <x:c r="M1398" s="13" t="b">
        <x:v>1</x:v>
      </x:c>
      <x:c r="N1398" s="2" t="str">
        <x:v>historical_GHSL_BU_estimate</x:v>
      </x:c>
      <x:c r="O1398" s="2" t="str"/>
      <x:c r="P1398" s="2" t="str">
        <x:v>horizontal built-up surface</x:v>
      </x:c>
      <x:c r="Q1398" s="2" t="str">
        <x:v>m2</x:v>
      </x:c>
      <x:c r="R1398" s="17" t="n">
        <x:v>1084953244.3163524</x:v>
      </x:c>
      <x:c r="S1398" s="17" t="n">
        <x:v>852795432.34</x:v>
      </x:c>
      <x:c r="T1398" s="18" t="n">
        <x:v>1.014893494088201</x:v>
      </x:c>
      <x:c r="U1398" s="17" t="n">
        <x:v>865496536.0700006</x:v>
      </x:c>
      <x:c r="V1398" s="2" t="str">
        <x:v>Area equivalent = model2020 * WUP surface / TEMPO2020 footprint; km2 multiplied by1e6 once</x:v>
      </x:c>
      <x:c r="W1398" s="2" t="str">
        <x:v>L1_numeric_partition_qualified_not_national_completeness</x:v>
      </x:c>
      <x:c r="X1398" s="2" t="str">
        <x:v>https://human-settlement.emergency.copernicus.eu/datasets.php</x:v>
      </x:c>
    </x:row>
    <x:row r="1399" ht="23" customHeight="1">
      <x:c r="A1399" s="2" t="str">
        <x:v>AZE</x:v>
      </x:c>
      <x:c r="B1399" s="2" t="str">
        <x:v>Azerbaijan (Republic of)</x:v>
      </x:c>
      <x:c r="C1399" s="2" t="n">
        <x:v>2015</x:v>
      </x:c>
      <x:c r="D1399" s="2" t="str">
        <x:v>WUP_SURFACE</x:v>
      </x:c>
      <x:c r="E1399" s="17" t="n">
        <x:v>469894353.8704014</x:v>
      </x:c>
      <x:c r="F1399" s="17" t="n">
        <x:f>IF(AND(M1399,ISNUMBER(R1399)),IF(D1399="TEMPO_PROXY",R1399,IF(AND(ISNUMBER(S1399),S1399&gt;0,ISNUMBER(U1399)),U1399*R1399/S1399,"n.a.")),"n.a.")</x:f>
        <x:v>787027361.8234655</x:v>
      </x:c>
      <x:c r="G1399" s="17" t="n">
        <x:f>IF(AND(ISNUMBER(E1399),ISNUMBER(F1399)),E1399-F1399,"n.a.")</x:f>
        <x:v>-317133007.9530641</x:v>
      </x:c>
      <x:c r="H1399" s="15" t="n">
        <x:f>IF(AND(ISNUMBER(E1399),ISNUMBER(F1399),F1399&gt;0),(E1399-F1399)/F1399,"n.a.")</x:f>
        <x:v>-0.40295042248378493</x:v>
      </x:c>
      <x:c r="I1399" s="19" t="n">
        <x:f>IF(ISNUMBER(H1399),ABS(H1399),"n.a.")</x:f>
        <x:v>0.40295042248378493</x:v>
      </x:c>
      <x:c r="J1399" s="2" t="str">
        <x:v>available</x:v>
      </x:c>
      <x:c r="K1399" s="2" t="n">
        <x:v>1</x:v>
      </x:c>
      <x:c r="L1399" s="13" t="b">
        <x:v>0</x:v>
      </x:c>
      <x:c r="M1399" s="13" t="b">
        <x:v>1</x:v>
      </x:c>
      <x:c r="N1399" s="2" t="str">
        <x:v>historical_GHSL_BU_estimate</x:v>
      </x:c>
      <x:c r="O1399" s="2" t="str"/>
      <x:c r="P1399" s="2" t="str">
        <x:v>horizontal built-up surface</x:v>
      </x:c>
      <x:c r="Q1399" s="2" t="str">
        <x:v>m2</x:v>
      </x:c>
      <x:c r="R1399" s="17" t="n">
        <x:v>787027361.8234645</x:v>
      </x:c>
      <x:c r="S1399" s="17" t="n">
        <x:v>507953272.9</x:v>
      </x:c>
      <x:c r="T1399" s="18" t="n">
        <x:v>1.000000000000001</x:v>
      </x:c>
      <x:c r="U1399" s="17" t="n">
        <x:v>507953272.9000006</x:v>
      </x:c>
      <x:c r="V1399" s="2" t="str">
        <x:v>Area equivalent = model2020 * WUP surface / TEMPO2020 footprint; km2 multiplied by1e6 once</x:v>
      </x:c>
      <x:c r="W1399" s="2" t="str">
        <x:v>L1_numeric_partition_qualified_not_national_completeness</x:v>
      </x:c>
      <x:c r="X1399" s="2" t="str">
        <x:v>https://human-settlement.emergency.copernicus.eu/datasets.php</x:v>
      </x:c>
    </x:row>
    <x:row r="1400" ht="23" customHeight="1">
      <x:c r="A1400" s="2" t="str">
        <x:v>BDI</x:v>
      </x:c>
      <x:c r="B1400" s="2" t="str">
        <x:v>Burundi (Republic of)</x:v>
      </x:c>
      <x:c r="C1400" s="2" t="n">
        <x:v>2015</x:v>
      </x:c>
      <x:c r="D1400" s="2" t="str">
        <x:v>WUP_SURFACE</x:v>
      </x:c>
      <x:c r="E1400" s="17" t="n">
        <x:v>107174310.50762644</x:v>
      </x:c>
      <x:c r="F1400" s="17" t="n">
        <x:f>IF(AND(M1400,ISNUMBER(R1400)),IF(D1400="TEMPO_PROXY",R1400,IF(AND(ISNUMBER(S1400),S1400&gt;0,ISNUMBER(U1400)),U1400*R1400/S1400,"n.a.")),"n.a.")</x:f>
        <x:v>308694814.9649027</x:v>
      </x:c>
      <x:c r="G1400" s="17" t="n">
        <x:f>IF(AND(ISNUMBER(E1400),ISNUMBER(F1400)),E1400-F1400,"n.a.")</x:f>
        <x:v>-201520504.45727625</x:v>
      </x:c>
      <x:c r="H1400" s="15" t="n">
        <x:f>IF(AND(ISNUMBER(E1400),ISNUMBER(F1400),F1400&gt;0),(E1400-F1400)/F1400,"n.a.")</x:f>
        <x:v>-0.6528146722522317</x:v>
      </x:c>
      <x:c r="I1400" s="19" t="n">
        <x:f>IF(ISNUMBER(H1400),ABS(H1400),"n.a.")</x:f>
        <x:v>0.6528146722522317</x:v>
      </x:c>
      <x:c r="J1400" s="2" t="str">
        <x:v>available</x:v>
      </x:c>
      <x:c r="K1400" s="2" t="n">
        <x:v>1</x:v>
      </x:c>
      <x:c r="L1400" s="13" t="b">
        <x:v>0</x:v>
      </x:c>
      <x:c r="M1400" s="13" t="b">
        <x:v>1</x:v>
      </x:c>
      <x:c r="N1400" s="2" t="str">
        <x:v>historical_GHSL_BU_estimate</x:v>
      </x:c>
      <x:c r="O1400" s="2" t="str"/>
      <x:c r="P1400" s="2" t="str">
        <x:v>horizontal built-up surface</x:v>
      </x:c>
      <x:c r="Q1400" s="2" t="str">
        <x:v>m2</x:v>
      </x:c>
      <x:c r="R1400" s="17" t="n">
        <x:v>308694814.9649025</x:v>
      </x:c>
      <x:c r="S1400" s="17" t="n">
        <x:v>147710691.61</x:v>
      </x:c>
      <x:c r="T1400" s="18" t="n">
        <x:v>1.0000000000000007</x:v>
      </x:c>
      <x:c r="U1400" s="17" t="n">
        <x:v>147710691.6100001</x:v>
      </x:c>
      <x:c r="V1400" s="2" t="str">
        <x:v>Area equivalent = model2020 * WUP surface / TEMPO2020 footprint; km2 multiplied by1e6 once</x:v>
      </x:c>
      <x:c r="W1400" s="2" t="str">
        <x:v>L1_numeric_partition_qualified_not_national_completeness</x:v>
      </x:c>
      <x:c r="X1400" s="2" t="str">
        <x:v>https://human-settlement.emergency.copernicus.eu/datasets.php</x:v>
      </x:c>
    </x:row>
    <x:row r="1401" ht="23" customHeight="1">
      <x:c r="A1401" s="2" t="str">
        <x:v>BEL</x:v>
      </x:c>
      <x:c r="B1401" s="2" t="str">
        <x:v>Belgium (Kingdom of)</x:v>
      </x:c>
      <x:c r="C1401" s="2" t="n">
        <x:v>2015</x:v>
      </x:c>
      <x:c r="D1401" s="2" t="str">
        <x:v>WUP_SURFACE</x:v>
      </x:c>
      <x:c r="E1401" s="17" t="n">
        <x:v>1030499520.953178</x:v>
      </x:c>
      <x:c r="F1401" s="17" t="n">
        <x:f>IF(AND(M1401,ISNUMBER(R1401)),IF(D1401="TEMPO_PROXY",R1401,IF(AND(ISNUMBER(S1401),S1401&gt;0,ISNUMBER(U1401)),U1401*R1401/S1401,"n.a.")),"n.a.")</x:f>
        <x:v>1573901665.8361342</x:v>
      </x:c>
      <x:c r="G1401" s="17" t="n">
        <x:f>IF(AND(ISNUMBER(E1401),ISNUMBER(F1401)),E1401-F1401,"n.a.")</x:f>
        <x:v>-543402144.8829561</x:v>
      </x:c>
      <x:c r="H1401" s="15" t="n">
        <x:f>IF(AND(ISNUMBER(E1401),ISNUMBER(F1401),F1401&gt;0),(E1401-F1401)/F1401,"n.a.")</x:f>
        <x:v>-0.34525800224899955</x:v>
      </x:c>
      <x:c r="I1401" s="19" t="n">
        <x:f>IF(ISNUMBER(H1401),ABS(H1401),"n.a.")</x:f>
        <x:v>0.34525800224899955</x:v>
      </x:c>
      <x:c r="J1401" s="2" t="str">
        <x:v>available</x:v>
      </x:c>
      <x:c r="K1401" s="2" t="n">
        <x:v>1</x:v>
      </x:c>
      <x:c r="L1401" s="13" t="b">
        <x:v>0</x:v>
      </x:c>
      <x:c r="M1401" s="13" t="b">
        <x:v>1</x:v>
      </x:c>
      <x:c r="N1401" s="2" t="str">
        <x:v>historical_GHSL_BU_estimate</x:v>
      </x:c>
      <x:c r="O1401" s="2" t="str"/>
      <x:c r="P1401" s="2" t="str">
        <x:v>horizontal built-up surface</x:v>
      </x:c>
      <x:c r="Q1401" s="2" t="str">
        <x:v>m2</x:v>
      </x:c>
      <x:c r="R1401" s="17" t="n">
        <x:v>1454880311.702972</x:v>
      </x:c>
      <x:c r="S1401" s="17" t="n">
        <x:v>997505427.36</x:v>
      </x:c>
      <x:c r="T1401" s="18" t="n">
        <x:v>1.0818083475154359</x:v>
      </x:c>
      <x:c r="U1401" s="17" t="n">
        <x:v>1079109698.0100002</x:v>
      </x:c>
      <x:c r="V1401" s="2" t="str">
        <x:v>Area equivalent = model2020 * WUP surface / TEMPO2020 footprint; km2 multiplied by1e6 once</x:v>
      </x:c>
      <x:c r="W1401" s="2" t="str">
        <x:v>L1_numeric_partition_qualified_not_national_completeness</x:v>
      </x:c>
      <x:c r="X1401" s="2" t="str">
        <x:v>https://human-settlement.emergency.copernicus.eu/datasets.php</x:v>
      </x:c>
    </x:row>
    <x:row r="1402" ht="23" customHeight="1">
      <x:c r="A1402" s="2" t="str">
        <x:v>BEN</x:v>
      </x:c>
      <x:c r="B1402" s="2" t="str">
        <x:v>Benin (Republic of)</x:v>
      </x:c>
      <x:c r="C1402" s="2" t="n">
        <x:v>2015</x:v>
      </x:c>
      <x:c r="D1402" s="2" t="str">
        <x:v>WUP_SURFACE</x:v>
      </x:c>
      <x:c r="E1402" s="17" t="n">
        <x:v>272547821.67471457</x:v>
      </x:c>
      <x:c r="F1402" s="17" t="n">
        <x:f>IF(AND(M1402,ISNUMBER(R1402)),IF(D1402="TEMPO_PROXY",R1402,IF(AND(ISNUMBER(S1402),S1402&gt;0,ISNUMBER(U1402)),U1402*R1402/S1402,"n.a.")),"n.a.")</x:f>
        <x:v>668482904.9183507</x:v>
      </x:c>
      <x:c r="G1402" s="17" t="n">
        <x:f>IF(AND(ISNUMBER(E1402),ISNUMBER(F1402)),E1402-F1402,"n.a.")</x:f>
        <x:v>-395935083.24363613</x:v>
      </x:c>
      <x:c r="H1402" s="15" t="n">
        <x:f>IF(AND(ISNUMBER(E1402),ISNUMBER(F1402),F1402&gt;0),(E1402-F1402)/F1402,"n.a.")</x:f>
        <x:v>-0.5922890179098838</x:v>
      </x:c>
      <x:c r="I1402" s="19" t="n">
        <x:f>IF(ISNUMBER(H1402),ABS(H1402),"n.a.")</x:f>
        <x:v>0.5922890179098838</x:v>
      </x:c>
      <x:c r="J1402" s="2" t="str">
        <x:v>available</x:v>
      </x:c>
      <x:c r="K1402" s="2" t="n">
        <x:v>1</x:v>
      </x:c>
      <x:c r="L1402" s="13" t="b">
        <x:v>0</x:v>
      </x:c>
      <x:c r="M1402" s="13" t="b">
        <x:v>1</x:v>
      </x:c>
      <x:c r="N1402" s="2" t="str">
        <x:v>historical_GHSL_BU_estimate</x:v>
      </x:c>
      <x:c r="O1402" s="2" t="str"/>
      <x:c r="P1402" s="2" t="str">
        <x:v>horizontal built-up surface</x:v>
      </x:c>
      <x:c r="Q1402" s="2" t="str">
        <x:v>m2</x:v>
      </x:c>
      <x:c r="R1402" s="17" t="n">
        <x:v>668482904.9183507</x:v>
      </x:c>
      <x:c r="S1402" s="17" t="n">
        <x:v>302038367.25</x:v>
      </x:c>
      <x:c r="T1402" s="18" t="n">
        <x:v>1</x:v>
      </x:c>
      <x:c r="U1402" s="17" t="n">
        <x:v>302038367.25</x:v>
      </x:c>
      <x:c r="V1402" s="2" t="str">
        <x:v>Area equivalent = model2020 * WUP surface / TEMPO2020 footprint; km2 multiplied by1e6 once</x:v>
      </x:c>
      <x:c r="W1402" s="2" t="str">
        <x:v>L1_numeric_partition_qualified_not_national_completeness</x:v>
      </x:c>
      <x:c r="X1402" s="2" t="str">
        <x:v>https://human-settlement.emergency.copernicus.eu/datasets.php</x:v>
      </x:c>
    </x:row>
    <x:row r="1403" ht="23" customHeight="1">
      <x:c r="A1403" s="2" t="str">
        <x:v>BFA</x:v>
      </x:c>
      <x:c r="B1403" s="2" t="str">
        <x:v>Burkina Faso</x:v>
      </x:c>
      <x:c r="C1403" s="2" t="n">
        <x:v>2015</x:v>
      </x:c>
      <x:c r="D1403" s="2" t="str">
        <x:v>WUP_SURFACE</x:v>
      </x:c>
      <x:c r="E1403" s="17" t="n">
        <x:v>275678764.0195087</x:v>
      </x:c>
      <x:c r="F1403" s="17" t="n">
        <x:f>IF(AND(M1403,ISNUMBER(R1403)),IF(D1403="TEMPO_PROXY",R1403,IF(AND(ISNUMBER(S1403),S1403&gt;0,ISNUMBER(U1403)),U1403*R1403/S1403,"n.a.")),"n.a.")</x:f>
        <x:v>963688347.7861785</x:v>
      </x:c>
      <x:c r="G1403" s="17" t="n">
        <x:f>IF(AND(ISNUMBER(E1403),ISNUMBER(F1403)),E1403-F1403,"n.a.")</x:f>
        <x:v>-688009583.7666698</x:v>
      </x:c>
      <x:c r="H1403" s="15" t="n">
        <x:f>IF(AND(ISNUMBER(E1403),ISNUMBER(F1403),F1403&gt;0),(E1403-F1403)/F1403,"n.a.")</x:f>
        <x:v>-0.7139336958335042</x:v>
      </x:c>
      <x:c r="I1403" s="19" t="n">
        <x:f>IF(ISNUMBER(H1403),ABS(H1403),"n.a.")</x:f>
        <x:v>0.7139336958335042</x:v>
      </x:c>
      <x:c r="J1403" s="2" t="str">
        <x:v>available</x:v>
      </x:c>
      <x:c r="K1403" s="2" t="n">
        <x:v>1</x:v>
      </x:c>
      <x:c r="L1403" s="13" t="b">
        <x:v>0</x:v>
      </x:c>
      <x:c r="M1403" s="13" t="b">
        <x:v>1</x:v>
      </x:c>
      <x:c r="N1403" s="2" t="str">
        <x:v>historical_GHSL_BU_estimate</x:v>
      </x:c>
      <x:c r="O1403" s="2" t="str"/>
      <x:c r="P1403" s="2" t="str">
        <x:v>horizontal built-up surface</x:v>
      </x:c>
      <x:c r="Q1403" s="2" t="str">
        <x:v>m2</x:v>
      </x:c>
      <x:c r="R1403" s="17" t="n">
        <x:v>963688347.786178</x:v>
      </x:c>
      <x:c r="S1403" s="17" t="n">
        <x:v>359180891.35</x:v>
      </x:c>
      <x:c r="T1403" s="18" t="n">
        <x:v>1.0000000000000004</x:v>
      </x:c>
      <x:c r="U1403" s="17" t="n">
        <x:v>359180891.3500002</x:v>
      </x:c>
      <x:c r="V1403" s="2" t="str">
        <x:v>Area equivalent = model2020 * WUP surface / TEMPO2020 footprint; km2 multiplied by1e6 once</x:v>
      </x:c>
      <x:c r="W1403" s="2" t="str">
        <x:v>L1_numeric_partition_qualified_not_national_completeness</x:v>
      </x:c>
      <x:c r="X1403" s="2" t="str">
        <x:v>https://human-settlement.emergency.copernicus.eu/datasets.php</x:v>
      </x:c>
    </x:row>
    <x:row r="1404" ht="23" customHeight="1">
      <x:c r="A1404" s="2" t="str">
        <x:v>BGD</x:v>
      </x:c>
      <x:c r="B1404" s="2" t="str">
        <x:v>Bangladesh (People's Republic of)</x:v>
      </x:c>
      <x:c r="C1404" s="2" t="n">
        <x:v>2015</x:v>
      </x:c>
      <x:c r="D1404" s="2" t="str">
        <x:v>WUP_SURFACE</x:v>
      </x:c>
      <x:c r="E1404" s="17" t="n">
        <x:v>2168931873.230832</x:v>
      </x:c>
      <x:c r="F1404" s="17" t="n">
        <x:f>IF(AND(M1404,ISNUMBER(R1404)),IF(D1404="TEMPO_PROXY",R1404,IF(AND(ISNUMBER(S1404),S1404&gt;0,ISNUMBER(U1404)),U1404*R1404/S1404,"n.a.")),"n.a.")</x:f>
        <x:v>2413249047.0585785</x:v>
      </x:c>
      <x:c r="G1404" s="17" t="n">
        <x:f>IF(AND(ISNUMBER(E1404),ISNUMBER(F1404)),E1404-F1404,"n.a.")</x:f>
        <x:v>-244317173.8277464</x:v>
      </x:c>
      <x:c r="H1404" s="15" t="n">
        <x:f>IF(AND(ISNUMBER(E1404),ISNUMBER(F1404),F1404&gt;0),(E1404-F1404)/F1404,"n.a.")</x:f>
        <x:v>-0.10123993382512084</x:v>
      </x:c>
      <x:c r="I1404" s="19" t="n">
        <x:f>IF(ISNUMBER(H1404),ABS(H1404),"n.a.")</x:f>
        <x:v>0.10123993382512084</x:v>
      </x:c>
      <x:c r="J1404" s="2" t="str">
        <x:v>available</x:v>
      </x:c>
      <x:c r="K1404" s="2" t="n">
        <x:v>1</x:v>
      </x:c>
      <x:c r="L1404" s="13" t="b">
        <x:v>0</x:v>
      </x:c>
      <x:c r="M1404" s="13" t="b">
        <x:v>1</x:v>
      </x:c>
      <x:c r="N1404" s="2" t="str">
        <x:v>historical_GHSL_BU_estimate</x:v>
      </x:c>
      <x:c r="O1404" s="2" t="str"/>
      <x:c r="P1404" s="2" t="str">
        <x:v>horizontal built-up surface</x:v>
      </x:c>
      <x:c r="Q1404" s="2" t="str">
        <x:v>m2</x:v>
      </x:c>
      <x:c r="R1404" s="17" t="n">
        <x:v>2413249047.05858</x:v>
      </x:c>
      <x:c r="S1404" s="17" t="n">
        <x:v>2430930564.55</x:v>
      </x:c>
      <x:c r="T1404" s="18" t="n">
        <x:v>0.9999999999999994</x:v>
      </x:c>
      <x:c r="U1404" s="17" t="n">
        <x:v>2430930564.5499988</x:v>
      </x:c>
      <x:c r="V1404" s="2" t="str">
        <x:v>Area equivalent = model2020 * WUP surface / TEMPO2020 footprint; km2 multiplied by1e6 once</x:v>
      </x:c>
      <x:c r="W1404" s="2" t="str">
        <x:v>L1_numeric_partition_qualified_not_national_completeness</x:v>
      </x:c>
      <x:c r="X1404" s="2" t="str">
        <x:v>https://human-settlement.emergency.copernicus.eu/datasets.php</x:v>
      </x:c>
    </x:row>
    <x:row r="1405" ht="23" customHeight="1">
      <x:c r="A1405" s="2" t="str">
        <x:v>BGR</x:v>
      </x:c>
      <x:c r="B1405" s="2" t="str">
        <x:v>Bulgaria (Republic of)</x:v>
      </x:c>
      <x:c r="C1405" s="2" t="n">
        <x:v>2015</x:v>
      </x:c>
      <x:c r="D1405" s="2" t="str">
        <x:v>WUP_SURFACE</x:v>
      </x:c>
      <x:c r="E1405" s="17" t="n">
        <x:v>515270007.50160265</x:v>
      </x:c>
      <x:c r="F1405" s="17" t="n">
        <x:f>IF(AND(M1405,ISNUMBER(R1405)),IF(D1405="TEMPO_PROXY",R1405,IF(AND(ISNUMBER(S1405),S1405&gt;0,ISNUMBER(U1405)),U1405*R1405/S1405,"n.a.")),"n.a.")</x:f>
        <x:v>820952932.1974789</x:v>
      </x:c>
      <x:c r="G1405" s="17" t="n">
        <x:f>IF(AND(ISNUMBER(E1405),ISNUMBER(F1405)),E1405-F1405,"n.a.")</x:f>
        <x:v>-305682924.69587624</x:v>
      </x:c>
      <x:c r="H1405" s="15" t="n">
        <x:f>IF(AND(ISNUMBER(E1405),ISNUMBER(F1405),F1405&gt;0),(E1405-F1405)/F1405,"n.a.")</x:f>
        <x:v>-0.37235134038396334</x:v>
      </x:c>
      <x:c r="I1405" s="19" t="n">
        <x:f>IF(ISNUMBER(H1405),ABS(H1405),"n.a.")</x:f>
        <x:v>0.37235134038396334</x:v>
      </x:c>
      <x:c r="J1405" s="2" t="str">
        <x:v>available</x:v>
      </x:c>
      <x:c r="K1405" s="2" t="n">
        <x:v>1</x:v>
      </x:c>
      <x:c r="L1405" s="13" t="b">
        <x:v>0</x:v>
      </x:c>
      <x:c r="M1405" s="13" t="b">
        <x:v>1</x:v>
      </x:c>
      <x:c r="N1405" s="2" t="str">
        <x:v>historical_GHSL_BU_estimate</x:v>
      </x:c>
      <x:c r="O1405" s="2" t="str"/>
      <x:c r="P1405" s="2" t="str">
        <x:v>horizontal built-up surface</x:v>
      </x:c>
      <x:c r="Q1405" s="2" t="str">
        <x:v>m2</x:v>
      </x:c>
      <x:c r="R1405" s="17" t="n">
        <x:v>820952932.1974778</x:v>
      </x:c>
      <x:c r="S1405" s="17" t="n">
        <x:v>543020803.57</x:v>
      </x:c>
      <x:c r="T1405" s="18" t="n">
        <x:v>1.0000000000000013</x:v>
      </x:c>
      <x:c r="U1405" s="17" t="n">
        <x:v>543020803.5700008</x:v>
      </x:c>
      <x:c r="V1405" s="2" t="str">
        <x:v>Area equivalent = model2020 * WUP surface / TEMPO2020 footprint; km2 multiplied by1e6 once</x:v>
      </x:c>
      <x:c r="W1405" s="2" t="str">
        <x:v>L1_numeric_partition_qualified_not_national_completeness</x:v>
      </x:c>
      <x:c r="X1405" s="2" t="str">
        <x:v>https://human-settlement.emergency.copernicus.eu/datasets.php</x:v>
      </x:c>
    </x:row>
    <x:row r="1406" ht="23" customHeight="1">
      <x:c r="A1406" s="2" t="str">
        <x:v>BHR</x:v>
      </x:c>
      <x:c r="B1406" s="2" t="str">
        <x:v>Bahrain (Kingdom of)</x:v>
      </x:c>
      <x:c r="C1406" s="2" t="n">
        <x:v>2015</x:v>
      </x:c>
      <x:c r="D1406" s="2" t="str">
        <x:v>WUP_SURFACE</x:v>
      </x:c>
      <x:c r="E1406" s="17" t="n">
        <x:v>55998295.60212009</x:v>
      </x:c>
      <x:c r="F1406" s="17" t="n">
        <x:f>IF(AND(M1406,ISNUMBER(R1406)),IF(D1406="TEMPO_PROXY",R1406,IF(AND(ISNUMBER(S1406),S1406&gt;0,ISNUMBER(U1406)),U1406*R1406/S1406,"n.a.")),"n.a.")</x:f>
        <x:v>84701337.8621017</x:v>
      </x:c>
      <x:c r="G1406" s="17" t="n">
        <x:f>IF(AND(ISNUMBER(E1406),ISNUMBER(F1406)),E1406-F1406,"n.a.")</x:f>
        <x:v>-28703042.259981617</x:v>
      </x:c>
      <x:c r="H1406" s="15" t="n">
        <x:f>IF(AND(ISNUMBER(E1406),ISNUMBER(F1406),F1406&gt;0),(E1406-F1406)/F1406,"n.a.")</x:f>
        <x:v>-0.3388735406601452</x:v>
      </x:c>
      <x:c r="I1406" s="19" t="n">
        <x:f>IF(ISNUMBER(H1406),ABS(H1406),"n.a.")</x:f>
        <x:v>0.3388735406601452</x:v>
      </x:c>
      <x:c r="J1406" s="2" t="str">
        <x:v>available</x:v>
      </x:c>
      <x:c r="K1406" s="2" t="n">
        <x:v>1</x:v>
      </x:c>
      <x:c r="L1406" s="13" t="b">
        <x:v>0</x:v>
      </x:c>
      <x:c r="M1406" s="13" t="b">
        <x:v>1</x:v>
      </x:c>
      <x:c r="N1406" s="2" t="str">
        <x:v>historical_GHSL_BU_estimate</x:v>
      </x:c>
      <x:c r="O1406" s="2" t="str"/>
      <x:c r="P1406" s="2" t="str">
        <x:v>horizontal built-up surface</x:v>
      </x:c>
      <x:c r="Q1406" s="2" t="str">
        <x:v>m2</x:v>
      </x:c>
      <x:c r="R1406" s="17" t="n">
        <x:v>72761916.97409944</x:v>
      </x:c>
      <x:c r="S1406" s="17" t="n">
        <x:v>54723363.17</x:v>
      </x:c>
      <x:c r="T1406" s="18" t="n">
        <x:v>1.1640888720984668</x:v>
      </x:c>
      <x:c r="U1406" s="17" t="n">
        <x:v>63702858.11000008</x:v>
      </x:c>
      <x:c r="V1406" s="2" t="str">
        <x:v>Area equivalent = model2020 * WUP surface / TEMPO2020 footprint; km2 multiplied by1e6 once</x:v>
      </x:c>
      <x:c r="W1406" s="2" t="str">
        <x:v>L1_numeric_partition_qualified_not_national_completeness</x:v>
      </x:c>
      <x:c r="X1406" s="2" t="str">
        <x:v>https://human-settlement.emergency.copernicus.eu/datasets.php</x:v>
      </x:c>
    </x:row>
    <x:row r="1407" ht="23" customHeight="1">
      <x:c r="A1407" s="2" t="str">
        <x:v>BHS</x:v>
      </x:c>
      <x:c r="B1407" s="2" t="str">
        <x:v>Bahamas (Commonwealth of the)</x:v>
      </x:c>
      <x:c r="C1407" s="2" t="n">
        <x:v>2015</x:v>
      </x:c>
      <x:c r="D1407" s="2" t="str">
        <x:v>WUP_SURFACE</x:v>
      </x:c>
      <x:c r="E1407" s="17" t="n">
        <x:v>27680989.498857055</x:v>
      </x:c>
      <x:c r="F1407" s="17" t="n">
        <x:f>IF(AND(M1407,ISNUMBER(R1407)),IF(D1407="TEMPO_PROXY",R1407,IF(AND(ISNUMBER(S1407),S1407&gt;0,ISNUMBER(U1407)),U1407*R1407/S1407,"n.a.")),"n.a.")</x:f>
        <x:v>43535945.93845297</x:v>
      </x:c>
      <x:c r="G1407" s="17" t="n">
        <x:f>IF(AND(ISNUMBER(E1407),ISNUMBER(F1407)),E1407-F1407,"n.a.")</x:f>
        <x:v>-15854956.439595912</x:v>
      </x:c>
      <x:c r="H1407" s="15" t="n">
        <x:f>IF(AND(ISNUMBER(E1407),ISNUMBER(F1407),F1407&gt;0),(E1407-F1407)/F1407,"n.a.")</x:f>
        <x:v>-0.3641808188114291</x:v>
      </x:c>
      <x:c r="I1407" s="19" t="n">
        <x:f>IF(ISNUMBER(H1407),ABS(H1407),"n.a.")</x:f>
        <x:v>0.3641808188114291</x:v>
      </x:c>
      <x:c r="J1407" s="2" t="str">
        <x:v>available</x:v>
      </x:c>
      <x:c r="K1407" s="2" t="n">
        <x:v>1</x:v>
      </x:c>
      <x:c r="L1407" s="13" t="b">
        <x:v>0</x:v>
      </x:c>
      <x:c r="M1407" s="13" t="b">
        <x:v>1</x:v>
      </x:c>
      <x:c r="N1407" s="2" t="str">
        <x:v>historical_GHSL_BU_estimate</x:v>
      </x:c>
      <x:c r="O1407" s="2" t="str"/>
      <x:c r="P1407" s="2" t="str">
        <x:v>horizontal built-up surface</x:v>
      </x:c>
      <x:c r="Q1407" s="2" t="str">
        <x:v>m2</x:v>
      </x:c>
      <x:c r="R1407" s="17" t="n">
        <x:v>43535945.93845298</x:v>
      </x:c>
      <x:c r="S1407" s="17" t="n">
        <x:v>29184660.45</x:v>
      </x:c>
      <x:c r="T1407" s="18" t="n">
        <x:v>0.9999999999999998</x:v>
      </x:c>
      <x:c r="U1407" s="17" t="n">
        <x:v>29184660.44999999</x:v>
      </x:c>
      <x:c r="V1407" s="2" t="str">
        <x:v>Area equivalent = model2020 * WUP surface / TEMPO2020 footprint; km2 multiplied by1e6 once</x:v>
      </x:c>
      <x:c r="W1407" s="2" t="str">
        <x:v>L1_numeric_partition_qualified_not_national_completeness</x:v>
      </x:c>
      <x:c r="X1407" s="2" t="str">
        <x:v>https://human-settlement.emergency.copernicus.eu/datasets.php</x:v>
      </x:c>
    </x:row>
    <x:row r="1408" ht="23" customHeight="1">
      <x:c r="A1408" s="2" t="str">
        <x:v>BIH</x:v>
      </x:c>
      <x:c r="B1408" s="2" t="str">
        <x:v>Bosnia and Herzegovina</x:v>
      </x:c>
      <x:c r="C1408" s="2" t="n">
        <x:v>2015</x:v>
      </x:c>
      <x:c r="D1408" s="2" t="str">
        <x:v>WUP_SURFACE</x:v>
      </x:c>
      <x:c r="E1408" s="17" t="n">
        <x:v>233894193.35508087</x:v>
      </x:c>
      <x:c r="F1408" s="17" t="n">
        <x:f>IF(AND(M1408,ISNUMBER(R1408)),IF(D1408="TEMPO_PROXY",R1408,IF(AND(ISNUMBER(S1408),S1408&gt;0,ISNUMBER(U1408)),U1408*R1408/S1408,"n.a.")),"n.a.")</x:f>
        <x:v>339847173.9806795</x:v>
      </x:c>
      <x:c r="G1408" s="17" t="n">
        <x:f>IF(AND(ISNUMBER(E1408),ISNUMBER(F1408)),E1408-F1408,"n.a.")</x:f>
        <x:v>-105952980.62559864</x:v>
      </x:c>
      <x:c r="H1408" s="15" t="n">
        <x:f>IF(AND(ISNUMBER(E1408),ISNUMBER(F1408),F1408&gt;0),(E1408-F1408)/F1408,"n.a.")</x:f>
        <x:v>-0.31176654901836</x:v>
      </x:c>
      <x:c r="I1408" s="19" t="n">
        <x:f>IF(ISNUMBER(H1408),ABS(H1408),"n.a.")</x:f>
        <x:v>0.31176654901836</x:v>
      </x:c>
      <x:c r="J1408" s="2" t="str">
        <x:v>available</x:v>
      </x:c>
      <x:c r="K1408" s="2" t="n">
        <x:v>1</x:v>
      </x:c>
      <x:c r="L1408" s="13" t="b">
        <x:v>0</x:v>
      </x:c>
      <x:c r="M1408" s="13" t="b">
        <x:v>1</x:v>
      </x:c>
      <x:c r="N1408" s="2" t="str">
        <x:v>historical_GHSL_BU_estimate</x:v>
      </x:c>
      <x:c r="O1408" s="2" t="str"/>
      <x:c r="P1408" s="2" t="str">
        <x:v>horizontal built-up surface</x:v>
      </x:c>
      <x:c r="Q1408" s="2" t="str">
        <x:v>m2</x:v>
      </x:c>
      <x:c r="R1408" s="17" t="n">
        <x:v>339847173.98067915</x:v>
      </x:c>
      <x:c r="S1408" s="17" t="n">
        <x:v>247114206.72</x:v>
      </x:c>
      <x:c r="T1408" s="18" t="n">
        <x:v>1.000000000000001</x:v>
      </x:c>
      <x:c r="U1408" s="17" t="n">
        <x:v>247114206.72000027</x:v>
      </x:c>
      <x:c r="V1408" s="2" t="str">
        <x:v>Area equivalent = model2020 * WUP surface / TEMPO2020 footprint; km2 multiplied by1e6 once</x:v>
      </x:c>
      <x:c r="W1408" s="2" t="str">
        <x:v>L1_numeric_partition_qualified_not_national_completeness</x:v>
      </x:c>
      <x:c r="X1408" s="2" t="str">
        <x:v>https://human-settlement.emergency.copernicus.eu/datasets.php</x:v>
      </x:c>
    </x:row>
    <x:row r="1409" ht="23" customHeight="1">
      <x:c r="A1409" s="2" t="str">
        <x:v>BLR</x:v>
      </x:c>
      <x:c r="B1409" s="2" t="str">
        <x:v>Belarus (Republic of)</x:v>
      </x:c>
      <x:c r="C1409" s="2" t="n">
        <x:v>2015</x:v>
      </x:c>
      <x:c r="D1409" s="2" t="str">
        <x:v>WUP_SURFACE</x:v>
      </x:c>
      <x:c r="E1409" s="17" t="n">
        <x:v>642607051.7109698</x:v>
      </x:c>
      <x:c r="F1409" s="17" t="n">
        <x:f>IF(AND(M1409,ISNUMBER(R1409)),IF(D1409="TEMPO_PROXY",R1409,IF(AND(ISNUMBER(S1409),S1409&gt;0,ISNUMBER(U1409)),U1409*R1409/S1409,"n.a.")),"n.a.")</x:f>
        <x:v>1192992403.9129326</x:v>
      </x:c>
      <x:c r="G1409" s="17" t="n">
        <x:f>IF(AND(ISNUMBER(E1409),ISNUMBER(F1409)),E1409-F1409,"n.a.")</x:f>
        <x:v>-550385352.2019628</x:v>
      </x:c>
      <x:c r="H1409" s="15" t="n">
        <x:f>IF(AND(ISNUMBER(E1409),ISNUMBER(F1409),F1409&gt;0),(E1409-F1409)/F1409,"n.a.")</x:f>
        <x:v>-0.461348580591743</x:v>
      </x:c>
      <x:c r="I1409" s="19" t="n">
        <x:f>IF(ISNUMBER(H1409),ABS(H1409),"n.a.")</x:f>
        <x:v>0.461348580591743</x:v>
      </x:c>
      <x:c r="J1409" s="2" t="str">
        <x:v>available</x:v>
      </x:c>
      <x:c r="K1409" s="2" t="n">
        <x:v>1</x:v>
      </x:c>
      <x:c r="L1409" s="13" t="b">
        <x:v>0</x:v>
      </x:c>
      <x:c r="M1409" s="13" t="b">
        <x:v>1</x:v>
      </x:c>
      <x:c r="N1409" s="2" t="str">
        <x:v>historical_GHSL_BU_estimate</x:v>
      </x:c>
      <x:c r="O1409" s="2" t="str"/>
      <x:c r="P1409" s="2" t="str">
        <x:v>horizontal built-up surface</x:v>
      </x:c>
      <x:c r="Q1409" s="2" t="str">
        <x:v>m2</x:v>
      </x:c>
      <x:c r="R1409" s="17" t="n">
        <x:v>1192992403.9129322</x:v>
      </x:c>
      <x:c r="S1409" s="17" t="n">
        <x:v>672205246.44</x:v>
      </x:c>
      <x:c r="T1409" s="18" t="n">
        <x:v>1.0000000000000004</x:v>
      </x:c>
      <x:c r="U1409" s="17" t="n">
        <x:v>672205246.4400003</x:v>
      </x:c>
      <x:c r="V1409" s="2" t="str">
        <x:v>Area equivalent = model2020 * WUP surface / TEMPO2020 footprint; km2 multiplied by1e6 once</x:v>
      </x:c>
      <x:c r="W1409" s="2" t="str">
        <x:v>L1_numeric_partition_qualified_not_national_completeness</x:v>
      </x:c>
      <x:c r="X1409" s="2" t="str">
        <x:v>https://human-settlement.emergency.copernicus.eu/datasets.php</x:v>
      </x:c>
    </x:row>
    <x:row r="1410" ht="23" customHeight="1">
      <x:c r="A1410" s="2" t="str">
        <x:v>BLZ</x:v>
      </x:c>
      <x:c r="B1410" s="2" t="str">
        <x:v>Belize</x:v>
      </x:c>
      <x:c r="C1410" s="2" t="n">
        <x:v>2015</x:v>
      </x:c>
      <x:c r="D1410" s="2" t="str">
        <x:v>WUP_SURFACE</x:v>
      </x:c>
      <x:c r="E1410" s="17" t="n">
        <x:v>16540709.810359346</x:v>
      </x:c>
      <x:c r="F1410" s="17" t="n">
        <x:f>IF(AND(M1410,ISNUMBER(R1410)),IF(D1410="TEMPO_PROXY",R1410,IF(AND(ISNUMBER(S1410),S1410&gt;0,ISNUMBER(U1410)),U1410*R1410/S1410,"n.a.")),"n.a.")</x:f>
        <x:v>38755279.01303104</x:v>
      </x:c>
      <x:c r="G1410" s="17" t="n">
        <x:f>IF(AND(ISNUMBER(E1410),ISNUMBER(F1410)),E1410-F1410,"n.a.")</x:f>
        <x:v>-22214569.2026717</x:v>
      </x:c>
      <x:c r="H1410" s="15" t="n">
        <x:f>IF(AND(ISNUMBER(E1410),ISNUMBER(F1410),F1410&gt;0),(E1410-F1410)/F1410,"n.a.")</x:f>
        <x:v>-0.573201116555045</x:v>
      </x:c>
      <x:c r="I1410" s="19" t="n">
        <x:f>IF(ISNUMBER(H1410),ABS(H1410),"n.a.")</x:f>
        <x:v>0.573201116555045</x:v>
      </x:c>
      <x:c r="J1410" s="2" t="str">
        <x:v>available</x:v>
      </x:c>
      <x:c r="K1410" s="2" t="n">
        <x:v>1</x:v>
      </x:c>
      <x:c r="L1410" s="13" t="b">
        <x:v>0</x:v>
      </x:c>
      <x:c r="M1410" s="13" t="b">
        <x:v>1</x:v>
      </x:c>
      <x:c r="N1410" s="2" t="str">
        <x:v>historical_GHSL_BU_estimate</x:v>
      </x:c>
      <x:c r="O1410" s="2" t="str"/>
      <x:c r="P1410" s="2" t="str">
        <x:v>horizontal built-up surface</x:v>
      </x:c>
      <x:c r="Q1410" s="2" t="str">
        <x:v>m2</x:v>
      </x:c>
      <x:c r="R1410" s="17" t="n">
        <x:v>38755279.0130311</x:v>
      </x:c>
      <x:c r="S1410" s="17" t="n">
        <x:v>21867714.34</x:v>
      </x:c>
      <x:c r="T1410" s="18" t="n">
        <x:v>0.9999999999999984</x:v>
      </x:c>
      <x:c r="U1410" s="17" t="n">
        <x:v>21867714.339999966</x:v>
      </x:c>
      <x:c r="V1410" s="2" t="str">
        <x:v>Area equivalent = model2020 * WUP surface / TEMPO2020 footprint; km2 multiplied by1e6 once</x:v>
      </x:c>
      <x:c r="W1410" s="2" t="str">
        <x:v>L1_numeric_partition_qualified_not_national_completeness</x:v>
      </x:c>
      <x:c r="X1410" s="2" t="str">
        <x:v>https://human-settlement.emergency.copernicus.eu/datasets.php</x:v>
      </x:c>
    </x:row>
    <x:row r="1411" ht="23" customHeight="1">
      <x:c r="A1411" s="2" t="str">
        <x:v>BOL</x:v>
      </x:c>
      <x:c r="B1411" s="2" t="str">
        <x:v>Bolivia (Plurinational State of)</x:v>
      </x:c>
      <x:c r="C1411" s="2" t="n">
        <x:v>2015</x:v>
      </x:c>
      <x:c r="D1411" s="2" t="str">
        <x:v>WUP_SURFACE</x:v>
      </x:c>
      <x:c r="E1411" s="17" t="n">
        <x:v>459985037.8168253</x:v>
      </x:c>
      <x:c r="F1411" s="17" t="n">
        <x:f>IF(AND(M1411,ISNUMBER(R1411)),IF(D1411="TEMPO_PROXY",R1411,IF(AND(ISNUMBER(S1411),S1411&gt;0,ISNUMBER(U1411)),U1411*R1411/S1411,"n.a.")),"n.a.")</x:f>
        <x:v>665195272.3301141</x:v>
      </x:c>
      <x:c r="G1411" s="17" t="n">
        <x:f>IF(AND(ISNUMBER(E1411),ISNUMBER(F1411)),E1411-F1411,"n.a.")</x:f>
        <x:v>-205210234.51328886</x:v>
      </x:c>
      <x:c r="H1411" s="15" t="n">
        <x:f>IF(AND(ISNUMBER(E1411),ISNUMBER(F1411),F1411&gt;0),(E1411-F1411)/F1411,"n.a.")</x:f>
        <x:v>-0.3084962311810447</x:v>
      </x:c>
      <x:c r="I1411" s="19" t="n">
        <x:f>IF(ISNUMBER(H1411),ABS(H1411),"n.a.")</x:f>
        <x:v>0.3084962311810447</x:v>
      </x:c>
      <x:c r="J1411" s="2" t="str">
        <x:v>available</x:v>
      </x:c>
      <x:c r="K1411" s="2" t="n">
        <x:v>1</x:v>
      </x:c>
      <x:c r="L1411" s="13" t="b">
        <x:v>0</x:v>
      </x:c>
      <x:c r="M1411" s="13" t="b">
        <x:v>1</x:v>
      </x:c>
      <x:c r="N1411" s="2" t="str">
        <x:v>historical_GHSL_BU_estimate</x:v>
      </x:c>
      <x:c r="O1411" s="2" t="str"/>
      <x:c r="P1411" s="2" t="str">
        <x:v>horizontal built-up surface</x:v>
      </x:c>
      <x:c r="Q1411" s="2" t="str">
        <x:v>m2</x:v>
      </x:c>
      <x:c r="R1411" s="17" t="n">
        <x:v>665195272.3301151</x:v>
      </x:c>
      <x:c r="S1411" s="17" t="n">
        <x:v>496419008.94</x:v>
      </x:c>
      <x:c r="T1411" s="18" t="n">
        <x:v>0.9999999999999984</x:v>
      </x:c>
      <x:c r="U1411" s="17" t="n">
        <x:v>496419008.9399992</x:v>
      </x:c>
      <x:c r="V1411" s="2" t="str">
        <x:v>Area equivalent = model2020 * WUP surface / TEMPO2020 footprint; km2 multiplied by1e6 once</x:v>
      </x:c>
      <x:c r="W1411" s="2" t="str">
        <x:v>L1_numeric_partition_qualified_not_national_completeness</x:v>
      </x:c>
      <x:c r="X1411" s="2" t="str">
        <x:v>https://human-settlement.emergency.copernicus.eu/datasets.php</x:v>
      </x:c>
    </x:row>
    <x:row r="1412" ht="23" customHeight="1">
      <x:c r="A1412" s="2" t="str">
        <x:v>BRA</x:v>
      </x:c>
      <x:c r="B1412" s="2" t="str">
        <x:v>Brazil (Federative Republic of)</x:v>
      </x:c>
      <x:c r="C1412" s="2" t="n">
        <x:v>2015</x:v>
      </x:c>
      <x:c r="D1412" s="2" t="str">
        <x:v>WUP_SURFACE</x:v>
      </x:c>
      <x:c r="E1412" s="17" t="n">
        <x:v>11501843459.570875</x:v>
      </x:c>
      <x:c r="F1412" s="17" t="n">
        <x:f>IF(AND(M1412,ISNUMBER(R1412)),IF(D1412="TEMPO_PROXY",R1412,IF(AND(ISNUMBER(S1412),S1412&gt;0,ISNUMBER(U1412)),U1412*R1412/S1412,"n.a.")),"n.a.")</x:f>
        <x:v>15126796642.089462</x:v>
      </x:c>
      <x:c r="G1412" s="17" t="n">
        <x:f>IF(AND(ISNUMBER(E1412),ISNUMBER(F1412)),E1412-F1412,"n.a.")</x:f>
        <x:v>-3624953182.518587</x:v>
      </x:c>
      <x:c r="H1412" s="15" t="n">
        <x:f>IF(AND(ISNUMBER(E1412),ISNUMBER(F1412),F1412&gt;0),(E1412-F1412)/F1412,"n.a.")</x:f>
        <x:v>-0.2396378604332102</x:v>
      </x:c>
      <x:c r="I1412" s="19" t="n">
        <x:f>IF(ISNUMBER(H1412),ABS(H1412),"n.a.")</x:f>
        <x:v>0.2396378604332102</x:v>
      </x:c>
      <x:c r="J1412" s="2" t="str">
        <x:v>available</x:v>
      </x:c>
      <x:c r="K1412" s="2" t="n">
        <x:v>1</x:v>
      </x:c>
      <x:c r="L1412" s="13" t="b">
        <x:v>0</x:v>
      </x:c>
      <x:c r="M1412" s="13" t="b">
        <x:v>1</x:v>
      </x:c>
      <x:c r="N1412" s="2" t="str">
        <x:v>historical_GHSL_BU_estimate</x:v>
      </x:c>
      <x:c r="O1412" s="2" t="str"/>
      <x:c r="P1412" s="2" t="str">
        <x:v>horizontal built-up surface</x:v>
      </x:c>
      <x:c r="Q1412" s="2" t="str">
        <x:v>m2</x:v>
      </x:c>
      <x:c r="R1412" s="17" t="n">
        <x:v>15126796642.089466</x:v>
      </x:c>
      <x:c r="S1412" s="17" t="n">
        <x:v>12112839681.86</x:v>
      </x:c>
      <x:c r="T1412" s="18" t="n">
        <x:v>0.9999999999999997</x:v>
      </x:c>
      <x:c r="U1412" s="17" t="n">
        <x:v>12112839681.859997</x:v>
      </x:c>
      <x:c r="V1412" s="2" t="str">
        <x:v>Area equivalent = model2020 * WUP surface / TEMPO2020 footprint; km2 multiplied by1e6 once</x:v>
      </x:c>
      <x:c r="W1412" s="2" t="str">
        <x:v>L1_numeric_partition_qualified_not_national_completeness</x:v>
      </x:c>
      <x:c r="X1412" s="2" t="str">
        <x:v>https://human-settlement.emergency.copernicus.eu/datasets.php</x:v>
      </x:c>
    </x:row>
    <x:row r="1413" ht="23" customHeight="1">
      <x:c r="A1413" s="2" t="str">
        <x:v>BRB</x:v>
      </x:c>
      <x:c r="B1413" s="2" t="str">
        <x:v>Barbados</x:v>
      </x:c>
      <x:c r="C1413" s="2" t="n">
        <x:v>2015</x:v>
      </x:c>
      <x:c r="D1413" s="2" t="str">
        <x:v>WUP_SURFACE</x:v>
      </x:c>
      <x:c r="E1413" s="17" t="n">
        <x:v>17895946.814018443</x:v>
      </x:c>
      <x:c r="F1413" s="17" t="n">
        <x:f>IF(AND(M1413,ISNUMBER(R1413)),IF(D1413="TEMPO_PROXY",R1413,IF(AND(ISNUMBER(S1413),S1413&gt;0,ISNUMBER(U1413)),U1413*R1413/S1413,"n.a.")),"n.a.")</x:f>
        <x:v>30322661.992656894</x:v>
      </x:c>
      <x:c r="G1413" s="17" t="n">
        <x:f>IF(AND(ISNUMBER(E1413),ISNUMBER(F1413)),E1413-F1413,"n.a.")</x:f>
        <x:v>-12426715.17863845</x:v>
      </x:c>
      <x:c r="H1413" s="15" t="n">
        <x:f>IF(AND(ISNUMBER(E1413),ISNUMBER(F1413),F1413&gt;0),(E1413-F1413)/F1413,"n.a.")</x:f>
        <x:v>-0.40981610327113677</x:v>
      </x:c>
      <x:c r="I1413" s="19" t="n">
        <x:f>IF(ISNUMBER(H1413),ABS(H1413),"n.a.")</x:f>
        <x:v>0.40981610327113677</x:v>
      </x:c>
      <x:c r="J1413" s="2" t="str">
        <x:v>available</x:v>
      </x:c>
      <x:c r="K1413" s="2" t="n">
        <x:v>1</x:v>
      </x:c>
      <x:c r="L1413" s="13" t="b">
        <x:v>0</x:v>
      </x:c>
      <x:c r="M1413" s="13" t="b">
        <x:v>1</x:v>
      </x:c>
      <x:c r="N1413" s="2" t="str">
        <x:v>historical_GHSL_BU_estimate</x:v>
      </x:c>
      <x:c r="O1413" s="2" t="str"/>
      <x:c r="P1413" s="2" t="str">
        <x:v>horizontal built-up surface</x:v>
      </x:c>
      <x:c r="Q1413" s="2" t="str">
        <x:v>m2</x:v>
      </x:c>
      <x:c r="R1413" s="17" t="n">
        <x:v>30322661.99265689</x:v>
      </x:c>
      <x:c r="S1413" s="17" t="n">
        <x:v>23684585.84</x:v>
      </x:c>
      <x:c r="T1413" s="18" t="n">
        <x:v>1.0000000000000002</x:v>
      </x:c>
      <x:c r="U1413" s="17" t="n">
        <x:v>23684585.840000004</x:v>
      </x:c>
      <x:c r="V1413" s="2" t="str">
        <x:v>Area equivalent = model2020 * WUP surface / TEMPO2020 footprint; km2 multiplied by1e6 once</x:v>
      </x:c>
      <x:c r="W1413" s="2" t="str">
        <x:v>L1_numeric_partition_qualified_not_national_completeness</x:v>
      </x:c>
      <x:c r="X1413" s="2" t="str">
        <x:v>https://human-settlement.emergency.copernicus.eu/datasets.php</x:v>
      </x:c>
    </x:row>
    <x:row r="1414" ht="23" customHeight="1">
      <x:c r="A1414" s="2" t="str">
        <x:v>BRN</x:v>
      </x:c>
      <x:c r="B1414" s="2" t="str">
        <x:v>Brunei Darussalam</x:v>
      </x:c>
      <x:c r="C1414" s="2" t="n">
        <x:v>2015</x:v>
      </x:c>
      <x:c r="D1414" s="2" t="str">
        <x:v>WUP_SURFACE</x:v>
      </x:c>
      <x:c r="E1414" s="17" t="n">
        <x:v>34359495.97534139</x:v>
      </x:c>
      <x:c r="F1414" s="17" t="n">
        <x:f>IF(AND(M1414,ISNUMBER(R1414)),IF(D1414="TEMPO_PROXY",R1414,IF(AND(ISNUMBER(S1414),S1414&gt;0,ISNUMBER(U1414)),U1414*R1414/S1414,"n.a.")),"n.a.")</x:f>
        <x:v>48481080.04387064</x:v>
      </x:c>
      <x:c r="G1414" s="17" t="n">
        <x:f>IF(AND(ISNUMBER(E1414),ISNUMBER(F1414)),E1414-F1414,"n.a.")</x:f>
        <x:v>-14121584.068529256</x:v>
      </x:c>
      <x:c r="H1414" s="15" t="n">
        <x:f>IF(AND(ISNUMBER(E1414),ISNUMBER(F1414),F1414&gt;0),(E1414-F1414)/F1414,"n.a.")</x:f>
        <x:v>-0.2912803109120218</x:v>
      </x:c>
      <x:c r="I1414" s="19" t="n">
        <x:f>IF(ISNUMBER(H1414),ABS(H1414),"n.a.")</x:f>
        <x:v>0.2912803109120218</x:v>
      </x:c>
      <x:c r="J1414" s="2" t="str">
        <x:v>available</x:v>
      </x:c>
      <x:c r="K1414" s="2" t="n">
        <x:v>1</x:v>
      </x:c>
      <x:c r="L1414" s="13" t="b">
        <x:v>0</x:v>
      </x:c>
      <x:c r="M1414" s="13" t="b">
        <x:v>1</x:v>
      </x:c>
      <x:c r="N1414" s="2" t="str">
        <x:v>historical_GHSL_BU_estimate</x:v>
      </x:c>
      <x:c r="O1414" s="2" t="str"/>
      <x:c r="P1414" s="2" t="str">
        <x:v>horizontal built-up surface</x:v>
      </x:c>
      <x:c r="Q1414" s="2" t="str">
        <x:v>m2</x:v>
      </x:c>
      <x:c r="R1414" s="17" t="n">
        <x:v>48481080.043870635</x:v>
      </x:c>
      <x:c r="S1414" s="17" t="n">
        <x:v>37849769.86</x:v>
      </x:c>
      <x:c r="T1414" s="18" t="n">
        <x:v>1.0000000000000002</x:v>
      </x:c>
      <x:c r="U1414" s="17" t="n">
        <x:v>37849769.86000001</x:v>
      </x:c>
      <x:c r="V1414" s="2" t="str">
        <x:v>Area equivalent = model2020 * WUP surface / TEMPO2020 footprint; km2 multiplied by1e6 once</x:v>
      </x:c>
      <x:c r="W1414" s="2" t="str">
        <x:v>L1_numeric_partition_qualified_not_national_completeness</x:v>
      </x:c>
      <x:c r="X1414" s="2" t="str">
        <x:v>https://human-settlement.emergency.copernicus.eu/datasets.php</x:v>
      </x:c>
    </x:row>
    <x:row r="1415" ht="23" customHeight="1">
      <x:c r="A1415" s="2" t="str">
        <x:v>BTN</x:v>
      </x:c>
      <x:c r="B1415" s="2" t="str">
        <x:v>Bhutan (Kingdom of)</x:v>
      </x:c>
      <x:c r="C1415" s="2" t="n">
        <x:v>2015</x:v>
      </x:c>
      <x:c r="D1415" s="2" t="str">
        <x:v>WUP_SURFACE</x:v>
      </x:c>
      <x:c r="E1415" s="17" t="n">
        <x:v>21797976.569607902</x:v>
      </x:c>
      <x:c r="F1415" s="17" t="n">
        <x:f>IF(AND(M1415,ISNUMBER(R1415)),IF(D1415="TEMPO_PROXY",R1415,IF(AND(ISNUMBER(S1415),S1415&gt;0,ISNUMBER(U1415)),U1415*R1415/S1415,"n.a.")),"n.a.")</x:f>
        <x:v>25134772.986945033</x:v>
      </x:c>
      <x:c r="G1415" s="17" t="n">
        <x:f>IF(AND(ISNUMBER(E1415),ISNUMBER(F1415)),E1415-F1415,"n.a.")</x:f>
        <x:v>-3336796.4173371308</x:v>
      </x:c>
      <x:c r="H1415" s="15" t="n">
        <x:f>IF(AND(ISNUMBER(E1415),ISNUMBER(F1415),F1415&gt;0),(E1415-F1415)/F1415,"n.a.")</x:f>
        <x:v>-0.1327561788232684</x:v>
      </x:c>
      <x:c r="I1415" s="19" t="n">
        <x:f>IF(ISNUMBER(H1415),ABS(H1415),"n.a.")</x:f>
        <x:v>0.1327561788232684</x:v>
      </x:c>
      <x:c r="J1415" s="2" t="str">
        <x:v>available</x:v>
      </x:c>
      <x:c r="K1415" s="2" t="n">
        <x:v>1</x:v>
      </x:c>
      <x:c r="L1415" s="13" t="b">
        <x:v>0</x:v>
      </x:c>
      <x:c r="M1415" s="13" t="b">
        <x:v>1</x:v>
      </x:c>
      <x:c r="N1415" s="2" t="str">
        <x:v>historical_GHSL_BU_estimate</x:v>
      </x:c>
      <x:c r="O1415" s="2" t="str"/>
      <x:c r="P1415" s="2" t="str">
        <x:v>horizontal built-up surface</x:v>
      </x:c>
      <x:c r="Q1415" s="2" t="str">
        <x:v>m2</x:v>
      </x:c>
      <x:c r="R1415" s="17" t="n">
        <x:v>25134772.986944996</x:v>
      </x:c>
      <x:c r="S1415" s="17" t="n">
        <x:v>27177544.51</x:v>
      </x:c>
      <x:c r="T1415" s="18" t="n">
        <x:v>1.0000000000000016</x:v>
      </x:c>
      <x:c r="U1415" s="17" t="n">
        <x:v>27177544.510000043</x:v>
      </x:c>
      <x:c r="V1415" s="2" t="str">
        <x:v>Area equivalent = model2020 * WUP surface / TEMPO2020 footprint; km2 multiplied by1e6 once</x:v>
      </x:c>
      <x:c r="W1415" s="2" t="str">
        <x:v>L1_numeric_partition_qualified_not_national_completeness</x:v>
      </x:c>
      <x:c r="X1415" s="2" t="str">
        <x:v>https://human-settlement.emergency.copernicus.eu/datasets.php</x:v>
      </x:c>
    </x:row>
    <x:row r="1416" ht="23" customHeight="1">
      <x:c r="A1416" s="2" t="str">
        <x:v>BWA</x:v>
      </x:c>
      <x:c r="B1416" s="2" t="str">
        <x:v>Botswana (Republic of)</x:v>
      </x:c>
      <x:c r="C1416" s="2" t="n">
        <x:v>2015</x:v>
      </x:c>
      <x:c r="D1416" s="2" t="str">
        <x:v>WUP_SURFACE</x:v>
      </x:c>
      <x:c r="E1416" s="17" t="n">
        <x:v>111331344.3203508</x:v>
      </x:c>
      <x:c r="F1416" s="17" t="n">
        <x:f>IF(AND(M1416,ISNUMBER(R1416)),IF(D1416="TEMPO_PROXY",R1416,IF(AND(ISNUMBER(S1416),S1416&gt;0,ISNUMBER(U1416)),U1416*R1416/S1416,"n.a.")),"n.a.")</x:f>
        <x:v>453581156.133315</x:v>
      </x:c>
      <x:c r="G1416" s="17" t="n">
        <x:f>IF(AND(ISNUMBER(E1416),ISNUMBER(F1416)),E1416-F1416,"n.a.")</x:f>
        <x:v>-342249811.8129642</x:v>
      </x:c>
      <x:c r="H1416" s="15" t="n">
        <x:f>IF(AND(ISNUMBER(E1416),ISNUMBER(F1416),F1416&gt;0),(E1416-F1416)/F1416,"n.a.")</x:f>
        <x:v>-0.7545503316993427</x:v>
      </x:c>
      <x:c r="I1416" s="19" t="n">
        <x:f>IF(ISNUMBER(H1416),ABS(H1416),"n.a.")</x:f>
        <x:v>0.7545503316993427</x:v>
      </x:c>
      <x:c r="J1416" s="2" t="str">
        <x:v>available</x:v>
      </x:c>
      <x:c r="K1416" s="2" t="n">
        <x:v>1</x:v>
      </x:c>
      <x:c r="L1416" s="13" t="b">
        <x:v>0</x:v>
      </x:c>
      <x:c r="M1416" s="13" t="b">
        <x:v>1</x:v>
      </x:c>
      <x:c r="N1416" s="2" t="str">
        <x:v>historical_GHSL_BU_estimate</x:v>
      </x:c>
      <x:c r="O1416" s="2" t="str"/>
      <x:c r="P1416" s="2" t="str">
        <x:v>horizontal built-up surface</x:v>
      </x:c>
      <x:c r="Q1416" s="2" t="str">
        <x:v>m2</x:v>
      </x:c>
      <x:c r="R1416" s="17" t="n">
        <x:v>453581156.1333147</x:v>
      </x:c>
      <x:c r="S1416" s="17" t="n">
        <x:v>118564613.02</x:v>
      </x:c>
      <x:c r="T1416" s="18" t="n">
        <x:v>1.0000000000000007</x:v>
      </x:c>
      <x:c r="U1416" s="17" t="n">
        <x:v>118564613.02000009</x:v>
      </x:c>
      <x:c r="V1416" s="2" t="str">
        <x:v>Area equivalent = model2020 * WUP surface / TEMPO2020 footprint; km2 multiplied by1e6 once</x:v>
      </x:c>
      <x:c r="W1416" s="2" t="str">
        <x:v>L1_numeric_partition_qualified_not_national_completeness</x:v>
      </x:c>
      <x:c r="X1416" s="2" t="str">
        <x:v>https://human-settlement.emergency.copernicus.eu/datasets.php</x:v>
      </x:c>
    </x:row>
    <x:row r="1417" ht="23" customHeight="1">
      <x:c r="A1417" s="2" t="str">
        <x:v>CAF</x:v>
      </x:c>
      <x:c r="B1417" s="2" t="str">
        <x:v>Central African Republic</x:v>
      </x:c>
      <x:c r="C1417" s="2" t="n">
        <x:v>2015</x:v>
      </x:c>
      <x:c r="D1417" s="2" t="str">
        <x:v>WUP_SURFACE</x:v>
      </x:c>
      <x:c r="E1417" s="17" t="n">
        <x:v>62024265.65545923</x:v>
      </x:c>
      <x:c r="F1417" s="17" t="n">
        <x:f>IF(AND(M1417,ISNUMBER(R1417)),IF(D1417="TEMPO_PROXY",R1417,IF(AND(ISNUMBER(S1417),S1417&gt;0,ISNUMBER(U1417)),U1417*R1417/S1417,"n.a.")),"n.a.")</x:f>
        <x:v>190416065.12734443</x:v>
      </x:c>
      <x:c r="G1417" s="17" t="n">
        <x:f>IF(AND(ISNUMBER(E1417),ISNUMBER(F1417)),E1417-F1417,"n.a.")</x:f>
        <x:v>-128391799.4718852</x:v>
      </x:c>
      <x:c r="H1417" s="15" t="n">
        <x:f>IF(AND(ISNUMBER(E1417),ISNUMBER(F1417),F1417&gt;0),(E1417-F1417)/F1417,"n.a.")</x:f>
        <x:v>-0.6742697859343995</x:v>
      </x:c>
      <x:c r="I1417" s="19" t="n">
        <x:f>IF(ISNUMBER(H1417),ABS(H1417),"n.a.")</x:f>
        <x:v>0.6742697859343995</x:v>
      </x:c>
      <x:c r="J1417" s="2" t="str">
        <x:v>available</x:v>
      </x:c>
      <x:c r="K1417" s="2" t="n">
        <x:v>1</x:v>
      </x:c>
      <x:c r="L1417" s="13" t="b">
        <x:v>0</x:v>
      </x:c>
      <x:c r="M1417" s="13" t="b">
        <x:v>1</x:v>
      </x:c>
      <x:c r="N1417" s="2" t="str">
        <x:v>historical_GHSL_BU_estimate</x:v>
      </x:c>
      <x:c r="O1417" s="2" t="str"/>
      <x:c r="P1417" s="2" t="str">
        <x:v>horizontal built-up surface</x:v>
      </x:c>
      <x:c r="Q1417" s="2" t="str">
        <x:v>m2</x:v>
      </x:c>
      <x:c r="R1417" s="17" t="n">
        <x:v>190416065.12734428</x:v>
      </x:c>
      <x:c r="S1417" s="17" t="n">
        <x:v>66989106.04</x:v>
      </x:c>
      <x:c r="T1417" s="18" t="n">
        <x:v>1.0000000000000009</x:v>
      </x:c>
      <x:c r="U1417" s="17" t="n">
        <x:v>66989106.04000005</x:v>
      </x:c>
      <x:c r="V1417" s="2" t="str">
        <x:v>Area equivalent = model2020 * WUP surface / TEMPO2020 footprint; km2 multiplied by1e6 once</x:v>
      </x:c>
      <x:c r="W1417" s="2" t="str">
        <x:v>L1_numeric_partition_qualified_not_national_completeness</x:v>
      </x:c>
      <x:c r="X1417" s="2" t="str">
        <x:v>https://human-settlement.emergency.copernicus.eu/datasets.php</x:v>
      </x:c>
    </x:row>
    <x:row r="1418" ht="23" customHeight="1">
      <x:c r="A1418" s="2" t="str">
        <x:v>CAN</x:v>
      </x:c>
      <x:c r="B1418" s="2" t="str">
        <x:v>Canada</x:v>
      </x:c>
      <x:c r="C1418" s="2" t="n">
        <x:v>2015</x:v>
      </x:c>
      <x:c r="D1418" s="2" t="str">
        <x:v>WUP_SURFACE</x:v>
      </x:c>
      <x:c r="E1418" s="17" t="n">
        <x:v>2816886264.1935463</x:v>
      </x:c>
      <x:c r="F1418" s="17" t="n">
        <x:f>IF(AND(M1418,ISNUMBER(R1418)),IF(D1418="TEMPO_PROXY",R1418,IF(AND(ISNUMBER(S1418),S1418&gt;0,ISNUMBER(U1418)),U1418*R1418/S1418,"n.a.")),"n.a.")</x:f>
        <x:v>4791913814.245494</x:v>
      </x:c>
      <x:c r="G1418" s="17" t="n">
        <x:f>IF(AND(ISNUMBER(E1418),ISNUMBER(F1418)),E1418-F1418,"n.a.")</x:f>
        <x:v>-1975027550.0519476</x:v>
      </x:c>
      <x:c r="H1418" s="15" t="n">
        <x:f>IF(AND(ISNUMBER(E1418),ISNUMBER(F1418),F1418&gt;0),(E1418-F1418)/F1418,"n.a.")</x:f>
        <x:v>-0.4121584040557131</x:v>
      </x:c>
      <x:c r="I1418" s="19" t="n">
        <x:f>IF(ISNUMBER(H1418),ABS(H1418),"n.a.")</x:f>
        <x:v>0.4121584040557131</x:v>
      </x:c>
      <x:c r="J1418" s="2" t="str">
        <x:v>available</x:v>
      </x:c>
      <x:c r="K1418" s="2" t="n">
        <x:v>1</x:v>
      </x:c>
      <x:c r="L1418" s="13" t="b">
        <x:v>0</x:v>
      </x:c>
      <x:c r="M1418" s="13" t="b">
        <x:v>1</x:v>
      </x:c>
      <x:c r="N1418" s="2" t="str">
        <x:v>historical_GHSL_BU_estimate</x:v>
      </x:c>
      <x:c r="O1418" s="2" t="str"/>
      <x:c r="P1418" s="2" t="str">
        <x:v>horizontal built-up surface</x:v>
      </x:c>
      <x:c r="Q1418" s="2" t="str">
        <x:v>m2</x:v>
      </x:c>
      <x:c r="R1418" s="17" t="n">
        <x:v>4791913814.245493</x:v>
      </x:c>
      <x:c r="S1418" s="17" t="n">
        <x:v>2941628265.26</x:v>
      </x:c>
      <x:c r="T1418" s="18" t="n">
        <x:v>1.0000000000000002</x:v>
      </x:c>
      <x:c r="U1418" s="17" t="n">
        <x:v>2941628265.260001</x:v>
      </x:c>
      <x:c r="V1418" s="2" t="str">
        <x:v>Area equivalent = model2020 * WUP surface / TEMPO2020 footprint; km2 multiplied by1e6 once</x:v>
      </x:c>
      <x:c r="W1418" s="2" t="str">
        <x:v>L1_numeric_partition_qualified_not_national_completeness</x:v>
      </x:c>
      <x:c r="X1418" s="2" t="str">
        <x:v>https://human-settlement.emergency.copernicus.eu/datasets.php</x:v>
      </x:c>
    </x:row>
    <x:row r="1419" ht="23" customHeight="1">
      <x:c r="A1419" s="2" t="str">
        <x:v>CHE</x:v>
      </x:c>
      <x:c r="B1419" s="2" t="str">
        <x:v>Switzerland (Swiss Confederation)</x:v>
      </x:c>
      <x:c r="C1419" s="2" t="n">
        <x:v>2015</x:v>
      </x:c>
      <x:c r="D1419" s="2" t="str">
        <x:v>WUP_SURFACE</x:v>
      </x:c>
      <x:c r="E1419" s="17" t="n">
        <x:v>523761622.51901233</x:v>
      </x:c>
      <x:c r="F1419" s="17" t="n">
        <x:f>IF(AND(M1419,ISNUMBER(R1419)),IF(D1419="TEMPO_PROXY",R1419,IF(AND(ISNUMBER(S1419),S1419&gt;0,ISNUMBER(U1419)),U1419*R1419/S1419,"n.a.")),"n.a.")</x:f>
        <x:v>756251325.1244255</x:v>
      </x:c>
      <x:c r="G1419" s="17" t="n">
        <x:f>IF(AND(ISNUMBER(E1419),ISNUMBER(F1419)),E1419-F1419,"n.a.")</x:f>
        <x:v>-232489702.6054132</x:v>
      </x:c>
      <x:c r="H1419" s="15" t="n">
        <x:f>IF(AND(ISNUMBER(E1419),ISNUMBER(F1419),F1419&gt;0),(E1419-F1419)/F1419,"n.a.")</x:f>
        <x:v>-0.30742386146187817</x:v>
      </x:c>
      <x:c r="I1419" s="19" t="n">
        <x:f>IF(ISNUMBER(H1419),ABS(H1419),"n.a.")</x:f>
        <x:v>0.30742386146187817</x:v>
      </x:c>
      <x:c r="J1419" s="2" t="str">
        <x:v>available</x:v>
      </x:c>
      <x:c r="K1419" s="2" t="n">
        <x:v>1</x:v>
      </x:c>
      <x:c r="L1419" s="13" t="b">
        <x:v>0</x:v>
      </x:c>
      <x:c r="M1419" s="13" t="b">
        <x:v>1</x:v>
      </x:c>
      <x:c r="N1419" s="2" t="str">
        <x:v>historical_GHSL_BU_estimate</x:v>
      </x:c>
      <x:c r="O1419" s="2" t="str"/>
      <x:c r="P1419" s="2" t="str">
        <x:v>horizontal built-up surface</x:v>
      </x:c>
      <x:c r="Q1419" s="2" t="str">
        <x:v>m2</x:v>
      </x:c>
      <x:c r="R1419" s="17" t="n">
        <x:v>744947862.3486121</x:v>
      </x:c>
      <x:c r="S1419" s="17" t="n">
        <x:v>545813067.36</x:v>
      </x:c>
      <x:c r="T1419" s="18" t="n">
        <x:v>1.0151734951492803</x:v>
      </x:c>
      <x:c r="U1419" s="17" t="n">
        <x:v>554094959.2900008</x:v>
      </x:c>
      <x:c r="V1419" s="2" t="str">
        <x:v>Area equivalent = model2020 * WUP surface / TEMPO2020 footprint; km2 multiplied by1e6 once</x:v>
      </x:c>
      <x:c r="W1419" s="2" t="str">
        <x:v>L1_numeric_partition_qualified_not_national_completeness</x:v>
      </x:c>
      <x:c r="X1419" s="2" t="str">
        <x:v>https://human-settlement.emergency.copernicus.eu/datasets.php</x:v>
      </x:c>
    </x:row>
    <x:row r="1420" ht="23" customHeight="1">
      <x:c r="A1420" s="2" t="str">
        <x:v>CHL</x:v>
      </x:c>
      <x:c r="B1420" s="2" t="str">
        <x:v>Chile (Republic of)</x:v>
      </x:c>
      <x:c r="C1420" s="2" t="n">
        <x:v>2015</x:v>
      </x:c>
      <x:c r="D1420" s="2" t="str">
        <x:v>WUP_SURFACE</x:v>
      </x:c>
      <x:c r="E1420" s="17" t="n">
        <x:v>948297662.3062444</x:v>
      </x:c>
      <x:c r="F1420" s="17" t="n">
        <x:f>IF(AND(M1420,ISNUMBER(R1420)),IF(D1420="TEMPO_PROXY",R1420,IF(AND(ISNUMBER(S1420),S1420&gt;0,ISNUMBER(U1420)),U1420*R1420/S1420,"n.a.")),"n.a.")</x:f>
        <x:v>1288502522.5624895</x:v>
      </x:c>
      <x:c r="G1420" s="17" t="n">
        <x:f>IF(AND(ISNUMBER(E1420),ISNUMBER(F1420)),E1420-F1420,"n.a.")</x:f>
        <x:v>-340204860.25624514</x:v>
      </x:c>
      <x:c r="H1420" s="15" t="n">
        <x:f>IF(AND(ISNUMBER(E1420),ISNUMBER(F1420),F1420&gt;0),(E1420-F1420)/F1420,"n.a.")</x:f>
        <x:v>-0.2640311945836691</x:v>
      </x:c>
      <x:c r="I1420" s="19" t="n">
        <x:f>IF(ISNUMBER(H1420),ABS(H1420),"n.a.")</x:f>
        <x:v>0.2640311945836691</x:v>
      </x:c>
      <x:c r="J1420" s="2" t="str">
        <x:v>available</x:v>
      </x:c>
      <x:c r="K1420" s="2" t="n">
        <x:v>1</x:v>
      </x:c>
      <x:c r="L1420" s="13" t="b">
        <x:v>0</x:v>
      </x:c>
      <x:c r="M1420" s="13" t="b">
        <x:v>1</x:v>
      </x:c>
      <x:c r="N1420" s="2" t="str">
        <x:v>historical_GHSL_BU_estimate</x:v>
      </x:c>
      <x:c r="O1420" s="2" t="str"/>
      <x:c r="P1420" s="2" t="str">
        <x:v>horizontal built-up surface</x:v>
      </x:c>
      <x:c r="Q1420" s="2" t="str">
        <x:v>m2</x:v>
      </x:c>
      <x:c r="R1420" s="17" t="n">
        <x:v>1288502522.5624878</x:v>
      </x:c>
      <x:c r="S1420" s="17" t="n">
        <x:v>986436316.07</x:v>
      </x:c>
      <x:c r="T1420" s="18" t="n">
        <x:v>1.0000000000000013</x:v>
      </x:c>
      <x:c r="U1420" s="17" t="n">
        <x:v>986436316.0700014</x:v>
      </x:c>
      <x:c r="V1420" s="2" t="str">
        <x:v>Area equivalent = model2020 * WUP surface / TEMPO2020 footprint; km2 multiplied by1e6 once</x:v>
      </x:c>
      <x:c r="W1420" s="2" t="str">
        <x:v>L1_numeric_partition_qualified_not_national_completeness</x:v>
      </x:c>
      <x:c r="X1420" s="2" t="str">
        <x:v>https://human-settlement.emergency.copernicus.eu/datasets.php</x:v>
      </x:c>
    </x:row>
    <x:row r="1421" ht="23" customHeight="1">
      <x:c r="A1421" s="2" t="str">
        <x:v>CHN</x:v>
      </x:c>
      <x:c r="B1421" s="2" t="str">
        <x:v>China (People's Republic of)</x:v>
      </x:c>
      <x:c r="C1421" s="2" t="n">
        <x:v>2015</x:v>
      </x:c>
      <x:c r="D1421" s="2" t="str">
        <x:v>WUP_SURFACE</x:v>
      </x:c>
      <x:c r="E1421" s="17" t="n">
        <x:v>76119805856.33177</x:v>
      </x:c>
      <x:c r="F1421" s="17" t="n">
        <x:f>IF(AND(M1421,ISNUMBER(R1421)),IF(D1421="TEMPO_PROXY",R1421,IF(AND(ISNUMBER(S1421),S1421&gt;0,ISNUMBER(U1421)),U1421*R1421/S1421,"n.a.")),"n.a.")</x:f>
        <x:v>80183288940.51991</x:v>
      </x:c>
      <x:c r="G1421" s="17" t="n">
        <x:f>IF(AND(ISNUMBER(E1421),ISNUMBER(F1421)),E1421-F1421,"n.a.")</x:f>
        <x:v>-4063483084.188141</x:v>
      </x:c>
      <x:c r="H1421" s="15" t="n">
        <x:f>IF(AND(ISNUMBER(E1421),ISNUMBER(F1421),F1421&gt;0),(E1421-F1421)/F1421,"n.a.")</x:f>
        <x:v>-0.05067743089463989</x:v>
      </x:c>
      <x:c r="I1421" s="19" t="n">
        <x:f>IF(ISNUMBER(H1421),ABS(H1421),"n.a.")</x:f>
        <x:v>0.05067743089463989</x:v>
      </x:c>
      <x:c r="J1421" s="2" t="str">
        <x:v>available</x:v>
      </x:c>
      <x:c r="K1421" s="2" t="n">
        <x:v>1</x:v>
      </x:c>
      <x:c r="L1421" s="13" t="b">
        <x:v>0</x:v>
      </x:c>
      <x:c r="M1421" s="13" t="b">
        <x:v>1</x:v>
      </x:c>
      <x:c r="N1421" s="2" t="str">
        <x:v>historical_GHSL_BU_estimate</x:v>
      </x:c>
      <x:c r="O1421" s="2" t="str"/>
      <x:c r="P1421" s="2" t="str">
        <x:v>horizontal built-up surface</x:v>
      </x:c>
      <x:c r="Q1421" s="2" t="str">
        <x:v>m2</x:v>
      </x:c>
      <x:c r="R1421" s="17" t="n">
        <x:v>72742101885.07967</x:v>
      </x:c>
      <x:c r="S1421" s="17" t="n">
        <x:v>78150235427.5</x:v>
      </x:c>
      <x:c r="T1421" s="18" t="n">
        <x:v>1.1022954638731235</x:v>
      </x:c>
      <x:c r="U1421" s="17" t="n">
        <x:v>86144650012.34993</x:v>
      </x:c>
      <x:c r="V1421" s="2" t="str">
        <x:v>Area equivalent = model2020 * WUP surface / TEMPO2020 footprint; km2 multiplied by1e6 once</x:v>
      </x:c>
      <x:c r="W1421" s="2" t="str">
        <x:v>L1_numeric_partition_qualified_not_national_completeness</x:v>
      </x:c>
      <x:c r="X1421" s="2" t="str">
        <x:v>https://human-settlement.emergency.copernicus.eu/datasets.php</x:v>
      </x:c>
    </x:row>
    <x:row r="1422" ht="23" customHeight="1">
      <x:c r="A1422" s="2" t="str">
        <x:v>CIV</x:v>
      </x:c>
      <x:c r="B1422" s="2" t="str">
        <x:v>Côte d'Ivoire (Republic of)</x:v>
      </x:c>
      <x:c r="C1422" s="2" t="n">
        <x:v>2015</x:v>
      </x:c>
      <x:c r="D1422" s="2" t="str">
        <x:v>WUP_SURFACE</x:v>
      </x:c>
      <x:c r="E1422" s="17" t="n">
        <x:v>535082766.1071231</x:v>
      </x:c>
      <x:c r="F1422" s="17" t="n">
        <x:f>IF(AND(M1422,ISNUMBER(R1422)),IF(D1422="TEMPO_PROXY",R1422,IF(AND(ISNUMBER(S1422),S1422&gt;0,ISNUMBER(U1422)),U1422*R1422/S1422,"n.a.")),"n.a.")</x:f>
        <x:v>1127886680.5870812</x:v>
      </x:c>
      <x:c r="G1422" s="17" t="n">
        <x:f>IF(AND(ISNUMBER(E1422),ISNUMBER(F1422)),E1422-F1422,"n.a.")</x:f>
        <x:v>-592803914.479958</x:v>
      </x:c>
      <x:c r="H1422" s="15" t="n">
        <x:f>IF(AND(ISNUMBER(E1422),ISNUMBER(F1422),F1422&gt;0),(E1422-F1422)/F1422,"n.a.")</x:f>
        <x:v>-0.5255881860147468</x:v>
      </x:c>
      <x:c r="I1422" s="19" t="n">
        <x:f>IF(ISNUMBER(H1422),ABS(H1422),"n.a.")</x:f>
        <x:v>0.5255881860147468</x:v>
      </x:c>
      <x:c r="J1422" s="2" t="str">
        <x:v>available</x:v>
      </x:c>
      <x:c r="K1422" s="2" t="n">
        <x:v>1</x:v>
      </x:c>
      <x:c r="L1422" s="13" t="b">
        <x:v>0</x:v>
      </x:c>
      <x:c r="M1422" s="13" t="b">
        <x:v>1</x:v>
      </x:c>
      <x:c r="N1422" s="2" t="str">
        <x:v>historical_GHSL_BU_estimate</x:v>
      </x:c>
      <x:c r="O1422" s="2" t="str"/>
      <x:c r="P1422" s="2" t="str">
        <x:v>horizontal built-up surface</x:v>
      </x:c>
      <x:c r="Q1422" s="2" t="str">
        <x:v>m2</x:v>
      </x:c>
      <x:c r="R1422" s="17" t="n">
        <x:v>1127886680.5870824</x:v>
      </x:c>
      <x:c r="S1422" s="17" t="n">
        <x:v>602828854.82</x:v>
      </x:c>
      <x:c r="T1422" s="18" t="n">
        <x:v>0.9999999999999988</x:v>
      </x:c>
      <x:c r="U1422" s="17" t="n">
        <x:v>602828854.8199993</x:v>
      </x:c>
      <x:c r="V1422" s="2" t="str">
        <x:v>Area equivalent = model2020 * WUP surface / TEMPO2020 footprint; km2 multiplied by1e6 once</x:v>
      </x:c>
      <x:c r="W1422" s="2" t="str">
        <x:v>L1_numeric_partition_qualified_not_national_completeness</x:v>
      </x:c>
      <x:c r="X1422" s="2" t="str">
        <x:v>https://human-settlement.emergency.copernicus.eu/datasets.php</x:v>
      </x:c>
    </x:row>
    <x:row r="1423" ht="23" customHeight="1">
      <x:c r="A1423" s="2" t="str">
        <x:v>CMR</x:v>
      </x:c>
      <x:c r="B1423" s="2" t="str">
        <x:v>Cameroon (Republic of)</x:v>
      </x:c>
      <x:c r="C1423" s="2" t="n">
        <x:v>2015</x:v>
      </x:c>
      <x:c r="D1423" s="2" t="str">
        <x:v>WUP_SURFACE</x:v>
      </x:c>
      <x:c r="E1423" s="17" t="n">
        <x:v>500876494.0247831</x:v>
      </x:c>
      <x:c r="F1423" s="17" t="n">
        <x:f>IF(AND(M1423,ISNUMBER(R1423)),IF(D1423="TEMPO_PROXY",R1423,IF(AND(ISNUMBER(S1423),S1423&gt;0,ISNUMBER(U1423)),U1423*R1423/S1423,"n.a.")),"n.a.")</x:f>
        <x:v>1071942511.6175176</x:v>
      </x:c>
      <x:c r="G1423" s="17" t="n">
        <x:f>IF(AND(ISNUMBER(E1423),ISNUMBER(F1423)),E1423-F1423,"n.a.")</x:f>
        <x:v>-571066017.5927346</x:v>
      </x:c>
      <x:c r="H1423" s="15" t="n">
        <x:f>IF(AND(ISNUMBER(E1423),ISNUMBER(F1423),F1423&gt;0),(E1423-F1423)/F1423,"n.a.")</x:f>
        <x:v>-0.5327394066413311</x:v>
      </x:c>
      <x:c r="I1423" s="19" t="n">
        <x:f>IF(ISNUMBER(H1423),ABS(H1423),"n.a.")</x:f>
        <x:v>0.5327394066413311</x:v>
      </x:c>
      <x:c r="J1423" s="2" t="str">
        <x:v>available</x:v>
      </x:c>
      <x:c r="K1423" s="2" t="n">
        <x:v>1</x:v>
      </x:c>
      <x:c r="L1423" s="13" t="b">
        <x:v>0</x:v>
      </x:c>
      <x:c r="M1423" s="13" t="b">
        <x:v>1</x:v>
      </x:c>
      <x:c r="N1423" s="2" t="str">
        <x:v>historical_GHSL_BU_estimate</x:v>
      </x:c>
      <x:c r="O1423" s="2" t="str"/>
      <x:c r="P1423" s="2" t="str">
        <x:v>horizontal built-up surface</x:v>
      </x:c>
      <x:c r="Q1423" s="2" t="str">
        <x:v>m2</x:v>
      </x:c>
      <x:c r="R1423" s="17" t="n">
        <x:v>1071942511.6175164</x:v>
      </x:c>
      <x:c r="S1423" s="17" t="n">
        <x:v>577057207.81</x:v>
      </x:c>
      <x:c r="T1423" s="18" t="n">
        <x:v>1.000000000000001</x:v>
      </x:c>
      <x:c r="U1423" s="17" t="n">
        <x:v>577057207.8100005</x:v>
      </x:c>
      <x:c r="V1423" s="2" t="str">
        <x:v>Area equivalent = model2020 * WUP surface / TEMPO2020 footprint; km2 multiplied by1e6 once</x:v>
      </x:c>
      <x:c r="W1423" s="2" t="str">
        <x:v>L1_numeric_partition_qualified_not_national_completeness</x:v>
      </x:c>
      <x:c r="X1423" s="2" t="str">
        <x:v>https://human-settlement.emergency.copernicus.eu/datasets.php</x:v>
      </x:c>
    </x:row>
    <x:row r="1424" ht="23" customHeight="1">
      <x:c r="A1424" s="2" t="str">
        <x:v>COD</x:v>
      </x:c>
      <x:c r="B1424" s="2" t="str">
        <x:v>Congo (Democratic Republic of the)</x:v>
      </x:c>
      <x:c r="C1424" s="2" t="n">
        <x:v>2015</x:v>
      </x:c>
      <x:c r="D1424" s="2" t="str">
        <x:v>WUP_SURFACE</x:v>
      </x:c>
      <x:c r="E1424" s="17" t="n">
        <x:v>771777552.5431249</x:v>
      </x:c>
      <x:c r="F1424" s="17" t="n">
        <x:f>IF(AND(M1424,ISNUMBER(R1424)),IF(D1424="TEMPO_PROXY",R1424,IF(AND(ISNUMBER(S1424),S1424&gt;0,ISNUMBER(U1424)),U1424*R1424/S1424,"n.a.")),"n.a.")</x:f>
        <x:v>2289181039.0932508</x:v>
      </x:c>
      <x:c r="G1424" s="17" t="n">
        <x:f>IF(AND(ISNUMBER(E1424),ISNUMBER(F1424)),E1424-F1424,"n.a.")</x:f>
        <x:v>-1517403486.5501258</x:v>
      </x:c>
      <x:c r="H1424" s="15" t="n">
        <x:f>IF(AND(ISNUMBER(E1424),ISNUMBER(F1424),F1424&gt;0),(E1424-F1424)/F1424,"n.a.")</x:f>
        <x:v>-0.6628586645777795</x:v>
      </x:c>
      <x:c r="I1424" s="19" t="n">
        <x:f>IF(ISNUMBER(H1424),ABS(H1424),"n.a.")</x:f>
        <x:v>0.6628586645777795</x:v>
      </x:c>
      <x:c r="J1424" s="2" t="str">
        <x:v>available</x:v>
      </x:c>
      <x:c r="K1424" s="2" t="n">
        <x:v>1</x:v>
      </x:c>
      <x:c r="L1424" s="13" t="b">
        <x:v>0</x:v>
      </x:c>
      <x:c r="M1424" s="13" t="b">
        <x:v>1</x:v>
      </x:c>
      <x:c r="N1424" s="2" t="str">
        <x:v>historical_GHSL_BU_estimate</x:v>
      </x:c>
      <x:c r="O1424" s="2" t="str"/>
      <x:c r="P1424" s="2" t="str">
        <x:v>horizontal built-up surface</x:v>
      </x:c>
      <x:c r="Q1424" s="2" t="str">
        <x:v>m2</x:v>
      </x:c>
      <x:c r="R1424" s="17" t="n">
        <x:v>2289181039.0932536</x:v>
      </x:c>
      <x:c r="S1424" s="17" t="n">
        <x:v>941825698.84</x:v>
      </x:c>
      <x:c r="T1424" s="18" t="n">
        <x:v>0.9999999999999988</x:v>
      </x:c>
      <x:c r="U1424" s="17" t="n">
        <x:v>941825698.8399988</x:v>
      </x:c>
      <x:c r="V1424" s="2" t="str">
        <x:v>Area equivalent = model2020 * WUP surface / TEMPO2020 footprint; km2 multiplied by1e6 once</x:v>
      </x:c>
      <x:c r="W1424" s="2" t="str">
        <x:v>L1_numeric_partition_qualified_not_national_completeness</x:v>
      </x:c>
      <x:c r="X1424" s="2" t="str">
        <x:v>https://human-settlement.emergency.copernicus.eu/datasets.php</x:v>
      </x:c>
    </x:row>
    <x:row r="1425" ht="23" customHeight="1">
      <x:c r="A1425" s="2" t="str">
        <x:v>COG</x:v>
      </x:c>
      <x:c r="B1425" s="2" t="str">
        <x:v>Congo (Republic of the)</x:v>
      </x:c>
      <x:c r="C1425" s="2" t="n">
        <x:v>2015</x:v>
      </x:c>
      <x:c r="D1425" s="2" t="str">
        <x:v>WUP_SURFACE</x:v>
      </x:c>
      <x:c r="E1425" s="17" t="n">
        <x:v>91893894.47278675</x:v>
      </x:c>
      <x:c r="F1425" s="17" t="n">
        <x:f>IF(AND(M1425,ISNUMBER(R1425)),IF(D1425="TEMPO_PROXY",R1425,IF(AND(ISNUMBER(S1425),S1425&gt;0,ISNUMBER(U1425)),U1425*R1425/S1425,"n.a.")),"n.a.")</x:f>
        <x:v>200363548.93909845</x:v>
      </x:c>
      <x:c r="G1425" s="17" t="n">
        <x:f>IF(AND(ISNUMBER(E1425),ISNUMBER(F1425)),E1425-F1425,"n.a.")</x:f>
        <x:v>-108469654.4663117</x:v>
      </x:c>
      <x:c r="H1425" s="15" t="n">
        <x:f>IF(AND(ISNUMBER(E1425),ISNUMBER(F1425),F1425&gt;0),(E1425-F1425)/F1425,"n.a.")</x:f>
        <x:v>-0.5413642104097568</x:v>
      </x:c>
      <x:c r="I1425" s="19" t="n">
        <x:f>IF(ISNUMBER(H1425),ABS(H1425),"n.a.")</x:f>
        <x:v>0.5413642104097568</x:v>
      </x:c>
      <x:c r="J1425" s="2" t="str">
        <x:v>available</x:v>
      </x:c>
      <x:c r="K1425" s="2" t="n">
        <x:v>1</x:v>
      </x:c>
      <x:c r="L1425" s="13" t="b">
        <x:v>0</x:v>
      </x:c>
      <x:c r="M1425" s="13" t="b">
        <x:v>1</x:v>
      </x:c>
      <x:c r="N1425" s="2" t="str">
        <x:v>historical_GHSL_BU_estimate</x:v>
      </x:c>
      <x:c r="O1425" s="2" t="str"/>
      <x:c r="P1425" s="2" t="str">
        <x:v>horizontal built-up surface</x:v>
      </x:c>
      <x:c r="Q1425" s="2" t="str">
        <x:v>m2</x:v>
      </x:c>
      <x:c r="R1425" s="17" t="n">
        <x:v>200363548.93909824</x:v>
      </x:c>
      <x:c r="S1425" s="17" t="n">
        <x:v>110620071.65</x:v>
      </x:c>
      <x:c r="T1425" s="18" t="n">
        <x:v>1.000000000000001</x:v>
      </x:c>
      <x:c r="U1425" s="17" t="n">
        <x:v>110620071.65000013</x:v>
      </x:c>
      <x:c r="V1425" s="2" t="str">
        <x:v>Area equivalent = model2020 * WUP surface / TEMPO2020 footprint; km2 multiplied by1e6 once</x:v>
      </x:c>
      <x:c r="W1425" s="2" t="str">
        <x:v>L1_numeric_partition_qualified_not_national_completeness</x:v>
      </x:c>
      <x:c r="X1425" s="2" t="str">
        <x:v>https://human-settlement.emergency.copernicus.eu/datasets.php</x:v>
      </x:c>
    </x:row>
    <x:row r="1426" ht="23" customHeight="1">
      <x:c r="A1426" s="2" t="str">
        <x:v>COL</x:v>
      </x:c>
      <x:c r="B1426" s="2" t="str">
        <x:v>Colombia (Republic of)</x:v>
      </x:c>
      <x:c r="C1426" s="2" t="n">
        <x:v>2015</x:v>
      </x:c>
      <x:c r="D1426" s="2" t="str">
        <x:v>WUP_SURFACE</x:v>
      </x:c>
      <x:c r="E1426" s="17" t="n">
        <x:v>1430230197.3322928</x:v>
      </x:c>
      <x:c r="F1426" s="17" t="n">
        <x:f>IF(AND(M1426,ISNUMBER(R1426)),IF(D1426="TEMPO_PROXY",R1426,IF(AND(ISNUMBER(S1426),S1426&gt;0,ISNUMBER(U1426)),U1426*R1426/S1426,"n.a.")),"n.a.")</x:f>
        <x:v>1494725913.880768</x:v>
      </x:c>
      <x:c r="G1426" s="17" t="n">
        <x:f>IF(AND(ISNUMBER(E1426),ISNUMBER(F1426)),E1426-F1426,"n.a.")</x:f>
        <x:v>-64495716.548475266</x:v>
      </x:c>
      <x:c r="H1426" s="15" t="n">
        <x:f>IF(AND(ISNUMBER(E1426),ISNUMBER(F1426),F1426&gt;0),(E1426-F1426)/F1426,"n.a.")</x:f>
        <x:v>-0.0431488582284792</x:v>
      </x:c>
      <x:c r="I1426" s="19" t="n">
        <x:f>IF(ISNUMBER(H1426),ABS(H1426),"n.a.")</x:f>
        <x:v>0.0431488582284792</x:v>
      </x:c>
      <x:c r="J1426" s="2" t="str">
        <x:v>available</x:v>
      </x:c>
      <x:c r="K1426" s="2" t="n">
        <x:v>1</x:v>
      </x:c>
      <x:c r="L1426" s="13" t="b">
        <x:v>0</x:v>
      </x:c>
      <x:c r="M1426" s="13" t="b">
        <x:v>1</x:v>
      </x:c>
      <x:c r="N1426" s="2" t="str">
        <x:v>historical_GHSL_BU_estimate</x:v>
      </x:c>
      <x:c r="O1426" s="2" t="str"/>
      <x:c r="P1426" s="2" t="str">
        <x:v>horizontal built-up surface</x:v>
      </x:c>
      <x:c r="Q1426" s="2" t="str">
        <x:v>m2</x:v>
      </x:c>
      <x:c r="R1426" s="17" t="n">
        <x:v>1494725913.8807666</x:v>
      </x:c>
      <x:c r="S1426" s="17" t="n">
        <x:v>1505534156.31</x:v>
      </x:c>
      <x:c r="T1426" s="18" t="n">
        <x:v>1.0000000000000009</x:v>
      </x:c>
      <x:c r="U1426" s="17" t="n">
        <x:v>1505534156.3100014</x:v>
      </x:c>
      <x:c r="V1426" s="2" t="str">
        <x:v>Area equivalent = model2020 * WUP surface / TEMPO2020 footprint; km2 multiplied by1e6 once</x:v>
      </x:c>
      <x:c r="W1426" s="2" t="str">
        <x:v>L1_numeric_partition_qualified_not_national_completeness</x:v>
      </x:c>
      <x:c r="X1426" s="2" t="str">
        <x:v>https://human-settlement.emergency.copernicus.eu/datasets.php</x:v>
      </x:c>
    </x:row>
    <x:row r="1427" ht="23" customHeight="1">
      <x:c r="A1427" s="2" t="str">
        <x:v>COM</x:v>
      </x:c>
      <x:c r="B1427" s="2" t="str">
        <x:v>Comoros (Union of the)</x:v>
      </x:c>
      <x:c r="C1427" s="2" t="n">
        <x:v>2015</x:v>
      </x:c>
      <x:c r="D1427" s="2" t="str">
        <x:v>WUP_SURFACE</x:v>
      </x:c>
      <x:c r="E1427" s="17" t="n">
        <x:v>17623145.13508351</x:v>
      </x:c>
      <x:c r="F1427" s="17" t="n">
        <x:f>IF(AND(M1427,ISNUMBER(R1427)),IF(D1427="TEMPO_PROXY",R1427,IF(AND(ISNUMBER(S1427),S1427&gt;0,ISNUMBER(U1427)),U1427*R1427/S1427,"n.a.")),"n.a.")</x:f>
        <x:v>25772336.01051292</x:v>
      </x:c>
      <x:c r="G1427" s="17" t="n">
        <x:f>IF(AND(ISNUMBER(E1427),ISNUMBER(F1427)),E1427-F1427,"n.a.")</x:f>
        <x:v>-8149190.875429407</x:v>
      </x:c>
      <x:c r="H1427" s="15" t="n">
        <x:f>IF(AND(ISNUMBER(E1427),ISNUMBER(F1427),F1427&gt;0),(E1427-F1427)/F1427,"n.a.")</x:f>
        <x:v>-0.3161991552533395</x:v>
      </x:c>
      <x:c r="I1427" s="19" t="n">
        <x:f>IF(ISNUMBER(H1427),ABS(H1427),"n.a.")</x:f>
        <x:v>0.3161991552533395</x:v>
      </x:c>
      <x:c r="J1427" s="2" t="str">
        <x:v>available</x:v>
      </x:c>
      <x:c r="K1427" s="2" t="n">
        <x:v>1</x:v>
      </x:c>
      <x:c r="L1427" s="13" t="b">
        <x:v>0</x:v>
      </x:c>
      <x:c r="M1427" s="13" t="b">
        <x:v>1</x:v>
      </x:c>
      <x:c r="N1427" s="2" t="str">
        <x:v>historical_GHSL_BU_estimate</x:v>
      </x:c>
      <x:c r="O1427" s="2" t="str"/>
      <x:c r="P1427" s="2" t="str">
        <x:v>horizontal built-up surface</x:v>
      </x:c>
      <x:c r="Q1427" s="2" t="str">
        <x:v>m2</x:v>
      </x:c>
      <x:c r="R1427" s="17" t="n">
        <x:v>25772336.01051296</x:v>
      </x:c>
      <x:c r="S1427" s="17" t="n">
        <x:v>18035090.41</x:v>
      </x:c>
      <x:c r="T1427" s="18" t="n">
        <x:v>0.9999999999999983</x:v>
      </x:c>
      <x:c r="U1427" s="17" t="n">
        <x:v>18035090.40999997</x:v>
      </x:c>
      <x:c r="V1427" s="2" t="str">
        <x:v>Area equivalent = model2020 * WUP surface / TEMPO2020 footprint; km2 multiplied by1e6 once</x:v>
      </x:c>
      <x:c r="W1427" s="2" t="str">
        <x:v>L1_numeric_partition_qualified_not_national_completeness</x:v>
      </x:c>
      <x:c r="X1427" s="2" t="str">
        <x:v>https://human-settlement.emergency.copernicus.eu/datasets.php</x:v>
      </x:c>
    </x:row>
    <x:row r="1428" ht="23" customHeight="1">
      <x:c r="A1428" s="2" t="str">
        <x:v>CPV</x:v>
      </x:c>
      <x:c r="B1428" s="2" t="str">
        <x:v>Cabo Verde (Republic of)</x:v>
      </x:c>
      <x:c r="C1428" s="2" t="n">
        <x:v>2015</x:v>
      </x:c>
      <x:c r="D1428" s="2" t="str">
        <x:v>WUP_SURFACE</x:v>
      </x:c>
      <x:c r="E1428" s="17" t="n">
        <x:v>19695500.817529745</x:v>
      </x:c>
      <x:c r="F1428" s="17" t="n">
        <x:f>IF(AND(M1428,ISNUMBER(R1428)),IF(D1428="TEMPO_PROXY",R1428,IF(AND(ISNUMBER(S1428),S1428&gt;0,ISNUMBER(U1428)),U1428*R1428/S1428,"n.a.")),"n.a.")</x:f>
        <x:v>22325236.79223648</x:v>
      </x:c>
      <x:c r="G1428" s="17" t="n">
        <x:f>IF(AND(ISNUMBER(E1428),ISNUMBER(F1428)),E1428-F1428,"n.a.")</x:f>
        <x:v>-2629735.9747067355</x:v>
      </x:c>
      <x:c r="H1428" s="15" t="n">
        <x:f>IF(AND(ISNUMBER(E1428),ISNUMBER(F1428),F1428&gt;0),(E1428-F1428)/F1428,"n.a.")</x:f>
        <x:v>-0.1177920753620502</x:v>
      </x:c>
      <x:c r="I1428" s="19" t="n">
        <x:f>IF(ISNUMBER(H1428),ABS(H1428),"n.a.")</x:f>
        <x:v>0.1177920753620502</x:v>
      </x:c>
      <x:c r="J1428" s="2" t="str">
        <x:v>available</x:v>
      </x:c>
      <x:c r="K1428" s="2" t="n">
        <x:v>1</x:v>
      </x:c>
      <x:c r="L1428" s="13" t="b">
        <x:v>0</x:v>
      </x:c>
      <x:c r="M1428" s="13" t="b">
        <x:v>1</x:v>
      </x:c>
      <x:c r="N1428" s="2" t="str">
        <x:v>historical_GHSL_BU_estimate</x:v>
      </x:c>
      <x:c r="O1428" s="2" t="str"/>
      <x:c r="P1428" s="2" t="str">
        <x:v>horizontal built-up surface</x:v>
      </x:c>
      <x:c r="Q1428" s="2" t="str">
        <x:v>m2</x:v>
      </x:c>
      <x:c r="R1428" s="17" t="n">
        <x:v>21471504.952013787</x:v>
      </x:c>
      <x:c r="S1428" s="17" t="n">
        <x:v>20998892.42</x:v>
      </x:c>
      <x:c r="T1428" s="18" t="n">
        <x:v>1.0397611551742965</x:v>
      </x:c>
      <x:c r="U1428" s="17" t="n">
        <x:v>21833832.63999998</x:v>
      </x:c>
      <x:c r="V1428" s="2" t="str">
        <x:v>Area equivalent = model2020 * WUP surface / TEMPO2020 footprint; km2 multiplied by1e6 once</x:v>
      </x:c>
      <x:c r="W1428" s="2" t="str">
        <x:v>L1_numeric_partition_qualified_not_national_completeness</x:v>
      </x:c>
      <x:c r="X1428" s="2" t="str">
        <x:v>https://human-settlement.emergency.copernicus.eu/datasets.php</x:v>
      </x:c>
    </x:row>
    <x:row r="1429" ht="23" customHeight="1">
      <x:c r="A1429" s="2" t="str">
        <x:v>CRI</x:v>
      </x:c>
      <x:c r="B1429" s="2" t="str">
        <x:v>Costa Rica (Republic of)</x:v>
      </x:c>
      <x:c r="C1429" s="2" t="n">
        <x:v>2015</x:v>
      </x:c>
      <x:c r="D1429" s="2" t="str">
        <x:v>WUP_SURFACE</x:v>
      </x:c>
      <x:c r="E1429" s="17" t="n">
        <x:v>251814595.18811685</x:v>
      </x:c>
      <x:c r="F1429" s="17" t="n">
        <x:f>IF(AND(M1429,ISNUMBER(R1429)),IF(D1429="TEMPO_PROXY",R1429,IF(AND(ISNUMBER(S1429),S1429&gt;0,ISNUMBER(U1429)),U1429*R1429/S1429,"n.a.")),"n.a.")</x:f>
        <x:v>327689846.77591854</x:v>
      </x:c>
      <x:c r="G1429" s="17" t="n">
        <x:f>IF(AND(ISNUMBER(E1429),ISNUMBER(F1429)),E1429-F1429,"n.a.")</x:f>
        <x:v>-75875251.5878017</x:v>
      </x:c>
      <x:c r="H1429" s="15" t="n">
        <x:f>IF(AND(ISNUMBER(E1429),ISNUMBER(F1429),F1429&gt;0),(E1429-F1429)/F1429,"n.a.")</x:f>
        <x:v>-0.23154593385887492</x:v>
      </x:c>
      <x:c r="I1429" s="19" t="n">
        <x:f>IF(ISNUMBER(H1429),ABS(H1429),"n.a.")</x:f>
        <x:v>0.23154593385887492</x:v>
      </x:c>
      <x:c r="J1429" s="2" t="str">
        <x:v>available</x:v>
      </x:c>
      <x:c r="K1429" s="2" t="n">
        <x:v>1</x:v>
      </x:c>
      <x:c r="L1429" s="13" t="b">
        <x:v>0</x:v>
      </x:c>
      <x:c r="M1429" s="13" t="b">
        <x:v>1</x:v>
      </x:c>
      <x:c r="N1429" s="2" t="str">
        <x:v>historical_GHSL_BU_estimate</x:v>
      </x:c>
      <x:c r="O1429" s="2" t="str"/>
      <x:c r="P1429" s="2" t="str">
        <x:v>horizontal built-up surface</x:v>
      </x:c>
      <x:c r="Q1429" s="2" t="str">
        <x:v>m2</x:v>
      </x:c>
      <x:c r="R1429" s="17" t="n">
        <x:v>327689846.77591866</x:v>
      </x:c>
      <x:c r="S1429" s="17" t="n">
        <x:v>284786315.39</x:v>
      </x:c>
      <x:c r="T1429" s="18" t="n">
        <x:v>0.9999999999999996</x:v>
      </x:c>
      <x:c r="U1429" s="17" t="n">
        <x:v>284786315.38999987</x:v>
      </x:c>
      <x:c r="V1429" s="2" t="str">
        <x:v>Area equivalent = model2020 * WUP surface / TEMPO2020 footprint; km2 multiplied by1e6 once</x:v>
      </x:c>
      <x:c r="W1429" s="2" t="str">
        <x:v>L1_numeric_partition_qualified_not_national_completeness</x:v>
      </x:c>
      <x:c r="X1429" s="2" t="str">
        <x:v>https://human-settlement.emergency.copernicus.eu/datasets.php</x:v>
      </x:c>
    </x:row>
    <x:row r="1430" ht="23" customHeight="1">
      <x:c r="A1430" s="2" t="str">
        <x:v>CUB</x:v>
      </x:c>
      <x:c r="B1430" s="2" t="str">
        <x:v>Cuba (Republic of)</x:v>
      </x:c>
      <x:c r="C1430" s="2" t="n">
        <x:v>2015</x:v>
      </x:c>
      <x:c r="D1430" s="2" t="str">
        <x:v>WUP_SURFACE</x:v>
      </x:c>
      <x:c r="E1430" s="17" t="n">
        <x:v>333742028.5469901</x:v>
      </x:c>
      <x:c r="F1430" s="17" t="n">
        <x:f>IF(AND(M1430,ISNUMBER(R1430)),IF(D1430="TEMPO_PROXY",R1430,IF(AND(ISNUMBER(S1430),S1430&gt;0,ISNUMBER(U1430)),U1430*R1430/S1430,"n.a.")),"n.a.")</x:f>
        <x:v>364307137.9807522</x:v>
      </x:c>
      <x:c r="G1430" s="17" t="n">
        <x:f>IF(AND(ISNUMBER(E1430),ISNUMBER(F1430)),E1430-F1430,"n.a.")</x:f>
        <x:v>-30565109.433762133</x:v>
      </x:c>
      <x:c r="H1430" s="15" t="n">
        <x:f>IF(AND(ISNUMBER(E1430),ISNUMBER(F1430),F1430&gt;0),(E1430-F1430)/F1430,"n.a.")</x:f>
        <x:v>-0.08389928784589723</x:v>
      </x:c>
      <x:c r="I1430" s="19" t="n">
        <x:f>IF(ISNUMBER(H1430),ABS(H1430),"n.a.")</x:f>
        <x:v>0.08389928784589723</x:v>
      </x:c>
      <x:c r="J1430" s="2" t="str">
        <x:v>available</x:v>
      </x:c>
      <x:c r="K1430" s="2" t="n">
        <x:v>1</x:v>
      </x:c>
      <x:c r="L1430" s="13" t="b">
        <x:v>0</x:v>
      </x:c>
      <x:c r="M1430" s="13" t="b">
        <x:v>1</x:v>
      </x:c>
      <x:c r="N1430" s="2" t="str">
        <x:v>historical_GHSL_BU_estimate</x:v>
      </x:c>
      <x:c r="O1430" s="2" t="str"/>
      <x:c r="P1430" s="2" t="str">
        <x:v>horizontal built-up surface</x:v>
      </x:c>
      <x:c r="Q1430" s="2" t="str">
        <x:v>m2</x:v>
      </x:c>
      <x:c r="R1430" s="17" t="n">
        <x:v>364307137.98075247</x:v>
      </x:c>
      <x:c r="S1430" s="17" t="n">
        <x:v>360088927.42</x:v>
      </x:c>
      <x:c r="T1430" s="18" t="n">
        <x:v>0.9999999999999993</x:v>
      </x:c>
      <x:c r="U1430" s="17" t="n">
        <x:v>360088927.4199998</x:v>
      </x:c>
      <x:c r="V1430" s="2" t="str">
        <x:v>Area equivalent = model2020 * WUP surface / TEMPO2020 footprint; km2 multiplied by1e6 once</x:v>
      </x:c>
      <x:c r="W1430" s="2" t="str">
        <x:v>L1_numeric_partition_qualified_not_national_completeness</x:v>
      </x:c>
      <x:c r="X1430" s="2" t="str">
        <x:v>https://human-settlement.emergency.copernicus.eu/datasets.php</x:v>
      </x:c>
    </x:row>
    <x:row r="1431" ht="23" customHeight="1">
      <x:c r="A1431" s="2" t="str">
        <x:v>CYP</x:v>
      </x:c>
      <x:c r="B1431" s="2" t="str">
        <x:v>Cyprus (Republic of)</x:v>
      </x:c>
      <x:c r="C1431" s="2" t="n">
        <x:v>2015</x:v>
      </x:c>
      <x:c r="D1431" s="2" t="str">
        <x:v>WUP_SURFACE</x:v>
      </x:c>
      <x:c r="E1431" s="17" t="n">
        <x:v>118707748.12306449</x:v>
      </x:c>
      <x:c r="F1431" s="17" t="n">
        <x:f>IF(AND(M1431,ISNUMBER(R1431)),IF(D1431="TEMPO_PROXY",R1431,IF(AND(ISNUMBER(S1431),S1431&gt;0,ISNUMBER(U1431)),U1431*R1431/S1431,"n.a.")),"n.a.")</x:f>
        <x:v>140173451.0174825</x:v>
      </x:c>
      <x:c r="G1431" s="17" t="n">
        <x:f>IF(AND(ISNUMBER(E1431),ISNUMBER(F1431)),E1431-F1431,"n.a.")</x:f>
        <x:v>-21465702.894418</x:v>
      </x:c>
      <x:c r="H1431" s="15" t="n">
        <x:f>IF(AND(ISNUMBER(E1431),ISNUMBER(F1431),F1431&gt;0),(E1431-F1431)/F1431,"n.a.")</x:f>
        <x:v>-0.15313672267183312</x:v>
      </x:c>
      <x:c r="I1431" s="19" t="n">
        <x:f>IF(ISNUMBER(H1431),ABS(H1431),"n.a.")</x:f>
        <x:v>0.15313672267183312</x:v>
      </x:c>
      <x:c r="J1431" s="2" t="str">
        <x:v>available</x:v>
      </x:c>
      <x:c r="K1431" s="2" t="n">
        <x:v>1</x:v>
      </x:c>
      <x:c r="L1431" s="13" t="b">
        <x:v>0</x:v>
      </x:c>
      <x:c r="M1431" s="13" t="b">
        <x:v>1</x:v>
      </x:c>
      <x:c r="N1431" s="2" t="str">
        <x:v>historical_GHSL_BU_estimate</x:v>
      </x:c>
      <x:c r="O1431" s="2" t="str"/>
      <x:c r="P1431" s="2" t="str">
        <x:v>horizontal built-up surface</x:v>
      </x:c>
      <x:c r="Q1431" s="2" t="str">
        <x:v>m2</x:v>
      </x:c>
      <x:c r="R1431" s="17" t="n">
        <x:v>140173451.0174823</x:v>
      </x:c>
      <x:c r="S1431" s="17" t="n">
        <x:v>124124771.75</x:v>
      </x:c>
      <x:c r="T1431" s="18" t="n">
        <x:v>1.0000000000000013</x:v>
      </x:c>
      <x:c r="U1431" s="17" t="n">
        <x:v>124124771.75000016</x:v>
      </x:c>
      <x:c r="V1431" s="2" t="str">
        <x:v>Area equivalent = model2020 * WUP surface / TEMPO2020 footprint; km2 multiplied by1e6 once</x:v>
      </x:c>
      <x:c r="W1431" s="2" t="str">
        <x:v>L1_numeric_partition_qualified_not_national_completeness</x:v>
      </x:c>
      <x:c r="X1431" s="2" t="str">
        <x:v>https://human-settlement.emergency.copernicus.eu/datasets.php</x:v>
      </x:c>
    </x:row>
    <x:row r="1432" ht="23" customHeight="1">
      <x:c r="A1432" s="2" t="str">
        <x:v>CZE</x:v>
      </x:c>
      <x:c r="B1432" s="2" t="str">
        <x:v>Czechia (Czech Republic)</x:v>
      </x:c>
      <x:c r="C1432" s="2" t="n">
        <x:v>2015</x:v>
      </x:c>
      <x:c r="D1432" s="2" t="str">
        <x:v>WUP_SURFACE</x:v>
      </x:c>
      <x:c r="E1432" s="17" t="n">
        <x:v>802655135.3985859</x:v>
      </x:c>
      <x:c r="F1432" s="17" t="n">
        <x:f>IF(AND(M1432,ISNUMBER(R1432)),IF(D1432="TEMPO_PROXY",R1432,IF(AND(ISNUMBER(S1432),S1432&gt;0,ISNUMBER(U1432)),U1432*R1432/S1432,"n.a.")),"n.a.")</x:f>
        <x:v>1318757462.5672739</x:v>
      </x:c>
      <x:c r="G1432" s="17" t="n">
        <x:f>IF(AND(ISNUMBER(E1432),ISNUMBER(F1432)),E1432-F1432,"n.a.")</x:f>
        <x:v>-516102327.16868794</x:v>
      </x:c>
      <x:c r="H1432" s="15" t="n">
        <x:f>IF(AND(ISNUMBER(E1432),ISNUMBER(F1432),F1432&gt;0),(E1432-F1432)/F1432,"n.a.")</x:f>
        <x:v>-0.3913550003076172</x:v>
      </x:c>
      <x:c r="I1432" s="19" t="n">
        <x:f>IF(ISNUMBER(H1432),ABS(H1432),"n.a.")</x:f>
        <x:v>0.3913550003076172</x:v>
      </x:c>
      <x:c r="J1432" s="2" t="str">
        <x:v>available</x:v>
      </x:c>
      <x:c r="K1432" s="2" t="n">
        <x:v>1</x:v>
      </x:c>
      <x:c r="L1432" s="13" t="b">
        <x:v>0</x:v>
      </x:c>
      <x:c r="M1432" s="13" t="b">
        <x:v>1</x:v>
      </x:c>
      <x:c r="N1432" s="2" t="str">
        <x:v>historical_GHSL_BU_estimate</x:v>
      </x:c>
      <x:c r="O1432" s="2" t="str"/>
      <x:c r="P1432" s="2" t="str">
        <x:v>horizontal built-up surface</x:v>
      </x:c>
      <x:c r="Q1432" s="2" t="str">
        <x:v>m2</x:v>
      </x:c>
      <x:c r="R1432" s="17" t="n">
        <x:v>1286230047.5211751</x:v>
      </x:c>
      <x:c r="S1432" s="17" t="n">
        <x:v>832797594.35</x:v>
      </x:c>
      <x:c r="T1432" s="18" t="n">
        <x:v>1.025288955975477</x:v>
      </x:c>
      <x:c r="U1432" s="17" t="n">
        <x:v>853858176.0500003</x:v>
      </x:c>
      <x:c r="V1432" s="2" t="str">
        <x:v>Area equivalent = model2020 * WUP surface / TEMPO2020 footprint; km2 multiplied by1e6 once</x:v>
      </x:c>
      <x:c r="W1432" s="2" t="str">
        <x:v>L1_numeric_partition_qualified_not_national_completeness</x:v>
      </x:c>
      <x:c r="X1432" s="2" t="str">
        <x:v>https://human-settlement.emergency.copernicus.eu/datasets.php</x:v>
      </x:c>
    </x:row>
    <x:row r="1433" ht="23" customHeight="1">
      <x:c r="A1433" s="2" t="str">
        <x:v>DEU</x:v>
      </x:c>
      <x:c r="B1433" s="2" t="str">
        <x:v>Germany (Federal Republic of)</x:v>
      </x:c>
      <x:c r="C1433" s="2" t="n">
        <x:v>2015</x:v>
      </x:c>
      <x:c r="D1433" s="2" t="str">
        <x:v>WUP_SURFACE</x:v>
      </x:c>
      <x:c r="E1433" s="17" t="n">
        <x:v>6295283925.7990055</x:v>
      </x:c>
      <x:c r="F1433" s="17" t="n">
        <x:f>IF(AND(M1433,ISNUMBER(R1433)),IF(D1433="TEMPO_PROXY",R1433,IF(AND(ISNUMBER(S1433),S1433&gt;0,ISNUMBER(U1433)),U1433*R1433/S1433,"n.a.")),"n.a.")</x:f>
        <x:v>9591619166.376379</x:v>
      </x:c>
      <x:c r="G1433" s="17" t="n">
        <x:f>IF(AND(ISNUMBER(E1433),ISNUMBER(F1433)),E1433-F1433,"n.a.")</x:f>
        <x:v>-3296335240.5773735</x:v>
      </x:c>
      <x:c r="H1433" s="15" t="n">
        <x:f>IF(AND(ISNUMBER(E1433),ISNUMBER(F1433),F1433&gt;0),(E1433-F1433)/F1433,"n.a.")</x:f>
        <x:v>-0.34366827783704607</x:v>
      </x:c>
      <x:c r="I1433" s="19" t="n">
        <x:f>IF(ISNUMBER(H1433),ABS(H1433),"n.a.")</x:f>
        <x:v>0.34366827783704607</x:v>
      </x:c>
      <x:c r="J1433" s="2" t="str">
        <x:v>available</x:v>
      </x:c>
      <x:c r="K1433" s="2" t="n">
        <x:v>1</x:v>
      </x:c>
      <x:c r="L1433" s="13" t="b">
        <x:v>0</x:v>
      </x:c>
      <x:c r="M1433" s="13" t="b">
        <x:v>1</x:v>
      </x:c>
      <x:c r="N1433" s="2" t="str">
        <x:v>historical_GHSL_BU_estimate</x:v>
      </x:c>
      <x:c r="O1433" s="2" t="str"/>
      <x:c r="P1433" s="2" t="str">
        <x:v>horizontal built-up surface</x:v>
      </x:c>
      <x:c r="Q1433" s="2" t="str">
        <x:v>m2</x:v>
      </x:c>
      <x:c r="R1433" s="17" t="n">
        <x:v>9152770467.493135</x:v>
      </x:c>
      <x:c r="S1433" s="17" t="n">
        <x:v>6308730216.94</x:v>
      </x:c>
      <x:c r="T1433" s="18" t="n">
        <x:v>1.0479470888559759</x:v>
      </x:c>
      <x:c r="U1433" s="17" t="n">
        <x:v>6611215465.220001</x:v>
      </x:c>
      <x:c r="V1433" s="2" t="str">
        <x:v>Area equivalent = model2020 * WUP surface / TEMPO2020 footprint; km2 multiplied by1e6 once</x:v>
      </x:c>
      <x:c r="W1433" s="2" t="str">
        <x:v>L1_numeric_partition_qualified_not_national_completeness</x:v>
      </x:c>
      <x:c r="X1433" s="2" t="str">
        <x:v>https://human-settlement.emergency.copernicus.eu/datasets.php</x:v>
      </x:c>
    </x:row>
    <x:row r="1434" ht="23" customHeight="1">
      <x:c r="A1434" s="2" t="str">
        <x:v>DJI</x:v>
      </x:c>
      <x:c r="B1434" s="2" t="str">
        <x:v>Djibouti (Republic of)</x:v>
      </x:c>
      <x:c r="C1434" s="2" t="n">
        <x:v>2015</x:v>
      </x:c>
      <x:c r="D1434" s="2" t="str">
        <x:v>WUP_SURFACE</x:v>
      </x:c>
      <x:c r="E1434" s="17" t="n">
        <x:v>11226600.057405254</x:v>
      </x:c>
      <x:c r="F1434" s="17" t="n">
        <x:f>IF(AND(M1434,ISNUMBER(R1434)),IF(D1434="TEMPO_PROXY",R1434,IF(AND(ISNUMBER(S1434),S1434&gt;0,ISNUMBER(U1434)),U1434*R1434/S1434,"n.a.")),"n.a.")</x:f>
        <x:v>19021432.90139315</x:v>
      </x:c>
      <x:c r="G1434" s="17" t="n">
        <x:f>IF(AND(ISNUMBER(E1434),ISNUMBER(F1434)),E1434-F1434,"n.a.")</x:f>
        <x:v>-7794832.843987895</x:v>
      </x:c>
      <x:c r="H1434" s="15" t="n">
        <x:f>IF(AND(ISNUMBER(E1434),ISNUMBER(F1434),F1434&gt;0),(E1434-F1434)/F1434,"n.a.")</x:f>
        <x:v>-0.4097920952851556</x:v>
      </x:c>
      <x:c r="I1434" s="19" t="n">
        <x:f>IF(ISNUMBER(H1434),ABS(H1434),"n.a.")</x:f>
        <x:v>0.4097920952851556</x:v>
      </x:c>
      <x:c r="J1434" s="2" t="str">
        <x:v>available</x:v>
      </x:c>
      <x:c r="K1434" s="2" t="n">
        <x:v>1</x:v>
      </x:c>
      <x:c r="L1434" s="13" t="b">
        <x:v>0</x:v>
      </x:c>
      <x:c r="M1434" s="13" t="b">
        <x:v>1</x:v>
      </x:c>
      <x:c r="N1434" s="2" t="str">
        <x:v>historical_GHSL_BU_estimate</x:v>
      </x:c>
      <x:c r="O1434" s="2" t="str"/>
      <x:c r="P1434" s="2" t="str">
        <x:v>horizontal built-up surface</x:v>
      </x:c>
      <x:c r="Q1434" s="2" t="str">
        <x:v>m2</x:v>
      </x:c>
      <x:c r="R1434" s="17" t="n">
        <x:v>18324601.992004547</x:v>
      </x:c>
      <x:c r="S1434" s="17" t="n">
        <x:v>12127167.01</x:v>
      </x:c>
      <x:c r="T1434" s="18" t="n">
        <x:v>1.0380270692751006</x:v>
      </x:c>
      <x:c r="U1434" s="17" t="n">
        <x:v>12588327.629999984</x:v>
      </x:c>
      <x:c r="V1434" s="2" t="str">
        <x:v>Area equivalent = model2020 * WUP surface / TEMPO2020 footprint; km2 multiplied by1e6 once</x:v>
      </x:c>
      <x:c r="W1434" s="2" t="str">
        <x:v>L1_numeric_partition_qualified_not_national_completeness</x:v>
      </x:c>
      <x:c r="X1434" s="2" t="str">
        <x:v>https://human-settlement.emergency.copernicus.eu/datasets.php</x:v>
      </x:c>
    </x:row>
    <x:row r="1435" ht="23" customHeight="1">
      <x:c r="A1435" s="2" t="str">
        <x:v>DMA</x:v>
      </x:c>
      <x:c r="B1435" s="2" t="str">
        <x:v>Dominica (Commonwealth of)</x:v>
      </x:c>
      <x:c r="C1435" s="2" t="n">
        <x:v>2015</x:v>
      </x:c>
      <x:c r="D1435" s="2" t="str">
        <x:v>WUP_SURFACE</x:v>
      </x:c>
      <x:c r="E1435" s="17" t="n">
        <x:v>3486495.3852494587</x:v>
      </x:c>
      <x:c r="F1435" s="17" t="n">
        <x:f>IF(AND(M1435,ISNUMBER(R1435)),IF(D1435="TEMPO_PROXY",R1435,IF(AND(ISNUMBER(S1435),S1435&gt;0,ISNUMBER(U1435)),U1435*R1435/S1435,"n.a.")),"n.a.")</x:f>
        <x:v>4937473.032319302</x:v>
      </x:c>
      <x:c r="G1435" s="17" t="n">
        <x:f>IF(AND(ISNUMBER(E1435),ISNUMBER(F1435)),E1435-F1435,"n.a.")</x:f>
        <x:v>-1450977.647069843</x:v>
      </x:c>
      <x:c r="H1435" s="15" t="n">
        <x:f>IF(AND(ISNUMBER(E1435),ISNUMBER(F1435),F1435&gt;0),(E1435-F1435)/F1435,"n.a.")</x:f>
        <x:v>-0.293870495610235</x:v>
      </x:c>
      <x:c r="I1435" s="19" t="n">
        <x:f>IF(ISNUMBER(H1435),ABS(H1435),"n.a.")</x:f>
        <x:v>0.293870495610235</x:v>
      </x:c>
      <x:c r="J1435" s="2" t="str">
        <x:v>available</x:v>
      </x:c>
      <x:c r="K1435" s="2" t="n">
        <x:v>1</x:v>
      </x:c>
      <x:c r="L1435" s="13" t="b">
        <x:v>0</x:v>
      </x:c>
      <x:c r="M1435" s="13" t="b">
        <x:v>1</x:v>
      </x:c>
      <x:c r="N1435" s="2" t="str">
        <x:v>historical_GHSL_BU_estimate</x:v>
      </x:c>
      <x:c r="O1435" s="2" t="str"/>
      <x:c r="P1435" s="2" t="str">
        <x:v>horizontal built-up surface</x:v>
      </x:c>
      <x:c r="Q1435" s="2" t="str">
        <x:v>m2</x:v>
      </x:c>
      <x:c r="R1435" s="17" t="n">
        <x:v>4937473.032319304</x:v>
      </x:c>
      <x:c r="S1435" s="17" t="n">
        <x:v>3947192.69</x:v>
      </x:c>
      <x:c r="T1435" s="18" t="n">
        <x:v>0.9999999999999997</x:v>
      </x:c>
      <x:c r="U1435" s="17" t="n">
        <x:v>3947192.6899999985</x:v>
      </x:c>
      <x:c r="V1435" s="2" t="str">
        <x:v>Area equivalent = model2020 * WUP surface / TEMPO2020 footprint; km2 multiplied by1e6 once</x:v>
      </x:c>
      <x:c r="W1435" s="2" t="str">
        <x:v>L1_numeric_partition_qualified_not_national_completeness</x:v>
      </x:c>
      <x:c r="X1435" s="2" t="str">
        <x:v>https://human-settlement.emergency.copernicus.eu/datasets.php</x:v>
      </x:c>
    </x:row>
    <x:row r="1436" ht="23" customHeight="1">
      <x:c r="A1436" s="2" t="str">
        <x:v>DNK</x:v>
      </x:c>
      <x:c r="B1436" s="2" t="str">
        <x:v>Denmark (Kingdom of)</x:v>
      </x:c>
      <x:c r="C1436" s="2" t="n">
        <x:v>2015</x:v>
      </x:c>
      <x:c r="D1436" s="2" t="str">
        <x:v>WUP_SURFACE</x:v>
      </x:c>
      <x:c r="E1436" s="17" t="n">
        <x:v>637662032.609485</x:v>
      </x:c>
      <x:c r="F1436" s="17" t="n">
        <x:f>IF(AND(M1436,ISNUMBER(R1436)),IF(D1436="TEMPO_PROXY",R1436,IF(AND(ISNUMBER(S1436),S1436&gt;0,ISNUMBER(U1436)),U1436*R1436/S1436,"n.a.")),"n.a.")</x:f>
        <x:v>794898674.6948076</x:v>
      </x:c>
      <x:c r="G1436" s="17" t="n">
        <x:f>IF(AND(ISNUMBER(E1436),ISNUMBER(F1436)),E1436-F1436,"n.a.")</x:f>
        <x:v>-157236642.08532262</x:v>
      </x:c>
      <x:c r="H1436" s="15" t="n">
        <x:f>IF(AND(ISNUMBER(E1436),ISNUMBER(F1436),F1436&gt;0),(E1436-F1436)/F1436,"n.a.")</x:f>
        <x:v>-0.19780715088711381</x:v>
      </x:c>
      <x:c r="I1436" s="19" t="n">
        <x:f>IF(ISNUMBER(H1436),ABS(H1436),"n.a.")</x:f>
        <x:v>0.19780715088711381</x:v>
      </x:c>
      <x:c r="J1436" s="2" t="str">
        <x:v>available</x:v>
      </x:c>
      <x:c r="K1436" s="2" t="n">
        <x:v>1</x:v>
      </x:c>
      <x:c r="L1436" s="13" t="b">
        <x:v>0</x:v>
      </x:c>
      <x:c r="M1436" s="13" t="b">
        <x:v>1</x:v>
      </x:c>
      <x:c r="N1436" s="2" t="str">
        <x:v>historical_GHSL_BU_estimate</x:v>
      </x:c>
      <x:c r="O1436" s="2" t="str"/>
      <x:c r="P1436" s="2" t="str">
        <x:v>horizontal built-up surface</x:v>
      </x:c>
      <x:c r="Q1436" s="2" t="str">
        <x:v>m2</x:v>
      </x:c>
      <x:c r="R1436" s="17" t="n">
        <x:v>789725531.4281603</x:v>
      </x:c>
      <x:c r="S1436" s="17" t="n">
        <x:v>660731556.2</x:v>
      </x:c>
      <x:c r="T1436" s="18" t="n">
        <x:v>1.006550558467183</x:v>
      </x:c>
      <x:c r="U1436" s="17" t="n">
        <x:v>665059716.8900009</x:v>
      </x:c>
      <x:c r="V1436" s="2" t="str">
        <x:v>Area equivalent = model2020 * WUP surface / TEMPO2020 footprint; km2 multiplied by1e6 once</x:v>
      </x:c>
      <x:c r="W1436" s="2" t="str">
        <x:v>L1_numeric_partition_qualified_not_national_completeness</x:v>
      </x:c>
      <x:c r="X1436" s="2" t="str">
        <x:v>https://human-settlement.emergency.copernicus.eu/datasets.php</x:v>
      </x:c>
    </x:row>
    <x:row r="1437" ht="23" customHeight="1">
      <x:c r="A1437" s="2" t="str">
        <x:v>DOM</x:v>
      </x:c>
      <x:c r="B1437" s="2" t="str">
        <x:v>Dominican Republic</x:v>
      </x:c>
      <x:c r="C1437" s="2" t="n">
        <x:v>2015</x:v>
      </x:c>
      <x:c r="D1437" s="2" t="str">
        <x:v>WUP_SURFACE</x:v>
      </x:c>
      <x:c r="E1437" s="17" t="n">
        <x:v>247208125.3674467</x:v>
      </x:c>
      <x:c r="F1437" s="17" t="n">
        <x:f>IF(AND(M1437,ISNUMBER(R1437)),IF(D1437="TEMPO_PROXY",R1437,IF(AND(ISNUMBER(S1437),S1437&gt;0,ISNUMBER(U1437)),U1437*R1437/S1437,"n.a.")),"n.a.")</x:f>
        <x:v>374443755.2248543</x:v>
      </x:c>
      <x:c r="G1437" s="17" t="n">
        <x:f>IF(AND(ISNUMBER(E1437),ISNUMBER(F1437)),E1437-F1437,"n.a.")</x:f>
        <x:v>-127235629.8574076</x:v>
      </x:c>
      <x:c r="H1437" s="15" t="n">
        <x:f>IF(AND(ISNUMBER(E1437),ISNUMBER(F1437),F1437&gt;0),(E1437-F1437)/F1437,"n.a.")</x:f>
        <x:v>-0.33979904346649425</x:v>
      </x:c>
      <x:c r="I1437" s="19" t="n">
        <x:f>IF(ISNUMBER(H1437),ABS(H1437),"n.a.")</x:f>
        <x:v>0.33979904346649425</x:v>
      </x:c>
      <x:c r="J1437" s="2" t="str">
        <x:v>available</x:v>
      </x:c>
      <x:c r="K1437" s="2" t="n">
        <x:v>1</x:v>
      </x:c>
      <x:c r="L1437" s="13" t="b">
        <x:v>0</x:v>
      </x:c>
      <x:c r="M1437" s="13" t="b">
        <x:v>1</x:v>
      </x:c>
      <x:c r="N1437" s="2" t="str">
        <x:v>historical_GHSL_BU_estimate</x:v>
      </x:c>
      <x:c r="O1437" s="2" t="str"/>
      <x:c r="P1437" s="2" t="str">
        <x:v>horizontal built-up surface</x:v>
      </x:c>
      <x:c r="Q1437" s="2" t="str">
        <x:v>m2</x:v>
      </x:c>
      <x:c r="R1437" s="17" t="n">
        <x:v>374443755.2248538</x:v>
      </x:c>
      <x:c r="S1437" s="17" t="n">
        <x:v>336248050.89</x:v>
      </x:c>
      <x:c r="T1437" s="18" t="n">
        <x:v>1.0000000000000013</x:v>
      </x:c>
      <x:c r="U1437" s="17" t="n">
        <x:v>336248050.8900004</x:v>
      </x:c>
      <x:c r="V1437" s="2" t="str">
        <x:v>Area equivalent = model2020 * WUP surface / TEMPO2020 footprint; km2 multiplied by1e6 once</x:v>
      </x:c>
      <x:c r="W1437" s="2" t="str">
        <x:v>L1_numeric_partition_qualified_not_national_completeness</x:v>
      </x:c>
      <x:c r="X1437" s="2" t="str">
        <x:v>https://human-settlement.emergency.copernicus.eu/datasets.php</x:v>
      </x:c>
    </x:row>
    <x:row r="1438" ht="23" customHeight="1">
      <x:c r="A1438" s="2" t="str">
        <x:v>DZA</x:v>
      </x:c>
      <x:c r="B1438" s="2" t="str">
        <x:v>Algeria (People's Democratic Republic of)</x:v>
      </x:c>
      <x:c r="C1438" s="2" t="n">
        <x:v>2015</x:v>
      </x:c>
      <x:c r="D1438" s="2" t="str">
        <x:v>WUP_SURFACE</x:v>
      </x:c>
      <x:c r="E1438" s="17" t="n">
        <x:v>1502138846.737166</x:v>
      </x:c>
      <x:c r="F1438" s="17" t="n">
        <x:f>IF(AND(M1438,ISNUMBER(R1438)),IF(D1438="TEMPO_PROXY",R1438,IF(AND(ISNUMBER(S1438),S1438&gt;0,ISNUMBER(U1438)),U1438*R1438/S1438,"n.a.")),"n.a.")</x:f>
        <x:v>2144990175.8230455</x:v>
      </x:c>
      <x:c r="G1438" s="17" t="n">
        <x:f>IF(AND(ISNUMBER(E1438),ISNUMBER(F1438)),E1438-F1438,"n.a.")</x:f>
        <x:v>-642851329.0858796</x:v>
      </x:c>
      <x:c r="H1438" s="15" t="n">
        <x:f>IF(AND(ISNUMBER(E1438),ISNUMBER(F1438),F1438&gt;0),(E1438-F1438)/F1438,"n.a.")</x:f>
        <x:v>-0.2996989619494242</x:v>
      </x:c>
      <x:c r="I1438" s="19" t="n">
        <x:f>IF(ISNUMBER(H1438),ABS(H1438),"n.a.")</x:f>
        <x:v>0.2996989619494242</x:v>
      </x:c>
      <x:c r="J1438" s="2" t="str">
        <x:v>available</x:v>
      </x:c>
      <x:c r="K1438" s="2" t="n">
        <x:v>1</x:v>
      </x:c>
      <x:c r="L1438" s="13" t="b">
        <x:v>0</x:v>
      </x:c>
      <x:c r="M1438" s="13" t="b">
        <x:v>1</x:v>
      </x:c>
      <x:c r="N1438" s="2" t="str">
        <x:v>historical_GHSL_BU_estimate</x:v>
      </x:c>
      <x:c r="O1438" s="2" t="str"/>
      <x:c r="P1438" s="2" t="str">
        <x:v>horizontal built-up surface</x:v>
      </x:c>
      <x:c r="Q1438" s="2" t="str">
        <x:v>m2</x:v>
      </x:c>
      <x:c r="R1438" s="17" t="n">
        <x:v>2120354794.052456</x:v>
      </x:c>
      <x:c r="S1438" s="17" t="n">
        <x:v>1589287619</x:v>
      </x:c>
      <x:c r="T1438" s="18" t="n">
        <x:v>1.0116185186741817</x:v>
      </x:c>
      <x:c r="U1438" s="17" t="n">
        <x:v>1607752786.8799975</x:v>
      </x:c>
      <x:c r="V1438" s="2" t="str">
        <x:v>Area equivalent = model2020 * WUP surface / TEMPO2020 footprint; km2 multiplied by1e6 once</x:v>
      </x:c>
      <x:c r="W1438" s="2" t="str">
        <x:v>L1_numeric_partition_qualified_not_national_completeness</x:v>
      </x:c>
      <x:c r="X1438" s="2" t="str">
        <x:v>https://human-settlement.emergency.copernicus.eu/datasets.php</x:v>
      </x:c>
    </x:row>
    <x:row r="1439" ht="23" customHeight="1">
      <x:c r="A1439" s="2" t="str">
        <x:v>ECU</x:v>
      </x:c>
      <x:c r="B1439" s="2" t="str">
        <x:v>Ecuador (Republic of)</x:v>
      </x:c>
      <x:c r="C1439" s="2" t="n">
        <x:v>2015</x:v>
      </x:c>
      <x:c r="D1439" s="2" t="str">
        <x:v>WUP_SURFACE</x:v>
      </x:c>
      <x:c r="E1439" s="17" t="n">
        <x:v>703386333.4302019</x:v>
      </x:c>
      <x:c r="F1439" s="17" t="n">
        <x:f>IF(AND(M1439,ISNUMBER(R1439)),IF(D1439="TEMPO_PROXY",R1439,IF(AND(ISNUMBER(S1439),S1439&gt;0,ISNUMBER(U1439)),U1439*R1439/S1439,"n.a.")),"n.a.")</x:f>
        <x:v>898380196.9271276</x:v>
      </x:c>
      <x:c r="G1439" s="17" t="n">
        <x:f>IF(AND(ISNUMBER(E1439),ISNUMBER(F1439)),E1439-F1439,"n.a.")</x:f>
        <x:v>-194993863.4969257</x:v>
      </x:c>
      <x:c r="H1439" s="15" t="n">
        <x:f>IF(AND(ISNUMBER(E1439),ISNUMBER(F1439),F1439&gt;0),(E1439-F1439)/F1439,"n.a.")</x:f>
        <x:v>-0.2170504917226517</x:v>
      </x:c>
      <x:c r="I1439" s="19" t="n">
        <x:f>IF(ISNUMBER(H1439),ABS(H1439),"n.a.")</x:f>
        <x:v>0.2170504917226517</x:v>
      </x:c>
      <x:c r="J1439" s="2" t="str">
        <x:v>available</x:v>
      </x:c>
      <x:c r="K1439" s="2" t="n">
        <x:v>1</x:v>
      </x:c>
      <x:c r="L1439" s="13" t="b">
        <x:v>0</x:v>
      </x:c>
      <x:c r="M1439" s="13" t="b">
        <x:v>1</x:v>
      </x:c>
      <x:c r="N1439" s="2" t="str">
        <x:v>historical_GHSL_BU_estimate</x:v>
      </x:c>
      <x:c r="O1439" s="2" t="str"/>
      <x:c r="P1439" s="2" t="str">
        <x:v>horizontal built-up surface</x:v>
      </x:c>
      <x:c r="Q1439" s="2" t="str">
        <x:v>m2</x:v>
      </x:c>
      <x:c r="R1439" s="17" t="n">
        <x:v>898380196.9271271</x:v>
      </x:c>
      <x:c r="S1439" s="17" t="n">
        <x:v>734538215.05</x:v>
      </x:c>
      <x:c r="T1439" s="18" t="n">
        <x:v>1.0000000000000004</x:v>
      </x:c>
      <x:c r="U1439" s="17" t="n">
        <x:v>734538215.0500003</x:v>
      </x:c>
      <x:c r="V1439" s="2" t="str">
        <x:v>Area equivalent = model2020 * WUP surface / TEMPO2020 footprint; km2 multiplied by1e6 once</x:v>
      </x:c>
      <x:c r="W1439" s="2" t="str">
        <x:v>L1_numeric_partition_qualified_not_national_completeness</x:v>
      </x:c>
      <x:c r="X1439" s="2" t="str">
        <x:v>https://human-settlement.emergency.copernicus.eu/datasets.php</x:v>
      </x:c>
    </x:row>
    <x:row r="1440" ht="23" customHeight="1">
      <x:c r="A1440" s="2" t="str">
        <x:v>EGY</x:v>
      </x:c>
      <x:c r="B1440" s="2" t="str">
        <x:v>Egypt (Arab Republic of)</x:v>
      </x:c>
      <x:c r="C1440" s="2" t="n">
        <x:v>2015</x:v>
      </x:c>
      <x:c r="D1440" s="2" t="str">
        <x:v>WUP_SURFACE</x:v>
      </x:c>
      <x:c r="E1440" s="17" t="n">
        <x:v>2430072384.0124</x:v>
      </x:c>
      <x:c r="F1440" s="17" t="n">
        <x:f>IF(AND(M1440,ISNUMBER(R1440)),IF(D1440="TEMPO_PROXY",R1440,IF(AND(ISNUMBER(S1440),S1440&gt;0,ISNUMBER(U1440)),U1440*R1440/S1440,"n.a.")),"n.a.")</x:f>
        <x:v>3473452881.7770257</x:v>
      </x:c>
      <x:c r="G1440" s="17" t="n">
        <x:f>IF(AND(ISNUMBER(E1440),ISNUMBER(F1440)),E1440-F1440,"n.a.")</x:f>
        <x:v>-1043380497.7646255</x:v>
      </x:c>
      <x:c r="H1440" s="15" t="n">
        <x:f>IF(AND(ISNUMBER(E1440),ISNUMBER(F1440),F1440&gt;0),(E1440-F1440)/F1440,"n.a.")</x:f>
        <x:v>-0.3003871171647591</x:v>
      </x:c>
      <x:c r="I1440" s="19" t="n">
        <x:f>IF(ISNUMBER(H1440),ABS(H1440),"n.a.")</x:f>
        <x:v>0.3003871171647591</x:v>
      </x:c>
      <x:c r="J1440" s="2" t="str">
        <x:v>available</x:v>
      </x:c>
      <x:c r="K1440" s="2" t="n">
        <x:v>1</x:v>
      </x:c>
      <x:c r="L1440" s="13" t="b">
        <x:v>0</x:v>
      </x:c>
      <x:c r="M1440" s="13" t="b">
        <x:v>1</x:v>
      </x:c>
      <x:c r="N1440" s="2" t="str">
        <x:v>historical_GHSL_BU_estimate</x:v>
      </x:c>
      <x:c r="O1440" s="2" t="str"/>
      <x:c r="P1440" s="2" t="str">
        <x:v>horizontal built-up surface</x:v>
      </x:c>
      <x:c r="Q1440" s="2" t="str">
        <x:v>m2</x:v>
      </x:c>
      <x:c r="R1440" s="17" t="n">
        <x:v>2601589027.288066</x:v>
      </x:c>
      <x:c r="S1440" s="17" t="n">
        <x:v>2212752476.53</x:v>
      </x:c>
      <x:c r="T1440" s="18" t="n">
        <x:v>1.3351274337891113</x:v>
      </x:c>
      <x:c r="U1440" s="17" t="n">
        <x:v>2954306535.6</x:v>
      </x:c>
      <x:c r="V1440" s="2" t="str">
        <x:v>Area equivalent = model2020 * WUP surface / TEMPO2020 footprint; km2 multiplied by1e6 once</x:v>
      </x:c>
      <x:c r="W1440" s="2" t="str">
        <x:v>L1_numeric_partition_qualified_not_national_completeness</x:v>
      </x:c>
      <x:c r="X1440" s="2" t="str">
        <x:v>https://human-settlement.emergency.copernicus.eu/datasets.php</x:v>
      </x:c>
    </x:row>
    <x:row r="1441" ht="23" customHeight="1">
      <x:c r="A1441" s="2" t="str">
        <x:v>ERI</x:v>
      </x:c>
      <x:c r="B1441" s="2" t="str">
        <x:v>Eritrea (State of)</x:v>
      </x:c>
      <x:c r="C1441" s="2" t="n">
        <x:v>2015</x:v>
      </x:c>
      <x:c r="D1441" s="2" t="str">
        <x:v>WUP_SURFACE</x:v>
      </x:c>
      <x:c r="E1441" s="17" t="n">
        <x:v>31760779.71501907</x:v>
      </x:c>
      <x:c r="F1441" s="17" t="n">
        <x:f>IF(AND(M1441,ISNUMBER(R1441)),IF(D1441="TEMPO_PROXY",R1441,IF(AND(ISNUMBER(S1441),S1441&gt;0,ISNUMBER(U1441)),U1441*R1441/S1441,"n.a.")),"n.a.")</x:f>
        <x:v>74956856.93895856</x:v>
      </x:c>
      <x:c r="G1441" s="17" t="n">
        <x:f>IF(AND(ISNUMBER(E1441),ISNUMBER(F1441)),E1441-F1441,"n.a.")</x:f>
        <x:v>-43196077.223939486</x:v>
      </x:c>
      <x:c r="H1441" s="15" t="n">
        <x:f>IF(AND(ISNUMBER(E1441),ISNUMBER(F1441),F1441&gt;0),(E1441-F1441)/F1441,"n.a.")</x:f>
        <x:v>-0.5762791956327145</x:v>
      </x:c>
      <x:c r="I1441" s="19" t="n">
        <x:f>IF(ISNUMBER(H1441),ABS(H1441),"n.a.")</x:f>
        <x:v>0.5762791956327145</x:v>
      </x:c>
      <x:c r="J1441" s="2" t="str">
        <x:v>available</x:v>
      </x:c>
      <x:c r="K1441" s="2" t="n">
        <x:v>1</x:v>
      </x:c>
      <x:c r="L1441" s="13" t="b">
        <x:v>0</x:v>
      </x:c>
      <x:c r="M1441" s="13" t="b">
        <x:v>1</x:v>
      </x:c>
      <x:c r="N1441" s="2" t="str">
        <x:v>historical_GHSL_BU_estimate</x:v>
      </x:c>
      <x:c r="O1441" s="2" t="str"/>
      <x:c r="P1441" s="2" t="str">
        <x:v>horizontal built-up surface</x:v>
      </x:c>
      <x:c r="Q1441" s="2" t="str">
        <x:v>m2</x:v>
      </x:c>
      <x:c r="R1441" s="17" t="n">
        <x:v>74956856.9389586</x:v>
      </x:c>
      <x:c r="S1441" s="17" t="n">
        <x:v>45298098.33</x:v>
      </x:c>
      <x:c r="T1441" s="18" t="n">
        <x:v>0.9999999999999996</x:v>
      </x:c>
      <x:c r="U1441" s="17" t="n">
        <x:v>45298098.329999976</x:v>
      </x:c>
      <x:c r="V1441" s="2" t="str">
        <x:v>Area equivalent = model2020 * WUP surface / TEMPO2020 footprint; km2 multiplied by1e6 once</x:v>
      </x:c>
      <x:c r="W1441" s="2" t="str">
        <x:v>L1_numeric_partition_qualified_not_national_completeness</x:v>
      </x:c>
      <x:c r="X1441" s="2" t="str">
        <x:v>https://human-settlement.emergency.copernicus.eu/datasets.php</x:v>
      </x:c>
    </x:row>
    <x:row r="1442" ht="23" customHeight="1">
      <x:c r="A1442" s="2" t="str">
        <x:v>ESP</x:v>
      </x:c>
      <x:c r="B1442" s="2" t="str">
        <x:v>Spain (Kingdom of)</x:v>
      </x:c>
      <x:c r="C1442" s="2" t="n">
        <x:v>2015</x:v>
      </x:c>
      <x:c r="D1442" s="2" t="str">
        <x:v>WUP_SURFACE</x:v>
      </x:c>
      <x:c r="E1442" s="17" t="n">
        <x:v>3537491129.653378</x:v>
      </x:c>
      <x:c r="F1442" s="17" t="n">
        <x:f>IF(AND(M1442,ISNUMBER(R1442)),IF(D1442="TEMPO_PROXY",R1442,IF(AND(ISNUMBER(S1442),S1442&gt;0,ISNUMBER(U1442)),U1442*R1442/S1442,"n.a.")),"n.a.")</x:f>
        <x:v>4817783364.051667</x:v>
      </x:c>
      <x:c r="G1442" s="17" t="n">
        <x:f>IF(AND(ISNUMBER(E1442),ISNUMBER(F1442)),E1442-F1442,"n.a.")</x:f>
        <x:v>-1280292234.3982892</x:v>
      </x:c>
      <x:c r="H1442" s="15" t="n">
        <x:f>IF(AND(ISNUMBER(E1442),ISNUMBER(F1442),F1442&gt;0),(E1442-F1442)/F1442,"n.a.")</x:f>
        <x:v>-0.2657430062030824</x:v>
      </x:c>
      <x:c r="I1442" s="19" t="n">
        <x:f>IF(ISNUMBER(H1442),ABS(H1442),"n.a.")</x:f>
        <x:v>0.2657430062030824</x:v>
      </x:c>
      <x:c r="J1442" s="2" t="str">
        <x:v>available</x:v>
      </x:c>
      <x:c r="K1442" s="2" t="n">
        <x:v>1</x:v>
      </x:c>
      <x:c r="L1442" s="13" t="b">
        <x:v>0</x:v>
      </x:c>
      <x:c r="M1442" s="13" t="b">
        <x:v>1</x:v>
      </x:c>
      <x:c r="N1442" s="2" t="str">
        <x:v>historical_GHSL_BU_estimate</x:v>
      </x:c>
      <x:c r="O1442" s="2" t="str"/>
      <x:c r="P1442" s="2" t="str">
        <x:v>horizontal built-up surface</x:v>
      </x:c>
      <x:c r="Q1442" s="2" t="str">
        <x:v>m2</x:v>
      </x:c>
      <x:c r="R1442" s="17" t="n">
        <x:v>4277927846.308356</x:v>
      </x:c>
      <x:c r="S1442" s="17" t="n">
        <x:v>3279628822.71</x:v>
      </x:c>
      <x:c r="T1442" s="18" t="n">
        <x:v>1.1261955640998436</x:v>
      </x:c>
      <x:c r="U1442" s="17" t="n">
        <x:v>3693503432.029994</x:v>
      </x:c>
      <x:c r="V1442" s="2" t="str">
        <x:v>Area equivalent = model2020 * WUP surface / TEMPO2020 footprint; km2 multiplied by1e6 once</x:v>
      </x:c>
      <x:c r="W1442" s="2" t="str">
        <x:v>L1_numeric_partition_qualified_not_national_completeness</x:v>
      </x:c>
      <x:c r="X1442" s="2" t="str">
        <x:v>https://human-settlement.emergency.copernicus.eu/datasets.php</x:v>
      </x:c>
    </x:row>
    <x:row r="1443" ht="23" customHeight="1">
      <x:c r="A1443" s="2" t="str">
        <x:v>EST</x:v>
      </x:c>
      <x:c r="B1443" s="2" t="str">
        <x:v>Estonia (Republic of)</x:v>
      </x:c>
      <x:c r="C1443" s="2" t="n">
        <x:v>2015</x:v>
      </x:c>
      <x:c r="D1443" s="2" t="str">
        <x:v>WUP_SURFACE</x:v>
      </x:c>
      <x:c r="E1443" s="17" t="n">
        <x:v>107839154.44477116</x:v>
      </x:c>
      <x:c r="F1443" s="17" t="n">
        <x:f>IF(AND(M1443,ISNUMBER(R1443)),IF(D1443="TEMPO_PROXY",R1443,IF(AND(ISNUMBER(S1443),S1443&gt;0,ISNUMBER(U1443)),U1443*R1443/S1443,"n.a.")),"n.a.")</x:f>
        <x:v>184905052.25348046</x:v>
      </x:c>
      <x:c r="G1443" s="17" t="n">
        <x:f>IF(AND(ISNUMBER(E1443),ISNUMBER(F1443)),E1443-F1443,"n.a.")</x:f>
        <x:v>-77065897.80870931</x:v>
      </x:c>
      <x:c r="H1443" s="15" t="n">
        <x:f>IF(AND(ISNUMBER(E1443),ISNUMBER(F1443),F1443&gt;0),(E1443-F1443)/F1443,"n.a.")</x:f>
        <x:v>-0.41678632827761847</x:v>
      </x:c>
      <x:c r="I1443" s="19" t="n">
        <x:f>IF(ISNUMBER(H1443),ABS(H1443),"n.a.")</x:f>
        <x:v>0.41678632827761847</x:v>
      </x:c>
      <x:c r="J1443" s="2" t="str">
        <x:v>available</x:v>
      </x:c>
      <x:c r="K1443" s="2" t="n">
        <x:v>1</x:v>
      </x:c>
      <x:c r="L1443" s="13" t="b">
        <x:v>0</x:v>
      </x:c>
      <x:c r="M1443" s="13" t="b">
        <x:v>1</x:v>
      </x:c>
      <x:c r="N1443" s="2" t="str">
        <x:v>historical_GHSL_BU_estimate</x:v>
      </x:c>
      <x:c r="O1443" s="2" t="str"/>
      <x:c r="P1443" s="2" t="str">
        <x:v>horizontal built-up surface</x:v>
      </x:c>
      <x:c r="Q1443" s="2" t="str">
        <x:v>m2</x:v>
      </x:c>
      <x:c r="R1443" s="17" t="n">
        <x:v>184905052.25348032</x:v>
      </x:c>
      <x:c r="S1443" s="17" t="n">
        <x:v>113094705.37</x:v>
      </x:c>
      <x:c r="T1443" s="18" t="n">
        <x:v>1.0000000000000009</x:v>
      </x:c>
      <x:c r="U1443" s="17" t="n">
        <x:v>113094705.3700001</x:v>
      </x:c>
      <x:c r="V1443" s="2" t="str">
        <x:v>Area equivalent = model2020 * WUP surface / TEMPO2020 footprint; km2 multiplied by1e6 once</x:v>
      </x:c>
      <x:c r="W1443" s="2" t="str">
        <x:v>L1_numeric_partition_qualified_not_national_completeness</x:v>
      </x:c>
      <x:c r="X1443" s="2" t="str">
        <x:v>https://human-settlement.emergency.copernicus.eu/datasets.php</x:v>
      </x:c>
    </x:row>
    <x:row r="1444" ht="23" customHeight="1">
      <x:c r="A1444" s="2" t="str">
        <x:v>ETH</x:v>
      </x:c>
      <x:c r="B1444" s="2" t="str">
        <x:v>Ethiopia (Federal Democratic Republic of)</x:v>
      </x:c>
      <x:c r="C1444" s="2" t="n">
        <x:v>2015</x:v>
      </x:c>
      <x:c r="D1444" s="2" t="str">
        <x:v>WUP_SURFACE</x:v>
      </x:c>
      <x:c r="E1444" s="17" t="n">
        <x:v>975794014.8213218</x:v>
      </x:c>
      <x:c r="F1444" s="17" t="n">
        <x:f>IF(AND(M1444,ISNUMBER(R1444)),IF(D1444="TEMPO_PROXY",R1444,IF(AND(ISNUMBER(S1444),S1444&gt;0,ISNUMBER(U1444)),U1444*R1444/S1444,"n.a.")),"n.a.")</x:f>
        <x:v>1504371445.107637</x:v>
      </x:c>
      <x:c r="G1444" s="17" t="n">
        <x:f>IF(AND(ISNUMBER(E1444),ISNUMBER(F1444)),E1444-F1444,"n.a.")</x:f>
        <x:v>-528577430.2863151</x:v>
      </x:c>
      <x:c r="H1444" s="15" t="n">
        <x:f>IF(AND(ISNUMBER(E1444),ISNUMBER(F1444),F1444&gt;0),(E1444-F1444)/F1444,"n.a.")</x:f>
        <x:v>-0.3513609833564048</x:v>
      </x:c>
      <x:c r="I1444" s="19" t="n">
        <x:f>IF(ISNUMBER(H1444),ABS(H1444),"n.a.")</x:f>
        <x:v>0.3513609833564048</x:v>
      </x:c>
      <x:c r="J1444" s="2" t="str">
        <x:v>available</x:v>
      </x:c>
      <x:c r="K1444" s="2" t="n">
        <x:v>1</x:v>
      </x:c>
      <x:c r="L1444" s="13" t="b">
        <x:v>0</x:v>
      </x:c>
      <x:c r="M1444" s="13" t="b">
        <x:v>1</x:v>
      </x:c>
      <x:c r="N1444" s="2" t="str">
        <x:v>historical_GHSL_BU_estimate</x:v>
      </x:c>
      <x:c r="O1444" s="2" t="str"/>
      <x:c r="P1444" s="2" t="str">
        <x:v>horizontal built-up surface</x:v>
      </x:c>
      <x:c r="Q1444" s="2" t="str">
        <x:v>m2</x:v>
      </x:c>
      <x:c r="R1444" s="17" t="n">
        <x:v>1504371445.1076348</x:v>
      </x:c>
      <x:c r="S1444" s="17" t="n">
        <x:v>1660821510.71</x:v>
      </x:c>
      <x:c r="T1444" s="18" t="n">
        <x:v>1.0000000000000013</x:v>
      </x:c>
      <x:c r="U1444" s="17" t="n">
        <x:v>1660821510.7100024</x:v>
      </x:c>
      <x:c r="V1444" s="2" t="str">
        <x:v>Area equivalent = model2020 * WUP surface / TEMPO2020 footprint; km2 multiplied by1e6 once</x:v>
      </x:c>
      <x:c r="W1444" s="2" t="str">
        <x:v>L1_numeric_partition_qualified_not_national_completeness</x:v>
      </x:c>
      <x:c r="X1444" s="2" t="str">
        <x:v>https://human-settlement.emergency.copernicus.eu/datasets.php</x:v>
      </x:c>
    </x:row>
    <x:row r="1445" ht="23" customHeight="1">
      <x:c r="A1445" s="2" t="str">
        <x:v>FIN</x:v>
      </x:c>
      <x:c r="B1445" s="2" t="str">
        <x:v>Finland (Republic of)</x:v>
      </x:c>
      <x:c r="C1445" s="2" t="n">
        <x:v>2015</x:v>
      </x:c>
      <x:c r="D1445" s="2" t="str">
        <x:v>WUP_SURFACE</x:v>
      </x:c>
      <x:c r="E1445" s="17" t="n">
        <x:v>584197324.5432632</x:v>
      </x:c>
      <x:c r="F1445" s="17" t="n">
        <x:f>IF(AND(M1445,ISNUMBER(R1445)),IF(D1445="TEMPO_PROXY",R1445,IF(AND(ISNUMBER(S1445),S1445&gt;0,ISNUMBER(U1445)),U1445*R1445/S1445,"n.a.")),"n.a.")</x:f>
        <x:v>517900443.11220324</x:v>
      </x:c>
      <x:c r="G1445" s="17" t="n">
        <x:f>IF(AND(ISNUMBER(E1445),ISNUMBER(F1445)),E1445-F1445,"n.a.")</x:f>
        <x:v>66296881.43105996</x:v>
      </x:c>
      <x:c r="H1445" s="15" t="n">
        <x:f>IF(AND(ISNUMBER(E1445),ISNUMBER(F1445),F1445&gt;0),(E1445-F1445)/F1445,"n.a.")</x:f>
        <x:v>0.12801086060607353</x:v>
      </x:c>
      <x:c r="I1445" s="19" t="n">
        <x:f>IF(ISNUMBER(H1445),ABS(H1445),"n.a.")</x:f>
        <x:v>0.12801086060607353</x:v>
      </x:c>
      <x:c r="J1445" s="2" t="str">
        <x:v>available</x:v>
      </x:c>
      <x:c r="K1445" s="2" t="n">
        <x:v>1</x:v>
      </x:c>
      <x:c r="L1445" s="13" t="b">
        <x:v>0</x:v>
      </x:c>
      <x:c r="M1445" s="13" t="b">
        <x:v>1</x:v>
      </x:c>
      <x:c r="N1445" s="2" t="str">
        <x:v>historical_GHSL_BU_estimate</x:v>
      </x:c>
      <x:c r="O1445" s="2" t="str"/>
      <x:c r="P1445" s="2" t="str">
        <x:v>horizontal built-up surface</x:v>
      </x:c>
      <x:c r="Q1445" s="2" t="str">
        <x:v>m2</x:v>
      </x:c>
      <x:c r="R1445" s="17" t="n">
        <x:v>517900443.1122039</x:v>
      </x:c>
      <x:c r="S1445" s="17" t="n">
        <x:v>615866742.34</x:v>
      </x:c>
      <x:c r="T1445" s="18" t="n">
        <x:v>0.9999999999999989</x:v>
      </x:c>
      <x:c r="U1445" s="17" t="n">
        <x:v>615866742.3399993</x:v>
      </x:c>
      <x:c r="V1445" s="2" t="str">
        <x:v>Area equivalent = model2020 * WUP surface / TEMPO2020 footprint; km2 multiplied by1e6 once</x:v>
      </x:c>
      <x:c r="W1445" s="2" t="str">
        <x:v>L1_numeric_partition_qualified_not_national_completeness</x:v>
      </x:c>
      <x:c r="X1445" s="2" t="str">
        <x:v>https://human-settlement.emergency.copernicus.eu/datasets.php</x:v>
      </x:c>
    </x:row>
    <x:row r="1446" ht="23" customHeight="1">
      <x:c r="A1446" s="2" t="str">
        <x:v>FJI</x:v>
      </x:c>
      <x:c r="B1446" s="2" t="str">
        <x:v>Fiji (Republic of)</x:v>
      </x:c>
      <x:c r="C1446" s="2" t="n">
        <x:v>2015</x:v>
      </x:c>
      <x:c r="D1446" s="2" t="str">
        <x:v>WUP_SURFACE</x:v>
      </x:c>
      <x:c r="E1446" s="17" t="n">
        <x:v>33411339.28812197</x:v>
      </x:c>
      <x:c r="F1446" s="17" t="n">
        <x:f>IF(AND(M1446,ISNUMBER(R1446)),IF(D1446="TEMPO_PROXY",R1446,IF(AND(ISNUMBER(S1446),S1446&gt;0,ISNUMBER(U1446)),U1446*R1446/S1446,"n.a.")),"n.a.")</x:f>
        <x:v>77566425.8002064</x:v>
      </x:c>
      <x:c r="G1446" s="17" t="n">
        <x:f>IF(AND(ISNUMBER(E1446),ISNUMBER(F1446)),E1446-F1446,"n.a.")</x:f>
        <x:v>-44155086.512084424</x:v>
      </x:c>
      <x:c r="H1446" s="15" t="n">
        <x:f>IF(AND(ISNUMBER(E1446),ISNUMBER(F1446),F1446&gt;0),(E1446-F1446)/F1446,"n.a.")</x:f>
        <x:v>-0.5692551391476767</x:v>
      </x:c>
      <x:c r="I1446" s="19" t="n">
        <x:f>IF(ISNUMBER(H1446),ABS(H1446),"n.a.")</x:f>
        <x:v>0.5692551391476767</x:v>
      </x:c>
      <x:c r="J1446" s="2" t="str">
        <x:v>available</x:v>
      </x:c>
      <x:c r="K1446" s="2" t="n">
        <x:v>1</x:v>
      </x:c>
      <x:c r="L1446" s="13" t="b">
        <x:v>0</x:v>
      </x:c>
      <x:c r="M1446" s="13" t="b">
        <x:v>1</x:v>
      </x:c>
      <x:c r="N1446" s="2" t="str">
        <x:v>historical_GHSL_BU_estimate</x:v>
      </x:c>
      <x:c r="O1446" s="2" t="str"/>
      <x:c r="P1446" s="2" t="str">
        <x:v>horizontal built-up surface</x:v>
      </x:c>
      <x:c r="Q1446" s="2" t="str">
        <x:v>m2</x:v>
      </x:c>
      <x:c r="R1446" s="17" t="n">
        <x:v>77566425.8002064</x:v>
      </x:c>
      <x:c r="S1446" s="17" t="n">
        <x:v>37460168.12</x:v>
      </x:c>
      <x:c r="T1446" s="18" t="n">
        <x:v>1</x:v>
      </x:c>
      <x:c r="U1446" s="17" t="n">
        <x:v>37460168.12</x:v>
      </x:c>
      <x:c r="V1446" s="2" t="str">
        <x:v>Area equivalent = model2020 * WUP surface / TEMPO2020 footprint; km2 multiplied by1e6 once</x:v>
      </x:c>
      <x:c r="W1446" s="2" t="str">
        <x:v>L1_numeric_partition_qualified_not_national_completeness</x:v>
      </x:c>
      <x:c r="X1446" s="2" t="str">
        <x:v>https://human-settlement.emergency.copernicus.eu/datasets.php</x:v>
      </x:c>
    </x:row>
    <x:row r="1447" ht="23" customHeight="1">
      <x:c r="A1447" s="2" t="str">
        <x:v>FRA</x:v>
      </x:c>
      <x:c r="B1447" s="2" t="str">
        <x:v>France (French Republic)</x:v>
      </x:c>
      <x:c r="C1447" s="2" t="n">
        <x:v>2015</x:v>
      </x:c>
      <x:c r="D1447" s="2" t="str">
        <x:v>WUP_SURFACE</x:v>
      </x:c>
      <x:c r="E1447" s="17" t="n">
        <x:v>5782378618.188952</x:v>
      </x:c>
      <x:c r="F1447" s="17" t="n">
        <x:f>IF(AND(M1447,ISNUMBER(R1447)),IF(D1447="TEMPO_PROXY",R1447,IF(AND(ISNUMBER(S1447),S1447&gt;0,ISNUMBER(U1447)),U1447*R1447/S1447,"n.a.")),"n.a.")</x:f>
        <x:v>9483766205.840252</x:v>
      </x:c>
      <x:c r="G1447" s="17" t="n">
        <x:f>IF(AND(ISNUMBER(E1447),ISNUMBER(F1447)),E1447-F1447,"n.a.")</x:f>
        <x:v>-3701387587.6512995</x:v>
      </x:c>
      <x:c r="H1447" s="15" t="n">
        <x:f>IF(AND(ISNUMBER(E1447),ISNUMBER(F1447),F1447&gt;0),(E1447-F1447)/F1447,"n.a.")</x:f>
        <x:v>-0.39028667591699245</x:v>
      </x:c>
      <x:c r="I1447" s="19" t="n">
        <x:f>IF(ISNUMBER(H1447),ABS(H1447),"n.a.")</x:f>
        <x:v>0.39028667591699245</x:v>
      </x:c>
      <x:c r="J1447" s="2" t="str">
        <x:v>available</x:v>
      </x:c>
      <x:c r="K1447" s="2" t="n">
        <x:v>1</x:v>
      </x:c>
      <x:c r="L1447" s="13" t="b">
        <x:v>0</x:v>
      </x:c>
      <x:c r="M1447" s="13" t="b">
        <x:v>1</x:v>
      </x:c>
      <x:c r="N1447" s="2" t="str">
        <x:v>historical_GHSL_BU_estimate</x:v>
      </x:c>
      <x:c r="O1447" s="2" t="str"/>
      <x:c r="P1447" s="2" t="str">
        <x:v>horizontal built-up surface</x:v>
      </x:c>
      <x:c r="Q1447" s="2" t="str">
        <x:v>m2</x:v>
      </x:c>
      <x:c r="R1447" s="17" t="n">
        <x:v>9483766205.840252</x:v>
      </x:c>
      <x:c r="S1447" s="17" t="n">
        <x:v>6074526882.68</x:v>
      </x:c>
      <x:c r="T1447" s="18" t="n">
        <x:v>1.0000000000000002</x:v>
      </x:c>
      <x:c r="U1447" s="17" t="n">
        <x:v>6074526882.680001</x:v>
      </x:c>
      <x:c r="V1447" s="2" t="str">
        <x:v>Area equivalent = model2020 * WUP surface / TEMPO2020 footprint; km2 multiplied by1e6 once</x:v>
      </x:c>
      <x:c r="W1447" s="2" t="str">
        <x:v>L1_numeric_partition_qualified_not_national_completeness</x:v>
      </x:c>
      <x:c r="X1447" s="2" t="str">
        <x:v>https://human-settlement.emergency.copernicus.eu/datasets.php</x:v>
      </x:c>
    </x:row>
    <x:row r="1448" ht="23" customHeight="1">
      <x:c r="A1448" s="2" t="str">
        <x:v>FSM</x:v>
      </x:c>
      <x:c r="B1448" s="2" t="str">
        <x:v>Micronesia (Federated States of)</x:v>
      </x:c>
      <x:c r="C1448" s="2" t="n">
        <x:v>2015</x:v>
      </x:c>
      <x:c r="D1448" s="2" t="str">
        <x:v>WUP_SURFACE</x:v>
      </x:c>
      <x:c r="E1448" s="17" t="n">
        <x:v>2128005.492623716</x:v>
      </x:c>
      <x:c r="F1448" s="17" t="n">
        <x:f>IF(AND(M1448,ISNUMBER(R1448)),IF(D1448="TEMPO_PROXY",R1448,IF(AND(ISNUMBER(S1448),S1448&gt;0,ISNUMBER(U1448)),U1448*R1448/S1448,"n.a.")),"n.a.")</x:f>
        <x:v>5381451.976995093</x:v>
      </x:c>
      <x:c r="G1448" s="17" t="n">
        <x:f>IF(AND(ISNUMBER(E1448),ISNUMBER(F1448)),E1448-F1448,"n.a.")</x:f>
        <x:v>-3253446.4843713767</x:v>
      </x:c>
      <x:c r="H1448" s="15" t="n">
        <x:f>IF(AND(ISNUMBER(E1448),ISNUMBER(F1448),F1448&gt;0),(E1448-F1448)/F1448,"n.a.")</x:f>
        <x:v>-0.6045666668176872</x:v>
      </x:c>
      <x:c r="I1448" s="19" t="n">
        <x:f>IF(ISNUMBER(H1448),ABS(H1448),"n.a.")</x:f>
        <x:v>0.6045666668176872</x:v>
      </x:c>
      <x:c r="J1448" s="2" t="str">
        <x:v>available</x:v>
      </x:c>
      <x:c r="K1448" s="2" t="n">
        <x:v>1</x:v>
      </x:c>
      <x:c r="L1448" s="13" t="b">
        <x:v>0</x:v>
      </x:c>
      <x:c r="M1448" s="13" t="b">
        <x:v>1</x:v>
      </x:c>
      <x:c r="N1448" s="2" t="str">
        <x:v>historical_GHSL_BU_estimate</x:v>
      </x:c>
      <x:c r="O1448" s="2" t="str"/>
      <x:c r="P1448" s="2" t="str">
        <x:v>horizontal built-up surface</x:v>
      </x:c>
      <x:c r="Q1448" s="2" t="str">
        <x:v>m2</x:v>
      </x:c>
      <x:c r="R1448" s="17" t="n">
        <x:v>5381451.976995095</x:v>
      </x:c>
      <x:c r="S1448" s="17" t="n">
        <x:v>2177822.61</x:v>
      </x:c>
      <x:c r="T1448" s="18" t="n">
        <x:v>0.9999999999999996</x:v>
      </x:c>
      <x:c r="U1448" s="17" t="n">
        <x:v>2177822.609999999</x:v>
      </x:c>
      <x:c r="V1448" s="2" t="str">
        <x:v>Area equivalent = model2020 * WUP surface / TEMPO2020 footprint; km2 multiplied by1e6 once</x:v>
      </x:c>
      <x:c r="W1448" s="2" t="str">
        <x:v>L1_numeric_partition_qualified_not_national_completeness</x:v>
      </x:c>
      <x:c r="X1448" s="2" t="str">
        <x:v>https://human-settlement.emergency.copernicus.eu/datasets.php</x:v>
      </x:c>
    </x:row>
    <x:row r="1449" ht="23" customHeight="1">
      <x:c r="A1449" s="2" t="str">
        <x:v>GAB</x:v>
      </x:c>
      <x:c r="B1449" s="2" t="str">
        <x:v>Gabon (Gabonese Republic)</x:v>
      </x:c>
      <x:c r="C1449" s="2" t="n">
        <x:v>2015</x:v>
      </x:c>
      <x:c r="D1449" s="2" t="str">
        <x:v>WUP_SURFACE</x:v>
      </x:c>
      <x:c r="E1449" s="17" t="n">
        <x:v>66275060.77817436</x:v>
      </x:c>
      <x:c r="F1449" s="17" t="n">
        <x:f>IF(AND(M1449,ISNUMBER(R1449)),IF(D1449="TEMPO_PROXY",R1449,IF(AND(ISNUMBER(S1449),S1449&gt;0,ISNUMBER(U1449)),U1449*R1449/S1449,"n.a.")),"n.a.")</x:f>
        <x:v>132086192.9175086</x:v>
      </x:c>
      <x:c r="G1449" s="17" t="n">
        <x:f>IF(AND(ISNUMBER(E1449),ISNUMBER(F1449)),E1449-F1449,"n.a.")</x:f>
        <x:v>-65811132.13933424</x:v>
      </x:c>
      <x:c r="H1449" s="15" t="n">
        <x:f>IF(AND(ISNUMBER(E1449),ISNUMBER(F1449),F1449&gt;0),(E1449-F1449)/F1449,"n.a.")</x:f>
        <x:v>-0.49824384128048166</x:v>
      </x:c>
      <x:c r="I1449" s="19" t="n">
        <x:f>IF(ISNUMBER(H1449),ABS(H1449),"n.a.")</x:f>
        <x:v>0.49824384128048166</x:v>
      </x:c>
      <x:c r="J1449" s="2" t="str">
        <x:v>available</x:v>
      </x:c>
      <x:c r="K1449" s="2" t="n">
        <x:v>1</x:v>
      </x:c>
      <x:c r="L1449" s="13" t="b">
        <x:v>0</x:v>
      </x:c>
      <x:c r="M1449" s="13" t="b">
        <x:v>1</x:v>
      </x:c>
      <x:c r="N1449" s="2" t="str">
        <x:v>historical_GHSL_BU_estimate</x:v>
      </x:c>
      <x:c r="O1449" s="2" t="str"/>
      <x:c r="P1449" s="2" t="str">
        <x:v>horizontal built-up surface</x:v>
      </x:c>
      <x:c r="Q1449" s="2" t="str">
        <x:v>m2</x:v>
      </x:c>
      <x:c r="R1449" s="17" t="n">
        <x:v>132086192.91750869</x:v>
      </x:c>
      <x:c r="S1449" s="17" t="n">
        <x:v>73743642.56</x:v>
      </x:c>
      <x:c r="T1449" s="18" t="n">
        <x:v>0.9999999999999994</x:v>
      </x:c>
      <x:c r="U1449" s="17" t="n">
        <x:v>73743642.55999996</x:v>
      </x:c>
      <x:c r="V1449" s="2" t="str">
        <x:v>Area equivalent = model2020 * WUP surface / TEMPO2020 footprint; km2 multiplied by1e6 once</x:v>
      </x:c>
      <x:c r="W1449" s="2" t="str">
        <x:v>L1_numeric_partition_qualified_not_national_completeness</x:v>
      </x:c>
      <x:c r="X1449" s="2" t="str">
        <x:v>https://human-settlement.emergency.copernicus.eu/datasets.php</x:v>
      </x:c>
    </x:row>
    <x:row r="1450" ht="23" customHeight="1">
      <x:c r="A1450" s="2" t="str">
        <x:v>GBR</x:v>
      </x:c>
      <x:c r="B1450" s="2" t="str">
        <x:v>United Kingdom of Great Britain and Northern Ireland</x:v>
      </x:c>
      <x:c r="C1450" s="2" t="n">
        <x:v>2015</x:v>
      </x:c>
      <x:c r="D1450" s="2" t="str">
        <x:v>WUP_SURFACE</x:v>
      </x:c>
      <x:c r="E1450" s="17" t="n">
        <x:v>3281370012.838597</x:v>
      </x:c>
      <x:c r="F1450" s="17" t="n">
        <x:f>IF(AND(M1450,ISNUMBER(R1450)),IF(D1450="TEMPO_PROXY",R1450,IF(AND(ISNUMBER(S1450),S1450&gt;0,ISNUMBER(U1450)),U1450*R1450/S1450,"n.a.")),"n.a.")</x:f>
        <x:v>5420404091.449434</x:v>
      </x:c>
      <x:c r="G1450" s="17" t="n">
        <x:f>IF(AND(ISNUMBER(E1450),ISNUMBER(F1450)),E1450-F1450,"n.a.")</x:f>
        <x:v>-2139034078.6108375</x:v>
      </x:c>
      <x:c r="H1450" s="15" t="n">
        <x:f>IF(AND(ISNUMBER(E1450),ISNUMBER(F1450),F1450&gt;0),(E1450-F1450)/F1450,"n.a.")</x:f>
        <x:v>-0.39462631245244534</x:v>
      </x:c>
      <x:c r="I1450" s="19" t="n">
        <x:f>IF(ISNUMBER(H1450),ABS(H1450),"n.a.")</x:f>
        <x:v>0.39462631245244534</x:v>
      </x:c>
      <x:c r="J1450" s="2" t="str">
        <x:v>available</x:v>
      </x:c>
      <x:c r="K1450" s="2" t="n">
        <x:v>1</x:v>
      </x:c>
      <x:c r="L1450" s="13" t="b">
        <x:v>0</x:v>
      </x:c>
      <x:c r="M1450" s="13" t="b">
        <x:v>1</x:v>
      </x:c>
      <x:c r="N1450" s="2" t="str">
        <x:v>historical_GHSL_BU_estimate</x:v>
      </x:c>
      <x:c r="O1450" s="2" t="str"/>
      <x:c r="P1450" s="2" t="str">
        <x:v>horizontal built-up surface</x:v>
      </x:c>
      <x:c r="Q1450" s="2" t="str">
        <x:v>m2</x:v>
      </x:c>
      <x:c r="R1450" s="17" t="n">
        <x:v>5392601252.243634</x:v>
      </x:c>
      <x:c r="S1450" s="17" t="n">
        <x:v>3400930204.99</x:v>
      </x:c>
      <x:c r="T1450" s="18" t="n">
        <x:v>1.0051557380019953</x:v>
      </x:c>
      <x:c r="U1450" s="17" t="n">
        <x:v>3418464510.0900006</x:v>
      </x:c>
      <x:c r="V1450" s="2" t="str">
        <x:v>Area equivalent = model2020 * WUP surface / TEMPO2020 footprint; km2 multiplied by1e6 once</x:v>
      </x:c>
      <x:c r="W1450" s="2" t="str">
        <x:v>L1_numeric_partition_qualified_not_national_completeness</x:v>
      </x:c>
      <x:c r="X1450" s="2" t="str">
        <x:v>https://human-settlement.emergency.copernicus.eu/datasets.php</x:v>
      </x:c>
    </x:row>
    <x:row r="1451" ht="23" customHeight="1">
      <x:c r="A1451" s="2" t="str">
        <x:v>GEO</x:v>
      </x:c>
      <x:c r="B1451" s="2" t="str">
        <x:v>Georgia</x:v>
      </x:c>
      <x:c r="C1451" s="2" t="n">
        <x:v>2015</x:v>
      </x:c>
      <x:c r="D1451" s="2" t="str">
        <x:v>WUP_SURFACE</x:v>
      </x:c>
      <x:c r="E1451" s="17" t="n">
        <x:v>231517997.01246288</x:v>
      </x:c>
      <x:c r="F1451" s="17" t="n">
        <x:f>IF(AND(M1451,ISNUMBER(R1451)),IF(D1451="TEMPO_PROXY",R1451,IF(AND(ISNUMBER(S1451),S1451&gt;0,ISNUMBER(U1451)),U1451*R1451/S1451,"n.a.")),"n.a.")</x:f>
        <x:v>475010516.10178435</x:v>
      </x:c>
      <x:c r="G1451" s="17" t="n">
        <x:f>IF(AND(ISNUMBER(E1451),ISNUMBER(F1451)),E1451-F1451,"n.a.")</x:f>
        <x:v>-243492519.08932146</x:v>
      </x:c>
      <x:c r="H1451" s="15" t="n">
        <x:f>IF(AND(ISNUMBER(E1451),ISNUMBER(F1451),F1451&gt;0),(E1451-F1451)/F1451,"n.a.")</x:f>
        <x:v>-0.5126044810282607</x:v>
      </x:c>
      <x:c r="I1451" s="19" t="n">
        <x:f>IF(ISNUMBER(H1451),ABS(H1451),"n.a.")</x:f>
        <x:v>0.5126044810282607</x:v>
      </x:c>
      <x:c r="J1451" s="2" t="str">
        <x:v>available</x:v>
      </x:c>
      <x:c r="K1451" s="2" t="n">
        <x:v>1</x:v>
      </x:c>
      <x:c r="L1451" s="13" t="b">
        <x:v>0</x:v>
      </x:c>
      <x:c r="M1451" s="13" t="b">
        <x:v>1</x:v>
      </x:c>
      <x:c r="N1451" s="2" t="str">
        <x:v>historical_GHSL_BU_estimate</x:v>
      </x:c>
      <x:c r="O1451" s="2" t="str"/>
      <x:c r="P1451" s="2" t="str">
        <x:v>horizontal built-up surface</x:v>
      </x:c>
      <x:c r="Q1451" s="2" t="str">
        <x:v>m2</x:v>
      </x:c>
      <x:c r="R1451" s="17" t="n">
        <x:v>475010516.101784</x:v>
      </x:c>
      <x:c r="S1451" s="17" t="n">
        <x:v>242256071.04</x:v>
      </x:c>
      <x:c r="T1451" s="18" t="n">
        <x:v>1.0000000000000007</x:v>
      </x:c>
      <x:c r="U1451" s="17" t="n">
        <x:v>242256071.04000017</x:v>
      </x:c>
      <x:c r="V1451" s="2" t="str">
        <x:v>Area equivalent = model2020 * WUP surface / TEMPO2020 footprint; km2 multiplied by1e6 once</x:v>
      </x:c>
      <x:c r="W1451" s="2" t="str">
        <x:v>L1_numeric_partition_qualified_not_national_completeness</x:v>
      </x:c>
      <x:c r="X1451" s="2" t="str">
        <x:v>https://human-settlement.emergency.copernicus.eu/datasets.php</x:v>
      </x:c>
    </x:row>
    <x:row r="1452" ht="23" customHeight="1">
      <x:c r="A1452" s="2" t="str">
        <x:v>GHA</x:v>
      </x:c>
      <x:c r="B1452" s="2" t="str">
        <x:v>Ghana (Republic of)</x:v>
      </x:c>
      <x:c r="C1452" s="2" t="n">
        <x:v>2015</x:v>
      </x:c>
      <x:c r="D1452" s="2" t="str">
        <x:v>WUP_SURFACE</x:v>
      </x:c>
      <x:c r="E1452" s="17" t="n">
        <x:v>867754316.8806722</x:v>
      </x:c>
      <x:c r="F1452" s="17" t="n">
        <x:f>IF(AND(M1452,ISNUMBER(R1452)),IF(D1452="TEMPO_PROXY",R1452,IF(AND(ISNUMBER(S1452),S1452&gt;0,ISNUMBER(U1452)),U1452*R1452/S1452,"n.a.")),"n.a.")</x:f>
        <x:v>1761299812.7262204</x:v>
      </x:c>
      <x:c r="G1452" s="17" t="n">
        <x:f>IF(AND(ISNUMBER(E1452),ISNUMBER(F1452)),E1452-F1452,"n.a.")</x:f>
        <x:v>-893545495.8455482</x:v>
      </x:c>
      <x:c r="H1452" s="15" t="n">
        <x:f>IF(AND(ISNUMBER(E1452),ISNUMBER(F1452),F1452&gt;0),(E1452-F1452)/F1452,"n.a.")</x:f>
        <x:v>-0.5073216322339111</x:v>
      </x:c>
      <x:c r="I1452" s="19" t="n">
        <x:f>IF(ISNUMBER(H1452),ABS(H1452),"n.a.")</x:f>
        <x:v>0.5073216322339111</x:v>
      </x:c>
      <x:c r="J1452" s="2" t="str">
        <x:v>available</x:v>
      </x:c>
      <x:c r="K1452" s="2" t="n">
        <x:v>1</x:v>
      </x:c>
      <x:c r="L1452" s="13" t="b">
        <x:v>0</x:v>
      </x:c>
      <x:c r="M1452" s="13" t="b">
        <x:v>1</x:v>
      </x:c>
      <x:c r="N1452" s="2" t="str">
        <x:v>historical_GHSL_BU_estimate</x:v>
      </x:c>
      <x:c r="O1452" s="2" t="str"/>
      <x:c r="P1452" s="2" t="str">
        <x:v>horizontal built-up surface</x:v>
      </x:c>
      <x:c r="Q1452" s="2" t="str">
        <x:v>m2</x:v>
      </x:c>
      <x:c r="R1452" s="17" t="n">
        <x:v>1761299812.7262204</x:v>
      </x:c>
      <x:c r="S1452" s="17" t="n">
        <x:v>958424622.62</x:v>
      </x:c>
      <x:c r="T1452" s="18" t="n">
        <x:v>1</x:v>
      </x:c>
      <x:c r="U1452" s="17" t="n">
        <x:v>958424622.62</x:v>
      </x:c>
      <x:c r="V1452" s="2" t="str">
        <x:v>Area equivalent = model2020 * WUP surface / TEMPO2020 footprint; km2 multiplied by1e6 once</x:v>
      </x:c>
      <x:c r="W1452" s="2" t="str">
        <x:v>L1_numeric_partition_qualified_not_national_completeness</x:v>
      </x:c>
      <x:c r="X1452" s="2" t="str">
        <x:v>https://human-settlement.emergency.copernicus.eu/datasets.php</x:v>
      </x:c>
    </x:row>
    <x:row r="1453" ht="23" customHeight="1">
      <x:c r="A1453" s="2" t="str">
        <x:v>GIN</x:v>
      </x:c>
      <x:c r="B1453" s="2" t="str">
        <x:v>Guinea (Republic of)</x:v>
      </x:c>
      <x:c r="C1453" s="2" t="n">
        <x:v>2015</x:v>
      </x:c>
      <x:c r="D1453" s="2" t="str">
        <x:v>WUP_SURFACE</x:v>
      </x:c>
      <x:c r="E1453" s="17" t="n">
        <x:v>253265001.86701941</x:v>
      </x:c>
      <x:c r="F1453" s="17" t="n">
        <x:f>IF(AND(M1453,ISNUMBER(R1453)),IF(D1453="TEMPO_PROXY",R1453,IF(AND(ISNUMBER(S1453),S1453&gt;0,ISNUMBER(U1453)),U1453*R1453/S1453,"n.a.")),"n.a.")</x:f>
        <x:v>598346823.0094509</x:v>
      </x:c>
      <x:c r="G1453" s="17" t="n">
        <x:f>IF(AND(ISNUMBER(E1453),ISNUMBER(F1453)),E1453-F1453,"n.a.")</x:f>
        <x:v>-345081821.1424315</x:v>
      </x:c>
      <x:c r="H1453" s="15" t="n">
        <x:f>IF(AND(ISNUMBER(E1453),ISNUMBER(F1453),F1453&gt;0),(E1453-F1453)/F1453,"n.a.")</x:f>
        <x:v>-0.5767254172200742</x:v>
      </x:c>
      <x:c r="I1453" s="19" t="n">
        <x:f>IF(ISNUMBER(H1453),ABS(H1453),"n.a.")</x:f>
        <x:v>0.5767254172200742</x:v>
      </x:c>
      <x:c r="J1453" s="2" t="str">
        <x:v>available</x:v>
      </x:c>
      <x:c r="K1453" s="2" t="n">
        <x:v>1</x:v>
      </x:c>
      <x:c r="L1453" s="13" t="b">
        <x:v>0</x:v>
      </x:c>
      <x:c r="M1453" s="13" t="b">
        <x:v>1</x:v>
      </x:c>
      <x:c r="N1453" s="2" t="str">
        <x:v>historical_GHSL_BU_estimate</x:v>
      </x:c>
      <x:c r="O1453" s="2" t="str"/>
      <x:c r="P1453" s="2" t="str">
        <x:v>horizontal built-up surface</x:v>
      </x:c>
      <x:c r="Q1453" s="2" t="str">
        <x:v>m2</x:v>
      </x:c>
      <x:c r="R1453" s="17" t="n">
        <x:v>598346823.009452</x:v>
      </x:c>
      <x:c r="S1453" s="17" t="n">
        <x:v>277637578.23</x:v>
      </x:c>
      <x:c r="T1453" s="18" t="n">
        <x:v>0.9999999999999983</x:v>
      </x:c>
      <x:c r="U1453" s="17" t="n">
        <x:v>277637578.22999954</x:v>
      </x:c>
      <x:c r="V1453" s="2" t="str">
        <x:v>Area equivalent = model2020 * WUP surface / TEMPO2020 footprint; km2 multiplied by1e6 once</x:v>
      </x:c>
      <x:c r="W1453" s="2" t="str">
        <x:v>L1_numeric_partition_qualified_not_national_completeness</x:v>
      </x:c>
      <x:c r="X1453" s="2" t="str">
        <x:v>https://human-settlement.emergency.copernicus.eu/datasets.php</x:v>
      </x:c>
    </x:row>
    <x:row r="1454" ht="23" customHeight="1">
      <x:c r="A1454" s="2" t="str">
        <x:v>GMB</x:v>
      </x:c>
      <x:c r="B1454" s="2" t="str">
        <x:v>Gambia (Republic of the)</x:v>
      </x:c>
      <x:c r="C1454" s="2" t="n">
        <x:v>2015</x:v>
      </x:c>
      <x:c r="D1454" s="2" t="str">
        <x:v>WUP_SURFACE</x:v>
      </x:c>
      <x:c r="E1454" s="17" t="n">
        <x:v>54523887.232732646</x:v>
      </x:c>
      <x:c r="F1454" s="17" t="n">
        <x:f>IF(AND(M1454,ISNUMBER(R1454)),IF(D1454="TEMPO_PROXY",R1454,IF(AND(ISNUMBER(S1454),S1454&gt;0,ISNUMBER(U1454)),U1454*R1454/S1454,"n.a.")),"n.a.")</x:f>
        <x:v>110668002.10494873</x:v>
      </x:c>
      <x:c r="G1454" s="17" t="n">
        <x:f>IF(AND(ISNUMBER(E1454),ISNUMBER(F1454)),E1454-F1454,"n.a.")</x:f>
        <x:v>-56144114.87221608</x:v>
      </x:c>
      <x:c r="H1454" s="15" t="n">
        <x:f>IF(AND(ISNUMBER(E1454),ISNUMBER(F1454),F1454&gt;0),(E1454-F1454)/F1454,"n.a.")</x:f>
        <x:v>-0.507320217265452</x:v>
      </x:c>
      <x:c r="I1454" s="19" t="n">
        <x:f>IF(ISNUMBER(H1454),ABS(H1454),"n.a.")</x:f>
        <x:v>0.507320217265452</x:v>
      </x:c>
      <x:c r="J1454" s="2" t="str">
        <x:v>available</x:v>
      </x:c>
      <x:c r="K1454" s="2" t="n">
        <x:v>1</x:v>
      </x:c>
      <x:c r="L1454" s="13" t="b">
        <x:v>0</x:v>
      </x:c>
      <x:c r="M1454" s="13" t="b">
        <x:v>1</x:v>
      </x:c>
      <x:c r="N1454" s="2" t="str">
        <x:v>historical_GHSL_BU_estimate</x:v>
      </x:c>
      <x:c r="O1454" s="2" t="str"/>
      <x:c r="P1454" s="2" t="str">
        <x:v>horizontal built-up surface</x:v>
      </x:c>
      <x:c r="Q1454" s="2" t="str">
        <x:v>m2</x:v>
      </x:c>
      <x:c r="R1454" s="17" t="n">
        <x:v>110668002.10494888</x:v>
      </x:c>
      <x:c r="S1454" s="17" t="n">
        <x:v>56875154.53</x:v>
      </x:c>
      <x:c r="T1454" s="18" t="n">
        <x:v>0.9999999999999986</x:v>
      </x:c>
      <x:c r="U1454" s="17" t="n">
        <x:v>56875154.52999992</x:v>
      </x:c>
      <x:c r="V1454" s="2" t="str">
        <x:v>Area equivalent = model2020 * WUP surface / TEMPO2020 footprint; km2 multiplied by1e6 once</x:v>
      </x:c>
      <x:c r="W1454" s="2" t="str">
        <x:v>L1_numeric_partition_qualified_not_national_completeness</x:v>
      </x:c>
      <x:c r="X1454" s="2" t="str">
        <x:v>https://human-settlement.emergency.copernicus.eu/datasets.php</x:v>
      </x:c>
    </x:row>
    <x:row r="1455" ht="23" customHeight="1">
      <x:c r="A1455" s="2" t="str">
        <x:v>GNB</x:v>
      </x:c>
      <x:c r="B1455" s="2" t="str">
        <x:v>Guinea-Bissau (Republic of)</x:v>
      </x:c>
      <x:c r="C1455" s="2" t="n">
        <x:v>2015</x:v>
      </x:c>
      <x:c r="D1455" s="2" t="str">
        <x:v>WUP_SURFACE</x:v>
      </x:c>
      <x:c r="E1455" s="17" t="n">
        <x:v>46182866.527540356</x:v>
      </x:c>
      <x:c r="F1455" s="17" t="n">
        <x:f>IF(AND(M1455,ISNUMBER(R1455)),IF(D1455="TEMPO_PROXY",R1455,IF(AND(ISNUMBER(S1455),S1455&gt;0,ISNUMBER(U1455)),U1455*R1455/S1455,"n.a.")),"n.a.")</x:f>
        <x:v>92300647.00349961</x:v>
      </x:c>
      <x:c r="G1455" s="17" t="n">
        <x:f>IF(AND(ISNUMBER(E1455),ISNUMBER(F1455)),E1455-F1455,"n.a.")</x:f>
        <x:v>-46117780.47595926</x:v>
      </x:c>
      <x:c r="H1455" s="15" t="n">
        <x:f>IF(AND(ISNUMBER(E1455),ISNUMBER(F1455),F1455&gt;0),(E1455-F1455)/F1455,"n.a.")</x:f>
        <x:v>-0.4996474236438525</x:v>
      </x:c>
      <x:c r="I1455" s="19" t="n">
        <x:f>IF(ISNUMBER(H1455),ABS(H1455),"n.a.")</x:f>
        <x:v>0.4996474236438525</x:v>
      </x:c>
      <x:c r="J1455" s="2" t="str">
        <x:v>available</x:v>
      </x:c>
      <x:c r="K1455" s="2" t="n">
        <x:v>1</x:v>
      </x:c>
      <x:c r="L1455" s="13" t="b">
        <x:v>0</x:v>
      </x:c>
      <x:c r="M1455" s="13" t="b">
        <x:v>1</x:v>
      </x:c>
      <x:c r="N1455" s="2" t="str">
        <x:v>historical_GHSL_BU_estimate</x:v>
      </x:c>
      <x:c r="O1455" s="2" t="str"/>
      <x:c r="P1455" s="2" t="str">
        <x:v>horizontal built-up surface</x:v>
      </x:c>
      <x:c r="Q1455" s="2" t="str">
        <x:v>m2</x:v>
      </x:c>
      <x:c r="R1455" s="17" t="n">
        <x:v>92300647.00349976</x:v>
      </x:c>
      <x:c r="S1455" s="17" t="n">
        <x:v>48952674.5</x:v>
      </x:c>
      <x:c r="T1455" s="18" t="n">
        <x:v>0.9999999999999984</x:v>
      </x:c>
      <x:c r="U1455" s="17" t="n">
        <x:v>48952674.499999925</x:v>
      </x:c>
      <x:c r="V1455" s="2" t="str">
        <x:v>Area equivalent = model2020 * WUP surface / TEMPO2020 footprint; km2 multiplied by1e6 once</x:v>
      </x:c>
      <x:c r="W1455" s="2" t="str">
        <x:v>L1_numeric_partition_qualified_not_national_completeness</x:v>
      </x:c>
      <x:c r="X1455" s="2" t="str">
        <x:v>https://human-settlement.emergency.copernicus.eu/datasets.php</x:v>
      </x:c>
    </x:row>
    <x:row r="1456" ht="23" customHeight="1">
      <x:c r="A1456" s="2" t="str">
        <x:v>GNQ</x:v>
      </x:c>
      <x:c r="B1456" s="2" t="str">
        <x:v>Equatorial Guinea (Republic of)</x:v>
      </x:c>
      <x:c r="C1456" s="2" t="n">
        <x:v>2015</x:v>
      </x:c>
      <x:c r="D1456" s="2" t="str">
        <x:v>WUP_SURFACE</x:v>
      </x:c>
      <x:c r="E1456" s="17" t="n">
        <x:v>30500131.86462052</x:v>
      </x:c>
      <x:c r="F1456" s="17" t="n">
        <x:f>IF(AND(M1456,ISNUMBER(R1456)),IF(D1456="TEMPO_PROXY",R1456,IF(AND(ISNUMBER(S1456),S1456&gt;0,ISNUMBER(U1456)),U1456*R1456/S1456,"n.a.")),"n.a.")</x:f>
        <x:v>51655227.0125475</x:v>
      </x:c>
      <x:c r="G1456" s="17" t="n">
        <x:f>IF(AND(ISNUMBER(E1456),ISNUMBER(F1456)),E1456-F1456,"n.a.")</x:f>
        <x:v>-21155095.14792698</x:v>
      </x:c>
      <x:c r="H1456" s="15" t="n">
        <x:f>IF(AND(ISNUMBER(E1456),ISNUMBER(F1456),F1456&gt;0),(E1456-F1456)/F1456,"n.a.")</x:f>
        <x:v>-0.40954413273197354</x:v>
      </x:c>
      <x:c r="I1456" s="19" t="n">
        <x:f>IF(ISNUMBER(H1456),ABS(H1456),"n.a.")</x:f>
        <x:v>0.40954413273197354</x:v>
      </x:c>
      <x:c r="J1456" s="2" t="str">
        <x:v>available</x:v>
      </x:c>
      <x:c r="K1456" s="2" t="n">
        <x:v>1</x:v>
      </x:c>
      <x:c r="L1456" s="13" t="b">
        <x:v>0</x:v>
      </x:c>
      <x:c r="M1456" s="13" t="b">
        <x:v>1</x:v>
      </x:c>
      <x:c r="N1456" s="2" t="str">
        <x:v>historical_GHSL_BU_estimate</x:v>
      </x:c>
      <x:c r="O1456" s="2" t="str"/>
      <x:c r="P1456" s="2" t="str">
        <x:v>horizontal built-up surface</x:v>
      </x:c>
      <x:c r="Q1456" s="2" t="str">
        <x:v>m2</x:v>
      </x:c>
      <x:c r="R1456" s="17" t="n">
        <x:v>51655227.01254758</x:v>
      </x:c>
      <x:c r="S1456" s="17" t="n">
        <x:v>34102626.52</x:v>
      </x:c>
      <x:c r="T1456" s="18" t="n">
        <x:v>0.9999999999999984</x:v>
      </x:c>
      <x:c r="U1456" s="17" t="n">
        <x:v>34102626.51999995</x:v>
      </x:c>
      <x:c r="V1456" s="2" t="str">
        <x:v>Area equivalent = model2020 * WUP surface / TEMPO2020 footprint; km2 multiplied by1e6 once</x:v>
      </x:c>
      <x:c r="W1456" s="2" t="str">
        <x:v>L1_numeric_partition_qualified_not_national_completeness</x:v>
      </x:c>
      <x:c r="X1456" s="2" t="str">
        <x:v>https://human-settlement.emergency.copernicus.eu/datasets.php</x:v>
      </x:c>
    </x:row>
    <x:row r="1457" ht="23" customHeight="1">
      <x:c r="A1457" s="2" t="str">
        <x:v>GRC</x:v>
      </x:c>
      <x:c r="B1457" s="2" t="str">
        <x:v>Greece (Hellenic Republic)</x:v>
      </x:c>
      <x:c r="C1457" s="2" t="n">
        <x:v>2015</x:v>
      </x:c>
      <x:c r="D1457" s="2" t="str">
        <x:v>WUP_SURFACE</x:v>
      </x:c>
      <x:c r="E1457" s="17" t="n">
        <x:v>826514330.7150826</x:v>
      </x:c>
      <x:c r="F1457" s="17" t="n">
        <x:f>IF(AND(M1457,ISNUMBER(R1457)),IF(D1457="TEMPO_PROXY",R1457,IF(AND(ISNUMBER(S1457),S1457&gt;0,ISNUMBER(U1457)),U1457*R1457/S1457,"n.a.")),"n.a.")</x:f>
        <x:v>1150186360.1088774</x:v>
      </x:c>
      <x:c r="G1457" s="17" t="n">
        <x:f>IF(AND(ISNUMBER(E1457),ISNUMBER(F1457)),E1457-F1457,"n.a.")</x:f>
        <x:v>-323672029.3937948</x:v>
      </x:c>
      <x:c r="H1457" s="15" t="n">
        <x:f>IF(AND(ISNUMBER(E1457),ISNUMBER(F1457),F1457&gt;0),(E1457-F1457)/F1457,"n.a.")</x:f>
        <x:v>-0.2814083357440926</x:v>
      </x:c>
      <x:c r="I1457" s="19" t="n">
        <x:f>IF(ISNUMBER(H1457),ABS(H1457),"n.a.")</x:f>
        <x:v>0.2814083357440926</x:v>
      </x:c>
      <x:c r="J1457" s="2" t="str">
        <x:v>available</x:v>
      </x:c>
      <x:c r="K1457" s="2" t="n">
        <x:v>1</x:v>
      </x:c>
      <x:c r="L1457" s="13" t="b">
        <x:v>0</x:v>
      </x:c>
      <x:c r="M1457" s="13" t="b">
        <x:v>1</x:v>
      </x:c>
      <x:c r="N1457" s="2" t="str">
        <x:v>historical_GHSL_BU_estimate</x:v>
      </x:c>
      <x:c r="O1457" s="2" t="str"/>
      <x:c r="P1457" s="2" t="str">
        <x:v>horizontal built-up surface</x:v>
      </x:c>
      <x:c r="Q1457" s="2" t="str">
        <x:v>m2</x:v>
      </x:c>
      <x:c r="R1457" s="17" t="n">
        <x:v>1150186360.1088762</x:v>
      </x:c>
      <x:c r="S1457" s="17" t="n">
        <x:v>853851739.67</x:v>
      </x:c>
      <x:c r="T1457" s="18" t="n">
        <x:v>1.0000000000000009</x:v>
      </x:c>
      <x:c r="U1457" s="17" t="n">
        <x:v>853851739.6700008</x:v>
      </x:c>
      <x:c r="V1457" s="2" t="str">
        <x:v>Area equivalent = model2020 * WUP surface / TEMPO2020 footprint; km2 multiplied by1e6 once</x:v>
      </x:c>
      <x:c r="W1457" s="2" t="str">
        <x:v>L1_numeric_partition_qualified_not_national_completeness</x:v>
      </x:c>
      <x:c r="X1457" s="2" t="str">
        <x:v>https://human-settlement.emergency.copernicus.eu/datasets.php</x:v>
      </x:c>
    </x:row>
    <x:row r="1458" ht="23" customHeight="1">
      <x:c r="A1458" s="2" t="str">
        <x:v>GRD</x:v>
      </x:c>
      <x:c r="B1458" s="2" t="str">
        <x:v>Grenada</x:v>
      </x:c>
      <x:c r="C1458" s="2" t="n">
        <x:v>2015</x:v>
      </x:c>
      <x:c r="D1458" s="2" t="str">
        <x:v>WUP_SURFACE</x:v>
      </x:c>
      <x:c r="E1458" s="17" t="n">
        <x:v>5896774.169807444</x:v>
      </x:c>
      <x:c r="F1458" s="17" t="n">
        <x:f>IF(AND(M1458,ISNUMBER(R1458)),IF(D1458="TEMPO_PROXY",R1458,IF(AND(ISNUMBER(S1458),S1458&gt;0,ISNUMBER(U1458)),U1458*R1458/S1458,"n.a.")),"n.a.")</x:f>
        <x:v>8270514.992068449</x:v>
      </x:c>
      <x:c r="G1458" s="17" t="n">
        <x:f>IF(AND(ISNUMBER(E1458),ISNUMBER(F1458)),E1458-F1458,"n.a.")</x:f>
        <x:v>-2373740.8222610047</x:v>
      </x:c>
      <x:c r="H1458" s="15" t="n">
        <x:f>IF(AND(ISNUMBER(E1458),ISNUMBER(F1458),F1458&gt;0),(E1458-F1458)/F1458,"n.a.")</x:f>
        <x:v>-0.28701245624213956</x:v>
      </x:c>
      <x:c r="I1458" s="19" t="n">
        <x:f>IF(ISNUMBER(H1458),ABS(H1458),"n.a.")</x:f>
        <x:v>0.28701245624213956</x:v>
      </x:c>
      <x:c r="J1458" s="2" t="str">
        <x:v>available</x:v>
      </x:c>
      <x:c r="K1458" s="2" t="n">
        <x:v>1</x:v>
      </x:c>
      <x:c r="L1458" s="13" t="b">
        <x:v>0</x:v>
      </x:c>
      <x:c r="M1458" s="13" t="b">
        <x:v>1</x:v>
      </x:c>
      <x:c r="N1458" s="2" t="str">
        <x:v>historical_GHSL_BU_estimate</x:v>
      </x:c>
      <x:c r="O1458" s="2" t="str"/>
      <x:c r="P1458" s="2" t="str">
        <x:v>horizontal built-up surface</x:v>
      </x:c>
      <x:c r="Q1458" s="2" t="str">
        <x:v>m2</x:v>
      </x:c>
      <x:c r="R1458" s="17" t="n">
        <x:v>8270514.9920684565</x:v>
      </x:c>
      <x:c r="S1458" s="17" t="n">
        <x:v>6904998.42</x:v>
      </x:c>
      <x:c r="T1458" s="18" t="n">
        <x:v>0.999999999999999</x:v>
      </x:c>
      <x:c r="U1458" s="17" t="n">
        <x:v>6904998.419999993</x:v>
      </x:c>
      <x:c r="V1458" s="2" t="str">
        <x:v>Area equivalent = model2020 * WUP surface / TEMPO2020 footprint; km2 multiplied by1e6 once</x:v>
      </x:c>
      <x:c r="W1458" s="2" t="str">
        <x:v>L1_numeric_partition_qualified_not_national_completeness</x:v>
      </x:c>
      <x:c r="X1458" s="2" t="str">
        <x:v>https://human-settlement.emergency.copernicus.eu/datasets.php</x:v>
      </x:c>
    </x:row>
    <x:row r="1459" ht="23" customHeight="1">
      <x:c r="A1459" s="2" t="str">
        <x:v>GTM</x:v>
      </x:c>
      <x:c r="B1459" s="2" t="str">
        <x:v>Guatemala (Republic of)</x:v>
      </x:c>
      <x:c r="C1459" s="2" t="n">
        <x:v>2015</x:v>
      </x:c>
      <x:c r="D1459" s="2" t="str">
        <x:v>WUP_SURFACE</x:v>
      </x:c>
      <x:c r="E1459" s="17" t="n">
        <x:v>499576793.66361964</x:v>
      </x:c>
      <x:c r="F1459" s="17" t="n">
        <x:f>IF(AND(M1459,ISNUMBER(R1459)),IF(D1459="TEMPO_PROXY",R1459,IF(AND(ISNUMBER(S1459),S1459&gt;0,ISNUMBER(U1459)),U1459*R1459/S1459,"n.a.")),"n.a.")</x:f>
        <x:v>784416303.7992913</x:v>
      </x:c>
      <x:c r="G1459" s="17" t="n">
        <x:f>IF(AND(ISNUMBER(E1459),ISNUMBER(F1459)),E1459-F1459,"n.a.")</x:f>
        <x:v>-284839510.1356716</x:v>
      </x:c>
      <x:c r="H1459" s="15" t="n">
        <x:f>IF(AND(ISNUMBER(E1459),ISNUMBER(F1459),F1459&gt;0),(E1459-F1459)/F1459,"n.a.")</x:f>
        <x:v>-0.3631228835454618</x:v>
      </x:c>
      <x:c r="I1459" s="19" t="n">
        <x:f>IF(ISNUMBER(H1459),ABS(H1459),"n.a.")</x:f>
        <x:v>0.3631228835454618</x:v>
      </x:c>
      <x:c r="J1459" s="2" t="str">
        <x:v>available</x:v>
      </x:c>
      <x:c r="K1459" s="2" t="n">
        <x:v>1</x:v>
      </x:c>
      <x:c r="L1459" s="13" t="b">
        <x:v>0</x:v>
      </x:c>
      <x:c r="M1459" s="13" t="b">
        <x:v>1</x:v>
      </x:c>
      <x:c r="N1459" s="2" t="str">
        <x:v>historical_GHSL_BU_estimate</x:v>
      </x:c>
      <x:c r="O1459" s="2" t="str"/>
      <x:c r="P1459" s="2" t="str">
        <x:v>horizontal built-up surface</x:v>
      </x:c>
      <x:c r="Q1459" s="2" t="str">
        <x:v>m2</x:v>
      </x:c>
      <x:c r="R1459" s="17" t="n">
        <x:v>784416303.7992927</x:v>
      </x:c>
      <x:c r="S1459" s="17" t="n">
        <x:v>599114028.81</x:v>
      </x:c>
      <x:c r="T1459" s="18" t="n">
        <x:v>0.9999999999999982</x:v>
      </x:c>
      <x:c r="U1459" s="17" t="n">
        <x:v>599114028.8099989</x:v>
      </x:c>
      <x:c r="V1459" s="2" t="str">
        <x:v>Area equivalent = model2020 * WUP surface / TEMPO2020 footprint; km2 multiplied by1e6 once</x:v>
      </x:c>
      <x:c r="W1459" s="2" t="str">
        <x:v>L1_numeric_partition_qualified_not_national_completeness</x:v>
      </x:c>
      <x:c r="X1459" s="2" t="str">
        <x:v>https://human-settlement.emergency.copernicus.eu/datasets.php</x:v>
      </x:c>
    </x:row>
    <x:row r="1460" ht="23" customHeight="1">
      <x:c r="A1460" s="2" t="str">
        <x:v>GUY</x:v>
      </x:c>
      <x:c r="B1460" s="2" t="str">
        <x:v>Guyana (Co-operative Republic of)</x:v>
      </x:c>
      <x:c r="C1460" s="2" t="n">
        <x:v>2015</x:v>
      </x:c>
      <x:c r="D1460" s="2" t="str">
        <x:v>WUP_SURFACE</x:v>
      </x:c>
      <x:c r="E1460" s="17" t="n">
        <x:v>44014828.67558784</x:v>
      </x:c>
      <x:c r="F1460" s="17" t="n">
        <x:f>IF(AND(M1460,ISNUMBER(R1460)),IF(D1460="TEMPO_PROXY",R1460,IF(AND(ISNUMBER(S1460),S1460&gt;0,ISNUMBER(U1460)),U1460*R1460/S1460,"n.a.")),"n.a.")</x:f>
        <x:v>56377560.000059836</x:v>
      </x:c>
      <x:c r="G1460" s="17" t="n">
        <x:f>IF(AND(ISNUMBER(E1460),ISNUMBER(F1460)),E1460-F1460,"n.a.")</x:f>
        <x:v>-12362731.324471995</x:v>
      </x:c>
      <x:c r="H1460" s="15" t="n">
        <x:f>IF(AND(ISNUMBER(E1460),ISNUMBER(F1460),F1460&gt;0),(E1460-F1460)/F1460,"n.a.")</x:f>
        <x:v>-0.2192846111903189</x:v>
      </x:c>
      <x:c r="I1460" s="19" t="n">
        <x:f>IF(ISNUMBER(H1460),ABS(H1460),"n.a.")</x:f>
        <x:v>0.2192846111903189</x:v>
      </x:c>
      <x:c r="J1460" s="2" t="str">
        <x:v>available</x:v>
      </x:c>
      <x:c r="K1460" s="2" t="n">
        <x:v>1</x:v>
      </x:c>
      <x:c r="L1460" s="13" t="b">
        <x:v>0</x:v>
      </x:c>
      <x:c r="M1460" s="13" t="b">
        <x:v>1</x:v>
      </x:c>
      <x:c r="N1460" s="2" t="str">
        <x:v>historical_GHSL_BU_estimate</x:v>
      </x:c>
      <x:c r="O1460" s="2" t="str"/>
      <x:c r="P1460" s="2" t="str">
        <x:v>horizontal built-up surface</x:v>
      </x:c>
      <x:c r="Q1460" s="2" t="str">
        <x:v>m2</x:v>
      </x:c>
      <x:c r="R1460" s="17" t="n">
        <x:v>56377560.000059806</x:v>
      </x:c>
      <x:c r="S1460" s="17" t="n">
        <x:v>46462035.66</x:v>
      </x:c>
      <x:c r="T1460" s="18" t="n">
        <x:v>1.0000000000000004</x:v>
      </x:c>
      <x:c r="U1460" s="17" t="n">
        <x:v>46462035.66000002</x:v>
      </x:c>
      <x:c r="V1460" s="2" t="str">
        <x:v>Area equivalent = model2020 * WUP surface / TEMPO2020 footprint; km2 multiplied by1e6 once</x:v>
      </x:c>
      <x:c r="W1460" s="2" t="str">
        <x:v>L1_numeric_partition_qualified_not_national_completeness</x:v>
      </x:c>
      <x:c r="X1460" s="2" t="str">
        <x:v>https://human-settlement.emergency.copernicus.eu/datasets.php</x:v>
      </x:c>
    </x:row>
    <x:row r="1461" ht="23" customHeight="1">
      <x:c r="A1461" s="2" t="str">
        <x:v>HND</x:v>
      </x:c>
      <x:c r="B1461" s="2" t="str">
        <x:v>Honduras (Republic of)</x:v>
      </x:c>
      <x:c r="C1461" s="2" t="n">
        <x:v>2015</x:v>
      </x:c>
      <x:c r="D1461" s="2" t="str">
        <x:v>WUP_SURFACE</x:v>
      </x:c>
      <x:c r="E1461" s="17" t="n">
        <x:v>261857176.83585</x:v>
      </x:c>
      <x:c r="F1461" s="17" t="n">
        <x:f>IF(AND(M1461,ISNUMBER(R1461)),IF(D1461="TEMPO_PROXY",R1461,IF(AND(ISNUMBER(S1461),S1461&gt;0,ISNUMBER(U1461)),U1461*R1461/S1461,"n.a.")),"n.a.")</x:f>
        <x:v>445333492.02709216</x:v>
      </x:c>
      <x:c r="G1461" s="17" t="n">
        <x:f>IF(AND(ISNUMBER(E1461),ISNUMBER(F1461)),E1461-F1461,"n.a.")</x:f>
        <x:v>-183476315.19124216</x:v>
      </x:c>
      <x:c r="H1461" s="15" t="n">
        <x:f>IF(AND(ISNUMBER(E1461),ISNUMBER(F1461),F1461&gt;0),(E1461-F1461)/F1461,"n.a.")</x:f>
        <x:v>-0.41199756693817285</x:v>
      </x:c>
      <x:c r="I1461" s="19" t="n">
        <x:f>IF(ISNUMBER(H1461),ABS(H1461),"n.a.")</x:f>
        <x:v>0.41199756693817285</x:v>
      </x:c>
      <x:c r="J1461" s="2" t="str">
        <x:v>available</x:v>
      </x:c>
      <x:c r="K1461" s="2" t="n">
        <x:v>1</x:v>
      </x:c>
      <x:c r="L1461" s="13" t="b">
        <x:v>0</x:v>
      </x:c>
      <x:c r="M1461" s="13" t="b">
        <x:v>1</x:v>
      </x:c>
      <x:c r="N1461" s="2" t="str">
        <x:v>historical_GHSL_BU_estimate</x:v>
      </x:c>
      <x:c r="O1461" s="2" t="str"/>
      <x:c r="P1461" s="2" t="str">
        <x:v>horizontal built-up surface</x:v>
      </x:c>
      <x:c r="Q1461" s="2" t="str">
        <x:v>m2</x:v>
      </x:c>
      <x:c r="R1461" s="17" t="n">
        <x:v>445333492.0270918</x:v>
      </x:c>
      <x:c r="S1461" s="17" t="n">
        <x:v>335660713.27</x:v>
      </x:c>
      <x:c r="T1461" s="18" t="n">
        <x:v>1.0000000000000007</x:v>
      </x:c>
      <x:c r="U1461" s="17" t="n">
        <x:v>335660713.2700002</x:v>
      </x:c>
      <x:c r="V1461" s="2" t="str">
        <x:v>Area equivalent = model2020 * WUP surface / TEMPO2020 footprint; km2 multiplied by1e6 once</x:v>
      </x:c>
      <x:c r="W1461" s="2" t="str">
        <x:v>L1_numeric_partition_qualified_not_national_completeness</x:v>
      </x:c>
      <x:c r="X1461" s="2" t="str">
        <x:v>https://human-settlement.emergency.copernicus.eu/datasets.php</x:v>
      </x:c>
    </x:row>
    <x:row r="1462" ht="23" customHeight="1">
      <x:c r="A1462" s="2" t="str">
        <x:v>HRV</x:v>
      </x:c>
      <x:c r="B1462" s="2" t="str">
        <x:v>Croatia (Republic of)</x:v>
      </x:c>
      <x:c r="C1462" s="2" t="n">
        <x:v>2015</x:v>
      </x:c>
      <x:c r="D1462" s="2" t="str">
        <x:v>WUP_SURFACE</x:v>
      </x:c>
      <x:c r="E1462" s="17" t="n">
        <x:v>344650373.6507369</x:v>
      </x:c>
      <x:c r="F1462" s="17" t="n">
        <x:f>IF(AND(M1462,ISNUMBER(R1462)),IF(D1462="TEMPO_PROXY",R1462,IF(AND(ISNUMBER(S1462),S1462&gt;0,ISNUMBER(U1462)),U1462*R1462/S1462,"n.a.")),"n.a.")</x:f>
        <x:v>489479306.13146824</x:v>
      </x:c>
      <x:c r="G1462" s="17" t="n">
        <x:f>IF(AND(ISNUMBER(E1462),ISNUMBER(F1462)),E1462-F1462,"n.a.")</x:f>
        <x:v>-144828932.4807313</x:v>
      </x:c>
      <x:c r="H1462" s="15" t="n">
        <x:f>IF(AND(ISNUMBER(E1462),ISNUMBER(F1462),F1462&gt;0),(E1462-F1462)/F1462,"n.a.")</x:f>
        <x:v>-0.2958836679437312</x:v>
      </x:c>
      <x:c r="I1462" s="19" t="n">
        <x:f>IF(ISNUMBER(H1462),ABS(H1462),"n.a.")</x:f>
        <x:v>0.2958836679437312</x:v>
      </x:c>
      <x:c r="J1462" s="2" t="str">
        <x:v>available</x:v>
      </x:c>
      <x:c r="K1462" s="2" t="n">
        <x:v>1</x:v>
      </x:c>
      <x:c r="L1462" s="13" t="b">
        <x:v>0</x:v>
      </x:c>
      <x:c r="M1462" s="13" t="b">
        <x:v>1</x:v>
      </x:c>
      <x:c r="N1462" s="2" t="str">
        <x:v>historical_GHSL_BU_estimate</x:v>
      </x:c>
      <x:c r="O1462" s="2" t="str"/>
      <x:c r="P1462" s="2" t="str">
        <x:v>horizontal built-up surface</x:v>
      </x:c>
      <x:c r="Q1462" s="2" t="str">
        <x:v>m2</x:v>
      </x:c>
      <x:c r="R1462" s="17" t="n">
        <x:v>489479306.131469</x:v>
      </x:c>
      <x:c r="S1462" s="17" t="n">
        <x:v>361520718.43</x:v>
      </x:c>
      <x:c r="T1462" s="18" t="n">
        <x:v>0.9999999999999983</x:v>
      </x:c>
      <x:c r="U1462" s="17" t="n">
        <x:v>361520718.4299994</x:v>
      </x:c>
      <x:c r="V1462" s="2" t="str">
        <x:v>Area equivalent = model2020 * WUP surface / TEMPO2020 footprint; km2 multiplied by1e6 once</x:v>
      </x:c>
      <x:c r="W1462" s="2" t="str">
        <x:v>L1_numeric_partition_qualified_not_national_completeness</x:v>
      </x:c>
      <x:c r="X1462" s="2" t="str">
        <x:v>https://human-settlement.emergency.copernicus.eu/datasets.php</x:v>
      </x:c>
    </x:row>
    <x:row r="1463" ht="23" customHeight="1">
      <x:c r="A1463" s="2" t="str">
        <x:v>HTI</x:v>
      </x:c>
      <x:c r="B1463" s="2" t="str">
        <x:v>Haiti (Republic of)</x:v>
      </x:c>
      <x:c r="C1463" s="2" t="n">
        <x:v>2015</x:v>
      </x:c>
      <x:c r="D1463" s="2" t="str">
        <x:v>WUP_SURFACE</x:v>
      </x:c>
      <x:c r="E1463" s="17" t="n">
        <x:v>157168330.99131426</x:v>
      </x:c>
      <x:c r="F1463" s="17" t="n">
        <x:f>IF(AND(M1463,ISNUMBER(R1463)),IF(D1463="TEMPO_PROXY",R1463,IF(AND(ISNUMBER(S1463),S1463&gt;0,ISNUMBER(U1463)),U1463*R1463/S1463,"n.a.")),"n.a.")</x:f>
        <x:v>245692830.0309818</x:v>
      </x:c>
      <x:c r="G1463" s="17" t="n">
        <x:f>IF(AND(ISNUMBER(E1463),ISNUMBER(F1463)),E1463-F1463,"n.a.")</x:f>
        <x:v>-88524499.03966755</x:v>
      </x:c>
      <x:c r="H1463" s="15" t="n">
        <x:f>IF(AND(ISNUMBER(E1463),ISNUMBER(F1463),F1463&gt;0),(E1463-F1463)/F1463,"n.a.")</x:f>
        <x:v>-0.36030558575317245</x:v>
      </x:c>
      <x:c r="I1463" s="19" t="n">
        <x:f>IF(ISNUMBER(H1463),ABS(H1463),"n.a.")</x:f>
        <x:v>0.36030558575317245</x:v>
      </x:c>
      <x:c r="J1463" s="2" t="str">
        <x:v>available</x:v>
      </x:c>
      <x:c r="K1463" s="2" t="n">
        <x:v>1</x:v>
      </x:c>
      <x:c r="L1463" s="13" t="b">
        <x:v>0</x:v>
      </x:c>
      <x:c r="M1463" s="13" t="b">
        <x:v>1</x:v>
      </x:c>
      <x:c r="N1463" s="2" t="str">
        <x:v>historical_GHSL_BU_estimate</x:v>
      </x:c>
      <x:c r="O1463" s="2" t="str"/>
      <x:c r="P1463" s="2" t="str">
        <x:v>horizontal built-up surface</x:v>
      </x:c>
      <x:c r="Q1463" s="2" t="str">
        <x:v>m2</x:v>
      </x:c>
      <x:c r="R1463" s="17" t="n">
        <x:v>245692830.03098154</x:v>
      </x:c>
      <x:c r="S1463" s="17" t="n">
        <x:v>189002396.54</x:v>
      </x:c>
      <x:c r="T1463" s="18" t="n">
        <x:v>1.000000000000001</x:v>
      </x:c>
      <x:c r="U1463" s="17" t="n">
        <x:v>189002396.5400002</x:v>
      </x:c>
      <x:c r="V1463" s="2" t="str">
        <x:v>Area equivalent = model2020 * WUP surface / TEMPO2020 footprint; km2 multiplied by1e6 once</x:v>
      </x:c>
      <x:c r="W1463" s="2" t="str">
        <x:v>L1_numeric_partition_qualified_not_national_completeness</x:v>
      </x:c>
      <x:c r="X1463" s="2" t="str">
        <x:v>https://human-settlement.emergency.copernicus.eu/datasets.php</x:v>
      </x:c>
    </x:row>
    <x:row r="1464" ht="23" customHeight="1">
      <x:c r="A1464" s="2" t="str">
        <x:v>HUN</x:v>
      </x:c>
      <x:c r="B1464" s="2" t="str">
        <x:v>Hungary</x:v>
      </x:c>
      <x:c r="C1464" s="2" t="n">
        <x:v>2015</x:v>
      </x:c>
      <x:c r="D1464" s="2" t="str">
        <x:v>WUP_SURFACE</x:v>
      </x:c>
      <x:c r="E1464" s="17" t="n">
        <x:v>820761043.9030477</x:v>
      </x:c>
      <x:c r="F1464" s="17" t="n">
        <x:f>IF(AND(M1464,ISNUMBER(R1464)),IF(D1464="TEMPO_PROXY",R1464,IF(AND(ISNUMBER(S1464),S1464&gt;0,ISNUMBER(U1464)),U1464*R1464/S1464,"n.a.")),"n.a.")</x:f>
        <x:v>1250548922.3993187</x:v>
      </x:c>
      <x:c r="G1464" s="17" t="n">
        <x:f>IF(AND(ISNUMBER(E1464),ISNUMBER(F1464)),E1464-F1464,"n.a.")</x:f>
        <x:v>-429787878.496271</x:v>
      </x:c>
      <x:c r="H1464" s="15" t="n">
        <x:f>IF(AND(ISNUMBER(E1464),ISNUMBER(F1464),F1464&gt;0),(E1464-F1464)/F1464,"n.a.")</x:f>
        <x:v>-0.3436793801490586</x:v>
      </x:c>
      <x:c r="I1464" s="19" t="n">
        <x:f>IF(ISNUMBER(H1464),ABS(H1464),"n.a.")</x:f>
        <x:v>0.3436793801490586</x:v>
      </x:c>
      <x:c r="J1464" s="2" t="str">
        <x:v>available</x:v>
      </x:c>
      <x:c r="K1464" s="2" t="n">
        <x:v>1</x:v>
      </x:c>
      <x:c r="L1464" s="13" t="b">
        <x:v>0</x:v>
      </x:c>
      <x:c r="M1464" s="13" t="b">
        <x:v>1</x:v>
      </x:c>
      <x:c r="N1464" s="2" t="str">
        <x:v>historical_GHSL_BU_estimate</x:v>
      </x:c>
      <x:c r="O1464" s="2" t="str"/>
      <x:c r="P1464" s="2" t="str">
        <x:v>horizontal built-up surface</x:v>
      </x:c>
      <x:c r="Q1464" s="2" t="str">
        <x:v>m2</x:v>
      </x:c>
      <x:c r="R1464" s="17" t="n">
        <x:v>1250548922.3993168</x:v>
      </x:c>
      <x:c r="S1464" s="17" t="n">
        <x:v>853072780.53</x:v>
      </x:c>
      <x:c r="T1464" s="18" t="n">
        <x:v>1.0000000000000016</x:v>
      </x:c>
      <x:c r="U1464" s="17" t="n">
        <x:v>853072780.5300013</x:v>
      </x:c>
      <x:c r="V1464" s="2" t="str">
        <x:v>Area equivalent = model2020 * WUP surface / TEMPO2020 footprint; km2 multiplied by1e6 once</x:v>
      </x:c>
      <x:c r="W1464" s="2" t="str">
        <x:v>L1_numeric_partition_qualified_not_national_completeness</x:v>
      </x:c>
      <x:c r="X1464" s="2" t="str">
        <x:v>https://human-settlement.emergency.copernicus.eu/datasets.php</x:v>
      </x:c>
    </x:row>
    <x:row r="1465" ht="23" customHeight="1">
      <x:c r="A1465" s="2" t="str">
        <x:v>IDN</x:v>
      </x:c>
      <x:c r="B1465" s="2" t="str">
        <x:v>Indonesia (Republic of)</x:v>
      </x:c>
      <x:c r="C1465" s="2" t="n">
        <x:v>2015</x:v>
      </x:c>
      <x:c r="D1465" s="2" t="str">
        <x:v>WUP_SURFACE</x:v>
      </x:c>
      <x:c r="E1465" s="17" t="n">
        <x:v>10348556797.890797</x:v>
      </x:c>
      <x:c r="F1465" s="17" t="n">
        <x:f>IF(AND(M1465,ISNUMBER(R1465)),IF(D1465="TEMPO_PROXY",R1465,IF(AND(ISNUMBER(S1465),S1465&gt;0,ISNUMBER(U1465)),U1465*R1465/S1465,"n.a.")),"n.a.")</x:f>
        <x:v>10196626039.603256</x:v>
      </x:c>
      <x:c r="G1465" s="17" t="n">
        <x:f>IF(AND(ISNUMBER(E1465),ISNUMBER(F1465)),E1465-F1465,"n.a.")</x:f>
        <x:v>151930758.28754044</x:v>
      </x:c>
      <x:c r="H1465" s="15" t="n">
        <x:f>IF(AND(ISNUMBER(E1465),ISNUMBER(F1465),F1465&gt;0),(E1465-F1465)/F1465,"n.a.")</x:f>
        <x:v>0.014900101042977149</x:v>
      </x:c>
      <x:c r="I1465" s="19" t="n">
        <x:f>IF(ISNUMBER(H1465),ABS(H1465),"n.a.")</x:f>
        <x:v>0.014900101042977149</x:v>
      </x:c>
      <x:c r="J1465" s="2" t="str">
        <x:v>available</x:v>
      </x:c>
      <x:c r="K1465" s="2" t="n">
        <x:v>1</x:v>
      </x:c>
      <x:c r="L1465" s="13" t="b">
        <x:v>0</x:v>
      </x:c>
      <x:c r="M1465" s="13" t="b">
        <x:v>1</x:v>
      </x:c>
      <x:c r="N1465" s="2" t="str">
        <x:v>historical_GHSL_BU_estimate</x:v>
      </x:c>
      <x:c r="O1465" s="2" t="str"/>
      <x:c r="P1465" s="2" t="str">
        <x:v>horizontal built-up surface</x:v>
      </x:c>
      <x:c r="Q1465" s="2" t="str">
        <x:v>m2</x:v>
      </x:c>
      <x:c r="R1465" s="17" t="n">
        <x:v>10196626039.60327</x:v>
      </x:c>
      <x:c r="S1465" s="17" t="n">
        <x:v>10794355074.09</x:v>
      </x:c>
      <x:c r="T1465" s="18" t="n">
        <x:v>0.9999999999999986</x:v>
      </x:c>
      <x:c r="U1465" s="17" t="n">
        <x:v>10794355074.089985</x:v>
      </x:c>
      <x:c r="V1465" s="2" t="str">
        <x:v>Area equivalent = model2020 * WUP surface / TEMPO2020 footprint; km2 multiplied by1e6 once</x:v>
      </x:c>
      <x:c r="W1465" s="2" t="str">
        <x:v>L1_numeric_partition_qualified_not_national_completeness</x:v>
      </x:c>
      <x:c r="X1465" s="2" t="str">
        <x:v>https://human-settlement.emergency.copernicus.eu/datasets.php</x:v>
      </x:c>
    </x:row>
    <x:row r="1466" ht="23" customHeight="1">
      <x:c r="A1466" s="2" t="str">
        <x:v>IND</x:v>
      </x:c>
      <x:c r="B1466" s="2" t="str">
        <x:v>India (Republic of)</x:v>
      </x:c>
      <x:c r="C1466" s="2" t="n">
        <x:v>2015</x:v>
      </x:c>
      <x:c r="D1466" s="2" t="str">
        <x:v>WUP_SURFACE</x:v>
      </x:c>
      <x:c r="E1466" s="17" t="n">
        <x:v>23332628208.733402</x:v>
      </x:c>
      <x:c r="F1466" s="17" t="n">
        <x:f>IF(AND(M1466,ISNUMBER(R1466)),IF(D1466="TEMPO_PROXY",R1466,IF(AND(ISNUMBER(S1466),S1466&gt;0,ISNUMBER(U1466)),U1466*R1466/S1466,"n.a.")),"n.a.")</x:f>
        <x:v>32379513085.24508</x:v>
      </x:c>
      <x:c r="G1466" s="17" t="n">
        <x:f>IF(AND(ISNUMBER(E1466),ISNUMBER(F1466)),E1466-F1466,"n.a.")</x:f>
        <x:v>-9046884876.511677</x:v>
      </x:c>
      <x:c r="H1466" s="15" t="n">
        <x:f>IF(AND(ISNUMBER(E1466),ISNUMBER(F1466),F1466&gt;0),(E1466-F1466)/F1466,"n.a.")</x:f>
        <x:v>-0.2794015108471234</x:v>
      </x:c>
      <x:c r="I1466" s="19" t="n">
        <x:f>IF(ISNUMBER(H1466),ABS(H1466),"n.a.")</x:f>
        <x:v>0.2794015108471234</x:v>
      </x:c>
      <x:c r="J1466" s="2" t="str">
        <x:v>available</x:v>
      </x:c>
      <x:c r="K1466" s="2" t="n">
        <x:v>1</x:v>
      </x:c>
      <x:c r="L1466" s="13" t="b">
        <x:v>0</x:v>
      </x:c>
      <x:c r="M1466" s="13" t="b">
        <x:v>1</x:v>
      </x:c>
      <x:c r="N1466" s="2" t="str">
        <x:v>historical_GHSL_BU_estimate</x:v>
      </x:c>
      <x:c r="O1466" s="2" t="str"/>
      <x:c r="P1466" s="2" t="str">
        <x:v>horizontal built-up surface</x:v>
      </x:c>
      <x:c r="Q1466" s="2" t="str">
        <x:v>m2</x:v>
      </x:c>
      <x:c r="R1466" s="17" t="n">
        <x:v>32379513085.24503</x:v>
      </x:c>
      <x:c r="S1466" s="17" t="n">
        <x:v>27853638424.04</x:v>
      </x:c>
      <x:c r="T1466" s="18" t="n">
        <x:v>1.0000000000000016</x:v>
      </x:c>
      <x:c r="U1466" s="17" t="n">
        <x:v>27853638424.040043</x:v>
      </x:c>
      <x:c r="V1466" s="2" t="str">
        <x:v>Area equivalent = model2020 * WUP surface / TEMPO2020 footprint; km2 multiplied by1e6 once</x:v>
      </x:c>
      <x:c r="W1466" s="2" t="str">
        <x:v>L1_numeric_partition_qualified_not_national_completeness</x:v>
      </x:c>
      <x:c r="X1466" s="2" t="str">
        <x:v>https://human-settlement.emergency.copernicus.eu/datasets.php</x:v>
      </x:c>
    </x:row>
    <x:row r="1467" ht="23" customHeight="1">
      <x:c r="A1467" s="2" t="str">
        <x:v>IRL</x:v>
      </x:c>
      <x:c r="B1467" s="2" t="str">
        <x:v>Ireland</x:v>
      </x:c>
      <x:c r="C1467" s="2" t="n">
        <x:v>2015</x:v>
      </x:c>
      <x:c r="D1467" s="2" t="str">
        <x:v>WUP_SURFACE</x:v>
      </x:c>
      <x:c r="E1467" s="17" t="n">
        <x:v>405777737.91803694</x:v>
      </x:c>
      <x:c r="F1467" s="17" t="n">
        <x:f>IF(AND(M1467,ISNUMBER(R1467)),IF(D1467="TEMPO_PROXY",R1467,IF(AND(ISNUMBER(S1467),S1467&gt;0,ISNUMBER(U1467)),U1467*R1467/S1467,"n.a.")),"n.a.")</x:f>
        <x:v>704706728.9706868</x:v>
      </x:c>
      <x:c r="G1467" s="17" t="n">
        <x:f>IF(AND(ISNUMBER(E1467),ISNUMBER(F1467)),E1467-F1467,"n.a.")</x:f>
        <x:v>-298928991.05264986</x:v>
      </x:c>
      <x:c r="H1467" s="15" t="n">
        <x:f>IF(AND(ISNUMBER(E1467),ISNUMBER(F1467),F1467&gt;0),(E1467-F1467)/F1467,"n.a.")</x:f>
        <x:v>-0.42418921058022735</x:v>
      </x:c>
      <x:c r="I1467" s="19" t="n">
        <x:f>IF(ISNUMBER(H1467),ABS(H1467),"n.a.")</x:f>
        <x:v>0.42418921058022735</x:v>
      </x:c>
      <x:c r="J1467" s="2" t="str">
        <x:v>available</x:v>
      </x:c>
      <x:c r="K1467" s="2" t="n">
        <x:v>1</x:v>
      </x:c>
      <x:c r="L1467" s="13" t="b">
        <x:v>0</x:v>
      </x:c>
      <x:c r="M1467" s="13" t="b">
        <x:v>1</x:v>
      </x:c>
      <x:c r="N1467" s="2" t="str">
        <x:v>historical_GHSL_BU_estimate</x:v>
      </x:c>
      <x:c r="O1467" s="2" t="str"/>
      <x:c r="P1467" s="2" t="str">
        <x:v>horizontal built-up surface</x:v>
      </x:c>
      <x:c r="Q1467" s="2" t="str">
        <x:v>m2</x:v>
      </x:c>
      <x:c r="R1467" s="17" t="n">
        <x:v>704706728.9706872</x:v>
      </x:c>
      <x:c r="S1467" s="17" t="n">
        <x:v>426553619.4</x:v>
      </x:c>
      <x:c r="T1467" s="18" t="n">
        <x:v>0.9999999999999994</x:v>
      </x:c>
      <x:c r="U1467" s="17" t="n">
        <x:v>426553619.39999974</x:v>
      </x:c>
      <x:c r="V1467" s="2" t="str">
        <x:v>Area equivalent = model2020 * WUP surface / TEMPO2020 footprint; km2 multiplied by1e6 once</x:v>
      </x:c>
      <x:c r="W1467" s="2" t="str">
        <x:v>L1_numeric_partition_qualified_not_national_completeness</x:v>
      </x:c>
      <x:c r="X1467" s="2" t="str">
        <x:v>https://human-settlement.emergency.copernicus.eu/datasets.php</x:v>
      </x:c>
    </x:row>
    <x:row r="1468" ht="23" customHeight="1">
      <x:c r="A1468" s="2" t="str">
        <x:v>IRN</x:v>
      </x:c>
      <x:c r="B1468" s="2" t="str">
        <x:v>Iran (Islamic Republic of)</x:v>
      </x:c>
      <x:c r="C1468" s="2" t="n">
        <x:v>2015</x:v>
      </x:c>
      <x:c r="D1468" s="2" t="str">
        <x:v>WUP_SURFACE</x:v>
      </x:c>
      <x:c r="E1468" s="17" t="n">
        <x:v>3491042780.907833</x:v>
      </x:c>
      <x:c r="F1468" s="17" t="n">
        <x:f>IF(AND(M1468,ISNUMBER(R1468)),IF(D1468="TEMPO_PROXY",R1468,IF(AND(ISNUMBER(S1468),S1468&gt;0,ISNUMBER(U1468)),U1468*R1468/S1468,"n.a.")),"n.a.")</x:f>
        <x:v>4007780174.382191</x:v>
      </x:c>
      <x:c r="G1468" s="17" t="n">
        <x:f>IF(AND(ISNUMBER(E1468),ISNUMBER(F1468)),E1468-F1468,"n.a.")</x:f>
        <x:v>-516737393.4743581</x:v>
      </x:c>
      <x:c r="H1468" s="15" t="n">
        <x:f>IF(AND(ISNUMBER(E1468),ISNUMBER(F1468),F1468&gt;0),(E1468-F1468)/F1468,"n.a.")</x:f>
        <x:v>-0.128933566959923</x:v>
      </x:c>
      <x:c r="I1468" s="19" t="n">
        <x:f>IF(ISNUMBER(H1468),ABS(H1468),"n.a.")</x:f>
        <x:v>0.128933566959923</x:v>
      </x:c>
      <x:c r="J1468" s="2" t="str">
        <x:v>available</x:v>
      </x:c>
      <x:c r="K1468" s="2" t="n">
        <x:v>1</x:v>
      </x:c>
      <x:c r="L1468" s="13" t="b">
        <x:v>0</x:v>
      </x:c>
      <x:c r="M1468" s="13" t="b">
        <x:v>1</x:v>
      </x:c>
      <x:c r="N1468" s="2" t="str">
        <x:v>historical_GHSL_BU_estimate</x:v>
      </x:c>
      <x:c r="O1468" s="2" t="str"/>
      <x:c r="P1468" s="2" t="str">
        <x:v>horizontal built-up surface</x:v>
      </x:c>
      <x:c r="Q1468" s="2" t="str">
        <x:v>m2</x:v>
      </x:c>
      <x:c r="R1468" s="17" t="n">
        <x:v>3945880706.881346</x:v>
      </x:c>
      <x:c r="S1468" s="17" t="n">
        <x:v>3695850551.99</x:v>
      </x:c>
      <x:c r="T1468" s="18" t="n">
        <x:v>1.0156871107108982</x:v>
      </x:c>
      <x:c r="U1468" s="17" t="n">
        <x:v>3753827768.770001</x:v>
      </x:c>
      <x:c r="V1468" s="2" t="str">
        <x:v>Area equivalent = model2020 * WUP surface / TEMPO2020 footprint; km2 multiplied by1e6 once</x:v>
      </x:c>
      <x:c r="W1468" s="2" t="str">
        <x:v>L1_numeric_partition_qualified_not_national_completeness</x:v>
      </x:c>
      <x:c r="X1468" s="2" t="str">
        <x:v>https://human-settlement.emergency.copernicus.eu/datasets.php</x:v>
      </x:c>
    </x:row>
    <x:row r="1469" ht="23" customHeight="1">
      <x:c r="A1469" s="2" t="str">
        <x:v>IRQ</x:v>
      </x:c>
      <x:c r="B1469" s="2" t="str">
        <x:v>Iraq (Republic of)</x:v>
      </x:c>
      <x:c r="C1469" s="2" t="n">
        <x:v>2015</x:v>
      </x:c>
      <x:c r="D1469" s="2" t="str">
        <x:v>WUP_SURFACE</x:v>
      </x:c>
      <x:c r="E1469" s="17" t="n">
        <x:v>1135556484.5551572</x:v>
      </x:c>
      <x:c r="F1469" s="17" t="n">
        <x:f>IF(AND(M1469,ISNUMBER(R1469)),IF(D1469="TEMPO_PROXY",R1469,IF(AND(ISNUMBER(S1469),S1469&gt;0,ISNUMBER(U1469)),U1469*R1469/S1469,"n.a.")),"n.a.")</x:f>
        <x:v>1472933905.7674973</x:v>
      </x:c>
      <x:c r="G1469" s="17" t="n">
        <x:f>IF(AND(ISNUMBER(E1469),ISNUMBER(F1469)),E1469-F1469,"n.a.")</x:f>
        <x:v>-337377421.2123401</x:v>
      </x:c>
      <x:c r="H1469" s="15" t="n">
        <x:f>IF(AND(ISNUMBER(E1469),ISNUMBER(F1469),F1469&gt;0),(E1469-F1469)/F1469,"n.a.")</x:f>
        <x:v>-0.22905129679701675</x:v>
      </x:c>
      <x:c r="I1469" s="19" t="n">
        <x:f>IF(ISNUMBER(H1469),ABS(H1469),"n.a.")</x:f>
        <x:v>0.22905129679701675</x:v>
      </x:c>
      <x:c r="J1469" s="2" t="str">
        <x:v>available</x:v>
      </x:c>
      <x:c r="K1469" s="2" t="n">
        <x:v>1</x:v>
      </x:c>
      <x:c r="L1469" s="13" t="b">
        <x:v>0</x:v>
      </x:c>
      <x:c r="M1469" s="13" t="b">
        <x:v>1</x:v>
      </x:c>
      <x:c r="N1469" s="2" t="str">
        <x:v>historical_GHSL_BU_estimate</x:v>
      </x:c>
      <x:c r="O1469" s="2" t="str"/>
      <x:c r="P1469" s="2" t="str">
        <x:v>horizontal built-up surface</x:v>
      </x:c>
      <x:c r="Q1469" s="2" t="str">
        <x:v>m2</x:v>
      </x:c>
      <x:c r="R1469" s="17" t="n">
        <x:v>1472933905.7674959</x:v>
      </x:c>
      <x:c r="S1469" s="17" t="n">
        <x:v>1226955244.87</x:v>
      </x:c>
      <x:c r="T1469" s="18" t="n">
        <x:v>1.0000000000000009</x:v>
      </x:c>
      <x:c r="U1469" s="17" t="n">
        <x:v>1226955244.870001</x:v>
      </x:c>
      <x:c r="V1469" s="2" t="str">
        <x:v>Area equivalent = model2020 * WUP surface / TEMPO2020 footprint; km2 multiplied by1e6 once</x:v>
      </x:c>
      <x:c r="W1469" s="2" t="str">
        <x:v>L1_numeric_partition_qualified_not_national_completeness</x:v>
      </x:c>
      <x:c r="X1469" s="2" t="str">
        <x:v>https://human-settlement.emergency.copernicus.eu/datasets.php</x:v>
      </x:c>
    </x:row>
    <x:row r="1470" ht="23" customHeight="1">
      <x:c r="A1470" s="2" t="str">
        <x:v>ISL</x:v>
      </x:c>
      <x:c r="B1470" s="2" t="str">
        <x:v>Iceland</x:v>
      </x:c>
      <x:c r="C1470" s="2" t="n">
        <x:v>2015</x:v>
      </x:c>
      <x:c r="D1470" s="2" t="str">
        <x:v>WUP_SURFACE</x:v>
      </x:c>
      <x:c r="E1470" s="17" t="n">
        <x:v>25861968.358574174</x:v>
      </x:c>
      <x:c r="F1470" s="17" t="n">
        <x:f>IF(AND(M1470,ISNUMBER(R1470)),IF(D1470="TEMPO_PROXY",R1470,IF(AND(ISNUMBER(S1470),S1470&gt;0,ISNUMBER(U1470)),U1470*R1470/S1470,"n.a.")),"n.a.")</x:f>
        <x:v>34672914.90878421</x:v>
      </x:c>
      <x:c r="G1470" s="17" t="n">
        <x:f>IF(AND(ISNUMBER(E1470),ISNUMBER(F1470)),E1470-F1470,"n.a.")</x:f>
        <x:v>-8810946.550210036</x:v>
      </x:c>
      <x:c r="H1470" s="15" t="n">
        <x:f>IF(AND(ISNUMBER(E1470),ISNUMBER(F1470),F1470&gt;0),(E1470-F1470)/F1470,"n.a.")</x:f>
        <x:v>-0.2541161183993165</x:v>
      </x:c>
      <x:c r="I1470" s="19" t="n">
        <x:f>IF(ISNUMBER(H1470),ABS(H1470),"n.a.")</x:f>
        <x:v>0.2541161183993165</x:v>
      </x:c>
      <x:c r="J1470" s="2" t="str">
        <x:v>available</x:v>
      </x:c>
      <x:c r="K1470" s="2" t="n">
        <x:v>1</x:v>
      </x:c>
      <x:c r="L1470" s="13" t="b">
        <x:v>0</x:v>
      </x:c>
      <x:c r="M1470" s="13" t="b">
        <x:v>1</x:v>
      </x:c>
      <x:c r="N1470" s="2" t="str">
        <x:v>historical_GHSL_BU_estimate</x:v>
      </x:c>
      <x:c r="O1470" s="2" t="str"/>
      <x:c r="P1470" s="2" t="str">
        <x:v>horizontal built-up surface</x:v>
      </x:c>
      <x:c r="Q1470" s="2" t="str">
        <x:v>m2</x:v>
      </x:c>
      <x:c r="R1470" s="17" t="n">
        <x:v>31732916.05043255</x:v>
      </x:c>
      <x:c r="S1470" s="17" t="n">
        <x:v>24141007.67</x:v>
      </x:c>
      <x:c r="T1470" s="18" t="n">
        <x:v>1.0926482411411282</x:v>
      </x:c>
      <x:c r="U1470" s="17" t="n">
        <x:v>26377629.56999999</x:v>
      </x:c>
      <x:c r="V1470" s="2" t="str">
        <x:v>Area equivalent = model2020 * WUP surface / TEMPO2020 footprint; km2 multiplied by1e6 once</x:v>
      </x:c>
      <x:c r="W1470" s="2" t="str">
        <x:v>L1_numeric_partition_qualified_not_national_completeness</x:v>
      </x:c>
      <x:c r="X1470" s="2" t="str">
        <x:v>https://human-settlement.emergency.copernicus.eu/datasets.php</x:v>
      </x:c>
    </x:row>
    <x:row r="1471" ht="23" customHeight="1">
      <x:c r="A1471" s="2" t="str">
        <x:v>ISR</x:v>
      </x:c>
      <x:c r="B1471" s="2" t="str">
        <x:v>Israel (State of)</x:v>
      </x:c>
      <x:c r="C1471" s="2" t="n">
        <x:v>2015</x:v>
      </x:c>
      <x:c r="D1471" s="2" t="str">
        <x:v>WUP_SURFACE</x:v>
      </x:c>
      <x:c r="E1471" s="17" t="n">
        <x:v>349771256.8497736</x:v>
      </x:c>
      <x:c r="F1471" s="17" t="n">
        <x:f>IF(AND(M1471,ISNUMBER(R1471)),IF(D1471="TEMPO_PROXY",R1471,IF(AND(ISNUMBER(S1471),S1471&gt;0,ISNUMBER(U1471)),U1471*R1471/S1471,"n.a.")),"n.a.")</x:f>
        <x:v>457365640.3716736</x:v>
      </x:c>
      <x:c r="G1471" s="17" t="n">
        <x:f>IF(AND(ISNUMBER(E1471),ISNUMBER(F1471)),E1471-F1471,"n.a.")</x:f>
        <x:v>-107594383.5219</x:v>
      </x:c>
      <x:c r="H1471" s="15" t="n">
        <x:f>IF(AND(ISNUMBER(E1471),ISNUMBER(F1471),F1471&gt;0),(E1471-F1471)/F1471,"n.a.")</x:f>
        <x:v>-0.23524806855728056</x:v>
      </x:c>
      <x:c r="I1471" s="19" t="n">
        <x:f>IF(ISNUMBER(H1471),ABS(H1471),"n.a.")</x:f>
        <x:v>0.23524806855728056</x:v>
      </x:c>
      <x:c r="J1471" s="2" t="str">
        <x:v>available</x:v>
      </x:c>
      <x:c r="K1471" s="2" t="n">
        <x:v>1</x:v>
      </x:c>
      <x:c r="L1471" s="13" t="b">
        <x:v>0</x:v>
      </x:c>
      <x:c r="M1471" s="13" t="b">
        <x:v>1</x:v>
      </x:c>
      <x:c r="N1471" s="2" t="str">
        <x:v>historical_GHSL_BU_estimate</x:v>
      </x:c>
      <x:c r="O1471" s="2" t="str"/>
      <x:c r="P1471" s="2" t="str">
        <x:v>horizontal built-up surface</x:v>
      </x:c>
      <x:c r="Q1471" s="2" t="str">
        <x:v>m2</x:v>
      </x:c>
      <x:c r="R1471" s="17" t="n">
        <x:v>438546683.08748806</x:v>
      </x:c>
      <x:c r="S1471" s="17" t="n">
        <x:v>357032950.94</x:v>
      </x:c>
      <x:c r="T1471" s="18" t="n">
        <x:v>1.0429120958154214</x:v>
      </x:c>
      <x:c r="U1471" s="17" t="n">
        <x:v>372353983.1399999</x:v>
      </x:c>
      <x:c r="V1471" s="2" t="str">
        <x:v>Area equivalent = model2020 * WUP surface / TEMPO2020 footprint; km2 multiplied by1e6 once</x:v>
      </x:c>
      <x:c r="W1471" s="2" t="str">
        <x:v>L1_numeric_partition_qualified_not_national_completeness</x:v>
      </x:c>
      <x:c r="X1471" s="2" t="str">
        <x:v>https://human-settlement.emergency.copernicus.eu/datasets.php</x:v>
      </x:c>
    </x:row>
    <x:row r="1472" ht="23" customHeight="1">
      <x:c r="A1472" s="2" t="str">
        <x:v>ITA</x:v>
      </x:c>
      <x:c r="B1472" s="2" t="str">
        <x:v>Italy (Italian Republic)</x:v>
      </x:c>
      <x:c r="C1472" s="2" t="n">
        <x:v>2015</x:v>
      </x:c>
      <x:c r="D1472" s="2" t="str">
        <x:v>WUP_SURFACE</x:v>
      </x:c>
      <x:c r="E1472" s="17" t="n">
        <x:v>4823889767.431577</x:v>
      </x:c>
      <x:c r="F1472" s="17" t="n">
        <x:f>IF(AND(M1472,ISNUMBER(R1472)),IF(D1472="TEMPO_PROXY",R1472,IF(AND(ISNUMBER(S1472),S1472&gt;0,ISNUMBER(U1472)),U1472*R1472/S1472,"n.a.")),"n.a.")</x:f>
        <x:v>7112618977.944598</x:v>
      </x:c>
      <x:c r="G1472" s="17" t="n">
        <x:f>IF(AND(ISNUMBER(E1472),ISNUMBER(F1472)),E1472-F1472,"n.a.")</x:f>
        <x:v>-2288729210.5130215</x:v>
      </x:c>
      <x:c r="H1472" s="15" t="n">
        <x:f>IF(AND(ISNUMBER(E1472),ISNUMBER(F1472),F1472&gt;0),(E1472-F1472)/F1472,"n.a.")</x:f>
        <x:v>-0.32178431286845305</x:v>
      </x:c>
      <x:c r="I1472" s="19" t="n">
        <x:f>IF(ISNUMBER(H1472),ABS(H1472),"n.a.")</x:f>
        <x:v>0.32178431286845305</x:v>
      </x:c>
      <x:c r="J1472" s="2" t="str">
        <x:v>available</x:v>
      </x:c>
      <x:c r="K1472" s="2" t="n">
        <x:v>1</x:v>
      </x:c>
      <x:c r="L1472" s="13" t="b">
        <x:v>0</x:v>
      </x:c>
      <x:c r="M1472" s="13" t="b">
        <x:v>1</x:v>
      </x:c>
      <x:c r="N1472" s="2" t="str">
        <x:v>historical_GHSL_BU_estimate</x:v>
      </x:c>
      <x:c r="O1472" s="2" t="str"/>
      <x:c r="P1472" s="2" t="str">
        <x:v>horizontal built-up surface</x:v>
      </x:c>
      <x:c r="Q1472" s="2" t="str">
        <x:v>m2</x:v>
      </x:c>
      <x:c r="R1472" s="17" t="n">
        <x:v>6701092088.443711</x:v>
      </x:c>
      <x:c r="S1472" s="17" t="n">
        <x:v>4711304092.61</x:v>
      </x:c>
      <x:c r="T1472" s="18" t="n">
        <x:v>1.0614119137700826</x:v>
      </x:c>
      <x:c r="U1472" s="17" t="n">
        <x:v>5000634293.290002</x:v>
      </x:c>
      <x:c r="V1472" s="2" t="str">
        <x:v>Area equivalent = model2020 * WUP surface / TEMPO2020 footprint; km2 multiplied by1e6 once</x:v>
      </x:c>
      <x:c r="W1472" s="2" t="str">
        <x:v>L1_numeric_partition_qualified_not_national_completeness</x:v>
      </x:c>
      <x:c r="X1472" s="2" t="str">
        <x:v>https://human-settlement.emergency.copernicus.eu/datasets.php</x:v>
      </x:c>
    </x:row>
    <x:row r="1473" ht="23" customHeight="1">
      <x:c r="A1473" s="2" t="str">
        <x:v>JAM</x:v>
      </x:c>
      <x:c r="B1473" s="2" t="str">
        <x:v>Jamaica</x:v>
      </x:c>
      <x:c r="C1473" s="2" t="n">
        <x:v>2015</x:v>
      </x:c>
      <x:c r="D1473" s="2" t="str">
        <x:v>WUP_SURFACE</x:v>
      </x:c>
      <x:c r="E1473" s="17" t="n">
        <x:v>118767913.59415096</x:v>
      </x:c>
      <x:c r="F1473" s="17" t="n">
        <x:f>IF(AND(M1473,ISNUMBER(R1473)),IF(D1473="TEMPO_PROXY",R1473,IF(AND(ISNUMBER(S1473),S1473&gt;0,ISNUMBER(U1473)),U1473*R1473/S1473,"n.a.")),"n.a.")</x:f>
        <x:v>200288376.21917817</x:v>
      </x:c>
      <x:c r="G1473" s="17" t="n">
        <x:f>IF(AND(ISNUMBER(E1473),ISNUMBER(F1473)),E1473-F1473,"n.a.")</x:f>
        <x:v>-81520462.62502721</x:v>
      </x:c>
      <x:c r="H1473" s="15" t="n">
        <x:f>IF(AND(ISNUMBER(E1473),ISNUMBER(F1473),F1473&gt;0),(E1473-F1473)/F1473,"n.a.")</x:f>
        <x:v>-0.40701544524889605</x:v>
      </x:c>
      <x:c r="I1473" s="19" t="n">
        <x:f>IF(ISNUMBER(H1473),ABS(H1473),"n.a.")</x:f>
        <x:v>0.40701544524889605</x:v>
      </x:c>
      <x:c r="J1473" s="2" t="str">
        <x:v>available</x:v>
      </x:c>
      <x:c r="K1473" s="2" t="n">
        <x:v>1</x:v>
      </x:c>
      <x:c r="L1473" s="13" t="b">
        <x:v>0</x:v>
      </x:c>
      <x:c r="M1473" s="13" t="b">
        <x:v>1</x:v>
      </x:c>
      <x:c r="N1473" s="2" t="str">
        <x:v>historical_GHSL_BU_estimate</x:v>
      </x:c>
      <x:c r="O1473" s="2" t="str"/>
      <x:c r="P1473" s="2" t="str">
        <x:v>horizontal built-up surface</x:v>
      </x:c>
      <x:c r="Q1473" s="2" t="str">
        <x:v>m2</x:v>
      </x:c>
      <x:c r="R1473" s="17" t="n">
        <x:v>200288376.2191783</x:v>
      </x:c>
      <x:c r="S1473" s="17" t="n">
        <x:v>133338245.19</x:v>
      </x:c>
      <x:c r="T1473" s="18" t="n">
        <x:v>0.9999999999999994</x:v>
      </x:c>
      <x:c r="U1473" s="17" t="n">
        <x:v>133338245.18999992</x:v>
      </x:c>
      <x:c r="V1473" s="2" t="str">
        <x:v>Area equivalent = model2020 * WUP surface / TEMPO2020 footprint; km2 multiplied by1e6 once</x:v>
      </x:c>
      <x:c r="W1473" s="2" t="str">
        <x:v>L1_numeric_partition_qualified_not_national_completeness</x:v>
      </x:c>
      <x:c r="X1473" s="2" t="str">
        <x:v>https://human-settlement.emergency.copernicus.eu/datasets.php</x:v>
      </x:c>
    </x:row>
    <x:row r="1474" ht="23" customHeight="1">
      <x:c r="A1474" s="2" t="str">
        <x:v>JOR</x:v>
      </x:c>
      <x:c r="B1474" s="2" t="str">
        <x:v>Jordan (Hashemite Kingdom of)</x:v>
      </x:c>
      <x:c r="C1474" s="2" t="n">
        <x:v>2015</x:v>
      </x:c>
      <x:c r="D1474" s="2" t="str">
        <x:v>WUP_SURFACE</x:v>
      </x:c>
      <x:c r="E1474" s="17" t="n">
        <x:v>256921049.6360146</x:v>
      </x:c>
      <x:c r="F1474" s="17" t="n">
        <x:f>IF(AND(M1474,ISNUMBER(R1474)),IF(D1474="TEMPO_PROXY",R1474,IF(AND(ISNUMBER(S1474),S1474&gt;0,ISNUMBER(U1474)),U1474*R1474/S1474,"n.a.")),"n.a.")</x:f>
        <x:v>306904462.32758415</x:v>
      </x:c>
      <x:c r="G1474" s="17" t="n">
        <x:f>IF(AND(ISNUMBER(E1474),ISNUMBER(F1474)),E1474-F1474,"n.a.")</x:f>
        <x:v>-49983412.69156954</x:v>
      </x:c>
      <x:c r="H1474" s="15" t="n">
        <x:f>IF(AND(ISNUMBER(E1474),ISNUMBER(F1474),F1474&gt;0),(E1474-F1474)/F1474,"n.a.")</x:f>
        <x:v>-0.1628631018020786</x:v>
      </x:c>
      <x:c r="I1474" s="19" t="n">
        <x:f>IF(ISNUMBER(H1474),ABS(H1474),"n.a.")</x:f>
        <x:v>0.1628631018020786</x:v>
      </x:c>
      <x:c r="J1474" s="2" t="str">
        <x:v>available</x:v>
      </x:c>
      <x:c r="K1474" s="2" t="n">
        <x:v>1</x:v>
      </x:c>
      <x:c r="L1474" s="13" t="b">
        <x:v>0</x:v>
      </x:c>
      <x:c r="M1474" s="13" t="b">
        <x:v>1</x:v>
      </x:c>
      <x:c r="N1474" s="2" t="str">
        <x:v>historical_GHSL_BU_estimate</x:v>
      </x:c>
      <x:c r="O1474" s="2" t="str"/>
      <x:c r="P1474" s="2" t="str">
        <x:v>horizontal built-up surface</x:v>
      </x:c>
      <x:c r="Q1474" s="2" t="str">
        <x:v>m2</x:v>
      </x:c>
      <x:c r="R1474" s="17" t="n">
        <x:v>303398865.0278884</x:v>
      </x:c>
      <x:c r="S1474" s="17" t="n">
        <x:v>275983857.16</x:v>
      </x:c>
      <x:c r="T1474" s="18" t="n">
        <x:v>1.0115544179750755</x:v>
      </x:c>
      <x:c r="U1474" s="17" t="n">
        <x:v>279172690.0000002</x:v>
      </x:c>
      <x:c r="V1474" s="2" t="str">
        <x:v>Area equivalent = model2020 * WUP surface / TEMPO2020 footprint; km2 multiplied by1e6 once</x:v>
      </x:c>
      <x:c r="W1474" s="2" t="str">
        <x:v>L1_numeric_partition_qualified_not_national_completeness</x:v>
      </x:c>
      <x:c r="X1474" s="2" t="str">
        <x:v>https://human-settlement.emergency.copernicus.eu/datasets.php</x:v>
      </x:c>
    </x:row>
    <x:row r="1475" ht="23" customHeight="1">
      <x:c r="A1475" s="2" t="str">
        <x:v>JPN</x:v>
      </x:c>
      <x:c r="B1475" s="2" t="str">
        <x:v>Japan</x:v>
      </x:c>
      <x:c r="C1475" s="2" t="n">
        <x:v>2015</x:v>
      </x:c>
      <x:c r="D1475" s="2" t="str">
        <x:v>WUP_SURFACE</x:v>
      </x:c>
      <x:c r="E1475" s="17" t="n">
        <x:v>8023790686.244393</x:v>
      </x:c>
      <x:c r="F1475" s="17" t="n">
        <x:f>IF(AND(M1475,ISNUMBER(R1475)),IF(D1475="TEMPO_PROXY",R1475,IF(AND(ISNUMBER(S1475),S1475&gt;0,ISNUMBER(U1475)),U1475*R1475/S1475,"n.a.")),"n.a.")</x:f>
        <x:v>12870930813.292385</x:v>
      </x:c>
      <x:c r="G1475" s="17" t="n">
        <x:f>IF(AND(ISNUMBER(E1475),ISNUMBER(F1475)),E1475-F1475,"n.a.")</x:f>
        <x:v>-4847140127.047992</x:v>
      </x:c>
      <x:c r="H1475" s="15" t="n">
        <x:f>IF(AND(ISNUMBER(E1475),ISNUMBER(F1475),F1475&gt;0),(E1475-F1475)/F1475,"n.a.")</x:f>
        <x:v>-0.3765959274710834</x:v>
      </x:c>
      <x:c r="I1475" s="19" t="n">
        <x:f>IF(ISNUMBER(H1475),ABS(H1475),"n.a.")</x:f>
        <x:v>0.3765959274710834</x:v>
      </x:c>
      <x:c r="J1475" s="2" t="str">
        <x:v>available</x:v>
      </x:c>
      <x:c r="K1475" s="2" t="n">
        <x:v>1</x:v>
      </x:c>
      <x:c r="L1475" s="13" t="b">
        <x:v>0</x:v>
      </x:c>
      <x:c r="M1475" s="13" t="b">
        <x:v>1</x:v>
      </x:c>
      <x:c r="N1475" s="2" t="str">
        <x:v>historical_GHSL_BU_estimate</x:v>
      </x:c>
      <x:c r="O1475" s="2" t="str"/>
      <x:c r="P1475" s="2" t="str">
        <x:v>horizontal built-up surface</x:v>
      </x:c>
      <x:c r="Q1475" s="2" t="str">
        <x:v>m2</x:v>
      </x:c>
      <x:c r="R1475" s="17" t="n">
        <x:v>12461753837.080519</x:v>
      </x:c>
      <x:c r="S1475" s="17" t="n">
        <x:v>8076054059.79</x:v>
      </x:c>
      <x:c r="T1475" s="18" t="n">
        <x:v>1.032834621961023</x:v>
      </x:c>
      <x:c r="U1475" s="17" t="n">
        <x:v>8341228241.779989</x:v>
      </x:c>
      <x:c r="V1475" s="2" t="str">
        <x:v>Area equivalent = model2020 * WUP surface / TEMPO2020 footprint; km2 multiplied by1e6 once</x:v>
      </x:c>
      <x:c r="W1475" s="2" t="str">
        <x:v>L1_numeric_partition_qualified_not_national_completeness</x:v>
      </x:c>
      <x:c r="X1475" s="2" t="str">
        <x:v>https://human-settlement.emergency.copernicus.eu/datasets.php</x:v>
      </x:c>
    </x:row>
    <x:row r="1476" ht="23" customHeight="1">
      <x:c r="A1476" s="2" t="str">
        <x:v>KAZ</x:v>
      </x:c>
      <x:c r="B1476" s="2" t="str">
        <x:v>Kazakhstan (Republic of)</x:v>
      </x:c>
      <x:c r="C1476" s="2" t="n">
        <x:v>2015</x:v>
      </x:c>
      <x:c r="D1476" s="2" t="str">
        <x:v>WUP_SURFACE</x:v>
      </x:c>
      <x:c r="E1476" s="17" t="n">
        <x:v>937035930.5887325</x:v>
      </x:c>
      <x:c r="F1476" s="17" t="n">
        <x:f>IF(AND(M1476,ISNUMBER(R1476)),IF(D1476="TEMPO_PROXY",R1476,IF(AND(ISNUMBER(S1476),S1476&gt;0,ISNUMBER(U1476)),U1476*R1476/S1476,"n.a.")),"n.a.")</x:f>
        <x:v>2166667326.101823</x:v>
      </x:c>
      <x:c r="G1476" s="17" t="n">
        <x:f>IF(AND(ISNUMBER(E1476),ISNUMBER(F1476)),E1476-F1476,"n.a.")</x:f>
        <x:v>-1229631395.5130904</x:v>
      </x:c>
      <x:c r="H1476" s="15" t="n">
        <x:f>IF(AND(ISNUMBER(E1476),ISNUMBER(F1476),F1476&gt;0),(E1476-F1476)/F1476,"n.a.")</x:f>
        <x:v>-0.5675220098165193</x:v>
      </x:c>
      <x:c r="I1476" s="19" t="n">
        <x:f>IF(ISNUMBER(H1476),ABS(H1476),"n.a.")</x:f>
        <x:v>0.5675220098165193</x:v>
      </x:c>
      <x:c r="J1476" s="2" t="str">
        <x:v>available</x:v>
      </x:c>
      <x:c r="K1476" s="2" t="n">
        <x:v>1</x:v>
      </x:c>
      <x:c r="L1476" s="13" t="b">
        <x:v>0</x:v>
      </x:c>
      <x:c r="M1476" s="13" t="b">
        <x:v>1</x:v>
      </x:c>
      <x:c r="N1476" s="2" t="str">
        <x:v>historical_GHSL_BU_estimate</x:v>
      </x:c>
      <x:c r="O1476" s="2" t="str"/>
      <x:c r="P1476" s="2" t="str">
        <x:v>horizontal built-up surface</x:v>
      </x:c>
      <x:c r="Q1476" s="2" t="str">
        <x:v>m2</x:v>
      </x:c>
      <x:c r="R1476" s="17" t="n">
        <x:v>2166667326.1018195</x:v>
      </x:c>
      <x:c r="S1476" s="17" t="n">
        <x:v>1009034692.97</x:v>
      </x:c>
      <x:c r="T1476" s="18" t="n">
        <x:v>1.0000000000000016</x:v>
      </x:c>
      <x:c r="U1476" s="17" t="n">
        <x:v>1009034692.9700016</x:v>
      </x:c>
      <x:c r="V1476" s="2" t="str">
        <x:v>Area equivalent = model2020 * WUP surface / TEMPO2020 footprint; km2 multiplied by1e6 once</x:v>
      </x:c>
      <x:c r="W1476" s="2" t="str">
        <x:v>L1_numeric_partition_qualified_not_national_completeness</x:v>
      </x:c>
      <x:c r="X1476" s="2" t="str">
        <x:v>https://human-settlement.emergency.copernicus.eu/datasets.php</x:v>
      </x:c>
    </x:row>
    <x:row r="1477" ht="23" customHeight="1">
      <x:c r="A1477" s="2" t="str">
        <x:v>KEN</x:v>
      </x:c>
      <x:c r="B1477" s="2" t="str">
        <x:v>Kenya (Republic of)</x:v>
      </x:c>
      <x:c r="C1477" s="2" t="n">
        <x:v>2015</x:v>
      </x:c>
      <x:c r="D1477" s="2" t="str">
        <x:v>WUP_SURFACE</x:v>
      </x:c>
      <x:c r="E1477" s="17" t="n">
        <x:v>795387215.5234706</x:v>
      </x:c>
      <x:c r="F1477" s="17" t="n">
        <x:f>IF(AND(M1477,ISNUMBER(R1477)),IF(D1477="TEMPO_PROXY",R1477,IF(AND(ISNUMBER(S1477),S1477&gt;0,ISNUMBER(U1477)),U1477*R1477/S1477,"n.a.")),"n.a.")</x:f>
        <x:v>2079308109.715309</x:v>
      </x:c>
      <x:c r="G1477" s="17" t="n">
        <x:f>IF(AND(ISNUMBER(E1477),ISNUMBER(F1477)),E1477-F1477,"n.a.")</x:f>
        <x:v>-1283920894.1918383</x:v>
      </x:c>
      <x:c r="H1477" s="15" t="n">
        <x:f>IF(AND(ISNUMBER(E1477),ISNUMBER(F1477),F1477&gt;0),(E1477-F1477)/F1477,"n.a.")</x:f>
        <x:v>-0.6174750573004921</x:v>
      </x:c>
      <x:c r="I1477" s="19" t="n">
        <x:f>IF(ISNUMBER(H1477),ABS(H1477),"n.a.")</x:f>
        <x:v>0.6174750573004921</x:v>
      </x:c>
      <x:c r="J1477" s="2" t="str">
        <x:v>available</x:v>
      </x:c>
      <x:c r="K1477" s="2" t="n">
        <x:v>1</x:v>
      </x:c>
      <x:c r="L1477" s="13" t="b">
        <x:v>0</x:v>
      </x:c>
      <x:c r="M1477" s="13" t="b">
        <x:v>1</x:v>
      </x:c>
      <x:c r="N1477" s="2" t="str">
        <x:v>historical_GHSL_BU_estimate</x:v>
      </x:c>
      <x:c r="O1477" s="2" t="str"/>
      <x:c r="P1477" s="2" t="str">
        <x:v>horizontal built-up surface</x:v>
      </x:c>
      <x:c r="Q1477" s="2" t="str">
        <x:v>m2</x:v>
      </x:c>
      <x:c r="R1477" s="17" t="n">
        <x:v>2079308109.715309</x:v>
      </x:c>
      <x:c r="S1477" s="17" t="n">
        <x:v>1180050447.52</x:v>
      </x:c>
      <x:c r="T1477" s="18" t="n">
        <x:v>1</x:v>
      </x:c>
      <x:c r="U1477" s="17" t="n">
        <x:v>1180050447.52</x:v>
      </x:c>
      <x:c r="V1477" s="2" t="str">
        <x:v>Area equivalent = model2020 * WUP surface / TEMPO2020 footprint; km2 multiplied by1e6 once</x:v>
      </x:c>
      <x:c r="W1477" s="2" t="str">
        <x:v>L1_numeric_partition_qualified_not_national_completeness</x:v>
      </x:c>
      <x:c r="X1477" s="2" t="str">
        <x:v>https://human-settlement.emergency.copernicus.eu/datasets.php</x:v>
      </x:c>
    </x:row>
    <x:row r="1478" ht="23" customHeight="1">
      <x:c r="A1478" s="2" t="str">
        <x:v>KGZ</x:v>
      </x:c>
      <x:c r="B1478" s="2" t="str">
        <x:v>Kyrgyzstan (Kyrgyz Republic)</x:v>
      </x:c>
      <x:c r="C1478" s="2" t="n">
        <x:v>2015</x:v>
      </x:c>
      <x:c r="D1478" s="2" t="str">
        <x:v>WUP_SURFACE</x:v>
      </x:c>
      <x:c r="E1478" s="17" t="n">
        <x:v>303607959.0383275</x:v>
      </x:c>
      <x:c r="F1478" s="17" t="n">
        <x:f>IF(AND(M1478,ISNUMBER(R1478)),IF(D1478="TEMPO_PROXY",R1478,IF(AND(ISNUMBER(S1478),S1478&gt;0,ISNUMBER(U1478)),U1478*R1478/S1478,"n.a.")),"n.a.")</x:f>
        <x:v>622461707.9795387</x:v>
      </x:c>
      <x:c r="G1478" s="17" t="n">
        <x:f>IF(AND(ISNUMBER(E1478),ISNUMBER(F1478)),E1478-F1478,"n.a.")</x:f>
        <x:v>-318853748.94121116</x:v>
      </x:c>
      <x:c r="H1478" s="15" t="n">
        <x:f>IF(AND(ISNUMBER(E1478),ISNUMBER(F1478),F1478&gt;0),(E1478-F1478)/F1478,"n.a.")</x:f>
        <x:v>-0.5122463676941432</x:v>
      </x:c>
      <x:c r="I1478" s="19" t="n">
        <x:f>IF(ISNUMBER(H1478),ABS(H1478),"n.a.")</x:f>
        <x:v>0.5122463676941432</x:v>
      </x:c>
      <x:c r="J1478" s="2" t="str">
        <x:v>available</x:v>
      </x:c>
      <x:c r="K1478" s="2" t="n">
        <x:v>1</x:v>
      </x:c>
      <x:c r="L1478" s="13" t="b">
        <x:v>0</x:v>
      </x:c>
      <x:c r="M1478" s="13" t="b">
        <x:v>1</x:v>
      </x:c>
      <x:c r="N1478" s="2" t="str">
        <x:v>historical_GHSL_BU_estimate</x:v>
      </x:c>
      <x:c r="O1478" s="2" t="str"/>
      <x:c r="P1478" s="2" t="str">
        <x:v>horizontal built-up surface</x:v>
      </x:c>
      <x:c r="Q1478" s="2" t="str">
        <x:v>m2</x:v>
      </x:c>
      <x:c r="R1478" s="17" t="n">
        <x:v>622461707.9795376</x:v>
      </x:c>
      <x:c r="S1478" s="17" t="n">
        <x:v>332236534.37</x:v>
      </x:c>
      <x:c r="T1478" s="18" t="n">
        <x:v>1.0000000000000016</x:v>
      </x:c>
      <x:c r="U1478" s="17" t="n">
        <x:v>332236534.37000054</x:v>
      </x:c>
      <x:c r="V1478" s="2" t="str">
        <x:v>Area equivalent = model2020 * WUP surface / TEMPO2020 footprint; km2 multiplied by1e6 once</x:v>
      </x:c>
      <x:c r="W1478" s="2" t="str">
        <x:v>L1_numeric_partition_qualified_not_national_completeness</x:v>
      </x:c>
      <x:c r="X1478" s="2" t="str">
        <x:v>https://human-settlement.emergency.copernicus.eu/datasets.php</x:v>
      </x:c>
    </x:row>
    <x:row r="1479" ht="23" customHeight="1">
      <x:c r="A1479" s="2" t="str">
        <x:v>KHM</x:v>
      </x:c>
      <x:c r="B1479" s="2" t="str">
        <x:v>Cambodia (Kingdom of)</x:v>
      </x:c>
      <x:c r="C1479" s="2" t="n">
        <x:v>2015</x:v>
      </x:c>
      <x:c r="D1479" s="2" t="str">
        <x:v>WUP_SURFACE</x:v>
      </x:c>
      <x:c r="E1479" s="17" t="n">
        <x:v>598581339.8071607</x:v>
      </x:c>
      <x:c r="F1479" s="17" t="n">
        <x:f>IF(AND(M1479,ISNUMBER(R1479)),IF(D1479="TEMPO_PROXY",R1479,IF(AND(ISNUMBER(S1479),S1479&gt;0,ISNUMBER(U1479)),U1479*R1479/S1479,"n.a.")),"n.a.")</x:f>
        <x:v>724034846.721358</x:v>
      </x:c>
      <x:c r="G1479" s="17" t="n">
        <x:f>IF(AND(ISNUMBER(E1479),ISNUMBER(F1479)),E1479-F1479,"n.a.")</x:f>
        <x:v>-125453506.9141972</x:v>
      </x:c>
      <x:c r="H1479" s="15" t="n">
        <x:f>IF(AND(ISNUMBER(E1479),ISNUMBER(F1479),F1479&gt;0),(E1479-F1479)/F1479,"n.a.")</x:f>
        <x:v>-0.17326998483883402</x:v>
      </x:c>
      <x:c r="I1479" s="19" t="n">
        <x:f>IF(ISNUMBER(H1479),ABS(H1479),"n.a.")</x:f>
        <x:v>0.17326998483883402</x:v>
      </x:c>
      <x:c r="J1479" s="2" t="str">
        <x:v>available</x:v>
      </x:c>
      <x:c r="K1479" s="2" t="n">
        <x:v>1</x:v>
      </x:c>
      <x:c r="L1479" s="13" t="b">
        <x:v>0</x:v>
      </x:c>
      <x:c r="M1479" s="13" t="b">
        <x:v>1</x:v>
      </x:c>
      <x:c r="N1479" s="2" t="str">
        <x:v>historical_GHSL_BU_estimate</x:v>
      </x:c>
      <x:c r="O1479" s="2" t="str"/>
      <x:c r="P1479" s="2" t="str">
        <x:v>horizontal built-up surface</x:v>
      </x:c>
      <x:c r="Q1479" s="2" t="str">
        <x:v>m2</x:v>
      </x:c>
      <x:c r="R1479" s="17" t="n">
        <x:v>724034846.721357</x:v>
      </x:c>
      <x:c r="S1479" s="17" t="n">
        <x:v>672933221.83</x:v>
      </x:c>
      <x:c r="T1479" s="18" t="n">
        <x:v>1.0000000000000013</x:v>
      </x:c>
      <x:c r="U1479" s="17" t="n">
        <x:v>672933221.830001</x:v>
      </x:c>
      <x:c r="V1479" s="2" t="str">
        <x:v>Area equivalent = model2020 * WUP surface / TEMPO2020 footprint; km2 multiplied by1e6 once</x:v>
      </x:c>
      <x:c r="W1479" s="2" t="str">
        <x:v>L1_numeric_partition_qualified_not_national_completeness</x:v>
      </x:c>
      <x:c r="X1479" s="2" t="str">
        <x:v>https://human-settlement.emergency.copernicus.eu/datasets.php</x:v>
      </x:c>
    </x:row>
    <x:row r="1480" ht="23" customHeight="1">
      <x:c r="A1480" s="2" t="str">
        <x:v>KIR</x:v>
      </x:c>
      <x:c r="B1480" s="2" t="str">
        <x:v>Kiribati (Republic of)</x:v>
      </x:c>
      <x:c r="C1480" s="2" t="n">
        <x:v>2015</x:v>
      </x:c>
      <x:c r="D1480" s="2" t="str">
        <x:v>WUP_SURFACE</x:v>
      </x:c>
      <x:c r="E1480" s="17" t="n">
        <x:v>1691624.8246794736</x:v>
      </x:c>
      <x:c r="F1480" s="17" t="n">
        <x:f>IF(AND(M1480,ISNUMBER(R1480)),IF(D1480="TEMPO_PROXY",R1480,IF(AND(ISNUMBER(S1480),S1480&gt;0,ISNUMBER(U1480)),U1480*R1480/S1480,"n.a.")),"n.a.")</x:f>
        <x:v>1345869.0083366493</x:v>
      </x:c>
      <x:c r="G1480" s="17" t="n">
        <x:f>IF(AND(ISNUMBER(E1480),ISNUMBER(F1480)),E1480-F1480,"n.a.")</x:f>
        <x:v>345755.8163428244</x:v>
      </x:c>
      <x:c r="H1480" s="15" t="n">
        <x:f>IF(AND(ISNUMBER(E1480),ISNUMBER(F1480),F1480&gt;0),(E1480-F1480)/F1480,"n.a.")</x:f>
        <x:v>0.2569015366288445</x:v>
      </x:c>
      <x:c r="I1480" s="19" t="n">
        <x:f>IF(ISNUMBER(H1480),ABS(H1480),"n.a.")</x:f>
        <x:v>0.2569015366288445</x:v>
      </x:c>
      <x:c r="J1480" s="2" t="str">
        <x:v>available</x:v>
      </x:c>
      <x:c r="K1480" s="2" t="n">
        <x:v>1</x:v>
      </x:c>
      <x:c r="L1480" s="13" t="b">
        <x:v>0</x:v>
      </x:c>
      <x:c r="M1480" s="13" t="b">
        <x:v>1</x:v>
      </x:c>
      <x:c r="N1480" s="2" t="str">
        <x:v>historical_GHSL_BU_estimate</x:v>
      </x:c>
      <x:c r="O1480" s="2" t="str"/>
      <x:c r="P1480" s="2" t="str">
        <x:v>horizontal built-up surface</x:v>
      </x:c>
      <x:c r="Q1480" s="2" t="str">
        <x:v>m2</x:v>
      </x:c>
      <x:c r="R1480" s="17" t="n">
        <x:v>1345869.008336649</x:v>
      </x:c>
      <x:c r="S1480" s="17" t="n">
        <x:v>1721739.67</x:v>
      </x:c>
      <x:c r="T1480" s="18" t="n">
        <x:v>1.0000000000000002</x:v>
      </x:c>
      <x:c r="U1480" s="17" t="n">
        <x:v>1721739.6700000002</x:v>
      </x:c>
      <x:c r="V1480" s="2" t="str">
        <x:v>Area equivalent = model2020 * WUP surface / TEMPO2020 footprint; km2 multiplied by1e6 once</x:v>
      </x:c>
      <x:c r="W1480" s="2" t="str">
        <x:v>L1_numeric_partition_qualified_not_national_completeness</x:v>
      </x:c>
      <x:c r="X1480" s="2" t="str">
        <x:v>https://human-settlement.emergency.copernicus.eu/datasets.php</x:v>
      </x:c>
    </x:row>
    <x:row r="1481" ht="23" customHeight="1">
      <x:c r="A1481" s="2" t="str">
        <x:v>KNA</x:v>
      </x:c>
      <x:c r="B1481" s="2" t="str">
        <x:v>Saint Kitts and Nevis (Federation of)</x:v>
      </x:c>
      <x:c r="C1481" s="2" t="n">
        <x:v>2015</x:v>
      </x:c>
      <x:c r="D1481" s="2" t="str">
        <x:v>WUP_SURFACE</x:v>
      </x:c>
      <x:c r="E1481" s="17" t="n">
        <x:v>4061235.1620539096</x:v>
      </x:c>
      <x:c r="F1481" s="17" t="n">
        <x:f>IF(AND(M1481,ISNUMBER(R1481)),IF(D1481="TEMPO_PROXY",R1481,IF(AND(ISNUMBER(S1481),S1481&gt;0,ISNUMBER(U1481)),U1481*R1481/S1481,"n.a.")),"n.a.")</x:f>
        <x:v>7358524.011677789</x:v>
      </x:c>
      <x:c r="G1481" s="17" t="n">
        <x:f>IF(AND(ISNUMBER(E1481),ISNUMBER(F1481)),E1481-F1481,"n.a.")</x:f>
        <x:v>-3297288.849623879</x:v>
      </x:c>
      <x:c r="H1481" s="15" t="n">
        <x:f>IF(AND(ISNUMBER(E1481),ISNUMBER(F1481),F1481&gt;0),(E1481-F1481)/F1481,"n.a.")</x:f>
        <x:v>-0.44809106342401905</x:v>
      </x:c>
      <x:c r="I1481" s="19" t="n">
        <x:f>IF(ISNUMBER(H1481),ABS(H1481),"n.a.")</x:f>
        <x:v>0.44809106342401905</x:v>
      </x:c>
      <x:c r="J1481" s="2" t="str">
        <x:v>available</x:v>
      </x:c>
      <x:c r="K1481" s="2" t="n">
        <x:v>1</x:v>
      </x:c>
      <x:c r="L1481" s="13" t="b">
        <x:v>0</x:v>
      </x:c>
      <x:c r="M1481" s="13" t="b">
        <x:v>1</x:v>
      </x:c>
      <x:c r="N1481" s="2" t="str">
        <x:v>historical_GHSL_BU_estimate</x:v>
      </x:c>
      <x:c r="O1481" s="2" t="str"/>
      <x:c r="P1481" s="2" t="str">
        <x:v>horizontal built-up surface</x:v>
      </x:c>
      <x:c r="Q1481" s="2" t="str">
        <x:v>m2</x:v>
      </x:c>
      <x:c r="R1481" s="17" t="n">
        <x:v>7358524.011677787</x:v>
      </x:c>
      <x:c r="S1481" s="17" t="n">
        <x:v>4523960.76</x:v>
      </x:c>
      <x:c r="T1481" s="18" t="n">
        <x:v>1.0000000000000002</x:v>
      </x:c>
      <x:c r="U1481" s="17" t="n">
        <x:v>4523960.760000001</x:v>
      </x:c>
      <x:c r="V1481" s="2" t="str">
        <x:v>Area equivalent = model2020 * WUP surface / TEMPO2020 footprint; km2 multiplied by1e6 once</x:v>
      </x:c>
      <x:c r="W1481" s="2" t="str">
        <x:v>L1_numeric_partition_qualified_not_national_completeness</x:v>
      </x:c>
      <x:c r="X1481" s="2" t="str">
        <x:v>https://human-settlement.emergency.copernicus.eu/datasets.php</x:v>
      </x:c>
    </x:row>
    <x:row r="1482" ht="23" customHeight="1">
      <x:c r="A1482" s="2" t="str">
        <x:v>KOR</x:v>
      </x:c>
      <x:c r="B1482" s="2" t="str">
        <x:v>Korea (Republic of)</x:v>
      </x:c>
      <x:c r="C1482" s="2" t="n">
        <x:v>2015</x:v>
      </x:c>
      <x:c r="D1482" s="2" t="str">
        <x:v>WUP_SURFACE</x:v>
      </x:c>
      <x:c r="E1482" s="17" t="n">
        <x:v>2658803650.6668043</x:v>
      </x:c>
      <x:c r="F1482" s="17" t="n">
        <x:f>IF(AND(M1482,ISNUMBER(R1482)),IF(D1482="TEMPO_PROXY",R1482,IF(AND(ISNUMBER(S1482),S1482&gt;0,ISNUMBER(U1482)),U1482*R1482/S1482,"n.a.")),"n.a.")</x:f>
        <x:v>3741311439.172059</x:v>
      </x:c>
      <x:c r="G1482" s="17" t="n">
        <x:f>IF(AND(ISNUMBER(E1482),ISNUMBER(F1482)),E1482-F1482,"n.a.")</x:f>
        <x:v>-1082507788.5052547</x:v>
      </x:c>
      <x:c r="H1482" s="15" t="n">
        <x:f>IF(AND(ISNUMBER(E1482),ISNUMBER(F1482),F1482&gt;0),(E1482-F1482)/F1482,"n.a.")</x:f>
        <x:v>-0.2893391277644639</x:v>
      </x:c>
      <x:c r="I1482" s="19" t="n">
        <x:f>IF(ISNUMBER(H1482),ABS(H1482),"n.a.")</x:f>
        <x:v>0.2893391277644639</x:v>
      </x:c>
      <x:c r="J1482" s="2" t="str">
        <x:v>available</x:v>
      </x:c>
      <x:c r="K1482" s="2" t="n">
        <x:v>1</x:v>
      </x:c>
      <x:c r="L1482" s="13" t="b">
        <x:v>0</x:v>
      </x:c>
      <x:c r="M1482" s="13" t="b">
        <x:v>1</x:v>
      </x:c>
      <x:c r="N1482" s="2" t="str">
        <x:v>historical_GHSL_BU_estimate</x:v>
      </x:c>
      <x:c r="O1482" s="2" t="str"/>
      <x:c r="P1482" s="2" t="str">
        <x:v>horizontal built-up surface</x:v>
      </x:c>
      <x:c r="Q1482" s="2" t="str">
        <x:v>m2</x:v>
      </x:c>
      <x:c r="R1482" s="17" t="n">
        <x:v>3247999433.8843513</x:v>
      </x:c>
      <x:c r="S1482" s="17" t="n">
        <x:v>2559028811.37</x:v>
      </x:c>
      <x:c r="T1482" s="18" t="n">
        <x:v>1.151881801499499</x:v>
      </x:c>
      <x:c r="U1482" s="17" t="n">
        <x:v>2947698717.329997</x:v>
      </x:c>
      <x:c r="V1482" s="2" t="str">
        <x:v>Area equivalent = model2020 * WUP surface / TEMPO2020 footprint; km2 multiplied by1e6 once</x:v>
      </x:c>
      <x:c r="W1482" s="2" t="str">
        <x:v>L1_numeric_partition_qualified_not_national_completeness</x:v>
      </x:c>
      <x:c r="X1482" s="2" t="str">
        <x:v>https://human-settlement.emergency.copernicus.eu/datasets.php</x:v>
      </x:c>
    </x:row>
    <x:row r="1483" ht="23" customHeight="1">
      <x:c r="A1483" s="2" t="str">
        <x:v>KWT</x:v>
      </x:c>
      <x:c r="B1483" s="2" t="str">
        <x:v>Kuwait (State of)</x:v>
      </x:c>
      <x:c r="C1483" s="2" t="n">
        <x:v>2015</x:v>
      </x:c>
      <x:c r="D1483" s="2" t="str">
        <x:v>WUP_SURFACE</x:v>
      </x:c>
      <x:c r="E1483" s="17" t="n">
        <x:v>137379674.9540703</x:v>
      </x:c>
      <x:c r="F1483" s="17" t="n">
        <x:f>IF(AND(M1483,ISNUMBER(R1483)),IF(D1483="TEMPO_PROXY",R1483,IF(AND(ISNUMBER(S1483),S1483&gt;0,ISNUMBER(U1483)),U1483*R1483/S1483,"n.a.")),"n.a.")</x:f>
        <x:v>210274793.34225017</x:v>
      </x:c>
      <x:c r="G1483" s="17" t="n">
        <x:f>IF(AND(ISNUMBER(E1483),ISNUMBER(F1483)),E1483-F1483,"n.a.")</x:f>
        <x:v>-72895118.38817987</x:v>
      </x:c>
      <x:c r="H1483" s="15" t="n">
        <x:f>IF(AND(ISNUMBER(E1483),ISNUMBER(F1483),F1483&gt;0),(E1483-F1483)/F1483,"n.a.")</x:f>
        <x:v>-0.3466659851593975</x:v>
      </x:c>
      <x:c r="I1483" s="19" t="n">
        <x:f>IF(ISNUMBER(H1483),ABS(H1483),"n.a.")</x:f>
        <x:v>0.3466659851593975</x:v>
      </x:c>
      <x:c r="J1483" s="2" t="str">
        <x:v>available</x:v>
      </x:c>
      <x:c r="K1483" s="2" t="n">
        <x:v>1</x:v>
      </x:c>
      <x:c r="L1483" s="13" t="b">
        <x:v>0</x:v>
      </x:c>
      <x:c r="M1483" s="13" t="b">
        <x:v>1</x:v>
      </x:c>
      <x:c r="N1483" s="2" t="str">
        <x:v>historical_GHSL_BU_estimate</x:v>
      </x:c>
      <x:c r="O1483" s="2" t="str"/>
      <x:c r="P1483" s="2" t="str">
        <x:v>horizontal built-up surface</x:v>
      </x:c>
      <x:c r="Q1483" s="2" t="str">
        <x:v>m2</x:v>
      </x:c>
      <x:c r="R1483" s="17" t="n">
        <x:v>193750118.40451863</x:v>
      </x:c>
      <x:c r="S1483" s="17" t="n">
        <x:v>143367071.73</x:v>
      </x:c>
      <x:c r="T1483" s="18" t="n">
        <x:v>1.0852885927183318</x:v>
      </x:c>
      <x:c r="U1483" s="17" t="n">
        <x:v>155594647.5199998</x:v>
      </x:c>
      <x:c r="V1483" s="2" t="str">
        <x:v>Area equivalent = model2020 * WUP surface / TEMPO2020 footprint; km2 multiplied by1e6 once</x:v>
      </x:c>
      <x:c r="W1483" s="2" t="str">
        <x:v>L1_numeric_partition_qualified_not_national_completeness</x:v>
      </x:c>
      <x:c r="X1483" s="2" t="str">
        <x:v>https://human-settlement.emergency.copernicus.eu/datasets.php</x:v>
      </x:c>
    </x:row>
    <x:row r="1484" ht="23" customHeight="1">
      <x:c r="A1484" s="2" t="str">
        <x:v>LAO</x:v>
      </x:c>
      <x:c r="B1484" s="2" t="str">
        <x:v>Lao People's Democratic Republic</x:v>
      </x:c>
      <x:c r="C1484" s="2" t="n">
        <x:v>2015</x:v>
      </x:c>
      <x:c r="D1484" s="2" t="str">
        <x:v>WUP_SURFACE</x:v>
      </x:c>
      <x:c r="E1484" s="17" t="n">
        <x:v>290579669.68239933</x:v>
      </x:c>
      <x:c r="F1484" s="17" t="n">
        <x:f>IF(AND(M1484,ISNUMBER(R1484)),IF(D1484="TEMPO_PROXY",R1484,IF(AND(ISNUMBER(S1484),S1484&gt;0,ISNUMBER(U1484)),U1484*R1484/S1484,"n.a.")),"n.a.")</x:f>
        <x:v>297915214.9996338</x:v>
      </x:c>
      <x:c r="G1484" s="17" t="n">
        <x:f>IF(AND(ISNUMBER(E1484),ISNUMBER(F1484)),E1484-F1484,"n.a.")</x:f>
        <x:v>-7335545.317234457</x:v>
      </x:c>
      <x:c r="H1484" s="15" t="n">
        <x:f>IF(AND(ISNUMBER(E1484),ISNUMBER(F1484),F1484&gt;0),(E1484-F1484)/F1484,"n.a.")</x:f>
        <x:v>-0.024622929437301395</x:v>
      </x:c>
      <x:c r="I1484" s="19" t="n">
        <x:f>IF(ISNUMBER(H1484),ABS(H1484),"n.a.")</x:f>
        <x:v>0.024622929437301395</x:v>
      </x:c>
      <x:c r="J1484" s="2" t="str">
        <x:v>available</x:v>
      </x:c>
      <x:c r="K1484" s="2" t="n">
        <x:v>1</x:v>
      </x:c>
      <x:c r="L1484" s="13" t="b">
        <x:v>0</x:v>
      </x:c>
      <x:c r="M1484" s="13" t="b">
        <x:v>1</x:v>
      </x:c>
      <x:c r="N1484" s="2" t="str">
        <x:v>historical_GHSL_BU_estimate</x:v>
      </x:c>
      <x:c r="O1484" s="2" t="str"/>
      <x:c r="P1484" s="2" t="str">
        <x:v>horizontal built-up surface</x:v>
      </x:c>
      <x:c r="Q1484" s="2" t="str">
        <x:v>m2</x:v>
      </x:c>
      <x:c r="R1484" s="17" t="n">
        <x:v>297915214.9996339</x:v>
      </x:c>
      <x:c r="S1484" s="17" t="n">
        <x:v>333393295.19</x:v>
      </x:c>
      <x:c r="T1484" s="18" t="n">
        <x:v>0.9999999999999994</x:v>
      </x:c>
      <x:c r="U1484" s="17" t="n">
        <x:v>333393295.1899998</x:v>
      </x:c>
      <x:c r="V1484" s="2" t="str">
        <x:v>Area equivalent = model2020 * WUP surface / TEMPO2020 footprint; km2 multiplied by1e6 once</x:v>
      </x:c>
      <x:c r="W1484" s="2" t="str">
        <x:v>L1_numeric_partition_qualified_not_national_completeness</x:v>
      </x:c>
      <x:c r="X1484" s="2" t="str">
        <x:v>https://human-settlement.emergency.copernicus.eu/datasets.php</x:v>
      </x:c>
    </x:row>
    <x:row r="1485" ht="23" customHeight="1">
      <x:c r="A1485" s="2" t="str">
        <x:v>LBN</x:v>
      </x:c>
      <x:c r="B1485" s="2" t="str">
        <x:v>Lebanon (Lebanese Republic)</x:v>
      </x:c>
      <x:c r="C1485" s="2" t="n">
        <x:v>2015</x:v>
      </x:c>
      <x:c r="D1485" s="2" t="str">
        <x:v>WUP_SURFACE</x:v>
      </x:c>
      <x:c r="E1485" s="17" t="n">
        <x:v>216766434.49609855</x:v>
      </x:c>
      <x:c r="F1485" s="17" t="n">
        <x:f>IF(AND(M1485,ISNUMBER(R1485)),IF(D1485="TEMPO_PROXY",R1485,IF(AND(ISNUMBER(S1485),S1485&gt;0,ISNUMBER(U1485)),U1485*R1485/S1485,"n.a.")),"n.a.")</x:f>
        <x:v>282315596.90991277</x:v>
      </x:c>
      <x:c r="G1485" s="17" t="n">
        <x:f>IF(AND(ISNUMBER(E1485),ISNUMBER(F1485)),E1485-F1485,"n.a.")</x:f>
        <x:v>-65549162.41381422</x:v>
      </x:c>
      <x:c r="H1485" s="15" t="n">
        <x:f>IF(AND(ISNUMBER(E1485),ISNUMBER(F1485),F1485&gt;0),(E1485-F1485)/F1485,"n.a.")</x:f>
        <x:v>-0.2321839924229586</x:v>
      </x:c>
      <x:c r="I1485" s="19" t="n">
        <x:f>IF(ISNUMBER(H1485),ABS(H1485),"n.a.")</x:f>
        <x:v>0.2321839924229586</x:v>
      </x:c>
      <x:c r="J1485" s="2" t="str">
        <x:v>available</x:v>
      </x:c>
      <x:c r="K1485" s="2" t="n">
        <x:v>1</x:v>
      </x:c>
      <x:c r="L1485" s="13" t="b">
        <x:v>0</x:v>
      </x:c>
      <x:c r="M1485" s="13" t="b">
        <x:v>1</x:v>
      </x:c>
      <x:c r="N1485" s="2" t="str">
        <x:v>historical_GHSL_BU_estimate</x:v>
      </x:c>
      <x:c r="O1485" s="2" t="str"/>
      <x:c r="P1485" s="2" t="str">
        <x:v>horizontal built-up surface</x:v>
      </x:c>
      <x:c r="Q1485" s="2" t="str">
        <x:v>m2</x:v>
      </x:c>
      <x:c r="R1485" s="17" t="n">
        <x:v>277407731.8405249</x:v>
      </x:c>
      <x:c r="S1485" s="17" t="n">
        <x:v>222783609.45</x:v>
      </x:c>
      <x:c r="T1485" s="18" t="n">
        <x:v>1.0176918827634165</x:v>
      </x:c>
      <x:c r="U1485" s="17" t="n">
        <x:v>226725070.95000017</x:v>
      </x:c>
      <x:c r="V1485" s="2" t="str">
        <x:v>Area equivalent = model2020 * WUP surface / TEMPO2020 footprint; km2 multiplied by1e6 once</x:v>
      </x:c>
      <x:c r="W1485" s="2" t="str">
        <x:v>L1_numeric_partition_qualified_not_national_completeness</x:v>
      </x:c>
      <x:c r="X1485" s="2" t="str">
        <x:v>https://human-settlement.emergency.copernicus.eu/datasets.php</x:v>
      </x:c>
    </x:row>
    <x:row r="1486" ht="23" customHeight="1">
      <x:c r="A1486" s="2" t="str">
        <x:v>LBR</x:v>
      </x:c>
      <x:c r="B1486" s="2" t="str">
        <x:v>Liberia (Republic of)</x:v>
      </x:c>
      <x:c r="C1486" s="2" t="n">
        <x:v>2015</x:v>
      </x:c>
      <x:c r="D1486" s="2" t="str">
        <x:v>WUP_SURFACE</x:v>
      </x:c>
      <x:c r="E1486" s="17" t="n">
        <x:v>87042901.95199455</x:v>
      </x:c>
      <x:c r="F1486" s="17" t="n">
        <x:f>IF(AND(M1486,ISNUMBER(R1486)),IF(D1486="TEMPO_PROXY",R1486,IF(AND(ISNUMBER(S1486),S1486&gt;0,ISNUMBER(U1486)),U1486*R1486/S1486,"n.a.")),"n.a.")</x:f>
        <x:v>186949267.09095058</x:v>
      </x:c>
      <x:c r="G1486" s="17" t="n">
        <x:f>IF(AND(ISNUMBER(E1486),ISNUMBER(F1486)),E1486-F1486,"n.a.")</x:f>
        <x:v>-99906365.13895603</x:v>
      </x:c>
      <x:c r="H1486" s="15" t="n">
        <x:f>IF(AND(ISNUMBER(E1486),ISNUMBER(F1486),F1486&gt;0),(E1486-F1486)/F1486,"n.a.")</x:f>
        <x:v>-0.5344036202632007</x:v>
      </x:c>
      <x:c r="I1486" s="19" t="n">
        <x:f>IF(ISNUMBER(H1486),ABS(H1486),"n.a.")</x:f>
        <x:v>0.5344036202632007</x:v>
      </x:c>
      <x:c r="J1486" s="2" t="str">
        <x:v>available</x:v>
      </x:c>
      <x:c r="K1486" s="2" t="n">
        <x:v>1</x:v>
      </x:c>
      <x:c r="L1486" s="13" t="b">
        <x:v>0</x:v>
      </x:c>
      <x:c r="M1486" s="13" t="b">
        <x:v>1</x:v>
      </x:c>
      <x:c r="N1486" s="2" t="str">
        <x:v>historical_GHSL_BU_estimate</x:v>
      </x:c>
      <x:c r="O1486" s="2" t="str"/>
      <x:c r="P1486" s="2" t="str">
        <x:v>horizontal built-up surface</x:v>
      </x:c>
      <x:c r="Q1486" s="2" t="str">
        <x:v>m2</x:v>
      </x:c>
      <x:c r="R1486" s="17" t="n">
        <x:v>186949267.0909503</x:v>
      </x:c>
      <x:c r="S1486" s="17" t="n">
        <x:v>93713430.84</x:v>
      </x:c>
      <x:c r="T1486" s="18" t="n">
        <x:v>1.0000000000000013</x:v>
      </x:c>
      <x:c r="U1486" s="17" t="n">
        <x:v>93713430.84000014</x:v>
      </x:c>
      <x:c r="V1486" s="2" t="str">
        <x:v>Area equivalent = model2020 * WUP surface / TEMPO2020 footprint; km2 multiplied by1e6 once</x:v>
      </x:c>
      <x:c r="W1486" s="2" t="str">
        <x:v>L1_numeric_partition_qualified_not_national_completeness</x:v>
      </x:c>
      <x:c r="X1486" s="2" t="str">
        <x:v>https://human-settlement.emergency.copernicus.eu/datasets.php</x:v>
      </x:c>
    </x:row>
    <x:row r="1487" ht="23" customHeight="1">
      <x:c r="A1487" s="2" t="str">
        <x:v>LBY</x:v>
      </x:c>
      <x:c r="B1487" s="2" t="str">
        <x:v>Libya (State of)</x:v>
      </x:c>
      <x:c r="C1487" s="2" t="n">
        <x:v>2015</x:v>
      </x:c>
      <x:c r="D1487" s="2" t="str">
        <x:v>WUP_SURFACE</x:v>
      </x:c>
      <x:c r="E1487" s="17" t="n">
        <x:v>451050058.3672139</x:v>
      </x:c>
      <x:c r="F1487" s="17" t="n">
        <x:f>IF(AND(M1487,ISNUMBER(R1487)),IF(D1487="TEMPO_PROXY",R1487,IF(AND(ISNUMBER(S1487),S1487&gt;0,ISNUMBER(U1487)),U1487*R1487/S1487,"n.a.")),"n.a.")</x:f>
        <x:v>871136594.5127108</x:v>
      </x:c>
      <x:c r="G1487" s="17" t="n">
        <x:f>IF(AND(ISNUMBER(E1487),ISNUMBER(F1487)),E1487-F1487,"n.a.")</x:f>
        <x:v>-420086536.1454969</x:v>
      </x:c>
      <x:c r="H1487" s="15" t="n">
        <x:f>IF(AND(ISNUMBER(E1487),ISNUMBER(F1487),F1487&gt;0),(E1487-F1487)/F1487,"n.a.")</x:f>
        <x:v>-0.4822280900511147</x:v>
      </x:c>
      <x:c r="I1487" s="19" t="n">
        <x:f>IF(ISNUMBER(H1487),ABS(H1487),"n.a.")</x:f>
        <x:v>0.4822280900511147</x:v>
      </x:c>
      <x:c r="J1487" s="2" t="str">
        <x:v>available</x:v>
      </x:c>
      <x:c r="K1487" s="2" t="n">
        <x:v>1</x:v>
      </x:c>
      <x:c r="L1487" s="13" t="b">
        <x:v>0</x:v>
      </x:c>
      <x:c r="M1487" s="13" t="b">
        <x:v>1</x:v>
      </x:c>
      <x:c r="N1487" s="2" t="str">
        <x:v>historical_GHSL_BU_estimate</x:v>
      </x:c>
      <x:c r="O1487" s="2" t="str"/>
      <x:c r="P1487" s="2" t="str">
        <x:v>horizontal built-up surface</x:v>
      </x:c>
      <x:c r="Q1487" s="2" t="str">
        <x:v>m2</x:v>
      </x:c>
      <x:c r="R1487" s="17" t="n">
        <x:v>871136594.51271</x:v>
      </x:c>
      <x:c r="S1487" s="17" t="n">
        <x:v>523048577.3</x:v>
      </x:c>
      <x:c r="T1487" s="18" t="n">
        <x:v>1.0000000000000009</x:v>
      </x:c>
      <x:c r="U1487" s="17" t="n">
        <x:v>523048577.3000005</x:v>
      </x:c>
      <x:c r="V1487" s="2" t="str">
        <x:v>Area equivalent = model2020 * WUP surface / TEMPO2020 footprint; km2 multiplied by1e6 once</x:v>
      </x:c>
      <x:c r="W1487" s="2" t="str">
        <x:v>L1_numeric_partition_qualified_not_national_completeness</x:v>
      </x:c>
      <x:c r="X1487" s="2" t="str">
        <x:v>https://human-settlement.emergency.copernicus.eu/datasets.php</x:v>
      </x:c>
    </x:row>
    <x:row r="1488" ht="23" customHeight="1">
      <x:c r="A1488" s="2" t="str">
        <x:v>LCA</x:v>
      </x:c>
      <x:c r="B1488" s="2" t="str">
        <x:v>Saint Lucia</x:v>
      </x:c>
      <x:c r="C1488" s="2" t="n">
        <x:v>2015</x:v>
      </x:c>
      <x:c r="D1488" s="2" t="str">
        <x:v>WUP_SURFACE</x:v>
      </x:c>
      <x:c r="E1488" s="17" t="n">
        <x:v>8882463.634134484</x:v>
      </x:c>
      <x:c r="F1488" s="17" t="n">
        <x:f>IF(AND(M1488,ISNUMBER(R1488)),IF(D1488="TEMPO_PROXY",R1488,IF(AND(ISNUMBER(S1488),S1488&gt;0,ISNUMBER(U1488)),U1488*R1488/S1488,"n.a.")),"n.a.")</x:f>
        <x:v>13619913.994519176</x:v>
      </x:c>
      <x:c r="G1488" s="17" t="n">
        <x:f>IF(AND(ISNUMBER(E1488),ISNUMBER(F1488)),E1488-F1488,"n.a.")</x:f>
        <x:v>-4737450.3603846915</x:v>
      </x:c>
      <x:c r="H1488" s="15" t="n">
        <x:f>IF(AND(ISNUMBER(E1488),ISNUMBER(F1488),F1488&gt;0),(E1488-F1488)/F1488,"n.a.")</x:f>
        <x:v>-0.347832619375651</x:v>
      </x:c>
      <x:c r="I1488" s="19" t="n">
        <x:f>IF(ISNUMBER(H1488),ABS(H1488),"n.a.")</x:f>
        <x:v>0.347832619375651</x:v>
      </x:c>
      <x:c r="J1488" s="2" t="str">
        <x:v>available</x:v>
      </x:c>
      <x:c r="K1488" s="2" t="n">
        <x:v>1</x:v>
      </x:c>
      <x:c r="L1488" s="13" t="b">
        <x:v>0</x:v>
      </x:c>
      <x:c r="M1488" s="13" t="b">
        <x:v>1</x:v>
      </x:c>
      <x:c r="N1488" s="2" t="str">
        <x:v>historical_GHSL_BU_estimate</x:v>
      </x:c>
      <x:c r="O1488" s="2" t="str"/>
      <x:c r="P1488" s="2" t="str">
        <x:v>horizontal built-up surface</x:v>
      </x:c>
      <x:c r="Q1488" s="2" t="str">
        <x:v>m2</x:v>
      </x:c>
      <x:c r="R1488" s="17" t="n">
        <x:v>13619913.994519152</x:v>
      </x:c>
      <x:c r="S1488" s="17" t="n">
        <x:v>10226894.6</x:v>
      </x:c>
      <x:c r="T1488" s="18" t="n">
        <x:v>1.0000000000000018</x:v>
      </x:c>
      <x:c r="U1488" s="17" t="n">
        <x:v>10226894.600000018</x:v>
      </x:c>
      <x:c r="V1488" s="2" t="str">
        <x:v>Area equivalent = model2020 * WUP surface / TEMPO2020 footprint; km2 multiplied by1e6 once</x:v>
      </x:c>
      <x:c r="W1488" s="2" t="str">
        <x:v>L1_numeric_partition_qualified_not_national_completeness</x:v>
      </x:c>
      <x:c r="X1488" s="2" t="str">
        <x:v>https://human-settlement.emergency.copernicus.eu/datasets.php</x:v>
      </x:c>
    </x:row>
    <x:row r="1489" ht="23" customHeight="1">
      <x:c r="A1489" s="2" t="str">
        <x:v>LIE</x:v>
      </x:c>
      <x:c r="B1489" s="2" t="str">
        <x:v>Liechtenstein (Principality of)</x:v>
      </x:c>
      <x:c r="C1489" s="2" t="n">
        <x:v>2015</x:v>
      </x:c>
      <x:c r="D1489" s="2" t="str">
        <x:v>WUP_SURFACE</x:v>
      </x:c>
      <x:c r="E1489" s="17" t="n">
        <x:v>3201232.1963177915</x:v>
      </x:c>
      <x:c r="F1489" s="17" t="n">
        <x:f>IF(AND(M1489,ISNUMBER(R1489)),IF(D1489="TEMPO_PROXY",R1489,IF(AND(ISNUMBER(S1489),S1489&gt;0,ISNUMBER(U1489)),U1489*R1489/S1489,"n.a.")),"n.a.")</x:f>
        <x:v>4695739.977541653</x:v>
      </x:c>
      <x:c r="G1489" s="17" t="n">
        <x:f>IF(AND(ISNUMBER(E1489),ISNUMBER(F1489)),E1489-F1489,"n.a.")</x:f>
        <x:v>-1494507.781223862</x:v>
      </x:c>
      <x:c r="H1489" s="15" t="n">
        <x:f>IF(AND(ISNUMBER(E1489),ISNUMBER(F1489),F1489&gt;0),(E1489-F1489)/F1489,"n.a.")</x:f>
        <x:v>-0.3182688539765094</x:v>
      </x:c>
      <x:c r="I1489" s="19" t="n">
        <x:f>IF(ISNUMBER(H1489),ABS(H1489),"n.a.")</x:f>
        <x:v>0.3182688539765094</x:v>
      </x:c>
      <x:c r="J1489" s="2" t="str">
        <x:v>available</x:v>
      </x:c>
      <x:c r="K1489" s="2" t="n">
        <x:v>1</x:v>
      </x:c>
      <x:c r="L1489" s="13" t="b">
        <x:v>0</x:v>
      </x:c>
      <x:c r="M1489" s="13" t="b">
        <x:v>1</x:v>
      </x:c>
      <x:c r="N1489" s="2" t="str">
        <x:v>historical_GHSL_BU_estimate</x:v>
      </x:c>
      <x:c r="O1489" s="2" t="str"/>
      <x:c r="P1489" s="2" t="str">
        <x:v>horizontal built-up surface</x:v>
      </x:c>
      <x:c r="Q1489" s="2" t="str">
        <x:v>m2</x:v>
      </x:c>
      <x:c r="R1489" s="17" t="n">
        <x:v>4554893.005731174</x:v>
      </x:c>
      <x:c r="S1489" s="17" t="n">
        <x:v>3519854.45</x:v>
      </x:c>
      <x:c r="T1489" s="18" t="n">
        <x:v>1.0309221252032177</x:v>
      </x:c>
      <x:c r="U1489" s="17" t="n">
        <x:v>3628695.830000003</x:v>
      </x:c>
      <x:c r="V1489" s="2" t="str">
        <x:v>Area equivalent = model2020 * WUP surface / TEMPO2020 footprint; km2 multiplied by1e6 once</x:v>
      </x:c>
      <x:c r="W1489" s="2" t="str">
        <x:v>L1_numeric_partition_qualified_not_national_completeness</x:v>
      </x:c>
      <x:c r="X1489" s="2" t="str">
        <x:v>https://human-settlement.emergency.copernicus.eu/datasets.php</x:v>
      </x:c>
    </x:row>
    <x:row r="1490" ht="23" customHeight="1">
      <x:c r="A1490" s="2" t="str">
        <x:v>LKA</x:v>
      </x:c>
      <x:c r="B1490" s="2" t="str">
        <x:v>Sri Lanka (Democratic Socialist Republic of)</x:v>
      </x:c>
      <x:c r="C1490" s="2" t="n">
        <x:v>2015</x:v>
      </x:c>
      <x:c r="D1490" s="2" t="str">
        <x:v>WUP_SURFACE</x:v>
      </x:c>
      <x:c r="E1490" s="17" t="n">
        <x:v>724754528.0104082</x:v>
      </x:c>
      <x:c r="F1490" s="17" t="n">
        <x:f>IF(AND(M1490,ISNUMBER(R1490)),IF(D1490="TEMPO_PROXY",R1490,IF(AND(ISNUMBER(S1490),S1490&gt;0,ISNUMBER(U1490)),U1490*R1490/S1490,"n.a.")),"n.a.")</x:f>
        <x:v>800464390.8456087</x:v>
      </x:c>
      <x:c r="G1490" s="17" t="n">
        <x:f>IF(AND(ISNUMBER(E1490),ISNUMBER(F1490)),E1490-F1490,"n.a.")</x:f>
        <x:v>-75709862.83520055</x:v>
      </x:c>
      <x:c r="H1490" s="15" t="n">
        <x:f>IF(AND(ISNUMBER(E1490),ISNUMBER(F1490),F1490&gt;0),(E1490-F1490)/F1490,"n.a.")</x:f>
        <x:v>-0.09458242452886734</x:v>
      </x:c>
      <x:c r="I1490" s="19" t="n">
        <x:f>IF(ISNUMBER(H1490),ABS(H1490),"n.a.")</x:f>
        <x:v>0.09458242452886734</x:v>
      </x:c>
      <x:c r="J1490" s="2" t="str">
        <x:v>available</x:v>
      </x:c>
      <x:c r="K1490" s="2" t="n">
        <x:v>1</x:v>
      </x:c>
      <x:c r="L1490" s="13" t="b">
        <x:v>0</x:v>
      </x:c>
      <x:c r="M1490" s="13" t="b">
        <x:v>1</x:v>
      </x:c>
      <x:c r="N1490" s="2" t="str">
        <x:v>historical_GHSL_BU_estimate</x:v>
      </x:c>
      <x:c r="O1490" s="2" t="str"/>
      <x:c r="P1490" s="2" t="str">
        <x:v>horizontal built-up surface</x:v>
      </x:c>
      <x:c r="Q1490" s="2" t="str">
        <x:v>m2</x:v>
      </x:c>
      <x:c r="R1490" s="17" t="n">
        <x:v>800464390.845608</x:v>
      </x:c>
      <x:c r="S1490" s="17" t="n">
        <x:v>899293602.29</x:v>
      </x:c>
      <x:c r="T1490" s="18" t="n">
        <x:v>1.0000000000000009</x:v>
      </x:c>
      <x:c r="U1490" s="17" t="n">
        <x:v>899293602.2900008</x:v>
      </x:c>
      <x:c r="V1490" s="2" t="str">
        <x:v>Area equivalent = model2020 * WUP surface / TEMPO2020 footprint; km2 multiplied by1e6 once</x:v>
      </x:c>
      <x:c r="W1490" s="2" t="str">
        <x:v>L1_numeric_partition_qualified_not_national_completeness</x:v>
      </x:c>
      <x:c r="X1490" s="2" t="str">
        <x:v>https://human-settlement.emergency.copernicus.eu/datasets.php</x:v>
      </x:c>
    </x:row>
    <x:row r="1491" ht="23" customHeight="1">
      <x:c r="A1491" s="2" t="str">
        <x:v>LSO</x:v>
      </x:c>
      <x:c r="B1491" s="2" t="str">
        <x:v>Lesotho (Kingdom of)</x:v>
      </x:c>
      <x:c r="C1491" s="2" t="n">
        <x:v>2015</x:v>
      </x:c>
      <x:c r="D1491" s="2" t="str">
        <x:v>WUP_SURFACE</x:v>
      </x:c>
      <x:c r="E1491" s="17" t="n">
        <x:v>50326429.45555801</x:v>
      </x:c>
      <x:c r="F1491" s="17" t="n">
        <x:f>IF(AND(M1491,ISNUMBER(R1491)),IF(D1491="TEMPO_PROXY",R1491,IF(AND(ISNUMBER(S1491),S1491&gt;0,ISNUMBER(U1491)),U1491*R1491/S1491,"n.a.")),"n.a.")</x:f>
        <x:v>175783253.91132987</x:v>
      </x:c>
      <x:c r="G1491" s="17" t="n">
        <x:f>IF(AND(ISNUMBER(E1491),ISNUMBER(F1491)),E1491-F1491,"n.a.")</x:f>
        <x:v>-125456824.45577186</x:v>
      </x:c>
      <x:c r="H1491" s="15" t="n">
        <x:f>IF(AND(ISNUMBER(E1491),ISNUMBER(F1491),F1491&gt;0),(E1491-F1491)/F1491,"n.a.")</x:f>
        <x:v>-0.7137017984605968</x:v>
      </x:c>
      <x:c r="I1491" s="19" t="n">
        <x:f>IF(ISNUMBER(H1491),ABS(H1491),"n.a.")</x:f>
        <x:v>0.7137017984605968</x:v>
      </x:c>
      <x:c r="J1491" s="2" t="str">
        <x:v>available</x:v>
      </x:c>
      <x:c r="K1491" s="2" t="n">
        <x:v>1</x:v>
      </x:c>
      <x:c r="L1491" s="13" t="b">
        <x:v>0</x:v>
      </x:c>
      <x:c r="M1491" s="13" t="b">
        <x:v>1</x:v>
      </x:c>
      <x:c r="N1491" s="2" t="str">
        <x:v>historical_GHSL_BU_estimate</x:v>
      </x:c>
      <x:c r="O1491" s="2" t="str"/>
      <x:c r="P1491" s="2" t="str">
        <x:v>horizontal built-up surface</x:v>
      </x:c>
      <x:c r="Q1491" s="2" t="str">
        <x:v>m2</x:v>
      </x:c>
      <x:c r="R1491" s="17" t="n">
        <x:v>175783253.91132966</x:v>
      </x:c>
      <x:c r="S1491" s="17" t="n">
        <x:v>60655167.15</x:v>
      </x:c>
      <x:c r="T1491" s="18" t="n">
        <x:v>1.0000000000000013</x:v>
      </x:c>
      <x:c r="U1491" s="17" t="n">
        <x:v>60655167.15000007</x:v>
      </x:c>
      <x:c r="V1491" s="2" t="str">
        <x:v>Area equivalent = model2020 * WUP surface / TEMPO2020 footprint; km2 multiplied by1e6 once</x:v>
      </x:c>
      <x:c r="W1491" s="2" t="str">
        <x:v>L1_numeric_partition_qualified_not_national_completeness</x:v>
      </x:c>
      <x:c r="X1491" s="2" t="str">
        <x:v>https://human-settlement.emergency.copernicus.eu/datasets.php</x:v>
      </x:c>
    </x:row>
    <x:row r="1492" ht="23" customHeight="1">
      <x:c r="A1492" s="2" t="str">
        <x:v>LTU</x:v>
      </x:c>
      <x:c r="B1492" s="2" t="str">
        <x:v>Lithuania (Republic of)</x:v>
      </x:c>
      <x:c r="C1492" s="2" t="n">
        <x:v>2015</x:v>
      </x:c>
      <x:c r="D1492" s="2" t="str">
        <x:v>WUP_SURFACE</x:v>
      </x:c>
      <x:c r="E1492" s="17" t="n">
        <x:v>256994964.96758032</x:v>
      </x:c>
      <x:c r="F1492" s="17" t="n">
        <x:f>IF(AND(M1492,ISNUMBER(R1492)),IF(D1492="TEMPO_PROXY",R1492,IF(AND(ISNUMBER(S1492),S1492&gt;0,ISNUMBER(U1492)),U1492*R1492/S1492,"n.a.")),"n.a.")</x:f>
        <x:v>455710125.3224988</x:v>
      </x:c>
      <x:c r="G1492" s="17" t="n">
        <x:f>IF(AND(ISNUMBER(E1492),ISNUMBER(F1492)),E1492-F1492,"n.a.")</x:f>
        <x:v>-198715160.35491848</x:v>
      </x:c>
      <x:c r="H1492" s="15" t="n">
        <x:f>IF(AND(ISNUMBER(E1492),ISNUMBER(F1492),F1492&gt;0),(E1492-F1492)/F1492,"n.a.")</x:f>
        <x:v>-0.43605605693814886</x:v>
      </x:c>
      <x:c r="I1492" s="19" t="n">
        <x:f>IF(ISNUMBER(H1492),ABS(H1492),"n.a.")</x:f>
        <x:v>0.43605605693814886</x:v>
      </x:c>
      <x:c r="J1492" s="2" t="str">
        <x:v>available</x:v>
      </x:c>
      <x:c r="K1492" s="2" t="n">
        <x:v>1</x:v>
      </x:c>
      <x:c r="L1492" s="13" t="b">
        <x:v>0</x:v>
      </x:c>
      <x:c r="M1492" s="13" t="b">
        <x:v>1</x:v>
      </x:c>
      <x:c r="N1492" s="2" t="str">
        <x:v>historical_GHSL_BU_estimate</x:v>
      </x:c>
      <x:c r="O1492" s="2" t="str"/>
      <x:c r="P1492" s="2" t="str">
        <x:v>horizontal built-up surface</x:v>
      </x:c>
      <x:c r="Q1492" s="2" t="str">
        <x:v>m2</x:v>
      </x:c>
      <x:c r="R1492" s="17" t="n">
        <x:v>455710125.3224993</x:v>
      </x:c>
      <x:c r="S1492" s="17" t="n">
        <x:v>269070067.62</x:v>
      </x:c>
      <x:c r="T1492" s="18" t="n">
        <x:v>0.9999999999999989</x:v>
      </x:c>
      <x:c r="U1492" s="17" t="n">
        <x:v>269070067.6199997</x:v>
      </x:c>
      <x:c r="V1492" s="2" t="str">
        <x:v>Area equivalent = model2020 * WUP surface / TEMPO2020 footprint; km2 multiplied by1e6 once</x:v>
      </x:c>
      <x:c r="W1492" s="2" t="str">
        <x:v>L1_numeric_partition_qualified_not_national_completeness</x:v>
      </x:c>
      <x:c r="X1492" s="2" t="str">
        <x:v>https://human-settlement.emergency.copernicus.eu/datasets.php</x:v>
      </x:c>
    </x:row>
    <x:row r="1493" ht="23" customHeight="1">
      <x:c r="A1493" s="2" t="str">
        <x:v>LUX</x:v>
      </x:c>
      <x:c r="B1493" s="2" t="str">
        <x:v>Luxembourg (Grand Duchy of)</x:v>
      </x:c>
      <x:c r="C1493" s="2" t="n">
        <x:v>2015</x:v>
      </x:c>
      <x:c r="D1493" s="2" t="str">
        <x:v>WUP_SURFACE</x:v>
      </x:c>
      <x:c r="E1493" s="17" t="n">
        <x:v>45518478.90477848</x:v>
      </x:c>
      <x:c r="F1493" s="17" t="n">
        <x:f>IF(AND(M1493,ISNUMBER(R1493)),IF(D1493="TEMPO_PROXY",R1493,IF(AND(ISNUMBER(S1493),S1493&gt;0,ISNUMBER(U1493)),U1493*R1493/S1493,"n.a.")),"n.a.")</x:f>
        <x:v>72060430.3454541</x:v>
      </x:c>
      <x:c r="G1493" s="17" t="n">
        <x:f>IF(AND(ISNUMBER(E1493),ISNUMBER(F1493)),E1493-F1493,"n.a.")</x:f>
        <x:v>-26541951.440675616</x:v>
      </x:c>
      <x:c r="H1493" s="15" t="n">
        <x:f>IF(AND(ISNUMBER(E1493),ISNUMBER(F1493),F1493&gt;0),(E1493-F1493)/F1493,"n.a.")</x:f>
        <x:v>-0.36832907205015053</x:v>
      </x:c>
      <x:c r="I1493" s="19" t="n">
        <x:f>IF(ISNUMBER(H1493),ABS(H1493),"n.a.")</x:f>
        <x:v>0.36832907205015053</x:v>
      </x:c>
      <x:c r="J1493" s="2" t="str">
        <x:v>available</x:v>
      </x:c>
      <x:c r="K1493" s="2" t="n">
        <x:v>1</x:v>
      </x:c>
      <x:c r="L1493" s="13" t="b">
        <x:v>0</x:v>
      </x:c>
      <x:c r="M1493" s="13" t="b">
        <x:v>1</x:v>
      </x:c>
      <x:c r="N1493" s="2" t="str">
        <x:v>historical_GHSL_BU_estimate</x:v>
      </x:c>
      <x:c r="O1493" s="2" t="str"/>
      <x:c r="P1493" s="2" t="str">
        <x:v>horizontal built-up surface</x:v>
      </x:c>
      <x:c r="Q1493" s="2" t="str">
        <x:v>m2</x:v>
      </x:c>
      <x:c r="R1493" s="17" t="n">
        <x:v>63604390.979700044</x:v>
      </x:c>
      <x:c r="S1493" s="17" t="n">
        <x:v>43297332.17</x:v>
      </x:c>
      <x:c r="T1493" s="18" t="n">
        <x:v>1.132947415037004</x:v>
      </x:c>
      <x:c r="U1493" s="17" t="n">
        <x:v>49053600.56000002</x:v>
      </x:c>
      <x:c r="V1493" s="2" t="str">
        <x:v>Area equivalent = model2020 * WUP surface / TEMPO2020 footprint; km2 multiplied by1e6 once</x:v>
      </x:c>
      <x:c r="W1493" s="2" t="str">
        <x:v>L1_numeric_partition_qualified_not_national_completeness</x:v>
      </x:c>
      <x:c r="X1493" s="2" t="str">
        <x:v>https://human-settlement.emergency.copernicus.eu/datasets.php</x:v>
      </x:c>
    </x:row>
    <x:row r="1494" ht="23" customHeight="1">
      <x:c r="A1494" s="2" t="str">
        <x:v>LVA</x:v>
      </x:c>
      <x:c r="B1494" s="2" t="str">
        <x:v>Latvia (Republic of)</x:v>
      </x:c>
      <x:c r="C1494" s="2" t="n">
        <x:v>2015</x:v>
      </x:c>
      <x:c r="D1494" s="2" t="str">
        <x:v>WUP_SURFACE</x:v>
      </x:c>
      <x:c r="E1494" s="17" t="n">
        <x:v>140683330.01405793</x:v>
      </x:c>
      <x:c r="F1494" s="17" t="n">
        <x:f>IF(AND(M1494,ISNUMBER(R1494)),IF(D1494="TEMPO_PROXY",R1494,IF(AND(ISNUMBER(S1494),S1494&gt;0,ISNUMBER(U1494)),U1494*R1494/S1494,"n.a.")),"n.a.")</x:f>
        <x:v>247464324.0069118</x:v>
      </x:c>
      <x:c r="G1494" s="17" t="n">
        <x:f>IF(AND(ISNUMBER(E1494),ISNUMBER(F1494)),E1494-F1494,"n.a.")</x:f>
        <x:v>-106780993.99285388</x:v>
      </x:c>
      <x:c r="H1494" s="15" t="n">
        <x:f>IF(AND(ISNUMBER(E1494),ISNUMBER(F1494),F1494&gt;0),(E1494-F1494)/F1494,"n.a.")</x:f>
        <x:v>-0.4315005583991631</x:v>
      </x:c>
      <x:c r="I1494" s="19" t="n">
        <x:f>IF(ISNUMBER(H1494),ABS(H1494),"n.a.")</x:f>
        <x:v>0.4315005583991631</x:v>
      </x:c>
      <x:c r="J1494" s="2" t="str">
        <x:v>available</x:v>
      </x:c>
      <x:c r="K1494" s="2" t="n">
        <x:v>1</x:v>
      </x:c>
      <x:c r="L1494" s="13" t="b">
        <x:v>0</x:v>
      </x:c>
      <x:c r="M1494" s="13" t="b">
        <x:v>1</x:v>
      </x:c>
      <x:c r="N1494" s="2" t="str">
        <x:v>historical_GHSL_BU_estimate</x:v>
      </x:c>
      <x:c r="O1494" s="2" t="str"/>
      <x:c r="P1494" s="2" t="str">
        <x:v>horizontal built-up surface</x:v>
      </x:c>
      <x:c r="Q1494" s="2" t="str">
        <x:v>m2</x:v>
      </x:c>
      <x:c r="R1494" s="17" t="n">
        <x:v>247464324.00691196</x:v>
      </x:c>
      <x:c r="S1494" s="17" t="n">
        <x:v>145154805.19</x:v>
      </x:c>
      <x:c r="T1494" s="18" t="n">
        <x:v>0.9999999999999993</x:v>
      </x:c>
      <x:c r="U1494" s="17" t="n">
        <x:v>145154805.1899999</x:v>
      </x:c>
      <x:c r="V1494" s="2" t="str">
        <x:v>Area equivalent = model2020 * WUP surface / TEMPO2020 footprint; km2 multiplied by1e6 once</x:v>
      </x:c>
      <x:c r="W1494" s="2" t="str">
        <x:v>L1_numeric_partition_qualified_not_national_completeness</x:v>
      </x:c>
      <x:c r="X1494" s="2" t="str">
        <x:v>https://human-settlement.emergency.copernicus.eu/datasets.php</x:v>
      </x:c>
    </x:row>
    <x:row r="1495" ht="23" customHeight="1">
      <x:c r="A1495" s="2" t="str">
        <x:v>MAR</x:v>
      </x:c>
      <x:c r="B1495" s="2" t="str">
        <x:v>Morocco (Kingdom of)</x:v>
      </x:c>
      <x:c r="C1495" s="2" t="n">
        <x:v>2015</x:v>
      </x:c>
      <x:c r="D1495" s="2" t="str">
        <x:v>WUP_SURFACE</x:v>
      </x:c>
      <x:c r="E1495" s="17" t="n">
        <x:v>1142910844.8265724</x:v>
      </x:c>
      <x:c r="F1495" s="17" t="n">
        <x:f>IF(AND(M1495,ISNUMBER(R1495)),IF(D1495="TEMPO_PROXY",R1495,IF(AND(ISNUMBER(S1495),S1495&gt;0,ISNUMBER(U1495)),U1495*R1495/S1495,"n.a.")),"n.a.")</x:f>
        <x:v>803917207.7090707</x:v>
      </x:c>
      <x:c r="G1495" s="17" t="n">
        <x:f>IF(AND(ISNUMBER(E1495),ISNUMBER(F1495)),E1495-F1495,"n.a.")</x:f>
        <x:v>338993637.11750174</x:v>
      </x:c>
      <x:c r="H1495" s="15" t="n">
        <x:f>IF(AND(ISNUMBER(E1495),ISNUMBER(F1495),F1495&gt;0),(E1495-F1495)/F1495,"n.a.")</x:f>
        <x:v>0.42167729943675997</x:v>
      </x:c>
      <x:c r="I1495" s="19" t="n">
        <x:f>IF(ISNUMBER(H1495),ABS(H1495),"n.a.")</x:f>
        <x:v>0.42167729943675997</x:v>
      </x:c>
      <x:c r="J1495" s="2" t="str">
        <x:v>available</x:v>
      </x:c>
      <x:c r="K1495" s="2" t="n">
        <x:v>1</x:v>
      </x:c>
      <x:c r="L1495" s="13" t="b">
        <x:v>0</x:v>
      </x:c>
      <x:c r="M1495" s="13" t="b">
        <x:v>1</x:v>
      </x:c>
      <x:c r="N1495" s="2" t="str">
        <x:v>historical_GHSL_BU_estimate</x:v>
      </x:c>
      <x:c r="O1495" s="2" t="str"/>
      <x:c r="P1495" s="2" t="str">
        <x:v>horizontal built-up surface</x:v>
      </x:c>
      <x:c r="Q1495" s="2" t="str">
        <x:v>m2</x:v>
      </x:c>
      <x:c r="R1495" s="17" t="n">
        <x:v>766938814.3791322</x:v>
      </x:c>
      <x:c r="S1495" s="17" t="n">
        <x:v>1189658461.93</x:v>
      </x:c>
      <x:c r="T1495" s="18" t="n">
        <x:v>1.0482155716161974</x:v>
      </x:c>
      <x:c r="U1495" s="17" t="n">
        <x:v>1247018524.7000012</x:v>
      </x:c>
      <x:c r="V1495" s="2" t="str">
        <x:v>Area equivalent = model2020 * WUP surface / TEMPO2020 footprint; km2 multiplied by1e6 once</x:v>
      </x:c>
      <x:c r="W1495" s="2" t="str">
        <x:v>L1_numeric_partition_qualified_not_national_completeness</x:v>
      </x:c>
      <x:c r="X1495" s="2" t="str">
        <x:v>https://human-settlement.emergency.copernicus.eu/datasets.php</x:v>
      </x:c>
    </x:row>
    <x:row r="1496" ht="23" customHeight="1">
      <x:c r="A1496" s="2" t="str">
        <x:v>MCO</x:v>
      </x:c>
      <x:c r="B1496" s="2" t="str">
        <x:v>Monaco (Principality of)</x:v>
      </x:c>
      <x:c r="C1496" s="2" t="n">
        <x:v>2015</x:v>
      </x:c>
      <x:c r="D1496" s="2" t="str">
        <x:v>WUP_SURFACE</x:v>
      </x:c>
      <x:c r="E1496" s="17" t="n">
        <x:v>1552878.5574787627</x:v>
      </x:c>
      <x:c r="F1496" s="17" t="n">
        <x:f>IF(AND(M1496,ISNUMBER(R1496)),IF(D1496="TEMPO_PROXY",R1496,IF(AND(ISNUMBER(S1496),S1496&gt;0,ISNUMBER(U1496)),U1496*R1496/S1496,"n.a.")),"n.a.")</x:f>
        <x:v>2108271.069055467</x:v>
      </x:c>
      <x:c r="G1496" s="17" t="n">
        <x:f>IF(AND(ISNUMBER(E1496),ISNUMBER(F1496)),E1496-F1496,"n.a.")</x:f>
        <x:v>-555392.5115767042</x:v>
      </x:c>
      <x:c r="H1496" s="15" t="n">
        <x:f>IF(AND(ISNUMBER(E1496),ISNUMBER(F1496),F1496&gt;0),(E1496-F1496)/F1496,"n.a.")</x:f>
        <x:v>-0.26343505810451945</x:v>
      </x:c>
      <x:c r="I1496" s="19" t="n">
        <x:f>IF(ISNUMBER(H1496),ABS(H1496),"n.a.")</x:f>
        <x:v>0.26343505810451945</x:v>
      </x:c>
      <x:c r="J1496" s="2" t="str">
        <x:v>available</x:v>
      </x:c>
      <x:c r="K1496" s="2" t="n">
        <x:v>1</x:v>
      </x:c>
      <x:c r="L1496" s="13" t="b">
        <x:v>0</x:v>
      </x:c>
      <x:c r="M1496" s="13" t="b">
        <x:v>1</x:v>
      </x:c>
      <x:c r="N1496" s="2" t="str">
        <x:v>historical_GHSL_BU_estimate</x:v>
      </x:c>
      <x:c r="O1496" s="2" t="str"/>
      <x:c r="P1496" s="2" t="str">
        <x:v>horizontal built-up surface</x:v>
      </x:c>
      <x:c r="Q1496" s="2" t="str">
        <x:v>m2</x:v>
      </x:c>
      <x:c r="R1496" s="17" t="n">
        <x:v>748718.005081173</x:v>
      </x:c>
      <x:c r="S1496" s="17" t="n">
        <x:v>555169</x:v>
      </x:c>
      <x:c r="T1496" s="18" t="n">
        <x:v>2.8158412843656624</x:v>
      </x:c>
      <x:c r="U1496" s="17" t="n">
        <x:v>1563267.7900000005</x:v>
      </x:c>
      <x:c r="V1496" s="2" t="str">
        <x:v>Area equivalent = model2020 * WUP surface / TEMPO2020 footprint; km2 multiplied by1e6 once</x:v>
      </x:c>
      <x:c r="W1496" s="2" t="str">
        <x:v>L1_numeric_partition_qualified_not_national_completeness</x:v>
      </x:c>
      <x:c r="X1496" s="2" t="str">
        <x:v>https://human-settlement.emergency.copernicus.eu/datasets.php</x:v>
      </x:c>
    </x:row>
    <x:row r="1497" ht="23" customHeight="1">
      <x:c r="A1497" s="2" t="str">
        <x:v>MDA</x:v>
      </x:c>
      <x:c r="B1497" s="2" t="str">
        <x:v>Moldova (Republic of)</x:v>
      </x:c>
      <x:c r="C1497" s="2" t="n">
        <x:v>2015</x:v>
      </x:c>
      <x:c r="D1497" s="2" t="str">
        <x:v>WUP_SURFACE</x:v>
      </x:c>
      <x:c r="E1497" s="17" t="n">
        <x:v>247909213.73238635</x:v>
      </x:c>
      <x:c r="F1497" s="17" t="n">
        <x:f>IF(AND(M1497,ISNUMBER(R1497)),IF(D1497="TEMPO_PROXY",R1497,IF(AND(ISNUMBER(S1497),S1497&gt;0,ISNUMBER(U1497)),U1497*R1497/S1497,"n.a.")),"n.a.")</x:f>
        <x:v>475347978.0596568</x:v>
      </x:c>
      <x:c r="G1497" s="17" t="n">
        <x:f>IF(AND(ISNUMBER(E1497),ISNUMBER(F1497)),E1497-F1497,"n.a.")</x:f>
        <x:v>-227438764.32727045</x:v>
      </x:c>
      <x:c r="H1497" s="15" t="n">
        <x:f>IF(AND(ISNUMBER(E1497),ISNUMBER(F1497),F1497&gt;0),(E1497-F1497)/F1497,"n.a.")</x:f>
        <x:v>-0.4784679325988983</x:v>
      </x:c>
      <x:c r="I1497" s="19" t="n">
        <x:f>IF(ISNUMBER(H1497),ABS(H1497),"n.a.")</x:f>
        <x:v>0.4784679325988983</x:v>
      </x:c>
      <x:c r="J1497" s="2" t="str">
        <x:v>available</x:v>
      </x:c>
      <x:c r="K1497" s="2" t="n">
        <x:v>1</x:v>
      </x:c>
      <x:c r="L1497" s="13" t="b">
        <x:v>0</x:v>
      </x:c>
      <x:c r="M1497" s="13" t="b">
        <x:v>1</x:v>
      </x:c>
      <x:c r="N1497" s="2" t="str">
        <x:v>historical_GHSL_BU_estimate</x:v>
      </x:c>
      <x:c r="O1497" s="2" t="str"/>
      <x:c r="P1497" s="2" t="str">
        <x:v>horizontal built-up surface</x:v>
      </x:c>
      <x:c r="Q1497" s="2" t="str">
        <x:v>m2</x:v>
      </x:c>
      <x:c r="R1497" s="17" t="n">
        <x:v>475347978.0596576</x:v>
      </x:c>
      <x:c r="S1497" s="17" t="n">
        <x:v>254566854.83</x:v>
      </x:c>
      <x:c r="T1497" s="18" t="n">
        <x:v>0.9999999999999983</x:v>
      </x:c>
      <x:c r="U1497" s="17" t="n">
        <x:v>254566854.8299996</x:v>
      </x:c>
      <x:c r="V1497" s="2" t="str">
        <x:v>Area equivalent = model2020 * WUP surface / TEMPO2020 footprint; km2 multiplied by1e6 once</x:v>
      </x:c>
      <x:c r="W1497" s="2" t="str">
        <x:v>L1_numeric_partition_qualified_not_national_completeness</x:v>
      </x:c>
      <x:c r="X1497" s="2" t="str">
        <x:v>https://human-settlement.emergency.copernicus.eu/datasets.php</x:v>
      </x:c>
    </x:row>
    <x:row r="1498" ht="23" customHeight="1">
      <x:c r="A1498" s="2" t="str">
        <x:v>MDG</x:v>
      </x:c>
      <x:c r="B1498" s="2" t="str">
        <x:v>Madagascar (Republic of)</x:v>
      </x:c>
      <x:c r="C1498" s="2" t="n">
        <x:v>2015</x:v>
      </x:c>
      <x:c r="D1498" s="2" t="str">
        <x:v>WUP_SURFACE</x:v>
      </x:c>
      <x:c r="E1498" s="17" t="n">
        <x:v>317984451.7483883</x:v>
      </x:c>
      <x:c r="F1498" s="17" t="n">
        <x:f>IF(AND(M1498,ISNUMBER(R1498)),IF(D1498="TEMPO_PROXY",R1498,IF(AND(ISNUMBER(S1498),S1498&gt;0,ISNUMBER(U1498)),U1498*R1498/S1498,"n.a.")),"n.a.")</x:f>
        <x:v>718290425.0582335</x:v>
      </x:c>
      <x:c r="G1498" s="17" t="n">
        <x:f>IF(AND(ISNUMBER(E1498),ISNUMBER(F1498)),E1498-F1498,"n.a.")</x:f>
        <x:v>-400305973.3098452</x:v>
      </x:c>
      <x:c r="H1498" s="15" t="n">
        <x:f>IF(AND(ISNUMBER(E1498),ISNUMBER(F1498),F1498&gt;0),(E1498-F1498)/F1498,"n.a.")</x:f>
        <x:v>-0.5573037859684562</x:v>
      </x:c>
      <x:c r="I1498" s="19" t="n">
        <x:f>IF(ISNUMBER(H1498),ABS(H1498),"n.a.")</x:f>
        <x:v>0.5573037859684562</x:v>
      </x:c>
      <x:c r="J1498" s="2" t="str">
        <x:v>available</x:v>
      </x:c>
      <x:c r="K1498" s="2" t="n">
        <x:v>1</x:v>
      </x:c>
      <x:c r="L1498" s="13" t="b">
        <x:v>0</x:v>
      </x:c>
      <x:c r="M1498" s="13" t="b">
        <x:v>1</x:v>
      </x:c>
      <x:c r="N1498" s="2" t="str">
        <x:v>historical_GHSL_BU_estimate</x:v>
      </x:c>
      <x:c r="O1498" s="2" t="str"/>
      <x:c r="P1498" s="2" t="str">
        <x:v>horizontal built-up surface</x:v>
      </x:c>
      <x:c r="Q1498" s="2" t="str">
        <x:v>m2</x:v>
      </x:c>
      <x:c r="R1498" s="17" t="n">
        <x:v>718290425.0582347</x:v>
      </x:c>
      <x:c r="S1498" s="17" t="n">
        <x:v>360823089.8</x:v>
      </x:c>
      <x:c r="T1498" s="18" t="n">
        <x:v>0.9999999999999983</x:v>
      </x:c>
      <x:c r="U1498" s="17" t="n">
        <x:v>360823089.7999994</x:v>
      </x:c>
      <x:c r="V1498" s="2" t="str">
        <x:v>Area equivalent = model2020 * WUP surface / TEMPO2020 footprint; km2 multiplied by1e6 once</x:v>
      </x:c>
      <x:c r="W1498" s="2" t="str">
        <x:v>L1_numeric_partition_qualified_not_national_completeness</x:v>
      </x:c>
      <x:c r="X1498" s="2" t="str">
        <x:v>https://human-settlement.emergency.copernicus.eu/datasets.php</x:v>
      </x:c>
    </x:row>
    <x:row r="1499" ht="23" customHeight="1">
      <x:c r="A1499" s="2" t="str">
        <x:v>MDV</x:v>
      </x:c>
      <x:c r="B1499" s="2" t="str">
        <x:v>Maldives (Republic of)</x:v>
      </x:c>
      <x:c r="C1499" s="2" t="n">
        <x:v>2015</x:v>
      </x:c>
      <x:c r="D1499" s="2" t="str">
        <x:v>WUP_SURFACE</x:v>
      </x:c>
      <x:c r="E1499" s="17" t="n">
        <x:v>2180948.3287212565</x:v>
      </x:c>
      <x:c r="F1499" s="17" t="n">
        <x:f>IF(AND(M1499,ISNUMBER(R1499)),IF(D1499="TEMPO_PROXY",R1499,IF(AND(ISNUMBER(S1499),S1499&gt;0,ISNUMBER(U1499)),U1499*R1499/S1499,"n.a.")),"n.a.")</x:f>
        <x:v>6256418.006920742</x:v>
      </x:c>
      <x:c r="G1499" s="17" t="n">
        <x:f>IF(AND(ISNUMBER(E1499),ISNUMBER(F1499)),E1499-F1499,"n.a.")</x:f>
        <x:v>-4075469.6781994854</x:v>
      </x:c>
      <x:c r="H1499" s="15" t="n">
        <x:f>IF(AND(ISNUMBER(E1499),ISNUMBER(F1499),F1499&gt;0),(E1499-F1499)/F1499,"n.a.")</x:f>
        <x:v>-0.6514062317593343</x:v>
      </x:c>
      <x:c r="I1499" s="19" t="n">
        <x:f>IF(ISNUMBER(H1499),ABS(H1499),"n.a.")</x:f>
        <x:v>0.6514062317593343</x:v>
      </x:c>
      <x:c r="J1499" s="2" t="str">
        <x:v>available</x:v>
      </x:c>
      <x:c r="K1499" s="2" t="n">
        <x:v>1</x:v>
      </x:c>
      <x:c r="L1499" s="13" t="b">
        <x:v>0</x:v>
      </x:c>
      <x:c r="M1499" s="13" t="b">
        <x:v>1</x:v>
      </x:c>
      <x:c r="N1499" s="2" t="str">
        <x:v>historical_GHSL_BU_estimate</x:v>
      </x:c>
      <x:c r="O1499" s="2" t="str"/>
      <x:c r="P1499" s="2" t="str">
        <x:v>horizontal built-up surface</x:v>
      </x:c>
      <x:c r="Q1499" s="2" t="str">
        <x:v>m2</x:v>
      </x:c>
      <x:c r="R1499" s="17" t="n">
        <x:v>6256418.00692074</x:v>
      </x:c>
      <x:c r="S1499" s="17" t="n">
        <x:v>2206666.83</x:v>
      </x:c>
      <x:c r="T1499" s="18" t="n">
        <x:v>1.0000000000000004</x:v>
      </x:c>
      <x:c r="U1499" s="17" t="n">
        <x:v>2206666.830000001</x:v>
      </x:c>
      <x:c r="V1499" s="2" t="str">
        <x:v>Area equivalent = model2020 * WUP surface / TEMPO2020 footprint; km2 multiplied by1e6 once</x:v>
      </x:c>
      <x:c r="W1499" s="2" t="str">
        <x:v>L1_numeric_partition_qualified_not_national_completeness</x:v>
      </x:c>
      <x:c r="X1499" s="2" t="str">
        <x:v>https://human-settlement.emergency.copernicus.eu/datasets.php</x:v>
      </x:c>
    </x:row>
    <x:row r="1500" ht="23" customHeight="1">
      <x:c r="A1500" s="2" t="str">
        <x:v>MEX</x:v>
      </x:c>
      <x:c r="B1500" s="2" t="str">
        <x:v>Mexico (United Mexican States)</x:v>
      </x:c>
      <x:c r="C1500" s="2" t="n">
        <x:v>2015</x:v>
      </x:c>
      <x:c r="D1500" s="2" t="str">
        <x:v>WUP_SURFACE</x:v>
      </x:c>
      <x:c r="E1500" s="17" t="n">
        <x:v>5563232285.719894</x:v>
      </x:c>
      <x:c r="F1500" s="17" t="n">
        <x:f>IF(AND(M1500,ISNUMBER(R1500)),IF(D1500="TEMPO_PROXY",R1500,IF(AND(ISNUMBER(S1500),S1500&gt;0,ISNUMBER(U1500)),U1500*R1500/S1500,"n.a.")),"n.a.")</x:f>
        <x:v>8611598082.420702</x:v>
      </x:c>
      <x:c r="G1500" s="17" t="n">
        <x:f>IF(AND(ISNUMBER(E1500),ISNUMBER(F1500)),E1500-F1500,"n.a.")</x:f>
        <x:v>-3048365796.7008076</x:v>
      </x:c>
      <x:c r="H1500" s="15" t="n">
        <x:f>IF(AND(ISNUMBER(E1500),ISNUMBER(F1500),F1500&gt;0),(E1500-F1500)/F1500,"n.a.")</x:f>
        <x:v>-0.35398375162486895</x:v>
      </x:c>
      <x:c r="I1500" s="19" t="n">
        <x:f>IF(ISNUMBER(H1500),ABS(H1500),"n.a.")</x:f>
        <x:v>0.35398375162486895</x:v>
      </x:c>
      <x:c r="J1500" s="2" t="str">
        <x:v>available</x:v>
      </x:c>
      <x:c r="K1500" s="2" t="n">
        <x:v>1</x:v>
      </x:c>
      <x:c r="L1500" s="13" t="b">
        <x:v>0</x:v>
      </x:c>
      <x:c r="M1500" s="13" t="b">
        <x:v>1</x:v>
      </x:c>
      <x:c r="N1500" s="2" t="str">
        <x:v>historical_GHSL_BU_estimate</x:v>
      </x:c>
      <x:c r="O1500" s="2" t="str"/>
      <x:c r="P1500" s="2" t="str">
        <x:v>horizontal built-up surface</x:v>
      </x:c>
      <x:c r="Q1500" s="2" t="str">
        <x:v>m2</x:v>
      </x:c>
      <x:c r="R1500" s="17" t="n">
        <x:v>8611598082.420708</x:v>
      </x:c>
      <x:c r="S1500" s="17" t="n">
        <x:v>6345872319.04</x:v>
      </x:c>
      <x:c r="T1500" s="18" t="n">
        <x:v>0.9999999999999992</x:v>
      </x:c>
      <x:c r="U1500" s="17" t="n">
        <x:v>6345872319.039995</x:v>
      </x:c>
      <x:c r="V1500" s="2" t="str">
        <x:v>Area equivalent = model2020 * WUP surface / TEMPO2020 footprint; km2 multiplied by1e6 once</x:v>
      </x:c>
      <x:c r="W1500" s="2" t="str">
        <x:v>L1_numeric_partition_qualified_not_national_completeness</x:v>
      </x:c>
      <x:c r="X1500" s="2" t="str">
        <x:v>https://human-settlement.emergency.copernicus.eu/datasets.php</x:v>
      </x:c>
    </x:row>
    <x:row r="1501" ht="23" customHeight="1">
      <x:c r="A1501" s="2" t="str">
        <x:v>MHL</x:v>
      </x:c>
      <x:c r="B1501" s="2" t="str">
        <x:v>Marshall Islands (Republic of the)</x:v>
      </x:c>
      <x:c r="C1501" s="2" t="n">
        <x:v>2015</x:v>
      </x:c>
      <x:c r="D1501" s="2" t="str">
        <x:v>WUP_SURFACE</x:v>
      </x:c>
      <x:c r="E1501" s="17" t="n">
        <x:v>195648.419756377</x:v>
      </x:c>
      <x:c r="F1501" s="17" t="n">
        <x:f>IF(AND(M1501,ISNUMBER(R1501)),IF(D1501="TEMPO_PROXY",R1501,IF(AND(ISNUMBER(S1501),S1501&gt;0,ISNUMBER(U1501)),U1501*R1501/S1501,"n.a.")),"n.a.")</x:f>
        <x:v>2384917.9993865164</x:v>
      </x:c>
      <x:c r="G1501" s="17" t="n">
        <x:f>IF(AND(ISNUMBER(E1501),ISNUMBER(F1501)),E1501-F1501,"n.a.")</x:f>
        <x:v>-2189269.5796301393</x:v>
      </x:c>
      <x:c r="H1501" s="15" t="n">
        <x:f>IF(AND(ISNUMBER(E1501),ISNUMBER(F1501),F1501&gt;0),(E1501-F1501)/F1501,"n.a.")</x:f>
        <x:v>-0.9179642990632363</x:v>
      </x:c>
      <x:c r="I1501" s="19" t="n">
        <x:f>IF(ISNUMBER(H1501),ABS(H1501),"n.a.")</x:f>
        <x:v>0.9179642990632363</x:v>
      </x:c>
      <x:c r="J1501" s="2" t="str">
        <x:v>available</x:v>
      </x:c>
      <x:c r="K1501" s="2" t="n">
        <x:v>1</x:v>
      </x:c>
      <x:c r="L1501" s="13" t="b">
        <x:v>0</x:v>
      </x:c>
      <x:c r="M1501" s="13" t="b">
        <x:v>1</x:v>
      </x:c>
      <x:c r="N1501" s="2" t="str">
        <x:v>historical_GHSL_BU_estimate</x:v>
      </x:c>
      <x:c r="O1501" s="2" t="str"/>
      <x:c r="P1501" s="2" t="str">
        <x:v>horizontal built-up surface</x:v>
      </x:c>
      <x:c r="Q1501" s="2" t="str">
        <x:v>m2</x:v>
      </x:c>
      <x:c r="R1501" s="17" t="n">
        <x:v>2384917.9993865164</x:v>
      </x:c>
      <x:c r="S1501" s="17" t="n">
        <x:v>198896.74</x:v>
      </x:c>
      <x:c r="T1501" s="18" t="n">
        <x:v>1</x:v>
      </x:c>
      <x:c r="U1501" s="17" t="n">
        <x:v>198896.74</x:v>
      </x:c>
      <x:c r="V1501" s="2" t="str">
        <x:v>Area equivalent = model2020 * WUP surface / TEMPO2020 footprint; km2 multiplied by1e6 once</x:v>
      </x:c>
      <x:c r="W1501" s="2" t="str">
        <x:v>L1_numeric_partition_qualified_not_national_completeness</x:v>
      </x:c>
      <x:c r="X1501" s="2" t="str">
        <x:v>https://human-settlement.emergency.copernicus.eu/datasets.php</x:v>
      </x:c>
    </x:row>
    <x:row r="1502" ht="23" customHeight="1">
      <x:c r="A1502" s="2" t="str">
        <x:v>MKD</x:v>
      </x:c>
      <x:c r="B1502" s="2" t="str">
        <x:v>North Macedonia (Republic of)</x:v>
      </x:c>
      <x:c r="C1502" s="2" t="n">
        <x:v>2015</x:v>
      </x:c>
      <x:c r="D1502" s="2" t="str">
        <x:v>WUP_SURFACE</x:v>
      </x:c>
      <x:c r="E1502" s="17" t="n">
        <x:v>114316435.8808353</x:v>
      </x:c>
      <x:c r="F1502" s="17" t="n">
        <x:f>IF(AND(M1502,ISNUMBER(R1502)),IF(D1502="TEMPO_PROXY",R1502,IF(AND(ISNUMBER(S1502),S1502&gt;0,ISNUMBER(U1502)),U1502*R1502/S1502,"n.a.")),"n.a.")</x:f>
        <x:v>164993688.11892805</x:v>
      </x:c>
      <x:c r="G1502" s="17" t="n">
        <x:f>IF(AND(ISNUMBER(E1502),ISNUMBER(F1502)),E1502-F1502,"n.a.")</x:f>
        <x:v>-50677252.23809275</x:v>
      </x:c>
      <x:c r="H1502" s="15" t="n">
        <x:f>IF(AND(ISNUMBER(E1502),ISNUMBER(F1502),F1502&gt;0),(E1502-F1502)/F1502,"n.a.")</x:f>
        <x:v>-0.307146611581677</x:v>
      </x:c>
      <x:c r="I1502" s="19" t="n">
        <x:f>IF(ISNUMBER(H1502),ABS(H1502),"n.a.")</x:f>
        <x:v>0.307146611581677</x:v>
      </x:c>
      <x:c r="J1502" s="2" t="str">
        <x:v>available</x:v>
      </x:c>
      <x:c r="K1502" s="2" t="n">
        <x:v>1</x:v>
      </x:c>
      <x:c r="L1502" s="13" t="b">
        <x:v>0</x:v>
      </x:c>
      <x:c r="M1502" s="13" t="b">
        <x:v>1</x:v>
      </x:c>
      <x:c r="N1502" s="2" t="str">
        <x:v>historical_GHSL_BU_estimate</x:v>
      </x:c>
      <x:c r="O1502" s="2" t="str"/>
      <x:c r="P1502" s="2" t="str">
        <x:v>horizontal built-up surface</x:v>
      </x:c>
      <x:c r="Q1502" s="2" t="str">
        <x:v>m2</x:v>
      </x:c>
      <x:c r="R1502" s="17" t="n">
        <x:v>164993688.11892828</x:v>
      </x:c>
      <x:c r="S1502" s="17" t="n">
        <x:v>122189801.59</x:v>
      </x:c>
      <x:c r="T1502" s="18" t="n">
        <x:v>0.9999999999999986</x:v>
      </x:c>
      <x:c r="U1502" s="17" t="n">
        <x:v>122189801.58999982</x:v>
      </x:c>
      <x:c r="V1502" s="2" t="str">
        <x:v>Area equivalent = model2020 * WUP surface / TEMPO2020 footprint; km2 multiplied by1e6 once</x:v>
      </x:c>
      <x:c r="W1502" s="2" t="str">
        <x:v>L1_numeric_partition_qualified_not_national_completeness</x:v>
      </x:c>
      <x:c r="X1502" s="2" t="str">
        <x:v>https://human-settlement.emergency.copernicus.eu/datasets.php</x:v>
      </x:c>
    </x:row>
    <x:row r="1503" ht="23" customHeight="1">
      <x:c r="A1503" s="2" t="str">
        <x:v>MLI</x:v>
      </x:c>
      <x:c r="B1503" s="2" t="str">
        <x:v>Mali (Republic of)</x:v>
      </x:c>
      <x:c r="C1503" s="2" t="n">
        <x:v>2015</x:v>
      </x:c>
      <x:c r="D1503" s="2" t="str">
        <x:v>WUP_SURFACE</x:v>
      </x:c>
      <x:c r="E1503" s="17" t="n">
        <x:v>292905544.7978866</x:v>
      </x:c>
      <x:c r="F1503" s="17" t="n">
        <x:f>IF(AND(M1503,ISNUMBER(R1503)),IF(D1503="TEMPO_PROXY",R1503,IF(AND(ISNUMBER(S1503),S1503&gt;0,ISNUMBER(U1503)),U1503*R1503/S1503,"n.a.")),"n.a.")</x:f>
        <x:v>941149601.0803206</x:v>
      </x:c>
      <x:c r="G1503" s="17" t="n">
        <x:f>IF(AND(ISNUMBER(E1503),ISNUMBER(F1503)),E1503-F1503,"n.a.")</x:f>
        <x:v>-648244056.282434</x:v>
      </x:c>
      <x:c r="H1503" s="15" t="n">
        <x:f>IF(AND(ISNUMBER(E1503),ISNUMBER(F1503),F1503&gt;0),(E1503-F1503)/F1503,"n.a.")</x:f>
        <x:v>-0.6887789736491753</x:v>
      </x:c>
      <x:c r="I1503" s="19" t="n">
        <x:f>IF(ISNUMBER(H1503),ABS(H1503),"n.a.")</x:f>
        <x:v>0.6887789736491753</x:v>
      </x:c>
      <x:c r="J1503" s="2" t="str">
        <x:v>available</x:v>
      </x:c>
      <x:c r="K1503" s="2" t="n">
        <x:v>1</x:v>
      </x:c>
      <x:c r="L1503" s="13" t="b">
        <x:v>0</x:v>
      </x:c>
      <x:c r="M1503" s="13" t="b">
        <x:v>1</x:v>
      </x:c>
      <x:c r="N1503" s="2" t="str">
        <x:v>historical_GHSL_BU_estimate</x:v>
      </x:c>
      <x:c r="O1503" s="2" t="str"/>
      <x:c r="P1503" s="2" t="str">
        <x:v>horizontal built-up surface</x:v>
      </x:c>
      <x:c r="Q1503" s="2" t="str">
        <x:v>m2</x:v>
      </x:c>
      <x:c r="R1503" s="17" t="n">
        <x:v>941149601.0803192</x:v>
      </x:c>
      <x:c r="S1503" s="17" t="n">
        <x:v>323707340.75</x:v>
      </x:c>
      <x:c r="T1503" s="18" t="n">
        <x:v>1.0000000000000016</x:v>
      </x:c>
      <x:c r="U1503" s="17" t="n">
        <x:v>323707340.7500005</x:v>
      </x:c>
      <x:c r="V1503" s="2" t="str">
        <x:v>Area equivalent = model2020 * WUP surface / TEMPO2020 footprint; km2 multiplied by1e6 once</x:v>
      </x:c>
      <x:c r="W1503" s="2" t="str">
        <x:v>L1_numeric_partition_qualified_not_national_completeness</x:v>
      </x:c>
      <x:c r="X1503" s="2" t="str">
        <x:v>https://human-settlement.emergency.copernicus.eu/datasets.php</x:v>
      </x:c>
    </x:row>
    <x:row r="1504" ht="23" customHeight="1">
      <x:c r="A1504" s="2" t="str">
        <x:v>MLT</x:v>
      </x:c>
      <x:c r="B1504" s="2" t="str">
        <x:v>Malta (Republic of)</x:v>
      </x:c>
      <x:c r="C1504" s="2" t="n">
        <x:v>2015</x:v>
      </x:c>
      <x:c r="D1504" s="2" t="str">
        <x:v>WUP_SURFACE</x:v>
      </x:c>
      <x:c r="E1504" s="17" t="n">
        <x:v>33156469.088490263</x:v>
      </x:c>
      <x:c r="F1504" s="17" t="n">
        <x:f>IF(AND(M1504,ISNUMBER(R1504)),IF(D1504="TEMPO_PROXY",R1504,IF(AND(ISNUMBER(S1504),S1504&gt;0,ISNUMBER(U1504)),U1504*R1504/S1504,"n.a.")),"n.a.")</x:f>
        <x:v>44193798.51244903</x:v>
      </x:c>
      <x:c r="G1504" s="17" t="n">
        <x:f>IF(AND(ISNUMBER(E1504),ISNUMBER(F1504)),E1504-F1504,"n.a.")</x:f>
        <x:v>-11037329.42395877</x:v>
      </x:c>
      <x:c r="H1504" s="15" t="n">
        <x:f>IF(AND(ISNUMBER(E1504),ISNUMBER(F1504),F1504&gt;0),(E1504-F1504)/F1504,"n.a.")</x:f>
        <x:v>-0.2497483763666444</x:v>
      </x:c>
      <x:c r="I1504" s="19" t="n">
        <x:f>IF(ISNUMBER(H1504),ABS(H1504),"n.a.")</x:f>
        <x:v>0.2497483763666444</x:v>
      </x:c>
      <x:c r="J1504" s="2" t="str">
        <x:v>available</x:v>
      </x:c>
      <x:c r="K1504" s="2" t="n">
        <x:v>1</x:v>
      </x:c>
      <x:c r="L1504" s="13" t="b">
        <x:v>0</x:v>
      </x:c>
      <x:c r="M1504" s="13" t="b">
        <x:v>1</x:v>
      </x:c>
      <x:c r="N1504" s="2" t="str">
        <x:v>historical_GHSL_BU_estimate</x:v>
      </x:c>
      <x:c r="O1504" s="2" t="str"/>
      <x:c r="P1504" s="2" t="str">
        <x:v>horizontal built-up surface</x:v>
      </x:c>
      <x:c r="Q1504" s="2" t="str">
        <x:v>m2</x:v>
      </x:c>
      <x:c r="R1504" s="17" t="n">
        <x:v>33163623.955393177</x:v>
      </x:c>
      <x:c r="S1504" s="17" t="n">
        <x:v>26330050.25</x:v>
      </x:c>
      <x:c r="T1504" s="18" t="n">
        <x:v>1.3325985897045516</x:v>
      </x:c>
      <x:c r="U1504" s="17" t="n">
        <x:v>35087387.829999976</x:v>
      </x:c>
      <x:c r="V1504" s="2" t="str">
        <x:v>Area equivalent = model2020 * WUP surface / TEMPO2020 footprint; km2 multiplied by1e6 once</x:v>
      </x:c>
      <x:c r="W1504" s="2" t="str">
        <x:v>L1_numeric_partition_qualified_not_national_completeness</x:v>
      </x:c>
      <x:c r="X1504" s="2" t="str">
        <x:v>https://human-settlement.emergency.copernicus.eu/datasets.php</x:v>
      </x:c>
    </x:row>
    <x:row r="1505" ht="23" customHeight="1">
      <x:c r="A1505" s="2" t="str">
        <x:v>MMR</x:v>
      </x:c>
      <x:c r="B1505" s="2" t="str">
        <x:v>Myanmar (Republic of the Union of)</x:v>
      </x:c>
      <x:c r="C1505" s="2" t="n">
        <x:v>2015</x:v>
      </x:c>
      <x:c r="D1505" s="2" t="str">
        <x:v>WUP_SURFACE</x:v>
      </x:c>
      <x:c r="E1505" s="17" t="n">
        <x:v>1286938747.3309321</x:v>
      </x:c>
      <x:c r="F1505" s="17" t="n">
        <x:f>IF(AND(M1505,ISNUMBER(R1505)),IF(D1505="TEMPO_PROXY",R1505,IF(AND(ISNUMBER(S1505),S1505&gt;0,ISNUMBER(U1505)),U1505*R1505/S1505,"n.a.")),"n.a.")</x:f>
        <x:v>1152074237.3592792</x:v>
      </x:c>
      <x:c r="G1505" s="17" t="n">
        <x:f>IF(AND(ISNUMBER(E1505),ISNUMBER(F1505)),E1505-F1505,"n.a.")</x:f>
        <x:v>134864509.97165298</x:v>
      </x:c>
      <x:c r="H1505" s="15" t="n">
        <x:f>IF(AND(ISNUMBER(E1505),ISNUMBER(F1505),F1505&gt;0),(E1505-F1505)/F1505,"n.a.")</x:f>
        <x:v>0.1170623433788277</x:v>
      </x:c>
      <x:c r="I1505" s="19" t="n">
        <x:f>IF(ISNUMBER(H1505),ABS(H1505),"n.a.")</x:f>
        <x:v>0.1170623433788277</x:v>
      </x:c>
      <x:c r="J1505" s="2" t="str">
        <x:v>available</x:v>
      </x:c>
      <x:c r="K1505" s="2" t="n">
        <x:v>1</x:v>
      </x:c>
      <x:c r="L1505" s="13" t="b">
        <x:v>0</x:v>
      </x:c>
      <x:c r="M1505" s="13" t="b">
        <x:v>1</x:v>
      </x:c>
      <x:c r="N1505" s="2" t="str">
        <x:v>historical_GHSL_BU_estimate</x:v>
      </x:c>
      <x:c r="O1505" s="2" t="str"/>
      <x:c r="P1505" s="2" t="str">
        <x:v>horizontal built-up surface</x:v>
      </x:c>
      <x:c r="Q1505" s="2" t="str">
        <x:v>m2</x:v>
      </x:c>
      <x:c r="R1505" s="17" t="n">
        <x:v>1152074237.359281</x:v>
      </x:c>
      <x:c r="S1505" s="17" t="n">
        <x:v>1377164281.68</x:v>
      </x:c>
      <x:c r="T1505" s="18" t="n">
        <x:v>0.9999999999999982</x:v>
      </x:c>
      <x:c r="U1505" s="17" t="n">
        <x:v>1377164281.6799977</x:v>
      </x:c>
      <x:c r="V1505" s="2" t="str">
        <x:v>Area equivalent = model2020 * WUP surface / TEMPO2020 footprint; km2 multiplied by1e6 once</x:v>
      </x:c>
      <x:c r="W1505" s="2" t="str">
        <x:v>L1_numeric_partition_qualified_not_national_completeness</x:v>
      </x:c>
      <x:c r="X1505" s="2" t="str">
        <x:v>https://human-settlement.emergency.copernicus.eu/datasets.php</x:v>
      </x:c>
    </x:row>
    <x:row r="1506" ht="23" customHeight="1">
      <x:c r="A1506" s="2" t="str">
        <x:v>MNE</x:v>
      </x:c>
      <x:c r="B1506" s="2" t="str">
        <x:v>Montenegro</x:v>
      </x:c>
      <x:c r="C1506" s="2" t="n">
        <x:v>2015</x:v>
      </x:c>
      <x:c r="D1506" s="2" t="str">
        <x:v>WUP_SURFACE</x:v>
      </x:c>
      <x:c r="E1506" s="17" t="n">
        <x:v>36534168.559464976</x:v>
      </x:c>
      <x:c r="F1506" s="17" t="n">
        <x:f>IF(AND(M1506,ISNUMBER(R1506)),IF(D1506="TEMPO_PROXY",R1506,IF(AND(ISNUMBER(S1506),S1506&gt;0,ISNUMBER(U1506)),U1506*R1506/S1506,"n.a.")),"n.a.")</x:f>
        <x:v>37523918.006354116</x:v>
      </x:c>
      <x:c r="G1506" s="17" t="n">
        <x:f>IF(AND(ISNUMBER(E1506),ISNUMBER(F1506)),E1506-F1506,"n.a.")</x:f>
        <x:v>-989749.4468891397</x:v>
      </x:c>
      <x:c r="H1506" s="15" t="n">
        <x:f>IF(AND(ISNUMBER(E1506),ISNUMBER(F1506),F1506&gt;0),(E1506-F1506)/F1506,"n.a.")</x:f>
        <x:v>-0.026376495298852866</x:v>
      </x:c>
      <x:c r="I1506" s="19" t="n">
        <x:f>IF(ISNUMBER(H1506),ABS(H1506),"n.a.")</x:f>
        <x:v>0.026376495298852866</x:v>
      </x:c>
      <x:c r="J1506" s="2" t="str">
        <x:v>available</x:v>
      </x:c>
      <x:c r="K1506" s="2" t="n">
        <x:v>1</x:v>
      </x:c>
      <x:c r="L1506" s="13" t="b">
        <x:v>0</x:v>
      </x:c>
      <x:c r="M1506" s="13" t="b">
        <x:v>1</x:v>
      </x:c>
      <x:c r="N1506" s="2" t="str">
        <x:v>historical_GHSL_BU_estimate</x:v>
      </x:c>
      <x:c r="O1506" s="2" t="str"/>
      <x:c r="P1506" s="2" t="str">
        <x:v>horizontal built-up surface</x:v>
      </x:c>
      <x:c r="Q1506" s="2" t="str">
        <x:v>m2</x:v>
      </x:c>
      <x:c r="R1506" s="17" t="n">
        <x:v>37523918.00635417</x:v>
      </x:c>
      <x:c r="S1506" s="17" t="n">
        <x:v>39447648.86</x:v>
      </x:c>
      <x:c r="T1506" s="18" t="n">
        <x:v>0.9999999999999987</x:v>
      </x:c>
      <x:c r="U1506" s="17" t="n">
        <x:v>39447648.85999995</x:v>
      </x:c>
      <x:c r="V1506" s="2" t="str">
        <x:v>Area equivalent = model2020 * WUP surface / TEMPO2020 footprint; km2 multiplied by1e6 once</x:v>
      </x:c>
      <x:c r="W1506" s="2" t="str">
        <x:v>L1_numeric_partition_qualified_not_national_completeness</x:v>
      </x:c>
      <x:c r="X1506" s="2" t="str">
        <x:v>https://human-settlement.emergency.copernicus.eu/datasets.php</x:v>
      </x:c>
    </x:row>
    <x:row r="1507" ht="23" customHeight="1">
      <x:c r="A1507" s="2" t="str">
        <x:v>MNG</x:v>
      </x:c>
      <x:c r="B1507" s="2" t="str">
        <x:v>Mongolia</x:v>
      </x:c>
      <x:c r="C1507" s="2" t="n">
        <x:v>2015</x:v>
      </x:c>
      <x:c r="D1507" s="2" t="str">
        <x:v>WUP_SURFACE</x:v>
      </x:c>
      <x:c r="E1507" s="17" t="n">
        <x:v>80989306.79948433</x:v>
      </x:c>
      <x:c r="F1507" s="17" t="n">
        <x:f>IF(AND(M1507,ISNUMBER(R1507)),IF(D1507="TEMPO_PROXY",R1507,IF(AND(ISNUMBER(S1507),S1507&gt;0,ISNUMBER(U1507)),U1507*R1507/S1507,"n.a.")),"n.a.")</x:f>
        <x:v>157926300.76436907</x:v>
      </x:c>
      <x:c r="G1507" s="17" t="n">
        <x:f>IF(AND(ISNUMBER(E1507),ISNUMBER(F1507)),E1507-F1507,"n.a.")</x:f>
        <x:v>-76936993.96488474</x:v>
      </x:c>
      <x:c r="H1507" s="15" t="n">
        <x:f>IF(AND(ISNUMBER(E1507),ISNUMBER(F1507),F1507&gt;0),(E1507-F1507)/F1507,"n.a.")</x:f>
        <x:v>-0.48717024075475</x:v>
      </x:c>
      <x:c r="I1507" s="19" t="n">
        <x:f>IF(ISNUMBER(H1507),ABS(H1507),"n.a.")</x:f>
        <x:v>0.48717024075475</x:v>
      </x:c>
      <x:c r="J1507" s="2" t="str">
        <x:v>available</x:v>
      </x:c>
      <x:c r="K1507" s="2" t="n">
        <x:v>1</x:v>
      </x:c>
      <x:c r="L1507" s="13" t="b">
        <x:v>0</x:v>
      </x:c>
      <x:c r="M1507" s="13" t="b">
        <x:v>1</x:v>
      </x:c>
      <x:c r="N1507" s="2" t="str">
        <x:v>historical_GHSL_BU_estimate</x:v>
      </x:c>
      <x:c r="O1507" s="2" t="str"/>
      <x:c r="P1507" s="2" t="str">
        <x:v>horizontal built-up surface</x:v>
      </x:c>
      <x:c r="Q1507" s="2" t="str">
        <x:v>m2</x:v>
      </x:c>
      <x:c r="R1507" s="17" t="n">
        <x:v>157487542.0411804</x:v>
      </x:c>
      <x:c r="S1507" s="17" t="n">
        <x:v>83111291.45</x:v>
      </x:c>
      <x:c r="T1507" s="18" t="n">
        <x:v>1.0027859900377005</x:v>
      </x:c>
      <x:c r="U1507" s="17" t="n">
        <x:v>83342838.68000013</x:v>
      </x:c>
      <x:c r="V1507" s="2" t="str">
        <x:v>Area equivalent = model2020 * WUP surface / TEMPO2020 footprint; km2 multiplied by1e6 once</x:v>
      </x:c>
      <x:c r="W1507" s="2" t="str">
        <x:v>L1_numeric_partition_qualified_not_national_completeness</x:v>
      </x:c>
      <x:c r="X1507" s="2" t="str">
        <x:v>https://human-settlement.emergency.copernicus.eu/datasets.php</x:v>
      </x:c>
    </x:row>
    <x:row r="1508" ht="23" customHeight="1">
      <x:c r="A1508" s="2" t="str">
        <x:v>MOZ</x:v>
      </x:c>
      <x:c r="B1508" s="2" t="str">
        <x:v>Mozambique (Republic of)</x:v>
      </x:c>
      <x:c r="C1508" s="2" t="n">
        <x:v>2015</x:v>
      </x:c>
      <x:c r="D1508" s="2" t="str">
        <x:v>WUP_SURFACE</x:v>
      </x:c>
      <x:c r="E1508" s="17" t="n">
        <x:v>435532536.29439145</x:v>
      </x:c>
      <x:c r="F1508" s="17" t="n">
        <x:f>IF(AND(M1508,ISNUMBER(R1508)),IF(D1508="TEMPO_PROXY",R1508,IF(AND(ISNUMBER(S1508),S1508&gt;0,ISNUMBER(U1508)),U1508*R1508/S1508,"n.a.")),"n.a.")</x:f>
        <x:v>1579703911.9137626</x:v>
      </x:c>
      <x:c r="G1508" s="17" t="n">
        <x:f>IF(AND(ISNUMBER(E1508),ISNUMBER(F1508)),E1508-F1508,"n.a.")</x:f>
        <x:v>-1144171375.6193712</x:v>
      </x:c>
      <x:c r="H1508" s="15" t="n">
        <x:f>IF(AND(ISNUMBER(E1508),ISNUMBER(F1508),F1508&gt;0),(E1508-F1508)/F1508,"n.a.")</x:f>
        <x:v>-0.7242948295502053</x:v>
      </x:c>
      <x:c r="I1508" s="19" t="n">
        <x:f>IF(ISNUMBER(H1508),ABS(H1508),"n.a.")</x:f>
        <x:v>0.7242948295502053</x:v>
      </x:c>
      <x:c r="J1508" s="2" t="str">
        <x:v>available</x:v>
      </x:c>
      <x:c r="K1508" s="2" t="n">
        <x:v>1</x:v>
      </x:c>
      <x:c r="L1508" s="13" t="b">
        <x:v>0</x:v>
      </x:c>
      <x:c r="M1508" s="13" t="b">
        <x:v>1</x:v>
      </x:c>
      <x:c r="N1508" s="2" t="str">
        <x:v>historical_GHSL_BU_estimate</x:v>
      </x:c>
      <x:c r="O1508" s="2" t="str"/>
      <x:c r="P1508" s="2" t="str">
        <x:v>horizontal built-up surface</x:v>
      </x:c>
      <x:c r="Q1508" s="2" t="str">
        <x:v>m2</x:v>
      </x:c>
      <x:c r="R1508" s="17" t="n">
        <x:v>1579703911.9137602</x:v>
      </x:c>
      <x:c r="S1508" s="17" t="n">
        <x:v>540811235.53</x:v>
      </x:c>
      <x:c r="T1508" s="18" t="n">
        <x:v>1.0000000000000016</x:v>
      </x:c>
      <x:c r="U1508" s="17" t="n">
        <x:v>540811235.5300008</x:v>
      </x:c>
      <x:c r="V1508" s="2" t="str">
        <x:v>Area equivalent = model2020 * WUP surface / TEMPO2020 footprint; km2 multiplied by1e6 once</x:v>
      </x:c>
      <x:c r="W1508" s="2" t="str">
        <x:v>L1_numeric_partition_qualified_not_national_completeness</x:v>
      </x:c>
      <x:c r="X1508" s="2" t="str">
        <x:v>https://human-settlement.emergency.copernicus.eu/datasets.php</x:v>
      </x:c>
    </x:row>
    <x:row r="1509" ht="23" customHeight="1">
      <x:c r="A1509" s="2" t="str">
        <x:v>MRT</x:v>
      </x:c>
      <x:c r="B1509" s="2" t="str">
        <x:v>Mauritania (Islamic Republic of)</x:v>
      </x:c>
      <x:c r="C1509" s="2" t="n">
        <x:v>2015</x:v>
      </x:c>
      <x:c r="D1509" s="2" t="str">
        <x:v>WUP_SURFACE</x:v>
      </x:c>
      <x:c r="E1509" s="17" t="n">
        <x:v>72013775.59625307</x:v>
      </x:c>
      <x:c r="F1509" s="17" t="n">
        <x:f>IF(AND(M1509,ISNUMBER(R1509)),IF(D1509="TEMPO_PROXY",R1509,IF(AND(ISNUMBER(S1509),S1509&gt;0,ISNUMBER(U1509)),U1509*R1509/S1509,"n.a.")),"n.a.")</x:f>
        <x:v>168185367.09510878</x:v>
      </x:c>
      <x:c r="G1509" s="17" t="n">
        <x:f>IF(AND(ISNUMBER(E1509),ISNUMBER(F1509)),E1509-F1509,"n.a.")</x:f>
        <x:v>-96171591.49885571</x:v>
      </x:c>
      <x:c r="H1509" s="15" t="n">
        <x:f>IF(AND(ISNUMBER(E1509),ISNUMBER(F1509),F1509&gt;0),(E1509-F1509)/F1509,"n.a.")</x:f>
        <x:v>-0.5718190182649523</x:v>
      </x:c>
      <x:c r="I1509" s="19" t="n">
        <x:f>IF(ISNUMBER(H1509),ABS(H1509),"n.a.")</x:f>
        <x:v>0.5718190182649523</x:v>
      </x:c>
      <x:c r="J1509" s="2" t="str">
        <x:v>available</x:v>
      </x:c>
      <x:c r="K1509" s="2" t="n">
        <x:v>1</x:v>
      </x:c>
      <x:c r="L1509" s="13" t="b">
        <x:v>0</x:v>
      </x:c>
      <x:c r="M1509" s="13" t="b">
        <x:v>1</x:v>
      </x:c>
      <x:c r="N1509" s="2" t="str">
        <x:v>historical_GHSL_BU_estimate</x:v>
      </x:c>
      <x:c r="O1509" s="2" t="str"/>
      <x:c r="P1509" s="2" t="str">
        <x:v>horizontal built-up surface</x:v>
      </x:c>
      <x:c r="Q1509" s="2" t="str">
        <x:v>m2</x:v>
      </x:c>
      <x:c r="R1509" s="17" t="n">
        <x:v>168185367.09510863</x:v>
      </x:c>
      <x:c r="S1509" s="17" t="n">
        <x:v>97384454.07</x:v>
      </x:c>
      <x:c r="T1509" s="18" t="n">
        <x:v>1.0000000000000009</x:v>
      </x:c>
      <x:c r="U1509" s="17" t="n">
        <x:v>97384454.07000008</x:v>
      </x:c>
      <x:c r="V1509" s="2" t="str">
        <x:v>Area equivalent = model2020 * WUP surface / TEMPO2020 footprint; km2 multiplied by1e6 once</x:v>
      </x:c>
      <x:c r="W1509" s="2" t="str">
        <x:v>L1_numeric_partition_qualified_not_national_completeness</x:v>
      </x:c>
      <x:c r="X1509" s="2" t="str">
        <x:v>https://human-settlement.emergency.copernicus.eu/datasets.php</x:v>
      </x:c>
    </x:row>
    <x:row r="1510" ht="23" customHeight="1">
      <x:c r="A1510" s="2" t="str">
        <x:v>MUS</x:v>
      </x:c>
      <x:c r="B1510" s="2" t="str">
        <x:v>Mauritius (Republic of)</x:v>
      </x:c>
      <x:c r="C1510" s="2" t="n">
        <x:v>2015</x:v>
      </x:c>
      <x:c r="D1510" s="2" t="str">
        <x:v>WUP_SURFACE</x:v>
      </x:c>
      <x:c r="E1510" s="17" t="n">
        <x:v>62566806.81444254</x:v>
      </x:c>
      <x:c r="F1510" s="17" t="n">
        <x:f>IF(AND(M1510,ISNUMBER(R1510)),IF(D1510="TEMPO_PROXY",R1510,IF(AND(ISNUMBER(S1510),S1510&gt;0,ISNUMBER(U1510)),U1510*R1510/S1510,"n.a.")),"n.a.")</x:f>
        <x:v>71752518.34354916</x:v>
      </x:c>
      <x:c r="G1510" s="17" t="n">
        <x:f>IF(AND(ISNUMBER(E1510),ISNUMBER(F1510)),E1510-F1510,"n.a.")</x:f>
        <x:v>-9185711.529106624</x:v>
      </x:c>
      <x:c r="H1510" s="15" t="n">
        <x:f>IF(AND(ISNUMBER(E1510),ISNUMBER(F1510),F1510&gt;0),(E1510-F1510)/F1510,"n.a.")</x:f>
        <x:v>-0.1280193607299702</x:v>
      </x:c>
      <x:c r="I1510" s="19" t="n">
        <x:f>IF(ISNUMBER(H1510),ABS(H1510),"n.a.")</x:f>
        <x:v>0.1280193607299702</x:v>
      </x:c>
      <x:c r="J1510" s="2" t="str">
        <x:v>available</x:v>
      </x:c>
      <x:c r="K1510" s="2" t="n">
        <x:v>1</x:v>
      </x:c>
      <x:c r="L1510" s="13" t="b">
        <x:v>0</x:v>
      </x:c>
      <x:c r="M1510" s="13" t="b">
        <x:v>1</x:v>
      </x:c>
      <x:c r="N1510" s="2" t="str">
        <x:v>historical_GHSL_BU_estimate</x:v>
      </x:c>
      <x:c r="O1510" s="2" t="str"/>
      <x:c r="P1510" s="2" t="str">
        <x:v>horizontal built-up surface</x:v>
      </x:c>
      <x:c r="Q1510" s="2" t="str">
        <x:v>m2</x:v>
      </x:c>
      <x:c r="R1510" s="17" t="n">
        <x:v>71326450.99880995</x:v>
      </x:c>
      <x:c r="S1510" s="17" t="n">
        <x:v>64765689.96</x:v>
      </x:c>
      <x:c r="T1510" s="18" t="n">
        <x:v>1.00597348303151</x:v>
      </x:c>
      <x:c r="U1510" s="17" t="n">
        <x:v>65152566.7100001</x:v>
      </x:c>
      <x:c r="V1510" s="2" t="str">
        <x:v>Area equivalent = model2020 * WUP surface / TEMPO2020 footprint; km2 multiplied by1e6 once</x:v>
      </x:c>
      <x:c r="W1510" s="2" t="str">
        <x:v>L1_numeric_partition_qualified_not_national_completeness</x:v>
      </x:c>
      <x:c r="X1510" s="2" t="str">
        <x:v>https://human-settlement.emergency.copernicus.eu/datasets.php</x:v>
      </x:c>
    </x:row>
    <x:row r="1511" ht="23" customHeight="1">
      <x:c r="A1511" s="2" t="str">
        <x:v>MWI</x:v>
      </x:c>
      <x:c r="B1511" s="2" t="str">
        <x:v>Malawi (Republic of)</x:v>
      </x:c>
      <x:c r="C1511" s="2" t="n">
        <x:v>2015</x:v>
      </x:c>
      <x:c r="D1511" s="2" t="str">
        <x:v>WUP_SURFACE</x:v>
      </x:c>
      <x:c r="E1511" s="17" t="n">
        <x:v>275589507.2350312</x:v>
      </x:c>
      <x:c r="F1511" s="17" t="n">
        <x:f>IF(AND(M1511,ISNUMBER(R1511)),IF(D1511="TEMPO_PROXY",R1511,IF(AND(ISNUMBER(S1511),S1511&gt;0,ISNUMBER(U1511)),U1511*R1511/S1511,"n.a.")),"n.a.")</x:f>
        <x:v>922569011.0738757</x:v>
      </x:c>
      <x:c r="G1511" s="17" t="n">
        <x:f>IF(AND(ISNUMBER(E1511),ISNUMBER(F1511)),E1511-F1511,"n.a.")</x:f>
        <x:v>-646979503.8388445</x:v>
      </x:c>
      <x:c r="H1511" s="15" t="n">
        <x:f>IF(AND(ISNUMBER(E1511),ISNUMBER(F1511),F1511&gt;0),(E1511-F1511)/F1511,"n.a.")</x:f>
        <x:v>-0.7012803335825866</x:v>
      </x:c>
      <x:c r="I1511" s="19" t="n">
        <x:f>IF(ISNUMBER(H1511),ABS(H1511),"n.a.")</x:f>
        <x:v>0.7012803335825866</x:v>
      </x:c>
      <x:c r="J1511" s="2" t="str">
        <x:v>available</x:v>
      </x:c>
      <x:c r="K1511" s="2" t="n">
        <x:v>1</x:v>
      </x:c>
      <x:c r="L1511" s="13" t="b">
        <x:v>0</x:v>
      </x:c>
      <x:c r="M1511" s="13" t="b">
        <x:v>1</x:v>
      </x:c>
      <x:c r="N1511" s="2" t="str">
        <x:v>historical_GHSL_BU_estimate</x:v>
      </x:c>
      <x:c r="O1511" s="2" t="str"/>
      <x:c r="P1511" s="2" t="str">
        <x:v>horizontal built-up surface</x:v>
      </x:c>
      <x:c r="Q1511" s="2" t="str">
        <x:v>m2</x:v>
      </x:c>
      <x:c r="R1511" s="17" t="n">
        <x:v>922569011.0738764</x:v>
      </x:c>
      <x:c r="S1511" s="17" t="n">
        <x:v>330771641.02</x:v>
      </x:c>
      <x:c r="T1511" s="18" t="n">
        <x:v>0.9999999999999993</x:v>
      </x:c>
      <x:c r="U1511" s="17" t="n">
        <x:v>330771641.01999974</x:v>
      </x:c>
      <x:c r="V1511" s="2" t="str">
        <x:v>Area equivalent = model2020 * WUP surface / TEMPO2020 footprint; km2 multiplied by1e6 once</x:v>
      </x:c>
      <x:c r="W1511" s="2" t="str">
        <x:v>L1_numeric_partition_qualified_not_national_completeness</x:v>
      </x:c>
      <x:c r="X1511" s="2" t="str">
        <x:v>https://human-settlement.emergency.copernicus.eu/datasets.php</x:v>
      </x:c>
    </x:row>
    <x:row r="1512" ht="23" customHeight="1">
      <x:c r="A1512" s="2" t="str">
        <x:v>MYS</x:v>
      </x:c>
      <x:c r="B1512" s="2" t="str">
        <x:v>Malaysia</x:v>
      </x:c>
      <x:c r="C1512" s="2" t="n">
        <x:v>2015</x:v>
      </x:c>
      <x:c r="D1512" s="2" t="str">
        <x:v>WUP_SURFACE</x:v>
      </x:c>
      <x:c r="E1512" s="17" t="n">
        <x:v>1864992782.9575677</x:v>
      </x:c>
      <x:c r="F1512" s="17" t="n">
        <x:f>IF(AND(M1512,ISNUMBER(R1512)),IF(D1512="TEMPO_PROXY",R1512,IF(AND(ISNUMBER(S1512),S1512&gt;0,ISNUMBER(U1512)),U1512*R1512/S1512,"n.a.")),"n.a.")</x:f>
        <x:v>2024647335.7570727</x:v>
      </x:c>
      <x:c r="G1512" s="17" t="n">
        <x:f>IF(AND(ISNUMBER(E1512),ISNUMBER(F1512)),E1512-F1512,"n.a.")</x:f>
        <x:v>-159654552.799505</x:v>
      </x:c>
      <x:c r="H1512" s="15" t="n">
        <x:f>IF(AND(ISNUMBER(E1512),ISNUMBER(F1512),F1512&gt;0),(E1512-F1512)/F1512,"n.a.")</x:f>
        <x:v>-0.07885548756065493</x:v>
      </x:c>
      <x:c r="I1512" s="19" t="n">
        <x:f>IF(ISNUMBER(H1512),ABS(H1512),"n.a.")</x:f>
        <x:v>0.07885548756065493</x:v>
      </x:c>
      <x:c r="J1512" s="2" t="str">
        <x:v>available</x:v>
      </x:c>
      <x:c r="K1512" s="2" t="n">
        <x:v>1</x:v>
      </x:c>
      <x:c r="L1512" s="13" t="b">
        <x:v>0</x:v>
      </x:c>
      <x:c r="M1512" s="13" t="b">
        <x:v>1</x:v>
      </x:c>
      <x:c r="N1512" s="2" t="str">
        <x:v>historical_GHSL_BU_estimate</x:v>
      </x:c>
      <x:c r="O1512" s="2" t="str"/>
      <x:c r="P1512" s="2" t="str">
        <x:v>horizontal built-up surface</x:v>
      </x:c>
      <x:c r="Q1512" s="2" t="str">
        <x:v>m2</x:v>
      </x:c>
      <x:c r="R1512" s="17" t="n">
        <x:v>1907692448.5408273</x:v>
      </x:c>
      <x:c r="S1512" s="17" t="n">
        <x:v>1923172736.52</x:v>
      </x:c>
      <x:c r="T1512" s="18" t="n">
        <x:v>1.0613069928046857</x:v>
      </x:c>
      <x:c r="U1512" s="17" t="n">
        <x:v>2041076673.6399992</x:v>
      </x:c>
      <x:c r="V1512" s="2" t="str">
        <x:v>Area equivalent = model2020 * WUP surface / TEMPO2020 footprint; km2 multiplied by1e6 once</x:v>
      </x:c>
      <x:c r="W1512" s="2" t="str">
        <x:v>L1_numeric_partition_qualified_not_national_completeness</x:v>
      </x:c>
      <x:c r="X1512" s="2" t="str">
        <x:v>https://human-settlement.emergency.copernicus.eu/datasets.php</x:v>
      </x:c>
    </x:row>
    <x:row r="1513" ht="23" customHeight="1">
      <x:c r="A1513" s="2" t="str">
        <x:v>NAM</x:v>
      </x:c>
      <x:c r="B1513" s="2" t="str">
        <x:v>Namibia (Republic of)</x:v>
      </x:c>
      <x:c r="C1513" s="2" t="n">
        <x:v>2015</x:v>
      </x:c>
      <x:c r="D1513" s="2" t="str">
        <x:v>WUP_SURFACE</x:v>
      </x:c>
      <x:c r="E1513" s="17" t="n">
        <x:v>89132702.8848472</x:v>
      </x:c>
      <x:c r="F1513" s="17" t="n">
        <x:f>IF(AND(M1513,ISNUMBER(R1513)),IF(D1513="TEMPO_PROXY",R1513,IF(AND(ISNUMBER(S1513),S1513&gt;0,ISNUMBER(U1513)),U1513*R1513/S1513,"n.a.")),"n.a.")</x:f>
        <x:v>241493657.1956294</x:v>
      </x:c>
      <x:c r="G1513" s="17" t="n">
        <x:f>IF(AND(ISNUMBER(E1513),ISNUMBER(F1513)),E1513-F1513,"n.a.")</x:f>
        <x:v>-152360954.3107822</x:v>
      </x:c>
      <x:c r="H1513" s="15" t="n">
        <x:f>IF(AND(ISNUMBER(E1513),ISNUMBER(F1513),F1513&gt;0),(E1513-F1513)/F1513,"n.a.")</x:f>
        <x:v>-0.630910791115965</x:v>
      </x:c>
      <x:c r="I1513" s="19" t="n">
        <x:f>IF(ISNUMBER(H1513),ABS(H1513),"n.a.")</x:f>
        <x:v>0.630910791115965</x:v>
      </x:c>
      <x:c r="J1513" s="2" t="str">
        <x:v>available</x:v>
      </x:c>
      <x:c r="K1513" s="2" t="n">
        <x:v>1</x:v>
      </x:c>
      <x:c r="L1513" s="13" t="b">
        <x:v>0</x:v>
      </x:c>
      <x:c r="M1513" s="13" t="b">
        <x:v>1</x:v>
      </x:c>
      <x:c r="N1513" s="2" t="str">
        <x:v>historical_GHSL_BU_estimate</x:v>
      </x:c>
      <x:c r="O1513" s="2" t="str"/>
      <x:c r="P1513" s="2" t="str">
        <x:v>horizontal built-up surface</x:v>
      </x:c>
      <x:c r="Q1513" s="2" t="str">
        <x:v>m2</x:v>
      </x:c>
      <x:c r="R1513" s="17" t="n">
        <x:v>241493657.19562957</x:v>
      </x:c>
      <x:c r="S1513" s="17" t="n">
        <x:v>112405609.31</x:v>
      </x:c>
      <x:c r="T1513" s="18" t="n">
        <x:v>0.9999999999999992</x:v>
      </x:c>
      <x:c r="U1513" s="17" t="n">
        <x:v>112405609.30999991</x:v>
      </x:c>
      <x:c r="V1513" s="2" t="str">
        <x:v>Area equivalent = model2020 * WUP surface / TEMPO2020 footprint; km2 multiplied by1e6 once</x:v>
      </x:c>
      <x:c r="W1513" s="2" t="str">
        <x:v>L1_numeric_partition_qualified_not_national_completeness</x:v>
      </x:c>
      <x:c r="X1513" s="2" t="str">
        <x:v>https://human-settlement.emergency.copernicus.eu/datasets.php</x:v>
      </x:c>
    </x:row>
    <x:row r="1514" ht="23" customHeight="1">
      <x:c r="A1514" s="2" t="str">
        <x:v>NER</x:v>
      </x:c>
      <x:c r="B1514" s="2" t="str">
        <x:v>Niger (Republic of the)</x:v>
      </x:c>
      <x:c r="C1514" s="2" t="n">
        <x:v>2015</x:v>
      </x:c>
      <x:c r="D1514" s="2" t="str">
        <x:v>WUP_SURFACE</x:v>
      </x:c>
      <x:c r="E1514" s="17" t="n">
        <x:v>150823337.09848765</x:v>
      </x:c>
      <x:c r="F1514" s="17" t="n">
        <x:f>IF(AND(M1514,ISNUMBER(R1514)),IF(D1514="TEMPO_PROXY",R1514,IF(AND(ISNUMBER(S1514),S1514&gt;0,ISNUMBER(U1514)),U1514*R1514/S1514,"n.a.")),"n.a.")</x:f>
        <x:v>539449879.1163796</x:v>
      </x:c>
      <x:c r="G1514" s="17" t="n">
        <x:f>IF(AND(ISNUMBER(E1514),ISNUMBER(F1514)),E1514-F1514,"n.a.")</x:f>
        <x:v>-388626542.017892</x:v>
      </x:c>
      <x:c r="H1514" s="15" t="n">
        <x:f>IF(AND(ISNUMBER(E1514),ISNUMBER(F1514),F1514&gt;0),(E1514-F1514)/F1514,"n.a.")</x:f>
        <x:v>-0.7204126964574787</x:v>
      </x:c>
      <x:c r="I1514" s="19" t="n">
        <x:f>IF(ISNUMBER(H1514),ABS(H1514),"n.a.")</x:f>
        <x:v>0.7204126964574787</x:v>
      </x:c>
      <x:c r="J1514" s="2" t="str">
        <x:v>available</x:v>
      </x:c>
      <x:c r="K1514" s="2" t="n">
        <x:v>1</x:v>
      </x:c>
      <x:c r="L1514" s="13" t="b">
        <x:v>0</x:v>
      </x:c>
      <x:c r="M1514" s="13" t="b">
        <x:v>1</x:v>
      </x:c>
      <x:c r="N1514" s="2" t="str">
        <x:v>historical_GHSL_BU_estimate</x:v>
      </x:c>
      <x:c r="O1514" s="2" t="str"/>
      <x:c r="P1514" s="2" t="str">
        <x:v>horizontal built-up surface</x:v>
      </x:c>
      <x:c r="Q1514" s="2" t="str">
        <x:v>m2</x:v>
      </x:c>
      <x:c r="R1514" s="17" t="n">
        <x:v>539449879.1163789</x:v>
      </x:c>
      <x:c r="S1514" s="17" t="n">
        <x:v>203236516.43</x:v>
      </x:c>
      <x:c r="T1514" s="18" t="n">
        <x:v>1.0000000000000016</x:v>
      </x:c>
      <x:c r="U1514" s="17" t="n">
        <x:v>203236516.4300003</x:v>
      </x:c>
      <x:c r="V1514" s="2" t="str">
        <x:v>Area equivalent = model2020 * WUP surface / TEMPO2020 footprint; km2 multiplied by1e6 once</x:v>
      </x:c>
      <x:c r="W1514" s="2" t="str">
        <x:v>L1_numeric_partition_qualified_not_national_completeness</x:v>
      </x:c>
      <x:c r="X1514" s="2" t="str">
        <x:v>https://human-settlement.emergency.copernicus.eu/datasets.php</x:v>
      </x:c>
    </x:row>
    <x:row r="1515" ht="23" customHeight="1">
      <x:c r="A1515" s="2" t="str">
        <x:v>NGA</x:v>
      </x:c>
      <x:c r="B1515" s="2" t="str">
        <x:v>Nigeria (Federal Republic of)</x:v>
      </x:c>
      <x:c r="C1515" s="2" t="n">
        <x:v>2015</x:v>
      </x:c>
      <x:c r="D1515" s="2" t="str">
        <x:v>WUP_SURFACE</x:v>
      </x:c>
      <x:c r="E1515" s="17" t="n">
        <x:v>3643539830.5807</x:v>
      </x:c>
      <x:c r="F1515" s="17" t="n">
        <x:f>IF(AND(M1515,ISNUMBER(R1515)),IF(D1515="TEMPO_PROXY",R1515,IF(AND(ISNUMBER(S1515),S1515&gt;0,ISNUMBER(U1515)),U1515*R1515/S1515,"n.a.")),"n.a.")</x:f>
        <x:v>7342332928.254222</x:v>
      </x:c>
      <x:c r="G1515" s="17" t="n">
        <x:f>IF(AND(ISNUMBER(E1515),ISNUMBER(F1515)),E1515-F1515,"n.a.")</x:f>
        <x:v>-3698793097.673522</x:v>
      </x:c>
      <x:c r="H1515" s="15" t="n">
        <x:f>IF(AND(ISNUMBER(E1515),ISNUMBER(F1515),F1515&gt;0),(E1515-F1515)/F1515,"n.a.")</x:f>
        <x:v>-0.5037626506202273</x:v>
      </x:c>
      <x:c r="I1515" s="19" t="n">
        <x:f>IF(ISNUMBER(H1515),ABS(H1515),"n.a.")</x:f>
        <x:v>0.5037626506202273</x:v>
      </x:c>
      <x:c r="J1515" s="2" t="str">
        <x:v>available</x:v>
      </x:c>
      <x:c r="K1515" s="2" t="n">
        <x:v>1</x:v>
      </x:c>
      <x:c r="L1515" s="13" t="b">
        <x:v>0</x:v>
      </x:c>
      <x:c r="M1515" s="13" t="b">
        <x:v>1</x:v>
      </x:c>
      <x:c r="N1515" s="2" t="str">
        <x:v>historical_GHSL_BU_estimate</x:v>
      </x:c>
      <x:c r="O1515" s="2" t="str"/>
      <x:c r="P1515" s="2" t="str">
        <x:v>horizontal built-up surface</x:v>
      </x:c>
      <x:c r="Q1515" s="2" t="str">
        <x:v>m2</x:v>
      </x:c>
      <x:c r="R1515" s="17" t="n">
        <x:v>7342332928.254217</x:v>
      </x:c>
      <x:c r="S1515" s="17" t="n">
        <x:v>4102804870.27</x:v>
      </x:c>
      <x:c r="T1515" s="18" t="n">
        <x:v>1.0000000000000007</x:v>
      </x:c>
      <x:c r="U1515" s="17" t="n">
        <x:v>4102804870.2700024</x:v>
      </x:c>
      <x:c r="V1515" s="2" t="str">
        <x:v>Area equivalent = model2020 * WUP surface / TEMPO2020 footprint; km2 multiplied by1e6 once</x:v>
      </x:c>
      <x:c r="W1515" s="2" t="str">
        <x:v>L1_numeric_partition_qualified_not_national_completeness</x:v>
      </x:c>
      <x:c r="X1515" s="2" t="str">
        <x:v>https://human-settlement.emergency.copernicus.eu/datasets.php</x:v>
      </x:c>
    </x:row>
    <x:row r="1516" ht="23" customHeight="1">
      <x:c r="A1516" s="2" t="str">
        <x:v>NIC</x:v>
      </x:c>
      <x:c r="B1516" s="2" t="str">
        <x:v>Nicaragua (Republic of)</x:v>
      </x:c>
      <x:c r="C1516" s="2" t="n">
        <x:v>2015</x:v>
      </x:c>
      <x:c r="D1516" s="2" t="str">
        <x:v>WUP_SURFACE</x:v>
      </x:c>
      <x:c r="E1516" s="17" t="n">
        <x:v>175735308.9370167</x:v>
      </x:c>
      <x:c r="F1516" s="17" t="n">
        <x:f>IF(AND(M1516,ISNUMBER(R1516)),IF(D1516="TEMPO_PROXY",R1516,IF(AND(ISNUMBER(S1516),S1516&gt;0,ISNUMBER(U1516)),U1516*R1516/S1516,"n.a.")),"n.a.")</x:f>
        <x:v>260787878.8796661</x:v>
      </x:c>
      <x:c r="G1516" s="17" t="n">
        <x:f>IF(AND(ISNUMBER(E1516),ISNUMBER(F1516)),E1516-F1516,"n.a.")</x:f>
        <x:v>-85052569.9426494</x:v>
      </x:c>
      <x:c r="H1516" s="15" t="n">
        <x:f>IF(AND(ISNUMBER(E1516),ISNUMBER(F1516),F1516&gt;0),(E1516-F1516)/F1516,"n.a.")</x:f>
        <x:v>-0.32613697503132316</x:v>
      </x:c>
      <x:c r="I1516" s="19" t="n">
        <x:f>IF(ISNUMBER(H1516),ABS(H1516),"n.a.")</x:f>
        <x:v>0.32613697503132316</x:v>
      </x:c>
      <x:c r="J1516" s="2" t="str">
        <x:v>available</x:v>
      </x:c>
      <x:c r="K1516" s="2" t="n">
        <x:v>1</x:v>
      </x:c>
      <x:c r="L1516" s="13" t="b">
        <x:v>0</x:v>
      </x:c>
      <x:c r="M1516" s="13" t="b">
        <x:v>1</x:v>
      </x:c>
      <x:c r="N1516" s="2" t="str">
        <x:v>historical_GHSL_BU_estimate</x:v>
      </x:c>
      <x:c r="O1516" s="2" t="str"/>
      <x:c r="P1516" s="2" t="str">
        <x:v>horizontal built-up surface</x:v>
      </x:c>
      <x:c r="Q1516" s="2" t="str">
        <x:v>m2</x:v>
      </x:c>
      <x:c r="R1516" s="17" t="n">
        <x:v>260787878.8796662</x:v>
      </x:c>
      <x:c r="S1516" s="17" t="n">
        <x:v>201940338.65</x:v>
      </x:c>
      <x:c r="T1516" s="18" t="n">
        <x:v>0.9999999999999996</x:v>
      </x:c>
      <x:c r="U1516" s="17" t="n">
        <x:v>201940338.64999992</x:v>
      </x:c>
      <x:c r="V1516" s="2" t="str">
        <x:v>Area equivalent = model2020 * WUP surface / TEMPO2020 footprint; km2 multiplied by1e6 once</x:v>
      </x:c>
      <x:c r="W1516" s="2" t="str">
        <x:v>L1_numeric_partition_qualified_not_national_completeness</x:v>
      </x:c>
      <x:c r="X1516" s="2" t="str">
        <x:v>https://human-settlement.emergency.copernicus.eu/datasets.php</x:v>
      </x:c>
    </x:row>
    <x:row r="1517" ht="23" customHeight="1">
      <x:c r="A1517" s="2" t="str">
        <x:v>NLD</x:v>
      </x:c>
      <x:c r="B1517" s="2" t="str">
        <x:v>Netherlands (Kingdom of the)</x:v>
      </x:c>
      <x:c r="C1517" s="2" t="n">
        <x:v>2015</x:v>
      </x:c>
      <x:c r="D1517" s="2" t="str">
        <x:v>WUP_SURFACE</x:v>
      </x:c>
      <x:c r="E1517" s="17" t="n">
        <x:v>1398821482.4145422</x:v>
      </x:c>
      <x:c r="F1517" s="17" t="n">
        <x:f>IF(AND(M1517,ISNUMBER(R1517)),IF(D1517="TEMPO_PROXY",R1517,IF(AND(ISNUMBER(S1517),S1517&gt;0,ISNUMBER(U1517)),U1517*R1517/S1517,"n.a.")),"n.a.")</x:f>
        <x:v>2133043400.6425087</x:v>
      </x:c>
      <x:c r="G1517" s="17" t="n">
        <x:f>IF(AND(ISNUMBER(E1517),ISNUMBER(F1517)),E1517-F1517,"n.a.")</x:f>
        <x:v>-734221918.2279665</x:v>
      </x:c>
      <x:c r="H1517" s="15" t="n">
        <x:f>IF(AND(ISNUMBER(E1517),ISNUMBER(F1517),F1517&gt;0),(E1517-F1517)/F1517,"n.a.")</x:f>
        <x:v>-0.3442133048051467</x:v>
      </x:c>
      <x:c r="I1517" s="19" t="n">
        <x:f>IF(ISNUMBER(H1517),ABS(H1517),"n.a.")</x:f>
        <x:v>0.3442133048051467</x:v>
      </x:c>
      <x:c r="J1517" s="2" t="str">
        <x:v>available</x:v>
      </x:c>
      <x:c r="K1517" s="2" t="n">
        <x:v>1</x:v>
      </x:c>
      <x:c r="L1517" s="13" t="b">
        <x:v>0</x:v>
      </x:c>
      <x:c r="M1517" s="13" t="b">
        <x:v>1</x:v>
      </x:c>
      <x:c r="N1517" s="2" t="str">
        <x:v>historical_GHSL_BU_estimate</x:v>
      </x:c>
      <x:c r="O1517" s="2" t="str"/>
      <x:c r="P1517" s="2" t="str">
        <x:v>horizontal built-up surface</x:v>
      </x:c>
      <x:c r="Q1517" s="2" t="str">
        <x:v>m2</x:v>
      </x:c>
      <x:c r="R1517" s="17" t="n">
        <x:v>1840189544.9978771</x:v>
      </x:c>
      <x:c r="S1517" s="17" t="n">
        <x:v>1263819429.15</x:v>
      </x:c>
      <x:c r="T1517" s="18" t="n">
        <x:v>1.1591433102316477</x:v>
      </x:c>
      <x:c r="U1517" s="17" t="n">
        <x:v>1464947836.6400025</x:v>
      </x:c>
      <x:c r="V1517" s="2" t="str">
        <x:v>Area equivalent = model2020 * WUP surface / TEMPO2020 footprint; km2 multiplied by1e6 once</x:v>
      </x:c>
      <x:c r="W1517" s="2" t="str">
        <x:v>L1_numeric_partition_qualified_not_national_completeness</x:v>
      </x:c>
      <x:c r="X1517" s="2" t="str">
        <x:v>https://human-settlement.emergency.copernicus.eu/datasets.php</x:v>
      </x:c>
    </x:row>
    <x:row r="1518" ht="23" customHeight="1">
      <x:c r="A1518" s="2" t="str">
        <x:v>NOR</x:v>
      </x:c>
      <x:c r="B1518" s="2" t="str">
        <x:v>Norway (Kingdom of)</x:v>
      </x:c>
      <x:c r="C1518" s="2" t="n">
        <x:v>2015</x:v>
      </x:c>
      <x:c r="D1518" s="2" t="str">
        <x:v>WUP_SURFACE</x:v>
      </x:c>
      <x:c r="E1518" s="17" t="n">
        <x:v>444569121.96455026</x:v>
      </x:c>
      <x:c r="F1518" s="17" t="n">
        <x:f>IF(AND(M1518,ISNUMBER(R1518)),IF(D1518="TEMPO_PROXY",R1518,IF(AND(ISNUMBER(S1518),S1518&gt;0,ISNUMBER(U1518)),U1518*R1518/S1518,"n.a.")),"n.a.")</x:f>
        <x:v>376803493.8269179</x:v>
      </x:c>
      <x:c r="G1518" s="17" t="n">
        <x:f>IF(AND(ISNUMBER(E1518),ISNUMBER(F1518)),E1518-F1518,"n.a.")</x:f>
        <x:v>67765628.13763237</x:v>
      </x:c>
      <x:c r="H1518" s="15" t="n">
        <x:f>IF(AND(ISNUMBER(E1518),ISNUMBER(F1518),F1518&gt;0),(E1518-F1518)/F1518,"n.a.")</x:f>
        <x:v>0.17984341771724666</x:v>
      </x:c>
      <x:c r="I1518" s="19" t="n">
        <x:f>IF(ISNUMBER(H1518),ABS(H1518),"n.a.")</x:f>
        <x:v>0.17984341771724666</x:v>
      </x:c>
      <x:c r="J1518" s="2" t="str">
        <x:v>available</x:v>
      </x:c>
      <x:c r="K1518" s="2" t="n">
        <x:v>1</x:v>
      </x:c>
      <x:c r="L1518" s="13" t="b">
        <x:v>0</x:v>
      </x:c>
      <x:c r="M1518" s="13" t="b">
        <x:v>1</x:v>
      </x:c>
      <x:c r="N1518" s="2" t="str">
        <x:v>historical_GHSL_BU_estimate</x:v>
      </x:c>
      <x:c r="O1518" s="2" t="str"/>
      <x:c r="P1518" s="2" t="str">
        <x:v>horizontal built-up surface</x:v>
      </x:c>
      <x:c r="Q1518" s="2" t="str">
        <x:v>m2</x:v>
      </x:c>
      <x:c r="R1518" s="17" t="n">
        <x:v>376803493.82691747</x:v>
      </x:c>
      <x:c r="S1518" s="17" t="n">
        <x:v>478516256.61</x:v>
      </x:c>
      <x:c r="T1518" s="18" t="n">
        <x:v>1.0000000000000009</x:v>
      </x:c>
      <x:c r="U1518" s="17" t="n">
        <x:v>478516256.6100005</x:v>
      </x:c>
      <x:c r="V1518" s="2" t="str">
        <x:v>Area equivalent = model2020 * WUP surface / TEMPO2020 footprint; km2 multiplied by1e6 once</x:v>
      </x:c>
      <x:c r="W1518" s="2" t="str">
        <x:v>L1_numeric_partition_qualified_not_national_completeness</x:v>
      </x:c>
      <x:c r="X1518" s="2" t="str">
        <x:v>https://human-settlement.emergency.copernicus.eu/datasets.php</x:v>
      </x:c>
    </x:row>
    <x:row r="1519" ht="23" customHeight="1">
      <x:c r="A1519" s="2" t="str">
        <x:v>NPL</x:v>
      </x:c>
      <x:c r="B1519" s="2" t="str">
        <x:v>Nepal (Federal Democratic Republic of)</x:v>
      </x:c>
      <x:c r="C1519" s="2" t="n">
        <x:v>2015</x:v>
      </x:c>
      <x:c r="D1519" s="2" t="str">
        <x:v>WUP_SURFACE</x:v>
      </x:c>
      <x:c r="E1519" s="17" t="n">
        <x:v>540535876.2611996</x:v>
      </x:c>
      <x:c r="F1519" s="17" t="n">
        <x:f>IF(AND(M1519,ISNUMBER(R1519)),IF(D1519="TEMPO_PROXY",R1519,IF(AND(ISNUMBER(S1519),S1519&gt;0,ISNUMBER(U1519)),U1519*R1519/S1519,"n.a.")),"n.a.")</x:f>
        <x:v>912191279.195307</x:v>
      </x:c>
      <x:c r="G1519" s="17" t="n">
        <x:f>IF(AND(ISNUMBER(E1519),ISNUMBER(F1519)),E1519-F1519,"n.a.")</x:f>
        <x:v>-371655402.9341074</x:v>
      </x:c>
      <x:c r="H1519" s="15" t="n">
        <x:f>IF(AND(ISNUMBER(E1519),ISNUMBER(F1519),F1519&gt;0),(E1519-F1519)/F1519,"n.a.")</x:f>
        <x:v>-0.40743143615883354</x:v>
      </x:c>
      <x:c r="I1519" s="19" t="n">
        <x:f>IF(ISNUMBER(H1519),ABS(H1519),"n.a.")</x:f>
        <x:v>0.40743143615883354</x:v>
      </x:c>
      <x:c r="J1519" s="2" t="str">
        <x:v>available</x:v>
      </x:c>
      <x:c r="K1519" s="2" t="n">
        <x:v>1</x:v>
      </x:c>
      <x:c r="L1519" s="13" t="b">
        <x:v>0</x:v>
      </x:c>
      <x:c r="M1519" s="13" t="b">
        <x:v>1</x:v>
      </x:c>
      <x:c r="N1519" s="2" t="str">
        <x:v>historical_GHSL_BU_estimate</x:v>
      </x:c>
      <x:c r="O1519" s="2" t="str"/>
      <x:c r="P1519" s="2" t="str">
        <x:v>horizontal built-up surface</x:v>
      </x:c>
      <x:c r="Q1519" s="2" t="str">
        <x:v>m2</x:v>
      </x:c>
      <x:c r="R1519" s="17" t="n">
        <x:v>912191279.195308</x:v>
      </x:c>
      <x:c r="S1519" s="17" t="n">
        <x:v>656084354.5</x:v>
      </x:c>
      <x:c r="T1519" s="18" t="n">
        <x:v>0.9999999999999989</x:v>
      </x:c>
      <x:c r="U1519" s="17" t="n">
        <x:v>656084354.4999993</x:v>
      </x:c>
      <x:c r="V1519" s="2" t="str">
        <x:v>Area equivalent = model2020 * WUP surface / TEMPO2020 footprint; km2 multiplied by1e6 once</x:v>
      </x:c>
      <x:c r="W1519" s="2" t="str">
        <x:v>L1_numeric_partition_qualified_not_national_completeness</x:v>
      </x:c>
      <x:c r="X1519" s="2" t="str">
        <x:v>https://human-settlement.emergency.copernicus.eu/datasets.php</x:v>
      </x:c>
    </x:row>
    <x:row r="1520" ht="23" customHeight="1">
      <x:c r="A1520" s="2" t="str">
        <x:v>NRU</x:v>
      </x:c>
      <x:c r="B1520" s="2" t="str">
        <x:v>Nauru (Republic of)</x:v>
      </x:c>
      <x:c r="C1520" s="2" t="n">
        <x:v>2015</x:v>
      </x:c>
      <x:c r="D1520" s="2" t="str">
        <x:v>WUP_SURFACE</x:v>
      </x:c>
      <x:c r="E1520" s="17" t="n">
        <x:v>400075.14321742795</x:v>
      </x:c>
      <x:c r="F1520" s="17" t="n">
        <x:f>IF(AND(M1520,ISNUMBER(R1520)),IF(D1520="TEMPO_PROXY",R1520,IF(AND(ISNUMBER(S1520),S1520&gt;0,ISNUMBER(U1520)),U1520*R1520/S1520,"n.a.")),"n.a.")</x:f>
        <x:v>746270.0040778149</x:v>
      </x:c>
      <x:c r="G1520" s="17" t="n">
        <x:f>IF(AND(ISNUMBER(E1520),ISNUMBER(F1520)),E1520-F1520,"n.a.")</x:f>
        <x:v>-346194.8608603869</x:v>
      </x:c>
      <x:c r="H1520" s="15" t="n">
        <x:f>IF(AND(ISNUMBER(E1520),ISNUMBER(F1520),F1520&gt;0),(E1520-F1520)/F1520,"n.a.")</x:f>
        <x:v>-0.4639002759975444</x:v>
      </x:c>
      <x:c r="I1520" s="19" t="n">
        <x:f>IF(ISNUMBER(H1520),ABS(H1520),"n.a.")</x:f>
        <x:v>0.4639002759975444</x:v>
      </x:c>
      <x:c r="J1520" s="2" t="str">
        <x:v>available</x:v>
      </x:c>
      <x:c r="K1520" s="2" t="n">
        <x:v>1</x:v>
      </x:c>
      <x:c r="L1520" s="13" t="b">
        <x:v>0</x:v>
      </x:c>
      <x:c r="M1520" s="13" t="b">
        <x:v>1</x:v>
      </x:c>
      <x:c r="N1520" s="2" t="str">
        <x:v>historical_GHSL_BU_estimate</x:v>
      </x:c>
      <x:c r="O1520" s="2" t="str"/>
      <x:c r="P1520" s="2" t="str">
        <x:v>horizontal built-up surface</x:v>
      </x:c>
      <x:c r="Q1520" s="2" t="str">
        <x:v>m2</x:v>
      </x:c>
      <x:c r="R1520" s="17" t="n">
        <x:v>746270.0040778145</x:v>
      </x:c>
      <x:c r="S1520" s="17" t="n">
        <x:v>405989.38</x:v>
      </x:c>
      <x:c r="T1520" s="18" t="n">
        <x:v>1.0000000000000007</x:v>
      </x:c>
      <x:c r="U1520" s="17" t="n">
        <x:v>405989.38000000024</x:v>
      </x:c>
      <x:c r="V1520" s="2" t="str">
        <x:v>Area equivalent = model2020 * WUP surface / TEMPO2020 footprint; km2 multiplied by1e6 once</x:v>
      </x:c>
      <x:c r="W1520" s="2" t="str">
        <x:v>L1_numeric_partition_qualified_not_national_completeness</x:v>
      </x:c>
      <x:c r="X1520" s="2" t="str">
        <x:v>https://human-settlement.emergency.copernicus.eu/datasets.php</x:v>
      </x:c>
    </x:row>
    <x:row r="1521" ht="23" customHeight="1">
      <x:c r="A1521" s="2" t="str">
        <x:v>NZL</x:v>
      </x:c>
      <x:c r="B1521" s="2" t="str">
        <x:v>New Zealand</x:v>
      </x:c>
      <x:c r="C1521" s="2" t="n">
        <x:v>2015</x:v>
      </x:c>
      <x:c r="D1521" s="2" t="str">
        <x:v>WUP_SURFACE</x:v>
      </x:c>
      <x:c r="E1521" s="17" t="n">
        <x:v>480029552.55422294</x:v>
      </x:c>
      <x:c r="F1521" s="17" t="n">
        <x:f>IF(AND(M1521,ISNUMBER(R1521)),IF(D1521="TEMPO_PROXY",R1521,IF(AND(ISNUMBER(S1521),S1521&gt;0,ISNUMBER(U1521)),U1521*R1521/S1521,"n.a.")),"n.a.")</x:f>
        <x:v>843053508.0741208</x:v>
      </x:c>
      <x:c r="G1521" s="17" t="n">
        <x:f>IF(AND(ISNUMBER(E1521),ISNUMBER(F1521)),E1521-F1521,"n.a.")</x:f>
        <x:v>-363023955.5198978</x:v>
      </x:c>
      <x:c r="H1521" s="15" t="n">
        <x:f>IF(AND(ISNUMBER(E1521),ISNUMBER(F1521),F1521&gt;0),(E1521-F1521)/F1521,"n.a.")</x:f>
        <x:v>-0.43060606716315447</x:v>
      </x:c>
      <x:c r="I1521" s="19" t="n">
        <x:f>IF(ISNUMBER(H1521),ABS(H1521),"n.a.")</x:f>
        <x:v>0.43060606716315447</x:v>
      </x:c>
      <x:c r="J1521" s="2" t="str">
        <x:v>available</x:v>
      </x:c>
      <x:c r="K1521" s="2" t="n">
        <x:v>1</x:v>
      </x:c>
      <x:c r="L1521" s="13" t="b">
        <x:v>0</x:v>
      </x:c>
      <x:c r="M1521" s="13" t="b">
        <x:v>1</x:v>
      </x:c>
      <x:c r="N1521" s="2" t="str">
        <x:v>historical_GHSL_BU_estimate</x:v>
      </x:c>
      <x:c r="O1521" s="2" t="str"/>
      <x:c r="P1521" s="2" t="str">
        <x:v>horizontal built-up surface</x:v>
      </x:c>
      <x:c r="Q1521" s="2" t="str">
        <x:v>m2</x:v>
      </x:c>
      <x:c r="R1521" s="17" t="n">
        <x:v>843053508.0741221</x:v>
      </x:c>
      <x:c r="S1521" s="17" t="n">
        <x:v>553529463.79</x:v>
      </x:c>
      <x:c r="T1521" s="18" t="n">
        <x:v>0.9999999999999984</x:v>
      </x:c>
      <x:c r="U1521" s="17" t="n">
        <x:v>553529463.7899991</x:v>
      </x:c>
      <x:c r="V1521" s="2" t="str">
        <x:v>Area equivalent = model2020 * WUP surface / TEMPO2020 footprint; km2 multiplied by1e6 once</x:v>
      </x:c>
      <x:c r="W1521" s="2" t="str">
        <x:v>L1_numeric_partition_qualified_not_national_completeness</x:v>
      </x:c>
      <x:c r="X1521" s="2" t="str">
        <x:v>https://human-settlement.emergency.copernicus.eu/datasets.php</x:v>
      </x:c>
    </x:row>
    <x:row r="1522" ht="23" customHeight="1">
      <x:c r="A1522" s="2" t="str">
        <x:v>OMN</x:v>
      </x:c>
      <x:c r="B1522" s="2" t="str">
        <x:v>Oman (Sultanate of)</x:v>
      </x:c>
      <x:c r="C1522" s="2" t="n">
        <x:v>2015</x:v>
      </x:c>
      <x:c r="D1522" s="2" t="str">
        <x:v>WUP_SURFACE</x:v>
      </x:c>
      <x:c r="E1522" s="17" t="n">
        <x:v>222748482.34837043</x:v>
      </x:c>
      <x:c r="F1522" s="17" t="n">
        <x:f>IF(AND(M1522,ISNUMBER(R1522)),IF(D1522="TEMPO_PROXY",R1522,IF(AND(ISNUMBER(S1522),S1522&gt;0,ISNUMBER(U1522)),U1522*R1522/S1522,"n.a.")),"n.a.")</x:f>
        <x:v>374120759.2988631</x:v>
      </x:c>
      <x:c r="G1522" s="17" t="n">
        <x:f>IF(AND(ISNUMBER(E1522),ISNUMBER(F1522)),E1522-F1522,"n.a.")</x:f>
        <x:v>-151372276.95049268</x:v>
      </x:c>
      <x:c r="H1522" s="15" t="n">
        <x:f>IF(AND(ISNUMBER(E1522),ISNUMBER(F1522),F1522&gt;0),(E1522-F1522)/F1522,"n.a.")</x:f>
        <x:v>-0.4046080662141773</x:v>
      </x:c>
      <x:c r="I1522" s="19" t="n">
        <x:f>IF(ISNUMBER(H1522),ABS(H1522),"n.a.")</x:f>
        <x:v>0.4046080662141773</x:v>
      </x:c>
      <x:c r="J1522" s="2" t="str">
        <x:v>available</x:v>
      </x:c>
      <x:c r="K1522" s="2" t="n">
        <x:v>1</x:v>
      </x:c>
      <x:c r="L1522" s="13" t="b">
        <x:v>0</x:v>
      </x:c>
      <x:c r="M1522" s="13" t="b">
        <x:v>1</x:v>
      </x:c>
      <x:c r="N1522" s="2" t="str">
        <x:v>historical_GHSL_BU_estimate</x:v>
      </x:c>
      <x:c r="O1522" s="2" t="str"/>
      <x:c r="P1522" s="2" t="str">
        <x:v>horizontal built-up surface</x:v>
      </x:c>
      <x:c r="Q1522" s="2" t="str">
        <x:v>m2</x:v>
      </x:c>
      <x:c r="R1522" s="17" t="n">
        <x:v>374120759.2988628</x:v>
      </x:c>
      <x:c r="S1522" s="17" t="n">
        <x:v>262659820.85</x:v>
      </x:c>
      <x:c r="T1522" s="18" t="n">
        <x:v>1.0000000000000009</x:v>
      </x:c>
      <x:c r="U1522" s="17" t="n">
        <x:v>262659820.8500002</x:v>
      </x:c>
      <x:c r="V1522" s="2" t="str">
        <x:v>Area equivalent = model2020 * WUP surface / TEMPO2020 footprint; km2 multiplied by1e6 once</x:v>
      </x:c>
      <x:c r="W1522" s="2" t="str">
        <x:v>L1_numeric_partition_qualified_not_national_completeness</x:v>
      </x:c>
      <x:c r="X1522" s="2" t="str">
        <x:v>https://human-settlement.emergency.copernicus.eu/datasets.php</x:v>
      </x:c>
    </x:row>
    <x:row r="1523" ht="23" customHeight="1">
      <x:c r="A1523" s="2" t="str">
        <x:v>PAK</x:v>
      </x:c>
      <x:c r="B1523" s="2" t="str">
        <x:v>Pakistan (Islamic Republic of)</x:v>
      </x:c>
      <x:c r="C1523" s="2" t="n">
        <x:v>2015</x:v>
      </x:c>
      <x:c r="D1523" s="2" t="str">
        <x:v>WUP_SURFACE</x:v>
      </x:c>
      <x:c r="E1523" s="17" t="n">
        <x:v>3517876725.135339</x:v>
      </x:c>
      <x:c r="F1523" s="17" t="n">
        <x:f>IF(AND(M1523,ISNUMBER(R1523)),IF(D1523="TEMPO_PROXY",R1523,IF(AND(ISNUMBER(S1523),S1523&gt;0,ISNUMBER(U1523)),U1523*R1523/S1523,"n.a.")),"n.a.")</x:f>
        <x:v>5149722423.549506</x:v>
      </x:c>
      <x:c r="G1523" s="17" t="n">
        <x:f>IF(AND(ISNUMBER(E1523),ISNUMBER(F1523)),E1523-F1523,"n.a.")</x:f>
        <x:v>-1631845698.4141674</x:v>
      </x:c>
      <x:c r="H1523" s="15" t="n">
        <x:f>IF(AND(ISNUMBER(E1523),ISNUMBER(F1523),F1523&gt;0),(E1523-F1523)/F1523,"n.a.")</x:f>
        <x:v>-0.3168803217338069</x:v>
      </x:c>
      <x:c r="I1523" s="19" t="n">
        <x:f>IF(ISNUMBER(H1523),ABS(H1523),"n.a.")</x:f>
        <x:v>0.3168803217338069</x:v>
      </x:c>
      <x:c r="J1523" s="2" t="str">
        <x:v>available</x:v>
      </x:c>
      <x:c r="K1523" s="2" t="n">
        <x:v>1</x:v>
      </x:c>
      <x:c r="L1523" s="13" t="b">
        <x:v>0</x:v>
      </x:c>
      <x:c r="M1523" s="13" t="b">
        <x:v>1</x:v>
      </x:c>
      <x:c r="N1523" s="2" t="str">
        <x:v>historical_GHSL_BU_estimate</x:v>
      </x:c>
      <x:c r="O1523" s="2" t="str"/>
      <x:c r="P1523" s="2" t="str">
        <x:v>horizontal built-up surface</x:v>
      </x:c>
      <x:c r="Q1523" s="2" t="str">
        <x:v>m2</x:v>
      </x:c>
      <x:c r="R1523" s="17" t="n">
        <x:v>5149722423.5495</x:v>
      </x:c>
      <x:c r="S1523" s="17" t="n">
        <x:v>4301390083.52</x:v>
      </x:c>
      <x:c r="T1523" s="18" t="n">
        <x:v>1.000000000000001</x:v>
      </x:c>
      <x:c r="U1523" s="17" t="n">
        <x:v>4301390083.520005</x:v>
      </x:c>
      <x:c r="V1523" s="2" t="str">
        <x:v>Area equivalent = model2020 * WUP surface / TEMPO2020 footprint; km2 multiplied by1e6 once</x:v>
      </x:c>
      <x:c r="W1523" s="2" t="str">
        <x:v>L1_numeric_partition_qualified_not_national_completeness</x:v>
      </x:c>
      <x:c r="X1523" s="2" t="str">
        <x:v>https://human-settlement.emergency.copernicus.eu/datasets.php</x:v>
      </x:c>
    </x:row>
    <x:row r="1524" ht="23" customHeight="1">
      <x:c r="A1524" s="2" t="str">
        <x:v>PAN</x:v>
      </x:c>
      <x:c r="B1524" s="2" t="str">
        <x:v>Panama (Republic of)</x:v>
      </x:c>
      <x:c r="C1524" s="2" t="n">
        <x:v>2015</x:v>
      </x:c>
      <x:c r="D1524" s="2" t="str">
        <x:v>WUP_SURFACE</x:v>
      </x:c>
      <x:c r="E1524" s="17" t="n">
        <x:v>181431559.5106657</x:v>
      </x:c>
      <x:c r="F1524" s="17" t="n">
        <x:f>IF(AND(M1524,ISNUMBER(R1524)),IF(D1524="TEMPO_PROXY",R1524,IF(AND(ISNUMBER(S1524),S1524&gt;0,ISNUMBER(U1524)),U1524*R1524/S1524,"n.a.")),"n.a.")</x:f>
        <x:v>253607184.23140854</x:v>
      </x:c>
      <x:c r="G1524" s="17" t="n">
        <x:f>IF(AND(ISNUMBER(E1524),ISNUMBER(F1524)),E1524-F1524,"n.a.")</x:f>
        <x:v>-72175624.72074282</x:v>
      </x:c>
      <x:c r="H1524" s="15" t="n">
        <x:f>IF(AND(ISNUMBER(E1524),ISNUMBER(F1524),F1524&gt;0),(E1524-F1524)/F1524,"n.a.")</x:f>
        <x:v>-0.2845961361050594</x:v>
      </x:c>
      <x:c r="I1524" s="19" t="n">
        <x:f>IF(ISNUMBER(H1524),ABS(H1524),"n.a.")</x:f>
        <x:v>0.2845961361050594</x:v>
      </x:c>
      <x:c r="J1524" s="2" t="str">
        <x:v>available</x:v>
      </x:c>
      <x:c r="K1524" s="2" t="n">
        <x:v>1</x:v>
      </x:c>
      <x:c r="L1524" s="13" t="b">
        <x:v>0</x:v>
      </x:c>
      <x:c r="M1524" s="13" t="b">
        <x:v>1</x:v>
      </x:c>
      <x:c r="N1524" s="2" t="str">
        <x:v>historical_GHSL_BU_estimate</x:v>
      </x:c>
      <x:c r="O1524" s="2" t="str"/>
      <x:c r="P1524" s="2" t="str">
        <x:v>horizontal built-up surface</x:v>
      </x:c>
      <x:c r="Q1524" s="2" t="str">
        <x:v>m2</x:v>
      </x:c>
      <x:c r="R1524" s="17" t="n">
        <x:v>253607184.23140842</x:v>
      </x:c>
      <x:c r="S1524" s="17" t="n">
        <x:v>209722829.78</x:v>
      </x:c>
      <x:c r="T1524" s="18" t="n">
        <x:v>1.0000000000000004</x:v>
      </x:c>
      <x:c r="U1524" s="17" t="n">
        <x:v>209722829.7800001</x:v>
      </x:c>
      <x:c r="V1524" s="2" t="str">
        <x:v>Area equivalent = model2020 * WUP surface / TEMPO2020 footprint; km2 multiplied by1e6 once</x:v>
      </x:c>
      <x:c r="W1524" s="2" t="str">
        <x:v>L1_numeric_partition_qualified_not_national_completeness</x:v>
      </x:c>
      <x:c r="X1524" s="2" t="str">
        <x:v>https://human-settlement.emergency.copernicus.eu/datasets.php</x:v>
      </x:c>
    </x:row>
    <x:row r="1525" ht="23" customHeight="1">
      <x:c r="A1525" s="2" t="str">
        <x:v>PER</x:v>
      </x:c>
      <x:c r="B1525" s="2" t="str">
        <x:v>Peru (Republic of)</x:v>
      </x:c>
      <x:c r="C1525" s="2" t="n">
        <x:v>2015</x:v>
      </x:c>
      <x:c r="D1525" s="2" t="str">
        <x:v>WUP_SURFACE</x:v>
      </x:c>
      <x:c r="E1525" s="17" t="n">
        <x:v>1167948144.3467624</x:v>
      </x:c>
      <x:c r="F1525" s="17" t="n">
        <x:f>IF(AND(M1525,ISNUMBER(R1525)),IF(D1525="TEMPO_PROXY",R1525,IF(AND(ISNUMBER(S1525),S1525&gt;0,ISNUMBER(U1525)),U1525*R1525/S1525,"n.a.")),"n.a.")</x:f>
        <x:v>1410389813.3009062</x:v>
      </x:c>
      <x:c r="G1525" s="17" t="n">
        <x:f>IF(AND(ISNUMBER(E1525),ISNUMBER(F1525)),E1525-F1525,"n.a.")</x:f>
        <x:v>-242441668.95414376</x:v>
      </x:c>
      <x:c r="H1525" s="15" t="n">
        <x:f>IF(AND(ISNUMBER(E1525),ISNUMBER(F1525),F1525&gt;0),(E1525-F1525)/F1525,"n.a.")</x:f>
        <x:v>-0.17189692287037167</x:v>
      </x:c>
      <x:c r="I1525" s="19" t="n">
        <x:f>IF(ISNUMBER(H1525),ABS(H1525),"n.a.")</x:f>
        <x:v>0.17189692287037167</x:v>
      </x:c>
      <x:c r="J1525" s="2" t="str">
        <x:v>available</x:v>
      </x:c>
      <x:c r="K1525" s="2" t="n">
        <x:v>1</x:v>
      </x:c>
      <x:c r="L1525" s="13" t="b">
        <x:v>0</x:v>
      </x:c>
      <x:c r="M1525" s="13" t="b">
        <x:v>1</x:v>
      </x:c>
      <x:c r="N1525" s="2" t="str">
        <x:v>historical_GHSL_BU_estimate</x:v>
      </x:c>
      <x:c r="O1525" s="2" t="str"/>
      <x:c r="P1525" s="2" t="str">
        <x:v>horizontal built-up surface</x:v>
      </x:c>
      <x:c r="Q1525" s="2" t="str">
        <x:v>m2</x:v>
      </x:c>
      <x:c r="R1525" s="17" t="n">
        <x:v>1410389813.3009048</x:v>
      </x:c>
      <x:c r="S1525" s="17" t="n">
        <x:v>1228349086.86</x:v>
      </x:c>
      <x:c r="T1525" s="18" t="n">
        <x:v>1.0000000000000009</x:v>
      </x:c>
      <x:c r="U1525" s="17" t="n">
        <x:v>1228349086.860001</x:v>
      </x:c>
      <x:c r="V1525" s="2" t="str">
        <x:v>Area equivalent = model2020 * WUP surface / TEMPO2020 footprint; km2 multiplied by1e6 once</x:v>
      </x:c>
      <x:c r="W1525" s="2" t="str">
        <x:v>L1_numeric_partition_qualified_not_national_completeness</x:v>
      </x:c>
      <x:c r="X1525" s="2" t="str">
        <x:v>https://human-settlement.emergency.copernicus.eu/datasets.php</x:v>
      </x:c>
    </x:row>
    <x:row r="1526" ht="23" customHeight="1">
      <x:c r="A1526" s="2" t="str">
        <x:v>PHL</x:v>
      </x:c>
      <x:c r="B1526" s="2" t="str">
        <x:v>Philippines (Republic of the)</x:v>
      </x:c>
      <x:c r="C1526" s="2" t="n">
        <x:v>2015</x:v>
      </x:c>
      <x:c r="D1526" s="2" t="str">
        <x:v>WUP_SURFACE</x:v>
      </x:c>
      <x:c r="E1526" s="17" t="n">
        <x:v>2119006423.4482572</x:v>
      </x:c>
      <x:c r="F1526" s="17" t="n">
        <x:f>IF(AND(M1526,ISNUMBER(R1526)),IF(D1526="TEMPO_PROXY",R1526,IF(AND(ISNUMBER(S1526),S1526&gt;0,ISNUMBER(U1526)),U1526*R1526/S1526,"n.a.")),"n.a.")</x:f>
        <x:v>2250645209.051721</x:v>
      </x:c>
      <x:c r="G1526" s="17" t="n">
        <x:f>IF(AND(ISNUMBER(E1526),ISNUMBER(F1526)),E1526-F1526,"n.a.")</x:f>
        <x:v>-131638785.60346389</x:v>
      </x:c>
      <x:c r="H1526" s="15" t="n">
        <x:f>IF(AND(ISNUMBER(E1526),ISNUMBER(F1526),F1526&gt;0),(E1526-F1526)/F1526,"n.a.")</x:f>
        <x:v>-0.058489354552212214</x:v>
      </x:c>
      <x:c r="I1526" s="19" t="n">
        <x:f>IF(ISNUMBER(H1526),ABS(H1526),"n.a.")</x:f>
        <x:v>0.058489354552212214</x:v>
      </x:c>
      <x:c r="J1526" s="2" t="str">
        <x:v>available</x:v>
      </x:c>
      <x:c r="K1526" s="2" t="n">
        <x:v>1</x:v>
      </x:c>
      <x:c r="L1526" s="13" t="b">
        <x:v>0</x:v>
      </x:c>
      <x:c r="M1526" s="13" t="b">
        <x:v>1</x:v>
      </x:c>
      <x:c r="N1526" s="2" t="str">
        <x:v>historical_GHSL_BU_estimate</x:v>
      </x:c>
      <x:c r="O1526" s="2" t="str"/>
      <x:c r="P1526" s="2" t="str">
        <x:v>horizontal built-up surface</x:v>
      </x:c>
      <x:c r="Q1526" s="2" t="str">
        <x:v>m2</x:v>
      </x:c>
      <x:c r="R1526" s="17" t="n">
        <x:v>2250645209.05172</x:v>
      </x:c>
      <x:c r="S1526" s="17" t="n">
        <x:v>2290609295.4</x:v>
      </x:c>
      <x:c r="T1526" s="18" t="n">
        <x:v>1.0000000000000004</x:v>
      </x:c>
      <x:c r="U1526" s="17" t="n">
        <x:v>2290609295.400001</x:v>
      </x:c>
      <x:c r="V1526" s="2" t="str">
        <x:v>Area equivalent = model2020 * WUP surface / TEMPO2020 footprint; km2 multiplied by1e6 once</x:v>
      </x:c>
      <x:c r="W1526" s="2" t="str">
        <x:v>L1_numeric_partition_qualified_not_national_completeness</x:v>
      </x:c>
      <x:c r="X1526" s="2" t="str">
        <x:v>https://human-settlement.emergency.copernicus.eu/datasets.php</x:v>
      </x:c>
    </x:row>
    <x:row r="1527" ht="23" customHeight="1">
      <x:c r="A1527" s="2" t="str">
        <x:v>PLW</x:v>
      </x:c>
      <x:c r="B1527" s="2" t="str">
        <x:v>Palau (Republic of)</x:v>
      </x:c>
      <x:c r="C1527" s="2" t="n">
        <x:v>2015</x:v>
      </x:c>
      <x:c r="D1527" s="2" t="str">
        <x:v>WUP_SURFACE</x:v>
      </x:c>
      <x:c r="E1527" s="17" t="n">
        <x:v>1134148.4645909867</x:v>
      </x:c>
      <x:c r="F1527" s="17" t="n">
        <x:f>IF(AND(M1527,ISNUMBER(R1527)),IF(D1527="TEMPO_PROXY",R1527,IF(AND(ISNUMBER(S1527),S1527&gt;0,ISNUMBER(U1527)),U1527*R1527/S1527,"n.a.")),"n.a.")</x:f>
        <x:v>1266565.0043958295</x:v>
      </x:c>
      <x:c r="G1527" s="17" t="n">
        <x:f>IF(AND(ISNUMBER(E1527),ISNUMBER(F1527)),E1527-F1527,"n.a.")</x:f>
        <x:v>-132416.5398048428</x:v>
      </x:c>
      <x:c r="H1527" s="15" t="n">
        <x:f>IF(AND(ISNUMBER(E1527),ISNUMBER(F1527),F1527&gt;0),(E1527-F1527)/F1527,"n.a.")</x:f>
        <x:v>-0.10454776450104704</x:v>
      </x:c>
      <x:c r="I1527" s="19" t="n">
        <x:f>IF(ISNUMBER(H1527),ABS(H1527),"n.a.")</x:f>
        <x:v>0.10454776450104704</x:v>
      </x:c>
      <x:c r="J1527" s="2" t="str">
        <x:v>available</x:v>
      </x:c>
      <x:c r="K1527" s="2" t="n">
        <x:v>1</x:v>
      </x:c>
      <x:c r="L1527" s="13" t="b">
        <x:v>0</x:v>
      </x:c>
      <x:c r="M1527" s="13" t="b">
        <x:v>1</x:v>
      </x:c>
      <x:c r="N1527" s="2" t="str">
        <x:v>historical_GHSL_BU_estimate</x:v>
      </x:c>
      <x:c r="O1527" s="2" t="str"/>
      <x:c r="P1527" s="2" t="str">
        <x:v>horizontal built-up surface</x:v>
      </x:c>
      <x:c r="Q1527" s="2" t="str">
        <x:v>m2</x:v>
      </x:c>
      <x:c r="R1527" s="17" t="n">
        <x:v>1266565.0043958295</x:v>
      </x:c>
      <x:c r="S1527" s="17" t="n">
        <x:v>1152226.26</x:v>
      </x:c>
      <x:c r="T1527" s="18" t="n">
        <x:v>1</x:v>
      </x:c>
      <x:c r="U1527" s="17" t="n">
        <x:v>1152226.26</x:v>
      </x:c>
      <x:c r="V1527" s="2" t="str">
        <x:v>Area equivalent = model2020 * WUP surface / TEMPO2020 footprint; km2 multiplied by1e6 once</x:v>
      </x:c>
      <x:c r="W1527" s="2" t="str">
        <x:v>L1_numeric_partition_qualified_not_national_completeness</x:v>
      </x:c>
      <x:c r="X1527" s="2" t="str">
        <x:v>https://human-settlement.emergency.copernicus.eu/datasets.php</x:v>
      </x:c>
    </x:row>
    <x:row r="1528" ht="23" customHeight="1">
      <x:c r="A1528" s="2" t="str">
        <x:v>PNG</x:v>
      </x:c>
      <x:c r="B1528" s="2" t="str">
        <x:v>Papua New Guinea (Independent State of)</x:v>
      </x:c>
      <x:c r="C1528" s="2" t="n">
        <x:v>2015</x:v>
      </x:c>
      <x:c r="D1528" s="2" t="str">
        <x:v>WUP_SURFACE</x:v>
      </x:c>
      <x:c r="E1528" s="17" t="n">
        <x:v>101313150.79228555</x:v>
      </x:c>
      <x:c r="F1528" s="17" t="n">
        <x:f>IF(AND(M1528,ISNUMBER(R1528)),IF(D1528="TEMPO_PROXY",R1528,IF(AND(ISNUMBER(S1528),S1528&gt;0,ISNUMBER(U1528)),U1528*R1528/S1528,"n.a.")),"n.a.")</x:f>
        <x:v>174294724.096426</x:v>
      </x:c>
      <x:c r="G1528" s="17" t="n">
        <x:f>IF(AND(ISNUMBER(E1528),ISNUMBER(F1528)),E1528-F1528,"n.a.")</x:f>
        <x:v>-72981573.30414046</x:v>
      </x:c>
      <x:c r="H1528" s="15" t="n">
        <x:f>IF(AND(ISNUMBER(E1528),ISNUMBER(F1528),F1528&gt;0),(E1528-F1528)/F1528,"n.a.")</x:f>
        <x:v>-0.4187250858136387</x:v>
      </x:c>
      <x:c r="I1528" s="19" t="n">
        <x:f>IF(ISNUMBER(H1528),ABS(H1528),"n.a.")</x:f>
        <x:v>0.4187250858136387</x:v>
      </x:c>
      <x:c r="J1528" s="2" t="str">
        <x:v>available</x:v>
      </x:c>
      <x:c r="K1528" s="2" t="n">
        <x:v>1</x:v>
      </x:c>
      <x:c r="L1528" s="13" t="b">
        <x:v>0</x:v>
      </x:c>
      <x:c r="M1528" s="13" t="b">
        <x:v>1</x:v>
      </x:c>
      <x:c r="N1528" s="2" t="str">
        <x:v>historical_GHSL_BU_estimate</x:v>
      </x:c>
      <x:c r="O1528" s="2" t="str"/>
      <x:c r="P1528" s="2" t="str">
        <x:v>horizontal built-up surface</x:v>
      </x:c>
      <x:c r="Q1528" s="2" t="str">
        <x:v>m2</x:v>
      </x:c>
      <x:c r="R1528" s="17" t="n">
        <x:v>174294724.09642574</x:v>
      </x:c>
      <x:c r="S1528" s="17" t="n">
        <x:v>111325792.03</x:v>
      </x:c>
      <x:c r="T1528" s="18" t="n">
        <x:v>1.0000000000000016</x:v>
      </x:c>
      <x:c r="U1528" s="17" t="n">
        <x:v>111325792.03000018</x:v>
      </x:c>
      <x:c r="V1528" s="2" t="str">
        <x:v>Area equivalent = model2020 * WUP surface / TEMPO2020 footprint; km2 multiplied by1e6 once</x:v>
      </x:c>
      <x:c r="W1528" s="2" t="str">
        <x:v>L1_numeric_partition_qualified_not_national_completeness</x:v>
      </x:c>
      <x:c r="X1528" s="2" t="str">
        <x:v>https://human-settlement.emergency.copernicus.eu/datasets.php</x:v>
      </x:c>
    </x:row>
    <x:row r="1529" ht="23" customHeight="1">
      <x:c r="A1529" s="2" t="str">
        <x:v>POL</x:v>
      </x:c>
      <x:c r="B1529" s="2" t="str">
        <x:v>Poland (Republic of)</x:v>
      </x:c>
      <x:c r="C1529" s="2" t="n">
        <x:v>2015</x:v>
      </x:c>
      <x:c r="D1529" s="2" t="str">
        <x:v>WUP_SURFACE</x:v>
      </x:c>
      <x:c r="E1529" s="17" t="n">
        <x:v>2405618895.24534</x:v>
      </x:c>
      <x:c r="F1529" s="17" t="n">
        <x:f>IF(AND(M1529,ISNUMBER(R1529)),IF(D1529="TEMPO_PROXY",R1529,IF(AND(ISNUMBER(S1529),S1529&gt;0,ISNUMBER(U1529)),U1529*R1529/S1529,"n.a.")),"n.a.")</x:f>
        <x:v>4259420079.1417656</x:v>
      </x:c>
      <x:c r="G1529" s="17" t="n">
        <x:f>IF(AND(ISNUMBER(E1529),ISNUMBER(F1529)),E1529-F1529,"n.a.")</x:f>
        <x:v>-1853801183.8964257</x:v>
      </x:c>
      <x:c r="H1529" s="15" t="n">
        <x:f>IF(AND(ISNUMBER(E1529),ISNUMBER(F1529),F1529&gt;0),(E1529-F1529)/F1529,"n.a.")</x:f>
        <x:v>-0.43522384490189797</x:v>
      </x:c>
      <x:c r="I1529" s="19" t="n">
        <x:f>IF(ISNUMBER(H1529),ABS(H1529),"n.a.")</x:f>
        <x:v>0.43522384490189797</x:v>
      </x:c>
      <x:c r="J1529" s="2" t="str">
        <x:v>available</x:v>
      </x:c>
      <x:c r="K1529" s="2" t="n">
        <x:v>1</x:v>
      </x:c>
      <x:c r="L1529" s="13" t="b">
        <x:v>0</x:v>
      </x:c>
      <x:c r="M1529" s="13" t="b">
        <x:v>1</x:v>
      </x:c>
      <x:c r="N1529" s="2" t="str">
        <x:v>historical_GHSL_BU_estimate</x:v>
      </x:c>
      <x:c r="O1529" s="2" t="str"/>
      <x:c r="P1529" s="2" t="str">
        <x:v>horizontal built-up surface</x:v>
      </x:c>
      <x:c r="Q1529" s="2" t="str">
        <x:v>m2</x:v>
      </x:c>
      <x:c r="R1529" s="17" t="n">
        <x:v>4259420079.141763</x:v>
      </x:c>
      <x:c r="S1529" s="17" t="n">
        <x:v>2573023573.53</x:v>
      </x:c>
      <x:c r="T1529" s="18" t="n">
        <x:v>1.0000000000000007</x:v>
      </x:c>
      <x:c r="U1529" s="17" t="n">
        <x:v>2573023573.5300016</x:v>
      </x:c>
      <x:c r="V1529" s="2" t="str">
        <x:v>Area equivalent = model2020 * WUP surface / TEMPO2020 footprint; km2 multiplied by1e6 once</x:v>
      </x:c>
      <x:c r="W1529" s="2" t="str">
        <x:v>L1_numeric_partition_qualified_not_national_completeness</x:v>
      </x:c>
      <x:c r="X1529" s="2" t="str">
        <x:v>https://human-settlement.emergency.copernicus.eu/datasets.php</x:v>
      </x:c>
    </x:row>
    <x:row r="1530" ht="23" customHeight="1">
      <x:c r="A1530" s="2" t="str">
        <x:v>PRK</x:v>
      </x:c>
      <x:c r="B1530" s="2" t="str">
        <x:v>Korea (Democratic People's Republic of)</x:v>
      </x:c>
      <x:c r="C1530" s="2" t="n">
        <x:v>2015</x:v>
      </x:c>
      <x:c r="D1530" s="2" t="str">
        <x:v>WUP_SURFACE</x:v>
      </x:c>
      <x:c r="E1530" s="17" t="n">
        <x:v>399529994.4119029</x:v>
      </x:c>
      <x:c r="F1530" s="17" t="n">
        <x:f>IF(AND(M1530,ISNUMBER(R1530)),IF(D1530="TEMPO_PROXY",R1530,IF(AND(ISNUMBER(S1530),S1530&gt;0,ISNUMBER(U1530)),U1530*R1530/S1530,"n.a.")),"n.a.")</x:f>
        <x:v>326280020.7378514</x:v>
      </x:c>
      <x:c r="G1530" s="17" t="n">
        <x:f>IF(AND(ISNUMBER(E1530),ISNUMBER(F1530)),E1530-F1530,"n.a.")</x:f>
        <x:v>73249973.67405152</x:v>
      </x:c>
      <x:c r="H1530" s="15" t="n">
        <x:f>IF(AND(ISNUMBER(E1530),ISNUMBER(F1530),F1530&gt;0),(E1530-F1530)/F1530,"n.a.")</x:f>
        <x:v>0.22450033412528184</x:v>
      </x:c>
      <x:c r="I1530" s="19" t="n">
        <x:f>IF(ISNUMBER(H1530),ABS(H1530),"n.a.")</x:f>
        <x:v>0.22450033412528184</x:v>
      </x:c>
      <x:c r="J1530" s="2" t="str">
        <x:v>available</x:v>
      </x:c>
      <x:c r="K1530" s="2" t="n">
        <x:v>1</x:v>
      </x:c>
      <x:c r="L1530" s="13" t="b">
        <x:v>0</x:v>
      </x:c>
      <x:c r="M1530" s="13" t="b">
        <x:v>1</x:v>
      </x:c>
      <x:c r="N1530" s="2" t="str">
        <x:v>historical_GHSL_BU_estimate</x:v>
      </x:c>
      <x:c r="O1530" s="2" t="str"/>
      <x:c r="P1530" s="2" t="str">
        <x:v>horizontal built-up surface</x:v>
      </x:c>
      <x:c r="Q1530" s="2" t="str">
        <x:v>m2</x:v>
      </x:c>
      <x:c r="R1530" s="17" t="n">
        <x:v>321992063.2079434</x:v>
      </x:c>
      <x:c r="S1530" s="17" t="n">
        <x:v>463540849.51</x:v>
      </x:c>
      <x:c r="T1530" s="18" t="n">
        <x:v>1.0133169665338577</x:v>
      </x:c>
      <x:c r="U1530" s="17" t="n">
        <x:v>469713807.49000067</x:v>
      </x:c>
      <x:c r="V1530" s="2" t="str">
        <x:v>Area equivalent = model2020 * WUP surface / TEMPO2020 footprint; km2 multiplied by1e6 once</x:v>
      </x:c>
      <x:c r="W1530" s="2" t="str">
        <x:v>L1_numeric_partition_qualified_not_national_completeness</x:v>
      </x:c>
      <x:c r="X1530" s="2" t="str">
        <x:v>https://human-settlement.emergency.copernicus.eu/datasets.php</x:v>
      </x:c>
    </x:row>
    <x:row r="1531" ht="23" customHeight="1">
      <x:c r="A1531" s="2" t="str">
        <x:v>PRT</x:v>
      </x:c>
      <x:c r="B1531" s="2" t="str">
        <x:v>Portugal (Portuguese Republic)</x:v>
      </x:c>
      <x:c r="C1531" s="2" t="n">
        <x:v>2015</x:v>
      </x:c>
      <x:c r="D1531" s="2" t="str">
        <x:v>WUP_SURFACE</x:v>
      </x:c>
      <x:c r="E1531" s="17" t="n">
        <x:v>971474702.6920972</x:v>
      </x:c>
      <x:c r="F1531" s="17" t="n">
        <x:f>IF(AND(M1531,ISNUMBER(R1531)),IF(D1531="TEMPO_PROXY",R1531,IF(AND(ISNUMBER(S1531),S1531&gt;0,ISNUMBER(U1531)),U1531*R1531/S1531,"n.a.")),"n.a.")</x:f>
        <x:v>1315604322.0915318</x:v>
      </x:c>
      <x:c r="G1531" s="17" t="n">
        <x:f>IF(AND(ISNUMBER(E1531),ISNUMBER(F1531)),E1531-F1531,"n.a.")</x:f>
        <x:v>-344129619.39943457</x:v>
      </x:c>
      <x:c r="H1531" s="15" t="n">
        <x:f>IF(AND(ISNUMBER(E1531),ISNUMBER(F1531),F1531&gt;0),(E1531-F1531)/F1531,"n.a.")</x:f>
        <x:v>-0.26157531836953946</x:v>
      </x:c>
      <x:c r="I1531" s="19" t="n">
        <x:f>IF(ISNUMBER(H1531),ABS(H1531),"n.a.")</x:f>
        <x:v>0.26157531836953946</x:v>
      </x:c>
      <x:c r="J1531" s="2" t="str">
        <x:v>available</x:v>
      </x:c>
      <x:c r="K1531" s="2" t="n">
        <x:v>1</x:v>
      </x:c>
      <x:c r="L1531" s="13" t="b">
        <x:v>0</x:v>
      </x:c>
      <x:c r="M1531" s="13" t="b">
        <x:v>1</x:v>
      </x:c>
      <x:c r="N1531" s="2" t="str">
        <x:v>historical_GHSL_BU_estimate</x:v>
      </x:c>
      <x:c r="O1531" s="2" t="str"/>
      <x:c r="P1531" s="2" t="str">
        <x:v>horizontal built-up surface</x:v>
      </x:c>
      <x:c r="Q1531" s="2" t="str">
        <x:v>m2</x:v>
      </x:c>
      <x:c r="R1531" s="17" t="n">
        <x:v>1315604322.0915318</x:v>
      </x:c>
      <x:c r="S1531" s="17" t="n">
        <x:v>1019333626.31</x:v>
      </x:c>
      <x:c r="T1531" s="18" t="n">
        <x:v>1</x:v>
      </x:c>
      <x:c r="U1531" s="17" t="n">
        <x:v>1019333626.31</x:v>
      </x:c>
      <x:c r="V1531" s="2" t="str">
        <x:v>Area equivalent = model2020 * WUP surface / TEMPO2020 footprint; km2 multiplied by1e6 once</x:v>
      </x:c>
      <x:c r="W1531" s="2" t="str">
        <x:v>L1_numeric_partition_qualified_not_national_completeness</x:v>
      </x:c>
      <x:c r="X1531" s="2" t="str">
        <x:v>https://human-settlement.emergency.copernicus.eu/datasets.php</x:v>
      </x:c>
    </x:row>
    <x:row r="1532" ht="23" customHeight="1">
      <x:c r="A1532" s="2" t="str">
        <x:v>PRY</x:v>
      </x:c>
      <x:c r="B1532" s="2" t="str">
        <x:v>Paraguay (Republic of)</x:v>
      </x:c>
      <x:c r="C1532" s="2" t="n">
        <x:v>2015</x:v>
      </x:c>
      <x:c r="D1532" s="2" t="str">
        <x:v>WUP_SURFACE</x:v>
      </x:c>
      <x:c r="E1532" s="17" t="n">
        <x:v>320713958.5472337</x:v>
      </x:c>
      <x:c r="F1532" s="17" t="n">
        <x:f>IF(AND(M1532,ISNUMBER(R1532)),IF(D1532="TEMPO_PROXY",R1532,IF(AND(ISNUMBER(S1532),S1532&gt;0,ISNUMBER(U1532)),U1532*R1532/S1532,"n.a.")),"n.a.")</x:f>
        <x:v>538942435.941773</x:v>
      </x:c>
      <x:c r="G1532" s="17" t="n">
        <x:f>IF(AND(ISNUMBER(E1532),ISNUMBER(F1532)),E1532-F1532,"n.a.")</x:f>
        <x:v>-218228477.39453936</x:v>
      </x:c>
      <x:c r="H1532" s="15" t="n">
        <x:f>IF(AND(ISNUMBER(E1532),ISNUMBER(F1532),F1532&gt;0),(E1532-F1532)/F1532,"n.a.")</x:f>
        <x:v>-0.4049198260166631</x:v>
      </x:c>
      <x:c r="I1532" s="19" t="n">
        <x:f>IF(ISNUMBER(H1532),ABS(H1532),"n.a.")</x:f>
        <x:v>0.4049198260166631</x:v>
      </x:c>
      <x:c r="J1532" s="2" t="str">
        <x:v>available</x:v>
      </x:c>
      <x:c r="K1532" s="2" t="n">
        <x:v>1</x:v>
      </x:c>
      <x:c r="L1532" s="13" t="b">
        <x:v>0</x:v>
      </x:c>
      <x:c r="M1532" s="13" t="b">
        <x:v>1</x:v>
      </x:c>
      <x:c r="N1532" s="2" t="str">
        <x:v>historical_GHSL_BU_estimate</x:v>
      </x:c>
      <x:c r="O1532" s="2" t="str"/>
      <x:c r="P1532" s="2" t="str">
        <x:v>horizontal built-up surface</x:v>
      </x:c>
      <x:c r="Q1532" s="2" t="str">
        <x:v>m2</x:v>
      </x:c>
      <x:c r="R1532" s="17" t="n">
        <x:v>538942435.9417722</x:v>
      </x:c>
      <x:c r="S1532" s="17" t="n">
        <x:v>336793873.45</x:v>
      </x:c>
      <x:c r="T1532" s="18" t="n">
        <x:v>1.0000000000000016</x:v>
      </x:c>
      <x:c r="U1532" s="17" t="n">
        <x:v>336793873.4500005</x:v>
      </x:c>
      <x:c r="V1532" s="2" t="str">
        <x:v>Area equivalent = model2020 * WUP surface / TEMPO2020 footprint; km2 multiplied by1e6 once</x:v>
      </x:c>
      <x:c r="W1532" s="2" t="str">
        <x:v>L1_numeric_partition_qualified_not_national_completeness</x:v>
      </x:c>
      <x:c r="X1532" s="2" t="str">
        <x:v>https://human-settlement.emergency.copernicus.eu/datasets.php</x:v>
      </x:c>
    </x:row>
    <x:row r="1533" ht="23" customHeight="1">
      <x:c r="A1533" s="2" t="str">
        <x:v>PSE</x:v>
      </x:c>
      <x:c r="B1533" s="2" t="str">
        <x:v>State of Palestine</x:v>
      </x:c>
      <x:c r="C1533" s="2" t="n">
        <x:v>2015</x:v>
      </x:c>
      <x:c r="D1533" s="2" t="str">
        <x:v>WUP_SURFACE</x:v>
      </x:c>
      <x:c r="E1533" s="17" t="n">
        <x:v>227721164.33217236</x:v>
      </x:c>
      <x:c r="F1533" s="17" t="str">
        <x:f>IF(AND(M1533,ISNUMBER(R1533)),IF(D1533="TEMPO_PROXY",R1533,IF(AND(ISNUMBER(S1533),S1533&gt;0,ISNUMBER(U1533)),U1533*R1533/S1533,"n.a.")),"n.a.")</x:f>
        <x:v>n.a.</x:v>
      </x:c>
      <x:c r="G1533" s="17" t="str">
        <x:f>IF(AND(ISNUMBER(E1533),ISNUMBER(F1533)),E1533-F1533,"n.a.")</x:f>
        <x:v>n.a.</x:v>
      </x:c>
      <x:c r="H1533" s="15" t="str">
        <x:f>IF(AND(ISNUMBER(E1533),ISNUMBER(F1533),F1533&gt;0),(E1533-F1533)/F1533,"n.a.")</x:f>
        <x:v>n.a.</x:v>
      </x:c>
      <x:c r="I1533" s="19" t="str">
        <x:f>IF(ISNUMBER(H1533),ABS(H1533),"n.a.")</x:f>
        <x:v>n.a.</x:v>
      </x:c>
      <x:c r="J1533" s="2" t="str">
        <x:v>no_qualified_TEMPO2020_conversion_base</x:v>
      </x:c>
      <x:c r="K1533" s="2" t="n">
        <x:v>0</x:v>
      </x:c>
      <x:c r="L1533" s="13" t="b">
        <x:v>0</x:v>
      </x:c>
      <x:c r="M1533" s="13" t="b">
        <x:v>1</x:v>
      </x:c>
      <x:c r="N1533" s="2" t="str">
        <x:v>historical_GHSL_BU_estimate</x:v>
      </x:c>
      <x:c r="O1533" s="2" t="str"/>
      <x:c r="P1533" s="2" t="str">
        <x:v>horizontal built-up surface</x:v>
      </x:c>
      <x:c r="Q1533" s="2" t="str">
        <x:v>m2</x:v>
      </x:c>
      <x:c r="R1533" s="17" t="n">
        <x:v>213135198.93148407</x:v>
      </x:c>
      <x:c r="S1533" s="17"/>
      <x:c r="T1533" s="18"/>
      <x:c r="U1533" s="17" t="n">
        <x:v>239938472.63190365</x:v>
      </x:c>
      <x:c r="V1533" s="2" t="str">
        <x:v>Area equivalent = model2020 * WUP surface / TEMPO2020 footprint; km2 multiplied by1e6 once</x:v>
      </x:c>
      <x:c r="W1533" s="2" t="str">
        <x:v>L1_numeric_partition_qualified_not_national_completeness</x:v>
      </x:c>
      <x:c r="X1533" s="2" t="str">
        <x:v>https://human-settlement.emergency.copernicus.eu/datasets.php</x:v>
      </x:c>
    </x:row>
    <x:row r="1534" ht="23" customHeight="1">
      <x:c r="A1534" s="2" t="str">
        <x:v>QAT</x:v>
      </x:c>
      <x:c r="B1534" s="2" t="str">
        <x:v>Qatar (State of)</x:v>
      </x:c>
      <x:c r="C1534" s="2" t="n">
        <x:v>2015</x:v>
      </x:c>
      <x:c r="D1534" s="2" t="str">
        <x:v>WUP_SURFACE</x:v>
      </x:c>
      <x:c r="E1534" s="17" t="n">
        <x:v>105013579.42282487</x:v>
      </x:c>
      <x:c r="F1534" s="17" t="n">
        <x:f>IF(AND(M1534,ISNUMBER(R1534)),IF(D1534="TEMPO_PROXY",R1534,IF(AND(ISNUMBER(S1534),S1534&gt;0,ISNUMBER(U1534)),U1534*R1534/S1534,"n.a.")),"n.a.")</x:f>
        <x:v>185237046.42837468</x:v>
      </x:c>
      <x:c r="G1534" s="17" t="n">
        <x:f>IF(AND(ISNUMBER(E1534),ISNUMBER(F1534)),E1534-F1534,"n.a.")</x:f>
        <x:v>-80223467.0055498</x:v>
      </x:c>
      <x:c r="H1534" s="15" t="n">
        <x:f>IF(AND(ISNUMBER(E1534),ISNUMBER(F1534),F1534&gt;0),(E1534-F1534)/F1534,"n.a.")</x:f>
        <x:v>-0.433085435944746</x:v>
      </x:c>
      <x:c r="I1534" s="19" t="n">
        <x:f>IF(ISNUMBER(H1534),ABS(H1534),"n.a.")</x:f>
        <x:v>0.433085435944746</x:v>
      </x:c>
      <x:c r="J1534" s="2" t="str">
        <x:v>available</x:v>
      </x:c>
      <x:c r="K1534" s="2" t="n">
        <x:v>1</x:v>
      </x:c>
      <x:c r="L1534" s="13" t="b">
        <x:v>0</x:v>
      </x:c>
      <x:c r="M1534" s="13" t="b">
        <x:v>1</x:v>
      </x:c>
      <x:c r="N1534" s="2" t="str">
        <x:v>historical_GHSL_BU_estimate</x:v>
      </x:c>
      <x:c r="O1534" s="2" t="str"/>
      <x:c r="P1534" s="2" t="str">
        <x:v>horizontal built-up surface</x:v>
      </x:c>
      <x:c r="Q1534" s="2" t="str">
        <x:v>m2</x:v>
      </x:c>
      <x:c r="R1534" s="17" t="n">
        <x:v>166462312.09106326</x:v>
      </x:c>
      <x:c r="S1534" s="17" t="n">
        <x:v>123398530.18</x:v>
      </x:c>
      <x:c r="T1534" s="18" t="n">
        <x:v>1.1127866968893276</x:v>
      </x:c>
      <x:c r="U1534" s="17" t="n">
        <x:v>137316242.80000022</x:v>
      </x:c>
      <x:c r="V1534" s="2" t="str">
        <x:v>Area equivalent = model2020 * WUP surface / TEMPO2020 footprint; km2 multiplied by1e6 once</x:v>
      </x:c>
      <x:c r="W1534" s="2" t="str">
        <x:v>L1_numeric_partition_qualified_not_national_completeness</x:v>
      </x:c>
      <x:c r="X1534" s="2" t="str">
        <x:v>https://human-settlement.emergency.copernicus.eu/datasets.php</x:v>
      </x:c>
    </x:row>
    <x:row r="1535" ht="23" customHeight="1">
      <x:c r="A1535" s="2" t="str">
        <x:v>ROU</x:v>
      </x:c>
      <x:c r="B1535" s="2" t="str">
        <x:v>Romania</x:v>
      </x:c>
      <x:c r="C1535" s="2" t="n">
        <x:v>2015</x:v>
      </x:c>
      <x:c r="D1535" s="2" t="str">
        <x:v>WUP_SURFACE</x:v>
      </x:c>
      <x:c r="E1535" s="17" t="n">
        <x:v>1361197456.7154684</x:v>
      </x:c>
      <x:c r="F1535" s="17" t="n">
        <x:f>IF(AND(M1535,ISNUMBER(R1535)),IF(D1535="TEMPO_PROXY",R1535,IF(AND(ISNUMBER(S1535),S1535&gt;0,ISNUMBER(U1535)),U1535*R1535/S1535,"n.a.")),"n.a.")</x:f>
        <x:v>2143335528.578067</x:v>
      </x:c>
      <x:c r="G1535" s="17" t="n">
        <x:f>IF(AND(ISNUMBER(E1535),ISNUMBER(F1535)),E1535-F1535,"n.a.")</x:f>
        <x:v>-782138071.8625987</x:v>
      </x:c>
      <x:c r="H1535" s="15" t="n">
        <x:f>IF(AND(ISNUMBER(E1535),ISNUMBER(F1535),F1535&gt;0),(E1535-F1535)/F1535,"n.a.")</x:f>
        <x:v>-0.3649163005203787</x:v>
      </x:c>
      <x:c r="I1535" s="19" t="n">
        <x:f>IF(ISNUMBER(H1535),ABS(H1535),"n.a.")</x:f>
        <x:v>0.3649163005203787</x:v>
      </x:c>
      <x:c r="J1535" s="2" t="str">
        <x:v>available</x:v>
      </x:c>
      <x:c r="K1535" s="2" t="n">
        <x:v>1</x:v>
      </x:c>
      <x:c r="L1535" s="13" t="b">
        <x:v>0</x:v>
      </x:c>
      <x:c r="M1535" s="13" t="b">
        <x:v>1</x:v>
      </x:c>
      <x:c r="N1535" s="2" t="str">
        <x:v>historical_GHSL_BU_estimate</x:v>
      </x:c>
      <x:c r="O1535" s="2" t="str"/>
      <x:c r="P1535" s="2" t="str">
        <x:v>horizontal built-up surface</x:v>
      </x:c>
      <x:c r="Q1535" s="2" t="str">
        <x:v>m2</x:v>
      </x:c>
      <x:c r="R1535" s="17" t="n">
        <x:v>2143335528.5780635</x:v>
      </x:c>
      <x:c r="S1535" s="17" t="n">
        <x:v>1451492077.99</x:v>
      </x:c>
      <x:c r="T1535" s="18" t="n">
        <x:v>1.0000000000000016</x:v>
      </x:c>
      <x:c r="U1535" s="17" t="n">
        <x:v>1451492077.9900024</x:v>
      </x:c>
      <x:c r="V1535" s="2" t="str">
        <x:v>Area equivalent = model2020 * WUP surface / TEMPO2020 footprint; km2 multiplied by1e6 once</x:v>
      </x:c>
      <x:c r="W1535" s="2" t="str">
        <x:v>L1_numeric_partition_qualified_not_national_completeness</x:v>
      </x:c>
      <x:c r="X1535" s="2" t="str">
        <x:v>https://human-settlement.emergency.copernicus.eu/datasets.php</x:v>
      </x:c>
    </x:row>
    <x:row r="1536" ht="23" customHeight="1">
      <x:c r="A1536" s="2" t="str">
        <x:v>RUS</x:v>
      </x:c>
      <x:c r="B1536" s="2" t="str">
        <x:v>Russian Federation</x:v>
      </x:c>
      <x:c r="C1536" s="2" t="n">
        <x:v>2015</x:v>
      </x:c>
      <x:c r="D1536" s="2" t="str">
        <x:v>WUP_SURFACE</x:v>
      </x:c>
      <x:c r="E1536" s="17" t="n">
        <x:v>7329903918.534828</x:v>
      </x:c>
      <x:c r="F1536" s="17" t="n">
        <x:f>IF(AND(M1536,ISNUMBER(R1536)),IF(D1536="TEMPO_PROXY",R1536,IF(AND(ISNUMBER(S1536),S1536&gt;0,ISNUMBER(U1536)),U1536*R1536/S1536,"n.a.")),"n.a.")</x:f>
        <x:v>11998022735.456982</x:v>
      </x:c>
      <x:c r="G1536" s="17" t="n">
        <x:f>IF(AND(ISNUMBER(E1536),ISNUMBER(F1536)),E1536-F1536,"n.a.")</x:f>
        <x:v>-4668118816.922153</x:v>
      </x:c>
      <x:c r="H1536" s="15" t="n">
        <x:f>IF(AND(ISNUMBER(E1536),ISNUMBER(F1536),F1536&gt;0),(E1536-F1536)/F1536,"n.a.")</x:f>
        <x:v>-0.3890740099305499</x:v>
      </x:c>
      <x:c r="I1536" s="19" t="n">
        <x:f>IF(ISNUMBER(H1536),ABS(H1536),"n.a.")</x:f>
        <x:v>0.3890740099305499</x:v>
      </x:c>
      <x:c r="J1536" s="2" t="str">
        <x:v>available</x:v>
      </x:c>
      <x:c r="K1536" s="2" t="n">
        <x:v>1</x:v>
      </x:c>
      <x:c r="L1536" s="13" t="b">
        <x:v>0</x:v>
      </x:c>
      <x:c r="M1536" s="13" t="b">
        <x:v>1</x:v>
      </x:c>
      <x:c r="N1536" s="2" t="str">
        <x:v>historical_GHSL_BU_estimate</x:v>
      </x:c>
      <x:c r="O1536" s="2" t="str"/>
      <x:c r="P1536" s="2" t="str">
        <x:v>horizontal built-up surface</x:v>
      </x:c>
      <x:c r="Q1536" s="2" t="str">
        <x:v>m2</x:v>
      </x:c>
      <x:c r="R1536" s="17" t="n">
        <x:v>11959709824.025599</x:v>
      </x:c>
      <x:c r="S1536" s="17" t="n">
        <x:v>7742883032.41</x:v>
      </x:c>
      <x:c r="T1536" s="18" t="n">
        <x:v>1.0032034984121787</x:v>
      </x:c>
      <x:c r="U1536" s="17" t="n">
        <x:v>7767687345.91001</x:v>
      </x:c>
      <x:c r="V1536" s="2" t="str">
        <x:v>Area equivalent = model2020 * WUP surface / TEMPO2020 footprint; km2 multiplied by1e6 once</x:v>
      </x:c>
      <x:c r="W1536" s="2" t="str">
        <x:v>L1_numeric_partition_qualified_not_national_completeness</x:v>
      </x:c>
      <x:c r="X1536" s="2" t="str">
        <x:v>https://human-settlement.emergency.copernicus.eu/datasets.php</x:v>
      </x:c>
    </x:row>
    <x:row r="1537" ht="23" customHeight="1">
      <x:c r="A1537" s="2" t="str">
        <x:v>RWA</x:v>
      </x:c>
      <x:c r="B1537" s="2" t="str">
        <x:v>Rwanda (Republic of)</x:v>
      </x:c>
      <x:c r="C1537" s="2" t="n">
        <x:v>2015</x:v>
      </x:c>
      <x:c r="D1537" s="2" t="str">
        <x:v>WUP_SURFACE</x:v>
      </x:c>
      <x:c r="E1537" s="17" t="n">
        <x:v>190675524.79529798</x:v>
      </x:c>
      <x:c r="F1537" s="17" t="n">
        <x:f>IF(AND(M1537,ISNUMBER(R1537)),IF(D1537="TEMPO_PROXY",R1537,IF(AND(ISNUMBER(S1537),S1537&gt;0,ISNUMBER(U1537)),U1537*R1537/S1537,"n.a.")),"n.a.")</x:f>
        <x:v>531452925.75362325</x:v>
      </x:c>
      <x:c r="G1537" s="17" t="n">
        <x:f>IF(AND(ISNUMBER(E1537),ISNUMBER(F1537)),E1537-F1537,"n.a.")</x:f>
        <x:v>-340777400.95832527</x:v>
      </x:c>
      <x:c r="H1537" s="15" t="n">
        <x:f>IF(AND(ISNUMBER(E1537),ISNUMBER(F1537),F1537&gt;0),(E1537-F1537)/F1537,"n.a.")</x:f>
        <x:v>-0.6412184117249673</x:v>
      </x:c>
      <x:c r="I1537" s="19" t="n">
        <x:f>IF(ISNUMBER(H1537),ABS(H1537),"n.a.")</x:f>
        <x:v>0.6412184117249673</x:v>
      </x:c>
      <x:c r="J1537" s="2" t="str">
        <x:v>available</x:v>
      </x:c>
      <x:c r="K1537" s="2" t="n">
        <x:v>1</x:v>
      </x:c>
      <x:c r="L1537" s="13" t="b">
        <x:v>0</x:v>
      </x:c>
      <x:c r="M1537" s="13" t="b">
        <x:v>1</x:v>
      </x:c>
      <x:c r="N1537" s="2" t="str">
        <x:v>historical_GHSL_BU_estimate</x:v>
      </x:c>
      <x:c r="O1537" s="2" t="str"/>
      <x:c r="P1537" s="2" t="str">
        <x:v>horizontal built-up surface</x:v>
      </x:c>
      <x:c r="Q1537" s="2" t="str">
        <x:v>m2</x:v>
      </x:c>
      <x:c r="R1537" s="17" t="n">
        <x:v>531452925.75362307</x:v>
      </x:c>
      <x:c r="S1537" s="17" t="n">
        <x:v>244877324.63</x:v>
      </x:c>
      <x:c r="T1537" s="18" t="n">
        <x:v>1.0000000000000002</x:v>
      </x:c>
      <x:c r="U1537" s="17" t="n">
        <x:v>244877324.63000005</x:v>
      </x:c>
      <x:c r="V1537" s="2" t="str">
        <x:v>Area equivalent = model2020 * WUP surface / TEMPO2020 footprint; km2 multiplied by1e6 once</x:v>
      </x:c>
      <x:c r="W1537" s="2" t="str">
        <x:v>L1_numeric_partition_qualified_not_national_completeness</x:v>
      </x:c>
      <x:c r="X1537" s="2" t="str">
        <x:v>https://human-settlement.emergency.copernicus.eu/datasets.php</x:v>
      </x:c>
    </x:row>
    <x:row r="1538" ht="23" customHeight="1">
      <x:c r="A1538" s="2" t="str">
        <x:v>SAU</x:v>
      </x:c>
      <x:c r="B1538" s="2" t="str">
        <x:v>Saudi Arabia (Kingdom of)</x:v>
      </x:c>
      <x:c r="C1538" s="2" t="n">
        <x:v>2015</x:v>
      </x:c>
      <x:c r="D1538" s="2" t="str">
        <x:v>WUP_SURFACE</x:v>
      </x:c>
      <x:c r="E1538" s="17" t="n">
        <x:v>1566644512.76466</x:v>
      </x:c>
      <x:c r="F1538" s="17" t="n">
        <x:f>IF(AND(M1538,ISNUMBER(R1538)),IF(D1538="TEMPO_PROXY",R1538,IF(AND(ISNUMBER(S1538),S1538&gt;0,ISNUMBER(U1538)),U1538*R1538/S1538,"n.a.")),"n.a.")</x:f>
        <x:v>2373248444.615315</x:v>
      </x:c>
      <x:c r="G1538" s="17" t="n">
        <x:f>IF(AND(ISNUMBER(E1538),ISNUMBER(F1538)),E1538-F1538,"n.a.")</x:f>
        <x:v>-806603931.8506551</x:v>
      </x:c>
      <x:c r="H1538" s="15" t="n">
        <x:f>IF(AND(ISNUMBER(E1538),ISNUMBER(F1538),F1538&gt;0),(E1538-F1538)/F1538,"n.a.")</x:f>
        <x:v>-0.3398733637351648</x:v>
      </x:c>
      <x:c r="I1538" s="19" t="n">
        <x:f>IF(ISNUMBER(H1538),ABS(H1538),"n.a.")</x:f>
        <x:v>0.3398733637351648</x:v>
      </x:c>
      <x:c r="J1538" s="2" t="str">
        <x:v>available</x:v>
      </x:c>
      <x:c r="K1538" s="2" t="n">
        <x:v>1</x:v>
      </x:c>
      <x:c r="L1538" s="13" t="b">
        <x:v>0</x:v>
      </x:c>
      <x:c r="M1538" s="13" t="b">
        <x:v>1</x:v>
      </x:c>
      <x:c r="N1538" s="2" t="str">
        <x:v>historical_GHSL_BU_estimate</x:v>
      </x:c>
      <x:c r="O1538" s="2" t="str"/>
      <x:c r="P1538" s="2" t="str">
        <x:v>horizontal built-up surface</x:v>
      </x:c>
      <x:c r="Q1538" s="2" t="str">
        <x:v>m2</x:v>
      </x:c>
      <x:c r="R1538" s="17" t="n">
        <x:v>2310102707.8765526</x:v>
      </x:c>
      <x:c r="S1538" s="17" t="n">
        <x:v>1860856502.16</x:v>
      </x:c>
      <x:c r="T1538" s="18" t="n">
        <x:v>1.02733460141121</x:v>
      </x:c>
      <x:c r="U1538" s="17" t="n">
        <x:v>1911722272.930002</x:v>
      </x:c>
      <x:c r="V1538" s="2" t="str">
        <x:v>Area equivalent = model2020 * WUP surface / TEMPO2020 footprint; km2 multiplied by1e6 once</x:v>
      </x:c>
      <x:c r="W1538" s="2" t="str">
        <x:v>L1_numeric_partition_qualified_not_national_completeness</x:v>
      </x:c>
      <x:c r="X1538" s="2" t="str">
        <x:v>https://human-settlement.emergency.copernicus.eu/datasets.php</x:v>
      </x:c>
    </x:row>
    <x:row r="1539" ht="23" customHeight="1">
      <x:c r="A1539" s="2" t="str">
        <x:v>SDN</x:v>
      </x:c>
      <x:c r="B1539" s="2" t="str">
        <x:v>Sudan (Republic of the)</x:v>
      </x:c>
      <x:c r="C1539" s="2" t="n">
        <x:v>2015</x:v>
      </x:c>
      <x:c r="D1539" s="2" t="str">
        <x:v>WUP_SURFACE</x:v>
      </x:c>
      <x:c r="E1539" s="17" t="n">
        <x:v>556895482.4611582</x:v>
      </x:c>
      <x:c r="F1539" s="17" t="n">
        <x:f>IF(AND(M1539,ISNUMBER(R1539)),IF(D1539="TEMPO_PROXY",R1539,IF(AND(ISNUMBER(S1539),S1539&gt;0,ISNUMBER(U1539)),U1539*R1539/S1539,"n.a.")),"n.a.")</x:f>
        <x:v>1219038914.2027934</x:v>
      </x:c>
      <x:c r="G1539" s="17" t="n">
        <x:f>IF(AND(ISNUMBER(E1539),ISNUMBER(F1539)),E1539-F1539,"n.a.")</x:f>
        <x:v>-662143431.7416352</x:v>
      </x:c>
      <x:c r="H1539" s="15" t="n">
        <x:f>IF(AND(ISNUMBER(E1539),ISNUMBER(F1539),F1539&gt;0),(E1539-F1539)/F1539,"n.a.")</x:f>
        <x:v>-0.5431684124494521</x:v>
      </x:c>
      <x:c r="I1539" s="19" t="n">
        <x:f>IF(ISNUMBER(H1539),ABS(H1539),"n.a.")</x:f>
        <x:v>0.5431684124494521</x:v>
      </x:c>
      <x:c r="J1539" s="2" t="str">
        <x:v>available</x:v>
      </x:c>
      <x:c r="K1539" s="2" t="n">
        <x:v>1</x:v>
      </x:c>
      <x:c r="L1539" s="13" t="b">
        <x:v>0</x:v>
      </x:c>
      <x:c r="M1539" s="13" t="b">
        <x:v>1</x:v>
      </x:c>
      <x:c r="N1539" s="2" t="str">
        <x:v>historical_GHSL_BU_estimate</x:v>
      </x:c>
      <x:c r="O1539" s="2" t="str"/>
      <x:c r="P1539" s="2" t="str">
        <x:v>horizontal built-up surface</x:v>
      </x:c>
      <x:c r="Q1539" s="2" t="str">
        <x:v>m2</x:v>
      </x:c>
      <x:c r="R1539" s="17" t="n">
        <x:v>1219038914.2027926</x:v>
      </x:c>
      <x:c r="S1539" s="17" t="n">
        <x:v>751311239.6</x:v>
      </x:c>
      <x:c r="T1539" s="18" t="n">
        <x:v>1.0000000000000007</x:v>
      </x:c>
      <x:c r="U1539" s="17" t="n">
        <x:v>751311239.6000005</x:v>
      </x:c>
      <x:c r="V1539" s="2" t="str">
        <x:v>Area equivalent = model2020 * WUP surface / TEMPO2020 footprint; km2 multiplied by1e6 once</x:v>
      </x:c>
      <x:c r="W1539" s="2" t="str">
        <x:v>L1_numeric_partition_qualified_not_national_completeness</x:v>
      </x:c>
      <x:c r="X1539" s="2" t="str">
        <x:v>https://human-settlement.emergency.copernicus.eu/datasets.php</x:v>
      </x:c>
    </x:row>
    <x:row r="1540" ht="23" customHeight="1">
      <x:c r="A1540" s="2" t="str">
        <x:v>SEN</x:v>
      </x:c>
      <x:c r="B1540" s="2" t="str">
        <x:v>Senegal (Republic of)</x:v>
      </x:c>
      <x:c r="C1540" s="2" t="n">
        <x:v>2015</x:v>
      </x:c>
      <x:c r="D1540" s="2" t="str">
        <x:v>WUP_SURFACE</x:v>
      </x:c>
      <x:c r="E1540" s="17" t="n">
        <x:v>264389994.98968568</x:v>
      </x:c>
      <x:c r="F1540" s="17" t="n">
        <x:f>IF(AND(M1540,ISNUMBER(R1540)),IF(D1540="TEMPO_PROXY",R1540,IF(AND(ISNUMBER(S1540),S1540&gt;0,ISNUMBER(U1540)),U1540*R1540/S1540,"n.a.")),"n.a.")</x:f>
        <x:v>612626082.3385599</x:v>
      </x:c>
      <x:c r="G1540" s="17" t="n">
        <x:f>IF(AND(ISNUMBER(E1540),ISNUMBER(F1540)),E1540-F1540,"n.a.")</x:f>
        <x:v>-348236087.3488742</x:v>
      </x:c>
      <x:c r="H1540" s="15" t="n">
        <x:f>IF(AND(ISNUMBER(E1540),ISNUMBER(F1540),F1540&gt;0),(E1540-F1540)/F1540,"n.a.")</x:f>
        <x:v>-0.5684317031027517</x:v>
      </x:c>
      <x:c r="I1540" s="19" t="n">
        <x:f>IF(ISNUMBER(H1540),ABS(H1540),"n.a.")</x:f>
        <x:v>0.5684317031027517</x:v>
      </x:c>
      <x:c r="J1540" s="2" t="str">
        <x:v>available</x:v>
      </x:c>
      <x:c r="K1540" s="2" t="n">
        <x:v>1</x:v>
      </x:c>
      <x:c r="L1540" s="13" t="b">
        <x:v>0</x:v>
      </x:c>
      <x:c r="M1540" s="13" t="b">
        <x:v>1</x:v>
      </x:c>
      <x:c r="N1540" s="2" t="str">
        <x:v>historical_GHSL_BU_estimate</x:v>
      </x:c>
      <x:c r="O1540" s="2" t="str"/>
      <x:c r="P1540" s="2" t="str">
        <x:v>horizontal built-up surface</x:v>
      </x:c>
      <x:c r="Q1540" s="2" t="str">
        <x:v>m2</x:v>
      </x:c>
      <x:c r="R1540" s="17" t="n">
        <x:v>612626082.3385602</x:v>
      </x:c>
      <x:c r="S1540" s="17" t="n">
        <x:v>305052833.69</x:v>
      </x:c>
      <x:c r="T1540" s="18" t="n">
        <x:v>0.9999999999999994</x:v>
      </x:c>
      <x:c r="U1540" s="17" t="n">
        <x:v>305052833.6899998</x:v>
      </x:c>
      <x:c r="V1540" s="2" t="str">
        <x:v>Area equivalent = model2020 * WUP surface / TEMPO2020 footprint; km2 multiplied by1e6 once</x:v>
      </x:c>
      <x:c r="W1540" s="2" t="str">
        <x:v>L1_numeric_partition_qualified_not_national_completeness</x:v>
      </x:c>
      <x:c r="X1540" s="2" t="str">
        <x:v>https://human-settlement.emergency.copernicus.eu/datasets.php</x:v>
      </x:c>
    </x:row>
    <x:row r="1541" ht="23" customHeight="1">
      <x:c r="A1541" s="2" t="str">
        <x:v>SGP</x:v>
      </x:c>
      <x:c r="B1541" s="2" t="str">
        <x:v>Singapore (Republic of)</x:v>
      </x:c>
      <x:c r="C1541" s="2" t="n">
        <x:v>2015</x:v>
      </x:c>
      <x:c r="D1541" s="2" t="str">
        <x:v>WUP_SURFACE</x:v>
      </x:c>
      <x:c r="E1541" s="17" t="n">
        <x:v>187575286.78208792</x:v>
      </x:c>
      <x:c r="F1541" s="17" t="n">
        <x:f>IF(AND(M1541,ISNUMBER(R1541)),IF(D1541="TEMPO_PROXY",R1541,IF(AND(ISNUMBER(S1541),S1541&gt;0,ISNUMBER(U1541)),U1541*R1541/S1541,"n.a.")),"n.a.")</x:f>
        <x:v>246685432.27510753</x:v>
      </x:c>
      <x:c r="G1541" s="17" t="n">
        <x:f>IF(AND(ISNUMBER(E1541),ISNUMBER(F1541)),E1541-F1541,"n.a.")</x:f>
        <x:v>-59110145.49301961</x:v>
      </x:c>
      <x:c r="H1541" s="15" t="n">
        <x:f>IF(AND(ISNUMBER(E1541),ISNUMBER(F1541),F1541&gt;0),(E1541-F1541)/F1541,"n.a.")</x:f>
        <x:v>-0.2396174956415709</x:v>
      </x:c>
      <x:c r="I1541" s="19" t="n">
        <x:f>IF(ISNUMBER(H1541),ABS(H1541),"n.a.")</x:f>
        <x:v>0.2396174956415709</x:v>
      </x:c>
      <x:c r="J1541" s="2" t="str">
        <x:v>available</x:v>
      </x:c>
      <x:c r="K1541" s="2" t="n">
        <x:v>1</x:v>
      </x:c>
      <x:c r="L1541" s="13" t="b">
        <x:v>0</x:v>
      </x:c>
      <x:c r="M1541" s="13" t="b">
        <x:v>1</x:v>
      </x:c>
      <x:c r="N1541" s="2" t="str">
        <x:v>historical_GHSL_BU_estimate</x:v>
      </x:c>
      <x:c r="O1541" s="2" t="str"/>
      <x:c r="P1541" s="2" t="str">
        <x:v>horizontal built-up surface</x:v>
      </x:c>
      <x:c r="Q1541" s="2" t="str">
        <x:v>m2</x:v>
      </x:c>
      <x:c r="R1541" s="17" t="n">
        <x:v>108829018.13583532</x:v>
      </x:c>
      <x:c r="S1541" s="17" t="n">
        <x:v>85878181.9</x:v>
      </x:c>
      <x:c r="T1541" s="18" t="n">
        <x:v>2.266724780767628</x:v>
      </x:c>
      <x:c r="U1541" s="17" t="n">
        <x:v>194662203.04</x:v>
      </x:c>
      <x:c r="V1541" s="2" t="str">
        <x:v>Area equivalent = model2020 * WUP surface / TEMPO2020 footprint; km2 multiplied by1e6 once</x:v>
      </x:c>
      <x:c r="W1541" s="2" t="str">
        <x:v>L1_numeric_partition_qualified_not_national_completeness</x:v>
      </x:c>
      <x:c r="X1541" s="2" t="str">
        <x:v>https://human-settlement.emergency.copernicus.eu/datasets.php</x:v>
      </x:c>
    </x:row>
    <x:row r="1542" ht="23" customHeight="1">
      <x:c r="A1542" s="2" t="str">
        <x:v>SLB</x:v>
      </x:c>
      <x:c r="B1542" s="2" t="str">
        <x:v>Solomon Islands</x:v>
      </x:c>
      <x:c r="C1542" s="2" t="n">
        <x:v>2015</x:v>
      </x:c>
      <x:c r="D1542" s="2" t="str">
        <x:v>WUP_SURFACE</x:v>
      </x:c>
      <x:c r="E1542" s="17" t="n">
        <x:v>13834538.346259255</x:v>
      </x:c>
      <x:c r="F1542" s="17" t="n">
        <x:f>IF(AND(M1542,ISNUMBER(R1542)),IF(D1542="TEMPO_PROXY",R1542,IF(AND(ISNUMBER(S1542),S1542&gt;0,ISNUMBER(U1542)),U1542*R1542/S1542,"n.a.")),"n.a.")</x:f>
        <x:v>25553642.0295352</x:v>
      </x:c>
      <x:c r="G1542" s="17" t="n">
        <x:f>IF(AND(ISNUMBER(E1542),ISNUMBER(F1542)),E1542-F1542,"n.a.")</x:f>
        <x:v>-11719103.683275945</x:v>
      </x:c>
      <x:c r="H1542" s="15" t="n">
        <x:f>IF(AND(ISNUMBER(E1542),ISNUMBER(F1542),F1542&gt;0),(E1542-F1542)/F1542,"n.a.")</x:f>
        <x:v>-0.4586079616256214</x:v>
      </x:c>
      <x:c r="I1542" s="19" t="n">
        <x:f>IF(ISNUMBER(H1542),ABS(H1542),"n.a.")</x:f>
        <x:v>0.4586079616256214</x:v>
      </x:c>
      <x:c r="J1542" s="2" t="str">
        <x:v>available</x:v>
      </x:c>
      <x:c r="K1542" s="2" t="n">
        <x:v>1</x:v>
      </x:c>
      <x:c r="L1542" s="13" t="b">
        <x:v>0</x:v>
      </x:c>
      <x:c r="M1542" s="13" t="b">
        <x:v>1</x:v>
      </x:c>
      <x:c r="N1542" s="2" t="str">
        <x:v>historical_GHSL_BU_estimate</x:v>
      </x:c>
      <x:c r="O1542" s="2" t="str"/>
      <x:c r="P1542" s="2" t="str">
        <x:v>horizontal built-up surface</x:v>
      </x:c>
      <x:c r="Q1542" s="2" t="str">
        <x:v>m2</x:v>
      </x:c>
      <x:c r="R1542" s="17" t="n">
        <x:v>25553642.02953524</x:v>
      </x:c>
      <x:c r="S1542" s="17" t="n">
        <x:v>14438629.19</x:v>
      </x:c>
      <x:c r="T1542" s="18" t="n">
        <x:v>0.9999999999999983</x:v>
      </x:c>
      <x:c r="U1542" s="17" t="n">
        <x:v>14438629.189999975</x:v>
      </x:c>
      <x:c r="V1542" s="2" t="str">
        <x:v>Area equivalent = model2020 * WUP surface / TEMPO2020 footprint; km2 multiplied by1e6 once</x:v>
      </x:c>
      <x:c r="W1542" s="2" t="str">
        <x:v>L1_numeric_partition_qualified_not_national_completeness</x:v>
      </x:c>
      <x:c r="X1542" s="2" t="str">
        <x:v>https://human-settlement.emergency.copernicus.eu/datasets.php</x:v>
      </x:c>
    </x:row>
    <x:row r="1543" ht="23" customHeight="1">
      <x:c r="A1543" s="2" t="str">
        <x:v>SLE</x:v>
      </x:c>
      <x:c r="B1543" s="2" t="str">
        <x:v>Sierra Leone (Republic of)</x:v>
      </x:c>
      <x:c r="C1543" s="2" t="n">
        <x:v>2015</x:v>
      </x:c>
      <x:c r="D1543" s="2" t="str">
        <x:v>WUP_SURFACE</x:v>
      </x:c>
      <x:c r="E1543" s="17" t="n">
        <x:v>109212964.25369625</x:v>
      </x:c>
      <x:c r="F1543" s="17" t="n">
        <x:f>IF(AND(M1543,ISNUMBER(R1543)),IF(D1543="TEMPO_PROXY",R1543,IF(AND(ISNUMBER(S1543),S1543&gt;0,ISNUMBER(U1543)),U1543*R1543/S1543,"n.a.")),"n.a.")</x:f>
        <x:v>214408822.0964783</x:v>
      </x:c>
      <x:c r="G1543" s="17" t="n">
        <x:f>IF(AND(ISNUMBER(E1543),ISNUMBER(F1543)),E1543-F1543,"n.a.")</x:f>
        <x:v>-105195857.84278207</x:v>
      </x:c>
      <x:c r="H1543" s="15" t="n">
        <x:f>IF(AND(ISNUMBER(E1543),ISNUMBER(F1543),F1543&gt;0),(E1543-F1543)/F1543,"n.a.")</x:f>
        <x:v>-0.490632133576326</x:v>
      </x:c>
      <x:c r="I1543" s="19" t="n">
        <x:f>IF(ISNUMBER(H1543),ABS(H1543),"n.a.")</x:f>
        <x:v>0.490632133576326</x:v>
      </x:c>
      <x:c r="J1543" s="2" t="str">
        <x:v>available</x:v>
      </x:c>
      <x:c r="K1543" s="2" t="n">
        <x:v>1</x:v>
      </x:c>
      <x:c r="L1543" s="13" t="b">
        <x:v>0</x:v>
      </x:c>
      <x:c r="M1543" s="13" t="b">
        <x:v>1</x:v>
      </x:c>
      <x:c r="N1543" s="2" t="str">
        <x:v>historical_GHSL_BU_estimate</x:v>
      </x:c>
      <x:c r="O1543" s="2" t="str"/>
      <x:c r="P1543" s="2" t="str">
        <x:v>horizontal built-up surface</x:v>
      </x:c>
      <x:c r="Q1543" s="2" t="str">
        <x:v>m2</x:v>
      </x:c>
      <x:c r="R1543" s="17" t="n">
        <x:v>214408822.0964784</x:v>
      </x:c>
      <x:c r="S1543" s="17" t="n">
        <x:v>115259924.95</x:v>
      </x:c>
      <x:c r="T1543" s="18" t="n">
        <x:v>0.9999999999999997</x:v>
      </x:c>
      <x:c r="U1543" s="17" t="n">
        <x:v>115259924.94999996</x:v>
      </x:c>
      <x:c r="V1543" s="2" t="str">
        <x:v>Area equivalent = model2020 * WUP surface / TEMPO2020 footprint; km2 multiplied by1e6 once</x:v>
      </x:c>
      <x:c r="W1543" s="2" t="str">
        <x:v>L1_numeric_partition_qualified_not_national_completeness</x:v>
      </x:c>
      <x:c r="X1543" s="2" t="str">
        <x:v>https://human-settlement.emergency.copernicus.eu/datasets.php</x:v>
      </x:c>
    </x:row>
    <x:row r="1544" ht="23" customHeight="1">
      <x:c r="A1544" s="2" t="str">
        <x:v>SLV</x:v>
      </x:c>
      <x:c r="B1544" s="2" t="str">
        <x:v>El Salvador (Republic of)</x:v>
      </x:c>
      <x:c r="C1544" s="2" t="n">
        <x:v>2015</x:v>
      </x:c>
      <x:c r="D1544" s="2" t="str">
        <x:v>WUP_SURFACE</x:v>
      </x:c>
      <x:c r="E1544" s="17" t="n">
        <x:v>216811219.0565358</x:v>
      </x:c>
      <x:c r="F1544" s="17" t="n">
        <x:f>IF(AND(M1544,ISNUMBER(R1544)),IF(D1544="TEMPO_PROXY",R1544,IF(AND(ISNUMBER(S1544),S1544&gt;0,ISNUMBER(U1544)),U1544*R1544/S1544,"n.a.")),"n.a.")</x:f>
        <x:v>302837152.902411</x:v>
      </x:c>
      <x:c r="G1544" s="17" t="n">
        <x:f>IF(AND(ISNUMBER(E1544),ISNUMBER(F1544)),E1544-F1544,"n.a.")</x:f>
        <x:v>-86025933.84587517</x:v>
      </x:c>
      <x:c r="H1544" s="15" t="n">
        <x:f>IF(AND(ISNUMBER(E1544),ISNUMBER(F1544),F1544&gt;0),(E1544-F1544)/F1544,"n.a.")</x:f>
        <x:v>-0.28406664447012864</x:v>
      </x:c>
      <x:c r="I1544" s="19" t="n">
        <x:f>IF(ISNUMBER(H1544),ABS(H1544),"n.a.")</x:f>
        <x:v>0.28406664447012864</x:v>
      </x:c>
      <x:c r="J1544" s="2" t="str">
        <x:v>available</x:v>
      </x:c>
      <x:c r="K1544" s="2" t="n">
        <x:v>1</x:v>
      </x:c>
      <x:c r="L1544" s="13" t="b">
        <x:v>0</x:v>
      </x:c>
      <x:c r="M1544" s="13" t="b">
        <x:v>1</x:v>
      </x:c>
      <x:c r="N1544" s="2" t="str">
        <x:v>historical_GHSL_BU_estimate</x:v>
      </x:c>
      <x:c r="O1544" s="2" t="str"/>
      <x:c r="P1544" s="2" t="str">
        <x:v>horizontal built-up surface</x:v>
      </x:c>
      <x:c r="Q1544" s="2" t="str">
        <x:v>m2</x:v>
      </x:c>
      <x:c r="R1544" s="17" t="n">
        <x:v>302837152.9024108</x:v>
      </x:c>
      <x:c r="S1544" s="17" t="n">
        <x:v>245414047.01</x:v>
      </x:c>
      <x:c r="T1544" s="18" t="n">
        <x:v>1.0000000000000007</x:v>
      </x:c>
      <x:c r="U1544" s="17" t="n">
        <x:v>245414047.01000017</x:v>
      </x:c>
      <x:c r="V1544" s="2" t="str">
        <x:v>Area equivalent = model2020 * WUP surface / TEMPO2020 footprint; km2 multiplied by1e6 once</x:v>
      </x:c>
      <x:c r="W1544" s="2" t="str">
        <x:v>L1_numeric_partition_qualified_not_national_completeness</x:v>
      </x:c>
      <x:c r="X1544" s="2" t="str">
        <x:v>https://human-settlement.emergency.copernicus.eu/datasets.php</x:v>
      </x:c>
    </x:row>
    <x:row r="1545" ht="23" customHeight="1">
      <x:c r="A1545" s="2" t="str">
        <x:v>SMR</x:v>
      </x:c>
      <x:c r="B1545" s="2" t="str">
        <x:v>San Marino (Republic of)</x:v>
      </x:c>
      <x:c r="C1545" s="2" t="n">
        <x:v>2015</x:v>
      </x:c>
      <x:c r="D1545" s="2" t="str">
        <x:v>WUP_SURFACE</x:v>
      </x:c>
      <x:c r="E1545" s="17" t="n">
        <x:v>2893084.9931119457</x:v>
      </x:c>
      <x:c r="F1545" s="17" t="n">
        <x:f>IF(AND(M1545,ISNUMBER(R1545)),IF(D1545="TEMPO_PROXY",R1545,IF(AND(ISNUMBER(S1545),S1545&gt;0,ISNUMBER(U1545)),U1545*R1545/S1545,"n.a.")),"n.a.")</x:f>
        <x:v>5080163.529636673</x:v>
      </x:c>
      <x:c r="G1545" s="17" t="n">
        <x:f>IF(AND(ISNUMBER(E1545),ISNUMBER(F1545)),E1545-F1545,"n.a.")</x:f>
        <x:v>-2187078.536524727</x:v>
      </x:c>
      <x:c r="H1545" s="15" t="n">
        <x:f>IF(AND(ISNUMBER(E1545),ISNUMBER(F1545),F1545&gt;0),(E1545-F1545)/F1545,"n.a.")</x:f>
        <x:v>-0.4305134123666968</x:v>
      </x:c>
      <x:c r="I1545" s="19" t="n">
        <x:f>IF(ISNUMBER(H1545),ABS(H1545),"n.a.")</x:f>
        <x:v>0.4305134123666968</x:v>
      </x:c>
      <x:c r="J1545" s="2" t="str">
        <x:v>available</x:v>
      </x:c>
      <x:c r="K1545" s="2" t="n">
        <x:v>1</x:v>
      </x:c>
      <x:c r="L1545" s="13" t="b">
        <x:v>0</x:v>
      </x:c>
      <x:c r="M1545" s="13" t="b">
        <x:v>1</x:v>
      </x:c>
      <x:c r="N1545" s="2" t="str">
        <x:v>historical_GHSL_BU_estimate</x:v>
      </x:c>
      <x:c r="O1545" s="2" t="str"/>
      <x:c r="P1545" s="2" t="str">
        <x:v>horizontal built-up surface</x:v>
      </x:c>
      <x:c r="Q1545" s="2" t="str">
        <x:v>m2</x:v>
      </x:c>
      <x:c r="R1545" s="17" t="n">
        <x:v>4518371.999729425</x:v>
      </x:c>
      <x:c r="S1545" s="17" t="n">
        <x:v>2695532.72</x:v>
      </x:c>
      <x:c r="T1545" s="18" t="n">
        <x:v>1.1243349440774</x:v>
      </x:c>
      <x:c r="U1545" s="17" t="n">
        <x:v>3030681.630000002</x:v>
      </x:c>
      <x:c r="V1545" s="2" t="str">
        <x:v>Area equivalent = model2020 * WUP surface / TEMPO2020 footprint; km2 multiplied by1e6 once</x:v>
      </x:c>
      <x:c r="W1545" s="2" t="str">
        <x:v>L1_numeric_partition_qualified_not_national_completeness</x:v>
      </x:c>
      <x:c r="X1545" s="2" t="str">
        <x:v>https://human-settlement.emergency.copernicus.eu/datasets.php</x:v>
      </x:c>
    </x:row>
    <x:row r="1546" ht="23" customHeight="1">
      <x:c r="A1546" s="2" t="str">
        <x:v>SOM</x:v>
      </x:c>
      <x:c r="B1546" s="2" t="str">
        <x:v>Somalia (Federal Republic of)</x:v>
      </x:c>
      <x:c r="C1546" s="2" t="n">
        <x:v>2015</x:v>
      </x:c>
      <x:c r="D1546" s="2" t="str">
        <x:v>WUP_SURFACE</x:v>
      </x:c>
      <x:c r="E1546" s="17" t="n">
        <x:v>105330761.59132184</x:v>
      </x:c>
      <x:c r="F1546" s="17" t="n">
        <x:f>IF(AND(M1546,ISNUMBER(R1546)),IF(D1546="TEMPO_PROXY",R1546,IF(AND(ISNUMBER(S1546),S1546&gt;0,ISNUMBER(U1546)),U1546*R1546/S1546,"n.a.")),"n.a.")</x:f>
        <x:v>184947777.1718013</x:v>
      </x:c>
      <x:c r="G1546" s="17" t="n">
        <x:f>IF(AND(ISNUMBER(E1546),ISNUMBER(F1546)),E1546-F1546,"n.a.")</x:f>
        <x:v>-79617015.58047946</x:v>
      </x:c>
      <x:c r="H1546" s="15" t="n">
        <x:f>IF(AND(ISNUMBER(E1546),ISNUMBER(F1546),F1546&gt;0),(E1546-F1546)/F1546,"n.a.")</x:f>
        <x:v>-0.4304837657309165</x:v>
      </x:c>
      <x:c r="I1546" s="19" t="n">
        <x:f>IF(ISNUMBER(H1546),ABS(H1546),"n.a.")</x:f>
        <x:v>0.4304837657309165</x:v>
      </x:c>
      <x:c r="J1546" s="2" t="str">
        <x:v>available</x:v>
      </x:c>
      <x:c r="K1546" s="2" t="n">
        <x:v>1</x:v>
      </x:c>
      <x:c r="L1546" s="13" t="b">
        <x:v>0</x:v>
      </x:c>
      <x:c r="M1546" s="13" t="b">
        <x:v>1</x:v>
      </x:c>
      <x:c r="N1546" s="2" t="str">
        <x:v>historical_GHSL_BU_estimate</x:v>
      </x:c>
      <x:c r="O1546" s="2" t="str"/>
      <x:c r="P1546" s="2" t="str">
        <x:v>horizontal built-up surface</x:v>
      </x:c>
      <x:c r="Q1546" s="2" t="str">
        <x:v>m2</x:v>
      </x:c>
      <x:c r="R1546" s="17" t="n">
        <x:v>184947777.17180112</x:v>
      </x:c>
      <x:c r="S1546" s="17" t="n">
        <x:v>134848326.33</x:v>
      </x:c>
      <x:c r="T1546" s="18" t="n">
        <x:v>1.0000000000000009</x:v>
      </x:c>
      <x:c r="U1546" s="17" t="n">
        <x:v>134848326.33000013</x:v>
      </x:c>
      <x:c r="V1546" s="2" t="str">
        <x:v>Area equivalent = model2020 * WUP surface / TEMPO2020 footprint; km2 multiplied by1e6 once</x:v>
      </x:c>
      <x:c r="W1546" s="2" t="str">
        <x:v>L1_numeric_partition_qualified_not_national_completeness</x:v>
      </x:c>
      <x:c r="X1546" s="2" t="str">
        <x:v>https://human-settlement.emergency.copernicus.eu/datasets.php</x:v>
      </x:c>
    </x:row>
    <x:row r="1547" ht="23" customHeight="1">
      <x:c r="A1547" s="2" t="str">
        <x:v>SRB</x:v>
      </x:c>
      <x:c r="B1547" s="2" t="str">
        <x:v>Serbia (Republic of)</x:v>
      </x:c>
      <x:c r="C1547" s="2" t="n">
        <x:v>2015</x:v>
      </x:c>
      <x:c r="D1547" s="2" t="str">
        <x:v>WUP_SURFACE</x:v>
      </x:c>
      <x:c r="E1547" s="17" t="n">
        <x:v>557424319.8298955</x:v>
      </x:c>
      <x:c r="F1547" s="17" t="n">
        <x:f>IF(AND(M1547,ISNUMBER(R1547)),IF(D1547="TEMPO_PROXY",R1547,IF(AND(ISNUMBER(S1547),S1547&gt;0,ISNUMBER(U1547)),U1547*R1547/S1547,"n.a.")),"n.a.")</x:f>
        <x:v>771923530.1502006</x:v>
      </x:c>
      <x:c r="G1547" s="17" t="n">
        <x:f>IF(AND(ISNUMBER(E1547),ISNUMBER(F1547)),E1547-F1547,"n.a.")</x:f>
        <x:v>-214499210.3203051</x:v>
      </x:c>
      <x:c r="H1547" s="15" t="n">
        <x:f>IF(AND(ISNUMBER(E1547),ISNUMBER(F1547),F1547&gt;0),(E1547-F1547)/F1547,"n.a.")</x:f>
        <x:v>-0.2778762428430805</x:v>
      </x:c>
      <x:c r="I1547" s="19" t="n">
        <x:f>IF(ISNUMBER(H1547),ABS(H1547),"n.a.")</x:f>
        <x:v>0.2778762428430805</x:v>
      </x:c>
      <x:c r="J1547" s="2" t="str">
        <x:v>available</x:v>
      </x:c>
      <x:c r="K1547" s="2" t="n">
        <x:v>1</x:v>
      </x:c>
      <x:c r="L1547" s="13" t="b">
        <x:v>0</x:v>
      </x:c>
      <x:c r="M1547" s="13" t="b">
        <x:v>1</x:v>
      </x:c>
      <x:c r="N1547" s="2" t="str">
        <x:v>historical_GHSL_BU_estimate</x:v>
      </x:c>
      <x:c r="O1547" s="2" t="str"/>
      <x:c r="P1547" s="2" t="str">
        <x:v>horizontal built-up surface</x:v>
      </x:c>
      <x:c r="Q1547" s="2" t="str">
        <x:v>m2</x:v>
      </x:c>
      <x:c r="R1547" s="17" t="n">
        <x:v>771923530.1501997</x:v>
      </x:c>
      <x:c r="S1547" s="17" t="n">
        <x:v>584520286.21</x:v>
      </x:c>
      <x:c r="T1547" s="18" t="n">
        <x:v>1.0000000000000013</x:v>
      </x:c>
      <x:c r="U1547" s="17" t="n">
        <x:v>584520286.2100008</x:v>
      </x:c>
      <x:c r="V1547" s="2" t="str">
        <x:v>Area equivalent = model2020 * WUP surface / TEMPO2020 footprint; km2 multiplied by1e6 once</x:v>
      </x:c>
      <x:c r="W1547" s="2" t="str">
        <x:v>L1_numeric_partition_qualified_not_national_completeness</x:v>
      </x:c>
      <x:c r="X1547" s="2" t="str">
        <x:v>https://human-settlement.emergency.copernicus.eu/datasets.php</x:v>
      </x:c>
    </x:row>
    <x:row r="1548" ht="23" customHeight="1">
      <x:c r="A1548" s="2" t="str">
        <x:v>SSD</x:v>
      </x:c>
      <x:c r="B1548" s="2" t="str">
        <x:v>South Sudan (Republic of)</x:v>
      </x:c>
      <x:c r="C1548" s="2" t="n">
        <x:v>2015</x:v>
      </x:c>
      <x:c r="D1548" s="2" t="str">
        <x:v>WUP_SURFACE</x:v>
      </x:c>
      <x:c r="E1548" s="17" t="n">
        <x:v>48697573.65751788</x:v>
      </x:c>
      <x:c r="F1548" s="17" t="n">
        <x:f>IF(AND(M1548,ISNUMBER(R1548)),IF(D1548="TEMPO_PROXY",R1548,IF(AND(ISNUMBER(S1548),S1548&gt;0,ISNUMBER(U1548)),U1548*R1548/S1548,"n.a.")),"n.a.")</x:f>
        <x:v>114381198.87860258</x:v>
      </x:c>
      <x:c r="G1548" s="17" t="n">
        <x:f>IF(AND(ISNUMBER(E1548),ISNUMBER(F1548)),E1548-F1548,"n.a.")</x:f>
        <x:v>-65683625.2210847</x:v>
      </x:c>
      <x:c r="H1548" s="15" t="n">
        <x:f>IF(AND(ISNUMBER(E1548),ISNUMBER(F1548),F1548&gt;0),(E1548-F1548)/F1548,"n.a.")</x:f>
        <x:v>-0.574251938824294</x:v>
      </x:c>
      <x:c r="I1548" s="19" t="n">
        <x:f>IF(ISNUMBER(H1548),ABS(H1548),"n.a.")</x:f>
        <x:v>0.574251938824294</x:v>
      </x:c>
      <x:c r="J1548" s="2" t="str">
        <x:v>available</x:v>
      </x:c>
      <x:c r="K1548" s="2" t="n">
        <x:v>1</x:v>
      </x:c>
      <x:c r="L1548" s="13" t="b">
        <x:v>0</x:v>
      </x:c>
      <x:c r="M1548" s="13" t="b">
        <x:v>1</x:v>
      </x:c>
      <x:c r="N1548" s="2" t="str">
        <x:v>historical_GHSL_BU_estimate</x:v>
      </x:c>
      <x:c r="O1548" s="2" t="str"/>
      <x:c r="P1548" s="2" t="str">
        <x:v>horizontal built-up surface</x:v>
      </x:c>
      <x:c r="Q1548" s="2" t="str">
        <x:v>m2</x:v>
      </x:c>
      <x:c r="R1548" s="17" t="n">
        <x:v>114381198.8786025</x:v>
      </x:c>
      <x:c r="S1548" s="17" t="n">
        <x:v>82483216.59</x:v>
      </x:c>
      <x:c r="T1548" s="18" t="n">
        <x:v>1.0000000000000004</x:v>
      </x:c>
      <x:c r="U1548" s="17" t="n">
        <x:v>82483216.59000005</x:v>
      </x:c>
      <x:c r="V1548" s="2" t="str">
        <x:v>Area equivalent = model2020 * WUP surface / TEMPO2020 footprint; km2 multiplied by1e6 once</x:v>
      </x:c>
      <x:c r="W1548" s="2" t="str">
        <x:v>L1_numeric_partition_qualified_not_national_completeness</x:v>
      </x:c>
      <x:c r="X1548" s="2" t="str">
        <x:v>https://human-settlement.emergency.copernicus.eu/datasets.php</x:v>
      </x:c>
    </x:row>
    <x:row r="1549" ht="23" customHeight="1">
      <x:c r="A1549" s="2" t="str">
        <x:v>STP</x:v>
      </x:c>
      <x:c r="B1549" s="2" t="str">
        <x:v>Sao Tome and Principe (Democratic Republic of)</x:v>
      </x:c>
      <x:c r="C1549" s="2" t="n">
        <x:v>2015</x:v>
      </x:c>
      <x:c r="D1549" s="2" t="str">
        <x:v>WUP_SURFACE</x:v>
      </x:c>
      <x:c r="E1549" s="17" t="n">
        <x:v>6006619.554736206</x:v>
      </x:c>
      <x:c r="F1549" s="17" t="n">
        <x:f>IF(AND(M1549,ISNUMBER(R1549)),IF(D1549="TEMPO_PROXY",R1549,IF(AND(ISNUMBER(S1549),S1549&gt;0,ISNUMBER(U1549)),U1549*R1549/S1549,"n.a.")),"n.a.")</x:f>
        <x:v>7797992.020274709</x:v>
      </x:c>
      <x:c r="G1549" s="17" t="n">
        <x:f>IF(AND(ISNUMBER(E1549),ISNUMBER(F1549)),E1549-F1549,"n.a.")</x:f>
        <x:v>-1791372.4655385027</x:v>
      </x:c>
      <x:c r="H1549" s="15" t="n">
        <x:f>IF(AND(ISNUMBER(E1549),ISNUMBER(F1549),F1549&gt;0),(E1549-F1549)/F1549,"n.a.")</x:f>
        <x:v>-0.22972227477034476</x:v>
      </x:c>
      <x:c r="I1549" s="19" t="n">
        <x:f>IF(ISNUMBER(H1549),ABS(H1549),"n.a.")</x:f>
        <x:v>0.22972227477034476</x:v>
      </x:c>
      <x:c r="J1549" s="2" t="str">
        <x:v>available</x:v>
      </x:c>
      <x:c r="K1549" s="2" t="n">
        <x:v>1</x:v>
      </x:c>
      <x:c r="L1549" s="13" t="b">
        <x:v>0</x:v>
      </x:c>
      <x:c r="M1549" s="13" t="b">
        <x:v>1</x:v>
      </x:c>
      <x:c r="N1549" s="2" t="str">
        <x:v>historical_GHSL_BU_estimate</x:v>
      </x:c>
      <x:c r="O1549" s="2" t="str"/>
      <x:c r="P1549" s="2" t="str">
        <x:v>horizontal built-up surface</x:v>
      </x:c>
      <x:c r="Q1549" s="2" t="str">
        <x:v>m2</x:v>
      </x:c>
      <x:c r="R1549" s="17" t="n">
        <x:v>7797992.020274705</x:v>
      </x:c>
      <x:c r="S1549" s="17" t="n">
        <x:v>6153544.55</x:v>
      </x:c>
      <x:c r="T1549" s="18" t="n">
        <x:v>1.0000000000000004</x:v>
      </x:c>
      <x:c r="U1549" s="17" t="n">
        <x:v>6153544.550000003</x:v>
      </x:c>
      <x:c r="V1549" s="2" t="str">
        <x:v>Area equivalent = model2020 * WUP surface / TEMPO2020 footprint; km2 multiplied by1e6 once</x:v>
      </x:c>
      <x:c r="W1549" s="2" t="str">
        <x:v>L1_numeric_partition_qualified_not_national_completeness</x:v>
      </x:c>
      <x:c r="X1549" s="2" t="str">
        <x:v>https://human-settlement.emergency.copernicus.eu/datasets.php</x:v>
      </x:c>
    </x:row>
    <x:row r="1550" ht="23" customHeight="1">
      <x:c r="A1550" s="2" t="str">
        <x:v>SUR</x:v>
      </x:c>
      <x:c r="B1550" s="2" t="str">
        <x:v>Suriname (Republic of)</x:v>
      </x:c>
      <x:c r="C1550" s="2" t="n">
        <x:v>2015</x:v>
      </x:c>
      <x:c r="D1550" s="2" t="str">
        <x:v>WUP_SURFACE</x:v>
      </x:c>
      <x:c r="E1550" s="17" t="n">
        <x:v>49112414.35196055</x:v>
      </x:c>
      <x:c r="F1550" s="17" t="n">
        <x:f>IF(AND(M1550,ISNUMBER(R1550)),IF(D1550="TEMPO_PROXY",R1550,IF(AND(ISNUMBER(S1550),S1550&gt;0,ISNUMBER(U1550)),U1550*R1550/S1550,"n.a.")),"n.a.")</x:f>
        <x:v>69756905.98785369</x:v>
      </x:c>
      <x:c r="G1550" s="17" t="n">
        <x:f>IF(AND(ISNUMBER(E1550),ISNUMBER(F1550)),E1550-F1550,"n.a.")</x:f>
        <x:v>-20644491.635893144</x:v>
      </x:c>
      <x:c r="H1550" s="15" t="n">
        <x:f>IF(AND(ISNUMBER(E1550),ISNUMBER(F1550),F1550&gt;0),(E1550-F1550)/F1550,"n.a.")</x:f>
        <x:v>-0.2959490726192448</x:v>
      </x:c>
      <x:c r="I1550" s="19" t="n">
        <x:f>IF(ISNUMBER(H1550),ABS(H1550),"n.a.")</x:f>
        <x:v>0.2959490726192448</x:v>
      </x:c>
      <x:c r="J1550" s="2" t="str">
        <x:v>available</x:v>
      </x:c>
      <x:c r="K1550" s="2" t="n">
        <x:v>1</x:v>
      </x:c>
      <x:c r="L1550" s="13" t="b">
        <x:v>0</x:v>
      </x:c>
      <x:c r="M1550" s="13" t="b">
        <x:v>1</x:v>
      </x:c>
      <x:c r="N1550" s="2" t="str">
        <x:v>historical_GHSL_BU_estimate</x:v>
      </x:c>
      <x:c r="O1550" s="2" t="str"/>
      <x:c r="P1550" s="2" t="str">
        <x:v>horizontal built-up surface</x:v>
      </x:c>
      <x:c r="Q1550" s="2" t="str">
        <x:v>m2</x:v>
      </x:c>
      <x:c r="R1550" s="17" t="n">
        <x:v>69756905.98785366</x:v>
      </x:c>
      <x:c r="S1550" s="17" t="n">
        <x:v>50598825.22</x:v>
      </x:c>
      <x:c r="T1550" s="18" t="n">
        <x:v>1.0000000000000004</x:v>
      </x:c>
      <x:c r="U1550" s="17" t="n">
        <x:v>50598825.22000002</x:v>
      </x:c>
      <x:c r="V1550" s="2" t="str">
        <x:v>Area equivalent = model2020 * WUP surface / TEMPO2020 footprint; km2 multiplied by1e6 once</x:v>
      </x:c>
      <x:c r="W1550" s="2" t="str">
        <x:v>L1_numeric_partition_qualified_not_national_completeness</x:v>
      </x:c>
      <x:c r="X1550" s="2" t="str">
        <x:v>https://human-settlement.emergency.copernicus.eu/datasets.php</x:v>
      </x:c>
    </x:row>
    <x:row r="1551" ht="23" customHeight="1">
      <x:c r="A1551" s="2" t="str">
        <x:v>SVK</x:v>
      </x:c>
      <x:c r="B1551" s="2" t="str">
        <x:v>Slovakia (Slovak Republic)</x:v>
      </x:c>
      <x:c r="C1551" s="2" t="n">
        <x:v>2015</x:v>
      </x:c>
      <x:c r="D1551" s="2" t="str">
        <x:v>WUP_SURFACE</x:v>
      </x:c>
      <x:c r="E1551" s="17" t="n">
        <x:v>365029895.774204</x:v>
      </x:c>
      <x:c r="F1551" s="17" t="n">
        <x:f>IF(AND(M1551,ISNUMBER(R1551)),IF(D1551="TEMPO_PROXY",R1551,IF(AND(ISNUMBER(S1551),S1551&gt;0,ISNUMBER(U1551)),U1551*R1551/S1551,"n.a.")),"n.a.")</x:f>
        <x:v>638421493.6171148</x:v>
      </x:c>
      <x:c r="G1551" s="17" t="n">
        <x:f>IF(AND(ISNUMBER(E1551),ISNUMBER(F1551)),E1551-F1551,"n.a.")</x:f>
        <x:v>-273391597.84291077</x:v>
      </x:c>
      <x:c r="H1551" s="15" t="n">
        <x:f>IF(AND(ISNUMBER(E1551),ISNUMBER(F1551),F1551&gt;0),(E1551-F1551)/F1551,"n.a.")</x:f>
        <x:v>-0.42823056644592533</x:v>
      </x:c>
      <x:c r="I1551" s="19" t="n">
        <x:f>IF(ISNUMBER(H1551),ABS(H1551),"n.a.")</x:f>
        <x:v>0.42823056644592533</x:v>
      </x:c>
      <x:c r="J1551" s="2" t="str">
        <x:v>available</x:v>
      </x:c>
      <x:c r="K1551" s="2" t="n">
        <x:v>1</x:v>
      </x:c>
      <x:c r="L1551" s="13" t="b">
        <x:v>0</x:v>
      </x:c>
      <x:c r="M1551" s="13" t="b">
        <x:v>1</x:v>
      </x:c>
      <x:c r="N1551" s="2" t="str">
        <x:v>historical_GHSL_BU_estimate</x:v>
      </x:c>
      <x:c r="O1551" s="2" t="str"/>
      <x:c r="P1551" s="2" t="str">
        <x:v>horizontal built-up surface</x:v>
      </x:c>
      <x:c r="Q1551" s="2" t="str">
        <x:v>m2</x:v>
      </x:c>
      <x:c r="R1551" s="17" t="n">
        <x:v>632555662.8982234</x:v>
      </x:c>
      <x:c r="S1551" s="17" t="n">
        <x:v>387594933.19</x:v>
      </x:c>
      <x:c r="T1551" s="18" t="n">
        <x:v>1.0092732245760248</x:v>
      </x:c>
      <x:c r="U1551" s="17" t="n">
        <x:v>391189188.0500002</x:v>
      </x:c>
      <x:c r="V1551" s="2" t="str">
        <x:v>Area equivalent = model2020 * WUP surface / TEMPO2020 footprint; km2 multiplied by1e6 once</x:v>
      </x:c>
      <x:c r="W1551" s="2" t="str">
        <x:v>L1_numeric_partition_qualified_not_national_completeness</x:v>
      </x:c>
      <x:c r="X1551" s="2" t="str">
        <x:v>https://human-settlement.emergency.copernicus.eu/datasets.php</x:v>
      </x:c>
    </x:row>
    <x:row r="1552" ht="23" customHeight="1">
      <x:c r="A1552" s="2" t="str">
        <x:v>SVN</x:v>
      </x:c>
      <x:c r="B1552" s="2" t="str">
        <x:v>Slovenia (Republic of)</x:v>
      </x:c>
      <x:c r="C1552" s="2" t="n">
        <x:v>2015</x:v>
      </x:c>
      <x:c r="D1552" s="2" t="str">
        <x:v>WUP_SURFACE</x:v>
      </x:c>
      <x:c r="E1552" s="17" t="n">
        <x:v>180123963.30761537</x:v>
      </x:c>
      <x:c r="F1552" s="17" t="n">
        <x:f>IF(AND(M1552,ISNUMBER(R1552)),IF(D1552="TEMPO_PROXY",R1552,IF(AND(ISNUMBER(S1552),S1552&gt;0,ISNUMBER(U1552)),U1552*R1552/S1552,"n.a.")),"n.a.")</x:f>
        <x:v>246708344.0226207</x:v>
      </x:c>
      <x:c r="G1552" s="17" t="n">
        <x:f>IF(AND(ISNUMBER(E1552),ISNUMBER(F1552)),E1552-F1552,"n.a.")</x:f>
        <x:v>-66584380.71500534</x:v>
      </x:c>
      <x:c r="H1552" s="15" t="n">
        <x:f>IF(AND(ISNUMBER(E1552),ISNUMBER(F1552),F1552&gt;0),(E1552-F1552)/F1552,"n.a.")</x:f>
        <x:v>-0.2698910771696486</x:v>
      </x:c>
      <x:c r="I1552" s="19" t="n">
        <x:f>IF(ISNUMBER(H1552),ABS(H1552),"n.a.")</x:f>
        <x:v>0.2698910771696486</x:v>
      </x:c>
      <x:c r="J1552" s="2" t="str">
        <x:v>available</x:v>
      </x:c>
      <x:c r="K1552" s="2" t="n">
        <x:v>1</x:v>
      </x:c>
      <x:c r="L1552" s="13" t="b">
        <x:v>0</x:v>
      </x:c>
      <x:c r="M1552" s="13" t="b">
        <x:v>1</x:v>
      </x:c>
      <x:c r="N1552" s="2" t="str">
        <x:v>historical_GHSL_BU_estimate</x:v>
      </x:c>
      <x:c r="O1552" s="2" t="str"/>
      <x:c r="P1552" s="2" t="str">
        <x:v>horizontal built-up surface</x:v>
      </x:c>
      <x:c r="Q1552" s="2" t="str">
        <x:v>m2</x:v>
      </x:c>
      <x:c r="R1552" s="17" t="n">
        <x:v>246708344.0226205</x:v>
      </x:c>
      <x:c r="S1552" s="17" t="n">
        <x:v>188783306.59</x:v>
      </x:c>
      <x:c r="T1552" s="18" t="n">
        <x:v>1.0000000000000009</x:v>
      </x:c>
      <x:c r="U1552" s="17" t="n">
        <x:v>188783306.59000015</x:v>
      </x:c>
      <x:c r="V1552" s="2" t="str">
        <x:v>Area equivalent = model2020 * WUP surface / TEMPO2020 footprint; km2 multiplied by1e6 once</x:v>
      </x:c>
      <x:c r="W1552" s="2" t="str">
        <x:v>L1_numeric_partition_qualified_not_national_completeness</x:v>
      </x:c>
      <x:c r="X1552" s="2" t="str">
        <x:v>https://human-settlement.emergency.copernicus.eu/datasets.php</x:v>
      </x:c>
    </x:row>
    <x:row r="1553" ht="23" customHeight="1">
      <x:c r="A1553" s="2" t="str">
        <x:v>SWE</x:v>
      </x:c>
      <x:c r="B1553" s="2" t="str">
        <x:v>Sweden (Kingdom of)</x:v>
      </x:c>
      <x:c r="C1553" s="2" t="n">
        <x:v>2015</x:v>
      </x:c>
      <x:c r="D1553" s="2" t="str">
        <x:v>WUP_SURFACE</x:v>
      </x:c>
      <x:c r="E1553" s="17" t="n">
        <x:v>808375078.7663457</x:v>
      </x:c>
      <x:c r="F1553" s="17" t="n">
        <x:f>IF(AND(M1553,ISNUMBER(R1553)),IF(D1553="TEMPO_PROXY",R1553,IF(AND(ISNUMBER(S1553),S1553&gt;0,ISNUMBER(U1553)),U1553*R1553/S1553,"n.a.")),"n.a.")</x:f>
        <x:v>881373021.512722</x:v>
      </x:c>
      <x:c r="G1553" s="17" t="n">
        <x:f>IF(AND(ISNUMBER(E1553),ISNUMBER(F1553)),E1553-F1553,"n.a.")</x:f>
        <x:v>-72997942.74637628</x:v>
      </x:c>
      <x:c r="H1553" s="15" t="n">
        <x:f>IF(AND(ISNUMBER(E1553),ISNUMBER(F1553),F1553&gt;0),(E1553-F1553)/F1553,"n.a.")</x:f>
        <x:v>-0.08282298296479296</x:v>
      </x:c>
      <x:c r="I1553" s="19" t="n">
        <x:f>IF(ISNUMBER(H1553),ABS(H1553),"n.a.")</x:f>
        <x:v>0.08282298296479296</x:v>
      </x:c>
      <x:c r="J1553" s="2" t="str">
        <x:v>available</x:v>
      </x:c>
      <x:c r="K1553" s="2" t="n">
        <x:v>1</x:v>
      </x:c>
      <x:c r="L1553" s="13" t="b">
        <x:v>0</x:v>
      </x:c>
      <x:c r="M1553" s="13" t="b">
        <x:v>1</x:v>
      </x:c>
      <x:c r="N1553" s="2" t="str">
        <x:v>historical_GHSL_BU_estimate</x:v>
      </x:c>
      <x:c r="O1553" s="2" t="str"/>
      <x:c r="P1553" s="2" t="str">
        <x:v>horizontal built-up surface</x:v>
      </x:c>
      <x:c r="Q1553" s="2" t="str">
        <x:v>m2</x:v>
      </x:c>
      <x:c r="R1553" s="17" t="n">
        <x:v>873564163.1539154</x:v>
      </x:c>
      <x:c r="S1553" s="17" t="n">
        <x:v>853123931.52</x:v>
      </x:c>
      <x:c r="T1553" s="18" t="n">
        <x:v>1.0089390781904486</x:v>
      </x:c>
      <x:c r="U1553" s="17" t="n">
        <x:v>860750073.0500002</x:v>
      </x:c>
      <x:c r="V1553" s="2" t="str">
        <x:v>Area equivalent = model2020 * WUP surface / TEMPO2020 footprint; km2 multiplied by1e6 once</x:v>
      </x:c>
      <x:c r="W1553" s="2" t="str">
        <x:v>L1_numeric_partition_qualified_not_national_completeness</x:v>
      </x:c>
      <x:c r="X1553" s="2" t="str">
        <x:v>https://human-settlement.emergency.copernicus.eu/datasets.php</x:v>
      </x:c>
    </x:row>
    <x:row r="1554" ht="23" customHeight="1">
      <x:c r="A1554" s="2" t="str">
        <x:v>SWZ</x:v>
      </x:c>
      <x:c r="B1554" s="2" t="str">
        <x:v>Eswatini (Kingdom of)</x:v>
      </x:c>
      <x:c r="C1554" s="2" t="n">
        <x:v>2015</x:v>
      </x:c>
      <x:c r="D1554" s="2" t="str">
        <x:v>WUP_SURFACE</x:v>
      </x:c>
      <x:c r="E1554" s="17" t="n">
        <x:v>33675400.7123071</x:v>
      </x:c>
      <x:c r="F1554" s="17" t="n">
        <x:f>IF(AND(M1554,ISNUMBER(R1554)),IF(D1554="TEMPO_PROXY",R1554,IF(AND(ISNUMBER(S1554),S1554&gt;0,ISNUMBER(U1554)),U1554*R1554/S1554,"n.a.")),"n.a.")</x:f>
        <x:v>105990671.04498485</x:v>
      </x:c>
      <x:c r="G1554" s="17" t="n">
        <x:f>IF(AND(ISNUMBER(E1554),ISNUMBER(F1554)),E1554-F1554,"n.a.")</x:f>
        <x:v>-72315270.33267775</x:v>
      </x:c>
      <x:c r="H1554" s="15" t="n">
        <x:f>IF(AND(ISNUMBER(E1554),ISNUMBER(F1554),F1554&gt;0),(E1554-F1554)/F1554,"n.a.")</x:f>
        <x:v>-0.6822795781902873</x:v>
      </x:c>
      <x:c r="I1554" s="19" t="n">
        <x:f>IF(ISNUMBER(H1554),ABS(H1554),"n.a.")</x:f>
        <x:v>0.6822795781902873</x:v>
      </x:c>
      <x:c r="J1554" s="2" t="str">
        <x:v>available</x:v>
      </x:c>
      <x:c r="K1554" s="2" t="n">
        <x:v>1</x:v>
      </x:c>
      <x:c r="L1554" s="13" t="b">
        <x:v>0</x:v>
      </x:c>
      <x:c r="M1554" s="13" t="b">
        <x:v>1</x:v>
      </x:c>
      <x:c r="N1554" s="2" t="str">
        <x:v>historical_GHSL_BU_estimate</x:v>
      </x:c>
      <x:c r="O1554" s="2" t="str"/>
      <x:c r="P1554" s="2" t="str">
        <x:v>horizontal built-up surface</x:v>
      </x:c>
      <x:c r="Q1554" s="2" t="str">
        <x:v>m2</x:v>
      </x:c>
      <x:c r="R1554" s="17" t="n">
        <x:v>105990671.04498488</x:v>
      </x:c>
      <x:c r="S1554" s="17" t="n">
        <x:v>51228621.63</x:v>
      </x:c>
      <x:c r="T1554" s="18" t="n">
        <x:v>0.9999999999999999</x:v>
      </x:c>
      <x:c r="U1554" s="17" t="n">
        <x:v>51228621.629999995</x:v>
      </x:c>
      <x:c r="V1554" s="2" t="str">
        <x:v>Area equivalent = model2020 * WUP surface / TEMPO2020 footprint; km2 multiplied by1e6 once</x:v>
      </x:c>
      <x:c r="W1554" s="2" t="str">
        <x:v>L1_numeric_partition_qualified_not_national_completeness</x:v>
      </x:c>
      <x:c r="X1554" s="2" t="str">
        <x:v>https://human-settlement.emergency.copernicus.eu/datasets.php</x:v>
      </x:c>
    </x:row>
    <x:row r="1555" ht="23" customHeight="1">
      <x:c r="A1555" s="2" t="str">
        <x:v>SYC</x:v>
      </x:c>
      <x:c r="B1555" s="2" t="str">
        <x:v>Seychelles (Republic of)</x:v>
      </x:c>
      <x:c r="C1555" s="2" t="n">
        <x:v>2015</x:v>
      </x:c>
      <x:c r="D1555" s="2" t="str">
        <x:v>WUP_SURFACE</x:v>
      </x:c>
      <x:c r="E1555" s="17" t="n">
        <x:v>7079080.10364114</x:v>
      </x:c>
      <x:c r="F1555" s="17" t="n">
        <x:f>IF(AND(M1555,ISNUMBER(R1555)),IF(D1555="TEMPO_PROXY",R1555,IF(AND(ISNUMBER(S1555),S1555&gt;0,ISNUMBER(U1555)),U1555*R1555/S1555,"n.a.")),"n.a.")</x:f>
        <x:v>5383317.9981578505</x:v>
      </x:c>
      <x:c r="G1555" s="17" t="n">
        <x:f>IF(AND(ISNUMBER(E1555),ISNUMBER(F1555)),E1555-F1555,"n.a.")</x:f>
        <x:v>1695762.1054832898</x:v>
      </x:c>
      <x:c r="H1555" s="15" t="n">
        <x:f>IF(AND(ISNUMBER(E1555),ISNUMBER(F1555),F1555&gt;0),(E1555-F1555)/F1555,"n.a.")</x:f>
        <x:v>0.31500314602696194</x:v>
      </x:c>
      <x:c r="I1555" s="19" t="n">
        <x:f>IF(ISNUMBER(H1555),ABS(H1555),"n.a.")</x:f>
        <x:v>0.31500314602696194</x:v>
      </x:c>
      <x:c r="J1555" s="2" t="str">
        <x:v>available</x:v>
      </x:c>
      <x:c r="K1555" s="2" t="n">
        <x:v>1</x:v>
      </x:c>
      <x:c r="L1555" s="13" t="b">
        <x:v>0</x:v>
      </x:c>
      <x:c r="M1555" s="13" t="b">
        <x:v>1</x:v>
      </x:c>
      <x:c r="N1555" s="2" t="str">
        <x:v>historical_GHSL_BU_estimate</x:v>
      </x:c>
      <x:c r="O1555" s="2" t="str"/>
      <x:c r="P1555" s="2" t="str">
        <x:v>horizontal built-up surface</x:v>
      </x:c>
      <x:c r="Q1555" s="2" t="str">
        <x:v>m2</x:v>
      </x:c>
      <x:c r="R1555" s="17" t="n">
        <x:v>5383317.99815785</x:v>
      </x:c>
      <x:c r="S1555" s="17" t="n">
        <x:v>7317572.88</x:v>
      </x:c>
      <x:c r="T1555" s="18" t="n">
        <x:v>1.0000000000000002</x:v>
      </x:c>
      <x:c r="U1555" s="17" t="n">
        <x:v>7317572.880000001</x:v>
      </x:c>
      <x:c r="V1555" s="2" t="str">
        <x:v>Area equivalent = model2020 * WUP surface / TEMPO2020 footprint; km2 multiplied by1e6 once</x:v>
      </x:c>
      <x:c r="W1555" s="2" t="str">
        <x:v>L1_numeric_partition_qualified_not_national_completeness</x:v>
      </x:c>
      <x:c r="X1555" s="2" t="str">
        <x:v>https://human-settlement.emergency.copernicus.eu/datasets.php</x:v>
      </x:c>
    </x:row>
    <x:row r="1556" ht="23" customHeight="1">
      <x:c r="A1556" s="2" t="str">
        <x:v>SYR</x:v>
      </x:c>
      <x:c r="B1556" s="2" t="str">
        <x:v>Syrian Arab Republic</x:v>
      </x:c>
      <x:c r="C1556" s="2" t="n">
        <x:v>2015</x:v>
      </x:c>
      <x:c r="D1556" s="2" t="str">
        <x:v>WUP_SURFACE</x:v>
      </x:c>
      <x:c r="E1556" s="17" t="n">
        <x:v>760444963.635695</x:v>
      </x:c>
      <x:c r="F1556" s="17" t="n">
        <x:f>IF(AND(M1556,ISNUMBER(R1556)),IF(D1556="TEMPO_PROXY",R1556,IF(AND(ISNUMBER(S1556),S1556&gt;0,ISNUMBER(U1556)),U1556*R1556/S1556,"n.a.")),"n.a.")</x:f>
        <x:v>943875139.7827979</x:v>
      </x:c>
      <x:c r="G1556" s="17" t="n">
        <x:f>IF(AND(ISNUMBER(E1556),ISNUMBER(F1556)),E1556-F1556,"n.a.")</x:f>
        <x:v>-183430176.14710295</x:v>
      </x:c>
      <x:c r="H1556" s="15" t="n">
        <x:f>IF(AND(ISNUMBER(E1556),ISNUMBER(F1556),F1556&gt;0),(E1556-F1556)/F1556,"n.a.")</x:f>
        <x:v>-0.19433733172516168</x:v>
      </x:c>
      <x:c r="I1556" s="19" t="n">
        <x:f>IF(ISNUMBER(H1556),ABS(H1556),"n.a.")</x:f>
        <x:v>0.19433733172516168</x:v>
      </x:c>
      <x:c r="J1556" s="2" t="str">
        <x:v>available</x:v>
      </x:c>
      <x:c r="K1556" s="2" t="n">
        <x:v>1</x:v>
      </x:c>
      <x:c r="L1556" s="13" t="b">
        <x:v>0</x:v>
      </x:c>
      <x:c r="M1556" s="13" t="b">
        <x:v>1</x:v>
      </x:c>
      <x:c r="N1556" s="2" t="str">
        <x:v>historical_GHSL_BU_estimate</x:v>
      </x:c>
      <x:c r="O1556" s="2" t="str"/>
      <x:c r="P1556" s="2" t="str">
        <x:v>horizontal built-up surface</x:v>
      </x:c>
      <x:c r="Q1556" s="2" t="str">
        <x:v>m2</x:v>
      </x:c>
      <x:c r="R1556" s="17" t="n">
        <x:v>930716424.4302236</x:v>
      </x:c>
      <x:c r="S1556" s="17" t="n">
        <x:v>784392266.01</x:v>
      </x:c>
      <x:c r="T1556" s="18" t="n">
        <x:v>1.0141382648969905</x:v>
      </x:c>
      <x:c r="U1556" s="17" t="n">
        <x:v>795482211.65</x:v>
      </x:c>
      <x:c r="V1556" s="2" t="str">
        <x:v>Area equivalent = model2020 * WUP surface / TEMPO2020 footprint; km2 multiplied by1e6 once</x:v>
      </x:c>
      <x:c r="W1556" s="2" t="str">
        <x:v>L1_numeric_partition_qualified_not_national_completeness</x:v>
      </x:c>
      <x:c r="X1556" s="2" t="str">
        <x:v>https://human-settlement.emergency.copernicus.eu/datasets.php</x:v>
      </x:c>
    </x:row>
    <x:row r="1557" ht="23" customHeight="1">
      <x:c r="A1557" s="2" t="str">
        <x:v>TCD</x:v>
      </x:c>
      <x:c r="B1557" s="2" t="str">
        <x:v>Chad (Republic of)</x:v>
      </x:c>
      <x:c r="C1557" s="2" t="n">
        <x:v>2015</x:v>
      </x:c>
      <x:c r="D1557" s="2" t="str">
        <x:v>WUP_SURFACE</x:v>
      </x:c>
      <x:c r="E1557" s="17" t="n">
        <x:v>100386445.63678944</x:v>
      </x:c>
      <x:c r="F1557" s="17" t="n">
        <x:f>IF(AND(M1557,ISNUMBER(R1557)),IF(D1557="TEMPO_PROXY",R1557,IF(AND(ISNUMBER(S1557),S1557&gt;0,ISNUMBER(U1557)),U1557*R1557/S1557,"n.a.")),"n.a.")</x:f>
        <x:v>445134496.93931574</x:v>
      </x:c>
      <x:c r="G1557" s="17" t="n">
        <x:f>IF(AND(ISNUMBER(E1557),ISNUMBER(F1557)),E1557-F1557,"n.a.")</x:f>
        <x:v>-344748051.3025263</x:v>
      </x:c>
      <x:c r="H1557" s="15" t="n">
        <x:f>IF(AND(ISNUMBER(E1557),ISNUMBER(F1557),F1557&gt;0),(E1557-F1557)/F1557,"n.a.")</x:f>
        <x:v>-0.7744806427562164</x:v>
      </x:c>
      <x:c r="I1557" s="19" t="n">
        <x:f>IF(ISNUMBER(H1557),ABS(H1557),"n.a.")</x:f>
        <x:v>0.7744806427562164</x:v>
      </x:c>
      <x:c r="J1557" s="2" t="str">
        <x:v>available</x:v>
      </x:c>
      <x:c r="K1557" s="2" t="n">
        <x:v>1</x:v>
      </x:c>
      <x:c r="L1557" s="13" t="b">
        <x:v>0</x:v>
      </x:c>
      <x:c r="M1557" s="13" t="b">
        <x:v>1</x:v>
      </x:c>
      <x:c r="N1557" s="2" t="str">
        <x:v>historical_GHSL_BU_estimate</x:v>
      </x:c>
      <x:c r="O1557" s="2" t="str"/>
      <x:c r="P1557" s="2" t="str">
        <x:v>horizontal built-up surface</x:v>
      </x:c>
      <x:c r="Q1557" s="2" t="str">
        <x:v>m2</x:v>
      </x:c>
      <x:c r="R1557" s="17" t="n">
        <x:v>445134496.93931615</x:v>
      </x:c>
      <x:c r="S1557" s="17" t="n">
        <x:v>126450494.22</x:v>
      </x:c>
      <x:c r="T1557" s="18" t="n">
        <x:v>0.9999999999999991</x:v>
      </x:c>
      <x:c r="U1557" s="17" t="n">
        <x:v>126450494.21999988</x:v>
      </x:c>
      <x:c r="V1557" s="2" t="str">
        <x:v>Area equivalent = model2020 * WUP surface / TEMPO2020 footprint; km2 multiplied by1e6 once</x:v>
      </x:c>
      <x:c r="W1557" s="2" t="str">
        <x:v>L1_numeric_partition_qualified_not_national_completeness</x:v>
      </x:c>
      <x:c r="X1557" s="2" t="str">
        <x:v>https://human-settlement.emergency.copernicus.eu/datasets.php</x:v>
      </x:c>
    </x:row>
    <x:row r="1558" ht="23" customHeight="1">
      <x:c r="A1558" s="2" t="str">
        <x:v>TGO</x:v>
      </x:c>
      <x:c r="B1558" s="2" t="str">
        <x:v>Togo (Togolese Republic)</x:v>
      </x:c>
      <x:c r="C1558" s="2" t="n">
        <x:v>2015</x:v>
      </x:c>
      <x:c r="D1558" s="2" t="str">
        <x:v>WUP_SURFACE</x:v>
      </x:c>
      <x:c r="E1558" s="17" t="n">
        <x:v>157342554.75317118</x:v>
      </x:c>
      <x:c r="F1558" s="17" t="n">
        <x:f>IF(AND(M1558,ISNUMBER(R1558)),IF(D1558="TEMPO_PROXY",R1558,IF(AND(ISNUMBER(S1558),S1558&gt;0,ISNUMBER(U1558)),U1558*R1558/S1558,"n.a.")),"n.a.")</x:f>
        <x:v>401373663.8272801</x:v>
      </x:c>
      <x:c r="G1558" s="17" t="n">
        <x:f>IF(AND(ISNUMBER(E1558),ISNUMBER(F1558)),E1558-F1558,"n.a.")</x:f>
        <x:v>-244031109.07410893</x:v>
      </x:c>
      <x:c r="H1558" s="15" t="n">
        <x:f>IF(AND(ISNUMBER(E1558),ISNUMBER(F1558),F1558&gt;0),(E1558-F1558)/F1558,"n.a.")</x:f>
        <x:v>-0.6079898385638</x:v>
      </x:c>
      <x:c r="I1558" s="19" t="n">
        <x:f>IF(ISNUMBER(H1558),ABS(H1558),"n.a.")</x:f>
        <x:v>0.6079898385638</x:v>
      </x:c>
      <x:c r="J1558" s="2" t="str">
        <x:v>available</x:v>
      </x:c>
      <x:c r="K1558" s="2" t="n">
        <x:v>1</x:v>
      </x:c>
      <x:c r="L1558" s="13" t="b">
        <x:v>0</x:v>
      </x:c>
      <x:c r="M1558" s="13" t="b">
        <x:v>1</x:v>
      </x:c>
      <x:c r="N1558" s="2" t="str">
        <x:v>historical_GHSL_BU_estimate</x:v>
      </x:c>
      <x:c r="O1558" s="2" t="str"/>
      <x:c r="P1558" s="2" t="str">
        <x:v>horizontal built-up surface</x:v>
      </x:c>
      <x:c r="Q1558" s="2" t="str">
        <x:v>m2</x:v>
      </x:c>
      <x:c r="R1558" s="17" t="n">
        <x:v>401373663.8272797</x:v>
      </x:c>
      <x:c r="S1558" s="17" t="n">
        <x:v>185693532.73</x:v>
      </x:c>
      <x:c r="T1558" s="18" t="n">
        <x:v>1.000000000000001</x:v>
      </x:c>
      <x:c r="U1558" s="17" t="n">
        <x:v>185693532.7300002</x:v>
      </x:c>
      <x:c r="V1558" s="2" t="str">
        <x:v>Area equivalent = model2020 * WUP surface / TEMPO2020 footprint; km2 multiplied by1e6 once</x:v>
      </x:c>
      <x:c r="W1558" s="2" t="str">
        <x:v>L1_numeric_partition_qualified_not_national_completeness</x:v>
      </x:c>
      <x:c r="X1558" s="2" t="str">
        <x:v>https://human-settlement.emergency.copernicus.eu/datasets.php</x:v>
      </x:c>
    </x:row>
    <x:row r="1559" ht="23" customHeight="1">
      <x:c r="A1559" s="2" t="str">
        <x:v>THA</x:v>
      </x:c>
      <x:c r="B1559" s="2" t="str">
        <x:v>Thailand (Kingdom of)</x:v>
      </x:c>
      <x:c r="C1559" s="2" t="n">
        <x:v>2015</x:v>
      </x:c>
      <x:c r="D1559" s="2" t="str">
        <x:v>WUP_SURFACE</x:v>
      </x:c>
      <x:c r="E1559" s="17" t="n">
        <x:v>4865280220.416097</x:v>
      </x:c>
      <x:c r="F1559" s="17" t="n">
        <x:f>IF(AND(M1559,ISNUMBER(R1559)),IF(D1559="TEMPO_PROXY",R1559,IF(AND(ISNUMBER(S1559),S1559&gt;0,ISNUMBER(U1559)),U1559*R1559/S1559,"n.a.")),"n.a.")</x:f>
        <x:v>6295015847.350735</x:v>
      </x:c>
      <x:c r="G1559" s="17" t="n">
        <x:f>IF(AND(ISNUMBER(E1559),ISNUMBER(F1559)),E1559-F1559,"n.a.")</x:f>
        <x:v>-1429735626.934638</x:v>
      </x:c>
      <x:c r="H1559" s="15" t="n">
        <x:f>IF(AND(ISNUMBER(E1559),ISNUMBER(F1559),F1559&gt;0),(E1559-F1559)/F1559,"n.a.")</x:f>
        <x:v>-0.2271218471255071</x:v>
      </x:c>
      <x:c r="I1559" s="19" t="n">
        <x:f>IF(ISNUMBER(H1559),ABS(H1559),"n.a.")</x:f>
        <x:v>0.2271218471255071</x:v>
      </x:c>
      <x:c r="J1559" s="2" t="str">
        <x:v>available</x:v>
      </x:c>
      <x:c r="K1559" s="2" t="n">
        <x:v>1</x:v>
      </x:c>
      <x:c r="L1559" s="13" t="b">
        <x:v>0</x:v>
      </x:c>
      <x:c r="M1559" s="13" t="b">
        <x:v>1</x:v>
      </x:c>
      <x:c r="N1559" s="2" t="str">
        <x:v>historical_GHSL_BU_estimate</x:v>
      </x:c>
      <x:c r="O1559" s="2" t="str"/>
      <x:c r="P1559" s="2" t="str">
        <x:v>horizontal built-up surface</x:v>
      </x:c>
      <x:c r="Q1559" s="2" t="str">
        <x:v>m2</x:v>
      </x:c>
      <x:c r="R1559" s="17" t="n">
        <x:v>6295015847.350743</x:v>
      </x:c>
      <x:c r="S1559" s="17" t="n">
        <x:v>5229846890.15</x:v>
      </x:c>
      <x:c r="T1559" s="18" t="n">
        <x:v>0.9999999999999988</x:v>
      </x:c>
      <x:c r="U1559" s="17" t="n">
        <x:v>5229846890.149993</x:v>
      </x:c>
      <x:c r="V1559" s="2" t="str">
        <x:v>Area equivalent = model2020 * WUP surface / TEMPO2020 footprint; km2 multiplied by1e6 once</x:v>
      </x:c>
      <x:c r="W1559" s="2" t="str">
        <x:v>L1_numeric_partition_qualified_not_national_completeness</x:v>
      </x:c>
      <x:c r="X1559" s="2" t="str">
        <x:v>https://human-settlement.emergency.copernicus.eu/datasets.php</x:v>
      </x:c>
    </x:row>
    <x:row r="1560" ht="23" customHeight="1">
      <x:c r="A1560" s="2" t="str">
        <x:v>TJK</x:v>
      </x:c>
      <x:c r="B1560" s="2" t="str">
        <x:v>Tajikistan (Republic of)</x:v>
      </x:c>
      <x:c r="C1560" s="2" t="n">
        <x:v>2015</x:v>
      </x:c>
      <x:c r="D1560" s="2" t="str">
        <x:v>WUP_SURFACE</x:v>
      </x:c>
      <x:c r="E1560" s="17" t="n">
        <x:v>361846922.0538689</x:v>
      </x:c>
      <x:c r="F1560" s="17" t="n">
        <x:f>IF(AND(M1560,ISNUMBER(R1560)),IF(D1560="TEMPO_PROXY",R1560,IF(AND(ISNUMBER(S1560),S1560&gt;0,ISNUMBER(U1560)),U1560*R1560/S1560,"n.a.")),"n.a.")</x:f>
        <x:v>677737358.0373223</x:v>
      </x:c>
      <x:c r="G1560" s="17" t="n">
        <x:f>IF(AND(ISNUMBER(E1560),ISNUMBER(F1560)),E1560-F1560,"n.a.")</x:f>
        <x:v>-315890435.9834534</x:v>
      </x:c>
      <x:c r="H1560" s="15" t="n">
        <x:f>IF(AND(ISNUMBER(E1560),ISNUMBER(F1560),F1560&gt;0),(E1560-F1560)/F1560,"n.a.")</x:f>
        <x:v>-0.4660956523014298</x:v>
      </x:c>
      <x:c r="I1560" s="19" t="n">
        <x:f>IF(ISNUMBER(H1560),ABS(H1560),"n.a.")</x:f>
        <x:v>0.4660956523014298</x:v>
      </x:c>
      <x:c r="J1560" s="2" t="str">
        <x:v>available</x:v>
      </x:c>
      <x:c r="K1560" s="2" t="n">
        <x:v>1</x:v>
      </x:c>
      <x:c r="L1560" s="13" t="b">
        <x:v>0</x:v>
      </x:c>
      <x:c r="M1560" s="13" t="b">
        <x:v>1</x:v>
      </x:c>
      <x:c r="N1560" s="2" t="str">
        <x:v>historical_GHSL_BU_estimate</x:v>
      </x:c>
      <x:c r="O1560" s="2" t="str"/>
      <x:c r="P1560" s="2" t="str">
        <x:v>horizontal built-up surface</x:v>
      </x:c>
      <x:c r="Q1560" s="2" t="str">
        <x:v>m2</x:v>
      </x:c>
      <x:c r="R1560" s="17" t="n">
        <x:v>677737358.0373217</x:v>
      </x:c>
      <x:c r="S1560" s="17" t="n">
        <x:v>392955797.92</x:v>
      </x:c>
      <x:c r="T1560" s="18" t="n">
        <x:v>1.0000000000000009</x:v>
      </x:c>
      <x:c r="U1560" s="17" t="n">
        <x:v>392955797.9200004</x:v>
      </x:c>
      <x:c r="V1560" s="2" t="str">
        <x:v>Area equivalent = model2020 * WUP surface / TEMPO2020 footprint; km2 multiplied by1e6 once</x:v>
      </x:c>
      <x:c r="W1560" s="2" t="str">
        <x:v>L1_numeric_partition_qualified_not_national_completeness</x:v>
      </x:c>
      <x:c r="X1560" s="2" t="str">
        <x:v>https://human-settlement.emergency.copernicus.eu/datasets.php</x:v>
      </x:c>
    </x:row>
    <x:row r="1561" ht="23" customHeight="1">
      <x:c r="A1561" s="2" t="str">
        <x:v>TKM</x:v>
      </x:c>
      <x:c r="B1561" s="2" t="str">
        <x:v>Turkmenistan</x:v>
      </x:c>
      <x:c r="C1561" s="2" t="n">
        <x:v>2015</x:v>
      </x:c>
      <x:c r="D1561" s="2" t="str">
        <x:v>WUP_SURFACE</x:v>
      </x:c>
      <x:c r="E1561" s="17" t="n">
        <x:v>327928169.32018465</x:v>
      </x:c>
      <x:c r="F1561" s="17" t="n">
        <x:f>IF(AND(M1561,ISNUMBER(R1561)),IF(D1561="TEMPO_PROXY",R1561,IF(AND(ISNUMBER(S1561),S1561&gt;0,ISNUMBER(U1561)),U1561*R1561/S1561,"n.a.")),"n.a.")</x:f>
        <x:v>697450387.6795954</x:v>
      </x:c>
      <x:c r="G1561" s="17" t="n">
        <x:f>IF(AND(ISNUMBER(E1561),ISNUMBER(F1561)),E1561-F1561,"n.a.")</x:f>
        <x:v>-369522218.3594107</x:v>
      </x:c>
      <x:c r="H1561" s="15" t="n">
        <x:f>IF(AND(ISNUMBER(E1561),ISNUMBER(F1561),F1561&gt;0),(E1561-F1561)/F1561,"n.a.")</x:f>
        <x:v>-0.5298186435723469</x:v>
      </x:c>
      <x:c r="I1561" s="19" t="n">
        <x:f>IF(ISNUMBER(H1561),ABS(H1561),"n.a.")</x:f>
        <x:v>0.5298186435723469</x:v>
      </x:c>
      <x:c r="J1561" s="2" t="str">
        <x:v>available</x:v>
      </x:c>
      <x:c r="K1561" s="2" t="n">
        <x:v>1</x:v>
      </x:c>
      <x:c r="L1561" s="13" t="b">
        <x:v>0</x:v>
      </x:c>
      <x:c r="M1561" s="13" t="b">
        <x:v>1</x:v>
      </x:c>
      <x:c r="N1561" s="2" t="str">
        <x:v>historical_GHSL_BU_estimate</x:v>
      </x:c>
      <x:c r="O1561" s="2" t="str"/>
      <x:c r="P1561" s="2" t="str">
        <x:v>horizontal built-up surface</x:v>
      </x:c>
      <x:c r="Q1561" s="2" t="str">
        <x:v>m2</x:v>
      </x:c>
      <x:c r="R1561" s="17" t="n">
        <x:v>697450387.6795943</x:v>
      </x:c>
      <x:c r="S1561" s="17" t="n">
        <x:v>359976676.15</x:v>
      </x:c>
      <x:c r="T1561" s="18" t="n">
        <x:v>1.0000000000000016</x:v>
      </x:c>
      <x:c r="U1561" s="17" t="n">
        <x:v>359976676.1500005</x:v>
      </x:c>
      <x:c r="V1561" s="2" t="str">
        <x:v>Area equivalent = model2020 * WUP surface / TEMPO2020 footprint; km2 multiplied by1e6 once</x:v>
      </x:c>
      <x:c r="W1561" s="2" t="str">
        <x:v>L1_numeric_partition_qualified_not_national_completeness</x:v>
      </x:c>
      <x:c r="X1561" s="2" t="str">
        <x:v>https://human-settlement.emergency.copernicus.eu/datasets.php</x:v>
      </x:c>
    </x:row>
    <x:row r="1562" ht="23" customHeight="1">
      <x:c r="A1562" s="2" t="str">
        <x:v>TLS</x:v>
      </x:c>
      <x:c r="B1562" s="2" t="str">
        <x:v>Timor-Leste (Democratic Republic of)</x:v>
      </x:c>
      <x:c r="C1562" s="2" t="n">
        <x:v>2015</x:v>
      </x:c>
      <x:c r="D1562" s="2" t="str">
        <x:v>WUP_SURFACE</x:v>
      </x:c>
      <x:c r="E1562" s="17" t="n">
        <x:v>36994624.25613674</x:v>
      </x:c>
      <x:c r="F1562" s="17" t="n">
        <x:f>IF(AND(M1562,ISNUMBER(R1562)),IF(D1562="TEMPO_PROXY",R1562,IF(AND(ISNUMBER(S1562),S1562&gt;0,ISNUMBER(U1562)),U1562*R1562/S1562,"n.a.")),"n.a.")</x:f>
        <x:v>45248754.94172616</x:v>
      </x:c>
      <x:c r="G1562" s="17" t="n">
        <x:f>IF(AND(ISNUMBER(E1562),ISNUMBER(F1562)),E1562-F1562,"n.a.")</x:f>
        <x:v>-8254130.685589425</x:v>
      </x:c>
      <x:c r="H1562" s="15" t="n">
        <x:f>IF(AND(ISNUMBER(E1562),ISNUMBER(F1562),F1562&gt;0),(E1562-F1562)/F1562,"n.a.")</x:f>
        <x:v>-0.18241674707336256</x:v>
      </x:c>
      <x:c r="I1562" s="19" t="n">
        <x:f>IF(ISNUMBER(H1562),ABS(H1562),"n.a.")</x:f>
        <x:v>0.18241674707336256</x:v>
      </x:c>
      <x:c r="J1562" s="2" t="str">
        <x:v>available</x:v>
      </x:c>
      <x:c r="K1562" s="2" t="n">
        <x:v>1</x:v>
      </x:c>
      <x:c r="L1562" s="13" t="b">
        <x:v>0</x:v>
      </x:c>
      <x:c r="M1562" s="13" t="b">
        <x:v>1</x:v>
      </x:c>
      <x:c r="N1562" s="2" t="str">
        <x:v>historical_GHSL_BU_estimate</x:v>
      </x:c>
      <x:c r="O1562" s="2" t="str"/>
      <x:c r="P1562" s="2" t="str">
        <x:v>horizontal built-up surface</x:v>
      </x:c>
      <x:c r="Q1562" s="2" t="str">
        <x:v>m2</x:v>
      </x:c>
      <x:c r="R1562" s="17" t="n">
        <x:v>45248754.94172613</x:v>
      </x:c>
      <x:c r="S1562" s="17" t="n">
        <x:v>41213693.9</x:v>
      </x:c>
      <x:c r="T1562" s="18" t="n">
        <x:v>1.0000000000000004</x:v>
      </x:c>
      <x:c r="U1562" s="17" t="n">
        <x:v>41213693.90000002</x:v>
      </x:c>
      <x:c r="V1562" s="2" t="str">
        <x:v>Area equivalent = model2020 * WUP surface / TEMPO2020 footprint; km2 multiplied by1e6 once</x:v>
      </x:c>
      <x:c r="W1562" s="2" t="str">
        <x:v>L1_numeric_partition_qualified_not_national_completeness</x:v>
      </x:c>
      <x:c r="X1562" s="2" t="str">
        <x:v>https://human-settlement.emergency.copernicus.eu/datasets.php</x:v>
      </x:c>
    </x:row>
    <x:row r="1563" ht="23" customHeight="1">
      <x:c r="A1563" s="2" t="str">
        <x:v>TON</x:v>
      </x:c>
      <x:c r="B1563" s="2" t="str">
        <x:v>Tonga (Kingdom of)</x:v>
      </x:c>
      <x:c r="C1563" s="2" t="n">
        <x:v>2015</x:v>
      </x:c>
      <x:c r="D1563" s="2" t="str">
        <x:v>WUP_SURFACE</x:v>
      </x:c>
      <x:c r="E1563" s="17" t="n">
        <x:v>4632378.310123438</x:v>
      </x:c>
      <x:c r="F1563" s="17" t="n">
        <x:f>IF(AND(M1563,ISNUMBER(R1563)),IF(D1563="TEMPO_PROXY",R1563,IF(AND(ISNUMBER(S1563),S1563&gt;0,ISNUMBER(U1563)),U1563*R1563/S1563,"n.a.")),"n.a.")</x:f>
        <x:v>8444677.010784283</x:v>
      </x:c>
      <x:c r="G1563" s="17" t="n">
        <x:f>IF(AND(ISNUMBER(E1563),ISNUMBER(F1563)),E1563-F1563,"n.a.")</x:f>
        <x:v>-3812298.7006608453</x:v>
      </x:c>
      <x:c r="H1563" s="15" t="n">
        <x:f>IF(AND(ISNUMBER(E1563),ISNUMBER(F1563),F1563&gt;0),(E1563-F1563)/F1563,"n.a.")</x:f>
        <x:v>-0.4514439919717883</x:v>
      </x:c>
      <x:c r="I1563" s="19" t="n">
        <x:f>IF(ISNUMBER(H1563),ABS(H1563),"n.a.")</x:f>
        <x:v>0.4514439919717883</x:v>
      </x:c>
      <x:c r="J1563" s="2" t="str">
        <x:v>available</x:v>
      </x:c>
      <x:c r="K1563" s="2" t="n">
        <x:v>1</x:v>
      </x:c>
      <x:c r="L1563" s="13" t="b">
        <x:v>0</x:v>
      </x:c>
      <x:c r="M1563" s="13" t="b">
        <x:v>1</x:v>
      </x:c>
      <x:c r="N1563" s="2" t="str">
        <x:v>historical_GHSL_BU_estimate</x:v>
      </x:c>
      <x:c r="O1563" s="2" t="str"/>
      <x:c r="P1563" s="2" t="str">
        <x:v>horizontal built-up surface</x:v>
      </x:c>
      <x:c r="Q1563" s="2" t="str">
        <x:v>m2</x:v>
      </x:c>
      <x:c r="R1563" s="17" t="n">
        <x:v>8444677.010784289</x:v>
      </x:c>
      <x:c r="S1563" s="17" t="n">
        <x:v>4719083.85</x:v>
      </x:c>
      <x:c r="T1563" s="18" t="n">
        <x:v>0.9999999999999994</x:v>
      </x:c>
      <x:c r="U1563" s="17" t="n">
        <x:v>4719083.849999997</x:v>
      </x:c>
      <x:c r="V1563" s="2" t="str">
        <x:v>Area equivalent = model2020 * WUP surface / TEMPO2020 footprint; km2 multiplied by1e6 once</x:v>
      </x:c>
      <x:c r="W1563" s="2" t="str">
        <x:v>L1_numeric_partition_qualified_not_national_completeness</x:v>
      </x:c>
      <x:c r="X1563" s="2" t="str">
        <x:v>https://human-settlement.emergency.copernicus.eu/datasets.php</x:v>
      </x:c>
    </x:row>
    <x:row r="1564" ht="23" customHeight="1">
      <x:c r="A1564" s="2" t="str">
        <x:v>TTO</x:v>
      </x:c>
      <x:c r="B1564" s="2" t="str">
        <x:v>Trinidad and Tobago (Republic of)</x:v>
      </x:c>
      <x:c r="C1564" s="2" t="n">
        <x:v>2015</x:v>
      </x:c>
      <x:c r="D1564" s="2" t="str">
        <x:v>WUP_SURFACE</x:v>
      </x:c>
      <x:c r="E1564" s="17" t="n">
        <x:v>92150385.27447325</x:v>
      </x:c>
      <x:c r="F1564" s="17" t="n">
        <x:f>IF(AND(M1564,ISNUMBER(R1564)),IF(D1564="TEMPO_PROXY",R1564,IF(AND(ISNUMBER(S1564),S1564&gt;0,ISNUMBER(U1564)),U1564*R1564/S1564,"n.a.")),"n.a.")</x:f>
        <x:v>152380143.00392762</x:v>
      </x:c>
      <x:c r="G1564" s="17" t="n">
        <x:f>IF(AND(ISNUMBER(E1564),ISNUMBER(F1564)),E1564-F1564,"n.a.")</x:f>
        <x:v>-60229757.72945437</x:v>
      </x:c>
      <x:c r="H1564" s="15" t="n">
        <x:f>IF(AND(ISNUMBER(E1564),ISNUMBER(F1564),F1564&gt;0),(E1564-F1564)/F1564,"n.a.")</x:f>
        <x:v>-0.39525988453693695</x:v>
      </x:c>
      <x:c r="I1564" s="19" t="n">
        <x:f>IF(ISNUMBER(H1564),ABS(H1564),"n.a.")</x:f>
        <x:v>0.39525988453693695</x:v>
      </x:c>
      <x:c r="J1564" s="2" t="str">
        <x:v>available</x:v>
      </x:c>
      <x:c r="K1564" s="2" t="n">
        <x:v>1</x:v>
      </x:c>
      <x:c r="L1564" s="13" t="b">
        <x:v>0</x:v>
      </x:c>
      <x:c r="M1564" s="13" t="b">
        <x:v>1</x:v>
      </x:c>
      <x:c r="N1564" s="2" t="str">
        <x:v>historical_GHSL_BU_estimate</x:v>
      </x:c>
      <x:c r="O1564" s="2" t="str"/>
      <x:c r="P1564" s="2" t="str">
        <x:v>horizontal built-up surface</x:v>
      </x:c>
      <x:c r="Q1564" s="2" t="str">
        <x:v>m2</x:v>
      </x:c>
      <x:c r="R1564" s="17" t="n">
        <x:v>152380143.00392753</x:v>
      </x:c>
      <x:c r="S1564" s="17" t="n">
        <x:v>100480869.27</x:v>
      </x:c>
      <x:c r="T1564" s="18" t="n">
        <x:v>1.0000000000000004</x:v>
      </x:c>
      <x:c r="U1564" s="17" t="n">
        <x:v>100480869.27000004</x:v>
      </x:c>
      <x:c r="V1564" s="2" t="str">
        <x:v>Area equivalent = model2020 * WUP surface / TEMPO2020 footprint; km2 multiplied by1e6 once</x:v>
      </x:c>
      <x:c r="W1564" s="2" t="str">
        <x:v>L1_numeric_partition_qualified_not_national_completeness</x:v>
      </x:c>
      <x:c r="X1564" s="2" t="str">
        <x:v>https://human-settlement.emergency.copernicus.eu/datasets.php</x:v>
      </x:c>
    </x:row>
    <x:row r="1565" ht="23" customHeight="1">
      <x:c r="A1565" s="2" t="str">
        <x:v>TUN</x:v>
      </x:c>
      <x:c r="B1565" s="2" t="str">
        <x:v>Tunisia (Republic of)</x:v>
      </x:c>
      <x:c r="C1565" s="2" t="n">
        <x:v>2015</x:v>
      </x:c>
      <x:c r="D1565" s="2" t="str">
        <x:v>WUP_SURFACE</x:v>
      </x:c>
      <x:c r="E1565" s="17" t="n">
        <x:v>613930514.3647048</x:v>
      </x:c>
      <x:c r="F1565" s="17" t="n">
        <x:f>IF(AND(M1565,ISNUMBER(R1565)),IF(D1565="TEMPO_PROXY",R1565,IF(AND(ISNUMBER(S1565),S1565&gt;0,ISNUMBER(U1565)),U1565*R1565/S1565,"n.a.")),"n.a.")</x:f>
        <x:v>1099464082.6501067</x:v>
      </x:c>
      <x:c r="G1565" s="17" t="n">
        <x:f>IF(AND(ISNUMBER(E1565),ISNUMBER(F1565)),E1565-F1565,"n.a.")</x:f>
        <x:v>-485533568.2854018</x:v>
      </x:c>
      <x:c r="H1565" s="15" t="n">
        <x:f>IF(AND(ISNUMBER(E1565),ISNUMBER(F1565),F1565&gt;0),(E1565-F1565)/F1565,"n.a.")</x:f>
        <x:v>-0.44160930397570614</x:v>
      </x:c>
      <x:c r="I1565" s="19" t="n">
        <x:f>IF(ISNUMBER(H1565),ABS(H1565),"n.a.")</x:f>
        <x:v>0.44160930397570614</x:v>
      </x:c>
      <x:c r="J1565" s="2" t="str">
        <x:v>available</x:v>
      </x:c>
      <x:c r="K1565" s="2" t="n">
        <x:v>1</x:v>
      </x:c>
      <x:c r="L1565" s="13" t="b">
        <x:v>0</x:v>
      </x:c>
      <x:c r="M1565" s="13" t="b">
        <x:v>1</x:v>
      </x:c>
      <x:c r="N1565" s="2" t="str">
        <x:v>historical_GHSL_BU_estimate</x:v>
      </x:c>
      <x:c r="O1565" s="2" t="str"/>
      <x:c r="P1565" s="2" t="str">
        <x:v>horizontal built-up surface</x:v>
      </x:c>
      <x:c r="Q1565" s="2" t="str">
        <x:v>m2</x:v>
      </x:c>
      <x:c r="R1565" s="17" t="n">
        <x:v>1084364651.2813952</x:v>
      </x:c>
      <x:c r="S1565" s="17" t="n">
        <x:v>640256278.63</x:v>
      </x:c>
      <x:c r="T1565" s="18" t="n">
        <x:v>1.0139246805499134</x:v>
      </x:c>
      <x:c r="U1565" s="17" t="n">
        <x:v>649171642.779999</x:v>
      </x:c>
      <x:c r="V1565" s="2" t="str">
        <x:v>Area equivalent = model2020 * WUP surface / TEMPO2020 footprint; km2 multiplied by1e6 once</x:v>
      </x:c>
      <x:c r="W1565" s="2" t="str">
        <x:v>L1_numeric_partition_qualified_not_national_completeness</x:v>
      </x:c>
      <x:c r="X1565" s="2" t="str">
        <x:v>https://human-settlement.emergency.copernicus.eu/datasets.php</x:v>
      </x:c>
    </x:row>
    <x:row r="1566" ht="23" customHeight="1">
      <x:c r="A1566" s="2" t="str">
        <x:v>TUR</x:v>
      </x:c>
      <x:c r="B1566" s="2" t="str">
        <x:v>Türkiye (Republic of)</x:v>
      </x:c>
      <x:c r="C1566" s="2" t="n">
        <x:v>2015</x:v>
      </x:c>
      <x:c r="D1566" s="2" t="str">
        <x:v>WUP_SURFACE</x:v>
      </x:c>
      <x:c r="E1566" s="17" t="n">
        <x:v>3665140556.485112</x:v>
      </x:c>
      <x:c r="F1566" s="17" t="n">
        <x:f>IF(AND(M1566,ISNUMBER(R1566)),IF(D1566="TEMPO_PROXY",R1566,IF(AND(ISNUMBER(S1566),S1566&gt;0,ISNUMBER(U1566)),U1566*R1566/S1566,"n.a.")),"n.a.")</x:f>
        <x:v>3416991594.1008196</x:v>
      </x:c>
      <x:c r="G1566" s="17" t="n">
        <x:f>IF(AND(ISNUMBER(E1566),ISNUMBER(F1566)),E1566-F1566,"n.a.")</x:f>
        <x:v>248148962.3842926</x:v>
      </x:c>
      <x:c r="H1566" s="15" t="n">
        <x:f>IF(AND(ISNUMBER(E1566),ISNUMBER(F1566),F1566&gt;0),(E1566-F1566)/F1566,"n.a.")</x:f>
        <x:v>0.07262205819080832</x:v>
      </x:c>
      <x:c r="I1566" s="19" t="n">
        <x:f>IF(ISNUMBER(H1566),ABS(H1566),"n.a.")</x:f>
        <x:v>0.07262205819080832</x:v>
      </x:c>
      <x:c r="J1566" s="2" t="str">
        <x:v>available</x:v>
      </x:c>
      <x:c r="K1566" s="2" t="n">
        <x:v>1</x:v>
      </x:c>
      <x:c r="L1566" s="13" t="b">
        <x:v>0</x:v>
      </x:c>
      <x:c r="M1566" s="13" t="b">
        <x:v>1</x:v>
      </x:c>
      <x:c r="N1566" s="2" t="str">
        <x:v>historical_GHSL_BU_estimate</x:v>
      </x:c>
      <x:c r="O1566" s="2" t="str"/>
      <x:c r="P1566" s="2" t="str">
        <x:v>horizontal built-up surface</x:v>
      </x:c>
      <x:c r="Q1566" s="2" t="str">
        <x:v>m2</x:v>
      </x:c>
      <x:c r="R1566" s="17" t="n">
        <x:v>3215789358.8317237</x:v>
      </x:c>
      <x:c r="S1566" s="17" t="n">
        <x:v>3724845529.66</x:v>
      </x:c>
      <x:c r="T1566" s="18" t="n">
        <x:v>1.0625669821055044</x:v>
      </x:c>
      <x:c r="U1566" s="17" t="n">
        <x:v>3957897873.260005</x:v>
      </x:c>
      <x:c r="V1566" s="2" t="str">
        <x:v>Area equivalent = model2020 * WUP surface / TEMPO2020 footprint; km2 multiplied by1e6 once</x:v>
      </x:c>
      <x:c r="W1566" s="2" t="str">
        <x:v>L1_numeric_partition_qualified_not_national_completeness</x:v>
      </x:c>
      <x:c r="X1566" s="2" t="str">
        <x:v>https://human-settlement.emergency.copernicus.eu/datasets.php</x:v>
      </x:c>
    </x:row>
    <x:row r="1567" ht="23" customHeight="1">
      <x:c r="A1567" s="2" t="str">
        <x:v>TUV</x:v>
      </x:c>
      <x:c r="B1567" s="2" t="str">
        <x:v>Tuvalu</x:v>
      </x:c>
      <x:c r="C1567" s="2" t="n">
        <x:v>2015</x:v>
      </x:c>
      <x:c r="D1567" s="2" t="str">
        <x:v>WUP_SURFACE</x:v>
      </x:c>
      <x:c r="E1567" s="17" t="n">
        <x:v>18938.49476458106</x:v>
      </x:c>
      <x:c r="F1567" s="17" t="n">
        <x:f>IF(AND(M1567,ISNUMBER(R1567)),IF(D1567="TEMPO_PROXY",R1567,IF(AND(ISNUMBER(S1567),S1567&gt;0,ISNUMBER(U1567)),U1567*R1567/S1567,"n.a.")),"n.a.")</x:f>
        <x:v>794024.0023017391</x:v>
      </x:c>
      <x:c r="G1567" s="17" t="n">
        <x:f>IF(AND(ISNUMBER(E1567),ISNUMBER(F1567)),E1567-F1567,"n.a.")</x:f>
        <x:v>-775085.507537158</x:v>
      </x:c>
      <x:c r="H1567" s="15" t="n">
        <x:f>IF(AND(ISNUMBER(E1567),ISNUMBER(F1567),F1567&gt;0),(E1567-F1567)/F1567,"n.a.")</x:f>
        <x:v>-0.9761487124952374</x:v>
      </x:c>
      <x:c r="I1567" s="19" t="n">
        <x:f>IF(ISNUMBER(H1567),ABS(H1567),"n.a.")</x:f>
        <x:v>0.9761487124952374</x:v>
      </x:c>
      <x:c r="J1567" s="2" t="str">
        <x:v>available</x:v>
      </x:c>
      <x:c r="K1567" s="2" t="n">
        <x:v>1</x:v>
      </x:c>
      <x:c r="L1567" s="13" t="b">
        <x:v>0</x:v>
      </x:c>
      <x:c r="M1567" s="13" t="b">
        <x:v>1</x:v>
      </x:c>
      <x:c r="N1567" s="2" t="str">
        <x:v>historical_GHSL_BU_estimate</x:v>
      </x:c>
      <x:c r="O1567" s="2" t="str"/>
      <x:c r="P1567" s="2" t="str">
        <x:v>horizontal built-up surface</x:v>
      </x:c>
      <x:c r="Q1567" s="2" t="str">
        <x:v>m2</x:v>
      </x:c>
      <x:c r="R1567" s="17" t="n">
        <x:v>794024.0023017395</x:v>
      </x:c>
      <x:c r="S1567" s="17" t="n">
        <x:v>19394.81</x:v>
      </x:c>
      <x:c r="T1567" s="18" t="n">
        <x:v>0.9999999999999994</x:v>
      </x:c>
      <x:c r="U1567" s="17" t="n">
        <x:v>19394.80999999999</x:v>
      </x:c>
      <x:c r="V1567" s="2" t="str">
        <x:v>Area equivalent = model2020 * WUP surface / TEMPO2020 footprint; km2 multiplied by1e6 once</x:v>
      </x:c>
      <x:c r="W1567" s="2" t="str">
        <x:v>L1_numeric_partition_qualified_not_national_completeness</x:v>
      </x:c>
      <x:c r="X1567" s="2" t="str">
        <x:v>https://human-settlement.emergency.copernicus.eu/datasets.php</x:v>
      </x:c>
    </x:row>
    <x:row r="1568" ht="23" customHeight="1">
      <x:c r="A1568" s="2" t="str">
        <x:v>TZA</x:v>
      </x:c>
      <x:c r="B1568" s="2" t="str">
        <x:v>Tanzania (United Republic of)</x:v>
      </x:c>
      <x:c r="C1568" s="2" t="n">
        <x:v>2015</x:v>
      </x:c>
      <x:c r="D1568" s="2" t="str">
        <x:v>WUP_SURFACE</x:v>
      </x:c>
      <x:c r="E1568" s="17" t="n">
        <x:v>919308974.8738804</x:v>
      </x:c>
      <x:c r="F1568" s="17" t="n">
        <x:f>IF(AND(M1568,ISNUMBER(R1568)),IF(D1568="TEMPO_PROXY",R1568,IF(AND(ISNUMBER(S1568),S1568&gt;0,ISNUMBER(U1568)),U1568*R1568/S1568,"n.a.")),"n.a.")</x:f>
        <x:v>3249486151.4233</x:v>
      </x:c>
      <x:c r="G1568" s="17" t="n">
        <x:f>IF(AND(ISNUMBER(E1568),ISNUMBER(F1568)),E1568-F1568,"n.a.")</x:f>
        <x:v>-2330177176.5494194</x:v>
      </x:c>
      <x:c r="H1568" s="15" t="n">
        <x:f>IF(AND(ISNUMBER(E1568),ISNUMBER(F1568),F1568&gt;0),(E1568-F1568)/F1568,"n.a.")</x:f>
        <x:v>-0.7170909700688474</x:v>
      </x:c>
      <x:c r="I1568" s="19" t="n">
        <x:f>IF(ISNUMBER(H1568),ABS(H1568),"n.a.")</x:f>
        <x:v>0.7170909700688474</x:v>
      </x:c>
      <x:c r="J1568" s="2" t="str">
        <x:v>available</x:v>
      </x:c>
      <x:c r="K1568" s="2" t="n">
        <x:v>1</x:v>
      </x:c>
      <x:c r="L1568" s="13" t="b">
        <x:v>0</x:v>
      </x:c>
      <x:c r="M1568" s="13" t="b">
        <x:v>1</x:v>
      </x:c>
      <x:c r="N1568" s="2" t="str">
        <x:v>historical_GHSL_BU_estimate</x:v>
      </x:c>
      <x:c r="O1568" s="2" t="str"/>
      <x:c r="P1568" s="2" t="str">
        <x:v>horizontal built-up surface</x:v>
      </x:c>
      <x:c r="Q1568" s="2" t="str">
        <x:v>m2</x:v>
      </x:c>
      <x:c r="R1568" s="17" t="n">
        <x:v>3249486151.4233036</x:v>
      </x:c>
      <x:c r="S1568" s="17" t="n">
        <x:v>1174486408.82</x:v>
      </x:c>
      <x:c r="T1568" s="18" t="n">
        <x:v>0.9999999999999988</x:v>
      </x:c>
      <x:c r="U1568" s="17" t="n">
        <x:v>1174486408.8199985</x:v>
      </x:c>
      <x:c r="V1568" s="2" t="str">
        <x:v>Area equivalent = model2020 * WUP surface / TEMPO2020 footprint; km2 multiplied by1e6 once</x:v>
      </x:c>
      <x:c r="W1568" s="2" t="str">
        <x:v>L1_numeric_partition_qualified_not_national_completeness</x:v>
      </x:c>
      <x:c r="X1568" s="2" t="str">
        <x:v>https://human-settlement.emergency.copernicus.eu/datasets.php</x:v>
      </x:c>
    </x:row>
    <x:row r="1569" ht="23" customHeight="1">
      <x:c r="A1569" s="2" t="str">
        <x:v>UGA</x:v>
      </x:c>
      <x:c r="B1569" s="2" t="str">
        <x:v>Uganda (Republic of)</x:v>
      </x:c>
      <x:c r="C1569" s="2" t="n">
        <x:v>2015</x:v>
      </x:c>
      <x:c r="D1569" s="2" t="str">
        <x:v>WUP_SURFACE</x:v>
      </x:c>
      <x:c r="E1569" s="17" t="n">
        <x:v>575984024.6654693</x:v>
      </x:c>
      <x:c r="F1569" s="17" t="n">
        <x:f>IF(AND(M1569,ISNUMBER(R1569)),IF(D1569="TEMPO_PROXY",R1569,IF(AND(ISNUMBER(S1569),S1569&gt;0,ISNUMBER(U1569)),U1569*R1569/S1569,"n.a.")),"n.a.")</x:f>
        <x:v>1999424238.9393733</x:v>
      </x:c>
      <x:c r="G1569" s="17" t="n">
        <x:f>IF(AND(ISNUMBER(E1569),ISNUMBER(F1569)),E1569-F1569,"n.a.")</x:f>
        <x:v>-1423440214.2739038</x:v>
      </x:c>
      <x:c r="H1569" s="15" t="n">
        <x:f>IF(AND(ISNUMBER(E1569),ISNUMBER(F1569),F1569&gt;0),(E1569-F1569)/F1569,"n.a.")</x:f>
        <x:v>-0.7119250564997605</x:v>
      </x:c>
      <x:c r="I1569" s="19" t="n">
        <x:f>IF(ISNUMBER(H1569),ABS(H1569),"n.a.")</x:f>
        <x:v>0.7119250564997605</x:v>
      </x:c>
      <x:c r="J1569" s="2" t="str">
        <x:v>available</x:v>
      </x:c>
      <x:c r="K1569" s="2" t="n">
        <x:v>1</x:v>
      </x:c>
      <x:c r="L1569" s="13" t="b">
        <x:v>0</x:v>
      </x:c>
      <x:c r="M1569" s="13" t="b">
        <x:v>1</x:v>
      </x:c>
      <x:c r="N1569" s="2" t="str">
        <x:v>historical_GHSL_BU_estimate</x:v>
      </x:c>
      <x:c r="O1569" s="2" t="str"/>
      <x:c r="P1569" s="2" t="str">
        <x:v>horizontal built-up surface</x:v>
      </x:c>
      <x:c r="Q1569" s="2" t="str">
        <x:v>m2</x:v>
      </x:c>
      <x:c r="R1569" s="17" t="n">
        <x:v>1999424238.939371</x:v>
      </x:c>
      <x:c r="S1569" s="17" t="n">
        <x:v>765891927.15</x:v>
      </x:c>
      <x:c r="T1569" s="18" t="n">
        <x:v>1.000000000000001</x:v>
      </x:c>
      <x:c r="U1569" s="17" t="n">
        <x:v>765891927.1500008</x:v>
      </x:c>
      <x:c r="V1569" s="2" t="str">
        <x:v>Area equivalent = model2020 * WUP surface / TEMPO2020 footprint; km2 multiplied by1e6 once</x:v>
      </x:c>
      <x:c r="W1569" s="2" t="str">
        <x:v>L1_numeric_partition_qualified_not_national_completeness</x:v>
      </x:c>
      <x:c r="X1569" s="2" t="str">
        <x:v>https://human-settlement.emergency.copernicus.eu/datasets.php</x:v>
      </x:c>
    </x:row>
    <x:row r="1570" ht="23" customHeight="1">
      <x:c r="A1570" s="2" t="str">
        <x:v>UKR</x:v>
      </x:c>
      <x:c r="B1570" s="2" t="str">
        <x:v>Ukraine</x:v>
      </x:c>
      <x:c r="C1570" s="2" t="n">
        <x:v>2015</x:v>
      </x:c>
      <x:c r="D1570" s="2" t="str">
        <x:v>WUP_SURFACE</x:v>
      </x:c>
      <x:c r="E1570" s="17" t="n">
        <x:v>2687631859.9002776</x:v>
      </x:c>
      <x:c r="F1570" s="17" t="n">
        <x:f>IF(AND(M1570,ISNUMBER(R1570)),IF(D1570="TEMPO_PROXY",R1570,IF(AND(ISNUMBER(S1570),S1570&gt;0,ISNUMBER(U1570)),U1570*R1570/S1570,"n.a.")),"n.a.")</x:f>
        <x:v>4136289920.5781007</x:v>
      </x:c>
      <x:c r="G1570" s="17" t="n">
        <x:f>IF(AND(ISNUMBER(E1570),ISNUMBER(F1570)),E1570-F1570,"n.a.")</x:f>
        <x:v>-1448658060.677823</x:v>
      </x:c>
      <x:c r="H1570" s="15" t="n">
        <x:f>IF(AND(ISNUMBER(E1570),ISNUMBER(F1570),F1570&gt;0),(E1570-F1570)/F1570,"n.a.")</x:f>
        <x:v>-0.3502312672694263</x:v>
      </x:c>
      <x:c r="I1570" s="19" t="n">
        <x:f>IF(ISNUMBER(H1570),ABS(H1570),"n.a.")</x:f>
        <x:v>0.3502312672694263</x:v>
      </x:c>
      <x:c r="J1570" s="2" t="str">
        <x:v>available</x:v>
      </x:c>
      <x:c r="K1570" s="2" t="n">
        <x:v>1</x:v>
      </x:c>
      <x:c r="L1570" s="13" t="b">
        <x:v>0</x:v>
      </x:c>
      <x:c r="M1570" s="13" t="b">
        <x:v>1</x:v>
      </x:c>
      <x:c r="N1570" s="2" t="str">
        <x:v>historical_GHSL_BU_estimate</x:v>
      </x:c>
      <x:c r="O1570" s="2" t="str"/>
      <x:c r="P1570" s="2" t="str">
        <x:v>horizontal built-up surface</x:v>
      </x:c>
      <x:c r="Q1570" s="2" t="str">
        <x:v>m2</x:v>
      </x:c>
      <x:c r="R1570" s="17" t="n">
        <x:v>4136289920.578101</x:v>
      </x:c>
      <x:c r="S1570" s="17" t="n">
        <x:v>2808807029.82</x:v>
      </x:c>
      <x:c r="T1570" s="18" t="n">
        <x:v>0.9999999999999998</x:v>
      </x:c>
      <x:c r="U1570" s="17" t="n">
        <x:v>2808807029.8199997</x:v>
      </x:c>
      <x:c r="V1570" s="2" t="str">
        <x:v>Area equivalent = model2020 * WUP surface / TEMPO2020 footprint; km2 multiplied by1e6 once</x:v>
      </x:c>
      <x:c r="W1570" s="2" t="str">
        <x:v>L1_numeric_partition_qualified_not_national_completeness</x:v>
      </x:c>
      <x:c r="X1570" s="2" t="str">
        <x:v>https://human-settlement.emergency.copernicus.eu/datasets.php</x:v>
      </x:c>
    </x:row>
    <x:row r="1571" ht="23" customHeight="1">
      <x:c r="A1571" s="2" t="str">
        <x:v>URY</x:v>
      </x:c>
      <x:c r="B1571" s="2" t="str">
        <x:v>Uruguay (Oriental Republic of)</x:v>
      </x:c>
      <x:c r="C1571" s="2" t="n">
        <x:v>2015</x:v>
      </x:c>
      <x:c r="D1571" s="2" t="str">
        <x:v>WUP_SURFACE</x:v>
      </x:c>
      <x:c r="E1571" s="17" t="n">
        <x:v>201359785.87738177</x:v>
      </x:c>
      <x:c r="F1571" s="17" t="n">
        <x:f>IF(AND(M1571,ISNUMBER(R1571)),IF(D1571="TEMPO_PROXY",R1571,IF(AND(ISNUMBER(S1571),S1571&gt;0,ISNUMBER(U1571)),U1571*R1571/S1571,"n.a.")),"n.a.")</x:f>
        <x:v>366860080.5513605</x:v>
      </x:c>
      <x:c r="G1571" s="17" t="n">
        <x:f>IF(AND(ISNUMBER(E1571),ISNUMBER(F1571)),E1571-F1571,"n.a.")</x:f>
        <x:v>-165500294.67397872</x:v>
      </x:c>
      <x:c r="H1571" s="15" t="n">
        <x:f>IF(AND(ISNUMBER(E1571),ISNUMBER(F1571),F1571&gt;0),(E1571-F1571)/F1571,"n.a.")</x:f>
        <x:v>-0.45112647422757307</x:v>
      </x:c>
      <x:c r="I1571" s="19" t="n">
        <x:f>IF(ISNUMBER(H1571),ABS(H1571),"n.a.")</x:f>
        <x:v>0.45112647422757307</x:v>
      </x:c>
      <x:c r="J1571" s="2" t="str">
        <x:v>available</x:v>
      </x:c>
      <x:c r="K1571" s="2" t="n">
        <x:v>1</x:v>
      </x:c>
      <x:c r="L1571" s="13" t="b">
        <x:v>0</x:v>
      </x:c>
      <x:c r="M1571" s="13" t="b">
        <x:v>1</x:v>
      </x:c>
      <x:c r="N1571" s="2" t="str">
        <x:v>historical_GHSL_BU_estimate</x:v>
      </x:c>
      <x:c r="O1571" s="2" t="str"/>
      <x:c r="P1571" s="2" t="str">
        <x:v>horizontal built-up surface</x:v>
      </x:c>
      <x:c r="Q1571" s="2" t="str">
        <x:v>m2</x:v>
      </x:c>
      <x:c r="R1571" s="17" t="n">
        <x:v>366860080.55136096</x:v>
      </x:c>
      <x:c r="S1571" s="17" t="n">
        <x:v>209727833.29</x:v>
      </x:c>
      <x:c r="T1571" s="18" t="n">
        <x:v>0.9999999999999986</x:v>
      </x:c>
      <x:c r="U1571" s="17" t="n">
        <x:v>209727833.2899997</x:v>
      </x:c>
      <x:c r="V1571" s="2" t="str">
        <x:v>Area equivalent = model2020 * WUP surface / TEMPO2020 footprint; km2 multiplied by1e6 once</x:v>
      </x:c>
      <x:c r="W1571" s="2" t="str">
        <x:v>L1_numeric_partition_qualified_not_national_completeness</x:v>
      </x:c>
      <x:c r="X1571" s="2" t="str">
        <x:v>https://human-settlement.emergency.copernicus.eu/datasets.php</x:v>
      </x:c>
    </x:row>
    <x:row r="1572" ht="23" customHeight="1">
      <x:c r="A1572" s="2" t="str">
        <x:v>USA</x:v>
      </x:c>
      <x:c r="B1572" s="2" t="str">
        <x:v>United States of America</x:v>
      </x:c>
      <x:c r="C1572" s="2" t="n">
        <x:v>2015</x:v>
      </x:c>
      <x:c r="D1572" s="2" t="str">
        <x:v>WUP_SURFACE</x:v>
      </x:c>
      <x:c r="E1572" s="17" t="n">
        <x:v>34465397434.22212</x:v>
      </x:c>
      <x:c r="F1572" s="17" t="n">
        <x:f>IF(AND(M1572,ISNUMBER(R1572)),IF(D1572="TEMPO_PROXY",R1572,IF(AND(ISNUMBER(S1572),S1572&gt;0,ISNUMBER(U1572)),U1572*R1572/S1572,"n.a.")),"n.a.")</x:f>
        <x:v>58181365951.10658</x:v>
      </x:c>
      <x:c r="G1572" s="17" t="n">
        <x:f>IF(AND(ISNUMBER(E1572),ISNUMBER(F1572)),E1572-F1572,"n.a.")</x:f>
        <x:v>-23715968516.88446</x:v>
      </x:c>
      <x:c r="H1572" s="15" t="n">
        <x:f>IF(AND(ISNUMBER(E1572),ISNUMBER(F1572),F1572&gt;0),(E1572-F1572)/F1572,"n.a.")</x:f>
        <x:v>-0.4076213772088896</x:v>
      </x:c>
      <x:c r="I1572" s="19" t="n">
        <x:f>IF(ISNUMBER(H1572),ABS(H1572),"n.a.")</x:f>
        <x:v>0.4076213772088896</x:v>
      </x:c>
      <x:c r="J1572" s="2" t="str">
        <x:v>available</x:v>
      </x:c>
      <x:c r="K1572" s="2" t="n">
        <x:v>1</x:v>
      </x:c>
      <x:c r="L1572" s="13" t="b">
        <x:v>0</x:v>
      </x:c>
      <x:c r="M1572" s="13" t="b">
        <x:v>1</x:v>
      </x:c>
      <x:c r="N1572" s="2" t="str">
        <x:v>historical_GHSL_BU_estimate</x:v>
      </x:c>
      <x:c r="O1572" s="2" t="str"/>
      <x:c r="P1572" s="2" t="str">
        <x:v>horizontal built-up surface</x:v>
      </x:c>
      <x:c r="Q1572" s="2" t="str">
        <x:v>m2</x:v>
      </x:c>
      <x:c r="R1572" s="17" t="n">
        <x:v>58181365951.10652</x:v>
      </x:c>
      <x:c r="S1572" s="17" t="n">
        <x:v>35932980078.68</x:v>
      </x:c>
      <x:c r="T1572" s="18" t="n">
        <x:v>1.000000000000001</x:v>
      </x:c>
      <x:c r="U1572" s="17" t="n">
        <x:v>35932980078.68004</x:v>
      </x:c>
      <x:c r="V1572" s="2" t="str">
        <x:v>Area equivalent = model2020 * WUP surface / TEMPO2020 footprint; km2 multiplied by1e6 once</x:v>
      </x:c>
      <x:c r="W1572" s="2" t="str">
        <x:v>L1_numeric_partition_qualified_not_national_completeness</x:v>
      </x:c>
      <x:c r="X1572" s="2" t="str">
        <x:v>https://human-settlement.emergency.copernicus.eu/datasets.php</x:v>
      </x:c>
    </x:row>
    <x:row r="1573" ht="23" customHeight="1">
      <x:c r="A1573" s="2" t="str">
        <x:v>UZB</x:v>
      </x:c>
      <x:c r="B1573" s="2" t="str">
        <x:v>Uzbekistan (Republic of)</x:v>
      </x:c>
      <x:c r="C1573" s="2" t="n">
        <x:v>2015</x:v>
      </x:c>
      <x:c r="D1573" s="2" t="str">
        <x:v>WUP_SURFACE</x:v>
      </x:c>
      <x:c r="E1573" s="17" t="n">
        <x:v>1826840510.7491636</x:v>
      </x:c>
      <x:c r="F1573" s="17" t="n">
        <x:f>IF(AND(M1573,ISNUMBER(R1573)),IF(D1573="TEMPO_PROXY",R1573,IF(AND(ISNUMBER(S1573),S1573&gt;0,ISNUMBER(U1573)),U1573*R1573/S1573,"n.a.")),"n.a.")</x:f>
        <x:v>3494727272.631789</x:v>
      </x:c>
      <x:c r="G1573" s="17" t="n">
        <x:f>IF(AND(ISNUMBER(E1573),ISNUMBER(F1573)),E1573-F1573,"n.a.")</x:f>
        <x:v>-1667886761.8826256</x:v>
      </x:c>
      <x:c r="H1573" s="15" t="n">
        <x:f>IF(AND(ISNUMBER(E1573),ISNUMBER(F1573),F1573&gt;0),(E1573-F1573)/F1573,"n.a.")</x:f>
        <x:v>-0.4772580610064553</x:v>
      </x:c>
      <x:c r="I1573" s="19" t="n">
        <x:f>IF(ISNUMBER(H1573),ABS(H1573),"n.a.")</x:f>
        <x:v>0.4772580610064553</x:v>
      </x:c>
      <x:c r="J1573" s="2" t="str">
        <x:v>available</x:v>
      </x:c>
      <x:c r="K1573" s="2" t="n">
        <x:v>1</x:v>
      </x:c>
      <x:c r="L1573" s="13" t="b">
        <x:v>0</x:v>
      </x:c>
      <x:c r="M1573" s="13" t="b">
        <x:v>1</x:v>
      </x:c>
      <x:c r="N1573" s="2" t="str">
        <x:v>historical_GHSL_BU_estimate</x:v>
      </x:c>
      <x:c r="O1573" s="2" t="str"/>
      <x:c r="P1573" s="2" t="str">
        <x:v>horizontal built-up surface</x:v>
      </x:c>
      <x:c r="Q1573" s="2" t="str">
        <x:v>m2</x:v>
      </x:c>
      <x:c r="R1573" s="17" t="n">
        <x:v>3494727272.6317863</x:v>
      </x:c>
      <x:c r="S1573" s="17" t="n">
        <x:v>1997042653.63</x:v>
      </x:c>
      <x:c r="T1573" s="18" t="n">
        <x:v>1.0000000000000007</x:v>
      </x:c>
      <x:c r="U1573" s="17" t="n">
        <x:v>1997042653.6300015</x:v>
      </x:c>
      <x:c r="V1573" s="2" t="str">
        <x:v>Area equivalent = model2020 * WUP surface / TEMPO2020 footprint; km2 multiplied by1e6 once</x:v>
      </x:c>
      <x:c r="W1573" s="2" t="str">
        <x:v>L1_numeric_partition_qualified_not_national_completeness</x:v>
      </x:c>
      <x:c r="X1573" s="2" t="str">
        <x:v>https://human-settlement.emergency.copernicus.eu/datasets.php</x:v>
      </x:c>
    </x:row>
    <x:row r="1574" ht="23" customHeight="1">
      <x:c r="A1574" s="2" t="str">
        <x:v>VAT</x:v>
      </x:c>
      <x:c r="B1574" s="2" t="str">
        <x:v>Holy See (State of the Vatican City)</x:v>
      </x:c>
      <x:c r="C1574" s="2" t="n">
        <x:v>2015</x:v>
      </x:c>
      <x:c r="D1574" s="2" t="str">
        <x:v>WUP_SURFACE</x:v>
      </x:c>
      <x:c r="E1574" s="17" t="n">
        <x:v>318151.8700189071</x:v>
      </x:c>
      <x:c r="F1574" s="17" t="n">
        <x:f>IF(AND(M1574,ISNUMBER(R1574)),IF(D1574="TEMPO_PROXY",R1574,IF(AND(ISNUMBER(S1574),S1574&gt;0,ISNUMBER(U1574)),U1574*R1574/S1574,"n.a.")),"n.a.")</x:f>
        <x:v>972937.822134536</x:v>
      </x:c>
      <x:c r="G1574" s="17" t="n">
        <x:f>IF(AND(ISNUMBER(E1574),ISNUMBER(F1574)),E1574-F1574,"n.a.")</x:f>
        <x:v>-654785.9521156289</x:v>
      </x:c>
      <x:c r="H1574" s="15" t="n">
        <x:f>IF(AND(ISNUMBER(E1574),ISNUMBER(F1574),F1574&gt;0),(E1574-F1574)/F1574,"n.a.")</x:f>
        <x:v>-0.6729987643805323</x:v>
      </x:c>
      <x:c r="I1574" s="19" t="n">
        <x:f>IF(ISNUMBER(H1574),ABS(H1574),"n.a.")</x:f>
        <x:v>0.6729987643805323</x:v>
      </x:c>
      <x:c r="J1574" s="2" t="str">
        <x:v>available</x:v>
      </x:c>
      <x:c r="K1574" s="2" t="n">
        <x:v>1</x:v>
      </x:c>
      <x:c r="L1574" s="13" t="b">
        <x:v>0</x:v>
      </x:c>
      <x:c r="M1574" s="13" t="b">
        <x:v>1</x:v>
      </x:c>
      <x:c r="N1574" s="2" t="str">
        <x:v>historical_GHSL_BU_estimate</x:v>
      </x:c>
      <x:c r="O1574" s="2" t="str"/>
      <x:c r="P1574" s="2" t="str">
        <x:v>horizontal built-up surface</x:v>
      </x:c>
      <x:c r="Q1574" s="2" t="str">
        <x:v>m2</x:v>
      </x:c>
      <x:c r="R1574" s="17" t="n">
        <x:v>360228.0020713806</x:v>
      </x:c>
      <x:c r="S1574" s="17" t="n">
        <x:v>118080.97</x:v>
      </x:c>
      <x:c r="T1574" s="18" t="n">
        <x:v>2.700894479440675</x:v>
      </x:c>
      <x:c r="U1574" s="17" t="n">
        <x:v>318924.24</x:v>
      </x:c>
      <x:c r="V1574" s="2" t="str">
        <x:v>Area equivalent = model2020 * WUP surface / TEMPO2020 footprint; km2 multiplied by1e6 once</x:v>
      </x:c>
      <x:c r="W1574" s="2" t="str">
        <x:v>L1_numeric_partition_qualified_not_national_completeness</x:v>
      </x:c>
      <x:c r="X1574" s="2" t="str">
        <x:v>https://human-settlement.emergency.copernicus.eu/datasets.php</x:v>
      </x:c>
    </x:row>
    <x:row r="1575" ht="23" customHeight="1">
      <x:c r="A1575" s="2" t="str">
        <x:v>VCT</x:v>
      </x:c>
      <x:c r="B1575" s="2" t="str">
        <x:v>Saint Vincent and the Grenadines</x:v>
      </x:c>
      <x:c r="C1575" s="2" t="n">
        <x:v>2015</x:v>
      </x:c>
      <x:c r="D1575" s="2" t="str">
        <x:v>WUP_SURFACE</x:v>
      </x:c>
      <x:c r="E1575" s="17" t="n">
        <x:v>5437525.574394897</x:v>
      </x:c>
      <x:c r="F1575" s="17" t="n">
        <x:f>IF(AND(M1575,ISNUMBER(R1575)),IF(D1575="TEMPO_PROXY",R1575,IF(AND(ISNUMBER(S1575),S1575&gt;0,ISNUMBER(U1575)),U1575*R1575/S1575,"n.a.")),"n.a.")</x:f>
        <x:v>8910689.012516629</x:v>
      </x:c>
      <x:c r="G1575" s="17" t="n">
        <x:f>IF(AND(ISNUMBER(E1575),ISNUMBER(F1575)),E1575-F1575,"n.a.")</x:f>
        <x:v>-3473163.4381217323</x:v>
      </x:c>
      <x:c r="H1575" s="15" t="n">
        <x:f>IF(AND(ISNUMBER(E1575),ISNUMBER(F1575),F1575&gt;0),(E1575-F1575)/F1575,"n.a.")</x:f>
        <x:v>-0.38977495828246994</x:v>
      </x:c>
      <x:c r="I1575" s="19" t="n">
        <x:f>IF(ISNUMBER(H1575),ABS(H1575),"n.a.")</x:f>
        <x:v>0.38977495828246994</x:v>
      </x:c>
      <x:c r="J1575" s="2" t="str">
        <x:v>available</x:v>
      </x:c>
      <x:c r="K1575" s="2" t="n">
        <x:v>1</x:v>
      </x:c>
      <x:c r="L1575" s="13" t="b">
        <x:v>0</x:v>
      </x:c>
      <x:c r="M1575" s="13" t="b">
        <x:v>1</x:v>
      </x:c>
      <x:c r="N1575" s="2" t="str">
        <x:v>historical_GHSL_BU_estimate</x:v>
      </x:c>
      <x:c r="O1575" s="2" t="str"/>
      <x:c r="P1575" s="2" t="str">
        <x:v>horizontal built-up surface</x:v>
      </x:c>
      <x:c r="Q1575" s="2" t="str">
        <x:v>m2</x:v>
      </x:c>
      <x:c r="R1575" s="17" t="n">
        <x:v>8910689.012516627</x:v>
      </x:c>
      <x:c r="S1575" s="17" t="n">
        <x:v>6194383.57</x:v>
      </x:c>
      <x:c r="T1575" s="18" t="n">
        <x:v>1.0000000000000002</x:v>
      </x:c>
      <x:c r="U1575" s="17" t="n">
        <x:v>6194383.570000002</x:v>
      </x:c>
      <x:c r="V1575" s="2" t="str">
        <x:v>Area equivalent = model2020 * WUP surface / TEMPO2020 footprint; km2 multiplied by1e6 once</x:v>
      </x:c>
      <x:c r="W1575" s="2" t="str">
        <x:v>L1_numeric_partition_qualified_not_national_completeness</x:v>
      </x:c>
      <x:c r="X1575" s="2" t="str">
        <x:v>https://human-settlement.emergency.copernicus.eu/datasets.php</x:v>
      </x:c>
    </x:row>
    <x:row r="1576" ht="23" customHeight="1">
      <x:c r="A1576" s="2" t="str">
        <x:v>VEN</x:v>
      </x:c>
      <x:c r="B1576" s="2" t="str">
        <x:v>Venezuela (Bolivarian Republic of)</x:v>
      </x:c>
      <x:c r="C1576" s="2" t="n">
        <x:v>2015</x:v>
      </x:c>
      <x:c r="D1576" s="2" t="str">
        <x:v>WUP_SURFACE</x:v>
      </x:c>
      <x:c r="E1576" s="17" t="n">
        <x:v>1114583415.3745449</x:v>
      </x:c>
      <x:c r="F1576" s="17" t="n">
        <x:f>IF(AND(M1576,ISNUMBER(R1576)),IF(D1576="TEMPO_PROXY",R1576,IF(AND(ISNUMBER(S1576),S1576&gt;0,ISNUMBER(U1576)),U1576*R1576/S1576,"n.a.")),"n.a.")</x:f>
        <x:v>1426336636.854167</x:v>
      </x:c>
      <x:c r="G1576" s="17" t="n">
        <x:f>IF(AND(ISNUMBER(E1576),ISNUMBER(F1576)),E1576-F1576,"n.a.")</x:f>
        <x:v>-311753221.4796221</x:v>
      </x:c>
      <x:c r="H1576" s="15" t="n">
        <x:f>IF(AND(ISNUMBER(E1576),ISNUMBER(F1576),F1576&gt;0),(E1576-F1576)/F1576,"n.a.")</x:f>
        <x:v>-0.21856917464253336</x:v>
      </x:c>
      <x:c r="I1576" s="19" t="n">
        <x:f>IF(ISNUMBER(H1576),ABS(H1576),"n.a.")</x:f>
        <x:v>0.21856917464253336</x:v>
      </x:c>
      <x:c r="J1576" s="2" t="str">
        <x:v>available</x:v>
      </x:c>
      <x:c r="K1576" s="2" t="n">
        <x:v>1</x:v>
      </x:c>
      <x:c r="L1576" s="13" t="b">
        <x:v>0</x:v>
      </x:c>
      <x:c r="M1576" s="13" t="b">
        <x:v>1</x:v>
      </x:c>
      <x:c r="N1576" s="2" t="str">
        <x:v>historical_GHSL_BU_estimate</x:v>
      </x:c>
      <x:c r="O1576" s="2" t="str"/>
      <x:c r="P1576" s="2" t="str">
        <x:v>horizontal built-up surface</x:v>
      </x:c>
      <x:c r="Q1576" s="2" t="str">
        <x:v>m2</x:v>
      </x:c>
      <x:c r="R1576" s="17" t="n">
        <x:v>1426336636.854165</x:v>
      </x:c>
      <x:c r="S1576" s="17" t="n">
        <x:v>1159546607.65</x:v>
      </x:c>
      <x:c r="T1576" s="18" t="n">
        <x:v>1.0000000000000013</x:v>
      </x:c>
      <x:c r="U1576" s="17" t="n">
        <x:v>1159546607.6500015</x:v>
      </x:c>
      <x:c r="V1576" s="2" t="str">
        <x:v>Area equivalent = model2020 * WUP surface / TEMPO2020 footprint; km2 multiplied by1e6 once</x:v>
      </x:c>
      <x:c r="W1576" s="2" t="str">
        <x:v>L1_numeric_partition_qualified_not_national_completeness</x:v>
      </x:c>
      <x:c r="X1576" s="2" t="str">
        <x:v>https://human-settlement.emergency.copernicus.eu/datasets.php</x:v>
      </x:c>
    </x:row>
    <x:row r="1577" ht="23" customHeight="1">
      <x:c r="A1577" s="2" t="str">
        <x:v>VNM</x:v>
      </x:c>
      <x:c r="B1577" s="2" t="str">
        <x:v>Viet Nam (Socialist Republic of)</x:v>
      </x:c>
      <x:c r="C1577" s="2" t="n">
        <x:v>2015</x:v>
      </x:c>
      <x:c r="D1577" s="2" t="str">
        <x:v>WUP_SURFACE</x:v>
      </x:c>
      <x:c r="E1577" s="17" t="n">
        <x:v>4452886125.717495</x:v>
      </x:c>
      <x:c r="F1577" s="17" t="n">
        <x:f>IF(AND(M1577,ISNUMBER(R1577)),IF(D1577="TEMPO_PROXY",R1577,IF(AND(ISNUMBER(S1577),S1577&gt;0,ISNUMBER(U1577)),U1577*R1577/S1577,"n.a.")),"n.a.")</x:f>
        <x:v>4779796784.191609</x:v>
      </x:c>
      <x:c r="G1577" s="17" t="n">
        <x:f>IF(AND(ISNUMBER(E1577),ISNUMBER(F1577)),E1577-F1577,"n.a.")</x:f>
        <x:v>-326910658.4741144</x:v>
      </x:c>
      <x:c r="H1577" s="15" t="n">
        <x:f>IF(AND(ISNUMBER(E1577),ISNUMBER(F1577),F1577&gt;0),(E1577-F1577)/F1577,"n.a.")</x:f>
        <x:v>-0.0683942588428273</x:v>
      </x:c>
      <x:c r="I1577" s="19" t="n">
        <x:f>IF(ISNUMBER(H1577),ABS(H1577),"n.a.")</x:f>
        <x:v>0.0683942588428273</x:v>
      </x:c>
      <x:c r="J1577" s="2" t="str">
        <x:v>available</x:v>
      </x:c>
      <x:c r="K1577" s="2" t="n">
        <x:v>1</x:v>
      </x:c>
      <x:c r="L1577" s="13" t="b">
        <x:v>0</x:v>
      </x:c>
      <x:c r="M1577" s="13" t="b">
        <x:v>1</x:v>
      </x:c>
      <x:c r="N1577" s="2" t="str">
        <x:v>historical_GHSL_BU_estimate</x:v>
      </x:c>
      <x:c r="O1577" s="2" t="str"/>
      <x:c r="P1577" s="2" t="str">
        <x:v>horizontal built-up surface</x:v>
      </x:c>
      <x:c r="Q1577" s="2" t="str">
        <x:v>m2</x:v>
      </x:c>
      <x:c r="R1577" s="17" t="n">
        <x:v>4694698636.455317</x:v>
      </x:c>
      <x:c r="S1577" s="17" t="n">
        <x:v>4775308196.86</x:v>
      </x:c>
      <x:c r="T1577" s="18" t="n">
        <x:v>1.0181264345863414</x:v>
      </x:c>
      <x:c r="U1577" s="17" t="n">
        <x:v>4861867508.520002</x:v>
      </x:c>
      <x:c r="V1577" s="2" t="str">
        <x:v>Area equivalent = model2020 * WUP surface / TEMPO2020 footprint; km2 multiplied by1e6 once</x:v>
      </x:c>
      <x:c r="W1577" s="2" t="str">
        <x:v>L1_numeric_partition_qualified_not_national_completeness</x:v>
      </x:c>
      <x:c r="X1577" s="2" t="str">
        <x:v>https://human-settlement.emergency.copernicus.eu/datasets.php</x:v>
      </x:c>
    </x:row>
    <x:row r="1578" ht="23" customHeight="1">
      <x:c r="A1578" s="2" t="str">
        <x:v>VUT</x:v>
      </x:c>
      <x:c r="B1578" s="2" t="str">
        <x:v>Vanuatu (Republic of)</x:v>
      </x:c>
      <x:c r="C1578" s="2" t="n">
        <x:v>2015</x:v>
      </x:c>
      <x:c r="D1578" s="2" t="str">
        <x:v>WUP_SURFACE</x:v>
      </x:c>
      <x:c r="E1578" s="17" t="n">
        <x:v>7978040.337147347</x:v>
      </x:c>
      <x:c r="F1578" s="17" t="n">
        <x:f>IF(AND(M1578,ISNUMBER(R1578)),IF(D1578="TEMPO_PROXY",R1578,IF(AND(ISNUMBER(S1578),S1578&gt;0,ISNUMBER(U1578)),U1578*R1578/S1578,"n.a.")),"n.a.")</x:f>
        <x:v>13471265.003626745</x:v>
      </x:c>
      <x:c r="G1578" s="17" t="n">
        <x:f>IF(AND(ISNUMBER(E1578),ISNUMBER(F1578)),E1578-F1578,"n.a.")</x:f>
        <x:v>-5493224.6664793985</x:v>
      </x:c>
      <x:c r="H1578" s="15" t="n">
        <x:f>IF(AND(ISNUMBER(E1578),ISNUMBER(F1578),F1578&gt;0),(E1578-F1578)/F1578,"n.a.")</x:f>
        <x:v>-0.40777348415315917</x:v>
      </x:c>
      <x:c r="I1578" s="19" t="n">
        <x:f>IF(ISNUMBER(H1578),ABS(H1578),"n.a.")</x:f>
        <x:v>0.40777348415315917</x:v>
      </x:c>
      <x:c r="J1578" s="2" t="str">
        <x:v>available</x:v>
      </x:c>
      <x:c r="K1578" s="2" t="n">
        <x:v>1</x:v>
      </x:c>
      <x:c r="L1578" s="13" t="b">
        <x:v>0</x:v>
      </x:c>
      <x:c r="M1578" s="13" t="b">
        <x:v>1</x:v>
      </x:c>
      <x:c r="N1578" s="2" t="str">
        <x:v>historical_GHSL_BU_estimate</x:v>
      </x:c>
      <x:c r="O1578" s="2" t="str"/>
      <x:c r="P1578" s="2" t="str">
        <x:v>horizontal built-up surface</x:v>
      </x:c>
      <x:c r="Q1578" s="2" t="str">
        <x:v>m2</x:v>
      </x:c>
      <x:c r="R1578" s="17" t="n">
        <x:v>13471265.00362674</x:v>
      </x:c>
      <x:c r="S1578" s="17" t="n">
        <x:v>8193524.7</x:v>
      </x:c>
      <x:c r="T1578" s="18" t="n">
        <x:v>1.0000000000000004</x:v>
      </x:c>
      <x:c r="U1578" s="17" t="n">
        <x:v>8193524.700000004</x:v>
      </x:c>
      <x:c r="V1578" s="2" t="str">
        <x:v>Area equivalent = model2020 * WUP surface / TEMPO2020 footprint; km2 multiplied by1e6 once</x:v>
      </x:c>
      <x:c r="W1578" s="2" t="str">
        <x:v>L1_numeric_partition_qualified_not_national_completeness</x:v>
      </x:c>
      <x:c r="X1578" s="2" t="str">
        <x:v>https://human-settlement.emergency.copernicus.eu/datasets.php</x:v>
      </x:c>
    </x:row>
    <x:row r="1579" ht="23" customHeight="1">
      <x:c r="A1579" s="2" t="str">
        <x:v>WSM</x:v>
      </x:c>
      <x:c r="B1579" s="2" t="str">
        <x:v>Samoa (Independent State of)</x:v>
      </x:c>
      <x:c r="C1579" s="2" t="n">
        <x:v>2015</x:v>
      </x:c>
      <x:c r="D1579" s="2" t="str">
        <x:v>WUP_SURFACE</x:v>
      </x:c>
      <x:c r="E1579" s="17" t="n">
        <x:v>7908634.666206749</x:v>
      </x:c>
      <x:c r="F1579" s="17" t="n">
        <x:f>IF(AND(M1579,ISNUMBER(R1579)),IF(D1579="TEMPO_PROXY",R1579,IF(AND(ISNUMBER(S1579),S1579&gt;0,ISNUMBER(U1579)),U1579*R1579/S1579,"n.a.")),"n.a.")</x:f>
        <x:v>15450814.97455533</x:v>
      </x:c>
      <x:c r="G1579" s="17" t="n">
        <x:f>IF(AND(ISNUMBER(E1579),ISNUMBER(F1579)),E1579-F1579,"n.a.")</x:f>
        <x:v>-7542180.308348581</x:v>
      </x:c>
      <x:c r="H1579" s="15" t="n">
        <x:f>IF(AND(ISNUMBER(E1579),ISNUMBER(F1579),F1579&gt;0),(E1579-F1579)/F1579,"n.a.")</x:f>
        <x:v>-0.48814126120655604</x:v>
      </x:c>
      <x:c r="I1579" s="19" t="n">
        <x:f>IF(ISNUMBER(H1579),ABS(H1579),"n.a.")</x:f>
        <x:v>0.48814126120655604</x:v>
      </x:c>
      <x:c r="J1579" s="2" t="str">
        <x:v>available</x:v>
      </x:c>
      <x:c r="K1579" s="2" t="n">
        <x:v>1</x:v>
      </x:c>
      <x:c r="L1579" s="13" t="b">
        <x:v>0</x:v>
      </x:c>
      <x:c r="M1579" s="13" t="b">
        <x:v>1</x:v>
      </x:c>
      <x:c r="N1579" s="2" t="str">
        <x:v>historical_GHSL_BU_estimate</x:v>
      </x:c>
      <x:c r="O1579" s="2" t="str"/>
      <x:c r="P1579" s="2" t="str">
        <x:v>horizontal built-up surface</x:v>
      </x:c>
      <x:c r="Q1579" s="2" t="str">
        <x:v>m2</x:v>
      </x:c>
      <x:c r="R1579" s="17" t="n">
        <x:v>15450814.974555328</x:v>
      </x:c>
      <x:c r="S1579" s="17" t="n">
        <x:v>8105266</x:v>
      </x:c>
      <x:c r="T1579" s="18" t="n">
        <x:v>1.0000000000000002</x:v>
      </x:c>
      <x:c r="U1579" s="17" t="n">
        <x:v>8105266.000000001</x:v>
      </x:c>
      <x:c r="V1579" s="2" t="str">
        <x:v>Area equivalent = model2020 * WUP surface / TEMPO2020 footprint; km2 multiplied by1e6 once</x:v>
      </x:c>
      <x:c r="W1579" s="2" t="str">
        <x:v>L1_numeric_partition_qualified_not_national_completeness</x:v>
      </x:c>
      <x:c r="X1579" s="2" t="str">
        <x:v>https://human-settlement.emergency.copernicus.eu/datasets.php</x:v>
      </x:c>
    </x:row>
    <x:row r="1580" ht="23" customHeight="1">
      <x:c r="A1580" s="2" t="str">
        <x:v>YEM</x:v>
      </x:c>
      <x:c r="B1580" s="2" t="str">
        <x:v>Yemen (Republic of)</x:v>
      </x:c>
      <x:c r="C1580" s="2" t="n">
        <x:v>2015</x:v>
      </x:c>
      <x:c r="D1580" s="2" t="str">
        <x:v>WUP_SURFACE</x:v>
      </x:c>
      <x:c r="E1580" s="17" t="n">
        <x:v>401216202.1769533</x:v>
      </x:c>
      <x:c r="F1580" s="17" t="n">
        <x:f>IF(AND(M1580,ISNUMBER(R1580)),IF(D1580="TEMPO_PROXY",R1580,IF(AND(ISNUMBER(S1580),S1580&gt;0,ISNUMBER(U1580)),U1580*R1580/S1580,"n.a.")),"n.a.")</x:f>
        <x:v>233559212.03228763</x:v>
      </x:c>
      <x:c r="G1580" s="17" t="n">
        <x:f>IF(AND(ISNUMBER(E1580),ISNUMBER(F1580)),E1580-F1580,"n.a.")</x:f>
        <x:v>167656990.1446657</x:v>
      </x:c>
      <x:c r="H1580" s="15" t="n">
        <x:f>IF(AND(ISNUMBER(E1580),ISNUMBER(F1580),F1580&gt;0),(E1580-F1580)/F1580,"n.a.")</x:f>
        <x:v>0.7178350564116841</x:v>
      </x:c>
      <x:c r="I1580" s="19" t="n">
        <x:f>IF(ISNUMBER(H1580),ABS(H1580),"n.a.")</x:f>
        <x:v>0.7178350564116841</x:v>
      </x:c>
      <x:c r="J1580" s="2" t="str">
        <x:v>available</x:v>
      </x:c>
      <x:c r="K1580" s="2" t="n">
        <x:v>1</x:v>
      </x:c>
      <x:c r="L1580" s="13" t="b">
        <x:v>0</x:v>
      </x:c>
      <x:c r="M1580" s="13" t="b">
        <x:v>1</x:v>
      </x:c>
      <x:c r="N1580" s="2" t="str">
        <x:v>historical_GHSL_BU_estimate</x:v>
      </x:c>
      <x:c r="O1580" s="2" t="str"/>
      <x:c r="P1580" s="2" t="str">
        <x:v>horizontal built-up surface</x:v>
      </x:c>
      <x:c r="Q1580" s="2" t="str">
        <x:v>m2</x:v>
      </x:c>
      <x:c r="R1580" s="17" t="n">
        <x:v>233559212.03228799</x:v>
      </x:c>
      <x:c r="S1580" s="17" t="n">
        <x:v>454480387.69</x:v>
      </x:c>
      <x:c r="T1580" s="18" t="n">
        <x:v>0.9999999999999984</x:v>
      </x:c>
      <x:c r="U1580" s="17" t="n">
        <x:v>454480387.6899993</x:v>
      </x:c>
      <x:c r="V1580" s="2" t="str">
        <x:v>Area equivalent = model2020 * WUP surface / TEMPO2020 footprint; km2 multiplied by1e6 once</x:v>
      </x:c>
      <x:c r="W1580" s="2" t="str">
        <x:v>L1_numeric_partition_qualified_not_national_completeness</x:v>
      </x:c>
      <x:c r="X1580" s="2" t="str">
        <x:v>https://human-settlement.emergency.copernicus.eu/datasets.php</x:v>
      </x:c>
    </x:row>
    <x:row r="1581" ht="23" customHeight="1">
      <x:c r="A1581" s="2" t="str">
        <x:v>ZAF</x:v>
      </x:c>
      <x:c r="B1581" s="2" t="str">
        <x:v>South Africa (Republic of)</x:v>
      </x:c>
      <x:c r="C1581" s="2" t="n">
        <x:v>2015</x:v>
      </x:c>
      <x:c r="D1581" s="2" t="str">
        <x:v>WUP_SURFACE</x:v>
      </x:c>
      <x:c r="E1581" s="17" t="n">
        <x:v>2389932427.550691</x:v>
      </x:c>
      <x:c r="F1581" s="17" t="n">
        <x:f>IF(AND(M1581,ISNUMBER(R1581)),IF(D1581="TEMPO_PROXY",R1581,IF(AND(ISNUMBER(S1581),S1581&gt;0,ISNUMBER(U1581)),U1581*R1581/S1581,"n.a.")),"n.a.")</x:f>
        <x:v>5631040846.467944</x:v>
      </x:c>
      <x:c r="G1581" s="17" t="n">
        <x:f>IF(AND(ISNUMBER(E1581),ISNUMBER(F1581)),E1581-F1581,"n.a.")</x:f>
        <x:v>-3241108418.917253</x:v>
      </x:c>
      <x:c r="H1581" s="15" t="n">
        <x:f>IF(AND(ISNUMBER(E1581),ISNUMBER(F1581),F1581&gt;0),(E1581-F1581)/F1581,"n.a.")</x:f>
        <x:v>-0.5755789217814377</x:v>
      </x:c>
      <x:c r="I1581" s="19" t="n">
        <x:f>IF(ISNUMBER(H1581),ABS(H1581),"n.a.")</x:f>
        <x:v>0.5755789217814377</x:v>
      </x:c>
      <x:c r="J1581" s="2" t="str">
        <x:v>available</x:v>
      </x:c>
      <x:c r="K1581" s="2" t="n">
        <x:v>1</x:v>
      </x:c>
      <x:c r="L1581" s="13" t="b">
        <x:v>0</x:v>
      </x:c>
      <x:c r="M1581" s="13" t="b">
        <x:v>1</x:v>
      </x:c>
      <x:c r="N1581" s="2" t="str">
        <x:v>historical_GHSL_BU_estimate</x:v>
      </x:c>
      <x:c r="O1581" s="2" t="str"/>
      <x:c r="P1581" s="2" t="str">
        <x:v>horizontal built-up surface</x:v>
      </x:c>
      <x:c r="Q1581" s="2" t="str">
        <x:v>m2</x:v>
      </x:c>
      <x:c r="R1581" s="17" t="n">
        <x:v>5631040846.467953</x:v>
      </x:c>
      <x:c r="S1581" s="17" t="n">
        <x:v>2711325840.61</x:v>
      </x:c>
      <x:c r="T1581" s="18" t="n">
        <x:v>0.9999999999999986</x:v>
      </x:c>
      <x:c r="U1581" s="17" t="n">
        <x:v>2711325840.6099963</x:v>
      </x:c>
      <x:c r="V1581" s="2" t="str">
        <x:v>Area equivalent = model2020 * WUP surface / TEMPO2020 footprint; km2 multiplied by1e6 once</x:v>
      </x:c>
      <x:c r="W1581" s="2" t="str">
        <x:v>L1_numeric_partition_qualified_not_national_completeness</x:v>
      </x:c>
      <x:c r="X1581" s="2" t="str">
        <x:v>https://human-settlement.emergency.copernicus.eu/datasets.php</x:v>
      </x:c>
    </x:row>
    <x:row r="1582" ht="23" customHeight="1">
      <x:c r="A1582" s="2" t="str">
        <x:v>ZMB</x:v>
      </x:c>
      <x:c r="B1582" s="2" t="str">
        <x:v>Zambia (Republic of)</x:v>
      </x:c>
      <x:c r="C1582" s="2" t="n">
        <x:v>2015</x:v>
      </x:c>
      <x:c r="D1582" s="2" t="str">
        <x:v>WUP_SURFACE</x:v>
      </x:c>
      <x:c r="E1582" s="17" t="n">
        <x:v>347701586.48264974</x:v>
      </x:c>
      <x:c r="F1582" s="17" t="n">
        <x:f>IF(AND(M1582,ISNUMBER(R1582)),IF(D1582="TEMPO_PROXY",R1582,IF(AND(ISNUMBER(S1582),S1582&gt;0,ISNUMBER(U1582)),U1582*R1582/S1582,"n.a.")),"n.a.")</x:f>
        <x:v>1210312645.5615823</x:v>
      </x:c>
      <x:c r="G1582" s="17" t="n">
        <x:f>IF(AND(ISNUMBER(E1582),ISNUMBER(F1582)),E1582-F1582,"n.a.")</x:f>
        <x:v>-862611059.0789325</x:v>
      </x:c>
      <x:c r="H1582" s="15" t="n">
        <x:f>IF(AND(ISNUMBER(E1582),ISNUMBER(F1582),F1582&gt;0),(E1582-F1582)/F1582,"n.a.")</x:f>
        <x:v>-0.7127175463647931</x:v>
      </x:c>
      <x:c r="I1582" s="19" t="n">
        <x:f>IF(ISNUMBER(H1582),ABS(H1582),"n.a.")</x:f>
        <x:v>0.7127175463647931</x:v>
      </x:c>
      <x:c r="J1582" s="2" t="str">
        <x:v>available</x:v>
      </x:c>
      <x:c r="K1582" s="2" t="n">
        <x:v>1</x:v>
      </x:c>
      <x:c r="L1582" s="13" t="b">
        <x:v>0</x:v>
      </x:c>
      <x:c r="M1582" s="13" t="b">
        <x:v>1</x:v>
      </x:c>
      <x:c r="N1582" s="2" t="str">
        <x:v>historical_GHSL_BU_estimate</x:v>
      </x:c>
      <x:c r="O1582" s="2" t="str"/>
      <x:c r="P1582" s="2" t="str">
        <x:v>horizontal built-up surface</x:v>
      </x:c>
      <x:c r="Q1582" s="2" t="str">
        <x:v>m2</x:v>
      </x:c>
      <x:c r="R1582" s="17" t="n">
        <x:v>1210312645.561583</x:v>
      </x:c>
      <x:c r="S1582" s="17" t="n">
        <x:v>396696842.5</x:v>
      </x:c>
      <x:c r="T1582" s="18" t="n">
        <x:v>0.9999999999999994</x:v>
      </x:c>
      <x:c r="U1582" s="17" t="n">
        <x:v>396696842.49999976</x:v>
      </x:c>
      <x:c r="V1582" s="2" t="str">
        <x:v>Area equivalent = model2020 * WUP surface / TEMPO2020 footprint; km2 multiplied by1e6 once</x:v>
      </x:c>
      <x:c r="W1582" s="2" t="str">
        <x:v>L1_numeric_partition_qualified_not_national_completeness</x:v>
      </x:c>
      <x:c r="X1582" s="2" t="str">
        <x:v>https://human-settlement.emergency.copernicus.eu/datasets.php</x:v>
      </x:c>
    </x:row>
    <x:row r="1583" ht="23" customHeight="1">
      <x:c r="A1583" s="2" t="str">
        <x:v>ZWE</x:v>
      </x:c>
      <x:c r="B1583" s="2" t="str">
        <x:v>Zimbabwe (Republic of)</x:v>
      </x:c>
      <x:c r="C1583" s="2" t="n">
        <x:v>2015</x:v>
      </x:c>
      <x:c r="D1583" s="2" t="str">
        <x:v>WUP_SURFACE</x:v>
      </x:c>
      <x:c r="E1583" s="17" t="n">
        <x:v>286327064.77887195</x:v>
      </x:c>
      <x:c r="F1583" s="17" t="n">
        <x:f>IF(AND(M1583,ISNUMBER(R1583)),IF(D1583="TEMPO_PROXY",R1583,IF(AND(ISNUMBER(S1583),S1583&gt;0,ISNUMBER(U1583)),U1583*R1583/S1583,"n.a.")),"n.a.")</x:f>
        <x:v>910501542.9779302</x:v>
      </x:c>
      <x:c r="G1583" s="17" t="n">
        <x:f>IF(AND(ISNUMBER(E1583),ISNUMBER(F1583)),E1583-F1583,"n.a.")</x:f>
        <x:v>-624174478.1990583</x:v>
      </x:c>
      <x:c r="H1583" s="15" t="n">
        <x:f>IF(AND(ISNUMBER(E1583),ISNUMBER(F1583),F1583&gt;0),(E1583-F1583)/F1583,"n.a.")</x:f>
        <x:v>-0.6855281937882315</x:v>
      </x:c>
      <x:c r="I1583" s="19" t="n">
        <x:f>IF(ISNUMBER(H1583),ABS(H1583),"n.a.")</x:f>
        <x:v>0.6855281937882315</x:v>
      </x:c>
      <x:c r="J1583" s="2" t="str">
        <x:v>available</x:v>
      </x:c>
      <x:c r="K1583" s="2" t="n">
        <x:v>1</x:v>
      </x:c>
      <x:c r="L1583" s="13" t="b">
        <x:v>0</x:v>
      </x:c>
      <x:c r="M1583" s="13" t="b">
        <x:v>1</x:v>
      </x:c>
      <x:c r="N1583" s="2" t="str">
        <x:v>historical_GHSL_BU_estimate</x:v>
      </x:c>
      <x:c r="O1583" s="2" t="str"/>
      <x:c r="P1583" s="2" t="str">
        <x:v>horizontal built-up surface</x:v>
      </x:c>
      <x:c r="Q1583" s="2" t="str">
        <x:v>m2</x:v>
      </x:c>
      <x:c r="R1583" s="17" t="n">
        <x:v>910501542.9779311</x:v>
      </x:c>
      <x:c r="S1583" s="17" t="n">
        <x:v>420425813.98</x:v>
      </x:c>
      <x:c r="T1583" s="18" t="n">
        <x:v>0.999999999999999</x:v>
      </x:c>
      <x:c r="U1583" s="17" t="n">
        <x:v>420425813.9799996</x:v>
      </x:c>
      <x:c r="V1583" s="2" t="str">
        <x:v>Area equivalent = model2020 * WUP surface / TEMPO2020 footprint; km2 multiplied by1e6 once</x:v>
      </x:c>
      <x:c r="W1583" s="2" t="str">
        <x:v>L1_numeric_partition_qualified_not_national_completeness</x:v>
      </x:c>
      <x:c r="X1583" s="2" t="str">
        <x:v>https://human-settlement.emergency.copernicus.eu/datasets.php</x:v>
      </x:c>
    </x:row>
    <x:row r="1584" ht="23" customHeight="1">
      <x:c r="A1584" s="2" t="str">
        <x:v>AFG</x:v>
      </x:c>
      <x:c r="B1584" s="2" t="str">
        <x:v>Afghanistan (Islamic Republic of)</x:v>
      </x:c>
      <x:c r="C1584" s="2" t="n">
        <x:v>2020</x:v>
      </x:c>
      <x:c r="D1584" s="2" t="str">
        <x:v>WUP_SURFACE</x:v>
      </x:c>
      <x:c r="E1584" s="17" t="n">
        <x:v>853208432.4500008</x:v>
      </x:c>
      <x:c r="F1584" s="17" t="n">
        <x:f>IF(AND(M1584,ISNUMBER(R1584)),IF(D1584="TEMPO_PROXY",R1584,IF(AND(ISNUMBER(S1584),S1584&gt;0,ISNUMBER(U1584)),U1584*R1584/S1584,"n.a.")),"n.a.")</x:f>
        <x:v>601855988.0311449</x:v>
      </x:c>
      <x:c r="G1584" s="17" t="n">
        <x:f>IF(AND(ISNUMBER(E1584),ISNUMBER(F1584)),E1584-F1584,"n.a.")</x:f>
        <x:v>251352444.4188559</x:v>
      </x:c>
      <x:c r="H1584" s="15" t="n">
        <x:f>IF(AND(ISNUMBER(E1584),ISNUMBER(F1584),F1584&gt;0),(E1584-F1584)/F1584,"n.a.")</x:f>
        <x:v>0.4176288836821358</x:v>
      </x:c>
      <x:c r="I1584" s="19" t="n">
        <x:f>IF(ISNUMBER(H1584),ABS(H1584),"n.a.")</x:f>
        <x:v>0.4176288836821358</x:v>
      </x:c>
      <x:c r="J1584" s="2" t="str">
        <x:v>available</x:v>
      </x:c>
      <x:c r="K1584" s="2" t="n">
        <x:v>1</x:v>
      </x:c>
      <x:c r="L1584" s="13" t="b">
        <x:v>0</x:v>
      </x:c>
      <x:c r="M1584" s="13" t="b">
        <x:v>1</x:v>
      </x:c>
      <x:c r="N1584" s="2" t="str">
        <x:v>historical_GHSL_BU_estimate</x:v>
      </x:c>
      <x:c r="O1584" s="2" t="str"/>
      <x:c r="P1584" s="2" t="str">
        <x:v>horizontal built-up surface</x:v>
      </x:c>
      <x:c r="Q1584" s="2" t="str">
        <x:v>m2</x:v>
      </x:c>
      <x:c r="R1584" s="17" t="n">
        <x:v>601855988.0311444</x:v>
      </x:c>
      <x:c r="S1584" s="17" t="n">
        <x:v>853208432.45</x:v>
      </x:c>
      <x:c r="T1584" s="18" t="n">
        <x:v>1.0000000000000009</x:v>
      </x:c>
      <x:c r="U1584" s="17" t="n">
        <x:v>853208432.4500008</x:v>
      </x:c>
      <x:c r="V1584" s="2" t="str">
        <x:v>Area equivalent = model2020 * WUP surface / TEMPO2020 footprint; km2 multiplied by1e6 once</x:v>
      </x:c>
      <x:c r="W1584" s="2" t="str">
        <x:v>L1_numeric_partition_qualified_not_national_completeness</x:v>
      </x:c>
      <x:c r="X1584" s="2" t="str">
        <x:v>https://human-settlement.emergency.copernicus.eu/datasets.php</x:v>
      </x:c>
    </x:row>
    <x:row r="1585" ht="23" customHeight="1">
      <x:c r="A1585" s="2" t="str">
        <x:v>AGO</x:v>
      </x:c>
      <x:c r="B1585" s="2" t="str">
        <x:v>Angola (Republic of)</x:v>
      </x:c>
      <x:c r="C1585" s="2" t="n">
        <x:v>2020</x:v>
      </x:c>
      <x:c r="D1585" s="2" t="str">
        <x:v>WUP_SURFACE</x:v>
      </x:c>
      <x:c r="E1585" s="17" t="n">
        <x:v>512504617.85999936</x:v>
      </x:c>
      <x:c r="F1585" s="17" t="n">
        <x:f>IF(AND(M1585,ISNUMBER(R1585)),IF(D1585="TEMPO_PROXY",R1585,IF(AND(ISNUMBER(S1585),S1585&gt;0,ISNUMBER(U1585)),U1585*R1585/S1585,"n.a.")),"n.a.")</x:f>
        <x:v>1289840103.6551063</x:v>
      </x:c>
      <x:c r="G1585" s="17" t="n">
        <x:f>IF(AND(ISNUMBER(E1585),ISNUMBER(F1585)),E1585-F1585,"n.a.")</x:f>
        <x:v>-777335485.7951069</x:v>
      </x:c>
      <x:c r="H1585" s="15" t="n">
        <x:f>IF(AND(ISNUMBER(E1585),ISNUMBER(F1585),F1585&gt;0),(E1585-F1585)/F1585,"n.a.")</x:f>
        <x:v>-0.6026603480480404</x:v>
      </x:c>
      <x:c r="I1585" s="19" t="n">
        <x:f>IF(ISNUMBER(H1585),ABS(H1585),"n.a.")</x:f>
        <x:v>0.6026603480480404</x:v>
      </x:c>
      <x:c r="J1585" s="2" t="str">
        <x:v>available</x:v>
      </x:c>
      <x:c r="K1585" s="2" t="n">
        <x:v>1</x:v>
      </x:c>
      <x:c r="L1585" s="13" t="b">
        <x:v>0</x:v>
      </x:c>
      <x:c r="M1585" s="13" t="b">
        <x:v>1</x:v>
      </x:c>
      <x:c r="N1585" s="2" t="str">
        <x:v>historical_GHSL_BU_estimate</x:v>
      </x:c>
      <x:c r="O1585" s="2" t="str"/>
      <x:c r="P1585" s="2" t="str">
        <x:v>horizontal built-up surface</x:v>
      </x:c>
      <x:c r="Q1585" s="2" t="str">
        <x:v>m2</x:v>
      </x:c>
      <x:c r="R1585" s="17" t="n">
        <x:v>1289840103.655108</x:v>
      </x:c>
      <x:c r="S1585" s="17" t="n">
        <x:v>512504617.86</x:v>
      </x:c>
      <x:c r="T1585" s="18" t="n">
        <x:v>0.9999999999999987</x:v>
      </x:c>
      <x:c r="U1585" s="17" t="n">
        <x:v>512504617.85999936</x:v>
      </x:c>
      <x:c r="V1585" s="2" t="str">
        <x:v>Area equivalent = model2020 * WUP surface / TEMPO2020 footprint; km2 multiplied by1e6 once</x:v>
      </x:c>
      <x:c r="W1585" s="2" t="str">
        <x:v>L1_numeric_partition_qualified_not_national_completeness</x:v>
      </x:c>
      <x:c r="X1585" s="2" t="str">
        <x:v>https://human-settlement.emergency.copernicus.eu/datasets.php</x:v>
      </x:c>
    </x:row>
    <x:row r="1586" ht="23" customHeight="1">
      <x:c r="A1586" s="2" t="str">
        <x:v>ALB</x:v>
      </x:c>
      <x:c r="B1586" s="2" t="str">
        <x:v>Albania (Republic of)</x:v>
      </x:c>
      <x:c r="C1586" s="2" t="n">
        <x:v>2020</x:v>
      </x:c>
      <x:c r="D1586" s="2" t="str">
        <x:v>WUP_SURFACE</x:v>
      </x:c>
      <x:c r="E1586" s="17" t="n">
        <x:v>161276383.52000022</x:v>
      </x:c>
      <x:c r="F1586" s="17" t="n">
        <x:f>IF(AND(M1586,ISNUMBER(R1586)),IF(D1586="TEMPO_PROXY",R1586,IF(AND(ISNUMBER(S1586),S1586&gt;0,ISNUMBER(U1586)),U1586*R1586/S1586,"n.a.")),"n.a.")</x:f>
        <x:v>239435354.92663476</x:v>
      </x:c>
      <x:c r="G1586" s="17" t="n">
        <x:f>IF(AND(ISNUMBER(E1586),ISNUMBER(F1586)),E1586-F1586,"n.a.")</x:f>
        <x:v>-78158971.40663454</x:v>
      </x:c>
      <x:c r="H1586" s="15" t="n">
        <x:f>IF(AND(ISNUMBER(E1586),ISNUMBER(F1586),F1586&gt;0),(E1586-F1586)/F1586,"n.a.")</x:f>
        <x:v>-0.3264303696109674</x:v>
      </x:c>
      <x:c r="I1586" s="19" t="n">
        <x:f>IF(ISNUMBER(H1586),ABS(H1586),"n.a.")</x:f>
        <x:v>0.3264303696109674</x:v>
      </x:c>
      <x:c r="J1586" s="2" t="str">
        <x:v>available</x:v>
      </x:c>
      <x:c r="K1586" s="2" t="n">
        <x:v>1</x:v>
      </x:c>
      <x:c r="L1586" s="13" t="b">
        <x:v>0</x:v>
      </x:c>
      <x:c r="M1586" s="13" t="b">
        <x:v>1</x:v>
      </x:c>
      <x:c r="N1586" s="2" t="str">
        <x:v>historical_GHSL_BU_estimate</x:v>
      </x:c>
      <x:c r="O1586" s="2" t="str"/>
      <x:c r="P1586" s="2" t="str">
        <x:v>horizontal built-up surface</x:v>
      </x:c>
      <x:c r="Q1586" s="2" t="str">
        <x:v>m2</x:v>
      </x:c>
      <x:c r="R1586" s="17" t="n">
        <x:v>239435354.92663443</x:v>
      </x:c>
      <x:c r="S1586" s="17" t="n">
        <x:v>161276383.52</x:v>
      </x:c>
      <x:c r="T1586" s="18" t="n">
        <x:v>1.0000000000000013</x:v>
      </x:c>
      <x:c r="U1586" s="17" t="n">
        <x:v>161276383.52000022</x:v>
      </x:c>
      <x:c r="V1586" s="2" t="str">
        <x:v>Area equivalent = model2020 * WUP surface / TEMPO2020 footprint; km2 multiplied by1e6 once</x:v>
      </x:c>
      <x:c r="W1586" s="2" t="str">
        <x:v>L1_numeric_partition_qualified_not_national_completeness</x:v>
      </x:c>
      <x:c r="X1586" s="2" t="str">
        <x:v>https://human-settlement.emergency.copernicus.eu/datasets.php</x:v>
      </x:c>
    </x:row>
    <x:row r="1587" ht="23" customHeight="1">
      <x:c r="A1587" s="2" t="str">
        <x:v>AND</x:v>
      </x:c>
      <x:c r="B1587" s="2" t="str">
        <x:v>Andorra (Principality of)</x:v>
      </x:c>
      <x:c r="C1587" s="2" t="n">
        <x:v>2020</x:v>
      </x:c>
      <x:c r="D1587" s="2" t="str">
        <x:v>WUP_SURFACE</x:v>
      </x:c>
      <x:c r="E1587" s="17" t="n">
        <x:v>2995448.5899999994</x:v>
      </x:c>
      <x:c r="F1587" s="17" t="n">
        <x:f>IF(AND(M1587,ISNUMBER(R1587)),IF(D1587="TEMPO_PROXY",R1587,IF(AND(ISNUMBER(S1587),S1587&gt;0,ISNUMBER(U1587)),U1587*R1587/S1587,"n.a.")),"n.a.")</x:f>
        <x:v>3034890.201953891</x:v>
      </x:c>
      <x:c r="G1587" s="17" t="n">
        <x:f>IF(AND(ISNUMBER(E1587),ISNUMBER(F1587)),E1587-F1587,"n.a.")</x:f>
        <x:v>-39441.611953891814</x:v>
      </x:c>
      <x:c r="H1587" s="15" t="n">
        <x:f>IF(AND(ISNUMBER(E1587),ISNUMBER(F1587),F1587&gt;0),(E1587-F1587)/F1587,"n.a.")</x:f>
        <x:v>-0.012996058944240859</x:v>
      </x:c>
      <x:c r="I1587" s="19" t="n">
        <x:f>IF(ISNUMBER(H1587),ABS(H1587),"n.a.")</x:f>
        <x:v>0.012996058944240859</x:v>
      </x:c>
      <x:c r="J1587" s="2" t="str">
        <x:v>available</x:v>
      </x:c>
      <x:c r="K1587" s="2" t="n">
        <x:v>1</x:v>
      </x:c>
      <x:c r="L1587" s="13" t="b">
        <x:v>0</x:v>
      </x:c>
      <x:c r="M1587" s="13" t="b">
        <x:v>1</x:v>
      </x:c>
      <x:c r="N1587" s="2" t="str">
        <x:v>historical_GHSL_BU_estimate</x:v>
      </x:c>
      <x:c r="O1587" s="2" t="str"/>
      <x:c r="P1587" s="2" t="str">
        <x:v>horizontal built-up surface</x:v>
      </x:c>
      <x:c r="Q1587" s="2" t="str">
        <x:v>m2</x:v>
      </x:c>
      <x:c r="R1587" s="17" t="n">
        <x:v>2238287.009914984</x:v>
      </x:c>
      <x:c r="S1587" s="17" t="n">
        <x:v>2209198.1</x:v>
      </x:c>
      <x:c r="T1587" s="18" t="n">
        <x:v>1.3558985905338228</x:v>
      </x:c>
      <x:c r="U1587" s="17" t="n">
        <x:v>2995448.5899999994</x:v>
      </x:c>
      <x:c r="V1587" s="2" t="str">
        <x:v>Area equivalent = model2020 * WUP surface / TEMPO2020 footprint; km2 multiplied by1e6 once</x:v>
      </x:c>
      <x:c r="W1587" s="2" t="str">
        <x:v>L1_numeric_partition_qualified_not_national_completeness</x:v>
      </x:c>
      <x:c r="X1587" s="2" t="str">
        <x:v>https://human-settlement.emergency.copernicus.eu/datasets.php</x:v>
      </x:c>
    </x:row>
    <x:row r="1588" ht="23" customHeight="1">
      <x:c r="A1588" s="2" t="str">
        <x:v>ARE</x:v>
      </x:c>
      <x:c r="B1588" s="2" t="str">
        <x:v>United Arab Emirates</x:v>
      </x:c>
      <x:c r="C1588" s="2" t="n">
        <x:v>2020</x:v>
      </x:c>
      <x:c r="D1588" s="2" t="str">
        <x:v>WUP_SURFACE</x:v>
      </x:c>
      <x:c r="E1588" s="17" t="n">
        <x:v>511804054.8699995</x:v>
      </x:c>
      <x:c r="F1588" s="17" t="n">
        <x:f>IF(AND(M1588,ISNUMBER(R1588)),IF(D1588="TEMPO_PROXY",R1588,IF(AND(ISNUMBER(S1588),S1588&gt;0,ISNUMBER(U1588)),U1588*R1588/S1588,"n.a.")),"n.a.")</x:f>
        <x:v>712091898.5218849</x:v>
      </x:c>
      <x:c r="G1588" s="17" t="n">
        <x:f>IF(AND(ISNUMBER(E1588),ISNUMBER(F1588)),E1588-F1588,"n.a.")</x:f>
        <x:v>-200287843.6518854</x:v>
      </x:c>
      <x:c r="H1588" s="15" t="n">
        <x:f>IF(AND(ISNUMBER(E1588),ISNUMBER(F1588),F1588&gt;0),(E1588-F1588)/F1588,"n.a.")</x:f>
        <x:v>-0.2812668478150505</x:v>
      </x:c>
      <x:c r="I1588" s="19" t="n">
        <x:f>IF(ISNUMBER(H1588),ABS(H1588),"n.a.")</x:f>
        <x:v>0.2812668478150505</x:v>
      </x:c>
      <x:c r="J1588" s="2" t="str">
        <x:v>available</x:v>
      </x:c>
      <x:c r="K1588" s="2" t="n">
        <x:v>1</x:v>
      </x:c>
      <x:c r="L1588" s="13" t="b">
        <x:v>0</x:v>
      </x:c>
      <x:c r="M1588" s="13" t="b">
        <x:v>1</x:v>
      </x:c>
      <x:c r="N1588" s="2" t="str">
        <x:v>historical_GHSL_BU_estimate</x:v>
      </x:c>
      <x:c r="O1588" s="2" t="str"/>
      <x:c r="P1588" s="2" t="str">
        <x:v>horizontal built-up surface</x:v>
      </x:c>
      <x:c r="Q1588" s="2" t="str">
        <x:v>m2</x:v>
      </x:c>
      <x:c r="R1588" s="17" t="n">
        <x:v>638456291.4414136</x:v>
      </x:c>
      <x:c r="S1588" s="17" t="n">
        <x:v>458879702.88</x:v>
      </x:c>
      <x:c r="T1588" s="18" t="n">
        <x:v>1.1153338263990282</x:v>
      </x:c>
      <x:c r="U1588" s="17" t="n">
        <x:v>511804054.8699995</x:v>
      </x:c>
      <x:c r="V1588" s="2" t="str">
        <x:v>Area equivalent = model2020 * WUP surface / TEMPO2020 footprint; km2 multiplied by1e6 once</x:v>
      </x:c>
      <x:c r="W1588" s="2" t="str">
        <x:v>L1_numeric_partition_qualified_not_national_completeness</x:v>
      </x:c>
      <x:c r="X1588" s="2" t="str">
        <x:v>https://human-settlement.emergency.copernicus.eu/datasets.php</x:v>
      </x:c>
    </x:row>
    <x:row r="1589" ht="23" customHeight="1">
      <x:c r="A1589" s="2" t="str">
        <x:v>ARG</x:v>
      </x:c>
      <x:c r="B1589" s="2" t="str">
        <x:v>Argentina (Argentine Republic)</x:v>
      </x:c>
      <x:c r="C1589" s="2" t="n">
        <x:v>2020</x:v>
      </x:c>
      <x:c r="D1589" s="2" t="str">
        <x:v>WUP_SURFACE</x:v>
      </x:c>
      <x:c r="E1589" s="17" t="n">
        <x:v>2382940448.399998</x:v>
      </x:c>
      <x:c r="F1589" s="17" t="n">
        <x:f>IF(AND(M1589,ISNUMBER(R1589)),IF(D1589="TEMPO_PROXY",R1589,IF(AND(ISNUMBER(S1589),S1589&gt;0,ISNUMBER(U1589)),U1589*R1589/S1589,"n.a.")),"n.a.")</x:f>
        <x:v>3943294133.4848638</x:v>
      </x:c>
      <x:c r="G1589" s="17" t="n">
        <x:f>IF(AND(ISNUMBER(E1589),ISNUMBER(F1589)),E1589-F1589,"n.a.")</x:f>
        <x:v>-1560353685.0848656</x:v>
      </x:c>
      <x:c r="H1589" s="15" t="n">
        <x:f>IF(AND(ISNUMBER(E1589),ISNUMBER(F1589),F1589&gt;0),(E1589-F1589)/F1589,"n.a.")</x:f>
        <x:v>-0.39569802106187596</x:v>
      </x:c>
      <x:c r="I1589" s="19" t="n">
        <x:f>IF(ISNUMBER(H1589),ABS(H1589),"n.a.")</x:f>
        <x:v>0.39569802106187596</x:v>
      </x:c>
      <x:c r="J1589" s="2" t="str">
        <x:v>available</x:v>
      </x:c>
      <x:c r="K1589" s="2" t="n">
        <x:v>1</x:v>
      </x:c>
      <x:c r="L1589" s="13" t="b">
        <x:v>0</x:v>
      </x:c>
      <x:c r="M1589" s="13" t="b">
        <x:v>1</x:v>
      </x:c>
      <x:c r="N1589" s="2" t="str">
        <x:v>historical_GHSL_BU_estimate</x:v>
      </x:c>
      <x:c r="O1589" s="2" t="str"/>
      <x:c r="P1589" s="2" t="str">
        <x:v>horizontal built-up surface</x:v>
      </x:c>
      <x:c r="Q1589" s="2" t="str">
        <x:v>m2</x:v>
      </x:c>
      <x:c r="R1589" s="17" t="n">
        <x:v>3943294133.4848666</x:v>
      </x:c>
      <x:c r="S1589" s="17" t="n">
        <x:v>2382940448.4</x:v>
      </x:c>
      <x:c r="T1589" s="18" t="n">
        <x:v>0.9999999999999992</x:v>
      </x:c>
      <x:c r="U1589" s="17" t="n">
        <x:v>2382940448.399998</x:v>
      </x:c>
      <x:c r="V1589" s="2" t="str">
        <x:v>Area equivalent = model2020 * WUP surface / TEMPO2020 footprint; km2 multiplied by1e6 once</x:v>
      </x:c>
      <x:c r="W1589" s="2" t="str">
        <x:v>L1_numeric_partition_qualified_not_national_completeness</x:v>
      </x:c>
      <x:c r="X1589" s="2" t="str">
        <x:v>https://human-settlement.emergency.copernicus.eu/datasets.php</x:v>
      </x:c>
    </x:row>
    <x:row r="1590" ht="23" customHeight="1">
      <x:c r="A1590" s="2" t="str">
        <x:v>ARM</x:v>
      </x:c>
      <x:c r="B1590" s="2" t="str">
        <x:v>Armenia (Republic of)</x:v>
      </x:c>
      <x:c r="C1590" s="2" t="n">
        <x:v>2020</x:v>
      </x:c>
      <x:c r="D1590" s="2" t="str">
        <x:v>WUP_SURFACE</x:v>
      </x:c>
      <x:c r="E1590" s="17" t="n">
        <x:v>142786500.21000025</x:v>
      </x:c>
      <x:c r="F1590" s="17" t="n">
        <x:f>IF(AND(M1590,ISNUMBER(R1590)),IF(D1590="TEMPO_PROXY",R1590,IF(AND(ISNUMBER(S1590),S1590&gt;0,ISNUMBER(U1590)),U1590*R1590/S1590,"n.a.")),"n.a.")</x:f>
        <x:v>222480262.77362886</x:v>
      </x:c>
      <x:c r="G1590" s="17" t="n">
        <x:f>IF(AND(ISNUMBER(E1590),ISNUMBER(F1590)),E1590-F1590,"n.a.")</x:f>
        <x:v>-79693762.56362861</x:v>
      </x:c>
      <x:c r="H1590" s="15" t="n">
        <x:f>IF(AND(ISNUMBER(E1590),ISNUMBER(F1590),F1590&gt;0),(E1590-F1590)/F1590,"n.a.")</x:f>
        <x:v>-0.3582059890171746</x:v>
      </x:c>
      <x:c r="I1590" s="19" t="n">
        <x:f>IF(ISNUMBER(H1590),ABS(H1590),"n.a.")</x:f>
        <x:v>0.3582059890171746</x:v>
      </x:c>
      <x:c r="J1590" s="2" t="str">
        <x:v>available</x:v>
      </x:c>
      <x:c r="K1590" s="2" t="n">
        <x:v>1</x:v>
      </x:c>
      <x:c r="L1590" s="13" t="b">
        <x:v>0</x:v>
      </x:c>
      <x:c r="M1590" s="13" t="b">
        <x:v>1</x:v>
      </x:c>
      <x:c r="N1590" s="2" t="str">
        <x:v>historical_GHSL_BU_estimate</x:v>
      </x:c>
      <x:c r="O1590" s="2" t="str"/>
      <x:c r="P1590" s="2" t="str">
        <x:v>horizontal built-up surface</x:v>
      </x:c>
      <x:c r="Q1590" s="2" t="str">
        <x:v>m2</x:v>
      </x:c>
      <x:c r="R1590" s="17" t="n">
        <x:v>222480262.7736285</x:v>
      </x:c>
      <x:c r="S1590" s="17" t="n">
        <x:v>142786500.21</x:v>
      </x:c>
      <x:c r="T1590" s="18" t="n">
        <x:v>1.0000000000000018</x:v>
      </x:c>
      <x:c r="U1590" s="17" t="n">
        <x:v>142786500.21000025</x:v>
      </x:c>
      <x:c r="V1590" s="2" t="str">
        <x:v>Area equivalent = model2020 * WUP surface / TEMPO2020 footprint; km2 multiplied by1e6 once</x:v>
      </x:c>
      <x:c r="W1590" s="2" t="str">
        <x:v>L1_numeric_partition_qualified_not_national_completeness</x:v>
      </x:c>
      <x:c r="X1590" s="2" t="str">
        <x:v>https://human-settlement.emergency.copernicus.eu/datasets.php</x:v>
      </x:c>
    </x:row>
    <x:row r="1591" ht="23" customHeight="1">
      <x:c r="A1591" s="2" t="str">
        <x:v>ATG</x:v>
      </x:c>
      <x:c r="B1591" s="2" t="str">
        <x:v>Antigua and Barbuda</x:v>
      </x:c>
      <x:c r="C1591" s="2" t="n">
        <x:v>2020</x:v>
      </x:c>
      <x:c r="D1591" s="2" t="str">
        <x:v>WUP_SURFACE</x:v>
      </x:c>
      <x:c r="E1591" s="17" t="n">
        <x:v>7437404.659999999</x:v>
      </x:c>
      <x:c r="F1591" s="17" t="n">
        <x:f>IF(AND(M1591,ISNUMBER(R1591)),IF(D1591="TEMPO_PROXY",R1591,IF(AND(ISNUMBER(S1591),S1591&gt;0,ISNUMBER(U1591)),U1591*R1591/S1591,"n.a.")),"n.a.")</x:f>
        <x:v>14728033.995858137</x:v>
      </x:c>
      <x:c r="G1591" s="17" t="n">
        <x:f>IF(AND(ISNUMBER(E1591),ISNUMBER(F1591)),E1591-F1591,"n.a.")</x:f>
        <x:v>-7290629.335858137</x:v>
      </x:c>
      <x:c r="H1591" s="15" t="n">
        <x:f>IF(AND(ISNUMBER(E1591),ISNUMBER(F1591),F1591&gt;0),(E1591-F1591)/F1591,"n.a.")</x:f>
        <x:v>-0.49501714471248714</x:v>
      </x:c>
      <x:c r="I1591" s="19" t="n">
        <x:f>IF(ISNUMBER(H1591),ABS(H1591),"n.a.")</x:f>
        <x:v>0.49501714471248714</x:v>
      </x:c>
      <x:c r="J1591" s="2" t="str">
        <x:v>available</x:v>
      </x:c>
      <x:c r="K1591" s="2" t="n">
        <x:v>1</x:v>
      </x:c>
      <x:c r="L1591" s="13" t="b">
        <x:v>0</x:v>
      </x:c>
      <x:c r="M1591" s="13" t="b">
        <x:v>1</x:v>
      </x:c>
      <x:c r="N1591" s="2" t="str">
        <x:v>historical_GHSL_BU_estimate</x:v>
      </x:c>
      <x:c r="O1591" s="2" t="str"/>
      <x:c r="P1591" s="2" t="str">
        <x:v>horizontal built-up surface</x:v>
      </x:c>
      <x:c r="Q1591" s="2" t="str">
        <x:v>m2</x:v>
      </x:c>
      <x:c r="R1591" s="17" t="n">
        <x:v>14728033.99585814</x:v>
      </x:c>
      <x:c r="S1591" s="17" t="n">
        <x:v>7437404.66</x:v>
      </x:c>
      <x:c r="T1591" s="18" t="n">
        <x:v>0.9999999999999999</x:v>
      </x:c>
      <x:c r="U1591" s="17" t="n">
        <x:v>7437404.659999999</x:v>
      </x:c>
      <x:c r="V1591" s="2" t="str">
        <x:v>Area equivalent = model2020 * WUP surface / TEMPO2020 footprint; km2 multiplied by1e6 once</x:v>
      </x:c>
      <x:c r="W1591" s="2" t="str">
        <x:v>L1_numeric_partition_qualified_not_national_completeness</x:v>
      </x:c>
      <x:c r="X1591" s="2" t="str">
        <x:v>https://human-settlement.emergency.copernicus.eu/datasets.php</x:v>
      </x:c>
    </x:row>
    <x:row r="1592" ht="23" customHeight="1">
      <x:c r="A1592" s="2" t="str">
        <x:v>AUS</x:v>
      </x:c>
      <x:c r="B1592" s="2" t="str">
        <x:v>Australia (Commonwealth of)</x:v>
      </x:c>
      <x:c r="C1592" s="2" t="n">
        <x:v>2020</x:v>
      </x:c>
      <x:c r="D1592" s="2" t="str">
        <x:v>WUP_SURFACE</x:v>
      </x:c>
      <x:c r="E1592" s="17" t="n">
        <x:v>3011161094.8599973</x:v>
      </x:c>
      <x:c r="F1592" s="17" t="n">
        <x:f>IF(AND(M1592,ISNUMBER(R1592)),IF(D1592="TEMPO_PROXY",R1592,IF(AND(ISNUMBER(S1592),S1592&gt;0,ISNUMBER(U1592)),U1592*R1592/S1592,"n.a.")),"n.a.")</x:f>
        <x:v>5111320190.100872</x:v>
      </x:c>
      <x:c r="G1592" s="17" t="n">
        <x:f>IF(AND(ISNUMBER(E1592),ISNUMBER(F1592)),E1592-F1592,"n.a.")</x:f>
        <x:v>-2100159095.2408748</x:v>
      </x:c>
      <x:c r="H1592" s="15" t="n">
        <x:f>IF(AND(ISNUMBER(E1592),ISNUMBER(F1592),F1592&gt;0),(E1592-F1592)/F1592,"n.a.")</x:f>
        <x:v>-0.4108838846191375</x:v>
      </x:c>
      <x:c r="I1592" s="19" t="n">
        <x:f>IF(ISNUMBER(H1592),ABS(H1592),"n.a.")</x:f>
        <x:v>0.4108838846191375</x:v>
      </x:c>
      <x:c r="J1592" s="2" t="str">
        <x:v>available</x:v>
      </x:c>
      <x:c r="K1592" s="2" t="n">
        <x:v>1</x:v>
      </x:c>
      <x:c r="L1592" s="13" t="b">
        <x:v>0</x:v>
      </x:c>
      <x:c r="M1592" s="13" t="b">
        <x:v>1</x:v>
      </x:c>
      <x:c r="N1592" s="2" t="str">
        <x:v>historical_GHSL_BU_estimate</x:v>
      </x:c>
      <x:c r="O1592" s="2" t="str"/>
      <x:c r="P1592" s="2" t="str">
        <x:v>horizontal built-up surface</x:v>
      </x:c>
      <x:c r="Q1592" s="2" t="str">
        <x:v>m2</x:v>
      </x:c>
      <x:c r="R1592" s="17" t="n">
        <x:v>5111320190.100877</x:v>
      </x:c>
      <x:c r="S1592" s="17" t="n">
        <x:v>3011161094.86</x:v>
      </x:c>
      <x:c r="T1592" s="18" t="n">
        <x:v>0.999999999999999</x:v>
      </x:c>
      <x:c r="U1592" s="17" t="n">
        <x:v>3011161094.8599973</x:v>
      </x:c>
      <x:c r="V1592" s="2" t="str">
        <x:v>Area equivalent = model2020 * WUP surface / TEMPO2020 footprint; km2 multiplied by1e6 once</x:v>
      </x:c>
      <x:c r="W1592" s="2" t="str">
        <x:v>L1_numeric_partition_qualified_not_national_completeness</x:v>
      </x:c>
      <x:c r="X1592" s="2" t="str">
        <x:v>https://human-settlement.emergency.copernicus.eu/datasets.php</x:v>
      </x:c>
    </x:row>
    <x:row r="1593" ht="23" customHeight="1">
      <x:c r="A1593" s="2" t="str">
        <x:v>AUT</x:v>
      </x:c>
      <x:c r="B1593" s="2" t="str">
        <x:v>Austria (Republic of)</x:v>
      </x:c>
      <x:c r="C1593" s="2" t="n">
        <x:v>2020</x:v>
      </x:c>
      <x:c r="D1593" s="2" t="str">
        <x:v>WUP_SURFACE</x:v>
      </x:c>
      <x:c r="E1593" s="17" t="n">
        <x:v>865496536.0700006</x:v>
      </x:c>
      <x:c r="F1593" s="17" t="n">
        <x:f>IF(AND(M1593,ISNUMBER(R1593)),IF(D1593="TEMPO_PROXY",R1593,IF(AND(ISNUMBER(S1593),S1593&gt;0,ISNUMBER(U1593)),U1593*R1593/S1593,"n.a.")),"n.a.")</x:f>
        <x:v>1157601871.4766154</x:v>
      </x:c>
      <x:c r="G1593" s="17" t="n">
        <x:f>IF(AND(ISNUMBER(E1593),ISNUMBER(F1593)),E1593-F1593,"n.a.")</x:f>
        <x:v>-292105335.4066148</x:v>
      </x:c>
      <x:c r="H1593" s="15" t="n">
        <x:f>IF(AND(ISNUMBER(E1593),ISNUMBER(F1593),F1593&gt;0),(E1593-F1593)/F1593,"n.a.")</x:f>
        <x:v>-0.2523366129617695</x:v>
      </x:c>
      <x:c r="I1593" s="19" t="n">
        <x:f>IF(ISNUMBER(H1593),ABS(H1593),"n.a.")</x:f>
        <x:v>0.2523366129617695</x:v>
      </x:c>
      <x:c r="J1593" s="2" t="str">
        <x:v>available</x:v>
      </x:c>
      <x:c r="K1593" s="2" t="n">
        <x:v>1</x:v>
      </x:c>
      <x:c r="L1593" s="13" t="b">
        <x:v>0</x:v>
      </x:c>
      <x:c r="M1593" s="13" t="b">
        <x:v>1</x:v>
      </x:c>
      <x:c r="N1593" s="2" t="str">
        <x:v>historical_GHSL_BU_estimate</x:v>
      </x:c>
      <x:c r="O1593" s="2" t="str"/>
      <x:c r="P1593" s="2" t="str">
        <x:v>horizontal built-up surface</x:v>
      </x:c>
      <x:c r="Q1593" s="2" t="str">
        <x:v>m2</x:v>
      </x:c>
      <x:c r="R1593" s="17" t="n">
        <x:v>1140614141.503219</x:v>
      </x:c>
      <x:c r="S1593" s="17" t="n">
        <x:v>852795432.34</x:v>
      </x:c>
      <x:c r="T1593" s="18" t="n">
        <x:v>1.014893494088201</x:v>
      </x:c>
      <x:c r="U1593" s="17" t="n">
        <x:v>865496536.0700006</x:v>
      </x:c>
      <x:c r="V1593" s="2" t="str">
        <x:v>Area equivalent = model2020 * WUP surface / TEMPO2020 footprint; km2 multiplied by1e6 once</x:v>
      </x:c>
      <x:c r="W1593" s="2" t="str">
        <x:v>L1_numeric_partition_qualified_not_national_completeness</x:v>
      </x:c>
      <x:c r="X1593" s="2" t="str">
        <x:v>https://human-settlement.emergency.copernicus.eu/datasets.php</x:v>
      </x:c>
    </x:row>
    <x:row r="1594" ht="23" customHeight="1">
      <x:c r="A1594" s="2" t="str">
        <x:v>AZE</x:v>
      </x:c>
      <x:c r="B1594" s="2" t="str">
        <x:v>Azerbaijan (Republic of)</x:v>
      </x:c>
      <x:c r="C1594" s="2" t="n">
        <x:v>2020</x:v>
      </x:c>
      <x:c r="D1594" s="2" t="str">
        <x:v>WUP_SURFACE</x:v>
      </x:c>
      <x:c r="E1594" s="17" t="n">
        <x:v>507953272.9000006</x:v>
      </x:c>
      <x:c r="F1594" s="17" t="n">
        <x:f>IF(AND(M1594,ISNUMBER(R1594)),IF(D1594="TEMPO_PROXY",R1594,IF(AND(ISNUMBER(S1594),S1594&gt;0,ISNUMBER(U1594)),U1594*R1594/S1594,"n.a.")),"n.a.")</x:f>
        <x:v>846314460.4218591</x:v>
      </x:c>
      <x:c r="G1594" s="17" t="n">
        <x:f>IF(AND(ISNUMBER(E1594),ISNUMBER(F1594)),E1594-F1594,"n.a.")</x:f>
        <x:v>-338361187.5218586</x:v>
      </x:c>
      <x:c r="H1594" s="15" t="n">
        <x:f>IF(AND(ISNUMBER(E1594),ISNUMBER(F1594),F1594&gt;0),(E1594-F1594)/F1594,"n.a.")</x:f>
        <x:v>-0.3998055136068418</x:v>
      </x:c>
      <x:c r="I1594" s="19" t="n">
        <x:f>IF(ISNUMBER(H1594),ABS(H1594),"n.a.")</x:f>
        <x:v>0.3998055136068418</x:v>
      </x:c>
      <x:c r="J1594" s="2" t="str">
        <x:v>available</x:v>
      </x:c>
      <x:c r="K1594" s="2" t="n">
        <x:v>1</x:v>
      </x:c>
      <x:c r="L1594" s="13" t="b">
        <x:v>0</x:v>
      </x:c>
      <x:c r="M1594" s="13" t="b">
        <x:v>1</x:v>
      </x:c>
      <x:c r="N1594" s="2" t="str">
        <x:v>historical_GHSL_BU_estimate</x:v>
      </x:c>
      <x:c r="O1594" s="2" t="str"/>
      <x:c r="P1594" s="2" t="str">
        <x:v>horizontal built-up surface</x:v>
      </x:c>
      <x:c r="Q1594" s="2" t="str">
        <x:v>m2</x:v>
      </x:c>
      <x:c r="R1594" s="17" t="n">
        <x:v>846314460.4218581</x:v>
      </x:c>
      <x:c r="S1594" s="17" t="n">
        <x:v>507953272.9</x:v>
      </x:c>
      <x:c r="T1594" s="18" t="n">
        <x:v>1.000000000000001</x:v>
      </x:c>
      <x:c r="U1594" s="17" t="n">
        <x:v>507953272.9000006</x:v>
      </x:c>
      <x:c r="V1594" s="2" t="str">
        <x:v>Area equivalent = model2020 * WUP surface / TEMPO2020 footprint; km2 multiplied by1e6 once</x:v>
      </x:c>
      <x:c r="W1594" s="2" t="str">
        <x:v>L1_numeric_partition_qualified_not_national_completeness</x:v>
      </x:c>
      <x:c r="X1594" s="2" t="str">
        <x:v>https://human-settlement.emergency.copernicus.eu/datasets.php</x:v>
      </x:c>
    </x:row>
    <x:row r="1595" ht="23" customHeight="1">
      <x:c r="A1595" s="2" t="str">
        <x:v>BDI</x:v>
      </x:c>
      <x:c r="B1595" s="2" t="str">
        <x:v>Burundi (Republic of)</x:v>
      </x:c>
      <x:c r="C1595" s="2" t="n">
        <x:v>2020</x:v>
      </x:c>
      <x:c r="D1595" s="2" t="str">
        <x:v>WUP_SURFACE</x:v>
      </x:c>
      <x:c r="E1595" s="17" t="n">
        <x:v>147710691.6100001</x:v>
      </x:c>
      <x:c r="F1595" s="17" t="n">
        <x:f>IF(AND(M1595,ISNUMBER(R1595)),IF(D1595="TEMPO_PROXY",R1595,IF(AND(ISNUMBER(S1595),S1595&gt;0,ISNUMBER(U1595)),U1595*R1595/S1595,"n.a.")),"n.a.")</x:f>
        <x:v>423016836.0330502</x:v>
      </x:c>
      <x:c r="G1595" s="17" t="n">
        <x:f>IF(AND(ISNUMBER(E1595),ISNUMBER(F1595)),E1595-F1595,"n.a.")</x:f>
        <x:v>-275306144.42305005</x:v>
      </x:c>
      <x:c r="H1595" s="15" t="n">
        <x:f>IF(AND(ISNUMBER(E1595),ISNUMBER(F1595),F1595&gt;0),(E1595-F1595)/F1595,"n.a.")</x:f>
        <x:v>-0.6508160455380562</x:v>
      </x:c>
      <x:c r="I1595" s="19" t="n">
        <x:f>IF(ISNUMBER(H1595),ABS(H1595),"n.a.")</x:f>
        <x:v>0.6508160455380562</x:v>
      </x:c>
      <x:c r="J1595" s="2" t="str">
        <x:v>available</x:v>
      </x:c>
      <x:c r="K1595" s="2" t="n">
        <x:v>1</x:v>
      </x:c>
      <x:c r="L1595" s="13" t="b">
        <x:v>0</x:v>
      </x:c>
      <x:c r="M1595" s="13" t="b">
        <x:v>1</x:v>
      </x:c>
      <x:c r="N1595" s="2" t="str">
        <x:v>historical_GHSL_BU_estimate</x:v>
      </x:c>
      <x:c r="O1595" s="2" t="str"/>
      <x:c r="P1595" s="2" t="str">
        <x:v>horizontal built-up surface</x:v>
      </x:c>
      <x:c r="Q1595" s="2" t="str">
        <x:v>m2</x:v>
      </x:c>
      <x:c r="R1595" s="17" t="n">
        <x:v>423016836.03304994</x:v>
      </x:c>
      <x:c r="S1595" s="17" t="n">
        <x:v>147710691.61</x:v>
      </x:c>
      <x:c r="T1595" s="18" t="n">
        <x:v>1.0000000000000007</x:v>
      </x:c>
      <x:c r="U1595" s="17" t="n">
        <x:v>147710691.6100001</x:v>
      </x:c>
      <x:c r="V1595" s="2" t="str">
        <x:v>Area equivalent = model2020 * WUP surface / TEMPO2020 footprint; km2 multiplied by1e6 once</x:v>
      </x:c>
      <x:c r="W1595" s="2" t="str">
        <x:v>L1_numeric_partition_qualified_not_national_completeness</x:v>
      </x:c>
      <x:c r="X1595" s="2" t="str">
        <x:v>https://human-settlement.emergency.copernicus.eu/datasets.php</x:v>
      </x:c>
    </x:row>
    <x:row r="1596" ht="23" customHeight="1">
      <x:c r="A1596" s="2" t="str">
        <x:v>BEL</x:v>
      </x:c>
      <x:c r="B1596" s="2" t="str">
        <x:v>Belgium (Kingdom of)</x:v>
      </x:c>
      <x:c r="C1596" s="2" t="n">
        <x:v>2020</x:v>
      </x:c>
      <x:c r="D1596" s="2" t="str">
        <x:v>WUP_SURFACE</x:v>
      </x:c>
      <x:c r="E1596" s="17" t="n">
        <x:v>1079109698.0100002</x:v>
      </x:c>
      <x:c r="F1596" s="17" t="n">
        <x:f>IF(AND(M1596,ISNUMBER(R1596)),IF(D1596="TEMPO_PROXY",R1596,IF(AND(ISNUMBER(S1596),S1596&gt;0,ISNUMBER(U1596)),U1596*R1596/S1596,"n.a.")),"n.a.")</x:f>
        <x:v>1639065199.1143904</x:v>
      </x:c>
      <x:c r="G1596" s="17" t="n">
        <x:f>IF(AND(ISNUMBER(E1596),ISNUMBER(F1596)),E1596-F1596,"n.a.")</x:f>
        <x:v>-559955501.1043901</x:v>
      </x:c>
      <x:c r="H1596" s="15" t="n">
        <x:f>IF(AND(ISNUMBER(E1596),ISNUMBER(F1596),F1596&gt;0),(E1596-F1596)/F1596,"n.a.")</x:f>
        <x:v>-0.3416310110219788</x:v>
      </x:c>
      <x:c r="I1596" s="19" t="n">
        <x:f>IF(ISNUMBER(H1596),ABS(H1596),"n.a.")</x:f>
        <x:v>0.3416310110219788</x:v>
      </x:c>
      <x:c r="J1596" s="2" t="str">
        <x:v>available</x:v>
      </x:c>
      <x:c r="K1596" s="2" t="n">
        <x:v>1</x:v>
      </x:c>
      <x:c r="L1596" s="13" t="b">
        <x:v>0</x:v>
      </x:c>
      <x:c r="M1596" s="13" t="b">
        <x:v>1</x:v>
      </x:c>
      <x:c r="N1596" s="2" t="str">
        <x:v>historical_GHSL_BU_estimate</x:v>
      </x:c>
      <x:c r="O1596" s="2" t="str"/>
      <x:c r="P1596" s="2" t="str">
        <x:v>horizontal built-up surface</x:v>
      </x:c>
      <x:c r="Q1596" s="2" t="str">
        <x:v>m2</x:v>
      </x:c>
      <x:c r="R1596" s="17" t="n">
        <x:v>1515116058.1065893</x:v>
      </x:c>
      <x:c r="S1596" s="17" t="n">
        <x:v>997505427.36</x:v>
      </x:c>
      <x:c r="T1596" s="18" t="n">
        <x:v>1.0818083475154359</x:v>
      </x:c>
      <x:c r="U1596" s="17" t="n">
        <x:v>1079109698.0100002</x:v>
      </x:c>
      <x:c r="V1596" s="2" t="str">
        <x:v>Area equivalent = model2020 * WUP surface / TEMPO2020 footprint; km2 multiplied by1e6 once</x:v>
      </x:c>
      <x:c r="W1596" s="2" t="str">
        <x:v>L1_numeric_partition_qualified_not_national_completeness</x:v>
      </x:c>
      <x:c r="X1596" s="2" t="str">
        <x:v>https://human-settlement.emergency.copernicus.eu/datasets.php</x:v>
      </x:c>
    </x:row>
    <x:row r="1597" ht="23" customHeight="1">
      <x:c r="A1597" s="2" t="str">
        <x:v>BEN</x:v>
      </x:c>
      <x:c r="B1597" s="2" t="str">
        <x:v>Benin (Republic of)</x:v>
      </x:c>
      <x:c r="C1597" s="2" t="n">
        <x:v>2020</x:v>
      </x:c>
      <x:c r="D1597" s="2" t="str">
        <x:v>WUP_SURFACE</x:v>
      </x:c>
      <x:c r="E1597" s="17" t="n">
        <x:v>302038367.25</x:v>
      </x:c>
      <x:c r="F1597" s="17" t="n">
        <x:f>IF(AND(M1597,ISNUMBER(R1597)),IF(D1597="TEMPO_PROXY",R1597,IF(AND(ISNUMBER(S1597),S1597&gt;0,ISNUMBER(U1597)),U1597*R1597/S1597,"n.a.")),"n.a.")</x:f>
        <x:v>735384103.9916569</x:v>
      </x:c>
      <x:c r="G1597" s="17" t="n">
        <x:f>IF(AND(ISNUMBER(E1597),ISNUMBER(F1597)),E1597-F1597,"n.a.")</x:f>
        <x:v>-433345736.7416569</x:v>
      </x:c>
      <x:c r="H1597" s="15" t="n">
        <x:f>IF(AND(ISNUMBER(E1597),ISNUMBER(F1597),F1597&gt;0),(E1597-F1597)/F1597,"n.a.")</x:f>
        <x:v>-0.5892780852747034</x:v>
      </x:c>
      <x:c r="I1597" s="19" t="n">
        <x:f>IF(ISNUMBER(H1597),ABS(H1597),"n.a.")</x:f>
        <x:v>0.5892780852747034</x:v>
      </x:c>
      <x:c r="J1597" s="2" t="str">
        <x:v>available</x:v>
      </x:c>
      <x:c r="K1597" s="2" t="n">
        <x:v>1</x:v>
      </x:c>
      <x:c r="L1597" s="13" t="b">
        <x:v>0</x:v>
      </x:c>
      <x:c r="M1597" s="13" t="b">
        <x:v>1</x:v>
      </x:c>
      <x:c r="N1597" s="2" t="str">
        <x:v>historical_GHSL_BU_estimate</x:v>
      </x:c>
      <x:c r="O1597" s="2" t="str"/>
      <x:c r="P1597" s="2" t="str">
        <x:v>horizontal built-up surface</x:v>
      </x:c>
      <x:c r="Q1597" s="2" t="str">
        <x:v>m2</x:v>
      </x:c>
      <x:c r="R1597" s="17" t="n">
        <x:v>735384103.9916569</x:v>
      </x:c>
      <x:c r="S1597" s="17" t="n">
        <x:v>302038367.25</x:v>
      </x:c>
      <x:c r="T1597" s="18" t="n">
        <x:v>1</x:v>
      </x:c>
      <x:c r="U1597" s="17" t="n">
        <x:v>302038367.25</x:v>
      </x:c>
      <x:c r="V1597" s="2" t="str">
        <x:v>Area equivalent = model2020 * WUP surface / TEMPO2020 footprint; km2 multiplied by1e6 once</x:v>
      </x:c>
      <x:c r="W1597" s="2" t="str">
        <x:v>L1_numeric_partition_qualified_not_national_completeness</x:v>
      </x:c>
      <x:c r="X1597" s="2" t="str">
        <x:v>https://human-settlement.emergency.copernicus.eu/datasets.php</x:v>
      </x:c>
    </x:row>
    <x:row r="1598" ht="23" customHeight="1">
      <x:c r="A1598" s="2" t="str">
        <x:v>BFA</x:v>
      </x:c>
      <x:c r="B1598" s="2" t="str">
        <x:v>Burkina Faso</x:v>
      </x:c>
      <x:c r="C1598" s="2" t="n">
        <x:v>2020</x:v>
      </x:c>
      <x:c r="D1598" s="2" t="str">
        <x:v>WUP_SURFACE</x:v>
      </x:c>
      <x:c r="E1598" s="17" t="n">
        <x:v>359180891.3500002</x:v>
      </x:c>
      <x:c r="F1598" s="17" t="n">
        <x:f>IF(AND(M1598,ISNUMBER(R1598)),IF(D1598="TEMPO_PROXY",R1598,IF(AND(ISNUMBER(S1598),S1598&gt;0,ISNUMBER(U1598)),U1598*R1598/S1598,"n.a.")),"n.a.")</x:f>
        <x:v>1249029390.2846818</x:v>
      </x:c>
      <x:c r="G1598" s="17" t="n">
        <x:f>IF(AND(ISNUMBER(E1598),ISNUMBER(F1598)),E1598-F1598,"n.a.")</x:f>
        <x:v>-889848498.9346817</x:v>
      </x:c>
      <x:c r="H1598" s="15" t="n">
        <x:f>IF(AND(ISNUMBER(E1598),ISNUMBER(F1598),F1598&gt;0),(E1598-F1598)/F1598,"n.a.")</x:f>
        <x:v>-0.7124319938795557</x:v>
      </x:c>
      <x:c r="I1598" s="19" t="n">
        <x:f>IF(ISNUMBER(H1598),ABS(H1598),"n.a.")</x:f>
        <x:v>0.7124319938795557</x:v>
      </x:c>
      <x:c r="J1598" s="2" t="str">
        <x:v>available</x:v>
      </x:c>
      <x:c r="K1598" s="2" t="n">
        <x:v>1</x:v>
      </x:c>
      <x:c r="L1598" s="13" t="b">
        <x:v>0</x:v>
      </x:c>
      <x:c r="M1598" s="13" t="b">
        <x:v>1</x:v>
      </x:c>
      <x:c r="N1598" s="2" t="str">
        <x:v>historical_GHSL_BU_estimate</x:v>
      </x:c>
      <x:c r="O1598" s="2" t="str"/>
      <x:c r="P1598" s="2" t="str">
        <x:v>horizontal built-up surface</x:v>
      </x:c>
      <x:c r="Q1598" s="2" t="str">
        <x:v>m2</x:v>
      </x:c>
      <x:c r="R1598" s="17" t="n">
        <x:v>1249029390.284681</x:v>
      </x:c>
      <x:c r="S1598" s="17" t="n">
        <x:v>359180891.35</x:v>
      </x:c>
      <x:c r="T1598" s="18" t="n">
        <x:v>1.0000000000000004</x:v>
      </x:c>
      <x:c r="U1598" s="17" t="n">
        <x:v>359180891.3500002</x:v>
      </x:c>
      <x:c r="V1598" s="2" t="str">
        <x:v>Area equivalent = model2020 * WUP surface / TEMPO2020 footprint; km2 multiplied by1e6 once</x:v>
      </x:c>
      <x:c r="W1598" s="2" t="str">
        <x:v>L1_numeric_partition_qualified_not_national_completeness</x:v>
      </x:c>
      <x:c r="X1598" s="2" t="str">
        <x:v>https://human-settlement.emergency.copernicus.eu/datasets.php</x:v>
      </x:c>
    </x:row>
    <x:row r="1599" ht="23" customHeight="1">
      <x:c r="A1599" s="2" t="str">
        <x:v>BGD</x:v>
      </x:c>
      <x:c r="B1599" s="2" t="str">
        <x:v>Bangladesh (People's Republic of)</x:v>
      </x:c>
      <x:c r="C1599" s="2" t="n">
        <x:v>2020</x:v>
      </x:c>
      <x:c r="D1599" s="2" t="str">
        <x:v>WUP_SURFACE</x:v>
      </x:c>
      <x:c r="E1599" s="17" t="n">
        <x:v>2430930564.5499988</x:v>
      </x:c>
      <x:c r="F1599" s="17" t="n">
        <x:f>IF(AND(M1599,ISNUMBER(R1599)),IF(D1599="TEMPO_PROXY",R1599,IF(AND(ISNUMBER(S1599),S1599&gt;0,ISNUMBER(U1599)),U1599*R1599/S1599,"n.a.")),"n.a.")</x:f>
        <x:v>2684733057.844608</x:v>
      </x:c>
      <x:c r="G1599" s="17" t="n">
        <x:f>IF(AND(ISNUMBER(E1599),ISNUMBER(F1599)),E1599-F1599,"n.a.")</x:f>
        <x:v>-253802493.29460907</x:v>
      </x:c>
      <x:c r="H1599" s="15" t="n">
        <x:f>IF(AND(ISNUMBER(E1599),ISNUMBER(F1599),F1599&gt;0),(E1599-F1599)/F1599,"n.a.")</x:f>
        <x:v>-0.09453546696309914</x:v>
      </x:c>
      <x:c r="I1599" s="19" t="n">
        <x:f>IF(ISNUMBER(H1599),ABS(H1599),"n.a.")</x:f>
        <x:v>0.09453546696309914</x:v>
      </x:c>
      <x:c r="J1599" s="2" t="str">
        <x:v>available</x:v>
      </x:c>
      <x:c r="K1599" s="2" t="n">
        <x:v>1</x:v>
      </x:c>
      <x:c r="L1599" s="13" t="b">
        <x:v>0</x:v>
      </x:c>
      <x:c r="M1599" s="13" t="b">
        <x:v>1</x:v>
      </x:c>
      <x:c r="N1599" s="2" t="str">
        <x:v>historical_GHSL_BU_estimate</x:v>
      </x:c>
      <x:c r="O1599" s="2" t="str"/>
      <x:c r="P1599" s="2" t="str">
        <x:v>horizontal built-up surface</x:v>
      </x:c>
      <x:c r="Q1599" s="2" t="str">
        <x:v>m2</x:v>
      </x:c>
      <x:c r="R1599" s="17" t="n">
        <x:v>2684733057.8446093</x:v>
      </x:c>
      <x:c r="S1599" s="17" t="n">
        <x:v>2430930564.55</x:v>
      </x:c>
      <x:c r="T1599" s="18" t="n">
        <x:v>0.9999999999999994</x:v>
      </x:c>
      <x:c r="U1599" s="17" t="n">
        <x:v>2430930564.5499988</x:v>
      </x:c>
      <x:c r="V1599" s="2" t="str">
        <x:v>Area equivalent = model2020 * WUP surface / TEMPO2020 footprint; km2 multiplied by1e6 once</x:v>
      </x:c>
      <x:c r="W1599" s="2" t="str">
        <x:v>L1_numeric_partition_qualified_not_national_completeness</x:v>
      </x:c>
      <x:c r="X1599" s="2" t="str">
        <x:v>https://human-settlement.emergency.copernicus.eu/datasets.php</x:v>
      </x:c>
    </x:row>
    <x:row r="1600" ht="23" customHeight="1">
      <x:c r="A1600" s="2" t="str">
        <x:v>BGR</x:v>
      </x:c>
      <x:c r="B1600" s="2" t="str">
        <x:v>Bulgaria (Republic of)</x:v>
      </x:c>
      <x:c r="C1600" s="2" t="n">
        <x:v>2020</x:v>
      </x:c>
      <x:c r="D1600" s="2" t="str">
        <x:v>WUP_SURFACE</x:v>
      </x:c>
      <x:c r="E1600" s="17" t="n">
        <x:v>543020803.5700008</x:v>
      </x:c>
      <x:c r="F1600" s="17" t="n">
        <x:f>IF(AND(M1600,ISNUMBER(R1600)),IF(D1600="TEMPO_PROXY",R1600,IF(AND(ISNUMBER(S1600),S1600&gt;0,ISNUMBER(U1600)),U1600*R1600/S1600,"n.a.")),"n.a.")</x:f>
        <x:v>864626173.1732122</x:v>
      </x:c>
      <x:c r="G1600" s="17" t="n">
        <x:f>IF(AND(ISNUMBER(E1600),ISNUMBER(F1600)),E1600-F1600,"n.a.")</x:f>
        <x:v>-321605369.6032114</x:v>
      </x:c>
      <x:c r="H1600" s="15" t="n">
        <x:f>IF(AND(ISNUMBER(E1600),ISNUMBER(F1600),F1600&gt;0),(E1600-F1600)/F1600,"n.a.")</x:f>
        <x:v>-0.3719588645147151</x:v>
      </x:c>
      <x:c r="I1600" s="19" t="n">
        <x:f>IF(ISNUMBER(H1600),ABS(H1600),"n.a.")</x:f>
        <x:v>0.3719588645147151</x:v>
      </x:c>
      <x:c r="J1600" s="2" t="str">
        <x:v>available</x:v>
      </x:c>
      <x:c r="K1600" s="2" t="n">
        <x:v>1</x:v>
      </x:c>
      <x:c r="L1600" s="13" t="b">
        <x:v>0</x:v>
      </x:c>
      <x:c r="M1600" s="13" t="b">
        <x:v>1</x:v>
      </x:c>
      <x:c r="N1600" s="2" t="str">
        <x:v>historical_GHSL_BU_estimate</x:v>
      </x:c>
      <x:c r="O1600" s="2" t="str"/>
      <x:c r="P1600" s="2" t="str">
        <x:v>horizontal built-up surface</x:v>
      </x:c>
      <x:c r="Q1600" s="2" t="str">
        <x:v>m2</x:v>
      </x:c>
      <x:c r="R1600" s="17" t="n">
        <x:v>864626173.1732111</x:v>
      </x:c>
      <x:c r="S1600" s="17" t="n">
        <x:v>543020803.57</x:v>
      </x:c>
      <x:c r="T1600" s="18" t="n">
        <x:v>1.0000000000000013</x:v>
      </x:c>
      <x:c r="U1600" s="17" t="n">
        <x:v>543020803.5700008</x:v>
      </x:c>
      <x:c r="V1600" s="2" t="str">
        <x:v>Area equivalent = model2020 * WUP surface / TEMPO2020 footprint; km2 multiplied by1e6 once</x:v>
      </x:c>
      <x:c r="W1600" s="2" t="str">
        <x:v>L1_numeric_partition_qualified_not_national_completeness</x:v>
      </x:c>
      <x:c r="X1600" s="2" t="str">
        <x:v>https://human-settlement.emergency.copernicus.eu/datasets.php</x:v>
      </x:c>
    </x:row>
    <x:row r="1601" ht="23" customHeight="1">
      <x:c r="A1601" s="2" t="str">
        <x:v>BHR</x:v>
      </x:c>
      <x:c r="B1601" s="2" t="str">
        <x:v>Bahrain (Kingdom of)</x:v>
      </x:c>
      <x:c r="C1601" s="2" t="n">
        <x:v>2020</x:v>
      </x:c>
      <x:c r="D1601" s="2" t="str">
        <x:v>WUP_SURFACE</x:v>
      </x:c>
      <x:c r="E1601" s="17" t="n">
        <x:v>63702858.11000008</x:v>
      </x:c>
      <x:c r="F1601" s="17" t="n">
        <x:f>IF(AND(M1601,ISNUMBER(R1601)),IF(D1601="TEMPO_PROXY",R1601,IF(AND(ISNUMBER(S1601),S1601&gt;0,ISNUMBER(U1601)),U1601*R1601/S1601,"n.a.")),"n.a.")</x:f>
        <x:v>95791200.54523726</x:v>
      </x:c>
      <x:c r="G1601" s="17" t="n">
        <x:f>IF(AND(ISNUMBER(E1601),ISNUMBER(F1601)),E1601-F1601,"n.a.")</x:f>
        <x:v>-32088342.435237177</x:v>
      </x:c>
      <x:c r="H1601" s="15" t="n">
        <x:f>IF(AND(ISNUMBER(E1601),ISNUMBER(F1601),F1601&gt;0),(E1601-F1601)/F1601,"n.a.")</x:f>
        <x:v>-0.334982151310271</x:v>
      </x:c>
      <x:c r="I1601" s="19" t="n">
        <x:f>IF(ISNUMBER(H1601),ABS(H1601),"n.a.")</x:f>
        <x:v>0.334982151310271</x:v>
      </x:c>
      <x:c r="J1601" s="2" t="str">
        <x:v>available</x:v>
      </x:c>
      <x:c r="K1601" s="2" t="n">
        <x:v>1</x:v>
      </x:c>
      <x:c r="L1601" s="13" t="b">
        <x:v>0</x:v>
      </x:c>
      <x:c r="M1601" s="13" t="b">
        <x:v>1</x:v>
      </x:c>
      <x:c r="N1601" s="2" t="str">
        <x:v>historical_GHSL_BU_estimate</x:v>
      </x:c>
      <x:c r="O1601" s="2" t="str"/>
      <x:c r="P1601" s="2" t="str">
        <x:v>horizontal built-up surface</x:v>
      </x:c>
      <x:c r="Q1601" s="2" t="str">
        <x:v>m2</x:v>
      </x:c>
      <x:c r="R1601" s="17" t="n">
        <x:v>82288563.04807505</x:v>
      </x:c>
      <x:c r="S1601" s="17" t="n">
        <x:v>54723363.17</x:v>
      </x:c>
      <x:c r="T1601" s="18" t="n">
        <x:v>1.1640888720984668</x:v>
      </x:c>
      <x:c r="U1601" s="17" t="n">
        <x:v>63702858.11000008</x:v>
      </x:c>
      <x:c r="V1601" s="2" t="str">
        <x:v>Area equivalent = model2020 * WUP surface / TEMPO2020 footprint; km2 multiplied by1e6 once</x:v>
      </x:c>
      <x:c r="W1601" s="2" t="str">
        <x:v>L1_numeric_partition_qualified_not_national_completeness</x:v>
      </x:c>
      <x:c r="X1601" s="2" t="str">
        <x:v>https://human-settlement.emergency.copernicus.eu/datasets.php</x:v>
      </x:c>
    </x:row>
    <x:row r="1602" ht="23" customHeight="1">
      <x:c r="A1602" s="2" t="str">
        <x:v>BHS</x:v>
      </x:c>
      <x:c r="B1602" s="2" t="str">
        <x:v>Bahamas (Commonwealth of the)</x:v>
      </x:c>
      <x:c r="C1602" s="2" t="n">
        <x:v>2020</x:v>
      </x:c>
      <x:c r="D1602" s="2" t="str">
        <x:v>WUP_SURFACE</x:v>
      </x:c>
      <x:c r="E1602" s="17" t="n">
        <x:v>29184660.44999999</x:v>
      </x:c>
      <x:c r="F1602" s="17" t="n">
        <x:f>IF(AND(M1602,ISNUMBER(R1602)),IF(D1602="TEMPO_PROXY",R1602,IF(AND(ISNUMBER(S1602),S1602&gt;0,ISNUMBER(U1602)),U1602*R1602/S1602,"n.a.")),"n.a.")</x:f>
        <x:v>45793790.00744278</x:v>
      </x:c>
      <x:c r="G1602" s="17" t="n">
        <x:f>IF(AND(ISNUMBER(E1602),ISNUMBER(F1602)),E1602-F1602,"n.a.")</x:f>
        <x:v>-16609129.557442788</x:v>
      </x:c>
      <x:c r="H1602" s="15" t="n">
        <x:f>IF(AND(ISNUMBER(E1602),ISNUMBER(F1602),F1602&gt;0),(E1602-F1602)/F1602,"n.a.")</x:f>
        <x:v>-0.36269392759898966</x:v>
      </x:c>
      <x:c r="I1602" s="19" t="n">
        <x:f>IF(ISNUMBER(H1602),ABS(H1602),"n.a.")</x:f>
        <x:v>0.36269392759898966</x:v>
      </x:c>
      <x:c r="J1602" s="2" t="str">
        <x:v>available</x:v>
      </x:c>
      <x:c r="K1602" s="2" t="n">
        <x:v>1</x:v>
      </x:c>
      <x:c r="L1602" s="13" t="b">
        <x:v>0</x:v>
      </x:c>
      <x:c r="M1602" s="13" t="b">
        <x:v>1</x:v>
      </x:c>
      <x:c r="N1602" s="2" t="str">
        <x:v>historical_GHSL_BU_estimate</x:v>
      </x:c>
      <x:c r="O1602" s="2" t="str"/>
      <x:c r="P1602" s="2" t="str">
        <x:v>horizontal built-up surface</x:v>
      </x:c>
      <x:c r="Q1602" s="2" t="str">
        <x:v>m2</x:v>
      </x:c>
      <x:c r="R1602" s="17" t="n">
        <x:v>45793790.007442795</x:v>
      </x:c>
      <x:c r="S1602" s="17" t="n">
        <x:v>29184660.45</x:v>
      </x:c>
      <x:c r="T1602" s="18" t="n">
        <x:v>0.9999999999999998</x:v>
      </x:c>
      <x:c r="U1602" s="17" t="n">
        <x:v>29184660.44999999</x:v>
      </x:c>
      <x:c r="V1602" s="2" t="str">
        <x:v>Area equivalent = model2020 * WUP surface / TEMPO2020 footprint; km2 multiplied by1e6 once</x:v>
      </x:c>
      <x:c r="W1602" s="2" t="str">
        <x:v>L1_numeric_partition_qualified_not_national_completeness</x:v>
      </x:c>
      <x:c r="X1602" s="2" t="str">
        <x:v>https://human-settlement.emergency.copernicus.eu/datasets.php</x:v>
      </x:c>
    </x:row>
    <x:row r="1603" ht="23" customHeight="1">
      <x:c r="A1603" s="2" t="str">
        <x:v>BIH</x:v>
      </x:c>
      <x:c r="B1603" s="2" t="str">
        <x:v>Bosnia and Herzegovina</x:v>
      </x:c>
      <x:c r="C1603" s="2" t="n">
        <x:v>2020</x:v>
      </x:c>
      <x:c r="D1603" s="2" t="str">
        <x:v>WUP_SURFACE</x:v>
      </x:c>
      <x:c r="E1603" s="17" t="n">
        <x:v>247114206.72000027</x:v>
      </x:c>
      <x:c r="F1603" s="17" t="n">
        <x:f>IF(AND(M1603,ISNUMBER(R1603)),IF(D1603="TEMPO_PROXY",R1603,IF(AND(ISNUMBER(S1603),S1603&gt;0,ISNUMBER(U1603)),U1603*R1603/S1603,"n.a.")),"n.a.")</x:f>
        <x:v>359281659.1342711</x:v>
      </x:c>
      <x:c r="G1603" s="17" t="n">
        <x:f>IF(AND(ISNUMBER(E1603),ISNUMBER(F1603)),E1603-F1603,"n.a.")</x:f>
        <x:v>-112167452.41427082</x:v>
      </x:c>
      <x:c r="H1603" s="15" t="n">
        <x:f>IF(AND(ISNUMBER(E1603),ISNUMBER(F1603),F1603&gt;0),(E1603-F1603)/F1603,"n.a.")</x:f>
        <x:v>-0.31219921630441894</x:v>
      </x:c>
      <x:c r="I1603" s="19" t="n">
        <x:f>IF(ISNUMBER(H1603),ABS(H1603),"n.a.")</x:f>
        <x:v>0.31219921630441894</x:v>
      </x:c>
      <x:c r="J1603" s="2" t="str">
        <x:v>available</x:v>
      </x:c>
      <x:c r="K1603" s="2" t="n">
        <x:v>1</x:v>
      </x:c>
      <x:c r="L1603" s="13" t="b">
        <x:v>0</x:v>
      </x:c>
      <x:c r="M1603" s="13" t="b">
        <x:v>1</x:v>
      </x:c>
      <x:c r="N1603" s="2" t="str">
        <x:v>historical_GHSL_BU_estimate</x:v>
      </x:c>
      <x:c r="O1603" s="2" t="str"/>
      <x:c r="P1603" s="2" t="str">
        <x:v>horizontal built-up surface</x:v>
      </x:c>
      <x:c r="Q1603" s="2" t="str">
        <x:v>m2</x:v>
      </x:c>
      <x:c r="R1603" s="17" t="n">
        <x:v>359281659.1342707</x:v>
      </x:c>
      <x:c r="S1603" s="17" t="n">
        <x:v>247114206.72</x:v>
      </x:c>
      <x:c r="T1603" s="18" t="n">
        <x:v>1.000000000000001</x:v>
      </x:c>
      <x:c r="U1603" s="17" t="n">
        <x:v>247114206.72000027</x:v>
      </x:c>
      <x:c r="V1603" s="2" t="str">
        <x:v>Area equivalent = model2020 * WUP surface / TEMPO2020 footprint; km2 multiplied by1e6 once</x:v>
      </x:c>
      <x:c r="W1603" s="2" t="str">
        <x:v>L1_numeric_partition_qualified_not_national_completeness</x:v>
      </x:c>
      <x:c r="X1603" s="2" t="str">
        <x:v>https://human-settlement.emergency.copernicus.eu/datasets.php</x:v>
      </x:c>
    </x:row>
    <x:row r="1604" ht="23" customHeight="1">
      <x:c r="A1604" s="2" t="str">
        <x:v>BLR</x:v>
      </x:c>
      <x:c r="B1604" s="2" t="str">
        <x:v>Belarus (Republic of)</x:v>
      </x:c>
      <x:c r="C1604" s="2" t="n">
        <x:v>2020</x:v>
      </x:c>
      <x:c r="D1604" s="2" t="str">
        <x:v>WUP_SURFACE</x:v>
      </x:c>
      <x:c r="E1604" s="17" t="n">
        <x:v>672205246.4400003</x:v>
      </x:c>
      <x:c r="F1604" s="17" t="n">
        <x:f>IF(AND(M1604,ISNUMBER(R1604)),IF(D1604="TEMPO_PROXY",R1604,IF(AND(ISNUMBER(S1604),S1604&gt;0,ISNUMBER(U1604)),U1604*R1604/S1604,"n.a.")),"n.a.")</x:f>
        <x:v>1244644795.4009278</x:v>
      </x:c>
      <x:c r="G1604" s="17" t="n">
        <x:f>IF(AND(ISNUMBER(E1604),ISNUMBER(F1604)),E1604-F1604,"n.a.")</x:f>
        <x:v>-572439548.9609275</x:v>
      </x:c>
      <x:c r="H1604" s="15" t="n">
        <x:f>IF(AND(ISNUMBER(E1604),ISNUMBER(F1604),F1604&gt;0),(E1604-F1604)/F1604,"n.a.")</x:f>
        <x:v>-0.45992202038376095</x:v>
      </x:c>
      <x:c r="I1604" s="19" t="n">
        <x:f>IF(ISNUMBER(H1604),ABS(H1604),"n.a.")</x:f>
        <x:v>0.45992202038376095</x:v>
      </x:c>
      <x:c r="J1604" s="2" t="str">
        <x:v>available</x:v>
      </x:c>
      <x:c r="K1604" s="2" t="n">
        <x:v>1</x:v>
      </x:c>
      <x:c r="L1604" s="13" t="b">
        <x:v>0</x:v>
      </x:c>
      <x:c r="M1604" s="13" t="b">
        <x:v>1</x:v>
      </x:c>
      <x:c r="N1604" s="2" t="str">
        <x:v>historical_GHSL_BU_estimate</x:v>
      </x:c>
      <x:c r="O1604" s="2" t="str"/>
      <x:c r="P1604" s="2" t="str">
        <x:v>horizontal built-up surface</x:v>
      </x:c>
      <x:c r="Q1604" s="2" t="str">
        <x:v>m2</x:v>
      </x:c>
      <x:c r="R1604" s="17" t="n">
        <x:v>1244644795.4009273</x:v>
      </x:c>
      <x:c r="S1604" s="17" t="n">
        <x:v>672205246.44</x:v>
      </x:c>
      <x:c r="T1604" s="18" t="n">
        <x:v>1.0000000000000004</x:v>
      </x:c>
      <x:c r="U1604" s="17" t="n">
        <x:v>672205246.4400003</x:v>
      </x:c>
      <x:c r="V1604" s="2" t="str">
        <x:v>Area equivalent = model2020 * WUP surface / TEMPO2020 footprint; km2 multiplied by1e6 once</x:v>
      </x:c>
      <x:c r="W1604" s="2" t="str">
        <x:v>L1_numeric_partition_qualified_not_national_completeness</x:v>
      </x:c>
      <x:c r="X1604" s="2" t="str">
        <x:v>https://human-settlement.emergency.copernicus.eu/datasets.php</x:v>
      </x:c>
    </x:row>
    <x:row r="1605" ht="23" customHeight="1">
      <x:c r="A1605" s="2" t="str">
        <x:v>BLZ</x:v>
      </x:c>
      <x:c r="B1605" s="2" t="str">
        <x:v>Belize</x:v>
      </x:c>
      <x:c r="C1605" s="2" t="n">
        <x:v>2020</x:v>
      </x:c>
      <x:c r="D1605" s="2" t="str">
        <x:v>WUP_SURFACE</x:v>
      </x:c>
      <x:c r="E1605" s="17" t="n">
        <x:v>21867714.339999966</x:v>
      </x:c>
      <x:c r="F1605" s="17" t="n">
        <x:f>IF(AND(M1605,ISNUMBER(R1605)),IF(D1605="TEMPO_PROXY",R1605,IF(AND(ISNUMBER(S1605),S1605&gt;0,ISNUMBER(U1605)),U1605*R1605/S1605,"n.a.")),"n.a.")</x:f>
        <x:v>51048240.93158201</x:v>
      </x:c>
      <x:c r="G1605" s="17" t="n">
        <x:f>IF(AND(ISNUMBER(E1605),ISNUMBER(F1605)),E1605-F1605,"n.a.")</x:f>
        <x:v>-29180526.591582045</x:v>
      </x:c>
      <x:c r="H1605" s="15" t="n">
        <x:f>IF(AND(ISNUMBER(E1605),ISNUMBER(F1605),F1605&gt;0),(E1605-F1605)/F1605,"n.a.")</x:f>
        <x:v>-0.5716264862229353</x:v>
      </x:c>
      <x:c r="I1605" s="19" t="n">
        <x:f>IF(ISNUMBER(H1605),ABS(H1605),"n.a.")</x:f>
        <x:v>0.5716264862229353</x:v>
      </x:c>
      <x:c r="J1605" s="2" t="str">
        <x:v>available</x:v>
      </x:c>
      <x:c r="K1605" s="2" t="n">
        <x:v>1</x:v>
      </x:c>
      <x:c r="L1605" s="13" t="b">
        <x:v>0</x:v>
      </x:c>
      <x:c r="M1605" s="13" t="b">
        <x:v>1</x:v>
      </x:c>
      <x:c r="N1605" s="2" t="str">
        <x:v>historical_GHSL_BU_estimate</x:v>
      </x:c>
      <x:c r="O1605" s="2" t="str"/>
      <x:c r="P1605" s="2" t="str">
        <x:v>horizontal built-up surface</x:v>
      </x:c>
      <x:c r="Q1605" s="2" t="str">
        <x:v>m2</x:v>
      </x:c>
      <x:c r="R1605" s="17" t="n">
        <x:v>51048240.931582086</x:v>
      </x:c>
      <x:c r="S1605" s="17" t="n">
        <x:v>21867714.34</x:v>
      </x:c>
      <x:c r="T1605" s="18" t="n">
        <x:v>0.9999999999999984</x:v>
      </x:c>
      <x:c r="U1605" s="17" t="n">
        <x:v>21867714.339999966</x:v>
      </x:c>
      <x:c r="V1605" s="2" t="str">
        <x:v>Area equivalent = model2020 * WUP surface / TEMPO2020 footprint; km2 multiplied by1e6 once</x:v>
      </x:c>
      <x:c r="W1605" s="2" t="str">
        <x:v>L1_numeric_partition_qualified_not_national_completeness</x:v>
      </x:c>
      <x:c r="X1605" s="2" t="str">
        <x:v>https://human-settlement.emergency.copernicus.eu/datasets.php</x:v>
      </x:c>
    </x:row>
    <x:row r="1606" ht="23" customHeight="1">
      <x:c r="A1606" s="2" t="str">
        <x:v>BOL</x:v>
      </x:c>
      <x:c r="B1606" s="2" t="str">
        <x:v>Bolivia (Plurinational State of)</x:v>
      </x:c>
      <x:c r="C1606" s="2" t="n">
        <x:v>2020</x:v>
      </x:c>
      <x:c r="D1606" s="2" t="str">
        <x:v>WUP_SURFACE</x:v>
      </x:c>
      <x:c r="E1606" s="17" t="n">
        <x:v>496419008.9399992</x:v>
      </x:c>
      <x:c r="F1606" s="17" t="n">
        <x:f>IF(AND(M1606,ISNUMBER(R1606)),IF(D1606="TEMPO_PROXY",R1606,IF(AND(ISNUMBER(S1606),S1606&gt;0,ISNUMBER(U1606)),U1606*R1606/S1606,"n.a.")),"n.a.")</x:f>
        <x:v>712494665.0899161</x:v>
      </x:c>
      <x:c r="G1606" s="17" t="n">
        <x:f>IF(AND(ISNUMBER(E1606),ISNUMBER(F1606)),E1606-F1606,"n.a.")</x:f>
        <x:v>-216075656.1499169</x:v>
      </x:c>
      <x:c r="H1606" s="15" t="n">
        <x:f>IF(AND(ISNUMBER(E1606),ISNUMBER(F1606),F1606&gt;0),(E1606-F1606)/F1606,"n.a.")</x:f>
        <x:v>-0.30326634954192727</x:v>
      </x:c>
      <x:c r="I1606" s="19" t="n">
        <x:f>IF(ISNUMBER(H1606),ABS(H1606),"n.a.")</x:f>
        <x:v>0.30326634954192727</x:v>
      </x:c>
      <x:c r="J1606" s="2" t="str">
        <x:v>available</x:v>
      </x:c>
      <x:c r="K1606" s="2" t="n">
        <x:v>1</x:v>
      </x:c>
      <x:c r="L1606" s="13" t="b">
        <x:v>0</x:v>
      </x:c>
      <x:c r="M1606" s="13" t="b">
        <x:v>1</x:v>
      </x:c>
      <x:c r="N1606" s="2" t="str">
        <x:v>historical_GHSL_BU_estimate</x:v>
      </x:c>
      <x:c r="O1606" s="2" t="str"/>
      <x:c r="P1606" s="2" t="str">
        <x:v>horizontal built-up surface</x:v>
      </x:c>
      <x:c r="Q1606" s="2" t="str">
        <x:v>m2</x:v>
      </x:c>
      <x:c r="R1606" s="17" t="n">
        <x:v>712494665.0899172</x:v>
      </x:c>
      <x:c r="S1606" s="17" t="n">
        <x:v>496419008.94</x:v>
      </x:c>
      <x:c r="T1606" s="18" t="n">
        <x:v>0.9999999999999984</x:v>
      </x:c>
      <x:c r="U1606" s="17" t="n">
        <x:v>496419008.9399992</x:v>
      </x:c>
      <x:c r="V1606" s="2" t="str">
        <x:v>Area equivalent = model2020 * WUP surface / TEMPO2020 footprint; km2 multiplied by1e6 once</x:v>
      </x:c>
      <x:c r="W1606" s="2" t="str">
        <x:v>L1_numeric_partition_qualified_not_national_completeness</x:v>
      </x:c>
      <x:c r="X1606" s="2" t="str">
        <x:v>https://human-settlement.emergency.copernicus.eu/datasets.php</x:v>
      </x:c>
    </x:row>
    <x:row r="1607" ht="23" customHeight="1">
      <x:c r="A1607" s="2" t="str">
        <x:v>BRA</x:v>
      </x:c>
      <x:c r="B1607" s="2" t="str">
        <x:v>Brazil (Federative Republic of)</x:v>
      </x:c>
      <x:c r="C1607" s="2" t="n">
        <x:v>2020</x:v>
      </x:c>
      <x:c r="D1607" s="2" t="str">
        <x:v>WUP_SURFACE</x:v>
      </x:c>
      <x:c r="E1607" s="17" t="n">
        <x:v>12112839681.859997</x:v>
      </x:c>
      <x:c r="F1607" s="17" t="n">
        <x:f>IF(AND(M1607,ISNUMBER(R1607)),IF(D1607="TEMPO_PROXY",R1607,IF(AND(ISNUMBER(S1607),S1607&gt;0,ISNUMBER(U1607)),U1607*R1607/S1607,"n.a.")),"n.a.")</x:f>
        <x:v>15838096315.12927</x:v>
      </x:c>
      <x:c r="G1607" s="17" t="n">
        <x:f>IF(AND(ISNUMBER(E1607),ISNUMBER(F1607)),E1607-F1607,"n.a.")</x:f>
        <x:v>-3725256633.2692738</x:v>
      </x:c>
      <x:c r="H1607" s="15" t="n">
        <x:f>IF(AND(ISNUMBER(E1607),ISNUMBER(F1607),F1607&gt;0),(E1607-F1607)/F1607,"n.a.")</x:f>
        <x:v>-0.23520861088025705</x:v>
      </x:c>
      <x:c r="I1607" s="19" t="n">
        <x:f>IF(ISNUMBER(H1607),ABS(H1607),"n.a.")</x:f>
        <x:v>0.23520861088025705</x:v>
      </x:c>
      <x:c r="J1607" s="2" t="str">
        <x:v>available</x:v>
      </x:c>
      <x:c r="K1607" s="2" t="n">
        <x:v>1</x:v>
      </x:c>
      <x:c r="L1607" s="13" t="b">
        <x:v>0</x:v>
      </x:c>
      <x:c r="M1607" s="13" t="b">
        <x:v>1</x:v>
      </x:c>
      <x:c r="N1607" s="2" t="str">
        <x:v>historical_GHSL_BU_estimate</x:v>
      </x:c>
      <x:c r="O1607" s="2" t="str"/>
      <x:c r="P1607" s="2" t="str">
        <x:v>horizontal built-up surface</x:v>
      </x:c>
      <x:c r="Q1607" s="2" t="str">
        <x:v>m2</x:v>
      </x:c>
      <x:c r="R1607" s="17" t="n">
        <x:v>15838096315.129276</x:v>
      </x:c>
      <x:c r="S1607" s="17" t="n">
        <x:v>12112839681.86</x:v>
      </x:c>
      <x:c r="T1607" s="18" t="n">
        <x:v>0.9999999999999997</x:v>
      </x:c>
      <x:c r="U1607" s="17" t="n">
        <x:v>12112839681.859997</x:v>
      </x:c>
      <x:c r="V1607" s="2" t="str">
        <x:v>Area equivalent = model2020 * WUP surface / TEMPO2020 footprint; km2 multiplied by1e6 once</x:v>
      </x:c>
      <x:c r="W1607" s="2" t="str">
        <x:v>L1_numeric_partition_qualified_not_national_completeness</x:v>
      </x:c>
      <x:c r="X1607" s="2" t="str">
        <x:v>https://human-settlement.emergency.copernicus.eu/datasets.php</x:v>
      </x:c>
    </x:row>
    <x:row r="1608" ht="23" customHeight="1">
      <x:c r="A1608" s="2" t="str">
        <x:v>BRB</x:v>
      </x:c>
      <x:c r="B1608" s="2" t="str">
        <x:v>Barbados</x:v>
      </x:c>
      <x:c r="C1608" s="2" t="n">
        <x:v>2020</x:v>
      </x:c>
      <x:c r="D1608" s="2" t="str">
        <x:v>WUP_SURFACE</x:v>
      </x:c>
      <x:c r="E1608" s="17" t="n">
        <x:v>23684585.840000004</x:v>
      </x:c>
      <x:c r="F1608" s="17" t="n">
        <x:f>IF(AND(M1608,ISNUMBER(R1608)),IF(D1608="TEMPO_PROXY",R1608,IF(AND(ISNUMBER(S1608),S1608&gt;0,ISNUMBER(U1608)),U1608*R1608/S1608,"n.a.")),"n.a.")</x:f>
        <x:v>40156877.05063465</x:v>
      </x:c>
      <x:c r="G1608" s="17" t="n">
        <x:f>IF(AND(ISNUMBER(E1608),ISNUMBER(F1608)),E1608-F1608,"n.a.")</x:f>
        <x:v>-16472291.210634649</x:v>
      </x:c>
      <x:c r="H1608" s="15" t="n">
        <x:f>IF(AND(ISNUMBER(E1608),ISNUMBER(F1608),F1608&gt;0),(E1608-F1608)/F1608,"n.a.")</x:f>
        <x:v>-0.4101985119476395</x:v>
      </x:c>
      <x:c r="I1608" s="19" t="n">
        <x:f>IF(ISNUMBER(H1608),ABS(H1608),"n.a.")</x:f>
        <x:v>0.4101985119476395</x:v>
      </x:c>
      <x:c r="J1608" s="2" t="str">
        <x:v>available</x:v>
      </x:c>
      <x:c r="K1608" s="2" t="n">
        <x:v>1</x:v>
      </x:c>
      <x:c r="L1608" s="13" t="b">
        <x:v>0</x:v>
      </x:c>
      <x:c r="M1608" s="13" t="b">
        <x:v>1</x:v>
      </x:c>
      <x:c r="N1608" s="2" t="str">
        <x:v>historical_GHSL_BU_estimate</x:v>
      </x:c>
      <x:c r="O1608" s="2" t="str"/>
      <x:c r="P1608" s="2" t="str">
        <x:v>horizontal built-up surface</x:v>
      </x:c>
      <x:c r="Q1608" s="2" t="str">
        <x:v>m2</x:v>
      </x:c>
      <x:c r="R1608" s="17" t="n">
        <x:v>40156877.050634645</x:v>
      </x:c>
      <x:c r="S1608" s="17" t="n">
        <x:v>23684585.84</x:v>
      </x:c>
      <x:c r="T1608" s="18" t="n">
        <x:v>1.0000000000000002</x:v>
      </x:c>
      <x:c r="U1608" s="17" t="n">
        <x:v>23684585.840000004</x:v>
      </x:c>
      <x:c r="V1608" s="2" t="str">
        <x:v>Area equivalent = model2020 * WUP surface / TEMPO2020 footprint; km2 multiplied by1e6 once</x:v>
      </x:c>
      <x:c r="W1608" s="2" t="str">
        <x:v>L1_numeric_partition_qualified_not_national_completeness</x:v>
      </x:c>
      <x:c r="X1608" s="2" t="str">
        <x:v>https://human-settlement.emergency.copernicus.eu/datasets.php</x:v>
      </x:c>
    </x:row>
    <x:row r="1609" ht="23" customHeight="1">
      <x:c r="A1609" s="2" t="str">
        <x:v>BRN</x:v>
      </x:c>
      <x:c r="B1609" s="2" t="str">
        <x:v>Brunei Darussalam</x:v>
      </x:c>
      <x:c r="C1609" s="2" t="n">
        <x:v>2020</x:v>
      </x:c>
      <x:c r="D1609" s="2" t="str">
        <x:v>WUP_SURFACE</x:v>
      </x:c>
      <x:c r="E1609" s="17" t="n">
        <x:v>37849769.86000001</x:v>
      </x:c>
      <x:c r="F1609" s="17" t="n">
        <x:f>IF(AND(M1609,ISNUMBER(R1609)),IF(D1609="TEMPO_PROXY",R1609,IF(AND(ISNUMBER(S1609),S1609&gt;0,ISNUMBER(U1609)),U1609*R1609/S1609,"n.a.")),"n.a.")</x:f>
        <x:v>53555230.0131293</x:v>
      </x:c>
      <x:c r="G1609" s="17" t="n">
        <x:f>IF(AND(ISNUMBER(E1609),ISNUMBER(F1609)),E1609-F1609,"n.a.")</x:f>
        <x:v>-15705460.153129295</x:v>
      </x:c>
      <x:c r="H1609" s="15" t="n">
        <x:f>IF(AND(ISNUMBER(E1609),ISNUMBER(F1609),F1609&gt;0),(E1609-F1609)/F1609,"n.a.")</x:f>
        <x:v>-0.293257262629234</x:v>
      </x:c>
      <x:c r="I1609" s="19" t="n">
        <x:f>IF(ISNUMBER(H1609),ABS(H1609),"n.a.")</x:f>
        <x:v>0.293257262629234</x:v>
      </x:c>
      <x:c r="J1609" s="2" t="str">
        <x:v>available</x:v>
      </x:c>
      <x:c r="K1609" s="2" t="n">
        <x:v>1</x:v>
      </x:c>
      <x:c r="L1609" s="13" t="b">
        <x:v>0</x:v>
      </x:c>
      <x:c r="M1609" s="13" t="b">
        <x:v>1</x:v>
      </x:c>
      <x:c r="N1609" s="2" t="str">
        <x:v>historical_GHSL_BU_estimate</x:v>
      </x:c>
      <x:c r="O1609" s="2" t="str"/>
      <x:c r="P1609" s="2" t="str">
        <x:v>horizontal built-up surface</x:v>
      </x:c>
      <x:c r="Q1609" s="2" t="str">
        <x:v>m2</x:v>
      </x:c>
      <x:c r="R1609" s="17" t="n">
        <x:v>53555230.01312929</x:v>
      </x:c>
      <x:c r="S1609" s="17" t="n">
        <x:v>37849769.86</x:v>
      </x:c>
      <x:c r="T1609" s="18" t="n">
        <x:v>1.0000000000000002</x:v>
      </x:c>
      <x:c r="U1609" s="17" t="n">
        <x:v>37849769.86000001</x:v>
      </x:c>
      <x:c r="V1609" s="2" t="str">
        <x:v>Area equivalent = model2020 * WUP surface / TEMPO2020 footprint; km2 multiplied by1e6 once</x:v>
      </x:c>
      <x:c r="W1609" s="2" t="str">
        <x:v>L1_numeric_partition_qualified_not_national_completeness</x:v>
      </x:c>
      <x:c r="X1609" s="2" t="str">
        <x:v>https://human-settlement.emergency.copernicus.eu/datasets.php</x:v>
      </x:c>
    </x:row>
    <x:row r="1610" ht="23" customHeight="1">
      <x:c r="A1610" s="2" t="str">
        <x:v>BTN</x:v>
      </x:c>
      <x:c r="B1610" s="2" t="str">
        <x:v>Bhutan (Kingdom of)</x:v>
      </x:c>
      <x:c r="C1610" s="2" t="n">
        <x:v>2020</x:v>
      </x:c>
      <x:c r="D1610" s="2" t="str">
        <x:v>WUP_SURFACE</x:v>
      </x:c>
      <x:c r="E1610" s="17" t="n">
        <x:v>27177544.510000043</x:v>
      </x:c>
      <x:c r="F1610" s="17" t="n">
        <x:f>IF(AND(M1610,ISNUMBER(R1610)),IF(D1610="TEMPO_PROXY",R1610,IF(AND(ISNUMBER(S1610),S1610&gt;0,ISNUMBER(U1610)),U1610*R1610/S1610,"n.a.")),"n.a.")</x:f>
        <x:v>31148447.987298753</x:v>
      </x:c>
      <x:c r="G1610" s="17" t="n">
        <x:f>IF(AND(ISNUMBER(E1610),ISNUMBER(F1610)),E1610-F1610,"n.a.")</x:f>
        <x:v>-3970903.4772987105</x:v>
      </x:c>
      <x:c r="H1610" s="15" t="n">
        <x:f>IF(AND(ISNUMBER(E1610),ISNUMBER(F1610),F1610&gt;0),(E1610-F1610)/F1610,"n.a.")</x:f>
        <x:v>-0.12748318885479965</x:v>
      </x:c>
      <x:c r="I1610" s="19" t="n">
        <x:f>IF(ISNUMBER(H1610),ABS(H1610),"n.a.")</x:f>
        <x:v>0.12748318885479965</x:v>
      </x:c>
      <x:c r="J1610" s="2" t="str">
        <x:v>available</x:v>
      </x:c>
      <x:c r="K1610" s="2" t="n">
        <x:v>1</x:v>
      </x:c>
      <x:c r="L1610" s="13" t="b">
        <x:v>0</x:v>
      </x:c>
      <x:c r="M1610" s="13" t="b">
        <x:v>1</x:v>
      </x:c>
      <x:c r="N1610" s="2" t="str">
        <x:v>historical_GHSL_BU_estimate</x:v>
      </x:c>
      <x:c r="O1610" s="2" t="str"/>
      <x:c r="P1610" s="2" t="str">
        <x:v>horizontal built-up surface</x:v>
      </x:c>
      <x:c r="Q1610" s="2" t="str">
        <x:v>m2</x:v>
      </x:c>
      <x:c r="R1610" s="17" t="n">
        <x:v>31148447.98729871</x:v>
      </x:c>
      <x:c r="S1610" s="17" t="n">
        <x:v>27177544.51</x:v>
      </x:c>
      <x:c r="T1610" s="18" t="n">
        <x:v>1.0000000000000016</x:v>
      </x:c>
      <x:c r="U1610" s="17" t="n">
        <x:v>27177544.510000043</x:v>
      </x:c>
      <x:c r="V1610" s="2" t="str">
        <x:v>Area equivalent = model2020 * WUP surface / TEMPO2020 footprint; km2 multiplied by1e6 once</x:v>
      </x:c>
      <x:c r="W1610" s="2" t="str">
        <x:v>L1_numeric_partition_qualified_not_national_completeness</x:v>
      </x:c>
      <x:c r="X1610" s="2" t="str">
        <x:v>https://human-settlement.emergency.copernicus.eu/datasets.php</x:v>
      </x:c>
    </x:row>
    <x:row r="1611" ht="23" customHeight="1">
      <x:c r="A1611" s="2" t="str">
        <x:v>BWA</x:v>
      </x:c>
      <x:c r="B1611" s="2" t="str">
        <x:v>Botswana (Republic of)</x:v>
      </x:c>
      <x:c r="C1611" s="2" t="n">
        <x:v>2020</x:v>
      </x:c>
      <x:c r="D1611" s="2" t="str">
        <x:v>WUP_SURFACE</x:v>
      </x:c>
      <x:c r="E1611" s="17" t="n">
        <x:v>118564613.02000009</x:v>
      </x:c>
      <x:c r="F1611" s="17" t="n">
        <x:f>IF(AND(M1611,ISNUMBER(R1611)),IF(D1611="TEMPO_PROXY",R1611,IF(AND(ISNUMBER(S1611),S1611&gt;0,ISNUMBER(U1611)),U1611*R1611/S1611,"n.a.")),"n.a.")</x:f>
        <x:v>479517869.19356155</x:v>
      </x:c>
      <x:c r="G1611" s="17" t="n">
        <x:f>IF(AND(ISNUMBER(E1611),ISNUMBER(F1611)),E1611-F1611,"n.a.")</x:f>
        <x:v>-360953256.17356145</x:v>
      </x:c>
      <x:c r="H1611" s="15" t="n">
        <x:f>IF(AND(ISNUMBER(E1611),ISNUMBER(F1611),F1611&gt;0),(E1611-F1611)/F1611,"n.a.")</x:f>
        <x:v>-0.7527420339529819</x:v>
      </x:c>
      <x:c r="I1611" s="19" t="n">
        <x:f>IF(ISNUMBER(H1611),ABS(H1611),"n.a.")</x:f>
        <x:v>0.7527420339529819</x:v>
      </x:c>
      <x:c r="J1611" s="2" t="str">
        <x:v>available</x:v>
      </x:c>
      <x:c r="K1611" s="2" t="n">
        <x:v>1</x:v>
      </x:c>
      <x:c r="L1611" s="13" t="b">
        <x:v>0</x:v>
      </x:c>
      <x:c r="M1611" s="13" t="b">
        <x:v>1</x:v>
      </x:c>
      <x:c r="N1611" s="2" t="str">
        <x:v>historical_GHSL_BU_estimate</x:v>
      </x:c>
      <x:c r="O1611" s="2" t="str"/>
      <x:c r="P1611" s="2" t="str">
        <x:v>horizontal built-up surface</x:v>
      </x:c>
      <x:c r="Q1611" s="2" t="str">
        <x:v>m2</x:v>
      </x:c>
      <x:c r="R1611" s="17" t="n">
        <x:v>479517869.1935612</x:v>
      </x:c>
      <x:c r="S1611" s="17" t="n">
        <x:v>118564613.02</x:v>
      </x:c>
      <x:c r="T1611" s="18" t="n">
        <x:v>1.0000000000000007</x:v>
      </x:c>
      <x:c r="U1611" s="17" t="n">
        <x:v>118564613.02000009</x:v>
      </x:c>
      <x:c r="V1611" s="2" t="str">
        <x:v>Area equivalent = model2020 * WUP surface / TEMPO2020 footprint; km2 multiplied by1e6 once</x:v>
      </x:c>
      <x:c r="W1611" s="2" t="str">
        <x:v>L1_numeric_partition_qualified_not_national_completeness</x:v>
      </x:c>
      <x:c r="X1611" s="2" t="str">
        <x:v>https://human-settlement.emergency.copernicus.eu/datasets.php</x:v>
      </x:c>
    </x:row>
    <x:row r="1612" ht="23" customHeight="1">
      <x:c r="A1612" s="2" t="str">
        <x:v>CAF</x:v>
      </x:c>
      <x:c r="B1612" s="2" t="str">
        <x:v>Central African Republic</x:v>
      </x:c>
      <x:c r="C1612" s="2" t="n">
        <x:v>2020</x:v>
      </x:c>
      <x:c r="D1612" s="2" t="str">
        <x:v>WUP_SURFACE</x:v>
      </x:c>
      <x:c r="E1612" s="17" t="n">
        <x:v>66989106.04000005</x:v>
      </x:c>
      <x:c r="F1612" s="17" t="n">
        <x:f>IF(AND(M1612,ISNUMBER(R1612)),IF(D1612="TEMPO_PROXY",R1612,IF(AND(ISNUMBER(S1612),S1612&gt;0,ISNUMBER(U1612)),U1612*R1612/S1612,"n.a.")),"n.a.")</x:f>
        <x:v>203735296.0699374</x:v>
      </x:c>
      <x:c r="G1612" s="17" t="n">
        <x:f>IF(AND(ISNUMBER(E1612),ISNUMBER(F1612)),E1612-F1612,"n.a.")</x:f>
        <x:v>-136746190.02993736</x:v>
      </x:c>
      <x:c r="H1612" s="15" t="n">
        <x:f>IF(AND(ISNUMBER(E1612),ISNUMBER(F1612),F1612&gt;0),(E1612-F1612)/F1612,"n.a.")</x:f>
        <x:v>-0.6711953827725349</x:v>
      </x:c>
      <x:c r="I1612" s="19" t="n">
        <x:f>IF(ISNUMBER(H1612),ABS(H1612),"n.a.")</x:f>
        <x:v>0.6711953827725349</x:v>
      </x:c>
      <x:c r="J1612" s="2" t="str">
        <x:v>available</x:v>
      </x:c>
      <x:c r="K1612" s="2" t="n">
        <x:v>1</x:v>
      </x:c>
      <x:c r="L1612" s="13" t="b">
        <x:v>0</x:v>
      </x:c>
      <x:c r="M1612" s="13" t="b">
        <x:v>1</x:v>
      </x:c>
      <x:c r="N1612" s="2" t="str">
        <x:v>historical_GHSL_BU_estimate</x:v>
      </x:c>
      <x:c r="O1612" s="2" t="str"/>
      <x:c r="P1612" s="2" t="str">
        <x:v>horizontal built-up surface</x:v>
      </x:c>
      <x:c r="Q1612" s="2" t="str">
        <x:v>m2</x:v>
      </x:c>
      <x:c r="R1612" s="17" t="n">
        <x:v>203735296.06993726</x:v>
      </x:c>
      <x:c r="S1612" s="17" t="n">
        <x:v>66989106.04</x:v>
      </x:c>
      <x:c r="T1612" s="18" t="n">
        <x:v>1.0000000000000009</x:v>
      </x:c>
      <x:c r="U1612" s="17" t="n">
        <x:v>66989106.04000005</x:v>
      </x:c>
      <x:c r="V1612" s="2" t="str">
        <x:v>Area equivalent = model2020 * WUP surface / TEMPO2020 footprint; km2 multiplied by1e6 once</x:v>
      </x:c>
      <x:c r="W1612" s="2" t="str">
        <x:v>L1_numeric_partition_qualified_not_national_completeness</x:v>
      </x:c>
      <x:c r="X1612" s="2" t="str">
        <x:v>https://human-settlement.emergency.copernicus.eu/datasets.php</x:v>
      </x:c>
    </x:row>
    <x:row r="1613" ht="23" customHeight="1">
      <x:c r="A1613" s="2" t="str">
        <x:v>CAN</x:v>
      </x:c>
      <x:c r="B1613" s="2" t="str">
        <x:v>Canada</x:v>
      </x:c>
      <x:c r="C1613" s="2" t="n">
        <x:v>2020</x:v>
      </x:c>
      <x:c r="D1613" s="2" t="str">
        <x:v>WUP_SURFACE</x:v>
      </x:c>
      <x:c r="E1613" s="17" t="n">
        <x:v>2941628265.260001</x:v>
      </x:c>
      <x:c r="F1613" s="17" t="n">
        <x:f>IF(AND(M1613,ISNUMBER(R1613)),IF(D1613="TEMPO_PROXY",R1613,IF(AND(ISNUMBER(S1613),S1613&gt;0,ISNUMBER(U1613)),U1613*R1613/S1613,"n.a.")),"n.a.")</x:f>
        <x:v>4959638580.022325</x:v>
      </x:c>
      <x:c r="G1613" s="17" t="n">
        <x:f>IF(AND(ISNUMBER(E1613),ISNUMBER(F1613)),E1613-F1613,"n.a.")</x:f>
        <x:v>-2018010314.7623234</x:v>
      </x:c>
      <x:c r="H1613" s="15" t="n">
        <x:f>IF(AND(ISNUMBER(E1613),ISNUMBER(F1613),F1613&gt;0),(E1613-F1613)/F1613,"n.a.")</x:f>
        <x:v>-0.40688656687424185</x:v>
      </x:c>
      <x:c r="I1613" s="19" t="n">
        <x:f>IF(ISNUMBER(H1613),ABS(H1613),"n.a.")</x:f>
        <x:v>0.40688656687424185</x:v>
      </x:c>
      <x:c r="J1613" s="2" t="str">
        <x:v>available</x:v>
      </x:c>
      <x:c r="K1613" s="2" t="n">
        <x:v>1</x:v>
      </x:c>
      <x:c r="L1613" s="13" t="b">
        <x:v>0</x:v>
      </x:c>
      <x:c r="M1613" s="13" t="b">
        <x:v>1</x:v>
      </x:c>
      <x:c r="N1613" s="2" t="str">
        <x:v>historical_GHSL_BU_estimate</x:v>
      </x:c>
      <x:c r="O1613" s="2" t="str"/>
      <x:c r="P1613" s="2" t="str">
        <x:v>horizontal built-up surface</x:v>
      </x:c>
      <x:c r="Q1613" s="2" t="str">
        <x:v>m2</x:v>
      </x:c>
      <x:c r="R1613" s="17" t="n">
        <x:v>4959638580.022324</x:v>
      </x:c>
      <x:c r="S1613" s="17" t="n">
        <x:v>2941628265.26</x:v>
      </x:c>
      <x:c r="T1613" s="18" t="n">
        <x:v>1.0000000000000002</x:v>
      </x:c>
      <x:c r="U1613" s="17" t="n">
        <x:v>2941628265.260001</x:v>
      </x:c>
      <x:c r="V1613" s="2" t="str">
        <x:v>Area equivalent = model2020 * WUP surface / TEMPO2020 footprint; km2 multiplied by1e6 once</x:v>
      </x:c>
      <x:c r="W1613" s="2" t="str">
        <x:v>L1_numeric_partition_qualified_not_national_completeness</x:v>
      </x:c>
      <x:c r="X1613" s="2" t="str">
        <x:v>https://human-settlement.emergency.copernicus.eu/datasets.php</x:v>
      </x:c>
    </x:row>
    <x:row r="1614" ht="23" customHeight="1">
      <x:c r="A1614" s="2" t="str">
        <x:v>CHE</x:v>
      </x:c>
      <x:c r="B1614" s="2" t="str">
        <x:v>Switzerland (Swiss Confederation)</x:v>
      </x:c>
      <x:c r="C1614" s="2" t="n">
        <x:v>2020</x:v>
      </x:c>
      <x:c r="D1614" s="2" t="str">
        <x:v>WUP_SURFACE</x:v>
      </x:c>
      <x:c r="E1614" s="17" t="n">
        <x:v>554094959.2900008</x:v>
      </x:c>
      <x:c r="F1614" s="17" t="n">
        <x:f>IF(AND(M1614,ISNUMBER(R1614)),IF(D1614="TEMPO_PROXY",R1614,IF(AND(ISNUMBER(S1614),S1614&gt;0,ISNUMBER(U1614)),U1614*R1614/S1614,"n.a.")),"n.a.")</x:f>
        <x:v>792989342.7675321</x:v>
      </x:c>
      <x:c r="G1614" s="17" t="n">
        <x:f>IF(AND(ISNUMBER(E1614),ISNUMBER(F1614)),E1614-F1614,"n.a.")</x:f>
        <x:v>-238894383.4775313</x:v>
      </x:c>
      <x:c r="H1614" s="15" t="n">
        <x:f>IF(AND(ISNUMBER(E1614),ISNUMBER(F1614),F1614&gt;0),(E1614-F1614)/F1614,"n.a.")</x:f>
        <x:v>-0.3012580000681852</x:v>
      </x:c>
      <x:c r="I1614" s="19" t="n">
        <x:f>IF(ISNUMBER(H1614),ABS(H1614),"n.a.")</x:f>
        <x:v>0.3012580000681852</x:v>
      </x:c>
      <x:c r="J1614" s="2" t="str">
        <x:v>available</x:v>
      </x:c>
      <x:c r="K1614" s="2" t="n">
        <x:v>1</x:v>
      </x:c>
      <x:c r="L1614" s="13" t="b">
        <x:v>0</x:v>
      </x:c>
      <x:c r="M1614" s="13" t="b">
        <x:v>1</x:v>
      </x:c>
      <x:c r="N1614" s="2" t="str">
        <x:v>historical_GHSL_BU_estimate</x:v>
      </x:c>
      <x:c r="O1614" s="2" t="str"/>
      <x:c r="P1614" s="2" t="str">
        <x:v>horizontal built-up surface</x:v>
      </x:c>
      <x:c r="Q1614" s="2" t="str">
        <x:v>m2</x:v>
      </x:c>
      <x:c r="R1614" s="17" t="n">
        <x:v>781136767.810239</x:v>
      </x:c>
      <x:c r="S1614" s="17" t="n">
        <x:v>545813067.36</x:v>
      </x:c>
      <x:c r="T1614" s="18" t="n">
        <x:v>1.0151734951492803</x:v>
      </x:c>
      <x:c r="U1614" s="17" t="n">
        <x:v>554094959.2900008</x:v>
      </x:c>
      <x:c r="V1614" s="2" t="str">
        <x:v>Area equivalent = model2020 * WUP surface / TEMPO2020 footprint; km2 multiplied by1e6 once</x:v>
      </x:c>
      <x:c r="W1614" s="2" t="str">
        <x:v>L1_numeric_partition_qualified_not_national_completeness</x:v>
      </x:c>
      <x:c r="X1614" s="2" t="str">
        <x:v>https://human-settlement.emergency.copernicus.eu/datasets.php</x:v>
      </x:c>
    </x:row>
    <x:row r="1615" ht="23" customHeight="1">
      <x:c r="A1615" s="2" t="str">
        <x:v>CHL</x:v>
      </x:c>
      <x:c r="B1615" s="2" t="str">
        <x:v>Chile (Republic of)</x:v>
      </x:c>
      <x:c r="C1615" s="2" t="n">
        <x:v>2020</x:v>
      </x:c>
      <x:c r="D1615" s="2" t="str">
        <x:v>WUP_SURFACE</x:v>
      </x:c>
      <x:c r="E1615" s="17" t="n">
        <x:v>986436316.0700014</x:v>
      </x:c>
      <x:c r="F1615" s="17" t="n">
        <x:f>IF(AND(M1615,ISNUMBER(R1615)),IF(D1615="TEMPO_PROXY",R1615,IF(AND(ISNUMBER(S1615),S1615&gt;0,ISNUMBER(U1615)),U1615*R1615/S1615,"n.a.")),"n.a.")</x:f>
        <x:v>1327922613.907407</x:v>
      </x:c>
      <x:c r="G1615" s="17" t="n">
        <x:f>IF(AND(ISNUMBER(E1615),ISNUMBER(F1615)),E1615-F1615,"n.a.")</x:f>
        <x:v>-341486297.8374057</x:v>
      </x:c>
      <x:c r="H1615" s="15" t="n">
        <x:f>IF(AND(ISNUMBER(E1615),ISNUMBER(F1615),F1615&gt;0),(E1615-F1615)/F1615,"n.a.")</x:f>
        <x:v>-0.2571582818614585</x:v>
      </x:c>
      <x:c r="I1615" s="19" t="n">
        <x:f>IF(ISNUMBER(H1615),ABS(H1615),"n.a.")</x:f>
        <x:v>0.2571582818614585</x:v>
      </x:c>
      <x:c r="J1615" s="2" t="str">
        <x:v>available</x:v>
      </x:c>
      <x:c r="K1615" s="2" t="n">
        <x:v>1</x:v>
      </x:c>
      <x:c r="L1615" s="13" t="b">
        <x:v>0</x:v>
      </x:c>
      <x:c r="M1615" s="13" t="b">
        <x:v>1</x:v>
      </x:c>
      <x:c r="N1615" s="2" t="str">
        <x:v>historical_GHSL_BU_estimate</x:v>
      </x:c>
      <x:c r="O1615" s="2" t="str"/>
      <x:c r="P1615" s="2" t="str">
        <x:v>horizontal built-up surface</x:v>
      </x:c>
      <x:c r="Q1615" s="2" t="str">
        <x:v>m2</x:v>
      </x:c>
      <x:c r="R1615" s="17" t="n">
        <x:v>1327922613.9074051</x:v>
      </x:c>
      <x:c r="S1615" s="17" t="n">
        <x:v>986436316.07</x:v>
      </x:c>
      <x:c r="T1615" s="18" t="n">
        <x:v>1.0000000000000013</x:v>
      </x:c>
      <x:c r="U1615" s="17" t="n">
        <x:v>986436316.0700014</x:v>
      </x:c>
      <x:c r="V1615" s="2" t="str">
        <x:v>Area equivalent = model2020 * WUP surface / TEMPO2020 footprint; km2 multiplied by1e6 once</x:v>
      </x:c>
      <x:c r="W1615" s="2" t="str">
        <x:v>L1_numeric_partition_qualified_not_national_completeness</x:v>
      </x:c>
      <x:c r="X1615" s="2" t="str">
        <x:v>https://human-settlement.emergency.copernicus.eu/datasets.php</x:v>
      </x:c>
    </x:row>
    <x:row r="1616" ht="23" customHeight="1">
      <x:c r="A1616" s="2" t="str">
        <x:v>CHN</x:v>
      </x:c>
      <x:c r="B1616" s="2" t="str">
        <x:v>China (People's Republic of)</x:v>
      </x:c>
      <x:c r="C1616" s="2" t="n">
        <x:v>2020</x:v>
      </x:c>
      <x:c r="D1616" s="2" t="str">
        <x:v>WUP_SURFACE</x:v>
      </x:c>
      <x:c r="E1616" s="17" t="n">
        <x:v>86144650012.34993</x:v>
      </x:c>
      <x:c r="F1616" s="17" t="n">
        <x:f>IF(AND(M1616,ISNUMBER(R1616)),IF(D1616="TEMPO_PROXY",R1616,IF(AND(ISNUMBER(S1616),S1616&gt;0,ISNUMBER(U1616)),U1616*R1616/S1616,"n.a.")),"n.a.")</x:f>
        <x:v>90219117063.01706</x:v>
      </x:c>
      <x:c r="G1616" s="17" t="n">
        <x:f>IF(AND(ISNUMBER(E1616),ISNUMBER(F1616)),E1616-F1616,"n.a.")</x:f>
        <x:v>-4074467050.6671295</x:v>
      </x:c>
      <x:c r="H1616" s="15" t="n">
        <x:f>IF(AND(ISNUMBER(E1616),ISNUMBER(F1616),F1616&gt;0),(E1616-F1616)/F1616,"n.a.")</x:f>
        <x:v>-0.045161903411459446</x:v>
      </x:c>
      <x:c r="I1616" s="19" t="n">
        <x:f>IF(ISNUMBER(H1616),ABS(H1616),"n.a.")</x:f>
        <x:v>0.045161903411459446</x:v>
      </x:c>
      <x:c r="J1616" s="2" t="str">
        <x:v>available</x:v>
      </x:c>
      <x:c r="K1616" s="2" t="n">
        <x:v>1</x:v>
      </x:c>
      <x:c r="L1616" s="13" t="b">
        <x:v>0</x:v>
      </x:c>
      <x:c r="M1616" s="13" t="b">
        <x:v>1</x:v>
      </x:c>
      <x:c r="N1616" s="2" t="str">
        <x:v>historical_GHSL_BU_estimate</x:v>
      </x:c>
      <x:c r="O1616" s="2" t="str"/>
      <x:c r="P1616" s="2" t="str">
        <x:v>horizontal built-up surface</x:v>
      </x:c>
      <x:c r="Q1616" s="2" t="str">
        <x:v>m2</x:v>
      </x:c>
      <x:c r="R1616" s="17" t="n">
        <x:v>81846582898.93993</x:v>
      </x:c>
      <x:c r="S1616" s="17" t="n">
        <x:v>78150235427.5</x:v>
      </x:c>
      <x:c r="T1616" s="18" t="n">
        <x:v>1.1022954638731235</x:v>
      </x:c>
      <x:c r="U1616" s="17" t="n">
        <x:v>86144650012.34993</x:v>
      </x:c>
      <x:c r="V1616" s="2" t="str">
        <x:v>Area equivalent = model2020 * WUP surface / TEMPO2020 footprint; km2 multiplied by1e6 once</x:v>
      </x:c>
      <x:c r="W1616" s="2" t="str">
        <x:v>L1_numeric_partition_qualified_not_national_completeness</x:v>
      </x:c>
      <x:c r="X1616" s="2" t="str">
        <x:v>https://human-settlement.emergency.copernicus.eu/datasets.php</x:v>
      </x:c>
    </x:row>
    <x:row r="1617" ht="23" customHeight="1">
      <x:c r="A1617" s="2" t="str">
        <x:v>CIV</x:v>
      </x:c>
      <x:c r="B1617" s="2" t="str">
        <x:v>Côte d'Ivoire (Republic of)</x:v>
      </x:c>
      <x:c r="C1617" s="2" t="n">
        <x:v>2020</x:v>
      </x:c>
      <x:c r="D1617" s="2" t="str">
        <x:v>WUP_SURFACE</x:v>
      </x:c>
      <x:c r="E1617" s="17" t="n">
        <x:v>602828854.8199993</x:v>
      </x:c>
      <x:c r="F1617" s="17" t="n">
        <x:f>IF(AND(M1617,ISNUMBER(R1617)),IF(D1617="TEMPO_PROXY",R1617,IF(AND(ISNUMBER(S1617),S1617&gt;0,ISNUMBER(U1617)),U1617*R1617/S1617,"n.a.")),"n.a.")</x:f>
        <x:v>1262654365.464279</x:v>
      </x:c>
      <x:c r="G1617" s="17" t="n">
        <x:f>IF(AND(ISNUMBER(E1617),ISNUMBER(F1617)),E1617-F1617,"n.a.")</x:f>
        <x:v>-659825510.6442796</x:v>
      </x:c>
      <x:c r="H1617" s="15" t="n">
        <x:f>IF(AND(ISNUMBER(E1617),ISNUMBER(F1617),F1617&gt;0),(E1617-F1617)/F1617,"n.a.")</x:f>
        <x:v>-0.5225701733519619</x:v>
      </x:c>
      <x:c r="I1617" s="19" t="n">
        <x:f>IF(ISNUMBER(H1617),ABS(H1617),"n.a.")</x:f>
        <x:v>0.5225701733519619</x:v>
      </x:c>
      <x:c r="J1617" s="2" t="str">
        <x:v>available</x:v>
      </x:c>
      <x:c r="K1617" s="2" t="n">
        <x:v>1</x:v>
      </x:c>
      <x:c r="L1617" s="13" t="b">
        <x:v>0</x:v>
      </x:c>
      <x:c r="M1617" s="13" t="b">
        <x:v>1</x:v>
      </x:c>
      <x:c r="N1617" s="2" t="str">
        <x:v>historical_GHSL_BU_estimate</x:v>
      </x:c>
      <x:c r="O1617" s="2" t="str"/>
      <x:c r="P1617" s="2" t="str">
        <x:v>horizontal built-up surface</x:v>
      </x:c>
      <x:c r="Q1617" s="2" t="str">
        <x:v>m2</x:v>
      </x:c>
      <x:c r="R1617" s="17" t="n">
        <x:v>1262654365.4642804</x:v>
      </x:c>
      <x:c r="S1617" s="17" t="n">
        <x:v>602828854.82</x:v>
      </x:c>
      <x:c r="T1617" s="18" t="n">
        <x:v>0.9999999999999988</x:v>
      </x:c>
      <x:c r="U1617" s="17" t="n">
        <x:v>602828854.8199993</x:v>
      </x:c>
      <x:c r="V1617" s="2" t="str">
        <x:v>Area equivalent = model2020 * WUP surface / TEMPO2020 footprint; km2 multiplied by1e6 once</x:v>
      </x:c>
      <x:c r="W1617" s="2" t="str">
        <x:v>L1_numeric_partition_qualified_not_national_completeness</x:v>
      </x:c>
      <x:c r="X1617" s="2" t="str">
        <x:v>https://human-settlement.emergency.copernicus.eu/datasets.php</x:v>
      </x:c>
    </x:row>
    <x:row r="1618" ht="23" customHeight="1">
      <x:c r="A1618" s="2" t="str">
        <x:v>CMR</x:v>
      </x:c>
      <x:c r="B1618" s="2" t="str">
        <x:v>Cameroon (Republic of)</x:v>
      </x:c>
      <x:c r="C1618" s="2" t="n">
        <x:v>2020</x:v>
      </x:c>
      <x:c r="D1618" s="2" t="str">
        <x:v>WUP_SURFACE</x:v>
      </x:c>
      <x:c r="E1618" s="17" t="n">
        <x:v>577057207.8100005</x:v>
      </x:c>
      <x:c r="F1618" s="17" t="n">
        <x:f>IF(AND(M1618,ISNUMBER(R1618)),IF(D1618="TEMPO_PROXY",R1618,IF(AND(ISNUMBER(S1618),S1618&gt;0,ISNUMBER(U1618)),U1618*R1618/S1618,"n.a.")),"n.a.")</x:f>
        <x:v>1225974917.8400183</x:v>
      </x:c>
      <x:c r="G1618" s="17" t="n">
        <x:f>IF(AND(ISNUMBER(E1618),ISNUMBER(F1618)),E1618-F1618,"n.a.")</x:f>
        <x:v>-648917710.0300177</x:v>
      </x:c>
      <x:c r="H1618" s="15" t="n">
        <x:f>IF(AND(ISNUMBER(E1618),ISNUMBER(F1618),F1618&gt;0),(E1618-F1618)/F1618,"n.a.")</x:f>
        <x:v>-0.5293074928264537</x:v>
      </x:c>
      <x:c r="I1618" s="19" t="n">
        <x:f>IF(ISNUMBER(H1618),ABS(H1618),"n.a.")</x:f>
        <x:v>0.5293074928264537</x:v>
      </x:c>
      <x:c r="J1618" s="2" t="str">
        <x:v>available</x:v>
      </x:c>
      <x:c r="K1618" s="2" t="n">
        <x:v>1</x:v>
      </x:c>
      <x:c r="L1618" s="13" t="b">
        <x:v>0</x:v>
      </x:c>
      <x:c r="M1618" s="13" t="b">
        <x:v>1</x:v>
      </x:c>
      <x:c r="N1618" s="2" t="str">
        <x:v>historical_GHSL_BU_estimate</x:v>
      </x:c>
      <x:c r="O1618" s="2" t="str"/>
      <x:c r="P1618" s="2" t="str">
        <x:v>horizontal built-up surface</x:v>
      </x:c>
      <x:c r="Q1618" s="2" t="str">
        <x:v>m2</x:v>
      </x:c>
      <x:c r="R1618" s="17" t="n">
        <x:v>1225974917.8400168</x:v>
      </x:c>
      <x:c r="S1618" s="17" t="n">
        <x:v>577057207.81</x:v>
      </x:c>
      <x:c r="T1618" s="18" t="n">
        <x:v>1.000000000000001</x:v>
      </x:c>
      <x:c r="U1618" s="17" t="n">
        <x:v>577057207.8100005</x:v>
      </x:c>
      <x:c r="V1618" s="2" t="str">
        <x:v>Area equivalent = model2020 * WUP surface / TEMPO2020 footprint; km2 multiplied by1e6 once</x:v>
      </x:c>
      <x:c r="W1618" s="2" t="str">
        <x:v>L1_numeric_partition_qualified_not_national_completeness</x:v>
      </x:c>
      <x:c r="X1618" s="2" t="str">
        <x:v>https://human-settlement.emergency.copernicus.eu/datasets.php</x:v>
      </x:c>
    </x:row>
    <x:row r="1619" ht="23" customHeight="1">
      <x:c r="A1619" s="2" t="str">
        <x:v>COD</x:v>
      </x:c>
      <x:c r="B1619" s="2" t="str">
        <x:v>Congo (Democratic Republic of the)</x:v>
      </x:c>
      <x:c r="C1619" s="2" t="n">
        <x:v>2020</x:v>
      </x:c>
      <x:c r="D1619" s="2" t="str">
        <x:v>WUP_SURFACE</x:v>
      </x:c>
      <x:c r="E1619" s="17" t="n">
        <x:v>941825698.8399988</x:v>
      </x:c>
      <x:c r="F1619" s="17" t="n">
        <x:f>IF(AND(M1619,ISNUMBER(R1619)),IF(D1619="TEMPO_PROXY",R1619,IF(AND(ISNUMBER(S1619),S1619&gt;0,ISNUMBER(U1619)),U1619*R1619/S1619,"n.a.")),"n.a.")</x:f>
        <x:v>2768938805.1443067</x:v>
      </x:c>
      <x:c r="G1619" s="17" t="n">
        <x:f>IF(AND(ISNUMBER(E1619),ISNUMBER(F1619)),E1619-F1619,"n.a.")</x:f>
        <x:v>-1827113106.304308</x:v>
      </x:c>
      <x:c r="H1619" s="15" t="n">
        <x:f>IF(AND(ISNUMBER(E1619),ISNUMBER(F1619),F1619&gt;0),(E1619-F1619)/F1619,"n.a.")</x:f>
        <x:v>-0.6598604140004046</x:v>
      </x:c>
      <x:c r="I1619" s="19" t="n">
        <x:f>IF(ISNUMBER(H1619),ABS(H1619),"n.a.")</x:f>
        <x:v>0.6598604140004046</x:v>
      </x:c>
      <x:c r="J1619" s="2" t="str">
        <x:v>available</x:v>
      </x:c>
      <x:c r="K1619" s="2" t="n">
        <x:v>1</x:v>
      </x:c>
      <x:c r="L1619" s="13" t="b">
        <x:v>0</x:v>
      </x:c>
      <x:c r="M1619" s="13" t="b">
        <x:v>1</x:v>
      </x:c>
      <x:c r="N1619" s="2" t="str">
        <x:v>historical_GHSL_BU_estimate</x:v>
      </x:c>
      <x:c r="O1619" s="2" t="str"/>
      <x:c r="P1619" s="2" t="str">
        <x:v>horizontal built-up surface</x:v>
      </x:c>
      <x:c r="Q1619" s="2" t="str">
        <x:v>m2</x:v>
      </x:c>
      <x:c r="R1619" s="17" t="n">
        <x:v>2768938805.1443105</x:v>
      </x:c>
      <x:c r="S1619" s="17" t="n">
        <x:v>941825698.84</x:v>
      </x:c>
      <x:c r="T1619" s="18" t="n">
        <x:v>0.9999999999999988</x:v>
      </x:c>
      <x:c r="U1619" s="17" t="n">
        <x:v>941825698.8399988</x:v>
      </x:c>
      <x:c r="V1619" s="2" t="str">
        <x:v>Area equivalent = model2020 * WUP surface / TEMPO2020 footprint; km2 multiplied by1e6 once</x:v>
      </x:c>
      <x:c r="W1619" s="2" t="str">
        <x:v>L1_numeric_partition_qualified_not_national_completeness</x:v>
      </x:c>
      <x:c r="X1619" s="2" t="str">
        <x:v>https://human-settlement.emergency.copernicus.eu/datasets.php</x:v>
      </x:c>
    </x:row>
    <x:row r="1620" ht="23" customHeight="1">
      <x:c r="A1620" s="2" t="str">
        <x:v>COG</x:v>
      </x:c>
      <x:c r="B1620" s="2" t="str">
        <x:v>Congo (Republic of the)</x:v>
      </x:c>
      <x:c r="C1620" s="2" t="n">
        <x:v>2020</x:v>
      </x:c>
      <x:c r="D1620" s="2" t="str">
        <x:v>WUP_SURFACE</x:v>
      </x:c>
      <x:c r="E1620" s="17" t="n">
        <x:v>110620071.65000013</x:v>
      </x:c>
      <x:c r="F1620" s="17" t="n">
        <x:f>IF(AND(M1620,ISNUMBER(R1620)),IF(D1620="TEMPO_PROXY",R1620,IF(AND(ISNUMBER(S1620),S1620&gt;0,ISNUMBER(U1620)),U1620*R1620/S1620,"n.a.")),"n.a.")</x:f>
        <x:v>240343102.94525877</x:v>
      </x:c>
      <x:c r="G1620" s="17" t="n">
        <x:f>IF(AND(ISNUMBER(E1620),ISNUMBER(F1620)),E1620-F1620,"n.a.")</x:f>
        <x:v>-129723031.29525864</x:v>
      </x:c>
      <x:c r="H1620" s="15" t="n">
        <x:f>IF(AND(ISNUMBER(E1620),ISNUMBER(F1620),F1620&gt;0),(E1620-F1620)/F1620,"n.a.")</x:f>
        <x:v>-0.5397410190081665</x:v>
      </x:c>
      <x:c r="I1620" s="19" t="n">
        <x:f>IF(ISNUMBER(H1620),ABS(H1620),"n.a.")</x:f>
        <x:v>0.5397410190081665</x:v>
      </x:c>
      <x:c r="J1620" s="2" t="str">
        <x:v>available</x:v>
      </x:c>
      <x:c r="K1620" s="2" t="n">
        <x:v>1</x:v>
      </x:c>
      <x:c r="L1620" s="13" t="b">
        <x:v>0</x:v>
      </x:c>
      <x:c r="M1620" s="13" t="b">
        <x:v>1</x:v>
      </x:c>
      <x:c r="N1620" s="2" t="str">
        <x:v>historical_GHSL_BU_estimate</x:v>
      </x:c>
      <x:c r="O1620" s="2" t="str"/>
      <x:c r="P1620" s="2" t="str">
        <x:v>horizontal built-up surface</x:v>
      </x:c>
      <x:c r="Q1620" s="2" t="str">
        <x:v>m2</x:v>
      </x:c>
      <x:c r="R1620" s="17" t="n">
        <x:v>240343102.9452585</x:v>
      </x:c>
      <x:c r="S1620" s="17" t="n">
        <x:v>110620071.65</x:v>
      </x:c>
      <x:c r="T1620" s="18" t="n">
        <x:v>1.000000000000001</x:v>
      </x:c>
      <x:c r="U1620" s="17" t="n">
        <x:v>110620071.65000013</x:v>
      </x:c>
      <x:c r="V1620" s="2" t="str">
        <x:v>Area equivalent = model2020 * WUP surface / TEMPO2020 footprint; km2 multiplied by1e6 once</x:v>
      </x:c>
      <x:c r="W1620" s="2" t="str">
        <x:v>L1_numeric_partition_qualified_not_national_completeness</x:v>
      </x:c>
      <x:c r="X1620" s="2" t="str">
        <x:v>https://human-settlement.emergency.copernicus.eu/datasets.php</x:v>
      </x:c>
    </x:row>
    <x:row r="1621" ht="23" customHeight="1">
      <x:c r="A1621" s="2" t="str">
        <x:v>COL</x:v>
      </x:c>
      <x:c r="B1621" s="2" t="str">
        <x:v>Colombia (Republic of)</x:v>
      </x:c>
      <x:c r="C1621" s="2" t="n">
        <x:v>2020</x:v>
      </x:c>
      <x:c r="D1621" s="2" t="str">
        <x:v>WUP_SURFACE</x:v>
      </x:c>
      <x:c r="E1621" s="17" t="n">
        <x:v>1505534156.3100014</x:v>
      </x:c>
      <x:c r="F1621" s="17" t="n">
        <x:f>IF(AND(M1621,ISNUMBER(R1621)),IF(D1621="TEMPO_PROXY",R1621,IF(AND(ISNUMBER(S1621),S1621&gt;0,ISNUMBER(U1621)),U1621*R1621/S1621,"n.a.")),"n.a.")</x:f>
        <x:v>1562720271.6366193</x:v>
      </x:c>
      <x:c r="G1621" s="17" t="n">
        <x:f>IF(AND(ISNUMBER(E1621),ISNUMBER(F1621)),E1621-F1621,"n.a.")</x:f>
        <x:v>-57186115.326617956</x:v>
      </x:c>
      <x:c r="H1621" s="15" t="n">
        <x:f>IF(AND(ISNUMBER(E1621),ISNUMBER(F1621),F1621&gt;0),(E1621-F1621)/F1621,"n.a.")</x:f>
        <x:v>-0.03659395501840364</x:v>
      </x:c>
      <x:c r="I1621" s="19" t="n">
        <x:f>IF(ISNUMBER(H1621),ABS(H1621),"n.a.")</x:f>
        <x:v>0.03659395501840364</x:v>
      </x:c>
      <x:c r="J1621" s="2" t="str">
        <x:v>available</x:v>
      </x:c>
      <x:c r="K1621" s="2" t="n">
        <x:v>1</x:v>
      </x:c>
      <x:c r="L1621" s="13" t="b">
        <x:v>0</x:v>
      </x:c>
      <x:c r="M1621" s="13" t="b">
        <x:v>1</x:v>
      </x:c>
      <x:c r="N1621" s="2" t="str">
        <x:v>historical_GHSL_BU_estimate</x:v>
      </x:c>
      <x:c r="O1621" s="2" t="str"/>
      <x:c r="P1621" s="2" t="str">
        <x:v>horizontal built-up surface</x:v>
      </x:c>
      <x:c r="Q1621" s="2" t="str">
        <x:v>m2</x:v>
      </x:c>
      <x:c r="R1621" s="17" t="n">
        <x:v>1562720271.636618</x:v>
      </x:c>
      <x:c r="S1621" s="17" t="n">
        <x:v>1505534156.31</x:v>
      </x:c>
      <x:c r="T1621" s="18" t="n">
        <x:v>1.0000000000000009</x:v>
      </x:c>
      <x:c r="U1621" s="17" t="n">
        <x:v>1505534156.3100014</x:v>
      </x:c>
      <x:c r="V1621" s="2" t="str">
        <x:v>Area equivalent = model2020 * WUP surface / TEMPO2020 footprint; km2 multiplied by1e6 once</x:v>
      </x:c>
      <x:c r="W1621" s="2" t="str">
        <x:v>L1_numeric_partition_qualified_not_national_completeness</x:v>
      </x:c>
      <x:c r="X1621" s="2" t="str">
        <x:v>https://human-settlement.emergency.copernicus.eu/datasets.php</x:v>
      </x:c>
    </x:row>
    <x:row r="1622" ht="23" customHeight="1">
      <x:c r="A1622" s="2" t="str">
        <x:v>COM</x:v>
      </x:c>
      <x:c r="B1622" s="2" t="str">
        <x:v>Comoros (Union of the)</x:v>
      </x:c>
      <x:c r="C1622" s="2" t="n">
        <x:v>2020</x:v>
      </x:c>
      <x:c r="D1622" s="2" t="str">
        <x:v>WUP_SURFACE</x:v>
      </x:c>
      <x:c r="E1622" s="17" t="n">
        <x:v>18035090.40999997</x:v>
      </x:c>
      <x:c r="F1622" s="17" t="n">
        <x:f>IF(AND(M1622,ISNUMBER(R1622)),IF(D1622="TEMPO_PROXY",R1622,IF(AND(ISNUMBER(S1622),S1622&gt;0,ISNUMBER(U1622)),U1622*R1622/S1622,"n.a.")),"n.a.")</x:f>
        <x:v>26193450.897957362</x:v>
      </x:c>
      <x:c r="G1622" s="17" t="n">
        <x:f>IF(AND(ISNUMBER(E1622),ISNUMBER(F1622)),E1622-F1622,"n.a.")</x:f>
        <x:v>-8158360.487957392</x:v>
      </x:c>
      <x:c r="H1622" s="15" t="n">
        <x:f>IF(AND(ISNUMBER(E1622),ISNUMBER(F1622),F1622&gt;0),(E1622-F1622)/F1622,"n.a.")</x:f>
        <x:v>-0.31146566062410674</x:v>
      </x:c>
      <x:c r="I1622" s="19" t="n">
        <x:f>IF(ISNUMBER(H1622),ABS(H1622),"n.a.")</x:f>
        <x:v>0.31146566062410674</x:v>
      </x:c>
      <x:c r="J1622" s="2" t="str">
        <x:v>available</x:v>
      </x:c>
      <x:c r="K1622" s="2" t="n">
        <x:v>1</x:v>
      </x:c>
      <x:c r="L1622" s="13" t="b">
        <x:v>0</x:v>
      </x:c>
      <x:c r="M1622" s="13" t="b">
        <x:v>1</x:v>
      </x:c>
      <x:c r="N1622" s="2" t="str">
        <x:v>historical_GHSL_BU_estimate</x:v>
      </x:c>
      <x:c r="O1622" s="2" t="str"/>
      <x:c r="P1622" s="2" t="str">
        <x:v>horizontal built-up surface</x:v>
      </x:c>
      <x:c r="Q1622" s="2" t="str">
        <x:v>m2</x:v>
      </x:c>
      <x:c r="R1622" s="17" t="n">
        <x:v>26193450.897957403</x:v>
      </x:c>
      <x:c r="S1622" s="17" t="n">
        <x:v>18035090.41</x:v>
      </x:c>
      <x:c r="T1622" s="18" t="n">
        <x:v>0.9999999999999983</x:v>
      </x:c>
      <x:c r="U1622" s="17" t="n">
        <x:v>18035090.40999997</x:v>
      </x:c>
      <x:c r="V1622" s="2" t="str">
        <x:v>Area equivalent = model2020 * WUP surface / TEMPO2020 footprint; km2 multiplied by1e6 once</x:v>
      </x:c>
      <x:c r="W1622" s="2" t="str">
        <x:v>L1_numeric_partition_qualified_not_national_completeness</x:v>
      </x:c>
      <x:c r="X1622" s="2" t="str">
        <x:v>https://human-settlement.emergency.copernicus.eu/datasets.php</x:v>
      </x:c>
    </x:row>
    <x:row r="1623" ht="23" customHeight="1">
      <x:c r="A1623" s="2" t="str">
        <x:v>CPV</x:v>
      </x:c>
      <x:c r="B1623" s="2" t="str">
        <x:v>Cabo Verde (Republic of)</x:v>
      </x:c>
      <x:c r="C1623" s="2" t="n">
        <x:v>2020</x:v>
      </x:c>
      <x:c r="D1623" s="2" t="str">
        <x:v>WUP_SURFACE</x:v>
      </x:c>
      <x:c r="E1623" s="17" t="n">
        <x:v>21833832.63999998</x:v>
      </x:c>
      <x:c r="F1623" s="17" t="n">
        <x:f>IF(AND(M1623,ISNUMBER(R1623)),IF(D1623="TEMPO_PROXY",R1623,IF(AND(ISNUMBER(S1623),S1623&gt;0,ISNUMBER(U1623)),U1623*R1623/S1623,"n.a.")),"n.a.")</x:f>
        <x:v>24562480.528576087</x:v>
      </x:c>
      <x:c r="G1623" s="17" t="n">
        <x:f>IF(AND(ISNUMBER(E1623),ISNUMBER(F1623)),E1623-F1623,"n.a.")</x:f>
        <x:v>-2728647.888576109</x:v>
      </x:c>
      <x:c r="H1623" s="15" t="n">
        <x:f>IF(AND(ISNUMBER(E1623),ISNUMBER(F1623),F1623&gt;0),(E1623-F1623)/F1623,"n.a.")</x:f>
        <x:v>-0.11109007843900738</x:v>
      </x:c>
      <x:c r="I1623" s="19" t="n">
        <x:f>IF(ISNUMBER(H1623),ABS(H1623),"n.a.")</x:f>
        <x:v>0.11109007843900738</x:v>
      </x:c>
      <x:c r="J1623" s="2" t="str">
        <x:v>available</x:v>
      </x:c>
      <x:c r="K1623" s="2" t="n">
        <x:v>1</x:v>
      </x:c>
      <x:c r="L1623" s="13" t="b">
        <x:v>0</x:v>
      </x:c>
      <x:c r="M1623" s="13" t="b">
        <x:v>1</x:v>
      </x:c>
      <x:c r="N1623" s="2" t="str">
        <x:v>historical_GHSL_BU_estimate</x:v>
      </x:c>
      <x:c r="O1623" s="2" t="str"/>
      <x:c r="P1623" s="2" t="str">
        <x:v>horizontal built-up surface</x:v>
      </x:c>
      <x:c r="Q1623" s="2" t="str">
        <x:v>m2</x:v>
      </x:c>
      <x:c r="R1623" s="17" t="n">
        <x:v>23623195.006221067</x:v>
      </x:c>
      <x:c r="S1623" s="17" t="n">
        <x:v>20998892.42</x:v>
      </x:c>
      <x:c r="T1623" s="18" t="n">
        <x:v>1.0397611551742965</x:v>
      </x:c>
      <x:c r="U1623" s="17" t="n">
        <x:v>21833832.63999998</x:v>
      </x:c>
      <x:c r="V1623" s="2" t="str">
        <x:v>Area equivalent = model2020 * WUP surface / TEMPO2020 footprint; km2 multiplied by1e6 once</x:v>
      </x:c>
      <x:c r="W1623" s="2" t="str">
        <x:v>L1_numeric_partition_qualified_not_national_completeness</x:v>
      </x:c>
      <x:c r="X1623" s="2" t="str">
        <x:v>https://human-settlement.emergency.copernicus.eu/datasets.php</x:v>
      </x:c>
    </x:row>
    <x:row r="1624" ht="23" customHeight="1">
      <x:c r="A1624" s="2" t="str">
        <x:v>CRI</x:v>
      </x:c>
      <x:c r="B1624" s="2" t="str">
        <x:v>Costa Rica (Republic of)</x:v>
      </x:c>
      <x:c r="C1624" s="2" t="n">
        <x:v>2020</x:v>
      </x:c>
      <x:c r="D1624" s="2" t="str">
        <x:v>WUP_SURFACE</x:v>
      </x:c>
      <x:c r="E1624" s="17" t="n">
        <x:v>284786315.38999987</x:v>
      </x:c>
      <x:c r="F1624" s="17" t="n">
        <x:f>IF(AND(M1624,ISNUMBER(R1624)),IF(D1624="TEMPO_PROXY",R1624,IF(AND(ISNUMBER(S1624),S1624&gt;0,ISNUMBER(U1624)),U1624*R1624/S1624,"n.a.")),"n.a.")</x:f>
        <x:v>367435856.8570774</x:v>
      </x:c>
      <x:c r="G1624" s="17" t="n">
        <x:f>IF(AND(ISNUMBER(E1624),ISNUMBER(F1624)),E1624-F1624,"n.a.")</x:f>
        <x:v>-82649541.46707755</x:v>
      </x:c>
      <x:c r="H1624" s="15" t="n">
        <x:f>IF(AND(ISNUMBER(E1624),ISNUMBER(F1624),F1624&gt;0),(E1624-F1624)/F1624,"n.a.")</x:f>
        <x:v>-0.22493597161157297</x:v>
      </x:c>
      <x:c r="I1624" s="19" t="n">
        <x:f>IF(ISNUMBER(H1624),ABS(H1624),"n.a.")</x:f>
        <x:v>0.22493597161157297</x:v>
      </x:c>
      <x:c r="J1624" s="2" t="str">
        <x:v>available</x:v>
      </x:c>
      <x:c r="K1624" s="2" t="n">
        <x:v>1</x:v>
      </x:c>
      <x:c r="L1624" s="13" t="b">
        <x:v>0</x:v>
      </x:c>
      <x:c r="M1624" s="13" t="b">
        <x:v>1</x:v>
      </x:c>
      <x:c r="N1624" s="2" t="str">
        <x:v>historical_GHSL_BU_estimate</x:v>
      </x:c>
      <x:c r="O1624" s="2" t="str"/>
      <x:c r="P1624" s="2" t="str">
        <x:v>horizontal built-up surface</x:v>
      </x:c>
      <x:c r="Q1624" s="2" t="str">
        <x:v>m2</x:v>
      </x:c>
      <x:c r="R1624" s="17" t="n">
        <x:v>367435856.8570776</x:v>
      </x:c>
      <x:c r="S1624" s="17" t="n">
        <x:v>284786315.39</x:v>
      </x:c>
      <x:c r="T1624" s="18" t="n">
        <x:v>0.9999999999999996</x:v>
      </x:c>
      <x:c r="U1624" s="17" t="n">
        <x:v>284786315.38999987</x:v>
      </x:c>
      <x:c r="V1624" s="2" t="str">
        <x:v>Area equivalent = model2020 * WUP surface / TEMPO2020 footprint; km2 multiplied by1e6 once</x:v>
      </x:c>
      <x:c r="W1624" s="2" t="str">
        <x:v>L1_numeric_partition_qualified_not_national_completeness</x:v>
      </x:c>
      <x:c r="X1624" s="2" t="str">
        <x:v>https://human-settlement.emergency.copernicus.eu/datasets.php</x:v>
      </x:c>
    </x:row>
    <x:row r="1625" ht="23" customHeight="1">
      <x:c r="A1625" s="2" t="str">
        <x:v>CUB</x:v>
      </x:c>
      <x:c r="B1625" s="2" t="str">
        <x:v>Cuba (Republic of)</x:v>
      </x:c>
      <x:c r="C1625" s="2" t="n">
        <x:v>2020</x:v>
      </x:c>
      <x:c r="D1625" s="2" t="str">
        <x:v>WUP_SURFACE</x:v>
      </x:c>
      <x:c r="E1625" s="17" t="n">
        <x:v>360088927.4199998</x:v>
      </x:c>
      <x:c r="F1625" s="17" t="n">
        <x:f>IF(AND(M1625,ISNUMBER(R1625)),IF(D1625="TEMPO_PROXY",R1625,IF(AND(ISNUMBER(S1625),S1625&gt;0,ISNUMBER(U1625)),U1625*R1625/S1625,"n.a.")),"n.a.")</x:f>
        <x:v>393093124.8790587</x:v>
      </x:c>
      <x:c r="G1625" s="17" t="n">
        <x:f>IF(AND(ISNUMBER(E1625),ISNUMBER(F1625)),E1625-F1625,"n.a.")</x:f>
        <x:v>-33004197.45905894</x:v>
      </x:c>
      <x:c r="H1625" s="15" t="n">
        <x:f>IF(AND(ISNUMBER(E1625),ISNUMBER(F1625),F1625&gt;0),(E1625-F1625)/F1625,"n.a.")</x:f>
        <x:v>-0.08396025107081992</x:v>
      </x:c>
      <x:c r="I1625" s="19" t="n">
        <x:f>IF(ISNUMBER(H1625),ABS(H1625),"n.a.")</x:f>
        <x:v>0.08396025107081992</x:v>
      </x:c>
      <x:c r="J1625" s="2" t="str">
        <x:v>available</x:v>
      </x:c>
      <x:c r="K1625" s="2" t="n">
        <x:v>1</x:v>
      </x:c>
      <x:c r="L1625" s="13" t="b">
        <x:v>0</x:v>
      </x:c>
      <x:c r="M1625" s="13" t="b">
        <x:v>1</x:v>
      </x:c>
      <x:c r="N1625" s="2" t="str">
        <x:v>historical_GHSL_BU_estimate</x:v>
      </x:c>
      <x:c r="O1625" s="2" t="str"/>
      <x:c r="P1625" s="2" t="str">
        <x:v>horizontal built-up surface</x:v>
      </x:c>
      <x:c r="Q1625" s="2" t="str">
        <x:v>m2</x:v>
      </x:c>
      <x:c r="R1625" s="17" t="n">
        <x:v>393093124.879059</x:v>
      </x:c>
      <x:c r="S1625" s="17" t="n">
        <x:v>360088927.42</x:v>
      </x:c>
      <x:c r="T1625" s="18" t="n">
        <x:v>0.9999999999999993</x:v>
      </x:c>
      <x:c r="U1625" s="17" t="n">
        <x:v>360088927.4199998</x:v>
      </x:c>
      <x:c r="V1625" s="2" t="str">
        <x:v>Area equivalent = model2020 * WUP surface / TEMPO2020 footprint; km2 multiplied by1e6 once</x:v>
      </x:c>
      <x:c r="W1625" s="2" t="str">
        <x:v>L1_numeric_partition_qualified_not_national_completeness</x:v>
      </x:c>
      <x:c r="X1625" s="2" t="str">
        <x:v>https://human-settlement.emergency.copernicus.eu/datasets.php</x:v>
      </x:c>
    </x:row>
    <x:row r="1626" ht="23" customHeight="1">
      <x:c r="A1626" s="2" t="str">
        <x:v>CYP</x:v>
      </x:c>
      <x:c r="B1626" s="2" t="str">
        <x:v>Cyprus (Republic of)</x:v>
      </x:c>
      <x:c r="C1626" s="2" t="n">
        <x:v>2020</x:v>
      </x:c>
      <x:c r="D1626" s="2" t="str">
        <x:v>WUP_SURFACE</x:v>
      </x:c>
      <x:c r="E1626" s="17" t="n">
        <x:v>124124771.75000016</x:v>
      </x:c>
      <x:c r="F1626" s="17" t="n">
        <x:f>IF(AND(M1626,ISNUMBER(R1626)),IF(D1626="TEMPO_PROXY",R1626,IF(AND(ISNUMBER(S1626),S1626&gt;0,ISNUMBER(U1626)),U1626*R1626/S1626,"n.a.")),"n.a.")</x:f>
        <x:v>145137908.00039983</x:v>
      </x:c>
      <x:c r="G1626" s="17" t="n">
        <x:f>IF(AND(ISNUMBER(E1626),ISNUMBER(F1626)),E1626-F1626,"n.a.")</x:f>
        <x:v>-21013136.250399664</x:v>
      </x:c>
      <x:c r="H1626" s="15" t="n">
        <x:f>IF(AND(ISNUMBER(E1626),ISNUMBER(F1626),F1626&gt;0),(E1626-F1626)/F1626,"n.a.")</x:f>
        <x:v>-0.14478048181831157</x:v>
      </x:c>
      <x:c r="I1626" s="19" t="n">
        <x:f>IF(ISNUMBER(H1626),ABS(H1626),"n.a.")</x:f>
        <x:v>0.14478048181831157</x:v>
      </x:c>
      <x:c r="J1626" s="2" t="str">
        <x:v>available</x:v>
      </x:c>
      <x:c r="K1626" s="2" t="n">
        <x:v>1</x:v>
      </x:c>
      <x:c r="L1626" s="13" t="b">
        <x:v>0</x:v>
      </x:c>
      <x:c r="M1626" s="13" t="b">
        <x:v>1</x:v>
      </x:c>
      <x:c r="N1626" s="2" t="str">
        <x:v>historical_GHSL_BU_estimate</x:v>
      </x:c>
      <x:c r="O1626" s="2" t="str"/>
      <x:c r="P1626" s="2" t="str">
        <x:v>horizontal built-up surface</x:v>
      </x:c>
      <x:c r="Q1626" s="2" t="str">
        <x:v>m2</x:v>
      </x:c>
      <x:c r="R1626" s="17" t="n">
        <x:v>145137908.00039965</x:v>
      </x:c>
      <x:c r="S1626" s="17" t="n">
        <x:v>124124771.75</x:v>
      </x:c>
      <x:c r="T1626" s="18" t="n">
        <x:v>1.0000000000000013</x:v>
      </x:c>
      <x:c r="U1626" s="17" t="n">
        <x:v>124124771.75000016</x:v>
      </x:c>
      <x:c r="V1626" s="2" t="str">
        <x:v>Area equivalent = model2020 * WUP surface / TEMPO2020 footprint; km2 multiplied by1e6 once</x:v>
      </x:c>
      <x:c r="W1626" s="2" t="str">
        <x:v>L1_numeric_partition_qualified_not_national_completeness</x:v>
      </x:c>
      <x:c r="X1626" s="2" t="str">
        <x:v>https://human-settlement.emergency.copernicus.eu/datasets.php</x:v>
      </x:c>
    </x:row>
    <x:row r="1627" ht="23" customHeight="1">
      <x:c r="A1627" s="2" t="str">
        <x:v>CZE</x:v>
      </x:c>
      <x:c r="B1627" s="2" t="str">
        <x:v>Czechia (Czech Republic)</x:v>
      </x:c>
      <x:c r="C1627" s="2" t="n">
        <x:v>2020</x:v>
      </x:c>
      <x:c r="D1627" s="2" t="str">
        <x:v>WUP_SURFACE</x:v>
      </x:c>
      <x:c r="E1627" s="17" t="n">
        <x:v>853858176.0500003</x:v>
      </x:c>
      <x:c r="F1627" s="17" t="n">
        <x:f>IF(AND(M1627,ISNUMBER(R1627)),IF(D1627="TEMPO_PROXY",R1627,IF(AND(ISNUMBER(S1627),S1627&gt;0,ISNUMBER(U1627)),U1627*R1627/S1627,"n.a.")),"n.a.")</x:f>
        <x:v>1395934647.3282294</x:v>
      </x:c>
      <x:c r="G1627" s="17" t="n">
        <x:f>IF(AND(ISNUMBER(E1627),ISNUMBER(F1627)),E1627-F1627,"n.a.")</x:f>
        <x:v>-542076471.2782291</x:v>
      </x:c>
      <x:c r="H1627" s="15" t="n">
        <x:f>IF(AND(ISNUMBER(E1627),ISNUMBER(F1627),F1627&gt;0),(E1627-F1627)/F1627,"n.a.")</x:f>
        <x:v>-0.38832510699246897</x:v>
      </x:c>
      <x:c r="I1627" s="19" t="n">
        <x:f>IF(ISNUMBER(H1627),ABS(H1627),"n.a.")</x:f>
        <x:v>0.38832510699246897</x:v>
      </x:c>
      <x:c r="J1627" s="2" t="str">
        <x:v>available</x:v>
      </x:c>
      <x:c r="K1627" s="2" t="n">
        <x:v>1</x:v>
      </x:c>
      <x:c r="L1627" s="13" t="b">
        <x:v>0</x:v>
      </x:c>
      <x:c r="M1627" s="13" t="b">
        <x:v>1</x:v>
      </x:c>
      <x:c r="N1627" s="2" t="str">
        <x:v>historical_GHSL_BU_estimate</x:v>
      </x:c>
      <x:c r="O1627" s="2" t="str"/>
      <x:c r="P1627" s="2" t="str">
        <x:v>horizontal built-up surface</x:v>
      </x:c>
      <x:c r="Q1627" s="2" t="str">
        <x:v>m2</x:v>
      </x:c>
      <x:c r="R1627" s="17" t="n">
        <x:v>1361503641.673497</x:v>
      </x:c>
      <x:c r="S1627" s="17" t="n">
        <x:v>832797594.35</x:v>
      </x:c>
      <x:c r="T1627" s="18" t="n">
        <x:v>1.025288955975477</x:v>
      </x:c>
      <x:c r="U1627" s="17" t="n">
        <x:v>853858176.0500003</x:v>
      </x:c>
      <x:c r="V1627" s="2" t="str">
        <x:v>Area equivalent = model2020 * WUP surface / TEMPO2020 footprint; km2 multiplied by1e6 once</x:v>
      </x:c>
      <x:c r="W1627" s="2" t="str">
        <x:v>L1_numeric_partition_qualified_not_national_completeness</x:v>
      </x:c>
      <x:c r="X1627" s="2" t="str">
        <x:v>https://human-settlement.emergency.copernicus.eu/datasets.php</x:v>
      </x:c>
    </x:row>
    <x:row r="1628" ht="23" customHeight="1">
      <x:c r="A1628" s="2" t="str">
        <x:v>DEU</x:v>
      </x:c>
      <x:c r="B1628" s="2" t="str">
        <x:v>Germany (Federal Republic of)</x:v>
      </x:c>
      <x:c r="C1628" s="2" t="n">
        <x:v>2020</x:v>
      </x:c>
      <x:c r="D1628" s="2" t="str">
        <x:v>WUP_SURFACE</x:v>
      </x:c>
      <x:c r="E1628" s="17" t="n">
        <x:v>6611215465.220001</x:v>
      </x:c>
      <x:c r="F1628" s="17" t="n">
        <x:f>IF(AND(M1628,ISNUMBER(R1628)),IF(D1628="TEMPO_PROXY",R1628,IF(AND(ISNUMBER(S1628),S1628&gt;0,ISNUMBER(U1628)),U1628*R1628/S1628,"n.a.")),"n.a.")</x:f>
        <x:v>10016522082.73257</x:v>
      </x:c>
      <x:c r="G1628" s="17" t="n">
        <x:f>IF(AND(ISNUMBER(E1628),ISNUMBER(F1628)),E1628-F1628,"n.a.")</x:f>
        <x:v>-3405306617.5125694</x:v>
      </x:c>
      <x:c r="H1628" s="15" t="n">
        <x:f>IF(AND(ISNUMBER(E1628),ISNUMBER(F1628),F1628&gt;0),(E1628-F1628)/F1628,"n.a.")</x:f>
        <x:v>-0.33996896221922773</x:v>
      </x:c>
      <x:c r="I1628" s="19" t="n">
        <x:f>IF(ISNUMBER(H1628),ABS(H1628),"n.a.")</x:f>
        <x:v>0.33996896221922773</x:v>
      </x:c>
      <x:c r="J1628" s="2" t="str">
        <x:v>available</x:v>
      </x:c>
      <x:c r="K1628" s="2" t="n">
        <x:v>1</x:v>
      </x:c>
      <x:c r="L1628" s="13" t="b">
        <x:v>0</x:v>
      </x:c>
      <x:c r="M1628" s="13" t="b">
        <x:v>1</x:v>
      </x:c>
      <x:c r="N1628" s="2" t="str">
        <x:v>historical_GHSL_BU_estimate</x:v>
      </x:c>
      <x:c r="O1628" s="2" t="str"/>
      <x:c r="P1628" s="2" t="str">
        <x:v>horizontal built-up surface</x:v>
      </x:c>
      <x:c r="Q1628" s="2" t="str">
        <x:v>m2</x:v>
      </x:c>
      <x:c r="R1628" s="17" t="n">
        <x:v>9558232652.439943</x:v>
      </x:c>
      <x:c r="S1628" s="17" t="n">
        <x:v>6308730216.94</x:v>
      </x:c>
      <x:c r="T1628" s="18" t="n">
        <x:v>1.0479470888559759</x:v>
      </x:c>
      <x:c r="U1628" s="17" t="n">
        <x:v>6611215465.220001</x:v>
      </x:c>
      <x:c r="V1628" s="2" t="str">
        <x:v>Area equivalent = model2020 * WUP surface / TEMPO2020 footprint; km2 multiplied by1e6 once</x:v>
      </x:c>
      <x:c r="W1628" s="2" t="str">
        <x:v>L1_numeric_partition_qualified_not_national_completeness</x:v>
      </x:c>
      <x:c r="X1628" s="2" t="str">
        <x:v>https://human-settlement.emergency.copernicus.eu/datasets.php</x:v>
      </x:c>
    </x:row>
    <x:row r="1629" ht="23" customHeight="1">
      <x:c r="A1629" s="2" t="str">
        <x:v>DJI</x:v>
      </x:c>
      <x:c r="B1629" s="2" t="str">
        <x:v>Djibouti (Republic of)</x:v>
      </x:c>
      <x:c r="C1629" s="2" t="n">
        <x:v>2020</x:v>
      </x:c>
      <x:c r="D1629" s="2" t="str">
        <x:v>WUP_SURFACE</x:v>
      </x:c>
      <x:c r="E1629" s="17" t="n">
        <x:v>12588327.629999984</x:v>
      </x:c>
      <x:c r="F1629" s="17" t="n">
        <x:f>IF(AND(M1629,ISNUMBER(R1629)),IF(D1629="TEMPO_PROXY",R1629,IF(AND(ISNUMBER(S1629),S1629&gt;0,ISNUMBER(U1629)),U1629*R1629/S1629,"n.a.")),"n.a.")</x:f>
        <x:v>21019028.85227543</x:v>
      </x:c>
      <x:c r="G1629" s="17" t="n">
        <x:f>IF(AND(ISNUMBER(E1629),ISNUMBER(F1629)),E1629-F1629,"n.a.")</x:f>
        <x:v>-8430701.222275447</x:v>
      </x:c>
      <x:c r="H1629" s="15" t="n">
        <x:f>IF(AND(ISNUMBER(E1629),ISNUMBER(F1629),F1629&gt;0),(E1629-F1629)/F1629,"n.a.")</x:f>
        <x:v>-0.40109851323424844</x:v>
      </x:c>
      <x:c r="I1629" s="19" t="n">
        <x:f>IF(ISNUMBER(H1629),ABS(H1629),"n.a.")</x:f>
        <x:v>0.40109851323424844</x:v>
      </x:c>
      <x:c r="J1629" s="2" t="str">
        <x:v>available</x:v>
      </x:c>
      <x:c r="K1629" s="2" t="n">
        <x:v>1</x:v>
      </x:c>
      <x:c r="L1629" s="13" t="b">
        <x:v>0</x:v>
      </x:c>
      <x:c r="M1629" s="13" t="b">
        <x:v>1</x:v>
      </x:c>
      <x:c r="N1629" s="2" t="str">
        <x:v>historical_GHSL_BU_estimate</x:v>
      </x:c>
      <x:c r="O1629" s="2" t="str"/>
      <x:c r="P1629" s="2" t="str">
        <x:v>horizontal built-up surface</x:v>
      </x:c>
      <x:c r="Q1629" s="2" t="str">
        <x:v>m2</x:v>
      </x:c>
      <x:c r="R1629" s="17" t="n">
        <x:v>20249018.040496703</x:v>
      </x:c>
      <x:c r="S1629" s="17" t="n">
        <x:v>12127167.01</x:v>
      </x:c>
      <x:c r="T1629" s="18" t="n">
        <x:v>1.0380270692751006</x:v>
      </x:c>
      <x:c r="U1629" s="17" t="n">
        <x:v>12588327.629999984</x:v>
      </x:c>
      <x:c r="V1629" s="2" t="str">
        <x:v>Area equivalent = model2020 * WUP surface / TEMPO2020 footprint; km2 multiplied by1e6 once</x:v>
      </x:c>
      <x:c r="W1629" s="2" t="str">
        <x:v>L1_numeric_partition_qualified_not_national_completeness</x:v>
      </x:c>
      <x:c r="X1629" s="2" t="str">
        <x:v>https://human-settlement.emergency.copernicus.eu/datasets.php</x:v>
      </x:c>
    </x:row>
    <x:row r="1630" ht="23" customHeight="1">
      <x:c r="A1630" s="2" t="str">
        <x:v>DMA</x:v>
      </x:c>
      <x:c r="B1630" s="2" t="str">
        <x:v>Dominica (Commonwealth of)</x:v>
      </x:c>
      <x:c r="C1630" s="2" t="n">
        <x:v>2020</x:v>
      </x:c>
      <x:c r="D1630" s="2" t="str">
        <x:v>WUP_SURFACE</x:v>
      </x:c>
      <x:c r="E1630" s="17" t="n">
        <x:v>3947192.6899999985</x:v>
      </x:c>
      <x:c r="F1630" s="17" t="n">
        <x:f>IF(AND(M1630,ISNUMBER(R1630)),IF(D1630="TEMPO_PROXY",R1630,IF(AND(ISNUMBER(S1630),S1630&gt;0,ISNUMBER(U1630)),U1630*R1630/S1630,"n.a.")),"n.a.")</x:f>
        <x:v>5577641.011276225</x:v>
      </x:c>
      <x:c r="G1630" s="17" t="n">
        <x:f>IF(AND(ISNUMBER(E1630),ISNUMBER(F1630)),E1630-F1630,"n.a.")</x:f>
        <x:v>-1630448.321276226</x:v>
      </x:c>
      <x:c r="H1630" s="15" t="n">
        <x:f>IF(AND(ISNUMBER(E1630),ISNUMBER(F1630),F1630&gt;0),(E1630-F1630)/F1630,"n.a.")</x:f>
        <x:v>-0.29231861964224226</x:v>
      </x:c>
      <x:c r="I1630" s="19" t="n">
        <x:f>IF(ISNUMBER(H1630),ABS(H1630),"n.a.")</x:f>
        <x:v>0.29231861964224226</x:v>
      </x:c>
      <x:c r="J1630" s="2" t="str">
        <x:v>available</x:v>
      </x:c>
      <x:c r="K1630" s="2" t="n">
        <x:v>1</x:v>
      </x:c>
      <x:c r="L1630" s="13" t="b">
        <x:v>0</x:v>
      </x:c>
      <x:c r="M1630" s="13" t="b">
        <x:v>1</x:v>
      </x:c>
      <x:c r="N1630" s="2" t="str">
        <x:v>historical_GHSL_BU_estimate</x:v>
      </x:c>
      <x:c r="O1630" s="2" t="str"/>
      <x:c r="P1630" s="2" t="str">
        <x:v>horizontal built-up surface</x:v>
      </x:c>
      <x:c r="Q1630" s="2" t="str">
        <x:v>m2</x:v>
      </x:c>
      <x:c r="R1630" s="17" t="n">
        <x:v>5577641.011276227</x:v>
      </x:c>
      <x:c r="S1630" s="17" t="n">
        <x:v>3947192.69</x:v>
      </x:c>
      <x:c r="T1630" s="18" t="n">
        <x:v>0.9999999999999997</x:v>
      </x:c>
      <x:c r="U1630" s="17" t="n">
        <x:v>3947192.6899999985</x:v>
      </x:c>
      <x:c r="V1630" s="2" t="str">
        <x:v>Area equivalent = model2020 * WUP surface / TEMPO2020 footprint; km2 multiplied by1e6 once</x:v>
      </x:c>
      <x:c r="W1630" s="2" t="str">
        <x:v>L1_numeric_partition_qualified_not_national_completeness</x:v>
      </x:c>
      <x:c r="X1630" s="2" t="str">
        <x:v>https://human-settlement.emergency.copernicus.eu/datasets.php</x:v>
      </x:c>
    </x:row>
    <x:row r="1631" ht="23" customHeight="1">
      <x:c r="A1631" s="2" t="str">
        <x:v>DNK</x:v>
      </x:c>
      <x:c r="B1631" s="2" t="str">
        <x:v>Denmark (Kingdom of)</x:v>
      </x:c>
      <x:c r="C1631" s="2" t="n">
        <x:v>2020</x:v>
      </x:c>
      <x:c r="D1631" s="2" t="str">
        <x:v>WUP_SURFACE</x:v>
      </x:c>
      <x:c r="E1631" s="17" t="n">
        <x:v>665059716.8900009</x:v>
      </x:c>
      <x:c r="F1631" s="17" t="n">
        <x:f>IF(AND(M1631,ISNUMBER(R1631)),IF(D1631="TEMPO_PROXY",R1631,IF(AND(ISNUMBER(S1631),S1631&gt;0,ISNUMBER(U1631)),U1631*R1631/S1631,"n.a.")),"n.a.")</x:f>
        <x:v>824366171.9993024</x:v>
      </x:c>
      <x:c r="G1631" s="17" t="n">
        <x:f>IF(AND(ISNUMBER(E1631),ISNUMBER(F1631)),E1631-F1631,"n.a.")</x:f>
        <x:v>-159306455.10930145</x:v>
      </x:c>
      <x:c r="H1631" s="15" t="n">
        <x:f>IF(AND(ISNUMBER(E1631),ISNUMBER(F1631),F1631&gt;0),(E1631-F1631)/F1631,"n.a.")</x:f>
        <x:v>-0.19324720072263743</x:v>
      </x:c>
      <x:c r="I1631" s="19" t="n">
        <x:f>IF(ISNUMBER(H1631),ABS(H1631),"n.a.")</x:f>
        <x:v>0.19324720072263743</x:v>
      </x:c>
      <x:c r="J1631" s="2" t="str">
        <x:v>available</x:v>
      </x:c>
      <x:c r="K1631" s="2" t="n">
        <x:v>1</x:v>
      </x:c>
      <x:c r="L1631" s="13" t="b">
        <x:v>0</x:v>
      </x:c>
      <x:c r="M1631" s="13" t="b">
        <x:v>1</x:v>
      </x:c>
      <x:c r="N1631" s="2" t="str">
        <x:v>historical_GHSL_BU_estimate</x:v>
      </x:c>
      <x:c r="O1631" s="2" t="str"/>
      <x:c r="P1631" s="2" t="str">
        <x:v>horizontal built-up surface</x:v>
      </x:c>
      <x:c r="Q1631" s="2" t="str">
        <x:v>m2</x:v>
      </x:c>
      <x:c r="R1631" s="17" t="n">
        <x:v>819001256.3846583</x:v>
      </x:c>
      <x:c r="S1631" s="17" t="n">
        <x:v>660731556.2</x:v>
      </x:c>
      <x:c r="T1631" s="18" t="n">
        <x:v>1.006550558467183</x:v>
      </x:c>
      <x:c r="U1631" s="17" t="n">
        <x:v>665059716.8900009</x:v>
      </x:c>
      <x:c r="V1631" s="2" t="str">
        <x:v>Area equivalent = model2020 * WUP surface / TEMPO2020 footprint; km2 multiplied by1e6 once</x:v>
      </x:c>
      <x:c r="W1631" s="2" t="str">
        <x:v>L1_numeric_partition_qualified_not_national_completeness</x:v>
      </x:c>
      <x:c r="X1631" s="2" t="str">
        <x:v>https://human-settlement.emergency.copernicus.eu/datasets.php</x:v>
      </x:c>
    </x:row>
    <x:row r="1632" ht="23" customHeight="1">
      <x:c r="A1632" s="2" t="str">
        <x:v>DOM</x:v>
      </x:c>
      <x:c r="B1632" s="2" t="str">
        <x:v>Dominican Republic</x:v>
      </x:c>
      <x:c r="C1632" s="2" t="n">
        <x:v>2020</x:v>
      </x:c>
      <x:c r="D1632" s="2" t="str">
        <x:v>WUP_SURFACE</x:v>
      </x:c>
      <x:c r="E1632" s="17" t="n">
        <x:v>336248050.8900004</x:v>
      </x:c>
      <x:c r="F1632" s="17" t="n">
        <x:f>IF(AND(M1632,ISNUMBER(R1632)),IF(D1632="TEMPO_PROXY",R1632,IF(AND(ISNUMBER(S1632),S1632&gt;0,ISNUMBER(U1632)),U1632*R1632/S1632,"n.a.")),"n.a.")</x:f>
        <x:v>505607053.05713797</x:v>
      </x:c>
      <x:c r="G1632" s="17" t="n">
        <x:f>IF(AND(ISNUMBER(E1632),ISNUMBER(F1632)),E1632-F1632,"n.a.")</x:f>
        <x:v>-169359002.16713756</x:v>
      </x:c>
      <x:c r="H1632" s="15" t="n">
        <x:f>IF(AND(ISNUMBER(E1632),ISNUMBER(F1632),F1632&gt;0),(E1632-F1632)/F1632,"n.a.")</x:f>
        <x:v>-0.3349617081943644</x:v>
      </x:c>
      <x:c r="I1632" s="19" t="n">
        <x:f>IF(ISNUMBER(H1632),ABS(H1632),"n.a.")</x:f>
        <x:v>0.3349617081943644</x:v>
      </x:c>
      <x:c r="J1632" s="2" t="str">
        <x:v>available</x:v>
      </x:c>
      <x:c r="K1632" s="2" t="n">
        <x:v>1</x:v>
      </x:c>
      <x:c r="L1632" s="13" t="b">
        <x:v>0</x:v>
      </x:c>
      <x:c r="M1632" s="13" t="b">
        <x:v>1</x:v>
      </x:c>
      <x:c r="N1632" s="2" t="str">
        <x:v>historical_GHSL_BU_estimate</x:v>
      </x:c>
      <x:c r="O1632" s="2" t="str"/>
      <x:c r="P1632" s="2" t="str">
        <x:v>horizontal built-up surface</x:v>
      </x:c>
      <x:c r="Q1632" s="2" t="str">
        <x:v>m2</x:v>
      </x:c>
      <x:c r="R1632" s="17" t="n">
        <x:v>505607053.0571373</x:v>
      </x:c>
      <x:c r="S1632" s="17" t="n">
        <x:v>336248050.89</x:v>
      </x:c>
      <x:c r="T1632" s="18" t="n">
        <x:v>1.0000000000000013</x:v>
      </x:c>
      <x:c r="U1632" s="17" t="n">
        <x:v>336248050.8900004</x:v>
      </x:c>
      <x:c r="V1632" s="2" t="str">
        <x:v>Area equivalent = model2020 * WUP surface / TEMPO2020 footprint; km2 multiplied by1e6 once</x:v>
      </x:c>
      <x:c r="W1632" s="2" t="str">
        <x:v>L1_numeric_partition_qualified_not_national_completeness</x:v>
      </x:c>
      <x:c r="X1632" s="2" t="str">
        <x:v>https://human-settlement.emergency.copernicus.eu/datasets.php</x:v>
      </x:c>
    </x:row>
    <x:row r="1633" ht="23" customHeight="1">
      <x:c r="A1633" s="2" t="str">
        <x:v>DZA</x:v>
      </x:c>
      <x:c r="B1633" s="2" t="str">
        <x:v>Algeria (People's Democratic Republic of)</x:v>
      </x:c>
      <x:c r="C1633" s="2" t="n">
        <x:v>2020</x:v>
      </x:c>
      <x:c r="D1633" s="2" t="str">
        <x:v>WUP_SURFACE</x:v>
      </x:c>
      <x:c r="E1633" s="17" t="n">
        <x:v>1607752786.8799975</x:v>
      </x:c>
      <x:c r="F1633" s="17" t="n">
        <x:f>IF(AND(M1633,ISNUMBER(R1633)),IF(D1633="TEMPO_PROXY",R1633,IF(AND(ISNUMBER(S1633),S1633&gt;0,ISNUMBER(U1633)),U1633*R1633/S1633,"n.a.")),"n.a.")</x:f>
        <x:v>2277425900.9626417</x:v>
      </x:c>
      <x:c r="G1633" s="17" t="n">
        <x:f>IF(AND(ISNUMBER(E1633),ISNUMBER(F1633)),E1633-F1633,"n.a.")</x:f>
        <x:v>-669673114.0826442</x:v>
      </x:c>
      <x:c r="H1633" s="15" t="n">
        <x:f>IF(AND(ISNUMBER(E1633),ISNUMBER(F1633),F1633&gt;0),(E1633-F1633)/F1633,"n.a.")</x:f>
        <x:v>-0.2940482558837946</x:v>
      </x:c>
      <x:c r="I1633" s="19" t="n">
        <x:f>IF(ISNUMBER(H1633),ABS(H1633),"n.a.")</x:f>
        <x:v>0.2940482558837946</x:v>
      </x:c>
      <x:c r="J1633" s="2" t="str">
        <x:v>available</x:v>
      </x:c>
      <x:c r="K1633" s="2" t="n">
        <x:v>1</x:v>
      </x:c>
      <x:c r="L1633" s="13" t="b">
        <x:v>0</x:v>
      </x:c>
      <x:c r="M1633" s="13" t="b">
        <x:v>1</x:v>
      </x:c>
      <x:c r="N1633" s="2" t="str">
        <x:v>historical_GHSL_BU_estimate</x:v>
      </x:c>
      <x:c r="O1633" s="2" t="str"/>
      <x:c r="P1633" s="2" t="str">
        <x:v>horizontal built-up surface</x:v>
      </x:c>
      <x:c r="Q1633" s="2" t="str">
        <x:v>m2</x:v>
      </x:c>
      <x:c r="R1633" s="17" t="n">
        <x:v>2251269484.417323</x:v>
      </x:c>
      <x:c r="S1633" s="17" t="n">
        <x:v>1589287619</x:v>
      </x:c>
      <x:c r="T1633" s="18" t="n">
        <x:v>1.0116185186741817</x:v>
      </x:c>
      <x:c r="U1633" s="17" t="n">
        <x:v>1607752786.8799975</x:v>
      </x:c>
      <x:c r="V1633" s="2" t="str">
        <x:v>Area equivalent = model2020 * WUP surface / TEMPO2020 footprint; km2 multiplied by1e6 once</x:v>
      </x:c>
      <x:c r="W1633" s="2" t="str">
        <x:v>L1_numeric_partition_qualified_not_national_completeness</x:v>
      </x:c>
      <x:c r="X1633" s="2" t="str">
        <x:v>https://human-settlement.emergency.copernicus.eu/datasets.php</x:v>
      </x:c>
    </x:row>
    <x:row r="1634" ht="23" customHeight="1">
      <x:c r="A1634" s="2" t="str">
        <x:v>ECU</x:v>
      </x:c>
      <x:c r="B1634" s="2" t="str">
        <x:v>Ecuador (Republic of)</x:v>
      </x:c>
      <x:c r="C1634" s="2" t="n">
        <x:v>2020</x:v>
      </x:c>
      <x:c r="D1634" s="2" t="str">
        <x:v>WUP_SURFACE</x:v>
      </x:c>
      <x:c r="E1634" s="17" t="n">
        <x:v>734538215.0500003</x:v>
      </x:c>
      <x:c r="F1634" s="17" t="n">
        <x:f>IF(AND(M1634,ISNUMBER(R1634)),IF(D1634="TEMPO_PROXY",R1634,IF(AND(ISNUMBER(S1634),S1634&gt;0,ISNUMBER(U1634)),U1634*R1634/S1634,"n.a.")),"n.a.")</x:f>
        <x:v>932396377.5527982</x:v>
      </x:c>
      <x:c r="G1634" s="17" t="n">
        <x:f>IF(AND(ISNUMBER(E1634),ISNUMBER(F1634)),E1634-F1634,"n.a.")</x:f>
        <x:v>-197858162.50279784</x:v>
      </x:c>
      <x:c r="H1634" s="15" t="n">
        <x:f>IF(AND(ISNUMBER(E1634),ISNUMBER(F1634),F1634&gt;0),(E1634-F1634)/F1634,"n.a.")</x:f>
        <x:v>-0.21220391591621543</x:v>
      </x:c>
      <x:c r="I1634" s="19" t="n">
        <x:f>IF(ISNUMBER(H1634),ABS(H1634),"n.a.")</x:f>
        <x:v>0.21220391591621543</x:v>
      </x:c>
      <x:c r="J1634" s="2" t="str">
        <x:v>available</x:v>
      </x:c>
      <x:c r="K1634" s="2" t="n">
        <x:v>1</x:v>
      </x:c>
      <x:c r="L1634" s="13" t="b">
        <x:v>0</x:v>
      </x:c>
      <x:c r="M1634" s="13" t="b">
        <x:v>1</x:v>
      </x:c>
      <x:c r="N1634" s="2" t="str">
        <x:v>historical_GHSL_BU_estimate</x:v>
      </x:c>
      <x:c r="O1634" s="2" t="str"/>
      <x:c r="P1634" s="2" t="str">
        <x:v>horizontal built-up surface</x:v>
      </x:c>
      <x:c r="Q1634" s="2" t="str">
        <x:v>m2</x:v>
      </x:c>
      <x:c r="R1634" s="17" t="n">
        <x:v>932396377.5527977</x:v>
      </x:c>
      <x:c r="S1634" s="17" t="n">
        <x:v>734538215.05</x:v>
      </x:c>
      <x:c r="T1634" s="18" t="n">
        <x:v>1.0000000000000004</x:v>
      </x:c>
      <x:c r="U1634" s="17" t="n">
        <x:v>734538215.0500003</x:v>
      </x:c>
      <x:c r="V1634" s="2" t="str">
        <x:v>Area equivalent = model2020 * WUP surface / TEMPO2020 footprint; km2 multiplied by1e6 once</x:v>
      </x:c>
      <x:c r="W1634" s="2" t="str">
        <x:v>L1_numeric_partition_qualified_not_national_completeness</x:v>
      </x:c>
      <x:c r="X1634" s="2" t="str">
        <x:v>https://human-settlement.emergency.copernicus.eu/datasets.php</x:v>
      </x:c>
    </x:row>
    <x:row r="1635" ht="23" customHeight="1">
      <x:c r="A1635" s="2" t="str">
        <x:v>EGY</x:v>
      </x:c>
      <x:c r="B1635" s="2" t="str">
        <x:v>Egypt (Arab Republic of)</x:v>
      </x:c>
      <x:c r="C1635" s="2" t="n">
        <x:v>2020</x:v>
      </x:c>
      <x:c r="D1635" s="2" t="str">
        <x:v>WUP_SURFACE</x:v>
      </x:c>
      <x:c r="E1635" s="17" t="n">
        <x:v>2954306535.6</x:v>
      </x:c>
      <x:c r="F1635" s="17" t="n">
        <x:f>IF(AND(M1635,ISNUMBER(R1635)),IF(D1635="TEMPO_PROXY",R1635,IF(AND(ISNUMBER(S1635),S1635&gt;0,ISNUMBER(U1635)),U1635*R1635/S1635,"n.a.")),"n.a.")</x:f>
        <x:v>4180930421.3139358</x:v>
      </x:c>
      <x:c r="G1635" s="17" t="n">
        <x:f>IF(AND(ISNUMBER(E1635),ISNUMBER(F1635)),E1635-F1635,"n.a.")</x:f>
        <x:v>-1226623885.7139359</x:v>
      </x:c>
      <x:c r="H1635" s="15" t="n">
        <x:f>IF(AND(ISNUMBER(E1635),ISNUMBER(F1635),F1635&gt;0),(E1635-F1635)/F1635,"n.a.")</x:f>
        <x:v>-0.29338538605204684</x:v>
      </x:c>
      <x:c r="I1635" s="19" t="n">
        <x:f>IF(ISNUMBER(H1635),ABS(H1635),"n.a.")</x:f>
        <x:v>0.29338538605204684</x:v>
      </x:c>
      <x:c r="J1635" s="2" t="str">
        <x:v>available</x:v>
      </x:c>
      <x:c r="K1635" s="2" t="n">
        <x:v>1</x:v>
      </x:c>
      <x:c r="L1635" s="13" t="b">
        <x:v>0</x:v>
      </x:c>
      <x:c r="M1635" s="13" t="b">
        <x:v>1</x:v>
      </x:c>
      <x:c r="N1635" s="2" t="str">
        <x:v>historical_GHSL_BU_estimate</x:v>
      </x:c>
      <x:c r="O1635" s="2" t="str"/>
      <x:c r="P1635" s="2" t="str">
        <x:v>horizontal built-up surface</x:v>
      </x:c>
      <x:c r="Q1635" s="2" t="str">
        <x:v>m2</x:v>
      </x:c>
      <x:c r="R1635" s="17" t="n">
        <x:v>3131484168.105507</x:v>
      </x:c>
      <x:c r="S1635" s="17" t="n">
        <x:v>2212752476.53</x:v>
      </x:c>
      <x:c r="T1635" s="18" t="n">
        <x:v>1.3351274337891113</x:v>
      </x:c>
      <x:c r="U1635" s="17" t="n">
        <x:v>2954306535.6</x:v>
      </x:c>
      <x:c r="V1635" s="2" t="str">
        <x:v>Area equivalent = model2020 * WUP surface / TEMPO2020 footprint; km2 multiplied by1e6 once</x:v>
      </x:c>
      <x:c r="W1635" s="2" t="str">
        <x:v>L1_numeric_partition_qualified_not_national_completeness</x:v>
      </x:c>
      <x:c r="X1635" s="2" t="str">
        <x:v>https://human-settlement.emergency.copernicus.eu/datasets.php</x:v>
      </x:c>
    </x:row>
    <x:row r="1636" ht="23" customHeight="1">
      <x:c r="A1636" s="2" t="str">
        <x:v>ERI</x:v>
      </x:c>
      <x:c r="B1636" s="2" t="str">
        <x:v>Eritrea (State of)</x:v>
      </x:c>
      <x:c r="C1636" s="2" t="n">
        <x:v>2020</x:v>
      </x:c>
      <x:c r="D1636" s="2" t="str">
        <x:v>WUP_SURFACE</x:v>
      </x:c>
      <x:c r="E1636" s="17" t="n">
        <x:v>45298098.329999976</x:v>
      </x:c>
      <x:c r="F1636" s="17" t="n">
        <x:f>IF(AND(M1636,ISNUMBER(R1636)),IF(D1636="TEMPO_PROXY",R1636,IF(AND(ISNUMBER(S1636),S1636&gt;0,ISNUMBER(U1636)),U1636*R1636/S1636,"n.a.")),"n.a.")</x:f>
        <x:v>106156469.9371167</x:v>
      </x:c>
      <x:c r="G1636" s="17" t="n">
        <x:f>IF(AND(ISNUMBER(E1636),ISNUMBER(F1636)),E1636-F1636,"n.a.")</x:f>
        <x:v>-60858371.60711672</x:v>
      </x:c>
      <x:c r="H1636" s="15" t="n">
        <x:f>IF(AND(ISNUMBER(E1636),ISNUMBER(F1636),F1636&gt;0),(E1636-F1636)/F1636,"n.a.")</x:f>
        <x:v>-0.5732893307696371</x:v>
      </x:c>
      <x:c r="I1636" s="19" t="n">
        <x:f>IF(ISNUMBER(H1636),ABS(H1636),"n.a.")</x:f>
        <x:v>0.5732893307696371</x:v>
      </x:c>
      <x:c r="J1636" s="2" t="str">
        <x:v>available</x:v>
      </x:c>
      <x:c r="K1636" s="2" t="n">
        <x:v>1</x:v>
      </x:c>
      <x:c r="L1636" s="13" t="b">
        <x:v>0</x:v>
      </x:c>
      <x:c r="M1636" s="13" t="b">
        <x:v>1</x:v>
      </x:c>
      <x:c r="N1636" s="2" t="str">
        <x:v>historical_GHSL_BU_estimate</x:v>
      </x:c>
      <x:c r="O1636" s="2" t="str"/>
      <x:c r="P1636" s="2" t="str">
        <x:v>horizontal built-up surface</x:v>
      </x:c>
      <x:c r="Q1636" s="2" t="str">
        <x:v>m2</x:v>
      </x:c>
      <x:c r="R1636" s="17" t="n">
        <x:v>106156469.93711676</x:v>
      </x:c>
      <x:c r="S1636" s="17" t="n">
        <x:v>45298098.33</x:v>
      </x:c>
      <x:c r="T1636" s="18" t="n">
        <x:v>0.9999999999999996</x:v>
      </x:c>
      <x:c r="U1636" s="17" t="n">
        <x:v>45298098.329999976</x:v>
      </x:c>
      <x:c r="V1636" s="2" t="str">
        <x:v>Area equivalent = model2020 * WUP surface / TEMPO2020 footprint; km2 multiplied by1e6 once</x:v>
      </x:c>
      <x:c r="W1636" s="2" t="str">
        <x:v>L1_numeric_partition_qualified_not_national_completeness</x:v>
      </x:c>
      <x:c r="X1636" s="2" t="str">
        <x:v>https://human-settlement.emergency.copernicus.eu/datasets.php</x:v>
      </x:c>
    </x:row>
    <x:row r="1637" ht="23" customHeight="1">
      <x:c r="A1637" s="2" t="str">
        <x:v>ESP</x:v>
      </x:c>
      <x:c r="B1637" s="2" t="str">
        <x:v>Spain (Kingdom of)</x:v>
      </x:c>
      <x:c r="C1637" s="2" t="n">
        <x:v>2020</x:v>
      </x:c>
      <x:c r="D1637" s="2" t="str">
        <x:v>WUP_SURFACE</x:v>
      </x:c>
      <x:c r="E1637" s="17" t="n">
        <x:v>3693503432.029994</x:v>
      </x:c>
      <x:c r="F1637" s="17" t="n">
        <x:f>IF(AND(M1637,ISNUMBER(R1637)),IF(D1637="TEMPO_PROXY",R1637,IF(AND(ISNUMBER(S1637),S1637&gt;0,ISNUMBER(U1637)),U1637*R1637/S1637,"n.a.")),"n.a.")</x:f>
        <x:v>4996614483.892765</x:v>
      </x:c>
      <x:c r="G1637" s="17" t="n">
        <x:f>IF(AND(ISNUMBER(E1637),ISNUMBER(F1637)),E1637-F1637,"n.a.")</x:f>
        <x:v>-1303111051.862771</x:v>
      </x:c>
      <x:c r="H1637" s="15" t="n">
        <x:f>IF(AND(ISNUMBER(E1637),ISNUMBER(F1637),F1637&gt;0),(E1637-F1637)/F1637,"n.a.")</x:f>
        <x:v>-0.2607987980788829</x:v>
      </x:c>
      <x:c r="I1637" s="19" t="n">
        <x:f>IF(ISNUMBER(H1637),ABS(H1637),"n.a.")</x:f>
        <x:v>0.2607987980788829</x:v>
      </x:c>
      <x:c r="J1637" s="2" t="str">
        <x:v>available</x:v>
      </x:c>
      <x:c r="K1637" s="2" t="n">
        <x:v>1</x:v>
      </x:c>
      <x:c r="L1637" s="13" t="b">
        <x:v>0</x:v>
      </x:c>
      <x:c r="M1637" s="13" t="b">
        <x:v>1</x:v>
      </x:c>
      <x:c r="N1637" s="2" t="str">
        <x:v>historical_GHSL_BU_estimate</x:v>
      </x:c>
      <x:c r="O1637" s="2" t="str"/>
      <x:c r="P1637" s="2" t="str">
        <x:v>horizontal built-up surface</x:v>
      </x:c>
      <x:c r="Q1637" s="2" t="str">
        <x:v>m2</x:v>
      </x:c>
      <x:c r="R1637" s="17" t="n">
        <x:v>4436720089.4513445</x:v>
      </x:c>
      <x:c r="S1637" s="17" t="n">
        <x:v>3279628822.71</x:v>
      </x:c>
      <x:c r="T1637" s="18" t="n">
        <x:v>1.1261955640998436</x:v>
      </x:c>
      <x:c r="U1637" s="17" t="n">
        <x:v>3693503432.029994</x:v>
      </x:c>
      <x:c r="V1637" s="2" t="str">
        <x:v>Area equivalent = model2020 * WUP surface / TEMPO2020 footprint; km2 multiplied by1e6 once</x:v>
      </x:c>
      <x:c r="W1637" s="2" t="str">
        <x:v>L1_numeric_partition_qualified_not_national_completeness</x:v>
      </x:c>
      <x:c r="X1637" s="2" t="str">
        <x:v>https://human-settlement.emergency.copernicus.eu/datasets.php</x:v>
      </x:c>
    </x:row>
    <x:row r="1638" ht="23" customHeight="1">
      <x:c r="A1638" s="2" t="str">
        <x:v>EST</x:v>
      </x:c>
      <x:c r="B1638" s="2" t="str">
        <x:v>Estonia (Republic of)</x:v>
      </x:c>
      <x:c r="C1638" s="2" t="n">
        <x:v>2020</x:v>
      </x:c>
      <x:c r="D1638" s="2" t="str">
        <x:v>WUP_SURFACE</x:v>
      </x:c>
      <x:c r="E1638" s="17" t="n">
        <x:v>113094705.3700001</x:v>
      </x:c>
      <x:c r="F1638" s="17" t="n">
        <x:f>IF(AND(M1638,ISNUMBER(R1638)),IF(D1638="TEMPO_PROXY",R1638,IF(AND(ISNUMBER(S1638),S1638&gt;0,ISNUMBER(U1638)),U1638*R1638/S1638,"n.a.")),"n.a.")</x:f>
        <x:v>192976209.9635291</x:v>
      </x:c>
      <x:c r="G1638" s="17" t="n">
        <x:f>IF(AND(ISNUMBER(E1638),ISNUMBER(F1638)),E1638-F1638,"n.a.")</x:f>
        <x:v>-79881504.59352902</x:v>
      </x:c>
      <x:c r="H1638" s="15" t="n">
        <x:f>IF(AND(ISNUMBER(E1638),ISNUMBER(F1638),F1638&gt;0),(E1638-F1638)/F1638,"n.a.")</x:f>
        <x:v>-0.4139448308608919</x:v>
      </x:c>
      <x:c r="I1638" s="19" t="n">
        <x:f>IF(ISNUMBER(H1638),ABS(H1638),"n.a.")</x:f>
        <x:v>0.4139448308608919</x:v>
      </x:c>
      <x:c r="J1638" s="2" t="str">
        <x:v>available</x:v>
      </x:c>
      <x:c r="K1638" s="2" t="n">
        <x:v>1</x:v>
      </x:c>
      <x:c r="L1638" s="13" t="b">
        <x:v>0</x:v>
      </x:c>
      <x:c r="M1638" s="13" t="b">
        <x:v>1</x:v>
      </x:c>
      <x:c r="N1638" s="2" t="str">
        <x:v>historical_GHSL_BU_estimate</x:v>
      </x:c>
      <x:c r="O1638" s="2" t="str"/>
      <x:c r="P1638" s="2" t="str">
        <x:v>horizontal built-up surface</x:v>
      </x:c>
      <x:c r="Q1638" s="2" t="str">
        <x:v>m2</x:v>
      </x:c>
      <x:c r="R1638" s="17" t="n">
        <x:v>192976209.96352896</x:v>
      </x:c>
      <x:c r="S1638" s="17" t="n">
        <x:v>113094705.37</x:v>
      </x:c>
      <x:c r="T1638" s="18" t="n">
        <x:v>1.0000000000000009</x:v>
      </x:c>
      <x:c r="U1638" s="17" t="n">
        <x:v>113094705.3700001</x:v>
      </x:c>
      <x:c r="V1638" s="2" t="str">
        <x:v>Area equivalent = model2020 * WUP surface / TEMPO2020 footprint; km2 multiplied by1e6 once</x:v>
      </x:c>
      <x:c r="W1638" s="2" t="str">
        <x:v>L1_numeric_partition_qualified_not_national_completeness</x:v>
      </x:c>
      <x:c r="X1638" s="2" t="str">
        <x:v>https://human-settlement.emergency.copernicus.eu/datasets.php</x:v>
      </x:c>
    </x:row>
    <x:row r="1639" ht="23" customHeight="1">
      <x:c r="A1639" s="2" t="str">
        <x:v>ETH</x:v>
      </x:c>
      <x:c r="B1639" s="2" t="str">
        <x:v>Ethiopia (Federal Democratic Republic of)</x:v>
      </x:c>
      <x:c r="C1639" s="2" t="n">
        <x:v>2020</x:v>
      </x:c>
      <x:c r="D1639" s="2" t="str">
        <x:v>WUP_SURFACE</x:v>
      </x:c>
      <x:c r="E1639" s="17" t="n">
        <x:v>1660821510.7100024</x:v>
      </x:c>
      <x:c r="F1639" s="17" t="n">
        <x:f>IF(AND(M1639,ISNUMBER(R1639)),IF(D1639="TEMPO_PROXY",R1639,IF(AND(ISNUMBER(S1639),S1639&gt;0,ISNUMBER(U1639)),U1639*R1639/S1639,"n.a.")),"n.a.")</x:f>
        <x:v>2544618131.682306</x:v>
      </x:c>
      <x:c r="G1639" s="17" t="n">
        <x:f>IF(AND(ISNUMBER(E1639),ISNUMBER(F1639)),E1639-F1639,"n.a.")</x:f>
        <x:v>-883796620.9723034</x:v>
      </x:c>
      <x:c r="H1639" s="15" t="n">
        <x:f>IF(AND(ISNUMBER(E1639),ISNUMBER(F1639),F1639&gt;0),(E1639-F1639)/F1639,"n.a.")</x:f>
        <x:v>-0.34731994163226565</x:v>
      </x:c>
      <x:c r="I1639" s="19" t="n">
        <x:f>IF(ISNUMBER(H1639),ABS(H1639),"n.a.")</x:f>
        <x:v>0.34731994163226565</x:v>
      </x:c>
      <x:c r="J1639" s="2" t="str">
        <x:v>available</x:v>
      </x:c>
      <x:c r="K1639" s="2" t="n">
        <x:v>1</x:v>
      </x:c>
      <x:c r="L1639" s="13" t="b">
        <x:v>0</x:v>
      </x:c>
      <x:c r="M1639" s="13" t="b">
        <x:v>1</x:v>
      </x:c>
      <x:c r="N1639" s="2" t="str">
        <x:v>historical_GHSL_BU_estimate</x:v>
      </x:c>
      <x:c r="O1639" s="2" t="str"/>
      <x:c r="P1639" s="2" t="str">
        <x:v>horizontal built-up surface</x:v>
      </x:c>
      <x:c r="Q1639" s="2" t="str">
        <x:v>m2</x:v>
      </x:c>
      <x:c r="R1639" s="17" t="n">
        <x:v>2544618131.682302</x:v>
      </x:c>
      <x:c r="S1639" s="17" t="n">
        <x:v>1660821510.71</x:v>
      </x:c>
      <x:c r="T1639" s="18" t="n">
        <x:v>1.0000000000000013</x:v>
      </x:c>
      <x:c r="U1639" s="17" t="n">
        <x:v>1660821510.7100024</x:v>
      </x:c>
      <x:c r="V1639" s="2" t="str">
        <x:v>Area equivalent = model2020 * WUP surface / TEMPO2020 footprint; km2 multiplied by1e6 once</x:v>
      </x:c>
      <x:c r="W1639" s="2" t="str">
        <x:v>L1_numeric_partition_qualified_not_national_completeness</x:v>
      </x:c>
      <x:c r="X1639" s="2" t="str">
        <x:v>https://human-settlement.emergency.copernicus.eu/datasets.php</x:v>
      </x:c>
    </x:row>
    <x:row r="1640" ht="23" customHeight="1">
      <x:c r="A1640" s="2" t="str">
        <x:v>FIN</x:v>
      </x:c>
      <x:c r="B1640" s="2" t="str">
        <x:v>Finland (Republic of)</x:v>
      </x:c>
      <x:c r="C1640" s="2" t="n">
        <x:v>2020</x:v>
      </x:c>
      <x:c r="D1640" s="2" t="str">
        <x:v>WUP_SURFACE</x:v>
      </x:c>
      <x:c r="E1640" s="17" t="n">
        <x:v>615866742.3399993</x:v>
      </x:c>
      <x:c r="F1640" s="17" t="n">
        <x:f>IF(AND(M1640,ISNUMBER(R1640)),IF(D1640="TEMPO_PROXY",R1640,IF(AND(ISNUMBER(S1640),S1640&gt;0,ISNUMBER(U1640)),U1640*R1640/S1640,"n.a.")),"n.a.")</x:f>
        <x:v>542868462.1400493</x:v>
      </x:c>
      <x:c r="G1640" s="17" t="n">
        <x:f>IF(AND(ISNUMBER(E1640),ISNUMBER(F1640)),E1640-F1640,"n.a.")</x:f>
        <x:v>72998280.19994998</x:v>
      </x:c>
      <x:c r="H1640" s="15" t="n">
        <x:f>IF(AND(ISNUMBER(E1640),ISNUMBER(F1640),F1640&gt;0),(E1640-F1640)/F1640,"n.a.")</x:f>
        <x:v>0.13446771232976482</x:v>
      </x:c>
      <x:c r="I1640" s="19" t="n">
        <x:f>IF(ISNUMBER(H1640),ABS(H1640),"n.a.")</x:f>
        <x:v>0.13446771232976482</x:v>
      </x:c>
      <x:c r="J1640" s="2" t="str">
        <x:v>available</x:v>
      </x:c>
      <x:c r="K1640" s="2" t="n">
        <x:v>1</x:v>
      </x:c>
      <x:c r="L1640" s="13" t="b">
        <x:v>0</x:v>
      </x:c>
      <x:c r="M1640" s="13" t="b">
        <x:v>1</x:v>
      </x:c>
      <x:c r="N1640" s="2" t="str">
        <x:v>historical_GHSL_BU_estimate</x:v>
      </x:c>
      <x:c r="O1640" s="2" t="str"/>
      <x:c r="P1640" s="2" t="str">
        <x:v>horizontal built-up surface</x:v>
      </x:c>
      <x:c r="Q1640" s="2" t="str">
        <x:v>m2</x:v>
      </x:c>
      <x:c r="R1640" s="17" t="n">
        <x:v>542868462.1400499</x:v>
      </x:c>
      <x:c r="S1640" s="17" t="n">
        <x:v>615866742.34</x:v>
      </x:c>
      <x:c r="T1640" s="18" t="n">
        <x:v>0.9999999999999989</x:v>
      </x:c>
      <x:c r="U1640" s="17" t="n">
        <x:v>615866742.3399993</x:v>
      </x:c>
      <x:c r="V1640" s="2" t="str">
        <x:v>Area equivalent = model2020 * WUP surface / TEMPO2020 footprint; km2 multiplied by1e6 once</x:v>
      </x:c>
      <x:c r="W1640" s="2" t="str">
        <x:v>L1_numeric_partition_qualified_not_national_completeness</x:v>
      </x:c>
      <x:c r="X1640" s="2" t="str">
        <x:v>https://human-settlement.emergency.copernicus.eu/datasets.php</x:v>
      </x:c>
    </x:row>
    <x:row r="1641" ht="23" customHeight="1">
      <x:c r="A1641" s="2" t="str">
        <x:v>FJI</x:v>
      </x:c>
      <x:c r="B1641" s="2" t="str">
        <x:v>Fiji (Republic of)</x:v>
      </x:c>
      <x:c r="C1641" s="2" t="n">
        <x:v>2020</x:v>
      </x:c>
      <x:c r="D1641" s="2" t="str">
        <x:v>WUP_SURFACE</x:v>
      </x:c>
      <x:c r="E1641" s="17" t="n">
        <x:v>37460168.12</x:v>
      </x:c>
      <x:c r="F1641" s="17" t="n">
        <x:f>IF(AND(M1641,ISNUMBER(R1641)),IF(D1641="TEMPO_PROXY",R1641,IF(AND(ISNUMBER(S1641),S1641&gt;0,ISNUMBER(U1641)),U1641*R1641/S1641,"n.a.")),"n.a.")</x:f>
        <x:v>86259115.95521654</x:v>
      </x:c>
      <x:c r="G1641" s="17" t="n">
        <x:f>IF(AND(ISNUMBER(E1641),ISNUMBER(F1641)),E1641-F1641,"n.a.")</x:f>
        <x:v>-48798947.835216545</x:v>
      </x:c>
      <x:c r="H1641" s="15" t="n">
        <x:f>IF(AND(ISNUMBER(E1641),ISNUMBER(F1641),F1641&gt;0),(E1641-F1641)/F1641,"n.a.")</x:f>
        <x:v>-0.5657251096863973</x:v>
      </x:c>
      <x:c r="I1641" s="19" t="n">
        <x:f>IF(ISNUMBER(H1641),ABS(H1641),"n.a.")</x:f>
        <x:v>0.5657251096863973</x:v>
      </x:c>
      <x:c r="J1641" s="2" t="str">
        <x:v>available</x:v>
      </x:c>
      <x:c r="K1641" s="2" t="n">
        <x:v>1</x:v>
      </x:c>
      <x:c r="L1641" s="13" t="b">
        <x:v>0</x:v>
      </x:c>
      <x:c r="M1641" s="13" t="b">
        <x:v>1</x:v>
      </x:c>
      <x:c r="N1641" s="2" t="str">
        <x:v>historical_GHSL_BU_estimate</x:v>
      </x:c>
      <x:c r="O1641" s="2" t="str"/>
      <x:c r="P1641" s="2" t="str">
        <x:v>horizontal built-up surface</x:v>
      </x:c>
      <x:c r="Q1641" s="2" t="str">
        <x:v>m2</x:v>
      </x:c>
      <x:c r="R1641" s="17" t="n">
        <x:v>86259115.95521654</x:v>
      </x:c>
      <x:c r="S1641" s="17" t="n">
        <x:v>37460168.12</x:v>
      </x:c>
      <x:c r="T1641" s="18" t="n">
        <x:v>1</x:v>
      </x:c>
      <x:c r="U1641" s="17" t="n">
        <x:v>37460168.12</x:v>
      </x:c>
      <x:c r="V1641" s="2" t="str">
        <x:v>Area equivalent = model2020 * WUP surface / TEMPO2020 footprint; km2 multiplied by1e6 once</x:v>
      </x:c>
      <x:c r="W1641" s="2" t="str">
        <x:v>L1_numeric_partition_qualified_not_national_completeness</x:v>
      </x:c>
      <x:c r="X1641" s="2" t="str">
        <x:v>https://human-settlement.emergency.copernicus.eu/datasets.php</x:v>
      </x:c>
    </x:row>
    <x:row r="1642" ht="23" customHeight="1">
      <x:c r="A1642" s="2" t="str">
        <x:v>FRA</x:v>
      </x:c>
      <x:c r="B1642" s="2" t="str">
        <x:v>France (French Republic)</x:v>
      </x:c>
      <x:c r="C1642" s="2" t="n">
        <x:v>2020</x:v>
      </x:c>
      <x:c r="D1642" s="2" t="str">
        <x:v>WUP_SURFACE</x:v>
      </x:c>
      <x:c r="E1642" s="17" t="n">
        <x:v>6074526882.680001</x:v>
      </x:c>
      <x:c r="F1642" s="17" t="n">
        <x:f>IF(AND(M1642,ISNUMBER(R1642)),IF(D1642="TEMPO_PROXY",R1642,IF(AND(ISNUMBER(S1642),S1642&gt;0,ISNUMBER(U1642)),U1642*R1642/S1642,"n.a.")),"n.a.")</x:f>
        <x:v>9914338336.452961</x:v>
      </x:c>
      <x:c r="G1642" s="17" t="n">
        <x:f>IF(AND(ISNUMBER(E1642),ISNUMBER(F1642)),E1642-F1642,"n.a.")</x:f>
        <x:v>-3839811453.7729597</x:v>
      </x:c>
      <x:c r="H1642" s="15" t="n">
        <x:f>IF(AND(ISNUMBER(E1642),ISNUMBER(F1642),F1642&gt;0),(E1642-F1642)/F1642,"n.a.")</x:f>
        <x:v>-0.3872988114249411</x:v>
      </x:c>
      <x:c r="I1642" s="19" t="n">
        <x:f>IF(ISNUMBER(H1642),ABS(H1642),"n.a.")</x:f>
        <x:v>0.3872988114249411</x:v>
      </x:c>
      <x:c r="J1642" s="2" t="str">
        <x:v>available</x:v>
      </x:c>
      <x:c r="K1642" s="2" t="n">
        <x:v>1</x:v>
      </x:c>
      <x:c r="L1642" s="13" t="b">
        <x:v>0</x:v>
      </x:c>
      <x:c r="M1642" s="13" t="b">
        <x:v>1</x:v>
      </x:c>
      <x:c r="N1642" s="2" t="str">
        <x:v>historical_GHSL_BU_estimate</x:v>
      </x:c>
      <x:c r="O1642" s="2" t="str"/>
      <x:c r="P1642" s="2" t="str">
        <x:v>horizontal built-up surface</x:v>
      </x:c>
      <x:c r="Q1642" s="2" t="str">
        <x:v>m2</x:v>
      </x:c>
      <x:c r="R1642" s="17" t="n">
        <x:v>9914338336.45296</x:v>
      </x:c>
      <x:c r="S1642" s="17" t="n">
        <x:v>6074526882.68</x:v>
      </x:c>
      <x:c r="T1642" s="18" t="n">
        <x:v>1.0000000000000002</x:v>
      </x:c>
      <x:c r="U1642" s="17" t="n">
        <x:v>6074526882.680001</x:v>
      </x:c>
      <x:c r="V1642" s="2" t="str">
        <x:v>Area equivalent = model2020 * WUP surface / TEMPO2020 footprint; km2 multiplied by1e6 once</x:v>
      </x:c>
      <x:c r="W1642" s="2" t="str">
        <x:v>L1_numeric_partition_qualified_not_national_completeness</x:v>
      </x:c>
      <x:c r="X1642" s="2" t="str">
        <x:v>https://human-settlement.emergency.copernicus.eu/datasets.php</x:v>
      </x:c>
    </x:row>
    <x:row r="1643" ht="23" customHeight="1">
      <x:c r="A1643" s="2" t="str">
        <x:v>FSM</x:v>
      </x:c>
      <x:c r="B1643" s="2" t="str">
        <x:v>Micronesia (Federated States of)</x:v>
      </x:c>
      <x:c r="C1643" s="2" t="n">
        <x:v>2020</x:v>
      </x:c>
      <x:c r="D1643" s="2" t="str">
        <x:v>WUP_SURFACE</x:v>
      </x:c>
      <x:c r="E1643" s="17" t="n">
        <x:v>2177822.609999999</x:v>
      </x:c>
      <x:c r="F1643" s="17" t="n">
        <x:f>IF(AND(M1643,ISNUMBER(R1643)),IF(D1643="TEMPO_PROXY",R1643,IF(AND(ISNUMBER(S1643),S1643&gt;0,ISNUMBER(U1643)),U1643*R1643/S1643,"n.a.")),"n.a.")</x:f>
        <x:v>5493713.999648433</x:v>
      </x:c>
      <x:c r="G1643" s="17" t="n">
        <x:f>IF(AND(ISNUMBER(E1643),ISNUMBER(F1643)),E1643-F1643,"n.a.")</x:f>
        <x:v>-3315891.3896484342</x:v>
      </x:c>
      <x:c r="H1643" s="15" t="n">
        <x:f>IF(AND(ISNUMBER(E1643),ISNUMBER(F1643),F1643&gt;0),(E1643-F1643)/F1643,"n.a.")</x:f>
        <x:v>-0.6035791797426354</x:v>
      </x:c>
      <x:c r="I1643" s="19" t="n">
        <x:f>IF(ISNUMBER(H1643),ABS(H1643),"n.a.")</x:f>
        <x:v>0.6035791797426354</x:v>
      </x:c>
      <x:c r="J1643" s="2" t="str">
        <x:v>available</x:v>
      </x:c>
      <x:c r="K1643" s="2" t="n">
        <x:v>1</x:v>
      </x:c>
      <x:c r="L1643" s="13" t="b">
        <x:v>0</x:v>
      </x:c>
      <x:c r="M1643" s="13" t="b">
        <x:v>1</x:v>
      </x:c>
      <x:c r="N1643" s="2" t="str">
        <x:v>historical_GHSL_BU_estimate</x:v>
      </x:c>
      <x:c r="O1643" s="2" t="str"/>
      <x:c r="P1643" s="2" t="str">
        <x:v>horizontal built-up surface</x:v>
      </x:c>
      <x:c r="Q1643" s="2" t="str">
        <x:v>m2</x:v>
      </x:c>
      <x:c r="R1643" s="17" t="n">
        <x:v>5493713.999648435</x:v>
      </x:c>
      <x:c r="S1643" s="17" t="n">
        <x:v>2177822.61</x:v>
      </x:c>
      <x:c r="T1643" s="18" t="n">
        <x:v>0.9999999999999996</x:v>
      </x:c>
      <x:c r="U1643" s="17" t="n">
        <x:v>2177822.609999999</x:v>
      </x:c>
      <x:c r="V1643" s="2" t="str">
        <x:v>Area equivalent = model2020 * WUP surface / TEMPO2020 footprint; km2 multiplied by1e6 once</x:v>
      </x:c>
      <x:c r="W1643" s="2" t="str">
        <x:v>L1_numeric_partition_qualified_not_national_completeness</x:v>
      </x:c>
      <x:c r="X1643" s="2" t="str">
        <x:v>https://human-settlement.emergency.copernicus.eu/datasets.php</x:v>
      </x:c>
    </x:row>
    <x:row r="1644" ht="23" customHeight="1">
      <x:c r="A1644" s="2" t="str">
        <x:v>GAB</x:v>
      </x:c>
      <x:c r="B1644" s="2" t="str">
        <x:v>Gabon (Gabonese Republic)</x:v>
      </x:c>
      <x:c r="C1644" s="2" t="n">
        <x:v>2020</x:v>
      </x:c>
      <x:c r="D1644" s="2" t="str">
        <x:v>WUP_SURFACE</x:v>
      </x:c>
      <x:c r="E1644" s="17" t="n">
        <x:v>73743642.55999996</x:v>
      </x:c>
      <x:c r="F1644" s="17" t="n">
        <x:f>IF(AND(M1644,ISNUMBER(R1644)),IF(D1644="TEMPO_PROXY",R1644,IF(AND(ISNUMBER(S1644),S1644&gt;0,ISNUMBER(U1644)),U1644*R1644/S1644,"n.a.")),"n.a.")</x:f>
        <x:v>145734357.92939928</x:v>
      </x:c>
      <x:c r="G1644" s="17" t="n">
        <x:f>IF(AND(ISNUMBER(E1644),ISNUMBER(F1644)),E1644-F1644,"n.a.")</x:f>
        <x:v>-71990715.36939932</x:v>
      </x:c>
      <x:c r="H1644" s="15" t="n">
        <x:f>IF(AND(ISNUMBER(E1644),ISNUMBER(F1644),F1644&gt;0),(E1644-F1644)/F1644,"n.a.")</x:f>
        <x:v>-0.49398588220545137</x:v>
      </x:c>
      <x:c r="I1644" s="19" t="n">
        <x:f>IF(ISNUMBER(H1644),ABS(H1644),"n.a.")</x:f>
        <x:v>0.49398588220545137</x:v>
      </x:c>
      <x:c r="J1644" s="2" t="str">
        <x:v>available</x:v>
      </x:c>
      <x:c r="K1644" s="2" t="n">
        <x:v>1</x:v>
      </x:c>
      <x:c r="L1644" s="13" t="b">
        <x:v>0</x:v>
      </x:c>
      <x:c r="M1644" s="13" t="b">
        <x:v>1</x:v>
      </x:c>
      <x:c r="N1644" s="2" t="str">
        <x:v>historical_GHSL_BU_estimate</x:v>
      </x:c>
      <x:c r="O1644" s="2" t="str"/>
      <x:c r="P1644" s="2" t="str">
        <x:v>horizontal built-up surface</x:v>
      </x:c>
      <x:c r="Q1644" s="2" t="str">
        <x:v>m2</x:v>
      </x:c>
      <x:c r="R1644" s="17" t="n">
        <x:v>145734357.92939937</x:v>
      </x:c>
      <x:c r="S1644" s="17" t="n">
        <x:v>73743642.56</x:v>
      </x:c>
      <x:c r="T1644" s="18" t="n">
        <x:v>0.9999999999999994</x:v>
      </x:c>
      <x:c r="U1644" s="17" t="n">
        <x:v>73743642.55999996</x:v>
      </x:c>
      <x:c r="V1644" s="2" t="str">
        <x:v>Area equivalent = model2020 * WUP surface / TEMPO2020 footprint; km2 multiplied by1e6 once</x:v>
      </x:c>
      <x:c r="W1644" s="2" t="str">
        <x:v>L1_numeric_partition_qualified_not_national_completeness</x:v>
      </x:c>
      <x:c r="X1644" s="2" t="str">
        <x:v>https://human-settlement.emergency.copernicus.eu/datasets.php</x:v>
      </x:c>
    </x:row>
    <x:row r="1645" ht="23" customHeight="1">
      <x:c r="A1645" s="2" t="str">
        <x:v>GBR</x:v>
      </x:c>
      <x:c r="B1645" s="2" t="str">
        <x:v>United Kingdom of Great Britain and Northern Ireland</x:v>
      </x:c>
      <x:c r="C1645" s="2" t="n">
        <x:v>2020</x:v>
      </x:c>
      <x:c r="D1645" s="2" t="str">
        <x:v>WUP_SURFACE</x:v>
      </x:c>
      <x:c r="E1645" s="17" t="n">
        <x:v>3418464510.0900006</x:v>
      </x:c>
      <x:c r="F1645" s="17" t="n">
        <x:f>IF(AND(M1645,ISNUMBER(R1645)),IF(D1645="TEMPO_PROXY",R1645,IF(AND(ISNUMBER(S1645),S1645&gt;0,ISNUMBER(U1645)),U1645*R1645/S1645,"n.a.")),"n.a.")</x:f>
        <x:v>5604548773.265881</x:v>
      </x:c>
      <x:c r="G1645" s="17" t="n">
        <x:f>IF(AND(ISNUMBER(E1645),ISNUMBER(F1645)),E1645-F1645,"n.a.")</x:f>
        <x:v>-2186084263.17588</x:v>
      </x:c>
      <x:c r="H1645" s="15" t="n">
        <x:f>IF(AND(ISNUMBER(E1645),ISNUMBER(F1645),F1645&gt;0),(E1645-F1645)/F1645,"n.a.")</x:f>
        <x:v>-0.3900553553220317</x:v>
      </x:c>
      <x:c r="I1645" s="19" t="n">
        <x:f>IF(ISNUMBER(H1645),ABS(H1645),"n.a.")</x:f>
        <x:v>0.3900553553220317</x:v>
      </x:c>
      <x:c r="J1645" s="2" t="str">
        <x:v>available</x:v>
      </x:c>
      <x:c r="K1645" s="2" t="n">
        <x:v>1</x:v>
      </x:c>
      <x:c r="L1645" s="13" t="b">
        <x:v>0</x:v>
      </x:c>
      <x:c r="M1645" s="13" t="b">
        <x:v>1</x:v>
      </x:c>
      <x:c r="N1645" s="2" t="str">
        <x:v>historical_GHSL_BU_estimate</x:v>
      </x:c>
      <x:c r="O1645" s="2" t="str"/>
      <x:c r="P1645" s="2" t="str">
        <x:v>horizontal built-up surface</x:v>
      </x:c>
      <x:c r="Q1645" s="2" t="str">
        <x:v>m2</x:v>
      </x:c>
      <x:c r="R1645" s="17" t="n">
        <x:v>5575801402.085568</x:v>
      </x:c>
      <x:c r="S1645" s="17" t="n">
        <x:v>3400930204.99</x:v>
      </x:c>
      <x:c r="T1645" s="18" t="n">
        <x:v>1.0051557380019953</x:v>
      </x:c>
      <x:c r="U1645" s="17" t="n">
        <x:v>3418464510.0900006</x:v>
      </x:c>
      <x:c r="V1645" s="2" t="str">
        <x:v>Area equivalent = model2020 * WUP surface / TEMPO2020 footprint; km2 multiplied by1e6 once</x:v>
      </x:c>
      <x:c r="W1645" s="2" t="str">
        <x:v>L1_numeric_partition_qualified_not_national_completeness</x:v>
      </x:c>
      <x:c r="X1645" s="2" t="str">
        <x:v>https://human-settlement.emergency.copernicus.eu/datasets.php</x:v>
      </x:c>
    </x:row>
    <x:row r="1646" ht="23" customHeight="1">
      <x:c r="A1646" s="2" t="str">
        <x:v>GEO</x:v>
      </x:c>
      <x:c r="B1646" s="2" t="str">
        <x:v>Georgia</x:v>
      </x:c>
      <x:c r="C1646" s="2" t="n">
        <x:v>2020</x:v>
      </x:c>
      <x:c r="D1646" s="2" t="str">
        <x:v>WUP_SURFACE</x:v>
      </x:c>
      <x:c r="E1646" s="17" t="n">
        <x:v>242256071.04000017</x:v>
      </x:c>
      <x:c r="F1646" s="17" t="n">
        <x:f>IF(AND(M1646,ISNUMBER(R1646)),IF(D1646="TEMPO_PROXY",R1646,IF(AND(ISNUMBER(S1646),S1646&gt;0,ISNUMBER(U1646)),U1646*R1646/S1646,"n.a.")),"n.a.")</x:f>
        <x:v>495299797.93981695</x:v>
      </x:c>
      <x:c r="G1646" s="17" t="n">
        <x:f>IF(AND(ISNUMBER(E1646),ISNUMBER(F1646)),E1646-F1646,"n.a.")</x:f>
        <x:v>-253043726.89981678</x:v>
      </x:c>
      <x:c r="H1646" s="15" t="n">
        <x:f>IF(AND(ISNUMBER(E1646),ISNUMBER(F1646),F1646&gt;0),(E1646-F1646)/F1646,"n.a.")</x:f>
        <x:v>-0.5108900265098911</x:v>
      </x:c>
      <x:c r="I1646" s="19" t="n">
        <x:f>IF(ISNUMBER(H1646),ABS(H1646),"n.a.")</x:f>
        <x:v>0.5108900265098911</x:v>
      </x:c>
      <x:c r="J1646" s="2" t="str">
        <x:v>available</x:v>
      </x:c>
      <x:c r="K1646" s="2" t="n">
        <x:v>1</x:v>
      </x:c>
      <x:c r="L1646" s="13" t="b">
        <x:v>0</x:v>
      </x:c>
      <x:c r="M1646" s="13" t="b">
        <x:v>1</x:v>
      </x:c>
      <x:c r="N1646" s="2" t="str">
        <x:v>historical_GHSL_BU_estimate</x:v>
      </x:c>
      <x:c r="O1646" s="2" t="str"/>
      <x:c r="P1646" s="2" t="str">
        <x:v>horizontal built-up surface</x:v>
      </x:c>
      <x:c r="Q1646" s="2" t="str">
        <x:v>m2</x:v>
      </x:c>
      <x:c r="R1646" s="17" t="n">
        <x:v>495299797.9398166</x:v>
      </x:c>
      <x:c r="S1646" s="17" t="n">
        <x:v>242256071.04</x:v>
      </x:c>
      <x:c r="T1646" s="18" t="n">
        <x:v>1.0000000000000007</x:v>
      </x:c>
      <x:c r="U1646" s="17" t="n">
        <x:v>242256071.04000017</x:v>
      </x:c>
      <x:c r="V1646" s="2" t="str">
        <x:v>Area equivalent = model2020 * WUP surface / TEMPO2020 footprint; km2 multiplied by1e6 once</x:v>
      </x:c>
      <x:c r="W1646" s="2" t="str">
        <x:v>L1_numeric_partition_qualified_not_national_completeness</x:v>
      </x:c>
      <x:c r="X1646" s="2" t="str">
        <x:v>https://human-settlement.emergency.copernicus.eu/datasets.php</x:v>
      </x:c>
    </x:row>
    <x:row r="1647" ht="23" customHeight="1">
      <x:c r="A1647" s="2" t="str">
        <x:v>GHA</x:v>
      </x:c>
      <x:c r="B1647" s="2" t="str">
        <x:v>Ghana (Republic of)</x:v>
      </x:c>
      <x:c r="C1647" s="2" t="n">
        <x:v>2020</x:v>
      </x:c>
      <x:c r="D1647" s="2" t="str">
        <x:v>WUP_SURFACE</x:v>
      </x:c>
      <x:c r="E1647" s="17" t="n">
        <x:v>958424622.62</x:v>
      </x:c>
      <x:c r="F1647" s="17" t="n">
        <x:f>IF(AND(M1647,ISNUMBER(R1647)),IF(D1647="TEMPO_PROXY",R1647,IF(AND(ISNUMBER(S1647),S1647&gt;0,ISNUMBER(U1647)),U1647*R1647/S1647,"n.a.")),"n.a.")</x:f>
        <x:v>1930651519.064543</x:v>
      </x:c>
      <x:c r="G1647" s="17" t="n">
        <x:f>IF(AND(ISNUMBER(E1647),ISNUMBER(F1647)),E1647-F1647,"n.a.")</x:f>
        <x:v>-972226896.444543</x:v>
      </x:c>
      <x:c r="H1647" s="15" t="n">
        <x:f>IF(AND(ISNUMBER(E1647),ISNUMBER(F1647),F1647&gt;0),(E1647-F1647)/F1647,"n.a.")</x:f>
        <x:v>-0.503574511942795</x:v>
      </x:c>
      <x:c r="I1647" s="19" t="n">
        <x:f>IF(ISNUMBER(H1647),ABS(H1647),"n.a.")</x:f>
        <x:v>0.503574511942795</x:v>
      </x:c>
      <x:c r="J1647" s="2" t="str">
        <x:v>available</x:v>
      </x:c>
      <x:c r="K1647" s="2" t="n">
        <x:v>1</x:v>
      </x:c>
      <x:c r="L1647" s="13" t="b">
        <x:v>0</x:v>
      </x:c>
      <x:c r="M1647" s="13" t="b">
        <x:v>1</x:v>
      </x:c>
      <x:c r="N1647" s="2" t="str">
        <x:v>historical_GHSL_BU_estimate</x:v>
      </x:c>
      <x:c r="O1647" s="2" t="str"/>
      <x:c r="P1647" s="2" t="str">
        <x:v>horizontal built-up surface</x:v>
      </x:c>
      <x:c r="Q1647" s="2" t="str">
        <x:v>m2</x:v>
      </x:c>
      <x:c r="R1647" s="17" t="n">
        <x:v>1930651519.0645432</x:v>
      </x:c>
      <x:c r="S1647" s="17" t="n">
        <x:v>958424622.62</x:v>
      </x:c>
      <x:c r="T1647" s="18" t="n">
        <x:v>1</x:v>
      </x:c>
      <x:c r="U1647" s="17" t="n">
        <x:v>958424622.62</x:v>
      </x:c>
      <x:c r="V1647" s="2" t="str">
        <x:v>Area equivalent = model2020 * WUP surface / TEMPO2020 footprint; km2 multiplied by1e6 once</x:v>
      </x:c>
      <x:c r="W1647" s="2" t="str">
        <x:v>L1_numeric_partition_qualified_not_national_completeness</x:v>
      </x:c>
      <x:c r="X1647" s="2" t="str">
        <x:v>https://human-settlement.emergency.copernicus.eu/datasets.php</x:v>
      </x:c>
    </x:row>
    <x:row r="1648" ht="23" customHeight="1">
      <x:c r="A1648" s="2" t="str">
        <x:v>GIN</x:v>
      </x:c>
      <x:c r="B1648" s="2" t="str">
        <x:v>Guinea (Republic of)</x:v>
      </x:c>
      <x:c r="C1648" s="2" t="n">
        <x:v>2020</x:v>
      </x:c>
      <x:c r="D1648" s="2" t="str">
        <x:v>WUP_SURFACE</x:v>
      </x:c>
      <x:c r="E1648" s="17" t="n">
        <x:v>277637578.22999954</x:v>
      </x:c>
      <x:c r="F1648" s="17" t="n">
        <x:f>IF(AND(M1648,ISNUMBER(R1648)),IF(D1648="TEMPO_PROXY",R1648,IF(AND(ISNUMBER(S1648),S1648&gt;0,ISNUMBER(U1648)),U1648*R1648/S1648,"n.a.")),"n.a.")</x:f>
        <x:v>649763986.9718636</x:v>
      </x:c>
      <x:c r="G1648" s="17" t="n">
        <x:f>IF(AND(ISNUMBER(E1648),ISNUMBER(F1648)),E1648-F1648,"n.a.")</x:f>
        <x:v>-372126408.7418641</x:v>
      </x:c>
      <x:c r="H1648" s="15" t="n">
        <x:f>IF(AND(ISNUMBER(E1648),ISNUMBER(F1648),F1648&gt;0),(E1648-F1648)/F1648,"n.a.")</x:f>
        <x:v>-0.5727101166011191</x:v>
      </x:c>
      <x:c r="I1648" s="19" t="n">
        <x:f>IF(ISNUMBER(H1648),ABS(H1648),"n.a.")</x:f>
        <x:v>0.5727101166011191</x:v>
      </x:c>
      <x:c r="J1648" s="2" t="str">
        <x:v>available</x:v>
      </x:c>
      <x:c r="K1648" s="2" t="n">
        <x:v>1</x:v>
      </x:c>
      <x:c r="L1648" s="13" t="b">
        <x:v>0</x:v>
      </x:c>
      <x:c r="M1648" s="13" t="b">
        <x:v>1</x:v>
      </x:c>
      <x:c r="N1648" s="2" t="str">
        <x:v>historical_GHSL_BU_estimate</x:v>
      </x:c>
      <x:c r="O1648" s="2" t="str"/>
      <x:c r="P1648" s="2" t="str">
        <x:v>horizontal built-up surface</x:v>
      </x:c>
      <x:c r="Q1648" s="2" t="str">
        <x:v>m2</x:v>
      </x:c>
      <x:c r="R1648" s="17" t="n">
        <x:v>649763986.9718647</x:v>
      </x:c>
      <x:c r="S1648" s="17" t="n">
        <x:v>277637578.23</x:v>
      </x:c>
      <x:c r="T1648" s="18" t="n">
        <x:v>0.9999999999999983</x:v>
      </x:c>
      <x:c r="U1648" s="17" t="n">
        <x:v>277637578.22999954</x:v>
      </x:c>
      <x:c r="V1648" s="2" t="str">
        <x:v>Area equivalent = model2020 * WUP surface / TEMPO2020 footprint; km2 multiplied by1e6 once</x:v>
      </x:c>
      <x:c r="W1648" s="2" t="str">
        <x:v>L1_numeric_partition_qualified_not_national_completeness</x:v>
      </x:c>
      <x:c r="X1648" s="2" t="str">
        <x:v>https://human-settlement.emergency.copernicus.eu/datasets.php</x:v>
      </x:c>
    </x:row>
    <x:row r="1649" ht="23" customHeight="1">
      <x:c r="A1649" s="2" t="str">
        <x:v>GMB</x:v>
      </x:c>
      <x:c r="B1649" s="2" t="str">
        <x:v>Gambia (Republic of the)</x:v>
      </x:c>
      <x:c r="C1649" s="2" t="n">
        <x:v>2020</x:v>
      </x:c>
      <x:c r="D1649" s="2" t="str">
        <x:v>WUP_SURFACE</x:v>
      </x:c>
      <x:c r="E1649" s="17" t="n">
        <x:v>56875154.52999992</x:v>
      </x:c>
      <x:c r="F1649" s="17" t="n">
        <x:f>IF(AND(M1649,ISNUMBER(R1649)),IF(D1649="TEMPO_PROXY",R1649,IF(AND(ISNUMBER(S1649),S1649&gt;0,ISNUMBER(U1649)),U1649*R1649/S1649,"n.a.")),"n.a.")</x:f>
        <x:v>114650843.8251038</x:v>
      </x:c>
      <x:c r="G1649" s="17" t="n">
        <x:f>IF(AND(ISNUMBER(E1649),ISNUMBER(F1649)),E1649-F1649,"n.a.")</x:f>
        <x:v>-57775689.295103885</x:v>
      </x:c>
      <x:c r="H1649" s="15" t="n">
        <x:f>IF(AND(ISNUMBER(E1649),ISNUMBER(F1649),F1649&gt;0),(E1649-F1649)/F1649,"n.a.")</x:f>
        <x:v>-0.5039272923559015</x:v>
      </x:c>
      <x:c r="I1649" s="19" t="n">
        <x:f>IF(ISNUMBER(H1649),ABS(H1649),"n.a.")</x:f>
        <x:v>0.5039272923559015</x:v>
      </x:c>
      <x:c r="J1649" s="2" t="str">
        <x:v>available</x:v>
      </x:c>
      <x:c r="K1649" s="2" t="n">
        <x:v>1</x:v>
      </x:c>
      <x:c r="L1649" s="13" t="b">
        <x:v>0</x:v>
      </x:c>
      <x:c r="M1649" s="13" t="b">
        <x:v>1</x:v>
      </x:c>
      <x:c r="N1649" s="2" t="str">
        <x:v>historical_GHSL_BU_estimate</x:v>
      </x:c>
      <x:c r="O1649" s="2" t="str"/>
      <x:c r="P1649" s="2" t="str">
        <x:v>horizontal built-up surface</x:v>
      </x:c>
      <x:c r="Q1649" s="2" t="str">
        <x:v>m2</x:v>
      </x:c>
      <x:c r="R1649" s="17" t="n">
        <x:v>114650843.82510397</x:v>
      </x:c>
      <x:c r="S1649" s="17" t="n">
        <x:v>56875154.53</x:v>
      </x:c>
      <x:c r="T1649" s="18" t="n">
        <x:v>0.9999999999999986</x:v>
      </x:c>
      <x:c r="U1649" s="17" t="n">
        <x:v>56875154.52999992</x:v>
      </x:c>
      <x:c r="V1649" s="2" t="str">
        <x:v>Area equivalent = model2020 * WUP surface / TEMPO2020 footprint; km2 multiplied by1e6 once</x:v>
      </x:c>
      <x:c r="W1649" s="2" t="str">
        <x:v>L1_numeric_partition_qualified_not_national_completeness</x:v>
      </x:c>
      <x:c r="X1649" s="2" t="str">
        <x:v>https://human-settlement.emergency.copernicus.eu/datasets.php</x:v>
      </x:c>
    </x:row>
    <x:row r="1650" ht="23" customHeight="1">
      <x:c r="A1650" s="2" t="str">
        <x:v>GNB</x:v>
      </x:c>
      <x:c r="B1650" s="2" t="str">
        <x:v>Guinea-Bissau (Republic of)</x:v>
      </x:c>
      <x:c r="C1650" s="2" t="n">
        <x:v>2020</x:v>
      </x:c>
      <x:c r="D1650" s="2" t="str">
        <x:v>WUP_SURFACE</x:v>
      </x:c>
      <x:c r="E1650" s="17" t="n">
        <x:v>48952674.499999925</x:v>
      </x:c>
      <x:c r="F1650" s="17" t="n">
        <x:f>IF(AND(M1650,ISNUMBER(R1650)),IF(D1650="TEMPO_PROXY",R1650,IF(AND(ISNUMBER(S1650),S1650&gt;0,ISNUMBER(U1650)),U1650*R1650/S1650,"n.a.")),"n.a.")</x:f>
        <x:v>96952541.94673572</x:v>
      </x:c>
      <x:c r="G1650" s="17" t="n">
        <x:f>IF(AND(ISNUMBER(E1650),ISNUMBER(F1650)),E1650-F1650,"n.a.")</x:f>
        <x:v>-47999867.4467358</x:v>
      </x:c>
      <x:c r="H1650" s="15" t="n">
        <x:f>IF(AND(ISNUMBER(E1650),ISNUMBER(F1650),F1650&gt;0),(E1650-F1650)/F1650,"n.a.")</x:f>
        <x:v>-0.4950862193288981</x:v>
      </x:c>
      <x:c r="I1650" s="19" t="n">
        <x:f>IF(ISNUMBER(H1650),ABS(H1650),"n.a.")</x:f>
        <x:v>0.4950862193288981</x:v>
      </x:c>
      <x:c r="J1650" s="2" t="str">
        <x:v>available</x:v>
      </x:c>
      <x:c r="K1650" s="2" t="n">
        <x:v>1</x:v>
      </x:c>
      <x:c r="L1650" s="13" t="b">
        <x:v>0</x:v>
      </x:c>
      <x:c r="M1650" s="13" t="b">
        <x:v>1</x:v>
      </x:c>
      <x:c r="N1650" s="2" t="str">
        <x:v>historical_GHSL_BU_estimate</x:v>
      </x:c>
      <x:c r="O1650" s="2" t="str"/>
      <x:c r="P1650" s="2" t="str">
        <x:v>horizontal built-up surface</x:v>
      </x:c>
      <x:c r="Q1650" s="2" t="str">
        <x:v>m2</x:v>
      </x:c>
      <x:c r="R1650" s="17" t="n">
        <x:v>96952541.94673587</x:v>
      </x:c>
      <x:c r="S1650" s="17" t="n">
        <x:v>48952674.5</x:v>
      </x:c>
      <x:c r="T1650" s="18" t="n">
        <x:v>0.9999999999999984</x:v>
      </x:c>
      <x:c r="U1650" s="17" t="n">
        <x:v>48952674.499999925</x:v>
      </x:c>
      <x:c r="V1650" s="2" t="str">
        <x:v>Area equivalent = model2020 * WUP surface / TEMPO2020 footprint; km2 multiplied by1e6 once</x:v>
      </x:c>
      <x:c r="W1650" s="2" t="str">
        <x:v>L1_numeric_partition_qualified_not_national_completeness</x:v>
      </x:c>
      <x:c r="X1650" s="2" t="str">
        <x:v>https://human-settlement.emergency.copernicus.eu/datasets.php</x:v>
      </x:c>
    </x:row>
    <x:row r="1651" ht="23" customHeight="1">
      <x:c r="A1651" s="2" t="str">
        <x:v>GNQ</x:v>
      </x:c>
      <x:c r="B1651" s="2" t="str">
        <x:v>Equatorial Guinea (Republic of)</x:v>
      </x:c>
      <x:c r="C1651" s="2" t="n">
        <x:v>2020</x:v>
      </x:c>
      <x:c r="D1651" s="2" t="str">
        <x:v>WUP_SURFACE</x:v>
      </x:c>
      <x:c r="E1651" s="17" t="n">
        <x:v>34102626.51999995</x:v>
      </x:c>
      <x:c r="F1651" s="17" t="n">
        <x:f>IF(AND(M1651,ISNUMBER(R1651)),IF(D1651="TEMPO_PROXY",R1651,IF(AND(ISNUMBER(S1651),S1651&gt;0,ISNUMBER(U1651)),U1651*R1651/S1651,"n.a.")),"n.a.")</x:f>
        <x:v>57630347.00604252</x:v>
      </x:c>
      <x:c r="G1651" s="17" t="n">
        <x:f>IF(AND(ISNUMBER(E1651),ISNUMBER(F1651)),E1651-F1651,"n.a.")</x:f>
        <x:v>-23527720.486042567</x:v>
      </x:c>
      <x:c r="H1651" s="15" t="n">
        <x:f>IF(AND(ISNUMBER(E1651),ISNUMBER(F1651),F1651&gt;0),(E1651-F1651)/F1651,"n.a.")</x:f>
        <x:v>-0.4082522786749088</x:v>
      </x:c>
      <x:c r="I1651" s="19" t="n">
        <x:f>IF(ISNUMBER(H1651),ABS(H1651),"n.a.")</x:f>
        <x:v>0.4082522786749088</x:v>
      </x:c>
      <x:c r="J1651" s="2" t="str">
        <x:v>available</x:v>
      </x:c>
      <x:c r="K1651" s="2" t="n">
        <x:v>1</x:v>
      </x:c>
      <x:c r="L1651" s="13" t="b">
        <x:v>0</x:v>
      </x:c>
      <x:c r="M1651" s="13" t="b">
        <x:v>1</x:v>
      </x:c>
      <x:c r="N1651" s="2" t="str">
        <x:v>historical_GHSL_BU_estimate</x:v>
      </x:c>
      <x:c r="O1651" s="2" t="str"/>
      <x:c r="P1651" s="2" t="str">
        <x:v>horizontal built-up surface</x:v>
      </x:c>
      <x:c r="Q1651" s="2" t="str">
        <x:v>m2</x:v>
      </x:c>
      <x:c r="R1651" s="17" t="n">
        <x:v>57630347.0060426</x:v>
      </x:c>
      <x:c r="S1651" s="17" t="n">
        <x:v>34102626.52</x:v>
      </x:c>
      <x:c r="T1651" s="18" t="n">
        <x:v>0.9999999999999984</x:v>
      </x:c>
      <x:c r="U1651" s="17" t="n">
        <x:v>34102626.51999995</x:v>
      </x:c>
      <x:c r="V1651" s="2" t="str">
        <x:v>Area equivalent = model2020 * WUP surface / TEMPO2020 footprint; km2 multiplied by1e6 once</x:v>
      </x:c>
      <x:c r="W1651" s="2" t="str">
        <x:v>L1_numeric_partition_qualified_not_national_completeness</x:v>
      </x:c>
      <x:c r="X1651" s="2" t="str">
        <x:v>https://human-settlement.emergency.copernicus.eu/datasets.php</x:v>
      </x:c>
    </x:row>
    <x:row r="1652" ht="23" customHeight="1">
      <x:c r="A1652" s="2" t="str">
        <x:v>GRC</x:v>
      </x:c>
      <x:c r="B1652" s="2" t="str">
        <x:v>Greece (Hellenic Republic)</x:v>
      </x:c>
      <x:c r="C1652" s="2" t="n">
        <x:v>2020</x:v>
      </x:c>
      <x:c r="D1652" s="2" t="str">
        <x:v>WUP_SURFACE</x:v>
      </x:c>
      <x:c r="E1652" s="17" t="n">
        <x:v>853851739.6700008</x:v>
      </x:c>
      <x:c r="F1652" s="17" t="n">
        <x:f>IF(AND(M1652,ISNUMBER(R1652)),IF(D1652="TEMPO_PROXY",R1652,IF(AND(ISNUMBER(S1652),S1652&gt;0,ISNUMBER(U1652)),U1652*R1652/S1652,"n.a.")),"n.a.")</x:f>
        <x:v>1184598146.8152604</x:v>
      </x:c>
      <x:c r="G1652" s="17" t="n">
        <x:f>IF(AND(ISNUMBER(E1652),ISNUMBER(F1652)),E1652-F1652,"n.a.")</x:f>
        <x:v>-330746407.1452596</x:v>
      </x:c>
      <x:c r="H1652" s="15" t="n">
        <x:f>IF(AND(ISNUMBER(E1652),ISNUMBER(F1652),F1652&gt;0),(E1652-F1652)/F1652,"n.a.")</x:f>
        <x:v>-0.2792055753543568</x:v>
      </x:c>
      <x:c r="I1652" s="19" t="n">
        <x:f>IF(ISNUMBER(H1652),ABS(H1652),"n.a.")</x:f>
        <x:v>0.2792055753543568</x:v>
      </x:c>
      <x:c r="J1652" s="2" t="str">
        <x:v>available</x:v>
      </x:c>
      <x:c r="K1652" s="2" t="n">
        <x:v>1</x:v>
      </x:c>
      <x:c r="L1652" s="13" t="b">
        <x:v>0</x:v>
      </x:c>
      <x:c r="M1652" s="13" t="b">
        <x:v>1</x:v>
      </x:c>
      <x:c r="N1652" s="2" t="str">
        <x:v>historical_GHSL_BU_estimate</x:v>
      </x:c>
      <x:c r="O1652" s="2" t="str"/>
      <x:c r="P1652" s="2" t="str">
        <x:v>horizontal built-up surface</x:v>
      </x:c>
      <x:c r="Q1652" s="2" t="str">
        <x:v>m2</x:v>
      </x:c>
      <x:c r="R1652" s="17" t="n">
        <x:v>1184598146.8152592</x:v>
      </x:c>
      <x:c r="S1652" s="17" t="n">
        <x:v>853851739.67</x:v>
      </x:c>
      <x:c r="T1652" s="18" t="n">
        <x:v>1.0000000000000009</x:v>
      </x:c>
      <x:c r="U1652" s="17" t="n">
        <x:v>853851739.6700008</x:v>
      </x:c>
      <x:c r="V1652" s="2" t="str">
        <x:v>Area equivalent = model2020 * WUP surface / TEMPO2020 footprint; km2 multiplied by1e6 once</x:v>
      </x:c>
      <x:c r="W1652" s="2" t="str">
        <x:v>L1_numeric_partition_qualified_not_national_completeness</x:v>
      </x:c>
      <x:c r="X1652" s="2" t="str">
        <x:v>https://human-settlement.emergency.copernicus.eu/datasets.php</x:v>
      </x:c>
    </x:row>
    <x:row r="1653" ht="23" customHeight="1">
      <x:c r="A1653" s="2" t="str">
        <x:v>GRD</x:v>
      </x:c>
      <x:c r="B1653" s="2" t="str">
        <x:v>Grenada</x:v>
      </x:c>
      <x:c r="C1653" s="2" t="n">
        <x:v>2020</x:v>
      </x:c>
      <x:c r="D1653" s="2" t="str">
        <x:v>WUP_SURFACE</x:v>
      </x:c>
      <x:c r="E1653" s="17" t="n">
        <x:v>6904998.419999993</x:v>
      </x:c>
      <x:c r="F1653" s="17" t="n">
        <x:f>IF(AND(M1653,ISNUMBER(R1653)),IF(D1653="TEMPO_PROXY",R1653,IF(AND(ISNUMBER(S1653),S1653&gt;0,ISNUMBER(U1653)),U1653*R1653/S1653,"n.a.")),"n.a.")</x:f>
        <x:v>9899280.970064854</x:v>
      </x:c>
      <x:c r="G1653" s="17" t="n">
        <x:f>IF(AND(ISNUMBER(E1653),ISNUMBER(F1653)),E1653-F1653,"n.a.")</x:f>
        <x:v>-2994282.550064861</x:v>
      </x:c>
      <x:c r="H1653" s="15" t="n">
        <x:f>IF(AND(ISNUMBER(E1653),ISNUMBER(F1653),F1653&gt;0),(E1653-F1653)/F1653,"n.a.")</x:f>
        <x:v>-0.3024747513601732</x:v>
      </x:c>
      <x:c r="I1653" s="19" t="n">
        <x:f>IF(ISNUMBER(H1653),ABS(H1653),"n.a.")</x:f>
        <x:v>0.3024747513601732</x:v>
      </x:c>
      <x:c r="J1653" s="2" t="str">
        <x:v>available</x:v>
      </x:c>
      <x:c r="K1653" s="2" t="n">
        <x:v>1</x:v>
      </x:c>
      <x:c r="L1653" s="13" t="b">
        <x:v>0</x:v>
      </x:c>
      <x:c r="M1653" s="13" t="b">
        <x:v>1</x:v>
      </x:c>
      <x:c r="N1653" s="2" t="str">
        <x:v>historical_GHSL_BU_estimate</x:v>
      </x:c>
      <x:c r="O1653" s="2" t="str"/>
      <x:c r="P1653" s="2" t="str">
        <x:v>horizontal built-up surface</x:v>
      </x:c>
      <x:c r="Q1653" s="2" t="str">
        <x:v>m2</x:v>
      </x:c>
      <x:c r="R1653" s="17" t="n">
        <x:v>9899280.970064864</x:v>
      </x:c>
      <x:c r="S1653" s="17" t="n">
        <x:v>6904998.42</x:v>
      </x:c>
      <x:c r="T1653" s="18" t="n">
        <x:v>0.999999999999999</x:v>
      </x:c>
      <x:c r="U1653" s="17" t="n">
        <x:v>6904998.419999993</x:v>
      </x:c>
      <x:c r="V1653" s="2" t="str">
        <x:v>Area equivalent = model2020 * WUP surface / TEMPO2020 footprint; km2 multiplied by1e6 once</x:v>
      </x:c>
      <x:c r="W1653" s="2" t="str">
        <x:v>L1_numeric_partition_qualified_not_national_completeness</x:v>
      </x:c>
      <x:c r="X1653" s="2" t="str">
        <x:v>https://human-settlement.emergency.copernicus.eu/datasets.php</x:v>
      </x:c>
    </x:row>
    <x:row r="1654" ht="23" customHeight="1">
      <x:c r="A1654" s="2" t="str">
        <x:v>GTM</x:v>
      </x:c>
      <x:c r="B1654" s="2" t="str">
        <x:v>Guatemala (Republic of)</x:v>
      </x:c>
      <x:c r="C1654" s="2" t="n">
        <x:v>2020</x:v>
      </x:c>
      <x:c r="D1654" s="2" t="str">
        <x:v>WUP_SURFACE</x:v>
      </x:c>
      <x:c r="E1654" s="17" t="n">
        <x:v>599114028.8099989</x:v>
      </x:c>
      <x:c r="F1654" s="17" t="n">
        <x:f>IF(AND(M1654,ISNUMBER(R1654)),IF(D1654="TEMPO_PROXY",R1654,IF(AND(ISNUMBER(S1654),S1654&gt;0,ISNUMBER(U1654)),U1654*R1654/S1654,"n.a.")),"n.a.")</x:f>
        <x:v>933677044.9555724</x:v>
      </x:c>
      <x:c r="G1654" s="17" t="n">
        <x:f>IF(AND(ISNUMBER(E1654),ISNUMBER(F1654)),E1654-F1654,"n.a.")</x:f>
        <x:v>-334563016.1455735</x:v>
      </x:c>
      <x:c r="H1654" s="15" t="n">
        <x:f>IF(AND(ISNUMBER(E1654),ISNUMBER(F1654),F1654&gt;0),(E1654-F1654)/F1654,"n.a.")</x:f>
        <x:v>-0.3583284155406147</x:v>
      </x:c>
      <x:c r="I1654" s="19" t="n">
        <x:f>IF(ISNUMBER(H1654),ABS(H1654),"n.a.")</x:f>
        <x:v>0.3583284155406147</x:v>
      </x:c>
      <x:c r="J1654" s="2" t="str">
        <x:v>available</x:v>
      </x:c>
      <x:c r="K1654" s="2" t="n">
        <x:v>1</x:v>
      </x:c>
      <x:c r="L1654" s="13" t="b">
        <x:v>0</x:v>
      </x:c>
      <x:c r="M1654" s="13" t="b">
        <x:v>1</x:v>
      </x:c>
      <x:c r="N1654" s="2" t="str">
        <x:v>historical_GHSL_BU_estimate</x:v>
      </x:c>
      <x:c r="O1654" s="2" t="str"/>
      <x:c r="P1654" s="2" t="str">
        <x:v>horizontal built-up surface</x:v>
      </x:c>
      <x:c r="Q1654" s="2" t="str">
        <x:v>m2</x:v>
      </x:c>
      <x:c r="R1654" s="17" t="n">
        <x:v>933677044.955574</x:v>
      </x:c>
      <x:c r="S1654" s="17" t="n">
        <x:v>599114028.81</x:v>
      </x:c>
      <x:c r="T1654" s="18" t="n">
        <x:v>0.9999999999999982</x:v>
      </x:c>
      <x:c r="U1654" s="17" t="n">
        <x:v>599114028.8099989</x:v>
      </x:c>
      <x:c r="V1654" s="2" t="str">
        <x:v>Area equivalent = model2020 * WUP surface / TEMPO2020 footprint; km2 multiplied by1e6 once</x:v>
      </x:c>
      <x:c r="W1654" s="2" t="str">
        <x:v>L1_numeric_partition_qualified_not_national_completeness</x:v>
      </x:c>
      <x:c r="X1654" s="2" t="str">
        <x:v>https://human-settlement.emergency.copernicus.eu/datasets.php</x:v>
      </x:c>
    </x:row>
    <x:row r="1655" ht="23" customHeight="1">
      <x:c r="A1655" s="2" t="str">
        <x:v>GUY</x:v>
      </x:c>
      <x:c r="B1655" s="2" t="str">
        <x:v>Guyana (Co-operative Republic of)</x:v>
      </x:c>
      <x:c r="C1655" s="2" t="n">
        <x:v>2020</x:v>
      </x:c>
      <x:c r="D1655" s="2" t="str">
        <x:v>WUP_SURFACE</x:v>
      </x:c>
      <x:c r="E1655" s="17" t="n">
        <x:v>46462035.66000002</x:v>
      </x:c>
      <x:c r="F1655" s="17" t="n">
        <x:f>IF(AND(M1655,ISNUMBER(R1655)),IF(D1655="TEMPO_PROXY",R1655,IF(AND(ISNUMBER(S1655),S1655&gt;0,ISNUMBER(U1655)),U1655*R1655/S1655,"n.a.")),"n.a.")</x:f>
        <x:v>58881835.14478126</x:v>
      </x:c>
      <x:c r="G1655" s="17" t="n">
        <x:f>IF(AND(ISNUMBER(E1655),ISNUMBER(F1655)),E1655-F1655,"n.a.")</x:f>
        <x:v>-12419799.484781243</x:v>
      </x:c>
      <x:c r="H1655" s="15" t="n">
        <x:f>IF(AND(ISNUMBER(E1655),ISNUMBER(F1655),F1655&gt;0),(E1655-F1655)/F1655,"n.a.")</x:f>
        <x:v>-0.2109275204185279</x:v>
      </x:c>
      <x:c r="I1655" s="19" t="n">
        <x:f>IF(ISNUMBER(H1655),ABS(H1655),"n.a.")</x:f>
        <x:v>0.2109275204185279</x:v>
      </x:c>
      <x:c r="J1655" s="2" t="str">
        <x:v>available</x:v>
      </x:c>
      <x:c r="K1655" s="2" t="n">
        <x:v>1</x:v>
      </x:c>
      <x:c r="L1655" s="13" t="b">
        <x:v>0</x:v>
      </x:c>
      <x:c r="M1655" s="13" t="b">
        <x:v>1</x:v>
      </x:c>
      <x:c r="N1655" s="2" t="str">
        <x:v>historical_GHSL_BU_estimate</x:v>
      </x:c>
      <x:c r="O1655" s="2" t="str"/>
      <x:c r="P1655" s="2" t="str">
        <x:v>horizontal built-up surface</x:v>
      </x:c>
      <x:c r="Q1655" s="2" t="str">
        <x:v>m2</x:v>
      </x:c>
      <x:c r="R1655" s="17" t="n">
        <x:v>58881835.14478123</x:v>
      </x:c>
      <x:c r="S1655" s="17" t="n">
        <x:v>46462035.66</x:v>
      </x:c>
      <x:c r="T1655" s="18" t="n">
        <x:v>1.0000000000000004</x:v>
      </x:c>
      <x:c r="U1655" s="17" t="n">
        <x:v>46462035.66000002</x:v>
      </x:c>
      <x:c r="V1655" s="2" t="str">
        <x:v>Area equivalent = model2020 * WUP surface / TEMPO2020 footprint; km2 multiplied by1e6 once</x:v>
      </x:c>
      <x:c r="W1655" s="2" t="str">
        <x:v>L1_numeric_partition_qualified_not_national_completeness</x:v>
      </x:c>
      <x:c r="X1655" s="2" t="str">
        <x:v>https://human-settlement.emergency.copernicus.eu/datasets.php</x:v>
      </x:c>
    </x:row>
    <x:row r="1656" ht="23" customHeight="1">
      <x:c r="A1656" s="2" t="str">
        <x:v>HND</x:v>
      </x:c>
      <x:c r="B1656" s="2" t="str">
        <x:v>Honduras (Republic of)</x:v>
      </x:c>
      <x:c r="C1656" s="2" t="n">
        <x:v>2020</x:v>
      </x:c>
      <x:c r="D1656" s="2" t="str">
        <x:v>WUP_SURFACE</x:v>
      </x:c>
      <x:c r="E1656" s="17" t="n">
        <x:v>335660713.2700002</x:v>
      </x:c>
      <x:c r="F1656" s="17" t="n">
        <x:f>IF(AND(M1656,ISNUMBER(R1656)),IF(D1656="TEMPO_PROXY",R1656,IF(AND(ISNUMBER(S1656),S1656&gt;0,ISNUMBER(U1656)),U1656*R1656/S1656,"n.a.")),"n.a.")</x:f>
        <x:v>565893835.2078422</x:v>
      </x:c>
      <x:c r="G1656" s="17" t="n">
        <x:f>IF(AND(ISNUMBER(E1656),ISNUMBER(F1656)),E1656-F1656,"n.a.")</x:f>
        <x:v>-230233121.937842</x:v>
      </x:c>
      <x:c r="H1656" s="15" t="n">
        <x:f>IF(AND(ISNUMBER(E1656),ISNUMBER(F1656),F1656&gt;0),(E1656-F1656)/F1656,"n.a.")</x:f>
        <x:v>-0.4068486129616197</x:v>
      </x:c>
      <x:c r="I1656" s="19" t="n">
        <x:f>IF(ISNUMBER(H1656),ABS(H1656),"n.a.")</x:f>
        <x:v>0.4068486129616197</x:v>
      </x:c>
      <x:c r="J1656" s="2" t="str">
        <x:v>available</x:v>
      </x:c>
      <x:c r="K1656" s="2" t="n">
        <x:v>1</x:v>
      </x:c>
      <x:c r="L1656" s="13" t="b">
        <x:v>0</x:v>
      </x:c>
      <x:c r="M1656" s="13" t="b">
        <x:v>1</x:v>
      </x:c>
      <x:c r="N1656" s="2" t="str">
        <x:v>historical_GHSL_BU_estimate</x:v>
      </x:c>
      <x:c r="O1656" s="2" t="str"/>
      <x:c r="P1656" s="2" t="str">
        <x:v>horizontal built-up surface</x:v>
      </x:c>
      <x:c r="Q1656" s="2" t="str">
        <x:v>m2</x:v>
      </x:c>
      <x:c r="R1656" s="17" t="n">
        <x:v>565893835.2078419</x:v>
      </x:c>
      <x:c r="S1656" s="17" t="n">
        <x:v>335660713.27</x:v>
      </x:c>
      <x:c r="T1656" s="18" t="n">
        <x:v>1.0000000000000007</x:v>
      </x:c>
      <x:c r="U1656" s="17" t="n">
        <x:v>335660713.2700002</x:v>
      </x:c>
      <x:c r="V1656" s="2" t="str">
        <x:v>Area equivalent = model2020 * WUP surface / TEMPO2020 footprint; km2 multiplied by1e6 once</x:v>
      </x:c>
      <x:c r="W1656" s="2" t="str">
        <x:v>L1_numeric_partition_qualified_not_national_completeness</x:v>
      </x:c>
      <x:c r="X1656" s="2" t="str">
        <x:v>https://human-settlement.emergency.copernicus.eu/datasets.php</x:v>
      </x:c>
    </x:row>
    <x:row r="1657" ht="23" customHeight="1">
      <x:c r="A1657" s="2" t="str">
        <x:v>HRV</x:v>
      </x:c>
      <x:c r="B1657" s="2" t="str">
        <x:v>Croatia (Republic of)</x:v>
      </x:c>
      <x:c r="C1657" s="2" t="n">
        <x:v>2020</x:v>
      </x:c>
      <x:c r="D1657" s="2" t="str">
        <x:v>WUP_SURFACE</x:v>
      </x:c>
      <x:c r="E1657" s="17" t="n">
        <x:v>361520718.4299994</x:v>
      </x:c>
      <x:c r="F1657" s="17" t="n">
        <x:f>IF(AND(M1657,ISNUMBER(R1657)),IF(D1657="TEMPO_PROXY",R1657,IF(AND(ISNUMBER(S1657),S1657&gt;0,ISNUMBER(U1657)),U1657*R1657/S1657,"n.a.")),"n.a.")</x:f>
        <x:v>513991735.89217144</x:v>
      </x:c>
      <x:c r="G1657" s="17" t="n">
        <x:f>IF(AND(ISNUMBER(E1657),ISNUMBER(F1657)),E1657-F1657,"n.a.")</x:f>
        <x:v>-152471017.46217203</x:v>
      </x:c>
      <x:c r="H1657" s="15" t="n">
        <x:f>IF(AND(ISNUMBER(E1657),ISNUMBER(F1657),F1657&gt;0),(E1657-F1657)/F1657,"n.a.")</x:f>
        <x:v>-0.29664099014649997</x:v>
      </x:c>
      <x:c r="I1657" s="19" t="n">
        <x:f>IF(ISNUMBER(H1657),ABS(H1657),"n.a.")</x:f>
        <x:v>0.29664099014649997</x:v>
      </x:c>
      <x:c r="J1657" s="2" t="str">
        <x:v>available</x:v>
      </x:c>
      <x:c r="K1657" s="2" t="n">
        <x:v>1</x:v>
      </x:c>
      <x:c r="L1657" s="13" t="b">
        <x:v>0</x:v>
      </x:c>
      <x:c r="M1657" s="13" t="b">
        <x:v>1</x:v>
      </x:c>
      <x:c r="N1657" s="2" t="str">
        <x:v>historical_GHSL_BU_estimate</x:v>
      </x:c>
      <x:c r="O1657" s="2" t="str"/>
      <x:c r="P1657" s="2" t="str">
        <x:v>horizontal built-up surface</x:v>
      </x:c>
      <x:c r="Q1657" s="2" t="str">
        <x:v>m2</x:v>
      </x:c>
      <x:c r="R1657" s="17" t="n">
        <x:v>513991735.8921723</x:v>
      </x:c>
      <x:c r="S1657" s="17" t="n">
        <x:v>361520718.43</x:v>
      </x:c>
      <x:c r="T1657" s="18" t="n">
        <x:v>0.9999999999999983</x:v>
      </x:c>
      <x:c r="U1657" s="17" t="n">
        <x:v>361520718.4299994</x:v>
      </x:c>
      <x:c r="V1657" s="2" t="str">
        <x:v>Area equivalent = model2020 * WUP surface / TEMPO2020 footprint; km2 multiplied by1e6 once</x:v>
      </x:c>
      <x:c r="W1657" s="2" t="str">
        <x:v>L1_numeric_partition_qualified_not_national_completeness</x:v>
      </x:c>
      <x:c r="X1657" s="2" t="str">
        <x:v>https://human-settlement.emergency.copernicus.eu/datasets.php</x:v>
      </x:c>
    </x:row>
    <x:row r="1658" ht="23" customHeight="1">
      <x:c r="A1658" s="2" t="str">
        <x:v>HTI</x:v>
      </x:c>
      <x:c r="B1658" s="2" t="str">
        <x:v>Haiti (Republic of)</x:v>
      </x:c>
      <x:c r="C1658" s="2" t="n">
        <x:v>2020</x:v>
      </x:c>
      <x:c r="D1658" s="2" t="str">
        <x:v>WUP_SURFACE</x:v>
      </x:c>
      <x:c r="E1658" s="17" t="n">
        <x:v>189002396.5400002</x:v>
      </x:c>
      <x:c r="F1658" s="17" t="n">
        <x:f>IF(AND(M1658,ISNUMBER(R1658)),IF(D1658="TEMPO_PROXY",R1658,IF(AND(ISNUMBER(S1658),S1658&gt;0,ISNUMBER(U1658)),U1658*R1658/S1658,"n.a.")),"n.a.")</x:f>
        <x:v>292667027.0329869</x:v>
      </x:c>
      <x:c r="G1658" s="17" t="n">
        <x:f>IF(AND(ISNUMBER(E1658),ISNUMBER(F1658)),E1658-F1658,"n.a.")</x:f>
        <x:v>-103664630.49298668</x:v>
      </x:c>
      <x:c r="H1658" s="15" t="n">
        <x:f>IF(AND(ISNUMBER(E1658),ISNUMBER(F1658),F1658&gt;0),(E1658-F1658)/F1658,"n.a.")</x:f>
        <x:v>-0.35420672955174587</x:v>
      </x:c>
      <x:c r="I1658" s="19" t="n">
        <x:f>IF(ISNUMBER(H1658),ABS(H1658),"n.a.")</x:f>
        <x:v>0.35420672955174587</x:v>
      </x:c>
      <x:c r="J1658" s="2" t="str">
        <x:v>available</x:v>
      </x:c>
      <x:c r="K1658" s="2" t="n">
        <x:v>1</x:v>
      </x:c>
      <x:c r="L1658" s="13" t="b">
        <x:v>0</x:v>
      </x:c>
      <x:c r="M1658" s="13" t="b">
        <x:v>1</x:v>
      </x:c>
      <x:c r="N1658" s="2" t="str">
        <x:v>historical_GHSL_BU_estimate</x:v>
      </x:c>
      <x:c r="O1658" s="2" t="str"/>
      <x:c r="P1658" s="2" t="str">
        <x:v>horizontal built-up surface</x:v>
      </x:c>
      <x:c r="Q1658" s="2" t="str">
        <x:v>m2</x:v>
      </x:c>
      <x:c r="R1658" s="17" t="n">
        <x:v>292667027.0329865</x:v>
      </x:c>
      <x:c r="S1658" s="17" t="n">
        <x:v>189002396.54</x:v>
      </x:c>
      <x:c r="T1658" s="18" t="n">
        <x:v>1.000000000000001</x:v>
      </x:c>
      <x:c r="U1658" s="17" t="n">
        <x:v>189002396.5400002</x:v>
      </x:c>
      <x:c r="V1658" s="2" t="str">
        <x:v>Area equivalent = model2020 * WUP surface / TEMPO2020 footprint; km2 multiplied by1e6 once</x:v>
      </x:c>
      <x:c r="W1658" s="2" t="str">
        <x:v>L1_numeric_partition_qualified_not_national_completeness</x:v>
      </x:c>
      <x:c r="X1658" s="2" t="str">
        <x:v>https://human-settlement.emergency.copernicus.eu/datasets.php</x:v>
      </x:c>
    </x:row>
    <x:row r="1659" ht="23" customHeight="1">
      <x:c r="A1659" s="2" t="str">
        <x:v>HUN</x:v>
      </x:c>
      <x:c r="B1659" s="2" t="str">
        <x:v>Hungary</x:v>
      </x:c>
      <x:c r="C1659" s="2" t="n">
        <x:v>2020</x:v>
      </x:c>
      <x:c r="D1659" s="2" t="str">
        <x:v>WUP_SURFACE</x:v>
      </x:c>
      <x:c r="E1659" s="17" t="n">
        <x:v>853072780.5300013</x:v>
      </x:c>
      <x:c r="F1659" s="17" t="n">
        <x:f>IF(AND(M1659,ISNUMBER(R1659)),IF(D1659="TEMPO_PROXY",R1659,IF(AND(ISNUMBER(S1659),S1659&gt;0,ISNUMBER(U1659)),U1659*R1659/S1659,"n.a.")),"n.a.")</x:f>
        <x:v>1296768067.9325163</x:v>
      </x:c>
      <x:c r="G1659" s="17" t="n">
        <x:f>IF(AND(ISNUMBER(E1659),ISNUMBER(F1659)),E1659-F1659,"n.a.")</x:f>
        <x:v>-443695287.40251505</x:v>
      </x:c>
      <x:c r="H1659" s="15" t="n">
        <x:f>IF(AND(ISNUMBER(E1659),ISNUMBER(F1659),F1659&gt;0),(E1659-F1659)/F1659,"n.a.")</x:f>
        <x:v>-0.3421546985729794</x:v>
      </x:c>
      <x:c r="I1659" s="19" t="n">
        <x:f>IF(ISNUMBER(H1659),ABS(H1659),"n.a.")</x:f>
        <x:v>0.3421546985729794</x:v>
      </x:c>
      <x:c r="J1659" s="2" t="str">
        <x:v>available</x:v>
      </x:c>
      <x:c r="K1659" s="2" t="n">
        <x:v>1</x:v>
      </x:c>
      <x:c r="L1659" s="13" t="b">
        <x:v>0</x:v>
      </x:c>
      <x:c r="M1659" s="13" t="b">
        <x:v>1</x:v>
      </x:c>
      <x:c r="N1659" s="2" t="str">
        <x:v>historical_GHSL_BU_estimate</x:v>
      </x:c>
      <x:c r="O1659" s="2" t="str"/>
      <x:c r="P1659" s="2" t="str">
        <x:v>horizontal built-up surface</x:v>
      </x:c>
      <x:c r="Q1659" s="2" t="str">
        <x:v>m2</x:v>
      </x:c>
      <x:c r="R1659" s="17" t="n">
        <x:v>1296768067.9325144</x:v>
      </x:c>
      <x:c r="S1659" s="17" t="n">
        <x:v>853072780.53</x:v>
      </x:c>
      <x:c r="T1659" s="18" t="n">
        <x:v>1.0000000000000016</x:v>
      </x:c>
      <x:c r="U1659" s="17" t="n">
        <x:v>853072780.5300013</x:v>
      </x:c>
      <x:c r="V1659" s="2" t="str">
        <x:v>Area equivalent = model2020 * WUP surface / TEMPO2020 footprint; km2 multiplied by1e6 once</x:v>
      </x:c>
      <x:c r="W1659" s="2" t="str">
        <x:v>L1_numeric_partition_qualified_not_national_completeness</x:v>
      </x:c>
      <x:c r="X1659" s="2" t="str">
        <x:v>https://human-settlement.emergency.copernicus.eu/datasets.php</x:v>
      </x:c>
    </x:row>
    <x:row r="1660" ht="23" customHeight="1">
      <x:c r="A1660" s="2" t="str">
        <x:v>IDN</x:v>
      </x:c>
      <x:c r="B1660" s="2" t="str">
        <x:v>Indonesia (Republic of)</x:v>
      </x:c>
      <x:c r="C1660" s="2" t="n">
        <x:v>2020</x:v>
      </x:c>
      <x:c r="D1660" s="2" t="str">
        <x:v>WUP_SURFACE</x:v>
      </x:c>
      <x:c r="E1660" s="17" t="n">
        <x:v>10794355074.089985</x:v>
      </x:c>
      <x:c r="F1660" s="17" t="n">
        <x:f>IF(AND(M1660,ISNUMBER(R1660)),IF(D1660="TEMPO_PROXY",R1660,IF(AND(ISNUMBER(S1660),S1660&gt;0,ISNUMBER(U1660)),U1660*R1660/S1660,"n.a.")),"n.a.")</x:f>
        <x:v>10555709715.863417</x:v>
      </x:c>
      <x:c r="G1660" s="17" t="n">
        <x:f>IF(AND(ISNUMBER(E1660),ISNUMBER(F1660)),E1660-F1660,"n.a.")</x:f>
        <x:v>238645358.22656822</x:v>
      </x:c>
      <x:c r="H1660" s="15" t="n">
        <x:f>IF(AND(ISNUMBER(E1660),ISNUMBER(F1660),F1660&gt;0),(E1660-F1660)/F1660,"n.a.")</x:f>
        <x:v>0.022608177436702837</x:v>
      </x:c>
      <x:c r="I1660" s="19" t="n">
        <x:f>IF(ISNUMBER(H1660),ABS(H1660),"n.a.")</x:f>
        <x:v>0.022608177436702837</x:v>
      </x:c>
      <x:c r="J1660" s="2" t="str">
        <x:v>available</x:v>
      </x:c>
      <x:c r="K1660" s="2" t="n">
        <x:v>1</x:v>
      </x:c>
      <x:c r="L1660" s="13" t="b">
        <x:v>0</x:v>
      </x:c>
      <x:c r="M1660" s="13" t="b">
        <x:v>1</x:v>
      </x:c>
      <x:c r="N1660" s="2" t="str">
        <x:v>historical_GHSL_BU_estimate</x:v>
      </x:c>
      <x:c r="O1660" s="2" t="str"/>
      <x:c r="P1660" s="2" t="str">
        <x:v>horizontal built-up surface</x:v>
      </x:c>
      <x:c r="Q1660" s="2" t="str">
        <x:v>m2</x:v>
      </x:c>
      <x:c r="R1660" s="17" t="n">
        <x:v>10555709715.863432</x:v>
      </x:c>
      <x:c r="S1660" s="17" t="n">
        <x:v>10794355074.09</x:v>
      </x:c>
      <x:c r="T1660" s="18" t="n">
        <x:v>0.9999999999999986</x:v>
      </x:c>
      <x:c r="U1660" s="17" t="n">
        <x:v>10794355074.089985</x:v>
      </x:c>
      <x:c r="V1660" s="2" t="str">
        <x:v>Area equivalent = model2020 * WUP surface / TEMPO2020 footprint; km2 multiplied by1e6 once</x:v>
      </x:c>
      <x:c r="W1660" s="2" t="str">
        <x:v>L1_numeric_partition_qualified_not_national_completeness</x:v>
      </x:c>
      <x:c r="X1660" s="2" t="str">
        <x:v>https://human-settlement.emergency.copernicus.eu/datasets.php</x:v>
      </x:c>
    </x:row>
    <x:row r="1661" ht="23" customHeight="1">
      <x:c r="A1661" s="2" t="str">
        <x:v>IND</x:v>
      </x:c>
      <x:c r="B1661" s="2" t="str">
        <x:v>India (Republic of)</x:v>
      </x:c>
      <x:c r="C1661" s="2" t="n">
        <x:v>2020</x:v>
      </x:c>
      <x:c r="D1661" s="2" t="str">
        <x:v>WUP_SURFACE</x:v>
      </x:c>
      <x:c r="E1661" s="17" t="n">
        <x:v>27853638424.040043</x:v>
      </x:c>
      <x:c r="F1661" s="17" t="n">
        <x:f>IF(AND(M1661,ISNUMBER(R1661)),IF(D1661="TEMPO_PROXY",R1661,IF(AND(ISNUMBER(S1661),S1661&gt;0,ISNUMBER(U1661)),U1661*R1661/S1661,"n.a.")),"n.a.")</x:f>
        <x:v>38257833490.0338</x:v>
      </x:c>
      <x:c r="G1661" s="17" t="n">
        <x:f>IF(AND(ISNUMBER(E1661),ISNUMBER(F1661)),E1661-F1661,"n.a.")</x:f>
        <x:v>-10404195065.993755</x:v>
      </x:c>
      <x:c r="H1661" s="15" t="n">
        <x:f>IF(AND(ISNUMBER(E1661),ISNUMBER(F1661),F1661&gt;0),(E1661-F1661)/F1661,"n.a.")</x:f>
        <x:v>-0.2719494053081719</x:v>
      </x:c>
      <x:c r="I1661" s="19" t="n">
        <x:f>IF(ISNUMBER(H1661),ABS(H1661),"n.a.")</x:f>
        <x:v>0.2719494053081719</x:v>
      </x:c>
      <x:c r="J1661" s="2" t="str">
        <x:v>available</x:v>
      </x:c>
      <x:c r="K1661" s="2" t="n">
        <x:v>1</x:v>
      </x:c>
      <x:c r="L1661" s="13" t="b">
        <x:v>0</x:v>
      </x:c>
      <x:c r="M1661" s="13" t="b">
        <x:v>1</x:v>
      </x:c>
      <x:c r="N1661" s="2" t="str">
        <x:v>historical_GHSL_BU_estimate</x:v>
      </x:c>
      <x:c r="O1661" s="2" t="str"/>
      <x:c r="P1661" s="2" t="str">
        <x:v>horizontal built-up surface</x:v>
      </x:c>
      <x:c r="Q1661" s="2" t="str">
        <x:v>m2</x:v>
      </x:c>
      <x:c r="R1661" s="17" t="n">
        <x:v>38257833490.03374</x:v>
      </x:c>
      <x:c r="S1661" s="17" t="n">
        <x:v>27853638424.04</x:v>
      </x:c>
      <x:c r="T1661" s="18" t="n">
        <x:v>1.0000000000000016</x:v>
      </x:c>
      <x:c r="U1661" s="17" t="n">
        <x:v>27853638424.040043</x:v>
      </x:c>
      <x:c r="V1661" s="2" t="str">
        <x:v>Area equivalent = model2020 * WUP surface / TEMPO2020 footprint; km2 multiplied by1e6 once</x:v>
      </x:c>
      <x:c r="W1661" s="2" t="str">
        <x:v>L1_numeric_partition_qualified_not_national_completeness</x:v>
      </x:c>
      <x:c r="X1661" s="2" t="str">
        <x:v>https://human-settlement.emergency.copernicus.eu/datasets.php</x:v>
      </x:c>
    </x:row>
    <x:row r="1662" ht="23" customHeight="1">
      <x:c r="A1662" s="2" t="str">
        <x:v>IRL</x:v>
      </x:c>
      <x:c r="B1662" s="2" t="str">
        <x:v>Ireland</x:v>
      </x:c>
      <x:c r="C1662" s="2" t="n">
        <x:v>2020</x:v>
      </x:c>
      <x:c r="D1662" s="2" t="str">
        <x:v>WUP_SURFACE</x:v>
      </x:c>
      <x:c r="E1662" s="17" t="n">
        <x:v>426553619.39999974</x:v>
      </x:c>
      <x:c r="F1662" s="17" t="n">
        <x:f>IF(AND(M1662,ISNUMBER(R1662)),IF(D1662="TEMPO_PROXY",R1662,IF(AND(ISNUMBER(S1662),S1662&gt;0,ISNUMBER(U1662)),U1662*R1662/S1662,"n.a.")),"n.a.")</x:f>
        <x:v>733764827.0827645</x:v>
      </x:c>
      <x:c r="G1662" s="17" t="n">
        <x:f>IF(AND(ISNUMBER(E1662),ISNUMBER(F1662)),E1662-F1662,"n.a.")</x:f>
        <x:v>-307211207.68276477</x:v>
      </x:c>
      <x:c r="H1662" s="15" t="n">
        <x:f>IF(AND(ISNUMBER(E1662),ISNUMBER(F1662),F1662&gt;0),(E1662-F1662)/F1662,"n.a.")</x:f>
        <x:v>-0.4186780237261401</x:v>
      </x:c>
      <x:c r="I1662" s="19" t="n">
        <x:f>IF(ISNUMBER(H1662),ABS(H1662),"n.a.")</x:f>
        <x:v>0.4186780237261401</x:v>
      </x:c>
      <x:c r="J1662" s="2" t="str">
        <x:v>available</x:v>
      </x:c>
      <x:c r="K1662" s="2" t="n">
        <x:v>1</x:v>
      </x:c>
      <x:c r="L1662" s="13" t="b">
        <x:v>0</x:v>
      </x:c>
      <x:c r="M1662" s="13" t="b">
        <x:v>1</x:v>
      </x:c>
      <x:c r="N1662" s="2" t="str">
        <x:v>historical_GHSL_BU_estimate</x:v>
      </x:c>
      <x:c r="O1662" s="2" t="str"/>
      <x:c r="P1662" s="2" t="str">
        <x:v>horizontal built-up surface</x:v>
      </x:c>
      <x:c r="Q1662" s="2" t="str">
        <x:v>m2</x:v>
      </x:c>
      <x:c r="R1662" s="17" t="n">
        <x:v>733764827.0827649</x:v>
      </x:c>
      <x:c r="S1662" s="17" t="n">
        <x:v>426553619.4</x:v>
      </x:c>
      <x:c r="T1662" s="18" t="n">
        <x:v>0.9999999999999994</x:v>
      </x:c>
      <x:c r="U1662" s="17" t="n">
        <x:v>426553619.39999974</x:v>
      </x:c>
      <x:c r="V1662" s="2" t="str">
        <x:v>Area equivalent = model2020 * WUP surface / TEMPO2020 footprint; km2 multiplied by1e6 once</x:v>
      </x:c>
      <x:c r="W1662" s="2" t="str">
        <x:v>L1_numeric_partition_qualified_not_national_completeness</x:v>
      </x:c>
      <x:c r="X1662" s="2" t="str">
        <x:v>https://human-settlement.emergency.copernicus.eu/datasets.php</x:v>
      </x:c>
    </x:row>
    <x:row r="1663" ht="23" customHeight="1">
      <x:c r="A1663" s="2" t="str">
        <x:v>IRN</x:v>
      </x:c>
      <x:c r="B1663" s="2" t="str">
        <x:v>Iran (Islamic Republic of)</x:v>
      </x:c>
      <x:c r="C1663" s="2" t="n">
        <x:v>2020</x:v>
      </x:c>
      <x:c r="D1663" s="2" t="str">
        <x:v>WUP_SURFACE</x:v>
      </x:c>
      <x:c r="E1663" s="17" t="n">
        <x:v>3753827768.770001</x:v>
      </x:c>
      <x:c r="F1663" s="17" t="n">
        <x:f>IF(AND(M1663,ISNUMBER(R1663)),IF(D1663="TEMPO_PROXY",R1663,IF(AND(ISNUMBER(S1663),S1663&gt;0,ISNUMBER(U1663)),U1663*R1663/S1663,"n.a.")),"n.a.")</x:f>
        <x:v>4275818026.829336</x:v>
      </x:c>
      <x:c r="G1663" s="17" t="n">
        <x:f>IF(AND(ISNUMBER(E1663),ISNUMBER(F1663)),E1663-F1663,"n.a.")</x:f>
        <x:v>-521990258.05933523</x:v>
      </x:c>
      <x:c r="H1663" s="15" t="n">
        <x:f>IF(AND(ISNUMBER(E1663),ISNUMBER(F1663),F1663&gt;0),(E1663-F1663)/F1663,"n.a.")</x:f>
        <x:v>-0.12207962424593843</x:v>
      </x:c>
      <x:c r="I1663" s="19" t="n">
        <x:f>IF(ISNUMBER(H1663),ABS(H1663),"n.a.")</x:f>
        <x:v>0.12207962424593843</x:v>
      </x:c>
      <x:c r="J1663" s="2" t="str">
        <x:v>available</x:v>
      </x:c>
      <x:c r="K1663" s="2" t="n">
        <x:v>1</x:v>
      </x:c>
      <x:c r="L1663" s="13" t="b">
        <x:v>0</x:v>
      </x:c>
      <x:c r="M1663" s="13" t="b">
        <x:v>1</x:v>
      </x:c>
      <x:c r="N1663" s="2" t="str">
        <x:v>historical_GHSL_BU_estimate</x:v>
      </x:c>
      <x:c r="O1663" s="2" t="str"/>
      <x:c r="P1663" s="2" t="str">
        <x:v>horizontal built-up surface</x:v>
      </x:c>
      <x:c r="Q1663" s="2" t="str">
        <x:v>m2</x:v>
      </x:c>
      <x:c r="R1663" s="17" t="n">
        <x:v>4209778761.3319345</x:v>
      </x:c>
      <x:c r="S1663" s="17" t="n">
        <x:v>3695850551.99</x:v>
      </x:c>
      <x:c r="T1663" s="18" t="n">
        <x:v>1.0156871107108982</x:v>
      </x:c>
      <x:c r="U1663" s="17" t="n">
        <x:v>3753827768.770001</x:v>
      </x:c>
      <x:c r="V1663" s="2" t="str">
        <x:v>Area equivalent = model2020 * WUP surface / TEMPO2020 footprint; km2 multiplied by1e6 once</x:v>
      </x:c>
      <x:c r="W1663" s="2" t="str">
        <x:v>L1_numeric_partition_qualified_not_national_completeness</x:v>
      </x:c>
      <x:c r="X1663" s="2" t="str">
        <x:v>https://human-settlement.emergency.copernicus.eu/datasets.php</x:v>
      </x:c>
    </x:row>
    <x:row r="1664" ht="23" customHeight="1">
      <x:c r="A1664" s="2" t="str">
        <x:v>IRQ</x:v>
      </x:c>
      <x:c r="B1664" s="2" t="str">
        <x:v>Iraq (Republic of)</x:v>
      </x:c>
      <x:c r="C1664" s="2" t="n">
        <x:v>2020</x:v>
      </x:c>
      <x:c r="D1664" s="2" t="str">
        <x:v>WUP_SURFACE</x:v>
      </x:c>
      <x:c r="E1664" s="17" t="n">
        <x:v>1226955244.870001</x:v>
      </x:c>
      <x:c r="F1664" s="17" t="n">
        <x:f>IF(AND(M1664,ISNUMBER(R1664)),IF(D1664="TEMPO_PROXY",R1664,IF(AND(ISNUMBER(S1664),S1664&gt;0,ISNUMBER(U1664)),U1664*R1664/S1664,"n.a.")),"n.a.")</x:f>
        <x:v>1578249706.022103</x:v>
      </x:c>
      <x:c r="G1664" s="17" t="n">
        <x:f>IF(AND(ISNUMBER(E1664),ISNUMBER(F1664)),E1664-F1664,"n.a.")</x:f>
        <x:v>-351294461.152102</x:v>
      </x:c>
      <x:c r="H1664" s="15" t="n">
        <x:f>IF(AND(ISNUMBER(E1664),ISNUMBER(F1664),F1664&gt;0),(E1664-F1664)/F1664,"n.a.")</x:f>
        <x:v>-0.2225848418103125</x:v>
      </x:c>
      <x:c r="I1664" s="19" t="n">
        <x:f>IF(ISNUMBER(H1664),ABS(H1664),"n.a.")</x:f>
        <x:v>0.2225848418103125</x:v>
      </x:c>
      <x:c r="J1664" s="2" t="str">
        <x:v>available</x:v>
      </x:c>
      <x:c r="K1664" s="2" t="n">
        <x:v>1</x:v>
      </x:c>
      <x:c r="L1664" s="13" t="b">
        <x:v>0</x:v>
      </x:c>
      <x:c r="M1664" s="13" t="b">
        <x:v>1</x:v>
      </x:c>
      <x:c r="N1664" s="2" t="str">
        <x:v>historical_GHSL_BU_estimate</x:v>
      </x:c>
      <x:c r="O1664" s="2" t="str"/>
      <x:c r="P1664" s="2" t="str">
        <x:v>horizontal built-up surface</x:v>
      </x:c>
      <x:c r="Q1664" s="2" t="str">
        <x:v>m2</x:v>
      </x:c>
      <x:c r="R1664" s="17" t="n">
        <x:v>1578249706.0221016</x:v>
      </x:c>
      <x:c r="S1664" s="17" t="n">
        <x:v>1226955244.87</x:v>
      </x:c>
      <x:c r="T1664" s="18" t="n">
        <x:v>1.0000000000000009</x:v>
      </x:c>
      <x:c r="U1664" s="17" t="n">
        <x:v>1226955244.870001</x:v>
      </x:c>
      <x:c r="V1664" s="2" t="str">
        <x:v>Area equivalent = model2020 * WUP surface / TEMPO2020 footprint; km2 multiplied by1e6 once</x:v>
      </x:c>
      <x:c r="W1664" s="2" t="str">
        <x:v>L1_numeric_partition_qualified_not_national_completeness</x:v>
      </x:c>
      <x:c r="X1664" s="2" t="str">
        <x:v>https://human-settlement.emergency.copernicus.eu/datasets.php</x:v>
      </x:c>
    </x:row>
    <x:row r="1665" ht="23" customHeight="1">
      <x:c r="A1665" s="2" t="str">
        <x:v>ISL</x:v>
      </x:c>
      <x:c r="B1665" s="2" t="str">
        <x:v>Iceland</x:v>
      </x:c>
      <x:c r="C1665" s="2" t="n">
        <x:v>2020</x:v>
      </x:c>
      <x:c r="D1665" s="2" t="str">
        <x:v>WUP_SURFACE</x:v>
      </x:c>
      <x:c r="E1665" s="17" t="n">
        <x:v>26377629.56999999</x:v>
      </x:c>
      <x:c r="F1665" s="17" t="n">
        <x:f>IF(AND(M1665,ISNUMBER(R1665)),IF(D1665="TEMPO_PROXY",R1665,IF(AND(ISNUMBER(S1665),S1665&gt;0,ISNUMBER(U1665)),U1665*R1665/S1665,"n.a.")),"n.a.")</x:f>
        <x:v>35049454.54132365</x:v>
      </x:c>
      <x:c r="G1665" s="17" t="n">
        <x:f>IF(AND(ISNUMBER(E1665),ISNUMBER(F1665)),E1665-F1665,"n.a.")</x:f>
        <x:v>-8671824.971323658</x:v>
      </x:c>
      <x:c r="H1665" s="15" t="n">
        <x:f>IF(AND(ISNUMBER(E1665),ISNUMBER(F1665),F1665&gt;0),(E1665-F1665)/F1665,"n.a.")</x:f>
        <x:v>-0.24741683101229128</x:v>
      </x:c>
      <x:c r="I1665" s="19" t="n">
        <x:f>IF(ISNUMBER(H1665),ABS(H1665),"n.a.")</x:f>
        <x:v>0.24741683101229128</x:v>
      </x:c>
      <x:c r="J1665" s="2" t="str">
        <x:v>available</x:v>
      </x:c>
      <x:c r="K1665" s="2" t="n">
        <x:v>1</x:v>
      </x:c>
      <x:c r="L1665" s="13" t="b">
        <x:v>0</x:v>
      </x:c>
      <x:c r="M1665" s="13" t="b">
        <x:v>1</x:v>
      </x:c>
      <x:c r="N1665" s="2" t="str">
        <x:v>historical_GHSL_BU_estimate</x:v>
      </x:c>
      <x:c r="O1665" s="2" t="str"/>
      <x:c r="P1665" s="2" t="str">
        <x:v>horizontal built-up surface</x:v>
      </x:c>
      <x:c r="Q1665" s="2" t="str">
        <x:v>m2</x:v>
      </x:c>
      <x:c r="R1665" s="17" t="n">
        <x:v>32077527.99264938</x:v>
      </x:c>
      <x:c r="S1665" s="17" t="n">
        <x:v>24141007.67</x:v>
      </x:c>
      <x:c r="T1665" s="18" t="n">
        <x:v>1.0926482411411282</x:v>
      </x:c>
      <x:c r="U1665" s="17" t="n">
        <x:v>26377629.56999999</x:v>
      </x:c>
      <x:c r="V1665" s="2" t="str">
        <x:v>Area equivalent = model2020 * WUP surface / TEMPO2020 footprint; km2 multiplied by1e6 once</x:v>
      </x:c>
      <x:c r="W1665" s="2" t="str">
        <x:v>L1_numeric_partition_qualified_not_national_completeness</x:v>
      </x:c>
      <x:c r="X1665" s="2" t="str">
        <x:v>https://human-settlement.emergency.copernicus.eu/datasets.php</x:v>
      </x:c>
    </x:row>
    <x:row r="1666" ht="23" customHeight="1">
      <x:c r="A1666" s="2" t="str">
        <x:v>ISR</x:v>
      </x:c>
      <x:c r="B1666" s="2" t="str">
        <x:v>Israel (State of)</x:v>
      </x:c>
      <x:c r="C1666" s="2" t="n">
        <x:v>2020</x:v>
      </x:c>
      <x:c r="D1666" s="2" t="str">
        <x:v>WUP_SURFACE</x:v>
      </x:c>
      <x:c r="E1666" s="17" t="n">
        <x:v>372353983.1399999</x:v>
      </x:c>
      <x:c r="F1666" s="17" t="n">
        <x:f>IF(AND(M1666,ISNUMBER(R1666)),IF(D1666="TEMPO_PROXY",R1666,IF(AND(ISNUMBER(S1666),S1666&gt;0,ISNUMBER(U1666)),U1666*R1666/S1666,"n.a.")),"n.a.")</x:f>
        <x:v>482233223.5110704</x:v>
      </x:c>
      <x:c r="G1666" s="17" t="n">
        <x:f>IF(AND(ISNUMBER(E1666),ISNUMBER(F1666)),E1666-F1666,"n.a.")</x:f>
        <x:v>-109879240.37107044</x:v>
      </x:c>
      <x:c r="H1666" s="15" t="n">
        <x:f>IF(AND(ISNUMBER(E1666),ISNUMBER(F1666),F1666&gt;0),(E1666-F1666)/F1666,"n.a.")</x:f>
        <x:v>-0.2278549776621685</x:v>
      </x:c>
      <x:c r="I1666" s="19" t="n">
        <x:f>IF(ISNUMBER(H1666),ABS(H1666),"n.a.")</x:f>
        <x:v>0.2278549776621685</x:v>
      </x:c>
      <x:c r="J1666" s="2" t="str">
        <x:v>available</x:v>
      </x:c>
      <x:c r="K1666" s="2" t="n">
        <x:v>1</x:v>
      </x:c>
      <x:c r="L1666" s="13" t="b">
        <x:v>0</x:v>
      </x:c>
      <x:c r="M1666" s="13" t="b">
        <x:v>1</x:v>
      </x:c>
      <x:c r="N1666" s="2" t="str">
        <x:v>historical_GHSL_BU_estimate</x:v>
      </x:c>
      <x:c r="O1666" s="2" t="str"/>
      <x:c r="P1666" s="2" t="str">
        <x:v>horizontal built-up surface</x:v>
      </x:c>
      <x:c r="Q1666" s="2" t="str">
        <x:v>m2</x:v>
      </x:c>
      <x:c r="R1666" s="17" t="n">
        <x:v>462391054.28538233</x:v>
      </x:c>
      <x:c r="S1666" s="17" t="n">
        <x:v>357032950.94</x:v>
      </x:c>
      <x:c r="T1666" s="18" t="n">
        <x:v>1.0429120958154214</x:v>
      </x:c>
      <x:c r="U1666" s="17" t="n">
        <x:v>372353983.1399999</x:v>
      </x:c>
      <x:c r="V1666" s="2" t="str">
        <x:v>Area equivalent = model2020 * WUP surface / TEMPO2020 footprint; km2 multiplied by1e6 once</x:v>
      </x:c>
      <x:c r="W1666" s="2" t="str">
        <x:v>L1_numeric_partition_qualified_not_national_completeness</x:v>
      </x:c>
      <x:c r="X1666" s="2" t="str">
        <x:v>https://human-settlement.emergency.copernicus.eu/datasets.php</x:v>
      </x:c>
    </x:row>
    <x:row r="1667" ht="23" customHeight="1">
      <x:c r="A1667" s="2" t="str">
        <x:v>ITA</x:v>
      </x:c>
      <x:c r="B1667" s="2" t="str">
        <x:v>Italy (Italian Republic)</x:v>
      </x:c>
      <x:c r="C1667" s="2" t="n">
        <x:v>2020</x:v>
      </x:c>
      <x:c r="D1667" s="2" t="str">
        <x:v>WUP_SURFACE</x:v>
      </x:c>
      <x:c r="E1667" s="17" t="n">
        <x:v>5000634293.290002</x:v>
      </x:c>
      <x:c r="F1667" s="17" t="n">
        <x:f>IF(AND(M1667,ISNUMBER(R1667)),IF(D1667="TEMPO_PROXY",R1667,IF(AND(ISNUMBER(S1667),S1667&gt;0,ISNUMBER(U1667)),U1667*R1667/S1667,"n.a.")),"n.a.")</x:f>
        <x:v>7351713411.344404</x:v>
      </x:c>
      <x:c r="G1667" s="17" t="n">
        <x:f>IF(AND(ISNUMBER(E1667),ISNUMBER(F1667)),E1667-F1667,"n.a.")</x:f>
        <x:v>-2351079118.0544024</x:v>
      </x:c>
      <x:c r="H1667" s="15" t="n">
        <x:f>IF(AND(ISNUMBER(E1667),ISNUMBER(F1667),F1667&gt;0),(E1667-F1667)/F1667,"n.a.")</x:f>
        <x:v>-0.31980015902503217</x:v>
      </x:c>
      <x:c r="I1667" s="19" t="n">
        <x:f>IF(ISNUMBER(H1667),ABS(H1667),"n.a.")</x:f>
        <x:v>0.31980015902503217</x:v>
      </x:c>
      <x:c r="J1667" s="2" t="str">
        <x:v>available</x:v>
      </x:c>
      <x:c r="K1667" s="2" t="n">
        <x:v>1</x:v>
      </x:c>
      <x:c r="L1667" s="13" t="b">
        <x:v>0</x:v>
      </x:c>
      <x:c r="M1667" s="13" t="b">
        <x:v>1</x:v>
      </x:c>
      <x:c r="N1667" s="2" t="str">
        <x:v>historical_GHSL_BU_estimate</x:v>
      </x:c>
      <x:c r="O1667" s="2" t="str"/>
      <x:c r="P1667" s="2" t="str">
        <x:v>horizontal built-up surface</x:v>
      </x:c>
      <x:c r="Q1667" s="2" t="str">
        <x:v>m2</x:v>
      </x:c>
      <x:c r="R1667" s="17" t="n">
        <x:v>6926352828.687858</x:v>
      </x:c>
      <x:c r="S1667" s="17" t="n">
        <x:v>4711304092.61</x:v>
      </x:c>
      <x:c r="T1667" s="18" t="n">
        <x:v>1.0614119137700826</x:v>
      </x:c>
      <x:c r="U1667" s="17" t="n">
        <x:v>5000634293.290002</x:v>
      </x:c>
      <x:c r="V1667" s="2" t="str">
        <x:v>Area equivalent = model2020 * WUP surface / TEMPO2020 footprint; km2 multiplied by1e6 once</x:v>
      </x:c>
      <x:c r="W1667" s="2" t="str">
        <x:v>L1_numeric_partition_qualified_not_national_completeness</x:v>
      </x:c>
      <x:c r="X1667" s="2" t="str">
        <x:v>https://human-settlement.emergency.copernicus.eu/datasets.php</x:v>
      </x:c>
    </x:row>
    <x:row r="1668" ht="23" customHeight="1">
      <x:c r="A1668" s="2" t="str">
        <x:v>JAM</x:v>
      </x:c>
      <x:c r="B1668" s="2" t="str">
        <x:v>Jamaica</x:v>
      </x:c>
      <x:c r="C1668" s="2" t="n">
        <x:v>2020</x:v>
      </x:c>
      <x:c r="D1668" s="2" t="str">
        <x:v>WUP_SURFACE</x:v>
      </x:c>
      <x:c r="E1668" s="17" t="n">
        <x:v>133338245.18999992</x:v>
      </x:c>
      <x:c r="F1668" s="17" t="n">
        <x:f>IF(AND(M1668,ISNUMBER(R1668)),IF(D1668="TEMPO_PROXY",R1668,IF(AND(ISNUMBER(S1668),S1668&gt;0,ISNUMBER(U1668)),U1668*R1668/S1668,"n.a.")),"n.a.")</x:f>
        <x:v>223762960.0370434</x:v>
      </x:c>
      <x:c r="G1668" s="17" t="n">
        <x:f>IF(AND(ISNUMBER(E1668),ISNUMBER(F1668)),E1668-F1668,"n.a.")</x:f>
        <x:v>-90424714.84704347</x:v>
      </x:c>
      <x:c r="H1668" s="15" t="n">
        <x:f>IF(AND(ISNUMBER(E1668),ISNUMBER(F1668),F1668&gt;0),(E1668-F1668)/F1668,"n.a.")</x:f>
        <x:v>-0.4041093969800627</x:v>
      </x:c>
      <x:c r="I1668" s="19" t="n">
        <x:f>IF(ISNUMBER(H1668),ABS(H1668),"n.a.")</x:f>
        <x:v>0.4041093969800627</x:v>
      </x:c>
      <x:c r="J1668" s="2" t="str">
        <x:v>available</x:v>
      </x:c>
      <x:c r="K1668" s="2" t="n">
        <x:v>1</x:v>
      </x:c>
      <x:c r="L1668" s="13" t="b">
        <x:v>0</x:v>
      </x:c>
      <x:c r="M1668" s="13" t="b">
        <x:v>1</x:v>
      </x:c>
      <x:c r="N1668" s="2" t="str">
        <x:v>historical_GHSL_BU_estimate</x:v>
      </x:c>
      <x:c r="O1668" s="2" t="str"/>
      <x:c r="P1668" s="2" t="str">
        <x:v>horizontal built-up surface</x:v>
      </x:c>
      <x:c r="Q1668" s="2" t="str">
        <x:v>m2</x:v>
      </x:c>
      <x:c r="R1668" s="17" t="n">
        <x:v>223762960.0370435</x:v>
      </x:c>
      <x:c r="S1668" s="17" t="n">
        <x:v>133338245.19</x:v>
      </x:c>
      <x:c r="T1668" s="18" t="n">
        <x:v>0.9999999999999994</x:v>
      </x:c>
      <x:c r="U1668" s="17" t="n">
        <x:v>133338245.18999992</x:v>
      </x:c>
      <x:c r="V1668" s="2" t="str">
        <x:v>Area equivalent = model2020 * WUP surface / TEMPO2020 footprint; km2 multiplied by1e6 once</x:v>
      </x:c>
      <x:c r="W1668" s="2" t="str">
        <x:v>L1_numeric_partition_qualified_not_national_completeness</x:v>
      </x:c>
      <x:c r="X1668" s="2" t="str">
        <x:v>https://human-settlement.emergency.copernicus.eu/datasets.php</x:v>
      </x:c>
    </x:row>
    <x:row r="1669" ht="23" customHeight="1">
      <x:c r="A1669" s="2" t="str">
        <x:v>JOR</x:v>
      </x:c>
      <x:c r="B1669" s="2" t="str">
        <x:v>Jordan (Hashemite Kingdom of)</x:v>
      </x:c>
      <x:c r="C1669" s="2" t="n">
        <x:v>2020</x:v>
      </x:c>
      <x:c r="D1669" s="2" t="str">
        <x:v>WUP_SURFACE</x:v>
      </x:c>
      <x:c r="E1669" s="17" t="n">
        <x:v>279172690.0000002</x:v>
      </x:c>
      <x:c r="F1669" s="17" t="n">
        <x:f>IF(AND(M1669,ISNUMBER(R1669)),IF(D1669="TEMPO_PROXY",R1669,IF(AND(ISNUMBER(S1669),S1669&gt;0,ISNUMBER(U1669)),U1669*R1669/S1669,"n.a.")),"n.a.")</x:f>
        <x:v>330738900.4405042</x:v>
      </x:c>
      <x:c r="G1669" s="17" t="n">
        <x:f>IF(AND(ISNUMBER(E1669),ISNUMBER(F1669)),E1669-F1669,"n.a.")</x:f>
        <x:v>-51566210.440504014</x:v>
      </x:c>
      <x:c r="H1669" s="15" t="n">
        <x:f>IF(AND(ISNUMBER(E1669),ISNUMBER(F1669),F1669&gt;0),(E1669-F1669)/F1669,"n.a.")</x:f>
        <x:v>-0.15591214209100915</x:v>
      </x:c>
      <x:c r="I1669" s="19" t="n">
        <x:f>IF(ISNUMBER(H1669),ABS(H1669),"n.a.")</x:f>
        <x:v>0.15591214209100915</x:v>
      </x:c>
      <x:c r="J1669" s="2" t="str">
        <x:v>available</x:v>
      </x:c>
      <x:c r="K1669" s="2" t="n">
        <x:v>1</x:v>
      </x:c>
      <x:c r="L1669" s="13" t="b">
        <x:v>0</x:v>
      </x:c>
      <x:c r="M1669" s="13" t="b">
        <x:v>1</x:v>
      </x:c>
      <x:c r="N1669" s="2" t="str">
        <x:v>historical_GHSL_BU_estimate</x:v>
      </x:c>
      <x:c r="O1669" s="2" t="str"/>
      <x:c r="P1669" s="2" t="str">
        <x:v>horizontal built-up surface</x:v>
      </x:c>
      <x:c r="Q1669" s="2" t="str">
        <x:v>m2</x:v>
      </x:c>
      <x:c r="R1669" s="17" t="n">
        <x:v>326961055.7409019</x:v>
      </x:c>
      <x:c r="S1669" s="17" t="n">
        <x:v>275983857.16</x:v>
      </x:c>
      <x:c r="T1669" s="18" t="n">
        <x:v>1.0115544179750755</x:v>
      </x:c>
      <x:c r="U1669" s="17" t="n">
        <x:v>279172690.0000002</x:v>
      </x:c>
      <x:c r="V1669" s="2" t="str">
        <x:v>Area equivalent = model2020 * WUP surface / TEMPO2020 footprint; km2 multiplied by1e6 once</x:v>
      </x:c>
      <x:c r="W1669" s="2" t="str">
        <x:v>L1_numeric_partition_qualified_not_national_completeness</x:v>
      </x:c>
      <x:c r="X1669" s="2" t="str">
        <x:v>https://human-settlement.emergency.copernicus.eu/datasets.php</x:v>
      </x:c>
    </x:row>
    <x:row r="1670" ht="23" customHeight="1">
      <x:c r="A1670" s="2" t="str">
        <x:v>JPN</x:v>
      </x:c>
      <x:c r="B1670" s="2" t="str">
        <x:v>Japan</x:v>
      </x:c>
      <x:c r="C1670" s="2" t="n">
        <x:v>2020</x:v>
      </x:c>
      <x:c r="D1670" s="2" t="str">
        <x:v>WUP_SURFACE</x:v>
      </x:c>
      <x:c r="E1670" s="17" t="n">
        <x:v>8341228241.779989</x:v>
      </x:c>
      <x:c r="F1670" s="17" t="n">
        <x:f>IF(AND(M1670,ISNUMBER(R1670)),IF(D1670="TEMPO_PROXY",R1670,IF(AND(ISNUMBER(S1670),S1670&gt;0,ISNUMBER(U1670)),U1670*R1670/S1670,"n.a.")),"n.a.")</x:f>
        <x:v>13338717821.046413</x:v>
      </x:c>
      <x:c r="G1670" s="17" t="n">
        <x:f>IF(AND(ISNUMBER(E1670),ISNUMBER(F1670)),E1670-F1670,"n.a.")</x:f>
        <x:v>-4997489579.266424</x:v>
      </x:c>
      <x:c r="H1670" s="15" t="n">
        <x:f>IF(AND(ISNUMBER(E1670),ISNUMBER(F1670),F1670&gt;0),(E1670-F1670)/F1670,"n.a.")</x:f>
        <x:v>-0.37466041686414314</x:v>
      </x:c>
      <x:c r="I1670" s="19" t="n">
        <x:f>IF(ISNUMBER(H1670),ABS(H1670),"n.a.")</x:f>
        <x:v>0.37466041686414314</x:v>
      </x:c>
      <x:c r="J1670" s="2" t="str">
        <x:v>available</x:v>
      </x:c>
      <x:c r="K1670" s="2" t="n">
        <x:v>1</x:v>
      </x:c>
      <x:c r="L1670" s="13" t="b">
        <x:v>0</x:v>
      </x:c>
      <x:c r="M1670" s="13" t="b">
        <x:v>1</x:v>
      </x:c>
      <x:c r="N1670" s="2" t="str">
        <x:v>historical_GHSL_BU_estimate</x:v>
      </x:c>
      <x:c r="O1670" s="2" t="str"/>
      <x:c r="P1670" s="2" t="str">
        <x:v>horizontal built-up surface</x:v>
      </x:c>
      <x:c r="Q1670" s="2" t="str">
        <x:v>m2</x:v>
      </x:c>
      <x:c r="R1670" s="17" t="n">
        <x:v>12914669529.300297</x:v>
      </x:c>
      <x:c r="S1670" s="17" t="n">
        <x:v>8076054059.79</x:v>
      </x:c>
      <x:c r="T1670" s="18" t="n">
        <x:v>1.032834621961023</x:v>
      </x:c>
      <x:c r="U1670" s="17" t="n">
        <x:v>8341228241.779989</x:v>
      </x:c>
      <x:c r="V1670" s="2" t="str">
        <x:v>Area equivalent = model2020 * WUP surface / TEMPO2020 footprint; km2 multiplied by1e6 once</x:v>
      </x:c>
      <x:c r="W1670" s="2" t="str">
        <x:v>L1_numeric_partition_qualified_not_national_completeness</x:v>
      </x:c>
      <x:c r="X1670" s="2" t="str">
        <x:v>https://human-settlement.emergency.copernicus.eu/datasets.php</x:v>
      </x:c>
    </x:row>
    <x:row r="1671" ht="23" customHeight="1">
      <x:c r="A1671" s="2" t="str">
        <x:v>KAZ</x:v>
      </x:c>
      <x:c r="B1671" s="2" t="str">
        <x:v>Kazakhstan (Republic of)</x:v>
      </x:c>
      <x:c r="C1671" s="2" t="n">
        <x:v>2020</x:v>
      </x:c>
      <x:c r="D1671" s="2" t="str">
        <x:v>WUP_SURFACE</x:v>
      </x:c>
      <x:c r="E1671" s="17" t="n">
        <x:v>1009034692.9700016</x:v>
      </x:c>
      <x:c r="F1671" s="17" t="n">
        <x:f>IF(AND(M1671,ISNUMBER(R1671)),IF(D1671="TEMPO_PROXY",R1671,IF(AND(ISNUMBER(S1671),S1671&gt;0,ISNUMBER(U1671)),U1671*R1671/S1671,"n.a.")),"n.a.")</x:f>
        <x:v>2313486292.2574325</x:v>
      </x:c>
      <x:c r="G1671" s="17" t="n">
        <x:f>IF(AND(ISNUMBER(E1671),ISNUMBER(F1671)),E1671-F1671,"n.a.")</x:f>
        <x:v>-1304451599.2874308</x:v>
      </x:c>
      <x:c r="H1671" s="15" t="n">
        <x:f>IF(AND(ISNUMBER(E1671),ISNUMBER(F1671),F1671&gt;0),(E1671-F1671)/F1671,"n.a.")</x:f>
        <x:v>-0.5638466947710267</x:v>
      </x:c>
      <x:c r="I1671" s="19" t="n">
        <x:f>IF(ISNUMBER(H1671),ABS(H1671),"n.a.")</x:f>
        <x:v>0.5638466947710267</x:v>
      </x:c>
      <x:c r="J1671" s="2" t="str">
        <x:v>available</x:v>
      </x:c>
      <x:c r="K1671" s="2" t="n">
        <x:v>1</x:v>
      </x:c>
      <x:c r="L1671" s="13" t="b">
        <x:v>0</x:v>
      </x:c>
      <x:c r="M1671" s="13" t="b">
        <x:v>1</x:v>
      </x:c>
      <x:c r="N1671" s="2" t="str">
        <x:v>historical_GHSL_BU_estimate</x:v>
      </x:c>
      <x:c r="O1671" s="2" t="str"/>
      <x:c r="P1671" s="2" t="str">
        <x:v>horizontal built-up surface</x:v>
      </x:c>
      <x:c r="Q1671" s="2" t="str">
        <x:v>m2</x:v>
      </x:c>
      <x:c r="R1671" s="17" t="n">
        <x:v>2313486292.257429</x:v>
      </x:c>
      <x:c r="S1671" s="17" t="n">
        <x:v>1009034692.97</x:v>
      </x:c>
      <x:c r="T1671" s="18" t="n">
        <x:v>1.0000000000000016</x:v>
      </x:c>
      <x:c r="U1671" s="17" t="n">
        <x:v>1009034692.9700016</x:v>
      </x:c>
      <x:c r="V1671" s="2" t="str">
        <x:v>Area equivalent = model2020 * WUP surface / TEMPO2020 footprint; km2 multiplied by1e6 once</x:v>
      </x:c>
      <x:c r="W1671" s="2" t="str">
        <x:v>L1_numeric_partition_qualified_not_national_completeness</x:v>
      </x:c>
      <x:c r="X1671" s="2" t="str">
        <x:v>https://human-settlement.emergency.copernicus.eu/datasets.php</x:v>
      </x:c>
    </x:row>
    <x:row r="1672" ht="23" customHeight="1">
      <x:c r="A1672" s="2" t="str">
        <x:v>KEN</x:v>
      </x:c>
      <x:c r="B1672" s="2" t="str">
        <x:v>Kenya (Republic of)</x:v>
      </x:c>
      <x:c r="C1672" s="2" t="n">
        <x:v>2020</x:v>
      </x:c>
      <x:c r="D1672" s="2" t="str">
        <x:v>WUP_SURFACE</x:v>
      </x:c>
      <x:c r="E1672" s="17" t="n">
        <x:v>1180050447.52</x:v>
      </x:c>
      <x:c r="F1672" s="17" t="n">
        <x:f>IF(AND(M1672,ISNUMBER(R1672)),IF(D1672="TEMPO_PROXY",R1672,IF(AND(ISNUMBER(S1672),S1672&gt;0,ISNUMBER(U1672)),U1672*R1672/S1672,"n.a.")),"n.a.")</x:f>
        <x:v>3057429689.161173</x:v>
      </x:c>
      <x:c r="G1672" s="17" t="n">
        <x:f>IF(AND(ISNUMBER(E1672),ISNUMBER(F1672)),E1672-F1672,"n.a.")</x:f>
        <x:v>-1877379241.641173</x:v>
      </x:c>
      <x:c r="H1672" s="15" t="n">
        <x:f>IF(AND(ISNUMBER(E1672),ISNUMBER(F1672),F1672&gt;0),(E1672-F1672)/F1672,"n.a.")</x:f>
        <x:v>-0.6140384023536597</x:v>
      </x:c>
      <x:c r="I1672" s="19" t="n">
        <x:f>IF(ISNUMBER(H1672),ABS(H1672),"n.a.")</x:f>
        <x:v>0.6140384023536597</x:v>
      </x:c>
      <x:c r="J1672" s="2" t="str">
        <x:v>available</x:v>
      </x:c>
      <x:c r="K1672" s="2" t="n">
        <x:v>1</x:v>
      </x:c>
      <x:c r="L1672" s="13" t="b">
        <x:v>0</x:v>
      </x:c>
      <x:c r="M1672" s="13" t="b">
        <x:v>1</x:v>
      </x:c>
      <x:c r="N1672" s="2" t="str">
        <x:v>historical_GHSL_BU_estimate</x:v>
      </x:c>
      <x:c r="O1672" s="2" t="str"/>
      <x:c r="P1672" s="2" t="str">
        <x:v>horizontal built-up surface</x:v>
      </x:c>
      <x:c r="Q1672" s="2" t="str">
        <x:v>m2</x:v>
      </x:c>
      <x:c r="R1672" s="17" t="n">
        <x:v>3057429689.161173</x:v>
      </x:c>
      <x:c r="S1672" s="17" t="n">
        <x:v>1180050447.52</x:v>
      </x:c>
      <x:c r="T1672" s="18" t="n">
        <x:v>1</x:v>
      </x:c>
      <x:c r="U1672" s="17" t="n">
        <x:v>1180050447.52</x:v>
      </x:c>
      <x:c r="V1672" s="2" t="str">
        <x:v>Area equivalent = model2020 * WUP surface / TEMPO2020 footprint; km2 multiplied by1e6 once</x:v>
      </x:c>
      <x:c r="W1672" s="2" t="str">
        <x:v>L1_numeric_partition_qualified_not_national_completeness</x:v>
      </x:c>
      <x:c r="X1672" s="2" t="str">
        <x:v>https://human-settlement.emergency.copernicus.eu/datasets.php</x:v>
      </x:c>
    </x:row>
    <x:row r="1673" ht="23" customHeight="1">
      <x:c r="A1673" s="2" t="str">
        <x:v>KGZ</x:v>
      </x:c>
      <x:c r="B1673" s="2" t="str">
        <x:v>Kyrgyzstan (Kyrgyz Republic)</x:v>
      </x:c>
      <x:c r="C1673" s="2" t="n">
        <x:v>2020</x:v>
      </x:c>
      <x:c r="D1673" s="2" t="str">
        <x:v>WUP_SURFACE</x:v>
      </x:c>
      <x:c r="E1673" s="17" t="n">
        <x:v>332236534.37000054</x:v>
      </x:c>
      <x:c r="F1673" s="17" t="n">
        <x:f>IF(AND(M1673,ISNUMBER(R1673)),IF(D1673="TEMPO_PROXY",R1673,IF(AND(ISNUMBER(S1673),S1673&gt;0,ISNUMBER(U1673)),U1673*R1673/S1673,"n.a.")),"n.a.")</x:f>
        <x:v>676009971.9548519</x:v>
      </x:c>
      <x:c r="G1673" s="17" t="n">
        <x:f>IF(AND(ISNUMBER(E1673),ISNUMBER(F1673)),E1673-F1673,"n.a.")</x:f>
        <x:v>-343773437.5848513</x:v>
      </x:c>
      <x:c r="H1673" s="15" t="n">
        <x:f>IF(AND(ISNUMBER(E1673),ISNUMBER(F1673),F1673&gt;0),(E1673-F1673)/F1673,"n.a.")</x:f>
        <x:v>-0.50853308656194</x:v>
      </x:c>
      <x:c r="I1673" s="19" t="n">
        <x:f>IF(ISNUMBER(H1673),ABS(H1673),"n.a.")</x:f>
        <x:v>0.50853308656194</x:v>
      </x:c>
      <x:c r="J1673" s="2" t="str">
        <x:v>available</x:v>
      </x:c>
      <x:c r="K1673" s="2" t="n">
        <x:v>1</x:v>
      </x:c>
      <x:c r="L1673" s="13" t="b">
        <x:v>0</x:v>
      </x:c>
      <x:c r="M1673" s="13" t="b">
        <x:v>1</x:v>
      </x:c>
      <x:c r="N1673" s="2" t="str">
        <x:v>historical_GHSL_BU_estimate</x:v>
      </x:c>
      <x:c r="O1673" s="2" t="str"/>
      <x:c r="P1673" s="2" t="str">
        <x:v>horizontal built-up surface</x:v>
      </x:c>
      <x:c r="Q1673" s="2" t="str">
        <x:v>m2</x:v>
      </x:c>
      <x:c r="R1673" s="17" t="n">
        <x:v>676009971.9548508</x:v>
      </x:c>
      <x:c r="S1673" s="17" t="n">
        <x:v>332236534.37</x:v>
      </x:c>
      <x:c r="T1673" s="18" t="n">
        <x:v>1.0000000000000016</x:v>
      </x:c>
      <x:c r="U1673" s="17" t="n">
        <x:v>332236534.37000054</x:v>
      </x:c>
      <x:c r="V1673" s="2" t="str">
        <x:v>Area equivalent = model2020 * WUP surface / TEMPO2020 footprint; km2 multiplied by1e6 once</x:v>
      </x:c>
      <x:c r="W1673" s="2" t="str">
        <x:v>L1_numeric_partition_qualified_not_national_completeness</x:v>
      </x:c>
      <x:c r="X1673" s="2" t="str">
        <x:v>https://human-settlement.emergency.copernicus.eu/datasets.php</x:v>
      </x:c>
    </x:row>
    <x:row r="1674" ht="23" customHeight="1">
      <x:c r="A1674" s="2" t="str">
        <x:v>KHM</x:v>
      </x:c>
      <x:c r="B1674" s="2" t="str">
        <x:v>Cambodia (Kingdom of)</x:v>
      </x:c>
      <x:c r="C1674" s="2" t="n">
        <x:v>2020</x:v>
      </x:c>
      <x:c r="D1674" s="2" t="str">
        <x:v>WUP_SURFACE</x:v>
      </x:c>
      <x:c r="E1674" s="17" t="n">
        <x:v>672933221.830001</x:v>
      </x:c>
      <x:c r="F1674" s="17" t="n">
        <x:f>IF(AND(M1674,ISNUMBER(R1674)),IF(D1674="TEMPO_PROXY",R1674,IF(AND(ISNUMBER(S1674),S1674&gt;0,ISNUMBER(U1674)),U1674*R1674/S1674,"n.a.")),"n.a.")</x:f>
        <x:v>809555987.1995314</x:v>
      </x:c>
      <x:c r="G1674" s="17" t="n">
        <x:f>IF(AND(ISNUMBER(E1674),ISNUMBER(F1674)),E1674-F1674,"n.a.")</x:f>
        <x:v>-136622765.36953044</x:v>
      </x:c>
      <x:c r="H1674" s="15" t="n">
        <x:f>IF(AND(ISNUMBER(E1674),ISNUMBER(F1674),F1674&gt;0),(E1674-F1674)/F1674,"n.a.")</x:f>
        <x:v>-0.1687625902714212</x:v>
      </x:c>
      <x:c r="I1674" s="19" t="n">
        <x:f>IF(ISNUMBER(H1674),ABS(H1674),"n.a.")</x:f>
        <x:v>0.1687625902714212</x:v>
      </x:c>
      <x:c r="J1674" s="2" t="str">
        <x:v>available</x:v>
      </x:c>
      <x:c r="K1674" s="2" t="n">
        <x:v>1</x:v>
      </x:c>
      <x:c r="L1674" s="13" t="b">
        <x:v>0</x:v>
      </x:c>
      <x:c r="M1674" s="13" t="b">
        <x:v>1</x:v>
      </x:c>
      <x:c r="N1674" s="2" t="str">
        <x:v>historical_GHSL_BU_estimate</x:v>
      </x:c>
      <x:c r="O1674" s="2" t="str"/>
      <x:c r="P1674" s="2" t="str">
        <x:v>horizontal built-up surface</x:v>
      </x:c>
      <x:c r="Q1674" s="2" t="str">
        <x:v>m2</x:v>
      </x:c>
      <x:c r="R1674" s="17" t="n">
        <x:v>809555987.1995302</x:v>
      </x:c>
      <x:c r="S1674" s="17" t="n">
        <x:v>672933221.83</x:v>
      </x:c>
      <x:c r="T1674" s="18" t="n">
        <x:v>1.0000000000000013</x:v>
      </x:c>
      <x:c r="U1674" s="17" t="n">
        <x:v>672933221.830001</x:v>
      </x:c>
      <x:c r="V1674" s="2" t="str">
        <x:v>Area equivalent = model2020 * WUP surface / TEMPO2020 footprint; km2 multiplied by1e6 once</x:v>
      </x:c>
      <x:c r="W1674" s="2" t="str">
        <x:v>L1_numeric_partition_qualified_not_national_completeness</x:v>
      </x:c>
      <x:c r="X1674" s="2" t="str">
        <x:v>https://human-settlement.emergency.copernicus.eu/datasets.php</x:v>
      </x:c>
    </x:row>
    <x:row r="1675" ht="23" customHeight="1">
      <x:c r="A1675" s="2" t="str">
        <x:v>KIR</x:v>
      </x:c>
      <x:c r="B1675" s="2" t="str">
        <x:v>Kiribati (Republic of)</x:v>
      </x:c>
      <x:c r="C1675" s="2" t="n">
        <x:v>2020</x:v>
      </x:c>
      <x:c r="D1675" s="2" t="str">
        <x:v>WUP_SURFACE</x:v>
      </x:c>
      <x:c r="E1675" s="17" t="n">
        <x:v>1721739.6700000002</x:v>
      </x:c>
      <x:c r="F1675" s="17" t="n">
        <x:f>IF(AND(M1675,ISNUMBER(R1675)),IF(D1675="TEMPO_PROXY",R1675,IF(AND(ISNUMBER(S1675),S1675&gt;0,ISNUMBER(U1675)),U1675*R1675/S1675,"n.a.")),"n.a.")</x:f>
        <x:v>1365486.0004487548</x:v>
      </x:c>
      <x:c r="G1675" s="17" t="n">
        <x:f>IF(AND(ISNUMBER(E1675),ISNUMBER(F1675)),E1675-F1675,"n.a.")</x:f>
        <x:v>356253.6695512454</x:v>
      </x:c>
      <x:c r="H1675" s="15" t="n">
        <x:f>IF(AND(ISNUMBER(E1675),ISNUMBER(F1675),F1675&gt;0),(E1675-F1675)/F1675,"n.a.")</x:f>
        <x:v>0.26089880777552155</x:v>
      </x:c>
      <x:c r="I1675" s="19" t="n">
        <x:f>IF(ISNUMBER(H1675),ABS(H1675),"n.a.")</x:f>
        <x:v>0.26089880777552155</x:v>
      </x:c>
      <x:c r="J1675" s="2" t="str">
        <x:v>available</x:v>
      </x:c>
      <x:c r="K1675" s="2" t="n">
        <x:v>1</x:v>
      </x:c>
      <x:c r="L1675" s="13" t="b">
        <x:v>0</x:v>
      </x:c>
      <x:c r="M1675" s="13" t="b">
        <x:v>1</x:v>
      </x:c>
      <x:c r="N1675" s="2" t="str">
        <x:v>historical_GHSL_BU_estimate</x:v>
      </x:c>
      <x:c r="O1675" s="2" t="str"/>
      <x:c r="P1675" s="2" t="str">
        <x:v>horizontal built-up surface</x:v>
      </x:c>
      <x:c r="Q1675" s="2" t="str">
        <x:v>m2</x:v>
      </x:c>
      <x:c r="R1675" s="17" t="n">
        <x:v>1365486.0004487545</x:v>
      </x:c>
      <x:c r="S1675" s="17" t="n">
        <x:v>1721739.67</x:v>
      </x:c>
      <x:c r="T1675" s="18" t="n">
        <x:v>1.0000000000000002</x:v>
      </x:c>
      <x:c r="U1675" s="17" t="n">
        <x:v>1721739.6700000002</x:v>
      </x:c>
      <x:c r="V1675" s="2" t="str">
        <x:v>Area equivalent = model2020 * WUP surface / TEMPO2020 footprint; km2 multiplied by1e6 once</x:v>
      </x:c>
      <x:c r="W1675" s="2" t="str">
        <x:v>L1_numeric_partition_qualified_not_national_completeness</x:v>
      </x:c>
      <x:c r="X1675" s="2" t="str">
        <x:v>https://human-settlement.emergency.copernicus.eu/datasets.php</x:v>
      </x:c>
    </x:row>
    <x:row r="1676" ht="23" customHeight="1">
      <x:c r="A1676" s="2" t="str">
        <x:v>KNA</x:v>
      </x:c>
      <x:c r="B1676" s="2" t="str">
        <x:v>Saint Kitts and Nevis (Federation of)</x:v>
      </x:c>
      <x:c r="C1676" s="2" t="n">
        <x:v>2020</x:v>
      </x:c>
      <x:c r="D1676" s="2" t="str">
        <x:v>WUP_SURFACE</x:v>
      </x:c>
      <x:c r="E1676" s="17" t="n">
        <x:v>4523960.760000001</x:v>
      </x:c>
      <x:c r="F1676" s="17" t="n">
        <x:f>IF(AND(M1676,ISNUMBER(R1676)),IF(D1676="TEMPO_PROXY",R1676,IF(AND(ISNUMBER(S1676),S1676&gt;0,ISNUMBER(U1676)),U1676*R1676/S1676,"n.a.")),"n.a.")</x:f>
        <x:v>8302335.982883053</x:v>
      </x:c>
      <x:c r="G1676" s="17" t="n">
        <x:f>IF(AND(ISNUMBER(E1676),ISNUMBER(F1676)),E1676-F1676,"n.a.")</x:f>
        <x:v>-3778375.222883052</x:v>
      </x:c>
      <x:c r="H1676" s="15" t="n">
        <x:f>IF(AND(ISNUMBER(E1676),ISNUMBER(F1676),F1676&gt;0),(E1676-F1676)/F1676,"n.a.")</x:f>
        <x:v>-0.45509784603669834</x:v>
      </x:c>
      <x:c r="I1676" s="19" t="n">
        <x:f>IF(ISNUMBER(H1676),ABS(H1676),"n.a.")</x:f>
        <x:v>0.45509784603669834</x:v>
      </x:c>
      <x:c r="J1676" s="2" t="str">
        <x:v>available</x:v>
      </x:c>
      <x:c r="K1676" s="2" t="n">
        <x:v>1</x:v>
      </x:c>
      <x:c r="L1676" s="13" t="b">
        <x:v>0</x:v>
      </x:c>
      <x:c r="M1676" s="13" t="b">
        <x:v>1</x:v>
      </x:c>
      <x:c r="N1676" s="2" t="str">
        <x:v>historical_GHSL_BU_estimate</x:v>
      </x:c>
      <x:c r="O1676" s="2" t="str"/>
      <x:c r="P1676" s="2" t="str">
        <x:v>horizontal built-up surface</x:v>
      </x:c>
      <x:c r="Q1676" s="2" t="str">
        <x:v>m2</x:v>
      </x:c>
      <x:c r="R1676" s="17" t="n">
        <x:v>8302335.982883051</x:v>
      </x:c>
      <x:c r="S1676" s="17" t="n">
        <x:v>4523960.76</x:v>
      </x:c>
      <x:c r="T1676" s="18" t="n">
        <x:v>1.0000000000000002</x:v>
      </x:c>
      <x:c r="U1676" s="17" t="n">
        <x:v>4523960.760000001</x:v>
      </x:c>
      <x:c r="V1676" s="2" t="str">
        <x:v>Area equivalent = model2020 * WUP surface / TEMPO2020 footprint; km2 multiplied by1e6 once</x:v>
      </x:c>
      <x:c r="W1676" s="2" t="str">
        <x:v>L1_numeric_partition_qualified_not_national_completeness</x:v>
      </x:c>
      <x:c r="X1676" s="2" t="str">
        <x:v>https://human-settlement.emergency.copernicus.eu/datasets.php</x:v>
      </x:c>
    </x:row>
    <x:row r="1677" ht="23" customHeight="1">
      <x:c r="A1677" s="2" t="str">
        <x:v>KOR</x:v>
      </x:c>
      <x:c r="B1677" s="2" t="str">
        <x:v>Korea (Republic of)</x:v>
      </x:c>
      <x:c r="C1677" s="2" t="n">
        <x:v>2020</x:v>
      </x:c>
      <x:c r="D1677" s="2" t="str">
        <x:v>WUP_SURFACE</x:v>
      </x:c>
      <x:c r="E1677" s="17" t="n">
        <x:v>2947698717.329997</x:v>
      </x:c>
      <x:c r="F1677" s="17" t="n">
        <x:f>IF(AND(M1677,ISNUMBER(R1677)),IF(D1677="TEMPO_PROXY",R1677,IF(AND(ISNUMBER(S1677),S1677&gt;0,ISNUMBER(U1677)),U1677*R1677/S1677,"n.a.")),"n.a.")</x:f>
        <x:v>4131358863.861582</x:v>
      </x:c>
      <x:c r="G1677" s="17" t="n">
        <x:f>IF(AND(ISNUMBER(E1677),ISNUMBER(F1677)),E1677-F1677,"n.a.")</x:f>
        <x:v>-1183660146.5315847</x:v>
      </x:c>
      <x:c r="H1677" s="15" t="n">
        <x:f>IF(AND(ISNUMBER(E1677),ISNUMBER(F1677),F1677&gt;0),(E1677-F1677)/F1677,"n.a.")</x:f>
        <x:v>-0.28650625267281127</x:v>
      </x:c>
      <x:c r="I1677" s="19" t="n">
        <x:f>IF(ISNUMBER(H1677),ABS(H1677),"n.a.")</x:f>
        <x:v>0.28650625267281127</x:v>
      </x:c>
      <x:c r="J1677" s="2" t="str">
        <x:v>available</x:v>
      </x:c>
      <x:c r="K1677" s="2" t="n">
        <x:v>1</x:v>
      </x:c>
      <x:c r="L1677" s="13" t="b">
        <x:v>0</x:v>
      </x:c>
      <x:c r="M1677" s="13" t="b">
        <x:v>1</x:v>
      </x:c>
      <x:c r="N1677" s="2" t="str">
        <x:v>historical_GHSL_BU_estimate</x:v>
      </x:c>
      <x:c r="O1677" s="2" t="str"/>
      <x:c r="P1677" s="2" t="str">
        <x:v>horizontal built-up surface</x:v>
      </x:c>
      <x:c r="Q1677" s="2" t="str">
        <x:v>m2</x:v>
      </x:c>
      <x:c r="R1677" s="17" t="n">
        <x:v>3586617010.949781</x:v>
      </x:c>
      <x:c r="S1677" s="17" t="n">
        <x:v>2559028811.37</x:v>
      </x:c>
      <x:c r="T1677" s="18" t="n">
        <x:v>1.151881801499499</x:v>
      </x:c>
      <x:c r="U1677" s="17" t="n">
        <x:v>2947698717.329997</x:v>
      </x:c>
      <x:c r="V1677" s="2" t="str">
        <x:v>Area equivalent = model2020 * WUP surface / TEMPO2020 footprint; km2 multiplied by1e6 once</x:v>
      </x:c>
      <x:c r="W1677" s="2" t="str">
        <x:v>L1_numeric_partition_qualified_not_national_completeness</x:v>
      </x:c>
      <x:c r="X1677" s="2" t="str">
        <x:v>https://human-settlement.emergency.copernicus.eu/datasets.php</x:v>
      </x:c>
    </x:row>
    <x:row r="1678" ht="23" customHeight="1">
      <x:c r="A1678" s="2" t="str">
        <x:v>KWT</x:v>
      </x:c>
      <x:c r="B1678" s="2" t="str">
        <x:v>Kuwait (State of)</x:v>
      </x:c>
      <x:c r="C1678" s="2" t="n">
        <x:v>2020</x:v>
      </x:c>
      <x:c r="D1678" s="2" t="str">
        <x:v>WUP_SURFACE</x:v>
      </x:c>
      <x:c r="E1678" s="17" t="n">
        <x:v>155594647.5199998</x:v>
      </x:c>
      <x:c r="F1678" s="17" t="n">
        <x:f>IF(AND(M1678,ISNUMBER(R1678)),IF(D1678="TEMPO_PROXY",R1678,IF(AND(ISNUMBER(S1678),S1678&gt;0,ISNUMBER(U1678)),U1678*R1678/S1678,"n.a.")),"n.a.")</x:f>
        <x:v>236413214.64029333</x:v>
      </x:c>
      <x:c r="G1678" s="17" t="n">
        <x:f>IF(AND(ISNUMBER(E1678),ISNUMBER(F1678)),E1678-F1678,"n.a.")</x:f>
        <x:v>-80818567.12029353</x:v>
      </x:c>
      <x:c r="H1678" s="15" t="n">
        <x:f>IF(AND(ISNUMBER(E1678),ISNUMBER(F1678),F1678&gt;0),(E1678-F1678)/F1678,"n.a.")</x:f>
        <x:v>-0.3418530019282566</x:v>
      </x:c>
      <x:c r="I1678" s="19" t="n">
        <x:f>IF(ISNUMBER(H1678),ABS(H1678),"n.a.")</x:f>
        <x:v>0.3418530019282566</x:v>
      </x:c>
      <x:c r="J1678" s="2" t="str">
        <x:v>available</x:v>
      </x:c>
      <x:c r="K1678" s="2" t="n">
        <x:v>1</x:v>
      </x:c>
      <x:c r="L1678" s="13" t="b">
        <x:v>0</x:v>
      </x:c>
      <x:c r="M1678" s="13" t="b">
        <x:v>1</x:v>
      </x:c>
      <x:c r="N1678" s="2" t="str">
        <x:v>historical_GHSL_BU_estimate</x:v>
      </x:c>
      <x:c r="O1678" s="2" t="str"/>
      <x:c r="P1678" s="2" t="str">
        <x:v>horizontal built-up surface</x:v>
      </x:c>
      <x:c r="Q1678" s="2" t="str">
        <x:v>m2</x:v>
      </x:c>
      <x:c r="R1678" s="17" t="n">
        <x:v>217834423.23681584</x:v>
      </x:c>
      <x:c r="S1678" s="17" t="n">
        <x:v>143367071.73</x:v>
      </x:c>
      <x:c r="T1678" s="18" t="n">
        <x:v>1.0852885927183318</x:v>
      </x:c>
      <x:c r="U1678" s="17" t="n">
        <x:v>155594647.5199998</x:v>
      </x:c>
      <x:c r="V1678" s="2" t="str">
        <x:v>Area equivalent = model2020 * WUP surface / TEMPO2020 footprint; km2 multiplied by1e6 once</x:v>
      </x:c>
      <x:c r="W1678" s="2" t="str">
        <x:v>L1_numeric_partition_qualified_not_national_completeness</x:v>
      </x:c>
      <x:c r="X1678" s="2" t="str">
        <x:v>https://human-settlement.emergency.copernicus.eu/datasets.php</x:v>
      </x:c>
    </x:row>
    <x:row r="1679" ht="23" customHeight="1">
      <x:c r="A1679" s="2" t="str">
        <x:v>LAO</x:v>
      </x:c>
      <x:c r="B1679" s="2" t="str">
        <x:v>Lao People's Democratic Republic</x:v>
      </x:c>
      <x:c r="C1679" s="2" t="n">
        <x:v>2020</x:v>
      </x:c>
      <x:c r="D1679" s="2" t="str">
        <x:v>WUP_SURFACE</x:v>
      </x:c>
      <x:c r="E1679" s="17" t="n">
        <x:v>333393295.1899998</x:v>
      </x:c>
      <x:c r="F1679" s="17" t="n">
        <x:f>IF(AND(M1679,ISNUMBER(R1679)),IF(D1679="TEMPO_PROXY",R1679,IF(AND(ISNUMBER(S1679),S1679&gt;0,ISNUMBER(U1679)),U1679*R1679/S1679,"n.a.")),"n.a.")</x:f>
        <x:v>339745097.11795855</x:v>
      </x:c>
      <x:c r="G1679" s="17" t="n">
        <x:f>IF(AND(ISNUMBER(E1679),ISNUMBER(F1679)),E1679-F1679,"n.a.")</x:f>
        <x:v>-6351801.927958727</x:v>
      </x:c>
      <x:c r="H1679" s="15" t="n">
        <x:f>IF(AND(ISNUMBER(E1679),ISNUMBER(F1679),F1679&gt;0),(E1679-F1679)/F1679,"n.a.")</x:f>
        <x:v>-0.018695786876222083</x:v>
      </x:c>
      <x:c r="I1679" s="19" t="n">
        <x:f>IF(ISNUMBER(H1679),ABS(H1679),"n.a.")</x:f>
        <x:v>0.018695786876222083</x:v>
      </x:c>
      <x:c r="J1679" s="2" t="str">
        <x:v>available</x:v>
      </x:c>
      <x:c r="K1679" s="2" t="n">
        <x:v>1</x:v>
      </x:c>
      <x:c r="L1679" s="13" t="b">
        <x:v>0</x:v>
      </x:c>
      <x:c r="M1679" s="13" t="b">
        <x:v>1</x:v>
      </x:c>
      <x:c r="N1679" s="2" t="str">
        <x:v>historical_GHSL_BU_estimate</x:v>
      </x:c>
      <x:c r="O1679" s="2" t="str"/>
      <x:c r="P1679" s="2" t="str">
        <x:v>horizontal built-up surface</x:v>
      </x:c>
      <x:c r="Q1679" s="2" t="str">
        <x:v>m2</x:v>
      </x:c>
      <x:c r="R1679" s="17" t="n">
        <x:v>339745097.1179587</x:v>
      </x:c>
      <x:c r="S1679" s="17" t="n">
        <x:v>333393295.19</x:v>
      </x:c>
      <x:c r="T1679" s="18" t="n">
        <x:v>0.9999999999999994</x:v>
      </x:c>
      <x:c r="U1679" s="17" t="n">
        <x:v>333393295.1899998</x:v>
      </x:c>
      <x:c r="V1679" s="2" t="str">
        <x:v>Area equivalent = model2020 * WUP surface / TEMPO2020 footprint; km2 multiplied by1e6 once</x:v>
      </x:c>
      <x:c r="W1679" s="2" t="str">
        <x:v>L1_numeric_partition_qualified_not_national_completeness</x:v>
      </x:c>
      <x:c r="X1679" s="2" t="str">
        <x:v>https://human-settlement.emergency.copernicus.eu/datasets.php</x:v>
      </x:c>
    </x:row>
    <x:row r="1680" ht="23" customHeight="1">
      <x:c r="A1680" s="2" t="str">
        <x:v>LBN</x:v>
      </x:c>
      <x:c r="B1680" s="2" t="str">
        <x:v>Lebanon (Lebanese Republic)</x:v>
      </x:c>
      <x:c r="C1680" s="2" t="n">
        <x:v>2020</x:v>
      </x:c>
      <x:c r="D1680" s="2" t="str">
        <x:v>WUP_SURFACE</x:v>
      </x:c>
      <x:c r="E1680" s="17" t="n">
        <x:v>226725070.95000017</x:v>
      </x:c>
      <x:c r="F1680" s="17" t="n">
        <x:f>IF(AND(M1680,ISNUMBER(R1680)),IF(D1680="TEMPO_PROXY",R1680,IF(AND(ISNUMBER(S1680),S1680&gt;0,ISNUMBER(U1680)),U1680*R1680/S1680,"n.a.")),"n.a.")</x:f>
        <x:v>295448691.0525756</x:v>
      </x:c>
      <x:c r="G1680" s="17" t="n">
        <x:f>IF(AND(ISNUMBER(E1680),ISNUMBER(F1680)),E1680-F1680,"n.a.")</x:f>
        <x:v>-68723620.10257542</x:v>
      </x:c>
      <x:c r="H1680" s="15" t="n">
        <x:f>IF(AND(ISNUMBER(E1680),ISNUMBER(F1680),F1680&gt;0),(E1680-F1680)/F1680,"n.a.")</x:f>
        <x:v>-0.2326076309823486</x:v>
      </x:c>
      <x:c r="I1680" s="19" t="n">
        <x:f>IF(ISNUMBER(H1680),ABS(H1680),"n.a.")</x:f>
        <x:v>0.2326076309823486</x:v>
      </x:c>
      <x:c r="J1680" s="2" t="str">
        <x:v>available</x:v>
      </x:c>
      <x:c r="K1680" s="2" t="n">
        <x:v>1</x:v>
      </x:c>
      <x:c r="L1680" s="13" t="b">
        <x:v>0</x:v>
      </x:c>
      <x:c r="M1680" s="13" t="b">
        <x:v>1</x:v>
      </x:c>
      <x:c r="N1680" s="2" t="str">
        <x:v>historical_GHSL_BU_estimate</x:v>
      </x:c>
      <x:c r="O1680" s="2" t="str"/>
      <x:c r="P1680" s="2" t="str">
        <x:v>horizontal built-up surface</x:v>
      </x:c>
      <x:c r="Q1680" s="2" t="str">
        <x:v>m2</x:v>
      </x:c>
      <x:c r="R1680" s="17" t="n">
        <x:v>290312516.0537993</x:v>
      </x:c>
      <x:c r="S1680" s="17" t="n">
        <x:v>222783609.45</x:v>
      </x:c>
      <x:c r="T1680" s="18" t="n">
        <x:v>1.0176918827634165</x:v>
      </x:c>
      <x:c r="U1680" s="17" t="n">
        <x:v>226725070.95000017</x:v>
      </x:c>
      <x:c r="V1680" s="2" t="str">
        <x:v>Area equivalent = model2020 * WUP surface / TEMPO2020 footprint; km2 multiplied by1e6 once</x:v>
      </x:c>
      <x:c r="W1680" s="2" t="str">
        <x:v>L1_numeric_partition_qualified_not_national_completeness</x:v>
      </x:c>
      <x:c r="X1680" s="2" t="str">
        <x:v>https://human-settlement.emergency.copernicus.eu/datasets.php</x:v>
      </x:c>
    </x:row>
    <x:row r="1681" ht="23" customHeight="1">
      <x:c r="A1681" s="2" t="str">
        <x:v>LBR</x:v>
      </x:c>
      <x:c r="B1681" s="2" t="str">
        <x:v>Liberia (Republic of)</x:v>
      </x:c>
      <x:c r="C1681" s="2" t="n">
        <x:v>2020</x:v>
      </x:c>
      <x:c r="D1681" s="2" t="str">
        <x:v>WUP_SURFACE</x:v>
      </x:c>
      <x:c r="E1681" s="17" t="n">
        <x:v>93713430.84000014</x:v>
      </x:c>
      <x:c r="F1681" s="17" t="n">
        <x:f>IF(AND(M1681,ISNUMBER(R1681)),IF(D1681="TEMPO_PROXY",R1681,IF(AND(ISNUMBER(S1681),S1681&gt;0,ISNUMBER(U1681)),U1681*R1681/S1681,"n.a.")),"n.a.")</x:f>
        <x:v>199718960.09603748</x:v>
      </x:c>
      <x:c r="G1681" s="17" t="n">
        <x:f>IF(AND(ISNUMBER(E1681),ISNUMBER(F1681)),E1681-F1681,"n.a.")</x:f>
        <x:v>-106005529.25603734</x:v>
      </x:c>
      <x:c r="H1681" s="15" t="n">
        <x:f>IF(AND(ISNUMBER(E1681),ISNUMBER(F1681),F1681&gt;0),(E1681-F1681)/F1681,"n.a.")</x:f>
        <x:v>-0.5307734889319632</x:v>
      </x:c>
      <x:c r="I1681" s="19" t="n">
        <x:f>IF(ISNUMBER(H1681),ABS(H1681),"n.a.")</x:f>
        <x:v>0.5307734889319632</x:v>
      </x:c>
      <x:c r="J1681" s="2" t="str">
        <x:v>available</x:v>
      </x:c>
      <x:c r="K1681" s="2" t="n">
        <x:v>1</x:v>
      </x:c>
      <x:c r="L1681" s="13" t="b">
        <x:v>0</x:v>
      </x:c>
      <x:c r="M1681" s="13" t="b">
        <x:v>1</x:v>
      </x:c>
      <x:c r="N1681" s="2" t="str">
        <x:v>historical_GHSL_BU_estimate</x:v>
      </x:c>
      <x:c r="O1681" s="2" t="str"/>
      <x:c r="P1681" s="2" t="str">
        <x:v>horizontal built-up surface</x:v>
      </x:c>
      <x:c r="Q1681" s="2" t="str">
        <x:v>m2</x:v>
      </x:c>
      <x:c r="R1681" s="17" t="n">
        <x:v>199718960.09603718</x:v>
      </x:c>
      <x:c r="S1681" s="17" t="n">
        <x:v>93713430.84</x:v>
      </x:c>
      <x:c r="T1681" s="18" t="n">
        <x:v>1.0000000000000013</x:v>
      </x:c>
      <x:c r="U1681" s="17" t="n">
        <x:v>93713430.84000014</x:v>
      </x:c>
      <x:c r="V1681" s="2" t="str">
        <x:v>Area equivalent = model2020 * WUP surface / TEMPO2020 footprint; km2 multiplied by1e6 once</x:v>
      </x:c>
      <x:c r="W1681" s="2" t="str">
        <x:v>L1_numeric_partition_qualified_not_national_completeness</x:v>
      </x:c>
      <x:c r="X1681" s="2" t="str">
        <x:v>https://human-settlement.emergency.copernicus.eu/datasets.php</x:v>
      </x:c>
    </x:row>
    <x:row r="1682" ht="23" customHeight="1">
      <x:c r="A1682" s="2" t="str">
        <x:v>LBY</x:v>
      </x:c>
      <x:c r="B1682" s="2" t="str">
        <x:v>Libya (State of)</x:v>
      </x:c>
      <x:c r="C1682" s="2" t="n">
        <x:v>2020</x:v>
      </x:c>
      <x:c r="D1682" s="2" t="str">
        <x:v>WUP_SURFACE</x:v>
      </x:c>
      <x:c r="E1682" s="17" t="n">
        <x:v>523048577.3000005</x:v>
      </x:c>
      <x:c r="F1682" s="17" t="n">
        <x:f>IF(AND(M1682,ISNUMBER(R1682)),IF(D1682="TEMPO_PROXY",R1682,IF(AND(ISNUMBER(S1682),S1682&gt;0,ISNUMBER(U1682)),U1682*R1682/S1682,"n.a.")),"n.a.")</x:f>
        <x:v>1007615694.8703446</x:v>
      </x:c>
      <x:c r="G1682" s="17" t="n">
        <x:f>IF(AND(ISNUMBER(E1682),ISNUMBER(F1682)),E1682-F1682,"n.a.")</x:f>
        <x:v>-484567117.57034415</x:v>
      </x:c>
      <x:c r="H1682" s="15" t="n">
        <x:f>IF(AND(ISNUMBER(E1682),ISNUMBER(F1682),F1682&gt;0),(E1682-F1682)/F1682,"n.a.")</x:f>
        <x:v>-0.48090469415792103</x:v>
      </x:c>
      <x:c r="I1682" s="19" t="n">
        <x:f>IF(ISNUMBER(H1682),ABS(H1682),"n.a.")</x:f>
        <x:v>0.48090469415792103</x:v>
      </x:c>
      <x:c r="J1682" s="2" t="str">
        <x:v>available</x:v>
      </x:c>
      <x:c r="K1682" s="2" t="n">
        <x:v>1</x:v>
      </x:c>
      <x:c r="L1682" s="13" t="b">
        <x:v>0</x:v>
      </x:c>
      <x:c r="M1682" s="13" t="b">
        <x:v>1</x:v>
      </x:c>
      <x:c r="N1682" s="2" t="str">
        <x:v>historical_GHSL_BU_estimate</x:v>
      </x:c>
      <x:c r="O1682" s="2" t="str"/>
      <x:c r="P1682" s="2" t="str">
        <x:v>horizontal built-up surface</x:v>
      </x:c>
      <x:c r="Q1682" s="2" t="str">
        <x:v>m2</x:v>
      </x:c>
      <x:c r="R1682" s="17" t="n">
        <x:v>1007615694.8703437</x:v>
      </x:c>
      <x:c r="S1682" s="17" t="n">
        <x:v>523048577.3</x:v>
      </x:c>
      <x:c r="T1682" s="18" t="n">
        <x:v>1.0000000000000009</x:v>
      </x:c>
      <x:c r="U1682" s="17" t="n">
        <x:v>523048577.3000005</x:v>
      </x:c>
      <x:c r="V1682" s="2" t="str">
        <x:v>Area equivalent = model2020 * WUP surface / TEMPO2020 footprint; km2 multiplied by1e6 once</x:v>
      </x:c>
      <x:c r="W1682" s="2" t="str">
        <x:v>L1_numeric_partition_qualified_not_national_completeness</x:v>
      </x:c>
      <x:c r="X1682" s="2" t="str">
        <x:v>https://human-settlement.emergency.copernicus.eu/datasets.php</x:v>
      </x:c>
    </x:row>
    <x:row r="1683" ht="23" customHeight="1">
      <x:c r="A1683" s="2" t="str">
        <x:v>LCA</x:v>
      </x:c>
      <x:c r="B1683" s="2" t="str">
        <x:v>Saint Lucia</x:v>
      </x:c>
      <x:c r="C1683" s="2" t="n">
        <x:v>2020</x:v>
      </x:c>
      <x:c r="D1683" s="2" t="str">
        <x:v>WUP_SURFACE</x:v>
      </x:c>
      <x:c r="E1683" s="17" t="n">
        <x:v>10226894.600000018</x:v>
      </x:c>
      <x:c r="F1683" s="17" t="n">
        <x:f>IF(AND(M1683,ISNUMBER(R1683)),IF(D1683="TEMPO_PROXY",R1683,IF(AND(ISNUMBER(S1683),S1683&gt;0,ISNUMBER(U1683)),U1683*R1683/S1683,"n.a.")),"n.a.")</x:f>
        <x:v>15660153.983425092</x:v>
      </x:c>
      <x:c r="G1683" s="17" t="n">
        <x:f>IF(AND(ISNUMBER(E1683),ISNUMBER(F1683)),E1683-F1683,"n.a.")</x:f>
        <x:v>-5433259.383425074</x:v>
      </x:c>
      <x:c r="H1683" s="15" t="n">
        <x:f>IF(AND(ISNUMBER(E1683),ISNUMBER(F1683),F1683&gt;0),(E1683-F1683)/F1683,"n.a.")</x:f>
        <x:v>-0.3469480178276475</x:v>
      </x:c>
      <x:c r="I1683" s="19" t="n">
        <x:f>IF(ISNUMBER(H1683),ABS(H1683),"n.a.")</x:f>
        <x:v>0.3469480178276475</x:v>
      </x:c>
      <x:c r="J1683" s="2" t="str">
        <x:v>available</x:v>
      </x:c>
      <x:c r="K1683" s="2" t="n">
        <x:v>1</x:v>
      </x:c>
      <x:c r="L1683" s="13" t="b">
        <x:v>0</x:v>
      </x:c>
      <x:c r="M1683" s="13" t="b">
        <x:v>1</x:v>
      </x:c>
      <x:c r="N1683" s="2" t="str">
        <x:v>historical_GHSL_BU_estimate</x:v>
      </x:c>
      <x:c r="O1683" s="2" t="str"/>
      <x:c r="P1683" s="2" t="str">
        <x:v>horizontal built-up surface</x:v>
      </x:c>
      <x:c r="Q1683" s="2" t="str">
        <x:v>m2</x:v>
      </x:c>
      <x:c r="R1683" s="17" t="n">
        <x:v>15660153.983425064</x:v>
      </x:c>
      <x:c r="S1683" s="17" t="n">
        <x:v>10226894.6</x:v>
      </x:c>
      <x:c r="T1683" s="18" t="n">
        <x:v>1.0000000000000018</x:v>
      </x:c>
      <x:c r="U1683" s="17" t="n">
        <x:v>10226894.600000018</x:v>
      </x:c>
      <x:c r="V1683" s="2" t="str">
        <x:v>Area equivalent = model2020 * WUP surface / TEMPO2020 footprint; km2 multiplied by1e6 once</x:v>
      </x:c>
      <x:c r="W1683" s="2" t="str">
        <x:v>L1_numeric_partition_qualified_not_national_completeness</x:v>
      </x:c>
      <x:c r="X1683" s="2" t="str">
        <x:v>https://human-settlement.emergency.copernicus.eu/datasets.php</x:v>
      </x:c>
    </x:row>
    <x:row r="1684" ht="23" customHeight="1">
      <x:c r="A1684" s="2" t="str">
        <x:v>LIE</x:v>
      </x:c>
      <x:c r="B1684" s="2" t="str">
        <x:v>Liechtenstein (Principality of)</x:v>
      </x:c>
      <x:c r="C1684" s="2" t="n">
        <x:v>2020</x:v>
      </x:c>
      <x:c r="D1684" s="2" t="str">
        <x:v>WUP_SURFACE</x:v>
      </x:c>
      <x:c r="E1684" s="17" t="n">
        <x:v>3628695.830000003</x:v>
      </x:c>
      <x:c r="F1684" s="17" t="n">
        <x:f>IF(AND(M1684,ISNUMBER(R1684)),IF(D1684="TEMPO_PROXY",R1684,IF(AND(ISNUMBER(S1684),S1684&gt;0,ISNUMBER(U1684)),U1684*R1684/S1684,"n.a.")),"n.a.")</x:f>
        <x:v>5283130.523161122</x:v>
      </x:c>
      <x:c r="G1684" s="17" t="n">
        <x:f>IF(AND(ISNUMBER(E1684),ISNUMBER(F1684)),E1684-F1684,"n.a.")</x:f>
        <x:v>-1654434.6931611188</x:v>
      </x:c>
      <x:c r="H1684" s="15" t="n">
        <x:f>IF(AND(ISNUMBER(E1684),ISNUMBER(F1684),F1684&gt;0),(E1684-F1684)/F1684,"n.a.")</x:f>
        <x:v>-0.31315423420036953</x:v>
      </x:c>
      <x:c r="I1684" s="19" t="n">
        <x:f>IF(ISNUMBER(H1684),ABS(H1684),"n.a.")</x:f>
        <x:v>0.31315423420036953</x:v>
      </x:c>
      <x:c r="J1684" s="2" t="str">
        <x:v>available</x:v>
      </x:c>
      <x:c r="K1684" s="2" t="n">
        <x:v>1</x:v>
      </x:c>
      <x:c r="L1684" s="13" t="b">
        <x:v>0</x:v>
      </x:c>
      <x:c r="M1684" s="13" t="b">
        <x:v>1</x:v>
      </x:c>
      <x:c r="N1684" s="2" t="str">
        <x:v>historical_GHSL_BU_estimate</x:v>
      </x:c>
      <x:c r="O1684" s="2" t="str"/>
      <x:c r="P1684" s="2" t="str">
        <x:v>horizontal built-up surface</x:v>
      </x:c>
      <x:c r="Q1684" s="2" t="str">
        <x:v>m2</x:v>
      </x:c>
      <x:c r="R1684" s="17" t="n">
        <x:v>5124664.990694326</x:v>
      </x:c>
      <x:c r="S1684" s="17" t="n">
        <x:v>3519854.45</x:v>
      </x:c>
      <x:c r="T1684" s="18" t="n">
        <x:v>1.0309221252032177</x:v>
      </x:c>
      <x:c r="U1684" s="17" t="n">
        <x:v>3628695.830000003</x:v>
      </x:c>
      <x:c r="V1684" s="2" t="str">
        <x:v>Area equivalent = model2020 * WUP surface / TEMPO2020 footprint; km2 multiplied by1e6 once</x:v>
      </x:c>
      <x:c r="W1684" s="2" t="str">
        <x:v>L1_numeric_partition_qualified_not_national_completeness</x:v>
      </x:c>
      <x:c r="X1684" s="2" t="str">
        <x:v>https://human-settlement.emergency.copernicus.eu/datasets.php</x:v>
      </x:c>
    </x:row>
    <x:row r="1685" ht="23" customHeight="1">
      <x:c r="A1685" s="2" t="str">
        <x:v>LKA</x:v>
      </x:c>
      <x:c r="B1685" s="2" t="str">
        <x:v>Sri Lanka (Democratic Socialist Republic of)</x:v>
      </x:c>
      <x:c r="C1685" s="2" t="n">
        <x:v>2020</x:v>
      </x:c>
      <x:c r="D1685" s="2" t="str">
        <x:v>WUP_SURFACE</x:v>
      </x:c>
      <x:c r="E1685" s="17" t="n">
        <x:v>899293602.2900008</x:v>
      </x:c>
      <x:c r="F1685" s="17" t="n">
        <x:f>IF(AND(M1685,ISNUMBER(R1685)),IF(D1685="TEMPO_PROXY",R1685,IF(AND(ISNUMBER(S1685),S1685&gt;0,ISNUMBER(U1685)),U1685*R1685/S1685,"n.a.")),"n.a.")</x:f>
        <x:v>984798909.2979478</x:v>
      </x:c>
      <x:c r="G1685" s="17" t="n">
        <x:f>IF(AND(ISNUMBER(E1685),ISNUMBER(F1685)),E1685-F1685,"n.a.")</x:f>
        <x:v>-85505307.00794697</x:v>
      </x:c>
      <x:c r="H1685" s="15" t="n">
        <x:f>IF(AND(ISNUMBER(E1685),ISNUMBER(F1685),F1685&gt;0),(E1685-F1685)/F1685,"n.a.")</x:f>
        <x:v>-0.08682514389552153</x:v>
      </x:c>
      <x:c r="I1685" s="19" t="n">
        <x:f>IF(ISNUMBER(H1685),ABS(H1685),"n.a.")</x:f>
        <x:v>0.08682514389552153</x:v>
      </x:c>
      <x:c r="J1685" s="2" t="str">
        <x:v>available</x:v>
      </x:c>
      <x:c r="K1685" s="2" t="n">
        <x:v>1</x:v>
      </x:c>
      <x:c r="L1685" s="13" t="b">
        <x:v>0</x:v>
      </x:c>
      <x:c r="M1685" s="13" t="b">
        <x:v>1</x:v>
      </x:c>
      <x:c r="N1685" s="2" t="str">
        <x:v>historical_GHSL_BU_estimate</x:v>
      </x:c>
      <x:c r="O1685" s="2" t="str"/>
      <x:c r="P1685" s="2" t="str">
        <x:v>horizontal built-up surface</x:v>
      </x:c>
      <x:c r="Q1685" s="2" t="str">
        <x:v>m2</x:v>
      </x:c>
      <x:c r="R1685" s="17" t="n">
        <x:v>984798909.2979468</x:v>
      </x:c>
      <x:c r="S1685" s="17" t="n">
        <x:v>899293602.29</x:v>
      </x:c>
      <x:c r="T1685" s="18" t="n">
        <x:v>1.0000000000000009</x:v>
      </x:c>
      <x:c r="U1685" s="17" t="n">
        <x:v>899293602.2900008</x:v>
      </x:c>
      <x:c r="V1685" s="2" t="str">
        <x:v>Area equivalent = model2020 * WUP surface / TEMPO2020 footprint; km2 multiplied by1e6 once</x:v>
      </x:c>
      <x:c r="W1685" s="2" t="str">
        <x:v>L1_numeric_partition_qualified_not_national_completeness</x:v>
      </x:c>
      <x:c r="X1685" s="2" t="str">
        <x:v>https://human-settlement.emergency.copernicus.eu/datasets.php</x:v>
      </x:c>
    </x:row>
    <x:row r="1686" ht="23" customHeight="1">
      <x:c r="A1686" s="2" t="str">
        <x:v>LSO</x:v>
      </x:c>
      <x:c r="B1686" s="2" t="str">
        <x:v>Lesotho (Kingdom of)</x:v>
      </x:c>
      <x:c r="C1686" s="2" t="n">
        <x:v>2020</x:v>
      </x:c>
      <x:c r="D1686" s="2" t="str">
        <x:v>WUP_SURFACE</x:v>
      </x:c>
      <x:c r="E1686" s="17" t="n">
        <x:v>60655167.15000007</x:v>
      </x:c>
      <x:c r="F1686" s="17" t="n">
        <x:f>IF(AND(M1686,ISNUMBER(R1686)),IF(D1686="TEMPO_PROXY",R1686,IF(AND(ISNUMBER(S1686),S1686&gt;0,ISNUMBER(U1686)),U1686*R1686/S1686,"n.a.")),"n.a.")</x:f>
        <x:v>210188354.90351117</x:v>
      </x:c>
      <x:c r="G1686" s="17" t="n">
        <x:f>IF(AND(ISNUMBER(E1686),ISNUMBER(F1686)),E1686-F1686,"n.a.")</x:f>
        <x:v>-149533187.7535111</x:v>
      </x:c>
      <x:c r="H1686" s="15" t="n">
        <x:f>IF(AND(ISNUMBER(E1686),ISNUMBER(F1686),F1686&gt;0),(E1686-F1686)/F1686,"n.a.")</x:f>
        <x:v>-0.7114247020114679</x:v>
      </x:c>
      <x:c r="I1686" s="19" t="n">
        <x:f>IF(ISNUMBER(H1686),ABS(H1686),"n.a.")</x:f>
        <x:v>0.7114247020114679</x:v>
      </x:c>
      <x:c r="J1686" s="2" t="str">
        <x:v>available</x:v>
      </x:c>
      <x:c r="K1686" s="2" t="n">
        <x:v>1</x:v>
      </x:c>
      <x:c r="L1686" s="13" t="b">
        <x:v>0</x:v>
      </x:c>
      <x:c r="M1686" s="13" t="b">
        <x:v>1</x:v>
      </x:c>
      <x:c r="N1686" s="2" t="str">
        <x:v>historical_GHSL_BU_estimate</x:v>
      </x:c>
      <x:c r="O1686" s="2" t="str"/>
      <x:c r="P1686" s="2" t="str">
        <x:v>horizontal built-up surface</x:v>
      </x:c>
      <x:c r="Q1686" s="2" t="str">
        <x:v>m2</x:v>
      </x:c>
      <x:c r="R1686" s="17" t="n">
        <x:v>210188354.9035109</x:v>
      </x:c>
      <x:c r="S1686" s="17" t="n">
        <x:v>60655167.15</x:v>
      </x:c>
      <x:c r="T1686" s="18" t="n">
        <x:v>1.0000000000000013</x:v>
      </x:c>
      <x:c r="U1686" s="17" t="n">
        <x:v>60655167.15000007</x:v>
      </x:c>
      <x:c r="V1686" s="2" t="str">
        <x:v>Area equivalent = model2020 * WUP surface / TEMPO2020 footprint; km2 multiplied by1e6 once</x:v>
      </x:c>
      <x:c r="W1686" s="2" t="str">
        <x:v>L1_numeric_partition_qualified_not_national_completeness</x:v>
      </x:c>
      <x:c r="X1686" s="2" t="str">
        <x:v>https://human-settlement.emergency.copernicus.eu/datasets.php</x:v>
      </x:c>
    </x:row>
    <x:row r="1687" ht="23" customHeight="1">
      <x:c r="A1687" s="2" t="str">
        <x:v>LTU</x:v>
      </x:c>
      <x:c r="B1687" s="2" t="str">
        <x:v>Lithuania (Republic of)</x:v>
      </x:c>
      <x:c r="C1687" s="2" t="n">
        <x:v>2020</x:v>
      </x:c>
      <x:c r="D1687" s="2" t="str">
        <x:v>WUP_SURFACE</x:v>
      </x:c>
      <x:c r="E1687" s="17" t="n">
        <x:v>269070067.6199997</x:v>
      </x:c>
      <x:c r="F1687" s="17" t="n">
        <x:f>IF(AND(M1687,ISNUMBER(R1687)),IF(D1687="TEMPO_PROXY",R1687,IF(AND(ISNUMBER(S1687),S1687&gt;0,ISNUMBER(U1687)),U1687*R1687/S1687,"n.a.")),"n.a.")</x:f>
        <x:v>477086393.8024528</x:v>
      </x:c>
      <x:c r="G1687" s="17" t="n">
        <x:f>IF(AND(ISNUMBER(E1687),ISNUMBER(F1687)),E1687-F1687,"n.a.")</x:f>
        <x:v>-208016326.1824531</x:v>
      </x:c>
      <x:c r="H1687" s="15" t="n">
        <x:f>IF(AND(ISNUMBER(E1687),ISNUMBER(F1687),F1687&gt;0),(E1687-F1687)/F1687,"n.a.")</x:f>
        <x:v>-0.4360139565593783</x:v>
      </x:c>
      <x:c r="I1687" s="19" t="n">
        <x:f>IF(ISNUMBER(H1687),ABS(H1687),"n.a.")</x:f>
        <x:v>0.4360139565593783</x:v>
      </x:c>
      <x:c r="J1687" s="2" t="str">
        <x:v>available</x:v>
      </x:c>
      <x:c r="K1687" s="2" t="n">
        <x:v>1</x:v>
      </x:c>
      <x:c r="L1687" s="13" t="b">
        <x:v>0</x:v>
      </x:c>
      <x:c r="M1687" s="13" t="b">
        <x:v>1</x:v>
      </x:c>
      <x:c r="N1687" s="2" t="str">
        <x:v>historical_GHSL_BU_estimate</x:v>
      </x:c>
      <x:c r="O1687" s="2" t="str"/>
      <x:c r="P1687" s="2" t="str">
        <x:v>horizontal built-up surface</x:v>
      </x:c>
      <x:c r="Q1687" s="2" t="str">
        <x:v>m2</x:v>
      </x:c>
      <x:c r="R1687" s="17" t="n">
        <x:v>477086393.8024533</x:v>
      </x:c>
      <x:c r="S1687" s="17" t="n">
        <x:v>269070067.62</x:v>
      </x:c>
      <x:c r="T1687" s="18" t="n">
        <x:v>0.9999999999999989</x:v>
      </x:c>
      <x:c r="U1687" s="17" t="n">
        <x:v>269070067.6199997</x:v>
      </x:c>
      <x:c r="V1687" s="2" t="str">
        <x:v>Area equivalent = model2020 * WUP surface / TEMPO2020 footprint; km2 multiplied by1e6 once</x:v>
      </x:c>
      <x:c r="W1687" s="2" t="str">
        <x:v>L1_numeric_partition_qualified_not_national_completeness</x:v>
      </x:c>
      <x:c r="X1687" s="2" t="str">
        <x:v>https://human-settlement.emergency.copernicus.eu/datasets.php</x:v>
      </x:c>
    </x:row>
    <x:row r="1688" ht="23" customHeight="1">
      <x:c r="A1688" s="2" t="str">
        <x:v>LUX</x:v>
      </x:c>
      <x:c r="B1688" s="2" t="str">
        <x:v>Luxembourg (Grand Duchy of)</x:v>
      </x:c>
      <x:c r="C1688" s="2" t="n">
        <x:v>2020</x:v>
      </x:c>
      <x:c r="D1688" s="2" t="str">
        <x:v>WUP_SURFACE</x:v>
      </x:c>
      <x:c r="E1688" s="17" t="n">
        <x:v>49053600.56000002</x:v>
      </x:c>
      <x:c r="F1688" s="17" t="n">
        <x:f>IF(AND(M1688,ISNUMBER(R1688)),IF(D1688="TEMPO_PROXY",R1688,IF(AND(ISNUMBER(S1688),S1688&gt;0,ISNUMBER(U1688)),U1688*R1688/S1688,"n.a.")),"n.a.")</x:f>
        <x:v>76921399.07806467</x:v>
      </x:c>
      <x:c r="G1688" s="17" t="n">
        <x:f>IF(AND(ISNUMBER(E1688),ISNUMBER(F1688)),E1688-F1688,"n.a.")</x:f>
        <x:v>-27867798.518064648</x:v>
      </x:c>
      <x:c r="H1688" s="15" t="n">
        <x:f>IF(AND(ISNUMBER(E1688),ISNUMBER(F1688),F1688&gt;0),(E1688-F1688)/F1688,"n.a.")</x:f>
        <x:v>-0.36228928298330426</x:v>
      </x:c>
      <x:c r="I1688" s="19" t="n">
        <x:f>IF(ISNUMBER(H1688),ABS(H1688),"n.a.")</x:f>
        <x:v>0.36228928298330426</x:v>
      </x:c>
      <x:c r="J1688" s="2" t="str">
        <x:v>available</x:v>
      </x:c>
      <x:c r="K1688" s="2" t="n">
        <x:v>1</x:v>
      </x:c>
      <x:c r="L1688" s="13" t="b">
        <x:v>0</x:v>
      </x:c>
      <x:c r="M1688" s="13" t="b">
        <x:v>1</x:v>
      </x:c>
      <x:c r="N1688" s="2" t="str">
        <x:v>historical_GHSL_BU_estimate</x:v>
      </x:c>
      <x:c r="O1688" s="2" t="str"/>
      <x:c r="P1688" s="2" t="str">
        <x:v>horizontal built-up surface</x:v>
      </x:c>
      <x:c r="Q1688" s="2" t="str">
        <x:v>m2</x:v>
      </x:c>
      <x:c r="R1688" s="17" t="n">
        <x:v>67894942.03978768</x:v>
      </x:c>
      <x:c r="S1688" s="17" t="n">
        <x:v>43297332.17</x:v>
      </x:c>
      <x:c r="T1688" s="18" t="n">
        <x:v>1.132947415037004</x:v>
      </x:c>
      <x:c r="U1688" s="17" t="n">
        <x:v>49053600.56000002</x:v>
      </x:c>
      <x:c r="V1688" s="2" t="str">
        <x:v>Area equivalent = model2020 * WUP surface / TEMPO2020 footprint; km2 multiplied by1e6 once</x:v>
      </x:c>
      <x:c r="W1688" s="2" t="str">
        <x:v>L1_numeric_partition_qualified_not_national_completeness</x:v>
      </x:c>
      <x:c r="X1688" s="2" t="str">
        <x:v>https://human-settlement.emergency.copernicus.eu/datasets.php</x:v>
      </x:c>
    </x:row>
    <x:row r="1689" ht="23" customHeight="1">
      <x:c r="A1689" s="2" t="str">
        <x:v>LVA</x:v>
      </x:c>
      <x:c r="B1689" s="2" t="str">
        <x:v>Latvia (Republic of)</x:v>
      </x:c>
      <x:c r="C1689" s="2" t="n">
        <x:v>2020</x:v>
      </x:c>
      <x:c r="D1689" s="2" t="str">
        <x:v>WUP_SURFACE</x:v>
      </x:c>
      <x:c r="E1689" s="17" t="n">
        <x:v>145154805.1899999</x:v>
      </x:c>
      <x:c r="F1689" s="17" t="n">
        <x:f>IF(AND(M1689,ISNUMBER(R1689)),IF(D1689="TEMPO_PROXY",R1689,IF(AND(ISNUMBER(S1689),S1689&gt;0,ISNUMBER(U1689)),U1689*R1689/S1689,"n.a.")),"n.a.")</x:f>
        <x:v>255494711.05248606</x:v>
      </x:c>
      <x:c r="G1689" s="17" t="n">
        <x:f>IF(AND(ISNUMBER(E1689),ISNUMBER(F1689)),E1689-F1689,"n.a.")</x:f>
        <x:v>-110339905.86248615</x:v>
      </x:c>
      <x:c r="H1689" s="15" t="n">
        <x:f>IF(AND(ISNUMBER(E1689),ISNUMBER(F1689),F1689&gt;0),(E1689-F1689)/F1689,"n.a.")</x:f>
        <x:v>-0.4318676711856439</x:v>
      </x:c>
      <x:c r="I1689" s="19" t="n">
        <x:f>IF(ISNUMBER(H1689),ABS(H1689),"n.a.")</x:f>
        <x:v>0.4318676711856439</x:v>
      </x:c>
      <x:c r="J1689" s="2" t="str">
        <x:v>available</x:v>
      </x:c>
      <x:c r="K1689" s="2" t="n">
        <x:v>1</x:v>
      </x:c>
      <x:c r="L1689" s="13" t="b">
        <x:v>0</x:v>
      </x:c>
      <x:c r="M1689" s="13" t="b">
        <x:v>1</x:v>
      </x:c>
      <x:c r="N1689" s="2" t="str">
        <x:v>historical_GHSL_BU_estimate</x:v>
      </x:c>
      <x:c r="O1689" s="2" t="str"/>
      <x:c r="P1689" s="2" t="str">
        <x:v>horizontal built-up surface</x:v>
      </x:c>
      <x:c r="Q1689" s="2" t="str">
        <x:v>m2</x:v>
      </x:c>
      <x:c r="R1689" s="17" t="n">
        <x:v>255494711.05248618</x:v>
      </x:c>
      <x:c r="S1689" s="17" t="n">
        <x:v>145154805.19</x:v>
      </x:c>
      <x:c r="T1689" s="18" t="n">
        <x:v>0.9999999999999993</x:v>
      </x:c>
      <x:c r="U1689" s="17" t="n">
        <x:v>145154805.1899999</x:v>
      </x:c>
      <x:c r="V1689" s="2" t="str">
        <x:v>Area equivalent = model2020 * WUP surface / TEMPO2020 footprint; km2 multiplied by1e6 once</x:v>
      </x:c>
      <x:c r="W1689" s="2" t="str">
        <x:v>L1_numeric_partition_qualified_not_national_completeness</x:v>
      </x:c>
      <x:c r="X1689" s="2" t="str">
        <x:v>https://human-settlement.emergency.copernicus.eu/datasets.php</x:v>
      </x:c>
    </x:row>
    <x:row r="1690" ht="23" customHeight="1">
      <x:c r="A1690" s="2" t="str">
        <x:v>MAR</x:v>
      </x:c>
      <x:c r="B1690" s="2" t="str">
        <x:v>Morocco (Kingdom of)</x:v>
      </x:c>
      <x:c r="C1690" s="2" t="n">
        <x:v>2020</x:v>
      </x:c>
      <x:c r="D1690" s="2" t="str">
        <x:v>WUP_SURFACE</x:v>
      </x:c>
      <x:c r="E1690" s="17" t="n">
        <x:v>1247018524.7000012</x:v>
      </x:c>
      <x:c r="F1690" s="17" t="n">
        <x:f>IF(AND(M1690,ISNUMBER(R1690)),IF(D1690="TEMPO_PROXY",R1690,IF(AND(ISNUMBER(S1690),S1690&gt;0,ISNUMBER(U1690)),U1690*R1690/S1690,"n.a.")),"n.a.")</x:f>
        <x:v>871004540.4314429</x:v>
      </x:c>
      <x:c r="G1690" s="17" t="n">
        <x:f>IF(AND(ISNUMBER(E1690),ISNUMBER(F1690)),E1690-F1690,"n.a.")</x:f>
        <x:v>376013984.2685584</x:v>
      </x:c>
      <x:c r="H1690" s="15" t="n">
        <x:f>IF(AND(ISNUMBER(E1690),ISNUMBER(F1690),F1690&gt;0),(E1690-F1690)/F1690,"n.a.")</x:f>
        <x:v>0.43170152027256237</x:v>
      </x:c>
      <x:c r="I1690" s="19" t="n">
        <x:f>IF(ISNUMBER(H1690),ABS(H1690),"n.a.")</x:f>
        <x:v>0.43170152027256237</x:v>
      </x:c>
      <x:c r="J1690" s="2" t="str">
        <x:v>available</x:v>
      </x:c>
      <x:c r="K1690" s="2" t="n">
        <x:v>1</x:v>
      </x:c>
      <x:c r="L1690" s="13" t="b">
        <x:v>0</x:v>
      </x:c>
      <x:c r="M1690" s="13" t="b">
        <x:v>1</x:v>
      </x:c>
      <x:c r="N1690" s="2" t="str">
        <x:v>historical_GHSL_BU_estimate</x:v>
      </x:c>
      <x:c r="O1690" s="2" t="str"/>
      <x:c r="P1690" s="2" t="str">
        <x:v>horizontal built-up surface</x:v>
      </x:c>
      <x:c r="Q1690" s="2" t="str">
        <x:v>m2</x:v>
      </x:c>
      <x:c r="R1690" s="17" t="n">
        <x:v>830940279.8591127</x:v>
      </x:c>
      <x:c r="S1690" s="17" t="n">
        <x:v>1189658461.93</x:v>
      </x:c>
      <x:c r="T1690" s="18" t="n">
        <x:v>1.0482155716161974</x:v>
      </x:c>
      <x:c r="U1690" s="17" t="n">
        <x:v>1247018524.7000012</x:v>
      </x:c>
      <x:c r="V1690" s="2" t="str">
        <x:v>Area equivalent = model2020 * WUP surface / TEMPO2020 footprint; km2 multiplied by1e6 once</x:v>
      </x:c>
      <x:c r="W1690" s="2" t="str">
        <x:v>L1_numeric_partition_qualified_not_national_completeness</x:v>
      </x:c>
      <x:c r="X1690" s="2" t="str">
        <x:v>https://human-settlement.emergency.copernicus.eu/datasets.php</x:v>
      </x:c>
    </x:row>
    <x:row r="1691" ht="23" customHeight="1">
      <x:c r="A1691" s="2" t="str">
        <x:v>MCO</x:v>
      </x:c>
      <x:c r="B1691" s="2" t="str">
        <x:v>Monaco (Principality of)</x:v>
      </x:c>
      <x:c r="C1691" s="2" t="n">
        <x:v>2020</x:v>
      </x:c>
      <x:c r="D1691" s="2" t="str">
        <x:v>WUP_SURFACE</x:v>
      </x:c>
      <x:c r="E1691" s="17" t="n">
        <x:v>1563267.7900000005</x:v>
      </x:c>
      <x:c r="F1691" s="17" t="n">
        <x:f>IF(AND(M1691,ISNUMBER(R1691)),IF(D1691="TEMPO_PROXY",R1691,IF(AND(ISNUMBER(S1691),S1691&gt;0,ISNUMBER(U1691)),U1691*R1691/S1691,"n.a.")),"n.a.")</x:f>
        <x:v>2115451.4645896982</x:v>
      </x:c>
      <x:c r="G1691" s="17" t="n">
        <x:f>IF(AND(ISNUMBER(E1691),ISNUMBER(F1691)),E1691-F1691,"n.a.")</x:f>
        <x:v>-552183.6745896977</x:v>
      </x:c>
      <x:c r="H1691" s="15" t="n">
        <x:f>IF(AND(ISNUMBER(E1691),ISNUMBER(F1691),F1691&gt;0),(E1691-F1691)/F1691,"n.a.")</x:f>
        <x:v>-0.26102403379734185</x:v>
      </x:c>
      <x:c r="I1691" s="19" t="n">
        <x:f>IF(ISNUMBER(H1691),ABS(H1691),"n.a.")</x:f>
        <x:v>0.26102403379734185</x:v>
      </x:c>
      <x:c r="J1691" s="2" t="str">
        <x:v>available</x:v>
      </x:c>
      <x:c r="K1691" s="2" t="n">
        <x:v>1</x:v>
      </x:c>
      <x:c r="L1691" s="13" t="b">
        <x:v>0</x:v>
      </x:c>
      <x:c r="M1691" s="13" t="b">
        <x:v>1</x:v>
      </x:c>
      <x:c r="N1691" s="2" t="str">
        <x:v>historical_GHSL_BU_estimate</x:v>
      </x:c>
      <x:c r="O1691" s="2" t="str"/>
      <x:c r="P1691" s="2" t="str">
        <x:v>horizontal built-up surface</x:v>
      </x:c>
      <x:c r="Q1691" s="2" t="str">
        <x:v>m2</x:v>
      </x:c>
      <x:c r="R1691" s="17" t="n">
        <x:v>751268.0051731877</x:v>
      </x:c>
      <x:c r="S1691" s="17" t="n">
        <x:v>555169</x:v>
      </x:c>
      <x:c r="T1691" s="18" t="n">
        <x:v>2.8158412843656624</x:v>
      </x:c>
      <x:c r="U1691" s="17" t="n">
        <x:v>1563267.7900000005</x:v>
      </x:c>
      <x:c r="V1691" s="2" t="str">
        <x:v>Area equivalent = model2020 * WUP surface / TEMPO2020 footprint; km2 multiplied by1e6 once</x:v>
      </x:c>
      <x:c r="W1691" s="2" t="str">
        <x:v>L1_numeric_partition_qualified_not_national_completeness</x:v>
      </x:c>
      <x:c r="X1691" s="2" t="str">
        <x:v>https://human-settlement.emergency.copernicus.eu/datasets.php</x:v>
      </x:c>
    </x:row>
    <x:row r="1692" ht="23" customHeight="1">
      <x:c r="A1692" s="2" t="str">
        <x:v>MDA</x:v>
      </x:c>
      <x:c r="B1692" s="2" t="str">
        <x:v>Moldova (Republic of)</x:v>
      </x:c>
      <x:c r="C1692" s="2" t="n">
        <x:v>2020</x:v>
      </x:c>
      <x:c r="D1692" s="2" t="str">
        <x:v>WUP_SURFACE</x:v>
      </x:c>
      <x:c r="E1692" s="17" t="n">
        <x:v>254566854.8299996</x:v>
      </x:c>
      <x:c r="F1692" s="17" t="n">
        <x:f>IF(AND(M1692,ISNUMBER(R1692)),IF(D1692="TEMPO_PROXY",R1692,IF(AND(ISNUMBER(S1692),S1692&gt;0,ISNUMBER(U1692)),U1692*R1692/S1692,"n.a.")),"n.a.")</x:f>
        <x:v>488421133.9322718</x:v>
      </x:c>
      <x:c r="G1692" s="17" t="n">
        <x:f>IF(AND(ISNUMBER(E1692),ISNUMBER(F1692)),E1692-F1692,"n.a.")</x:f>
        <x:v>-233854279.10227218</x:v>
      </x:c>
      <x:c r="H1692" s="15" t="n">
        <x:f>IF(AND(ISNUMBER(E1692),ISNUMBER(F1692),F1692&gt;0),(E1692-F1692)/F1692,"n.a.")</x:f>
        <x:v>-0.47879639691164594</x:v>
      </x:c>
      <x:c r="I1692" s="19" t="n">
        <x:f>IF(ISNUMBER(H1692),ABS(H1692),"n.a.")</x:f>
        <x:v>0.47879639691164594</x:v>
      </x:c>
      <x:c r="J1692" s="2" t="str">
        <x:v>available</x:v>
      </x:c>
      <x:c r="K1692" s="2" t="n">
        <x:v>1</x:v>
      </x:c>
      <x:c r="L1692" s="13" t="b">
        <x:v>0</x:v>
      </x:c>
      <x:c r="M1692" s="13" t="b">
        <x:v>1</x:v>
      </x:c>
      <x:c r="N1692" s="2" t="str">
        <x:v>historical_GHSL_BU_estimate</x:v>
      </x:c>
      <x:c r="O1692" s="2" t="str"/>
      <x:c r="P1692" s="2" t="str">
        <x:v>horizontal built-up surface</x:v>
      </x:c>
      <x:c r="Q1692" s="2" t="str">
        <x:v>m2</x:v>
      </x:c>
      <x:c r="R1692" s="17" t="n">
        <x:v>488421133.9322726</x:v>
      </x:c>
      <x:c r="S1692" s="17" t="n">
        <x:v>254566854.83</x:v>
      </x:c>
      <x:c r="T1692" s="18" t="n">
        <x:v>0.9999999999999983</x:v>
      </x:c>
      <x:c r="U1692" s="17" t="n">
        <x:v>254566854.8299996</x:v>
      </x:c>
      <x:c r="V1692" s="2" t="str">
        <x:v>Area equivalent = model2020 * WUP surface / TEMPO2020 footprint; km2 multiplied by1e6 once</x:v>
      </x:c>
      <x:c r="W1692" s="2" t="str">
        <x:v>L1_numeric_partition_qualified_not_national_completeness</x:v>
      </x:c>
      <x:c r="X1692" s="2" t="str">
        <x:v>https://human-settlement.emergency.copernicus.eu/datasets.php</x:v>
      </x:c>
    </x:row>
    <x:row r="1693" ht="23" customHeight="1">
      <x:c r="A1693" s="2" t="str">
        <x:v>MDG</x:v>
      </x:c>
      <x:c r="B1693" s="2" t="str">
        <x:v>Madagascar (Republic of)</x:v>
      </x:c>
      <x:c r="C1693" s="2" t="n">
        <x:v>2020</x:v>
      </x:c>
      <x:c r="D1693" s="2" t="str">
        <x:v>WUP_SURFACE</x:v>
      </x:c>
      <x:c r="E1693" s="17" t="n">
        <x:v>360823089.7999994</x:v>
      </x:c>
      <x:c r="F1693" s="17" t="n">
        <x:f>IF(AND(M1693,ISNUMBER(R1693)),IF(D1693="TEMPO_PROXY",R1693,IF(AND(ISNUMBER(S1693),S1693&gt;0,ISNUMBER(U1693)),U1693*R1693/S1693,"n.a.")),"n.a.")</x:f>
        <x:v>807916952.6679587</x:v>
      </x:c>
      <x:c r="G1693" s="17" t="n">
        <x:f>IF(AND(ISNUMBER(E1693),ISNUMBER(F1693)),E1693-F1693,"n.a.")</x:f>
        <x:v>-447093862.8679593</x:v>
      </x:c>
      <x:c r="H1693" s="15" t="n">
        <x:f>IF(AND(ISNUMBER(E1693),ISNUMBER(F1693),F1693&gt;0),(E1693-F1693)/F1693,"n.a.")</x:f>
        <x:v>-0.5533908669592034</x:v>
      </x:c>
      <x:c r="I1693" s="19" t="n">
        <x:f>IF(ISNUMBER(H1693),ABS(H1693),"n.a.")</x:f>
        <x:v>0.5533908669592034</x:v>
      </x:c>
      <x:c r="J1693" s="2" t="str">
        <x:v>available</x:v>
      </x:c>
      <x:c r="K1693" s="2" t="n">
        <x:v>1</x:v>
      </x:c>
      <x:c r="L1693" s="13" t="b">
        <x:v>0</x:v>
      </x:c>
      <x:c r="M1693" s="13" t="b">
        <x:v>1</x:v>
      </x:c>
      <x:c r="N1693" s="2" t="str">
        <x:v>historical_GHSL_BU_estimate</x:v>
      </x:c>
      <x:c r="O1693" s="2" t="str"/>
      <x:c r="P1693" s="2" t="str">
        <x:v>horizontal built-up surface</x:v>
      </x:c>
      <x:c r="Q1693" s="2" t="str">
        <x:v>m2</x:v>
      </x:c>
      <x:c r="R1693" s="17" t="n">
        <x:v>807916952.66796</x:v>
      </x:c>
      <x:c r="S1693" s="17" t="n">
        <x:v>360823089.8</x:v>
      </x:c>
      <x:c r="T1693" s="18" t="n">
        <x:v>0.9999999999999983</x:v>
      </x:c>
      <x:c r="U1693" s="17" t="n">
        <x:v>360823089.7999994</x:v>
      </x:c>
      <x:c r="V1693" s="2" t="str">
        <x:v>Area equivalent = model2020 * WUP surface / TEMPO2020 footprint; km2 multiplied by1e6 once</x:v>
      </x:c>
      <x:c r="W1693" s="2" t="str">
        <x:v>L1_numeric_partition_qualified_not_national_completeness</x:v>
      </x:c>
      <x:c r="X1693" s="2" t="str">
        <x:v>https://human-settlement.emergency.copernicus.eu/datasets.php</x:v>
      </x:c>
    </x:row>
    <x:row r="1694" ht="23" customHeight="1">
      <x:c r="A1694" s="2" t="str">
        <x:v>MDV</x:v>
      </x:c>
      <x:c r="B1694" s="2" t="str">
        <x:v>Maldives (Republic of)</x:v>
      </x:c>
      <x:c r="C1694" s="2" t="n">
        <x:v>2020</x:v>
      </x:c>
      <x:c r="D1694" s="2" t="str">
        <x:v>WUP_SURFACE</x:v>
      </x:c>
      <x:c r="E1694" s="17" t="n">
        <x:v>2206666.830000001</x:v>
      </x:c>
      <x:c r="F1694" s="17" t="n">
        <x:f>IF(AND(M1694,ISNUMBER(R1694)),IF(D1694="TEMPO_PROXY",R1694,IF(AND(ISNUMBER(S1694),S1694&gt;0,ISNUMBER(U1694)),U1694*R1694/S1694,"n.a.")),"n.a.")</x:f>
        <x:v>6356477.007677997</x:v>
      </x:c>
      <x:c r="G1694" s="17" t="n">
        <x:f>IF(AND(ISNUMBER(E1694),ISNUMBER(F1694)),E1694-F1694,"n.a.")</x:f>
        <x:v>-4149810.1776779965</x:v>
      </x:c>
      <x:c r="H1694" s="15" t="n">
        <x:f>IF(AND(ISNUMBER(E1694),ISNUMBER(F1694),F1694&gt;0),(E1694-F1694)/F1694,"n.a.")</x:f>
        <x:v>-0.6528475085594481</x:v>
      </x:c>
      <x:c r="I1694" s="19" t="n">
        <x:f>IF(ISNUMBER(H1694),ABS(H1694),"n.a.")</x:f>
        <x:v>0.6528475085594481</x:v>
      </x:c>
      <x:c r="J1694" s="2" t="str">
        <x:v>available</x:v>
      </x:c>
      <x:c r="K1694" s="2" t="n">
        <x:v>1</x:v>
      </x:c>
      <x:c r="L1694" s="13" t="b">
        <x:v>0</x:v>
      </x:c>
      <x:c r="M1694" s="13" t="b">
        <x:v>1</x:v>
      </x:c>
      <x:c r="N1694" s="2" t="str">
        <x:v>historical_GHSL_BU_estimate</x:v>
      </x:c>
      <x:c r="O1694" s="2" t="str"/>
      <x:c r="P1694" s="2" t="str">
        <x:v>horizontal built-up surface</x:v>
      </x:c>
      <x:c r="Q1694" s="2" t="str">
        <x:v>m2</x:v>
      </x:c>
      <x:c r="R1694" s="17" t="n">
        <x:v>6356477.007677995</x:v>
      </x:c>
      <x:c r="S1694" s="17" t="n">
        <x:v>2206666.83</x:v>
      </x:c>
      <x:c r="T1694" s="18" t="n">
        <x:v>1.0000000000000004</x:v>
      </x:c>
      <x:c r="U1694" s="17" t="n">
        <x:v>2206666.830000001</x:v>
      </x:c>
      <x:c r="V1694" s="2" t="str">
        <x:v>Area equivalent = model2020 * WUP surface / TEMPO2020 footprint; km2 multiplied by1e6 once</x:v>
      </x:c>
      <x:c r="W1694" s="2" t="str">
        <x:v>L1_numeric_partition_qualified_not_national_completeness</x:v>
      </x:c>
      <x:c r="X1694" s="2" t="str">
        <x:v>https://human-settlement.emergency.copernicus.eu/datasets.php</x:v>
      </x:c>
    </x:row>
    <x:row r="1695" ht="23" customHeight="1">
      <x:c r="A1695" s="2" t="str">
        <x:v>MEX</x:v>
      </x:c>
      <x:c r="B1695" s="2" t="str">
        <x:v>Mexico (United Mexican States)</x:v>
      </x:c>
      <x:c r="C1695" s="2" t="n">
        <x:v>2020</x:v>
      </x:c>
      <x:c r="D1695" s="2" t="str">
        <x:v>WUP_SURFACE</x:v>
      </x:c>
      <x:c r="E1695" s="17" t="n">
        <x:v>6345872319.039995</x:v>
      </x:c>
      <x:c r="F1695" s="17" t="n">
        <x:f>IF(AND(M1695,ISNUMBER(R1695)),IF(D1695="TEMPO_PROXY",R1695,IF(AND(ISNUMBER(S1695),S1695&gt;0,ISNUMBER(U1695)),U1695*R1695/S1695,"n.a.")),"n.a.")</x:f>
        <x:v>9762805907.01876</x:v>
      </x:c>
      <x:c r="G1695" s="17" t="n">
        <x:f>IF(AND(ISNUMBER(E1695),ISNUMBER(F1695)),E1695-F1695,"n.a.")</x:f>
        <x:v>-3416933587.9787655</x:v>
      </x:c>
      <x:c r="H1695" s="15" t="n">
        <x:f>IF(AND(ISNUMBER(E1695),ISNUMBER(F1695),F1695&gt;0),(E1695-F1695)/F1695,"n.a.")</x:f>
        <x:v>-0.3499950342679899</x:v>
      </x:c>
      <x:c r="I1695" s="19" t="n">
        <x:f>IF(ISNUMBER(H1695),ABS(H1695),"n.a.")</x:f>
        <x:v>0.3499950342679899</x:v>
      </x:c>
      <x:c r="J1695" s="2" t="str">
        <x:v>available</x:v>
      </x:c>
      <x:c r="K1695" s="2" t="n">
        <x:v>1</x:v>
      </x:c>
      <x:c r="L1695" s="13" t="b">
        <x:v>0</x:v>
      </x:c>
      <x:c r="M1695" s="13" t="b">
        <x:v>1</x:v>
      </x:c>
      <x:c r="N1695" s="2" t="str">
        <x:v>historical_GHSL_BU_estimate</x:v>
      </x:c>
      <x:c r="O1695" s="2" t="str"/>
      <x:c r="P1695" s="2" t="str">
        <x:v>horizontal built-up surface</x:v>
      </x:c>
      <x:c r="Q1695" s="2" t="str">
        <x:v>m2</x:v>
      </x:c>
      <x:c r="R1695" s="17" t="n">
        <x:v>9762805907.018768</x:v>
      </x:c>
      <x:c r="S1695" s="17" t="n">
        <x:v>6345872319.04</x:v>
      </x:c>
      <x:c r="T1695" s="18" t="n">
        <x:v>0.9999999999999992</x:v>
      </x:c>
      <x:c r="U1695" s="17" t="n">
        <x:v>6345872319.039995</x:v>
      </x:c>
      <x:c r="V1695" s="2" t="str">
        <x:v>Area equivalent = model2020 * WUP surface / TEMPO2020 footprint; km2 multiplied by1e6 once</x:v>
      </x:c>
      <x:c r="W1695" s="2" t="str">
        <x:v>L1_numeric_partition_qualified_not_national_completeness</x:v>
      </x:c>
      <x:c r="X1695" s="2" t="str">
        <x:v>https://human-settlement.emergency.copernicus.eu/datasets.php</x:v>
      </x:c>
    </x:row>
    <x:row r="1696" ht="23" customHeight="1">
      <x:c r="A1696" s="2" t="str">
        <x:v>MHL</x:v>
      </x:c>
      <x:c r="B1696" s="2" t="str">
        <x:v>Marshall Islands (Republic of the)</x:v>
      </x:c>
      <x:c r="C1696" s="2" t="n">
        <x:v>2020</x:v>
      </x:c>
      <x:c r="D1696" s="2" t="str">
        <x:v>WUP_SURFACE</x:v>
      </x:c>
      <x:c r="E1696" s="17" t="n">
        <x:v>198896.74</x:v>
      </x:c>
      <x:c r="F1696" s="17" t="n">
        <x:f>IF(AND(M1696,ISNUMBER(R1696)),IF(D1696="TEMPO_PROXY",R1696,IF(AND(ISNUMBER(S1696),S1696&gt;0,ISNUMBER(U1696)),U1696*R1696/S1696,"n.a.")),"n.a.")</x:f>
        <x:v>2419459.9983580927</x:v>
      </x:c>
      <x:c r="G1696" s="17" t="n">
        <x:f>IF(AND(ISNUMBER(E1696),ISNUMBER(F1696)),E1696-F1696,"n.a.")</x:f>
        <x:v>-2220563.258358093</x:v>
      </x:c>
      <x:c r="H1696" s="15" t="n">
        <x:f>IF(AND(ISNUMBER(E1696),ISNUMBER(F1696),F1696&gt;0),(E1696-F1696)/F1696,"n.a.")</x:f>
        <x:v>-0.917792920678591</x:v>
      </x:c>
      <x:c r="I1696" s="19" t="n">
        <x:f>IF(ISNUMBER(H1696),ABS(H1696),"n.a.")</x:f>
        <x:v>0.917792920678591</x:v>
      </x:c>
      <x:c r="J1696" s="2" t="str">
        <x:v>available</x:v>
      </x:c>
      <x:c r="K1696" s="2" t="n">
        <x:v>1</x:v>
      </x:c>
      <x:c r="L1696" s="13" t="b">
        <x:v>0</x:v>
      </x:c>
      <x:c r="M1696" s="13" t="b">
        <x:v>1</x:v>
      </x:c>
      <x:c r="N1696" s="2" t="str">
        <x:v>historical_GHSL_BU_estimate</x:v>
      </x:c>
      <x:c r="O1696" s="2" t="str"/>
      <x:c r="P1696" s="2" t="str">
        <x:v>horizontal built-up surface</x:v>
      </x:c>
      <x:c r="Q1696" s="2" t="str">
        <x:v>m2</x:v>
      </x:c>
      <x:c r="R1696" s="17" t="n">
        <x:v>2419459.9983580927</x:v>
      </x:c>
      <x:c r="S1696" s="17" t="n">
        <x:v>198896.74</x:v>
      </x:c>
      <x:c r="T1696" s="18" t="n">
        <x:v>1</x:v>
      </x:c>
      <x:c r="U1696" s="17" t="n">
        <x:v>198896.74</x:v>
      </x:c>
      <x:c r="V1696" s="2" t="str">
        <x:v>Area equivalent = model2020 * WUP surface / TEMPO2020 footprint; km2 multiplied by1e6 once</x:v>
      </x:c>
      <x:c r="W1696" s="2" t="str">
        <x:v>L1_numeric_partition_qualified_not_national_completeness</x:v>
      </x:c>
      <x:c r="X1696" s="2" t="str">
        <x:v>https://human-settlement.emergency.copernicus.eu/datasets.php</x:v>
      </x:c>
    </x:row>
    <x:row r="1697" ht="23" customHeight="1">
      <x:c r="A1697" s="2" t="str">
        <x:v>MKD</x:v>
      </x:c>
      <x:c r="B1697" s="2" t="str">
        <x:v>North Macedonia (Republic of)</x:v>
      </x:c>
      <x:c r="C1697" s="2" t="n">
        <x:v>2020</x:v>
      </x:c>
      <x:c r="D1697" s="2" t="str">
        <x:v>WUP_SURFACE</x:v>
      </x:c>
      <x:c r="E1697" s="17" t="n">
        <x:v>122189801.58999982</x:v>
      </x:c>
      <x:c r="F1697" s="17" t="n">
        <x:f>IF(AND(M1697,ISNUMBER(R1697)),IF(D1697="TEMPO_PROXY",R1697,IF(AND(ISNUMBER(S1697),S1697&gt;0,ISNUMBER(U1697)),U1697*R1697/S1697,"n.a.")),"n.a.")</x:f>
        <x:v>176132168.9686211</x:v>
      </x:c>
      <x:c r="G1697" s="17" t="n">
        <x:f>IF(AND(ISNUMBER(E1697),ISNUMBER(F1697)),E1697-F1697,"n.a.")</x:f>
        <x:v>-53942367.37862128</x:v>
      </x:c>
      <x:c r="H1697" s="15" t="n">
        <x:f>IF(AND(ISNUMBER(E1697),ISNUMBER(F1697),F1697&gt;0),(E1697-F1697)/F1697,"n.a.")</x:f>
        <x:v>-0.30626073416623517</x:v>
      </x:c>
      <x:c r="I1697" s="19" t="n">
        <x:f>IF(ISNUMBER(H1697),ABS(H1697),"n.a.")</x:f>
        <x:v>0.30626073416623517</x:v>
      </x:c>
      <x:c r="J1697" s="2" t="str">
        <x:v>available</x:v>
      </x:c>
      <x:c r="K1697" s="2" t="n">
        <x:v>1</x:v>
      </x:c>
      <x:c r="L1697" s="13" t="b">
        <x:v>0</x:v>
      </x:c>
      <x:c r="M1697" s="13" t="b">
        <x:v>1</x:v>
      </x:c>
      <x:c r="N1697" s="2" t="str">
        <x:v>historical_GHSL_BU_estimate</x:v>
      </x:c>
      <x:c r="O1697" s="2" t="str"/>
      <x:c r="P1697" s="2" t="str">
        <x:v>horizontal built-up surface</x:v>
      </x:c>
      <x:c r="Q1697" s="2" t="str">
        <x:v>m2</x:v>
      </x:c>
      <x:c r="R1697" s="17" t="n">
        <x:v>176132168.96862137</x:v>
      </x:c>
      <x:c r="S1697" s="17" t="n">
        <x:v>122189801.59</x:v>
      </x:c>
      <x:c r="T1697" s="18" t="n">
        <x:v>0.9999999999999986</x:v>
      </x:c>
      <x:c r="U1697" s="17" t="n">
        <x:v>122189801.58999982</x:v>
      </x:c>
      <x:c r="V1697" s="2" t="str">
        <x:v>Area equivalent = model2020 * WUP surface / TEMPO2020 footprint; km2 multiplied by1e6 once</x:v>
      </x:c>
      <x:c r="W1697" s="2" t="str">
        <x:v>L1_numeric_partition_qualified_not_national_completeness</x:v>
      </x:c>
      <x:c r="X1697" s="2" t="str">
        <x:v>https://human-settlement.emergency.copernicus.eu/datasets.php</x:v>
      </x:c>
    </x:row>
    <x:row r="1698" ht="23" customHeight="1">
      <x:c r="A1698" s="2" t="str">
        <x:v>MLI</x:v>
      </x:c>
      <x:c r="B1698" s="2" t="str">
        <x:v>Mali (Republic of)</x:v>
      </x:c>
      <x:c r="C1698" s="2" t="n">
        <x:v>2020</x:v>
      </x:c>
      <x:c r="D1698" s="2" t="str">
        <x:v>WUP_SURFACE</x:v>
      </x:c>
      <x:c r="E1698" s="17" t="n">
        <x:v>323707340.7500005</x:v>
      </x:c>
      <x:c r="F1698" s="17" t="n">
        <x:f>IF(AND(M1698,ISNUMBER(R1698)),IF(D1698="TEMPO_PROXY",R1698,IF(AND(ISNUMBER(S1698),S1698&gt;0,ISNUMBER(U1698)),U1698*R1698/S1698,"n.a.")),"n.a.")</x:f>
        <x:v>1033475440.1502918</x:v>
      </x:c>
      <x:c r="G1698" s="17" t="n">
        <x:f>IF(AND(ISNUMBER(E1698),ISNUMBER(F1698)),E1698-F1698,"n.a.")</x:f>
        <x:v>-709768099.4002913</x:v>
      </x:c>
      <x:c r="H1698" s="15" t="n">
        <x:f>IF(AND(ISNUMBER(E1698),ISNUMBER(F1698),F1698&gt;0),(E1698-F1698)/F1698,"n.a.")</x:f>
        <x:v>-0.6867779066884011</x:v>
      </x:c>
      <x:c r="I1698" s="19" t="n">
        <x:f>IF(ISNUMBER(H1698),ABS(H1698),"n.a.")</x:f>
        <x:v>0.6867779066884011</x:v>
      </x:c>
      <x:c r="J1698" s="2" t="str">
        <x:v>available</x:v>
      </x:c>
      <x:c r="K1698" s="2" t="n">
        <x:v>1</x:v>
      </x:c>
      <x:c r="L1698" s="13" t="b">
        <x:v>0</x:v>
      </x:c>
      <x:c r="M1698" s="13" t="b">
        <x:v>1</x:v>
      </x:c>
      <x:c r="N1698" s="2" t="str">
        <x:v>historical_GHSL_BU_estimate</x:v>
      </x:c>
      <x:c r="O1698" s="2" t="str"/>
      <x:c r="P1698" s="2" t="str">
        <x:v>horizontal built-up surface</x:v>
      </x:c>
      <x:c r="Q1698" s="2" t="str">
        <x:v>m2</x:v>
      </x:c>
      <x:c r="R1698" s="17" t="n">
        <x:v>1033475440.1502903</x:v>
      </x:c>
      <x:c r="S1698" s="17" t="n">
        <x:v>323707340.75</x:v>
      </x:c>
      <x:c r="T1698" s="18" t="n">
        <x:v>1.0000000000000016</x:v>
      </x:c>
      <x:c r="U1698" s="17" t="n">
        <x:v>323707340.7500005</x:v>
      </x:c>
      <x:c r="V1698" s="2" t="str">
        <x:v>Area equivalent = model2020 * WUP surface / TEMPO2020 footprint; km2 multiplied by1e6 once</x:v>
      </x:c>
      <x:c r="W1698" s="2" t="str">
        <x:v>L1_numeric_partition_qualified_not_national_completeness</x:v>
      </x:c>
      <x:c r="X1698" s="2" t="str">
        <x:v>https://human-settlement.emergency.copernicus.eu/datasets.php</x:v>
      </x:c>
    </x:row>
    <x:row r="1699" ht="23" customHeight="1">
      <x:c r="A1699" s="2" t="str">
        <x:v>MLT</x:v>
      </x:c>
      <x:c r="B1699" s="2" t="str">
        <x:v>Malta (Republic of)</x:v>
      </x:c>
      <x:c r="C1699" s="2" t="n">
        <x:v>2020</x:v>
      </x:c>
      <x:c r="D1699" s="2" t="str">
        <x:v>WUP_SURFACE</x:v>
      </x:c>
      <x:c r="E1699" s="17" t="n">
        <x:v>35087387.829999976</x:v>
      </x:c>
      <x:c r="F1699" s="17" t="n">
        <x:f>IF(AND(M1699,ISNUMBER(R1699)),IF(D1699="TEMPO_PROXY",R1699,IF(AND(ISNUMBER(S1699),S1699&gt;0,ISNUMBER(U1699)),U1699*R1699/S1699,"n.a.")),"n.a.")</x:f>
        <x:v>46513147.78608958</x:v>
      </x:c>
      <x:c r="G1699" s="17" t="n">
        <x:f>IF(AND(ISNUMBER(E1699),ISNUMBER(F1699)),E1699-F1699,"n.a.")</x:f>
        <x:v>-11425759.9560896</x:v>
      </x:c>
      <x:c r="H1699" s="15" t="n">
        <x:f>IF(AND(ISNUMBER(E1699),ISNUMBER(F1699),F1699&gt;0),(E1699-F1699)/F1699,"n.a.")</x:f>
        <x:v>-0.2456458119892423</x:v>
      </x:c>
      <x:c r="I1699" s="19" t="n">
        <x:f>IF(ISNUMBER(H1699),ABS(H1699),"n.a.")</x:f>
        <x:v>0.2456458119892423</x:v>
      </x:c>
      <x:c r="J1699" s="2" t="str">
        <x:v>available</x:v>
      </x:c>
      <x:c r="K1699" s="2" t="n">
        <x:v>1</x:v>
      </x:c>
      <x:c r="L1699" s="13" t="b">
        <x:v>0</x:v>
      </x:c>
      <x:c r="M1699" s="13" t="b">
        <x:v>1</x:v>
      </x:c>
      <x:c r="N1699" s="2" t="str">
        <x:v>historical_GHSL_BU_estimate</x:v>
      </x:c>
      <x:c r="O1699" s="2" t="str"/>
      <x:c r="P1699" s="2" t="str">
        <x:v>horizontal built-up surface</x:v>
      </x:c>
      <x:c r="Q1699" s="2" t="str">
        <x:v>m2</x:v>
      </x:c>
      <x:c r="R1699" s="17" t="n">
        <x:v>34904095.010637775</x:v>
      </x:c>
      <x:c r="S1699" s="17" t="n">
        <x:v>26330050.25</x:v>
      </x:c>
      <x:c r="T1699" s="18" t="n">
        <x:v>1.3325985897045516</x:v>
      </x:c>
      <x:c r="U1699" s="17" t="n">
        <x:v>35087387.829999976</x:v>
      </x:c>
      <x:c r="V1699" s="2" t="str">
        <x:v>Area equivalent = model2020 * WUP surface / TEMPO2020 footprint; km2 multiplied by1e6 once</x:v>
      </x:c>
      <x:c r="W1699" s="2" t="str">
        <x:v>L1_numeric_partition_qualified_not_national_completeness</x:v>
      </x:c>
      <x:c r="X1699" s="2" t="str">
        <x:v>https://human-settlement.emergency.copernicus.eu/datasets.php</x:v>
      </x:c>
    </x:row>
    <x:row r="1700" ht="23" customHeight="1">
      <x:c r="A1700" s="2" t="str">
        <x:v>MMR</x:v>
      </x:c>
      <x:c r="B1700" s="2" t="str">
        <x:v>Myanmar (Republic of the Union of)</x:v>
      </x:c>
      <x:c r="C1700" s="2" t="n">
        <x:v>2020</x:v>
      </x:c>
      <x:c r="D1700" s="2" t="str">
        <x:v>WUP_SURFACE</x:v>
      </x:c>
      <x:c r="E1700" s="17" t="n">
        <x:v>1377164281.6799977</x:v>
      </x:c>
      <x:c r="F1700" s="17" t="n">
        <x:f>IF(AND(M1700,ISNUMBER(R1700)),IF(D1700="TEMPO_PROXY",R1700,IF(AND(ISNUMBER(S1700),S1700&gt;0,ISNUMBER(U1700)),U1700*R1700/S1700,"n.a.")),"n.a.")</x:f>
        <x:v>1226236717.6885998</x:v>
      </x:c>
      <x:c r="G1700" s="17" t="n">
        <x:f>IF(AND(ISNUMBER(E1700),ISNUMBER(F1700)),E1700-F1700,"n.a.")</x:f>
        <x:v>150927563.99139786</x:v>
      </x:c>
      <x:c r="H1700" s="15" t="n">
        <x:f>IF(AND(ISNUMBER(E1700),ISNUMBER(F1700),F1700&gt;0),(E1700-F1700)/F1700,"n.a.")</x:f>
        <x:v>0.12308191543627027</x:v>
      </x:c>
      <x:c r="I1700" s="19" t="n">
        <x:f>IF(ISNUMBER(H1700),ABS(H1700),"n.a.")</x:f>
        <x:v>0.12308191543627027</x:v>
      </x:c>
      <x:c r="J1700" s="2" t="str">
        <x:v>available</x:v>
      </x:c>
      <x:c r="K1700" s="2" t="n">
        <x:v>1</x:v>
      </x:c>
      <x:c r="L1700" s="13" t="b">
        <x:v>0</x:v>
      </x:c>
      <x:c r="M1700" s="13" t="b">
        <x:v>1</x:v>
      </x:c>
      <x:c r="N1700" s="2" t="str">
        <x:v>historical_GHSL_BU_estimate</x:v>
      </x:c>
      <x:c r="O1700" s="2" t="str"/>
      <x:c r="P1700" s="2" t="str">
        <x:v>horizontal built-up surface</x:v>
      </x:c>
      <x:c r="Q1700" s="2" t="str">
        <x:v>m2</x:v>
      </x:c>
      <x:c r="R1700" s="17" t="n">
        <x:v>1226236717.688602</x:v>
      </x:c>
      <x:c r="S1700" s="17" t="n">
        <x:v>1377164281.68</x:v>
      </x:c>
      <x:c r="T1700" s="18" t="n">
        <x:v>0.9999999999999982</x:v>
      </x:c>
      <x:c r="U1700" s="17" t="n">
        <x:v>1377164281.6799977</x:v>
      </x:c>
      <x:c r="V1700" s="2" t="str">
        <x:v>Area equivalent = model2020 * WUP surface / TEMPO2020 footprint; km2 multiplied by1e6 once</x:v>
      </x:c>
      <x:c r="W1700" s="2" t="str">
        <x:v>L1_numeric_partition_qualified_not_national_completeness</x:v>
      </x:c>
      <x:c r="X1700" s="2" t="str">
        <x:v>https://human-settlement.emergency.copernicus.eu/datasets.php</x:v>
      </x:c>
    </x:row>
    <x:row r="1701" ht="23" customHeight="1">
      <x:c r="A1701" s="2" t="str">
        <x:v>MNE</x:v>
      </x:c>
      <x:c r="B1701" s="2" t="str">
        <x:v>Montenegro</x:v>
      </x:c>
      <x:c r="C1701" s="2" t="n">
        <x:v>2020</x:v>
      </x:c>
      <x:c r="D1701" s="2" t="str">
        <x:v>WUP_SURFACE</x:v>
      </x:c>
      <x:c r="E1701" s="17" t="n">
        <x:v>39447648.85999995</x:v>
      </x:c>
      <x:c r="F1701" s="17" t="n">
        <x:f>IF(AND(M1701,ISNUMBER(R1701)),IF(D1701="TEMPO_PROXY",R1701,IF(AND(ISNUMBER(S1701),S1701&gt;0,ISNUMBER(U1701)),U1701*R1701/S1701,"n.a.")),"n.a.")</x:f>
        <x:v>40512506.12172401</x:v>
      </x:c>
      <x:c r="G1701" s="17" t="n">
        <x:f>IF(AND(ISNUMBER(E1701),ISNUMBER(F1701)),E1701-F1701,"n.a.")</x:f>
        <x:v>-1064857.2617240623</x:v>
      </x:c>
      <x:c r="H1701" s="15" t="n">
        <x:f>IF(AND(ISNUMBER(E1701),ISNUMBER(F1701),F1701&gt;0),(E1701-F1701)/F1701,"n.a.")</x:f>
        <x:v>-0.026284655373444155</x:v>
      </x:c>
      <x:c r="I1701" s="19" t="n">
        <x:f>IF(ISNUMBER(H1701),ABS(H1701),"n.a.")</x:f>
        <x:v>0.026284655373444155</x:v>
      </x:c>
      <x:c r="J1701" s="2" t="str">
        <x:v>available</x:v>
      </x:c>
      <x:c r="K1701" s="2" t="n">
        <x:v>1</x:v>
      </x:c>
      <x:c r="L1701" s="13" t="b">
        <x:v>0</x:v>
      </x:c>
      <x:c r="M1701" s="13" t="b">
        <x:v>1</x:v>
      </x:c>
      <x:c r="N1701" s="2" t="str">
        <x:v>historical_GHSL_BU_estimate</x:v>
      </x:c>
      <x:c r="O1701" s="2" t="str"/>
      <x:c r="P1701" s="2" t="str">
        <x:v>horizontal built-up surface</x:v>
      </x:c>
      <x:c r="Q1701" s="2" t="str">
        <x:v>m2</x:v>
      </x:c>
      <x:c r="R1701" s="17" t="n">
        <x:v>40512506.12172407</x:v>
      </x:c>
      <x:c r="S1701" s="17" t="n">
        <x:v>39447648.86</x:v>
      </x:c>
      <x:c r="T1701" s="18" t="n">
        <x:v>0.9999999999999987</x:v>
      </x:c>
      <x:c r="U1701" s="17" t="n">
        <x:v>39447648.85999995</x:v>
      </x:c>
      <x:c r="V1701" s="2" t="str">
        <x:v>Area equivalent = model2020 * WUP surface / TEMPO2020 footprint; km2 multiplied by1e6 once</x:v>
      </x:c>
      <x:c r="W1701" s="2" t="str">
        <x:v>L1_numeric_partition_qualified_not_national_completeness</x:v>
      </x:c>
      <x:c r="X1701" s="2" t="str">
        <x:v>https://human-settlement.emergency.copernicus.eu/datasets.php</x:v>
      </x:c>
    </x:row>
    <x:row r="1702" ht="23" customHeight="1">
      <x:c r="A1702" s="2" t="str">
        <x:v>MNG</x:v>
      </x:c>
      <x:c r="B1702" s="2" t="str">
        <x:v>Mongolia</x:v>
      </x:c>
      <x:c r="C1702" s="2" t="n">
        <x:v>2020</x:v>
      </x:c>
      <x:c r="D1702" s="2" t="str">
        <x:v>WUP_SURFACE</x:v>
      </x:c>
      <x:c r="E1702" s="17" t="n">
        <x:v>83342838.68000013</x:v>
      </x:c>
      <x:c r="F1702" s="17" t="n">
        <x:f>IF(AND(M1702,ISNUMBER(R1702)),IF(D1702="TEMPO_PROXY",R1702,IF(AND(ISNUMBER(S1702),S1702&gt;0,ISNUMBER(U1702)),U1702*R1702/S1702,"n.a.")),"n.a.")</x:f>
        <x:v>161348158.31304422</x:v>
      </x:c>
      <x:c r="G1702" s="17" t="n">
        <x:f>IF(AND(ISNUMBER(E1702),ISNUMBER(F1702)),E1702-F1702,"n.a.")</x:f>
        <x:v>-78005319.6330441</x:v>
      </x:c>
      <x:c r="H1702" s="15" t="n">
        <x:f>IF(AND(ISNUMBER(E1702),ISNUMBER(F1702),F1702&gt;0),(E1702-F1702)/F1702,"n.a.")</x:f>
        <x:v>-0.4834596220286559</x:v>
      </x:c>
      <x:c r="I1702" s="19" t="n">
        <x:f>IF(ISNUMBER(H1702),ABS(H1702),"n.a.")</x:f>
        <x:v>0.4834596220286559</x:v>
      </x:c>
      <x:c r="J1702" s="2" t="str">
        <x:v>available</x:v>
      </x:c>
      <x:c r="K1702" s="2" t="n">
        <x:v>1</x:v>
      </x:c>
      <x:c r="L1702" s="13" t="b">
        <x:v>0</x:v>
      </x:c>
      <x:c r="M1702" s="13" t="b">
        <x:v>1</x:v>
      </x:c>
      <x:c r="N1702" s="2" t="str">
        <x:v>historical_GHSL_BU_estimate</x:v>
      </x:c>
      <x:c r="O1702" s="2" t="str"/>
      <x:c r="P1702" s="2" t="str">
        <x:v>horizontal built-up surface</x:v>
      </x:c>
      <x:c r="Q1702" s="2" t="str">
        <x:v>m2</x:v>
      </x:c>
      <x:c r="R1702" s="17" t="n">
        <x:v>160899892.81459567</x:v>
      </x:c>
      <x:c r="S1702" s="17" t="n">
        <x:v>83111291.45</x:v>
      </x:c>
      <x:c r="T1702" s="18" t="n">
        <x:v>1.0027859900377005</x:v>
      </x:c>
      <x:c r="U1702" s="17" t="n">
        <x:v>83342838.68000013</x:v>
      </x:c>
      <x:c r="V1702" s="2" t="str">
        <x:v>Area equivalent = model2020 * WUP surface / TEMPO2020 footprint; km2 multiplied by1e6 once</x:v>
      </x:c>
      <x:c r="W1702" s="2" t="str">
        <x:v>L1_numeric_partition_qualified_not_national_completeness</x:v>
      </x:c>
      <x:c r="X1702" s="2" t="str">
        <x:v>https://human-settlement.emergency.copernicus.eu/datasets.php</x:v>
      </x:c>
    </x:row>
    <x:row r="1703" ht="23" customHeight="1">
      <x:c r="A1703" s="2" t="str">
        <x:v>MOZ</x:v>
      </x:c>
      <x:c r="B1703" s="2" t="str">
        <x:v>Mozambique (Republic of)</x:v>
      </x:c>
      <x:c r="C1703" s="2" t="n">
        <x:v>2020</x:v>
      </x:c>
      <x:c r="D1703" s="2" t="str">
        <x:v>WUP_SURFACE</x:v>
      </x:c>
      <x:c r="E1703" s="17" t="n">
        <x:v>540811235.5300008</x:v>
      </x:c>
      <x:c r="F1703" s="17" t="n">
        <x:f>IF(AND(M1703,ISNUMBER(R1703)),IF(D1703="TEMPO_PROXY",R1703,IF(AND(ISNUMBER(S1703),S1703&gt;0,ISNUMBER(U1703)),U1703*R1703/S1703,"n.a.")),"n.a.")</x:f>
        <x:v>1946079434.372572</x:v>
      </x:c>
      <x:c r="G1703" s="17" t="n">
        <x:f>IF(AND(ISNUMBER(E1703),ISNUMBER(F1703)),E1703-F1703,"n.a.")</x:f>
        <x:v>-1405268198.8425713</x:v>
      </x:c>
      <x:c r="H1703" s="15" t="n">
        <x:f>IF(AND(ISNUMBER(E1703),ISNUMBER(F1703),F1703&gt;0),(E1703-F1703)/F1703,"n.a.")</x:f>
        <x:v>-0.7221021783705548</x:v>
      </x:c>
      <x:c r="I1703" s="19" t="n">
        <x:f>IF(ISNUMBER(H1703),ABS(H1703),"n.a.")</x:f>
        <x:v>0.7221021783705548</x:v>
      </x:c>
      <x:c r="J1703" s="2" t="str">
        <x:v>available</x:v>
      </x:c>
      <x:c r="K1703" s="2" t="n">
        <x:v>1</x:v>
      </x:c>
      <x:c r="L1703" s="13" t="b">
        <x:v>0</x:v>
      </x:c>
      <x:c r="M1703" s="13" t="b">
        <x:v>1</x:v>
      </x:c>
      <x:c r="N1703" s="2" t="str">
        <x:v>historical_GHSL_BU_estimate</x:v>
      </x:c>
      <x:c r="O1703" s="2" t="str"/>
      <x:c r="P1703" s="2" t="str">
        <x:v>horizontal built-up surface</x:v>
      </x:c>
      <x:c r="Q1703" s="2" t="str">
        <x:v>m2</x:v>
      </x:c>
      <x:c r="R1703" s="17" t="n">
        <x:v>1946079434.3725688</x:v>
      </x:c>
      <x:c r="S1703" s="17" t="n">
        <x:v>540811235.53</x:v>
      </x:c>
      <x:c r="T1703" s="18" t="n">
        <x:v>1.0000000000000016</x:v>
      </x:c>
      <x:c r="U1703" s="17" t="n">
        <x:v>540811235.5300008</x:v>
      </x:c>
      <x:c r="V1703" s="2" t="str">
        <x:v>Area equivalent = model2020 * WUP surface / TEMPO2020 footprint; km2 multiplied by1e6 once</x:v>
      </x:c>
      <x:c r="W1703" s="2" t="str">
        <x:v>L1_numeric_partition_qualified_not_national_completeness</x:v>
      </x:c>
      <x:c r="X1703" s="2" t="str">
        <x:v>https://human-settlement.emergency.copernicus.eu/datasets.php</x:v>
      </x:c>
    </x:row>
    <x:row r="1704" ht="23" customHeight="1">
      <x:c r="A1704" s="2" t="str">
        <x:v>MRT</x:v>
      </x:c>
      <x:c r="B1704" s="2" t="str">
        <x:v>Mauritania (Islamic Republic of)</x:v>
      </x:c>
      <x:c r="C1704" s="2" t="n">
        <x:v>2020</x:v>
      </x:c>
      <x:c r="D1704" s="2" t="str">
        <x:v>WUP_SURFACE</x:v>
      </x:c>
      <x:c r="E1704" s="17" t="n">
        <x:v>97384454.07000008</x:v>
      </x:c>
      <x:c r="F1704" s="17" t="n">
        <x:f>IF(AND(M1704,ISNUMBER(R1704)),IF(D1704="TEMPO_PROXY",R1704,IF(AND(ISNUMBER(S1704),S1704&gt;0,ISNUMBER(U1704)),U1704*R1704/S1704,"n.a.")),"n.a.")</x:f>
        <x:v>225713140.8755391</x:v>
      </x:c>
      <x:c r="G1704" s="17" t="n">
        <x:f>IF(AND(ISNUMBER(E1704),ISNUMBER(F1704)),E1704-F1704,"n.a.")</x:f>
        <x:v>-128328686.80553901</x:v>
      </x:c>
      <x:c r="H1704" s="15" t="n">
        <x:f>IF(AND(ISNUMBER(E1704),ISNUMBER(F1704),F1704&gt;0),(E1704-F1704)/F1704,"n.a.")</x:f>
        <x:v>-0.5685476986752002</x:v>
      </x:c>
      <x:c r="I1704" s="19" t="n">
        <x:f>IF(ISNUMBER(H1704),ABS(H1704),"n.a.")</x:f>
        <x:v>0.5685476986752002</x:v>
      </x:c>
      <x:c r="J1704" s="2" t="str">
        <x:v>available</x:v>
      </x:c>
      <x:c r="K1704" s="2" t="n">
        <x:v>1</x:v>
      </x:c>
      <x:c r="L1704" s="13" t="b">
        <x:v>0</x:v>
      </x:c>
      <x:c r="M1704" s="13" t="b">
        <x:v>1</x:v>
      </x:c>
      <x:c r="N1704" s="2" t="str">
        <x:v>historical_GHSL_BU_estimate</x:v>
      </x:c>
      <x:c r="O1704" s="2" t="str"/>
      <x:c r="P1704" s="2" t="str">
        <x:v>horizontal built-up surface</x:v>
      </x:c>
      <x:c r="Q1704" s="2" t="str">
        <x:v>m2</x:v>
      </x:c>
      <x:c r="R1704" s="17" t="n">
        <x:v>225713140.8755389</x:v>
      </x:c>
      <x:c r="S1704" s="17" t="n">
        <x:v>97384454.07</x:v>
      </x:c>
      <x:c r="T1704" s="18" t="n">
        <x:v>1.0000000000000009</x:v>
      </x:c>
      <x:c r="U1704" s="17" t="n">
        <x:v>97384454.07000008</x:v>
      </x:c>
      <x:c r="V1704" s="2" t="str">
        <x:v>Area equivalent = model2020 * WUP surface / TEMPO2020 footprint; km2 multiplied by1e6 once</x:v>
      </x:c>
      <x:c r="W1704" s="2" t="str">
        <x:v>L1_numeric_partition_qualified_not_national_completeness</x:v>
      </x:c>
      <x:c r="X1704" s="2" t="str">
        <x:v>https://human-settlement.emergency.copernicus.eu/datasets.php</x:v>
      </x:c>
    </x:row>
    <x:row r="1705" ht="23" customHeight="1">
      <x:c r="A1705" s="2" t="str">
        <x:v>MUS</x:v>
      </x:c>
      <x:c r="B1705" s="2" t="str">
        <x:v>Mauritius (Republic of)</x:v>
      </x:c>
      <x:c r="C1705" s="2" t="n">
        <x:v>2020</x:v>
      </x:c>
      <x:c r="D1705" s="2" t="str">
        <x:v>WUP_SURFACE</x:v>
      </x:c>
      <x:c r="E1705" s="17" t="n">
        <x:v>65152566.7100001</x:v>
      </x:c>
      <x:c r="F1705" s="17" t="n">
        <x:f>IF(AND(M1705,ISNUMBER(R1705)),IF(D1705="TEMPO_PROXY",R1705,IF(AND(ISNUMBER(S1705),S1705&gt;0,ISNUMBER(U1705)),U1705*R1705/S1705,"n.a.")),"n.a.")</x:f>
        <x:v>74485474.63443145</x:v>
      </x:c>
      <x:c r="G1705" s="17" t="n">
        <x:f>IF(AND(ISNUMBER(E1705),ISNUMBER(F1705)),E1705-F1705,"n.a.")</x:f>
        <x:v>-9332907.924431354</x:v>
      </x:c>
      <x:c r="H1705" s="15" t="n">
        <x:f>IF(AND(ISNUMBER(E1705),ISNUMBER(F1705),F1705&gt;0),(E1705-F1705)/F1705,"n.a.")</x:f>
        <x:v>-0.12529836146223802</x:v>
      </x:c>
      <x:c r="I1705" s="19" t="n">
        <x:f>IF(ISNUMBER(H1705),ABS(H1705),"n.a.")</x:f>
        <x:v>0.12529836146223802</x:v>
      </x:c>
      <x:c r="J1705" s="2" t="str">
        <x:v>available</x:v>
      </x:c>
      <x:c r="K1705" s="2" t="n">
        <x:v>1</x:v>
      </x:c>
      <x:c r="L1705" s="13" t="b">
        <x:v>0</x:v>
      </x:c>
      <x:c r="M1705" s="13" t="b">
        <x:v>1</x:v>
      </x:c>
      <x:c r="N1705" s="2" t="str">
        <x:v>historical_GHSL_BU_estimate</x:v>
      </x:c>
      <x:c r="O1705" s="2" t="str"/>
      <x:c r="P1705" s="2" t="str">
        <x:v>horizontal built-up surface</x:v>
      </x:c>
      <x:c r="Q1705" s="2" t="str">
        <x:v>m2</x:v>
      </x:c>
      <x:c r="R1705" s="17" t="n">
        <x:v>74043178.96130703</x:v>
      </x:c>
      <x:c r="S1705" s="17" t="n">
        <x:v>64765689.96</x:v>
      </x:c>
      <x:c r="T1705" s="18" t="n">
        <x:v>1.00597348303151</x:v>
      </x:c>
      <x:c r="U1705" s="17" t="n">
        <x:v>65152566.7100001</x:v>
      </x:c>
      <x:c r="V1705" s="2" t="str">
        <x:v>Area equivalent = model2020 * WUP surface / TEMPO2020 footprint; km2 multiplied by1e6 once</x:v>
      </x:c>
      <x:c r="W1705" s="2" t="str">
        <x:v>L1_numeric_partition_qualified_not_national_completeness</x:v>
      </x:c>
      <x:c r="X1705" s="2" t="str">
        <x:v>https://human-settlement.emergency.copernicus.eu/datasets.php</x:v>
      </x:c>
    </x:row>
    <x:row r="1706" ht="23" customHeight="1">
      <x:c r="A1706" s="2" t="str">
        <x:v>MWI</x:v>
      </x:c>
      <x:c r="B1706" s="2" t="str">
        <x:v>Malawi (Republic of)</x:v>
      </x:c>
      <x:c r="C1706" s="2" t="n">
        <x:v>2020</x:v>
      </x:c>
      <x:c r="D1706" s="2" t="str">
        <x:v>WUP_SURFACE</x:v>
      </x:c>
      <x:c r="E1706" s="17" t="n">
        <x:v>330771641.01999974</x:v>
      </x:c>
      <x:c r="F1706" s="17" t="n">
        <x:f>IF(AND(M1706,ISNUMBER(R1706)),IF(D1706="TEMPO_PROXY",R1706,IF(AND(ISNUMBER(S1706),S1706&gt;0,ISNUMBER(U1706)),U1706*R1706/S1706,"n.a.")),"n.a.")</x:f>
        <x:v>1096645518.8499622</x:v>
      </x:c>
      <x:c r="G1706" s="17" t="n">
        <x:f>IF(AND(ISNUMBER(E1706),ISNUMBER(F1706)),E1706-F1706,"n.a.")</x:f>
        <x:v>-765873877.8299625</x:v>
      </x:c>
      <x:c r="H1706" s="15" t="n">
        <x:f>IF(AND(ISNUMBER(E1706),ISNUMBER(F1706),F1706&gt;0),(E1706-F1706)/F1706,"n.a.")</x:f>
        <x:v>-0.698378705484635</x:v>
      </x:c>
      <x:c r="I1706" s="19" t="n">
        <x:f>IF(ISNUMBER(H1706),ABS(H1706),"n.a.")</x:f>
        <x:v>0.698378705484635</x:v>
      </x:c>
      <x:c r="J1706" s="2" t="str">
        <x:v>available</x:v>
      </x:c>
      <x:c r="K1706" s="2" t="n">
        <x:v>1</x:v>
      </x:c>
      <x:c r="L1706" s="13" t="b">
        <x:v>0</x:v>
      </x:c>
      <x:c r="M1706" s="13" t="b">
        <x:v>1</x:v>
      </x:c>
      <x:c r="N1706" s="2" t="str">
        <x:v>historical_GHSL_BU_estimate</x:v>
      </x:c>
      <x:c r="O1706" s="2" t="str"/>
      <x:c r="P1706" s="2" t="str">
        <x:v>horizontal built-up surface</x:v>
      </x:c>
      <x:c r="Q1706" s="2" t="str">
        <x:v>m2</x:v>
      </x:c>
      <x:c r="R1706" s="17" t="n">
        <x:v>1096645518.849963</x:v>
      </x:c>
      <x:c r="S1706" s="17" t="n">
        <x:v>330771641.02</x:v>
      </x:c>
      <x:c r="T1706" s="18" t="n">
        <x:v>0.9999999999999993</x:v>
      </x:c>
      <x:c r="U1706" s="17" t="n">
        <x:v>330771641.01999974</x:v>
      </x:c>
      <x:c r="V1706" s="2" t="str">
        <x:v>Area equivalent = model2020 * WUP surface / TEMPO2020 footprint; km2 multiplied by1e6 once</x:v>
      </x:c>
      <x:c r="W1706" s="2" t="str">
        <x:v>L1_numeric_partition_qualified_not_national_completeness</x:v>
      </x:c>
      <x:c r="X1706" s="2" t="str">
        <x:v>https://human-settlement.emergency.copernicus.eu/datasets.php</x:v>
      </x:c>
    </x:row>
    <x:row r="1707" ht="23" customHeight="1">
      <x:c r="A1707" s="2" t="str">
        <x:v>MYS</x:v>
      </x:c>
      <x:c r="B1707" s="2" t="str">
        <x:v>Malaysia</x:v>
      </x:c>
      <x:c r="C1707" s="2" t="n">
        <x:v>2020</x:v>
      </x:c>
      <x:c r="D1707" s="2" t="str">
        <x:v>WUP_SURFACE</x:v>
      </x:c>
      <x:c r="E1707" s="17" t="n">
        <x:v>2041076673.6399992</x:v>
      </x:c>
      <x:c r="F1707" s="17" t="n">
        <x:f>IF(AND(M1707,ISNUMBER(R1707)),IF(D1707="TEMPO_PROXY",R1707,IF(AND(ISNUMBER(S1707),S1707&gt;0,ISNUMBER(U1707)),U1707*R1707/S1707,"n.a.")),"n.a.")</x:f>
        <x:v>2194323512.456277</x:v>
      </x:c>
      <x:c r="G1707" s="17" t="n">
        <x:f>IF(AND(ISNUMBER(E1707),ISNUMBER(F1707)),E1707-F1707,"n.a.")</x:f>
        <x:v>-153246838.81627774</x:v>
      </x:c>
      <x:c r="H1707" s="15" t="n">
        <x:f>IF(AND(ISNUMBER(E1707),ISNUMBER(F1707),F1707&gt;0),(E1707-F1707)/F1707,"n.a.")</x:f>
        <x:v>-0.06983785114016149</x:v>
      </x:c>
      <x:c r="I1707" s="19" t="n">
        <x:f>IF(ISNUMBER(H1707),ABS(H1707),"n.a.")</x:f>
        <x:v>0.06983785114016149</x:v>
      </x:c>
      <x:c r="J1707" s="2" t="str">
        <x:v>available</x:v>
      </x:c>
      <x:c r="K1707" s="2" t="n">
        <x:v>1</x:v>
      </x:c>
      <x:c r="L1707" s="13" t="b">
        <x:v>0</x:v>
      </x:c>
      <x:c r="M1707" s="13" t="b">
        <x:v>1</x:v>
      </x:c>
      <x:c r="N1707" s="2" t="str">
        <x:v>historical_GHSL_BU_estimate</x:v>
      </x:c>
      <x:c r="O1707" s="2" t="str"/>
      <x:c r="P1707" s="2" t="str">
        <x:v>horizontal built-up surface</x:v>
      </x:c>
      <x:c r="Q1707" s="2" t="str">
        <x:v>m2</x:v>
      </x:c>
      <x:c r="R1707" s="17" t="n">
        <x:v>2067567185.869002</x:v>
      </x:c>
      <x:c r="S1707" s="17" t="n">
        <x:v>1923172736.52</x:v>
      </x:c>
      <x:c r="T1707" s="18" t="n">
        <x:v>1.0613069928046857</x:v>
      </x:c>
      <x:c r="U1707" s="17" t="n">
        <x:v>2041076673.6399992</x:v>
      </x:c>
      <x:c r="V1707" s="2" t="str">
        <x:v>Area equivalent = model2020 * WUP surface / TEMPO2020 footprint; km2 multiplied by1e6 once</x:v>
      </x:c>
      <x:c r="W1707" s="2" t="str">
        <x:v>L1_numeric_partition_qualified_not_national_completeness</x:v>
      </x:c>
      <x:c r="X1707" s="2" t="str">
        <x:v>https://human-settlement.emergency.copernicus.eu/datasets.php</x:v>
      </x:c>
    </x:row>
    <x:row r="1708" ht="23" customHeight="1">
      <x:c r="A1708" s="2" t="str">
        <x:v>NAM</x:v>
      </x:c>
      <x:c r="B1708" s="2" t="str">
        <x:v>Namibia (Republic of)</x:v>
      </x:c>
      <x:c r="C1708" s="2" t="n">
        <x:v>2020</x:v>
      </x:c>
      <x:c r="D1708" s="2" t="str">
        <x:v>WUP_SURFACE</x:v>
      </x:c>
      <x:c r="E1708" s="17" t="n">
        <x:v>112405609.30999991</x:v>
      </x:c>
      <x:c r="F1708" s="17" t="n">
        <x:f>IF(AND(M1708,ISNUMBER(R1708)),IF(D1708="TEMPO_PROXY",R1708,IF(AND(ISNUMBER(S1708),S1708&gt;0,ISNUMBER(U1708)),U1708*R1708/S1708,"n.a.")),"n.a.")</x:f>
        <x:v>301328274.96982175</x:v>
      </x:c>
      <x:c r="G1708" s="17" t="n">
        <x:f>IF(AND(ISNUMBER(E1708),ISNUMBER(F1708)),E1708-F1708,"n.a.")</x:f>
        <x:v>-188922665.65982184</x:v>
      </x:c>
      <x:c r="H1708" s="15" t="n">
        <x:f>IF(AND(ISNUMBER(E1708),ISNUMBER(F1708),F1708&gt;0),(E1708-F1708)/F1708,"n.a.")</x:f>
        <x:v>-0.6269662735060046</x:v>
      </x:c>
      <x:c r="I1708" s="19" t="n">
        <x:f>IF(ISNUMBER(H1708),ABS(H1708),"n.a.")</x:f>
        <x:v>0.6269662735060046</x:v>
      </x:c>
      <x:c r="J1708" s="2" t="str">
        <x:v>available</x:v>
      </x:c>
      <x:c r="K1708" s="2" t="n">
        <x:v>1</x:v>
      </x:c>
      <x:c r="L1708" s="13" t="b">
        <x:v>0</x:v>
      </x:c>
      <x:c r="M1708" s="13" t="b">
        <x:v>1</x:v>
      </x:c>
      <x:c r="N1708" s="2" t="str">
        <x:v>historical_GHSL_BU_estimate</x:v>
      </x:c>
      <x:c r="O1708" s="2" t="str"/>
      <x:c r="P1708" s="2" t="str">
        <x:v>horizontal built-up surface</x:v>
      </x:c>
      <x:c r="Q1708" s="2" t="str">
        <x:v>m2</x:v>
      </x:c>
      <x:c r="R1708" s="17" t="n">
        <x:v>301328274.969822</x:v>
      </x:c>
      <x:c r="S1708" s="17" t="n">
        <x:v>112405609.31</x:v>
      </x:c>
      <x:c r="T1708" s="18" t="n">
        <x:v>0.9999999999999992</x:v>
      </x:c>
      <x:c r="U1708" s="17" t="n">
        <x:v>112405609.30999991</x:v>
      </x:c>
      <x:c r="V1708" s="2" t="str">
        <x:v>Area equivalent = model2020 * WUP surface / TEMPO2020 footprint; km2 multiplied by1e6 once</x:v>
      </x:c>
      <x:c r="W1708" s="2" t="str">
        <x:v>L1_numeric_partition_qualified_not_national_completeness</x:v>
      </x:c>
      <x:c r="X1708" s="2" t="str">
        <x:v>https://human-settlement.emergency.copernicus.eu/datasets.php</x:v>
      </x:c>
    </x:row>
    <x:row r="1709" ht="23" customHeight="1">
      <x:c r="A1709" s="2" t="str">
        <x:v>NER</x:v>
      </x:c>
      <x:c r="B1709" s="2" t="str">
        <x:v>Niger (Republic of the)</x:v>
      </x:c>
      <x:c r="C1709" s="2" t="n">
        <x:v>2020</x:v>
      </x:c>
      <x:c r="D1709" s="2" t="str">
        <x:v>WUP_SURFACE</x:v>
      </x:c>
      <x:c r="E1709" s="17" t="n">
        <x:v>203236516.4300003</x:v>
      </x:c>
      <x:c r="F1709" s="17" t="n">
        <x:f>IF(AND(M1709,ISNUMBER(R1709)),IF(D1709="TEMPO_PROXY",R1709,IF(AND(ISNUMBER(S1709),S1709&gt;0,ISNUMBER(U1709)),U1709*R1709/S1709,"n.a.")),"n.a.")</x:f>
        <x:v>723520897.8383741</x:v>
      </x:c>
      <x:c r="G1709" s="17" t="n">
        <x:f>IF(AND(ISNUMBER(E1709),ISNUMBER(F1709)),E1709-F1709,"n.a.")</x:f>
        <x:v>-520284381.40837383</x:v>
      </x:c>
      <x:c r="H1709" s="15" t="n">
        <x:f>IF(AND(ISNUMBER(E1709),ISNUMBER(F1709),F1709&gt;0),(E1709-F1709)/F1709,"n.a.")</x:f>
        <x:v>-0.7191006962795414</x:v>
      </x:c>
      <x:c r="I1709" s="19" t="n">
        <x:f>IF(ISNUMBER(H1709),ABS(H1709),"n.a.")</x:f>
        <x:v>0.7191006962795414</x:v>
      </x:c>
      <x:c r="J1709" s="2" t="str">
        <x:v>available</x:v>
      </x:c>
      <x:c r="K1709" s="2" t="n">
        <x:v>1</x:v>
      </x:c>
      <x:c r="L1709" s="13" t="b">
        <x:v>0</x:v>
      </x:c>
      <x:c r="M1709" s="13" t="b">
        <x:v>1</x:v>
      </x:c>
      <x:c r="N1709" s="2" t="str">
        <x:v>historical_GHSL_BU_estimate</x:v>
      </x:c>
      <x:c r="O1709" s="2" t="str"/>
      <x:c r="P1709" s="2" t="str">
        <x:v>horizontal built-up surface</x:v>
      </x:c>
      <x:c r="Q1709" s="2" t="str">
        <x:v>m2</x:v>
      </x:c>
      <x:c r="R1709" s="17" t="n">
        <x:v>723520897.8383732</x:v>
      </x:c>
      <x:c r="S1709" s="17" t="n">
        <x:v>203236516.43</x:v>
      </x:c>
      <x:c r="T1709" s="18" t="n">
        <x:v>1.0000000000000016</x:v>
      </x:c>
      <x:c r="U1709" s="17" t="n">
        <x:v>203236516.4300003</x:v>
      </x:c>
      <x:c r="V1709" s="2" t="str">
        <x:v>Area equivalent = model2020 * WUP surface / TEMPO2020 footprint; km2 multiplied by1e6 once</x:v>
      </x:c>
      <x:c r="W1709" s="2" t="str">
        <x:v>L1_numeric_partition_qualified_not_national_completeness</x:v>
      </x:c>
      <x:c r="X1709" s="2" t="str">
        <x:v>https://human-settlement.emergency.copernicus.eu/datasets.php</x:v>
      </x:c>
    </x:row>
    <x:row r="1710" ht="23" customHeight="1">
      <x:c r="A1710" s="2" t="str">
        <x:v>NGA</x:v>
      </x:c>
      <x:c r="B1710" s="2" t="str">
        <x:v>Nigeria (Federal Republic of)</x:v>
      </x:c>
      <x:c r="C1710" s="2" t="n">
        <x:v>2020</x:v>
      </x:c>
      <x:c r="D1710" s="2" t="str">
        <x:v>WUP_SURFACE</x:v>
      </x:c>
      <x:c r="E1710" s="17" t="n">
        <x:v>4102804870.2700024</x:v>
      </x:c>
      <x:c r="F1710" s="17" t="n">
        <x:f>IF(AND(M1710,ISNUMBER(R1710)),IF(D1710="TEMPO_PROXY",R1710,IF(AND(ISNUMBER(S1710),S1710&gt;0,ISNUMBER(U1710)),U1710*R1710/S1710,"n.a.")),"n.a.")</x:f>
        <x:v>8191198036.130513</x:v>
      </x:c>
      <x:c r="G1710" s="17" t="n">
        <x:f>IF(AND(ISNUMBER(E1710),ISNUMBER(F1710)),E1710-F1710,"n.a.")</x:f>
        <x:v>-4088393165.860511</x:v>
      </x:c>
      <x:c r="H1710" s="15" t="n">
        <x:f>IF(AND(ISNUMBER(E1710),ISNUMBER(F1710),F1710&gt;0),(E1710-F1710)/F1710,"n.a.")</x:f>
        <x:v>-0.4991202932497833</x:v>
      </x:c>
      <x:c r="I1710" s="19" t="n">
        <x:f>IF(ISNUMBER(H1710),ABS(H1710),"n.a.")</x:f>
        <x:v>0.4991202932497833</x:v>
      </x:c>
      <x:c r="J1710" s="2" t="str">
        <x:v>available</x:v>
      </x:c>
      <x:c r="K1710" s="2" t="n">
        <x:v>1</x:v>
      </x:c>
      <x:c r="L1710" s="13" t="b">
        <x:v>0</x:v>
      </x:c>
      <x:c r="M1710" s="13" t="b">
        <x:v>1</x:v>
      </x:c>
      <x:c r="N1710" s="2" t="str">
        <x:v>historical_GHSL_BU_estimate</x:v>
      </x:c>
      <x:c r="O1710" s="2" t="str"/>
      <x:c r="P1710" s="2" t="str">
        <x:v>horizontal built-up surface</x:v>
      </x:c>
      <x:c r="Q1710" s="2" t="str">
        <x:v>m2</x:v>
      </x:c>
      <x:c r="R1710" s="17" t="n">
        <x:v>8191198036.130508</x:v>
      </x:c>
      <x:c r="S1710" s="17" t="n">
        <x:v>4102804870.27</x:v>
      </x:c>
      <x:c r="T1710" s="18" t="n">
        <x:v>1.0000000000000007</x:v>
      </x:c>
      <x:c r="U1710" s="17" t="n">
        <x:v>4102804870.2700024</x:v>
      </x:c>
      <x:c r="V1710" s="2" t="str">
        <x:v>Area equivalent = model2020 * WUP surface / TEMPO2020 footprint; km2 multiplied by1e6 once</x:v>
      </x:c>
      <x:c r="W1710" s="2" t="str">
        <x:v>L1_numeric_partition_qualified_not_national_completeness</x:v>
      </x:c>
      <x:c r="X1710" s="2" t="str">
        <x:v>https://human-settlement.emergency.copernicus.eu/datasets.php</x:v>
      </x:c>
    </x:row>
    <x:row r="1711" ht="23" customHeight="1">
      <x:c r="A1711" s="2" t="str">
        <x:v>NIC</x:v>
      </x:c>
      <x:c r="B1711" s="2" t="str">
        <x:v>Nicaragua (Republic of)</x:v>
      </x:c>
      <x:c r="C1711" s="2" t="n">
        <x:v>2020</x:v>
      </x:c>
      <x:c r="D1711" s="2" t="str">
        <x:v>WUP_SURFACE</x:v>
      </x:c>
      <x:c r="E1711" s="17" t="n">
        <x:v>201940338.64999992</x:v>
      </x:c>
      <x:c r="F1711" s="17" t="n">
        <x:f>IF(AND(M1711,ISNUMBER(R1711)),IF(D1711="TEMPO_PROXY",R1711,IF(AND(ISNUMBER(S1711),S1711&gt;0,ISNUMBER(U1711)),U1711*R1711/S1711,"n.a.")),"n.a.")</x:f>
        <x:v>298532468.2025889</x:v>
      </x:c>
      <x:c r="G1711" s="17" t="n">
        <x:f>IF(AND(ISNUMBER(E1711),ISNUMBER(F1711)),E1711-F1711,"n.a.")</x:f>
        <x:v>-96592129.552589</x:v>
      </x:c>
      <x:c r="H1711" s="15" t="n">
        <x:f>IF(AND(ISNUMBER(E1711),ISNUMBER(F1711),F1711&gt;0),(E1711-F1711)/F1711,"n.a.")</x:f>
        <x:v>-0.3235565301628767</x:v>
      </x:c>
      <x:c r="I1711" s="19" t="n">
        <x:f>IF(ISNUMBER(H1711),ABS(H1711),"n.a.")</x:f>
        <x:v>0.3235565301628767</x:v>
      </x:c>
      <x:c r="J1711" s="2" t="str">
        <x:v>available</x:v>
      </x:c>
      <x:c r="K1711" s="2" t="n">
        <x:v>1</x:v>
      </x:c>
      <x:c r="L1711" s="13" t="b">
        <x:v>0</x:v>
      </x:c>
      <x:c r="M1711" s="13" t="b">
        <x:v>1</x:v>
      </x:c>
      <x:c r="N1711" s="2" t="str">
        <x:v>historical_GHSL_BU_estimate</x:v>
      </x:c>
      <x:c r="O1711" s="2" t="str"/>
      <x:c r="P1711" s="2" t="str">
        <x:v>horizontal built-up surface</x:v>
      </x:c>
      <x:c r="Q1711" s="2" t="str">
        <x:v>m2</x:v>
      </x:c>
      <x:c r="R1711" s="17" t="n">
        <x:v>298532468.20258904</x:v>
      </x:c>
      <x:c r="S1711" s="17" t="n">
        <x:v>201940338.65</x:v>
      </x:c>
      <x:c r="T1711" s="18" t="n">
        <x:v>0.9999999999999996</x:v>
      </x:c>
      <x:c r="U1711" s="17" t="n">
        <x:v>201940338.64999992</x:v>
      </x:c>
      <x:c r="V1711" s="2" t="str">
        <x:v>Area equivalent = model2020 * WUP surface / TEMPO2020 footprint; km2 multiplied by1e6 once</x:v>
      </x:c>
      <x:c r="W1711" s="2" t="str">
        <x:v>L1_numeric_partition_qualified_not_national_completeness</x:v>
      </x:c>
      <x:c r="X1711" s="2" t="str">
        <x:v>https://human-settlement.emergency.copernicus.eu/datasets.php</x:v>
      </x:c>
    </x:row>
    <x:row r="1712" ht="23" customHeight="1">
      <x:c r="A1712" s="2" t="str">
        <x:v>NLD</x:v>
      </x:c>
      <x:c r="B1712" s="2" t="str">
        <x:v>Netherlands (Kingdom of the)</x:v>
      </x:c>
      <x:c r="C1712" s="2" t="n">
        <x:v>2020</x:v>
      </x:c>
      <x:c r="D1712" s="2" t="str">
        <x:v>WUP_SURFACE</x:v>
      </x:c>
      <x:c r="E1712" s="17" t="n">
        <x:v>1464947836.6400025</x:v>
      </x:c>
      <x:c r="F1712" s="17" t="n">
        <x:f>IF(AND(M1712,ISNUMBER(R1712)),IF(D1712="TEMPO_PROXY",R1712,IF(AND(ISNUMBER(S1712),S1712&gt;0,ISNUMBER(U1712)),U1712*R1712/S1712,"n.a.")),"n.a.")</x:f>
        <x:v>2210616041.638406</x:v>
      </x:c>
      <x:c r="G1712" s="17" t="n">
        <x:f>IF(AND(ISNUMBER(E1712),ISNUMBER(F1712)),E1712-F1712,"n.a.")</x:f>
        <x:v>-745668204.9984033</x:v>
      </x:c>
      <x:c r="H1712" s="15" t="n">
        <x:f>IF(AND(ISNUMBER(E1712),ISNUMBER(F1712),F1712&gt;0),(E1712-F1712)/F1712,"n.a.")</x:f>
        <x:v>-0.3373124011376253</x:v>
      </x:c>
      <x:c r="I1712" s="19" t="n">
        <x:f>IF(ISNUMBER(H1712),ABS(H1712),"n.a.")</x:f>
        <x:v>0.3373124011376253</x:v>
      </x:c>
      <x:c r="J1712" s="2" t="str">
        <x:v>available</x:v>
      </x:c>
      <x:c r="K1712" s="2" t="n">
        <x:v>1</x:v>
      </x:c>
      <x:c r="L1712" s="13" t="b">
        <x:v>0</x:v>
      </x:c>
      <x:c r="M1712" s="13" t="b">
        <x:v>1</x:v>
      </x:c>
      <x:c r="N1712" s="2" t="str">
        <x:v>historical_GHSL_BU_estimate</x:v>
      </x:c>
      <x:c r="O1712" s="2" t="str"/>
      <x:c r="P1712" s="2" t="str">
        <x:v>horizontal built-up surface</x:v>
      </x:c>
      <x:c r="Q1712" s="2" t="str">
        <x:v>m2</x:v>
      </x:c>
      <x:c r="R1712" s="17" t="n">
        <x:v>1907111935.276258</x:v>
      </x:c>
      <x:c r="S1712" s="17" t="n">
        <x:v>1263819429.15</x:v>
      </x:c>
      <x:c r="T1712" s="18" t="n">
        <x:v>1.1591433102316477</x:v>
      </x:c>
      <x:c r="U1712" s="17" t="n">
        <x:v>1464947836.6400025</x:v>
      </x:c>
      <x:c r="V1712" s="2" t="str">
        <x:v>Area equivalent = model2020 * WUP surface / TEMPO2020 footprint; km2 multiplied by1e6 once</x:v>
      </x:c>
      <x:c r="W1712" s="2" t="str">
        <x:v>L1_numeric_partition_qualified_not_national_completeness</x:v>
      </x:c>
      <x:c r="X1712" s="2" t="str">
        <x:v>https://human-settlement.emergency.copernicus.eu/datasets.php</x:v>
      </x:c>
    </x:row>
    <x:row r="1713" ht="23" customHeight="1">
      <x:c r="A1713" s="2" t="str">
        <x:v>NOR</x:v>
      </x:c>
      <x:c r="B1713" s="2" t="str">
        <x:v>Norway (Kingdom of)</x:v>
      </x:c>
      <x:c r="C1713" s="2" t="n">
        <x:v>2020</x:v>
      </x:c>
      <x:c r="D1713" s="2" t="str">
        <x:v>WUP_SURFACE</x:v>
      </x:c>
      <x:c r="E1713" s="17" t="n">
        <x:v>478516256.6100005</x:v>
      </x:c>
      <x:c r="F1713" s="17" t="n">
        <x:f>IF(AND(M1713,ISNUMBER(R1713)),IF(D1713="TEMPO_PROXY",R1713,IF(AND(ISNUMBER(S1713),S1713&gt;0,ISNUMBER(U1713)),U1713*R1713/S1713,"n.a.")),"n.a.")</x:f>
        <x:v>402253104.212493</x:v>
      </x:c>
      <x:c r="G1713" s="17" t="n">
        <x:f>IF(AND(ISNUMBER(E1713),ISNUMBER(F1713)),E1713-F1713,"n.a.")</x:f>
        <x:v>76263152.39750749</x:v>
      </x:c>
      <x:c r="H1713" s="15" t="n">
        <x:f>IF(AND(ISNUMBER(E1713),ISNUMBER(F1713),F1713&gt;0),(E1713-F1713)/F1713,"n.a.")</x:f>
        <x:v>0.18958996611551554</x:v>
      </x:c>
      <x:c r="I1713" s="19" t="n">
        <x:f>IF(ISNUMBER(H1713),ABS(H1713),"n.a.")</x:f>
        <x:v>0.18958996611551554</x:v>
      </x:c>
      <x:c r="J1713" s="2" t="str">
        <x:v>available</x:v>
      </x:c>
      <x:c r="K1713" s="2" t="n">
        <x:v>1</x:v>
      </x:c>
      <x:c r="L1713" s="13" t="b">
        <x:v>0</x:v>
      </x:c>
      <x:c r="M1713" s="13" t="b">
        <x:v>1</x:v>
      </x:c>
      <x:c r="N1713" s="2" t="str">
        <x:v>historical_GHSL_BU_estimate</x:v>
      </x:c>
      <x:c r="O1713" s="2" t="str"/>
      <x:c r="P1713" s="2" t="str">
        <x:v>horizontal built-up surface</x:v>
      </x:c>
      <x:c r="Q1713" s="2" t="str">
        <x:v>m2</x:v>
      </x:c>
      <x:c r="R1713" s="17" t="n">
        <x:v>402253104.2124926</x:v>
      </x:c>
      <x:c r="S1713" s="17" t="n">
        <x:v>478516256.61</x:v>
      </x:c>
      <x:c r="T1713" s="18" t="n">
        <x:v>1.0000000000000009</x:v>
      </x:c>
      <x:c r="U1713" s="17" t="n">
        <x:v>478516256.6100005</x:v>
      </x:c>
      <x:c r="V1713" s="2" t="str">
        <x:v>Area equivalent = model2020 * WUP surface / TEMPO2020 footprint; km2 multiplied by1e6 once</x:v>
      </x:c>
      <x:c r="W1713" s="2" t="str">
        <x:v>L1_numeric_partition_qualified_not_national_completeness</x:v>
      </x:c>
      <x:c r="X1713" s="2" t="str">
        <x:v>https://human-settlement.emergency.copernicus.eu/datasets.php</x:v>
      </x:c>
    </x:row>
    <x:row r="1714" ht="23" customHeight="1">
      <x:c r="A1714" s="2" t="str">
        <x:v>NPL</x:v>
      </x:c>
      <x:c r="B1714" s="2" t="str">
        <x:v>Nepal (Federal Democratic Republic of)</x:v>
      </x:c>
      <x:c r="C1714" s="2" t="n">
        <x:v>2020</x:v>
      </x:c>
      <x:c r="D1714" s="2" t="str">
        <x:v>WUP_SURFACE</x:v>
      </x:c>
      <x:c r="E1714" s="17" t="n">
        <x:v>656084354.4999993</x:v>
      </x:c>
      <x:c r="F1714" s="17" t="n">
        <x:f>IF(AND(M1714,ISNUMBER(R1714)),IF(D1714="TEMPO_PROXY",R1714,IF(AND(ISNUMBER(S1714),S1714&gt;0,ISNUMBER(U1714)),U1714*R1714/S1714,"n.a.")),"n.a.")</x:f>
        <x:v>1101961973.0921261</x:v>
      </x:c>
      <x:c r="G1714" s="17" t="n">
        <x:f>IF(AND(ISNUMBER(E1714),ISNUMBER(F1714)),E1714-F1714,"n.a.")</x:f>
        <x:v>-445877618.59212685</x:v>
      </x:c>
      <x:c r="H1714" s="15" t="n">
        <x:f>IF(AND(ISNUMBER(E1714),ISNUMBER(F1714),F1714&gt;0),(E1714-F1714)/F1714,"n.a.")</x:f>
        <x:v>-0.4046216017245911</x:v>
      </x:c>
      <x:c r="I1714" s="19" t="n">
        <x:f>IF(ISNUMBER(H1714),ABS(H1714),"n.a.")</x:f>
        <x:v>0.4046216017245911</x:v>
      </x:c>
      <x:c r="J1714" s="2" t="str">
        <x:v>available</x:v>
      </x:c>
      <x:c r="K1714" s="2" t="n">
        <x:v>1</x:v>
      </x:c>
      <x:c r="L1714" s="13" t="b">
        <x:v>0</x:v>
      </x:c>
      <x:c r="M1714" s="13" t="b">
        <x:v>1</x:v>
      </x:c>
      <x:c r="N1714" s="2" t="str">
        <x:v>historical_GHSL_BU_estimate</x:v>
      </x:c>
      <x:c r="O1714" s="2" t="str"/>
      <x:c r="P1714" s="2" t="str">
        <x:v>horizontal built-up surface</x:v>
      </x:c>
      <x:c r="Q1714" s="2" t="str">
        <x:v>m2</x:v>
      </x:c>
      <x:c r="R1714" s="17" t="n">
        <x:v>1101961973.0921273</x:v>
      </x:c>
      <x:c r="S1714" s="17" t="n">
        <x:v>656084354.5</x:v>
      </x:c>
      <x:c r="T1714" s="18" t="n">
        <x:v>0.9999999999999989</x:v>
      </x:c>
      <x:c r="U1714" s="17" t="n">
        <x:v>656084354.4999993</x:v>
      </x:c>
      <x:c r="V1714" s="2" t="str">
        <x:v>Area equivalent = model2020 * WUP surface / TEMPO2020 footprint; km2 multiplied by1e6 once</x:v>
      </x:c>
      <x:c r="W1714" s="2" t="str">
        <x:v>L1_numeric_partition_qualified_not_national_completeness</x:v>
      </x:c>
      <x:c r="X1714" s="2" t="str">
        <x:v>https://human-settlement.emergency.copernicus.eu/datasets.php</x:v>
      </x:c>
    </x:row>
    <x:row r="1715" ht="23" customHeight="1">
      <x:c r="A1715" s="2" t="str">
        <x:v>NRU</x:v>
      </x:c>
      <x:c r="B1715" s="2" t="str">
        <x:v>Nauru (Republic of)</x:v>
      </x:c>
      <x:c r="C1715" s="2" t="n">
        <x:v>2020</x:v>
      </x:c>
      <x:c r="D1715" s="2" t="str">
        <x:v>WUP_SURFACE</x:v>
      </x:c>
      <x:c r="E1715" s="17" t="n">
        <x:v>405989.38000000024</x:v>
      </x:c>
      <x:c r="F1715" s="17" t="n">
        <x:f>IF(AND(M1715,ISNUMBER(R1715)),IF(D1715="TEMPO_PROXY",R1715,IF(AND(ISNUMBER(S1715),S1715&gt;0,ISNUMBER(U1715)),U1715*R1715/S1715,"n.a.")),"n.a.")</x:f>
        <x:v>753905.9966875361</x:v>
      </x:c>
      <x:c r="G1715" s="17" t="n">
        <x:f>IF(AND(ISNUMBER(E1715),ISNUMBER(F1715)),E1715-F1715,"n.a.")</x:f>
        <x:v>-347916.6166875359</x:v>
      </x:c>
      <x:c r="H1715" s="15" t="n">
        <x:f>IF(AND(ISNUMBER(E1715),ISNUMBER(F1715),F1715&gt;0),(E1715-F1715)/F1715,"n.a.")</x:f>
        <x:v>-0.4614854082819206</x:v>
      </x:c>
      <x:c r="I1715" s="19" t="n">
        <x:f>IF(ISNUMBER(H1715),ABS(H1715),"n.a.")</x:f>
        <x:v>0.4614854082819206</x:v>
      </x:c>
      <x:c r="J1715" s="2" t="str">
        <x:v>available</x:v>
      </x:c>
      <x:c r="K1715" s="2" t="n">
        <x:v>1</x:v>
      </x:c>
      <x:c r="L1715" s="13" t="b">
        <x:v>0</x:v>
      </x:c>
      <x:c r="M1715" s="13" t="b">
        <x:v>1</x:v>
      </x:c>
      <x:c r="N1715" s="2" t="str">
        <x:v>historical_GHSL_BU_estimate</x:v>
      </x:c>
      <x:c r="O1715" s="2" t="str"/>
      <x:c r="P1715" s="2" t="str">
        <x:v>horizontal built-up surface</x:v>
      </x:c>
      <x:c r="Q1715" s="2" t="str">
        <x:v>m2</x:v>
      </x:c>
      <x:c r="R1715" s="17" t="n">
        <x:v>753905.9966875357</x:v>
      </x:c>
      <x:c r="S1715" s="17" t="n">
        <x:v>405989.38</x:v>
      </x:c>
      <x:c r="T1715" s="18" t="n">
        <x:v>1.0000000000000007</x:v>
      </x:c>
      <x:c r="U1715" s="17" t="n">
        <x:v>405989.38000000024</x:v>
      </x:c>
      <x:c r="V1715" s="2" t="str">
        <x:v>Area equivalent = model2020 * WUP surface / TEMPO2020 footprint; km2 multiplied by1e6 once</x:v>
      </x:c>
      <x:c r="W1715" s="2" t="str">
        <x:v>L1_numeric_partition_qualified_not_national_completeness</x:v>
      </x:c>
      <x:c r="X1715" s="2" t="str">
        <x:v>https://human-settlement.emergency.copernicus.eu/datasets.php</x:v>
      </x:c>
    </x:row>
    <x:row r="1716" ht="23" customHeight="1">
      <x:c r="A1716" s="2" t="str">
        <x:v>NZL</x:v>
      </x:c>
      <x:c r="B1716" s="2" t="str">
        <x:v>New Zealand</x:v>
      </x:c>
      <x:c r="C1716" s="2" t="n">
        <x:v>2020</x:v>
      </x:c>
      <x:c r="D1716" s="2" t="str">
        <x:v>WUP_SURFACE</x:v>
      </x:c>
      <x:c r="E1716" s="17" t="n">
        <x:v>553529463.7899991</x:v>
      </x:c>
      <x:c r="F1716" s="17" t="n">
        <x:f>IF(AND(M1716,ISNUMBER(R1716)),IF(D1716="TEMPO_PROXY",R1716,IF(AND(ISNUMBER(S1716),S1716&gt;0,ISNUMBER(U1716)),U1716*R1716/S1716,"n.a.")),"n.a.")</x:f>
        <x:v>963823875.4474188</x:v>
      </x:c>
      <x:c r="G1716" s="17" t="n">
        <x:f>IF(AND(ISNUMBER(E1716),ISNUMBER(F1716)),E1716-F1716,"n.a.")</x:f>
        <x:v>-410294411.6574197</x:v>
      </x:c>
      <x:c r="H1716" s="15" t="n">
        <x:f>IF(AND(ISNUMBER(E1716),ISNUMBER(F1716),F1716&gt;0),(E1716-F1716)/F1716,"n.a.")</x:f>
        <x:v>-0.42569438474114996</x:v>
      </x:c>
      <x:c r="I1716" s="19" t="n">
        <x:f>IF(ISNUMBER(H1716),ABS(H1716),"n.a.")</x:f>
        <x:v>0.42569438474114996</x:v>
      </x:c>
      <x:c r="J1716" s="2" t="str">
        <x:v>available</x:v>
      </x:c>
      <x:c r="K1716" s="2" t="n">
        <x:v>1</x:v>
      </x:c>
      <x:c r="L1716" s="13" t="b">
        <x:v>0</x:v>
      </x:c>
      <x:c r="M1716" s="13" t="b">
        <x:v>1</x:v>
      </x:c>
      <x:c r="N1716" s="2" t="str">
        <x:v>historical_GHSL_BU_estimate</x:v>
      </x:c>
      <x:c r="O1716" s="2" t="str"/>
      <x:c r="P1716" s="2" t="str">
        <x:v>horizontal built-up surface</x:v>
      </x:c>
      <x:c r="Q1716" s="2" t="str">
        <x:v>m2</x:v>
      </x:c>
      <x:c r="R1716" s="17" t="n">
        <x:v>963823875.4474204</x:v>
      </x:c>
      <x:c r="S1716" s="17" t="n">
        <x:v>553529463.79</x:v>
      </x:c>
      <x:c r="T1716" s="18" t="n">
        <x:v>0.9999999999999984</x:v>
      </x:c>
      <x:c r="U1716" s="17" t="n">
        <x:v>553529463.7899991</x:v>
      </x:c>
      <x:c r="V1716" s="2" t="str">
        <x:v>Area equivalent = model2020 * WUP surface / TEMPO2020 footprint; km2 multiplied by1e6 once</x:v>
      </x:c>
      <x:c r="W1716" s="2" t="str">
        <x:v>L1_numeric_partition_qualified_not_national_completeness</x:v>
      </x:c>
      <x:c r="X1716" s="2" t="str">
        <x:v>https://human-settlement.emergency.copernicus.eu/datasets.php</x:v>
      </x:c>
    </x:row>
    <x:row r="1717" ht="23" customHeight="1">
      <x:c r="A1717" s="2" t="str">
        <x:v>OMN</x:v>
      </x:c>
      <x:c r="B1717" s="2" t="str">
        <x:v>Oman (Sultanate of)</x:v>
      </x:c>
      <x:c r="C1717" s="2" t="n">
        <x:v>2020</x:v>
      </x:c>
      <x:c r="D1717" s="2" t="str">
        <x:v>WUP_SURFACE</x:v>
      </x:c>
      <x:c r="E1717" s="17" t="n">
        <x:v>262659820.8500002</x:v>
      </x:c>
      <x:c r="F1717" s="17" t="n">
        <x:f>IF(AND(M1717,ISNUMBER(R1717)),IF(D1717="TEMPO_PROXY",R1717,IF(AND(ISNUMBER(S1717),S1717&gt;0,ISNUMBER(U1717)),U1717*R1717/S1717,"n.a.")),"n.a.")</x:f>
        <x:v>438211242.94167966</x:v>
      </x:c>
      <x:c r="G1717" s="17" t="n">
        <x:f>IF(AND(ISNUMBER(E1717),ISNUMBER(F1717)),E1717-F1717,"n.a.")</x:f>
        <x:v>-175551422.09167945</x:v>
      </x:c>
      <x:c r="H1717" s="15" t="n">
        <x:f>IF(AND(ISNUMBER(E1717),ISNUMBER(F1717),F1717&gt;0),(E1717-F1717)/F1717,"n.a.")</x:f>
        <x:v>-0.40060912383994474</x:v>
      </x:c>
      <x:c r="I1717" s="19" t="n">
        <x:f>IF(ISNUMBER(H1717),ABS(H1717),"n.a.")</x:f>
        <x:v>0.40060912383994474</x:v>
      </x:c>
      <x:c r="J1717" s="2" t="str">
        <x:v>available</x:v>
      </x:c>
      <x:c r="K1717" s="2" t="n">
        <x:v>1</x:v>
      </x:c>
      <x:c r="L1717" s="13" t="b">
        <x:v>0</x:v>
      </x:c>
      <x:c r="M1717" s="13" t="b">
        <x:v>1</x:v>
      </x:c>
      <x:c r="N1717" s="2" t="str">
        <x:v>historical_GHSL_BU_estimate</x:v>
      </x:c>
      <x:c r="O1717" s="2" t="str"/>
      <x:c r="P1717" s="2" t="str">
        <x:v>horizontal built-up surface</x:v>
      </x:c>
      <x:c r="Q1717" s="2" t="str">
        <x:v>m2</x:v>
      </x:c>
      <x:c r="R1717" s="17" t="n">
        <x:v>438211242.9416793</x:v>
      </x:c>
      <x:c r="S1717" s="17" t="n">
        <x:v>262659820.85</x:v>
      </x:c>
      <x:c r="T1717" s="18" t="n">
        <x:v>1.0000000000000009</x:v>
      </x:c>
      <x:c r="U1717" s="17" t="n">
        <x:v>262659820.8500002</x:v>
      </x:c>
      <x:c r="V1717" s="2" t="str">
        <x:v>Area equivalent = model2020 * WUP surface / TEMPO2020 footprint; km2 multiplied by1e6 once</x:v>
      </x:c>
      <x:c r="W1717" s="2" t="str">
        <x:v>L1_numeric_partition_qualified_not_national_completeness</x:v>
      </x:c>
      <x:c r="X1717" s="2" t="str">
        <x:v>https://human-settlement.emergency.copernicus.eu/datasets.php</x:v>
      </x:c>
    </x:row>
    <x:row r="1718" ht="23" customHeight="1">
      <x:c r="A1718" s="2" t="str">
        <x:v>PAK</x:v>
      </x:c>
      <x:c r="B1718" s="2" t="str">
        <x:v>Pakistan (Islamic Republic of)</x:v>
      </x:c>
      <x:c r="C1718" s="2" t="n">
        <x:v>2020</x:v>
      </x:c>
      <x:c r="D1718" s="2" t="str">
        <x:v>WUP_SURFACE</x:v>
      </x:c>
      <x:c r="E1718" s="17" t="n">
        <x:v>4301390083.520005</x:v>
      </x:c>
      <x:c r="F1718" s="17" t="n">
        <x:f>IF(AND(M1718,ISNUMBER(R1718)),IF(D1718="TEMPO_PROXY",R1718,IF(AND(ISNUMBER(S1718),S1718&gt;0,ISNUMBER(U1718)),U1718*R1718/S1718,"n.a.")),"n.a.")</x:f>
        <x:v>6256683450.581384</x:v>
      </x:c>
      <x:c r="G1718" s="17" t="n">
        <x:f>IF(AND(ISNUMBER(E1718),ISNUMBER(F1718)),E1718-F1718,"n.a.")</x:f>
        <x:v>-1955293367.0613785</x:v>
      </x:c>
      <x:c r="H1718" s="15" t="n">
        <x:f>IF(AND(ISNUMBER(E1718),ISNUMBER(F1718),F1718&gt;0),(E1718-F1718)/F1718,"n.a.")</x:f>
        <x:v>-0.3125127525637706</x:v>
      </x:c>
      <x:c r="I1718" s="19" t="n">
        <x:f>IF(ISNUMBER(H1718),ABS(H1718),"n.a.")</x:f>
        <x:v>0.3125127525637706</x:v>
      </x:c>
      <x:c r="J1718" s="2" t="str">
        <x:v>available</x:v>
      </x:c>
      <x:c r="K1718" s="2" t="n">
        <x:v>1</x:v>
      </x:c>
      <x:c r="L1718" s="13" t="b">
        <x:v>0</x:v>
      </x:c>
      <x:c r="M1718" s="13" t="b">
        <x:v>1</x:v>
      </x:c>
      <x:c r="N1718" s="2" t="str">
        <x:v>historical_GHSL_BU_estimate</x:v>
      </x:c>
      <x:c r="O1718" s="2" t="str"/>
      <x:c r="P1718" s="2" t="str">
        <x:v>horizontal built-up surface</x:v>
      </x:c>
      <x:c r="Q1718" s="2" t="str">
        <x:v>m2</x:v>
      </x:c>
      <x:c r="R1718" s="17" t="n">
        <x:v>6256683450.581376</x:v>
      </x:c>
      <x:c r="S1718" s="17" t="n">
        <x:v>4301390083.52</x:v>
      </x:c>
      <x:c r="T1718" s="18" t="n">
        <x:v>1.000000000000001</x:v>
      </x:c>
      <x:c r="U1718" s="17" t="n">
        <x:v>4301390083.520005</x:v>
      </x:c>
      <x:c r="V1718" s="2" t="str">
        <x:v>Area equivalent = model2020 * WUP surface / TEMPO2020 footprint; km2 multiplied by1e6 once</x:v>
      </x:c>
      <x:c r="W1718" s="2" t="str">
        <x:v>L1_numeric_partition_qualified_not_national_completeness</x:v>
      </x:c>
      <x:c r="X1718" s="2" t="str">
        <x:v>https://human-settlement.emergency.copernicus.eu/datasets.php</x:v>
      </x:c>
    </x:row>
    <x:row r="1719" ht="23" customHeight="1">
      <x:c r="A1719" s="2" t="str">
        <x:v>PAN</x:v>
      </x:c>
      <x:c r="B1719" s="2" t="str">
        <x:v>Panama (Republic of)</x:v>
      </x:c>
      <x:c r="C1719" s="2" t="n">
        <x:v>2020</x:v>
      </x:c>
      <x:c r="D1719" s="2" t="str">
        <x:v>WUP_SURFACE</x:v>
      </x:c>
      <x:c r="E1719" s="17" t="n">
        <x:v>209722829.7800001</x:v>
      </x:c>
      <x:c r="F1719" s="17" t="n">
        <x:f>IF(AND(M1719,ISNUMBER(R1719)),IF(D1719="TEMPO_PROXY",R1719,IF(AND(ISNUMBER(S1719),S1719&gt;0,ISNUMBER(U1719)),U1719*R1719/S1719,"n.a.")),"n.a.")</x:f>
        <x:v>291288538.13923204</x:v>
      </x:c>
      <x:c r="G1719" s="17" t="n">
        <x:f>IF(AND(ISNUMBER(E1719),ISNUMBER(F1719)),E1719-F1719,"n.a.")</x:f>
        <x:v>-81565708.35923195</x:v>
      </x:c>
      <x:c r="H1719" s="15" t="n">
        <x:f>IF(AND(ISNUMBER(E1719),ISNUMBER(F1719),F1719&gt;0),(E1719-F1719)/F1719,"n.a.")</x:f>
        <x:v>-0.2800168825051559</x:v>
      </x:c>
      <x:c r="I1719" s="19" t="n">
        <x:f>IF(ISNUMBER(H1719),ABS(H1719),"n.a.")</x:f>
        <x:v>0.2800168825051559</x:v>
      </x:c>
      <x:c r="J1719" s="2" t="str">
        <x:v>available</x:v>
      </x:c>
      <x:c r="K1719" s="2" t="n">
        <x:v>1</x:v>
      </x:c>
      <x:c r="L1719" s="13" t="b">
        <x:v>0</x:v>
      </x:c>
      <x:c r="M1719" s="13" t="b">
        <x:v>1</x:v>
      </x:c>
      <x:c r="N1719" s="2" t="str">
        <x:v>historical_GHSL_BU_estimate</x:v>
      </x:c>
      <x:c r="O1719" s="2" t="str"/>
      <x:c r="P1719" s="2" t="str">
        <x:v>horizontal built-up surface</x:v>
      </x:c>
      <x:c r="Q1719" s="2" t="str">
        <x:v>m2</x:v>
      </x:c>
      <x:c r="R1719" s="17" t="n">
        <x:v>291288538.1392319</x:v>
      </x:c>
      <x:c r="S1719" s="17" t="n">
        <x:v>209722829.78</x:v>
      </x:c>
      <x:c r="T1719" s="18" t="n">
        <x:v>1.0000000000000004</x:v>
      </x:c>
      <x:c r="U1719" s="17" t="n">
        <x:v>209722829.7800001</x:v>
      </x:c>
      <x:c r="V1719" s="2" t="str">
        <x:v>Area equivalent = model2020 * WUP surface / TEMPO2020 footprint; km2 multiplied by1e6 once</x:v>
      </x:c>
      <x:c r="W1719" s="2" t="str">
        <x:v>L1_numeric_partition_qualified_not_national_completeness</x:v>
      </x:c>
      <x:c r="X1719" s="2" t="str">
        <x:v>https://human-settlement.emergency.copernicus.eu/datasets.php</x:v>
      </x:c>
    </x:row>
    <x:row r="1720" ht="23" customHeight="1">
      <x:c r="A1720" s="2" t="str">
        <x:v>PER</x:v>
      </x:c>
      <x:c r="B1720" s="2" t="str">
        <x:v>Peru (Republic of)</x:v>
      </x:c>
      <x:c r="C1720" s="2" t="n">
        <x:v>2020</x:v>
      </x:c>
      <x:c r="D1720" s="2" t="str">
        <x:v>WUP_SURFACE</x:v>
      </x:c>
      <x:c r="E1720" s="17" t="n">
        <x:v>1228349086.860001</x:v>
      </x:c>
      <x:c r="F1720" s="17" t="n">
        <x:f>IF(AND(M1720,ISNUMBER(R1720)),IF(D1720="TEMPO_PROXY",R1720,IF(AND(ISNUMBER(S1720),S1720&gt;0,ISNUMBER(U1720)),U1720*R1720/S1720,"n.a.")),"n.a.")</x:f>
        <x:v>1468922753.8804958</x:v>
      </x:c>
      <x:c r="G1720" s="17" t="n">
        <x:f>IF(AND(ISNUMBER(E1720),ISNUMBER(F1720)),E1720-F1720,"n.a.")</x:f>
        <x:v>-240573667.0204947</x:v>
      </x:c>
      <x:c r="H1720" s="15" t="n">
        <x:f>IF(AND(ISNUMBER(E1720),ISNUMBER(F1720),F1720&gt;0),(E1720-F1720)/F1720,"n.a.")</x:f>
        <x:v>-0.16377557389247616</x:v>
      </x:c>
      <x:c r="I1720" s="19" t="n">
        <x:f>IF(ISNUMBER(H1720),ABS(H1720),"n.a.")</x:f>
        <x:v>0.16377557389247616</x:v>
      </x:c>
      <x:c r="J1720" s="2" t="str">
        <x:v>available</x:v>
      </x:c>
      <x:c r="K1720" s="2" t="n">
        <x:v>1</x:v>
      </x:c>
      <x:c r="L1720" s="13" t="b">
        <x:v>0</x:v>
      </x:c>
      <x:c r="M1720" s="13" t="b">
        <x:v>1</x:v>
      </x:c>
      <x:c r="N1720" s="2" t="str">
        <x:v>historical_GHSL_BU_estimate</x:v>
      </x:c>
      <x:c r="O1720" s="2" t="str"/>
      <x:c r="P1720" s="2" t="str">
        <x:v>horizontal built-up surface</x:v>
      </x:c>
      <x:c r="Q1720" s="2" t="str">
        <x:v>m2</x:v>
      </x:c>
      <x:c r="R1720" s="17" t="n">
        <x:v>1468922753.8804944</x:v>
      </x:c>
      <x:c r="S1720" s="17" t="n">
        <x:v>1228349086.86</x:v>
      </x:c>
      <x:c r="T1720" s="18" t="n">
        <x:v>1.0000000000000009</x:v>
      </x:c>
      <x:c r="U1720" s="17" t="n">
        <x:v>1228349086.860001</x:v>
      </x:c>
      <x:c r="V1720" s="2" t="str">
        <x:v>Area equivalent = model2020 * WUP surface / TEMPO2020 footprint; km2 multiplied by1e6 once</x:v>
      </x:c>
      <x:c r="W1720" s="2" t="str">
        <x:v>L1_numeric_partition_qualified_not_national_completeness</x:v>
      </x:c>
      <x:c r="X1720" s="2" t="str">
        <x:v>https://human-settlement.emergency.copernicus.eu/datasets.php</x:v>
      </x:c>
    </x:row>
    <x:row r="1721" ht="23" customHeight="1">
      <x:c r="A1721" s="2" t="str">
        <x:v>PHL</x:v>
      </x:c>
      <x:c r="B1721" s="2" t="str">
        <x:v>Philippines (Republic of the)</x:v>
      </x:c>
      <x:c r="C1721" s="2" t="n">
        <x:v>2020</x:v>
      </x:c>
      <x:c r="D1721" s="2" t="str">
        <x:v>WUP_SURFACE</x:v>
      </x:c>
      <x:c r="E1721" s="17" t="n">
        <x:v>2290609295.400001</x:v>
      </x:c>
      <x:c r="F1721" s="17" t="n">
        <x:f>IF(AND(M1721,ISNUMBER(R1721)),IF(D1721="TEMPO_PROXY",R1721,IF(AND(ISNUMBER(S1721),S1721&gt;0,ISNUMBER(U1721)),U1721*R1721/S1721,"n.a.")),"n.a.")</x:f>
        <x:v>2415345169.4013476</x:v>
      </x:c>
      <x:c r="G1721" s="17" t="n">
        <x:f>IF(AND(ISNUMBER(E1721),ISNUMBER(F1721)),E1721-F1721,"n.a.")</x:f>
        <x:v>-124735874.00134659</x:v>
      </x:c>
      <x:c r="H1721" s="15" t="n">
        <x:f>IF(AND(ISNUMBER(E1721),ISNUMBER(F1721),F1721&gt;0),(E1721-F1721)/F1721,"n.a.")</x:f>
        <x:v>-0.05164308421899916</x:v>
      </x:c>
      <x:c r="I1721" s="19" t="n">
        <x:f>IF(ISNUMBER(H1721),ABS(H1721),"n.a.")</x:f>
        <x:v>0.05164308421899916</x:v>
      </x:c>
      <x:c r="J1721" s="2" t="str">
        <x:v>available</x:v>
      </x:c>
      <x:c r="K1721" s="2" t="n">
        <x:v>1</x:v>
      </x:c>
      <x:c r="L1721" s="13" t="b">
        <x:v>0</x:v>
      </x:c>
      <x:c r="M1721" s="13" t="b">
        <x:v>1</x:v>
      </x:c>
      <x:c r="N1721" s="2" t="str">
        <x:v>historical_GHSL_BU_estimate</x:v>
      </x:c>
      <x:c r="O1721" s="2" t="str"/>
      <x:c r="P1721" s="2" t="str">
        <x:v>horizontal built-up surface</x:v>
      </x:c>
      <x:c r="Q1721" s="2" t="str">
        <x:v>m2</x:v>
      </x:c>
      <x:c r="R1721" s="17" t="n">
        <x:v>2415345169.4013467</x:v>
      </x:c>
      <x:c r="S1721" s="17" t="n">
        <x:v>2290609295.4</x:v>
      </x:c>
      <x:c r="T1721" s="18" t="n">
        <x:v>1.0000000000000004</x:v>
      </x:c>
      <x:c r="U1721" s="17" t="n">
        <x:v>2290609295.400001</x:v>
      </x:c>
      <x:c r="V1721" s="2" t="str">
        <x:v>Area equivalent = model2020 * WUP surface / TEMPO2020 footprint; km2 multiplied by1e6 once</x:v>
      </x:c>
      <x:c r="W1721" s="2" t="str">
        <x:v>L1_numeric_partition_qualified_not_national_completeness</x:v>
      </x:c>
      <x:c r="X1721" s="2" t="str">
        <x:v>https://human-settlement.emergency.copernicus.eu/datasets.php</x:v>
      </x:c>
    </x:row>
    <x:row r="1722" ht="23" customHeight="1">
      <x:c r="A1722" s="2" t="str">
        <x:v>PLW</x:v>
      </x:c>
      <x:c r="B1722" s="2" t="str">
        <x:v>Palau (Republic of)</x:v>
      </x:c>
      <x:c r="C1722" s="2" t="n">
        <x:v>2020</x:v>
      </x:c>
      <x:c r="D1722" s="2" t="str">
        <x:v>WUP_SURFACE</x:v>
      </x:c>
      <x:c r="E1722" s="17" t="n">
        <x:v>1152226.26</x:v>
      </x:c>
      <x:c r="F1722" s="17" t="n">
        <x:f>IF(AND(M1722,ISNUMBER(R1722)),IF(D1722="TEMPO_PROXY",R1722,IF(AND(ISNUMBER(S1722),S1722&gt;0,ISNUMBER(U1722)),U1722*R1722/S1722,"n.a.")),"n.a.")</x:f>
        <x:v>1284489.9999239487</x:v>
      </x:c>
      <x:c r="G1722" s="17" t="n">
        <x:f>IF(AND(ISNUMBER(E1722),ISNUMBER(F1722)),E1722-F1722,"n.a.")</x:f>
        <x:v>-132263.73992394865</x:v>
      </x:c>
      <x:c r="H1722" s="15" t="n">
        <x:f>IF(AND(ISNUMBER(E1722),ISNUMBER(F1722),F1722&gt;0),(E1722-F1722)/F1722,"n.a.")</x:f>
        <x:v>-0.10296984790210874</x:v>
      </x:c>
      <x:c r="I1722" s="19" t="n">
        <x:f>IF(ISNUMBER(H1722),ABS(H1722),"n.a.")</x:f>
        <x:v>0.10296984790210874</x:v>
      </x:c>
      <x:c r="J1722" s="2" t="str">
        <x:v>available</x:v>
      </x:c>
      <x:c r="K1722" s="2" t="n">
        <x:v>1</x:v>
      </x:c>
      <x:c r="L1722" s="13" t="b">
        <x:v>0</x:v>
      </x:c>
      <x:c r="M1722" s="13" t="b">
        <x:v>1</x:v>
      </x:c>
      <x:c r="N1722" s="2" t="str">
        <x:v>historical_GHSL_BU_estimate</x:v>
      </x:c>
      <x:c r="O1722" s="2" t="str"/>
      <x:c r="P1722" s="2" t="str">
        <x:v>horizontal built-up surface</x:v>
      </x:c>
      <x:c r="Q1722" s="2" t="str">
        <x:v>m2</x:v>
      </x:c>
      <x:c r="R1722" s="17" t="n">
        <x:v>1284489.9999239487</x:v>
      </x:c>
      <x:c r="S1722" s="17" t="n">
        <x:v>1152226.26</x:v>
      </x:c>
      <x:c r="T1722" s="18" t="n">
        <x:v>1</x:v>
      </x:c>
      <x:c r="U1722" s="17" t="n">
        <x:v>1152226.26</x:v>
      </x:c>
      <x:c r="V1722" s="2" t="str">
        <x:v>Area equivalent = model2020 * WUP surface / TEMPO2020 footprint; km2 multiplied by1e6 once</x:v>
      </x:c>
      <x:c r="W1722" s="2" t="str">
        <x:v>L1_numeric_partition_qualified_not_national_completeness</x:v>
      </x:c>
      <x:c r="X1722" s="2" t="str">
        <x:v>https://human-settlement.emergency.copernicus.eu/datasets.php</x:v>
      </x:c>
    </x:row>
    <x:row r="1723" ht="23" customHeight="1">
      <x:c r="A1723" s="2" t="str">
        <x:v>PNG</x:v>
      </x:c>
      <x:c r="B1723" s="2" t="str">
        <x:v>Papua New Guinea (Independent State of)</x:v>
      </x:c>
      <x:c r="C1723" s="2" t="n">
        <x:v>2020</x:v>
      </x:c>
      <x:c r="D1723" s="2" t="str">
        <x:v>WUP_SURFACE</x:v>
      </x:c>
      <x:c r="E1723" s="17" t="n">
        <x:v>111325792.03000018</x:v>
      </x:c>
      <x:c r="F1723" s="17" t="n">
        <x:f>IF(AND(M1723,ISNUMBER(R1723)),IF(D1723="TEMPO_PROXY",R1723,IF(AND(ISNUMBER(S1723),S1723&gt;0,ISNUMBER(U1723)),U1723*R1723/S1723,"n.a.")),"n.a.")</x:f>
        <x:v>188950877.01715928</x:v>
      </x:c>
      <x:c r="G1723" s="17" t="n">
        <x:f>IF(AND(ISNUMBER(E1723),ISNUMBER(F1723)),E1723-F1723,"n.a.")</x:f>
        <x:v>-77625084.9871591</x:v>
      </x:c>
      <x:c r="H1723" s="15" t="n">
        <x:f>IF(AND(ISNUMBER(E1723),ISNUMBER(F1723),F1723&gt;0),(E1723-F1723)/F1723,"n.a.")</x:f>
        <x:v>-0.4108215119854125</x:v>
      </x:c>
      <x:c r="I1723" s="19" t="n">
        <x:f>IF(ISNUMBER(H1723),ABS(H1723),"n.a.")</x:f>
        <x:v>0.4108215119854125</x:v>
      </x:c>
      <x:c r="J1723" s="2" t="str">
        <x:v>available</x:v>
      </x:c>
      <x:c r="K1723" s="2" t="n">
        <x:v>1</x:v>
      </x:c>
      <x:c r="L1723" s="13" t="b">
        <x:v>0</x:v>
      </x:c>
      <x:c r="M1723" s="13" t="b">
        <x:v>1</x:v>
      </x:c>
      <x:c r="N1723" s="2" t="str">
        <x:v>historical_GHSL_BU_estimate</x:v>
      </x:c>
      <x:c r="O1723" s="2" t="str"/>
      <x:c r="P1723" s="2" t="str">
        <x:v>horizontal built-up surface</x:v>
      </x:c>
      <x:c r="Q1723" s="2" t="str">
        <x:v>m2</x:v>
      </x:c>
      <x:c r="R1723" s="17" t="n">
        <x:v>188950877.017159</x:v>
      </x:c>
      <x:c r="S1723" s="17" t="n">
        <x:v>111325792.03</x:v>
      </x:c>
      <x:c r="T1723" s="18" t="n">
        <x:v>1.0000000000000016</x:v>
      </x:c>
      <x:c r="U1723" s="17" t="n">
        <x:v>111325792.03000018</x:v>
      </x:c>
      <x:c r="V1723" s="2" t="str">
        <x:v>Area equivalent = model2020 * WUP surface / TEMPO2020 footprint; km2 multiplied by1e6 once</x:v>
      </x:c>
      <x:c r="W1723" s="2" t="str">
        <x:v>L1_numeric_partition_qualified_not_national_completeness</x:v>
      </x:c>
      <x:c r="X1723" s="2" t="str">
        <x:v>https://human-settlement.emergency.copernicus.eu/datasets.php</x:v>
      </x:c>
    </x:row>
    <x:row r="1724" ht="23" customHeight="1">
      <x:c r="A1724" s="2" t="str">
        <x:v>POL</x:v>
      </x:c>
      <x:c r="B1724" s="2" t="str">
        <x:v>Poland (Republic of)</x:v>
      </x:c>
      <x:c r="C1724" s="2" t="n">
        <x:v>2020</x:v>
      </x:c>
      <x:c r="D1724" s="2" t="str">
        <x:v>WUP_SURFACE</x:v>
      </x:c>
      <x:c r="E1724" s="17" t="n">
        <x:v>2573023573.5300016</x:v>
      </x:c>
      <x:c r="F1724" s="17" t="n">
        <x:f>IF(AND(M1724,ISNUMBER(R1724)),IF(D1724="TEMPO_PROXY",R1724,IF(AND(ISNUMBER(S1724),S1724&gt;0,ISNUMBER(U1724)),U1724*R1724/S1724,"n.a.")),"n.a.")</x:f>
        <x:v>4546888793.22527</x:v>
      </x:c>
      <x:c r="G1724" s="17" t="n">
        <x:f>IF(AND(ISNUMBER(E1724),ISNUMBER(F1724)),E1724-F1724,"n.a.")</x:f>
        <x:v>-1973865219.6952686</x:v>
      </x:c>
      <x:c r="H1724" s="15" t="n">
        <x:f>IF(AND(ISNUMBER(E1724),ISNUMBER(F1724),F1724&gt;0),(E1724-F1724)/F1724,"n.a.")</x:f>
        <x:v>-0.4341133705834788</x:v>
      </x:c>
      <x:c r="I1724" s="19" t="n">
        <x:f>IF(ISNUMBER(H1724),ABS(H1724),"n.a.")</x:f>
        <x:v>0.4341133705834788</x:v>
      </x:c>
      <x:c r="J1724" s="2" t="str">
        <x:v>available</x:v>
      </x:c>
      <x:c r="K1724" s="2" t="n">
        <x:v>1</x:v>
      </x:c>
      <x:c r="L1724" s="13" t="b">
        <x:v>0</x:v>
      </x:c>
      <x:c r="M1724" s="13" t="b">
        <x:v>1</x:v>
      </x:c>
      <x:c r="N1724" s="2" t="str">
        <x:v>historical_GHSL_BU_estimate</x:v>
      </x:c>
      <x:c r="O1724" s="2" t="str"/>
      <x:c r="P1724" s="2" t="str">
        <x:v>horizontal built-up surface</x:v>
      </x:c>
      <x:c r="Q1724" s="2" t="str">
        <x:v>m2</x:v>
      </x:c>
      <x:c r="R1724" s="17" t="n">
        <x:v>4546888793.225267</x:v>
      </x:c>
      <x:c r="S1724" s="17" t="n">
        <x:v>2573023573.53</x:v>
      </x:c>
      <x:c r="T1724" s="18" t="n">
        <x:v>1.0000000000000007</x:v>
      </x:c>
      <x:c r="U1724" s="17" t="n">
        <x:v>2573023573.5300016</x:v>
      </x:c>
      <x:c r="V1724" s="2" t="str">
        <x:v>Area equivalent = model2020 * WUP surface / TEMPO2020 footprint; km2 multiplied by1e6 once</x:v>
      </x:c>
      <x:c r="W1724" s="2" t="str">
        <x:v>L1_numeric_partition_qualified_not_national_completeness</x:v>
      </x:c>
      <x:c r="X1724" s="2" t="str">
        <x:v>https://human-settlement.emergency.copernicus.eu/datasets.php</x:v>
      </x:c>
    </x:row>
    <x:row r="1725" ht="23" customHeight="1">
      <x:c r="A1725" s="2" t="str">
        <x:v>PRK</x:v>
      </x:c>
      <x:c r="B1725" s="2" t="str">
        <x:v>Korea (Democratic People's Republic of)</x:v>
      </x:c>
      <x:c r="C1725" s="2" t="n">
        <x:v>2020</x:v>
      </x:c>
      <x:c r="D1725" s="2" t="str">
        <x:v>WUP_SURFACE</x:v>
      </x:c>
      <x:c r="E1725" s="17" t="n">
        <x:v>469713807.49000067</x:v>
      </x:c>
      <x:c r="F1725" s="17" t="n">
        <x:f>IF(AND(M1725,ISNUMBER(R1725)),IF(D1725="TEMPO_PROXY",R1725,IF(AND(ISNUMBER(S1725),S1725&gt;0,ISNUMBER(U1725)),U1725*R1725/S1725,"n.a.")),"n.a.")</x:f>
        <x:v>382704344.7889057</x:v>
      </x:c>
      <x:c r="G1725" s="17" t="n">
        <x:f>IF(AND(ISNUMBER(E1725),ISNUMBER(F1725)),E1725-F1725,"n.a.")</x:f>
        <x:v>87009462.70109499</x:v>
      </x:c>
      <x:c r="H1725" s="15" t="n">
        <x:f>IF(AND(ISNUMBER(E1725),ISNUMBER(F1725),F1725&gt;0),(E1725-F1725)/F1725,"n.a.")</x:f>
        <x:v>0.22735425893606767</x:v>
      </x:c>
      <x:c r="I1725" s="19" t="n">
        <x:f>IF(ISNUMBER(H1725),ABS(H1725),"n.a.")</x:f>
        <x:v>0.22735425893606767</x:v>
      </x:c>
      <x:c r="J1725" s="2" t="str">
        <x:v>available</x:v>
      </x:c>
      <x:c r="K1725" s="2" t="n">
        <x:v>1</x:v>
      </x:c>
      <x:c r="L1725" s="13" t="b">
        <x:v>0</x:v>
      </x:c>
      <x:c r="M1725" s="13" t="b">
        <x:v>1</x:v>
      </x:c>
      <x:c r="N1725" s="2" t="str">
        <x:v>historical_GHSL_BU_estimate</x:v>
      </x:c>
      <x:c r="O1725" s="2" t="str"/>
      <x:c r="P1725" s="2" t="str">
        <x:v>horizontal built-up surface</x:v>
      </x:c>
      <x:c r="Q1725" s="2" t="str">
        <x:v>m2</x:v>
      </x:c>
      <x:c r="R1725" s="17" t="n">
        <x:v>377674861.30029035</x:v>
      </x:c>
      <x:c r="S1725" s="17" t="n">
        <x:v>463540849.51</x:v>
      </x:c>
      <x:c r="T1725" s="18" t="n">
        <x:v>1.0133169665338577</x:v>
      </x:c>
      <x:c r="U1725" s="17" t="n">
        <x:v>469713807.49000067</x:v>
      </x:c>
      <x:c r="V1725" s="2" t="str">
        <x:v>Area equivalent = model2020 * WUP surface / TEMPO2020 footprint; km2 multiplied by1e6 once</x:v>
      </x:c>
      <x:c r="W1725" s="2" t="str">
        <x:v>L1_numeric_partition_qualified_not_national_completeness</x:v>
      </x:c>
      <x:c r="X1725" s="2" t="str">
        <x:v>https://human-settlement.emergency.copernicus.eu/datasets.php</x:v>
      </x:c>
    </x:row>
    <x:row r="1726" ht="23" customHeight="1">
      <x:c r="A1726" s="2" t="str">
        <x:v>PRT</x:v>
      </x:c>
      <x:c r="B1726" s="2" t="str">
        <x:v>Portugal (Portuguese Republic)</x:v>
      </x:c>
      <x:c r="C1726" s="2" t="n">
        <x:v>2020</x:v>
      </x:c>
      <x:c r="D1726" s="2" t="str">
        <x:v>WUP_SURFACE</x:v>
      </x:c>
      <x:c r="E1726" s="17" t="n">
        <x:v>1019333626.31</x:v>
      </x:c>
      <x:c r="F1726" s="17" t="n">
        <x:f>IF(AND(M1726,ISNUMBER(R1726)),IF(D1726="TEMPO_PROXY",R1726,IF(AND(ISNUMBER(S1726),S1726&gt;0,ISNUMBER(U1726)),U1726*R1726/S1726,"n.a.")),"n.a.")</x:f>
        <x:v>1374860716.2609584</x:v>
      </x:c>
      <x:c r="G1726" s="17" t="n">
        <x:f>IF(AND(ISNUMBER(E1726),ISNUMBER(F1726)),E1726-F1726,"n.a.")</x:f>
        <x:v>-355527089.9509585</x:v>
      </x:c>
      <x:c r="H1726" s="15" t="n">
        <x:f>IF(AND(ISNUMBER(E1726),ISNUMBER(F1726),F1726&gt;0),(E1726-F1726)/F1726,"n.a.")</x:f>
        <x:v>-0.2585913509245084</x:v>
      </x:c>
      <x:c r="I1726" s="19" t="n">
        <x:f>IF(ISNUMBER(H1726),ABS(H1726),"n.a.")</x:f>
        <x:v>0.2585913509245084</x:v>
      </x:c>
      <x:c r="J1726" s="2" t="str">
        <x:v>available</x:v>
      </x:c>
      <x:c r="K1726" s="2" t="n">
        <x:v>1</x:v>
      </x:c>
      <x:c r="L1726" s="13" t="b">
        <x:v>0</x:v>
      </x:c>
      <x:c r="M1726" s="13" t="b">
        <x:v>1</x:v>
      </x:c>
      <x:c r="N1726" s="2" t="str">
        <x:v>historical_GHSL_BU_estimate</x:v>
      </x:c>
      <x:c r="O1726" s="2" t="str"/>
      <x:c r="P1726" s="2" t="str">
        <x:v>horizontal built-up surface</x:v>
      </x:c>
      <x:c r="Q1726" s="2" t="str">
        <x:v>m2</x:v>
      </x:c>
      <x:c r="R1726" s="17" t="n">
        <x:v>1374860716.2609584</x:v>
      </x:c>
      <x:c r="S1726" s="17" t="n">
        <x:v>1019333626.31</x:v>
      </x:c>
      <x:c r="T1726" s="18" t="n">
        <x:v>1</x:v>
      </x:c>
      <x:c r="U1726" s="17" t="n">
        <x:v>1019333626.31</x:v>
      </x:c>
      <x:c r="V1726" s="2" t="str">
        <x:v>Area equivalent = model2020 * WUP surface / TEMPO2020 footprint; km2 multiplied by1e6 once</x:v>
      </x:c>
      <x:c r="W1726" s="2" t="str">
        <x:v>L1_numeric_partition_qualified_not_national_completeness</x:v>
      </x:c>
      <x:c r="X1726" s="2" t="str">
        <x:v>https://human-settlement.emergency.copernicus.eu/datasets.php</x:v>
      </x:c>
    </x:row>
    <x:row r="1727" ht="23" customHeight="1">
      <x:c r="A1727" s="2" t="str">
        <x:v>PRY</x:v>
      </x:c>
      <x:c r="B1727" s="2" t="str">
        <x:v>Paraguay (Republic of)</x:v>
      </x:c>
      <x:c r="C1727" s="2" t="n">
        <x:v>2020</x:v>
      </x:c>
      <x:c r="D1727" s="2" t="str">
        <x:v>WUP_SURFACE</x:v>
      </x:c>
      <x:c r="E1727" s="17" t="n">
        <x:v>336793873.4500005</x:v>
      </x:c>
      <x:c r="F1727" s="17" t="n">
        <x:f>IF(AND(M1727,ISNUMBER(R1727)),IF(D1727="TEMPO_PROXY",R1727,IF(AND(ISNUMBER(S1727),S1727&gt;0,ISNUMBER(U1727)),U1727*R1727/S1727,"n.a.")),"n.a.")</x:f>
        <x:v>562101220.9652563</x:v>
      </x:c>
      <x:c r="G1727" s="17" t="n">
        <x:f>IF(AND(ISNUMBER(E1727),ISNUMBER(F1727)),E1727-F1727,"n.a.")</x:f>
        <x:v>-225307347.5152558</x:v>
      </x:c>
      <x:c r="H1727" s="15" t="n">
        <x:f>IF(AND(ISNUMBER(E1727),ISNUMBER(F1727),F1727&gt;0),(E1727-F1727)/F1727,"n.a.")</x:f>
        <x:v>-0.40083056060321587</x:v>
      </x:c>
      <x:c r="I1727" s="19" t="n">
        <x:f>IF(ISNUMBER(H1727),ABS(H1727),"n.a.")</x:f>
        <x:v>0.40083056060321587</x:v>
      </x:c>
      <x:c r="J1727" s="2" t="str">
        <x:v>available</x:v>
      </x:c>
      <x:c r="K1727" s="2" t="n">
        <x:v>1</x:v>
      </x:c>
      <x:c r="L1727" s="13" t="b">
        <x:v>0</x:v>
      </x:c>
      <x:c r="M1727" s="13" t="b">
        <x:v>1</x:v>
      </x:c>
      <x:c r="N1727" s="2" t="str">
        <x:v>historical_GHSL_BU_estimate</x:v>
      </x:c>
      <x:c r="O1727" s="2" t="str"/>
      <x:c r="P1727" s="2" t="str">
        <x:v>horizontal built-up surface</x:v>
      </x:c>
      <x:c r="Q1727" s="2" t="str">
        <x:v>m2</x:v>
      </x:c>
      <x:c r="R1727" s="17" t="n">
        <x:v>562101220.9652554</x:v>
      </x:c>
      <x:c r="S1727" s="17" t="n">
        <x:v>336793873.45</x:v>
      </x:c>
      <x:c r="T1727" s="18" t="n">
        <x:v>1.0000000000000016</x:v>
      </x:c>
      <x:c r="U1727" s="17" t="n">
        <x:v>336793873.4500005</x:v>
      </x:c>
      <x:c r="V1727" s="2" t="str">
        <x:v>Area equivalent = model2020 * WUP surface / TEMPO2020 footprint; km2 multiplied by1e6 once</x:v>
      </x:c>
      <x:c r="W1727" s="2" t="str">
        <x:v>L1_numeric_partition_qualified_not_national_completeness</x:v>
      </x:c>
      <x:c r="X1727" s="2" t="str">
        <x:v>https://human-settlement.emergency.copernicus.eu/datasets.php</x:v>
      </x:c>
    </x:row>
    <x:row r="1728" ht="23" customHeight="1">
      <x:c r="A1728" s="2" t="str">
        <x:v>PSE</x:v>
      </x:c>
      <x:c r="B1728" s="2" t="str">
        <x:v>State of Palestine</x:v>
      </x:c>
      <x:c r="C1728" s="2" t="n">
        <x:v>2020</x:v>
      </x:c>
      <x:c r="D1728" s="2" t="str">
        <x:v>WUP_SURFACE</x:v>
      </x:c>
      <x:c r="E1728" s="17" t="n">
        <x:v>239938472.63190365</x:v>
      </x:c>
      <x:c r="F1728" s="17" t="str">
        <x:f>IF(AND(M1728,ISNUMBER(R1728)),IF(D1728="TEMPO_PROXY",R1728,IF(AND(ISNUMBER(S1728),S1728&gt;0,ISNUMBER(U1728)),U1728*R1728/S1728,"n.a.")),"n.a.")</x:f>
        <x:v>n.a.</x:v>
      </x:c>
      <x:c r="G1728" s="17" t="str">
        <x:f>IF(AND(ISNUMBER(E1728),ISNUMBER(F1728)),E1728-F1728,"n.a.")</x:f>
        <x:v>n.a.</x:v>
      </x:c>
      <x:c r="H1728" s="15" t="str">
        <x:f>IF(AND(ISNUMBER(E1728),ISNUMBER(F1728),F1728&gt;0),(E1728-F1728)/F1728,"n.a.")</x:f>
        <x:v>n.a.</x:v>
      </x:c>
      <x:c r="I1728" s="19" t="str">
        <x:f>IF(ISNUMBER(H1728),ABS(H1728),"n.a.")</x:f>
        <x:v>n.a.</x:v>
      </x:c>
      <x:c r="J1728" s="2" t="str">
        <x:v>no_qualified_TEMPO2020_conversion_base</x:v>
      </x:c>
      <x:c r="K1728" s="2" t="n">
        <x:v>0</x:v>
      </x:c>
      <x:c r="L1728" s="13" t="b">
        <x:v>0</x:v>
      </x:c>
      <x:c r="M1728" s="13" t="b">
        <x:v>1</x:v>
      </x:c>
      <x:c r="N1728" s="2" t="str">
        <x:v>historical_GHSL_BU_estimate</x:v>
      </x:c>
      <x:c r="O1728" s="2" t="str"/>
      <x:c r="P1728" s="2" t="str">
        <x:v>horizontal built-up surface</x:v>
      </x:c>
      <x:c r="Q1728" s="2" t="str">
        <x:v>m2</x:v>
      </x:c>
      <x:c r="R1728" s="17" t="n">
        <x:v>223132983.0147804</x:v>
      </x:c>
      <x:c r="S1728" s="17"/>
      <x:c r="T1728" s="18"/>
      <x:c r="U1728" s="17" t="n">
        <x:v>239938472.63190365</x:v>
      </x:c>
      <x:c r="V1728" s="2" t="str">
        <x:v>Area equivalent = model2020 * WUP surface / TEMPO2020 footprint; km2 multiplied by1e6 once</x:v>
      </x:c>
      <x:c r="W1728" s="2" t="str">
        <x:v>L1_numeric_partition_qualified_not_national_completeness</x:v>
      </x:c>
      <x:c r="X1728" s="2" t="str">
        <x:v>https://human-settlement.emergency.copernicus.eu/datasets.php</x:v>
      </x:c>
    </x:row>
    <x:row r="1729" ht="23" customHeight="1">
      <x:c r="A1729" s="2" t="str">
        <x:v>QAT</x:v>
      </x:c>
      <x:c r="B1729" s="2" t="str">
        <x:v>Qatar (State of)</x:v>
      </x:c>
      <x:c r="C1729" s="2" t="n">
        <x:v>2020</x:v>
      </x:c>
      <x:c r="D1729" s="2" t="str">
        <x:v>WUP_SURFACE</x:v>
      </x:c>
      <x:c r="E1729" s="17" t="n">
        <x:v>137316242.80000022</x:v>
      </x:c>
      <x:c r="F1729" s="17" t="n">
        <x:f>IF(AND(M1729,ISNUMBER(R1729)),IF(D1729="TEMPO_PROXY",R1729,IF(AND(ISNUMBER(S1729),S1729&gt;0,ISNUMBER(U1729)),U1729*R1729/S1729,"n.a.")),"n.a.")</x:f>
        <x:v>240860904.342319</x:v>
      </x:c>
      <x:c r="G1729" s="17" t="n">
        <x:f>IF(AND(ISNUMBER(E1729),ISNUMBER(F1729)),E1729-F1729,"n.a.")</x:f>
        <x:v>-103544661.54231879</x:v>
      </x:c>
      <x:c r="H1729" s="15" t="n">
        <x:f>IF(AND(ISNUMBER(E1729),ISNUMBER(F1729),F1729&gt;0),(E1729-F1729)/F1729,"n.a.")</x:f>
        <x:v>-0.4298940163205478</x:v>
      </x:c>
      <x:c r="I1729" s="19" t="n">
        <x:f>IF(ISNUMBER(H1729),ABS(H1729),"n.a.")</x:f>
        <x:v>0.4298940163205478</x:v>
      </x:c>
      <x:c r="J1729" s="2" t="str">
        <x:v>available</x:v>
      </x:c>
      <x:c r="K1729" s="2" t="n">
        <x:v>1</x:v>
      </x:c>
      <x:c r="L1729" s="13" t="b">
        <x:v>0</x:v>
      </x:c>
      <x:c r="M1729" s="13" t="b">
        <x:v>1</x:v>
      </x:c>
      <x:c r="N1729" s="2" t="str">
        <x:v>historical_GHSL_BU_estimate</x:v>
      </x:c>
      <x:c r="O1729" s="2" t="str"/>
      <x:c r="P1729" s="2" t="str">
        <x:v>horizontal built-up surface</x:v>
      </x:c>
      <x:c r="Q1729" s="2" t="str">
        <x:v>m2</x:v>
      </x:c>
      <x:c r="R1729" s="17" t="n">
        <x:v>216448403.827633</x:v>
      </x:c>
      <x:c r="S1729" s="17" t="n">
        <x:v>123398530.18</x:v>
      </x:c>
      <x:c r="T1729" s="18" t="n">
        <x:v>1.1127866968893276</x:v>
      </x:c>
      <x:c r="U1729" s="17" t="n">
        <x:v>137316242.80000022</x:v>
      </x:c>
      <x:c r="V1729" s="2" t="str">
        <x:v>Area equivalent = model2020 * WUP surface / TEMPO2020 footprint; km2 multiplied by1e6 once</x:v>
      </x:c>
      <x:c r="W1729" s="2" t="str">
        <x:v>L1_numeric_partition_qualified_not_national_completeness</x:v>
      </x:c>
      <x:c r="X1729" s="2" t="str">
        <x:v>https://human-settlement.emergency.copernicus.eu/datasets.php</x:v>
      </x:c>
    </x:row>
    <x:row r="1730" ht="23" customHeight="1">
      <x:c r="A1730" s="2" t="str">
        <x:v>ROU</x:v>
      </x:c>
      <x:c r="B1730" s="2" t="str">
        <x:v>Romania</x:v>
      </x:c>
      <x:c r="C1730" s="2" t="n">
        <x:v>2020</x:v>
      </x:c>
      <x:c r="D1730" s="2" t="str">
        <x:v>WUP_SURFACE</x:v>
      </x:c>
      <x:c r="E1730" s="17" t="n">
        <x:v>1451492077.9900024</x:v>
      </x:c>
      <x:c r="F1730" s="17" t="n">
        <x:f>IF(AND(M1730,ISNUMBER(R1730)),IF(D1730="TEMPO_PROXY",R1730,IF(AND(ISNUMBER(S1730),S1730&gt;0,ISNUMBER(U1730)),U1730*R1730/S1730,"n.a.")),"n.a.")</x:f>
        <x:v>2285419520.799505</x:v>
      </x:c>
      <x:c r="G1730" s="17" t="n">
        <x:f>IF(AND(ISNUMBER(E1730),ISNUMBER(F1730)),E1730-F1730,"n.a.")</x:f>
        <x:v>-833927442.8095028</x:v>
      </x:c>
      <x:c r="H1730" s="15" t="n">
        <x:f>IF(AND(ISNUMBER(E1730),ISNUMBER(F1730),F1730&gt;0),(E1730-F1730)/F1730,"n.a.")</x:f>
        <x:v>-0.36489031235620634</x:v>
      </x:c>
      <x:c r="I1730" s="19" t="n">
        <x:f>IF(ISNUMBER(H1730),ABS(H1730),"n.a.")</x:f>
        <x:v>0.36489031235620634</x:v>
      </x:c>
      <x:c r="J1730" s="2" t="str">
        <x:v>available</x:v>
      </x:c>
      <x:c r="K1730" s="2" t="n">
        <x:v>1</x:v>
      </x:c>
      <x:c r="L1730" s="13" t="b">
        <x:v>0</x:v>
      </x:c>
      <x:c r="M1730" s="13" t="b">
        <x:v>1</x:v>
      </x:c>
      <x:c r="N1730" s="2" t="str">
        <x:v>historical_GHSL_BU_estimate</x:v>
      </x:c>
      <x:c r="O1730" s="2" t="str"/>
      <x:c r="P1730" s="2" t="str">
        <x:v>horizontal built-up surface</x:v>
      </x:c>
      <x:c r="Q1730" s="2" t="str">
        <x:v>m2</x:v>
      </x:c>
      <x:c r="R1730" s="17" t="n">
        <x:v>2285419520.7995014</x:v>
      </x:c>
      <x:c r="S1730" s="17" t="n">
        <x:v>1451492077.99</x:v>
      </x:c>
      <x:c r="T1730" s="18" t="n">
        <x:v>1.0000000000000016</x:v>
      </x:c>
      <x:c r="U1730" s="17" t="n">
        <x:v>1451492077.9900024</x:v>
      </x:c>
      <x:c r="V1730" s="2" t="str">
        <x:v>Area equivalent = model2020 * WUP surface / TEMPO2020 footprint; km2 multiplied by1e6 once</x:v>
      </x:c>
      <x:c r="W1730" s="2" t="str">
        <x:v>L1_numeric_partition_qualified_not_national_completeness</x:v>
      </x:c>
      <x:c r="X1730" s="2" t="str">
        <x:v>https://human-settlement.emergency.copernicus.eu/datasets.php</x:v>
      </x:c>
    </x:row>
    <x:row r="1731" ht="23" customHeight="1">
      <x:c r="A1731" s="2" t="str">
        <x:v>RUS</x:v>
      </x:c>
      <x:c r="B1731" s="2" t="str">
        <x:v>Russian Federation</x:v>
      </x:c>
      <x:c r="C1731" s="2" t="n">
        <x:v>2020</x:v>
      </x:c>
      <x:c r="D1731" s="2" t="str">
        <x:v>WUP_SURFACE</x:v>
      </x:c>
      <x:c r="E1731" s="17" t="n">
        <x:v>7767687345.91001</x:v>
      </x:c>
      <x:c r="F1731" s="17" t="n">
        <x:f>IF(AND(M1731,ISNUMBER(R1731)),IF(D1731="TEMPO_PROXY",R1731,IF(AND(ISNUMBER(S1731),S1731&gt;0,ISNUMBER(U1731)),U1731*R1731/S1731,"n.a.")),"n.a.")</x:f>
        <x:v>12660571473.800158</x:v>
      </x:c>
      <x:c r="G1731" s="17" t="n">
        <x:f>IF(AND(ISNUMBER(E1731),ISNUMBER(F1731)),E1731-F1731,"n.a.")</x:f>
        <x:v>-4892884127.890147</x:v>
      </x:c>
      <x:c r="H1731" s="15" t="n">
        <x:f>IF(AND(ISNUMBER(E1731),ISNUMBER(F1731),F1731&gt;0),(E1731-F1731)/F1731,"n.a.")</x:f>
        <x:v>-0.38646629324872916</x:v>
      </x:c>
      <x:c r="I1731" s="19" t="n">
        <x:f>IF(ISNUMBER(H1731),ABS(H1731),"n.a.")</x:f>
        <x:v>0.38646629324872916</x:v>
      </x:c>
      <x:c r="J1731" s="2" t="str">
        <x:v>available</x:v>
      </x:c>
      <x:c r="K1731" s="2" t="n">
        <x:v>1</x:v>
      </x:c>
      <x:c r="L1731" s="13" t="b">
        <x:v>0</x:v>
      </x:c>
      <x:c r="M1731" s="13" t="b">
        <x:v>1</x:v>
      </x:c>
      <x:c r="N1731" s="2" t="str">
        <x:v>historical_GHSL_BU_estimate</x:v>
      </x:c>
      <x:c r="O1731" s="2" t="str"/>
      <x:c r="P1731" s="2" t="str">
        <x:v>horizontal built-up surface</x:v>
      </x:c>
      <x:c r="Q1731" s="2" t="str">
        <x:v>m2</x:v>
      </x:c>
      <x:c r="R1731" s="17" t="n">
        <x:v>12620142866.166924</x:v>
      </x:c>
      <x:c r="S1731" s="17" t="n">
        <x:v>7742883032.41</x:v>
      </x:c>
      <x:c r="T1731" s="18" t="n">
        <x:v>1.0032034984121787</x:v>
      </x:c>
      <x:c r="U1731" s="17" t="n">
        <x:v>7767687345.91001</x:v>
      </x:c>
      <x:c r="V1731" s="2" t="str">
        <x:v>Area equivalent = model2020 * WUP surface / TEMPO2020 footprint; km2 multiplied by1e6 once</x:v>
      </x:c>
      <x:c r="W1731" s="2" t="str">
        <x:v>L1_numeric_partition_qualified_not_national_completeness</x:v>
      </x:c>
      <x:c r="X1731" s="2" t="str">
        <x:v>https://human-settlement.emergency.copernicus.eu/datasets.php</x:v>
      </x:c>
    </x:row>
    <x:row r="1732" ht="23" customHeight="1">
      <x:c r="A1732" s="2" t="str">
        <x:v>RWA</x:v>
      </x:c>
      <x:c r="B1732" s="2" t="str">
        <x:v>Rwanda (Republic of)</x:v>
      </x:c>
      <x:c r="C1732" s="2" t="n">
        <x:v>2020</x:v>
      </x:c>
      <x:c r="D1732" s="2" t="str">
        <x:v>WUP_SURFACE</x:v>
      </x:c>
      <x:c r="E1732" s="17" t="n">
        <x:v>244877324.63000005</x:v>
      </x:c>
      <x:c r="F1732" s="17" t="n">
        <x:f>IF(AND(M1732,ISNUMBER(R1732)),IF(D1732="TEMPO_PROXY",R1732,IF(AND(ISNUMBER(S1732),S1732&gt;0,ISNUMBER(U1732)),U1732*R1732/S1732,"n.a.")),"n.a.")</x:f>
        <x:v>676222861.7570443</x:v>
      </x:c>
      <x:c r="G1732" s="17" t="n">
        <x:f>IF(AND(ISNUMBER(E1732),ISNUMBER(F1732)),E1732-F1732,"n.a.")</x:f>
        <x:v>-431345537.12704426</x:v>
      </x:c>
      <x:c r="H1732" s="15" t="n">
        <x:f>IF(AND(ISNUMBER(E1732),ISNUMBER(F1732),F1732&gt;0),(E1732-F1732)/F1732,"n.a.")</x:f>
        <x:v>-0.637874821336667</x:v>
      </x:c>
      <x:c r="I1732" s="19" t="n">
        <x:f>IF(ISNUMBER(H1732),ABS(H1732),"n.a.")</x:f>
        <x:v>0.637874821336667</x:v>
      </x:c>
      <x:c r="J1732" s="2" t="str">
        <x:v>available</x:v>
      </x:c>
      <x:c r="K1732" s="2" t="n">
        <x:v>1</x:v>
      </x:c>
      <x:c r="L1732" s="13" t="b">
        <x:v>0</x:v>
      </x:c>
      <x:c r="M1732" s="13" t="b">
        <x:v>1</x:v>
      </x:c>
      <x:c r="N1732" s="2" t="str">
        <x:v>historical_GHSL_BU_estimate</x:v>
      </x:c>
      <x:c r="O1732" s="2" t="str"/>
      <x:c r="P1732" s="2" t="str">
        <x:v>horizontal built-up surface</x:v>
      </x:c>
      <x:c r="Q1732" s="2" t="str">
        <x:v>m2</x:v>
      </x:c>
      <x:c r="R1732" s="17" t="n">
        <x:v>676222861.7570442</x:v>
      </x:c>
      <x:c r="S1732" s="17" t="n">
        <x:v>244877324.63</x:v>
      </x:c>
      <x:c r="T1732" s="18" t="n">
        <x:v>1.0000000000000002</x:v>
      </x:c>
      <x:c r="U1732" s="17" t="n">
        <x:v>244877324.63000005</x:v>
      </x:c>
      <x:c r="V1732" s="2" t="str">
        <x:v>Area equivalent = model2020 * WUP surface / TEMPO2020 footprint; km2 multiplied by1e6 once</x:v>
      </x:c>
      <x:c r="W1732" s="2" t="str">
        <x:v>L1_numeric_partition_qualified_not_national_completeness</x:v>
      </x:c>
      <x:c r="X1732" s="2" t="str">
        <x:v>https://human-settlement.emergency.copernicus.eu/datasets.php</x:v>
      </x:c>
    </x:row>
    <x:row r="1733" ht="23" customHeight="1">
      <x:c r="A1733" s="2" t="str">
        <x:v>SAU</x:v>
      </x:c>
      <x:c r="B1733" s="2" t="str">
        <x:v>Saudi Arabia (Kingdom of)</x:v>
      </x:c>
      <x:c r="C1733" s="2" t="n">
        <x:v>2020</x:v>
      </x:c>
      <x:c r="D1733" s="2" t="str">
        <x:v>WUP_SURFACE</x:v>
      </x:c>
      <x:c r="E1733" s="17" t="n">
        <x:v>1911722272.930002</x:v>
      </x:c>
      <x:c r="F1733" s="17" t="n">
        <x:f>IF(AND(M1733,ISNUMBER(R1733)),IF(D1733="TEMPO_PROXY",R1733,IF(AND(ISNUMBER(S1733),S1733&gt;0,ISNUMBER(U1733)),U1733*R1733/S1733,"n.a.")),"n.a.")</x:f>
        <x:v>2878048250.3514795</x:v>
      </x:c>
      <x:c r="G1733" s="17" t="n">
        <x:f>IF(AND(ISNUMBER(E1733),ISNUMBER(F1733)),E1733-F1733,"n.a.")</x:f>
        <x:v>-966325977.4214776</x:v>
      </x:c>
      <x:c r="H1733" s="15" t="n">
        <x:f>IF(AND(ISNUMBER(E1733),ISNUMBER(F1733),F1733&gt;0),(E1733-F1733)/F1733,"n.a.")</x:f>
        <x:v>-0.33575739298445245</x:v>
      </x:c>
      <x:c r="I1733" s="19" t="n">
        <x:f>IF(ISNUMBER(H1733),ABS(H1733),"n.a.")</x:f>
        <x:v>0.33575739298445245</x:v>
      </x:c>
      <x:c r="J1733" s="2" t="str">
        <x:v>available</x:v>
      </x:c>
      <x:c r="K1733" s="2" t="n">
        <x:v>1</x:v>
      </x:c>
      <x:c r="L1733" s="13" t="b">
        <x:v>0</x:v>
      </x:c>
      <x:c r="M1733" s="13" t="b">
        <x:v>1</x:v>
      </x:c>
      <x:c r="N1733" s="2" t="str">
        <x:v>historical_GHSL_BU_estimate</x:v>
      </x:c>
      <x:c r="O1733" s="2" t="str"/>
      <x:c r="P1733" s="2" t="str">
        <x:v>horizontal built-up surface</x:v>
      </x:c>
      <x:c r="Q1733" s="2" t="str">
        <x:v>m2</x:v>
      </x:c>
      <x:c r="R1733" s="17" t="n">
        <x:v>2801471153.0187106</x:v>
      </x:c>
      <x:c r="S1733" s="17" t="n">
        <x:v>1860856502.16</x:v>
      </x:c>
      <x:c r="T1733" s="18" t="n">
        <x:v>1.02733460141121</x:v>
      </x:c>
      <x:c r="U1733" s="17" t="n">
        <x:v>1911722272.930002</x:v>
      </x:c>
      <x:c r="V1733" s="2" t="str">
        <x:v>Area equivalent = model2020 * WUP surface / TEMPO2020 footprint; km2 multiplied by1e6 once</x:v>
      </x:c>
      <x:c r="W1733" s="2" t="str">
        <x:v>L1_numeric_partition_qualified_not_national_completeness</x:v>
      </x:c>
      <x:c r="X1733" s="2" t="str">
        <x:v>https://human-settlement.emergency.copernicus.eu/datasets.php</x:v>
      </x:c>
    </x:row>
    <x:row r="1734" ht="23" customHeight="1">
      <x:c r="A1734" s="2" t="str">
        <x:v>SDN</x:v>
      </x:c>
      <x:c r="B1734" s="2" t="str">
        <x:v>Sudan (Republic of the)</x:v>
      </x:c>
      <x:c r="C1734" s="2" t="n">
        <x:v>2020</x:v>
      </x:c>
      <x:c r="D1734" s="2" t="str">
        <x:v>WUP_SURFACE</x:v>
      </x:c>
      <x:c r="E1734" s="17" t="n">
        <x:v>751311239.6000005</x:v>
      </x:c>
      <x:c r="F1734" s="17" t="n">
        <x:f>IF(AND(M1734,ISNUMBER(R1734)),IF(D1734="TEMPO_PROXY",R1734,IF(AND(ISNUMBER(S1734),S1734&gt;0,ISNUMBER(U1734)),U1734*R1734/S1734,"n.a.")),"n.a.")</x:f>
        <x:v>1634560565.2687306</x:v>
      </x:c>
      <x:c r="G1734" s="17" t="n">
        <x:f>IF(AND(ISNUMBER(E1734),ISNUMBER(F1734)),E1734-F1734,"n.a.")</x:f>
        <x:v>-883249325.6687301</x:v>
      </x:c>
      <x:c r="H1734" s="15" t="n">
        <x:f>IF(AND(ISNUMBER(E1734),ISNUMBER(F1734),F1734&gt;0),(E1734-F1734)/F1734,"n.a.")</x:f>
        <x:v>-0.5403588857067032</x:v>
      </x:c>
      <x:c r="I1734" s="19" t="n">
        <x:f>IF(ISNUMBER(H1734),ABS(H1734),"n.a.")</x:f>
        <x:v>0.5403588857067032</x:v>
      </x:c>
      <x:c r="J1734" s="2" t="str">
        <x:v>available</x:v>
      </x:c>
      <x:c r="K1734" s="2" t="n">
        <x:v>1</x:v>
      </x:c>
      <x:c r="L1734" s="13" t="b">
        <x:v>0</x:v>
      </x:c>
      <x:c r="M1734" s="13" t="b">
        <x:v>1</x:v>
      </x:c>
      <x:c r="N1734" s="2" t="str">
        <x:v>historical_GHSL_BU_estimate</x:v>
      </x:c>
      <x:c r="O1734" s="2" t="str"/>
      <x:c r="P1734" s="2" t="str">
        <x:v>horizontal built-up surface</x:v>
      </x:c>
      <x:c r="Q1734" s="2" t="str">
        <x:v>m2</x:v>
      </x:c>
      <x:c r="R1734" s="17" t="n">
        <x:v>1634560565.2687297</x:v>
      </x:c>
      <x:c r="S1734" s="17" t="n">
        <x:v>751311239.6</x:v>
      </x:c>
      <x:c r="T1734" s="18" t="n">
        <x:v>1.0000000000000007</x:v>
      </x:c>
      <x:c r="U1734" s="17" t="n">
        <x:v>751311239.6000005</x:v>
      </x:c>
      <x:c r="V1734" s="2" t="str">
        <x:v>Area equivalent = model2020 * WUP surface / TEMPO2020 footprint; km2 multiplied by1e6 once</x:v>
      </x:c>
      <x:c r="W1734" s="2" t="str">
        <x:v>L1_numeric_partition_qualified_not_national_completeness</x:v>
      </x:c>
      <x:c r="X1734" s="2" t="str">
        <x:v>https://human-settlement.emergency.copernicus.eu/datasets.php</x:v>
      </x:c>
    </x:row>
    <x:row r="1735" ht="23" customHeight="1">
      <x:c r="A1735" s="2" t="str">
        <x:v>SEN</x:v>
      </x:c>
      <x:c r="B1735" s="2" t="str">
        <x:v>Senegal (Republic of)</x:v>
      </x:c>
      <x:c r="C1735" s="2" t="n">
        <x:v>2020</x:v>
      </x:c>
      <x:c r="D1735" s="2" t="str">
        <x:v>WUP_SURFACE</x:v>
      </x:c>
      <x:c r="E1735" s="17" t="n">
        <x:v>305052833.6899998</x:v>
      </x:c>
      <x:c r="F1735" s="17" t="n">
        <x:f>IF(AND(M1735,ISNUMBER(R1735)),IF(D1735="TEMPO_PROXY",R1735,IF(AND(ISNUMBER(S1735),S1735&gt;0,ISNUMBER(U1735)),U1735*R1735/S1735,"n.a.")),"n.a.")</x:f>
        <x:v>702358485.1448154</x:v>
      </x:c>
      <x:c r="G1735" s="17" t="n">
        <x:f>IF(AND(ISNUMBER(E1735),ISNUMBER(F1735)),E1735-F1735,"n.a.")</x:f>
        <x:v>-397305651.4548156</x:v>
      </x:c>
      <x:c r="H1735" s="15" t="n">
        <x:f>IF(AND(ISNUMBER(E1735),ISNUMBER(F1735),F1735&gt;0),(E1735-F1735)/F1735,"n.a.")</x:f>
        <x:v>-0.5656735981097991</x:v>
      </x:c>
      <x:c r="I1735" s="19" t="n">
        <x:f>IF(ISNUMBER(H1735),ABS(H1735),"n.a.")</x:f>
        <x:v>0.5656735981097991</x:v>
      </x:c>
      <x:c r="J1735" s="2" t="str">
        <x:v>available</x:v>
      </x:c>
      <x:c r="K1735" s="2" t="n">
        <x:v>1</x:v>
      </x:c>
      <x:c r="L1735" s="13" t="b">
        <x:v>0</x:v>
      </x:c>
      <x:c r="M1735" s="13" t="b">
        <x:v>1</x:v>
      </x:c>
      <x:c r="N1735" s="2" t="str">
        <x:v>historical_GHSL_BU_estimate</x:v>
      </x:c>
      <x:c r="O1735" s="2" t="str"/>
      <x:c r="P1735" s="2" t="str">
        <x:v>horizontal built-up surface</x:v>
      </x:c>
      <x:c r="Q1735" s="2" t="str">
        <x:v>m2</x:v>
      </x:c>
      <x:c r="R1735" s="17" t="n">
        <x:v>702358485.1448159</x:v>
      </x:c>
      <x:c r="S1735" s="17" t="n">
        <x:v>305052833.69</x:v>
      </x:c>
      <x:c r="T1735" s="18" t="n">
        <x:v>0.9999999999999994</x:v>
      </x:c>
      <x:c r="U1735" s="17" t="n">
        <x:v>305052833.6899998</x:v>
      </x:c>
      <x:c r="V1735" s="2" t="str">
        <x:v>Area equivalent = model2020 * WUP surface / TEMPO2020 footprint; km2 multiplied by1e6 once</x:v>
      </x:c>
      <x:c r="W1735" s="2" t="str">
        <x:v>L1_numeric_partition_qualified_not_national_completeness</x:v>
      </x:c>
      <x:c r="X1735" s="2" t="str">
        <x:v>https://human-settlement.emergency.copernicus.eu/datasets.php</x:v>
      </x:c>
    </x:row>
    <x:row r="1736" ht="23" customHeight="1">
      <x:c r="A1736" s="2" t="str">
        <x:v>SGP</x:v>
      </x:c>
      <x:c r="B1736" s="2" t="str">
        <x:v>Singapore (Republic of)</x:v>
      </x:c>
      <x:c r="C1736" s="2" t="n">
        <x:v>2020</x:v>
      </x:c>
      <x:c r="D1736" s="2" t="str">
        <x:v>WUP_SURFACE</x:v>
      </x:c>
      <x:c r="E1736" s="17" t="n">
        <x:v>194662203.04</x:v>
      </x:c>
      <x:c r="F1736" s="17" t="n">
        <x:f>IF(AND(M1736,ISNUMBER(R1736)),IF(D1736="TEMPO_PROXY",R1736,IF(AND(ISNUMBER(S1736),S1736&gt;0,ISNUMBER(U1736)),U1736*R1736/S1736,"n.a.")),"n.a.")</x:f>
        <x:v>255170936.0667302</x:v>
      </x:c>
      <x:c r="G1736" s="17" t="n">
        <x:f>IF(AND(ISNUMBER(E1736),ISNUMBER(F1736)),E1736-F1736,"n.a.")</x:f>
        <x:v>-60508733.02673021</x:v>
      </x:c>
      <x:c r="H1736" s="15" t="n">
        <x:f>IF(AND(ISNUMBER(E1736),ISNUMBER(F1736),F1736&gt;0),(E1736-F1736)/F1736,"n.a.")</x:f>
        <x:v>-0.23713019186051215</x:v>
      </x:c>
      <x:c r="I1736" s="19" t="n">
        <x:f>IF(ISNUMBER(H1736),ABS(H1736),"n.a.")</x:f>
        <x:v>0.23713019186051215</x:v>
      </x:c>
      <x:c r="J1736" s="2" t="str">
        <x:v>available</x:v>
      </x:c>
      <x:c r="K1736" s="2" t="n">
        <x:v>1</x:v>
      </x:c>
      <x:c r="L1736" s="13" t="b">
        <x:v>0</x:v>
      </x:c>
      <x:c r="M1736" s="13" t="b">
        <x:v>1</x:v>
      </x:c>
      <x:c r="N1736" s="2" t="str">
        <x:v>historical_GHSL_BU_estimate</x:v>
      </x:c>
      <x:c r="O1736" s="2" t="str"/>
      <x:c r="P1736" s="2" t="str">
        <x:v>horizontal built-up surface</x:v>
      </x:c>
      <x:c r="Q1736" s="2" t="str">
        <x:v>m2</x:v>
      </x:c>
      <x:c r="R1736" s="17" t="n">
        <x:v>112572526.7715635</x:v>
      </x:c>
      <x:c r="S1736" s="17" t="n">
        <x:v>85878181.9</x:v>
      </x:c>
      <x:c r="T1736" s="18" t="n">
        <x:v>2.266724780767628</x:v>
      </x:c>
      <x:c r="U1736" s="17" t="n">
        <x:v>194662203.04</x:v>
      </x:c>
      <x:c r="V1736" s="2" t="str">
        <x:v>Area equivalent = model2020 * WUP surface / TEMPO2020 footprint; km2 multiplied by1e6 once</x:v>
      </x:c>
      <x:c r="W1736" s="2" t="str">
        <x:v>L1_numeric_partition_qualified_not_national_completeness</x:v>
      </x:c>
      <x:c r="X1736" s="2" t="str">
        <x:v>https://human-settlement.emergency.copernicus.eu/datasets.php</x:v>
      </x:c>
    </x:row>
    <x:row r="1737" ht="23" customHeight="1">
      <x:c r="A1737" s="2" t="str">
        <x:v>SLB</x:v>
      </x:c>
      <x:c r="B1737" s="2" t="str">
        <x:v>Solomon Islands</x:v>
      </x:c>
      <x:c r="C1737" s="2" t="n">
        <x:v>2020</x:v>
      </x:c>
      <x:c r="D1737" s="2" t="str">
        <x:v>WUP_SURFACE</x:v>
      </x:c>
      <x:c r="E1737" s="17" t="n">
        <x:v>14438629.189999975</x:v>
      </x:c>
      <x:c r="F1737" s="17" t="n">
        <x:f>IF(AND(M1737,ISNUMBER(R1737)),IF(D1737="TEMPO_PROXY",R1737,IF(AND(ISNUMBER(S1737),S1737&gt;0,ISNUMBER(U1737)),U1737*R1737/S1737,"n.a.")),"n.a.")</x:f>
        <x:v>26522994.034811478</x:v>
      </x:c>
      <x:c r="G1737" s="17" t="n">
        <x:f>IF(AND(ISNUMBER(E1737),ISNUMBER(F1737)),E1737-F1737,"n.a.")</x:f>
        <x:v>-12084364.844811503</x:v>
      </x:c>
      <x:c r="H1737" s="15" t="n">
        <x:f>IF(AND(ISNUMBER(E1737),ISNUMBER(F1737),F1737&gt;0),(E1737-F1737)/F1737,"n.a.")</x:f>
        <x:v>-0.455618427880003</x:v>
      </x:c>
      <x:c r="I1737" s="19" t="n">
        <x:f>IF(ISNUMBER(H1737),ABS(H1737),"n.a.")</x:f>
        <x:v>0.455618427880003</x:v>
      </x:c>
      <x:c r="J1737" s="2" t="str">
        <x:v>available</x:v>
      </x:c>
      <x:c r="K1737" s="2" t="n">
        <x:v>1</x:v>
      </x:c>
      <x:c r="L1737" s="13" t="b">
        <x:v>0</x:v>
      </x:c>
      <x:c r="M1737" s="13" t="b">
        <x:v>1</x:v>
      </x:c>
      <x:c r="N1737" s="2" t="str">
        <x:v>historical_GHSL_BU_estimate</x:v>
      </x:c>
      <x:c r="O1737" s="2" t="str"/>
      <x:c r="P1737" s="2" t="str">
        <x:v>horizontal built-up surface</x:v>
      </x:c>
      <x:c r="Q1737" s="2" t="str">
        <x:v>m2</x:v>
      </x:c>
      <x:c r="R1737" s="17" t="n">
        <x:v>26522994.034811523</x:v>
      </x:c>
      <x:c r="S1737" s="17" t="n">
        <x:v>14438629.19</x:v>
      </x:c>
      <x:c r="T1737" s="18" t="n">
        <x:v>0.9999999999999983</x:v>
      </x:c>
      <x:c r="U1737" s="17" t="n">
        <x:v>14438629.189999975</x:v>
      </x:c>
      <x:c r="V1737" s="2" t="str">
        <x:v>Area equivalent = model2020 * WUP surface / TEMPO2020 footprint; km2 multiplied by1e6 once</x:v>
      </x:c>
      <x:c r="W1737" s="2" t="str">
        <x:v>L1_numeric_partition_qualified_not_national_completeness</x:v>
      </x:c>
      <x:c r="X1737" s="2" t="str">
        <x:v>https://human-settlement.emergency.copernicus.eu/datasets.php</x:v>
      </x:c>
    </x:row>
    <x:row r="1738" ht="23" customHeight="1">
      <x:c r="A1738" s="2" t="str">
        <x:v>SLE</x:v>
      </x:c>
      <x:c r="B1738" s="2" t="str">
        <x:v>Sierra Leone (Republic of)</x:v>
      </x:c>
      <x:c r="C1738" s="2" t="n">
        <x:v>2020</x:v>
      </x:c>
      <x:c r="D1738" s="2" t="str">
        <x:v>WUP_SURFACE</x:v>
      </x:c>
      <x:c r="E1738" s="17" t="n">
        <x:v>115259924.94999996</x:v>
      </x:c>
      <x:c r="F1738" s="17" t="n">
        <x:f>IF(AND(M1738,ISNUMBER(R1738)),IF(D1738="TEMPO_PROXY",R1738,IF(AND(ISNUMBER(S1738),S1738&gt;0,ISNUMBER(U1738)),U1738*R1738/S1738,"n.a.")),"n.a.")</x:f>
        <x:v>224041914.1912633</x:v>
      </x:c>
      <x:c r="G1738" s="17" t="n">
        <x:f>IF(AND(ISNUMBER(E1738),ISNUMBER(F1738)),E1738-F1738,"n.a.")</x:f>
        <x:v>-108781989.24126333</x:v>
      </x:c>
      <x:c r="H1738" s="15" t="n">
        <x:f>IF(AND(ISNUMBER(E1738),ISNUMBER(F1738),F1738&gt;0),(E1738-F1738)/F1738,"n.a.")</x:f>
        <x:v>-0.4855430272230078</x:v>
      </x:c>
      <x:c r="I1738" s="19" t="n">
        <x:f>IF(ISNUMBER(H1738),ABS(H1738),"n.a.")</x:f>
        <x:v>0.4855430272230078</x:v>
      </x:c>
      <x:c r="J1738" s="2" t="str">
        <x:v>available</x:v>
      </x:c>
      <x:c r="K1738" s="2" t="n">
        <x:v>1</x:v>
      </x:c>
      <x:c r="L1738" s="13" t="b">
        <x:v>0</x:v>
      </x:c>
      <x:c r="M1738" s="13" t="b">
        <x:v>1</x:v>
      </x:c>
      <x:c r="N1738" s="2" t="str">
        <x:v>historical_GHSL_BU_estimate</x:v>
      </x:c>
      <x:c r="O1738" s="2" t="str"/>
      <x:c r="P1738" s="2" t="str">
        <x:v>horizontal built-up surface</x:v>
      </x:c>
      <x:c r="Q1738" s="2" t="str">
        <x:v>m2</x:v>
      </x:c>
      <x:c r="R1738" s="17" t="n">
        <x:v>224041914.19126338</x:v>
      </x:c>
      <x:c r="S1738" s="17" t="n">
        <x:v>115259924.95</x:v>
      </x:c>
      <x:c r="T1738" s="18" t="n">
        <x:v>0.9999999999999997</x:v>
      </x:c>
      <x:c r="U1738" s="17" t="n">
        <x:v>115259924.94999996</x:v>
      </x:c>
      <x:c r="V1738" s="2" t="str">
        <x:v>Area equivalent = model2020 * WUP surface / TEMPO2020 footprint; km2 multiplied by1e6 once</x:v>
      </x:c>
      <x:c r="W1738" s="2" t="str">
        <x:v>L1_numeric_partition_qualified_not_national_completeness</x:v>
      </x:c>
      <x:c r="X1738" s="2" t="str">
        <x:v>https://human-settlement.emergency.copernicus.eu/datasets.php</x:v>
      </x:c>
    </x:row>
    <x:row r="1739" ht="23" customHeight="1">
      <x:c r="A1739" s="2" t="str">
        <x:v>SLV</x:v>
      </x:c>
      <x:c r="B1739" s="2" t="str">
        <x:v>El Salvador (Republic of)</x:v>
      </x:c>
      <x:c r="C1739" s="2" t="n">
        <x:v>2020</x:v>
      </x:c>
      <x:c r="D1739" s="2" t="str">
        <x:v>WUP_SURFACE</x:v>
      </x:c>
      <x:c r="E1739" s="17" t="n">
        <x:v>245414047.01000017</x:v>
      </x:c>
      <x:c r="F1739" s="17" t="n">
        <x:f>IF(AND(M1739,ISNUMBER(R1739)),IF(D1739="TEMPO_PROXY",R1739,IF(AND(ISNUMBER(S1739),S1739&gt;0,ISNUMBER(U1739)),U1739*R1739/S1739,"n.a.")),"n.a.")</x:f>
        <x:v>341042214.04685897</x:v>
      </x:c>
      <x:c r="G1739" s="17" t="n">
        <x:f>IF(AND(ISNUMBER(E1739),ISNUMBER(F1739)),E1739-F1739,"n.a.")</x:f>
        <x:v>-95628167.0368588</x:v>
      </x:c>
      <x:c r="H1739" s="15" t="n">
        <x:f>IF(AND(ISNUMBER(E1739),ISNUMBER(F1739),F1739&gt;0),(E1739-F1739)/F1739,"n.a.")</x:f>
        <x:v>-0.2803997953863845</x:v>
      </x:c>
      <x:c r="I1739" s="19" t="n">
        <x:f>IF(ISNUMBER(H1739),ABS(H1739),"n.a.")</x:f>
        <x:v>0.2803997953863845</x:v>
      </x:c>
      <x:c r="J1739" s="2" t="str">
        <x:v>available</x:v>
      </x:c>
      <x:c r="K1739" s="2" t="n">
        <x:v>1</x:v>
      </x:c>
      <x:c r="L1739" s="13" t="b">
        <x:v>0</x:v>
      </x:c>
      <x:c r="M1739" s="13" t="b">
        <x:v>1</x:v>
      </x:c>
      <x:c r="N1739" s="2" t="str">
        <x:v>historical_GHSL_BU_estimate</x:v>
      </x:c>
      <x:c r="O1739" s="2" t="str"/>
      <x:c r="P1739" s="2" t="str">
        <x:v>horizontal built-up surface</x:v>
      </x:c>
      <x:c r="Q1739" s="2" t="str">
        <x:v>m2</x:v>
      </x:c>
      <x:c r="R1739" s="17" t="n">
        <x:v>341042214.0468587</x:v>
      </x:c>
      <x:c r="S1739" s="17" t="n">
        <x:v>245414047.01</x:v>
      </x:c>
      <x:c r="T1739" s="18" t="n">
        <x:v>1.0000000000000007</x:v>
      </x:c>
      <x:c r="U1739" s="17" t="n">
        <x:v>245414047.01000017</x:v>
      </x:c>
      <x:c r="V1739" s="2" t="str">
        <x:v>Area equivalent = model2020 * WUP surface / TEMPO2020 footprint; km2 multiplied by1e6 once</x:v>
      </x:c>
      <x:c r="W1739" s="2" t="str">
        <x:v>L1_numeric_partition_qualified_not_national_completeness</x:v>
      </x:c>
      <x:c r="X1739" s="2" t="str">
        <x:v>https://human-settlement.emergency.copernicus.eu/datasets.php</x:v>
      </x:c>
    </x:row>
    <x:row r="1740" ht="23" customHeight="1">
      <x:c r="A1740" s="2" t="str">
        <x:v>SMR</x:v>
      </x:c>
      <x:c r="B1740" s="2" t="str">
        <x:v>San Marino (Republic of)</x:v>
      </x:c>
      <x:c r="C1740" s="2" t="n">
        <x:v>2020</x:v>
      </x:c>
      <x:c r="D1740" s="2" t="str">
        <x:v>WUP_SURFACE</x:v>
      </x:c>
      <x:c r="E1740" s="17" t="n">
        <x:v>3030681.630000002</x:v>
      </x:c>
      <x:c r="F1740" s="17" t="n">
        <x:f>IF(AND(M1740,ISNUMBER(R1740)),IF(D1740="TEMPO_PROXY",R1740,IF(AND(ISNUMBER(S1740),S1740&gt;0,ISNUMBER(U1740)),U1740*R1740/S1740,"n.a.")),"n.a.")</x:f>
        <x:v>5264690.505101764</x:v>
      </x:c>
      <x:c r="G1740" s="17" t="n">
        <x:f>IF(AND(ISNUMBER(E1740),ISNUMBER(F1740)),E1740-F1740,"n.a.")</x:f>
        <x:v>-2234008.8751017614</x:v>
      </x:c>
      <x:c r="H1740" s="15" t="n">
        <x:f>IF(AND(ISNUMBER(E1740),ISNUMBER(F1740),F1740&gt;0),(E1740-F1740)/F1740,"n.a.")</x:f>
        <x:v>-0.4243381207189461</x:v>
      </x:c>
      <x:c r="I1740" s="19" t="n">
        <x:f>IF(ISNUMBER(H1740),ABS(H1740),"n.a.")</x:f>
        <x:v>0.4243381207189461</x:v>
      </x:c>
      <x:c r="J1740" s="2" t="str">
        <x:v>available</x:v>
      </x:c>
      <x:c r="K1740" s="2" t="n">
        <x:v>1</x:v>
      </x:c>
      <x:c r="L1740" s="13" t="b">
        <x:v>0</x:v>
      </x:c>
      <x:c r="M1740" s="13" t="b">
        <x:v>1</x:v>
      </x:c>
      <x:c r="N1740" s="2" t="str">
        <x:v>historical_GHSL_BU_estimate</x:v>
      </x:c>
      <x:c r="O1740" s="2" t="str"/>
      <x:c r="P1740" s="2" t="str">
        <x:v>horizontal built-up surface</x:v>
      </x:c>
      <x:c r="Q1740" s="2" t="str">
        <x:v>m2</x:v>
      </x:c>
      <x:c r="R1740" s="17" t="n">
        <x:v>4682492.999825627</x:v>
      </x:c>
      <x:c r="S1740" s="17" t="n">
        <x:v>2695532.72</x:v>
      </x:c>
      <x:c r="T1740" s="18" t="n">
        <x:v>1.1243349440774</x:v>
      </x:c>
      <x:c r="U1740" s="17" t="n">
        <x:v>3030681.630000002</x:v>
      </x:c>
      <x:c r="V1740" s="2" t="str">
        <x:v>Area equivalent = model2020 * WUP surface / TEMPO2020 footprint; km2 multiplied by1e6 once</x:v>
      </x:c>
      <x:c r="W1740" s="2" t="str">
        <x:v>L1_numeric_partition_qualified_not_national_completeness</x:v>
      </x:c>
      <x:c r="X1740" s="2" t="str">
        <x:v>https://human-settlement.emergency.copernicus.eu/datasets.php</x:v>
      </x:c>
    </x:row>
    <x:row r="1741" ht="23" customHeight="1">
      <x:c r="A1741" s="2" t="str">
        <x:v>SOM</x:v>
      </x:c>
      <x:c r="B1741" s="2" t="str">
        <x:v>Somalia (Federal Republic of)</x:v>
      </x:c>
      <x:c r="C1741" s="2" t="n">
        <x:v>2020</x:v>
      </x:c>
      <x:c r="D1741" s="2" t="str">
        <x:v>WUP_SURFACE</x:v>
      </x:c>
      <x:c r="E1741" s="17" t="n">
        <x:v>134848326.33000013</x:v>
      </x:c>
      <x:c r="F1741" s="17" t="n">
        <x:f>IF(AND(M1741,ISNUMBER(R1741)),IF(D1741="TEMPO_PROXY",R1741,IF(AND(ISNUMBER(S1741),S1741&gt;0,ISNUMBER(U1741)),U1741*R1741/S1741,"n.a.")),"n.a.")</x:f>
        <x:v>235423435.1938331</x:v>
      </x:c>
      <x:c r="G1741" s="17" t="n">
        <x:f>IF(AND(ISNUMBER(E1741),ISNUMBER(F1741)),E1741-F1741,"n.a.")</x:f>
        <x:v>-100575108.86383298</x:v>
      </x:c>
      <x:c r="H1741" s="15" t="n">
        <x:f>IF(AND(ISNUMBER(E1741),ISNUMBER(F1741),F1741&gt;0),(E1741-F1741)/F1741,"n.a.")</x:f>
        <x:v>-0.4272094185569319</x:v>
      </x:c>
      <x:c r="I1741" s="19" t="n">
        <x:f>IF(ISNUMBER(H1741),ABS(H1741),"n.a.")</x:f>
        <x:v>0.4272094185569319</x:v>
      </x:c>
      <x:c r="J1741" s="2" t="str">
        <x:v>available</x:v>
      </x:c>
      <x:c r="K1741" s="2" t="n">
        <x:v>1</x:v>
      </x:c>
      <x:c r="L1741" s="13" t="b">
        <x:v>0</x:v>
      </x:c>
      <x:c r="M1741" s="13" t="b">
        <x:v>1</x:v>
      </x:c>
      <x:c r="N1741" s="2" t="str">
        <x:v>historical_GHSL_BU_estimate</x:v>
      </x:c>
      <x:c r="O1741" s="2" t="str"/>
      <x:c r="P1741" s="2" t="str">
        <x:v>horizontal built-up surface</x:v>
      </x:c>
      <x:c r="Q1741" s="2" t="str">
        <x:v>m2</x:v>
      </x:c>
      <x:c r="R1741" s="17" t="n">
        <x:v>235423435.1938329</x:v>
      </x:c>
      <x:c r="S1741" s="17" t="n">
        <x:v>134848326.33</x:v>
      </x:c>
      <x:c r="T1741" s="18" t="n">
        <x:v>1.0000000000000009</x:v>
      </x:c>
      <x:c r="U1741" s="17" t="n">
        <x:v>134848326.33000013</x:v>
      </x:c>
      <x:c r="V1741" s="2" t="str">
        <x:v>Area equivalent = model2020 * WUP surface / TEMPO2020 footprint; km2 multiplied by1e6 once</x:v>
      </x:c>
      <x:c r="W1741" s="2" t="str">
        <x:v>L1_numeric_partition_qualified_not_national_completeness</x:v>
      </x:c>
      <x:c r="X1741" s="2" t="str">
        <x:v>https://human-settlement.emergency.copernicus.eu/datasets.php</x:v>
      </x:c>
    </x:row>
    <x:row r="1742" ht="23" customHeight="1">
      <x:c r="A1742" s="2" t="str">
        <x:v>SRB</x:v>
      </x:c>
      <x:c r="B1742" s="2" t="str">
        <x:v>Serbia (Republic of)</x:v>
      </x:c>
      <x:c r="C1742" s="2" t="n">
        <x:v>2020</x:v>
      </x:c>
      <x:c r="D1742" s="2" t="str">
        <x:v>WUP_SURFACE</x:v>
      </x:c>
      <x:c r="E1742" s="17" t="n">
        <x:v>584520286.2100008</x:v>
      </x:c>
      <x:c r="F1742" s="17" t="n">
        <x:f>IF(AND(M1742,ISNUMBER(R1742)),IF(D1742="TEMPO_PROXY",R1742,IF(AND(ISNUMBER(S1742),S1742&gt;0,ISNUMBER(U1742)),U1742*R1742/S1742,"n.a.")),"n.a.")</x:f>
        <x:v>809442328.1996512</x:v>
      </x:c>
      <x:c r="G1742" s="17" t="n">
        <x:f>IF(AND(ISNUMBER(E1742),ISNUMBER(F1742)),E1742-F1742,"n.a.")</x:f>
        <x:v>-224922041.9896505</x:v>
      </x:c>
      <x:c r="H1742" s="15" t="n">
        <x:f>IF(AND(ISNUMBER(E1742),ISNUMBER(F1742),F1742&gt;0),(E1742-F1742)/F1742,"n.a.")</x:f>
        <x:v>-0.27787284424564074</x:v>
      </x:c>
      <x:c r="I1742" s="19" t="n">
        <x:f>IF(ISNUMBER(H1742),ABS(H1742),"n.a.")</x:f>
        <x:v>0.27787284424564074</x:v>
      </x:c>
      <x:c r="J1742" s="2" t="str">
        <x:v>available</x:v>
      </x:c>
      <x:c r="K1742" s="2" t="n">
        <x:v>1</x:v>
      </x:c>
      <x:c r="L1742" s="13" t="b">
        <x:v>0</x:v>
      </x:c>
      <x:c r="M1742" s="13" t="b">
        <x:v>1</x:v>
      </x:c>
      <x:c r="N1742" s="2" t="str">
        <x:v>historical_GHSL_BU_estimate</x:v>
      </x:c>
      <x:c r="O1742" s="2" t="str"/>
      <x:c r="P1742" s="2" t="str">
        <x:v>horizontal built-up surface</x:v>
      </x:c>
      <x:c r="Q1742" s="2" t="str">
        <x:v>m2</x:v>
      </x:c>
      <x:c r="R1742" s="17" t="n">
        <x:v>809442328.1996503</x:v>
      </x:c>
      <x:c r="S1742" s="17" t="n">
        <x:v>584520286.21</x:v>
      </x:c>
      <x:c r="T1742" s="18" t="n">
        <x:v>1.0000000000000013</x:v>
      </x:c>
      <x:c r="U1742" s="17" t="n">
        <x:v>584520286.2100008</x:v>
      </x:c>
      <x:c r="V1742" s="2" t="str">
        <x:v>Area equivalent = model2020 * WUP surface / TEMPO2020 footprint; km2 multiplied by1e6 once</x:v>
      </x:c>
      <x:c r="W1742" s="2" t="str">
        <x:v>L1_numeric_partition_qualified_not_national_completeness</x:v>
      </x:c>
      <x:c r="X1742" s="2" t="str">
        <x:v>https://human-settlement.emergency.copernicus.eu/datasets.php</x:v>
      </x:c>
    </x:row>
    <x:row r="1743" ht="23" customHeight="1">
      <x:c r="A1743" s="2" t="str">
        <x:v>SSD</x:v>
      </x:c>
      <x:c r="B1743" s="2" t="str">
        <x:v>South Sudan (Republic of)</x:v>
      </x:c>
      <x:c r="C1743" s="2" t="n">
        <x:v>2020</x:v>
      </x:c>
      <x:c r="D1743" s="2" t="str">
        <x:v>WUP_SURFACE</x:v>
      </x:c>
      <x:c r="E1743" s="17" t="n">
        <x:v>82483216.59000005</x:v>
      </x:c>
      <x:c r="F1743" s="17" t="n">
        <x:f>IF(AND(M1743,ISNUMBER(R1743)),IF(D1743="TEMPO_PROXY",R1743,IF(AND(ISNUMBER(S1743),S1743&gt;0,ISNUMBER(U1743)),U1743*R1743/S1743,"n.a.")),"n.a.")</x:f>
        <x:v>193501773.84508857</x:v>
      </x:c>
      <x:c r="G1743" s="17" t="n">
        <x:f>IF(AND(ISNUMBER(E1743),ISNUMBER(F1743)),E1743-F1743,"n.a.")</x:f>
        <x:v>-111018557.25508852</x:v>
      </x:c>
      <x:c r="H1743" s="15" t="n">
        <x:f>IF(AND(ISNUMBER(E1743),ISNUMBER(F1743),F1743&gt;0),(E1743-F1743)/F1743,"n.a.")</x:f>
        <x:v>-0.5737340544690122</x:v>
      </x:c>
      <x:c r="I1743" s="19" t="n">
        <x:f>IF(ISNUMBER(H1743),ABS(H1743),"n.a.")</x:f>
        <x:v>0.5737340544690122</x:v>
      </x:c>
      <x:c r="J1743" s="2" t="str">
        <x:v>available</x:v>
      </x:c>
      <x:c r="K1743" s="2" t="n">
        <x:v>1</x:v>
      </x:c>
      <x:c r="L1743" s="13" t="b">
        <x:v>0</x:v>
      </x:c>
      <x:c r="M1743" s="13" t="b">
        <x:v>1</x:v>
      </x:c>
      <x:c r="N1743" s="2" t="str">
        <x:v>historical_GHSL_BU_estimate</x:v>
      </x:c>
      <x:c r="O1743" s="2" t="str"/>
      <x:c r="P1743" s="2" t="str">
        <x:v>horizontal built-up surface</x:v>
      </x:c>
      <x:c r="Q1743" s="2" t="str">
        <x:v>m2</x:v>
      </x:c>
      <x:c r="R1743" s="17" t="n">
        <x:v>193501773.84508845</x:v>
      </x:c>
      <x:c r="S1743" s="17" t="n">
        <x:v>82483216.59</x:v>
      </x:c>
      <x:c r="T1743" s="18" t="n">
        <x:v>1.0000000000000004</x:v>
      </x:c>
      <x:c r="U1743" s="17" t="n">
        <x:v>82483216.59000005</x:v>
      </x:c>
      <x:c r="V1743" s="2" t="str">
        <x:v>Area equivalent = model2020 * WUP surface / TEMPO2020 footprint; km2 multiplied by1e6 once</x:v>
      </x:c>
      <x:c r="W1743" s="2" t="str">
        <x:v>L1_numeric_partition_qualified_not_national_completeness</x:v>
      </x:c>
      <x:c r="X1743" s="2" t="str">
        <x:v>https://human-settlement.emergency.copernicus.eu/datasets.php</x:v>
      </x:c>
    </x:row>
    <x:row r="1744" ht="23" customHeight="1">
      <x:c r="A1744" s="2" t="str">
        <x:v>STP</x:v>
      </x:c>
      <x:c r="B1744" s="2" t="str">
        <x:v>Sao Tome and Principe (Democratic Republic of)</x:v>
      </x:c>
      <x:c r="C1744" s="2" t="n">
        <x:v>2020</x:v>
      </x:c>
      <x:c r="D1744" s="2" t="str">
        <x:v>WUP_SURFACE</x:v>
      </x:c>
      <x:c r="E1744" s="17" t="n">
        <x:v>6153544.550000003</x:v>
      </x:c>
      <x:c r="F1744" s="17" t="n">
        <x:f>IF(AND(M1744,ISNUMBER(R1744)),IF(D1744="TEMPO_PROXY",R1744,IF(AND(ISNUMBER(S1744),S1744&gt;0,ISNUMBER(U1744)),U1744*R1744/S1744,"n.a.")),"n.a.")</x:f>
        <x:v>7954488.003631926</x:v>
      </x:c>
      <x:c r="G1744" s="17" t="n">
        <x:f>IF(AND(ISNUMBER(E1744),ISNUMBER(F1744)),E1744-F1744,"n.a.")</x:f>
        <x:v>-1800943.4536319235</x:v>
      </x:c>
      <x:c r="H1744" s="15" t="n">
        <x:f>IF(AND(ISNUMBER(E1744),ISNUMBER(F1744),F1744&gt;0),(E1744-F1744)/F1744,"n.a.")</x:f>
        <x:v>-0.22640595507965236</x:v>
      </x:c>
      <x:c r="I1744" s="19" t="n">
        <x:f>IF(ISNUMBER(H1744),ABS(H1744),"n.a.")</x:f>
        <x:v>0.22640595507965236</x:v>
      </x:c>
      <x:c r="J1744" s="2" t="str">
        <x:v>available</x:v>
      </x:c>
      <x:c r="K1744" s="2" t="n">
        <x:v>1</x:v>
      </x:c>
      <x:c r="L1744" s="13" t="b">
        <x:v>0</x:v>
      </x:c>
      <x:c r="M1744" s="13" t="b">
        <x:v>1</x:v>
      </x:c>
      <x:c r="N1744" s="2" t="str">
        <x:v>historical_GHSL_BU_estimate</x:v>
      </x:c>
      <x:c r="O1744" s="2" t="str"/>
      <x:c r="P1744" s="2" t="str">
        <x:v>horizontal built-up surface</x:v>
      </x:c>
      <x:c r="Q1744" s="2" t="str">
        <x:v>m2</x:v>
      </x:c>
      <x:c r="R1744" s="17" t="n">
        <x:v>7954488.003631922</x:v>
      </x:c>
      <x:c r="S1744" s="17" t="n">
        <x:v>6153544.55</x:v>
      </x:c>
      <x:c r="T1744" s="18" t="n">
        <x:v>1.0000000000000004</x:v>
      </x:c>
      <x:c r="U1744" s="17" t="n">
        <x:v>6153544.550000003</x:v>
      </x:c>
      <x:c r="V1744" s="2" t="str">
        <x:v>Area equivalent = model2020 * WUP surface / TEMPO2020 footprint; km2 multiplied by1e6 once</x:v>
      </x:c>
      <x:c r="W1744" s="2" t="str">
        <x:v>L1_numeric_partition_qualified_not_national_completeness</x:v>
      </x:c>
      <x:c r="X1744" s="2" t="str">
        <x:v>https://human-settlement.emergency.copernicus.eu/datasets.php</x:v>
      </x:c>
    </x:row>
    <x:row r="1745" ht="23" customHeight="1">
      <x:c r="A1745" s="2" t="str">
        <x:v>SUR</x:v>
      </x:c>
      <x:c r="B1745" s="2" t="str">
        <x:v>Suriname (Republic of)</x:v>
      </x:c>
      <x:c r="C1745" s="2" t="n">
        <x:v>2020</x:v>
      </x:c>
      <x:c r="D1745" s="2" t="str">
        <x:v>WUP_SURFACE</x:v>
      </x:c>
      <x:c r="E1745" s="17" t="n">
        <x:v>50598825.22000002</x:v>
      </x:c>
      <x:c r="F1745" s="17" t="n">
        <x:f>IF(AND(M1745,ISNUMBER(R1745)),IF(D1745="TEMPO_PROXY",R1745,IF(AND(ISNUMBER(S1745),S1745&gt;0,ISNUMBER(U1745)),U1745*R1745/S1745,"n.a.")),"n.a.")</x:f>
        <x:v>71550729.04333705</x:v>
      </x:c>
      <x:c r="G1745" s="17" t="n">
        <x:f>IF(AND(ISNUMBER(E1745),ISNUMBER(F1745)),E1745-F1745,"n.a.")</x:f>
        <x:v>-20951903.823337026</x:v>
      </x:c>
      <x:c r="H1745" s="15" t="n">
        <x:f>IF(AND(ISNUMBER(E1745),ISNUMBER(F1745),F1745&gt;0),(E1745-F1745)/F1745,"n.a.")</x:f>
        <x:v>-0.29282586080495165</x:v>
      </x:c>
      <x:c r="I1745" s="19" t="n">
        <x:f>IF(ISNUMBER(H1745),ABS(H1745),"n.a.")</x:f>
        <x:v>0.29282586080495165</x:v>
      </x:c>
      <x:c r="J1745" s="2" t="str">
        <x:v>available</x:v>
      </x:c>
      <x:c r="K1745" s="2" t="n">
        <x:v>1</x:v>
      </x:c>
      <x:c r="L1745" s="13" t="b">
        <x:v>0</x:v>
      </x:c>
      <x:c r="M1745" s="13" t="b">
        <x:v>1</x:v>
      </x:c>
      <x:c r="N1745" s="2" t="str">
        <x:v>historical_GHSL_BU_estimate</x:v>
      </x:c>
      <x:c r="O1745" s="2" t="str"/>
      <x:c r="P1745" s="2" t="str">
        <x:v>horizontal built-up surface</x:v>
      </x:c>
      <x:c r="Q1745" s="2" t="str">
        <x:v>m2</x:v>
      </x:c>
      <x:c r="R1745" s="17" t="n">
        <x:v>71550729.04333702</x:v>
      </x:c>
      <x:c r="S1745" s="17" t="n">
        <x:v>50598825.22</x:v>
      </x:c>
      <x:c r="T1745" s="18" t="n">
        <x:v>1.0000000000000004</x:v>
      </x:c>
      <x:c r="U1745" s="17" t="n">
        <x:v>50598825.22000002</x:v>
      </x:c>
      <x:c r="V1745" s="2" t="str">
        <x:v>Area equivalent = model2020 * WUP surface / TEMPO2020 footprint; km2 multiplied by1e6 once</x:v>
      </x:c>
      <x:c r="W1745" s="2" t="str">
        <x:v>L1_numeric_partition_qualified_not_national_completeness</x:v>
      </x:c>
      <x:c r="X1745" s="2" t="str">
        <x:v>https://human-settlement.emergency.copernicus.eu/datasets.php</x:v>
      </x:c>
    </x:row>
    <x:row r="1746" ht="23" customHeight="1">
      <x:c r="A1746" s="2" t="str">
        <x:v>SVK</x:v>
      </x:c>
      <x:c r="B1746" s="2" t="str">
        <x:v>Slovakia (Slovak Republic)</x:v>
      </x:c>
      <x:c r="C1746" s="2" t="n">
        <x:v>2020</x:v>
      </x:c>
      <x:c r="D1746" s="2" t="str">
        <x:v>WUP_SURFACE</x:v>
      </x:c>
      <x:c r="E1746" s="17" t="n">
        <x:v>391189188.0500002</x:v>
      </x:c>
      <x:c r="F1746" s="17" t="n">
        <x:f>IF(AND(M1746,ISNUMBER(R1746)),IF(D1746="TEMPO_PROXY",R1746,IF(AND(ISNUMBER(S1746),S1746&gt;0,ISNUMBER(U1746)),U1746*R1746/S1746,"n.a.")),"n.a.")</x:f>
        <x:v>681448353.0707176</x:v>
      </x:c>
      <x:c r="G1746" s="17" t="n">
        <x:f>IF(AND(ISNUMBER(E1746),ISNUMBER(F1746)),E1746-F1746,"n.a.")</x:f>
        <x:v>-290259165.0207174</x:v>
      </x:c>
      <x:c r="H1746" s="15" t="n">
        <x:f>IF(AND(ISNUMBER(E1746),ISNUMBER(F1746),F1746&gt;0),(E1746-F1746)/F1746,"n.a.")</x:f>
        <x:v>-0.4259444809173904</x:v>
      </x:c>
      <x:c r="I1746" s="19" t="n">
        <x:f>IF(ISNUMBER(H1746),ABS(H1746),"n.a.")</x:f>
        <x:v>0.4259444809173904</x:v>
      </x:c>
      <x:c r="J1746" s="2" t="str">
        <x:v>available</x:v>
      </x:c>
      <x:c r="K1746" s="2" t="n">
        <x:v>1</x:v>
      </x:c>
      <x:c r="L1746" s="13" t="b">
        <x:v>0</x:v>
      </x:c>
      <x:c r="M1746" s="13" t="b">
        <x:v>1</x:v>
      </x:c>
      <x:c r="N1746" s="2" t="str">
        <x:v>historical_GHSL_BU_estimate</x:v>
      </x:c>
      <x:c r="O1746" s="2" t="str"/>
      <x:c r="P1746" s="2" t="str">
        <x:v>horizontal built-up surface</x:v>
      </x:c>
      <x:c r="Q1746" s="2" t="str">
        <x:v>m2</x:v>
      </x:c>
      <x:c r="R1746" s="17" t="n">
        <x:v>675187190.6212317</x:v>
      </x:c>
      <x:c r="S1746" s="17" t="n">
        <x:v>387594933.19</x:v>
      </x:c>
      <x:c r="T1746" s="18" t="n">
        <x:v>1.0092732245760248</x:v>
      </x:c>
      <x:c r="U1746" s="17" t="n">
        <x:v>391189188.0500002</x:v>
      </x:c>
      <x:c r="V1746" s="2" t="str">
        <x:v>Area equivalent = model2020 * WUP surface / TEMPO2020 footprint; km2 multiplied by1e6 once</x:v>
      </x:c>
      <x:c r="W1746" s="2" t="str">
        <x:v>L1_numeric_partition_qualified_not_national_completeness</x:v>
      </x:c>
      <x:c r="X1746" s="2" t="str">
        <x:v>https://human-settlement.emergency.copernicus.eu/datasets.php</x:v>
      </x:c>
    </x:row>
    <x:row r="1747" ht="23" customHeight="1">
      <x:c r="A1747" s="2" t="str">
        <x:v>SVN</x:v>
      </x:c>
      <x:c r="B1747" s="2" t="str">
        <x:v>Slovenia (Republic of)</x:v>
      </x:c>
      <x:c r="C1747" s="2" t="n">
        <x:v>2020</x:v>
      </x:c>
      <x:c r="D1747" s="2" t="str">
        <x:v>WUP_SURFACE</x:v>
      </x:c>
      <x:c r="E1747" s="17" t="n">
        <x:v>188783306.59000015</x:v>
      </x:c>
      <x:c r="F1747" s="17" t="n">
        <x:f>IF(AND(M1747,ISNUMBER(R1747)),IF(D1747="TEMPO_PROXY",R1747,IF(AND(ISNUMBER(S1747),S1747&gt;0,ISNUMBER(U1747)),U1747*R1747/S1747,"n.a.")),"n.a.")</x:f>
        <x:v>257007811.99404955</x:v>
      </x:c>
      <x:c r="G1747" s="17" t="n">
        <x:f>IF(AND(ISNUMBER(E1747),ISNUMBER(F1747)),E1747-F1747,"n.a.")</x:f>
        <x:v>-68224505.4040494</x:v>
      </x:c>
      <x:c r="H1747" s="15" t="n">
        <x:f>IF(AND(ISNUMBER(E1747),ISNUMBER(F1747),F1747&gt;0),(E1747-F1747)/F1747,"n.a.")</x:f>
        <x:v>-0.26545693251389957</x:v>
      </x:c>
      <x:c r="I1747" s="19" t="n">
        <x:f>IF(ISNUMBER(H1747),ABS(H1747),"n.a.")</x:f>
        <x:v>0.26545693251389957</x:v>
      </x:c>
      <x:c r="J1747" s="2" t="str">
        <x:v>available</x:v>
      </x:c>
      <x:c r="K1747" s="2" t="n">
        <x:v>1</x:v>
      </x:c>
      <x:c r="L1747" s="13" t="b">
        <x:v>0</x:v>
      </x:c>
      <x:c r="M1747" s="13" t="b">
        <x:v>1</x:v>
      </x:c>
      <x:c r="N1747" s="2" t="str">
        <x:v>historical_GHSL_BU_estimate</x:v>
      </x:c>
      <x:c r="O1747" s="2" t="str"/>
      <x:c r="P1747" s="2" t="str">
        <x:v>horizontal built-up surface</x:v>
      </x:c>
      <x:c r="Q1747" s="2" t="str">
        <x:v>m2</x:v>
      </x:c>
      <x:c r="R1747" s="17" t="n">
        <x:v>257007811.99404934</x:v>
      </x:c>
      <x:c r="S1747" s="17" t="n">
        <x:v>188783306.59</x:v>
      </x:c>
      <x:c r="T1747" s="18" t="n">
        <x:v>1.0000000000000009</x:v>
      </x:c>
      <x:c r="U1747" s="17" t="n">
        <x:v>188783306.59000015</x:v>
      </x:c>
      <x:c r="V1747" s="2" t="str">
        <x:v>Area equivalent = model2020 * WUP surface / TEMPO2020 footprint; km2 multiplied by1e6 once</x:v>
      </x:c>
      <x:c r="W1747" s="2" t="str">
        <x:v>L1_numeric_partition_qualified_not_national_completeness</x:v>
      </x:c>
      <x:c r="X1747" s="2" t="str">
        <x:v>https://human-settlement.emergency.copernicus.eu/datasets.php</x:v>
      </x:c>
    </x:row>
    <x:row r="1748" ht="23" customHeight="1">
      <x:c r="A1748" s="2" t="str">
        <x:v>SWE</x:v>
      </x:c>
      <x:c r="B1748" s="2" t="str">
        <x:v>Sweden (Kingdom of)</x:v>
      </x:c>
      <x:c r="C1748" s="2" t="n">
        <x:v>2020</x:v>
      </x:c>
      <x:c r="D1748" s="2" t="str">
        <x:v>WUP_SURFACE</x:v>
      </x:c>
      <x:c r="E1748" s="17" t="n">
        <x:v>860750073.0500002</x:v>
      </x:c>
      <x:c r="F1748" s="17" t="n">
        <x:f>IF(AND(M1748,ISNUMBER(R1748)),IF(D1748="TEMPO_PROXY",R1748,IF(AND(ISNUMBER(S1748),S1748&gt;0,ISNUMBER(U1748)),U1748*R1748/S1748,"n.a.")),"n.a.")</x:f>
        <x:v>930306239.6954205</x:v>
      </x:c>
      <x:c r="G1748" s="17" t="n">
        <x:f>IF(AND(ISNUMBER(E1748),ISNUMBER(F1748)),E1748-F1748,"n.a.")</x:f>
        <x:v>-69556166.64542031</x:v>
      </x:c>
      <x:c r="H1748" s="15" t="n">
        <x:f>IF(AND(ISNUMBER(E1748),ISNUMBER(F1748),F1748&gt;0),(E1748-F1748)/F1748,"n.a.")</x:f>
        <x:v>-0.07476695702717505</x:v>
      </x:c>
      <x:c r="I1748" s="19" t="n">
        <x:f>IF(ISNUMBER(H1748),ABS(H1748),"n.a.")</x:f>
        <x:v>0.07476695702717505</x:v>
      </x:c>
      <x:c r="J1748" s="2" t="str">
        <x:v>available</x:v>
      </x:c>
      <x:c r="K1748" s="2" t="n">
        <x:v>1</x:v>
      </x:c>
      <x:c r="L1748" s="13" t="b">
        <x:v>0</x:v>
      </x:c>
      <x:c r="M1748" s="13" t="b">
        <x:v>1</x:v>
      </x:c>
      <x:c r="N1748" s="2" t="str">
        <x:v>historical_GHSL_BU_estimate</x:v>
      </x:c>
      <x:c r="O1748" s="2" t="str"/>
      <x:c r="P1748" s="2" t="str">
        <x:v>horizontal built-up surface</x:v>
      </x:c>
      <x:c r="Q1748" s="2" t="str">
        <x:v>m2</x:v>
      </x:c>
      <x:c r="R1748" s="17" t="n">
        <x:v>922063838.942528</x:v>
      </x:c>
      <x:c r="S1748" s="17" t="n">
        <x:v>853123931.52</x:v>
      </x:c>
      <x:c r="T1748" s="18" t="n">
        <x:v>1.0089390781904486</x:v>
      </x:c>
      <x:c r="U1748" s="17" t="n">
        <x:v>860750073.0500002</x:v>
      </x:c>
      <x:c r="V1748" s="2" t="str">
        <x:v>Area equivalent = model2020 * WUP surface / TEMPO2020 footprint; km2 multiplied by1e6 once</x:v>
      </x:c>
      <x:c r="W1748" s="2" t="str">
        <x:v>L1_numeric_partition_qualified_not_national_completeness</x:v>
      </x:c>
      <x:c r="X1748" s="2" t="str">
        <x:v>https://human-settlement.emergency.copernicus.eu/datasets.php</x:v>
      </x:c>
    </x:row>
    <x:row r="1749" ht="23" customHeight="1">
      <x:c r="A1749" s="2" t="str">
        <x:v>SWZ</x:v>
      </x:c>
      <x:c r="B1749" s="2" t="str">
        <x:v>Eswatini (Kingdom of)</x:v>
      </x:c>
      <x:c r="C1749" s="2" t="n">
        <x:v>2020</x:v>
      </x:c>
      <x:c r="D1749" s="2" t="str">
        <x:v>WUP_SURFACE</x:v>
      </x:c>
      <x:c r="E1749" s="17" t="n">
        <x:v>51228621.629999995</x:v>
      </x:c>
      <x:c r="F1749" s="17" t="n">
        <x:f>IF(AND(M1749,ISNUMBER(R1749)),IF(D1749="TEMPO_PROXY",R1749,IF(AND(ISNUMBER(S1749),S1749&gt;0,ISNUMBER(U1749)),U1749*R1749/S1749,"n.a.")),"n.a.")</x:f>
        <x:v>159921158.1435823</x:v>
      </x:c>
      <x:c r="G1749" s="17" t="n">
        <x:f>IF(AND(ISNUMBER(E1749),ISNUMBER(F1749)),E1749-F1749,"n.a.")</x:f>
        <x:v>-108692536.51358232</x:v>
      </x:c>
      <x:c r="H1749" s="15" t="n">
        <x:f>IF(AND(ISNUMBER(E1749),ISNUMBER(F1749),F1749&gt;0),(E1749-F1749)/F1749,"n.a.")</x:f>
        <x:v>-0.67966326516967</x:v>
      </x:c>
      <x:c r="I1749" s="19" t="n">
        <x:f>IF(ISNUMBER(H1749),ABS(H1749),"n.a.")</x:f>
        <x:v>0.67966326516967</x:v>
      </x:c>
      <x:c r="J1749" s="2" t="str">
        <x:v>available</x:v>
      </x:c>
      <x:c r="K1749" s="2" t="n">
        <x:v>1</x:v>
      </x:c>
      <x:c r="L1749" s="13" t="b">
        <x:v>0</x:v>
      </x:c>
      <x:c r="M1749" s="13" t="b">
        <x:v>1</x:v>
      </x:c>
      <x:c r="N1749" s="2" t="str">
        <x:v>historical_GHSL_BU_estimate</x:v>
      </x:c>
      <x:c r="O1749" s="2" t="str"/>
      <x:c r="P1749" s="2" t="str">
        <x:v>horizontal built-up surface</x:v>
      </x:c>
      <x:c r="Q1749" s="2" t="str">
        <x:v>m2</x:v>
      </x:c>
      <x:c r="R1749" s="17" t="n">
        <x:v>159921158.14358234</x:v>
      </x:c>
      <x:c r="S1749" s="17" t="n">
        <x:v>51228621.63</x:v>
      </x:c>
      <x:c r="T1749" s="18" t="n">
        <x:v>0.9999999999999999</x:v>
      </x:c>
      <x:c r="U1749" s="17" t="n">
        <x:v>51228621.629999995</x:v>
      </x:c>
      <x:c r="V1749" s="2" t="str">
        <x:v>Area equivalent = model2020 * WUP surface / TEMPO2020 footprint; km2 multiplied by1e6 once</x:v>
      </x:c>
      <x:c r="W1749" s="2" t="str">
        <x:v>L1_numeric_partition_qualified_not_national_completeness</x:v>
      </x:c>
      <x:c r="X1749" s="2" t="str">
        <x:v>https://human-settlement.emergency.copernicus.eu/datasets.php</x:v>
      </x:c>
    </x:row>
    <x:row r="1750" ht="23" customHeight="1">
      <x:c r="A1750" s="2" t="str">
        <x:v>SYC</x:v>
      </x:c>
      <x:c r="B1750" s="2" t="str">
        <x:v>Seychelles (Republic of)</x:v>
      </x:c>
      <x:c r="C1750" s="2" t="n">
        <x:v>2020</x:v>
      </x:c>
      <x:c r="D1750" s="2" t="str">
        <x:v>WUP_SURFACE</x:v>
      </x:c>
      <x:c r="E1750" s="17" t="n">
        <x:v>7317572.880000001</x:v>
      </x:c>
      <x:c r="F1750" s="17" t="n">
        <x:f>IF(AND(M1750,ISNUMBER(R1750)),IF(D1750="TEMPO_PROXY",R1750,IF(AND(ISNUMBER(S1750),S1750&gt;0,ISNUMBER(U1750)),U1750*R1750/S1750,"n.a.")),"n.a.")</x:f>
        <x:v>5511621.986451587</x:v>
      </x:c>
      <x:c r="G1750" s="17" t="n">
        <x:f>IF(AND(ISNUMBER(E1750),ISNUMBER(F1750)),E1750-F1750,"n.a.")</x:f>
        <x:v>1805950.893548414</x:v>
      </x:c>
      <x:c r="H1750" s="15" t="n">
        <x:f>IF(AND(ISNUMBER(E1750),ISNUMBER(F1750),F1750&gt;0),(E1750-F1750)/F1750,"n.a.")</x:f>
        <x:v>0.3276623284375668</x:v>
      </x:c>
      <x:c r="I1750" s="19" t="n">
        <x:f>IF(ISNUMBER(H1750),ABS(H1750),"n.a.")</x:f>
        <x:v>0.3276623284375668</x:v>
      </x:c>
      <x:c r="J1750" s="2" t="str">
        <x:v>available</x:v>
      </x:c>
      <x:c r="K1750" s="2" t="n">
        <x:v>1</x:v>
      </x:c>
      <x:c r="L1750" s="13" t="b">
        <x:v>0</x:v>
      </x:c>
      <x:c r="M1750" s="13" t="b">
        <x:v>1</x:v>
      </x:c>
      <x:c r="N1750" s="2" t="str">
        <x:v>historical_GHSL_BU_estimate</x:v>
      </x:c>
      <x:c r="O1750" s="2" t="str"/>
      <x:c r="P1750" s="2" t="str">
        <x:v>horizontal built-up surface</x:v>
      </x:c>
      <x:c r="Q1750" s="2" t="str">
        <x:v>m2</x:v>
      </x:c>
      <x:c r="R1750" s="17" t="n">
        <x:v>5511621.986451587</x:v>
      </x:c>
      <x:c r="S1750" s="17" t="n">
        <x:v>7317572.88</x:v>
      </x:c>
      <x:c r="T1750" s="18" t="n">
        <x:v>1.0000000000000002</x:v>
      </x:c>
      <x:c r="U1750" s="17" t="n">
        <x:v>7317572.880000001</x:v>
      </x:c>
      <x:c r="V1750" s="2" t="str">
        <x:v>Area equivalent = model2020 * WUP surface / TEMPO2020 footprint; km2 multiplied by1e6 once</x:v>
      </x:c>
      <x:c r="W1750" s="2" t="str">
        <x:v>L1_numeric_partition_qualified_not_national_completeness</x:v>
      </x:c>
      <x:c r="X1750" s="2" t="str">
        <x:v>https://human-settlement.emergency.copernicus.eu/datasets.php</x:v>
      </x:c>
    </x:row>
    <x:row r="1751" ht="23" customHeight="1">
      <x:c r="A1751" s="2" t="str">
        <x:v>SYR</x:v>
      </x:c>
      <x:c r="B1751" s="2" t="str">
        <x:v>Syrian Arab Republic</x:v>
      </x:c>
      <x:c r="C1751" s="2" t="n">
        <x:v>2020</x:v>
      </x:c>
      <x:c r="D1751" s="2" t="str">
        <x:v>WUP_SURFACE</x:v>
      </x:c>
      <x:c r="E1751" s="17" t="n">
        <x:v>795482211.65</x:v>
      </x:c>
      <x:c r="F1751" s="17" t="n">
        <x:f>IF(AND(M1751,ISNUMBER(R1751)),IF(D1751="TEMPO_PROXY",R1751,IF(AND(ISNUMBER(S1751),S1751&gt;0,ISNUMBER(U1751)),U1751*R1751/S1751,"n.a.")),"n.a.")</x:f>
        <x:v>980292227.42617</x:v>
      </x:c>
      <x:c r="G1751" s="17" t="n">
        <x:f>IF(AND(ISNUMBER(E1751),ISNUMBER(F1751)),E1751-F1751,"n.a.")</x:f>
        <x:v>-184810015.77617002</x:v>
      </x:c>
      <x:c r="H1751" s="15" t="n">
        <x:f>IF(AND(ISNUMBER(E1751),ISNUMBER(F1751),F1751&gt;0),(E1751-F1751)/F1751,"n.a.")</x:f>
        <x:v>-0.18852543211670914</x:v>
      </x:c>
      <x:c r="I1751" s="19" t="n">
        <x:f>IF(ISNUMBER(H1751),ABS(H1751),"n.a.")</x:f>
        <x:v>0.18852543211670914</x:v>
      </x:c>
      <x:c r="J1751" s="2" t="str">
        <x:v>available</x:v>
      </x:c>
      <x:c r="K1751" s="2" t="n">
        <x:v>1</x:v>
      </x:c>
      <x:c r="L1751" s="13" t="b">
        <x:v>0</x:v>
      </x:c>
      <x:c r="M1751" s="13" t="b">
        <x:v>1</x:v>
      </x:c>
      <x:c r="N1751" s="2" t="str">
        <x:v>historical_GHSL_BU_estimate</x:v>
      </x:c>
      <x:c r="O1751" s="2" t="str"/>
      <x:c r="P1751" s="2" t="str">
        <x:v>horizontal built-up surface</x:v>
      </x:c>
      <x:c r="Q1751" s="2" t="str">
        <x:v>m2</x:v>
      </x:c>
      <x:c r="R1751" s="17" t="n">
        <x:v>966625815.5891018</x:v>
      </x:c>
      <x:c r="S1751" s="17" t="n">
        <x:v>784392266.01</x:v>
      </x:c>
      <x:c r="T1751" s="18" t="n">
        <x:v>1.0141382648969905</x:v>
      </x:c>
      <x:c r="U1751" s="17" t="n">
        <x:v>795482211.65</x:v>
      </x:c>
      <x:c r="V1751" s="2" t="str">
        <x:v>Area equivalent = model2020 * WUP surface / TEMPO2020 footprint; km2 multiplied by1e6 once</x:v>
      </x:c>
      <x:c r="W1751" s="2" t="str">
        <x:v>L1_numeric_partition_qualified_not_national_completeness</x:v>
      </x:c>
      <x:c r="X1751" s="2" t="str">
        <x:v>https://human-settlement.emergency.copernicus.eu/datasets.php</x:v>
      </x:c>
    </x:row>
    <x:row r="1752" ht="23" customHeight="1">
      <x:c r="A1752" s="2" t="str">
        <x:v>TCD</x:v>
      </x:c>
      <x:c r="B1752" s="2" t="str">
        <x:v>Chad (Republic of)</x:v>
      </x:c>
      <x:c r="C1752" s="2" t="n">
        <x:v>2020</x:v>
      </x:c>
      <x:c r="D1752" s="2" t="str">
        <x:v>WUP_SURFACE</x:v>
      </x:c>
      <x:c r="E1752" s="17" t="n">
        <x:v>126450494.21999988</x:v>
      </x:c>
      <x:c r="F1752" s="17" t="n">
        <x:f>IF(AND(M1752,ISNUMBER(R1752)),IF(D1752="TEMPO_PROXY",R1752,IF(AND(ISNUMBER(S1752),S1752&gt;0,ISNUMBER(U1752)),U1752*R1752/S1752,"n.a.")),"n.a.")</x:f>
        <x:v>555204347.0216295</x:v>
      </x:c>
      <x:c r="G1752" s="17" t="n">
        <x:f>IF(AND(ISNUMBER(E1752),ISNUMBER(F1752)),E1752-F1752,"n.a.")</x:f>
        <x:v>-428753852.80162954</x:v>
      </x:c>
      <x:c r="H1752" s="15" t="n">
        <x:f>IF(AND(ISNUMBER(E1752),ISNUMBER(F1752),F1752&gt;0),(E1752-F1752)/F1752,"n.a.")</x:f>
        <x:v>-0.7722451293864353</x:v>
      </x:c>
      <x:c r="I1752" s="19" t="n">
        <x:f>IF(ISNUMBER(H1752),ABS(H1752),"n.a.")</x:f>
        <x:v>0.7722451293864353</x:v>
      </x:c>
      <x:c r="J1752" s="2" t="str">
        <x:v>available</x:v>
      </x:c>
      <x:c r="K1752" s="2" t="n">
        <x:v>1</x:v>
      </x:c>
      <x:c r="L1752" s="13" t="b">
        <x:v>0</x:v>
      </x:c>
      <x:c r="M1752" s="13" t="b">
        <x:v>1</x:v>
      </x:c>
      <x:c r="N1752" s="2" t="str">
        <x:v>historical_GHSL_BU_estimate</x:v>
      </x:c>
      <x:c r="O1752" s="2" t="str"/>
      <x:c r="P1752" s="2" t="str">
        <x:v>horizontal built-up surface</x:v>
      </x:c>
      <x:c r="Q1752" s="2" t="str">
        <x:v>m2</x:v>
      </x:c>
      <x:c r="R1752" s="17" t="n">
        <x:v>555204347.0216299</x:v>
      </x:c>
      <x:c r="S1752" s="17" t="n">
        <x:v>126450494.22</x:v>
      </x:c>
      <x:c r="T1752" s="18" t="n">
        <x:v>0.9999999999999991</x:v>
      </x:c>
      <x:c r="U1752" s="17" t="n">
        <x:v>126450494.21999988</x:v>
      </x:c>
      <x:c r="V1752" s="2" t="str">
        <x:v>Area equivalent = model2020 * WUP surface / TEMPO2020 footprint; km2 multiplied by1e6 once</x:v>
      </x:c>
      <x:c r="W1752" s="2" t="str">
        <x:v>L1_numeric_partition_qualified_not_national_completeness</x:v>
      </x:c>
      <x:c r="X1752" s="2" t="str">
        <x:v>https://human-settlement.emergency.copernicus.eu/datasets.php</x:v>
      </x:c>
    </x:row>
    <x:row r="1753" ht="23" customHeight="1">
      <x:c r="A1753" s="2" t="str">
        <x:v>TGO</x:v>
      </x:c>
      <x:c r="B1753" s="2" t="str">
        <x:v>Togo (Togolese Republic)</x:v>
      </x:c>
      <x:c r="C1753" s="2" t="n">
        <x:v>2020</x:v>
      </x:c>
      <x:c r="D1753" s="2" t="str">
        <x:v>WUP_SURFACE</x:v>
      </x:c>
      <x:c r="E1753" s="17" t="n">
        <x:v>185693532.7300002</x:v>
      </x:c>
      <x:c r="F1753" s="17" t="n">
        <x:f>IF(AND(M1753,ISNUMBER(R1753)),IF(D1753="TEMPO_PROXY",R1753,IF(AND(ISNUMBER(S1753),S1753&gt;0,ISNUMBER(U1753)),U1753*R1753/S1753,"n.a.")),"n.a.")</x:f>
        <x:v>470326535.9664675</x:v>
      </x:c>
      <x:c r="G1753" s="17" t="n">
        <x:f>IF(AND(ISNUMBER(E1753),ISNUMBER(F1753)),E1753-F1753,"n.a.")</x:f>
        <x:v>-284633003.2364673</x:v>
      </x:c>
      <x:c r="H1753" s="15" t="n">
        <x:f>IF(AND(ISNUMBER(E1753),ISNUMBER(F1753),F1753&gt;0),(E1753-F1753)/F1753,"n.a.")</x:f>
        <x:v>-0.6051816801099238</x:v>
      </x:c>
      <x:c r="I1753" s="19" t="n">
        <x:f>IF(ISNUMBER(H1753),ABS(H1753),"n.a.")</x:f>
        <x:v>0.6051816801099238</x:v>
      </x:c>
      <x:c r="J1753" s="2" t="str">
        <x:v>available</x:v>
      </x:c>
      <x:c r="K1753" s="2" t="n">
        <x:v>1</x:v>
      </x:c>
      <x:c r="L1753" s="13" t="b">
        <x:v>0</x:v>
      </x:c>
      <x:c r="M1753" s="13" t="b">
        <x:v>1</x:v>
      </x:c>
      <x:c r="N1753" s="2" t="str">
        <x:v>historical_GHSL_BU_estimate</x:v>
      </x:c>
      <x:c r="O1753" s="2" t="str"/>
      <x:c r="P1753" s="2" t="str">
        <x:v>horizontal built-up surface</x:v>
      </x:c>
      <x:c r="Q1753" s="2" t="str">
        <x:v>m2</x:v>
      </x:c>
      <x:c r="R1753" s="17" t="n">
        <x:v>470326535.96646696</x:v>
      </x:c>
      <x:c r="S1753" s="17" t="n">
        <x:v>185693532.73</x:v>
      </x:c>
      <x:c r="T1753" s="18" t="n">
        <x:v>1.000000000000001</x:v>
      </x:c>
      <x:c r="U1753" s="17" t="n">
        <x:v>185693532.7300002</x:v>
      </x:c>
      <x:c r="V1753" s="2" t="str">
        <x:v>Area equivalent = model2020 * WUP surface / TEMPO2020 footprint; km2 multiplied by1e6 once</x:v>
      </x:c>
      <x:c r="W1753" s="2" t="str">
        <x:v>L1_numeric_partition_qualified_not_national_completeness</x:v>
      </x:c>
      <x:c r="X1753" s="2" t="str">
        <x:v>https://human-settlement.emergency.copernicus.eu/datasets.php</x:v>
      </x:c>
    </x:row>
    <x:row r="1754" ht="23" customHeight="1">
      <x:c r="A1754" s="2" t="str">
        <x:v>THA</x:v>
      </x:c>
      <x:c r="B1754" s="2" t="str">
        <x:v>Thailand (Kingdom of)</x:v>
      </x:c>
      <x:c r="C1754" s="2" t="n">
        <x:v>2020</x:v>
      </x:c>
      <x:c r="D1754" s="2" t="str">
        <x:v>WUP_SURFACE</x:v>
      </x:c>
      <x:c r="E1754" s="17" t="n">
        <x:v>5229846890.149993</x:v>
      </x:c>
      <x:c r="F1754" s="17" t="n">
        <x:f>IF(AND(M1754,ISNUMBER(R1754)),IF(D1754="TEMPO_PROXY",R1754,IF(AND(ISNUMBER(S1754),S1754&gt;0,ISNUMBER(U1754)),U1754*R1754/S1754,"n.a.")),"n.a.")</x:f>
        <x:v>6720698354.657612</x:v>
      </x:c>
      <x:c r="G1754" s="17" t="n">
        <x:f>IF(AND(ISNUMBER(E1754),ISNUMBER(F1754)),E1754-F1754,"n.a.")</x:f>
        <x:v>-1490851464.507619</x:v>
      </x:c>
      <x:c r="H1754" s="15" t="n">
        <x:f>IF(AND(ISNUMBER(E1754),ISNUMBER(F1754),F1754&gt;0),(E1754-F1754)/F1754,"n.a.")</x:f>
        <x:v>-0.22182984354214047</x:v>
      </x:c>
      <x:c r="I1754" s="19" t="n">
        <x:f>IF(ISNUMBER(H1754),ABS(H1754),"n.a.")</x:f>
        <x:v>0.22182984354214047</x:v>
      </x:c>
      <x:c r="J1754" s="2" t="str">
        <x:v>available</x:v>
      </x:c>
      <x:c r="K1754" s="2" t="n">
        <x:v>1</x:v>
      </x:c>
      <x:c r="L1754" s="13" t="b">
        <x:v>0</x:v>
      </x:c>
      <x:c r="M1754" s="13" t="b">
        <x:v>1</x:v>
      </x:c>
      <x:c r="N1754" s="2" t="str">
        <x:v>historical_GHSL_BU_estimate</x:v>
      </x:c>
      <x:c r="O1754" s="2" t="str"/>
      <x:c r="P1754" s="2" t="str">
        <x:v>horizontal built-up surface</x:v>
      </x:c>
      <x:c r="Q1754" s="2" t="str">
        <x:v>m2</x:v>
      </x:c>
      <x:c r="R1754" s="17" t="n">
        <x:v>6720698354.65762</x:v>
      </x:c>
      <x:c r="S1754" s="17" t="n">
        <x:v>5229846890.15</x:v>
      </x:c>
      <x:c r="T1754" s="18" t="n">
        <x:v>0.9999999999999988</x:v>
      </x:c>
      <x:c r="U1754" s="17" t="n">
        <x:v>5229846890.149993</x:v>
      </x:c>
      <x:c r="V1754" s="2" t="str">
        <x:v>Area equivalent = model2020 * WUP surface / TEMPO2020 footprint; km2 multiplied by1e6 once</x:v>
      </x:c>
      <x:c r="W1754" s="2" t="str">
        <x:v>L1_numeric_partition_qualified_not_national_completeness</x:v>
      </x:c>
      <x:c r="X1754" s="2" t="str">
        <x:v>https://human-settlement.emergency.copernicus.eu/datasets.php</x:v>
      </x:c>
    </x:row>
    <x:row r="1755" ht="23" customHeight="1">
      <x:c r="A1755" s="2" t="str">
        <x:v>TJK</x:v>
      </x:c>
      <x:c r="B1755" s="2" t="str">
        <x:v>Tajikistan (Republic of)</x:v>
      </x:c>
      <x:c r="C1755" s="2" t="n">
        <x:v>2020</x:v>
      </x:c>
      <x:c r="D1755" s="2" t="str">
        <x:v>WUP_SURFACE</x:v>
      </x:c>
      <x:c r="E1755" s="17" t="n">
        <x:v>392955797.9200004</x:v>
      </x:c>
      <x:c r="F1755" s="17" t="n">
        <x:f>IF(AND(M1755,ISNUMBER(R1755)),IF(D1755="TEMPO_PROXY",R1755,IF(AND(ISNUMBER(S1755),S1755&gt;0,ISNUMBER(U1755)),U1755*R1755/S1755,"n.a.")),"n.a.")</x:f>
        <x:v>729344216.8436117</x:v>
      </x:c>
      <x:c r="G1755" s="17" t="n">
        <x:f>IF(AND(ISNUMBER(E1755),ISNUMBER(F1755)),E1755-F1755,"n.a.")</x:f>
        <x:v>-336388418.92361134</x:v>
      </x:c>
      <x:c r="H1755" s="15" t="n">
        <x:f>IF(AND(ISNUMBER(E1755),ISNUMBER(F1755),F1755&gt;0),(E1755-F1755)/F1755,"n.a.")</x:f>
        <x:v>-0.46122038285214895</x:v>
      </x:c>
      <x:c r="I1755" s="19" t="n">
        <x:f>IF(ISNUMBER(H1755),ABS(H1755),"n.a.")</x:f>
        <x:v>0.46122038285214895</x:v>
      </x:c>
      <x:c r="J1755" s="2" t="str">
        <x:v>available</x:v>
      </x:c>
      <x:c r="K1755" s="2" t="n">
        <x:v>1</x:v>
      </x:c>
      <x:c r="L1755" s="13" t="b">
        <x:v>0</x:v>
      </x:c>
      <x:c r="M1755" s="13" t="b">
        <x:v>1</x:v>
      </x:c>
      <x:c r="N1755" s="2" t="str">
        <x:v>historical_GHSL_BU_estimate</x:v>
      </x:c>
      <x:c r="O1755" s="2" t="str"/>
      <x:c r="P1755" s="2" t="str">
        <x:v>horizontal built-up surface</x:v>
      </x:c>
      <x:c r="Q1755" s="2" t="str">
        <x:v>m2</x:v>
      </x:c>
      <x:c r="R1755" s="17" t="n">
        <x:v>729344216.843611</x:v>
      </x:c>
      <x:c r="S1755" s="17" t="n">
        <x:v>392955797.92</x:v>
      </x:c>
      <x:c r="T1755" s="18" t="n">
        <x:v>1.0000000000000009</x:v>
      </x:c>
      <x:c r="U1755" s="17" t="n">
        <x:v>392955797.9200004</x:v>
      </x:c>
      <x:c r="V1755" s="2" t="str">
        <x:v>Area equivalent = model2020 * WUP surface / TEMPO2020 footprint; km2 multiplied by1e6 once</x:v>
      </x:c>
      <x:c r="W1755" s="2" t="str">
        <x:v>L1_numeric_partition_qualified_not_national_completeness</x:v>
      </x:c>
      <x:c r="X1755" s="2" t="str">
        <x:v>https://human-settlement.emergency.copernicus.eu/datasets.php</x:v>
      </x:c>
    </x:row>
    <x:row r="1756" ht="23" customHeight="1">
      <x:c r="A1756" s="2" t="str">
        <x:v>TKM</x:v>
      </x:c>
      <x:c r="B1756" s="2" t="str">
        <x:v>Turkmenistan</x:v>
      </x:c>
      <x:c r="C1756" s="2" t="n">
        <x:v>2020</x:v>
      </x:c>
      <x:c r="D1756" s="2" t="str">
        <x:v>WUP_SURFACE</x:v>
      </x:c>
      <x:c r="E1756" s="17" t="n">
        <x:v>359976676.1500005</x:v>
      </x:c>
      <x:c r="F1756" s="17" t="n">
        <x:f>IF(AND(M1756,ISNUMBER(R1756)),IF(D1756="TEMPO_PROXY",R1756,IF(AND(ISNUMBER(S1756),S1756&gt;0,ISNUMBER(U1756)),U1756*R1756/S1756,"n.a.")),"n.a.")</x:f>
        <x:v>756506146.8044227</x:v>
      </x:c>
      <x:c r="G1756" s="17" t="n">
        <x:f>IF(AND(ISNUMBER(E1756),ISNUMBER(F1756)),E1756-F1756,"n.a.")</x:f>
        <x:v>-396529470.6544222</x:v>
      </x:c>
      <x:c r="H1756" s="15" t="n">
        <x:f>IF(AND(ISNUMBER(E1756),ISNUMBER(F1756),F1756&gt;0),(E1756-F1756)/F1756,"n.a.")</x:f>
        <x:v>-0.524158954067211</x:v>
      </x:c>
      <x:c r="I1756" s="19" t="n">
        <x:f>IF(ISNUMBER(H1756),ABS(H1756),"n.a.")</x:f>
        <x:v>0.524158954067211</x:v>
      </x:c>
      <x:c r="J1756" s="2" t="str">
        <x:v>available</x:v>
      </x:c>
      <x:c r="K1756" s="2" t="n">
        <x:v>1</x:v>
      </x:c>
      <x:c r="L1756" s="13" t="b">
        <x:v>0</x:v>
      </x:c>
      <x:c r="M1756" s="13" t="b">
        <x:v>1</x:v>
      </x:c>
      <x:c r="N1756" s="2" t="str">
        <x:v>historical_GHSL_BU_estimate</x:v>
      </x:c>
      <x:c r="O1756" s="2" t="str"/>
      <x:c r="P1756" s="2" t="str">
        <x:v>horizontal built-up surface</x:v>
      </x:c>
      <x:c r="Q1756" s="2" t="str">
        <x:v>m2</x:v>
      </x:c>
      <x:c r="R1756" s="17" t="n">
        <x:v>756506146.8044217</x:v>
      </x:c>
      <x:c r="S1756" s="17" t="n">
        <x:v>359976676.15</x:v>
      </x:c>
      <x:c r="T1756" s="18" t="n">
        <x:v>1.0000000000000016</x:v>
      </x:c>
      <x:c r="U1756" s="17" t="n">
        <x:v>359976676.1500005</x:v>
      </x:c>
      <x:c r="V1756" s="2" t="str">
        <x:v>Area equivalent = model2020 * WUP surface / TEMPO2020 footprint; km2 multiplied by1e6 once</x:v>
      </x:c>
      <x:c r="W1756" s="2" t="str">
        <x:v>L1_numeric_partition_qualified_not_national_completeness</x:v>
      </x:c>
      <x:c r="X1756" s="2" t="str">
        <x:v>https://human-settlement.emergency.copernicus.eu/datasets.php</x:v>
      </x:c>
    </x:row>
    <x:row r="1757" ht="23" customHeight="1">
      <x:c r="A1757" s="2" t="str">
        <x:v>TLS</x:v>
      </x:c>
      <x:c r="B1757" s="2" t="str">
        <x:v>Timor-Leste (Democratic Republic of)</x:v>
      </x:c>
      <x:c r="C1757" s="2" t="n">
        <x:v>2020</x:v>
      </x:c>
      <x:c r="D1757" s="2" t="str">
        <x:v>WUP_SURFACE</x:v>
      </x:c>
      <x:c r="E1757" s="17" t="n">
        <x:v>41213693.90000002</x:v>
      </x:c>
      <x:c r="F1757" s="17" t="n">
        <x:f>IF(AND(M1757,ISNUMBER(R1757)),IF(D1757="TEMPO_PROXY",R1757,IF(AND(ISNUMBER(S1757),S1757&gt;0,ISNUMBER(U1757)),U1757*R1757/S1757,"n.a.")),"n.a.")</x:f>
        <x:v>50043573.01595748</x:v>
      </x:c>
      <x:c r="G1757" s="17" t="n">
        <x:f>IF(AND(ISNUMBER(E1757),ISNUMBER(F1757)),E1757-F1757,"n.a.")</x:f>
        <x:v>-8829879.115957461</x:v>
      </x:c>
      <x:c r="H1757" s="15" t="n">
        <x:f>IF(AND(ISNUMBER(E1757),ISNUMBER(F1757),F1757&gt;0),(E1757-F1757)/F1757,"n.a.")</x:f>
        <x:v>-0.17644381853273872</x:v>
      </x:c>
      <x:c r="I1757" s="19" t="n">
        <x:f>IF(ISNUMBER(H1757),ABS(H1757),"n.a.")</x:f>
        <x:v>0.17644381853273872</x:v>
      </x:c>
      <x:c r="J1757" s="2" t="str">
        <x:v>available</x:v>
      </x:c>
      <x:c r="K1757" s="2" t="n">
        <x:v>1</x:v>
      </x:c>
      <x:c r="L1757" s="13" t="b">
        <x:v>0</x:v>
      </x:c>
      <x:c r="M1757" s="13" t="b">
        <x:v>1</x:v>
      </x:c>
      <x:c r="N1757" s="2" t="str">
        <x:v>historical_GHSL_BU_estimate</x:v>
      </x:c>
      <x:c r="O1757" s="2" t="str"/>
      <x:c r="P1757" s="2" t="str">
        <x:v>horizontal built-up surface</x:v>
      </x:c>
      <x:c r="Q1757" s="2" t="str">
        <x:v>m2</x:v>
      </x:c>
      <x:c r="R1757" s="17" t="n">
        <x:v>50043573.01595746</x:v>
      </x:c>
      <x:c r="S1757" s="17" t="n">
        <x:v>41213693.9</x:v>
      </x:c>
      <x:c r="T1757" s="18" t="n">
        <x:v>1.0000000000000004</x:v>
      </x:c>
      <x:c r="U1757" s="17" t="n">
        <x:v>41213693.90000002</x:v>
      </x:c>
      <x:c r="V1757" s="2" t="str">
        <x:v>Area equivalent = model2020 * WUP surface / TEMPO2020 footprint; km2 multiplied by1e6 once</x:v>
      </x:c>
      <x:c r="W1757" s="2" t="str">
        <x:v>L1_numeric_partition_qualified_not_national_completeness</x:v>
      </x:c>
      <x:c r="X1757" s="2" t="str">
        <x:v>https://human-settlement.emergency.copernicus.eu/datasets.php</x:v>
      </x:c>
    </x:row>
    <x:row r="1758" ht="23" customHeight="1">
      <x:c r="A1758" s="2" t="str">
        <x:v>TON</x:v>
      </x:c>
      <x:c r="B1758" s="2" t="str">
        <x:v>Tonga (Kingdom of)</x:v>
      </x:c>
      <x:c r="C1758" s="2" t="n">
        <x:v>2020</x:v>
      </x:c>
      <x:c r="D1758" s="2" t="str">
        <x:v>WUP_SURFACE</x:v>
      </x:c>
      <x:c r="E1758" s="17" t="n">
        <x:v>4719083.849999997</x:v>
      </x:c>
      <x:c r="F1758" s="17" t="n">
        <x:f>IF(AND(M1758,ISNUMBER(R1758)),IF(D1758="TEMPO_PROXY",R1758,IF(AND(ISNUMBER(S1758),S1758&gt;0,ISNUMBER(U1758)),U1758*R1758/S1758,"n.a.")),"n.a.")</x:f>
        <x:v>8585997.990630854</x:v>
      </x:c>
      <x:c r="G1758" s="17" t="n">
        <x:f>IF(AND(ISNUMBER(E1758),ISNUMBER(F1758)),E1758-F1758,"n.a.")</x:f>
        <x:v>-3866914.140630857</x:v>
      </x:c>
      <x:c r="H1758" s="15" t="n">
        <x:f>IF(AND(ISNUMBER(E1758),ISNUMBER(F1758),F1758&gt;0),(E1758-F1758)/F1758,"n.a.")</x:f>
        <x:v>-0.4503744520847176</x:v>
      </x:c>
      <x:c r="I1758" s="19" t="n">
        <x:f>IF(ISNUMBER(H1758),ABS(H1758),"n.a.")</x:f>
        <x:v>0.4503744520847176</x:v>
      </x:c>
      <x:c r="J1758" s="2" t="str">
        <x:v>available</x:v>
      </x:c>
      <x:c r="K1758" s="2" t="n">
        <x:v>1</x:v>
      </x:c>
      <x:c r="L1758" s="13" t="b">
        <x:v>0</x:v>
      </x:c>
      <x:c r="M1758" s="13" t="b">
        <x:v>1</x:v>
      </x:c>
      <x:c r="N1758" s="2" t="str">
        <x:v>historical_GHSL_BU_estimate</x:v>
      </x:c>
      <x:c r="O1758" s="2" t="str"/>
      <x:c r="P1758" s="2" t="str">
        <x:v>horizontal built-up surface</x:v>
      </x:c>
      <x:c r="Q1758" s="2" t="str">
        <x:v>m2</x:v>
      </x:c>
      <x:c r="R1758" s="17" t="n">
        <x:v>8585997.990630858</x:v>
      </x:c>
      <x:c r="S1758" s="17" t="n">
        <x:v>4719083.85</x:v>
      </x:c>
      <x:c r="T1758" s="18" t="n">
        <x:v>0.9999999999999994</x:v>
      </x:c>
      <x:c r="U1758" s="17" t="n">
        <x:v>4719083.849999997</x:v>
      </x:c>
      <x:c r="V1758" s="2" t="str">
        <x:v>Area equivalent = model2020 * WUP surface / TEMPO2020 footprint; km2 multiplied by1e6 once</x:v>
      </x:c>
      <x:c r="W1758" s="2" t="str">
        <x:v>L1_numeric_partition_qualified_not_national_completeness</x:v>
      </x:c>
      <x:c r="X1758" s="2" t="str">
        <x:v>https://human-settlement.emergency.copernicus.eu/datasets.php</x:v>
      </x:c>
    </x:row>
    <x:row r="1759" ht="23" customHeight="1">
      <x:c r="A1759" s="2" t="str">
        <x:v>TTO</x:v>
      </x:c>
      <x:c r="B1759" s="2" t="str">
        <x:v>Trinidad and Tobago (Republic of)</x:v>
      </x:c>
      <x:c r="C1759" s="2" t="n">
        <x:v>2020</x:v>
      </x:c>
      <x:c r="D1759" s="2" t="str">
        <x:v>WUP_SURFACE</x:v>
      </x:c>
      <x:c r="E1759" s="17" t="n">
        <x:v>100480869.27000004</x:v>
      </x:c>
      <x:c r="F1759" s="17" t="n">
        <x:f>IF(AND(M1759,ISNUMBER(R1759)),IF(D1759="TEMPO_PROXY",R1759,IF(AND(ISNUMBER(S1759),S1759&gt;0,ISNUMBER(U1759)),U1759*R1759/S1759,"n.a.")),"n.a.")</x:f>
        <x:v>165736139.07806906</x:v>
      </x:c>
      <x:c r="G1759" s="17" t="n">
        <x:f>IF(AND(ISNUMBER(E1759),ISNUMBER(F1759)),E1759-F1759,"n.a.")</x:f>
        <x:v>-65255269.80806902</x:v>
      </x:c>
      <x:c r="H1759" s="15" t="n">
        <x:f>IF(AND(ISNUMBER(E1759),ISNUMBER(F1759),F1759&gt;0),(E1759-F1759)/F1759,"n.a.")</x:f>
        <x:v>-0.39372987793163744</x:v>
      </x:c>
      <x:c r="I1759" s="19" t="n">
        <x:f>IF(ISNUMBER(H1759),ABS(H1759),"n.a.")</x:f>
        <x:v>0.39372987793163744</x:v>
      </x:c>
      <x:c r="J1759" s="2" t="str">
        <x:v>available</x:v>
      </x:c>
      <x:c r="K1759" s="2" t="n">
        <x:v>1</x:v>
      </x:c>
      <x:c r="L1759" s="13" t="b">
        <x:v>0</x:v>
      </x:c>
      <x:c r="M1759" s="13" t="b">
        <x:v>1</x:v>
      </x:c>
      <x:c r="N1759" s="2" t="str">
        <x:v>historical_GHSL_BU_estimate</x:v>
      </x:c>
      <x:c r="O1759" s="2" t="str"/>
      <x:c r="P1759" s="2" t="str">
        <x:v>horizontal built-up surface</x:v>
      </x:c>
      <x:c r="Q1759" s="2" t="str">
        <x:v>m2</x:v>
      </x:c>
      <x:c r="R1759" s="17" t="n">
        <x:v>165736139.07806897</x:v>
      </x:c>
      <x:c r="S1759" s="17" t="n">
        <x:v>100480869.27</x:v>
      </x:c>
      <x:c r="T1759" s="18" t="n">
        <x:v>1.0000000000000004</x:v>
      </x:c>
      <x:c r="U1759" s="17" t="n">
        <x:v>100480869.27000004</x:v>
      </x:c>
      <x:c r="V1759" s="2" t="str">
        <x:v>Area equivalent = model2020 * WUP surface / TEMPO2020 footprint; km2 multiplied by1e6 once</x:v>
      </x:c>
      <x:c r="W1759" s="2" t="str">
        <x:v>L1_numeric_partition_qualified_not_national_completeness</x:v>
      </x:c>
      <x:c r="X1759" s="2" t="str">
        <x:v>https://human-settlement.emergency.copernicus.eu/datasets.php</x:v>
      </x:c>
    </x:row>
    <x:row r="1760" ht="23" customHeight="1">
      <x:c r="A1760" s="2" t="str">
        <x:v>TUN</x:v>
      </x:c>
      <x:c r="B1760" s="2" t="str">
        <x:v>Tunisia (Republic of)</x:v>
      </x:c>
      <x:c r="C1760" s="2" t="n">
        <x:v>2020</x:v>
      </x:c>
      <x:c r="D1760" s="2" t="str">
        <x:v>WUP_SURFACE</x:v>
      </x:c>
      <x:c r="E1760" s="17" t="n">
        <x:v>649171642.779999</x:v>
      </x:c>
      <x:c r="F1760" s="17" t="n">
        <x:f>IF(AND(M1760,ISNUMBER(R1760)),IF(D1760="TEMPO_PROXY",R1760,IF(AND(ISNUMBER(S1760),S1760&gt;0,ISNUMBER(U1760)),U1760*R1760/S1760,"n.a.")),"n.a.")</x:f>
        <x:v>1154142765.2211654</x:v>
      </x:c>
      <x:c r="G1760" s="17" t="n">
        <x:f>IF(AND(ISNUMBER(E1760),ISNUMBER(F1760)),E1760-F1760,"n.a.")</x:f>
        <x:v>-504971122.4411664</x:v>
      </x:c>
      <x:c r="H1760" s="15" t="n">
        <x:f>IF(AND(ISNUMBER(E1760),ISNUMBER(F1760),F1760&gt;0),(E1760-F1760)/F1760,"n.a.")</x:f>
        <x:v>-0.43752916680494036</x:v>
      </x:c>
      <x:c r="I1760" s="19" t="n">
        <x:f>IF(ISNUMBER(H1760),ABS(H1760),"n.a.")</x:f>
        <x:v>0.43752916680494036</x:v>
      </x:c>
      <x:c r="J1760" s="2" t="str">
        <x:v>available</x:v>
      </x:c>
      <x:c r="K1760" s="2" t="n">
        <x:v>1</x:v>
      </x:c>
      <x:c r="L1760" s="13" t="b">
        <x:v>0</x:v>
      </x:c>
      <x:c r="M1760" s="13" t="b">
        <x:v>1</x:v>
      </x:c>
      <x:c r="N1760" s="2" t="str">
        <x:v>historical_GHSL_BU_estimate</x:v>
      </x:c>
      <x:c r="O1760" s="2" t="str"/>
      <x:c r="P1760" s="2" t="str">
        <x:v>horizontal built-up surface</x:v>
      </x:c>
      <x:c r="Q1760" s="2" t="str">
        <x:v>m2</x:v>
      </x:c>
      <x:c r="R1760" s="17" t="n">
        <x:v>1138292407.080182</x:v>
      </x:c>
      <x:c r="S1760" s="17" t="n">
        <x:v>640256278.63</x:v>
      </x:c>
      <x:c r="T1760" s="18" t="n">
        <x:v>1.0139246805499134</x:v>
      </x:c>
      <x:c r="U1760" s="17" t="n">
        <x:v>649171642.779999</x:v>
      </x:c>
      <x:c r="V1760" s="2" t="str">
        <x:v>Area equivalent = model2020 * WUP surface / TEMPO2020 footprint; km2 multiplied by1e6 once</x:v>
      </x:c>
      <x:c r="W1760" s="2" t="str">
        <x:v>L1_numeric_partition_qualified_not_national_completeness</x:v>
      </x:c>
      <x:c r="X1760" s="2" t="str">
        <x:v>https://human-settlement.emergency.copernicus.eu/datasets.php</x:v>
      </x:c>
    </x:row>
    <x:row r="1761" ht="23" customHeight="1">
      <x:c r="A1761" s="2" t="str">
        <x:v>TUR</x:v>
      </x:c>
      <x:c r="B1761" s="2" t="str">
        <x:v>Türkiye (Republic of)</x:v>
      </x:c>
      <x:c r="C1761" s="2" t="n">
        <x:v>2020</x:v>
      </x:c>
      <x:c r="D1761" s="2" t="str">
        <x:v>WUP_SURFACE</x:v>
      </x:c>
      <x:c r="E1761" s="17" t="n">
        <x:v>3957897873.260005</x:v>
      </x:c>
      <x:c r="F1761" s="17" t="n">
        <x:f>IF(AND(M1761,ISNUMBER(R1761)),IF(D1761="TEMPO_PROXY",R1761,IF(AND(ISNUMBER(S1761),S1761&gt;0,ISNUMBER(U1761)),U1761*R1761/S1761,"n.a.")),"n.a.")</x:f>
        <x:v>3652292550.6128407</x:v>
      </x:c>
      <x:c r="G1761" s="17" t="n">
        <x:f>IF(AND(ISNUMBER(E1761),ISNUMBER(F1761)),E1761-F1761,"n.a.")</x:f>
        <x:v>305605322.64716434</x:v>
      </x:c>
      <x:c r="H1761" s="15" t="n">
        <x:f>IF(AND(ISNUMBER(E1761),ISNUMBER(F1761),F1761&gt;0),(E1761-F1761)/F1761,"n.a.")</x:f>
        <x:v>0.08367492976319352</x:v>
      </x:c>
      <x:c r="I1761" s="19" t="n">
        <x:f>IF(ISNUMBER(H1761),ABS(H1761),"n.a.")</x:f>
        <x:v>0.08367492976319352</x:v>
      </x:c>
      <x:c r="J1761" s="2" t="str">
        <x:v>available</x:v>
      </x:c>
      <x:c r="K1761" s="2" t="n">
        <x:v>1</x:v>
      </x:c>
      <x:c r="L1761" s="13" t="b">
        <x:v>0</x:v>
      </x:c>
      <x:c r="M1761" s="13" t="b">
        <x:v>1</x:v>
      </x:c>
      <x:c r="N1761" s="2" t="str">
        <x:v>historical_GHSL_BU_estimate</x:v>
      </x:c>
      <x:c r="O1761" s="2" t="str"/>
      <x:c r="P1761" s="2" t="str">
        <x:v>horizontal built-up surface</x:v>
      </x:c>
      <x:c r="Q1761" s="2" t="str">
        <x:v>m2</x:v>
      </x:c>
      <x:c r="R1761" s="17" t="n">
        <x:v>3437235122.2279906</x:v>
      </x:c>
      <x:c r="S1761" s="17" t="n">
        <x:v>3724845529.66</x:v>
      </x:c>
      <x:c r="T1761" s="18" t="n">
        <x:v>1.0625669821055044</x:v>
      </x:c>
      <x:c r="U1761" s="17" t="n">
        <x:v>3957897873.260005</x:v>
      </x:c>
      <x:c r="V1761" s="2" t="str">
        <x:v>Area equivalent = model2020 * WUP surface / TEMPO2020 footprint; km2 multiplied by1e6 once</x:v>
      </x:c>
      <x:c r="W1761" s="2" t="str">
        <x:v>L1_numeric_partition_qualified_not_national_completeness</x:v>
      </x:c>
      <x:c r="X1761" s="2" t="str">
        <x:v>https://human-settlement.emergency.copernicus.eu/datasets.php</x:v>
      </x:c>
    </x:row>
    <x:row r="1762" ht="23" customHeight="1">
      <x:c r="A1762" s="2" t="str">
        <x:v>TUV</x:v>
      </x:c>
      <x:c r="B1762" s="2" t="str">
        <x:v>Tuvalu</x:v>
      </x:c>
      <x:c r="C1762" s="2" t="n">
        <x:v>2020</x:v>
      </x:c>
      <x:c r="D1762" s="2" t="str">
        <x:v>WUP_SURFACE</x:v>
      </x:c>
      <x:c r="E1762" s="17" t="n">
        <x:v>19394.80999999999</x:v>
      </x:c>
      <x:c r="F1762" s="17" t="n">
        <x:f>IF(AND(M1762,ISNUMBER(R1762)),IF(D1762="TEMPO_PROXY",R1762,IF(AND(ISNUMBER(S1762),S1762&gt;0,ISNUMBER(U1762)),U1762*R1762/S1762,"n.a.")),"n.a.")</x:f>
        <x:v>808146.0099492684</x:v>
      </x:c>
      <x:c r="G1762" s="17" t="n">
        <x:f>IF(AND(ISNUMBER(E1762),ISNUMBER(F1762)),E1762-F1762,"n.a.")</x:f>
        <x:v>-788751.1999492685</x:v>
      </x:c>
      <x:c r="H1762" s="15" t="n">
        <x:f>IF(AND(ISNUMBER(E1762),ISNUMBER(F1762),F1762&gt;0),(E1762-F1762)/F1762,"n.a.")</x:f>
        <x:v>-0.9760008590511788</x:v>
      </x:c>
      <x:c r="I1762" s="19" t="n">
        <x:f>IF(ISNUMBER(H1762),ABS(H1762),"n.a.")</x:f>
        <x:v>0.9760008590511788</x:v>
      </x:c>
      <x:c r="J1762" s="2" t="str">
        <x:v>available</x:v>
      </x:c>
      <x:c r="K1762" s="2" t="n">
        <x:v>1</x:v>
      </x:c>
      <x:c r="L1762" s="13" t="b">
        <x:v>0</x:v>
      </x:c>
      <x:c r="M1762" s="13" t="b">
        <x:v>1</x:v>
      </x:c>
      <x:c r="N1762" s="2" t="str">
        <x:v>historical_GHSL_BU_estimate</x:v>
      </x:c>
      <x:c r="O1762" s="2" t="str"/>
      <x:c r="P1762" s="2" t="str">
        <x:v>horizontal built-up surface</x:v>
      </x:c>
      <x:c r="Q1762" s="2" t="str">
        <x:v>m2</x:v>
      </x:c>
      <x:c r="R1762" s="17" t="n">
        <x:v>808146.0099492688</x:v>
      </x:c>
      <x:c r="S1762" s="17" t="n">
        <x:v>19394.81</x:v>
      </x:c>
      <x:c r="T1762" s="18" t="n">
        <x:v>0.9999999999999994</x:v>
      </x:c>
      <x:c r="U1762" s="17" t="n">
        <x:v>19394.80999999999</x:v>
      </x:c>
      <x:c r="V1762" s="2" t="str">
        <x:v>Area equivalent = model2020 * WUP surface / TEMPO2020 footprint; km2 multiplied by1e6 once</x:v>
      </x:c>
      <x:c r="W1762" s="2" t="str">
        <x:v>L1_numeric_partition_qualified_not_national_completeness</x:v>
      </x:c>
      <x:c r="X1762" s="2" t="str">
        <x:v>https://human-settlement.emergency.copernicus.eu/datasets.php</x:v>
      </x:c>
    </x:row>
    <x:row r="1763" ht="23" customHeight="1">
      <x:c r="A1763" s="2" t="str">
        <x:v>TZA</x:v>
      </x:c>
      <x:c r="B1763" s="2" t="str">
        <x:v>Tanzania (United Republic of)</x:v>
      </x:c>
      <x:c r="C1763" s="2" t="n">
        <x:v>2020</x:v>
      </x:c>
      <x:c r="D1763" s="2" t="str">
        <x:v>WUP_SURFACE</x:v>
      </x:c>
      <x:c r="E1763" s="17" t="n">
        <x:v>1174486408.8199985</x:v>
      </x:c>
      <x:c r="F1763" s="17" t="n">
        <x:f>IF(AND(M1763,ISNUMBER(R1763)),IF(D1763="TEMPO_PROXY",R1763,IF(AND(ISNUMBER(S1763),S1763&gt;0,ISNUMBER(U1763)),U1763*R1763/S1763,"n.a.")),"n.a.")</x:f>
        <x:v>4116719145.857333</x:v>
      </x:c>
      <x:c r="G1763" s="17" t="n">
        <x:f>IF(AND(ISNUMBER(E1763),ISNUMBER(F1763)),E1763-F1763,"n.a.")</x:f>
        <x:v>-2942232737.0373344</x:v>
      </x:c>
      <x:c r="H1763" s="15" t="n">
        <x:f>IF(AND(ISNUMBER(E1763),ISNUMBER(F1763),F1763&gt;0),(E1763-F1763)/F1763,"n.a.")</x:f>
        <x:v>-0.7147032947336502</x:v>
      </x:c>
      <x:c r="I1763" s="19" t="n">
        <x:f>IF(ISNUMBER(H1763),ABS(H1763),"n.a.")</x:f>
        <x:v>0.7147032947336502</x:v>
      </x:c>
      <x:c r="J1763" s="2" t="str">
        <x:v>available</x:v>
      </x:c>
      <x:c r="K1763" s="2" t="n">
        <x:v>1</x:v>
      </x:c>
      <x:c r="L1763" s="13" t="b">
        <x:v>0</x:v>
      </x:c>
      <x:c r="M1763" s="13" t="b">
        <x:v>1</x:v>
      </x:c>
      <x:c r="N1763" s="2" t="str">
        <x:v>historical_GHSL_BU_estimate</x:v>
      </x:c>
      <x:c r="O1763" s="2" t="str"/>
      <x:c r="P1763" s="2" t="str">
        <x:v>horizontal built-up surface</x:v>
      </x:c>
      <x:c r="Q1763" s="2" t="str">
        <x:v>m2</x:v>
      </x:c>
      <x:c r="R1763" s="17" t="n">
        <x:v>4116719145.857338</x:v>
      </x:c>
      <x:c r="S1763" s="17" t="n">
        <x:v>1174486408.82</x:v>
      </x:c>
      <x:c r="T1763" s="18" t="n">
        <x:v>0.9999999999999988</x:v>
      </x:c>
      <x:c r="U1763" s="17" t="n">
        <x:v>1174486408.8199985</x:v>
      </x:c>
      <x:c r="V1763" s="2" t="str">
        <x:v>Area equivalent = model2020 * WUP surface / TEMPO2020 footprint; km2 multiplied by1e6 once</x:v>
      </x:c>
      <x:c r="W1763" s="2" t="str">
        <x:v>L1_numeric_partition_qualified_not_national_completeness</x:v>
      </x:c>
      <x:c r="X1763" s="2" t="str">
        <x:v>https://human-settlement.emergency.copernicus.eu/datasets.php</x:v>
      </x:c>
    </x:row>
    <x:row r="1764" ht="23" customHeight="1">
      <x:c r="A1764" s="2" t="str">
        <x:v>UGA</x:v>
      </x:c>
      <x:c r="B1764" s="2" t="str">
        <x:v>Uganda (Republic of)</x:v>
      </x:c>
      <x:c r="C1764" s="2" t="n">
        <x:v>2020</x:v>
      </x:c>
      <x:c r="D1764" s="2" t="str">
        <x:v>WUP_SURFACE</x:v>
      </x:c>
      <x:c r="E1764" s="17" t="n">
        <x:v>765891927.1500008</x:v>
      </x:c>
      <x:c r="F1764" s="17" t="n">
        <x:f>IF(AND(M1764,ISNUMBER(R1764)),IF(D1764="TEMPO_PROXY",R1764,IF(AND(ISNUMBER(S1764),S1764&gt;0,ISNUMBER(U1764)),U1764*R1764/S1764,"n.a.")),"n.a.")</x:f>
        <x:v>2642961995.088089</x:v>
      </x:c>
      <x:c r="G1764" s="17" t="n">
        <x:f>IF(AND(ISNUMBER(E1764),ISNUMBER(F1764)),E1764-F1764,"n.a.")</x:f>
        <x:v>-1877070067.9380882</x:v>
      </x:c>
      <x:c r="H1764" s="15" t="n">
        <x:f>IF(AND(ISNUMBER(E1764),ISNUMBER(F1764),F1764&gt;0),(E1764-F1764)/F1764,"n.a.")</x:f>
        <x:v>-0.7102145514867784</x:v>
      </x:c>
      <x:c r="I1764" s="19" t="n">
        <x:f>IF(ISNUMBER(H1764),ABS(H1764),"n.a.")</x:f>
        <x:v>0.7102145514867784</x:v>
      </x:c>
      <x:c r="J1764" s="2" t="str">
        <x:v>available</x:v>
      </x:c>
      <x:c r="K1764" s="2" t="n">
        <x:v>1</x:v>
      </x:c>
      <x:c r="L1764" s="13" t="b">
        <x:v>0</x:v>
      </x:c>
      <x:c r="M1764" s="13" t="b">
        <x:v>1</x:v>
      </x:c>
      <x:c r="N1764" s="2" t="str">
        <x:v>historical_GHSL_BU_estimate</x:v>
      </x:c>
      <x:c r="O1764" s="2" t="str"/>
      <x:c r="P1764" s="2" t="str">
        <x:v>horizontal built-up surface</x:v>
      </x:c>
      <x:c r="Q1764" s="2" t="str">
        <x:v>m2</x:v>
      </x:c>
      <x:c r="R1764" s="17" t="n">
        <x:v>2642961995.088086</x:v>
      </x:c>
      <x:c r="S1764" s="17" t="n">
        <x:v>765891927.15</x:v>
      </x:c>
      <x:c r="T1764" s="18" t="n">
        <x:v>1.000000000000001</x:v>
      </x:c>
      <x:c r="U1764" s="17" t="n">
        <x:v>765891927.1500008</x:v>
      </x:c>
      <x:c r="V1764" s="2" t="str">
        <x:v>Area equivalent = model2020 * WUP surface / TEMPO2020 footprint; km2 multiplied by1e6 once</x:v>
      </x:c>
      <x:c r="W1764" s="2" t="str">
        <x:v>L1_numeric_partition_qualified_not_national_completeness</x:v>
      </x:c>
      <x:c r="X1764" s="2" t="str">
        <x:v>https://human-settlement.emergency.copernicus.eu/datasets.php</x:v>
      </x:c>
    </x:row>
    <x:row r="1765" ht="23" customHeight="1">
      <x:c r="A1765" s="2" t="str">
        <x:v>UKR</x:v>
      </x:c>
      <x:c r="B1765" s="2" t="str">
        <x:v>Ukraine</x:v>
      </x:c>
      <x:c r="C1765" s="2" t="n">
        <x:v>2020</x:v>
      </x:c>
      <x:c r="D1765" s="2" t="str">
        <x:v>WUP_SURFACE</x:v>
      </x:c>
      <x:c r="E1765" s="17" t="n">
        <x:v>2808807029.8199997</x:v>
      </x:c>
      <x:c r="F1765" s="17" t="n">
        <x:f>IF(AND(M1765,ISNUMBER(R1765)),IF(D1765="TEMPO_PROXY",R1765,IF(AND(ISNUMBER(S1765),S1765&gt;0,ISNUMBER(U1765)),U1765*R1765/S1765,"n.a.")),"n.a.")</x:f>
        <x:v>4313766328.5375395</x:v>
      </x:c>
      <x:c r="G1765" s="17" t="n">
        <x:f>IF(AND(ISNUMBER(E1765),ISNUMBER(F1765)),E1765-F1765,"n.a.")</x:f>
        <x:v>-1504959298.7175398</x:v>
      </x:c>
      <x:c r="H1765" s="15" t="n">
        <x:f>IF(AND(ISNUMBER(E1765),ISNUMBER(F1765),F1765&gt;0),(E1765-F1765)/F1765,"n.a.")</x:f>
        <x:v>-0.348873625528009</x:v>
      </x:c>
      <x:c r="I1765" s="19" t="n">
        <x:f>IF(ISNUMBER(H1765),ABS(H1765),"n.a.")</x:f>
        <x:v>0.348873625528009</x:v>
      </x:c>
      <x:c r="J1765" s="2" t="str">
        <x:v>available</x:v>
      </x:c>
      <x:c r="K1765" s="2" t="n">
        <x:v>1</x:v>
      </x:c>
      <x:c r="L1765" s="13" t="b">
        <x:v>0</x:v>
      </x:c>
      <x:c r="M1765" s="13" t="b">
        <x:v>1</x:v>
      </x:c>
      <x:c r="N1765" s="2" t="str">
        <x:v>historical_GHSL_BU_estimate</x:v>
      </x:c>
      <x:c r="O1765" s="2" t="str"/>
      <x:c r="P1765" s="2" t="str">
        <x:v>horizontal built-up surface</x:v>
      </x:c>
      <x:c r="Q1765" s="2" t="str">
        <x:v>m2</x:v>
      </x:c>
      <x:c r="R1765" s="17" t="n">
        <x:v>4313766328.53754</x:v>
      </x:c>
      <x:c r="S1765" s="17" t="n">
        <x:v>2808807029.82</x:v>
      </x:c>
      <x:c r="T1765" s="18" t="n">
        <x:v>0.9999999999999998</x:v>
      </x:c>
      <x:c r="U1765" s="17" t="n">
        <x:v>2808807029.8199997</x:v>
      </x:c>
      <x:c r="V1765" s="2" t="str">
        <x:v>Area equivalent = model2020 * WUP surface / TEMPO2020 footprint; km2 multiplied by1e6 once</x:v>
      </x:c>
      <x:c r="W1765" s="2" t="str">
        <x:v>L1_numeric_partition_qualified_not_national_completeness</x:v>
      </x:c>
      <x:c r="X1765" s="2" t="str">
        <x:v>https://human-settlement.emergency.copernicus.eu/datasets.php</x:v>
      </x:c>
    </x:row>
    <x:row r="1766" ht="23" customHeight="1">
      <x:c r="A1766" s="2" t="str">
        <x:v>URY</x:v>
      </x:c>
      <x:c r="B1766" s="2" t="str">
        <x:v>Uruguay (Oriental Republic of)</x:v>
      </x:c>
      <x:c r="C1766" s="2" t="n">
        <x:v>2020</x:v>
      </x:c>
      <x:c r="D1766" s="2" t="str">
        <x:v>WUP_SURFACE</x:v>
      </x:c>
      <x:c r="E1766" s="17" t="n">
        <x:v>209727833.2899997</x:v>
      </x:c>
      <x:c r="F1766" s="17" t="n">
        <x:f>IF(AND(M1766,ISNUMBER(R1766)),IF(D1766="TEMPO_PROXY",R1766,IF(AND(ISNUMBER(S1766),S1766&gt;0,ISNUMBER(U1766)),U1766*R1766/S1766,"n.a.")),"n.a.")</x:f>
        <x:v>380701570.04661816</x:v>
      </x:c>
      <x:c r="G1766" s="17" t="n">
        <x:f>IF(AND(ISNUMBER(E1766),ISNUMBER(F1766)),E1766-F1766,"n.a.")</x:f>
        <x:v>-170973736.75661847</x:v>
      </x:c>
      <x:c r="H1766" s="15" t="n">
        <x:f>IF(AND(ISNUMBER(E1766),ISNUMBER(F1766),F1766&gt;0),(E1766-F1766)/F1766,"n.a.")</x:f>
        <x:v>-0.44910173797203456</x:v>
      </x:c>
      <x:c r="I1766" s="19" t="n">
        <x:f>IF(ISNUMBER(H1766),ABS(H1766),"n.a.")</x:f>
        <x:v>0.44910173797203456</x:v>
      </x:c>
      <x:c r="J1766" s="2" t="str">
        <x:v>available</x:v>
      </x:c>
      <x:c r="K1766" s="2" t="n">
        <x:v>1</x:v>
      </x:c>
      <x:c r="L1766" s="13" t="b">
        <x:v>0</x:v>
      </x:c>
      <x:c r="M1766" s="13" t="b">
        <x:v>1</x:v>
      </x:c>
      <x:c r="N1766" s="2" t="str">
        <x:v>historical_GHSL_BU_estimate</x:v>
      </x:c>
      <x:c r="O1766" s="2" t="str"/>
      <x:c r="P1766" s="2" t="str">
        <x:v>horizontal built-up surface</x:v>
      </x:c>
      <x:c r="Q1766" s="2" t="str">
        <x:v>m2</x:v>
      </x:c>
      <x:c r="R1766" s="17" t="n">
        <x:v>380701570.0466187</x:v>
      </x:c>
      <x:c r="S1766" s="17" t="n">
        <x:v>209727833.29</x:v>
      </x:c>
      <x:c r="T1766" s="18" t="n">
        <x:v>0.9999999999999986</x:v>
      </x:c>
      <x:c r="U1766" s="17" t="n">
        <x:v>209727833.2899997</x:v>
      </x:c>
      <x:c r="V1766" s="2" t="str">
        <x:v>Area equivalent = model2020 * WUP surface / TEMPO2020 footprint; km2 multiplied by1e6 once</x:v>
      </x:c>
      <x:c r="W1766" s="2" t="str">
        <x:v>L1_numeric_partition_qualified_not_national_completeness</x:v>
      </x:c>
      <x:c r="X1766" s="2" t="str">
        <x:v>https://human-settlement.emergency.copernicus.eu/datasets.php</x:v>
      </x:c>
    </x:row>
    <x:row r="1767" ht="23" customHeight="1">
      <x:c r="A1767" s="2" t="str">
        <x:v>USA</x:v>
      </x:c>
      <x:c r="B1767" s="2" t="str">
        <x:v>United States of America</x:v>
      </x:c>
      <x:c r="C1767" s="2" t="n">
        <x:v>2020</x:v>
      </x:c>
      <x:c r="D1767" s="2" t="str">
        <x:v>WUP_SURFACE</x:v>
      </x:c>
      <x:c r="E1767" s="17" t="n">
        <x:v>35932980078.68004</x:v>
      </x:c>
      <x:c r="F1767" s="17" t="n">
        <x:f>IF(AND(M1767,ISNUMBER(R1767)),IF(D1767="TEMPO_PROXY",R1767,IF(AND(ISNUMBER(S1767),S1767&gt;0,ISNUMBER(U1767)),U1767*R1767/S1767,"n.a.")),"n.a.")</x:f>
        <x:v>60246811001.315636</x:v>
      </x:c>
      <x:c r="G1767" s="17" t="n">
        <x:f>IF(AND(ISNUMBER(E1767),ISNUMBER(F1767)),E1767-F1767,"n.a.")</x:f>
        <x:v>-24313830922.635597</x:v>
      </x:c>
      <x:c r="H1767" s="15" t="n">
        <x:f>IF(AND(ISNUMBER(E1767),ISNUMBER(F1767),F1767&gt;0),(E1767-F1767)/F1767,"n.a.")</x:f>
        <x:v>-0.4035704217125226</x:v>
      </x:c>
      <x:c r="I1767" s="19" t="n">
        <x:f>IF(ISNUMBER(H1767),ABS(H1767),"n.a.")</x:f>
        <x:v>0.4035704217125226</x:v>
      </x:c>
      <x:c r="J1767" s="2" t="str">
        <x:v>available</x:v>
      </x:c>
      <x:c r="K1767" s="2" t="n">
        <x:v>1</x:v>
      </x:c>
      <x:c r="L1767" s="13" t="b">
        <x:v>0</x:v>
      </x:c>
      <x:c r="M1767" s="13" t="b">
        <x:v>1</x:v>
      </x:c>
      <x:c r="N1767" s="2" t="str">
        <x:v>historical_GHSL_BU_estimate</x:v>
      </x:c>
      <x:c r="O1767" s="2" t="str"/>
      <x:c r="P1767" s="2" t="str">
        <x:v>horizontal built-up surface</x:v>
      </x:c>
      <x:c r="Q1767" s="2" t="str">
        <x:v>m2</x:v>
      </x:c>
      <x:c r="R1767" s="17" t="n">
        <x:v>60246811001.31557</x:v>
      </x:c>
      <x:c r="S1767" s="17" t="n">
        <x:v>35932980078.68</x:v>
      </x:c>
      <x:c r="T1767" s="18" t="n">
        <x:v>1.000000000000001</x:v>
      </x:c>
      <x:c r="U1767" s="17" t="n">
        <x:v>35932980078.68004</x:v>
      </x:c>
      <x:c r="V1767" s="2" t="str">
        <x:v>Area equivalent = model2020 * WUP surface / TEMPO2020 footprint; km2 multiplied by1e6 once</x:v>
      </x:c>
      <x:c r="W1767" s="2" t="str">
        <x:v>L1_numeric_partition_qualified_not_national_completeness</x:v>
      </x:c>
      <x:c r="X1767" s="2" t="str">
        <x:v>https://human-settlement.emergency.copernicus.eu/datasets.php</x:v>
      </x:c>
    </x:row>
    <x:row r="1768" ht="23" customHeight="1">
      <x:c r="A1768" s="2" t="str">
        <x:v>UZB</x:v>
      </x:c>
      <x:c r="B1768" s="2" t="str">
        <x:v>Uzbekistan (Republic of)</x:v>
      </x:c>
      <x:c r="C1768" s="2" t="n">
        <x:v>2020</x:v>
      </x:c>
      <x:c r="D1768" s="2" t="str">
        <x:v>WUP_SURFACE</x:v>
      </x:c>
      <x:c r="E1768" s="17" t="n">
        <x:v>1997042653.6300015</x:v>
      </x:c>
      <x:c r="F1768" s="17" t="n">
        <x:f>IF(AND(M1768,ISNUMBER(R1768)),IF(D1768="TEMPO_PROXY",R1768,IF(AND(ISNUMBER(S1768),S1768&gt;0,ISNUMBER(U1768)),U1768*R1768/S1768,"n.a.")),"n.a.")</x:f>
        <x:v>3793565339.8305225</x:v>
      </x:c>
      <x:c r="G1768" s="17" t="n">
        <x:f>IF(AND(ISNUMBER(E1768),ISNUMBER(F1768)),E1768-F1768,"n.a.")</x:f>
        <x:v>-1796522686.200521</x:v>
      </x:c>
      <x:c r="H1768" s="15" t="n">
        <x:f>IF(AND(ISNUMBER(E1768),ISNUMBER(F1768),F1768&gt;0),(E1768-F1768)/F1768,"n.a.")</x:f>
        <x:v>-0.47357104076683193</x:v>
      </x:c>
      <x:c r="I1768" s="19" t="n">
        <x:f>IF(ISNUMBER(H1768),ABS(H1768),"n.a.")</x:f>
        <x:v>0.47357104076683193</x:v>
      </x:c>
      <x:c r="J1768" s="2" t="str">
        <x:v>available</x:v>
      </x:c>
      <x:c r="K1768" s="2" t="n">
        <x:v>1</x:v>
      </x:c>
      <x:c r="L1768" s="13" t="b">
        <x:v>0</x:v>
      </x:c>
      <x:c r="M1768" s="13" t="b">
        <x:v>1</x:v>
      </x:c>
      <x:c r="N1768" s="2" t="str">
        <x:v>historical_GHSL_BU_estimate</x:v>
      </x:c>
      <x:c r="O1768" s="2" t="str"/>
      <x:c r="P1768" s="2" t="str">
        <x:v>horizontal built-up surface</x:v>
      </x:c>
      <x:c r="Q1768" s="2" t="str">
        <x:v>m2</x:v>
      </x:c>
      <x:c r="R1768" s="17" t="n">
        <x:v>3793565339.8305197</x:v>
      </x:c>
      <x:c r="S1768" s="17" t="n">
        <x:v>1997042653.63</x:v>
      </x:c>
      <x:c r="T1768" s="18" t="n">
        <x:v>1.0000000000000007</x:v>
      </x:c>
      <x:c r="U1768" s="17" t="n">
        <x:v>1997042653.6300015</x:v>
      </x:c>
      <x:c r="V1768" s="2" t="str">
        <x:v>Area equivalent = model2020 * WUP surface / TEMPO2020 footprint; km2 multiplied by1e6 once</x:v>
      </x:c>
      <x:c r="W1768" s="2" t="str">
        <x:v>L1_numeric_partition_qualified_not_national_completeness</x:v>
      </x:c>
      <x:c r="X1768" s="2" t="str">
        <x:v>https://human-settlement.emergency.copernicus.eu/datasets.php</x:v>
      </x:c>
    </x:row>
    <x:row r="1769" ht="23" customHeight="1">
      <x:c r="A1769" s="2" t="str">
        <x:v>VAT</x:v>
      </x:c>
      <x:c r="B1769" s="2" t="str">
        <x:v>Holy See (State of the Vatican City)</x:v>
      </x:c>
      <x:c r="C1769" s="2" t="n">
        <x:v>2020</x:v>
      </x:c>
      <x:c r="D1769" s="2" t="str">
        <x:v>WUP_SURFACE</x:v>
      </x:c>
      <x:c r="E1769" s="17" t="n">
        <x:v>318924.24</x:v>
      </x:c>
      <x:c r="F1769" s="17" t="n">
        <x:f>IF(AND(M1769,ISNUMBER(R1769)),IF(D1769="TEMPO_PROXY",R1769,IF(AND(ISNUMBER(S1769),S1769&gt;0,ISNUMBER(U1769)),U1769*R1769/S1769,"n.a.")),"n.a.")</x:f>
        <x:v>973291.6690460743</x:v>
      </x:c>
      <x:c r="G1769" s="17" t="n">
        <x:f>IF(AND(ISNUMBER(E1769),ISNUMBER(F1769)),E1769-F1769,"n.a.")</x:f>
        <x:v>-654367.4290460743</x:v>
      </x:c>
      <x:c r="H1769" s="15" t="n">
        <x:f>IF(AND(ISNUMBER(E1769),ISNUMBER(F1769),F1769&gt;0),(E1769-F1769)/F1769,"n.a.")</x:f>
        <x:v>-0.6723240831676095</x:v>
      </x:c>
      <x:c r="I1769" s="19" t="n">
        <x:f>IF(ISNUMBER(H1769),ABS(H1769),"n.a.")</x:f>
        <x:v>0.6723240831676095</x:v>
      </x:c>
      <x:c r="J1769" s="2" t="str">
        <x:v>available</x:v>
      </x:c>
      <x:c r="K1769" s="2" t="n">
        <x:v>1</x:v>
      </x:c>
      <x:c r="L1769" s="13" t="b">
        <x:v>0</x:v>
      </x:c>
      <x:c r="M1769" s="13" t="b">
        <x:v>1</x:v>
      </x:c>
      <x:c r="N1769" s="2" t="str">
        <x:v>historical_GHSL_BU_estimate</x:v>
      </x:c>
      <x:c r="O1769" s="2" t="str"/>
      <x:c r="P1769" s="2" t="str">
        <x:v>horizontal built-up surface</x:v>
      </x:c>
      <x:c r="Q1769" s="2" t="str">
        <x:v>m2</x:v>
      </x:c>
      <x:c r="R1769" s="17" t="n">
        <x:v>360359.0130805969</x:v>
      </x:c>
      <x:c r="S1769" s="17" t="n">
        <x:v>118080.97</x:v>
      </x:c>
      <x:c r="T1769" s="18" t="n">
        <x:v>2.700894479440675</x:v>
      </x:c>
      <x:c r="U1769" s="17" t="n">
        <x:v>318924.24</x:v>
      </x:c>
      <x:c r="V1769" s="2" t="str">
        <x:v>Area equivalent = model2020 * WUP surface / TEMPO2020 footprint; km2 multiplied by1e6 once</x:v>
      </x:c>
      <x:c r="W1769" s="2" t="str">
        <x:v>L1_numeric_partition_qualified_not_national_completeness</x:v>
      </x:c>
      <x:c r="X1769" s="2" t="str">
        <x:v>https://human-settlement.emergency.copernicus.eu/datasets.php</x:v>
      </x:c>
    </x:row>
    <x:row r="1770" ht="23" customHeight="1">
      <x:c r="A1770" s="2" t="str">
        <x:v>VCT</x:v>
      </x:c>
      <x:c r="B1770" s="2" t="str">
        <x:v>Saint Vincent and the Grenadines</x:v>
      </x:c>
      <x:c r="C1770" s="2" t="n">
        <x:v>2020</x:v>
      </x:c>
      <x:c r="D1770" s="2" t="str">
        <x:v>WUP_SURFACE</x:v>
      </x:c>
      <x:c r="E1770" s="17" t="n">
        <x:v>6194383.570000002</x:v>
      </x:c>
      <x:c r="F1770" s="17" t="n">
        <x:f>IF(AND(M1770,ISNUMBER(R1770)),IF(D1770="TEMPO_PROXY",R1770,IF(AND(ISNUMBER(S1770),S1770&gt;0,ISNUMBER(U1770)),U1770*R1770/S1770,"n.a.")),"n.a.")</x:f>
        <x:v>10351806.97765634</x:v>
      </x:c>
      <x:c r="G1770" s="17" t="n">
        <x:f>IF(AND(ISNUMBER(E1770),ISNUMBER(F1770)),E1770-F1770,"n.a.")</x:f>
        <x:v>-4157423.407656338</x:v>
      </x:c>
      <x:c r="H1770" s="15" t="n">
        <x:f>IF(AND(ISNUMBER(E1770),ISNUMBER(F1770),F1770&gt;0),(E1770-F1770)/F1770,"n.a.")</x:f>
        <x:v>-0.40161330448199517</x:v>
      </x:c>
      <x:c r="I1770" s="19" t="n">
        <x:f>IF(ISNUMBER(H1770),ABS(H1770),"n.a.")</x:f>
        <x:v>0.40161330448199517</x:v>
      </x:c>
      <x:c r="J1770" s="2" t="str">
        <x:v>available</x:v>
      </x:c>
      <x:c r="K1770" s="2" t="n">
        <x:v>1</x:v>
      </x:c>
      <x:c r="L1770" s="13" t="b">
        <x:v>0</x:v>
      </x:c>
      <x:c r="M1770" s="13" t="b">
        <x:v>1</x:v>
      </x:c>
      <x:c r="N1770" s="2" t="str">
        <x:v>historical_GHSL_BU_estimate</x:v>
      </x:c>
      <x:c r="O1770" s="2" t="str"/>
      <x:c r="P1770" s="2" t="str">
        <x:v>horizontal built-up surface</x:v>
      </x:c>
      <x:c r="Q1770" s="2" t="str">
        <x:v>m2</x:v>
      </x:c>
      <x:c r="R1770" s="17" t="n">
        <x:v>10351806.977656337</x:v>
      </x:c>
      <x:c r="S1770" s="17" t="n">
        <x:v>6194383.57</x:v>
      </x:c>
      <x:c r="T1770" s="18" t="n">
        <x:v>1.0000000000000002</x:v>
      </x:c>
      <x:c r="U1770" s="17" t="n">
        <x:v>6194383.570000002</x:v>
      </x:c>
      <x:c r="V1770" s="2" t="str">
        <x:v>Area equivalent = model2020 * WUP surface / TEMPO2020 footprint; km2 multiplied by1e6 once</x:v>
      </x:c>
      <x:c r="W1770" s="2" t="str">
        <x:v>L1_numeric_partition_qualified_not_national_completeness</x:v>
      </x:c>
      <x:c r="X1770" s="2" t="str">
        <x:v>https://human-settlement.emergency.copernicus.eu/datasets.php</x:v>
      </x:c>
    </x:row>
    <x:row r="1771" ht="23" customHeight="1">
      <x:c r="A1771" s="2" t="str">
        <x:v>VEN</x:v>
      </x:c>
      <x:c r="B1771" s="2" t="str">
        <x:v>Venezuela (Bolivarian Republic of)</x:v>
      </x:c>
      <x:c r="C1771" s="2" t="n">
        <x:v>2020</x:v>
      </x:c>
      <x:c r="D1771" s="2" t="str">
        <x:v>WUP_SURFACE</x:v>
      </x:c>
      <x:c r="E1771" s="17" t="n">
        <x:v>1159546607.6500015</x:v>
      </x:c>
      <x:c r="F1771" s="17" t="n">
        <x:f>IF(AND(M1771,ISNUMBER(R1771)),IF(D1771="TEMPO_PROXY",R1771,IF(AND(ISNUMBER(S1771),S1771&gt;0,ISNUMBER(U1771)),U1771*R1771/S1771,"n.a.")),"n.a.")</x:f>
        <x:v>1484592084.073907</x:v>
      </x:c>
      <x:c r="G1771" s="17" t="n">
        <x:f>IF(AND(ISNUMBER(E1771),ISNUMBER(F1771)),E1771-F1771,"n.a.")</x:f>
        <x:v>-325045476.4239054</x:v>
      </x:c>
      <x:c r="H1771" s="15" t="n">
        <x:f>IF(AND(ISNUMBER(E1771),ISNUMBER(F1771),F1771&gt;0),(E1771-F1771)/F1771,"n.a.")</x:f>
        <x:v>-0.21894598517051217</x:v>
      </x:c>
      <x:c r="I1771" s="19" t="n">
        <x:f>IF(ISNUMBER(H1771),ABS(H1771),"n.a.")</x:f>
        <x:v>0.21894598517051217</x:v>
      </x:c>
      <x:c r="J1771" s="2" t="str">
        <x:v>available</x:v>
      </x:c>
      <x:c r="K1771" s="2" t="n">
        <x:v>1</x:v>
      </x:c>
      <x:c r="L1771" s="13" t="b">
        <x:v>0</x:v>
      </x:c>
      <x:c r="M1771" s="13" t="b">
        <x:v>1</x:v>
      </x:c>
      <x:c r="N1771" s="2" t="str">
        <x:v>historical_GHSL_BU_estimate</x:v>
      </x:c>
      <x:c r="O1771" s="2" t="str"/>
      <x:c r="P1771" s="2" t="str">
        <x:v>horizontal built-up surface</x:v>
      </x:c>
      <x:c r="Q1771" s="2" t="str">
        <x:v>m2</x:v>
      </x:c>
      <x:c r="R1771" s="17" t="n">
        <x:v>1484592084.073905</x:v>
      </x:c>
      <x:c r="S1771" s="17" t="n">
        <x:v>1159546607.65</x:v>
      </x:c>
      <x:c r="T1771" s="18" t="n">
        <x:v>1.0000000000000013</x:v>
      </x:c>
      <x:c r="U1771" s="17" t="n">
        <x:v>1159546607.6500015</x:v>
      </x:c>
      <x:c r="V1771" s="2" t="str">
        <x:v>Area equivalent = model2020 * WUP surface / TEMPO2020 footprint; km2 multiplied by1e6 once</x:v>
      </x:c>
      <x:c r="W1771" s="2" t="str">
        <x:v>L1_numeric_partition_qualified_not_national_completeness</x:v>
      </x:c>
      <x:c r="X1771" s="2" t="str">
        <x:v>https://human-settlement.emergency.copernicus.eu/datasets.php</x:v>
      </x:c>
    </x:row>
    <x:row r="1772" ht="23" customHeight="1">
      <x:c r="A1772" s="2" t="str">
        <x:v>VNM</x:v>
      </x:c>
      <x:c r="B1772" s="2" t="str">
        <x:v>Viet Nam (Socialist Republic of)</x:v>
      </x:c>
      <x:c r="C1772" s="2" t="n">
        <x:v>2020</x:v>
      </x:c>
      <x:c r="D1772" s="2" t="str">
        <x:v>WUP_SURFACE</x:v>
      </x:c>
      <x:c r="E1772" s="17" t="n">
        <x:v>4861867508.520002</x:v>
      </x:c>
      <x:c r="F1772" s="17" t="n">
        <x:f>IF(AND(M1772,ISNUMBER(R1772)),IF(D1772="TEMPO_PROXY",R1772,IF(AND(ISNUMBER(S1772),S1772&gt;0,ISNUMBER(U1772)),U1772*R1772/S1772,"n.a.")),"n.a.")</x:f>
        <x:v>5179133334.722181</x:v>
      </x:c>
      <x:c r="G1772" s="17" t="n">
        <x:f>IF(AND(ISNUMBER(E1772),ISNUMBER(F1772)),E1772-F1772,"n.a.")</x:f>
        <x:v>-317265826.20217896</x:v>
      </x:c>
      <x:c r="H1772" s="15" t="n">
        <x:f>IF(AND(ISNUMBER(E1772),ISNUMBER(F1772),F1772&gt;0),(E1772-F1772)/F1772,"n.a.")</x:f>
        <x:v>-0.06125847814636302</x:v>
      </x:c>
      <x:c r="I1772" s="19" t="n">
        <x:f>IF(ISNUMBER(H1772),ABS(H1772),"n.a.")</x:f>
        <x:v>0.06125847814636302</x:v>
      </x:c>
      <x:c r="J1772" s="2" t="str">
        <x:v>available</x:v>
      </x:c>
      <x:c r="K1772" s="2" t="n">
        <x:v>1</x:v>
      </x:c>
      <x:c r="L1772" s="13" t="b">
        <x:v>0</x:v>
      </x:c>
      <x:c r="M1772" s="13" t="b">
        <x:v>1</x:v>
      </x:c>
      <x:c r="N1772" s="2" t="str">
        <x:v>historical_GHSL_BU_estimate</x:v>
      </x:c>
      <x:c r="O1772" s="2" t="str"/>
      <x:c r="P1772" s="2" t="str">
        <x:v>horizontal built-up surface</x:v>
      </x:c>
      <x:c r="Q1772" s="2" t="str">
        <x:v>m2</x:v>
      </x:c>
      <x:c r="R1772" s="17" t="n">
        <x:v>5086925512.180058</x:v>
      </x:c>
      <x:c r="S1772" s="17" t="n">
        <x:v>4775308196.86</x:v>
      </x:c>
      <x:c r="T1772" s="18" t="n">
        <x:v>1.0181264345863414</x:v>
      </x:c>
      <x:c r="U1772" s="17" t="n">
        <x:v>4861867508.520002</x:v>
      </x:c>
      <x:c r="V1772" s="2" t="str">
        <x:v>Area equivalent = model2020 * WUP surface / TEMPO2020 footprint; km2 multiplied by1e6 once</x:v>
      </x:c>
      <x:c r="W1772" s="2" t="str">
        <x:v>L1_numeric_partition_qualified_not_national_completeness</x:v>
      </x:c>
      <x:c r="X1772" s="2" t="str">
        <x:v>https://human-settlement.emergency.copernicus.eu/datasets.php</x:v>
      </x:c>
    </x:row>
    <x:row r="1773" ht="23" customHeight="1">
      <x:c r="A1773" s="2" t="str">
        <x:v>VUT</x:v>
      </x:c>
      <x:c r="B1773" s="2" t="str">
        <x:v>Vanuatu (Republic of)</x:v>
      </x:c>
      <x:c r="C1773" s="2" t="n">
        <x:v>2020</x:v>
      </x:c>
      <x:c r="D1773" s="2" t="str">
        <x:v>WUP_SURFACE</x:v>
      </x:c>
      <x:c r="E1773" s="17" t="n">
        <x:v>8193524.700000004</x:v>
      </x:c>
      <x:c r="F1773" s="17" t="n">
        <x:f>IF(AND(M1773,ISNUMBER(R1773)),IF(D1773="TEMPO_PROXY",R1773,IF(AND(ISNUMBER(S1773),S1773&gt;0,ISNUMBER(U1773)),U1773*R1773/S1773,"n.a.")),"n.a.")</x:f>
        <x:v>13741144.030732362</x:v>
      </x:c>
      <x:c r="G1773" s="17" t="n">
        <x:f>IF(AND(ISNUMBER(E1773),ISNUMBER(F1773)),E1773-F1773,"n.a.")</x:f>
        <x:v>-5547619.330732358</x:v>
      </x:c>
      <x:c r="H1773" s="15" t="n">
        <x:f>IF(AND(ISNUMBER(E1773),ISNUMBER(F1773),F1773&gt;0),(E1773-F1773)/F1773,"n.a.")</x:f>
        <x:v>-0.40372325028578326</x:v>
      </x:c>
      <x:c r="I1773" s="19" t="n">
        <x:f>IF(ISNUMBER(H1773),ABS(H1773),"n.a.")</x:f>
        <x:v>0.40372325028578326</x:v>
      </x:c>
      <x:c r="J1773" s="2" t="str">
        <x:v>available</x:v>
      </x:c>
      <x:c r="K1773" s="2" t="n">
        <x:v>1</x:v>
      </x:c>
      <x:c r="L1773" s="13" t="b">
        <x:v>0</x:v>
      </x:c>
      <x:c r="M1773" s="13" t="b">
        <x:v>1</x:v>
      </x:c>
      <x:c r="N1773" s="2" t="str">
        <x:v>historical_GHSL_BU_estimate</x:v>
      </x:c>
      <x:c r="O1773" s="2" t="str"/>
      <x:c r="P1773" s="2" t="str">
        <x:v>horizontal built-up surface</x:v>
      </x:c>
      <x:c r="Q1773" s="2" t="str">
        <x:v>m2</x:v>
      </x:c>
      <x:c r="R1773" s="17" t="n">
        <x:v>13741144.030732356</x:v>
      </x:c>
      <x:c r="S1773" s="17" t="n">
        <x:v>8193524.7</x:v>
      </x:c>
      <x:c r="T1773" s="18" t="n">
        <x:v>1.0000000000000004</x:v>
      </x:c>
      <x:c r="U1773" s="17" t="n">
        <x:v>8193524.700000004</x:v>
      </x:c>
      <x:c r="V1773" s="2" t="str">
        <x:v>Area equivalent = model2020 * WUP surface / TEMPO2020 footprint; km2 multiplied by1e6 once</x:v>
      </x:c>
      <x:c r="W1773" s="2" t="str">
        <x:v>L1_numeric_partition_qualified_not_national_completeness</x:v>
      </x:c>
      <x:c r="X1773" s="2" t="str">
        <x:v>https://human-settlement.emergency.copernicus.eu/datasets.php</x:v>
      </x:c>
    </x:row>
    <x:row r="1774" ht="23" customHeight="1">
      <x:c r="A1774" s="2" t="str">
        <x:v>WSM</x:v>
      </x:c>
      <x:c r="B1774" s="2" t="str">
        <x:v>Samoa (Independent State of)</x:v>
      </x:c>
      <x:c r="C1774" s="2" t="n">
        <x:v>2020</x:v>
      </x:c>
      <x:c r="D1774" s="2" t="str">
        <x:v>WUP_SURFACE</x:v>
      </x:c>
      <x:c r="E1774" s="17" t="n">
        <x:v>8105266.000000001</x:v>
      </x:c>
      <x:c r="F1774" s="17" t="n">
        <x:f>IF(AND(M1774,ISNUMBER(R1774)),IF(D1774="TEMPO_PROXY",R1774,IF(AND(ISNUMBER(S1774),S1774&gt;0,ISNUMBER(U1774)),U1774*R1774/S1774,"n.a.")),"n.a.")</x:f>
        <x:v>15743507.98115063</x:v>
      </x:c>
      <x:c r="G1774" s="17" t="n">
        <x:f>IF(AND(ISNUMBER(E1774),ISNUMBER(F1774)),E1774-F1774,"n.a.")</x:f>
        <x:v>-7638241.98115063</x:v>
      </x:c>
      <x:c r="H1774" s="15" t="n">
        <x:f>IF(AND(ISNUMBER(E1774),ISNUMBER(F1774),F1774&gt;0),(E1774-F1774)/F1774,"n.a.")</x:f>
        <x:v>-0.4851677269319986</x:v>
      </x:c>
      <x:c r="I1774" s="19" t="n">
        <x:f>IF(ISNUMBER(H1774),ABS(H1774),"n.a.")</x:f>
        <x:v>0.4851677269319986</x:v>
      </x:c>
      <x:c r="J1774" s="2" t="str">
        <x:v>available</x:v>
      </x:c>
      <x:c r="K1774" s="2" t="n">
        <x:v>1</x:v>
      </x:c>
      <x:c r="L1774" s="13" t="b">
        <x:v>0</x:v>
      </x:c>
      <x:c r="M1774" s="13" t="b">
        <x:v>1</x:v>
      </x:c>
      <x:c r="N1774" s="2" t="str">
        <x:v>historical_GHSL_BU_estimate</x:v>
      </x:c>
      <x:c r="O1774" s="2" t="str"/>
      <x:c r="P1774" s="2" t="str">
        <x:v>horizontal built-up surface</x:v>
      </x:c>
      <x:c r="Q1774" s="2" t="str">
        <x:v>m2</x:v>
      </x:c>
      <x:c r="R1774" s="17" t="n">
        <x:v>15743507.981150629</x:v>
      </x:c>
      <x:c r="S1774" s="17" t="n">
        <x:v>8105266</x:v>
      </x:c>
      <x:c r="T1774" s="18" t="n">
        <x:v>1.0000000000000002</x:v>
      </x:c>
      <x:c r="U1774" s="17" t="n">
        <x:v>8105266.000000001</x:v>
      </x:c>
      <x:c r="V1774" s="2" t="str">
        <x:v>Area equivalent = model2020 * WUP surface / TEMPO2020 footprint; km2 multiplied by1e6 once</x:v>
      </x:c>
      <x:c r="W1774" s="2" t="str">
        <x:v>L1_numeric_partition_qualified_not_national_completeness</x:v>
      </x:c>
      <x:c r="X1774" s="2" t="str">
        <x:v>https://human-settlement.emergency.copernicus.eu/datasets.php</x:v>
      </x:c>
    </x:row>
    <x:row r="1775" ht="23" customHeight="1">
      <x:c r="A1775" s="2" t="str">
        <x:v>YEM</x:v>
      </x:c>
      <x:c r="B1775" s="2" t="str">
        <x:v>Yemen (Republic of)</x:v>
      </x:c>
      <x:c r="C1775" s="2" t="n">
        <x:v>2020</x:v>
      </x:c>
      <x:c r="D1775" s="2" t="str">
        <x:v>WUP_SURFACE</x:v>
      </x:c>
      <x:c r="E1775" s="17" t="n">
        <x:v>454480387.6899993</x:v>
      </x:c>
      <x:c r="F1775" s="17" t="n">
        <x:f>IF(AND(M1775,ISNUMBER(R1775)),IF(D1775="TEMPO_PROXY",R1775,IF(AND(ISNUMBER(S1775),S1775&gt;0,ISNUMBER(U1775)),U1775*R1775/S1775,"n.a.")),"n.a.")</x:f>
        <x:v>262106950.0246262</x:v>
      </x:c>
      <x:c r="G1775" s="17" t="n">
        <x:f>IF(AND(ISNUMBER(E1775),ISNUMBER(F1775)),E1775-F1775,"n.a.")</x:f>
        <x:v>192373437.6653731</x:v>
      </x:c>
      <x:c r="H1775" s="15" t="n">
        <x:f>IF(AND(ISNUMBER(E1775),ISNUMBER(F1775),F1775&gt;0),(E1775-F1775)/F1775,"n.a.")</x:f>
        <x:v>0.7339501590755174</x:v>
      </x:c>
      <x:c r="I1775" s="19" t="n">
        <x:f>IF(ISNUMBER(H1775),ABS(H1775),"n.a.")</x:f>
        <x:v>0.7339501590755174</x:v>
      </x:c>
      <x:c r="J1775" s="2" t="str">
        <x:v>available</x:v>
      </x:c>
      <x:c r="K1775" s="2" t="n">
        <x:v>1</x:v>
      </x:c>
      <x:c r="L1775" s="13" t="b">
        <x:v>0</x:v>
      </x:c>
      <x:c r="M1775" s="13" t="b">
        <x:v>1</x:v>
      </x:c>
      <x:c r="N1775" s="2" t="str">
        <x:v>historical_GHSL_BU_estimate</x:v>
      </x:c>
      <x:c r="O1775" s="2" t="str"/>
      <x:c r="P1775" s="2" t="str">
        <x:v>horizontal built-up surface</x:v>
      </x:c>
      <x:c r="Q1775" s="2" t="str">
        <x:v>m2</x:v>
      </x:c>
      <x:c r="R1775" s="17" t="n">
        <x:v>262106950.0246266</x:v>
      </x:c>
      <x:c r="S1775" s="17" t="n">
        <x:v>454480387.69</x:v>
      </x:c>
      <x:c r="T1775" s="18" t="n">
        <x:v>0.9999999999999984</x:v>
      </x:c>
      <x:c r="U1775" s="17" t="n">
        <x:v>454480387.6899993</x:v>
      </x:c>
      <x:c r="V1775" s="2" t="str">
        <x:v>Area equivalent = model2020 * WUP surface / TEMPO2020 footprint; km2 multiplied by1e6 once</x:v>
      </x:c>
      <x:c r="W1775" s="2" t="str">
        <x:v>L1_numeric_partition_qualified_not_national_completeness</x:v>
      </x:c>
      <x:c r="X1775" s="2" t="str">
        <x:v>https://human-settlement.emergency.copernicus.eu/datasets.php</x:v>
      </x:c>
    </x:row>
    <x:row r="1776" ht="23" customHeight="1">
      <x:c r="A1776" s="2" t="str">
        <x:v>ZAF</x:v>
      </x:c>
      <x:c r="B1776" s="2" t="str">
        <x:v>South Africa (Republic of)</x:v>
      </x:c>
      <x:c r="C1776" s="2" t="n">
        <x:v>2020</x:v>
      </x:c>
      <x:c r="D1776" s="2" t="str">
        <x:v>WUP_SURFACE</x:v>
      </x:c>
      <x:c r="E1776" s="17" t="n">
        <x:v>2711325840.6099963</x:v>
      </x:c>
      <x:c r="F1776" s="17" t="n">
        <x:f>IF(AND(M1776,ISNUMBER(R1776)),IF(D1776="TEMPO_PROXY",R1776,IF(AND(ISNUMBER(S1776),S1776&gt;0,ISNUMBER(U1776)),U1776*R1776/S1776,"n.a.")),"n.a.")</x:f>
        <x:v>6345332430.962686</x:v>
      </x:c>
      <x:c r="G1776" s="17" t="n">
        <x:f>IF(AND(ISNUMBER(E1776),ISNUMBER(F1776)),E1776-F1776,"n.a.")</x:f>
        <x:v>-3634006590.3526893</x:v>
      </x:c>
      <x:c r="H1776" s="15" t="n">
        <x:f>IF(AND(ISNUMBER(E1776),ISNUMBER(F1776),F1776&gt;0),(E1776-F1776)/F1776,"n.a.")</x:f>
        <x:v>-0.5727054697119082</x:v>
      </x:c>
      <x:c r="I1776" s="19" t="n">
        <x:f>IF(ISNUMBER(H1776),ABS(H1776),"n.a.")</x:f>
        <x:v>0.5727054697119082</x:v>
      </x:c>
      <x:c r="J1776" s="2" t="str">
        <x:v>available</x:v>
      </x:c>
      <x:c r="K1776" s="2" t="n">
        <x:v>1</x:v>
      </x:c>
      <x:c r="L1776" s="13" t="b">
        <x:v>0</x:v>
      </x:c>
      <x:c r="M1776" s="13" t="b">
        <x:v>1</x:v>
      </x:c>
      <x:c r="N1776" s="2" t="str">
        <x:v>historical_GHSL_BU_estimate</x:v>
      </x:c>
      <x:c r="O1776" s="2" t="str"/>
      <x:c r="P1776" s="2" t="str">
        <x:v>horizontal built-up surface</x:v>
      </x:c>
      <x:c r="Q1776" s="2" t="str">
        <x:v>m2</x:v>
      </x:c>
      <x:c r="R1776" s="17" t="n">
        <x:v>6345332430.962695</x:v>
      </x:c>
      <x:c r="S1776" s="17" t="n">
        <x:v>2711325840.61</x:v>
      </x:c>
      <x:c r="T1776" s="18" t="n">
        <x:v>0.9999999999999986</x:v>
      </x:c>
      <x:c r="U1776" s="17" t="n">
        <x:v>2711325840.6099963</x:v>
      </x:c>
      <x:c r="V1776" s="2" t="str">
        <x:v>Area equivalent = model2020 * WUP surface / TEMPO2020 footprint; km2 multiplied by1e6 once</x:v>
      </x:c>
      <x:c r="W1776" s="2" t="str">
        <x:v>L1_numeric_partition_qualified_not_national_completeness</x:v>
      </x:c>
      <x:c r="X1776" s="2" t="str">
        <x:v>https://human-settlement.emergency.copernicus.eu/datasets.php</x:v>
      </x:c>
    </x:row>
    <x:row r="1777" ht="23" customHeight="1">
      <x:c r="A1777" s="2" t="str">
        <x:v>ZMB</x:v>
      </x:c>
      <x:c r="B1777" s="2" t="str">
        <x:v>Zambia (Republic of)</x:v>
      </x:c>
      <x:c r="C1777" s="2" t="n">
        <x:v>2020</x:v>
      </x:c>
      <x:c r="D1777" s="2" t="str">
        <x:v>WUP_SURFACE</x:v>
      </x:c>
      <x:c r="E1777" s="17" t="n">
        <x:v>396696842.49999976</x:v>
      </x:c>
      <x:c r="F1777" s="17" t="n">
        <x:f>IF(AND(M1777,ISNUMBER(R1777)),IF(D1777="TEMPO_PROXY",R1777,IF(AND(ISNUMBER(S1777),S1777&gt;0,ISNUMBER(U1777)),U1777*R1777/S1777,"n.a.")),"n.a.")</x:f>
        <x:v>1370847983.7854462</x:v>
      </x:c>
      <x:c r="G1777" s="17" t="n">
        <x:f>IF(AND(ISNUMBER(E1777),ISNUMBER(F1777)),E1777-F1777,"n.a.")</x:f>
        <x:v>-974151141.2854464</x:v>
      </x:c>
      <x:c r="H1777" s="15" t="n">
        <x:f>IF(AND(ISNUMBER(E1777),ISNUMBER(F1777),F1777&gt;0),(E1777-F1777)/F1777,"n.a.")</x:f>
        <x:v>-0.7106193777923027</x:v>
      </x:c>
      <x:c r="I1777" s="19" t="n">
        <x:f>IF(ISNUMBER(H1777),ABS(H1777),"n.a.")</x:f>
        <x:v>0.7106193777923027</x:v>
      </x:c>
      <x:c r="J1777" s="2" t="str">
        <x:v>available</x:v>
      </x:c>
      <x:c r="K1777" s="2" t="n">
        <x:v>1</x:v>
      </x:c>
      <x:c r="L1777" s="13" t="b">
        <x:v>0</x:v>
      </x:c>
      <x:c r="M1777" s="13" t="b">
        <x:v>1</x:v>
      </x:c>
      <x:c r="N1777" s="2" t="str">
        <x:v>historical_GHSL_BU_estimate</x:v>
      </x:c>
      <x:c r="O1777" s="2" t="str"/>
      <x:c r="P1777" s="2" t="str">
        <x:v>horizontal built-up surface</x:v>
      </x:c>
      <x:c r="Q1777" s="2" t="str">
        <x:v>m2</x:v>
      </x:c>
      <x:c r="R1777" s="17" t="n">
        <x:v>1370847983.7854471</x:v>
      </x:c>
      <x:c r="S1777" s="17" t="n">
        <x:v>396696842.5</x:v>
      </x:c>
      <x:c r="T1777" s="18" t="n">
        <x:v>0.9999999999999994</x:v>
      </x:c>
      <x:c r="U1777" s="17" t="n">
        <x:v>396696842.49999976</x:v>
      </x:c>
      <x:c r="V1777" s="2" t="str">
        <x:v>Area equivalent = model2020 * WUP surface / TEMPO2020 footprint; km2 multiplied by1e6 once</x:v>
      </x:c>
      <x:c r="W1777" s="2" t="str">
        <x:v>L1_numeric_partition_qualified_not_national_completeness</x:v>
      </x:c>
      <x:c r="X1777" s="2" t="str">
        <x:v>https://human-settlement.emergency.copernicus.eu/datasets.php</x:v>
      </x:c>
    </x:row>
    <x:row r="1778" ht="23" customHeight="1">
      <x:c r="A1778" s="2" t="str">
        <x:v>ZWE</x:v>
      </x:c>
      <x:c r="B1778" s="2" t="str">
        <x:v>Zimbabwe (Republic of)</x:v>
      </x:c>
      <x:c r="C1778" s="2" t="n">
        <x:v>2020</x:v>
      </x:c>
      <x:c r="D1778" s="2" t="str">
        <x:v>WUP_SURFACE</x:v>
      </x:c>
      <x:c r="E1778" s="17" t="n">
        <x:v>420425813.9799996</x:v>
      </x:c>
      <x:c r="F1778" s="17" t="n">
        <x:f>IF(AND(M1778,ISNUMBER(R1778)),IF(D1778="TEMPO_PROXY",R1778,IF(AND(ISNUMBER(S1778),S1778&gt;0,ISNUMBER(U1778)),U1778*R1778/S1778,"n.a.")),"n.a.")</x:f>
        <x:v>1326741819.9649074</x:v>
      </x:c>
      <x:c r="G1778" s="17" t="n">
        <x:f>IF(AND(ISNUMBER(E1778),ISNUMBER(F1778)),E1778-F1778,"n.a.")</x:f>
        <x:v>-906316005.9849079</x:v>
      </x:c>
      <x:c r="H1778" s="15" t="n">
        <x:f>IF(AND(ISNUMBER(E1778),ISNUMBER(F1778),F1778&gt;0),(E1778-F1778)/F1778,"n.a.")</x:f>
        <x:v>-0.683114071137729</x:v>
      </x:c>
      <x:c r="I1778" s="19" t="n">
        <x:f>IF(ISNUMBER(H1778),ABS(H1778),"n.a.")</x:f>
        <x:v>0.683114071137729</x:v>
      </x:c>
      <x:c r="J1778" s="2" t="str">
        <x:v>available</x:v>
      </x:c>
      <x:c r="K1778" s="2" t="n">
        <x:v>1</x:v>
      </x:c>
      <x:c r="L1778" s="13" t="b">
        <x:v>0</x:v>
      </x:c>
      <x:c r="M1778" s="13" t="b">
        <x:v>1</x:v>
      </x:c>
      <x:c r="N1778" s="2" t="str">
        <x:v>historical_GHSL_BU_estimate</x:v>
      </x:c>
      <x:c r="O1778" s="2" t="str"/>
      <x:c r="P1778" s="2" t="str">
        <x:v>horizontal built-up surface</x:v>
      </x:c>
      <x:c r="Q1778" s="2" t="str">
        <x:v>m2</x:v>
      </x:c>
      <x:c r="R1778" s="17" t="n">
        <x:v>1326741819.9649086</x:v>
      </x:c>
      <x:c r="S1778" s="17" t="n">
        <x:v>420425813.98</x:v>
      </x:c>
      <x:c r="T1778" s="18" t="n">
        <x:v>0.999999999999999</x:v>
      </x:c>
      <x:c r="U1778" s="17" t="n">
        <x:v>420425813.9799996</x:v>
      </x:c>
      <x:c r="V1778" s="2" t="str">
        <x:v>Area equivalent = model2020 * WUP surface / TEMPO2020 footprint; km2 multiplied by1e6 once</x:v>
      </x:c>
      <x:c r="W1778" s="2" t="str">
        <x:v>L1_numeric_partition_qualified_not_national_completeness</x:v>
      </x:c>
      <x:c r="X1778" s="2" t="str">
        <x:v>https://human-settlement.emergency.copernicus.eu/datasets.php</x:v>
      </x:c>
    </x:row>
    <x:row r="1779" ht="23" customHeight="1">
      <x:c r="A1779" s="2" t="str">
        <x:v>AFG</x:v>
      </x:c>
      <x:c r="B1779" s="2" t="str">
        <x:v>Afghanistan (Islamic Republic of)</x:v>
      </x:c>
      <x:c r="C1779" s="2" t="n">
        <x:v>2025</x:v>
      </x:c>
      <x:c r="D1779" s="2" t="str">
        <x:v>WUP_SURFACE</x:v>
      </x:c>
      <x:c r="E1779" s="17" t="n">
        <x:v>1090670000.985095</x:v>
      </x:c>
      <x:c r="F1779" s="17" t="n">
        <x:f>IF(AND(M1779,ISNUMBER(R1779)),IF(D1779="TEMPO_PROXY",R1779,IF(AND(ISNUMBER(S1779),S1779&gt;0,ISNUMBER(U1779)),U1779*R1779/S1779,"n.a.")),"n.a.")</x:f>
        <x:v>765363218.0947702</x:v>
      </x:c>
      <x:c r="G1779" s="17" t="n">
        <x:f>IF(AND(ISNUMBER(E1779),ISNUMBER(F1779)),E1779-F1779,"n.a.")</x:f>
        <x:v>325306782.89032483</x:v>
      </x:c>
      <x:c r="H1779" s="15" t="n">
        <x:f>IF(AND(ISNUMBER(E1779),ISNUMBER(F1779),F1779&gt;0),(E1779-F1779)/F1779,"n.a.")</x:f>
        <x:v>0.42503581985572253</x:v>
      </x:c>
      <x:c r="I1779" s="19" t="n">
        <x:f>IF(ISNUMBER(H1779),ABS(H1779),"n.a.")</x:f>
        <x:v>0.42503581985572253</x:v>
      </x:c>
      <x:c r="J1779" s="2" t="str">
        <x:v>available</x:v>
      </x:c>
      <x:c r="K1779" s="2" t="n">
        <x:v>1</x:v>
      </x:c>
      <x:c r="L1779" s="13" t="b">
        <x:v>0</x:v>
      </x:c>
      <x:c r="M1779" s="13" t="b">
        <x:v>1</x:v>
      </x:c>
      <x:c r="N1779" s="2" t="str">
        <x:v>projected_CRISP_BU_surface</x:v>
      </x:c>
      <x:c r="O1779" s="2" t="str"/>
      <x:c r="P1779" s="2" t="str">
        <x:v>horizontal built-up surface</x:v>
      </x:c>
      <x:c r="Q1779" s="2" t="str">
        <x:v>m2</x:v>
      </x:c>
      <x:c r="R1779" s="17" t="n">
        <x:v>765363218.0947696</x:v>
      </x:c>
      <x:c r="S1779" s="17" t="n">
        <x:v>853208432.45</x:v>
      </x:c>
      <x:c r="T1779" s="18" t="n">
        <x:v>1.0000000000000009</x:v>
      </x:c>
      <x:c r="U1779" s="17" t="n">
        <x:v>853208432.4500008</x:v>
      </x:c>
      <x:c r="V1779" s="2" t="str">
        <x:v>Area equivalent = model2020 * WUP surface / TEMPO2020 footprint; km2 multiplied by1e6 once</x:v>
      </x:c>
      <x:c r="W1779" s="2" t="str">
        <x:v>L1_numeric_partition_qualified_not_national_completeness</x:v>
      </x:c>
      <x:c r="X1779" s="2" t="str">
        <x:v>https://human-settlement.emergency.copernicus.eu/datasets.php</x:v>
      </x:c>
    </x:row>
    <x:row r="1780" ht="23" customHeight="1">
      <x:c r="A1780" s="2" t="str">
        <x:v>AGO</x:v>
      </x:c>
      <x:c r="B1780" s="2" t="str">
        <x:v>Angola (Republic of)</x:v>
      </x:c>
      <x:c r="C1780" s="2" t="n">
        <x:v>2025</x:v>
      </x:c>
      <x:c r="D1780" s="2" t="str">
        <x:v>WUP_SURFACE</x:v>
      </x:c>
      <x:c r="E1780" s="17" t="n">
        <x:v>619948193.3468488</x:v>
      </x:c>
      <x:c r="F1780" s="17" t="n">
        <x:f>IF(AND(M1780,ISNUMBER(R1780)),IF(D1780="TEMPO_PROXY",R1780,IF(AND(ISNUMBER(S1780),S1780&gt;0,ISNUMBER(U1780)),U1780*R1780/S1780,"n.a.")),"n.a.")</x:f>
        <x:v>1556023699.7335093</x:v>
      </x:c>
      <x:c r="G1780" s="17" t="n">
        <x:f>IF(AND(ISNUMBER(E1780),ISNUMBER(F1780)),E1780-F1780,"n.a.")</x:f>
        <x:v>-936075506.3866605</x:v>
      </x:c>
      <x:c r="H1780" s="15" t="n">
        <x:f>IF(AND(ISNUMBER(E1780),ISNUMBER(F1780),F1780&gt;0),(E1780-F1780)/F1780,"n.a.")</x:f>
        <x:v>-0.6015817796007711</x:v>
      </x:c>
      <x:c r="I1780" s="19" t="n">
        <x:f>IF(ISNUMBER(H1780),ABS(H1780),"n.a.")</x:f>
        <x:v>0.6015817796007711</x:v>
      </x:c>
      <x:c r="J1780" s="2" t="str">
        <x:v>available</x:v>
      </x:c>
      <x:c r="K1780" s="2" t="n">
        <x:v>1</x:v>
      </x:c>
      <x:c r="L1780" s="13" t="b">
        <x:v>0</x:v>
      </x:c>
      <x:c r="M1780" s="13" t="b">
        <x:v>1</x:v>
      </x:c>
      <x:c r="N1780" s="2" t="str">
        <x:v>projected_CRISP_BU_surface</x:v>
      </x:c>
      <x:c r="O1780" s="2" t="str"/>
      <x:c r="P1780" s="2" t="str">
        <x:v>horizontal built-up surface</x:v>
      </x:c>
      <x:c r="Q1780" s="2" t="str">
        <x:v>m2</x:v>
      </x:c>
      <x:c r="R1780" s="17" t="n">
        <x:v>1556023699.7335112</x:v>
      </x:c>
      <x:c r="S1780" s="17" t="n">
        <x:v>512504617.86</x:v>
      </x:c>
      <x:c r="T1780" s="18" t="n">
        <x:v>0.9999999999999987</x:v>
      </x:c>
      <x:c r="U1780" s="17" t="n">
        <x:v>512504617.85999936</x:v>
      </x:c>
      <x:c r="V1780" s="2" t="str">
        <x:v>Area equivalent = model2020 * WUP surface / TEMPO2020 footprint; km2 multiplied by1e6 once</x:v>
      </x:c>
      <x:c r="W1780" s="2" t="str">
        <x:v>L1_numeric_partition_qualified_not_national_completeness</x:v>
      </x:c>
      <x:c r="X1780" s="2" t="str">
        <x:v>https://human-settlement.emergency.copernicus.eu/datasets.php</x:v>
      </x:c>
    </x:row>
    <x:row r="1781" ht="23" customHeight="1">
      <x:c r="A1781" s="2" t="str">
        <x:v>ALB</x:v>
      </x:c>
      <x:c r="B1781" s="2" t="str">
        <x:v>Albania (Republic of)</x:v>
      </x:c>
      <x:c r="C1781" s="2" t="n">
        <x:v>2025</x:v>
      </x:c>
      <x:c r="D1781" s="2" t="str">
        <x:v>WUP_SURFACE</x:v>
      </x:c>
      <x:c r="E1781" s="17" t="n">
        <x:v>164304204.02968726</x:v>
      </x:c>
      <x:c r="F1781" s="17" t="n">
        <x:f>IF(AND(M1781,ISNUMBER(R1781)),IF(D1781="TEMPO_PROXY",R1781,IF(AND(ISNUMBER(S1781),S1781&gt;0,ISNUMBER(U1781)),U1781*R1781/S1781,"n.a.")),"n.a.")</x:f>
        <x:v>244035044.40043855</x:v>
      </x:c>
      <x:c r="G1781" s="17" t="n">
        <x:f>IF(AND(ISNUMBER(E1781),ISNUMBER(F1781)),E1781-F1781,"n.a.")</x:f>
        <x:v>-79730840.37075129</x:v>
      </x:c>
      <x:c r="H1781" s="15" t="n">
        <x:f>IF(AND(ISNUMBER(E1781),ISNUMBER(F1781),F1781&gt;0),(E1781-F1781)/F1781,"n.a.")</x:f>
        <x:v>-0.3267188143679909</x:v>
      </x:c>
      <x:c r="I1781" s="19" t="n">
        <x:f>IF(ISNUMBER(H1781),ABS(H1781),"n.a.")</x:f>
        <x:v>0.3267188143679909</x:v>
      </x:c>
      <x:c r="J1781" s="2" t="str">
        <x:v>available</x:v>
      </x:c>
      <x:c r="K1781" s="2" t="n">
        <x:v>1</x:v>
      </x:c>
      <x:c r="L1781" s="13" t="b">
        <x:v>0</x:v>
      </x:c>
      <x:c r="M1781" s="13" t="b">
        <x:v>1</x:v>
      </x:c>
      <x:c r="N1781" s="2" t="str">
        <x:v>projected_CRISP_BU_surface</x:v>
      </x:c>
      <x:c r="O1781" s="2" t="str"/>
      <x:c r="P1781" s="2" t="str">
        <x:v>horizontal built-up surface</x:v>
      </x:c>
      <x:c r="Q1781" s="2" t="str">
        <x:v>m2</x:v>
      </x:c>
      <x:c r="R1781" s="17" t="n">
        <x:v>244035044.40043822</x:v>
      </x:c>
      <x:c r="S1781" s="17" t="n">
        <x:v>161276383.52</x:v>
      </x:c>
      <x:c r="T1781" s="18" t="n">
        <x:v>1.0000000000000013</x:v>
      </x:c>
      <x:c r="U1781" s="17" t="n">
        <x:v>161276383.52000022</x:v>
      </x:c>
      <x:c r="V1781" s="2" t="str">
        <x:v>Area equivalent = model2020 * WUP surface / TEMPO2020 footprint; km2 multiplied by1e6 once</x:v>
      </x:c>
      <x:c r="W1781" s="2" t="str">
        <x:v>L1_numeric_partition_qualified_not_national_completeness</x:v>
      </x:c>
      <x:c r="X1781" s="2" t="str">
        <x:v>https://human-settlement.emergency.copernicus.eu/datasets.php</x:v>
      </x:c>
    </x:row>
    <x:row r="1782" ht="23" customHeight="1">
      <x:c r="A1782" s="2" t="str">
        <x:v>AND</x:v>
      </x:c>
      <x:c r="B1782" s="2" t="str">
        <x:v>Andorra (Principality of)</x:v>
      </x:c>
      <x:c r="C1782" s="2" t="n">
        <x:v>2025</x:v>
      </x:c>
      <x:c r="D1782" s="2" t="str">
        <x:v>WUP_SURFACE</x:v>
      </x:c>
      <x:c r="E1782" s="17" t="n">
        <x:v>3545252.0670447643</x:v>
      </x:c>
      <x:c r="F1782" s="17" t="n">
        <x:f>IF(AND(M1782,ISNUMBER(R1782)),IF(D1782="TEMPO_PROXY",R1782,IF(AND(ISNUMBER(S1782),S1782&gt;0,ISNUMBER(U1782)),U1782*R1782/S1782,"n.a.")),"n.a.")</x:f>
        <x:v>3577551.996772586</x:v>
      </x:c>
      <x:c r="G1782" s="17" t="n">
        <x:f>IF(AND(ISNUMBER(E1782),ISNUMBER(F1782)),E1782-F1782,"n.a.")</x:f>
        <x:v>-32299.92972782161</x:v>
      </x:c>
      <x:c r="H1782" s="15" t="n">
        <x:f>IF(AND(ISNUMBER(E1782),ISNUMBER(F1782),F1782&gt;0),(E1782-F1782)/F1782,"n.a.")</x:f>
        <x:v>-0.009028500426258045</x:v>
      </x:c>
      <x:c r="I1782" s="19" t="n">
        <x:f>IF(ISNUMBER(H1782),ABS(H1782),"n.a.")</x:f>
        <x:v>0.009028500426258045</x:v>
      </x:c>
      <x:c r="J1782" s="2" t="str">
        <x:v>available</x:v>
      </x:c>
      <x:c r="K1782" s="2" t="n">
        <x:v>1</x:v>
      </x:c>
      <x:c r="L1782" s="13" t="b">
        <x:v>0</x:v>
      </x:c>
      <x:c r="M1782" s="13" t="b">
        <x:v>1</x:v>
      </x:c>
      <x:c r="N1782" s="2" t="str">
        <x:v>projected_CRISP_BU_surface</x:v>
      </x:c>
      <x:c r="O1782" s="2" t="str"/>
      <x:c r="P1782" s="2" t="str">
        <x:v>horizontal built-up surface</x:v>
      </x:c>
      <x:c r="Q1782" s="2" t="str">
        <x:v>m2</x:v>
      </x:c>
      <x:c r="R1782" s="17" t="n">
        <x:v>2638510.0049142237</x:v>
      </x:c>
      <x:c r="S1782" s="17" t="n">
        <x:v>2209198.1</x:v>
      </x:c>
      <x:c r="T1782" s="18" t="n">
        <x:v>1.3558985905338228</x:v>
      </x:c>
      <x:c r="U1782" s="17" t="n">
        <x:v>2995448.5899999994</x:v>
      </x:c>
      <x:c r="V1782" s="2" t="str">
        <x:v>Area equivalent = model2020 * WUP surface / TEMPO2020 footprint; km2 multiplied by1e6 once</x:v>
      </x:c>
      <x:c r="W1782" s="2" t="str">
        <x:v>L1_numeric_partition_qualified_not_national_completeness</x:v>
      </x:c>
      <x:c r="X1782" s="2" t="str">
        <x:v>https://human-settlement.emergency.copernicus.eu/datasets.php</x:v>
      </x:c>
    </x:row>
    <x:row r="1783" ht="23" customHeight="1">
      <x:c r="A1783" s="2" t="str">
        <x:v>ARE</x:v>
      </x:c>
      <x:c r="B1783" s="2" t="str">
        <x:v>United Arab Emirates</x:v>
      </x:c>
      <x:c r="C1783" s="2" t="n">
        <x:v>2025</x:v>
      </x:c>
      <x:c r="D1783" s="2" t="str">
        <x:v>WUP_SURFACE</x:v>
      </x:c>
      <x:c r="E1783" s="17" t="n">
        <x:v>619697918.6693147</x:v>
      </x:c>
      <x:c r="F1783" s="17" t="n">
        <x:f>IF(AND(M1783,ISNUMBER(R1783)),IF(D1783="TEMPO_PROXY",R1783,IF(AND(ISNUMBER(S1783),S1783&gt;0,ISNUMBER(U1783)),U1783*R1783/S1783,"n.a.")),"n.a.")</x:f>
        <x:v>858540117.8284793</x:v>
      </x:c>
      <x:c r="G1783" s="17" t="n">
        <x:f>IF(AND(ISNUMBER(E1783),ISNUMBER(F1783)),E1783-F1783,"n.a.")</x:f>
        <x:v>-238842199.15916455</x:v>
      </x:c>
      <x:c r="H1783" s="15" t="n">
        <x:f>IF(AND(ISNUMBER(E1783),ISNUMBER(F1783),F1783&gt;0),(E1783-F1783)/F1783,"n.a.")</x:f>
        <x:v>-0.2781957350615978</x:v>
      </x:c>
      <x:c r="I1783" s="19" t="n">
        <x:f>IF(ISNUMBER(H1783),ABS(H1783),"n.a.")</x:f>
        <x:v>0.2781957350615978</x:v>
      </x:c>
      <x:c r="J1783" s="2" t="str">
        <x:v>available</x:v>
      </x:c>
      <x:c r="K1783" s="2" t="n">
        <x:v>1</x:v>
      </x:c>
      <x:c r="L1783" s="13" t="b">
        <x:v>0</x:v>
      </x:c>
      <x:c r="M1783" s="13" t="b">
        <x:v>1</x:v>
      </x:c>
      <x:c r="N1783" s="2" t="str">
        <x:v>projected_CRISP_BU_surface</x:v>
      </x:c>
      <x:c r="O1783" s="2" t="str"/>
      <x:c r="P1783" s="2" t="str">
        <x:v>horizontal built-up surface</x:v>
      </x:c>
      <x:c r="Q1783" s="2" t="str">
        <x:v>m2</x:v>
      </x:c>
      <x:c r="R1783" s="17" t="n">
        <x:v>769760673.8965012</x:v>
      </x:c>
      <x:c r="S1783" s="17" t="n">
        <x:v>458879702.88</x:v>
      </x:c>
      <x:c r="T1783" s="18" t="n">
        <x:v>1.1153338263990282</x:v>
      </x:c>
      <x:c r="U1783" s="17" t="n">
        <x:v>511804054.8699995</x:v>
      </x:c>
      <x:c r="V1783" s="2" t="str">
        <x:v>Area equivalent = model2020 * WUP surface / TEMPO2020 footprint; km2 multiplied by1e6 once</x:v>
      </x:c>
      <x:c r="W1783" s="2" t="str">
        <x:v>L1_numeric_partition_qualified_not_national_completeness</x:v>
      </x:c>
      <x:c r="X1783" s="2" t="str">
        <x:v>https://human-settlement.emergency.copernicus.eu/datasets.php</x:v>
      </x:c>
    </x:row>
    <x:row r="1784" ht="23" customHeight="1">
      <x:c r="A1784" s="2" t="str">
        <x:v>ARG</x:v>
      </x:c>
      <x:c r="B1784" s="2" t="str">
        <x:v>Argentina (Argentine Republic)</x:v>
      </x:c>
      <x:c r="C1784" s="2" t="n">
        <x:v>2025</x:v>
      </x:c>
      <x:c r="D1784" s="2" t="str">
        <x:v>WUP_SURFACE</x:v>
      </x:c>
      <x:c r="E1784" s="17" t="n">
        <x:v>2597324076.14864</x:v>
      </x:c>
      <x:c r="F1784" s="17" t="n">
        <x:f>IF(AND(M1784,ISNUMBER(R1784)),IF(D1784="TEMPO_PROXY",R1784,IF(AND(ISNUMBER(S1784),S1784&gt;0,ISNUMBER(U1784)),U1784*R1784/S1784,"n.a.")),"n.a.")</x:f>
        <x:v>4290468554.0943446</x:v>
      </x:c>
      <x:c r="G1784" s="17" t="n">
        <x:f>IF(AND(ISNUMBER(E1784),ISNUMBER(F1784)),E1784-F1784,"n.a.")</x:f>
        <x:v>-1693144477.9457045</x:v>
      </x:c>
      <x:c r="H1784" s="15" t="n">
        <x:f>IF(AND(ISNUMBER(E1784),ISNUMBER(F1784),F1784&gt;0),(E1784-F1784)/F1784,"n.a.")</x:f>
        <x:v>-0.39462927104545636</x:v>
      </x:c>
      <x:c r="I1784" s="19" t="n">
        <x:f>IF(ISNUMBER(H1784),ABS(H1784),"n.a.")</x:f>
        <x:v>0.39462927104545636</x:v>
      </x:c>
      <x:c r="J1784" s="2" t="str">
        <x:v>available</x:v>
      </x:c>
      <x:c r="K1784" s="2" t="n">
        <x:v>1</x:v>
      </x:c>
      <x:c r="L1784" s="13" t="b">
        <x:v>0</x:v>
      </x:c>
      <x:c r="M1784" s="13" t="b">
        <x:v>1</x:v>
      </x:c>
      <x:c r="N1784" s="2" t="str">
        <x:v>projected_CRISP_BU_surface</x:v>
      </x:c>
      <x:c r="O1784" s="2" t="str"/>
      <x:c r="P1784" s="2" t="str">
        <x:v>horizontal built-up surface</x:v>
      </x:c>
      <x:c r="Q1784" s="2" t="str">
        <x:v>m2</x:v>
      </x:c>
      <x:c r="R1784" s="17" t="n">
        <x:v>4290468554.0943484</x:v>
      </x:c>
      <x:c r="S1784" s="17" t="n">
        <x:v>2382940448.4</x:v>
      </x:c>
      <x:c r="T1784" s="18" t="n">
        <x:v>0.9999999999999992</x:v>
      </x:c>
      <x:c r="U1784" s="17" t="n">
        <x:v>2382940448.399998</x:v>
      </x:c>
      <x:c r="V1784" s="2" t="str">
        <x:v>Area equivalent = model2020 * WUP surface / TEMPO2020 footprint; km2 multiplied by1e6 once</x:v>
      </x:c>
      <x:c r="W1784" s="2" t="str">
        <x:v>L1_numeric_partition_qualified_not_national_completeness</x:v>
      </x:c>
      <x:c r="X1784" s="2" t="str">
        <x:v>https://human-settlement.emergency.copernicus.eu/datasets.php</x:v>
      </x:c>
    </x:row>
    <x:row r="1785" ht="23" customHeight="1">
      <x:c r="A1785" s="2" t="str">
        <x:v>ARM</x:v>
      </x:c>
      <x:c r="B1785" s="2" t="str">
        <x:v>Armenia (Republic of)</x:v>
      </x:c>
      <x:c r="C1785" s="2" t="n">
        <x:v>2025</x:v>
      </x:c>
      <x:c r="D1785" s="2" t="str">
        <x:v>WUP_SURFACE</x:v>
      </x:c>
      <x:c r="E1785" s="17" t="n">
        <x:v>152778312.3191071</x:v>
      </x:c>
      <x:c r="F1785" s="17" t="n">
        <x:f>IF(AND(M1785,ISNUMBER(R1785)),IF(D1785="TEMPO_PROXY",R1785,IF(AND(ISNUMBER(S1785),S1785&gt;0,ISNUMBER(U1785)),U1785*R1785/S1785,"n.a.")),"n.a.")</x:f>
        <x:v>237862943.23750943</x:v>
      </x:c>
      <x:c r="G1785" s="17" t="n">
        <x:f>IF(AND(ISNUMBER(E1785),ISNUMBER(F1785)),E1785-F1785,"n.a.")</x:f>
        <x:v>-85084630.91840234</x:v>
      </x:c>
      <x:c r="H1785" s="15" t="n">
        <x:f>IF(AND(ISNUMBER(E1785),ISNUMBER(F1785),F1785&gt;0),(E1785-F1785)/F1785,"n.a.")</x:f>
        <x:v>-0.35770444004572904</x:v>
      </x:c>
      <x:c r="I1785" s="19" t="n">
        <x:f>IF(ISNUMBER(H1785),ABS(H1785),"n.a.")</x:f>
        <x:v>0.35770444004572904</x:v>
      </x:c>
      <x:c r="J1785" s="2" t="str">
        <x:v>available</x:v>
      </x:c>
      <x:c r="K1785" s="2" t="n">
        <x:v>1</x:v>
      </x:c>
      <x:c r="L1785" s="13" t="b">
        <x:v>0</x:v>
      </x:c>
      <x:c r="M1785" s="13" t="b">
        <x:v>1</x:v>
      </x:c>
      <x:c r="N1785" s="2" t="str">
        <x:v>projected_CRISP_BU_surface</x:v>
      </x:c>
      <x:c r="O1785" s="2" t="str"/>
      <x:c r="P1785" s="2" t="str">
        <x:v>horizontal built-up surface</x:v>
      </x:c>
      <x:c r="Q1785" s="2" t="str">
        <x:v>m2</x:v>
      </x:c>
      <x:c r="R1785" s="17" t="n">
        <x:v>237862943.23750904</x:v>
      </x:c>
      <x:c r="S1785" s="17" t="n">
        <x:v>142786500.21</x:v>
      </x:c>
      <x:c r="T1785" s="18" t="n">
        <x:v>1.0000000000000018</x:v>
      </x:c>
      <x:c r="U1785" s="17" t="n">
        <x:v>142786500.21000025</x:v>
      </x:c>
      <x:c r="V1785" s="2" t="str">
        <x:v>Area equivalent = model2020 * WUP surface / TEMPO2020 footprint; km2 multiplied by1e6 once</x:v>
      </x:c>
      <x:c r="W1785" s="2" t="str">
        <x:v>L1_numeric_partition_qualified_not_national_completeness</x:v>
      </x:c>
      <x:c r="X1785" s="2" t="str">
        <x:v>https://human-settlement.emergency.copernicus.eu/datasets.php</x:v>
      </x:c>
    </x:row>
    <x:row r="1786" ht="23" customHeight="1">
      <x:c r="A1786" s="2" t="str">
        <x:v>ATG</x:v>
      </x:c>
      <x:c r="B1786" s="2" t="str">
        <x:v>Antigua and Barbuda</x:v>
      </x:c>
      <x:c r="C1786" s="2" t="n">
        <x:v>2025</x:v>
      </x:c>
      <x:c r="D1786" s="2" t="str">
        <x:v>WUP_SURFACE</x:v>
      </x:c>
      <x:c r="E1786" s="17" t="n">
        <x:v>7712176.853985657</x:v>
      </x:c>
      <x:c r="F1786" s="17" t="n">
        <x:f>IF(AND(M1786,ISNUMBER(R1786)),IF(D1786="TEMPO_PROXY",R1786,IF(AND(ISNUMBER(S1786),S1786&gt;0,ISNUMBER(U1786)),U1786*R1786/S1786,"n.a.")),"n.a.")</x:f>
        <x:v>15240511.355237115</x:v>
      </x:c>
      <x:c r="G1786" s="17" t="n">
        <x:f>IF(AND(ISNUMBER(E1786),ISNUMBER(F1786)),E1786-F1786,"n.a.")</x:f>
        <x:v>-7528334.501251458</x:v>
      </x:c>
      <x:c r="H1786" s="15" t="n">
        <x:f>IF(AND(ISNUMBER(E1786),ISNUMBER(F1786),F1786&gt;0),(E1786-F1786)/F1786,"n.a.")</x:f>
        <x:v>-0.4939686291211277</x:v>
      </x:c>
      <x:c r="I1786" s="19" t="n">
        <x:f>IF(ISNUMBER(H1786),ABS(H1786),"n.a.")</x:f>
        <x:v>0.4939686291211277</x:v>
      </x:c>
      <x:c r="J1786" s="2" t="str">
        <x:v>available</x:v>
      </x:c>
      <x:c r="K1786" s="2" t="n">
        <x:v>1</x:v>
      </x:c>
      <x:c r="L1786" s="13" t="b">
        <x:v>0</x:v>
      </x:c>
      <x:c r="M1786" s="13" t="b">
        <x:v>1</x:v>
      </x:c>
      <x:c r="N1786" s="2" t="str">
        <x:v>projected_CRISP_BU_surface</x:v>
      </x:c>
      <x:c r="O1786" s="2" t="str"/>
      <x:c r="P1786" s="2" t="str">
        <x:v>horizontal built-up surface</x:v>
      </x:c>
      <x:c r="Q1786" s="2" t="str">
        <x:v>m2</x:v>
      </x:c>
      <x:c r="R1786" s="17" t="n">
        <x:v>15240511.355237117</x:v>
      </x:c>
      <x:c r="S1786" s="17" t="n">
        <x:v>7437404.66</x:v>
      </x:c>
      <x:c r="T1786" s="18" t="n">
        <x:v>0.9999999999999999</x:v>
      </x:c>
      <x:c r="U1786" s="17" t="n">
        <x:v>7437404.659999999</x:v>
      </x:c>
      <x:c r="V1786" s="2" t="str">
        <x:v>Area equivalent = model2020 * WUP surface / TEMPO2020 footprint; km2 multiplied by1e6 once</x:v>
      </x:c>
      <x:c r="W1786" s="2" t="str">
        <x:v>L1_numeric_partition_qualified_not_national_completeness</x:v>
      </x:c>
      <x:c r="X1786" s="2" t="str">
        <x:v>https://human-settlement.emergency.copernicus.eu/datasets.php</x:v>
      </x:c>
    </x:row>
    <x:row r="1787" ht="23" customHeight="1">
      <x:c r="A1787" s="2" t="str">
        <x:v>AUS</x:v>
      </x:c>
      <x:c r="B1787" s="2" t="str">
        <x:v>Australia (Commonwealth of)</x:v>
      </x:c>
      <x:c r="C1787" s="2" t="n">
        <x:v>2025</x:v>
      </x:c>
      <x:c r="D1787" s="2" t="str">
        <x:v>WUP_SURFACE</x:v>
      </x:c>
      <x:c r="E1787" s="17" t="n">
        <x:v>3239594429.6078334</x:v>
      </x:c>
      <x:c r="F1787" s="17" t="n">
        <x:f>IF(AND(M1787,ISNUMBER(R1787)),IF(D1787="TEMPO_PROXY",R1787,IF(AND(ISNUMBER(S1787),S1787&gt;0,ISNUMBER(U1787)),U1787*R1787/S1787,"n.a.")),"n.a.")</x:f>
        <x:v>5470618238.971752</x:v>
      </x:c>
      <x:c r="G1787" s="17" t="n">
        <x:f>IF(AND(ISNUMBER(E1787),ISNUMBER(F1787)),E1787-F1787,"n.a.")</x:f>
        <x:v>-2231023809.363919</x:v>
      </x:c>
      <x:c r="H1787" s="15" t="n">
        <x:f>IF(AND(ISNUMBER(E1787),ISNUMBER(F1787),F1787&gt;0),(E1787-F1787)/F1787,"n.a.")</x:f>
        <x:v>-0.40781931984770664</x:v>
      </x:c>
      <x:c r="I1787" s="19" t="n">
        <x:f>IF(ISNUMBER(H1787),ABS(H1787),"n.a.")</x:f>
        <x:v>0.40781931984770664</x:v>
      </x:c>
      <x:c r="J1787" s="2" t="str">
        <x:v>available</x:v>
      </x:c>
      <x:c r="K1787" s="2" t="n">
        <x:v>1</x:v>
      </x:c>
      <x:c r="L1787" s="13" t="b">
        <x:v>0</x:v>
      </x:c>
      <x:c r="M1787" s="13" t="b">
        <x:v>1</x:v>
      </x:c>
      <x:c r="N1787" s="2" t="str">
        <x:v>projected_CRISP_BU_surface</x:v>
      </x:c>
      <x:c r="O1787" s="2" t="str"/>
      <x:c r="P1787" s="2" t="str">
        <x:v>horizontal built-up surface</x:v>
      </x:c>
      <x:c r="Q1787" s="2" t="str">
        <x:v>m2</x:v>
      </x:c>
      <x:c r="R1787" s="17" t="n">
        <x:v>5470618238.971757</x:v>
      </x:c>
      <x:c r="S1787" s="17" t="n">
        <x:v>3011161094.86</x:v>
      </x:c>
      <x:c r="T1787" s="18" t="n">
        <x:v>0.999999999999999</x:v>
      </x:c>
      <x:c r="U1787" s="17" t="n">
        <x:v>3011161094.8599973</x:v>
      </x:c>
      <x:c r="V1787" s="2" t="str">
        <x:v>Area equivalent = model2020 * WUP surface / TEMPO2020 footprint; km2 multiplied by1e6 once</x:v>
      </x:c>
      <x:c r="W1787" s="2" t="str">
        <x:v>L1_numeric_partition_qualified_not_national_completeness</x:v>
      </x:c>
      <x:c r="X1787" s="2" t="str">
        <x:v>https://human-settlement.emergency.copernicus.eu/datasets.php</x:v>
      </x:c>
    </x:row>
    <x:row r="1788" ht="23" customHeight="1">
      <x:c r="A1788" s="2" t="str">
        <x:v>AUT</x:v>
      </x:c>
      <x:c r="B1788" s="2" t="str">
        <x:v>Austria (Republic of)</x:v>
      </x:c>
      <x:c r="C1788" s="2" t="n">
        <x:v>2025</x:v>
      </x:c>
      <x:c r="D1788" s="2" t="str">
        <x:v>WUP_SURFACE</x:v>
      </x:c>
      <x:c r="E1788" s="17" t="n">
        <x:v>958361170.052577</x:v>
      </x:c>
      <x:c r="F1788" s="17" t="n">
        <x:f>IF(AND(M1788,ISNUMBER(R1788)),IF(D1788="TEMPO_PROXY",R1788,IF(AND(ISNUMBER(S1788),S1788&gt;0,ISNUMBER(U1788)),U1788*R1788/S1788,"n.a.")),"n.a.")</x:f>
        <x:v>1278338046.6526997</x:v>
      </x:c>
      <x:c r="G1788" s="17" t="n">
        <x:f>IF(AND(ISNUMBER(E1788),ISNUMBER(F1788)),E1788-F1788,"n.a.")</x:f>
        <x:v>-319976876.6001227</x:v>
      </x:c>
      <x:c r="H1788" s="15" t="n">
        <x:f>IF(AND(ISNUMBER(E1788),ISNUMBER(F1788),F1788&gt;0),(E1788-F1788)/F1788,"n.a.")</x:f>
        <x:v>-0.2503069336299386</x:v>
      </x:c>
      <x:c r="I1788" s="19" t="n">
        <x:f>IF(ISNUMBER(H1788),ABS(H1788),"n.a.")</x:f>
        <x:v>0.2503069336299386</x:v>
      </x:c>
      <x:c r="J1788" s="2" t="str">
        <x:v>available</x:v>
      </x:c>
      <x:c r="K1788" s="2" t="n">
        <x:v>1</x:v>
      </x:c>
      <x:c r="L1788" s="13" t="b">
        <x:v>0</x:v>
      </x:c>
      <x:c r="M1788" s="13" t="b">
        <x:v>1</x:v>
      </x:c>
      <x:c r="N1788" s="2" t="str">
        <x:v>projected_CRISP_BU_surface</x:v>
      </x:c>
      <x:c r="O1788" s="2" t="str"/>
      <x:c r="P1788" s="2" t="str">
        <x:v>horizontal built-up surface</x:v>
      </x:c>
      <x:c r="Q1788" s="2" t="str">
        <x:v>m2</x:v>
      </x:c>
      <x:c r="R1788" s="17" t="n">
        <x:v>1259578521.3907418</x:v>
      </x:c>
      <x:c r="S1788" s="17" t="n">
        <x:v>852795432.34</x:v>
      </x:c>
      <x:c r="T1788" s="18" t="n">
        <x:v>1.014893494088201</x:v>
      </x:c>
      <x:c r="U1788" s="17" t="n">
        <x:v>865496536.0700006</x:v>
      </x:c>
      <x:c r="V1788" s="2" t="str">
        <x:v>Area equivalent = model2020 * WUP surface / TEMPO2020 footprint; km2 multiplied by1e6 once</x:v>
      </x:c>
      <x:c r="W1788" s="2" t="str">
        <x:v>L1_numeric_partition_qualified_not_national_completeness</x:v>
      </x:c>
      <x:c r="X1788" s="2" t="str">
        <x:v>https://human-settlement.emergency.copernicus.eu/datasets.php</x:v>
      </x:c>
    </x:row>
    <x:row r="1789" ht="23" customHeight="1">
      <x:c r="A1789" s="2" t="str">
        <x:v>AZE</x:v>
      </x:c>
      <x:c r="B1789" s="2" t="str">
        <x:v>Azerbaijan (Republic of)</x:v>
      </x:c>
      <x:c r="C1789" s="2" t="n">
        <x:v>2025</x:v>
      </x:c>
      <x:c r="D1789" s="2" t="str">
        <x:v>WUP_SURFACE</x:v>
      </x:c>
      <x:c r="E1789" s="17" t="n">
        <x:v>550185494.6468804</x:v>
      </x:c>
      <x:c r="F1789" s="17" t="n">
        <x:f>IF(AND(M1789,ISNUMBER(R1789)),IF(D1789="TEMPO_PROXY",R1789,IF(AND(ISNUMBER(S1789),S1789&gt;0,ISNUMBER(U1789)),U1789*R1789/S1789,"n.a.")),"n.a.")</x:f>
        <x:v>914150209.8863167</x:v>
      </x:c>
      <x:c r="G1789" s="17" t="n">
        <x:f>IF(AND(ISNUMBER(E1789),ISNUMBER(F1789)),E1789-F1789,"n.a.")</x:f>
        <x:v>-363964715.23943627</x:v>
      </x:c>
      <x:c r="H1789" s="15" t="n">
        <x:f>IF(AND(ISNUMBER(E1789),ISNUMBER(F1789),F1789&gt;0),(E1789-F1789)/F1789,"n.a.")</x:f>
        <x:v>-0.39814541560374284</x:v>
      </x:c>
      <x:c r="I1789" s="19" t="n">
        <x:f>IF(ISNUMBER(H1789),ABS(H1789),"n.a.")</x:f>
        <x:v>0.39814541560374284</x:v>
      </x:c>
      <x:c r="J1789" s="2" t="str">
        <x:v>available</x:v>
      </x:c>
      <x:c r="K1789" s="2" t="n">
        <x:v>1</x:v>
      </x:c>
      <x:c r="L1789" s="13" t="b">
        <x:v>0</x:v>
      </x:c>
      <x:c r="M1789" s="13" t="b">
        <x:v>1</x:v>
      </x:c>
      <x:c r="N1789" s="2" t="str">
        <x:v>projected_CRISP_BU_surface</x:v>
      </x:c>
      <x:c r="O1789" s="2" t="str"/>
      <x:c r="P1789" s="2" t="str">
        <x:v>horizontal built-up surface</x:v>
      </x:c>
      <x:c r="Q1789" s="2" t="str">
        <x:v>m2</x:v>
      </x:c>
      <x:c r="R1789" s="17" t="n">
        <x:v>914150209.8863156</x:v>
      </x:c>
      <x:c r="S1789" s="17" t="n">
        <x:v>507953272.9</x:v>
      </x:c>
      <x:c r="T1789" s="18" t="n">
        <x:v>1.000000000000001</x:v>
      </x:c>
      <x:c r="U1789" s="17" t="n">
        <x:v>507953272.9000006</x:v>
      </x:c>
      <x:c r="V1789" s="2" t="str">
        <x:v>Area equivalent = model2020 * WUP surface / TEMPO2020 footprint; km2 multiplied by1e6 once</x:v>
      </x:c>
      <x:c r="W1789" s="2" t="str">
        <x:v>L1_numeric_partition_qualified_not_national_completeness</x:v>
      </x:c>
      <x:c r="X1789" s="2" t="str">
        <x:v>https://human-settlement.emergency.copernicus.eu/datasets.php</x:v>
      </x:c>
    </x:row>
    <x:row r="1790" ht="23" customHeight="1">
      <x:c r="A1790" s="2" t="str">
        <x:v>BDI</x:v>
      </x:c>
      <x:c r="B1790" s="2" t="str">
        <x:v>Burundi (Republic of)</x:v>
      </x:c>
      <x:c r="C1790" s="2" t="n">
        <x:v>2025</x:v>
      </x:c>
      <x:c r="D1790" s="2" t="str">
        <x:v>WUP_SURFACE</x:v>
      </x:c>
      <x:c r="E1790" s="17" t="n">
        <x:v>176189105.2479548</x:v>
      </x:c>
      <x:c r="F1790" s="17" t="n">
        <x:f>IF(AND(M1790,ISNUMBER(R1790)),IF(D1790="TEMPO_PROXY",R1790,IF(AND(ISNUMBER(S1790),S1790&gt;0,ISNUMBER(U1790)),U1790*R1790/S1790,"n.a.")),"n.a.")</x:f>
        <x:v>502733178.34212285</x:v>
      </x:c>
      <x:c r="G1790" s="17" t="n">
        <x:f>IF(AND(ISNUMBER(E1790),ISNUMBER(F1790)),E1790-F1790,"n.a.")</x:f>
        <x:v>-326544073.09416807</x:v>
      </x:c>
      <x:c r="H1790" s="15" t="n">
        <x:f>IF(AND(ISNUMBER(E1790),ISNUMBER(F1790),F1790&gt;0),(E1790-F1790)/F1790,"n.a.")</x:f>
        <x:v>-0.6495375423023034</x:v>
      </x:c>
      <x:c r="I1790" s="19" t="n">
        <x:f>IF(ISNUMBER(H1790),ABS(H1790),"n.a.")</x:f>
        <x:v>0.6495375423023034</x:v>
      </x:c>
      <x:c r="J1790" s="2" t="str">
        <x:v>available</x:v>
      </x:c>
      <x:c r="K1790" s="2" t="n">
        <x:v>1</x:v>
      </x:c>
      <x:c r="L1790" s="13" t="b">
        <x:v>0</x:v>
      </x:c>
      <x:c r="M1790" s="13" t="b">
        <x:v>1</x:v>
      </x:c>
      <x:c r="N1790" s="2" t="str">
        <x:v>projected_CRISP_BU_surface</x:v>
      </x:c>
      <x:c r="O1790" s="2" t="str"/>
      <x:c r="P1790" s="2" t="str">
        <x:v>horizontal built-up surface</x:v>
      </x:c>
      <x:c r="Q1790" s="2" t="str">
        <x:v>m2</x:v>
      </x:c>
      <x:c r="R1790" s="17" t="n">
        <x:v>502733178.34212255</x:v>
      </x:c>
      <x:c r="S1790" s="17" t="n">
        <x:v>147710691.61</x:v>
      </x:c>
      <x:c r="T1790" s="18" t="n">
        <x:v>1.0000000000000007</x:v>
      </x:c>
      <x:c r="U1790" s="17" t="n">
        <x:v>147710691.6100001</x:v>
      </x:c>
      <x:c r="V1790" s="2" t="str">
        <x:v>Area equivalent = model2020 * WUP surface / TEMPO2020 footprint; km2 multiplied by1e6 once</x:v>
      </x:c>
      <x:c r="W1790" s="2" t="str">
        <x:v>L1_numeric_partition_qualified_not_national_completeness</x:v>
      </x:c>
      <x:c r="X1790" s="2" t="str">
        <x:v>https://human-settlement.emergency.copernicus.eu/datasets.php</x:v>
      </x:c>
    </x:row>
    <x:row r="1791" ht="23" customHeight="1">
      <x:c r="A1791" s="2" t="str">
        <x:v>BEL</x:v>
      </x:c>
      <x:c r="B1791" s="2" t="str">
        <x:v>Belgium (Kingdom of)</x:v>
      </x:c>
      <x:c r="C1791" s="2" t="n">
        <x:v>2025</x:v>
      </x:c>
      <x:c r="D1791" s="2" t="str">
        <x:v>WUP_SURFACE</x:v>
      </x:c>
      <x:c r="E1791" s="17" t="n">
        <x:v>1220977633.8502424</x:v>
      </x:c>
      <x:c r="F1791" s="17" t="n">
        <x:f>IF(AND(M1791,ISNUMBER(R1791)),IF(D1791="TEMPO_PROXY",R1791,IF(AND(ISNUMBER(S1791),S1791&gt;0,ISNUMBER(U1791)),U1791*R1791/S1791,"n.a.")),"n.a.")</x:f>
        <x:v>1848883418.5553312</x:v>
      </x:c>
      <x:c r="G1791" s="17" t="n">
        <x:f>IF(AND(ISNUMBER(E1791),ISNUMBER(F1791)),E1791-F1791,"n.a.")</x:f>
        <x:v>-627905784.7050889</x:v>
      </x:c>
      <x:c r="H1791" s="15" t="n">
        <x:f>IF(AND(ISNUMBER(E1791),ISNUMBER(F1791),F1791&gt;0),(E1791-F1791)/F1791,"n.a.")</x:f>
        <x:v>-0.33961350856600675</x:v>
      </x:c>
      <x:c r="I1791" s="19" t="n">
        <x:f>IF(ISNUMBER(H1791),ABS(H1791),"n.a.")</x:f>
        <x:v>0.33961350856600675</x:v>
      </x:c>
      <x:c r="J1791" s="2" t="str">
        <x:v>available</x:v>
      </x:c>
      <x:c r="K1791" s="2" t="n">
        <x:v>1</x:v>
      </x:c>
      <x:c r="L1791" s="13" t="b">
        <x:v>0</x:v>
      </x:c>
      <x:c r="M1791" s="13" t="b">
        <x:v>1</x:v>
      </x:c>
      <x:c r="N1791" s="2" t="str">
        <x:v>projected_CRISP_BU_surface</x:v>
      </x:c>
      <x:c r="O1791" s="2" t="str"/>
      <x:c r="P1791" s="2" t="str">
        <x:v>horizontal built-up surface</x:v>
      </x:c>
      <x:c r="Q1791" s="2" t="str">
        <x:v>m2</x:v>
      </x:c>
      <x:c r="R1791" s="17" t="n">
        <x:v>1709067435.8370583</x:v>
      </x:c>
      <x:c r="S1791" s="17" t="n">
        <x:v>997505427.36</x:v>
      </x:c>
      <x:c r="T1791" s="18" t="n">
        <x:v>1.0818083475154359</x:v>
      </x:c>
      <x:c r="U1791" s="17" t="n">
        <x:v>1079109698.0100002</x:v>
      </x:c>
      <x:c r="V1791" s="2" t="str">
        <x:v>Area equivalent = model2020 * WUP surface / TEMPO2020 footprint; km2 multiplied by1e6 once</x:v>
      </x:c>
      <x:c r="W1791" s="2" t="str">
        <x:v>L1_numeric_partition_qualified_not_national_completeness</x:v>
      </x:c>
      <x:c r="X1791" s="2" t="str">
        <x:v>https://human-settlement.emergency.copernicus.eu/datasets.php</x:v>
      </x:c>
    </x:row>
    <x:row r="1792" ht="23" customHeight="1">
      <x:c r="A1792" s="2" t="str">
        <x:v>BEN</x:v>
      </x:c>
      <x:c r="B1792" s="2" t="str">
        <x:v>Benin (Republic of)</x:v>
      </x:c>
      <x:c r="C1792" s="2" t="n">
        <x:v>2025</x:v>
      </x:c>
      <x:c r="D1792" s="2" t="str">
        <x:v>WUP_SURFACE</x:v>
      </x:c>
      <x:c r="E1792" s="17" t="n">
        <x:v>349043347.1117834</x:v>
      </x:c>
      <x:c r="F1792" s="17" t="n">
        <x:f>IF(AND(M1792,ISNUMBER(R1792)),IF(D1792="TEMPO_PROXY",R1792,IF(AND(ISNUMBER(S1792),S1792&gt;0,ISNUMBER(U1792)),U1792*R1792/S1792,"n.a.")),"n.a.")</x:f>
        <x:v>846665166.1416485</x:v>
      </x:c>
      <x:c r="G1792" s="17" t="n">
        <x:f>IF(AND(ISNUMBER(E1792),ISNUMBER(F1792)),E1792-F1792,"n.a.")</x:f>
        <x:v>-497621819.02986515</x:v>
      </x:c>
      <x:c r="H1792" s="15" t="n">
        <x:f>IF(AND(ISNUMBER(E1792),ISNUMBER(F1792),F1792&gt;0),(E1792-F1792)/F1792,"n.a.")</x:f>
        <x:v>-0.5877433475828296</x:v>
      </x:c>
      <x:c r="I1792" s="19" t="n">
        <x:f>IF(ISNUMBER(H1792),ABS(H1792),"n.a.")</x:f>
        <x:v>0.5877433475828296</x:v>
      </x:c>
      <x:c r="J1792" s="2" t="str">
        <x:v>available</x:v>
      </x:c>
      <x:c r="K1792" s="2" t="n">
        <x:v>1</x:v>
      </x:c>
      <x:c r="L1792" s="13" t="b">
        <x:v>0</x:v>
      </x:c>
      <x:c r="M1792" s="13" t="b">
        <x:v>1</x:v>
      </x:c>
      <x:c r="N1792" s="2" t="str">
        <x:v>projected_CRISP_BU_surface</x:v>
      </x:c>
      <x:c r="O1792" s="2" t="str"/>
      <x:c r="P1792" s="2" t="str">
        <x:v>horizontal built-up surface</x:v>
      </x:c>
      <x:c r="Q1792" s="2" t="str">
        <x:v>m2</x:v>
      </x:c>
      <x:c r="R1792" s="17" t="n">
        <x:v>846665166.1416485</x:v>
      </x:c>
      <x:c r="S1792" s="17" t="n">
        <x:v>302038367.25</x:v>
      </x:c>
      <x:c r="T1792" s="18" t="n">
        <x:v>1</x:v>
      </x:c>
      <x:c r="U1792" s="17" t="n">
        <x:v>302038367.25</x:v>
      </x:c>
      <x:c r="V1792" s="2" t="str">
        <x:v>Area equivalent = model2020 * WUP surface / TEMPO2020 footprint; km2 multiplied by1e6 once</x:v>
      </x:c>
      <x:c r="W1792" s="2" t="str">
        <x:v>L1_numeric_partition_qualified_not_national_completeness</x:v>
      </x:c>
      <x:c r="X1792" s="2" t="str">
        <x:v>https://human-settlement.emergency.copernicus.eu/datasets.php</x:v>
      </x:c>
    </x:row>
    <x:row r="1793" ht="23" customHeight="1">
      <x:c r="A1793" s="2" t="str">
        <x:v>BFA</x:v>
      </x:c>
      <x:c r="B1793" s="2" t="str">
        <x:v>Burkina Faso</x:v>
      </x:c>
      <x:c r="C1793" s="2" t="n">
        <x:v>2025</x:v>
      </x:c>
      <x:c r="D1793" s="2" t="str">
        <x:v>WUP_SURFACE</x:v>
      </x:c>
      <x:c r="E1793" s="17" t="n">
        <x:v>412880904.35600746</x:v>
      </x:c>
      <x:c r="F1793" s="17" t="n">
        <x:f>IF(AND(M1793,ISNUMBER(R1793)),IF(D1793="TEMPO_PROXY",R1793,IF(AND(ISNUMBER(S1793),S1793&gt;0,ISNUMBER(U1793)),U1793*R1793/S1793,"n.a.")),"n.a.")</x:f>
        <x:v>1431980793.9154987</x:v>
      </x:c>
      <x:c r="G1793" s="17" t="n">
        <x:f>IF(AND(ISNUMBER(E1793),ISNUMBER(F1793)),E1793-F1793,"n.a.")</x:f>
        <x:v>-1019099889.5594913</x:v>
      </x:c>
      <x:c r="H1793" s="15" t="n">
        <x:f>IF(AND(ISNUMBER(E1793),ISNUMBER(F1793),F1793&gt;0),(E1793-F1793)/F1793,"n.a.")</x:f>
        <x:v>-0.7116714790377477</x:v>
      </x:c>
      <x:c r="I1793" s="19" t="n">
        <x:f>IF(ISNUMBER(H1793),ABS(H1793),"n.a.")</x:f>
        <x:v>0.7116714790377477</x:v>
      </x:c>
      <x:c r="J1793" s="2" t="str">
        <x:v>available</x:v>
      </x:c>
      <x:c r="K1793" s="2" t="n">
        <x:v>1</x:v>
      </x:c>
      <x:c r="L1793" s="13" t="b">
        <x:v>0</x:v>
      </x:c>
      <x:c r="M1793" s="13" t="b">
        <x:v>1</x:v>
      </x:c>
      <x:c r="N1793" s="2" t="str">
        <x:v>projected_CRISP_BU_surface</x:v>
      </x:c>
      <x:c r="O1793" s="2" t="str"/>
      <x:c r="P1793" s="2" t="str">
        <x:v>horizontal built-up surface</x:v>
      </x:c>
      <x:c r="Q1793" s="2" t="str">
        <x:v>m2</x:v>
      </x:c>
      <x:c r="R1793" s="17" t="n">
        <x:v>1431980793.915498</x:v>
      </x:c>
      <x:c r="S1793" s="17" t="n">
        <x:v>359180891.35</x:v>
      </x:c>
      <x:c r="T1793" s="18" t="n">
        <x:v>1.0000000000000004</x:v>
      </x:c>
      <x:c r="U1793" s="17" t="n">
        <x:v>359180891.3500002</x:v>
      </x:c>
      <x:c r="V1793" s="2" t="str">
        <x:v>Area equivalent = model2020 * WUP surface / TEMPO2020 footprint; km2 multiplied by1e6 once</x:v>
      </x:c>
      <x:c r="W1793" s="2" t="str">
        <x:v>L1_numeric_partition_qualified_not_national_completeness</x:v>
      </x:c>
      <x:c r="X1793" s="2" t="str">
        <x:v>https://human-settlement.emergency.copernicus.eu/datasets.php</x:v>
      </x:c>
    </x:row>
    <x:row r="1794" ht="23" customHeight="1">
      <x:c r="A1794" s="2" t="str">
        <x:v>BGD</x:v>
      </x:c>
      <x:c r="B1794" s="2" t="str">
        <x:v>Bangladesh (People's Republic of)</x:v>
      </x:c>
      <x:c r="C1794" s="2" t="n">
        <x:v>2025</x:v>
      </x:c>
      <x:c r="D1794" s="2" t="str">
        <x:v>WUP_SURFACE</x:v>
      </x:c>
      <x:c r="E1794" s="17" t="n">
        <x:v>2944639235.914296</x:v>
      </x:c>
      <x:c r="F1794" s="17" t="n">
        <x:f>IF(AND(M1794,ISNUMBER(R1794)),IF(D1794="TEMPO_PROXY",R1794,IF(AND(ISNUMBER(S1794),S1794&gt;0,ISNUMBER(U1794)),U1794*R1794/S1794,"n.a.")),"n.a.")</x:f>
        <x:v>3239217016.2153654</x:v>
      </x:c>
      <x:c r="G1794" s="17" t="n">
        <x:f>IF(AND(ISNUMBER(E1794),ISNUMBER(F1794)),E1794-F1794,"n.a.")</x:f>
        <x:v>-294577780.30106926</x:v>
      </x:c>
      <x:c r="H1794" s="15" t="n">
        <x:f>IF(AND(ISNUMBER(E1794),ISNUMBER(F1794),F1794&gt;0),(E1794-F1794)/F1794,"n.a.")</x:f>
        <x:v>-0.0909410449582189</x:v>
      </x:c>
      <x:c r="I1794" s="19" t="n">
        <x:f>IF(ISNUMBER(H1794),ABS(H1794),"n.a.")</x:f>
        <x:v>0.0909410449582189</x:v>
      </x:c>
      <x:c r="J1794" s="2" t="str">
        <x:v>available</x:v>
      </x:c>
      <x:c r="K1794" s="2" t="n">
        <x:v>1</x:v>
      </x:c>
      <x:c r="L1794" s="13" t="b">
        <x:v>0</x:v>
      </x:c>
      <x:c r="M1794" s="13" t="b">
        <x:v>1</x:v>
      </x:c>
      <x:c r="N1794" s="2" t="str">
        <x:v>projected_CRISP_BU_surface</x:v>
      </x:c>
      <x:c r="O1794" s="2" t="str"/>
      <x:c r="P1794" s="2" t="str">
        <x:v>horizontal built-up surface</x:v>
      </x:c>
      <x:c r="Q1794" s="2" t="str">
        <x:v>m2</x:v>
      </x:c>
      <x:c r="R1794" s="17" t="n">
        <x:v>3239217016.2153673</x:v>
      </x:c>
      <x:c r="S1794" s="17" t="n">
        <x:v>2430930564.55</x:v>
      </x:c>
      <x:c r="T1794" s="18" t="n">
        <x:v>0.9999999999999994</x:v>
      </x:c>
      <x:c r="U1794" s="17" t="n">
        <x:v>2430930564.5499988</x:v>
      </x:c>
      <x:c r="V1794" s="2" t="str">
        <x:v>Area equivalent = model2020 * WUP surface / TEMPO2020 footprint; km2 multiplied by1e6 once</x:v>
      </x:c>
      <x:c r="W1794" s="2" t="str">
        <x:v>L1_numeric_partition_qualified_not_national_completeness</x:v>
      </x:c>
      <x:c r="X1794" s="2" t="str">
        <x:v>https://human-settlement.emergency.copernicus.eu/datasets.php</x:v>
      </x:c>
    </x:row>
    <x:row r="1795" ht="23" customHeight="1">
      <x:c r="A1795" s="2" t="str">
        <x:v>BGR</x:v>
      </x:c>
      <x:c r="B1795" s="2" t="str">
        <x:v>Bulgaria (Republic of)</x:v>
      </x:c>
      <x:c r="C1795" s="2" t="n">
        <x:v>2025</x:v>
      </x:c>
      <x:c r="D1795" s="2" t="str">
        <x:v>WUP_SURFACE</x:v>
      </x:c>
      <x:c r="E1795" s="17" t="n">
        <x:v>576762941.7332568</x:v>
      </x:c>
      <x:c r="F1795" s="17" t="n">
        <x:f>IF(AND(M1795,ISNUMBER(R1795)),IF(D1795="TEMPO_PROXY",R1795,IF(AND(ISNUMBER(S1795),S1795&gt;0,ISNUMBER(U1795)),U1795*R1795/S1795,"n.a.")),"n.a.")</x:f>
        <x:v>917996193.1587381</x:v>
      </x:c>
      <x:c r="G1795" s="17" t="n">
        <x:f>IF(AND(ISNUMBER(E1795),ISNUMBER(F1795)),E1795-F1795,"n.a.")</x:f>
        <x:v>-341233251.4254813</x:v>
      </x:c>
      <x:c r="H1795" s="15" t="n">
        <x:f>IF(AND(ISNUMBER(E1795),ISNUMBER(F1795),F1795&gt;0),(E1795-F1795)/F1795,"n.a.")</x:f>
        <x:v>-0.3717153229702728</x:v>
      </x:c>
      <x:c r="I1795" s="19" t="n">
        <x:f>IF(ISNUMBER(H1795),ABS(H1795),"n.a.")</x:f>
        <x:v>0.3717153229702728</x:v>
      </x:c>
      <x:c r="J1795" s="2" t="str">
        <x:v>available</x:v>
      </x:c>
      <x:c r="K1795" s="2" t="n">
        <x:v>1</x:v>
      </x:c>
      <x:c r="L1795" s="13" t="b">
        <x:v>0</x:v>
      </x:c>
      <x:c r="M1795" s="13" t="b">
        <x:v>1</x:v>
      </x:c>
      <x:c r="N1795" s="2" t="str">
        <x:v>projected_CRISP_BU_surface</x:v>
      </x:c>
      <x:c r="O1795" s="2" t="str"/>
      <x:c r="P1795" s="2" t="str">
        <x:v>horizontal built-up surface</x:v>
      </x:c>
      <x:c r="Q1795" s="2" t="str">
        <x:v>m2</x:v>
      </x:c>
      <x:c r="R1795" s="17" t="n">
        <x:v>917996193.1587368</x:v>
      </x:c>
      <x:c r="S1795" s="17" t="n">
        <x:v>543020803.57</x:v>
      </x:c>
      <x:c r="T1795" s="18" t="n">
        <x:v>1.0000000000000013</x:v>
      </x:c>
      <x:c r="U1795" s="17" t="n">
        <x:v>543020803.5700008</x:v>
      </x:c>
      <x:c r="V1795" s="2" t="str">
        <x:v>Area equivalent = model2020 * WUP surface / TEMPO2020 footprint; km2 multiplied by1e6 once</x:v>
      </x:c>
      <x:c r="W1795" s="2" t="str">
        <x:v>L1_numeric_partition_qualified_not_national_completeness</x:v>
      </x:c>
      <x:c r="X1795" s="2" t="str">
        <x:v>https://human-settlement.emergency.copernicus.eu/datasets.php</x:v>
      </x:c>
    </x:row>
    <x:row r="1796" ht="23" customHeight="1">
      <x:c r="A1796" s="2" t="str">
        <x:v>BHR</x:v>
      </x:c>
      <x:c r="B1796" s="2" t="str">
        <x:v>Bahrain (Kingdom of)</x:v>
      </x:c>
      <x:c r="C1796" s="2" t="n">
        <x:v>2025</x:v>
      </x:c>
      <x:c r="D1796" s="2" t="str">
        <x:v>WUP_SURFACE</x:v>
      </x:c>
      <x:c r="E1796" s="17" t="n">
        <x:v>73347488.5329835</x:v>
      </x:c>
      <x:c r="F1796" s="17" t="n">
        <x:f>IF(AND(M1796,ISNUMBER(R1796)),IF(D1796="TEMPO_PROXY",R1796,IF(AND(ISNUMBER(S1796),S1796&gt;0,ISNUMBER(U1796)),U1796*R1796/S1796,"n.a.")),"n.a.")</x:f>
        <x:v>109971311.68299125</x:v>
      </x:c>
      <x:c r="G1796" s="17" t="n">
        <x:f>IF(AND(ISNUMBER(E1796),ISNUMBER(F1796)),E1796-F1796,"n.a.")</x:f>
        <x:v>-36623823.150007755</x:v>
      </x:c>
      <x:c r="H1796" s="15" t="n">
        <x:f>IF(AND(ISNUMBER(E1796),ISNUMBER(F1796),F1796&gt;0),(E1796-F1796)/F1796,"n.a.")</x:f>
        <x:v>-0.33303070218514264</x:v>
      </x:c>
      <x:c r="I1796" s="19" t="n">
        <x:f>IF(ISNUMBER(H1796),ABS(H1796),"n.a.")</x:f>
        <x:v>0.33303070218514264</x:v>
      </x:c>
      <x:c r="J1796" s="2" t="str">
        <x:v>available</x:v>
      </x:c>
      <x:c r="K1796" s="2" t="n">
        <x:v>1</x:v>
      </x:c>
      <x:c r="L1796" s="13" t="b">
        <x:v>0</x:v>
      </x:c>
      <x:c r="M1796" s="13" t="b">
        <x:v>1</x:v>
      </x:c>
      <x:c r="N1796" s="2" t="str">
        <x:v>projected_CRISP_BU_surface</x:v>
      </x:c>
      <x:c r="O1796" s="2" t="str"/>
      <x:c r="P1796" s="2" t="str">
        <x:v>horizontal built-up surface</x:v>
      </x:c>
      <x:c r="Q1796" s="2" t="str">
        <x:v>m2</x:v>
      </x:c>
      <x:c r="R1796" s="17" t="n">
        <x:v>94469859.06217742</x:v>
      </x:c>
      <x:c r="S1796" s="17" t="n">
        <x:v>54723363.17</x:v>
      </x:c>
      <x:c r="T1796" s="18" t="n">
        <x:v>1.1640888720984668</x:v>
      </x:c>
      <x:c r="U1796" s="17" t="n">
        <x:v>63702858.11000008</x:v>
      </x:c>
      <x:c r="V1796" s="2" t="str">
        <x:v>Area equivalent = model2020 * WUP surface / TEMPO2020 footprint; km2 multiplied by1e6 once</x:v>
      </x:c>
      <x:c r="W1796" s="2" t="str">
        <x:v>L1_numeric_partition_qualified_not_national_completeness</x:v>
      </x:c>
      <x:c r="X1796" s="2" t="str">
        <x:v>https://human-settlement.emergency.copernicus.eu/datasets.php</x:v>
      </x:c>
    </x:row>
    <x:row r="1797" ht="23" customHeight="1">
      <x:c r="A1797" s="2" t="str">
        <x:v>BHS</x:v>
      </x:c>
      <x:c r="B1797" s="2" t="str">
        <x:v>Bahamas (Commonwealth of the)</x:v>
      </x:c>
      <x:c r="C1797" s="2" t="n">
        <x:v>2025</x:v>
      </x:c>
      <x:c r="D1797" s="2" t="str">
        <x:v>WUP_SURFACE</x:v>
      </x:c>
      <x:c r="E1797" s="17" t="n">
        <x:v>31745792.748631</x:v>
      </x:c>
      <x:c r="F1797" s="17" t="n">
        <x:f>IF(AND(M1797,ISNUMBER(R1797)),IF(D1797="TEMPO_PROXY",R1797,IF(AND(ISNUMBER(S1797),S1797&gt;0,ISNUMBER(U1797)),U1797*R1797/S1797,"n.a.")),"n.a.")</x:f>
        <x:v>49720320.8475123</x:v>
      </x:c>
      <x:c r="G1797" s="17" t="n">
        <x:f>IF(AND(ISNUMBER(E1797),ISNUMBER(F1797)),E1797-F1797,"n.a.")</x:f>
        <x:v>-17974528.098881297</x:v>
      </x:c>
      <x:c r="H1797" s="15" t="n">
        <x:f>IF(AND(ISNUMBER(E1797),ISNUMBER(F1797),F1797&gt;0),(E1797-F1797)/F1797,"n.a.")</x:f>
        <x:v>-0.3615127133633659</x:v>
      </x:c>
      <x:c r="I1797" s="19" t="n">
        <x:f>IF(ISNUMBER(H1797),ABS(H1797),"n.a.")</x:f>
        <x:v>0.3615127133633659</x:v>
      </x:c>
      <x:c r="J1797" s="2" t="str">
        <x:v>available</x:v>
      </x:c>
      <x:c r="K1797" s="2" t="n">
        <x:v>1</x:v>
      </x:c>
      <x:c r="L1797" s="13" t="b">
        <x:v>0</x:v>
      </x:c>
      <x:c r="M1797" s="13" t="b">
        <x:v>1</x:v>
      </x:c>
      <x:c r="N1797" s="2" t="str">
        <x:v>projected_CRISP_BU_surface</x:v>
      </x:c>
      <x:c r="O1797" s="2" t="str"/>
      <x:c r="P1797" s="2" t="str">
        <x:v>horizontal built-up surface</x:v>
      </x:c>
      <x:c r="Q1797" s="2" t="str">
        <x:v>m2</x:v>
      </x:c>
      <x:c r="R1797" s="17" t="n">
        <x:v>49720320.847512305</x:v>
      </x:c>
      <x:c r="S1797" s="17" t="n">
        <x:v>29184660.45</x:v>
      </x:c>
      <x:c r="T1797" s="18" t="n">
        <x:v>0.9999999999999998</x:v>
      </x:c>
      <x:c r="U1797" s="17" t="n">
        <x:v>29184660.44999999</x:v>
      </x:c>
      <x:c r="V1797" s="2" t="str">
        <x:v>Area equivalent = model2020 * WUP surface / TEMPO2020 footprint; km2 multiplied by1e6 once</x:v>
      </x:c>
      <x:c r="W1797" s="2" t="str">
        <x:v>L1_numeric_partition_qualified_not_national_completeness</x:v>
      </x:c>
      <x:c r="X1797" s="2" t="str">
        <x:v>https://human-settlement.emergency.copernicus.eu/datasets.php</x:v>
      </x:c>
    </x:row>
    <x:row r="1798" ht="23" customHeight="1">
      <x:c r="A1798" s="2" t="str">
        <x:v>BIH</x:v>
      </x:c>
      <x:c r="B1798" s="2" t="str">
        <x:v>Bosnia and Herzegovina</x:v>
      </x:c>
      <x:c r="C1798" s="2" t="n">
        <x:v>2025</x:v>
      </x:c>
      <x:c r="D1798" s="2" t="str">
        <x:v>WUP_SURFACE</x:v>
      </x:c>
      <x:c r="E1798" s="17" t="n">
        <x:v>253969051.40283546</x:v>
      </x:c>
      <x:c r="F1798" s="17" t="n">
        <x:f>IF(AND(M1798,ISNUMBER(R1798)),IF(D1798="TEMPO_PROXY",R1798,IF(AND(ISNUMBER(S1798),S1798&gt;0,ISNUMBER(U1798)),U1798*R1798/S1798,"n.a.")),"n.a.")</x:f>
        <x:v>369435612.8923591</x:v>
      </x:c>
      <x:c r="G1798" s="17" t="n">
        <x:f>IF(AND(ISNUMBER(E1798),ISNUMBER(F1798)),E1798-F1798,"n.a.")</x:f>
        <x:v>-115466561.48952362</x:v>
      </x:c>
      <x:c r="H1798" s="15" t="n">
        <x:f>IF(AND(ISNUMBER(E1798),ISNUMBER(F1798),F1798&gt;0),(E1798-F1798)/F1798,"n.a.")</x:f>
        <x:v>-0.312548540151614</x:v>
      </x:c>
      <x:c r="I1798" s="19" t="n">
        <x:f>IF(ISNUMBER(H1798),ABS(H1798),"n.a.")</x:f>
        <x:v>0.312548540151614</x:v>
      </x:c>
      <x:c r="J1798" s="2" t="str">
        <x:v>available</x:v>
      </x:c>
      <x:c r="K1798" s="2" t="n">
        <x:v>1</x:v>
      </x:c>
      <x:c r="L1798" s="13" t="b">
        <x:v>0</x:v>
      </x:c>
      <x:c r="M1798" s="13" t="b">
        <x:v>1</x:v>
      </x:c>
      <x:c r="N1798" s="2" t="str">
        <x:v>projected_CRISP_BU_surface</x:v>
      </x:c>
      <x:c r="O1798" s="2" t="str"/>
      <x:c r="P1798" s="2" t="str">
        <x:v>horizontal built-up surface</x:v>
      </x:c>
      <x:c r="Q1798" s="2" t="str">
        <x:v>m2</x:v>
      </x:c>
      <x:c r="R1798" s="17" t="n">
        <x:v>369435612.89235866</x:v>
      </x:c>
      <x:c r="S1798" s="17" t="n">
        <x:v>247114206.72</x:v>
      </x:c>
      <x:c r="T1798" s="18" t="n">
        <x:v>1.000000000000001</x:v>
      </x:c>
      <x:c r="U1798" s="17" t="n">
        <x:v>247114206.72000027</x:v>
      </x:c>
      <x:c r="V1798" s="2" t="str">
        <x:v>Area equivalent = model2020 * WUP surface / TEMPO2020 footprint; km2 multiplied by1e6 once</x:v>
      </x:c>
      <x:c r="W1798" s="2" t="str">
        <x:v>L1_numeric_partition_qualified_not_national_completeness</x:v>
      </x:c>
      <x:c r="X1798" s="2" t="str">
        <x:v>https://human-settlement.emergency.copernicus.eu/datasets.php</x:v>
      </x:c>
    </x:row>
    <x:row r="1799" ht="23" customHeight="1">
      <x:c r="A1799" s="2" t="str">
        <x:v>BLR</x:v>
      </x:c>
      <x:c r="B1799" s="2" t="str">
        <x:v>Belarus (Republic of)</x:v>
      </x:c>
      <x:c r="C1799" s="2" t="n">
        <x:v>2025</x:v>
      </x:c>
      <x:c r="D1799" s="2" t="str">
        <x:v>WUP_SURFACE</x:v>
      </x:c>
      <x:c r="E1799" s="17" t="n">
        <x:v>717049004.9075873</x:v>
      </x:c>
      <x:c r="F1799" s="17" t="n">
        <x:f>IF(AND(M1799,ISNUMBER(R1799)),IF(D1799="TEMPO_PROXY",R1799,IF(AND(ISNUMBER(S1799),S1799&gt;0,ISNUMBER(U1799)),U1799*R1799/S1799,"n.a.")),"n.a.")</x:f>
        <x:v>1326108380.2496483</x:v>
      </x:c>
      <x:c r="G1799" s="17" t="n">
        <x:f>IF(AND(ISNUMBER(E1799),ISNUMBER(F1799)),E1799-F1799,"n.a.")</x:f>
        <x:v>-609059375.342061</x:v>
      </x:c>
      <x:c r="H1799" s="15" t="n">
        <x:f>IF(AND(ISNUMBER(E1799),ISNUMBER(F1799),F1799&gt;0),(E1799-F1799)/F1799,"n.a.")</x:f>
        <x:v>-0.459283256491752</x:v>
      </x:c>
      <x:c r="I1799" s="19" t="n">
        <x:f>IF(ISNUMBER(H1799),ABS(H1799),"n.a.")</x:f>
        <x:v>0.459283256491752</x:v>
      </x:c>
      <x:c r="J1799" s="2" t="str">
        <x:v>available</x:v>
      </x:c>
      <x:c r="K1799" s="2" t="n">
        <x:v>1</x:v>
      </x:c>
      <x:c r="L1799" s="13" t="b">
        <x:v>0</x:v>
      </x:c>
      <x:c r="M1799" s="13" t="b">
        <x:v>1</x:v>
      </x:c>
      <x:c r="N1799" s="2" t="str">
        <x:v>projected_CRISP_BU_surface</x:v>
      </x:c>
      <x:c r="O1799" s="2" t="str"/>
      <x:c r="P1799" s="2" t="str">
        <x:v>horizontal built-up surface</x:v>
      </x:c>
      <x:c r="Q1799" s="2" t="str">
        <x:v>m2</x:v>
      </x:c>
      <x:c r="R1799" s="17" t="n">
        <x:v>1326108380.2496479</x:v>
      </x:c>
      <x:c r="S1799" s="17" t="n">
        <x:v>672205246.44</x:v>
      </x:c>
      <x:c r="T1799" s="18" t="n">
        <x:v>1.0000000000000004</x:v>
      </x:c>
      <x:c r="U1799" s="17" t="n">
        <x:v>672205246.4400003</x:v>
      </x:c>
      <x:c r="V1799" s="2" t="str">
        <x:v>Area equivalent = model2020 * WUP surface / TEMPO2020 footprint; km2 multiplied by1e6 once</x:v>
      </x:c>
      <x:c r="W1799" s="2" t="str">
        <x:v>L1_numeric_partition_qualified_not_national_completeness</x:v>
      </x:c>
      <x:c r="X1799" s="2" t="str">
        <x:v>https://human-settlement.emergency.copernicus.eu/datasets.php</x:v>
      </x:c>
    </x:row>
    <x:row r="1800" ht="23" customHeight="1">
      <x:c r="A1800" s="2" t="str">
        <x:v>BLZ</x:v>
      </x:c>
      <x:c r="B1800" s="2" t="str">
        <x:v>Belize</x:v>
      </x:c>
      <x:c r="C1800" s="2" t="n">
        <x:v>2025</x:v>
      </x:c>
      <x:c r="D1800" s="2" t="str">
        <x:v>WUP_SURFACE</x:v>
      </x:c>
      <x:c r="E1800" s="17" t="n">
        <x:v>23933234.315096416</x:v>
      </x:c>
      <x:c r="F1800" s="17" t="n">
        <x:f>IF(AND(M1800,ISNUMBER(R1800)),IF(D1800="TEMPO_PROXY",R1800,IF(AND(ISNUMBER(S1800),S1800&gt;0,ISNUMBER(U1800)),U1800*R1800/S1800,"n.a.")),"n.a.")</x:f>
        <x:v>55671973.475776814</x:v>
      </x:c>
      <x:c r="G1800" s="17" t="n">
        <x:f>IF(AND(ISNUMBER(E1800),ISNUMBER(F1800)),E1800-F1800,"n.a.")</x:f>
        <x:v>-31738739.1606804</x:v>
      </x:c>
      <x:c r="H1800" s="15" t="n">
        <x:f>IF(AND(ISNUMBER(E1800),ISNUMBER(F1800),F1800&gt;0),(E1800-F1800)/F1800,"n.a.")</x:f>
        <x:v>-0.570102641942271</x:v>
      </x:c>
      <x:c r="I1800" s="19" t="n">
        <x:f>IF(ISNUMBER(H1800),ABS(H1800),"n.a.")</x:f>
        <x:v>0.570102641942271</x:v>
      </x:c>
      <x:c r="J1800" s="2" t="str">
        <x:v>available</x:v>
      </x:c>
      <x:c r="K1800" s="2" t="n">
        <x:v>1</x:v>
      </x:c>
      <x:c r="L1800" s="13" t="b">
        <x:v>0</x:v>
      </x:c>
      <x:c r="M1800" s="13" t="b">
        <x:v>1</x:v>
      </x:c>
      <x:c r="N1800" s="2" t="str">
        <x:v>projected_CRISP_BU_surface</x:v>
      </x:c>
      <x:c r="O1800" s="2" t="str"/>
      <x:c r="P1800" s="2" t="str">
        <x:v>horizontal built-up surface</x:v>
      </x:c>
      <x:c r="Q1800" s="2" t="str">
        <x:v>m2</x:v>
      </x:c>
      <x:c r="R1800" s="17" t="n">
        <x:v>55671973.475776896</x:v>
      </x:c>
      <x:c r="S1800" s="17" t="n">
        <x:v>21867714.34</x:v>
      </x:c>
      <x:c r="T1800" s="18" t="n">
        <x:v>0.9999999999999984</x:v>
      </x:c>
      <x:c r="U1800" s="17" t="n">
        <x:v>21867714.339999966</x:v>
      </x:c>
      <x:c r="V1800" s="2" t="str">
        <x:v>Area equivalent = model2020 * WUP surface / TEMPO2020 footprint; km2 multiplied by1e6 once</x:v>
      </x:c>
      <x:c r="W1800" s="2" t="str">
        <x:v>L1_numeric_partition_qualified_not_national_completeness</x:v>
      </x:c>
      <x:c r="X1800" s="2" t="str">
        <x:v>https://human-settlement.emergency.copernicus.eu/datasets.php</x:v>
      </x:c>
    </x:row>
    <x:row r="1801" ht="23" customHeight="1">
      <x:c r="A1801" s="2" t="str">
        <x:v>BOL</x:v>
      </x:c>
      <x:c r="B1801" s="2" t="str">
        <x:v>Bolivia (Plurinational State of)</x:v>
      </x:c>
      <x:c r="C1801" s="2" t="n">
        <x:v>2025</x:v>
      </x:c>
      <x:c r="D1801" s="2" t="str">
        <x:v>WUP_SURFACE</x:v>
      </x:c>
      <x:c r="E1801" s="17" t="n">
        <x:v>567121646.90039</x:v>
      </x:c>
      <x:c r="F1801" s="17" t="n">
        <x:f>IF(AND(M1801,ISNUMBER(R1801)),IF(D1801="TEMPO_PROXY",R1801,IF(AND(ISNUMBER(S1801),S1801&gt;0,ISNUMBER(U1801)),U1801*R1801/S1801,"n.a.")),"n.a.")</x:f>
        <x:v>811040092.7012392</x:v>
      </x:c>
      <x:c r="G1801" s="17" t="n">
        <x:f>IF(AND(ISNUMBER(E1801),ISNUMBER(F1801)),E1801-F1801,"n.a.")</x:f>
        <x:v>-243918445.8008492</x:v>
      </x:c>
      <x:c r="H1801" s="15" t="n">
        <x:f>IF(AND(ISNUMBER(E1801),ISNUMBER(F1801),F1801&gt;0),(E1801-F1801)/F1801,"n.a.")</x:f>
        <x:v>-0.3007477040850813</x:v>
      </x:c>
      <x:c r="I1801" s="19" t="n">
        <x:f>IF(ISNUMBER(H1801),ABS(H1801),"n.a.")</x:f>
        <x:v>0.3007477040850813</x:v>
      </x:c>
      <x:c r="J1801" s="2" t="str">
        <x:v>available</x:v>
      </x:c>
      <x:c r="K1801" s="2" t="n">
        <x:v>1</x:v>
      </x:c>
      <x:c r="L1801" s="13" t="b">
        <x:v>0</x:v>
      </x:c>
      <x:c r="M1801" s="13" t="b">
        <x:v>1</x:v>
      </x:c>
      <x:c r="N1801" s="2" t="str">
        <x:v>projected_CRISP_BU_surface</x:v>
      </x:c>
      <x:c r="O1801" s="2" t="str"/>
      <x:c r="P1801" s="2" t="str">
        <x:v>horizontal built-up surface</x:v>
      </x:c>
      <x:c r="Q1801" s="2" t="str">
        <x:v>m2</x:v>
      </x:c>
      <x:c r="R1801" s="17" t="n">
        <x:v>811040092.7012404</x:v>
      </x:c>
      <x:c r="S1801" s="17" t="n">
        <x:v>496419008.94</x:v>
      </x:c>
      <x:c r="T1801" s="18" t="n">
        <x:v>0.9999999999999984</x:v>
      </x:c>
      <x:c r="U1801" s="17" t="n">
        <x:v>496419008.9399992</x:v>
      </x:c>
      <x:c r="V1801" s="2" t="str">
        <x:v>Area equivalent = model2020 * WUP surface / TEMPO2020 footprint; km2 multiplied by1e6 once</x:v>
      </x:c>
      <x:c r="W1801" s="2" t="str">
        <x:v>L1_numeric_partition_qualified_not_national_completeness</x:v>
      </x:c>
      <x:c r="X1801" s="2" t="str">
        <x:v>https://human-settlement.emergency.copernicus.eu/datasets.php</x:v>
      </x:c>
    </x:row>
    <x:row r="1802" ht="23" customHeight="1">
      <x:c r="A1802" s="2" t="str">
        <x:v>BRA</x:v>
      </x:c>
      <x:c r="B1802" s="2" t="str">
        <x:v>Brazil (Federative Republic of)</x:v>
      </x:c>
      <x:c r="C1802" s="2" t="n">
        <x:v>2025</x:v>
      </x:c>
      <x:c r="D1802" s="2" t="str">
        <x:v>WUP_SURFACE</x:v>
      </x:c>
      <x:c r="E1802" s="17" t="n">
        <x:v>13213762068.930464</x:v>
      </x:c>
      <x:c r="F1802" s="17" t="n">
        <x:f>IF(AND(M1802,ISNUMBER(R1802)),IF(D1802="TEMPO_PROXY",R1802,IF(AND(ISNUMBER(S1802),S1802&gt;0,ISNUMBER(U1802)),U1802*R1802/S1802,"n.a.")),"n.a.")</x:f>
        <x:v>17225332617.889492</x:v>
      </x:c>
      <x:c r="G1802" s="17" t="n">
        <x:f>IF(AND(ISNUMBER(E1802),ISNUMBER(F1802)),E1802-F1802,"n.a.")</x:f>
        <x:v>-4011570548.9590282</x:v>
      </x:c>
      <x:c r="H1802" s="15" t="n">
        <x:f>IF(AND(ISNUMBER(E1802),ISNUMBER(F1802),F1802&gt;0),(E1802-F1802)/F1802,"n.a.")</x:f>
        <x:v>-0.2328878424555229</x:v>
      </x:c>
      <x:c r="I1802" s="19" t="n">
        <x:f>IF(ISNUMBER(H1802),ABS(H1802),"n.a.")</x:f>
        <x:v>0.2328878424555229</x:v>
      </x:c>
      <x:c r="J1802" s="2" t="str">
        <x:v>available</x:v>
      </x:c>
      <x:c r="K1802" s="2" t="n">
        <x:v>1</x:v>
      </x:c>
      <x:c r="L1802" s="13" t="b">
        <x:v>0</x:v>
      </x:c>
      <x:c r="M1802" s="13" t="b">
        <x:v>1</x:v>
      </x:c>
      <x:c r="N1802" s="2" t="str">
        <x:v>projected_CRISP_BU_surface</x:v>
      </x:c>
      <x:c r="O1802" s="2" t="str"/>
      <x:c r="P1802" s="2" t="str">
        <x:v>horizontal built-up surface</x:v>
      </x:c>
      <x:c r="Q1802" s="2" t="str">
        <x:v>m2</x:v>
      </x:c>
      <x:c r="R1802" s="17" t="n">
        <x:v>17225332617.889496</x:v>
      </x:c>
      <x:c r="S1802" s="17" t="n">
        <x:v>12112839681.86</x:v>
      </x:c>
      <x:c r="T1802" s="18" t="n">
        <x:v>0.9999999999999997</x:v>
      </x:c>
      <x:c r="U1802" s="17" t="n">
        <x:v>12112839681.859997</x:v>
      </x:c>
      <x:c r="V1802" s="2" t="str">
        <x:v>Area equivalent = model2020 * WUP surface / TEMPO2020 footprint; km2 multiplied by1e6 once</x:v>
      </x:c>
      <x:c r="W1802" s="2" t="str">
        <x:v>L1_numeric_partition_qualified_not_national_completeness</x:v>
      </x:c>
      <x:c r="X1802" s="2" t="str">
        <x:v>https://human-settlement.emergency.copernicus.eu/datasets.php</x:v>
      </x:c>
    </x:row>
    <x:row r="1803" ht="23" customHeight="1">
      <x:c r="A1803" s="2" t="str">
        <x:v>BRB</x:v>
      </x:c>
      <x:c r="B1803" s="2" t="str">
        <x:v>Barbados</x:v>
      </x:c>
      <x:c r="C1803" s="2" t="n">
        <x:v>2025</x:v>
      </x:c>
      <x:c r="D1803" s="2" t="str">
        <x:v>WUP_SURFACE</x:v>
      </x:c>
      <x:c r="E1803" s="17" t="n">
        <x:v>24488931.002579633</x:v>
      </x:c>
      <x:c r="F1803" s="17" t="n">
        <x:f>IF(AND(M1803,ISNUMBER(R1803)),IF(D1803="TEMPO_PROXY",R1803,IF(AND(ISNUMBER(S1803),S1803&gt;0,ISNUMBER(U1803)),U1803*R1803/S1803,"n.a.")),"n.a.")</x:f>
        <x:v>41469113.92235052</x:v>
      </x:c>
      <x:c r="G1803" s="17" t="n">
        <x:f>IF(AND(ISNUMBER(E1803),ISNUMBER(F1803)),E1803-F1803,"n.a.")</x:f>
        <x:v>-16980182.919770885</x:v>
      </x:c>
      <x:c r="H1803" s="15" t="n">
        <x:f>IF(AND(ISNUMBER(E1803),ISNUMBER(F1803),F1803&gt;0),(E1803-F1803)/F1803,"n.a.")</x:f>
        <x:v>-0.4094657761814176</x:v>
      </x:c>
      <x:c r="I1803" s="19" t="n">
        <x:f>IF(ISNUMBER(H1803),ABS(H1803),"n.a.")</x:f>
        <x:v>0.4094657761814176</x:v>
      </x:c>
      <x:c r="J1803" s="2" t="str">
        <x:v>available</x:v>
      </x:c>
      <x:c r="K1803" s="2" t="n">
        <x:v>1</x:v>
      </x:c>
      <x:c r="L1803" s="13" t="b">
        <x:v>0</x:v>
      </x:c>
      <x:c r="M1803" s="13" t="b">
        <x:v>1</x:v>
      </x:c>
      <x:c r="N1803" s="2" t="str">
        <x:v>projected_CRISP_BU_surface</x:v>
      </x:c>
      <x:c r="O1803" s="2" t="str"/>
      <x:c r="P1803" s="2" t="str">
        <x:v>horizontal built-up surface</x:v>
      </x:c>
      <x:c r="Q1803" s="2" t="str">
        <x:v>m2</x:v>
      </x:c>
      <x:c r="R1803" s="17" t="n">
        <x:v>41469113.92235051</x:v>
      </x:c>
      <x:c r="S1803" s="17" t="n">
        <x:v>23684585.84</x:v>
      </x:c>
      <x:c r="T1803" s="18" t="n">
        <x:v>1.0000000000000002</x:v>
      </x:c>
      <x:c r="U1803" s="17" t="n">
        <x:v>23684585.840000004</x:v>
      </x:c>
      <x:c r="V1803" s="2" t="str">
        <x:v>Area equivalent = model2020 * WUP surface / TEMPO2020 footprint; km2 multiplied by1e6 once</x:v>
      </x:c>
      <x:c r="W1803" s="2" t="str">
        <x:v>L1_numeric_partition_qualified_not_national_completeness</x:v>
      </x:c>
      <x:c r="X1803" s="2" t="str">
        <x:v>https://human-settlement.emergency.copernicus.eu/datasets.php</x:v>
      </x:c>
    </x:row>
    <x:row r="1804" ht="23" customHeight="1">
      <x:c r="A1804" s="2" t="str">
        <x:v>BRN</x:v>
      </x:c>
      <x:c r="B1804" s="2" t="str">
        <x:v>Brunei Darussalam</x:v>
      </x:c>
      <x:c r="C1804" s="2" t="n">
        <x:v>2025</x:v>
      </x:c>
      <x:c r="D1804" s="2" t="str">
        <x:v>WUP_SURFACE</x:v>
      </x:c>
      <x:c r="E1804" s="17" t="n">
        <x:v>41818917.17456732</x:v>
      </x:c>
      <x:c r="F1804" s="17" t="n">
        <x:f>IF(AND(M1804,ISNUMBER(R1804)),IF(D1804="TEMPO_PROXY",R1804,IF(AND(ISNUMBER(S1804),S1804&gt;0,ISNUMBER(U1804)),U1804*R1804/S1804,"n.a.")),"n.a.")</x:f>
        <x:v>58914597.81364826</x:v>
      </x:c>
      <x:c r="G1804" s="17" t="n">
        <x:f>IF(AND(ISNUMBER(E1804),ISNUMBER(F1804)),E1804-F1804,"n.a.")</x:f>
        <x:v>-17095680.63908094</x:v>
      </x:c>
      <x:c r="H1804" s="15" t="n">
        <x:f>IF(AND(ISNUMBER(E1804),ISNUMBER(F1804),F1804&gt;0),(E1804-F1804)/F1804,"n.a.")</x:f>
        <x:v>-0.2901773291087549</x:v>
      </x:c>
      <x:c r="I1804" s="19" t="n">
        <x:f>IF(ISNUMBER(H1804),ABS(H1804),"n.a.")</x:f>
        <x:v>0.2901773291087549</x:v>
      </x:c>
      <x:c r="J1804" s="2" t="str">
        <x:v>available</x:v>
      </x:c>
      <x:c r="K1804" s="2" t="n">
        <x:v>1</x:v>
      </x:c>
      <x:c r="L1804" s="13" t="b">
        <x:v>0</x:v>
      </x:c>
      <x:c r="M1804" s="13" t="b">
        <x:v>1</x:v>
      </x:c>
      <x:c r="N1804" s="2" t="str">
        <x:v>projected_CRISP_BU_surface</x:v>
      </x:c>
      <x:c r="O1804" s="2" t="str"/>
      <x:c r="P1804" s="2" t="str">
        <x:v>horizontal built-up surface</x:v>
      </x:c>
      <x:c r="Q1804" s="2" t="str">
        <x:v>m2</x:v>
      </x:c>
      <x:c r="R1804" s="17" t="n">
        <x:v>58914597.813648246</x:v>
      </x:c>
      <x:c r="S1804" s="17" t="n">
        <x:v>37849769.86</x:v>
      </x:c>
      <x:c r="T1804" s="18" t="n">
        <x:v>1.0000000000000002</x:v>
      </x:c>
      <x:c r="U1804" s="17" t="n">
        <x:v>37849769.86000001</x:v>
      </x:c>
      <x:c r="V1804" s="2" t="str">
        <x:v>Area equivalent = model2020 * WUP surface / TEMPO2020 footprint; km2 multiplied by1e6 once</x:v>
      </x:c>
      <x:c r="W1804" s="2" t="str">
        <x:v>L1_numeric_partition_qualified_not_national_completeness</x:v>
      </x:c>
      <x:c r="X1804" s="2" t="str">
        <x:v>https://human-settlement.emergency.copernicus.eu/datasets.php</x:v>
      </x:c>
    </x:row>
    <x:row r="1805" ht="23" customHeight="1">
      <x:c r="A1805" s="2" t="str">
        <x:v>BTN</x:v>
      </x:c>
      <x:c r="B1805" s="2" t="str">
        <x:v>Bhutan (Kingdom of)</x:v>
      </x:c>
      <x:c r="C1805" s="2" t="n">
        <x:v>2025</x:v>
      </x:c>
      <x:c r="D1805" s="2" t="str">
        <x:v>WUP_SURFACE</x:v>
      </x:c>
      <x:c r="E1805" s="17" t="n">
        <x:v>31282662.672256403</x:v>
      </x:c>
      <x:c r="F1805" s="17" t="n">
        <x:f>IF(AND(M1805,ISNUMBER(R1805)),IF(D1805="TEMPO_PROXY",R1805,IF(AND(ISNUMBER(S1805),S1805&gt;0,ISNUMBER(U1805)),U1805*R1805/S1805,"n.a.")),"n.a.")</x:f>
        <x:v>35718839.76998964</x:v>
      </x:c>
      <x:c r="G1805" s="17" t="n">
        <x:f>IF(AND(ISNUMBER(E1805),ISNUMBER(F1805)),E1805-F1805,"n.a.")</x:f>
        <x:v>-4436177.097733237</x:v>
      </x:c>
      <x:c r="H1805" s="15" t="n">
        <x:f>IF(AND(ISNUMBER(E1805),ISNUMBER(F1805),F1805&gt;0),(E1805-F1805)/F1805,"n.a.")</x:f>
        <x:v>-0.12419712191940896</x:v>
      </x:c>
      <x:c r="I1805" s="19" t="n">
        <x:f>IF(ISNUMBER(H1805),ABS(H1805),"n.a.")</x:f>
        <x:v>0.12419712191940896</x:v>
      </x:c>
      <x:c r="J1805" s="2" t="str">
        <x:v>available</x:v>
      </x:c>
      <x:c r="K1805" s="2" t="n">
        <x:v>1</x:v>
      </x:c>
      <x:c r="L1805" s="13" t="b">
        <x:v>0</x:v>
      </x:c>
      <x:c r="M1805" s="13" t="b">
        <x:v>1</x:v>
      </x:c>
      <x:c r="N1805" s="2" t="str">
        <x:v>projected_CRISP_BU_surface</x:v>
      </x:c>
      <x:c r="O1805" s="2" t="str"/>
      <x:c r="P1805" s="2" t="str">
        <x:v>horizontal built-up surface</x:v>
      </x:c>
      <x:c r="Q1805" s="2" t="str">
        <x:v>m2</x:v>
      </x:c>
      <x:c r="R1805" s="17" t="n">
        <x:v>35718839.76998959</x:v>
      </x:c>
      <x:c r="S1805" s="17" t="n">
        <x:v>27177544.51</x:v>
      </x:c>
      <x:c r="T1805" s="18" t="n">
        <x:v>1.0000000000000016</x:v>
      </x:c>
      <x:c r="U1805" s="17" t="n">
        <x:v>27177544.510000043</x:v>
      </x:c>
      <x:c r="V1805" s="2" t="str">
        <x:v>Area equivalent = model2020 * WUP surface / TEMPO2020 footprint; km2 multiplied by1e6 once</x:v>
      </x:c>
      <x:c r="W1805" s="2" t="str">
        <x:v>L1_numeric_partition_qualified_not_national_completeness</x:v>
      </x:c>
      <x:c r="X1805" s="2" t="str">
        <x:v>https://human-settlement.emergency.copernicus.eu/datasets.php</x:v>
      </x:c>
    </x:row>
    <x:row r="1806" ht="23" customHeight="1">
      <x:c r="A1806" s="2" t="str">
        <x:v>BWA</x:v>
      </x:c>
      <x:c r="B1806" s="2" t="str">
        <x:v>Botswana (Republic of)</x:v>
      </x:c>
      <x:c r="C1806" s="2" t="n">
        <x:v>2025</x:v>
      </x:c>
      <x:c r="D1806" s="2" t="str">
        <x:v>WUP_SURFACE</x:v>
      </x:c>
      <x:c r="E1806" s="17" t="n">
        <x:v>125390503.17529316</x:v>
      </x:c>
      <x:c r="F1806" s="17" t="n">
        <x:f>IF(AND(M1806,ISNUMBER(R1806)),IF(D1806="TEMPO_PROXY",R1806,IF(AND(ISNUMBER(S1806),S1806&gt;0,ISNUMBER(U1806)),U1806*R1806/S1806,"n.a.")),"n.a.")</x:f>
        <x:v>505169657.90283453</x:v>
      </x:c>
      <x:c r="G1806" s="17" t="n">
        <x:f>IF(AND(ISNUMBER(E1806),ISNUMBER(F1806)),E1806-F1806,"n.a.")</x:f>
        <x:v>-379779154.7275414</x:v>
      </x:c>
      <x:c r="H1806" s="15" t="n">
        <x:f>IF(AND(ISNUMBER(E1806),ISNUMBER(F1806),F1806&gt;0),(E1806-F1806)/F1806,"n.a.")</x:f>
        <x:v>-0.7517853631672173</x:v>
      </x:c>
      <x:c r="I1806" s="19" t="n">
        <x:f>IF(ISNUMBER(H1806),ABS(H1806),"n.a.")</x:f>
        <x:v>0.7517853631672173</x:v>
      </x:c>
      <x:c r="J1806" s="2" t="str">
        <x:v>available</x:v>
      </x:c>
      <x:c r="K1806" s="2" t="n">
        <x:v>1</x:v>
      </x:c>
      <x:c r="L1806" s="13" t="b">
        <x:v>0</x:v>
      </x:c>
      <x:c r="M1806" s="13" t="b">
        <x:v>1</x:v>
      </x:c>
      <x:c r="N1806" s="2" t="str">
        <x:v>projected_CRISP_BU_surface</x:v>
      </x:c>
      <x:c r="O1806" s="2" t="str"/>
      <x:c r="P1806" s="2" t="str">
        <x:v>horizontal built-up surface</x:v>
      </x:c>
      <x:c r="Q1806" s="2" t="str">
        <x:v>m2</x:v>
      </x:c>
      <x:c r="R1806" s="17" t="n">
        <x:v>505169657.9028342</x:v>
      </x:c>
      <x:c r="S1806" s="17" t="n">
        <x:v>118564613.02</x:v>
      </x:c>
      <x:c r="T1806" s="18" t="n">
        <x:v>1.0000000000000007</x:v>
      </x:c>
      <x:c r="U1806" s="17" t="n">
        <x:v>118564613.02000009</x:v>
      </x:c>
      <x:c r="V1806" s="2" t="str">
        <x:v>Area equivalent = model2020 * WUP surface / TEMPO2020 footprint; km2 multiplied by1e6 once</x:v>
      </x:c>
      <x:c r="W1806" s="2" t="str">
        <x:v>L1_numeric_partition_qualified_not_national_completeness</x:v>
      </x:c>
      <x:c r="X1806" s="2" t="str">
        <x:v>https://human-settlement.emergency.copernicus.eu/datasets.php</x:v>
      </x:c>
    </x:row>
    <x:row r="1807" ht="23" customHeight="1">
      <x:c r="A1807" s="2" t="str">
        <x:v>CAF</x:v>
      </x:c>
      <x:c r="B1807" s="2" t="str">
        <x:v>Central African Republic</x:v>
      </x:c>
      <x:c r="C1807" s="2" t="n">
        <x:v>2025</x:v>
      </x:c>
      <x:c r="D1807" s="2" t="str">
        <x:v>WUP_SURFACE</x:v>
      </x:c>
      <x:c r="E1807" s="17" t="n">
        <x:v>80240199.40649088</x:v>
      </x:c>
      <x:c r="F1807" s="17" t="n">
        <x:f>IF(AND(M1807,ISNUMBER(R1807)),IF(D1807="TEMPO_PROXY",R1807,IF(AND(ISNUMBER(S1807),S1807&gt;0,ISNUMBER(U1807)),U1807*R1807/S1807,"n.a.")),"n.a.")</x:f>
        <x:v>242824745.76934585</x:v>
      </x:c>
      <x:c r="G1807" s="17" t="n">
        <x:f>IF(AND(ISNUMBER(E1807),ISNUMBER(F1807)),E1807-F1807,"n.a.")</x:f>
        <x:v>-162584546.36285496</x:v>
      </x:c>
      <x:c r="H1807" s="15" t="n">
        <x:f>IF(AND(ISNUMBER(E1807),ISNUMBER(F1807),F1807&gt;0),(E1807-F1807)/F1807,"n.a.")</x:f>
        <x:v>-0.6695550976393922</x:v>
      </x:c>
      <x:c r="I1807" s="19" t="n">
        <x:f>IF(ISNUMBER(H1807),ABS(H1807),"n.a.")</x:f>
        <x:v>0.6695550976393922</x:v>
      </x:c>
      <x:c r="J1807" s="2" t="str">
        <x:v>available</x:v>
      </x:c>
      <x:c r="K1807" s="2" t="n">
        <x:v>1</x:v>
      </x:c>
      <x:c r="L1807" s="13" t="b">
        <x:v>0</x:v>
      </x:c>
      <x:c r="M1807" s="13" t="b">
        <x:v>1</x:v>
      </x:c>
      <x:c r="N1807" s="2" t="str">
        <x:v>projected_CRISP_BU_surface</x:v>
      </x:c>
      <x:c r="O1807" s="2" t="str"/>
      <x:c r="P1807" s="2" t="str">
        <x:v>horizontal built-up surface</x:v>
      </x:c>
      <x:c r="Q1807" s="2" t="str">
        <x:v>m2</x:v>
      </x:c>
      <x:c r="R1807" s="17" t="n">
        <x:v>242824745.76934567</x:v>
      </x:c>
      <x:c r="S1807" s="17" t="n">
        <x:v>66989106.04</x:v>
      </x:c>
      <x:c r="T1807" s="18" t="n">
        <x:v>1.0000000000000009</x:v>
      </x:c>
      <x:c r="U1807" s="17" t="n">
        <x:v>66989106.04000005</x:v>
      </x:c>
      <x:c r="V1807" s="2" t="str">
        <x:v>Area equivalent = model2020 * WUP surface / TEMPO2020 footprint; km2 multiplied by1e6 once</x:v>
      </x:c>
      <x:c r="W1807" s="2" t="str">
        <x:v>L1_numeric_partition_qualified_not_national_completeness</x:v>
      </x:c>
      <x:c r="X1807" s="2" t="str">
        <x:v>https://human-settlement.emergency.copernicus.eu/datasets.php</x:v>
      </x:c>
    </x:row>
    <x:row r="1808" ht="23" customHeight="1">
      <x:c r="A1808" s="2" t="str">
        <x:v>CAN</x:v>
      </x:c>
      <x:c r="B1808" s="2" t="str">
        <x:v>Canada</x:v>
      </x:c>
      <x:c r="C1808" s="2" t="n">
        <x:v>2025</x:v>
      </x:c>
      <x:c r="D1808" s="2" t="str">
        <x:v>WUP_SURFACE</x:v>
      </x:c>
      <x:c r="E1808" s="17" t="n">
        <x:v>3349566283.09312</x:v>
      </x:c>
      <x:c r="F1808" s="17" t="n">
        <x:f>IF(AND(M1808,ISNUMBER(R1808)),IF(D1808="TEMPO_PROXY",R1808,IF(AND(ISNUMBER(S1808),S1808&gt;0,ISNUMBER(U1808)),U1808*R1808/S1808,"n.a.")),"n.a.")</x:f>
        <x:v>5619176280.548358</x:v>
      </x:c>
      <x:c r="G1808" s="17" t="n">
        <x:f>IF(AND(ISNUMBER(E1808),ISNUMBER(F1808)),E1808-F1808,"n.a.")</x:f>
        <x:v>-2269609997.455238</x:v>
      </x:c>
      <x:c r="H1808" s="15" t="n">
        <x:f>IF(AND(ISNUMBER(E1808),ISNUMBER(F1808),F1808&gt;0),(E1808-F1808)/F1808,"n.a.")</x:f>
        <x:v>-0.403904395260181</x:v>
      </x:c>
      <x:c r="I1808" s="19" t="n">
        <x:f>IF(ISNUMBER(H1808),ABS(H1808),"n.a.")</x:f>
        <x:v>0.403904395260181</x:v>
      </x:c>
      <x:c r="J1808" s="2" t="str">
        <x:v>available</x:v>
      </x:c>
      <x:c r="K1808" s="2" t="n">
        <x:v>1</x:v>
      </x:c>
      <x:c r="L1808" s="13" t="b">
        <x:v>0</x:v>
      </x:c>
      <x:c r="M1808" s="13" t="b">
        <x:v>1</x:v>
      </x:c>
      <x:c r="N1808" s="2" t="str">
        <x:v>projected_CRISP_BU_surface</x:v>
      </x:c>
      <x:c r="O1808" s="2" t="str"/>
      <x:c r="P1808" s="2" t="str">
        <x:v>horizontal built-up surface</x:v>
      </x:c>
      <x:c r="Q1808" s="2" t="str">
        <x:v>m2</x:v>
      </x:c>
      <x:c r="R1808" s="17" t="n">
        <x:v>5619176280.548356</x:v>
      </x:c>
      <x:c r="S1808" s="17" t="n">
        <x:v>2941628265.26</x:v>
      </x:c>
      <x:c r="T1808" s="18" t="n">
        <x:v>1.0000000000000002</x:v>
      </x:c>
      <x:c r="U1808" s="17" t="n">
        <x:v>2941628265.260001</x:v>
      </x:c>
      <x:c r="V1808" s="2" t="str">
        <x:v>Area equivalent = model2020 * WUP surface / TEMPO2020 footprint; km2 multiplied by1e6 once</x:v>
      </x:c>
      <x:c r="W1808" s="2" t="str">
        <x:v>L1_numeric_partition_qualified_not_national_completeness</x:v>
      </x:c>
      <x:c r="X1808" s="2" t="str">
        <x:v>https://human-settlement.emergency.copernicus.eu/datasets.php</x:v>
      </x:c>
    </x:row>
    <x:row r="1809" ht="23" customHeight="1">
      <x:c r="A1809" s="2" t="str">
        <x:v>CHE</x:v>
      </x:c>
      <x:c r="B1809" s="2" t="str">
        <x:v>Switzerland (Swiss Confederation)</x:v>
      </x:c>
      <x:c r="C1809" s="2" t="n">
        <x:v>2025</x:v>
      </x:c>
      <x:c r="D1809" s="2" t="str">
        <x:v>WUP_SURFACE</x:v>
      </x:c>
      <x:c r="E1809" s="17" t="n">
        <x:v>628844081.3917434</x:v>
      </x:c>
      <x:c r="F1809" s="17" t="n">
        <x:f>IF(AND(M1809,ISNUMBER(R1809)),IF(D1809="TEMPO_PROXY",R1809,IF(AND(ISNUMBER(S1809),S1809&gt;0,ISNUMBER(U1809)),U1809*R1809/S1809,"n.a.")),"n.a.")</x:f>
        <x:v>896009829.7669017</x:v>
      </x:c>
      <x:c r="G1809" s="17" t="n">
        <x:f>IF(AND(ISNUMBER(E1809),ISNUMBER(F1809)),E1809-F1809,"n.a.")</x:f>
        <x:v>-267165748.3751583</x:v>
      </x:c>
      <x:c r="H1809" s="15" t="n">
        <x:f>IF(AND(ISNUMBER(E1809),ISNUMBER(F1809),F1809&gt;0),(E1809-F1809)/F1809,"n.a.")</x:f>
        <x:v>-0.2981727872836639</x:v>
      </x:c>
      <x:c r="I1809" s="19" t="n">
        <x:f>IF(ISNUMBER(H1809),ABS(H1809),"n.a.")</x:f>
        <x:v>0.2981727872836639</x:v>
      </x:c>
      <x:c r="J1809" s="2" t="str">
        <x:v>available</x:v>
      </x:c>
      <x:c r="K1809" s="2" t="n">
        <x:v>1</x:v>
      </x:c>
      <x:c r="L1809" s="13" t="b">
        <x:v>0</x:v>
      </x:c>
      <x:c r="M1809" s="13" t="b">
        <x:v>1</x:v>
      </x:c>
      <x:c r="N1809" s="2" t="str">
        <x:v>projected_CRISP_BU_surface</x:v>
      </x:c>
      <x:c r="O1809" s="2" t="str"/>
      <x:c r="P1809" s="2" t="str">
        <x:v>horizontal built-up surface</x:v>
      </x:c>
      <x:c r="Q1809" s="2" t="str">
        <x:v>m2</x:v>
      </x:c>
      <x:c r="R1809" s="17" t="n">
        <x:v>882617438.3474662</x:v>
      </x:c>
      <x:c r="S1809" s="17" t="n">
        <x:v>545813067.36</x:v>
      </x:c>
      <x:c r="T1809" s="18" t="n">
        <x:v>1.0151734951492803</x:v>
      </x:c>
      <x:c r="U1809" s="17" t="n">
        <x:v>554094959.2900008</x:v>
      </x:c>
      <x:c r="V1809" s="2" t="str">
        <x:v>Area equivalent = model2020 * WUP surface / TEMPO2020 footprint; km2 multiplied by1e6 once</x:v>
      </x:c>
      <x:c r="W1809" s="2" t="str">
        <x:v>L1_numeric_partition_qualified_not_national_completeness</x:v>
      </x:c>
      <x:c r="X1809" s="2" t="str">
        <x:v>https://human-settlement.emergency.copernicus.eu/datasets.php</x:v>
      </x:c>
    </x:row>
    <x:row r="1810" ht="23" customHeight="1">
      <x:c r="A1810" s="2" t="str">
        <x:v>CHL</x:v>
      </x:c>
      <x:c r="B1810" s="2" t="str">
        <x:v>Chile (Republic of)</x:v>
      </x:c>
      <x:c r="C1810" s="2" t="n">
        <x:v>2025</x:v>
      </x:c>
      <x:c r="D1810" s="2" t="str">
        <x:v>WUP_SURFACE</x:v>
      </x:c>
      <x:c r="E1810" s="17" t="n">
        <x:v>1100875200.4242544</x:v>
      </x:c>
      <x:c r="F1810" s="17" t="n">
        <x:f>IF(AND(M1810,ISNUMBER(R1810)),IF(D1810="TEMPO_PROXY",R1810,IF(AND(ISNUMBER(S1810),S1810&gt;0,ISNUMBER(U1810)),U1810*R1810/S1810,"n.a.")),"n.a.")</x:f>
        <x:v>1474568790.260851</x:v>
      </x:c>
      <x:c r="G1810" s="17" t="n">
        <x:f>IF(AND(ISNUMBER(E1810),ISNUMBER(F1810)),E1810-F1810,"n.a.")</x:f>
        <x:v>-373693589.8365965</x:v>
      </x:c>
      <x:c r="H1810" s="15" t="n">
        <x:f>IF(AND(ISNUMBER(E1810),ISNUMBER(F1810),F1810&gt;0),(E1810-F1810)/F1810,"n.a.")</x:f>
        <x:v>-0.25342567420709494</x:v>
      </x:c>
      <x:c r="I1810" s="19" t="n">
        <x:f>IF(ISNUMBER(H1810),ABS(H1810),"n.a.")</x:f>
        <x:v>0.25342567420709494</x:v>
      </x:c>
      <x:c r="J1810" s="2" t="str">
        <x:v>available</x:v>
      </x:c>
      <x:c r="K1810" s="2" t="n">
        <x:v>1</x:v>
      </x:c>
      <x:c r="L1810" s="13" t="b">
        <x:v>0</x:v>
      </x:c>
      <x:c r="M1810" s="13" t="b">
        <x:v>1</x:v>
      </x:c>
      <x:c r="N1810" s="2" t="str">
        <x:v>projected_CRISP_BU_surface</x:v>
      </x:c>
      <x:c r="O1810" s="2" t="str"/>
      <x:c r="P1810" s="2" t="str">
        <x:v>horizontal built-up surface</x:v>
      </x:c>
      <x:c r="Q1810" s="2" t="str">
        <x:v>m2</x:v>
      </x:c>
      <x:c r="R1810" s="17" t="n">
        <x:v>1474568790.260849</x:v>
      </x:c>
      <x:c r="S1810" s="17" t="n">
        <x:v>986436316.07</x:v>
      </x:c>
      <x:c r="T1810" s="18" t="n">
        <x:v>1.0000000000000013</x:v>
      </x:c>
      <x:c r="U1810" s="17" t="n">
        <x:v>986436316.0700014</x:v>
      </x:c>
      <x:c r="V1810" s="2" t="str">
        <x:v>Area equivalent = model2020 * WUP surface / TEMPO2020 footprint; km2 multiplied by1e6 once</x:v>
      </x:c>
      <x:c r="W1810" s="2" t="str">
        <x:v>L1_numeric_partition_qualified_not_national_completeness</x:v>
      </x:c>
      <x:c r="X1810" s="2" t="str">
        <x:v>https://human-settlement.emergency.copernicus.eu/datasets.php</x:v>
      </x:c>
    </x:row>
    <x:row r="1811" ht="23" customHeight="1">
      <x:c r="A1811" s="2" t="str">
        <x:v>CHN</x:v>
      </x:c>
      <x:c r="B1811" s="2" t="str">
        <x:v>China (People's Republic of)</x:v>
      </x:c>
      <x:c r="C1811" s="2" t="n">
        <x:v>2025</x:v>
      </x:c>
      <x:c r="D1811" s="2" t="str">
        <x:v>WUP_SURFACE</x:v>
      </x:c>
      <x:c r="E1811" s="17" t="n">
        <x:v>93567216277.0457</x:v>
      </x:c>
      <x:c r="F1811" s="17" t="n">
        <x:f>IF(AND(M1811,ISNUMBER(R1811)),IF(D1811="TEMPO_PROXY",R1811,IF(AND(ISNUMBER(S1811),S1811&gt;0,ISNUMBER(U1811)),U1811*R1811/S1811,"n.a.")),"n.a.")</x:f>
        <x:v>97714226217.34172</x:v>
      </x:c>
      <x:c r="G1811" s="17" t="n">
        <x:f>IF(AND(ISNUMBER(E1811),ISNUMBER(F1811)),E1811-F1811,"n.a.")</x:f>
        <x:v>-4147009940.2960205</x:v>
      </x:c>
      <x:c r="H1811" s="15" t="n">
        <x:f>IF(AND(ISNUMBER(E1811),ISNUMBER(F1811),F1811&gt;0),(E1811-F1811)/F1811,"n.a.")</x:f>
        <x:v>-0.042440186048979166</x:v>
      </x:c>
      <x:c r="I1811" s="19" t="n">
        <x:f>IF(ISNUMBER(H1811),ABS(H1811),"n.a.")</x:f>
        <x:v>0.042440186048979166</x:v>
      </x:c>
      <x:c r="J1811" s="2" t="str">
        <x:v>available</x:v>
      </x:c>
      <x:c r="K1811" s="2" t="n">
        <x:v>1</x:v>
      </x:c>
      <x:c r="L1811" s="13" t="b">
        <x:v>0</x:v>
      </x:c>
      <x:c r="M1811" s="13" t="b">
        <x:v>1</x:v>
      </x:c>
      <x:c r="N1811" s="2" t="str">
        <x:v>projected_CRISP_BU_surface</x:v>
      </x:c>
      <x:c r="O1811" s="2" t="str"/>
      <x:c r="P1811" s="2" t="str">
        <x:v>horizontal built-up surface</x:v>
      </x:c>
      <x:c r="Q1811" s="2" t="str">
        <x:v>m2</x:v>
      </x:c>
      <x:c r="R1811" s="17" t="n">
        <x:v>88646129300.03749</x:v>
      </x:c>
      <x:c r="S1811" s="17" t="n">
        <x:v>78150235427.5</x:v>
      </x:c>
      <x:c r="T1811" s="18" t="n">
        <x:v>1.1022954638731235</x:v>
      </x:c>
      <x:c r="U1811" s="17" t="n">
        <x:v>86144650012.34993</x:v>
      </x:c>
      <x:c r="V1811" s="2" t="str">
        <x:v>Area equivalent = model2020 * WUP surface / TEMPO2020 footprint; km2 multiplied by1e6 once</x:v>
      </x:c>
      <x:c r="W1811" s="2" t="str">
        <x:v>L1_numeric_partition_qualified_not_national_completeness</x:v>
      </x:c>
      <x:c r="X1811" s="2" t="str">
        <x:v>https://human-settlement.emergency.copernicus.eu/datasets.php</x:v>
      </x:c>
    </x:row>
    <x:row r="1812" ht="23" customHeight="1">
      <x:c r="A1812" s="2" t="str">
        <x:v>CIV</x:v>
      </x:c>
      <x:c r="B1812" s="2" t="str">
        <x:v>Côte d'Ivoire (Republic of)</x:v>
      </x:c>
      <x:c r="C1812" s="2" t="n">
        <x:v>2025</x:v>
      </x:c>
      <x:c r="D1812" s="2" t="str">
        <x:v>WUP_SURFACE</x:v>
      </x:c>
      <x:c r="E1812" s="17" t="n">
        <x:v>711919468.0097826</x:v>
      </x:c>
      <x:c r="F1812" s="17" t="n">
        <x:f>IF(AND(M1812,ISNUMBER(R1812)),IF(D1812="TEMPO_PROXY",R1812,IF(AND(ISNUMBER(S1812),S1812&gt;0,ISNUMBER(U1812)),U1812*R1812/S1812,"n.a.")),"n.a.")</x:f>
        <x:v>1486345022.4821458</x:v>
      </x:c>
      <x:c r="G1812" s="17" t="n">
        <x:f>IF(AND(ISNUMBER(E1812),ISNUMBER(F1812)),E1812-F1812,"n.a.")</x:f>
        <x:v>-774425554.4723632</x:v>
      </x:c>
      <x:c r="H1812" s="15" t="n">
        <x:f>IF(AND(ISNUMBER(E1812),ISNUMBER(F1812),F1812&gt;0),(E1812-F1812)/F1812,"n.a.")</x:f>
        <x:v>-0.521026775586128</x:v>
      </x:c>
      <x:c r="I1812" s="19" t="n">
        <x:f>IF(ISNUMBER(H1812),ABS(H1812),"n.a.")</x:f>
        <x:v>0.521026775586128</x:v>
      </x:c>
      <x:c r="J1812" s="2" t="str">
        <x:v>available</x:v>
      </x:c>
      <x:c r="K1812" s="2" t="n">
        <x:v>1</x:v>
      </x:c>
      <x:c r="L1812" s="13" t="b">
        <x:v>0</x:v>
      </x:c>
      <x:c r="M1812" s="13" t="b">
        <x:v>1</x:v>
      </x:c>
      <x:c r="N1812" s="2" t="str">
        <x:v>projected_CRISP_BU_surface</x:v>
      </x:c>
      <x:c r="O1812" s="2" t="str"/>
      <x:c r="P1812" s="2" t="str">
        <x:v>horizontal built-up surface</x:v>
      </x:c>
      <x:c r="Q1812" s="2" t="str">
        <x:v>m2</x:v>
      </x:c>
      <x:c r="R1812" s="17" t="n">
        <x:v>1486345022.4821477</x:v>
      </x:c>
      <x:c r="S1812" s="17" t="n">
        <x:v>602828854.82</x:v>
      </x:c>
      <x:c r="T1812" s="18" t="n">
        <x:v>0.9999999999999988</x:v>
      </x:c>
      <x:c r="U1812" s="17" t="n">
        <x:v>602828854.8199993</x:v>
      </x:c>
      <x:c r="V1812" s="2" t="str">
        <x:v>Area equivalent = model2020 * WUP surface / TEMPO2020 footprint; km2 multiplied by1e6 once</x:v>
      </x:c>
      <x:c r="W1812" s="2" t="str">
        <x:v>L1_numeric_partition_qualified_not_national_completeness</x:v>
      </x:c>
      <x:c r="X1812" s="2" t="str">
        <x:v>https://human-settlement.emergency.copernicus.eu/datasets.php</x:v>
      </x:c>
    </x:row>
    <x:row r="1813" ht="23" customHeight="1">
      <x:c r="A1813" s="2" t="str">
        <x:v>CMR</x:v>
      </x:c>
      <x:c r="B1813" s="2" t="str">
        <x:v>Cameroon (Republic of)</x:v>
      </x:c>
      <x:c r="C1813" s="2" t="n">
        <x:v>2025</x:v>
      </x:c>
      <x:c r="D1813" s="2" t="str">
        <x:v>WUP_SURFACE</x:v>
      </x:c>
      <x:c r="E1813" s="17" t="n">
        <x:v>675311348.1797976</x:v>
      </x:c>
      <x:c r="F1813" s="17" t="n">
        <x:f>IF(AND(M1813,ISNUMBER(R1813)),IF(D1813="TEMPO_PROXY",R1813,IF(AND(ISNUMBER(S1813),S1813&gt;0,ISNUMBER(U1813)),U1813*R1813/S1813,"n.a.")),"n.a.")</x:f>
        <x:v>1429685501.1136932</x:v>
      </x:c>
      <x:c r="G1813" s="17" t="n">
        <x:f>IF(AND(ISNUMBER(E1813),ISNUMBER(F1813)),E1813-F1813,"n.a.")</x:f>
        <x:v>-754374152.9338956</x:v>
      </x:c>
      <x:c r="H1813" s="15" t="n">
        <x:f>IF(AND(ISNUMBER(E1813),ISNUMBER(F1813),F1813&gt;0),(E1813-F1813)/F1813,"n.a.")</x:f>
        <x:v>-0.5276504184635397</x:v>
      </x:c>
      <x:c r="I1813" s="19" t="n">
        <x:f>IF(ISNUMBER(H1813),ABS(H1813),"n.a.")</x:f>
        <x:v>0.5276504184635397</x:v>
      </x:c>
      <x:c r="J1813" s="2" t="str">
        <x:v>available</x:v>
      </x:c>
      <x:c r="K1813" s="2" t="n">
        <x:v>1</x:v>
      </x:c>
      <x:c r="L1813" s="13" t="b">
        <x:v>0</x:v>
      </x:c>
      <x:c r="M1813" s="13" t="b">
        <x:v>1</x:v>
      </x:c>
      <x:c r="N1813" s="2" t="str">
        <x:v>projected_CRISP_BU_surface</x:v>
      </x:c>
      <x:c r="O1813" s="2" t="str"/>
      <x:c r="P1813" s="2" t="str">
        <x:v>horizontal built-up surface</x:v>
      </x:c>
      <x:c r="Q1813" s="2" t="str">
        <x:v>m2</x:v>
      </x:c>
      <x:c r="R1813" s="17" t="n">
        <x:v>1429685501.1136918</x:v>
      </x:c>
      <x:c r="S1813" s="17" t="n">
        <x:v>577057207.81</x:v>
      </x:c>
      <x:c r="T1813" s="18" t="n">
        <x:v>1.000000000000001</x:v>
      </x:c>
      <x:c r="U1813" s="17" t="n">
        <x:v>577057207.8100005</x:v>
      </x:c>
      <x:c r="V1813" s="2" t="str">
        <x:v>Area equivalent = model2020 * WUP surface / TEMPO2020 footprint; km2 multiplied by1e6 once</x:v>
      </x:c>
      <x:c r="W1813" s="2" t="str">
        <x:v>L1_numeric_partition_qualified_not_national_completeness</x:v>
      </x:c>
      <x:c r="X1813" s="2" t="str">
        <x:v>https://human-settlement.emergency.copernicus.eu/datasets.php</x:v>
      </x:c>
    </x:row>
    <x:row r="1814" ht="23" customHeight="1">
      <x:c r="A1814" s="2" t="str">
        <x:v>COD</x:v>
      </x:c>
      <x:c r="B1814" s="2" t="str">
        <x:v>Congo (Democratic Republic of the)</x:v>
      </x:c>
      <x:c r="C1814" s="2" t="n">
        <x:v>2025</x:v>
      </x:c>
      <x:c r="D1814" s="2" t="str">
        <x:v>WUP_SURFACE</x:v>
      </x:c>
      <x:c r="E1814" s="17" t="n">
        <x:v>1166787069.981405</x:v>
      </x:c>
      <x:c r="F1814" s="17" t="n">
        <x:f>IF(AND(M1814,ISNUMBER(R1814)),IF(D1814="TEMPO_PROXY",R1814,IF(AND(ISNUMBER(S1814),S1814&gt;0,ISNUMBER(U1814)),U1814*R1814/S1814,"n.a.")),"n.a.")</x:f>
        <x:v>3416248356.2899847</x:v>
      </x:c>
      <x:c r="G1814" s="17" t="n">
        <x:f>IF(AND(ISNUMBER(E1814),ISNUMBER(F1814)),E1814-F1814,"n.a.")</x:f>
        <x:v>-2249461286.3085794</x:v>
      </x:c>
      <x:c r="H1814" s="15" t="n">
        <x:f>IF(AND(ISNUMBER(E1814),ISNUMBER(F1814),F1814&gt;0),(E1814-F1814)/F1814,"n.a.")</x:f>
        <x:v>-0.6584595297841502</x:v>
      </x:c>
      <x:c r="I1814" s="19" t="n">
        <x:f>IF(ISNUMBER(H1814),ABS(H1814),"n.a.")</x:f>
        <x:v>0.6584595297841502</x:v>
      </x:c>
      <x:c r="J1814" s="2" t="str">
        <x:v>available</x:v>
      </x:c>
      <x:c r="K1814" s="2" t="n">
        <x:v>1</x:v>
      </x:c>
      <x:c r="L1814" s="13" t="b">
        <x:v>0</x:v>
      </x:c>
      <x:c r="M1814" s="13" t="b">
        <x:v>1</x:v>
      </x:c>
      <x:c r="N1814" s="2" t="str">
        <x:v>projected_CRISP_BU_surface</x:v>
      </x:c>
      <x:c r="O1814" s="2" t="str"/>
      <x:c r="P1814" s="2" t="str">
        <x:v>horizontal built-up surface</x:v>
      </x:c>
      <x:c r="Q1814" s="2" t="str">
        <x:v>m2</x:v>
      </x:c>
      <x:c r="R1814" s="17" t="n">
        <x:v>3416248356.289989</x:v>
      </x:c>
      <x:c r="S1814" s="17" t="n">
        <x:v>941825698.84</x:v>
      </x:c>
      <x:c r="T1814" s="18" t="n">
        <x:v>0.9999999999999988</x:v>
      </x:c>
      <x:c r="U1814" s="17" t="n">
        <x:v>941825698.8399988</x:v>
      </x:c>
      <x:c r="V1814" s="2" t="str">
        <x:v>Area equivalent = model2020 * WUP surface / TEMPO2020 footprint; km2 multiplied by1e6 once</x:v>
      </x:c>
      <x:c r="W1814" s="2" t="str">
        <x:v>L1_numeric_partition_qualified_not_national_completeness</x:v>
      </x:c>
      <x:c r="X1814" s="2" t="str">
        <x:v>https://human-settlement.emergency.copernicus.eu/datasets.php</x:v>
      </x:c>
    </x:row>
    <x:row r="1815" ht="23" customHeight="1">
      <x:c r="A1815" s="2" t="str">
        <x:v>COG</x:v>
      </x:c>
      <x:c r="B1815" s="2" t="str">
        <x:v>Congo (Republic of the)</x:v>
      </x:c>
      <x:c r="C1815" s="2" t="n">
        <x:v>2025</x:v>
      </x:c>
      <x:c r="D1815" s="2" t="str">
        <x:v>WUP_SURFACE</x:v>
      </x:c>
      <x:c r="E1815" s="17" t="n">
        <x:v>131280358.98520644</x:v>
      </x:c>
      <x:c r="F1815" s="17" t="n">
        <x:f>IF(AND(M1815,ISNUMBER(R1815)),IF(D1815="TEMPO_PROXY",R1815,IF(AND(ISNUMBER(S1815),S1815&gt;0,ISNUMBER(U1815)),U1815*R1815/S1815,"n.a.")),"n.a.")</x:f>
        <x:v>284567459.00924927</x:v>
      </x:c>
      <x:c r="G1815" s="17" t="n">
        <x:f>IF(AND(ISNUMBER(E1815),ISNUMBER(F1815)),E1815-F1815,"n.a.")</x:f>
        <x:v>-153287100.02404284</x:v>
      </x:c>
      <x:c r="H1815" s="15" t="n">
        <x:f>IF(AND(ISNUMBER(E1815),ISNUMBER(F1815),F1815&gt;0),(E1815-F1815)/F1815,"n.a.")</x:f>
        <x:v>-0.5386670020448845</x:v>
      </x:c>
      <x:c r="I1815" s="19" t="n">
        <x:f>IF(ISNUMBER(H1815),ABS(H1815),"n.a.")</x:f>
        <x:v>0.5386670020448845</x:v>
      </x:c>
      <x:c r="J1815" s="2" t="str">
        <x:v>available</x:v>
      </x:c>
      <x:c r="K1815" s="2" t="n">
        <x:v>1</x:v>
      </x:c>
      <x:c r="L1815" s="13" t="b">
        <x:v>0</x:v>
      </x:c>
      <x:c r="M1815" s="13" t="b">
        <x:v>1</x:v>
      </x:c>
      <x:c r="N1815" s="2" t="str">
        <x:v>projected_CRISP_BU_surface</x:v>
      </x:c>
      <x:c r="O1815" s="2" t="str"/>
      <x:c r="P1815" s="2" t="str">
        <x:v>horizontal built-up surface</x:v>
      </x:c>
      <x:c r="Q1815" s="2" t="str">
        <x:v>m2</x:v>
      </x:c>
      <x:c r="R1815" s="17" t="n">
        <x:v>284567459.009249</x:v>
      </x:c>
      <x:c r="S1815" s="17" t="n">
        <x:v>110620071.65</x:v>
      </x:c>
      <x:c r="T1815" s="18" t="n">
        <x:v>1.000000000000001</x:v>
      </x:c>
      <x:c r="U1815" s="17" t="n">
        <x:v>110620071.65000013</x:v>
      </x:c>
      <x:c r="V1815" s="2" t="str">
        <x:v>Area equivalent = model2020 * WUP surface / TEMPO2020 footprint; km2 multiplied by1e6 once</x:v>
      </x:c>
      <x:c r="W1815" s="2" t="str">
        <x:v>L1_numeric_partition_qualified_not_national_completeness</x:v>
      </x:c>
      <x:c r="X1815" s="2" t="str">
        <x:v>https://human-settlement.emergency.copernicus.eu/datasets.php</x:v>
      </x:c>
    </x:row>
    <x:row r="1816" ht="23" customHeight="1">
      <x:c r="A1816" s="2" t="str">
        <x:v>COL</x:v>
      </x:c>
      <x:c r="B1816" s="2" t="str">
        <x:v>Colombia (Republic of)</x:v>
      </x:c>
      <x:c r="C1816" s="2" t="n">
        <x:v>2025</x:v>
      </x:c>
      <x:c r="D1816" s="2" t="str">
        <x:v>WUP_SURFACE</x:v>
      </x:c>
      <x:c r="E1816" s="17" t="n">
        <x:v>1788239967.1874633</x:v>
      </x:c>
      <x:c r="F1816" s="17" t="n">
        <x:f>IF(AND(M1816,ISNUMBER(R1816)),IF(D1816="TEMPO_PROXY",R1816,IF(AND(ISNUMBER(S1816),S1816&gt;0,ISNUMBER(U1816)),U1816*R1816/S1816,"n.a.")),"n.a.")</x:f>
        <x:v>1848784533.461929</x:v>
      </x:c>
      <x:c r="G1816" s="17" t="n">
        <x:f>IF(AND(ISNUMBER(E1816),ISNUMBER(F1816)),E1816-F1816,"n.a.")</x:f>
        <x:v>-60544566.2744658</x:v>
      </x:c>
      <x:c r="H1816" s="15" t="n">
        <x:f>IF(AND(ISNUMBER(E1816),ISNUMBER(F1816),F1816&gt;0),(E1816-F1816)/F1816,"n.a.")</x:f>
        <x:v>-0.0327483085122383</x:v>
      </x:c>
      <x:c r="I1816" s="19" t="n">
        <x:f>IF(ISNUMBER(H1816),ABS(H1816),"n.a.")</x:f>
        <x:v>0.0327483085122383</x:v>
      </x:c>
      <x:c r="J1816" s="2" t="str">
        <x:v>available</x:v>
      </x:c>
      <x:c r="K1816" s="2" t="n">
        <x:v>1</x:v>
      </x:c>
      <x:c r="L1816" s="13" t="b">
        <x:v>0</x:v>
      </x:c>
      <x:c r="M1816" s="13" t="b">
        <x:v>1</x:v>
      </x:c>
      <x:c r="N1816" s="2" t="str">
        <x:v>projected_CRISP_BU_surface</x:v>
      </x:c>
      <x:c r="O1816" s="2" t="str"/>
      <x:c r="P1816" s="2" t="str">
        <x:v>horizontal built-up surface</x:v>
      </x:c>
      <x:c r="Q1816" s="2" t="str">
        <x:v>m2</x:v>
      </x:c>
      <x:c r="R1816" s="17" t="n">
        <x:v>1848784533.4619272</x:v>
      </x:c>
      <x:c r="S1816" s="17" t="n">
        <x:v>1505534156.31</x:v>
      </x:c>
      <x:c r="T1816" s="18" t="n">
        <x:v>1.0000000000000009</x:v>
      </x:c>
      <x:c r="U1816" s="17" t="n">
        <x:v>1505534156.3100014</x:v>
      </x:c>
      <x:c r="V1816" s="2" t="str">
        <x:v>Area equivalent = model2020 * WUP surface / TEMPO2020 footprint; km2 multiplied by1e6 once</x:v>
      </x:c>
      <x:c r="W1816" s="2" t="str">
        <x:v>L1_numeric_partition_qualified_not_national_completeness</x:v>
      </x:c>
      <x:c r="X1816" s="2" t="str">
        <x:v>https://human-settlement.emergency.copernicus.eu/datasets.php</x:v>
      </x:c>
    </x:row>
    <x:row r="1817" ht="23" customHeight="1">
      <x:c r="A1817" s="2" t="str">
        <x:v>COM</x:v>
      </x:c>
      <x:c r="B1817" s="2" t="str">
        <x:v>Comoros (Union of the)</x:v>
      </x:c>
      <x:c r="C1817" s="2" t="n">
        <x:v>2025</x:v>
      </x:c>
      <x:c r="D1817" s="2" t="str">
        <x:v>WUP_SURFACE</x:v>
      </x:c>
      <x:c r="E1817" s="17" t="n">
        <x:v>21262272.6373432</x:v>
      </x:c>
      <x:c r="F1817" s="17" t="n">
        <x:f>IF(AND(M1817,ISNUMBER(R1817)),IF(D1817="TEMPO_PROXY",R1817,IF(AND(ISNUMBER(S1817),S1817&gt;0,ISNUMBER(U1817)),U1817*R1817/S1817,"n.a.")),"n.a.")</x:f>
        <x:v>30759228.096216194</x:v>
      </x:c>
      <x:c r="G1817" s="17" t="n">
        <x:f>IF(AND(ISNUMBER(E1817),ISNUMBER(F1817)),E1817-F1817,"n.a.")</x:f>
        <x:v>-9496955.458872993</x:v>
      </x:c>
      <x:c r="H1817" s="15" t="n">
        <x:f>IF(AND(ISNUMBER(E1817),ISNUMBER(F1817),F1817&gt;0),(E1817-F1817)/F1817,"n.a.")</x:f>
        <x:v>-0.3087514234481472</x:v>
      </x:c>
      <x:c r="I1817" s="19" t="n">
        <x:f>IF(ISNUMBER(H1817),ABS(H1817),"n.a.")</x:f>
        <x:v>0.3087514234481472</x:v>
      </x:c>
      <x:c r="J1817" s="2" t="str">
        <x:v>available</x:v>
      </x:c>
      <x:c r="K1817" s="2" t="n">
        <x:v>1</x:v>
      </x:c>
      <x:c r="L1817" s="13" t="b">
        <x:v>0</x:v>
      </x:c>
      <x:c r="M1817" s="13" t="b">
        <x:v>1</x:v>
      </x:c>
      <x:c r="N1817" s="2" t="str">
        <x:v>projected_CRISP_BU_surface</x:v>
      </x:c>
      <x:c r="O1817" s="2" t="str"/>
      <x:c r="P1817" s="2" t="str">
        <x:v>horizontal built-up surface</x:v>
      </x:c>
      <x:c r="Q1817" s="2" t="str">
        <x:v>m2</x:v>
      </x:c>
      <x:c r="R1817" s="17" t="n">
        <x:v>30759228.096216246</x:v>
      </x:c>
      <x:c r="S1817" s="17" t="n">
        <x:v>18035090.41</x:v>
      </x:c>
      <x:c r="T1817" s="18" t="n">
        <x:v>0.9999999999999983</x:v>
      </x:c>
      <x:c r="U1817" s="17" t="n">
        <x:v>18035090.40999997</x:v>
      </x:c>
      <x:c r="V1817" s="2" t="str">
        <x:v>Area equivalent = model2020 * WUP surface / TEMPO2020 footprint; km2 multiplied by1e6 once</x:v>
      </x:c>
      <x:c r="W1817" s="2" t="str">
        <x:v>L1_numeric_partition_qualified_not_national_completeness</x:v>
      </x:c>
      <x:c r="X1817" s="2" t="str">
        <x:v>https://human-settlement.emergency.copernicus.eu/datasets.php</x:v>
      </x:c>
    </x:row>
    <x:row r="1818" ht="23" customHeight="1">
      <x:c r="A1818" s="2" t="str">
        <x:v>CPV</x:v>
      </x:c>
      <x:c r="B1818" s="2" t="str">
        <x:v>Cabo Verde (Republic of)</x:v>
      </x:c>
      <x:c r="C1818" s="2" t="n">
        <x:v>2025</x:v>
      </x:c>
      <x:c r="D1818" s="2" t="str">
        <x:v>WUP_SURFACE</x:v>
      </x:c>
      <x:c r="E1818" s="17" t="n">
        <x:v>24689416.29189638</x:v>
      </x:c>
      <x:c r="F1818" s="17" t="n">
        <x:f>IF(AND(M1818,ISNUMBER(R1818)),IF(D1818="TEMPO_PROXY",R1818,IF(AND(ISNUMBER(S1818),S1818&gt;0,ISNUMBER(U1818)),U1818*R1818/S1818,"n.a.")),"n.a.")</x:f>
        <x:v>27717310.88788684</x:v>
      </x:c>
      <x:c r="G1818" s="17" t="n">
        <x:f>IF(AND(ISNUMBER(E1818),ISNUMBER(F1818)),E1818-F1818,"n.a.")</x:f>
        <x:v>-3027894.5959904604</x:v>
      </x:c>
      <x:c r="H1818" s="15" t="n">
        <x:f>IF(AND(ISNUMBER(E1818),ISNUMBER(F1818),F1818&gt;0),(E1818-F1818)/F1818,"n.a.")</x:f>
        <x:v>-0.10924200432855577</x:v>
      </x:c>
      <x:c r="I1818" s="19" t="n">
        <x:f>IF(ISNUMBER(H1818),ABS(H1818),"n.a.")</x:f>
        <x:v>0.10924200432855577</x:v>
      </x:c>
      <x:c r="J1818" s="2" t="str">
        <x:v>available</x:v>
      </x:c>
      <x:c r="K1818" s="2" t="n">
        <x:v>1</x:v>
      </x:c>
      <x:c r="L1818" s="13" t="b">
        <x:v>0</x:v>
      </x:c>
      <x:c r="M1818" s="13" t="b">
        <x:v>1</x:v>
      </x:c>
      <x:c r="N1818" s="2" t="str">
        <x:v>projected_CRISP_BU_surface</x:v>
      </x:c>
      <x:c r="O1818" s="2" t="str"/>
      <x:c r="P1818" s="2" t="str">
        <x:v>horizontal built-up surface</x:v>
      </x:c>
      <x:c r="Q1818" s="2" t="str">
        <x:v>m2</x:v>
      </x:c>
      <x:c r="R1818" s="17" t="n">
        <x:v>26657382.563248917</x:v>
      </x:c>
      <x:c r="S1818" s="17" t="n">
        <x:v>20998892.42</x:v>
      </x:c>
      <x:c r="T1818" s="18" t="n">
        <x:v>1.0397611551742965</x:v>
      </x:c>
      <x:c r="U1818" s="17" t="n">
        <x:v>21833832.63999998</x:v>
      </x:c>
      <x:c r="V1818" s="2" t="str">
        <x:v>Area equivalent = model2020 * WUP surface / TEMPO2020 footprint; km2 multiplied by1e6 once</x:v>
      </x:c>
      <x:c r="W1818" s="2" t="str">
        <x:v>L1_numeric_partition_qualified_not_national_completeness</x:v>
      </x:c>
      <x:c r="X1818" s="2" t="str">
        <x:v>https://human-settlement.emergency.copernicus.eu/datasets.php</x:v>
      </x:c>
    </x:row>
    <x:row r="1819" ht="23" customHeight="1">
      <x:c r="A1819" s="2" t="str">
        <x:v>CRI</x:v>
      </x:c>
      <x:c r="B1819" s="2" t="str">
        <x:v>Costa Rica (Republic of)</x:v>
      </x:c>
      <x:c r="C1819" s="2" t="n">
        <x:v>2025</x:v>
      </x:c>
      <x:c r="D1819" s="2" t="str">
        <x:v>WUP_SURFACE</x:v>
      </x:c>
      <x:c r="E1819" s="17" t="n">
        <x:v>314557100.8116553</x:v>
      </x:c>
      <x:c r="F1819" s="17" t="n">
        <x:f>IF(AND(M1819,ISNUMBER(R1819)),IF(D1819="TEMPO_PROXY",R1819,IF(AND(ISNUMBER(S1819),S1819&gt;0,ISNUMBER(U1819)),U1819*R1819/S1819,"n.a.")),"n.a.")</x:f>
        <x:v>404182925.3367935</x:v>
      </x:c>
      <x:c r="G1819" s="17" t="n">
        <x:f>IF(AND(ISNUMBER(E1819),ISNUMBER(F1819)),E1819-F1819,"n.a.")</x:f>
        <x:v>-89625824.5251382</x:v>
      </x:c>
      <x:c r="H1819" s="15" t="n">
        <x:f>IF(AND(ISNUMBER(E1819),ISNUMBER(F1819),F1819&gt;0),(E1819-F1819)/F1819,"n.a.")</x:f>
        <x:v>-0.22174569707628222</x:v>
      </x:c>
      <x:c r="I1819" s="19" t="n">
        <x:f>IF(ISNUMBER(H1819),ABS(H1819),"n.a.")</x:f>
        <x:v>0.22174569707628222</x:v>
      </x:c>
      <x:c r="J1819" s="2" t="str">
        <x:v>available</x:v>
      </x:c>
      <x:c r="K1819" s="2" t="n">
        <x:v>1</x:v>
      </x:c>
      <x:c r="L1819" s="13" t="b">
        <x:v>0</x:v>
      </x:c>
      <x:c r="M1819" s="13" t="b">
        <x:v>1</x:v>
      </x:c>
      <x:c r="N1819" s="2" t="str">
        <x:v>projected_CRISP_BU_surface</x:v>
      </x:c>
      <x:c r="O1819" s="2" t="str"/>
      <x:c r="P1819" s="2" t="str">
        <x:v>horizontal built-up surface</x:v>
      </x:c>
      <x:c r="Q1819" s="2" t="str">
        <x:v>m2</x:v>
      </x:c>
      <x:c r="R1819" s="17" t="n">
        <x:v>404182925.33679366</x:v>
      </x:c>
      <x:c r="S1819" s="17" t="n">
        <x:v>284786315.39</x:v>
      </x:c>
      <x:c r="T1819" s="18" t="n">
        <x:v>0.9999999999999996</x:v>
      </x:c>
      <x:c r="U1819" s="17" t="n">
        <x:v>284786315.38999987</x:v>
      </x:c>
      <x:c r="V1819" s="2" t="str">
        <x:v>Area equivalent = model2020 * WUP surface / TEMPO2020 footprint; km2 multiplied by1e6 once</x:v>
      </x:c>
      <x:c r="W1819" s="2" t="str">
        <x:v>L1_numeric_partition_qualified_not_national_completeness</x:v>
      </x:c>
      <x:c r="X1819" s="2" t="str">
        <x:v>https://human-settlement.emergency.copernicus.eu/datasets.php</x:v>
      </x:c>
    </x:row>
    <x:row r="1820" ht="23" customHeight="1">
      <x:c r="A1820" s="2" t="str">
        <x:v>CUB</x:v>
      </x:c>
      <x:c r="B1820" s="2" t="str">
        <x:v>Cuba (Republic of)</x:v>
      </x:c>
      <x:c r="C1820" s="2" t="n">
        <x:v>2025</x:v>
      </x:c>
      <x:c r="D1820" s="2" t="str">
        <x:v>WUP_SURFACE</x:v>
      </x:c>
      <x:c r="E1820" s="17" t="n">
        <x:v>412387618.7893516</x:v>
      </x:c>
      <x:c r="F1820" s="17" t="n">
        <x:f>IF(AND(M1820,ISNUMBER(R1820)),IF(D1820="TEMPO_PROXY",R1820,IF(AND(ISNUMBER(S1820),S1820&gt;0,ISNUMBER(U1820)),U1820*R1820/S1820,"n.a.")),"n.a.")</x:f>
        <x:v>449894207.7028395</x:v>
      </x:c>
      <x:c r="G1820" s="17" t="n">
        <x:f>IF(AND(ISNUMBER(E1820),ISNUMBER(F1820)),E1820-F1820,"n.a.")</x:f>
        <x:v>-37506588.91348791</x:v>
      </x:c>
      <x:c r="H1820" s="15" t="n">
        <x:f>IF(AND(ISNUMBER(E1820),ISNUMBER(F1820),F1820&gt;0),(E1820-F1820)/F1820,"n.a.")</x:f>
        <x:v>-0.08336757457935857</x:v>
      </x:c>
      <x:c r="I1820" s="19" t="n">
        <x:f>IF(ISNUMBER(H1820),ABS(H1820),"n.a.")</x:f>
        <x:v>0.08336757457935857</x:v>
      </x:c>
      <x:c r="J1820" s="2" t="str">
        <x:v>available</x:v>
      </x:c>
      <x:c r="K1820" s="2" t="n">
        <x:v>1</x:v>
      </x:c>
      <x:c r="L1820" s="13" t="b">
        <x:v>0</x:v>
      </x:c>
      <x:c r="M1820" s="13" t="b">
        <x:v>1</x:v>
      </x:c>
      <x:c r="N1820" s="2" t="str">
        <x:v>projected_CRISP_BU_surface</x:v>
      </x:c>
      <x:c r="O1820" s="2" t="str"/>
      <x:c r="P1820" s="2" t="str">
        <x:v>horizontal built-up surface</x:v>
      </x:c>
      <x:c r="Q1820" s="2" t="str">
        <x:v>m2</x:v>
      </x:c>
      <x:c r="R1820" s="17" t="n">
        <x:v>449894207.70283973</x:v>
      </x:c>
      <x:c r="S1820" s="17" t="n">
        <x:v>360088927.42</x:v>
      </x:c>
      <x:c r="T1820" s="18" t="n">
        <x:v>0.9999999999999993</x:v>
      </x:c>
      <x:c r="U1820" s="17" t="n">
        <x:v>360088927.4199998</x:v>
      </x:c>
      <x:c r="V1820" s="2" t="str">
        <x:v>Area equivalent = model2020 * WUP surface / TEMPO2020 footprint; km2 multiplied by1e6 once</x:v>
      </x:c>
      <x:c r="W1820" s="2" t="str">
        <x:v>L1_numeric_partition_qualified_not_national_completeness</x:v>
      </x:c>
      <x:c r="X1820" s="2" t="str">
        <x:v>https://human-settlement.emergency.copernicus.eu/datasets.php</x:v>
      </x:c>
    </x:row>
    <x:row r="1821" ht="23" customHeight="1">
      <x:c r="A1821" s="2" t="str">
        <x:v>CYP</x:v>
      </x:c>
      <x:c r="B1821" s="2" t="str">
        <x:v>Cyprus (Republic of)</x:v>
      </x:c>
      <x:c r="C1821" s="2" t="n">
        <x:v>2025</x:v>
      </x:c>
      <x:c r="D1821" s="2" t="str">
        <x:v>WUP_SURFACE</x:v>
      </x:c>
      <x:c r="E1821" s="17" t="n">
        <x:v>138215278.8744112</x:v>
      </x:c>
      <x:c r="F1821" s="17" t="n">
        <x:f>IF(AND(M1821,ISNUMBER(R1821)),IF(D1821="TEMPO_PROXY",R1821,IF(AND(ISNUMBER(S1821),S1821&gt;0,ISNUMBER(U1821)),U1821*R1821/S1821,"n.a.")),"n.a.")</x:f>
        <x:v>160820501.8374433</x:v>
      </x:c>
      <x:c r="G1821" s="17" t="n">
        <x:f>IF(AND(ISNUMBER(E1821),ISNUMBER(F1821)),E1821-F1821,"n.a.")</x:f>
        <x:v>-22605222.963032097</x:v>
      </x:c>
      <x:c r="H1821" s="15" t="n">
        <x:f>IF(AND(ISNUMBER(E1821),ISNUMBER(F1821),F1821&gt;0),(E1821-F1821)/F1821,"n.a.")</x:f>
        <x:v>-0.14056182330460182</x:v>
      </x:c>
      <x:c r="I1821" s="19" t="n">
        <x:f>IF(ISNUMBER(H1821),ABS(H1821),"n.a.")</x:f>
        <x:v>0.14056182330460182</x:v>
      </x:c>
      <x:c r="J1821" s="2" t="str">
        <x:v>available</x:v>
      </x:c>
      <x:c r="K1821" s="2" t="n">
        <x:v>1</x:v>
      </x:c>
      <x:c r="L1821" s="13" t="b">
        <x:v>0</x:v>
      </x:c>
      <x:c r="M1821" s="13" t="b">
        <x:v>1</x:v>
      </x:c>
      <x:c r="N1821" s="2" t="str">
        <x:v>projected_CRISP_BU_surface</x:v>
      </x:c>
      <x:c r="O1821" s="2" t="str"/>
      <x:c r="P1821" s="2" t="str">
        <x:v>horizontal built-up surface</x:v>
      </x:c>
      <x:c r="Q1821" s="2" t="str">
        <x:v>m2</x:v>
      </x:c>
      <x:c r="R1821" s="17" t="n">
        <x:v>160820501.83744308</x:v>
      </x:c>
      <x:c r="S1821" s="17" t="n">
        <x:v>124124771.75</x:v>
      </x:c>
      <x:c r="T1821" s="18" t="n">
        <x:v>1.0000000000000013</x:v>
      </x:c>
      <x:c r="U1821" s="17" t="n">
        <x:v>124124771.75000016</x:v>
      </x:c>
      <x:c r="V1821" s="2" t="str">
        <x:v>Area equivalent = model2020 * WUP surface / TEMPO2020 footprint; km2 multiplied by1e6 once</x:v>
      </x:c>
      <x:c r="W1821" s="2" t="str">
        <x:v>L1_numeric_partition_qualified_not_national_completeness</x:v>
      </x:c>
      <x:c r="X1821" s="2" t="str">
        <x:v>https://human-settlement.emergency.copernicus.eu/datasets.php</x:v>
      </x:c>
    </x:row>
    <x:row r="1822" ht="23" customHeight="1">
      <x:c r="A1822" s="2" t="str">
        <x:v>CZE</x:v>
      </x:c>
      <x:c r="B1822" s="2" t="str">
        <x:v>Czechia (Czech Republic)</x:v>
      </x:c>
      <x:c r="C1822" s="2" t="n">
        <x:v>2025</x:v>
      </x:c>
      <x:c r="D1822" s="2" t="str">
        <x:v>WUP_SURFACE</x:v>
      </x:c>
      <x:c r="E1822" s="17" t="n">
        <x:v>972463842.658219</x:v>
      </x:c>
      <x:c r="F1822" s="17" t="n">
        <x:f>IF(AND(M1822,ISNUMBER(R1822)),IF(D1822="TEMPO_PROXY",R1822,IF(AND(ISNUMBER(S1822),S1822&gt;0,ISNUMBER(U1822)),U1822*R1822/S1822,"n.a.")),"n.a.")</x:f>
        <x:v>1585382836.953619</x:v>
      </x:c>
      <x:c r="G1822" s="17" t="n">
        <x:f>IF(AND(ISNUMBER(E1822),ISNUMBER(F1822)),E1822-F1822,"n.a.")</x:f>
        <x:v>-612918994.2954</x:v>
      </x:c>
      <x:c r="H1822" s="15" t="n">
        <x:f>IF(AND(ISNUMBER(E1822),ISNUMBER(F1822),F1822&gt;0),(E1822-F1822)/F1822,"n.a.")</x:f>
        <x:v>-0.38660630102010574</x:v>
      </x:c>
      <x:c r="I1822" s="19" t="n">
        <x:f>IF(ISNUMBER(H1822),ABS(H1822),"n.a.")</x:f>
        <x:v>0.38660630102010574</x:v>
      </x:c>
      <x:c r="J1822" s="2" t="str">
        <x:v>available</x:v>
      </x:c>
      <x:c r="K1822" s="2" t="n">
        <x:v>1</x:v>
      </x:c>
      <x:c r="L1822" s="13" t="b">
        <x:v>0</x:v>
      </x:c>
      <x:c r="M1822" s="13" t="b">
        <x:v>1</x:v>
      </x:c>
      <x:c r="N1822" s="2" t="str">
        <x:v>projected_CRISP_BU_surface</x:v>
      </x:c>
      <x:c r="O1822" s="2" t="str"/>
      <x:c r="P1822" s="2" t="str">
        <x:v>horizontal built-up surface</x:v>
      </x:c>
      <x:c r="Q1822" s="2" t="str">
        <x:v>m2</x:v>
      </x:c>
      <x:c r="R1822" s="17" t="n">
        <x:v>1546279054.030441</x:v>
      </x:c>
      <x:c r="S1822" s="17" t="n">
        <x:v>832797594.35</x:v>
      </x:c>
      <x:c r="T1822" s="18" t="n">
        <x:v>1.025288955975477</x:v>
      </x:c>
      <x:c r="U1822" s="17" t="n">
        <x:v>853858176.0500003</x:v>
      </x:c>
      <x:c r="V1822" s="2" t="str">
        <x:v>Area equivalent = model2020 * WUP surface / TEMPO2020 footprint; km2 multiplied by1e6 once</x:v>
      </x:c>
      <x:c r="W1822" s="2" t="str">
        <x:v>L1_numeric_partition_qualified_not_national_completeness</x:v>
      </x:c>
      <x:c r="X1822" s="2" t="str">
        <x:v>https://human-settlement.emergency.copernicus.eu/datasets.php</x:v>
      </x:c>
    </x:row>
    <x:row r="1823" ht="23" customHeight="1">
      <x:c r="A1823" s="2" t="str">
        <x:v>DEU</x:v>
      </x:c>
      <x:c r="B1823" s="2" t="str">
        <x:v>Germany (Federal Republic of)</x:v>
      </x:c>
      <x:c r="C1823" s="2" t="n">
        <x:v>2025</x:v>
      </x:c>
      <x:c r="D1823" s="2" t="str">
        <x:v>WUP_SURFACE</x:v>
      </x:c>
      <x:c r="E1823" s="17" t="n">
        <x:v>7433097633.797371</x:v>
      </x:c>
      <x:c r="F1823" s="17" t="n">
        <x:f>IF(AND(M1823,ISNUMBER(R1823)),IF(D1823="TEMPO_PROXY",R1823,IF(AND(ISNUMBER(S1823),S1823&gt;0,ISNUMBER(U1823)),U1823*R1823/S1823,"n.a.")),"n.a.")</x:f>
        <x:v>11233676736.57884</x:v>
      </x:c>
      <x:c r="G1823" s="17" t="n">
        <x:f>IF(AND(ISNUMBER(E1823),ISNUMBER(F1823)),E1823-F1823,"n.a.")</x:f>
        <x:v>-3800579102.7814693</x:v>
      </x:c>
      <x:c r="H1823" s="15" t="n">
        <x:f>IF(AND(ISNUMBER(E1823),ISNUMBER(F1823),F1823&gt;0),(E1823-F1823)/F1823,"n.a.")</x:f>
        <x:v>-0.33832014147301487</x:v>
      </x:c>
      <x:c r="I1823" s="19" t="n">
        <x:f>IF(ISNUMBER(H1823),ABS(H1823),"n.a.")</x:f>
        <x:v>0.33832014147301487</x:v>
      </x:c>
      <x:c r="J1823" s="2" t="str">
        <x:v>available</x:v>
      </x:c>
      <x:c r="K1823" s="2" t="n">
        <x:v>1</x:v>
      </x:c>
      <x:c r="L1823" s="13" t="b">
        <x:v>0</x:v>
      </x:c>
      <x:c r="M1823" s="13" t="b">
        <x:v>1</x:v>
      </x:c>
      <x:c r="N1823" s="2" t="str">
        <x:v>projected_CRISP_BU_surface</x:v>
      </x:c>
      <x:c r="O1823" s="2" t="str"/>
      <x:c r="P1823" s="2" t="str">
        <x:v>horizontal built-up surface</x:v>
      </x:c>
      <x:c r="Q1823" s="2" t="str">
        <x:v>m2</x:v>
      </x:c>
      <x:c r="R1823" s="17" t="n">
        <x:v>10719698404.661283</x:v>
      </x:c>
      <x:c r="S1823" s="17" t="n">
        <x:v>6308730216.94</x:v>
      </x:c>
      <x:c r="T1823" s="18" t="n">
        <x:v>1.0479470888559759</x:v>
      </x:c>
      <x:c r="U1823" s="17" t="n">
        <x:v>6611215465.220001</x:v>
      </x:c>
      <x:c r="V1823" s="2" t="str">
        <x:v>Area equivalent = model2020 * WUP surface / TEMPO2020 footprint; km2 multiplied by1e6 once</x:v>
      </x:c>
      <x:c r="W1823" s="2" t="str">
        <x:v>L1_numeric_partition_qualified_not_national_completeness</x:v>
      </x:c>
      <x:c r="X1823" s="2" t="str">
        <x:v>https://human-settlement.emergency.copernicus.eu/datasets.php</x:v>
      </x:c>
    </x:row>
    <x:row r="1824" ht="23" customHeight="1">
      <x:c r="A1824" s="2" t="str">
        <x:v>DJI</x:v>
      </x:c>
      <x:c r="B1824" s="2" t="str">
        <x:v>Djibouti (Republic of)</x:v>
      </x:c>
      <x:c r="C1824" s="2" t="n">
        <x:v>2025</x:v>
      </x:c>
      <x:c r="D1824" s="2" t="str">
        <x:v>WUP_SURFACE</x:v>
      </x:c>
      <x:c r="E1824" s="17" t="n">
        <x:v>15826326.695005659</x:v>
      </x:c>
      <x:c r="F1824" s="17" t="n">
        <x:f>IF(AND(M1824,ISNUMBER(R1824)),IF(D1824="TEMPO_PROXY",R1824,IF(AND(ISNUMBER(S1824),S1824&gt;0,ISNUMBER(U1824)),U1824*R1824/S1824,"n.a.")),"n.a.")</x:f>
        <x:v>26280893.51973595</x:v>
      </x:c>
      <x:c r="G1824" s="17" t="n">
        <x:f>IF(AND(ISNUMBER(E1824),ISNUMBER(F1824)),E1824-F1824,"n.a.")</x:f>
        <x:v>-10454566.824730292</x:v>
      </x:c>
      <x:c r="H1824" s="15" t="n">
        <x:f>IF(AND(ISNUMBER(E1824),ISNUMBER(F1824),F1824&gt;0),(E1824-F1824)/F1824,"n.a.")</x:f>
        <x:v>-0.3978010419196482</x:v>
      </x:c>
      <x:c r="I1824" s="19" t="n">
        <x:f>IF(ISNUMBER(H1824),ABS(H1824),"n.a.")</x:f>
        <x:v>0.3978010419196482</x:v>
      </x:c>
      <x:c r="J1824" s="2" t="str">
        <x:v>available</x:v>
      </x:c>
      <x:c r="K1824" s="2" t="n">
        <x:v>1</x:v>
      </x:c>
      <x:c r="L1824" s="13" t="b">
        <x:v>0</x:v>
      </x:c>
      <x:c r="M1824" s="13" t="b">
        <x:v>1</x:v>
      </x:c>
      <x:c r="N1824" s="2" t="str">
        <x:v>projected_CRISP_BU_surface</x:v>
      </x:c>
      <x:c r="O1824" s="2" t="str"/>
      <x:c r="P1824" s="2" t="str">
        <x:v>horizontal built-up surface</x:v>
      </x:c>
      <x:c r="Q1824" s="2" t="str">
        <x:v>m2</x:v>
      </x:c>
      <x:c r="R1824" s="17" t="n">
        <x:v>25318119.630626824</x:v>
      </x:c>
      <x:c r="S1824" s="17" t="n">
        <x:v>12127167.01</x:v>
      </x:c>
      <x:c r="T1824" s="18" t="n">
        <x:v>1.0380270692751006</x:v>
      </x:c>
      <x:c r="U1824" s="17" t="n">
        <x:v>12588327.629999984</x:v>
      </x:c>
      <x:c r="V1824" s="2" t="str">
        <x:v>Area equivalent = model2020 * WUP surface / TEMPO2020 footprint; km2 multiplied by1e6 once</x:v>
      </x:c>
      <x:c r="W1824" s="2" t="str">
        <x:v>L1_numeric_partition_qualified_not_national_completeness</x:v>
      </x:c>
      <x:c r="X1824" s="2" t="str">
        <x:v>https://human-settlement.emergency.copernicus.eu/datasets.php</x:v>
      </x:c>
    </x:row>
    <x:row r="1825" ht="23" customHeight="1">
      <x:c r="A1825" s="2" t="str">
        <x:v>DMA</x:v>
      </x:c>
      <x:c r="B1825" s="2" t="str">
        <x:v>Dominica (Commonwealth of)</x:v>
      </x:c>
      <x:c r="C1825" s="2" t="n">
        <x:v>2025</x:v>
      </x:c>
      <x:c r="D1825" s="2" t="str">
        <x:v>WUP_SURFACE</x:v>
      </x:c>
      <x:c r="E1825" s="17" t="n">
        <x:v>4067403.070447733</x:v>
      </x:c>
      <x:c r="F1825" s="17" t="n">
        <x:f>IF(AND(M1825,ISNUMBER(R1825)),IF(D1825="TEMPO_PROXY",R1825,IF(AND(ISNUMBER(S1825),S1825&gt;0,ISNUMBER(U1825)),U1825*R1825/S1825,"n.a.")),"n.a.")</x:f>
        <x:v>5746936.668125724</x:v>
      </x:c>
      <x:c r="G1825" s="17" t="n">
        <x:f>IF(AND(ISNUMBER(E1825),ISNUMBER(F1825)),E1825-F1825,"n.a.")</x:f>
        <x:v>-1679533.5976779913</x:v>
      </x:c>
      <x:c r="H1825" s="15" t="n">
        <x:f>IF(AND(ISNUMBER(E1825),ISNUMBER(F1825),F1825&gt;0),(E1825-F1825)/F1825,"n.a.")</x:f>
        <x:v>-0.29224849596711244</x:v>
      </x:c>
      <x:c r="I1825" s="19" t="n">
        <x:f>IF(ISNUMBER(H1825),ABS(H1825),"n.a.")</x:f>
        <x:v>0.29224849596711244</x:v>
      </x:c>
      <x:c r="J1825" s="2" t="str">
        <x:v>available</x:v>
      </x:c>
      <x:c r="K1825" s="2" t="n">
        <x:v>1</x:v>
      </x:c>
      <x:c r="L1825" s="13" t="b">
        <x:v>0</x:v>
      </x:c>
      <x:c r="M1825" s="13" t="b">
        <x:v>1</x:v>
      </x:c>
      <x:c r="N1825" s="2" t="str">
        <x:v>projected_CRISP_BU_surface</x:v>
      </x:c>
      <x:c r="O1825" s="2" t="str"/>
      <x:c r="P1825" s="2" t="str">
        <x:v>horizontal built-up surface</x:v>
      </x:c>
      <x:c r="Q1825" s="2" t="str">
        <x:v>m2</x:v>
      </x:c>
      <x:c r="R1825" s="17" t="n">
        <x:v>5746936.668125727</x:v>
      </x:c>
      <x:c r="S1825" s="17" t="n">
        <x:v>3947192.69</x:v>
      </x:c>
      <x:c r="T1825" s="18" t="n">
        <x:v>0.9999999999999997</x:v>
      </x:c>
      <x:c r="U1825" s="17" t="n">
        <x:v>3947192.6899999985</x:v>
      </x:c>
      <x:c r="V1825" s="2" t="str">
        <x:v>Area equivalent = model2020 * WUP surface / TEMPO2020 footprint; km2 multiplied by1e6 once</x:v>
      </x:c>
      <x:c r="W1825" s="2" t="str">
        <x:v>L1_numeric_partition_qualified_not_national_completeness</x:v>
      </x:c>
      <x:c r="X1825" s="2" t="str">
        <x:v>https://human-settlement.emergency.copernicus.eu/datasets.php</x:v>
      </x:c>
    </x:row>
    <x:row r="1826" ht="23" customHeight="1">
      <x:c r="A1826" s="2" t="str">
        <x:v>DNK</x:v>
      </x:c>
      <x:c r="B1826" s="2" t="str">
        <x:v>Denmark (Kingdom of)</x:v>
      </x:c>
      <x:c r="C1826" s="2" t="n">
        <x:v>2025</x:v>
      </x:c>
      <x:c r="D1826" s="2" t="str">
        <x:v>WUP_SURFACE</x:v>
      </x:c>
      <x:c r="E1826" s="17" t="n">
        <x:v>755859889.661265</x:v>
      </x:c>
      <x:c r="F1826" s="17" t="n">
        <x:f>IF(AND(M1826,ISNUMBER(R1826)),IF(D1826="TEMPO_PROXY",R1826,IF(AND(ISNUMBER(S1826),S1826&gt;0,ISNUMBER(U1826)),U1826*R1826/S1826,"n.a.")),"n.a.")</x:f>
        <x:v>934629927.048682</x:v>
      </x:c>
      <x:c r="G1826" s="17" t="n">
        <x:f>IF(AND(ISNUMBER(E1826),ISNUMBER(F1826)),E1826-F1826,"n.a.")</x:f>
        <x:v>-178770037.38741696</x:v>
      </x:c>
      <x:c r="H1826" s="15" t="n">
        <x:f>IF(AND(ISNUMBER(E1826),ISNUMBER(F1826),F1826&gt;0),(E1826-F1826)/F1826,"n.a.")</x:f>
        <x:v>-0.19127360703281374</x:v>
      </x:c>
      <x:c r="I1826" s="19" t="n">
        <x:f>IF(ISNUMBER(H1826),ABS(H1826),"n.a.")</x:f>
        <x:v>0.19127360703281374</x:v>
      </x:c>
      <x:c r="J1826" s="2" t="str">
        <x:v>available</x:v>
      </x:c>
      <x:c r="K1826" s="2" t="n">
        <x:v>1</x:v>
      </x:c>
      <x:c r="L1826" s="13" t="b">
        <x:v>0</x:v>
      </x:c>
      <x:c r="M1826" s="13" t="b">
        <x:v>1</x:v>
      </x:c>
      <x:c r="N1826" s="2" t="str">
        <x:v>projected_CRISP_BU_surface</x:v>
      </x:c>
      <x:c r="O1826" s="2" t="str"/>
      <x:c r="P1826" s="2" t="str">
        <x:v>horizontal built-up surface</x:v>
      </x:c>
      <x:c r="Q1826" s="2" t="str">
        <x:v>m2</x:v>
      </x:c>
      <x:c r="R1826" s="17" t="n">
        <x:v>928547422.8656484</x:v>
      </x:c>
      <x:c r="S1826" s="17" t="n">
        <x:v>660731556.2</x:v>
      </x:c>
      <x:c r="T1826" s="18" t="n">
        <x:v>1.006550558467183</x:v>
      </x:c>
      <x:c r="U1826" s="17" t="n">
        <x:v>665059716.8900009</x:v>
      </x:c>
      <x:c r="V1826" s="2" t="str">
        <x:v>Area equivalent = model2020 * WUP surface / TEMPO2020 footprint; km2 multiplied by1e6 once</x:v>
      </x:c>
      <x:c r="W1826" s="2" t="str">
        <x:v>L1_numeric_partition_qualified_not_national_completeness</x:v>
      </x:c>
      <x:c r="X1826" s="2" t="str">
        <x:v>https://human-settlement.emergency.copernicus.eu/datasets.php</x:v>
      </x:c>
    </x:row>
    <x:row r="1827" ht="23" customHeight="1">
      <x:c r="A1827" s="2" t="str">
        <x:v>DOM</x:v>
      </x:c>
      <x:c r="B1827" s="2" t="str">
        <x:v>Dominican Republic</x:v>
      </x:c>
      <x:c r="C1827" s="2" t="n">
        <x:v>2025</x:v>
      </x:c>
      <x:c r="D1827" s="2" t="str">
        <x:v>WUP_SURFACE</x:v>
      </x:c>
      <x:c r="E1827" s="17" t="n">
        <x:v>379420417.82158756</x:v>
      </x:c>
      <x:c r="F1827" s="17" t="n">
        <x:f>IF(AND(M1827,ISNUMBER(R1827)),IF(D1827="TEMPO_PROXY",R1827,IF(AND(ISNUMBER(S1827),S1827&gt;0,ISNUMBER(U1827)),U1827*R1827/S1827,"n.a.")),"n.a.")</x:f>
        <x:v>568666345.3875654</x:v>
      </x:c>
      <x:c r="G1827" s="17" t="n">
        <x:f>IF(AND(ISNUMBER(E1827),ISNUMBER(F1827)),E1827-F1827,"n.a.")</x:f>
        <x:v>-189245927.5659778</x:v>
      </x:c>
      <x:c r="H1827" s="15" t="n">
        <x:f>IF(AND(ISNUMBER(E1827),ISNUMBER(F1827),F1827&gt;0),(E1827-F1827)/F1827,"n.a.")</x:f>
        <x:v>-0.332789040710683</x:v>
      </x:c>
      <x:c r="I1827" s="19" t="n">
        <x:f>IF(ISNUMBER(H1827),ABS(H1827),"n.a.")</x:f>
        <x:v>0.332789040710683</x:v>
      </x:c>
      <x:c r="J1827" s="2" t="str">
        <x:v>available</x:v>
      </x:c>
      <x:c r="K1827" s="2" t="n">
        <x:v>1</x:v>
      </x:c>
      <x:c r="L1827" s="13" t="b">
        <x:v>0</x:v>
      </x:c>
      <x:c r="M1827" s="13" t="b">
        <x:v>1</x:v>
      </x:c>
      <x:c r="N1827" s="2" t="str">
        <x:v>projected_CRISP_BU_surface</x:v>
      </x:c>
      <x:c r="O1827" s="2" t="str"/>
      <x:c r="P1827" s="2" t="str">
        <x:v>horizontal built-up surface</x:v>
      </x:c>
      <x:c r="Q1827" s="2" t="str">
        <x:v>m2</x:v>
      </x:c>
      <x:c r="R1827" s="17" t="n">
        <x:v>568666345.3875647</x:v>
      </x:c>
      <x:c r="S1827" s="17" t="n">
        <x:v>336248050.89</x:v>
      </x:c>
      <x:c r="T1827" s="18" t="n">
        <x:v>1.0000000000000013</x:v>
      </x:c>
      <x:c r="U1827" s="17" t="n">
        <x:v>336248050.8900004</x:v>
      </x:c>
      <x:c r="V1827" s="2" t="str">
        <x:v>Area equivalent = model2020 * WUP surface / TEMPO2020 footprint; km2 multiplied by1e6 once</x:v>
      </x:c>
      <x:c r="W1827" s="2" t="str">
        <x:v>L1_numeric_partition_qualified_not_national_completeness</x:v>
      </x:c>
      <x:c r="X1827" s="2" t="str">
        <x:v>https://human-settlement.emergency.copernicus.eu/datasets.php</x:v>
      </x:c>
    </x:row>
    <x:row r="1828" ht="23" customHeight="1">
      <x:c r="A1828" s="2" t="str">
        <x:v>DZA</x:v>
      </x:c>
      <x:c r="B1828" s="2" t="str">
        <x:v>Algeria (People's Democratic Republic of)</x:v>
      </x:c>
      <x:c r="C1828" s="2" t="n">
        <x:v>2025</x:v>
      </x:c>
      <x:c r="D1828" s="2" t="str">
        <x:v>WUP_SURFACE</x:v>
      </x:c>
      <x:c r="E1828" s="17" t="n">
        <x:v>1849442388.5685625</x:v>
      </x:c>
      <x:c r="F1828" s="17" t="n">
        <x:f>IF(AND(M1828,ISNUMBER(R1828)),IF(D1828="TEMPO_PROXY",R1828,IF(AND(ISNUMBER(S1828),S1828&gt;0,ISNUMBER(U1828)),U1828*R1828/S1828,"n.a.")),"n.a.")</x:f>
        <x:v>2609669354.3283763</x:v>
      </x:c>
      <x:c r="G1828" s="17" t="n">
        <x:f>IF(AND(ISNUMBER(E1828),ISNUMBER(F1828)),E1828-F1828,"n.a.")</x:f>
        <x:v>-760226965.7598138</x:v>
      </x:c>
      <x:c r="H1828" s="15" t="n">
        <x:f>IF(AND(ISNUMBER(E1828),ISNUMBER(F1828),F1828&gt;0),(E1828-F1828)/F1828,"n.a.")</x:f>
        <x:v>-0.2913116040922608</x:v>
      </x:c>
      <x:c r="I1828" s="19" t="n">
        <x:f>IF(ISNUMBER(H1828),ABS(H1828),"n.a.")</x:f>
        <x:v>0.2913116040922608</x:v>
      </x:c>
      <x:c r="J1828" s="2" t="str">
        <x:v>available</x:v>
      </x:c>
      <x:c r="K1828" s="2" t="n">
        <x:v>1</x:v>
      </x:c>
      <x:c r="L1828" s="13" t="b">
        <x:v>0</x:v>
      </x:c>
      <x:c r="M1828" s="13" t="b">
        <x:v>1</x:v>
      </x:c>
      <x:c r="N1828" s="2" t="str">
        <x:v>projected_CRISP_BU_surface</x:v>
      </x:c>
      <x:c r="O1828" s="2" t="str"/>
      <x:c r="P1828" s="2" t="str">
        <x:v>horizontal built-up surface</x:v>
      </x:c>
      <x:c r="Q1828" s="2" t="str">
        <x:v>m2</x:v>
      </x:c>
      <x:c r="R1828" s="17" t="n">
        <x:v>2579697095.4511447</x:v>
      </x:c>
      <x:c r="S1828" s="17" t="n">
        <x:v>1589287619</x:v>
      </x:c>
      <x:c r="T1828" s="18" t="n">
        <x:v>1.0116185186741817</x:v>
      </x:c>
      <x:c r="U1828" s="17" t="n">
        <x:v>1607752786.8799975</x:v>
      </x:c>
      <x:c r="V1828" s="2" t="str">
        <x:v>Area equivalent = model2020 * WUP surface / TEMPO2020 footprint; km2 multiplied by1e6 once</x:v>
      </x:c>
      <x:c r="W1828" s="2" t="str">
        <x:v>L1_numeric_partition_qualified_not_national_completeness</x:v>
      </x:c>
      <x:c r="X1828" s="2" t="str">
        <x:v>https://human-settlement.emergency.copernicus.eu/datasets.php</x:v>
      </x:c>
    </x:row>
    <x:row r="1829" ht="23" customHeight="1">
      <x:c r="A1829" s="2" t="str">
        <x:v>ECU</x:v>
      </x:c>
      <x:c r="B1829" s="2" t="str">
        <x:v>Ecuador (Republic of)</x:v>
      </x:c>
      <x:c r="C1829" s="2" t="n">
        <x:v>2025</x:v>
      </x:c>
      <x:c r="D1829" s="2" t="str">
        <x:v>WUP_SURFACE</x:v>
      </x:c>
      <x:c r="E1829" s="17" t="n">
        <x:v>834254420.9320884</x:v>
      </x:c>
      <x:c r="F1829" s="17" t="n">
        <x:f>IF(AND(M1829,ISNUMBER(R1829)),IF(D1829="TEMPO_PROXY",R1829,IF(AND(ISNUMBER(S1829),S1829&gt;0,ISNUMBER(U1829)),U1829*R1829/S1829,"n.a.")),"n.a.")</x:f>
        <x:v>1055485492.9577205</x:v>
      </x:c>
      <x:c r="G1829" s="17" t="n">
        <x:f>IF(AND(ISNUMBER(E1829),ISNUMBER(F1829)),E1829-F1829,"n.a.")</x:f>
        <x:v>-221231072.02563214</x:v>
      </x:c>
      <x:c r="H1829" s="15" t="n">
        <x:f>IF(AND(ISNUMBER(E1829),ISNUMBER(F1829),F1829&gt;0),(E1829-F1829)/F1829,"n.a.")</x:f>
        <x:v>-0.20960124369468144</x:v>
      </x:c>
      <x:c r="I1829" s="19" t="n">
        <x:f>IF(ISNUMBER(H1829),ABS(H1829),"n.a.")</x:f>
        <x:v>0.20960124369468144</x:v>
      </x:c>
      <x:c r="J1829" s="2" t="str">
        <x:v>available</x:v>
      </x:c>
      <x:c r="K1829" s="2" t="n">
        <x:v>1</x:v>
      </x:c>
      <x:c r="L1829" s="13" t="b">
        <x:v>0</x:v>
      </x:c>
      <x:c r="M1829" s="13" t="b">
        <x:v>1</x:v>
      </x:c>
      <x:c r="N1829" s="2" t="str">
        <x:v>projected_CRISP_BU_surface</x:v>
      </x:c>
      <x:c r="O1829" s="2" t="str"/>
      <x:c r="P1829" s="2" t="str">
        <x:v>horizontal built-up surface</x:v>
      </x:c>
      <x:c r="Q1829" s="2" t="str">
        <x:v>m2</x:v>
      </x:c>
      <x:c r="R1829" s="17" t="n">
        <x:v>1055485492.95772</x:v>
      </x:c>
      <x:c r="S1829" s="17" t="n">
        <x:v>734538215.05</x:v>
      </x:c>
      <x:c r="T1829" s="18" t="n">
        <x:v>1.0000000000000004</x:v>
      </x:c>
      <x:c r="U1829" s="17" t="n">
        <x:v>734538215.0500003</x:v>
      </x:c>
      <x:c r="V1829" s="2" t="str">
        <x:v>Area equivalent = model2020 * WUP surface / TEMPO2020 footprint; km2 multiplied by1e6 once</x:v>
      </x:c>
      <x:c r="W1829" s="2" t="str">
        <x:v>L1_numeric_partition_qualified_not_national_completeness</x:v>
      </x:c>
      <x:c r="X1829" s="2" t="str">
        <x:v>https://human-settlement.emergency.copernicus.eu/datasets.php</x:v>
      </x:c>
    </x:row>
    <x:row r="1830" ht="23" customHeight="1">
      <x:c r="A1830" s="2" t="str">
        <x:v>EGY</x:v>
      </x:c>
      <x:c r="B1830" s="2" t="str">
        <x:v>Egypt (Arab Republic of)</x:v>
      </x:c>
      <x:c r="C1830" s="2" t="n">
        <x:v>2025</x:v>
      </x:c>
      <x:c r="D1830" s="2" t="str">
        <x:v>WUP_SURFACE</x:v>
      </x:c>
      <x:c r="E1830" s="17" t="n">
        <x:v>3523234185.206668</x:v>
      </x:c>
      <x:c r="F1830" s="17" t="n">
        <x:f>IF(AND(M1830,ISNUMBER(R1830)),IF(D1830="TEMPO_PROXY",R1830,IF(AND(ISNUMBER(S1830),S1830&gt;0,ISNUMBER(U1830)),U1830*R1830/S1830,"n.a.")),"n.a.")</x:f>
        <x:v>4960076139.540649</x:v>
      </x:c>
      <x:c r="G1830" s="17" t="n">
        <x:f>IF(AND(ISNUMBER(E1830),ISNUMBER(F1830)),E1830-F1830,"n.a.")</x:f>
        <x:v>-1436841954.3339815</x:v>
      </x:c>
      <x:c r="H1830" s="15" t="n">
        <x:f>IF(AND(ISNUMBER(E1830),ISNUMBER(F1830),F1830&gt;0),(E1830-F1830)/F1830,"n.a.")</x:f>
        <x:v>-0.2896814310731623</x:v>
      </x:c>
      <x:c r="I1830" s="19" t="n">
        <x:f>IF(ISNUMBER(H1830),ABS(H1830),"n.a.")</x:f>
        <x:v>0.2896814310731623</x:v>
      </x:c>
      <x:c r="J1830" s="2" t="str">
        <x:v>available</x:v>
      </x:c>
      <x:c r="K1830" s="2" t="n">
        <x:v>1</x:v>
      </x:c>
      <x:c r="L1830" s="13" t="b">
        <x:v>0</x:v>
      </x:c>
      <x:c r="M1830" s="13" t="b">
        <x:v>1</x:v>
      </x:c>
      <x:c r="N1830" s="2" t="str">
        <x:v>projected_CRISP_BU_surface</x:v>
      </x:c>
      <x:c r="O1830" s="2" t="str"/>
      <x:c r="P1830" s="2" t="str">
        <x:v>horizontal built-up surface</x:v>
      </x:c>
      <x:c r="Q1830" s="2" t="str">
        <x:v>m2</x:v>
      </x:c>
      <x:c r="R1830" s="17" t="n">
        <x:v>3715058213.929348</x:v>
      </x:c>
      <x:c r="S1830" s="17" t="n">
        <x:v>2212752476.53</x:v>
      </x:c>
      <x:c r="T1830" s="18" t="n">
        <x:v>1.3351274337891113</x:v>
      </x:c>
      <x:c r="U1830" s="17" t="n">
        <x:v>2954306535.6</x:v>
      </x:c>
      <x:c r="V1830" s="2" t="str">
        <x:v>Area equivalent = model2020 * WUP surface / TEMPO2020 footprint; km2 multiplied by1e6 once</x:v>
      </x:c>
      <x:c r="W1830" s="2" t="str">
        <x:v>L1_numeric_partition_qualified_not_national_completeness</x:v>
      </x:c>
      <x:c r="X1830" s="2" t="str">
        <x:v>https://human-settlement.emergency.copernicus.eu/datasets.php</x:v>
      </x:c>
    </x:row>
    <x:row r="1831" ht="23" customHeight="1">
      <x:c r="A1831" s="2" t="str">
        <x:v>ERI</x:v>
      </x:c>
      <x:c r="B1831" s="2" t="str">
        <x:v>Eritrea (State of)</x:v>
      </x:c>
      <x:c r="C1831" s="2" t="n">
        <x:v>2025</x:v>
      </x:c>
      <x:c r="D1831" s="2" t="str">
        <x:v>WUP_SURFACE</x:v>
      </x:c>
      <x:c r="E1831" s="17" t="n">
        <x:v>54516313.03012106</x:v>
      </x:c>
      <x:c r="F1831" s="17" t="n">
        <x:f>IF(AND(M1831,ISNUMBER(R1831)),IF(D1831="TEMPO_PROXY",R1831,IF(AND(ISNUMBER(S1831),S1831&gt;0,ISNUMBER(U1831)),U1831*R1831/S1831,"n.a.")),"n.a.")</x:f>
        <x:v>127299421.57070687</x:v>
      </x:c>
      <x:c r="G1831" s="17" t="n">
        <x:f>IF(AND(ISNUMBER(E1831),ISNUMBER(F1831)),E1831-F1831,"n.a.")</x:f>
        <x:v>-72783108.54058582</x:v>
      </x:c>
      <x:c r="H1831" s="15" t="n">
        <x:f>IF(AND(ISNUMBER(E1831),ISNUMBER(F1831),F1831&gt;0),(E1831-F1831)/F1831,"n.a.")</x:f>
        <x:v>-0.5717473625766583</x:v>
      </x:c>
      <x:c r="I1831" s="19" t="n">
        <x:f>IF(ISNUMBER(H1831),ABS(H1831),"n.a.")</x:f>
        <x:v>0.5717473625766583</x:v>
      </x:c>
      <x:c r="J1831" s="2" t="str">
        <x:v>available</x:v>
      </x:c>
      <x:c r="K1831" s="2" t="n">
        <x:v>1</x:v>
      </x:c>
      <x:c r="L1831" s="13" t="b">
        <x:v>0</x:v>
      </x:c>
      <x:c r="M1831" s="13" t="b">
        <x:v>1</x:v>
      </x:c>
      <x:c r="N1831" s="2" t="str">
        <x:v>projected_CRISP_BU_surface</x:v>
      </x:c>
      <x:c r="O1831" s="2" t="str"/>
      <x:c r="P1831" s="2" t="str">
        <x:v>horizontal built-up surface</x:v>
      </x:c>
      <x:c r="Q1831" s="2" t="str">
        <x:v>m2</x:v>
      </x:c>
      <x:c r="R1831" s="17" t="n">
        <x:v>127299421.57070695</x:v>
      </x:c>
      <x:c r="S1831" s="17" t="n">
        <x:v>45298098.33</x:v>
      </x:c>
      <x:c r="T1831" s="18" t="n">
        <x:v>0.9999999999999996</x:v>
      </x:c>
      <x:c r="U1831" s="17" t="n">
        <x:v>45298098.329999976</x:v>
      </x:c>
      <x:c r="V1831" s="2" t="str">
        <x:v>Area equivalent = model2020 * WUP surface / TEMPO2020 footprint; km2 multiplied by1e6 once</x:v>
      </x:c>
      <x:c r="W1831" s="2" t="str">
        <x:v>L1_numeric_partition_qualified_not_national_completeness</x:v>
      </x:c>
      <x:c r="X1831" s="2" t="str">
        <x:v>https://human-settlement.emergency.copernicus.eu/datasets.php</x:v>
      </x:c>
    </x:row>
    <x:row r="1832" ht="23" customHeight="1">
      <x:c r="A1832" s="2" t="str">
        <x:v>ESP</x:v>
      </x:c>
      <x:c r="B1832" s="2" t="str">
        <x:v>Spain (Kingdom of)</x:v>
      </x:c>
      <x:c r="C1832" s="2" t="n">
        <x:v>2025</x:v>
      </x:c>
      <x:c r="D1832" s="2" t="str">
        <x:v>WUP_SURFACE</x:v>
      </x:c>
      <x:c r="E1832" s="17" t="n">
        <x:v>4244052245.030698</x:v>
      </x:c>
      <x:c r="F1832" s="17" t="n">
        <x:f>IF(AND(M1832,ISNUMBER(R1832)),IF(D1832="TEMPO_PROXY",R1832,IF(AND(ISNUMBER(S1832),S1832&gt;0,ISNUMBER(U1832)),U1832*R1832/S1832,"n.a.")),"n.a.")</x:f>
        <x:v>5718171538.397911</x:v>
      </x:c>
      <x:c r="G1832" s="17" t="n">
        <x:f>IF(AND(ISNUMBER(E1832),ISNUMBER(F1832)),E1832-F1832,"n.a.")</x:f>
        <x:v>-1474119293.3672132</x:v>
      </x:c>
      <x:c r="H1832" s="15" t="n">
        <x:f>IF(AND(ISNUMBER(E1832),ISNUMBER(F1832),F1832&gt;0),(E1832-F1832)/F1832,"n.a.")</x:f>
        <x:v>-0.25779557039665596</x:v>
      </x:c>
      <x:c r="I1832" s="19" t="n">
        <x:f>IF(ISNUMBER(H1832),ABS(H1832),"n.a.")</x:f>
        <x:v>0.25779557039665596</x:v>
      </x:c>
      <x:c r="J1832" s="2" t="str">
        <x:v>available</x:v>
      </x:c>
      <x:c r="K1832" s="2" t="n">
        <x:v>1</x:v>
      </x:c>
      <x:c r="L1832" s="13" t="b">
        <x:v>0</x:v>
      </x:c>
      <x:c r="M1832" s="13" t="b">
        <x:v>1</x:v>
      </x:c>
      <x:c r="N1832" s="2" t="str">
        <x:v>projected_CRISP_BU_surface</x:v>
      </x:c>
      <x:c r="O1832" s="2" t="str"/>
      <x:c r="P1832" s="2" t="str">
        <x:v>horizontal built-up surface</x:v>
      </x:c>
      <x:c r="Q1832" s="2" t="str">
        <x:v>m2</x:v>
      </x:c>
      <x:c r="R1832" s="17" t="n">
        <x:v>5077423247.505318</x:v>
      </x:c>
      <x:c r="S1832" s="17" t="n">
        <x:v>3279628822.71</x:v>
      </x:c>
      <x:c r="T1832" s="18" t="n">
        <x:v>1.1261955640998436</x:v>
      </x:c>
      <x:c r="U1832" s="17" t="n">
        <x:v>3693503432.029994</x:v>
      </x:c>
      <x:c r="V1832" s="2" t="str">
        <x:v>Area equivalent = model2020 * WUP surface / TEMPO2020 footprint; km2 multiplied by1e6 once</x:v>
      </x:c>
      <x:c r="W1832" s="2" t="str">
        <x:v>L1_numeric_partition_qualified_not_national_completeness</x:v>
      </x:c>
      <x:c r="X1832" s="2" t="str">
        <x:v>https://human-settlement.emergency.copernicus.eu/datasets.php</x:v>
      </x:c>
    </x:row>
    <x:row r="1833" ht="23" customHeight="1">
      <x:c r="A1833" s="2" t="str">
        <x:v>EST</x:v>
      </x:c>
      <x:c r="B1833" s="2" t="str">
        <x:v>Estonia (Republic of)</x:v>
      </x:c>
      <x:c r="C1833" s="2" t="n">
        <x:v>2025</x:v>
      </x:c>
      <x:c r="D1833" s="2" t="str">
        <x:v>WUP_SURFACE</x:v>
      </x:c>
      <x:c r="E1833" s="17" t="n">
        <x:v>124527082.40701729</x:v>
      </x:c>
      <x:c r="F1833" s="17" t="n">
        <x:f>IF(AND(M1833,ISNUMBER(R1833)),IF(D1833="TEMPO_PROXY",R1833,IF(AND(ISNUMBER(S1833),S1833&gt;0,ISNUMBER(U1833)),U1833*R1833/S1833,"n.a.")),"n.a.")</x:f>
        <x:v>211865927.44202068</x:v>
      </x:c>
      <x:c r="G1833" s="17" t="n">
        <x:f>IF(AND(ISNUMBER(E1833),ISNUMBER(F1833)),E1833-F1833,"n.a.")</x:f>
        <x:v>-87338845.0350034</x:v>
      </x:c>
      <x:c r="H1833" s="15" t="n">
        <x:f>IF(AND(ISNUMBER(E1833),ISNUMBER(F1833),F1833&gt;0),(E1833-F1833)/F1833,"n.a.")</x:f>
        <x:v>-0.4122363897276714</x:v>
      </x:c>
      <x:c r="I1833" s="19" t="n">
        <x:f>IF(ISNUMBER(H1833),ABS(H1833),"n.a.")</x:f>
        <x:v>0.4122363897276714</x:v>
      </x:c>
      <x:c r="J1833" s="2" t="str">
        <x:v>available</x:v>
      </x:c>
      <x:c r="K1833" s="2" t="n">
        <x:v>1</x:v>
      </x:c>
      <x:c r="L1833" s="13" t="b">
        <x:v>0</x:v>
      </x:c>
      <x:c r="M1833" s="13" t="b">
        <x:v>1</x:v>
      </x:c>
      <x:c r="N1833" s="2" t="str">
        <x:v>projected_CRISP_BU_surface</x:v>
      </x:c>
      <x:c r="O1833" s="2" t="str"/>
      <x:c r="P1833" s="2" t="str">
        <x:v>horizontal built-up surface</x:v>
      </x:c>
      <x:c r="Q1833" s="2" t="str">
        <x:v>m2</x:v>
      </x:c>
      <x:c r="R1833" s="17" t="n">
        <x:v>211865927.4420205</x:v>
      </x:c>
      <x:c r="S1833" s="17" t="n">
        <x:v>113094705.37</x:v>
      </x:c>
      <x:c r="T1833" s="18" t="n">
        <x:v>1.0000000000000009</x:v>
      </x:c>
      <x:c r="U1833" s="17" t="n">
        <x:v>113094705.3700001</x:v>
      </x:c>
      <x:c r="V1833" s="2" t="str">
        <x:v>Area equivalent = model2020 * WUP surface / TEMPO2020 footprint; km2 multiplied by1e6 once</x:v>
      </x:c>
      <x:c r="W1833" s="2" t="str">
        <x:v>L1_numeric_partition_qualified_not_national_completeness</x:v>
      </x:c>
      <x:c r="X1833" s="2" t="str">
        <x:v>https://human-settlement.emergency.copernicus.eu/datasets.php</x:v>
      </x:c>
    </x:row>
    <x:row r="1834" ht="23" customHeight="1">
      <x:c r="A1834" s="2" t="str">
        <x:v>ETH</x:v>
      </x:c>
      <x:c r="B1834" s="2" t="str">
        <x:v>Ethiopia (Federal Democratic Republic of)</x:v>
      </x:c>
      <x:c r="C1834" s="2" t="n">
        <x:v>2025</x:v>
      </x:c>
      <x:c r="D1834" s="2" t="str">
        <x:v>WUP_SURFACE</x:v>
      </x:c>
      <x:c r="E1834" s="17" t="n">
        <x:v>2062796327.872624</x:v>
      </x:c>
      <x:c r="F1834" s="17" t="n">
        <x:f>IF(AND(M1834,ISNUMBER(R1834)),IF(D1834="TEMPO_PROXY",R1834,IF(AND(ISNUMBER(S1834),S1834&gt;0,ISNUMBER(U1834)),U1834*R1834/S1834,"n.a.")),"n.a.")</x:f>
        <x:v>3150546310.8507886</x:v>
      </x:c>
      <x:c r="G1834" s="17" t="n">
        <x:f>IF(AND(ISNUMBER(E1834),ISNUMBER(F1834)),E1834-F1834,"n.a.")</x:f>
        <x:v>-1087749982.9781647</x:v>
      </x:c>
      <x:c r="H1834" s="15" t="n">
        <x:f>IF(AND(ISNUMBER(E1834),ISNUMBER(F1834),F1834&gt;0),(E1834-F1834)/F1834,"n.a.")</x:f>
        <x:v>-0.3452575761961815</x:v>
      </x:c>
      <x:c r="I1834" s="19" t="n">
        <x:f>IF(ISNUMBER(H1834),ABS(H1834),"n.a.")</x:f>
        <x:v>0.3452575761961815</x:v>
      </x:c>
      <x:c r="J1834" s="2" t="str">
        <x:v>available</x:v>
      </x:c>
      <x:c r="K1834" s="2" t="n">
        <x:v>1</x:v>
      </x:c>
      <x:c r="L1834" s="13" t="b">
        <x:v>0</x:v>
      </x:c>
      <x:c r="M1834" s="13" t="b">
        <x:v>1</x:v>
      </x:c>
      <x:c r="N1834" s="2" t="str">
        <x:v>projected_CRISP_BU_surface</x:v>
      </x:c>
      <x:c r="O1834" s="2" t="str"/>
      <x:c r="P1834" s="2" t="str">
        <x:v>horizontal built-up surface</x:v>
      </x:c>
      <x:c r="Q1834" s="2" t="str">
        <x:v>m2</x:v>
      </x:c>
      <x:c r="R1834" s="17" t="n">
        <x:v>3150546310.8507843</x:v>
      </x:c>
      <x:c r="S1834" s="17" t="n">
        <x:v>1660821510.71</x:v>
      </x:c>
      <x:c r="T1834" s="18" t="n">
        <x:v>1.0000000000000013</x:v>
      </x:c>
      <x:c r="U1834" s="17" t="n">
        <x:v>1660821510.7100024</x:v>
      </x:c>
      <x:c r="V1834" s="2" t="str">
        <x:v>Area equivalent = model2020 * WUP surface / TEMPO2020 footprint; km2 multiplied by1e6 once</x:v>
      </x:c>
      <x:c r="W1834" s="2" t="str">
        <x:v>L1_numeric_partition_qualified_not_national_completeness</x:v>
      </x:c>
      <x:c r="X1834" s="2" t="str">
        <x:v>https://human-settlement.emergency.copernicus.eu/datasets.php</x:v>
      </x:c>
    </x:row>
    <x:row r="1835" ht="23" customHeight="1">
      <x:c r="A1835" s="2" t="str">
        <x:v>FIN</x:v>
      </x:c>
      <x:c r="B1835" s="2" t="str">
        <x:v>Finland (Republic of)</x:v>
      </x:c>
      <x:c r="C1835" s="2" t="n">
        <x:v>2025</x:v>
      </x:c>
      <x:c r="D1835" s="2" t="str">
        <x:v>WUP_SURFACE</x:v>
      </x:c>
      <x:c r="E1835" s="17" t="n">
        <x:v>737444296.1399152</x:v>
      </x:c>
      <x:c r="F1835" s="17" t="n">
        <x:f>IF(AND(M1835,ISNUMBER(R1835)),IF(D1835="TEMPO_PROXY",R1835,IF(AND(ISNUMBER(S1835),S1835&gt;0,ISNUMBER(U1835)),U1835*R1835/S1835,"n.a.")),"n.a.")</x:f>
        <x:v>648316559.7666343</x:v>
      </x:c>
      <x:c r="G1835" s="17" t="n">
        <x:f>IF(AND(ISNUMBER(E1835),ISNUMBER(F1835)),E1835-F1835,"n.a.")</x:f>
        <x:v>89127736.37328088</x:v>
      </x:c>
      <x:c r="H1835" s="15" t="n">
        <x:f>IF(AND(ISNUMBER(E1835),ISNUMBER(F1835),F1835&gt;0),(E1835-F1835)/F1835,"n.a.")</x:f>
        <x:v>0.13747564369690476</x:v>
      </x:c>
      <x:c r="I1835" s="19" t="n">
        <x:f>IF(ISNUMBER(H1835),ABS(H1835),"n.a.")</x:f>
        <x:v>0.13747564369690476</x:v>
      </x:c>
      <x:c r="J1835" s="2" t="str">
        <x:v>available</x:v>
      </x:c>
      <x:c r="K1835" s="2" t="n">
        <x:v>1</x:v>
      </x:c>
      <x:c r="L1835" s="13" t="b">
        <x:v>0</x:v>
      </x:c>
      <x:c r="M1835" s="13" t="b">
        <x:v>1</x:v>
      </x:c>
      <x:c r="N1835" s="2" t="str">
        <x:v>projected_CRISP_BU_surface</x:v>
      </x:c>
      <x:c r="O1835" s="2" t="str"/>
      <x:c r="P1835" s="2" t="str">
        <x:v>horizontal built-up surface</x:v>
      </x:c>
      <x:c r="Q1835" s="2" t="str">
        <x:v>m2</x:v>
      </x:c>
      <x:c r="R1835" s="17" t="n">
        <x:v>648316559.7666351</x:v>
      </x:c>
      <x:c r="S1835" s="17" t="n">
        <x:v>615866742.34</x:v>
      </x:c>
      <x:c r="T1835" s="18" t="n">
        <x:v>0.9999999999999989</x:v>
      </x:c>
      <x:c r="U1835" s="17" t="n">
        <x:v>615866742.3399993</x:v>
      </x:c>
      <x:c r="V1835" s="2" t="str">
        <x:v>Area equivalent = model2020 * WUP surface / TEMPO2020 footprint; km2 multiplied by1e6 once</x:v>
      </x:c>
      <x:c r="W1835" s="2" t="str">
        <x:v>L1_numeric_partition_qualified_not_national_completeness</x:v>
      </x:c>
      <x:c r="X1835" s="2" t="str">
        <x:v>https://human-settlement.emergency.copernicus.eu/datasets.php</x:v>
      </x:c>
    </x:row>
    <x:row r="1836" ht="23" customHeight="1">
      <x:c r="A1836" s="2" t="str">
        <x:v>FJI</x:v>
      </x:c>
      <x:c r="B1836" s="2" t="str">
        <x:v>Fiji (Republic of)</x:v>
      </x:c>
      <x:c r="C1836" s="2" t="n">
        <x:v>2025</x:v>
      </x:c>
      <x:c r="D1836" s="2" t="str">
        <x:v>WUP_SURFACE</x:v>
      </x:c>
      <x:c r="E1836" s="17" t="n">
        <x:v>40268905.06854536</x:v>
      </x:c>
      <x:c r="F1836" s="17" t="n">
        <x:f>IF(AND(M1836,ISNUMBER(R1836)),IF(D1836="TEMPO_PROXY",R1836,IF(AND(ISNUMBER(S1836),S1836&gt;0,ISNUMBER(U1836)),U1836*R1836/S1836,"n.a.")),"n.a.")</x:f>
        <x:v>92660858.50966989</x:v>
      </x:c>
      <x:c r="G1836" s="17" t="n">
        <x:f>IF(AND(ISNUMBER(E1836),ISNUMBER(F1836)),E1836-F1836,"n.a.")</x:f>
        <x:v>-52391953.44112453</x:v>
      </x:c>
      <x:c r="H1836" s="15" t="n">
        <x:f>IF(AND(ISNUMBER(E1836),ISNUMBER(F1836),F1836&gt;0),(E1836-F1836)/F1836,"n.a.")</x:f>
        <x:v>-0.565416231662229</x:v>
      </x:c>
      <x:c r="I1836" s="19" t="n">
        <x:f>IF(ISNUMBER(H1836),ABS(H1836),"n.a.")</x:f>
        <x:v>0.565416231662229</x:v>
      </x:c>
      <x:c r="J1836" s="2" t="str">
        <x:v>available</x:v>
      </x:c>
      <x:c r="K1836" s="2" t="n">
        <x:v>1</x:v>
      </x:c>
      <x:c r="L1836" s="13" t="b">
        <x:v>0</x:v>
      </x:c>
      <x:c r="M1836" s="13" t="b">
        <x:v>1</x:v>
      </x:c>
      <x:c r="N1836" s="2" t="str">
        <x:v>projected_CRISP_BU_surface</x:v>
      </x:c>
      <x:c r="O1836" s="2" t="str"/>
      <x:c r="P1836" s="2" t="str">
        <x:v>horizontal built-up surface</x:v>
      </x:c>
      <x:c r="Q1836" s="2" t="str">
        <x:v>m2</x:v>
      </x:c>
      <x:c r="R1836" s="17" t="n">
        <x:v>92660858.50966989</x:v>
      </x:c>
      <x:c r="S1836" s="17" t="n">
        <x:v>37460168.12</x:v>
      </x:c>
      <x:c r="T1836" s="18" t="n">
        <x:v>1</x:v>
      </x:c>
      <x:c r="U1836" s="17" t="n">
        <x:v>37460168.12</x:v>
      </x:c>
      <x:c r="V1836" s="2" t="str">
        <x:v>Area equivalent = model2020 * WUP surface / TEMPO2020 footprint; km2 multiplied by1e6 once</x:v>
      </x:c>
      <x:c r="W1836" s="2" t="str">
        <x:v>L1_numeric_partition_qualified_not_national_completeness</x:v>
      </x:c>
      <x:c r="X1836" s="2" t="str">
        <x:v>https://human-settlement.emergency.copernicus.eu/datasets.php</x:v>
      </x:c>
    </x:row>
    <x:row r="1837" ht="23" customHeight="1">
      <x:c r="A1837" s="2" t="str">
        <x:v>FRA</x:v>
      </x:c>
      <x:c r="B1837" s="2" t="str">
        <x:v>France (French Republic)</x:v>
      </x:c>
      <x:c r="C1837" s="2" t="n">
        <x:v>2025</x:v>
      </x:c>
      <x:c r="D1837" s="2" t="str">
        <x:v>WUP_SURFACE</x:v>
      </x:c>
      <x:c r="E1837" s="17" t="n">
        <x:v>6596384447.678017</x:v>
      </x:c>
      <x:c r="F1837" s="17" t="n">
        <x:f>IF(AND(M1837,ISNUMBER(R1837)),IF(D1837="TEMPO_PROXY",R1837,IF(AND(ISNUMBER(S1837),S1837&gt;0,ISNUMBER(U1837)),U1837*R1837/S1837,"n.a.")),"n.a.")</x:f>
        <x:v>10735700482.440117</x:v>
      </x:c>
      <x:c r="G1837" s="17" t="n">
        <x:f>IF(AND(ISNUMBER(E1837),ISNUMBER(F1837)),E1837-F1837,"n.a.")</x:f>
        <x:v>-4139316034.7621</x:v>
      </x:c>
      <x:c r="H1837" s="15" t="n">
        <x:f>IF(AND(ISNUMBER(E1837),ISNUMBER(F1837),F1837&gt;0),(E1837-F1837)/F1837,"n.a.")</x:f>
        <x:v>-0.38556552891286283</x:v>
      </x:c>
      <x:c r="I1837" s="19" t="n">
        <x:f>IF(ISNUMBER(H1837),ABS(H1837),"n.a.")</x:f>
        <x:v>0.38556552891286283</x:v>
      </x:c>
      <x:c r="J1837" s="2" t="str">
        <x:v>available</x:v>
      </x:c>
      <x:c r="K1837" s="2" t="n">
        <x:v>1</x:v>
      </x:c>
      <x:c r="L1837" s="13" t="b">
        <x:v>0</x:v>
      </x:c>
      <x:c r="M1837" s="13" t="b">
        <x:v>1</x:v>
      </x:c>
      <x:c r="N1837" s="2" t="str">
        <x:v>projected_CRISP_BU_surface</x:v>
      </x:c>
      <x:c r="O1837" s="2" t="str"/>
      <x:c r="P1837" s="2" t="str">
        <x:v>horizontal built-up surface</x:v>
      </x:c>
      <x:c r="Q1837" s="2" t="str">
        <x:v>m2</x:v>
      </x:c>
      <x:c r="R1837" s="17" t="n">
        <x:v>10735700482.440115</x:v>
      </x:c>
      <x:c r="S1837" s="17" t="n">
        <x:v>6074526882.68</x:v>
      </x:c>
      <x:c r="T1837" s="18" t="n">
        <x:v>1.0000000000000002</x:v>
      </x:c>
      <x:c r="U1837" s="17" t="n">
        <x:v>6074526882.680001</x:v>
      </x:c>
      <x:c r="V1837" s="2" t="str">
        <x:v>Area equivalent = model2020 * WUP surface / TEMPO2020 footprint; km2 multiplied by1e6 once</x:v>
      </x:c>
      <x:c r="W1837" s="2" t="str">
        <x:v>L1_numeric_partition_qualified_not_national_completeness</x:v>
      </x:c>
      <x:c r="X1837" s="2" t="str">
        <x:v>https://human-settlement.emergency.copernicus.eu/datasets.php</x:v>
      </x:c>
    </x:row>
    <x:row r="1838" ht="23" customHeight="1">
      <x:c r="A1838" s="2" t="str">
        <x:v>FSM</x:v>
      </x:c>
      <x:c r="B1838" s="2" t="str">
        <x:v>Micronesia (Federated States of)</x:v>
      </x:c>
      <x:c r="C1838" s="2" t="n">
        <x:v>2025</x:v>
      </x:c>
      <x:c r="D1838" s="2" t="str">
        <x:v>WUP_SURFACE</x:v>
      </x:c>
      <x:c r="E1838" s="17" t="n">
        <x:v>2426457.2826028005</x:v>
      </x:c>
      <x:c r="F1838" s="17" t="n">
        <x:f>IF(AND(M1838,ISNUMBER(R1838)),IF(D1838="TEMPO_PROXY",R1838,IF(AND(ISNUMBER(S1838),S1838&gt;0,ISNUMBER(U1838)),U1838*R1838/S1838,"n.a.")),"n.a.")</x:f>
        <x:v>6108601.074731265</x:v>
      </x:c>
      <x:c r="G1838" s="17" t="n">
        <x:f>IF(AND(ISNUMBER(E1838),ISNUMBER(F1838)),E1838-F1838,"n.a.")</x:f>
        <x:v>-3682143.7921284647</x:v>
      </x:c>
      <x:c r="H1838" s="15" t="n">
        <x:f>IF(AND(ISNUMBER(E1838),ISNUMBER(F1838),F1838&gt;0),(E1838-F1838)/F1838,"n.a.")</x:f>
        <x:v>-0.602780202387083</x:v>
      </x:c>
      <x:c r="I1838" s="19" t="n">
        <x:f>IF(ISNUMBER(H1838),ABS(H1838),"n.a.")</x:f>
        <x:v>0.602780202387083</x:v>
      </x:c>
      <x:c r="J1838" s="2" t="str">
        <x:v>available</x:v>
      </x:c>
      <x:c r="K1838" s="2" t="n">
        <x:v>1</x:v>
      </x:c>
      <x:c r="L1838" s="13" t="b">
        <x:v>0</x:v>
      </x:c>
      <x:c r="M1838" s="13" t="b">
        <x:v>1</x:v>
      </x:c>
      <x:c r="N1838" s="2" t="str">
        <x:v>projected_CRISP_BU_surface</x:v>
      </x:c>
      <x:c r="O1838" s="2" t="str"/>
      <x:c r="P1838" s="2" t="str">
        <x:v>horizontal built-up surface</x:v>
      </x:c>
      <x:c r="Q1838" s="2" t="str">
        <x:v>m2</x:v>
      </x:c>
      <x:c r="R1838" s="17" t="n">
        <x:v>6108601.074731268</x:v>
      </x:c>
      <x:c r="S1838" s="17" t="n">
        <x:v>2177822.61</x:v>
      </x:c>
      <x:c r="T1838" s="18" t="n">
        <x:v>0.9999999999999996</x:v>
      </x:c>
      <x:c r="U1838" s="17" t="n">
        <x:v>2177822.609999999</x:v>
      </x:c>
      <x:c r="V1838" s="2" t="str">
        <x:v>Area equivalent = model2020 * WUP surface / TEMPO2020 footprint; km2 multiplied by1e6 once</x:v>
      </x:c>
      <x:c r="W1838" s="2" t="str">
        <x:v>L1_numeric_partition_qualified_not_national_completeness</x:v>
      </x:c>
      <x:c r="X1838" s="2" t="str">
        <x:v>https://human-settlement.emergency.copernicus.eu/datasets.php</x:v>
      </x:c>
    </x:row>
    <x:row r="1839" ht="23" customHeight="1">
      <x:c r="A1839" s="2" t="str">
        <x:v>GAB</x:v>
      </x:c>
      <x:c r="B1839" s="2" t="str">
        <x:v>Gabon (Gabonese Republic)</x:v>
      </x:c>
      <x:c r="C1839" s="2" t="n">
        <x:v>2025</x:v>
      </x:c>
      <x:c r="D1839" s="2" t="str">
        <x:v>WUP_SURFACE</x:v>
      </x:c>
      <x:c r="E1839" s="17" t="n">
        <x:v>84908592.28620526</x:v>
      </x:c>
      <x:c r="F1839" s="17" t="n">
        <x:f>IF(AND(M1839,ISNUMBER(R1839)),IF(D1839="TEMPO_PROXY",R1839,IF(AND(ISNUMBER(S1839),S1839&gt;0,ISNUMBER(U1839)),U1839*R1839/S1839,"n.a.")),"n.a.")</x:f>
        <x:v>167125787.3970203</x:v>
      </x:c>
      <x:c r="G1839" s="17" t="n">
        <x:f>IF(AND(ISNUMBER(E1839),ISNUMBER(F1839)),E1839-F1839,"n.a.")</x:f>
        <x:v>-82217195.11081505</x:v>
      </x:c>
      <x:c r="H1839" s="15" t="n">
        <x:f>IF(AND(ISNUMBER(E1839),ISNUMBER(F1839),F1839&gt;0),(E1839-F1839)/F1839,"n.a.")</x:f>
        <x:v>-0.4919479895433594</x:v>
      </x:c>
      <x:c r="I1839" s="19" t="n">
        <x:f>IF(ISNUMBER(H1839),ABS(H1839),"n.a.")</x:f>
        <x:v>0.4919479895433594</x:v>
      </x:c>
      <x:c r="J1839" s="2" t="str">
        <x:v>available</x:v>
      </x:c>
      <x:c r="K1839" s="2" t="n">
        <x:v>1</x:v>
      </x:c>
      <x:c r="L1839" s="13" t="b">
        <x:v>0</x:v>
      </x:c>
      <x:c r="M1839" s="13" t="b">
        <x:v>1</x:v>
      </x:c>
      <x:c r="N1839" s="2" t="str">
        <x:v>projected_CRISP_BU_surface</x:v>
      </x:c>
      <x:c r="O1839" s="2" t="str"/>
      <x:c r="P1839" s="2" t="str">
        <x:v>horizontal built-up surface</x:v>
      </x:c>
      <x:c r="Q1839" s="2" t="str">
        <x:v>m2</x:v>
      </x:c>
      <x:c r="R1839" s="17" t="n">
        <x:v>167125787.39702043</x:v>
      </x:c>
      <x:c r="S1839" s="17" t="n">
        <x:v>73743642.56</x:v>
      </x:c>
      <x:c r="T1839" s="18" t="n">
        <x:v>0.9999999999999994</x:v>
      </x:c>
      <x:c r="U1839" s="17" t="n">
        <x:v>73743642.55999996</x:v>
      </x:c>
      <x:c r="V1839" s="2" t="str">
        <x:v>Area equivalent = model2020 * WUP surface / TEMPO2020 footprint; km2 multiplied by1e6 once</x:v>
      </x:c>
      <x:c r="W1839" s="2" t="str">
        <x:v>L1_numeric_partition_qualified_not_national_completeness</x:v>
      </x:c>
      <x:c r="X1839" s="2" t="str">
        <x:v>https://human-settlement.emergency.copernicus.eu/datasets.php</x:v>
      </x:c>
    </x:row>
    <x:row r="1840" ht="23" customHeight="1">
      <x:c r="A1840" s="2" t="str">
        <x:v>GBR</x:v>
      </x:c>
      <x:c r="B1840" s="2" t="str">
        <x:v>United Kingdom of Great Britain and Northern Ireland</x:v>
      </x:c>
      <x:c r="C1840" s="2" t="n">
        <x:v>2025</x:v>
      </x:c>
      <x:c r="D1840" s="2" t="str">
        <x:v>WUP_SURFACE</x:v>
      </x:c>
      <x:c r="E1840" s="17" t="n">
        <x:v>3906781136.354965</x:v>
      </x:c>
      <x:c r="F1840" s="17" t="n">
        <x:f>IF(AND(M1840,ISNUMBER(R1840)),IF(D1840="TEMPO_PROXY",R1840,IF(AND(ISNUMBER(S1840),S1840&gt;0,ISNUMBER(U1840)),U1840*R1840/S1840,"n.a.")),"n.a.")</x:f>
        <x:v>6385568460.576561</x:v>
      </x:c>
      <x:c r="G1840" s="17" t="n">
        <x:f>IF(AND(ISNUMBER(E1840),ISNUMBER(F1840)),E1840-F1840,"n.a.")</x:f>
        <x:v>-2478787324.221596</x:v>
      </x:c>
      <x:c r="H1840" s="15" t="n">
        <x:f>IF(AND(ISNUMBER(E1840),ISNUMBER(F1840),F1840&gt;0),(E1840-F1840)/F1840,"n.a.")</x:f>
        <x:v>-0.38818585056682375</x:v>
      </x:c>
      <x:c r="I1840" s="19" t="n">
        <x:f>IF(ISNUMBER(H1840),ABS(H1840),"n.a.")</x:f>
        <x:v>0.38818585056682375</x:v>
      </x:c>
      <x:c r="J1840" s="2" t="str">
        <x:v>available</x:v>
      </x:c>
      <x:c r="K1840" s="2" t="n">
        <x:v>1</x:v>
      </x:c>
      <x:c r="L1840" s="13" t="b">
        <x:v>0</x:v>
      </x:c>
      <x:c r="M1840" s="13" t="b">
        <x:v>1</x:v>
      </x:c>
      <x:c r="N1840" s="2" t="str">
        <x:v>projected_CRISP_BU_surface</x:v>
      </x:c>
      <x:c r="O1840" s="2" t="str"/>
      <x:c r="P1840" s="2" t="str">
        <x:v>horizontal built-up surface</x:v>
      </x:c>
      <x:c r="Q1840" s="2" t="str">
        <x:v>m2</x:v>
      </x:c>
      <x:c r="R1840" s="17" t="n">
        <x:v>6352815010.805704</x:v>
      </x:c>
      <x:c r="S1840" s="17" t="n">
        <x:v>3400930204.99</x:v>
      </x:c>
      <x:c r="T1840" s="18" t="n">
        <x:v>1.0051557380019953</x:v>
      </x:c>
      <x:c r="U1840" s="17" t="n">
        <x:v>3418464510.0900006</x:v>
      </x:c>
      <x:c r="V1840" s="2" t="str">
        <x:v>Area equivalent = model2020 * WUP surface / TEMPO2020 footprint; km2 multiplied by1e6 once</x:v>
      </x:c>
      <x:c r="W1840" s="2" t="str">
        <x:v>L1_numeric_partition_qualified_not_national_completeness</x:v>
      </x:c>
      <x:c r="X1840" s="2" t="str">
        <x:v>https://human-settlement.emergency.copernicus.eu/datasets.php</x:v>
      </x:c>
    </x:row>
    <x:row r="1841" ht="23" customHeight="1">
      <x:c r="A1841" s="2" t="str">
        <x:v>GEO</x:v>
      </x:c>
      <x:c r="B1841" s="2" t="str">
        <x:v>Georgia</x:v>
      </x:c>
      <x:c r="C1841" s="2" t="n">
        <x:v>2025</x:v>
      </x:c>
      <x:c r="D1841" s="2" t="str">
        <x:v>WUP_SURFACE</x:v>
      </x:c>
      <x:c r="E1841" s="17" t="n">
        <x:v>251691249.25501585</x:v>
      </x:c>
      <x:c r="F1841" s="17" t="n">
        <x:f>IF(AND(M1841,ISNUMBER(R1841)),IF(D1841="TEMPO_PROXY",R1841,IF(AND(ISNUMBER(S1841),S1841&gt;0,ISNUMBER(U1841)),U1841*R1841/S1841,"n.a.")),"n.a.")</x:f>
        <x:v>513742055.40601546</x:v>
      </x:c>
      <x:c r="G1841" s="17" t="n">
        <x:f>IF(AND(ISNUMBER(E1841),ISNUMBER(F1841)),E1841-F1841,"n.a.")</x:f>
        <x:v>-262050806.1509996</x:v>
      </x:c>
      <x:c r="H1841" s="15" t="n">
        <x:f>IF(AND(ISNUMBER(E1841),ISNUMBER(F1841),F1841&gt;0),(E1841-F1841)/F1841,"n.a.")</x:f>
        <x:v>-0.5100824497303384</x:v>
      </x:c>
      <x:c r="I1841" s="19" t="n">
        <x:f>IF(ISNUMBER(H1841),ABS(H1841),"n.a.")</x:f>
        <x:v>0.5100824497303384</x:v>
      </x:c>
      <x:c r="J1841" s="2" t="str">
        <x:v>available</x:v>
      </x:c>
      <x:c r="K1841" s="2" t="n">
        <x:v>1</x:v>
      </x:c>
      <x:c r="L1841" s="13" t="b">
        <x:v>0</x:v>
      </x:c>
      <x:c r="M1841" s="13" t="b">
        <x:v>1</x:v>
      </x:c>
      <x:c r="N1841" s="2" t="str">
        <x:v>projected_CRISP_BU_surface</x:v>
      </x:c>
      <x:c r="O1841" s="2" t="str"/>
      <x:c r="P1841" s="2" t="str">
        <x:v>horizontal built-up surface</x:v>
      </x:c>
      <x:c r="Q1841" s="2" t="str">
        <x:v>m2</x:v>
      </x:c>
      <x:c r="R1841" s="17" t="n">
        <x:v>513742055.4060151</x:v>
      </x:c>
      <x:c r="S1841" s="17" t="n">
        <x:v>242256071.04</x:v>
      </x:c>
      <x:c r="T1841" s="18" t="n">
        <x:v>1.0000000000000007</x:v>
      </x:c>
      <x:c r="U1841" s="17" t="n">
        <x:v>242256071.04000017</x:v>
      </x:c>
      <x:c r="V1841" s="2" t="str">
        <x:v>Area equivalent = model2020 * WUP surface / TEMPO2020 footprint; km2 multiplied by1e6 once</x:v>
      </x:c>
      <x:c r="W1841" s="2" t="str">
        <x:v>L1_numeric_partition_qualified_not_national_completeness</x:v>
      </x:c>
      <x:c r="X1841" s="2" t="str">
        <x:v>https://human-settlement.emergency.copernicus.eu/datasets.php</x:v>
      </x:c>
    </x:row>
    <x:row r="1842" ht="23" customHeight="1">
      <x:c r="A1842" s="2" t="str">
        <x:v>GHA</x:v>
      </x:c>
      <x:c r="B1842" s="2" t="str">
        <x:v>Ghana (Republic of)</x:v>
      </x:c>
      <x:c r="C1842" s="2" t="n">
        <x:v>2025</x:v>
      </x:c>
      <x:c r="D1842" s="2" t="str">
        <x:v>WUP_SURFACE</x:v>
      </x:c>
      <x:c r="E1842" s="17" t="n">
        <x:v>1085143259.8974173</x:v>
      </x:c>
      <x:c r="F1842" s="17" t="n">
        <x:f>IF(AND(M1842,ISNUMBER(R1842)),IF(D1842="TEMPO_PROXY",R1842,IF(AND(ISNUMBER(S1842),S1842&gt;0,ISNUMBER(U1842)),U1842*R1842/S1842,"n.a.")),"n.a.")</x:f>
        <x:v>2177869886.1828623</x:v>
      </x:c>
      <x:c r="G1842" s="17" t="n">
        <x:f>IF(AND(ISNUMBER(E1842),ISNUMBER(F1842)),E1842-F1842,"n.a.")</x:f>
        <x:v>-1092726626.285445</x:v>
      </x:c>
      <x:c r="H1842" s="15" t="n">
        <x:f>IF(AND(ISNUMBER(E1842),ISNUMBER(F1842),F1842&gt;0),(E1842-F1842)/F1842,"n.a.")</x:f>
        <x:v>-0.5017410053824012</x:v>
      </x:c>
      <x:c r="I1842" s="19" t="n">
        <x:f>IF(ISNUMBER(H1842),ABS(H1842),"n.a.")</x:f>
        <x:v>0.5017410053824012</x:v>
      </x:c>
      <x:c r="J1842" s="2" t="str">
        <x:v>available</x:v>
      </x:c>
      <x:c r="K1842" s="2" t="n">
        <x:v>1</x:v>
      </x:c>
      <x:c r="L1842" s="13" t="b">
        <x:v>0</x:v>
      </x:c>
      <x:c r="M1842" s="13" t="b">
        <x:v>1</x:v>
      </x:c>
      <x:c r="N1842" s="2" t="str">
        <x:v>projected_CRISP_BU_surface</x:v>
      </x:c>
      <x:c r="O1842" s="2" t="str"/>
      <x:c r="P1842" s="2" t="str">
        <x:v>horizontal built-up surface</x:v>
      </x:c>
      <x:c r="Q1842" s="2" t="str">
        <x:v>m2</x:v>
      </x:c>
      <x:c r="R1842" s="17" t="n">
        <x:v>2177869886.1828623</x:v>
      </x:c>
      <x:c r="S1842" s="17" t="n">
        <x:v>958424622.62</x:v>
      </x:c>
      <x:c r="T1842" s="18" t="n">
        <x:v>1</x:v>
      </x:c>
      <x:c r="U1842" s="17" t="n">
        <x:v>958424622.62</x:v>
      </x:c>
      <x:c r="V1842" s="2" t="str">
        <x:v>Area equivalent = model2020 * WUP surface / TEMPO2020 footprint; km2 multiplied by1e6 once</x:v>
      </x:c>
      <x:c r="W1842" s="2" t="str">
        <x:v>L1_numeric_partition_qualified_not_national_completeness</x:v>
      </x:c>
      <x:c r="X1842" s="2" t="str">
        <x:v>https://human-settlement.emergency.copernicus.eu/datasets.php</x:v>
      </x:c>
    </x:row>
    <x:row r="1843" ht="23" customHeight="1">
      <x:c r="A1843" s="2" t="str">
        <x:v>GIN</x:v>
      </x:c>
      <x:c r="B1843" s="2" t="str">
        <x:v>Guinea (Republic of)</x:v>
      </x:c>
      <x:c r="C1843" s="2" t="n">
        <x:v>2025</x:v>
      </x:c>
      <x:c r="D1843" s="2" t="str">
        <x:v>WUP_SURFACE</x:v>
      </x:c>
      <x:c r="E1843" s="17" t="n">
        <x:v>325301950.3680898</x:v>
      </x:c>
      <x:c r="F1843" s="17" t="n">
        <x:f>IF(AND(M1843,ISNUMBER(R1843)),IF(D1843="TEMPO_PROXY",R1843,IF(AND(ISNUMBER(S1843),S1843&gt;0,ISNUMBER(U1843)),U1843*R1843/S1843,"n.a.")),"n.a.")</x:f>
        <x:v>757710272.7206624</x:v>
      </x:c>
      <x:c r="G1843" s="17" t="n">
        <x:f>IF(AND(ISNUMBER(E1843),ISNUMBER(F1843)),E1843-F1843,"n.a.")</x:f>
        <x:v>-432408322.35257256</x:v>
      </x:c>
      <x:c r="H1843" s="15" t="n">
        <x:f>IF(AND(ISNUMBER(E1843),ISNUMBER(F1843),F1843&gt;0),(E1843-F1843)/F1843,"n.a.")</x:f>
        <x:v>-0.5706776559857785</x:v>
      </x:c>
      <x:c r="I1843" s="19" t="n">
        <x:f>IF(ISNUMBER(H1843),ABS(H1843),"n.a.")</x:f>
        <x:v>0.5706776559857785</x:v>
      </x:c>
      <x:c r="J1843" s="2" t="str">
        <x:v>available</x:v>
      </x:c>
      <x:c r="K1843" s="2" t="n">
        <x:v>1</x:v>
      </x:c>
      <x:c r="L1843" s="13" t="b">
        <x:v>0</x:v>
      </x:c>
      <x:c r="M1843" s="13" t="b">
        <x:v>1</x:v>
      </x:c>
      <x:c r="N1843" s="2" t="str">
        <x:v>projected_CRISP_BU_surface</x:v>
      </x:c>
      <x:c r="O1843" s="2" t="str"/>
      <x:c r="P1843" s="2" t="str">
        <x:v>horizontal built-up surface</x:v>
      </x:c>
      <x:c r="Q1843" s="2" t="str">
        <x:v>m2</x:v>
      </x:c>
      <x:c r="R1843" s="17" t="n">
        <x:v>757710272.7206637</x:v>
      </x:c>
      <x:c r="S1843" s="17" t="n">
        <x:v>277637578.23</x:v>
      </x:c>
      <x:c r="T1843" s="18" t="n">
        <x:v>0.9999999999999983</x:v>
      </x:c>
      <x:c r="U1843" s="17" t="n">
        <x:v>277637578.22999954</x:v>
      </x:c>
      <x:c r="V1843" s="2" t="str">
        <x:v>Area equivalent = model2020 * WUP surface / TEMPO2020 footprint; km2 multiplied by1e6 once</x:v>
      </x:c>
      <x:c r="W1843" s="2" t="str">
        <x:v>L1_numeric_partition_qualified_not_national_completeness</x:v>
      </x:c>
      <x:c r="X1843" s="2" t="str">
        <x:v>https://human-settlement.emergency.copernicus.eu/datasets.php</x:v>
      </x:c>
    </x:row>
    <x:row r="1844" ht="23" customHeight="1">
      <x:c r="A1844" s="2" t="str">
        <x:v>GMB</x:v>
      </x:c>
      <x:c r="B1844" s="2" t="str">
        <x:v>Gambia (Republic of the)</x:v>
      </x:c>
      <x:c r="C1844" s="2" t="n">
        <x:v>2025</x:v>
      </x:c>
      <x:c r="D1844" s="2" t="str">
        <x:v>WUP_SURFACE</x:v>
      </x:c>
      <x:c r="E1844" s="17" t="n">
        <x:v>66249173.2618615</x:v>
      </x:c>
      <x:c r="F1844" s="17" t="n">
        <x:f>IF(AND(M1844,ISNUMBER(R1844)),IF(D1844="TEMPO_PROXY",R1844,IF(AND(ISNUMBER(S1844),S1844&gt;0,ISNUMBER(U1844)),U1844*R1844/S1844,"n.a.")),"n.a.")</x:f>
        <x:v>133047808.66052583</x:v>
      </x:c>
      <x:c r="G1844" s="17" t="n">
        <x:f>IF(AND(ISNUMBER(E1844),ISNUMBER(F1844)),E1844-F1844,"n.a.")</x:f>
        <x:v>-66798635.398664325</x:v>
      </x:c>
      <x:c r="H1844" s="15" t="n">
        <x:f>IF(AND(ISNUMBER(E1844),ISNUMBER(F1844),F1844&gt;0),(E1844-F1844)/F1844,"n.a.")</x:f>
        <x:v>-0.5020649048726717</x:v>
      </x:c>
      <x:c r="I1844" s="19" t="n">
        <x:f>IF(ISNUMBER(H1844),ABS(H1844),"n.a.")</x:f>
        <x:v>0.5020649048726717</x:v>
      </x:c>
      <x:c r="J1844" s="2" t="str">
        <x:v>available</x:v>
      </x:c>
      <x:c r="K1844" s="2" t="n">
        <x:v>1</x:v>
      </x:c>
      <x:c r="L1844" s="13" t="b">
        <x:v>0</x:v>
      </x:c>
      <x:c r="M1844" s="13" t="b">
        <x:v>1</x:v>
      </x:c>
      <x:c r="N1844" s="2" t="str">
        <x:v>projected_CRISP_BU_surface</x:v>
      </x:c>
      <x:c r="O1844" s="2" t="str"/>
      <x:c r="P1844" s="2" t="str">
        <x:v>horizontal built-up surface</x:v>
      </x:c>
      <x:c r="Q1844" s="2" t="str">
        <x:v>m2</x:v>
      </x:c>
      <x:c r="R1844" s="17" t="n">
        <x:v>133047808.66052602</x:v>
      </x:c>
      <x:c r="S1844" s="17" t="n">
        <x:v>56875154.53</x:v>
      </x:c>
      <x:c r="T1844" s="18" t="n">
        <x:v>0.9999999999999986</x:v>
      </x:c>
      <x:c r="U1844" s="17" t="n">
        <x:v>56875154.52999992</x:v>
      </x:c>
      <x:c r="V1844" s="2" t="str">
        <x:v>Area equivalent = model2020 * WUP surface / TEMPO2020 footprint; km2 multiplied by1e6 once</x:v>
      </x:c>
      <x:c r="W1844" s="2" t="str">
        <x:v>L1_numeric_partition_qualified_not_national_completeness</x:v>
      </x:c>
      <x:c r="X1844" s="2" t="str">
        <x:v>https://human-settlement.emergency.copernicus.eu/datasets.php</x:v>
      </x:c>
    </x:row>
    <x:row r="1845" ht="23" customHeight="1">
      <x:c r="A1845" s="2" t="str">
        <x:v>GNB</x:v>
      </x:c>
      <x:c r="B1845" s="2" t="str">
        <x:v>Guinea-Bissau (Republic of)</x:v>
      </x:c>
      <x:c r="C1845" s="2" t="n">
        <x:v>2025</x:v>
      </x:c>
      <x:c r="D1845" s="2" t="str">
        <x:v>WUP_SURFACE</x:v>
      </x:c>
      <x:c r="E1845" s="17" t="n">
        <x:v>57239119.37797982</x:v>
      </x:c>
      <x:c r="F1845" s="17" t="n">
        <x:f>IF(AND(M1845,ISNUMBER(R1845)),IF(D1845="TEMPO_PROXY",R1845,IF(AND(ISNUMBER(S1845),S1845&gt;0,ISNUMBER(U1845)),U1845*R1845/S1845,"n.a.")),"n.a.")</x:f>
        <x:v>112822735.76040788</x:v>
      </x:c>
      <x:c r="G1845" s="17" t="n">
        <x:f>IF(AND(ISNUMBER(E1845),ISNUMBER(F1845)),E1845-F1845,"n.a.")</x:f>
        <x:v>-55583616.38242806</x:v>
      </x:c>
      <x:c r="H1845" s="15" t="n">
        <x:f>IF(AND(ISNUMBER(E1845),ISNUMBER(F1845),F1845&gt;0),(E1845-F1845)/F1845,"n.a.")</x:f>
        <x:v>-0.4926632562825483</x:v>
      </x:c>
      <x:c r="I1845" s="19" t="n">
        <x:f>IF(ISNUMBER(H1845),ABS(H1845),"n.a.")</x:f>
        <x:v>0.4926632562825483</x:v>
      </x:c>
      <x:c r="J1845" s="2" t="str">
        <x:v>available</x:v>
      </x:c>
      <x:c r="K1845" s="2" t="n">
        <x:v>1</x:v>
      </x:c>
      <x:c r="L1845" s="13" t="b">
        <x:v>0</x:v>
      </x:c>
      <x:c r="M1845" s="13" t="b">
        <x:v>1</x:v>
      </x:c>
      <x:c r="N1845" s="2" t="str">
        <x:v>projected_CRISP_BU_surface</x:v>
      </x:c>
      <x:c r="O1845" s="2" t="str"/>
      <x:c r="P1845" s="2" t="str">
        <x:v>horizontal built-up surface</x:v>
      </x:c>
      <x:c r="Q1845" s="2" t="str">
        <x:v>m2</x:v>
      </x:c>
      <x:c r="R1845" s="17" t="n">
        <x:v>112822735.76040804</x:v>
      </x:c>
      <x:c r="S1845" s="17" t="n">
        <x:v>48952674.5</x:v>
      </x:c>
      <x:c r="T1845" s="18" t="n">
        <x:v>0.9999999999999984</x:v>
      </x:c>
      <x:c r="U1845" s="17" t="n">
        <x:v>48952674.499999925</x:v>
      </x:c>
      <x:c r="V1845" s="2" t="str">
        <x:v>Area equivalent = model2020 * WUP surface / TEMPO2020 footprint; km2 multiplied by1e6 once</x:v>
      </x:c>
      <x:c r="W1845" s="2" t="str">
        <x:v>L1_numeric_partition_qualified_not_national_completeness</x:v>
      </x:c>
      <x:c r="X1845" s="2" t="str">
        <x:v>https://human-settlement.emergency.copernicus.eu/datasets.php</x:v>
      </x:c>
    </x:row>
    <x:row r="1846" ht="23" customHeight="1">
      <x:c r="A1846" s="2" t="str">
        <x:v>GNQ</x:v>
      </x:c>
      <x:c r="B1846" s="2" t="str">
        <x:v>Equatorial Guinea (Republic of)</x:v>
      </x:c>
      <x:c r="C1846" s="2" t="n">
        <x:v>2025</x:v>
      </x:c>
      <x:c r="D1846" s="2" t="str">
        <x:v>WUP_SURFACE</x:v>
      </x:c>
      <x:c r="E1846" s="17" t="n">
        <x:v>41609585.12932543</x:v>
      </x:c>
      <x:c r="F1846" s="17" t="n">
        <x:f>IF(AND(M1846,ISNUMBER(R1846)),IF(D1846="TEMPO_PROXY",R1846,IF(AND(ISNUMBER(S1846),S1846&gt;0,ISNUMBER(U1846)),U1846*R1846/S1846,"n.a.")),"n.a.")</x:f>
        <x:v>70168748.74715132</x:v>
      </x:c>
      <x:c r="G1846" s="17" t="n">
        <x:f>IF(AND(ISNUMBER(E1846),ISNUMBER(F1846)),E1846-F1846,"n.a.")</x:f>
        <x:v>-28559163.617825888</x:v>
      </x:c>
      <x:c r="H1846" s="15" t="n">
        <x:f>IF(AND(ISNUMBER(E1846),ISNUMBER(F1846),F1846&gt;0),(E1846-F1846)/F1846,"n.a.")</x:f>
        <x:v>-0.4070068816637595</x:v>
      </x:c>
      <x:c r="I1846" s="19" t="n">
        <x:f>IF(ISNUMBER(H1846),ABS(H1846),"n.a.")</x:f>
        <x:v>0.4070068816637595</x:v>
      </x:c>
      <x:c r="J1846" s="2" t="str">
        <x:v>available</x:v>
      </x:c>
      <x:c r="K1846" s="2" t="n">
        <x:v>1</x:v>
      </x:c>
      <x:c r="L1846" s="13" t="b">
        <x:v>0</x:v>
      </x:c>
      <x:c r="M1846" s="13" t="b">
        <x:v>1</x:v>
      </x:c>
      <x:c r="N1846" s="2" t="str">
        <x:v>projected_CRISP_BU_surface</x:v>
      </x:c>
      <x:c r="O1846" s="2" t="str"/>
      <x:c r="P1846" s="2" t="str">
        <x:v>horizontal built-up surface</x:v>
      </x:c>
      <x:c r="Q1846" s="2" t="str">
        <x:v>m2</x:v>
      </x:c>
      <x:c r="R1846" s="17" t="n">
        <x:v>70168748.74715142</x:v>
      </x:c>
      <x:c r="S1846" s="17" t="n">
        <x:v>34102626.52</x:v>
      </x:c>
      <x:c r="T1846" s="18" t="n">
        <x:v>0.9999999999999984</x:v>
      </x:c>
      <x:c r="U1846" s="17" t="n">
        <x:v>34102626.51999995</x:v>
      </x:c>
      <x:c r="V1846" s="2" t="str">
        <x:v>Area equivalent = model2020 * WUP surface / TEMPO2020 footprint; km2 multiplied by1e6 once</x:v>
      </x:c>
      <x:c r="W1846" s="2" t="str">
        <x:v>L1_numeric_partition_qualified_not_national_completeness</x:v>
      </x:c>
      <x:c r="X1846" s="2" t="str">
        <x:v>https://human-settlement.emergency.copernicus.eu/datasets.php</x:v>
      </x:c>
    </x:row>
    <x:row r="1847" ht="23" customHeight="1">
      <x:c r="A1847" s="2" t="str">
        <x:v>GRC</x:v>
      </x:c>
      <x:c r="B1847" s="2" t="str">
        <x:v>Greece (Hellenic Republic)</x:v>
      </x:c>
      <x:c r="C1847" s="2" t="n">
        <x:v>2025</x:v>
      </x:c>
      <x:c r="D1847" s="2" t="str">
        <x:v>WUP_SURFACE</x:v>
      </x:c>
      <x:c r="E1847" s="17" t="n">
        <x:v>895438774.6977319</x:v>
      </x:c>
      <x:c r="F1847" s="17" t="n">
        <x:f>IF(AND(M1847,ISNUMBER(R1847)),IF(D1847="TEMPO_PROXY",R1847,IF(AND(ISNUMBER(S1847),S1847&gt;0,ISNUMBER(U1847)),U1847*R1847/S1847,"n.a.")),"n.a.")</x:f>
        <x:v>1239980713.3065517</x:v>
      </x:c>
      <x:c r="G1847" s="17" t="n">
        <x:f>IF(AND(ISNUMBER(E1847),ISNUMBER(F1847)),E1847-F1847,"n.a.")</x:f>
        <x:v>-344541938.60881984</x:v>
      </x:c>
      <x:c r="H1847" s="15" t="n">
        <x:f>IF(AND(ISNUMBER(E1847),ISNUMBER(F1847),F1847&gt;0),(E1847-F1847)/F1847,"n.a.")</x:f>
        <x:v>-0.2778607238898571</x:v>
      </x:c>
      <x:c r="I1847" s="19" t="n">
        <x:f>IF(ISNUMBER(H1847),ABS(H1847),"n.a.")</x:f>
        <x:v>0.2778607238898571</x:v>
      </x:c>
      <x:c r="J1847" s="2" t="str">
        <x:v>available</x:v>
      </x:c>
      <x:c r="K1847" s="2" t="n">
        <x:v>1</x:v>
      </x:c>
      <x:c r="L1847" s="13" t="b">
        <x:v>0</x:v>
      </x:c>
      <x:c r="M1847" s="13" t="b">
        <x:v>1</x:v>
      </x:c>
      <x:c r="N1847" s="2" t="str">
        <x:v>projected_CRISP_BU_surface</x:v>
      </x:c>
      <x:c r="O1847" s="2" t="str"/>
      <x:c r="P1847" s="2" t="str">
        <x:v>horizontal built-up surface</x:v>
      </x:c>
      <x:c r="Q1847" s="2" t="str">
        <x:v>m2</x:v>
      </x:c>
      <x:c r="R1847" s="17" t="n">
        <x:v>1239980713.3065505</x:v>
      </x:c>
      <x:c r="S1847" s="17" t="n">
        <x:v>853851739.67</x:v>
      </x:c>
      <x:c r="T1847" s="18" t="n">
        <x:v>1.0000000000000009</x:v>
      </x:c>
      <x:c r="U1847" s="17" t="n">
        <x:v>853851739.6700008</x:v>
      </x:c>
      <x:c r="V1847" s="2" t="str">
        <x:v>Area equivalent = model2020 * WUP surface / TEMPO2020 footprint; km2 multiplied by1e6 once</x:v>
      </x:c>
      <x:c r="W1847" s="2" t="str">
        <x:v>L1_numeric_partition_qualified_not_national_completeness</x:v>
      </x:c>
      <x:c r="X1847" s="2" t="str">
        <x:v>https://human-settlement.emergency.copernicus.eu/datasets.php</x:v>
      </x:c>
    </x:row>
    <x:row r="1848" ht="23" customHeight="1">
      <x:c r="A1848" s="2" t="str">
        <x:v>GRD</x:v>
      </x:c>
      <x:c r="B1848" s="2" t="str">
        <x:v>Grenada</x:v>
      </x:c>
      <x:c r="C1848" s="2" t="n">
        <x:v>2025</x:v>
      </x:c>
      <x:c r="D1848" s="2" t="str">
        <x:v>WUP_SURFACE</x:v>
      </x:c>
      <x:c r="E1848" s="17" t="n">
        <x:v>7360989.536835111</x:v>
      </x:c>
      <x:c r="F1848" s="17" t="n">
        <x:f>IF(AND(M1848,ISNUMBER(R1848)),IF(D1848="TEMPO_PROXY",R1848,IF(AND(ISNUMBER(S1848),S1848&gt;0,ISNUMBER(U1848)),U1848*R1848/S1848,"n.a.")),"n.a.")</x:f>
        <x:v>10529490.487773716</x:v>
      </x:c>
      <x:c r="G1848" s="17" t="n">
        <x:f>IF(AND(ISNUMBER(E1848),ISNUMBER(F1848)),E1848-F1848,"n.a.")</x:f>
        <x:v>-3168500.9509386057</x:v>
      </x:c>
      <x:c r="H1848" s="15" t="n">
        <x:f>IF(AND(ISNUMBER(E1848),ISNUMBER(F1848),F1848&gt;0),(E1848-F1848)/F1848,"n.a.")</x:f>
        <x:v>-0.30091683492356064</x:v>
      </x:c>
      <x:c r="I1848" s="19" t="n">
        <x:f>IF(ISNUMBER(H1848),ABS(H1848),"n.a.")</x:f>
        <x:v>0.30091683492356064</x:v>
      </x:c>
      <x:c r="J1848" s="2" t="str">
        <x:v>available</x:v>
      </x:c>
      <x:c r="K1848" s="2" t="n">
        <x:v>1</x:v>
      </x:c>
      <x:c r="L1848" s="13" t="b">
        <x:v>0</x:v>
      </x:c>
      <x:c r="M1848" s="13" t="b">
        <x:v>1</x:v>
      </x:c>
      <x:c r="N1848" s="2" t="str">
        <x:v>projected_CRISP_BU_surface</x:v>
      </x:c>
      <x:c r="O1848" s="2" t="str"/>
      <x:c r="P1848" s="2" t="str">
        <x:v>horizontal built-up surface</x:v>
      </x:c>
      <x:c r="Q1848" s="2" t="str">
        <x:v>m2</x:v>
      </x:c>
      <x:c r="R1848" s="17" t="n">
        <x:v>10529490.487773728</x:v>
      </x:c>
      <x:c r="S1848" s="17" t="n">
        <x:v>6904998.42</x:v>
      </x:c>
      <x:c r="T1848" s="18" t="n">
        <x:v>0.999999999999999</x:v>
      </x:c>
      <x:c r="U1848" s="17" t="n">
        <x:v>6904998.419999993</x:v>
      </x:c>
      <x:c r="V1848" s="2" t="str">
        <x:v>Area equivalent = model2020 * WUP surface / TEMPO2020 footprint; km2 multiplied by1e6 once</x:v>
      </x:c>
      <x:c r="W1848" s="2" t="str">
        <x:v>L1_numeric_partition_qualified_not_national_completeness</x:v>
      </x:c>
      <x:c r="X1848" s="2" t="str">
        <x:v>https://human-settlement.emergency.copernicus.eu/datasets.php</x:v>
      </x:c>
    </x:row>
    <x:row r="1849" ht="23" customHeight="1">
      <x:c r="A1849" s="2" t="str">
        <x:v>GTM</x:v>
      </x:c>
      <x:c r="B1849" s="2" t="str">
        <x:v>Guatemala (Republic of)</x:v>
      </x:c>
      <x:c r="C1849" s="2" t="n">
        <x:v>2025</x:v>
      </x:c>
      <x:c r="D1849" s="2" t="str">
        <x:v>WUP_SURFACE</x:v>
      </x:c>
      <x:c r="E1849" s="17" t="n">
        <x:v>679786975.8314592</x:v>
      </x:c>
      <x:c r="F1849" s="17" t="n">
        <x:f>IF(AND(M1849,ISNUMBER(R1849)),IF(D1849="TEMPO_PROXY",R1849,IF(AND(ISNUMBER(S1849),S1849&gt;0,ISNUMBER(U1849)),U1849*R1849/S1849,"n.a.")),"n.a.")</x:f>
        <x:v>1055382703.2460612</x:v>
      </x:c>
      <x:c r="G1849" s="17" t="n">
        <x:f>IF(AND(ISNUMBER(E1849),ISNUMBER(F1849)),E1849-F1849,"n.a.")</x:f>
        <x:v>-375595727.41460204</x:v>
      </x:c>
      <x:c r="H1849" s="15" t="n">
        <x:f>IF(AND(ISNUMBER(E1849),ISNUMBER(F1849),F1849&gt;0),(E1849-F1849)/F1849,"n.a.")</x:f>
        <x:v>-0.35588580925135016</x:v>
      </x:c>
      <x:c r="I1849" s="19" t="n">
        <x:f>IF(ISNUMBER(H1849),ABS(H1849),"n.a.")</x:f>
        <x:v>0.35588580925135016</x:v>
      </x:c>
      <x:c r="J1849" s="2" t="str">
        <x:v>available</x:v>
      </x:c>
      <x:c r="K1849" s="2" t="n">
        <x:v>1</x:v>
      </x:c>
      <x:c r="L1849" s="13" t="b">
        <x:v>0</x:v>
      </x:c>
      <x:c r="M1849" s="13" t="b">
        <x:v>1</x:v>
      </x:c>
      <x:c r="N1849" s="2" t="str">
        <x:v>projected_CRISP_BU_surface</x:v>
      </x:c>
      <x:c r="O1849" s="2" t="str"/>
      <x:c r="P1849" s="2" t="str">
        <x:v>horizontal built-up surface</x:v>
      </x:c>
      <x:c r="Q1849" s="2" t="str">
        <x:v>m2</x:v>
      </x:c>
      <x:c r="R1849" s="17" t="n">
        <x:v>1055382703.2460631</x:v>
      </x:c>
      <x:c r="S1849" s="17" t="n">
        <x:v>599114028.81</x:v>
      </x:c>
      <x:c r="T1849" s="18" t="n">
        <x:v>0.9999999999999982</x:v>
      </x:c>
      <x:c r="U1849" s="17" t="n">
        <x:v>599114028.8099989</x:v>
      </x:c>
      <x:c r="V1849" s="2" t="str">
        <x:v>Area equivalent = model2020 * WUP surface / TEMPO2020 footprint; km2 multiplied by1e6 once</x:v>
      </x:c>
      <x:c r="W1849" s="2" t="str">
        <x:v>L1_numeric_partition_qualified_not_national_completeness</x:v>
      </x:c>
      <x:c r="X1849" s="2" t="str">
        <x:v>https://human-settlement.emergency.copernicus.eu/datasets.php</x:v>
      </x:c>
    </x:row>
    <x:row r="1850" ht="23" customHeight="1">
      <x:c r="A1850" s="2" t="str">
        <x:v>GUY</x:v>
      </x:c>
      <x:c r="B1850" s="2" t="str">
        <x:v>Guyana (Co-operative Republic of)</x:v>
      </x:c>
      <x:c r="C1850" s="2" t="n">
        <x:v>2025</x:v>
      </x:c>
      <x:c r="D1850" s="2" t="str">
        <x:v>WUP_SURFACE</x:v>
      </x:c>
      <x:c r="E1850" s="17" t="n">
        <x:v>51976255.82986627</x:v>
      </x:c>
      <x:c r="F1850" s="17" t="n">
        <x:f>IF(AND(M1850,ISNUMBER(R1850)),IF(D1850="TEMPO_PROXY",R1850,IF(AND(ISNUMBER(S1850),S1850&gt;0,ISNUMBER(U1850)),U1850*R1850/S1850,"n.a.")),"n.a.")</x:f>
        <x:v>65502118.64310556</x:v>
      </x:c>
      <x:c r="G1850" s="17" t="n">
        <x:f>IF(AND(ISNUMBER(E1850),ISNUMBER(F1850)),E1850-F1850,"n.a.")</x:f>
        <x:v>-13525862.813239291</x:v>
      </x:c>
      <x:c r="H1850" s="15" t="n">
        <x:f>IF(AND(ISNUMBER(E1850),ISNUMBER(F1850),F1850&gt;0),(E1850-F1850)/F1850,"n.a.")</x:f>
        <x:v>-0.20649504311358574</x:v>
      </x:c>
      <x:c r="I1850" s="19" t="n">
        <x:f>IF(ISNUMBER(H1850),ABS(H1850),"n.a.")</x:f>
        <x:v>0.20649504311358574</x:v>
      </x:c>
      <x:c r="J1850" s="2" t="str">
        <x:v>available</x:v>
      </x:c>
      <x:c r="K1850" s="2" t="n">
        <x:v>1</x:v>
      </x:c>
      <x:c r="L1850" s="13" t="b">
        <x:v>0</x:v>
      </x:c>
      <x:c r="M1850" s="13" t="b">
        <x:v>1</x:v>
      </x:c>
      <x:c r="N1850" s="2" t="str">
        <x:v>projected_CRISP_BU_surface</x:v>
      </x:c>
      <x:c r="O1850" s="2" t="str"/>
      <x:c r="P1850" s="2" t="str">
        <x:v>horizontal built-up surface</x:v>
      </x:c>
      <x:c r="Q1850" s="2" t="str">
        <x:v>m2</x:v>
      </x:c>
      <x:c r="R1850" s="17" t="n">
        <x:v>65502118.64310552</x:v>
      </x:c>
      <x:c r="S1850" s="17" t="n">
        <x:v>46462035.66</x:v>
      </x:c>
      <x:c r="T1850" s="18" t="n">
        <x:v>1.0000000000000004</x:v>
      </x:c>
      <x:c r="U1850" s="17" t="n">
        <x:v>46462035.66000002</x:v>
      </x:c>
      <x:c r="V1850" s="2" t="str">
        <x:v>Area equivalent = model2020 * WUP surface / TEMPO2020 footprint; km2 multiplied by1e6 once</x:v>
      </x:c>
      <x:c r="W1850" s="2" t="str">
        <x:v>L1_numeric_partition_qualified_not_national_completeness</x:v>
      </x:c>
      <x:c r="X1850" s="2" t="str">
        <x:v>https://human-settlement.emergency.copernicus.eu/datasets.php</x:v>
      </x:c>
    </x:row>
    <x:row r="1851" ht="23" customHeight="1">
      <x:c r="A1851" s="2" t="str">
        <x:v>HND</x:v>
      </x:c>
      <x:c r="B1851" s="2" t="str">
        <x:v>Honduras (Republic of)</x:v>
      </x:c>
      <x:c r="C1851" s="2" t="n">
        <x:v>2025</x:v>
      </x:c>
      <x:c r="D1851" s="2" t="str">
        <x:v>WUP_SURFACE</x:v>
      </x:c>
      <x:c r="E1851" s="17" t="n">
        <x:v>383368880.42593217</x:v>
      </x:c>
      <x:c r="F1851" s="17" t="n">
        <x:f>IF(AND(M1851,ISNUMBER(R1851)),IF(D1851="TEMPO_PROXY",R1851,IF(AND(ISNUMBER(S1851),S1851&gt;0,ISNUMBER(U1851)),U1851*R1851/S1851,"n.a.")),"n.a.")</x:f>
        <x:v>643456284.0620793</x:v>
      </x:c>
      <x:c r="G1851" s="17" t="n">
        <x:f>IF(AND(ISNUMBER(E1851),ISNUMBER(F1851)),E1851-F1851,"n.a.")</x:f>
        <x:v>-260087403.63614714</x:v>
      </x:c>
      <x:c r="H1851" s="15" t="n">
        <x:f>IF(AND(ISNUMBER(E1851),ISNUMBER(F1851),F1851&gt;0),(E1851-F1851)/F1851,"n.a.")</x:f>
        <x:v>-0.40420368885705754</x:v>
      </x:c>
      <x:c r="I1851" s="19" t="n">
        <x:f>IF(ISNUMBER(H1851),ABS(H1851),"n.a.")</x:f>
        <x:v>0.40420368885705754</x:v>
      </x:c>
      <x:c r="J1851" s="2" t="str">
        <x:v>available</x:v>
      </x:c>
      <x:c r="K1851" s="2" t="n">
        <x:v>1</x:v>
      </x:c>
      <x:c r="L1851" s="13" t="b">
        <x:v>0</x:v>
      </x:c>
      <x:c r="M1851" s="13" t="b">
        <x:v>1</x:v>
      </x:c>
      <x:c r="N1851" s="2" t="str">
        <x:v>projected_CRISP_BU_surface</x:v>
      </x:c>
      <x:c r="O1851" s="2" t="str"/>
      <x:c r="P1851" s="2" t="str">
        <x:v>horizontal built-up surface</x:v>
      </x:c>
      <x:c r="Q1851" s="2" t="str">
        <x:v>m2</x:v>
      </x:c>
      <x:c r="R1851" s="17" t="n">
        <x:v>643456284.0620788</x:v>
      </x:c>
      <x:c r="S1851" s="17" t="n">
        <x:v>335660713.27</x:v>
      </x:c>
      <x:c r="T1851" s="18" t="n">
        <x:v>1.0000000000000007</x:v>
      </x:c>
      <x:c r="U1851" s="17" t="n">
        <x:v>335660713.2700002</x:v>
      </x:c>
      <x:c r="V1851" s="2" t="str">
        <x:v>Area equivalent = model2020 * WUP surface / TEMPO2020 footprint; km2 multiplied by1e6 once</x:v>
      </x:c>
      <x:c r="W1851" s="2" t="str">
        <x:v>L1_numeric_partition_qualified_not_national_completeness</x:v>
      </x:c>
      <x:c r="X1851" s="2" t="str">
        <x:v>https://human-settlement.emergency.copernicus.eu/datasets.php</x:v>
      </x:c>
    </x:row>
    <x:row r="1852" ht="23" customHeight="1">
      <x:c r="A1852" s="2" t="str">
        <x:v>HRV</x:v>
      </x:c>
      <x:c r="B1852" s="2" t="str">
        <x:v>Croatia (Republic of)</x:v>
      </x:c>
      <x:c r="C1852" s="2" t="n">
        <x:v>2025</x:v>
      </x:c>
      <x:c r="D1852" s="2" t="str">
        <x:v>WUP_SURFACE</x:v>
      </x:c>
      <x:c r="E1852" s="17" t="n">
        <x:v>374582650.727685</x:v>
      </x:c>
      <x:c r="F1852" s="17" t="n">
        <x:f>IF(AND(M1852,ISNUMBER(R1852)),IF(D1852="TEMPO_PROXY",R1852,IF(AND(ISNUMBER(S1852),S1852&gt;0,ISNUMBER(U1852)),U1852*R1852/S1852,"n.a.")),"n.a.")</x:f>
        <x:v>532669879.84076536</x:v>
      </x:c>
      <x:c r="G1852" s="17" t="n">
        <x:f>IF(AND(ISNUMBER(E1852),ISNUMBER(F1852)),E1852-F1852,"n.a.")</x:f>
        <x:v>-158087229.11308038</x:v>
      </x:c>
      <x:c r="H1852" s="15" t="n">
        <x:f>IF(AND(ISNUMBER(E1852),ISNUMBER(F1852),F1852&gt;0),(E1852-F1852)/F1852,"n.a.")</x:f>
        <x:v>-0.2967827449908346</x:v>
      </x:c>
      <x:c r="I1852" s="19" t="n">
        <x:f>IF(ISNUMBER(H1852),ABS(H1852),"n.a.")</x:f>
        <x:v>0.2967827449908346</x:v>
      </x:c>
      <x:c r="J1852" s="2" t="str">
        <x:v>available</x:v>
      </x:c>
      <x:c r="K1852" s="2" t="n">
        <x:v>1</x:v>
      </x:c>
      <x:c r="L1852" s="13" t="b">
        <x:v>0</x:v>
      </x:c>
      <x:c r="M1852" s="13" t="b">
        <x:v>1</x:v>
      </x:c>
      <x:c r="N1852" s="2" t="str">
        <x:v>projected_CRISP_BU_surface</x:v>
      </x:c>
      <x:c r="O1852" s="2" t="str"/>
      <x:c r="P1852" s="2" t="str">
        <x:v>horizontal built-up surface</x:v>
      </x:c>
      <x:c r="Q1852" s="2" t="str">
        <x:v>m2</x:v>
      </x:c>
      <x:c r="R1852" s="17" t="n">
        <x:v>532669879.84076625</x:v>
      </x:c>
      <x:c r="S1852" s="17" t="n">
        <x:v>361520718.43</x:v>
      </x:c>
      <x:c r="T1852" s="18" t="n">
        <x:v>0.9999999999999983</x:v>
      </x:c>
      <x:c r="U1852" s="17" t="n">
        <x:v>361520718.4299994</x:v>
      </x:c>
      <x:c r="V1852" s="2" t="str">
        <x:v>Area equivalent = model2020 * WUP surface / TEMPO2020 footprint; km2 multiplied by1e6 once</x:v>
      </x:c>
      <x:c r="W1852" s="2" t="str">
        <x:v>L1_numeric_partition_qualified_not_national_completeness</x:v>
      </x:c>
      <x:c r="X1852" s="2" t="str">
        <x:v>https://human-settlement.emergency.copernicus.eu/datasets.php</x:v>
      </x:c>
    </x:row>
    <x:row r="1853" ht="23" customHeight="1">
      <x:c r="A1853" s="2" t="str">
        <x:v>HTI</x:v>
      </x:c>
      <x:c r="B1853" s="2" t="str">
        <x:v>Haiti (Republic of)</x:v>
      </x:c>
      <x:c r="C1853" s="2" t="n">
        <x:v>2025</x:v>
      </x:c>
      <x:c r="D1853" s="2" t="str">
        <x:v>WUP_SURFACE</x:v>
      </x:c>
      <x:c r="E1853" s="17" t="n">
        <x:v>222458528.7439069</x:v>
      </x:c>
      <x:c r="F1853" s="17" t="n">
        <x:f>IF(AND(M1853,ISNUMBER(R1853)),IF(D1853="TEMPO_PROXY",R1853,IF(AND(ISNUMBER(S1853),S1853&gt;0,ISNUMBER(U1853)),U1853*R1853/S1853,"n.a.")),"n.a.")</x:f>
        <x:v>343120836.3682439</x:v>
      </x:c>
      <x:c r="G1853" s="17" t="n">
        <x:f>IF(AND(ISNUMBER(E1853),ISNUMBER(F1853)),E1853-F1853,"n.a.")</x:f>
        <x:v>-120662307.62433699</x:v>
      </x:c>
      <x:c r="H1853" s="15" t="n">
        <x:f>IF(AND(ISNUMBER(E1853),ISNUMBER(F1853),F1853&gt;0),(E1853-F1853)/F1853,"n.a.")</x:f>
        <x:v>-0.3516612657554841</x:v>
      </x:c>
      <x:c r="I1853" s="19" t="n">
        <x:f>IF(ISNUMBER(H1853),ABS(H1853),"n.a.")</x:f>
        <x:v>0.3516612657554841</x:v>
      </x:c>
      <x:c r="J1853" s="2" t="str">
        <x:v>available</x:v>
      </x:c>
      <x:c r="K1853" s="2" t="n">
        <x:v>1</x:v>
      </x:c>
      <x:c r="L1853" s="13" t="b">
        <x:v>0</x:v>
      </x:c>
      <x:c r="M1853" s="13" t="b">
        <x:v>1</x:v>
      </x:c>
      <x:c r="N1853" s="2" t="str">
        <x:v>projected_CRISP_BU_surface</x:v>
      </x:c>
      <x:c r="O1853" s="2" t="str"/>
      <x:c r="P1853" s="2" t="str">
        <x:v>horizontal built-up surface</x:v>
      </x:c>
      <x:c r="Q1853" s="2" t="str">
        <x:v>m2</x:v>
      </x:c>
      <x:c r="R1853" s="17" t="n">
        <x:v>343120836.3682435</x:v>
      </x:c>
      <x:c r="S1853" s="17" t="n">
        <x:v>189002396.54</x:v>
      </x:c>
      <x:c r="T1853" s="18" t="n">
        <x:v>1.000000000000001</x:v>
      </x:c>
      <x:c r="U1853" s="17" t="n">
        <x:v>189002396.5400002</x:v>
      </x:c>
      <x:c r="V1853" s="2" t="str">
        <x:v>Area equivalent = model2020 * WUP surface / TEMPO2020 footprint; km2 multiplied by1e6 once</x:v>
      </x:c>
      <x:c r="W1853" s="2" t="str">
        <x:v>L1_numeric_partition_qualified_not_national_completeness</x:v>
      </x:c>
      <x:c r="X1853" s="2" t="str">
        <x:v>https://human-settlement.emergency.copernicus.eu/datasets.php</x:v>
      </x:c>
    </x:row>
    <x:row r="1854" ht="23" customHeight="1">
      <x:c r="A1854" s="2" t="str">
        <x:v>HUN</x:v>
      </x:c>
      <x:c r="B1854" s="2" t="str">
        <x:v>Hungary</x:v>
      </x:c>
      <x:c r="C1854" s="2" t="n">
        <x:v>2025</x:v>
      </x:c>
      <x:c r="D1854" s="2" t="str">
        <x:v>WUP_SURFACE</x:v>
      </x:c>
      <x:c r="E1854" s="17" t="n">
        <x:v>904032805.2184856</x:v>
      </x:c>
      <x:c r="F1854" s="17" t="n">
        <x:f>IF(AND(M1854,ISNUMBER(R1854)),IF(D1854="TEMPO_PROXY",R1854,IF(AND(ISNUMBER(S1854),S1854&gt;0,ISNUMBER(U1854)),U1854*R1854/S1854,"n.a.")),"n.a.")</x:f>
        <x:v>1372172336.027759</x:v>
      </x:c>
      <x:c r="G1854" s="17" t="n">
        <x:f>IF(AND(ISNUMBER(E1854),ISNUMBER(F1854)),E1854-F1854,"n.a.")</x:f>
        <x:v>-468139530.8092735</x:v>
      </x:c>
      <x:c r="H1854" s="15" t="n">
        <x:f>IF(AND(ISNUMBER(E1854),ISNUMBER(F1854),F1854&gt;0),(E1854-F1854)/F1854,"n.a.")</x:f>
        <x:v>-0.3411667168312618</x:v>
      </x:c>
      <x:c r="I1854" s="19" t="n">
        <x:f>IF(ISNUMBER(H1854),ABS(H1854),"n.a.")</x:f>
        <x:v>0.3411667168312618</x:v>
      </x:c>
      <x:c r="J1854" s="2" t="str">
        <x:v>available</x:v>
      </x:c>
      <x:c r="K1854" s="2" t="n">
        <x:v>1</x:v>
      </x:c>
      <x:c r="L1854" s="13" t="b">
        <x:v>0</x:v>
      </x:c>
      <x:c r="M1854" s="13" t="b">
        <x:v>1</x:v>
      </x:c>
      <x:c r="N1854" s="2" t="str">
        <x:v>projected_CRISP_BU_surface</x:v>
      </x:c>
      <x:c r="O1854" s="2" t="str"/>
      <x:c r="P1854" s="2" t="str">
        <x:v>horizontal built-up surface</x:v>
      </x:c>
      <x:c r="Q1854" s="2" t="str">
        <x:v>m2</x:v>
      </x:c>
      <x:c r="R1854" s="17" t="n">
        <x:v>1372172336.027757</x:v>
      </x:c>
      <x:c r="S1854" s="17" t="n">
        <x:v>853072780.53</x:v>
      </x:c>
      <x:c r="T1854" s="18" t="n">
        <x:v>1.0000000000000016</x:v>
      </x:c>
      <x:c r="U1854" s="17" t="n">
        <x:v>853072780.5300013</x:v>
      </x:c>
      <x:c r="V1854" s="2" t="str">
        <x:v>Area equivalent = model2020 * WUP surface / TEMPO2020 footprint; km2 multiplied by1e6 once</x:v>
      </x:c>
      <x:c r="W1854" s="2" t="str">
        <x:v>L1_numeric_partition_qualified_not_national_completeness</x:v>
      </x:c>
      <x:c r="X1854" s="2" t="str">
        <x:v>https://human-settlement.emergency.copernicus.eu/datasets.php</x:v>
      </x:c>
    </x:row>
    <x:row r="1855" ht="23" customHeight="1">
      <x:c r="A1855" s="2" t="str">
        <x:v>IDN</x:v>
      </x:c>
      <x:c r="B1855" s="2" t="str">
        <x:v>Indonesia (Republic of)</x:v>
      </x:c>
      <x:c r="C1855" s="2" t="n">
        <x:v>2025</x:v>
      </x:c>
      <x:c r="D1855" s="2" t="str">
        <x:v>WUP_SURFACE</x:v>
      </x:c>
      <x:c r="E1855" s="17" t="n">
        <x:v>12206837535.080181</x:v>
      </x:c>
      <x:c r="F1855" s="17" t="n">
        <x:f>IF(AND(M1855,ISNUMBER(R1855)),IF(D1855="TEMPO_PROXY",R1855,IF(AND(ISNUMBER(S1855),S1855&gt;0,ISNUMBER(U1855)),U1855*R1855/S1855,"n.a.")),"n.a.")</x:f>
        <x:v>11892197257.59361</x:v>
      </x:c>
      <x:c r="G1855" s="17" t="n">
        <x:f>IF(AND(ISNUMBER(E1855),ISNUMBER(F1855)),E1855-F1855,"n.a.")</x:f>
        <x:v>314640277.48657036</x:v>
      </x:c>
      <x:c r="H1855" s="15" t="n">
        <x:f>IF(AND(ISNUMBER(E1855),ISNUMBER(F1855),F1855&gt;0),(E1855-F1855)/F1855,"n.a.")</x:f>
        <x:v>0.02645770757676096</x:v>
      </x:c>
      <x:c r="I1855" s="19" t="n">
        <x:f>IF(ISNUMBER(H1855),ABS(H1855),"n.a.")</x:f>
        <x:v>0.02645770757676096</x:v>
      </x:c>
      <x:c r="J1855" s="2" t="str">
        <x:v>available</x:v>
      </x:c>
      <x:c r="K1855" s="2" t="n">
        <x:v>1</x:v>
      </x:c>
      <x:c r="L1855" s="13" t="b">
        <x:v>0</x:v>
      </x:c>
      <x:c r="M1855" s="13" t="b">
        <x:v>1</x:v>
      </x:c>
      <x:c r="N1855" s="2" t="str">
        <x:v>projected_CRISP_BU_surface</x:v>
      </x:c>
      <x:c r="O1855" s="2" t="str"/>
      <x:c r="P1855" s="2" t="str">
        <x:v>horizontal built-up surface</x:v>
      </x:c>
      <x:c r="Q1855" s="2" t="str">
        <x:v>m2</x:v>
      </x:c>
      <x:c r="R1855" s="17" t="n">
        <x:v>11892197257.593628</x:v>
      </x:c>
      <x:c r="S1855" s="17" t="n">
        <x:v>10794355074.09</x:v>
      </x:c>
      <x:c r="T1855" s="18" t="n">
        <x:v>0.9999999999999986</x:v>
      </x:c>
      <x:c r="U1855" s="17" t="n">
        <x:v>10794355074.089985</x:v>
      </x:c>
      <x:c r="V1855" s="2" t="str">
        <x:v>Area equivalent = model2020 * WUP surface / TEMPO2020 footprint; km2 multiplied by1e6 once</x:v>
      </x:c>
      <x:c r="W1855" s="2" t="str">
        <x:v>L1_numeric_partition_qualified_not_national_completeness</x:v>
      </x:c>
      <x:c r="X1855" s="2" t="str">
        <x:v>https://human-settlement.emergency.copernicus.eu/datasets.php</x:v>
      </x:c>
    </x:row>
    <x:row r="1856" ht="23" customHeight="1">
      <x:c r="A1856" s="2" t="str">
        <x:v>IND</x:v>
      </x:c>
      <x:c r="B1856" s="2" t="str">
        <x:v>India (Republic of)</x:v>
      </x:c>
      <x:c r="C1856" s="2" t="n">
        <x:v>2025</x:v>
      </x:c>
      <x:c r="D1856" s="2" t="str">
        <x:v>WUP_SURFACE</x:v>
      </x:c>
      <x:c r="E1856" s="17" t="n">
        <x:v>32591298421.2387</x:v>
      </x:c>
      <x:c r="F1856" s="17" t="n">
        <x:f>IF(AND(M1856,ISNUMBER(R1856)),IF(D1856="TEMPO_PROXY",R1856,IF(AND(ISNUMBER(S1856),S1856&gt;0,ISNUMBER(U1856)),U1856*R1856/S1856,"n.a.")),"n.a.")</x:f>
        <x:v>44537315130.09583</x:v>
      </x:c>
      <x:c r="G1856" s="17" t="n">
        <x:f>IF(AND(ISNUMBER(E1856),ISNUMBER(F1856)),E1856-F1856,"n.a.")</x:f>
        <x:v>-11946016708.857132</x:v>
      </x:c>
      <x:c r="H1856" s="15" t="n">
        <x:f>IF(AND(ISNUMBER(E1856),ISNUMBER(F1856),F1856&gt;0),(E1856-F1856)/F1856,"n.a.")</x:f>
        <x:v>-0.26822489577474956</x:v>
      </x:c>
      <x:c r="I1856" s="19" t="n">
        <x:f>IF(ISNUMBER(H1856),ABS(H1856),"n.a.")</x:f>
        <x:v>0.26822489577474956</x:v>
      </x:c>
      <x:c r="J1856" s="2" t="str">
        <x:v>available</x:v>
      </x:c>
      <x:c r="K1856" s="2" t="n">
        <x:v>1</x:v>
      </x:c>
      <x:c r="L1856" s="13" t="b">
        <x:v>0</x:v>
      </x:c>
      <x:c r="M1856" s="13" t="b">
        <x:v>1</x:v>
      </x:c>
      <x:c r="N1856" s="2" t="str">
        <x:v>projected_CRISP_BU_surface</x:v>
      </x:c>
      <x:c r="O1856" s="2" t="str"/>
      <x:c r="P1856" s="2" t="str">
        <x:v>horizontal built-up surface</x:v>
      </x:c>
      <x:c r="Q1856" s="2" t="str">
        <x:v>m2</x:v>
      </x:c>
      <x:c r="R1856" s="17" t="n">
        <x:v>44537315130.095764</x:v>
      </x:c>
      <x:c r="S1856" s="17" t="n">
        <x:v>27853638424.04</x:v>
      </x:c>
      <x:c r="T1856" s="18" t="n">
        <x:v>1.0000000000000016</x:v>
      </x:c>
      <x:c r="U1856" s="17" t="n">
        <x:v>27853638424.040043</x:v>
      </x:c>
      <x:c r="V1856" s="2" t="str">
        <x:v>Area equivalent = model2020 * WUP surface / TEMPO2020 footprint; km2 multiplied by1e6 once</x:v>
      </x:c>
      <x:c r="W1856" s="2" t="str">
        <x:v>L1_numeric_partition_qualified_not_national_completeness</x:v>
      </x:c>
      <x:c r="X1856" s="2" t="str">
        <x:v>https://human-settlement.emergency.copernicus.eu/datasets.php</x:v>
      </x:c>
    </x:row>
    <x:row r="1857" ht="23" customHeight="1">
      <x:c r="A1857" s="2" t="str">
        <x:v>IRL</x:v>
      </x:c>
      <x:c r="B1857" s="2" t="str">
        <x:v>Ireland</x:v>
      </x:c>
      <x:c r="C1857" s="2" t="n">
        <x:v>2025</x:v>
      </x:c>
      <x:c r="D1857" s="2" t="str">
        <x:v>WUP_SURFACE</x:v>
      </x:c>
      <x:c r="E1857" s="17" t="n">
        <x:v>471134695.1889624</x:v>
      </x:c>
      <x:c r="F1857" s="17" t="n">
        <x:f>IF(AND(M1857,ISNUMBER(R1857)),IF(D1857="TEMPO_PROXY",R1857,IF(AND(ISNUMBER(S1857),S1857&gt;0,ISNUMBER(U1857)),U1857*R1857/S1857,"n.a.")),"n.a.")</x:f>
        <x:v>806159710.4796668</x:v>
      </x:c>
      <x:c r="G1857" s="17" t="n">
        <x:f>IF(AND(ISNUMBER(E1857),ISNUMBER(F1857)),E1857-F1857,"n.a.")</x:f>
        <x:v>-335025015.2907044</x:v>
      </x:c>
      <x:c r="H1857" s="15" t="n">
        <x:f>IF(AND(ISNUMBER(E1857),ISNUMBER(F1857),F1857&gt;0),(E1857-F1857)/F1857,"n.a.")</x:f>
        <x:v>-0.4155814424059518</x:v>
      </x:c>
      <x:c r="I1857" s="19" t="n">
        <x:f>IF(ISNUMBER(H1857),ABS(H1857),"n.a.")</x:f>
        <x:v>0.4155814424059518</x:v>
      </x:c>
      <x:c r="J1857" s="2" t="str">
        <x:v>available</x:v>
      </x:c>
      <x:c r="K1857" s="2" t="n">
        <x:v>1</x:v>
      </x:c>
      <x:c r="L1857" s="13" t="b">
        <x:v>0</x:v>
      </x:c>
      <x:c r="M1857" s="13" t="b">
        <x:v>1</x:v>
      </x:c>
      <x:c r="N1857" s="2" t="str">
        <x:v>projected_CRISP_BU_surface</x:v>
      </x:c>
      <x:c r="O1857" s="2" t="str"/>
      <x:c r="P1857" s="2" t="str">
        <x:v>horizontal built-up surface</x:v>
      </x:c>
      <x:c r="Q1857" s="2" t="str">
        <x:v>m2</x:v>
      </x:c>
      <x:c r="R1857" s="17" t="n">
        <x:v>806159710.4796672</x:v>
      </x:c>
      <x:c r="S1857" s="17" t="n">
        <x:v>426553619.4</x:v>
      </x:c>
      <x:c r="T1857" s="18" t="n">
        <x:v>0.9999999999999994</x:v>
      </x:c>
      <x:c r="U1857" s="17" t="n">
        <x:v>426553619.39999974</x:v>
      </x:c>
      <x:c r="V1857" s="2" t="str">
        <x:v>Area equivalent = model2020 * WUP surface / TEMPO2020 footprint; km2 multiplied by1e6 once</x:v>
      </x:c>
      <x:c r="W1857" s="2" t="str">
        <x:v>L1_numeric_partition_qualified_not_national_completeness</x:v>
      </x:c>
      <x:c r="X1857" s="2" t="str">
        <x:v>https://human-settlement.emergency.copernicus.eu/datasets.php</x:v>
      </x:c>
    </x:row>
    <x:row r="1858" ht="23" customHeight="1">
      <x:c r="A1858" s="2" t="str">
        <x:v>IRN</x:v>
      </x:c>
      <x:c r="B1858" s="2" t="str">
        <x:v>Iran (Islamic Republic of)</x:v>
      </x:c>
      <x:c r="C1858" s="2" t="n">
        <x:v>2025</x:v>
      </x:c>
      <x:c r="D1858" s="2" t="str">
        <x:v>WUP_SURFACE</x:v>
      </x:c>
      <x:c r="E1858" s="17" t="n">
        <x:v>4316691969.9250145</x:v>
      </x:c>
      <x:c r="F1858" s="17" t="n">
        <x:f>IF(AND(M1858,ISNUMBER(R1858)),IF(D1858="TEMPO_PROXY",R1858,IF(AND(ISNUMBER(S1858),S1858&gt;0,ISNUMBER(U1858)),U1858*R1858/S1858,"n.a.")),"n.a.")</x:f>
        <x:v>4899692787.861348</x:v>
      </x:c>
      <x:c r="G1858" s="17" t="n">
        <x:f>IF(AND(ISNUMBER(E1858),ISNUMBER(F1858)),E1858-F1858,"n.a.")</x:f>
        <x:v>-583000817.9363337</x:v>
      </x:c>
      <x:c r="H1858" s="15" t="n">
        <x:f>IF(AND(ISNUMBER(E1858),ISNUMBER(F1858),F1858&gt;0),(E1858-F1858)/F1858,"n.a.")</x:f>
        <x:v>-0.11898721882740854</x:v>
      </x:c>
      <x:c r="I1858" s="19" t="n">
        <x:f>IF(ISNUMBER(H1858),ABS(H1858),"n.a.")</x:f>
        <x:v>0.11898721882740854</x:v>
      </x:c>
      <x:c r="J1858" s="2" t="str">
        <x:v>available</x:v>
      </x:c>
      <x:c r="K1858" s="2" t="n">
        <x:v>1</x:v>
      </x:c>
      <x:c r="L1858" s="13" t="b">
        <x:v>0</x:v>
      </x:c>
      <x:c r="M1858" s="13" t="b">
        <x:v>1</x:v>
      </x:c>
      <x:c r="N1858" s="2" t="str">
        <x:v>projected_CRISP_BU_surface</x:v>
      </x:c>
      <x:c r="O1858" s="2" t="str"/>
      <x:c r="P1858" s="2" t="str">
        <x:v>horizontal built-up surface</x:v>
      </x:c>
      <x:c r="Q1858" s="2" t="str">
        <x:v>m2</x:v>
      </x:c>
      <x:c r="R1858" s="17" t="n">
        <x:v>4824017885.224479</x:v>
      </x:c>
      <x:c r="S1858" s="17" t="n">
        <x:v>3695850551.99</x:v>
      </x:c>
      <x:c r="T1858" s="18" t="n">
        <x:v>1.0156871107108982</x:v>
      </x:c>
      <x:c r="U1858" s="17" t="n">
        <x:v>3753827768.770001</x:v>
      </x:c>
      <x:c r="V1858" s="2" t="str">
        <x:v>Area equivalent = model2020 * WUP surface / TEMPO2020 footprint; km2 multiplied by1e6 once</x:v>
      </x:c>
      <x:c r="W1858" s="2" t="str">
        <x:v>L1_numeric_partition_qualified_not_national_completeness</x:v>
      </x:c>
      <x:c r="X1858" s="2" t="str">
        <x:v>https://human-settlement.emergency.copernicus.eu/datasets.php</x:v>
      </x:c>
    </x:row>
    <x:row r="1859" ht="23" customHeight="1">
      <x:c r="A1859" s="2" t="str">
        <x:v>IRQ</x:v>
      </x:c>
      <x:c r="B1859" s="2" t="str">
        <x:v>Iraq (Republic of)</x:v>
      </x:c>
      <x:c r="C1859" s="2" t="n">
        <x:v>2025</x:v>
      </x:c>
      <x:c r="D1859" s="2" t="str">
        <x:v>WUP_SURFACE</x:v>
      </x:c>
      <x:c r="E1859" s="17" t="n">
        <x:v>1461509289.7991912</x:v>
      </x:c>
      <x:c r="F1859" s="17" t="n">
        <x:f>IF(AND(M1859,ISNUMBER(R1859)),IF(D1859="TEMPO_PROXY",R1859,IF(AND(ISNUMBER(S1859),S1859&gt;0,ISNUMBER(U1859)),U1859*R1859/S1859,"n.a.")),"n.a.")</x:f>
        <x:v>1871365366.896411</x:v>
      </x:c>
      <x:c r="G1859" s="17" t="n">
        <x:f>IF(AND(ISNUMBER(E1859),ISNUMBER(F1859)),E1859-F1859,"n.a.")</x:f>
        <x:v>-409856077.0972197</x:v>
      </x:c>
      <x:c r="H1859" s="15" t="n">
        <x:f>IF(AND(ISNUMBER(E1859),ISNUMBER(F1859),F1859&gt;0),(E1859-F1859)/F1859,"n.a.")</x:f>
        <x:v>-0.21901446096384192</x:v>
      </x:c>
      <x:c r="I1859" s="19" t="n">
        <x:f>IF(ISNUMBER(H1859),ABS(H1859),"n.a.")</x:f>
        <x:v>0.21901446096384192</x:v>
      </x:c>
      <x:c r="J1859" s="2" t="str">
        <x:v>available</x:v>
      </x:c>
      <x:c r="K1859" s="2" t="n">
        <x:v>1</x:v>
      </x:c>
      <x:c r="L1859" s="13" t="b">
        <x:v>0</x:v>
      </x:c>
      <x:c r="M1859" s="13" t="b">
        <x:v>1</x:v>
      </x:c>
      <x:c r="N1859" s="2" t="str">
        <x:v>projected_CRISP_BU_surface</x:v>
      </x:c>
      <x:c r="O1859" s="2" t="str"/>
      <x:c r="P1859" s="2" t="str">
        <x:v>horizontal built-up surface</x:v>
      </x:c>
      <x:c r="Q1859" s="2" t="str">
        <x:v>m2</x:v>
      </x:c>
      <x:c r="R1859" s="17" t="n">
        <x:v>1871365366.896409</x:v>
      </x:c>
      <x:c r="S1859" s="17" t="n">
        <x:v>1226955244.87</x:v>
      </x:c>
      <x:c r="T1859" s="18" t="n">
        <x:v>1.0000000000000009</x:v>
      </x:c>
      <x:c r="U1859" s="17" t="n">
        <x:v>1226955244.870001</x:v>
      </x:c>
      <x:c r="V1859" s="2" t="str">
        <x:v>Area equivalent = model2020 * WUP surface / TEMPO2020 footprint; km2 multiplied by1e6 once</x:v>
      </x:c>
      <x:c r="W1859" s="2" t="str">
        <x:v>L1_numeric_partition_qualified_not_national_completeness</x:v>
      </x:c>
      <x:c r="X1859" s="2" t="str">
        <x:v>https://human-settlement.emergency.copernicus.eu/datasets.php</x:v>
      </x:c>
    </x:row>
    <x:row r="1860" ht="23" customHeight="1">
      <x:c r="A1860" s="2" t="str">
        <x:v>ISL</x:v>
      </x:c>
      <x:c r="B1860" s="2" t="str">
        <x:v>Iceland</x:v>
      </x:c>
      <x:c r="C1860" s="2" t="n">
        <x:v>2025</x:v>
      </x:c>
      <x:c r="D1860" s="2" t="str">
        <x:v>WUP_SURFACE</x:v>
      </x:c>
      <x:c r="E1860" s="17" t="n">
        <x:v>32065960.72835918</x:v>
      </x:c>
      <x:c r="F1860" s="17" t="n">
        <x:f>IF(AND(M1860,ISNUMBER(R1860)),IF(D1860="TEMPO_PROXY",R1860,IF(AND(ISNUMBER(S1860),S1860&gt;0,ISNUMBER(U1860)),U1860*R1860/S1860,"n.a.")),"n.a.")</x:f>
        <x:v>42404018.982151695</x:v>
      </x:c>
      <x:c r="G1860" s="17" t="n">
        <x:f>IF(AND(ISNUMBER(E1860),ISNUMBER(F1860)),E1860-F1860,"n.a.")</x:f>
        <x:v>-10338058.253792513</x:v>
      </x:c>
      <x:c r="H1860" s="15" t="n">
        <x:f>IF(AND(ISNUMBER(E1860),ISNUMBER(F1860),F1860&gt;0),(E1860-F1860)/F1860,"n.a.")</x:f>
        <x:v>-0.24379901957274175</x:v>
      </x:c>
      <x:c r="I1860" s="19" t="n">
        <x:f>IF(ISNUMBER(H1860),ABS(H1860),"n.a.")</x:f>
        <x:v>0.24379901957274175</x:v>
      </x:c>
      <x:c r="J1860" s="2" t="str">
        <x:v>available</x:v>
      </x:c>
      <x:c r="K1860" s="2" t="n">
        <x:v>1</x:v>
      </x:c>
      <x:c r="L1860" s="13" t="b">
        <x:v>0</x:v>
      </x:c>
      <x:c r="M1860" s="13" t="b">
        <x:v>1</x:v>
      </x:c>
      <x:c r="N1860" s="2" t="str">
        <x:v>projected_CRISP_BU_surface</x:v>
      </x:c>
      <x:c r="O1860" s="2" t="str"/>
      <x:c r="P1860" s="2" t="str">
        <x:v>horizontal built-up surface</x:v>
      </x:c>
      <x:c r="Q1860" s="2" t="str">
        <x:v>m2</x:v>
      </x:c>
      <x:c r="R1860" s="17" t="n">
        <x:v>38808481.43576952</x:v>
      </x:c>
      <x:c r="S1860" s="17" t="n">
        <x:v>24141007.67</x:v>
      </x:c>
      <x:c r="T1860" s="18" t="n">
        <x:v>1.0926482411411282</x:v>
      </x:c>
      <x:c r="U1860" s="17" t="n">
        <x:v>26377629.56999999</x:v>
      </x:c>
      <x:c r="V1860" s="2" t="str">
        <x:v>Area equivalent = model2020 * WUP surface / TEMPO2020 footprint; km2 multiplied by1e6 once</x:v>
      </x:c>
      <x:c r="W1860" s="2" t="str">
        <x:v>L1_numeric_partition_qualified_not_national_completeness</x:v>
      </x:c>
      <x:c r="X1860" s="2" t="str">
        <x:v>https://human-settlement.emergency.copernicus.eu/datasets.php</x:v>
      </x:c>
    </x:row>
    <x:row r="1861" ht="23" customHeight="1">
      <x:c r="A1861" s="2" t="str">
        <x:v>ISR</x:v>
      </x:c>
      <x:c r="B1861" s="2" t="str">
        <x:v>Israel (State of)</x:v>
      </x:c>
      <x:c r="C1861" s="2" t="n">
        <x:v>2025</x:v>
      </x:c>
      <x:c r="D1861" s="2" t="str">
        <x:v>WUP_SURFACE</x:v>
      </x:c>
      <x:c r="E1861" s="17" t="n">
        <x:v>434477484.9299726</x:v>
      </x:c>
      <x:c r="F1861" s="17" t="n">
        <x:f>IF(AND(M1861,ISNUMBER(R1861)),IF(D1861="TEMPO_PROXY",R1861,IF(AND(ISNUMBER(S1861),S1861&gt;0,ISNUMBER(U1861)),U1861*R1861/S1861,"n.a.")),"n.a.")</x:f>
        <x:v>559888700.7107012</x:v>
      </x:c>
      <x:c r="G1861" s="17" t="n">
        <x:f>IF(AND(ISNUMBER(E1861),ISNUMBER(F1861)),E1861-F1861,"n.a.")</x:f>
        <x:v>-125411215.78072864</x:v>
      </x:c>
      <x:c r="H1861" s="15" t="n">
        <x:f>IF(AND(ISNUMBER(E1861),ISNUMBER(F1861),F1861&gt;0),(E1861-F1861)/F1861,"n.a.")</x:f>
        <x:v>-0.22399311795636606</x:v>
      </x:c>
      <x:c r="I1861" s="19" t="n">
        <x:f>IF(ISNUMBER(H1861),ABS(H1861),"n.a.")</x:f>
        <x:v>0.22399311795636606</x:v>
      </x:c>
      <x:c r="J1861" s="2" t="str">
        <x:v>available</x:v>
      </x:c>
      <x:c r="K1861" s="2" t="n">
        <x:v>1</x:v>
      </x:c>
      <x:c r="L1861" s="13" t="b">
        <x:v>0</x:v>
      </x:c>
      <x:c r="M1861" s="13" t="b">
        <x:v>1</x:v>
      </x:c>
      <x:c r="N1861" s="2" t="str">
        <x:v>projected_CRISP_BU_surface</x:v>
      </x:c>
      <x:c r="O1861" s="2" t="str"/>
      <x:c r="P1861" s="2" t="str">
        <x:v>horizontal built-up surface</x:v>
      </x:c>
      <x:c r="Q1861" s="2" t="str">
        <x:v>m2</x:v>
      </x:c>
      <x:c r="R1861" s="17" t="n">
        <x:v>536851286.85073036</x:v>
      </x:c>
      <x:c r="S1861" s="17" t="n">
        <x:v>357032950.94</x:v>
      </x:c>
      <x:c r="T1861" s="18" t="n">
        <x:v>1.0429120958154214</x:v>
      </x:c>
      <x:c r="U1861" s="17" t="n">
        <x:v>372353983.1399999</x:v>
      </x:c>
      <x:c r="V1861" s="2" t="str">
        <x:v>Area equivalent = model2020 * WUP surface / TEMPO2020 footprint; km2 multiplied by1e6 once</x:v>
      </x:c>
      <x:c r="W1861" s="2" t="str">
        <x:v>L1_numeric_partition_qualified_not_national_completeness</x:v>
      </x:c>
      <x:c r="X1861" s="2" t="str">
        <x:v>https://human-settlement.emergency.copernicus.eu/datasets.php</x:v>
      </x:c>
    </x:row>
    <x:row r="1862" ht="23" customHeight="1">
      <x:c r="A1862" s="2" t="str">
        <x:v>ITA</x:v>
      </x:c>
      <x:c r="B1862" s="2" t="str">
        <x:v>Italy (Italian Republic)</x:v>
      </x:c>
      <x:c r="C1862" s="2" t="n">
        <x:v>2025</x:v>
      </x:c>
      <x:c r="D1862" s="2" t="str">
        <x:v>WUP_SURFACE</x:v>
      </x:c>
      <x:c r="E1862" s="17" t="n">
        <x:v>5585031000.099003</x:v>
      </x:c>
      <x:c r="F1862" s="17" t="n">
        <x:f>IF(AND(M1862,ISNUMBER(R1862)),IF(D1862="TEMPO_PROXY",R1862,IF(AND(ISNUMBER(S1862),S1862&gt;0,ISNUMBER(U1862)),U1862*R1862/S1862,"n.a.")),"n.a.")</x:f>
        <x:v>8200735245.935212</x:v>
      </x:c>
      <x:c r="G1862" s="17" t="n">
        <x:f>IF(AND(ISNUMBER(E1862),ISNUMBER(F1862)),E1862-F1862,"n.a.")</x:f>
        <x:v>-2615704245.8362093</x:v>
      </x:c>
      <x:c r="H1862" s="15" t="n">
        <x:f>IF(AND(ISNUMBER(E1862),ISNUMBER(F1862),F1862&gt;0),(E1862-F1862)/F1862,"n.a.")</x:f>
        <x:v>-0.3189597234141552</x:v>
      </x:c>
      <x:c r="I1862" s="19" t="n">
        <x:f>IF(ISNUMBER(H1862),ABS(H1862),"n.a.")</x:f>
        <x:v>0.3189597234141552</x:v>
      </x:c>
      <x:c r="J1862" s="2" t="str">
        <x:v>available</x:v>
      </x:c>
      <x:c r="K1862" s="2" t="n">
        <x:v>1</x:v>
      </x:c>
      <x:c r="L1862" s="13" t="b">
        <x:v>0</x:v>
      </x:c>
      <x:c r="M1862" s="13" t="b">
        <x:v>1</x:v>
      </x:c>
      <x:c r="N1862" s="2" t="str">
        <x:v>projected_CRISP_BU_surface</x:v>
      </x:c>
      <x:c r="O1862" s="2" t="str"/>
      <x:c r="P1862" s="2" t="str">
        <x:v>horizontal built-up surface</x:v>
      </x:c>
      <x:c r="Q1862" s="2" t="str">
        <x:v>m2</x:v>
      </x:c>
      <x:c r="R1862" s="17" t="n">
        <x:v>7726251363.437789</x:v>
      </x:c>
      <x:c r="S1862" s="17" t="n">
        <x:v>4711304092.61</x:v>
      </x:c>
      <x:c r="T1862" s="18" t="n">
        <x:v>1.0614119137700826</x:v>
      </x:c>
      <x:c r="U1862" s="17" t="n">
        <x:v>5000634293.290002</x:v>
      </x:c>
      <x:c r="V1862" s="2" t="str">
        <x:v>Area equivalent = model2020 * WUP surface / TEMPO2020 footprint; km2 multiplied by1e6 once</x:v>
      </x:c>
      <x:c r="W1862" s="2" t="str">
        <x:v>L1_numeric_partition_qualified_not_national_completeness</x:v>
      </x:c>
      <x:c r="X1862" s="2" t="str">
        <x:v>https://human-settlement.emergency.copernicus.eu/datasets.php</x:v>
      </x:c>
    </x:row>
    <x:row r="1863" ht="23" customHeight="1">
      <x:c r="A1863" s="2" t="str">
        <x:v>JAM</x:v>
      </x:c>
      <x:c r="B1863" s="2" t="str">
        <x:v>Jamaica</x:v>
      </x:c>
      <x:c r="C1863" s="2" t="n">
        <x:v>2025</x:v>
      </x:c>
      <x:c r="D1863" s="2" t="str">
        <x:v>WUP_SURFACE</x:v>
      </x:c>
      <x:c r="E1863" s="17" t="n">
        <x:v>142100625.36774015</x:v>
      </x:c>
      <x:c r="F1863" s="17" t="n">
        <x:f>IF(AND(M1863,ISNUMBER(R1863)),IF(D1863="TEMPO_PROXY",R1863,IF(AND(ISNUMBER(S1863),S1863&gt;0,ISNUMBER(U1863)),U1863*R1863/S1863,"n.a.")),"n.a.")</x:f>
        <x:v>237689971.0812861</x:v>
      </x:c>
      <x:c r="G1863" s="17" t="n">
        <x:f>IF(AND(ISNUMBER(E1863),ISNUMBER(F1863)),E1863-F1863,"n.a.")</x:f>
        <x:v>-95589345.71354595</x:v>
      </x:c>
      <x:c r="H1863" s="15" t="n">
        <x:f>IF(AND(ISNUMBER(E1863),ISNUMBER(F1863),F1863&gt;0),(E1863-F1863)/F1863,"n.a.")</x:f>
        <x:v>-0.40215977678274</x:v>
      </x:c>
      <x:c r="I1863" s="19" t="n">
        <x:f>IF(ISNUMBER(H1863),ABS(H1863),"n.a.")</x:f>
        <x:v>0.40215977678274</x:v>
      </x:c>
      <x:c r="J1863" s="2" t="str">
        <x:v>available</x:v>
      </x:c>
      <x:c r="K1863" s="2" t="n">
        <x:v>1</x:v>
      </x:c>
      <x:c r="L1863" s="13" t="b">
        <x:v>0</x:v>
      </x:c>
      <x:c r="M1863" s="13" t="b">
        <x:v>1</x:v>
      </x:c>
      <x:c r="N1863" s="2" t="str">
        <x:v>projected_CRISP_BU_surface</x:v>
      </x:c>
      <x:c r="O1863" s="2" t="str"/>
      <x:c r="P1863" s="2" t="str">
        <x:v>horizontal built-up surface</x:v>
      </x:c>
      <x:c r="Q1863" s="2" t="str">
        <x:v>m2</x:v>
      </x:c>
      <x:c r="R1863" s="17" t="n">
        <x:v>237689971.08128625</x:v>
      </x:c>
      <x:c r="S1863" s="17" t="n">
        <x:v>133338245.19</x:v>
      </x:c>
      <x:c r="T1863" s="18" t="n">
        <x:v>0.9999999999999994</x:v>
      </x:c>
      <x:c r="U1863" s="17" t="n">
        <x:v>133338245.18999992</x:v>
      </x:c>
      <x:c r="V1863" s="2" t="str">
        <x:v>Area equivalent = model2020 * WUP surface / TEMPO2020 footprint; km2 multiplied by1e6 once</x:v>
      </x:c>
      <x:c r="W1863" s="2" t="str">
        <x:v>L1_numeric_partition_qualified_not_national_completeness</x:v>
      </x:c>
      <x:c r="X1863" s="2" t="str">
        <x:v>https://human-settlement.emergency.copernicus.eu/datasets.php</x:v>
      </x:c>
    </x:row>
    <x:row r="1864" ht="23" customHeight="1">
      <x:c r="A1864" s="2" t="str">
        <x:v>JOR</x:v>
      </x:c>
      <x:c r="B1864" s="2" t="str">
        <x:v>Jordan (Hashemite Kingdom of)</x:v>
      </x:c>
      <x:c r="C1864" s="2" t="n">
        <x:v>2025</x:v>
      </x:c>
      <x:c r="D1864" s="2" t="str">
        <x:v>WUP_SURFACE</x:v>
      </x:c>
      <x:c r="E1864" s="17" t="n">
        <x:v>332527970.9645053</x:v>
      </x:c>
      <x:c r="F1864" s="17" t="n">
        <x:f>IF(AND(M1864,ISNUMBER(R1864)),IF(D1864="TEMPO_PROXY",R1864,IF(AND(ISNUMBER(S1864),S1864&gt;0,ISNUMBER(U1864)),U1864*R1864/S1864,"n.a.")),"n.a.")</x:f>
        <x:v>392387976.2840649</x:v>
      </x:c>
      <x:c r="G1864" s="17" t="n">
        <x:f>IF(AND(ISNUMBER(E1864),ISNUMBER(F1864)),E1864-F1864,"n.a.")</x:f>
        <x:v>-59860005.319559574</x:v>
      </x:c>
      <x:c r="H1864" s="15" t="n">
        <x:f>IF(AND(ISNUMBER(E1864),ISNUMBER(F1864),F1864&gt;0),(E1864-F1864)/F1864,"n.a.")</x:f>
        <x:v>-0.15255310798877433</x:v>
      </x:c>
      <x:c r="I1864" s="19" t="n">
        <x:f>IF(ISNUMBER(H1864),ABS(H1864),"n.a.")</x:f>
        <x:v>0.15255310798877433</x:v>
      </x:c>
      <x:c r="J1864" s="2" t="str">
        <x:v>available</x:v>
      </x:c>
      <x:c r="K1864" s="2" t="n">
        <x:v>1</x:v>
      </x:c>
      <x:c r="L1864" s="13" t="b">
        <x:v>0</x:v>
      </x:c>
      <x:c r="M1864" s="13" t="b">
        <x:v>1</x:v>
      </x:c>
      <x:c r="N1864" s="2" t="str">
        <x:v>projected_CRISP_BU_surface</x:v>
      </x:c>
      <x:c r="O1864" s="2" t="str"/>
      <x:c r="P1864" s="2" t="str">
        <x:v>horizontal built-up surface</x:v>
      </x:c>
      <x:c r="Q1864" s="2" t="str">
        <x:v>m2</x:v>
      </x:c>
      <x:c r="R1864" s="17" t="n">
        <x:v>387905948.81642175</x:v>
      </x:c>
      <x:c r="S1864" s="17" t="n">
        <x:v>275983857.16</x:v>
      </x:c>
      <x:c r="T1864" s="18" t="n">
        <x:v>1.0115544179750755</x:v>
      </x:c>
      <x:c r="U1864" s="17" t="n">
        <x:v>279172690.0000002</x:v>
      </x:c>
      <x:c r="V1864" s="2" t="str">
        <x:v>Area equivalent = model2020 * WUP surface / TEMPO2020 footprint; km2 multiplied by1e6 once</x:v>
      </x:c>
      <x:c r="W1864" s="2" t="str">
        <x:v>L1_numeric_partition_qualified_not_national_completeness</x:v>
      </x:c>
      <x:c r="X1864" s="2" t="str">
        <x:v>https://human-settlement.emergency.copernicus.eu/datasets.php</x:v>
      </x:c>
    </x:row>
    <x:row r="1865" ht="23" customHeight="1">
      <x:c r="A1865" s="2" t="str">
        <x:v>JPN</x:v>
      </x:c>
      <x:c r="B1865" s="2" t="str">
        <x:v>Japan</x:v>
      </x:c>
      <x:c r="C1865" s="2" t="n">
        <x:v>2025</x:v>
      </x:c>
      <x:c r="D1865" s="2" t="str">
        <x:v>WUP_SURFACE</x:v>
      </x:c>
      <x:c r="E1865" s="17" t="n">
        <x:v>8666998550.346603</x:v>
      </x:c>
      <x:c r="F1865" s="17" t="n">
        <x:f>IF(AND(M1865,ISNUMBER(R1865)),IF(D1865="TEMPO_PROXY",R1865,IF(AND(ISNUMBER(S1865),S1865&gt;0,ISNUMBER(U1865)),U1865*R1865/S1865,"n.a.")),"n.a.")</x:f>
        <x:v>13841041999.101305</x:v>
      </x:c>
      <x:c r="G1865" s="17" t="n">
        <x:f>IF(AND(ISNUMBER(E1865),ISNUMBER(F1865)),E1865-F1865,"n.a.")</x:f>
        <x:v>-5174043448.754702</x:v>
      </x:c>
      <x:c r="H1865" s="15" t="n">
        <x:f>IF(AND(ISNUMBER(E1865),ISNUMBER(F1865),F1865&gt;0),(E1865-F1865)/F1865,"n.a.")</x:f>
        <x:v>-0.37381892556143176</x:v>
      </x:c>
      <x:c r="I1865" s="19" t="n">
        <x:f>IF(ISNUMBER(H1865),ABS(H1865),"n.a.")</x:f>
        <x:v>0.37381892556143176</x:v>
      </x:c>
      <x:c r="J1865" s="2" t="str">
        <x:v>available</x:v>
      </x:c>
      <x:c r="K1865" s="2" t="n">
        <x:v>1</x:v>
      </x:c>
      <x:c r="L1865" s="13" t="b">
        <x:v>0</x:v>
      </x:c>
      <x:c r="M1865" s="13" t="b">
        <x:v>1</x:v>
      </x:c>
      <x:c r="N1865" s="2" t="str">
        <x:v>projected_CRISP_BU_surface</x:v>
      </x:c>
      <x:c r="O1865" s="2" t="str"/>
      <x:c r="P1865" s="2" t="str">
        <x:v>horizontal built-up surface</x:v>
      </x:c>
      <x:c r="Q1865" s="2" t="str">
        <x:v>m2</x:v>
      </x:c>
      <x:c r="R1865" s="17" t="n">
        <x:v>13401024428.113756</x:v>
      </x:c>
      <x:c r="S1865" s="17" t="n">
        <x:v>8076054059.79</x:v>
      </x:c>
      <x:c r="T1865" s="18" t="n">
        <x:v>1.032834621961023</x:v>
      </x:c>
      <x:c r="U1865" s="17" t="n">
        <x:v>8341228241.779989</x:v>
      </x:c>
      <x:c r="V1865" s="2" t="str">
        <x:v>Area equivalent = model2020 * WUP surface / TEMPO2020 footprint; km2 multiplied by1e6 once</x:v>
      </x:c>
      <x:c r="W1865" s="2" t="str">
        <x:v>L1_numeric_partition_qualified_not_national_completeness</x:v>
      </x:c>
      <x:c r="X1865" s="2" t="str">
        <x:v>https://human-settlement.emergency.copernicus.eu/datasets.php</x:v>
      </x:c>
    </x:row>
    <x:row r="1866" ht="23" customHeight="1">
      <x:c r="A1866" s="2" t="str">
        <x:v>KAZ</x:v>
      </x:c>
      <x:c r="B1866" s="2" t="str">
        <x:v>Kazakhstan (Republic of)</x:v>
      </x:c>
      <x:c r="C1866" s="2" t="n">
        <x:v>2025</x:v>
      </x:c>
      <x:c r="D1866" s="2" t="str">
        <x:v>WUP_SURFACE</x:v>
      </x:c>
      <x:c r="E1866" s="17" t="n">
        <x:v>1104303075.0287642</x:v>
      </x:c>
      <x:c r="F1866" s="17" t="n">
        <x:f>IF(AND(M1866,ISNUMBER(R1866)),IF(D1866="TEMPO_PROXY",R1866,IF(AND(ISNUMBER(S1866),S1866&gt;0,ISNUMBER(U1866)),U1866*R1866/S1866,"n.a.")),"n.a.")</x:f>
        <x:v>2519759687.7715654</x:v>
      </x:c>
      <x:c r="G1866" s="17" t="n">
        <x:f>IF(AND(ISNUMBER(E1866),ISNUMBER(F1866)),E1866-F1866,"n.a.")</x:f>
        <x:v>-1415456612.7428012</x:v>
      </x:c>
      <x:c r="H1866" s="15" t="n">
        <x:f>IF(AND(ISNUMBER(E1866),ISNUMBER(F1866),F1866&gt;0),(E1866-F1866)/F1866,"n.a.")</x:f>
        <x:v>-0.5617427009456636</x:v>
      </x:c>
      <x:c r="I1866" s="19" t="n">
        <x:f>IF(ISNUMBER(H1866),ABS(H1866),"n.a.")</x:f>
        <x:v>0.5617427009456636</x:v>
      </x:c>
      <x:c r="J1866" s="2" t="str">
        <x:v>available</x:v>
      </x:c>
      <x:c r="K1866" s="2" t="n">
        <x:v>1</x:v>
      </x:c>
      <x:c r="L1866" s="13" t="b">
        <x:v>0</x:v>
      </x:c>
      <x:c r="M1866" s="13" t="b">
        <x:v>1</x:v>
      </x:c>
      <x:c r="N1866" s="2" t="str">
        <x:v>projected_CRISP_BU_surface</x:v>
      </x:c>
      <x:c r="O1866" s="2" t="str"/>
      <x:c r="P1866" s="2" t="str">
        <x:v>horizontal built-up surface</x:v>
      </x:c>
      <x:c r="Q1866" s="2" t="str">
        <x:v>m2</x:v>
      </x:c>
      <x:c r="R1866" s="17" t="n">
        <x:v>2519759687.7715616</x:v>
      </x:c>
      <x:c r="S1866" s="17" t="n">
        <x:v>1009034692.97</x:v>
      </x:c>
      <x:c r="T1866" s="18" t="n">
        <x:v>1.0000000000000016</x:v>
      </x:c>
      <x:c r="U1866" s="17" t="n">
        <x:v>1009034692.9700016</x:v>
      </x:c>
      <x:c r="V1866" s="2" t="str">
        <x:v>Area equivalent = model2020 * WUP surface / TEMPO2020 footprint; km2 multiplied by1e6 once</x:v>
      </x:c>
      <x:c r="W1866" s="2" t="str">
        <x:v>L1_numeric_partition_qualified_not_national_completeness</x:v>
      </x:c>
      <x:c r="X1866" s="2" t="str">
        <x:v>https://human-settlement.emergency.copernicus.eu/datasets.php</x:v>
      </x:c>
    </x:row>
    <x:row r="1867" ht="23" customHeight="1">
      <x:c r="A1867" s="2" t="str">
        <x:v>KEN</x:v>
      </x:c>
      <x:c r="B1867" s="2" t="str">
        <x:v>Kenya (Republic of)</x:v>
      </x:c>
      <x:c r="C1867" s="2" t="n">
        <x:v>2025</x:v>
      </x:c>
      <x:c r="D1867" s="2" t="str">
        <x:v>WUP_SURFACE</x:v>
      </x:c>
      <x:c r="E1867" s="17" t="n">
        <x:v>1344632401.951122</x:v>
      </x:c>
      <x:c r="F1867" s="17" t="n">
        <x:f>IF(AND(M1867,ISNUMBER(R1867)),IF(D1867="TEMPO_PROXY",R1867,IF(AND(ISNUMBER(S1867),S1867&gt;0,ISNUMBER(U1867)),U1867*R1867/S1867,"n.a.")),"n.a.")</x:f>
        <x:v>3468680265.7433453</x:v>
      </x:c>
      <x:c r="G1867" s="17" t="n">
        <x:f>IF(AND(ISNUMBER(E1867),ISNUMBER(F1867)),E1867-F1867,"n.a.")</x:f>
        <x:v>-2124047863.7922232</x:v>
      </x:c>
      <x:c r="H1867" s="15" t="n">
        <x:f>IF(AND(ISNUMBER(E1867),ISNUMBER(F1867),F1867&gt;0),(E1867-F1867)/F1867,"n.a.")</x:f>
        <x:v>-0.6123504333245415</x:v>
      </x:c>
      <x:c r="I1867" s="19" t="n">
        <x:f>IF(ISNUMBER(H1867),ABS(H1867),"n.a.")</x:f>
        <x:v>0.6123504333245415</x:v>
      </x:c>
      <x:c r="J1867" s="2" t="str">
        <x:v>available</x:v>
      </x:c>
      <x:c r="K1867" s="2" t="n">
        <x:v>1</x:v>
      </x:c>
      <x:c r="L1867" s="13" t="b">
        <x:v>0</x:v>
      </x:c>
      <x:c r="M1867" s="13" t="b">
        <x:v>1</x:v>
      </x:c>
      <x:c r="N1867" s="2" t="str">
        <x:v>projected_CRISP_BU_surface</x:v>
      </x:c>
      <x:c r="O1867" s="2" t="str"/>
      <x:c r="P1867" s="2" t="str">
        <x:v>horizontal built-up surface</x:v>
      </x:c>
      <x:c r="Q1867" s="2" t="str">
        <x:v>m2</x:v>
      </x:c>
      <x:c r="R1867" s="17" t="n">
        <x:v>3468680265.7433453</x:v>
      </x:c>
      <x:c r="S1867" s="17" t="n">
        <x:v>1180050447.52</x:v>
      </x:c>
      <x:c r="T1867" s="18" t="n">
        <x:v>1</x:v>
      </x:c>
      <x:c r="U1867" s="17" t="n">
        <x:v>1180050447.52</x:v>
      </x:c>
      <x:c r="V1867" s="2" t="str">
        <x:v>Area equivalent = model2020 * WUP surface / TEMPO2020 footprint; km2 multiplied by1e6 once</x:v>
      </x:c>
      <x:c r="W1867" s="2" t="str">
        <x:v>L1_numeric_partition_qualified_not_national_completeness</x:v>
      </x:c>
      <x:c r="X1867" s="2" t="str">
        <x:v>https://human-settlement.emergency.copernicus.eu/datasets.php</x:v>
      </x:c>
    </x:row>
    <x:row r="1868" ht="23" customHeight="1">
      <x:c r="A1868" s="2" t="str">
        <x:v>KGZ</x:v>
      </x:c>
      <x:c r="B1868" s="2" t="str">
        <x:v>Kyrgyzstan (Kyrgyz Republic)</x:v>
      </x:c>
      <x:c r="C1868" s="2" t="n">
        <x:v>2025</x:v>
      </x:c>
      <x:c r="D1868" s="2" t="str">
        <x:v>WUP_SURFACE</x:v>
      </x:c>
      <x:c r="E1868" s="17" t="n">
        <x:v>365953434.63270617</x:v>
      </x:c>
      <x:c r="F1868" s="17" t="n">
        <x:f>IF(AND(M1868,ISNUMBER(R1868)),IF(D1868="TEMPO_PROXY",R1868,IF(AND(ISNUMBER(S1868),S1868&gt;0,ISNUMBER(U1868)),U1868*R1868/S1868,"n.a.")),"n.a.")</x:f>
        <x:v>741567975.131043</x:v>
      </x:c>
      <x:c r="G1868" s="17" t="n">
        <x:f>IF(AND(ISNUMBER(E1868),ISNUMBER(F1868)),E1868-F1868,"n.a.")</x:f>
        <x:v>-375614540.4983368</x:v>
      </x:c>
      <x:c r="H1868" s="15" t="n">
        <x:f>IF(AND(ISNUMBER(E1868),ISNUMBER(F1868),F1868&gt;0),(E1868-F1868)/F1868,"n.a.")</x:f>
        <x:v>-0.5065139718742058</x:v>
      </x:c>
      <x:c r="I1868" s="19" t="n">
        <x:f>IF(ISNUMBER(H1868),ABS(H1868),"n.a.")</x:f>
        <x:v>0.5065139718742058</x:v>
      </x:c>
      <x:c r="J1868" s="2" t="str">
        <x:v>available</x:v>
      </x:c>
      <x:c r="K1868" s="2" t="n">
        <x:v>1</x:v>
      </x:c>
      <x:c r="L1868" s="13" t="b">
        <x:v>0</x:v>
      </x:c>
      <x:c r="M1868" s="13" t="b">
        <x:v>1</x:v>
      </x:c>
      <x:c r="N1868" s="2" t="str">
        <x:v>projected_CRISP_BU_surface</x:v>
      </x:c>
      <x:c r="O1868" s="2" t="str"/>
      <x:c r="P1868" s="2" t="str">
        <x:v>horizontal built-up surface</x:v>
      </x:c>
      <x:c r="Q1868" s="2" t="str">
        <x:v>m2</x:v>
      </x:c>
      <x:c r="R1868" s="17" t="n">
        <x:v>741567975.1310418</x:v>
      </x:c>
      <x:c r="S1868" s="17" t="n">
        <x:v>332236534.37</x:v>
      </x:c>
      <x:c r="T1868" s="18" t="n">
        <x:v>1.0000000000000016</x:v>
      </x:c>
      <x:c r="U1868" s="17" t="n">
        <x:v>332236534.37000054</x:v>
      </x:c>
      <x:c r="V1868" s="2" t="str">
        <x:v>Area equivalent = model2020 * WUP surface / TEMPO2020 footprint; km2 multiplied by1e6 once</x:v>
      </x:c>
      <x:c r="W1868" s="2" t="str">
        <x:v>L1_numeric_partition_qualified_not_national_completeness</x:v>
      </x:c>
      <x:c r="X1868" s="2" t="str">
        <x:v>https://human-settlement.emergency.copernicus.eu/datasets.php</x:v>
      </x:c>
    </x:row>
    <x:row r="1869" ht="23" customHeight="1">
      <x:c r="A1869" s="2" t="str">
        <x:v>KHM</x:v>
      </x:c>
      <x:c r="B1869" s="2" t="str">
        <x:v>Cambodia (Kingdom of)</x:v>
      </x:c>
      <x:c r="C1869" s="2" t="n">
        <x:v>2025</x:v>
      </x:c>
      <x:c r="D1869" s="2" t="str">
        <x:v>WUP_SURFACE</x:v>
      </x:c>
      <x:c r="E1869" s="17" t="n">
        <x:v>766989742.5283417</x:v>
      </x:c>
      <x:c r="F1869" s="17" t="n">
        <x:f>IF(AND(M1869,ISNUMBER(R1869)),IF(D1869="TEMPO_PROXY",R1869,IF(AND(ISNUMBER(S1869),S1869&gt;0,ISNUMBER(U1869)),U1869*R1869/S1869,"n.a.")),"n.a.")</x:f>
        <x:v>920105901.5963527</x:v>
      </x:c>
      <x:c r="G1869" s="17" t="n">
        <x:f>IF(AND(ISNUMBER(E1869),ISNUMBER(F1869)),E1869-F1869,"n.a.")</x:f>
        <x:v>-153116159.06801105</x:v>
      </x:c>
      <x:c r="H1869" s="15" t="n">
        <x:f>IF(AND(ISNUMBER(E1869),ISNUMBER(F1869),F1869&gt;0),(E1869-F1869)/F1869,"n.a.")</x:f>
        <x:v>-0.1664114519886892</x:v>
      </x:c>
      <x:c r="I1869" s="19" t="n">
        <x:f>IF(ISNUMBER(H1869),ABS(H1869),"n.a.")</x:f>
        <x:v>0.1664114519886892</x:v>
      </x:c>
      <x:c r="J1869" s="2" t="str">
        <x:v>available</x:v>
      </x:c>
      <x:c r="K1869" s="2" t="n">
        <x:v>1</x:v>
      </x:c>
      <x:c r="L1869" s="13" t="b">
        <x:v>0</x:v>
      </x:c>
      <x:c r="M1869" s="13" t="b">
        <x:v>1</x:v>
      </x:c>
      <x:c r="N1869" s="2" t="str">
        <x:v>projected_CRISP_BU_surface</x:v>
      </x:c>
      <x:c r="O1869" s="2" t="str"/>
      <x:c r="P1869" s="2" t="str">
        <x:v>horizontal built-up surface</x:v>
      </x:c>
      <x:c r="Q1869" s="2" t="str">
        <x:v>m2</x:v>
      </x:c>
      <x:c r="R1869" s="17" t="n">
        <x:v>920105901.5963514</x:v>
      </x:c>
      <x:c r="S1869" s="17" t="n">
        <x:v>672933221.83</x:v>
      </x:c>
      <x:c r="T1869" s="18" t="n">
        <x:v>1.0000000000000013</x:v>
      </x:c>
      <x:c r="U1869" s="17" t="n">
        <x:v>672933221.830001</x:v>
      </x:c>
      <x:c r="V1869" s="2" t="str">
        <x:v>Area equivalent = model2020 * WUP surface / TEMPO2020 footprint; km2 multiplied by1e6 once</x:v>
      </x:c>
      <x:c r="W1869" s="2" t="str">
        <x:v>L1_numeric_partition_qualified_not_national_completeness</x:v>
      </x:c>
      <x:c r="X1869" s="2" t="str">
        <x:v>https://human-settlement.emergency.copernicus.eu/datasets.php</x:v>
      </x:c>
    </x:row>
    <x:row r="1870" ht="23" customHeight="1">
      <x:c r="A1870" s="2" t="str">
        <x:v>KIR</x:v>
      </x:c>
      <x:c r="B1870" s="2" t="str">
        <x:v>Kiribati (Republic of)</x:v>
      </x:c>
      <x:c r="C1870" s="2" t="n">
        <x:v>2025</x:v>
      </x:c>
      <x:c r="D1870" s="2" t="str">
        <x:v>WUP_SURFACE</x:v>
      </x:c>
      <x:c r="E1870" s="17" t="n">
        <x:v>2219828.663819493</x:v>
      </x:c>
      <x:c r="F1870" s="17" t="n">
        <x:f>IF(AND(M1870,ISNUMBER(R1870)),IF(D1870="TEMPO_PROXY",R1870,IF(AND(ISNUMBER(S1870),S1870&gt;0,ISNUMBER(U1870)),U1870*R1870/S1870,"n.a.")),"n.a.")</x:f>
        <x:v>1754640.0283345068</x:v>
      </x:c>
      <x:c r="G1870" s="17" t="n">
        <x:f>IF(AND(ISNUMBER(E1870),ISNUMBER(F1870)),E1870-F1870,"n.a.")</x:f>
        <x:v>465188.635484986</x:v>
      </x:c>
      <x:c r="H1870" s="15" t="n">
        <x:f>IF(AND(ISNUMBER(E1870),ISNUMBER(F1870),F1870&gt;0),(E1870-F1870)/F1870,"n.a.")</x:f>
        <x:v>0.2651191286947558</x:v>
      </x:c>
      <x:c r="I1870" s="19" t="n">
        <x:f>IF(ISNUMBER(H1870),ABS(H1870),"n.a.")</x:f>
        <x:v>0.2651191286947558</x:v>
      </x:c>
      <x:c r="J1870" s="2" t="str">
        <x:v>available</x:v>
      </x:c>
      <x:c r="K1870" s="2" t="n">
        <x:v>1</x:v>
      </x:c>
      <x:c r="L1870" s="13" t="b">
        <x:v>0</x:v>
      </x:c>
      <x:c r="M1870" s="13" t="b">
        <x:v>1</x:v>
      </x:c>
      <x:c r="N1870" s="2" t="str">
        <x:v>projected_CRISP_BU_surface</x:v>
      </x:c>
      <x:c r="O1870" s="2" t="str"/>
      <x:c r="P1870" s="2" t="str">
        <x:v>horizontal built-up surface</x:v>
      </x:c>
      <x:c r="Q1870" s="2" t="str">
        <x:v>m2</x:v>
      </x:c>
      <x:c r="R1870" s="17" t="n">
        <x:v>1754640.0283345066</x:v>
      </x:c>
      <x:c r="S1870" s="17" t="n">
        <x:v>1721739.67</x:v>
      </x:c>
      <x:c r="T1870" s="18" t="n">
        <x:v>1.0000000000000002</x:v>
      </x:c>
      <x:c r="U1870" s="17" t="n">
        <x:v>1721739.6700000002</x:v>
      </x:c>
      <x:c r="V1870" s="2" t="str">
        <x:v>Area equivalent = model2020 * WUP surface / TEMPO2020 footprint; km2 multiplied by1e6 once</x:v>
      </x:c>
      <x:c r="W1870" s="2" t="str">
        <x:v>L1_numeric_partition_qualified_not_national_completeness</x:v>
      </x:c>
      <x:c r="X1870" s="2" t="str">
        <x:v>https://human-settlement.emergency.copernicus.eu/datasets.php</x:v>
      </x:c>
    </x:row>
    <x:row r="1871" ht="23" customHeight="1">
      <x:c r="A1871" s="2" t="str">
        <x:v>KNA</x:v>
      </x:c>
      <x:c r="B1871" s="2" t="str">
        <x:v>Saint Kitts and Nevis (Federation of)</x:v>
      </x:c>
      <x:c r="C1871" s="2" t="n">
        <x:v>2025</x:v>
      </x:c>
      <x:c r="D1871" s="2" t="str">
        <x:v>WUP_SURFACE</x:v>
      </x:c>
      <x:c r="E1871" s="17" t="n">
        <x:v>4754522.556175645</x:v>
      </x:c>
      <x:c r="F1871" s="17" t="n">
        <x:f>IF(AND(M1871,ISNUMBER(R1871)),IF(D1871="TEMPO_PROXY",R1871,IF(AND(ISNUMBER(S1871),S1871&gt;0,ISNUMBER(U1871)),U1871*R1871/S1871,"n.a.")),"n.a.")</x:f>
        <x:v>8722588.90505691</x:v>
      </x:c>
      <x:c r="G1871" s="17" t="n">
        <x:f>IF(AND(ISNUMBER(E1871),ISNUMBER(F1871)),E1871-F1871,"n.a.")</x:f>
        <x:v>-3968066.348881265</x:v>
      </x:c>
      <x:c r="H1871" s="15" t="n">
        <x:f>IF(AND(ISNUMBER(E1871),ISNUMBER(F1871),F1871&gt;0),(E1871-F1871)/F1871,"n.a.")</x:f>
        <x:v>-0.45491841838158664</x:v>
      </x:c>
      <x:c r="I1871" s="19" t="n">
        <x:f>IF(ISNUMBER(H1871),ABS(H1871),"n.a.")</x:f>
        <x:v>0.45491841838158664</x:v>
      </x:c>
      <x:c r="J1871" s="2" t="str">
        <x:v>available</x:v>
      </x:c>
      <x:c r="K1871" s="2" t="n">
        <x:v>1</x:v>
      </x:c>
      <x:c r="L1871" s="13" t="b">
        <x:v>0</x:v>
      </x:c>
      <x:c r="M1871" s="13" t="b">
        <x:v>1</x:v>
      </x:c>
      <x:c r="N1871" s="2" t="str">
        <x:v>projected_CRISP_BU_surface</x:v>
      </x:c>
      <x:c r="O1871" s="2" t="str"/>
      <x:c r="P1871" s="2" t="str">
        <x:v>horizontal built-up surface</x:v>
      </x:c>
      <x:c r="Q1871" s="2" t="str">
        <x:v>m2</x:v>
      </x:c>
      <x:c r="R1871" s="17" t="n">
        <x:v>8722588.905056909</x:v>
      </x:c>
      <x:c r="S1871" s="17" t="n">
        <x:v>4523960.76</x:v>
      </x:c>
      <x:c r="T1871" s="18" t="n">
        <x:v>1.0000000000000002</x:v>
      </x:c>
      <x:c r="U1871" s="17" t="n">
        <x:v>4523960.760000001</x:v>
      </x:c>
      <x:c r="V1871" s="2" t="str">
        <x:v>Area equivalent = model2020 * WUP surface / TEMPO2020 footprint; km2 multiplied by1e6 once</x:v>
      </x:c>
      <x:c r="W1871" s="2" t="str">
        <x:v>L1_numeric_partition_qualified_not_national_completeness</x:v>
      </x:c>
      <x:c r="X1871" s="2" t="str">
        <x:v>https://human-settlement.emergency.copernicus.eu/datasets.php</x:v>
      </x:c>
    </x:row>
    <x:row r="1872" ht="23" customHeight="1">
      <x:c r="A1872" s="2" t="str">
        <x:v>KOR</x:v>
      </x:c>
      <x:c r="B1872" s="2" t="str">
        <x:v>Korea (Republic of)</x:v>
      </x:c>
      <x:c r="C1872" s="2" t="n">
        <x:v>2025</x:v>
      </x:c>
      <x:c r="D1872" s="2" t="str">
        <x:v>WUP_SURFACE</x:v>
      </x:c>
      <x:c r="E1872" s="17" t="n">
        <x:v>3194148848.7565894</x:v>
      </x:c>
      <x:c r="F1872" s="17" t="n">
        <x:f>IF(AND(M1872,ISNUMBER(R1872)),IF(D1872="TEMPO_PROXY",R1872,IF(AND(ISNUMBER(S1872),S1872&gt;0,ISNUMBER(U1872)),U1872*R1872/S1872,"n.a.")),"n.a.")</x:f>
        <x:v>4464420413.081423</x:v>
      </x:c>
      <x:c r="G1872" s="17" t="n">
        <x:f>IF(AND(ISNUMBER(E1872),ISNUMBER(F1872)),E1872-F1872,"n.a.")</x:f>
        <x:v>-1270271564.3248334</x:v>
      </x:c>
      <x:c r="H1872" s="15" t="n">
        <x:f>IF(AND(ISNUMBER(E1872),ISNUMBER(F1872),F1872&gt;0),(E1872-F1872)/F1872,"n.a.")</x:f>
        <x:v>-0.2845322453509859</x:v>
      </x:c>
      <x:c r="I1872" s="19" t="n">
        <x:f>IF(ISNUMBER(H1872),ABS(H1872),"n.a.")</x:f>
        <x:v>0.2845322453509859</x:v>
      </x:c>
      <x:c r="J1872" s="2" t="str">
        <x:v>available</x:v>
      </x:c>
      <x:c r="K1872" s="2" t="n">
        <x:v>1</x:v>
      </x:c>
      <x:c r="L1872" s="13" t="b">
        <x:v>0</x:v>
      </x:c>
      <x:c r="M1872" s="13" t="b">
        <x:v>1</x:v>
      </x:c>
      <x:c r="N1872" s="2" t="str">
        <x:v>projected_CRISP_BU_surface</x:v>
      </x:c>
      <x:c r="O1872" s="2" t="str"/>
      <x:c r="P1872" s="2" t="str">
        <x:v>horizontal built-up surface</x:v>
      </x:c>
      <x:c r="Q1872" s="2" t="str">
        <x:v>m2</x:v>
      </x:c>
      <x:c r="R1872" s="17" t="n">
        <x:v>3875762606.2584896</x:v>
      </x:c>
      <x:c r="S1872" s="17" t="n">
        <x:v>2559028811.37</x:v>
      </x:c>
      <x:c r="T1872" s="18" t="n">
        <x:v>1.151881801499499</x:v>
      </x:c>
      <x:c r="U1872" s="17" t="n">
        <x:v>2947698717.329997</x:v>
      </x:c>
      <x:c r="V1872" s="2" t="str">
        <x:v>Area equivalent = model2020 * WUP surface / TEMPO2020 footprint; km2 multiplied by1e6 once</x:v>
      </x:c>
      <x:c r="W1872" s="2" t="str">
        <x:v>L1_numeric_partition_qualified_not_national_completeness</x:v>
      </x:c>
      <x:c r="X1872" s="2" t="str">
        <x:v>https://human-settlement.emergency.copernicus.eu/datasets.php</x:v>
      </x:c>
    </x:row>
    <x:row r="1873" ht="23" customHeight="1">
      <x:c r="A1873" s="2" t="str">
        <x:v>KWT</x:v>
      </x:c>
      <x:c r="B1873" s="2" t="str">
        <x:v>Kuwait (State of)</x:v>
      </x:c>
      <x:c r="C1873" s="2" t="n">
        <x:v>2025</x:v>
      </x:c>
      <x:c r="D1873" s="2" t="str">
        <x:v>WUP_SURFACE</x:v>
      </x:c>
      <x:c r="E1873" s="17" t="n">
        <x:v>184317601.46830326</x:v>
      </x:c>
      <x:c r="F1873" s="17" t="n">
        <x:f>IF(AND(M1873,ISNUMBER(R1873)),IF(D1873="TEMPO_PROXY",R1873,IF(AND(ISNUMBER(S1873),S1873&gt;0,ISNUMBER(U1873)),U1873*R1873/S1873,"n.a.")),"n.a.")</x:f>
        <x:v>278896715.6809622</x:v>
      </x:c>
      <x:c r="G1873" s="17" t="n">
        <x:f>IF(AND(ISNUMBER(E1873),ISNUMBER(F1873)),E1873-F1873,"n.a.")</x:f>
        <x:v>-94579114.21265894</x:v>
      </x:c>
      <x:c r="H1873" s="15" t="n">
        <x:f>IF(AND(ISNUMBER(E1873),ISNUMBER(F1873),F1873&gt;0),(E1873-F1873)/F1873,"n.a.")</x:f>
        <x:v>-0.33911878087818953</x:v>
      </x:c>
      <x:c r="I1873" s="19" t="n">
        <x:f>IF(ISNUMBER(H1873),ABS(H1873),"n.a.")</x:f>
        <x:v>0.33911878087818953</x:v>
      </x:c>
      <x:c r="J1873" s="2" t="str">
        <x:v>available</x:v>
      </x:c>
      <x:c r="K1873" s="2" t="n">
        <x:v>1</x:v>
      </x:c>
      <x:c r="L1873" s="13" t="b">
        <x:v>0</x:v>
      </x:c>
      <x:c r="M1873" s="13" t="b">
        <x:v>1</x:v>
      </x:c>
      <x:c r="N1873" s="2" t="str">
        <x:v>projected_CRISP_BU_surface</x:v>
      </x:c>
      <x:c r="O1873" s="2" t="str"/>
      <x:c r="P1873" s="2" t="str">
        <x:v>horizontal built-up surface</x:v>
      </x:c>
      <x:c r="Q1873" s="2" t="str">
        <x:v>m2</x:v>
      </x:c>
      <x:c r="R1873" s="17" t="n">
        <x:v>256979311.81825766</x:v>
      </x:c>
      <x:c r="S1873" s="17" t="n">
        <x:v>143367071.73</x:v>
      </x:c>
      <x:c r="T1873" s="18" t="n">
        <x:v>1.0852885927183318</x:v>
      </x:c>
      <x:c r="U1873" s="17" t="n">
        <x:v>155594647.5199998</x:v>
      </x:c>
      <x:c r="V1873" s="2" t="str">
        <x:v>Area equivalent = model2020 * WUP surface / TEMPO2020 footprint; km2 multiplied by1e6 once</x:v>
      </x:c>
      <x:c r="W1873" s="2" t="str">
        <x:v>L1_numeric_partition_qualified_not_national_completeness</x:v>
      </x:c>
      <x:c r="X1873" s="2" t="str">
        <x:v>https://human-settlement.emergency.copernicus.eu/datasets.php</x:v>
      </x:c>
    </x:row>
    <x:row r="1874" ht="23" customHeight="1">
      <x:c r="A1874" s="2" t="str">
        <x:v>LAO</x:v>
      </x:c>
      <x:c r="B1874" s="2" t="str">
        <x:v>Lao People's Democratic Republic</x:v>
      </x:c>
      <x:c r="C1874" s="2" t="n">
        <x:v>2025</x:v>
      </x:c>
      <x:c r="D1874" s="2" t="str">
        <x:v>WUP_SURFACE</x:v>
      </x:c>
      <x:c r="E1874" s="17" t="n">
        <x:v>384756939.4682041</x:v>
      </x:c>
      <x:c r="F1874" s="17" t="n">
        <x:f>IF(AND(M1874,ISNUMBER(R1874)),IF(D1874="TEMPO_PROXY",R1874,IF(AND(ISNUMBER(S1874),S1874&gt;0,ISNUMBER(U1874)),U1874*R1874/S1874,"n.a.")),"n.a.")</x:f>
        <x:v>390790400.1489428</x:v>
      </x:c>
      <x:c r="G1874" s="17" t="n">
        <x:f>IF(AND(ISNUMBER(E1874),ISNUMBER(F1874)),E1874-F1874,"n.a.")</x:f>
        <x:v>-6033460.680738747</x:v>
      </x:c>
      <x:c r="H1874" s="15" t="n">
        <x:f>IF(AND(ISNUMBER(E1874),ISNUMBER(F1874),F1874&gt;0),(E1874-F1874)/F1874,"n.a.")</x:f>
        <x:v>-0.015439122041992845</x:v>
      </x:c>
      <x:c r="I1874" s="19" t="n">
        <x:f>IF(ISNUMBER(H1874),ABS(H1874),"n.a.")</x:f>
        <x:v>0.015439122041992845</x:v>
      </x:c>
      <x:c r="J1874" s="2" t="str">
        <x:v>available</x:v>
      </x:c>
      <x:c r="K1874" s="2" t="n">
        <x:v>1</x:v>
      </x:c>
      <x:c r="L1874" s="13" t="b">
        <x:v>0</x:v>
      </x:c>
      <x:c r="M1874" s="13" t="b">
        <x:v>1</x:v>
      </x:c>
      <x:c r="N1874" s="2" t="str">
        <x:v>projected_CRISP_BU_surface</x:v>
      </x:c>
      <x:c r="O1874" s="2" t="str"/>
      <x:c r="P1874" s="2" t="str">
        <x:v>horizontal built-up surface</x:v>
      </x:c>
      <x:c r="Q1874" s="2" t="str">
        <x:v>m2</x:v>
      </x:c>
      <x:c r="R1874" s="17" t="n">
        <x:v>390790400.14894307</x:v>
      </x:c>
      <x:c r="S1874" s="17" t="n">
        <x:v>333393295.19</x:v>
      </x:c>
      <x:c r="T1874" s="18" t="n">
        <x:v>0.9999999999999994</x:v>
      </x:c>
      <x:c r="U1874" s="17" t="n">
        <x:v>333393295.1899998</x:v>
      </x:c>
      <x:c r="V1874" s="2" t="str">
        <x:v>Area equivalent = model2020 * WUP surface / TEMPO2020 footprint; km2 multiplied by1e6 once</x:v>
      </x:c>
      <x:c r="W1874" s="2" t="str">
        <x:v>L1_numeric_partition_qualified_not_national_completeness</x:v>
      </x:c>
      <x:c r="X1874" s="2" t="str">
        <x:v>https://human-settlement.emergency.copernicus.eu/datasets.php</x:v>
      </x:c>
    </x:row>
    <x:row r="1875" ht="23" customHeight="1">
      <x:c r="A1875" s="2" t="str">
        <x:v>LBN</x:v>
      </x:c>
      <x:c r="B1875" s="2" t="str">
        <x:v>Lebanon (Lebanese Republic)</x:v>
      </x:c>
      <x:c r="C1875" s="2" t="n">
        <x:v>2025</x:v>
      </x:c>
      <x:c r="D1875" s="2" t="str">
        <x:v>WUP_SURFACE</x:v>
      </x:c>
      <x:c r="E1875" s="17" t="n">
        <x:v>251532840.60812202</x:v>
      </x:c>
      <x:c r="F1875" s="17" t="n">
        <x:f>IF(AND(M1875,ISNUMBER(R1875)),IF(D1875="TEMPO_PROXY",R1875,IF(AND(ISNUMBER(S1875),S1875&gt;0,ISNUMBER(U1875)),U1875*R1875/S1875,"n.a.")),"n.a.")</x:f>
        <x:v>327899014.6885566</x:v>
      </x:c>
      <x:c r="G1875" s="17" t="n">
        <x:f>IF(AND(ISNUMBER(E1875),ISNUMBER(F1875)),E1875-F1875,"n.a.")</x:f>
        <x:v>-76366174.08043459</x:v>
      </x:c>
      <x:c r="H1875" s="15" t="n">
        <x:f>IF(AND(ISNUMBER(E1875),ISNUMBER(F1875),F1875&gt;0),(E1875-F1875)/F1875,"n.a.")</x:f>
        <x:v>-0.2328954057790272</x:v>
      </x:c>
      <x:c r="I1875" s="19" t="n">
        <x:f>IF(ISNUMBER(H1875),ABS(H1875),"n.a.")</x:f>
        <x:v>0.2328954057790272</x:v>
      </x:c>
      <x:c r="J1875" s="2" t="str">
        <x:v>available</x:v>
      </x:c>
      <x:c r="K1875" s="2" t="n">
        <x:v>1</x:v>
      </x:c>
      <x:c r="L1875" s="13" t="b">
        <x:v>0</x:v>
      </x:c>
      <x:c r="M1875" s="13" t="b">
        <x:v>1</x:v>
      </x:c>
      <x:c r="N1875" s="2" t="str">
        <x:v>projected_CRISP_BU_surface</x:v>
      </x:c>
      <x:c r="O1875" s="2" t="str"/>
      <x:c r="P1875" s="2" t="str">
        <x:v>horizontal built-up surface</x:v>
      </x:c>
      <x:c r="Q1875" s="2" t="str">
        <x:v>m2</x:v>
      </x:c>
      <x:c r="R1875" s="17" t="n">
        <x:v>322198712.8345638</x:v>
      </x:c>
      <x:c r="S1875" s="17" t="n">
        <x:v>222783609.45</x:v>
      </x:c>
      <x:c r="T1875" s="18" t="n">
        <x:v>1.0176918827634165</x:v>
      </x:c>
      <x:c r="U1875" s="17" t="n">
        <x:v>226725070.95000017</x:v>
      </x:c>
      <x:c r="V1875" s="2" t="str">
        <x:v>Area equivalent = model2020 * WUP surface / TEMPO2020 footprint; km2 multiplied by1e6 once</x:v>
      </x:c>
      <x:c r="W1875" s="2" t="str">
        <x:v>L1_numeric_partition_qualified_not_national_completeness</x:v>
      </x:c>
      <x:c r="X1875" s="2" t="str">
        <x:v>https://human-settlement.emergency.copernicus.eu/datasets.php</x:v>
      </x:c>
    </x:row>
    <x:row r="1876" ht="23" customHeight="1">
      <x:c r="A1876" s="2" t="str">
        <x:v>LBR</x:v>
      </x:c>
      <x:c r="B1876" s="2" t="str">
        <x:v>Liberia (Republic of)</x:v>
      </x:c>
      <x:c r="C1876" s="2" t="n">
        <x:v>2025</x:v>
      </x:c>
      <x:c r="D1876" s="2" t="str">
        <x:v>WUP_SURFACE</x:v>
      </x:c>
      <x:c r="E1876" s="17" t="n">
        <x:v>111730204.49078652</x:v>
      </x:c>
      <x:c r="F1876" s="17" t="n">
        <x:f>IF(AND(M1876,ISNUMBER(R1876)),IF(D1876="TEMPO_PROXY",R1876,IF(AND(ISNUMBER(S1876),S1876&gt;0,ISNUMBER(U1876)),U1876*R1876/S1876,"n.a.")),"n.a.")</x:f>
        <x:v>237151754.16973275</x:v>
      </x:c>
      <x:c r="G1876" s="17" t="n">
        <x:f>IF(AND(ISNUMBER(E1876),ISNUMBER(F1876)),E1876-F1876,"n.a.")</x:f>
        <x:v>-125421549.67894623</x:v>
      </x:c>
      <x:c r="H1876" s="15" t="n">
        <x:f>IF(AND(ISNUMBER(E1876),ISNUMBER(F1876),F1876&gt;0),(E1876-F1876)/F1876,"n.a.")</x:f>
        <x:v>-0.5288662110809449</x:v>
      </x:c>
      <x:c r="I1876" s="19" t="n">
        <x:f>IF(ISNUMBER(H1876),ABS(H1876),"n.a.")</x:f>
        <x:v>0.5288662110809449</x:v>
      </x:c>
      <x:c r="J1876" s="2" t="str">
        <x:v>available</x:v>
      </x:c>
      <x:c r="K1876" s="2" t="n">
        <x:v>1</x:v>
      </x:c>
      <x:c r="L1876" s="13" t="b">
        <x:v>0</x:v>
      </x:c>
      <x:c r="M1876" s="13" t="b">
        <x:v>1</x:v>
      </x:c>
      <x:c r="N1876" s="2" t="str">
        <x:v>projected_CRISP_BU_surface</x:v>
      </x:c>
      <x:c r="O1876" s="2" t="str"/>
      <x:c r="P1876" s="2" t="str">
        <x:v>horizontal built-up surface</x:v>
      </x:c>
      <x:c r="Q1876" s="2" t="str">
        <x:v>m2</x:v>
      </x:c>
      <x:c r="R1876" s="17" t="n">
        <x:v>237151754.16973242</x:v>
      </x:c>
      <x:c r="S1876" s="17" t="n">
        <x:v>93713430.84</x:v>
      </x:c>
      <x:c r="T1876" s="18" t="n">
        <x:v>1.0000000000000013</x:v>
      </x:c>
      <x:c r="U1876" s="17" t="n">
        <x:v>93713430.84000014</x:v>
      </x:c>
      <x:c r="V1876" s="2" t="str">
        <x:v>Area equivalent = model2020 * WUP surface / TEMPO2020 footprint; km2 multiplied by1e6 once</x:v>
      </x:c>
      <x:c r="W1876" s="2" t="str">
        <x:v>L1_numeric_partition_qualified_not_national_completeness</x:v>
      </x:c>
      <x:c r="X1876" s="2" t="str">
        <x:v>https://human-settlement.emergency.copernicus.eu/datasets.php</x:v>
      </x:c>
    </x:row>
    <x:row r="1877" ht="23" customHeight="1">
      <x:c r="A1877" s="2" t="str">
        <x:v>LBY</x:v>
      </x:c>
      <x:c r="B1877" s="2" t="str">
        <x:v>Libya (State of)</x:v>
      </x:c>
      <x:c r="C1877" s="2" t="n">
        <x:v>2025</x:v>
      </x:c>
      <x:c r="D1877" s="2" t="str">
        <x:v>WUP_SURFACE</x:v>
      </x:c>
      <x:c r="E1877" s="17" t="n">
        <x:v>557852331.2497411</x:v>
      </x:c>
      <x:c r="F1877" s="17" t="n">
        <x:f>IF(AND(M1877,ISNUMBER(R1877)),IF(D1877="TEMPO_PROXY",R1877,IF(AND(ISNUMBER(S1877),S1877&gt;0,ISNUMBER(U1877)),U1877*R1877/S1877,"n.a.")),"n.a.")</x:f>
        <x:v>1072198955.8974768</x:v>
      </x:c>
      <x:c r="G1877" s="17" t="n">
        <x:f>IF(AND(ISNUMBER(E1877),ISNUMBER(F1877)),E1877-F1877,"n.a.")</x:f>
        <x:v>-514346624.6477357</x:v>
      </x:c>
      <x:c r="H1877" s="15" t="n">
        <x:f>IF(AND(ISNUMBER(E1877),ISNUMBER(F1877),F1877&gt;0),(E1877-F1877)/F1877,"n.a.")</x:f>
        <x:v>-0.479711924562737</x:v>
      </x:c>
      <x:c r="I1877" s="19" t="n">
        <x:f>IF(ISNUMBER(H1877),ABS(H1877),"n.a.")</x:f>
        <x:v>0.479711924562737</x:v>
      </x:c>
      <x:c r="J1877" s="2" t="str">
        <x:v>available</x:v>
      </x:c>
      <x:c r="K1877" s="2" t="n">
        <x:v>1</x:v>
      </x:c>
      <x:c r="L1877" s="13" t="b">
        <x:v>0</x:v>
      </x:c>
      <x:c r="M1877" s="13" t="b">
        <x:v>1</x:v>
      </x:c>
      <x:c r="N1877" s="2" t="str">
        <x:v>projected_CRISP_BU_surface</x:v>
      </x:c>
      <x:c r="O1877" s="2" t="str"/>
      <x:c r="P1877" s="2" t="str">
        <x:v>horizontal built-up surface</x:v>
      </x:c>
      <x:c r="Q1877" s="2" t="str">
        <x:v>m2</x:v>
      </x:c>
      <x:c r="R1877" s="17" t="n">
        <x:v>1072198955.8974758</x:v>
      </x:c>
      <x:c r="S1877" s="17" t="n">
        <x:v>523048577.3</x:v>
      </x:c>
      <x:c r="T1877" s="18" t="n">
        <x:v>1.0000000000000009</x:v>
      </x:c>
      <x:c r="U1877" s="17" t="n">
        <x:v>523048577.3000005</x:v>
      </x:c>
      <x:c r="V1877" s="2" t="str">
        <x:v>Area equivalent = model2020 * WUP surface / TEMPO2020 footprint; km2 multiplied by1e6 once</x:v>
      </x:c>
      <x:c r="W1877" s="2" t="str">
        <x:v>L1_numeric_partition_qualified_not_national_completeness</x:v>
      </x:c>
      <x:c r="X1877" s="2" t="str">
        <x:v>https://human-settlement.emergency.copernicus.eu/datasets.php</x:v>
      </x:c>
    </x:row>
    <x:row r="1878" ht="23" customHeight="1">
      <x:c r="A1878" s="2" t="str">
        <x:v>LCA</x:v>
      </x:c>
      <x:c r="B1878" s="2" t="str">
        <x:v>Saint Lucia</x:v>
      </x:c>
      <x:c r="C1878" s="2" t="n">
        <x:v>2025</x:v>
      </x:c>
      <x:c r="D1878" s="2" t="str">
        <x:v>WUP_SURFACE</x:v>
      </x:c>
      <x:c r="E1878" s="17" t="n">
        <x:v>11131364.094672032</x:v>
      </x:c>
      <x:c r="F1878" s="17" t="n">
        <x:f>IF(AND(M1878,ISNUMBER(R1878)),IF(D1878="TEMPO_PROXY",R1878,IF(AND(ISNUMBER(S1878),S1878&gt;0,ISNUMBER(U1878)),U1878*R1878/S1878,"n.a.")),"n.a.")</x:f>
        <x:v>16994921.95945644</x:v>
      </x:c>
      <x:c r="G1878" s="17" t="n">
        <x:f>IF(AND(ISNUMBER(E1878),ISNUMBER(F1878)),E1878-F1878,"n.a.")</x:f>
        <x:v>-5863557.864784408</x:v>
      </x:c>
      <x:c r="H1878" s="15" t="n">
        <x:f>IF(AND(ISNUMBER(E1878),ISNUMBER(F1878),F1878&gt;0),(E1878-F1878)/F1878,"n.a.")</x:f>
        <x:v>-0.3450182283138855</x:v>
      </x:c>
      <x:c r="I1878" s="19" t="n">
        <x:f>IF(ISNUMBER(H1878),ABS(H1878),"n.a.")</x:f>
        <x:v>0.3450182283138855</x:v>
      </x:c>
      <x:c r="J1878" s="2" t="str">
        <x:v>available</x:v>
      </x:c>
      <x:c r="K1878" s="2" t="n">
        <x:v>1</x:v>
      </x:c>
      <x:c r="L1878" s="13" t="b">
        <x:v>0</x:v>
      </x:c>
      <x:c r="M1878" s="13" t="b">
        <x:v>1</x:v>
      </x:c>
      <x:c r="N1878" s="2" t="str">
        <x:v>projected_CRISP_BU_surface</x:v>
      </x:c>
      <x:c r="O1878" s="2" t="str"/>
      <x:c r="P1878" s="2" t="str">
        <x:v>horizontal built-up surface</x:v>
      </x:c>
      <x:c r="Q1878" s="2" t="str">
        <x:v>m2</x:v>
      </x:c>
      <x:c r="R1878" s="17" t="n">
        <x:v>16994921.959456407</x:v>
      </x:c>
      <x:c r="S1878" s="17" t="n">
        <x:v>10226894.6</x:v>
      </x:c>
      <x:c r="T1878" s="18" t="n">
        <x:v>1.0000000000000018</x:v>
      </x:c>
      <x:c r="U1878" s="17" t="n">
        <x:v>10226894.600000018</x:v>
      </x:c>
      <x:c r="V1878" s="2" t="str">
        <x:v>Area equivalent = model2020 * WUP surface / TEMPO2020 footprint; km2 multiplied by1e6 once</x:v>
      </x:c>
      <x:c r="W1878" s="2" t="str">
        <x:v>L1_numeric_partition_qualified_not_national_completeness</x:v>
      </x:c>
      <x:c r="X1878" s="2" t="str">
        <x:v>https://human-settlement.emergency.copernicus.eu/datasets.php</x:v>
      </x:c>
    </x:row>
    <x:row r="1879" ht="23" customHeight="1">
      <x:c r="A1879" s="2" t="str">
        <x:v>LIE</x:v>
      </x:c>
      <x:c r="B1879" s="2" t="str">
        <x:v>Liechtenstein (Principality of)</x:v>
      </x:c>
      <x:c r="C1879" s="2" t="n">
        <x:v>2025</x:v>
      </x:c>
      <x:c r="D1879" s="2" t="str">
        <x:v>WUP_SURFACE</x:v>
      </x:c>
      <x:c r="E1879" s="17" t="n">
        <x:v>4215805.015710397</x:v>
      </x:c>
      <x:c r="F1879" s="17" t="n">
        <x:f>IF(AND(M1879,ISNUMBER(R1879)),IF(D1879="TEMPO_PROXY",R1879,IF(AND(ISNUMBER(S1879),S1879&gt;0,ISNUMBER(U1879)),U1879*R1879/S1879,"n.a.")),"n.a.")</x:f>
        <x:v>6111724.410612965</x:v>
      </x:c>
      <x:c r="G1879" s="17" t="n">
        <x:f>IF(AND(ISNUMBER(E1879),ISNUMBER(F1879)),E1879-F1879,"n.a.")</x:f>
        <x:v>-1895919.3949025683</x:v>
      </x:c>
      <x:c r="H1879" s="15" t="n">
        <x:f>IF(AND(ISNUMBER(E1879),ISNUMBER(F1879),F1879&gt;0),(E1879-F1879)/F1879,"n.a.")</x:f>
        <x:v>-0.31021022342079396</x:v>
      </x:c>
      <x:c r="I1879" s="19" t="n">
        <x:f>IF(ISNUMBER(H1879),ABS(H1879),"n.a.")</x:f>
        <x:v>0.31021022342079396</x:v>
      </x:c>
      <x:c r="J1879" s="2" t="str">
        <x:v>available</x:v>
      </x:c>
      <x:c r="K1879" s="2" t="n">
        <x:v>1</x:v>
      </x:c>
      <x:c r="L1879" s="13" t="b">
        <x:v>0</x:v>
      </x:c>
      <x:c r="M1879" s="13" t="b">
        <x:v>1</x:v>
      </x:c>
      <x:c r="N1879" s="2" t="str">
        <x:v>projected_CRISP_BU_surface</x:v>
      </x:c>
      <x:c r="O1879" s="2" t="str"/>
      <x:c r="P1879" s="2" t="str">
        <x:v>horizontal built-up surface</x:v>
      </x:c>
      <x:c r="Q1879" s="2" t="str">
        <x:v>m2</x:v>
      </x:c>
      <x:c r="R1879" s="17" t="n">
        <x:v>5928405.513081998</x:v>
      </x:c>
      <x:c r="S1879" s="17" t="n">
        <x:v>3519854.45</x:v>
      </x:c>
      <x:c r="T1879" s="18" t="n">
        <x:v>1.0309221252032177</x:v>
      </x:c>
      <x:c r="U1879" s="17" t="n">
        <x:v>3628695.830000003</x:v>
      </x:c>
      <x:c r="V1879" s="2" t="str">
        <x:v>Area equivalent = model2020 * WUP surface / TEMPO2020 footprint; km2 multiplied by1e6 once</x:v>
      </x:c>
      <x:c r="W1879" s="2" t="str">
        <x:v>L1_numeric_partition_qualified_not_national_completeness</x:v>
      </x:c>
      <x:c r="X1879" s="2" t="str">
        <x:v>https://human-settlement.emergency.copernicus.eu/datasets.php</x:v>
      </x:c>
    </x:row>
    <x:row r="1880" ht="23" customHeight="1">
      <x:c r="A1880" s="2" t="str">
        <x:v>LKA</x:v>
      </x:c>
      <x:c r="B1880" s="2" t="str">
        <x:v>Sri Lanka (Democratic Socialist Republic of)</x:v>
      </x:c>
      <x:c r="C1880" s="2" t="n">
        <x:v>2025</x:v>
      </x:c>
      <x:c r="D1880" s="2" t="str">
        <x:v>WUP_SURFACE</x:v>
      </x:c>
      <x:c r="E1880" s="17" t="n">
        <x:v>1005209362.5849447</x:v>
      </x:c>
      <x:c r="F1880" s="17" t="n">
        <x:f>IF(AND(M1880,ISNUMBER(R1880)),IF(D1880="TEMPO_PROXY",R1880,IF(AND(ISNUMBER(S1880),S1880&gt;0,ISNUMBER(U1880)),U1880*R1880/S1880,"n.a.")),"n.a.")</x:f>
        <x:v>1097685799.907068</x:v>
      </x:c>
      <x:c r="G1880" s="17" t="n">
        <x:f>IF(AND(ISNUMBER(E1880),ISNUMBER(F1880)),E1880-F1880,"n.a.")</x:f>
        <x:v>-92476437.32212329</x:v>
      </x:c>
      <x:c r="H1880" s="15" t="n">
        <x:f>IF(AND(ISNUMBER(E1880),ISNUMBER(F1880),F1880&gt;0),(E1880-F1880)/F1880,"n.a.")</x:f>
        <x:v>-0.0842467282804902</x:v>
      </x:c>
      <x:c r="I1880" s="19" t="n">
        <x:f>IF(ISNUMBER(H1880),ABS(H1880),"n.a.")</x:f>
        <x:v>0.0842467282804902</x:v>
      </x:c>
      <x:c r="J1880" s="2" t="str">
        <x:v>available</x:v>
      </x:c>
      <x:c r="K1880" s="2" t="n">
        <x:v>1</x:v>
      </x:c>
      <x:c r="L1880" s="13" t="b">
        <x:v>0</x:v>
      </x:c>
      <x:c r="M1880" s="13" t="b">
        <x:v>1</x:v>
      </x:c>
      <x:c r="N1880" s="2" t="str">
        <x:v>projected_CRISP_BU_surface</x:v>
      </x:c>
      <x:c r="O1880" s="2" t="str"/>
      <x:c r="P1880" s="2" t="str">
        <x:v>horizontal built-up surface</x:v>
      </x:c>
      <x:c r="Q1880" s="2" t="str">
        <x:v>m2</x:v>
      </x:c>
      <x:c r="R1880" s="17" t="n">
        <x:v>1097685799.907067</x:v>
      </x:c>
      <x:c r="S1880" s="17" t="n">
        <x:v>899293602.29</x:v>
      </x:c>
      <x:c r="T1880" s="18" t="n">
        <x:v>1.0000000000000009</x:v>
      </x:c>
      <x:c r="U1880" s="17" t="n">
        <x:v>899293602.2900008</x:v>
      </x:c>
      <x:c r="V1880" s="2" t="str">
        <x:v>Area equivalent = model2020 * WUP surface / TEMPO2020 footprint; km2 multiplied by1e6 once</x:v>
      </x:c>
      <x:c r="W1880" s="2" t="str">
        <x:v>L1_numeric_partition_qualified_not_national_completeness</x:v>
      </x:c>
      <x:c r="X1880" s="2" t="str">
        <x:v>https://human-settlement.emergency.copernicus.eu/datasets.php</x:v>
      </x:c>
    </x:row>
    <x:row r="1881" ht="23" customHeight="1">
      <x:c r="A1881" s="2" t="str">
        <x:v>LSO</x:v>
      </x:c>
      <x:c r="B1881" s="2" t="str">
        <x:v>Lesotho (Kingdom of)</x:v>
      </x:c>
      <x:c r="C1881" s="2" t="n">
        <x:v>2025</x:v>
      </x:c>
      <x:c r="D1881" s="2" t="str">
        <x:v>WUP_SURFACE</x:v>
      </x:c>
      <x:c r="E1881" s="17" t="n">
        <x:v>66185888.070411466</x:v>
      </x:c>
      <x:c r="F1881" s="17" t="n">
        <x:f>IF(AND(M1881,ISNUMBER(R1881)),IF(D1881="TEMPO_PROXY",R1881,IF(AND(ISNUMBER(S1881),S1881&gt;0,ISNUMBER(U1881)),U1881*R1881/S1881,"n.a.")),"n.a.")</x:f>
        <x:v>228433209.81353208</x:v>
      </x:c>
      <x:c r="G1881" s="17" t="n">
        <x:f>IF(AND(ISNUMBER(E1881),ISNUMBER(F1881)),E1881-F1881,"n.a.")</x:f>
        <x:v>-162247321.7431206</x:v>
      </x:c>
      <x:c r="H1881" s="15" t="n">
        <x:f>IF(AND(ISNUMBER(E1881),ISNUMBER(F1881),F1881&gt;0),(E1881-F1881)/F1881,"n.a.")</x:f>
        <x:v>-0.7102615327935968</x:v>
      </x:c>
      <x:c r="I1881" s="19" t="n">
        <x:f>IF(ISNUMBER(H1881),ABS(H1881),"n.a.")</x:f>
        <x:v>0.7102615327935968</x:v>
      </x:c>
      <x:c r="J1881" s="2" t="str">
        <x:v>available</x:v>
      </x:c>
      <x:c r="K1881" s="2" t="n">
        <x:v>1</x:v>
      </x:c>
      <x:c r="L1881" s="13" t="b">
        <x:v>0</x:v>
      </x:c>
      <x:c r="M1881" s="13" t="b">
        <x:v>1</x:v>
      </x:c>
      <x:c r="N1881" s="2" t="str">
        <x:v>projected_CRISP_BU_surface</x:v>
      </x:c>
      <x:c r="O1881" s="2" t="str"/>
      <x:c r="P1881" s="2" t="str">
        <x:v>horizontal built-up surface</x:v>
      </x:c>
      <x:c r="Q1881" s="2" t="str">
        <x:v>m2</x:v>
      </x:c>
      <x:c r="R1881" s="17" t="n">
        <x:v>228433209.8135318</x:v>
      </x:c>
      <x:c r="S1881" s="17" t="n">
        <x:v>60655167.15</x:v>
      </x:c>
      <x:c r="T1881" s="18" t="n">
        <x:v>1.0000000000000013</x:v>
      </x:c>
      <x:c r="U1881" s="17" t="n">
        <x:v>60655167.15000007</x:v>
      </x:c>
      <x:c r="V1881" s="2" t="str">
        <x:v>Area equivalent = model2020 * WUP surface / TEMPO2020 footprint; km2 multiplied by1e6 once</x:v>
      </x:c>
      <x:c r="W1881" s="2" t="str">
        <x:v>L1_numeric_partition_qualified_not_national_completeness</x:v>
      </x:c>
      <x:c r="X1881" s="2" t="str">
        <x:v>https://human-settlement.emergency.copernicus.eu/datasets.php</x:v>
      </x:c>
    </x:row>
    <x:row r="1882" ht="23" customHeight="1">
      <x:c r="A1882" s="2" t="str">
        <x:v>LTU</x:v>
      </x:c>
      <x:c r="B1882" s="2" t="str">
        <x:v>Lithuania (Republic of)</x:v>
      </x:c>
      <x:c r="C1882" s="2" t="n">
        <x:v>2025</x:v>
      </x:c>
      <x:c r="D1882" s="2" t="str">
        <x:v>WUP_SURFACE</x:v>
      </x:c>
      <x:c r="E1882" s="17" t="n">
        <x:v>284006581.1805013</x:v>
      </x:c>
      <x:c r="F1882" s="17" t="n">
        <x:f>IF(AND(M1882,ISNUMBER(R1882)),IF(D1882="TEMPO_PROXY",R1882,IF(AND(ISNUMBER(S1882),S1882&gt;0,ISNUMBER(U1882)),U1882*R1882/S1882,"n.a.")),"n.a.")</x:f>
        <x:v>503273100.79183596</x:v>
      </x:c>
      <x:c r="G1882" s="17" t="n">
        <x:f>IF(AND(ISNUMBER(E1882),ISNUMBER(F1882)),E1882-F1882,"n.a.")</x:f>
        <x:v>-219266519.61133468</x:v>
      </x:c>
      <x:c r="H1882" s="15" t="n">
        <x:f>IF(AND(ISNUMBER(E1882),ISNUMBER(F1882),F1882&gt;0),(E1882-F1882)/F1882,"n.a.")</x:f>
        <x:v>-0.435680983677345</x:v>
      </x:c>
      <x:c r="I1882" s="19" t="n">
        <x:f>IF(ISNUMBER(H1882),ABS(H1882),"n.a.")</x:f>
        <x:v>0.435680983677345</x:v>
      </x:c>
      <x:c r="J1882" s="2" t="str">
        <x:v>available</x:v>
      </x:c>
      <x:c r="K1882" s="2" t="n">
        <x:v>1</x:v>
      </x:c>
      <x:c r="L1882" s="13" t="b">
        <x:v>0</x:v>
      </x:c>
      <x:c r="M1882" s="13" t="b">
        <x:v>1</x:v>
      </x:c>
      <x:c r="N1882" s="2" t="str">
        <x:v>projected_CRISP_BU_surface</x:v>
      </x:c>
      <x:c r="O1882" s="2" t="str"/>
      <x:c r="P1882" s="2" t="str">
        <x:v>horizontal built-up surface</x:v>
      </x:c>
      <x:c r="Q1882" s="2" t="str">
        <x:v>m2</x:v>
      </x:c>
      <x:c r="R1882" s="17" t="n">
        <x:v>503273100.79183656</x:v>
      </x:c>
      <x:c r="S1882" s="17" t="n">
        <x:v>269070067.62</x:v>
      </x:c>
      <x:c r="T1882" s="18" t="n">
        <x:v>0.9999999999999989</x:v>
      </x:c>
      <x:c r="U1882" s="17" t="n">
        <x:v>269070067.6199997</x:v>
      </x:c>
      <x:c r="V1882" s="2" t="str">
        <x:v>Area equivalent = model2020 * WUP surface / TEMPO2020 footprint; km2 multiplied by1e6 once</x:v>
      </x:c>
      <x:c r="W1882" s="2" t="str">
        <x:v>L1_numeric_partition_qualified_not_national_completeness</x:v>
      </x:c>
      <x:c r="X1882" s="2" t="str">
        <x:v>https://human-settlement.emergency.copernicus.eu/datasets.php</x:v>
      </x:c>
    </x:row>
    <x:row r="1883" ht="23" customHeight="1">
      <x:c r="A1883" s="2" t="str">
        <x:v>LUX</x:v>
      </x:c>
      <x:c r="B1883" s="2" t="str">
        <x:v>Luxembourg (Grand Duchy of)</x:v>
      </x:c>
      <x:c r="C1883" s="2" t="n">
        <x:v>2025</x:v>
      </x:c>
      <x:c r="D1883" s="2" t="str">
        <x:v>WUP_SURFACE</x:v>
      </x:c>
      <x:c r="E1883" s="17" t="n">
        <x:v>58943760.75824142</x:v>
      </x:c>
      <x:c r="F1883" s="17" t="n">
        <x:f>IF(AND(M1883,ISNUMBER(R1883)),IF(D1883="TEMPO_PROXY",R1883,IF(AND(ISNUMBER(S1883),S1883&gt;0,ISNUMBER(U1883)),U1883*R1883/S1883,"n.a.")),"n.a.")</x:f>
        <x:v>92048103.23038164</x:v>
      </x:c>
      <x:c r="G1883" s="17" t="n">
        <x:f>IF(AND(ISNUMBER(E1883),ISNUMBER(F1883)),E1883-F1883,"n.a.")</x:f>
        <x:v>-33104342.472140215</x:v>
      </x:c>
      <x:c r="H1883" s="15" t="n">
        <x:f>IF(AND(ISNUMBER(E1883),ISNUMBER(F1883),F1883&gt;0),(E1883-F1883)/F1883,"n.a.")</x:f>
        <x:v>-0.3596417667541216</x:v>
      </x:c>
      <x:c r="I1883" s="19" t="n">
        <x:f>IF(ISNUMBER(H1883),ABS(H1883),"n.a.")</x:f>
        <x:v>0.3596417667541216</x:v>
      </x:c>
      <x:c r="J1883" s="2" t="str">
        <x:v>available</x:v>
      </x:c>
      <x:c r="K1883" s="2" t="n">
        <x:v>1</x:v>
      </x:c>
      <x:c r="L1883" s="13" t="b">
        <x:v>0</x:v>
      </x:c>
      <x:c r="M1883" s="13" t="b">
        <x:v>1</x:v>
      </x:c>
      <x:c r="N1883" s="2" t="str">
        <x:v>projected_CRISP_BU_surface</x:v>
      </x:c>
      <x:c r="O1883" s="2" t="str"/>
      <x:c r="P1883" s="2" t="str">
        <x:v>horizontal built-up surface</x:v>
      </x:c>
      <x:c r="Q1883" s="2" t="str">
        <x:v>m2</x:v>
      </x:c>
      <x:c r="R1883" s="17" t="n">
        <x:v>81246580.38729466</x:v>
      </x:c>
      <x:c r="S1883" s="17" t="n">
        <x:v>43297332.17</x:v>
      </x:c>
      <x:c r="T1883" s="18" t="n">
        <x:v>1.132947415037004</x:v>
      </x:c>
      <x:c r="U1883" s="17" t="n">
        <x:v>49053600.56000002</x:v>
      </x:c>
      <x:c r="V1883" s="2" t="str">
        <x:v>Area equivalent = model2020 * WUP surface / TEMPO2020 footprint; km2 multiplied by1e6 once</x:v>
      </x:c>
      <x:c r="W1883" s="2" t="str">
        <x:v>L1_numeric_partition_qualified_not_national_completeness</x:v>
      </x:c>
      <x:c r="X1883" s="2" t="str">
        <x:v>https://human-settlement.emergency.copernicus.eu/datasets.php</x:v>
      </x:c>
    </x:row>
    <x:row r="1884" ht="23" customHeight="1">
      <x:c r="A1884" s="2" t="str">
        <x:v>LVA</x:v>
      </x:c>
      <x:c r="B1884" s="2" t="str">
        <x:v>Latvia (Republic of)</x:v>
      </x:c>
      <x:c r="C1884" s="2" t="n">
        <x:v>2025</x:v>
      </x:c>
      <x:c r="D1884" s="2" t="str">
        <x:v>WUP_SURFACE</x:v>
      </x:c>
      <x:c r="E1884" s="17" t="n">
        <x:v>154906041.72578534</x:v>
      </x:c>
      <x:c r="F1884" s="17" t="n">
        <x:f>IF(AND(M1884,ISNUMBER(R1884)),IF(D1884="TEMPO_PROXY",R1884,IF(AND(ISNUMBER(S1884),S1884&gt;0,ISNUMBER(U1884)),U1884*R1884/S1884,"n.a.")),"n.a.")</x:f>
        <x:v>272672558.6769625</x:v>
      </x:c>
      <x:c r="G1884" s="17" t="n">
        <x:f>IF(AND(ISNUMBER(E1884),ISNUMBER(F1884)),E1884-F1884,"n.a.")</x:f>
        <x:v>-117766516.95117715</x:v>
      </x:c>
      <x:c r="H1884" s="15" t="n">
        <x:f>IF(AND(ISNUMBER(E1884),ISNUMBER(F1884),F1884&gt;0),(E1884-F1884)/F1884,"n.a.")</x:f>
        <x:v>-0.4318972085881812</x:v>
      </x:c>
      <x:c r="I1884" s="19" t="n">
        <x:f>IF(ISNUMBER(H1884),ABS(H1884),"n.a.")</x:f>
        <x:v>0.4318972085881812</x:v>
      </x:c>
      <x:c r="J1884" s="2" t="str">
        <x:v>available</x:v>
      </x:c>
      <x:c r="K1884" s="2" t="n">
        <x:v>1</x:v>
      </x:c>
      <x:c r="L1884" s="13" t="b">
        <x:v>0</x:v>
      </x:c>
      <x:c r="M1884" s="13" t="b">
        <x:v>1</x:v>
      </x:c>
      <x:c r="N1884" s="2" t="str">
        <x:v>projected_CRISP_BU_surface</x:v>
      </x:c>
      <x:c r="O1884" s="2" t="str"/>
      <x:c r="P1884" s="2" t="str">
        <x:v>horizontal built-up surface</x:v>
      </x:c>
      <x:c r="Q1884" s="2" t="str">
        <x:v>m2</x:v>
      </x:c>
      <x:c r="R1884" s="17" t="n">
        <x:v>272672558.6769627</x:v>
      </x:c>
      <x:c r="S1884" s="17" t="n">
        <x:v>145154805.19</x:v>
      </x:c>
      <x:c r="T1884" s="18" t="n">
        <x:v>0.9999999999999993</x:v>
      </x:c>
      <x:c r="U1884" s="17" t="n">
        <x:v>145154805.1899999</x:v>
      </x:c>
      <x:c r="V1884" s="2" t="str">
        <x:v>Area equivalent = model2020 * WUP surface / TEMPO2020 footprint; km2 multiplied by1e6 once</x:v>
      </x:c>
      <x:c r="W1884" s="2" t="str">
        <x:v>L1_numeric_partition_qualified_not_national_completeness</x:v>
      </x:c>
      <x:c r="X1884" s="2" t="str">
        <x:v>https://human-settlement.emergency.copernicus.eu/datasets.php</x:v>
      </x:c>
    </x:row>
    <x:row r="1885" ht="23" customHeight="1">
      <x:c r="A1885" s="2" t="str">
        <x:v>MAR</x:v>
      </x:c>
      <x:c r="B1885" s="2" t="str">
        <x:v>Morocco (Kingdom of)</x:v>
      </x:c>
      <x:c r="C1885" s="2" t="n">
        <x:v>2025</x:v>
      </x:c>
      <x:c r="D1885" s="2" t="str">
        <x:v>WUP_SURFACE</x:v>
      </x:c>
      <x:c r="E1885" s="17" t="n">
        <x:v>1524100787.4551764</x:v>
      </x:c>
      <x:c r="F1885" s="17" t="n">
        <x:f>IF(AND(M1885,ISNUMBER(R1885)),IF(D1885="TEMPO_PROXY",R1885,IF(AND(ISNUMBER(S1885),S1885&gt;0,ISNUMBER(U1885)),U1885*R1885/S1885,"n.a.")),"n.a.")</x:f>
        <x:v>1061027255.8347104</x:v>
      </x:c>
      <x:c r="G1885" s="17" t="n">
        <x:f>IF(AND(ISNUMBER(E1885),ISNUMBER(F1885)),E1885-F1885,"n.a.")</x:f>
        <x:v>463073531.620466</x:v>
      </x:c>
      <x:c r="H1885" s="15" t="n">
        <x:f>IF(AND(ISNUMBER(E1885),ISNUMBER(F1885),F1885&gt;0),(E1885-F1885)/F1885,"n.a.")</x:f>
        <x:v>0.4364388653297751</x:v>
      </x:c>
      <x:c r="I1885" s="19" t="n">
        <x:f>IF(ISNUMBER(H1885),ABS(H1885),"n.a.")</x:f>
        <x:v>0.4364388653297751</x:v>
      </x:c>
      <x:c r="J1885" s="2" t="str">
        <x:v>available</x:v>
      </x:c>
      <x:c r="K1885" s="2" t="n">
        <x:v>1</x:v>
      </x:c>
      <x:c r="L1885" s="13" t="b">
        <x:v>0</x:v>
      </x:c>
      <x:c r="M1885" s="13" t="b">
        <x:v>1</x:v>
      </x:c>
      <x:c r="N1885" s="2" t="str">
        <x:v>projected_CRISP_BU_surface</x:v>
      </x:c>
      <x:c r="O1885" s="2" t="str"/>
      <x:c r="P1885" s="2" t="str">
        <x:v>horizontal built-up surface</x:v>
      </x:c>
      <x:c r="Q1885" s="2" t="str">
        <x:v>m2</x:v>
      </x:c>
      <x:c r="R1885" s="17" t="n">
        <x:v>1012222375.4019979</x:v>
      </x:c>
      <x:c r="S1885" s="17" t="n">
        <x:v>1189658461.93</x:v>
      </x:c>
      <x:c r="T1885" s="18" t="n">
        <x:v>1.0482155716161974</x:v>
      </x:c>
      <x:c r="U1885" s="17" t="n">
        <x:v>1247018524.7000012</x:v>
      </x:c>
      <x:c r="V1885" s="2" t="str">
        <x:v>Area equivalent = model2020 * WUP surface / TEMPO2020 footprint; km2 multiplied by1e6 once</x:v>
      </x:c>
      <x:c r="W1885" s="2" t="str">
        <x:v>L1_numeric_partition_qualified_not_national_completeness</x:v>
      </x:c>
      <x:c r="X1885" s="2" t="str">
        <x:v>https://human-settlement.emergency.copernicus.eu/datasets.php</x:v>
      </x:c>
    </x:row>
    <x:row r="1886" ht="23" customHeight="1">
      <x:c r="A1886" s="2" t="str">
        <x:v>MCO</x:v>
      </x:c>
      <x:c r="B1886" s="2" t="str">
        <x:v>Monaco (Principality of)</x:v>
      </x:c>
      <x:c r="C1886" s="2" t="n">
        <x:v>2025</x:v>
      </x:c>
      <x:c r="D1886" s="2" t="str">
        <x:v>WUP_SURFACE</x:v>
      </x:c>
      <x:c r="E1886" s="17" t="n">
        <x:v>1797943.9202895183</x:v>
      </x:c>
      <x:c r="F1886" s="17" t="n">
        <x:f>IF(AND(M1886,ISNUMBER(R1886)),IF(D1886="TEMPO_PROXY",R1886,IF(AND(ISNUMBER(S1886),S1886&gt;0,ISNUMBER(U1886)),U1886*R1886/S1886,"n.a.")),"n.a.")</x:f>
        <x:v>2427844.3051703926</x:v>
      </x:c>
      <x:c r="G1886" s="17" t="n">
        <x:f>IF(AND(ISNUMBER(E1886),ISNUMBER(F1886)),E1886-F1886,"n.a.")</x:f>
        <x:v>-629900.3848808743</x:v>
      </x:c>
      <x:c r="H1886" s="15" t="n">
        <x:f>IF(AND(ISNUMBER(E1886),ISNUMBER(F1886),F1886&gt;0),(E1886-F1886)/F1886,"n.a.")</x:f>
        <x:v>-0.2594484265483681</x:v>
      </x:c>
      <x:c r="I1886" s="19" t="n">
        <x:f>IF(ISNUMBER(H1886),ABS(H1886),"n.a.")</x:f>
        <x:v>0.2594484265483681</x:v>
      </x:c>
      <x:c r="J1886" s="2" t="str">
        <x:v>available</x:v>
      </x:c>
      <x:c r="K1886" s="2" t="n">
        <x:v>1</x:v>
      </x:c>
      <x:c r="L1886" s="13" t="b">
        <x:v>0</x:v>
      </x:c>
      <x:c r="M1886" s="13" t="b">
        <x:v>1</x:v>
      </x:c>
      <x:c r="N1886" s="2" t="str">
        <x:v>projected_CRISP_BU_surface</x:v>
      </x:c>
      <x:c r="O1886" s="2" t="str"/>
      <x:c r="P1886" s="2" t="str">
        <x:v>horizontal built-up surface</x:v>
      </x:c>
      <x:c r="Q1886" s="2" t="str">
        <x:v>m2</x:v>
      </x:c>
      <x:c r="R1886" s="17" t="n">
        <x:v>862209.2156438157</x:v>
      </x:c>
      <x:c r="S1886" s="17" t="n">
        <x:v>555169</x:v>
      </x:c>
      <x:c r="T1886" s="18" t="n">
        <x:v>2.8158412843656624</x:v>
      </x:c>
      <x:c r="U1886" s="17" t="n">
        <x:v>1563267.7900000005</x:v>
      </x:c>
      <x:c r="V1886" s="2" t="str">
        <x:v>Area equivalent = model2020 * WUP surface / TEMPO2020 footprint; km2 multiplied by1e6 once</x:v>
      </x:c>
      <x:c r="W1886" s="2" t="str">
        <x:v>L1_numeric_partition_qualified_not_national_completeness</x:v>
      </x:c>
      <x:c r="X1886" s="2" t="str">
        <x:v>https://human-settlement.emergency.copernicus.eu/datasets.php</x:v>
      </x:c>
    </x:row>
    <x:row r="1887" ht="23" customHeight="1">
      <x:c r="A1887" s="2" t="str">
        <x:v>MDA</x:v>
      </x:c>
      <x:c r="B1887" s="2" t="str">
        <x:v>Moldova (Republic of)</x:v>
      </x:c>
      <x:c r="C1887" s="2" t="n">
        <x:v>2025</x:v>
      </x:c>
      <x:c r="D1887" s="2" t="str">
        <x:v>WUP_SURFACE</x:v>
      </x:c>
      <x:c r="E1887" s="17" t="n">
        <x:v>258607505.15449288</x:v>
      </x:c>
      <x:c r="F1887" s="17" t="n">
        <x:f>IF(AND(M1887,ISNUMBER(R1887)),IF(D1887="TEMPO_PROXY",R1887,IF(AND(ISNUMBER(S1887),S1887&gt;0,ISNUMBER(U1887)),U1887*R1887/S1887,"n.a.")),"n.a.")</x:f>
        <x:v>496246603.0157055</x:v>
      </x:c>
      <x:c r="G1887" s="17" t="n">
        <x:f>IF(AND(ISNUMBER(E1887),ISNUMBER(F1887)),E1887-F1887,"n.a.")</x:f>
        <x:v>-237639097.86121264</x:v>
      </x:c>
      <x:c r="H1887" s="15" t="n">
        <x:f>IF(AND(ISNUMBER(E1887),ISNUMBER(F1887),F1887&gt;0),(E1887-F1887)/F1887,"n.a.")</x:f>
        <x:v>-0.4788729966453628</x:v>
      </x:c>
      <x:c r="I1887" s="19" t="n">
        <x:f>IF(ISNUMBER(H1887),ABS(H1887),"n.a.")</x:f>
        <x:v>0.4788729966453628</x:v>
      </x:c>
      <x:c r="J1887" s="2" t="str">
        <x:v>available</x:v>
      </x:c>
      <x:c r="K1887" s="2" t="n">
        <x:v>1</x:v>
      </x:c>
      <x:c r="L1887" s="13" t="b">
        <x:v>0</x:v>
      </x:c>
      <x:c r="M1887" s="13" t="b">
        <x:v>1</x:v>
      </x:c>
      <x:c r="N1887" s="2" t="str">
        <x:v>projected_CRISP_BU_surface</x:v>
      </x:c>
      <x:c r="O1887" s="2" t="str"/>
      <x:c r="P1887" s="2" t="str">
        <x:v>horizontal built-up surface</x:v>
      </x:c>
      <x:c r="Q1887" s="2" t="str">
        <x:v>m2</x:v>
      </x:c>
      <x:c r="R1887" s="17" t="n">
        <x:v>496246603.01570636</x:v>
      </x:c>
      <x:c r="S1887" s="17" t="n">
        <x:v>254566854.83</x:v>
      </x:c>
      <x:c r="T1887" s="18" t="n">
        <x:v>0.9999999999999983</x:v>
      </x:c>
      <x:c r="U1887" s="17" t="n">
        <x:v>254566854.8299996</x:v>
      </x:c>
      <x:c r="V1887" s="2" t="str">
        <x:v>Area equivalent = model2020 * WUP surface / TEMPO2020 footprint; km2 multiplied by1e6 once</x:v>
      </x:c>
      <x:c r="W1887" s="2" t="str">
        <x:v>L1_numeric_partition_qualified_not_national_completeness</x:v>
      </x:c>
      <x:c r="X1887" s="2" t="str">
        <x:v>https://human-settlement.emergency.copernicus.eu/datasets.php</x:v>
      </x:c>
    </x:row>
    <x:row r="1888" ht="23" customHeight="1">
      <x:c r="A1888" s="2" t="str">
        <x:v>MDG</x:v>
      </x:c>
      <x:c r="B1888" s="2" t="str">
        <x:v>Madagascar (Republic of)</x:v>
      </x:c>
      <x:c r="C1888" s="2" t="n">
        <x:v>2025</x:v>
      </x:c>
      <x:c r="D1888" s="2" t="str">
        <x:v>WUP_SURFACE</x:v>
      </x:c>
      <x:c r="E1888" s="17" t="n">
        <x:v>442177638.9110566</x:v>
      </x:c>
      <x:c r="F1888" s="17" t="n">
        <x:f>IF(AND(M1888,ISNUMBER(R1888)),IF(D1888="TEMPO_PROXY",R1888,IF(AND(ISNUMBER(S1888),S1888&gt;0,ISNUMBER(U1888)),U1888*R1888/S1888,"n.a.")),"n.a.")</x:f>
        <x:v>985651117.1288931</x:v>
      </x:c>
      <x:c r="G1888" s="17" t="n">
        <x:f>IF(AND(ISNUMBER(E1888),ISNUMBER(F1888)),E1888-F1888,"n.a.")</x:f>
        <x:v>-543473478.2178366</x:v>
      </x:c>
      <x:c r="H1888" s="15" t="n">
        <x:f>IF(AND(ISNUMBER(E1888),ISNUMBER(F1888),F1888&gt;0),(E1888-F1888)/F1888,"n.a.")</x:f>
        <x:v>-0.5513852404499094</x:v>
      </x:c>
      <x:c r="I1888" s="19" t="n">
        <x:f>IF(ISNUMBER(H1888),ABS(H1888),"n.a.")</x:f>
        <x:v>0.5513852404499094</x:v>
      </x:c>
      <x:c r="J1888" s="2" t="str">
        <x:v>available</x:v>
      </x:c>
      <x:c r="K1888" s="2" t="n">
        <x:v>1</x:v>
      </x:c>
      <x:c r="L1888" s="13" t="b">
        <x:v>0</x:v>
      </x:c>
      <x:c r="M1888" s="13" t="b">
        <x:v>1</x:v>
      </x:c>
      <x:c r="N1888" s="2" t="str">
        <x:v>projected_CRISP_BU_surface</x:v>
      </x:c>
      <x:c r="O1888" s="2" t="str"/>
      <x:c r="P1888" s="2" t="str">
        <x:v>horizontal built-up surface</x:v>
      </x:c>
      <x:c r="Q1888" s="2" t="str">
        <x:v>m2</x:v>
      </x:c>
      <x:c r="R1888" s="17" t="n">
        <x:v>985651117.1288948</x:v>
      </x:c>
      <x:c r="S1888" s="17" t="n">
        <x:v>360823089.8</x:v>
      </x:c>
      <x:c r="T1888" s="18" t="n">
        <x:v>0.9999999999999983</x:v>
      </x:c>
      <x:c r="U1888" s="17" t="n">
        <x:v>360823089.7999994</x:v>
      </x:c>
      <x:c r="V1888" s="2" t="str">
        <x:v>Area equivalent = model2020 * WUP surface / TEMPO2020 footprint; km2 multiplied by1e6 once</x:v>
      </x:c>
      <x:c r="W1888" s="2" t="str">
        <x:v>L1_numeric_partition_qualified_not_national_completeness</x:v>
      </x:c>
      <x:c r="X1888" s="2" t="str">
        <x:v>https://human-settlement.emergency.copernicus.eu/datasets.php</x:v>
      </x:c>
    </x:row>
    <x:row r="1889" ht="23" customHeight="1">
      <x:c r="A1889" s="2" t="str">
        <x:v>MDV</x:v>
      </x:c>
      <x:c r="B1889" s="2" t="str">
        <x:v>Maldives (Republic of)</x:v>
      </x:c>
      <x:c r="C1889" s="2" t="n">
        <x:v>2025</x:v>
      </x:c>
      <x:c r="D1889" s="2" t="str">
        <x:v>WUP_SURFACE</x:v>
      </x:c>
      <x:c r="E1889" s="17" t="n">
        <x:v>2773026.223142692</x:v>
      </x:c>
      <x:c r="F1889" s="17" t="n">
        <x:f>IF(AND(M1889,ISNUMBER(R1889)),IF(D1889="TEMPO_PROXY",R1889,IF(AND(ISNUMBER(S1889),S1889&gt;0,ISNUMBER(U1889)),U1889*R1889/S1889,"n.a.")),"n.a.")</x:f>
        <x:v>7954889.858951905</x:v>
      </x:c>
      <x:c r="G1889" s="17" t="n">
        <x:f>IF(AND(ISNUMBER(E1889),ISNUMBER(F1889)),E1889-F1889,"n.a.")</x:f>
        <x:v>-5181863.635809213</x:v>
      </x:c>
      <x:c r="H1889" s="15" t="n">
        <x:f>IF(AND(ISNUMBER(E1889),ISNUMBER(F1889),F1889&gt;0),(E1889-F1889)/F1889,"n.a.")</x:f>
        <x:v>-0.6514060820060114</x:v>
      </x:c>
      <x:c r="I1889" s="19" t="n">
        <x:f>IF(ISNUMBER(H1889),ABS(H1889),"n.a.")</x:f>
        <x:v>0.6514060820060114</x:v>
      </x:c>
      <x:c r="J1889" s="2" t="str">
        <x:v>available</x:v>
      </x:c>
      <x:c r="K1889" s="2" t="n">
        <x:v>1</x:v>
      </x:c>
      <x:c r="L1889" s="13" t="b">
        <x:v>0</x:v>
      </x:c>
      <x:c r="M1889" s="13" t="b">
        <x:v>1</x:v>
      </x:c>
      <x:c r="N1889" s="2" t="str">
        <x:v>projected_CRISP_BU_surface</x:v>
      </x:c>
      <x:c r="O1889" s="2" t="str"/>
      <x:c r="P1889" s="2" t="str">
        <x:v>horizontal built-up surface</x:v>
      </x:c>
      <x:c r="Q1889" s="2" t="str">
        <x:v>m2</x:v>
      </x:c>
      <x:c r="R1889" s="17" t="n">
        <x:v>7954889.858951901</x:v>
      </x:c>
      <x:c r="S1889" s="17" t="n">
        <x:v>2206666.83</x:v>
      </x:c>
      <x:c r="T1889" s="18" t="n">
        <x:v>1.0000000000000004</x:v>
      </x:c>
      <x:c r="U1889" s="17" t="n">
        <x:v>2206666.830000001</x:v>
      </x:c>
      <x:c r="V1889" s="2" t="str">
        <x:v>Area equivalent = model2020 * WUP surface / TEMPO2020 footprint; km2 multiplied by1e6 once</x:v>
      </x:c>
      <x:c r="W1889" s="2" t="str">
        <x:v>L1_numeric_partition_qualified_not_national_completeness</x:v>
      </x:c>
      <x:c r="X1889" s="2" t="str">
        <x:v>https://human-settlement.emergency.copernicus.eu/datasets.php</x:v>
      </x:c>
    </x:row>
    <x:row r="1890" ht="23" customHeight="1">
      <x:c r="A1890" s="2" t="str">
        <x:v>MEX</x:v>
      </x:c>
      <x:c r="B1890" s="2" t="str">
        <x:v>Mexico (United Mexican States)</x:v>
      </x:c>
      <x:c r="C1890" s="2" t="n">
        <x:v>2025</x:v>
      </x:c>
      <x:c r="D1890" s="2" t="str">
        <x:v>WUP_SURFACE</x:v>
      </x:c>
      <x:c r="E1890" s="17" t="n">
        <x:v>7012501996.886031</x:v>
      </x:c>
      <x:c r="F1890" s="17" t="n">
        <x:f>IF(AND(M1890,ISNUMBER(R1890)),IF(D1890="TEMPO_PROXY",R1890,IF(AND(ISNUMBER(S1890),S1890&gt;0,ISNUMBER(U1890)),U1890*R1890/S1890,"n.a.")),"n.a.")</x:f>
        <x:v>10754569577.620031</x:v>
      </x:c>
      <x:c r="G1890" s="17" t="n">
        <x:f>IF(AND(ISNUMBER(E1890),ISNUMBER(F1890)),E1890-F1890,"n.a.")</x:f>
        <x:v>-3742067580.734</x:v>
      </x:c>
      <x:c r="H1890" s="15" t="n">
        <x:f>IF(AND(ISNUMBER(E1890),ISNUMBER(F1890),F1890&gt;0),(E1890-F1890)/F1890,"n.a.")</x:f>
        <x:v>-0.3479514037010967</x:v>
      </x:c>
      <x:c r="I1890" s="19" t="n">
        <x:f>IF(ISNUMBER(H1890),ABS(H1890),"n.a.")</x:f>
        <x:v>0.3479514037010967</x:v>
      </x:c>
      <x:c r="J1890" s="2" t="str">
        <x:v>available</x:v>
      </x:c>
      <x:c r="K1890" s="2" t="n">
        <x:v>1</x:v>
      </x:c>
      <x:c r="L1890" s="13" t="b">
        <x:v>0</x:v>
      </x:c>
      <x:c r="M1890" s="13" t="b">
        <x:v>1</x:v>
      </x:c>
      <x:c r="N1890" s="2" t="str">
        <x:v>projected_CRISP_BU_surface</x:v>
      </x:c>
      <x:c r="O1890" s="2" t="str"/>
      <x:c r="P1890" s="2" t="str">
        <x:v>horizontal built-up surface</x:v>
      </x:c>
      <x:c r="Q1890" s="2" t="str">
        <x:v>m2</x:v>
      </x:c>
      <x:c r="R1890" s="17" t="n">
        <x:v>10754569577.620039</x:v>
      </x:c>
      <x:c r="S1890" s="17" t="n">
        <x:v>6345872319.04</x:v>
      </x:c>
      <x:c r="T1890" s="18" t="n">
        <x:v>0.9999999999999992</x:v>
      </x:c>
      <x:c r="U1890" s="17" t="n">
        <x:v>6345872319.039995</x:v>
      </x:c>
      <x:c r="V1890" s="2" t="str">
        <x:v>Area equivalent = model2020 * WUP surface / TEMPO2020 footprint; km2 multiplied by1e6 once</x:v>
      </x:c>
      <x:c r="W1890" s="2" t="str">
        <x:v>L1_numeric_partition_qualified_not_national_completeness</x:v>
      </x:c>
      <x:c r="X1890" s="2" t="str">
        <x:v>https://human-settlement.emergency.copernicus.eu/datasets.php</x:v>
      </x:c>
    </x:row>
    <x:row r="1891" ht="23" customHeight="1">
      <x:c r="A1891" s="2" t="str">
        <x:v>MHL</x:v>
      </x:c>
      <x:c r="B1891" s="2" t="str">
        <x:v>Marshall Islands (Republic of the)</x:v>
      </x:c>
      <x:c r="C1891" s="2" t="n">
        <x:v>2025</x:v>
      </x:c>
      <x:c r="D1891" s="2" t="str">
        <x:v>WUP_SURFACE</x:v>
      </x:c>
      <x:c r="E1891" s="17" t="n">
        <x:v>202155.59901499294</x:v>
      </x:c>
      <x:c r="F1891" s="17" t="n">
        <x:f>IF(AND(M1891,ISNUMBER(R1891)),IF(D1891="TEMPO_PROXY",R1891,IF(AND(ISNUMBER(S1891),S1891&gt;0,ISNUMBER(U1891)),U1891*R1891/S1891,"n.a.")),"n.a.")</x:f>
        <x:v>2462061.5519830836</x:v>
      </x:c>
      <x:c r="G1891" s="17" t="n">
        <x:f>IF(AND(ISNUMBER(E1891),ISNUMBER(F1891)),E1891-F1891,"n.a.")</x:f>
        <x:v>-2259905.952968091</x:v>
      </x:c>
      <x:c r="H1891" s="15" t="n">
        <x:f>IF(AND(ISNUMBER(E1891),ISNUMBER(F1891),F1891&gt;0),(E1891-F1891)/F1891,"n.a.")</x:f>
        <x:v>-0.9178917363572144</x:v>
      </x:c>
      <x:c r="I1891" s="19" t="n">
        <x:f>IF(ISNUMBER(H1891),ABS(H1891),"n.a.")</x:f>
        <x:v>0.9178917363572144</x:v>
      </x:c>
      <x:c r="J1891" s="2" t="str">
        <x:v>available</x:v>
      </x:c>
      <x:c r="K1891" s="2" t="n">
        <x:v>1</x:v>
      </x:c>
      <x:c r="L1891" s="13" t="b">
        <x:v>0</x:v>
      </x:c>
      <x:c r="M1891" s="13" t="b">
        <x:v>1</x:v>
      </x:c>
      <x:c r="N1891" s="2" t="str">
        <x:v>projected_CRISP_BU_surface</x:v>
      </x:c>
      <x:c r="O1891" s="2" t="str"/>
      <x:c r="P1891" s="2" t="str">
        <x:v>horizontal built-up surface</x:v>
      </x:c>
      <x:c r="Q1891" s="2" t="str">
        <x:v>m2</x:v>
      </x:c>
      <x:c r="R1891" s="17" t="n">
        <x:v>2462061.5519830836</x:v>
      </x:c>
      <x:c r="S1891" s="17" t="n">
        <x:v>198896.74</x:v>
      </x:c>
      <x:c r="T1891" s="18" t="n">
        <x:v>1</x:v>
      </x:c>
      <x:c r="U1891" s="17" t="n">
        <x:v>198896.74</x:v>
      </x:c>
      <x:c r="V1891" s="2" t="str">
        <x:v>Area equivalent = model2020 * WUP surface / TEMPO2020 footprint; km2 multiplied by1e6 once</x:v>
      </x:c>
      <x:c r="W1891" s="2" t="str">
        <x:v>L1_numeric_partition_qualified_not_national_completeness</x:v>
      </x:c>
      <x:c r="X1891" s="2" t="str">
        <x:v>https://human-settlement.emergency.copernicus.eu/datasets.php</x:v>
      </x:c>
    </x:row>
    <x:row r="1892" ht="23" customHeight="1">
      <x:c r="A1892" s="2" t="str">
        <x:v>MKD</x:v>
      </x:c>
      <x:c r="B1892" s="2" t="str">
        <x:v>North Macedonia (Republic of)</x:v>
      </x:c>
      <x:c r="C1892" s="2" t="n">
        <x:v>2025</x:v>
      </x:c>
      <x:c r="D1892" s="2" t="str">
        <x:v>WUP_SURFACE</x:v>
      </x:c>
      <x:c r="E1892" s="17" t="n">
        <x:v>127119971.31266522</x:v>
      </x:c>
      <x:c r="F1892" s="17" t="n">
        <x:f>IF(AND(M1892,ISNUMBER(R1892)),IF(D1892="TEMPO_PROXY",R1892,IF(AND(ISNUMBER(S1892),S1892&gt;0,ISNUMBER(U1892)),U1892*R1892/S1892,"n.a.")),"n.a.")</x:f>
        <x:v>183183854.34162003</x:v>
      </x:c>
      <x:c r="G1892" s="17" t="n">
        <x:f>IF(AND(ISNUMBER(E1892),ISNUMBER(F1892)),E1892-F1892,"n.a.")</x:f>
        <x:v>-56063883.028954804</x:v>
      </x:c>
      <x:c r="H1892" s="15" t="n">
        <x:f>IF(AND(ISNUMBER(E1892),ISNUMBER(F1892),F1892&gt;0),(E1892-F1892)/F1892,"n.a.")</x:f>
        <x:v>-0.3060525351999698</x:v>
      </x:c>
      <x:c r="I1892" s="19" t="n">
        <x:f>IF(ISNUMBER(H1892),ABS(H1892),"n.a.")</x:f>
        <x:v>0.3060525351999698</x:v>
      </x:c>
      <x:c r="J1892" s="2" t="str">
        <x:v>available</x:v>
      </x:c>
      <x:c r="K1892" s="2" t="n">
        <x:v>1</x:v>
      </x:c>
      <x:c r="L1892" s="13" t="b">
        <x:v>0</x:v>
      </x:c>
      <x:c r="M1892" s="13" t="b">
        <x:v>1</x:v>
      </x:c>
      <x:c r="N1892" s="2" t="str">
        <x:v>projected_CRISP_BU_surface</x:v>
      </x:c>
      <x:c r="O1892" s="2" t="str"/>
      <x:c r="P1892" s="2" t="str">
        <x:v>horizontal built-up surface</x:v>
      </x:c>
      <x:c r="Q1892" s="2" t="str">
        <x:v>m2</x:v>
      </x:c>
      <x:c r="R1892" s="17" t="n">
        <x:v>183183854.3416203</x:v>
      </x:c>
      <x:c r="S1892" s="17" t="n">
        <x:v>122189801.59</x:v>
      </x:c>
      <x:c r="T1892" s="18" t="n">
        <x:v>0.9999999999999986</x:v>
      </x:c>
      <x:c r="U1892" s="17" t="n">
        <x:v>122189801.58999982</x:v>
      </x:c>
      <x:c r="V1892" s="2" t="str">
        <x:v>Area equivalent = model2020 * WUP surface / TEMPO2020 footprint; km2 multiplied by1e6 once</x:v>
      </x:c>
      <x:c r="W1892" s="2" t="str">
        <x:v>L1_numeric_partition_qualified_not_national_completeness</x:v>
      </x:c>
      <x:c r="X1892" s="2" t="str">
        <x:v>https://human-settlement.emergency.copernicus.eu/datasets.php</x:v>
      </x:c>
    </x:row>
    <x:row r="1893" ht="23" customHeight="1">
      <x:c r="A1893" s="2" t="str">
        <x:v>MLI</x:v>
      </x:c>
      <x:c r="B1893" s="2" t="str">
        <x:v>Mali (Republic of)</x:v>
      </x:c>
      <x:c r="C1893" s="2" t="n">
        <x:v>2025</x:v>
      </x:c>
      <x:c r="D1893" s="2" t="str">
        <x:v>WUP_SURFACE</x:v>
      </x:c>
      <x:c r="E1893" s="17" t="n">
        <x:v>384768168.9420455</x:v>
      </x:c>
      <x:c r="F1893" s="17" t="n">
        <x:f>IF(AND(M1893,ISNUMBER(R1893)),IF(D1893="TEMPO_PROXY",R1893,IF(AND(ISNUMBER(S1893),S1893&gt;0,ISNUMBER(U1893)),U1893*R1893/S1893,"n.a.")),"n.a.")</x:f>
        <x:v>1224461288.6745946</x:v>
      </x:c>
      <x:c r="G1893" s="17" t="n">
        <x:f>IF(AND(ISNUMBER(E1893),ISNUMBER(F1893)),E1893-F1893,"n.a.")</x:f>
        <x:v>-839693119.7325492</x:v>
      </x:c>
      <x:c r="H1893" s="15" t="n">
        <x:f>IF(AND(ISNUMBER(E1893),ISNUMBER(F1893),F1893&gt;0),(E1893-F1893)/F1893,"n.a.")</x:f>
        <x:v>-0.6857653463601665</x:v>
      </x:c>
      <x:c r="I1893" s="19" t="n">
        <x:f>IF(ISNUMBER(H1893),ABS(H1893),"n.a.")</x:f>
        <x:v>0.6857653463601665</x:v>
      </x:c>
      <x:c r="J1893" s="2" t="str">
        <x:v>available</x:v>
      </x:c>
      <x:c r="K1893" s="2" t="n">
        <x:v>1</x:v>
      </x:c>
      <x:c r="L1893" s="13" t="b">
        <x:v>0</x:v>
      </x:c>
      <x:c r="M1893" s="13" t="b">
        <x:v>1</x:v>
      </x:c>
      <x:c r="N1893" s="2" t="str">
        <x:v>projected_CRISP_BU_surface</x:v>
      </x:c>
      <x:c r="O1893" s="2" t="str"/>
      <x:c r="P1893" s="2" t="str">
        <x:v>horizontal built-up surface</x:v>
      </x:c>
      <x:c r="Q1893" s="2" t="str">
        <x:v>m2</x:v>
      </x:c>
      <x:c r="R1893" s="17" t="n">
        <x:v>1224461288.674593</x:v>
      </x:c>
      <x:c r="S1893" s="17" t="n">
        <x:v>323707340.75</x:v>
      </x:c>
      <x:c r="T1893" s="18" t="n">
        <x:v>1.0000000000000016</x:v>
      </x:c>
      <x:c r="U1893" s="17" t="n">
        <x:v>323707340.7500005</x:v>
      </x:c>
      <x:c r="V1893" s="2" t="str">
        <x:v>Area equivalent = model2020 * WUP surface / TEMPO2020 footprint; km2 multiplied by1e6 once</x:v>
      </x:c>
      <x:c r="W1893" s="2" t="str">
        <x:v>L1_numeric_partition_qualified_not_national_completeness</x:v>
      </x:c>
      <x:c r="X1893" s="2" t="str">
        <x:v>https://human-settlement.emergency.copernicus.eu/datasets.php</x:v>
      </x:c>
    </x:row>
    <x:row r="1894" ht="23" customHeight="1">
      <x:c r="A1894" s="2" t="str">
        <x:v>MLT</x:v>
      </x:c>
      <x:c r="B1894" s="2" t="str">
        <x:v>Malta (Republic of)</x:v>
      </x:c>
      <x:c r="C1894" s="2" t="n">
        <x:v>2025</x:v>
      </x:c>
      <x:c r="D1894" s="2" t="str">
        <x:v>WUP_SURFACE</x:v>
      </x:c>
      <x:c r="E1894" s="17" t="n">
        <x:v>40252225.78140325</x:v>
      </x:c>
      <x:c r="F1894" s="17" t="n">
        <x:f>IF(AND(M1894,ISNUMBER(R1894)),IF(D1894="TEMPO_PROXY",R1894,IF(AND(ISNUMBER(S1894),S1894&gt;0,ISNUMBER(U1894)),U1894*R1894/S1894,"n.a.")),"n.a.")</x:f>
        <x:v>53070479.721679986</x:v>
      </x:c>
      <x:c r="G1894" s="17" t="n">
        <x:f>IF(AND(ISNUMBER(E1894),ISNUMBER(F1894)),E1894-F1894,"n.a.")</x:f>
        <x:v>-12818253.940276735</x:v>
      </x:c>
      <x:c r="H1894" s="15" t="n">
        <x:f>IF(AND(ISNUMBER(E1894),ISNUMBER(F1894),F1894&gt;0),(E1894-F1894)/F1894,"n.a.")</x:f>
        <x:v>-0.2415326563373858</x:v>
      </x:c>
      <x:c r="I1894" s="19" t="n">
        <x:f>IF(ISNUMBER(H1894),ABS(H1894),"n.a.")</x:f>
        <x:v>0.2415326563373858</x:v>
      </x:c>
      <x:c r="J1894" s="2" t="str">
        <x:v>available</x:v>
      </x:c>
      <x:c r="K1894" s="2" t="n">
        <x:v>1</x:v>
      </x:c>
      <x:c r="L1894" s="13" t="b">
        <x:v>0</x:v>
      </x:c>
      <x:c r="M1894" s="13" t="b">
        <x:v>1</x:v>
      </x:c>
      <x:c r="N1894" s="2" t="str">
        <x:v>projected_CRISP_BU_surface</x:v>
      </x:c>
      <x:c r="O1894" s="2" t="str"/>
      <x:c r="P1894" s="2" t="str">
        <x:v>horizontal built-up surface</x:v>
      </x:c>
      <x:c r="Q1894" s="2" t="str">
        <x:v>m2</x:v>
      </x:c>
      <x:c r="R1894" s="17" t="n">
        <x:v>39824805.55787333</x:v>
      </x:c>
      <x:c r="S1894" s="17" t="n">
        <x:v>26330050.25</x:v>
      </x:c>
      <x:c r="T1894" s="18" t="n">
        <x:v>1.3325985897045516</x:v>
      </x:c>
      <x:c r="U1894" s="17" t="n">
        <x:v>35087387.829999976</x:v>
      </x:c>
      <x:c r="V1894" s="2" t="str">
        <x:v>Area equivalent = model2020 * WUP surface / TEMPO2020 footprint; km2 multiplied by1e6 once</x:v>
      </x:c>
      <x:c r="W1894" s="2" t="str">
        <x:v>L1_numeric_partition_qualified_not_national_completeness</x:v>
      </x:c>
      <x:c r="X1894" s="2" t="str">
        <x:v>https://human-settlement.emergency.copernicus.eu/datasets.php</x:v>
      </x:c>
    </x:row>
    <x:row r="1895" ht="23" customHeight="1">
      <x:c r="A1895" s="2" t="str">
        <x:v>MMR</x:v>
      </x:c>
      <x:c r="B1895" s="2" t="str">
        <x:v>Myanmar (Republic of the Union of)</x:v>
      </x:c>
      <x:c r="C1895" s="2" t="n">
        <x:v>2025</x:v>
      </x:c>
      <x:c r="D1895" s="2" t="str">
        <x:v>WUP_SURFACE</x:v>
      </x:c>
      <x:c r="E1895" s="17" t="n">
        <x:v>1614236691.1252244</x:v>
      </x:c>
      <x:c r="F1895" s="17" t="n">
        <x:f>IF(AND(M1895,ISNUMBER(R1895)),IF(D1895="TEMPO_PROXY",R1895,IF(AND(ISNUMBER(S1895),S1895&gt;0,ISNUMBER(U1895)),U1895*R1895/S1895,"n.a.")),"n.a.")</x:f>
        <x:v>1432862499.8270843</x:v>
      </x:c>
      <x:c r="G1895" s="17" t="n">
        <x:f>IF(AND(ISNUMBER(E1895),ISNUMBER(F1895)),E1895-F1895,"n.a.")</x:f>
        <x:v>181374191.29814005</x:v>
      </x:c>
      <x:c r="H1895" s="15" t="n">
        <x:f>IF(AND(ISNUMBER(E1895),ISNUMBER(F1895),F1895&gt;0),(E1895-F1895)/F1895,"n.a.")</x:f>
        <x:v>0.12658171410029087</x:v>
      </x:c>
      <x:c r="I1895" s="19" t="n">
        <x:f>IF(ISNUMBER(H1895),ABS(H1895),"n.a.")</x:f>
        <x:v>0.12658171410029087</x:v>
      </x:c>
      <x:c r="J1895" s="2" t="str">
        <x:v>available</x:v>
      </x:c>
      <x:c r="K1895" s="2" t="n">
        <x:v>1</x:v>
      </x:c>
      <x:c r="L1895" s="13" t="b">
        <x:v>0</x:v>
      </x:c>
      <x:c r="M1895" s="13" t="b">
        <x:v>1</x:v>
      </x:c>
      <x:c r="N1895" s="2" t="str">
        <x:v>projected_CRISP_BU_surface</x:v>
      </x:c>
      <x:c r="O1895" s="2" t="str"/>
      <x:c r="P1895" s="2" t="str">
        <x:v>horizontal built-up surface</x:v>
      </x:c>
      <x:c r="Q1895" s="2" t="str">
        <x:v>m2</x:v>
      </x:c>
      <x:c r="R1895" s="17" t="n">
        <x:v>1432862499.8270867</x:v>
      </x:c>
      <x:c r="S1895" s="17" t="n">
        <x:v>1377164281.68</x:v>
      </x:c>
      <x:c r="T1895" s="18" t="n">
        <x:v>0.9999999999999982</x:v>
      </x:c>
      <x:c r="U1895" s="17" t="n">
        <x:v>1377164281.6799977</x:v>
      </x:c>
      <x:c r="V1895" s="2" t="str">
        <x:v>Area equivalent = model2020 * WUP surface / TEMPO2020 footprint; km2 multiplied by1e6 once</x:v>
      </x:c>
      <x:c r="W1895" s="2" t="str">
        <x:v>L1_numeric_partition_qualified_not_national_completeness</x:v>
      </x:c>
      <x:c r="X1895" s="2" t="str">
        <x:v>https://human-settlement.emergency.copernicus.eu/datasets.php</x:v>
      </x:c>
    </x:row>
    <x:row r="1896" ht="23" customHeight="1">
      <x:c r="A1896" s="2" t="str">
        <x:v>MNE</x:v>
      </x:c>
      <x:c r="B1896" s="2" t="str">
        <x:v>Montenegro</x:v>
      </x:c>
      <x:c r="C1896" s="2" t="n">
        <x:v>2025</x:v>
      </x:c>
      <x:c r="D1896" s="2" t="str">
        <x:v>WUP_SURFACE</x:v>
      </x:c>
      <x:c r="E1896" s="17" t="n">
        <x:v>44412752.37209683</x:v>
      </x:c>
      <x:c r="F1896" s="17" t="n">
        <x:f>IF(AND(M1896,ISNUMBER(R1896)),IF(D1896="TEMPO_PROXY",R1896,IF(AND(ISNUMBER(S1896),S1896&gt;0,ISNUMBER(U1896)),U1896*R1896/S1896,"n.a.")),"n.a.")</x:f>
        <x:v>45598449.32508298</x:v>
      </x:c>
      <x:c r="G1896" s="17" t="n">
        <x:f>IF(AND(ISNUMBER(E1896),ISNUMBER(F1896)),E1896-F1896,"n.a.")</x:f>
        <x:v>-1185696.952986151</x:v>
      </x:c>
      <x:c r="H1896" s="15" t="n">
        <x:f>IF(AND(ISNUMBER(E1896),ISNUMBER(F1896),F1896&gt;0),(E1896-F1896)/F1896,"n.a.")</x:f>
        <x:v>-0.026003010421100394</x:v>
      </x:c>
      <x:c r="I1896" s="19" t="n">
        <x:f>IF(ISNUMBER(H1896),ABS(H1896),"n.a.")</x:f>
        <x:v>0.026003010421100394</x:v>
      </x:c>
      <x:c r="J1896" s="2" t="str">
        <x:v>available</x:v>
      </x:c>
      <x:c r="K1896" s="2" t="n">
        <x:v>1</x:v>
      </x:c>
      <x:c r="L1896" s="13" t="b">
        <x:v>0</x:v>
      </x:c>
      <x:c r="M1896" s="13" t="b">
        <x:v>1</x:v>
      </x:c>
      <x:c r="N1896" s="2" t="str">
        <x:v>projected_CRISP_BU_surface</x:v>
      </x:c>
      <x:c r="O1896" s="2" t="str"/>
      <x:c r="P1896" s="2" t="str">
        <x:v>horizontal built-up surface</x:v>
      </x:c>
      <x:c r="Q1896" s="2" t="str">
        <x:v>m2</x:v>
      </x:c>
      <x:c r="R1896" s="17" t="n">
        <x:v>45598449.32508304</x:v>
      </x:c>
      <x:c r="S1896" s="17" t="n">
        <x:v>39447648.86</x:v>
      </x:c>
      <x:c r="T1896" s="18" t="n">
        <x:v>0.9999999999999987</x:v>
      </x:c>
      <x:c r="U1896" s="17" t="n">
        <x:v>39447648.85999995</x:v>
      </x:c>
      <x:c r="V1896" s="2" t="str">
        <x:v>Area equivalent = model2020 * WUP surface / TEMPO2020 footprint; km2 multiplied by1e6 once</x:v>
      </x:c>
      <x:c r="W1896" s="2" t="str">
        <x:v>L1_numeric_partition_qualified_not_national_completeness</x:v>
      </x:c>
      <x:c r="X1896" s="2" t="str">
        <x:v>https://human-settlement.emergency.copernicus.eu/datasets.php</x:v>
      </x:c>
    </x:row>
    <x:row r="1897" ht="23" customHeight="1">
      <x:c r="A1897" s="2" t="str">
        <x:v>MNG</x:v>
      </x:c>
      <x:c r="B1897" s="2" t="str">
        <x:v>Mongolia</x:v>
      </x:c>
      <x:c r="C1897" s="2" t="n">
        <x:v>2025</x:v>
      </x:c>
      <x:c r="D1897" s="2" t="str">
        <x:v>WUP_SURFACE</x:v>
      </x:c>
      <x:c r="E1897" s="17" t="n">
        <x:v>94873498.28180344</x:v>
      </x:c>
      <x:c r="F1897" s="17" t="n">
        <x:f>IF(AND(M1897,ISNUMBER(R1897)),IF(D1897="TEMPO_PROXY",R1897,IF(AND(ISNUMBER(S1897),S1897&gt;0,ISNUMBER(U1897)),U1897*R1897/S1897,"n.a.")),"n.a.")</x:f>
        <x:v>182996456.35488248</x:v>
      </x:c>
      <x:c r="G1897" s="17" t="n">
        <x:f>IF(AND(ISNUMBER(E1897),ISNUMBER(F1897)),E1897-F1897,"n.a.")</x:f>
        <x:v>-88122958.07307903</x:v>
      </x:c>
      <x:c r="H1897" s="15" t="n">
        <x:f>IF(AND(ISNUMBER(E1897),ISNUMBER(F1897),F1897&gt;0),(E1897-F1897)/F1897,"n.a.")</x:f>
        <x:v>-0.48155554390727334</x:v>
      </x:c>
      <x:c r="I1897" s="19" t="n">
        <x:f>IF(ISNUMBER(H1897),ABS(H1897),"n.a.")</x:f>
        <x:v>0.48155554390727334</x:v>
      </x:c>
      <x:c r="J1897" s="2" t="str">
        <x:v>available</x:v>
      </x:c>
      <x:c r="K1897" s="2" t="n">
        <x:v>1</x:v>
      </x:c>
      <x:c r="L1897" s="13" t="b">
        <x:v>0</x:v>
      </x:c>
      <x:c r="M1897" s="13" t="b">
        <x:v>1</x:v>
      </x:c>
      <x:c r="N1897" s="2" t="str">
        <x:v>projected_CRISP_BU_surface</x:v>
      </x:c>
      <x:c r="O1897" s="2" t="str"/>
      <x:c r="P1897" s="2" t="str">
        <x:v>horizontal built-up surface</x:v>
      </x:c>
      <x:c r="Q1897" s="2" t="str">
        <x:v>m2</x:v>
      </x:c>
      <x:c r="R1897" s="17" t="n">
        <x:v>182488046.4754026</x:v>
      </x:c>
      <x:c r="S1897" s="17" t="n">
        <x:v>83111291.45</x:v>
      </x:c>
      <x:c r="T1897" s="18" t="n">
        <x:v>1.0027859900377005</x:v>
      </x:c>
      <x:c r="U1897" s="17" t="n">
        <x:v>83342838.68000013</x:v>
      </x:c>
      <x:c r="V1897" s="2" t="str">
        <x:v>Area equivalent = model2020 * WUP surface / TEMPO2020 footprint; km2 multiplied by1e6 once</x:v>
      </x:c>
      <x:c r="W1897" s="2" t="str">
        <x:v>L1_numeric_partition_qualified_not_national_completeness</x:v>
      </x:c>
      <x:c r="X1897" s="2" t="str">
        <x:v>https://human-settlement.emergency.copernicus.eu/datasets.php</x:v>
      </x:c>
    </x:row>
    <x:row r="1898" ht="23" customHeight="1">
      <x:c r="A1898" s="2" t="str">
        <x:v>MOZ</x:v>
      </x:c>
      <x:c r="B1898" s="2" t="str">
        <x:v>Mozambique (Republic of)</x:v>
      </x:c>
      <x:c r="C1898" s="2" t="n">
        <x:v>2025</x:v>
      </x:c>
      <x:c r="D1898" s="2" t="str">
        <x:v>WUP_SURFACE</x:v>
      </x:c>
      <x:c r="E1898" s="17" t="n">
        <x:v>628502664.0516603</x:v>
      </x:c>
      <x:c r="F1898" s="17" t="n">
        <x:f>IF(AND(M1898,ISNUMBER(R1898)),IF(D1898="TEMPO_PROXY",R1898,IF(AND(ISNUMBER(S1898),S1898&gt;0,ISNUMBER(U1898)),U1898*R1898/S1898,"n.a.")),"n.a.")</x:f>
        <x:v>2251884012.3159127</x:v>
      </x:c>
      <x:c r="G1898" s="17" t="n">
        <x:f>IF(AND(ISNUMBER(E1898),ISNUMBER(F1898)),E1898-F1898,"n.a.")</x:f>
        <x:v>-1623381348.2642524</x:v>
      </x:c>
      <x:c r="H1898" s="15" t="n">
        <x:f>IF(AND(ISNUMBER(E1898),ISNUMBER(F1898),F1898&gt;0),(E1898-F1898)/F1898,"n.a.")</x:f>
        <x:v>-0.7208991845875369</x:v>
      </x:c>
      <x:c r="I1898" s="19" t="n">
        <x:f>IF(ISNUMBER(H1898),ABS(H1898),"n.a.")</x:f>
        <x:v>0.7208991845875369</x:v>
      </x:c>
      <x:c r="J1898" s="2" t="str">
        <x:v>available</x:v>
      </x:c>
      <x:c r="K1898" s="2" t="n">
        <x:v>1</x:v>
      </x:c>
      <x:c r="L1898" s="13" t="b">
        <x:v>0</x:v>
      </x:c>
      <x:c r="M1898" s="13" t="b">
        <x:v>1</x:v>
      </x:c>
      <x:c r="N1898" s="2" t="str">
        <x:v>projected_CRISP_BU_surface</x:v>
      </x:c>
      <x:c r="O1898" s="2" t="str"/>
      <x:c r="P1898" s="2" t="str">
        <x:v>horizontal built-up surface</x:v>
      </x:c>
      <x:c r="Q1898" s="2" t="str">
        <x:v>m2</x:v>
      </x:c>
      <x:c r="R1898" s="17" t="n">
        <x:v>2251884012.3159094</x:v>
      </x:c>
      <x:c r="S1898" s="17" t="n">
        <x:v>540811235.53</x:v>
      </x:c>
      <x:c r="T1898" s="18" t="n">
        <x:v>1.0000000000000016</x:v>
      </x:c>
      <x:c r="U1898" s="17" t="n">
        <x:v>540811235.5300008</x:v>
      </x:c>
      <x:c r="V1898" s="2" t="str">
        <x:v>Area equivalent = model2020 * WUP surface / TEMPO2020 footprint; km2 multiplied by1e6 once</x:v>
      </x:c>
      <x:c r="W1898" s="2" t="str">
        <x:v>L1_numeric_partition_qualified_not_national_completeness</x:v>
      </x:c>
      <x:c r="X1898" s="2" t="str">
        <x:v>https://human-settlement.emergency.copernicus.eu/datasets.php</x:v>
      </x:c>
    </x:row>
    <x:row r="1899" ht="23" customHeight="1">
      <x:c r="A1899" s="2" t="str">
        <x:v>MRT</x:v>
      </x:c>
      <x:c r="B1899" s="2" t="str">
        <x:v>Mauritania (Islamic Republic of)</x:v>
      </x:c>
      <x:c r="C1899" s="2" t="n">
        <x:v>2025</x:v>
      </x:c>
      <x:c r="D1899" s="2" t="str">
        <x:v>WUP_SURFACE</x:v>
      </x:c>
      <x:c r="E1899" s="17" t="n">
        <x:v>116298238.67425658</x:v>
      </x:c>
      <x:c r="F1899" s="17" t="n">
        <x:f>IF(AND(M1899,ISNUMBER(R1899)),IF(D1899="TEMPO_PROXY",R1899,IF(AND(ISNUMBER(S1899),S1899&gt;0,ISNUMBER(U1899)),U1899*R1899/S1899,"n.a.")),"n.a.")</x:f>
        <x:v>268516320.2397246</x:v>
      </x:c>
      <x:c r="G1899" s="17" t="n">
        <x:f>IF(AND(ISNUMBER(E1899),ISNUMBER(F1899)),E1899-F1899,"n.a.")</x:f>
        <x:v>-152218081.565468</x:v>
      </x:c>
      <x:c r="H1899" s="15" t="n">
        <x:f>IF(AND(ISNUMBER(E1899),ISNUMBER(F1899),F1899&gt;0),(E1899-F1899)/F1899,"n.a.")</x:f>
        <x:v>-0.566885772267293</x:v>
      </x:c>
      <x:c r="I1899" s="19" t="n">
        <x:f>IF(ISNUMBER(H1899),ABS(H1899),"n.a.")</x:f>
        <x:v>0.566885772267293</x:v>
      </x:c>
      <x:c r="J1899" s="2" t="str">
        <x:v>available</x:v>
      </x:c>
      <x:c r="K1899" s="2" t="n">
        <x:v>1</x:v>
      </x:c>
      <x:c r="L1899" s="13" t="b">
        <x:v>0</x:v>
      </x:c>
      <x:c r="M1899" s="13" t="b">
        <x:v>1</x:v>
      </x:c>
      <x:c r="N1899" s="2" t="str">
        <x:v>projected_CRISP_BU_surface</x:v>
      </x:c>
      <x:c r="O1899" s="2" t="str"/>
      <x:c r="P1899" s="2" t="str">
        <x:v>horizontal built-up surface</x:v>
      </x:c>
      <x:c r="Q1899" s="2" t="str">
        <x:v>m2</x:v>
      </x:c>
      <x:c r="R1899" s="17" t="n">
        <x:v>268516320.23972434</x:v>
      </x:c>
      <x:c r="S1899" s="17" t="n">
        <x:v>97384454.07</x:v>
      </x:c>
      <x:c r="T1899" s="18" t="n">
        <x:v>1.0000000000000009</x:v>
      </x:c>
      <x:c r="U1899" s="17" t="n">
        <x:v>97384454.07000008</x:v>
      </x:c>
      <x:c r="V1899" s="2" t="str">
        <x:v>Area equivalent = model2020 * WUP surface / TEMPO2020 footprint; km2 multiplied by1e6 once</x:v>
      </x:c>
      <x:c r="W1899" s="2" t="str">
        <x:v>L1_numeric_partition_qualified_not_national_completeness</x:v>
      </x:c>
      <x:c r="X1899" s="2" t="str">
        <x:v>https://human-settlement.emergency.copernicus.eu/datasets.php</x:v>
      </x:c>
    </x:row>
    <x:row r="1900" ht="23" customHeight="1">
      <x:c r="A1900" s="2" t="str">
        <x:v>MUS</x:v>
      </x:c>
      <x:c r="B1900" s="2" t="str">
        <x:v>Mauritius (Republic of)</x:v>
      </x:c>
      <x:c r="C1900" s="2" t="n">
        <x:v>2025</x:v>
      </x:c>
      <x:c r="D1900" s="2" t="str">
        <x:v>WUP_SURFACE</x:v>
      </x:c>
      <x:c r="E1900" s="17" t="n">
        <x:v>70028973.76503034</x:v>
      </x:c>
      <x:c r="F1900" s="17" t="n">
        <x:f>IF(AND(M1900,ISNUMBER(R1900)),IF(D1900="TEMPO_PROXY",R1900,IF(AND(ISNUMBER(S1900),S1900&gt;0,ISNUMBER(U1900)),U1900*R1900/S1900,"n.a.")),"n.a.")</x:f>
        <x:v>79986143.27032049</x:v>
      </x:c>
      <x:c r="G1900" s="17" t="n">
        <x:f>IF(AND(ISNUMBER(E1900),ISNUMBER(F1900)),E1900-F1900,"n.a.")</x:f>
        <x:v>-9957169.50529015</x:v>
      </x:c>
      <x:c r="H1900" s="15" t="n">
        <x:f>IF(AND(ISNUMBER(E1900),ISNUMBER(F1900),F1900&gt;0),(E1900-F1900)/F1900,"n.a.")</x:f>
        <x:v>-0.12448618095810653</x:v>
      </x:c>
      <x:c r="I1900" s="19" t="n">
        <x:f>IF(ISNUMBER(H1900),ABS(H1900),"n.a.")</x:f>
        <x:v>0.12448618095810653</x:v>
      </x:c>
      <x:c r="J1900" s="2" t="str">
        <x:v>available</x:v>
      </x:c>
      <x:c r="K1900" s="2" t="n">
        <x:v>1</x:v>
      </x:c>
      <x:c r="L1900" s="13" t="b">
        <x:v>0</x:v>
      </x:c>
      <x:c r="M1900" s="13" t="b">
        <x:v>1</x:v>
      </x:c>
      <x:c r="N1900" s="2" t="str">
        <x:v>projected_CRISP_BU_surface</x:v>
      </x:c>
      <x:c r="O1900" s="2" t="str"/>
      <x:c r="P1900" s="2" t="str">
        <x:v>horizontal built-up surface</x:v>
      </x:c>
      <x:c r="Q1900" s="2" t="str">
        <x:v>m2</x:v>
      </x:c>
      <x:c r="R1900" s="17" t="n">
        <x:v>79511184.55854475</x:v>
      </x:c>
      <x:c r="S1900" s="17" t="n">
        <x:v>64765689.96</x:v>
      </x:c>
      <x:c r="T1900" s="18" t="n">
        <x:v>1.00597348303151</x:v>
      </x:c>
      <x:c r="U1900" s="17" t="n">
        <x:v>65152566.7100001</x:v>
      </x:c>
      <x:c r="V1900" s="2" t="str">
        <x:v>Area equivalent = model2020 * WUP surface / TEMPO2020 footprint; km2 multiplied by1e6 once</x:v>
      </x:c>
      <x:c r="W1900" s="2" t="str">
        <x:v>L1_numeric_partition_qualified_not_national_completeness</x:v>
      </x:c>
      <x:c r="X1900" s="2" t="str">
        <x:v>https://human-settlement.emergency.copernicus.eu/datasets.php</x:v>
      </x:c>
    </x:row>
    <x:row r="1901" ht="23" customHeight="1">
      <x:c r="A1901" s="2" t="str">
        <x:v>MWI</x:v>
      </x:c>
      <x:c r="B1901" s="2" t="str">
        <x:v>Malawi (Republic of)</x:v>
      </x:c>
      <x:c r="C1901" s="2" t="n">
        <x:v>2025</x:v>
      </x:c>
      <x:c r="D1901" s="2" t="str">
        <x:v>WUP_SURFACE</x:v>
      </x:c>
      <x:c r="E1901" s="17" t="n">
        <x:v>382402408.1350512</x:v>
      </x:c>
      <x:c r="F1901" s="17" t="n">
        <x:f>IF(AND(M1901,ISNUMBER(R1901)),IF(D1901="TEMPO_PROXY",R1901,IF(AND(ISNUMBER(S1901),S1901&gt;0,ISNUMBER(U1901)),U1901*R1901/S1901,"n.a.")),"n.a.")</x:f>
        <x:v>1261083185.0001247</x:v>
      </x:c>
      <x:c r="G1901" s="17" t="n">
        <x:f>IF(AND(ISNUMBER(E1901),ISNUMBER(F1901)),E1901-F1901,"n.a.")</x:f>
        <x:v>-878680776.8650734</x:v>
      </x:c>
      <x:c r="H1901" s="15" t="n">
        <x:f>IF(AND(ISNUMBER(E1901),ISNUMBER(F1901),F1901&gt;0),(E1901-F1901)/F1901,"n.a.")</x:f>
        <x:v>-0.6967667060480126</x:v>
      </x:c>
      <x:c r="I1901" s="19" t="n">
        <x:f>IF(ISNUMBER(H1901),ABS(H1901),"n.a.")</x:f>
        <x:v>0.6967667060480126</x:v>
      </x:c>
      <x:c r="J1901" s="2" t="str">
        <x:v>available</x:v>
      </x:c>
      <x:c r="K1901" s="2" t="n">
        <x:v>1</x:v>
      </x:c>
      <x:c r="L1901" s="13" t="b">
        <x:v>0</x:v>
      </x:c>
      <x:c r="M1901" s="13" t="b">
        <x:v>1</x:v>
      </x:c>
      <x:c r="N1901" s="2" t="str">
        <x:v>projected_CRISP_BU_surface</x:v>
      </x:c>
      <x:c r="O1901" s="2" t="str"/>
      <x:c r="P1901" s="2" t="str">
        <x:v>horizontal built-up surface</x:v>
      </x:c>
      <x:c r="Q1901" s="2" t="str">
        <x:v>m2</x:v>
      </x:c>
      <x:c r="R1901" s="17" t="n">
        <x:v>1261083185.0001256</x:v>
      </x:c>
      <x:c r="S1901" s="17" t="n">
        <x:v>330771641.02</x:v>
      </x:c>
      <x:c r="T1901" s="18" t="n">
        <x:v>0.9999999999999993</x:v>
      </x:c>
      <x:c r="U1901" s="17" t="n">
        <x:v>330771641.01999974</x:v>
      </x:c>
      <x:c r="V1901" s="2" t="str">
        <x:v>Area equivalent = model2020 * WUP surface / TEMPO2020 footprint; km2 multiplied by1e6 once</x:v>
      </x:c>
      <x:c r="W1901" s="2" t="str">
        <x:v>L1_numeric_partition_qualified_not_national_completeness</x:v>
      </x:c>
      <x:c r="X1901" s="2" t="str">
        <x:v>https://human-settlement.emergency.copernicus.eu/datasets.php</x:v>
      </x:c>
    </x:row>
    <x:row r="1902" ht="23" customHeight="1">
      <x:c r="A1902" s="2" t="str">
        <x:v>MYS</x:v>
      </x:c>
      <x:c r="B1902" s="2" t="str">
        <x:v>Malaysia</x:v>
      </x:c>
      <x:c r="C1902" s="2" t="n">
        <x:v>2025</x:v>
      </x:c>
      <x:c r="D1902" s="2" t="str">
        <x:v>WUP_SURFACE</x:v>
      </x:c>
      <x:c r="E1902" s="17" t="n">
        <x:v>2371430145.3910923</x:v>
      </x:c>
      <x:c r="F1902" s="17" t="n">
        <x:f>IF(AND(M1902,ISNUMBER(R1902)),IF(D1902="TEMPO_PROXY",R1902,IF(AND(ISNUMBER(S1902),S1902&gt;0,ISNUMBER(U1902)),U1902*R1902/S1902,"n.a.")),"n.a.")</x:f>
        <x:v>2537027081.8087707</x:v>
      </x:c>
      <x:c r="G1902" s="17" t="n">
        <x:f>IF(AND(ISNUMBER(E1902),ISNUMBER(F1902)),E1902-F1902,"n.a.")</x:f>
        <x:v>-165596936.41767836</x:v>
      </x:c>
      <x:c r="H1902" s="15" t="n">
        <x:f>IF(AND(ISNUMBER(E1902),ISNUMBER(F1902),F1902&gt;0),(E1902-F1902)/F1902,"n.a.")</x:f>
        <x:v>-0.06527204128211994</x:v>
      </x:c>
      <x:c r="I1902" s="19" t="n">
        <x:f>IF(ISNUMBER(H1902),ABS(H1902),"n.a.")</x:f>
        <x:v>0.06527204128211994</x:v>
      </x:c>
      <x:c r="J1902" s="2" t="str">
        <x:v>available</x:v>
      </x:c>
      <x:c r="K1902" s="2" t="n">
        <x:v>1</x:v>
      </x:c>
      <x:c r="L1902" s="13" t="b">
        <x:v>0</x:v>
      </x:c>
      <x:c r="M1902" s="13" t="b">
        <x:v>1</x:v>
      </x:c>
      <x:c r="N1902" s="2" t="str">
        <x:v>projected_CRISP_BU_surface</x:v>
      </x:c>
      <x:c r="O1902" s="2" t="str"/>
      <x:c r="P1902" s="2" t="str">
        <x:v>horizontal built-up surface</x:v>
      </x:c>
      <x:c r="Q1902" s="2" t="str">
        <x:v>m2</x:v>
      </x:c>
      <x:c r="R1902" s="17" t="n">
        <x:v>2390474291.6130624</x:v>
      </x:c>
      <x:c r="S1902" s="17" t="n">
        <x:v>1923172736.52</x:v>
      </x:c>
      <x:c r="T1902" s="18" t="n">
        <x:v>1.0613069928046857</x:v>
      </x:c>
      <x:c r="U1902" s="17" t="n">
        <x:v>2041076673.6399992</x:v>
      </x:c>
      <x:c r="V1902" s="2" t="str">
        <x:v>Area equivalent = model2020 * WUP surface / TEMPO2020 footprint; km2 multiplied by1e6 once</x:v>
      </x:c>
      <x:c r="W1902" s="2" t="str">
        <x:v>L1_numeric_partition_qualified_not_national_completeness</x:v>
      </x:c>
      <x:c r="X1902" s="2" t="str">
        <x:v>https://human-settlement.emergency.copernicus.eu/datasets.php</x:v>
      </x:c>
    </x:row>
    <x:row r="1903" ht="23" customHeight="1">
      <x:c r="A1903" s="2" t="str">
        <x:v>NAM</x:v>
      </x:c>
      <x:c r="B1903" s="2" t="str">
        <x:v>Namibia (Republic of)</x:v>
      </x:c>
      <x:c r="C1903" s="2" t="n">
        <x:v>2025</x:v>
      </x:c>
      <x:c r="D1903" s="2" t="str">
        <x:v>WUP_SURFACE</x:v>
      </x:c>
      <x:c r="E1903" s="17" t="n">
        <x:v>127029296.9971377</x:v>
      </x:c>
      <x:c r="F1903" s="17" t="n">
        <x:f>IF(AND(M1903,ISNUMBER(R1903)),IF(D1903="TEMPO_PROXY",R1903,IF(AND(ISNUMBER(S1903),S1903&gt;0,ISNUMBER(U1903)),U1903*R1903/S1903,"n.a.")),"n.a.")</x:f>
        <x:v>338643552.04353535</x:v>
      </x:c>
      <x:c r="G1903" s="17" t="n">
        <x:f>IF(AND(ISNUMBER(E1903),ISNUMBER(F1903)),E1903-F1903,"n.a.")</x:f>
        <x:v>-211614255.04639766</x:v>
      </x:c>
      <x:c r="H1903" s="15" t="n">
        <x:f>IF(AND(ISNUMBER(E1903),ISNUMBER(F1903),F1903&gt;0),(E1903-F1903)/F1903,"n.a.")</x:f>
        <x:v>-0.6248878910270612</x:v>
      </x:c>
      <x:c r="I1903" s="19" t="n">
        <x:f>IF(ISNUMBER(H1903),ABS(H1903),"n.a.")</x:f>
        <x:v>0.6248878910270612</x:v>
      </x:c>
      <x:c r="J1903" s="2" t="str">
        <x:v>available</x:v>
      </x:c>
      <x:c r="K1903" s="2" t="n">
        <x:v>1</x:v>
      </x:c>
      <x:c r="L1903" s="13" t="b">
        <x:v>0</x:v>
      </x:c>
      <x:c r="M1903" s="13" t="b">
        <x:v>1</x:v>
      </x:c>
      <x:c r="N1903" s="2" t="str">
        <x:v>projected_CRISP_BU_surface</x:v>
      </x:c>
      <x:c r="O1903" s="2" t="str"/>
      <x:c r="P1903" s="2" t="str">
        <x:v>horizontal built-up surface</x:v>
      </x:c>
      <x:c r="Q1903" s="2" t="str">
        <x:v>m2</x:v>
      </x:c>
      <x:c r="R1903" s="17" t="n">
        <x:v>338643552.0435356</x:v>
      </x:c>
      <x:c r="S1903" s="17" t="n">
        <x:v>112405609.31</x:v>
      </x:c>
      <x:c r="T1903" s="18" t="n">
        <x:v>0.9999999999999992</x:v>
      </x:c>
      <x:c r="U1903" s="17" t="n">
        <x:v>112405609.30999991</x:v>
      </x:c>
      <x:c r="V1903" s="2" t="str">
        <x:v>Area equivalent = model2020 * WUP surface / TEMPO2020 footprint; km2 multiplied by1e6 once</x:v>
      </x:c>
      <x:c r="W1903" s="2" t="str">
        <x:v>L1_numeric_partition_qualified_not_national_completeness</x:v>
      </x:c>
      <x:c r="X1903" s="2" t="str">
        <x:v>https://human-settlement.emergency.copernicus.eu/datasets.php</x:v>
      </x:c>
    </x:row>
    <x:row r="1904" ht="23" customHeight="1">
      <x:c r="A1904" s="2" t="str">
        <x:v>NER</x:v>
      </x:c>
      <x:c r="B1904" s="2" t="str">
        <x:v>Niger (Republic of the)</x:v>
      </x:c>
      <x:c r="C1904" s="2" t="n">
        <x:v>2025</x:v>
      </x:c>
      <x:c r="D1904" s="2" t="str">
        <x:v>WUP_SURFACE</x:v>
      </x:c>
      <x:c r="E1904" s="17" t="n">
        <x:v>250917642.8761138</x:v>
      </x:c>
      <x:c r="F1904" s="17" t="n">
        <x:f>IF(AND(M1904,ISNUMBER(R1904)),IF(D1904="TEMPO_PROXY",R1904,IF(AND(ISNUMBER(S1904),S1904&gt;0,ISNUMBER(U1904)),U1904*R1904/S1904,"n.a.")),"n.a.")</x:f>
        <x:v>890882298.1903777</x:v>
      </x:c>
      <x:c r="G1904" s="17" t="n">
        <x:f>IF(AND(ISNUMBER(E1904),ISNUMBER(F1904)),E1904-F1904,"n.a.")</x:f>
        <x:v>-639964655.3142639</x:v>
      </x:c>
      <x:c r="H1904" s="15" t="n">
        <x:f>IF(AND(ISNUMBER(E1904),ISNUMBER(F1904),F1904&gt;0),(E1904-F1904)/F1904,"n.a.")</x:f>
        <x:v>-0.7183492775804444</x:v>
      </x:c>
      <x:c r="I1904" s="19" t="n">
        <x:f>IF(ISNUMBER(H1904),ABS(H1904),"n.a.")</x:f>
        <x:v>0.7183492775804444</x:v>
      </x:c>
      <x:c r="J1904" s="2" t="str">
        <x:v>available</x:v>
      </x:c>
      <x:c r="K1904" s="2" t="n">
        <x:v>1</x:v>
      </x:c>
      <x:c r="L1904" s="13" t="b">
        <x:v>0</x:v>
      </x:c>
      <x:c r="M1904" s="13" t="b">
        <x:v>1</x:v>
      </x:c>
      <x:c r="N1904" s="2" t="str">
        <x:v>projected_CRISP_BU_surface</x:v>
      </x:c>
      <x:c r="O1904" s="2" t="str"/>
      <x:c r="P1904" s="2" t="str">
        <x:v>horizontal built-up surface</x:v>
      </x:c>
      <x:c r="Q1904" s="2" t="str">
        <x:v>m2</x:v>
      </x:c>
      <x:c r="R1904" s="17" t="n">
        <x:v>890882298.1903764</x:v>
      </x:c>
      <x:c r="S1904" s="17" t="n">
        <x:v>203236516.43</x:v>
      </x:c>
      <x:c r="T1904" s="18" t="n">
        <x:v>1.0000000000000016</x:v>
      </x:c>
      <x:c r="U1904" s="17" t="n">
        <x:v>203236516.4300003</x:v>
      </x:c>
      <x:c r="V1904" s="2" t="str">
        <x:v>Area equivalent = model2020 * WUP surface / TEMPO2020 footprint; km2 multiplied by1e6 once</x:v>
      </x:c>
      <x:c r="W1904" s="2" t="str">
        <x:v>L1_numeric_partition_qualified_not_national_completeness</x:v>
      </x:c>
      <x:c r="X1904" s="2" t="str">
        <x:v>https://human-settlement.emergency.copernicus.eu/datasets.php</x:v>
      </x:c>
    </x:row>
    <x:row r="1905" ht="23" customHeight="1">
      <x:c r="A1905" s="2" t="str">
        <x:v>NGA</x:v>
      </x:c>
      <x:c r="B1905" s="2" t="str">
        <x:v>Nigeria (Federal Republic of)</x:v>
      </x:c>
      <x:c r="C1905" s="2" t="n">
        <x:v>2025</x:v>
      </x:c>
      <x:c r="D1905" s="2" t="str">
        <x:v>WUP_SURFACE</x:v>
      </x:c>
      <x:c r="E1905" s="17" t="n">
        <x:v>4810039826.022523</x:v>
      </x:c>
      <x:c r="F1905" s="17" t="n">
        <x:f>IF(AND(M1905,ISNUMBER(R1905)),IF(D1905="TEMPO_PROXY",R1905,IF(AND(ISNUMBER(S1905),S1905&gt;0,ISNUMBER(U1905)),U1905*R1905/S1905,"n.a.")),"n.a.")</x:f>
        <x:v>9556896146.043716</x:v>
      </x:c>
      <x:c r="G1905" s="17" t="n">
        <x:f>IF(AND(ISNUMBER(E1905),ISNUMBER(F1905)),E1905-F1905,"n.a.")</x:f>
        <x:v>-4746856320.0211935</x:v>
      </x:c>
      <x:c r="H1905" s="15" t="n">
        <x:f>IF(AND(ISNUMBER(E1905),ISNUMBER(F1905),F1905&gt;0),(E1905-F1905)/F1905,"n.a.")</x:f>
        <x:v>-0.49669435007790236</x:v>
      </x:c>
      <x:c r="I1905" s="19" t="n">
        <x:f>IF(ISNUMBER(H1905),ABS(H1905),"n.a.")</x:f>
        <x:v>0.49669435007790236</x:v>
      </x:c>
      <x:c r="J1905" s="2" t="str">
        <x:v>available</x:v>
      </x:c>
      <x:c r="K1905" s="2" t="n">
        <x:v>1</x:v>
      </x:c>
      <x:c r="L1905" s="13" t="b">
        <x:v>0</x:v>
      </x:c>
      <x:c r="M1905" s="13" t="b">
        <x:v>1</x:v>
      </x:c>
      <x:c r="N1905" s="2" t="str">
        <x:v>projected_CRISP_BU_surface</x:v>
      </x:c>
      <x:c r="O1905" s="2" t="str"/>
      <x:c r="P1905" s="2" t="str">
        <x:v>horizontal built-up surface</x:v>
      </x:c>
      <x:c r="Q1905" s="2" t="str">
        <x:v>m2</x:v>
      </x:c>
      <x:c r="R1905" s="17" t="n">
        <x:v>9556896146.04371</x:v>
      </x:c>
      <x:c r="S1905" s="17" t="n">
        <x:v>4102804870.27</x:v>
      </x:c>
      <x:c r="T1905" s="18" t="n">
        <x:v>1.0000000000000007</x:v>
      </x:c>
      <x:c r="U1905" s="17" t="n">
        <x:v>4102804870.2700024</x:v>
      </x:c>
      <x:c r="V1905" s="2" t="str">
        <x:v>Area equivalent = model2020 * WUP surface / TEMPO2020 footprint; km2 multiplied by1e6 once</x:v>
      </x:c>
      <x:c r="W1905" s="2" t="str">
        <x:v>L1_numeric_partition_qualified_not_national_completeness</x:v>
      </x:c>
      <x:c r="X1905" s="2" t="str">
        <x:v>https://human-settlement.emergency.copernicus.eu/datasets.php</x:v>
      </x:c>
    </x:row>
    <x:row r="1906" ht="23" customHeight="1">
      <x:c r="A1906" s="2" t="str">
        <x:v>NIC</x:v>
      </x:c>
      <x:c r="B1906" s="2" t="str">
        <x:v>Nicaragua (Republic of)</x:v>
      </x:c>
      <x:c r="C1906" s="2" t="n">
        <x:v>2025</x:v>
      </x:c>
      <x:c r="D1906" s="2" t="str">
        <x:v>WUP_SURFACE</x:v>
      </x:c>
      <x:c r="E1906" s="17" t="n">
        <x:v>232434082.18040395</x:v>
      </x:c>
      <x:c r="F1906" s="17" t="n">
        <x:f>IF(AND(M1906,ISNUMBER(R1906)),IF(D1906="TEMPO_PROXY",R1906,IF(AND(ISNUMBER(S1906),S1906&gt;0,ISNUMBER(U1906)),U1906*R1906/S1906,"n.a.")),"n.a.")</x:f>
        <x:v>342959386.12923056</x:v>
      </x:c>
      <x:c r="G1906" s="17" t="n">
        <x:f>IF(AND(ISNUMBER(E1906),ISNUMBER(F1906)),E1906-F1906,"n.a.")</x:f>
        <x:v>-110525303.94882661</x:v>
      </x:c>
      <x:c r="H1906" s="15" t="n">
        <x:f>IF(AND(ISNUMBER(E1906),ISNUMBER(F1906),F1906&gt;0),(E1906-F1906)/F1906,"n.a.")</x:f>
        <x:v>-0.3222693660501817</x:v>
      </x:c>
      <x:c r="I1906" s="19" t="n">
        <x:f>IF(ISNUMBER(H1906),ABS(H1906),"n.a.")</x:f>
        <x:v>0.3222693660501817</x:v>
      </x:c>
      <x:c r="J1906" s="2" t="str">
        <x:v>available</x:v>
      </x:c>
      <x:c r="K1906" s="2" t="n">
        <x:v>1</x:v>
      </x:c>
      <x:c r="L1906" s="13" t="b">
        <x:v>0</x:v>
      </x:c>
      <x:c r="M1906" s="13" t="b">
        <x:v>1</x:v>
      </x:c>
      <x:c r="N1906" s="2" t="str">
        <x:v>projected_CRISP_BU_surface</x:v>
      </x:c>
      <x:c r="O1906" s="2" t="str"/>
      <x:c r="P1906" s="2" t="str">
        <x:v>horizontal built-up surface</x:v>
      </x:c>
      <x:c r="Q1906" s="2" t="str">
        <x:v>m2</x:v>
      </x:c>
      <x:c r="R1906" s="17" t="n">
        <x:v>342959386.1292307</x:v>
      </x:c>
      <x:c r="S1906" s="17" t="n">
        <x:v>201940338.65</x:v>
      </x:c>
      <x:c r="T1906" s="18" t="n">
        <x:v>0.9999999999999996</x:v>
      </x:c>
      <x:c r="U1906" s="17" t="n">
        <x:v>201940338.64999992</x:v>
      </x:c>
      <x:c r="V1906" s="2" t="str">
        <x:v>Area equivalent = model2020 * WUP surface / TEMPO2020 footprint; km2 multiplied by1e6 once</x:v>
      </x:c>
      <x:c r="W1906" s="2" t="str">
        <x:v>L1_numeric_partition_qualified_not_national_completeness</x:v>
      </x:c>
      <x:c r="X1906" s="2" t="str">
        <x:v>https://human-settlement.emergency.copernicus.eu/datasets.php</x:v>
      </x:c>
    </x:row>
    <x:row r="1907" ht="23" customHeight="1">
      <x:c r="A1907" s="2" t="str">
        <x:v>NLD</x:v>
      </x:c>
      <x:c r="B1907" s="2" t="str">
        <x:v>Netherlands (Kingdom of the)</x:v>
      </x:c>
      <x:c r="C1907" s="2" t="n">
        <x:v>2025</x:v>
      </x:c>
      <x:c r="D1907" s="2" t="str">
        <x:v>WUP_SURFACE</x:v>
      </x:c>
      <x:c r="E1907" s="17" t="n">
        <x:v>1718841242.8064585</x:v>
      </x:c>
      <x:c r="F1907" s="17" t="n">
        <x:f>IF(AND(M1907,ISNUMBER(R1907)),IF(D1907="TEMPO_PROXY",R1907,IF(AND(ISNUMBER(S1907),S1907&gt;0,ISNUMBER(U1907)),U1907*R1907/S1907,"n.a.")),"n.a.")</x:f>
        <x:v>2584249392.090016</x:v>
      </x:c>
      <x:c r="G1907" s="17" t="n">
        <x:f>IF(AND(ISNUMBER(E1907),ISNUMBER(F1907)),E1907-F1907,"n.a.")</x:f>
        <x:v>-865408149.2835574</x:v>
      </x:c>
      <x:c r="H1907" s="15" t="n">
        <x:f>IF(AND(ISNUMBER(E1907),ISNUMBER(F1907),F1907&gt;0),(E1907-F1907)/F1907,"n.a.")</x:f>
        <x:v>-0.33487795409082294</x:v>
      </x:c>
      <x:c r="I1907" s="19" t="n">
        <x:f>IF(ISNUMBER(H1907),ABS(H1907),"n.a.")</x:f>
        <x:v>0.33487795409082294</x:v>
      </x:c>
      <x:c r="J1907" s="2" t="str">
        <x:v>available</x:v>
      </x:c>
      <x:c r="K1907" s="2" t="n">
        <x:v>1</x:v>
      </x:c>
      <x:c r="L1907" s="13" t="b">
        <x:v>0</x:v>
      </x:c>
      <x:c r="M1907" s="13" t="b">
        <x:v>1</x:v>
      </x:c>
      <x:c r="N1907" s="2" t="str">
        <x:v>projected_CRISP_BU_surface</x:v>
      </x:c>
      <x:c r="O1907" s="2" t="str"/>
      <x:c r="P1907" s="2" t="str">
        <x:v>horizontal built-up surface</x:v>
      </x:c>
      <x:c r="Q1907" s="2" t="str">
        <x:v>m2</x:v>
      </x:c>
      <x:c r="R1907" s="17" t="n">
        <x:v>2229447704.420232</x:v>
      </x:c>
      <x:c r="S1907" s="17" t="n">
        <x:v>1263819429.15</x:v>
      </x:c>
      <x:c r="T1907" s="18" t="n">
        <x:v>1.1591433102316477</x:v>
      </x:c>
      <x:c r="U1907" s="17" t="n">
        <x:v>1464947836.6400025</x:v>
      </x:c>
      <x:c r="V1907" s="2" t="str">
        <x:v>Area equivalent = model2020 * WUP surface / TEMPO2020 footprint; km2 multiplied by1e6 once</x:v>
      </x:c>
      <x:c r="W1907" s="2" t="str">
        <x:v>L1_numeric_partition_qualified_not_national_completeness</x:v>
      </x:c>
      <x:c r="X1907" s="2" t="str">
        <x:v>https://human-settlement.emergency.copernicus.eu/datasets.php</x:v>
      </x:c>
    </x:row>
    <x:row r="1908" ht="23" customHeight="1">
      <x:c r="A1908" s="2" t="str">
        <x:v>NOR</x:v>
      </x:c>
      <x:c r="B1908" s="2" t="str">
        <x:v>Norway (Kingdom of)</x:v>
      </x:c>
      <x:c r="C1908" s="2" t="n">
        <x:v>2025</x:v>
      </x:c>
      <x:c r="D1908" s="2" t="str">
        <x:v>WUP_SURFACE</x:v>
      </x:c>
      <x:c r="E1908" s="17" t="n">
        <x:v>584598468.7413988</x:v>
      </x:c>
      <x:c r="F1908" s="17" t="n">
        <x:f>IF(AND(M1908,ISNUMBER(R1908)),IF(D1908="TEMPO_PROXY",R1908,IF(AND(ISNUMBER(S1908),S1908&gt;0,ISNUMBER(U1908)),U1908*R1908/S1908,"n.a.")),"n.a.")</x:f>
        <x:v>489673519.8424206</x:v>
      </x:c>
      <x:c r="G1908" s="17" t="n">
        <x:f>IF(AND(ISNUMBER(E1908),ISNUMBER(F1908)),E1908-F1908,"n.a.")</x:f>
        <x:v>94924948.89897823</x:v>
      </x:c>
      <x:c r="H1908" s="15" t="n">
        <x:f>IF(AND(ISNUMBER(E1908),ISNUMBER(F1908),F1908&gt;0),(E1908-F1908)/F1908,"n.a.")</x:f>
        <x:v>0.19385354741976973</x:v>
      </x:c>
      <x:c r="I1908" s="19" t="n">
        <x:f>IF(ISNUMBER(H1908),ABS(H1908),"n.a.")</x:f>
        <x:v>0.19385354741976973</x:v>
      </x:c>
      <x:c r="J1908" s="2" t="str">
        <x:v>available</x:v>
      </x:c>
      <x:c r="K1908" s="2" t="n">
        <x:v>1</x:v>
      </x:c>
      <x:c r="L1908" s="13" t="b">
        <x:v>0</x:v>
      </x:c>
      <x:c r="M1908" s="13" t="b">
        <x:v>1</x:v>
      </x:c>
      <x:c r="N1908" s="2" t="str">
        <x:v>projected_CRISP_BU_surface</x:v>
      </x:c>
      <x:c r="O1908" s="2" t="str"/>
      <x:c r="P1908" s="2" t="str">
        <x:v>horizontal built-up surface</x:v>
      </x:c>
      <x:c r="Q1908" s="2" t="str">
        <x:v>m2</x:v>
      </x:c>
      <x:c r="R1908" s="17" t="n">
        <x:v>489673519.8424201</x:v>
      </x:c>
      <x:c r="S1908" s="17" t="n">
        <x:v>478516256.61</x:v>
      </x:c>
      <x:c r="T1908" s="18" t="n">
        <x:v>1.0000000000000009</x:v>
      </x:c>
      <x:c r="U1908" s="17" t="n">
        <x:v>478516256.6100005</x:v>
      </x:c>
      <x:c r="V1908" s="2" t="str">
        <x:v>Area equivalent = model2020 * WUP surface / TEMPO2020 footprint; km2 multiplied by1e6 once</x:v>
      </x:c>
      <x:c r="W1908" s="2" t="str">
        <x:v>L1_numeric_partition_qualified_not_national_completeness</x:v>
      </x:c>
      <x:c r="X1908" s="2" t="str">
        <x:v>https://human-settlement.emergency.copernicus.eu/datasets.php</x:v>
      </x:c>
    </x:row>
    <x:row r="1909" ht="23" customHeight="1">
      <x:c r="A1909" s="2" t="str">
        <x:v>NPL</x:v>
      </x:c>
      <x:c r="B1909" s="2" t="str">
        <x:v>Nepal (Federal Democratic Republic of)</x:v>
      </x:c>
      <x:c r="C1909" s="2" t="n">
        <x:v>2025</x:v>
      </x:c>
      <x:c r="D1909" s="2" t="str">
        <x:v>WUP_SURFACE</x:v>
      </x:c>
      <x:c r="E1909" s="17" t="n">
        <x:v>741947263.3904998</x:v>
      </x:c>
      <x:c r="F1909" s="17" t="n">
        <x:f>IF(AND(M1909,ISNUMBER(R1909)),IF(D1909="TEMPO_PROXY",R1909,IF(AND(ISNUMBER(S1909),S1909&gt;0,ISNUMBER(U1909)),U1909*R1909/S1909,"n.a.")),"n.a.")</x:f>
        <x:v>1242553073.95053</x:v>
      </x:c>
      <x:c r="G1909" s="17" t="n">
        <x:f>IF(AND(ISNUMBER(E1909),ISNUMBER(F1909)),E1909-F1909,"n.a.")</x:f>
        <x:v>-500605810.5600302</x:v>
      </x:c>
      <x:c r="H1909" s="15" t="n">
        <x:f>IF(AND(ISNUMBER(E1909),ISNUMBER(F1909),F1909&gt;0),(E1909-F1909)/F1909,"n.a.")</x:f>
        <x:v>-0.40288485140390945</x:v>
      </x:c>
      <x:c r="I1909" s="19" t="n">
        <x:f>IF(ISNUMBER(H1909),ABS(H1909),"n.a.")</x:f>
        <x:v>0.40288485140390945</x:v>
      </x:c>
      <x:c r="J1909" s="2" t="str">
        <x:v>available</x:v>
      </x:c>
      <x:c r="K1909" s="2" t="n">
        <x:v>1</x:v>
      </x:c>
      <x:c r="L1909" s="13" t="b">
        <x:v>0</x:v>
      </x:c>
      <x:c r="M1909" s="13" t="b">
        <x:v>1</x:v>
      </x:c>
      <x:c r="N1909" s="2" t="str">
        <x:v>projected_CRISP_BU_surface</x:v>
      </x:c>
      <x:c r="O1909" s="2" t="str"/>
      <x:c r="P1909" s="2" t="str">
        <x:v>horizontal built-up surface</x:v>
      </x:c>
      <x:c r="Q1909" s="2" t="str">
        <x:v>m2</x:v>
      </x:c>
      <x:c r="R1909" s="17" t="n">
        <x:v>1242553073.9505315</x:v>
      </x:c>
      <x:c r="S1909" s="17" t="n">
        <x:v>656084354.5</x:v>
      </x:c>
      <x:c r="T1909" s="18" t="n">
        <x:v>0.9999999999999989</x:v>
      </x:c>
      <x:c r="U1909" s="17" t="n">
        <x:v>656084354.4999993</x:v>
      </x:c>
      <x:c r="V1909" s="2" t="str">
        <x:v>Area equivalent = model2020 * WUP surface / TEMPO2020 footprint; km2 multiplied by1e6 once</x:v>
      </x:c>
      <x:c r="W1909" s="2" t="str">
        <x:v>L1_numeric_partition_qualified_not_national_completeness</x:v>
      </x:c>
      <x:c r="X1909" s="2" t="str">
        <x:v>https://human-settlement.emergency.copernicus.eu/datasets.php</x:v>
      </x:c>
    </x:row>
    <x:row r="1910" ht="23" customHeight="1">
      <x:c r="A1910" s="2" t="str">
        <x:v>NRU</x:v>
      </x:c>
      <x:c r="B1910" s="2" t="str">
        <x:v>Nauru (Republic of)</x:v>
      </x:c>
      <x:c r="C1910" s="2" t="n">
        <x:v>2025</x:v>
      </x:c>
      <x:c r="D1910" s="2" t="str">
        <x:v>WUP_SURFACE</x:v>
      </x:c>
      <x:c r="E1910" s="17" t="n">
        <x:v>472382.7493685571</x:v>
      </x:c>
      <x:c r="F1910" s="17" t="n">
        <x:f>IF(AND(M1910,ISNUMBER(R1910)),IF(D1910="TEMPO_PROXY",R1910,IF(AND(ISNUMBER(S1910),S1910&gt;0,ISNUMBER(U1910)),U1910*R1910/S1910,"n.a.")),"n.a.")</x:f>
        <x:v>876261.2830905715</x:v>
      </x:c>
      <x:c r="G1910" s="17" t="n">
        <x:f>IF(AND(ISNUMBER(E1910),ISNUMBER(F1910)),E1910-F1910,"n.a.")</x:f>
        <x:v>-403878.5337220144</x:v>
      </x:c>
      <x:c r="H1910" s="15" t="n">
        <x:f>IF(AND(ISNUMBER(E1910),ISNUMBER(F1910),F1910&gt;0),(E1910-F1910)/F1910,"n.a.")</x:f>
        <x:v>-0.46091107928166786</x:v>
      </x:c>
      <x:c r="I1910" s="19" t="n">
        <x:f>IF(ISNUMBER(H1910),ABS(H1910),"n.a.")</x:f>
        <x:v>0.46091107928166786</x:v>
      </x:c>
      <x:c r="J1910" s="2" t="str">
        <x:v>available</x:v>
      </x:c>
      <x:c r="K1910" s="2" t="n">
        <x:v>1</x:v>
      </x:c>
      <x:c r="L1910" s="13" t="b">
        <x:v>0</x:v>
      </x:c>
      <x:c r="M1910" s="13" t="b">
        <x:v>1</x:v>
      </x:c>
      <x:c r="N1910" s="2" t="str">
        <x:v>projected_CRISP_BU_surface</x:v>
      </x:c>
      <x:c r="O1910" s="2" t="str"/>
      <x:c r="P1910" s="2" t="str">
        <x:v>horizontal built-up surface</x:v>
      </x:c>
      <x:c r="Q1910" s="2" t="str">
        <x:v>m2</x:v>
      </x:c>
      <x:c r="R1910" s="17" t="n">
        <x:v>876261.2830905709</x:v>
      </x:c>
      <x:c r="S1910" s="17" t="n">
        <x:v>405989.38</x:v>
      </x:c>
      <x:c r="T1910" s="18" t="n">
        <x:v>1.0000000000000007</x:v>
      </x:c>
      <x:c r="U1910" s="17" t="n">
        <x:v>405989.38000000024</x:v>
      </x:c>
      <x:c r="V1910" s="2" t="str">
        <x:v>Area equivalent = model2020 * WUP surface / TEMPO2020 footprint; km2 multiplied by1e6 once</x:v>
      </x:c>
      <x:c r="W1910" s="2" t="str">
        <x:v>L1_numeric_partition_qualified_not_national_completeness</x:v>
      </x:c>
      <x:c r="X1910" s="2" t="str">
        <x:v>https://human-settlement.emergency.copernicus.eu/datasets.php</x:v>
      </x:c>
    </x:row>
    <x:row r="1911" ht="23" customHeight="1">
      <x:c r="A1911" s="2" t="str">
        <x:v>NZL</x:v>
      </x:c>
      <x:c r="B1911" s="2" t="str">
        <x:v>New Zealand</x:v>
      </x:c>
      <x:c r="C1911" s="2" t="n">
        <x:v>2025</x:v>
      </x:c>
      <x:c r="D1911" s="2" t="str">
        <x:v>WUP_SURFACE</x:v>
      </x:c>
      <x:c r="E1911" s="17" t="n">
        <x:v>579463275.3891708</x:v>
      </x:c>
      <x:c r="F1911" s="17" t="n">
        <x:f>IF(AND(M1911,ISNUMBER(R1911)),IF(D1911="TEMPO_PROXY",R1911,IF(AND(ISNUMBER(S1911),S1911&gt;0,ISNUMBER(U1911)),U1911*R1911/S1911,"n.a.")),"n.a.")</x:f>
        <x:v>1003792947.0880705</x:v>
      </x:c>
      <x:c r="G1911" s="17" t="n">
        <x:f>IF(AND(ISNUMBER(E1911),ISNUMBER(F1911)),E1911-F1911,"n.a.")</x:f>
        <x:v>-424329671.69889975</x:v>
      </x:c>
      <x:c r="H1911" s="15" t="n">
        <x:f>IF(AND(ISNUMBER(E1911),ISNUMBER(F1911),F1911&gt;0),(E1911-F1911)/F1911,"n.a.")</x:f>
        <x:v>-0.4227262932359197</x:v>
      </x:c>
      <x:c r="I1911" s="19" t="n">
        <x:f>IF(ISNUMBER(H1911),ABS(H1911),"n.a.")</x:f>
        <x:v>0.4227262932359197</x:v>
      </x:c>
      <x:c r="J1911" s="2" t="str">
        <x:v>available</x:v>
      </x:c>
      <x:c r="K1911" s="2" t="n">
        <x:v>1</x:v>
      </x:c>
      <x:c r="L1911" s="13" t="b">
        <x:v>0</x:v>
      </x:c>
      <x:c r="M1911" s="13" t="b">
        <x:v>1</x:v>
      </x:c>
      <x:c r="N1911" s="2" t="str">
        <x:v>projected_CRISP_BU_surface</x:v>
      </x:c>
      <x:c r="O1911" s="2" t="str"/>
      <x:c r="P1911" s="2" t="str">
        <x:v>horizontal built-up surface</x:v>
      </x:c>
      <x:c r="Q1911" s="2" t="str">
        <x:v>m2</x:v>
      </x:c>
      <x:c r="R1911" s="17" t="n">
        <x:v>1003792947.088072</x:v>
      </x:c>
      <x:c r="S1911" s="17" t="n">
        <x:v>553529463.79</x:v>
      </x:c>
      <x:c r="T1911" s="18" t="n">
        <x:v>0.9999999999999984</x:v>
      </x:c>
      <x:c r="U1911" s="17" t="n">
        <x:v>553529463.7899991</x:v>
      </x:c>
      <x:c r="V1911" s="2" t="str">
        <x:v>Area equivalent = model2020 * WUP surface / TEMPO2020 footprint; km2 multiplied by1e6 once</x:v>
      </x:c>
      <x:c r="W1911" s="2" t="str">
        <x:v>L1_numeric_partition_qualified_not_national_completeness</x:v>
      </x:c>
      <x:c r="X1911" s="2" t="str">
        <x:v>https://human-settlement.emergency.copernicus.eu/datasets.php</x:v>
      </x:c>
    </x:row>
    <x:row r="1912" ht="23" customHeight="1">
      <x:c r="A1912" s="2" t="str">
        <x:v>OMN</x:v>
      </x:c>
      <x:c r="B1912" s="2" t="str">
        <x:v>Oman (Sultanate of)</x:v>
      </x:c>
      <x:c r="C1912" s="2" t="n">
        <x:v>2025</x:v>
      </x:c>
      <x:c r="D1912" s="2" t="str">
        <x:v>WUP_SURFACE</x:v>
      </x:c>
      <x:c r="E1912" s="17" t="n">
        <x:v>302383519.19688284</x:v>
      </x:c>
      <x:c r="F1912" s="17" t="n">
        <x:f>IF(AND(M1912,ISNUMBER(R1912)),IF(D1912="TEMPO_PROXY",R1912,IF(AND(ISNUMBER(S1912),S1912&gt;0,ISNUMBER(U1912)),U1912*R1912/S1912,"n.a.")),"n.a.")</x:f>
        <x:v>503421855.6257286</x:v>
      </x:c>
      <x:c r="G1912" s="17" t="n">
        <x:f>IF(AND(ISNUMBER(E1912),ISNUMBER(F1912)),E1912-F1912,"n.a.")</x:f>
        <x:v>-201038336.42884576</x:v>
      </x:c>
      <x:c r="H1912" s="15" t="n">
        <x:f>IF(AND(ISNUMBER(E1912),ISNUMBER(F1912),F1912&gt;0),(E1912-F1912)/F1912,"n.a.")</x:f>
        <x:v>-0.39934368002152987</x:v>
      </x:c>
      <x:c r="I1912" s="19" t="n">
        <x:f>IF(ISNUMBER(H1912),ABS(H1912),"n.a.")</x:f>
        <x:v>0.39934368002152987</x:v>
      </x:c>
      <x:c r="J1912" s="2" t="str">
        <x:v>available</x:v>
      </x:c>
      <x:c r="K1912" s="2" t="n">
        <x:v>1</x:v>
      </x:c>
      <x:c r="L1912" s="13" t="b">
        <x:v>0</x:v>
      </x:c>
      <x:c r="M1912" s="13" t="b">
        <x:v>1</x:v>
      </x:c>
      <x:c r="N1912" s="2" t="str">
        <x:v>projected_CRISP_BU_surface</x:v>
      </x:c>
      <x:c r="O1912" s="2" t="str"/>
      <x:c r="P1912" s="2" t="str">
        <x:v>horizontal built-up surface</x:v>
      </x:c>
      <x:c r="Q1912" s="2" t="str">
        <x:v>m2</x:v>
      </x:c>
      <x:c r="R1912" s="17" t="n">
        <x:v>503421855.6257282</x:v>
      </x:c>
      <x:c r="S1912" s="17" t="n">
        <x:v>262659820.85</x:v>
      </x:c>
      <x:c r="T1912" s="18" t="n">
        <x:v>1.0000000000000009</x:v>
      </x:c>
      <x:c r="U1912" s="17" t="n">
        <x:v>262659820.8500002</x:v>
      </x:c>
      <x:c r="V1912" s="2" t="str">
        <x:v>Area equivalent = model2020 * WUP surface / TEMPO2020 footprint; km2 multiplied by1e6 once</x:v>
      </x:c>
      <x:c r="W1912" s="2" t="str">
        <x:v>L1_numeric_partition_qualified_not_national_completeness</x:v>
      </x:c>
      <x:c r="X1912" s="2" t="str">
        <x:v>https://human-settlement.emergency.copernicus.eu/datasets.php</x:v>
      </x:c>
    </x:row>
    <x:row r="1913" ht="23" customHeight="1">
      <x:c r="A1913" s="2" t="str">
        <x:v>PAK</x:v>
      </x:c>
      <x:c r="B1913" s="2" t="str">
        <x:v>Pakistan (Islamic Republic of)</x:v>
      </x:c>
      <x:c r="C1913" s="2" t="n">
        <x:v>2025</x:v>
      </x:c>
      <x:c r="D1913" s="2" t="str">
        <x:v>WUP_SURFACE</x:v>
      </x:c>
      <x:c r="E1913" s="17" t="n">
        <x:v>5106545914.257224</x:v>
      </x:c>
      <x:c r="F1913" s="17" t="n">
        <x:f>IF(AND(M1913,ISNUMBER(R1913)),IF(D1913="TEMPO_PROXY",R1913,IF(AND(ISNUMBER(S1913),S1913&gt;0,ISNUMBER(U1913)),U1913*R1913/S1913,"n.a.")),"n.a.")</x:f>
        <x:v>7400540218.948002</x:v>
      </x:c>
      <x:c r="G1913" s="17" t="n">
        <x:f>IF(AND(ISNUMBER(E1913),ISNUMBER(F1913)),E1913-F1913,"n.a.")</x:f>
        <x:v>-2293994304.690778</x:v>
      </x:c>
      <x:c r="H1913" s="15" t="n">
        <x:f>IF(AND(ISNUMBER(E1913),ISNUMBER(F1913),F1913&gt;0),(E1913-F1913)/F1913,"n.a.")</x:f>
        <x:v>-0.30997660127801757</x:v>
      </x:c>
      <x:c r="I1913" s="19" t="n">
        <x:f>IF(ISNUMBER(H1913),ABS(H1913),"n.a.")</x:f>
        <x:v>0.30997660127801757</x:v>
      </x:c>
      <x:c r="J1913" s="2" t="str">
        <x:v>available</x:v>
      </x:c>
      <x:c r="K1913" s="2" t="n">
        <x:v>1</x:v>
      </x:c>
      <x:c r="L1913" s="13" t="b">
        <x:v>0</x:v>
      </x:c>
      <x:c r="M1913" s="13" t="b">
        <x:v>1</x:v>
      </x:c>
      <x:c r="N1913" s="2" t="str">
        <x:v>projected_CRISP_BU_surface</x:v>
      </x:c>
      <x:c r="O1913" s="2" t="str"/>
      <x:c r="P1913" s="2" t="str">
        <x:v>horizontal built-up surface</x:v>
      </x:c>
      <x:c r="Q1913" s="2" t="str">
        <x:v>m2</x:v>
      </x:c>
      <x:c r="R1913" s="17" t="n">
        <x:v>7400540218.947993</x:v>
      </x:c>
      <x:c r="S1913" s="17" t="n">
        <x:v>4301390083.52</x:v>
      </x:c>
      <x:c r="T1913" s="18" t="n">
        <x:v>1.000000000000001</x:v>
      </x:c>
      <x:c r="U1913" s="17" t="n">
        <x:v>4301390083.520005</x:v>
      </x:c>
      <x:c r="V1913" s="2" t="str">
        <x:v>Area equivalent = model2020 * WUP surface / TEMPO2020 footprint; km2 multiplied by1e6 once</x:v>
      </x:c>
      <x:c r="W1913" s="2" t="str">
        <x:v>L1_numeric_partition_qualified_not_national_completeness</x:v>
      </x:c>
      <x:c r="X1913" s="2" t="str">
        <x:v>https://human-settlement.emergency.copernicus.eu/datasets.php</x:v>
      </x:c>
    </x:row>
    <x:row r="1914" ht="23" customHeight="1">
      <x:c r="A1914" s="2" t="str">
        <x:v>PAN</x:v>
      </x:c>
      <x:c r="B1914" s="2" t="str">
        <x:v>Panama (Republic of)</x:v>
      </x:c>
      <x:c r="C1914" s="2" t="n">
        <x:v>2025</x:v>
      </x:c>
      <x:c r="D1914" s="2" t="str">
        <x:v>WUP_SURFACE</x:v>
      </x:c>
      <x:c r="E1914" s="17" t="n">
        <x:v>237461943.2499206</x:v>
      </x:c>
      <x:c r="F1914" s="17" t="n">
        <x:f>IF(AND(M1914,ISNUMBER(R1914)),IF(D1914="TEMPO_PROXY",R1914,IF(AND(ISNUMBER(S1914),S1914&gt;0,ISNUMBER(U1914)),U1914*R1914/S1914,"n.a.")),"n.a.")</x:f>
        <x:v>328649404.5994421</x:v>
      </x:c>
      <x:c r="G1914" s="17" t="n">
        <x:f>IF(AND(ISNUMBER(E1914),ISNUMBER(F1914)),E1914-F1914,"n.a.")</x:f>
        <x:v>-91187461.34952152</x:v>
      </x:c>
      <x:c r="H1914" s="15" t="n">
        <x:f>IF(AND(ISNUMBER(E1914),ISNUMBER(F1914),F1914&gt;0),(E1914-F1914)/F1914,"n.a.")</x:f>
        <x:v>-0.2774612096457646</x:v>
      </x:c>
      <x:c r="I1914" s="19" t="n">
        <x:f>IF(ISNUMBER(H1914),ABS(H1914),"n.a.")</x:f>
        <x:v>0.2774612096457646</x:v>
      </x:c>
      <x:c r="J1914" s="2" t="str">
        <x:v>available</x:v>
      </x:c>
      <x:c r="K1914" s="2" t="n">
        <x:v>1</x:v>
      </x:c>
      <x:c r="L1914" s="13" t="b">
        <x:v>0</x:v>
      </x:c>
      <x:c r="M1914" s="13" t="b">
        <x:v>1</x:v>
      </x:c>
      <x:c r="N1914" s="2" t="str">
        <x:v>projected_CRISP_BU_surface</x:v>
      </x:c>
      <x:c r="O1914" s="2" t="str"/>
      <x:c r="P1914" s="2" t="str">
        <x:v>horizontal built-up surface</x:v>
      </x:c>
      <x:c r="Q1914" s="2" t="str">
        <x:v>m2</x:v>
      </x:c>
      <x:c r="R1914" s="17" t="n">
        <x:v>328649404.59944195</x:v>
      </x:c>
      <x:c r="S1914" s="17" t="n">
        <x:v>209722829.78</x:v>
      </x:c>
      <x:c r="T1914" s="18" t="n">
        <x:v>1.0000000000000004</x:v>
      </x:c>
      <x:c r="U1914" s="17" t="n">
        <x:v>209722829.7800001</x:v>
      </x:c>
      <x:c r="V1914" s="2" t="str">
        <x:v>Area equivalent = model2020 * WUP surface / TEMPO2020 footprint; km2 multiplied by1e6 once</x:v>
      </x:c>
      <x:c r="W1914" s="2" t="str">
        <x:v>L1_numeric_partition_qualified_not_national_completeness</x:v>
      </x:c>
      <x:c r="X1914" s="2" t="str">
        <x:v>https://human-settlement.emergency.copernicus.eu/datasets.php</x:v>
      </x:c>
    </x:row>
    <x:row r="1915" ht="23" customHeight="1">
      <x:c r="A1915" s="2" t="str">
        <x:v>PER</x:v>
      </x:c>
      <x:c r="B1915" s="2" t="str">
        <x:v>Peru (Republic of)</x:v>
      </x:c>
      <x:c r="C1915" s="2" t="n">
        <x:v>2025</x:v>
      </x:c>
      <x:c r="D1915" s="2" t="str">
        <x:v>WUP_SURFACE</x:v>
      </x:c>
      <x:c r="E1915" s="17" t="n">
        <x:v>1412690840.7160501</x:v>
      </x:c>
      <x:c r="F1915" s="17" t="n">
        <x:f>IF(AND(M1915,ISNUMBER(R1915)),IF(D1915="TEMPO_PROXY",R1915,IF(AND(ISNUMBER(S1915),S1915&gt;0,ISNUMBER(U1915)),U1915*R1915/S1915,"n.a.")),"n.a.")</x:f>
        <x:v>1680159755.123582</x:v>
      </x:c>
      <x:c r="G1915" s="17" t="n">
        <x:f>IF(AND(ISNUMBER(E1915),ISNUMBER(F1915)),E1915-F1915,"n.a.")</x:f>
        <x:v>-267468914.40753174</x:v>
      </x:c>
      <x:c r="H1915" s="15" t="n">
        <x:f>IF(AND(ISNUMBER(E1915),ISNUMBER(F1915),F1915&gt;0),(E1915-F1915)/F1915,"n.a.")</x:f>
        <x:v>-0.15919254915605238</x:v>
      </x:c>
      <x:c r="I1915" s="19" t="n">
        <x:f>IF(ISNUMBER(H1915),ABS(H1915),"n.a.")</x:f>
        <x:v>0.15919254915605238</x:v>
      </x:c>
      <x:c r="J1915" s="2" t="str">
        <x:v>available</x:v>
      </x:c>
      <x:c r="K1915" s="2" t="n">
        <x:v>1</x:v>
      </x:c>
      <x:c r="L1915" s="13" t="b">
        <x:v>0</x:v>
      </x:c>
      <x:c r="M1915" s="13" t="b">
        <x:v>1</x:v>
      </x:c>
      <x:c r="N1915" s="2" t="str">
        <x:v>projected_CRISP_BU_surface</x:v>
      </x:c>
      <x:c r="O1915" s="2" t="str"/>
      <x:c r="P1915" s="2" t="str">
        <x:v>horizontal built-up surface</x:v>
      </x:c>
      <x:c r="Q1915" s="2" t="str">
        <x:v>m2</x:v>
      </x:c>
      <x:c r="R1915" s="17" t="n">
        <x:v>1680159755.1235802</x:v>
      </x:c>
      <x:c r="S1915" s="17" t="n">
        <x:v>1228349086.86</x:v>
      </x:c>
      <x:c r="T1915" s="18" t="n">
        <x:v>1.0000000000000009</x:v>
      </x:c>
      <x:c r="U1915" s="17" t="n">
        <x:v>1228349086.860001</x:v>
      </x:c>
      <x:c r="V1915" s="2" t="str">
        <x:v>Area equivalent = model2020 * WUP surface / TEMPO2020 footprint; km2 multiplied by1e6 once</x:v>
      </x:c>
      <x:c r="W1915" s="2" t="str">
        <x:v>L1_numeric_partition_qualified_not_national_completeness</x:v>
      </x:c>
      <x:c r="X1915" s="2" t="str">
        <x:v>https://human-settlement.emergency.copernicus.eu/datasets.php</x:v>
      </x:c>
    </x:row>
    <x:row r="1916" ht="23" customHeight="1">
      <x:c r="A1916" s="2" t="str">
        <x:v>PHL</x:v>
      </x:c>
      <x:c r="B1916" s="2" t="str">
        <x:v>Philippines (Republic of the)</x:v>
      </x:c>
      <x:c r="C1916" s="2" t="n">
        <x:v>2025</x:v>
      </x:c>
      <x:c r="D1916" s="2" t="str">
        <x:v>WUP_SURFACE</x:v>
      </x:c>
      <x:c r="E1916" s="17" t="n">
        <x:v>2757891834.2062345</x:v>
      </x:c>
      <x:c r="F1916" s="17" t="n">
        <x:f>IF(AND(M1916,ISNUMBER(R1916)),IF(D1916="TEMPO_PROXY",R1916,IF(AND(ISNUMBER(S1916),S1916&gt;0,ISNUMBER(U1916)),U1916*R1916/S1916,"n.a.")),"n.a.")</x:f>
        <x:v>2897571377.777284</x:v>
      </x:c>
      <x:c r="G1916" s="17" t="n">
        <x:f>IF(AND(ISNUMBER(E1916),ISNUMBER(F1916)),E1916-F1916,"n.a.")</x:f>
        <x:v>-139679543.5710497</x:v>
      </x:c>
      <x:c r="H1916" s="15" t="n">
        <x:f>IF(AND(ISNUMBER(E1916),ISNUMBER(F1916),F1916&gt;0),(E1916-F1916)/F1916,"n.a.")</x:f>
        <x:v>-0.048205730026984646</x:v>
      </x:c>
      <x:c r="I1916" s="19" t="n">
        <x:f>IF(ISNUMBER(H1916),ABS(H1916),"n.a.")</x:f>
        <x:v>0.048205730026984646</x:v>
      </x:c>
      <x:c r="J1916" s="2" t="str">
        <x:v>available</x:v>
      </x:c>
      <x:c r="K1916" s="2" t="n">
        <x:v>1</x:v>
      </x:c>
      <x:c r="L1916" s="13" t="b">
        <x:v>0</x:v>
      </x:c>
      <x:c r="M1916" s="13" t="b">
        <x:v>1</x:v>
      </x:c>
      <x:c r="N1916" s="2" t="str">
        <x:v>projected_CRISP_BU_surface</x:v>
      </x:c>
      <x:c r="O1916" s="2" t="str"/>
      <x:c r="P1916" s="2" t="str">
        <x:v>horizontal built-up surface</x:v>
      </x:c>
      <x:c r="Q1916" s="2" t="str">
        <x:v>m2</x:v>
      </x:c>
      <x:c r="R1916" s="17" t="n">
        <x:v>2897571377.7772827</x:v>
      </x:c>
      <x:c r="S1916" s="17" t="n">
        <x:v>2290609295.4</x:v>
      </x:c>
      <x:c r="T1916" s="18" t="n">
        <x:v>1.0000000000000004</x:v>
      </x:c>
      <x:c r="U1916" s="17" t="n">
        <x:v>2290609295.400001</x:v>
      </x:c>
      <x:c r="V1916" s="2" t="str">
        <x:v>Area equivalent = model2020 * WUP surface / TEMPO2020 footprint; km2 multiplied by1e6 once</x:v>
      </x:c>
      <x:c r="W1916" s="2" t="str">
        <x:v>L1_numeric_partition_qualified_not_national_completeness</x:v>
      </x:c>
      <x:c r="X1916" s="2" t="str">
        <x:v>https://human-settlement.emergency.copernicus.eu/datasets.php</x:v>
      </x:c>
    </x:row>
    <x:row r="1917" ht="23" customHeight="1">
      <x:c r="A1917" s="2" t="str">
        <x:v>PLW</x:v>
      </x:c>
      <x:c r="B1917" s="2" t="str">
        <x:v>Palau (Republic of)</x:v>
      </x:c>
      <x:c r="C1917" s="2" t="n">
        <x:v>2025</x:v>
      </x:c>
      <x:c r="D1917" s="2" t="str">
        <x:v>WUP_SURFACE</x:v>
      </x:c>
      <x:c r="E1917" s="17" t="n">
        <x:v>1223831.276611377</x:v>
      </x:c>
      <x:c r="F1917" s="17" t="n">
        <x:f>IF(AND(M1917,ISNUMBER(R1917)),IF(D1917="TEMPO_PROXY",R1917,IF(AND(ISNUMBER(S1917),S1917&gt;0,ISNUMBER(U1917)),U1917*R1917/S1917,"n.a.")),"n.a.")</x:f>
        <x:v>1364191.580231136</x:v>
      </x:c>
      <x:c r="G1917" s="17" t="n">
        <x:f>IF(AND(ISNUMBER(E1917),ISNUMBER(F1917)),E1917-F1917,"n.a.")</x:f>
        <x:v>-140360.30361975892</x:v>
      </x:c>
      <x:c r="H1917" s="15" t="n">
        <x:f>IF(AND(ISNUMBER(E1917),ISNUMBER(F1917),F1917&gt;0),(E1917-F1917)/F1917,"n.a.")</x:f>
        <x:v>-0.10288899715681984</x:v>
      </x:c>
      <x:c r="I1917" s="19" t="n">
        <x:f>IF(ISNUMBER(H1917),ABS(H1917),"n.a.")</x:f>
        <x:v>0.10288899715681984</x:v>
      </x:c>
      <x:c r="J1917" s="2" t="str">
        <x:v>available</x:v>
      </x:c>
      <x:c r="K1917" s="2" t="n">
        <x:v>1</x:v>
      </x:c>
      <x:c r="L1917" s="13" t="b">
        <x:v>0</x:v>
      </x:c>
      <x:c r="M1917" s="13" t="b">
        <x:v>1</x:v>
      </x:c>
      <x:c r="N1917" s="2" t="str">
        <x:v>projected_CRISP_BU_surface</x:v>
      </x:c>
      <x:c r="O1917" s="2" t="str"/>
      <x:c r="P1917" s="2" t="str">
        <x:v>horizontal built-up surface</x:v>
      </x:c>
      <x:c r="Q1917" s="2" t="str">
        <x:v>m2</x:v>
      </x:c>
      <x:c r="R1917" s="17" t="n">
        <x:v>1364191.580231136</x:v>
      </x:c>
      <x:c r="S1917" s="17" t="n">
        <x:v>1152226.26</x:v>
      </x:c>
      <x:c r="T1917" s="18" t="n">
        <x:v>1</x:v>
      </x:c>
      <x:c r="U1917" s="17" t="n">
        <x:v>1152226.26</x:v>
      </x:c>
      <x:c r="V1917" s="2" t="str">
        <x:v>Area equivalent = model2020 * WUP surface / TEMPO2020 footprint; km2 multiplied by1e6 once</x:v>
      </x:c>
      <x:c r="W1917" s="2" t="str">
        <x:v>L1_numeric_partition_qualified_not_national_completeness</x:v>
      </x:c>
      <x:c r="X1917" s="2" t="str">
        <x:v>https://human-settlement.emergency.copernicus.eu/datasets.php</x:v>
      </x:c>
    </x:row>
    <x:row r="1918" ht="23" customHeight="1">
      <x:c r="A1918" s="2" t="str">
        <x:v>PNG</x:v>
      </x:c>
      <x:c r="B1918" s="2" t="str">
        <x:v>Papua New Guinea (Independent State of)</x:v>
      </x:c>
      <x:c r="C1918" s="2" t="n">
        <x:v>2025</x:v>
      </x:c>
      <x:c r="D1918" s="2" t="str">
        <x:v>WUP_SURFACE</x:v>
      </x:c>
      <x:c r="E1918" s="17" t="n">
        <x:v>138397311.15776727</x:v>
      </x:c>
      <x:c r="F1918" s="17" t="n">
        <x:f>IF(AND(M1918,ISNUMBER(R1918)),IF(D1918="TEMPO_PROXY",R1918,IF(AND(ISNUMBER(S1918),S1918&gt;0,ISNUMBER(U1918)),U1918*R1918/S1918,"n.a.")),"n.a.")</x:f>
        <x:v>233600789.18607533</x:v>
      </x:c>
      <x:c r="G1918" s="17" t="n">
        <x:f>IF(AND(ISNUMBER(E1918),ISNUMBER(F1918)),E1918-F1918,"n.a.")</x:f>
        <x:v>-95203478.02830806</x:v>
      </x:c>
      <x:c r="H1918" s="15" t="n">
        <x:f>IF(AND(ISNUMBER(E1918),ISNUMBER(F1918),F1918&gt;0),(E1918-F1918)/F1918,"n.a.")</x:f>
        <x:v>-0.4075477585500513</x:v>
      </x:c>
      <x:c r="I1918" s="19" t="n">
        <x:f>IF(ISNUMBER(H1918),ABS(H1918),"n.a.")</x:f>
        <x:v>0.4075477585500513</x:v>
      </x:c>
      <x:c r="J1918" s="2" t="str">
        <x:v>available</x:v>
      </x:c>
      <x:c r="K1918" s="2" t="n">
        <x:v>1</x:v>
      </x:c>
      <x:c r="L1918" s="13" t="b">
        <x:v>0</x:v>
      </x:c>
      <x:c r="M1918" s="13" t="b">
        <x:v>1</x:v>
      </x:c>
      <x:c r="N1918" s="2" t="str">
        <x:v>projected_CRISP_BU_surface</x:v>
      </x:c>
      <x:c r="O1918" s="2" t="str"/>
      <x:c r="P1918" s="2" t="str">
        <x:v>horizontal built-up surface</x:v>
      </x:c>
      <x:c r="Q1918" s="2" t="str">
        <x:v>m2</x:v>
      </x:c>
      <x:c r="R1918" s="17" t="n">
        <x:v>233600789.18607497</x:v>
      </x:c>
      <x:c r="S1918" s="17" t="n">
        <x:v>111325792.03</x:v>
      </x:c>
      <x:c r="T1918" s="18" t="n">
        <x:v>1.0000000000000016</x:v>
      </x:c>
      <x:c r="U1918" s="17" t="n">
        <x:v>111325792.03000018</x:v>
      </x:c>
      <x:c r="V1918" s="2" t="str">
        <x:v>Area equivalent = model2020 * WUP surface / TEMPO2020 footprint; km2 multiplied by1e6 once</x:v>
      </x:c>
      <x:c r="W1918" s="2" t="str">
        <x:v>L1_numeric_partition_qualified_not_national_completeness</x:v>
      </x:c>
      <x:c r="X1918" s="2" t="str">
        <x:v>https://human-settlement.emergency.copernicus.eu/datasets.php</x:v>
      </x:c>
    </x:row>
    <x:row r="1919" ht="23" customHeight="1">
      <x:c r="A1919" s="2" t="str">
        <x:v>POL</x:v>
      </x:c>
      <x:c r="B1919" s="2" t="str">
        <x:v>Poland (Republic of)</x:v>
      </x:c>
      <x:c r="C1919" s="2" t="n">
        <x:v>2025</x:v>
      </x:c>
      <x:c r="D1919" s="2" t="str">
        <x:v>WUP_SURFACE</x:v>
      </x:c>
      <x:c r="E1919" s="17" t="n">
        <x:v>2785361291.546486</x:v>
      </x:c>
      <x:c r="F1919" s="17" t="n">
        <x:f>IF(AND(M1919,ISNUMBER(R1919)),IF(D1919="TEMPO_PROXY",R1919,IF(AND(ISNUMBER(S1919),S1919&gt;0,ISNUMBER(U1919)),U1919*R1919/S1919,"n.a.")),"n.a.")</x:f>
        <x:v>4918386360.710781</x:v>
      </x:c>
      <x:c r="G1919" s="17" t="n">
        <x:f>IF(AND(ISNUMBER(E1919),ISNUMBER(F1919)),E1919-F1919,"n.a.")</x:f>
        <x:v>-2133025069.1642952</x:v>
      </x:c>
      <x:c r="H1919" s="15" t="n">
        <x:f>IF(AND(ISNUMBER(E1919),ISNUMBER(F1919),F1919&gt;0),(E1919-F1919)/F1919,"n.a.")</x:f>
        <x:v>-0.43368391840937864</x:v>
      </x:c>
      <x:c r="I1919" s="19" t="n">
        <x:f>IF(ISNUMBER(H1919),ABS(H1919),"n.a.")</x:f>
        <x:v>0.43368391840937864</x:v>
      </x:c>
      <x:c r="J1919" s="2" t="str">
        <x:v>available</x:v>
      </x:c>
      <x:c r="K1919" s="2" t="n">
        <x:v>1</x:v>
      </x:c>
      <x:c r="L1919" s="13" t="b">
        <x:v>0</x:v>
      </x:c>
      <x:c r="M1919" s="13" t="b">
        <x:v>1</x:v>
      </x:c>
      <x:c r="N1919" s="2" t="str">
        <x:v>projected_CRISP_BU_surface</x:v>
      </x:c>
      <x:c r="O1919" s="2" t="str"/>
      <x:c r="P1919" s="2" t="str">
        <x:v>horizontal built-up surface</x:v>
      </x:c>
      <x:c r="Q1919" s="2" t="str">
        <x:v>m2</x:v>
      </x:c>
      <x:c r="R1919" s="17" t="n">
        <x:v>4918386360.710778</x:v>
      </x:c>
      <x:c r="S1919" s="17" t="n">
        <x:v>2573023573.53</x:v>
      </x:c>
      <x:c r="T1919" s="18" t="n">
        <x:v>1.0000000000000007</x:v>
      </x:c>
      <x:c r="U1919" s="17" t="n">
        <x:v>2573023573.5300016</x:v>
      </x:c>
      <x:c r="V1919" s="2" t="str">
        <x:v>Area equivalent = model2020 * WUP surface / TEMPO2020 footprint; km2 multiplied by1e6 once</x:v>
      </x:c>
      <x:c r="W1919" s="2" t="str">
        <x:v>L1_numeric_partition_qualified_not_national_completeness</x:v>
      </x:c>
      <x:c r="X1919" s="2" t="str">
        <x:v>https://human-settlement.emergency.copernicus.eu/datasets.php</x:v>
      </x:c>
    </x:row>
    <x:row r="1920" ht="23" customHeight="1">
      <x:c r="A1920" s="2" t="str">
        <x:v>PRK</x:v>
      </x:c>
      <x:c r="B1920" s="2" t="str">
        <x:v>Korea (Democratic People's Republic of)</x:v>
      </x:c>
      <x:c r="C1920" s="2" t="n">
        <x:v>2025</x:v>
      </x:c>
      <x:c r="D1920" s="2" t="str">
        <x:v>WUP_SURFACE</x:v>
      </x:c>
      <x:c r="E1920" s="17" t="n">
        <x:v>576481867.0616823</x:v>
      </x:c>
      <x:c r="F1920" s="17" t="n">
        <x:f>IF(AND(M1920,ISNUMBER(R1920)),IF(D1920="TEMPO_PROXY",R1920,IF(AND(ISNUMBER(S1920),S1920&gt;0,ISNUMBER(U1920)),U1920*R1920/S1920,"n.a.")),"n.a.")</x:f>
        <x:v>468416100.1857841</x:v>
      </x:c>
      <x:c r="G1920" s="17" t="n">
        <x:f>IF(AND(ISNUMBER(E1920),ISNUMBER(F1920)),E1920-F1920,"n.a.")</x:f>
        <x:v>108065766.87589824</x:v>
      </x:c>
      <x:c r="H1920" s="15" t="n">
        <x:f>IF(AND(ISNUMBER(E1920),ISNUMBER(F1920),F1920&gt;0),(E1920-F1920)/F1920,"n.a.")</x:f>
        <x:v>0.2307046381049605</x:v>
      </x:c>
      <x:c r="I1920" s="19" t="n">
        <x:f>IF(ISNUMBER(H1920),ABS(H1920),"n.a.")</x:f>
        <x:v>0.2307046381049605</x:v>
      </x:c>
      <x:c r="J1920" s="2" t="str">
        <x:v>available</x:v>
      </x:c>
      <x:c r="K1920" s="2" t="n">
        <x:v>1</x:v>
      </x:c>
      <x:c r="L1920" s="13" t="b">
        <x:v>0</x:v>
      </x:c>
      <x:c r="M1920" s="13" t="b">
        <x:v>1</x:v>
      </x:c>
      <x:c r="N1920" s="2" t="str">
        <x:v>projected_CRISP_BU_surface</x:v>
      </x:c>
      <x:c r="O1920" s="2" t="str"/>
      <x:c r="P1920" s="2" t="str">
        <x:v>horizontal built-up surface</x:v>
      </x:c>
      <x:c r="Q1920" s="2" t="str">
        <x:v>m2</x:v>
      </x:c>
      <x:c r="R1920" s="17" t="n">
        <x:v>462260196.6174944</x:v>
      </x:c>
      <x:c r="S1920" s="17" t="n">
        <x:v>463540849.51</x:v>
      </x:c>
      <x:c r="T1920" s="18" t="n">
        <x:v>1.0133169665338577</x:v>
      </x:c>
      <x:c r="U1920" s="17" t="n">
        <x:v>469713807.49000067</x:v>
      </x:c>
      <x:c r="V1920" s="2" t="str">
        <x:v>Area equivalent = model2020 * WUP surface / TEMPO2020 footprint; km2 multiplied by1e6 once</x:v>
      </x:c>
      <x:c r="W1920" s="2" t="str">
        <x:v>L1_numeric_partition_qualified_not_national_completeness</x:v>
      </x:c>
      <x:c r="X1920" s="2" t="str">
        <x:v>https://human-settlement.emergency.copernicus.eu/datasets.php</x:v>
      </x:c>
    </x:row>
    <x:row r="1921" ht="23" customHeight="1">
      <x:c r="A1921" s="2" t="str">
        <x:v>PRT</x:v>
      </x:c>
      <x:c r="B1921" s="2" t="str">
        <x:v>Portugal (Portuguese Republic)</x:v>
      </x:c>
      <x:c r="C1921" s="2" t="n">
        <x:v>2025</x:v>
      </x:c>
      <x:c r="D1921" s="2" t="str">
        <x:v>WUP_SURFACE</x:v>
      </x:c>
      <x:c r="E1921" s="17" t="n">
        <x:v>1098541225.0527754</x:v>
      </x:c>
      <x:c r="F1921" s="17" t="n">
        <x:f>IF(AND(M1921,ISNUMBER(R1921)),IF(D1921="TEMPO_PROXY",R1921,IF(AND(ISNUMBER(S1921),S1921&gt;0,ISNUMBER(U1921)),U1921*R1921/S1921,"n.a.")),"n.a.")</x:f>
        <x:v>1478048405.726581</x:v>
      </x:c>
      <x:c r="G1921" s="17" t="n">
        <x:f>IF(AND(ISNUMBER(E1921),ISNUMBER(F1921)),E1921-F1921,"n.a.")</x:f>
        <x:v>-379507180.6738057</x:v>
      </x:c>
      <x:c r="H1921" s="15" t="n">
        <x:f>IF(AND(ISNUMBER(E1921),ISNUMBER(F1921),F1921&gt;0),(E1921-F1921)/F1921,"n.a.")</x:f>
        <x:v>-0.2567623490566583</x:v>
      </x:c>
      <x:c r="I1921" s="19" t="n">
        <x:f>IF(ISNUMBER(H1921),ABS(H1921),"n.a.")</x:f>
        <x:v>0.2567623490566583</x:v>
      </x:c>
      <x:c r="J1921" s="2" t="str">
        <x:v>available</x:v>
      </x:c>
      <x:c r="K1921" s="2" t="n">
        <x:v>1</x:v>
      </x:c>
      <x:c r="L1921" s="13" t="b">
        <x:v>0</x:v>
      </x:c>
      <x:c r="M1921" s="13" t="b">
        <x:v>1</x:v>
      </x:c>
      <x:c r="N1921" s="2" t="str">
        <x:v>projected_CRISP_BU_surface</x:v>
      </x:c>
      <x:c r="O1921" s="2" t="str"/>
      <x:c r="P1921" s="2" t="str">
        <x:v>horizontal built-up surface</x:v>
      </x:c>
      <x:c r="Q1921" s="2" t="str">
        <x:v>m2</x:v>
      </x:c>
      <x:c r="R1921" s="17" t="n">
        <x:v>1478048405.726581</x:v>
      </x:c>
      <x:c r="S1921" s="17" t="n">
        <x:v>1019333626.31</x:v>
      </x:c>
      <x:c r="T1921" s="18" t="n">
        <x:v>1</x:v>
      </x:c>
      <x:c r="U1921" s="17" t="n">
        <x:v>1019333626.31</x:v>
      </x:c>
      <x:c r="V1921" s="2" t="str">
        <x:v>Area equivalent = model2020 * WUP surface / TEMPO2020 footprint; km2 multiplied by1e6 once</x:v>
      </x:c>
      <x:c r="W1921" s="2" t="str">
        <x:v>L1_numeric_partition_qualified_not_national_completeness</x:v>
      </x:c>
      <x:c r="X1921" s="2" t="str">
        <x:v>https://human-settlement.emergency.copernicus.eu/datasets.php</x:v>
      </x:c>
    </x:row>
    <x:row r="1922" ht="23" customHeight="1">
      <x:c r="A1922" s="2" t="str">
        <x:v>PRY</x:v>
      </x:c>
      <x:c r="B1922" s="2" t="str">
        <x:v>Paraguay (Republic of)</x:v>
      </x:c>
      <x:c r="C1922" s="2" t="n">
        <x:v>2025</x:v>
      </x:c>
      <x:c r="D1922" s="2" t="str">
        <x:v>WUP_SURFACE</x:v>
      </x:c>
      <x:c r="E1922" s="17" t="n">
        <x:v>375318557.66159767</x:v>
      </x:c>
      <x:c r="F1922" s="17" t="n">
        <x:f>IF(AND(M1922,ISNUMBER(R1922)),IF(D1922="TEMPO_PROXY",R1922,IF(AND(ISNUMBER(S1922),S1922&gt;0,ISNUMBER(U1922)),U1922*R1922/S1922,"n.a.")),"n.a.")</x:f>
        <x:v>624174410.1468455</x:v>
      </x:c>
      <x:c r="G1922" s="17" t="n">
        <x:f>IF(AND(ISNUMBER(E1922),ISNUMBER(F1922)),E1922-F1922,"n.a.")</x:f>
        <x:v>-248855852.4852478</x:v>
      </x:c>
      <x:c r="H1922" s="15" t="n">
        <x:f>IF(AND(ISNUMBER(E1922),ISNUMBER(F1922),F1922&gt;0),(E1922-F1922)/F1922,"n.a.")</x:f>
        <x:v>-0.3986960189968395</x:v>
      </x:c>
      <x:c r="I1922" s="19" t="n">
        <x:f>IF(ISNUMBER(H1922),ABS(H1922),"n.a.")</x:f>
        <x:v>0.3986960189968395</x:v>
      </x:c>
      <x:c r="J1922" s="2" t="str">
        <x:v>available</x:v>
      </x:c>
      <x:c r="K1922" s="2" t="n">
        <x:v>1</x:v>
      </x:c>
      <x:c r="L1922" s="13" t="b">
        <x:v>0</x:v>
      </x:c>
      <x:c r="M1922" s="13" t="b">
        <x:v>1</x:v>
      </x:c>
      <x:c r="N1922" s="2" t="str">
        <x:v>projected_CRISP_BU_surface</x:v>
      </x:c>
      <x:c r="O1922" s="2" t="str"/>
      <x:c r="P1922" s="2" t="str">
        <x:v>horizontal built-up surface</x:v>
      </x:c>
      <x:c r="Q1922" s="2" t="str">
        <x:v>m2</x:v>
      </x:c>
      <x:c r="R1922" s="17" t="n">
        <x:v>624174410.1468445</x:v>
      </x:c>
      <x:c r="S1922" s="17" t="n">
        <x:v>336793873.45</x:v>
      </x:c>
      <x:c r="T1922" s="18" t="n">
        <x:v>1.0000000000000016</x:v>
      </x:c>
      <x:c r="U1922" s="17" t="n">
        <x:v>336793873.4500005</x:v>
      </x:c>
      <x:c r="V1922" s="2" t="str">
        <x:v>Area equivalent = model2020 * WUP surface / TEMPO2020 footprint; km2 multiplied by1e6 once</x:v>
      </x:c>
      <x:c r="W1922" s="2" t="str">
        <x:v>L1_numeric_partition_qualified_not_national_completeness</x:v>
      </x:c>
      <x:c r="X1922" s="2" t="str">
        <x:v>https://human-settlement.emergency.copernicus.eu/datasets.php</x:v>
      </x:c>
    </x:row>
    <x:row r="1923" ht="23" customHeight="1">
      <x:c r="A1923" s="2" t="str">
        <x:v>PSE</x:v>
      </x:c>
      <x:c r="B1923" s="2" t="str">
        <x:v>State of Palestine</x:v>
      </x:c>
      <x:c r="C1923" s="2" t="n">
        <x:v>2025</x:v>
      </x:c>
      <x:c r="D1923" s="2" t="str">
        <x:v>WUP_SURFACE</x:v>
      </x:c>
      <x:c r="E1923" s="17" t="n">
        <x:v>277279914.58707595</x:v>
      </x:c>
      <x:c r="F1923" s="17" t="str">
        <x:f>IF(AND(M1923,ISNUMBER(R1923)),IF(D1923="TEMPO_PROXY",R1923,IF(AND(ISNUMBER(S1923),S1923&gt;0,ISNUMBER(U1923)),U1923*R1923/S1923,"n.a.")),"n.a.")</x:f>
        <x:v>n.a.</x:v>
      </x:c>
      <x:c r="G1923" s="17" t="str">
        <x:f>IF(AND(ISNUMBER(E1923),ISNUMBER(F1923)),E1923-F1923,"n.a.")</x:f>
        <x:v>n.a.</x:v>
      </x:c>
      <x:c r="H1923" s="15" t="str">
        <x:f>IF(AND(ISNUMBER(E1923),ISNUMBER(F1923),F1923&gt;0),(E1923-F1923)/F1923,"n.a.")</x:f>
        <x:v>n.a.</x:v>
      </x:c>
      <x:c r="I1923" s="19" t="str">
        <x:f>IF(ISNUMBER(H1923),ABS(H1923),"n.a.")</x:f>
        <x:v>n.a.</x:v>
      </x:c>
      <x:c r="J1923" s="2" t="str">
        <x:v>no_qualified_TEMPO2020_conversion_base</x:v>
      </x:c>
      <x:c r="K1923" s="2" t="n">
        <x:v>0</x:v>
      </x:c>
      <x:c r="L1923" s="13" t="b">
        <x:v>0</x:v>
      </x:c>
      <x:c r="M1923" s="13" t="b">
        <x:v>1</x:v>
      </x:c>
      <x:c r="N1923" s="2" t="str">
        <x:v>projected_CRISP_BU_surface</x:v>
      </x:c>
      <x:c r="O1923" s="2" t="str"/>
      <x:c r="P1923" s="2" t="str">
        <x:v>horizontal built-up surface</x:v>
      </x:c>
      <x:c r="Q1923" s="2" t="str">
        <x:v>m2</x:v>
      </x:c>
      <x:c r="R1923" s="17" t="n">
        <x:v>256924180.41565928</x:v>
      </x:c>
      <x:c r="S1923" s="17"/>
      <x:c r="T1923" s="18"/>
      <x:c r="U1923" s="17" t="n">
        <x:v>239938472.63190365</x:v>
      </x:c>
      <x:c r="V1923" s="2" t="str">
        <x:v>Area equivalent = model2020 * WUP surface / TEMPO2020 footprint; km2 multiplied by1e6 once</x:v>
      </x:c>
      <x:c r="W1923" s="2" t="str">
        <x:v>L1_numeric_partition_qualified_not_national_completeness</x:v>
      </x:c>
      <x:c r="X1923" s="2" t="str">
        <x:v>https://human-settlement.emergency.copernicus.eu/datasets.php</x:v>
      </x:c>
    </x:row>
    <x:row r="1924" ht="23" customHeight="1">
      <x:c r="A1924" s="2" t="str">
        <x:v>QAT</x:v>
      </x:c>
      <x:c r="B1924" s="2" t="str">
        <x:v>Qatar (State of)</x:v>
      </x:c>
      <x:c r="C1924" s="2" t="n">
        <x:v>2025</x:v>
      </x:c>
      <x:c r="D1924" s="2" t="str">
        <x:v>WUP_SURFACE</x:v>
      </x:c>
      <x:c r="E1924" s="17" t="n">
        <x:v>162757680.36740732</x:v>
      </x:c>
      <x:c r="F1924" s="17" t="n">
        <x:f>IF(AND(M1924,ISNUMBER(R1924)),IF(D1924="TEMPO_PROXY",R1924,IF(AND(ISNUMBER(S1924),S1924&gt;0,ISNUMBER(U1924)),U1924*R1924/S1924,"n.a.")),"n.a.")</x:f>
        <x:v>284638470.39305663</x:v>
      </x:c>
      <x:c r="G1924" s="17" t="n">
        <x:f>IF(AND(ISNUMBER(E1924),ISNUMBER(F1924)),E1924-F1924,"n.a.")</x:f>
        <x:v>-121880790.02564931</x:v>
      </x:c>
      <x:c r="H1924" s="15" t="n">
        <x:f>IF(AND(ISNUMBER(E1924),ISNUMBER(F1924),F1924&gt;0),(E1924-F1924)/F1924,"n.a.")</x:f>
        <x:v>-0.4281950709520902</x:v>
      </x:c>
      <x:c r="I1924" s="19" t="n">
        <x:f>IF(ISNUMBER(H1924),ABS(H1924),"n.a.")</x:f>
        <x:v>0.4281950709520902</x:v>
      </x:c>
      <x:c r="J1924" s="2" t="str">
        <x:v>available</x:v>
      </x:c>
      <x:c r="K1924" s="2" t="n">
        <x:v>1</x:v>
      </x:c>
      <x:c r="L1924" s="13" t="b">
        <x:v>0</x:v>
      </x:c>
      <x:c r="M1924" s="13" t="b">
        <x:v>1</x:v>
      </x:c>
      <x:c r="N1924" s="2" t="str">
        <x:v>projected_CRISP_BU_surface</x:v>
      </x:c>
      <x:c r="O1924" s="2" t="str"/>
      <x:c r="P1924" s="2" t="str">
        <x:v>horizontal built-up surface</x:v>
      </x:c>
      <x:c r="Q1924" s="2" t="str">
        <x:v>m2</x:v>
      </x:c>
      <x:c r="R1924" s="17" t="n">
        <x:v>255788886.75496578</x:v>
      </x:c>
      <x:c r="S1924" s="17" t="n">
        <x:v>123398530.18</x:v>
      </x:c>
      <x:c r="T1924" s="18" t="n">
        <x:v>1.1127866968893276</x:v>
      </x:c>
      <x:c r="U1924" s="17" t="n">
        <x:v>137316242.80000022</x:v>
      </x:c>
      <x:c r="V1924" s="2" t="str">
        <x:v>Area equivalent = model2020 * WUP surface / TEMPO2020 footprint; km2 multiplied by1e6 once</x:v>
      </x:c>
      <x:c r="W1924" s="2" t="str">
        <x:v>L1_numeric_partition_qualified_not_national_completeness</x:v>
      </x:c>
      <x:c r="X1924" s="2" t="str">
        <x:v>https://human-settlement.emergency.copernicus.eu/datasets.php</x:v>
      </x:c>
    </x:row>
    <x:row r="1925" ht="23" customHeight="1">
      <x:c r="A1925" s="2" t="str">
        <x:v>ROU</x:v>
      </x:c>
      <x:c r="B1925" s="2" t="str">
        <x:v>Romania</x:v>
      </x:c>
      <x:c r="C1925" s="2" t="n">
        <x:v>2025</x:v>
      </x:c>
      <x:c r="D1925" s="2" t="str">
        <x:v>WUP_SURFACE</x:v>
      </x:c>
      <x:c r="E1925" s="17" t="n">
        <x:v>1505468773.1192129</x:v>
      </x:c>
      <x:c r="F1925" s="17" t="n">
        <x:f>IF(AND(M1925,ISNUMBER(R1925)),IF(D1925="TEMPO_PROXY",R1925,IF(AND(ISNUMBER(S1925),S1925&gt;0,ISNUMBER(U1925)),U1925*R1925/S1925,"n.a.")),"n.a.")</x:f>
        <x:v>2370822221.4328637</x:v>
      </x:c>
      <x:c r="G1925" s="17" t="n">
        <x:f>IF(AND(ISNUMBER(E1925),ISNUMBER(F1925)),E1925-F1925,"n.a.")</x:f>
        <x:v>-865353448.3136508</x:v>
      </x:c>
      <x:c r="H1925" s="15" t="n">
        <x:f>IF(AND(ISNUMBER(E1925),ISNUMBER(F1925),F1925&gt;0),(E1925-F1925)/F1925,"n.a.")</x:f>
        <x:v>-0.3650014077355212</x:v>
      </x:c>
      <x:c r="I1925" s="19" t="n">
        <x:f>IF(ISNUMBER(H1925),ABS(H1925),"n.a.")</x:f>
        <x:v>0.3650014077355212</x:v>
      </x:c>
      <x:c r="J1925" s="2" t="str">
        <x:v>available</x:v>
      </x:c>
      <x:c r="K1925" s="2" t="n">
        <x:v>1</x:v>
      </x:c>
      <x:c r="L1925" s="13" t="b">
        <x:v>0</x:v>
      </x:c>
      <x:c r="M1925" s="13" t="b">
        <x:v>1</x:v>
      </x:c>
      <x:c r="N1925" s="2" t="str">
        <x:v>projected_CRISP_BU_surface</x:v>
      </x:c>
      <x:c r="O1925" s="2" t="str"/>
      <x:c r="P1925" s="2" t="str">
        <x:v>horizontal built-up surface</x:v>
      </x:c>
      <x:c r="Q1925" s="2" t="str">
        <x:v>m2</x:v>
      </x:c>
      <x:c r="R1925" s="17" t="n">
        <x:v>2370822221.43286</x:v>
      </x:c>
      <x:c r="S1925" s="17" t="n">
        <x:v>1451492077.99</x:v>
      </x:c>
      <x:c r="T1925" s="18" t="n">
        <x:v>1.0000000000000016</x:v>
      </x:c>
      <x:c r="U1925" s="17" t="n">
        <x:v>1451492077.9900024</x:v>
      </x:c>
      <x:c r="V1925" s="2" t="str">
        <x:v>Area equivalent = model2020 * WUP surface / TEMPO2020 footprint; km2 multiplied by1e6 once</x:v>
      </x:c>
      <x:c r="W1925" s="2" t="str">
        <x:v>L1_numeric_partition_qualified_not_national_completeness</x:v>
      </x:c>
      <x:c r="X1925" s="2" t="str">
        <x:v>https://human-settlement.emergency.copernicus.eu/datasets.php</x:v>
      </x:c>
    </x:row>
    <x:row r="1926" ht="23" customHeight="1">
      <x:c r="A1926" s="2" t="str">
        <x:v>RUS</x:v>
      </x:c>
      <x:c r="B1926" s="2" t="str">
        <x:v>Russian Federation</x:v>
      </x:c>
      <x:c r="C1926" s="2" t="n">
        <x:v>2025</x:v>
      </x:c>
      <x:c r="D1926" s="2" t="str">
        <x:v>WUP_SURFACE</x:v>
      </x:c>
      <x:c r="E1926" s="17" t="n">
        <x:v>8438745581.4570675</x:v>
      </x:c>
      <x:c r="F1926" s="17" t="n">
        <x:f>IF(AND(M1926,ISNUMBER(R1926)),IF(D1926="TEMPO_PROXY",R1926,IF(AND(ISNUMBER(S1926),S1926&gt;0,ISNUMBER(U1926)),U1926*R1926/S1926,"n.a.")),"n.a.")</x:f>
        <x:v>13724134951.655025</x:v>
      </x:c>
      <x:c r="G1926" s="17" t="n">
        <x:f>IF(AND(ISNUMBER(E1926),ISNUMBER(F1926)),E1926-F1926,"n.a.")</x:f>
        <x:v>-5285389370.197958</x:v>
      </x:c>
      <x:c r="H1926" s="15" t="n">
        <x:f>IF(AND(ISNUMBER(E1926),ISNUMBER(F1926),F1926&gt;0),(E1926-F1926)/F1926,"n.a.")</x:f>
        <x:v>-0.38511639449891744</x:v>
      </x:c>
      <x:c r="I1926" s="19" t="n">
        <x:f>IF(ISNUMBER(H1926),ABS(H1926),"n.a.")</x:f>
        <x:v>0.38511639449891744</x:v>
      </x:c>
      <x:c r="J1926" s="2" t="str">
        <x:v>available</x:v>
      </x:c>
      <x:c r="K1926" s="2" t="n">
        <x:v>1</x:v>
      </x:c>
      <x:c r="L1926" s="13" t="b">
        <x:v>0</x:v>
      </x:c>
      <x:c r="M1926" s="13" t="b">
        <x:v>1</x:v>
      </x:c>
      <x:c r="N1926" s="2" t="str">
        <x:v>projected_CRISP_BU_surface</x:v>
      </x:c>
      <x:c r="O1926" s="2" t="str"/>
      <x:c r="P1926" s="2" t="str">
        <x:v>horizontal built-up surface</x:v>
      </x:c>
      <x:c r="Q1926" s="2" t="str">
        <x:v>m2</x:v>
      </x:c>
      <x:c r="R1926" s="17" t="n">
        <x:v>13680310099.971655</x:v>
      </x:c>
      <x:c r="S1926" s="17" t="n">
        <x:v>7742883032.41</x:v>
      </x:c>
      <x:c r="T1926" s="18" t="n">
        <x:v>1.0032034984121787</x:v>
      </x:c>
      <x:c r="U1926" s="17" t="n">
        <x:v>7767687345.91001</x:v>
      </x:c>
      <x:c r="V1926" s="2" t="str">
        <x:v>Area equivalent = model2020 * WUP surface / TEMPO2020 footprint; km2 multiplied by1e6 once</x:v>
      </x:c>
      <x:c r="W1926" s="2" t="str">
        <x:v>L1_numeric_partition_qualified_not_national_completeness</x:v>
      </x:c>
      <x:c r="X1926" s="2" t="str">
        <x:v>https://human-settlement.emergency.copernicus.eu/datasets.php</x:v>
      </x:c>
    </x:row>
    <x:row r="1927" ht="23" customHeight="1">
      <x:c r="A1927" s="2" t="str">
        <x:v>RWA</x:v>
      </x:c>
      <x:c r="B1927" s="2" t="str">
        <x:v>Rwanda (Republic of)</x:v>
      </x:c>
      <x:c r="C1927" s="2" t="n">
        <x:v>2025</x:v>
      </x:c>
      <x:c r="D1927" s="2" t="str">
        <x:v>WUP_SURFACE</x:v>
      </x:c>
      <x:c r="E1927" s="17" t="n">
        <x:v>280228494.15115213</x:v>
      </x:c>
      <x:c r="F1927" s="17" t="n">
        <x:f>IF(AND(M1927,ISNUMBER(R1927)),IF(D1927="TEMPO_PROXY",R1927,IF(AND(ISNUMBER(S1927),S1927&gt;0,ISNUMBER(U1927)),U1927*R1927/S1927,"n.a.")),"n.a.")</x:f>
        <x:v>769800809.3387427</x:v>
      </x:c>
      <x:c r="G1927" s="17" t="n">
        <x:f>IF(AND(ISNUMBER(E1927),ISNUMBER(F1927)),E1927-F1927,"n.a.")</x:f>
        <x:v>-489572315.1875906</x:v>
      </x:c>
      <x:c r="H1927" s="15" t="n">
        <x:f>IF(AND(ISNUMBER(E1927),ISNUMBER(F1927),F1927&gt;0),(E1927-F1927)/F1927,"n.a.")</x:f>
        <x:v>-0.6359727207979063</x:v>
      </x:c>
      <x:c r="I1927" s="19" t="n">
        <x:f>IF(ISNUMBER(H1927),ABS(H1927),"n.a.")</x:f>
        <x:v>0.6359727207979063</x:v>
      </x:c>
      <x:c r="J1927" s="2" t="str">
        <x:v>available</x:v>
      </x:c>
      <x:c r="K1927" s="2" t="n">
        <x:v>1</x:v>
      </x:c>
      <x:c r="L1927" s="13" t="b">
        <x:v>0</x:v>
      </x:c>
      <x:c r="M1927" s="13" t="b">
        <x:v>1</x:v>
      </x:c>
      <x:c r="N1927" s="2" t="str">
        <x:v>projected_CRISP_BU_surface</x:v>
      </x:c>
      <x:c r="O1927" s="2" t="str"/>
      <x:c r="P1927" s="2" t="str">
        <x:v>horizontal built-up surface</x:v>
      </x:c>
      <x:c r="Q1927" s="2" t="str">
        <x:v>m2</x:v>
      </x:c>
      <x:c r="R1927" s="17" t="n">
        <x:v>769800809.3387425</x:v>
      </x:c>
      <x:c r="S1927" s="17" t="n">
        <x:v>244877324.63</x:v>
      </x:c>
      <x:c r="T1927" s="18" t="n">
        <x:v>1.0000000000000002</x:v>
      </x:c>
      <x:c r="U1927" s="17" t="n">
        <x:v>244877324.63000005</x:v>
      </x:c>
      <x:c r="V1927" s="2" t="str">
        <x:v>Area equivalent = model2020 * WUP surface / TEMPO2020 footprint; km2 multiplied by1e6 once</x:v>
      </x:c>
      <x:c r="W1927" s="2" t="str">
        <x:v>L1_numeric_partition_qualified_not_national_completeness</x:v>
      </x:c>
      <x:c r="X1927" s="2" t="str">
        <x:v>https://human-settlement.emergency.copernicus.eu/datasets.php</x:v>
      </x:c>
    </x:row>
    <x:row r="1928" ht="23" customHeight="1">
      <x:c r="A1928" s="2" t="str">
        <x:v>SAU</x:v>
      </x:c>
      <x:c r="B1928" s="2" t="str">
        <x:v>Saudi Arabia (Kingdom of)</x:v>
      </x:c>
      <x:c r="C1928" s="2" t="n">
        <x:v>2025</x:v>
      </x:c>
      <x:c r="D1928" s="2" t="str">
        <x:v>WUP_SURFACE</x:v>
      </x:c>
      <x:c r="E1928" s="17" t="n">
        <x:v>2170753736.735742</x:v>
      </x:c>
      <x:c r="F1928" s="17" t="n">
        <x:f>IF(AND(M1928,ISNUMBER(R1928)),IF(D1928="TEMPO_PROXY",R1928,IF(AND(ISNUMBER(S1928),S1928&gt;0,ISNUMBER(U1928)),U1928*R1928/S1928,"n.a.")),"n.a.")</x:f>
        <x:v>3256564539.3599405</x:v>
      </x:c>
      <x:c r="G1928" s="17" t="n">
        <x:f>IF(AND(ISNUMBER(E1928),ISNUMBER(F1928)),E1928-F1928,"n.a.")</x:f>
        <x:v>-1085810802.6241984</x:v>
      </x:c>
      <x:c r="H1928" s="15" t="n">
        <x:f>IF(AND(ISNUMBER(E1928),ISNUMBER(F1928),F1928&gt;0),(E1928-F1928)/F1928,"n.a.")</x:f>
        <x:v>-0.3334221660589624</x:v>
      </x:c>
      <x:c r="I1928" s="19" t="n">
        <x:f>IF(ISNUMBER(H1928),ABS(H1928),"n.a.")</x:f>
        <x:v>0.3334221660589624</x:v>
      </x:c>
      <x:c r="J1928" s="2" t="str">
        <x:v>available</x:v>
      </x:c>
      <x:c r="K1928" s="2" t="n">
        <x:v>1</x:v>
      </x:c>
      <x:c r="L1928" s="13" t="b">
        <x:v>0</x:v>
      </x:c>
      <x:c r="M1928" s="13" t="b">
        <x:v>1</x:v>
      </x:c>
      <x:c r="N1928" s="2" t="str">
        <x:v>projected_CRISP_BU_surface</x:v>
      </x:c>
      <x:c r="O1928" s="2" t="str"/>
      <x:c r="P1928" s="2" t="str">
        <x:v>horizontal built-up surface</x:v>
      </x:c>
      <x:c r="Q1928" s="2" t="str">
        <x:v>m2</x:v>
      </x:c>
      <x:c r="R1928" s="17" t="n">
        <x:v>3169916145.028624</x:v>
      </x:c>
      <x:c r="S1928" s="17" t="n">
        <x:v>1860856502.16</x:v>
      </x:c>
      <x:c r="T1928" s="18" t="n">
        <x:v>1.02733460141121</x:v>
      </x:c>
      <x:c r="U1928" s="17" t="n">
        <x:v>1911722272.930002</x:v>
      </x:c>
      <x:c r="V1928" s="2" t="str">
        <x:v>Area equivalent = model2020 * WUP surface / TEMPO2020 footprint; km2 multiplied by1e6 once</x:v>
      </x:c>
      <x:c r="W1928" s="2" t="str">
        <x:v>L1_numeric_partition_qualified_not_national_completeness</x:v>
      </x:c>
      <x:c r="X1928" s="2" t="str">
        <x:v>https://human-settlement.emergency.copernicus.eu/datasets.php</x:v>
      </x:c>
    </x:row>
    <x:row r="1929" ht="23" customHeight="1">
      <x:c r="A1929" s="2" t="str">
        <x:v>SDN</x:v>
      </x:c>
      <x:c r="B1929" s="2" t="str">
        <x:v>Sudan (Republic of the)</x:v>
      </x:c>
      <x:c r="C1929" s="2" t="n">
        <x:v>2025</x:v>
      </x:c>
      <x:c r="D1929" s="2" t="str">
        <x:v>WUP_SURFACE</x:v>
      </x:c>
      <x:c r="E1929" s="17" t="n">
        <x:v>892034107.7281122</x:v>
      </x:c>
      <x:c r="F1929" s="17" t="n">
        <x:f>IF(AND(M1929,ISNUMBER(R1929)),IF(D1929="TEMPO_PROXY",R1929,IF(AND(ISNUMBER(S1929),S1929&gt;0,ISNUMBER(U1929)),U1929*R1929/S1929,"n.a.")),"n.a.")</x:f>
        <x:v>1934874959.6748111</x:v>
      </x:c>
      <x:c r="G1929" s="17" t="n">
        <x:f>IF(AND(ISNUMBER(E1929),ISNUMBER(F1929)),E1929-F1929,"n.a.")</x:f>
        <x:v>-1042840851.9466989</x:v>
      </x:c>
      <x:c r="H1929" s="15" t="n">
        <x:f>IF(AND(ISNUMBER(E1929),ISNUMBER(F1929),F1929&gt;0),(E1929-F1929)/F1929,"n.a.")</x:f>
        <x:v>-0.5389706692581138</x:v>
      </x:c>
      <x:c r="I1929" s="19" t="n">
        <x:f>IF(ISNUMBER(H1929),ABS(H1929),"n.a.")</x:f>
        <x:v>0.5389706692581138</x:v>
      </x:c>
      <x:c r="J1929" s="2" t="str">
        <x:v>available</x:v>
      </x:c>
      <x:c r="K1929" s="2" t="n">
        <x:v>1</x:v>
      </x:c>
      <x:c r="L1929" s="13" t="b">
        <x:v>0</x:v>
      </x:c>
      <x:c r="M1929" s="13" t="b">
        <x:v>1</x:v>
      </x:c>
      <x:c r="N1929" s="2" t="str">
        <x:v>projected_CRISP_BU_surface</x:v>
      </x:c>
      <x:c r="O1929" s="2" t="str"/>
      <x:c r="P1929" s="2" t="str">
        <x:v>horizontal built-up surface</x:v>
      </x:c>
      <x:c r="Q1929" s="2" t="str">
        <x:v>m2</x:v>
      </x:c>
      <x:c r="R1929" s="17" t="n">
        <x:v>1934874959.67481</x:v>
      </x:c>
      <x:c r="S1929" s="17" t="n">
        <x:v>751311239.6</x:v>
      </x:c>
      <x:c r="T1929" s="18" t="n">
        <x:v>1.0000000000000007</x:v>
      </x:c>
      <x:c r="U1929" s="17" t="n">
        <x:v>751311239.6000005</x:v>
      </x:c>
      <x:c r="V1929" s="2" t="str">
        <x:v>Area equivalent = model2020 * WUP surface / TEMPO2020 footprint; km2 multiplied by1e6 once</x:v>
      </x:c>
      <x:c r="W1929" s="2" t="str">
        <x:v>L1_numeric_partition_qualified_not_national_completeness</x:v>
      </x:c>
      <x:c r="X1929" s="2" t="str">
        <x:v>https://human-settlement.emergency.copernicus.eu/datasets.php</x:v>
      </x:c>
    </x:row>
    <x:row r="1930" ht="23" customHeight="1">
      <x:c r="A1930" s="2" t="str">
        <x:v>SEN</x:v>
      </x:c>
      <x:c r="B1930" s="2" t="str">
        <x:v>Senegal (Republic of)</x:v>
      </x:c>
      <x:c r="C1930" s="2" t="n">
        <x:v>2025</x:v>
      </x:c>
      <x:c r="D1930" s="2" t="str">
        <x:v>WUP_SURFACE</x:v>
      </x:c>
      <x:c r="E1930" s="17" t="n">
        <x:v>360044429.4373668</x:v>
      </x:c>
      <x:c r="F1930" s="17" t="n">
        <x:f>IF(AND(M1930,ISNUMBER(R1930)),IF(D1930="TEMPO_PROXY",R1930,IF(AND(ISNUMBER(S1930),S1930&gt;0,ISNUMBER(U1930)),U1930*R1930/S1930,"n.a.")),"n.a.")</x:f>
        <x:v>826439232.2193612</x:v>
      </x:c>
      <x:c r="G1930" s="17" t="n">
        <x:f>IF(AND(ISNUMBER(E1930),ISNUMBER(F1930)),E1930-F1930,"n.a.")</x:f>
        <x:v>-466394802.7819944</x:v>
      </x:c>
      <x:c r="H1930" s="15" t="n">
        <x:f>IF(AND(ISNUMBER(E1930),ISNUMBER(F1930),F1930&gt;0),(E1930-F1930)/F1930,"n.a.")</x:f>
        <x:v>-0.5643425246518301</x:v>
      </x:c>
      <x:c r="I1930" s="19" t="n">
        <x:f>IF(ISNUMBER(H1930),ABS(H1930),"n.a.")</x:f>
        <x:v>0.5643425246518301</x:v>
      </x:c>
      <x:c r="J1930" s="2" t="str">
        <x:v>available</x:v>
      </x:c>
      <x:c r="K1930" s="2" t="n">
        <x:v>1</x:v>
      </x:c>
      <x:c r="L1930" s="13" t="b">
        <x:v>0</x:v>
      </x:c>
      <x:c r="M1930" s="13" t="b">
        <x:v>1</x:v>
      </x:c>
      <x:c r="N1930" s="2" t="str">
        <x:v>projected_CRISP_BU_surface</x:v>
      </x:c>
      <x:c r="O1930" s="2" t="str"/>
      <x:c r="P1930" s="2" t="str">
        <x:v>horizontal built-up surface</x:v>
      </x:c>
      <x:c r="Q1930" s="2" t="str">
        <x:v>m2</x:v>
      </x:c>
      <x:c r="R1930" s="17" t="n">
        <x:v>826439232.2193617</x:v>
      </x:c>
      <x:c r="S1930" s="17" t="n">
        <x:v>305052833.69</x:v>
      </x:c>
      <x:c r="T1930" s="18" t="n">
        <x:v>0.9999999999999994</x:v>
      </x:c>
      <x:c r="U1930" s="17" t="n">
        <x:v>305052833.6899998</x:v>
      </x:c>
      <x:c r="V1930" s="2" t="str">
        <x:v>Area equivalent = model2020 * WUP surface / TEMPO2020 footprint; km2 multiplied by1e6 once</x:v>
      </x:c>
      <x:c r="W1930" s="2" t="str">
        <x:v>L1_numeric_partition_qualified_not_national_completeness</x:v>
      </x:c>
      <x:c r="X1930" s="2" t="str">
        <x:v>https://human-settlement.emergency.copernicus.eu/datasets.php</x:v>
      </x:c>
    </x:row>
    <x:row r="1931" ht="23" customHeight="1">
      <x:c r="A1931" s="2" t="str">
        <x:v>SGP</x:v>
      </x:c>
      <x:c r="B1931" s="2" t="str">
        <x:v>Singapore (Republic of)</x:v>
      </x:c>
      <x:c r="C1931" s="2" t="n">
        <x:v>2025</x:v>
      </x:c>
      <x:c r="D1931" s="2" t="str">
        <x:v>WUP_SURFACE</x:v>
      </x:c>
      <x:c r="E1931" s="17" t="n">
        <x:v>247566302.98432928</x:v>
      </x:c>
      <x:c r="F1931" s="17" t="n">
        <x:f>IF(AND(M1931,ISNUMBER(R1931)),IF(D1931="TEMPO_PROXY",R1931,IF(AND(ISNUMBER(S1931),S1931&gt;0,ISNUMBER(U1931)),U1931*R1931/S1931,"n.a.")),"n.a.")</x:f>
        <x:v>323768066.65025115</x:v>
      </x:c>
      <x:c r="G1931" s="17" t="n">
        <x:f>IF(AND(ISNUMBER(E1931),ISNUMBER(F1931)),E1931-F1931,"n.a.")</x:f>
        <x:v>-76201763.66592187</x:v>
      </x:c>
      <x:c r="H1931" s="15" t="n">
        <x:f>IF(AND(ISNUMBER(E1931),ISNUMBER(F1931),F1931&gt;0),(E1931-F1931)/F1931,"n.a.")</x:f>
        <x:v>-0.2353591089273126</x:v>
      </x:c>
      <x:c r="I1931" s="19" t="n">
        <x:f>IF(ISNUMBER(H1931),ABS(H1931),"n.a.")</x:f>
        <x:v>0.2353591089273126</x:v>
      </x:c>
      <x:c r="J1931" s="2" t="str">
        <x:v>available</x:v>
      </x:c>
      <x:c r="K1931" s="2" t="n">
        <x:v>1</x:v>
      </x:c>
      <x:c r="L1931" s="13" t="b">
        <x:v>0</x:v>
      </x:c>
      <x:c r="M1931" s="13" t="b">
        <x:v>1</x:v>
      </x:c>
      <x:c r="N1931" s="2" t="str">
        <x:v>projected_CRISP_BU_surface</x:v>
      </x:c>
      <x:c r="O1931" s="2" t="str"/>
      <x:c r="P1931" s="2" t="str">
        <x:v>horizontal built-up surface</x:v>
      </x:c>
      <x:c r="Q1931" s="2" t="str">
        <x:v>m2</x:v>
      </x:c>
      <x:c r="R1931" s="17" t="n">
        <x:v>142835190.8433307</x:v>
      </x:c>
      <x:c r="S1931" s="17" t="n">
        <x:v>85878181.9</x:v>
      </x:c>
      <x:c r="T1931" s="18" t="n">
        <x:v>2.266724780767628</x:v>
      </x:c>
      <x:c r="U1931" s="17" t="n">
        <x:v>194662203.04</x:v>
      </x:c>
      <x:c r="V1931" s="2" t="str">
        <x:v>Area equivalent = model2020 * WUP surface / TEMPO2020 footprint; km2 multiplied by1e6 once</x:v>
      </x:c>
      <x:c r="W1931" s="2" t="str">
        <x:v>L1_numeric_partition_qualified_not_national_completeness</x:v>
      </x:c>
      <x:c r="X1931" s="2" t="str">
        <x:v>https://human-settlement.emergency.copernicus.eu/datasets.php</x:v>
      </x:c>
    </x:row>
    <x:row r="1932" ht="23" customHeight="1">
      <x:c r="A1932" s="2" t="str">
        <x:v>SLB</x:v>
      </x:c>
      <x:c r="B1932" s="2" t="str">
        <x:v>Solomon Islands</x:v>
      </x:c>
      <x:c r="C1932" s="2" t="n">
        <x:v>2025</x:v>
      </x:c>
      <x:c r="D1932" s="2" t="str">
        <x:v>WUP_SURFACE</x:v>
      </x:c>
      <x:c r="E1932" s="17" t="n">
        <x:v>17544111.068685386</x:v>
      </x:c>
      <x:c r="F1932" s="17" t="n">
        <x:f>IF(AND(M1932,ISNUMBER(R1932)),IF(D1932="TEMPO_PROXY",R1932,IF(AND(ISNUMBER(S1932),S1932&gt;0,ISNUMBER(U1932)),U1932*R1932/S1932,"n.a.")),"n.a.")</x:f>
        <x:v>32121360.983604234</x:v>
      </x:c>
      <x:c r="G1932" s="17" t="n">
        <x:f>IF(AND(ISNUMBER(E1932),ISNUMBER(F1932)),E1932-F1932,"n.a.")</x:f>
        <x:v>-14577249.914918847</x:v>
      </x:c>
      <x:c r="H1932" s="15" t="n">
        <x:f>IF(AND(ISNUMBER(E1932),ISNUMBER(F1932),F1932&gt;0),(E1932-F1932)/F1932,"n.a.")</x:f>
        <x:v>-0.45381794134935755</x:v>
      </x:c>
      <x:c r="I1932" s="19" t="n">
        <x:f>IF(ISNUMBER(H1932),ABS(H1932),"n.a.")</x:f>
        <x:v>0.45381794134935755</x:v>
      </x:c>
      <x:c r="J1932" s="2" t="str">
        <x:v>available</x:v>
      </x:c>
      <x:c r="K1932" s="2" t="n">
        <x:v>1</x:v>
      </x:c>
      <x:c r="L1932" s="13" t="b">
        <x:v>0</x:v>
      </x:c>
      <x:c r="M1932" s="13" t="b">
        <x:v>1</x:v>
      </x:c>
      <x:c r="N1932" s="2" t="str">
        <x:v>projected_CRISP_BU_surface</x:v>
      </x:c>
      <x:c r="O1932" s="2" t="str"/>
      <x:c r="P1932" s="2" t="str">
        <x:v>horizontal built-up surface</x:v>
      </x:c>
      <x:c r="Q1932" s="2" t="str">
        <x:v>m2</x:v>
      </x:c>
      <x:c r="R1932" s="17" t="n">
        <x:v>32121360.98360429</x:v>
      </x:c>
      <x:c r="S1932" s="17" t="n">
        <x:v>14438629.19</x:v>
      </x:c>
      <x:c r="T1932" s="18" t="n">
        <x:v>0.9999999999999983</x:v>
      </x:c>
      <x:c r="U1932" s="17" t="n">
        <x:v>14438629.189999975</x:v>
      </x:c>
      <x:c r="V1932" s="2" t="str">
        <x:v>Area equivalent = model2020 * WUP surface / TEMPO2020 footprint; km2 multiplied by1e6 once</x:v>
      </x:c>
      <x:c r="W1932" s="2" t="str">
        <x:v>L1_numeric_partition_qualified_not_national_completeness</x:v>
      </x:c>
      <x:c r="X1932" s="2" t="str">
        <x:v>https://human-settlement.emergency.copernicus.eu/datasets.php</x:v>
      </x:c>
    </x:row>
    <x:row r="1933" ht="23" customHeight="1">
      <x:c r="A1933" s="2" t="str">
        <x:v>SLE</x:v>
      </x:c>
      <x:c r="B1933" s="2" t="str">
        <x:v>Sierra Leone (Republic of)</x:v>
      </x:c>
      <x:c r="C1933" s="2" t="n">
        <x:v>2025</x:v>
      </x:c>
      <x:c r="D1933" s="2" t="str">
        <x:v>WUP_SURFACE</x:v>
      </x:c>
      <x:c r="E1933" s="17" t="n">
        <x:v>139497366.49801284</x:v>
      </x:c>
      <x:c r="F1933" s="17" t="n">
        <x:f>IF(AND(M1933,ISNUMBER(R1933)),IF(D1933="TEMPO_PROXY",R1933,IF(AND(ISNUMBER(S1933),S1933&gt;0,ISNUMBER(U1933)),U1933*R1933/S1933,"n.a.")),"n.a.")</x:f>
        <x:v>269779979.1369132</x:v>
      </x:c>
      <x:c r="G1933" s="17" t="n">
        <x:f>IF(AND(ISNUMBER(E1933),ISNUMBER(F1933)),E1933-F1933,"n.a.")</x:f>
        <x:v>-130282612.63890034</x:v>
      </x:c>
      <x:c r="H1933" s="15" t="n">
        <x:f>IF(AND(ISNUMBER(E1933),ISNUMBER(F1933),F1933&gt;0),(E1933-F1933)/F1933,"n.a.")</x:f>
        <x:v>-0.48292172404973754</x:v>
      </x:c>
      <x:c r="I1933" s="19" t="n">
        <x:f>IF(ISNUMBER(H1933),ABS(H1933),"n.a.")</x:f>
        <x:v>0.48292172404973754</x:v>
      </x:c>
      <x:c r="J1933" s="2" t="str">
        <x:v>available</x:v>
      </x:c>
      <x:c r="K1933" s="2" t="n">
        <x:v>1</x:v>
      </x:c>
      <x:c r="L1933" s="13" t="b">
        <x:v>0</x:v>
      </x:c>
      <x:c r="M1933" s="13" t="b">
        <x:v>1</x:v>
      </x:c>
      <x:c r="N1933" s="2" t="str">
        <x:v>projected_CRISP_BU_surface</x:v>
      </x:c>
      <x:c r="O1933" s="2" t="str"/>
      <x:c r="P1933" s="2" t="str">
        <x:v>horizontal built-up surface</x:v>
      </x:c>
      <x:c r="Q1933" s="2" t="str">
        <x:v>m2</x:v>
      </x:c>
      <x:c r="R1933" s="17" t="n">
        <x:v>269779979.1369133</x:v>
      </x:c>
      <x:c r="S1933" s="17" t="n">
        <x:v>115259924.95</x:v>
      </x:c>
      <x:c r="T1933" s="18" t="n">
        <x:v>0.9999999999999997</x:v>
      </x:c>
      <x:c r="U1933" s="17" t="n">
        <x:v>115259924.94999996</x:v>
      </x:c>
      <x:c r="V1933" s="2" t="str">
        <x:v>Area equivalent = model2020 * WUP surface / TEMPO2020 footprint; km2 multiplied by1e6 once</x:v>
      </x:c>
      <x:c r="W1933" s="2" t="str">
        <x:v>L1_numeric_partition_qualified_not_national_completeness</x:v>
      </x:c>
      <x:c r="X1933" s="2" t="str">
        <x:v>https://human-settlement.emergency.copernicus.eu/datasets.php</x:v>
      </x:c>
    </x:row>
    <x:row r="1934" ht="23" customHeight="1">
      <x:c r="A1934" s="2" t="str">
        <x:v>SLV</x:v>
      </x:c>
      <x:c r="B1934" s="2" t="str">
        <x:v>El Salvador (Republic of)</x:v>
      </x:c>
      <x:c r="C1934" s="2" t="n">
        <x:v>2025</x:v>
      </x:c>
      <x:c r="D1934" s="2" t="str">
        <x:v>WUP_SURFACE</x:v>
      </x:c>
      <x:c r="E1934" s="17" t="n">
        <x:v>271317286.8802877</x:v>
      </x:c>
      <x:c r="F1934" s="17" t="n">
        <x:f>IF(AND(M1934,ISNUMBER(R1934)),IF(D1934="TEMPO_PROXY",R1934,IF(AND(ISNUMBER(S1934),S1934&gt;0,ISNUMBER(U1934)),U1934*R1934/S1934,"n.a.")),"n.a.")</x:f>
        <x:v>376073900.2822064</x:v>
      </x:c>
      <x:c r="G1934" s="17" t="n">
        <x:f>IF(AND(ISNUMBER(E1934),ISNUMBER(F1934)),E1934-F1934,"n.a.")</x:f>
        <x:v>-104756613.40191871</x:v>
      </x:c>
      <x:c r="H1934" s="15" t="n">
        <x:f>IF(AND(ISNUMBER(E1934),ISNUMBER(F1934),F1934&gt;0),(E1934-F1934)/F1934,"n.a.")</x:f>
        <x:v>-0.2785532665875223</x:v>
      </x:c>
      <x:c r="I1934" s="19" t="n">
        <x:f>IF(ISNUMBER(H1934),ABS(H1934),"n.a.")</x:f>
        <x:v>0.2785532665875223</x:v>
      </x:c>
      <x:c r="J1934" s="2" t="str">
        <x:v>available</x:v>
      </x:c>
      <x:c r="K1934" s="2" t="n">
        <x:v>1</x:v>
      </x:c>
      <x:c r="L1934" s="13" t="b">
        <x:v>0</x:v>
      </x:c>
      <x:c r="M1934" s="13" t="b">
        <x:v>1</x:v>
      </x:c>
      <x:c r="N1934" s="2" t="str">
        <x:v>projected_CRISP_BU_surface</x:v>
      </x:c>
      <x:c r="O1934" s="2" t="str"/>
      <x:c r="P1934" s="2" t="str">
        <x:v>horizontal built-up surface</x:v>
      </x:c>
      <x:c r="Q1934" s="2" t="str">
        <x:v>m2</x:v>
      </x:c>
      <x:c r="R1934" s="17" t="n">
        <x:v>376073900.2822062</x:v>
      </x:c>
      <x:c r="S1934" s="17" t="n">
        <x:v>245414047.01</x:v>
      </x:c>
      <x:c r="T1934" s="18" t="n">
        <x:v>1.0000000000000007</x:v>
      </x:c>
      <x:c r="U1934" s="17" t="n">
        <x:v>245414047.01000017</x:v>
      </x:c>
      <x:c r="V1934" s="2" t="str">
        <x:v>Area equivalent = model2020 * WUP surface / TEMPO2020 footprint; km2 multiplied by1e6 once</x:v>
      </x:c>
      <x:c r="W1934" s="2" t="str">
        <x:v>L1_numeric_partition_qualified_not_national_completeness</x:v>
      </x:c>
      <x:c r="X1934" s="2" t="str">
        <x:v>https://human-settlement.emergency.copernicus.eu/datasets.php</x:v>
      </x:c>
    </x:row>
    <x:row r="1935" ht="23" customHeight="1">
      <x:c r="A1935" s="2" t="str">
        <x:v>SMR</x:v>
      </x:c>
      <x:c r="B1935" s="2" t="str">
        <x:v>San Marino (Republic of)</x:v>
      </x:c>
      <x:c r="C1935" s="2" t="n">
        <x:v>2025</x:v>
      </x:c>
      <x:c r="D1935" s="2" t="str">
        <x:v>WUP_SURFACE</x:v>
      </x:c>
      <x:c r="E1935" s="17" t="n">
        <x:v>3395199.9700811263</x:v>
      </x:c>
      <x:c r="F1935" s="17" t="n">
        <x:f>IF(AND(M1935,ISNUMBER(R1935)),IF(D1935="TEMPO_PROXY",R1935,IF(AND(ISNUMBER(S1935),S1935&gt;0,ISNUMBER(U1935)),U1935*R1935/S1935,"n.a.")),"n.a.")</x:f>
        <x:v>5874884.8688696455</x:v>
      </x:c>
      <x:c r="G1935" s="17" t="n">
        <x:f>IF(AND(ISNUMBER(E1935),ISNUMBER(F1935)),E1935-F1935,"n.a.")</x:f>
        <x:v>-2479684.898788519</x:v>
      </x:c>
      <x:c r="H1935" s="15" t="n">
        <x:f>IF(AND(ISNUMBER(E1935),ISNUMBER(F1935),F1935&gt;0),(E1935-F1935)/F1935,"n.a.")</x:f>
        <x:v>-0.4220822967830554</x:v>
      </x:c>
      <x:c r="I1935" s="19" t="n">
        <x:f>IF(ISNUMBER(H1935),ABS(H1935),"n.a.")</x:f>
        <x:v>0.4220822967830554</x:v>
      </x:c>
      <x:c r="J1935" s="2" t="str">
        <x:v>available</x:v>
      </x:c>
      <x:c r="K1935" s="2" t="n">
        <x:v>1</x:v>
      </x:c>
      <x:c r="L1935" s="13" t="b">
        <x:v>0</x:v>
      </x:c>
      <x:c r="M1935" s="13" t="b">
        <x:v>1</x:v>
      </x:c>
      <x:c r="N1935" s="2" t="str">
        <x:v>projected_CRISP_BU_surface</x:v>
      </x:c>
      <x:c r="O1935" s="2" t="str"/>
      <x:c r="P1935" s="2" t="str">
        <x:v>horizontal built-up surface</x:v>
      </x:c>
      <x:c r="Q1935" s="2" t="str">
        <x:v>m2</x:v>
      </x:c>
      <x:c r="R1935" s="17" t="n">
        <x:v>5225208.822172135</x:v>
      </x:c>
      <x:c r="S1935" s="17" t="n">
        <x:v>2695532.72</x:v>
      </x:c>
      <x:c r="T1935" s="18" t="n">
        <x:v>1.1243349440774</x:v>
      </x:c>
      <x:c r="U1935" s="17" t="n">
        <x:v>3030681.630000002</x:v>
      </x:c>
      <x:c r="V1935" s="2" t="str">
        <x:v>Area equivalent = model2020 * WUP surface / TEMPO2020 footprint; km2 multiplied by1e6 once</x:v>
      </x:c>
      <x:c r="W1935" s="2" t="str">
        <x:v>L1_numeric_partition_qualified_not_national_completeness</x:v>
      </x:c>
      <x:c r="X1935" s="2" t="str">
        <x:v>https://human-settlement.emergency.copernicus.eu/datasets.php</x:v>
      </x:c>
    </x:row>
    <x:row r="1936" ht="23" customHeight="1">
      <x:c r="A1936" s="2" t="str">
        <x:v>SOM</x:v>
      </x:c>
      <x:c r="B1936" s="2" t="str">
        <x:v>Somalia (Federal Republic of)</x:v>
      </x:c>
      <x:c r="C1936" s="2" t="n">
        <x:v>2025</x:v>
      </x:c>
      <x:c r="D1936" s="2" t="str">
        <x:v>WUP_SURFACE</x:v>
      </x:c>
      <x:c r="E1936" s="17" t="n">
        <x:v>175934191.80780143</x:v>
      </x:c>
      <x:c r="F1936" s="17" t="n">
        <x:f>IF(AND(M1936,ISNUMBER(R1936)),IF(D1936="TEMPO_PROXY",R1936,IF(AND(ISNUMBER(S1936),S1936&gt;0,ISNUMBER(U1936)),U1936*R1936/S1936,"n.a.")),"n.a.")</x:f>
        <x:v>306545047.51260656</x:v>
      </x:c>
      <x:c r="G1936" s="17" t="n">
        <x:f>IF(AND(ISNUMBER(E1936),ISNUMBER(F1936)),E1936-F1936,"n.a.")</x:f>
        <x:v>-130610855.70480514</x:v>
      </x:c>
      <x:c r="H1936" s="15" t="n">
        <x:f>IF(AND(ISNUMBER(E1936),ISNUMBER(F1936),F1936&gt;0),(E1936-F1936)/F1936,"n.a.")</x:f>
        <x:v>-0.4260739384459761</x:v>
      </x:c>
      <x:c r="I1936" s="19" t="n">
        <x:f>IF(ISNUMBER(H1936),ABS(H1936),"n.a.")</x:f>
        <x:v>0.4260739384459761</x:v>
      </x:c>
      <x:c r="J1936" s="2" t="str">
        <x:v>available</x:v>
      </x:c>
      <x:c r="K1936" s="2" t="n">
        <x:v>1</x:v>
      </x:c>
      <x:c r="L1936" s="13" t="b">
        <x:v>0</x:v>
      </x:c>
      <x:c r="M1936" s="13" t="b">
        <x:v>1</x:v>
      </x:c>
      <x:c r="N1936" s="2" t="str">
        <x:v>projected_CRISP_BU_surface</x:v>
      </x:c>
      <x:c r="O1936" s="2" t="str"/>
      <x:c r="P1936" s="2" t="str">
        <x:v>horizontal built-up surface</x:v>
      </x:c>
      <x:c r="Q1936" s="2" t="str">
        <x:v>m2</x:v>
      </x:c>
      <x:c r="R1936" s="17" t="n">
        <x:v>306545047.51260626</x:v>
      </x:c>
      <x:c r="S1936" s="17" t="n">
        <x:v>134848326.33</x:v>
      </x:c>
      <x:c r="T1936" s="18" t="n">
        <x:v>1.0000000000000009</x:v>
      </x:c>
      <x:c r="U1936" s="17" t="n">
        <x:v>134848326.33000013</x:v>
      </x:c>
      <x:c r="V1936" s="2" t="str">
        <x:v>Area equivalent = model2020 * WUP surface / TEMPO2020 footprint; km2 multiplied by1e6 once</x:v>
      </x:c>
      <x:c r="W1936" s="2" t="str">
        <x:v>L1_numeric_partition_qualified_not_national_completeness</x:v>
      </x:c>
      <x:c r="X1936" s="2" t="str">
        <x:v>https://human-settlement.emergency.copernicus.eu/datasets.php</x:v>
      </x:c>
    </x:row>
    <x:row r="1937" ht="23" customHeight="1">
      <x:c r="A1937" s="2" t="str">
        <x:v>SRB</x:v>
      </x:c>
      <x:c r="B1937" s="2" t="str">
        <x:v>Serbia (Republic of)</x:v>
      </x:c>
      <x:c r="C1937" s="2" t="n">
        <x:v>2025</x:v>
      </x:c>
      <x:c r="D1937" s="2" t="str">
        <x:v>WUP_SURFACE</x:v>
      </x:c>
      <x:c r="E1937" s="17" t="n">
        <x:v>601669967.0459217</x:v>
      </x:c>
      <x:c r="F1937" s="17" t="n">
        <x:f>IF(AND(M1937,ISNUMBER(R1937)),IF(D1937="TEMPO_PROXY",R1937,IF(AND(ISNUMBER(S1937),S1937&gt;0,ISNUMBER(U1937)),U1937*R1937/S1937,"n.a.")),"n.a.")</x:f>
        <x:v>833281288.7036704</x:v>
      </x:c>
      <x:c r="G1937" s="17" t="n">
        <x:f>IF(AND(ISNUMBER(E1937),ISNUMBER(F1937)),E1937-F1937,"n.a.")</x:f>
        <x:v>-231611321.6577487</x:v>
      </x:c>
      <x:c r="H1937" s="15" t="n">
        <x:f>IF(AND(ISNUMBER(E1937),ISNUMBER(F1937),F1937&gt;0),(E1937-F1937)/F1937,"n.a.")</x:f>
        <x:v>-0.27795094501409573</x:v>
      </x:c>
      <x:c r="I1937" s="19" t="n">
        <x:f>IF(ISNUMBER(H1937),ABS(H1937),"n.a.")</x:f>
        <x:v>0.27795094501409573</x:v>
      </x:c>
      <x:c r="J1937" s="2" t="str">
        <x:v>available</x:v>
      </x:c>
      <x:c r="K1937" s="2" t="n">
        <x:v>1</x:v>
      </x:c>
      <x:c r="L1937" s="13" t="b">
        <x:v>0</x:v>
      </x:c>
      <x:c r="M1937" s="13" t="b">
        <x:v>1</x:v>
      </x:c>
      <x:c r="N1937" s="2" t="str">
        <x:v>projected_CRISP_BU_surface</x:v>
      </x:c>
      <x:c r="O1937" s="2" t="str"/>
      <x:c r="P1937" s="2" t="str">
        <x:v>horizontal built-up surface</x:v>
      </x:c>
      <x:c r="Q1937" s="2" t="str">
        <x:v>m2</x:v>
      </x:c>
      <x:c r="R1937" s="17" t="n">
        <x:v>833281288.7036693</x:v>
      </x:c>
      <x:c r="S1937" s="17" t="n">
        <x:v>584520286.21</x:v>
      </x:c>
      <x:c r="T1937" s="18" t="n">
        <x:v>1.0000000000000013</x:v>
      </x:c>
      <x:c r="U1937" s="17" t="n">
        <x:v>584520286.2100008</x:v>
      </x:c>
      <x:c r="V1937" s="2" t="str">
        <x:v>Area equivalent = model2020 * WUP surface / TEMPO2020 footprint; km2 multiplied by1e6 once</x:v>
      </x:c>
      <x:c r="W1937" s="2" t="str">
        <x:v>L1_numeric_partition_qualified_not_national_completeness</x:v>
      </x:c>
      <x:c r="X1937" s="2" t="str">
        <x:v>https://human-settlement.emergency.copernicus.eu/datasets.php</x:v>
      </x:c>
    </x:row>
    <x:row r="1938" ht="23" customHeight="1">
      <x:c r="A1938" s="2" t="str">
        <x:v>SSD</x:v>
      </x:c>
      <x:c r="B1938" s="2" t="str">
        <x:v>South Sudan (Republic of)</x:v>
      </x:c>
      <x:c r="C1938" s="2" t="n">
        <x:v>2025</x:v>
      </x:c>
      <x:c r="D1938" s="2" t="str">
        <x:v>WUP_SURFACE</x:v>
      </x:c>
      <x:c r="E1938" s="17" t="n">
        <x:v>99484898.5591274</x:v>
      </x:c>
      <x:c r="F1938" s="17" t="n">
        <x:f>IF(AND(M1938,ISNUMBER(R1938)),IF(D1938="TEMPO_PROXY",R1938,IF(AND(ISNUMBER(S1938),S1938&gt;0,ISNUMBER(U1938)),U1938*R1938/S1938,"n.a.")),"n.a.")</x:f>
        <x:v>233179306.66204005</x:v>
      </x:c>
      <x:c r="G1938" s="17" t="n">
        <x:f>IF(AND(ISNUMBER(E1938),ISNUMBER(F1938)),E1938-F1938,"n.a.")</x:f>
        <x:v>-133694408.10291265</x:v>
      </x:c>
      <x:c r="H1938" s="15" t="n">
        <x:f>IF(AND(ISNUMBER(E1938),ISNUMBER(F1938),F1938&gt;0),(E1938-F1938)/F1938,"n.a.")</x:f>
        <x:v>-0.5733545142437683</x:v>
      </x:c>
      <x:c r="I1938" s="19" t="n">
        <x:f>IF(ISNUMBER(H1938),ABS(H1938),"n.a.")</x:f>
        <x:v>0.5733545142437683</x:v>
      </x:c>
      <x:c r="J1938" s="2" t="str">
        <x:v>available</x:v>
      </x:c>
      <x:c r="K1938" s="2" t="n">
        <x:v>1</x:v>
      </x:c>
      <x:c r="L1938" s="13" t="b">
        <x:v>0</x:v>
      </x:c>
      <x:c r="M1938" s="13" t="b">
        <x:v>1</x:v>
      </x:c>
      <x:c r="N1938" s="2" t="str">
        <x:v>projected_CRISP_BU_surface</x:v>
      </x:c>
      <x:c r="O1938" s="2" t="str"/>
      <x:c r="P1938" s="2" t="str">
        <x:v>horizontal built-up surface</x:v>
      </x:c>
      <x:c r="Q1938" s="2" t="str">
        <x:v>m2</x:v>
      </x:c>
      <x:c r="R1938" s="17" t="n">
        <x:v>233179306.66203994</x:v>
      </x:c>
      <x:c r="S1938" s="17" t="n">
        <x:v>82483216.59</x:v>
      </x:c>
      <x:c r="T1938" s="18" t="n">
        <x:v>1.0000000000000004</x:v>
      </x:c>
      <x:c r="U1938" s="17" t="n">
        <x:v>82483216.59000005</x:v>
      </x:c>
      <x:c r="V1938" s="2" t="str">
        <x:v>Area equivalent = model2020 * WUP surface / TEMPO2020 footprint; km2 multiplied by1e6 once</x:v>
      </x:c>
      <x:c r="W1938" s="2" t="str">
        <x:v>L1_numeric_partition_qualified_not_national_completeness</x:v>
      </x:c>
      <x:c r="X1938" s="2" t="str">
        <x:v>https://human-settlement.emergency.copernicus.eu/datasets.php</x:v>
      </x:c>
    </x:row>
    <x:row r="1939" ht="23" customHeight="1">
      <x:c r="A1939" s="2" t="str">
        <x:v>STP</x:v>
      </x:c>
      <x:c r="B1939" s="2" t="str">
        <x:v>Sao Tome and Principe (Democratic Republic of)</x:v>
      </x:c>
      <x:c r="C1939" s="2" t="n">
        <x:v>2025</x:v>
      </x:c>
      <x:c r="D1939" s="2" t="str">
        <x:v>WUP_SURFACE</x:v>
      </x:c>
      <x:c r="E1939" s="17" t="n">
        <x:v>7257517.792250381</x:v>
      </x:c>
      <x:c r="F1939" s="17" t="n">
        <x:f>IF(AND(M1939,ISNUMBER(R1939)),IF(D1939="TEMPO_PROXY",R1939,IF(AND(ISNUMBER(S1939),S1939&gt;0,ISNUMBER(U1939)),U1939*R1939/S1939,"n.a.")),"n.a.")</x:f>
        <x:v>9341448.007939113</x:v>
      </x:c>
      <x:c r="G1939" s="17" t="n">
        <x:f>IF(AND(ISNUMBER(E1939),ISNUMBER(F1939)),E1939-F1939,"n.a.")</x:f>
        <x:v>-2083930.2156887325</x:v>
      </x:c>
      <x:c r="H1939" s="15" t="n">
        <x:f>IF(AND(ISNUMBER(E1939),ISNUMBER(F1939),F1939&gt;0),(E1939-F1939)/F1939,"n.a.")</x:f>
        <x:v>-0.2230842813574128</x:v>
      </x:c>
      <x:c r="I1939" s="19" t="n">
        <x:f>IF(ISNUMBER(H1939),ABS(H1939),"n.a.")</x:f>
        <x:v>0.2230842813574128</x:v>
      </x:c>
      <x:c r="J1939" s="2" t="str">
        <x:v>available</x:v>
      </x:c>
      <x:c r="K1939" s="2" t="n">
        <x:v>1</x:v>
      </x:c>
      <x:c r="L1939" s="13" t="b">
        <x:v>0</x:v>
      </x:c>
      <x:c r="M1939" s="13" t="b">
        <x:v>1</x:v>
      </x:c>
      <x:c r="N1939" s="2" t="str">
        <x:v>projected_CRISP_BU_surface</x:v>
      </x:c>
      <x:c r="O1939" s="2" t="str"/>
      <x:c r="P1939" s="2" t="str">
        <x:v>horizontal built-up surface</x:v>
      </x:c>
      <x:c r="Q1939" s="2" t="str">
        <x:v>m2</x:v>
      </x:c>
      <x:c r="R1939" s="17" t="n">
        <x:v>9341448.00793911</x:v>
      </x:c>
      <x:c r="S1939" s="17" t="n">
        <x:v>6153544.55</x:v>
      </x:c>
      <x:c r="T1939" s="18" t="n">
        <x:v>1.0000000000000004</x:v>
      </x:c>
      <x:c r="U1939" s="17" t="n">
        <x:v>6153544.550000003</x:v>
      </x:c>
      <x:c r="V1939" s="2" t="str">
        <x:v>Area equivalent = model2020 * WUP surface / TEMPO2020 footprint; km2 multiplied by1e6 once</x:v>
      </x:c>
      <x:c r="W1939" s="2" t="str">
        <x:v>L1_numeric_partition_qualified_not_national_completeness</x:v>
      </x:c>
      <x:c r="X1939" s="2" t="str">
        <x:v>https://human-settlement.emergency.copernicus.eu/datasets.php</x:v>
      </x:c>
    </x:row>
    <x:row r="1940" ht="23" customHeight="1">
      <x:c r="A1940" s="2" t="str">
        <x:v>SUR</x:v>
      </x:c>
      <x:c r="B1940" s="2" t="str">
        <x:v>Suriname (Republic of)</x:v>
      </x:c>
      <x:c r="C1940" s="2" t="n">
        <x:v>2025</x:v>
      </x:c>
      <x:c r="D1940" s="2" t="str">
        <x:v>WUP_SURFACE</x:v>
      </x:c>
      <x:c r="E1940" s="17" t="n">
        <x:v>54867368.073010296</x:v>
      </x:c>
      <x:c r="F1940" s="17" t="n">
        <x:f>IF(AND(M1940,ISNUMBER(R1940)),IF(D1940="TEMPO_PROXY",R1940,IF(AND(ISNUMBER(S1940),S1940&gt;0,ISNUMBER(U1940)),U1940*R1940/S1940,"n.a.")),"n.a.")</x:f>
        <x:v>77417627.588231</x:v>
      </x:c>
      <x:c r="G1940" s="17" t="n">
        <x:f>IF(AND(ISNUMBER(E1940),ISNUMBER(F1940)),E1940-F1940,"n.a.")</x:f>
        <x:v>-22550259.5152207</x:v>
      </x:c>
      <x:c r="H1940" s="15" t="n">
        <x:f>IF(AND(ISNUMBER(E1940),ISNUMBER(F1940),F1940&gt;0),(E1940-F1940)/F1940,"n.a.")</x:f>
        <x:v>-0.2912806839698196</x:v>
      </x:c>
      <x:c r="I1940" s="19" t="n">
        <x:f>IF(ISNUMBER(H1940),ABS(H1940),"n.a.")</x:f>
        <x:v>0.2912806839698196</x:v>
      </x:c>
      <x:c r="J1940" s="2" t="str">
        <x:v>available</x:v>
      </x:c>
      <x:c r="K1940" s="2" t="n">
        <x:v>1</x:v>
      </x:c>
      <x:c r="L1940" s="13" t="b">
        <x:v>0</x:v>
      </x:c>
      <x:c r="M1940" s="13" t="b">
        <x:v>1</x:v>
      </x:c>
      <x:c r="N1940" s="2" t="str">
        <x:v>projected_CRISP_BU_surface</x:v>
      </x:c>
      <x:c r="O1940" s="2" t="str"/>
      <x:c r="P1940" s="2" t="str">
        <x:v>horizontal built-up surface</x:v>
      </x:c>
      <x:c r="Q1940" s="2" t="str">
        <x:v>m2</x:v>
      </x:c>
      <x:c r="R1940" s="17" t="n">
        <x:v>77417627.58823097</x:v>
      </x:c>
      <x:c r="S1940" s="17" t="n">
        <x:v>50598825.22</x:v>
      </x:c>
      <x:c r="T1940" s="18" t="n">
        <x:v>1.0000000000000004</x:v>
      </x:c>
      <x:c r="U1940" s="17" t="n">
        <x:v>50598825.22000002</x:v>
      </x:c>
      <x:c r="V1940" s="2" t="str">
        <x:v>Area equivalent = model2020 * WUP surface / TEMPO2020 footprint; km2 multiplied by1e6 once</x:v>
      </x:c>
      <x:c r="W1940" s="2" t="str">
        <x:v>L1_numeric_partition_qualified_not_national_completeness</x:v>
      </x:c>
      <x:c r="X1940" s="2" t="str">
        <x:v>https://human-settlement.emergency.copernicus.eu/datasets.php</x:v>
      </x:c>
    </x:row>
    <x:row r="1941" ht="23" customHeight="1">
      <x:c r="A1941" s="2" t="str">
        <x:v>SVK</x:v>
      </x:c>
      <x:c r="B1941" s="2" t="str">
        <x:v>Slovakia (Slovak Republic)</x:v>
      </x:c>
      <x:c r="C1941" s="2" t="n">
        <x:v>2025</x:v>
      </x:c>
      <x:c r="D1941" s="2" t="str">
        <x:v>WUP_SURFACE</x:v>
      </x:c>
      <x:c r="E1941" s="17" t="n">
        <x:v>426300161.0424767</x:v>
      </x:c>
      <x:c r="F1941" s="17" t="n">
        <x:f>IF(AND(M1941,ISNUMBER(R1941)),IF(D1941="TEMPO_PROXY",R1941,IF(AND(ISNUMBER(S1941),S1941&gt;0,ISNUMBER(U1941)),U1941*R1941/S1941,"n.a.")),"n.a.")</x:f>
        <x:v>741169807.5524999</x:v>
      </x:c>
      <x:c r="G1941" s="17" t="n">
        <x:f>IF(AND(ISNUMBER(E1941),ISNUMBER(F1941)),E1941-F1941,"n.a.")</x:f>
        <x:v>-314869646.5100232</x:v>
      </x:c>
      <x:c r="H1941" s="15" t="n">
        <x:f>IF(AND(ISNUMBER(E1941),ISNUMBER(F1941),F1941&gt;0),(E1941-F1941)/F1941,"n.a.")</x:f>
        <x:v>-0.42482794536624424</x:v>
      </x:c>
      <x:c r="I1941" s="19" t="n">
        <x:f>IF(ISNUMBER(H1941),ABS(H1941),"n.a.")</x:f>
        <x:v>0.42482794536624424</x:v>
      </x:c>
      <x:c r="J1941" s="2" t="str">
        <x:v>available</x:v>
      </x:c>
      <x:c r="K1941" s="2" t="n">
        <x:v>1</x:v>
      </x:c>
      <x:c r="L1941" s="13" t="b">
        <x:v>0</x:v>
      </x:c>
      <x:c r="M1941" s="13" t="b">
        <x:v>1</x:v>
      </x:c>
      <x:c r="N1941" s="2" t="str">
        <x:v>projected_CRISP_BU_surface</x:v>
      </x:c>
      <x:c r="O1941" s="2" t="str"/>
      <x:c r="P1941" s="2" t="str">
        <x:v>horizontal built-up surface</x:v>
      </x:c>
      <x:c r="Q1941" s="2" t="str">
        <x:v>m2</x:v>
      </x:c>
      <x:c r="R1941" s="17" t="n">
        <x:v>734359923.066274</x:v>
      </x:c>
      <x:c r="S1941" s="17" t="n">
        <x:v>387594933.19</x:v>
      </x:c>
      <x:c r="T1941" s="18" t="n">
        <x:v>1.0092732245760248</x:v>
      </x:c>
      <x:c r="U1941" s="17" t="n">
        <x:v>391189188.0500002</x:v>
      </x:c>
      <x:c r="V1941" s="2" t="str">
        <x:v>Area equivalent = model2020 * WUP surface / TEMPO2020 footprint; km2 multiplied by1e6 once</x:v>
      </x:c>
      <x:c r="W1941" s="2" t="str">
        <x:v>L1_numeric_partition_qualified_not_national_completeness</x:v>
      </x:c>
      <x:c r="X1941" s="2" t="str">
        <x:v>https://human-settlement.emergency.copernicus.eu/datasets.php</x:v>
      </x:c>
    </x:row>
    <x:row r="1942" ht="23" customHeight="1">
      <x:c r="A1942" s="2" t="str">
        <x:v>SVN</x:v>
      </x:c>
      <x:c r="B1942" s="2" t="str">
        <x:v>Slovenia (Republic of)</x:v>
      </x:c>
      <x:c r="C1942" s="2" t="n">
        <x:v>2025</x:v>
      </x:c>
      <x:c r="D1942" s="2" t="str">
        <x:v>WUP_SURFACE</x:v>
      </x:c>
      <x:c r="E1942" s="17" t="n">
        <x:v>206671106.15608108</x:v>
      </x:c>
      <x:c r="F1942" s="17" t="n">
        <x:f>IF(AND(M1942,ISNUMBER(R1942)),IF(D1942="TEMPO_PROXY",R1942,IF(AND(ISNUMBER(S1942),S1942&gt;0,ISNUMBER(U1942)),U1942*R1942/S1942,"n.a.")),"n.a.")</x:f>
        <x:v>280358637.3266347</x:v>
      </x:c>
      <x:c r="G1942" s="17" t="n">
        <x:f>IF(AND(ISNUMBER(E1942),ISNUMBER(F1942)),E1942-F1942,"n.a.")</x:f>
        <x:v>-73687531.17055362</x:v>
      </x:c>
      <x:c r="H1942" s="15" t="n">
        <x:f>IF(AND(ISNUMBER(E1942),ISNUMBER(F1942),F1942&gt;0),(E1942-F1942)/F1942,"n.a.")</x:f>
        <x:v>-0.26283310503005197</x:v>
      </x:c>
      <x:c r="I1942" s="19" t="n">
        <x:f>IF(ISNUMBER(H1942),ABS(H1942),"n.a.")</x:f>
        <x:v>0.26283310503005197</x:v>
      </x:c>
      <x:c r="J1942" s="2" t="str">
        <x:v>available</x:v>
      </x:c>
      <x:c r="K1942" s="2" t="n">
        <x:v>1</x:v>
      </x:c>
      <x:c r="L1942" s="13" t="b">
        <x:v>0</x:v>
      </x:c>
      <x:c r="M1942" s="13" t="b">
        <x:v>1</x:v>
      </x:c>
      <x:c r="N1942" s="2" t="str">
        <x:v>projected_CRISP_BU_surface</x:v>
      </x:c>
      <x:c r="O1942" s="2" t="str"/>
      <x:c r="P1942" s="2" t="str">
        <x:v>horizontal built-up surface</x:v>
      </x:c>
      <x:c r="Q1942" s="2" t="str">
        <x:v>m2</x:v>
      </x:c>
      <x:c r="R1942" s="17" t="n">
        <x:v>280358637.32663447</x:v>
      </x:c>
      <x:c r="S1942" s="17" t="n">
        <x:v>188783306.59</x:v>
      </x:c>
      <x:c r="T1942" s="18" t="n">
        <x:v>1.0000000000000009</x:v>
      </x:c>
      <x:c r="U1942" s="17" t="n">
        <x:v>188783306.59000015</x:v>
      </x:c>
      <x:c r="V1942" s="2" t="str">
        <x:v>Area equivalent = model2020 * WUP surface / TEMPO2020 footprint; km2 multiplied by1e6 once</x:v>
      </x:c>
      <x:c r="W1942" s="2" t="str">
        <x:v>L1_numeric_partition_qualified_not_national_completeness</x:v>
      </x:c>
      <x:c r="X1942" s="2" t="str">
        <x:v>https://human-settlement.emergency.copernicus.eu/datasets.php</x:v>
      </x:c>
    </x:row>
    <x:row r="1943" ht="23" customHeight="1">
      <x:c r="A1943" s="2" t="str">
        <x:v>SWE</x:v>
      </x:c>
      <x:c r="B1943" s="2" t="str">
        <x:v>Sweden (Kingdom of)</x:v>
      </x:c>
      <x:c r="C1943" s="2" t="n">
        <x:v>2025</x:v>
      </x:c>
      <x:c r="D1943" s="2" t="str">
        <x:v>WUP_SURFACE</x:v>
      </x:c>
      <x:c r="E1943" s="17" t="n">
        <x:v>1032870455.4523773</x:v>
      </x:c>
      <x:c r="F1943" s="17" t="n">
        <x:f>IF(AND(M1943,ISNUMBER(R1943)),IF(D1943="TEMPO_PROXY",R1943,IF(AND(ISNUMBER(S1943),S1943&gt;0,ISNUMBER(U1943)),U1943*R1943/S1943,"n.a.")),"n.a.")</x:f>
        <x:v>1111914263.3065648</x:v>
      </x:c>
      <x:c r="G1943" s="17" t="n">
        <x:f>IF(AND(ISNUMBER(E1943),ISNUMBER(F1943)),E1943-F1943,"n.a.")</x:f>
        <x:v>-79043807.85418749</x:v>
      </x:c>
      <x:c r="H1943" s="15" t="n">
        <x:f>IF(AND(ISNUMBER(E1943),ISNUMBER(F1943),F1943&gt;0),(E1943-F1943)/F1943,"n.a.")</x:f>
        <x:v>-0.0710880420034637</x:v>
      </x:c>
      <x:c r="I1943" s="19" t="n">
        <x:f>IF(ISNUMBER(H1943),ABS(H1943),"n.a.")</x:f>
        <x:v>0.0710880420034637</x:v>
      </x:c>
      <x:c r="J1943" s="2" t="str">
        <x:v>available</x:v>
      </x:c>
      <x:c r="K1943" s="2" t="n">
        <x:v>1</x:v>
      </x:c>
      <x:c r="L1943" s="13" t="b">
        <x:v>0</x:v>
      </x:c>
      <x:c r="M1943" s="13" t="b">
        <x:v>1</x:v>
      </x:c>
      <x:c r="N1943" s="2" t="str">
        <x:v>projected_CRISP_BU_surface</x:v>
      </x:c>
      <x:c r="O1943" s="2" t="str"/>
      <x:c r="P1943" s="2" t="str">
        <x:v>horizontal built-up surface</x:v>
      </x:c>
      <x:c r="Q1943" s="2" t="str">
        <x:v>m2</x:v>
      </x:c>
      <x:c r="R1943" s="17" t="n">
        <x:v>1102062837.4319727</x:v>
      </x:c>
      <x:c r="S1943" s="17" t="n">
        <x:v>853123931.52</x:v>
      </x:c>
      <x:c r="T1943" s="18" t="n">
        <x:v>1.0089390781904486</x:v>
      </x:c>
      <x:c r="U1943" s="17" t="n">
        <x:v>860750073.0500002</x:v>
      </x:c>
      <x:c r="V1943" s="2" t="str">
        <x:v>Area equivalent = model2020 * WUP surface / TEMPO2020 footprint; km2 multiplied by1e6 once</x:v>
      </x:c>
      <x:c r="W1943" s="2" t="str">
        <x:v>L1_numeric_partition_qualified_not_national_completeness</x:v>
      </x:c>
      <x:c r="X1943" s="2" t="str">
        <x:v>https://human-settlement.emergency.copernicus.eu/datasets.php</x:v>
      </x:c>
    </x:row>
    <x:row r="1944" ht="23" customHeight="1">
      <x:c r="A1944" s="2" t="str">
        <x:v>SWZ</x:v>
      </x:c>
      <x:c r="B1944" s="2" t="str">
        <x:v>Eswatini (Kingdom of)</x:v>
      </x:c>
      <x:c r="C1944" s="2" t="n">
        <x:v>2025</x:v>
      </x:c>
      <x:c r="D1944" s="2" t="str">
        <x:v>WUP_SURFACE</x:v>
      </x:c>
      <x:c r="E1944" s="17" t="n">
        <x:v>54225765.792218946</x:v>
      </x:c>
      <x:c r="F1944" s="17" t="n">
        <x:f>IF(AND(M1944,ISNUMBER(R1944)),IF(D1944="TEMPO_PROXY",R1944,IF(AND(ISNUMBER(S1944),S1944&gt;0,ISNUMBER(U1944)),U1944*R1944/S1944,"n.a.")),"n.a.")</x:f>
        <x:v>168482374.52826682</x:v>
      </x:c>
      <x:c r="G1944" s="17" t="n">
        <x:f>IF(AND(ISNUMBER(E1944),ISNUMBER(F1944)),E1944-F1944,"n.a.")</x:f>
        <x:v>-114256608.73604786</x:v>
      </x:c>
      <x:c r="H1944" s="15" t="n">
        <x:f>IF(AND(ISNUMBER(E1944),ISNUMBER(F1944),F1944&gt;0),(E1944-F1944)/F1944,"n.a.")</x:f>
        <x:v>-0.6781517001760838</x:v>
      </x:c>
      <x:c r="I1944" s="19" t="n">
        <x:f>IF(ISNUMBER(H1944),ABS(H1944),"n.a.")</x:f>
        <x:v>0.6781517001760838</x:v>
      </x:c>
      <x:c r="J1944" s="2" t="str">
        <x:v>available</x:v>
      </x:c>
      <x:c r="K1944" s="2" t="n">
        <x:v>1</x:v>
      </x:c>
      <x:c r="L1944" s="13" t="b">
        <x:v>0</x:v>
      </x:c>
      <x:c r="M1944" s="13" t="b">
        <x:v>1</x:v>
      </x:c>
      <x:c r="N1944" s="2" t="str">
        <x:v>projected_CRISP_BU_surface</x:v>
      </x:c>
      <x:c r="O1944" s="2" t="str"/>
      <x:c r="P1944" s="2" t="str">
        <x:v>horizontal built-up surface</x:v>
      </x:c>
      <x:c r="Q1944" s="2" t="str">
        <x:v>m2</x:v>
      </x:c>
      <x:c r="R1944" s="17" t="n">
        <x:v>168482374.52826685</x:v>
      </x:c>
      <x:c r="S1944" s="17" t="n">
        <x:v>51228621.63</x:v>
      </x:c>
      <x:c r="T1944" s="18" t="n">
        <x:v>0.9999999999999999</x:v>
      </x:c>
      <x:c r="U1944" s="17" t="n">
        <x:v>51228621.629999995</x:v>
      </x:c>
      <x:c r="V1944" s="2" t="str">
        <x:v>Area equivalent = model2020 * WUP surface / TEMPO2020 footprint; km2 multiplied by1e6 once</x:v>
      </x:c>
      <x:c r="W1944" s="2" t="str">
        <x:v>L1_numeric_partition_qualified_not_national_completeness</x:v>
      </x:c>
      <x:c r="X1944" s="2" t="str">
        <x:v>https://human-settlement.emergency.copernicus.eu/datasets.php</x:v>
      </x:c>
    </x:row>
    <x:row r="1945" ht="23" customHeight="1">
      <x:c r="A1945" s="2" t="str">
        <x:v>SYC</x:v>
      </x:c>
      <x:c r="B1945" s="2" t="str">
        <x:v>Seychelles (Republic of)</x:v>
      </x:c>
      <x:c r="C1945" s="2" t="n">
        <x:v>2025</x:v>
      </x:c>
      <x:c r="D1945" s="2" t="str">
        <x:v>WUP_SURFACE</x:v>
      </x:c>
      <x:c r="E1945" s="17" t="n">
        <x:v>8503293.951340036</x:v>
      </x:c>
      <x:c r="F1945" s="17" t="n">
        <x:f>IF(AND(M1945,ISNUMBER(R1945)),IF(D1945="TEMPO_PROXY",R1945,IF(AND(ISNUMBER(S1945),S1945&gt;0,ISNUMBER(U1945)),U1945*R1945/S1945,"n.a.")),"n.a.")</x:f>
        <x:v>6375667.588768125</x:v>
      </x:c>
      <x:c r="G1945" s="17" t="n">
        <x:f>IF(AND(ISNUMBER(E1945),ISNUMBER(F1945)),E1945-F1945,"n.a.")</x:f>
        <x:v>2127626.362571912</x:v>
      </x:c>
      <x:c r="H1945" s="15" t="n">
        <x:f>IF(AND(ISNUMBER(E1945),ISNUMBER(F1945),F1945&gt;0),(E1945-F1945)/F1945,"n.a.")</x:f>
        <x:v>0.3337103656909757</x:v>
      </x:c>
      <x:c r="I1945" s="19" t="n">
        <x:f>IF(ISNUMBER(H1945),ABS(H1945),"n.a.")</x:f>
        <x:v>0.3337103656909757</x:v>
      </x:c>
      <x:c r="J1945" s="2" t="str">
        <x:v>available</x:v>
      </x:c>
      <x:c r="K1945" s="2" t="n">
        <x:v>1</x:v>
      </x:c>
      <x:c r="L1945" s="13" t="b">
        <x:v>0</x:v>
      </x:c>
      <x:c r="M1945" s="13" t="b">
        <x:v>1</x:v>
      </x:c>
      <x:c r="N1945" s="2" t="str">
        <x:v>projected_CRISP_BU_surface</x:v>
      </x:c>
      <x:c r="O1945" s="2" t="str"/>
      <x:c r="P1945" s="2" t="str">
        <x:v>horizontal built-up surface</x:v>
      </x:c>
      <x:c r="Q1945" s="2" t="str">
        <x:v>m2</x:v>
      </x:c>
      <x:c r="R1945" s="17" t="n">
        <x:v>6375667.588768124</x:v>
      </x:c>
      <x:c r="S1945" s="17" t="n">
        <x:v>7317572.88</x:v>
      </x:c>
      <x:c r="T1945" s="18" t="n">
        <x:v>1.0000000000000002</x:v>
      </x:c>
      <x:c r="U1945" s="17" t="n">
        <x:v>7317572.880000001</x:v>
      </x:c>
      <x:c r="V1945" s="2" t="str">
        <x:v>Area equivalent = model2020 * WUP surface / TEMPO2020 footprint; km2 multiplied by1e6 once</x:v>
      </x:c>
      <x:c r="W1945" s="2" t="str">
        <x:v>L1_numeric_partition_qualified_not_national_completeness</x:v>
      </x:c>
      <x:c r="X1945" s="2" t="str">
        <x:v>https://human-settlement.emergency.copernicus.eu/datasets.php</x:v>
      </x:c>
    </x:row>
    <x:row r="1946" ht="23" customHeight="1">
      <x:c r="A1946" s="2" t="str">
        <x:v>SYR</x:v>
      </x:c>
      <x:c r="B1946" s="2" t="str">
        <x:v>Syrian Arab Republic</x:v>
      </x:c>
      <x:c r="C1946" s="2" t="n">
        <x:v>2025</x:v>
      </x:c>
      <x:c r="D1946" s="2" t="str">
        <x:v>WUP_SURFACE</x:v>
      </x:c>
      <x:c r="E1946" s="17" t="n">
        <x:v>959278838.9705536</x:v>
      </x:c>
      <x:c r="F1946" s="17" t="n">
        <x:f>IF(AND(M1946,ISNUMBER(R1946)),IF(D1946="TEMPO_PROXY",R1946,IF(AND(ISNUMBER(S1946),S1946&gt;0,ISNUMBER(U1946)),U1946*R1946/S1946,"n.a.")),"n.a.")</x:f>
        <x:v>1176481765.8107822</x:v>
      </x:c>
      <x:c r="G1946" s="17" t="n">
        <x:f>IF(AND(ISNUMBER(E1946),ISNUMBER(F1946)),E1946-F1946,"n.a.")</x:f>
        <x:v>-217202926.84022856</x:v>
      </x:c>
      <x:c r="H1946" s="15" t="n">
        <x:f>IF(AND(ISNUMBER(E1946),ISNUMBER(F1946),F1946&gt;0),(E1946-F1946)/F1946,"n.a.")</x:f>
        <x:v>-0.1846207337438344</x:v>
      </x:c>
      <x:c r="I1946" s="19" t="n">
        <x:f>IF(ISNUMBER(H1946),ABS(H1946),"n.a.")</x:f>
        <x:v>0.1846207337438344</x:v>
      </x:c>
      <x:c r="J1946" s="2" t="str">
        <x:v>available</x:v>
      </x:c>
      <x:c r="K1946" s="2" t="n">
        <x:v>1</x:v>
      </x:c>
      <x:c r="L1946" s="13" t="b">
        <x:v>0</x:v>
      </x:c>
      <x:c r="M1946" s="13" t="b">
        <x:v>1</x:v>
      </x:c>
      <x:c r="N1946" s="2" t="str">
        <x:v>projected_CRISP_BU_surface</x:v>
      </x:c>
      <x:c r="O1946" s="2" t="str"/>
      <x:c r="P1946" s="2" t="str">
        <x:v>horizontal built-up surface</x:v>
      </x:c>
      <x:c r="Q1946" s="2" t="str">
        <x:v>m2</x:v>
      </x:c>
      <x:c r="R1946" s="17" t="n">
        <x:v>1160080244.0190752</x:v>
      </x:c>
      <x:c r="S1946" s="17" t="n">
        <x:v>784392266.01</x:v>
      </x:c>
      <x:c r="T1946" s="18" t="n">
        <x:v>1.0141382648969905</x:v>
      </x:c>
      <x:c r="U1946" s="17" t="n">
        <x:v>795482211.65</x:v>
      </x:c>
      <x:c r="V1946" s="2" t="str">
        <x:v>Area equivalent = model2020 * WUP surface / TEMPO2020 footprint; km2 multiplied by1e6 once</x:v>
      </x:c>
      <x:c r="W1946" s="2" t="str">
        <x:v>L1_numeric_partition_qualified_not_national_completeness</x:v>
      </x:c>
      <x:c r="X1946" s="2" t="str">
        <x:v>https://human-settlement.emergency.copernicus.eu/datasets.php</x:v>
      </x:c>
    </x:row>
    <x:row r="1947" ht="23" customHeight="1">
      <x:c r="A1947" s="2" t="str">
        <x:v>TCD</x:v>
      </x:c>
      <x:c r="B1947" s="2" t="str">
        <x:v>Chad (Republic of)</x:v>
      </x:c>
      <x:c r="C1947" s="2" t="n">
        <x:v>2025</x:v>
      </x:c>
      <x:c r="D1947" s="2" t="str">
        <x:v>WUP_SURFACE</x:v>
      </x:c>
      <x:c r="E1947" s="17" t="n">
        <x:v>156647104.94489405</x:v>
      </x:c>
      <x:c r="F1947" s="17" t="n">
        <x:f>IF(AND(M1947,ISNUMBER(R1947)),IF(D1947="TEMPO_PROXY",R1947,IF(AND(ISNUMBER(S1947),S1947&gt;0,ISNUMBER(U1947)),U1947*R1947/S1947,"n.a.")),"n.a.")</x:f>
        <x:v>684143389.7751849</x:v>
      </x:c>
      <x:c r="G1947" s="17" t="n">
        <x:f>IF(AND(ISNUMBER(E1947),ISNUMBER(F1947)),E1947-F1947,"n.a.")</x:f>
        <x:v>-527496284.8302908</x:v>
      </x:c>
      <x:c r="H1947" s="15" t="n">
        <x:f>IF(AND(ISNUMBER(E1947),ISNUMBER(F1947),F1947&gt;0),(E1947-F1947)/F1947,"n.a.")</x:f>
        <x:v>-0.7710317642674738</x:v>
      </x:c>
      <x:c r="I1947" s="19" t="n">
        <x:f>IF(ISNUMBER(H1947),ABS(H1947),"n.a.")</x:f>
        <x:v>0.7710317642674738</x:v>
      </x:c>
      <x:c r="J1947" s="2" t="str">
        <x:v>available</x:v>
      </x:c>
      <x:c r="K1947" s="2" t="n">
        <x:v>1</x:v>
      </x:c>
      <x:c r="L1947" s="13" t="b">
        <x:v>0</x:v>
      </x:c>
      <x:c r="M1947" s="13" t="b">
        <x:v>1</x:v>
      </x:c>
      <x:c r="N1947" s="2" t="str">
        <x:v>projected_CRISP_BU_surface</x:v>
      </x:c>
      <x:c r="O1947" s="2" t="str"/>
      <x:c r="P1947" s="2" t="str">
        <x:v>horizontal built-up surface</x:v>
      </x:c>
      <x:c r="Q1947" s="2" t="str">
        <x:v>m2</x:v>
      </x:c>
      <x:c r="R1947" s="17" t="n">
        <x:v>684143389.7751856</x:v>
      </x:c>
      <x:c r="S1947" s="17" t="n">
        <x:v>126450494.22</x:v>
      </x:c>
      <x:c r="T1947" s="18" t="n">
        <x:v>0.9999999999999991</x:v>
      </x:c>
      <x:c r="U1947" s="17" t="n">
        <x:v>126450494.21999988</x:v>
      </x:c>
      <x:c r="V1947" s="2" t="str">
        <x:v>Area equivalent = model2020 * WUP surface / TEMPO2020 footprint; km2 multiplied by1e6 once</x:v>
      </x:c>
      <x:c r="W1947" s="2" t="str">
        <x:v>L1_numeric_partition_qualified_not_national_completeness</x:v>
      </x:c>
      <x:c r="X1947" s="2" t="str">
        <x:v>https://human-settlement.emergency.copernicus.eu/datasets.php</x:v>
      </x:c>
    </x:row>
    <x:row r="1948" ht="23" customHeight="1">
      <x:c r="A1948" s="2" t="str">
        <x:v>TGO</x:v>
      </x:c>
      <x:c r="B1948" s="2" t="str">
        <x:v>Togo (Togolese Republic)</x:v>
      </x:c>
      <x:c r="C1948" s="2" t="n">
        <x:v>2025</x:v>
      </x:c>
      <x:c r="D1948" s="2" t="str">
        <x:v>WUP_SURFACE</x:v>
      </x:c>
      <x:c r="E1948" s="17" t="n">
        <x:v>213798067.7944374</x:v>
      </x:c>
      <x:c r="F1948" s="17" t="n">
        <x:f>IF(AND(M1948,ISNUMBER(R1948)),IF(D1948="TEMPO_PROXY",R1948,IF(AND(ISNUMBER(S1948),S1948&gt;0,ISNUMBER(U1948)),U1948*R1948/S1948,"n.a.")),"n.a.")</x:f>
        <x:v>539459060.0558705</x:v>
      </x:c>
      <x:c r="G1948" s="17" t="n">
        <x:f>IF(AND(ISNUMBER(E1948),ISNUMBER(F1948)),E1948-F1948,"n.a.")</x:f>
        <x:v>-325660992.2614331</x:v>
      </x:c>
      <x:c r="H1948" s="15" t="n">
        <x:f>IF(AND(ISNUMBER(E1948),ISNUMBER(F1948),F1948&gt;0),(E1948-F1948)/F1948,"n.a.")</x:f>
        <x:v>-0.6036806430273044</x:v>
      </x:c>
      <x:c r="I1948" s="19" t="n">
        <x:f>IF(ISNUMBER(H1948),ABS(H1948),"n.a.")</x:f>
        <x:v>0.6036806430273044</x:v>
      </x:c>
      <x:c r="J1948" s="2" t="str">
        <x:v>available</x:v>
      </x:c>
      <x:c r="K1948" s="2" t="n">
        <x:v>1</x:v>
      </x:c>
      <x:c r="L1948" s="13" t="b">
        <x:v>0</x:v>
      </x:c>
      <x:c r="M1948" s="13" t="b">
        <x:v>1</x:v>
      </x:c>
      <x:c r="N1948" s="2" t="str">
        <x:v>projected_CRISP_BU_surface</x:v>
      </x:c>
      <x:c r="O1948" s="2" t="str"/>
      <x:c r="P1948" s="2" t="str">
        <x:v>horizontal built-up surface</x:v>
      </x:c>
      <x:c r="Q1948" s="2" t="str">
        <x:v>m2</x:v>
      </x:c>
      <x:c r="R1948" s="17" t="n">
        <x:v>539459060.0558699</x:v>
      </x:c>
      <x:c r="S1948" s="17" t="n">
        <x:v>185693532.73</x:v>
      </x:c>
      <x:c r="T1948" s="18" t="n">
        <x:v>1.000000000000001</x:v>
      </x:c>
      <x:c r="U1948" s="17" t="n">
        <x:v>185693532.7300002</x:v>
      </x:c>
      <x:c r="V1948" s="2" t="str">
        <x:v>Area equivalent = model2020 * WUP surface / TEMPO2020 footprint; km2 multiplied by1e6 once</x:v>
      </x:c>
      <x:c r="W1948" s="2" t="str">
        <x:v>L1_numeric_partition_qualified_not_national_completeness</x:v>
      </x:c>
      <x:c r="X1948" s="2" t="str">
        <x:v>https://human-settlement.emergency.copernicus.eu/datasets.php</x:v>
      </x:c>
    </x:row>
    <x:row r="1949" ht="23" customHeight="1">
      <x:c r="A1949" s="2" t="str">
        <x:v>THA</x:v>
      </x:c>
      <x:c r="B1949" s="2" t="str">
        <x:v>Thailand (Kingdom of)</x:v>
      </x:c>
      <x:c r="C1949" s="2" t="n">
        <x:v>2025</x:v>
      </x:c>
      <x:c r="D1949" s="2" t="str">
        <x:v>WUP_SURFACE</x:v>
      </x:c>
      <x:c r="E1949" s="17" t="n">
        <x:v>5523883354.295592</x:v>
      </x:c>
      <x:c r="F1949" s="17" t="n">
        <x:f>IF(AND(M1949,ISNUMBER(R1949)),IF(D1949="TEMPO_PROXY",R1949,IF(AND(ISNUMBER(S1949),S1949&gt;0,ISNUMBER(U1949)),U1949*R1949/S1949,"n.a.")),"n.a.")</x:f>
        <x:v>7075187304.849061</x:v>
      </x:c>
      <x:c r="G1949" s="17" t="n">
        <x:f>IF(AND(ISNUMBER(E1949),ISNUMBER(F1949)),E1949-F1949,"n.a.")</x:f>
        <x:v>-1551303950.5534687</x:v>
      </x:c>
      <x:c r="H1949" s="15" t="n">
        <x:f>IF(AND(ISNUMBER(E1949),ISNUMBER(F1949),F1949&gt;0),(E1949-F1949)/F1949,"n.a.")</x:f>
        <x:v>-0.21925977132651522</x:v>
      </x:c>
      <x:c r="I1949" s="19" t="n">
        <x:f>IF(ISNUMBER(H1949),ABS(H1949),"n.a.")</x:f>
        <x:v>0.21925977132651522</x:v>
      </x:c>
      <x:c r="J1949" s="2" t="str">
        <x:v>available</x:v>
      </x:c>
      <x:c r="K1949" s="2" t="n">
        <x:v>1</x:v>
      </x:c>
      <x:c r="L1949" s="13" t="b">
        <x:v>0</x:v>
      </x:c>
      <x:c r="M1949" s="13" t="b">
        <x:v>1</x:v>
      </x:c>
      <x:c r="N1949" s="2" t="str">
        <x:v>projected_CRISP_BU_surface</x:v>
      </x:c>
      <x:c r="O1949" s="2" t="str"/>
      <x:c r="P1949" s="2" t="str">
        <x:v>horizontal built-up surface</x:v>
      </x:c>
      <x:c r="Q1949" s="2" t="str">
        <x:v>m2</x:v>
      </x:c>
      <x:c r="R1949" s="17" t="n">
        <x:v>7075187304.849071</x:v>
      </x:c>
      <x:c r="S1949" s="17" t="n">
        <x:v>5229846890.15</x:v>
      </x:c>
      <x:c r="T1949" s="18" t="n">
        <x:v>0.9999999999999988</x:v>
      </x:c>
      <x:c r="U1949" s="17" t="n">
        <x:v>5229846890.149993</x:v>
      </x:c>
      <x:c r="V1949" s="2" t="str">
        <x:v>Area equivalent = model2020 * WUP surface / TEMPO2020 footprint; km2 multiplied by1e6 once</x:v>
      </x:c>
      <x:c r="W1949" s="2" t="str">
        <x:v>L1_numeric_partition_qualified_not_national_completeness</x:v>
      </x:c>
      <x:c r="X1949" s="2" t="str">
        <x:v>https://human-settlement.emergency.copernicus.eu/datasets.php</x:v>
      </x:c>
    </x:row>
    <x:row r="1950" ht="23" customHeight="1">
      <x:c r="A1950" s="2" t="str">
        <x:v>TJK</x:v>
      </x:c>
      <x:c r="B1950" s="2" t="str">
        <x:v>Tajikistan (Republic of)</x:v>
      </x:c>
      <x:c r="C1950" s="2" t="n">
        <x:v>2025</x:v>
      </x:c>
      <x:c r="D1950" s="2" t="str">
        <x:v>WUP_SURFACE</x:v>
      </x:c>
      <x:c r="E1950" s="17" t="n">
        <x:v>440722268.925882</x:v>
      </x:c>
      <x:c r="F1950" s="17" t="n">
        <x:f>IF(AND(M1950,ISNUMBER(R1950)),IF(D1950="TEMPO_PROXY",R1950,IF(AND(ISNUMBER(S1950),S1950&gt;0,ISNUMBER(U1950)),U1950*R1950/S1950,"n.a.")),"n.a.")</x:f>
        <x:v>814055691.9108028</x:v>
      </x:c>
      <x:c r="G1950" s="17" t="n">
        <x:f>IF(AND(ISNUMBER(E1950),ISNUMBER(F1950)),E1950-F1950,"n.a.")</x:f>
        <x:v>-373333422.98492086</x:v>
      </x:c>
      <x:c r="H1950" s="15" t="n">
        <x:f>IF(AND(ISNUMBER(E1950),ISNUMBER(F1950),F1950&gt;0),(E1950-F1950)/F1950,"n.a.")</x:f>
        <x:v>-0.45860919184608745</x:v>
      </x:c>
      <x:c r="I1950" s="19" t="n">
        <x:f>IF(ISNUMBER(H1950),ABS(H1950),"n.a.")</x:f>
        <x:v>0.45860919184608745</x:v>
      </x:c>
      <x:c r="J1950" s="2" t="str">
        <x:v>available</x:v>
      </x:c>
      <x:c r="K1950" s="2" t="n">
        <x:v>1</x:v>
      </x:c>
      <x:c r="L1950" s="13" t="b">
        <x:v>0</x:v>
      </x:c>
      <x:c r="M1950" s="13" t="b">
        <x:v>1</x:v>
      </x:c>
      <x:c r="N1950" s="2" t="str">
        <x:v>projected_CRISP_BU_surface</x:v>
      </x:c>
      <x:c r="O1950" s="2" t="str"/>
      <x:c r="P1950" s="2" t="str">
        <x:v>horizontal built-up surface</x:v>
      </x:c>
      <x:c r="Q1950" s="2" t="str">
        <x:v>m2</x:v>
      </x:c>
      <x:c r="R1950" s="17" t="n">
        <x:v>814055691.9108021</x:v>
      </x:c>
      <x:c r="S1950" s="17" t="n">
        <x:v>392955797.92</x:v>
      </x:c>
      <x:c r="T1950" s="18" t="n">
        <x:v>1.0000000000000009</x:v>
      </x:c>
      <x:c r="U1950" s="17" t="n">
        <x:v>392955797.9200004</x:v>
      </x:c>
      <x:c r="V1950" s="2" t="str">
        <x:v>Area equivalent = model2020 * WUP surface / TEMPO2020 footprint; km2 multiplied by1e6 once</x:v>
      </x:c>
      <x:c r="W1950" s="2" t="str">
        <x:v>L1_numeric_partition_qualified_not_national_completeness</x:v>
      </x:c>
      <x:c r="X1950" s="2" t="str">
        <x:v>https://human-settlement.emergency.copernicus.eu/datasets.php</x:v>
      </x:c>
    </x:row>
    <x:row r="1951" ht="23" customHeight="1">
      <x:c r="A1951" s="2" t="str">
        <x:v>TKM</x:v>
      </x:c>
      <x:c r="B1951" s="2" t="str">
        <x:v>Turkmenistan</x:v>
      </x:c>
      <x:c r="C1951" s="2" t="n">
        <x:v>2025</x:v>
      </x:c>
      <x:c r="D1951" s="2" t="str">
        <x:v>WUP_SURFACE</x:v>
      </x:c>
      <x:c r="E1951" s="17" t="n">
        <x:v>394398849.9464143</x:v>
      </x:c>
      <x:c r="F1951" s="17" t="n">
        <x:f>IF(AND(M1951,ISNUMBER(R1951)),IF(D1951="TEMPO_PROXY",R1951,IF(AND(ISNUMBER(S1951),S1951&gt;0,ISNUMBER(U1951)),U1951*R1951/S1951,"n.a.")),"n.a.")</x:f>
        <x:v>823802108.4389989</x:v>
      </x:c>
      <x:c r="G1951" s="17" t="n">
        <x:f>IF(AND(ISNUMBER(E1951),ISNUMBER(F1951)),E1951-F1951,"n.a.")</x:f>
        <x:v>-429403258.49258465</x:v>
      </x:c>
      <x:c r="H1951" s="15" t="n">
        <x:f>IF(AND(ISNUMBER(E1951),ISNUMBER(F1951),F1951&gt;0),(E1951-F1951)/F1951,"n.a.")</x:f>
        <x:v>-0.5212456415124376</x:v>
      </x:c>
      <x:c r="I1951" s="19" t="n">
        <x:f>IF(ISNUMBER(H1951),ABS(H1951),"n.a.")</x:f>
        <x:v>0.5212456415124376</x:v>
      </x:c>
      <x:c r="J1951" s="2" t="str">
        <x:v>available</x:v>
      </x:c>
      <x:c r="K1951" s="2" t="n">
        <x:v>1</x:v>
      </x:c>
      <x:c r="L1951" s="13" t="b">
        <x:v>0</x:v>
      </x:c>
      <x:c r="M1951" s="13" t="b">
        <x:v>1</x:v>
      </x:c>
      <x:c r="N1951" s="2" t="str">
        <x:v>projected_CRISP_BU_surface</x:v>
      </x:c>
      <x:c r="O1951" s="2" t="str"/>
      <x:c r="P1951" s="2" t="str">
        <x:v>horizontal built-up surface</x:v>
      </x:c>
      <x:c r="Q1951" s="2" t="str">
        <x:v>m2</x:v>
      </x:c>
      <x:c r="R1951" s="17" t="n">
        <x:v>823802108.4389977</x:v>
      </x:c>
      <x:c r="S1951" s="17" t="n">
        <x:v>359976676.15</x:v>
      </x:c>
      <x:c r="T1951" s="18" t="n">
        <x:v>1.0000000000000016</x:v>
      </x:c>
      <x:c r="U1951" s="17" t="n">
        <x:v>359976676.1500005</x:v>
      </x:c>
      <x:c r="V1951" s="2" t="str">
        <x:v>Area equivalent = model2020 * WUP surface / TEMPO2020 footprint; km2 multiplied by1e6 once</x:v>
      </x:c>
      <x:c r="W1951" s="2" t="str">
        <x:v>L1_numeric_partition_qualified_not_national_completeness</x:v>
      </x:c>
      <x:c r="X1951" s="2" t="str">
        <x:v>https://human-settlement.emergency.copernicus.eu/datasets.php</x:v>
      </x:c>
    </x:row>
    <x:row r="1952" ht="23" customHeight="1">
      <x:c r="A1952" s="2" t="str">
        <x:v>TLS</x:v>
      </x:c>
      <x:c r="B1952" s="2" t="str">
        <x:v>Timor-Leste (Democratic Republic of)</x:v>
      </x:c>
      <x:c r="C1952" s="2" t="n">
        <x:v>2025</x:v>
      </x:c>
      <x:c r="D1952" s="2" t="str">
        <x:v>WUP_SURFACE</x:v>
      </x:c>
      <x:c r="E1952" s="17" t="n">
        <x:v>48095623.636238456</x:v>
      </x:c>
      <x:c r="F1952" s="17" t="n">
        <x:f>IF(AND(M1952,ISNUMBER(R1952)),IF(D1952="TEMPO_PROXY",R1952,IF(AND(ISNUMBER(S1952),S1952&gt;0,ISNUMBER(U1952)),U1952*R1952/S1952,"n.a.")),"n.a.")</x:f>
        <x:v>58152514.111120045</x:v>
      </x:c>
      <x:c r="G1952" s="17" t="n">
        <x:f>IF(AND(ISNUMBER(E1952),ISNUMBER(F1952)),E1952-F1952,"n.a.")</x:f>
        <x:v>-10056890.47488159</x:v>
      </x:c>
      <x:c r="H1952" s="15" t="n">
        <x:f>IF(AND(ISNUMBER(E1952),ISNUMBER(F1952),F1952&gt;0),(E1952-F1952)/F1952,"n.a.")</x:f>
        <x:v>-0.17293990859388295</x:v>
      </x:c>
      <x:c r="I1952" s="19" t="n">
        <x:f>IF(ISNUMBER(H1952),ABS(H1952),"n.a.")</x:f>
        <x:v>0.17293990859388295</x:v>
      </x:c>
      <x:c r="J1952" s="2" t="str">
        <x:v>available</x:v>
      </x:c>
      <x:c r="K1952" s="2" t="n">
        <x:v>1</x:v>
      </x:c>
      <x:c r="L1952" s="13" t="b">
        <x:v>0</x:v>
      </x:c>
      <x:c r="M1952" s="13" t="b">
        <x:v>1</x:v>
      </x:c>
      <x:c r="N1952" s="2" t="str">
        <x:v>projected_CRISP_BU_surface</x:v>
      </x:c>
      <x:c r="O1952" s="2" t="str"/>
      <x:c r="P1952" s="2" t="str">
        <x:v>horizontal built-up surface</x:v>
      </x:c>
      <x:c r="Q1952" s="2" t="str">
        <x:v>m2</x:v>
      </x:c>
      <x:c r="R1952" s="17" t="n">
        <x:v>58152514.111120015</x:v>
      </x:c>
      <x:c r="S1952" s="17" t="n">
        <x:v>41213693.9</x:v>
      </x:c>
      <x:c r="T1952" s="18" t="n">
        <x:v>1.0000000000000004</x:v>
      </x:c>
      <x:c r="U1952" s="17" t="n">
        <x:v>41213693.90000002</x:v>
      </x:c>
      <x:c r="V1952" s="2" t="str">
        <x:v>Area equivalent = model2020 * WUP surface / TEMPO2020 footprint; km2 multiplied by1e6 once</x:v>
      </x:c>
      <x:c r="W1952" s="2" t="str">
        <x:v>L1_numeric_partition_qualified_not_national_completeness</x:v>
      </x:c>
      <x:c r="X1952" s="2" t="str">
        <x:v>https://human-settlement.emergency.copernicus.eu/datasets.php</x:v>
      </x:c>
    </x:row>
    <x:row r="1953" ht="23" customHeight="1">
      <x:c r="A1953" s="2" t="str">
        <x:v>TON</x:v>
      </x:c>
      <x:c r="B1953" s="2" t="str">
        <x:v>Tonga (Kingdom of)</x:v>
      </x:c>
      <x:c r="C1953" s="2" t="n">
        <x:v>2025</x:v>
      </x:c>
      <x:c r="D1953" s="2" t="str">
        <x:v>WUP_SURFACE</x:v>
      </x:c>
      <x:c r="E1953" s="17" t="n">
        <x:v>4852586.2239619065</x:v>
      </x:c>
      <x:c r="F1953" s="17" t="n">
        <x:f>IF(AND(M1953,ISNUMBER(R1953)),IF(D1953="TEMPO_PROXY",R1953,IF(AND(ISNUMBER(S1953),S1953&gt;0,ISNUMBER(U1953)),U1953*R1953/S1953,"n.a.")),"n.a.")</x:f>
        <x:v>8821671.504620094</x:v>
      </x:c>
      <x:c r="G1953" s="17" t="n">
        <x:f>IF(AND(ISNUMBER(E1953),ISNUMBER(F1953)),E1953-F1953,"n.a.")</x:f>
        <x:v>-3969085.2806581873</x:v>
      </x:c>
      <x:c r="H1953" s="15" t="n">
        <x:f>IF(AND(ISNUMBER(E1953),ISNUMBER(F1953),F1953&gt;0),(E1953-F1953)/F1953,"n.a.")</x:f>
        <x:v>-0.44992440248761184</x:v>
      </x:c>
      <x:c r="I1953" s="19" t="n">
        <x:f>IF(ISNUMBER(H1953),ABS(H1953),"n.a.")</x:f>
        <x:v>0.44992440248761184</x:v>
      </x:c>
      <x:c r="J1953" s="2" t="str">
        <x:v>available</x:v>
      </x:c>
      <x:c r="K1953" s="2" t="n">
        <x:v>1</x:v>
      </x:c>
      <x:c r="L1953" s="13" t="b">
        <x:v>0</x:v>
      </x:c>
      <x:c r="M1953" s="13" t="b">
        <x:v>1</x:v>
      </x:c>
      <x:c r="N1953" s="2" t="str">
        <x:v>projected_CRISP_BU_surface</x:v>
      </x:c>
      <x:c r="O1953" s="2" t="str"/>
      <x:c r="P1953" s="2" t="str">
        <x:v>horizontal built-up surface</x:v>
      </x:c>
      <x:c r="Q1953" s="2" t="str">
        <x:v>m2</x:v>
      </x:c>
      <x:c r="R1953" s="17" t="n">
        <x:v>8821671.5046201</x:v>
      </x:c>
      <x:c r="S1953" s="17" t="n">
        <x:v>4719083.85</x:v>
      </x:c>
      <x:c r="T1953" s="18" t="n">
        <x:v>0.9999999999999994</x:v>
      </x:c>
      <x:c r="U1953" s="17" t="n">
        <x:v>4719083.849999997</x:v>
      </x:c>
      <x:c r="V1953" s="2" t="str">
        <x:v>Area equivalent = model2020 * WUP surface / TEMPO2020 footprint; km2 multiplied by1e6 once</x:v>
      </x:c>
      <x:c r="W1953" s="2" t="str">
        <x:v>L1_numeric_partition_qualified_not_national_completeness</x:v>
      </x:c>
      <x:c r="X1953" s="2" t="str">
        <x:v>https://human-settlement.emergency.copernicus.eu/datasets.php</x:v>
      </x:c>
    </x:row>
    <x:row r="1954" ht="23" customHeight="1">
      <x:c r="A1954" s="2" t="str">
        <x:v>TTO</x:v>
      </x:c>
      <x:c r="B1954" s="2" t="str">
        <x:v>Trinidad and Tobago (Republic of)</x:v>
      </x:c>
      <x:c r="C1954" s="2" t="n">
        <x:v>2025</x:v>
      </x:c>
      <x:c r="D1954" s="2" t="str">
        <x:v>WUP_SURFACE</x:v>
      </x:c>
      <x:c r="E1954" s="17" t="n">
        <x:v>107949452.9603739</x:v>
      </x:c>
      <x:c r="F1954" s="17" t="n">
        <x:f>IF(AND(M1954,ISNUMBER(R1954)),IF(D1954="TEMPO_PROXY",R1954,IF(AND(ISNUMBER(S1954),S1954&gt;0,ISNUMBER(U1954)),U1954*R1954/S1954,"n.a.")),"n.a.")</x:f>
        <x:v>177663641.5018267</x:v>
      </x:c>
      <x:c r="G1954" s="17" t="n">
        <x:f>IF(AND(ISNUMBER(E1954),ISNUMBER(F1954)),E1954-F1954,"n.a.")</x:f>
        <x:v>-69714188.54145281</x:v>
      </x:c>
      <x:c r="H1954" s="15" t="n">
        <x:f>IF(AND(ISNUMBER(E1954),ISNUMBER(F1954),F1954&gt;0),(E1954-F1954)/F1954,"n.a.")</x:f>
        <x:v>-0.39239423413898683</x:v>
      </x:c>
      <x:c r="I1954" s="19" t="n">
        <x:f>IF(ISNUMBER(H1954),ABS(H1954),"n.a.")</x:f>
        <x:v>0.39239423413898683</x:v>
      </x:c>
      <x:c r="J1954" s="2" t="str">
        <x:v>available</x:v>
      </x:c>
      <x:c r="K1954" s="2" t="n">
        <x:v>1</x:v>
      </x:c>
      <x:c r="L1954" s="13" t="b">
        <x:v>0</x:v>
      </x:c>
      <x:c r="M1954" s="13" t="b">
        <x:v>1</x:v>
      </x:c>
      <x:c r="N1954" s="2" t="str">
        <x:v>projected_CRISP_BU_surface</x:v>
      </x:c>
      <x:c r="O1954" s="2" t="str"/>
      <x:c r="P1954" s="2" t="str">
        <x:v>horizontal built-up surface</x:v>
      </x:c>
      <x:c r="Q1954" s="2" t="str">
        <x:v>m2</x:v>
      </x:c>
      <x:c r="R1954" s="17" t="n">
        <x:v>177663641.50182664</x:v>
      </x:c>
      <x:c r="S1954" s="17" t="n">
        <x:v>100480869.27</x:v>
      </x:c>
      <x:c r="T1954" s="18" t="n">
        <x:v>1.0000000000000004</x:v>
      </x:c>
      <x:c r="U1954" s="17" t="n">
        <x:v>100480869.27000004</x:v>
      </x:c>
      <x:c r="V1954" s="2" t="str">
        <x:v>Area equivalent = model2020 * WUP surface / TEMPO2020 footprint; km2 multiplied by1e6 once</x:v>
      </x:c>
      <x:c r="W1954" s="2" t="str">
        <x:v>L1_numeric_partition_qualified_not_national_completeness</x:v>
      </x:c>
      <x:c r="X1954" s="2" t="str">
        <x:v>https://human-settlement.emergency.copernicus.eu/datasets.php</x:v>
      </x:c>
    </x:row>
    <x:row r="1955" ht="23" customHeight="1">
      <x:c r="A1955" s="2" t="str">
        <x:v>TUN</x:v>
      </x:c>
      <x:c r="B1955" s="2" t="str">
        <x:v>Tunisia (Republic of)</x:v>
      </x:c>
      <x:c r="C1955" s="2" t="n">
        <x:v>2025</x:v>
      </x:c>
      <x:c r="D1955" s="2" t="str">
        <x:v>WUP_SURFACE</x:v>
      </x:c>
      <x:c r="E1955" s="17" t="n">
        <x:v>699695567.618066</x:v>
      </x:c>
      <x:c r="F1955" s="17" t="n">
        <x:f>IF(AND(M1955,ISNUMBER(R1955)),IF(D1955="TEMPO_PROXY",R1955,IF(AND(ISNUMBER(S1955),S1955&gt;0,ISNUMBER(U1955)),U1955*R1955/S1955,"n.a.")),"n.a.")</x:f>
        <x:v>1239632580.1495678</x:v>
      </x:c>
      <x:c r="G1955" s="17" t="n">
        <x:f>IF(AND(ISNUMBER(E1955),ISNUMBER(F1955)),E1955-F1955,"n.a.")</x:f>
        <x:v>-539937012.5315019</x:v>
      </x:c>
      <x:c r="H1955" s="15" t="n">
        <x:f>IF(AND(ISNUMBER(E1955),ISNUMBER(F1955),F1955&gt;0),(E1955-F1955)/F1955,"n.a.")</x:f>
        <x:v>-0.4355621344401547</x:v>
      </x:c>
      <x:c r="I1955" s="19" t="n">
        <x:f>IF(ISNUMBER(H1955),ABS(H1955),"n.a.")</x:f>
        <x:v>0.4355621344401547</x:v>
      </x:c>
      <x:c r="J1955" s="2" t="str">
        <x:v>available</x:v>
      </x:c>
      <x:c r="K1955" s="2" t="n">
        <x:v>1</x:v>
      </x:c>
      <x:c r="L1955" s="13" t="b">
        <x:v>0</x:v>
      </x:c>
      <x:c r="M1955" s="13" t="b">
        <x:v>1</x:v>
      </x:c>
      <x:c r="N1955" s="2" t="str">
        <x:v>projected_CRISP_BU_surface</x:v>
      </x:c>
      <x:c r="O1955" s="2" t="str"/>
      <x:c r="P1955" s="2" t="str">
        <x:v>horizontal built-up surface</x:v>
      </x:c>
      <x:c r="Q1955" s="2" t="str">
        <x:v>m2</x:v>
      </x:c>
      <x:c r="R1955" s="17" t="n">
        <x:v>1222608152.1925666</x:v>
      </x:c>
      <x:c r="S1955" s="17" t="n">
        <x:v>640256278.63</x:v>
      </x:c>
      <x:c r="T1955" s="18" t="n">
        <x:v>1.0139246805499134</x:v>
      </x:c>
      <x:c r="U1955" s="17" t="n">
        <x:v>649171642.779999</x:v>
      </x:c>
      <x:c r="V1955" s="2" t="str">
        <x:v>Area equivalent = model2020 * WUP surface / TEMPO2020 footprint; km2 multiplied by1e6 once</x:v>
      </x:c>
      <x:c r="W1955" s="2" t="str">
        <x:v>L1_numeric_partition_qualified_not_national_completeness</x:v>
      </x:c>
      <x:c r="X1955" s="2" t="str">
        <x:v>https://human-settlement.emergency.copernicus.eu/datasets.php</x:v>
      </x:c>
    </x:row>
    <x:row r="1956" ht="23" customHeight="1">
      <x:c r="A1956" s="2" t="str">
        <x:v>TUR</x:v>
      </x:c>
      <x:c r="B1956" s="2" t="str">
        <x:v>Türkiye (Republic of)</x:v>
      </x:c>
      <x:c r="C1956" s="2" t="n">
        <x:v>2025</x:v>
      </x:c>
      <x:c r="D1956" s="2" t="str">
        <x:v>WUP_SURFACE</x:v>
      </x:c>
      <x:c r="E1956" s="17" t="n">
        <x:v>4665559792.425246</x:v>
      </x:c>
      <x:c r="F1956" s="17" t="n">
        <x:f>IF(AND(M1956,ISNUMBER(R1956)),IF(D1956="TEMPO_PROXY",R1956,IF(AND(ISNUMBER(S1956),S1956&gt;0,ISNUMBER(U1956)),U1956*R1956/S1956,"n.a.")),"n.a.")</x:f>
        <x:v>4283889951.0311866</x:v>
      </x:c>
      <x:c r="G1956" s="17" t="n">
        <x:f>IF(AND(ISNUMBER(E1956),ISNUMBER(F1956)),E1956-F1956,"n.a.")</x:f>
        <x:v>381669841.39405966</x:v>
      </x:c>
      <x:c r="H1956" s="15" t="n">
        <x:f>IF(AND(ISNUMBER(E1956),ISNUMBER(F1956),F1956&gt;0),(E1956-F1956)/F1956,"n.a.")</x:f>
        <x:v>0.08909422178368212</x:v>
      </x:c>
      <x:c r="I1956" s="19" t="n">
        <x:f>IF(ISNUMBER(H1956),ABS(H1956),"n.a.")</x:f>
        <x:v>0.08909422178368212</x:v>
      </x:c>
      <x:c r="J1956" s="2" t="str">
        <x:v>available</x:v>
      </x:c>
      <x:c r="K1956" s="2" t="n">
        <x:v>1</x:v>
      </x:c>
      <x:c r="L1956" s="13" t="b">
        <x:v>0</x:v>
      </x:c>
      <x:c r="M1956" s="13" t="b">
        <x:v>1</x:v>
      </x:c>
      <x:c r="N1956" s="2" t="str">
        <x:v>projected_CRISP_BU_surface</x:v>
      </x:c>
      <x:c r="O1956" s="2" t="str"/>
      <x:c r="P1956" s="2" t="str">
        <x:v>horizontal built-up surface</x:v>
      </x:c>
      <x:c r="Q1956" s="2" t="str">
        <x:v>m2</x:v>
      </x:c>
      <x:c r="R1956" s="17" t="n">
        <x:v>4031642261.7824492</x:v>
      </x:c>
      <x:c r="S1956" s="17" t="n">
        <x:v>3724845529.66</x:v>
      </x:c>
      <x:c r="T1956" s="18" t="n">
        <x:v>1.0625669821055044</x:v>
      </x:c>
      <x:c r="U1956" s="17" t="n">
        <x:v>3957897873.260005</x:v>
      </x:c>
      <x:c r="V1956" s="2" t="str">
        <x:v>Area equivalent = model2020 * WUP surface / TEMPO2020 footprint; km2 multiplied by1e6 once</x:v>
      </x:c>
      <x:c r="W1956" s="2" t="str">
        <x:v>L1_numeric_partition_qualified_not_national_completeness</x:v>
      </x:c>
      <x:c r="X1956" s="2" t="str">
        <x:v>https://human-settlement.emergency.copernicus.eu/datasets.php</x:v>
      </x:c>
    </x:row>
    <x:row r="1957" ht="23" customHeight="1">
      <x:c r="A1957" s="2" t="str">
        <x:v>TUV</x:v>
      </x:c>
      <x:c r="B1957" s="2" t="str">
        <x:v>Tuvalu</x:v>
      </x:c>
      <x:c r="C1957" s="2" t="n">
        <x:v>2025</x:v>
      </x:c>
      <x:c r="D1957" s="2" t="str">
        <x:v>WUP_SURFACE</x:v>
      </x:c>
      <x:c r="E1957" s="17" t="n">
        <x:v>19380.639035003598</x:v>
      </x:c>
      <x:c r="F1957" s="17" t="n">
        <x:f>IF(AND(M1957,ISNUMBER(R1957)),IF(D1957="TEMPO_PROXY",R1957,IF(AND(ISNUMBER(S1957),S1957&gt;0,ISNUMBER(U1957)),U1957*R1957/S1957,"n.a.")),"n.a.")</x:f>
        <x:v>808146.0099492684</x:v>
      </x:c>
      <x:c r="G1957" s="17" t="n">
        <x:f>IF(AND(ISNUMBER(E1957),ISNUMBER(F1957)),E1957-F1957,"n.a.")</x:f>
        <x:v>-788765.3709142648</x:v>
      </x:c>
      <x:c r="H1957" s="15" t="n">
        <x:f>IF(AND(ISNUMBER(E1957),ISNUMBER(F1957),F1957&gt;0),(E1957-F1957)/F1957,"n.a.")</x:f>
        <x:v>-0.9760183942054973</x:v>
      </x:c>
      <x:c r="I1957" s="19" t="n">
        <x:f>IF(ISNUMBER(H1957),ABS(H1957),"n.a.")</x:f>
        <x:v>0.9760183942054973</x:v>
      </x:c>
      <x:c r="J1957" s="2" t="str">
        <x:v>available</x:v>
      </x:c>
      <x:c r="K1957" s="2" t="n">
        <x:v>1</x:v>
      </x:c>
      <x:c r="L1957" s="13" t="b">
        <x:v>0</x:v>
      </x:c>
      <x:c r="M1957" s="13" t="b">
        <x:v>1</x:v>
      </x:c>
      <x:c r="N1957" s="2" t="str">
        <x:v>projected_CRISP_BU_surface</x:v>
      </x:c>
      <x:c r="O1957" s="2" t="str"/>
      <x:c r="P1957" s="2" t="str">
        <x:v>horizontal built-up surface</x:v>
      </x:c>
      <x:c r="Q1957" s="2" t="str">
        <x:v>m2</x:v>
      </x:c>
      <x:c r="R1957" s="17" t="n">
        <x:v>808146.0099492688</x:v>
      </x:c>
      <x:c r="S1957" s="17" t="n">
        <x:v>19394.81</x:v>
      </x:c>
      <x:c r="T1957" s="18" t="n">
        <x:v>0.9999999999999994</x:v>
      </x:c>
      <x:c r="U1957" s="17" t="n">
        <x:v>19394.80999999999</x:v>
      </x:c>
      <x:c r="V1957" s="2" t="str">
        <x:v>Area equivalent = model2020 * WUP surface / TEMPO2020 footprint; km2 multiplied by1e6 once</x:v>
      </x:c>
      <x:c r="W1957" s="2" t="str">
        <x:v>L1_numeric_partition_qualified_not_national_completeness</x:v>
      </x:c>
      <x:c r="X1957" s="2" t="str">
        <x:v>https://human-settlement.emergency.copernicus.eu/datasets.php</x:v>
      </x:c>
    </x:row>
    <x:row r="1958" ht="23" customHeight="1">
      <x:c r="A1958" s="2" t="str">
        <x:v>TZA</x:v>
      </x:c>
      <x:c r="B1958" s="2" t="str">
        <x:v>Tanzania (United Republic of)</x:v>
      </x:c>
      <x:c r="C1958" s="2" t="n">
        <x:v>2025</x:v>
      </x:c>
      <x:c r="D1958" s="2" t="str">
        <x:v>WUP_SURFACE</x:v>
      </x:c>
      <x:c r="E1958" s="17" t="n">
        <x:v>1352087973.4343958</x:v>
      </x:c>
      <x:c r="F1958" s="17" t="n">
        <x:f>IF(AND(M1958,ISNUMBER(R1958)),IF(D1958="TEMPO_PROXY",R1958,IF(AND(ISNUMBER(S1958),S1958&gt;0,ISNUMBER(U1958)),U1958*R1958/S1958,"n.a.")),"n.a.")</x:f>
        <x:v>4722014931.446927</x:v>
      </x:c>
      <x:c r="G1958" s="17" t="n">
        <x:f>IF(AND(ISNUMBER(E1958),ISNUMBER(F1958)),E1958-F1958,"n.a.")</x:f>
        <x:v>-3369926958.0125313</x:v>
      </x:c>
      <x:c r="H1958" s="15" t="n">
        <x:f>IF(AND(ISNUMBER(E1958),ISNUMBER(F1958),F1958&gt;0),(E1958-F1958)/F1958,"n.a.")</x:f>
        <x:v>-0.7136629186769456</x:v>
      </x:c>
      <x:c r="I1958" s="19" t="n">
        <x:f>IF(ISNUMBER(H1958),ABS(H1958),"n.a.")</x:f>
        <x:v>0.7136629186769456</x:v>
      </x:c>
      <x:c r="J1958" s="2" t="str">
        <x:v>available</x:v>
      </x:c>
      <x:c r="K1958" s="2" t="n">
        <x:v>1</x:v>
      </x:c>
      <x:c r="L1958" s="13" t="b">
        <x:v>0</x:v>
      </x:c>
      <x:c r="M1958" s="13" t="b">
        <x:v>1</x:v>
      </x:c>
      <x:c r="N1958" s="2" t="str">
        <x:v>projected_CRISP_BU_surface</x:v>
      </x:c>
      <x:c r="O1958" s="2" t="str"/>
      <x:c r="P1958" s="2" t="str">
        <x:v>horizontal built-up surface</x:v>
      </x:c>
      <x:c r="Q1958" s="2" t="str">
        <x:v>m2</x:v>
      </x:c>
      <x:c r="R1958" s="17" t="n">
        <x:v>4722014931.446933</x:v>
      </x:c>
      <x:c r="S1958" s="17" t="n">
        <x:v>1174486408.82</x:v>
      </x:c>
      <x:c r="T1958" s="18" t="n">
        <x:v>0.9999999999999988</x:v>
      </x:c>
      <x:c r="U1958" s="17" t="n">
        <x:v>1174486408.8199985</x:v>
      </x:c>
      <x:c r="V1958" s="2" t="str">
        <x:v>Area equivalent = model2020 * WUP surface / TEMPO2020 footprint; km2 multiplied by1e6 once</x:v>
      </x:c>
      <x:c r="W1958" s="2" t="str">
        <x:v>L1_numeric_partition_qualified_not_national_completeness</x:v>
      </x:c>
      <x:c r="X1958" s="2" t="str">
        <x:v>https://human-settlement.emergency.copernicus.eu/datasets.php</x:v>
      </x:c>
    </x:row>
    <x:row r="1959" ht="23" customHeight="1">
      <x:c r="A1959" s="2" t="str">
        <x:v>UGA</x:v>
      </x:c>
      <x:c r="B1959" s="2" t="str">
        <x:v>Uganda (Republic of)</x:v>
      </x:c>
      <x:c r="C1959" s="2" t="n">
        <x:v>2025</x:v>
      </x:c>
      <x:c r="D1959" s="2" t="str">
        <x:v>WUP_SURFACE</x:v>
      </x:c>
      <x:c r="E1959" s="17" t="n">
        <x:v>882105605.0758555</x:v>
      </x:c>
      <x:c r="F1959" s="17" t="n">
        <x:f>IF(AND(M1959,ISNUMBER(R1959)),IF(D1959="TEMPO_PROXY",R1959,IF(AND(ISNUMBER(S1959),S1959&gt;0,ISNUMBER(U1959)),U1959*R1959/S1959,"n.a.")),"n.a.")</x:f>
        <x:v>3034410735.09633</x:v>
      </x:c>
      <x:c r="G1959" s="17" t="n">
        <x:f>IF(AND(ISNUMBER(E1959),ISNUMBER(F1959)),E1959-F1959,"n.a.")</x:f>
        <x:v>-2152305130.0204744</x:v>
      </x:c>
      <x:c r="H1959" s="15" t="n">
        <x:f>IF(AND(ISNUMBER(E1959),ISNUMBER(F1959),F1959&gt;0),(E1959-F1959)/F1959,"n.a.")</x:f>
        <x:v>-0.7092992076275882</x:v>
      </x:c>
      <x:c r="I1959" s="19" t="n">
        <x:f>IF(ISNUMBER(H1959),ABS(H1959),"n.a.")</x:f>
        <x:v>0.7092992076275882</x:v>
      </x:c>
      <x:c r="J1959" s="2" t="str">
        <x:v>available</x:v>
      </x:c>
      <x:c r="K1959" s="2" t="n">
        <x:v>1</x:v>
      </x:c>
      <x:c r="L1959" s="13" t="b">
        <x:v>0</x:v>
      </x:c>
      <x:c r="M1959" s="13" t="b">
        <x:v>1</x:v>
      </x:c>
      <x:c r="N1959" s="2" t="str">
        <x:v>projected_CRISP_BU_surface</x:v>
      </x:c>
      <x:c r="O1959" s="2" t="str"/>
      <x:c r="P1959" s="2" t="str">
        <x:v>horizontal built-up surface</x:v>
      </x:c>
      <x:c r="Q1959" s="2" t="str">
        <x:v>m2</x:v>
      </x:c>
      <x:c r="R1959" s="17" t="n">
        <x:v>3034410735.096327</x:v>
      </x:c>
      <x:c r="S1959" s="17" t="n">
        <x:v>765891927.15</x:v>
      </x:c>
      <x:c r="T1959" s="18" t="n">
        <x:v>1.000000000000001</x:v>
      </x:c>
      <x:c r="U1959" s="17" t="n">
        <x:v>765891927.1500008</x:v>
      </x:c>
      <x:c r="V1959" s="2" t="str">
        <x:v>Area equivalent = model2020 * WUP surface / TEMPO2020 footprint; km2 multiplied by1e6 once</x:v>
      </x:c>
      <x:c r="W1959" s="2" t="str">
        <x:v>L1_numeric_partition_qualified_not_national_completeness</x:v>
      </x:c>
      <x:c r="X1959" s="2" t="str">
        <x:v>https://human-settlement.emergency.copernicus.eu/datasets.php</x:v>
      </x:c>
    </x:row>
    <x:row r="1960" ht="23" customHeight="1">
      <x:c r="A1960" s="2" t="str">
        <x:v>UKR</x:v>
      </x:c>
      <x:c r="B1960" s="2" t="str">
        <x:v>Ukraine</x:v>
      </x:c>
      <x:c r="C1960" s="2" t="n">
        <x:v>2025</x:v>
      </x:c>
      <x:c r="D1960" s="2" t="str">
        <x:v>WUP_SURFACE</x:v>
      </x:c>
      <x:c r="E1960" s="17" t="n">
        <x:v>2935867416.063764</x:v>
      </x:c>
      <x:c r="F1960" s="17" t="n">
        <x:f>IF(AND(M1960,ISNUMBER(R1960)),IF(D1960="TEMPO_PROXY",R1960,IF(AND(ISNUMBER(S1960),S1960&gt;0,ISNUMBER(U1960)),U1960*R1960/S1960,"n.a.")),"n.a.")</x:f>
        <x:v>4504013334.774245</x:v>
      </x:c>
      <x:c r="G1960" s="17" t="n">
        <x:f>IF(AND(ISNUMBER(E1960),ISNUMBER(F1960)),E1960-F1960,"n.a.")</x:f>
        <x:v>-1568145918.7104812</x:v>
      </x:c>
      <x:c r="H1960" s="15" t="n">
        <x:f>IF(AND(ISNUMBER(E1960),ISNUMBER(F1960),F1960&gt;0),(E1960-F1960)/F1960,"n.a.")</x:f>
        <x:v>-0.34816635790202016</x:v>
      </x:c>
      <x:c r="I1960" s="19" t="n">
        <x:f>IF(ISNUMBER(H1960),ABS(H1960),"n.a.")</x:f>
        <x:v>0.34816635790202016</x:v>
      </x:c>
      <x:c r="J1960" s="2" t="str">
        <x:v>available</x:v>
      </x:c>
      <x:c r="K1960" s="2" t="n">
        <x:v>1</x:v>
      </x:c>
      <x:c r="L1960" s="13" t="b">
        <x:v>0</x:v>
      </x:c>
      <x:c r="M1960" s="13" t="b">
        <x:v>1</x:v>
      </x:c>
      <x:c r="N1960" s="2" t="str">
        <x:v>projected_CRISP_BU_surface</x:v>
      </x:c>
      <x:c r="O1960" s="2" t="str"/>
      <x:c r="P1960" s="2" t="str">
        <x:v>horizontal built-up surface</x:v>
      </x:c>
      <x:c r="Q1960" s="2" t="str">
        <x:v>m2</x:v>
      </x:c>
      <x:c r="R1960" s="17" t="n">
        <x:v>4504013334.774246</x:v>
      </x:c>
      <x:c r="S1960" s="17" t="n">
        <x:v>2808807029.82</x:v>
      </x:c>
      <x:c r="T1960" s="18" t="n">
        <x:v>0.9999999999999998</x:v>
      </x:c>
      <x:c r="U1960" s="17" t="n">
        <x:v>2808807029.8199997</x:v>
      </x:c>
      <x:c r="V1960" s="2" t="str">
        <x:v>Area equivalent = model2020 * WUP surface / TEMPO2020 footprint; km2 multiplied by1e6 once</x:v>
      </x:c>
      <x:c r="W1960" s="2" t="str">
        <x:v>L1_numeric_partition_qualified_not_national_completeness</x:v>
      </x:c>
      <x:c r="X1960" s="2" t="str">
        <x:v>https://human-settlement.emergency.copernicus.eu/datasets.php</x:v>
      </x:c>
    </x:row>
    <x:row r="1961" ht="23" customHeight="1">
      <x:c r="A1961" s="2" t="str">
        <x:v>URY</x:v>
      </x:c>
      <x:c r="B1961" s="2" t="str">
        <x:v>Uruguay (Oriental Republic of)</x:v>
      </x:c>
      <x:c r="C1961" s="2" t="n">
        <x:v>2025</x:v>
      </x:c>
      <x:c r="D1961" s="2" t="str">
        <x:v>WUP_SURFACE</x:v>
      </x:c>
      <x:c r="E1961" s="17" t="n">
        <x:v>221408162.58859697</x:v>
      </x:c>
      <x:c r="F1961" s="17" t="n">
        <x:f>IF(AND(M1961,ISNUMBER(R1961)),IF(D1961="TEMPO_PROXY",R1961,IF(AND(ISNUMBER(S1961),S1961&gt;0,ISNUMBER(U1961)),U1961*R1961/S1961,"n.a.")),"n.a.")</x:f>
        <x:v>401196737.6081757</x:v>
      </x:c>
      <x:c r="G1961" s="17" t="n">
        <x:f>IF(AND(ISNUMBER(E1961),ISNUMBER(F1961)),E1961-F1961,"n.a.")</x:f>
        <x:v>-179788575.01957873</x:v>
      </x:c>
      <x:c r="H1961" s="15" t="n">
        <x:f>IF(AND(ISNUMBER(E1961),ISNUMBER(F1961),F1961&gt;0),(E1961-F1961)/F1961,"n.a.")</x:f>
        <x:v>-0.44813070039260194</x:v>
      </x:c>
      <x:c r="I1961" s="19" t="n">
        <x:f>IF(ISNUMBER(H1961),ABS(H1961),"n.a.")</x:f>
        <x:v>0.44813070039260194</x:v>
      </x:c>
      <x:c r="J1961" s="2" t="str">
        <x:v>available</x:v>
      </x:c>
      <x:c r="K1961" s="2" t="n">
        <x:v>1</x:v>
      </x:c>
      <x:c r="L1961" s="13" t="b">
        <x:v>0</x:v>
      </x:c>
      <x:c r="M1961" s="13" t="b">
        <x:v>1</x:v>
      </x:c>
      <x:c r="N1961" s="2" t="str">
        <x:v>projected_CRISP_BU_surface</x:v>
      </x:c>
      <x:c r="O1961" s="2" t="str"/>
      <x:c r="P1961" s="2" t="str">
        <x:v>horizontal built-up surface</x:v>
      </x:c>
      <x:c r="Q1961" s="2" t="str">
        <x:v>m2</x:v>
      </x:c>
      <x:c r="R1961" s="17" t="n">
        <x:v>401196737.6081763</x:v>
      </x:c>
      <x:c r="S1961" s="17" t="n">
        <x:v>209727833.29</x:v>
      </x:c>
      <x:c r="T1961" s="18" t="n">
        <x:v>0.9999999999999986</x:v>
      </x:c>
      <x:c r="U1961" s="17" t="n">
        <x:v>209727833.2899997</x:v>
      </x:c>
      <x:c r="V1961" s="2" t="str">
        <x:v>Area equivalent = model2020 * WUP surface / TEMPO2020 footprint; km2 multiplied by1e6 once</x:v>
      </x:c>
      <x:c r="W1961" s="2" t="str">
        <x:v>L1_numeric_partition_qualified_not_national_completeness</x:v>
      </x:c>
      <x:c r="X1961" s="2" t="str">
        <x:v>https://human-settlement.emergency.copernicus.eu/datasets.php</x:v>
      </x:c>
    </x:row>
    <x:row r="1962" ht="23" customHeight="1">
      <x:c r="A1962" s="2" t="str">
        <x:v>USA</x:v>
      </x:c>
      <x:c r="B1962" s="2" t="str">
        <x:v>United States of America</x:v>
      </x:c>
      <x:c r="C1962" s="2" t="n">
        <x:v>2025</x:v>
      </x:c>
      <x:c r="D1962" s="2" t="str">
        <x:v>WUP_SURFACE</x:v>
      </x:c>
      <x:c r="E1962" s="17" t="n">
        <x:v>38833578992.37007</x:v>
      </x:c>
      <x:c r="F1962" s="17" t="n">
        <x:f>IF(AND(M1962,ISNUMBER(R1962)),IF(D1962="TEMPO_PROXY",R1962,IF(AND(ISNUMBER(S1962),S1962&gt;0,ISNUMBER(U1962)),U1962*R1962/S1962,"n.a.")),"n.a.")</x:f>
        <x:v>64908230050.294815</x:v>
      </x:c>
      <x:c r="G1962" s="17" t="n">
        <x:f>IF(AND(ISNUMBER(E1962),ISNUMBER(F1962)),E1962-F1962,"n.a.")</x:f>
        <x:v>-26074651057.924744</x:v>
      </x:c>
      <x:c r="H1962" s="15" t="n">
        <x:f>IF(AND(ISNUMBER(E1962),ISNUMBER(F1962),F1962&gt;0),(E1962-F1962)/F1962,"n.a.")</x:f>
        <x:v>-0.40171563818210004</x:v>
      </x:c>
      <x:c r="I1962" s="19" t="n">
        <x:f>IF(ISNUMBER(H1962),ABS(H1962),"n.a.")</x:f>
        <x:v>0.40171563818210004</x:v>
      </x:c>
      <x:c r="J1962" s="2" t="str">
        <x:v>available</x:v>
      </x:c>
      <x:c r="K1962" s="2" t="n">
        <x:v>1</x:v>
      </x:c>
      <x:c r="L1962" s="13" t="b">
        <x:v>0</x:v>
      </x:c>
      <x:c r="M1962" s="13" t="b">
        <x:v>1</x:v>
      </x:c>
      <x:c r="N1962" s="2" t="str">
        <x:v>projected_CRISP_BU_surface</x:v>
      </x:c>
      <x:c r="O1962" s="2" t="str"/>
      <x:c r="P1962" s="2" t="str">
        <x:v>horizontal built-up surface</x:v>
      </x:c>
      <x:c r="Q1962" s="2" t="str">
        <x:v>m2</x:v>
      </x:c>
      <x:c r="R1962" s="17" t="n">
        <x:v>64908230050.29475</x:v>
      </x:c>
      <x:c r="S1962" s="17" t="n">
        <x:v>35932980078.68</x:v>
      </x:c>
      <x:c r="T1962" s="18" t="n">
        <x:v>1.000000000000001</x:v>
      </x:c>
      <x:c r="U1962" s="17" t="n">
        <x:v>35932980078.68004</x:v>
      </x:c>
      <x:c r="V1962" s="2" t="str">
        <x:v>Area equivalent = model2020 * WUP surface / TEMPO2020 footprint; km2 multiplied by1e6 once</x:v>
      </x:c>
      <x:c r="W1962" s="2" t="str">
        <x:v>L1_numeric_partition_qualified_not_national_completeness</x:v>
      </x:c>
      <x:c r="X1962" s="2" t="str">
        <x:v>https://human-settlement.emergency.copernicus.eu/datasets.php</x:v>
      </x:c>
    </x:row>
    <x:row r="1963" ht="23" customHeight="1">
      <x:c r="A1963" s="2" t="str">
        <x:v>UZB</x:v>
      </x:c>
      <x:c r="B1963" s="2" t="str">
        <x:v>Uzbekistan (Republic of)</x:v>
      </x:c>
      <x:c r="C1963" s="2" t="n">
        <x:v>2025</x:v>
      </x:c>
      <x:c r="D1963" s="2" t="str">
        <x:v>WUP_SURFACE</x:v>
      </x:c>
      <x:c r="E1963" s="17" t="n">
        <x:v>2166140291.3146167</x:v>
      </x:c>
      <x:c r="F1963" s="17" t="n">
        <x:f>IF(AND(M1963,ISNUMBER(R1963)),IF(D1963="TEMPO_PROXY",R1963,IF(AND(ISNUMBER(S1963),S1963&gt;0,ISNUMBER(U1963)),U1963*R1963/S1963,"n.a.")),"n.a.")</x:f>
        <x:v>4098485171.3609414</x:v>
      </x:c>
      <x:c r="G1963" s="17" t="n">
        <x:f>IF(AND(ISNUMBER(E1963),ISNUMBER(F1963)),E1963-F1963,"n.a.")</x:f>
        <x:v>-1932344880.0463247</x:v>
      </x:c>
      <x:c r="H1963" s="15" t="n">
        <x:f>IF(AND(ISNUMBER(E1963),ISNUMBER(F1963),F1963&gt;0),(E1963-F1963)/F1963,"n.a.")</x:f>
        <x:v>-0.4714778263805871</x:v>
      </x:c>
      <x:c r="I1963" s="19" t="n">
        <x:f>IF(ISNUMBER(H1963),ABS(H1963),"n.a.")</x:f>
        <x:v>0.4714778263805871</x:v>
      </x:c>
      <x:c r="J1963" s="2" t="str">
        <x:v>available</x:v>
      </x:c>
      <x:c r="K1963" s="2" t="n">
        <x:v>1</x:v>
      </x:c>
      <x:c r="L1963" s="13" t="b">
        <x:v>0</x:v>
      </x:c>
      <x:c r="M1963" s="13" t="b">
        <x:v>1</x:v>
      </x:c>
      <x:c r="N1963" s="2" t="str">
        <x:v>projected_CRISP_BU_surface</x:v>
      </x:c>
      <x:c r="O1963" s="2" t="str"/>
      <x:c r="P1963" s="2" t="str">
        <x:v>horizontal built-up surface</x:v>
      </x:c>
      <x:c r="Q1963" s="2" t="str">
        <x:v>m2</x:v>
      </x:c>
      <x:c r="R1963" s="17" t="n">
        <x:v>4098485171.3609385</x:v>
      </x:c>
      <x:c r="S1963" s="17" t="n">
        <x:v>1997042653.63</x:v>
      </x:c>
      <x:c r="T1963" s="18" t="n">
        <x:v>1.0000000000000007</x:v>
      </x:c>
      <x:c r="U1963" s="17" t="n">
        <x:v>1997042653.6300015</x:v>
      </x:c>
      <x:c r="V1963" s="2" t="str">
        <x:v>Area equivalent = model2020 * WUP surface / TEMPO2020 footprint; km2 multiplied by1e6 once</x:v>
      </x:c>
      <x:c r="W1963" s="2" t="str">
        <x:v>L1_numeric_partition_qualified_not_national_completeness</x:v>
      </x:c>
      <x:c r="X1963" s="2" t="str">
        <x:v>https://human-settlement.emergency.copernicus.eu/datasets.php</x:v>
      </x:c>
    </x:row>
    <x:row r="1964" ht="23" customHeight="1">
      <x:c r="A1964" s="2" t="str">
        <x:v>VAT</x:v>
      </x:c>
      <x:c r="B1964" s="2" t="str">
        <x:v>Holy See (State of the Vatican City)</x:v>
      </x:c>
      <x:c r="C1964" s="2" t="n">
        <x:v>2025</x:v>
      </x:c>
      <x:c r="D1964" s="2" t="str">
        <x:v>WUP_SURFACE</x:v>
      </x:c>
      <x:c r="E1964" s="17" t="n">
        <x:v>319388.2798920099</x:v>
      </x:c>
      <x:c r="F1964" s="17" t="n">
        <x:f>IF(AND(M1964,ISNUMBER(R1964)),IF(D1964="TEMPO_PROXY",R1964,IF(AND(ISNUMBER(S1964),S1964&gt;0,ISNUMBER(U1964)),U1964*R1964/S1964,"n.a.")),"n.a.")</x:f>
        <x:v>486645.834523037</x:v>
      </x:c>
      <x:c r="G1964" s="17" t="n">
        <x:f>IF(AND(ISNUMBER(E1964),ISNUMBER(F1964)),E1964-F1964,"n.a.")</x:f>
        <x:v>-167257.5546310271</x:v>
      </x:c>
      <x:c r="H1964" s="15" t="n">
        <x:f>IF(AND(ISNUMBER(E1964),ISNUMBER(F1964),F1964&gt;0),(E1964-F1964)/F1964,"n.a.")</x:f>
        <x:v>-0.34369461889046415</x:v>
      </x:c>
      <x:c r="I1964" s="19" t="n">
        <x:f>IF(ISNUMBER(H1964),ABS(H1964),"n.a.")</x:f>
        <x:v>0.34369461889046415</x:v>
      </x:c>
      <x:c r="J1964" s="2" t="str">
        <x:v>available</x:v>
      </x:c>
      <x:c r="K1964" s="2" t="n">
        <x:v>1</x:v>
      </x:c>
      <x:c r="L1964" s="13" t="b">
        <x:v>0</x:v>
      </x:c>
      <x:c r="M1964" s="13" t="b">
        <x:v>1</x:v>
      </x:c>
      <x:c r="N1964" s="2" t="str">
        <x:v>projected_CRISP_BU_surface</x:v>
      </x:c>
      <x:c r="O1964" s="2" t="str"/>
      <x:c r="P1964" s="2" t="str">
        <x:v>horizontal built-up surface</x:v>
      </x:c>
      <x:c r="Q1964" s="2" t="str">
        <x:v>m2</x:v>
      </x:c>
      <x:c r="R1964" s="17" t="n">
        <x:v>180179.5065402984</x:v>
      </x:c>
      <x:c r="S1964" s="17" t="n">
        <x:v>118080.97</x:v>
      </x:c>
      <x:c r="T1964" s="18" t="n">
        <x:v>2.700894479440675</x:v>
      </x:c>
      <x:c r="U1964" s="17" t="n">
        <x:v>318924.24</x:v>
      </x:c>
      <x:c r="V1964" s="2" t="str">
        <x:v>Area equivalent = model2020 * WUP surface / TEMPO2020 footprint; km2 multiplied by1e6 once</x:v>
      </x:c>
      <x:c r="W1964" s="2" t="str">
        <x:v>L1_numeric_partition_qualified_not_national_completeness</x:v>
      </x:c>
      <x:c r="X1964" s="2" t="str">
        <x:v>https://human-settlement.emergency.copernicus.eu/datasets.php</x:v>
      </x:c>
    </x:row>
    <x:row r="1965" ht="23" customHeight="1">
      <x:c r="A1965" s="2" t="str">
        <x:v>VCT</x:v>
      </x:c>
      <x:c r="B1965" s="2" t="str">
        <x:v>Saint Vincent and the Grenadines</x:v>
      </x:c>
      <x:c r="C1965" s="2" t="n">
        <x:v>2025</x:v>
      </x:c>
      <x:c r="D1965" s="2" t="str">
        <x:v>WUP_SURFACE</x:v>
      </x:c>
      <x:c r="E1965" s="17" t="n">
        <x:v>6274379.9217756055</x:v>
      </x:c>
      <x:c r="F1965" s="17" t="n">
        <x:f>IF(AND(M1965,ISNUMBER(R1965)),IF(D1965="TEMPO_PROXY",R1965,IF(AND(ISNUMBER(S1965),S1965&gt;0,ISNUMBER(U1965)),U1965*R1965/S1965,"n.a.")),"n.a.")</x:f>
        <x:v>10479256.796688676</x:v>
      </x:c>
      <x:c r="G1965" s="17" t="n">
        <x:f>IF(AND(ISNUMBER(E1965),ISNUMBER(F1965)),E1965-F1965,"n.a.")</x:f>
        <x:v>-4204876.87491307</x:v>
      </x:c>
      <x:c r="H1965" s="15" t="n">
        <x:f>IF(AND(ISNUMBER(E1965),ISNUMBER(F1965),F1965&gt;0),(E1965-F1965)/F1965,"n.a.")</x:f>
        <x:v>-0.40125716513042825</x:v>
      </x:c>
      <x:c r="I1965" s="19" t="n">
        <x:f>IF(ISNUMBER(H1965),ABS(H1965),"n.a.")</x:f>
        <x:v>0.40125716513042825</x:v>
      </x:c>
      <x:c r="J1965" s="2" t="str">
        <x:v>available</x:v>
      </x:c>
      <x:c r="K1965" s="2" t="n">
        <x:v>1</x:v>
      </x:c>
      <x:c r="L1965" s="13" t="b">
        <x:v>0</x:v>
      </x:c>
      <x:c r="M1965" s="13" t="b">
        <x:v>1</x:v>
      </x:c>
      <x:c r="N1965" s="2" t="str">
        <x:v>projected_CRISP_BU_surface</x:v>
      </x:c>
      <x:c r="O1965" s="2" t="str"/>
      <x:c r="P1965" s="2" t="str">
        <x:v>horizontal built-up surface</x:v>
      </x:c>
      <x:c r="Q1965" s="2" t="str">
        <x:v>m2</x:v>
      </x:c>
      <x:c r="R1965" s="17" t="n">
        <x:v>10479256.796688674</x:v>
      </x:c>
      <x:c r="S1965" s="17" t="n">
        <x:v>6194383.57</x:v>
      </x:c>
      <x:c r="T1965" s="18" t="n">
        <x:v>1.0000000000000002</x:v>
      </x:c>
      <x:c r="U1965" s="17" t="n">
        <x:v>6194383.570000002</x:v>
      </x:c>
      <x:c r="V1965" s="2" t="str">
        <x:v>Area equivalent = model2020 * WUP surface / TEMPO2020 footprint; km2 multiplied by1e6 once</x:v>
      </x:c>
      <x:c r="W1965" s="2" t="str">
        <x:v>L1_numeric_partition_qualified_not_national_completeness</x:v>
      </x:c>
      <x:c r="X1965" s="2" t="str">
        <x:v>https://human-settlement.emergency.copernicus.eu/datasets.php</x:v>
      </x:c>
    </x:row>
    <x:row r="1966" ht="23" customHeight="1">
      <x:c r="A1966" s="2" t="str">
        <x:v>VEN</x:v>
      </x:c>
      <x:c r="B1966" s="2" t="str">
        <x:v>Venezuela (Bolivarian Republic of)</x:v>
      </x:c>
      <x:c r="C1966" s="2" t="n">
        <x:v>2025</x:v>
      </x:c>
      <x:c r="D1966" s="2" t="str">
        <x:v>WUP_SURFACE</x:v>
      </x:c>
      <x:c r="E1966" s="17" t="n">
        <x:v>1300627258.4724984</x:v>
      </x:c>
      <x:c r="F1966" s="17" t="n">
        <x:f>IF(AND(M1966,ISNUMBER(R1966)),IF(D1966="TEMPO_PROXY",R1966,IF(AND(ISNUMBER(S1966),S1966&gt;0,ISNUMBER(U1966)),U1966*R1966/S1966,"n.a.")),"n.a.")</x:f>
        <x:v>1665619920.6373425</x:v>
      </x:c>
      <x:c r="G1966" s="17" t="n">
        <x:f>IF(AND(ISNUMBER(E1966),ISNUMBER(F1966)),E1966-F1966,"n.a.")</x:f>
        <x:v>-364992662.16484404</x:v>
      </x:c>
      <x:c r="H1966" s="15" t="n">
        <x:f>IF(AND(ISNUMBER(E1966),ISNUMBER(F1966),F1966&gt;0),(E1966-F1966)/F1966,"n.a.")</x:f>
        <x:v>-0.21913322339779723</x:v>
      </x:c>
      <x:c r="I1966" s="19" t="n">
        <x:f>IF(ISNUMBER(H1966),ABS(H1966),"n.a.")</x:f>
        <x:v>0.21913322339779723</x:v>
      </x:c>
      <x:c r="J1966" s="2" t="str">
        <x:v>available</x:v>
      </x:c>
      <x:c r="K1966" s="2" t="n">
        <x:v>1</x:v>
      </x:c>
      <x:c r="L1966" s="13" t="b">
        <x:v>0</x:v>
      </x:c>
      <x:c r="M1966" s="13" t="b">
        <x:v>1</x:v>
      </x:c>
      <x:c r="N1966" s="2" t="str">
        <x:v>projected_CRISP_BU_surface</x:v>
      </x:c>
      <x:c r="O1966" s="2" t="str"/>
      <x:c r="P1966" s="2" t="str">
        <x:v>horizontal built-up surface</x:v>
      </x:c>
      <x:c r="Q1966" s="2" t="str">
        <x:v>m2</x:v>
      </x:c>
      <x:c r="R1966" s="17" t="n">
        <x:v>1665619920.6373403</x:v>
      </x:c>
      <x:c r="S1966" s="17" t="n">
        <x:v>1159546607.65</x:v>
      </x:c>
      <x:c r="T1966" s="18" t="n">
        <x:v>1.0000000000000013</x:v>
      </x:c>
      <x:c r="U1966" s="17" t="n">
        <x:v>1159546607.6500015</x:v>
      </x:c>
      <x:c r="V1966" s="2" t="str">
        <x:v>Area equivalent = model2020 * WUP surface / TEMPO2020 footprint; km2 multiplied by1e6 once</x:v>
      </x:c>
      <x:c r="W1966" s="2" t="str">
        <x:v>L1_numeric_partition_qualified_not_national_completeness</x:v>
      </x:c>
      <x:c r="X1966" s="2" t="str">
        <x:v>https://human-settlement.emergency.copernicus.eu/datasets.php</x:v>
      </x:c>
    </x:row>
    <x:row r="1967" ht="23" customHeight="1">
      <x:c r="A1967" s="2" t="str">
        <x:v>VNM</x:v>
      </x:c>
      <x:c r="B1967" s="2" t="str">
        <x:v>Viet Nam (Socialist Republic of)</x:v>
      </x:c>
      <x:c r="C1967" s="2" t="n">
        <x:v>2025</x:v>
      </x:c>
      <x:c r="D1967" s="2" t="str">
        <x:v>WUP_SURFACE</x:v>
      </x:c>
      <x:c r="E1967" s="17" t="n">
        <x:v>5415885197.444545</x:v>
      </x:c>
      <x:c r="F1967" s="17" t="n">
        <x:f>IF(AND(M1967,ISNUMBER(R1967)),IF(D1967="TEMPO_PROXY",R1967,IF(AND(ISNUMBER(S1967),S1967&gt;0,ISNUMBER(U1967)),U1967*R1967/S1967,"n.a.")),"n.a.")</x:f>
        <x:v>5745322529.256076</x:v>
      </x:c>
      <x:c r="G1967" s="17" t="n">
        <x:f>IF(AND(ISNUMBER(E1967),ISNUMBER(F1967)),E1967-F1967,"n.a.")</x:f>
        <x:v>-329437331.81153107</x:v>
      </x:c>
      <x:c r="H1967" s="15" t="n">
        <x:f>IF(AND(ISNUMBER(E1967),ISNUMBER(F1967),F1967&gt;0),(E1967-F1967)/F1967,"n.a.")</x:f>
        <x:v>-0.057340093638605136</x:v>
      </x:c>
      <x:c r="I1967" s="19" t="n">
        <x:f>IF(ISNUMBER(H1967),ABS(H1967),"n.a.")</x:f>
        <x:v>0.057340093638605136</x:v>
      </x:c>
      <x:c r="J1967" s="2" t="str">
        <x:v>available</x:v>
      </x:c>
      <x:c r="K1967" s="2" t="n">
        <x:v>1</x:v>
      </x:c>
      <x:c r="L1967" s="13" t="b">
        <x:v>0</x:v>
      </x:c>
      <x:c r="M1967" s="13" t="b">
        <x:v>1</x:v>
      </x:c>
      <x:c r="N1967" s="2" t="str">
        <x:v>projected_CRISP_BU_surface</x:v>
      </x:c>
      <x:c r="O1967" s="2" t="str"/>
      <x:c r="P1967" s="2" t="str">
        <x:v>horizontal built-up surface</x:v>
      </x:c>
      <x:c r="Q1967" s="2" t="str">
        <x:v>m2</x:v>
      </x:c>
      <x:c r="R1967" s="17" t="n">
        <x:v>5643034434.70689</x:v>
      </x:c>
      <x:c r="S1967" s="17" t="n">
        <x:v>4775308196.86</x:v>
      </x:c>
      <x:c r="T1967" s="18" t="n">
        <x:v>1.0181264345863414</x:v>
      </x:c>
      <x:c r="U1967" s="17" t="n">
        <x:v>4861867508.520002</x:v>
      </x:c>
      <x:c r="V1967" s="2" t="str">
        <x:v>Area equivalent = model2020 * WUP surface / TEMPO2020 footprint; km2 multiplied by1e6 once</x:v>
      </x:c>
      <x:c r="W1967" s="2" t="str">
        <x:v>L1_numeric_partition_qualified_not_national_completeness</x:v>
      </x:c>
      <x:c r="X1967" s="2" t="str">
        <x:v>https://human-settlement.emergency.copernicus.eu/datasets.php</x:v>
      </x:c>
    </x:row>
    <x:row r="1968" ht="23" customHeight="1">
      <x:c r="A1968" s="2" t="str">
        <x:v>VUT</x:v>
      </x:c>
      <x:c r="B1968" s="2" t="str">
        <x:v>Vanuatu (Republic of)</x:v>
      </x:c>
      <x:c r="C1968" s="2" t="n">
        <x:v>2025</x:v>
      </x:c>
      <x:c r="D1968" s="2" t="str">
        <x:v>WUP_SURFACE</x:v>
      </x:c>
      <x:c r="E1968" s="17" t="n">
        <x:v>9717517.389934428</x:v>
      </x:c>
      <x:c r="F1968" s="17" t="n">
        <x:f>IF(AND(M1968,ISNUMBER(R1968)),IF(D1968="TEMPO_PROXY",R1968,IF(AND(ISNUMBER(S1968),S1968&gt;0,ISNUMBER(U1968)),U1968*R1968/S1968,"n.a.")),"n.a.")</x:f>
        <x:v>16238299.099332616</x:v>
      </x:c>
      <x:c r="G1968" s="17" t="n">
        <x:f>IF(AND(ISNUMBER(E1968),ISNUMBER(F1968)),E1968-F1968,"n.a.")</x:f>
        <x:v>-6520781.709398188</x:v>
      </x:c>
      <x:c r="H1968" s="15" t="n">
        <x:f>IF(AND(ISNUMBER(E1968),ISNUMBER(F1968),F1968&gt;0),(E1968-F1968)/F1968,"n.a.")</x:f>
        <x:v>-0.40156802566016214</x:v>
      </x:c>
      <x:c r="I1968" s="19" t="n">
        <x:f>IF(ISNUMBER(H1968),ABS(H1968),"n.a.")</x:f>
        <x:v>0.40156802566016214</x:v>
      </x:c>
      <x:c r="J1968" s="2" t="str">
        <x:v>available</x:v>
      </x:c>
      <x:c r="K1968" s="2" t="n">
        <x:v>1</x:v>
      </x:c>
      <x:c r="L1968" s="13" t="b">
        <x:v>0</x:v>
      </x:c>
      <x:c r="M1968" s="13" t="b">
        <x:v>1</x:v>
      </x:c>
      <x:c r="N1968" s="2" t="str">
        <x:v>projected_CRISP_BU_surface</x:v>
      </x:c>
      <x:c r="O1968" s="2" t="str"/>
      <x:c r="P1968" s="2" t="str">
        <x:v>horizontal built-up surface</x:v>
      </x:c>
      <x:c r="Q1968" s="2" t="str">
        <x:v>m2</x:v>
      </x:c>
      <x:c r="R1968" s="17" t="n">
        <x:v>16238299.099332608</x:v>
      </x:c>
      <x:c r="S1968" s="17" t="n">
        <x:v>8193524.7</x:v>
      </x:c>
      <x:c r="T1968" s="18" t="n">
        <x:v>1.0000000000000004</x:v>
      </x:c>
      <x:c r="U1968" s="17" t="n">
        <x:v>8193524.700000004</x:v>
      </x:c>
      <x:c r="V1968" s="2" t="str">
        <x:v>Area equivalent = model2020 * WUP surface / TEMPO2020 footprint; km2 multiplied by1e6 once</x:v>
      </x:c>
      <x:c r="W1968" s="2" t="str">
        <x:v>L1_numeric_partition_qualified_not_national_completeness</x:v>
      </x:c>
      <x:c r="X1968" s="2" t="str">
        <x:v>https://human-settlement.emergency.copernicus.eu/datasets.php</x:v>
      </x:c>
    </x:row>
    <x:row r="1969" ht="23" customHeight="1">
      <x:c r="A1969" s="2" t="str">
        <x:v>WSM</x:v>
      </x:c>
      <x:c r="B1969" s="2" t="str">
        <x:v>Samoa (Independent State of)</x:v>
      </x:c>
      <x:c r="C1969" s="2" t="n">
        <x:v>2025</x:v>
      </x:c>
      <x:c r="D1969" s="2" t="str">
        <x:v>WUP_SURFACE</x:v>
      </x:c>
      <x:c r="E1969" s="17" t="n">
        <x:v>8846425.419849334</x:v>
      </x:c>
      <x:c r="F1969" s="17" t="n">
        <x:f>IF(AND(M1969,ISNUMBER(R1969)),IF(D1969="TEMPO_PROXY",R1969,IF(AND(ISNUMBER(S1969),S1969&gt;0,ISNUMBER(U1969)),U1969*R1969/S1969,"n.a.")),"n.a.")</x:f>
        <x:v>17135921.98645904</x:v>
      </x:c>
      <x:c r="G1969" s="17" t="n">
        <x:f>IF(AND(ISNUMBER(E1969),ISNUMBER(F1969)),E1969-F1969,"n.a.")</x:f>
        <x:v>-8289496.566609705</x:v>
      </x:c>
      <x:c r="H1969" s="15" t="n">
        <x:f>IF(AND(ISNUMBER(E1969),ISNUMBER(F1969),F1969&gt;0),(E1969-F1969)/F1969,"n.a.")</x:f>
        <x:v>-0.4837496676957412</x:v>
      </x:c>
      <x:c r="I1969" s="19" t="n">
        <x:f>IF(ISNUMBER(H1969),ABS(H1969),"n.a.")</x:f>
        <x:v>0.4837496676957412</x:v>
      </x:c>
      <x:c r="J1969" s="2" t="str">
        <x:v>available</x:v>
      </x:c>
      <x:c r="K1969" s="2" t="n">
        <x:v>1</x:v>
      </x:c>
      <x:c r="L1969" s="13" t="b">
        <x:v>0</x:v>
      </x:c>
      <x:c r="M1969" s="13" t="b">
        <x:v>1</x:v>
      </x:c>
      <x:c r="N1969" s="2" t="str">
        <x:v>projected_CRISP_BU_surface</x:v>
      </x:c>
      <x:c r="O1969" s="2" t="str"/>
      <x:c r="P1969" s="2" t="str">
        <x:v>horizontal built-up surface</x:v>
      </x:c>
      <x:c r="Q1969" s="2" t="str">
        <x:v>m2</x:v>
      </x:c>
      <x:c r="R1969" s="17" t="n">
        <x:v>17135921.98645904</x:v>
      </x:c>
      <x:c r="S1969" s="17" t="n">
        <x:v>8105266</x:v>
      </x:c>
      <x:c r="T1969" s="18" t="n">
        <x:v>1.0000000000000002</x:v>
      </x:c>
      <x:c r="U1969" s="17" t="n">
        <x:v>8105266.000000001</x:v>
      </x:c>
      <x:c r="V1969" s="2" t="str">
        <x:v>Area equivalent = model2020 * WUP surface / TEMPO2020 footprint; km2 multiplied by1e6 once</x:v>
      </x:c>
      <x:c r="W1969" s="2" t="str">
        <x:v>L1_numeric_partition_qualified_not_national_completeness</x:v>
      </x:c>
      <x:c r="X1969" s="2" t="str">
        <x:v>https://human-settlement.emergency.copernicus.eu/datasets.php</x:v>
      </x:c>
    </x:row>
    <x:row r="1970" ht="23" customHeight="1">
      <x:c r="A1970" s="2" t="str">
        <x:v>YEM</x:v>
      </x:c>
      <x:c r="B1970" s="2" t="str">
        <x:v>Yemen (Republic of)</x:v>
      </x:c>
      <x:c r="C1970" s="2" t="n">
        <x:v>2025</x:v>
      </x:c>
      <x:c r="D1970" s="2" t="str">
        <x:v>WUP_SURFACE</x:v>
      </x:c>
      <x:c r="E1970" s="17" t="n">
        <x:v>620548973.3338083</x:v>
      </x:c>
      <x:c r="F1970" s="17" t="n">
        <x:f>IF(AND(M1970,ISNUMBER(R1970)),IF(D1970="TEMPO_PROXY",R1970,IF(AND(ISNUMBER(S1970),S1970&gt;0,ISNUMBER(U1970)),U1970*R1970/S1970,"n.a.")),"n.a.")</x:f>
        <x:v>356115805.9169645</x:v>
      </x:c>
      <x:c r="G1970" s="17" t="n">
        <x:f>IF(AND(ISNUMBER(E1970),ISNUMBER(F1970)),E1970-F1970,"n.a.")</x:f>
        <x:v>264433167.41684383</x:v>
      </x:c>
      <x:c r="H1970" s="15" t="n">
        <x:f>IF(AND(ISNUMBER(E1970),ISNUMBER(F1970),F1970&gt;0),(E1970-F1970)/F1970,"n.a.")</x:f>
        <x:v>0.742548247011821</x:v>
      </x:c>
      <x:c r="I1970" s="19" t="n">
        <x:f>IF(ISNUMBER(H1970),ABS(H1970),"n.a.")</x:f>
        <x:v>0.742548247011821</x:v>
      </x:c>
      <x:c r="J1970" s="2" t="str">
        <x:v>available</x:v>
      </x:c>
      <x:c r="K1970" s="2" t="n">
        <x:v>1</x:v>
      </x:c>
      <x:c r="L1970" s="13" t="b">
        <x:v>0</x:v>
      </x:c>
      <x:c r="M1970" s="13" t="b">
        <x:v>1</x:v>
      </x:c>
      <x:c r="N1970" s="2" t="str">
        <x:v>projected_CRISP_BU_surface</x:v>
      </x:c>
      <x:c r="O1970" s="2" t="str"/>
      <x:c r="P1970" s="2" t="str">
        <x:v>horizontal built-up surface</x:v>
      </x:c>
      <x:c r="Q1970" s="2" t="str">
        <x:v>m2</x:v>
      </x:c>
      <x:c r="R1970" s="17" t="n">
        <x:v>356115805.91696507</x:v>
      </x:c>
      <x:c r="S1970" s="17" t="n">
        <x:v>454480387.69</x:v>
      </x:c>
      <x:c r="T1970" s="18" t="n">
        <x:v>0.9999999999999984</x:v>
      </x:c>
      <x:c r="U1970" s="17" t="n">
        <x:v>454480387.6899993</x:v>
      </x:c>
      <x:c r="V1970" s="2" t="str">
        <x:v>Area equivalent = model2020 * WUP surface / TEMPO2020 footprint; km2 multiplied by1e6 once</x:v>
      </x:c>
      <x:c r="W1970" s="2" t="str">
        <x:v>L1_numeric_partition_qualified_not_national_completeness</x:v>
      </x:c>
      <x:c r="X1970" s="2" t="str">
        <x:v>https://human-settlement.emergency.copernicus.eu/datasets.php</x:v>
      </x:c>
    </x:row>
    <x:row r="1971" ht="23" customHeight="1">
      <x:c r="A1971" s="2" t="str">
        <x:v>ZAF</x:v>
      </x:c>
      <x:c r="B1971" s="2" t="str">
        <x:v>South Africa (Republic of)</x:v>
      </x:c>
      <x:c r="C1971" s="2" t="n">
        <x:v>2025</x:v>
      </x:c>
      <x:c r="D1971" s="2" t="str">
        <x:v>WUP_SURFACE</x:v>
      </x:c>
      <x:c r="E1971" s="17" t="n">
        <x:v>2943758146.5936575</x:v>
      </x:c>
      <x:c r="F1971" s="17" t="n">
        <x:f>IF(AND(M1971,ISNUMBER(R1971)),IF(D1971="TEMPO_PROXY",R1971,IF(AND(ISNUMBER(S1971),S1971&gt;0,ISNUMBER(U1971)),U1971*R1971/S1971,"n.a.")),"n.a.")</x:f>
        <x:v>6861990537.765757</x:v>
      </x:c>
      <x:c r="G1971" s="17" t="n">
        <x:f>IF(AND(ISNUMBER(E1971),ISNUMBER(F1971)),E1971-F1971,"n.a.")</x:f>
        <x:v>-3918232391.172099</x:v>
      </x:c>
      <x:c r="H1971" s="15" t="n">
        <x:f>IF(AND(ISNUMBER(E1971),ISNUMBER(F1971),F1971&gt;0),(E1971-F1971)/F1971,"n.a.")</x:f>
        <x:v>-0.5710052162863902</x:v>
      </x:c>
      <x:c r="I1971" s="19" t="n">
        <x:f>IF(ISNUMBER(H1971),ABS(H1971),"n.a.")</x:f>
        <x:v>0.5710052162863902</x:v>
      </x:c>
      <x:c r="J1971" s="2" t="str">
        <x:v>available</x:v>
      </x:c>
      <x:c r="K1971" s="2" t="n">
        <x:v>1</x:v>
      </x:c>
      <x:c r="L1971" s="13" t="b">
        <x:v>0</x:v>
      </x:c>
      <x:c r="M1971" s="13" t="b">
        <x:v>1</x:v>
      </x:c>
      <x:c r="N1971" s="2" t="str">
        <x:v>projected_CRISP_BU_surface</x:v>
      </x:c>
      <x:c r="O1971" s="2" t="str"/>
      <x:c r="P1971" s="2" t="str">
        <x:v>horizontal built-up surface</x:v>
      </x:c>
      <x:c r="Q1971" s="2" t="str">
        <x:v>m2</x:v>
      </x:c>
      <x:c r="R1971" s="17" t="n">
        <x:v>6861990537.765767</x:v>
      </x:c>
      <x:c r="S1971" s="17" t="n">
        <x:v>2711325840.61</x:v>
      </x:c>
      <x:c r="T1971" s="18" t="n">
        <x:v>0.9999999999999986</x:v>
      </x:c>
      <x:c r="U1971" s="17" t="n">
        <x:v>2711325840.6099963</x:v>
      </x:c>
      <x:c r="V1971" s="2" t="str">
        <x:v>Area equivalent = model2020 * WUP surface / TEMPO2020 footprint; km2 multiplied by1e6 once</x:v>
      </x:c>
      <x:c r="W1971" s="2" t="str">
        <x:v>L1_numeric_partition_qualified_not_national_completeness</x:v>
      </x:c>
      <x:c r="X1971" s="2" t="str">
        <x:v>https://human-settlement.emergency.copernicus.eu/datasets.php</x:v>
      </x:c>
    </x:row>
    <x:row r="1972" ht="23" customHeight="1">
      <x:c r="A1972" s="2" t="str">
        <x:v>ZMB</x:v>
      </x:c>
      <x:c r="B1972" s="2" t="str">
        <x:v>Zambia (Republic of)</x:v>
      </x:c>
      <x:c r="C1972" s="2" t="n">
        <x:v>2025</x:v>
      </x:c>
      <x:c r="D1972" s="2" t="str">
        <x:v>WUP_SURFACE</x:v>
      </x:c>
      <x:c r="E1972" s="17" t="n">
        <x:v>458232378.84578764</x:v>
      </x:c>
      <x:c r="F1972" s="17" t="n">
        <x:f>IF(AND(M1972,ISNUMBER(R1972)),IF(D1972="TEMPO_PROXY",R1972,IF(AND(ISNUMBER(S1972),S1972&gt;0,ISNUMBER(U1972)),U1972*R1972/S1972,"n.a.")),"n.a.")</x:f>
        <x:v>1577936898.5103</x:v>
      </x:c>
      <x:c r="G1972" s="17" t="n">
        <x:f>IF(AND(ISNUMBER(E1972),ISNUMBER(F1972)),E1972-F1972,"n.a.")</x:f>
        <x:v>-1119704519.6645122</x:v>
      </x:c>
      <x:c r="H1972" s="15" t="n">
        <x:f>IF(AND(ISNUMBER(E1972),ISNUMBER(F1972),F1972&gt;0),(E1972-F1972)/F1972,"n.a.")</x:f>
        <x:v>-0.709600314639707</x:v>
      </x:c>
      <x:c r="I1972" s="19" t="n">
        <x:f>IF(ISNUMBER(H1972),ABS(H1972),"n.a.")</x:f>
        <x:v>0.709600314639707</x:v>
      </x:c>
      <x:c r="J1972" s="2" t="str">
        <x:v>available</x:v>
      </x:c>
      <x:c r="K1972" s="2" t="n">
        <x:v>1</x:v>
      </x:c>
      <x:c r="L1972" s="13" t="b">
        <x:v>0</x:v>
      </x:c>
      <x:c r="M1972" s="13" t="b">
        <x:v>1</x:v>
      </x:c>
      <x:c r="N1972" s="2" t="str">
        <x:v>projected_CRISP_BU_surface</x:v>
      </x:c>
      <x:c r="O1972" s="2" t="str"/>
      <x:c r="P1972" s="2" t="str">
        <x:v>horizontal built-up surface</x:v>
      </x:c>
      <x:c r="Q1972" s="2" t="str">
        <x:v>m2</x:v>
      </x:c>
      <x:c r="R1972" s="17" t="n">
        <x:v>1577936898.5103009</x:v>
      </x:c>
      <x:c r="S1972" s="17" t="n">
        <x:v>396696842.5</x:v>
      </x:c>
      <x:c r="T1972" s="18" t="n">
        <x:v>0.9999999999999994</x:v>
      </x:c>
      <x:c r="U1972" s="17" t="n">
        <x:v>396696842.49999976</x:v>
      </x:c>
      <x:c r="V1972" s="2" t="str">
        <x:v>Area equivalent = model2020 * WUP surface / TEMPO2020 footprint; km2 multiplied by1e6 once</x:v>
      </x:c>
      <x:c r="W1972" s="2" t="str">
        <x:v>L1_numeric_partition_qualified_not_national_completeness</x:v>
      </x:c>
      <x:c r="X1972" s="2" t="str">
        <x:v>https://human-settlement.emergency.copernicus.eu/datasets.php</x:v>
      </x:c>
    </x:row>
    <x:row r="1973" ht="23" customHeight="1">
      <x:c r="A1973" s="2" t="str">
        <x:v>ZWE</x:v>
      </x:c>
      <x:c r="B1973" s="2" t="str">
        <x:v>Zimbabwe (Republic of)</x:v>
      </x:c>
      <x:c r="C1973" s="2" t="n">
        <x:v>2025</x:v>
      </x:c>
      <x:c r="D1973" s="2" t="str">
        <x:v>WUP_SURFACE</x:v>
      </x:c>
      <x:c r="E1973" s="17" t="n">
        <x:v>470361022.41862625</x:v>
      </x:c>
      <x:c r="F1973" s="17" t="n">
        <x:f>IF(AND(M1973,ISNUMBER(R1973)),IF(D1973="TEMPO_PROXY",R1973,IF(AND(ISNUMBER(S1973),S1973&gt;0,ISNUMBER(U1973)),U1973*R1973/S1973,"n.a.")),"n.a.")</x:f>
        <x:v>1477887800.4782422</x:v>
      </x:c>
      <x:c r="G1973" s="17" t="n">
        <x:f>IF(AND(ISNUMBER(E1973),ISNUMBER(F1973)),E1973-F1973,"n.a.")</x:f>
        <x:v>-1007526778.0596159</x:v>
      </x:c>
      <x:c r="H1973" s="15" t="n">
        <x:f>IF(AND(ISNUMBER(E1973),ISNUMBER(F1973),F1973&gt;0),(E1973-F1973)/F1973,"n.a.")</x:f>
        <x:v>-0.6817342816779337</x:v>
      </x:c>
      <x:c r="I1973" s="19" t="n">
        <x:f>IF(ISNUMBER(H1973),ABS(H1973),"n.a.")</x:f>
        <x:v>0.6817342816779337</x:v>
      </x:c>
      <x:c r="J1973" s="2" t="str">
        <x:v>available</x:v>
      </x:c>
      <x:c r="K1973" s="2" t="n">
        <x:v>1</x:v>
      </x:c>
      <x:c r="L1973" s="13" t="b">
        <x:v>0</x:v>
      </x:c>
      <x:c r="M1973" s="13" t="b">
        <x:v>1</x:v>
      </x:c>
      <x:c r="N1973" s="2" t="str">
        <x:v>projected_CRISP_BU_surface</x:v>
      </x:c>
      <x:c r="O1973" s="2" t="str"/>
      <x:c r="P1973" s="2" t="str">
        <x:v>horizontal built-up surface</x:v>
      </x:c>
      <x:c r="Q1973" s="2" t="str">
        <x:v>m2</x:v>
      </x:c>
      <x:c r="R1973" s="17" t="n">
        <x:v>1477887800.4782436</x:v>
      </x:c>
      <x:c r="S1973" s="17" t="n">
        <x:v>420425813.98</x:v>
      </x:c>
      <x:c r="T1973" s="18" t="n">
        <x:v>0.999999999999999</x:v>
      </x:c>
      <x:c r="U1973" s="17" t="n">
        <x:v>420425813.9799996</x:v>
      </x:c>
      <x:c r="V1973" s="2" t="str">
        <x:v>Area equivalent = model2020 * WUP surface / TEMPO2020 footprint; km2 multiplied by1e6 once</x:v>
      </x:c>
      <x:c r="W1973" s="2" t="str">
        <x:v>L1_numeric_partition_qualified_not_national_completeness</x:v>
      </x:c>
      <x:c r="X1973" s="2" t="str">
        <x:v>https://human-settlement.emergency.copernicus.eu/datasets.php</x:v>
      </x:c>
    </x:row>
    <x:row r="1974" ht="23" customHeight="1">
      <x:c r="A1974" s="2" t="str">
        <x:v>AFG</x:v>
      </x:c>
      <x:c r="B1974" s="2" t="str">
        <x:v>Afghanistan (Islamic Republic of)</x:v>
      </x:c>
      <x:c r="C1974" s="2" t="n">
        <x:v>2030</x:v>
      </x:c>
      <x:c r="D1974" s="2" t="str">
        <x:v>WUP_SURFACE</x:v>
      </x:c>
      <x:c r="E1974" s="17" t="n">
        <x:v>1325935936.2895105</x:v>
      </x:c>
      <x:c r="F1974" s="17" t="n">
        <x:f>IF(AND(M1974,ISNUMBER(R1974)),IF(D1974="TEMPO_PROXY",R1974,IF(AND(ISNUMBER(S1974),S1974&gt;0,ISNUMBER(U1974)),U1974*R1974/S1974,"n.a.")),"n.a.")</x:f>
        <x:v>928870447.6190093</x:v>
      </x:c>
      <x:c r="G1974" s="17" t="n">
        <x:f>IF(AND(ISNUMBER(E1974),ISNUMBER(F1974)),E1974-F1974,"n.a.")</x:f>
        <x:v>397065488.67050123</x:v>
      </x:c>
      <x:c r="H1974" s="15" t="n">
        <x:f>IF(AND(ISNUMBER(E1974),ISNUMBER(F1974),F1974&gt;0),(E1974-F1974)/F1974,"n.a.")</x:f>
        <x:v>0.4274713332610662</x:v>
      </x:c>
      <x:c r="I1974" s="19" t="n">
        <x:f>IF(ISNUMBER(H1974),ABS(H1974),"n.a.")</x:f>
        <x:v>0.4274713332610662</x:v>
      </x:c>
      <x:c r="J1974" s="2" t="str">
        <x:v>available</x:v>
      </x:c>
      <x:c r="K1974" s="2" t="n">
        <x:v>1</x:v>
      </x:c>
      <x:c r="L1974" s="13" t="b">
        <x:v>0</x:v>
      </x:c>
      <x:c r="M1974" s="13" t="b">
        <x:v>1</x:v>
      </x:c>
      <x:c r="N1974" s="2" t="str">
        <x:v>projected_CRISP_BU_surface</x:v>
      </x:c>
      <x:c r="O1974" s="2" t="str"/>
      <x:c r="P1974" s="2" t="str">
        <x:v>horizontal built-up surface</x:v>
      </x:c>
      <x:c r="Q1974" s="2" t="str">
        <x:v>m2</x:v>
      </x:c>
      <x:c r="R1974" s="17" t="n">
        <x:v>928870447.6190085</x:v>
      </x:c>
      <x:c r="S1974" s="17" t="n">
        <x:v>853208432.45</x:v>
      </x:c>
      <x:c r="T1974" s="18" t="n">
        <x:v>1.0000000000000009</x:v>
      </x:c>
      <x:c r="U1974" s="17" t="n">
        <x:v>853208432.4500008</x:v>
      </x:c>
      <x:c r="V1974" s="2" t="str">
        <x:v>Area equivalent = model2020 * WUP surface / TEMPO2020 footprint; km2 multiplied by1e6 once</x:v>
      </x:c>
      <x:c r="W1974" s="2" t="str">
        <x:v>L1_numeric_partition_qualified_not_national_completeness</x:v>
      </x:c>
      <x:c r="X1974" s="2" t="str">
        <x:v>https://human-settlement.emergency.copernicus.eu/datasets.php</x:v>
      </x:c>
    </x:row>
    <x:row r="1975" ht="23" customHeight="1">
      <x:c r="A1975" s="2" t="str">
        <x:v>AGO</x:v>
      </x:c>
      <x:c r="B1975" s="2" t="str">
        <x:v>Angola (Republic of)</x:v>
      </x:c>
      <x:c r="C1975" s="2" t="n">
        <x:v>2030</x:v>
      </x:c>
      <x:c r="D1975" s="2" t="str">
        <x:v>WUP_SURFACE</x:v>
      </x:c>
      <x:c r="E1975" s="17" t="n">
        <x:v>726645761.4887787</x:v>
      </x:c>
      <x:c r="F1975" s="17" t="n">
        <x:f>IF(AND(M1975,ISNUMBER(R1975)),IF(D1975="TEMPO_PROXY",R1975,IF(AND(ISNUMBER(S1975),S1975&gt;0,ISNUMBER(U1975)),U1975*R1975/S1975,"n.a.")),"n.a.")</x:f>
        <x:v>1822207294.5511646</x:v>
      </x:c>
      <x:c r="G1975" s="17" t="n">
        <x:f>IF(AND(ISNUMBER(E1975),ISNUMBER(F1975)),E1975-F1975,"n.a.")</x:f>
        <x:v>-1095561533.062386</x:v>
      </x:c>
      <x:c r="H1975" s="15" t="n">
        <x:f>IF(AND(ISNUMBER(E1975),ISNUMBER(F1975),F1975&gt;0),(E1975-F1975)/F1975,"n.a.")</x:f>
        <x:v>-0.6012277178004812</x:v>
      </x:c>
      <x:c r="I1975" s="19" t="n">
        <x:f>IF(ISNUMBER(H1975),ABS(H1975),"n.a.")</x:f>
        <x:v>0.6012277178004812</x:v>
      </x:c>
      <x:c r="J1975" s="2" t="str">
        <x:v>available</x:v>
      </x:c>
      <x:c r="K1975" s="2" t="n">
        <x:v>1</x:v>
      </x:c>
      <x:c r="L1975" s="13" t="b">
        <x:v>0</x:v>
      </x:c>
      <x:c r="M1975" s="13" t="b">
        <x:v>1</x:v>
      </x:c>
      <x:c r="N1975" s="2" t="str">
        <x:v>projected_CRISP_BU_surface</x:v>
      </x:c>
      <x:c r="O1975" s="2" t="str"/>
      <x:c r="P1975" s="2" t="str">
        <x:v>horizontal built-up surface</x:v>
      </x:c>
      <x:c r="Q1975" s="2" t="str">
        <x:v>m2</x:v>
      </x:c>
      <x:c r="R1975" s="17" t="n">
        <x:v>1822207294.551167</x:v>
      </x:c>
      <x:c r="S1975" s="17" t="n">
        <x:v>512504617.86</x:v>
      </x:c>
      <x:c r="T1975" s="18" t="n">
        <x:v>0.9999999999999987</x:v>
      </x:c>
      <x:c r="U1975" s="17" t="n">
        <x:v>512504617.85999936</x:v>
      </x:c>
      <x:c r="V1975" s="2" t="str">
        <x:v>Area equivalent = model2020 * WUP surface / TEMPO2020 footprint; km2 multiplied by1e6 once</x:v>
      </x:c>
      <x:c r="W1975" s="2" t="str">
        <x:v>L1_numeric_partition_qualified_not_national_completeness</x:v>
      </x:c>
      <x:c r="X1975" s="2" t="str">
        <x:v>https://human-settlement.emergency.copernicus.eu/datasets.php</x:v>
      </x:c>
    </x:row>
    <x:row r="1976" ht="23" customHeight="1">
      <x:c r="A1976" s="2" t="str">
        <x:v>ALB</x:v>
      </x:c>
      <x:c r="B1976" s="2" t="str">
        <x:v>Albania (Republic of)</x:v>
      </x:c>
      <x:c r="C1976" s="2" t="n">
        <x:v>2030</x:v>
      </x:c>
      <x:c r="D1976" s="2" t="str">
        <x:v>WUP_SURFACE</x:v>
      </x:c>
      <x:c r="E1976" s="17" t="n">
        <x:v>167377594.56443542</x:v>
      </x:c>
      <x:c r="F1976" s="17" t="n">
        <x:f>IF(AND(M1976,ISNUMBER(R1976)),IF(D1976="TEMPO_PROXY",R1976,IF(AND(ISNUMBER(S1976),S1976&gt;0,ISNUMBER(U1976)),U1976*R1976/S1976,"n.a.")),"n.a.")</x:f>
        <x:v>248634733.58816063</x:v>
      </x:c>
      <x:c r="G1976" s="17" t="n">
        <x:f>IF(AND(ISNUMBER(E1976),ISNUMBER(F1976)),E1976-F1976,"n.a.")</x:f>
        <x:v>-81257139.02372521</x:v>
      </x:c>
      <x:c r="H1976" s="15" t="n">
        <x:f>IF(AND(ISNUMBER(E1976),ISNUMBER(F1976),F1976&gt;0),(E1976-F1976)/F1976,"n.a.")</x:f>
        <x:v>-0.3268133050079793</x:v>
      </x:c>
      <x:c r="I1976" s="19" t="n">
        <x:f>IF(ISNUMBER(H1976),ABS(H1976),"n.a.")</x:f>
        <x:v>0.3268133050079793</x:v>
      </x:c>
      <x:c r="J1976" s="2" t="str">
        <x:v>available</x:v>
      </x:c>
      <x:c r="K1976" s="2" t="n">
        <x:v>1</x:v>
      </x:c>
      <x:c r="L1976" s="13" t="b">
        <x:v>0</x:v>
      </x:c>
      <x:c r="M1976" s="13" t="b">
        <x:v>1</x:v>
      </x:c>
      <x:c r="N1976" s="2" t="str">
        <x:v>projected_CRISP_BU_surface</x:v>
      </x:c>
      <x:c r="O1976" s="2" t="str"/>
      <x:c r="P1976" s="2" t="str">
        <x:v>horizontal built-up surface</x:v>
      </x:c>
      <x:c r="Q1976" s="2" t="str">
        <x:v>m2</x:v>
      </x:c>
      <x:c r="R1976" s="17" t="n">
        <x:v>248634733.5881603</x:v>
      </x:c>
      <x:c r="S1976" s="17" t="n">
        <x:v>161276383.52</x:v>
      </x:c>
      <x:c r="T1976" s="18" t="n">
        <x:v>1.0000000000000013</x:v>
      </x:c>
      <x:c r="U1976" s="17" t="n">
        <x:v>161276383.52000022</x:v>
      </x:c>
      <x:c r="V1976" s="2" t="str">
        <x:v>Area equivalent = model2020 * WUP surface / TEMPO2020 footprint; km2 multiplied by1e6 once</x:v>
      </x:c>
      <x:c r="W1976" s="2" t="str">
        <x:v>L1_numeric_partition_qualified_not_national_completeness</x:v>
      </x:c>
      <x:c r="X1976" s="2" t="str">
        <x:v>https://human-settlement.emergency.copernicus.eu/datasets.php</x:v>
      </x:c>
    </x:row>
    <x:row r="1977" ht="23" customHeight="1">
      <x:c r="A1977" s="2" t="str">
        <x:v>AND</x:v>
      </x:c>
      <x:c r="B1977" s="2" t="str">
        <x:v>Andorra (Principality of)</x:v>
      </x:c>
      <x:c r="C1977" s="2" t="n">
        <x:v>2030</x:v>
      </x:c>
      <x:c r="D1977" s="2" t="str">
        <x:v>WUP_SURFACE</x:v>
      </x:c>
      <x:c r="E1977" s="17" t="n">
        <x:v>4088385.384629548</x:v>
      </x:c>
      <x:c r="F1977" s="17" t="n">
        <x:f>IF(AND(M1977,ISNUMBER(R1977)),IF(D1977="TEMPO_PROXY",R1977,IF(AND(ISNUMBER(S1977),S1977&gt;0,ISNUMBER(U1977)),U1977*R1977/S1977,"n.a.")),"n.a.")</x:f>
        <x:v>4120213.8081640205</x:v>
      </x:c>
      <x:c r="G1977" s="17" t="n">
        <x:f>IF(AND(ISNUMBER(E1977),ISNUMBER(F1977)),E1977-F1977,"n.a.")</x:f>
        <x:v>-31828.423534472473</x:v>
      </x:c>
      <x:c r="H1977" s="15" t="n">
        <x:f>IF(AND(ISNUMBER(E1977),ISNUMBER(F1977),F1977&gt;0),(E1977-F1977)/F1977,"n.a.")</x:f>
        <x:v>-0.007724944630641707</x:v>
      </x:c>
      <x:c r="I1977" s="19" t="n">
        <x:f>IF(ISNUMBER(H1977),ABS(H1977),"n.a.")</x:f>
        <x:v>0.007724944630641707</x:v>
      </x:c>
      <x:c r="J1977" s="2" t="str">
        <x:v>available</x:v>
      </x:c>
      <x:c r="K1977" s="2" t="n">
        <x:v>1</x:v>
      </x:c>
      <x:c r="L1977" s="13" t="b">
        <x:v>0</x:v>
      </x:c>
      <x:c r="M1977" s="13" t="b">
        <x:v>1</x:v>
      </x:c>
      <x:c r="N1977" s="2" t="str">
        <x:v>projected_CRISP_BU_surface</x:v>
      </x:c>
      <x:c r="O1977" s="2" t="str"/>
      <x:c r="P1977" s="2" t="str">
        <x:v>horizontal built-up surface</x:v>
      </x:c>
      <x:c r="Q1977" s="2" t="str">
        <x:v>m2</x:v>
      </x:c>
      <x:c r="R1977" s="17" t="n">
        <x:v>3038733.0121361627</x:v>
      </x:c>
      <x:c r="S1977" s="17" t="n">
        <x:v>2209198.1</x:v>
      </x:c>
      <x:c r="T1977" s="18" t="n">
        <x:v>1.3558985905338228</x:v>
      </x:c>
      <x:c r="U1977" s="17" t="n">
        <x:v>2995448.5899999994</x:v>
      </x:c>
      <x:c r="V1977" s="2" t="str">
        <x:v>Area equivalent = model2020 * WUP surface / TEMPO2020 footprint; km2 multiplied by1e6 once</x:v>
      </x:c>
      <x:c r="W1977" s="2" t="str">
        <x:v>L1_numeric_partition_qualified_not_national_completeness</x:v>
      </x:c>
      <x:c r="X1977" s="2" t="str">
        <x:v>https://human-settlement.emergency.copernicus.eu/datasets.php</x:v>
      </x:c>
    </x:row>
    <x:row r="1978" ht="23" customHeight="1">
      <x:c r="A1978" s="2" t="str">
        <x:v>ARE</x:v>
      </x:c>
      <x:c r="B1978" s="2" t="str">
        <x:v>United Arab Emirates</x:v>
      </x:c>
      <x:c r="C1978" s="2" t="n">
        <x:v>2030</x:v>
      </x:c>
      <x:c r="D1978" s="2" t="str">
        <x:v>WUP_SURFACE</x:v>
      </x:c>
      <x:c r="E1978" s="17" t="n">
        <x:v>726419096.5357257</x:v>
      </x:c>
      <x:c r="F1978" s="17" t="n">
        <x:f>IF(AND(M1978,ISNUMBER(R1978)),IF(D1978="TEMPO_PROXY",R1978,IF(AND(ISNUMBER(S1978),S1978&gt;0,ISNUMBER(U1978)),U1978*R1978/S1978,"n.a.")),"n.a.")</x:f>
        <x:v>1004988337.2818195</x:v>
      </x:c>
      <x:c r="G1978" s="17" t="n">
        <x:f>IF(AND(ISNUMBER(E1978),ISNUMBER(F1978)),E1978-F1978,"n.a.")</x:f>
        <x:v>-278569240.74609375</x:v>
      </x:c>
      <x:c r="H1978" s="15" t="n">
        <x:f>IF(AND(ISNUMBER(E1978),ISNUMBER(F1978),F1978&gt;0),(E1978-F1978)/F1978,"n.a.")</x:f>
        <x:v>-0.2771865407906492</x:v>
      </x:c>
      <x:c r="I1978" s="19" t="n">
        <x:f>IF(ISNUMBER(H1978),ABS(H1978),"n.a.")</x:f>
        <x:v>0.2771865407906492</x:v>
      </x:c>
      <x:c r="J1978" s="2" t="str">
        <x:v>available</x:v>
      </x:c>
      <x:c r="K1978" s="2" t="n">
        <x:v>1</x:v>
      </x:c>
      <x:c r="L1978" s="13" t="b">
        <x:v>0</x:v>
      </x:c>
      <x:c r="M1978" s="13" t="b">
        <x:v>1</x:v>
      </x:c>
      <x:c r="N1978" s="2" t="str">
        <x:v>projected_CRISP_BU_surface</x:v>
      </x:c>
      <x:c r="O1978" s="2" t="str"/>
      <x:c r="P1978" s="2" t="str">
        <x:v>horizontal built-up surface</x:v>
      </x:c>
      <x:c r="Q1978" s="2" t="str">
        <x:v>m2</x:v>
      </x:c>
      <x:c r="R1978" s="17" t="n">
        <x:v>901065056.4831603</x:v>
      </x:c>
      <x:c r="S1978" s="17" t="n">
        <x:v>458879702.88</x:v>
      </x:c>
      <x:c r="T1978" s="18" t="n">
        <x:v>1.1153338263990282</x:v>
      </x:c>
      <x:c r="U1978" s="17" t="n">
        <x:v>511804054.8699995</x:v>
      </x:c>
      <x:c r="V1978" s="2" t="str">
        <x:v>Area equivalent = model2020 * WUP surface / TEMPO2020 footprint; km2 multiplied by1e6 once</x:v>
      </x:c>
      <x:c r="W1978" s="2" t="str">
        <x:v>L1_numeric_partition_qualified_not_national_completeness</x:v>
      </x:c>
      <x:c r="X1978" s="2" t="str">
        <x:v>https://human-settlement.emergency.copernicus.eu/datasets.php</x:v>
      </x:c>
    </x:row>
    <x:row r="1979" ht="23" customHeight="1">
      <x:c r="A1979" s="2" t="str">
        <x:v>ARG</x:v>
      </x:c>
      <x:c r="B1979" s="2" t="str">
        <x:v>Argentina (Argentine Republic)</x:v>
      </x:c>
      <x:c r="C1979" s="2" t="n">
        <x:v>2030</x:v>
      </x:c>
      <x:c r="D1979" s="2" t="str">
        <x:v>WUP_SURFACE</x:v>
      </x:c>
      <x:c r="E1979" s="17" t="n">
        <x:v>2809119353.8420353</x:v>
      </x:c>
      <x:c r="F1979" s="17" t="n">
        <x:f>IF(AND(M1979,ISNUMBER(R1979)),IF(D1979="TEMPO_PROXY",R1979,IF(AND(ISNUMBER(S1979),S1979&gt;0,ISNUMBER(U1979)),U1979*R1979/S1979,"n.a.")),"n.a.")</x:f>
        <x:v>4637642974.118967</x:v>
      </x:c>
      <x:c r="G1979" s="17" t="n">
        <x:f>IF(AND(ISNUMBER(E1979),ISNUMBER(F1979)),E1979-F1979,"n.a.")</x:f>
        <x:v>-1828523620.2769318</x:v>
      </x:c>
      <x:c r="H1979" s="15" t="n">
        <x:f>IF(AND(ISNUMBER(E1979),ISNUMBER(F1979),F1979&gt;0),(E1979-F1979)/F1979,"n.a.")</x:f>
        <x:v>-0.3942786519965574</x:v>
      </x:c>
      <x:c r="I1979" s="19" t="n">
        <x:f>IF(ISNUMBER(H1979),ABS(H1979),"n.a.")</x:f>
        <x:v>0.3942786519965574</x:v>
      </x:c>
      <x:c r="J1979" s="2" t="str">
        <x:v>available</x:v>
      </x:c>
      <x:c r="K1979" s="2" t="n">
        <x:v>1</x:v>
      </x:c>
      <x:c r="L1979" s="13" t="b">
        <x:v>0</x:v>
      </x:c>
      <x:c r="M1979" s="13" t="b">
        <x:v>1</x:v>
      </x:c>
      <x:c r="N1979" s="2" t="str">
        <x:v>projected_CRISP_BU_surface</x:v>
      </x:c>
      <x:c r="O1979" s="2" t="str"/>
      <x:c r="P1979" s="2" t="str">
        <x:v>horizontal built-up surface</x:v>
      </x:c>
      <x:c r="Q1979" s="2" t="str">
        <x:v>m2</x:v>
      </x:c>
      <x:c r="R1979" s="17" t="n">
        <x:v>4637642974.118971</x:v>
      </x:c>
      <x:c r="S1979" s="17" t="n">
        <x:v>2382940448.4</x:v>
      </x:c>
      <x:c r="T1979" s="18" t="n">
        <x:v>0.9999999999999992</x:v>
      </x:c>
      <x:c r="U1979" s="17" t="n">
        <x:v>2382940448.399998</x:v>
      </x:c>
      <x:c r="V1979" s="2" t="str">
        <x:v>Area equivalent = model2020 * WUP surface / TEMPO2020 footprint; km2 multiplied by1e6 once</x:v>
      </x:c>
      <x:c r="W1979" s="2" t="str">
        <x:v>L1_numeric_partition_qualified_not_national_completeness</x:v>
      </x:c>
      <x:c r="X1979" s="2" t="str">
        <x:v>https://human-settlement.emergency.copernicus.eu/datasets.php</x:v>
      </x:c>
    </x:row>
    <x:row r="1980" ht="23" customHeight="1">
      <x:c r="A1980" s="2" t="str">
        <x:v>ARM</x:v>
      </x:c>
      <x:c r="B1980" s="2" t="str">
        <x:v>Armenia (Republic of)</x:v>
      </x:c>
      <x:c r="C1980" s="2" t="n">
        <x:v>2030</x:v>
      </x:c>
      <x:c r="D1980" s="2" t="str">
        <x:v>WUP_SURFACE</x:v>
      </x:c>
      <x:c r="E1980" s="17" t="n">
        <x:v>162700181.67271063</x:v>
      </x:c>
      <x:c r="F1980" s="17" t="n">
        <x:f>IF(AND(M1980,ISNUMBER(R1980)),IF(D1980="TEMPO_PROXY",R1980,IF(AND(ISNUMBER(S1980),S1980&gt;0,ISNUMBER(U1980)),U1980*R1980/S1980,"n.a.")),"n.a.")</x:f>
        <x:v>253245623.83561382</x:v>
      </x:c>
      <x:c r="G1980" s="17" t="n">
        <x:f>IF(AND(ISNUMBER(E1980),ISNUMBER(F1980)),E1980-F1980,"n.a.")</x:f>
        <x:v>-90545442.16290319</x:v>
      </x:c>
      <x:c r="H1980" s="15" t="n">
        <x:f>IF(AND(ISNUMBER(E1980),ISNUMBER(F1980),F1980&gt;0),(E1980-F1980)/F1980,"n.a.")</x:f>
        <x:v>-0.3575400071737383</x:v>
      </x:c>
      <x:c r="I1980" s="19" t="n">
        <x:f>IF(ISNUMBER(H1980),ABS(H1980),"n.a.")</x:f>
        <x:v>0.3575400071737383</x:v>
      </x:c>
      <x:c r="J1980" s="2" t="str">
        <x:v>available</x:v>
      </x:c>
      <x:c r="K1980" s="2" t="n">
        <x:v>1</x:v>
      </x:c>
      <x:c r="L1980" s="13" t="b">
        <x:v>0</x:v>
      </x:c>
      <x:c r="M1980" s="13" t="b">
        <x:v>1</x:v>
      </x:c>
      <x:c r="N1980" s="2" t="str">
        <x:v>projected_CRISP_BU_surface</x:v>
      </x:c>
      <x:c r="O1980" s="2" t="str"/>
      <x:c r="P1980" s="2" t="str">
        <x:v>horizontal built-up surface</x:v>
      </x:c>
      <x:c r="Q1980" s="2" t="str">
        <x:v>m2</x:v>
      </x:c>
      <x:c r="R1980" s="17" t="n">
        <x:v>253245623.8356134</x:v>
      </x:c>
      <x:c r="S1980" s="17" t="n">
        <x:v>142786500.21</x:v>
      </x:c>
      <x:c r="T1980" s="18" t="n">
        <x:v>1.0000000000000018</x:v>
      </x:c>
      <x:c r="U1980" s="17" t="n">
        <x:v>142786500.21000025</x:v>
      </x:c>
      <x:c r="V1980" s="2" t="str">
        <x:v>Area equivalent = model2020 * WUP surface / TEMPO2020 footprint; km2 multiplied by1e6 once</x:v>
      </x:c>
      <x:c r="W1980" s="2" t="str">
        <x:v>L1_numeric_partition_qualified_not_national_completeness</x:v>
      </x:c>
      <x:c r="X1980" s="2" t="str">
        <x:v>https://human-settlement.emergency.copernicus.eu/datasets.php</x:v>
      </x:c>
    </x:row>
    <x:row r="1981" ht="23" customHeight="1">
      <x:c r="A1981" s="2" t="str">
        <x:v>ATG</x:v>
      </x:c>
      <x:c r="B1981" s="2" t="str">
        <x:v>Antigua and Barbuda</x:v>
      </x:c>
      <x:c r="C1981" s="2" t="n">
        <x:v>2030</x:v>
      </x:c>
      <x:c r="D1981" s="2" t="str">
        <x:v>WUP_SURFACE</x:v>
      </x:c>
      <x:c r="E1981" s="17" t="n">
        <x:v>7976926.310828601</x:v>
      </x:c>
      <x:c r="F1981" s="17" t="n">
        <x:f>IF(AND(M1981,ISNUMBER(R1981)),IF(D1981="TEMPO_PROXY",R1981,IF(AND(ISNUMBER(S1981),S1981&gt;0,ISNUMBER(U1981)),U1981*R1981/S1981,"n.a.")),"n.a.")</x:f>
        <x:v>15752988.724481266</x:v>
      </x:c>
      <x:c r="G1981" s="17" t="n">
        <x:f>IF(AND(ISNUMBER(E1981),ISNUMBER(F1981)),E1981-F1981,"n.a.")</x:f>
        <x:v>-7776062.413652665</x:v>
      </x:c>
      <x:c r="H1981" s="15" t="n">
        <x:f>IF(AND(ISNUMBER(E1981),ISNUMBER(F1981),F1981&gt;0),(E1981-F1981)/F1981,"n.a.")</x:f>
        <x:v>-0.49362457814548616</x:v>
      </x:c>
      <x:c r="I1981" s="19" t="n">
        <x:f>IF(ISNUMBER(H1981),ABS(H1981),"n.a.")</x:f>
        <x:v>0.49362457814548616</x:v>
      </x:c>
      <x:c r="J1981" s="2" t="str">
        <x:v>available</x:v>
      </x:c>
      <x:c r="K1981" s="2" t="n">
        <x:v>1</x:v>
      </x:c>
      <x:c r="L1981" s="13" t="b">
        <x:v>0</x:v>
      </x:c>
      <x:c r="M1981" s="13" t="b">
        <x:v>1</x:v>
      </x:c>
      <x:c r="N1981" s="2" t="str">
        <x:v>projected_CRISP_BU_surface</x:v>
      </x:c>
      <x:c r="O1981" s="2" t="str"/>
      <x:c r="P1981" s="2" t="str">
        <x:v>horizontal built-up surface</x:v>
      </x:c>
      <x:c r="Q1981" s="2" t="str">
        <x:v>m2</x:v>
      </x:c>
      <x:c r="R1981" s="17" t="n">
        <x:v>15752988.724481268</x:v>
      </x:c>
      <x:c r="S1981" s="17" t="n">
        <x:v>7437404.66</x:v>
      </x:c>
      <x:c r="T1981" s="18" t="n">
        <x:v>0.9999999999999999</x:v>
      </x:c>
      <x:c r="U1981" s="17" t="n">
        <x:v>7437404.659999999</x:v>
      </x:c>
      <x:c r="V1981" s="2" t="str">
        <x:v>Area equivalent = model2020 * WUP surface / TEMPO2020 footprint; km2 multiplied by1e6 once</x:v>
      </x:c>
      <x:c r="W1981" s="2" t="str">
        <x:v>L1_numeric_partition_qualified_not_national_completeness</x:v>
      </x:c>
      <x:c r="X1981" s="2" t="str">
        <x:v>https://human-settlement.emergency.copernicus.eu/datasets.php</x:v>
      </x:c>
    </x:row>
    <x:row r="1982" ht="23" customHeight="1">
      <x:c r="A1982" s="2" t="str">
        <x:v>AUS</x:v>
      </x:c>
      <x:c r="B1982" s="2" t="str">
        <x:v>Australia (Commonwealth of)</x:v>
      </x:c>
      <x:c r="C1982" s="2" t="n">
        <x:v>2030</x:v>
      </x:c>
      <x:c r="D1982" s="2" t="str">
        <x:v>WUP_SURFACE</x:v>
      </x:c>
      <x:c r="E1982" s="17" t="n">
        <x:v>3458238368.0619535</x:v>
      </x:c>
      <x:c r="F1982" s="17" t="n">
        <x:f>IF(AND(M1982,ISNUMBER(R1982)),IF(D1982="TEMPO_PROXY",R1982,IF(AND(ISNUMBER(S1982),S1982&gt;0,ISNUMBER(U1982)),U1982*R1982/S1982,"n.a.")),"n.a.")</x:f>
        <x:v>5829916287.069998</x:v>
      </x:c>
      <x:c r="G1982" s="17" t="n">
        <x:f>IF(AND(ISNUMBER(E1982),ISNUMBER(F1982)),E1982-F1982,"n.a.")</x:f>
        <x:v>-2371677919.0080442</x:v>
      </x:c>
      <x:c r="H1982" s="15" t="n">
        <x:f>IF(AND(ISNUMBER(E1982),ISNUMBER(F1982),F1982&gt;0),(E1982-F1982)/F1982,"n.a.")</x:f>
        <x:v>-0.406811659417498</x:v>
      </x:c>
      <x:c r="I1982" s="19" t="n">
        <x:f>IF(ISNUMBER(H1982),ABS(H1982),"n.a.")</x:f>
        <x:v>0.406811659417498</x:v>
      </x:c>
      <x:c r="J1982" s="2" t="str">
        <x:v>available</x:v>
      </x:c>
      <x:c r="K1982" s="2" t="n">
        <x:v>1</x:v>
      </x:c>
      <x:c r="L1982" s="13" t="b">
        <x:v>0</x:v>
      </x:c>
      <x:c r="M1982" s="13" t="b">
        <x:v>1</x:v>
      </x:c>
      <x:c r="N1982" s="2" t="str">
        <x:v>projected_CRISP_BU_surface</x:v>
      </x:c>
      <x:c r="O1982" s="2" t="str"/>
      <x:c r="P1982" s="2" t="str">
        <x:v>horizontal built-up surface</x:v>
      </x:c>
      <x:c r="Q1982" s="2" t="str">
        <x:v>m2</x:v>
      </x:c>
      <x:c r="R1982" s="17" t="n">
        <x:v>5829916287.0700035</x:v>
      </x:c>
      <x:c r="S1982" s="17" t="n">
        <x:v>3011161094.86</x:v>
      </x:c>
      <x:c r="T1982" s="18" t="n">
        <x:v>0.999999999999999</x:v>
      </x:c>
      <x:c r="U1982" s="17" t="n">
        <x:v>3011161094.8599973</x:v>
      </x:c>
      <x:c r="V1982" s="2" t="str">
        <x:v>Area equivalent = model2020 * WUP surface / TEMPO2020 footprint; km2 multiplied by1e6 once</x:v>
      </x:c>
      <x:c r="W1982" s="2" t="str">
        <x:v>L1_numeric_partition_qualified_not_national_completeness</x:v>
      </x:c>
      <x:c r="X1982" s="2" t="str">
        <x:v>https://human-settlement.emergency.copernicus.eu/datasets.php</x:v>
      </x:c>
    </x:row>
    <x:row r="1983" ht="23" customHeight="1">
      <x:c r="A1983" s="2" t="str">
        <x:v>AUT</x:v>
      </x:c>
      <x:c r="B1983" s="2" t="str">
        <x:v>Austria (Republic of)</x:v>
      </x:c>
      <x:c r="C1983" s="2" t="n">
        <x:v>2030</x:v>
      </x:c>
      <x:c r="D1983" s="2" t="str">
        <x:v>WUP_SURFACE</x:v>
      </x:c>
      <x:c r="E1983" s="17" t="n">
        <x:v>1049808422.805982</x:v>
      </x:c>
      <x:c r="F1983" s="17" t="n">
        <x:f>IF(AND(M1983,ISNUMBER(R1983)),IF(D1983="TEMPO_PROXY",R1983,IF(AND(ISNUMBER(S1983),S1983&gt;0,ISNUMBER(U1983)),U1983*R1983/S1983,"n.a.")),"n.a.")</x:f>
        <x:v>1399074221.096665</x:v>
      </x:c>
      <x:c r="G1983" s="17" t="n">
        <x:f>IF(AND(ISNUMBER(E1983),ISNUMBER(F1983)),E1983-F1983,"n.a.")</x:f>
        <x:v>-349265798.2906829</x:v>
      </x:c>
      <x:c r="H1983" s="15" t="n">
        <x:f>IF(AND(ISNUMBER(E1983),ISNUMBER(F1983),F1983&gt;0),(E1983-F1983)/F1983,"n.a.")</x:f>
        <x:v>-0.24964065024149382</x:v>
      </x:c>
      <x:c r="I1983" s="19" t="n">
        <x:f>IF(ISNUMBER(H1983),ABS(H1983),"n.a.")</x:f>
        <x:v>0.24964065024149382</x:v>
      </x:c>
      <x:c r="J1983" s="2" t="str">
        <x:v>available</x:v>
      </x:c>
      <x:c r="K1983" s="2" t="n">
        <x:v>1</x:v>
      </x:c>
      <x:c r="L1983" s="13" t="b">
        <x:v>0</x:v>
      </x:c>
      <x:c r="M1983" s="13" t="b">
        <x:v>1</x:v>
      </x:c>
      <x:c r="N1983" s="2" t="str">
        <x:v>projected_CRISP_BU_surface</x:v>
      </x:c>
      <x:c r="O1983" s="2" t="str"/>
      <x:c r="P1983" s="2" t="str">
        <x:v>horizontal built-up surface</x:v>
      </x:c>
      <x:c r="Q1983" s="2" t="str">
        <x:v>m2</x:v>
      </x:c>
      <x:c r="R1983" s="17" t="n">
        <x:v>1378542900.5568893</x:v>
      </x:c>
      <x:c r="S1983" s="17" t="n">
        <x:v>852795432.34</x:v>
      </x:c>
      <x:c r="T1983" s="18" t="n">
        <x:v>1.014893494088201</x:v>
      </x:c>
      <x:c r="U1983" s="17" t="n">
        <x:v>865496536.0700006</x:v>
      </x:c>
      <x:c r="V1983" s="2" t="str">
        <x:v>Area equivalent = model2020 * WUP surface / TEMPO2020 footprint; km2 multiplied by1e6 once</x:v>
      </x:c>
      <x:c r="W1983" s="2" t="str">
        <x:v>L1_numeric_partition_qualified_not_national_completeness</x:v>
      </x:c>
      <x:c r="X1983" s="2" t="str">
        <x:v>https://human-settlement.emergency.copernicus.eu/datasets.php</x:v>
      </x:c>
    </x:row>
    <x:row r="1984" ht="23" customHeight="1">
      <x:c r="A1984" s="2" t="str">
        <x:v>AZE</x:v>
      </x:c>
      <x:c r="B1984" s="2" t="str">
        <x:v>Azerbaijan (Republic of)</x:v>
      </x:c>
      <x:c r="C1984" s="2" t="n">
        <x:v>2030</x:v>
      </x:c>
      <x:c r="D1984" s="2" t="str">
        <x:v>WUP_SURFACE</x:v>
      </x:c>
      <x:c r="E1984" s="17" t="n">
        <x:v>591547912.5528959</x:v>
      </x:c>
      <x:c r="F1984" s="17" t="n">
        <x:f>IF(AND(M1984,ISNUMBER(R1984)),IF(D1984="TEMPO_PROXY",R1984,IF(AND(ISNUMBER(S1984),S1984&gt;0,ISNUMBER(U1984)),U1984*R1984/S1984,"n.a.")),"n.a.")</x:f>
        <x:v>981985958.0600715</x:v>
      </x:c>
      <x:c r="G1984" s="17" t="n">
        <x:f>IF(AND(ISNUMBER(E1984),ISNUMBER(F1984)),E1984-F1984,"n.a.")</x:f>
        <x:v>-390438045.50717556</x:v>
      </x:c>
      <x:c r="H1984" s="15" t="n">
        <x:f>IF(AND(ISNUMBER(E1984),ISNUMBER(F1984),F1984&gt;0),(E1984-F1984)/F1984,"n.a.")</x:f>
        <x:v>-0.3976004364446229</x:v>
      </x:c>
      <x:c r="I1984" s="19" t="n">
        <x:f>IF(ISNUMBER(H1984),ABS(H1984),"n.a.")</x:f>
        <x:v>0.3976004364446229</x:v>
      </x:c>
      <x:c r="J1984" s="2" t="str">
        <x:v>available</x:v>
      </x:c>
      <x:c r="K1984" s="2" t="n">
        <x:v>1</x:v>
      </x:c>
      <x:c r="L1984" s="13" t="b">
        <x:v>0</x:v>
      </x:c>
      <x:c r="M1984" s="13" t="b">
        <x:v>1</x:v>
      </x:c>
      <x:c r="N1984" s="2" t="str">
        <x:v>projected_CRISP_BU_surface</x:v>
      </x:c>
      <x:c r="O1984" s="2" t="str"/>
      <x:c r="P1984" s="2" t="str">
        <x:v>horizontal built-up surface</x:v>
      </x:c>
      <x:c r="Q1984" s="2" t="str">
        <x:v>m2</x:v>
      </x:c>
      <x:c r="R1984" s="17" t="n">
        <x:v>981985958.0600704</x:v>
      </x:c>
      <x:c r="S1984" s="17" t="n">
        <x:v>507953272.9</x:v>
      </x:c>
      <x:c r="T1984" s="18" t="n">
        <x:v>1.000000000000001</x:v>
      </x:c>
      <x:c r="U1984" s="17" t="n">
        <x:v>507953272.9000006</x:v>
      </x:c>
      <x:c r="V1984" s="2" t="str">
        <x:v>Area equivalent = model2020 * WUP surface / TEMPO2020 footprint; km2 multiplied by1e6 once</x:v>
      </x:c>
      <x:c r="W1984" s="2" t="str">
        <x:v>L1_numeric_partition_qualified_not_national_completeness</x:v>
      </x:c>
      <x:c r="X1984" s="2" t="str">
        <x:v>https://human-settlement.emergency.copernicus.eu/datasets.php</x:v>
      </x:c>
    </x:row>
    <x:row r="1985" ht="23" customHeight="1">
      <x:c r="A1985" s="2" t="str">
        <x:v>BDI</x:v>
      </x:c>
      <x:c r="B1985" s="2" t="str">
        <x:v>Burundi (Republic of)</x:v>
      </x:c>
      <x:c r="C1985" s="2" t="n">
        <x:v>2030</x:v>
      </x:c>
      <x:c r="D1985" s="2" t="str">
        <x:v>WUP_SURFACE</x:v>
      </x:c>
      <x:c r="E1985" s="17" t="n">
        <x:v>204371294.62526459</x:v>
      </x:c>
      <x:c r="F1985" s="17" t="n">
        <x:f>IF(AND(M1985,ISNUMBER(R1985)),IF(D1985="TEMPO_PROXY",R1985,IF(AND(ISNUMBER(S1985),S1985&gt;0,ISNUMBER(U1985)),U1985*R1985/S1985,"n.a.")),"n.a.")</x:f>
        <x:v>582449521.1006157</x:v>
      </x:c>
      <x:c r="G1985" s="17" t="n">
        <x:f>IF(AND(ISNUMBER(E1985),ISNUMBER(F1985)),E1985-F1985,"n.a.")</x:f>
        <x:v>-378078226.47535115</x:v>
      </x:c>
      <x:c r="H1985" s="15" t="n">
        <x:f>IF(AND(ISNUMBER(E1985),ISNUMBER(F1985),F1985&gt;0),(E1985-F1985)/F1985,"n.a.")</x:f>
        <x:v>-0.6491175849212171</x:v>
      </x:c>
      <x:c r="I1985" s="19" t="n">
        <x:f>IF(ISNUMBER(H1985),ABS(H1985),"n.a.")</x:f>
        <x:v>0.6491175849212171</x:v>
      </x:c>
      <x:c r="J1985" s="2" t="str">
        <x:v>available</x:v>
      </x:c>
      <x:c r="K1985" s="2" t="n">
        <x:v>1</x:v>
      </x:c>
      <x:c r="L1985" s="13" t="b">
        <x:v>0</x:v>
      </x:c>
      <x:c r="M1985" s="13" t="b">
        <x:v>1</x:v>
      </x:c>
      <x:c r="N1985" s="2" t="str">
        <x:v>projected_CRISP_BU_surface</x:v>
      </x:c>
      <x:c r="O1985" s="2" t="str"/>
      <x:c r="P1985" s="2" t="str">
        <x:v>horizontal built-up surface</x:v>
      </x:c>
      <x:c r="Q1985" s="2" t="str">
        <x:v>m2</x:v>
      </x:c>
      <x:c r="R1985" s="17" t="n">
        <x:v>582449521.1006154</x:v>
      </x:c>
      <x:c r="S1985" s="17" t="n">
        <x:v>147710691.61</x:v>
      </x:c>
      <x:c r="T1985" s="18" t="n">
        <x:v>1.0000000000000007</x:v>
      </x:c>
      <x:c r="U1985" s="17" t="n">
        <x:v>147710691.6100001</x:v>
      </x:c>
      <x:c r="V1985" s="2" t="str">
        <x:v>Area equivalent = model2020 * WUP surface / TEMPO2020 footprint; km2 multiplied by1e6 once</x:v>
      </x:c>
      <x:c r="W1985" s="2" t="str">
        <x:v>L1_numeric_partition_qualified_not_national_completeness</x:v>
      </x:c>
      <x:c r="X1985" s="2" t="str">
        <x:v>https://human-settlement.emergency.copernicus.eu/datasets.php</x:v>
      </x:c>
    </x:row>
    <x:row r="1986" ht="23" customHeight="1">
      <x:c r="A1986" s="2" t="str">
        <x:v>BEL</x:v>
      </x:c>
      <x:c r="B1986" s="2" t="str">
        <x:v>Belgium (Kingdom of)</x:v>
      </x:c>
      <x:c r="C1986" s="2" t="n">
        <x:v>2030</x:v>
      </x:c>
      <x:c r="D1986" s="2" t="str">
        <x:v>WUP_SURFACE</x:v>
      </x:c>
      <x:c r="E1986" s="17" t="n">
        <x:v>1360902516.8832996</x:v>
      </x:c>
      <x:c r="F1986" s="17" t="n">
        <x:f>IF(AND(M1986,ISNUMBER(R1986)),IF(D1986="TEMPO_PROXY",R1986,IF(AND(ISNUMBER(S1986),S1986&gt;0,ISNUMBER(U1986)),U1986*R1986/S1986,"n.a.")),"n.a.")</x:f>
        <x:v>2058701638.4034314</x:v>
      </x:c>
      <x:c r="G1986" s="17" t="n">
        <x:f>IF(AND(ISNUMBER(E1986),ISNUMBER(F1986)),E1986-F1986,"n.a.")</x:f>
        <x:v>-697799121.5201318</x:v>
      </x:c>
      <x:c r="H1986" s="15" t="n">
        <x:f>IF(AND(ISNUMBER(E1986),ISNUMBER(F1986),F1986&gt;0),(E1986-F1986)/F1986,"n.a.")</x:f>
        <x:v>-0.3389510692094705</x:v>
      </x:c>
      <x:c r="I1986" s="19" t="n">
        <x:f>IF(ISNUMBER(H1986),ABS(H1986),"n.a.")</x:f>
        <x:v>0.3389510692094705</x:v>
      </x:c>
      <x:c r="J1986" s="2" t="str">
        <x:v>available</x:v>
      </x:c>
      <x:c r="K1986" s="2" t="n">
        <x:v>1</x:v>
      </x:c>
      <x:c r="L1986" s="13" t="b">
        <x:v>0</x:v>
      </x:c>
      <x:c r="M1986" s="13" t="b">
        <x:v>1</x:v>
      </x:c>
      <x:c r="N1986" s="2" t="str">
        <x:v>projected_CRISP_BU_surface</x:v>
      </x:c>
      <x:c r="O1986" s="2" t="str"/>
      <x:c r="P1986" s="2" t="str">
        <x:v>horizontal built-up surface</x:v>
      </x:c>
      <x:c r="Q1986" s="2" t="str">
        <x:v>m2</x:v>
      </x:c>
      <x:c r="R1986" s="17" t="n">
        <x:v>1903018813.9438965</x:v>
      </x:c>
      <x:c r="S1986" s="17" t="n">
        <x:v>997505427.36</x:v>
      </x:c>
      <x:c r="T1986" s="18" t="n">
        <x:v>1.0818083475154359</x:v>
      </x:c>
      <x:c r="U1986" s="17" t="n">
        <x:v>1079109698.0100002</x:v>
      </x:c>
      <x:c r="V1986" s="2" t="str">
        <x:v>Area equivalent = model2020 * WUP surface / TEMPO2020 footprint; km2 multiplied by1e6 once</x:v>
      </x:c>
      <x:c r="W1986" s="2" t="str">
        <x:v>L1_numeric_partition_qualified_not_national_completeness</x:v>
      </x:c>
      <x:c r="X1986" s="2" t="str">
        <x:v>https://human-settlement.emergency.copernicus.eu/datasets.php</x:v>
      </x:c>
    </x:row>
    <x:row r="1987" ht="23" customHeight="1">
      <x:c r="A1987" s="2" t="str">
        <x:v>BEN</x:v>
      </x:c>
      <x:c r="B1987" s="2" t="str">
        <x:v>Benin (Republic of)</x:v>
      </x:c>
      <x:c r="C1987" s="2" t="n">
        <x:v>2030</x:v>
      </x:c>
      <x:c r="D1987" s="2" t="str">
        <x:v>WUP_SURFACE</x:v>
      </x:c>
      <x:c r="E1987" s="17" t="n">
        <x:v>395402653.4921647</x:v>
      </x:c>
      <x:c r="F1987" s="17" t="n">
        <x:f>IF(AND(M1987,ISNUMBER(R1987)),IF(D1987="TEMPO_PROXY",R1987,IF(AND(ISNUMBER(S1987),S1987&gt;0,ISNUMBER(U1987)),U1987*R1987/S1987,"n.a.")),"n.a.")</x:f>
        <x:v>957946229.0380521</x:v>
      </x:c>
      <x:c r="G1987" s="17" t="n">
        <x:f>IF(AND(ISNUMBER(E1987),ISNUMBER(F1987)),E1987-F1987,"n.a.")</x:f>
        <x:v>-562543575.5458875</x:v>
      </x:c>
      <x:c r="H1987" s="15" t="n">
        <x:f>IF(AND(ISNUMBER(E1987),ISNUMBER(F1987),F1987&gt;0),(E1987-F1987)/F1987,"n.a.")</x:f>
        <x:v>-0.5872391982906817</x:v>
      </x:c>
      <x:c r="I1987" s="19" t="n">
        <x:f>IF(ISNUMBER(H1987),ABS(H1987),"n.a.")</x:f>
        <x:v>0.5872391982906817</x:v>
      </x:c>
      <x:c r="J1987" s="2" t="str">
        <x:v>available</x:v>
      </x:c>
      <x:c r="K1987" s="2" t="n">
        <x:v>1</x:v>
      </x:c>
      <x:c r="L1987" s="13" t="b">
        <x:v>0</x:v>
      </x:c>
      <x:c r="M1987" s="13" t="b">
        <x:v>1</x:v>
      </x:c>
      <x:c r="N1987" s="2" t="str">
        <x:v>projected_CRISP_BU_surface</x:v>
      </x:c>
      <x:c r="O1987" s="2" t="str"/>
      <x:c r="P1987" s="2" t="str">
        <x:v>horizontal built-up surface</x:v>
      </x:c>
      <x:c r="Q1987" s="2" t="str">
        <x:v>m2</x:v>
      </x:c>
      <x:c r="R1987" s="17" t="n">
        <x:v>957946229.0380521</x:v>
      </x:c>
      <x:c r="S1987" s="17" t="n">
        <x:v>302038367.25</x:v>
      </x:c>
      <x:c r="T1987" s="18" t="n">
        <x:v>1</x:v>
      </x:c>
      <x:c r="U1987" s="17" t="n">
        <x:v>302038367.25</x:v>
      </x:c>
      <x:c r="V1987" s="2" t="str">
        <x:v>Area equivalent = model2020 * WUP surface / TEMPO2020 footprint; km2 multiplied by1e6 once</x:v>
      </x:c>
      <x:c r="W1987" s="2" t="str">
        <x:v>L1_numeric_partition_qualified_not_national_completeness</x:v>
      </x:c>
      <x:c r="X1987" s="2" t="str">
        <x:v>https://human-settlement.emergency.copernicus.eu/datasets.php</x:v>
      </x:c>
    </x:row>
    <x:row r="1988" ht="23" customHeight="1">
      <x:c r="A1988" s="2" t="str">
        <x:v>BFA</x:v>
      </x:c>
      <x:c r="B1988" s="2" t="str">
        <x:v>Burkina Faso</x:v>
      </x:c>
      <x:c r="C1988" s="2" t="n">
        <x:v>2030</x:v>
      </x:c>
      <x:c r="D1988" s="2" t="str">
        <x:v>WUP_SURFACE</x:v>
      </x:c>
      <x:c r="E1988" s="17" t="n">
        <x:v>466034168.0995761</x:v>
      </x:c>
      <x:c r="F1988" s="17" t="n">
        <x:f>IF(AND(M1988,ISNUMBER(R1988)),IF(D1988="TEMPO_PROXY",R1988,IF(AND(ISNUMBER(S1988),S1988&gt;0,ISNUMBER(U1988)),U1988*R1988/S1988,"n.a.")),"n.a.")</x:f>
        <x:v>1614932197.5418704</x:v>
      </x:c>
      <x:c r="G1988" s="17" t="n">
        <x:f>IF(AND(ISNUMBER(E1988),ISNUMBER(F1988)),E1988-F1988,"n.a.")</x:f>
        <x:v>-1148898029.4422941</x:v>
      </x:c>
      <x:c r="H1988" s="15" t="n">
        <x:f>IF(AND(ISNUMBER(E1988),ISNUMBER(F1988),F1988&gt;0),(E1988-F1988)/F1988,"n.a.")</x:f>
        <x:v>-0.7114218362796043</x:v>
      </x:c>
      <x:c r="I1988" s="19" t="n">
        <x:f>IF(ISNUMBER(H1988),ABS(H1988),"n.a.")</x:f>
        <x:v>0.7114218362796043</x:v>
      </x:c>
      <x:c r="J1988" s="2" t="str">
        <x:v>available</x:v>
      </x:c>
      <x:c r="K1988" s="2" t="n">
        <x:v>1</x:v>
      </x:c>
      <x:c r="L1988" s="13" t="b">
        <x:v>0</x:v>
      </x:c>
      <x:c r="M1988" s="13" t="b">
        <x:v>1</x:v>
      </x:c>
      <x:c r="N1988" s="2" t="str">
        <x:v>projected_CRISP_BU_surface</x:v>
      </x:c>
      <x:c r="O1988" s="2" t="str"/>
      <x:c r="P1988" s="2" t="str">
        <x:v>horizontal built-up surface</x:v>
      </x:c>
      <x:c r="Q1988" s="2" t="str">
        <x:v>m2</x:v>
      </x:c>
      <x:c r="R1988" s="17" t="n">
        <x:v>1614932197.5418696</x:v>
      </x:c>
      <x:c r="S1988" s="17" t="n">
        <x:v>359180891.35</x:v>
      </x:c>
      <x:c r="T1988" s="18" t="n">
        <x:v>1.0000000000000004</x:v>
      </x:c>
      <x:c r="U1988" s="17" t="n">
        <x:v>359180891.3500002</x:v>
      </x:c>
      <x:c r="V1988" s="2" t="str">
        <x:v>Area equivalent = model2020 * WUP surface / TEMPO2020 footprint; km2 multiplied by1e6 once</x:v>
      </x:c>
      <x:c r="W1988" s="2" t="str">
        <x:v>L1_numeric_partition_qualified_not_national_completeness</x:v>
      </x:c>
      <x:c r="X1988" s="2" t="str">
        <x:v>https://human-settlement.emergency.copernicus.eu/datasets.php</x:v>
      </x:c>
    </x:row>
    <x:row r="1989" ht="23" customHeight="1">
      <x:c r="A1989" s="2" t="str">
        <x:v>BGD</x:v>
      </x:c>
      <x:c r="B1989" s="2" t="str">
        <x:v>Bangladesh (People's Republic of)</x:v>
      </x:c>
      <x:c r="C1989" s="2" t="n">
        <x:v>2030</x:v>
      </x:c>
      <x:c r="D1989" s="2" t="str">
        <x:v>WUP_SURFACE</x:v>
      </x:c>
      <x:c r="E1989" s="17" t="n">
        <x:v>3453177905.4673347</x:v>
      </x:c>
      <x:c r="F1989" s="17" t="n">
        <x:f>IF(AND(M1989,ISNUMBER(R1989)),IF(D1989="TEMPO_PROXY",R1989,IF(AND(ISNUMBER(S1989),S1989&gt;0,ISNUMBER(U1989)),U1989*R1989/S1989,"n.a.")),"n.a.")</x:f>
        <x:v>3793700973.882727</x:v>
      </x:c>
      <x:c r="G1989" s="17" t="n">
        <x:f>IF(AND(ISNUMBER(E1989),ISNUMBER(F1989)),E1989-F1989,"n.a.")</x:f>
        <x:v>-340523068.4153924</x:v>
      </x:c>
      <x:c r="H1989" s="15" t="n">
        <x:f>IF(AND(ISNUMBER(E1989),ISNUMBER(F1989),F1989&gt;0),(E1989-F1989)/F1989,"n.a.")</x:f>
        <x:v>-0.08976012362589514</x:v>
      </x:c>
      <x:c r="I1989" s="19" t="n">
        <x:f>IF(ISNUMBER(H1989),ABS(H1989),"n.a.")</x:f>
        <x:v>0.08976012362589514</x:v>
      </x:c>
      <x:c r="J1989" s="2" t="str">
        <x:v>available</x:v>
      </x:c>
      <x:c r="K1989" s="2" t="n">
        <x:v>1</x:v>
      </x:c>
      <x:c r="L1989" s="13" t="b">
        <x:v>0</x:v>
      </x:c>
      <x:c r="M1989" s="13" t="b">
        <x:v>1</x:v>
      </x:c>
      <x:c r="N1989" s="2" t="str">
        <x:v>projected_CRISP_BU_surface</x:v>
      </x:c>
      <x:c r="O1989" s="2" t="str"/>
      <x:c r="P1989" s="2" t="str">
        <x:v>horizontal built-up surface</x:v>
      </x:c>
      <x:c r="Q1989" s="2" t="str">
        <x:v>m2</x:v>
      </x:c>
      <x:c r="R1989" s="17" t="n">
        <x:v>3793700973.8827295</x:v>
      </x:c>
      <x:c r="S1989" s="17" t="n">
        <x:v>2430930564.55</x:v>
      </x:c>
      <x:c r="T1989" s="18" t="n">
        <x:v>0.9999999999999994</x:v>
      </x:c>
      <x:c r="U1989" s="17" t="n">
        <x:v>2430930564.5499988</x:v>
      </x:c>
      <x:c r="V1989" s="2" t="str">
        <x:v>Area equivalent = model2020 * WUP surface / TEMPO2020 footprint; km2 multiplied by1e6 once</x:v>
      </x:c>
      <x:c r="W1989" s="2" t="str">
        <x:v>L1_numeric_partition_qualified_not_national_completeness</x:v>
      </x:c>
      <x:c r="X1989" s="2" t="str">
        <x:v>https://human-settlement.emergency.copernicus.eu/datasets.php</x:v>
      </x:c>
    </x:row>
    <x:row r="1990" ht="23" customHeight="1">
      <x:c r="A1990" s="2" t="str">
        <x:v>BGR</x:v>
      </x:c>
      <x:c r="B1990" s="2" t="str">
        <x:v>Bulgaria (Republic of)</x:v>
      </x:c>
      <x:c r="C1990" s="2" t="n">
        <x:v>2030</x:v>
      </x:c>
      <x:c r="D1990" s="2" t="str">
        <x:v>WUP_SURFACE</x:v>
      </x:c>
      <x:c r="E1990" s="17" t="n">
        <x:v>610372045.8568262</x:v>
      </x:c>
      <x:c r="F1990" s="17" t="n">
        <x:f>IF(AND(M1990,ISNUMBER(R1990)),IF(D1990="TEMPO_PROXY",R1990,IF(AND(ISNUMBER(S1990),S1990&gt;0,ISNUMBER(U1990)),U1990*R1990/S1990,"n.a.")),"n.a.")</x:f>
        <x:v>971366212.5509975</x:v>
      </x:c>
      <x:c r="G1990" s="17" t="n">
        <x:f>IF(AND(ISNUMBER(E1990),ISNUMBER(F1990)),E1990-F1990,"n.a.")</x:f>
        <x:v>-360994166.6941713</x:v>
      </x:c>
      <x:c r="H1990" s="15" t="n">
        <x:f>IF(AND(ISNUMBER(E1990),ISNUMBER(F1990),F1990&gt;0),(E1990-F1990)/F1990,"n.a.")</x:f>
        <x:v>-0.37163549856869127</x:v>
      </x:c>
      <x:c r="I1990" s="19" t="n">
        <x:f>IF(ISNUMBER(H1990),ABS(H1990),"n.a.")</x:f>
        <x:v>0.37163549856869127</x:v>
      </x:c>
      <x:c r="J1990" s="2" t="str">
        <x:v>available</x:v>
      </x:c>
      <x:c r="K1990" s="2" t="n">
        <x:v>1</x:v>
      </x:c>
      <x:c r="L1990" s="13" t="b">
        <x:v>0</x:v>
      </x:c>
      <x:c r="M1990" s="13" t="b">
        <x:v>1</x:v>
      </x:c>
      <x:c r="N1990" s="2" t="str">
        <x:v>projected_CRISP_BU_surface</x:v>
      </x:c>
      <x:c r="O1990" s="2" t="str"/>
      <x:c r="P1990" s="2" t="str">
        <x:v>horizontal built-up surface</x:v>
      </x:c>
      <x:c r="Q1990" s="2" t="str">
        <x:v>m2</x:v>
      </x:c>
      <x:c r="R1990" s="17" t="n">
        <x:v>971366212.5509962</x:v>
      </x:c>
      <x:c r="S1990" s="17" t="n">
        <x:v>543020803.57</x:v>
      </x:c>
      <x:c r="T1990" s="18" t="n">
        <x:v>1.0000000000000013</x:v>
      </x:c>
      <x:c r="U1990" s="17" t="n">
        <x:v>543020803.5700008</x:v>
      </x:c>
      <x:c r="V1990" s="2" t="str">
        <x:v>Area equivalent = model2020 * WUP surface / TEMPO2020 footprint; km2 multiplied by1e6 once</x:v>
      </x:c>
      <x:c r="W1990" s="2" t="str">
        <x:v>L1_numeric_partition_qualified_not_national_completeness</x:v>
      </x:c>
      <x:c r="X1990" s="2" t="str">
        <x:v>https://human-settlement.emergency.copernicus.eu/datasets.php</x:v>
      </x:c>
    </x:row>
    <x:row r="1991" ht="23" customHeight="1">
      <x:c r="A1991" s="2" t="str">
        <x:v>BHR</x:v>
      </x:c>
      <x:c r="B1991" s="2" t="str">
        <x:v>Bahrain (Kingdom of)</x:v>
      </x:c>
      <x:c r="C1991" s="2" t="n">
        <x:v>2030</x:v>
      </x:c>
      <x:c r="D1991" s="2" t="str">
        <x:v>WUP_SURFACE</x:v>
      </x:c>
      <x:c r="E1991" s="17" t="n">
        <x:v>82884730.92770205</x:v>
      </x:c>
      <x:c r="F1991" s="17" t="n">
        <x:f>IF(AND(M1991,ISNUMBER(R1991)),IF(D1991="TEMPO_PROXY",R1991,IF(AND(ISNUMBER(S1991),S1991&gt;0,ISNUMBER(U1991)),U1991*R1991/S1991,"n.a.")),"n.a.")</x:f>
        <x:v>124151423.32002763</x:v>
      </x:c>
      <x:c r="G1991" s="17" t="n">
        <x:f>IF(AND(ISNUMBER(E1991),ISNUMBER(F1991)),E1991-F1991,"n.a.")</x:f>
        <x:v>-41266692.39232558</x:v>
      </x:c>
      <x:c r="H1991" s="15" t="n">
        <x:f>IF(AND(ISNUMBER(E1991),ISNUMBER(F1991),F1991&gt;0),(E1991-F1991)/F1991,"n.a.")</x:f>
        <x:v>-0.33239000640332245</x:v>
      </x:c>
      <x:c r="I1991" s="19" t="n">
        <x:f>IF(ISNUMBER(H1991),ABS(H1991),"n.a.")</x:f>
        <x:v>0.33239000640332245</x:v>
      </x:c>
      <x:c r="J1991" s="2" t="str">
        <x:v>available</x:v>
      </x:c>
      <x:c r="K1991" s="2" t="n">
        <x:v>1</x:v>
      </x:c>
      <x:c r="L1991" s="13" t="b">
        <x:v>0</x:v>
      </x:c>
      <x:c r="M1991" s="13" t="b">
        <x:v>1</x:v>
      </x:c>
      <x:c r="N1991" s="2" t="str">
        <x:v>projected_CRISP_BU_surface</x:v>
      </x:c>
      <x:c r="O1991" s="2" t="str"/>
      <x:c r="P1991" s="2" t="str">
        <x:v>horizontal built-up surface</x:v>
      </x:c>
      <x:c r="Q1991" s="2" t="str">
        <x:v>m2</x:v>
      </x:c>
      <x:c r="R1991" s="17" t="n">
        <x:v>106651155.50518383</x:v>
      </x:c>
      <x:c r="S1991" s="17" t="n">
        <x:v>54723363.17</x:v>
      </x:c>
      <x:c r="T1991" s="18" t="n">
        <x:v>1.1640888720984668</x:v>
      </x:c>
      <x:c r="U1991" s="17" t="n">
        <x:v>63702858.11000008</x:v>
      </x:c>
      <x:c r="V1991" s="2" t="str">
        <x:v>Area equivalent = model2020 * WUP surface / TEMPO2020 footprint; km2 multiplied by1e6 once</x:v>
      </x:c>
      <x:c r="W1991" s="2" t="str">
        <x:v>L1_numeric_partition_qualified_not_national_completeness</x:v>
      </x:c>
      <x:c r="X1991" s="2" t="str">
        <x:v>https://human-settlement.emergency.copernicus.eu/datasets.php</x:v>
      </x:c>
    </x:row>
    <x:row r="1992" ht="23" customHeight="1">
      <x:c r="A1992" s="2" t="str">
        <x:v>BHS</x:v>
      </x:c>
      <x:c r="B1992" s="2" t="str">
        <x:v>Bahamas (Commonwealth of the)</x:v>
      </x:c>
      <x:c r="C1992" s="2" t="n">
        <x:v>2030</x:v>
      </x:c>
      <x:c r="D1992" s="2" t="str">
        <x:v>WUP_SURFACE</x:v>
      </x:c>
      <x:c r="E1992" s="17" t="n">
        <x:v>34273622.937541656</x:v>
      </x:c>
      <x:c r="F1992" s="17" t="n">
        <x:f>IF(AND(M1992,ISNUMBER(R1992)),IF(D1992="TEMPO_PROXY",R1992,IF(AND(ISNUMBER(S1992),S1992&gt;0,ISNUMBER(U1992)),U1992*R1992/S1992,"n.a.")),"n.a.")</x:f>
        <x:v>53646851.77834803</x:v>
      </x:c>
      <x:c r="G1992" s="17" t="n">
        <x:f>IF(AND(ISNUMBER(E1992),ISNUMBER(F1992)),E1992-F1992,"n.a.")</x:f>
        <x:v>-19373228.840806372</x:v>
      </x:c>
      <x:c r="H1992" s="15" t="n">
        <x:f>IF(AND(ISNUMBER(E1992),ISNUMBER(F1992),F1992&gt;0),(E1992-F1992)/F1992,"n.a.")</x:f>
        <x:v>-0.36112517694142576</x:v>
      </x:c>
      <x:c r="I1992" s="19" t="n">
        <x:f>IF(ISNUMBER(H1992),ABS(H1992),"n.a.")</x:f>
        <x:v>0.36112517694142576</x:v>
      </x:c>
      <x:c r="J1992" s="2" t="str">
        <x:v>available</x:v>
      </x:c>
      <x:c r="K1992" s="2" t="n">
        <x:v>1</x:v>
      </x:c>
      <x:c r="L1992" s="13" t="b">
        <x:v>0</x:v>
      </x:c>
      <x:c r="M1992" s="13" t="b">
        <x:v>1</x:v>
      </x:c>
      <x:c r="N1992" s="2" t="str">
        <x:v>projected_CRISP_BU_surface</x:v>
      </x:c>
      <x:c r="O1992" s="2" t="str"/>
      <x:c r="P1992" s="2" t="str">
        <x:v>horizontal built-up surface</x:v>
      </x:c>
      <x:c r="Q1992" s="2" t="str">
        <x:v>m2</x:v>
      </x:c>
      <x:c r="R1992" s="17" t="n">
        <x:v>53646851.778348036</x:v>
      </x:c>
      <x:c r="S1992" s="17" t="n">
        <x:v>29184660.45</x:v>
      </x:c>
      <x:c r="T1992" s="18" t="n">
        <x:v>0.9999999999999998</x:v>
      </x:c>
      <x:c r="U1992" s="17" t="n">
        <x:v>29184660.44999999</x:v>
      </x:c>
      <x:c r="V1992" s="2" t="str">
        <x:v>Area equivalent = model2020 * WUP surface / TEMPO2020 footprint; km2 multiplied by1e6 once</x:v>
      </x:c>
      <x:c r="W1992" s="2" t="str">
        <x:v>L1_numeric_partition_qualified_not_national_completeness</x:v>
      </x:c>
      <x:c r="X1992" s="2" t="str">
        <x:v>https://human-settlement.emergency.copernicus.eu/datasets.php</x:v>
      </x:c>
    </x:row>
    <x:row r="1993" ht="23" customHeight="1">
      <x:c r="A1993" s="2" t="str">
        <x:v>BIH</x:v>
      </x:c>
      <x:c r="B1993" s="2" t="str">
        <x:v>Bosnia and Herzegovina</x:v>
      </x:c>
      <x:c r="C1993" s="2" t="n">
        <x:v>2030</x:v>
      </x:c>
      <x:c r="D1993" s="2" t="str">
        <x:v>WUP_SURFACE</x:v>
      </x:c>
      <x:c r="E1993" s="17" t="n">
        <x:v>260905966.13980263</x:v>
      </x:c>
      <x:c r="F1993" s="17" t="n">
        <x:f>IF(AND(M1993,ISNUMBER(R1993)),IF(D1993="TEMPO_PROXY",R1993,IF(AND(ISNUMBER(S1993),S1993&gt;0,ISNUMBER(U1993)),U1993*R1993/S1993,"n.a.")),"n.a.")</x:f>
        <x:v>379589566.6118649</x:v>
      </x:c>
      <x:c r="G1993" s="17" t="n">
        <x:f>IF(AND(ISNUMBER(E1993),ISNUMBER(F1993)),E1993-F1993,"n.a.")</x:f>
        <x:v>-118683600.47206229</x:v>
      </x:c>
      <x:c r="H1993" s="15" t="n">
        <x:f>IF(AND(ISNUMBER(E1993),ISNUMBER(F1993),F1993&gt;0),(E1993-F1993)/F1993,"n.a.")</x:f>
        <x:v>-0.3126629678771381</x:v>
      </x:c>
      <x:c r="I1993" s="19" t="n">
        <x:f>IF(ISNUMBER(H1993),ABS(H1993),"n.a.")</x:f>
        <x:v>0.3126629678771381</x:v>
      </x:c>
      <x:c r="J1993" s="2" t="str">
        <x:v>available</x:v>
      </x:c>
      <x:c r="K1993" s="2" t="n">
        <x:v>1</x:v>
      </x:c>
      <x:c r="L1993" s="13" t="b">
        <x:v>0</x:v>
      </x:c>
      <x:c r="M1993" s="13" t="b">
        <x:v>1</x:v>
      </x:c>
      <x:c r="N1993" s="2" t="str">
        <x:v>projected_CRISP_BU_surface</x:v>
      </x:c>
      <x:c r="O1993" s="2" t="str"/>
      <x:c r="P1993" s="2" t="str">
        <x:v>horizontal built-up surface</x:v>
      </x:c>
      <x:c r="Q1993" s="2" t="str">
        <x:v>m2</x:v>
      </x:c>
      <x:c r="R1993" s="17" t="n">
        <x:v>379589566.6118645</x:v>
      </x:c>
      <x:c r="S1993" s="17" t="n">
        <x:v>247114206.72</x:v>
      </x:c>
      <x:c r="T1993" s="18" t="n">
        <x:v>1.000000000000001</x:v>
      </x:c>
      <x:c r="U1993" s="17" t="n">
        <x:v>247114206.72000027</x:v>
      </x:c>
      <x:c r="V1993" s="2" t="str">
        <x:v>Area equivalent = model2020 * WUP surface / TEMPO2020 footprint; km2 multiplied by1e6 once</x:v>
      </x:c>
      <x:c r="W1993" s="2" t="str">
        <x:v>L1_numeric_partition_qualified_not_national_completeness</x:v>
      </x:c>
      <x:c r="X1993" s="2" t="str">
        <x:v>https://human-settlement.emergency.copernicus.eu/datasets.php</x:v>
      </x:c>
    </x:row>
    <x:row r="1994" ht="23" customHeight="1">
      <x:c r="A1994" s="2" t="str">
        <x:v>BLR</x:v>
      </x:c>
      <x:c r="B1994" s="2" t="str">
        <x:v>Belarus (Republic of)</x:v>
      </x:c>
      <x:c r="C1994" s="2" t="n">
        <x:v>2030</x:v>
      </x:c>
      <x:c r="D1994" s="2" t="str">
        <x:v>WUP_SURFACE</x:v>
      </x:c>
      <x:c r="E1994" s="17" t="n">
        <x:v>761392579.7041878</x:v>
      </x:c>
      <x:c r="F1994" s="17" t="n">
        <x:f>IF(AND(M1994,ISNUMBER(R1994)),IF(D1994="TEMPO_PROXY",R1994,IF(AND(ISNUMBER(S1994),S1994&gt;0,ISNUMBER(U1994)),U1994*R1994/S1994,"n.a.")),"n.a.")</x:f>
        <x:v>1407571964.936696</x:v>
      </x:c>
      <x:c r="G1994" s="17" t="n">
        <x:f>IF(AND(ISNUMBER(E1994),ISNUMBER(F1994)),E1994-F1994,"n.a.")</x:f>
        <x:v>-646179385.2325083</x:v>
      </x:c>
      <x:c r="H1994" s="15" t="n">
        <x:f>IF(AND(ISNUMBER(E1994),ISNUMBER(F1994),F1994&gt;0),(E1994-F1994)/F1994,"n.a.")</x:f>
        <x:v>-0.4590737818947463</x:v>
      </x:c>
      <x:c r="I1994" s="19" t="n">
        <x:f>IF(ISNUMBER(H1994),ABS(H1994),"n.a.")</x:f>
        <x:v>0.4590737818947463</x:v>
      </x:c>
      <x:c r="J1994" s="2" t="str">
        <x:v>available</x:v>
      </x:c>
      <x:c r="K1994" s="2" t="n">
        <x:v>1</x:v>
      </x:c>
      <x:c r="L1994" s="13" t="b">
        <x:v>0</x:v>
      </x:c>
      <x:c r="M1994" s="13" t="b">
        <x:v>1</x:v>
      </x:c>
      <x:c r="N1994" s="2" t="str">
        <x:v>projected_CRISP_BU_surface</x:v>
      </x:c>
      <x:c r="O1994" s="2" t="str"/>
      <x:c r="P1994" s="2" t="str">
        <x:v>horizontal built-up surface</x:v>
      </x:c>
      <x:c r="Q1994" s="2" t="str">
        <x:v>m2</x:v>
      </x:c>
      <x:c r="R1994" s="17" t="n">
        <x:v>1407571964.9366956</x:v>
      </x:c>
      <x:c r="S1994" s="17" t="n">
        <x:v>672205246.44</x:v>
      </x:c>
      <x:c r="T1994" s="18" t="n">
        <x:v>1.0000000000000004</x:v>
      </x:c>
      <x:c r="U1994" s="17" t="n">
        <x:v>672205246.4400003</x:v>
      </x:c>
      <x:c r="V1994" s="2" t="str">
        <x:v>Area equivalent = model2020 * WUP surface / TEMPO2020 footprint; km2 multiplied by1e6 once</x:v>
      </x:c>
      <x:c r="W1994" s="2" t="str">
        <x:v>L1_numeric_partition_qualified_not_national_completeness</x:v>
      </x:c>
      <x:c r="X1994" s="2" t="str">
        <x:v>https://human-settlement.emergency.copernicus.eu/datasets.php</x:v>
      </x:c>
    </x:row>
    <x:row r="1995" ht="23" customHeight="1">
      <x:c r="A1995" s="2" t="str">
        <x:v>BLZ</x:v>
      </x:c>
      <x:c r="B1995" s="2" t="str">
        <x:v>Belize</x:v>
      </x:c>
      <x:c r="C1995" s="2" t="n">
        <x:v>2030</x:v>
      </x:c>
      <x:c r="D1995" s="2" t="str">
        <x:v>WUP_SURFACE</x:v>
      </x:c>
      <x:c r="E1995" s="17" t="n">
        <x:v>25951143.46881574</x:v>
      </x:c>
      <x:c r="F1995" s="17" t="n">
        <x:f>IF(AND(M1995,ISNUMBER(R1995)),IF(D1995="TEMPO_PROXY",R1995,IF(AND(ISNUMBER(S1995),S1995&gt;0,ISNUMBER(U1995)),U1995*R1995/S1995,"n.a.")),"n.a.")</x:f>
        <x:v>60295706.13915862</x:v>
      </x:c>
      <x:c r="G1995" s="17" t="n">
        <x:f>IF(AND(ISNUMBER(E1995),ISNUMBER(F1995)),E1995-F1995,"n.a.")</x:f>
        <x:v>-34344562.67034288</x:v>
      </x:c>
      <x:c r="H1995" s="15" t="n">
        <x:f>IF(AND(ISNUMBER(E1995),ISNUMBER(F1995),F1995&gt;0),(E1995-F1995)/F1995,"n.a.")</x:f>
        <x:v>-0.5696021303918032</x:v>
      </x:c>
      <x:c r="I1995" s="19" t="n">
        <x:f>IF(ISNUMBER(H1995),ABS(H1995),"n.a.")</x:f>
        <x:v>0.5696021303918032</x:v>
      </x:c>
      <x:c r="J1995" s="2" t="str">
        <x:v>available</x:v>
      </x:c>
      <x:c r="K1995" s="2" t="n">
        <x:v>1</x:v>
      </x:c>
      <x:c r="L1995" s="13" t="b">
        <x:v>0</x:v>
      </x:c>
      <x:c r="M1995" s="13" t="b">
        <x:v>1</x:v>
      </x:c>
      <x:c r="N1995" s="2" t="str">
        <x:v>projected_CRISP_BU_surface</x:v>
      </x:c>
      <x:c r="O1995" s="2" t="str"/>
      <x:c r="P1995" s="2" t="str">
        <x:v>horizontal built-up surface</x:v>
      </x:c>
      <x:c r="Q1995" s="2" t="str">
        <x:v>m2</x:v>
      </x:c>
      <x:c r="R1995" s="17" t="n">
        <x:v>60295706.13915871</x:v>
      </x:c>
      <x:c r="S1995" s="17" t="n">
        <x:v>21867714.34</x:v>
      </x:c>
      <x:c r="T1995" s="18" t="n">
        <x:v>0.9999999999999984</x:v>
      </x:c>
      <x:c r="U1995" s="17" t="n">
        <x:v>21867714.339999966</x:v>
      </x:c>
      <x:c r="V1995" s="2" t="str">
        <x:v>Area equivalent = model2020 * WUP surface / TEMPO2020 footprint; km2 multiplied by1e6 once</x:v>
      </x:c>
      <x:c r="W1995" s="2" t="str">
        <x:v>L1_numeric_partition_qualified_not_national_completeness</x:v>
      </x:c>
      <x:c r="X1995" s="2" t="str">
        <x:v>https://human-settlement.emergency.copernicus.eu/datasets.php</x:v>
      </x:c>
    </x:row>
    <x:row r="1996" ht="23" customHeight="1">
      <x:c r="A1996" s="2" t="str">
        <x:v>BOL</x:v>
      </x:c>
      <x:c r="B1996" s="2" t="str">
        <x:v>Bolivia (Plurinational State of)</x:v>
      </x:c>
      <x:c r="C1996" s="2" t="n">
        <x:v>2030</x:v>
      </x:c>
      <x:c r="D1996" s="2" t="str">
        <x:v>WUP_SURFACE</x:v>
      </x:c>
      <x:c r="E1996" s="17" t="n">
        <x:v>636782253.032454</x:v>
      </x:c>
      <x:c r="F1996" s="17" t="n">
        <x:f>IF(AND(M1996,ISNUMBER(R1996)),IF(D1996="TEMPO_PROXY",R1996,IF(AND(ISNUMBER(S1996),S1996&gt;0,ISNUMBER(U1996)),U1996*R1996/S1996,"n.a.")),"n.a.")</x:f>
        <x:v>909585520.003346</x:v>
      </x:c>
      <x:c r="G1996" s="17" t="n">
        <x:f>IF(AND(ISNUMBER(E1996),ISNUMBER(F1996)),E1996-F1996,"n.a.")</x:f>
        <x:v>-272803266.97089195</x:v>
      </x:c>
      <x:c r="H1996" s="15" t="n">
        <x:f>IF(AND(ISNUMBER(E1996),ISNUMBER(F1996),F1996&gt;0),(E1996-F1996)/F1996,"n.a.")</x:f>
        <x:v>-0.29992041536664793</x:v>
      </x:c>
      <x:c r="I1996" s="19" t="n">
        <x:f>IF(ISNUMBER(H1996),ABS(H1996),"n.a.")</x:f>
        <x:v>0.29992041536664793</x:v>
      </x:c>
      <x:c r="J1996" s="2" t="str">
        <x:v>available</x:v>
      </x:c>
      <x:c r="K1996" s="2" t="n">
        <x:v>1</x:v>
      </x:c>
      <x:c r="L1996" s="13" t="b">
        <x:v>0</x:v>
      </x:c>
      <x:c r="M1996" s="13" t="b">
        <x:v>1</x:v>
      </x:c>
      <x:c r="N1996" s="2" t="str">
        <x:v>projected_CRISP_BU_surface</x:v>
      </x:c>
      <x:c r="O1996" s="2" t="str"/>
      <x:c r="P1996" s="2" t="str">
        <x:v>horizontal built-up surface</x:v>
      </x:c>
      <x:c r="Q1996" s="2" t="str">
        <x:v>m2</x:v>
      </x:c>
      <x:c r="R1996" s="17" t="n">
        <x:v>909585520.0033473</x:v>
      </x:c>
      <x:c r="S1996" s="17" t="n">
        <x:v>496419008.94</x:v>
      </x:c>
      <x:c r="T1996" s="18" t="n">
        <x:v>0.9999999999999984</x:v>
      </x:c>
      <x:c r="U1996" s="17" t="n">
        <x:v>496419008.9399992</x:v>
      </x:c>
      <x:c r="V1996" s="2" t="str">
        <x:v>Area equivalent = model2020 * WUP surface / TEMPO2020 footprint; km2 multiplied by1e6 once</x:v>
      </x:c>
      <x:c r="W1996" s="2" t="str">
        <x:v>L1_numeric_partition_qualified_not_national_completeness</x:v>
      </x:c>
      <x:c r="X1996" s="2" t="str">
        <x:v>https://human-settlement.emergency.copernicus.eu/datasets.php</x:v>
      </x:c>
    </x:row>
    <x:row r="1997" ht="23" customHeight="1">
      <x:c r="A1997" s="2" t="str">
        <x:v>BRA</x:v>
      </x:c>
      <x:c r="B1997" s="2" t="str">
        <x:v>Brazil (Federative Republic of)</x:v>
      </x:c>
      <x:c r="C1997" s="2" t="n">
        <x:v>2030</x:v>
      </x:c>
      <x:c r="D1997" s="2" t="str">
        <x:v>WUP_SURFACE</x:v>
      </x:c>
      <x:c r="E1997" s="17" t="n">
        <x:v>14292110685.429745</x:v>
      </x:c>
      <x:c r="F1997" s="17" t="n">
        <x:f>IF(AND(M1997,ISNUMBER(R1997)),IF(D1997="TEMPO_PROXY",R1997,IF(AND(ISNUMBER(S1997),S1997&gt;0,ISNUMBER(U1997)),U1997*R1997/S1997,"n.a.")),"n.a.")</x:f>
        <x:v>18612568920.167583</x:v>
      </x:c>
      <x:c r="G1997" s="17" t="n">
        <x:f>IF(AND(ISNUMBER(E1997),ISNUMBER(F1997)),E1997-F1997,"n.a.")</x:f>
        <x:v>-4320458234.737839</x:v>
      </x:c>
      <x:c r="H1997" s="15" t="n">
        <x:f>IF(AND(ISNUMBER(E1997),ISNUMBER(F1997),F1997&gt;0),(E1997-F1997)/F1997,"n.a.")</x:f>
        <x:v>-0.2321258421268448</x:v>
      </x:c>
      <x:c r="I1997" s="19" t="n">
        <x:f>IF(ISNUMBER(H1997),ABS(H1997),"n.a.")</x:f>
        <x:v>0.2321258421268448</x:v>
      </x:c>
      <x:c r="J1997" s="2" t="str">
        <x:v>available</x:v>
      </x:c>
      <x:c r="K1997" s="2" t="n">
        <x:v>1</x:v>
      </x:c>
      <x:c r="L1997" s="13" t="b">
        <x:v>0</x:v>
      </x:c>
      <x:c r="M1997" s="13" t="b">
        <x:v>1</x:v>
      </x:c>
      <x:c r="N1997" s="2" t="str">
        <x:v>projected_CRISP_BU_surface</x:v>
      </x:c>
      <x:c r="O1997" s="2" t="str"/>
      <x:c r="P1997" s="2" t="str">
        <x:v>horizontal built-up surface</x:v>
      </x:c>
      <x:c r="Q1997" s="2" t="str">
        <x:v>m2</x:v>
      </x:c>
      <x:c r="R1997" s="17" t="n">
        <x:v>18612568920.16759</x:v>
      </x:c>
      <x:c r="S1997" s="17" t="n">
        <x:v>12112839681.86</x:v>
      </x:c>
      <x:c r="T1997" s="18" t="n">
        <x:v>0.9999999999999997</x:v>
      </x:c>
      <x:c r="U1997" s="17" t="n">
        <x:v>12112839681.859997</x:v>
      </x:c>
      <x:c r="V1997" s="2" t="str">
        <x:v>Area equivalent = model2020 * WUP surface / TEMPO2020 footprint; km2 multiplied by1e6 once</x:v>
      </x:c>
      <x:c r="W1997" s="2" t="str">
        <x:v>L1_numeric_partition_qualified_not_national_completeness</x:v>
      </x:c>
      <x:c r="X1997" s="2" t="str">
        <x:v>https://human-settlement.emergency.copernicus.eu/datasets.php</x:v>
      </x:c>
    </x:row>
    <x:row r="1998" ht="23" customHeight="1">
      <x:c r="A1998" s="2" t="str">
        <x:v>BRB</x:v>
      </x:c>
      <x:c r="B1998" s="2" t="str">
        <x:v>Barbados</x:v>
      </x:c>
      <x:c r="C1998" s="2" t="n">
        <x:v>2030</x:v>
      </x:c>
      <x:c r="D1998" s="2" t="str">
        <x:v>WUP_SURFACE</x:v>
      </x:c>
      <x:c r="E1998" s="17" t="n">
        <x:v>25274132.068974964</x:v>
      </x:c>
      <x:c r="F1998" s="17" t="n">
        <x:f>IF(AND(M1998,ISNUMBER(R1998)),IF(D1998="TEMPO_PROXY",R1998,IF(AND(ISNUMBER(S1998),S1998&gt;0,ISNUMBER(U1998)),U1998*R1998/S1998,"n.a.")),"n.a.")</x:f>
        <x:v>42781350.60411297</x:v>
      </x:c>
      <x:c r="G1998" s="17" t="n">
        <x:f>IF(AND(ISNUMBER(E1998),ISNUMBER(F1998)),E1998-F1998,"n.a.")</x:f>
        <x:v>-17507218.535138004</x:v>
      </x:c>
      <x:c r="H1998" s="15" t="n">
        <x:f>IF(AND(ISNUMBER(E1998),ISNUMBER(F1998),F1998&gt;0),(E1998-F1998)/F1998,"n.a.")</x:f>
        <x:v>-0.4092254753045331</x:v>
      </x:c>
      <x:c r="I1998" s="19" t="n">
        <x:f>IF(ISNUMBER(H1998),ABS(H1998),"n.a.")</x:f>
        <x:v>0.4092254753045331</x:v>
      </x:c>
      <x:c r="J1998" s="2" t="str">
        <x:v>available</x:v>
      </x:c>
      <x:c r="K1998" s="2" t="n">
        <x:v>1</x:v>
      </x:c>
      <x:c r="L1998" s="13" t="b">
        <x:v>0</x:v>
      </x:c>
      <x:c r="M1998" s="13" t="b">
        <x:v>1</x:v>
      </x:c>
      <x:c r="N1998" s="2" t="str">
        <x:v>projected_CRISP_BU_surface</x:v>
      </x:c>
      <x:c r="O1998" s="2" t="str"/>
      <x:c r="P1998" s="2" t="str">
        <x:v>horizontal built-up surface</x:v>
      </x:c>
      <x:c r="Q1998" s="2" t="str">
        <x:v>m2</x:v>
      </x:c>
      <x:c r="R1998" s="17" t="n">
        <x:v>42781350.60411296</x:v>
      </x:c>
      <x:c r="S1998" s="17" t="n">
        <x:v>23684585.84</x:v>
      </x:c>
      <x:c r="T1998" s="18" t="n">
        <x:v>1.0000000000000002</x:v>
      </x:c>
      <x:c r="U1998" s="17" t="n">
        <x:v>23684585.840000004</x:v>
      </x:c>
      <x:c r="V1998" s="2" t="str">
        <x:v>Area equivalent = model2020 * WUP surface / TEMPO2020 footprint; km2 multiplied by1e6 once</x:v>
      </x:c>
      <x:c r="W1998" s="2" t="str">
        <x:v>L1_numeric_partition_qualified_not_national_completeness</x:v>
      </x:c>
      <x:c r="X1998" s="2" t="str">
        <x:v>https://human-settlement.emergency.copernicus.eu/datasets.php</x:v>
      </x:c>
    </x:row>
    <x:row r="1999" ht="23" customHeight="1">
      <x:c r="A1999" s="2" t="str">
        <x:v>BRN</x:v>
      </x:c>
      <x:c r="B1999" s="2" t="str">
        <x:v>Brunei Darussalam</x:v>
      </x:c>
      <x:c r="C1999" s="2" t="n">
        <x:v>2030</x:v>
      </x:c>
      <x:c r="D1999" s="2" t="str">
        <x:v>WUP_SURFACE</x:v>
      </x:c>
      <x:c r="E1999" s="17" t="n">
        <x:v>45688172.79126603</x:v>
      </x:c>
      <x:c r="F1999" s="17" t="n">
        <x:f>IF(AND(M1999,ISNUMBER(R1999)),IF(D1999="TEMPO_PROXY",R1999,IF(AND(ISNUMBER(S1999),S1999&gt;0,ISNUMBER(U1999)),U1999*R1999/S1999,"n.a.")),"n.a.")</x:f>
        <x:v>64273965.590612315</x:v>
      </x:c>
      <x:c r="G1999" s="17" t="n">
        <x:f>IF(AND(ISNUMBER(E1999),ISNUMBER(F1999)),E1999-F1999,"n.a.")</x:f>
        <x:v>-18585792.799346283</x:v>
      </x:c>
      <x:c r="H1999" s="15" t="n">
        <x:f>IF(AND(ISNUMBER(E1999),ISNUMBER(F1999),F1999&gt;0),(E1999-F1999)/F1999,"n.a.")</x:f>
        <x:v>-0.28916517953360693</x:v>
      </x:c>
      <x:c r="I1999" s="19" t="n">
        <x:f>IF(ISNUMBER(H1999),ABS(H1999),"n.a.")</x:f>
        <x:v>0.28916517953360693</x:v>
      </x:c>
      <x:c r="J1999" s="2" t="str">
        <x:v>available</x:v>
      </x:c>
      <x:c r="K1999" s="2" t="n">
        <x:v>1</x:v>
      </x:c>
      <x:c r="L1999" s="13" t="b">
        <x:v>0</x:v>
      </x:c>
      <x:c r="M1999" s="13" t="b">
        <x:v>1</x:v>
      </x:c>
      <x:c r="N1999" s="2" t="str">
        <x:v>projected_CRISP_BU_surface</x:v>
      </x:c>
      <x:c r="O1999" s="2" t="str"/>
      <x:c r="P1999" s="2" t="str">
        <x:v>horizontal built-up surface</x:v>
      </x:c>
      <x:c r="Q1999" s="2" t="str">
        <x:v>m2</x:v>
      </x:c>
      <x:c r="R1999" s="17" t="n">
        <x:v>64273965.59061231</x:v>
      </x:c>
      <x:c r="S1999" s="17" t="n">
        <x:v>37849769.86</x:v>
      </x:c>
      <x:c r="T1999" s="18" t="n">
        <x:v>1.0000000000000002</x:v>
      </x:c>
      <x:c r="U1999" s="17" t="n">
        <x:v>37849769.86000001</x:v>
      </x:c>
      <x:c r="V1999" s="2" t="str">
        <x:v>Area equivalent = model2020 * WUP surface / TEMPO2020 footprint; km2 multiplied by1e6 once</x:v>
      </x:c>
      <x:c r="W1999" s="2" t="str">
        <x:v>L1_numeric_partition_qualified_not_national_completeness</x:v>
      </x:c>
      <x:c r="X1999" s="2" t="str">
        <x:v>https://human-settlement.emergency.copernicus.eu/datasets.php</x:v>
      </x:c>
    </x:row>
    <x:row r="2000" ht="23" customHeight="1">
      <x:c r="A2000" s="2" t="str">
        <x:v>BTN</x:v>
      </x:c>
      <x:c r="B2000" s="2" t="str">
        <x:v>Bhutan (Kingdom of)</x:v>
      </x:c>
      <x:c r="C2000" s="2" t="n">
        <x:v>2030</x:v>
      </x:c>
      <x:c r="D2000" s="2" t="str">
        <x:v>WUP_SURFACE</x:v>
      </x:c>
      <x:c r="E2000" s="17" t="n">
        <x:v>35328915.95213313</x:v>
      </x:c>
      <x:c r="F2000" s="17" t="n">
        <x:f>IF(AND(M2000,ISNUMBER(R2000)),IF(D2000="TEMPO_PROXY",R2000,IF(AND(ISNUMBER(S2000),S2000&gt;0,ISNUMBER(U2000)),U2000*R2000/S2000,"n.a.")),"n.a.")</x:f>
        <x:v>40289231.61444931</x:v>
      </x:c>
      <x:c r="G2000" s="17" t="n">
        <x:f>IF(AND(ISNUMBER(E2000),ISNUMBER(F2000)),E2000-F2000,"n.a.")</x:f>
        <x:v>-4960315.662316181</x:v>
      </x:c>
      <x:c r="H2000" s="15" t="n">
        <x:f>IF(AND(ISNUMBER(E2000),ISNUMBER(F2000),F2000&gt;0),(E2000-F2000)/F2000,"n.a.")</x:f>
        <x:v>-0.1231176536148487</x:v>
      </x:c>
      <x:c r="I2000" s="19" t="n">
        <x:f>IF(ISNUMBER(H2000),ABS(H2000),"n.a.")</x:f>
        <x:v>0.1231176536148487</x:v>
      </x:c>
      <x:c r="J2000" s="2" t="str">
        <x:v>available</x:v>
      </x:c>
      <x:c r="K2000" s="2" t="n">
        <x:v>1</x:v>
      </x:c>
      <x:c r="L2000" s="13" t="b">
        <x:v>0</x:v>
      </x:c>
      <x:c r="M2000" s="13" t="b">
        <x:v>1</x:v>
      </x:c>
      <x:c r="N2000" s="2" t="str">
        <x:v>projected_CRISP_BU_surface</x:v>
      </x:c>
      <x:c r="O2000" s="2" t="str"/>
      <x:c r="P2000" s="2" t="str">
        <x:v>horizontal built-up surface</x:v>
      </x:c>
      <x:c r="Q2000" s="2" t="str">
        <x:v>m2</x:v>
      </x:c>
      <x:c r="R2000" s="17" t="n">
        <x:v>40289231.61444925</x:v>
      </x:c>
      <x:c r="S2000" s="17" t="n">
        <x:v>27177544.51</x:v>
      </x:c>
      <x:c r="T2000" s="18" t="n">
        <x:v>1.0000000000000016</x:v>
      </x:c>
      <x:c r="U2000" s="17" t="n">
        <x:v>27177544.510000043</x:v>
      </x:c>
      <x:c r="V2000" s="2" t="str">
        <x:v>Area equivalent = model2020 * WUP surface / TEMPO2020 footprint; km2 multiplied by1e6 once</x:v>
      </x:c>
      <x:c r="W2000" s="2" t="str">
        <x:v>L1_numeric_partition_qualified_not_national_completeness</x:v>
      </x:c>
      <x:c r="X2000" s="2" t="str">
        <x:v>https://human-settlement.emergency.copernicus.eu/datasets.php</x:v>
      </x:c>
    </x:row>
    <x:row r="2001" ht="23" customHeight="1">
      <x:c r="A2001" s="2" t="str">
        <x:v>BWA</x:v>
      </x:c>
      <x:c r="B2001" s="2" t="str">
        <x:v>Botswana (Republic of)</x:v>
      </x:c>
      <x:c r="C2001" s="2" t="n">
        <x:v>2030</x:v>
      </x:c>
      <x:c r="D2001" s="2" t="str">
        <x:v>WUP_SURFACE</x:v>
      </x:c>
      <x:c r="E2001" s="17" t="n">
        <x:v>131924482.49205413</x:v>
      </x:c>
      <x:c r="F2001" s="17" t="n">
        <x:f>IF(AND(M2001,ISNUMBER(R2001)),IF(D2001="TEMPO_PROXY",R2001,IF(AND(ISNUMBER(S2001),S2001&gt;0,ISNUMBER(U2001)),U2001*R2001/S2001,"n.a.")),"n.a.")</x:f>
        <x:v>530821446.42990774</x:v>
      </x:c>
      <x:c r="G2001" s="17" t="n">
        <x:f>IF(AND(ISNUMBER(E2001),ISNUMBER(F2001)),E2001-F2001,"n.a.")</x:f>
        <x:v>-398896963.9378536</x:v>
      </x:c>
      <x:c r="H2001" s="15" t="n">
        <x:f>IF(AND(ISNUMBER(E2001),ISNUMBER(F2001),F2001&gt;0),(E2001-F2001)/F2001,"n.a.")</x:f>
        <x:v>-0.7514710768012006</x:v>
      </x:c>
      <x:c r="I2001" s="19" t="n">
        <x:f>IF(ISNUMBER(H2001),ABS(H2001),"n.a.")</x:f>
        <x:v>0.7514710768012006</x:v>
      </x:c>
      <x:c r="J2001" s="2" t="str">
        <x:v>available</x:v>
      </x:c>
      <x:c r="K2001" s="2" t="n">
        <x:v>1</x:v>
      </x:c>
      <x:c r="L2001" s="13" t="b">
        <x:v>0</x:v>
      </x:c>
      <x:c r="M2001" s="13" t="b">
        <x:v>1</x:v>
      </x:c>
      <x:c r="N2001" s="2" t="str">
        <x:v>projected_CRISP_BU_surface</x:v>
      </x:c>
      <x:c r="O2001" s="2" t="str"/>
      <x:c r="P2001" s="2" t="str">
        <x:v>horizontal built-up surface</x:v>
      </x:c>
      <x:c r="Q2001" s="2" t="str">
        <x:v>m2</x:v>
      </x:c>
      <x:c r="R2001" s="17" t="n">
        <x:v>530821446.4299074</x:v>
      </x:c>
      <x:c r="S2001" s="17" t="n">
        <x:v>118564613.02</x:v>
      </x:c>
      <x:c r="T2001" s="18" t="n">
        <x:v>1.0000000000000007</x:v>
      </x:c>
      <x:c r="U2001" s="17" t="n">
        <x:v>118564613.02000009</x:v>
      </x:c>
      <x:c r="V2001" s="2" t="str">
        <x:v>Area equivalent = model2020 * WUP surface / TEMPO2020 footprint; km2 multiplied by1e6 once</x:v>
      </x:c>
      <x:c r="W2001" s="2" t="str">
        <x:v>L1_numeric_partition_qualified_not_national_completeness</x:v>
      </x:c>
      <x:c r="X2001" s="2" t="str">
        <x:v>https://human-settlement.emergency.copernicus.eu/datasets.php</x:v>
      </x:c>
    </x:row>
    <x:row r="2002" ht="23" customHeight="1">
      <x:c r="A2002" s="2" t="str">
        <x:v>CAF</x:v>
      </x:c>
      <x:c r="B2002" s="2" t="str">
        <x:v>Central African Republic</x:v>
      </x:c>
      <x:c r="C2002" s="2" t="n">
        <x:v>2030</x:v>
      </x:c>
      <x:c r="D2002" s="2" t="str">
        <x:v>WUP_SURFACE</x:v>
      </x:c>
      <x:c r="E2002" s="17" t="n">
        <x:v>93309135.82113093</x:v>
      </x:c>
      <x:c r="F2002" s="17" t="n">
        <x:f>IF(AND(M2002,ISNUMBER(R2002)),IF(D2002="TEMPO_PROXY",R2002,IF(AND(ISNUMBER(S2002),S2002&gt;0,ISNUMBER(U2002)),U2002*R2002/S2002,"n.a.")),"n.a.")</x:f>
        <x:v>281914195.7976816</x:v>
      </x:c>
      <x:c r="G2002" s="17" t="n">
        <x:f>IF(AND(ISNUMBER(E2002),ISNUMBER(F2002)),E2002-F2002,"n.a.")</x:f>
        <x:v>-188605059.9765507</x:v>
      </x:c>
      <x:c r="H2002" s="15" t="n">
        <x:f>IF(AND(ISNUMBER(E2002),ISNUMBER(F2002),F2002&gt;0),(E2002-F2002)/F2002,"n.a.")</x:f>
        <x:v>-0.6690158310151394</x:v>
      </x:c>
      <x:c r="I2002" s="19" t="n">
        <x:f>IF(ISNUMBER(H2002),ABS(H2002),"n.a.")</x:f>
        <x:v>0.6690158310151394</x:v>
      </x:c>
      <x:c r="J2002" s="2" t="str">
        <x:v>available</x:v>
      </x:c>
      <x:c r="K2002" s="2" t="n">
        <x:v>1</x:v>
      </x:c>
      <x:c r="L2002" s="13" t="b">
        <x:v>0</x:v>
      </x:c>
      <x:c r="M2002" s="13" t="b">
        <x:v>1</x:v>
      </x:c>
      <x:c r="N2002" s="2" t="str">
        <x:v>projected_CRISP_BU_surface</x:v>
      </x:c>
      <x:c r="O2002" s="2" t="str"/>
      <x:c r="P2002" s="2" t="str">
        <x:v>horizontal built-up surface</x:v>
      </x:c>
      <x:c r="Q2002" s="2" t="str">
        <x:v>m2</x:v>
      </x:c>
      <x:c r="R2002" s="17" t="n">
        <x:v>281914195.7976814</x:v>
      </x:c>
      <x:c r="S2002" s="17" t="n">
        <x:v>66989106.04</x:v>
      </x:c>
      <x:c r="T2002" s="18" t="n">
        <x:v>1.0000000000000009</x:v>
      </x:c>
      <x:c r="U2002" s="17" t="n">
        <x:v>66989106.04000005</x:v>
      </x:c>
      <x:c r="V2002" s="2" t="str">
        <x:v>Area equivalent = model2020 * WUP surface / TEMPO2020 footprint; km2 multiplied by1e6 once</x:v>
      </x:c>
      <x:c r="W2002" s="2" t="str">
        <x:v>L1_numeric_partition_qualified_not_national_completeness</x:v>
      </x:c>
      <x:c r="X2002" s="2" t="str">
        <x:v>https://human-settlement.emergency.copernicus.eu/datasets.php</x:v>
      </x:c>
    </x:row>
    <x:row r="2003" ht="23" customHeight="1">
      <x:c r="A2003" s="2" t="str">
        <x:v>CAN</x:v>
      </x:c>
      <x:c r="B2003" s="2" t="str">
        <x:v>Canada</x:v>
      </x:c>
      <x:c r="C2003" s="2" t="n">
        <x:v>2030</x:v>
      </x:c>
      <x:c r="D2003" s="2" t="str">
        <x:v>WUP_SURFACE</x:v>
      </x:c>
      <x:c r="E2003" s="17" t="n">
        <x:v>3748869811.8941193</x:v>
      </x:c>
      <x:c r="F2003" s="17" t="n">
        <x:f>IF(AND(M2003,ISNUMBER(R2003)),IF(D2003="TEMPO_PROXY",R2003,IF(AND(ISNUMBER(S2003),S2003&gt;0,ISNUMBER(U2003)),U2003*R2003/S2003,"n.a.")),"n.a.")</x:f>
        <x:v>6278713982.9205675</x:v>
      </x:c>
      <x:c r="G2003" s="17" t="n">
        <x:f>IF(AND(ISNUMBER(E2003),ISNUMBER(F2003)),E2003-F2003,"n.a.")</x:f>
        <x:v>-2529844171.0264482</x:v>
      </x:c>
      <x:c r="H2003" s="15" t="n">
        <x:f>IF(AND(ISNUMBER(E2003),ISNUMBER(F2003),F2003&gt;0),(E2003-F2003)/F2003,"n.a.")</x:f>
        <x:v>-0.4029239391869355</x:v>
      </x:c>
      <x:c r="I2003" s="19" t="n">
        <x:f>IF(ISNUMBER(H2003),ABS(H2003),"n.a.")</x:f>
        <x:v>0.4029239391869355</x:v>
      </x:c>
      <x:c r="J2003" s="2" t="str">
        <x:v>available</x:v>
      </x:c>
      <x:c r="K2003" s="2" t="n">
        <x:v>1</x:v>
      </x:c>
      <x:c r="L2003" s="13" t="b">
        <x:v>0</x:v>
      </x:c>
      <x:c r="M2003" s="13" t="b">
        <x:v>1</x:v>
      </x:c>
      <x:c r="N2003" s="2" t="str">
        <x:v>projected_CRISP_BU_surface</x:v>
      </x:c>
      <x:c r="O2003" s="2" t="str"/>
      <x:c r="P2003" s="2" t="str">
        <x:v>horizontal built-up surface</x:v>
      </x:c>
      <x:c r="Q2003" s="2" t="str">
        <x:v>m2</x:v>
      </x:c>
      <x:c r="R2003" s="17" t="n">
        <x:v>6278713982.920566</x:v>
      </x:c>
      <x:c r="S2003" s="17" t="n">
        <x:v>2941628265.26</x:v>
      </x:c>
      <x:c r="T2003" s="18" t="n">
        <x:v>1.0000000000000002</x:v>
      </x:c>
      <x:c r="U2003" s="17" t="n">
        <x:v>2941628265.260001</x:v>
      </x:c>
      <x:c r="V2003" s="2" t="str">
        <x:v>Area equivalent = model2020 * WUP surface / TEMPO2020 footprint; km2 multiplied by1e6 once</x:v>
      </x:c>
      <x:c r="W2003" s="2" t="str">
        <x:v>L1_numeric_partition_qualified_not_national_completeness</x:v>
      </x:c>
      <x:c r="X2003" s="2" t="str">
        <x:v>https://human-settlement.emergency.copernicus.eu/datasets.php</x:v>
      </x:c>
    </x:row>
    <x:row r="2004" ht="23" customHeight="1">
      <x:c r="A2004" s="2" t="str">
        <x:v>CHE</x:v>
      </x:c>
      <x:c r="B2004" s="2" t="str">
        <x:v>Switzerland (Swiss Confederation)</x:v>
      </x:c>
      <x:c r="C2004" s="2" t="n">
        <x:v>2030</x:v>
      </x:c>
      <x:c r="D2004" s="2" t="str">
        <x:v>WUP_SURFACE</x:v>
      </x:c>
      <x:c r="E2004" s="17" t="n">
        <x:v>702159602.1605101</x:v>
      </x:c>
      <x:c r="F2004" s="17" t="n">
        <x:f>IF(AND(M2004,ISNUMBER(R2004)),IF(D2004="TEMPO_PROXY",R2004,IF(AND(ISNUMBER(S2004),S2004&gt;0,ISNUMBER(U2004)),U2004*R2004/S2004,"n.a.")),"n.a.")</x:f>
        <x:v>999030316.2872558</x:v>
      </x:c>
      <x:c r="G2004" s="17" t="n">
        <x:f>IF(AND(ISNUMBER(E2004),ISNUMBER(F2004)),E2004-F2004,"n.a.")</x:f>
        <x:v>-296870714.1267457</x:v>
      </x:c>
      <x:c r="H2004" s="15" t="n">
        <x:f>IF(AND(ISNUMBER(E2004),ISNUMBER(F2004),F2004&gt;0),(E2004-F2004)/F2004,"n.a.")</x:f>
        <x:v>-0.2971588642374944</x:v>
      </x:c>
      <x:c r="I2004" s="19" t="n">
        <x:f>IF(ISNUMBER(H2004),ABS(H2004),"n.a.")</x:f>
        <x:v>0.2971588642374944</x:v>
      </x:c>
      <x:c r="J2004" s="2" t="str">
        <x:v>available</x:v>
      </x:c>
      <x:c r="K2004" s="2" t="n">
        <x:v>1</x:v>
      </x:c>
      <x:c r="L2004" s="13" t="b">
        <x:v>0</x:v>
      </x:c>
      <x:c r="M2004" s="13" t="b">
        <x:v>1</x:v>
      </x:c>
      <x:c r="N2004" s="2" t="str">
        <x:v>projected_CRISP_BU_surface</x:v>
      </x:c>
      <x:c r="O2004" s="2" t="str"/>
      <x:c r="P2004" s="2" t="str">
        <x:v>horizontal built-up surface</x:v>
      </x:c>
      <x:c r="Q2004" s="2" t="str">
        <x:v>m2</x:v>
      </x:c>
      <x:c r="R2004" s="17" t="n">
        <x:v>984098108.4128376</x:v>
      </x:c>
      <x:c r="S2004" s="17" t="n">
        <x:v>545813067.36</x:v>
      </x:c>
      <x:c r="T2004" s="18" t="n">
        <x:v>1.0151734951492803</x:v>
      </x:c>
      <x:c r="U2004" s="17" t="n">
        <x:v>554094959.2900008</x:v>
      </x:c>
      <x:c r="V2004" s="2" t="str">
        <x:v>Area equivalent = model2020 * WUP surface / TEMPO2020 footprint; km2 multiplied by1e6 once</x:v>
      </x:c>
      <x:c r="W2004" s="2" t="str">
        <x:v>L1_numeric_partition_qualified_not_national_completeness</x:v>
      </x:c>
      <x:c r="X2004" s="2" t="str">
        <x:v>https://human-settlement.emergency.copernicus.eu/datasets.php</x:v>
      </x:c>
    </x:row>
    <x:row r="2005" ht="23" customHeight="1">
      <x:c r="A2005" s="2" t="str">
        <x:v>CHL</x:v>
      </x:c>
      <x:c r="B2005" s="2" t="str">
        <x:v>Chile (Republic of)</x:v>
      </x:c>
      <x:c r="C2005" s="2" t="n">
        <x:v>2030</x:v>
      </x:c>
      <x:c r="D2005" s="2" t="str">
        <x:v>WUP_SURFACE</x:v>
      </x:c>
      <x:c r="E2005" s="17" t="n">
        <x:v>1212346986.2485492</x:v>
      </x:c>
      <x:c r="F2005" s="17" t="n">
        <x:f>IF(AND(M2005,ISNUMBER(R2005)),IF(D2005="TEMPO_PROXY",R2005,IF(AND(ISNUMBER(S2005),S2005&gt;0,ISNUMBER(U2005)),U2005*R2005/S2005,"n.a.")),"n.a.")</x:f>
        <x:v>1621214965.442679</x:v>
      </x:c>
      <x:c r="G2005" s="17" t="n">
        <x:f>IF(AND(ISNUMBER(E2005),ISNUMBER(F2005)),E2005-F2005,"n.a.")</x:f>
        <x:v>-408867979.1941297</x:v>
      </x:c>
      <x:c r="H2005" s="15" t="n">
        <x:f>IF(AND(ISNUMBER(E2005),ISNUMBER(F2005),F2005&gt;0),(E2005-F2005)/F2005,"n.a.")</x:f>
        <x:v>-0.25219849798418725</x:v>
      </x:c>
      <x:c r="I2005" s="19" t="n">
        <x:f>IF(ISNUMBER(H2005),ABS(H2005),"n.a.")</x:f>
        <x:v>0.25219849798418725</x:v>
      </x:c>
      <x:c r="J2005" s="2" t="str">
        <x:v>available</x:v>
      </x:c>
      <x:c r="K2005" s="2" t="n">
        <x:v>1</x:v>
      </x:c>
      <x:c r="L2005" s="13" t="b">
        <x:v>0</x:v>
      </x:c>
      <x:c r="M2005" s="13" t="b">
        <x:v>1</x:v>
      </x:c>
      <x:c r="N2005" s="2" t="str">
        <x:v>projected_CRISP_BU_surface</x:v>
      </x:c>
      <x:c r="O2005" s="2" t="str"/>
      <x:c r="P2005" s="2" t="str">
        <x:v>horizontal built-up surface</x:v>
      </x:c>
      <x:c r="Q2005" s="2" t="str">
        <x:v>m2</x:v>
      </x:c>
      <x:c r="R2005" s="17" t="n">
        <x:v>1621214965.4426768</x:v>
      </x:c>
      <x:c r="S2005" s="17" t="n">
        <x:v>986436316.07</x:v>
      </x:c>
      <x:c r="T2005" s="18" t="n">
        <x:v>1.0000000000000013</x:v>
      </x:c>
      <x:c r="U2005" s="17" t="n">
        <x:v>986436316.0700014</x:v>
      </x:c>
      <x:c r="V2005" s="2" t="str">
        <x:v>Area equivalent = model2020 * WUP surface / TEMPO2020 footprint; km2 multiplied by1e6 once</x:v>
      </x:c>
      <x:c r="W2005" s="2" t="str">
        <x:v>L1_numeric_partition_qualified_not_national_completeness</x:v>
      </x:c>
      <x:c r="X2005" s="2" t="str">
        <x:v>https://human-settlement.emergency.copernicus.eu/datasets.php</x:v>
      </x:c>
    </x:row>
    <x:row r="2006" ht="23" customHeight="1">
      <x:c r="A2006" s="2" t="str">
        <x:v>CHN</x:v>
      </x:c>
      <x:c r="B2006" s="2" t="str">
        <x:v>China (People's Republic of)</x:v>
      </x:c>
      <x:c r="C2006" s="2" t="n">
        <x:v>2030</x:v>
      </x:c>
      <x:c r="D2006" s="2" t="str">
        <x:v>WUP_SURFACE</x:v>
      </x:c>
      <x:c r="E2006" s="17" t="n">
        <x:v>100838240245.36133</x:v>
      </x:c>
      <x:c r="F2006" s="17" t="n">
        <x:f>IF(AND(M2006,ISNUMBER(R2006)),IF(D2006="TEMPO_PROXY",R2006,IF(AND(ISNUMBER(S2006),S2006&gt;0,ISNUMBER(U2006)),U2006*R2006/S2006,"n.a.")),"n.a.")</x:f>
        <x:v>105209335365.84184</x:v>
      </x:c>
      <x:c r="G2006" s="17" t="n">
        <x:f>IF(AND(ISNUMBER(E2006),ISNUMBER(F2006)),E2006-F2006,"n.a.")</x:f>
        <x:v>-4371095120.480515</x:v>
      </x:c>
      <x:c r="H2006" s="15" t="n">
        <x:f>IF(AND(ISNUMBER(E2006),ISNUMBER(F2006),F2006&gt;0),(E2006-F2006)/F2006,"n.a.")</x:f>
        <x:v>-0.04154664702786129</x:v>
      </x:c>
      <x:c r="I2006" s="19" t="n">
        <x:f>IF(ISNUMBER(H2006),ABS(H2006),"n.a.")</x:f>
        <x:v>0.04154664702786129</x:v>
      </x:c>
      <x:c r="J2006" s="2" t="str">
        <x:v>available</x:v>
      </x:c>
      <x:c r="K2006" s="2" t="n">
        <x:v>1</x:v>
      </x:c>
      <x:c r="L2006" s="13" t="b">
        <x:v>0</x:v>
      </x:c>
      <x:c r="M2006" s="13" t="b">
        <x:v>1</x:v>
      </x:c>
      <x:c r="N2006" s="2" t="str">
        <x:v>projected_CRISP_BU_surface</x:v>
      </x:c>
      <x:c r="O2006" s="2" t="str"/>
      <x:c r="P2006" s="2" t="str">
        <x:v>horizontal built-up surface</x:v>
      </x:c>
      <x:c r="Q2006" s="2" t="str">
        <x:v>m2</x:v>
      </x:c>
      <x:c r="R2006" s="17" t="n">
        <x:v>95445675695.85104</x:v>
      </x:c>
      <x:c r="S2006" s="17" t="n">
        <x:v>78150235427.5</x:v>
      </x:c>
      <x:c r="T2006" s="18" t="n">
        <x:v>1.1022954638731235</x:v>
      </x:c>
      <x:c r="U2006" s="17" t="n">
        <x:v>86144650012.34993</x:v>
      </x:c>
      <x:c r="V2006" s="2" t="str">
        <x:v>Area equivalent = model2020 * WUP surface / TEMPO2020 footprint; km2 multiplied by1e6 once</x:v>
      </x:c>
      <x:c r="W2006" s="2" t="str">
        <x:v>L1_numeric_partition_qualified_not_national_completeness</x:v>
      </x:c>
      <x:c r="X2006" s="2" t="str">
        <x:v>https://human-settlement.emergency.copernicus.eu/datasets.php</x:v>
      </x:c>
    </x:row>
    <x:row r="2007" ht="23" customHeight="1">
      <x:c r="A2007" s="2" t="str">
        <x:v>CIV</x:v>
      </x:c>
      <x:c r="B2007" s="2" t="str">
        <x:v>Côte d'Ivoire (Republic of)</x:v>
      </x:c>
      <x:c r="C2007" s="2" t="n">
        <x:v>2030</x:v>
      </x:c>
      <x:c r="D2007" s="2" t="str">
        <x:v>WUP_SURFACE</x:v>
      </x:c>
      <x:c r="E2007" s="17" t="n">
        <x:v>819927992.2280622</x:v>
      </x:c>
      <x:c r="F2007" s="17" t="n">
        <x:f>IF(AND(M2007,ISNUMBER(R2007)),IF(D2007="TEMPO_PROXY",R2007,IF(AND(ISNUMBER(S2007),S2007&gt;0,ISNUMBER(U2007)),U2007*R2007/S2007,"n.a.")),"n.a.")</x:f>
        <x:v>1710035679.2664344</x:v>
      </x:c>
      <x:c r="G2007" s="17" t="n">
        <x:f>IF(AND(ISNUMBER(E2007),ISNUMBER(F2007)),E2007-F2007,"n.a.")</x:f>
        <x:v>-890107687.0383723</x:v>
      </x:c>
      <x:c r="H2007" s="15" t="n">
        <x:f>IF(AND(ISNUMBER(E2007),ISNUMBER(F2007),F2007&gt;0),(E2007-F2007)/F2007,"n.a.")</x:f>
        <x:v>-0.5205199504493425</x:v>
      </x:c>
      <x:c r="I2007" s="19" t="n">
        <x:f>IF(ISNUMBER(H2007),ABS(H2007),"n.a.")</x:f>
        <x:v>0.5205199504493425</x:v>
      </x:c>
      <x:c r="J2007" s="2" t="str">
        <x:v>available</x:v>
      </x:c>
      <x:c r="K2007" s="2" t="n">
        <x:v>1</x:v>
      </x:c>
      <x:c r="L2007" s="13" t="b">
        <x:v>0</x:v>
      </x:c>
      <x:c r="M2007" s="13" t="b">
        <x:v>1</x:v>
      </x:c>
      <x:c r="N2007" s="2" t="str">
        <x:v>projected_CRISP_BU_surface</x:v>
      </x:c>
      <x:c r="O2007" s="2" t="str"/>
      <x:c r="P2007" s="2" t="str">
        <x:v>horizontal built-up surface</x:v>
      </x:c>
      <x:c r="Q2007" s="2" t="str">
        <x:v>m2</x:v>
      </x:c>
      <x:c r="R2007" s="17" t="n">
        <x:v>1710035679.2664363</x:v>
      </x:c>
      <x:c r="S2007" s="17" t="n">
        <x:v>602828854.82</x:v>
      </x:c>
      <x:c r="T2007" s="18" t="n">
        <x:v>0.9999999999999988</x:v>
      </x:c>
      <x:c r="U2007" s="17" t="n">
        <x:v>602828854.8199993</x:v>
      </x:c>
      <x:c r="V2007" s="2" t="str">
        <x:v>Area equivalent = model2020 * WUP surface / TEMPO2020 footprint; km2 multiplied by1e6 once</x:v>
      </x:c>
      <x:c r="W2007" s="2" t="str">
        <x:v>L1_numeric_partition_qualified_not_national_completeness</x:v>
      </x:c>
      <x:c r="X2007" s="2" t="str">
        <x:v>https://human-settlement.emergency.copernicus.eu/datasets.php</x:v>
      </x:c>
    </x:row>
    <x:row r="2008" ht="23" customHeight="1">
      <x:c r="A2008" s="2" t="str">
        <x:v>CMR</x:v>
      </x:c>
      <x:c r="B2008" s="2" t="str">
        <x:v>Cameroon (Republic of)</x:v>
      </x:c>
      <x:c r="C2008" s="2" t="n">
        <x:v>2030</x:v>
      </x:c>
      <x:c r="D2008" s="2" t="str">
        <x:v>WUP_SURFACE</x:v>
      </x:c>
      <x:c r="E2008" s="17" t="n">
        <x:v>772422945.8175358</x:v>
      </x:c>
      <x:c r="F2008" s="17" t="n">
        <x:f>IF(AND(M2008,ISNUMBER(R2008)),IF(D2008="TEMPO_PROXY",R2008,IF(AND(ISNUMBER(S2008),S2008&gt;0,ISNUMBER(U2008)),U2008*R2008/S2008,"n.a.")),"n.a.")</x:f>
        <x:v>1633396083.8736994</x:v>
      </x:c>
      <x:c r="G2008" s="17" t="n">
        <x:f>IF(AND(ISNUMBER(E2008),ISNUMBER(F2008)),E2008-F2008,"n.a.")</x:f>
        <x:v>-860973138.0561637</x:v>
      </x:c>
      <x:c r="H2008" s="15" t="n">
        <x:f>IF(AND(ISNUMBER(E2008),ISNUMBER(F2008),F2008&gt;0),(E2008-F2008)/F2008,"n.a.")</x:f>
        <x:v>-0.5271061603223101</x:v>
      </x:c>
      <x:c r="I2008" s="19" t="n">
        <x:f>IF(ISNUMBER(H2008),ABS(H2008),"n.a.")</x:f>
        <x:v>0.5271061603223101</x:v>
      </x:c>
      <x:c r="J2008" s="2" t="str">
        <x:v>available</x:v>
      </x:c>
      <x:c r="K2008" s="2" t="n">
        <x:v>1</x:v>
      </x:c>
      <x:c r="L2008" s="13" t="b">
        <x:v>0</x:v>
      </x:c>
      <x:c r="M2008" s="13" t="b">
        <x:v>1</x:v>
      </x:c>
      <x:c r="N2008" s="2" t="str">
        <x:v>projected_CRISP_BU_surface</x:v>
      </x:c>
      <x:c r="O2008" s="2" t="str"/>
      <x:c r="P2008" s="2" t="str">
        <x:v>horizontal built-up surface</x:v>
      </x:c>
      <x:c r="Q2008" s="2" t="str">
        <x:v>m2</x:v>
      </x:c>
      <x:c r="R2008" s="17" t="n">
        <x:v>1633396083.8736978</x:v>
      </x:c>
      <x:c r="S2008" s="17" t="n">
        <x:v>577057207.81</x:v>
      </x:c>
      <x:c r="T2008" s="18" t="n">
        <x:v>1.000000000000001</x:v>
      </x:c>
      <x:c r="U2008" s="17" t="n">
        <x:v>577057207.8100005</x:v>
      </x:c>
      <x:c r="V2008" s="2" t="str">
        <x:v>Area equivalent = model2020 * WUP surface / TEMPO2020 footprint; km2 multiplied by1e6 once</x:v>
      </x:c>
      <x:c r="W2008" s="2" t="str">
        <x:v>L1_numeric_partition_qualified_not_national_completeness</x:v>
      </x:c>
      <x:c r="X2008" s="2" t="str">
        <x:v>https://human-settlement.emergency.copernicus.eu/datasets.php</x:v>
      </x:c>
    </x:row>
    <x:row r="2009" ht="23" customHeight="1">
      <x:c r="A2009" s="2" t="str">
        <x:v>COD</x:v>
      </x:c>
      <x:c r="B2009" s="2" t="str">
        <x:v>Congo (Democratic Republic of the)</x:v>
      </x:c>
      <x:c r="C2009" s="2" t="n">
        <x:v>2030</x:v>
      </x:c>
      <x:c r="D2009" s="2" t="str">
        <x:v>WUP_SURFACE</x:v>
      </x:c>
      <x:c r="E2009" s="17" t="n">
        <x:v>1389739917.0384994</x:v>
      </x:c>
      <x:c r="F2009" s="17" t="n">
        <x:f>IF(AND(M2009,ISNUMBER(R2009)),IF(D2009="TEMPO_PROXY",R2009,IF(AND(ISNUMBER(S2009),S2009&gt;0,ISNUMBER(U2009)),U2009*R2009/S2009,"n.a.")),"n.a.")</x:f>
        <x:v>4063557909.2122684</x:v>
      </x:c>
      <x:c r="G2009" s="17" t="n">
        <x:f>IF(AND(ISNUMBER(E2009),ISNUMBER(F2009)),E2009-F2009,"n.a.")</x:f>
        <x:v>-2673817992.173769</x:v>
      </x:c>
      <x:c r="H2009" s="15" t="n">
        <x:f>IF(AND(ISNUMBER(E2009),ISNUMBER(F2009),F2009&gt;0),(E2009-F2009)/F2009,"n.a.")</x:f>
        <x:v>-0.6579992341470275</x:v>
      </x:c>
      <x:c r="I2009" s="19" t="n">
        <x:f>IF(ISNUMBER(H2009),ABS(H2009),"n.a.")</x:f>
        <x:v>0.6579992341470275</x:v>
      </x:c>
      <x:c r="J2009" s="2" t="str">
        <x:v>available</x:v>
      </x:c>
      <x:c r="K2009" s="2" t="n">
        <x:v>1</x:v>
      </x:c>
      <x:c r="L2009" s="13" t="b">
        <x:v>0</x:v>
      </x:c>
      <x:c r="M2009" s="13" t="b">
        <x:v>1</x:v>
      </x:c>
      <x:c r="N2009" s="2" t="str">
        <x:v>projected_CRISP_BU_surface</x:v>
      </x:c>
      <x:c r="O2009" s="2" t="str"/>
      <x:c r="P2009" s="2" t="str">
        <x:v>horizontal built-up surface</x:v>
      </x:c>
      <x:c r="Q2009" s="2" t="str">
        <x:v>m2</x:v>
      </x:c>
      <x:c r="R2009" s="17" t="n">
        <x:v>4063557909.2122736</x:v>
      </x:c>
      <x:c r="S2009" s="17" t="n">
        <x:v>941825698.84</x:v>
      </x:c>
      <x:c r="T2009" s="18" t="n">
        <x:v>0.9999999999999988</x:v>
      </x:c>
      <x:c r="U2009" s="17" t="n">
        <x:v>941825698.8399988</x:v>
      </x:c>
      <x:c r="V2009" s="2" t="str">
        <x:v>Area equivalent = model2020 * WUP surface / TEMPO2020 footprint; km2 multiplied by1e6 once</x:v>
      </x:c>
      <x:c r="W2009" s="2" t="str">
        <x:v>L1_numeric_partition_qualified_not_national_completeness</x:v>
      </x:c>
      <x:c r="X2009" s="2" t="str">
        <x:v>https://human-settlement.emergency.copernicus.eu/datasets.php</x:v>
      </x:c>
    </x:row>
    <x:row r="2010" ht="23" customHeight="1">
      <x:c r="A2010" s="2" t="str">
        <x:v>COG</x:v>
      </x:c>
      <x:c r="B2010" s="2" t="str">
        <x:v>Congo (Republic of the)</x:v>
      </x:c>
      <x:c r="C2010" s="2" t="n">
        <x:v>2030</x:v>
      </x:c>
      <x:c r="D2010" s="2" t="str">
        <x:v>WUP_SURFACE</x:v>
      </x:c>
      <x:c r="E2010" s="17" t="n">
        <x:v>151798405.9019701</x:v>
      </x:c>
      <x:c r="F2010" s="17" t="n">
        <x:f>IF(AND(M2010,ISNUMBER(R2010)),IF(D2010="TEMPO_PROXY",R2010,IF(AND(ISNUMBER(S2010),S2010&gt;0,ISNUMBER(U2010)),U2010*R2010/S2010,"n.a.")),"n.a.")</x:f>
        <x:v>328791815.1034791</x:v>
      </x:c>
      <x:c r="G2010" s="17" t="n">
        <x:f>IF(AND(ISNUMBER(E2010),ISNUMBER(F2010)),E2010-F2010,"n.a.")</x:f>
        <x:v>-176993409.201509</x:v>
      </x:c>
      <x:c r="H2010" s="15" t="n">
        <x:f>IF(AND(ISNUMBER(E2010),ISNUMBER(F2010),F2010&gt;0),(E2010-F2010)/F2010,"n.a.")</x:f>
        <x:v>-0.5383145232669636</x:v>
      </x:c>
      <x:c r="I2010" s="19" t="n">
        <x:f>IF(ISNUMBER(H2010),ABS(H2010),"n.a.")</x:f>
        <x:v>0.5383145232669636</x:v>
      </x:c>
      <x:c r="J2010" s="2" t="str">
        <x:v>available</x:v>
      </x:c>
      <x:c r="K2010" s="2" t="n">
        <x:v>1</x:v>
      </x:c>
      <x:c r="L2010" s="13" t="b">
        <x:v>0</x:v>
      </x:c>
      <x:c r="M2010" s="13" t="b">
        <x:v>1</x:v>
      </x:c>
      <x:c r="N2010" s="2" t="str">
        <x:v>projected_CRISP_BU_surface</x:v>
      </x:c>
      <x:c r="O2010" s="2" t="str"/>
      <x:c r="P2010" s="2" t="str">
        <x:v>horizontal built-up surface</x:v>
      </x:c>
      <x:c r="Q2010" s="2" t="str">
        <x:v>m2</x:v>
      </x:c>
      <x:c r="R2010" s="17" t="n">
        <x:v>328791815.1034787</x:v>
      </x:c>
      <x:c r="S2010" s="17" t="n">
        <x:v>110620071.65</x:v>
      </x:c>
      <x:c r="T2010" s="18" t="n">
        <x:v>1.000000000000001</x:v>
      </x:c>
      <x:c r="U2010" s="17" t="n">
        <x:v>110620071.65000013</x:v>
      </x:c>
      <x:c r="V2010" s="2" t="str">
        <x:v>Area equivalent = model2020 * WUP surface / TEMPO2020 footprint; km2 multiplied by1e6 once</x:v>
      </x:c>
      <x:c r="W2010" s="2" t="str">
        <x:v>L1_numeric_partition_qualified_not_national_completeness</x:v>
      </x:c>
      <x:c r="X2010" s="2" t="str">
        <x:v>https://human-settlement.emergency.copernicus.eu/datasets.php</x:v>
      </x:c>
    </x:row>
    <x:row r="2011" ht="23" customHeight="1">
      <x:c r="A2011" s="2" t="str">
        <x:v>COL</x:v>
      </x:c>
      <x:c r="B2011" s="2" t="str">
        <x:v>Colombia (Republic of)</x:v>
      </x:c>
      <x:c r="C2011" s="2" t="n">
        <x:v>2030</x:v>
      </x:c>
      <x:c r="D2011" s="2" t="str">
        <x:v>WUP_SURFACE</x:v>
      </x:c>
      <x:c r="E2011" s="17" t="n">
        <x:v>2067633442.6461523</x:v>
      </x:c>
      <x:c r="F2011" s="17" t="n">
        <x:f>IF(AND(M2011,ISNUMBER(R2011)),IF(D2011="TEMPO_PROXY",R2011,IF(AND(ISNUMBER(S2011),S2011&gt;0,ISNUMBER(U2011)),U2011*R2011/S2011,"n.a.")),"n.a.")</x:f>
        <x:v>2134848795.6223783</x:v>
      </x:c>
      <x:c r="G2011" s="17" t="n">
        <x:f>IF(AND(ISNUMBER(E2011),ISNUMBER(F2011)),E2011-F2011,"n.a.")</x:f>
        <x:v>-67215352.97622609</x:v>
      </x:c>
      <x:c r="H2011" s="15" t="n">
        <x:f>IF(AND(ISNUMBER(E2011),ISNUMBER(F2011),F2011&gt;0),(E2011-F2011)/F2011,"n.a.")</x:f>
        <x:v>-0.03148483073557939</x:v>
      </x:c>
      <x:c r="I2011" s="19" t="n">
        <x:f>IF(ISNUMBER(H2011),ABS(H2011),"n.a.")</x:f>
        <x:v>0.03148483073557939</x:v>
      </x:c>
      <x:c r="J2011" s="2" t="str">
        <x:v>available</x:v>
      </x:c>
      <x:c r="K2011" s="2" t="n">
        <x:v>1</x:v>
      </x:c>
      <x:c r="L2011" s="13" t="b">
        <x:v>0</x:v>
      </x:c>
      <x:c r="M2011" s="13" t="b">
        <x:v>1</x:v>
      </x:c>
      <x:c r="N2011" s="2" t="str">
        <x:v>projected_CRISP_BU_surface</x:v>
      </x:c>
      <x:c r="O2011" s="2" t="str"/>
      <x:c r="P2011" s="2" t="str">
        <x:v>horizontal built-up surface</x:v>
      </x:c>
      <x:c r="Q2011" s="2" t="str">
        <x:v>m2</x:v>
      </x:c>
      <x:c r="R2011" s="17" t="n">
        <x:v>2134848795.6223762</x:v>
      </x:c>
      <x:c r="S2011" s="17" t="n">
        <x:v>1505534156.31</x:v>
      </x:c>
      <x:c r="T2011" s="18" t="n">
        <x:v>1.0000000000000009</x:v>
      </x:c>
      <x:c r="U2011" s="17" t="n">
        <x:v>1505534156.3100014</x:v>
      </x:c>
      <x:c r="V2011" s="2" t="str">
        <x:v>Area equivalent = model2020 * WUP surface / TEMPO2020 footprint; km2 multiplied by1e6 once</x:v>
      </x:c>
      <x:c r="W2011" s="2" t="str">
        <x:v>L1_numeric_partition_qualified_not_national_completeness</x:v>
      </x:c>
      <x:c r="X2011" s="2" t="str">
        <x:v>https://human-settlement.emergency.copernicus.eu/datasets.php</x:v>
      </x:c>
    </x:row>
    <x:row r="2012" ht="23" customHeight="1">
      <x:c r="A2012" s="2" t="str">
        <x:v>COM</x:v>
      </x:c>
      <x:c r="B2012" s="2" t="str">
        <x:v>Comoros (Union of the)</x:v>
      </x:c>
      <x:c r="C2012" s="2" t="n">
        <x:v>2030</x:v>
      </x:c>
      <x:c r="D2012" s="2" t="str">
        <x:v>WUP_SURFACE</x:v>
      </x:c>
      <x:c r="E2012" s="17" t="n">
        <x:v>24449859.913686987</x:v>
      </x:c>
      <x:c r="F2012" s="17" t="n">
        <x:f>IF(AND(M2012,ISNUMBER(R2012)),IF(D2012="TEMPO_PROXY",R2012,IF(AND(ISNUMBER(S2012),S2012&gt;0,ISNUMBER(U2012)),U2012*R2012/S2012,"n.a.")),"n.a.")</x:f>
        <x:v>35325005.34944478</x:v>
      </x:c>
      <x:c r="G2012" s="17" t="n">
        <x:f>IF(AND(ISNUMBER(E2012),ISNUMBER(F2012)),E2012-F2012,"n.a.")</x:f>
        <x:v>-10875145.43575779</x:v>
      </x:c>
      <x:c r="H2012" s="15" t="n">
        <x:f>IF(AND(ISNUMBER(E2012),ISNUMBER(F2012),F2012&gt;0),(E2012-F2012)/F2012,"n.a.")</x:f>
        <x:v>-0.30785969678356245</x:v>
      </x:c>
      <x:c r="I2012" s="19" t="n">
        <x:f>IF(ISNUMBER(H2012),ABS(H2012),"n.a.")</x:f>
        <x:v>0.30785969678356245</x:v>
      </x:c>
      <x:c r="J2012" s="2" t="str">
        <x:v>available</x:v>
      </x:c>
      <x:c r="K2012" s="2" t="n">
        <x:v>1</x:v>
      </x:c>
      <x:c r="L2012" s="13" t="b">
        <x:v>0</x:v>
      </x:c>
      <x:c r="M2012" s="13" t="b">
        <x:v>1</x:v>
      </x:c>
      <x:c r="N2012" s="2" t="str">
        <x:v>projected_CRISP_BU_surface</x:v>
      </x:c>
      <x:c r="O2012" s="2" t="str"/>
      <x:c r="P2012" s="2" t="str">
        <x:v>horizontal built-up surface</x:v>
      </x:c>
      <x:c r="Q2012" s="2" t="str">
        <x:v>m2</x:v>
      </x:c>
      <x:c r="R2012" s="17" t="n">
        <x:v>35325005.34944484</x:v>
      </x:c>
      <x:c r="S2012" s="17" t="n">
        <x:v>18035090.41</x:v>
      </x:c>
      <x:c r="T2012" s="18" t="n">
        <x:v>0.9999999999999983</x:v>
      </x:c>
      <x:c r="U2012" s="17" t="n">
        <x:v>18035090.40999997</x:v>
      </x:c>
      <x:c r="V2012" s="2" t="str">
        <x:v>Area equivalent = model2020 * WUP surface / TEMPO2020 footprint; km2 multiplied by1e6 once</x:v>
      </x:c>
      <x:c r="W2012" s="2" t="str">
        <x:v>L1_numeric_partition_qualified_not_national_completeness</x:v>
      </x:c>
      <x:c r="X2012" s="2" t="str">
        <x:v>https://human-settlement.emergency.copernicus.eu/datasets.php</x:v>
      </x:c>
    </x:row>
    <x:row r="2013" ht="23" customHeight="1">
      <x:c r="A2013" s="2" t="str">
        <x:v>CPV</x:v>
      </x:c>
      <x:c r="B2013" s="2" t="str">
        <x:v>Cabo Verde (Republic of)</x:v>
      </x:c>
      <x:c r="C2013" s="2" t="n">
        <x:v>2030</x:v>
      </x:c>
      <x:c r="D2013" s="2" t="str">
        <x:v>WUP_SURFACE</x:v>
      </x:c>
      <x:c r="E2013" s="17" t="n">
        <x:v>27518327.859965105</x:v>
      </x:c>
      <x:c r="F2013" s="17" t="n">
        <x:f>IF(AND(M2013,ISNUMBER(R2013)),IF(D2013="TEMPO_PROXY",R2013,IF(AND(ISNUMBER(S2013),S2013&gt;0,ISNUMBER(U2013)),U2013*R2013/S2013,"n.a.")),"n.a.")</x:f>
        <x:v>30872141.19347539</x:v>
      </x:c>
      <x:c r="G2013" s="17" t="n">
        <x:f>IF(AND(ISNUMBER(E2013),ISNUMBER(F2013)),E2013-F2013,"n.a.")</x:f>
        <x:v>-3353813.333510287</x:v>
      </x:c>
      <x:c r="H2013" s="15" t="n">
        <x:f>IF(AND(ISNUMBER(E2013),ISNUMBER(F2013),F2013&gt;0),(E2013-F2013)/F2013,"n.a.")</x:f>
        <x:v>-0.1086355919562551</x:v>
      </x:c>
      <x:c r="I2013" s="19" t="n">
        <x:f>IF(ISNUMBER(H2013),ABS(H2013),"n.a.")</x:f>
        <x:v>0.1086355919562551</x:v>
      </x:c>
      <x:c r="J2013" s="2" t="str">
        <x:v>available</x:v>
      </x:c>
      <x:c r="K2013" s="2" t="n">
        <x:v>1</x:v>
      </x:c>
      <x:c r="L2013" s="13" t="b">
        <x:v>0</x:v>
      </x:c>
      <x:c r="M2013" s="13" t="b">
        <x:v>1</x:v>
      </x:c>
      <x:c r="N2013" s="2" t="str">
        <x:v>projected_CRISP_BU_surface</x:v>
      </x:c>
      <x:c r="O2013" s="2" t="str"/>
      <x:c r="P2013" s="2" t="str">
        <x:v>horizontal built-up surface</x:v>
      </x:c>
      <x:c r="Q2013" s="2" t="str">
        <x:v>m2</x:v>
      </x:c>
      <x:c r="R2013" s="17" t="n">
        <x:v>29691570.06860894</x:v>
      </x:c>
      <x:c r="S2013" s="17" t="n">
        <x:v>20998892.42</x:v>
      </x:c>
      <x:c r="T2013" s="18" t="n">
        <x:v>1.0397611551742965</x:v>
      </x:c>
      <x:c r="U2013" s="17" t="n">
        <x:v>21833832.63999998</x:v>
      </x:c>
      <x:c r="V2013" s="2" t="str">
        <x:v>Area equivalent = model2020 * WUP surface / TEMPO2020 footprint; km2 multiplied by1e6 once</x:v>
      </x:c>
      <x:c r="W2013" s="2" t="str">
        <x:v>L1_numeric_partition_qualified_not_national_completeness</x:v>
      </x:c>
      <x:c r="X2013" s="2" t="str">
        <x:v>https://human-settlement.emergency.copernicus.eu/datasets.php</x:v>
      </x:c>
    </x:row>
    <x:row r="2014" ht="23" customHeight="1">
      <x:c r="A2014" s="2" t="str">
        <x:v>CRI</x:v>
      </x:c>
      <x:c r="B2014" s="2" t="str">
        <x:v>Costa Rica (Republic of)</x:v>
      </x:c>
      <x:c r="C2014" s="2" t="n">
        <x:v>2030</x:v>
      </x:c>
      <x:c r="D2014" s="2" t="str">
        <x:v>WUP_SURFACE</x:v>
      </x:c>
      <x:c r="E2014" s="17" t="n">
        <x:v>343617866.8282729</x:v>
      </x:c>
      <x:c r="F2014" s="17" t="n">
        <x:f>IF(AND(M2014,ISNUMBER(R2014)),IF(D2014="TEMPO_PROXY",R2014,IF(AND(ISNUMBER(S2014),S2014&gt;0,ISNUMBER(U2014)),U2014*R2014/S2014,"n.a.")),"n.a.")</x:f>
        <x:v>440929993.8552752</x:v>
      </x:c>
      <x:c r="G2014" s="17" t="n">
        <x:f>IF(AND(ISNUMBER(E2014),ISNUMBER(F2014)),E2014-F2014,"n.a.")</x:f>
        <x:v>-97312127.02700233</x:v>
      </x:c>
      <x:c r="H2014" s="15" t="n">
        <x:f>IF(AND(ISNUMBER(E2014),ISNUMBER(F2014),F2014&gt;0),(E2014-F2014)/F2014,"n.a.")</x:f>
        <x:v>-0.2206974539793787</x:v>
      </x:c>
      <x:c r="I2014" s="19" t="n">
        <x:f>IF(ISNUMBER(H2014),ABS(H2014),"n.a.")</x:f>
        <x:v>0.2206974539793787</x:v>
      </x:c>
      <x:c r="J2014" s="2" t="str">
        <x:v>available</x:v>
      </x:c>
      <x:c r="K2014" s="2" t="n">
        <x:v>1</x:v>
      </x:c>
      <x:c r="L2014" s="13" t="b">
        <x:v>0</x:v>
      </x:c>
      <x:c r="M2014" s="13" t="b">
        <x:v>1</x:v>
      </x:c>
      <x:c r="N2014" s="2" t="str">
        <x:v>projected_CRISP_BU_surface</x:v>
      </x:c>
      <x:c r="O2014" s="2" t="str"/>
      <x:c r="P2014" s="2" t="str">
        <x:v>horizontal built-up surface</x:v>
      </x:c>
      <x:c r="Q2014" s="2" t="str">
        <x:v>m2</x:v>
      </x:c>
      <x:c r="R2014" s="17" t="n">
        <x:v>440929993.8552754</x:v>
      </x:c>
      <x:c r="S2014" s="17" t="n">
        <x:v>284786315.39</x:v>
      </x:c>
      <x:c r="T2014" s="18" t="n">
        <x:v>0.9999999999999996</x:v>
      </x:c>
      <x:c r="U2014" s="17" t="n">
        <x:v>284786315.38999987</x:v>
      </x:c>
      <x:c r="V2014" s="2" t="str">
        <x:v>Area equivalent = model2020 * WUP surface / TEMPO2020 footprint; km2 multiplied by1e6 once</x:v>
      </x:c>
      <x:c r="W2014" s="2" t="str">
        <x:v>L1_numeric_partition_qualified_not_national_completeness</x:v>
      </x:c>
      <x:c r="X2014" s="2" t="str">
        <x:v>https://human-settlement.emergency.copernicus.eu/datasets.php</x:v>
      </x:c>
    </x:row>
    <x:row r="2015" ht="23" customHeight="1">
      <x:c r="A2015" s="2" t="str">
        <x:v>CUB</x:v>
      </x:c>
      <x:c r="B2015" s="2" t="str">
        <x:v>Cuba (Republic of)</x:v>
      </x:c>
      <x:c r="C2015" s="2" t="n">
        <x:v>2030</x:v>
      </x:c>
      <x:c r="D2015" s="2" t="str">
        <x:v>WUP_SURFACE</x:v>
      </x:c>
      <x:c r="E2015" s="17" t="n">
        <x:v>464551779.6364229</x:v>
      </x:c>
      <x:c r="F2015" s="17" t="n">
        <x:f>IF(AND(M2015,ISNUMBER(R2015)),IF(D2015="TEMPO_PROXY",R2015,IF(AND(ISNUMBER(S2015),S2015&gt;0,ISNUMBER(U2015)),U2015*R2015/S2015,"n.a.")),"n.a.")</x:f>
        <x:v>506695290.28344434</x:v>
      </x:c>
      <x:c r="G2015" s="17" t="n">
        <x:f>IF(AND(ISNUMBER(E2015),ISNUMBER(F2015)),E2015-F2015,"n.a.")</x:f>
        <x:v>-42143510.64702147</x:v>
      </x:c>
      <x:c r="H2015" s="15" t="n">
        <x:f>IF(AND(ISNUMBER(E2015),ISNUMBER(F2015),F2015&gt;0),(E2015-F2015)/F2015,"n.a.")</x:f>
        <x:v>-0.08317328275036162</x:v>
      </x:c>
      <x:c r="I2015" s="19" t="n">
        <x:f>IF(ISNUMBER(H2015),ABS(H2015),"n.a.")</x:f>
        <x:v>0.08317328275036162</x:v>
      </x:c>
      <x:c r="J2015" s="2" t="str">
        <x:v>available</x:v>
      </x:c>
      <x:c r="K2015" s="2" t="n">
        <x:v>1</x:v>
      </x:c>
      <x:c r="L2015" s="13" t="b">
        <x:v>0</x:v>
      </x:c>
      <x:c r="M2015" s="13" t="b">
        <x:v>1</x:v>
      </x:c>
      <x:c r="N2015" s="2" t="str">
        <x:v>projected_CRISP_BU_surface</x:v>
      </x:c>
      <x:c r="O2015" s="2" t="str"/>
      <x:c r="P2015" s="2" t="str">
        <x:v>horizontal built-up surface</x:v>
      </x:c>
      <x:c r="Q2015" s="2" t="str">
        <x:v>m2</x:v>
      </x:c>
      <x:c r="R2015" s="17" t="n">
        <x:v>506695290.2834447</x:v>
      </x:c>
      <x:c r="S2015" s="17" t="n">
        <x:v>360088927.42</x:v>
      </x:c>
      <x:c r="T2015" s="18" t="n">
        <x:v>0.9999999999999993</x:v>
      </x:c>
      <x:c r="U2015" s="17" t="n">
        <x:v>360088927.4199998</x:v>
      </x:c>
      <x:c r="V2015" s="2" t="str">
        <x:v>Area equivalent = model2020 * WUP surface / TEMPO2020 footprint; km2 multiplied by1e6 once</x:v>
      </x:c>
      <x:c r="W2015" s="2" t="str">
        <x:v>L1_numeric_partition_qualified_not_national_completeness</x:v>
      </x:c>
      <x:c r="X2015" s="2" t="str">
        <x:v>https://human-settlement.emergency.copernicus.eu/datasets.php</x:v>
      </x:c>
    </x:row>
    <x:row r="2016" ht="23" customHeight="1">
      <x:c r="A2016" s="2" t="str">
        <x:v>CYP</x:v>
      </x:c>
      <x:c r="B2016" s="2" t="str">
        <x:v>Cyprus (Republic of)</x:v>
      </x:c>
      <x:c r="C2016" s="2" t="n">
        <x:v>2030</x:v>
      </x:c>
      <x:c r="D2016" s="2" t="str">
        <x:v>WUP_SURFACE</x:v>
      </x:c>
      <x:c r="E2016" s="17" t="n">
        <x:v>151938289.3943149</x:v>
      </x:c>
      <x:c r="F2016" s="17" t="n">
        <x:f>IF(AND(M2016,ISNUMBER(R2016)),IF(D2016="TEMPO_PROXY",R2016,IF(AND(ISNUMBER(S2016),S2016&gt;0,ISNUMBER(U2016)),U2016*R2016/S2016,"n.a.")),"n.a.")</x:f>
        <x:v>176503095.6159758</x:v>
      </x:c>
      <x:c r="G2016" s="17" t="n">
        <x:f>IF(AND(ISNUMBER(E2016),ISNUMBER(F2016)),E2016-F2016,"n.a.")</x:f>
        <x:v>-24564806.221660912</x:v>
      </x:c>
      <x:c r="H2016" s="15" t="n">
        <x:f>IF(AND(ISNUMBER(E2016),ISNUMBER(F2016),F2016&gt;0),(E2016-F2016)/F2016,"n.a.")</x:f>
        <x:v>-0.13917493138538178</x:v>
      </x:c>
      <x:c r="I2016" s="19" t="n">
        <x:f>IF(ISNUMBER(H2016),ABS(H2016),"n.a.")</x:f>
        <x:v>0.13917493138538178</x:v>
      </x:c>
      <x:c r="J2016" s="2" t="str">
        <x:v>available</x:v>
      </x:c>
      <x:c r="K2016" s="2" t="n">
        <x:v>1</x:v>
      </x:c>
      <x:c r="L2016" s="13" t="b">
        <x:v>0</x:v>
      </x:c>
      <x:c r="M2016" s="13" t="b">
        <x:v>1</x:v>
      </x:c>
      <x:c r="N2016" s="2" t="str">
        <x:v>projected_CRISP_BU_surface</x:v>
      </x:c>
      <x:c r="O2016" s="2" t="str"/>
      <x:c r="P2016" s="2" t="str">
        <x:v>horizontal built-up surface</x:v>
      </x:c>
      <x:c r="Q2016" s="2" t="str">
        <x:v>m2</x:v>
      </x:c>
      <x:c r="R2016" s="17" t="n">
        <x:v>176503095.61597556</x:v>
      </x:c>
      <x:c r="S2016" s="17" t="n">
        <x:v>124124771.75</x:v>
      </x:c>
      <x:c r="T2016" s="18" t="n">
        <x:v>1.0000000000000013</x:v>
      </x:c>
      <x:c r="U2016" s="17" t="n">
        <x:v>124124771.75000016</x:v>
      </x:c>
      <x:c r="V2016" s="2" t="str">
        <x:v>Area equivalent = model2020 * WUP surface / TEMPO2020 footprint; km2 multiplied by1e6 once</x:v>
      </x:c>
      <x:c r="W2016" s="2" t="str">
        <x:v>L1_numeric_partition_qualified_not_national_completeness</x:v>
      </x:c>
      <x:c r="X2016" s="2" t="str">
        <x:v>https://human-settlement.emergency.copernicus.eu/datasets.php</x:v>
      </x:c>
    </x:row>
    <x:row r="2017" ht="23" customHeight="1">
      <x:c r="A2017" s="2" t="str">
        <x:v>CZE</x:v>
      </x:c>
      <x:c r="B2017" s="2" t="str">
        <x:v>Czechia (Czech Republic)</x:v>
      </x:c>
      <x:c r="C2017" s="2" t="n">
        <x:v>2030</x:v>
      </x:c>
      <x:c r="D2017" s="2" t="str">
        <x:v>WUP_SURFACE</x:v>
      </x:c>
      <x:c r="E2017" s="17" t="n">
        <x:v>1089671649.361668</x:v>
      </x:c>
      <x:c r="F2017" s="17" t="n">
        <x:f>IF(AND(M2017,ISNUMBER(R2017)),IF(D2017="TEMPO_PROXY",R2017,IF(AND(ISNUMBER(S2017),S2017&gt;0,ISNUMBER(U2017)),U2017*R2017/S2017,"n.a.")),"n.a.")</x:f>
        <x:v>1774831025.9451573</x:v>
      </x:c>
      <x:c r="G2017" s="17" t="n">
        <x:f>IF(AND(ISNUMBER(E2017),ISNUMBER(F2017)),E2017-F2017,"n.a.")</x:f>
        <x:v>-685159376.5834892</x:v>
      </x:c>
      <x:c r="H2017" s="15" t="n">
        <x:f>IF(AND(ISNUMBER(E2017),ISNUMBER(F2017),F2017&gt;0),(E2017-F2017)/F2017,"n.a.")</x:f>
        <x:v>-0.3860420324907374</x:v>
      </x:c>
      <x:c r="I2017" s="19" t="n">
        <x:f>IF(ISNUMBER(H2017),ABS(H2017),"n.a.")</x:f>
        <x:v>0.3860420324907374</x:v>
      </x:c>
      <x:c r="J2017" s="2" t="str">
        <x:v>available</x:v>
      </x:c>
      <x:c r="K2017" s="2" t="n">
        <x:v>1</x:v>
      </x:c>
      <x:c r="L2017" s="13" t="b">
        <x:v>0</x:v>
      </x:c>
      <x:c r="M2017" s="13" t="b">
        <x:v>1</x:v>
      </x:c>
      <x:c r="N2017" s="2" t="str">
        <x:v>projected_CRISP_BU_surface</x:v>
      </x:c>
      <x:c r="O2017" s="2" t="str"/>
      <x:c r="P2017" s="2" t="str">
        <x:v>horizontal built-up surface</x:v>
      </x:c>
      <x:c r="Q2017" s="2" t="str">
        <x:v>m2</x:v>
      </x:c>
      <x:c r="R2017" s="17" t="n">
        <x:v>1731054465.769168</x:v>
      </x:c>
      <x:c r="S2017" s="17" t="n">
        <x:v>832797594.35</x:v>
      </x:c>
      <x:c r="T2017" s="18" t="n">
        <x:v>1.025288955975477</x:v>
      </x:c>
      <x:c r="U2017" s="17" t="n">
        <x:v>853858176.0500003</x:v>
      </x:c>
      <x:c r="V2017" s="2" t="str">
        <x:v>Area equivalent = model2020 * WUP surface / TEMPO2020 footprint; km2 multiplied by1e6 once</x:v>
      </x:c>
      <x:c r="W2017" s="2" t="str">
        <x:v>L1_numeric_partition_qualified_not_national_completeness</x:v>
      </x:c>
      <x:c r="X2017" s="2" t="str">
        <x:v>https://human-settlement.emergency.copernicus.eu/datasets.php</x:v>
      </x:c>
    </x:row>
    <x:row r="2018" ht="23" customHeight="1">
      <x:c r="A2018" s="2" t="str">
        <x:v>DEU</x:v>
      </x:c>
      <x:c r="B2018" s="2" t="str">
        <x:v>Germany (Federal Republic of)</x:v>
      </x:c>
      <x:c r="C2018" s="2" t="n">
        <x:v>2030</x:v>
      </x:c>
      <x:c r="D2018" s="2" t="str">
        <x:v>WUP_SURFACE</x:v>
      </x:c>
      <x:c r="E2018" s="17" t="n">
        <x:v>8245202509.35387</x:v>
      </x:c>
      <x:c r="F2018" s="17" t="n">
        <x:f>IF(AND(M2018,ISNUMBER(R2018)),IF(D2018="TEMPO_PROXY",R2018,IF(AND(ISNUMBER(S2018),S2018&gt;0,ISNUMBER(U2018)),U2018*R2018/S2018,"n.a.")),"n.a.")</x:f>
        <x:v>12450831389.688862</x:v>
      </x:c>
      <x:c r="G2018" s="17" t="n">
        <x:f>IF(AND(ISNUMBER(E2018),ISNUMBER(F2018)),E2018-F2018,"n.a.")</x:f>
        <x:v>-4205628880.3349915</x:v>
      </x:c>
      <x:c r="H2018" s="15" t="n">
        <x:f>IF(AND(ISNUMBER(E2018),ISNUMBER(F2018),F2018&gt;0),(E2018-F2018)/F2018,"n.a.")</x:f>
        <x:v>-0.3377789601919979</x:v>
      </x:c>
      <x:c r="I2018" s="19" t="n">
        <x:f>IF(ISNUMBER(H2018),ABS(H2018),"n.a.")</x:f>
        <x:v>0.3377789601919979</x:v>
      </x:c>
      <x:c r="J2018" s="2" t="str">
        <x:v>available</x:v>
      </x:c>
      <x:c r="K2018" s="2" t="n">
        <x:v>1</x:v>
      </x:c>
      <x:c r="L2018" s="13" t="b">
        <x:v>0</x:v>
      </x:c>
      <x:c r="M2018" s="13" t="b">
        <x:v>1</x:v>
      </x:c>
      <x:c r="N2018" s="2" t="str">
        <x:v>projected_CRISP_BU_surface</x:v>
      </x:c>
      <x:c r="O2018" s="2" t="str"/>
      <x:c r="P2018" s="2" t="str">
        <x:v>horizontal built-up surface</x:v>
      </x:c>
      <x:c r="Q2018" s="2" t="str">
        <x:v>m2</x:v>
      </x:c>
      <x:c r="R2018" s="17" t="n">
        <x:v>11881164156.180061</x:v>
      </x:c>
      <x:c r="S2018" s="17" t="n">
        <x:v>6308730216.94</x:v>
      </x:c>
      <x:c r="T2018" s="18" t="n">
        <x:v>1.0479470888559759</x:v>
      </x:c>
      <x:c r="U2018" s="17" t="n">
        <x:v>6611215465.220001</x:v>
      </x:c>
      <x:c r="V2018" s="2" t="str">
        <x:v>Area equivalent = model2020 * WUP surface / TEMPO2020 footprint; km2 multiplied by1e6 once</x:v>
      </x:c>
      <x:c r="W2018" s="2" t="str">
        <x:v>L1_numeric_partition_qualified_not_national_completeness</x:v>
      </x:c>
      <x:c r="X2018" s="2" t="str">
        <x:v>https://human-settlement.emergency.copernicus.eu/datasets.php</x:v>
      </x:c>
    </x:row>
    <x:row r="2019" ht="23" customHeight="1">
      <x:c r="A2019" s="2" t="str">
        <x:v>DJI</x:v>
      </x:c>
      <x:c r="B2019" s="2" t="str">
        <x:v>Djibouti (Republic of)</x:v>
      </x:c>
      <x:c r="C2019" s="2" t="n">
        <x:v>2030</x:v>
      </x:c>
      <x:c r="D2019" s="2" t="str">
        <x:v>WUP_SURFACE</x:v>
      </x:c>
      <x:c r="E2019" s="17" t="n">
        <x:v>19029222.943144582</x:v>
      </x:c>
      <x:c r="F2019" s="17" t="n">
        <x:f>IF(AND(M2019,ISNUMBER(R2019)),IF(D2019="TEMPO_PROXY",R2019,IF(AND(ISNUMBER(S2019),S2019&gt;0,ISNUMBER(U2019)),U2019*R2019/S2019,"n.a.")),"n.a.")</x:f>
        <x:v>31542758.138854023</x:v>
      </x:c>
      <x:c r="G2019" s="17" t="n">
        <x:f>IF(AND(ISNUMBER(E2019),ISNUMBER(F2019)),E2019-F2019,"n.a.")</x:f>
        <x:v>-12513535.19570944</x:v>
      </x:c>
      <x:c r="H2019" s="15" t="n">
        <x:f>IF(AND(ISNUMBER(E2019),ISNUMBER(F2019),F2019&gt;0),(E2019-F2019)/F2019,"n.a.")</x:f>
        <x:v>-0.39671658200033577</x:v>
      </x:c>
      <x:c r="I2019" s="19" t="n">
        <x:f>IF(ISNUMBER(H2019),ABS(H2019),"n.a.")</x:f>
        <x:v>0.39671658200033577</x:v>
      </x:c>
      <x:c r="J2019" s="2" t="str">
        <x:v>available</x:v>
      </x:c>
      <x:c r="K2019" s="2" t="n">
        <x:v>1</x:v>
      </x:c>
      <x:c r="L2019" s="13" t="b">
        <x:v>0</x:v>
      </x:c>
      <x:c r="M2019" s="13" t="b">
        <x:v>1</x:v>
      </x:c>
      <x:c r="N2019" s="2" t="str">
        <x:v>projected_CRISP_BU_surface</x:v>
      </x:c>
      <x:c r="O2019" s="2" t="str"/>
      <x:c r="P2019" s="2" t="str">
        <x:v>horizontal built-up surface</x:v>
      </x:c>
      <x:c r="Q2019" s="2" t="str">
        <x:v>m2</x:v>
      </x:c>
      <x:c r="R2019" s="17" t="n">
        <x:v>30387221.17418547</x:v>
      </x:c>
      <x:c r="S2019" s="17" t="n">
        <x:v>12127167.01</x:v>
      </x:c>
      <x:c r="T2019" s="18" t="n">
        <x:v>1.0380270692751006</x:v>
      </x:c>
      <x:c r="U2019" s="17" t="n">
        <x:v>12588327.629999984</x:v>
      </x:c>
      <x:c r="V2019" s="2" t="str">
        <x:v>Area equivalent = model2020 * WUP surface / TEMPO2020 footprint; km2 multiplied by1e6 once</x:v>
      </x:c>
      <x:c r="W2019" s="2" t="str">
        <x:v>L1_numeric_partition_qualified_not_national_completeness</x:v>
      </x:c>
      <x:c r="X2019" s="2" t="str">
        <x:v>https://human-settlement.emergency.copernicus.eu/datasets.php</x:v>
      </x:c>
    </x:row>
    <x:row r="2020" ht="23" customHeight="1">
      <x:c r="A2020" s="2" t="str">
        <x:v>DMA</x:v>
      </x:c>
      <x:c r="B2020" s="2" t="str">
        <x:v>Dominica (Commonwealth of)</x:v>
      </x:c>
      <x:c r="C2020" s="2" t="n">
        <x:v>2030</x:v>
      </x:c>
      <x:c r="D2020" s="2" t="str">
        <x:v>WUP_SURFACE</x:v>
      </x:c>
      <x:c r="E2020" s="17" t="n">
        <x:v>4187358.249218219</x:v>
      </x:c>
      <x:c r="F2020" s="17" t="n">
        <x:f>IF(AND(M2020,ISNUMBER(R2020)),IF(D2020="TEMPO_PROXY",R2020,IF(AND(ISNUMBER(S2020),S2020&gt;0,ISNUMBER(U2020)),U2020*R2020/S2020,"n.a.")),"n.a.")</x:f>
        <x:v>5916232.282369035</x:v>
      </x:c>
      <x:c r="G2020" s="17" t="n">
        <x:f>IF(AND(ISNUMBER(E2020),ISNUMBER(F2020)),E2020-F2020,"n.a.")</x:f>
        <x:v>-1728874.0331508163</x:v>
      </x:c>
      <x:c r="H2020" s="15" t="n">
        <x:f>IF(AND(ISNUMBER(E2020),ISNUMBER(F2020),F2020&gt;0),(E2020-F2020)/F2020,"n.a.")</x:f>
        <x:v>-0.29222551628052773</x:v>
      </x:c>
      <x:c r="I2020" s="19" t="n">
        <x:f>IF(ISNUMBER(H2020),ABS(H2020),"n.a.")</x:f>
        <x:v>0.29222551628052773</x:v>
      </x:c>
      <x:c r="J2020" s="2" t="str">
        <x:v>available</x:v>
      </x:c>
      <x:c r="K2020" s="2" t="n">
        <x:v>1</x:v>
      </x:c>
      <x:c r="L2020" s="13" t="b">
        <x:v>0</x:v>
      </x:c>
      <x:c r="M2020" s="13" t="b">
        <x:v>1</x:v>
      </x:c>
      <x:c r="N2020" s="2" t="str">
        <x:v>projected_CRISP_BU_surface</x:v>
      </x:c>
      <x:c r="O2020" s="2" t="str"/>
      <x:c r="P2020" s="2" t="str">
        <x:v>horizontal built-up surface</x:v>
      </x:c>
      <x:c r="Q2020" s="2" t="str">
        <x:v>m2</x:v>
      </x:c>
      <x:c r="R2020" s="17" t="n">
        <x:v>5916232.282369037</x:v>
      </x:c>
      <x:c r="S2020" s="17" t="n">
        <x:v>3947192.69</x:v>
      </x:c>
      <x:c r="T2020" s="18" t="n">
        <x:v>0.9999999999999997</x:v>
      </x:c>
      <x:c r="U2020" s="17" t="n">
        <x:v>3947192.6899999985</x:v>
      </x:c>
      <x:c r="V2020" s="2" t="str">
        <x:v>Area equivalent = model2020 * WUP surface / TEMPO2020 footprint; km2 multiplied by1e6 once</x:v>
      </x:c>
      <x:c r="W2020" s="2" t="str">
        <x:v>L1_numeric_partition_qualified_not_national_completeness</x:v>
      </x:c>
      <x:c r="X2020" s="2" t="str">
        <x:v>https://human-settlement.emergency.copernicus.eu/datasets.php</x:v>
      </x:c>
    </x:row>
    <x:row r="2021" ht="23" customHeight="1">
      <x:c r="A2021" s="2" t="str">
        <x:v>DNK</x:v>
      </x:c>
      <x:c r="B2021" s="2" t="str">
        <x:v>Denmark (Kingdom of)</x:v>
      </x:c>
      <x:c r="C2021" s="2" t="n">
        <x:v>2030</x:v>
      </x:c>
      <x:c r="D2021" s="2" t="str">
        <x:v>WUP_SURFACE</x:v>
      </x:c>
      <x:c r="E2021" s="17" t="n">
        <x:v>845709935.3103656</x:v>
      </x:c>
      <x:c r="F2021" s="17" t="n">
        <x:f>IF(AND(M2021,ISNUMBER(R2021)),IF(D2021="TEMPO_PROXY",R2021,IF(AND(ISNUMBER(S2021),S2021&gt;0,ISNUMBER(U2021)),U2021*R2021/S2021,"n.a.")),"n.a.")</x:f>
        <x:v>1044893681.3952559</x:v>
      </x:c>
      <x:c r="G2021" s="17" t="n">
        <x:f>IF(AND(ISNUMBER(E2021),ISNUMBER(F2021)),E2021-F2021,"n.a.")</x:f>
        <x:v>-199183746.08489037</x:v>
      </x:c>
      <x:c r="H2021" s="15" t="n">
        <x:f>IF(AND(ISNUMBER(E2021),ISNUMBER(F2021),F2021&gt;0),(E2021-F2021)/F2021,"n.a.")</x:f>
        <x:v>-0.19062584991318784</x:v>
      </x:c>
      <x:c r="I2021" s="19" t="n">
        <x:f>IF(ISNUMBER(H2021),ABS(H2021),"n.a.")</x:f>
        <x:v>0.19062584991318784</x:v>
      </x:c>
      <x:c r="J2021" s="2" t="str">
        <x:v>available</x:v>
      </x:c>
      <x:c r="K2021" s="2" t="n">
        <x:v>1</x:v>
      </x:c>
      <x:c r="L2021" s="13" t="b">
        <x:v>0</x:v>
      </x:c>
      <x:c r="M2021" s="13" t="b">
        <x:v>1</x:v>
      </x:c>
      <x:c r="N2021" s="2" t="str">
        <x:v>projected_CRISP_BU_surface</x:v>
      </x:c>
      <x:c r="O2021" s="2" t="str"/>
      <x:c r="P2021" s="2" t="str">
        <x:v>horizontal built-up surface</x:v>
      </x:c>
      <x:c r="Q2021" s="2" t="str">
        <x:v>m2</x:v>
      </x:c>
      <x:c r="R2021" s="17" t="n">
        <x:v>1038093588.6484067</x:v>
      </x:c>
      <x:c r="S2021" s="17" t="n">
        <x:v>660731556.2</x:v>
      </x:c>
      <x:c r="T2021" s="18" t="n">
        <x:v>1.006550558467183</x:v>
      </x:c>
      <x:c r="U2021" s="17" t="n">
        <x:v>665059716.8900009</x:v>
      </x:c>
      <x:c r="V2021" s="2" t="str">
        <x:v>Area equivalent = model2020 * WUP surface / TEMPO2020 footprint; km2 multiplied by1e6 once</x:v>
      </x:c>
      <x:c r="W2021" s="2" t="str">
        <x:v>L1_numeric_partition_qualified_not_national_completeness</x:v>
      </x:c>
      <x:c r="X2021" s="2" t="str">
        <x:v>https://human-settlement.emergency.copernicus.eu/datasets.php</x:v>
      </x:c>
    </x:row>
    <x:row r="2022" ht="23" customHeight="1">
      <x:c r="A2022" s="2" t="str">
        <x:v>DOM</x:v>
      </x:c>
      <x:c r="B2022" s="2" t="str">
        <x:v>Dominican Republic</x:v>
      </x:c>
      <x:c r="C2022" s="2" t="n">
        <x:v>2030</x:v>
      </x:c>
      <x:c r="D2022" s="2" t="str">
        <x:v>WUP_SURFACE</x:v>
      </x:c>
      <x:c r="E2022" s="17" t="n">
        <x:v>421944994.08996487</x:v>
      </x:c>
      <x:c r="F2022" s="17" t="n">
        <x:f>IF(AND(M2022,ISNUMBER(R2022)),IF(D2022="TEMPO_PROXY",R2022,IF(AND(ISNUMBER(S2022),S2022&gt;0,ISNUMBER(U2022)),U2022*R2022/S2022,"n.a.")),"n.a.")</x:f>
        <x:v>631725637.8438388</x:v>
      </x:c>
      <x:c r="G2022" s="17" t="n">
        <x:f>IF(AND(ISNUMBER(E2022),ISNUMBER(F2022)),E2022-F2022,"n.a.")</x:f>
        <x:v>-209780643.75387394</x:v>
      </x:c>
      <x:c r="H2022" s="15" t="n">
        <x:f>IF(AND(ISNUMBER(E2022),ISNUMBER(F2022),F2022&gt;0),(E2022-F2022)/F2022,"n.a.")</x:f>
        <x:v>-0.33207555810127065</x:v>
      </x:c>
      <x:c r="I2022" s="19" t="n">
        <x:f>IF(ISNUMBER(H2022),ABS(H2022),"n.a.")</x:f>
        <x:v>0.33207555810127065</x:v>
      </x:c>
      <x:c r="J2022" s="2" t="str">
        <x:v>available</x:v>
      </x:c>
      <x:c r="K2022" s="2" t="n">
        <x:v>1</x:v>
      </x:c>
      <x:c r="L2022" s="13" t="b">
        <x:v>0</x:v>
      </x:c>
      <x:c r="M2022" s="13" t="b">
        <x:v>1</x:v>
      </x:c>
      <x:c r="N2022" s="2" t="str">
        <x:v>projected_CRISP_BU_surface</x:v>
      </x:c>
      <x:c r="O2022" s="2" t="str"/>
      <x:c r="P2022" s="2" t="str">
        <x:v>horizontal built-up surface</x:v>
      </x:c>
      <x:c r="Q2022" s="2" t="str">
        <x:v>m2</x:v>
      </x:c>
      <x:c r="R2022" s="17" t="n">
        <x:v>631725637.8438381</x:v>
      </x:c>
      <x:c r="S2022" s="17" t="n">
        <x:v>336248050.89</x:v>
      </x:c>
      <x:c r="T2022" s="18" t="n">
        <x:v>1.0000000000000013</x:v>
      </x:c>
      <x:c r="U2022" s="17" t="n">
        <x:v>336248050.8900004</x:v>
      </x:c>
      <x:c r="V2022" s="2" t="str">
        <x:v>Area equivalent = model2020 * WUP surface / TEMPO2020 footprint; km2 multiplied by1e6 once</x:v>
      </x:c>
      <x:c r="W2022" s="2" t="str">
        <x:v>L1_numeric_partition_qualified_not_national_completeness</x:v>
      </x:c>
      <x:c r="X2022" s="2" t="str">
        <x:v>https://human-settlement.emergency.copernicus.eu/datasets.php</x:v>
      </x:c>
    </x:row>
    <x:row r="2023" ht="23" customHeight="1">
      <x:c r="A2023" s="2" t="str">
        <x:v>DZA</x:v>
      </x:c>
      <x:c r="B2023" s="2" t="str">
        <x:v>Algeria (People's Democratic Republic of)</x:v>
      </x:c>
      <x:c r="C2023" s="2" t="n">
        <x:v>2030</x:v>
      </x:c>
      <x:c r="D2023" s="2" t="str">
        <x:v>WUP_SURFACE</x:v>
      </x:c>
      <x:c r="E2023" s="17" t="n">
        <x:v>2087544402.2083037</x:v>
      </x:c>
      <x:c r="F2023" s="17" t="n">
        <x:f>IF(AND(M2023,ISNUMBER(R2023)),IF(D2023="TEMPO_PROXY",R2023,IF(AND(ISNUMBER(S2023),S2023&gt;0,ISNUMBER(U2023)),U2023*R2023/S2023,"n.a.")),"n.a.")</x:f>
        <x:v>2941912809.924864</x:v>
      </x:c>
      <x:c r="G2023" s="17" t="n">
        <x:f>IF(AND(ISNUMBER(E2023),ISNUMBER(F2023)),E2023-F2023,"n.a.")</x:f>
        <x:v>-854368407.7165601</x:v>
      </x:c>
      <x:c r="H2023" s="15" t="n">
        <x:f>IF(AND(ISNUMBER(E2023),ISNUMBER(F2023),F2023&gt;0),(E2023-F2023)/F2023,"n.a.")</x:f>
        <x:v>-0.2904125522803582</x:v>
      </x:c>
      <x:c r="I2023" s="19" t="n">
        <x:f>IF(ISNUMBER(H2023),ABS(H2023),"n.a.")</x:f>
        <x:v>0.2904125522803582</x:v>
      </x:c>
      <x:c r="J2023" s="2" t="str">
        <x:v>available</x:v>
      </x:c>
      <x:c r="K2023" s="2" t="n">
        <x:v>1</x:v>
      </x:c>
      <x:c r="L2023" s="13" t="b">
        <x:v>0</x:v>
      </x:c>
      <x:c r="M2023" s="13" t="b">
        <x:v>1</x:v>
      </x:c>
      <x:c r="N2023" s="2" t="str">
        <x:v>projected_CRISP_BU_surface</x:v>
      </x:c>
      <x:c r="O2023" s="2" t="str"/>
      <x:c r="P2023" s="2" t="str">
        <x:v>horizontal built-up surface</x:v>
      </x:c>
      <x:c r="Q2023" s="2" t="str">
        <x:v>m2</x:v>
      </x:c>
      <x:c r="R2023" s="17" t="n">
        <x:v>2908124708.6900983</x:v>
      </x:c>
      <x:c r="S2023" s="17" t="n">
        <x:v>1589287619</x:v>
      </x:c>
      <x:c r="T2023" s="18" t="n">
        <x:v>1.0116185186741817</x:v>
      </x:c>
      <x:c r="U2023" s="17" t="n">
        <x:v>1607752786.8799975</x:v>
      </x:c>
      <x:c r="V2023" s="2" t="str">
        <x:v>Area equivalent = model2020 * WUP surface / TEMPO2020 footprint; km2 multiplied by1e6 once</x:v>
      </x:c>
      <x:c r="W2023" s="2" t="str">
        <x:v>L1_numeric_partition_qualified_not_national_completeness</x:v>
      </x:c>
      <x:c r="X2023" s="2" t="str">
        <x:v>https://human-settlement.emergency.copernicus.eu/datasets.php</x:v>
      </x:c>
    </x:row>
    <x:row r="2024" ht="23" customHeight="1">
      <x:c r="A2024" s="2" t="str">
        <x:v>ECU</x:v>
      </x:c>
      <x:c r="B2024" s="2" t="str">
        <x:v>Ecuador (Republic of)</x:v>
      </x:c>
      <x:c r="C2024" s="2" t="n">
        <x:v>2030</x:v>
      </x:c>
      <x:c r="D2024" s="2" t="str">
        <x:v>WUP_SURFACE</x:v>
      </x:c>
      <x:c r="E2024" s="17" t="n">
        <x:v>932551245.8378943</x:v>
      </x:c>
      <x:c r="F2024" s="17" t="n">
        <x:f>IF(AND(M2024,ISNUMBER(R2024)),IF(D2024="TEMPO_PROXY",R2024,IF(AND(ISNUMBER(S2024),S2024&gt;0,ISNUMBER(U2024)),U2024*R2024/S2024,"n.a.")),"n.a.")</x:f>
        <x:v>1178574606.3828201</x:v>
      </x:c>
      <x:c r="G2024" s="17" t="n">
        <x:f>IF(AND(ISNUMBER(E2024),ISNUMBER(F2024)),E2024-F2024,"n.a.")</x:f>
        <x:v>-246023360.5449258</x:v>
      </x:c>
      <x:c r="H2024" s="15" t="n">
        <x:f>IF(AND(ISNUMBER(E2024),ISNUMBER(F2024),F2024&gt;0),(E2024-F2024)/F2024,"n.a.")</x:f>
        <x:v>-0.20874653094724274</x:v>
      </x:c>
      <x:c r="I2024" s="19" t="n">
        <x:f>IF(ISNUMBER(H2024),ABS(H2024),"n.a.")</x:f>
        <x:v>0.20874653094724274</x:v>
      </x:c>
      <x:c r="J2024" s="2" t="str">
        <x:v>available</x:v>
      </x:c>
      <x:c r="K2024" s="2" t="n">
        <x:v>1</x:v>
      </x:c>
      <x:c r="L2024" s="13" t="b">
        <x:v>0</x:v>
      </x:c>
      <x:c r="M2024" s="13" t="b">
        <x:v>1</x:v>
      </x:c>
      <x:c r="N2024" s="2" t="str">
        <x:v>projected_CRISP_BU_surface</x:v>
      </x:c>
      <x:c r="O2024" s="2" t="str"/>
      <x:c r="P2024" s="2" t="str">
        <x:v>horizontal built-up surface</x:v>
      </x:c>
      <x:c r="Q2024" s="2" t="str">
        <x:v>m2</x:v>
      </x:c>
      <x:c r="R2024" s="17" t="n">
        <x:v>1178574606.3828197</x:v>
      </x:c>
      <x:c r="S2024" s="17" t="n">
        <x:v>734538215.05</x:v>
      </x:c>
      <x:c r="T2024" s="18" t="n">
        <x:v>1.0000000000000004</x:v>
      </x:c>
      <x:c r="U2024" s="17" t="n">
        <x:v>734538215.0500003</x:v>
      </x:c>
      <x:c r="V2024" s="2" t="str">
        <x:v>Area equivalent = model2020 * WUP surface / TEMPO2020 footprint; km2 multiplied by1e6 once</x:v>
      </x:c>
      <x:c r="W2024" s="2" t="str">
        <x:v>L1_numeric_partition_qualified_not_national_completeness</x:v>
      </x:c>
      <x:c r="X2024" s="2" t="str">
        <x:v>https://human-settlement.emergency.copernicus.eu/datasets.php</x:v>
      </x:c>
    </x:row>
    <x:row r="2025" ht="23" customHeight="1">
      <x:c r="A2025" s="2" t="str">
        <x:v>EGY</x:v>
      </x:c>
      <x:c r="B2025" s="2" t="str">
        <x:v>Egypt (Arab Republic of)</x:v>
      </x:c>
      <x:c r="C2025" s="2" t="n">
        <x:v>2030</x:v>
      </x:c>
      <x:c r="D2025" s="2" t="str">
        <x:v>WUP_SURFACE</x:v>
      </x:c>
      <x:c r="E2025" s="17" t="n">
        <x:v>4083665831.4329414</x:v>
      </x:c>
      <x:c r="F2025" s="17" t="n">
        <x:f>IF(AND(M2025,ISNUMBER(R2025)),IF(D2025="TEMPO_PROXY",R2025,IF(AND(ISNUMBER(S2025),S2025&gt;0,ISNUMBER(U2025)),U2025*R2025/S2025,"n.a.")),"n.a.")</x:f>
        <x:v>5739221859.924016</x:v>
      </x:c>
      <x:c r="G2025" s="17" t="n">
        <x:f>IF(AND(ISNUMBER(E2025),ISNUMBER(F2025)),E2025-F2025,"n.a.")</x:f>
        <x:v>-1655556028.4910746</x:v>
      </x:c>
      <x:c r="H2025" s="15" t="n">
        <x:f>IF(AND(ISNUMBER(E2025),ISNUMBER(F2025),F2025&gt;0),(E2025-F2025)/F2025,"n.a.")</x:f>
        <x:v>-0.28846350060999265</x:v>
      </x:c>
      <x:c r="I2025" s="19" t="n">
        <x:f>IF(ISNUMBER(H2025),ABS(H2025),"n.a.")</x:f>
        <x:v>0.28846350060999265</x:v>
      </x:c>
      <x:c r="J2025" s="2" t="str">
        <x:v>available</x:v>
      </x:c>
      <x:c r="K2025" s="2" t="n">
        <x:v>1</x:v>
      </x:c>
      <x:c r="L2025" s="13" t="b">
        <x:v>0</x:v>
      </x:c>
      <x:c r="M2025" s="13" t="b">
        <x:v>1</x:v>
      </x:c>
      <x:c r="N2025" s="2" t="str">
        <x:v>projected_CRISP_BU_surface</x:v>
      </x:c>
      <x:c r="O2025" s="2" t="str"/>
      <x:c r="P2025" s="2" t="str">
        <x:v>horizontal built-up surface</x:v>
      </x:c>
      <x:c r="Q2025" s="2" t="str">
        <x:v>m2</x:v>
      </x:c>
      <x:c r="R2025" s="17" t="n">
        <x:v>4298632261.368505</x:v>
      </x:c>
      <x:c r="S2025" s="17" t="n">
        <x:v>2212752476.53</x:v>
      </x:c>
      <x:c r="T2025" s="18" t="n">
        <x:v>1.3351274337891113</x:v>
      </x:c>
      <x:c r="U2025" s="17" t="n">
        <x:v>2954306535.6</x:v>
      </x:c>
      <x:c r="V2025" s="2" t="str">
        <x:v>Area equivalent = model2020 * WUP surface / TEMPO2020 footprint; km2 multiplied by1e6 once</x:v>
      </x:c>
      <x:c r="W2025" s="2" t="str">
        <x:v>L1_numeric_partition_qualified_not_national_completeness</x:v>
      </x:c>
      <x:c r="X2025" s="2" t="str">
        <x:v>https://human-settlement.emergency.copernicus.eu/datasets.php</x:v>
      </x:c>
    </x:row>
    <x:row r="2026" ht="23" customHeight="1">
      <x:c r="A2026" s="2" t="str">
        <x:v>ERI</x:v>
      </x:c>
      <x:c r="B2026" s="2" t="str">
        <x:v>Eritrea (State of)</x:v>
      </x:c>
      <x:c r="C2026" s="2" t="n">
        <x:v>2030</x:v>
      </x:c>
      <x:c r="D2026" s="2" t="str">
        <x:v>WUP_SURFACE</x:v>
      </x:c>
      <x:c r="E2026" s="17" t="n">
        <x:v>63646021.382836774</x:v>
      </x:c>
      <x:c r="F2026" s="17" t="n">
        <x:f>IF(AND(M2026,ISNUMBER(R2026)),IF(D2026="TEMPO_PROXY",R2026,IF(AND(ISNUMBER(S2026),S2026&gt;0,ISNUMBER(U2026)),U2026*R2026/S2026,"n.a.")),"n.a.")</x:f>
        <x:v>148442373.15248138</x:v>
      </x:c>
      <x:c r="G2026" s="17" t="n">
        <x:f>IF(AND(ISNUMBER(E2026),ISNUMBER(F2026)),E2026-F2026,"n.a.")</x:f>
        <x:v>-84796351.7696446</x:v>
      </x:c>
      <x:c r="H2026" s="15" t="n">
        <x:f>IF(AND(ISNUMBER(E2026),ISNUMBER(F2026),F2026&gt;0),(E2026-F2026)/F2026,"n.a.")</x:f>
        <x:v>-0.5712408793312743</x:v>
      </x:c>
      <x:c r="I2026" s="19" t="n">
        <x:f>IF(ISNUMBER(H2026),ABS(H2026),"n.a.")</x:f>
        <x:v>0.5712408793312743</x:v>
      </x:c>
      <x:c r="J2026" s="2" t="str">
        <x:v>available</x:v>
      </x:c>
      <x:c r="K2026" s="2" t="n">
        <x:v>1</x:v>
      </x:c>
      <x:c r="L2026" s="13" t="b">
        <x:v>0</x:v>
      </x:c>
      <x:c r="M2026" s="13" t="b">
        <x:v>1</x:v>
      </x:c>
      <x:c r="N2026" s="2" t="str">
        <x:v>projected_CRISP_BU_surface</x:v>
      </x:c>
      <x:c r="O2026" s="2" t="str"/>
      <x:c r="P2026" s="2" t="str">
        <x:v>horizontal built-up surface</x:v>
      </x:c>
      <x:c r="Q2026" s="2" t="str">
        <x:v>m2</x:v>
      </x:c>
      <x:c r="R2026" s="17" t="n">
        <x:v>148442373.15248144</x:v>
      </x:c>
      <x:c r="S2026" s="17" t="n">
        <x:v>45298098.33</x:v>
      </x:c>
      <x:c r="T2026" s="18" t="n">
        <x:v>0.9999999999999996</x:v>
      </x:c>
      <x:c r="U2026" s="17" t="n">
        <x:v>45298098.329999976</x:v>
      </x:c>
      <x:c r="V2026" s="2" t="str">
        <x:v>Area equivalent = model2020 * WUP surface / TEMPO2020 footprint; km2 multiplied by1e6 once</x:v>
      </x:c>
      <x:c r="W2026" s="2" t="str">
        <x:v>L1_numeric_partition_qualified_not_national_completeness</x:v>
      </x:c>
      <x:c r="X2026" s="2" t="str">
        <x:v>https://human-settlement.emergency.copernicus.eu/datasets.php</x:v>
      </x:c>
    </x:row>
    <x:row r="2027" ht="23" customHeight="1">
      <x:c r="A2027" s="2" t="str">
        <x:v>ESP</x:v>
      </x:c>
      <x:c r="B2027" s="2" t="str">
        <x:v>Spain (Kingdom of)</x:v>
      </x:c>
      <x:c r="C2027" s="2" t="n">
        <x:v>2030</x:v>
      </x:c>
      <x:c r="D2027" s="2" t="str">
        <x:v>WUP_SURFACE</x:v>
      </x:c>
      <x:c r="E2027" s="17" t="n">
        <x:v>4785949487.977991</x:v>
      </x:c>
      <x:c r="F2027" s="17" t="n">
        <x:f>IF(AND(M2027,ISNUMBER(R2027)),IF(D2027="TEMPO_PROXY",R2027,IF(AND(ISNUMBER(S2027),S2027&gt;0,ISNUMBER(U2027)),U2027*R2027/S2027,"n.a.")),"n.a.")</x:f>
        <x:v>6439728593.990942</x:v>
      </x:c>
      <x:c r="G2027" s="17" t="n">
        <x:f>IF(AND(ISNUMBER(E2027),ISNUMBER(F2027)),E2027-F2027,"n.a.")</x:f>
        <x:v>-1653779106.012951</x:v>
      </x:c>
      <x:c r="H2027" s="15" t="n">
        <x:f>IF(AND(ISNUMBER(E2027),ISNUMBER(F2027),F2027&gt;0),(E2027-F2027)/F2027,"n.a.")</x:f>
        <x:v>-0.2568088207251669</x:v>
      </x:c>
      <x:c r="I2027" s="19" t="n">
        <x:f>IF(ISNUMBER(H2027),ABS(H2027),"n.a.")</x:f>
        <x:v>0.2568088207251669</x:v>
      </x:c>
      <x:c r="J2027" s="2" t="str">
        <x:v>available</x:v>
      </x:c>
      <x:c r="K2027" s="2" t="n">
        <x:v>1</x:v>
      </x:c>
      <x:c r="L2027" s="13" t="b">
        <x:v>0</x:v>
      </x:c>
      <x:c r="M2027" s="13" t="b">
        <x:v>1</x:v>
      </x:c>
      <x:c r="N2027" s="2" t="str">
        <x:v>projected_CRISP_BU_surface</x:v>
      </x:c>
      <x:c r="O2027" s="2" t="str"/>
      <x:c r="P2027" s="2" t="str">
        <x:v>horizontal built-up surface</x:v>
      </x:c>
      <x:c r="Q2027" s="2" t="str">
        <x:v>m2</x:v>
      </x:c>
      <x:c r="R2027" s="17" t="n">
        <x:v>5718126406.525274</x:v>
      </x:c>
      <x:c r="S2027" s="17" t="n">
        <x:v>3279628822.71</x:v>
      </x:c>
      <x:c r="T2027" s="18" t="n">
        <x:v>1.1261955640998436</x:v>
      </x:c>
      <x:c r="U2027" s="17" t="n">
        <x:v>3693503432.029994</x:v>
      </x:c>
      <x:c r="V2027" s="2" t="str">
        <x:v>Area equivalent = model2020 * WUP surface / TEMPO2020 footprint; km2 multiplied by1e6 once</x:v>
      </x:c>
      <x:c r="W2027" s="2" t="str">
        <x:v>L1_numeric_partition_qualified_not_national_completeness</x:v>
      </x:c>
      <x:c r="X2027" s="2" t="str">
        <x:v>https://human-settlement.emergency.copernicus.eu/datasets.php</x:v>
      </x:c>
    </x:row>
    <x:row r="2028" ht="23" customHeight="1">
      <x:c r="A2028" s="2" t="str">
        <x:v>EST</x:v>
      </x:c>
      <x:c r="B2028" s="2" t="str">
        <x:v>Estonia (Republic of)</x:v>
      </x:c>
      <x:c r="C2028" s="2" t="n">
        <x:v>2030</x:v>
      </x:c>
      <x:c r="D2028" s="2" t="str">
        <x:v>WUP_SURFACE</x:v>
      </x:c>
      <x:c r="E2028" s="17" t="n">
        <x:v>135759202.91163582</x:v>
      </x:c>
      <x:c r="F2028" s="17" t="n">
        <x:f>IF(AND(M2028,ISNUMBER(R2028)),IF(D2028="TEMPO_PROXY",R2028,IF(AND(ISNUMBER(S2028),S2028&gt;0,ISNUMBER(U2028)),U2028*R2028/S2028,"n.a.")),"n.a.")</x:f>
        <x:v>230755644.922525</x:v>
      </x:c>
      <x:c r="G2028" s="17" t="n">
        <x:f>IF(AND(ISNUMBER(E2028),ISNUMBER(F2028)),E2028-F2028,"n.a.")</x:f>
        <x:v>-94996442.01088917</x:v>
      </x:c>
      <x:c r="H2028" s="15" t="n">
        <x:f>IF(AND(ISNUMBER(E2028),ISNUMBER(F2028),F2028&gt;0),(E2028-F2028)/F2028,"n.a.")</x:f>
        <x:v>-0.4116754848739832</x:v>
      </x:c>
      <x:c r="I2028" s="19" t="n">
        <x:f>IF(ISNUMBER(H2028),ABS(H2028),"n.a.")</x:f>
        <x:v>0.4116754848739832</x:v>
      </x:c>
      <x:c r="J2028" s="2" t="str">
        <x:v>available</x:v>
      </x:c>
      <x:c r="K2028" s="2" t="n">
        <x:v>1</x:v>
      </x:c>
      <x:c r="L2028" s="13" t="b">
        <x:v>0</x:v>
      </x:c>
      <x:c r="M2028" s="13" t="b">
        <x:v>1</x:v>
      </x:c>
      <x:c r="N2028" s="2" t="str">
        <x:v>projected_CRISP_BU_surface</x:v>
      </x:c>
      <x:c r="O2028" s="2" t="str"/>
      <x:c r="P2028" s="2" t="str">
        <x:v>horizontal built-up surface</x:v>
      </x:c>
      <x:c r="Q2028" s="2" t="str">
        <x:v>m2</x:v>
      </x:c>
      <x:c r="R2028" s="17" t="n">
        <x:v>230755644.92252478</x:v>
      </x:c>
      <x:c r="S2028" s="17" t="n">
        <x:v>113094705.37</x:v>
      </x:c>
      <x:c r="T2028" s="18" t="n">
        <x:v>1.0000000000000009</x:v>
      </x:c>
      <x:c r="U2028" s="17" t="n">
        <x:v>113094705.3700001</x:v>
      </x:c>
      <x:c r="V2028" s="2" t="str">
        <x:v>Area equivalent = model2020 * WUP surface / TEMPO2020 footprint; km2 multiplied by1e6 once</x:v>
      </x:c>
      <x:c r="W2028" s="2" t="str">
        <x:v>L1_numeric_partition_qualified_not_national_completeness</x:v>
      </x:c>
      <x:c r="X2028" s="2" t="str">
        <x:v>https://human-settlement.emergency.copernicus.eu/datasets.php</x:v>
      </x:c>
    </x:row>
    <x:row r="2029" ht="23" customHeight="1">
      <x:c r="A2029" s="2" t="str">
        <x:v>ETH</x:v>
      </x:c>
      <x:c r="B2029" s="2" t="str">
        <x:v>Ethiopia (Federal Democratic Republic of)</x:v>
      </x:c>
      <x:c r="C2029" s="2" t="n">
        <x:v>2030</x:v>
      </x:c>
      <x:c r="D2029" s="2" t="str">
        <x:v>WUP_SURFACE</x:v>
      </x:c>
      <x:c r="E2029" s="17" t="n">
        <x:v>2462067144.1789274</x:v>
      </x:c>
      <x:c r="F2029" s="17" t="n">
        <x:f>IF(AND(M2029,ISNUMBER(R2029)),IF(D2029="TEMPO_PROXY",R2029,IF(AND(ISNUMBER(S2029),S2029&gt;0,ISNUMBER(U2029)),U2029*R2029/S2029,"n.a.")),"n.a.")</x:f>
        <x:v>3756474490.344095</x:v>
      </x:c>
      <x:c r="G2029" s="17" t="n">
        <x:f>IF(AND(ISNUMBER(E2029),ISNUMBER(F2029)),E2029-F2029,"n.a.")</x:f>
        <x:v>-1294407346.1651678</x:v>
      </x:c>
      <x:c r="H2029" s="15" t="n">
        <x:f>IF(AND(ISNUMBER(E2029),ISNUMBER(F2029),F2029&gt;0),(E2029-F2029)/F2029,"n.a.")</x:f>
        <x:v>-0.34458036371400974</x:v>
      </x:c>
      <x:c r="I2029" s="19" t="n">
        <x:f>IF(ISNUMBER(H2029),ABS(H2029),"n.a.")</x:f>
        <x:v>0.34458036371400974</x:v>
      </x:c>
      <x:c r="J2029" s="2" t="str">
        <x:v>available</x:v>
      </x:c>
      <x:c r="K2029" s="2" t="n">
        <x:v>1</x:v>
      </x:c>
      <x:c r="L2029" s="13" t="b">
        <x:v>0</x:v>
      </x:c>
      <x:c r="M2029" s="13" t="b">
        <x:v>1</x:v>
      </x:c>
      <x:c r="N2029" s="2" t="str">
        <x:v>projected_CRISP_BU_surface</x:v>
      </x:c>
      <x:c r="O2029" s="2" t="str"/>
      <x:c r="P2029" s="2" t="str">
        <x:v>horizontal built-up surface</x:v>
      </x:c>
      <x:c r="Q2029" s="2" t="str">
        <x:v>m2</x:v>
      </x:c>
      <x:c r="R2029" s="17" t="n">
        <x:v>3756474490.3440895</x:v>
      </x:c>
      <x:c r="S2029" s="17" t="n">
        <x:v>1660821510.71</x:v>
      </x:c>
      <x:c r="T2029" s="18" t="n">
        <x:v>1.0000000000000013</x:v>
      </x:c>
      <x:c r="U2029" s="17" t="n">
        <x:v>1660821510.7100024</x:v>
      </x:c>
      <x:c r="V2029" s="2" t="str">
        <x:v>Area equivalent = model2020 * WUP surface / TEMPO2020 footprint; km2 multiplied by1e6 once</x:v>
      </x:c>
      <x:c r="W2029" s="2" t="str">
        <x:v>L1_numeric_partition_qualified_not_national_completeness</x:v>
      </x:c>
      <x:c r="X2029" s="2" t="str">
        <x:v>https://human-settlement.emergency.copernicus.eu/datasets.php</x:v>
      </x:c>
    </x:row>
    <x:row r="2030" ht="23" customHeight="1">
      <x:c r="A2030" s="2" t="str">
        <x:v>FIN</x:v>
      </x:c>
      <x:c r="B2030" s="2" t="str">
        <x:v>Finland (Republic of)</x:v>
      </x:c>
      <x:c r="C2030" s="2" t="n">
        <x:v>2030</x:v>
      </x:c>
      <x:c r="D2030" s="2" t="str">
        <x:v>WUP_SURFACE</x:v>
      </x:c>
      <x:c r="E2030" s="17" t="n">
        <x:v>858133185.5296713</x:v>
      </x:c>
      <x:c r="F2030" s="17" t="n">
        <x:f>IF(AND(M2030,ISNUMBER(R2030)),IF(D2030="TEMPO_PROXY",R2030,IF(AND(ISNUMBER(S2030),S2030&gt;0,ISNUMBER(U2030)),U2030*R2030/S2030,"n.a.")),"n.a.")</x:f>
        <x:v>753764657.0567616</x:v>
      </x:c>
      <x:c r="G2030" s="17" t="n">
        <x:f>IF(AND(ISNUMBER(E2030),ISNUMBER(F2030)),E2030-F2030,"n.a.")</x:f>
        <x:v>104368528.47290969</x:v>
      </x:c>
      <x:c r="H2030" s="15" t="n">
        <x:f>IF(AND(ISNUMBER(E2030),ISNUMBER(F2030),F2030&gt;0),(E2030-F2030)/F2030,"n.a.")</x:f>
        <x:v>0.13846301693215407</x:v>
      </x:c>
      <x:c r="I2030" s="19" t="n">
        <x:f>IF(ISNUMBER(H2030),ABS(H2030),"n.a.")</x:f>
        <x:v>0.13846301693215407</x:v>
      </x:c>
      <x:c r="J2030" s="2" t="str">
        <x:v>available</x:v>
      </x:c>
      <x:c r="K2030" s="2" t="n">
        <x:v>1</x:v>
      </x:c>
      <x:c r="L2030" s="13" t="b">
        <x:v>0</x:v>
      </x:c>
      <x:c r="M2030" s="13" t="b">
        <x:v>1</x:v>
      </x:c>
      <x:c r="N2030" s="2" t="str">
        <x:v>projected_CRISP_BU_surface</x:v>
      </x:c>
      <x:c r="O2030" s="2" t="str"/>
      <x:c r="P2030" s="2" t="str">
        <x:v>horizontal built-up surface</x:v>
      </x:c>
      <x:c r="Q2030" s="2" t="str">
        <x:v>m2</x:v>
      </x:c>
      <x:c r="R2030" s="17" t="n">
        <x:v>753764657.0567625</x:v>
      </x:c>
      <x:c r="S2030" s="17" t="n">
        <x:v>615866742.34</x:v>
      </x:c>
      <x:c r="T2030" s="18" t="n">
        <x:v>0.9999999999999989</x:v>
      </x:c>
      <x:c r="U2030" s="17" t="n">
        <x:v>615866742.3399993</x:v>
      </x:c>
      <x:c r="V2030" s="2" t="str">
        <x:v>Area equivalent = model2020 * WUP surface / TEMPO2020 footprint; km2 multiplied by1e6 once</x:v>
      </x:c>
      <x:c r="W2030" s="2" t="str">
        <x:v>L1_numeric_partition_qualified_not_national_completeness</x:v>
      </x:c>
      <x:c r="X2030" s="2" t="str">
        <x:v>https://human-settlement.emergency.copernicus.eu/datasets.php</x:v>
      </x:c>
    </x:row>
    <x:row r="2031" ht="23" customHeight="1">
      <x:c r="A2031" s="2" t="str">
        <x:v>FJI</x:v>
      </x:c>
      <x:c r="B2031" s="2" t="str">
        <x:v>Fiji (Republic of)</x:v>
      </x:c>
      <x:c r="C2031" s="2" t="n">
        <x:v>2030</x:v>
      </x:c>
      <x:c r="D2031" s="2" t="str">
        <x:v>WUP_SURFACE</x:v>
      </x:c>
      <x:c r="E2031" s="17" t="n">
        <x:v>43061029.6139319</x:v>
      </x:c>
      <x:c r="F2031" s="17" t="n">
        <x:f>IF(AND(M2031,ISNUMBER(R2031)),IF(D2031="TEMPO_PROXY",R2031,IF(AND(ISNUMBER(S2031),S2031&gt;0,ISNUMBER(U2031)),U2031*R2031/S2031,"n.a.")),"n.a.")</x:f>
        <x:v>99062600.99322821</x:v>
      </x:c>
      <x:c r="G2031" s="17" t="n">
        <x:f>IF(AND(ISNUMBER(E2031),ISNUMBER(F2031)),E2031-F2031,"n.a.")</x:f>
        <x:v>-56001571.37929631</x:v>
      </x:c>
      <x:c r="H2031" s="15" t="n">
        <x:f>IF(AND(ISNUMBER(E2031),ISNUMBER(F2031),F2031&gt;0),(E2031-F2031)/F2031,"n.a.")</x:f>
        <x:v>-0.5653149707135643</x:v>
      </x:c>
      <x:c r="I2031" s="19" t="n">
        <x:f>IF(ISNUMBER(H2031),ABS(H2031),"n.a.")</x:f>
        <x:v>0.5653149707135643</x:v>
      </x:c>
      <x:c r="J2031" s="2" t="str">
        <x:v>available</x:v>
      </x:c>
      <x:c r="K2031" s="2" t="n">
        <x:v>1</x:v>
      </x:c>
      <x:c r="L2031" s="13" t="b">
        <x:v>0</x:v>
      </x:c>
      <x:c r="M2031" s="13" t="b">
        <x:v>1</x:v>
      </x:c>
      <x:c r="N2031" s="2" t="str">
        <x:v>projected_CRISP_BU_surface</x:v>
      </x:c>
      <x:c r="O2031" s="2" t="str"/>
      <x:c r="P2031" s="2" t="str">
        <x:v>horizontal built-up surface</x:v>
      </x:c>
      <x:c r="Q2031" s="2" t="str">
        <x:v>m2</x:v>
      </x:c>
      <x:c r="R2031" s="17" t="n">
        <x:v>99062600.99322821</x:v>
      </x:c>
      <x:c r="S2031" s="17" t="n">
        <x:v>37460168.12</x:v>
      </x:c>
      <x:c r="T2031" s="18" t="n">
        <x:v>1</x:v>
      </x:c>
      <x:c r="U2031" s="17" t="n">
        <x:v>37460168.12</x:v>
      </x:c>
      <x:c r="V2031" s="2" t="str">
        <x:v>Area equivalent = model2020 * WUP surface / TEMPO2020 footprint; km2 multiplied by1e6 once</x:v>
      </x:c>
      <x:c r="W2031" s="2" t="str">
        <x:v>L1_numeric_partition_qualified_not_national_completeness</x:v>
      </x:c>
      <x:c r="X2031" s="2" t="str">
        <x:v>https://human-settlement.emergency.copernicus.eu/datasets.php</x:v>
      </x:c>
    </x:row>
    <x:row r="2032" ht="23" customHeight="1">
      <x:c r="A2032" s="2" t="str">
        <x:v>FRA</x:v>
      </x:c>
      <x:c r="B2032" s="2" t="str">
        <x:v>France (French Republic)</x:v>
      </x:c>
      <x:c r="C2032" s="2" t="n">
        <x:v>2030</x:v>
      </x:c>
      <x:c r="D2032" s="2" t="str">
        <x:v>WUP_SURFACE</x:v>
      </x:c>
      <x:c r="E2032" s="17" t="n">
        <x:v>7107633956.961622</x:v>
      </x:c>
      <x:c r="F2032" s="17" t="n">
        <x:f>IF(AND(M2032,ISNUMBER(R2032)),IF(D2032="TEMPO_PROXY",R2032,IF(AND(ISNUMBER(S2032),S2032&gt;0,ISNUMBER(U2032)),U2032*R2032/S2032,"n.a.")),"n.a.")</x:f>
        <x:v>11557062628.473202</x:v>
      </x:c>
      <x:c r="G2032" s="17" t="n">
        <x:f>IF(AND(ISNUMBER(E2032),ISNUMBER(F2032)),E2032-F2032,"n.a.")</x:f>
        <x:v>-4449428671.5115795</x:v>
      </x:c>
      <x:c r="H2032" s="15" t="n">
        <x:f>IF(AND(ISNUMBER(E2032),ISNUMBER(F2032),F2032&gt;0),(E2032-F2032)/F2032,"n.a.")</x:f>
        <x:v>-0.3849965008019855</x:v>
      </x:c>
      <x:c r="I2032" s="19" t="n">
        <x:f>IF(ISNUMBER(H2032),ABS(H2032),"n.a.")</x:f>
        <x:v>0.3849965008019855</x:v>
      </x:c>
      <x:c r="J2032" s="2" t="str">
        <x:v>available</x:v>
      </x:c>
      <x:c r="K2032" s="2" t="n">
        <x:v>1</x:v>
      </x:c>
      <x:c r="L2032" s="13" t="b">
        <x:v>0</x:v>
      </x:c>
      <x:c r="M2032" s="13" t="b">
        <x:v>1</x:v>
      </x:c>
      <x:c r="N2032" s="2" t="str">
        <x:v>projected_CRISP_BU_surface</x:v>
      </x:c>
      <x:c r="O2032" s="2" t="str"/>
      <x:c r="P2032" s="2" t="str">
        <x:v>horizontal built-up surface</x:v>
      </x:c>
      <x:c r="Q2032" s="2" t="str">
        <x:v>m2</x:v>
      </x:c>
      <x:c r="R2032" s="17" t="n">
        <x:v>11557062628.4732</x:v>
      </x:c>
      <x:c r="S2032" s="17" t="n">
        <x:v>6074526882.68</x:v>
      </x:c>
      <x:c r="T2032" s="18" t="n">
        <x:v>1.0000000000000002</x:v>
      </x:c>
      <x:c r="U2032" s="17" t="n">
        <x:v>6074526882.680001</x:v>
      </x:c>
      <x:c r="V2032" s="2" t="str">
        <x:v>Area equivalent = model2020 * WUP surface / TEMPO2020 footprint; km2 multiplied by1e6 once</x:v>
      </x:c>
      <x:c r="W2032" s="2" t="str">
        <x:v>L1_numeric_partition_qualified_not_national_completeness</x:v>
      </x:c>
      <x:c r="X2032" s="2" t="str">
        <x:v>https://human-settlement.emergency.copernicus.eu/datasets.php</x:v>
      </x:c>
    </x:row>
    <x:row r="2033" ht="23" customHeight="1">
      <x:c r="A2033" s="2" t="str">
        <x:v>FSM</x:v>
      </x:c>
      <x:c r="B2033" s="2" t="str">
        <x:v>Micronesia (Federated States of)</x:v>
      </x:c>
      <x:c r="C2033" s="2" t="n">
        <x:v>2030</x:v>
      </x:c>
      <x:c r="D2033" s="2" t="str">
        <x:v>WUP_SURFACE</x:v>
      </x:c>
      <x:c r="E2033" s="17" t="n">
        <x:v>2672465.2237665234</x:v>
      </x:c>
      <x:c r="F2033" s="17" t="n">
        <x:f>IF(AND(M2033,ISNUMBER(R2033)),IF(D2033="TEMPO_PROXY",R2033,IF(AND(ISNUMBER(S2033),S2033&gt;0,ISNUMBER(U2033)),U2033*R2033/S2033,"n.a.")),"n.a.")</x:f>
        <x:v>6723488.14599172</x:v>
      </x:c>
      <x:c r="G2033" s="17" t="n">
        <x:f>IF(AND(ISNUMBER(E2033),ISNUMBER(F2033)),E2033-F2033,"n.a.")</x:f>
        <x:v>-4051022.922225197</x:v>
      </x:c>
      <x:c r="H2033" s="15" t="n">
        <x:f>IF(AND(ISNUMBER(E2033),ISNUMBER(F2033),F2033&gt;0),(E2033-F2033)/F2033,"n.a.")</x:f>
        <x:v>-0.6025180433522825</x:v>
      </x:c>
      <x:c r="I2033" s="19" t="n">
        <x:f>IF(ISNUMBER(H2033),ABS(H2033),"n.a.")</x:f>
        <x:v>0.6025180433522825</x:v>
      </x:c>
      <x:c r="J2033" s="2" t="str">
        <x:v>available</x:v>
      </x:c>
      <x:c r="K2033" s="2" t="n">
        <x:v>1</x:v>
      </x:c>
      <x:c r="L2033" s="13" t="b">
        <x:v>0</x:v>
      </x:c>
      <x:c r="M2033" s="13" t="b">
        <x:v>1</x:v>
      </x:c>
      <x:c r="N2033" s="2" t="str">
        <x:v>projected_CRISP_BU_surface</x:v>
      </x:c>
      <x:c r="O2033" s="2" t="str"/>
      <x:c r="P2033" s="2" t="str">
        <x:v>horizontal built-up surface</x:v>
      </x:c>
      <x:c r="Q2033" s="2" t="str">
        <x:v>m2</x:v>
      </x:c>
      <x:c r="R2033" s="17" t="n">
        <x:v>6723488.145991723</x:v>
      </x:c>
      <x:c r="S2033" s="17" t="n">
        <x:v>2177822.61</x:v>
      </x:c>
      <x:c r="T2033" s="18" t="n">
        <x:v>0.9999999999999996</x:v>
      </x:c>
      <x:c r="U2033" s="17" t="n">
        <x:v>2177822.609999999</x:v>
      </x:c>
      <x:c r="V2033" s="2" t="str">
        <x:v>Area equivalent = model2020 * WUP surface / TEMPO2020 footprint; km2 multiplied by1e6 once</x:v>
      </x:c>
      <x:c r="W2033" s="2" t="str">
        <x:v>L1_numeric_partition_qualified_not_national_completeness</x:v>
      </x:c>
      <x:c r="X2033" s="2" t="str">
        <x:v>https://human-settlement.emergency.copernicus.eu/datasets.php</x:v>
      </x:c>
    </x:row>
    <x:row r="2034" ht="23" customHeight="1">
      <x:c r="A2034" s="2" t="str">
        <x:v>GAB</x:v>
      </x:c>
      <x:c r="B2034" s="2" t="str">
        <x:v>Gabon (Gabonese Republic)</x:v>
      </x:c>
      <x:c r="C2034" s="2" t="n">
        <x:v>2030</x:v>
      </x:c>
      <x:c r="D2034" s="2" t="str">
        <x:v>WUP_SURFACE</x:v>
      </x:c>
      <x:c r="E2034" s="17" t="n">
        <x:v>95902774.76875077</x:v>
      </x:c>
      <x:c r="F2034" s="17" t="n">
        <x:f>IF(AND(M2034,ISNUMBER(R2034)),IF(D2034="TEMPO_PROXY",R2034,IF(AND(ISNUMBER(S2034),S2034&gt;0,ISNUMBER(U2034)),U2034*R2034/S2034,"n.a.")),"n.a.")</x:f>
        <x:v>188517217.01037925</x:v>
      </x:c>
      <x:c r="G2034" s="17" t="n">
        <x:f>IF(AND(ISNUMBER(E2034),ISNUMBER(F2034)),E2034-F2034,"n.a.")</x:f>
        <x:v>-92614442.24162848</x:v>
      </x:c>
      <x:c r="H2034" s="15" t="n">
        <x:f>IF(AND(ISNUMBER(E2034),ISNUMBER(F2034),F2034&gt;0),(E2034-F2034)/F2034,"n.a.")</x:f>
        <x:v>-0.4912784291555152</x:v>
      </x:c>
      <x:c r="I2034" s="19" t="n">
        <x:f>IF(ISNUMBER(H2034),ABS(H2034),"n.a.")</x:f>
        <x:v>0.4912784291555152</x:v>
      </x:c>
      <x:c r="J2034" s="2" t="str">
        <x:v>available</x:v>
      </x:c>
      <x:c r="K2034" s="2" t="n">
        <x:v>1</x:v>
      </x:c>
      <x:c r="L2034" s="13" t="b">
        <x:v>0</x:v>
      </x:c>
      <x:c r="M2034" s="13" t="b">
        <x:v>1</x:v>
      </x:c>
      <x:c r="N2034" s="2" t="str">
        <x:v>projected_CRISP_BU_surface</x:v>
      </x:c>
      <x:c r="O2034" s="2" t="str"/>
      <x:c r="P2034" s="2" t="str">
        <x:v>horizontal built-up surface</x:v>
      </x:c>
      <x:c r="Q2034" s="2" t="str">
        <x:v>m2</x:v>
      </x:c>
      <x:c r="R2034" s="17" t="n">
        <x:v>188517217.01037937</x:v>
      </x:c>
      <x:c r="S2034" s="17" t="n">
        <x:v>73743642.56</x:v>
      </x:c>
      <x:c r="T2034" s="18" t="n">
        <x:v>0.9999999999999994</x:v>
      </x:c>
      <x:c r="U2034" s="17" t="n">
        <x:v>73743642.55999996</x:v>
      </x:c>
      <x:c r="V2034" s="2" t="str">
        <x:v>Area equivalent = model2020 * WUP surface / TEMPO2020 footprint; km2 multiplied by1e6 once</x:v>
      </x:c>
      <x:c r="W2034" s="2" t="str">
        <x:v>L1_numeric_partition_qualified_not_national_completeness</x:v>
      </x:c>
      <x:c r="X2034" s="2" t="str">
        <x:v>https://human-settlement.emergency.copernicus.eu/datasets.php</x:v>
      </x:c>
    </x:row>
    <x:row r="2035" ht="23" customHeight="1">
      <x:c r="A2035" s="2" t="str">
        <x:v>GBR</x:v>
      </x:c>
      <x:c r="B2035" s="2" t="str">
        <x:v>United Kingdom of Great Britain and Northern Ireland</x:v>
      </x:c>
      <x:c r="C2035" s="2" t="n">
        <x:v>2030</x:v>
      </x:c>
      <x:c r="D2035" s="2" t="str">
        <x:v>WUP_SURFACE</x:v>
      </x:c>
      <x:c r="E2035" s="17" t="n">
        <x:v>4389019209.098643</x:v>
      </x:c>
      <x:c r="F2035" s="17" t="n">
        <x:f>IF(AND(M2035,ISNUMBER(R2035)),IF(D2035="TEMPO_PROXY",R2035,IF(AND(ISNUMBER(S2035),S2035&gt;0,ISNUMBER(U2035)),U2035*R2035/S2035,"n.a.")),"n.a.")</x:f>
        <x:v>7166588151.399112</x:v>
      </x:c>
      <x:c r="G2035" s="17" t="n">
        <x:f>IF(AND(ISNUMBER(E2035),ISNUMBER(F2035)),E2035-F2035,"n.a.")</x:f>
        <x:v>-2777568942.3004684</x:v>
      </x:c>
      <x:c r="H2035" s="15" t="n">
        <x:f>IF(AND(ISNUMBER(E2035),ISNUMBER(F2035),F2035&gt;0),(E2035-F2035)/F2035,"n.a.")</x:f>
        <x:v>-0.387572005481885</x:v>
      </x:c>
      <x:c r="I2035" s="19" t="n">
        <x:f>IF(ISNUMBER(H2035),ABS(H2035),"n.a.")</x:f>
        <x:v>0.387572005481885</x:v>
      </x:c>
      <x:c r="J2035" s="2" t="str">
        <x:v>available</x:v>
      </x:c>
      <x:c r="K2035" s="2" t="n">
        <x:v>1</x:v>
      </x:c>
      <x:c r="L2035" s="13" t="b">
        <x:v>0</x:v>
      </x:c>
      <x:c r="M2035" s="13" t="b">
        <x:v>1</x:v>
      </x:c>
      <x:c r="N2035" s="2" t="str">
        <x:v>projected_CRISP_BU_surface</x:v>
      </x:c>
      <x:c r="O2035" s="2" t="str"/>
      <x:c r="P2035" s="2" t="str">
        <x:v>horizontal built-up surface</x:v>
      </x:c>
      <x:c r="Q2035" s="2" t="str">
        <x:v>m2</x:v>
      </x:c>
      <x:c r="R2035" s="17" t="n">
        <x:v>7129828623.019695</x:v>
      </x:c>
      <x:c r="S2035" s="17" t="n">
        <x:v>3400930204.99</x:v>
      </x:c>
      <x:c r="T2035" s="18" t="n">
        <x:v>1.0051557380019953</x:v>
      </x:c>
      <x:c r="U2035" s="17" t="n">
        <x:v>3418464510.0900006</x:v>
      </x:c>
      <x:c r="V2035" s="2" t="str">
        <x:v>Area equivalent = model2020 * WUP surface / TEMPO2020 footprint; km2 multiplied by1e6 once</x:v>
      </x:c>
      <x:c r="W2035" s="2" t="str">
        <x:v>L1_numeric_partition_qualified_not_national_completeness</x:v>
      </x:c>
      <x:c r="X2035" s="2" t="str">
        <x:v>https://human-settlement.emergency.copernicus.eu/datasets.php</x:v>
      </x:c>
    </x:row>
    <x:row r="2036" ht="23" customHeight="1">
      <x:c r="A2036" s="2" t="str">
        <x:v>GEO</x:v>
      </x:c>
      <x:c r="B2036" s="2" t="str">
        <x:v>Georgia</x:v>
      </x:c>
      <x:c r="C2036" s="2" t="n">
        <x:v>2030</x:v>
      </x:c>
      <x:c r="D2036" s="2" t="str">
        <x:v>WUP_SURFACE</x:v>
      </x:c>
      <x:c r="E2036" s="17" t="n">
        <x:v>260867419.27730978</x:v>
      </x:c>
      <x:c r="F2036" s="17" t="n">
        <x:f>IF(AND(M2036,ISNUMBER(R2036)),IF(D2036="TEMPO_PROXY",R2036,IF(AND(ISNUMBER(S2036),S2036&gt;0,ISNUMBER(U2036)),U2036*R2036/S2036,"n.a.")),"n.a.")</x:f>
        <x:v>532184312.6367408</x:v>
      </x:c>
      <x:c r="G2036" s="17" t="n">
        <x:f>IF(AND(ISNUMBER(E2036),ISNUMBER(F2036)),E2036-F2036,"n.a.")</x:f>
        <x:v>-271316893.359431</x:v>
      </x:c>
      <x:c r="H2036" s="15" t="n">
        <x:f>IF(AND(ISNUMBER(E2036),ISNUMBER(F2036),F2036&gt;0),(E2036-F2036)/F2036,"n.a.")</x:f>
        <x:v>-0.509817532980584</x:v>
      </x:c>
      <x:c r="I2036" s="19" t="n">
        <x:f>IF(ISNUMBER(H2036),ABS(H2036),"n.a.")</x:f>
        <x:v>0.509817532980584</x:v>
      </x:c>
      <x:c r="J2036" s="2" t="str">
        <x:v>available</x:v>
      </x:c>
      <x:c r="K2036" s="2" t="n">
        <x:v>1</x:v>
      </x:c>
      <x:c r="L2036" s="13" t="b">
        <x:v>0</x:v>
      </x:c>
      <x:c r="M2036" s="13" t="b">
        <x:v>1</x:v>
      </x:c>
      <x:c r="N2036" s="2" t="str">
        <x:v>projected_CRISP_BU_surface</x:v>
      </x:c>
      <x:c r="O2036" s="2" t="str"/>
      <x:c r="P2036" s="2" t="str">
        <x:v>horizontal built-up surface</x:v>
      </x:c>
      <x:c r="Q2036" s="2" t="str">
        <x:v>m2</x:v>
      </x:c>
      <x:c r="R2036" s="17" t="n">
        <x:v>532184312.6367404</x:v>
      </x:c>
      <x:c r="S2036" s="17" t="n">
        <x:v>242256071.04</x:v>
      </x:c>
      <x:c r="T2036" s="18" t="n">
        <x:v>1.0000000000000007</x:v>
      </x:c>
      <x:c r="U2036" s="17" t="n">
        <x:v>242256071.04000017</x:v>
      </x:c>
      <x:c r="V2036" s="2" t="str">
        <x:v>Area equivalent = model2020 * WUP surface / TEMPO2020 footprint; km2 multiplied by1e6 once</x:v>
      </x:c>
      <x:c r="W2036" s="2" t="str">
        <x:v>L1_numeric_partition_qualified_not_national_completeness</x:v>
      </x:c>
      <x:c r="X2036" s="2" t="str">
        <x:v>https://human-settlement.emergency.copernicus.eu/datasets.php</x:v>
      </x:c>
    </x:row>
    <x:row r="2037" ht="23" customHeight="1">
      <x:c r="A2037" s="2" t="str">
        <x:v>GHA</x:v>
      </x:c>
      <x:c r="B2037" s="2" t="str">
        <x:v>Ghana (Republic of)</x:v>
      </x:c>
      <x:c r="C2037" s="2" t="n">
        <x:v>2030</x:v>
      </x:c>
      <x:c r="D2037" s="2" t="str">
        <x:v>WUP_SURFACE</x:v>
      </x:c>
      <x:c r="E2037" s="17" t="n">
        <x:v>1209782604.9836714</x:v>
      </x:c>
      <x:c r="F2037" s="17" t="n">
        <x:f>IF(AND(M2037,ISNUMBER(R2037)),IF(D2037="TEMPO_PROXY",R2037,IF(AND(ISNUMBER(S2037),S2037&gt;0,ISNUMBER(U2037)),U2037*R2037/S2037,"n.a.")),"n.a.")</x:f>
        <x:v>2425088251.8818674</x:v>
      </x:c>
      <x:c r="G2037" s="17" t="n">
        <x:f>IF(AND(ISNUMBER(E2037),ISNUMBER(F2037)),E2037-F2037,"n.a.")</x:f>
        <x:v>-1215305646.898196</x:v>
      </x:c>
      <x:c r="H2037" s="15" t="n">
        <x:f>IF(AND(ISNUMBER(E2037),ISNUMBER(F2037),F2037&gt;0),(E2037-F2037)/F2037,"n.a.")</x:f>
        <x:v>-0.5011387300875007</x:v>
      </x:c>
      <x:c r="I2037" s="19" t="n">
        <x:f>IF(ISNUMBER(H2037),ABS(H2037),"n.a.")</x:f>
        <x:v>0.5011387300875007</x:v>
      </x:c>
      <x:c r="J2037" s="2" t="str">
        <x:v>available</x:v>
      </x:c>
      <x:c r="K2037" s="2" t="n">
        <x:v>1</x:v>
      </x:c>
      <x:c r="L2037" s="13" t="b">
        <x:v>0</x:v>
      </x:c>
      <x:c r="M2037" s="13" t="b">
        <x:v>1</x:v>
      </x:c>
      <x:c r="N2037" s="2" t="str">
        <x:v>projected_CRISP_BU_surface</x:v>
      </x:c>
      <x:c r="O2037" s="2" t="str"/>
      <x:c r="P2037" s="2" t="str">
        <x:v>horizontal built-up surface</x:v>
      </x:c>
      <x:c r="Q2037" s="2" t="str">
        <x:v>m2</x:v>
      </x:c>
      <x:c r="R2037" s="17" t="n">
        <x:v>2425088251.8818674</x:v>
      </x:c>
      <x:c r="S2037" s="17" t="n">
        <x:v>958424622.62</x:v>
      </x:c>
      <x:c r="T2037" s="18" t="n">
        <x:v>1</x:v>
      </x:c>
      <x:c r="U2037" s="17" t="n">
        <x:v>958424622.62</x:v>
      </x:c>
      <x:c r="V2037" s="2" t="str">
        <x:v>Area equivalent = model2020 * WUP surface / TEMPO2020 footprint; km2 multiplied by1e6 once</x:v>
      </x:c>
      <x:c r="W2037" s="2" t="str">
        <x:v>L1_numeric_partition_qualified_not_national_completeness</x:v>
      </x:c>
      <x:c r="X2037" s="2" t="str">
        <x:v>https://human-settlement.emergency.copernicus.eu/datasets.php</x:v>
      </x:c>
    </x:row>
    <x:row r="2038" ht="23" customHeight="1">
      <x:c r="A2038" s="2" t="str">
        <x:v>GIN</x:v>
      </x:c>
      <x:c r="B2038" s="2" t="str">
        <x:v>Guinea (Republic of)</x:v>
      </x:c>
      <x:c r="C2038" s="2" t="n">
        <x:v>2030</x:v>
      </x:c>
      <x:c r="D2038" s="2" t="str">
        <x:v>WUP_SURFACE</x:v>
      </x:c>
      <x:c r="E2038" s="17" t="n">
        <x:v>372224045.2132841</x:v>
      </x:c>
      <x:c r="F2038" s="17" t="n">
        <x:f>IF(AND(M2038,ISNUMBER(R2038)),IF(D2038="TEMPO_PROXY",R2038,IF(AND(ISNUMBER(S2038),S2038&gt;0,ISNUMBER(U2038)),U2038*R2038/S2038,"n.a.")),"n.a.")</x:f>
        <x:v>865656557.271599</x:v>
      </x:c>
      <x:c r="G2038" s="17" t="n">
        <x:f>IF(AND(ISNUMBER(E2038),ISNUMBER(F2038)),E2038-F2038,"n.a.")</x:f>
        <x:v>-493432512.058315</x:v>
      </x:c>
      <x:c r="H2038" s="15" t="n">
        <x:f>IF(AND(ISNUMBER(E2038),ISNUMBER(F2038),F2038&gt;0),(E2038-F2038)/F2038,"n.a.")</x:f>
        <x:v>-0.5700095585407793</x:v>
      </x:c>
      <x:c r="I2038" s="19" t="n">
        <x:f>IF(ISNUMBER(H2038),ABS(H2038),"n.a.")</x:f>
        <x:v>0.5700095585407793</x:v>
      </x:c>
      <x:c r="J2038" s="2" t="str">
        <x:v>available</x:v>
      </x:c>
      <x:c r="K2038" s="2" t="n">
        <x:v>1</x:v>
      </x:c>
      <x:c r="L2038" s="13" t="b">
        <x:v>0</x:v>
      </x:c>
      <x:c r="M2038" s="13" t="b">
        <x:v>1</x:v>
      </x:c>
      <x:c r="N2038" s="2" t="str">
        <x:v>projected_CRISP_BU_surface</x:v>
      </x:c>
      <x:c r="O2038" s="2" t="str"/>
      <x:c r="P2038" s="2" t="str">
        <x:v>horizontal built-up surface</x:v>
      </x:c>
      <x:c r="Q2038" s="2" t="str">
        <x:v>m2</x:v>
      </x:c>
      <x:c r="R2038" s="17" t="n">
        <x:v>865656557.2716006</x:v>
      </x:c>
      <x:c r="S2038" s="17" t="n">
        <x:v>277637578.23</x:v>
      </x:c>
      <x:c r="T2038" s="18" t="n">
        <x:v>0.9999999999999983</x:v>
      </x:c>
      <x:c r="U2038" s="17" t="n">
        <x:v>277637578.22999954</x:v>
      </x:c>
      <x:c r="V2038" s="2" t="str">
        <x:v>Area equivalent = model2020 * WUP surface / TEMPO2020 footprint; km2 multiplied by1e6 once</x:v>
      </x:c>
      <x:c r="W2038" s="2" t="str">
        <x:v>L1_numeric_partition_qualified_not_national_completeness</x:v>
      </x:c>
      <x:c r="X2038" s="2" t="str">
        <x:v>https://human-settlement.emergency.copernicus.eu/datasets.php</x:v>
      </x:c>
    </x:row>
    <x:row r="2039" ht="23" customHeight="1">
      <x:c r="A2039" s="2" t="str">
        <x:v>GMB</x:v>
      </x:c>
      <x:c r="B2039" s="2" t="str">
        <x:v>Gambia (Republic of the)</x:v>
      </x:c>
      <x:c r="C2039" s="2" t="n">
        <x:v>2030</x:v>
      </x:c>
      <x:c r="D2039" s="2" t="str">
        <x:v>WUP_SURFACE</x:v>
      </x:c>
      <x:c r="E2039" s="17" t="n">
        <x:v>75502319.68357317</x:v>
      </x:c>
      <x:c r="F2039" s="17" t="n">
        <x:f>IF(AND(M2039,ISNUMBER(R2039)),IF(D2039="TEMPO_PROXY",R2039,IF(AND(ISNUMBER(S2039),S2039&gt;0,ISNUMBER(U2039)),U2039*R2039/S2039,"n.a.")),"n.a.")</x:f>
        <x:v>151444773.64726526</x:v>
      </x:c>
      <x:c r="G2039" s="17" t="n">
        <x:f>IF(AND(ISNUMBER(E2039),ISNUMBER(F2039)),E2039-F2039,"n.a.")</x:f>
        <x:v>-75942453.96369208</x:v>
      </x:c>
      <x:c r="H2039" s="15" t="n">
        <x:f>IF(AND(ISNUMBER(E2039),ISNUMBER(F2039),F2039&gt;0),(E2039-F2039)/F2039,"n.a.")</x:f>
        <x:v>-0.5014531180889215</x:v>
      </x:c>
      <x:c r="I2039" s="19" t="n">
        <x:f>IF(ISNUMBER(H2039),ABS(H2039),"n.a.")</x:f>
        <x:v>0.5014531180889215</x:v>
      </x:c>
      <x:c r="J2039" s="2" t="str">
        <x:v>available</x:v>
      </x:c>
      <x:c r="K2039" s="2" t="n">
        <x:v>1</x:v>
      </x:c>
      <x:c r="L2039" s="13" t="b">
        <x:v>0</x:v>
      </x:c>
      <x:c r="M2039" s="13" t="b">
        <x:v>1</x:v>
      </x:c>
      <x:c r="N2039" s="2" t="str">
        <x:v>projected_CRISP_BU_surface</x:v>
      </x:c>
      <x:c r="O2039" s="2" t="str"/>
      <x:c r="P2039" s="2" t="str">
        <x:v>horizontal built-up surface</x:v>
      </x:c>
      <x:c r="Q2039" s="2" t="str">
        <x:v>m2</x:v>
      </x:c>
      <x:c r="R2039" s="17" t="n">
        <x:v>151444773.6472655</x:v>
      </x:c>
      <x:c r="S2039" s="17" t="n">
        <x:v>56875154.53</x:v>
      </x:c>
      <x:c r="T2039" s="18" t="n">
        <x:v>0.9999999999999986</x:v>
      </x:c>
      <x:c r="U2039" s="17" t="n">
        <x:v>56875154.52999992</x:v>
      </x:c>
      <x:c r="V2039" s="2" t="str">
        <x:v>Area equivalent = model2020 * WUP surface / TEMPO2020 footprint; km2 multiplied by1e6 once</x:v>
      </x:c>
      <x:c r="W2039" s="2" t="str">
        <x:v>L1_numeric_partition_qualified_not_national_completeness</x:v>
      </x:c>
      <x:c r="X2039" s="2" t="str">
        <x:v>https://human-settlement.emergency.copernicus.eu/datasets.php</x:v>
      </x:c>
    </x:row>
    <x:row r="2040" ht="23" customHeight="1">
      <x:c r="A2040" s="2" t="str">
        <x:v>GNB</x:v>
      </x:c>
      <x:c r="B2040" s="2" t="str">
        <x:v>Guinea-Bissau (Republic of)</x:v>
      </x:c>
      <x:c r="C2040" s="2" t="n">
        <x:v>2030</x:v>
      </x:c>
      <x:c r="D2040" s="2" t="str">
        <x:v>WUP_SURFACE</x:v>
      </x:c>
      <x:c r="E2040" s="17" t="n">
        <x:v>65393153.65352539</x:v>
      </x:c>
      <x:c r="F2040" s="17" t="n">
        <x:f>IF(AND(M2040,ISNUMBER(R2040)),IF(D2040="TEMPO_PROXY",R2040,IF(AND(ISNUMBER(S2040),S2040&gt;0,ISNUMBER(U2040)),U2040*R2040/S2040,"n.a.")),"n.a.")</x:f>
        <x:v>128692929.74269186</x:v>
      </x:c>
      <x:c r="G2040" s="17" t="n">
        <x:f>IF(AND(ISNUMBER(E2040),ISNUMBER(F2040)),E2040-F2040,"n.a.")</x:f>
        <x:v>-63299776.08916647</x:v>
      </x:c>
      <x:c r="H2040" s="15" t="n">
        <x:f>IF(AND(ISNUMBER(E2040),ISNUMBER(F2040),F2040&gt;0),(E2040-F2040)/F2040,"n.a.")</x:f>
        <x:v>-0.49186677322311173</x:v>
      </x:c>
      <x:c r="I2040" s="19" t="n">
        <x:f>IF(ISNUMBER(H2040),ABS(H2040),"n.a.")</x:f>
        <x:v>0.49186677322311173</x:v>
      </x:c>
      <x:c r="J2040" s="2" t="str">
        <x:v>available</x:v>
      </x:c>
      <x:c r="K2040" s="2" t="n">
        <x:v>1</x:v>
      </x:c>
      <x:c r="L2040" s="13" t="b">
        <x:v>0</x:v>
      </x:c>
      <x:c r="M2040" s="13" t="b">
        <x:v>1</x:v>
      </x:c>
      <x:c r="N2040" s="2" t="str">
        <x:v>projected_CRISP_BU_surface</x:v>
      </x:c>
      <x:c r="O2040" s="2" t="str"/>
      <x:c r="P2040" s="2" t="str">
        <x:v>horizontal built-up surface</x:v>
      </x:c>
      <x:c r="Q2040" s="2" t="str">
        <x:v>m2</x:v>
      </x:c>
      <x:c r="R2040" s="17" t="n">
        <x:v>128692929.74269205</x:v>
      </x:c>
      <x:c r="S2040" s="17" t="n">
        <x:v>48952674.5</x:v>
      </x:c>
      <x:c r="T2040" s="18" t="n">
        <x:v>0.9999999999999984</x:v>
      </x:c>
      <x:c r="U2040" s="17" t="n">
        <x:v>48952674.499999925</x:v>
      </x:c>
      <x:c r="V2040" s="2" t="str">
        <x:v>Area equivalent = model2020 * WUP surface / TEMPO2020 footprint; km2 multiplied by1e6 once</x:v>
      </x:c>
      <x:c r="W2040" s="2" t="str">
        <x:v>L1_numeric_partition_qualified_not_national_completeness</x:v>
      </x:c>
      <x:c r="X2040" s="2" t="str">
        <x:v>https://human-settlement.emergency.copernicus.eu/datasets.php</x:v>
      </x:c>
    </x:row>
    <x:row r="2041" ht="23" customHeight="1">
      <x:c r="A2041" s="2" t="str">
        <x:v>GNQ</x:v>
      </x:c>
      <x:c r="B2041" s="2" t="str">
        <x:v>Equatorial Guinea (Republic of)</x:v>
      </x:c>
      <x:c r="C2041" s="2" t="n">
        <x:v>2030</x:v>
      </x:c>
      <x:c r="D2041" s="2" t="str">
        <x:v>WUP_SURFACE</x:v>
      </x:c>
      <x:c r="E2041" s="17" t="n">
        <x:v>49078570.3358513</x:v>
      </x:c>
      <x:c r="F2041" s="17" t="n">
        <x:f>IF(AND(M2041,ISNUMBER(R2041)),IF(D2041="TEMPO_PROXY",R2041,IF(AND(ISNUMBER(S2041),S2041&gt;0,ISNUMBER(U2041)),U2041*R2041/S2041,"n.a.")),"n.a.")</x:f>
        <x:v>82707150.52181683</x:v>
      </x:c>
      <x:c r="G2041" s="17" t="n">
        <x:f>IF(AND(ISNUMBER(E2041),ISNUMBER(F2041)),E2041-F2041,"n.a.")</x:f>
        <x:v>-33628580.18596554</x:v>
      </x:c>
      <x:c r="H2041" s="15" t="n">
        <x:f>IF(AND(ISNUMBER(E2041),ISNUMBER(F2041),F2041&gt;0),(E2041-F2041)/F2041,"n.a.")</x:f>
        <x:v>-0.4065982200305021</x:v>
      </x:c>
      <x:c r="I2041" s="19" t="n">
        <x:f>IF(ISNUMBER(H2041),ABS(H2041),"n.a.")</x:f>
        <x:v>0.4065982200305021</x:v>
      </x:c>
      <x:c r="J2041" s="2" t="str">
        <x:v>available</x:v>
      </x:c>
      <x:c r="K2041" s="2" t="n">
        <x:v>1</x:v>
      </x:c>
      <x:c r="L2041" s="13" t="b">
        <x:v>0</x:v>
      </x:c>
      <x:c r="M2041" s="13" t="b">
        <x:v>1</x:v>
      </x:c>
      <x:c r="N2041" s="2" t="str">
        <x:v>projected_CRISP_BU_surface</x:v>
      </x:c>
      <x:c r="O2041" s="2" t="str"/>
      <x:c r="P2041" s="2" t="str">
        <x:v>horizontal built-up surface</x:v>
      </x:c>
      <x:c r="Q2041" s="2" t="str">
        <x:v>m2</x:v>
      </x:c>
      <x:c r="R2041" s="17" t="n">
        <x:v>82707150.52181697</x:v>
      </x:c>
      <x:c r="S2041" s="17" t="n">
        <x:v>34102626.52</x:v>
      </x:c>
      <x:c r="T2041" s="18" t="n">
        <x:v>0.9999999999999984</x:v>
      </x:c>
      <x:c r="U2041" s="17" t="n">
        <x:v>34102626.51999995</x:v>
      </x:c>
      <x:c r="V2041" s="2" t="str">
        <x:v>Area equivalent = model2020 * WUP surface / TEMPO2020 footprint; km2 multiplied by1e6 once</x:v>
      </x:c>
      <x:c r="W2041" s="2" t="str">
        <x:v>L1_numeric_partition_qualified_not_national_completeness</x:v>
      </x:c>
      <x:c r="X2041" s="2" t="str">
        <x:v>https://human-settlement.emergency.copernicus.eu/datasets.php</x:v>
      </x:c>
    </x:row>
    <x:row r="2042" ht="23" customHeight="1">
      <x:c r="A2042" s="2" t="str">
        <x:v>GRC</x:v>
      </x:c>
      <x:c r="B2042" s="2" t="str">
        <x:v>Greece (Hellenic Republic)</x:v>
      </x:c>
      <x:c r="C2042" s="2" t="n">
        <x:v>2030</x:v>
      </x:c>
      <x:c r="D2042" s="2" t="str">
        <x:v>WUP_SURFACE</x:v>
      </x:c>
      <x:c r="E2042" s="17" t="n">
        <x:v>936004250.0735512</x:v>
      </x:c>
      <x:c r="F2042" s="17" t="n">
        <x:f>IF(AND(M2042,ISNUMBER(R2042)),IF(D2042="TEMPO_PROXY",R2042,IF(AND(ISNUMBER(S2042),S2042&gt;0,ISNUMBER(U2042)),U2042*R2042/S2042,"n.a.")),"n.a.")</x:f>
        <x:v>1295363279.897216</x:v>
      </x:c>
      <x:c r="G2042" s="17" t="n">
        <x:f>IF(AND(ISNUMBER(E2042),ISNUMBER(F2042)),E2042-F2042,"n.a.")</x:f>
        <x:v>-359359029.8236649</x:v>
      </x:c>
      <x:c r="H2042" s="15" t="n">
        <x:f>IF(AND(ISNUMBER(E2042),ISNUMBER(F2042),F2042&gt;0),(E2042-F2042)/F2042,"n.a.")</x:f>
        <x:v>-0.27741949721793807</x:v>
      </x:c>
      <x:c r="I2042" s="19" t="n">
        <x:f>IF(ISNUMBER(H2042),ABS(H2042),"n.a.")</x:f>
        <x:v>0.27741949721793807</x:v>
      </x:c>
      <x:c r="J2042" s="2" t="str">
        <x:v>available</x:v>
      </x:c>
      <x:c r="K2042" s="2" t="n">
        <x:v>1</x:v>
      </x:c>
      <x:c r="L2042" s="13" t="b">
        <x:v>0</x:v>
      </x:c>
      <x:c r="M2042" s="13" t="b">
        <x:v>1</x:v>
      </x:c>
      <x:c r="N2042" s="2" t="str">
        <x:v>projected_CRISP_BU_surface</x:v>
      </x:c>
      <x:c r="O2042" s="2" t="str"/>
      <x:c r="P2042" s="2" t="str">
        <x:v>horizontal built-up surface</x:v>
      </x:c>
      <x:c r="Q2042" s="2" t="str">
        <x:v>m2</x:v>
      </x:c>
      <x:c r="R2042" s="17" t="n">
        <x:v>1295363279.897215</x:v>
      </x:c>
      <x:c r="S2042" s="17" t="n">
        <x:v>853851739.67</x:v>
      </x:c>
      <x:c r="T2042" s="18" t="n">
        <x:v>1.0000000000000009</x:v>
      </x:c>
      <x:c r="U2042" s="17" t="n">
        <x:v>853851739.6700008</x:v>
      </x:c>
      <x:c r="V2042" s="2" t="str">
        <x:v>Area equivalent = model2020 * WUP surface / TEMPO2020 footprint; km2 multiplied by1e6 once</x:v>
      </x:c>
      <x:c r="W2042" s="2" t="str">
        <x:v>L1_numeric_partition_qualified_not_national_completeness</x:v>
      </x:c>
      <x:c r="X2042" s="2" t="str">
        <x:v>https://human-settlement.emergency.copernicus.eu/datasets.php</x:v>
      </x:c>
    </x:row>
    <x:row r="2043" ht="23" customHeight="1">
      <x:c r="A2043" s="2" t="str">
        <x:v>GRD</x:v>
      </x:c>
      <x:c r="B2043" s="2" t="str">
        <x:v>Grenada</x:v>
      </x:c>
      <x:c r="C2043" s="2" t="n">
        <x:v>2030</x:v>
      </x:c>
      <x:c r="D2043" s="2" t="str">
        <x:v>WUP_SURFACE</x:v>
      </x:c>
      <x:c r="E2043" s="17" t="n">
        <x:v>7807263.875609872</x:v>
      </x:c>
      <x:c r="F2043" s="17" t="n">
        <x:f>IF(AND(M2043,ISNUMBER(R2043)),IF(D2043="TEMPO_PROXY",R2043,IF(AND(ISNUMBER(S2043),S2043&gt;0,ISNUMBER(U2043)),U2043*R2043/S2043,"n.a.")),"n.a.")</x:f>
        <x:v>11159700.042753674</x:v>
      </x:c>
      <x:c r="G2043" s="17" t="n">
        <x:f>IF(AND(ISNUMBER(E2043),ISNUMBER(F2043)),E2043-F2043,"n.a.")</x:f>
        <x:v>-3352436.167143802</x:v>
      </x:c>
      <x:c r="H2043" s="15" t="n">
        <x:f>IF(AND(ISNUMBER(E2043),ISNUMBER(F2043),F2043&gt;0),(E2043-F2043)/F2043,"n.a.")</x:f>
        <x:v>-0.30040558028444847</x:v>
      </x:c>
      <x:c r="I2043" s="19" t="n">
        <x:f>IF(ISNUMBER(H2043),ABS(H2043),"n.a.")</x:f>
        <x:v>0.30040558028444847</x:v>
      </x:c>
      <x:c r="J2043" s="2" t="str">
        <x:v>available</x:v>
      </x:c>
      <x:c r="K2043" s="2" t="n">
        <x:v>1</x:v>
      </x:c>
      <x:c r="L2043" s="13" t="b">
        <x:v>0</x:v>
      </x:c>
      <x:c r="M2043" s="13" t="b">
        <x:v>1</x:v>
      </x:c>
      <x:c r="N2043" s="2" t="str">
        <x:v>projected_CRISP_BU_surface</x:v>
      </x:c>
      <x:c r="O2043" s="2" t="str"/>
      <x:c r="P2043" s="2" t="str">
        <x:v>horizontal built-up surface</x:v>
      </x:c>
      <x:c r="Q2043" s="2" t="str">
        <x:v>m2</x:v>
      </x:c>
      <x:c r="R2043" s="17" t="n">
        <x:v>11159700.042753683</x:v>
      </x:c>
      <x:c r="S2043" s="17" t="n">
        <x:v>6904998.42</x:v>
      </x:c>
      <x:c r="T2043" s="18" t="n">
        <x:v>0.999999999999999</x:v>
      </x:c>
      <x:c r="U2043" s="17" t="n">
        <x:v>6904998.419999993</x:v>
      </x:c>
      <x:c r="V2043" s="2" t="str">
        <x:v>Area equivalent = model2020 * WUP surface / TEMPO2020 footprint; km2 multiplied by1e6 once</x:v>
      </x:c>
      <x:c r="W2043" s="2" t="str">
        <x:v>L1_numeric_partition_qualified_not_national_completeness</x:v>
      </x:c>
      <x:c r="X2043" s="2" t="str">
        <x:v>https://human-settlement.emergency.copernicus.eu/datasets.php</x:v>
      </x:c>
    </x:row>
    <x:row r="2044" ht="23" customHeight="1">
      <x:c r="A2044" s="2" t="str">
        <x:v>GTM</x:v>
      </x:c>
      <x:c r="B2044" s="2" t="str">
        <x:v>Guatemala (Republic of)</x:v>
      </x:c>
      <x:c r="C2044" s="2" t="n">
        <x:v>2030</x:v>
      </x:c>
      <x:c r="D2044" s="2" t="str">
        <x:v>WUP_SURFACE</x:v>
      </x:c>
      <x:c r="E2044" s="17" t="n">
        <x:v>759123829.9005953</x:v>
      </x:c>
      <x:c r="F2044" s="17" t="n">
        <x:f>IF(AND(M2044,ISNUMBER(R2044)),IF(D2044="TEMPO_PROXY",R2044,IF(AND(ISNUMBER(S2044),S2044&gt;0,ISNUMBER(U2044)),U2044*R2044/S2044,"n.a.")),"n.a.")</x:f>
        <x:v>1177088361.7530086</x:v>
      </x:c>
      <x:c r="G2044" s="17" t="n">
        <x:f>IF(AND(ISNUMBER(E2044),ISNUMBER(F2044)),E2044-F2044,"n.a.")</x:f>
        <x:v>-417964531.8524133</x:v>
      </x:c>
      <x:c r="H2044" s="15" t="n">
        <x:f>IF(AND(ISNUMBER(E2044),ISNUMBER(F2044),F2044&gt;0),(E2044-F2044)/F2044,"n.a.")</x:f>
        <x:v>-0.35508339512417664</x:v>
      </x:c>
      <x:c r="I2044" s="19" t="n">
        <x:f>IF(ISNUMBER(H2044),ABS(H2044),"n.a.")</x:f>
        <x:v>0.35508339512417664</x:v>
      </x:c>
      <x:c r="J2044" s="2" t="str">
        <x:v>available</x:v>
      </x:c>
      <x:c r="K2044" s="2" t="n">
        <x:v>1</x:v>
      </x:c>
      <x:c r="L2044" s="13" t="b">
        <x:v>0</x:v>
      </x:c>
      <x:c r="M2044" s="13" t="b">
        <x:v>1</x:v>
      </x:c>
      <x:c r="N2044" s="2" t="str">
        <x:v>projected_CRISP_BU_surface</x:v>
      </x:c>
      <x:c r="O2044" s="2" t="str"/>
      <x:c r="P2044" s="2" t="str">
        <x:v>horizontal built-up surface</x:v>
      </x:c>
      <x:c r="Q2044" s="2" t="str">
        <x:v>m2</x:v>
      </x:c>
      <x:c r="R2044" s="17" t="n">
        <x:v>1177088361.7530107</x:v>
      </x:c>
      <x:c r="S2044" s="17" t="n">
        <x:v>599114028.81</x:v>
      </x:c>
      <x:c r="T2044" s="18" t="n">
        <x:v>0.9999999999999982</x:v>
      </x:c>
      <x:c r="U2044" s="17" t="n">
        <x:v>599114028.8099989</x:v>
      </x:c>
      <x:c r="V2044" s="2" t="str">
        <x:v>Area equivalent = model2020 * WUP surface / TEMPO2020 footprint; km2 multiplied by1e6 once</x:v>
      </x:c>
      <x:c r="W2044" s="2" t="str">
        <x:v>L1_numeric_partition_qualified_not_national_completeness</x:v>
      </x:c>
      <x:c r="X2044" s="2" t="str">
        <x:v>https://human-settlement.emergency.copernicus.eu/datasets.php</x:v>
      </x:c>
    </x:row>
    <x:row r="2045" ht="23" customHeight="1">
      <x:c r="A2045" s="2" t="str">
        <x:v>GUY</x:v>
      </x:c>
      <x:c r="B2045" s="2" t="str">
        <x:v>Guyana (Co-operative Republic of)</x:v>
      </x:c>
      <x:c r="C2045" s="2" t="n">
        <x:v>2030</x:v>
      </x:c>
      <x:c r="D2045" s="2" t="str">
        <x:v>WUP_SURFACE</x:v>
      </x:c>
      <x:c r="E2045" s="17" t="n">
        <x:v>57334627.06655377</x:v>
      </x:c>
      <x:c r="F2045" s="17" t="n">
        <x:f>IF(AND(M2045,ISNUMBER(R2045)),IF(D2045="TEMPO_PROXY",R2045,IF(AND(ISNUMBER(S2045),S2045&gt;0,ISNUMBER(U2045)),U2045*R2045/S2045,"n.a.")),"n.a.")</x:f>
        <x:v>72122402.5029384</x:v>
      </x:c>
      <x:c r="G2045" s="17" t="n">
        <x:f>IF(AND(ISNUMBER(E2045),ISNUMBER(F2045)),E2045-F2045,"n.a.")</x:f>
        <x:v>-14787775.436384633</x:v>
      </x:c>
      <x:c r="H2045" s="15" t="n">
        <x:f>IF(AND(ISNUMBER(E2045),ISNUMBER(F2045),F2045&gt;0),(E2045-F2045)/F2045,"n.a.")</x:f>
        <x:v>-0.20503719958278083</x:v>
      </x:c>
      <x:c r="I2045" s="19" t="n">
        <x:f>IF(ISNUMBER(H2045),ABS(H2045),"n.a.")</x:f>
        <x:v>0.20503719958278083</x:v>
      </x:c>
      <x:c r="J2045" s="2" t="str">
        <x:v>available</x:v>
      </x:c>
      <x:c r="K2045" s="2" t="n">
        <x:v>1</x:v>
      </x:c>
      <x:c r="L2045" s="13" t="b">
        <x:v>0</x:v>
      </x:c>
      <x:c r="M2045" s="13" t="b">
        <x:v>1</x:v>
      </x:c>
      <x:c r="N2045" s="2" t="str">
        <x:v>projected_CRISP_BU_surface</x:v>
      </x:c>
      <x:c r="O2045" s="2" t="str"/>
      <x:c r="P2045" s="2" t="str">
        <x:v>horizontal built-up surface</x:v>
      </x:c>
      <x:c r="Q2045" s="2" t="str">
        <x:v>m2</x:v>
      </x:c>
      <x:c r="R2045" s="17" t="n">
        <x:v>72122402.50293837</x:v>
      </x:c>
      <x:c r="S2045" s="17" t="n">
        <x:v>46462035.66</x:v>
      </x:c>
      <x:c r="T2045" s="18" t="n">
        <x:v>1.0000000000000004</x:v>
      </x:c>
      <x:c r="U2045" s="17" t="n">
        <x:v>46462035.66000002</x:v>
      </x:c>
      <x:c r="V2045" s="2" t="str">
        <x:v>Area equivalent = model2020 * WUP surface / TEMPO2020 footprint; km2 multiplied by1e6 once</x:v>
      </x:c>
      <x:c r="W2045" s="2" t="str">
        <x:v>L1_numeric_partition_qualified_not_national_completeness</x:v>
      </x:c>
      <x:c r="X2045" s="2" t="str">
        <x:v>https://human-settlement.emergency.copernicus.eu/datasets.php</x:v>
      </x:c>
    </x:row>
    <x:row r="2046" ht="23" customHeight="1">
      <x:c r="A2046" s="2" t="str">
        <x:v>HND</x:v>
      </x:c>
      <x:c r="B2046" s="2" t="str">
        <x:v>Honduras (Republic of)</x:v>
      </x:c>
      <x:c r="C2046" s="2" t="n">
        <x:v>2030</x:v>
      </x:c>
      <x:c r="D2046" s="2" t="str">
        <x:v>WUP_SURFACE</x:v>
      </x:c>
      <x:c r="E2046" s="17" t="n">
        <x:v>430207048.3711314</x:v>
      </x:c>
      <x:c r="F2046" s="17" t="n">
        <x:f>IF(AND(M2046,ISNUMBER(R2046)),IF(D2046="TEMPO_PROXY",R2046,IF(AND(ISNUMBER(S2046),S2046&gt;0,ISNUMBER(U2046)),U2046*R2046/S2046,"n.a.")),"n.a.")</x:f>
        <x:v>721018733.3643308</x:v>
      </x:c>
      <x:c r="G2046" s="17" t="n">
        <x:f>IF(AND(ISNUMBER(E2046),ISNUMBER(F2046)),E2046-F2046,"n.a.")</x:f>
        <x:v>-290811684.99319935</x:v>
      </x:c>
      <x:c r="H2046" s="15" t="n">
        <x:f>IF(AND(ISNUMBER(E2046),ISNUMBER(F2046),F2046&gt;0),(E2046-F2046)/F2046,"n.a.")</x:f>
        <x:v>-0.4033344371459655</x:v>
      </x:c>
      <x:c r="I2046" s="19" t="n">
        <x:f>IF(ISNUMBER(H2046),ABS(H2046),"n.a.")</x:f>
        <x:v>0.4033344371459655</x:v>
      </x:c>
      <x:c r="J2046" s="2" t="str">
        <x:v>available</x:v>
      </x:c>
      <x:c r="K2046" s="2" t="n">
        <x:v>1</x:v>
      </x:c>
      <x:c r="L2046" s="13" t="b">
        <x:v>0</x:v>
      </x:c>
      <x:c r="M2046" s="13" t="b">
        <x:v>1</x:v>
      </x:c>
      <x:c r="N2046" s="2" t="str">
        <x:v>projected_CRISP_BU_surface</x:v>
      </x:c>
      <x:c r="O2046" s="2" t="str"/>
      <x:c r="P2046" s="2" t="str">
        <x:v>horizontal built-up surface</x:v>
      </x:c>
      <x:c r="Q2046" s="2" t="str">
        <x:v>m2</x:v>
      </x:c>
      <x:c r="R2046" s="17" t="n">
        <x:v>721018733.3643303</x:v>
      </x:c>
      <x:c r="S2046" s="17" t="n">
        <x:v>335660713.27</x:v>
      </x:c>
      <x:c r="T2046" s="18" t="n">
        <x:v>1.0000000000000007</x:v>
      </x:c>
      <x:c r="U2046" s="17" t="n">
        <x:v>335660713.2700002</x:v>
      </x:c>
      <x:c r="V2046" s="2" t="str">
        <x:v>Area equivalent = model2020 * WUP surface / TEMPO2020 footprint; km2 multiplied by1e6 once</x:v>
      </x:c>
      <x:c r="W2046" s="2" t="str">
        <x:v>L1_numeric_partition_qualified_not_national_completeness</x:v>
      </x:c>
      <x:c r="X2046" s="2" t="str">
        <x:v>https://human-settlement.emergency.copernicus.eu/datasets.php</x:v>
      </x:c>
    </x:row>
    <x:row r="2047" ht="23" customHeight="1">
      <x:c r="A2047" s="2" t="str">
        <x:v>HRV</x:v>
      </x:c>
      <x:c r="B2047" s="2" t="str">
        <x:v>Croatia (Republic of)</x:v>
      </x:c>
      <x:c r="C2047" s="2" t="n">
        <x:v>2030</x:v>
      </x:c>
      <x:c r="D2047" s="2" t="str">
        <x:v>WUP_SURFACE</x:v>
      </x:c>
      <x:c r="E2047" s="17" t="n">
        <x:v>387691837.61021745</x:v>
      </x:c>
      <x:c r="F2047" s="17" t="n">
        <x:f>IF(AND(M2047,ISNUMBER(R2047)),IF(D2047="TEMPO_PROXY",R2047,IF(AND(ISNUMBER(S2047),S2047&gt;0,ISNUMBER(U2047)),U2047*R2047/S2047,"n.a.")),"n.a.")</x:f>
        <x:v>551348024.5093291</x:v>
      </x:c>
      <x:c r="G2047" s="17" t="n">
        <x:f>IF(AND(ISNUMBER(E2047),ISNUMBER(F2047)),E2047-F2047,"n.a.")</x:f>
        <x:v>-163656186.89911163</x:v>
      </x:c>
      <x:c r="H2047" s="15" t="n">
        <x:f>IF(AND(ISNUMBER(E2047),ISNUMBER(F2047),F2047&gt;0),(E2047-F2047)/F2047,"n.a.")</x:f>
        <x:v>-0.29682918886806037</x:v>
      </x:c>
      <x:c r="I2047" s="19" t="n">
        <x:f>IF(ISNUMBER(H2047),ABS(H2047),"n.a.")</x:f>
        <x:v>0.29682918886806037</x:v>
      </x:c>
      <x:c r="J2047" s="2" t="str">
        <x:v>available</x:v>
      </x:c>
      <x:c r="K2047" s="2" t="n">
        <x:v>1</x:v>
      </x:c>
      <x:c r="L2047" s="13" t="b">
        <x:v>0</x:v>
      </x:c>
      <x:c r="M2047" s="13" t="b">
        <x:v>1</x:v>
      </x:c>
      <x:c r="N2047" s="2" t="str">
        <x:v>projected_CRISP_BU_surface</x:v>
      </x:c>
      <x:c r="O2047" s="2" t="str"/>
      <x:c r="P2047" s="2" t="str">
        <x:v>horizontal built-up surface</x:v>
      </x:c>
      <x:c r="Q2047" s="2" t="str">
        <x:v>m2</x:v>
      </x:c>
      <x:c r="R2047" s="17" t="n">
        <x:v>551348024.5093299</x:v>
      </x:c>
      <x:c r="S2047" s="17" t="n">
        <x:v>361520718.43</x:v>
      </x:c>
      <x:c r="T2047" s="18" t="n">
        <x:v>0.9999999999999983</x:v>
      </x:c>
      <x:c r="U2047" s="17" t="n">
        <x:v>361520718.4299994</x:v>
      </x:c>
      <x:c r="V2047" s="2" t="str">
        <x:v>Area equivalent = model2020 * WUP surface / TEMPO2020 footprint; km2 multiplied by1e6 once</x:v>
      </x:c>
      <x:c r="W2047" s="2" t="str">
        <x:v>L1_numeric_partition_qualified_not_national_completeness</x:v>
      </x:c>
      <x:c r="X2047" s="2" t="str">
        <x:v>https://human-settlement.emergency.copernicus.eu/datasets.php</x:v>
      </x:c>
    </x:row>
    <x:row r="2048" ht="23" customHeight="1">
      <x:c r="A2048" s="2" t="str">
        <x:v>HTI</x:v>
      </x:c>
      <x:c r="B2048" s="2" t="str">
        <x:v>Haiti (Republic of)</x:v>
      </x:c>
      <x:c r="C2048" s="2" t="n">
        <x:v>2030</x:v>
      </x:c>
      <x:c r="D2048" s="2" t="str">
        <x:v>WUP_SURFACE</x:v>
      </x:c>
      <x:c r="E2048" s="17" t="n">
        <x:v>255498825.7936861</x:v>
      </x:c>
      <x:c r="F2048" s="17" t="n">
        <x:f>IF(AND(M2048,ISNUMBER(R2048)),IF(D2048="TEMPO_PROXY",R2048,IF(AND(ISNUMBER(S2048),S2048&gt;0,ISNUMBER(U2048)),U2048*R2048/S2048,"n.a.")),"n.a.")</x:f>
        <x:v>393574646.1365438</x:v>
      </x:c>
      <x:c r="G2048" s="17" t="n">
        <x:f>IF(AND(ISNUMBER(E2048),ISNUMBER(F2048)),E2048-F2048,"n.a.")</x:f>
        <x:v>-138075820.34285772</x:v>
      </x:c>
      <x:c r="H2048" s="15" t="n">
        <x:f>IF(AND(ISNUMBER(E2048),ISNUMBER(F2048),F2048&gt;0),(E2048-F2048)/F2048,"n.a.")</x:f>
        <x:v>-0.35082498758051284</x:v>
      </x:c>
      <x:c r="I2048" s="19" t="n">
        <x:f>IF(ISNUMBER(H2048),ABS(H2048),"n.a.")</x:f>
        <x:v>0.35082498758051284</x:v>
      </x:c>
      <x:c r="J2048" s="2" t="str">
        <x:v>available</x:v>
      </x:c>
      <x:c r="K2048" s="2" t="n">
        <x:v>1</x:v>
      </x:c>
      <x:c r="L2048" s="13" t="b">
        <x:v>0</x:v>
      </x:c>
      <x:c r="M2048" s="13" t="b">
        <x:v>1</x:v>
      </x:c>
      <x:c r="N2048" s="2" t="str">
        <x:v>projected_CRISP_BU_surface</x:v>
      </x:c>
      <x:c r="O2048" s="2" t="str"/>
      <x:c r="P2048" s="2" t="str">
        <x:v>horizontal built-up surface</x:v>
      </x:c>
      <x:c r="Q2048" s="2" t="str">
        <x:v>m2</x:v>
      </x:c>
      <x:c r="R2048" s="17" t="n">
        <x:v>393574646.1365434</x:v>
      </x:c>
      <x:c r="S2048" s="17" t="n">
        <x:v>189002396.54</x:v>
      </x:c>
      <x:c r="T2048" s="18" t="n">
        <x:v>1.000000000000001</x:v>
      </x:c>
      <x:c r="U2048" s="17" t="n">
        <x:v>189002396.5400002</x:v>
      </x:c>
      <x:c r="V2048" s="2" t="str">
        <x:v>Area equivalent = model2020 * WUP surface / TEMPO2020 footprint; km2 multiplied by1e6 once</x:v>
      </x:c>
      <x:c r="W2048" s="2" t="str">
        <x:v>L1_numeric_partition_qualified_not_national_completeness</x:v>
      </x:c>
      <x:c r="X2048" s="2" t="str">
        <x:v>https://human-settlement.emergency.copernicus.eu/datasets.php</x:v>
      </x:c>
    </x:row>
    <x:row r="2049" ht="23" customHeight="1">
      <x:c r="A2049" s="2" t="str">
        <x:v>HUN</x:v>
      </x:c>
      <x:c r="B2049" s="2" t="str">
        <x:v>Hungary</x:v>
      </x:c>
      <x:c r="C2049" s="2" t="n">
        <x:v>2030</x:v>
      </x:c>
      <x:c r="D2049" s="2" t="str">
        <x:v>WUP_SURFACE</x:v>
      </x:c>
      <x:c r="E2049" s="17" t="n">
        <x:v>954180754.7939659</x:v>
      </x:c>
      <x:c r="F2049" s="17" t="n">
        <x:f>IF(AND(M2049,ISNUMBER(R2049)),IF(D2049="TEMPO_PROXY",R2049,IF(AND(ISNUMBER(S2049),S2049&gt;0,ISNUMBER(U2049)),U2049*R2049/S2049,"n.a.")),"n.a.")</x:f>
        <x:v>1447576603.5728667</x:v>
      </x:c>
      <x:c r="G2049" s="17" t="n">
        <x:f>IF(AND(ISNUMBER(E2049),ISNUMBER(F2049)),E2049-F2049,"n.a.")</x:f>
        <x:v>-493395848.77890074</x:v>
      </x:c>
      <x:c r="H2049" s="15" t="n">
        <x:f>IF(AND(ISNUMBER(E2049),ISNUMBER(F2049),F2049&gt;0),(E2049-F2049)/F2049,"n.a.")</x:f>
        <x:v>-0.3408426521685384</x:v>
      </x:c>
      <x:c r="I2049" s="19" t="n">
        <x:f>IF(ISNUMBER(H2049),ABS(H2049),"n.a.")</x:f>
        <x:v>0.3408426521685384</x:v>
      </x:c>
      <x:c r="J2049" s="2" t="str">
        <x:v>available</x:v>
      </x:c>
      <x:c r="K2049" s="2" t="n">
        <x:v>1</x:v>
      </x:c>
      <x:c r="L2049" s="13" t="b">
        <x:v>0</x:v>
      </x:c>
      <x:c r="M2049" s="13" t="b">
        <x:v>1</x:v>
      </x:c>
      <x:c r="N2049" s="2" t="str">
        <x:v>projected_CRISP_BU_surface</x:v>
      </x:c>
      <x:c r="O2049" s="2" t="str"/>
      <x:c r="P2049" s="2" t="str">
        <x:v>horizontal built-up surface</x:v>
      </x:c>
      <x:c r="Q2049" s="2" t="str">
        <x:v>m2</x:v>
      </x:c>
      <x:c r="R2049" s="17" t="n">
        <x:v>1447576603.5728643</x:v>
      </x:c>
      <x:c r="S2049" s="17" t="n">
        <x:v>853072780.53</x:v>
      </x:c>
      <x:c r="T2049" s="18" t="n">
        <x:v>1.0000000000000016</x:v>
      </x:c>
      <x:c r="U2049" s="17" t="n">
        <x:v>853072780.5300013</x:v>
      </x:c>
      <x:c r="V2049" s="2" t="str">
        <x:v>Area equivalent = model2020 * WUP surface / TEMPO2020 footprint; km2 multiplied by1e6 once</x:v>
      </x:c>
      <x:c r="W2049" s="2" t="str">
        <x:v>L1_numeric_partition_qualified_not_national_completeness</x:v>
      </x:c>
      <x:c r="X2049" s="2" t="str">
        <x:v>https://human-settlement.emergency.copernicus.eu/datasets.php</x:v>
      </x:c>
    </x:row>
    <x:row r="2050" ht="23" customHeight="1">
      <x:c r="A2050" s="2" t="str">
        <x:v>IDN</x:v>
      </x:c>
      <x:c r="B2050" s="2" t="str">
        <x:v>Indonesia (Republic of)</x:v>
      </x:c>
      <x:c r="C2050" s="2" t="n">
        <x:v>2030</x:v>
      </x:c>
      <x:c r="D2050" s="2" t="str">
        <x:v>WUP_SURFACE</x:v>
      </x:c>
      <x:c r="E2050" s="17" t="n">
        <x:v>13595413988.360666</x:v>
      </x:c>
      <x:c r="F2050" s="17" t="n">
        <x:f>IF(AND(M2050,ISNUMBER(R2050)),IF(D2050="TEMPO_PROXY",R2050,IF(AND(ISNUMBER(S2050),S2050&gt;0,ISNUMBER(U2050)),U2050*R2050/S2050,"n.a.")),"n.a.")</x:f>
        <x:v>13228684799.620298</x:v>
      </x:c>
      <x:c r="G2050" s="17" t="n">
        <x:f>IF(AND(ISNUMBER(E2050),ISNUMBER(F2050)),E2050-F2050,"n.a.")</x:f>
        <x:v>366729188.7403679</x:v>
      </x:c>
      <x:c r="H2050" s="15" t="n">
        <x:f>IF(AND(ISNUMBER(E2050),ISNUMBER(F2050),F2050&gt;0),(E2050-F2050)/F2050,"n.a.")</x:f>
        <x:v>0.027722271283604404</x:v>
      </x:c>
      <x:c r="I2050" s="19" t="n">
        <x:f>IF(ISNUMBER(H2050),ABS(H2050),"n.a.")</x:f>
        <x:v>0.027722271283604404</x:v>
      </x:c>
      <x:c r="J2050" s="2" t="str">
        <x:v>available</x:v>
      </x:c>
      <x:c r="K2050" s="2" t="n">
        <x:v>1</x:v>
      </x:c>
      <x:c r="L2050" s="13" t="b">
        <x:v>0</x:v>
      </x:c>
      <x:c r="M2050" s="13" t="b">
        <x:v>1</x:v>
      </x:c>
      <x:c r="N2050" s="2" t="str">
        <x:v>projected_CRISP_BU_surface</x:v>
      </x:c>
      <x:c r="O2050" s="2" t="str"/>
      <x:c r="P2050" s="2" t="str">
        <x:v>horizontal built-up surface</x:v>
      </x:c>
      <x:c r="Q2050" s="2" t="str">
        <x:v>m2</x:v>
      </x:c>
      <x:c r="R2050" s="17" t="n">
        <x:v>13228684799.620317</x:v>
      </x:c>
      <x:c r="S2050" s="17" t="n">
        <x:v>10794355074.09</x:v>
      </x:c>
      <x:c r="T2050" s="18" t="n">
        <x:v>0.9999999999999986</x:v>
      </x:c>
      <x:c r="U2050" s="17" t="n">
        <x:v>10794355074.089985</x:v>
      </x:c>
      <x:c r="V2050" s="2" t="str">
        <x:v>Area equivalent = model2020 * WUP surface / TEMPO2020 footprint; km2 multiplied by1e6 once</x:v>
      </x:c>
      <x:c r="W2050" s="2" t="str">
        <x:v>L1_numeric_partition_qualified_not_national_completeness</x:v>
      </x:c>
      <x:c r="X2050" s="2" t="str">
        <x:v>https://human-settlement.emergency.copernicus.eu/datasets.php</x:v>
      </x:c>
    </x:row>
    <x:row r="2051" ht="23" customHeight="1">
      <x:c r="A2051" s="2" t="str">
        <x:v>IND</x:v>
      </x:c>
      <x:c r="B2051" s="2" t="str">
        <x:v>India (Republic of)</x:v>
      </x:c>
      <x:c r="C2051" s="2" t="n">
        <x:v>2030</x:v>
      </x:c>
      <x:c r="D2051" s="2" t="str">
        <x:v>WUP_SURFACE</x:v>
      </x:c>
      <x:c r="E2051" s="17" t="n">
        <x:v>37248696352.96448</x:v>
      </x:c>
      <x:c r="F2051" s="17" t="n">
        <x:f>IF(AND(M2051,ISNUMBER(R2051)),IF(D2051="TEMPO_PROXY",R2051,IF(AND(ISNUMBER(S2051),S2051&gt;0,ISNUMBER(U2051)),U2051*R2051/S2051,"n.a.")),"n.a.")</x:f>
        <x:v>50816796767.33353</x:v>
      </x:c>
      <x:c r="G2051" s="17" t="n">
        <x:f>IF(AND(ISNUMBER(E2051),ISNUMBER(F2051)),E2051-F2051,"n.a.")</x:f>
        <x:v>-13568100414.36905</x:v>
      </x:c>
      <x:c r="H2051" s="15" t="n">
        <x:f>IF(AND(ISNUMBER(E2051),ISNUMBER(F2051),F2051&gt;0),(E2051-F2051)/F2051,"n.a.")</x:f>
        <x:v>-0.2670003085100202</x:v>
      </x:c>
      <x:c r="I2051" s="19" t="n">
        <x:f>IF(ISNUMBER(H2051),ABS(H2051),"n.a.")</x:f>
        <x:v>0.2670003085100202</x:v>
      </x:c>
      <x:c r="J2051" s="2" t="str">
        <x:v>available</x:v>
      </x:c>
      <x:c r="K2051" s="2" t="n">
        <x:v>1</x:v>
      </x:c>
      <x:c r="L2051" s="13" t="b">
        <x:v>0</x:v>
      </x:c>
      <x:c r="M2051" s="13" t="b">
        <x:v>1</x:v>
      </x:c>
      <x:c r="N2051" s="2" t="str">
        <x:v>projected_CRISP_BU_surface</x:v>
      </x:c>
      <x:c r="O2051" s="2" t="str"/>
      <x:c r="P2051" s="2" t="str">
        <x:v>horizontal built-up surface</x:v>
      </x:c>
      <x:c r="Q2051" s="2" t="str">
        <x:v>m2</x:v>
      </x:c>
      <x:c r="R2051" s="17" t="n">
        <x:v>50816796767.33345</x:v>
      </x:c>
      <x:c r="S2051" s="17" t="n">
        <x:v>27853638424.04</x:v>
      </x:c>
      <x:c r="T2051" s="18" t="n">
        <x:v>1.0000000000000016</x:v>
      </x:c>
      <x:c r="U2051" s="17" t="n">
        <x:v>27853638424.040043</x:v>
      </x:c>
      <x:c r="V2051" s="2" t="str">
        <x:v>Area equivalent = model2020 * WUP surface / TEMPO2020 footprint; km2 multiplied by1e6 once</x:v>
      </x:c>
      <x:c r="W2051" s="2" t="str">
        <x:v>L1_numeric_partition_qualified_not_national_completeness</x:v>
      </x:c>
      <x:c r="X2051" s="2" t="str">
        <x:v>https://human-settlement.emergency.copernicus.eu/datasets.php</x:v>
      </x:c>
    </x:row>
    <x:row r="2052" ht="23" customHeight="1">
      <x:c r="A2052" s="2" t="str">
        <x:v>IRL</x:v>
      </x:c>
      <x:c r="B2052" s="2" t="str">
        <x:v>Ireland</x:v>
      </x:c>
      <x:c r="C2052" s="2" t="n">
        <x:v>2030</x:v>
      </x:c>
      <x:c r="D2052" s="2" t="str">
        <x:v>WUP_SURFACE</x:v>
      </x:c>
      <x:c r="E2052" s="17" t="n">
        <x:v>514338215.9913705</x:v>
      </x:c>
      <x:c r="F2052" s="17" t="n">
        <x:f>IF(AND(M2052,ISNUMBER(R2052)),IF(D2052="TEMPO_PROXY",R2052,IF(AND(ISNUMBER(S2052),S2052&gt;0,ISNUMBER(U2052)),U2052*R2052/S2052,"n.a.")),"n.a.")</x:f>
        <x:v>878554594.1887878</x:v>
      </x:c>
      <x:c r="G2052" s="17" t="n">
        <x:f>IF(AND(ISNUMBER(E2052),ISNUMBER(F2052)),E2052-F2052,"n.a.")</x:f>
        <x:v>-364216378.1974173</x:v>
      </x:c>
      <x:c r="H2052" s="15" t="n">
        <x:f>IF(AND(ISNUMBER(E2052),ISNUMBER(F2052),F2052&gt;0),(E2052-F2052)/F2052,"n.a.")</x:f>
        <x:v>-0.41456317069711074</x:v>
      </x:c>
      <x:c r="I2052" s="19" t="n">
        <x:f>IF(ISNUMBER(H2052),ABS(H2052),"n.a.")</x:f>
        <x:v>0.41456317069711074</x:v>
      </x:c>
      <x:c r="J2052" s="2" t="str">
        <x:v>available</x:v>
      </x:c>
      <x:c r="K2052" s="2" t="n">
        <x:v>1</x:v>
      </x:c>
      <x:c r="L2052" s="13" t="b">
        <x:v>0</x:v>
      </x:c>
      <x:c r="M2052" s="13" t="b">
        <x:v>1</x:v>
      </x:c>
      <x:c r="N2052" s="2" t="str">
        <x:v>projected_CRISP_BU_surface</x:v>
      </x:c>
      <x:c r="O2052" s="2" t="str"/>
      <x:c r="P2052" s="2" t="str">
        <x:v>horizontal built-up surface</x:v>
      </x:c>
      <x:c r="Q2052" s="2" t="str">
        <x:v>m2</x:v>
      </x:c>
      <x:c r="R2052" s="17" t="n">
        <x:v>878554594.1887883</x:v>
      </x:c>
      <x:c r="S2052" s="17" t="n">
        <x:v>426553619.4</x:v>
      </x:c>
      <x:c r="T2052" s="18" t="n">
        <x:v>0.9999999999999994</x:v>
      </x:c>
      <x:c r="U2052" s="17" t="n">
        <x:v>426553619.39999974</x:v>
      </x:c>
      <x:c r="V2052" s="2" t="str">
        <x:v>Area equivalent = model2020 * WUP surface / TEMPO2020 footprint; km2 multiplied by1e6 once</x:v>
      </x:c>
      <x:c r="W2052" s="2" t="str">
        <x:v>L1_numeric_partition_qualified_not_national_completeness</x:v>
      </x:c>
      <x:c r="X2052" s="2" t="str">
        <x:v>https://human-settlement.emergency.copernicus.eu/datasets.php</x:v>
      </x:c>
    </x:row>
    <x:row r="2053" ht="23" customHeight="1">
      <x:c r="A2053" s="2" t="str">
        <x:v>IRN</x:v>
      </x:c>
      <x:c r="B2053" s="2" t="str">
        <x:v>Iran (Islamic Republic of)</x:v>
      </x:c>
      <x:c r="C2053" s="2" t="n">
        <x:v>2030</x:v>
      </x:c>
      <x:c r="D2053" s="2" t="str">
        <x:v>WUP_SURFACE</x:v>
      </x:c>
      <x:c r="E2053" s="17" t="n">
        <x:v>4871943824.899366</x:v>
      </x:c>
      <x:c r="F2053" s="17" t="n">
        <x:f>IF(AND(M2053,ISNUMBER(R2053)),IF(D2053="TEMPO_PROXY",R2053,IF(AND(ISNUMBER(S2053),S2053&gt;0,ISNUMBER(U2053)),U2053*R2053/S2053,"n.a.")),"n.a.")</x:f>
        <x:v>5523567549.2284</x:v>
      </x:c>
      <x:c r="G2053" s="17" t="n">
        <x:f>IF(AND(ISNUMBER(E2053),ISNUMBER(F2053)),E2053-F2053,"n.a.")</x:f>
        <x:v>-651623724.3290339</x:v>
      </x:c>
      <x:c r="H2053" s="15" t="n">
        <x:f>IF(AND(ISNUMBER(E2053),ISNUMBER(F2053),F2053&gt;0),(E2053-F2053)/F2053,"n.a.")</x:f>
        <x:v>-0.11797153171776828</x:v>
      </x:c>
      <x:c r="I2053" s="19" t="n">
        <x:f>IF(ISNUMBER(H2053),ABS(H2053),"n.a.")</x:f>
        <x:v>0.11797153171776828</x:v>
      </x:c>
      <x:c r="J2053" s="2" t="str">
        <x:v>available</x:v>
      </x:c>
      <x:c r="K2053" s="2" t="n">
        <x:v>1</x:v>
      </x:c>
      <x:c r="L2053" s="13" t="b">
        <x:v>0</x:v>
      </x:c>
      <x:c r="M2053" s="13" t="b">
        <x:v>1</x:v>
      </x:c>
      <x:c r="N2053" s="2" t="str">
        <x:v>projected_CRISP_BU_surface</x:v>
      </x:c>
      <x:c r="O2053" s="2" t="str"/>
      <x:c r="P2053" s="2" t="str">
        <x:v>horizontal built-up surface</x:v>
      </x:c>
      <x:c r="Q2053" s="2" t="str">
        <x:v>m2</x:v>
      </x:c>
      <x:c r="R2053" s="17" t="n">
        <x:v>5438257009.446889</x:v>
      </x:c>
      <x:c r="S2053" s="17" t="n">
        <x:v>3695850551.99</x:v>
      </x:c>
      <x:c r="T2053" s="18" t="n">
        <x:v>1.0156871107108982</x:v>
      </x:c>
      <x:c r="U2053" s="17" t="n">
        <x:v>3753827768.770001</x:v>
      </x:c>
      <x:c r="V2053" s="2" t="str">
        <x:v>Area equivalent = model2020 * WUP surface / TEMPO2020 footprint; km2 multiplied by1e6 once</x:v>
      </x:c>
      <x:c r="W2053" s="2" t="str">
        <x:v>L1_numeric_partition_qualified_not_national_completeness</x:v>
      </x:c>
      <x:c r="X2053" s="2" t="str">
        <x:v>https://human-settlement.emergency.copernicus.eu/datasets.php</x:v>
      </x:c>
    </x:row>
    <x:row r="2054" ht="23" customHeight="1">
      <x:c r="A2054" s="2" t="str">
        <x:v>IRQ</x:v>
      </x:c>
      <x:c r="B2054" s="2" t="str">
        <x:v>Iraq (Republic of)</x:v>
      </x:c>
      <x:c r="C2054" s="2" t="n">
        <x:v>2030</x:v>
      </x:c>
      <x:c r="D2054" s="2" t="str">
        <x:v>WUP_SURFACE</x:v>
      </x:c>
      <x:c r="E2054" s="17" t="n">
        <x:v>1692968413.5979297</x:v>
      </x:c>
      <x:c r="F2054" s="17" t="n">
        <x:f>IF(AND(M2054,ISNUMBER(R2054)),IF(D2054="TEMPO_PROXY",R2054,IF(AND(ISNUMBER(S2054),S2054&gt;0,ISNUMBER(U2054)),U2054*R2054/S2054,"n.a.")),"n.a.")</x:f>
        <x:v>2164481028.586488</x:v>
      </x:c>
      <x:c r="G2054" s="17" t="n">
        <x:f>IF(AND(ISNUMBER(E2054),ISNUMBER(F2054)),E2054-F2054,"n.a.")</x:f>
        <x:v>-471512614.98855805</x:v>
      </x:c>
      <x:c r="H2054" s="15" t="n">
        <x:f>IF(AND(ISNUMBER(E2054),ISNUMBER(F2054),F2054&gt;0),(E2054-F2054)/F2054,"n.a.")</x:f>
        <x:v>-0.2178409552965585</x:v>
      </x:c>
      <x:c r="I2054" s="19" t="n">
        <x:f>IF(ISNUMBER(H2054),ABS(H2054),"n.a.")</x:f>
        <x:v>0.2178409552965585</x:v>
      </x:c>
      <x:c r="J2054" s="2" t="str">
        <x:v>available</x:v>
      </x:c>
      <x:c r="K2054" s="2" t="n">
        <x:v>1</x:v>
      </x:c>
      <x:c r="L2054" s="13" t="b">
        <x:v>0</x:v>
      </x:c>
      <x:c r="M2054" s="13" t="b">
        <x:v>1</x:v>
      </x:c>
      <x:c r="N2054" s="2" t="str">
        <x:v>projected_CRISP_BU_surface</x:v>
      </x:c>
      <x:c r="O2054" s="2" t="str"/>
      <x:c r="P2054" s="2" t="str">
        <x:v>horizontal built-up surface</x:v>
      </x:c>
      <x:c r="Q2054" s="2" t="str">
        <x:v>m2</x:v>
      </x:c>
      <x:c r="R2054" s="17" t="n">
        <x:v>2164481028.586486</x:v>
      </x:c>
      <x:c r="S2054" s="17" t="n">
        <x:v>1226955244.87</x:v>
      </x:c>
      <x:c r="T2054" s="18" t="n">
        <x:v>1.0000000000000009</x:v>
      </x:c>
      <x:c r="U2054" s="17" t="n">
        <x:v>1226955244.870001</x:v>
      </x:c>
      <x:c r="V2054" s="2" t="str">
        <x:v>Area equivalent = model2020 * WUP surface / TEMPO2020 footprint; km2 multiplied by1e6 once</x:v>
      </x:c>
      <x:c r="W2054" s="2" t="str">
        <x:v>L1_numeric_partition_qualified_not_national_completeness</x:v>
      </x:c>
      <x:c r="X2054" s="2" t="str">
        <x:v>https://human-settlement.emergency.copernicus.eu/datasets.php</x:v>
      </x:c>
    </x:row>
    <x:row r="2055" ht="23" customHeight="1">
      <x:c r="A2055" s="2" t="str">
        <x:v>ISL</x:v>
      </x:c>
      <x:c r="B2055" s="2" t="str">
        <x:v>Iceland</x:v>
      </x:c>
      <x:c r="C2055" s="2" t="n">
        <x:v>2030</x:v>
      </x:c>
      <x:c r="D2055" s="2" t="str">
        <x:v>WUP_SURFACE</x:v>
      </x:c>
      <x:c r="E2055" s="17" t="n">
        <x:v>37686665.68995928</x:v>
      </x:c>
      <x:c r="F2055" s="17" t="n">
        <x:f>IF(AND(M2055,ISNUMBER(R2055)),IF(D2055="TEMPO_PROXY",R2055,IF(AND(ISNUMBER(S2055),S2055&gt;0,ISNUMBER(U2055)),U2055*R2055/S2055,"n.a.")),"n.a.")</x:f>
        <x:v>49758583.47502333</x:v>
      </x:c>
      <x:c r="G2055" s="17" t="n">
        <x:f>IF(AND(ISNUMBER(E2055),ISNUMBER(F2055)),E2055-F2055,"n.a.")</x:f>
        <x:v>-12071917.785064049</x:v>
      </x:c>
      <x:c r="H2055" s="15" t="n">
        <x:f>IF(AND(ISNUMBER(E2055),ISNUMBER(F2055),F2055&gt;0),(E2055-F2055)/F2055,"n.a.")</x:f>
        <x:v>-0.2426097557846202</x:v>
      </x:c>
      <x:c r="I2055" s="19" t="n">
        <x:f>IF(ISNUMBER(H2055),ABS(H2055),"n.a.")</x:f>
        <x:v>0.2426097557846202</x:v>
      </x:c>
      <x:c r="J2055" s="2" t="str">
        <x:v>available</x:v>
      </x:c>
      <x:c r="K2055" s="2" t="n">
        <x:v>1</x:v>
      </x:c>
      <x:c r="L2055" s="13" t="b">
        <x:v>0</x:v>
      </x:c>
      <x:c r="M2055" s="13" t="b">
        <x:v>1</x:v>
      </x:c>
      <x:c r="N2055" s="2" t="str">
        <x:v>projected_CRISP_BU_surface</x:v>
      </x:c>
      <x:c r="O2055" s="2" t="str"/>
      <x:c r="P2055" s="2" t="str">
        <x:v>horizontal built-up surface</x:v>
      </x:c>
      <x:c r="Q2055" s="2" t="str">
        <x:v>m2</x:v>
      </x:c>
      <x:c r="R2055" s="17" t="n">
        <x:v>45539434.926520355</x:v>
      </x:c>
      <x:c r="S2055" s="17" t="n">
        <x:v>24141007.67</x:v>
      </x:c>
      <x:c r="T2055" s="18" t="n">
        <x:v>1.0926482411411282</x:v>
      </x:c>
      <x:c r="U2055" s="17" t="n">
        <x:v>26377629.56999999</x:v>
      </x:c>
      <x:c r="V2055" s="2" t="str">
        <x:v>Area equivalent = model2020 * WUP surface / TEMPO2020 footprint; km2 multiplied by1e6 once</x:v>
      </x:c>
      <x:c r="W2055" s="2" t="str">
        <x:v>L1_numeric_partition_qualified_not_national_completeness</x:v>
      </x:c>
      <x:c r="X2055" s="2" t="str">
        <x:v>https://human-settlement.emergency.copernicus.eu/datasets.php</x:v>
      </x:c>
    </x:row>
    <x:row r="2056" ht="23" customHeight="1">
      <x:c r="A2056" s="2" t="str">
        <x:v>ISR</x:v>
      </x:c>
      <x:c r="B2056" s="2" t="str">
        <x:v>Israel (State of)</x:v>
      </x:c>
      <x:c r="C2056" s="2" t="n">
        <x:v>2030</x:v>
      </x:c>
      <x:c r="D2056" s="2" t="str">
        <x:v>WUP_SURFACE</x:v>
      </x:c>
      <x:c r="E2056" s="17" t="n">
        <x:v>495548128.21505135</x:v>
      </x:c>
      <x:c r="F2056" s="17" t="n">
        <x:f>IF(AND(M2056,ISNUMBER(R2056)),IF(D2056="TEMPO_PROXY",R2056,IF(AND(ISNUMBER(S2056),S2056&gt;0,ISNUMBER(U2056)),U2056*R2056/S2056,"n.a.")),"n.a.")</x:f>
        <x:v>637544177.7134515</x:v>
      </x:c>
      <x:c r="G2056" s="17" t="n">
        <x:f>IF(AND(ISNUMBER(E2056),ISNUMBER(F2056)),E2056-F2056,"n.a.")</x:f>
        <x:v>-141996049.49840015</x:v>
      </x:c>
      <x:c r="H2056" s="15" t="n">
        <x:f>IF(AND(ISNUMBER(E2056),ISNUMBER(F2056),F2056&gt;0),(E2056-F2056)/F2056,"n.a.")</x:f>
        <x:v>-0.2227234667998509</x:v>
      </x:c>
      <x:c r="I2056" s="19" t="n">
        <x:f>IF(ISNUMBER(H2056),ABS(H2056),"n.a.")</x:f>
        <x:v>0.2227234667998509</x:v>
      </x:c>
      <x:c r="J2056" s="2" t="str">
        <x:v>available</x:v>
      </x:c>
      <x:c r="K2056" s="2" t="n">
        <x:v>1</x:v>
      </x:c>
      <x:c r="L2056" s="13" t="b">
        <x:v>0</x:v>
      </x:c>
      <x:c r="M2056" s="13" t="b">
        <x:v>1</x:v>
      </x:c>
      <x:c r="N2056" s="2" t="str">
        <x:v>projected_CRISP_BU_surface</x:v>
      </x:c>
      <x:c r="O2056" s="2" t="str"/>
      <x:c r="P2056" s="2" t="str">
        <x:v>horizontal built-up surface</x:v>
      </x:c>
      <x:c r="Q2056" s="2" t="str">
        <x:v>m2</x:v>
      </x:c>
      <x:c r="R2056" s="17" t="n">
        <x:v>611311519.2272989</x:v>
      </x:c>
      <x:c r="S2056" s="17" t="n">
        <x:v>357032950.94</x:v>
      </x:c>
      <x:c r="T2056" s="18" t="n">
        <x:v>1.0429120958154214</x:v>
      </x:c>
      <x:c r="U2056" s="17" t="n">
        <x:v>372353983.1399999</x:v>
      </x:c>
      <x:c r="V2056" s="2" t="str">
        <x:v>Area equivalent = model2020 * WUP surface / TEMPO2020 footprint; km2 multiplied by1e6 once</x:v>
      </x:c>
      <x:c r="W2056" s="2" t="str">
        <x:v>L1_numeric_partition_qualified_not_national_completeness</x:v>
      </x:c>
      <x:c r="X2056" s="2" t="str">
        <x:v>https://human-settlement.emergency.copernicus.eu/datasets.php</x:v>
      </x:c>
    </x:row>
    <x:row r="2057" ht="23" customHeight="1">
      <x:c r="A2057" s="2" t="str">
        <x:v>ITA</x:v>
      </x:c>
      <x:c r="B2057" s="2" t="str">
        <x:v>Italy (Italian Republic)</x:v>
      </x:c>
      <x:c r="C2057" s="2" t="n">
        <x:v>2030</x:v>
      </x:c>
      <x:c r="D2057" s="2" t="str">
        <x:v>WUP_SURFACE</x:v>
      </x:c>
      <x:c r="E2057" s="17" t="n">
        <x:v>6165743359.471214</x:v>
      </x:c>
      <x:c r="F2057" s="17" t="n">
        <x:f>IF(AND(M2057,ISNUMBER(R2057)),IF(D2057="TEMPO_PROXY",R2057,IF(AND(ISNUMBER(S2057),S2057&gt;0,ISNUMBER(U2057)),U2057*R2057/S2057,"n.a.")),"n.a.")</x:f>
        <x:v>9049757080.981</x:v>
      </x:c>
      <x:c r="G2057" s="17" t="n">
        <x:f>IF(AND(ISNUMBER(E2057),ISNUMBER(F2057)),E2057-F2057,"n.a.")</x:f>
        <x:v>-2884013721.5097866</x:v>
      </x:c>
      <x:c r="H2057" s="15" t="n">
        <x:f>IF(AND(ISNUMBER(E2057),ISNUMBER(F2057),F2057&gt;0),(E2057-F2057)/F2057,"n.a.")</x:f>
        <x:v>-0.3186841034187359</x:v>
      </x:c>
      <x:c r="I2057" s="19" t="n">
        <x:f>IF(ISNUMBER(H2057),ABS(H2057),"n.a.")</x:f>
        <x:v>0.3186841034187359</x:v>
      </x:c>
      <x:c r="J2057" s="2" t="str">
        <x:v>available</x:v>
      </x:c>
      <x:c r="K2057" s="2" t="n">
        <x:v>1</x:v>
      </x:c>
      <x:c r="L2057" s="13" t="b">
        <x:v>0</x:v>
      </x:c>
      <x:c r="M2057" s="13" t="b">
        <x:v>1</x:v>
      </x:c>
      <x:c r="N2057" s="2" t="str">
        <x:v>projected_CRISP_BU_surface</x:v>
      </x:c>
      <x:c r="O2057" s="2" t="str"/>
      <x:c r="P2057" s="2" t="str">
        <x:v>horizontal built-up surface</x:v>
      </x:c>
      <x:c r="Q2057" s="2" t="str">
        <x:v>m2</x:v>
      </x:c>
      <x:c r="R2057" s="17" t="n">
        <x:v>8526149898.616375</x:v>
      </x:c>
      <x:c r="S2057" s="17" t="n">
        <x:v>4711304092.61</x:v>
      </x:c>
      <x:c r="T2057" s="18" t="n">
        <x:v>1.0614119137700826</x:v>
      </x:c>
      <x:c r="U2057" s="17" t="n">
        <x:v>5000634293.290002</x:v>
      </x:c>
      <x:c r="V2057" s="2" t="str">
        <x:v>Area equivalent = model2020 * WUP surface / TEMPO2020 footprint; km2 multiplied by1e6 once</x:v>
      </x:c>
      <x:c r="W2057" s="2" t="str">
        <x:v>L1_numeric_partition_qualified_not_national_completeness</x:v>
      </x:c>
      <x:c r="X2057" s="2" t="str">
        <x:v>https://human-settlement.emergency.copernicus.eu/datasets.php</x:v>
      </x:c>
    </x:row>
    <x:row r="2058" ht="23" customHeight="1">
      <x:c r="A2058" s="2" t="str">
        <x:v>JAM</x:v>
      </x:c>
      <x:c r="B2058" s="2" t="str">
        <x:v>Jamaica</x:v>
      </x:c>
      <x:c r="C2058" s="2" t="n">
        <x:v>2030</x:v>
      </x:c>
      <x:c r="D2058" s="2" t="str">
        <x:v>WUP_SURFACE</x:v>
      </x:c>
      <x:c r="E2058" s="17" t="n">
        <x:v>150587847.671865</x:v>
      </x:c>
      <x:c r="F2058" s="17" t="n">
        <x:f>IF(AND(M2058,ISNUMBER(R2058)),IF(D2058="TEMPO_PROXY",R2058,IF(AND(ISNUMBER(S2058),S2058&gt;0,ISNUMBER(U2058)),U2058*R2058/S2058,"n.a.")),"n.a.")</x:f>
        <x:v>251616982.34440628</x:v>
      </x:c>
      <x:c r="G2058" s="17" t="n">
        <x:f>IF(AND(ISNUMBER(E2058),ISNUMBER(F2058)),E2058-F2058,"n.a.")</x:f>
        <x:v>-101029134.67254129</x:v>
      </x:c>
      <x:c r="H2058" s="15" t="n">
        <x:f>IF(AND(ISNUMBER(E2058),ISNUMBER(F2058),F2058&gt;0),(E2058-F2058)/F2058,"n.a.")</x:f>
        <x:v>-0.401519538670309</x:v>
      </x:c>
      <x:c r="I2058" s="19" t="n">
        <x:f>IF(ISNUMBER(H2058),ABS(H2058),"n.a.")</x:f>
        <x:v>0.401519538670309</x:v>
      </x:c>
      <x:c r="J2058" s="2" t="str">
        <x:v>available</x:v>
      </x:c>
      <x:c r="K2058" s="2" t="n">
        <x:v>1</x:v>
      </x:c>
      <x:c r="L2058" s="13" t="b">
        <x:v>0</x:v>
      </x:c>
      <x:c r="M2058" s="13" t="b">
        <x:v>1</x:v>
      </x:c>
      <x:c r="N2058" s="2" t="str">
        <x:v>projected_CRISP_BU_surface</x:v>
      </x:c>
      <x:c r="O2058" s="2" t="str"/>
      <x:c r="P2058" s="2" t="str">
        <x:v>horizontal built-up surface</x:v>
      </x:c>
      <x:c r="Q2058" s="2" t="str">
        <x:v>m2</x:v>
      </x:c>
      <x:c r="R2058" s="17" t="n">
        <x:v>251616982.34440643</x:v>
      </x:c>
      <x:c r="S2058" s="17" t="n">
        <x:v>133338245.19</x:v>
      </x:c>
      <x:c r="T2058" s="18" t="n">
        <x:v>0.9999999999999994</x:v>
      </x:c>
      <x:c r="U2058" s="17" t="n">
        <x:v>133338245.18999992</x:v>
      </x:c>
      <x:c r="V2058" s="2" t="str">
        <x:v>Area equivalent = model2020 * WUP surface / TEMPO2020 footprint; km2 multiplied by1e6 once</x:v>
      </x:c>
      <x:c r="W2058" s="2" t="str">
        <x:v>L1_numeric_partition_qualified_not_national_completeness</x:v>
      </x:c>
      <x:c r="X2058" s="2" t="str">
        <x:v>https://human-settlement.emergency.copernicus.eu/datasets.php</x:v>
      </x:c>
    </x:row>
    <x:row r="2059" ht="23" customHeight="1">
      <x:c r="A2059" s="2" t="str">
        <x:v>JOR</x:v>
      </x:c>
      <x:c r="B2059" s="2" t="str">
        <x:v>Jordan (Hashemite Kingdom of)</x:v>
      </x:c>
      <x:c r="C2059" s="2" t="n">
        <x:v>2030</x:v>
      </x:c>
      <x:c r="D2059" s="2" t="str">
        <x:v>WUP_SURFACE</x:v>
      </x:c>
      <x:c r="E2059" s="17" t="n">
        <x:v>385273360.7142032</x:v>
      </x:c>
      <x:c r="F2059" s="17" t="n">
        <x:f>IF(AND(M2059,ISNUMBER(R2059)),IF(D2059="TEMPO_PROXY",R2059,IF(AND(ISNUMBER(S2059),S2059&gt;0,ISNUMBER(U2059)),U2059*R2059/S2059,"n.a.")),"n.a.")</x:f>
        <x:v>454037051.7569019</x:v>
      </x:c>
      <x:c r="G2059" s="17" t="n">
        <x:f>IF(AND(ISNUMBER(E2059),ISNUMBER(F2059)),E2059-F2059,"n.a.")</x:f>
        <x:v>-68763691.04269874</x:v>
      </x:c>
      <x:c r="H2059" s="15" t="n">
        <x:f>IF(AND(ISNUMBER(E2059),ISNUMBER(F2059),F2059&gt;0),(E2059-F2059)/F2059,"n.a.")</x:f>
        <x:v>-0.15144951447600322</x:v>
      </x:c>
      <x:c r="I2059" s="19" t="n">
        <x:f>IF(ISNUMBER(H2059),ABS(H2059),"n.a.")</x:f>
        <x:v>0.15144951447600322</x:v>
      </x:c>
      <x:c r="J2059" s="2" t="str">
        <x:v>available</x:v>
      </x:c>
      <x:c r="K2059" s="2" t="n">
        <x:v>1</x:v>
      </x:c>
      <x:c r="L2059" s="13" t="b">
        <x:v>0</x:v>
      </x:c>
      <x:c r="M2059" s="13" t="b">
        <x:v>1</x:v>
      </x:c>
      <x:c r="N2059" s="2" t="str">
        <x:v>projected_CRISP_BU_surface</x:v>
      </x:c>
      <x:c r="O2059" s="2" t="str"/>
      <x:c r="P2059" s="2" t="str">
        <x:v>horizontal built-up surface</x:v>
      </x:c>
      <x:c r="Q2059" s="2" t="str">
        <x:v>m2</x:v>
      </x:c>
      <x:c r="R2059" s="17" t="n">
        <x:v>448850841.5254525</x:v>
      </x:c>
      <x:c r="S2059" s="17" t="n">
        <x:v>275983857.16</x:v>
      </x:c>
      <x:c r="T2059" s="18" t="n">
        <x:v>1.0115544179750755</x:v>
      </x:c>
      <x:c r="U2059" s="17" t="n">
        <x:v>279172690.0000002</x:v>
      </x:c>
      <x:c r="V2059" s="2" t="str">
        <x:v>Area equivalent = model2020 * WUP surface / TEMPO2020 footprint; km2 multiplied by1e6 once</x:v>
      </x:c>
      <x:c r="W2059" s="2" t="str">
        <x:v>L1_numeric_partition_qualified_not_national_completeness</x:v>
      </x:c>
      <x:c r="X2059" s="2" t="str">
        <x:v>https://human-settlement.emergency.copernicus.eu/datasets.php</x:v>
      </x:c>
    </x:row>
    <x:row r="2060" ht="23" customHeight="1">
      <x:c r="A2060" s="2" t="str">
        <x:v>JPN</x:v>
      </x:c>
      <x:c r="B2060" s="2" t="str">
        <x:v>Japan</x:v>
      </x:c>
      <x:c r="C2060" s="2" t="n">
        <x:v>2030</x:v>
      </x:c>
      <x:c r="D2060" s="2" t="str">
        <x:v>WUP_SURFACE</x:v>
      </x:c>
      <x:c r="E2060" s="17" t="n">
        <x:v>8985503011.782104</x:v>
      </x:c>
      <x:c r="F2060" s="17" t="n">
        <x:f>IF(AND(M2060,ISNUMBER(R2060)),IF(D2060="TEMPO_PROXY",R2060,IF(AND(ISNUMBER(S2060),S2060&gt;0,ISNUMBER(U2060)),U2060*R2060/S2060,"n.a.")),"n.a.")</x:f>
        <x:v>14343366172.127138</x:v>
      </x:c>
      <x:c r="G2060" s="17" t="n">
        <x:f>IF(AND(ISNUMBER(E2060),ISNUMBER(F2060)),E2060-F2060,"n.a.")</x:f>
        <x:v>-5357863160.345034</x:v>
      </x:c>
      <x:c r="H2060" s="15" t="n">
        <x:f>IF(AND(ISNUMBER(E2060),ISNUMBER(F2060),F2060&gt;0),(E2060-F2060)/F2060,"n.a.")</x:f>
        <x:v>-0.3735429393664051</x:v>
      </x:c>
      <x:c r="I2060" s="19" t="n">
        <x:f>IF(ISNUMBER(H2060),ABS(H2060),"n.a.")</x:f>
        <x:v>0.3735429393664051</x:v>
      </x:c>
      <x:c r="J2060" s="2" t="str">
        <x:v>available</x:v>
      </x:c>
      <x:c r="K2060" s="2" t="n">
        <x:v>1</x:v>
      </x:c>
      <x:c r="L2060" s="13" t="b">
        <x:v>0</x:v>
      </x:c>
      <x:c r="M2060" s="13" t="b">
        <x:v>1</x:v>
      </x:c>
      <x:c r="N2060" s="2" t="str">
        <x:v>projected_CRISP_BU_surface</x:v>
      </x:c>
      <x:c r="O2060" s="2" t="str"/>
      <x:c r="P2060" s="2" t="str">
        <x:v>horizontal built-up surface</x:v>
      </x:c>
      <x:c r="Q2060" s="2" t="str">
        <x:v>m2</x:v>
      </x:c>
      <x:c r="R2060" s="17" t="n">
        <x:v>13887379322.058035</x:v>
      </x:c>
      <x:c r="S2060" s="17" t="n">
        <x:v>8076054059.79</x:v>
      </x:c>
      <x:c r="T2060" s="18" t="n">
        <x:v>1.032834621961023</x:v>
      </x:c>
      <x:c r="U2060" s="17" t="n">
        <x:v>8341228241.779989</x:v>
      </x:c>
      <x:c r="V2060" s="2" t="str">
        <x:v>Area equivalent = model2020 * WUP surface / TEMPO2020 footprint; km2 multiplied by1e6 once</x:v>
      </x:c>
      <x:c r="W2060" s="2" t="str">
        <x:v>L1_numeric_partition_qualified_not_national_completeness</x:v>
      </x:c>
      <x:c r="X2060" s="2" t="str">
        <x:v>https://human-settlement.emergency.copernicus.eu/datasets.php</x:v>
      </x:c>
    </x:row>
    <x:row r="2061" ht="23" customHeight="1">
      <x:c r="A2061" s="2" t="str">
        <x:v>KAZ</x:v>
      </x:c>
      <x:c r="B2061" s="2" t="str">
        <x:v>Kazakhstan (Republic of)</x:v>
      </x:c>
      <x:c r="C2061" s="2" t="n">
        <x:v>2030</x:v>
      </x:c>
      <x:c r="D2061" s="2" t="str">
        <x:v>WUP_SURFACE</x:v>
      </x:c>
      <x:c r="E2061" s="17" t="n">
        <x:v>1196589336.0786734</x:v>
      </x:c>
      <x:c r="F2061" s="17" t="n">
        <x:f>IF(AND(M2061,ISNUMBER(R2061)),IF(D2061="TEMPO_PROXY",R2061,IF(AND(ISNUMBER(S2061),S2061&gt;0,ISNUMBER(U2061)),U2061*R2061/S2061,"n.a.")),"n.a.")</x:f>
        <x:v>2726033084.189426</x:v>
      </x:c>
      <x:c r="G2061" s="17" t="n">
        <x:f>IF(AND(ISNUMBER(E2061),ISNUMBER(F2061)),E2061-F2061,"n.a.")</x:f>
        <x:v>-1529443748.1107526</x:v>
      </x:c>
      <x:c r="H2061" s="15" t="n">
        <x:f>IF(AND(ISNUMBER(E2061),ISNUMBER(F2061),F2061&gt;0),(E2061-F2061)/F2061,"n.a.")</x:f>
        <x:v>-0.5610510587642138</x:v>
      </x:c>
      <x:c r="I2061" s="19" t="n">
        <x:f>IF(ISNUMBER(H2061),ABS(H2061),"n.a.")</x:f>
        <x:v>0.5610510587642138</x:v>
      </x:c>
      <x:c r="J2061" s="2" t="str">
        <x:v>available</x:v>
      </x:c>
      <x:c r="K2061" s="2" t="n">
        <x:v>1</x:v>
      </x:c>
      <x:c r="L2061" s="13" t="b">
        <x:v>0</x:v>
      </x:c>
      <x:c r="M2061" s="13" t="b">
        <x:v>1</x:v>
      </x:c>
      <x:c r="N2061" s="2" t="str">
        <x:v>projected_CRISP_BU_surface</x:v>
      </x:c>
      <x:c r="O2061" s="2" t="str"/>
      <x:c r="P2061" s="2" t="str">
        <x:v>horizontal built-up surface</x:v>
      </x:c>
      <x:c r="Q2061" s="2" t="str">
        <x:v>m2</x:v>
      </x:c>
      <x:c r="R2061" s="17" t="n">
        <x:v>2726033084.1894217</x:v>
      </x:c>
      <x:c r="S2061" s="17" t="n">
        <x:v>1009034692.97</x:v>
      </x:c>
      <x:c r="T2061" s="18" t="n">
        <x:v>1.0000000000000016</x:v>
      </x:c>
      <x:c r="U2061" s="17" t="n">
        <x:v>1009034692.9700016</x:v>
      </x:c>
      <x:c r="V2061" s="2" t="str">
        <x:v>Area equivalent = model2020 * WUP surface / TEMPO2020 footprint; km2 multiplied by1e6 once</x:v>
      </x:c>
      <x:c r="W2061" s="2" t="str">
        <x:v>L1_numeric_partition_qualified_not_national_completeness</x:v>
      </x:c>
      <x:c r="X2061" s="2" t="str">
        <x:v>https://human-settlement.emergency.copernicus.eu/datasets.php</x:v>
      </x:c>
    </x:row>
    <x:row r="2062" ht="23" customHeight="1">
      <x:c r="A2062" s="2" t="str">
        <x:v>KEN</x:v>
      </x:c>
      <x:c r="B2062" s="2" t="str">
        <x:v>Kenya (Republic of)</x:v>
      </x:c>
      <x:c r="C2062" s="2" t="n">
        <x:v>2030</x:v>
      </x:c>
      <x:c r="D2062" s="2" t="str">
        <x:v>WUP_SURFACE</x:v>
      </x:c>
      <x:c r="E2062" s="17" t="n">
        <x:v>1506205777.2172642</x:v>
      </x:c>
      <x:c r="F2062" s="17" t="n">
        <x:f>IF(AND(M2062,ISNUMBER(R2062)),IF(D2062="TEMPO_PROXY",R2062,IF(AND(ISNUMBER(S2062),S2062&gt;0,ISNUMBER(U2062)),U2062*R2062/S2062,"n.a.")),"n.a.")</x:f>
        <x:v>3879930842.690132</x:v>
      </x:c>
      <x:c r="G2062" s="17" t="n">
        <x:f>IF(AND(ISNUMBER(E2062),ISNUMBER(F2062)),E2062-F2062,"n.a.")</x:f>
        <x:v>-2373725065.472868</x:v>
      </x:c>
      <x:c r="H2062" s="15" t="n">
        <x:f>IF(AND(ISNUMBER(E2062),ISNUMBER(F2062),F2062&gt;0),(E2062-F2062)/F2062,"n.a.")</x:f>
        <x:v>-0.6117957153656524</x:v>
      </x:c>
      <x:c r="I2062" s="19" t="n">
        <x:f>IF(ISNUMBER(H2062),ABS(H2062),"n.a.")</x:f>
        <x:v>0.6117957153656524</x:v>
      </x:c>
      <x:c r="J2062" s="2" t="str">
        <x:v>available</x:v>
      </x:c>
      <x:c r="K2062" s="2" t="n">
        <x:v>1</x:v>
      </x:c>
      <x:c r="L2062" s="13" t="b">
        <x:v>0</x:v>
      </x:c>
      <x:c r="M2062" s="13" t="b">
        <x:v>1</x:v>
      </x:c>
      <x:c r="N2062" s="2" t="str">
        <x:v>projected_CRISP_BU_surface</x:v>
      </x:c>
      <x:c r="O2062" s="2" t="str"/>
      <x:c r="P2062" s="2" t="str">
        <x:v>horizontal built-up surface</x:v>
      </x:c>
      <x:c r="Q2062" s="2" t="str">
        <x:v>m2</x:v>
      </x:c>
      <x:c r="R2062" s="17" t="n">
        <x:v>3879930842.690132</x:v>
      </x:c>
      <x:c r="S2062" s="17" t="n">
        <x:v>1180050447.52</x:v>
      </x:c>
      <x:c r="T2062" s="18" t="n">
        <x:v>1</x:v>
      </x:c>
      <x:c r="U2062" s="17" t="n">
        <x:v>1180050447.52</x:v>
      </x:c>
      <x:c r="V2062" s="2" t="str">
        <x:v>Area equivalent = model2020 * WUP surface / TEMPO2020 footprint; km2 multiplied by1e6 once</x:v>
      </x:c>
      <x:c r="W2062" s="2" t="str">
        <x:v>L1_numeric_partition_qualified_not_national_completeness</x:v>
      </x:c>
      <x:c r="X2062" s="2" t="str">
        <x:v>https://human-settlement.emergency.copernicus.eu/datasets.php</x:v>
      </x:c>
    </x:row>
    <x:row r="2063" ht="23" customHeight="1">
      <x:c r="A2063" s="2" t="str">
        <x:v>KGZ</x:v>
      </x:c>
      <x:c r="B2063" s="2" t="str">
        <x:v>Kyrgyzstan (Kyrgyz Republic)</x:v>
      </x:c>
      <x:c r="C2063" s="2" t="n">
        <x:v>2030</x:v>
      </x:c>
      <x:c r="D2063" s="2" t="str">
        <x:v>WUP_SURFACE</x:v>
      </x:c>
      <x:c r="E2063" s="17" t="n">
        <x:v>398840862.4237928</x:v>
      </x:c>
      <x:c r="F2063" s="17" t="n">
        <x:f>IF(AND(M2063,ISNUMBER(R2063)),IF(D2063="TEMPO_PROXY",R2063,IF(AND(ISNUMBER(S2063),S2063&gt;0,ISNUMBER(U2063)),U2063*R2063/S2063,"n.a.")),"n.a.")</x:f>
        <x:v>807125979.4910817</x:v>
      </x:c>
      <x:c r="G2063" s="17" t="n">
        <x:f>IF(AND(ISNUMBER(E2063),ISNUMBER(F2063)),E2063-F2063,"n.a.")</x:f>
        <x:v>-408285117.06728894</x:v>
      </x:c>
      <x:c r="H2063" s="15" t="n">
        <x:f>IF(AND(ISNUMBER(E2063),ISNUMBER(F2063),F2063&gt;0),(E2063-F2063)/F2063,"n.a.")</x:f>
        <x:v>-0.5058505455675278</x:v>
      </x:c>
      <x:c r="I2063" s="19" t="n">
        <x:f>IF(ISNUMBER(H2063),ABS(H2063),"n.a.")</x:f>
        <x:v>0.5058505455675278</x:v>
      </x:c>
      <x:c r="J2063" s="2" t="str">
        <x:v>available</x:v>
      </x:c>
      <x:c r="K2063" s="2" t="n">
        <x:v>1</x:v>
      </x:c>
      <x:c r="L2063" s="13" t="b">
        <x:v>0</x:v>
      </x:c>
      <x:c r="M2063" s="13" t="b">
        <x:v>1</x:v>
      </x:c>
      <x:c r="N2063" s="2" t="str">
        <x:v>projected_CRISP_BU_surface</x:v>
      </x:c>
      <x:c r="O2063" s="2" t="str"/>
      <x:c r="P2063" s="2" t="str">
        <x:v>horizontal built-up surface</x:v>
      </x:c>
      <x:c r="Q2063" s="2" t="str">
        <x:v>m2</x:v>
      </x:c>
      <x:c r="R2063" s="17" t="n">
        <x:v>807125979.4910804</x:v>
      </x:c>
      <x:c r="S2063" s="17" t="n">
        <x:v>332236534.37</x:v>
      </x:c>
      <x:c r="T2063" s="18" t="n">
        <x:v>1.0000000000000016</x:v>
      </x:c>
      <x:c r="U2063" s="17" t="n">
        <x:v>332236534.37000054</x:v>
      </x:c>
      <x:c r="V2063" s="2" t="str">
        <x:v>Area equivalent = model2020 * WUP surface / TEMPO2020 footprint; km2 multiplied by1e6 once</x:v>
      </x:c>
      <x:c r="W2063" s="2" t="str">
        <x:v>L1_numeric_partition_qualified_not_national_completeness</x:v>
      </x:c>
      <x:c r="X2063" s="2" t="str">
        <x:v>https://human-settlement.emergency.copernicus.eu/datasets.php</x:v>
      </x:c>
    </x:row>
    <x:row r="2064" ht="23" customHeight="1">
      <x:c r="A2064" s="2" t="str">
        <x:v>KHM</x:v>
      </x:c>
      <x:c r="B2064" s="2" t="str">
        <x:v>Cambodia (Kingdom of)</x:v>
      </x:c>
      <x:c r="C2064" s="2" t="n">
        <x:v>2030</x:v>
      </x:c>
      <x:c r="D2064" s="2" t="str">
        <x:v>WUP_SURFACE</x:v>
      </x:c>
      <x:c r="E2064" s="17" t="n">
        <x:v>859938413.9494957</x:v>
      </x:c>
      <x:c r="F2064" s="17" t="n">
        <x:f>IF(AND(M2064,ISNUMBER(R2064)),IF(D2064="TEMPO_PROXY",R2064,IF(AND(ISNUMBER(S2064),S2064&gt;0,ISNUMBER(U2064)),U2064*R2064/S2064,"n.a.")),"n.a.")</x:f>
        <x:v>1030655815.8280588</x:v>
      </x:c>
      <x:c r="G2064" s="17" t="n">
        <x:f>IF(AND(ISNUMBER(E2064),ISNUMBER(F2064)),E2064-F2064,"n.a.")</x:f>
        <x:v>-170717401.87856317</x:v>
      </x:c>
      <x:c r="H2064" s="15" t="n">
        <x:f>IF(AND(ISNUMBER(E2064),ISNUMBER(F2064),F2064&gt;0),(E2064-F2064)/F2064,"n.a.")</x:f>
        <x:v>-0.1656395852590264</x:v>
      </x:c>
      <x:c r="I2064" s="19" t="n">
        <x:f>IF(ISNUMBER(H2064),ABS(H2064),"n.a.")</x:f>
        <x:v>0.1656395852590264</x:v>
      </x:c>
      <x:c r="J2064" s="2" t="str">
        <x:v>available</x:v>
      </x:c>
      <x:c r="K2064" s="2" t="n">
        <x:v>1</x:v>
      </x:c>
      <x:c r="L2064" s="13" t="b">
        <x:v>0</x:v>
      </x:c>
      <x:c r="M2064" s="13" t="b">
        <x:v>1</x:v>
      </x:c>
      <x:c r="N2064" s="2" t="str">
        <x:v>projected_CRISP_BU_surface</x:v>
      </x:c>
      <x:c r="O2064" s="2" t="str"/>
      <x:c r="P2064" s="2" t="str">
        <x:v>horizontal built-up surface</x:v>
      </x:c>
      <x:c r="Q2064" s="2" t="str">
        <x:v>m2</x:v>
      </x:c>
      <x:c r="R2064" s="17" t="n">
        <x:v>1030655815.8280573</x:v>
      </x:c>
      <x:c r="S2064" s="17" t="n">
        <x:v>672933221.83</x:v>
      </x:c>
      <x:c r="T2064" s="18" t="n">
        <x:v>1.0000000000000013</x:v>
      </x:c>
      <x:c r="U2064" s="17" t="n">
        <x:v>672933221.830001</x:v>
      </x:c>
      <x:c r="V2064" s="2" t="str">
        <x:v>Area equivalent = model2020 * WUP surface / TEMPO2020 footprint; km2 multiplied by1e6 once</x:v>
      </x:c>
      <x:c r="W2064" s="2" t="str">
        <x:v>L1_numeric_partition_qualified_not_national_completeness</x:v>
      </x:c>
      <x:c r="X2064" s="2" t="str">
        <x:v>https://human-settlement.emergency.copernicus.eu/datasets.php</x:v>
      </x:c>
    </x:row>
    <x:row r="2065" ht="23" customHeight="1">
      <x:c r="A2065" s="2" t="str">
        <x:v>KIR</x:v>
      </x:c>
      <x:c r="B2065" s="2" t="str">
        <x:v>Kiribati (Republic of)</x:v>
      </x:c>
      <x:c r="C2065" s="2" t="n">
        <x:v>2030</x:v>
      </x:c>
      <x:c r="D2065" s="2" t="str">
        <x:v>WUP_SURFACE</x:v>
      </x:c>
      <x:c r="E2065" s="17" t="n">
        <x:v>2715126.1174815553</x:v>
      </x:c>
      <x:c r="F2065" s="17" t="n">
        <x:f>IF(AND(M2065,ISNUMBER(R2065)),IF(D2065="TEMPO_PROXY",R2065,IF(AND(ISNUMBER(S2065),S2065&gt;0,ISNUMBER(U2065)),U2065*R2065/S2065,"n.a.")),"n.a.")</x:f>
        <x:v>2143794.04200281</x:v>
      </x:c>
      <x:c r="G2065" s="17" t="n">
        <x:f>IF(AND(ISNUMBER(E2065),ISNUMBER(F2065)),E2065-F2065,"n.a.")</x:f>
        <x:v>571332.0754787452</x:v>
      </x:c>
      <x:c r="H2065" s="15" t="n">
        <x:f>IF(AND(ISNUMBER(E2065),ISNUMBER(F2065),F2065&gt;0),(E2065-F2065)/F2065,"n.a.")</x:f>
        <x:v>0.2665051139637397</x:v>
      </x:c>
      <x:c r="I2065" s="19" t="n">
        <x:f>IF(ISNUMBER(H2065),ABS(H2065),"n.a.")</x:f>
        <x:v>0.2665051139637397</x:v>
      </x:c>
      <x:c r="J2065" s="2" t="str">
        <x:v>available</x:v>
      </x:c>
      <x:c r="K2065" s="2" t="n">
        <x:v>1</x:v>
      </x:c>
      <x:c r="L2065" s="13" t="b">
        <x:v>0</x:v>
      </x:c>
      <x:c r="M2065" s="13" t="b">
        <x:v>1</x:v>
      </x:c>
      <x:c r="N2065" s="2" t="str">
        <x:v>projected_CRISP_BU_surface</x:v>
      </x:c>
      <x:c r="O2065" s="2" t="str"/>
      <x:c r="P2065" s="2" t="str">
        <x:v>horizontal built-up surface</x:v>
      </x:c>
      <x:c r="Q2065" s="2" t="str">
        <x:v>m2</x:v>
      </x:c>
      <x:c r="R2065" s="17" t="n">
        <x:v>2143794.0420028097</x:v>
      </x:c>
      <x:c r="S2065" s="17" t="n">
        <x:v>1721739.67</x:v>
      </x:c>
      <x:c r="T2065" s="18" t="n">
        <x:v>1.0000000000000002</x:v>
      </x:c>
      <x:c r="U2065" s="17" t="n">
        <x:v>1721739.6700000002</x:v>
      </x:c>
      <x:c r="V2065" s="2" t="str">
        <x:v>Area equivalent = model2020 * WUP surface / TEMPO2020 footprint; km2 multiplied by1e6 once</x:v>
      </x:c>
      <x:c r="W2065" s="2" t="str">
        <x:v>L1_numeric_partition_qualified_not_national_completeness</x:v>
      </x:c>
      <x:c r="X2065" s="2" t="str">
        <x:v>https://human-settlement.emergency.copernicus.eu/datasets.php</x:v>
      </x:c>
    </x:row>
    <x:row r="2066" ht="23" customHeight="1">
      <x:c r="A2066" s="2" t="str">
        <x:v>KNA</x:v>
      </x:c>
      <x:c r="B2066" s="2" t="str">
        <x:v>Saint Kitts and Nevis (Federation of)</x:v>
      </x:c>
      <x:c r="C2066" s="2" t="n">
        <x:v>2030</x:v>
      </x:c>
      <x:c r="D2066" s="2" t="str">
        <x:v>WUP_SURFACE</x:v>
      </x:c>
      <x:c r="E2066" s="17" t="n">
        <x:v>4984132.39790077</x:v>
      </x:c>
      <x:c r="F2066" s="17" t="n">
        <x:f>IF(AND(M2066,ISNUMBER(R2066)),IF(D2066="TEMPO_PROXY",R2066,IF(AND(ISNUMBER(S2066),S2066&gt;0,ISNUMBER(U2066)),U2066*R2066/S2066,"n.a.")),"n.a.")</x:f>
        <x:v>9142841.907570986</x:v>
      </x:c>
      <x:c r="G2066" s="17" t="n">
        <x:f>IF(AND(ISNUMBER(E2066),ISNUMBER(F2066)),E2066-F2066,"n.a.")</x:f>
        <x:v>-4158709.5096702157</x:v>
      </x:c>
      <x:c r="H2066" s="15" t="n">
        <x:f>IF(AND(ISNUMBER(E2066),ISNUMBER(F2066),F2066&gt;0),(E2066-F2066)/F2066,"n.a.")</x:f>
        <x:v>-0.45485961057977825</x:v>
      </x:c>
      <x:c r="I2066" s="19" t="n">
        <x:f>IF(ISNUMBER(H2066),ABS(H2066),"n.a.")</x:f>
        <x:v>0.45485961057977825</x:v>
      </x:c>
      <x:c r="J2066" s="2" t="str">
        <x:v>available</x:v>
      </x:c>
      <x:c r="K2066" s="2" t="n">
        <x:v>1</x:v>
      </x:c>
      <x:c r="L2066" s="13" t="b">
        <x:v>0</x:v>
      </x:c>
      <x:c r="M2066" s="13" t="b">
        <x:v>1</x:v>
      </x:c>
      <x:c r="N2066" s="2" t="str">
        <x:v>projected_CRISP_BU_surface</x:v>
      </x:c>
      <x:c r="O2066" s="2" t="str"/>
      <x:c r="P2066" s="2" t="str">
        <x:v>horizontal built-up surface</x:v>
      </x:c>
      <x:c r="Q2066" s="2" t="str">
        <x:v>m2</x:v>
      </x:c>
      <x:c r="R2066" s="17" t="n">
        <x:v>9142841.907570984</x:v>
      </x:c>
      <x:c r="S2066" s="17" t="n">
        <x:v>4523960.76</x:v>
      </x:c>
      <x:c r="T2066" s="18" t="n">
        <x:v>1.0000000000000002</x:v>
      </x:c>
      <x:c r="U2066" s="17" t="n">
        <x:v>4523960.760000001</x:v>
      </x:c>
      <x:c r="V2066" s="2" t="str">
        <x:v>Area equivalent = model2020 * WUP surface / TEMPO2020 footprint; km2 multiplied by1e6 once</x:v>
      </x:c>
      <x:c r="W2066" s="2" t="str">
        <x:v>L1_numeric_partition_qualified_not_national_completeness</x:v>
      </x:c>
      <x:c r="X2066" s="2" t="str">
        <x:v>https://human-settlement.emergency.copernicus.eu/datasets.php</x:v>
      </x:c>
    </x:row>
    <x:row r="2067" ht="23" customHeight="1">
      <x:c r="A2067" s="2" t="str">
        <x:v>KOR</x:v>
      </x:c>
      <x:c r="B2067" s="2" t="str">
        <x:v>Korea (Republic of)</x:v>
      </x:c>
      <x:c r="C2067" s="2" t="n">
        <x:v>2030</x:v>
      </x:c>
      <x:c r="D2067" s="2" t="str">
        <x:v>WUP_SURFACE</x:v>
      </x:c>
      <x:c r="E2067" s="17" t="n">
        <x:v>3435552560.103278</x:v>
      </x:c>
      <x:c r="F2067" s="17" t="n">
        <x:f>IF(AND(M2067,ISNUMBER(R2067)),IF(D2067="TEMPO_PROXY",R2067,IF(AND(ISNUMBER(S2067),S2067&gt;0,ISNUMBER(U2067)),U2067*R2067/S2067,"n.a.")),"n.a.")</x:f>
        <x:v>4797481961.765464</x:v>
      </x:c>
      <x:c r="G2067" s="17" t="n">
        <x:f>IF(AND(ISNUMBER(E2067),ISNUMBER(F2067)),E2067-F2067,"n.a.")</x:f>
        <x:v>-1361929401.6621857</x:v>
      </x:c>
      <x:c r="H2067" s="15" t="n">
        <x:f>IF(AND(ISNUMBER(E2067),ISNUMBER(F2067),F2067&gt;0),(E2067-F2067)/F2067,"n.a.")</x:f>
        <x:v>-0.2838842152021346</x:v>
      </x:c>
      <x:c r="I2067" s="19" t="n">
        <x:f>IF(ISNUMBER(H2067),ABS(H2067),"n.a.")</x:f>
        <x:v>0.2838842152021346</x:v>
      </x:c>
      <x:c r="J2067" s="2" t="str">
        <x:v>available</x:v>
      </x:c>
      <x:c r="K2067" s="2" t="n">
        <x:v>1</x:v>
      </x:c>
      <x:c r="L2067" s="13" t="b">
        <x:v>0</x:v>
      </x:c>
      <x:c r="M2067" s="13" t="b">
        <x:v>1</x:v>
      </x:c>
      <x:c r="N2067" s="2" t="str">
        <x:v>projected_CRISP_BU_surface</x:v>
      </x:c>
      <x:c r="O2067" s="2" t="str"/>
      <x:c r="P2067" s="2" t="str">
        <x:v>horizontal built-up surface</x:v>
      </x:c>
      <x:c r="Q2067" s="2" t="str">
        <x:v>m2</x:v>
      </x:c>
      <x:c r="R2067" s="17" t="n">
        <x:v>4164908201.1020474</x:v>
      </x:c>
      <x:c r="S2067" s="17" t="n">
        <x:v>2559028811.37</x:v>
      </x:c>
      <x:c r="T2067" s="18" t="n">
        <x:v>1.151881801499499</x:v>
      </x:c>
      <x:c r="U2067" s="17" t="n">
        <x:v>2947698717.329997</x:v>
      </x:c>
      <x:c r="V2067" s="2" t="str">
        <x:v>Area equivalent = model2020 * WUP surface / TEMPO2020 footprint; km2 multiplied by1e6 once</x:v>
      </x:c>
      <x:c r="W2067" s="2" t="str">
        <x:v>L1_numeric_partition_qualified_not_national_completeness</x:v>
      </x:c>
      <x:c r="X2067" s="2" t="str">
        <x:v>https://human-settlement.emergency.copernicus.eu/datasets.php</x:v>
      </x:c>
    </x:row>
    <x:row r="2068" ht="23" customHeight="1">
      <x:c r="A2068" s="2" t="str">
        <x:v>KWT</x:v>
      </x:c>
      <x:c r="B2068" s="2" t="str">
        <x:v>Kuwait (State of)</x:v>
      </x:c>
      <x:c r="C2068" s="2" t="n">
        <x:v>2030</x:v>
      </x:c>
      <x:c r="D2068" s="2" t="str">
        <x:v>WUP_SURFACE</x:v>
      </x:c>
      <x:c r="E2068" s="17" t="n">
        <x:v>212682883.74370617</x:v>
      </x:c>
      <x:c r="F2068" s="17" t="n">
        <x:f>IF(AND(M2068,ISNUMBER(R2068)),IF(D2068="TEMPO_PROXY",R2068,IF(AND(ISNUMBER(S2068),S2068&gt;0,ISNUMBER(U2068)),U2068*R2068/S2068,"n.a.")),"n.a.")</x:f>
        <x:v>321380217.4048698</x:v>
      </x:c>
      <x:c r="G2068" s="17" t="n">
        <x:f>IF(AND(ISNUMBER(E2068),ISNUMBER(F2068)),E2068-F2068,"n.a.")</x:f>
        <x:v>-108697333.66116363</x:v>
      </x:c>
      <x:c r="H2068" s="15" t="n">
        <x:f>IF(AND(ISNUMBER(E2068),ISNUMBER(F2068),F2068&gt;0),(E2068-F2068)/F2068,"n.a.")</x:f>
        <x:v>-0.33822036259384447</x:v>
      </x:c>
      <x:c r="I2068" s="19" t="n">
        <x:f>IF(ISNUMBER(H2068),ABS(H2068),"n.a.")</x:f>
        <x:v>0.33822036259384447</x:v>
      </x:c>
      <x:c r="J2068" s="2" t="str">
        <x:v>available</x:v>
      </x:c>
      <x:c r="K2068" s="2" t="n">
        <x:v>1</x:v>
      </x:c>
      <x:c r="L2068" s="13" t="b">
        <x:v>0</x:v>
      </x:c>
      <x:c r="M2068" s="13" t="b">
        <x:v>1</x:v>
      </x:c>
      <x:c r="N2068" s="2" t="str">
        <x:v>projected_CRISP_BU_surface</x:v>
      </x:c>
      <x:c r="O2068" s="2" t="str"/>
      <x:c r="P2068" s="2" t="str">
        <x:v>horizontal built-up surface</x:v>
      </x:c>
      <x:c r="Q2068" s="2" t="str">
        <x:v>m2</x:v>
      </x:c>
      <x:c r="R2068" s="17" t="n">
        <x:v>296124201.02924514</x:v>
      </x:c>
      <x:c r="S2068" s="17" t="n">
        <x:v>143367071.73</x:v>
      </x:c>
      <x:c r="T2068" s="18" t="n">
        <x:v>1.0852885927183318</x:v>
      </x:c>
      <x:c r="U2068" s="17" t="n">
        <x:v>155594647.5199998</x:v>
      </x:c>
      <x:c r="V2068" s="2" t="str">
        <x:v>Area equivalent = model2020 * WUP surface / TEMPO2020 footprint; km2 multiplied by1e6 once</x:v>
      </x:c>
      <x:c r="W2068" s="2" t="str">
        <x:v>L1_numeric_partition_qualified_not_national_completeness</x:v>
      </x:c>
      <x:c r="X2068" s="2" t="str">
        <x:v>https://human-settlement.emergency.copernicus.eu/datasets.php</x:v>
      </x:c>
    </x:row>
    <x:row r="2069" ht="23" customHeight="1">
      <x:c r="A2069" s="2" t="str">
        <x:v>LAO</x:v>
      </x:c>
      <x:c r="B2069" s="2" t="str">
        <x:v>Lao People's Democratic Republic</x:v>
      </x:c>
      <x:c r="C2069" s="2" t="n">
        <x:v>2030</x:v>
      </x:c>
      <x:c r="D2069" s="2" t="str">
        <x:v>WUP_SURFACE</x:v>
      </x:c>
      <x:c r="E2069" s="17" t="n">
        <x:v>435486688.0907091</x:v>
      </x:c>
      <x:c r="F2069" s="17" t="n">
        <x:f>IF(AND(M2069,ISNUMBER(R2069)),IF(D2069="TEMPO_PROXY",R2069,IF(AND(ISNUMBER(S2069),S2069&gt;0,ISNUMBER(U2069)),U2069*R2069/S2069,"n.a.")),"n.a.")</x:f>
        <x:v>441835703.1377987</x:v>
      </x:c>
      <x:c r="G2069" s="17" t="n">
        <x:f>IF(AND(ISNUMBER(E2069),ISNUMBER(F2069)),E2069-F2069,"n.a.")</x:f>
        <x:v>-6349015.047089636</x:v>
      </x:c>
      <x:c r="H2069" s="15" t="n">
        <x:f>IF(AND(ISNUMBER(E2069),ISNUMBER(F2069),F2069&gt;0),(E2069-F2069)/F2069,"n.a.")</x:f>
        <x:v>-0.014369628805460114</x:v>
      </x:c>
      <x:c r="I2069" s="19" t="n">
        <x:f>IF(ISNUMBER(H2069),ABS(H2069),"n.a.")</x:f>
        <x:v>0.014369628805460114</x:v>
      </x:c>
      <x:c r="J2069" s="2" t="str">
        <x:v>available</x:v>
      </x:c>
      <x:c r="K2069" s="2" t="n">
        <x:v>1</x:v>
      </x:c>
      <x:c r="L2069" s="13" t="b">
        <x:v>0</x:v>
      </x:c>
      <x:c r="M2069" s="13" t="b">
        <x:v>1</x:v>
      </x:c>
      <x:c r="N2069" s="2" t="str">
        <x:v>projected_CRISP_BU_surface</x:v>
      </x:c>
      <x:c r="O2069" s="2" t="str"/>
      <x:c r="P2069" s="2" t="str">
        <x:v>horizontal built-up surface</x:v>
      </x:c>
      <x:c r="Q2069" s="2" t="str">
        <x:v>m2</x:v>
      </x:c>
      <x:c r="R2069" s="17" t="n">
        <x:v>441835703.13779896</x:v>
      </x:c>
      <x:c r="S2069" s="17" t="n">
        <x:v>333393295.19</x:v>
      </x:c>
      <x:c r="T2069" s="18" t="n">
        <x:v>0.9999999999999994</x:v>
      </x:c>
      <x:c r="U2069" s="17" t="n">
        <x:v>333393295.1899998</x:v>
      </x:c>
      <x:c r="V2069" s="2" t="str">
        <x:v>Area equivalent = model2020 * WUP surface / TEMPO2020 footprint; km2 multiplied by1e6 once</x:v>
      </x:c>
      <x:c r="W2069" s="2" t="str">
        <x:v>L1_numeric_partition_qualified_not_national_completeness</x:v>
      </x:c>
      <x:c r="X2069" s="2" t="str">
        <x:v>https://human-settlement.emergency.copernicus.eu/datasets.php</x:v>
      </x:c>
    </x:row>
    <x:row r="2070" ht="23" customHeight="1">
      <x:c r="A2070" s="2" t="str">
        <x:v>LBN</x:v>
      </x:c>
      <x:c r="B2070" s="2" t="str">
        <x:v>Lebanon (Lebanese Republic)</x:v>
      </x:c>
      <x:c r="C2070" s="2" t="n">
        <x:v>2030</x:v>
      </x:c>
      <x:c r="D2070" s="2" t="str">
        <x:v>WUP_SURFACE</x:v>
      </x:c>
      <x:c r="E2070" s="17" t="n">
        <x:v>276391661.2821487</x:v>
      </x:c>
      <x:c r="F2070" s="17" t="n">
        <x:f>IF(AND(M2070,ISNUMBER(R2070)),IF(D2070="TEMPO_PROXY",R2070,IF(AND(ISNUMBER(S2070),S2070&gt;0,ISNUMBER(U2070)),U2070*R2070/S2070,"n.a.")),"n.a.")</x:f>
        <x:v>360349338.4491768</x:v>
      </x:c>
      <x:c r="G2070" s="17" t="n">
        <x:f>IF(AND(ISNUMBER(E2070),ISNUMBER(F2070)),E2070-F2070,"n.a.")</x:f>
        <x:v>-83957677.16702807</x:v>
      </x:c>
      <x:c r="H2070" s="15" t="n">
        <x:f>IF(AND(ISNUMBER(E2070),ISNUMBER(F2070),F2070&gt;0),(E2070-F2070)/F2070,"n.a.")</x:f>
        <x:v>-0.23298968031509057</x:v>
      </x:c>
      <x:c r="I2070" s="19" t="n">
        <x:f>IF(ISNUMBER(H2070),ABS(H2070),"n.a.")</x:f>
        <x:v>0.23298968031509057</x:v>
      </x:c>
      <x:c r="J2070" s="2" t="str">
        <x:v>available</x:v>
      </x:c>
      <x:c r="K2070" s="2" t="n">
        <x:v>1</x:v>
      </x:c>
      <x:c r="L2070" s="13" t="b">
        <x:v>0</x:v>
      </x:c>
      <x:c r="M2070" s="13" t="b">
        <x:v>1</x:v>
      </x:c>
      <x:c r="N2070" s="2" t="str">
        <x:v>projected_CRISP_BU_surface</x:v>
      </x:c>
      <x:c r="O2070" s="2" t="str"/>
      <x:c r="P2070" s="2" t="str">
        <x:v>horizontal built-up surface</x:v>
      </x:c>
      <x:c r="Q2070" s="2" t="str">
        <x:v>m2</x:v>
      </x:c>
      <x:c r="R2070" s="17" t="n">
        <x:v>354084909.73780066</x:v>
      </x:c>
      <x:c r="S2070" s="17" t="n">
        <x:v>222783609.45</x:v>
      </x:c>
      <x:c r="T2070" s="18" t="n">
        <x:v>1.0176918827634165</x:v>
      </x:c>
      <x:c r="U2070" s="17" t="n">
        <x:v>226725070.95000017</x:v>
      </x:c>
      <x:c r="V2070" s="2" t="str">
        <x:v>Area equivalent = model2020 * WUP surface / TEMPO2020 footprint; km2 multiplied by1e6 once</x:v>
      </x:c>
      <x:c r="W2070" s="2" t="str">
        <x:v>L1_numeric_partition_qualified_not_national_completeness</x:v>
      </x:c>
      <x:c r="X2070" s="2" t="str">
        <x:v>https://human-settlement.emergency.copernicus.eu/datasets.php</x:v>
      </x:c>
    </x:row>
    <x:row r="2071" ht="23" customHeight="1">
      <x:c r="A2071" s="2" t="str">
        <x:v>LBR</x:v>
      </x:c>
      <x:c r="B2071" s="2" t="str">
        <x:v>Liberia (Republic of)</x:v>
      </x:c>
      <x:c r="C2071" s="2" t="n">
        <x:v>2030</x:v>
      </x:c>
      <x:c r="D2071" s="2" t="str">
        <x:v>WUP_SURFACE</x:v>
      </x:c>
      <x:c r="E2071" s="17" t="n">
        <x:v>129538130.15729399</x:v>
      </x:c>
      <x:c r="F2071" s="17" t="n">
        <x:f>IF(AND(M2071,ISNUMBER(R2071)),IF(D2071="TEMPO_PROXY",R2071,IF(AND(ISNUMBER(S2071),S2071&gt;0,ISNUMBER(U2071)),U2071*R2071/S2071,"n.a.")),"n.a.")</x:f>
        <x:v>274584548.13546336</x:v>
      </x:c>
      <x:c r="G2071" s="17" t="n">
        <x:f>IF(AND(ISNUMBER(E2071),ISNUMBER(F2071)),E2071-F2071,"n.a.")</x:f>
        <x:v>-145046417.97816938</x:v>
      </x:c>
      <x:c r="H2071" s="15" t="n">
        <x:f>IF(AND(ISNUMBER(E2071),ISNUMBER(F2071),F2071&gt;0),(E2071-F2071)/F2071,"n.a.")</x:f>
        <x:v>-0.5282395493959561</x:v>
      </x:c>
      <x:c r="I2071" s="19" t="n">
        <x:f>IF(ISNUMBER(H2071),ABS(H2071),"n.a.")</x:f>
        <x:v>0.5282395493959561</x:v>
      </x:c>
      <x:c r="J2071" s="2" t="str">
        <x:v>available</x:v>
      </x:c>
      <x:c r="K2071" s="2" t="n">
        <x:v>1</x:v>
      </x:c>
      <x:c r="L2071" s="13" t="b">
        <x:v>0</x:v>
      </x:c>
      <x:c r="M2071" s="13" t="b">
        <x:v>1</x:v>
      </x:c>
      <x:c r="N2071" s="2" t="str">
        <x:v>projected_CRISP_BU_surface</x:v>
      </x:c>
      <x:c r="O2071" s="2" t="str"/>
      <x:c r="P2071" s="2" t="str">
        <x:v>horizontal built-up surface</x:v>
      </x:c>
      <x:c r="Q2071" s="2" t="str">
        <x:v>m2</x:v>
      </x:c>
      <x:c r="R2071" s="17" t="n">
        <x:v>274584548.13546294</x:v>
      </x:c>
      <x:c r="S2071" s="17" t="n">
        <x:v>93713430.84</x:v>
      </x:c>
      <x:c r="T2071" s="18" t="n">
        <x:v>1.0000000000000013</x:v>
      </x:c>
      <x:c r="U2071" s="17" t="n">
        <x:v>93713430.84000014</x:v>
      </x:c>
      <x:c r="V2071" s="2" t="str">
        <x:v>Area equivalent = model2020 * WUP surface / TEMPO2020 footprint; km2 multiplied by1e6 once</x:v>
      </x:c>
      <x:c r="W2071" s="2" t="str">
        <x:v>L1_numeric_partition_qualified_not_national_completeness</x:v>
      </x:c>
      <x:c r="X2071" s="2" t="str">
        <x:v>https://human-settlement.emergency.copernicus.eu/datasets.php</x:v>
      </x:c>
    </x:row>
    <x:row r="2072" ht="23" customHeight="1">
      <x:c r="A2072" s="2" t="str">
        <x:v>LBY</x:v>
      </x:c>
      <x:c r="B2072" s="2" t="str">
        <x:v>Libya (State of)</x:v>
      </x:c>
      <x:c r="C2072" s="2" t="n">
        <x:v>2030</x:v>
      </x:c>
      <x:c r="D2072" s="2" t="str">
        <x:v>WUP_SURFACE</x:v>
      </x:c>
      <x:c r="E2072" s="17" t="n">
        <x:v>591899217.0648397</x:v>
      </x:c>
      <x:c r="F2072" s="17" t="n">
        <x:f>IF(AND(M2072,ISNUMBER(R2072)),IF(D2072="TEMPO_PROXY",R2072,IF(AND(ISNUMBER(S2072),S2072&gt;0,ISNUMBER(U2072)),U2072*R2072/S2072,"n.a.")),"n.a.")</x:f>
        <x:v>1136782217.2749934</x:v>
      </x:c>
      <x:c r="G2072" s="17" t="n">
        <x:f>IF(AND(ISNUMBER(E2072),ISNUMBER(F2072)),E2072-F2072,"n.a.")</x:f>
        <x:v>-544883000.2101537</x:v>
      </x:c>
      <x:c r="H2072" s="15" t="n">
        <x:f>IF(AND(ISNUMBER(E2072),ISNUMBER(F2072),F2072&gt;0),(E2072-F2072)/F2072,"n.a.")</x:f>
        <x:v>-0.4793204819092835</x:v>
      </x:c>
      <x:c r="I2072" s="19" t="n">
        <x:f>IF(ISNUMBER(H2072),ABS(H2072),"n.a.")</x:f>
        <x:v>0.4793204819092835</x:v>
      </x:c>
      <x:c r="J2072" s="2" t="str">
        <x:v>available</x:v>
      </x:c>
      <x:c r="K2072" s="2" t="n">
        <x:v>1</x:v>
      </x:c>
      <x:c r="L2072" s="13" t="b">
        <x:v>0</x:v>
      </x:c>
      <x:c r="M2072" s="13" t="b">
        <x:v>1</x:v>
      </x:c>
      <x:c r="N2072" s="2" t="str">
        <x:v>projected_CRISP_BU_surface</x:v>
      </x:c>
      <x:c r="O2072" s="2" t="str"/>
      <x:c r="P2072" s="2" t="str">
        <x:v>horizontal built-up surface</x:v>
      </x:c>
      <x:c r="Q2072" s="2" t="str">
        <x:v>m2</x:v>
      </x:c>
      <x:c r="R2072" s="17" t="n">
        <x:v>1136782217.2749925</x:v>
      </x:c>
      <x:c r="S2072" s="17" t="n">
        <x:v>523048577.3</x:v>
      </x:c>
      <x:c r="T2072" s="18" t="n">
        <x:v>1.0000000000000009</x:v>
      </x:c>
      <x:c r="U2072" s="17" t="n">
        <x:v>523048577.3000005</x:v>
      </x:c>
      <x:c r="V2072" s="2" t="str">
        <x:v>Area equivalent = model2020 * WUP surface / TEMPO2020 footprint; km2 multiplied by1e6 once</x:v>
      </x:c>
      <x:c r="W2072" s="2" t="str">
        <x:v>L1_numeric_partition_qualified_not_national_completeness</x:v>
      </x:c>
      <x:c r="X2072" s="2" t="str">
        <x:v>https://human-settlement.emergency.copernicus.eu/datasets.php</x:v>
      </x:c>
    </x:row>
    <x:row r="2073" ht="23" customHeight="1">
      <x:c r="A2073" s="2" t="str">
        <x:v>LCA</x:v>
      </x:c>
      <x:c r="B2073" s="2" t="str">
        <x:v>Saint Lucia</x:v>
      </x:c>
      <x:c r="C2073" s="2" t="n">
        <x:v>2030</x:v>
      </x:c>
      <x:c r="D2073" s="2" t="str">
        <x:v>WUP_SURFACE</x:v>
      </x:c>
      <x:c r="E2073" s="17" t="n">
        <x:v>12017226.335812932</x:v>
      </x:c>
      <x:c r="F2073" s="17" t="n">
        <x:f>IF(AND(M2073,ISNUMBER(R2073)),IF(D2073="TEMPO_PROXY",R2073,IF(AND(ISNUMBER(S2073),S2073&gt;0,ISNUMBER(U2073)),U2073*R2073/S2073,"n.a.")),"n.a.")</x:f>
        <x:v>18329689.906986494</x:v>
      </x:c>
      <x:c r="G2073" s="17" t="n">
        <x:f>IF(AND(ISNUMBER(E2073),ISNUMBER(F2073)),E2073-F2073,"n.a.")</x:f>
        <x:v>-6312463.571173562</x:v>
      </x:c>
      <x:c r="H2073" s="15" t="n">
        <x:f>IF(AND(ISNUMBER(E2073),ISNUMBER(F2073),F2073&gt;0),(E2073-F2073)/F2073,"n.a.")</x:f>
        <x:v>-0.3443846351578223</x:v>
      </x:c>
      <x:c r="I2073" s="19" t="n">
        <x:f>IF(ISNUMBER(H2073),ABS(H2073),"n.a.")</x:f>
        <x:v>0.3443846351578223</x:v>
      </x:c>
      <x:c r="J2073" s="2" t="str">
        <x:v>available</x:v>
      </x:c>
      <x:c r="K2073" s="2" t="n">
        <x:v>1</x:v>
      </x:c>
      <x:c r="L2073" s="13" t="b">
        <x:v>0</x:v>
      </x:c>
      <x:c r="M2073" s="13" t="b">
        <x:v>1</x:v>
      </x:c>
      <x:c r="N2073" s="2" t="str">
        <x:v>projected_CRISP_BU_surface</x:v>
      </x:c>
      <x:c r="O2073" s="2" t="str"/>
      <x:c r="P2073" s="2" t="str">
        <x:v>horizontal built-up surface</x:v>
      </x:c>
      <x:c r="Q2073" s="2" t="str">
        <x:v>m2</x:v>
      </x:c>
      <x:c r="R2073" s="17" t="n">
        <x:v>18329689.90698646</x:v>
      </x:c>
      <x:c r="S2073" s="17" t="n">
        <x:v>10226894.6</x:v>
      </x:c>
      <x:c r="T2073" s="18" t="n">
        <x:v>1.0000000000000018</x:v>
      </x:c>
      <x:c r="U2073" s="17" t="n">
        <x:v>10226894.600000018</x:v>
      </x:c>
      <x:c r="V2073" s="2" t="str">
        <x:v>Area equivalent = model2020 * WUP surface / TEMPO2020 footprint; km2 multiplied by1e6 once</x:v>
      </x:c>
      <x:c r="W2073" s="2" t="str">
        <x:v>L1_numeric_partition_qualified_not_national_completeness</x:v>
      </x:c>
      <x:c r="X2073" s="2" t="str">
        <x:v>https://human-settlement.emergency.copernicus.eu/datasets.php</x:v>
      </x:c>
    </x:row>
    <x:row r="2074" ht="23" customHeight="1">
      <x:c r="A2074" s="2" t="str">
        <x:v>LIE</x:v>
      </x:c>
      <x:c r="B2074" s="2" t="str">
        <x:v>Liechtenstein (Principality of)</x:v>
      </x:c>
      <x:c r="C2074" s="2" t="n">
        <x:v>2030</x:v>
      </x:c>
      <x:c r="D2074" s="2" t="str">
        <x:v>WUP_SURFACE</x:v>
      </x:c>
      <x:c r="E2074" s="17" t="n">
        <x:v>4794074.955610487</x:v>
      </x:c>
      <x:c r="F2074" s="17" t="n">
        <x:f>IF(AND(M2074,ISNUMBER(R2074)),IF(D2074="TEMPO_PROXY",R2074,IF(AND(ISNUMBER(S2074),S2074&gt;0,ISNUMBER(U2074)),U2074*R2074/S2074,"n.a.")),"n.a.")</x:f>
        <x:v>6940318.34647591</x:v>
      </x:c>
      <x:c r="G2074" s="17" t="n">
        <x:f>IF(AND(ISNUMBER(E2074),ISNUMBER(F2074)),E2074-F2074,"n.a.")</x:f>
        <x:v>-2146243.3908654237</x:v>
      </x:c>
      <x:c r="H2074" s="15" t="n">
        <x:f>IF(AND(ISNUMBER(E2074),ISNUMBER(F2074),F2074&gt;0),(E2074-F2074)/F2074,"n.a.")</x:f>
        <x:v>-0.3092427873939274</x:v>
      </x:c>
      <x:c r="I2074" s="19" t="n">
        <x:f>IF(ISNUMBER(H2074),ABS(H2074),"n.a.")</x:f>
        <x:v>0.3092427873939274</x:v>
      </x:c>
      <x:c r="J2074" s="2" t="str">
        <x:v>available</x:v>
      </x:c>
      <x:c r="K2074" s="2" t="n">
        <x:v>1</x:v>
      </x:c>
      <x:c r="L2074" s="13" t="b">
        <x:v>0</x:v>
      </x:c>
      <x:c r="M2074" s="13" t="b">
        <x:v>1</x:v>
      </x:c>
      <x:c r="N2074" s="2" t="str">
        <x:v>projected_CRISP_BU_surface</x:v>
      </x:c>
      <x:c r="O2074" s="2" t="str"/>
      <x:c r="P2074" s="2" t="str">
        <x:v>horizontal built-up surface</x:v>
      </x:c>
      <x:c r="Q2074" s="2" t="str">
        <x:v>m2</x:v>
      </x:c>
      <x:c r="R2074" s="17" t="n">
        <x:v>6732146.082428698</x:v>
      </x:c>
      <x:c r="S2074" s="17" t="n">
        <x:v>3519854.45</x:v>
      </x:c>
      <x:c r="T2074" s="18" t="n">
        <x:v>1.0309221252032177</x:v>
      </x:c>
      <x:c r="U2074" s="17" t="n">
        <x:v>3628695.830000003</x:v>
      </x:c>
      <x:c r="V2074" s="2" t="str">
        <x:v>Area equivalent = model2020 * WUP surface / TEMPO2020 footprint; km2 multiplied by1e6 once</x:v>
      </x:c>
      <x:c r="W2074" s="2" t="str">
        <x:v>L1_numeric_partition_qualified_not_national_completeness</x:v>
      </x:c>
      <x:c r="X2074" s="2" t="str">
        <x:v>https://human-settlement.emergency.copernicus.eu/datasets.php</x:v>
      </x:c>
    </x:row>
    <x:row r="2075" ht="23" customHeight="1">
      <x:c r="A2075" s="2" t="str">
        <x:v>LKA</x:v>
      </x:c>
      <x:c r="B2075" s="2" t="str">
        <x:v>Sri Lanka (Democratic Socialist Republic of)</x:v>
      </x:c>
      <x:c r="C2075" s="2" t="n">
        <x:v>2030</x:v>
      </x:c>
      <x:c r="D2075" s="2" t="str">
        <x:v>WUP_SURFACE</x:v>
      </x:c>
      <x:c r="E2075" s="17" t="n">
        <x:v>1109610625.253043</x:v>
      </x:c>
      <x:c r="F2075" s="17" t="n">
        <x:f>IF(AND(M2075,ISNUMBER(R2075)),IF(D2075="TEMPO_PROXY",R2075,IF(AND(ISNUMBER(S2075),S2075&gt;0,ISNUMBER(U2075)),U2075*R2075/S2075,"n.a.")),"n.a.")</x:f>
        <x:v>1210572690.713537</x:v>
      </x:c>
      <x:c r="G2075" s="17" t="n">
        <x:f>IF(AND(ISNUMBER(E2075),ISNUMBER(F2075)),E2075-F2075,"n.a.")</x:f>
        <x:v>-100962065.46049404</x:v>
      </x:c>
      <x:c r="H2075" s="15" t="n">
        <x:f>IF(AND(ISNUMBER(E2075),ISNUMBER(F2075),F2075&gt;0),(E2075-F2075)/F2075,"n.a.")</x:f>
        <x:v>-0.0834002503401798</x:v>
      </x:c>
      <x:c r="I2075" s="19" t="n">
        <x:f>IF(ISNUMBER(H2075),ABS(H2075),"n.a.")</x:f>
        <x:v>0.0834002503401798</x:v>
      </x:c>
      <x:c r="J2075" s="2" t="str">
        <x:v>available</x:v>
      </x:c>
      <x:c r="K2075" s="2" t="n">
        <x:v>1</x:v>
      </x:c>
      <x:c r="L2075" s="13" t="b">
        <x:v>0</x:v>
      </x:c>
      <x:c r="M2075" s="13" t="b">
        <x:v>1</x:v>
      </x:c>
      <x:c r="N2075" s="2" t="str">
        <x:v>projected_CRISP_BU_surface</x:v>
      </x:c>
      <x:c r="O2075" s="2" t="str"/>
      <x:c r="P2075" s="2" t="str">
        <x:v>horizontal built-up surface</x:v>
      </x:c>
      <x:c r="Q2075" s="2" t="str">
        <x:v>m2</x:v>
      </x:c>
      <x:c r="R2075" s="17" t="n">
        <x:v>1210572690.7135358</x:v>
      </x:c>
      <x:c r="S2075" s="17" t="n">
        <x:v>899293602.29</x:v>
      </x:c>
      <x:c r="T2075" s="18" t="n">
        <x:v>1.0000000000000009</x:v>
      </x:c>
      <x:c r="U2075" s="17" t="n">
        <x:v>899293602.2900008</x:v>
      </x:c>
      <x:c r="V2075" s="2" t="str">
        <x:v>Area equivalent = model2020 * WUP surface / TEMPO2020 footprint; km2 multiplied by1e6 once</x:v>
      </x:c>
      <x:c r="W2075" s="2" t="str">
        <x:v>L1_numeric_partition_qualified_not_national_completeness</x:v>
      </x:c>
      <x:c r="X2075" s="2" t="str">
        <x:v>https://human-settlement.emergency.copernicus.eu/datasets.php</x:v>
      </x:c>
    </x:row>
    <x:row r="2076" ht="23" customHeight="1">
      <x:c r="A2076" s="2" t="str">
        <x:v>LSO</x:v>
      </x:c>
      <x:c r="B2076" s="2" t="str">
        <x:v>Lesotho (Kingdom of)</x:v>
      </x:c>
      <x:c r="C2076" s="2" t="n">
        <x:v>2030</x:v>
      </x:c>
      <x:c r="D2076" s="2" t="str">
        <x:v>WUP_SURFACE</x:v>
      </x:c>
      <x:c r="E2076" s="17" t="n">
        <x:v>71566396.29721332</x:v>
      </x:c>
      <x:c r="F2076" s="17" t="n">
        <x:f>IF(AND(M2076,ISNUMBER(R2076)),IF(D2076="TEMPO_PROXY",R2076,IF(AND(ISNUMBER(S2076),S2076&gt;0,ISNUMBER(U2076)),U2076*R2076/S2076,"n.a.")),"n.a.")</x:f>
        <x:v>246678064.3842405</x:v>
      </x:c>
      <x:c r="G2076" s="17" t="n">
        <x:f>IF(AND(ISNUMBER(E2076),ISNUMBER(F2076)),E2076-F2076,"n.a.")</x:f>
        <x:v>-175111668.0870272</x:v>
      </x:c>
      <x:c r="H2076" s="15" t="n">
        <x:f>IF(AND(ISNUMBER(E2076),ISNUMBER(F2076),F2076&gt;0),(E2076-F2076)/F2076,"n.a.")</x:f>
        <x:v>-0.7098793665506584</x:v>
      </x:c>
      <x:c r="I2076" s="19" t="n">
        <x:f>IF(ISNUMBER(H2076),ABS(H2076),"n.a.")</x:f>
        <x:v>0.7098793665506584</x:v>
      </x:c>
      <x:c r="J2076" s="2" t="str">
        <x:v>available</x:v>
      </x:c>
      <x:c r="K2076" s="2" t="n">
        <x:v>1</x:v>
      </x:c>
      <x:c r="L2076" s="13" t="b">
        <x:v>0</x:v>
      </x:c>
      <x:c r="M2076" s="13" t="b">
        <x:v>1</x:v>
      </x:c>
      <x:c r="N2076" s="2" t="str">
        <x:v>projected_CRISP_BU_surface</x:v>
      </x:c>
      <x:c r="O2076" s="2" t="str"/>
      <x:c r="P2076" s="2" t="str">
        <x:v>horizontal built-up surface</x:v>
      </x:c>
      <x:c r="Q2076" s="2" t="str">
        <x:v>m2</x:v>
      </x:c>
      <x:c r="R2076" s="17" t="n">
        <x:v>246678064.3842402</x:v>
      </x:c>
      <x:c r="S2076" s="17" t="n">
        <x:v>60655167.15</x:v>
      </x:c>
      <x:c r="T2076" s="18" t="n">
        <x:v>1.0000000000000013</x:v>
      </x:c>
      <x:c r="U2076" s="17" t="n">
        <x:v>60655167.15000007</x:v>
      </x:c>
      <x:c r="V2076" s="2" t="str">
        <x:v>Area equivalent = model2020 * WUP surface / TEMPO2020 footprint; km2 multiplied by1e6 once</x:v>
      </x:c>
      <x:c r="W2076" s="2" t="str">
        <x:v>L1_numeric_partition_qualified_not_national_completeness</x:v>
      </x:c>
      <x:c r="X2076" s="2" t="str">
        <x:v>https://human-settlement.emergency.copernicus.eu/datasets.php</x:v>
      </x:c>
    </x:row>
    <x:row r="2077" ht="23" customHeight="1">
      <x:c r="A2077" s="2" t="str">
        <x:v>LTU</x:v>
      </x:c>
      <x:c r="B2077" s="2" t="str">
        <x:v>Lithuania (Republic of)</x:v>
      </x:c>
      <x:c r="C2077" s="2" t="n">
        <x:v>2030</x:v>
      </x:c>
      <x:c r="D2077" s="2" t="str">
        <x:v>WUP_SURFACE</x:v>
      </x:c>
      <x:c r="E2077" s="17" t="n">
        <x:v>298842029.35083026</x:v>
      </x:c>
      <x:c r="F2077" s="17" t="n">
        <x:f>IF(AND(M2077,ISNUMBER(R2077)),IF(D2077="TEMPO_PROXY",R2077,IF(AND(ISNUMBER(S2077),S2077&gt;0,ISNUMBER(U2077)),U2077*R2077/S2077,"n.a.")),"n.a.")</x:f>
        <x:v>529459808.00866026</x:v>
      </x:c>
      <x:c r="G2077" s="17" t="n">
        <x:f>IF(AND(ISNUMBER(E2077),ISNUMBER(F2077)),E2077-F2077,"n.a.")</x:f>
        <x:v>-230617778.65783</x:v>
      </x:c>
      <x:c r="H2077" s="15" t="n">
        <x:f>IF(AND(ISNUMBER(E2077),ISNUMBER(F2077),F2077&gt;0),(E2077-F2077)/F2077,"n.a.")</x:f>
        <x:v>-0.4355718322136698</x:v>
      </x:c>
      <x:c r="I2077" s="19" t="n">
        <x:f>IF(ISNUMBER(H2077),ABS(H2077),"n.a.")</x:f>
        <x:v>0.4355718322136698</x:v>
      </x:c>
      <x:c r="J2077" s="2" t="str">
        <x:v>available</x:v>
      </x:c>
      <x:c r="K2077" s="2" t="n">
        <x:v>1</x:v>
      </x:c>
      <x:c r="L2077" s="13" t="b">
        <x:v>0</x:v>
      </x:c>
      <x:c r="M2077" s="13" t="b">
        <x:v>1</x:v>
      </x:c>
      <x:c r="N2077" s="2" t="str">
        <x:v>projected_CRISP_BU_surface</x:v>
      </x:c>
      <x:c r="O2077" s="2" t="str"/>
      <x:c r="P2077" s="2" t="str">
        <x:v>horizontal built-up surface</x:v>
      </x:c>
      <x:c r="Q2077" s="2" t="str">
        <x:v>m2</x:v>
      </x:c>
      <x:c r="R2077" s="17" t="n">
        <x:v>529459808.00866085</x:v>
      </x:c>
      <x:c r="S2077" s="17" t="n">
        <x:v>269070067.62</x:v>
      </x:c>
      <x:c r="T2077" s="18" t="n">
        <x:v>0.9999999999999989</x:v>
      </x:c>
      <x:c r="U2077" s="17" t="n">
        <x:v>269070067.6199997</x:v>
      </x:c>
      <x:c r="V2077" s="2" t="str">
        <x:v>Area equivalent = model2020 * WUP surface / TEMPO2020 footprint; km2 multiplied by1e6 once</x:v>
      </x:c>
      <x:c r="W2077" s="2" t="str">
        <x:v>L1_numeric_partition_qualified_not_national_completeness</x:v>
      </x:c>
      <x:c r="X2077" s="2" t="str">
        <x:v>https://human-settlement.emergency.copernicus.eu/datasets.php</x:v>
      </x:c>
    </x:row>
    <x:row r="2078" ht="23" customHeight="1">
      <x:c r="A2078" s="2" t="str">
        <x:v>LUX</x:v>
      </x:c>
      <x:c r="B2078" s="2" t="str">
        <x:v>Luxembourg (Grand Duchy of)</x:v>
      </x:c>
      <x:c r="C2078" s="2" t="n">
        <x:v>2030</x:v>
      </x:c>
      <x:c r="D2078" s="2" t="str">
        <x:v>WUP_SURFACE</x:v>
      </x:c>
      <x:c r="E2078" s="17" t="n">
        <x:v>68723504.30395404</x:v>
      </x:c>
      <x:c r="F2078" s="17" t="n">
        <x:f>IF(AND(M2078,ISNUMBER(R2078)),IF(D2078="TEMPO_PROXY",R2078,IF(AND(ISNUMBER(S2078),S2078&gt;0,ISNUMBER(U2078)),U2078*R2078/S2078,"n.a.")),"n.a.")</x:f>
        <x:v>107174806.96455441</x:v>
      </x:c>
      <x:c r="G2078" s="17" t="n">
        <x:f>IF(AND(ISNUMBER(E2078),ISNUMBER(F2078)),E2078-F2078,"n.a.")</x:f>
        <x:v>-38451302.66060038</x:v>
      </x:c>
      <x:c r="H2078" s="15" t="n">
        <x:f>IF(AND(ISNUMBER(E2078),ISNUMBER(F2078),F2078&gt;0),(E2078-F2078)/F2078,"n.a.")</x:f>
        <x:v>-0.3587718396667349</x:v>
      </x:c>
      <x:c r="I2078" s="19" t="n">
        <x:f>IF(ISNUMBER(H2078),ABS(H2078),"n.a.")</x:f>
        <x:v>0.3587718396667349</x:v>
      </x:c>
      <x:c r="J2078" s="2" t="str">
        <x:v>available</x:v>
      </x:c>
      <x:c r="K2078" s="2" t="n">
        <x:v>1</x:v>
      </x:c>
      <x:c r="L2078" s="13" t="b">
        <x:v>0</x:v>
      </x:c>
      <x:c r="M2078" s="13" t="b">
        <x:v>1</x:v>
      </x:c>
      <x:c r="N2078" s="2" t="str">
        <x:v>projected_CRISP_BU_surface</x:v>
      </x:c>
      <x:c r="O2078" s="2" t="str"/>
      <x:c r="P2078" s="2" t="str">
        <x:v>horizontal built-up surface</x:v>
      </x:c>
      <x:c r="Q2078" s="2" t="str">
        <x:v>m2</x:v>
      </x:c>
      <x:c r="R2078" s="17" t="n">
        <x:v>94598218.3657252</x:v>
      </x:c>
      <x:c r="S2078" s="17" t="n">
        <x:v>43297332.17</x:v>
      </x:c>
      <x:c r="T2078" s="18" t="n">
        <x:v>1.132947415037004</x:v>
      </x:c>
      <x:c r="U2078" s="17" t="n">
        <x:v>49053600.56000002</x:v>
      </x:c>
      <x:c r="V2078" s="2" t="str">
        <x:v>Area equivalent = model2020 * WUP surface / TEMPO2020 footprint; km2 multiplied by1e6 once</x:v>
      </x:c>
      <x:c r="W2078" s="2" t="str">
        <x:v>L1_numeric_partition_qualified_not_national_completeness</x:v>
      </x:c>
      <x:c r="X2078" s="2" t="str">
        <x:v>https://human-settlement.emergency.copernicus.eu/datasets.php</x:v>
      </x:c>
    </x:row>
    <x:row r="2079" ht="23" customHeight="1">
      <x:c r="A2079" s="2" t="str">
        <x:v>LVA</x:v>
      </x:c>
      <x:c r="B2079" s="2" t="str">
        <x:v>Latvia (Republic of)</x:v>
      </x:c>
      <x:c r="C2079" s="2" t="n">
        <x:v>2030</x:v>
      </x:c>
      <x:c r="D2079" s="2" t="str">
        <x:v>WUP_SURFACE</x:v>
      </x:c>
      <x:c r="E2079" s="17" t="n">
        <x:v>164662019.74245363</x:v>
      </x:c>
      <x:c r="F2079" s="17" t="n">
        <x:f>IF(AND(M2079,ISNUMBER(R2079)),IF(D2079="TEMPO_PROXY",R2079,IF(AND(ISNUMBER(S2079),S2079&gt;0,ISNUMBER(U2079)),U2079*R2079/S2079,"n.a.")),"n.a.")</x:f>
        <x:v>289850406.46336794</x:v>
      </x:c>
      <x:c r="G2079" s="17" t="n">
        <x:f>IF(AND(ISNUMBER(E2079),ISNUMBER(F2079)),E2079-F2079,"n.a.")</x:f>
        <x:v>-125188386.7209143</x:v>
      </x:c>
      <x:c r="H2079" s="15" t="n">
        <x:f>IF(AND(ISNUMBER(E2079),ISNUMBER(F2079),F2079&gt;0),(E2079-F2079)/F2079,"n.a.")</x:f>
        <x:v>-0.4319068868952438</x:v>
      </x:c>
      <x:c r="I2079" s="19" t="n">
        <x:f>IF(ISNUMBER(H2079),ABS(H2079),"n.a.")</x:f>
        <x:v>0.4319068868952438</x:v>
      </x:c>
      <x:c r="J2079" s="2" t="str">
        <x:v>available</x:v>
      </x:c>
      <x:c r="K2079" s="2" t="n">
        <x:v>1</x:v>
      </x:c>
      <x:c r="L2079" s="13" t="b">
        <x:v>0</x:v>
      </x:c>
      <x:c r="M2079" s="13" t="b">
        <x:v>1</x:v>
      </x:c>
      <x:c r="N2079" s="2" t="str">
        <x:v>projected_CRISP_BU_surface</x:v>
      </x:c>
      <x:c r="O2079" s="2" t="str"/>
      <x:c r="P2079" s="2" t="str">
        <x:v>horizontal built-up surface</x:v>
      </x:c>
      <x:c r="Q2079" s="2" t="str">
        <x:v>m2</x:v>
      </x:c>
      <x:c r="R2079" s="17" t="n">
        <x:v>289850406.4633681</x:v>
      </x:c>
      <x:c r="S2079" s="17" t="n">
        <x:v>145154805.19</x:v>
      </x:c>
      <x:c r="T2079" s="18" t="n">
        <x:v>0.9999999999999993</x:v>
      </x:c>
      <x:c r="U2079" s="17" t="n">
        <x:v>145154805.1899999</x:v>
      </x:c>
      <x:c r="V2079" s="2" t="str">
        <x:v>Area equivalent = model2020 * WUP surface / TEMPO2020 footprint; km2 multiplied by1e6 once</x:v>
      </x:c>
      <x:c r="W2079" s="2" t="str">
        <x:v>L1_numeric_partition_qualified_not_national_completeness</x:v>
      </x:c>
      <x:c r="X2079" s="2" t="str">
        <x:v>https://human-settlement.emergency.copernicus.eu/datasets.php</x:v>
      </x:c>
    </x:row>
    <x:row r="2080" ht="23" customHeight="1">
      <x:c r="A2080" s="2" t="str">
        <x:v>MAR</x:v>
      </x:c>
      <x:c r="B2080" s="2" t="str">
        <x:v>Morocco (Kingdom of)</x:v>
      </x:c>
      <x:c r="C2080" s="2" t="n">
        <x:v>2030</x:v>
      </x:c>
      <x:c r="D2080" s="2" t="str">
        <x:v>WUP_SURFACE</x:v>
      </x:c>
      <x:c r="E2080" s="17" t="n">
        <x:v>1799003110.224297</x:v>
      </x:c>
      <x:c r="F2080" s="17" t="n">
        <x:f>IF(AND(M2080,ISNUMBER(R2080)),IF(D2080="TEMPO_PROXY",R2080,IF(AND(ISNUMBER(S2080),S2080&gt;0,ISNUMBER(U2080)),U2080*R2080/S2080,"n.a.")),"n.a.")</x:f>
        <x:v>1251049970.9731212</x:v>
      </x:c>
      <x:c r="G2080" s="17" t="n">
        <x:f>IF(AND(ISNUMBER(E2080),ISNUMBER(F2080)),E2080-F2080,"n.a.")</x:f>
        <x:v>547953139.2511759</x:v>
      </x:c>
      <x:c r="H2080" s="15" t="n">
        <x:f>IF(AND(ISNUMBER(E2080),ISNUMBER(F2080),F2080&gt;0),(E2080-F2080)/F2080,"n.a.")</x:f>
        <x:v>0.4379946061027075</x:v>
      </x:c>
      <x:c r="I2080" s="19" t="n">
        <x:f>IF(ISNUMBER(H2080),ABS(H2080),"n.a.")</x:f>
        <x:v>0.4379946061027075</x:v>
      </x:c>
      <x:c r="J2080" s="2" t="str">
        <x:v>available</x:v>
      </x:c>
      <x:c r="K2080" s="2" t="n">
        <x:v>1</x:v>
      </x:c>
      <x:c r="L2080" s="13" t="b">
        <x:v>0</x:v>
      </x:c>
      <x:c r="M2080" s="13" t="b">
        <x:v>1</x:v>
      </x:c>
      <x:c r="N2080" s="2" t="str">
        <x:v>projected_CRISP_BU_surface</x:v>
      </x:c>
      <x:c r="O2080" s="2" t="str"/>
      <x:c r="P2080" s="2" t="str">
        <x:v>horizontal built-up surface</x:v>
      </x:c>
      <x:c r="Q2080" s="2" t="str">
        <x:v>m2</x:v>
      </x:c>
      <x:c r="R2080" s="17" t="n">
        <x:v>1193504470.6922092</x:v>
      </x:c>
      <x:c r="S2080" s="17" t="n">
        <x:v>1189658461.93</x:v>
      </x:c>
      <x:c r="T2080" s="18" t="n">
        <x:v>1.0482155716161974</x:v>
      </x:c>
      <x:c r="U2080" s="17" t="n">
        <x:v>1247018524.7000012</x:v>
      </x:c>
      <x:c r="V2080" s="2" t="str">
        <x:v>Area equivalent = model2020 * WUP surface / TEMPO2020 footprint; km2 multiplied by1e6 once</x:v>
      </x:c>
      <x:c r="W2080" s="2" t="str">
        <x:v>L1_numeric_partition_qualified_not_national_completeness</x:v>
      </x:c>
      <x:c r="X2080" s="2" t="str">
        <x:v>https://human-settlement.emergency.copernicus.eu/datasets.php</x:v>
      </x:c>
    </x:row>
    <x:row r="2081" ht="23" customHeight="1">
      <x:c r="A2081" s="2" t="str">
        <x:v>MCO</x:v>
      </x:c>
      <x:c r="B2081" s="2" t="str">
        <x:v>Monaco (Principality of)</x:v>
      </x:c>
      <x:c r="C2081" s="2" t="n">
        <x:v>2030</x:v>
      </x:c>
      <x:c r="D2081" s="2" t="str">
        <x:v>WUP_SURFACE</x:v>
      </x:c>
      <x:c r="E2081" s="17" t="n">
        <x:v>2030703.7802541028</x:v>
      </x:c>
      <x:c r="F2081" s="17" t="n">
        <x:f>IF(AND(M2081,ISNUMBER(R2081)),IF(D2081="TEMPO_PROXY",R2081,IF(AND(ISNUMBER(S2081),S2081&gt;0,ISNUMBER(U2081)),U2081*R2081/S2081,"n.a.")),"n.a.")</x:f>
        <x:v>2740237.250485446</x:v>
      </x:c>
      <x:c r="G2081" s="17" t="n">
        <x:f>IF(AND(ISNUMBER(E2081),ISNUMBER(F2081)),E2081-F2081,"n.a.")</x:f>
        <x:v>-709533.4702313431</x:v>
      </x:c>
      <x:c r="H2081" s="15" t="n">
        <x:f>IF(AND(ISNUMBER(E2081),ISNUMBER(F2081),F2081&gt;0),(E2081-F2081)/F2081,"n.a.")</x:f>
        <x:v>-0.25893140096013434</x:v>
      </x:c>
      <x:c r="I2081" s="19" t="n">
        <x:f>IF(ISNUMBER(H2081),ABS(H2081),"n.a.")</x:f>
        <x:v>0.25893140096013434</x:v>
      </x:c>
      <x:c r="J2081" s="2" t="str">
        <x:v>available</x:v>
      </x:c>
      <x:c r="K2081" s="2" t="n">
        <x:v>1</x:v>
      </x:c>
      <x:c r="L2081" s="13" t="b">
        <x:v>0</x:v>
      </x:c>
      <x:c r="M2081" s="13" t="b">
        <x:v>1</x:v>
      </x:c>
      <x:c r="N2081" s="2" t="str">
        <x:v>projected_CRISP_BU_surface</x:v>
      </x:c>
      <x:c r="O2081" s="2" t="str"/>
      <x:c r="P2081" s="2" t="str">
        <x:v>horizontal built-up surface</x:v>
      </x:c>
      <x:c r="Q2081" s="2" t="str">
        <x:v>m2</x:v>
      </x:c>
      <x:c r="R2081" s="17" t="n">
        <x:v>973150.463309139</x:v>
      </x:c>
      <x:c r="S2081" s="17" t="n">
        <x:v>555169</x:v>
      </x:c>
      <x:c r="T2081" s="18" t="n">
        <x:v>2.8158412843656624</x:v>
      </x:c>
      <x:c r="U2081" s="17" t="n">
        <x:v>1563267.7900000005</x:v>
      </x:c>
      <x:c r="V2081" s="2" t="str">
        <x:v>Area equivalent = model2020 * WUP surface / TEMPO2020 footprint; km2 multiplied by1e6 once</x:v>
      </x:c>
      <x:c r="W2081" s="2" t="str">
        <x:v>L1_numeric_partition_qualified_not_national_completeness</x:v>
      </x:c>
      <x:c r="X2081" s="2" t="str">
        <x:v>https://human-settlement.emergency.copernicus.eu/datasets.php</x:v>
      </x:c>
    </x:row>
    <x:row r="2082" ht="23" customHeight="1">
      <x:c r="A2082" s="2" t="str">
        <x:v>MDA</x:v>
      </x:c>
      <x:c r="B2082" s="2" t="str">
        <x:v>Moldova (Republic of)</x:v>
      </x:c>
      <x:c r="C2082" s="2" t="n">
        <x:v>2030</x:v>
      </x:c>
      <x:c r="D2082" s="2" t="str">
        <x:v>WUP_SURFACE</x:v>
      </x:c>
      <x:c r="E2082" s="17" t="n">
        <x:v>262672917.60113072</x:v>
      </x:c>
      <x:c r="F2082" s="17" t="n">
        <x:f>IF(AND(M2082,ISNUMBER(R2082)),IF(D2082="TEMPO_PROXY",R2082,IF(AND(ISNUMBER(S2082),S2082&gt;0,ISNUMBER(U2082)),U2082*R2082/S2082,"n.a.")),"n.a.")</x:f>
        <x:v>504072072.562184</x:v>
      </x:c>
      <x:c r="G2082" s="17" t="n">
        <x:f>IF(AND(ISNUMBER(E2082),ISNUMBER(F2082)),E2082-F2082,"n.a.")</x:f>
        <x:v>-241399154.96105325</x:v>
      </x:c>
      <x:c r="H2082" s="15" t="n">
        <x:f>IF(AND(ISNUMBER(E2082),ISNUMBER(F2082),F2082&gt;0),(E2082-F2082)/F2082,"n.a.")</x:f>
        <x:v>-0.478898094342002</x:v>
      </x:c>
      <x:c r="I2082" s="19" t="n">
        <x:f>IF(ISNUMBER(H2082),ABS(H2082),"n.a.")</x:f>
        <x:v>0.478898094342002</x:v>
      </x:c>
      <x:c r="J2082" s="2" t="str">
        <x:v>available</x:v>
      </x:c>
      <x:c r="K2082" s="2" t="n">
        <x:v>1</x:v>
      </x:c>
      <x:c r="L2082" s="13" t="b">
        <x:v>0</x:v>
      </x:c>
      <x:c r="M2082" s="13" t="b">
        <x:v>1</x:v>
      </x:c>
      <x:c r="N2082" s="2" t="str">
        <x:v>projected_CRISP_BU_surface</x:v>
      </x:c>
      <x:c r="O2082" s="2" t="str"/>
      <x:c r="P2082" s="2" t="str">
        <x:v>horizontal built-up surface</x:v>
      </x:c>
      <x:c r="Q2082" s="2" t="str">
        <x:v>m2</x:v>
      </x:c>
      <x:c r="R2082" s="17" t="n">
        <x:v>504072072.5621848</x:v>
      </x:c>
      <x:c r="S2082" s="17" t="n">
        <x:v>254566854.83</x:v>
      </x:c>
      <x:c r="T2082" s="18" t="n">
        <x:v>0.9999999999999983</x:v>
      </x:c>
      <x:c r="U2082" s="17" t="n">
        <x:v>254566854.8299996</x:v>
      </x:c>
      <x:c r="V2082" s="2" t="str">
        <x:v>Area equivalent = model2020 * WUP surface / TEMPO2020 footprint; km2 multiplied by1e6 once</x:v>
      </x:c>
      <x:c r="W2082" s="2" t="str">
        <x:v>L1_numeric_partition_qualified_not_national_completeness</x:v>
      </x:c>
      <x:c r="X2082" s="2" t="str">
        <x:v>https://human-settlement.emergency.copernicus.eu/datasets.php</x:v>
      </x:c>
    </x:row>
    <x:row r="2083" ht="23" customHeight="1">
      <x:c r="A2083" s="2" t="str">
        <x:v>MDG</x:v>
      </x:c>
      <x:c r="B2083" s="2" t="str">
        <x:v>Madagascar (Republic of)</x:v>
      </x:c>
      <x:c r="C2083" s="2" t="n">
        <x:v>2030</x:v>
      </x:c>
      <x:c r="D2083" s="2" t="str">
        <x:v>WUP_SURFACE</x:v>
      </x:c>
      <x:c r="E2083" s="17" t="n">
        <x:v>522678666.7769805</x:v>
      </x:c>
      <x:c r="F2083" s="17" t="n">
        <x:f>IF(AND(M2083,ISNUMBER(R2083)),IF(D2083="TEMPO_PROXY",R2083,IF(AND(ISNUMBER(S2083),S2083&gt;0,ISNUMBER(U2083)),U2083*R2083/S2083,"n.a.")),"n.a.")</x:f>
        <x:v>1163385282.1299312</x:v>
      </x:c>
      <x:c r="G2083" s="17" t="n">
        <x:f>IF(AND(ISNUMBER(E2083),ISNUMBER(F2083)),E2083-F2083,"n.a.")</x:f>
        <x:v>-640706615.3529507</x:v>
      </x:c>
      <x:c r="H2083" s="15" t="n">
        <x:f>IF(AND(ISNUMBER(E2083),ISNUMBER(F2083),F2083&gt;0),(E2083-F2083)/F2083,"n.a.")</x:f>
        <x:v>-0.5507260794806876</x:v>
      </x:c>
      <x:c r="I2083" s="19" t="n">
        <x:f>IF(ISNUMBER(H2083),ABS(H2083),"n.a.")</x:f>
        <x:v>0.5507260794806876</x:v>
      </x:c>
      <x:c r="J2083" s="2" t="str">
        <x:v>available</x:v>
      </x:c>
      <x:c r="K2083" s="2" t="n">
        <x:v>1</x:v>
      </x:c>
      <x:c r="L2083" s="13" t="b">
        <x:v>0</x:v>
      </x:c>
      <x:c r="M2083" s="13" t="b">
        <x:v>1</x:v>
      </x:c>
      <x:c r="N2083" s="2" t="str">
        <x:v>projected_CRISP_BU_surface</x:v>
      </x:c>
      <x:c r="O2083" s="2" t="str"/>
      <x:c r="P2083" s="2" t="str">
        <x:v>horizontal built-up surface</x:v>
      </x:c>
      <x:c r="Q2083" s="2" t="str">
        <x:v>m2</x:v>
      </x:c>
      <x:c r="R2083" s="17" t="n">
        <x:v>1163385282.129933</x:v>
      </x:c>
      <x:c r="S2083" s="17" t="n">
        <x:v>360823089.8</x:v>
      </x:c>
      <x:c r="T2083" s="18" t="n">
        <x:v>0.9999999999999983</x:v>
      </x:c>
      <x:c r="U2083" s="17" t="n">
        <x:v>360823089.7999994</x:v>
      </x:c>
      <x:c r="V2083" s="2" t="str">
        <x:v>Area equivalent = model2020 * WUP surface / TEMPO2020 footprint; km2 multiplied by1e6 once</x:v>
      </x:c>
      <x:c r="W2083" s="2" t="str">
        <x:v>L1_numeric_partition_qualified_not_national_completeness</x:v>
      </x:c>
      <x:c r="X2083" s="2" t="str">
        <x:v>https://human-settlement.emergency.copernicus.eu/datasets.php</x:v>
      </x:c>
    </x:row>
    <x:row r="2084" ht="23" customHeight="1">
      <x:c r="A2084" s="2" t="str">
        <x:v>MDV</x:v>
      </x:c>
      <x:c r="B2084" s="2" t="str">
        <x:v>Maldives (Republic of)</x:v>
      </x:c>
      <x:c r="C2084" s="2" t="n">
        <x:v>2030</x:v>
      </x:c>
      <x:c r="D2084" s="2" t="str">
        <x:v>WUP_SURFACE</x:v>
      </x:c>
      <x:c r="E2084" s="17" t="n">
        <x:v>3334747.9348860057</x:v>
      </x:c>
      <x:c r="F2084" s="17" t="n">
        <x:f>IF(AND(M2084,ISNUMBER(R2084)),IF(D2084="TEMPO_PROXY",R2084,IF(AND(ISNUMBER(S2084),S2084&gt;0,ISNUMBER(U2084)),U2084*R2084/S2084,"n.a.")),"n.a.")</x:f>
        <x:v>9553302.73294658</x:v>
      </x:c>
      <x:c r="G2084" s="17" t="n">
        <x:f>IF(AND(ISNUMBER(E2084),ISNUMBER(F2084)),E2084-F2084,"n.a.")</x:f>
        <x:v>-6218554.798060575</x:v>
      </x:c>
      <x:c r="H2084" s="15" t="n">
        <x:f>IF(AND(ISNUMBER(E2084),ISNUMBER(F2084),F2084&gt;0),(E2084-F2084)/F2084,"n.a.")</x:f>
        <x:v>-0.650932454659327</x:v>
      </x:c>
      <x:c r="I2084" s="19" t="n">
        <x:f>IF(ISNUMBER(H2084),ABS(H2084),"n.a.")</x:f>
        <x:v>0.650932454659327</x:v>
      </x:c>
      <x:c r="J2084" s="2" t="str">
        <x:v>available</x:v>
      </x:c>
      <x:c r="K2084" s="2" t="n">
        <x:v>1</x:v>
      </x:c>
      <x:c r="L2084" s="13" t="b">
        <x:v>0</x:v>
      </x:c>
      <x:c r="M2084" s="13" t="b">
        <x:v>1</x:v>
      </x:c>
      <x:c r="N2084" s="2" t="str">
        <x:v>projected_CRISP_BU_surface</x:v>
      </x:c>
      <x:c r="O2084" s="2" t="str"/>
      <x:c r="P2084" s="2" t="str">
        <x:v>horizontal built-up surface</x:v>
      </x:c>
      <x:c r="Q2084" s="2" t="str">
        <x:v>m2</x:v>
      </x:c>
      <x:c r="R2084" s="17" t="n">
        <x:v>9553302.732946577</x:v>
      </x:c>
      <x:c r="S2084" s="17" t="n">
        <x:v>2206666.83</x:v>
      </x:c>
      <x:c r="T2084" s="18" t="n">
        <x:v>1.0000000000000004</x:v>
      </x:c>
      <x:c r="U2084" s="17" t="n">
        <x:v>2206666.830000001</x:v>
      </x:c>
      <x:c r="V2084" s="2" t="str">
        <x:v>Area equivalent = model2020 * WUP surface / TEMPO2020 footprint; km2 multiplied by1e6 once</x:v>
      </x:c>
      <x:c r="W2084" s="2" t="str">
        <x:v>L1_numeric_partition_qualified_not_national_completeness</x:v>
      </x:c>
      <x:c r="X2084" s="2" t="str">
        <x:v>https://human-settlement.emergency.copernicus.eu/datasets.php</x:v>
      </x:c>
    </x:row>
    <x:row r="2085" ht="23" customHeight="1">
      <x:c r="A2085" s="2" t="str">
        <x:v>MEX</x:v>
      </x:c>
      <x:c r="B2085" s="2" t="str">
        <x:v>Mexico (United Mexican States)</x:v>
      </x:c>
      <x:c r="C2085" s="2" t="n">
        <x:v>2030</x:v>
      </x:c>
      <x:c r="D2085" s="2" t="str">
        <x:v>WUP_SURFACE</x:v>
      </x:c>
      <x:c r="E2085" s="17" t="n">
        <x:v>7667062527.573993</x:v>
      </x:c>
      <x:c r="F2085" s="17" t="n">
        <x:f>IF(AND(M2085,ISNUMBER(R2085)),IF(D2085="TEMPO_PROXY",R2085,IF(AND(ISNUMBER(S2085),S2085&gt;0,ISNUMBER(U2085)),U2085*R2085/S2085,"n.a.")),"n.a.")</x:f>
        <x:v>11746333251.549284</x:v>
      </x:c>
      <x:c r="G2085" s="17" t="n">
        <x:f>IF(AND(ISNUMBER(E2085),ISNUMBER(F2085)),E2085-F2085,"n.a.")</x:f>
        <x:v>-4079270723.9752913</x:v>
      </x:c>
      <x:c r="H2085" s="15" t="n">
        <x:f>IF(AND(ISNUMBER(E2085),ISNUMBER(F2085),F2085&gt;0),(E2085-F2085)/F2085,"n.a.")</x:f>
        <x:v>-0.3472803500988068</x:v>
      </x:c>
      <x:c r="I2085" s="19" t="n">
        <x:f>IF(ISNUMBER(H2085),ABS(H2085),"n.a.")</x:f>
        <x:v>0.3472803500988068</x:v>
      </x:c>
      <x:c r="J2085" s="2" t="str">
        <x:v>available</x:v>
      </x:c>
      <x:c r="K2085" s="2" t="n">
        <x:v>1</x:v>
      </x:c>
      <x:c r="L2085" s="13" t="b">
        <x:v>0</x:v>
      </x:c>
      <x:c r="M2085" s="13" t="b">
        <x:v>1</x:v>
      </x:c>
      <x:c r="N2085" s="2" t="str">
        <x:v>projected_CRISP_BU_surface</x:v>
      </x:c>
      <x:c r="O2085" s="2" t="str"/>
      <x:c r="P2085" s="2" t="str">
        <x:v>horizontal built-up surface</x:v>
      </x:c>
      <x:c r="Q2085" s="2" t="str">
        <x:v>m2</x:v>
      </x:c>
      <x:c r="R2085" s="17" t="n">
        <x:v>11746333251.549292</x:v>
      </x:c>
      <x:c r="S2085" s="17" t="n">
        <x:v>6345872319.04</x:v>
      </x:c>
      <x:c r="T2085" s="18" t="n">
        <x:v>0.9999999999999992</x:v>
      </x:c>
      <x:c r="U2085" s="17" t="n">
        <x:v>6345872319.039995</x:v>
      </x:c>
      <x:c r="V2085" s="2" t="str">
        <x:v>Area equivalent = model2020 * WUP surface / TEMPO2020 footprint; km2 multiplied by1e6 once</x:v>
      </x:c>
      <x:c r="W2085" s="2" t="str">
        <x:v>L1_numeric_partition_qualified_not_national_completeness</x:v>
      </x:c>
      <x:c r="X2085" s="2" t="str">
        <x:v>https://human-settlement.emergency.copernicus.eu/datasets.php</x:v>
      </x:c>
    </x:row>
    <x:row r="2086" ht="23" customHeight="1">
      <x:c r="A2086" s="2" t="str">
        <x:v>MHL</x:v>
      </x:c>
      <x:c r="B2086" s="2" t="str">
        <x:v>Marshall Islands (Republic of the)</x:v>
      </x:c>
      <x:c r="C2086" s="2" t="n">
        <x:v>2030</x:v>
      </x:c>
      <x:c r="D2086" s="2" t="str">
        <x:v>WUP_SURFACE</x:v>
      </x:c>
      <x:c r="E2086" s="17" t="n">
        <x:v>205572.5042763999</x:v>
      </x:c>
      <x:c r="F2086" s="17" t="n">
        <x:f>IF(AND(M2086,ISNUMBER(R2086)),IF(D2086="TEMPO_PROXY",R2086,IF(AND(ISNUMBER(S2086),S2086&gt;0,ISNUMBER(U2086)),U2086*R2086/S2086,"n.a.")),"n.a.")</x:f>
        <x:v>2504663.126220862</x:v>
      </x:c>
      <x:c r="G2086" s="17" t="n">
        <x:f>IF(AND(ISNUMBER(E2086),ISNUMBER(F2086)),E2086-F2086,"n.a.")</x:f>
        <x:v>-2299090.621944462</x:v>
      </x:c>
      <x:c r="H2086" s="15" t="n">
        <x:f>IF(AND(ISNUMBER(E2086),ISNUMBER(F2086),F2086&gt;0),(E2086-F2086)/F2086,"n.a.")</x:f>
        <x:v>-0.9179240904198657</x:v>
      </x:c>
      <x:c r="I2086" s="19" t="n">
        <x:f>IF(ISNUMBER(H2086),ABS(H2086),"n.a.")</x:f>
        <x:v>0.9179240904198657</x:v>
      </x:c>
      <x:c r="J2086" s="2" t="str">
        <x:v>available</x:v>
      </x:c>
      <x:c r="K2086" s="2" t="n">
        <x:v>1</x:v>
      </x:c>
      <x:c r="L2086" s="13" t="b">
        <x:v>0</x:v>
      </x:c>
      <x:c r="M2086" s="13" t="b">
        <x:v>1</x:v>
      </x:c>
      <x:c r="N2086" s="2" t="str">
        <x:v>projected_CRISP_BU_surface</x:v>
      </x:c>
      <x:c r="O2086" s="2" t="str"/>
      <x:c r="P2086" s="2" t="str">
        <x:v>horizontal built-up surface</x:v>
      </x:c>
      <x:c r="Q2086" s="2" t="str">
        <x:v>m2</x:v>
      </x:c>
      <x:c r="R2086" s="17" t="n">
        <x:v>2504663.126220862</x:v>
      </x:c>
      <x:c r="S2086" s="17" t="n">
        <x:v>198896.74</x:v>
      </x:c>
      <x:c r="T2086" s="18" t="n">
        <x:v>1</x:v>
      </x:c>
      <x:c r="U2086" s="17" t="n">
        <x:v>198896.74</x:v>
      </x:c>
      <x:c r="V2086" s="2" t="str">
        <x:v>Area equivalent = model2020 * WUP surface / TEMPO2020 footprint; km2 multiplied by1e6 once</x:v>
      </x:c>
      <x:c r="W2086" s="2" t="str">
        <x:v>L1_numeric_partition_qualified_not_national_completeness</x:v>
      </x:c>
      <x:c r="X2086" s="2" t="str">
        <x:v>https://human-settlement.emergency.copernicus.eu/datasets.php</x:v>
      </x:c>
    </x:row>
    <x:row r="2087" ht="23" customHeight="1">
      <x:c r="A2087" s="2" t="str">
        <x:v>MKD</x:v>
      </x:c>
      <x:c r="B2087" s="2" t="str">
        <x:v>North Macedonia (Republic of)</x:v>
      </x:c>
      <x:c r="C2087" s="2" t="n">
        <x:v>2030</x:v>
      </x:c>
      <x:c r="D2087" s="2" t="str">
        <x:v>WUP_SURFACE</x:v>
      </x:c>
      <x:c r="E2087" s="17" t="n">
        <x:v>132026451.2502761</x:v>
      </x:c>
      <x:c r="F2087" s="17" t="n">
        <x:f>IF(AND(M2087,ISNUMBER(R2087)),IF(D2087="TEMPO_PROXY",R2087,IF(AND(ISNUMBER(S2087),S2087&gt;0,ISNUMBER(U2087)),U2087*R2087/S2087,"n.a.")),"n.a.")</x:f>
        <x:v>190235539.38921788</x:v>
      </x:c>
      <x:c r="G2087" s="17" t="n">
        <x:f>IF(AND(ISNUMBER(E2087),ISNUMBER(F2087)),E2087-F2087,"n.a.")</x:f>
        <x:v>-58209088.13894178</x:v>
      </x:c>
      <x:c r="H2087" s="15" t="n">
        <x:f>IF(AND(ISNUMBER(E2087),ISNUMBER(F2087),F2087&gt;0),(E2087-F2087)/F2087,"n.a.")</x:f>
        <x:v>-0.30598429886356415</x:v>
      </x:c>
      <x:c r="I2087" s="19" t="n">
        <x:f>IF(ISNUMBER(H2087),ABS(H2087),"n.a.")</x:f>
        <x:v>0.30598429886356415</x:v>
      </x:c>
      <x:c r="J2087" s="2" t="str">
        <x:v>available</x:v>
      </x:c>
      <x:c r="K2087" s="2" t="n">
        <x:v>1</x:v>
      </x:c>
      <x:c r="L2087" s="13" t="b">
        <x:v>0</x:v>
      </x:c>
      <x:c r="M2087" s="13" t="b">
        <x:v>1</x:v>
      </x:c>
      <x:c r="N2087" s="2" t="str">
        <x:v>projected_CRISP_BU_surface</x:v>
      </x:c>
      <x:c r="O2087" s="2" t="str"/>
      <x:c r="P2087" s="2" t="str">
        <x:v>horizontal built-up surface</x:v>
      </x:c>
      <x:c r="Q2087" s="2" t="str">
        <x:v>m2</x:v>
      </x:c>
      <x:c r="R2087" s="17" t="n">
        <x:v>190235539.38921815</x:v>
      </x:c>
      <x:c r="S2087" s="17" t="n">
        <x:v>122189801.59</x:v>
      </x:c>
      <x:c r="T2087" s="18" t="n">
        <x:v>0.9999999999999986</x:v>
      </x:c>
      <x:c r="U2087" s="17" t="n">
        <x:v>122189801.58999982</x:v>
      </x:c>
      <x:c r="V2087" s="2" t="str">
        <x:v>Area equivalent = model2020 * WUP surface / TEMPO2020 footprint; km2 multiplied by1e6 once</x:v>
      </x:c>
      <x:c r="W2087" s="2" t="str">
        <x:v>L1_numeric_partition_qualified_not_national_completeness</x:v>
      </x:c>
      <x:c r="X2087" s="2" t="str">
        <x:v>https://human-settlement.emergency.copernicus.eu/datasets.php</x:v>
      </x:c>
    </x:row>
    <x:row r="2088" ht="23" customHeight="1">
      <x:c r="A2088" s="2" t="str">
        <x:v>MLI</x:v>
      </x:c>
      <x:c r="B2088" s="2" t="str">
        <x:v>Mali (Republic of)</x:v>
      </x:c>
      <x:c r="C2088" s="2" t="n">
        <x:v>2030</x:v>
      </x:c>
      <x:c r="D2088" s="2" t="str">
        <x:v>WUP_SURFACE</x:v>
      </x:c>
      <x:c r="E2088" s="17" t="n">
        <x:v>445253187.3477519</x:v>
      </x:c>
      <x:c r="F2088" s="17" t="n">
        <x:f>IF(AND(M2088,ISNUMBER(R2088)),IF(D2088="TEMPO_PROXY",R2088,IF(AND(ISNUMBER(S2088),S2088&gt;0,ISNUMBER(U2088)),U2088*R2088/S2088,"n.a.")),"n.a.")</x:f>
        <x:v>1415447137.0332341</x:v>
      </x:c>
      <x:c r="G2088" s="17" t="n">
        <x:f>IF(AND(ISNUMBER(E2088),ISNUMBER(F2088)),E2088-F2088,"n.a.")</x:f>
        <x:v>-970193949.6854823</x:v>
      </x:c>
      <x:c r="H2088" s="15" t="n">
        <x:f>IF(AND(ISNUMBER(E2088),ISNUMBER(F2088),F2088&gt;0),(E2088-F2088)/F2088,"n.a.")</x:f>
        <x:v>-0.685432839066672</x:v>
      </x:c>
      <x:c r="I2088" s="19" t="n">
        <x:f>IF(ISNUMBER(H2088),ABS(H2088),"n.a.")</x:f>
        <x:v>0.685432839066672</x:v>
      </x:c>
      <x:c r="J2088" s="2" t="str">
        <x:v>available</x:v>
      </x:c>
      <x:c r="K2088" s="2" t="n">
        <x:v>1</x:v>
      </x:c>
      <x:c r="L2088" s="13" t="b">
        <x:v>0</x:v>
      </x:c>
      <x:c r="M2088" s="13" t="b">
        <x:v>1</x:v>
      </x:c>
      <x:c r="N2088" s="2" t="str">
        <x:v>projected_CRISP_BU_surface</x:v>
      </x:c>
      <x:c r="O2088" s="2" t="str"/>
      <x:c r="P2088" s="2" t="str">
        <x:v>horizontal built-up surface</x:v>
      </x:c>
      <x:c r="Q2088" s="2" t="str">
        <x:v>m2</x:v>
      </x:c>
      <x:c r="R2088" s="17" t="n">
        <x:v>1415447137.033232</x:v>
      </x:c>
      <x:c r="S2088" s="17" t="n">
        <x:v>323707340.75</x:v>
      </x:c>
      <x:c r="T2088" s="18" t="n">
        <x:v>1.0000000000000016</x:v>
      </x:c>
      <x:c r="U2088" s="17" t="n">
        <x:v>323707340.7500005</x:v>
      </x:c>
      <x:c r="V2088" s="2" t="str">
        <x:v>Area equivalent = model2020 * WUP surface / TEMPO2020 footprint; km2 multiplied by1e6 once</x:v>
      </x:c>
      <x:c r="W2088" s="2" t="str">
        <x:v>L1_numeric_partition_qualified_not_national_completeness</x:v>
      </x:c>
      <x:c r="X2088" s="2" t="str">
        <x:v>https://human-settlement.emergency.copernicus.eu/datasets.php</x:v>
      </x:c>
    </x:row>
    <x:row r="2089" ht="23" customHeight="1">
      <x:c r="A2089" s="2" t="str">
        <x:v>MLT</x:v>
      </x:c>
      <x:c r="B2089" s="2" t="str">
        <x:v>Malta (Republic of)</x:v>
      </x:c>
      <x:c r="C2089" s="2" t="n">
        <x:v>2030</x:v>
      </x:c>
      <x:c r="D2089" s="2" t="str">
        <x:v>WUP_SURFACE</x:v>
      </x:c>
      <x:c r="E2089" s="17" t="n">
        <x:v>45306404.64202379</x:v>
      </x:c>
      <x:c r="F2089" s="17" t="n">
        <x:f>IF(AND(M2089,ISNUMBER(R2089)),IF(D2089="TEMPO_PROXY",R2089,IF(AND(ISNUMBER(S2089),S2089&gt;0,ISNUMBER(U2089)),U2089*R2089/S2089,"n.a.")),"n.a.")</x:f>
        <x:v>59627811.496485814</x:v>
      </x:c>
      <x:c r="G2089" s="17" t="n">
        <x:f>IF(AND(ISNUMBER(E2089),ISNUMBER(F2089)),E2089-F2089,"n.a.")</x:f>
        <x:v>-14321406.854462028</x:v>
      </x:c>
      <x:c r="H2089" s="15" t="n">
        <x:f>IF(AND(ISNUMBER(E2089),ISNUMBER(F2089),F2089&gt;0),(E2089-F2089)/F2089,"n.a.")</x:f>
        <x:v>-0.2401799847258534</x:v>
      </x:c>
      <x:c r="I2089" s="19" t="n">
        <x:f>IF(ISNUMBER(H2089),ABS(H2089),"n.a.")</x:f>
        <x:v>0.2401799847258534</x:v>
      </x:c>
      <x:c r="J2089" s="2" t="str">
        <x:v>available</x:v>
      </x:c>
      <x:c r="K2089" s="2" t="n">
        <x:v>1</x:v>
      </x:c>
      <x:c r="L2089" s="13" t="b">
        <x:v>0</x:v>
      </x:c>
      <x:c r="M2089" s="13" t="b">
        <x:v>1</x:v>
      </x:c>
      <x:c r="N2089" s="2" t="str">
        <x:v>projected_CRISP_BU_surface</x:v>
      </x:c>
      <x:c r="O2089" s="2" t="str"/>
      <x:c r="P2089" s="2" t="str">
        <x:v>horizontal built-up surface</x:v>
      </x:c>
      <x:c r="Q2089" s="2" t="str">
        <x:v>m2</x:v>
      </x:c>
      <x:c r="R2089" s="17" t="n">
        <x:v>44745515.98445396</x:v>
      </x:c>
      <x:c r="S2089" s="17" t="n">
        <x:v>26330050.25</x:v>
      </x:c>
      <x:c r="T2089" s="18" t="n">
        <x:v>1.3325985897045516</x:v>
      </x:c>
      <x:c r="U2089" s="17" t="n">
        <x:v>35087387.829999976</x:v>
      </x:c>
      <x:c r="V2089" s="2" t="str">
        <x:v>Area equivalent = model2020 * WUP surface / TEMPO2020 footprint; km2 multiplied by1e6 once</x:v>
      </x:c>
      <x:c r="W2089" s="2" t="str">
        <x:v>L1_numeric_partition_qualified_not_national_completeness</x:v>
      </x:c>
      <x:c r="X2089" s="2" t="str">
        <x:v>https://human-settlement.emergency.copernicus.eu/datasets.php</x:v>
      </x:c>
    </x:row>
    <x:row r="2090" ht="23" customHeight="1">
      <x:c r="A2090" s="2" t="str">
        <x:v>MMR</x:v>
      </x:c>
      <x:c r="B2090" s="2" t="str">
        <x:v>Myanmar (Republic of the Union of)</x:v>
      </x:c>
      <x:c r="C2090" s="2" t="n">
        <x:v>2030</x:v>
      </x:c>
      <x:c r="D2090" s="2" t="str">
        <x:v>WUP_SURFACE</x:v>
      </x:c>
      <x:c r="E2090" s="17" t="n">
        <x:v>1848901593.5668447</x:v>
      </x:c>
      <x:c r="F2090" s="17" t="n">
        <x:f>IF(AND(M2090,ISNUMBER(R2090)),IF(D2090="TEMPO_PROXY",R2090,IF(AND(ISNUMBER(S2090),S2090&gt;0,ISNUMBER(U2090)),U2090*R2090/S2090,"n.a.")),"n.a.")</x:f>
        <x:v>1639488281.5682447</x:v>
      </x:c>
      <x:c r="G2090" s="17" t="n">
        <x:f>IF(AND(ISNUMBER(E2090),ISNUMBER(F2090)),E2090-F2090,"n.a.")</x:f>
        <x:v>209413311.9986</x:v>
      </x:c>
      <x:c r="H2090" s="15" t="n">
        <x:f>IF(AND(ISNUMBER(E2090),ISNUMBER(F2090),F2090&gt;0),(E2090-F2090)/F2090,"n.a.")</x:f>
        <x:v>0.1277308989352987</x:v>
      </x:c>
      <x:c r="I2090" s="19" t="n">
        <x:f>IF(ISNUMBER(H2090),ABS(H2090),"n.a.")</x:f>
        <x:v>0.1277308989352987</x:v>
      </x:c>
      <x:c r="J2090" s="2" t="str">
        <x:v>available</x:v>
      </x:c>
      <x:c r="K2090" s="2" t="n">
        <x:v>1</x:v>
      </x:c>
      <x:c r="L2090" s="13" t="b">
        <x:v>0</x:v>
      </x:c>
      <x:c r="M2090" s="13" t="b">
        <x:v>1</x:v>
      </x:c>
      <x:c r="N2090" s="2" t="str">
        <x:v>projected_CRISP_BU_surface</x:v>
      </x:c>
      <x:c r="O2090" s="2" t="str"/>
      <x:c r="P2090" s="2" t="str">
        <x:v>horizontal built-up surface</x:v>
      </x:c>
      <x:c r="Q2090" s="2" t="str">
        <x:v>m2</x:v>
      </x:c>
      <x:c r="R2090" s="17" t="n">
        <x:v>1639488281.5682476</x:v>
      </x:c>
      <x:c r="S2090" s="17" t="n">
        <x:v>1377164281.68</x:v>
      </x:c>
      <x:c r="T2090" s="18" t="n">
        <x:v>0.9999999999999982</x:v>
      </x:c>
      <x:c r="U2090" s="17" t="n">
        <x:v>1377164281.6799977</x:v>
      </x:c>
      <x:c r="V2090" s="2" t="str">
        <x:v>Area equivalent = model2020 * WUP surface / TEMPO2020 footprint; km2 multiplied by1e6 once</x:v>
      </x:c>
      <x:c r="W2090" s="2" t="str">
        <x:v>L1_numeric_partition_qualified_not_national_completeness</x:v>
      </x:c>
      <x:c r="X2090" s="2" t="str">
        <x:v>https://human-settlement.emergency.copernicus.eu/datasets.php</x:v>
      </x:c>
    </x:row>
    <x:row r="2091" ht="23" customHeight="1">
      <x:c r="A2091" s="2" t="str">
        <x:v>MNE</x:v>
      </x:c>
      <x:c r="B2091" s="2" t="str">
        <x:v>Montenegro</x:v>
      </x:c>
      <x:c r="C2091" s="2" t="n">
        <x:v>2030</x:v>
      </x:c>
      <x:c r="D2091" s="2" t="str">
        <x:v>WUP_SURFACE</x:v>
      </x:c>
      <x:c r="E2091" s="17" t="n">
        <x:v>49371124.400716834</x:v>
      </x:c>
      <x:c r="F2091" s="17" t="n">
        <x:f>IF(AND(M2091,ISNUMBER(R2091)),IF(D2091="TEMPO_PROXY",R2091,IF(AND(ISNUMBER(S2091),S2091&gt;0,ISNUMBER(U2091)),U2091*R2091/S2091,"n.a.")),"n.a.")</x:f>
        <x:v>50684392.65089857</x:v>
      </x:c>
      <x:c r="G2091" s="17" t="n">
        <x:f>IF(AND(ISNUMBER(E2091),ISNUMBER(F2091)),E2091-F2091,"n.a.")</x:f>
        <x:v>-1313268.2501817346</x:v>
      </x:c>
      <x:c r="H2091" s="15" t="n">
        <x:f>IF(AND(ISNUMBER(E2091),ISNUMBER(F2091),F2091&gt;0),(E2091-F2091)/F2091,"n.a.")</x:f>
        <x:v>-0.02591070310790144</x:v>
      </x:c>
      <x:c r="I2091" s="19" t="n">
        <x:f>IF(ISNUMBER(H2091),ABS(H2091),"n.a.")</x:f>
        <x:v>0.02591070310790144</x:v>
      </x:c>
      <x:c r="J2091" s="2" t="str">
        <x:v>available</x:v>
      </x:c>
      <x:c r="K2091" s="2" t="n">
        <x:v>1</x:v>
      </x:c>
      <x:c r="L2091" s="13" t="b">
        <x:v>0</x:v>
      </x:c>
      <x:c r="M2091" s="13" t="b">
        <x:v>1</x:v>
      </x:c>
      <x:c r="N2091" s="2" t="str">
        <x:v>projected_CRISP_BU_surface</x:v>
      </x:c>
      <x:c r="O2091" s="2" t="str"/>
      <x:c r="P2091" s="2" t="str">
        <x:v>horizontal built-up surface</x:v>
      </x:c>
      <x:c r="Q2091" s="2" t="str">
        <x:v>m2</x:v>
      </x:c>
      <x:c r="R2091" s="17" t="n">
        <x:v>50684392.650898635</x:v>
      </x:c>
      <x:c r="S2091" s="17" t="n">
        <x:v>39447648.86</x:v>
      </x:c>
      <x:c r="T2091" s="18" t="n">
        <x:v>0.9999999999999987</x:v>
      </x:c>
      <x:c r="U2091" s="17" t="n">
        <x:v>39447648.85999995</x:v>
      </x:c>
      <x:c r="V2091" s="2" t="str">
        <x:v>Area equivalent = model2020 * WUP surface / TEMPO2020 footprint; km2 multiplied by1e6 once</x:v>
      </x:c>
      <x:c r="W2091" s="2" t="str">
        <x:v>L1_numeric_partition_qualified_not_national_completeness</x:v>
      </x:c>
      <x:c r="X2091" s="2" t="str">
        <x:v>https://human-settlement.emergency.copernicus.eu/datasets.php</x:v>
      </x:c>
    </x:row>
    <x:row r="2092" ht="23" customHeight="1">
      <x:c r="A2092" s="2" t="str">
        <x:v>MNG</x:v>
      </x:c>
      <x:c r="B2092" s="2" t="str">
        <x:v>Mongolia</x:v>
      </x:c>
      <x:c r="C2092" s="2" t="n">
        <x:v>2030</x:v>
      </x:c>
      <x:c r="D2092" s="2" t="str">
        <x:v>WUP_SURFACE</x:v>
      </x:c>
      <x:c r="E2092" s="17" t="n">
        <x:v>106224934.32796651</x:v>
      </x:c>
      <x:c r="F2092" s="17" t="n">
        <x:f>IF(AND(M2092,ISNUMBER(R2092)),IF(D2092="TEMPO_PROXY",R2092,IF(AND(ISNUMBER(S2092),S2092&gt;0,ISNUMBER(U2092)),U2092*R2092/S2092,"n.a.")),"n.a.")</x:f>
        <x:v>204644754.5599664</x:v>
      </x:c>
      <x:c r="G2092" s="17" t="n">
        <x:f>IF(AND(ISNUMBER(E2092),ISNUMBER(F2092)),E2092-F2092,"n.a.")</x:f>
        <x:v>-98419820.23199987</x:v>
      </x:c>
      <x:c r="H2092" s="15" t="n">
        <x:f>IF(AND(ISNUMBER(E2092),ISNUMBER(F2092),F2092&gt;0),(E2092-F2092)/F2092,"n.a.")</x:f>
        <x:v>-0.48093009001684545</x:v>
      </x:c>
      <x:c r="I2092" s="19" t="n">
        <x:f>IF(ISNUMBER(H2092),ABS(H2092),"n.a.")</x:f>
        <x:v>0.48093009001684545</x:v>
      </x:c>
      <x:c r="J2092" s="2" t="str">
        <x:v>available</x:v>
      </x:c>
      <x:c r="K2092" s="2" t="n">
        <x:v>1</x:v>
      </x:c>
      <x:c r="L2092" s="13" t="b">
        <x:v>0</x:v>
      </x:c>
      <x:c r="M2092" s="13" t="b">
        <x:v>1</x:v>
      </x:c>
      <x:c r="N2092" s="2" t="str">
        <x:v>projected_CRISP_BU_surface</x:v>
      </x:c>
      <x:c r="O2092" s="2" t="str"/>
      <x:c r="P2092" s="2" t="str">
        <x:v>horizontal built-up surface</x:v>
      </x:c>
      <x:c r="Q2092" s="2" t="str">
        <x:v>m2</x:v>
      </x:c>
      <x:c r="R2092" s="17" t="n">
        <x:v>204076200.2990016</x:v>
      </x:c>
      <x:c r="S2092" s="17" t="n">
        <x:v>83111291.45</x:v>
      </x:c>
      <x:c r="T2092" s="18" t="n">
        <x:v>1.0027859900377005</x:v>
      </x:c>
      <x:c r="U2092" s="17" t="n">
        <x:v>83342838.68000013</x:v>
      </x:c>
      <x:c r="V2092" s="2" t="str">
        <x:v>Area equivalent = model2020 * WUP surface / TEMPO2020 footprint; km2 multiplied by1e6 once</x:v>
      </x:c>
      <x:c r="W2092" s="2" t="str">
        <x:v>L1_numeric_partition_qualified_not_national_completeness</x:v>
      </x:c>
      <x:c r="X2092" s="2" t="str">
        <x:v>https://human-settlement.emergency.copernicus.eu/datasets.php</x:v>
      </x:c>
    </x:row>
    <x:row r="2093" ht="23" customHeight="1">
      <x:c r="A2093" s="2" t="str">
        <x:v>MOZ</x:v>
      </x:c>
      <x:c r="B2093" s="2" t="str">
        <x:v>Mozambique (Republic of)</x:v>
      </x:c>
      <x:c r="C2093" s="2" t="n">
        <x:v>2030</x:v>
      </x:c>
      <x:c r="D2093" s="2" t="str">
        <x:v>WUP_SURFACE</x:v>
      </x:c>
      <x:c r="E2093" s="17" t="n">
        <x:v>714864099.1144187</x:v>
      </x:c>
      <x:c r="F2093" s="17" t="n">
        <x:f>IF(AND(M2093,ISNUMBER(R2093)),IF(D2093="TEMPO_PROXY",R2093,IF(AND(ISNUMBER(S2093),S2093&gt;0,ISNUMBER(U2093)),U2093*R2093/S2093,"n.a.")),"n.a.")</x:f>
        <x:v>2557688591.1729875</x:v>
      </x:c>
      <x:c r="G2093" s="17" t="n">
        <x:f>IF(AND(ISNUMBER(E2093),ISNUMBER(F2093)),E2093-F2093,"n.a.")</x:f>
        <x:v>-1842824492.0585687</x:v>
      </x:c>
      <x:c r="H2093" s="15" t="n">
        <x:f>IF(AND(ISNUMBER(E2093),ISNUMBER(F2093),F2093&gt;0),(E2093-F2093)/F2093,"n.a.")</x:f>
        <x:v>-0.7205038558714557</x:v>
      </x:c>
      <x:c r="I2093" s="19" t="n">
        <x:f>IF(ISNUMBER(H2093),ABS(H2093),"n.a.")</x:f>
        <x:v>0.7205038558714557</x:v>
      </x:c>
      <x:c r="J2093" s="2" t="str">
        <x:v>available</x:v>
      </x:c>
      <x:c r="K2093" s="2" t="n">
        <x:v>1</x:v>
      </x:c>
      <x:c r="L2093" s="13" t="b">
        <x:v>0</x:v>
      </x:c>
      <x:c r="M2093" s="13" t="b">
        <x:v>1</x:v>
      </x:c>
      <x:c r="N2093" s="2" t="str">
        <x:v>projected_CRISP_BU_surface</x:v>
      </x:c>
      <x:c r="O2093" s="2" t="str"/>
      <x:c r="P2093" s="2" t="str">
        <x:v>horizontal built-up surface</x:v>
      </x:c>
      <x:c r="Q2093" s="2" t="str">
        <x:v>m2</x:v>
      </x:c>
      <x:c r="R2093" s="17" t="n">
        <x:v>2557688591.172983</x:v>
      </x:c>
      <x:c r="S2093" s="17" t="n">
        <x:v>540811235.53</x:v>
      </x:c>
      <x:c r="T2093" s="18" t="n">
        <x:v>1.0000000000000016</x:v>
      </x:c>
      <x:c r="U2093" s="17" t="n">
        <x:v>540811235.5300008</x:v>
      </x:c>
      <x:c r="V2093" s="2" t="str">
        <x:v>Area equivalent = model2020 * WUP surface / TEMPO2020 footprint; km2 multiplied by1e6 once</x:v>
      </x:c>
      <x:c r="W2093" s="2" t="str">
        <x:v>L1_numeric_partition_qualified_not_national_completeness</x:v>
      </x:c>
      <x:c r="X2093" s="2" t="str">
        <x:v>https://human-settlement.emergency.copernicus.eu/datasets.php</x:v>
      </x:c>
    </x:row>
    <x:row r="2094" ht="23" customHeight="1">
      <x:c r="A2094" s="2" t="str">
        <x:v>MRT</x:v>
      </x:c>
      <x:c r="B2094" s="2" t="str">
        <x:v>Mauritania (Islamic Republic of)</x:v>
      </x:c>
      <x:c r="C2094" s="2" t="n">
        <x:v>2030</x:v>
      </x:c>
      <x:c r="D2094" s="2" t="str">
        <x:v>WUP_SURFACE</x:v>
      </x:c>
      <x:c r="E2094" s="17" t="n">
        <x:v>135006876.13699368</x:v>
      </x:c>
      <x:c r="F2094" s="17" t="n">
        <x:f>IF(AND(M2094,ISNUMBER(R2094)),IF(D2094="TEMPO_PROXY",R2094,IF(AND(ISNUMBER(S2094),S2094&gt;0,ISNUMBER(U2094)),U2094*R2094/S2094,"n.a.")),"n.a.")</x:f>
        <x:v>311319499.4910021</x:v>
      </x:c>
      <x:c r="G2094" s="17" t="n">
        <x:f>IF(AND(ISNUMBER(E2094),ISNUMBER(F2094)),E2094-F2094,"n.a.")</x:f>
        <x:v>-176312623.3540084</x:v>
      </x:c>
      <x:c r="H2094" s="15" t="n">
        <x:f>IF(AND(ISNUMBER(E2094),ISNUMBER(F2094),F2094&gt;0),(E2094-F2094)/F2094,"n.a.")</x:f>
        <x:v>-0.5663398008871086</x:v>
      </x:c>
      <x:c r="I2094" s="19" t="n">
        <x:f>IF(ISNUMBER(H2094),ABS(H2094),"n.a.")</x:f>
        <x:v>0.5663398008871086</x:v>
      </x:c>
      <x:c r="J2094" s="2" t="str">
        <x:v>available</x:v>
      </x:c>
      <x:c r="K2094" s="2" t="n">
        <x:v>1</x:v>
      </x:c>
      <x:c r="L2094" s="13" t="b">
        <x:v>0</x:v>
      </x:c>
      <x:c r="M2094" s="13" t="b">
        <x:v>1</x:v>
      </x:c>
      <x:c r="N2094" s="2" t="str">
        <x:v>projected_CRISP_BU_surface</x:v>
      </x:c>
      <x:c r="O2094" s="2" t="str"/>
      <x:c r="P2094" s="2" t="str">
        <x:v>horizontal built-up surface</x:v>
      </x:c>
      <x:c r="Q2094" s="2" t="str">
        <x:v>m2</x:v>
      </x:c>
      <x:c r="R2094" s="17" t="n">
        <x:v>311319499.4910018</x:v>
      </x:c>
      <x:c r="S2094" s="17" t="n">
        <x:v>97384454.07</x:v>
      </x:c>
      <x:c r="T2094" s="18" t="n">
        <x:v>1.0000000000000009</x:v>
      </x:c>
      <x:c r="U2094" s="17" t="n">
        <x:v>97384454.07000008</x:v>
      </x:c>
      <x:c r="V2094" s="2" t="str">
        <x:v>Area equivalent = model2020 * WUP surface / TEMPO2020 footprint; km2 multiplied by1e6 once</x:v>
      </x:c>
      <x:c r="W2094" s="2" t="str">
        <x:v>L1_numeric_partition_qualified_not_national_completeness</x:v>
      </x:c>
      <x:c r="X2094" s="2" t="str">
        <x:v>https://human-settlement.emergency.copernicus.eu/datasets.php</x:v>
      </x:c>
    </x:row>
    <x:row r="2095" ht="23" customHeight="1">
      <x:c r="A2095" s="2" t="str">
        <x:v>MUS</x:v>
      </x:c>
      <x:c r="B2095" s="2" t="str">
        <x:v>Mauritius (Republic of)</x:v>
      </x:c>
      <x:c r="C2095" s="2" t="n">
        <x:v>2030</x:v>
      </x:c>
      <x:c r="D2095" s="2" t="str">
        <x:v>WUP_SURFACE</x:v>
      </x:c>
      <x:c r="E2095" s="17" t="n">
        <x:v>74867650.27878112</x:v>
      </x:c>
      <x:c r="F2095" s="17" t="n">
        <x:f>IF(AND(M2095,ISNUMBER(R2095)),IF(D2095="TEMPO_PROXY",R2095,IF(AND(ISNUMBER(S2095),S2095&gt;0,ISNUMBER(U2095)),U2095*R2095/S2095,"n.a.")),"n.a.")</x:f>
        <x:v>85486811.93059862</x:v>
      </x:c>
      <x:c r="G2095" s="17" t="n">
        <x:f>IF(AND(ISNUMBER(E2095),ISNUMBER(F2095)),E2095-F2095,"n.a.")</x:f>
        <x:v>-10619161.6518175</x:v>
      </x:c>
      <x:c r="H2095" s="15" t="n">
        <x:f>IF(AND(ISNUMBER(E2095),ISNUMBER(F2095),F2095&gt;0),(E2095-F2095)/F2095,"n.a.")</x:f>
        <x:v>-0.1242198815466242</x:v>
      </x:c>
      <x:c r="I2095" s="19" t="n">
        <x:f>IF(ISNUMBER(H2095),ABS(H2095),"n.a.")</x:f>
        <x:v>0.1242198815466242</x:v>
      </x:c>
      <x:c r="J2095" s="2" t="str">
        <x:v>available</x:v>
      </x:c>
      <x:c r="K2095" s="2" t="n">
        <x:v>1</x:v>
      </x:c>
      <x:c r="L2095" s="13" t="b">
        <x:v>0</x:v>
      </x:c>
      <x:c r="M2095" s="13" t="b">
        <x:v>1</x:v>
      </x:c>
      <x:c r="N2095" s="2" t="str">
        <x:v>projected_CRISP_BU_surface</x:v>
      </x:c>
      <x:c r="O2095" s="2" t="str"/>
      <x:c r="P2095" s="2" t="str">
        <x:v>horizontal built-up surface</x:v>
      </x:c>
      <x:c r="Q2095" s="2" t="str">
        <x:v>m2</x:v>
      </x:c>
      <x:c r="R2095" s="17" t="n">
        <x:v>84979190.18002677</x:v>
      </x:c>
      <x:c r="S2095" s="17" t="n">
        <x:v>64765689.96</x:v>
      </x:c>
      <x:c r="T2095" s="18" t="n">
        <x:v>1.00597348303151</x:v>
      </x:c>
      <x:c r="U2095" s="17" t="n">
        <x:v>65152566.7100001</x:v>
      </x:c>
      <x:c r="V2095" s="2" t="str">
        <x:v>Area equivalent = model2020 * WUP surface / TEMPO2020 footprint; km2 multiplied by1e6 once</x:v>
      </x:c>
      <x:c r="W2095" s="2" t="str">
        <x:v>L1_numeric_partition_qualified_not_national_completeness</x:v>
      </x:c>
      <x:c r="X2095" s="2" t="str">
        <x:v>https://human-settlement.emergency.copernicus.eu/datasets.php</x:v>
      </x:c>
    </x:row>
    <x:row r="2096" ht="23" customHeight="1">
      <x:c r="A2096" s="2" t="str">
        <x:v>MWI</x:v>
      </x:c>
      <x:c r="B2096" s="2" t="str">
        <x:v>Malawi (Republic of)</x:v>
      </x:c>
      <x:c r="C2096" s="2" t="n">
        <x:v>2030</x:v>
      </x:c>
      <x:c r="D2096" s="2" t="str">
        <x:v>WUP_SURFACE</x:v>
      </x:c>
      <x:c r="E2096" s="17" t="n">
        <x:v>433021040.13120306</x:v>
      </x:c>
      <x:c r="F2096" s="17" t="n">
        <x:f>IF(AND(M2096,ISNUMBER(R2096)),IF(D2096="TEMPO_PROXY",R2096,IF(AND(ISNUMBER(S2096),S2096&gt;0,ISNUMBER(U2096)),U2096*R2096/S2096,"n.a.")),"n.a.")</x:f>
        <x:v>1425520850.9490817</x:v>
      </x:c>
      <x:c r="G2096" s="17" t="n">
        <x:f>IF(AND(ISNUMBER(E2096),ISNUMBER(F2096)),E2096-F2096,"n.a.")</x:f>
        <x:v>-992499810.8178786</x:v>
      </x:c>
      <x:c r="H2096" s="15" t="n">
        <x:f>IF(AND(ISNUMBER(E2096),ISNUMBER(F2096),F2096&gt;0),(E2096-F2096)/F2096,"n.a.")</x:f>
        <x:v>-0.6962366142572332</x:v>
      </x:c>
      <x:c r="I2096" s="19" t="n">
        <x:f>IF(ISNUMBER(H2096),ABS(H2096),"n.a.")</x:f>
        <x:v>0.6962366142572332</x:v>
      </x:c>
      <x:c r="J2096" s="2" t="str">
        <x:v>available</x:v>
      </x:c>
      <x:c r="K2096" s="2" t="n">
        <x:v>1</x:v>
      </x:c>
      <x:c r="L2096" s="13" t="b">
        <x:v>0</x:v>
      </x:c>
      <x:c r="M2096" s="13" t="b">
        <x:v>1</x:v>
      </x:c>
      <x:c r="N2096" s="2" t="str">
        <x:v>projected_CRISP_BU_surface</x:v>
      </x:c>
      <x:c r="O2096" s="2" t="str"/>
      <x:c r="P2096" s="2" t="str">
        <x:v>horizontal built-up surface</x:v>
      </x:c>
      <x:c r="Q2096" s="2" t="str">
        <x:v>m2</x:v>
      </x:c>
      <x:c r="R2096" s="17" t="n">
        <x:v>1425520850.9490826</x:v>
      </x:c>
      <x:c r="S2096" s="17" t="n">
        <x:v>330771641.02</x:v>
      </x:c>
      <x:c r="T2096" s="18" t="n">
        <x:v>0.9999999999999993</x:v>
      </x:c>
      <x:c r="U2096" s="17" t="n">
        <x:v>330771641.01999974</x:v>
      </x:c>
      <x:c r="V2096" s="2" t="str">
        <x:v>Area equivalent = model2020 * WUP surface / TEMPO2020 footprint; km2 multiplied by1e6 once</x:v>
      </x:c>
      <x:c r="W2096" s="2" t="str">
        <x:v>L1_numeric_partition_qualified_not_national_completeness</x:v>
      </x:c>
      <x:c r="X2096" s="2" t="str">
        <x:v>https://human-settlement.emergency.copernicus.eu/datasets.php</x:v>
      </x:c>
    </x:row>
    <x:row r="2097" ht="23" customHeight="1">
      <x:c r="A2097" s="2" t="str">
        <x:v>MYS</x:v>
      </x:c>
      <x:c r="B2097" s="2" t="str">
        <x:v>Malaysia</x:v>
      </x:c>
      <x:c r="C2097" s="2" t="n">
        <x:v>2030</x:v>
      </x:c>
      <x:c r="D2097" s="2" t="str">
        <x:v>WUP_SURFACE</x:v>
      </x:c>
      <x:c r="E2097" s="17" t="n">
        <x:v>2696087212.1303396</x:v>
      </x:c>
      <x:c r="F2097" s="17" t="n">
        <x:f>IF(AND(M2097,ISNUMBER(R2097)),IF(D2097="TEMPO_PROXY",R2097,IF(AND(ISNUMBER(S2097),S2097&gt;0,ISNUMBER(U2097)),U2097*R2097/S2097,"n.a.")),"n.a.")</x:f>
        <x:v>2879730649.7194343</x:v>
      </x:c>
      <x:c r="G2097" s="17" t="n">
        <x:f>IF(AND(ISNUMBER(E2097),ISNUMBER(F2097)),E2097-F2097,"n.a.")</x:f>
        <x:v>-183643437.58909464</x:v>
      </x:c>
      <x:c r="H2097" s="15" t="n">
        <x:f>IF(AND(ISNUMBER(E2097),ISNUMBER(F2097),F2097&gt;0),(E2097-F2097)/F2097,"n.a.")</x:f>
        <x:v>-0.06377104664527795</x:v>
      </x:c>
      <x:c r="I2097" s="19" t="n">
        <x:f>IF(ISNUMBER(H2097),ABS(H2097),"n.a.")</x:f>
        <x:v>0.06377104664527795</x:v>
      </x:c>
      <x:c r="J2097" s="2" t="str">
        <x:v>available</x:v>
      </x:c>
      <x:c r="K2097" s="2" t="n">
        <x:v>1</x:v>
      </x:c>
      <x:c r="L2097" s="13" t="b">
        <x:v>0</x:v>
      </x:c>
      <x:c r="M2097" s="13" t="b">
        <x:v>1</x:v>
      </x:c>
      <x:c r="N2097" s="2" t="str">
        <x:v>projected_CRISP_BU_surface</x:v>
      </x:c>
      <x:c r="O2097" s="2" t="str"/>
      <x:c r="P2097" s="2" t="str">
        <x:v>horizontal built-up surface</x:v>
      </x:c>
      <x:c r="Q2097" s="2" t="str">
        <x:v>m2</x:v>
      </x:c>
      <x:c r="R2097" s="17" t="n">
        <x:v>2713381395.9985814</x:v>
      </x:c>
      <x:c r="S2097" s="17" t="n">
        <x:v>1923172736.52</x:v>
      </x:c>
      <x:c r="T2097" s="18" t="n">
        <x:v>1.0613069928046857</x:v>
      </x:c>
      <x:c r="U2097" s="17" t="n">
        <x:v>2041076673.6399992</x:v>
      </x:c>
      <x:c r="V2097" s="2" t="str">
        <x:v>Area equivalent = model2020 * WUP surface / TEMPO2020 footprint; km2 multiplied by1e6 once</x:v>
      </x:c>
      <x:c r="W2097" s="2" t="str">
        <x:v>L1_numeric_partition_qualified_not_national_completeness</x:v>
      </x:c>
      <x:c r="X2097" s="2" t="str">
        <x:v>https://human-settlement.emergency.copernicus.eu/datasets.php</x:v>
      </x:c>
    </x:row>
    <x:row r="2098" ht="23" customHeight="1">
      <x:c r="A2098" s="2" t="str">
        <x:v>NAM</x:v>
      </x:c>
      <x:c r="B2098" s="2" t="str">
        <x:v>Namibia (Republic of)</x:v>
      </x:c>
      <x:c r="C2098" s="2" t="n">
        <x:v>2030</x:v>
      </x:c>
      <x:c r="D2098" s="2" t="str">
        <x:v>WUP_SURFACE</x:v>
      </x:c>
      <x:c r="E2098" s="17" t="n">
        <x:v>141283699.76074305</x:v>
      </x:c>
      <x:c r="F2098" s="17" t="n">
        <x:f>IF(AND(M2098,ISNUMBER(R2098)),IF(D2098="TEMPO_PROXY",R2098,IF(AND(ISNUMBER(S2098),S2098&gt;0,ISNUMBER(U2098)),U2098*R2098/S2098,"n.a.")),"n.a.")</x:f>
        <x:v>375958829.0903284</x:v>
      </x:c>
      <x:c r="G2098" s="17" t="n">
        <x:f>IF(AND(ISNUMBER(E2098),ISNUMBER(F2098)),E2098-F2098,"n.a.")</x:f>
        <x:v>-234675129.32958534</x:v>
      </x:c>
      <x:c r="H2098" s="15" t="n">
        <x:f>IF(AND(ISNUMBER(E2098),ISNUMBER(F2098),F2098&gt;0),(E2098-F2098)/F2098,"n.a.")</x:f>
        <x:v>-0.624204330823687</x:v>
      </x:c>
      <x:c r="I2098" s="19" t="n">
        <x:f>IF(ISNUMBER(H2098),ABS(H2098),"n.a.")</x:f>
        <x:v>0.624204330823687</x:v>
      </x:c>
      <x:c r="J2098" s="2" t="str">
        <x:v>available</x:v>
      </x:c>
      <x:c r="K2098" s="2" t="n">
        <x:v>1</x:v>
      </x:c>
      <x:c r="L2098" s="13" t="b">
        <x:v>0</x:v>
      </x:c>
      <x:c r="M2098" s="13" t="b">
        <x:v>1</x:v>
      </x:c>
      <x:c r="N2098" s="2" t="str">
        <x:v>projected_CRISP_BU_surface</x:v>
      </x:c>
      <x:c r="O2098" s="2" t="str"/>
      <x:c r="P2098" s="2" t="str">
        <x:v>horizontal built-up surface</x:v>
      </x:c>
      <x:c r="Q2098" s="2" t="str">
        <x:v>m2</x:v>
      </x:c>
      <x:c r="R2098" s="17" t="n">
        <x:v>375958829.09032875</x:v>
      </x:c>
      <x:c r="S2098" s="17" t="n">
        <x:v>112405609.31</x:v>
      </x:c>
      <x:c r="T2098" s="18" t="n">
        <x:v>0.9999999999999992</x:v>
      </x:c>
      <x:c r="U2098" s="17" t="n">
        <x:v>112405609.30999991</x:v>
      </x:c>
      <x:c r="V2098" s="2" t="str">
        <x:v>Area equivalent = model2020 * WUP surface / TEMPO2020 footprint; km2 multiplied by1e6 once</x:v>
      </x:c>
      <x:c r="W2098" s="2" t="str">
        <x:v>L1_numeric_partition_qualified_not_national_completeness</x:v>
      </x:c>
      <x:c r="X2098" s="2" t="str">
        <x:v>https://human-settlement.emergency.copernicus.eu/datasets.php</x:v>
      </x:c>
    </x:row>
    <x:row r="2099" ht="23" customHeight="1">
      <x:c r="A2099" s="2" t="str">
        <x:v>NER</x:v>
      </x:c>
      <x:c r="B2099" s="2" t="str">
        <x:v>Niger (Republic of the)</x:v>
      </x:c>
      <x:c r="C2099" s="2" t="n">
        <x:v>2030</x:v>
      </x:c>
      <x:c r="D2099" s="2" t="str">
        <x:v>WUP_SURFACE</x:v>
      </x:c>
      <x:c r="E2099" s="17" t="n">
        <x:v>298316130.5810053</x:v>
      </x:c>
      <x:c r="F2099" s="17" t="n">
        <x:f>IF(AND(M2099,ISNUMBER(R2099)),IF(D2099="TEMPO_PROXY",R2099,IF(AND(ISNUMBER(S2099),S2099&gt;0,ISNUMBER(U2099)),U2099*R2099/S2099,"n.a.")),"n.a.")</x:f>
        <x:v>1058243698.6310626</x:v>
      </x:c>
      <x:c r="G2099" s="17" t="n">
        <x:f>IF(AND(ISNUMBER(E2099),ISNUMBER(F2099)),E2099-F2099,"n.a.")</x:f>
        <x:v>-759927568.0500574</x:v>
      </x:c>
      <x:c r="H2099" s="15" t="n">
        <x:f>IF(AND(ISNUMBER(E2099),ISNUMBER(F2099),F2099&gt;0),(E2099-F2099)/F2099,"n.a.")</x:f>
        <x:v>-0.7181026157142205</x:v>
      </x:c>
      <x:c r="I2099" s="19" t="n">
        <x:f>IF(ISNUMBER(H2099),ABS(H2099),"n.a.")</x:f>
        <x:v>0.7181026157142205</x:v>
      </x:c>
      <x:c r="J2099" s="2" t="str">
        <x:v>available</x:v>
      </x:c>
      <x:c r="K2099" s="2" t="n">
        <x:v>1</x:v>
      </x:c>
      <x:c r="L2099" s="13" t="b">
        <x:v>0</x:v>
      </x:c>
      <x:c r="M2099" s="13" t="b">
        <x:v>1</x:v>
      </x:c>
      <x:c r="N2099" s="2" t="str">
        <x:v>projected_CRISP_BU_surface</x:v>
      </x:c>
      <x:c r="O2099" s="2" t="str"/>
      <x:c r="P2099" s="2" t="str">
        <x:v>horizontal built-up surface</x:v>
      </x:c>
      <x:c r="Q2099" s="2" t="str">
        <x:v>m2</x:v>
      </x:c>
      <x:c r="R2099" s="17" t="n">
        <x:v>1058243698.6310611</x:v>
      </x:c>
      <x:c r="S2099" s="17" t="n">
        <x:v>203236516.43</x:v>
      </x:c>
      <x:c r="T2099" s="18" t="n">
        <x:v>1.0000000000000016</x:v>
      </x:c>
      <x:c r="U2099" s="17" t="n">
        <x:v>203236516.4300003</x:v>
      </x:c>
      <x:c r="V2099" s="2" t="str">
        <x:v>Area equivalent = model2020 * WUP surface / TEMPO2020 footprint; km2 multiplied by1e6 once</x:v>
      </x:c>
      <x:c r="W2099" s="2" t="str">
        <x:v>L1_numeric_partition_qualified_not_national_completeness</x:v>
      </x:c>
      <x:c r="X2099" s="2" t="str">
        <x:v>https://human-settlement.emergency.copernicus.eu/datasets.php</x:v>
      </x:c>
    </x:row>
    <x:row r="2100" ht="23" customHeight="1">
      <x:c r="A2100" s="2" t="str">
        <x:v>NGA</x:v>
      </x:c>
      <x:c r="B2100" s="2" t="str">
        <x:v>Nigeria (Federal Republic of)</x:v>
      </x:c>
      <x:c r="C2100" s="2" t="n">
        <x:v>2030</x:v>
      </x:c>
      <x:c r="D2100" s="2" t="str">
        <x:v>WUP_SURFACE</x:v>
      </x:c>
      <x:c r="E2100" s="17" t="n">
        <x:v>5506114018.007547</x:v>
      </x:c>
      <x:c r="F2100" s="17" t="n">
        <x:f>IF(AND(M2100,ISNUMBER(R2100)),IF(D2100="TEMPO_PROXY",R2100,IF(AND(ISNUMBER(S2100),S2100&gt;0,ISNUMBER(U2100)),U2100*R2100/S2100,"n.a.")),"n.a.")</x:f>
        <x:v>10922594254.271362</x:v>
      </x:c>
      <x:c r="G2100" s="17" t="n">
        <x:f>IF(AND(ISNUMBER(E2100),ISNUMBER(F2100)),E2100-F2100,"n.a.")</x:f>
        <x:v>-5416480236.263815</x:v>
      </x:c>
      <x:c r="H2100" s="15" t="n">
        <x:f>IF(AND(ISNUMBER(E2100),ISNUMBER(F2100),F2100&gt;0),(E2100-F2100)/F2100,"n.a.")</x:f>
        <x:v>-0.49589686389253723</x:v>
      </x:c>
      <x:c r="I2100" s="19" t="n">
        <x:f>IF(ISNUMBER(H2100),ABS(H2100),"n.a.")</x:f>
        <x:v>0.49589686389253723</x:v>
      </x:c>
      <x:c r="J2100" s="2" t="str">
        <x:v>available</x:v>
      </x:c>
      <x:c r="K2100" s="2" t="n">
        <x:v>1</x:v>
      </x:c>
      <x:c r="L2100" s="13" t="b">
        <x:v>0</x:v>
      </x:c>
      <x:c r="M2100" s="13" t="b">
        <x:v>1</x:v>
      </x:c>
      <x:c r="N2100" s="2" t="str">
        <x:v>projected_CRISP_BU_surface</x:v>
      </x:c>
      <x:c r="O2100" s="2" t="str"/>
      <x:c r="P2100" s="2" t="str">
        <x:v>horizontal built-up surface</x:v>
      </x:c>
      <x:c r="Q2100" s="2" t="str">
        <x:v>m2</x:v>
      </x:c>
      <x:c r="R2100" s="17" t="n">
        <x:v>10922594254.271357</x:v>
      </x:c>
      <x:c r="S2100" s="17" t="n">
        <x:v>4102804870.27</x:v>
      </x:c>
      <x:c r="T2100" s="18" t="n">
        <x:v>1.0000000000000007</x:v>
      </x:c>
      <x:c r="U2100" s="17" t="n">
        <x:v>4102804870.2700024</x:v>
      </x:c>
      <x:c r="V2100" s="2" t="str">
        <x:v>Area equivalent = model2020 * WUP surface / TEMPO2020 footprint; km2 multiplied by1e6 once</x:v>
      </x:c>
      <x:c r="W2100" s="2" t="str">
        <x:v>L1_numeric_partition_qualified_not_national_completeness</x:v>
      </x:c>
      <x:c r="X2100" s="2" t="str">
        <x:v>https://human-settlement.emergency.copernicus.eu/datasets.php</x:v>
      </x:c>
    </x:row>
    <x:row r="2101" ht="23" customHeight="1">
      <x:c r="A2101" s="2" t="str">
        <x:v>NIC</x:v>
      </x:c>
      <x:c r="B2101" s="2" t="str">
        <x:v>Nicaragua (Republic of)</x:v>
      </x:c>
      <x:c r="C2101" s="2" t="n">
        <x:v>2030</x:v>
      </x:c>
      <x:c r="D2101" s="2" t="str">
        <x:v>WUP_SURFACE</x:v>
      </x:c>
      <x:c r="E2101" s="17" t="n">
        <x:v>262707162.74115184</x:v>
      </x:c>
      <x:c r="F2101" s="17" t="n">
        <x:f>IF(AND(M2101,ISNUMBER(R2101)),IF(D2101="TEMPO_PROXY",R2101,IF(AND(ISNUMBER(S2101),S2101&gt;0,ISNUMBER(U2101)),U2101*R2101/S2101,"n.a.")),"n.a.")</x:f>
        <x:v>387386304.04925424</x:v>
      </x:c>
      <x:c r="G2101" s="17" t="n">
        <x:f>IF(AND(ISNUMBER(E2101),ISNUMBER(F2101)),E2101-F2101,"n.a.")</x:f>
        <x:v>-124679141.3081024</x:v>
      </x:c>
      <x:c r="H2101" s="15" t="n">
        <x:f>IF(AND(ISNUMBER(E2101),ISNUMBER(F2101),F2101&gt;0),(E2101-F2101)/F2101,"n.a.")</x:f>
        <x:v>-0.32184705552277365</x:v>
      </x:c>
      <x:c r="I2101" s="19" t="n">
        <x:f>IF(ISNUMBER(H2101),ABS(H2101),"n.a.")</x:f>
        <x:v>0.32184705552277365</x:v>
      </x:c>
      <x:c r="J2101" s="2" t="str">
        <x:v>available</x:v>
      </x:c>
      <x:c r="K2101" s="2" t="n">
        <x:v>1</x:v>
      </x:c>
      <x:c r="L2101" s="13" t="b">
        <x:v>0</x:v>
      </x:c>
      <x:c r="M2101" s="13" t="b">
        <x:v>1</x:v>
      </x:c>
      <x:c r="N2101" s="2" t="str">
        <x:v>projected_CRISP_BU_surface</x:v>
      </x:c>
      <x:c r="O2101" s="2" t="str"/>
      <x:c r="P2101" s="2" t="str">
        <x:v>horizontal built-up surface</x:v>
      </x:c>
      <x:c r="Q2101" s="2" t="str">
        <x:v>m2</x:v>
      </x:c>
      <x:c r="R2101" s="17" t="n">
        <x:v>387386304.0492544</x:v>
      </x:c>
      <x:c r="S2101" s="17" t="n">
        <x:v>201940338.65</x:v>
      </x:c>
      <x:c r="T2101" s="18" t="n">
        <x:v>0.9999999999999996</x:v>
      </x:c>
      <x:c r="U2101" s="17" t="n">
        <x:v>201940338.64999992</x:v>
      </x:c>
      <x:c r="V2101" s="2" t="str">
        <x:v>Area equivalent = model2020 * WUP surface / TEMPO2020 footprint; km2 multiplied by1e6 once</x:v>
      </x:c>
      <x:c r="W2101" s="2" t="str">
        <x:v>L1_numeric_partition_qualified_not_national_completeness</x:v>
      </x:c>
      <x:c r="X2101" s="2" t="str">
        <x:v>https://human-settlement.emergency.copernicus.eu/datasets.php</x:v>
      </x:c>
    </x:row>
    <x:row r="2102" ht="23" customHeight="1">
      <x:c r="A2102" s="2" t="str">
        <x:v>NLD</x:v>
      </x:c>
      <x:c r="B2102" s="2" t="str">
        <x:v>Netherlands (Kingdom of the)</x:v>
      </x:c>
      <x:c r="C2102" s="2" t="n">
        <x:v>2030</x:v>
      </x:c>
      <x:c r="D2102" s="2" t="str">
        <x:v>WUP_SURFACE</x:v>
      </x:c>
      <x:c r="E2102" s="17" t="n">
        <x:v>1969718331.5058422</x:v>
      </x:c>
      <x:c r="F2102" s="17" t="n">
        <x:f>IF(AND(M2102,ISNUMBER(R2102)),IF(D2102="TEMPO_PROXY",R2102,IF(AND(ISNUMBER(S2102),S2102&gt;0,ISNUMBER(U2102)),U2102*R2102/S2102,"n.a.")),"n.a.")</x:f>
        <x:v>2957882740.922419</x:v>
      </x:c>
      <x:c r="G2102" s="17" t="n">
        <x:f>IF(AND(ISNUMBER(E2102),ISNUMBER(F2102)),E2102-F2102,"n.a.")</x:f>
        <x:v>-988164409.4165769</x:v>
      </x:c>
      <x:c r="H2102" s="15" t="n">
        <x:f>IF(AND(ISNUMBER(E2102),ISNUMBER(F2102),F2102&gt;0),(E2102-F2102)/F2102,"n.a.")</x:f>
        <x:v>-0.3340782904424456</x:v>
      </x:c>
      <x:c r="I2102" s="19" t="n">
        <x:f>IF(ISNUMBER(H2102),ABS(H2102),"n.a.")</x:f>
        <x:v>0.3340782904424456</x:v>
      </x:c>
      <x:c r="J2102" s="2" t="str">
        <x:v>available</x:v>
      </x:c>
      <x:c r="K2102" s="2" t="n">
        <x:v>1</x:v>
      </x:c>
      <x:c r="L2102" s="13" t="b">
        <x:v>0</x:v>
      </x:c>
      <x:c r="M2102" s="13" t="b">
        <x:v>1</x:v>
      </x:c>
      <x:c r="N2102" s="2" t="str">
        <x:v>projected_CRISP_BU_surface</x:v>
      </x:c>
      <x:c r="O2102" s="2" t="str"/>
      <x:c r="P2102" s="2" t="str">
        <x:v>horizontal built-up surface</x:v>
      </x:c>
      <x:c r="Q2102" s="2" t="str">
        <x:v>m2</x:v>
      </x:c>
      <x:c r="R2102" s="17" t="n">
        <x:v>2551783472.167306</x:v>
      </x:c>
      <x:c r="S2102" s="17" t="n">
        <x:v>1263819429.15</x:v>
      </x:c>
      <x:c r="T2102" s="18" t="n">
        <x:v>1.1591433102316477</x:v>
      </x:c>
      <x:c r="U2102" s="17" t="n">
        <x:v>1464947836.6400025</x:v>
      </x:c>
      <x:c r="V2102" s="2" t="str">
        <x:v>Area equivalent = model2020 * WUP surface / TEMPO2020 footprint; km2 multiplied by1e6 once</x:v>
      </x:c>
      <x:c r="W2102" s="2" t="str">
        <x:v>L1_numeric_partition_qualified_not_national_completeness</x:v>
      </x:c>
      <x:c r="X2102" s="2" t="str">
        <x:v>https://human-settlement.emergency.copernicus.eu/datasets.php</x:v>
      </x:c>
    </x:row>
    <x:row r="2103" ht="23" customHeight="1">
      <x:c r="A2103" s="2" t="str">
        <x:v>NOR</x:v>
      </x:c>
      <x:c r="B2103" s="2" t="str">
        <x:v>Norway (Kingdom of)</x:v>
      </x:c>
      <x:c r="C2103" s="2" t="n">
        <x:v>2030</x:v>
      </x:c>
      <x:c r="D2103" s="2" t="str">
        <x:v>WUP_SURFACE</x:v>
      </x:c>
      <x:c r="E2103" s="17" t="n">
        <x:v>689773811.8216355</x:v>
      </x:c>
      <x:c r="F2103" s="17" t="n">
        <x:f>IF(AND(M2103,ISNUMBER(R2103)),IF(D2103="TEMPO_PROXY",R2103,IF(AND(ISNUMBER(S2103),S2103&gt;0,ISNUMBER(U2103)),U2103*R2103/S2103,"n.a.")),"n.a.")</x:f>
        <x:v>577093935.7975405</x:v>
      </x:c>
      <x:c r="G2103" s="17" t="n">
        <x:f>IF(AND(ISNUMBER(E2103),ISNUMBER(F2103)),E2103-F2103,"n.a.")</x:f>
        <x:v>112679876.02409494</x:v>
      </x:c>
      <x:c r="H2103" s="15" t="n">
        <x:f>IF(AND(ISNUMBER(E2103),ISNUMBER(F2103),F2103&gt;0),(E2103-F2103)/F2103,"n.a.")</x:f>
        <x:v>0.19525395959736086</x:v>
      </x:c>
      <x:c r="I2103" s="19" t="n">
        <x:f>IF(ISNUMBER(H2103),ABS(H2103),"n.a.")</x:f>
        <x:v>0.19525395959736086</x:v>
      </x:c>
      <x:c r="J2103" s="2" t="str">
        <x:v>available</x:v>
      </x:c>
      <x:c r="K2103" s="2" t="n">
        <x:v>1</x:v>
      </x:c>
      <x:c r="L2103" s="13" t="b">
        <x:v>0</x:v>
      </x:c>
      <x:c r="M2103" s="13" t="b">
        <x:v>1</x:v>
      </x:c>
      <x:c r="N2103" s="2" t="str">
        <x:v>projected_CRISP_BU_surface</x:v>
      </x:c>
      <x:c r="O2103" s="2" t="str"/>
      <x:c r="P2103" s="2" t="str">
        <x:v>horizontal built-up surface</x:v>
      </x:c>
      <x:c r="Q2103" s="2" t="str">
        <x:v>m2</x:v>
      </x:c>
      <x:c r="R2103" s="17" t="n">
        <x:v>577093935.79754</x:v>
      </x:c>
      <x:c r="S2103" s="17" t="n">
        <x:v>478516256.61</x:v>
      </x:c>
      <x:c r="T2103" s="18" t="n">
        <x:v>1.0000000000000009</x:v>
      </x:c>
      <x:c r="U2103" s="17" t="n">
        <x:v>478516256.6100005</x:v>
      </x:c>
      <x:c r="V2103" s="2" t="str">
        <x:v>Area equivalent = model2020 * WUP surface / TEMPO2020 footprint; km2 multiplied by1e6 once</x:v>
      </x:c>
      <x:c r="W2103" s="2" t="str">
        <x:v>L1_numeric_partition_qualified_not_national_completeness</x:v>
      </x:c>
      <x:c r="X2103" s="2" t="str">
        <x:v>https://human-settlement.emergency.copernicus.eu/datasets.php</x:v>
      </x:c>
    </x:row>
    <x:row r="2104" ht="23" customHeight="1">
      <x:c r="A2104" s="2" t="str">
        <x:v>NPL</x:v>
      </x:c>
      <x:c r="B2104" s="2" t="str">
        <x:v>Nepal (Federal Democratic Republic of)</x:v>
      </x:c>
      <x:c r="C2104" s="2" t="n">
        <x:v>2030</x:v>
      </x:c>
      <x:c r="D2104" s="2" t="str">
        <x:v>WUP_SURFACE</x:v>
      </x:c>
      <x:c r="E2104" s="17" t="n">
        <x:v>826685008.3658397</x:v>
      </x:c>
      <x:c r="F2104" s="17" t="n">
        <x:f>IF(AND(M2104,ISNUMBER(R2104)),IF(D2104="TEMPO_PROXY",R2104,IF(AND(ISNUMBER(S2104),S2104&gt;0,ISNUMBER(U2104)),U2104*R2104/S2104,"n.a.")),"n.a.")</x:f>
        <x:v>1383144175.7021828</x:v>
      </x:c>
      <x:c r="G2104" s="17" t="n">
        <x:f>IF(AND(ISNUMBER(E2104),ISNUMBER(F2104)),E2104-F2104,"n.a.")</x:f>
        <x:v>-556459167.336343</x:v>
      </x:c>
      <x:c r="H2104" s="15" t="n">
        <x:f>IF(AND(ISNUMBER(E2104),ISNUMBER(F2104),F2104&gt;0),(E2104-F2104)/F2104,"n.a.")</x:f>
        <x:v>-0.4023146517273549</x:v>
      </x:c>
      <x:c r="I2104" s="19" t="n">
        <x:f>IF(ISNUMBER(H2104),ABS(H2104),"n.a.")</x:f>
        <x:v>0.4023146517273549</x:v>
      </x:c>
      <x:c r="J2104" s="2" t="str">
        <x:v>available</x:v>
      </x:c>
      <x:c r="K2104" s="2" t="n">
        <x:v>1</x:v>
      </x:c>
      <x:c r="L2104" s="13" t="b">
        <x:v>0</x:v>
      </x:c>
      <x:c r="M2104" s="13" t="b">
        <x:v>1</x:v>
      </x:c>
      <x:c r="N2104" s="2" t="str">
        <x:v>projected_CRISP_BU_surface</x:v>
      </x:c>
      <x:c r="O2104" s="2" t="str"/>
      <x:c r="P2104" s="2" t="str">
        <x:v>horizontal built-up surface</x:v>
      </x:c>
      <x:c r="Q2104" s="2" t="str">
        <x:v>m2</x:v>
      </x:c>
      <x:c r="R2104" s="17" t="n">
        <x:v>1383144175.7021842</x:v>
      </x:c>
      <x:c r="S2104" s="17" t="n">
        <x:v>656084354.5</x:v>
      </x:c>
      <x:c r="T2104" s="18" t="n">
        <x:v>0.9999999999999989</x:v>
      </x:c>
      <x:c r="U2104" s="17" t="n">
        <x:v>656084354.4999993</x:v>
      </x:c>
      <x:c r="V2104" s="2" t="str">
        <x:v>Area equivalent = model2020 * WUP surface / TEMPO2020 footprint; km2 multiplied by1e6 once</x:v>
      </x:c>
      <x:c r="W2104" s="2" t="str">
        <x:v>L1_numeric_partition_qualified_not_national_completeness</x:v>
      </x:c>
      <x:c r="X2104" s="2" t="str">
        <x:v>https://human-settlement.emergency.copernicus.eu/datasets.php</x:v>
      </x:c>
    </x:row>
    <x:row r="2105" ht="23" customHeight="1">
      <x:c r="A2105" s="2" t="str">
        <x:v>NRU</x:v>
      </x:c>
      <x:c r="B2105" s="2" t="str">
        <x:v>Nauru (Republic of)</x:v>
      </x:c>
      <x:c r="C2105" s="2" t="n">
        <x:v>2030</x:v>
      </x:c>
      <x:c r="D2105" s="2" t="str">
        <x:v>WUP_SURFACE</x:v>
      </x:c>
      <x:c r="E2105" s="17" t="n">
        <x:v>538531.1922008813</x:v>
      </x:c>
      <x:c r="F2105" s="17" t="n">
        <x:f>IF(AND(M2105,ISNUMBER(R2105)),IF(D2105="TEMPO_PROXY",R2105,IF(AND(ISNUMBER(S2105),S2105&gt;0,ISNUMBER(U2105)),U2105*R2105/S2105,"n.a.")),"n.a.")</x:f>
        <x:v>998616.5593145422</x:v>
      </x:c>
      <x:c r="G2105" s="17" t="n">
        <x:f>IF(AND(ISNUMBER(E2105),ISNUMBER(F2105)),E2105-F2105,"n.a.")</x:f>
        <x:v>-460085.3671136609</x:v>
      </x:c>
      <x:c r="H2105" s="15" t="n">
        <x:f>IF(AND(ISNUMBER(E2105),ISNUMBER(F2105),F2105&gt;0),(E2105-F2105)/F2105,"n.a.")</x:f>
        <x:v>-0.4607227497103262</x:v>
      </x:c>
      <x:c r="I2105" s="19" t="n">
        <x:f>IF(ISNUMBER(H2105),ABS(H2105),"n.a.")</x:f>
        <x:v>0.4607227497103262</x:v>
      </x:c>
      <x:c r="J2105" s="2" t="str">
        <x:v>available</x:v>
      </x:c>
      <x:c r="K2105" s="2" t="n">
        <x:v>1</x:v>
      </x:c>
      <x:c r="L2105" s="13" t="b">
        <x:v>0</x:v>
      </x:c>
      <x:c r="M2105" s="13" t="b">
        <x:v>1</x:v>
      </x:c>
      <x:c r="N2105" s="2" t="str">
        <x:v>projected_CRISP_BU_surface</x:v>
      </x:c>
      <x:c r="O2105" s="2" t="str"/>
      <x:c r="P2105" s="2" t="str">
        <x:v>horizontal built-up surface</x:v>
      </x:c>
      <x:c r="Q2105" s="2" t="str">
        <x:v>m2</x:v>
      </x:c>
      <x:c r="R2105" s="17" t="n">
        <x:v>998616.5593145416</x:v>
      </x:c>
      <x:c r="S2105" s="17" t="n">
        <x:v>405989.38</x:v>
      </x:c>
      <x:c r="T2105" s="18" t="n">
        <x:v>1.0000000000000007</x:v>
      </x:c>
      <x:c r="U2105" s="17" t="n">
        <x:v>405989.38000000024</x:v>
      </x:c>
      <x:c r="V2105" s="2" t="str">
        <x:v>Area equivalent = model2020 * WUP surface / TEMPO2020 footprint; km2 multiplied by1e6 once</x:v>
      </x:c>
      <x:c r="W2105" s="2" t="str">
        <x:v>L1_numeric_partition_qualified_not_national_completeness</x:v>
      </x:c>
      <x:c r="X2105" s="2" t="str">
        <x:v>https://human-settlement.emergency.copernicus.eu/datasets.php</x:v>
      </x:c>
    </x:row>
    <x:row r="2106" ht="23" customHeight="1">
      <x:c r="A2106" s="2" t="str">
        <x:v>NZL</x:v>
      </x:c>
      <x:c r="B2106" s="2" t="str">
        <x:v>New Zealand</x:v>
      </x:c>
      <x:c r="C2106" s="2" t="n">
        <x:v>2030</x:v>
      </x:c>
      <x:c r="D2106" s="2" t="str">
        <x:v>WUP_SURFACE</x:v>
      </x:c>
      <x:c r="E2106" s="17" t="n">
        <x:v>603554995.7481825</x:v>
      </x:c>
      <x:c r="F2106" s="17" t="n">
        <x:f>IF(AND(M2106,ISNUMBER(R2106)),IF(D2106="TEMPO_PROXY",R2106,IF(AND(ISNUMBER(S2106),S2106&gt;0,ISNUMBER(U2106)),U2106*R2106/S2106,"n.a.")),"n.a.")</x:f>
        <x:v>1043762020.3496068</x:v>
      </x:c>
      <x:c r="G2106" s="17" t="n">
        <x:f>IF(AND(ISNUMBER(E2106),ISNUMBER(F2106)),E2106-F2106,"n.a.")</x:f>
        <x:v>-440207024.6014242</x:v>
      </x:c>
      <x:c r="H2106" s="15" t="n">
        <x:f>IF(AND(ISNUMBER(E2106),ISNUMBER(F2106),F2106&gt;0),(E2106-F2106)/F2106,"n.a.")</x:f>
        <x:v>-0.42175037606175536</x:v>
      </x:c>
      <x:c r="I2106" s="19" t="n">
        <x:f>IF(ISNUMBER(H2106),ABS(H2106),"n.a.")</x:f>
        <x:v>0.42175037606175536</x:v>
      </x:c>
      <x:c r="J2106" s="2" t="str">
        <x:v>available</x:v>
      </x:c>
      <x:c r="K2106" s="2" t="n">
        <x:v>1</x:v>
      </x:c>
      <x:c r="L2106" s="13" t="b">
        <x:v>0</x:v>
      </x:c>
      <x:c r="M2106" s="13" t="b">
        <x:v>1</x:v>
      </x:c>
      <x:c r="N2106" s="2" t="str">
        <x:v>projected_CRISP_BU_surface</x:v>
      </x:c>
      <x:c r="O2106" s="2" t="str"/>
      <x:c r="P2106" s="2" t="str">
        <x:v>horizontal built-up surface</x:v>
      </x:c>
      <x:c r="Q2106" s="2" t="str">
        <x:v>m2</x:v>
      </x:c>
      <x:c r="R2106" s="17" t="n">
        <x:v>1043762020.3496083</x:v>
      </x:c>
      <x:c r="S2106" s="17" t="n">
        <x:v>553529463.79</x:v>
      </x:c>
      <x:c r="T2106" s="18" t="n">
        <x:v>0.9999999999999984</x:v>
      </x:c>
      <x:c r="U2106" s="17" t="n">
        <x:v>553529463.7899991</x:v>
      </x:c>
      <x:c r="V2106" s="2" t="str">
        <x:v>Area equivalent = model2020 * WUP surface / TEMPO2020 footprint; km2 multiplied by1e6 once</x:v>
      </x:c>
      <x:c r="W2106" s="2" t="str">
        <x:v>L1_numeric_partition_qualified_not_national_completeness</x:v>
      </x:c>
      <x:c r="X2106" s="2" t="str">
        <x:v>https://human-settlement.emergency.copernicus.eu/datasets.php</x:v>
      </x:c>
    </x:row>
    <x:row r="2107" ht="23" customHeight="1">
      <x:c r="A2107" s="2" t="str">
        <x:v>OMN</x:v>
      </x:c>
      <x:c r="B2107" s="2" t="str">
        <x:v>Oman (Sultanate of)</x:v>
      </x:c>
      <x:c r="C2107" s="2" t="n">
        <x:v>2030</x:v>
      </x:c>
      <x:c r="D2107" s="2" t="str">
        <x:v>WUP_SURFACE</x:v>
      </x:c>
      <x:c r="E2107" s="17" t="n">
        <x:v>341788805.3813045</x:v>
      </x:c>
      <x:c r="F2107" s="17" t="n">
        <x:f>IF(AND(M2107,ISNUMBER(R2107)),IF(D2107="TEMPO_PROXY",R2107,IF(AND(ISNUMBER(S2107),S2107&gt;0,ISNUMBER(U2107)),U2107*R2107/S2107,"n.a.")),"n.a.")</x:f>
        <x:v>568632467.8172454</x:v>
      </x:c>
      <x:c r="G2107" s="17" t="n">
        <x:f>IF(AND(ISNUMBER(E2107),ISNUMBER(F2107)),E2107-F2107,"n.a.")</x:f>
        <x:v>-226843662.43594086</x:v>
      </x:c>
      <x:c r="H2107" s="15" t="n">
        <x:f>IF(AND(ISNUMBER(E2107),ISNUMBER(F2107),F2107&gt;0),(E2107-F2107)/F2107,"n.a.")</x:f>
        <x:v>-0.3989284384458449</x:v>
      </x:c>
      <x:c r="I2107" s="19" t="n">
        <x:f>IF(ISNUMBER(H2107),ABS(H2107),"n.a.")</x:f>
        <x:v>0.3989284384458449</x:v>
      </x:c>
      <x:c r="J2107" s="2" t="str">
        <x:v>available</x:v>
      </x:c>
      <x:c r="K2107" s="2" t="n">
        <x:v>1</x:v>
      </x:c>
      <x:c r="L2107" s="13" t="b">
        <x:v>0</x:v>
      </x:c>
      <x:c r="M2107" s="13" t="b">
        <x:v>1</x:v>
      </x:c>
      <x:c r="N2107" s="2" t="str">
        <x:v>projected_CRISP_BU_surface</x:v>
      </x:c>
      <x:c r="O2107" s="2" t="str"/>
      <x:c r="P2107" s="2" t="str">
        <x:v>horizontal built-up surface</x:v>
      </x:c>
      <x:c r="Q2107" s="2" t="str">
        <x:v>m2</x:v>
      </x:c>
      <x:c r="R2107" s="17" t="n">
        <x:v>568632467.8172449</x:v>
      </x:c>
      <x:c r="S2107" s="17" t="n">
        <x:v>262659820.85</x:v>
      </x:c>
      <x:c r="T2107" s="18" t="n">
        <x:v>1.0000000000000009</x:v>
      </x:c>
      <x:c r="U2107" s="17" t="n">
        <x:v>262659820.8500002</x:v>
      </x:c>
      <x:c r="V2107" s="2" t="str">
        <x:v>Area equivalent = model2020 * WUP surface / TEMPO2020 footprint; km2 multiplied by1e6 once</x:v>
      </x:c>
      <x:c r="W2107" s="2" t="str">
        <x:v>L1_numeric_partition_qualified_not_national_completeness</x:v>
      </x:c>
      <x:c r="X2107" s="2" t="str">
        <x:v>https://human-settlement.emergency.copernicus.eu/datasets.php</x:v>
      </x:c>
    </x:row>
    <x:row r="2108" ht="23" customHeight="1">
      <x:c r="A2108" s="2" t="str">
        <x:v>PAK</x:v>
      </x:c>
      <x:c r="B2108" s="2" t="str">
        <x:v>Pakistan (Islamic Republic of)</x:v>
      </x:c>
      <x:c r="C2108" s="2" t="n">
        <x:v>2030</x:v>
      </x:c>
      <x:c r="D2108" s="2" t="str">
        <x:v>WUP_SURFACE</x:v>
      </x:c>
      <x:c r="E2108" s="17" t="n">
        <x:v>5902952014.0126915</x:v>
      </x:c>
      <x:c r="F2108" s="17" t="n">
        <x:f>IF(AND(M2108,ISNUMBER(R2108)),IF(D2108="TEMPO_PROXY",R2108,IF(AND(ISNUMBER(S2108),S2108&gt;0,ISNUMBER(U2108)),U2108*R2108/S2108,"n.a.")),"n.a.")</x:f>
        <x:v>8544396990.532142</x:v>
      </x:c>
      <x:c r="G2108" s="17" t="n">
        <x:f>IF(AND(ISNUMBER(E2108),ISNUMBER(F2108)),E2108-F2108,"n.a.")</x:f>
        <x:v>-2641444976.51945</x:v>
      </x:c>
      <x:c r="H2108" s="15" t="n">
        <x:f>IF(AND(ISNUMBER(E2108),ISNUMBER(F2108),F2108&gt;0),(E2108-F2108)/F2108,"n.a.")</x:f>
        <x:v>-0.30914352170742737</x:v>
      </x:c>
      <x:c r="I2108" s="19" t="n">
        <x:f>IF(ISNUMBER(H2108),ABS(H2108),"n.a.")</x:f>
        <x:v>0.30914352170742737</x:v>
      </x:c>
      <x:c r="J2108" s="2" t="str">
        <x:v>available</x:v>
      </x:c>
      <x:c r="K2108" s="2" t="n">
        <x:v>1</x:v>
      </x:c>
      <x:c r="L2108" s="13" t="b">
        <x:v>0</x:v>
      </x:c>
      <x:c r="M2108" s="13" t="b">
        <x:v>1</x:v>
      </x:c>
      <x:c r="N2108" s="2" t="str">
        <x:v>projected_CRISP_BU_surface</x:v>
      </x:c>
      <x:c r="O2108" s="2" t="str"/>
      <x:c r="P2108" s="2" t="str">
        <x:v>horizontal built-up surface</x:v>
      </x:c>
      <x:c r="Q2108" s="2" t="str">
        <x:v>m2</x:v>
      </x:c>
      <x:c r="R2108" s="17" t="n">
        <x:v>8544396990.532132</x:v>
      </x:c>
      <x:c r="S2108" s="17" t="n">
        <x:v>4301390083.52</x:v>
      </x:c>
      <x:c r="T2108" s="18" t="n">
        <x:v>1.000000000000001</x:v>
      </x:c>
      <x:c r="U2108" s="17" t="n">
        <x:v>4301390083.520005</x:v>
      </x:c>
      <x:c r="V2108" s="2" t="str">
        <x:v>Area equivalent = model2020 * WUP surface / TEMPO2020 footprint; km2 multiplied by1e6 once</x:v>
      </x:c>
      <x:c r="W2108" s="2" t="str">
        <x:v>L1_numeric_partition_qualified_not_national_completeness</x:v>
      </x:c>
      <x:c r="X2108" s="2" t="str">
        <x:v>https://human-settlement.emergency.copernicus.eu/datasets.php</x:v>
      </x:c>
    </x:row>
    <x:row r="2109" ht="23" customHeight="1">
      <x:c r="A2109" s="2" t="str">
        <x:v>PAN</x:v>
      </x:c>
      <x:c r="B2109" s="2" t="str">
        <x:v>Panama (Republic of)</x:v>
      </x:c>
      <x:c r="C2109" s="2" t="n">
        <x:v>2030</x:v>
      </x:c>
      <x:c r="D2109" s="2" t="str">
        <x:v>WUP_SURFACE</x:v>
      </x:c>
      <x:c r="E2109" s="17" t="n">
        <x:v>264763852.88949764</x:v>
      </x:c>
      <x:c r="F2109" s="17" t="n">
        <x:f>IF(AND(M2109,ISNUMBER(R2109)),IF(D2109="TEMPO_PROXY",R2109,IF(AND(ISNUMBER(S2109),S2109&gt;0,ISNUMBER(U2109)),U2109*R2109/S2109,"n.a.")),"n.a.")</x:f>
        <x:v>366010271.0111584</x:v>
      </x:c>
      <x:c r="G2109" s="17" t="n">
        <x:f>IF(AND(ISNUMBER(E2109),ISNUMBER(F2109)),E2109-F2109,"n.a.")</x:f>
        <x:v>-101246418.12166077</x:v>
      </x:c>
      <x:c r="H2109" s="15" t="n">
        <x:f>IF(AND(ISNUMBER(E2109),ISNUMBER(F2109),F2109&gt;0),(E2109-F2109)/F2109,"n.a.")</x:f>
        <x:v>-0.2766217949074279</x:v>
      </x:c>
      <x:c r="I2109" s="19" t="n">
        <x:f>IF(ISNUMBER(H2109),ABS(H2109),"n.a.")</x:f>
        <x:v>0.2766217949074279</x:v>
      </x:c>
      <x:c r="J2109" s="2" t="str">
        <x:v>available</x:v>
      </x:c>
      <x:c r="K2109" s="2" t="n">
        <x:v>1</x:v>
      </x:c>
      <x:c r="L2109" s="13" t="b">
        <x:v>0</x:v>
      </x:c>
      <x:c r="M2109" s="13" t="b">
        <x:v>1</x:v>
      </x:c>
      <x:c r="N2109" s="2" t="str">
        <x:v>projected_CRISP_BU_surface</x:v>
      </x:c>
      <x:c r="O2109" s="2" t="str"/>
      <x:c r="P2109" s="2" t="str">
        <x:v>horizontal built-up surface</x:v>
      </x:c>
      <x:c r="Q2109" s="2" t="str">
        <x:v>m2</x:v>
      </x:c>
      <x:c r="R2109" s="17" t="n">
        <x:v>366010271.0111583</x:v>
      </x:c>
      <x:c r="S2109" s="17" t="n">
        <x:v>209722829.78</x:v>
      </x:c>
      <x:c r="T2109" s="18" t="n">
        <x:v>1.0000000000000004</x:v>
      </x:c>
      <x:c r="U2109" s="17" t="n">
        <x:v>209722829.7800001</x:v>
      </x:c>
      <x:c r="V2109" s="2" t="str">
        <x:v>Area equivalent = model2020 * WUP surface / TEMPO2020 footprint; km2 multiplied by1e6 once</x:v>
      </x:c>
      <x:c r="W2109" s="2" t="str">
        <x:v>L1_numeric_partition_qualified_not_national_completeness</x:v>
      </x:c>
      <x:c r="X2109" s="2" t="str">
        <x:v>https://human-settlement.emergency.copernicus.eu/datasets.php</x:v>
      </x:c>
    </x:row>
    <x:row r="2110" ht="23" customHeight="1">
      <x:c r="A2110" s="2" t="str">
        <x:v>PER</x:v>
      </x:c>
      <x:c r="B2110" s="2" t="str">
        <x:v>Peru (Republic of)</x:v>
      </x:c>
      <x:c r="C2110" s="2" t="n">
        <x:v>2030</x:v>
      </x:c>
      <x:c r="D2110" s="2" t="str">
        <x:v>WUP_SURFACE</x:v>
      </x:c>
      <x:c r="E2110" s="17" t="n">
        <x:v>1593151241.5959768</x:v>
      </x:c>
      <x:c r="F2110" s="17" t="n">
        <x:f>IF(AND(M2110,ISNUMBER(R2110)),IF(D2110="TEMPO_PROXY",R2110,IF(AND(ISNUMBER(S2110),S2110&gt;0,ISNUMBER(U2110)),U2110*R2110/S2110,"n.a.")),"n.a.")</x:f>
        <x:v>1891396756.6280034</x:v>
      </x:c>
      <x:c r="G2110" s="17" t="n">
        <x:f>IF(AND(ISNUMBER(E2110),ISNUMBER(F2110)),E2110-F2110,"n.a.")</x:f>
        <x:v>-298245515.0320265</x:v>
      </x:c>
      <x:c r="H2110" s="15" t="n">
        <x:f>IF(AND(ISNUMBER(E2110),ISNUMBER(F2110),F2110&gt;0),(E2110-F2110)/F2110,"n.a.")</x:f>
        <x:v>-0.15768532645881286</x:v>
      </x:c>
      <x:c r="I2110" s="19" t="n">
        <x:f>IF(ISNUMBER(H2110),ABS(H2110),"n.a.")</x:f>
        <x:v>0.15768532645881286</x:v>
      </x:c>
      <x:c r="J2110" s="2" t="str">
        <x:v>available</x:v>
      </x:c>
      <x:c r="K2110" s="2" t="n">
        <x:v>1</x:v>
      </x:c>
      <x:c r="L2110" s="13" t="b">
        <x:v>0</x:v>
      </x:c>
      <x:c r="M2110" s="13" t="b">
        <x:v>1</x:v>
      </x:c>
      <x:c r="N2110" s="2" t="str">
        <x:v>projected_CRISP_BU_surface</x:v>
      </x:c>
      <x:c r="O2110" s="2" t="str"/>
      <x:c r="P2110" s="2" t="str">
        <x:v>horizontal built-up surface</x:v>
      </x:c>
      <x:c r="Q2110" s="2" t="str">
        <x:v>m2</x:v>
      </x:c>
      <x:c r="R2110" s="17" t="n">
        <x:v>1891396756.6280017</x:v>
      </x:c>
      <x:c r="S2110" s="17" t="n">
        <x:v>1228349086.86</x:v>
      </x:c>
      <x:c r="T2110" s="18" t="n">
        <x:v>1.0000000000000009</x:v>
      </x:c>
      <x:c r="U2110" s="17" t="n">
        <x:v>1228349086.860001</x:v>
      </x:c>
      <x:c r="V2110" s="2" t="str">
        <x:v>Area equivalent = model2020 * WUP surface / TEMPO2020 footprint; km2 multiplied by1e6 once</x:v>
      </x:c>
      <x:c r="W2110" s="2" t="str">
        <x:v>L1_numeric_partition_qualified_not_national_completeness</x:v>
      </x:c>
      <x:c r="X2110" s="2" t="str">
        <x:v>https://human-settlement.emergency.copernicus.eu/datasets.php</x:v>
      </x:c>
    </x:row>
    <x:row r="2111" ht="23" customHeight="1">
      <x:c r="A2111" s="2" t="str">
        <x:v>PHL</x:v>
      </x:c>
      <x:c r="B2111" s="2" t="str">
        <x:v>Philippines (Republic of the)</x:v>
      </x:c>
      <x:c r="C2111" s="2" t="n">
        <x:v>2030</x:v>
      </x:c>
      <x:c r="D2111" s="2" t="str">
        <x:v>WUP_SURFACE</x:v>
      </x:c>
      <x:c r="E2111" s="17" t="n">
        <x:v>3220687971.8201823</x:v>
      </x:c>
      <x:c r="F2111" s="17" t="n">
        <x:f>IF(AND(M2111,ISNUMBER(R2111)),IF(D2111="TEMPO_PROXY",R2111,IF(AND(ISNUMBER(S2111),S2111&gt;0,ISNUMBER(U2111)),U2111*R2111/S2111,"n.a.")),"n.a.")</x:f>
        <x:v>3379797586.5381236</x:v>
      </x:c>
      <x:c r="G2111" s="17" t="n">
        <x:f>IF(AND(ISNUMBER(E2111),ISNUMBER(F2111)),E2111-F2111,"n.a.")</x:f>
        <x:v>-159109614.71794128</x:v>
      </x:c>
      <x:c r="H2111" s="15" t="n">
        <x:f>IF(AND(ISNUMBER(E2111),ISNUMBER(F2111),F2111&gt;0),(E2111-F2111)/F2111,"n.a.")</x:f>
        <x:v>-0.04707666972474375</x:v>
      </x:c>
      <x:c r="I2111" s="19" t="n">
        <x:f>IF(ISNUMBER(H2111),ABS(H2111),"n.a.")</x:f>
        <x:v>0.04707666972474375</x:v>
      </x:c>
      <x:c r="J2111" s="2" t="str">
        <x:v>available</x:v>
      </x:c>
      <x:c r="K2111" s="2" t="n">
        <x:v>1</x:v>
      </x:c>
      <x:c r="L2111" s="13" t="b">
        <x:v>0</x:v>
      </x:c>
      <x:c r="M2111" s="13" t="b">
        <x:v>1</x:v>
      </x:c>
      <x:c r="N2111" s="2" t="str">
        <x:v>projected_CRISP_BU_surface</x:v>
      </x:c>
      <x:c r="O2111" s="2" t="str"/>
      <x:c r="P2111" s="2" t="str">
        <x:v>horizontal built-up surface</x:v>
      </x:c>
      <x:c r="Q2111" s="2" t="str">
        <x:v>m2</x:v>
      </x:c>
      <x:c r="R2111" s="17" t="n">
        <x:v>3379797586.538122</x:v>
      </x:c>
      <x:c r="S2111" s="17" t="n">
        <x:v>2290609295.4</x:v>
      </x:c>
      <x:c r="T2111" s="18" t="n">
        <x:v>1.0000000000000004</x:v>
      </x:c>
      <x:c r="U2111" s="17" t="n">
        <x:v>2290609295.400001</x:v>
      </x:c>
      <x:c r="V2111" s="2" t="str">
        <x:v>Area equivalent = model2020 * WUP surface / TEMPO2020 footprint; km2 multiplied by1e6 once</x:v>
      </x:c>
      <x:c r="W2111" s="2" t="str">
        <x:v>L1_numeric_partition_qualified_not_national_completeness</x:v>
      </x:c>
      <x:c r="X2111" s="2" t="str">
        <x:v>https://human-settlement.emergency.copernicus.eu/datasets.php</x:v>
      </x:c>
    </x:row>
    <x:row r="2112" ht="23" customHeight="1">
      <x:c r="A2112" s="2" t="str">
        <x:v>PLW</x:v>
      </x:c>
      <x:c r="B2112" s="2" t="str">
        <x:v>Palau (Republic of)</x:v>
      </x:c>
      <x:c r="C2112" s="2" t="n">
        <x:v>2030</x:v>
      </x:c>
      <x:c r="D2112" s="2" t="str">
        <x:v>WUP_SURFACE</x:v>
      </x:c>
      <x:c r="E2112" s="17" t="n">
        <x:v>1295370.6850775776</x:v>
      </x:c>
      <x:c r="F2112" s="17" t="n">
        <x:f>IF(AND(M2112,ISNUMBER(R2112)),IF(D2112="TEMPO_PROXY",R2112,IF(AND(ISNUMBER(S2112),S2112&gt;0,ISNUMBER(U2112)),U2112*R2112/S2112,"n.a.")),"n.a.")</x:f>
        <x:v>1443893.1473835055</x:v>
      </x:c>
      <x:c r="G2112" s="17" t="n">
        <x:f>IF(AND(ISNUMBER(E2112),ISNUMBER(F2112)),E2112-F2112,"n.a.")</x:f>
        <x:v>-148522.46230592788</x:v>
      </x:c>
      <x:c r="H2112" s="15" t="n">
        <x:f>IF(AND(ISNUMBER(E2112),ISNUMBER(F2112),F2112&gt;0),(E2112-F2112)/F2112,"n.a.")</x:f>
        <x:v>-0.10286250237773277</x:v>
      </x:c>
      <x:c r="I2112" s="19" t="n">
        <x:f>IF(ISNUMBER(H2112),ABS(H2112),"n.a.")</x:f>
        <x:v>0.10286250237773277</x:v>
      </x:c>
      <x:c r="J2112" s="2" t="str">
        <x:v>available</x:v>
      </x:c>
      <x:c r="K2112" s="2" t="n">
        <x:v>1</x:v>
      </x:c>
      <x:c r="L2112" s="13" t="b">
        <x:v>0</x:v>
      </x:c>
      <x:c r="M2112" s="13" t="b">
        <x:v>1</x:v>
      </x:c>
      <x:c r="N2112" s="2" t="str">
        <x:v>projected_CRISP_BU_surface</x:v>
      </x:c>
      <x:c r="O2112" s="2" t="str"/>
      <x:c r="P2112" s="2" t="str">
        <x:v>horizontal built-up surface</x:v>
      </x:c>
      <x:c r="Q2112" s="2" t="str">
        <x:v>m2</x:v>
      </x:c>
      <x:c r="R2112" s="17" t="n">
        <x:v>1443893.1473835055</x:v>
      </x:c>
      <x:c r="S2112" s="17" t="n">
        <x:v>1152226.26</x:v>
      </x:c>
      <x:c r="T2112" s="18" t="n">
        <x:v>1</x:v>
      </x:c>
      <x:c r="U2112" s="17" t="n">
        <x:v>1152226.26</x:v>
      </x:c>
      <x:c r="V2112" s="2" t="str">
        <x:v>Area equivalent = model2020 * WUP surface / TEMPO2020 footprint; km2 multiplied by1e6 once</x:v>
      </x:c>
      <x:c r="W2112" s="2" t="str">
        <x:v>L1_numeric_partition_qualified_not_national_completeness</x:v>
      </x:c>
      <x:c r="X2112" s="2" t="str">
        <x:v>https://human-settlement.emergency.copernicus.eu/datasets.php</x:v>
      </x:c>
    </x:row>
    <x:row r="2113" ht="23" customHeight="1">
      <x:c r="A2113" s="2" t="str">
        <x:v>PNG</x:v>
      </x:c>
      <x:c r="B2113" s="2" t="str">
        <x:v>Papua New Guinea (Independent State of)</x:v>
      </x:c>
      <x:c r="C2113" s="2" t="n">
        <x:v>2030</x:v>
      </x:c>
      <x:c r="D2113" s="2" t="str">
        <x:v>WUP_SURFACE</x:v>
      </x:c>
      <x:c r="E2113" s="17" t="n">
        <x:v>165149842.90269384</x:v>
      </x:c>
      <x:c r="F2113" s="17" t="n">
        <x:f>IF(AND(M2113,ISNUMBER(R2113)),IF(D2113="TEMPO_PROXY",R2113,IF(AND(ISNUMBER(S2113),S2113&gt;0,ISNUMBER(U2113)),U2113*R2113/S2113,"n.a.")),"n.a.")</x:f>
        <x:v>278250701.17703944</x:v>
      </x:c>
      <x:c r="G2113" s="17" t="n">
        <x:f>IF(AND(ISNUMBER(E2113),ISNUMBER(F2113)),E2113-F2113,"n.a.")</x:f>
        <x:v>-113100858.2743456</x:v>
      </x:c>
      <x:c r="H2113" s="15" t="n">
        <x:f>IF(AND(ISNUMBER(E2113),ISNUMBER(F2113),F2113&gt;0),(E2113-F2113)/F2113,"n.a.")</x:f>
        <x:v>-0.4064710629511916</x:v>
      </x:c>
      <x:c r="I2113" s="19" t="n">
        <x:f>IF(ISNUMBER(H2113),ABS(H2113),"n.a.")</x:f>
        <x:v>0.4064710629511916</x:v>
      </x:c>
      <x:c r="J2113" s="2" t="str">
        <x:v>available</x:v>
      </x:c>
      <x:c r="K2113" s="2" t="n">
        <x:v>1</x:v>
      </x:c>
      <x:c r="L2113" s="13" t="b">
        <x:v>0</x:v>
      </x:c>
      <x:c r="M2113" s="13" t="b">
        <x:v>1</x:v>
      </x:c>
      <x:c r="N2113" s="2" t="str">
        <x:v>projected_CRISP_BU_surface</x:v>
      </x:c>
      <x:c r="O2113" s="2" t="str"/>
      <x:c r="P2113" s="2" t="str">
        <x:v>horizontal built-up surface</x:v>
      </x:c>
      <x:c r="Q2113" s="2" t="str">
        <x:v>m2</x:v>
      </x:c>
      <x:c r="R2113" s="17" t="n">
        <x:v>278250701.17703897</x:v>
      </x:c>
      <x:c r="S2113" s="17" t="n">
        <x:v>111325792.03</x:v>
      </x:c>
      <x:c r="T2113" s="18" t="n">
        <x:v>1.0000000000000016</x:v>
      </x:c>
      <x:c r="U2113" s="17" t="n">
        <x:v>111325792.03000018</x:v>
      </x:c>
      <x:c r="V2113" s="2" t="str">
        <x:v>Area equivalent = model2020 * WUP surface / TEMPO2020 footprint; km2 multiplied by1e6 once</x:v>
      </x:c>
      <x:c r="W2113" s="2" t="str">
        <x:v>L1_numeric_partition_qualified_not_national_completeness</x:v>
      </x:c>
      <x:c r="X2113" s="2" t="str">
        <x:v>https://human-settlement.emergency.copernicus.eu/datasets.php</x:v>
      </x:c>
    </x:row>
    <x:row r="2114" ht="23" customHeight="1">
      <x:c r="A2114" s="2" t="str">
        <x:v>POL</x:v>
      </x:c>
      <x:c r="B2114" s="2" t="str">
        <x:v>Poland (Republic of)</x:v>
      </x:c>
      <x:c r="C2114" s="2" t="n">
        <x:v>2030</x:v>
      </x:c>
      <x:c r="D2114" s="2" t="str">
        <x:v>WUP_SURFACE</x:v>
      </x:c>
      <x:c r="E2114" s="17" t="n">
        <x:v>2996491120.5343604</x:v>
      </x:c>
      <x:c r="F2114" s="17" t="n">
        <x:f>IF(AND(M2114,ISNUMBER(R2114)),IF(D2114="TEMPO_PROXY",R2114,IF(AND(ISNUMBER(S2114),S2114&gt;0,ISNUMBER(U2114)),U2114*R2114/S2114,"n.a.")),"n.a.")</x:f>
        <x:v>5289883925.927979</x:v>
      </x:c>
      <x:c r="G2114" s="17" t="n">
        <x:f>IF(AND(ISNUMBER(E2114),ISNUMBER(F2114)),E2114-F2114,"n.a.")</x:f>
        <x:v>-2293392805.393619</x:v>
      </x:c>
      <x:c r="H2114" s="15" t="n">
        <x:f>IF(AND(ISNUMBER(E2114),ISNUMBER(F2114),F2114&gt;0),(E2114-F2114)/F2114,"n.a.")</x:f>
        <x:v>-0.4335431244819422</x:v>
      </x:c>
      <x:c r="I2114" s="19" t="n">
        <x:f>IF(ISNUMBER(H2114),ABS(H2114),"n.a.")</x:f>
        <x:v>0.4335431244819422</x:v>
      </x:c>
      <x:c r="J2114" s="2" t="str">
        <x:v>available</x:v>
      </x:c>
      <x:c r="K2114" s="2" t="n">
        <x:v>1</x:v>
      </x:c>
      <x:c r="L2114" s="13" t="b">
        <x:v>0</x:v>
      </x:c>
      <x:c r="M2114" s="13" t="b">
        <x:v>1</x:v>
      </x:c>
      <x:c r="N2114" s="2" t="str">
        <x:v>projected_CRISP_BU_surface</x:v>
      </x:c>
      <x:c r="O2114" s="2" t="str"/>
      <x:c r="P2114" s="2" t="str">
        <x:v>horizontal built-up surface</x:v>
      </x:c>
      <x:c r="Q2114" s="2" t="str">
        <x:v>m2</x:v>
      </x:c>
      <x:c r="R2114" s="17" t="n">
        <x:v>5289883925.927977</x:v>
      </x:c>
      <x:c r="S2114" s="17" t="n">
        <x:v>2573023573.53</x:v>
      </x:c>
      <x:c r="T2114" s="18" t="n">
        <x:v>1.0000000000000007</x:v>
      </x:c>
      <x:c r="U2114" s="17" t="n">
        <x:v>2573023573.5300016</x:v>
      </x:c>
      <x:c r="V2114" s="2" t="str">
        <x:v>Area equivalent = model2020 * WUP surface / TEMPO2020 footprint; km2 multiplied by1e6 once</x:v>
      </x:c>
      <x:c r="W2114" s="2" t="str">
        <x:v>L1_numeric_partition_qualified_not_national_completeness</x:v>
      </x:c>
      <x:c r="X2114" s="2" t="str">
        <x:v>https://human-settlement.emergency.copernicus.eu/datasets.php</x:v>
      </x:c>
    </x:row>
    <x:row r="2115" ht="23" customHeight="1">
      <x:c r="A2115" s="2" t="str">
        <x:v>PRK</x:v>
      </x:c>
      <x:c r="B2115" s="2" t="str">
        <x:v>Korea (Democratic People's Republic of)</x:v>
      </x:c>
      <x:c r="C2115" s="2" t="n">
        <x:v>2030</x:v>
      </x:c>
      <x:c r="D2115" s="2" t="str">
        <x:v>WUP_SURFACE</x:v>
      </x:c>
      <x:c r="E2115" s="17" t="n">
        <x:v>682577174.3109608</x:v>
      </x:c>
      <x:c r="F2115" s="17" t="n">
        <x:f>IF(AND(M2115,ISNUMBER(R2115)),IF(D2115="TEMPO_PROXY",R2115,IF(AND(ISNUMBER(S2115),S2115&gt;0,ISNUMBER(U2115)),U2115*R2115/S2115,"n.a.")),"n.a.")</x:f>
        <x:v>554127855.5886629</x:v>
      </x:c>
      <x:c r="G2115" s="17" t="n">
        <x:f>IF(AND(ISNUMBER(E2115),ISNUMBER(F2115)),E2115-F2115,"n.a.")</x:f>
        <x:v>128449318.7222979</x:v>
      </x:c>
      <x:c r="H2115" s="15" t="n">
        <x:f>IF(AND(ISNUMBER(E2115),ISNUMBER(F2115),F2115&gt;0),(E2115-F2115)/F2115,"n.a.")</x:f>
        <x:v>0.2318044787440675</x:v>
      </x:c>
      <x:c r="I2115" s="19" t="n">
        <x:f>IF(ISNUMBER(H2115),ABS(H2115),"n.a.")</x:f>
        <x:v>0.2318044787440675</x:v>
      </x:c>
      <x:c r="J2115" s="2" t="str">
        <x:v>available</x:v>
      </x:c>
      <x:c r="K2115" s="2" t="n">
        <x:v>1</x:v>
      </x:c>
      <x:c r="L2115" s="13" t="b">
        <x:v>0</x:v>
      </x:c>
      <x:c r="M2115" s="13" t="b">
        <x:v>1</x:v>
      </x:c>
      <x:c r="N2115" s="2" t="str">
        <x:v>projected_CRISP_BU_surface</x:v>
      </x:c>
      <x:c r="O2115" s="2" t="str"/>
      <x:c r="P2115" s="2" t="str">
        <x:v>horizontal built-up surface</x:v>
      </x:c>
      <x:c r="Q2115" s="2" t="str">
        <x:v>m2</x:v>
      </x:c>
      <x:c r="R2115" s="17" t="n">
        <x:v>546845531.94062</x:v>
      </x:c>
      <x:c r="S2115" s="17" t="n">
        <x:v>463540849.51</x:v>
      </x:c>
      <x:c r="T2115" s="18" t="n">
        <x:v>1.0133169665338577</x:v>
      </x:c>
      <x:c r="U2115" s="17" t="n">
        <x:v>469713807.49000067</x:v>
      </x:c>
      <x:c r="V2115" s="2" t="str">
        <x:v>Area equivalent = model2020 * WUP surface / TEMPO2020 footprint; km2 multiplied by1e6 once</x:v>
      </x:c>
      <x:c r="W2115" s="2" t="str">
        <x:v>L1_numeric_partition_qualified_not_national_completeness</x:v>
      </x:c>
      <x:c r="X2115" s="2" t="str">
        <x:v>https://human-settlement.emergency.copernicus.eu/datasets.php</x:v>
      </x:c>
    </x:row>
    <x:row r="2116" ht="23" customHeight="1">
      <x:c r="A2116" s="2" t="str">
        <x:v>PRT</x:v>
      </x:c>
      <x:c r="B2116" s="2" t="str">
        <x:v>Portugal (Portuguese Republic)</x:v>
      </x:c>
      <x:c r="C2116" s="2" t="n">
        <x:v>2030</x:v>
      </x:c>
      <x:c r="D2116" s="2" t="str">
        <x:v>WUP_SURFACE</x:v>
      </x:c>
      <x:c r="E2116" s="17" t="n">
        <x:v>1176183430.3643494</x:v>
      </x:c>
      <x:c r="F2116" s="17" t="n">
        <x:f>IF(AND(M2116,ISNUMBER(R2116)),IF(D2116="TEMPO_PROXY",R2116,IF(AND(ISNUMBER(S2116),S2116&gt;0,ISNUMBER(U2116)),U2116*R2116/S2116,"n.a.")),"n.a.")</x:f>
        <x:v>1581236095.1387591</x:v>
      </x:c>
      <x:c r="G2116" s="17" t="n">
        <x:f>IF(AND(ISNUMBER(E2116),ISNUMBER(F2116)),E2116-F2116,"n.a.")</x:f>
        <x:v>-405052664.7744098</x:v>
      </x:c>
      <x:c r="H2116" s="15" t="n">
        <x:f>IF(AND(ISNUMBER(E2116),ISNUMBER(F2116),F2116&gt;0),(E2116-F2116)/F2116,"n.a.")</x:f>
        <x:v>-0.2561620405831078</x:v>
      </x:c>
      <x:c r="I2116" s="19" t="n">
        <x:f>IF(ISNUMBER(H2116),ABS(H2116),"n.a.")</x:f>
        <x:v>0.2561620405831078</x:v>
      </x:c>
      <x:c r="J2116" s="2" t="str">
        <x:v>available</x:v>
      </x:c>
      <x:c r="K2116" s="2" t="n">
        <x:v>1</x:v>
      </x:c>
      <x:c r="L2116" s="13" t="b">
        <x:v>0</x:v>
      </x:c>
      <x:c r="M2116" s="13" t="b">
        <x:v>1</x:v>
      </x:c>
      <x:c r="N2116" s="2" t="str">
        <x:v>projected_CRISP_BU_surface</x:v>
      </x:c>
      <x:c r="O2116" s="2" t="str"/>
      <x:c r="P2116" s="2" t="str">
        <x:v>horizontal built-up surface</x:v>
      </x:c>
      <x:c r="Q2116" s="2" t="str">
        <x:v>m2</x:v>
      </x:c>
      <x:c r="R2116" s="17" t="n">
        <x:v>1581236095.1387591</x:v>
      </x:c>
      <x:c r="S2116" s="17" t="n">
        <x:v>1019333626.31</x:v>
      </x:c>
      <x:c r="T2116" s="18" t="n">
        <x:v>1</x:v>
      </x:c>
      <x:c r="U2116" s="17" t="n">
        <x:v>1019333626.31</x:v>
      </x:c>
      <x:c r="V2116" s="2" t="str">
        <x:v>Area equivalent = model2020 * WUP surface / TEMPO2020 footprint; km2 multiplied by1e6 once</x:v>
      </x:c>
      <x:c r="W2116" s="2" t="str">
        <x:v>L1_numeric_partition_qualified_not_national_completeness</x:v>
      </x:c>
      <x:c r="X2116" s="2" t="str">
        <x:v>https://human-settlement.emergency.copernicus.eu/datasets.php</x:v>
      </x:c>
    </x:row>
    <x:row r="2117" ht="23" customHeight="1">
      <x:c r="A2117" s="2" t="str">
        <x:v>PRY</x:v>
      </x:c>
      <x:c r="B2117" s="2" t="str">
        <x:v>Paraguay (Republic of)</x:v>
      </x:c>
      <x:c r="C2117" s="2" t="n">
        <x:v>2030</x:v>
      </x:c>
      <x:c r="D2117" s="2" t="str">
        <x:v>WUP_SURFACE</x:v>
      </x:c>
      <x:c r="E2117" s="17" t="n">
        <x:v>413124541.14200145</x:v>
      </x:c>
      <x:c r="F2117" s="17" t="n">
        <x:f>IF(AND(M2117,ISNUMBER(R2117)),IF(D2117="TEMPO_PROXY",R2117,IF(AND(ISNUMBER(S2117),S2117&gt;0,ISNUMBER(U2117)),U2117*R2117/S2117,"n.a.")),"n.a.")</x:f>
        <x:v>686247599.1371037</x:v>
      </x:c>
      <x:c r="G2117" s="17" t="n">
        <x:f>IF(AND(ISNUMBER(E2117),ISNUMBER(F2117)),E2117-F2117,"n.a.")</x:f>
        <x:v>-273123057.9951022</x:v>
      </x:c>
      <x:c r="H2117" s="15" t="n">
        <x:f>IF(AND(ISNUMBER(E2117),ISNUMBER(F2117),F2117&gt;0),(E2117-F2117)/F2117,"n.a.")</x:f>
        <x:v>-0.3979949195283606</x:v>
      </x:c>
      <x:c r="I2117" s="19" t="n">
        <x:f>IF(ISNUMBER(H2117),ABS(H2117),"n.a.")</x:f>
        <x:v>0.3979949195283606</x:v>
      </x:c>
      <x:c r="J2117" s="2" t="str">
        <x:v>available</x:v>
      </x:c>
      <x:c r="K2117" s="2" t="n">
        <x:v>1</x:v>
      </x:c>
      <x:c r="L2117" s="13" t="b">
        <x:v>0</x:v>
      </x:c>
      <x:c r="M2117" s="13" t="b">
        <x:v>1</x:v>
      </x:c>
      <x:c r="N2117" s="2" t="str">
        <x:v>projected_CRISP_BU_surface</x:v>
      </x:c>
      <x:c r="O2117" s="2" t="str"/>
      <x:c r="P2117" s="2" t="str">
        <x:v>horizontal built-up surface</x:v>
      </x:c>
      <x:c r="Q2117" s="2" t="str">
        <x:v>m2</x:v>
      </x:c>
      <x:c r="R2117" s="17" t="n">
        <x:v>686247599.1371026</x:v>
      </x:c>
      <x:c r="S2117" s="17" t="n">
        <x:v>336793873.45</x:v>
      </x:c>
      <x:c r="T2117" s="18" t="n">
        <x:v>1.0000000000000016</x:v>
      </x:c>
      <x:c r="U2117" s="17" t="n">
        <x:v>336793873.4500005</x:v>
      </x:c>
      <x:c r="V2117" s="2" t="str">
        <x:v>Area equivalent = model2020 * WUP surface / TEMPO2020 footprint; km2 multiplied by1e6 once</x:v>
      </x:c>
      <x:c r="W2117" s="2" t="str">
        <x:v>L1_numeric_partition_qualified_not_national_completeness</x:v>
      </x:c>
      <x:c r="X2117" s="2" t="str">
        <x:v>https://human-settlement.emergency.copernicus.eu/datasets.php</x:v>
      </x:c>
    </x:row>
    <x:row r="2118" ht="23" customHeight="1">
      <x:c r="A2118" s="2" t="str">
        <x:v>PSE</x:v>
      </x:c>
      <x:c r="B2118" s="2" t="str">
        <x:v>State of Palestine</x:v>
      </x:c>
      <x:c r="C2118" s="2" t="n">
        <x:v>2030</x:v>
      </x:c>
      <x:c r="D2118" s="2" t="str">
        <x:v>WUP_SURFACE</x:v>
      </x:c>
      <x:c r="E2118" s="17" t="n">
        <x:v>314121954.5515096</x:v>
      </x:c>
      <x:c r="F2118" s="17" t="str">
        <x:f>IF(AND(M2118,ISNUMBER(R2118)),IF(D2118="TEMPO_PROXY",R2118,IF(AND(ISNUMBER(S2118),S2118&gt;0,ISNUMBER(U2118)),U2118*R2118/S2118,"n.a.")),"n.a.")</x:f>
        <x:v>n.a.</x:v>
      </x:c>
      <x:c r="G2118" s="17" t="str">
        <x:f>IF(AND(ISNUMBER(E2118),ISNUMBER(F2118)),E2118-F2118,"n.a.")</x:f>
        <x:v>n.a.</x:v>
      </x:c>
      <x:c r="H2118" s="15" t="str">
        <x:f>IF(AND(ISNUMBER(E2118),ISNUMBER(F2118),F2118&gt;0),(E2118-F2118)/F2118,"n.a.")</x:f>
        <x:v>n.a.</x:v>
      </x:c>
      <x:c r="I2118" s="19" t="str">
        <x:f>IF(ISNUMBER(H2118),ABS(H2118),"n.a.")</x:f>
        <x:v>n.a.</x:v>
      </x:c>
      <x:c r="J2118" s="2" t="str">
        <x:v>no_qualified_TEMPO2020_conversion_base</x:v>
      </x:c>
      <x:c r="K2118" s="2" t="n">
        <x:v>0</x:v>
      </x:c>
      <x:c r="L2118" s="13" t="b">
        <x:v>0</x:v>
      </x:c>
      <x:c r="M2118" s="13" t="b">
        <x:v>1</x:v>
      </x:c>
      <x:c r="N2118" s="2" t="str">
        <x:v>projected_CRISP_BU_surface</x:v>
      </x:c>
      <x:c r="O2118" s="2" t="str"/>
      <x:c r="P2118" s="2" t="str">
        <x:v>horizontal built-up surface</x:v>
      </x:c>
      <x:c r="Q2118" s="2" t="str">
        <x:v>m2</x:v>
      </x:c>
      <x:c r="R2118" s="17" t="n">
        <x:v>290715377.9736511</x:v>
      </x:c>
      <x:c r="S2118" s="17"/>
      <x:c r="T2118" s="18"/>
      <x:c r="U2118" s="17" t="n">
        <x:v>239938472.63190365</x:v>
      </x:c>
      <x:c r="V2118" s="2" t="str">
        <x:v>Area equivalent = model2020 * WUP surface / TEMPO2020 footprint; km2 multiplied by1e6 once</x:v>
      </x:c>
      <x:c r="W2118" s="2" t="str">
        <x:v>L1_numeric_partition_qualified_not_national_completeness</x:v>
      </x:c>
      <x:c r="X2118" s="2" t="str">
        <x:v>https://human-settlement.emergency.copernicus.eu/datasets.php</x:v>
      </x:c>
    </x:row>
    <x:row r="2119" ht="23" customHeight="1">
      <x:c r="A2119" s="2" t="str">
        <x:v>QAT</x:v>
      </x:c>
      <x:c r="B2119" s="2" t="str">
        <x:v>Qatar (State of)</x:v>
      </x:c>
      <x:c r="C2119" s="2" t="n">
        <x:v>2030</x:v>
      </x:c>
      <x:c r="D2119" s="2" t="str">
        <x:v>WUP_SURFACE</x:v>
      </x:c>
      <x:c r="E2119" s="17" t="n">
        <x:v>187973102.6216854</x:v>
      </x:c>
      <x:c r="F2119" s="17" t="n">
        <x:f>IF(AND(M2119,ISNUMBER(R2119)),IF(D2119="TEMPO_PROXY",R2119,IF(AND(ISNUMBER(S2119),S2119&gt;0,ISNUMBER(U2119)),U2119*R2119/S2119,"n.a.")),"n.a.")</x:f>
        <x:v>328416036.55850923</x:v>
      </x:c>
      <x:c r="G2119" s="17" t="n">
        <x:f>IF(AND(ISNUMBER(E2119),ISNUMBER(F2119)),E2119-F2119,"n.a.")</x:f>
        <x:v>-140442933.93682384</x:v>
      </x:c>
      <x:c r="H2119" s="15" t="n">
        <x:f>IF(AND(ISNUMBER(E2119),ISNUMBER(F2119),F2119&gt;0),(E2119-F2119)/F2119,"n.a.")</x:f>
        <x:v>-0.4276372597651854</x:v>
      </x:c>
      <x:c r="I2119" s="19" t="n">
        <x:f>IF(ISNUMBER(H2119),ABS(H2119),"n.a.")</x:f>
        <x:v>0.4276372597651854</x:v>
      </x:c>
      <x:c r="J2119" s="2" t="str">
        <x:v>available</x:v>
      </x:c>
      <x:c r="K2119" s="2" t="n">
        <x:v>1</x:v>
      </x:c>
      <x:c r="L2119" s="13" t="b">
        <x:v>0</x:v>
      </x:c>
      <x:c r="M2119" s="13" t="b">
        <x:v>1</x:v>
      </x:c>
      <x:c r="N2119" s="2" t="str">
        <x:v>projected_CRISP_BU_surface</x:v>
      </x:c>
      <x:c r="O2119" s="2" t="str"/>
      <x:c r="P2119" s="2" t="str">
        <x:v>horizontal built-up surface</x:v>
      </x:c>
      <x:c r="Q2119" s="2" t="str">
        <x:v>m2</x:v>
      </x:c>
      <x:c r="R2119" s="17" t="n">
        <x:v>295129369.7853865</x:v>
      </x:c>
      <x:c r="S2119" s="17" t="n">
        <x:v>123398530.18</x:v>
      </x:c>
      <x:c r="T2119" s="18" t="n">
        <x:v>1.1127866968893276</x:v>
      </x:c>
      <x:c r="U2119" s="17" t="n">
        <x:v>137316242.80000022</x:v>
      </x:c>
      <x:c r="V2119" s="2" t="str">
        <x:v>Area equivalent = model2020 * WUP surface / TEMPO2020 footprint; km2 multiplied by1e6 once</x:v>
      </x:c>
      <x:c r="W2119" s="2" t="str">
        <x:v>L1_numeric_partition_qualified_not_national_completeness</x:v>
      </x:c>
      <x:c r="X2119" s="2" t="str">
        <x:v>https://human-settlement.emergency.copernicus.eu/datasets.php</x:v>
      </x:c>
    </x:row>
    <x:row r="2120" ht="23" customHeight="1">
      <x:c r="A2120" s="2" t="str">
        <x:v>ROU</x:v>
      </x:c>
      <x:c r="B2120" s="2" t="str">
        <x:v>Romania</x:v>
      </x:c>
      <x:c r="C2120" s="2" t="n">
        <x:v>2030</x:v>
      </x:c>
      <x:c r="D2120" s="2" t="str">
        <x:v>WUP_SURFACE</x:v>
      </x:c>
      <x:c r="E2120" s="17" t="n">
        <x:v>1559609962.8925655</x:v>
      </x:c>
      <x:c r="F2120" s="17" t="n">
        <x:f>IF(AND(M2120,ISNUMBER(R2120)),IF(D2120="TEMPO_PROXY",R2120,IF(AND(ISNUMBER(S2120),S2120&gt;0,ISNUMBER(U2120)),U2120*R2120/S2120,"n.a.")),"n.a.")</x:f>
        <x:v>2456224922.353671</x:v>
      </x:c>
      <x:c r="G2120" s="17" t="n">
        <x:f>IF(AND(ISNUMBER(E2120),ISNUMBER(F2120)),E2120-F2120,"n.a.")</x:f>
        <x:v>-896614959.4611056</x:v>
      </x:c>
      <x:c r="H2120" s="15" t="n">
        <x:f>IF(AND(ISNUMBER(E2120),ISNUMBER(F2120),F2120&gt;0),(E2120-F2120)/F2120,"n.a.")</x:f>
        <x:v>-0.3650378071247346</x:v>
      </x:c>
      <x:c r="I2120" s="19" t="n">
        <x:f>IF(ISNUMBER(H2120),ABS(H2120),"n.a.")</x:f>
        <x:v>0.3650378071247346</x:v>
      </x:c>
      <x:c r="J2120" s="2" t="str">
        <x:v>available</x:v>
      </x:c>
      <x:c r="K2120" s="2" t="n">
        <x:v>1</x:v>
      </x:c>
      <x:c r="L2120" s="13" t="b">
        <x:v>0</x:v>
      </x:c>
      <x:c r="M2120" s="13" t="b">
        <x:v>1</x:v>
      </x:c>
      <x:c r="N2120" s="2" t="str">
        <x:v>projected_CRISP_BU_surface</x:v>
      </x:c>
      <x:c r="O2120" s="2" t="str"/>
      <x:c r="P2120" s="2" t="str">
        <x:v>horizontal built-up surface</x:v>
      </x:c>
      <x:c r="Q2120" s="2" t="str">
        <x:v>m2</x:v>
      </x:c>
      <x:c r="R2120" s="17" t="n">
        <x:v>2456224922.3536673</x:v>
      </x:c>
      <x:c r="S2120" s="17" t="n">
        <x:v>1451492077.99</x:v>
      </x:c>
      <x:c r="T2120" s="18" t="n">
        <x:v>1.0000000000000016</x:v>
      </x:c>
      <x:c r="U2120" s="17" t="n">
        <x:v>1451492077.9900024</x:v>
      </x:c>
      <x:c r="V2120" s="2" t="str">
        <x:v>Area equivalent = model2020 * WUP surface / TEMPO2020 footprint; km2 multiplied by1e6 once</x:v>
      </x:c>
      <x:c r="W2120" s="2" t="str">
        <x:v>L1_numeric_partition_qualified_not_national_completeness</x:v>
      </x:c>
      <x:c r="X2120" s="2" t="str">
        <x:v>https://human-settlement.emergency.copernicus.eu/datasets.php</x:v>
      </x:c>
    </x:row>
    <x:row r="2121" ht="23" customHeight="1">
      <x:c r="A2121" s="2" t="str">
        <x:v>RUS</x:v>
      </x:c>
      <x:c r="B2121" s="2" t="str">
        <x:v>Russian Federation</x:v>
      </x:c>
      <x:c r="C2121" s="2" t="n">
        <x:v>2030</x:v>
      </x:c>
      <x:c r="D2121" s="2" t="str">
        <x:v>WUP_SURFACE</x:v>
      </x:c>
      <x:c r="E2121" s="17" t="n">
        <x:v>9099263993.767694</x:v>
      </x:c>
      <x:c r="F2121" s="17" t="n">
        <x:f>IF(AND(M2121,ISNUMBER(R2121)),IF(D2121="TEMPO_PROXY",R2121,IF(AND(ISNUMBER(S2121),S2121&gt;0,ISNUMBER(U2121)),U2121*R2121/S2121,"n.a.")),"n.a.")</x:f>
        <x:v>14787698431.31121</x:v>
      </x:c>
      <x:c r="G2121" s="17" t="n">
        <x:f>IF(AND(ISNUMBER(E2121),ISNUMBER(F2121)),E2121-F2121,"n.a.")</x:f>
        <x:v>-5688434437.543516</x:v>
      </x:c>
      <x:c r="H2121" s="15" t="n">
        <x:f>IF(AND(ISNUMBER(E2121),ISNUMBER(F2121),F2121&gt;0),(E2121-F2121)/F2121,"n.a.")</x:f>
        <x:v>-0.38467341378147973</x:v>
      </x:c>
      <x:c r="I2121" s="19" t="n">
        <x:f>IF(ISNUMBER(H2121),ABS(H2121),"n.a.")</x:f>
        <x:v>0.38467341378147973</x:v>
      </x:c>
      <x:c r="J2121" s="2" t="str">
        <x:v>available</x:v>
      </x:c>
      <x:c r="K2121" s="2" t="n">
        <x:v>1</x:v>
      </x:c>
      <x:c r="L2121" s="13" t="b">
        <x:v>0</x:v>
      </x:c>
      <x:c r="M2121" s="13" t="b">
        <x:v>1</x:v>
      </x:c>
      <x:c r="N2121" s="2" t="str">
        <x:v>projected_CRISP_BU_surface</x:v>
      </x:c>
      <x:c r="O2121" s="2" t="str"/>
      <x:c r="P2121" s="2" t="str">
        <x:v>horizontal built-up surface</x:v>
      </x:c>
      <x:c r="Q2121" s="2" t="str">
        <x:v>m2</x:v>
      </x:c>
      <x:c r="R2121" s="17" t="n">
        <x:v>14740477335.571949</x:v>
      </x:c>
      <x:c r="S2121" s="17" t="n">
        <x:v>7742883032.41</x:v>
      </x:c>
      <x:c r="T2121" s="18" t="n">
        <x:v>1.0032034984121787</x:v>
      </x:c>
      <x:c r="U2121" s="17" t="n">
        <x:v>7767687345.91001</x:v>
      </x:c>
      <x:c r="V2121" s="2" t="str">
        <x:v>Area equivalent = model2020 * WUP surface / TEMPO2020 footprint; km2 multiplied by1e6 once</x:v>
      </x:c>
      <x:c r="W2121" s="2" t="str">
        <x:v>L1_numeric_partition_qualified_not_national_completeness</x:v>
      </x:c>
      <x:c r="X2121" s="2" t="str">
        <x:v>https://human-settlement.emergency.copernicus.eu/datasets.php</x:v>
      </x:c>
    </x:row>
    <x:row r="2122" ht="23" customHeight="1">
      <x:c r="A2122" s="2" t="str">
        <x:v>RWA</x:v>
      </x:c>
      <x:c r="B2122" s="2" t="str">
        <x:v>Rwanda (Republic of)</x:v>
      </x:c>
      <x:c r="C2122" s="2" t="n">
        <x:v>2030</x:v>
      </x:c>
      <x:c r="D2122" s="2" t="str">
        <x:v>WUP_SURFACE</x:v>
      </x:c>
      <x:c r="E2122" s="17" t="n">
        <x:v>314833420.69295526</x:v>
      </x:c>
      <x:c r="F2122" s="17" t="n">
        <x:f>IF(AND(M2122,ISNUMBER(R2122)),IF(D2122="TEMPO_PROXY",R2122,IF(AND(ISNUMBER(S2122),S2122&gt;0,ISNUMBER(U2122)),U2122*R2122/S2122,"n.a.")),"n.a.")</x:f>
        <x:v>863378756.1740457</x:v>
      </x:c>
      <x:c r="G2122" s="17" t="n">
        <x:f>IF(AND(ISNUMBER(E2122),ISNUMBER(F2122)),E2122-F2122,"n.a.")</x:f>
        <x:v>-548545335.4810904</x:v>
      </x:c>
      <x:c r="H2122" s="15" t="n">
        <x:f>IF(AND(ISNUMBER(E2122),ISNUMBER(F2122),F2122&gt;0),(E2122-F2122)/F2122,"n.a.")</x:f>
        <x:v>-0.6353472697335061</x:v>
      </x:c>
      <x:c r="I2122" s="19" t="n">
        <x:f>IF(ISNUMBER(H2122),ABS(H2122),"n.a.")</x:f>
        <x:v>0.6353472697335061</x:v>
      </x:c>
      <x:c r="J2122" s="2" t="str">
        <x:v>available</x:v>
      </x:c>
      <x:c r="K2122" s="2" t="n">
        <x:v>1</x:v>
      </x:c>
      <x:c r="L2122" s="13" t="b">
        <x:v>0</x:v>
      </x:c>
      <x:c r="M2122" s="13" t="b">
        <x:v>1</x:v>
      </x:c>
      <x:c r="N2122" s="2" t="str">
        <x:v>projected_CRISP_BU_surface</x:v>
      </x:c>
      <x:c r="O2122" s="2" t="str"/>
      <x:c r="P2122" s="2" t="str">
        <x:v>horizontal built-up surface</x:v>
      </x:c>
      <x:c r="Q2122" s="2" t="str">
        <x:v>m2</x:v>
      </x:c>
      <x:c r="R2122" s="17" t="n">
        <x:v>863378756.1740456</x:v>
      </x:c>
      <x:c r="S2122" s="17" t="n">
        <x:v>244877324.63</x:v>
      </x:c>
      <x:c r="T2122" s="18" t="n">
        <x:v>1.0000000000000002</x:v>
      </x:c>
      <x:c r="U2122" s="17" t="n">
        <x:v>244877324.63000005</x:v>
      </x:c>
      <x:c r="V2122" s="2" t="str">
        <x:v>Area equivalent = model2020 * WUP surface / TEMPO2020 footprint; km2 multiplied by1e6 once</x:v>
      </x:c>
      <x:c r="W2122" s="2" t="str">
        <x:v>L1_numeric_partition_qualified_not_national_completeness</x:v>
      </x:c>
      <x:c r="X2122" s="2" t="str">
        <x:v>https://human-settlement.emergency.copernicus.eu/datasets.php</x:v>
      </x:c>
    </x:row>
    <x:row r="2123" ht="23" customHeight="1">
      <x:c r="A2123" s="2" t="str">
        <x:v>SAU</x:v>
      </x:c>
      <x:c r="B2123" s="2" t="str">
        <x:v>Saudi Arabia (Kingdom of)</x:v>
      </x:c>
      <x:c r="C2123" s="2" t="n">
        <x:v>2030</x:v>
      </x:c>
      <x:c r="D2123" s="2" t="str">
        <x:v>WUP_SURFACE</x:v>
      </x:c>
      <x:c r="E2123" s="17" t="n">
        <x:v>2425852382.190814</x:v>
      </x:c>
      <x:c r="F2123" s="17" t="n">
        <x:f>IF(AND(M2123,ISNUMBER(R2123)),IF(D2123="TEMPO_PROXY",R2123,IF(AND(ISNUMBER(S2123),S2123&gt;0,ISNUMBER(U2123)),U2123*R2123/S2123,"n.a.")),"n.a.")</x:f>
        <x:v>3635080829.283173</x:v>
      </x:c>
      <x:c r="G2123" s="17" t="n">
        <x:f>IF(AND(ISNUMBER(E2123),ISNUMBER(F2123)),E2123-F2123,"n.a.")</x:f>
        <x:v>-1209228447.092359</x:v>
      </x:c>
      <x:c r="H2123" s="15" t="n">
        <x:f>IF(AND(ISNUMBER(E2123),ISNUMBER(F2123),F2123&gt;0),(E2123-F2123)/F2123,"n.a.")</x:f>
        <x:v>-0.3326551743639811</x:v>
      </x:c>
      <x:c r="I2123" s="19" t="n">
        <x:f>IF(ISNUMBER(H2123),ABS(H2123),"n.a.")</x:f>
        <x:v>0.3326551743639811</x:v>
      </x:c>
      <x:c r="J2123" s="2" t="str">
        <x:v>available</x:v>
      </x:c>
      <x:c r="K2123" s="2" t="n">
        <x:v>1</x:v>
      </x:c>
      <x:c r="L2123" s="13" t="b">
        <x:v>0</x:v>
      </x:c>
      <x:c r="M2123" s="13" t="b">
        <x:v>1</x:v>
      </x:c>
      <x:c r="N2123" s="2" t="str">
        <x:v>projected_CRISP_BU_surface</x:v>
      </x:c>
      <x:c r="O2123" s="2" t="str"/>
      <x:c r="P2123" s="2" t="str">
        <x:v>horizontal built-up surface</x:v>
      </x:c>
      <x:c r="Q2123" s="2" t="str">
        <x:v>m2</x:v>
      </x:c>
      <x:c r="R2123" s="17" t="n">
        <x:v>3538361137.92897</x:v>
      </x:c>
      <x:c r="S2123" s="17" t="n">
        <x:v>1860856502.16</x:v>
      </x:c>
      <x:c r="T2123" s="18" t="n">
        <x:v>1.02733460141121</x:v>
      </x:c>
      <x:c r="U2123" s="17" t="n">
        <x:v>1911722272.930002</x:v>
      </x:c>
      <x:c r="V2123" s="2" t="str">
        <x:v>Area equivalent = model2020 * WUP surface / TEMPO2020 footprint; km2 multiplied by1e6 once</x:v>
      </x:c>
      <x:c r="W2123" s="2" t="str">
        <x:v>L1_numeric_partition_qualified_not_national_completeness</x:v>
      </x:c>
      <x:c r="X2123" s="2" t="str">
        <x:v>https://human-settlement.emergency.copernicus.eu/datasets.php</x:v>
      </x:c>
    </x:row>
    <x:row r="2124" ht="23" customHeight="1">
      <x:c r="A2124" s="2" t="str">
        <x:v>SDN</x:v>
      </x:c>
      <x:c r="B2124" s="2" t="str">
        <x:v>Sudan (Republic of the)</x:v>
      </x:c>
      <x:c r="C2124" s="2" t="n">
        <x:v>2030</x:v>
      </x:c>
      <x:c r="D2124" s="2" t="str">
        <x:v>WUP_SURFACE</x:v>
      </x:c>
      <x:c r="E2124" s="17" t="n">
        <x:v>1031506657.0497226</x:v>
      </x:c>
      <x:c r="F2124" s="17" t="n">
        <x:f>IF(AND(M2124,ISNUMBER(R2124)),IF(D2124="TEMPO_PROXY",R2124,IF(AND(ISNUMBER(S2124),S2124&gt;0,ISNUMBER(U2124)),U2124*R2124/S2124,"n.a.")),"n.a.")</x:f>
        <x:v>2235189355.956625</x:v>
      </x:c>
      <x:c r="G2124" s="17" t="n">
        <x:f>IF(AND(ISNUMBER(E2124),ISNUMBER(F2124)),E2124-F2124,"n.a.")</x:f>
        <x:v>-1203682698.9069023</x:v>
      </x:c>
      <x:c r="H2124" s="15" t="n">
        <x:f>IF(AND(ISNUMBER(E2124),ISNUMBER(F2124),F2124&gt;0),(E2124-F2124)/F2124,"n.a.")</x:f>
        <x:v>-0.5385148670734188</x:v>
      </x:c>
      <x:c r="I2124" s="19" t="n">
        <x:f>IF(ISNUMBER(H2124),ABS(H2124),"n.a.")</x:f>
        <x:v>0.5385148670734188</x:v>
      </x:c>
      <x:c r="J2124" s="2" t="str">
        <x:v>available</x:v>
      </x:c>
      <x:c r="K2124" s="2" t="n">
        <x:v>1</x:v>
      </x:c>
      <x:c r="L2124" s="13" t="b">
        <x:v>0</x:v>
      </x:c>
      <x:c r="M2124" s="13" t="b">
        <x:v>1</x:v>
      </x:c>
      <x:c r="N2124" s="2" t="str">
        <x:v>projected_CRISP_BU_surface</x:v>
      </x:c>
      <x:c r="O2124" s="2" t="str"/>
      <x:c r="P2124" s="2" t="str">
        <x:v>horizontal built-up surface</x:v>
      </x:c>
      <x:c r="Q2124" s="2" t="str">
        <x:v>m2</x:v>
      </x:c>
      <x:c r="R2124" s="17" t="n">
        <x:v>2235189355.9566236</x:v>
      </x:c>
      <x:c r="S2124" s="17" t="n">
        <x:v>751311239.6</x:v>
      </x:c>
      <x:c r="T2124" s="18" t="n">
        <x:v>1.0000000000000007</x:v>
      </x:c>
      <x:c r="U2124" s="17" t="n">
        <x:v>751311239.6000005</x:v>
      </x:c>
      <x:c r="V2124" s="2" t="str">
        <x:v>Area equivalent = model2020 * WUP surface / TEMPO2020 footprint; km2 multiplied by1e6 once</x:v>
      </x:c>
      <x:c r="W2124" s="2" t="str">
        <x:v>L1_numeric_partition_qualified_not_national_completeness</x:v>
      </x:c>
      <x:c r="X2124" s="2" t="str">
        <x:v>https://human-settlement.emergency.copernicus.eu/datasets.php</x:v>
      </x:c>
    </x:row>
    <x:row r="2125" ht="23" customHeight="1">
      <x:c r="A2125" s="2" t="str">
        <x:v>SEN</x:v>
      </x:c>
      <x:c r="B2125" s="2" t="str">
        <x:v>Senegal (Republic of)</x:v>
      </x:c>
      <x:c r="C2125" s="2" t="n">
        <x:v>2030</x:v>
      </x:c>
      <x:c r="D2125" s="2" t="str">
        <x:v>WUP_SURFACE</x:v>
      </x:c>
      <x:c r="E2125" s="17" t="n">
        <x:v>414516562.05941653</x:v>
      </x:c>
      <x:c r="F2125" s="17" t="n">
        <x:f>IF(AND(M2125,ISNUMBER(R2125)),IF(D2125="TEMPO_PROXY",R2125,IF(AND(ISNUMBER(S2125),S2125&gt;0,ISNUMBER(U2125)),U2125*R2125/S2125,"n.a.")),"n.a.")</x:f>
        <x:v>950519979.4823978</x:v>
      </x:c>
      <x:c r="G2125" s="17" t="n">
        <x:f>IF(AND(ISNUMBER(E2125),ISNUMBER(F2125)),E2125-F2125,"n.a.")</x:f>
        <x:v>-536003417.42298126</x:v>
      </x:c>
      <x:c r="H2125" s="15" t="n">
        <x:f>IF(AND(ISNUMBER(E2125),ISNUMBER(F2125),F2125&gt;0),(E2125-F2125)/F2125,"n.a.")</x:f>
        <x:v>-0.5639054717343869</x:v>
      </x:c>
      <x:c r="I2125" s="19" t="n">
        <x:f>IF(ISNUMBER(H2125),ABS(H2125),"n.a.")</x:f>
        <x:v>0.5639054717343869</x:v>
      </x:c>
      <x:c r="J2125" s="2" t="str">
        <x:v>available</x:v>
      </x:c>
      <x:c r="K2125" s="2" t="n">
        <x:v>1</x:v>
      </x:c>
      <x:c r="L2125" s="13" t="b">
        <x:v>0</x:v>
      </x:c>
      <x:c r="M2125" s="13" t="b">
        <x:v>1</x:v>
      </x:c>
      <x:c r="N2125" s="2" t="str">
        <x:v>projected_CRISP_BU_surface</x:v>
      </x:c>
      <x:c r="O2125" s="2" t="str"/>
      <x:c r="P2125" s="2" t="str">
        <x:v>horizontal built-up surface</x:v>
      </x:c>
      <x:c r="Q2125" s="2" t="str">
        <x:v>m2</x:v>
      </x:c>
      <x:c r="R2125" s="17" t="n">
        <x:v>950519979.4823984</x:v>
      </x:c>
      <x:c r="S2125" s="17" t="n">
        <x:v>305052833.69</x:v>
      </x:c>
      <x:c r="T2125" s="18" t="n">
        <x:v>0.9999999999999994</x:v>
      </x:c>
      <x:c r="U2125" s="17" t="n">
        <x:v>305052833.6899998</x:v>
      </x:c>
      <x:c r="V2125" s="2" t="str">
        <x:v>Area equivalent = model2020 * WUP surface / TEMPO2020 footprint; km2 multiplied by1e6 once</x:v>
      </x:c>
      <x:c r="W2125" s="2" t="str">
        <x:v>L1_numeric_partition_qualified_not_national_completeness</x:v>
      </x:c>
      <x:c r="X2125" s="2" t="str">
        <x:v>https://human-settlement.emergency.copernicus.eu/datasets.php</x:v>
      </x:c>
    </x:row>
    <x:row r="2126" ht="23" customHeight="1">
      <x:c r="A2126" s="2" t="str">
        <x:v>SGP</x:v>
      </x:c>
      <x:c r="B2126" s="2" t="str">
        <x:v>Singapore (Republic of)</x:v>
      </x:c>
      <x:c r="C2126" s="2" t="n">
        <x:v>2030</x:v>
      </x:c>
      <x:c r="D2126" s="2" t="str">
        <x:v>WUP_SURFACE</x:v>
      </x:c>
      <x:c r="E2126" s="17" t="n">
        <x:v>300246532.72836995</x:v>
      </x:c>
      <x:c r="F2126" s="17" t="n">
        <x:f>IF(AND(M2126,ISNUMBER(R2126)),IF(D2126="TEMPO_PROXY",R2126,IF(AND(ISNUMBER(S2126),S2126&gt;0,ISNUMBER(U2126)),U2126*R2126/S2126,"n.a.")),"n.a.")</x:f>
        <x:v>392365196.3099001</x:v>
      </x:c>
      <x:c r="G2126" s="17" t="n">
        <x:f>IF(AND(ISNUMBER(E2126),ISNUMBER(F2126)),E2126-F2126,"n.a.")</x:f>
        <x:v>-92118663.58153015</x:v>
      </x:c>
      <x:c r="H2126" s="15" t="n">
        <x:f>IF(AND(ISNUMBER(E2126),ISNUMBER(F2126),F2126&gt;0),(E2126-F2126)/F2126,"n.a.")</x:f>
        <x:v>-0.23477786625287853</x:v>
      </x:c>
      <x:c r="I2126" s="19" t="n">
        <x:f>IF(ISNUMBER(H2126),ABS(H2126),"n.a.")</x:f>
        <x:v>0.23477786625287853</x:v>
      </x:c>
      <x:c r="J2126" s="2" t="str">
        <x:v>available</x:v>
      </x:c>
      <x:c r="K2126" s="2" t="n">
        <x:v>1</x:v>
      </x:c>
      <x:c r="L2126" s="13" t="b">
        <x:v>0</x:v>
      </x:c>
      <x:c r="M2126" s="13" t="b">
        <x:v>1</x:v>
      </x:c>
      <x:c r="N2126" s="2" t="str">
        <x:v>projected_CRISP_BU_surface</x:v>
      </x:c>
      <x:c r="O2126" s="2" t="str"/>
      <x:c r="P2126" s="2" t="str">
        <x:v>horizontal built-up surface</x:v>
      </x:c>
      <x:c r="Q2126" s="2" t="str">
        <x:v>m2</x:v>
      </x:c>
      <x:c r="R2126" s="17" t="n">
        <x:v>173097854.5075178</x:v>
      </x:c>
      <x:c r="S2126" s="17" t="n">
        <x:v>85878181.9</x:v>
      </x:c>
      <x:c r="T2126" s="18" t="n">
        <x:v>2.266724780767628</x:v>
      </x:c>
      <x:c r="U2126" s="17" t="n">
        <x:v>194662203.04</x:v>
      </x:c>
      <x:c r="V2126" s="2" t="str">
        <x:v>Area equivalent = model2020 * WUP surface / TEMPO2020 footprint; km2 multiplied by1e6 once</x:v>
      </x:c>
      <x:c r="W2126" s="2" t="str">
        <x:v>L1_numeric_partition_qualified_not_national_completeness</x:v>
      </x:c>
      <x:c r="X2126" s="2" t="str">
        <x:v>https://human-settlement.emergency.copernicus.eu/datasets.php</x:v>
      </x:c>
    </x:row>
    <x:row r="2127" ht="23" customHeight="1">
      <x:c r="A2127" s="2" t="str">
        <x:v>SLB</x:v>
      </x:c>
      <x:c r="B2127" s="2" t="str">
        <x:v>Solomon Islands</x:v>
      </x:c>
      <x:c r="C2127" s="2" t="n">
        <x:v>2030</x:v>
      </x:c>
      <x:c r="D2127" s="2" t="str">
        <x:v>WUP_SURFACE</x:v>
      </x:c>
      <x:c r="E2127" s="17" t="n">
        <x:v>20624141.450931724</x:v>
      </x:c>
      <x:c r="F2127" s="17" t="n">
        <x:f>IF(AND(M2127,ISNUMBER(R2127)),IF(D2127="TEMPO_PROXY",R2127,IF(AND(ISNUMBER(S2127),S2127&gt;0,ISNUMBER(U2127)),U2127*R2127/S2127,"n.a.")),"n.a.")</x:f>
        <x:v>37719727.85299584</x:v>
      </x:c>
      <x:c r="G2127" s="17" t="n">
        <x:f>IF(AND(ISNUMBER(E2127),ISNUMBER(F2127)),E2127-F2127,"n.a.")</x:f>
        <x:v>-17095586.40206412</x:v>
      </x:c>
      <x:c r="H2127" s="15" t="n">
        <x:f>IF(AND(ISNUMBER(E2127),ISNUMBER(F2127),F2127&gt;0),(E2127-F2127)/F2127,"n.a.")</x:f>
        <x:v>-0.4532266634767441</x:v>
      </x:c>
      <x:c r="I2127" s="19" t="n">
        <x:f>IF(ISNUMBER(H2127),ABS(H2127),"n.a.")</x:f>
        <x:v>0.4532266634767441</x:v>
      </x:c>
      <x:c r="J2127" s="2" t="str">
        <x:v>available</x:v>
      </x:c>
      <x:c r="K2127" s="2" t="n">
        <x:v>1</x:v>
      </x:c>
      <x:c r="L2127" s="13" t="b">
        <x:v>0</x:v>
      </x:c>
      <x:c r="M2127" s="13" t="b">
        <x:v>1</x:v>
      </x:c>
      <x:c r="N2127" s="2" t="str">
        <x:v>projected_CRISP_BU_surface</x:v>
      </x:c>
      <x:c r="O2127" s="2" t="str"/>
      <x:c r="P2127" s="2" t="str">
        <x:v>horizontal built-up surface</x:v>
      </x:c>
      <x:c r="Q2127" s="2" t="str">
        <x:v>m2</x:v>
      </x:c>
      <x:c r="R2127" s="17" t="n">
        <x:v>37719727.8529959</x:v>
      </x:c>
      <x:c r="S2127" s="17" t="n">
        <x:v>14438629.19</x:v>
      </x:c>
      <x:c r="T2127" s="18" t="n">
        <x:v>0.9999999999999983</x:v>
      </x:c>
      <x:c r="U2127" s="17" t="n">
        <x:v>14438629.189999975</x:v>
      </x:c>
      <x:c r="V2127" s="2" t="str">
        <x:v>Area equivalent = model2020 * WUP surface / TEMPO2020 footprint; km2 multiplied by1e6 once</x:v>
      </x:c>
      <x:c r="W2127" s="2" t="str">
        <x:v>L1_numeric_partition_qualified_not_national_completeness</x:v>
      </x:c>
      <x:c r="X2127" s="2" t="str">
        <x:v>https://human-settlement.emergency.copernicus.eu/datasets.php</x:v>
      </x:c>
    </x:row>
    <x:row r="2128" ht="23" customHeight="1">
      <x:c r="A2128" s="2" t="str">
        <x:v>SLE</x:v>
      </x:c>
      <x:c r="B2128" s="2" t="str">
        <x:v>Sierra Leone (Republic of)</x:v>
      </x:c>
      <x:c r="C2128" s="2" t="n">
        <x:v>2030</x:v>
      </x:c>
      <x:c r="D2128" s="2" t="str">
        <x:v>WUP_SURFACE</x:v>
      </x:c>
      <x:c r="E2128" s="17" t="n">
        <x:v>163419455.73615712</x:v>
      </x:c>
      <x:c r="F2128" s="17" t="n">
        <x:f>IF(AND(M2128,ISNUMBER(R2128)),IF(D2128="TEMPO_PROXY",R2128,IF(AND(ISNUMBER(S2128),S2128&gt;0,ISNUMBER(U2128)),U2128*R2128/S2128,"n.a.")),"n.a.")</x:f>
        <x:v>315518044.14368486</x:v>
      </x:c>
      <x:c r="G2128" s="17" t="n">
        <x:f>IF(AND(ISNUMBER(E2128),ISNUMBER(F2128)),E2128-F2128,"n.a.")</x:f>
        <x:v>-152098588.40752774</x:v>
      </x:c>
      <x:c r="H2128" s="15" t="n">
        <x:f>IF(AND(ISNUMBER(E2128),ISNUMBER(F2128),F2128&gt;0),(E2128-F2128)/F2128,"n.a.")</x:f>
        <x:v>-0.4820598733753022</x:v>
      </x:c>
      <x:c r="I2128" s="19" t="n">
        <x:f>IF(ISNUMBER(H2128),ABS(H2128),"n.a.")</x:f>
        <x:v>0.4820598733753022</x:v>
      </x:c>
      <x:c r="J2128" s="2" t="str">
        <x:v>available</x:v>
      </x:c>
      <x:c r="K2128" s="2" t="n">
        <x:v>1</x:v>
      </x:c>
      <x:c r="L2128" s="13" t="b">
        <x:v>0</x:v>
      </x:c>
      <x:c r="M2128" s="13" t="b">
        <x:v>1</x:v>
      </x:c>
      <x:c r="N2128" s="2" t="str">
        <x:v>projected_CRISP_BU_surface</x:v>
      </x:c>
      <x:c r="O2128" s="2" t="str"/>
      <x:c r="P2128" s="2" t="str">
        <x:v>horizontal built-up surface</x:v>
      </x:c>
      <x:c r="Q2128" s="2" t="str">
        <x:v>m2</x:v>
      </x:c>
      <x:c r="R2128" s="17" t="n">
        <x:v>315518044.143685</x:v>
      </x:c>
      <x:c r="S2128" s="17" t="n">
        <x:v>115259924.95</x:v>
      </x:c>
      <x:c r="T2128" s="18" t="n">
        <x:v>0.9999999999999997</x:v>
      </x:c>
      <x:c r="U2128" s="17" t="n">
        <x:v>115259924.94999996</x:v>
      </x:c>
      <x:c r="V2128" s="2" t="str">
        <x:v>Area equivalent = model2020 * WUP surface / TEMPO2020 footprint; km2 multiplied by1e6 once</x:v>
      </x:c>
      <x:c r="W2128" s="2" t="str">
        <x:v>L1_numeric_partition_qualified_not_national_completeness</x:v>
      </x:c>
      <x:c r="X2128" s="2" t="str">
        <x:v>https://human-settlement.emergency.copernicus.eu/datasets.php</x:v>
      </x:c>
    </x:row>
    <x:row r="2129" ht="23" customHeight="1">
      <x:c r="A2129" s="2" t="str">
        <x:v>SLV</x:v>
      </x:c>
      <x:c r="B2129" s="2" t="str">
        <x:v>El Salvador (Republic of)</x:v>
      </x:c>
      <x:c r="C2129" s="2" t="n">
        <x:v>2030</x:v>
      </x:c>
      <x:c r="D2129" s="2" t="str">
        <x:v>WUP_SURFACE</x:v>
      </x:c>
      <x:c r="E2129" s="17" t="n">
        <x:v>296839953.9024407</x:v>
      </x:c>
      <x:c r="F2129" s="17" t="n">
        <x:f>IF(AND(M2129,ISNUMBER(R2129)),IF(D2129="TEMPO_PROXY",R2129,IF(AND(ISNUMBER(S2129),S2129&gt;0,ISNUMBER(U2129)),U2129*R2129/S2129,"n.a.")),"n.a.")</x:f>
        <x:v>411105586.56345713</x:v>
      </x:c>
      <x:c r="G2129" s="17" t="n">
        <x:f>IF(AND(ISNUMBER(E2129),ISNUMBER(F2129)),E2129-F2129,"n.a.")</x:f>
        <x:v>-114265632.6610164</x:v>
      </x:c>
      <x:c r="H2129" s="15" t="n">
        <x:f>IF(AND(ISNUMBER(E2129),ISNUMBER(F2129),F2129&gt;0),(E2129-F2129)/F2129,"n.a.")</x:f>
        <x:v>-0.27794716587578816</x:v>
      </x:c>
      <x:c r="I2129" s="19" t="n">
        <x:f>IF(ISNUMBER(H2129),ABS(H2129),"n.a.")</x:f>
        <x:v>0.27794716587578816</x:v>
      </x:c>
      <x:c r="J2129" s="2" t="str">
        <x:v>available</x:v>
      </x:c>
      <x:c r="K2129" s="2" t="n">
        <x:v>1</x:v>
      </x:c>
      <x:c r="L2129" s="13" t="b">
        <x:v>0</x:v>
      </x:c>
      <x:c r="M2129" s="13" t="b">
        <x:v>1</x:v>
      </x:c>
      <x:c r="N2129" s="2" t="str">
        <x:v>projected_CRISP_BU_surface</x:v>
      </x:c>
      <x:c r="O2129" s="2" t="str"/>
      <x:c r="P2129" s="2" t="str">
        <x:v>horizontal built-up surface</x:v>
      </x:c>
      <x:c r="Q2129" s="2" t="str">
        <x:v>m2</x:v>
      </x:c>
      <x:c r="R2129" s="17" t="n">
        <x:v>411105586.56345683</x:v>
      </x:c>
      <x:c r="S2129" s="17" t="n">
        <x:v>245414047.01</x:v>
      </x:c>
      <x:c r="T2129" s="18" t="n">
        <x:v>1.0000000000000007</x:v>
      </x:c>
      <x:c r="U2129" s="17" t="n">
        <x:v>245414047.01000017</x:v>
      </x:c>
      <x:c r="V2129" s="2" t="str">
        <x:v>Area equivalent = model2020 * WUP surface / TEMPO2020 footprint; km2 multiplied by1e6 once</x:v>
      </x:c>
      <x:c r="W2129" s="2" t="str">
        <x:v>L1_numeric_partition_qualified_not_national_completeness</x:v>
      </x:c>
      <x:c r="X2129" s="2" t="str">
        <x:v>https://human-settlement.emergency.copernicus.eu/datasets.php</x:v>
      </x:c>
    </x:row>
    <x:row r="2130" ht="23" customHeight="1">
      <x:c r="A2130" s="2" t="str">
        <x:v>SMR</x:v>
      </x:c>
      <x:c r="B2130" s="2" t="str">
        <x:v>San Marino (Republic of)</x:v>
      </x:c>
      <x:c r="C2130" s="2" t="n">
        <x:v>2030</x:v>
      </x:c>
      <x:c r="D2130" s="2" t="str">
        <x:v>WUP_SURFACE</x:v>
      </x:c>
      <x:c r="E2130" s="17" t="n">
        <x:v>3752648.186131032</x:v>
      </x:c>
      <x:c r="F2130" s="17" t="n">
        <x:f>IF(AND(M2130,ISNUMBER(R2130)),IF(D2130="TEMPO_PROXY",R2130,IF(AND(ISNUMBER(S2130),S2130&gt;0,ISNUMBER(U2130)),U2130*R2130/S2130,"n.a.")),"n.a.")</x:f>
        <x:v>6485079.120072287</x:v>
      </x:c>
      <x:c r="G2130" s="17" t="n">
        <x:f>IF(AND(ISNUMBER(E2130),ISNUMBER(F2130)),E2130-F2130,"n.a.")</x:f>
        <x:v>-2732430.9339412544</x:v>
      </x:c>
      <x:c r="H2130" s="15" t="n">
        <x:f>IF(AND(ISNUMBER(E2130),ISNUMBER(F2130),F2130&gt;0),(E2130-F2130)/F2130,"n.a.")</x:f>
        <x:v>-0.42134118695390677</x:v>
      </x:c>
      <x:c r="I2130" s="19" t="n">
        <x:f>IF(ISNUMBER(H2130),ABS(H2130),"n.a.")</x:f>
        <x:v>0.42134118695390677</x:v>
      </x:c>
      <x:c r="J2130" s="2" t="str">
        <x:v>available</x:v>
      </x:c>
      <x:c r="K2130" s="2" t="n">
        <x:v>1</x:v>
      </x:c>
      <x:c r="L2130" s="13" t="b">
        <x:v>0</x:v>
      </x:c>
      <x:c r="M2130" s="13" t="b">
        <x:v>1</x:v>
      </x:c>
      <x:c r="N2130" s="2" t="str">
        <x:v>projected_CRISP_BU_surface</x:v>
      </x:c>
      <x:c r="O2130" s="2" t="str"/>
      <x:c r="P2130" s="2" t="str">
        <x:v>horizontal built-up surface</x:v>
      </x:c>
      <x:c r="Q2130" s="2" t="str">
        <x:v>m2</x:v>
      </x:c>
      <x:c r="R2130" s="17" t="n">
        <x:v>5767924.544401467</x:v>
      </x:c>
      <x:c r="S2130" s="17" t="n">
        <x:v>2695532.72</x:v>
      </x:c>
      <x:c r="T2130" s="18" t="n">
        <x:v>1.1243349440774</x:v>
      </x:c>
      <x:c r="U2130" s="17" t="n">
        <x:v>3030681.630000002</x:v>
      </x:c>
      <x:c r="V2130" s="2" t="str">
        <x:v>Area equivalent = model2020 * WUP surface / TEMPO2020 footprint; km2 multiplied by1e6 once</x:v>
      </x:c>
      <x:c r="W2130" s="2" t="str">
        <x:v>L1_numeric_partition_qualified_not_national_completeness</x:v>
      </x:c>
      <x:c r="X2130" s="2" t="str">
        <x:v>https://human-settlement.emergency.copernicus.eu/datasets.php</x:v>
      </x:c>
    </x:row>
    <x:row r="2131" ht="23" customHeight="1">
      <x:c r="A2131" s="2" t="str">
        <x:v>SOM</x:v>
      </x:c>
      <x:c r="B2131" s="2" t="str">
        <x:v>Somalia (Federal Republic of)</x:v>
      </x:c>
      <x:c r="C2131" s="2" t="n">
        <x:v>2030</x:v>
      </x:c>
      <x:c r="D2131" s="2" t="str">
        <x:v>WUP_SURFACE</x:v>
      </x:c>
      <x:c r="E2131" s="17" t="n">
        <x:v>216893443.86930385</x:v>
      </x:c>
      <x:c r="F2131" s="17" t="n">
        <x:f>IF(AND(M2131,ISNUMBER(R2131)),IF(D2131="TEMPO_PROXY",R2131,IF(AND(ISNUMBER(S2131),S2131&gt;0,ISNUMBER(U2131)),U2131*R2131/S2131,"n.a.")),"n.a.")</x:f>
        <x:v>377666660.4931901</x:v>
      </x:c>
      <x:c r="G2131" s="17" t="n">
        <x:f>IF(AND(ISNUMBER(E2131),ISNUMBER(F2131)),E2131-F2131,"n.a.")</x:f>
        <x:v>-160773216.62388626</x:v>
      </x:c>
      <x:c r="H2131" s="15" t="n">
        <x:f>IF(AND(ISNUMBER(E2131),ISNUMBER(F2131),F2131&gt;0),(E2131-F2131)/F2131,"n.a.")</x:f>
        <x:v>-0.4257013748948201</x:v>
      </x:c>
      <x:c r="I2131" s="19" t="n">
        <x:f>IF(ISNUMBER(H2131),ABS(H2131),"n.a.")</x:f>
        <x:v>0.4257013748948201</x:v>
      </x:c>
      <x:c r="J2131" s="2" t="str">
        <x:v>available</x:v>
      </x:c>
      <x:c r="K2131" s="2" t="n">
        <x:v>1</x:v>
      </x:c>
      <x:c r="L2131" s="13" t="b">
        <x:v>0</x:v>
      </x:c>
      <x:c r="M2131" s="13" t="b">
        <x:v>1</x:v>
      </x:c>
      <x:c r="N2131" s="2" t="str">
        <x:v>projected_CRISP_BU_surface</x:v>
      </x:c>
      <x:c r="O2131" s="2" t="str"/>
      <x:c r="P2131" s="2" t="str">
        <x:v>horizontal built-up surface</x:v>
      </x:c>
      <x:c r="Q2131" s="2" t="str">
        <x:v>m2</x:v>
      </x:c>
      <x:c r="R2131" s="17" t="n">
        <x:v>377666660.49318975</x:v>
      </x:c>
      <x:c r="S2131" s="17" t="n">
        <x:v>134848326.33</x:v>
      </x:c>
      <x:c r="T2131" s="18" t="n">
        <x:v>1.0000000000000009</x:v>
      </x:c>
      <x:c r="U2131" s="17" t="n">
        <x:v>134848326.33000013</x:v>
      </x:c>
      <x:c r="V2131" s="2" t="str">
        <x:v>Area equivalent = model2020 * WUP surface / TEMPO2020 footprint; km2 multiplied by1e6 once</x:v>
      </x:c>
      <x:c r="W2131" s="2" t="str">
        <x:v>L1_numeric_partition_qualified_not_national_completeness</x:v>
      </x:c>
      <x:c r="X2131" s="2" t="str">
        <x:v>https://human-settlement.emergency.copernicus.eu/datasets.php</x:v>
      </x:c>
    </x:row>
    <x:row r="2132" ht="23" customHeight="1">
      <x:c r="A2132" s="2" t="str">
        <x:v>SRB</x:v>
      </x:c>
      <x:c r="B2132" s="2" t="str">
        <x:v>Serbia (Republic of)</x:v>
      </x:c>
      <x:c r="C2132" s="2" t="n">
        <x:v>2030</x:v>
      </x:c>
      <x:c r="D2132" s="2" t="str">
        <x:v>WUP_SURFACE</x:v>
      </x:c>
      <x:c r="E2132" s="17" t="n">
        <x:v>618860932.0621876</x:v>
      </x:c>
      <x:c r="F2132" s="17" t="n">
        <x:f>IF(AND(M2132,ISNUMBER(R2132)),IF(D2132="TEMPO_PROXY",R2132,IF(AND(ISNUMBER(S2132),S2132&gt;0,ISNUMBER(U2132)),U2132*R2132/S2132,"n.a.")),"n.a.")</x:f>
        <x:v>857120249.0935317</x:v>
      </x:c>
      <x:c r="G2132" s="17" t="n">
        <x:f>IF(AND(ISNUMBER(E2132),ISNUMBER(F2132)),E2132-F2132,"n.a.")</x:f>
        <x:v>-238259317.03134418</x:v>
      </x:c>
      <x:c r="H2132" s="15" t="n">
        <x:f>IF(AND(ISNUMBER(E2132),ISNUMBER(F2132),F2132&gt;0),(E2132-F2132)/F2132,"n.a.")</x:f>
        <x:v>-0.27797653512832193</x:v>
      </x:c>
      <x:c r="I2132" s="19" t="n">
        <x:f>IF(ISNUMBER(H2132),ABS(H2132),"n.a.")</x:f>
        <x:v>0.27797653512832193</x:v>
      </x:c>
      <x:c r="J2132" s="2" t="str">
        <x:v>available</x:v>
      </x:c>
      <x:c r="K2132" s="2" t="n">
        <x:v>1</x:v>
      </x:c>
      <x:c r="L2132" s="13" t="b">
        <x:v>0</x:v>
      </x:c>
      <x:c r="M2132" s="13" t="b">
        <x:v>1</x:v>
      </x:c>
      <x:c r="N2132" s="2" t="str">
        <x:v>projected_CRISP_BU_surface</x:v>
      </x:c>
      <x:c r="O2132" s="2" t="str"/>
      <x:c r="P2132" s="2" t="str">
        <x:v>horizontal built-up surface</x:v>
      </x:c>
      <x:c r="Q2132" s="2" t="str">
        <x:v>m2</x:v>
      </x:c>
      <x:c r="R2132" s="17" t="n">
        <x:v>857120249.0935307</x:v>
      </x:c>
      <x:c r="S2132" s="17" t="n">
        <x:v>584520286.21</x:v>
      </x:c>
      <x:c r="T2132" s="18" t="n">
        <x:v>1.0000000000000013</x:v>
      </x:c>
      <x:c r="U2132" s="17" t="n">
        <x:v>584520286.2100008</x:v>
      </x:c>
      <x:c r="V2132" s="2" t="str">
        <x:v>Area equivalent = model2020 * WUP surface / TEMPO2020 footprint; km2 multiplied by1e6 once</x:v>
      </x:c>
      <x:c r="W2132" s="2" t="str">
        <x:v>L1_numeric_partition_qualified_not_national_completeness</x:v>
      </x:c>
      <x:c r="X2132" s="2" t="str">
        <x:v>https://human-settlement.emergency.copernicus.eu/datasets.php</x:v>
      </x:c>
    </x:row>
    <x:row r="2133" ht="23" customHeight="1">
      <x:c r="A2133" s="2" t="str">
        <x:v>SSD</x:v>
      </x:c>
      <x:c r="B2133" s="2" t="str">
        <x:v>South Sudan (Republic of)</x:v>
      </x:c>
      <x:c r="C2133" s="2" t="n">
        <x:v>2030</x:v>
      </x:c>
      <x:c r="D2133" s="2" t="str">
        <x:v>WUP_SURFACE</x:v>
      </x:c>
      <x:c r="E2133" s="17" t="n">
        <x:v>116447093.67256312</x:v>
      </x:c>
      <x:c r="F2133" s="17" t="n">
        <x:f>IF(AND(M2133,ISNUMBER(R2133)),IF(D2133="TEMPO_PROXY",R2133,IF(AND(ISNUMBER(S2133),S2133&gt;0,ISNUMBER(U2133)),U2133*R2133/S2133,"n.a.")),"n.a.")</x:f>
        <x:v>272856839.96448535</x:v>
      </x:c>
      <x:c r="G2133" s="17" t="n">
        <x:f>IF(AND(ISNUMBER(E2133),ISNUMBER(F2133)),E2133-F2133,"n.a.")</x:f>
        <x:v>-156409746.2919222</x:v>
      </x:c>
      <x:c r="H2133" s="15" t="n">
        <x:f>IF(AND(ISNUMBER(E2133),ISNUMBER(F2133),F2133&gt;0),(E2133-F2133)/F2133,"n.a.")</x:f>
        <x:v>-0.573230073001946</x:v>
      </x:c>
      <x:c r="I2133" s="19" t="n">
        <x:f>IF(ISNUMBER(H2133),ABS(H2133),"n.a.")</x:f>
        <x:v>0.573230073001946</x:v>
      </x:c>
      <x:c r="J2133" s="2" t="str">
        <x:v>available</x:v>
      </x:c>
      <x:c r="K2133" s="2" t="n">
        <x:v>1</x:v>
      </x:c>
      <x:c r="L2133" s="13" t="b">
        <x:v>0</x:v>
      </x:c>
      <x:c r="M2133" s="13" t="b">
        <x:v>1</x:v>
      </x:c>
      <x:c r="N2133" s="2" t="str">
        <x:v>projected_CRISP_BU_surface</x:v>
      </x:c>
      <x:c r="O2133" s="2" t="str"/>
      <x:c r="P2133" s="2" t="str">
        <x:v>horizontal built-up surface</x:v>
      </x:c>
      <x:c r="Q2133" s="2" t="str">
        <x:v>m2</x:v>
      </x:c>
      <x:c r="R2133" s="17" t="n">
        <x:v>272856839.96448517</x:v>
      </x:c>
      <x:c r="S2133" s="17" t="n">
        <x:v>82483216.59</x:v>
      </x:c>
      <x:c r="T2133" s="18" t="n">
        <x:v>1.0000000000000004</x:v>
      </x:c>
      <x:c r="U2133" s="17" t="n">
        <x:v>82483216.59000005</x:v>
      </x:c>
      <x:c r="V2133" s="2" t="str">
        <x:v>Area equivalent = model2020 * WUP surface / TEMPO2020 footprint; km2 multiplied by1e6 once</x:v>
      </x:c>
      <x:c r="W2133" s="2" t="str">
        <x:v>L1_numeric_partition_qualified_not_national_completeness</x:v>
      </x:c>
      <x:c r="X2133" s="2" t="str">
        <x:v>https://human-settlement.emergency.copernicus.eu/datasets.php</x:v>
      </x:c>
    </x:row>
    <x:row r="2134" ht="23" customHeight="1">
      <x:c r="A2134" s="2" t="str">
        <x:v>STP</x:v>
      </x:c>
      <x:c r="B2134" s="2" t="str">
        <x:v>Sao Tome and Principe (Democratic Republic of)</x:v>
      </x:c>
      <x:c r="C2134" s="2" t="n">
        <x:v>2030</x:v>
      </x:c>
      <x:c r="D2134" s="2" t="str">
        <x:v>WUP_SURFACE</x:v>
      </x:c>
      <x:c r="E2134" s="17" t="n">
        <x:v>8346779.406820175</x:v>
      </x:c>
      <x:c r="F2134" s="17" t="n">
        <x:f>IF(AND(M2134,ISNUMBER(R2134)),IF(D2134="TEMPO_PROXY",R2134,IF(AND(ISNUMBER(S2134),S2134&gt;0,ISNUMBER(U2134)),U2134*R2134/S2134,"n.a.")),"n.a.")</x:f>
        <x:v>10728408.06308705</x:v>
      </x:c>
      <x:c r="G2134" s="17" t="n">
        <x:f>IF(AND(ISNUMBER(E2134),ISNUMBER(F2134)),E2134-F2134,"n.a.")</x:f>
        <x:v>-2381628.6562668746</x:v>
      </x:c>
      <x:c r="H2134" s="15" t="n">
        <x:f>IF(AND(ISNUMBER(E2134),ISNUMBER(F2134),F2134&gt;0),(E2134-F2134)/F2134,"n.a.")</x:f>
        <x:v>-0.22199273575930445</x:v>
      </x:c>
      <x:c r="I2134" s="19" t="n">
        <x:f>IF(ISNUMBER(H2134),ABS(H2134),"n.a.")</x:f>
        <x:v>0.22199273575930445</x:v>
      </x:c>
      <x:c r="J2134" s="2" t="str">
        <x:v>available</x:v>
      </x:c>
      <x:c r="K2134" s="2" t="n">
        <x:v>1</x:v>
      </x:c>
      <x:c r="L2134" s="13" t="b">
        <x:v>0</x:v>
      </x:c>
      <x:c r="M2134" s="13" t="b">
        <x:v>1</x:v>
      </x:c>
      <x:c r="N2134" s="2" t="str">
        <x:v>projected_CRISP_BU_surface</x:v>
      </x:c>
      <x:c r="O2134" s="2" t="str"/>
      <x:c r="P2134" s="2" t="str">
        <x:v>horizontal built-up surface</x:v>
      </x:c>
      <x:c r="Q2134" s="2" t="str">
        <x:v>m2</x:v>
      </x:c>
      <x:c r="R2134" s="17" t="n">
        <x:v>10728408.063087044</x:v>
      </x:c>
      <x:c r="S2134" s="17" t="n">
        <x:v>6153544.55</x:v>
      </x:c>
      <x:c r="T2134" s="18" t="n">
        <x:v>1.0000000000000004</x:v>
      </x:c>
      <x:c r="U2134" s="17" t="n">
        <x:v>6153544.550000003</x:v>
      </x:c>
      <x:c r="V2134" s="2" t="str">
        <x:v>Area equivalent = model2020 * WUP surface / TEMPO2020 footprint; km2 multiplied by1e6 once</x:v>
      </x:c>
      <x:c r="W2134" s="2" t="str">
        <x:v>L1_numeric_partition_qualified_not_national_completeness</x:v>
      </x:c>
      <x:c r="X2134" s="2" t="str">
        <x:v>https://human-settlement.emergency.copernicus.eu/datasets.php</x:v>
      </x:c>
    </x:row>
    <x:row r="2135" ht="23" customHeight="1">
      <x:c r="A2135" s="2" t="str">
        <x:v>SUR</x:v>
      </x:c>
      <x:c r="B2135" s="2" t="str">
        <x:v>Suriname (Republic of)</x:v>
      </x:c>
      <x:c r="C2135" s="2" t="n">
        <x:v>2030</x:v>
      </x:c>
      <x:c r="D2135" s="2" t="str">
        <x:v>WUP_SURFACE</x:v>
      </x:c>
      <x:c r="E2135" s="17" t="n">
        <x:v>59067582.581919834</x:v>
      </x:c>
      <x:c r="F2135" s="17" t="n">
        <x:f>IF(AND(M2135,ISNUMBER(R2135)),IF(D2135="TEMPO_PROXY",R2135,IF(AND(ISNUMBER(S2135),S2135&gt;0,ISNUMBER(U2135)),U2135*R2135/S2135,"n.a.")),"n.a.")</x:f>
        <x:v>83284526.31414625</x:v>
      </x:c>
      <x:c r="G2135" s="17" t="n">
        <x:f>IF(AND(ISNUMBER(E2135),ISNUMBER(F2135)),E2135-F2135,"n.a.")</x:f>
        <x:v>-24216943.732226416</x:v>
      </x:c>
      <x:c r="H2135" s="15" t="n">
        <x:f>IF(AND(ISNUMBER(E2135),ISNUMBER(F2135),F2135&gt;0),(E2135-F2135)/F2135,"n.a.")</x:f>
        <x:v>-0.2907736263142204</x:v>
      </x:c>
      <x:c r="I2135" s="19" t="n">
        <x:f>IF(ISNUMBER(H2135),ABS(H2135),"n.a.")</x:f>
        <x:v>0.2907736263142204</x:v>
      </x:c>
      <x:c r="J2135" s="2" t="str">
        <x:v>available</x:v>
      </x:c>
      <x:c r="K2135" s="2" t="n">
        <x:v>1</x:v>
      </x:c>
      <x:c r="L2135" s="13" t="b">
        <x:v>0</x:v>
      </x:c>
      <x:c r="M2135" s="13" t="b">
        <x:v>1</x:v>
      </x:c>
      <x:c r="N2135" s="2" t="str">
        <x:v>projected_CRISP_BU_surface</x:v>
      </x:c>
      <x:c r="O2135" s="2" t="str"/>
      <x:c r="P2135" s="2" t="str">
        <x:v>horizontal built-up surface</x:v>
      </x:c>
      <x:c r="Q2135" s="2" t="str">
        <x:v>m2</x:v>
      </x:c>
      <x:c r="R2135" s="17" t="n">
        <x:v>83284526.3141462</x:v>
      </x:c>
      <x:c r="S2135" s="17" t="n">
        <x:v>50598825.22</x:v>
      </x:c>
      <x:c r="T2135" s="18" t="n">
        <x:v>1.0000000000000004</x:v>
      </x:c>
      <x:c r="U2135" s="17" t="n">
        <x:v>50598825.22000002</x:v>
      </x:c>
      <x:c r="V2135" s="2" t="str">
        <x:v>Area equivalent = model2020 * WUP surface / TEMPO2020 footprint; km2 multiplied by1e6 once</x:v>
      </x:c>
      <x:c r="W2135" s="2" t="str">
        <x:v>L1_numeric_partition_qualified_not_national_completeness</x:v>
      </x:c>
      <x:c r="X2135" s="2" t="str">
        <x:v>https://human-settlement.emergency.copernicus.eu/datasets.php</x:v>
      </x:c>
    </x:row>
    <x:row r="2136" ht="23" customHeight="1">
      <x:c r="A2136" s="2" t="str">
        <x:v>SVK</x:v>
      </x:c>
      <x:c r="B2136" s="2" t="str">
        <x:v>Slovakia (Slovak Republic)</x:v>
      </x:c>
      <x:c r="C2136" s="2" t="n">
        <x:v>2030</x:v>
      </x:c>
      <x:c r="D2136" s="2" t="str">
        <x:v>WUP_SURFACE</x:v>
      </x:c>
      <x:c r="E2136" s="17" t="n">
        <x:v>460943670.9985309</x:v>
      </x:c>
      <x:c r="F2136" s="17" t="n">
        <x:f>IF(AND(M2136,ISNUMBER(R2136)),IF(D2136="TEMPO_PROXY",R2136,IF(AND(ISNUMBER(S2136),S2136&gt;0,ISNUMBER(U2136)),U2136*R2136/S2136,"n.a.")),"n.a.")</x:f>
        <x:v>800891263.4193426</x:v>
      </x:c>
      <x:c r="G2136" s="17" t="n">
        <x:f>IF(AND(ISNUMBER(E2136),ISNUMBER(F2136)),E2136-F2136,"n.a.")</x:f>
        <x:v>-339947592.4208117</x:v>
      </x:c>
      <x:c r="H2136" s="15" t="n">
        <x:f>IF(AND(ISNUMBER(E2136),ISNUMBER(F2136),F2136&gt;0),(E2136-F2136)/F2136,"n.a.")</x:f>
        <x:v>-0.4244616066473644</x:v>
      </x:c>
      <x:c r="I2136" s="19" t="n">
        <x:f>IF(ISNUMBER(H2136),ABS(H2136),"n.a.")</x:f>
        <x:v>0.4244616066473644</x:v>
      </x:c>
      <x:c r="J2136" s="2" t="str">
        <x:v>available</x:v>
      </x:c>
      <x:c r="K2136" s="2" t="n">
        <x:v>1</x:v>
      </x:c>
      <x:c r="L2136" s="13" t="b">
        <x:v>0</x:v>
      </x:c>
      <x:c r="M2136" s="13" t="b">
        <x:v>1</x:v>
      </x:c>
      <x:c r="N2136" s="2" t="str">
        <x:v>projected_CRISP_BU_surface</x:v>
      </x:c>
      <x:c r="O2136" s="2" t="str"/>
      <x:c r="P2136" s="2" t="str">
        <x:v>horizontal built-up surface</x:v>
      </x:c>
      <x:c r="Q2136" s="2" t="str">
        <x:v>m2</x:v>
      </x:c>
      <x:c r="R2136" s="17" t="n">
        <x:v>793532656.8836509</x:v>
      </x:c>
      <x:c r="S2136" s="17" t="n">
        <x:v>387594933.19</x:v>
      </x:c>
      <x:c r="T2136" s="18" t="n">
        <x:v>1.0092732245760248</x:v>
      </x:c>
      <x:c r="U2136" s="17" t="n">
        <x:v>391189188.0500002</x:v>
      </x:c>
      <x:c r="V2136" s="2" t="str">
        <x:v>Area equivalent = model2020 * WUP surface / TEMPO2020 footprint; km2 multiplied by1e6 once</x:v>
      </x:c>
      <x:c r="W2136" s="2" t="str">
        <x:v>L1_numeric_partition_qualified_not_national_completeness</x:v>
      </x:c>
      <x:c r="X2136" s="2" t="str">
        <x:v>https://human-settlement.emergency.copernicus.eu/datasets.php</x:v>
      </x:c>
    </x:row>
    <x:row r="2137" ht="23" customHeight="1">
      <x:c r="A2137" s="2" t="str">
        <x:v>SVN</x:v>
      </x:c>
      <x:c r="B2137" s="2" t="str">
        <x:v>Slovenia (Republic of)</x:v>
      </x:c>
      <x:c r="C2137" s="2" t="n">
        <x:v>2030</x:v>
      </x:c>
      <x:c r="D2137" s="2" t="str">
        <x:v>WUP_SURFACE</x:v>
      </x:c>
      <x:c r="E2137" s="17" t="n">
        <x:v>224146302.30487806</x:v>
      </x:c>
      <x:c r="F2137" s="17" t="n">
        <x:f>IF(AND(M2137,ISNUMBER(R2137)),IF(D2137="TEMPO_PROXY",R2137,IF(AND(ISNUMBER(S2137),S2137&gt;0,ISNUMBER(U2137)),U2137*R2137/S2137,"n.a.")),"n.a.")</x:f>
        <x:v>303709462.5772928</x:v>
      </x:c>
      <x:c r="G2137" s="17" t="n">
        <x:f>IF(AND(ISNUMBER(E2137),ISNUMBER(F2137)),E2137-F2137,"n.a.")</x:f>
        <x:v>-79563160.27241474</x:v>
      </x:c>
      <x:c r="H2137" s="15" t="n">
        <x:f>IF(AND(ISNUMBER(E2137),ISNUMBER(F2137),F2137&gt;0),(E2137-F2137)/F2137,"n.a.")</x:f>
        <x:v>-0.2619712918960049</x:v>
      </x:c>
      <x:c r="I2137" s="19" t="n">
        <x:f>IF(ISNUMBER(H2137),ABS(H2137),"n.a.")</x:f>
        <x:v>0.2619712918960049</x:v>
      </x:c>
      <x:c r="J2137" s="2" t="str">
        <x:v>available</x:v>
      </x:c>
      <x:c r="K2137" s="2" t="n">
        <x:v>1</x:v>
      </x:c>
      <x:c r="L2137" s="13" t="b">
        <x:v>0</x:v>
      </x:c>
      <x:c r="M2137" s="13" t="b">
        <x:v>1</x:v>
      </x:c>
      <x:c r="N2137" s="2" t="str">
        <x:v>projected_CRISP_BU_surface</x:v>
      </x:c>
      <x:c r="O2137" s="2" t="str"/>
      <x:c r="P2137" s="2" t="str">
        <x:v>horizontal built-up surface</x:v>
      </x:c>
      <x:c r="Q2137" s="2" t="str">
        <x:v>m2</x:v>
      </x:c>
      <x:c r="R2137" s="17" t="n">
        <x:v>303709462.57729256</x:v>
      </x:c>
      <x:c r="S2137" s="17" t="n">
        <x:v>188783306.59</x:v>
      </x:c>
      <x:c r="T2137" s="18" t="n">
        <x:v>1.0000000000000009</x:v>
      </x:c>
      <x:c r="U2137" s="17" t="n">
        <x:v>188783306.59000015</x:v>
      </x:c>
      <x:c r="V2137" s="2" t="str">
        <x:v>Area equivalent = model2020 * WUP surface / TEMPO2020 footprint; km2 multiplied by1e6 once</x:v>
      </x:c>
      <x:c r="W2137" s="2" t="str">
        <x:v>L1_numeric_partition_qualified_not_national_completeness</x:v>
      </x:c>
      <x:c r="X2137" s="2" t="str">
        <x:v>https://human-settlement.emergency.copernicus.eu/datasets.php</x:v>
      </x:c>
    </x:row>
    <x:row r="2138" ht="23" customHeight="1">
      <x:c r="A2138" s="2" t="str">
        <x:v>SWE</x:v>
      </x:c>
      <x:c r="B2138" s="2" t="str">
        <x:v>Sweden (Kingdom of)</x:v>
      </x:c>
      <x:c r="C2138" s="2" t="n">
        <x:v>2030</x:v>
      </x:c>
      <x:c r="D2138" s="2" t="str">
        <x:v>WUP_SURFACE</x:v>
      </x:c>
      <x:c r="E2138" s="17" t="n">
        <x:v>1203131781.7189007</x:v>
      </x:c>
      <x:c r="F2138" s="17" t="n">
        <x:f>IF(AND(M2138,ISNUMBER(R2138)),IF(D2138="TEMPO_PROXY",R2138,IF(AND(ISNUMBER(S2138),S2138&gt;0,ISNUMBER(U2138)),U2138*R2138/S2138,"n.a.")),"n.a.")</x:f>
        <x:v>1293522285.4258869</x:v>
      </x:c>
      <x:c r="G2138" s="17" t="n">
        <x:f>IF(AND(ISNUMBER(E2138),ISNUMBER(F2138)),E2138-F2138,"n.a.")</x:f>
        <x:v>-90390503.70698619</x:v>
      </x:c>
      <x:c r="H2138" s="15" t="n">
        <x:f>IF(AND(ISNUMBER(E2138),ISNUMBER(F2138),F2138&gt;0),(E2138-F2138)/F2138,"n.a.")</x:f>
        <x:v>-0.06987935555917035</x:v>
      </x:c>
      <x:c r="I2138" s="19" t="n">
        <x:f>IF(ISNUMBER(H2138),ABS(H2138),"n.a.")</x:f>
        <x:v>0.06987935555917035</x:v>
      </x:c>
      <x:c r="J2138" s="2" t="str">
        <x:v>available</x:v>
      </x:c>
      <x:c r="K2138" s="2" t="n">
        <x:v>1</x:v>
      </x:c>
      <x:c r="L2138" s="13" t="b">
        <x:v>0</x:v>
      </x:c>
      <x:c r="M2138" s="13" t="b">
        <x:v>1</x:v>
      </x:c>
      <x:c r="N2138" s="2" t="str">
        <x:v>projected_CRISP_BU_surface</x:v>
      </x:c>
      <x:c r="O2138" s="2" t="str"/>
      <x:c r="P2138" s="2" t="str">
        <x:v>horizontal built-up surface</x:v>
      </x:c>
      <x:c r="Q2138" s="2" t="str">
        <x:v>m2</x:v>
      </x:c>
      <x:c r="R2138" s="17" t="n">
        <x:v>1282061834.4428127</x:v>
      </x:c>
      <x:c r="S2138" s="17" t="n">
        <x:v>853123931.52</x:v>
      </x:c>
      <x:c r="T2138" s="18" t="n">
        <x:v>1.0089390781904486</x:v>
      </x:c>
      <x:c r="U2138" s="17" t="n">
        <x:v>860750073.0500002</x:v>
      </x:c>
      <x:c r="V2138" s="2" t="str">
        <x:v>Area equivalent = model2020 * WUP surface / TEMPO2020 footprint; km2 multiplied by1e6 once</x:v>
      </x:c>
      <x:c r="W2138" s="2" t="str">
        <x:v>L1_numeric_partition_qualified_not_national_completeness</x:v>
      </x:c>
      <x:c r="X2138" s="2" t="str">
        <x:v>https://human-settlement.emergency.copernicus.eu/datasets.php</x:v>
      </x:c>
    </x:row>
    <x:row r="2139" ht="23" customHeight="1">
      <x:c r="A2139" s="2" t="str">
        <x:v>SWZ</x:v>
      </x:c>
      <x:c r="B2139" s="2" t="str">
        <x:v>Eswatini (Kingdom of)</x:v>
      </x:c>
      <x:c r="C2139" s="2" t="n">
        <x:v>2030</x:v>
      </x:c>
      <x:c r="D2139" s="2" t="str">
        <x:v>WUP_SURFACE</x:v>
      </x:c>
      <x:c r="E2139" s="17" t="n">
        <x:v>57069144.55521089</x:v>
      </x:c>
      <x:c r="F2139" s="17" t="n">
        <x:f>IF(AND(M2139,ISNUMBER(R2139)),IF(D2139="TEMPO_PROXY",R2139,IF(AND(ISNUMBER(S2139),S2139&gt;0,ISNUMBER(U2139)),U2139*R2139/S2139,"n.a.")),"n.a.")</x:f>
        <x:v>177043591.01146504</x:v>
      </x:c>
      <x:c r="G2139" s="17" t="n">
        <x:f>IF(AND(ISNUMBER(E2139),ISNUMBER(F2139)),E2139-F2139,"n.a.")</x:f>
        <x:v>-119974446.45625415</x:v>
      </x:c>
      <x:c r="H2139" s="15" t="n">
        <x:f>IF(AND(ISNUMBER(E2139),ISNUMBER(F2139),F2139&gt;0),(E2139-F2139)/F2139,"n.a.")</x:f>
        <x:v>-0.6776548406572075</x:v>
      </x:c>
      <x:c r="I2139" s="19" t="n">
        <x:f>IF(ISNUMBER(H2139),ABS(H2139),"n.a.")</x:f>
        <x:v>0.6776548406572075</x:v>
      </x:c>
      <x:c r="J2139" s="2" t="str">
        <x:v>available</x:v>
      </x:c>
      <x:c r="K2139" s="2" t="n">
        <x:v>1</x:v>
      </x:c>
      <x:c r="L2139" s="13" t="b">
        <x:v>0</x:v>
      </x:c>
      <x:c r="M2139" s="13" t="b">
        <x:v>1</x:v>
      </x:c>
      <x:c r="N2139" s="2" t="str">
        <x:v>projected_CRISP_BU_surface</x:v>
      </x:c>
      <x:c r="O2139" s="2" t="str"/>
      <x:c r="P2139" s="2" t="str">
        <x:v>horizontal built-up surface</x:v>
      </x:c>
      <x:c r="Q2139" s="2" t="str">
        <x:v>m2</x:v>
      </x:c>
      <x:c r="R2139" s="17" t="n">
        <x:v>177043591.01146507</x:v>
      </x:c>
      <x:c r="S2139" s="17" t="n">
        <x:v>51228621.63</x:v>
      </x:c>
      <x:c r="T2139" s="18" t="n">
        <x:v>0.9999999999999999</x:v>
      </x:c>
      <x:c r="U2139" s="17" t="n">
        <x:v>51228621.629999995</x:v>
      </x:c>
      <x:c r="V2139" s="2" t="str">
        <x:v>Area equivalent = model2020 * WUP surface / TEMPO2020 footprint; km2 multiplied by1e6 once</x:v>
      </x:c>
      <x:c r="W2139" s="2" t="str">
        <x:v>L1_numeric_partition_qualified_not_national_completeness</x:v>
      </x:c>
      <x:c r="X2139" s="2" t="str">
        <x:v>https://human-settlement.emergency.copernicus.eu/datasets.php</x:v>
      </x:c>
    </x:row>
    <x:row r="2140" ht="23" customHeight="1">
      <x:c r="A2140" s="2" t="str">
        <x:v>SYC</x:v>
      </x:c>
      <x:c r="B2140" s="2" t="str">
        <x:v>Seychelles (Republic of)</x:v>
      </x:c>
      <x:c r="C2140" s="2" t="n">
        <x:v>2030</x:v>
      </x:c>
      <x:c r="D2140" s="2" t="str">
        <x:v>WUP_SURFACE</x:v>
      </x:c>
      <x:c r="E2140" s="17" t="n">
        <x:v>9670071.712016165</x:v>
      </x:c>
      <x:c r="F2140" s="17" t="n">
        <x:f>IF(AND(M2140,ISNUMBER(R2140)),IF(D2140="TEMPO_PROXY",R2140,IF(AND(ISNUMBER(S2140),S2140&gt;0,ISNUMBER(U2140)),U2140*R2140/S2140,"n.a.")),"n.a.")</x:f>
        <x:v>7239713.20917292</x:v>
      </x:c>
      <x:c r="G2140" s="17" t="n">
        <x:f>IF(AND(ISNUMBER(E2140),ISNUMBER(F2140)),E2140-F2140,"n.a.")</x:f>
        <x:v>2430358.502843245</x:v>
      </x:c>
      <x:c r="H2140" s="15" t="n">
        <x:f>IF(AND(ISNUMBER(E2140),ISNUMBER(F2140),F2140&gt;0),(E2140-F2140)/F2140,"n.a.")</x:f>
        <x:v>0.33569817375692623</x:v>
      </x:c>
      <x:c r="I2140" s="19" t="n">
        <x:f>IF(ISNUMBER(H2140),ABS(H2140),"n.a.")</x:f>
        <x:v>0.33569817375692623</x:v>
      </x:c>
      <x:c r="J2140" s="2" t="str">
        <x:v>available</x:v>
      </x:c>
      <x:c r="K2140" s="2" t="n">
        <x:v>1</x:v>
      </x:c>
      <x:c r="L2140" s="13" t="b">
        <x:v>0</x:v>
      </x:c>
      <x:c r="M2140" s="13" t="b">
        <x:v>1</x:v>
      </x:c>
      <x:c r="N2140" s="2" t="str">
        <x:v>projected_CRISP_BU_surface</x:v>
      </x:c>
      <x:c r="O2140" s="2" t="str"/>
      <x:c r="P2140" s="2" t="str">
        <x:v>horizontal built-up surface</x:v>
      </x:c>
      <x:c r="Q2140" s="2" t="str">
        <x:v>m2</x:v>
      </x:c>
      <x:c r="R2140" s="17" t="n">
        <x:v>7239713.209172919</x:v>
      </x:c>
      <x:c r="S2140" s="17" t="n">
        <x:v>7317572.88</x:v>
      </x:c>
      <x:c r="T2140" s="18" t="n">
        <x:v>1.0000000000000002</x:v>
      </x:c>
      <x:c r="U2140" s="17" t="n">
        <x:v>7317572.880000001</x:v>
      </x:c>
      <x:c r="V2140" s="2" t="str">
        <x:v>Area equivalent = model2020 * WUP surface / TEMPO2020 footprint; km2 multiplied by1e6 once</x:v>
      </x:c>
      <x:c r="W2140" s="2" t="str">
        <x:v>L1_numeric_partition_qualified_not_national_completeness</x:v>
      </x:c>
      <x:c r="X2140" s="2" t="str">
        <x:v>https://human-settlement.emergency.copernicus.eu/datasets.php</x:v>
      </x:c>
    </x:row>
    <x:row r="2141" ht="23" customHeight="1">
      <x:c r="A2141" s="2" t="str">
        <x:v>SYR</x:v>
      </x:c>
      <x:c r="B2141" s="2" t="str">
        <x:v>Syrian Arab Republic</x:v>
      </x:c>
      <x:c r="C2141" s="2" t="n">
        <x:v>2030</x:v>
      </x:c>
      <x:c r="D2141" s="2" t="str">
        <x:v>WUP_SURFACE</x:v>
      </x:c>
      <x:c r="E2141" s="17" t="n">
        <x:v>1121009645.7640297</x:v>
      </x:c>
      <x:c r="F2141" s="17" t="n">
        <x:f>IF(AND(M2141,ISNUMBER(R2141)),IF(D2141="TEMPO_PROXY",R2141,IF(AND(ISNUMBER(S2141),S2141&gt;0,ISNUMBER(U2141)),U2141*R2141/S2141,"n.a.")),"n.a.")</x:f>
        <x:v>1372671303.355455</x:v>
      </x:c>
      <x:c r="G2141" s="17" t="n">
        <x:f>IF(AND(ISNUMBER(E2141),ISNUMBER(F2141)),E2141-F2141,"n.a.")</x:f>
        <x:v>-251661657.59142518</x:v>
      </x:c>
      <x:c r="H2141" s="15" t="n">
        <x:f>IF(AND(ISNUMBER(E2141),ISNUMBER(F2141),F2141&gt;0),(E2141-F2141)/F2141,"n.a.")</x:f>
        <x:v>-0.18333715943230225</x:v>
      </x:c>
      <x:c r="I2141" s="19" t="n">
        <x:f>IF(ISNUMBER(H2141),ABS(H2141),"n.a.")</x:f>
        <x:v>0.18333715943230225</x:v>
      </x:c>
      <x:c r="J2141" s="2" t="str">
        <x:v>available</x:v>
      </x:c>
      <x:c r="K2141" s="2" t="n">
        <x:v>1</x:v>
      </x:c>
      <x:c r="L2141" s="13" t="b">
        <x:v>0</x:v>
      </x:c>
      <x:c r="M2141" s="13" t="b">
        <x:v>1</x:v>
      </x:c>
      <x:c r="N2141" s="2" t="str">
        <x:v>projected_CRISP_BU_surface</x:v>
      </x:c>
      <x:c r="O2141" s="2" t="str"/>
      <x:c r="P2141" s="2" t="str">
        <x:v>horizontal built-up surface</x:v>
      </x:c>
      <x:c r="Q2141" s="2" t="str">
        <x:v>m2</x:v>
      </x:c>
      <x:c r="R2141" s="17" t="n">
        <x:v>1353534671.6208189</x:v>
      </x:c>
      <x:c r="S2141" s="17" t="n">
        <x:v>784392266.01</x:v>
      </x:c>
      <x:c r="T2141" s="18" t="n">
        <x:v>1.0141382648969905</x:v>
      </x:c>
      <x:c r="U2141" s="17" t="n">
        <x:v>795482211.65</x:v>
      </x:c>
      <x:c r="V2141" s="2" t="str">
        <x:v>Area equivalent = model2020 * WUP surface / TEMPO2020 footprint; km2 multiplied by1e6 once</x:v>
      </x:c>
      <x:c r="W2141" s="2" t="str">
        <x:v>L1_numeric_partition_qualified_not_national_completeness</x:v>
      </x:c>
      <x:c r="X2141" s="2" t="str">
        <x:v>https://human-settlement.emergency.copernicus.eu/datasets.php</x:v>
      </x:c>
    </x:row>
    <x:row r="2142" ht="23" customHeight="1">
      <x:c r="A2142" s="2" t="str">
        <x:v>TCD</x:v>
      </x:c>
      <x:c r="B2142" s="2" t="str">
        <x:v>Chad (Republic of)</x:v>
      </x:c>
      <x:c r="C2142" s="2" t="n">
        <x:v>2030</x:v>
      </x:c>
      <x:c r="D2142" s="2" t="str">
        <x:v>WUP_SURFACE</x:v>
      </x:c>
      <x:c r="E2142" s="17" t="n">
        <x:v>186494469.91657725</x:v>
      </x:c>
      <x:c r="F2142" s="17" t="n">
        <x:f>IF(AND(M2142,ISNUMBER(R2142)),IF(D2142="TEMPO_PROXY",R2142,IF(AND(ISNUMBER(S2142),S2142&gt;0,ISNUMBER(U2142)),U2142*R2142/S2142,"n.a.")),"n.a.")</x:f>
        <x:v>813082432.46271</x:v>
      </x:c>
      <x:c r="G2142" s="17" t="n">
        <x:f>IF(AND(ISNUMBER(E2142),ISNUMBER(F2142)),E2142-F2142,"n.a.")</x:f>
        <x:v>-626587962.5461328</x:v>
      </x:c>
      <x:c r="H2142" s="15" t="n">
        <x:f>IF(AND(ISNUMBER(E2142),ISNUMBER(F2142),F2142&gt;0),(E2142-F2142)/F2142,"n.a.")</x:f>
        <x:v>-0.7706327643167591</x:v>
      </x:c>
      <x:c r="I2142" s="19" t="n">
        <x:f>IF(ISNUMBER(H2142),ABS(H2142),"n.a.")</x:f>
        <x:v>0.7706327643167591</x:v>
      </x:c>
      <x:c r="J2142" s="2" t="str">
        <x:v>available</x:v>
      </x:c>
      <x:c r="K2142" s="2" t="n">
        <x:v>1</x:v>
      </x:c>
      <x:c r="L2142" s="13" t="b">
        <x:v>0</x:v>
      </x:c>
      <x:c r="M2142" s="13" t="b">
        <x:v>1</x:v>
      </x:c>
      <x:c r="N2142" s="2" t="str">
        <x:v>projected_CRISP_BU_surface</x:v>
      </x:c>
      <x:c r="O2142" s="2" t="str"/>
      <x:c r="P2142" s="2" t="str">
        <x:v>horizontal built-up surface</x:v>
      </x:c>
      <x:c r="Q2142" s="2" t="str">
        <x:v>m2</x:v>
      </x:c>
      <x:c r="R2142" s="17" t="n">
        <x:v>813082432.4627109</x:v>
      </x:c>
      <x:c r="S2142" s="17" t="n">
        <x:v>126450494.22</x:v>
      </x:c>
      <x:c r="T2142" s="18" t="n">
        <x:v>0.9999999999999991</x:v>
      </x:c>
      <x:c r="U2142" s="17" t="n">
        <x:v>126450494.21999988</x:v>
      </x:c>
      <x:c r="V2142" s="2" t="str">
        <x:v>Area equivalent = model2020 * WUP surface / TEMPO2020 footprint; km2 multiplied by1e6 once</x:v>
      </x:c>
      <x:c r="W2142" s="2" t="str">
        <x:v>L1_numeric_partition_qualified_not_national_completeness</x:v>
      </x:c>
      <x:c r="X2142" s="2" t="str">
        <x:v>https://human-settlement.emergency.copernicus.eu/datasets.php</x:v>
      </x:c>
    </x:row>
    <x:row r="2143" ht="23" customHeight="1">
      <x:c r="A2143" s="2" t="str">
        <x:v>TGO</x:v>
      </x:c>
      <x:c r="B2143" s="2" t="str">
        <x:v>Togo (Togolese Republic)</x:v>
      </x:c>
      <x:c r="C2143" s="2" t="n">
        <x:v>2030</x:v>
      </x:c>
      <x:c r="D2143" s="2" t="str">
        <x:v>WUP_SURFACE</x:v>
      </x:c>
      <x:c r="E2143" s="17" t="n">
        <x:v>241496721.85921732</x:v>
      </x:c>
      <x:c r="F2143" s="17" t="n">
        <x:f>IF(AND(M2143,ISNUMBER(R2143)),IF(D2143="TEMPO_PROXY",R2143,IF(AND(ISNUMBER(S2143),S2143&gt;0,ISNUMBER(U2143)),U2143*R2143/S2143,"n.a.")),"n.a.")</x:f>
        <x:v>608591584.0746796</x:v>
      </x:c>
      <x:c r="G2143" s="17" t="n">
        <x:f>IF(AND(ISNUMBER(E2143),ISNUMBER(F2143)),E2143-F2143,"n.a.")</x:f>
        <x:v>-367094862.2154623</x:v>
      </x:c>
      <x:c r="H2143" s="15" t="n">
        <x:f>IF(AND(ISNUMBER(E2143),ISNUMBER(F2143),F2143&gt;0),(E2143-F2143)/F2143,"n.a.")</x:f>
        <x:v>-0.6031875428800154</x:v>
      </x:c>
      <x:c r="I2143" s="19" t="n">
        <x:f>IF(ISNUMBER(H2143),ABS(H2143),"n.a.")</x:f>
        <x:v>0.6031875428800154</x:v>
      </x:c>
      <x:c r="J2143" s="2" t="str">
        <x:v>available</x:v>
      </x:c>
      <x:c r="K2143" s="2" t="n">
        <x:v>1</x:v>
      </x:c>
      <x:c r="L2143" s="13" t="b">
        <x:v>0</x:v>
      </x:c>
      <x:c r="M2143" s="13" t="b">
        <x:v>1</x:v>
      </x:c>
      <x:c r="N2143" s="2" t="str">
        <x:v>projected_CRISP_BU_surface</x:v>
      </x:c>
      <x:c r="O2143" s="2" t="str"/>
      <x:c r="P2143" s="2" t="str">
        <x:v>horizontal built-up surface</x:v>
      </x:c>
      <x:c r="Q2143" s="2" t="str">
        <x:v>m2</x:v>
      </x:c>
      <x:c r="R2143" s="17" t="n">
        <x:v>608591584.0746789</x:v>
      </x:c>
      <x:c r="S2143" s="17" t="n">
        <x:v>185693532.73</x:v>
      </x:c>
      <x:c r="T2143" s="18" t="n">
        <x:v>1.000000000000001</x:v>
      </x:c>
      <x:c r="U2143" s="17" t="n">
        <x:v>185693532.7300002</x:v>
      </x:c>
      <x:c r="V2143" s="2" t="str">
        <x:v>Area equivalent = model2020 * WUP surface / TEMPO2020 footprint; km2 multiplied by1e6 once</x:v>
      </x:c>
      <x:c r="W2143" s="2" t="str">
        <x:v>L1_numeric_partition_qualified_not_national_completeness</x:v>
      </x:c>
      <x:c r="X2143" s="2" t="str">
        <x:v>https://human-settlement.emergency.copernicus.eu/datasets.php</x:v>
      </x:c>
    </x:row>
    <x:row r="2144" ht="23" customHeight="1">
      <x:c r="A2144" s="2" t="str">
        <x:v>THA</x:v>
      </x:c>
      <x:c r="B2144" s="2" t="str">
        <x:v>Thailand (Kingdom of)</x:v>
      </x:c>
      <x:c r="C2144" s="2" t="n">
        <x:v>2030</x:v>
      </x:c>
      <x:c r="D2144" s="2" t="str">
        <x:v>WUP_SURFACE</x:v>
      </x:c>
      <x:c r="E2144" s="17" t="n">
        <x:v>5806917831.244633</x:v>
      </x:c>
      <x:c r="F2144" s="17" t="n">
        <x:f>IF(AND(M2144,ISNUMBER(R2144)),IF(D2144="TEMPO_PROXY",R2144,IF(AND(ISNUMBER(S2144),S2144&gt;0,ISNUMBER(U2144)),U2144*R2144/S2144,"n.a.")),"n.a.")</x:f>
        <x:v>7429676253.228898</x:v>
      </x:c>
      <x:c r="G2144" s="17" t="n">
        <x:f>IF(AND(ISNUMBER(E2144),ISNUMBER(F2144)),E2144-F2144,"n.a.")</x:f>
        <x:v>-1622758421.9842653</x:v>
      </x:c>
      <x:c r="H2144" s="15" t="n">
        <x:f>IF(AND(ISNUMBER(E2144),ISNUMBER(F2144),F2144&gt;0),(E2144-F2144)/F2144,"n.a.")</x:f>
        <x:v>-0.2184157649236766</x:v>
      </x:c>
      <x:c r="I2144" s="19" t="n">
        <x:f>IF(ISNUMBER(H2144),ABS(H2144),"n.a.")</x:f>
        <x:v>0.2184157649236766</x:v>
      </x:c>
      <x:c r="J2144" s="2" t="str">
        <x:v>available</x:v>
      </x:c>
      <x:c r="K2144" s="2" t="n">
        <x:v>1</x:v>
      </x:c>
      <x:c r="L2144" s="13" t="b">
        <x:v>0</x:v>
      </x:c>
      <x:c r="M2144" s="13" t="b">
        <x:v>1</x:v>
      </x:c>
      <x:c r="N2144" s="2" t="str">
        <x:v>projected_CRISP_BU_surface</x:v>
      </x:c>
      <x:c r="O2144" s="2" t="str"/>
      <x:c r="P2144" s="2" t="str">
        <x:v>horizontal built-up surface</x:v>
      </x:c>
      <x:c r="Q2144" s="2" t="str">
        <x:v>m2</x:v>
      </x:c>
      <x:c r="R2144" s="17" t="n">
        <x:v>7429676253.228908</x:v>
      </x:c>
      <x:c r="S2144" s="17" t="n">
        <x:v>5229846890.15</x:v>
      </x:c>
      <x:c r="T2144" s="18" t="n">
        <x:v>0.9999999999999988</x:v>
      </x:c>
      <x:c r="U2144" s="17" t="n">
        <x:v>5229846890.149993</x:v>
      </x:c>
      <x:c r="V2144" s="2" t="str">
        <x:v>Area equivalent = model2020 * WUP surface / TEMPO2020 footprint; km2 multiplied by1e6 once</x:v>
      </x:c>
      <x:c r="W2144" s="2" t="str">
        <x:v>L1_numeric_partition_qualified_not_national_completeness</x:v>
      </x:c>
      <x:c r="X2144" s="2" t="str">
        <x:v>https://human-settlement.emergency.copernicus.eu/datasets.php</x:v>
      </x:c>
    </x:row>
    <x:row r="2145" ht="23" customHeight="1">
      <x:c r="A2145" s="2" t="str">
        <x:v>TJK</x:v>
      </x:c>
      <x:c r="B2145" s="2" t="str">
        <x:v>Tajikistan (Republic of)</x:v>
      </x:c>
      <x:c r="C2145" s="2" t="n">
        <x:v>2030</x:v>
      </x:c>
      <x:c r="D2145" s="2" t="str">
        <x:v>WUP_SURFACE</x:v>
      </x:c>
      <x:c r="E2145" s="17" t="n">
        <x:v>487355770.45747185</x:v>
      </x:c>
      <x:c r="F2145" s="17" t="n">
        <x:f>IF(AND(M2145,ISNUMBER(R2145)),IF(D2145="TEMPO_PROXY",R2145,IF(AND(ISNUMBER(S2145),S2145&gt;0,ISNUMBER(U2145)),U2145*R2145/S2145,"n.a.")),"n.a.")</x:f>
        <x:v>898767165.8420374</x:v>
      </x:c>
      <x:c r="G2145" s="17" t="n">
        <x:f>IF(AND(ISNUMBER(E2145),ISNUMBER(F2145)),E2145-F2145,"n.a.")</x:f>
        <x:v>-411411395.3845656</x:v>
      </x:c>
      <x:c r="H2145" s="15" t="n">
        <x:f>IF(AND(ISNUMBER(E2145),ISNUMBER(F2145),F2145&gt;0),(E2145-F2145)/F2145,"n.a.")</x:f>
        <x:v>-0.45775080690572656</x:v>
      </x:c>
      <x:c r="I2145" s="19" t="n">
        <x:f>IF(ISNUMBER(H2145),ABS(H2145),"n.a.")</x:f>
        <x:v>0.45775080690572656</x:v>
      </x:c>
      <x:c r="J2145" s="2" t="str">
        <x:v>available</x:v>
      </x:c>
      <x:c r="K2145" s="2" t="n">
        <x:v>1</x:v>
      </x:c>
      <x:c r="L2145" s="13" t="b">
        <x:v>0</x:v>
      </x:c>
      <x:c r="M2145" s="13" t="b">
        <x:v>1</x:v>
      </x:c>
      <x:c r="N2145" s="2" t="str">
        <x:v>projected_CRISP_BU_surface</x:v>
      </x:c>
      <x:c r="O2145" s="2" t="str"/>
      <x:c r="P2145" s="2" t="str">
        <x:v>horizontal built-up surface</x:v>
      </x:c>
      <x:c r="Q2145" s="2" t="str">
        <x:v>m2</x:v>
      </x:c>
      <x:c r="R2145" s="17" t="n">
        <x:v>898767165.8420367</x:v>
      </x:c>
      <x:c r="S2145" s="17" t="n">
        <x:v>392955797.92</x:v>
      </x:c>
      <x:c r="T2145" s="18" t="n">
        <x:v>1.0000000000000009</x:v>
      </x:c>
      <x:c r="U2145" s="17" t="n">
        <x:v>392955797.9200004</x:v>
      </x:c>
      <x:c r="V2145" s="2" t="str">
        <x:v>Area equivalent = model2020 * WUP surface / TEMPO2020 footprint; km2 multiplied by1e6 once</x:v>
      </x:c>
      <x:c r="W2145" s="2" t="str">
        <x:v>L1_numeric_partition_qualified_not_national_completeness</x:v>
      </x:c>
      <x:c r="X2145" s="2" t="str">
        <x:v>https://human-settlement.emergency.copernicus.eu/datasets.php</x:v>
      </x:c>
    </x:row>
    <x:row r="2146" ht="23" customHeight="1">
      <x:c r="A2146" s="2" t="str">
        <x:v>TKM</x:v>
      </x:c>
      <x:c r="B2146" s="2" t="str">
        <x:v>Turkmenistan</x:v>
      </x:c>
      <x:c r="C2146" s="2" t="n">
        <x:v>2030</x:v>
      </x:c>
      <x:c r="D2146" s="2" t="str">
        <x:v>WUP_SURFACE</x:v>
      </x:c>
      <x:c r="E2146" s="17" t="n">
        <x:v>427471210.54784304</x:v>
      </x:c>
      <x:c r="F2146" s="17" t="n">
        <x:f>IF(AND(M2146,ISNUMBER(R2146)),IF(D2146="TEMPO_PROXY",R2146,IF(AND(ISNUMBER(S2146),S2146&gt;0,ISNUMBER(U2146)),U2146*R2146/S2146,"n.a.")),"n.a.")</x:f>
        <x:v>891098070.5227531</x:v>
      </x:c>
      <x:c r="G2146" s="17" t="n">
        <x:f>IF(AND(ISNUMBER(E2146),ISNUMBER(F2146)),E2146-F2146,"n.a.")</x:f>
        <x:v>-463626859.9749101</x:v>
      </x:c>
      <x:c r="H2146" s="15" t="n">
        <x:f>IF(AND(ISNUMBER(E2146),ISNUMBER(F2146),F2146&gt;0),(E2146-F2146)/F2146,"n.a.")</x:f>
        <x:v>-0.5202871325968963</x:v>
      </x:c>
      <x:c r="I2146" s="19" t="n">
        <x:f>IF(ISNUMBER(H2146),ABS(H2146),"n.a.")</x:f>
        <x:v>0.5202871325968963</x:v>
      </x:c>
      <x:c r="J2146" s="2" t="str">
        <x:v>available</x:v>
      </x:c>
      <x:c r="K2146" s="2" t="n">
        <x:v>1</x:v>
      </x:c>
      <x:c r="L2146" s="13" t="b">
        <x:v>0</x:v>
      </x:c>
      <x:c r="M2146" s="13" t="b">
        <x:v>1</x:v>
      </x:c>
      <x:c r="N2146" s="2" t="str">
        <x:v>projected_CRISP_BU_surface</x:v>
      </x:c>
      <x:c r="O2146" s="2" t="str"/>
      <x:c r="P2146" s="2" t="str">
        <x:v>horizontal built-up surface</x:v>
      </x:c>
      <x:c r="Q2146" s="2" t="str">
        <x:v>m2</x:v>
      </x:c>
      <x:c r="R2146" s="17" t="n">
        <x:v>891098070.5227518</x:v>
      </x:c>
      <x:c r="S2146" s="17" t="n">
        <x:v>359976676.15</x:v>
      </x:c>
      <x:c r="T2146" s="18" t="n">
        <x:v>1.0000000000000016</x:v>
      </x:c>
      <x:c r="U2146" s="17" t="n">
        <x:v>359976676.1500005</x:v>
      </x:c>
      <x:c r="V2146" s="2" t="str">
        <x:v>Area equivalent = model2020 * WUP surface / TEMPO2020 footprint; km2 multiplied by1e6 once</x:v>
      </x:c>
      <x:c r="W2146" s="2" t="str">
        <x:v>L1_numeric_partition_qualified_not_national_completeness</x:v>
      </x:c>
      <x:c r="X2146" s="2" t="str">
        <x:v>https://human-settlement.emergency.copernicus.eu/datasets.php</x:v>
      </x:c>
    </x:row>
    <x:row r="2147" ht="23" customHeight="1">
      <x:c r="A2147" s="2" t="str">
        <x:v>TLS</x:v>
      </x:c>
      <x:c r="B2147" s="2" t="str">
        <x:v>Timor-Leste (Democratic Republic of)</x:v>
      </x:c>
      <x:c r="C2147" s="2" t="n">
        <x:v>2030</x:v>
      </x:c>
      <x:c r="D2147" s="2" t="str">
        <x:v>WUP_SURFACE</x:v>
      </x:c>
      <x:c r="E2147" s="17" t="n">
        <x:v>54878498.68487422</x:v>
      </x:c>
      <x:c r="F2147" s="17" t="n">
        <x:f>IF(AND(M2147,ISNUMBER(R2147)),IF(D2147="TEMPO_PROXY",R2147,IF(AND(ISNUMBER(S2147),S2147&gt;0,ISNUMBER(U2147)),U2147*R2147/S2147,"n.a.")),"n.a.")</x:f>
        <x:v>66261455.183259755</x:v>
      </x:c>
      <x:c r="G2147" s="17" t="n">
        <x:f>IF(AND(ISNUMBER(E2147),ISNUMBER(F2147)),E2147-F2147,"n.a.")</x:f>
        <x:v>-11382956.498385534</x:v>
      </x:c>
      <x:c r="H2147" s="15" t="n">
        <x:f>IF(AND(ISNUMBER(E2147),ISNUMBER(F2147),F2147&gt;0),(E2147-F2147)/F2147,"n.a.")</x:f>
        <x:v>-0.17178850761583206</x:v>
      </x:c>
      <x:c r="I2147" s="19" t="n">
        <x:f>IF(ISNUMBER(H2147),ABS(H2147),"n.a.")</x:f>
        <x:v>0.17178850761583206</x:v>
      </x:c>
      <x:c r="J2147" s="2" t="str">
        <x:v>available</x:v>
      </x:c>
      <x:c r="K2147" s="2" t="n">
        <x:v>1</x:v>
      </x:c>
      <x:c r="L2147" s="13" t="b">
        <x:v>0</x:v>
      </x:c>
      <x:c r="M2147" s="13" t="b">
        <x:v>1</x:v>
      </x:c>
      <x:c r="N2147" s="2" t="str">
        <x:v>projected_CRISP_BU_surface</x:v>
      </x:c>
      <x:c r="O2147" s="2" t="str"/>
      <x:c r="P2147" s="2" t="str">
        <x:v>horizontal built-up surface</x:v>
      </x:c>
      <x:c r="Q2147" s="2" t="str">
        <x:v>m2</x:v>
      </x:c>
      <x:c r="R2147" s="17" t="n">
        <x:v>66261455.183259726</x:v>
      </x:c>
      <x:c r="S2147" s="17" t="n">
        <x:v>41213693.9</x:v>
      </x:c>
      <x:c r="T2147" s="18" t="n">
        <x:v>1.0000000000000004</x:v>
      </x:c>
      <x:c r="U2147" s="17" t="n">
        <x:v>41213693.90000002</x:v>
      </x:c>
      <x:c r="V2147" s="2" t="str">
        <x:v>Area equivalent = model2020 * WUP surface / TEMPO2020 footprint; km2 multiplied by1e6 once</x:v>
      </x:c>
      <x:c r="W2147" s="2" t="str">
        <x:v>L1_numeric_partition_qualified_not_national_completeness</x:v>
      </x:c>
      <x:c r="X2147" s="2" t="str">
        <x:v>https://human-settlement.emergency.copernicus.eu/datasets.php</x:v>
      </x:c>
    </x:row>
    <x:row r="2148" ht="23" customHeight="1">
      <x:c r="A2148" s="2" t="str">
        <x:v>TON</x:v>
      </x:c>
      <x:c r="B2148" s="2" t="str">
        <x:v>Tonga (Kingdom of)</x:v>
      </x:c>
      <x:c r="C2148" s="2" t="n">
        <x:v>2030</x:v>
      </x:c>
      <x:c r="D2148" s="2" t="str">
        <x:v>WUP_SURFACE</x:v>
      </x:c>
      <x:c r="E2148" s="17" t="n">
        <x:v>4983560.849101624</x:v>
      </x:c>
      <x:c r="F2148" s="17" t="n">
        <x:f>IF(AND(M2148,ISNUMBER(R2148)),IF(D2148="TEMPO_PROXY",R2148,IF(AND(ISNUMBER(S2148),S2148&gt;0,ISNUMBER(U2148)),U2148*R2148/S2148,"n.a.")),"n.a.")</x:f>
        <x:v>9057344.915245263</x:v>
      </x:c>
      <x:c r="G2148" s="17" t="n">
        <x:f>IF(AND(ISNUMBER(E2148),ISNUMBER(F2148)),E2148-F2148,"n.a.")</x:f>
        <x:v>-4073784.0661436385</x:v>
      </x:c>
      <x:c r="H2148" s="15" t="n">
        <x:f>IF(AND(ISNUMBER(E2148),ISNUMBER(F2148),F2148&gt;0),(E2148-F2148)/F2148,"n.a.")</x:f>
        <x:v>-0.44977685008844837</x:v>
      </x:c>
      <x:c r="I2148" s="19" t="n">
        <x:f>IF(ISNUMBER(H2148),ABS(H2148),"n.a.")</x:f>
        <x:v>0.44977685008844837</x:v>
      </x:c>
      <x:c r="J2148" s="2" t="str">
        <x:v>available</x:v>
      </x:c>
      <x:c r="K2148" s="2" t="n">
        <x:v>1</x:v>
      </x:c>
      <x:c r="L2148" s="13" t="b">
        <x:v>0</x:v>
      </x:c>
      <x:c r="M2148" s="13" t="b">
        <x:v>1</x:v>
      </x:c>
      <x:c r="N2148" s="2" t="str">
        <x:v>projected_CRISP_BU_surface</x:v>
      </x:c>
      <x:c r="O2148" s="2" t="str"/>
      <x:c r="P2148" s="2" t="str">
        <x:v>horizontal built-up surface</x:v>
      </x:c>
      <x:c r="Q2148" s="2" t="str">
        <x:v>m2</x:v>
      </x:c>
      <x:c r="R2148" s="17" t="n">
        <x:v>9057344.915245268</x:v>
      </x:c>
      <x:c r="S2148" s="17" t="n">
        <x:v>4719083.85</x:v>
      </x:c>
      <x:c r="T2148" s="18" t="n">
        <x:v>0.9999999999999994</x:v>
      </x:c>
      <x:c r="U2148" s="17" t="n">
        <x:v>4719083.849999997</x:v>
      </x:c>
      <x:c r="V2148" s="2" t="str">
        <x:v>Area equivalent = model2020 * WUP surface / TEMPO2020 footprint; km2 multiplied by1e6 once</x:v>
      </x:c>
      <x:c r="W2148" s="2" t="str">
        <x:v>L1_numeric_partition_qualified_not_national_completeness</x:v>
      </x:c>
      <x:c r="X2148" s="2" t="str">
        <x:v>https://human-settlement.emergency.copernicus.eu/datasets.php</x:v>
      </x:c>
    </x:row>
    <x:row r="2149" ht="23" customHeight="1">
      <x:c r="A2149" s="2" t="str">
        <x:v>TTO</x:v>
      </x:c>
      <x:c r="B2149" s="2" t="str">
        <x:v>Trinidad and Tobago (Republic of)</x:v>
      </x:c>
      <x:c r="C2149" s="2" t="n">
        <x:v>2030</x:v>
      </x:c>
      <x:c r="D2149" s="2" t="str">
        <x:v>WUP_SURFACE</x:v>
      </x:c>
      <x:c r="E2149" s="17" t="n">
        <x:v>115279770.69010058</x:v>
      </x:c>
      <x:c r="F2149" s="17" t="n">
        <x:f>IF(AND(M2149,ISNUMBER(R2149)),IF(D2149="TEMPO_PROXY",R2149,IF(AND(ISNUMBER(S2149),S2149&gt;0,ISNUMBER(U2149)),U2149*R2149/S2149,"n.a.")),"n.a.")</x:f>
        <x:v>189591143.9300082</x:v>
      </x:c>
      <x:c r="G2149" s="17" t="n">
        <x:f>IF(AND(ISNUMBER(E2149),ISNUMBER(F2149)),E2149-F2149,"n.a.")</x:f>
        <x:v>-74311373.23990762</x:v>
      </x:c>
      <x:c r="H2149" s="15" t="n">
        <x:f>IF(AND(ISNUMBER(E2149),ISNUMBER(F2149),F2149&gt;0),(E2149-F2149)/F2149,"n.a.")</x:f>
        <x:v>-0.3919559305330281</x:v>
      </x:c>
      <x:c r="I2149" s="19" t="n">
        <x:f>IF(ISNUMBER(H2149),ABS(H2149),"n.a.")</x:f>
        <x:v>0.3919559305330281</x:v>
      </x:c>
      <x:c r="J2149" s="2" t="str">
        <x:v>available</x:v>
      </x:c>
      <x:c r="K2149" s="2" t="n">
        <x:v>1</x:v>
      </x:c>
      <x:c r="L2149" s="13" t="b">
        <x:v>0</x:v>
      </x:c>
      <x:c r="M2149" s="13" t="b">
        <x:v>1</x:v>
      </x:c>
      <x:c r="N2149" s="2" t="str">
        <x:v>projected_CRISP_BU_surface</x:v>
      </x:c>
      <x:c r="O2149" s="2" t="str"/>
      <x:c r="P2149" s="2" t="str">
        <x:v>horizontal built-up surface</x:v>
      </x:c>
      <x:c r="Q2149" s="2" t="str">
        <x:v>m2</x:v>
      </x:c>
      <x:c r="R2149" s="17" t="n">
        <x:v>189591143.9300081</x:v>
      </x:c>
      <x:c r="S2149" s="17" t="n">
        <x:v>100480869.27</x:v>
      </x:c>
      <x:c r="T2149" s="18" t="n">
        <x:v>1.0000000000000004</x:v>
      </x:c>
      <x:c r="U2149" s="17" t="n">
        <x:v>100480869.27000004</x:v>
      </x:c>
      <x:c r="V2149" s="2" t="str">
        <x:v>Area equivalent = model2020 * WUP surface / TEMPO2020 footprint; km2 multiplied by1e6 once</x:v>
      </x:c>
      <x:c r="W2149" s="2" t="str">
        <x:v>L1_numeric_partition_qualified_not_national_completeness</x:v>
      </x:c>
      <x:c r="X2149" s="2" t="str">
        <x:v>https://human-settlement.emergency.copernicus.eu/datasets.php</x:v>
      </x:c>
    </x:row>
    <x:row r="2150" ht="23" customHeight="1">
      <x:c r="A2150" s="2" t="str">
        <x:v>TUN</x:v>
      </x:c>
      <x:c r="B2150" s="2" t="str">
        <x:v>Tunisia (Republic of)</x:v>
      </x:c>
      <x:c r="C2150" s="2" t="n">
        <x:v>2030</x:v>
      </x:c>
      <x:c r="D2150" s="2" t="str">
        <x:v>WUP_SURFACE</x:v>
      </x:c>
      <x:c r="E2150" s="17" t="n">
        <x:v>748805354.235001</x:v>
      </x:c>
      <x:c r="F2150" s="17" t="n">
        <x:f>IF(AND(M2150,ISNUMBER(R2150)),IF(D2150="TEMPO_PROXY",R2150,IF(AND(ISNUMBER(S2150),S2150&gt;0,ISNUMBER(U2150)),U2150*R2150/S2150,"n.a.")),"n.a.")</x:f>
        <x:v>1325122394.11057</x:v>
      </x:c>
      <x:c r="G2150" s="17" t="n">
        <x:f>IF(AND(ISNUMBER(E2150),ISNUMBER(F2150)),E2150-F2150,"n.a.")</x:f>
        <x:v>-576317039.875569</x:v>
      </x:c>
      <x:c r="H2150" s="15" t="n">
        <x:f>IF(AND(ISNUMBER(E2150),ISNUMBER(F2150),F2150&gt;0),(E2150-F2150)/F2150,"n.a.")</x:f>
        <x:v>-0.4349160820441771</x:v>
      </x:c>
      <x:c r="I2150" s="19" t="n">
        <x:f>IF(ISNUMBER(H2150),ABS(H2150),"n.a.")</x:f>
        <x:v>0.4349160820441771</x:v>
      </x:c>
      <x:c r="J2150" s="2" t="str">
        <x:v>available</x:v>
      </x:c>
      <x:c r="K2150" s="2" t="n">
        <x:v>1</x:v>
      </x:c>
      <x:c r="L2150" s="13" t="b">
        <x:v>0</x:v>
      </x:c>
      <x:c r="M2150" s="13" t="b">
        <x:v>1</x:v>
      </x:c>
      <x:c r="N2150" s="2" t="str">
        <x:v>projected_CRISP_BU_surface</x:v>
      </x:c>
      <x:c r="O2150" s="2" t="str"/>
      <x:c r="P2150" s="2" t="str">
        <x:v>horizontal built-up surface</x:v>
      </x:c>
      <x:c r="Q2150" s="2" t="str">
        <x:v>m2</x:v>
      </x:c>
      <x:c r="R2150" s="17" t="n">
        <x:v>1306923896.3508365</x:v>
      </x:c>
      <x:c r="S2150" s="17" t="n">
        <x:v>640256278.63</x:v>
      </x:c>
      <x:c r="T2150" s="18" t="n">
        <x:v>1.0139246805499134</x:v>
      </x:c>
      <x:c r="U2150" s="17" t="n">
        <x:v>649171642.779999</x:v>
      </x:c>
      <x:c r="V2150" s="2" t="str">
        <x:v>Area equivalent = model2020 * WUP surface / TEMPO2020 footprint; km2 multiplied by1e6 once</x:v>
      </x:c>
      <x:c r="W2150" s="2" t="str">
        <x:v>L1_numeric_partition_qualified_not_national_completeness</x:v>
      </x:c>
      <x:c r="X2150" s="2" t="str">
        <x:v>https://human-settlement.emergency.copernicus.eu/datasets.php</x:v>
      </x:c>
    </x:row>
    <x:row r="2151" ht="23" customHeight="1">
      <x:c r="A2151" s="2" t="str">
        <x:v>TUR</x:v>
      </x:c>
      <x:c r="B2151" s="2" t="str">
        <x:v>Türkiye (Republic of)</x:v>
      </x:c>
      <x:c r="C2151" s="2" t="n">
        <x:v>2030</x:v>
      </x:c>
      <x:c r="D2151" s="2" t="str">
        <x:v>WUP_SURFACE</x:v>
      </x:c>
      <x:c r="E2151" s="17" t="n">
        <x:v>5362186713.691799</x:v>
      </x:c>
      <x:c r="F2151" s="17" t="n">
        <x:f>IF(AND(M2151,ISNUMBER(R2151)),IF(D2151="TEMPO_PROXY",R2151,IF(AND(ISNUMBER(S2151),S2151&gt;0,ISNUMBER(U2151)),U2151*R2151/S2151,"n.a.")),"n.a.")</x:f>
        <x:v>4915487355.338575</x:v>
      </x:c>
      <x:c r="G2151" s="17" t="n">
        <x:f>IF(AND(ISNUMBER(E2151),ISNUMBER(F2151)),E2151-F2151,"n.a.")</x:f>
        <x:v>446699358.3532238</x:v>
      </x:c>
      <x:c r="H2151" s="15" t="n">
        <x:f>IF(AND(ISNUMBER(E2151),ISNUMBER(F2151),F2151&gt;0),(E2151-F2151)/F2151,"n.a.")</x:f>
        <x:v>0.09087590427184722</x:v>
      </x:c>
      <x:c r="I2151" s="19" t="n">
        <x:f>IF(ISNUMBER(H2151),ABS(H2151),"n.a.")</x:f>
        <x:v>0.09087590427184722</x:v>
      </x:c>
      <x:c r="J2151" s="2" t="str">
        <x:v>available</x:v>
      </x:c>
      <x:c r="K2151" s="2" t="n">
        <x:v>1</x:v>
      </x:c>
      <x:c r="L2151" s="13" t="b">
        <x:v>0</x:v>
      </x:c>
      <x:c r="M2151" s="13" t="b">
        <x:v>1</x:v>
      </x:c>
      <x:c r="N2151" s="2" t="str">
        <x:v>projected_CRISP_BU_surface</x:v>
      </x:c>
      <x:c r="O2151" s="2" t="str"/>
      <x:c r="P2151" s="2" t="str">
        <x:v>horizontal built-up surface</x:v>
      </x:c>
      <x:c r="Q2151" s="2" t="str">
        <x:v>m2</x:v>
      </x:c>
      <x:c r="R2151" s="17" t="n">
        <x:v>4626049404.996952</x:v>
      </x:c>
      <x:c r="S2151" s="17" t="n">
        <x:v>3724845529.66</x:v>
      </x:c>
      <x:c r="T2151" s="18" t="n">
        <x:v>1.0625669821055044</x:v>
      </x:c>
      <x:c r="U2151" s="17" t="n">
        <x:v>3957897873.260005</x:v>
      </x:c>
      <x:c r="V2151" s="2" t="str">
        <x:v>Area equivalent = model2020 * WUP surface / TEMPO2020 footprint; km2 multiplied by1e6 once</x:v>
      </x:c>
      <x:c r="W2151" s="2" t="str">
        <x:v>L1_numeric_partition_qualified_not_national_completeness</x:v>
      </x:c>
      <x:c r="X2151" s="2" t="str">
        <x:v>https://human-settlement.emergency.copernicus.eu/datasets.php</x:v>
      </x:c>
    </x:row>
    <x:row r="2152" ht="23" customHeight="1">
      <x:c r="A2152" s="2" t="str">
        <x:v>TUV</x:v>
      </x:c>
      <x:c r="B2152" s="2" t="str">
        <x:v>Tuvalu</x:v>
      </x:c>
      <x:c r="C2152" s="2" t="n">
        <x:v>2030</x:v>
      </x:c>
      <x:c r="D2152" s="2" t="str">
        <x:v>WUP_SURFACE</x:v>
      </x:c>
      <x:c r="E2152" s="17" t="n">
        <x:v>19375.99774715193</x:v>
      </x:c>
      <x:c r="F2152" s="17" t="n">
        <x:f>IF(AND(M2152,ISNUMBER(R2152)),IF(D2152="TEMPO_PROXY",R2152,IF(AND(ISNUMBER(S2152),S2152&gt;0,ISNUMBER(U2152)),U2152*R2152/S2152,"n.a.")),"n.a.")</x:f>
        <x:v>808146.0099492684</x:v>
      </x:c>
      <x:c r="G2152" s="17" t="n">
        <x:f>IF(AND(ISNUMBER(E2152),ISNUMBER(F2152)),E2152-F2152,"n.a.")</x:f>
        <x:v>-788770.0122021165</x:v>
      </x:c>
      <x:c r="H2152" s="15" t="n">
        <x:f>IF(AND(ISNUMBER(E2152),ISNUMBER(F2152),F2152&gt;0),(E2152-F2152)/F2152,"n.a.")</x:f>
        <x:v>-0.976024137335816</x:v>
      </x:c>
      <x:c r="I2152" s="19" t="n">
        <x:f>IF(ISNUMBER(H2152),ABS(H2152),"n.a.")</x:f>
        <x:v>0.976024137335816</x:v>
      </x:c>
      <x:c r="J2152" s="2" t="str">
        <x:v>available</x:v>
      </x:c>
      <x:c r="K2152" s="2" t="n">
        <x:v>1</x:v>
      </x:c>
      <x:c r="L2152" s="13" t="b">
        <x:v>0</x:v>
      </x:c>
      <x:c r="M2152" s="13" t="b">
        <x:v>1</x:v>
      </x:c>
      <x:c r="N2152" s="2" t="str">
        <x:v>projected_CRISP_BU_surface</x:v>
      </x:c>
      <x:c r="O2152" s="2" t="str"/>
      <x:c r="P2152" s="2" t="str">
        <x:v>horizontal built-up surface</x:v>
      </x:c>
      <x:c r="Q2152" s="2" t="str">
        <x:v>m2</x:v>
      </x:c>
      <x:c r="R2152" s="17" t="n">
        <x:v>808146.0099492688</x:v>
      </x:c>
      <x:c r="S2152" s="17" t="n">
        <x:v>19394.81</x:v>
      </x:c>
      <x:c r="T2152" s="18" t="n">
        <x:v>0.9999999999999994</x:v>
      </x:c>
      <x:c r="U2152" s="17" t="n">
        <x:v>19394.80999999999</x:v>
      </x:c>
      <x:c r="V2152" s="2" t="str">
        <x:v>Area equivalent = model2020 * WUP surface / TEMPO2020 footprint; km2 multiplied by1e6 once</x:v>
      </x:c>
      <x:c r="W2152" s="2" t="str">
        <x:v>L1_numeric_partition_qualified_not_national_completeness</x:v>
      </x:c>
      <x:c r="X2152" s="2" t="str">
        <x:v>https://human-settlement.emergency.copernicus.eu/datasets.php</x:v>
      </x:c>
    </x:row>
    <x:row r="2153" ht="23" customHeight="1">
      <x:c r="A2153" s="2" t="str">
        <x:v>TZA</x:v>
      </x:c>
      <x:c r="B2153" s="2" t="str">
        <x:v>Tanzania (United Republic of)</x:v>
      </x:c>
      <x:c r="C2153" s="2" t="n">
        <x:v>2030</x:v>
      </x:c>
      <x:c r="D2153" s="2" t="str">
        <x:v>WUP_SURFACE</x:v>
      </x:c>
      <x:c r="E2153" s="17" t="n">
        <x:v>1527227130.6076736</x:v>
      </x:c>
      <x:c r="F2153" s="17" t="n">
        <x:f>IF(AND(M2153,ISNUMBER(R2153)),IF(D2153="TEMPO_PROXY",R2153,IF(AND(ISNUMBER(S2153),S2153&gt;0,ISNUMBER(U2153)),U2153*R2153/S2153,"n.a.")),"n.a.")</x:f>
        <x:v>5327310716.70154</x:v>
      </x:c>
      <x:c r="G2153" s="17" t="n">
        <x:f>IF(AND(ISNUMBER(E2153),ISNUMBER(F2153)),E2153-F2153,"n.a.")</x:f>
        <x:v>-3800083586.0938663</x:v>
      </x:c>
      <x:c r="H2153" s="15" t="n">
        <x:f>IF(AND(ISNUMBER(E2153),ISNUMBER(F2153),F2153&gt;0),(E2153-F2153)/F2153,"n.a.")</x:f>
        <x:v>-0.7133211836471832</x:v>
      </x:c>
      <x:c r="I2153" s="19" t="n">
        <x:f>IF(ISNUMBER(H2153),ABS(H2153),"n.a.")</x:f>
        <x:v>0.7133211836471832</x:v>
      </x:c>
      <x:c r="J2153" s="2" t="str">
        <x:v>available</x:v>
      </x:c>
      <x:c r="K2153" s="2" t="n">
        <x:v>1</x:v>
      </x:c>
      <x:c r="L2153" s="13" t="b">
        <x:v>0</x:v>
      </x:c>
      <x:c r="M2153" s="13" t="b">
        <x:v>1</x:v>
      </x:c>
      <x:c r="N2153" s="2" t="str">
        <x:v>projected_CRISP_BU_surface</x:v>
      </x:c>
      <x:c r="O2153" s="2" t="str"/>
      <x:c r="P2153" s="2" t="str">
        <x:v>horizontal built-up surface</x:v>
      </x:c>
      <x:c r="Q2153" s="2" t="str">
        <x:v>m2</x:v>
      </x:c>
      <x:c r="R2153" s="17" t="n">
        <x:v>5327310716.701546</x:v>
      </x:c>
      <x:c r="S2153" s="17" t="n">
        <x:v>1174486408.82</x:v>
      </x:c>
      <x:c r="T2153" s="18" t="n">
        <x:v>0.9999999999999988</x:v>
      </x:c>
      <x:c r="U2153" s="17" t="n">
        <x:v>1174486408.8199985</x:v>
      </x:c>
      <x:c r="V2153" s="2" t="str">
        <x:v>Area equivalent = model2020 * WUP surface / TEMPO2020 footprint; km2 multiplied by1e6 once</x:v>
      </x:c>
      <x:c r="W2153" s="2" t="str">
        <x:v>L1_numeric_partition_qualified_not_national_completeness</x:v>
      </x:c>
      <x:c r="X2153" s="2" t="str">
        <x:v>https://human-settlement.emergency.copernicus.eu/datasets.php</x:v>
      </x:c>
    </x:row>
    <x:row r="2154" ht="23" customHeight="1">
      <x:c r="A2154" s="2" t="str">
        <x:v>UGA</x:v>
      </x:c>
      <x:c r="B2154" s="2" t="str">
        <x:v>Uganda (Republic of)</x:v>
      </x:c>
      <x:c r="C2154" s="2" t="n">
        <x:v>2030</x:v>
      </x:c>
      <x:c r="D2154" s="2" t="str">
        <x:v>WUP_SURFACE</x:v>
      </x:c>
      <x:c r="E2154" s="17" t="n">
        <x:v>996929768.8473245</x:v>
      </x:c>
      <x:c r="F2154" s="17" t="n">
        <x:f>IF(AND(M2154,ISNUMBER(R2154)),IF(D2154="TEMPO_PROXY",R2154,IF(AND(ISNUMBER(S2154),S2154&gt;0,ISNUMBER(U2154)),U2154*R2154/S2154,"n.a.")),"n.a.")</x:f>
        <x:v>3425859474.67049</x:v>
      </x:c>
      <x:c r="G2154" s="17" t="n">
        <x:f>IF(AND(ISNUMBER(E2154),ISNUMBER(F2154)),E2154-F2154,"n.a.")</x:f>
        <x:v>-2428929705.8231654</x:v>
      </x:c>
      <x:c r="H2154" s="15" t="n">
        <x:f>IF(AND(ISNUMBER(E2154),ISNUMBER(F2154),F2154&gt;0),(E2154-F2154)/F2154,"n.a.")</x:f>
        <x:v>-0.7089986392558579</x:v>
      </x:c>
      <x:c r="I2154" s="19" t="n">
        <x:f>IF(ISNUMBER(H2154),ABS(H2154),"n.a.")</x:f>
        <x:v>0.7089986392558579</x:v>
      </x:c>
      <x:c r="J2154" s="2" t="str">
        <x:v>available</x:v>
      </x:c>
      <x:c r="K2154" s="2" t="n">
        <x:v>1</x:v>
      </x:c>
      <x:c r="L2154" s="13" t="b">
        <x:v>0</x:v>
      </x:c>
      <x:c r="M2154" s="13" t="b">
        <x:v>1</x:v>
      </x:c>
      <x:c r="N2154" s="2" t="str">
        <x:v>projected_CRISP_BU_surface</x:v>
      </x:c>
      <x:c r="O2154" s="2" t="str"/>
      <x:c r="P2154" s="2" t="str">
        <x:v>horizontal built-up surface</x:v>
      </x:c>
      <x:c r="Q2154" s="2" t="str">
        <x:v>m2</x:v>
      </x:c>
      <x:c r="R2154" s="17" t="n">
        <x:v>3425859474.670486</x:v>
      </x:c>
      <x:c r="S2154" s="17" t="n">
        <x:v>765891927.15</x:v>
      </x:c>
      <x:c r="T2154" s="18" t="n">
        <x:v>1.000000000000001</x:v>
      </x:c>
      <x:c r="U2154" s="17" t="n">
        <x:v>765891927.1500008</x:v>
      </x:c>
      <x:c r="V2154" s="2" t="str">
        <x:v>Area equivalent = model2020 * WUP surface / TEMPO2020 footprint; km2 multiplied by1e6 once</x:v>
      </x:c>
      <x:c r="W2154" s="2" t="str">
        <x:v>L1_numeric_partition_qualified_not_national_completeness</x:v>
      </x:c>
      <x:c r="X2154" s="2" t="str">
        <x:v>https://human-settlement.emergency.copernicus.eu/datasets.php</x:v>
      </x:c>
    </x:row>
    <x:row r="2155" ht="23" customHeight="1">
      <x:c r="A2155" s="2" t="str">
        <x:v>UKR</x:v>
      </x:c>
      <x:c r="B2155" s="2" t="str">
        <x:v>Ukraine</x:v>
      </x:c>
      <x:c r="C2155" s="2" t="n">
        <x:v>2030</x:v>
      </x:c>
      <x:c r="D2155" s="2" t="str">
        <x:v>WUP_SURFACE</x:v>
      </x:c>
      <x:c r="E2155" s="17" t="n">
        <x:v>3060965529.806053</x:v>
      </x:c>
      <x:c r="F2155" s="17" t="n">
        <x:f>IF(AND(M2155,ISNUMBER(R2155)),IF(D2155="TEMPO_PROXY",R2155,IF(AND(ISNUMBER(S2155),S2155&gt;0,ISNUMBER(U2155)),U2155*R2155/S2155,"n.a.")),"n.a.")</x:f>
        <x:v>4694260340.965603</x:v>
      </x:c>
      <x:c r="G2155" s="17" t="n">
        <x:f>IF(AND(ISNUMBER(E2155),ISNUMBER(F2155)),E2155-F2155,"n.a.")</x:f>
        <x:v>-1633294811.1595497</x:v>
      </x:c>
      <x:c r="H2155" s="15" t="n">
        <x:f>IF(AND(ISNUMBER(E2155),ISNUMBER(F2155),F2155&gt;0),(E2155-F2155)/F2155,"n.a.")</x:f>
        <x:v>-0.347934433228214</x:v>
      </x:c>
      <x:c r="I2155" s="19" t="n">
        <x:f>IF(ISNUMBER(H2155),ABS(H2155),"n.a.")</x:f>
        <x:v>0.347934433228214</x:v>
      </x:c>
      <x:c r="J2155" s="2" t="str">
        <x:v>available</x:v>
      </x:c>
      <x:c r="K2155" s="2" t="n">
        <x:v>1</x:v>
      </x:c>
      <x:c r="L2155" s="13" t="b">
        <x:v>0</x:v>
      </x:c>
      <x:c r="M2155" s="13" t="b">
        <x:v>1</x:v>
      </x:c>
      <x:c r="N2155" s="2" t="str">
        <x:v>projected_CRISP_BU_surface</x:v>
      </x:c>
      <x:c r="O2155" s="2" t="str"/>
      <x:c r="P2155" s="2" t="str">
        <x:v>horizontal built-up surface</x:v>
      </x:c>
      <x:c r="Q2155" s="2" t="str">
        <x:v>m2</x:v>
      </x:c>
      <x:c r="R2155" s="17" t="n">
        <x:v>4694260340.965604</x:v>
      </x:c>
      <x:c r="S2155" s="17" t="n">
        <x:v>2808807029.82</x:v>
      </x:c>
      <x:c r="T2155" s="18" t="n">
        <x:v>0.9999999999999998</x:v>
      </x:c>
      <x:c r="U2155" s="17" t="n">
        <x:v>2808807029.8199997</x:v>
      </x:c>
      <x:c r="V2155" s="2" t="str">
        <x:v>Area equivalent = model2020 * WUP surface / TEMPO2020 footprint; km2 multiplied by1e6 once</x:v>
      </x:c>
      <x:c r="W2155" s="2" t="str">
        <x:v>L1_numeric_partition_qualified_not_national_completeness</x:v>
      </x:c>
      <x:c r="X2155" s="2" t="str">
        <x:v>https://human-settlement.emergency.copernicus.eu/datasets.php</x:v>
      </x:c>
    </x:row>
    <x:row r="2156" ht="23" customHeight="1">
      <x:c r="A2156" s="2" t="str">
        <x:v>URY</x:v>
      </x:c>
      <x:c r="B2156" s="2" t="str">
        <x:v>Uruguay (Oriental Republic of)</x:v>
      </x:c>
      <x:c r="C2156" s="2" t="n">
        <x:v>2030</x:v>
      </x:c>
      <x:c r="D2156" s="2" t="str">
        <x:v>WUP_SURFACE</x:v>
      </x:c>
      <x:c r="E2156" s="17" t="n">
        <x:v>232853151.3721173</x:v>
      </x:c>
      <x:c r="F2156" s="17" t="n">
        <x:f>IF(AND(M2156,ISNUMBER(R2156)),IF(D2156="TEMPO_PROXY",R2156,IF(AND(ISNUMBER(S2156),S2156&gt;0,ISNUMBER(U2156)),U2156*R2156/S2156,"n.a.")),"n.a.")</x:f>
        <x:v>421691905.32513505</x:v>
      </x:c>
      <x:c r="G2156" s="17" t="n">
        <x:f>IF(AND(ISNUMBER(E2156),ISNUMBER(F2156)),E2156-F2156,"n.a.")</x:f>
        <x:v>-188838753.95301774</x:v>
      </x:c>
      <x:c r="H2156" s="15" t="n">
        <x:f>IF(AND(ISNUMBER(E2156),ISNUMBER(F2156),F2156&gt;0),(E2156-F2156)/F2156,"n.a.")</x:f>
        <x:v>-0.4478121385977716</x:v>
      </x:c>
      <x:c r="I2156" s="19" t="n">
        <x:f>IF(ISNUMBER(H2156),ABS(H2156),"n.a.")</x:f>
        <x:v>0.4478121385977716</x:v>
      </x:c>
      <x:c r="J2156" s="2" t="str">
        <x:v>available</x:v>
      </x:c>
      <x:c r="K2156" s="2" t="n">
        <x:v>1</x:v>
      </x:c>
      <x:c r="L2156" s="13" t="b">
        <x:v>0</x:v>
      </x:c>
      <x:c r="M2156" s="13" t="b">
        <x:v>1</x:v>
      </x:c>
      <x:c r="N2156" s="2" t="str">
        <x:v>projected_CRISP_BU_surface</x:v>
      </x:c>
      <x:c r="O2156" s="2" t="str"/>
      <x:c r="P2156" s="2" t="str">
        <x:v>horizontal built-up surface</x:v>
      </x:c>
      <x:c r="Q2156" s="2" t="str">
        <x:v>m2</x:v>
      </x:c>
      <x:c r="R2156" s="17" t="n">
        <x:v>421691905.32513565</x:v>
      </x:c>
      <x:c r="S2156" s="17" t="n">
        <x:v>209727833.29</x:v>
      </x:c>
      <x:c r="T2156" s="18" t="n">
        <x:v>0.9999999999999986</x:v>
      </x:c>
      <x:c r="U2156" s="17" t="n">
        <x:v>209727833.2899997</x:v>
      </x:c>
      <x:c r="V2156" s="2" t="str">
        <x:v>Area equivalent = model2020 * WUP surface / TEMPO2020 footprint; km2 multiplied by1e6 once</x:v>
      </x:c>
      <x:c r="W2156" s="2" t="str">
        <x:v>L1_numeric_partition_qualified_not_national_completeness</x:v>
      </x:c>
      <x:c r="X2156" s="2" t="str">
        <x:v>https://human-settlement.emergency.copernicus.eu/datasets.php</x:v>
      </x:c>
    </x:row>
    <x:row r="2157" ht="23" customHeight="1">
      <x:c r="A2157" s="2" t="str">
        <x:v>USA</x:v>
      </x:c>
      <x:c r="B2157" s="2" t="str">
        <x:v>United States of America</x:v>
      </x:c>
      <x:c r="C2157" s="2" t="n">
        <x:v>2030</x:v>
      </x:c>
      <x:c r="D2157" s="2" t="str">
        <x:v>WUP_SURFACE</x:v>
      </x:c>
      <x:c r="E2157" s="17" t="n">
        <x:v>41664803069.8325</x:v>
      </x:c>
      <x:c r="F2157" s="17" t="n">
        <x:f>IF(AND(M2157,ISNUMBER(R2157)),IF(D2157="TEMPO_PROXY",R2157,IF(AND(ISNUMBER(S2157),S2157&gt;0,ISNUMBER(U2157)),U2157*R2157/S2157,"n.a.")),"n.a.")</x:f>
        <x:v>69569649094.71628</x:v>
      </x:c>
      <x:c r="G2157" s="17" t="n">
        <x:f>IF(AND(ISNUMBER(E2157),ISNUMBER(F2157)),E2157-F2157,"n.a.")</x:f>
        <x:v>-27904846024.88378</x:v>
      </x:c>
      <x:c r="H2157" s="15" t="n">
        <x:f>IF(AND(ISNUMBER(E2157),ISNUMBER(F2157),F2157&gt;0),(E2157-F2157)/F2157,"n.a.")</x:f>
        <x:v>-0.4011066088157561</x:v>
      </x:c>
      <x:c r="I2157" s="19" t="n">
        <x:f>IF(ISNUMBER(H2157),ABS(H2157),"n.a.")</x:f>
        <x:v>0.4011066088157561</x:v>
      </x:c>
      <x:c r="J2157" s="2" t="str">
        <x:v>available</x:v>
      </x:c>
      <x:c r="K2157" s="2" t="n">
        <x:v>1</x:v>
      </x:c>
      <x:c r="L2157" s="13" t="b">
        <x:v>0</x:v>
      </x:c>
      <x:c r="M2157" s="13" t="b">
        <x:v>1</x:v>
      </x:c>
      <x:c r="N2157" s="2" t="str">
        <x:v>projected_CRISP_BU_surface</x:v>
      </x:c>
      <x:c r="O2157" s="2" t="str"/>
      <x:c r="P2157" s="2" t="str">
        <x:v>horizontal built-up surface</x:v>
      </x:c>
      <x:c r="Q2157" s="2" t="str">
        <x:v>m2</x:v>
      </x:c>
      <x:c r="R2157" s="17" t="n">
        <x:v>69569649094.7162</x:v>
      </x:c>
      <x:c r="S2157" s="17" t="n">
        <x:v>35932980078.68</x:v>
      </x:c>
      <x:c r="T2157" s="18" t="n">
        <x:v>1.000000000000001</x:v>
      </x:c>
      <x:c r="U2157" s="17" t="n">
        <x:v>35932980078.68004</x:v>
      </x:c>
      <x:c r="V2157" s="2" t="str">
        <x:v>Area equivalent = model2020 * WUP surface / TEMPO2020 footprint; km2 multiplied by1e6 once</x:v>
      </x:c>
      <x:c r="W2157" s="2" t="str">
        <x:v>L1_numeric_partition_qualified_not_national_completeness</x:v>
      </x:c>
      <x:c r="X2157" s="2" t="str">
        <x:v>https://human-settlement.emergency.copernicus.eu/datasets.php</x:v>
      </x:c>
    </x:row>
    <x:row r="2158" ht="23" customHeight="1">
      <x:c r="A2158" s="2" t="str">
        <x:v>UZB</x:v>
      </x:c>
      <x:c r="B2158" s="2" t="str">
        <x:v>Uzbekistan (Republic of)</x:v>
      </x:c>
      <x:c r="C2158" s="2" t="n">
        <x:v>2030</x:v>
      </x:c>
      <x:c r="D2158" s="2" t="str">
        <x:v>WUP_SURFACE</x:v>
      </x:c>
      <x:c r="E2158" s="17" t="n">
        <x:v>2330325463.545991</x:v>
      </x:c>
      <x:c r="F2158" s="17" t="n">
        <x:f>IF(AND(M2158,ISNUMBER(R2158)),IF(D2158="TEMPO_PROXY",R2158,IF(AND(ISNUMBER(S2158),S2158&gt;0,ISNUMBER(U2158)),U2158*R2158/S2158,"n.a.")),"n.a.")</x:f>
        <x:v>4403405001.779999</x:v>
      </x:c>
      <x:c r="G2158" s="17" t="n">
        <x:f>IF(AND(ISNUMBER(E2158),ISNUMBER(F2158)),E2158-F2158,"n.a.")</x:f>
        <x:v>-2073079538.2340078</x:v>
      </x:c>
      <x:c r="H2158" s="15" t="n">
        <x:f>IF(AND(ISNUMBER(E2158),ISNUMBER(F2158),F2158&gt;0),(E2158-F2158)/F2158,"n.a.")</x:f>
        <x:v>-0.47079011296848733</x:v>
      </x:c>
      <x:c r="I2158" s="19" t="n">
        <x:f>IF(ISNUMBER(H2158),ABS(H2158),"n.a.")</x:f>
        <x:v>0.47079011296848733</x:v>
      </x:c>
      <x:c r="J2158" s="2" t="str">
        <x:v>available</x:v>
      </x:c>
      <x:c r="K2158" s="2" t="n">
        <x:v>1</x:v>
      </x:c>
      <x:c r="L2158" s="13" t="b">
        <x:v>0</x:v>
      </x:c>
      <x:c r="M2158" s="13" t="b">
        <x:v>1</x:v>
      </x:c>
      <x:c r="N2158" s="2" t="str">
        <x:v>projected_CRISP_BU_surface</x:v>
      </x:c>
      <x:c r="O2158" s="2" t="str"/>
      <x:c r="P2158" s="2" t="str">
        <x:v>horizontal built-up surface</x:v>
      </x:c>
      <x:c r="Q2158" s="2" t="str">
        <x:v>m2</x:v>
      </x:c>
      <x:c r="R2158" s="17" t="n">
        <x:v>4403405001.779996</x:v>
      </x:c>
      <x:c r="S2158" s="17" t="n">
        <x:v>1997042653.63</x:v>
      </x:c>
      <x:c r="T2158" s="18" t="n">
        <x:v>1.0000000000000007</x:v>
      </x:c>
      <x:c r="U2158" s="17" t="n">
        <x:v>1997042653.6300015</x:v>
      </x:c>
      <x:c r="V2158" s="2" t="str">
        <x:v>Area equivalent = model2020 * WUP surface / TEMPO2020 footprint; km2 multiplied by1e6 once</x:v>
      </x:c>
      <x:c r="W2158" s="2" t="str">
        <x:v>L1_numeric_partition_qualified_not_national_completeness</x:v>
      </x:c>
      <x:c r="X2158" s="2" t="str">
        <x:v>https://human-settlement.emergency.copernicus.eu/datasets.php</x:v>
      </x:c>
    </x:row>
    <x:row r="2159" ht="23" customHeight="1">
      <x:c r="A2159" s="2" t="str">
        <x:v>VAT</x:v>
      </x:c>
      <x:c r="B2159" s="2" t="str">
        <x:v>Holy See (State of the Vatican City)</x:v>
      </x:c>
      <x:c r="C2159" s="2" t="n">
        <x:v>2030</x:v>
      </x:c>
      <x:c r="D2159" s="2" t="str">
        <x:v>WUP_SURFACE</x:v>
      </x:c>
      <x:c r="E2159" s="17" t="n">
        <x:v>319618.6113718639</x:v>
      </x:c>
      <x:c r="F2159" s="17" t="str">
        <x:f>IF(AND(M2159,ISNUMBER(R2159)),IF(D2159="TEMPO_PROXY",R2159,IF(AND(ISNUMBER(S2159),S2159&gt;0,ISNUMBER(U2159)),U2159*R2159/S2159,"n.a.")),"n.a.")</x:f>
        <x:v>n.a.</x:v>
      </x:c>
      <x:c r="G2159" s="17" t="str">
        <x:f>IF(AND(ISNUMBER(E2159),ISNUMBER(F2159)),E2159-F2159,"n.a.")</x:f>
        <x:v>n.a.</x:v>
      </x:c>
      <x:c r="H2159" s="15" t="str">
        <x:f>IF(AND(ISNUMBER(E2159),ISNUMBER(F2159),F2159&gt;0),(E2159-F2159)/F2159,"n.a.")</x:f>
        <x:v>n.a.</x:v>
      </x:c>
      <x:c r="I2159" s="19" t="str">
        <x:f>IF(ISNUMBER(H2159),ABS(H2159),"n.a.")</x:f>
        <x:v>n.a.</x:v>
      </x:c>
      <x:c r="J2159" s="2" t="str">
        <x:v>unqualified_or_missing_native_source: L1_numeric_partition_qualified_not_national_completeness</x:v>
      </x:c>
      <x:c r="K2159" s="2" t="n">
        <x:v>1</x:v>
      </x:c>
      <x:c r="L2159" s="13" t="b">
        <x:v>0</x:v>
      </x:c>
      <x:c r="M2159" s="13" t="b">
        <x:v>0</x:v>
      </x:c>
      <x:c r="N2159" s="2" t="str">
        <x:v>projected_CRISP_BU_surface</x:v>
      </x:c>
      <x:c r="O2159" s="2" t="str"/>
      <x:c r="P2159" s="2" t="str">
        <x:v>horizontal built-up surface</x:v>
      </x:c>
      <x:c r="Q2159" s="2" t="str">
        <x:v>m2</x:v>
      </x:c>
      <x:c r="R2159" s="17" t="n">
        <x:v>0</x:v>
      </x:c>
      <x:c r="S2159" s="17" t="n">
        <x:v>118080.97</x:v>
      </x:c>
      <x:c r="T2159" s="18" t="n">
        <x:v>2.700894479440675</x:v>
      </x:c>
      <x:c r="U2159" s="17" t="n">
        <x:v>318924.24</x:v>
      </x:c>
      <x:c r="V2159" s="2" t="str">
        <x:v>Area equivalent = model2020 * WUP surface / TEMPO2020 footprint; km2 multiplied by1e6 once</x:v>
      </x:c>
      <x:c r="W2159" s="2" t="str">
        <x:v>L1_numeric_partition_qualified_not_national_completeness</x:v>
      </x:c>
      <x:c r="X2159" s="2" t="str">
        <x:v>https://human-settlement.emergency.copernicus.eu/datasets.php</x:v>
      </x:c>
    </x:row>
    <x:row r="2160" ht="23" customHeight="1">
      <x:c r="A2160" s="2" t="str">
        <x:v>VCT</x:v>
      </x:c>
      <x:c r="B2160" s="2" t="str">
        <x:v>Saint Vincent and the Grenadines</x:v>
      </x:c>
      <x:c r="C2160" s="2" t="n">
        <x:v>2030</x:v>
      </x:c>
      <x:c r="D2160" s="2" t="str">
        <x:v>WUP_SURFACE</x:v>
      </x:c>
      <x:c r="E2160" s="17" t="n">
        <x:v>6351927.892065602</x:v>
      </x:c>
      <x:c r="F2160" s="17" t="n">
        <x:f>IF(AND(M2160,ISNUMBER(R2160)),IF(D2160="TEMPO_PROXY",R2160,IF(AND(ISNUMBER(S2160),S2160&gt;0,ISNUMBER(U2160)),U2160*R2160/S2160,"n.a.")),"n.a.")</x:f>
        <x:v>10606706.640837621</x:v>
      </x:c>
      <x:c r="G2160" s="17" t="n">
        <x:f>IF(AND(ISNUMBER(E2160),ISNUMBER(F2160)),E2160-F2160,"n.a.")</x:f>
        <x:v>-4254778.748772019</x:v>
      </x:c>
      <x:c r="H2160" s="15" t="n">
        <x:f>IF(AND(ISNUMBER(E2160),ISNUMBER(F2160),F2160&gt;0),(E2160-F2160)/F2160,"n.a.")</x:f>
        <x:v>-0.401140419250439</x:v>
      </x:c>
      <x:c r="I2160" s="19" t="n">
        <x:f>IF(ISNUMBER(H2160),ABS(H2160),"n.a.")</x:f>
        <x:v>0.401140419250439</x:v>
      </x:c>
      <x:c r="J2160" s="2" t="str">
        <x:v>available</x:v>
      </x:c>
      <x:c r="K2160" s="2" t="n">
        <x:v>1</x:v>
      </x:c>
      <x:c r="L2160" s="13" t="b">
        <x:v>0</x:v>
      </x:c>
      <x:c r="M2160" s="13" t="b">
        <x:v>1</x:v>
      </x:c>
      <x:c r="N2160" s="2" t="str">
        <x:v>projected_CRISP_BU_surface</x:v>
      </x:c>
      <x:c r="O2160" s="2" t="str"/>
      <x:c r="P2160" s="2" t="str">
        <x:v>horizontal built-up surface</x:v>
      </x:c>
      <x:c r="Q2160" s="2" t="str">
        <x:v>m2</x:v>
      </x:c>
      <x:c r="R2160" s="17" t="n">
        <x:v>10606706.640837617</x:v>
      </x:c>
      <x:c r="S2160" s="17" t="n">
        <x:v>6194383.57</x:v>
      </x:c>
      <x:c r="T2160" s="18" t="n">
        <x:v>1.0000000000000002</x:v>
      </x:c>
      <x:c r="U2160" s="17" t="n">
        <x:v>6194383.570000002</x:v>
      </x:c>
      <x:c r="V2160" s="2" t="str">
        <x:v>Area equivalent = model2020 * WUP surface / TEMPO2020 footprint; km2 multiplied by1e6 once</x:v>
      </x:c>
      <x:c r="W2160" s="2" t="str">
        <x:v>L1_numeric_partition_qualified_not_national_completeness</x:v>
      </x:c>
      <x:c r="X2160" s="2" t="str">
        <x:v>https://human-settlement.emergency.copernicus.eu/datasets.php</x:v>
      </x:c>
    </x:row>
    <x:row r="2161" ht="23" customHeight="1">
      <x:c r="A2161" s="2" t="str">
        <x:v>VEN</x:v>
      </x:c>
      <x:c r="B2161" s="2" t="str">
        <x:v>Venezuela (Bolivarian Republic of)</x:v>
      </x:c>
      <x:c r="C2161" s="2" t="n">
        <x:v>2030</x:v>
      </x:c>
      <x:c r="D2161" s="2" t="str">
        <x:v>WUP_SURFACE</x:v>
      </x:c>
      <x:c r="E2161" s="17" t="n">
        <x:v>1441872599.1169834</x:v>
      </x:c>
      <x:c r="F2161" s="17" t="n">
        <x:f>IF(AND(M2161,ISNUMBER(R2161)),IF(D2161="TEMPO_PROXY",R2161,IF(AND(ISNUMBER(S2161),S2161&gt;0,ISNUMBER(U2161)),U2161*R2161/S2161,"n.a.")),"n.a.")</x:f>
        <x:v>1846647755.7760344</x:v>
      </x:c>
      <x:c r="G2161" s="17" t="n">
        <x:f>IF(AND(ISNUMBER(E2161),ISNUMBER(F2161)),E2161-F2161,"n.a.")</x:f>
        <x:v>-404775156.65905094</x:v>
      </x:c>
      <x:c r="H2161" s="15" t="n">
        <x:f>IF(AND(ISNUMBER(E2161),ISNUMBER(F2161),F2161&gt;0),(E2161-F2161)/F2161,"n.a.")</x:f>
        <x:v>-0.2191945677744852</x:v>
      </x:c>
      <x:c r="I2161" s="19" t="n">
        <x:f>IF(ISNUMBER(H2161),ABS(H2161),"n.a.")</x:f>
        <x:v>0.2191945677744852</x:v>
      </x:c>
      <x:c r="J2161" s="2" t="str">
        <x:v>available</x:v>
      </x:c>
      <x:c r="K2161" s="2" t="n">
        <x:v>1</x:v>
      </x:c>
      <x:c r="L2161" s="13" t="b">
        <x:v>0</x:v>
      </x:c>
      <x:c r="M2161" s="13" t="b">
        <x:v>1</x:v>
      </x:c>
      <x:c r="N2161" s="2" t="str">
        <x:v>projected_CRISP_BU_surface</x:v>
      </x:c>
      <x:c r="O2161" s="2" t="str"/>
      <x:c r="P2161" s="2" t="str">
        <x:v>horizontal built-up surface</x:v>
      </x:c>
      <x:c r="Q2161" s="2" t="str">
        <x:v>m2</x:v>
      </x:c>
      <x:c r="R2161" s="17" t="n">
        <x:v>1846647755.776032</x:v>
      </x:c>
      <x:c r="S2161" s="17" t="n">
        <x:v>1159546607.65</x:v>
      </x:c>
      <x:c r="T2161" s="18" t="n">
        <x:v>1.0000000000000013</x:v>
      </x:c>
      <x:c r="U2161" s="17" t="n">
        <x:v>1159546607.6500015</x:v>
      </x:c>
      <x:c r="V2161" s="2" t="str">
        <x:v>Area equivalent = model2020 * WUP surface / TEMPO2020 footprint; km2 multiplied by1e6 once</x:v>
      </x:c>
      <x:c r="W2161" s="2" t="str">
        <x:v>L1_numeric_partition_qualified_not_national_completeness</x:v>
      </x:c>
      <x:c r="X2161" s="2" t="str">
        <x:v>https://human-settlement.emergency.copernicus.eu/datasets.php</x:v>
      </x:c>
    </x:row>
    <x:row r="2162" ht="23" customHeight="1">
      <x:c r="A2162" s="2" t="str">
        <x:v>VNM</x:v>
      </x:c>
      <x:c r="B2162" s="2" t="str">
        <x:v>Viet Nam (Socialist Republic of)</x:v>
      </x:c>
      <x:c r="C2162" s="2" t="n">
        <x:v>2030</x:v>
      </x:c>
      <x:c r="D2162" s="2" t="str">
        <x:v>WUP_SURFACE</x:v>
      </x:c>
      <x:c r="E2162" s="17" t="n">
        <x:v>5957735315.309382</x:v>
      </x:c>
      <x:c r="F2162" s="17" t="n">
        <x:f>IF(AND(M2162,ISNUMBER(R2162)),IF(D2162="TEMPO_PROXY",R2162,IF(AND(ISNUMBER(S2162),S2162&gt;0,ISNUMBER(U2162)),U2162*R2162/S2162,"n.a.")),"n.a.")</x:f>
        <x:v>6311511722.770154</x:v>
      </x:c>
      <x:c r="G2162" s="17" t="n">
        <x:f>IF(AND(ISNUMBER(E2162),ISNUMBER(F2162)),E2162-F2162,"n.a.")</x:f>
        <x:v>-353776407.46077156</x:v>
      </x:c>
      <x:c r="H2162" s="15" t="n">
        <x:f>IF(AND(ISNUMBER(E2162),ISNUMBER(F2162),F2162&gt;0),(E2162-F2162)/F2162,"n.a.")</x:f>
        <x:v>-0.05605256284076065</x:v>
      </x:c>
      <x:c r="I2162" s="19" t="n">
        <x:f>IF(ISNUMBER(H2162),ABS(H2162),"n.a.")</x:f>
        <x:v>0.05605256284076065</x:v>
      </x:c>
      <x:c r="J2162" s="2" t="str">
        <x:v>available</x:v>
      </x:c>
      <x:c r="K2162" s="2" t="n">
        <x:v>1</x:v>
      </x:c>
      <x:c r="L2162" s="13" t="b">
        <x:v>0</x:v>
      </x:c>
      <x:c r="M2162" s="13" t="b">
        <x:v>1</x:v>
      </x:c>
      <x:c r="N2162" s="2" t="str">
        <x:v>projected_CRISP_BU_surface</x:v>
      </x:c>
      <x:c r="O2162" s="2" t="str"/>
      <x:c r="P2162" s="2" t="str">
        <x:v>horizontal built-up surface</x:v>
      </x:c>
      <x:c r="Q2162" s="2" t="str">
        <x:v>m2</x:v>
      </x:c>
      <x:c r="R2162" s="17" t="n">
        <x:v>6199143356.23206</x:v>
      </x:c>
      <x:c r="S2162" s="17" t="n">
        <x:v>4775308196.86</x:v>
      </x:c>
      <x:c r="T2162" s="18" t="n">
        <x:v>1.0181264345863414</x:v>
      </x:c>
      <x:c r="U2162" s="17" t="n">
        <x:v>4861867508.520002</x:v>
      </x:c>
      <x:c r="V2162" s="2" t="str">
        <x:v>Area equivalent = model2020 * WUP surface / TEMPO2020 footprint; km2 multiplied by1e6 once</x:v>
      </x:c>
      <x:c r="W2162" s="2" t="str">
        <x:v>L1_numeric_partition_qualified_not_national_completeness</x:v>
      </x:c>
      <x:c r="X2162" s="2" t="str">
        <x:v>https://human-settlement.emergency.copernicus.eu/datasets.php</x:v>
      </x:c>
    </x:row>
    <x:row r="2163" ht="23" customHeight="1">
      <x:c r="A2163" s="2" t="str">
        <x:v>VUT</x:v>
      </x:c>
      <x:c r="B2163" s="2" t="str">
        <x:v>Vanuatu (Republic of)</x:v>
      </x:c>
      <x:c r="C2163" s="2" t="n">
        <x:v>2030</x:v>
      </x:c>
      <x:c r="D2163" s="2" t="str">
        <x:v>WUP_SURFACE</x:v>
      </x:c>
      <x:c r="E2163" s="17" t="n">
        <x:v>11225157.987457879</x:v>
      </x:c>
      <x:c r="F2163" s="17" t="n">
        <x:f>IF(AND(M2163,ISNUMBER(R2163)),IF(D2163="TEMPO_PROXY",R2163,IF(AND(ISNUMBER(S2163),S2163&gt;0,ISNUMBER(U2163)),U2163*R2163/S2163,"n.a.")),"n.a.")</x:f>
        <x:v>18735454.18323625</x:v>
      </x:c>
      <x:c r="G2163" s="17" t="n">
        <x:f>IF(AND(ISNUMBER(E2163),ISNUMBER(F2163)),E2163-F2163,"n.a.")</x:f>
        <x:v>-7510296.19577837</x:v>
      </x:c>
      <x:c r="H2163" s="15" t="n">
        <x:f>IF(AND(ISNUMBER(E2163),ISNUMBER(F2163),F2163&gt;0),(E2163-F2163)/F2163,"n.a.")</x:f>
        <x:v>-0.40086010845140274</x:v>
      </x:c>
      <x:c r="I2163" s="19" t="n">
        <x:f>IF(ISNUMBER(H2163),ABS(H2163),"n.a.")</x:f>
        <x:v>0.40086010845140274</x:v>
      </x:c>
      <x:c r="J2163" s="2" t="str">
        <x:v>available</x:v>
      </x:c>
      <x:c r="K2163" s="2" t="n">
        <x:v>1</x:v>
      </x:c>
      <x:c r="L2163" s="13" t="b">
        <x:v>0</x:v>
      </x:c>
      <x:c r="M2163" s="13" t="b">
        <x:v>1</x:v>
      </x:c>
      <x:c r="N2163" s="2" t="str">
        <x:v>projected_CRISP_BU_surface</x:v>
      </x:c>
      <x:c r="O2163" s="2" t="str"/>
      <x:c r="P2163" s="2" t="str">
        <x:v>horizontal built-up surface</x:v>
      </x:c>
      <x:c r="Q2163" s="2" t="str">
        <x:v>m2</x:v>
      </x:c>
      <x:c r="R2163" s="17" t="n">
        <x:v>18735454.18323624</x:v>
      </x:c>
      <x:c r="S2163" s="17" t="n">
        <x:v>8193524.7</x:v>
      </x:c>
      <x:c r="T2163" s="18" t="n">
        <x:v>1.0000000000000004</x:v>
      </x:c>
      <x:c r="U2163" s="17" t="n">
        <x:v>8193524.700000004</x:v>
      </x:c>
      <x:c r="V2163" s="2" t="str">
        <x:v>Area equivalent = model2020 * WUP surface / TEMPO2020 footprint; km2 multiplied by1e6 once</x:v>
      </x:c>
      <x:c r="W2163" s="2" t="str">
        <x:v>L1_numeric_partition_qualified_not_national_completeness</x:v>
      </x:c>
      <x:c r="X2163" s="2" t="str">
        <x:v>https://human-settlement.emergency.copernicus.eu/datasets.php</x:v>
      </x:c>
    </x:row>
    <x:row r="2164" ht="23" customHeight="1">
      <x:c r="A2164" s="2" t="str">
        <x:v>WSM</x:v>
      </x:c>
      <x:c r="B2164" s="2" t="str">
        <x:v>Samoa (Independent State of)</x:v>
      </x:c>
      <x:c r="C2164" s="2" t="n">
        <x:v>2030</x:v>
      </x:c>
      <x:c r="D2164" s="2" t="str">
        <x:v>WUP_SURFACE</x:v>
      </x:c>
      <x:c r="E2164" s="17" t="n">
        <x:v>9573884.879553955</x:v>
      </x:c>
      <x:c r="F2164" s="17" t="n">
        <x:f>IF(AND(M2164,ISNUMBER(R2164)),IF(D2164="TEMPO_PROXY",R2164,IF(AND(ISNUMBER(S2164),S2164&gt;0,ISNUMBER(U2164)),U2164*R2164/S2164,"n.a.")),"n.a.")</x:f>
        <x:v>18528335.950124644</x:v>
      </x:c>
      <x:c r="G2164" s="17" t="n">
        <x:f>IF(AND(ISNUMBER(E2164),ISNUMBER(F2164)),E2164-F2164,"n.a.")</x:f>
        <x:v>-8954451.070570689</x:v>
      </x:c>
      <x:c r="H2164" s="15" t="n">
        <x:f>IF(AND(ISNUMBER(E2164),ISNUMBER(F2164),F2164&gt;0),(E2164-F2164)/F2164,"n.a.")</x:f>
        <x:v>-0.4832841489205862</x:v>
      </x:c>
      <x:c r="I2164" s="19" t="n">
        <x:f>IF(ISNUMBER(H2164),ABS(H2164),"n.a.")</x:f>
        <x:v>0.4832841489205862</x:v>
      </x:c>
      <x:c r="J2164" s="2" t="str">
        <x:v>available</x:v>
      </x:c>
      <x:c r="K2164" s="2" t="n">
        <x:v>1</x:v>
      </x:c>
      <x:c r="L2164" s="13" t="b">
        <x:v>0</x:v>
      </x:c>
      <x:c r="M2164" s="13" t="b">
        <x:v>1</x:v>
      </x:c>
      <x:c r="N2164" s="2" t="str">
        <x:v>projected_CRISP_BU_surface</x:v>
      </x:c>
      <x:c r="O2164" s="2" t="str"/>
      <x:c r="P2164" s="2" t="str">
        <x:v>horizontal built-up surface</x:v>
      </x:c>
      <x:c r="Q2164" s="2" t="str">
        <x:v>m2</x:v>
      </x:c>
      <x:c r="R2164" s="17" t="n">
        <x:v>18528335.95012464</x:v>
      </x:c>
      <x:c r="S2164" s="17" t="n">
        <x:v>8105266</x:v>
      </x:c>
      <x:c r="T2164" s="18" t="n">
        <x:v>1.0000000000000002</x:v>
      </x:c>
      <x:c r="U2164" s="17" t="n">
        <x:v>8105266.000000001</x:v>
      </x:c>
      <x:c r="V2164" s="2" t="str">
        <x:v>Area equivalent = model2020 * WUP surface / TEMPO2020 footprint; km2 multiplied by1e6 once</x:v>
      </x:c>
      <x:c r="W2164" s="2" t="str">
        <x:v>L1_numeric_partition_qualified_not_national_completeness</x:v>
      </x:c>
      <x:c r="X2164" s="2" t="str">
        <x:v>https://human-settlement.emergency.copernicus.eu/datasets.php</x:v>
      </x:c>
    </x:row>
    <x:row r="2165" ht="23" customHeight="1">
      <x:c r="A2165" s="2" t="str">
        <x:v>YEM</x:v>
      </x:c>
      <x:c r="B2165" s="2" t="str">
        <x:v>Yemen (Republic of)</x:v>
      </x:c>
      <x:c r="C2165" s="2" t="n">
        <x:v>2030</x:v>
      </x:c>
      <x:c r="D2165" s="2" t="str">
        <x:v>WUP_SURFACE</x:v>
      </x:c>
      <x:c r="E2165" s="17" t="n">
        <x:v>785636300.852373</x:v>
      </x:c>
      <x:c r="F2165" s="17" t="n">
        <x:f>IF(AND(M2165,ISNUMBER(R2165)),IF(D2165="TEMPO_PROXY",R2165,IF(AND(ISNUMBER(S2165),S2165&gt;0,ISNUMBER(U2165)),U2165*R2165/S2165,"n.a.")),"n.a.")</x:f>
        <x:v>450124661.59502554</x:v>
      </x:c>
      <x:c r="G2165" s="17" t="n">
        <x:f>IF(AND(ISNUMBER(E2165),ISNUMBER(F2165)),E2165-F2165,"n.a.")</x:f>
        <x:v>335511639.25734746</x:v>
      </x:c>
      <x:c r="H2165" s="15" t="n">
        <x:f>IF(AND(ISNUMBER(E2165),ISNUMBER(F2165),F2165&gt;0),(E2165-F2165)/F2165,"n.a.")</x:f>
        <x:v>0.7453749325097083</x:v>
      </x:c>
      <x:c r="I2165" s="19" t="n">
        <x:f>IF(ISNUMBER(H2165),ABS(H2165),"n.a.")</x:f>
        <x:v>0.7453749325097083</x:v>
      </x:c>
      <x:c r="J2165" s="2" t="str">
        <x:v>available</x:v>
      </x:c>
      <x:c r="K2165" s="2" t="n">
        <x:v>1</x:v>
      </x:c>
      <x:c r="L2165" s="13" t="b">
        <x:v>0</x:v>
      </x:c>
      <x:c r="M2165" s="13" t="b">
        <x:v>1</x:v>
      </x:c>
      <x:c r="N2165" s="2" t="str">
        <x:v>projected_CRISP_BU_surface</x:v>
      </x:c>
      <x:c r="O2165" s="2" t="str"/>
      <x:c r="P2165" s="2" t="str">
        <x:v>horizontal built-up surface</x:v>
      </x:c>
      <x:c r="Q2165" s="2" t="str">
        <x:v>m2</x:v>
      </x:c>
      <x:c r="R2165" s="17" t="n">
        <x:v>450124661.5950262</x:v>
      </x:c>
      <x:c r="S2165" s="17" t="n">
        <x:v>454480387.69</x:v>
      </x:c>
      <x:c r="T2165" s="18" t="n">
        <x:v>0.9999999999999984</x:v>
      </x:c>
      <x:c r="U2165" s="17" t="n">
        <x:v>454480387.6899993</x:v>
      </x:c>
      <x:c r="V2165" s="2" t="str">
        <x:v>Area equivalent = model2020 * WUP surface / TEMPO2020 footprint; km2 multiplied by1e6 once</x:v>
      </x:c>
      <x:c r="W2165" s="2" t="str">
        <x:v>L1_numeric_partition_qualified_not_national_completeness</x:v>
      </x:c>
      <x:c r="X2165" s="2" t="str">
        <x:v>https://human-settlement.emergency.copernicus.eu/datasets.php</x:v>
      </x:c>
    </x:row>
    <x:row r="2166" ht="23" customHeight="1">
      <x:c r="A2166" s="2" t="str">
        <x:v>ZAF</x:v>
      </x:c>
      <x:c r="B2166" s="2" t="str">
        <x:v>South Africa (Republic of)</x:v>
      </x:c>
      <x:c r="C2166" s="2" t="n">
        <x:v>2030</x:v>
      </x:c>
      <x:c r="D2166" s="2" t="str">
        <x:v>WUP_SURFACE</x:v>
      </x:c>
      <x:c r="E2166" s="17" t="n">
        <x:v>3169523562.455699</x:v>
      </x:c>
      <x:c r="F2166" s="17" t="n">
        <x:f>IF(AND(M2166,ISNUMBER(R2166)),IF(D2166="TEMPO_PROXY",R2166,IF(AND(ISNUMBER(S2166),S2166&gt;0,ISNUMBER(U2166)),U2166*R2166/S2166,"n.a.")),"n.a.")</x:f>
        <x:v>7378648645.1469145</x:v>
      </x:c>
      <x:c r="G2166" s="17" t="n">
        <x:f>IF(AND(ISNUMBER(E2166),ISNUMBER(F2166)),E2166-F2166,"n.a.")</x:f>
        <x:v>-4209125082.6912155</x:v>
      </x:c>
      <x:c r="H2166" s="15" t="n">
        <x:f>IF(AND(ISNUMBER(E2166),ISNUMBER(F2166),F2166&gt;0),(E2166-F2166)/F2166,"n.a.")</x:f>
        <x:v>-0.5704466068403516</x:v>
      </x:c>
      <x:c r="I2166" s="19" t="n">
        <x:f>IF(ISNUMBER(H2166),ABS(H2166),"n.a.")</x:f>
        <x:v>0.5704466068403516</x:v>
      </x:c>
      <x:c r="J2166" s="2" t="str">
        <x:v>available</x:v>
      </x:c>
      <x:c r="K2166" s="2" t="n">
        <x:v>1</x:v>
      </x:c>
      <x:c r="L2166" s="13" t="b">
        <x:v>0</x:v>
      </x:c>
      <x:c r="M2166" s="13" t="b">
        <x:v>1</x:v>
      </x:c>
      <x:c r="N2166" s="2" t="str">
        <x:v>projected_CRISP_BU_surface</x:v>
      </x:c>
      <x:c r="O2166" s="2" t="str"/>
      <x:c r="P2166" s="2" t="str">
        <x:v>horizontal built-up surface</x:v>
      </x:c>
      <x:c r="Q2166" s="2" t="str">
        <x:v>m2</x:v>
      </x:c>
      <x:c r="R2166" s="17" t="n">
        <x:v>7378648645.146925</x:v>
      </x:c>
      <x:c r="S2166" s="17" t="n">
        <x:v>2711325840.61</x:v>
      </x:c>
      <x:c r="T2166" s="18" t="n">
        <x:v>0.9999999999999986</x:v>
      </x:c>
      <x:c r="U2166" s="17" t="n">
        <x:v>2711325840.6099963</x:v>
      </x:c>
      <x:c r="V2166" s="2" t="str">
        <x:v>Area equivalent = model2020 * WUP surface / TEMPO2020 footprint; km2 multiplied by1e6 once</x:v>
      </x:c>
      <x:c r="W2166" s="2" t="str">
        <x:v>L1_numeric_partition_qualified_not_national_completeness</x:v>
      </x:c>
      <x:c r="X2166" s="2" t="str">
        <x:v>https://human-settlement.emergency.copernicus.eu/datasets.php</x:v>
      </x:c>
    </x:row>
    <x:row r="2167" ht="23" customHeight="1">
      <x:c r="A2167" s="2" t="str">
        <x:v>ZMB</x:v>
      </x:c>
      <x:c r="B2167" s="2" t="str">
        <x:v>Zambia (Republic of)</x:v>
      </x:c>
      <x:c r="C2167" s="2" t="n">
        <x:v>2030</x:v>
      </x:c>
      <x:c r="D2167" s="2" t="str">
        <x:v>WUP_SURFACE</x:v>
      </x:c>
      <x:c r="E2167" s="17" t="n">
        <x:v>518968394.8257233</x:v>
      </x:c>
      <x:c r="F2167" s="17" t="n">
        <x:f>IF(AND(M2167,ISNUMBER(R2167)),IF(D2167="TEMPO_PROXY",R2167,IF(AND(ISNUMBER(S2167),S2167&gt;0,ISNUMBER(U2167)),U2167*R2167/S2167,"n.a.")),"n.a.")</x:f>
        <x:v>1785025814.2804768</x:v>
      </x:c>
      <x:c r="G2167" s="17" t="n">
        <x:f>IF(AND(ISNUMBER(E2167),ISNUMBER(F2167)),E2167-F2167,"n.a.")</x:f>
        <x:v>-1266057419.4547534</x:v>
      </x:c>
      <x:c r="H2167" s="15" t="n">
        <x:f>IF(AND(ISNUMBER(E2167),ISNUMBER(F2167),F2167&gt;0),(E2167-F2167)/F2167,"n.a.")</x:f>
        <x:v>-0.7092656079963116</x:v>
      </x:c>
      <x:c r="I2167" s="19" t="n">
        <x:f>IF(ISNUMBER(H2167),ABS(H2167),"n.a.")</x:f>
        <x:v>0.7092656079963116</x:v>
      </x:c>
      <x:c r="J2167" s="2" t="str">
        <x:v>available</x:v>
      </x:c>
      <x:c r="K2167" s="2" t="n">
        <x:v>1</x:v>
      </x:c>
      <x:c r="L2167" s="13" t="b">
        <x:v>0</x:v>
      </x:c>
      <x:c r="M2167" s="13" t="b">
        <x:v>1</x:v>
      </x:c>
      <x:c r="N2167" s="2" t="str">
        <x:v>projected_CRISP_BU_surface</x:v>
      </x:c>
      <x:c r="O2167" s="2" t="str"/>
      <x:c r="P2167" s="2" t="str">
        <x:v>horizontal built-up surface</x:v>
      </x:c>
      <x:c r="Q2167" s="2" t="str">
        <x:v>m2</x:v>
      </x:c>
      <x:c r="R2167" s="17" t="n">
        <x:v>1785025814.2804778</x:v>
      </x:c>
      <x:c r="S2167" s="17" t="n">
        <x:v>396696842.5</x:v>
      </x:c>
      <x:c r="T2167" s="18" t="n">
        <x:v>0.9999999999999994</x:v>
      </x:c>
      <x:c r="U2167" s="17" t="n">
        <x:v>396696842.49999976</x:v>
      </x:c>
      <x:c r="V2167" s="2" t="str">
        <x:v>Area equivalent = model2020 * WUP surface / TEMPO2020 footprint; km2 multiplied by1e6 once</x:v>
      </x:c>
      <x:c r="W2167" s="2" t="str">
        <x:v>L1_numeric_partition_qualified_not_national_completeness</x:v>
      </x:c>
      <x:c r="X2167" s="2" t="str">
        <x:v>https://human-settlement.emergency.copernicus.eu/datasets.php</x:v>
      </x:c>
    </x:row>
    <x:row r="2168" ht="23" customHeight="1">
      <x:c r="A2168" s="2" t="str">
        <x:v>ZWE</x:v>
      </x:c>
      <x:c r="B2168" s="2" t="str">
        <x:v>Zimbabwe (Republic of)</x:v>
      </x:c>
      <x:c r="C2168" s="2" t="n">
        <x:v>2030</x:v>
      </x:c>
      <x:c r="D2168" s="2" t="str">
        <x:v>WUP_SURFACE</x:v>
      </x:c>
      <x:c r="E2168" s="17" t="n">
        <x:v>519204267.7107976</x:v>
      </x:c>
      <x:c r="F2168" s="17" t="n">
        <x:f>IF(AND(M2168,ISNUMBER(R2168)),IF(D2168="TEMPO_PROXY",R2168,IF(AND(ISNUMBER(S2168),S2168&gt;0,ISNUMBER(U2168)),U2168*R2168/S2168,"n.a.")),"n.a.")</x:f>
        <x:v>1629033781.7245743</x:v>
      </x:c>
      <x:c r="G2168" s="17" t="n">
        <x:f>IF(AND(ISNUMBER(E2168),ISNUMBER(F2168)),E2168-F2168,"n.a.")</x:f>
        <x:v>-1109829514.0137768</x:v>
      </x:c>
      <x:c r="H2168" s="15" t="n">
        <x:f>IF(AND(ISNUMBER(E2168),ISNUMBER(F2168),F2168&gt;0),(E2168-F2168)/F2168,"n.a.")</x:f>
        <x:v>-0.6812808466371135</x:v>
      </x:c>
      <x:c r="I2168" s="19" t="n">
        <x:f>IF(ISNUMBER(H2168),ABS(H2168),"n.a.")</x:f>
        <x:v>0.6812808466371135</x:v>
      </x:c>
      <x:c r="J2168" s="2" t="str">
        <x:v>available</x:v>
      </x:c>
      <x:c r="K2168" s="2" t="n">
        <x:v>1</x:v>
      </x:c>
      <x:c r="L2168" s="13" t="b">
        <x:v>0</x:v>
      </x:c>
      <x:c r="M2168" s="13" t="b">
        <x:v>1</x:v>
      </x:c>
      <x:c r="N2168" s="2" t="str">
        <x:v>projected_CRISP_BU_surface</x:v>
      </x:c>
      <x:c r="O2168" s="2" t="str"/>
      <x:c r="P2168" s="2" t="str">
        <x:v>horizontal built-up surface</x:v>
      </x:c>
      <x:c r="Q2168" s="2" t="str">
        <x:v>m2</x:v>
      </x:c>
      <x:c r="R2168" s="17" t="n">
        <x:v>1629033781.7245758</x:v>
      </x:c>
      <x:c r="S2168" s="17" t="n">
        <x:v>420425813.98</x:v>
      </x:c>
      <x:c r="T2168" s="18" t="n">
        <x:v>0.999999999999999</x:v>
      </x:c>
      <x:c r="U2168" s="17" t="n">
        <x:v>420425813.9799996</x:v>
      </x:c>
      <x:c r="V2168" s="2" t="str">
        <x:v>Area equivalent = model2020 * WUP surface / TEMPO2020 footprint; km2 multiplied by1e6 once</x:v>
      </x:c>
      <x:c r="W2168" s="2" t="str">
        <x:v>L1_numeric_partition_qualified_not_national_completeness</x:v>
      </x:c>
      <x:c r="X2168" s="2" t="str">
        <x:v>https://human-settlement.emergency.copernicus.eu/datasets.php</x:v>
      </x:c>
    </x:row>
  </x:sheetData>
  <x:conditionalFormatting sqref="O24:O2168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2807bb670a6a45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9" hidden="0" customWidth="1"/>
    <x:col min="2" max="2" width="29" hidden="0" customWidth="1"/>
    <x:col min="3" max="3" width="10" hidden="0" customWidth="1"/>
    <x:col min="4" max="4" width="23" hidden="0" customWidth="1"/>
    <x:col min="5" max="5" width="36" hidden="0" customWidth="1"/>
    <x:col min="6" max="6" width="9" hidden="0" customWidth="1"/>
    <x:col min="7" max="7" width="25" hidden="0" customWidth="1"/>
    <x:col min="8" max="8" width="25" hidden="0" customWidth="1"/>
    <x:col min="9" max="9" width="25" hidden="0" customWidth="1"/>
    <x:col min="10" max="10" width="19" hidden="0" customWidth="1"/>
    <x:col min="11" max="11" width="19" hidden="0" customWidth="1"/>
    <x:col min="12" max="12" width="18" hidden="0" customWidth="1"/>
    <x:col min="13" max="13" width="18" hidden="0" customWidth="1"/>
    <x:col min="14" max="14" width="100" hidden="0" customWidth="1"/>
    <x:col min="15" max="15" width="100" hidden="0" customWidth="1"/>
    <x:col min="16" max="16" width="100" hidden="0" customWidth="1"/>
    <x:col min="17" max="17" width="100" hidden="0" customWidth="1"/>
    <x:col min="18" max="18" width="100" hidden="0" customWidth="1"/>
    <x:col min="19" max="19" width="20" hidden="0" customWidth="1"/>
    <x:col min="20" max="20" width="2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3" customHeight="1">
      <x:c r="A2" s="3" t="str">
        <x:v>Native building surface and volume differences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3" customHeight="1">
      <x:c r="A4" s="5" t="str">
        <x:v>Signed difference = TEMPO minus comparator, in the stated native unit. Building surface, volume and GFA measure different quantities.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44" customHeight="1">
      <x:c r="A7" s="10" t="str">
        <x:v>ISO</x:v>
      </x:c>
      <x:c r="B7" s="11" t="str">
        <x:v>Country</x:v>
      </x:c>
      <x:c r="C7" s="11" t="str">
        <x:v>Year</x:v>
      </x:c>
      <x:c r="D7" s="11" t="str">
        <x:v>Comparator dataset</x:v>
      </x:c>
      <x:c r="E7" s="11" t="str">
        <x:v>Quantity</x:v>
      </x:c>
      <x:c r="F7" s="11" t="str">
        <x:v>Units</x:v>
      </x:c>
      <x:c r="G7" s="11" t="str">
        <x:v>TEMPO native value</x:v>
      </x:c>
      <x:c r="H7" s="11" t="str">
        <x:v>Comparator native value</x:v>
      </x:c>
      <x:c r="I7" s="11" t="str">
        <x:v>Signed difference</x:v>
      </x:c>
      <x:c r="J7" s="11" t="str">
        <x:v>Signed difference (%)</x:v>
      </x:c>
      <x:c r="K7" s="11" t="str">
        <x:v>Absolute difference (%)</x:v>
      </x:c>
      <x:c r="L7" s="11" t="str">
        <x:v>Available</x:v>
      </x:c>
      <x:c r="M7" s="11" t="str">
        <x:v>Core 194</x:v>
      </x:c>
      <x:c r="N7" s="11" t="str">
        <x:v>Source quality</x:v>
      </x:c>
      <x:c r="O7" s="11" t="str">
        <x:v>TEMPO quality</x:v>
      </x:c>
      <x:c r="P7" s="11" t="str">
        <x:v>Source epoch role</x:v>
      </x:c>
      <x:c r="Q7" s="11" t="str">
        <x:v>Boundary and coverage</x:v>
      </x:c>
      <x:c r="R7" s="11" t="str">
        <x:v>Source URL</x:v>
      </x:c>
      <x:c r="S7" s="11" t="str">
        <x:v>PSE supplement</x:v>
      </x:c>
      <x:c r="T7" s="12" t="str">
        <x:v>Independent GFA accuracy test</x:v>
      </x:c>
    </x:row>
    <x:row r="8" ht="23" customHeight="1">
      <x:c r="A8" s="2" t="str">
        <x:v>AFG</x:v>
      </x:c>
      <x:c r="B8" s="2" t="str">
        <x:v>Afghanistan (Islamic Republic of)</x:v>
      </x:c>
      <x:c r="C8" s="2" t="n">
        <x:v>2020</x:v>
      </x:c>
      <x:c r="D8" s="2" t="str">
        <x:v>OBAT_FOOTPRINT</x:v>
      </x:c>
      <x:c r="E8" s="2" t="str">
        <x:v>horizontal surface / footprint</x:v>
      </x:c>
      <x:c r="F8" s="2" t="str">
        <x:v>m2</x:v>
      </x:c>
      <x:c r="G8" s="17" t="n">
        <x:v>853208432.45</x:v>
      </x:c>
      <x:c r="H8" s="17" t="n">
        <x:v>961316677.0599991</x:v>
      </x:c>
      <x:c r="I8" s="17" t="n">
        <x:f>IF(AND(L8,ISNUMBER(G8),ISNUMBER(H8)),G8-H8,"n.a.")</x:f>
        <x:v>-108108244.60999906</x:v>
      </x:c>
      <x:c r="J8" s="15" t="n">
        <x:f>IF(AND(L8,ISNUMBER(G8),ISNUMBER(H8),H8&gt;0),(G8-H8)/H8,"n.a.")</x:f>
        <x:v>-0.1124585136093001</x:v>
      </x:c>
      <x:c r="K8" s="19" t="n">
        <x:f>IF(ISNUMBER(J8),ABS(J8),"n.a.")</x:f>
        <x:v>0.1124585136093001</x:v>
      </x:c>
      <x:c r="L8" s="13" t="b">
        <x:v>1</x:v>
      </x:c>
      <x:c r="M8" s="13" t="b">
        <x:v>1</x:v>
      </x:c>
      <x:c r="N8" s="2" t="str">
        <x:v>qualified_source_frame_numeric_summary</x:v>
      </x:c>
      <x:c r="O8" s="2" t="str">
        <x:v>none</x:v>
      </x:c>
      <x:c r="P8" s="2" t="str">
        <x:v>nominal2020; Overture geometry2024-07-22.0; height support2018</x:v>
      </x:c>
      <x:c r="Q8" s="2" t="str">
        <x:v>Adjusted GADM4.1 boundaries; included Overture coverage unknown; China shortfall flagged; not a contemporaneous2020 census</x:v>
      </x:c>
      <x:c r="R8" s="2" t="str">
        <x:v>https://data.jrc.ec.europa.eu/dataset/f41a22f1-5741-4c41-86eb-6384654f6927</x:v>
      </x:c>
      <x:c r="S8" s="13" t="b">
        <x:v>0</x:v>
      </x:c>
      <x:c r="T8" s="13" t="b">
        <x:v>0</x:v>
      </x:c>
    </x:row>
    <x:row r="9" ht="23" customHeight="1">
      <x:c r="A9" s="2" t="str">
        <x:v>AGO</x:v>
      </x:c>
      <x:c r="B9" s="2" t="str">
        <x:v>Angola (Republic of)</x:v>
      </x:c>
      <x:c r="C9" s="2" t="n">
        <x:v>2020</x:v>
      </x:c>
      <x:c r="D9" s="2" t="str">
        <x:v>OBAT_FOOTPRINT</x:v>
      </x:c>
      <x:c r="E9" s="2" t="str">
        <x:v>horizontal surface / footprint</x:v>
      </x:c>
      <x:c r="F9" s="2" t="str">
        <x:v>m2</x:v>
      </x:c>
      <x:c r="G9" s="17" t="n">
        <x:v>512504617.86</x:v>
      </x:c>
      <x:c r="H9" s="17" t="n">
        <x:v>582267286.76</x:v>
      </x:c>
      <x:c r="I9" s="17" t="n">
        <x:f>IF(AND(L9,ISNUMBER(G9),ISNUMBER(H9)),G9-H9,"n.a.")</x:f>
        <x:v>-69762668.89999998</x:v>
      </x:c>
      <x:c r="J9" s="15" t="n">
        <x:f>IF(AND(L9,ISNUMBER(G9),ISNUMBER(H9),H9&gt;0),(G9-H9)/H9,"n.a.")</x:f>
        <x:v>-0.1198121043141393</x:v>
      </x:c>
      <x:c r="K9" s="19" t="n">
        <x:f>IF(ISNUMBER(J9),ABS(J9),"n.a.")</x:f>
        <x:v>0.1198121043141393</x:v>
      </x:c>
      <x:c r="L9" s="13" t="b">
        <x:v>1</x:v>
      </x:c>
      <x:c r="M9" s="13" t="b">
        <x:v>1</x:v>
      </x:c>
      <x:c r="N9" s="2" t="str">
        <x:v>qualified_source_frame_numeric_summary</x:v>
      </x:c>
      <x:c r="O9" s="2" t="str">
        <x:v>none</x:v>
      </x:c>
      <x:c r="P9" s="2" t="str">
        <x:v>nominal2020; Overture geometry2024-07-22.0; height support2018</x:v>
      </x:c>
      <x:c r="Q9" s="2" t="str">
        <x:v>Adjusted GADM4.1 boundaries; included Overture coverage unknown; China shortfall flagged; not a contemporaneous2020 census</x:v>
      </x:c>
      <x:c r="R9" s="2" t="str">
        <x:v>https://data.jrc.ec.europa.eu/dataset/f41a22f1-5741-4c41-86eb-6384654f6927</x:v>
      </x:c>
      <x:c r="S9" s="13" t="b">
        <x:v>0</x:v>
      </x:c>
      <x:c r="T9" s="13" t="b">
        <x:v>0</x:v>
      </x:c>
    </x:row>
    <x:row r="10" ht="23" customHeight="1">
      <x:c r="A10" s="2" t="str">
        <x:v>ALB</x:v>
      </x:c>
      <x:c r="B10" s="2" t="str">
        <x:v>Albania (Republic of)</x:v>
      </x:c>
      <x:c r="C10" s="2" t="n">
        <x:v>2020</x:v>
      </x:c>
      <x:c r="D10" s="2" t="str">
        <x:v>OBAT_FOOTPRINT</x:v>
      </x:c>
      <x:c r="E10" s="2" t="str">
        <x:v>horizontal surface / footprint</x:v>
      </x:c>
      <x:c r="F10" s="2" t="str">
        <x:v>m2</x:v>
      </x:c>
      <x:c r="G10" s="17" t="n">
        <x:v>161276383.52</x:v>
      </x:c>
      <x:c r="H10" s="17" t="n">
        <x:v>157910927.56</x:v>
      </x:c>
      <x:c r="I10" s="17" t="n">
        <x:f>IF(AND(L10,ISNUMBER(G10),ISNUMBER(H10)),G10-H10,"n.a.")</x:f>
        <x:v>3365455.9600000083</x:v>
      </x:c>
      <x:c r="J10" s="15" t="n">
        <x:f>IF(AND(L10,ISNUMBER(G10),ISNUMBER(H10),H10&gt;0),(G10-H10)/H10,"n.a.")</x:f>
        <x:v>0.021312369017155358</x:v>
      </x:c>
      <x:c r="K10" s="19" t="n">
        <x:f>IF(ISNUMBER(J10),ABS(J10),"n.a.")</x:f>
        <x:v>0.021312369017155358</x:v>
      </x:c>
      <x:c r="L10" s="13" t="b">
        <x:v>1</x:v>
      </x:c>
      <x:c r="M10" s="13" t="b">
        <x:v>1</x:v>
      </x:c>
      <x:c r="N10" s="2" t="str">
        <x:v>qualified_source_frame_numeric_summary</x:v>
      </x:c>
      <x:c r="O10" s="2" t="str">
        <x:v>none</x:v>
      </x:c>
      <x:c r="P10" s="2" t="str">
        <x:v>nominal2020; Overture geometry2024-07-22.0; height support2018</x:v>
      </x:c>
      <x:c r="Q10" s="2" t="str">
        <x:v>Adjusted GADM4.1 boundaries; included Overture coverage unknown; China shortfall flagged; not a contemporaneous2020 census</x:v>
      </x:c>
      <x:c r="R10" s="2" t="str">
        <x:v>https://data.jrc.ec.europa.eu/dataset/f41a22f1-5741-4c41-86eb-6384654f6927</x:v>
      </x:c>
      <x:c r="S10" s="13" t="b">
        <x:v>0</x:v>
      </x:c>
      <x:c r="T10" s="13" t="b">
        <x:v>0</x:v>
      </x:c>
    </x:row>
    <x:row r="11" ht="23" customHeight="1">
      <x:c r="A11" s="2" t="str">
        <x:v>AND</x:v>
      </x:c>
      <x:c r="B11" s="2" t="str">
        <x:v>Andorra (Principality of)</x:v>
      </x:c>
      <x:c r="C11" s="2" t="n">
        <x:v>2020</x:v>
      </x:c>
      <x:c r="D11" s="2" t="str">
        <x:v>OBAT_FOOTPRINT</x:v>
      </x:c>
      <x:c r="E11" s="2" t="str">
        <x:v>horizontal surface / footprint</x:v>
      </x:c>
      <x:c r="F11" s="2" t="str">
        <x:v>m2</x:v>
      </x:c>
      <x:c r="G11" s="17" t="n">
        <x:v>2209198.1</x:v>
      </x:c>
      <x:c r="H11" s="17" t="n">
        <x:v>2694421.65</x:v>
      </x:c>
      <x:c r="I11" s="17" t="n">
        <x:f>IF(AND(L11,ISNUMBER(G11),ISNUMBER(H11)),G11-H11,"n.a.")</x:f>
        <x:v>-485223.5499999998</x:v>
      </x:c>
      <x:c r="J11" s="15" t="n">
        <x:f>IF(AND(L11,ISNUMBER(G11),ISNUMBER(H11),H11&gt;0),(G11-H11)/H11,"n.a.")</x:f>
        <x:v>-0.18008449048796793</x:v>
      </x:c>
      <x:c r="K11" s="19" t="n">
        <x:f>IF(ISNUMBER(J11),ABS(J11),"n.a.")</x:f>
        <x:v>0.18008449048796793</x:v>
      </x:c>
      <x:c r="L11" s="13" t="b">
        <x:v>1</x:v>
      </x:c>
      <x:c r="M11" s="13" t="b">
        <x:v>1</x:v>
      </x:c>
      <x:c r="N11" s="2" t="str">
        <x:v>qualified_source_frame_numeric_summary</x:v>
      </x:c>
      <x:c r="O11" s="2" t="str">
        <x:v>none</x:v>
      </x:c>
      <x:c r="P11" s="2" t="str">
        <x:v>nominal2020; Overture geometry2024-07-22.0; height support2018</x:v>
      </x:c>
      <x:c r="Q11" s="2" t="str">
        <x:v>Adjusted GADM4.1 boundaries; included Overture coverage unknown; China shortfall flagged; not a contemporaneous2020 census</x:v>
      </x:c>
      <x:c r="R11" s="2" t="str">
        <x:v>https://data.jrc.ec.europa.eu/dataset/f41a22f1-5741-4c41-86eb-6384654f6927</x:v>
      </x:c>
      <x:c r="S11" s="13" t="b">
        <x:v>0</x:v>
      </x:c>
      <x:c r="T11" s="13" t="b">
        <x:v>0</x:v>
      </x:c>
    </x:row>
    <x:row r="12" ht="23" customHeight="1">
      <x:c r="A12" s="2" t="str">
        <x:v>ARE</x:v>
      </x:c>
      <x:c r="B12" s="2" t="str">
        <x:v>United Arab Emirates</x:v>
      </x:c>
      <x:c r="C12" s="2" t="n">
        <x:v>2020</x:v>
      </x:c>
      <x:c r="D12" s="2" t="str">
        <x:v>OBAT_FOOTPRINT</x:v>
      </x:c>
      <x:c r="E12" s="2" t="str">
        <x:v>horizontal surface / footprint</x:v>
      </x:c>
      <x:c r="F12" s="2" t="str">
        <x:v>m2</x:v>
      </x:c>
      <x:c r="G12" s="17" t="n">
        <x:v>458879702.88</x:v>
      </x:c>
      <x:c r="H12" s="17" t="n">
        <x:v>381686436.37</x:v>
      </x:c>
      <x:c r="I12" s="17" t="n">
        <x:f>IF(AND(L12,ISNUMBER(G12),ISNUMBER(H12)),G12-H12,"n.a.")</x:f>
        <x:v>77193266.50999999</x:v>
      </x:c>
      <x:c r="J12" s="15" t="n">
        <x:f>IF(AND(L12,ISNUMBER(G12),ISNUMBER(H12),H12&gt;0),(G12-H12)/H12,"n.a.")</x:f>
        <x:v>0.2022426241921005</x:v>
      </x:c>
      <x:c r="K12" s="19" t="n">
        <x:f>IF(ISNUMBER(J12),ABS(J12),"n.a.")</x:f>
        <x:v>0.2022426241921005</x:v>
      </x:c>
      <x:c r="L12" s="13" t="b">
        <x:v>1</x:v>
      </x:c>
      <x:c r="M12" s="13" t="b">
        <x:v>1</x:v>
      </x:c>
      <x:c r="N12" s="2" t="str">
        <x:v>qualified_source_frame_numeric_summary</x:v>
      </x:c>
      <x:c r="O12" s="2" t="str">
        <x:v>none</x:v>
      </x:c>
      <x:c r="P12" s="2" t="str">
        <x:v>nominal2020; Overture geometry2024-07-22.0; height support2018</x:v>
      </x:c>
      <x:c r="Q12" s="2" t="str">
        <x:v>Adjusted GADM4.1 boundaries; included Overture coverage unknown; China shortfall flagged; not a contemporaneous2020 census</x:v>
      </x:c>
      <x:c r="R12" s="2" t="str">
        <x:v>https://data.jrc.ec.europa.eu/dataset/f41a22f1-5741-4c41-86eb-6384654f6927</x:v>
      </x:c>
      <x:c r="S12" s="13" t="b">
        <x:v>0</x:v>
      </x:c>
      <x:c r="T12" s="13" t="b">
        <x:v>0</x:v>
      </x:c>
    </x:row>
    <x:row r="13" ht="23" customHeight="1">
      <x:c r="A13" s="2" t="str">
        <x:v>ARG</x:v>
      </x:c>
      <x:c r="B13" s="2" t="str">
        <x:v>Argentina (Argentine Republic)</x:v>
      </x:c>
      <x:c r="C13" s="2" t="n">
        <x:v>2020</x:v>
      </x:c>
      <x:c r="D13" s="2" t="str">
        <x:v>OBAT_FOOTPRINT</x:v>
      </x:c>
      <x:c r="E13" s="2" t="str">
        <x:v>horizontal surface / footprint</x:v>
      </x:c>
      <x:c r="F13" s="2" t="str">
        <x:v>m2</x:v>
      </x:c>
      <x:c r="G13" s="17" t="n">
        <x:v>2382940448.4</x:v>
      </x:c>
      <x:c r="H13" s="17" t="n">
        <x:v>2572301255.25</x:v>
      </x:c>
      <x:c r="I13" s="17" t="n">
        <x:f>IF(AND(L13,ISNUMBER(G13),ISNUMBER(H13)),G13-H13,"n.a.")</x:f>
        <x:v>-189360806.8499999</x:v>
      </x:c>
      <x:c r="J13" s="15" t="n">
        <x:f>IF(AND(L13,ISNUMBER(G13),ISNUMBER(H13),H13&gt;0),(G13-H13)/H13,"n.a.")</x:f>
        <x:v>-0.07361533042194005</x:v>
      </x:c>
      <x:c r="K13" s="19" t="n">
        <x:f>IF(ISNUMBER(J13),ABS(J13),"n.a.")</x:f>
        <x:v>0.07361533042194005</x:v>
      </x:c>
      <x:c r="L13" s="13" t="b">
        <x:v>1</x:v>
      </x:c>
      <x:c r="M13" s="13" t="b">
        <x:v>1</x:v>
      </x:c>
      <x:c r="N13" s="2" t="str">
        <x:v>qualified_source_frame_numeric_summary</x:v>
      </x:c>
      <x:c r="O13" s="2" t="str">
        <x:v>none</x:v>
      </x:c>
      <x:c r="P13" s="2" t="str">
        <x:v>nominal2020; Overture geometry2024-07-22.0; height support2018</x:v>
      </x:c>
      <x:c r="Q13" s="2" t="str">
        <x:v>Adjusted GADM4.1 boundaries; included Overture coverage unknown; China shortfall flagged; not a contemporaneous2020 census</x:v>
      </x:c>
      <x:c r="R13" s="2" t="str">
        <x:v>https://data.jrc.ec.europa.eu/dataset/f41a22f1-5741-4c41-86eb-6384654f6927</x:v>
      </x:c>
      <x:c r="S13" s="13" t="b">
        <x:v>0</x:v>
      </x:c>
      <x:c r="T13" s="13" t="b">
        <x:v>0</x:v>
      </x:c>
    </x:row>
    <x:row r="14" ht="23" customHeight="1">
      <x:c r="A14" s="2" t="str">
        <x:v>ARM</x:v>
      </x:c>
      <x:c r="B14" s="2" t="str">
        <x:v>Armenia (Republic of)</x:v>
      </x:c>
      <x:c r="C14" s="2" t="n">
        <x:v>2020</x:v>
      </x:c>
      <x:c r="D14" s="2" t="str">
        <x:v>OBAT_FOOTPRINT</x:v>
      </x:c>
      <x:c r="E14" s="2" t="str">
        <x:v>horizontal surface / footprint</x:v>
      </x:c>
      <x:c r="F14" s="2" t="str">
        <x:v>m2</x:v>
      </x:c>
      <x:c r="G14" s="17" t="n">
        <x:v>142786500.21</x:v>
      </x:c>
      <x:c r="H14" s="17" t="n">
        <x:v>156816095.43</x:v>
      </x:c>
      <x:c r="I14" s="17" t="n">
        <x:f>IF(AND(L14,ISNUMBER(G14),ISNUMBER(H14)),G14-H14,"n.a.")</x:f>
        <x:v>-14029595.219999999</x:v>
      </x:c>
      <x:c r="J14" s="15" t="n">
        <x:f>IF(AND(L14,ISNUMBER(G14),ISNUMBER(H14),H14&gt;0),(G14-H14)/H14,"n.a.")</x:f>
        <x:v>-0.08946527575201978</x:v>
      </x:c>
      <x:c r="K14" s="19" t="n">
        <x:f>IF(ISNUMBER(J14),ABS(J14),"n.a.")</x:f>
        <x:v>0.08946527575201978</x:v>
      </x:c>
      <x:c r="L14" s="13" t="b">
        <x:v>1</x:v>
      </x:c>
      <x:c r="M14" s="13" t="b">
        <x:v>1</x:v>
      </x:c>
      <x:c r="N14" s="2" t="str">
        <x:v>qualified_source_frame_numeric_summary</x:v>
      </x:c>
      <x:c r="O14" s="2" t="str">
        <x:v>none</x:v>
      </x:c>
      <x:c r="P14" s="2" t="str">
        <x:v>nominal2020; Overture geometry2024-07-22.0; height support2018</x:v>
      </x:c>
      <x:c r="Q14" s="2" t="str">
        <x:v>Adjusted GADM4.1 boundaries; included Overture coverage unknown; China shortfall flagged; not a contemporaneous2020 census</x:v>
      </x:c>
      <x:c r="R14" s="2" t="str">
        <x:v>https://data.jrc.ec.europa.eu/dataset/f41a22f1-5741-4c41-86eb-6384654f6927</x:v>
      </x:c>
      <x:c r="S14" s="13" t="b">
        <x:v>0</x:v>
      </x:c>
      <x:c r="T14" s="13" t="b">
        <x:v>0</x:v>
      </x:c>
    </x:row>
    <x:row r="15" ht="23" customHeight="1">
      <x:c r="A15" s="2" t="str">
        <x:v>ATG</x:v>
      </x:c>
      <x:c r="B15" s="2" t="str">
        <x:v>Antigua and Barbuda</x:v>
      </x:c>
      <x:c r="C15" s="2" t="n">
        <x:v>2020</x:v>
      </x:c>
      <x:c r="D15" s="2" t="str">
        <x:v>OBAT_FOOTPRINT</x:v>
      </x:c>
      <x:c r="E15" s="2" t="str">
        <x:v>horizontal surface / footprint</x:v>
      </x:c>
      <x:c r="F15" s="2" t="str">
        <x:v>m2</x:v>
      </x:c>
      <x:c r="G15" s="17" t="n">
        <x:v>7437404.66</x:v>
      </x:c>
      <x:c r="H15" s="17" t="n">
        <x:v>7718998.91000004</x:v>
      </x:c>
      <x:c r="I15" s="17" t="n">
        <x:f>IF(AND(L15,ISNUMBER(G15),ISNUMBER(H15)),G15-H15,"n.a.")</x:f>
        <x:v>-281594.25000004005</x:v>
      </x:c>
      <x:c r="J15" s="15" t="n">
        <x:f>IF(AND(L15,ISNUMBER(G15),ISNUMBER(H15),H15&gt;0),(G15-H15)/H15,"n.a.")</x:f>
        <x:v>-0.036480669745299725</x:v>
      </x:c>
      <x:c r="K15" s="19" t="n">
        <x:f>IF(ISNUMBER(J15),ABS(J15),"n.a.")</x:f>
        <x:v>0.036480669745299725</x:v>
      </x:c>
      <x:c r="L15" s="13" t="b">
        <x:v>1</x:v>
      </x:c>
      <x:c r="M15" s="13" t="b">
        <x:v>1</x:v>
      </x:c>
      <x:c r="N15" s="2" t="str">
        <x:v>qualified_source_frame_numeric_summary</x:v>
      </x:c>
      <x:c r="O15" s="2" t="str">
        <x:v>none</x:v>
      </x:c>
      <x:c r="P15" s="2" t="str">
        <x:v>nominal2020; Overture geometry2024-07-22.0; height support2018</x:v>
      </x:c>
      <x:c r="Q15" s="2" t="str">
        <x:v>Adjusted GADM4.1 boundaries; included Overture coverage unknown; China shortfall flagged; not a contemporaneous2020 census</x:v>
      </x:c>
      <x:c r="R15" s="2" t="str">
        <x:v>https://data.jrc.ec.europa.eu/dataset/f41a22f1-5741-4c41-86eb-6384654f6927</x:v>
      </x:c>
      <x:c r="S15" s="13" t="b">
        <x:v>0</x:v>
      </x:c>
      <x:c r="T15" s="13" t="b">
        <x:v>0</x:v>
      </x:c>
    </x:row>
    <x:row r="16" ht="23" customHeight="1">
      <x:c r="A16" s="2" t="str">
        <x:v>AUS</x:v>
      </x:c>
      <x:c r="B16" s="2" t="str">
        <x:v>Australia (Commonwealth of)</x:v>
      </x:c>
      <x:c r="C16" s="2" t="n">
        <x:v>2020</x:v>
      </x:c>
      <x:c r="D16" s="2" t="str">
        <x:v>OBAT_FOOTPRINT</x:v>
      </x:c>
      <x:c r="E16" s="2" t="str">
        <x:v>horizontal surface / footprint</x:v>
      </x:c>
      <x:c r="F16" s="2" t="str">
        <x:v>m2</x:v>
      </x:c>
      <x:c r="G16" s="17" t="n">
        <x:v>3011161094.86</x:v>
      </x:c>
      <x:c r="H16" s="17" t="n">
        <x:v>2877065317.91</x:v>
      </x:c>
      <x:c r="I16" s="17" t="n">
        <x:f>IF(AND(L16,ISNUMBER(G16),ISNUMBER(H16)),G16-H16,"n.a.")</x:f>
        <x:v>134095776.95000029</x:v>
      </x:c>
      <x:c r="J16" s="15" t="n">
        <x:f>IF(AND(L16,ISNUMBER(G16),ISNUMBER(H16),H16&gt;0),(G16-H16)/H16,"n.a.")</x:f>
        <x:v>0.04660852713883191</x:v>
      </x:c>
      <x:c r="K16" s="19" t="n">
        <x:f>IF(ISNUMBER(J16),ABS(J16),"n.a.")</x:f>
        <x:v>0.04660852713883191</x:v>
      </x:c>
      <x:c r="L16" s="13" t="b">
        <x:v>1</x:v>
      </x:c>
      <x:c r="M16" s="13" t="b">
        <x:v>1</x:v>
      </x:c>
      <x:c r="N16" s="2" t="str">
        <x:v>qualified_source_frame_numeric_summary</x:v>
      </x:c>
      <x:c r="O16" s="2" t="str">
        <x:v>none</x:v>
      </x:c>
      <x:c r="P16" s="2" t="str">
        <x:v>nominal2020; Overture geometry2024-07-22.0; height support2018</x:v>
      </x:c>
      <x:c r="Q16" s="2" t="str">
        <x:v>Adjusted GADM4.1 boundaries; included Overture coverage unknown; China shortfall flagged; not a contemporaneous2020 census</x:v>
      </x:c>
      <x:c r="R16" s="2" t="str">
        <x:v>https://data.jrc.ec.europa.eu/dataset/f41a22f1-5741-4c41-86eb-6384654f6927</x:v>
      </x:c>
      <x:c r="S16" s="13" t="b">
        <x:v>0</x:v>
      </x:c>
      <x:c r="T16" s="13" t="b">
        <x:v>0</x:v>
      </x:c>
    </x:row>
    <x:row r="17" ht="23" customHeight="1">
      <x:c r="A17" s="2" t="str">
        <x:v>AUT</x:v>
      </x:c>
      <x:c r="B17" s="2" t="str">
        <x:v>Austria (Republic of)</x:v>
      </x:c>
      <x:c r="C17" s="2" t="n">
        <x:v>2020</x:v>
      </x:c>
      <x:c r="D17" s="2" t="str">
        <x:v>OBAT_FOOTPRINT</x:v>
      </x:c>
      <x:c r="E17" s="2" t="str">
        <x:v>horizontal surface / footprint</x:v>
      </x:c>
      <x:c r="F17" s="2" t="str">
        <x:v>m2</x:v>
      </x:c>
      <x:c r="G17" s="17" t="n">
        <x:v>852795432.34</x:v>
      </x:c>
      <x:c r="H17" s="17" t="n">
        <x:v>911512150.83</x:v>
      </x:c>
      <x:c r="I17" s="17" t="n">
        <x:f>IF(AND(L17,ISNUMBER(G17),ISNUMBER(H17)),G17-H17,"n.a.")</x:f>
        <x:v>-58716718.49000001</x:v>
      </x:c>
      <x:c r="J17" s="15" t="n">
        <x:f>IF(AND(L17,ISNUMBER(G17),ISNUMBER(H17),H17&gt;0),(G17-H17)/H17,"n.a.")</x:f>
        <x:v>-0.06441682476370067</x:v>
      </x:c>
      <x:c r="K17" s="19" t="n">
        <x:f>IF(ISNUMBER(J17),ABS(J17),"n.a.")</x:f>
        <x:v>0.06441682476370067</x:v>
      </x:c>
      <x:c r="L17" s="13" t="b">
        <x:v>1</x:v>
      </x:c>
      <x:c r="M17" s="13" t="b">
        <x:v>1</x:v>
      </x:c>
      <x:c r="N17" s="2" t="str">
        <x:v>qualified_source_frame_numeric_summary</x:v>
      </x:c>
      <x:c r="O17" s="2" t="str">
        <x:v>none</x:v>
      </x:c>
      <x:c r="P17" s="2" t="str">
        <x:v>nominal2020; Overture geometry2024-07-22.0; height support2018</x:v>
      </x:c>
      <x:c r="Q17" s="2" t="str">
        <x:v>Adjusted GADM4.1 boundaries; included Overture coverage unknown; China shortfall flagged; not a contemporaneous2020 census</x:v>
      </x:c>
      <x:c r="R17" s="2" t="str">
        <x:v>https://data.jrc.ec.europa.eu/dataset/f41a22f1-5741-4c41-86eb-6384654f6927</x:v>
      </x:c>
      <x:c r="S17" s="13" t="b">
        <x:v>0</x:v>
      </x:c>
      <x:c r="T17" s="13" t="b">
        <x:v>0</x:v>
      </x:c>
    </x:row>
    <x:row r="18" ht="23" customHeight="1">
      <x:c r="A18" s="2" t="str">
        <x:v>AZE</x:v>
      </x:c>
      <x:c r="B18" s="2" t="str">
        <x:v>Azerbaijan (Republic of)</x:v>
      </x:c>
      <x:c r="C18" s="2" t="n">
        <x:v>2020</x:v>
      </x:c>
      <x:c r="D18" s="2" t="str">
        <x:v>OBAT_FOOTPRINT</x:v>
      </x:c>
      <x:c r="E18" s="2" t="str">
        <x:v>horizontal surface / footprint</x:v>
      </x:c>
      <x:c r="F18" s="2" t="str">
        <x:v>m2</x:v>
      </x:c>
      <x:c r="G18" s="17" t="n">
        <x:v>507953272.9</x:v>
      </x:c>
      <x:c r="H18" s="17" t="n">
        <x:v>353465417.84000003</x:v>
      </x:c>
      <x:c r="I18" s="17" t="n">
        <x:f>IF(AND(L18,ISNUMBER(G18),ISNUMBER(H18)),G18-H18,"n.a.")</x:f>
        <x:v>154487855.05999994</x:v>
      </x:c>
      <x:c r="J18" s="15" t="n">
        <x:f>IF(AND(L18,ISNUMBER(G18),ISNUMBER(H18),H18&gt;0),(G18-H18)/H18,"n.a.")</x:f>
        <x:v>0.43706639253159</x:v>
      </x:c>
      <x:c r="K18" s="19" t="n">
        <x:f>IF(ISNUMBER(J18),ABS(J18),"n.a.")</x:f>
        <x:v>0.43706639253159</x:v>
      </x:c>
      <x:c r="L18" s="13" t="b">
        <x:v>1</x:v>
      </x:c>
      <x:c r="M18" s="13" t="b">
        <x:v>1</x:v>
      </x:c>
      <x:c r="N18" s="2" t="str">
        <x:v>qualified_source_frame_numeric_summary</x:v>
      </x:c>
      <x:c r="O18" s="2" t="str">
        <x:v>none</x:v>
      </x:c>
      <x:c r="P18" s="2" t="str">
        <x:v>nominal2020; Overture geometry2024-07-22.0; height support2018</x:v>
      </x:c>
      <x:c r="Q18" s="2" t="str">
        <x:v>Adjusted GADM4.1 boundaries; included Overture coverage unknown; China shortfall flagged; not a contemporaneous2020 census</x:v>
      </x:c>
      <x:c r="R18" s="2" t="str">
        <x:v>https://data.jrc.ec.europa.eu/dataset/f41a22f1-5741-4c41-86eb-6384654f6927</x:v>
      </x:c>
      <x:c r="S18" s="13" t="b">
        <x:v>0</x:v>
      </x:c>
      <x:c r="T18" s="13" t="b">
        <x:v>0</x:v>
      </x:c>
    </x:row>
    <x:row r="19" ht="23" customHeight="1">
      <x:c r="A19" s="2" t="str">
        <x:v>BDI</x:v>
      </x:c>
      <x:c r="B19" s="2" t="str">
        <x:v>Burundi (Republic of)</x:v>
      </x:c>
      <x:c r="C19" s="2" t="n">
        <x:v>2020</x:v>
      </x:c>
      <x:c r="D19" s="2" t="str">
        <x:v>OBAT_FOOTPRINT</x:v>
      </x:c>
      <x:c r="E19" s="2" t="str">
        <x:v>horizontal surface / footprint</x:v>
      </x:c>
      <x:c r="F19" s="2" t="str">
        <x:v>m2</x:v>
      </x:c>
      <x:c r="G19" s="17" t="n">
        <x:v>147710691.61</x:v>
      </x:c>
      <x:c r="H19" s="17" t="n">
        <x:v>193035643.06</x:v>
      </x:c>
      <x:c r="I19" s="17" t="n">
        <x:f>IF(AND(L19,ISNUMBER(G19),ISNUMBER(H19)),G19-H19,"n.a.")</x:f>
        <x:v>-45324951.44999999</x:v>
      </x:c>
      <x:c r="J19" s="15" t="n">
        <x:f>IF(AND(L19,ISNUMBER(G19),ISNUMBER(H19),H19&gt;0),(G19-H19)/H19,"n.a.")</x:f>
        <x:v>-0.23480094521151168</x:v>
      </x:c>
      <x:c r="K19" s="19" t="n">
        <x:f>IF(ISNUMBER(J19),ABS(J19),"n.a.")</x:f>
        <x:v>0.23480094521151168</x:v>
      </x:c>
      <x:c r="L19" s="13" t="b">
        <x:v>1</x:v>
      </x:c>
      <x:c r="M19" s="13" t="b">
        <x:v>1</x:v>
      </x:c>
      <x:c r="N19" s="2" t="str">
        <x:v>qualified_source_frame_numeric_summary</x:v>
      </x:c>
      <x:c r="O19" s="2" t="str">
        <x:v>none</x:v>
      </x:c>
      <x:c r="P19" s="2" t="str">
        <x:v>nominal2020; Overture geometry2024-07-22.0; height support2018</x:v>
      </x:c>
      <x:c r="Q19" s="2" t="str">
        <x:v>Adjusted GADM4.1 boundaries; included Overture coverage unknown; China shortfall flagged; not a contemporaneous2020 census</x:v>
      </x:c>
      <x:c r="R19" s="2" t="str">
        <x:v>https://data.jrc.ec.europa.eu/dataset/f41a22f1-5741-4c41-86eb-6384654f6927</x:v>
      </x:c>
      <x:c r="S19" s="13" t="b">
        <x:v>0</x:v>
      </x:c>
      <x:c r="T19" s="13" t="b">
        <x:v>0</x:v>
      </x:c>
    </x:row>
    <x:row r="20" ht="23" customHeight="1">
      <x:c r="A20" s="2" t="str">
        <x:v>BEL</x:v>
      </x:c>
      <x:c r="B20" s="2" t="str">
        <x:v>Belgium (Kingdom of)</x:v>
      </x:c>
      <x:c r="C20" s="2" t="n">
        <x:v>2020</x:v>
      </x:c>
      <x:c r="D20" s="2" t="str">
        <x:v>OBAT_FOOTPRINT</x:v>
      </x:c>
      <x:c r="E20" s="2" t="str">
        <x:v>horizontal surface / footprint</x:v>
      </x:c>
      <x:c r="F20" s="2" t="str">
        <x:v>m2</x:v>
      </x:c>
      <x:c r="G20" s="17" t="n">
        <x:v>997505427.36</x:v>
      </x:c>
      <x:c r="H20" s="17" t="n">
        <x:v>1082544535.34</x:v>
      </x:c>
      <x:c r="I20" s="17" t="n">
        <x:f>IF(AND(L20,ISNUMBER(G20),ISNUMBER(H20)),G20-H20,"n.a.")</x:f>
        <x:v>-85039107.9799999</x:v>
      </x:c>
      <x:c r="J20" s="15" t="n">
        <x:f>IF(AND(L20,ISNUMBER(G20),ISNUMBER(H20),H20&gt;0),(G20-H20)/H20,"n.a.")</x:f>
        <x:v>-0.07855483557846538</x:v>
      </x:c>
      <x:c r="K20" s="19" t="n">
        <x:f>IF(ISNUMBER(J20),ABS(J20),"n.a.")</x:f>
        <x:v>0.07855483557846538</x:v>
      </x:c>
      <x:c r="L20" s="13" t="b">
        <x:v>1</x:v>
      </x:c>
      <x:c r="M20" s="13" t="b">
        <x:v>1</x:v>
      </x:c>
      <x:c r="N20" s="2" t="str">
        <x:v>qualified_source_frame_numeric_summary</x:v>
      </x:c>
      <x:c r="O20" s="2" t="str">
        <x:v>none</x:v>
      </x:c>
      <x:c r="P20" s="2" t="str">
        <x:v>nominal2020; Overture geometry2024-07-22.0; height support2018</x:v>
      </x:c>
      <x:c r="Q20" s="2" t="str">
        <x:v>Adjusted GADM4.1 boundaries; included Overture coverage unknown; China shortfall flagged; not a contemporaneous2020 census</x:v>
      </x:c>
      <x:c r="R20" s="2" t="str">
        <x:v>https://data.jrc.ec.europa.eu/dataset/f41a22f1-5741-4c41-86eb-6384654f6927</x:v>
      </x:c>
      <x:c r="S20" s="13" t="b">
        <x:v>0</x:v>
      </x:c>
      <x:c r="T20" s="13" t="b">
        <x:v>0</x:v>
      </x:c>
    </x:row>
    <x:row r="21" ht="23" customHeight="1">
      <x:c r="A21" s="2" t="str">
        <x:v>BEN</x:v>
      </x:c>
      <x:c r="B21" s="2" t="str">
        <x:v>Benin (Republic of)</x:v>
      </x:c>
      <x:c r="C21" s="2" t="n">
        <x:v>2020</x:v>
      </x:c>
      <x:c r="D21" s="2" t="str">
        <x:v>OBAT_FOOTPRINT</x:v>
      </x:c>
      <x:c r="E21" s="2" t="str">
        <x:v>horizontal surface / footprint</x:v>
      </x:c>
      <x:c r="F21" s="2" t="str">
        <x:v>m2</x:v>
      </x:c>
      <x:c r="G21" s="17" t="n">
        <x:v>302038367.25</x:v>
      </x:c>
      <x:c r="H21" s="17" t="n">
        <x:v>341675074.37</x:v>
      </x:c>
      <x:c r="I21" s="17" t="n">
        <x:f>IF(AND(L21,ISNUMBER(G21),ISNUMBER(H21)),G21-H21,"n.a.")</x:f>
        <x:v>-39636707.120000005</x:v>
      </x:c>
      <x:c r="J21" s="15" t="n">
        <x:f>IF(AND(L21,ISNUMBER(G21),ISNUMBER(H21),H21&gt;0),(G21-H21)/H21,"n.a.")</x:f>
        <x:v>-0.11600701980700356</x:v>
      </x:c>
      <x:c r="K21" s="19" t="n">
        <x:f>IF(ISNUMBER(J21),ABS(J21),"n.a.")</x:f>
        <x:v>0.11600701980700356</x:v>
      </x:c>
      <x:c r="L21" s="13" t="b">
        <x:v>1</x:v>
      </x:c>
      <x:c r="M21" s="13" t="b">
        <x:v>1</x:v>
      </x:c>
      <x:c r="N21" s="2" t="str">
        <x:v>qualified_source_frame_numeric_summary</x:v>
      </x:c>
      <x:c r="O21" s="2" t="str">
        <x:v>none</x:v>
      </x:c>
      <x:c r="P21" s="2" t="str">
        <x:v>nominal2020; Overture geometry2024-07-22.0; height support2018</x:v>
      </x:c>
      <x:c r="Q21" s="2" t="str">
        <x:v>Adjusted GADM4.1 boundaries; included Overture coverage unknown; China shortfall flagged; not a contemporaneous2020 census</x:v>
      </x:c>
      <x:c r="R21" s="2" t="str">
        <x:v>https://data.jrc.ec.europa.eu/dataset/f41a22f1-5741-4c41-86eb-6384654f6927</x:v>
      </x:c>
      <x:c r="S21" s="13" t="b">
        <x:v>0</x:v>
      </x:c>
      <x:c r="T21" s="13" t="b">
        <x:v>0</x:v>
      </x:c>
    </x:row>
    <x:row r="22" ht="23" customHeight="1">
      <x:c r="A22" s="2" t="str">
        <x:v>BFA</x:v>
      </x:c>
      <x:c r="B22" s="2" t="str">
        <x:v>Burkina Faso</x:v>
      </x:c>
      <x:c r="C22" s="2" t="n">
        <x:v>2020</x:v>
      </x:c>
      <x:c r="D22" s="2" t="str">
        <x:v>OBAT_FOOTPRINT</x:v>
      </x:c>
      <x:c r="E22" s="2" t="str">
        <x:v>horizontal surface / footprint</x:v>
      </x:c>
      <x:c r="F22" s="2" t="str">
        <x:v>m2</x:v>
      </x:c>
      <x:c r="G22" s="17" t="n">
        <x:v>359180891.35</x:v>
      </x:c>
      <x:c r="H22" s="17" t="n">
        <x:v>451666498.35999995</x:v>
      </x:c>
      <x:c r="I22" s="17" t="n">
        <x:f>IF(AND(L22,ISNUMBER(G22),ISNUMBER(H22)),G22-H22,"n.a.")</x:f>
        <x:v>-92485607.00999993</x:v>
      </x:c>
      <x:c r="J22" s="15" t="n">
        <x:f>IF(AND(L22,ISNUMBER(G22),ISNUMBER(H22),H22&gt;0),(G22-H22)/H22,"n.a.")</x:f>
        <x:v>-0.20476525787459324</x:v>
      </x:c>
      <x:c r="K22" s="19" t="n">
        <x:f>IF(ISNUMBER(J22),ABS(J22),"n.a.")</x:f>
        <x:v>0.20476525787459324</x:v>
      </x:c>
      <x:c r="L22" s="13" t="b">
        <x:v>1</x:v>
      </x:c>
      <x:c r="M22" s="13" t="b">
        <x:v>1</x:v>
      </x:c>
      <x:c r="N22" s="2" t="str">
        <x:v>qualified_source_frame_numeric_summary</x:v>
      </x:c>
      <x:c r="O22" s="2" t="str">
        <x:v>none</x:v>
      </x:c>
      <x:c r="P22" s="2" t="str">
        <x:v>nominal2020; Overture geometry2024-07-22.0; height support2018</x:v>
      </x:c>
      <x:c r="Q22" s="2" t="str">
        <x:v>Adjusted GADM4.1 boundaries; included Overture coverage unknown; China shortfall flagged; not a contemporaneous2020 census</x:v>
      </x:c>
      <x:c r="R22" s="2" t="str">
        <x:v>https://data.jrc.ec.europa.eu/dataset/f41a22f1-5741-4c41-86eb-6384654f6927</x:v>
      </x:c>
      <x:c r="S22" s="13" t="b">
        <x:v>0</x:v>
      </x:c>
      <x:c r="T22" s="13" t="b">
        <x:v>0</x:v>
      </x:c>
    </x:row>
    <x:row r="23" ht="23" customHeight="1">
      <x:c r="A23" s="2" t="str">
        <x:v>BGD</x:v>
      </x:c>
      <x:c r="B23" s="2" t="str">
        <x:v>Bangladesh (People's Republic of)</x:v>
      </x:c>
      <x:c r="C23" s="2" t="n">
        <x:v>2020</x:v>
      </x:c>
      <x:c r="D23" s="2" t="str">
        <x:v>OBAT_FOOTPRINT</x:v>
      </x:c>
      <x:c r="E23" s="2" t="str">
        <x:v>horizontal surface / footprint</x:v>
      </x:c>
      <x:c r="F23" s="2" t="str">
        <x:v>m2</x:v>
      </x:c>
      <x:c r="G23" s="17" t="n">
        <x:v>2430930564.55</x:v>
      </x:c>
      <x:c r="H23" s="17" t="n">
        <x:v>2513003737.33</x:v>
      </x:c>
      <x:c r="I23" s="17" t="n">
        <x:f>IF(AND(L23,ISNUMBER(G23),ISNUMBER(H23)),G23-H23,"n.a.")</x:f>
        <x:v>-82073172.77999973</x:v>
      </x:c>
      <x:c r="J23" s="15" t="n">
        <x:f>IF(AND(L23,ISNUMBER(G23),ISNUMBER(H23),H23&gt;0),(G23-H23)/H23,"n.a.")</x:f>
        <x:v>-0.03265939145287556</x:v>
      </x:c>
      <x:c r="K23" s="19" t="n">
        <x:f>IF(ISNUMBER(J23),ABS(J23),"n.a.")</x:f>
        <x:v>0.03265939145287556</x:v>
      </x:c>
      <x:c r="L23" s="13" t="b">
        <x:v>1</x:v>
      </x:c>
      <x:c r="M23" s="13" t="b">
        <x:v>1</x:v>
      </x:c>
      <x:c r="N23" s="2" t="str">
        <x:v>qualified_source_frame_numeric_summary</x:v>
      </x:c>
      <x:c r="O23" s="2" t="str">
        <x:v>none</x:v>
      </x:c>
      <x:c r="P23" s="2" t="str">
        <x:v>nominal2020; Overture geometry2024-07-22.0; height support2018</x:v>
      </x:c>
      <x:c r="Q23" s="2" t="str">
        <x:v>Adjusted GADM4.1 boundaries; included Overture coverage unknown; China shortfall flagged; not a contemporaneous2020 census</x:v>
      </x:c>
      <x:c r="R23" s="2" t="str">
        <x:v>https://data.jrc.ec.europa.eu/dataset/f41a22f1-5741-4c41-86eb-6384654f6927</x:v>
      </x:c>
      <x:c r="S23" s="13" t="b">
        <x:v>0</x:v>
      </x:c>
      <x:c r="T23" s="13" t="b">
        <x:v>0</x:v>
      </x:c>
    </x:row>
    <x:row r="24" ht="23" customHeight="1">
      <x:c r="A24" s="2" t="str">
        <x:v>BGR</x:v>
      </x:c>
      <x:c r="B24" s="2" t="str">
        <x:v>Bulgaria (Republic of)</x:v>
      </x:c>
      <x:c r="C24" s="2" t="n">
        <x:v>2020</x:v>
      </x:c>
      <x:c r="D24" s="2" t="str">
        <x:v>OBAT_FOOTPRINT</x:v>
      </x:c>
      <x:c r="E24" s="2" t="str">
        <x:v>horizontal surface / footprint</x:v>
      </x:c>
      <x:c r="F24" s="2" t="str">
        <x:v>m2</x:v>
      </x:c>
      <x:c r="G24" s="17" t="n">
        <x:v>543020803.57</x:v>
      </x:c>
      <x:c r="H24" s="17" t="n">
        <x:v>535975198.95</x:v>
      </x:c>
      <x:c r="I24" s="17" t="n">
        <x:f>IF(AND(L24,ISNUMBER(G24),ISNUMBER(H24)),G24-H24,"n.a.")</x:f>
        <x:v>7045604.620000064</x:v>
      </x:c>
      <x:c r="J24" s="15" t="n">
        <x:f>IF(AND(L24,ISNUMBER(G24),ISNUMBER(H24),H24&gt;0),(G24-H24)/H24,"n.a.")</x:f>
        <x:v>0.013145392984232717</x:v>
      </x:c>
      <x:c r="K24" s="19" t="n">
        <x:f>IF(ISNUMBER(J24),ABS(J24),"n.a.")</x:f>
        <x:v>0.013145392984232717</x:v>
      </x:c>
      <x:c r="L24" s="13" t="b">
        <x:v>1</x:v>
      </x:c>
      <x:c r="M24" s="13" t="b">
        <x:v>1</x:v>
      </x:c>
      <x:c r="N24" s="2" t="str">
        <x:v>qualified_source_frame_numeric_summary</x:v>
      </x:c>
      <x:c r="O24" s="2" t="str">
        <x:v>none</x:v>
      </x:c>
      <x:c r="P24" s="2" t="str">
        <x:v>nominal2020; Overture geometry2024-07-22.0; height support2018</x:v>
      </x:c>
      <x:c r="Q24" s="2" t="str">
        <x:v>Adjusted GADM4.1 boundaries; included Overture coverage unknown; China shortfall flagged; not a contemporaneous2020 census</x:v>
      </x:c>
      <x:c r="R24" s="2" t="str">
        <x:v>https://data.jrc.ec.europa.eu/dataset/f41a22f1-5741-4c41-86eb-6384654f6927</x:v>
      </x:c>
      <x:c r="S24" s="13" t="b">
        <x:v>0</x:v>
      </x:c>
      <x:c r="T24" s="13" t="b">
        <x:v>0</x:v>
      </x:c>
    </x:row>
    <x:row r="25" ht="23" customHeight="1">
      <x:c r="A25" s="2" t="str">
        <x:v>BHR</x:v>
      </x:c>
      <x:c r="B25" s="2" t="str">
        <x:v>Bahrain (Kingdom of)</x:v>
      </x:c>
      <x:c r="C25" s="2" t="n">
        <x:v>2020</x:v>
      </x:c>
      <x:c r="D25" s="2" t="str">
        <x:v>OBAT_FOOTPRINT</x:v>
      </x:c>
      <x:c r="E25" s="2" t="str">
        <x:v>horizontal surface / footprint</x:v>
      </x:c>
      <x:c r="F25" s="2" t="str">
        <x:v>m2</x:v>
      </x:c>
      <x:c r="G25" s="17" t="n">
        <x:v>54723363.17</x:v>
      </x:c>
      <x:c r="H25" s="17" t="n">
        <x:v>57961353.82</x:v>
      </x:c>
      <x:c r="I25" s="17" t="n">
        <x:f>IF(AND(L25,ISNUMBER(G25),ISNUMBER(H25)),G25-H25,"n.a.")</x:f>
        <x:v>-3237990.6499999985</x:v>
      </x:c>
      <x:c r="J25" s="15" t="n">
        <x:f>IF(AND(L25,ISNUMBER(G25),ISNUMBER(H25),H25&gt;0),(G25-H25)/H25,"n.a.")</x:f>
        <x:v>-0.055864648366489765</x:v>
      </x:c>
      <x:c r="K25" s="19" t="n">
        <x:f>IF(ISNUMBER(J25),ABS(J25),"n.a.")</x:f>
        <x:v>0.055864648366489765</x:v>
      </x:c>
      <x:c r="L25" s="13" t="b">
        <x:v>1</x:v>
      </x:c>
      <x:c r="M25" s="13" t="b">
        <x:v>1</x:v>
      </x:c>
      <x:c r="N25" s="2" t="str">
        <x:v>qualified_source_frame_numeric_summary</x:v>
      </x:c>
      <x:c r="O25" s="2" t="str">
        <x:v>none</x:v>
      </x:c>
      <x:c r="P25" s="2" t="str">
        <x:v>nominal2020; Overture geometry2024-07-22.0; height support2018</x:v>
      </x:c>
      <x:c r="Q25" s="2" t="str">
        <x:v>Adjusted GADM4.1 boundaries; included Overture coverage unknown; China shortfall flagged; not a contemporaneous2020 census</x:v>
      </x:c>
      <x:c r="R25" s="2" t="str">
        <x:v>https://data.jrc.ec.europa.eu/dataset/f41a22f1-5741-4c41-86eb-6384654f6927</x:v>
      </x:c>
      <x:c r="S25" s="13" t="b">
        <x:v>0</x:v>
      </x:c>
      <x:c r="T25" s="13" t="b">
        <x:v>0</x:v>
      </x:c>
    </x:row>
    <x:row r="26" ht="23" customHeight="1">
      <x:c r="A26" s="2" t="str">
        <x:v>BHS</x:v>
      </x:c>
      <x:c r="B26" s="2" t="str">
        <x:v>Bahamas (Commonwealth of the)</x:v>
      </x:c>
      <x:c r="C26" s="2" t="n">
        <x:v>2020</x:v>
      </x:c>
      <x:c r="D26" s="2" t="str">
        <x:v>OBAT_FOOTPRINT</x:v>
      </x:c>
      <x:c r="E26" s="2" t="str">
        <x:v>horizontal surface / footprint</x:v>
      </x:c>
      <x:c r="F26" s="2" t="str">
        <x:v>m2</x:v>
      </x:c>
      <x:c r="G26" s="17" t="n">
        <x:v>29184660.45</x:v>
      </x:c>
      <x:c r="H26" s="17" t="n">
        <x:v>30700453.77</x:v>
      </x:c>
      <x:c r="I26" s="17" t="n">
        <x:f>IF(AND(L26,ISNUMBER(G26),ISNUMBER(H26)),G26-H26,"n.a.")</x:f>
        <x:v>-1515793.3200000003</x:v>
      </x:c>
      <x:c r="J26" s="15" t="n">
        <x:f>IF(AND(L26,ISNUMBER(G26),ISNUMBER(H26),H26&gt;0),(G26-H26)/H26,"n.a.")</x:f>
        <x:v>-0.04937364546322145</x:v>
      </x:c>
      <x:c r="K26" s="19" t="n">
        <x:f>IF(ISNUMBER(J26),ABS(J26),"n.a.")</x:f>
        <x:v>0.04937364546322145</x:v>
      </x:c>
      <x:c r="L26" s="13" t="b">
        <x:v>1</x:v>
      </x:c>
      <x:c r="M26" s="13" t="b">
        <x:v>1</x:v>
      </x:c>
      <x:c r="N26" s="2" t="str">
        <x:v>qualified_source_frame_numeric_summary</x:v>
      </x:c>
      <x:c r="O26" s="2" t="str">
        <x:v>none</x:v>
      </x:c>
      <x:c r="P26" s="2" t="str">
        <x:v>nominal2020; Overture geometry2024-07-22.0; height support2018</x:v>
      </x:c>
      <x:c r="Q26" s="2" t="str">
        <x:v>Adjusted GADM4.1 boundaries; included Overture coverage unknown; China shortfall flagged; not a contemporaneous2020 census</x:v>
      </x:c>
      <x:c r="R26" s="2" t="str">
        <x:v>https://data.jrc.ec.europa.eu/dataset/f41a22f1-5741-4c41-86eb-6384654f6927</x:v>
      </x:c>
      <x:c r="S26" s="13" t="b">
        <x:v>0</x:v>
      </x:c>
      <x:c r="T26" s="13" t="b">
        <x:v>0</x:v>
      </x:c>
    </x:row>
    <x:row r="27" ht="23" customHeight="1">
      <x:c r="A27" s="2" t="str">
        <x:v>BIH</x:v>
      </x:c>
      <x:c r="B27" s="2" t="str">
        <x:v>Bosnia and Herzegovina</x:v>
      </x:c>
      <x:c r="C27" s="2" t="n">
        <x:v>2020</x:v>
      </x:c>
      <x:c r="D27" s="2" t="str">
        <x:v>OBAT_FOOTPRINT</x:v>
      </x:c>
      <x:c r="E27" s="2" t="str">
        <x:v>horizontal surface / footprint</x:v>
      </x:c>
      <x:c r="F27" s="2" t="str">
        <x:v>m2</x:v>
      </x:c>
      <x:c r="G27" s="17" t="n">
        <x:v>247114206.72</x:v>
      </x:c>
      <x:c r="H27" s="17" t="n">
        <x:v>248402223.67999998</x:v>
      </x:c>
      <x:c r="I27" s="17" t="n">
        <x:f>IF(AND(L27,ISNUMBER(G27),ISNUMBER(H27)),G27-H27,"n.a.")</x:f>
        <x:v>-1288016.9599999785</x:v>
      </x:c>
      <x:c r="J27" s="15" t="n">
        <x:f>IF(AND(L27,ISNUMBER(G27),ISNUMBER(H27),H27&gt;0),(G27-H27)/H27,"n.a.")</x:f>
        <x:v>-0.005185207044117467</x:v>
      </x:c>
      <x:c r="K27" s="19" t="n">
        <x:f>IF(ISNUMBER(J27),ABS(J27),"n.a.")</x:f>
        <x:v>0.005185207044117467</x:v>
      </x:c>
      <x:c r="L27" s="13" t="b">
        <x:v>1</x:v>
      </x:c>
      <x:c r="M27" s="13" t="b">
        <x:v>1</x:v>
      </x:c>
      <x:c r="N27" s="2" t="str">
        <x:v>qualified_source_frame_numeric_summary</x:v>
      </x:c>
      <x:c r="O27" s="2" t="str">
        <x:v>none</x:v>
      </x:c>
      <x:c r="P27" s="2" t="str">
        <x:v>nominal2020; Overture geometry2024-07-22.0; height support2018</x:v>
      </x:c>
      <x:c r="Q27" s="2" t="str">
        <x:v>Adjusted GADM4.1 boundaries; included Overture coverage unknown; China shortfall flagged; not a contemporaneous2020 census</x:v>
      </x:c>
      <x:c r="R27" s="2" t="str">
        <x:v>https://data.jrc.ec.europa.eu/dataset/f41a22f1-5741-4c41-86eb-6384654f6927</x:v>
      </x:c>
      <x:c r="S27" s="13" t="b">
        <x:v>0</x:v>
      </x:c>
      <x:c r="T27" s="13" t="b">
        <x:v>0</x:v>
      </x:c>
    </x:row>
    <x:row r="28" ht="23" customHeight="1">
      <x:c r="A28" s="2" t="str">
        <x:v>BLR</x:v>
      </x:c>
      <x:c r="B28" s="2" t="str">
        <x:v>Belarus (Republic of)</x:v>
      </x:c>
      <x:c r="C28" s="2" t="n">
        <x:v>2020</x:v>
      </x:c>
      <x:c r="D28" s="2" t="str">
        <x:v>OBAT_FOOTPRINT</x:v>
      </x:c>
      <x:c r="E28" s="2" t="str">
        <x:v>horizontal surface / footprint</x:v>
      </x:c>
      <x:c r="F28" s="2" t="str">
        <x:v>m2</x:v>
      </x:c>
      <x:c r="G28" s="17" t="n">
        <x:v>672205246.44</x:v>
      </x:c>
      <x:c r="H28" s="17" t="n">
        <x:v>764587436.64</x:v>
      </x:c>
      <x:c r="I28" s="17" t="n">
        <x:f>IF(AND(L28,ISNUMBER(G28),ISNUMBER(H28)),G28-H28,"n.a.")</x:f>
        <x:v>-92382190.19999993</x:v>
      </x:c>
      <x:c r="J28" s="15" t="n">
        <x:f>IF(AND(L28,ISNUMBER(G28),ISNUMBER(H28),H28&gt;0),(G28-H28)/H28,"n.a.")</x:f>
        <x:v>-0.1208261943277226</x:v>
      </x:c>
      <x:c r="K28" s="19" t="n">
        <x:f>IF(ISNUMBER(J28),ABS(J28),"n.a.")</x:f>
        <x:v>0.1208261943277226</x:v>
      </x:c>
      <x:c r="L28" s="13" t="b">
        <x:v>1</x:v>
      </x:c>
      <x:c r="M28" s="13" t="b">
        <x:v>1</x:v>
      </x:c>
      <x:c r="N28" s="2" t="str">
        <x:v>qualified_source_frame_numeric_summary</x:v>
      </x:c>
      <x:c r="O28" s="2" t="str">
        <x:v>none</x:v>
      </x:c>
      <x:c r="P28" s="2" t="str">
        <x:v>nominal2020; Overture geometry2024-07-22.0; height support2018</x:v>
      </x:c>
      <x:c r="Q28" s="2" t="str">
        <x:v>Adjusted GADM4.1 boundaries; included Overture coverage unknown; China shortfall flagged; not a contemporaneous2020 census</x:v>
      </x:c>
      <x:c r="R28" s="2" t="str">
        <x:v>https://data.jrc.ec.europa.eu/dataset/f41a22f1-5741-4c41-86eb-6384654f6927</x:v>
      </x:c>
      <x:c r="S28" s="13" t="b">
        <x:v>0</x:v>
      </x:c>
      <x:c r="T28" s="13" t="b">
        <x:v>0</x:v>
      </x:c>
    </x:row>
    <x:row r="29" ht="23" customHeight="1">
      <x:c r="A29" s="2" t="str">
        <x:v>BLZ</x:v>
      </x:c>
      <x:c r="B29" s="2" t="str">
        <x:v>Belize</x:v>
      </x:c>
      <x:c r="C29" s="2" t="n">
        <x:v>2020</x:v>
      </x:c>
      <x:c r="D29" s="2" t="str">
        <x:v>OBAT_FOOTPRINT</x:v>
      </x:c>
      <x:c r="E29" s="2" t="str">
        <x:v>horizontal surface / footprint</x:v>
      </x:c>
      <x:c r="F29" s="2" t="str">
        <x:v>m2</x:v>
      </x:c>
      <x:c r="G29" s="17" t="n">
        <x:v>21867714.34</x:v>
      </x:c>
      <x:c r="H29" s="17" t="n">
        <x:v>23691614.34</x:v>
      </x:c>
      <x:c r="I29" s="17" t="n">
        <x:f>IF(AND(L29,ISNUMBER(G29),ISNUMBER(H29)),G29-H29,"n.a.")</x:f>
        <x:v>-1823900</x:v>
      </x:c>
      <x:c r="J29" s="15" t="n">
        <x:f>IF(AND(L29,ISNUMBER(G29),ISNUMBER(H29),H29&gt;0),(G29-H29)/H29,"n.a.")</x:f>
        <x:v>-0.0769850451651409</x:v>
      </x:c>
      <x:c r="K29" s="19" t="n">
        <x:f>IF(ISNUMBER(J29),ABS(J29),"n.a.")</x:f>
        <x:v>0.0769850451651409</x:v>
      </x:c>
      <x:c r="L29" s="13" t="b">
        <x:v>1</x:v>
      </x:c>
      <x:c r="M29" s="13" t="b">
        <x:v>1</x:v>
      </x:c>
      <x:c r="N29" s="2" t="str">
        <x:v>qualified_source_frame_numeric_summary</x:v>
      </x:c>
      <x:c r="O29" s="2" t="str">
        <x:v>none</x:v>
      </x:c>
      <x:c r="P29" s="2" t="str">
        <x:v>nominal2020; Overture geometry2024-07-22.0; height support2018</x:v>
      </x:c>
      <x:c r="Q29" s="2" t="str">
        <x:v>Adjusted GADM4.1 boundaries; included Overture coverage unknown; China shortfall flagged; not a contemporaneous2020 census</x:v>
      </x:c>
      <x:c r="R29" s="2" t="str">
        <x:v>https://data.jrc.ec.europa.eu/dataset/f41a22f1-5741-4c41-86eb-6384654f6927</x:v>
      </x:c>
      <x:c r="S29" s="13" t="b">
        <x:v>0</x:v>
      </x:c>
      <x:c r="T29" s="13" t="b">
        <x:v>0</x:v>
      </x:c>
    </x:row>
    <x:row r="30" ht="23" customHeight="1">
      <x:c r="A30" s="2" t="str">
        <x:v>BOL</x:v>
      </x:c>
      <x:c r="B30" s="2" t="str">
        <x:v>Bolivia (Plurinational State of)</x:v>
      </x:c>
      <x:c r="C30" s="2" t="n">
        <x:v>2020</x:v>
      </x:c>
      <x:c r="D30" s="2" t="str">
        <x:v>OBAT_FOOTPRINT</x:v>
      </x:c>
      <x:c r="E30" s="2" t="str">
        <x:v>horizontal surface / footprint</x:v>
      </x:c>
      <x:c r="F30" s="2" t="str">
        <x:v>m2</x:v>
      </x:c>
      <x:c r="G30" s="17" t="n">
        <x:v>496419008.94</x:v>
      </x:c>
      <x:c r="H30" s="17" t="n">
        <x:v>532487039.15999997</x:v>
      </x:c>
      <x:c r="I30" s="17" t="n">
        <x:f>IF(AND(L30,ISNUMBER(G30),ISNUMBER(H30)),G30-H30,"n.a.")</x:f>
        <x:v>-36068030.21999997</x:v>
      </x:c>
      <x:c r="J30" s="15" t="n">
        <x:f>IF(AND(L30,ISNUMBER(G30),ISNUMBER(H30),H30&gt;0),(G30-H30)/H30,"n.a.")</x:f>
        <x:v>-0.06773503872863723</x:v>
      </x:c>
      <x:c r="K30" s="19" t="n">
        <x:f>IF(ISNUMBER(J30),ABS(J30),"n.a.")</x:f>
        <x:v>0.06773503872863723</x:v>
      </x:c>
      <x:c r="L30" s="13" t="b">
        <x:v>1</x:v>
      </x:c>
      <x:c r="M30" s="13" t="b">
        <x:v>1</x:v>
      </x:c>
      <x:c r="N30" s="2" t="str">
        <x:v>qualified_source_frame_numeric_summary</x:v>
      </x:c>
      <x:c r="O30" s="2" t="str">
        <x:v>none</x:v>
      </x:c>
      <x:c r="P30" s="2" t="str">
        <x:v>nominal2020; Overture geometry2024-07-22.0; height support2018</x:v>
      </x:c>
      <x:c r="Q30" s="2" t="str">
        <x:v>Adjusted GADM4.1 boundaries; included Overture coverage unknown; China shortfall flagged; not a contemporaneous2020 census</x:v>
      </x:c>
      <x:c r="R30" s="2" t="str">
        <x:v>https://data.jrc.ec.europa.eu/dataset/f41a22f1-5741-4c41-86eb-6384654f6927</x:v>
      </x:c>
      <x:c r="S30" s="13" t="b">
        <x:v>0</x:v>
      </x:c>
      <x:c r="T30" s="13" t="b">
        <x:v>0</x:v>
      </x:c>
    </x:row>
    <x:row r="31" ht="23" customHeight="1">
      <x:c r="A31" s="2" t="str">
        <x:v>BRA</x:v>
      </x:c>
      <x:c r="B31" s="2" t="str">
        <x:v>Brazil (Federative Republic of)</x:v>
      </x:c>
      <x:c r="C31" s="2" t="n">
        <x:v>2020</x:v>
      </x:c>
      <x:c r="D31" s="2" t="str">
        <x:v>OBAT_FOOTPRINT</x:v>
      </x:c>
      <x:c r="E31" s="2" t="str">
        <x:v>horizontal surface / footprint</x:v>
      </x:c>
      <x:c r="F31" s="2" t="str">
        <x:v>m2</x:v>
      </x:c>
      <x:c r="G31" s="17" t="n">
        <x:v>12112839681.86</x:v>
      </x:c>
      <x:c r="H31" s="17" t="n">
        <x:v>12423502461.85</x:v>
      </x:c>
      <x:c r="I31" s="17" t="n">
        <x:f>IF(AND(L31,ISNUMBER(G31),ISNUMBER(H31)),G31-H31,"n.a.")</x:f>
        <x:v>-310662779.9899998</x:v>
      </x:c>
      <x:c r="J31" s="15" t="n">
        <x:f>IF(AND(L31,ISNUMBER(G31),ISNUMBER(H31),H31&gt;0),(G31-H31)/H31,"n.a.")</x:f>
        <x:v>-0.02500605452801903</x:v>
      </x:c>
      <x:c r="K31" s="19" t="n">
        <x:f>IF(ISNUMBER(J31),ABS(J31),"n.a.")</x:f>
        <x:v>0.02500605452801903</x:v>
      </x:c>
      <x:c r="L31" s="13" t="b">
        <x:v>1</x:v>
      </x:c>
      <x:c r="M31" s="13" t="b">
        <x:v>1</x:v>
      </x:c>
      <x:c r="N31" s="2" t="str">
        <x:v>qualified_source_frame_numeric_summary</x:v>
      </x:c>
      <x:c r="O31" s="2" t="str">
        <x:v>none</x:v>
      </x:c>
      <x:c r="P31" s="2" t="str">
        <x:v>nominal2020; Overture geometry2024-07-22.0; height support2018</x:v>
      </x:c>
      <x:c r="Q31" s="2" t="str">
        <x:v>Adjusted GADM4.1 boundaries; included Overture coverage unknown; China shortfall flagged; not a contemporaneous2020 census</x:v>
      </x:c>
      <x:c r="R31" s="2" t="str">
        <x:v>https://data.jrc.ec.europa.eu/dataset/f41a22f1-5741-4c41-86eb-6384654f6927</x:v>
      </x:c>
      <x:c r="S31" s="13" t="b">
        <x:v>0</x:v>
      </x:c>
      <x:c r="T31" s="13" t="b">
        <x:v>0</x:v>
      </x:c>
    </x:row>
    <x:row r="32" ht="23" customHeight="1">
      <x:c r="A32" s="2" t="str">
        <x:v>BRB</x:v>
      </x:c>
      <x:c r="B32" s="2" t="str">
        <x:v>Barbados</x:v>
      </x:c>
      <x:c r="C32" s="2" t="n">
        <x:v>2020</x:v>
      </x:c>
      <x:c r="D32" s="2" t="str">
        <x:v>OBAT_FOOTPRINT</x:v>
      </x:c>
      <x:c r="E32" s="2" t="str">
        <x:v>horizontal surface / footprint</x:v>
      </x:c>
      <x:c r="F32" s="2" t="str">
        <x:v>m2</x:v>
      </x:c>
      <x:c r="G32" s="17" t="n">
        <x:v>23684585.84</x:v>
      </x:c>
      <x:c r="H32" s="17" t="n">
        <x:v>23479110.05</x:v>
      </x:c>
      <x:c r="I32" s="17" t="n">
        <x:f>IF(AND(L32,ISNUMBER(G32),ISNUMBER(H32)),G32-H32,"n.a.")</x:f>
        <x:v>205475.7899999991</x:v>
      </x:c>
      <x:c r="J32" s="15" t="n">
        <x:f>IF(AND(L32,ISNUMBER(G32),ISNUMBER(H32),H32&gt;0),(G32-H32)/H32,"n.a.")</x:f>
        <x:v>0.008751430082419121</x:v>
      </x:c>
      <x:c r="K32" s="19" t="n">
        <x:f>IF(ISNUMBER(J32),ABS(J32),"n.a.")</x:f>
        <x:v>0.008751430082419121</x:v>
      </x:c>
      <x:c r="L32" s="13" t="b">
        <x:v>1</x:v>
      </x:c>
      <x:c r="M32" s="13" t="b">
        <x:v>1</x:v>
      </x:c>
      <x:c r="N32" s="2" t="str">
        <x:v>qualified_source_frame_numeric_summary</x:v>
      </x:c>
      <x:c r="O32" s="2" t="str">
        <x:v>none</x:v>
      </x:c>
      <x:c r="P32" s="2" t="str">
        <x:v>nominal2020; Overture geometry2024-07-22.0; height support2018</x:v>
      </x:c>
      <x:c r="Q32" s="2" t="str">
        <x:v>Adjusted GADM4.1 boundaries; included Overture coverage unknown; China shortfall flagged; not a contemporaneous2020 census</x:v>
      </x:c>
      <x:c r="R32" s="2" t="str">
        <x:v>https://data.jrc.ec.europa.eu/dataset/f41a22f1-5741-4c41-86eb-6384654f6927</x:v>
      </x:c>
      <x:c r="S32" s="13" t="b">
        <x:v>0</x:v>
      </x:c>
      <x:c r="T32" s="13" t="b">
        <x:v>0</x:v>
      </x:c>
    </x:row>
    <x:row r="33" ht="23" customHeight="1">
      <x:c r="A33" s="2" t="str">
        <x:v>BRN</x:v>
      </x:c>
      <x:c r="B33" s="2" t="str">
        <x:v>Brunei Darussalam</x:v>
      </x:c>
      <x:c r="C33" s="2" t="n">
        <x:v>2020</x:v>
      </x:c>
      <x:c r="D33" s="2" t="str">
        <x:v>OBAT_FOOTPRINT</x:v>
      </x:c>
      <x:c r="E33" s="2" t="str">
        <x:v>horizontal surface / footprint</x:v>
      </x:c>
      <x:c r="F33" s="2" t="str">
        <x:v>m2</x:v>
      </x:c>
      <x:c r="G33" s="17" t="n">
        <x:v>37849769.86</x:v>
      </x:c>
      <x:c r="H33" s="17" t="n">
        <x:v>40454947.56</x:v>
      </x:c>
      <x:c r="I33" s="17" t="n">
        <x:f>IF(AND(L33,ISNUMBER(G33),ISNUMBER(H33)),G33-H33,"n.a.")</x:f>
        <x:v>-2605177.700000003</x:v>
      </x:c>
      <x:c r="J33" s="15" t="n">
        <x:f>IF(AND(L33,ISNUMBER(G33),ISNUMBER(H33),H33&gt;0),(G33-H33)/H33,"n.a.")</x:f>
        <x:v>-0.06439701092520717</x:v>
      </x:c>
      <x:c r="K33" s="19" t="n">
        <x:f>IF(ISNUMBER(J33),ABS(J33),"n.a.")</x:f>
        <x:v>0.06439701092520717</x:v>
      </x:c>
      <x:c r="L33" s="13" t="b">
        <x:v>1</x:v>
      </x:c>
      <x:c r="M33" s="13" t="b">
        <x:v>1</x:v>
      </x:c>
      <x:c r="N33" s="2" t="str">
        <x:v>qualified_source_frame_numeric_summary</x:v>
      </x:c>
      <x:c r="O33" s="2" t="str">
        <x:v>none</x:v>
      </x:c>
      <x:c r="P33" s="2" t="str">
        <x:v>nominal2020; Overture geometry2024-07-22.0; height support2018</x:v>
      </x:c>
      <x:c r="Q33" s="2" t="str">
        <x:v>Adjusted GADM4.1 boundaries; included Overture coverage unknown; China shortfall flagged; not a contemporaneous2020 census</x:v>
      </x:c>
      <x:c r="R33" s="2" t="str">
        <x:v>https://data.jrc.ec.europa.eu/dataset/f41a22f1-5741-4c41-86eb-6384654f6927</x:v>
      </x:c>
      <x:c r="S33" s="13" t="b">
        <x:v>0</x:v>
      </x:c>
      <x:c r="T33" s="13" t="b">
        <x:v>0</x:v>
      </x:c>
    </x:row>
    <x:row r="34" ht="23" customHeight="1">
      <x:c r="A34" s="2" t="str">
        <x:v>BTN</x:v>
      </x:c>
      <x:c r="B34" s="2" t="str">
        <x:v>Bhutan (Kingdom of)</x:v>
      </x:c>
      <x:c r="C34" s="2" t="n">
        <x:v>2020</x:v>
      </x:c>
      <x:c r="D34" s="2" t="str">
        <x:v>OBAT_FOOTPRINT</x:v>
      </x:c>
      <x:c r="E34" s="2" t="str">
        <x:v>horizontal surface / footprint</x:v>
      </x:c>
      <x:c r="F34" s="2" t="str">
        <x:v>m2</x:v>
      </x:c>
      <x:c r="G34" s="17" t="n">
        <x:v>27177544.51</x:v>
      </x:c>
      <x:c r="H34" s="17" t="n">
        <x:v>33592196.15</x:v>
      </x:c>
      <x:c r="I34" s="17" t="n">
        <x:f>IF(AND(L34,ISNUMBER(G34),ISNUMBER(H34)),G34-H34,"n.a.")</x:f>
        <x:v>-6414651.639999997</x:v>
      </x:c>
      <x:c r="J34" s="15" t="n">
        <x:f>IF(AND(L34,ISNUMBER(G34),ISNUMBER(H34),H34&gt;0),(G34-H34)/H34,"n.a.")</x:f>
        <x:v>-0.19095660228216418</x:v>
      </x:c>
      <x:c r="K34" s="19" t="n">
        <x:f>IF(ISNUMBER(J34),ABS(J34),"n.a.")</x:f>
        <x:v>0.19095660228216418</x:v>
      </x:c>
      <x:c r="L34" s="13" t="b">
        <x:v>1</x:v>
      </x:c>
      <x:c r="M34" s="13" t="b">
        <x:v>1</x:v>
      </x:c>
      <x:c r="N34" s="2" t="str">
        <x:v>qualified_source_frame_numeric_summary</x:v>
      </x:c>
      <x:c r="O34" s="2" t="str">
        <x:v>none</x:v>
      </x:c>
      <x:c r="P34" s="2" t="str">
        <x:v>nominal2020; Overture geometry2024-07-22.0; height support2018</x:v>
      </x:c>
      <x:c r="Q34" s="2" t="str">
        <x:v>Adjusted GADM4.1 boundaries; included Overture coverage unknown; China shortfall flagged; not a contemporaneous2020 census</x:v>
      </x:c>
      <x:c r="R34" s="2" t="str">
        <x:v>https://data.jrc.ec.europa.eu/dataset/f41a22f1-5741-4c41-86eb-6384654f6927</x:v>
      </x:c>
      <x:c r="S34" s="13" t="b">
        <x:v>0</x:v>
      </x:c>
      <x:c r="T34" s="13" t="b">
        <x:v>0</x:v>
      </x:c>
    </x:row>
    <x:row r="35" ht="23" customHeight="1">
      <x:c r="A35" s="2" t="str">
        <x:v>BWA</x:v>
      </x:c>
      <x:c r="B35" s="2" t="str">
        <x:v>Botswana (Republic of)</x:v>
      </x:c>
      <x:c r="C35" s="2" t="n">
        <x:v>2020</x:v>
      </x:c>
      <x:c r="D35" s="2" t="str">
        <x:v>OBAT_FOOTPRINT</x:v>
      </x:c>
      <x:c r="E35" s="2" t="str">
        <x:v>horizontal surface / footprint</x:v>
      </x:c>
      <x:c r="F35" s="2" t="str">
        <x:v>m2</x:v>
      </x:c>
      <x:c r="G35" s="17" t="n">
        <x:v>118564613.02</x:v>
      </x:c>
      <x:c r="H35" s="17" t="n">
        <x:v>147251833.75</x:v>
      </x:c>
      <x:c r="I35" s="17" t="n">
        <x:f>IF(AND(L35,ISNUMBER(G35),ISNUMBER(H35)),G35-H35,"n.a.")</x:f>
        <x:v>-28687220.730000004</x:v>
      </x:c>
      <x:c r="J35" s="15" t="n">
        <x:f>IF(AND(L35,ISNUMBER(G35),ISNUMBER(H35),H35&gt;0),(G35-H35)/H35,"n.a.")</x:f>
        <x:v>-0.1948174090565443</x:v>
      </x:c>
      <x:c r="K35" s="19" t="n">
        <x:f>IF(ISNUMBER(J35),ABS(J35),"n.a.")</x:f>
        <x:v>0.1948174090565443</x:v>
      </x:c>
      <x:c r="L35" s="13" t="b">
        <x:v>1</x:v>
      </x:c>
      <x:c r="M35" s="13" t="b">
        <x:v>1</x:v>
      </x:c>
      <x:c r="N35" s="2" t="str">
        <x:v>qualified_source_frame_numeric_summary</x:v>
      </x:c>
      <x:c r="O35" s="2" t="str">
        <x:v>none</x:v>
      </x:c>
      <x:c r="P35" s="2" t="str">
        <x:v>nominal2020; Overture geometry2024-07-22.0; height support2018</x:v>
      </x:c>
      <x:c r="Q35" s="2" t="str">
        <x:v>Adjusted GADM4.1 boundaries; included Overture coverage unknown; China shortfall flagged; not a contemporaneous2020 census</x:v>
      </x:c>
      <x:c r="R35" s="2" t="str">
        <x:v>https://data.jrc.ec.europa.eu/dataset/f41a22f1-5741-4c41-86eb-6384654f6927</x:v>
      </x:c>
      <x:c r="S35" s="13" t="b">
        <x:v>0</x:v>
      </x:c>
      <x:c r="T35" s="13" t="b">
        <x:v>0</x:v>
      </x:c>
    </x:row>
    <x:row r="36" ht="23" customHeight="1">
      <x:c r="A36" s="2" t="str">
        <x:v>CAF</x:v>
      </x:c>
      <x:c r="B36" s="2" t="str">
        <x:v>Central African Republic</x:v>
      </x:c>
      <x:c r="C36" s="2" t="n">
        <x:v>2020</x:v>
      </x:c>
      <x:c r="D36" s="2" t="str">
        <x:v>OBAT_FOOTPRINT</x:v>
      </x:c>
      <x:c r="E36" s="2" t="str">
        <x:v>horizontal surface / footprint</x:v>
      </x:c>
      <x:c r="F36" s="2" t="str">
        <x:v>m2</x:v>
      </x:c>
      <x:c r="G36" s="17" t="n">
        <x:v>66989106.04</x:v>
      </x:c>
      <x:c r="H36" s="17" t="n">
        <x:v>86312590.78999999</x:v>
      </x:c>
      <x:c r="I36" s="17" t="n">
        <x:f>IF(AND(L36,ISNUMBER(G36),ISNUMBER(H36)),G36-H36,"n.a.")</x:f>
        <x:v>-19323484.749999993</x:v>
      </x:c>
      <x:c r="J36" s="15" t="n">
        <x:f>IF(AND(L36,ISNUMBER(G36),ISNUMBER(H36),H36&gt;0),(G36-H36)/H36,"n.a.")</x:f>
        <x:v>-0.22387793684717866</x:v>
      </x:c>
      <x:c r="K36" s="19" t="n">
        <x:f>IF(ISNUMBER(J36),ABS(J36),"n.a.")</x:f>
        <x:v>0.22387793684717866</x:v>
      </x:c>
      <x:c r="L36" s="13" t="b">
        <x:v>1</x:v>
      </x:c>
      <x:c r="M36" s="13" t="b">
        <x:v>1</x:v>
      </x:c>
      <x:c r="N36" s="2" t="str">
        <x:v>qualified_source_frame_numeric_summary</x:v>
      </x:c>
      <x:c r="O36" s="2" t="str">
        <x:v>none</x:v>
      </x:c>
      <x:c r="P36" s="2" t="str">
        <x:v>nominal2020; Overture geometry2024-07-22.0; height support2018</x:v>
      </x:c>
      <x:c r="Q36" s="2" t="str">
        <x:v>Adjusted GADM4.1 boundaries; included Overture coverage unknown; China shortfall flagged; not a contemporaneous2020 census</x:v>
      </x:c>
      <x:c r="R36" s="2" t="str">
        <x:v>https://data.jrc.ec.europa.eu/dataset/f41a22f1-5741-4c41-86eb-6384654f6927</x:v>
      </x:c>
      <x:c r="S36" s="13" t="b">
        <x:v>0</x:v>
      </x:c>
      <x:c r="T36" s="13" t="b">
        <x:v>0</x:v>
      </x:c>
    </x:row>
    <x:row r="37" ht="23" customHeight="1">
      <x:c r="A37" s="2" t="str">
        <x:v>CAN</x:v>
      </x:c>
      <x:c r="B37" s="2" t="str">
        <x:v>Canada</x:v>
      </x:c>
      <x:c r="C37" s="2" t="n">
        <x:v>2020</x:v>
      </x:c>
      <x:c r="D37" s="2" t="str">
        <x:v>OBAT_FOOTPRINT</x:v>
      </x:c>
      <x:c r="E37" s="2" t="str">
        <x:v>horizontal surface / footprint</x:v>
      </x:c>
      <x:c r="F37" s="2" t="str">
        <x:v>m2</x:v>
      </x:c>
      <x:c r="G37" s="17" t="n">
        <x:v>2941628265.26</x:v>
      </x:c>
      <x:c r="H37" s="17" t="n">
        <x:v>5216186320.81</x:v>
      </x:c>
      <x:c r="I37" s="17" t="n">
        <x:f>IF(AND(L37,ISNUMBER(G37),ISNUMBER(H37)),G37-H37,"n.a.")</x:f>
        <x:v>-2274558055.55</x:v>
      </x:c>
      <x:c r="J37" s="15" t="n">
        <x:f>IF(AND(L37,ISNUMBER(G37),ISNUMBER(H37),H37&gt;0),(G37-H37)/H37,"n.a.")</x:f>
        <x:v>-0.4360576704240107</x:v>
      </x:c>
      <x:c r="K37" s="19" t="n">
        <x:f>IF(ISNUMBER(J37),ABS(J37),"n.a.")</x:f>
        <x:v>0.4360576704240107</x:v>
      </x:c>
      <x:c r="L37" s="13" t="b">
        <x:v>1</x:v>
      </x:c>
      <x:c r="M37" s="13" t="b">
        <x:v>1</x:v>
      </x:c>
      <x:c r="N37" s="2" t="str">
        <x:v>qualified_source_frame_numeric_summary</x:v>
      </x:c>
      <x:c r="O37" s="2" t="str">
        <x:v>none</x:v>
      </x:c>
      <x:c r="P37" s="2" t="str">
        <x:v>nominal2020; Overture geometry2024-07-22.0; height support2018</x:v>
      </x:c>
      <x:c r="Q37" s="2" t="str">
        <x:v>Adjusted GADM4.1 boundaries; included Overture coverage unknown; China shortfall flagged; not a contemporaneous2020 census</x:v>
      </x:c>
      <x:c r="R37" s="2" t="str">
        <x:v>https://data.jrc.ec.europa.eu/dataset/f41a22f1-5741-4c41-86eb-6384654f6927</x:v>
      </x:c>
      <x:c r="S37" s="13" t="b">
        <x:v>0</x:v>
      </x:c>
      <x:c r="T37" s="13" t="b">
        <x:v>0</x:v>
      </x:c>
    </x:row>
    <x:row r="38" ht="23" customHeight="1">
      <x:c r="A38" s="2" t="str">
        <x:v>CHE</x:v>
      </x:c>
      <x:c r="B38" s="2" t="str">
        <x:v>Switzerland (Swiss Confederation)</x:v>
      </x:c>
      <x:c r="C38" s="2" t="n">
        <x:v>2020</x:v>
      </x:c>
      <x:c r="D38" s="2" t="str">
        <x:v>OBAT_FOOTPRINT</x:v>
      </x:c>
      <x:c r="E38" s="2" t="str">
        <x:v>horizontal surface / footprint</x:v>
      </x:c>
      <x:c r="F38" s="2" t="str">
        <x:v>m2</x:v>
      </x:c>
      <x:c r="G38" s="17" t="n">
        <x:v>545813067.36</x:v>
      </x:c>
      <x:c r="H38" s="17" t="n">
        <x:v>566836139.4100001</x:v>
      </x:c>
      <x:c r="I38" s="17" t="n">
        <x:f>IF(AND(L38,ISNUMBER(G38),ISNUMBER(H38)),G38-H38,"n.a.")</x:f>
        <x:v>-21023072.05000007</x:v>
      </x:c>
      <x:c r="J38" s="15" t="n">
        <x:f>IF(AND(L38,ISNUMBER(G38),ISNUMBER(H38),H38&gt;0),(G38-H38)/H38,"n.a.")</x:f>
        <x:v>-0.03708844688675329</x:v>
      </x:c>
      <x:c r="K38" s="19" t="n">
        <x:f>IF(ISNUMBER(J38),ABS(J38),"n.a.")</x:f>
        <x:v>0.03708844688675329</x:v>
      </x:c>
      <x:c r="L38" s="13" t="b">
        <x:v>1</x:v>
      </x:c>
      <x:c r="M38" s="13" t="b">
        <x:v>1</x:v>
      </x:c>
      <x:c r="N38" s="2" t="str">
        <x:v>qualified_source_frame_numeric_summary</x:v>
      </x:c>
      <x:c r="O38" s="2" t="str">
        <x:v>none</x:v>
      </x:c>
      <x:c r="P38" s="2" t="str">
        <x:v>nominal2020; Overture geometry2024-07-22.0; height support2018</x:v>
      </x:c>
      <x:c r="Q38" s="2" t="str">
        <x:v>Adjusted GADM4.1 boundaries; included Overture coverage unknown; China shortfall flagged; not a contemporaneous2020 census</x:v>
      </x:c>
      <x:c r="R38" s="2" t="str">
        <x:v>https://data.jrc.ec.europa.eu/dataset/f41a22f1-5741-4c41-86eb-6384654f6927</x:v>
      </x:c>
      <x:c r="S38" s="13" t="b">
        <x:v>0</x:v>
      </x:c>
      <x:c r="T38" s="13" t="b">
        <x:v>0</x:v>
      </x:c>
    </x:row>
    <x:row r="39" ht="23" customHeight="1">
      <x:c r="A39" s="2" t="str">
        <x:v>CHL</x:v>
      </x:c>
      <x:c r="B39" s="2" t="str">
        <x:v>Chile (Republic of)</x:v>
      </x:c>
      <x:c r="C39" s="2" t="n">
        <x:v>2020</x:v>
      </x:c>
      <x:c r="D39" s="2" t="str">
        <x:v>OBAT_FOOTPRINT</x:v>
      </x:c>
      <x:c r="E39" s="2" t="str">
        <x:v>horizontal surface / footprint</x:v>
      </x:c>
      <x:c r="F39" s="2" t="str">
        <x:v>m2</x:v>
      </x:c>
      <x:c r="G39" s="17" t="n">
        <x:v>986436316.07</x:v>
      </x:c>
      <x:c r="H39" s="17" t="n">
        <x:v>1135828098.07</x:v>
      </x:c>
      <x:c r="I39" s="17" t="n">
        <x:f>IF(AND(L39,ISNUMBER(G39),ISNUMBER(H39)),G39-H39,"n.a.")</x:f>
        <x:v>-149391781.99999988</x:v>
      </x:c>
      <x:c r="J39" s="15" t="n">
        <x:f>IF(AND(L39,ISNUMBER(G39),ISNUMBER(H39),H39&gt;0),(G39-H39)/H39,"n.a.")</x:f>
        <x:v>-0.13152675325944702</x:v>
      </x:c>
      <x:c r="K39" s="19" t="n">
        <x:f>IF(ISNUMBER(J39),ABS(J39),"n.a.")</x:f>
        <x:v>0.13152675325944702</x:v>
      </x:c>
      <x:c r="L39" s="13" t="b">
        <x:v>1</x:v>
      </x:c>
      <x:c r="M39" s="13" t="b">
        <x:v>1</x:v>
      </x:c>
      <x:c r="N39" s="2" t="str">
        <x:v>qualified_source_frame_numeric_summary</x:v>
      </x:c>
      <x:c r="O39" s="2" t="str">
        <x:v>none</x:v>
      </x:c>
      <x:c r="P39" s="2" t="str">
        <x:v>nominal2020; Overture geometry2024-07-22.0; height support2018</x:v>
      </x:c>
      <x:c r="Q39" s="2" t="str">
        <x:v>Adjusted GADM4.1 boundaries; included Overture coverage unknown; China shortfall flagged; not a contemporaneous2020 census</x:v>
      </x:c>
      <x:c r="R39" s="2" t="str">
        <x:v>https://data.jrc.ec.europa.eu/dataset/f41a22f1-5741-4c41-86eb-6384654f6927</x:v>
      </x:c>
      <x:c r="S39" s="13" t="b">
        <x:v>0</x:v>
      </x:c>
      <x:c r="T39" s="13" t="b">
        <x:v>0</x:v>
      </x:c>
    </x:row>
    <x:row r="40" ht="23" customHeight="1">
      <x:c r="A40" s="2" t="str">
        <x:v>CHN</x:v>
      </x:c>
      <x:c r="B40" s="2" t="str">
        <x:v>China (People's Republic of)</x:v>
      </x:c>
      <x:c r="C40" s="2" t="n">
        <x:v>2020</x:v>
      </x:c>
      <x:c r="D40" s="2" t="str">
        <x:v>OBAT_FOOTPRINT</x:v>
      </x:c>
      <x:c r="E40" s="2" t="str">
        <x:v>horizontal surface / footprint</x:v>
      </x:c>
      <x:c r="F40" s="2" t="str">
        <x:v>m2</x:v>
      </x:c>
      <x:c r="G40" s="17" t="n">
        <x:v>78150235427.5</x:v>
      </x:c>
      <x:c r="H40" s="17" t="n">
        <x:v>3828323044.28</x:v>
      </x:c>
      <x:c r="I40" s="17" t="n">
        <x:f>IF(AND(L40,ISNUMBER(G40),ISNUMBER(H40)),G40-H40,"n.a.")</x:f>
        <x:v>74321912383.22</x:v>
      </x:c>
      <x:c r="J40" s="15" t="n">
        <x:f>IF(AND(L40,ISNUMBER(G40),ISNUMBER(H40),H40&gt;0),(G40-H40)/H40,"n.a.")</x:f>
        <x:v>19.41369929433368</x:v>
      </x:c>
      <x:c r="K40" s="19" t="n">
        <x:f>IF(ISNUMBER(J40),ABS(J40),"n.a.")</x:f>
        <x:v>19.41369929433368</x:v>
      </x:c>
      <x:c r="L40" s="13" t="b">
        <x:v>1</x:v>
      </x:c>
      <x:c r="M40" s="13" t="b">
        <x:v>1</x:v>
      </x:c>
      <x:c r="N40" s="2" t="str">
        <x:v>qualified_source_frame_numeric_summary</x:v>
      </x:c>
      <x:c r="O40" s="2" t="str">
        <x:v>none</x:v>
      </x:c>
      <x:c r="P40" s="2" t="str">
        <x:v>nominal2020; Overture geometry2024-07-22.0; height support2018</x:v>
      </x:c>
      <x:c r="Q40" s="2" t="str">
        <x:v>Adjusted GADM4.1 boundaries; included Overture coverage unknown; China shortfall flagged; not a contemporaneous2020 census</x:v>
      </x:c>
      <x:c r="R40" s="2" t="str">
        <x:v>https://data.jrc.ec.europa.eu/dataset/f41a22f1-5741-4c41-86eb-6384654f6927</x:v>
      </x:c>
      <x:c r="S40" s="13" t="b">
        <x:v>0</x:v>
      </x:c>
      <x:c r="T40" s="13" t="b">
        <x:v>0</x:v>
      </x:c>
    </x:row>
    <x:row r="41" ht="23" customHeight="1">
      <x:c r="A41" s="2" t="str">
        <x:v>CIV</x:v>
      </x:c>
      <x:c r="B41" s="2" t="str">
        <x:v>Côte d'Ivoire (Republic of)</x:v>
      </x:c>
      <x:c r="C41" s="2" t="n">
        <x:v>2020</x:v>
      </x:c>
      <x:c r="D41" s="2" t="str">
        <x:v>OBAT_FOOTPRINT</x:v>
      </x:c>
      <x:c r="E41" s="2" t="str">
        <x:v>horizontal surface / footprint</x:v>
      </x:c>
      <x:c r="F41" s="2" t="str">
        <x:v>m2</x:v>
      </x:c>
      <x:c r="G41" s="17" t="n">
        <x:v>602828854.82</x:v>
      </x:c>
      <x:c r="H41" s="17" t="n">
        <x:v>652973981.67</x:v>
      </x:c>
      <x:c r="I41" s="17" t="n">
        <x:f>IF(AND(L41,ISNUMBER(G41),ISNUMBER(H41)),G41-H41,"n.a.")</x:f>
        <x:v>-50145126.849999905</x:v>
      </x:c>
      <x:c r="J41" s="15" t="n">
        <x:f>IF(AND(L41,ISNUMBER(G41),ISNUMBER(H41),H41&gt;0),(G41-H41)/H41,"n.a.")</x:f>
        <x:v>-0.07679498457465683</x:v>
      </x:c>
      <x:c r="K41" s="19" t="n">
        <x:f>IF(ISNUMBER(J41),ABS(J41),"n.a.")</x:f>
        <x:v>0.07679498457465683</x:v>
      </x:c>
      <x:c r="L41" s="13" t="b">
        <x:v>1</x:v>
      </x:c>
      <x:c r="M41" s="13" t="b">
        <x:v>1</x:v>
      </x:c>
      <x:c r="N41" s="2" t="str">
        <x:v>qualified_source_frame_numeric_summary</x:v>
      </x:c>
      <x:c r="O41" s="2" t="str">
        <x:v>none</x:v>
      </x:c>
      <x:c r="P41" s="2" t="str">
        <x:v>nominal2020; Overture geometry2024-07-22.0; height support2018</x:v>
      </x:c>
      <x:c r="Q41" s="2" t="str">
        <x:v>Adjusted GADM4.1 boundaries; included Overture coverage unknown; China shortfall flagged; not a contemporaneous2020 census</x:v>
      </x:c>
      <x:c r="R41" s="2" t="str">
        <x:v>https://data.jrc.ec.europa.eu/dataset/f41a22f1-5741-4c41-86eb-6384654f6927</x:v>
      </x:c>
      <x:c r="S41" s="13" t="b">
        <x:v>0</x:v>
      </x:c>
      <x:c r="T41" s="13" t="b">
        <x:v>0</x:v>
      </x:c>
    </x:row>
    <x:row r="42" ht="23" customHeight="1">
      <x:c r="A42" s="2" t="str">
        <x:v>CMR</x:v>
      </x:c>
      <x:c r="B42" s="2" t="str">
        <x:v>Cameroon (Republic of)</x:v>
      </x:c>
      <x:c r="C42" s="2" t="n">
        <x:v>2020</x:v>
      </x:c>
      <x:c r="D42" s="2" t="str">
        <x:v>OBAT_FOOTPRINT</x:v>
      </x:c>
      <x:c r="E42" s="2" t="str">
        <x:v>horizontal surface / footprint</x:v>
      </x:c>
      <x:c r="F42" s="2" t="str">
        <x:v>m2</x:v>
      </x:c>
      <x:c r="G42" s="17" t="n">
        <x:v>577057207.81</x:v>
      </x:c>
      <x:c r="H42" s="17" t="n">
        <x:v>666649164.5600001</x:v>
      </x:c>
      <x:c r="I42" s="17" t="n">
        <x:f>IF(AND(L42,ISNUMBER(G42),ISNUMBER(H42)),G42-H42,"n.a.")</x:f>
        <x:v>-89591956.75000012</x:v>
      </x:c>
      <x:c r="J42" s="15" t="n">
        <x:f>IF(AND(L42,ISNUMBER(G42),ISNUMBER(H42),H42&gt;0),(G42-H42)/H42,"n.a.")</x:f>
        <x:v>-0.1343914633255895</x:v>
      </x:c>
      <x:c r="K42" s="19" t="n">
        <x:f>IF(ISNUMBER(J42),ABS(J42),"n.a.")</x:f>
        <x:v>0.1343914633255895</x:v>
      </x:c>
      <x:c r="L42" s="13" t="b">
        <x:v>1</x:v>
      </x:c>
      <x:c r="M42" s="13" t="b">
        <x:v>1</x:v>
      </x:c>
      <x:c r="N42" s="2" t="str">
        <x:v>qualified_source_frame_numeric_summary</x:v>
      </x:c>
      <x:c r="O42" s="2" t="str">
        <x:v>none</x:v>
      </x:c>
      <x:c r="P42" s="2" t="str">
        <x:v>nominal2020; Overture geometry2024-07-22.0; height support2018</x:v>
      </x:c>
      <x:c r="Q42" s="2" t="str">
        <x:v>Adjusted GADM4.1 boundaries; included Overture coverage unknown; China shortfall flagged; not a contemporaneous2020 census</x:v>
      </x:c>
      <x:c r="R42" s="2" t="str">
        <x:v>https://data.jrc.ec.europa.eu/dataset/f41a22f1-5741-4c41-86eb-6384654f6927</x:v>
      </x:c>
      <x:c r="S42" s="13" t="b">
        <x:v>0</x:v>
      </x:c>
      <x:c r="T42" s="13" t="b">
        <x:v>0</x:v>
      </x:c>
    </x:row>
    <x:row r="43" ht="23" customHeight="1">
      <x:c r="A43" s="2" t="str">
        <x:v>COD</x:v>
      </x:c>
      <x:c r="B43" s="2" t="str">
        <x:v>Congo (Democratic Republic of the)</x:v>
      </x:c>
      <x:c r="C43" s="2" t="n">
        <x:v>2020</x:v>
      </x:c>
      <x:c r="D43" s="2" t="str">
        <x:v>OBAT_FOOTPRINT</x:v>
      </x:c>
      <x:c r="E43" s="2" t="str">
        <x:v>horizontal surface / footprint</x:v>
      </x:c>
      <x:c r="F43" s="2" t="str">
        <x:v>m2</x:v>
      </x:c>
      <x:c r="G43" s="17" t="n">
        <x:v>941825698.84</x:v>
      </x:c>
      <x:c r="H43" s="17" t="n">
        <x:v>1094463711.17</x:v>
      </x:c>
      <x:c r="I43" s="17" t="n">
        <x:f>IF(AND(L43,ISNUMBER(G43),ISNUMBER(H43)),G43-H43,"n.a.")</x:f>
        <x:v>-152638012.33000004</x:v>
      </x:c>
      <x:c r="J43" s="15" t="n">
        <x:f>IF(AND(L43,ISNUMBER(G43),ISNUMBER(H43),H43&gt;0),(G43-H43)/H43,"n.a.")</x:f>
        <x:v>-0.13946374902355368</x:v>
      </x:c>
      <x:c r="K43" s="19" t="n">
        <x:f>IF(ISNUMBER(J43),ABS(J43),"n.a.")</x:f>
        <x:v>0.13946374902355368</x:v>
      </x:c>
      <x:c r="L43" s="13" t="b">
        <x:v>1</x:v>
      </x:c>
      <x:c r="M43" s="13" t="b">
        <x:v>1</x:v>
      </x:c>
      <x:c r="N43" s="2" t="str">
        <x:v>qualified_source_frame_numeric_summary</x:v>
      </x:c>
      <x:c r="O43" s="2" t="str">
        <x:v>none</x:v>
      </x:c>
      <x:c r="P43" s="2" t="str">
        <x:v>nominal2020; Overture geometry2024-07-22.0; height support2018</x:v>
      </x:c>
      <x:c r="Q43" s="2" t="str">
        <x:v>Adjusted GADM4.1 boundaries; included Overture coverage unknown; China shortfall flagged; not a contemporaneous2020 census</x:v>
      </x:c>
      <x:c r="R43" s="2" t="str">
        <x:v>https://data.jrc.ec.europa.eu/dataset/f41a22f1-5741-4c41-86eb-6384654f6927</x:v>
      </x:c>
      <x:c r="S43" s="13" t="b">
        <x:v>0</x:v>
      </x:c>
      <x:c r="T43" s="13" t="b">
        <x:v>0</x:v>
      </x:c>
    </x:row>
    <x:row r="44" ht="23" customHeight="1">
      <x:c r="A44" s="2" t="str">
        <x:v>COG</x:v>
      </x:c>
      <x:c r="B44" s="2" t="str">
        <x:v>Congo (Republic of the)</x:v>
      </x:c>
      <x:c r="C44" s="2" t="n">
        <x:v>2020</x:v>
      </x:c>
      <x:c r="D44" s="2" t="str">
        <x:v>OBAT_FOOTPRINT</x:v>
      </x:c>
      <x:c r="E44" s="2" t="str">
        <x:v>horizontal surface / footprint</x:v>
      </x:c>
      <x:c r="F44" s="2" t="str">
        <x:v>m2</x:v>
      </x:c>
      <x:c r="G44" s="17" t="n">
        <x:v>110620071.65</x:v>
      </x:c>
      <x:c r="H44" s="17" t="n">
        <x:v>112336290.71</x:v>
      </x:c>
      <x:c r="I44" s="17" t="n">
        <x:f>IF(AND(L44,ISNUMBER(G44),ISNUMBER(H44)),G44-H44,"n.a.")</x:f>
        <x:v>-1716219.0599999875</x:v>
      </x:c>
      <x:c r="J44" s="15" t="n">
        <x:f>IF(AND(L44,ISNUMBER(G44),ISNUMBER(H44),H44&gt;0),(G44-H44)/H44,"n.a.")</x:f>
        <x:v>-0.015277512272774487</x:v>
      </x:c>
      <x:c r="K44" s="19" t="n">
        <x:f>IF(ISNUMBER(J44),ABS(J44),"n.a.")</x:f>
        <x:v>0.015277512272774487</x:v>
      </x:c>
      <x:c r="L44" s="13" t="b">
        <x:v>1</x:v>
      </x:c>
      <x:c r="M44" s="13" t="b">
        <x:v>1</x:v>
      </x:c>
      <x:c r="N44" s="2" t="str">
        <x:v>qualified_source_frame_numeric_summary</x:v>
      </x:c>
      <x:c r="O44" s="2" t="str">
        <x:v>none</x:v>
      </x:c>
      <x:c r="P44" s="2" t="str">
        <x:v>nominal2020; Overture geometry2024-07-22.0; height support2018</x:v>
      </x:c>
      <x:c r="Q44" s="2" t="str">
        <x:v>Adjusted GADM4.1 boundaries; included Overture coverage unknown; China shortfall flagged; not a contemporaneous2020 census</x:v>
      </x:c>
      <x:c r="R44" s="2" t="str">
        <x:v>https://data.jrc.ec.europa.eu/dataset/f41a22f1-5741-4c41-86eb-6384654f6927</x:v>
      </x:c>
      <x:c r="S44" s="13" t="b">
        <x:v>0</x:v>
      </x:c>
      <x:c r="T44" s="13" t="b">
        <x:v>0</x:v>
      </x:c>
    </x:row>
    <x:row r="45" ht="23" customHeight="1">
      <x:c r="A45" s="2" t="str">
        <x:v>COL</x:v>
      </x:c>
      <x:c r="B45" s="2" t="str">
        <x:v>Colombia (Republic of)</x:v>
      </x:c>
      <x:c r="C45" s="2" t="n">
        <x:v>2020</x:v>
      </x:c>
      <x:c r="D45" s="2" t="str">
        <x:v>OBAT_FOOTPRINT</x:v>
      </x:c>
      <x:c r="E45" s="2" t="str">
        <x:v>horizontal surface / footprint</x:v>
      </x:c>
      <x:c r="F45" s="2" t="str">
        <x:v>m2</x:v>
      </x:c>
      <x:c r="G45" s="17" t="n">
        <x:v>1505534156.31</x:v>
      </x:c>
      <x:c r="H45" s="17" t="n">
        <x:v>1688934703.81</x:v>
      </x:c>
      <x:c r="I45" s="17" t="n">
        <x:f>IF(AND(L45,ISNUMBER(G45),ISNUMBER(H45)),G45-H45,"n.a.")</x:f>
        <x:v>-183400547.5</x:v>
      </x:c>
      <x:c r="J45" s="15" t="n">
        <x:f>IF(AND(L45,ISNUMBER(G45),ISNUMBER(H45),H45&gt;0),(G45-H45)/H45,"n.a.")</x:f>
        <x:v>-0.10858948370607464</x:v>
      </x:c>
      <x:c r="K45" s="19" t="n">
        <x:f>IF(ISNUMBER(J45),ABS(J45),"n.a.")</x:f>
        <x:v>0.10858948370607464</x:v>
      </x:c>
      <x:c r="L45" s="13" t="b">
        <x:v>1</x:v>
      </x:c>
      <x:c r="M45" s="13" t="b">
        <x:v>1</x:v>
      </x:c>
      <x:c r="N45" s="2" t="str">
        <x:v>qualified_source_frame_numeric_summary</x:v>
      </x:c>
      <x:c r="O45" s="2" t="str">
        <x:v>none</x:v>
      </x:c>
      <x:c r="P45" s="2" t="str">
        <x:v>nominal2020; Overture geometry2024-07-22.0; height support2018</x:v>
      </x:c>
      <x:c r="Q45" s="2" t="str">
        <x:v>Adjusted GADM4.1 boundaries; included Overture coverage unknown; China shortfall flagged; not a contemporaneous2020 census</x:v>
      </x:c>
      <x:c r="R45" s="2" t="str">
        <x:v>https://data.jrc.ec.europa.eu/dataset/f41a22f1-5741-4c41-86eb-6384654f6927</x:v>
      </x:c>
      <x:c r="S45" s="13" t="b">
        <x:v>0</x:v>
      </x:c>
      <x:c r="T45" s="13" t="b">
        <x:v>0</x:v>
      </x:c>
    </x:row>
    <x:row r="46" ht="23" customHeight="1">
      <x:c r="A46" s="2" t="str">
        <x:v>COM</x:v>
      </x:c>
      <x:c r="B46" s="2" t="str">
        <x:v>Comoros (Union of the)</x:v>
      </x:c>
      <x:c r="C46" s="2" t="n">
        <x:v>2020</x:v>
      </x:c>
      <x:c r="D46" s="2" t="str">
        <x:v>OBAT_FOOTPRINT</x:v>
      </x:c>
      <x:c r="E46" s="2" t="str">
        <x:v>horizontal surface / footprint</x:v>
      </x:c>
      <x:c r="F46" s="2" t="str">
        <x:v>m2</x:v>
      </x:c>
      <x:c r="G46" s="17" t="n">
        <x:v>18035090.41</x:v>
      </x:c>
      <x:c r="H46" s="17" t="n">
        <x:v>18356127.830000002</x:v>
      </x:c>
      <x:c r="I46" s="17" t="n">
        <x:f>IF(AND(L46,ISNUMBER(G46),ISNUMBER(H46)),G46-H46,"n.a.")</x:f>
        <x:v>-321037.4200000018</x:v>
      </x:c>
      <x:c r="J46" s="15" t="n">
        <x:f>IF(AND(L46,ISNUMBER(G46),ISNUMBER(H46),H46&gt;0),(G46-H46)/H46,"n.a.")</x:f>
        <x:v>-0.017489386812578202</x:v>
      </x:c>
      <x:c r="K46" s="19" t="n">
        <x:f>IF(ISNUMBER(J46),ABS(J46),"n.a.")</x:f>
        <x:v>0.017489386812578202</x:v>
      </x:c>
      <x:c r="L46" s="13" t="b">
        <x:v>1</x:v>
      </x:c>
      <x:c r="M46" s="13" t="b">
        <x:v>1</x:v>
      </x:c>
      <x:c r="N46" s="2" t="str">
        <x:v>qualified_source_frame_numeric_summary</x:v>
      </x:c>
      <x:c r="O46" s="2" t="str">
        <x:v>none</x:v>
      </x:c>
      <x:c r="P46" s="2" t="str">
        <x:v>nominal2020; Overture geometry2024-07-22.0; height support2018</x:v>
      </x:c>
      <x:c r="Q46" s="2" t="str">
        <x:v>Adjusted GADM4.1 boundaries; included Overture coverage unknown; China shortfall flagged; not a contemporaneous2020 census</x:v>
      </x:c>
      <x:c r="R46" s="2" t="str">
        <x:v>https://data.jrc.ec.europa.eu/dataset/f41a22f1-5741-4c41-86eb-6384654f6927</x:v>
      </x:c>
      <x:c r="S46" s="13" t="b">
        <x:v>0</x:v>
      </x:c>
      <x:c r="T46" s="13" t="b">
        <x:v>0</x:v>
      </x:c>
    </x:row>
    <x:row r="47" ht="23" customHeight="1">
      <x:c r="A47" s="2" t="str">
        <x:v>CPV</x:v>
      </x:c>
      <x:c r="B47" s="2" t="str">
        <x:v>Cabo Verde (Republic of)</x:v>
      </x:c>
      <x:c r="C47" s="2" t="n">
        <x:v>2020</x:v>
      </x:c>
      <x:c r="D47" s="2" t="str">
        <x:v>OBAT_FOOTPRINT</x:v>
      </x:c>
      <x:c r="E47" s="2" t="str">
        <x:v>horizontal surface / footprint</x:v>
      </x:c>
      <x:c r="F47" s="2" t="str">
        <x:v>m2</x:v>
      </x:c>
      <x:c r="G47" s="17" t="n">
        <x:v>20998892.42</x:v>
      </x:c>
      <x:c r="H47" s="17" t="n">
        <x:v>23554643.569999997</x:v>
      </x:c>
      <x:c r="I47" s="17" t="n">
        <x:f>IF(AND(L47,ISNUMBER(G47),ISNUMBER(H47)),G47-H47,"n.a.")</x:f>
        <x:v>-2555751.149999995</x:v>
      </x:c>
      <x:c r="J47" s="15" t="n">
        <x:f>IF(AND(L47,ISNUMBER(G47),ISNUMBER(H47),H47&gt;0),(G47-H47)/H47,"n.a.")</x:f>
        <x:v>-0.10850307042026683</x:v>
      </x:c>
      <x:c r="K47" s="19" t="n">
        <x:f>IF(ISNUMBER(J47),ABS(J47),"n.a.")</x:f>
        <x:v>0.10850307042026683</x:v>
      </x:c>
      <x:c r="L47" s="13" t="b">
        <x:v>1</x:v>
      </x:c>
      <x:c r="M47" s="13" t="b">
        <x:v>1</x:v>
      </x:c>
      <x:c r="N47" s="2" t="str">
        <x:v>qualified_source_frame_numeric_summary</x:v>
      </x:c>
      <x:c r="O47" s="2" t="str">
        <x:v>none</x:v>
      </x:c>
      <x:c r="P47" s="2" t="str">
        <x:v>nominal2020; Overture geometry2024-07-22.0; height support2018</x:v>
      </x:c>
      <x:c r="Q47" s="2" t="str">
        <x:v>Adjusted GADM4.1 boundaries; included Overture coverage unknown; China shortfall flagged; not a contemporaneous2020 census</x:v>
      </x:c>
      <x:c r="R47" s="2" t="str">
        <x:v>https://data.jrc.ec.europa.eu/dataset/f41a22f1-5741-4c41-86eb-6384654f6927</x:v>
      </x:c>
      <x:c r="S47" s="13" t="b">
        <x:v>0</x:v>
      </x:c>
      <x:c r="T47" s="13" t="b">
        <x:v>0</x:v>
      </x:c>
    </x:row>
    <x:row r="48" ht="23" customHeight="1">
      <x:c r="A48" s="2" t="str">
        <x:v>CRI</x:v>
      </x:c>
      <x:c r="B48" s="2" t="str">
        <x:v>Costa Rica (Republic of)</x:v>
      </x:c>
      <x:c r="C48" s="2" t="n">
        <x:v>2020</x:v>
      </x:c>
      <x:c r="D48" s="2" t="str">
        <x:v>OBAT_FOOTPRINT</x:v>
      </x:c>
      <x:c r="E48" s="2" t="str">
        <x:v>horizontal surface / footprint</x:v>
      </x:c>
      <x:c r="F48" s="2" t="str">
        <x:v>m2</x:v>
      </x:c>
      <x:c r="G48" s="17" t="n">
        <x:v>284786315.39</x:v>
      </x:c>
      <x:c r="H48" s="17" t="n">
        <x:v>326717227</x:v>
      </x:c>
      <x:c r="I48" s="17" t="n">
        <x:f>IF(AND(L48,ISNUMBER(G48),ISNUMBER(H48)),G48-H48,"n.a.")</x:f>
        <x:v>-41930911.610000014</x:v>
      </x:c>
      <x:c r="J48" s="15" t="n">
        <x:f>IF(AND(L48,ISNUMBER(G48),ISNUMBER(H48),H48&gt;0),(G48-H48)/H48,"n.a.")</x:f>
        <x:v>-0.12834006946930904</x:v>
      </x:c>
      <x:c r="K48" s="19" t="n">
        <x:f>IF(ISNUMBER(J48),ABS(J48),"n.a.")</x:f>
        <x:v>0.12834006946930904</x:v>
      </x:c>
      <x:c r="L48" s="13" t="b">
        <x:v>1</x:v>
      </x:c>
      <x:c r="M48" s="13" t="b">
        <x:v>1</x:v>
      </x:c>
      <x:c r="N48" s="2" t="str">
        <x:v>qualified_source_frame_numeric_summary</x:v>
      </x:c>
      <x:c r="O48" s="2" t="str">
        <x:v>none</x:v>
      </x:c>
      <x:c r="P48" s="2" t="str">
        <x:v>nominal2020; Overture geometry2024-07-22.0; height support2018</x:v>
      </x:c>
      <x:c r="Q48" s="2" t="str">
        <x:v>Adjusted GADM4.1 boundaries; included Overture coverage unknown; China shortfall flagged; not a contemporaneous2020 census</x:v>
      </x:c>
      <x:c r="R48" s="2" t="str">
        <x:v>https://data.jrc.ec.europa.eu/dataset/f41a22f1-5741-4c41-86eb-6384654f6927</x:v>
      </x:c>
      <x:c r="S48" s="13" t="b">
        <x:v>0</x:v>
      </x:c>
      <x:c r="T48" s="13" t="b">
        <x:v>0</x:v>
      </x:c>
    </x:row>
    <x:row r="49" ht="23" customHeight="1">
      <x:c r="A49" s="2" t="str">
        <x:v>CUB</x:v>
      </x:c>
      <x:c r="B49" s="2" t="str">
        <x:v>Cuba (Republic of)</x:v>
      </x:c>
      <x:c r="C49" s="2" t="n">
        <x:v>2020</x:v>
      </x:c>
      <x:c r="D49" s="2" t="str">
        <x:v>OBAT_FOOTPRINT</x:v>
      </x:c>
      <x:c r="E49" s="2" t="str">
        <x:v>horizontal surface / footprint</x:v>
      </x:c>
      <x:c r="F49" s="2" t="str">
        <x:v>m2</x:v>
      </x:c>
      <x:c r="G49" s="17" t="n">
        <x:v>360088927.42</x:v>
      </x:c>
      <x:c r="H49" s="17" t="n">
        <x:v>381707160.67</x:v>
      </x:c>
      <x:c r="I49" s="17" t="n">
        <x:f>IF(AND(L49,ISNUMBER(G49),ISNUMBER(H49)),G49-H49,"n.a.")</x:f>
        <x:v>-21618233.25</x:v>
      </x:c>
      <x:c r="J49" s="15" t="n">
        <x:f>IF(AND(L49,ISNUMBER(G49),ISNUMBER(H49),H49&gt;0),(G49-H49)/H49,"n.a.")</x:f>
        <x:v>-0.05663565025097803</x:v>
      </x:c>
      <x:c r="K49" s="19" t="n">
        <x:f>IF(ISNUMBER(J49),ABS(J49),"n.a.")</x:f>
        <x:v>0.05663565025097803</x:v>
      </x:c>
      <x:c r="L49" s="13" t="b">
        <x:v>1</x:v>
      </x:c>
      <x:c r="M49" s="13" t="b">
        <x:v>1</x:v>
      </x:c>
      <x:c r="N49" s="2" t="str">
        <x:v>qualified_source_frame_numeric_summary</x:v>
      </x:c>
      <x:c r="O49" s="2" t="str">
        <x:v>none</x:v>
      </x:c>
      <x:c r="P49" s="2" t="str">
        <x:v>nominal2020; Overture geometry2024-07-22.0; height support2018</x:v>
      </x:c>
      <x:c r="Q49" s="2" t="str">
        <x:v>Adjusted GADM4.1 boundaries; included Overture coverage unknown; China shortfall flagged; not a contemporaneous2020 census</x:v>
      </x:c>
      <x:c r="R49" s="2" t="str">
        <x:v>https://data.jrc.ec.europa.eu/dataset/f41a22f1-5741-4c41-86eb-6384654f6927</x:v>
      </x:c>
      <x:c r="S49" s="13" t="b">
        <x:v>0</x:v>
      </x:c>
      <x:c r="T49" s="13" t="b">
        <x:v>0</x:v>
      </x:c>
    </x:row>
    <x:row r="50" ht="23" customHeight="1">
      <x:c r="A50" s="2" t="str">
        <x:v>CYP</x:v>
      </x:c>
      <x:c r="B50" s="2" t="str">
        <x:v>Cyprus (Republic of)</x:v>
      </x:c>
      <x:c r="C50" s="2" t="n">
        <x:v>2020</x:v>
      </x:c>
      <x:c r="D50" s="2" t="str">
        <x:v>OBAT_FOOTPRINT</x:v>
      </x:c>
      <x:c r="E50" s="2" t="str">
        <x:v>horizontal surface / footprint</x:v>
      </x:c>
      <x:c r="F50" s="2" t="str">
        <x:v>m2</x:v>
      </x:c>
      <x:c r="G50" s="17" t="n">
        <x:v>124124771.75</x:v>
      </x:c>
      <x:c r="H50" s="17" t="n">
        <x:v>87527885.44</x:v>
      </x:c>
      <x:c r="I50" s="17" t="n">
        <x:f>IF(AND(L50,ISNUMBER(G50),ISNUMBER(H50)),G50-H50,"n.a.")</x:f>
        <x:v>36596886.31</x:v>
      </x:c>
      <x:c r="J50" s="15" t="n">
        <x:f>IF(AND(L50,ISNUMBER(G50),ISNUMBER(H50),H50&gt;0),(G50-H50)/H50,"n.a.")</x:f>
        <x:v>0.4181168792782846</x:v>
      </x:c>
      <x:c r="K50" s="19" t="n">
        <x:f>IF(ISNUMBER(J50),ABS(J50),"n.a.")</x:f>
        <x:v>0.4181168792782846</x:v>
      </x:c>
      <x:c r="L50" s="13" t="b">
        <x:v>1</x:v>
      </x:c>
      <x:c r="M50" s="13" t="b">
        <x:v>1</x:v>
      </x:c>
      <x:c r="N50" s="2" t="str">
        <x:v>qualified_source_frame_numeric_summary</x:v>
      </x:c>
      <x:c r="O50" s="2" t="str">
        <x:v>none</x:v>
      </x:c>
      <x:c r="P50" s="2" t="str">
        <x:v>nominal2020; Overture geometry2024-07-22.0; height support2018</x:v>
      </x:c>
      <x:c r="Q50" s="2" t="str">
        <x:v>Adjusted GADM4.1 boundaries; included Overture coverage unknown; China shortfall flagged; not a contemporaneous2020 census</x:v>
      </x:c>
      <x:c r="R50" s="2" t="str">
        <x:v>https://data.jrc.ec.europa.eu/dataset/f41a22f1-5741-4c41-86eb-6384654f6927</x:v>
      </x:c>
      <x:c r="S50" s="13" t="b">
        <x:v>0</x:v>
      </x:c>
      <x:c r="T50" s="13" t="b">
        <x:v>0</x:v>
      </x:c>
    </x:row>
    <x:row r="51" ht="23" customHeight="1">
      <x:c r="A51" s="2" t="str">
        <x:v>CZE</x:v>
      </x:c>
      <x:c r="B51" s="2" t="str">
        <x:v>Czechia (Czech Republic)</x:v>
      </x:c>
      <x:c r="C51" s="2" t="n">
        <x:v>2020</x:v>
      </x:c>
      <x:c r="D51" s="2" t="str">
        <x:v>OBAT_FOOTPRINT</x:v>
      </x:c>
      <x:c r="E51" s="2" t="str">
        <x:v>horizontal surface / footprint</x:v>
      </x:c>
      <x:c r="F51" s="2" t="str">
        <x:v>m2</x:v>
      </x:c>
      <x:c r="G51" s="17" t="n">
        <x:v>832797594.35</x:v>
      </x:c>
      <x:c r="H51" s="17" t="n">
        <x:v>857544114.54</x:v>
      </x:c>
      <x:c r="I51" s="17" t="n">
        <x:f>IF(AND(L51,ISNUMBER(G51),ISNUMBER(H51)),G51-H51,"n.a.")</x:f>
        <x:v>-24746520.189999938</x:v>
      </x:c>
      <x:c r="J51" s="15" t="n">
        <x:f>IF(AND(L51,ISNUMBER(G51),ISNUMBER(H51),H51&gt;0),(G51-H51)/H51,"n.a.")</x:f>
        <x:v>-0.028857431087699035</x:v>
      </x:c>
      <x:c r="K51" s="19" t="n">
        <x:f>IF(ISNUMBER(J51),ABS(J51),"n.a.")</x:f>
        <x:v>0.028857431087699035</x:v>
      </x:c>
      <x:c r="L51" s="13" t="b">
        <x:v>1</x:v>
      </x:c>
      <x:c r="M51" s="13" t="b">
        <x:v>1</x:v>
      </x:c>
      <x:c r="N51" s="2" t="str">
        <x:v>qualified_source_frame_numeric_summary</x:v>
      </x:c>
      <x:c r="O51" s="2" t="str">
        <x:v>none</x:v>
      </x:c>
      <x:c r="P51" s="2" t="str">
        <x:v>nominal2020; Overture geometry2024-07-22.0; height support2018</x:v>
      </x:c>
      <x:c r="Q51" s="2" t="str">
        <x:v>Adjusted GADM4.1 boundaries; included Overture coverage unknown; China shortfall flagged; not a contemporaneous2020 census</x:v>
      </x:c>
      <x:c r="R51" s="2" t="str">
        <x:v>https://data.jrc.ec.europa.eu/dataset/f41a22f1-5741-4c41-86eb-6384654f6927</x:v>
      </x:c>
      <x:c r="S51" s="13" t="b">
        <x:v>0</x:v>
      </x:c>
      <x:c r="T51" s="13" t="b">
        <x:v>0</x:v>
      </x:c>
    </x:row>
    <x:row r="52" ht="23" customHeight="1">
      <x:c r="A52" s="2" t="str">
        <x:v>DEU</x:v>
      </x:c>
      <x:c r="B52" s="2" t="str">
        <x:v>Germany (Federal Republic of)</x:v>
      </x:c>
      <x:c r="C52" s="2" t="n">
        <x:v>2020</x:v>
      </x:c>
      <x:c r="D52" s="2" t="str">
        <x:v>OBAT_FOOTPRINT</x:v>
      </x:c>
      <x:c r="E52" s="2" t="str">
        <x:v>horizontal surface / footprint</x:v>
      </x:c>
      <x:c r="F52" s="2" t="str">
        <x:v>m2</x:v>
      </x:c>
      <x:c r="G52" s="17" t="n">
        <x:v>6308730216.94</x:v>
      </x:c>
      <x:c r="H52" s="17" t="n">
        <x:v>6601195123.34</x:v>
      </x:c>
      <x:c r="I52" s="17" t="n">
        <x:f>IF(AND(L52,ISNUMBER(G52),ISNUMBER(H52)),G52-H52,"n.a.")</x:f>
        <x:v>-292464906.4000006</x:v>
      </x:c>
      <x:c r="J52" s="15" t="n">
        <x:f>IF(AND(L52,ISNUMBER(G52),ISNUMBER(H52),H52&gt;0),(G52-H52)/H52,"n.a.")</x:f>
        <x:v>-0.04430484191656834</x:v>
      </x:c>
      <x:c r="K52" s="19" t="n">
        <x:f>IF(ISNUMBER(J52),ABS(J52),"n.a.")</x:f>
        <x:v>0.04430484191656834</x:v>
      </x:c>
      <x:c r="L52" s="13" t="b">
        <x:v>1</x:v>
      </x:c>
      <x:c r="M52" s="13" t="b">
        <x:v>1</x:v>
      </x:c>
      <x:c r="N52" s="2" t="str">
        <x:v>qualified_source_frame_numeric_summary</x:v>
      </x:c>
      <x:c r="O52" s="2" t="str">
        <x:v>none</x:v>
      </x:c>
      <x:c r="P52" s="2" t="str">
        <x:v>nominal2020; Overture geometry2024-07-22.0; height support2018</x:v>
      </x:c>
      <x:c r="Q52" s="2" t="str">
        <x:v>Adjusted GADM4.1 boundaries; included Overture coverage unknown; China shortfall flagged; not a contemporaneous2020 census</x:v>
      </x:c>
      <x:c r="R52" s="2" t="str">
        <x:v>https://data.jrc.ec.europa.eu/dataset/f41a22f1-5741-4c41-86eb-6384654f6927</x:v>
      </x:c>
      <x:c r="S52" s="13" t="b">
        <x:v>0</x:v>
      </x:c>
      <x:c r="T52" s="13" t="b">
        <x:v>0</x:v>
      </x:c>
    </x:row>
    <x:row r="53" ht="23" customHeight="1">
      <x:c r="A53" s="2" t="str">
        <x:v>DJI</x:v>
      </x:c>
      <x:c r="B53" s="2" t="str">
        <x:v>Djibouti (Republic of)</x:v>
      </x:c>
      <x:c r="C53" s="2" t="n">
        <x:v>2020</x:v>
      </x:c>
      <x:c r="D53" s="2" t="str">
        <x:v>OBAT_FOOTPRINT</x:v>
      </x:c>
      <x:c r="E53" s="2" t="str">
        <x:v>horizontal surface / footprint</x:v>
      </x:c>
      <x:c r="F53" s="2" t="str">
        <x:v>m2</x:v>
      </x:c>
      <x:c r="G53" s="17" t="n">
        <x:v>12127167.01</x:v>
      </x:c>
      <x:c r="H53" s="17" t="n">
        <x:v>13951179.21</x:v>
      </x:c>
      <x:c r="I53" s="17" t="n">
        <x:f>IF(AND(L53,ISNUMBER(G53),ISNUMBER(H53)),G53-H53,"n.a.")</x:f>
        <x:v>-1824012.2000000011</x:v>
      </x:c>
      <x:c r="J53" s="15" t="n">
        <x:f>IF(AND(L53,ISNUMBER(G53),ISNUMBER(H53),H53&gt;0),(G53-H53)/H53,"n.a.")</x:f>
        <x:v>-0.13074251090492595</x:v>
      </x:c>
      <x:c r="K53" s="19" t="n">
        <x:f>IF(ISNUMBER(J53),ABS(J53),"n.a.")</x:f>
        <x:v>0.13074251090492595</x:v>
      </x:c>
      <x:c r="L53" s="13" t="b">
        <x:v>1</x:v>
      </x:c>
      <x:c r="M53" s="13" t="b">
        <x:v>1</x:v>
      </x:c>
      <x:c r="N53" s="2" t="str">
        <x:v>qualified_source_frame_numeric_summary</x:v>
      </x:c>
      <x:c r="O53" s="2" t="str">
        <x:v>none</x:v>
      </x:c>
      <x:c r="P53" s="2" t="str">
        <x:v>nominal2020; Overture geometry2024-07-22.0; height support2018</x:v>
      </x:c>
      <x:c r="Q53" s="2" t="str">
        <x:v>Adjusted GADM4.1 boundaries; included Overture coverage unknown; China shortfall flagged; not a contemporaneous2020 census</x:v>
      </x:c>
      <x:c r="R53" s="2" t="str">
        <x:v>https://data.jrc.ec.europa.eu/dataset/f41a22f1-5741-4c41-86eb-6384654f6927</x:v>
      </x:c>
      <x:c r="S53" s="13" t="b">
        <x:v>0</x:v>
      </x:c>
      <x:c r="T53" s="13" t="b">
        <x:v>0</x:v>
      </x:c>
    </x:row>
    <x:row r="54" ht="23" customHeight="1">
      <x:c r="A54" s="2" t="str">
        <x:v>DMA</x:v>
      </x:c>
      <x:c r="B54" s="2" t="str">
        <x:v>Dominica (Commonwealth of)</x:v>
      </x:c>
      <x:c r="C54" s="2" t="n">
        <x:v>2020</x:v>
      </x:c>
      <x:c r="D54" s="2" t="str">
        <x:v>OBAT_FOOTPRINT</x:v>
      </x:c>
      <x:c r="E54" s="2" t="str">
        <x:v>horizontal surface / footprint</x:v>
      </x:c>
      <x:c r="F54" s="2" t="str">
        <x:v>m2</x:v>
      </x:c>
      <x:c r="G54" s="17" t="n">
        <x:v>3947192.69</x:v>
      </x:c>
      <x:c r="H54" s="17" t="n">
        <x:v>4645179.87000001</x:v>
      </x:c>
      <x:c r="I54" s="17" t="n">
        <x:f>IF(AND(L54,ISNUMBER(G54),ISNUMBER(H54)),G54-H54,"n.a.")</x:f>
        <x:v>-697987.1800000104</x:v>
      </x:c>
      <x:c r="J54" s="15" t="n">
        <x:f>IF(AND(L54,ISNUMBER(G54),ISNUMBER(H54),H54&gt;0),(G54-H54)/H54,"n.a.")</x:f>
        <x:v>-0.1502605280169719</x:v>
      </x:c>
      <x:c r="K54" s="19" t="n">
        <x:f>IF(ISNUMBER(J54),ABS(J54),"n.a.")</x:f>
        <x:v>0.1502605280169719</x:v>
      </x:c>
      <x:c r="L54" s="13" t="b">
        <x:v>1</x:v>
      </x:c>
      <x:c r="M54" s="13" t="b">
        <x:v>1</x:v>
      </x:c>
      <x:c r="N54" s="2" t="str">
        <x:v>qualified_source_frame_numeric_summary</x:v>
      </x:c>
      <x:c r="O54" s="2" t="str">
        <x:v>none</x:v>
      </x:c>
      <x:c r="P54" s="2" t="str">
        <x:v>nominal2020; Overture geometry2024-07-22.0; height support2018</x:v>
      </x:c>
      <x:c r="Q54" s="2" t="str">
        <x:v>Adjusted GADM4.1 boundaries; included Overture coverage unknown; China shortfall flagged; not a contemporaneous2020 census</x:v>
      </x:c>
      <x:c r="R54" s="2" t="str">
        <x:v>https://data.jrc.ec.europa.eu/dataset/f41a22f1-5741-4c41-86eb-6384654f6927</x:v>
      </x:c>
      <x:c r="S54" s="13" t="b">
        <x:v>0</x:v>
      </x:c>
      <x:c r="T54" s="13" t="b">
        <x:v>0</x:v>
      </x:c>
    </x:row>
    <x:row r="55" ht="23" customHeight="1">
      <x:c r="A55" s="2" t="str">
        <x:v>DNK</x:v>
      </x:c>
      <x:c r="B55" s="2" t="str">
        <x:v>Denmark (Kingdom of)</x:v>
      </x:c>
      <x:c r="C55" s="2" t="n">
        <x:v>2020</x:v>
      </x:c>
      <x:c r="D55" s="2" t="str">
        <x:v>OBAT_FOOTPRINT</x:v>
      </x:c>
      <x:c r="E55" s="2" t="str">
        <x:v>horizontal surface / footprint</x:v>
      </x:c>
      <x:c r="F55" s="2" t="str">
        <x:v>m2</x:v>
      </x:c>
      <x:c r="G55" s="17" t="n">
        <x:v>660731556.2</x:v>
      </x:c>
      <x:c r="H55" s="17" t="n">
        <x:v>747820606.8900001</x:v>
      </x:c>
      <x:c r="I55" s="17" t="n">
        <x:f>IF(AND(L55,ISNUMBER(G55),ISNUMBER(H55)),G55-H55,"n.a.")</x:f>
        <x:v>-87089050.69000006</x:v>
      </x:c>
      <x:c r="J55" s="15" t="n">
        <x:f>IF(AND(L55,ISNUMBER(G55),ISNUMBER(H55),H55&gt;0),(G55-H55)/H55,"n.a.")</x:f>
        <x:v>-0.11645714211083559</x:v>
      </x:c>
      <x:c r="K55" s="19" t="n">
        <x:f>IF(ISNUMBER(J55),ABS(J55),"n.a.")</x:f>
        <x:v>0.11645714211083559</x:v>
      </x:c>
      <x:c r="L55" s="13" t="b">
        <x:v>1</x:v>
      </x:c>
      <x:c r="M55" s="13" t="b">
        <x:v>1</x:v>
      </x:c>
      <x:c r="N55" s="2" t="str">
        <x:v>qualified_source_frame_numeric_summary</x:v>
      </x:c>
      <x:c r="O55" s="2" t="str">
        <x:v>none</x:v>
      </x:c>
      <x:c r="P55" s="2" t="str">
        <x:v>nominal2020; Overture geometry2024-07-22.0; height support2018</x:v>
      </x:c>
      <x:c r="Q55" s="2" t="str">
        <x:v>Adjusted GADM4.1 boundaries; included Overture coverage unknown; China shortfall flagged; not a contemporaneous2020 census</x:v>
      </x:c>
      <x:c r="R55" s="2" t="str">
        <x:v>https://data.jrc.ec.europa.eu/dataset/f41a22f1-5741-4c41-86eb-6384654f6927</x:v>
      </x:c>
      <x:c r="S55" s="13" t="b">
        <x:v>0</x:v>
      </x:c>
      <x:c r="T55" s="13" t="b">
        <x:v>0</x:v>
      </x:c>
    </x:row>
    <x:row r="56" ht="23" customHeight="1">
      <x:c r="A56" s="2" t="str">
        <x:v>DOM</x:v>
      </x:c>
      <x:c r="B56" s="2" t="str">
        <x:v>Dominican Republic</x:v>
      </x:c>
      <x:c r="C56" s="2" t="n">
        <x:v>2020</x:v>
      </x:c>
      <x:c r="D56" s="2" t="str">
        <x:v>OBAT_FOOTPRINT</x:v>
      </x:c>
      <x:c r="E56" s="2" t="str">
        <x:v>horizontal surface / footprint</x:v>
      </x:c>
      <x:c r="F56" s="2" t="str">
        <x:v>m2</x:v>
      </x:c>
      <x:c r="G56" s="17" t="n">
        <x:v>336248050.89</x:v>
      </x:c>
      <x:c r="H56" s="17" t="n">
        <x:v>368169986.09000003</x:v>
      </x:c>
      <x:c r="I56" s="17" t="n">
        <x:f>IF(AND(L56,ISNUMBER(G56),ISNUMBER(H56)),G56-H56,"n.a.")</x:f>
        <x:v>-31921935.200000048</x:v>
      </x:c>
      <x:c r="J56" s="15" t="n">
        <x:f>IF(AND(L56,ISNUMBER(G56),ISNUMBER(H56),H56&gt;0),(G56-H56)/H56,"n.a.")</x:f>
        <x:v>-0.0867043387730054</x:v>
      </x:c>
      <x:c r="K56" s="19" t="n">
        <x:f>IF(ISNUMBER(J56),ABS(J56),"n.a.")</x:f>
        <x:v>0.0867043387730054</x:v>
      </x:c>
      <x:c r="L56" s="13" t="b">
        <x:v>1</x:v>
      </x:c>
      <x:c r="M56" s="13" t="b">
        <x:v>1</x:v>
      </x:c>
      <x:c r="N56" s="2" t="str">
        <x:v>qualified_source_frame_numeric_summary</x:v>
      </x:c>
      <x:c r="O56" s="2" t="str">
        <x:v>none</x:v>
      </x:c>
      <x:c r="P56" s="2" t="str">
        <x:v>nominal2020; Overture geometry2024-07-22.0; height support2018</x:v>
      </x:c>
      <x:c r="Q56" s="2" t="str">
        <x:v>Adjusted GADM4.1 boundaries; included Overture coverage unknown; China shortfall flagged; not a contemporaneous2020 census</x:v>
      </x:c>
      <x:c r="R56" s="2" t="str">
        <x:v>https://data.jrc.ec.europa.eu/dataset/f41a22f1-5741-4c41-86eb-6384654f6927</x:v>
      </x:c>
      <x:c r="S56" s="13" t="b">
        <x:v>0</x:v>
      </x:c>
      <x:c r="T56" s="13" t="b">
        <x:v>0</x:v>
      </x:c>
    </x:row>
    <x:row r="57" ht="23" customHeight="1">
      <x:c r="A57" s="2" t="str">
        <x:v>DZA</x:v>
      </x:c>
      <x:c r="B57" s="2" t="str">
        <x:v>Algeria (People's Democratic Republic of)</x:v>
      </x:c>
      <x:c r="C57" s="2" t="n">
        <x:v>2020</x:v>
      </x:c>
      <x:c r="D57" s="2" t="str">
        <x:v>OBAT_FOOTPRINT</x:v>
      </x:c>
      <x:c r="E57" s="2" t="str">
        <x:v>horizontal surface / footprint</x:v>
      </x:c>
      <x:c r="F57" s="2" t="str">
        <x:v>m2</x:v>
      </x:c>
      <x:c r="G57" s="17" t="n">
        <x:v>1589287619</x:v>
      </x:c>
      <x:c r="H57" s="17" t="n">
        <x:v>1994768693.1599998</x:v>
      </x:c>
      <x:c r="I57" s="17" t="n">
        <x:f>IF(AND(L57,ISNUMBER(G57),ISNUMBER(H57)),G57-H57,"n.a.")</x:f>
        <x:v>-405481074.15999985</x:v>
      </x:c>
      <x:c r="J57" s="15" t="n">
        <x:f>IF(AND(L57,ISNUMBER(G57),ISNUMBER(H57),H57&gt;0),(G57-H57)/H57,"n.a.")</x:f>
        <x:v>-0.20327222677515538</x:v>
      </x:c>
      <x:c r="K57" s="19" t="n">
        <x:f>IF(ISNUMBER(J57),ABS(J57),"n.a.")</x:f>
        <x:v>0.20327222677515538</x:v>
      </x:c>
      <x:c r="L57" s="13" t="b">
        <x:v>1</x:v>
      </x:c>
      <x:c r="M57" s="13" t="b">
        <x:v>1</x:v>
      </x:c>
      <x:c r="N57" s="2" t="str">
        <x:v>qualified_source_frame_numeric_summary</x:v>
      </x:c>
      <x:c r="O57" s="2" t="str">
        <x:v>none</x:v>
      </x:c>
      <x:c r="P57" s="2" t="str">
        <x:v>nominal2020; Overture geometry2024-07-22.0; height support2018</x:v>
      </x:c>
      <x:c r="Q57" s="2" t="str">
        <x:v>Adjusted GADM4.1 boundaries; included Overture coverage unknown; China shortfall flagged; not a contemporaneous2020 census</x:v>
      </x:c>
      <x:c r="R57" s="2" t="str">
        <x:v>https://data.jrc.ec.europa.eu/dataset/f41a22f1-5741-4c41-86eb-6384654f6927</x:v>
      </x:c>
      <x:c r="S57" s="13" t="b">
        <x:v>0</x:v>
      </x:c>
      <x:c r="T57" s="13" t="b">
        <x:v>0</x:v>
      </x:c>
    </x:row>
    <x:row r="58" ht="23" customHeight="1">
      <x:c r="A58" s="2" t="str">
        <x:v>ECU</x:v>
      </x:c>
      <x:c r="B58" s="2" t="str">
        <x:v>Ecuador (Republic of)</x:v>
      </x:c>
      <x:c r="C58" s="2" t="n">
        <x:v>2020</x:v>
      </x:c>
      <x:c r="D58" s="2" t="str">
        <x:v>OBAT_FOOTPRINT</x:v>
      </x:c>
      <x:c r="E58" s="2" t="str">
        <x:v>horizontal surface / footprint</x:v>
      </x:c>
      <x:c r="F58" s="2" t="str">
        <x:v>m2</x:v>
      </x:c>
      <x:c r="G58" s="17" t="n">
        <x:v>734538215.05</x:v>
      </x:c>
      <x:c r="H58" s="17" t="n">
        <x:v>788960654.95</x:v>
      </x:c>
      <x:c r="I58" s="17" t="n">
        <x:f>IF(AND(L58,ISNUMBER(G58),ISNUMBER(H58)),G58-H58,"n.a.")</x:f>
        <x:v>-54422439.900000095</x:v>
      </x:c>
      <x:c r="J58" s="15" t="n">
        <x:f>IF(AND(L58,ISNUMBER(G58),ISNUMBER(H58),H58&gt;0),(G58-H58)/H58,"n.a.")</x:f>
        <x:v>-0.06897991624620253</x:v>
      </x:c>
      <x:c r="K58" s="19" t="n">
        <x:f>IF(ISNUMBER(J58),ABS(J58),"n.a.")</x:f>
        <x:v>0.06897991624620253</x:v>
      </x:c>
      <x:c r="L58" s="13" t="b">
        <x:v>1</x:v>
      </x:c>
      <x:c r="M58" s="13" t="b">
        <x:v>1</x:v>
      </x:c>
      <x:c r="N58" s="2" t="str">
        <x:v>qualified_source_frame_numeric_summary</x:v>
      </x:c>
      <x:c r="O58" s="2" t="str">
        <x:v>none</x:v>
      </x:c>
      <x:c r="P58" s="2" t="str">
        <x:v>nominal2020; Overture geometry2024-07-22.0; height support2018</x:v>
      </x:c>
      <x:c r="Q58" s="2" t="str">
        <x:v>Adjusted GADM4.1 boundaries; included Overture coverage unknown; China shortfall flagged; not a contemporaneous2020 census</x:v>
      </x:c>
      <x:c r="R58" s="2" t="str">
        <x:v>https://data.jrc.ec.europa.eu/dataset/f41a22f1-5741-4c41-86eb-6384654f6927</x:v>
      </x:c>
      <x:c r="S58" s="13" t="b">
        <x:v>0</x:v>
      </x:c>
      <x:c r="T58" s="13" t="b">
        <x:v>0</x:v>
      </x:c>
    </x:row>
    <x:row r="59" ht="23" customHeight="1">
      <x:c r="A59" s="2" t="str">
        <x:v>EGY</x:v>
      </x:c>
      <x:c r="B59" s="2" t="str">
        <x:v>Egypt (Arab Republic of)</x:v>
      </x:c>
      <x:c r="C59" s="2" t="n">
        <x:v>2020</x:v>
      </x:c>
      <x:c r="D59" s="2" t="str">
        <x:v>OBAT_FOOTPRINT</x:v>
      </x:c>
      <x:c r="E59" s="2" t="str">
        <x:v>horizontal surface / footprint</x:v>
      </x:c>
      <x:c r="F59" s="2" t="str">
        <x:v>m2</x:v>
      </x:c>
      <x:c r="G59" s="17" t="n">
        <x:v>2212752476.53</x:v>
      </x:c>
      <x:c r="H59" s="17" t="n">
        <x:v>2644596818.8500004</x:v>
      </x:c>
      <x:c r="I59" s="17" t="n">
        <x:f>IF(AND(L59,ISNUMBER(G59),ISNUMBER(H59)),G59-H59,"n.a.")</x:f>
        <x:v>-431844342.3200002</x:v>
      </x:c>
      <x:c r="J59" s="15" t="n">
        <x:f>IF(AND(L59,ISNUMBER(G59),ISNUMBER(H59),H59&gt;0),(G59-H59)/H59,"n.a.")</x:f>
        <x:v>-0.16329307334937623</x:v>
      </x:c>
      <x:c r="K59" s="19" t="n">
        <x:f>IF(ISNUMBER(J59),ABS(J59),"n.a.")</x:f>
        <x:v>0.16329307334937623</x:v>
      </x:c>
      <x:c r="L59" s="13" t="b">
        <x:v>1</x:v>
      </x:c>
      <x:c r="M59" s="13" t="b">
        <x:v>1</x:v>
      </x:c>
      <x:c r="N59" s="2" t="str">
        <x:v>qualified_source_frame_numeric_summary</x:v>
      </x:c>
      <x:c r="O59" s="2" t="str">
        <x:v>none</x:v>
      </x:c>
      <x:c r="P59" s="2" t="str">
        <x:v>nominal2020; Overture geometry2024-07-22.0; height support2018</x:v>
      </x:c>
      <x:c r="Q59" s="2" t="str">
        <x:v>Adjusted GADM4.1 boundaries; included Overture coverage unknown; China shortfall flagged; not a contemporaneous2020 census</x:v>
      </x:c>
      <x:c r="R59" s="2" t="str">
        <x:v>https://data.jrc.ec.europa.eu/dataset/f41a22f1-5741-4c41-86eb-6384654f6927</x:v>
      </x:c>
      <x:c r="S59" s="13" t="b">
        <x:v>0</x:v>
      </x:c>
      <x:c r="T59" s="13" t="b">
        <x:v>0</x:v>
      </x:c>
    </x:row>
    <x:row r="60" ht="23" customHeight="1">
      <x:c r="A60" s="2" t="str">
        <x:v>ERI</x:v>
      </x:c>
      <x:c r="B60" s="2" t="str">
        <x:v>Eritrea (State of)</x:v>
      </x:c>
      <x:c r="C60" s="2" t="n">
        <x:v>2020</x:v>
      </x:c>
      <x:c r="D60" s="2" t="str">
        <x:v>OBAT_FOOTPRINT</x:v>
      </x:c>
      <x:c r="E60" s="2" t="str">
        <x:v>horizontal surface / footprint</x:v>
      </x:c>
      <x:c r="F60" s="2" t="str">
        <x:v>m2</x:v>
      </x:c>
      <x:c r="G60" s="17" t="n">
        <x:v>45298098.33</x:v>
      </x:c>
      <x:c r="H60" s="17" t="n">
        <x:v>55887007.31</x:v>
      </x:c>
      <x:c r="I60" s="17" t="n">
        <x:f>IF(AND(L60,ISNUMBER(G60),ISNUMBER(H60)),G60-H60,"n.a.")</x:f>
        <x:v>-10588908.980000004</x:v>
      </x:c>
      <x:c r="J60" s="15" t="n">
        <x:f>IF(AND(L60,ISNUMBER(G60),ISNUMBER(H60),H60&gt;0),(G60-H60)/H60,"n.a.")</x:f>
        <x:v>-0.1894699589345394</x:v>
      </x:c>
      <x:c r="K60" s="19" t="n">
        <x:f>IF(ISNUMBER(J60),ABS(J60),"n.a.")</x:f>
        <x:v>0.1894699589345394</x:v>
      </x:c>
      <x:c r="L60" s="13" t="b">
        <x:v>1</x:v>
      </x:c>
      <x:c r="M60" s="13" t="b">
        <x:v>1</x:v>
      </x:c>
      <x:c r="N60" s="2" t="str">
        <x:v>qualified_source_frame_numeric_summary</x:v>
      </x:c>
      <x:c r="O60" s="2" t="str">
        <x:v>none</x:v>
      </x:c>
      <x:c r="P60" s="2" t="str">
        <x:v>nominal2020; Overture geometry2024-07-22.0; height support2018</x:v>
      </x:c>
      <x:c r="Q60" s="2" t="str">
        <x:v>Adjusted GADM4.1 boundaries; included Overture coverage unknown; China shortfall flagged; not a contemporaneous2020 census</x:v>
      </x:c>
      <x:c r="R60" s="2" t="str">
        <x:v>https://data.jrc.ec.europa.eu/dataset/f41a22f1-5741-4c41-86eb-6384654f6927</x:v>
      </x:c>
      <x:c r="S60" s="13" t="b">
        <x:v>0</x:v>
      </x:c>
      <x:c r="T60" s="13" t="b">
        <x:v>0</x:v>
      </x:c>
    </x:row>
    <x:row r="61" ht="23" customHeight="1">
      <x:c r="A61" s="2" t="str">
        <x:v>ESP</x:v>
      </x:c>
      <x:c r="B61" s="2" t="str">
        <x:v>Spain (Kingdom of)</x:v>
      </x:c>
      <x:c r="C61" s="2" t="n">
        <x:v>2020</x:v>
      </x:c>
      <x:c r="D61" s="2" t="str">
        <x:v>OBAT_FOOTPRINT</x:v>
      </x:c>
      <x:c r="E61" s="2" t="str">
        <x:v>horizontal surface / footprint</x:v>
      </x:c>
      <x:c r="F61" s="2" t="str">
        <x:v>m2</x:v>
      </x:c>
      <x:c r="G61" s="17" t="n">
        <x:v>3279628822.71</x:v>
      </x:c>
      <x:c r="H61" s="17" t="n">
        <x:v>2376272759.94</x:v>
      </x:c>
      <x:c r="I61" s="17" t="n">
        <x:f>IF(AND(L61,ISNUMBER(G61),ISNUMBER(H61)),G61-H61,"n.a.")</x:f>
        <x:v>903356062.77</x:v>
      </x:c>
      <x:c r="J61" s="15" t="n">
        <x:f>IF(AND(L61,ISNUMBER(G61),ISNUMBER(H61),H61&gt;0),(G61-H61)/H61,"n.a.")</x:f>
        <x:v>0.3801567219046055</x:v>
      </x:c>
      <x:c r="K61" s="19" t="n">
        <x:f>IF(ISNUMBER(J61),ABS(J61),"n.a.")</x:f>
        <x:v>0.3801567219046055</x:v>
      </x:c>
      <x:c r="L61" s="13" t="b">
        <x:v>1</x:v>
      </x:c>
      <x:c r="M61" s="13" t="b">
        <x:v>1</x:v>
      </x:c>
      <x:c r="N61" s="2" t="str">
        <x:v>qualified_source_frame_numeric_summary</x:v>
      </x:c>
      <x:c r="O61" s="2" t="str">
        <x:v>none</x:v>
      </x:c>
      <x:c r="P61" s="2" t="str">
        <x:v>nominal2020; Overture geometry2024-07-22.0; height support2018</x:v>
      </x:c>
      <x:c r="Q61" s="2" t="str">
        <x:v>Adjusted GADM4.1 boundaries; included Overture coverage unknown; China shortfall flagged; not a contemporaneous2020 census</x:v>
      </x:c>
      <x:c r="R61" s="2" t="str">
        <x:v>https://data.jrc.ec.europa.eu/dataset/f41a22f1-5741-4c41-86eb-6384654f6927</x:v>
      </x:c>
      <x:c r="S61" s="13" t="b">
        <x:v>0</x:v>
      </x:c>
      <x:c r="T61" s="13" t="b">
        <x:v>0</x:v>
      </x:c>
    </x:row>
    <x:row r="62" ht="23" customHeight="1">
      <x:c r="A62" s="2" t="str">
        <x:v>EST</x:v>
      </x:c>
      <x:c r="B62" s="2" t="str">
        <x:v>Estonia (Republic of)</x:v>
      </x:c>
      <x:c r="C62" s="2" t="n">
        <x:v>2020</x:v>
      </x:c>
      <x:c r="D62" s="2" t="str">
        <x:v>OBAT_FOOTPRINT</x:v>
      </x:c>
      <x:c r="E62" s="2" t="str">
        <x:v>horizontal surface / footprint</x:v>
      </x:c>
      <x:c r="F62" s="2" t="str">
        <x:v>m2</x:v>
      </x:c>
      <x:c r="G62" s="17" t="n">
        <x:v>113094705.37</x:v>
      </x:c>
      <x:c r="H62" s="17" t="n">
        <x:v>139863540.52</x:v>
      </x:c>
      <x:c r="I62" s="17" t="n">
        <x:f>IF(AND(L62,ISNUMBER(G62),ISNUMBER(H62)),G62-H62,"n.a.")</x:f>
        <x:v>-26768835.150000006</x:v>
      </x:c>
      <x:c r="J62" s="15" t="n">
        <x:f>IF(AND(L62,ISNUMBER(G62),ISNUMBER(H62),H62&gt;0),(G62-H62)/H62,"n.a.")</x:f>
        <x:v>-0.19139251766740564</x:v>
      </x:c>
      <x:c r="K62" s="19" t="n">
        <x:f>IF(ISNUMBER(J62),ABS(J62),"n.a.")</x:f>
        <x:v>0.19139251766740564</x:v>
      </x:c>
      <x:c r="L62" s="13" t="b">
        <x:v>1</x:v>
      </x:c>
      <x:c r="M62" s="13" t="b">
        <x:v>1</x:v>
      </x:c>
      <x:c r="N62" s="2" t="str">
        <x:v>qualified_source_frame_numeric_summary</x:v>
      </x:c>
      <x:c r="O62" s="2" t="str">
        <x:v>none</x:v>
      </x:c>
      <x:c r="P62" s="2" t="str">
        <x:v>nominal2020; Overture geometry2024-07-22.0; height support2018</x:v>
      </x:c>
      <x:c r="Q62" s="2" t="str">
        <x:v>Adjusted GADM4.1 boundaries; included Overture coverage unknown; China shortfall flagged; not a contemporaneous2020 census</x:v>
      </x:c>
      <x:c r="R62" s="2" t="str">
        <x:v>https://data.jrc.ec.europa.eu/dataset/f41a22f1-5741-4c41-86eb-6384654f6927</x:v>
      </x:c>
      <x:c r="S62" s="13" t="b">
        <x:v>0</x:v>
      </x:c>
      <x:c r="T62" s="13" t="b">
        <x:v>0</x:v>
      </x:c>
    </x:row>
    <x:row r="63" ht="23" customHeight="1">
      <x:c r="A63" s="2" t="str">
        <x:v>ETH</x:v>
      </x:c>
      <x:c r="B63" s="2" t="str">
        <x:v>Ethiopia (Federal Democratic Republic of)</x:v>
      </x:c>
      <x:c r="C63" s="2" t="n">
        <x:v>2020</x:v>
      </x:c>
      <x:c r="D63" s="2" t="str">
        <x:v>OBAT_FOOTPRINT</x:v>
      </x:c>
      <x:c r="E63" s="2" t="str">
        <x:v>horizontal surface / footprint</x:v>
      </x:c>
      <x:c r="F63" s="2" t="str">
        <x:v>m2</x:v>
      </x:c>
      <x:c r="G63" s="17" t="n">
        <x:v>1660821510.71</x:v>
      </x:c>
      <x:c r="H63" s="17" t="n">
        <x:v>1978956437.79</x:v>
      </x:c>
      <x:c r="I63" s="17" t="n">
        <x:f>IF(AND(L63,ISNUMBER(G63),ISNUMBER(H63)),G63-H63,"n.a.")</x:f>
        <x:v>-318134927.0799999</x:v>
      </x:c>
      <x:c r="J63" s="15" t="n">
        <x:f>IF(AND(L63,ISNUMBER(G63),ISNUMBER(H63),H63&gt;0),(G63-H63)/H63,"n.a.")</x:f>
        <x:v>-0.16075893385267095</x:v>
      </x:c>
      <x:c r="K63" s="19" t="n">
        <x:f>IF(ISNUMBER(J63),ABS(J63),"n.a.")</x:f>
        <x:v>0.16075893385267095</x:v>
      </x:c>
      <x:c r="L63" s="13" t="b">
        <x:v>1</x:v>
      </x:c>
      <x:c r="M63" s="13" t="b">
        <x:v>1</x:v>
      </x:c>
      <x:c r="N63" s="2" t="str">
        <x:v>qualified_source_frame_numeric_summary</x:v>
      </x:c>
      <x:c r="O63" s="2" t="str">
        <x:v>none</x:v>
      </x:c>
      <x:c r="P63" s="2" t="str">
        <x:v>nominal2020; Overture geometry2024-07-22.0; height support2018</x:v>
      </x:c>
      <x:c r="Q63" s="2" t="str">
        <x:v>Adjusted GADM4.1 boundaries; included Overture coverage unknown; China shortfall flagged; not a contemporaneous2020 census</x:v>
      </x:c>
      <x:c r="R63" s="2" t="str">
        <x:v>https://data.jrc.ec.europa.eu/dataset/f41a22f1-5741-4c41-86eb-6384654f6927</x:v>
      </x:c>
      <x:c r="S63" s="13" t="b">
        <x:v>0</x:v>
      </x:c>
      <x:c r="T63" s="13" t="b">
        <x:v>0</x:v>
      </x:c>
    </x:row>
    <x:row r="64" ht="23" customHeight="1">
      <x:c r="A64" s="2" t="str">
        <x:v>FIN</x:v>
      </x:c>
      <x:c r="B64" s="2" t="str">
        <x:v>Finland (Republic of)</x:v>
      </x:c>
      <x:c r="C64" s="2" t="n">
        <x:v>2020</x:v>
      </x:c>
      <x:c r="D64" s="2" t="str">
        <x:v>OBAT_FOOTPRINT</x:v>
      </x:c>
      <x:c r="E64" s="2" t="str">
        <x:v>horizontal surface / footprint</x:v>
      </x:c>
      <x:c r="F64" s="2" t="str">
        <x:v>m2</x:v>
      </x:c>
      <x:c r="G64" s="17" t="n">
        <x:v>615866742.34</x:v>
      </x:c>
      <x:c r="H64" s="17" t="n">
        <x:v>768830654.99</x:v>
      </x:c>
      <x:c r="I64" s="17" t="n">
        <x:f>IF(AND(L64,ISNUMBER(G64),ISNUMBER(H64)),G64-H64,"n.a.")</x:f>
        <x:v>-152963912.64999998</x:v>
      </x:c>
      <x:c r="J64" s="15" t="n">
        <x:f>IF(AND(L64,ISNUMBER(G64),ISNUMBER(H64),H64&gt;0),(G64-H64)/H64,"n.a.")</x:f>
        <x:v>-0.1989565734108112</x:v>
      </x:c>
      <x:c r="K64" s="19" t="n">
        <x:f>IF(ISNUMBER(J64),ABS(J64),"n.a.")</x:f>
        <x:v>0.1989565734108112</x:v>
      </x:c>
      <x:c r="L64" s="13" t="b">
        <x:v>1</x:v>
      </x:c>
      <x:c r="M64" s="13" t="b">
        <x:v>1</x:v>
      </x:c>
      <x:c r="N64" s="2" t="str">
        <x:v>qualified_source_frame_numeric_summary</x:v>
      </x:c>
      <x:c r="O64" s="2" t="str">
        <x:v>none</x:v>
      </x:c>
      <x:c r="P64" s="2" t="str">
        <x:v>nominal2020; Overture geometry2024-07-22.0; height support2018</x:v>
      </x:c>
      <x:c r="Q64" s="2" t="str">
        <x:v>Adjusted GADM4.1 boundaries; included Overture coverage unknown; China shortfall flagged; not a contemporaneous2020 census</x:v>
      </x:c>
      <x:c r="R64" s="2" t="str">
        <x:v>https://data.jrc.ec.europa.eu/dataset/f41a22f1-5741-4c41-86eb-6384654f6927</x:v>
      </x:c>
      <x:c r="S64" s="13" t="b">
        <x:v>0</x:v>
      </x:c>
      <x:c r="T64" s="13" t="b">
        <x:v>0</x:v>
      </x:c>
    </x:row>
    <x:row r="65" ht="23" customHeight="1">
      <x:c r="A65" s="2" t="str">
        <x:v>FJI</x:v>
      </x:c>
      <x:c r="B65" s="2" t="str">
        <x:v>Fiji (Republic of)</x:v>
      </x:c>
      <x:c r="C65" s="2" t="n">
        <x:v>2020</x:v>
      </x:c>
      <x:c r="D65" s="2" t="str">
        <x:v>OBAT_FOOTPRINT</x:v>
      </x:c>
      <x:c r="E65" s="2" t="str">
        <x:v>horizontal surface / footprint</x:v>
      </x:c>
      <x:c r="F65" s="2" t="str">
        <x:v>m2</x:v>
      </x:c>
      <x:c r="G65" s="17" t="n">
        <x:v>37460168.12</x:v>
      </x:c>
      <x:c r="H65" s="17" t="n">
        <x:v>38478182.33</x:v>
      </x:c>
      <x:c r="I65" s="17" t="n">
        <x:f>IF(AND(L65,ISNUMBER(G65),ISNUMBER(H65)),G65-H65,"n.a.")</x:f>
        <x:v>-1018014.2100000009</x:v>
      </x:c>
      <x:c r="J65" s="15" t="n">
        <x:f>IF(AND(L65,ISNUMBER(G65),ISNUMBER(H65),H65&gt;0),(G65-H65)/H65,"n.a.")</x:f>
        <x:v>-0.026456920476887844</x:v>
      </x:c>
      <x:c r="K65" s="19" t="n">
        <x:f>IF(ISNUMBER(J65),ABS(J65),"n.a.")</x:f>
        <x:v>0.026456920476887844</x:v>
      </x:c>
      <x:c r="L65" s="13" t="b">
        <x:v>1</x:v>
      </x:c>
      <x:c r="M65" s="13" t="b">
        <x:v>1</x:v>
      </x:c>
      <x:c r="N65" s="2" t="str">
        <x:v>qualified_source_frame_numeric_summary</x:v>
      </x:c>
      <x:c r="O65" s="2" t="str">
        <x:v>none</x:v>
      </x:c>
      <x:c r="P65" s="2" t="str">
        <x:v>nominal2020; Overture geometry2024-07-22.0; height support2018</x:v>
      </x:c>
      <x:c r="Q65" s="2" t="str">
        <x:v>Adjusted GADM4.1 boundaries; included Overture coverage unknown; China shortfall flagged; not a contemporaneous2020 census</x:v>
      </x:c>
      <x:c r="R65" s="2" t="str">
        <x:v>https://data.jrc.ec.europa.eu/dataset/f41a22f1-5741-4c41-86eb-6384654f6927</x:v>
      </x:c>
      <x:c r="S65" s="13" t="b">
        <x:v>0</x:v>
      </x:c>
      <x:c r="T65" s="13" t="b">
        <x:v>0</x:v>
      </x:c>
    </x:row>
    <x:row r="66" ht="23" customHeight="1">
      <x:c r="A66" s="2" t="str">
        <x:v>FRA</x:v>
      </x:c>
      <x:c r="B66" s="2" t="str">
        <x:v>France (French Republic)</x:v>
      </x:c>
      <x:c r="C66" s="2" t="n">
        <x:v>2020</x:v>
      </x:c>
      <x:c r="D66" s="2" t="str">
        <x:v>OBAT_FOOTPRINT</x:v>
      </x:c>
      <x:c r="E66" s="2" t="str">
        <x:v>horizontal surface / footprint</x:v>
      </x:c>
      <x:c r="F66" s="2" t="str">
        <x:v>m2</x:v>
      </x:c>
      <x:c r="G66" s="17" t="n">
        <x:v>6074526882.68</x:v>
      </x:c>
      <x:c r="H66" s="17" t="n">
        <x:v>6038004799.940001</x:v>
      </x:c>
      <x:c r="I66" s="17" t="n">
        <x:f>IF(AND(L66,ISNUMBER(G66),ISNUMBER(H66)),G66-H66,"n.a.")</x:f>
        <x:v>36522082.73999977</x:v>
      </x:c>
      <x:c r="J66" s="15" t="n">
        <x:f>IF(AND(L66,ISNUMBER(G66),ISNUMBER(H66),H66&gt;0),(G66-H66)/H66,"n.a.")</x:f>
        <x:v>0.006048700514508152</x:v>
      </x:c>
      <x:c r="K66" s="19" t="n">
        <x:f>IF(ISNUMBER(J66),ABS(J66),"n.a.")</x:f>
        <x:v>0.006048700514508152</x:v>
      </x:c>
      <x:c r="L66" s="13" t="b">
        <x:v>1</x:v>
      </x:c>
      <x:c r="M66" s="13" t="b">
        <x:v>1</x:v>
      </x:c>
      <x:c r="N66" s="2" t="str">
        <x:v>qualified_source_frame_numeric_summary</x:v>
      </x:c>
      <x:c r="O66" s="2" t="str">
        <x:v>none</x:v>
      </x:c>
      <x:c r="P66" s="2" t="str">
        <x:v>nominal2020; Overture geometry2024-07-22.0; height support2018</x:v>
      </x:c>
      <x:c r="Q66" s="2" t="str">
        <x:v>Adjusted GADM4.1 boundaries; included Overture coverage unknown; China shortfall flagged; not a contemporaneous2020 census</x:v>
      </x:c>
      <x:c r="R66" s="2" t="str">
        <x:v>https://data.jrc.ec.europa.eu/dataset/f41a22f1-5741-4c41-86eb-6384654f6927</x:v>
      </x:c>
      <x:c r="S66" s="13" t="b">
        <x:v>0</x:v>
      </x:c>
      <x:c r="T66" s="13" t="b">
        <x:v>0</x:v>
      </x:c>
    </x:row>
    <x:row r="67" ht="23" customHeight="1">
      <x:c r="A67" s="2" t="str">
        <x:v>FSM</x:v>
      </x:c>
      <x:c r="B67" s="2" t="str">
        <x:v>Micronesia (Federated States of)</x:v>
      </x:c>
      <x:c r="C67" s="2" t="n">
        <x:v>2020</x:v>
      </x:c>
      <x:c r="D67" s="2" t="str">
        <x:v>OBAT_FOOTPRINT</x:v>
      </x:c>
      <x:c r="E67" s="2" t="str">
        <x:v>horizontal surface / footprint</x:v>
      </x:c>
      <x:c r="F67" s="2" t="str">
        <x:v>m2</x:v>
      </x:c>
      <x:c r="G67" s="17" t="n">
        <x:v>2177822.61</x:v>
      </x:c>
      <x:c r="H67" s="17" t="n">
        <x:v>3275334.33</x:v>
      </x:c>
      <x:c r="I67" s="17" t="n">
        <x:f>IF(AND(L67,ISNUMBER(G67),ISNUMBER(H67)),G67-H67,"n.a.")</x:f>
        <x:v>-1097511.7200000002</x:v>
      </x:c>
      <x:c r="J67" s="15" t="n">
        <x:f>IF(AND(L67,ISNUMBER(G67),ISNUMBER(H67),H67&gt;0),(G67-H67)/H67,"n.a.")</x:f>
        <x:v>-0.3350838752390814</x:v>
      </x:c>
      <x:c r="K67" s="19" t="n">
        <x:f>IF(ISNUMBER(J67),ABS(J67),"n.a.")</x:f>
        <x:v>0.3350838752390814</x:v>
      </x:c>
      <x:c r="L67" s="13" t="b">
        <x:v>1</x:v>
      </x:c>
      <x:c r="M67" s="13" t="b">
        <x:v>1</x:v>
      </x:c>
      <x:c r="N67" s="2" t="str">
        <x:v>qualified_source_frame_numeric_summary</x:v>
      </x:c>
      <x:c r="O67" s="2" t="str">
        <x:v>none</x:v>
      </x:c>
      <x:c r="P67" s="2" t="str">
        <x:v>nominal2020; Overture geometry2024-07-22.0; height support2018</x:v>
      </x:c>
      <x:c r="Q67" s="2" t="str">
        <x:v>Adjusted GADM4.1 boundaries; included Overture coverage unknown; China shortfall flagged; not a contemporaneous2020 census</x:v>
      </x:c>
      <x:c r="R67" s="2" t="str">
        <x:v>https://data.jrc.ec.europa.eu/dataset/f41a22f1-5741-4c41-86eb-6384654f6927</x:v>
      </x:c>
      <x:c r="S67" s="13" t="b">
        <x:v>0</x:v>
      </x:c>
      <x:c r="T67" s="13" t="b">
        <x:v>0</x:v>
      </x:c>
    </x:row>
    <x:row r="68" ht="23" customHeight="1">
      <x:c r="A68" s="2" t="str">
        <x:v>GAB</x:v>
      </x:c>
      <x:c r="B68" s="2" t="str">
        <x:v>Gabon (Gabonese Republic)</x:v>
      </x:c>
      <x:c r="C68" s="2" t="n">
        <x:v>2020</x:v>
      </x:c>
      <x:c r="D68" s="2" t="str">
        <x:v>OBAT_FOOTPRINT</x:v>
      </x:c>
      <x:c r="E68" s="2" t="str">
        <x:v>horizontal surface / footprint</x:v>
      </x:c>
      <x:c r="F68" s="2" t="str">
        <x:v>m2</x:v>
      </x:c>
      <x:c r="G68" s="17" t="n">
        <x:v>73743642.56</x:v>
      </x:c>
      <x:c r="H68" s="17" t="n">
        <x:v>77565730.08</x:v>
      </x:c>
      <x:c r="I68" s="17" t="n">
        <x:f>IF(AND(L68,ISNUMBER(G68),ISNUMBER(H68)),G68-H68,"n.a.")</x:f>
        <x:v>-3822087.519999996</x:v>
      </x:c>
      <x:c r="J68" s="15" t="n">
        <x:f>IF(AND(L68,ISNUMBER(G68),ISNUMBER(H68),H68&gt;0),(G68-H68)/H68,"n.a.")</x:f>
        <x:v>-0.04927546631815311</x:v>
      </x:c>
      <x:c r="K68" s="19" t="n">
        <x:f>IF(ISNUMBER(J68),ABS(J68),"n.a.")</x:f>
        <x:v>0.04927546631815311</x:v>
      </x:c>
      <x:c r="L68" s="13" t="b">
        <x:v>1</x:v>
      </x:c>
      <x:c r="M68" s="13" t="b">
        <x:v>1</x:v>
      </x:c>
      <x:c r="N68" s="2" t="str">
        <x:v>qualified_source_frame_numeric_summary</x:v>
      </x:c>
      <x:c r="O68" s="2" t="str">
        <x:v>none</x:v>
      </x:c>
      <x:c r="P68" s="2" t="str">
        <x:v>nominal2020; Overture geometry2024-07-22.0; height support2018</x:v>
      </x:c>
      <x:c r="Q68" s="2" t="str">
        <x:v>Adjusted GADM4.1 boundaries; included Overture coverage unknown; China shortfall flagged; not a contemporaneous2020 census</x:v>
      </x:c>
      <x:c r="R68" s="2" t="str">
        <x:v>https://data.jrc.ec.europa.eu/dataset/f41a22f1-5741-4c41-86eb-6384654f6927</x:v>
      </x:c>
      <x:c r="S68" s="13" t="b">
        <x:v>0</x:v>
      </x:c>
      <x:c r="T68" s="13" t="b">
        <x:v>0</x:v>
      </x:c>
    </x:row>
    <x:row r="69" ht="23" customHeight="1">
      <x:c r="A69" s="2" t="str">
        <x:v>GBR</x:v>
      </x:c>
      <x:c r="B69" s="2" t="str">
        <x:v>United Kingdom of Great Britain and Northern Ireland</x:v>
      </x:c>
      <x:c r="C69" s="2" t="n">
        <x:v>2020</x:v>
      </x:c>
      <x:c r="D69" s="2" t="str">
        <x:v>OBAT_FOOTPRINT</x:v>
      </x:c>
      <x:c r="E69" s="2" t="str">
        <x:v>horizontal surface / footprint</x:v>
      </x:c>
      <x:c r="F69" s="2" t="str">
        <x:v>m2</x:v>
      </x:c>
      <x:c r="G69" s="17" t="n">
        <x:v>3400930204.99</x:v>
      </x:c>
      <x:c r="H69" s="17" t="n">
        <x:v>3467465838.2599998</x:v>
      </x:c>
      <x:c r="I69" s="17" t="n">
        <x:f>IF(AND(L69,ISNUMBER(G69),ISNUMBER(H69)),G69-H69,"n.a.")</x:f>
        <x:v>-66535633.26999998</x:v>
      </x:c>
      <x:c r="J69" s="15" t="n">
        <x:f>IF(AND(L69,ISNUMBER(G69),ISNUMBER(H69),H69&gt;0),(G69-H69)/H69,"n.a.")</x:f>
        <x:v>-0.019188547594570695</x:v>
      </x:c>
      <x:c r="K69" s="19" t="n">
        <x:f>IF(ISNUMBER(J69),ABS(J69),"n.a.")</x:f>
        <x:v>0.019188547594570695</x:v>
      </x:c>
      <x:c r="L69" s="13" t="b">
        <x:v>1</x:v>
      </x:c>
      <x:c r="M69" s="13" t="b">
        <x:v>1</x:v>
      </x:c>
      <x:c r="N69" s="2" t="str">
        <x:v>qualified_source_frame_numeric_summary</x:v>
      </x:c>
      <x:c r="O69" s="2" t="str">
        <x:v>none</x:v>
      </x:c>
      <x:c r="P69" s="2" t="str">
        <x:v>nominal2020; Overture geometry2024-07-22.0; height support2018</x:v>
      </x:c>
      <x:c r="Q69" s="2" t="str">
        <x:v>Adjusted GADM4.1 boundaries; included Overture coverage unknown; China shortfall flagged; not a contemporaneous2020 census</x:v>
      </x:c>
      <x:c r="R69" s="2" t="str">
        <x:v>https://data.jrc.ec.europa.eu/dataset/f41a22f1-5741-4c41-86eb-6384654f6927</x:v>
      </x:c>
      <x:c r="S69" s="13" t="b">
        <x:v>0</x:v>
      </x:c>
      <x:c r="T69" s="13" t="b">
        <x:v>0</x:v>
      </x:c>
    </x:row>
    <x:row r="70" ht="23" customHeight="1">
      <x:c r="A70" s="2" t="str">
        <x:v>GEO</x:v>
      </x:c>
      <x:c r="B70" s="2" t="str">
        <x:v>Georgia</x:v>
      </x:c>
      <x:c r="C70" s="2" t="n">
        <x:v>2020</x:v>
      </x:c>
      <x:c r="D70" s="2" t="str">
        <x:v>OBAT_FOOTPRINT</x:v>
      </x:c>
      <x:c r="E70" s="2" t="str">
        <x:v>horizontal surface / footprint</x:v>
      </x:c>
      <x:c r="F70" s="2" t="str">
        <x:v>m2</x:v>
      </x:c>
      <x:c r="G70" s="17" t="n">
        <x:v>242256071.04</x:v>
      </x:c>
      <x:c r="H70" s="17" t="n">
        <x:v>197472815.59</x:v>
      </x:c>
      <x:c r="I70" s="17" t="n">
        <x:f>IF(AND(L70,ISNUMBER(G70),ISNUMBER(H70)),G70-H70,"n.a.")</x:f>
        <x:v>44783255.44999999</x:v>
      </x:c>
      <x:c r="J70" s="15" t="n">
        <x:f>IF(AND(L70,ISNUMBER(G70),ISNUMBER(H70),H70&gt;0),(G70-H70)/H70,"n.a.")</x:f>
        <x:v>0.22678187534926608</x:v>
      </x:c>
      <x:c r="K70" s="19" t="n">
        <x:f>IF(ISNUMBER(J70),ABS(J70),"n.a.")</x:f>
        <x:v>0.22678187534926608</x:v>
      </x:c>
      <x:c r="L70" s="13" t="b">
        <x:v>1</x:v>
      </x:c>
      <x:c r="M70" s="13" t="b">
        <x:v>1</x:v>
      </x:c>
      <x:c r="N70" s="2" t="str">
        <x:v>qualified_source_frame_numeric_summary</x:v>
      </x:c>
      <x:c r="O70" s="2" t="str">
        <x:v>none</x:v>
      </x:c>
      <x:c r="P70" s="2" t="str">
        <x:v>nominal2020; Overture geometry2024-07-22.0; height support2018</x:v>
      </x:c>
      <x:c r="Q70" s="2" t="str">
        <x:v>Adjusted GADM4.1 boundaries; included Overture coverage unknown; China shortfall flagged; not a contemporaneous2020 census</x:v>
      </x:c>
      <x:c r="R70" s="2" t="str">
        <x:v>https://data.jrc.ec.europa.eu/dataset/f41a22f1-5741-4c41-86eb-6384654f6927</x:v>
      </x:c>
      <x:c r="S70" s="13" t="b">
        <x:v>0</x:v>
      </x:c>
      <x:c r="T70" s="13" t="b">
        <x:v>0</x:v>
      </x:c>
    </x:row>
    <x:row r="71" ht="23" customHeight="1">
      <x:c r="A71" s="2" t="str">
        <x:v>GHA</x:v>
      </x:c>
      <x:c r="B71" s="2" t="str">
        <x:v>Ghana (Republic of)</x:v>
      </x:c>
      <x:c r="C71" s="2" t="n">
        <x:v>2020</x:v>
      </x:c>
      <x:c r="D71" s="2" t="str">
        <x:v>OBAT_FOOTPRINT</x:v>
      </x:c>
      <x:c r="E71" s="2" t="str">
        <x:v>horizontal surface / footprint</x:v>
      </x:c>
      <x:c r="F71" s="2" t="str">
        <x:v>m2</x:v>
      </x:c>
      <x:c r="G71" s="17" t="n">
        <x:v>958424622.62</x:v>
      </x:c>
      <x:c r="H71" s="17" t="n">
        <x:v>1068207935.5699999</x:v>
      </x:c>
      <x:c r="I71" s="17" t="n">
        <x:f>IF(AND(L71,ISNUMBER(G71),ISNUMBER(H71)),G71-H71,"n.a.")</x:f>
        <x:v>-109783312.94999993</x:v>
      </x:c>
      <x:c r="J71" s="15" t="n">
        <x:f>IF(AND(L71,ISNUMBER(G71),ISNUMBER(H71),H71&gt;0),(G71-H71)/H71,"n.a.")</x:f>
        <x:v>-0.1027733546010582</x:v>
      </x:c>
      <x:c r="K71" s="19" t="n">
        <x:f>IF(ISNUMBER(J71),ABS(J71),"n.a.")</x:f>
        <x:v>0.1027733546010582</x:v>
      </x:c>
      <x:c r="L71" s="13" t="b">
        <x:v>1</x:v>
      </x:c>
      <x:c r="M71" s="13" t="b">
        <x:v>1</x:v>
      </x:c>
      <x:c r="N71" s="2" t="str">
        <x:v>qualified_source_frame_numeric_summary</x:v>
      </x:c>
      <x:c r="O71" s="2" t="str">
        <x:v>none</x:v>
      </x:c>
      <x:c r="P71" s="2" t="str">
        <x:v>nominal2020; Overture geometry2024-07-22.0; height support2018</x:v>
      </x:c>
      <x:c r="Q71" s="2" t="str">
        <x:v>Adjusted GADM4.1 boundaries; included Overture coverage unknown; China shortfall flagged; not a contemporaneous2020 census</x:v>
      </x:c>
      <x:c r="R71" s="2" t="str">
        <x:v>https://data.jrc.ec.europa.eu/dataset/f41a22f1-5741-4c41-86eb-6384654f6927</x:v>
      </x:c>
      <x:c r="S71" s="13" t="b">
        <x:v>0</x:v>
      </x:c>
      <x:c r="T71" s="13" t="b">
        <x:v>0</x:v>
      </x:c>
    </x:row>
    <x:row r="72" ht="23" customHeight="1">
      <x:c r="A72" s="2" t="str">
        <x:v>GIN</x:v>
      </x:c>
      <x:c r="B72" s="2" t="str">
        <x:v>Guinea (Republic of)</x:v>
      </x:c>
      <x:c r="C72" s="2" t="n">
        <x:v>2020</x:v>
      </x:c>
      <x:c r="D72" s="2" t="str">
        <x:v>OBAT_FOOTPRINT</x:v>
      </x:c>
      <x:c r="E72" s="2" t="str">
        <x:v>horizontal surface / footprint</x:v>
      </x:c>
      <x:c r="F72" s="2" t="str">
        <x:v>m2</x:v>
      </x:c>
      <x:c r="G72" s="17" t="n">
        <x:v>277637578.23</x:v>
      </x:c>
      <x:c r="H72" s="17" t="n">
        <x:v>316896817.86</x:v>
      </x:c>
      <x:c r="I72" s="17" t="n">
        <x:f>IF(AND(L72,ISNUMBER(G72),ISNUMBER(H72)),G72-H72,"n.a.")</x:f>
        <x:v>-39259239.629999995</x:v>
      </x:c>
      <x:c r="J72" s="15" t="n">
        <x:f>IF(AND(L72,ISNUMBER(G72),ISNUMBER(H72),H72&gt;0),(G72-H72)/H72,"n.a.")</x:f>
        <x:v>-0.12388650632441536</x:v>
      </x:c>
      <x:c r="K72" s="19" t="n">
        <x:f>IF(ISNUMBER(J72),ABS(J72),"n.a.")</x:f>
        <x:v>0.12388650632441536</x:v>
      </x:c>
      <x:c r="L72" s="13" t="b">
        <x:v>1</x:v>
      </x:c>
      <x:c r="M72" s="13" t="b">
        <x:v>1</x:v>
      </x:c>
      <x:c r="N72" s="2" t="str">
        <x:v>qualified_source_frame_numeric_summary</x:v>
      </x:c>
      <x:c r="O72" s="2" t="str">
        <x:v>none</x:v>
      </x:c>
      <x:c r="P72" s="2" t="str">
        <x:v>nominal2020; Overture geometry2024-07-22.0; height support2018</x:v>
      </x:c>
      <x:c r="Q72" s="2" t="str">
        <x:v>Adjusted GADM4.1 boundaries; included Overture coverage unknown; China shortfall flagged; not a contemporaneous2020 census</x:v>
      </x:c>
      <x:c r="R72" s="2" t="str">
        <x:v>https://data.jrc.ec.europa.eu/dataset/f41a22f1-5741-4c41-86eb-6384654f6927</x:v>
      </x:c>
      <x:c r="S72" s="13" t="b">
        <x:v>0</x:v>
      </x:c>
      <x:c r="T72" s="13" t="b">
        <x:v>0</x:v>
      </x:c>
    </x:row>
    <x:row r="73" ht="23" customHeight="1">
      <x:c r="A73" s="2" t="str">
        <x:v>GMB</x:v>
      </x:c>
      <x:c r="B73" s="2" t="str">
        <x:v>Gambia (Republic of the)</x:v>
      </x:c>
      <x:c r="C73" s="2" t="n">
        <x:v>2020</x:v>
      </x:c>
      <x:c r="D73" s="2" t="str">
        <x:v>OBAT_FOOTPRINT</x:v>
      </x:c>
      <x:c r="E73" s="2" t="str">
        <x:v>horizontal surface / footprint</x:v>
      </x:c>
      <x:c r="F73" s="2" t="str">
        <x:v>m2</x:v>
      </x:c>
      <x:c r="G73" s="17" t="n">
        <x:v>56875154.53</x:v>
      </x:c>
      <x:c r="H73" s="17" t="n">
        <x:v>63782562.73</x:v>
      </x:c>
      <x:c r="I73" s="17" t="n">
        <x:f>IF(AND(L73,ISNUMBER(G73),ISNUMBER(H73)),G73-H73,"n.a.")</x:f>
        <x:v>-6907408.1999999955</x:v>
      </x:c>
      <x:c r="J73" s="15" t="n">
        <x:f>IF(AND(L73,ISNUMBER(G73),ISNUMBER(H73),H73&gt;0),(G73-H73)/H73,"n.a.")</x:f>
        <x:v>-0.10829618479332613</x:v>
      </x:c>
      <x:c r="K73" s="19" t="n">
        <x:f>IF(ISNUMBER(J73),ABS(J73),"n.a.")</x:f>
        <x:v>0.10829618479332613</x:v>
      </x:c>
      <x:c r="L73" s="13" t="b">
        <x:v>1</x:v>
      </x:c>
      <x:c r="M73" s="13" t="b">
        <x:v>1</x:v>
      </x:c>
      <x:c r="N73" s="2" t="str">
        <x:v>qualified_source_frame_numeric_summary</x:v>
      </x:c>
      <x:c r="O73" s="2" t="str">
        <x:v>none</x:v>
      </x:c>
      <x:c r="P73" s="2" t="str">
        <x:v>nominal2020; Overture geometry2024-07-22.0; height support2018</x:v>
      </x:c>
      <x:c r="Q73" s="2" t="str">
        <x:v>Adjusted GADM4.1 boundaries; included Overture coverage unknown; China shortfall flagged; not a contemporaneous2020 census</x:v>
      </x:c>
      <x:c r="R73" s="2" t="str">
        <x:v>https://data.jrc.ec.europa.eu/dataset/f41a22f1-5741-4c41-86eb-6384654f6927</x:v>
      </x:c>
      <x:c r="S73" s="13" t="b">
        <x:v>0</x:v>
      </x:c>
      <x:c r="T73" s="13" t="b">
        <x:v>0</x:v>
      </x:c>
    </x:row>
    <x:row r="74" ht="23" customHeight="1">
      <x:c r="A74" s="2" t="str">
        <x:v>GNB</x:v>
      </x:c>
      <x:c r="B74" s="2" t="str">
        <x:v>Guinea-Bissau (Republic of)</x:v>
      </x:c>
      <x:c r="C74" s="2" t="n">
        <x:v>2020</x:v>
      </x:c>
      <x:c r="D74" s="2" t="str">
        <x:v>OBAT_FOOTPRINT</x:v>
      </x:c>
      <x:c r="E74" s="2" t="str">
        <x:v>horizontal surface / footprint</x:v>
      </x:c>
      <x:c r="F74" s="2" t="str">
        <x:v>m2</x:v>
      </x:c>
      <x:c r="G74" s="17" t="n">
        <x:v>48952674.5</x:v>
      </x:c>
      <x:c r="H74" s="17" t="n">
        <x:v>56377366.940000005</x:v>
      </x:c>
      <x:c r="I74" s="17" t="n">
        <x:f>IF(AND(L74,ISNUMBER(G74),ISNUMBER(H74)),G74-H74,"n.a.")</x:f>
        <x:v>-7424692.440000005</x:v>
      </x:c>
      <x:c r="J74" s="15" t="n">
        <x:f>IF(AND(L74,ISNUMBER(G74),ISNUMBER(H74),H74&gt;0),(G74-H74)/H74,"n.a.")</x:f>
        <x:v>-0.13169633210968834</x:v>
      </x:c>
      <x:c r="K74" s="19" t="n">
        <x:f>IF(ISNUMBER(J74),ABS(J74),"n.a.")</x:f>
        <x:v>0.13169633210968834</x:v>
      </x:c>
      <x:c r="L74" s="13" t="b">
        <x:v>1</x:v>
      </x:c>
      <x:c r="M74" s="13" t="b">
        <x:v>1</x:v>
      </x:c>
      <x:c r="N74" s="2" t="str">
        <x:v>qualified_source_frame_numeric_summary</x:v>
      </x:c>
      <x:c r="O74" s="2" t="str">
        <x:v>none</x:v>
      </x:c>
      <x:c r="P74" s="2" t="str">
        <x:v>nominal2020; Overture geometry2024-07-22.0; height support2018</x:v>
      </x:c>
      <x:c r="Q74" s="2" t="str">
        <x:v>Adjusted GADM4.1 boundaries; included Overture coverage unknown; China shortfall flagged; not a contemporaneous2020 census</x:v>
      </x:c>
      <x:c r="R74" s="2" t="str">
        <x:v>https://data.jrc.ec.europa.eu/dataset/f41a22f1-5741-4c41-86eb-6384654f6927</x:v>
      </x:c>
      <x:c r="S74" s="13" t="b">
        <x:v>0</x:v>
      </x:c>
      <x:c r="T74" s="13" t="b">
        <x:v>0</x:v>
      </x:c>
    </x:row>
    <x:row r="75" ht="23" customHeight="1">
      <x:c r="A75" s="2" t="str">
        <x:v>GNQ</x:v>
      </x:c>
      <x:c r="B75" s="2" t="str">
        <x:v>Equatorial Guinea (Republic of)</x:v>
      </x:c>
      <x:c r="C75" s="2" t="n">
        <x:v>2020</x:v>
      </x:c>
      <x:c r="D75" s="2" t="str">
        <x:v>OBAT_FOOTPRINT</x:v>
      </x:c>
      <x:c r="E75" s="2" t="str">
        <x:v>horizontal surface / footprint</x:v>
      </x:c>
      <x:c r="F75" s="2" t="str">
        <x:v>m2</x:v>
      </x:c>
      <x:c r="G75" s="17" t="n">
        <x:v>34102626.52</x:v>
      </x:c>
      <x:c r="H75" s="17" t="n">
        <x:v>34934138.07</x:v>
      </x:c>
      <x:c r="I75" s="17" t="n">
        <x:f>IF(AND(L75,ISNUMBER(G75),ISNUMBER(H75)),G75-H75,"n.a.")</x:f>
        <x:v>-831511.549999997</x:v>
      </x:c>
      <x:c r="J75" s="15" t="n">
        <x:f>IF(AND(L75,ISNUMBER(G75),ISNUMBER(H75),H75&gt;0),(G75-H75)/H75,"n.a.")</x:f>
        <x:v>-0.023802263228416817</x:v>
      </x:c>
      <x:c r="K75" s="19" t="n">
        <x:f>IF(ISNUMBER(J75),ABS(J75),"n.a.")</x:f>
        <x:v>0.023802263228416817</x:v>
      </x:c>
      <x:c r="L75" s="13" t="b">
        <x:v>1</x:v>
      </x:c>
      <x:c r="M75" s="13" t="b">
        <x:v>1</x:v>
      </x:c>
      <x:c r="N75" s="2" t="str">
        <x:v>qualified_source_frame_numeric_summary</x:v>
      </x:c>
      <x:c r="O75" s="2" t="str">
        <x:v>none</x:v>
      </x:c>
      <x:c r="P75" s="2" t="str">
        <x:v>nominal2020; Overture geometry2024-07-22.0; height support2018</x:v>
      </x:c>
      <x:c r="Q75" s="2" t="str">
        <x:v>Adjusted GADM4.1 boundaries; included Overture coverage unknown; China shortfall flagged; not a contemporaneous2020 census</x:v>
      </x:c>
      <x:c r="R75" s="2" t="str">
        <x:v>https://data.jrc.ec.europa.eu/dataset/f41a22f1-5741-4c41-86eb-6384654f6927</x:v>
      </x:c>
      <x:c r="S75" s="13" t="b">
        <x:v>0</x:v>
      </x:c>
      <x:c r="T75" s="13" t="b">
        <x:v>0</x:v>
      </x:c>
    </x:row>
    <x:row r="76" ht="23" customHeight="1">
      <x:c r="A76" s="2" t="str">
        <x:v>GRC</x:v>
      </x:c>
      <x:c r="B76" s="2" t="str">
        <x:v>Greece (Hellenic Republic)</x:v>
      </x:c>
      <x:c r="C76" s="2" t="n">
        <x:v>2020</x:v>
      </x:c>
      <x:c r="D76" s="2" t="str">
        <x:v>OBAT_FOOTPRINT</x:v>
      </x:c>
      <x:c r="E76" s="2" t="str">
        <x:v>horizontal surface / footprint</x:v>
      </x:c>
      <x:c r="F76" s="2" t="str">
        <x:v>m2</x:v>
      </x:c>
      <x:c r="G76" s="17" t="n">
        <x:v>853851739.67</x:v>
      </x:c>
      <x:c r="H76" s="17" t="n">
        <x:v>900261233.62</x:v>
      </x:c>
      <x:c r="I76" s="17" t="n">
        <x:f>IF(AND(L76,ISNUMBER(G76),ISNUMBER(H76)),G76-H76,"n.a.")</x:f>
        <x:v>-46409493.95000005</x:v>
      </x:c>
      <x:c r="J76" s="15" t="n">
        <x:f>IF(AND(L76,ISNUMBER(G76),ISNUMBER(H76),H76&gt;0),(G76-H76)/H76,"n.a.")</x:f>
        <x:v>-0.05155114117641711</x:v>
      </x:c>
      <x:c r="K76" s="19" t="n">
        <x:f>IF(ISNUMBER(J76),ABS(J76),"n.a.")</x:f>
        <x:v>0.05155114117641711</x:v>
      </x:c>
      <x:c r="L76" s="13" t="b">
        <x:v>1</x:v>
      </x:c>
      <x:c r="M76" s="13" t="b">
        <x:v>1</x:v>
      </x:c>
      <x:c r="N76" s="2" t="str">
        <x:v>qualified_source_frame_numeric_summary</x:v>
      </x:c>
      <x:c r="O76" s="2" t="str">
        <x:v>none</x:v>
      </x:c>
      <x:c r="P76" s="2" t="str">
        <x:v>nominal2020; Overture geometry2024-07-22.0; height support2018</x:v>
      </x:c>
      <x:c r="Q76" s="2" t="str">
        <x:v>Adjusted GADM4.1 boundaries; included Overture coverage unknown; China shortfall flagged; not a contemporaneous2020 census</x:v>
      </x:c>
      <x:c r="R76" s="2" t="str">
        <x:v>https://data.jrc.ec.europa.eu/dataset/f41a22f1-5741-4c41-86eb-6384654f6927</x:v>
      </x:c>
      <x:c r="S76" s="13" t="b">
        <x:v>0</x:v>
      </x:c>
      <x:c r="T76" s="13" t="b">
        <x:v>0</x:v>
      </x:c>
    </x:row>
    <x:row r="77" ht="23" customHeight="1">
      <x:c r="A77" s="2" t="str">
        <x:v>GRD</x:v>
      </x:c>
      <x:c r="B77" s="2" t="str">
        <x:v>Grenada</x:v>
      </x:c>
      <x:c r="C77" s="2" t="n">
        <x:v>2020</x:v>
      </x:c>
      <x:c r="D77" s="2" t="str">
        <x:v>OBAT_FOOTPRINT</x:v>
      </x:c>
      <x:c r="E77" s="2" t="str">
        <x:v>horizontal surface / footprint</x:v>
      </x:c>
      <x:c r="F77" s="2" t="str">
        <x:v>m2</x:v>
      </x:c>
      <x:c r="G77" s="17" t="n">
        <x:v>6904998.42</x:v>
      </x:c>
      <x:c r="H77" s="17" t="n">
        <x:v>7432345.1500000395</x:v>
      </x:c>
      <x:c r="I77" s="17" t="n">
        <x:f>IF(AND(L77,ISNUMBER(G77),ISNUMBER(H77)),G77-H77,"n.a.")</x:f>
        <x:v>-527346.7300000396</x:v>
      </x:c>
      <x:c r="J77" s="15" t="n">
        <x:f>IF(AND(L77,ISNUMBER(G77),ISNUMBER(H77),H77&gt;0),(G77-H77)/H77,"n.a.")</x:f>
        <x:v>-0.0709529387235248</x:v>
      </x:c>
      <x:c r="K77" s="19" t="n">
        <x:f>IF(ISNUMBER(J77),ABS(J77),"n.a.")</x:f>
        <x:v>0.0709529387235248</x:v>
      </x:c>
      <x:c r="L77" s="13" t="b">
        <x:v>1</x:v>
      </x:c>
      <x:c r="M77" s="13" t="b">
        <x:v>1</x:v>
      </x:c>
      <x:c r="N77" s="2" t="str">
        <x:v>qualified_source_frame_numeric_summary</x:v>
      </x:c>
      <x:c r="O77" s="2" t="str">
        <x:v>none</x:v>
      </x:c>
      <x:c r="P77" s="2" t="str">
        <x:v>nominal2020; Overture geometry2024-07-22.0; height support2018</x:v>
      </x:c>
      <x:c r="Q77" s="2" t="str">
        <x:v>Adjusted GADM4.1 boundaries; included Overture coverage unknown; China shortfall flagged; not a contemporaneous2020 census</x:v>
      </x:c>
      <x:c r="R77" s="2" t="str">
        <x:v>https://data.jrc.ec.europa.eu/dataset/f41a22f1-5741-4c41-86eb-6384654f6927</x:v>
      </x:c>
      <x:c r="S77" s="13" t="b">
        <x:v>0</x:v>
      </x:c>
      <x:c r="T77" s="13" t="b">
        <x:v>0</x:v>
      </x:c>
    </x:row>
    <x:row r="78" ht="23" customHeight="1">
      <x:c r="A78" s="2" t="str">
        <x:v>GTM</x:v>
      </x:c>
      <x:c r="B78" s="2" t="str">
        <x:v>Guatemala (Republic of)</x:v>
      </x:c>
      <x:c r="C78" s="2" t="n">
        <x:v>2020</x:v>
      </x:c>
      <x:c r="D78" s="2" t="str">
        <x:v>OBAT_FOOTPRINT</x:v>
      </x:c>
      <x:c r="E78" s="2" t="str">
        <x:v>horizontal surface / footprint</x:v>
      </x:c>
      <x:c r="F78" s="2" t="str">
        <x:v>m2</x:v>
      </x:c>
      <x:c r="G78" s="17" t="n">
        <x:v>599114028.81</x:v>
      </x:c>
      <x:c r="H78" s="17" t="n">
        <x:v>675151613.0799999</x:v>
      </x:c>
      <x:c r="I78" s="17" t="n">
        <x:f>IF(AND(L78,ISNUMBER(G78),ISNUMBER(H78)),G78-H78,"n.a.")</x:f>
        <x:v>-76037584.26999998</x:v>
      </x:c>
      <x:c r="J78" s="15" t="n">
        <x:f>IF(AND(L78,ISNUMBER(G78),ISNUMBER(H78),H78&gt;0),(G78-H78)/H78,"n.a.")</x:f>
        <x:v>-0.11262297652392657</x:v>
      </x:c>
      <x:c r="K78" s="19" t="n">
        <x:f>IF(ISNUMBER(J78),ABS(J78),"n.a.")</x:f>
        <x:v>0.11262297652392657</x:v>
      </x:c>
      <x:c r="L78" s="13" t="b">
        <x:v>1</x:v>
      </x:c>
      <x:c r="M78" s="13" t="b">
        <x:v>1</x:v>
      </x:c>
      <x:c r="N78" s="2" t="str">
        <x:v>qualified_source_frame_numeric_summary</x:v>
      </x:c>
      <x:c r="O78" s="2" t="str">
        <x:v>none</x:v>
      </x:c>
      <x:c r="P78" s="2" t="str">
        <x:v>nominal2020; Overture geometry2024-07-22.0; height support2018</x:v>
      </x:c>
      <x:c r="Q78" s="2" t="str">
        <x:v>Adjusted GADM4.1 boundaries; included Overture coverage unknown; China shortfall flagged; not a contemporaneous2020 census</x:v>
      </x:c>
      <x:c r="R78" s="2" t="str">
        <x:v>https://data.jrc.ec.europa.eu/dataset/f41a22f1-5741-4c41-86eb-6384654f6927</x:v>
      </x:c>
      <x:c r="S78" s="13" t="b">
        <x:v>0</x:v>
      </x:c>
      <x:c r="T78" s="13" t="b">
        <x:v>0</x:v>
      </x:c>
    </x:row>
    <x:row r="79" ht="23" customHeight="1">
      <x:c r="A79" s="2" t="str">
        <x:v>GUY</x:v>
      </x:c>
      <x:c r="B79" s="2" t="str">
        <x:v>Guyana (Co-operative Republic of)</x:v>
      </x:c>
      <x:c r="C79" s="2" t="n">
        <x:v>2020</x:v>
      </x:c>
      <x:c r="D79" s="2" t="str">
        <x:v>OBAT_FOOTPRINT</x:v>
      </x:c>
      <x:c r="E79" s="2" t="str">
        <x:v>horizontal surface / footprint</x:v>
      </x:c>
      <x:c r="F79" s="2" t="str">
        <x:v>m2</x:v>
      </x:c>
      <x:c r="G79" s="17" t="n">
        <x:v>46462035.66</x:v>
      </x:c>
      <x:c r="H79" s="17" t="n">
        <x:v>41194615.15</x:v>
      </x:c>
      <x:c r="I79" s="17" t="n">
        <x:f>IF(AND(L79,ISNUMBER(G79),ISNUMBER(H79)),G79-H79,"n.a.")</x:f>
        <x:v>5267420.509999998</x:v>
      </x:c>
      <x:c r="J79" s="15" t="n">
        <x:f>IF(AND(L79,ISNUMBER(G79),ISNUMBER(H79),H79&gt;0),(G79-H79)/H79,"n.a.")</x:f>
        <x:v>0.12786672459058032</x:v>
      </x:c>
      <x:c r="K79" s="19" t="n">
        <x:f>IF(ISNUMBER(J79),ABS(J79),"n.a.")</x:f>
        <x:v>0.12786672459058032</x:v>
      </x:c>
      <x:c r="L79" s="13" t="b">
        <x:v>1</x:v>
      </x:c>
      <x:c r="M79" s="13" t="b">
        <x:v>1</x:v>
      </x:c>
      <x:c r="N79" s="2" t="str">
        <x:v>qualified_source_frame_numeric_summary</x:v>
      </x:c>
      <x:c r="O79" s="2" t="str">
        <x:v>none</x:v>
      </x:c>
      <x:c r="P79" s="2" t="str">
        <x:v>nominal2020; Overture geometry2024-07-22.0; height support2018</x:v>
      </x:c>
      <x:c r="Q79" s="2" t="str">
        <x:v>Adjusted GADM4.1 boundaries; included Overture coverage unknown; China shortfall flagged; not a contemporaneous2020 census</x:v>
      </x:c>
      <x:c r="R79" s="2" t="str">
        <x:v>https://data.jrc.ec.europa.eu/dataset/f41a22f1-5741-4c41-86eb-6384654f6927</x:v>
      </x:c>
      <x:c r="S79" s="13" t="b">
        <x:v>0</x:v>
      </x:c>
      <x:c r="T79" s="13" t="b">
        <x:v>0</x:v>
      </x:c>
    </x:row>
    <x:row r="80" ht="23" customHeight="1">
      <x:c r="A80" s="2" t="str">
        <x:v>HND</x:v>
      </x:c>
      <x:c r="B80" s="2" t="str">
        <x:v>Honduras (Republic of)</x:v>
      </x:c>
      <x:c r="C80" s="2" t="n">
        <x:v>2020</x:v>
      </x:c>
      <x:c r="D80" s="2" t="str">
        <x:v>OBAT_FOOTPRINT</x:v>
      </x:c>
      <x:c r="E80" s="2" t="str">
        <x:v>horizontal surface / footprint</x:v>
      </x:c>
      <x:c r="F80" s="2" t="str">
        <x:v>m2</x:v>
      </x:c>
      <x:c r="G80" s="17" t="n">
        <x:v>335660713.27</x:v>
      </x:c>
      <x:c r="H80" s="17" t="n">
        <x:v>368866980.22999996</x:v>
      </x:c>
      <x:c r="I80" s="17" t="n">
        <x:f>IF(AND(L80,ISNUMBER(G80),ISNUMBER(H80)),G80-H80,"n.a.")</x:f>
        <x:v>-33206266.95999998</x:v>
      </x:c>
      <x:c r="J80" s="15" t="n">
        <x:f>IF(AND(L80,ISNUMBER(G80),ISNUMBER(H80),H80&gt;0),(G80-H80)/H80,"n.a.")</x:f>
        <x:v>-0.09002233525834935</x:v>
      </x:c>
      <x:c r="K80" s="19" t="n">
        <x:f>IF(ISNUMBER(J80),ABS(J80),"n.a.")</x:f>
        <x:v>0.09002233525834935</x:v>
      </x:c>
      <x:c r="L80" s="13" t="b">
        <x:v>1</x:v>
      </x:c>
      <x:c r="M80" s="13" t="b">
        <x:v>1</x:v>
      </x:c>
      <x:c r="N80" s="2" t="str">
        <x:v>qualified_source_frame_numeric_summary</x:v>
      </x:c>
      <x:c r="O80" s="2" t="str">
        <x:v>none</x:v>
      </x:c>
      <x:c r="P80" s="2" t="str">
        <x:v>nominal2020; Overture geometry2024-07-22.0; height support2018</x:v>
      </x:c>
      <x:c r="Q80" s="2" t="str">
        <x:v>Adjusted GADM4.1 boundaries; included Overture coverage unknown; China shortfall flagged; not a contemporaneous2020 census</x:v>
      </x:c>
      <x:c r="R80" s="2" t="str">
        <x:v>https://data.jrc.ec.europa.eu/dataset/f41a22f1-5741-4c41-86eb-6384654f6927</x:v>
      </x:c>
      <x:c r="S80" s="13" t="b">
        <x:v>0</x:v>
      </x:c>
      <x:c r="T80" s="13" t="b">
        <x:v>0</x:v>
      </x:c>
    </x:row>
    <x:row r="81" ht="23" customHeight="1">
      <x:c r="A81" s="2" t="str">
        <x:v>HRV</x:v>
      </x:c>
      <x:c r="B81" s="2" t="str">
        <x:v>Croatia (Republic of)</x:v>
      </x:c>
      <x:c r="C81" s="2" t="n">
        <x:v>2020</x:v>
      </x:c>
      <x:c r="D81" s="2" t="str">
        <x:v>OBAT_FOOTPRINT</x:v>
      </x:c>
      <x:c r="E81" s="2" t="str">
        <x:v>horizontal surface / footprint</x:v>
      </x:c>
      <x:c r="F81" s="2" t="str">
        <x:v>m2</x:v>
      </x:c>
      <x:c r="G81" s="17" t="n">
        <x:v>361520718.43</x:v>
      </x:c>
      <x:c r="H81" s="17" t="n">
        <x:v>364778865.33</x:v>
      </x:c>
      <x:c r="I81" s="17" t="n">
        <x:f>IF(AND(L81,ISNUMBER(G81),ISNUMBER(H81)),G81-H81,"n.a.")</x:f>
        <x:v>-3258146.899999976</x:v>
      </x:c>
      <x:c r="J81" s="15" t="n">
        <x:f>IF(AND(L81,ISNUMBER(G81),ISNUMBER(H81),H81&gt;0),(G81-H81)/H81,"n.a.")</x:f>
        <x:v>-0.008931841204814508</x:v>
      </x:c>
      <x:c r="K81" s="19" t="n">
        <x:f>IF(ISNUMBER(J81),ABS(J81),"n.a.")</x:f>
        <x:v>0.008931841204814508</x:v>
      </x:c>
      <x:c r="L81" s="13" t="b">
        <x:v>1</x:v>
      </x:c>
      <x:c r="M81" s="13" t="b">
        <x:v>1</x:v>
      </x:c>
      <x:c r="N81" s="2" t="str">
        <x:v>qualified_source_frame_numeric_summary</x:v>
      </x:c>
      <x:c r="O81" s="2" t="str">
        <x:v>none</x:v>
      </x:c>
      <x:c r="P81" s="2" t="str">
        <x:v>nominal2020; Overture geometry2024-07-22.0; height support2018</x:v>
      </x:c>
      <x:c r="Q81" s="2" t="str">
        <x:v>Adjusted GADM4.1 boundaries; included Overture coverage unknown; China shortfall flagged; not a contemporaneous2020 census</x:v>
      </x:c>
      <x:c r="R81" s="2" t="str">
        <x:v>https://data.jrc.ec.europa.eu/dataset/f41a22f1-5741-4c41-86eb-6384654f6927</x:v>
      </x:c>
      <x:c r="S81" s="13" t="b">
        <x:v>0</x:v>
      </x:c>
      <x:c r="T81" s="13" t="b">
        <x:v>0</x:v>
      </x:c>
    </x:row>
    <x:row r="82" ht="23" customHeight="1">
      <x:c r="A82" s="2" t="str">
        <x:v>HTI</x:v>
      </x:c>
      <x:c r="B82" s="2" t="str">
        <x:v>Haiti (Republic of)</x:v>
      </x:c>
      <x:c r="C82" s="2" t="n">
        <x:v>2020</x:v>
      </x:c>
      <x:c r="D82" s="2" t="str">
        <x:v>OBAT_FOOTPRINT</x:v>
      </x:c>
      <x:c r="E82" s="2" t="str">
        <x:v>horizontal surface / footprint</x:v>
      </x:c>
      <x:c r="F82" s="2" t="str">
        <x:v>m2</x:v>
      </x:c>
      <x:c r="G82" s="17" t="n">
        <x:v>189002396.54</x:v>
      </x:c>
      <x:c r="H82" s="17" t="n">
        <x:v>210546088.06</x:v>
      </x:c>
      <x:c r="I82" s="17" t="n">
        <x:f>IF(AND(L82,ISNUMBER(G82),ISNUMBER(H82)),G82-H82,"n.a.")</x:f>
        <x:v>-21543691.52000001</x:v>
      </x:c>
      <x:c r="J82" s="15" t="n">
        <x:f>IF(AND(L82,ISNUMBER(G82),ISNUMBER(H82),H82&gt;0),(G82-H82)/H82,"n.a.")</x:f>
        <x:v>-0.10232292472639357</x:v>
      </x:c>
      <x:c r="K82" s="19" t="n">
        <x:f>IF(ISNUMBER(J82),ABS(J82),"n.a.")</x:f>
        <x:v>0.10232292472639357</x:v>
      </x:c>
      <x:c r="L82" s="13" t="b">
        <x:v>1</x:v>
      </x:c>
      <x:c r="M82" s="13" t="b">
        <x:v>1</x:v>
      </x:c>
      <x:c r="N82" s="2" t="str">
        <x:v>qualified_source_frame_numeric_summary</x:v>
      </x:c>
      <x:c r="O82" s="2" t="str">
        <x:v>none</x:v>
      </x:c>
      <x:c r="P82" s="2" t="str">
        <x:v>nominal2020; Overture geometry2024-07-22.0; height support2018</x:v>
      </x:c>
      <x:c r="Q82" s="2" t="str">
        <x:v>Adjusted GADM4.1 boundaries; included Overture coverage unknown; China shortfall flagged; not a contemporaneous2020 census</x:v>
      </x:c>
      <x:c r="R82" s="2" t="str">
        <x:v>https://data.jrc.ec.europa.eu/dataset/f41a22f1-5741-4c41-86eb-6384654f6927</x:v>
      </x:c>
      <x:c r="S82" s="13" t="b">
        <x:v>0</x:v>
      </x:c>
      <x:c r="T82" s="13" t="b">
        <x:v>0</x:v>
      </x:c>
    </x:row>
    <x:row r="83" ht="23" customHeight="1">
      <x:c r="A83" s="2" t="str">
        <x:v>HUN</x:v>
      </x:c>
      <x:c r="B83" s="2" t="str">
        <x:v>Hungary</x:v>
      </x:c>
      <x:c r="C83" s="2" t="n">
        <x:v>2020</x:v>
      </x:c>
      <x:c r="D83" s="2" t="str">
        <x:v>OBAT_FOOTPRINT</x:v>
      </x:c>
      <x:c r="E83" s="2" t="str">
        <x:v>horizontal surface / footprint</x:v>
      </x:c>
      <x:c r="F83" s="2" t="str">
        <x:v>m2</x:v>
      </x:c>
      <x:c r="G83" s="17" t="n">
        <x:v>853072780.53</x:v>
      </x:c>
      <x:c r="H83" s="17" t="n">
        <x:v>829873348.12</x:v>
      </x:c>
      <x:c r="I83" s="17" t="n">
        <x:f>IF(AND(L83,ISNUMBER(G83),ISNUMBER(H83)),G83-H83,"n.a.")</x:f>
        <x:v>23199432.409999967</x:v>
      </x:c>
      <x:c r="J83" s="15" t="n">
        <x:f>IF(AND(L83,ISNUMBER(G83),ISNUMBER(H83),H83&gt;0),(G83-H83)/H83,"n.a.")</x:f>
        <x:v>0.027955389171800852</x:v>
      </x:c>
      <x:c r="K83" s="19" t="n">
        <x:f>IF(ISNUMBER(J83),ABS(J83),"n.a.")</x:f>
        <x:v>0.027955389171800852</x:v>
      </x:c>
      <x:c r="L83" s="13" t="b">
        <x:v>1</x:v>
      </x:c>
      <x:c r="M83" s="13" t="b">
        <x:v>1</x:v>
      </x:c>
      <x:c r="N83" s="2" t="str">
        <x:v>qualified_source_frame_numeric_summary</x:v>
      </x:c>
      <x:c r="O83" s="2" t="str">
        <x:v>none</x:v>
      </x:c>
      <x:c r="P83" s="2" t="str">
        <x:v>nominal2020; Overture geometry2024-07-22.0; height support2018</x:v>
      </x:c>
      <x:c r="Q83" s="2" t="str">
        <x:v>Adjusted GADM4.1 boundaries; included Overture coverage unknown; China shortfall flagged; not a contemporaneous2020 census</x:v>
      </x:c>
      <x:c r="R83" s="2" t="str">
        <x:v>https://data.jrc.ec.europa.eu/dataset/f41a22f1-5741-4c41-86eb-6384654f6927</x:v>
      </x:c>
      <x:c r="S83" s="13" t="b">
        <x:v>0</x:v>
      </x:c>
      <x:c r="T83" s="13" t="b">
        <x:v>0</x:v>
      </x:c>
    </x:row>
    <x:row r="84" ht="23" customHeight="1">
      <x:c r="A84" s="2" t="str">
        <x:v>IDN</x:v>
      </x:c>
      <x:c r="B84" s="2" t="str">
        <x:v>Indonesia (Republic of)</x:v>
      </x:c>
      <x:c r="C84" s="2" t="n">
        <x:v>2020</x:v>
      </x:c>
      <x:c r="D84" s="2" t="str">
        <x:v>OBAT_FOOTPRINT</x:v>
      </x:c>
      <x:c r="E84" s="2" t="str">
        <x:v>horizontal surface / footprint</x:v>
      </x:c>
      <x:c r="F84" s="2" t="str">
        <x:v>m2</x:v>
      </x:c>
      <x:c r="G84" s="17" t="n">
        <x:v>10794355074.09</x:v>
      </x:c>
      <x:c r="H84" s="17" t="n">
        <x:v>10631809672.650002</x:v>
      </x:c>
      <x:c r="I84" s="17" t="n">
        <x:f>IF(AND(L84,ISNUMBER(G84),ISNUMBER(H84)),G84-H84,"n.a.")</x:f>
        <x:v>162545401.43999863</x:v>
      </x:c>
      <x:c r="J84" s="15" t="n">
        <x:f>IF(AND(L84,ISNUMBER(G84),ISNUMBER(H84),H84&gt;0),(G84-H84)/H84,"n.a.")</x:f>
        <x:v>0.01528859210658573</x:v>
      </x:c>
      <x:c r="K84" s="19" t="n">
        <x:f>IF(ISNUMBER(J84),ABS(J84),"n.a.")</x:f>
        <x:v>0.01528859210658573</x:v>
      </x:c>
      <x:c r="L84" s="13" t="b">
        <x:v>1</x:v>
      </x:c>
      <x:c r="M84" s="13" t="b">
        <x:v>1</x:v>
      </x:c>
      <x:c r="N84" s="2" t="str">
        <x:v>qualified_source_frame_numeric_summary</x:v>
      </x:c>
      <x:c r="O84" s="2" t="str">
        <x:v>none</x:v>
      </x:c>
      <x:c r="P84" s="2" t="str">
        <x:v>nominal2020; Overture geometry2024-07-22.0; height support2018</x:v>
      </x:c>
      <x:c r="Q84" s="2" t="str">
        <x:v>Adjusted GADM4.1 boundaries; included Overture coverage unknown; China shortfall flagged; not a contemporaneous2020 census</x:v>
      </x:c>
      <x:c r="R84" s="2" t="str">
        <x:v>https://data.jrc.ec.europa.eu/dataset/f41a22f1-5741-4c41-86eb-6384654f6927</x:v>
      </x:c>
      <x:c r="S84" s="13" t="b">
        <x:v>0</x:v>
      </x:c>
      <x:c r="T84" s="13" t="b">
        <x:v>0</x:v>
      </x:c>
    </x:row>
    <x:row r="85" ht="23" customHeight="1">
      <x:c r="A85" s="2" t="str">
        <x:v>IND</x:v>
      </x:c>
      <x:c r="B85" s="2" t="str">
        <x:v>India (Republic of)</x:v>
      </x:c>
      <x:c r="C85" s="2" t="n">
        <x:v>2020</x:v>
      </x:c>
      <x:c r="D85" s="2" t="str">
        <x:v>OBAT_FOOTPRINT</x:v>
      </x:c>
      <x:c r="E85" s="2" t="str">
        <x:v>horizontal surface / footprint</x:v>
      </x:c>
      <x:c r="F85" s="2" t="str">
        <x:v>m2</x:v>
      </x:c>
      <x:c r="G85" s="17" t="n">
        <x:v>27853638424.04</x:v>
      </x:c>
      <x:c r="H85" s="17" t="n">
        <x:v>31182073061.3</x:v>
      </x:c>
      <x:c r="I85" s="17" t="n">
        <x:f>IF(AND(L85,ISNUMBER(G85),ISNUMBER(H85)),G85-H85,"n.a.")</x:f>
        <x:v>-3328434637.2599983</x:v>
      </x:c>
      <x:c r="J85" s="15" t="n">
        <x:f>IF(AND(L85,ISNUMBER(G85),ISNUMBER(H85),H85&gt;0),(G85-H85)/H85,"n.a.")</x:f>
        <x:v>-0.10674192927188382</x:v>
      </x:c>
      <x:c r="K85" s="19" t="n">
        <x:f>IF(ISNUMBER(J85),ABS(J85),"n.a.")</x:f>
        <x:v>0.10674192927188382</x:v>
      </x:c>
      <x:c r="L85" s="13" t="b">
        <x:v>1</x:v>
      </x:c>
      <x:c r="M85" s="13" t="b">
        <x:v>1</x:v>
      </x:c>
      <x:c r="N85" s="2" t="str">
        <x:v>qualified_source_frame_numeric_summary</x:v>
      </x:c>
      <x:c r="O85" s="2" t="str">
        <x:v>none</x:v>
      </x:c>
      <x:c r="P85" s="2" t="str">
        <x:v>nominal2020; Overture geometry2024-07-22.0; height support2018</x:v>
      </x:c>
      <x:c r="Q85" s="2" t="str">
        <x:v>Adjusted GADM4.1 boundaries; included Overture coverage unknown; China shortfall flagged; not a contemporaneous2020 census</x:v>
      </x:c>
      <x:c r="R85" s="2" t="str">
        <x:v>https://data.jrc.ec.europa.eu/dataset/f41a22f1-5741-4c41-86eb-6384654f6927</x:v>
      </x:c>
      <x:c r="S85" s="13" t="b">
        <x:v>0</x:v>
      </x:c>
      <x:c r="T85" s="13" t="b">
        <x:v>0</x:v>
      </x:c>
    </x:row>
    <x:row r="86" ht="23" customHeight="1">
      <x:c r="A86" s="2" t="str">
        <x:v>IRL</x:v>
      </x:c>
      <x:c r="B86" s="2" t="str">
        <x:v>Ireland</x:v>
      </x:c>
      <x:c r="C86" s="2" t="n">
        <x:v>2020</x:v>
      </x:c>
      <x:c r="D86" s="2" t="str">
        <x:v>OBAT_FOOTPRINT</x:v>
      </x:c>
      <x:c r="E86" s="2" t="str">
        <x:v>horizontal surface / footprint</x:v>
      </x:c>
      <x:c r="F86" s="2" t="str">
        <x:v>m2</x:v>
      </x:c>
      <x:c r="G86" s="17" t="n">
        <x:v>426553619.4</x:v>
      </x:c>
      <x:c r="H86" s="17" t="n">
        <x:v>463922117.98999995</x:v>
      </x:c>
      <x:c r="I86" s="17" t="n">
        <x:f>IF(AND(L86,ISNUMBER(G86),ISNUMBER(H86)),G86-H86,"n.a.")</x:f>
        <x:v>-37368498.589999974</x:v>
      </x:c>
      <x:c r="J86" s="15" t="n">
        <x:f>IF(AND(L86,ISNUMBER(G86),ISNUMBER(H86),H86&gt;0),(G86-H86)/H86,"n.a.")</x:f>
        <x:v>-0.0805490774009733</x:v>
      </x:c>
      <x:c r="K86" s="19" t="n">
        <x:f>IF(ISNUMBER(J86),ABS(J86),"n.a.")</x:f>
        <x:v>0.0805490774009733</x:v>
      </x:c>
      <x:c r="L86" s="13" t="b">
        <x:v>1</x:v>
      </x:c>
      <x:c r="M86" s="13" t="b">
        <x:v>1</x:v>
      </x:c>
      <x:c r="N86" s="2" t="str">
        <x:v>qualified_source_frame_numeric_summary</x:v>
      </x:c>
      <x:c r="O86" s="2" t="str">
        <x:v>none</x:v>
      </x:c>
      <x:c r="P86" s="2" t="str">
        <x:v>nominal2020; Overture geometry2024-07-22.0; height support2018</x:v>
      </x:c>
      <x:c r="Q86" s="2" t="str">
        <x:v>Adjusted GADM4.1 boundaries; included Overture coverage unknown; China shortfall flagged; not a contemporaneous2020 census</x:v>
      </x:c>
      <x:c r="R86" s="2" t="str">
        <x:v>https://data.jrc.ec.europa.eu/dataset/f41a22f1-5741-4c41-86eb-6384654f6927</x:v>
      </x:c>
      <x:c r="S86" s="13" t="b">
        <x:v>0</x:v>
      </x:c>
      <x:c r="T86" s="13" t="b">
        <x:v>0</x:v>
      </x:c>
    </x:row>
    <x:row r="87" ht="23" customHeight="1">
      <x:c r="A87" s="2" t="str">
        <x:v>IRN</x:v>
      </x:c>
      <x:c r="B87" s="2" t="str">
        <x:v>Iran (Islamic Republic of)</x:v>
      </x:c>
      <x:c r="C87" s="2" t="n">
        <x:v>2020</x:v>
      </x:c>
      <x:c r="D87" s="2" t="str">
        <x:v>OBAT_FOOTPRINT</x:v>
      </x:c>
      <x:c r="E87" s="2" t="str">
        <x:v>horizontal surface / footprint</x:v>
      </x:c>
      <x:c r="F87" s="2" t="str">
        <x:v>m2</x:v>
      </x:c>
      <x:c r="G87" s="17" t="n">
        <x:v>3695850551.99</x:v>
      </x:c>
      <x:c r="H87" s="17" t="n">
        <x:v>2026501559.97</x:v>
      </x:c>
      <x:c r="I87" s="17" t="n">
        <x:f>IF(AND(L87,ISNUMBER(G87),ISNUMBER(H87)),G87-H87,"n.a.")</x:f>
        <x:v>1669348992.0199997</x:v>
      </x:c>
      <x:c r="J87" s="15" t="n">
        <x:f>IF(AND(L87,ISNUMBER(G87),ISNUMBER(H87),H87&gt;0),(G87-H87)/H87,"n.a.")</x:f>
        <x:v>0.8237590461290898</x:v>
      </x:c>
      <x:c r="K87" s="19" t="n">
        <x:f>IF(ISNUMBER(J87),ABS(J87),"n.a.")</x:f>
        <x:v>0.8237590461290898</x:v>
      </x:c>
      <x:c r="L87" s="13" t="b">
        <x:v>1</x:v>
      </x:c>
      <x:c r="M87" s="13" t="b">
        <x:v>1</x:v>
      </x:c>
      <x:c r="N87" s="2" t="str">
        <x:v>qualified_source_frame_numeric_summary</x:v>
      </x:c>
      <x:c r="O87" s="2" t="str">
        <x:v>none</x:v>
      </x:c>
      <x:c r="P87" s="2" t="str">
        <x:v>nominal2020; Overture geometry2024-07-22.0; height support2018</x:v>
      </x:c>
      <x:c r="Q87" s="2" t="str">
        <x:v>Adjusted GADM4.1 boundaries; included Overture coverage unknown; China shortfall flagged; not a contemporaneous2020 census</x:v>
      </x:c>
      <x:c r="R87" s="2" t="str">
        <x:v>https://data.jrc.ec.europa.eu/dataset/f41a22f1-5741-4c41-86eb-6384654f6927</x:v>
      </x:c>
      <x:c r="S87" s="13" t="b">
        <x:v>0</x:v>
      </x:c>
      <x:c r="T87" s="13" t="b">
        <x:v>0</x:v>
      </x:c>
    </x:row>
    <x:row r="88" ht="23" customHeight="1">
      <x:c r="A88" s="2" t="str">
        <x:v>IRQ</x:v>
      </x:c>
      <x:c r="B88" s="2" t="str">
        <x:v>Iraq (Republic of)</x:v>
      </x:c>
      <x:c r="C88" s="2" t="n">
        <x:v>2020</x:v>
      </x:c>
      <x:c r="D88" s="2" t="str">
        <x:v>OBAT_FOOTPRINT</x:v>
      </x:c>
      <x:c r="E88" s="2" t="str">
        <x:v>horizontal surface / footprint</x:v>
      </x:c>
      <x:c r="F88" s="2" t="str">
        <x:v>m2</x:v>
      </x:c>
      <x:c r="G88" s="17" t="n">
        <x:v>1226955244.87</x:v>
      </x:c>
      <x:c r="H88" s="17" t="n">
        <x:v>1174342782.8899999</x:v>
      </x:c>
      <x:c r="I88" s="17" t="n">
        <x:f>IF(AND(L88,ISNUMBER(G88),ISNUMBER(H88)),G88-H88,"n.a.")</x:f>
        <x:v>52612461.98000002</x:v>
      </x:c>
      <x:c r="J88" s="15" t="n">
        <x:f>IF(AND(L88,ISNUMBER(G88),ISNUMBER(H88),H88&gt;0),(G88-H88)/H88,"n.a.")</x:f>
        <x:v>0.04480162244495882</x:v>
      </x:c>
      <x:c r="K88" s="19" t="n">
        <x:f>IF(ISNUMBER(J88),ABS(J88),"n.a.")</x:f>
        <x:v>0.04480162244495882</x:v>
      </x:c>
      <x:c r="L88" s="13" t="b">
        <x:v>1</x:v>
      </x:c>
      <x:c r="M88" s="13" t="b">
        <x:v>1</x:v>
      </x:c>
      <x:c r="N88" s="2" t="str">
        <x:v>qualified_source_frame_numeric_summary</x:v>
      </x:c>
      <x:c r="O88" s="2" t="str">
        <x:v>none</x:v>
      </x:c>
      <x:c r="P88" s="2" t="str">
        <x:v>nominal2020; Overture geometry2024-07-22.0; height support2018</x:v>
      </x:c>
      <x:c r="Q88" s="2" t="str">
        <x:v>Adjusted GADM4.1 boundaries; included Overture coverage unknown; China shortfall flagged; not a contemporaneous2020 census</x:v>
      </x:c>
      <x:c r="R88" s="2" t="str">
        <x:v>https://data.jrc.ec.europa.eu/dataset/f41a22f1-5741-4c41-86eb-6384654f6927</x:v>
      </x:c>
      <x:c r="S88" s="13" t="b">
        <x:v>0</x:v>
      </x:c>
      <x:c r="T88" s="13" t="b">
        <x:v>0</x:v>
      </x:c>
    </x:row>
    <x:row r="89" ht="23" customHeight="1">
      <x:c r="A89" s="2" t="str">
        <x:v>ISL</x:v>
      </x:c>
      <x:c r="B89" s="2" t="str">
        <x:v>Iceland</x:v>
      </x:c>
      <x:c r="C89" s="2" t="n">
        <x:v>2020</x:v>
      </x:c>
      <x:c r="D89" s="2" t="str">
        <x:v>OBAT_FOOTPRINT</x:v>
      </x:c>
      <x:c r="E89" s="2" t="str">
        <x:v>horizontal surface / footprint</x:v>
      </x:c>
      <x:c r="F89" s="2" t="str">
        <x:v>m2</x:v>
      </x:c>
      <x:c r="G89" s="17" t="n">
        <x:v>24141007.67</x:v>
      </x:c>
      <x:c r="H89" s="17" t="n">
        <x:v>32113135.59</x:v>
      </x:c>
      <x:c r="I89" s="17" t="n">
        <x:f>IF(AND(L89,ISNUMBER(G89),ISNUMBER(H89)),G89-H89,"n.a.")</x:f>
        <x:v>-7972127.919999998</x:v>
      </x:c>
      <x:c r="J89" s="15" t="n">
        <x:f>IF(AND(L89,ISNUMBER(G89),ISNUMBER(H89),H89&gt;0),(G89-H89)/H89,"n.a.")</x:f>
        <x:v>-0.24825130818064714</x:v>
      </x:c>
      <x:c r="K89" s="19" t="n">
        <x:f>IF(ISNUMBER(J89),ABS(J89),"n.a.")</x:f>
        <x:v>0.24825130818064714</x:v>
      </x:c>
      <x:c r="L89" s="13" t="b">
        <x:v>1</x:v>
      </x:c>
      <x:c r="M89" s="13" t="b">
        <x:v>1</x:v>
      </x:c>
      <x:c r="N89" s="2" t="str">
        <x:v>qualified_source_frame_numeric_summary</x:v>
      </x:c>
      <x:c r="O89" s="2" t="str">
        <x:v>none</x:v>
      </x:c>
      <x:c r="P89" s="2" t="str">
        <x:v>nominal2020; Overture geometry2024-07-22.0; height support2018</x:v>
      </x:c>
      <x:c r="Q89" s="2" t="str">
        <x:v>Adjusted GADM4.1 boundaries; included Overture coverage unknown; China shortfall flagged; not a contemporaneous2020 census</x:v>
      </x:c>
      <x:c r="R89" s="2" t="str">
        <x:v>https://data.jrc.ec.europa.eu/dataset/f41a22f1-5741-4c41-86eb-6384654f6927</x:v>
      </x:c>
      <x:c r="S89" s="13" t="b">
        <x:v>0</x:v>
      </x:c>
      <x:c r="T89" s="13" t="b">
        <x:v>0</x:v>
      </x:c>
    </x:row>
    <x:row r="90" ht="23" customHeight="1">
      <x:c r="A90" s="2" t="str">
        <x:v>ISR</x:v>
      </x:c>
      <x:c r="B90" s="2" t="str">
        <x:v>Israel (State of)</x:v>
      </x:c>
      <x:c r="C90" s="2" t="n">
        <x:v>2020</x:v>
      </x:c>
      <x:c r="D90" s="2" t="str">
        <x:v>OBAT_FOOTPRINT</x:v>
      </x:c>
      <x:c r="E90" s="2" t="str">
        <x:v>horizontal surface / footprint</x:v>
      </x:c>
      <x:c r="F90" s="2" t="str">
        <x:v>m2</x:v>
      </x:c>
      <x:c r="G90" s="17" t="n">
        <x:v>357032950.94</x:v>
      </x:c>
      <x:c r="H90" s="17" t="n">
        <x:v>384991260.66999996</x:v>
      </x:c>
      <x:c r="I90" s="17" t="n">
        <x:f>IF(AND(L90,ISNUMBER(G90),ISNUMBER(H90)),G90-H90,"n.a.")</x:f>
        <x:v>-27958309.72999996</x:v>
      </x:c>
      <x:c r="J90" s="15" t="n">
        <x:f>IF(AND(L90,ISNUMBER(G90),ISNUMBER(H90),H90&gt;0),(G90-H90)/H90,"n.a.")</x:f>
        <x:v>-0.0726206347680312</x:v>
      </x:c>
      <x:c r="K90" s="19" t="n">
        <x:f>IF(ISNUMBER(J90),ABS(J90),"n.a.")</x:f>
        <x:v>0.0726206347680312</x:v>
      </x:c>
      <x:c r="L90" s="13" t="b">
        <x:v>1</x:v>
      </x:c>
      <x:c r="M90" s="13" t="b">
        <x:v>1</x:v>
      </x:c>
      <x:c r="N90" s="2" t="str">
        <x:v>qualified_source_frame_numeric_summary</x:v>
      </x:c>
      <x:c r="O90" s="2" t="str">
        <x:v>none</x:v>
      </x:c>
      <x:c r="P90" s="2" t="str">
        <x:v>nominal2020; Overture geometry2024-07-22.0; height support2018</x:v>
      </x:c>
      <x:c r="Q90" s="2" t="str">
        <x:v>Adjusted GADM4.1 boundaries; included Overture coverage unknown; China shortfall flagged; not a contemporaneous2020 census</x:v>
      </x:c>
      <x:c r="R90" s="2" t="str">
        <x:v>https://data.jrc.ec.europa.eu/dataset/f41a22f1-5741-4c41-86eb-6384654f6927</x:v>
      </x:c>
      <x:c r="S90" s="13" t="b">
        <x:v>0</x:v>
      </x:c>
      <x:c r="T90" s="13" t="b">
        <x:v>0</x:v>
      </x:c>
    </x:row>
    <x:row r="91" ht="23" customHeight="1">
      <x:c r="A91" s="2" t="str">
        <x:v>ITA</x:v>
      </x:c>
      <x:c r="B91" s="2" t="str">
        <x:v>Italy (Italian Republic)</x:v>
      </x:c>
      <x:c r="C91" s="2" t="n">
        <x:v>2020</x:v>
      </x:c>
      <x:c r="D91" s="2" t="str">
        <x:v>OBAT_FOOTPRINT</x:v>
      </x:c>
      <x:c r="E91" s="2" t="str">
        <x:v>horizontal surface / footprint</x:v>
      </x:c>
      <x:c r="F91" s="2" t="str">
        <x:v>m2</x:v>
      </x:c>
      <x:c r="G91" s="17" t="n">
        <x:v>4711304092.61</x:v>
      </x:c>
      <x:c r="H91" s="17" t="n">
        <x:v>4833624734.26</x:v>
      </x:c>
      <x:c r="I91" s="17" t="n">
        <x:f>IF(AND(L91,ISNUMBER(G91),ISNUMBER(H91)),G91-H91,"n.a.")</x:f>
        <x:v>-122320641.65000057</x:v>
      </x:c>
      <x:c r="J91" s="15" t="n">
        <x:f>IF(AND(L91,ISNUMBER(G91),ISNUMBER(H91),H91&gt;0),(G91-H91)/H91,"n.a.")</x:f>
        <x:v>-0.02530619325555217</x:v>
      </x:c>
      <x:c r="K91" s="19" t="n">
        <x:f>IF(ISNUMBER(J91),ABS(J91),"n.a.")</x:f>
        <x:v>0.02530619325555217</x:v>
      </x:c>
      <x:c r="L91" s="13" t="b">
        <x:v>1</x:v>
      </x:c>
      <x:c r="M91" s="13" t="b">
        <x:v>1</x:v>
      </x:c>
      <x:c r="N91" s="2" t="str">
        <x:v>qualified_source_frame_numeric_summary</x:v>
      </x:c>
      <x:c r="O91" s="2" t="str">
        <x:v>none</x:v>
      </x:c>
      <x:c r="P91" s="2" t="str">
        <x:v>nominal2020; Overture geometry2024-07-22.0; height support2018</x:v>
      </x:c>
      <x:c r="Q91" s="2" t="str">
        <x:v>Adjusted GADM4.1 boundaries; included Overture coverage unknown; China shortfall flagged; not a contemporaneous2020 census</x:v>
      </x:c>
      <x:c r="R91" s="2" t="str">
        <x:v>https://data.jrc.ec.europa.eu/dataset/f41a22f1-5741-4c41-86eb-6384654f6927</x:v>
      </x:c>
      <x:c r="S91" s="13" t="b">
        <x:v>0</x:v>
      </x:c>
      <x:c r="T91" s="13" t="b">
        <x:v>0</x:v>
      </x:c>
    </x:row>
    <x:row r="92" ht="23" customHeight="1">
      <x:c r="A92" s="2" t="str">
        <x:v>JAM</x:v>
      </x:c>
      <x:c r="B92" s="2" t="str">
        <x:v>Jamaica</x:v>
      </x:c>
      <x:c r="C92" s="2" t="n">
        <x:v>2020</x:v>
      </x:c>
      <x:c r="D92" s="2" t="str">
        <x:v>OBAT_FOOTPRINT</x:v>
      </x:c>
      <x:c r="E92" s="2" t="str">
        <x:v>horizontal surface / footprint</x:v>
      </x:c>
      <x:c r="F92" s="2" t="str">
        <x:v>m2</x:v>
      </x:c>
      <x:c r="G92" s="17" t="n">
        <x:v>133338245.19</x:v>
      </x:c>
      <x:c r="H92" s="17" t="n">
        <x:v>144060661.25</x:v>
      </x:c>
      <x:c r="I92" s="17" t="n">
        <x:f>IF(AND(L92,ISNUMBER(G92),ISNUMBER(H92)),G92-H92,"n.a.")</x:f>
        <x:v>-10722416.060000002</x:v>
      </x:c>
      <x:c r="J92" s="15" t="n">
        <x:f>IF(AND(L92,ISNUMBER(G92),ISNUMBER(H92),H92&gt;0),(G92-H92)/H92,"n.a.")</x:f>
        <x:v>-0.07442986841072828</x:v>
      </x:c>
      <x:c r="K92" s="19" t="n">
        <x:f>IF(ISNUMBER(J92),ABS(J92),"n.a.")</x:f>
        <x:v>0.07442986841072828</x:v>
      </x:c>
      <x:c r="L92" s="13" t="b">
        <x:v>1</x:v>
      </x:c>
      <x:c r="M92" s="13" t="b">
        <x:v>1</x:v>
      </x:c>
      <x:c r="N92" s="2" t="str">
        <x:v>qualified_source_frame_numeric_summary</x:v>
      </x:c>
      <x:c r="O92" s="2" t="str">
        <x:v>none</x:v>
      </x:c>
      <x:c r="P92" s="2" t="str">
        <x:v>nominal2020; Overture geometry2024-07-22.0; height support2018</x:v>
      </x:c>
      <x:c r="Q92" s="2" t="str">
        <x:v>Adjusted GADM4.1 boundaries; included Overture coverage unknown; China shortfall flagged; not a contemporaneous2020 census</x:v>
      </x:c>
      <x:c r="R92" s="2" t="str">
        <x:v>https://data.jrc.ec.europa.eu/dataset/f41a22f1-5741-4c41-86eb-6384654f6927</x:v>
      </x:c>
      <x:c r="S92" s="13" t="b">
        <x:v>0</x:v>
      </x:c>
      <x:c r="T92" s="13" t="b">
        <x:v>0</x:v>
      </x:c>
    </x:row>
    <x:row r="93" ht="23" customHeight="1">
      <x:c r="A93" s="2" t="str">
        <x:v>JOR</x:v>
      </x:c>
      <x:c r="B93" s="2" t="str">
        <x:v>Jordan (Hashemite Kingdom of)</x:v>
      </x:c>
      <x:c r="C93" s="2" t="n">
        <x:v>2020</x:v>
      </x:c>
      <x:c r="D93" s="2" t="str">
        <x:v>OBAT_FOOTPRINT</x:v>
      </x:c>
      <x:c r="E93" s="2" t="str">
        <x:v>horizontal surface / footprint</x:v>
      </x:c>
      <x:c r="F93" s="2" t="str">
        <x:v>m2</x:v>
      </x:c>
      <x:c r="G93" s="17" t="n">
        <x:v>275983857.16</x:v>
      </x:c>
      <x:c r="H93" s="17" t="n">
        <x:v>284663320.19</x:v>
      </x:c>
      <x:c r="I93" s="17" t="n">
        <x:f>IF(AND(L93,ISNUMBER(G93),ISNUMBER(H93)),G93-H93,"n.a.")</x:f>
        <x:v>-8679463.029999971</x:v>
      </x:c>
      <x:c r="J93" s="15" t="n">
        <x:f>IF(AND(L93,ISNUMBER(G93),ISNUMBER(H93),H93&gt;0),(G93-H93)/H93,"n.a.")</x:f>
        <x:v>-0.0304902754039643</x:v>
      </x:c>
      <x:c r="K93" s="19" t="n">
        <x:f>IF(ISNUMBER(J93),ABS(J93),"n.a.")</x:f>
        <x:v>0.0304902754039643</x:v>
      </x:c>
      <x:c r="L93" s="13" t="b">
        <x:v>1</x:v>
      </x:c>
      <x:c r="M93" s="13" t="b">
        <x:v>1</x:v>
      </x:c>
      <x:c r="N93" s="2" t="str">
        <x:v>qualified_source_frame_numeric_summary</x:v>
      </x:c>
      <x:c r="O93" s="2" t="str">
        <x:v>none</x:v>
      </x:c>
      <x:c r="P93" s="2" t="str">
        <x:v>nominal2020; Overture geometry2024-07-22.0; height support2018</x:v>
      </x:c>
      <x:c r="Q93" s="2" t="str">
        <x:v>Adjusted GADM4.1 boundaries; included Overture coverage unknown; China shortfall flagged; not a contemporaneous2020 census</x:v>
      </x:c>
      <x:c r="R93" s="2" t="str">
        <x:v>https://data.jrc.ec.europa.eu/dataset/f41a22f1-5741-4c41-86eb-6384654f6927</x:v>
      </x:c>
      <x:c r="S93" s="13" t="b">
        <x:v>0</x:v>
      </x:c>
      <x:c r="T93" s="13" t="b">
        <x:v>0</x:v>
      </x:c>
    </x:row>
    <x:row r="94" ht="23" customHeight="1">
      <x:c r="A94" s="2" t="str">
        <x:v>JPN</x:v>
      </x:c>
      <x:c r="B94" s="2" t="str">
        <x:v>Japan</x:v>
      </x:c>
      <x:c r="C94" s="2" t="n">
        <x:v>2020</x:v>
      </x:c>
      <x:c r="D94" s="2" t="str">
        <x:v>OBAT_FOOTPRINT</x:v>
      </x:c>
      <x:c r="E94" s="2" t="str">
        <x:v>horizontal surface / footprint</x:v>
      </x:c>
      <x:c r="F94" s="2" t="str">
        <x:v>m2</x:v>
      </x:c>
      <x:c r="G94" s="17" t="n">
        <x:v>8076054059.79</x:v>
      </x:c>
      <x:c r="H94" s="17" t="n">
        <x:v>6768234612.9</x:v>
      </x:c>
      <x:c r="I94" s="17" t="n">
        <x:f>IF(AND(L94,ISNUMBER(G94),ISNUMBER(H94)),G94-H94,"n.a.")</x:f>
        <x:v>1307819446.8900003</x:v>
      </x:c>
      <x:c r="J94" s="15" t="n">
        <x:f>IF(AND(L94,ISNUMBER(G94),ISNUMBER(H94),H94&gt;0),(G94-H94)/H94,"n.a.")</x:f>
        <x:v>0.1932290355888884</x:v>
      </x:c>
      <x:c r="K94" s="19" t="n">
        <x:f>IF(ISNUMBER(J94),ABS(J94),"n.a.")</x:f>
        <x:v>0.1932290355888884</x:v>
      </x:c>
      <x:c r="L94" s="13" t="b">
        <x:v>1</x:v>
      </x:c>
      <x:c r="M94" s="13" t="b">
        <x:v>1</x:v>
      </x:c>
      <x:c r="N94" s="2" t="str">
        <x:v>qualified_source_frame_numeric_summary</x:v>
      </x:c>
      <x:c r="O94" s="2" t="str">
        <x:v>none</x:v>
      </x:c>
      <x:c r="P94" s="2" t="str">
        <x:v>nominal2020; Overture geometry2024-07-22.0; height support2018</x:v>
      </x:c>
      <x:c r="Q94" s="2" t="str">
        <x:v>Adjusted GADM4.1 boundaries; included Overture coverage unknown; China shortfall flagged; not a contemporaneous2020 census</x:v>
      </x:c>
      <x:c r="R94" s="2" t="str">
        <x:v>https://data.jrc.ec.europa.eu/dataset/f41a22f1-5741-4c41-86eb-6384654f6927</x:v>
      </x:c>
      <x:c r="S94" s="13" t="b">
        <x:v>0</x:v>
      </x:c>
      <x:c r="T94" s="13" t="b">
        <x:v>0</x:v>
      </x:c>
    </x:row>
    <x:row r="95" ht="23" customHeight="1">
      <x:c r="A95" s="2" t="str">
        <x:v>KAZ</x:v>
      </x:c>
      <x:c r="B95" s="2" t="str">
        <x:v>Kazakhstan (Republic of)</x:v>
      </x:c>
      <x:c r="C95" s="2" t="n">
        <x:v>2020</x:v>
      </x:c>
      <x:c r="D95" s="2" t="str">
        <x:v>OBAT_FOOTPRINT</x:v>
      </x:c>
      <x:c r="E95" s="2" t="str">
        <x:v>horizontal surface / footprint</x:v>
      </x:c>
      <x:c r="F95" s="2" t="str">
        <x:v>m2</x:v>
      </x:c>
      <x:c r="G95" s="17" t="n">
        <x:v>1009034692.97</x:v>
      </x:c>
      <x:c r="H95" s="17" t="n">
        <x:v>965614093.289999</x:v>
      </x:c>
      <x:c r="I95" s="17" t="n">
        <x:f>IF(AND(L95,ISNUMBER(G95),ISNUMBER(H95)),G95-H95,"n.a.")</x:f>
        <x:v>43420599.68000102</x:v>
      </x:c>
      <x:c r="J95" s="15" t="n">
        <x:f>IF(AND(L95,ISNUMBER(G95),ISNUMBER(H95),H95&gt;0),(G95-H95)/H95,"n.a.")</x:f>
        <x:v>0.044966824719863206</x:v>
      </x:c>
      <x:c r="K95" s="19" t="n">
        <x:f>IF(ISNUMBER(J95),ABS(J95),"n.a.")</x:f>
        <x:v>0.044966824719863206</x:v>
      </x:c>
      <x:c r="L95" s="13" t="b">
        <x:v>1</x:v>
      </x:c>
      <x:c r="M95" s="13" t="b">
        <x:v>1</x:v>
      </x:c>
      <x:c r="N95" s="2" t="str">
        <x:v>qualified_source_frame_numeric_summary</x:v>
      </x:c>
      <x:c r="O95" s="2" t="str">
        <x:v>none</x:v>
      </x:c>
      <x:c r="P95" s="2" t="str">
        <x:v>nominal2020; Overture geometry2024-07-22.0; height support2018</x:v>
      </x:c>
      <x:c r="Q95" s="2" t="str">
        <x:v>Adjusted GADM4.1 boundaries; included Overture coverage unknown; China shortfall flagged; not a contemporaneous2020 census</x:v>
      </x:c>
      <x:c r="R95" s="2" t="str">
        <x:v>https://data.jrc.ec.europa.eu/dataset/f41a22f1-5741-4c41-86eb-6384654f6927</x:v>
      </x:c>
      <x:c r="S95" s="13" t="b">
        <x:v>0</x:v>
      </x:c>
      <x:c r="T95" s="13" t="b">
        <x:v>0</x:v>
      </x:c>
    </x:row>
    <x:row r="96" ht="23" customHeight="1">
      <x:c r="A96" s="2" t="str">
        <x:v>KEN</x:v>
      </x:c>
      <x:c r="B96" s="2" t="str">
        <x:v>Kenya (Republic of)</x:v>
      </x:c>
      <x:c r="C96" s="2" t="n">
        <x:v>2020</x:v>
      </x:c>
      <x:c r="D96" s="2" t="str">
        <x:v>OBAT_FOOTPRINT</x:v>
      </x:c>
      <x:c r="E96" s="2" t="str">
        <x:v>horizontal surface / footprint</x:v>
      </x:c>
      <x:c r="F96" s="2" t="str">
        <x:v>m2</x:v>
      </x:c>
      <x:c r="G96" s="17" t="n">
        <x:v>1180050447.52</x:v>
      </x:c>
      <x:c r="H96" s="17" t="n">
        <x:v>1413036657.19</x:v>
      </x:c>
      <x:c r="I96" s="17" t="n">
        <x:f>IF(AND(L96,ISNUMBER(G96),ISNUMBER(H96)),G96-H96,"n.a.")</x:f>
        <x:v>-232986209.67000008</x:v>
      </x:c>
      <x:c r="J96" s="15" t="n">
        <x:f>IF(AND(L96,ISNUMBER(G96),ISNUMBER(H96),H96&gt;0),(G96-H96)/H96,"n.a.")</x:f>
        <x:v>-0.16488334430992205</x:v>
      </x:c>
      <x:c r="K96" s="19" t="n">
        <x:f>IF(ISNUMBER(J96),ABS(J96),"n.a.")</x:f>
        <x:v>0.16488334430992205</x:v>
      </x:c>
      <x:c r="L96" s="13" t="b">
        <x:v>1</x:v>
      </x:c>
      <x:c r="M96" s="13" t="b">
        <x:v>1</x:v>
      </x:c>
      <x:c r="N96" s="2" t="str">
        <x:v>qualified_source_frame_numeric_summary</x:v>
      </x:c>
      <x:c r="O96" s="2" t="str">
        <x:v>none</x:v>
      </x:c>
      <x:c r="P96" s="2" t="str">
        <x:v>nominal2020; Overture geometry2024-07-22.0; height support2018</x:v>
      </x:c>
      <x:c r="Q96" s="2" t="str">
        <x:v>Adjusted GADM4.1 boundaries; included Overture coverage unknown; China shortfall flagged; not a contemporaneous2020 census</x:v>
      </x:c>
      <x:c r="R96" s="2" t="str">
        <x:v>https://data.jrc.ec.europa.eu/dataset/f41a22f1-5741-4c41-86eb-6384654f6927</x:v>
      </x:c>
      <x:c r="S96" s="13" t="b">
        <x:v>0</x:v>
      </x:c>
      <x:c r="T96" s="13" t="b">
        <x:v>0</x:v>
      </x:c>
    </x:row>
    <x:row r="97" ht="23" customHeight="1">
      <x:c r="A97" s="2" t="str">
        <x:v>KGZ</x:v>
      </x:c>
      <x:c r="B97" s="2" t="str">
        <x:v>Kyrgyzstan (Kyrgyz Republic)</x:v>
      </x:c>
      <x:c r="C97" s="2" t="n">
        <x:v>2020</x:v>
      </x:c>
      <x:c r="D97" s="2" t="str">
        <x:v>OBAT_FOOTPRINT</x:v>
      </x:c>
      <x:c r="E97" s="2" t="str">
        <x:v>horizontal surface / footprint</x:v>
      </x:c>
      <x:c r="F97" s="2" t="str">
        <x:v>m2</x:v>
      </x:c>
      <x:c r="G97" s="17" t="n">
        <x:v>332236534.37</x:v>
      </x:c>
      <x:c r="H97" s="17" t="n">
        <x:v>257129907.10999998</x:v>
      </x:c>
      <x:c r="I97" s="17" t="n">
        <x:f>IF(AND(L97,ISNUMBER(G97),ISNUMBER(H97)),G97-H97,"n.a.")</x:f>
        <x:v>75106627.26000002</x:v>
      </x:c>
      <x:c r="J97" s="15" t="n">
        <x:f>IF(AND(L97,ISNUMBER(G97),ISNUMBER(H97),H97&gt;0),(G97-H97)/H97,"n.a.")</x:f>
        <x:v>0.29209603855170946</x:v>
      </x:c>
      <x:c r="K97" s="19" t="n">
        <x:f>IF(ISNUMBER(J97),ABS(J97),"n.a.")</x:f>
        <x:v>0.29209603855170946</x:v>
      </x:c>
      <x:c r="L97" s="13" t="b">
        <x:v>1</x:v>
      </x:c>
      <x:c r="M97" s="13" t="b">
        <x:v>1</x:v>
      </x:c>
      <x:c r="N97" s="2" t="str">
        <x:v>qualified_source_frame_numeric_summary</x:v>
      </x:c>
      <x:c r="O97" s="2" t="str">
        <x:v>none</x:v>
      </x:c>
      <x:c r="P97" s="2" t="str">
        <x:v>nominal2020; Overture geometry2024-07-22.0; height support2018</x:v>
      </x:c>
      <x:c r="Q97" s="2" t="str">
        <x:v>Adjusted GADM4.1 boundaries; included Overture coverage unknown; China shortfall flagged; not a contemporaneous2020 census</x:v>
      </x:c>
      <x:c r="R97" s="2" t="str">
        <x:v>https://data.jrc.ec.europa.eu/dataset/f41a22f1-5741-4c41-86eb-6384654f6927</x:v>
      </x:c>
      <x:c r="S97" s="13" t="b">
        <x:v>0</x:v>
      </x:c>
      <x:c r="T97" s="13" t="b">
        <x:v>0</x:v>
      </x:c>
    </x:row>
    <x:row r="98" ht="23" customHeight="1">
      <x:c r="A98" s="2" t="str">
        <x:v>KHM</x:v>
      </x:c>
      <x:c r="B98" s="2" t="str">
        <x:v>Cambodia (Kingdom of)</x:v>
      </x:c>
      <x:c r="C98" s="2" t="n">
        <x:v>2020</x:v>
      </x:c>
      <x:c r="D98" s="2" t="str">
        <x:v>OBAT_FOOTPRINT</x:v>
      </x:c>
      <x:c r="E98" s="2" t="str">
        <x:v>horizontal surface / footprint</x:v>
      </x:c>
      <x:c r="F98" s="2" t="str">
        <x:v>m2</x:v>
      </x:c>
      <x:c r="G98" s="17" t="n">
        <x:v>672933221.83</x:v>
      </x:c>
      <x:c r="H98" s="17" t="n">
        <x:v>691502026.54</x:v>
      </x:c>
      <x:c r="I98" s="17" t="n">
        <x:f>IF(AND(L98,ISNUMBER(G98),ISNUMBER(H98)),G98-H98,"n.a.")</x:f>
        <x:v>-18568804.70999992</x:v>
      </x:c>
      <x:c r="J98" s="15" t="n">
        <x:f>IF(AND(L98,ISNUMBER(G98),ISNUMBER(H98),H98&gt;0),(G98-H98)/H98,"n.a.")</x:f>
        <x:v>-0.026852856531615392</x:v>
      </x:c>
      <x:c r="K98" s="19" t="n">
        <x:f>IF(ISNUMBER(J98),ABS(J98),"n.a.")</x:f>
        <x:v>0.026852856531615392</x:v>
      </x:c>
      <x:c r="L98" s="13" t="b">
        <x:v>1</x:v>
      </x:c>
      <x:c r="M98" s="13" t="b">
        <x:v>1</x:v>
      </x:c>
      <x:c r="N98" s="2" t="str">
        <x:v>qualified_source_frame_numeric_summary</x:v>
      </x:c>
      <x:c r="O98" s="2" t="str">
        <x:v>none</x:v>
      </x:c>
      <x:c r="P98" s="2" t="str">
        <x:v>nominal2020; Overture geometry2024-07-22.0; height support2018</x:v>
      </x:c>
      <x:c r="Q98" s="2" t="str">
        <x:v>Adjusted GADM4.1 boundaries; included Overture coverage unknown; China shortfall flagged; not a contemporaneous2020 census</x:v>
      </x:c>
      <x:c r="R98" s="2" t="str">
        <x:v>https://data.jrc.ec.europa.eu/dataset/f41a22f1-5741-4c41-86eb-6384654f6927</x:v>
      </x:c>
      <x:c r="S98" s="13" t="b">
        <x:v>0</x:v>
      </x:c>
      <x:c r="T98" s="13" t="b">
        <x:v>0</x:v>
      </x:c>
    </x:row>
    <x:row r="99" ht="23" customHeight="1">
      <x:c r="A99" s="2" t="str">
        <x:v>KIR</x:v>
      </x:c>
      <x:c r="B99" s="2" t="str">
        <x:v>Kiribati (Republic of)</x:v>
      </x:c>
      <x:c r="C99" s="2" t="n">
        <x:v>2020</x:v>
      </x:c>
      <x:c r="D99" s="2" t="str">
        <x:v>OBAT_FOOTPRINT</x:v>
      </x:c>
      <x:c r="E99" s="2" t="str">
        <x:v>horizontal surface / footprint</x:v>
      </x:c>
      <x:c r="F99" s="2" t="str">
        <x:v>m2</x:v>
      </x:c>
      <x:c r="G99" s="17" t="n">
        <x:v>1721739.67</x:v>
      </x:c>
      <x:c r="H99" s="17" t="n">
        <x:v>3985851.06999999</x:v>
      </x:c>
      <x:c r="I99" s="17" t="n">
        <x:f>IF(AND(L99,ISNUMBER(G99),ISNUMBER(H99)),G99-H99,"n.a.")</x:f>
        <x:v>-2264111.39999999</x:v>
      </x:c>
      <x:c r="J99" s="15" t="n">
        <x:f>IF(AND(L99,ISNUMBER(G99),ISNUMBER(H99),H99&gt;0),(G99-H99)/H99,"n.a.")</x:f>
        <x:v>-0.5680371293953027</x:v>
      </x:c>
      <x:c r="K99" s="19" t="n">
        <x:f>IF(ISNUMBER(J99),ABS(J99),"n.a.")</x:f>
        <x:v>0.5680371293953027</x:v>
      </x:c>
      <x:c r="L99" s="13" t="b">
        <x:v>1</x:v>
      </x:c>
      <x:c r="M99" s="13" t="b">
        <x:v>1</x:v>
      </x:c>
      <x:c r="N99" s="2" t="str">
        <x:v>qualified_source_frame_numeric_summary</x:v>
      </x:c>
      <x:c r="O99" s="2" t="str">
        <x:v>none</x:v>
      </x:c>
      <x:c r="P99" s="2" t="str">
        <x:v>nominal2020; Overture geometry2024-07-22.0; height support2018</x:v>
      </x:c>
      <x:c r="Q99" s="2" t="str">
        <x:v>Adjusted GADM4.1 boundaries; included Overture coverage unknown; China shortfall flagged; not a contemporaneous2020 census</x:v>
      </x:c>
      <x:c r="R99" s="2" t="str">
        <x:v>https://data.jrc.ec.europa.eu/dataset/f41a22f1-5741-4c41-86eb-6384654f6927</x:v>
      </x:c>
      <x:c r="S99" s="13" t="b">
        <x:v>0</x:v>
      </x:c>
      <x:c r="T99" s="13" t="b">
        <x:v>0</x:v>
      </x:c>
    </x:row>
    <x:row r="100" ht="23" customHeight="1">
      <x:c r="A100" s="2" t="str">
        <x:v>KNA</x:v>
      </x:c>
      <x:c r="B100" s="2" t="str">
        <x:v>Saint Kitts and Nevis (Federation of)</x:v>
      </x:c>
      <x:c r="C100" s="2" t="n">
        <x:v>2020</x:v>
      </x:c>
      <x:c r="D100" s="2" t="str">
        <x:v>OBAT_FOOTPRINT</x:v>
      </x:c>
      <x:c r="E100" s="2" t="str">
        <x:v>horizontal surface / footprint</x:v>
      </x:c>
      <x:c r="F100" s="2" t="str">
        <x:v>m2</x:v>
      </x:c>
      <x:c r="G100" s="17" t="n">
        <x:v>4523960.76</x:v>
      </x:c>
      <x:c r="H100" s="17" t="n">
        <x:v>4752527.11000001</x:v>
      </x:c>
      <x:c r="I100" s="17" t="n">
        <x:f>IF(AND(L100,ISNUMBER(G100),ISNUMBER(H100)),G100-H100,"n.a.")</x:f>
        <x:v>-228566.35000000987</x:v>
      </x:c>
      <x:c r="J100" s="15" t="n">
        <x:f>IF(AND(L100,ISNUMBER(G100),ISNUMBER(H100),H100&gt;0),(G100-H100)/H100,"n.a.")</x:f>
        <x:v>-0.04809364464624998</x:v>
      </x:c>
      <x:c r="K100" s="19" t="n">
        <x:f>IF(ISNUMBER(J100),ABS(J100),"n.a.")</x:f>
        <x:v>0.04809364464624998</x:v>
      </x:c>
      <x:c r="L100" s="13" t="b">
        <x:v>1</x:v>
      </x:c>
      <x:c r="M100" s="13" t="b">
        <x:v>1</x:v>
      </x:c>
      <x:c r="N100" s="2" t="str">
        <x:v>qualified_source_frame_numeric_summary</x:v>
      </x:c>
      <x:c r="O100" s="2" t="str">
        <x:v>none</x:v>
      </x:c>
      <x:c r="P100" s="2" t="str">
        <x:v>nominal2020; Overture geometry2024-07-22.0; height support2018</x:v>
      </x:c>
      <x:c r="Q100" s="2" t="str">
        <x:v>Adjusted GADM4.1 boundaries; included Overture coverage unknown; China shortfall flagged; not a contemporaneous2020 census</x:v>
      </x:c>
      <x:c r="R100" s="2" t="str">
        <x:v>https://data.jrc.ec.europa.eu/dataset/f41a22f1-5741-4c41-86eb-6384654f6927</x:v>
      </x:c>
      <x:c r="S100" s="13" t="b">
        <x:v>0</x:v>
      </x:c>
      <x:c r="T100" s="13" t="b">
        <x:v>0</x:v>
      </x:c>
    </x:row>
    <x:row r="101" ht="23" customHeight="1">
      <x:c r="A101" s="2" t="str">
        <x:v>KOR</x:v>
      </x:c>
      <x:c r="B101" s="2" t="str">
        <x:v>Korea (Republic of)</x:v>
      </x:c>
      <x:c r="C101" s="2" t="n">
        <x:v>2020</x:v>
      </x:c>
      <x:c r="D101" s="2" t="str">
        <x:v>OBAT_FOOTPRINT</x:v>
      </x:c>
      <x:c r="E101" s="2" t="str">
        <x:v>horizontal surface / footprint</x:v>
      </x:c>
      <x:c r="F101" s="2" t="str">
        <x:v>m2</x:v>
      </x:c>
      <x:c r="G101" s="17" t="n">
        <x:v>2559028811.37</x:v>
      </x:c>
      <x:c r="H101" s="17" t="n">
        <x:v>394790913.64</x:v>
      </x:c>
      <x:c r="I101" s="17" t="n">
        <x:f>IF(AND(L101,ISNUMBER(G101),ISNUMBER(H101)),G101-H101,"n.a.")</x:f>
        <x:v>2164237897.73</x:v>
      </x:c>
      <x:c r="J101" s="15" t="n">
        <x:f>IF(AND(L101,ISNUMBER(G101),ISNUMBER(H101),H101&gt;0),(G101-H101)/H101,"n.a.")</x:f>
        <x:v>5.481985078571273</x:v>
      </x:c>
      <x:c r="K101" s="19" t="n">
        <x:f>IF(ISNUMBER(J101),ABS(J101),"n.a.")</x:f>
        <x:v>5.481985078571273</x:v>
      </x:c>
      <x:c r="L101" s="13" t="b">
        <x:v>1</x:v>
      </x:c>
      <x:c r="M101" s="13" t="b">
        <x:v>1</x:v>
      </x:c>
      <x:c r="N101" s="2" t="str">
        <x:v>qualified_source_frame_numeric_summary</x:v>
      </x:c>
      <x:c r="O101" s="2" t="str">
        <x:v>none</x:v>
      </x:c>
      <x:c r="P101" s="2" t="str">
        <x:v>nominal2020; Overture geometry2024-07-22.0; height support2018</x:v>
      </x:c>
      <x:c r="Q101" s="2" t="str">
        <x:v>Adjusted GADM4.1 boundaries; included Overture coverage unknown; China shortfall flagged; not a contemporaneous2020 census</x:v>
      </x:c>
      <x:c r="R101" s="2" t="str">
        <x:v>https://data.jrc.ec.europa.eu/dataset/f41a22f1-5741-4c41-86eb-6384654f6927</x:v>
      </x:c>
      <x:c r="S101" s="13" t="b">
        <x:v>0</x:v>
      </x:c>
      <x:c r="T101" s="13" t="b">
        <x:v>0</x:v>
      </x:c>
    </x:row>
    <x:row r="102" ht="23" customHeight="1">
      <x:c r="A102" s="2" t="str">
        <x:v>KWT</x:v>
      </x:c>
      <x:c r="B102" s="2" t="str">
        <x:v>Kuwait (State of)</x:v>
      </x:c>
      <x:c r="C102" s="2" t="n">
        <x:v>2020</x:v>
      </x:c>
      <x:c r="D102" s="2" t="str">
        <x:v>OBAT_FOOTPRINT</x:v>
      </x:c>
      <x:c r="E102" s="2" t="str">
        <x:v>horizontal surface / footprint</x:v>
      </x:c>
      <x:c r="F102" s="2" t="str">
        <x:v>m2</x:v>
      </x:c>
      <x:c r="G102" s="17" t="n">
        <x:v>143367071.73</x:v>
      </x:c>
      <x:c r="H102" s="17" t="n">
        <x:v>79459083.78</x:v>
      </x:c>
      <x:c r="I102" s="17" t="n">
        <x:f>IF(AND(L102,ISNUMBER(G102),ISNUMBER(H102)),G102-H102,"n.a.")</x:f>
        <x:v>63907987.94999999</x:v>
      </x:c>
      <x:c r="J102" s="15" t="n">
        <x:f>IF(AND(L102,ISNUMBER(G102),ISNUMBER(H102),H102&gt;0),(G102-H102)/H102,"n.a.")</x:f>
        <x:v>0.8042880047162807</x:v>
      </x:c>
      <x:c r="K102" s="19" t="n">
        <x:f>IF(ISNUMBER(J102),ABS(J102),"n.a.")</x:f>
        <x:v>0.8042880047162807</x:v>
      </x:c>
      <x:c r="L102" s="13" t="b">
        <x:v>1</x:v>
      </x:c>
      <x:c r="M102" s="13" t="b">
        <x:v>1</x:v>
      </x:c>
      <x:c r="N102" s="2" t="str">
        <x:v>qualified_source_frame_numeric_summary</x:v>
      </x:c>
      <x:c r="O102" s="2" t="str">
        <x:v>none</x:v>
      </x:c>
      <x:c r="P102" s="2" t="str">
        <x:v>nominal2020; Overture geometry2024-07-22.0; height support2018</x:v>
      </x:c>
      <x:c r="Q102" s="2" t="str">
        <x:v>Adjusted GADM4.1 boundaries; included Overture coverage unknown; China shortfall flagged; not a contemporaneous2020 census</x:v>
      </x:c>
      <x:c r="R102" s="2" t="str">
        <x:v>https://data.jrc.ec.europa.eu/dataset/f41a22f1-5741-4c41-86eb-6384654f6927</x:v>
      </x:c>
      <x:c r="S102" s="13" t="b">
        <x:v>0</x:v>
      </x:c>
      <x:c r="T102" s="13" t="b">
        <x:v>0</x:v>
      </x:c>
    </x:row>
    <x:row r="103" ht="23" customHeight="1">
      <x:c r="A103" s="2" t="str">
        <x:v>LAO</x:v>
      </x:c>
      <x:c r="B103" s="2" t="str">
        <x:v>Lao People's Democratic Republic</x:v>
      </x:c>
      <x:c r="C103" s="2" t="n">
        <x:v>2020</x:v>
      </x:c>
      <x:c r="D103" s="2" t="str">
        <x:v>OBAT_FOOTPRINT</x:v>
      </x:c>
      <x:c r="E103" s="2" t="str">
        <x:v>horizontal surface / footprint</x:v>
      </x:c>
      <x:c r="F103" s="2" t="str">
        <x:v>m2</x:v>
      </x:c>
      <x:c r="G103" s="17" t="n">
        <x:v>333393295.19</x:v>
      </x:c>
      <x:c r="H103" s="17" t="n">
        <x:v>366663882.85</x:v>
      </x:c>
      <x:c r="I103" s="17" t="n">
        <x:f>IF(AND(L103,ISNUMBER(G103),ISNUMBER(H103)),G103-H103,"n.a.")</x:f>
        <x:v>-33270587.660000026</x:v>
      </x:c>
      <x:c r="J103" s="15" t="n">
        <x:f>IF(AND(L103,ISNUMBER(G103),ISNUMBER(H103),H103&gt;0),(G103-H103)/H103,"n.a.")</x:f>
        <x:v>-0.09073865525394773</x:v>
      </x:c>
      <x:c r="K103" s="19" t="n">
        <x:f>IF(ISNUMBER(J103),ABS(J103),"n.a.")</x:f>
        <x:v>0.09073865525394773</x:v>
      </x:c>
      <x:c r="L103" s="13" t="b">
        <x:v>1</x:v>
      </x:c>
      <x:c r="M103" s="13" t="b">
        <x:v>1</x:v>
      </x:c>
      <x:c r="N103" s="2" t="str">
        <x:v>qualified_source_frame_numeric_summary</x:v>
      </x:c>
      <x:c r="O103" s="2" t="str">
        <x:v>none</x:v>
      </x:c>
      <x:c r="P103" s="2" t="str">
        <x:v>nominal2020; Overture geometry2024-07-22.0; height support2018</x:v>
      </x:c>
      <x:c r="Q103" s="2" t="str">
        <x:v>Adjusted GADM4.1 boundaries; included Overture coverage unknown; China shortfall flagged; not a contemporaneous2020 census</x:v>
      </x:c>
      <x:c r="R103" s="2" t="str">
        <x:v>https://data.jrc.ec.europa.eu/dataset/f41a22f1-5741-4c41-86eb-6384654f6927</x:v>
      </x:c>
      <x:c r="S103" s="13" t="b">
        <x:v>0</x:v>
      </x:c>
      <x:c r="T103" s="13" t="b">
        <x:v>0</x:v>
      </x:c>
    </x:row>
    <x:row r="104" ht="23" customHeight="1">
      <x:c r="A104" s="2" t="str">
        <x:v>LBN</x:v>
      </x:c>
      <x:c r="B104" s="2" t="str">
        <x:v>Lebanon (Lebanese Republic)</x:v>
      </x:c>
      <x:c r="C104" s="2" t="n">
        <x:v>2020</x:v>
      </x:c>
      <x:c r="D104" s="2" t="str">
        <x:v>OBAT_FOOTPRINT</x:v>
      </x:c>
      <x:c r="E104" s="2" t="str">
        <x:v>horizontal surface / footprint</x:v>
      </x:c>
      <x:c r="F104" s="2" t="str">
        <x:v>m2</x:v>
      </x:c>
      <x:c r="G104" s="17" t="n">
        <x:v>222783609.45</x:v>
      </x:c>
      <x:c r="H104" s="17" t="n">
        <x:v>228996789.71</x:v>
      </x:c>
      <x:c r="I104" s="17" t="n">
        <x:f>IF(AND(L104,ISNUMBER(G104),ISNUMBER(H104)),G104-H104,"n.a.")</x:f>
        <x:v>-6213180.26000002</x:v>
      </x:c>
      <x:c r="J104" s="15" t="n">
        <x:f>IF(AND(L104,ISNUMBER(G104),ISNUMBER(H104),H104&gt;0),(G104-H104)/H104,"n.a.")</x:f>
        <x:v>-0.027132171887074705</x:v>
      </x:c>
      <x:c r="K104" s="19" t="n">
        <x:f>IF(ISNUMBER(J104),ABS(J104),"n.a.")</x:f>
        <x:v>0.027132171887074705</x:v>
      </x:c>
      <x:c r="L104" s="13" t="b">
        <x:v>1</x:v>
      </x:c>
      <x:c r="M104" s="13" t="b">
        <x:v>1</x:v>
      </x:c>
      <x:c r="N104" s="2" t="str">
        <x:v>qualified_source_frame_numeric_summary</x:v>
      </x:c>
      <x:c r="O104" s="2" t="str">
        <x:v>none</x:v>
      </x:c>
      <x:c r="P104" s="2" t="str">
        <x:v>nominal2020; Overture geometry2024-07-22.0; height support2018</x:v>
      </x:c>
      <x:c r="Q104" s="2" t="str">
        <x:v>Adjusted GADM4.1 boundaries; included Overture coverage unknown; China shortfall flagged; not a contemporaneous2020 census</x:v>
      </x:c>
      <x:c r="R104" s="2" t="str">
        <x:v>https://data.jrc.ec.europa.eu/dataset/f41a22f1-5741-4c41-86eb-6384654f6927</x:v>
      </x:c>
      <x:c r="S104" s="13" t="b">
        <x:v>0</x:v>
      </x:c>
      <x:c r="T104" s="13" t="b">
        <x:v>0</x:v>
      </x:c>
    </x:row>
    <x:row r="105" ht="23" customHeight="1">
      <x:c r="A105" s="2" t="str">
        <x:v>LBR</x:v>
      </x:c>
      <x:c r="B105" s="2" t="str">
        <x:v>Liberia (Republic of)</x:v>
      </x:c>
      <x:c r="C105" s="2" t="n">
        <x:v>2020</x:v>
      </x:c>
      <x:c r="D105" s="2" t="str">
        <x:v>OBAT_FOOTPRINT</x:v>
      </x:c>
      <x:c r="E105" s="2" t="str">
        <x:v>horizontal surface / footprint</x:v>
      </x:c>
      <x:c r="F105" s="2" t="str">
        <x:v>m2</x:v>
      </x:c>
      <x:c r="G105" s="17" t="n">
        <x:v>93713430.84</x:v>
      </x:c>
      <x:c r="H105" s="17" t="n">
        <x:v>105398295.12</x:v>
      </x:c>
      <x:c r="I105" s="17" t="n">
        <x:f>IF(AND(L105,ISNUMBER(G105),ISNUMBER(H105)),G105-H105,"n.a.")</x:f>
        <x:v>-11684864.280000001</x:v>
      </x:c>
      <x:c r="J105" s="15" t="n">
        <x:f>IF(AND(L105,ISNUMBER(G105),ISNUMBER(H105),H105&gt;0),(G105-H105)/H105,"n.a.")</x:f>
        <x:v>-0.1108638832031992</x:v>
      </x:c>
      <x:c r="K105" s="19" t="n">
        <x:f>IF(ISNUMBER(J105),ABS(J105),"n.a.")</x:f>
        <x:v>0.1108638832031992</x:v>
      </x:c>
      <x:c r="L105" s="13" t="b">
        <x:v>1</x:v>
      </x:c>
      <x:c r="M105" s="13" t="b">
        <x:v>1</x:v>
      </x:c>
      <x:c r="N105" s="2" t="str">
        <x:v>qualified_source_frame_numeric_summary</x:v>
      </x:c>
      <x:c r="O105" s="2" t="str">
        <x:v>none</x:v>
      </x:c>
      <x:c r="P105" s="2" t="str">
        <x:v>nominal2020; Overture geometry2024-07-22.0; height support2018</x:v>
      </x:c>
      <x:c r="Q105" s="2" t="str">
        <x:v>Adjusted GADM4.1 boundaries; included Overture coverage unknown; China shortfall flagged; not a contemporaneous2020 census</x:v>
      </x:c>
      <x:c r="R105" s="2" t="str">
        <x:v>https://data.jrc.ec.europa.eu/dataset/f41a22f1-5741-4c41-86eb-6384654f6927</x:v>
      </x:c>
      <x:c r="S105" s="13" t="b">
        <x:v>0</x:v>
      </x:c>
      <x:c r="T105" s="13" t="b">
        <x:v>0</x:v>
      </x:c>
    </x:row>
    <x:row r="106" ht="23" customHeight="1">
      <x:c r="A106" s="2" t="str">
        <x:v>LBY</x:v>
      </x:c>
      <x:c r="B106" s="2" t="str">
        <x:v>Libya (State of)</x:v>
      </x:c>
      <x:c r="C106" s="2" t="n">
        <x:v>2020</x:v>
      </x:c>
      <x:c r="D106" s="2" t="str">
        <x:v>OBAT_FOOTPRINT</x:v>
      </x:c>
      <x:c r="E106" s="2" t="str">
        <x:v>horizontal surface / footprint</x:v>
      </x:c>
      <x:c r="F106" s="2" t="str">
        <x:v>m2</x:v>
      </x:c>
      <x:c r="G106" s="17" t="n">
        <x:v>523048577.3</x:v>
      </x:c>
      <x:c r="H106" s="17" t="n">
        <x:v>536196097.03000003</x:v>
      </x:c>
      <x:c r="I106" s="17" t="n">
        <x:f>IF(AND(L106,ISNUMBER(G106),ISNUMBER(H106)),G106-H106,"n.a.")</x:f>
        <x:v>-13147519.73000002</x:v>
      </x:c>
      <x:c r="J106" s="15" t="n">
        <x:f>IF(AND(L106,ISNUMBER(G106),ISNUMBER(H106),H106&gt;0),(G106-H106)/H106,"n.a.")</x:f>
        <x:v>-0.02451998401857897</x:v>
      </x:c>
      <x:c r="K106" s="19" t="n">
        <x:f>IF(ISNUMBER(J106),ABS(J106),"n.a.")</x:f>
        <x:v>0.02451998401857897</x:v>
      </x:c>
      <x:c r="L106" s="13" t="b">
        <x:v>1</x:v>
      </x:c>
      <x:c r="M106" s="13" t="b">
        <x:v>1</x:v>
      </x:c>
      <x:c r="N106" s="2" t="str">
        <x:v>qualified_source_frame_numeric_summary</x:v>
      </x:c>
      <x:c r="O106" s="2" t="str">
        <x:v>none</x:v>
      </x:c>
      <x:c r="P106" s="2" t="str">
        <x:v>nominal2020; Overture geometry2024-07-22.0; height support2018</x:v>
      </x:c>
      <x:c r="Q106" s="2" t="str">
        <x:v>Adjusted GADM4.1 boundaries; included Overture coverage unknown; China shortfall flagged; not a contemporaneous2020 census</x:v>
      </x:c>
      <x:c r="R106" s="2" t="str">
        <x:v>https://data.jrc.ec.europa.eu/dataset/f41a22f1-5741-4c41-86eb-6384654f6927</x:v>
      </x:c>
      <x:c r="S106" s="13" t="b">
        <x:v>0</x:v>
      </x:c>
      <x:c r="T106" s="13" t="b">
        <x:v>0</x:v>
      </x:c>
    </x:row>
    <x:row r="107" ht="23" customHeight="1">
      <x:c r="A107" s="2" t="str">
        <x:v>LCA</x:v>
      </x:c>
      <x:c r="B107" s="2" t="str">
        <x:v>Saint Lucia</x:v>
      </x:c>
      <x:c r="C107" s="2" t="n">
        <x:v>2020</x:v>
      </x:c>
      <x:c r="D107" s="2" t="str">
        <x:v>OBAT_FOOTPRINT</x:v>
      </x:c>
      <x:c r="E107" s="2" t="str">
        <x:v>horizontal surface / footprint</x:v>
      </x:c>
      <x:c r="F107" s="2" t="str">
        <x:v>m2</x:v>
      </x:c>
      <x:c r="G107" s="17" t="n">
        <x:v>10226894.6</x:v>
      </x:c>
      <x:c r="H107" s="17" t="n">
        <x:v>10722749.66</x:v>
      </x:c>
      <x:c r="I107" s="17" t="n">
        <x:f>IF(AND(L107,ISNUMBER(G107),ISNUMBER(H107)),G107-H107,"n.a.")</x:f>
        <x:v>-495855.0600000005</x:v>
      </x:c>
      <x:c r="J107" s="15" t="n">
        <x:f>IF(AND(L107,ISNUMBER(G107),ISNUMBER(H107),H107&gt;0),(G107-H107)/H107,"n.a.")</x:f>
        <x:v>-0.04624327488029787</x:v>
      </x:c>
      <x:c r="K107" s="19" t="n">
        <x:f>IF(ISNUMBER(J107),ABS(J107),"n.a.")</x:f>
        <x:v>0.04624327488029787</x:v>
      </x:c>
      <x:c r="L107" s="13" t="b">
        <x:v>1</x:v>
      </x:c>
      <x:c r="M107" s="13" t="b">
        <x:v>1</x:v>
      </x:c>
      <x:c r="N107" s="2" t="str">
        <x:v>qualified_source_frame_numeric_summary</x:v>
      </x:c>
      <x:c r="O107" s="2" t="str">
        <x:v>none</x:v>
      </x:c>
      <x:c r="P107" s="2" t="str">
        <x:v>nominal2020; Overture geometry2024-07-22.0; height support2018</x:v>
      </x:c>
      <x:c r="Q107" s="2" t="str">
        <x:v>Adjusted GADM4.1 boundaries; included Overture coverage unknown; China shortfall flagged; not a contemporaneous2020 census</x:v>
      </x:c>
      <x:c r="R107" s="2" t="str">
        <x:v>https://data.jrc.ec.europa.eu/dataset/f41a22f1-5741-4c41-86eb-6384654f6927</x:v>
      </x:c>
      <x:c r="S107" s="13" t="b">
        <x:v>0</x:v>
      </x:c>
      <x:c r="T107" s="13" t="b">
        <x:v>0</x:v>
      </x:c>
    </x:row>
    <x:row r="108" ht="23" customHeight="1">
      <x:c r="A108" s="2" t="str">
        <x:v>LIE</x:v>
      </x:c>
      <x:c r="B108" s="2" t="str">
        <x:v>Liechtenstein (Principality of)</x:v>
      </x:c>
      <x:c r="C108" s="2" t="n">
        <x:v>2020</x:v>
      </x:c>
      <x:c r="D108" s="2" t="str">
        <x:v>OBAT_FOOTPRINT</x:v>
      </x:c>
      <x:c r="E108" s="2" t="str">
        <x:v>horizontal surface / footprint</x:v>
      </x:c>
      <x:c r="F108" s="2" t="str">
        <x:v>m2</x:v>
      </x:c>
      <x:c r="G108" s="17" t="n">
        <x:v>3519854.45</x:v>
      </x:c>
      <x:c r="H108" s="17" t="n">
        <x:v>3669298.21</x:v>
      </x:c>
      <x:c r="I108" s="17" t="n">
        <x:f>IF(AND(L108,ISNUMBER(G108),ISNUMBER(H108)),G108-H108,"n.a.")</x:f>
        <x:v>-149443.75999999978</x:v>
      </x:c>
      <x:c r="J108" s="15" t="n">
        <x:f>IF(AND(L108,ISNUMBER(G108),ISNUMBER(H108),H108&gt;0),(G108-H108)/H108,"n.a.")</x:f>
        <x:v>-0.040728158750552954</x:v>
      </x:c>
      <x:c r="K108" s="19" t="n">
        <x:f>IF(ISNUMBER(J108),ABS(J108),"n.a.")</x:f>
        <x:v>0.040728158750552954</x:v>
      </x:c>
      <x:c r="L108" s="13" t="b">
        <x:v>1</x:v>
      </x:c>
      <x:c r="M108" s="13" t="b">
        <x:v>1</x:v>
      </x:c>
      <x:c r="N108" s="2" t="str">
        <x:v>qualified_source_frame_numeric_summary</x:v>
      </x:c>
      <x:c r="O108" s="2" t="str">
        <x:v>none</x:v>
      </x:c>
      <x:c r="P108" s="2" t="str">
        <x:v>nominal2020; Overture geometry2024-07-22.0; height support2018</x:v>
      </x:c>
      <x:c r="Q108" s="2" t="str">
        <x:v>Adjusted GADM4.1 boundaries; included Overture coverage unknown; China shortfall flagged; not a contemporaneous2020 census</x:v>
      </x:c>
      <x:c r="R108" s="2" t="str">
        <x:v>https://data.jrc.ec.europa.eu/dataset/f41a22f1-5741-4c41-86eb-6384654f6927</x:v>
      </x:c>
      <x:c r="S108" s="13" t="b">
        <x:v>0</x:v>
      </x:c>
      <x:c r="T108" s="13" t="b">
        <x:v>0</x:v>
      </x:c>
    </x:row>
    <x:row r="109" ht="23" customHeight="1">
      <x:c r="A109" s="2" t="str">
        <x:v>LKA</x:v>
      </x:c>
      <x:c r="B109" s="2" t="str">
        <x:v>Sri Lanka (Democratic Socialist Republic of)</x:v>
      </x:c>
      <x:c r="C109" s="2" t="n">
        <x:v>2020</x:v>
      </x:c>
      <x:c r="D109" s="2" t="str">
        <x:v>OBAT_FOOTPRINT</x:v>
      </x:c>
      <x:c r="E109" s="2" t="str">
        <x:v>horizontal surface / footprint</x:v>
      </x:c>
      <x:c r="F109" s="2" t="str">
        <x:v>m2</x:v>
      </x:c>
      <x:c r="G109" s="17" t="n">
        <x:v>899293602.29</x:v>
      </x:c>
      <x:c r="H109" s="17" t="n">
        <x:v>940534683.52</x:v>
      </x:c>
      <x:c r="I109" s="17" t="n">
        <x:f>IF(AND(L109,ISNUMBER(G109),ISNUMBER(H109)),G109-H109,"n.a.")</x:f>
        <x:v>-41241081.23000002</x:v>
      </x:c>
      <x:c r="J109" s="15" t="n">
        <x:f>IF(AND(L109,ISNUMBER(G109),ISNUMBER(H109),H109&gt;0),(G109-H109)/H109,"n.a.")</x:f>
        <x:v>-0.04384854907811919</x:v>
      </x:c>
      <x:c r="K109" s="19" t="n">
        <x:f>IF(ISNUMBER(J109),ABS(J109),"n.a.")</x:f>
        <x:v>0.04384854907811919</x:v>
      </x:c>
      <x:c r="L109" s="13" t="b">
        <x:v>1</x:v>
      </x:c>
      <x:c r="M109" s="13" t="b">
        <x:v>1</x:v>
      </x:c>
      <x:c r="N109" s="2" t="str">
        <x:v>qualified_source_frame_numeric_summary</x:v>
      </x:c>
      <x:c r="O109" s="2" t="str">
        <x:v>none</x:v>
      </x:c>
      <x:c r="P109" s="2" t="str">
        <x:v>nominal2020; Overture geometry2024-07-22.0; height support2018</x:v>
      </x:c>
      <x:c r="Q109" s="2" t="str">
        <x:v>Adjusted GADM4.1 boundaries; included Overture coverage unknown; China shortfall flagged; not a contemporaneous2020 census</x:v>
      </x:c>
      <x:c r="R109" s="2" t="str">
        <x:v>https://data.jrc.ec.europa.eu/dataset/f41a22f1-5741-4c41-86eb-6384654f6927</x:v>
      </x:c>
      <x:c r="S109" s="13" t="b">
        <x:v>0</x:v>
      </x:c>
      <x:c r="T109" s="13" t="b">
        <x:v>0</x:v>
      </x:c>
    </x:row>
    <x:row r="110" ht="23" customHeight="1">
      <x:c r="A110" s="2" t="str">
        <x:v>LSO</x:v>
      </x:c>
      <x:c r="B110" s="2" t="str">
        <x:v>Lesotho (Kingdom of)</x:v>
      </x:c>
      <x:c r="C110" s="2" t="n">
        <x:v>2020</x:v>
      </x:c>
      <x:c r="D110" s="2" t="str">
        <x:v>OBAT_FOOTPRINT</x:v>
      </x:c>
      <x:c r="E110" s="2" t="str">
        <x:v>horizontal surface / footprint</x:v>
      </x:c>
      <x:c r="F110" s="2" t="str">
        <x:v>m2</x:v>
      </x:c>
      <x:c r="G110" s="17" t="n">
        <x:v>60655167.15</x:v>
      </x:c>
      <x:c r="H110" s="17" t="n">
        <x:v>74480239.08</x:v>
      </x:c>
      <x:c r="I110" s="17" t="n">
        <x:f>IF(AND(L110,ISNUMBER(G110),ISNUMBER(H110)),G110-H110,"n.a.")</x:f>
        <x:v>-13825071.93</x:v>
      </x:c>
      <x:c r="J110" s="15" t="n">
        <x:f>IF(AND(L110,ISNUMBER(G110),ISNUMBER(H110),H110&gt;0),(G110-H110)/H110,"n.a.")</x:f>
        <x:v>-0.18562067067414145</x:v>
      </x:c>
      <x:c r="K110" s="19" t="n">
        <x:f>IF(ISNUMBER(J110),ABS(J110),"n.a.")</x:f>
        <x:v>0.18562067067414145</x:v>
      </x:c>
      <x:c r="L110" s="13" t="b">
        <x:v>1</x:v>
      </x:c>
      <x:c r="M110" s="13" t="b">
        <x:v>1</x:v>
      </x:c>
      <x:c r="N110" s="2" t="str">
        <x:v>qualified_source_frame_numeric_summary</x:v>
      </x:c>
      <x:c r="O110" s="2" t="str">
        <x:v>none</x:v>
      </x:c>
      <x:c r="P110" s="2" t="str">
        <x:v>nominal2020; Overture geometry2024-07-22.0; height support2018</x:v>
      </x:c>
      <x:c r="Q110" s="2" t="str">
        <x:v>Adjusted GADM4.1 boundaries; included Overture coverage unknown; China shortfall flagged; not a contemporaneous2020 census</x:v>
      </x:c>
      <x:c r="R110" s="2" t="str">
        <x:v>https://data.jrc.ec.europa.eu/dataset/f41a22f1-5741-4c41-86eb-6384654f6927</x:v>
      </x:c>
      <x:c r="S110" s="13" t="b">
        <x:v>0</x:v>
      </x:c>
      <x:c r="T110" s="13" t="b">
        <x:v>0</x:v>
      </x:c>
    </x:row>
    <x:row r="111" ht="23" customHeight="1">
      <x:c r="A111" s="2" t="str">
        <x:v>LTU</x:v>
      </x:c>
      <x:c r="B111" s="2" t="str">
        <x:v>Lithuania (Republic of)</x:v>
      </x:c>
      <x:c r="C111" s="2" t="n">
        <x:v>2020</x:v>
      </x:c>
      <x:c r="D111" s="2" t="str">
        <x:v>OBAT_FOOTPRINT</x:v>
      </x:c>
      <x:c r="E111" s="2" t="str">
        <x:v>horizontal surface / footprint</x:v>
      </x:c>
      <x:c r="F111" s="2" t="str">
        <x:v>m2</x:v>
      </x:c>
      <x:c r="G111" s="17" t="n">
        <x:v>269070067.62</x:v>
      </x:c>
      <x:c r="H111" s="17" t="n">
        <x:v>306277116.53999996</x:v>
      </x:c>
      <x:c r="I111" s="17" t="n">
        <x:f>IF(AND(L111,ISNUMBER(G111),ISNUMBER(H111)),G111-H111,"n.a.")</x:f>
        <x:v>-37207048.91999996</x:v>
      </x:c>
      <x:c r="J111" s="15" t="n">
        <x:f>IF(AND(L111,ISNUMBER(G111),ISNUMBER(H111),H111&gt;0),(G111-H111)/H111,"n.a.")</x:f>
        <x:v>-0.12148164818947776</x:v>
      </x:c>
      <x:c r="K111" s="19" t="n">
        <x:f>IF(ISNUMBER(J111),ABS(J111),"n.a.")</x:f>
        <x:v>0.12148164818947776</x:v>
      </x:c>
      <x:c r="L111" s="13" t="b">
        <x:v>1</x:v>
      </x:c>
      <x:c r="M111" s="13" t="b">
        <x:v>1</x:v>
      </x:c>
      <x:c r="N111" s="2" t="str">
        <x:v>qualified_source_frame_numeric_summary</x:v>
      </x:c>
      <x:c r="O111" s="2" t="str">
        <x:v>none</x:v>
      </x:c>
      <x:c r="P111" s="2" t="str">
        <x:v>nominal2020; Overture geometry2024-07-22.0; height support2018</x:v>
      </x:c>
      <x:c r="Q111" s="2" t="str">
        <x:v>Adjusted GADM4.1 boundaries; included Overture coverage unknown; China shortfall flagged; not a contemporaneous2020 census</x:v>
      </x:c>
      <x:c r="R111" s="2" t="str">
        <x:v>https://data.jrc.ec.europa.eu/dataset/f41a22f1-5741-4c41-86eb-6384654f6927</x:v>
      </x:c>
      <x:c r="S111" s="13" t="b">
        <x:v>0</x:v>
      </x:c>
      <x:c r="T111" s="13" t="b">
        <x:v>0</x:v>
      </x:c>
    </x:row>
    <x:row r="112" ht="23" customHeight="1">
      <x:c r="A112" s="2" t="str">
        <x:v>LUX</x:v>
      </x:c>
      <x:c r="B112" s="2" t="str">
        <x:v>Luxembourg (Grand Duchy of)</x:v>
      </x:c>
      <x:c r="C112" s="2" t="n">
        <x:v>2020</x:v>
      </x:c>
      <x:c r="D112" s="2" t="str">
        <x:v>OBAT_FOOTPRINT</x:v>
      </x:c>
      <x:c r="E112" s="2" t="str">
        <x:v>horizontal surface / footprint</x:v>
      </x:c>
      <x:c r="F112" s="2" t="str">
        <x:v>m2</x:v>
      </x:c>
      <x:c r="G112" s="17" t="n">
        <x:v>43297332.17</x:v>
      </x:c>
      <x:c r="H112" s="17" t="n">
        <x:v>47971439.71</x:v>
      </x:c>
      <x:c r="I112" s="17" t="n">
        <x:f>IF(AND(L112,ISNUMBER(G112),ISNUMBER(H112)),G112-H112,"n.a.")</x:f>
        <x:v>-4674107.539999999</x:v>
      </x:c>
      <x:c r="J112" s="15" t="n">
        <x:f>IF(AND(L112,ISNUMBER(G112),ISNUMBER(H112),H112&gt;0),(G112-H112)/H112,"n.a.")</x:f>
        <x:v>-0.09743521495823788</x:v>
      </x:c>
      <x:c r="K112" s="19" t="n">
        <x:f>IF(ISNUMBER(J112),ABS(J112),"n.a.")</x:f>
        <x:v>0.09743521495823788</x:v>
      </x:c>
      <x:c r="L112" s="13" t="b">
        <x:v>1</x:v>
      </x:c>
      <x:c r="M112" s="13" t="b">
        <x:v>1</x:v>
      </x:c>
      <x:c r="N112" s="2" t="str">
        <x:v>qualified_source_frame_numeric_summary</x:v>
      </x:c>
      <x:c r="O112" s="2" t="str">
        <x:v>none</x:v>
      </x:c>
      <x:c r="P112" s="2" t="str">
        <x:v>nominal2020; Overture geometry2024-07-22.0; height support2018</x:v>
      </x:c>
      <x:c r="Q112" s="2" t="str">
        <x:v>Adjusted GADM4.1 boundaries; included Overture coverage unknown; China shortfall flagged; not a contemporaneous2020 census</x:v>
      </x:c>
      <x:c r="R112" s="2" t="str">
        <x:v>https://data.jrc.ec.europa.eu/dataset/f41a22f1-5741-4c41-86eb-6384654f6927</x:v>
      </x:c>
      <x:c r="S112" s="13" t="b">
        <x:v>0</x:v>
      </x:c>
      <x:c r="T112" s="13" t="b">
        <x:v>0</x:v>
      </x:c>
    </x:row>
    <x:row r="113" ht="23" customHeight="1">
      <x:c r="A113" s="2" t="str">
        <x:v>LVA</x:v>
      </x:c>
      <x:c r="B113" s="2" t="str">
        <x:v>Latvia (Republic of)</x:v>
      </x:c>
      <x:c r="C113" s="2" t="n">
        <x:v>2020</x:v>
      </x:c>
      <x:c r="D113" s="2" t="str">
        <x:v>OBAT_FOOTPRINT</x:v>
      </x:c>
      <x:c r="E113" s="2" t="str">
        <x:v>horizontal surface / footprint</x:v>
      </x:c>
      <x:c r="F113" s="2" t="str">
        <x:v>m2</x:v>
      </x:c>
      <x:c r="G113" s="17" t="n">
        <x:v>145154805.19</x:v>
      </x:c>
      <x:c r="H113" s="17" t="n">
        <x:v>173776992.32999998</x:v>
      </x:c>
      <x:c r="I113" s="17" t="n">
        <x:f>IF(AND(L113,ISNUMBER(G113),ISNUMBER(H113)),G113-H113,"n.a.")</x:f>
        <x:v>-28622187.139999986</x:v>
      </x:c>
      <x:c r="J113" s="15" t="n">
        <x:f>IF(AND(L113,ISNUMBER(G113),ISNUMBER(H113),H113&gt;0),(G113-H113)/H113,"n.a.")</x:f>
        <x:v>-0.1647064249198586</x:v>
      </x:c>
      <x:c r="K113" s="19" t="n">
        <x:f>IF(ISNUMBER(J113),ABS(J113),"n.a.")</x:f>
        <x:v>0.1647064249198586</x:v>
      </x:c>
      <x:c r="L113" s="13" t="b">
        <x:v>1</x:v>
      </x:c>
      <x:c r="M113" s="13" t="b">
        <x:v>1</x:v>
      </x:c>
      <x:c r="N113" s="2" t="str">
        <x:v>qualified_source_frame_numeric_summary</x:v>
      </x:c>
      <x:c r="O113" s="2" t="str">
        <x:v>none</x:v>
      </x:c>
      <x:c r="P113" s="2" t="str">
        <x:v>nominal2020; Overture geometry2024-07-22.0; height support2018</x:v>
      </x:c>
      <x:c r="Q113" s="2" t="str">
        <x:v>Adjusted GADM4.1 boundaries; included Overture coverage unknown; China shortfall flagged; not a contemporaneous2020 census</x:v>
      </x:c>
      <x:c r="R113" s="2" t="str">
        <x:v>https://data.jrc.ec.europa.eu/dataset/f41a22f1-5741-4c41-86eb-6384654f6927</x:v>
      </x:c>
      <x:c r="S113" s="13" t="b">
        <x:v>0</x:v>
      </x:c>
      <x:c r="T113" s="13" t="b">
        <x:v>0</x:v>
      </x:c>
    </x:row>
    <x:row r="114" ht="23" customHeight="1">
      <x:c r="A114" s="2" t="str">
        <x:v>MAR</x:v>
      </x:c>
      <x:c r="B114" s="2" t="str">
        <x:v>Morocco (Kingdom of)</x:v>
      </x:c>
      <x:c r="C114" s="2" t="n">
        <x:v>2020</x:v>
      </x:c>
      <x:c r="D114" s="2" t="str">
        <x:v>OBAT_FOOTPRINT</x:v>
      </x:c>
      <x:c r="E114" s="2" t="str">
        <x:v>horizontal surface / footprint</x:v>
      </x:c>
      <x:c r="F114" s="2" t="str">
        <x:v>m2</x:v>
      </x:c>
      <x:c r="G114" s="17" t="n">
        <x:v>1189658461.93</x:v>
      </x:c>
      <x:c r="H114" s="17" t="n">
        <x:v>812541669.42</x:v>
      </x:c>
      <x:c r="I114" s="17" t="n">
        <x:f>IF(AND(L114,ISNUMBER(G114),ISNUMBER(H114)),G114-H114,"n.a.")</x:f>
        <x:v>377116792.5100001</x:v>
      </x:c>
      <x:c r="J114" s="15" t="n">
        <x:f>IF(AND(L114,ISNUMBER(G114),ISNUMBER(H114),H114&gt;0),(G114-H114)/H114,"n.a.")</x:f>
        <x:v>0.46411994203225254</x:v>
      </x:c>
      <x:c r="K114" s="19" t="n">
        <x:f>IF(ISNUMBER(J114),ABS(J114),"n.a.")</x:f>
        <x:v>0.46411994203225254</x:v>
      </x:c>
      <x:c r="L114" s="13" t="b">
        <x:v>1</x:v>
      </x:c>
      <x:c r="M114" s="13" t="b">
        <x:v>1</x:v>
      </x:c>
      <x:c r="N114" s="2" t="str">
        <x:v>qualified_source_frame_numeric_summary</x:v>
      </x:c>
      <x:c r="O114" s="2" t="str">
        <x:v>none</x:v>
      </x:c>
      <x:c r="P114" s="2" t="str">
        <x:v>nominal2020; Overture geometry2024-07-22.0; height support2018</x:v>
      </x:c>
      <x:c r="Q114" s="2" t="str">
        <x:v>Adjusted GADM4.1 boundaries; included Overture coverage unknown; China shortfall flagged; not a contemporaneous2020 census</x:v>
      </x:c>
      <x:c r="R114" s="2" t="str">
        <x:v>https://data.jrc.ec.europa.eu/dataset/f41a22f1-5741-4c41-86eb-6384654f6927</x:v>
      </x:c>
      <x:c r="S114" s="13" t="b">
        <x:v>0</x:v>
      </x:c>
      <x:c r="T114" s="13" t="b">
        <x:v>0</x:v>
      </x:c>
    </x:row>
    <x:row r="115" ht="23" customHeight="1">
      <x:c r="A115" s="2" t="str">
        <x:v>MCO</x:v>
      </x:c>
      <x:c r="B115" s="2" t="str">
        <x:v>Monaco (Principality of)</x:v>
      </x:c>
      <x:c r="C115" s="2" t="n">
        <x:v>2020</x:v>
      </x:c>
      <x:c r="D115" s="2" t="str">
        <x:v>OBAT_FOOTPRINT</x:v>
      </x:c>
      <x:c r="E115" s="2" t="str">
        <x:v>horizontal surface / footprint</x:v>
      </x:c>
      <x:c r="F115" s="2" t="str">
        <x:v>m2</x:v>
      </x:c>
      <x:c r="G115" s="17" t="n">
        <x:v>555169</x:v>
      </x:c>
      <x:c r="H115" s="17" t="n">
        <x:v>677856.04</x:v>
      </x:c>
      <x:c r="I115" s="17" t="n">
        <x:f>IF(AND(L115,ISNUMBER(G115),ISNUMBER(H115)),G115-H115,"n.a.")</x:f>
        <x:v>-122687.04000000004</x:v>
      </x:c>
      <x:c r="J115" s="15" t="n">
        <x:f>IF(AND(L115,ISNUMBER(G115),ISNUMBER(H115),H115&gt;0),(G115-H115)/H115,"n.a.")</x:f>
        <x:v>-0.180992766546714</x:v>
      </x:c>
      <x:c r="K115" s="19" t="n">
        <x:f>IF(ISNUMBER(J115),ABS(J115),"n.a.")</x:f>
        <x:v>0.180992766546714</x:v>
      </x:c>
      <x:c r="L115" s="13" t="b">
        <x:v>1</x:v>
      </x:c>
      <x:c r="M115" s="13" t="b">
        <x:v>1</x:v>
      </x:c>
      <x:c r="N115" s="2" t="str">
        <x:v>qualified_source_frame_numeric_summary</x:v>
      </x:c>
      <x:c r="O115" s="2" t="str">
        <x:v>none</x:v>
      </x:c>
      <x:c r="P115" s="2" t="str">
        <x:v>nominal2020; Overture geometry2024-07-22.0; height support2018</x:v>
      </x:c>
      <x:c r="Q115" s="2" t="str">
        <x:v>Adjusted GADM4.1 boundaries; included Overture coverage unknown; China shortfall flagged; not a contemporaneous2020 census</x:v>
      </x:c>
      <x:c r="R115" s="2" t="str">
        <x:v>https://data.jrc.ec.europa.eu/dataset/f41a22f1-5741-4c41-86eb-6384654f6927</x:v>
      </x:c>
      <x:c r="S115" s="13" t="b">
        <x:v>0</x:v>
      </x:c>
      <x:c r="T115" s="13" t="b">
        <x:v>0</x:v>
      </x:c>
    </x:row>
    <x:row r="116" ht="23" customHeight="1">
      <x:c r="A116" s="2" t="str">
        <x:v>MDA</x:v>
      </x:c>
      <x:c r="B116" s="2" t="str">
        <x:v>Moldova (Republic of)</x:v>
      </x:c>
      <x:c r="C116" s="2" t="n">
        <x:v>2020</x:v>
      </x:c>
      <x:c r="D116" s="2" t="str">
        <x:v>OBAT_FOOTPRINT</x:v>
      </x:c>
      <x:c r="E116" s="2" t="str">
        <x:v>horizontal surface / footprint</x:v>
      </x:c>
      <x:c r="F116" s="2" t="str">
        <x:v>m2</x:v>
      </x:c>
      <x:c r="G116" s="17" t="n">
        <x:v>254566854.83</x:v>
      </x:c>
      <x:c r="H116" s="17" t="n">
        <x:v>279170193.25</x:v>
      </x:c>
      <x:c r="I116" s="17" t="n">
        <x:f>IF(AND(L116,ISNUMBER(G116),ISNUMBER(H116)),G116-H116,"n.a.")</x:f>
        <x:v>-24603338.419999987</x:v>
      </x:c>
      <x:c r="J116" s="15" t="n">
        <x:f>IF(AND(L116,ISNUMBER(G116),ISNUMBER(H116),H116&gt;0),(G116-H116)/H116,"n.a.")</x:f>
        <x:v>-0.08813024819582879</x:v>
      </x:c>
      <x:c r="K116" s="19" t="n">
        <x:f>IF(ISNUMBER(J116),ABS(J116),"n.a.")</x:f>
        <x:v>0.08813024819582879</x:v>
      </x:c>
      <x:c r="L116" s="13" t="b">
        <x:v>1</x:v>
      </x:c>
      <x:c r="M116" s="13" t="b">
        <x:v>1</x:v>
      </x:c>
      <x:c r="N116" s="2" t="str">
        <x:v>qualified_source_frame_numeric_summary</x:v>
      </x:c>
      <x:c r="O116" s="2" t="str">
        <x:v>none</x:v>
      </x:c>
      <x:c r="P116" s="2" t="str">
        <x:v>nominal2020; Overture geometry2024-07-22.0; height support2018</x:v>
      </x:c>
      <x:c r="Q116" s="2" t="str">
        <x:v>Adjusted GADM4.1 boundaries; included Overture coverage unknown; China shortfall flagged; not a contemporaneous2020 census</x:v>
      </x:c>
      <x:c r="R116" s="2" t="str">
        <x:v>https://data.jrc.ec.europa.eu/dataset/f41a22f1-5741-4c41-86eb-6384654f6927</x:v>
      </x:c>
      <x:c r="S116" s="13" t="b">
        <x:v>0</x:v>
      </x:c>
      <x:c r="T116" s="13" t="b">
        <x:v>0</x:v>
      </x:c>
    </x:row>
    <x:row r="117" ht="23" customHeight="1">
      <x:c r="A117" s="2" t="str">
        <x:v>MDG</x:v>
      </x:c>
      <x:c r="B117" s="2" t="str">
        <x:v>Madagascar (Republic of)</x:v>
      </x:c>
      <x:c r="C117" s="2" t="n">
        <x:v>2020</x:v>
      </x:c>
      <x:c r="D117" s="2" t="str">
        <x:v>OBAT_FOOTPRINT</x:v>
      </x:c>
      <x:c r="E117" s="2" t="str">
        <x:v>horizontal surface / footprint</x:v>
      </x:c>
      <x:c r="F117" s="2" t="str">
        <x:v>m2</x:v>
      </x:c>
      <x:c r="G117" s="17" t="n">
        <x:v>360823089.8</x:v>
      </x:c>
      <x:c r="H117" s="17" t="n">
        <x:v>423870352.35</x:v>
      </x:c>
      <x:c r="I117" s="17" t="n">
        <x:f>IF(AND(L117,ISNUMBER(G117),ISNUMBER(H117)),G117-H117,"n.a.")</x:f>
        <x:v>-63047262.55000001</x:v>
      </x:c>
      <x:c r="J117" s="15" t="n">
        <x:f>IF(AND(L117,ISNUMBER(G117),ISNUMBER(H117),H117&gt;0),(G117-H117)/H117,"n.a.")</x:f>
        <x:v>-0.14874185514617064</x:v>
      </x:c>
      <x:c r="K117" s="19" t="n">
        <x:f>IF(ISNUMBER(J117),ABS(J117),"n.a.")</x:f>
        <x:v>0.14874185514617064</x:v>
      </x:c>
      <x:c r="L117" s="13" t="b">
        <x:v>1</x:v>
      </x:c>
      <x:c r="M117" s="13" t="b">
        <x:v>1</x:v>
      </x:c>
      <x:c r="N117" s="2" t="str">
        <x:v>qualified_source_frame_numeric_summary</x:v>
      </x:c>
      <x:c r="O117" s="2" t="str">
        <x:v>none</x:v>
      </x:c>
      <x:c r="P117" s="2" t="str">
        <x:v>nominal2020; Overture geometry2024-07-22.0; height support2018</x:v>
      </x:c>
      <x:c r="Q117" s="2" t="str">
        <x:v>Adjusted GADM4.1 boundaries; included Overture coverage unknown; China shortfall flagged; not a contemporaneous2020 census</x:v>
      </x:c>
      <x:c r="R117" s="2" t="str">
        <x:v>https://data.jrc.ec.europa.eu/dataset/f41a22f1-5741-4c41-86eb-6384654f6927</x:v>
      </x:c>
      <x:c r="S117" s="13" t="b">
        <x:v>0</x:v>
      </x:c>
      <x:c r="T117" s="13" t="b">
        <x:v>0</x:v>
      </x:c>
    </x:row>
    <x:row r="118" ht="23" customHeight="1">
      <x:c r="A118" s="2" t="str">
        <x:v>MDV</x:v>
      </x:c>
      <x:c r="B118" s="2" t="str">
        <x:v>Maldives (Republic of)</x:v>
      </x:c>
      <x:c r="C118" s="2" t="n">
        <x:v>2020</x:v>
      </x:c>
      <x:c r="D118" s="2" t="str">
        <x:v>OBAT_FOOTPRINT</x:v>
      </x:c>
      <x:c r="E118" s="2" t="str">
        <x:v>horizontal surface / footprint</x:v>
      </x:c>
      <x:c r="F118" s="2" t="str">
        <x:v>m2</x:v>
      </x:c>
      <x:c r="G118" s="17" t="n">
        <x:v>2206666.83</x:v>
      </x:c>
      <x:c r="H118" s="17" t="n">
        <x:v>17738120.02</x:v>
      </x:c>
      <x:c r="I118" s="17" t="n">
        <x:f>IF(AND(L118,ISNUMBER(G118),ISNUMBER(H118)),G118-H118,"n.a.")</x:f>
        <x:v>-15531453.19</x:v>
      </x:c>
      <x:c r="J118" s="15" t="n">
        <x:f>IF(AND(L118,ISNUMBER(G118),ISNUMBER(H118),H118&gt;0),(G118-H118)/H118,"n.a.")</x:f>
        <x:v>-0.8755974800310321</x:v>
      </x:c>
      <x:c r="K118" s="19" t="n">
        <x:f>IF(ISNUMBER(J118),ABS(J118),"n.a.")</x:f>
        <x:v>0.8755974800310321</x:v>
      </x:c>
      <x:c r="L118" s="13" t="b">
        <x:v>1</x:v>
      </x:c>
      <x:c r="M118" s="13" t="b">
        <x:v>1</x:v>
      </x:c>
      <x:c r="N118" s="2" t="str">
        <x:v>qualified_source_frame_numeric_summary</x:v>
      </x:c>
      <x:c r="O118" s="2" t="str">
        <x:v>none</x:v>
      </x:c>
      <x:c r="P118" s="2" t="str">
        <x:v>nominal2020; Overture geometry2024-07-22.0; height support2018</x:v>
      </x:c>
      <x:c r="Q118" s="2" t="str">
        <x:v>Adjusted GADM4.1 boundaries; included Overture coverage unknown; China shortfall flagged; not a contemporaneous2020 census</x:v>
      </x:c>
      <x:c r="R118" s="2" t="str">
        <x:v>https://data.jrc.ec.europa.eu/dataset/f41a22f1-5741-4c41-86eb-6384654f6927</x:v>
      </x:c>
      <x:c r="S118" s="13" t="b">
        <x:v>0</x:v>
      </x:c>
      <x:c r="T118" s="13" t="b">
        <x:v>0</x:v>
      </x:c>
    </x:row>
    <x:row r="119" ht="23" customHeight="1">
      <x:c r="A119" s="2" t="str">
        <x:v>MEX</x:v>
      </x:c>
      <x:c r="B119" s="2" t="str">
        <x:v>Mexico (United Mexican States)</x:v>
      </x:c>
      <x:c r="C119" s="2" t="n">
        <x:v>2020</x:v>
      </x:c>
      <x:c r="D119" s="2" t="str">
        <x:v>OBAT_FOOTPRINT</x:v>
      </x:c>
      <x:c r="E119" s="2" t="str">
        <x:v>horizontal surface / footprint</x:v>
      </x:c>
      <x:c r="F119" s="2" t="str">
        <x:v>m2</x:v>
      </x:c>
      <x:c r="G119" s="17" t="n">
        <x:v>6345872319.04</x:v>
      </x:c>
      <x:c r="H119" s="17" t="n">
        <x:v>6994690460.71</x:v>
      </x:c>
      <x:c r="I119" s="17" t="n">
        <x:f>IF(AND(L119,ISNUMBER(G119),ISNUMBER(H119)),G119-H119,"n.a.")</x:f>
        <x:v>-648818141.6700001</x:v>
      </x:c>
      <x:c r="J119" s="15" t="n">
        <x:f>IF(AND(L119,ISNUMBER(G119),ISNUMBER(H119),H119&gt;0),(G119-H119)/H119,"n.a.")</x:f>
        <x:v>-0.09275866392008167</x:v>
      </x:c>
      <x:c r="K119" s="19" t="n">
        <x:f>IF(ISNUMBER(J119),ABS(J119),"n.a.")</x:f>
        <x:v>0.09275866392008167</x:v>
      </x:c>
      <x:c r="L119" s="13" t="b">
        <x:v>1</x:v>
      </x:c>
      <x:c r="M119" s="13" t="b">
        <x:v>1</x:v>
      </x:c>
      <x:c r="N119" s="2" t="str">
        <x:v>qualified_source_frame_numeric_summary</x:v>
      </x:c>
      <x:c r="O119" s="2" t="str">
        <x:v>none</x:v>
      </x:c>
      <x:c r="P119" s="2" t="str">
        <x:v>nominal2020; Overture geometry2024-07-22.0; height support2018</x:v>
      </x:c>
      <x:c r="Q119" s="2" t="str">
        <x:v>Adjusted GADM4.1 boundaries; included Overture coverage unknown; China shortfall flagged; not a contemporaneous2020 census</x:v>
      </x:c>
      <x:c r="R119" s="2" t="str">
        <x:v>https://data.jrc.ec.europa.eu/dataset/f41a22f1-5741-4c41-86eb-6384654f6927</x:v>
      </x:c>
      <x:c r="S119" s="13" t="b">
        <x:v>0</x:v>
      </x:c>
      <x:c r="T119" s="13" t="b">
        <x:v>0</x:v>
      </x:c>
    </x:row>
    <x:row r="120" ht="23" customHeight="1">
      <x:c r="A120" s="2" t="str">
        <x:v>MHL</x:v>
      </x:c>
      <x:c r="B120" s="2" t="str">
        <x:v>Marshall Islands (Republic of the)</x:v>
      </x:c>
      <x:c r="C120" s="2" t="n">
        <x:v>2020</x:v>
      </x:c>
      <x:c r="D120" s="2" t="str">
        <x:v>OBAT_FOOTPRINT</x:v>
      </x:c>
      <x:c r="E120" s="2" t="str">
        <x:v>horizontal surface / footprint</x:v>
      </x:c>
      <x:c r="F120" s="2" t="str">
        <x:v>m2</x:v>
      </x:c>
      <x:c r="G120" s="17" t="n">
        <x:v>198896.74</x:v>
      </x:c>
      <x:c r="H120" s="17" t="n">
        <x:v>1369172.35</x:v>
      </x:c>
      <x:c r="I120" s="17" t="n">
        <x:f>IF(AND(L120,ISNUMBER(G120),ISNUMBER(H120)),G120-H120,"n.a.")</x:f>
        <x:v>-1170275.61</x:v>
      </x:c>
      <x:c r="J120" s="15" t="n">
        <x:f>IF(AND(L120,ISNUMBER(G120),ISNUMBER(H120),H120&gt;0),(G120-H120)/H120,"n.a.")</x:f>
        <x:v>-0.8547321379956293</x:v>
      </x:c>
      <x:c r="K120" s="19" t="n">
        <x:f>IF(ISNUMBER(J120),ABS(J120),"n.a.")</x:f>
        <x:v>0.8547321379956293</x:v>
      </x:c>
      <x:c r="L120" s="13" t="b">
        <x:v>1</x:v>
      </x:c>
      <x:c r="M120" s="13" t="b">
        <x:v>1</x:v>
      </x:c>
      <x:c r="N120" s="2" t="str">
        <x:v>qualified_source_frame_numeric_summary</x:v>
      </x:c>
      <x:c r="O120" s="2" t="str">
        <x:v>none</x:v>
      </x:c>
      <x:c r="P120" s="2" t="str">
        <x:v>nominal2020; Overture geometry2024-07-22.0; height support2018</x:v>
      </x:c>
      <x:c r="Q120" s="2" t="str">
        <x:v>Adjusted GADM4.1 boundaries; included Overture coverage unknown; China shortfall flagged; not a contemporaneous2020 census</x:v>
      </x:c>
      <x:c r="R120" s="2" t="str">
        <x:v>https://data.jrc.ec.europa.eu/dataset/f41a22f1-5741-4c41-86eb-6384654f6927</x:v>
      </x:c>
      <x:c r="S120" s="13" t="b">
        <x:v>0</x:v>
      </x:c>
      <x:c r="T120" s="13" t="b">
        <x:v>0</x:v>
      </x:c>
    </x:row>
    <x:row r="121" ht="23" customHeight="1">
      <x:c r="A121" s="2" t="str">
        <x:v>MKD</x:v>
      </x:c>
      <x:c r="B121" s="2" t="str">
        <x:v>North Macedonia (Republic of)</x:v>
      </x:c>
      <x:c r="C121" s="2" t="n">
        <x:v>2020</x:v>
      </x:c>
      <x:c r="D121" s="2" t="str">
        <x:v>OBAT_FOOTPRINT</x:v>
      </x:c>
      <x:c r="E121" s="2" t="str">
        <x:v>horizontal surface / footprint</x:v>
      </x:c>
      <x:c r="F121" s="2" t="str">
        <x:v>m2</x:v>
      </x:c>
      <x:c r="G121" s="17" t="n">
        <x:v>122189801.59</x:v>
      </x:c>
      <x:c r="H121" s="17" t="n">
        <x:v>112764932.95</x:v>
      </x:c>
      <x:c r="I121" s="17" t="n">
        <x:f>IF(AND(L121,ISNUMBER(G121),ISNUMBER(H121)),G121-H121,"n.a.")</x:f>
        <x:v>9424868.64</x:v>
      </x:c>
      <x:c r="J121" s="15" t="n">
        <x:f>IF(AND(L121,ISNUMBER(G121),ISNUMBER(H121),H121&gt;0),(G121-H121)/H121,"n.a.")</x:f>
        <x:v>0.08357978312441323</x:v>
      </x:c>
      <x:c r="K121" s="19" t="n">
        <x:f>IF(ISNUMBER(J121),ABS(J121),"n.a.")</x:f>
        <x:v>0.08357978312441323</x:v>
      </x:c>
      <x:c r="L121" s="13" t="b">
        <x:v>1</x:v>
      </x:c>
      <x:c r="M121" s="13" t="b">
        <x:v>1</x:v>
      </x:c>
      <x:c r="N121" s="2" t="str">
        <x:v>qualified_source_frame_numeric_summary</x:v>
      </x:c>
      <x:c r="O121" s="2" t="str">
        <x:v>none</x:v>
      </x:c>
      <x:c r="P121" s="2" t="str">
        <x:v>nominal2020; Overture geometry2024-07-22.0; height support2018</x:v>
      </x:c>
      <x:c r="Q121" s="2" t="str">
        <x:v>Adjusted GADM4.1 boundaries; included Overture coverage unknown; China shortfall flagged; not a contemporaneous2020 census</x:v>
      </x:c>
      <x:c r="R121" s="2" t="str">
        <x:v>https://data.jrc.ec.europa.eu/dataset/f41a22f1-5741-4c41-86eb-6384654f6927</x:v>
      </x:c>
      <x:c r="S121" s="13" t="b">
        <x:v>0</x:v>
      </x:c>
      <x:c r="T121" s="13" t="b">
        <x:v>0</x:v>
      </x:c>
    </x:row>
    <x:row r="122" ht="23" customHeight="1">
      <x:c r="A122" s="2" t="str">
        <x:v>MLI</x:v>
      </x:c>
      <x:c r="B122" s="2" t="str">
        <x:v>Mali (Republic of)</x:v>
      </x:c>
      <x:c r="C122" s="2" t="n">
        <x:v>2020</x:v>
      </x:c>
      <x:c r="D122" s="2" t="str">
        <x:v>OBAT_FOOTPRINT</x:v>
      </x:c>
      <x:c r="E122" s="2" t="str">
        <x:v>horizontal surface / footprint</x:v>
      </x:c>
      <x:c r="F122" s="2" t="str">
        <x:v>m2</x:v>
      </x:c>
      <x:c r="G122" s="17" t="n">
        <x:v>323707340.75</x:v>
      </x:c>
      <x:c r="H122" s="17" t="n">
        <x:v>278055312.43</x:v>
      </x:c>
      <x:c r="I122" s="17" t="n">
        <x:f>IF(AND(L122,ISNUMBER(G122),ISNUMBER(H122)),G122-H122,"n.a.")</x:f>
        <x:v>45652028.31999999</x:v>
      </x:c>
      <x:c r="J122" s="15" t="n">
        <x:f>IF(AND(L122,ISNUMBER(G122),ISNUMBER(H122),H122&gt;0),(G122-H122)/H122,"n.a.")</x:f>
        <x:v>0.1641832623913374</x:v>
      </x:c>
      <x:c r="K122" s="19" t="n">
        <x:f>IF(ISNUMBER(J122),ABS(J122),"n.a.")</x:f>
        <x:v>0.1641832623913374</x:v>
      </x:c>
      <x:c r="L122" s="13" t="b">
        <x:v>1</x:v>
      </x:c>
      <x:c r="M122" s="13" t="b">
        <x:v>1</x:v>
      </x:c>
      <x:c r="N122" s="2" t="str">
        <x:v>qualified_source_frame_numeric_summary</x:v>
      </x:c>
      <x:c r="O122" s="2" t="str">
        <x:v>none</x:v>
      </x:c>
      <x:c r="P122" s="2" t="str">
        <x:v>nominal2020; Overture geometry2024-07-22.0; height support2018</x:v>
      </x:c>
      <x:c r="Q122" s="2" t="str">
        <x:v>Adjusted GADM4.1 boundaries; included Overture coverage unknown; China shortfall flagged; not a contemporaneous2020 census</x:v>
      </x:c>
      <x:c r="R122" s="2" t="str">
        <x:v>https://data.jrc.ec.europa.eu/dataset/f41a22f1-5741-4c41-86eb-6384654f6927</x:v>
      </x:c>
      <x:c r="S122" s="13" t="b">
        <x:v>0</x:v>
      </x:c>
      <x:c r="T122" s="13" t="b">
        <x:v>0</x:v>
      </x:c>
    </x:row>
    <x:row r="123" ht="23" customHeight="1">
      <x:c r="A123" s="2" t="str">
        <x:v>MLT</x:v>
      </x:c>
      <x:c r="B123" s="2" t="str">
        <x:v>Malta (Republic of)</x:v>
      </x:c>
      <x:c r="C123" s="2" t="n">
        <x:v>2020</x:v>
      </x:c>
      <x:c r="D123" s="2" t="str">
        <x:v>OBAT_FOOTPRINT</x:v>
      </x:c>
      <x:c r="E123" s="2" t="str">
        <x:v>horizontal surface / footprint</x:v>
      </x:c>
      <x:c r="F123" s="2" t="str">
        <x:v>m2</x:v>
      </x:c>
      <x:c r="G123" s="17" t="n">
        <x:v>26330050.25</x:v>
      </x:c>
      <x:c r="H123" s="17" t="n">
        <x:v>28263605.74</x:v>
      </x:c>
      <x:c r="I123" s="17" t="n">
        <x:f>IF(AND(L123,ISNUMBER(G123),ISNUMBER(H123)),G123-H123,"n.a.")</x:f>
        <x:v>-1933555.4899999984</x:v>
      </x:c>
      <x:c r="J123" s="15" t="n">
        <x:f>IF(AND(L123,ISNUMBER(G123),ISNUMBER(H123),H123&gt;0),(G123-H123)/H123,"n.a.")</x:f>
        <x:v>-0.0684114938407713</x:v>
      </x:c>
      <x:c r="K123" s="19" t="n">
        <x:f>IF(ISNUMBER(J123),ABS(J123),"n.a.")</x:f>
        <x:v>0.0684114938407713</x:v>
      </x:c>
      <x:c r="L123" s="13" t="b">
        <x:v>1</x:v>
      </x:c>
      <x:c r="M123" s="13" t="b">
        <x:v>1</x:v>
      </x:c>
      <x:c r="N123" s="2" t="str">
        <x:v>qualified_source_frame_numeric_summary</x:v>
      </x:c>
      <x:c r="O123" s="2" t="str">
        <x:v>none</x:v>
      </x:c>
      <x:c r="P123" s="2" t="str">
        <x:v>nominal2020; Overture geometry2024-07-22.0; height support2018</x:v>
      </x:c>
      <x:c r="Q123" s="2" t="str">
        <x:v>Adjusted GADM4.1 boundaries; included Overture coverage unknown; China shortfall flagged; not a contemporaneous2020 census</x:v>
      </x:c>
      <x:c r="R123" s="2" t="str">
        <x:v>https://data.jrc.ec.europa.eu/dataset/f41a22f1-5741-4c41-86eb-6384654f6927</x:v>
      </x:c>
      <x:c r="S123" s="13" t="b">
        <x:v>0</x:v>
      </x:c>
      <x:c r="T123" s="13" t="b">
        <x:v>0</x:v>
      </x:c>
    </x:row>
    <x:row r="124" ht="23" customHeight="1">
      <x:c r="A124" s="2" t="str">
        <x:v>MMR</x:v>
      </x:c>
      <x:c r="B124" s="2" t="str">
        <x:v>Myanmar (Republic of the Union of)</x:v>
      </x:c>
      <x:c r="C124" s="2" t="n">
        <x:v>2020</x:v>
      </x:c>
      <x:c r="D124" s="2" t="str">
        <x:v>OBAT_FOOTPRINT</x:v>
      </x:c>
      <x:c r="E124" s="2" t="str">
        <x:v>horizontal surface / footprint</x:v>
      </x:c>
      <x:c r="F124" s="2" t="str">
        <x:v>m2</x:v>
      </x:c>
      <x:c r="G124" s="17" t="n">
        <x:v>1377164281.68</x:v>
      </x:c>
      <x:c r="H124" s="17" t="n">
        <x:v>877079907.72</x:v>
      </x:c>
      <x:c r="I124" s="17" t="n">
        <x:f>IF(AND(L124,ISNUMBER(G124),ISNUMBER(H124)),G124-H124,"n.a.")</x:f>
        <x:v>500084373.96000004</x:v>
      </x:c>
      <x:c r="J124" s="15" t="n">
        <x:f>IF(AND(L124,ISNUMBER(G124),ISNUMBER(H124),H124&gt;0),(G124-H124)/H124,"n.a.")</x:f>
        <x:v>0.5701696841511134</x:v>
      </x:c>
      <x:c r="K124" s="19" t="n">
        <x:f>IF(ISNUMBER(J124),ABS(J124),"n.a.")</x:f>
        <x:v>0.5701696841511134</x:v>
      </x:c>
      <x:c r="L124" s="13" t="b">
        <x:v>1</x:v>
      </x:c>
      <x:c r="M124" s="13" t="b">
        <x:v>1</x:v>
      </x:c>
      <x:c r="N124" s="2" t="str">
        <x:v>qualified_source_frame_numeric_summary</x:v>
      </x:c>
      <x:c r="O124" s="2" t="str">
        <x:v>none</x:v>
      </x:c>
      <x:c r="P124" s="2" t="str">
        <x:v>nominal2020; Overture geometry2024-07-22.0; height support2018</x:v>
      </x:c>
      <x:c r="Q124" s="2" t="str">
        <x:v>Adjusted GADM4.1 boundaries; included Overture coverage unknown; China shortfall flagged; not a contemporaneous2020 census</x:v>
      </x:c>
      <x:c r="R124" s="2" t="str">
        <x:v>https://data.jrc.ec.europa.eu/dataset/f41a22f1-5741-4c41-86eb-6384654f6927</x:v>
      </x:c>
      <x:c r="S124" s="13" t="b">
        <x:v>0</x:v>
      </x:c>
      <x:c r="T124" s="13" t="b">
        <x:v>0</x:v>
      </x:c>
    </x:row>
    <x:row r="125" ht="23" customHeight="1">
      <x:c r="A125" s="2" t="str">
        <x:v>MNE</x:v>
      </x:c>
      <x:c r="B125" s="2" t="str">
        <x:v>Montenegro</x:v>
      </x:c>
      <x:c r="C125" s="2" t="n">
        <x:v>2020</x:v>
      </x:c>
      <x:c r="D125" s="2" t="str">
        <x:v>OBAT_FOOTPRINT</x:v>
      </x:c>
      <x:c r="E125" s="2" t="str">
        <x:v>horizontal surface / footprint</x:v>
      </x:c>
      <x:c r="F125" s="2" t="str">
        <x:v>m2</x:v>
      </x:c>
      <x:c r="G125" s="17" t="n">
        <x:v>39447648.86</x:v>
      </x:c>
      <x:c r="H125" s="17" t="n">
        <x:v>39442520.04</x:v>
      </x:c>
      <x:c r="I125" s="17" t="n">
        <x:f>IF(AND(L125,ISNUMBER(G125),ISNUMBER(H125)),G125-H125,"n.a.")</x:f>
        <x:v>5128.820000000298</x:v>
      </x:c>
      <x:c r="J125" s="15" t="n">
        <x:f>IF(AND(L125,ISNUMBER(G125),ISNUMBER(H125),H125&gt;0),(G125-H125)/H125,"n.a.")</x:f>
        <x:v>0.0001300327665372037</x:v>
      </x:c>
      <x:c r="K125" s="19" t="n">
        <x:f>IF(ISNUMBER(J125),ABS(J125),"n.a.")</x:f>
        <x:v>0.0001300327665372037</x:v>
      </x:c>
      <x:c r="L125" s="13" t="b">
        <x:v>1</x:v>
      </x:c>
      <x:c r="M125" s="13" t="b">
        <x:v>1</x:v>
      </x:c>
      <x:c r="N125" s="2" t="str">
        <x:v>qualified_source_frame_numeric_summary</x:v>
      </x:c>
      <x:c r="O125" s="2" t="str">
        <x:v>none</x:v>
      </x:c>
      <x:c r="P125" s="2" t="str">
        <x:v>nominal2020; Overture geometry2024-07-22.0; height support2018</x:v>
      </x:c>
      <x:c r="Q125" s="2" t="str">
        <x:v>Adjusted GADM4.1 boundaries; included Overture coverage unknown; China shortfall flagged; not a contemporaneous2020 census</x:v>
      </x:c>
      <x:c r="R125" s="2" t="str">
        <x:v>https://data.jrc.ec.europa.eu/dataset/f41a22f1-5741-4c41-86eb-6384654f6927</x:v>
      </x:c>
      <x:c r="S125" s="13" t="b">
        <x:v>0</x:v>
      </x:c>
      <x:c r="T125" s="13" t="b">
        <x:v>0</x:v>
      </x:c>
    </x:row>
    <x:row r="126" ht="23" customHeight="1">
      <x:c r="A126" s="2" t="str">
        <x:v>MNG</x:v>
      </x:c>
      <x:c r="B126" s="2" t="str">
        <x:v>Mongolia</x:v>
      </x:c>
      <x:c r="C126" s="2" t="n">
        <x:v>2020</x:v>
      </x:c>
      <x:c r="D126" s="2" t="str">
        <x:v>OBAT_FOOTPRINT</x:v>
      </x:c>
      <x:c r="E126" s="2" t="str">
        <x:v>horizontal surface / footprint</x:v>
      </x:c>
      <x:c r="F126" s="2" t="str">
        <x:v>m2</x:v>
      </x:c>
      <x:c r="G126" s="17" t="n">
        <x:v>83111291.45</x:v>
      </x:c>
      <x:c r="H126" s="17" t="n">
        <x:v>68644300.83</x:v>
      </x:c>
      <x:c r="I126" s="17" t="n">
        <x:f>IF(AND(L126,ISNUMBER(G126),ISNUMBER(H126)),G126-H126,"n.a.")</x:f>
        <x:v>14466990.620000005</x:v>
      </x:c>
      <x:c r="J126" s="15" t="n">
        <x:f>IF(AND(L126,ISNUMBER(G126),ISNUMBER(H126),H126&gt;0),(G126-H126)/H126,"n.a.")</x:f>
        <x:v>0.2107529750478195</x:v>
      </x:c>
      <x:c r="K126" s="19" t="n">
        <x:f>IF(ISNUMBER(J126),ABS(J126),"n.a.")</x:f>
        <x:v>0.2107529750478195</x:v>
      </x:c>
      <x:c r="L126" s="13" t="b">
        <x:v>1</x:v>
      </x:c>
      <x:c r="M126" s="13" t="b">
        <x:v>1</x:v>
      </x:c>
      <x:c r="N126" s="2" t="str">
        <x:v>qualified_source_frame_numeric_summary</x:v>
      </x:c>
      <x:c r="O126" s="2" t="str">
        <x:v>none</x:v>
      </x:c>
      <x:c r="P126" s="2" t="str">
        <x:v>nominal2020; Overture geometry2024-07-22.0; height support2018</x:v>
      </x:c>
      <x:c r="Q126" s="2" t="str">
        <x:v>Adjusted GADM4.1 boundaries; included Overture coverage unknown; China shortfall flagged; not a contemporaneous2020 census</x:v>
      </x:c>
      <x:c r="R126" s="2" t="str">
        <x:v>https://data.jrc.ec.europa.eu/dataset/f41a22f1-5741-4c41-86eb-6384654f6927</x:v>
      </x:c>
      <x:c r="S126" s="13" t="b">
        <x:v>0</x:v>
      </x:c>
      <x:c r="T126" s="13" t="b">
        <x:v>0</x:v>
      </x:c>
    </x:row>
    <x:row r="127" ht="23" customHeight="1">
      <x:c r="A127" s="2" t="str">
        <x:v>MOZ</x:v>
      </x:c>
      <x:c r="B127" s="2" t="str">
        <x:v>Mozambique (Republic of)</x:v>
      </x:c>
      <x:c r="C127" s="2" t="n">
        <x:v>2020</x:v>
      </x:c>
      <x:c r="D127" s="2" t="str">
        <x:v>OBAT_FOOTPRINT</x:v>
      </x:c>
      <x:c r="E127" s="2" t="str">
        <x:v>horizontal surface / footprint</x:v>
      </x:c>
      <x:c r="F127" s="2" t="str">
        <x:v>m2</x:v>
      </x:c>
      <x:c r="G127" s="17" t="n">
        <x:v>540811235.53</x:v>
      </x:c>
      <x:c r="H127" s="17" t="n">
        <x:v>698908410.1800001</x:v>
      </x:c>
      <x:c r="I127" s="17" t="n">
        <x:f>IF(AND(L127,ISNUMBER(G127),ISNUMBER(H127)),G127-H127,"n.a.")</x:f>
        <x:v>-158097174.6500001</x:v>
      </x:c>
      <x:c r="J127" s="15" t="n">
        <x:f>IF(AND(L127,ISNUMBER(G127),ISNUMBER(H127),H127&gt;0),(G127-H127)/H127,"n.a.")</x:f>
        <x:v>-0.226205855226843</x:v>
      </x:c>
      <x:c r="K127" s="19" t="n">
        <x:f>IF(ISNUMBER(J127),ABS(J127),"n.a.")</x:f>
        <x:v>0.226205855226843</x:v>
      </x:c>
      <x:c r="L127" s="13" t="b">
        <x:v>1</x:v>
      </x:c>
      <x:c r="M127" s="13" t="b">
        <x:v>1</x:v>
      </x:c>
      <x:c r="N127" s="2" t="str">
        <x:v>qualified_source_frame_numeric_summary</x:v>
      </x:c>
      <x:c r="O127" s="2" t="str">
        <x:v>none</x:v>
      </x:c>
      <x:c r="P127" s="2" t="str">
        <x:v>nominal2020; Overture geometry2024-07-22.0; height support2018</x:v>
      </x:c>
      <x:c r="Q127" s="2" t="str">
        <x:v>Adjusted GADM4.1 boundaries; included Overture coverage unknown; China shortfall flagged; not a contemporaneous2020 census</x:v>
      </x:c>
      <x:c r="R127" s="2" t="str">
        <x:v>https://data.jrc.ec.europa.eu/dataset/f41a22f1-5741-4c41-86eb-6384654f6927</x:v>
      </x:c>
      <x:c r="S127" s="13" t="b">
        <x:v>0</x:v>
      </x:c>
      <x:c r="T127" s="13" t="b">
        <x:v>0</x:v>
      </x:c>
    </x:row>
    <x:row r="128" ht="23" customHeight="1">
      <x:c r="A128" s="2" t="str">
        <x:v>MRT</x:v>
      </x:c>
      <x:c r="B128" s="2" t="str">
        <x:v>Mauritania (Islamic Republic of)</x:v>
      </x:c>
      <x:c r="C128" s="2" t="n">
        <x:v>2020</x:v>
      </x:c>
      <x:c r="D128" s="2" t="str">
        <x:v>OBAT_FOOTPRINT</x:v>
      </x:c>
      <x:c r="E128" s="2" t="str">
        <x:v>horizontal surface / footprint</x:v>
      </x:c>
      <x:c r="F128" s="2" t="str">
        <x:v>m2</x:v>
      </x:c>
      <x:c r="G128" s="17" t="n">
        <x:v>97384454.07</x:v>
      </x:c>
      <x:c r="H128" s="17" t="n">
        <x:v>118497935.19000001</x:v>
      </x:c>
      <x:c r="I128" s="17" t="n">
        <x:f>IF(AND(L128,ISNUMBER(G128),ISNUMBER(H128)),G128-H128,"n.a.")</x:f>
        <x:v>-21113481.12000002</x:v>
      </x:c>
      <x:c r="J128" s="15" t="n">
        <x:f>IF(AND(L128,ISNUMBER(G128),ISNUMBER(H128),H128&gt;0),(G128-H128)/H128,"n.a.")</x:f>
        <x:v>-0.17817594109253118</x:v>
      </x:c>
      <x:c r="K128" s="19" t="n">
        <x:f>IF(ISNUMBER(J128),ABS(J128),"n.a.")</x:f>
        <x:v>0.17817594109253118</x:v>
      </x:c>
      <x:c r="L128" s="13" t="b">
        <x:v>1</x:v>
      </x:c>
      <x:c r="M128" s="13" t="b">
        <x:v>1</x:v>
      </x:c>
      <x:c r="N128" s="2" t="str">
        <x:v>qualified_source_frame_numeric_summary</x:v>
      </x:c>
      <x:c r="O128" s="2" t="str">
        <x:v>none</x:v>
      </x:c>
      <x:c r="P128" s="2" t="str">
        <x:v>nominal2020; Overture geometry2024-07-22.0; height support2018</x:v>
      </x:c>
      <x:c r="Q128" s="2" t="str">
        <x:v>Adjusted GADM4.1 boundaries; included Overture coverage unknown; China shortfall flagged; not a contemporaneous2020 census</x:v>
      </x:c>
      <x:c r="R128" s="2" t="str">
        <x:v>https://data.jrc.ec.europa.eu/dataset/f41a22f1-5741-4c41-86eb-6384654f6927</x:v>
      </x:c>
      <x:c r="S128" s="13" t="b">
        <x:v>0</x:v>
      </x:c>
      <x:c r="T128" s="13" t="b">
        <x:v>0</x:v>
      </x:c>
    </x:row>
    <x:row r="129" ht="23" customHeight="1">
      <x:c r="A129" s="2" t="str">
        <x:v>MUS</x:v>
      </x:c>
      <x:c r="B129" s="2" t="str">
        <x:v>Mauritius (Republic of)</x:v>
      </x:c>
      <x:c r="C129" s="2" t="n">
        <x:v>2020</x:v>
      </x:c>
      <x:c r="D129" s="2" t="str">
        <x:v>OBAT_FOOTPRINT</x:v>
      </x:c>
      <x:c r="E129" s="2" t="str">
        <x:v>horizontal surface / footprint</x:v>
      </x:c>
      <x:c r="F129" s="2" t="str">
        <x:v>m2</x:v>
      </x:c>
      <x:c r="G129" s="17" t="n">
        <x:v>64765689.96</x:v>
      </x:c>
      <x:c r="H129" s="17" t="n">
        <x:v>70961000.26</x:v>
      </x:c>
      <x:c r="I129" s="17" t="n">
        <x:f>IF(AND(L129,ISNUMBER(G129),ISNUMBER(H129)),G129-H129,"n.a.")</x:f>
        <x:v>-6195310.3000000045</x:v>
      </x:c>
      <x:c r="J129" s="15" t="n">
        <x:f>IF(AND(L129,ISNUMBER(G129),ISNUMBER(H129),H129&gt;0),(G129-H129)/H129,"n.a.")</x:f>
        <x:v>-0.08730584796297239</x:v>
      </x:c>
      <x:c r="K129" s="19" t="n">
        <x:f>IF(ISNUMBER(J129),ABS(J129),"n.a.")</x:f>
        <x:v>0.08730584796297239</x:v>
      </x:c>
      <x:c r="L129" s="13" t="b">
        <x:v>1</x:v>
      </x:c>
      <x:c r="M129" s="13" t="b">
        <x:v>1</x:v>
      </x:c>
      <x:c r="N129" s="2" t="str">
        <x:v>qualified_source_frame_numeric_summary</x:v>
      </x:c>
      <x:c r="O129" s="2" t="str">
        <x:v>none</x:v>
      </x:c>
      <x:c r="P129" s="2" t="str">
        <x:v>nominal2020; Overture geometry2024-07-22.0; height support2018</x:v>
      </x:c>
      <x:c r="Q129" s="2" t="str">
        <x:v>Adjusted GADM4.1 boundaries; included Overture coverage unknown; China shortfall flagged; not a contemporaneous2020 census</x:v>
      </x:c>
      <x:c r="R129" s="2" t="str">
        <x:v>https://data.jrc.ec.europa.eu/dataset/f41a22f1-5741-4c41-86eb-6384654f6927</x:v>
      </x:c>
      <x:c r="S129" s="13" t="b">
        <x:v>0</x:v>
      </x:c>
      <x:c r="T129" s="13" t="b">
        <x:v>0</x:v>
      </x:c>
    </x:row>
    <x:row r="130" ht="23" customHeight="1">
      <x:c r="A130" s="2" t="str">
        <x:v>MWI</x:v>
      </x:c>
      <x:c r="B130" s="2" t="str">
        <x:v>Malawi (Republic of)</x:v>
      </x:c>
      <x:c r="C130" s="2" t="n">
        <x:v>2020</x:v>
      </x:c>
      <x:c r="D130" s="2" t="str">
        <x:v>OBAT_FOOTPRINT</x:v>
      </x:c>
      <x:c r="E130" s="2" t="str">
        <x:v>horizontal surface / footprint</x:v>
      </x:c>
      <x:c r="F130" s="2" t="str">
        <x:v>m2</x:v>
      </x:c>
      <x:c r="G130" s="17" t="n">
        <x:v>330771641.02</x:v>
      </x:c>
      <x:c r="H130" s="17" t="n">
        <x:v>427881527.15</x:v>
      </x:c>
      <x:c r="I130" s="17" t="n">
        <x:f>IF(AND(L130,ISNUMBER(G130),ISNUMBER(H130)),G130-H130,"n.a.")</x:f>
        <x:v>-97109886.13</x:v>
      </x:c>
      <x:c r="J130" s="15" t="n">
        <x:f>IF(AND(L130,ISNUMBER(G130),ISNUMBER(H130),H130&gt;0),(G130-H130)/H130,"n.a.")</x:f>
        <x:v>-0.2269550797783255</x:v>
      </x:c>
      <x:c r="K130" s="19" t="n">
        <x:f>IF(ISNUMBER(J130),ABS(J130),"n.a.")</x:f>
        <x:v>0.2269550797783255</x:v>
      </x:c>
      <x:c r="L130" s="13" t="b">
        <x:v>1</x:v>
      </x:c>
      <x:c r="M130" s="13" t="b">
        <x:v>1</x:v>
      </x:c>
      <x:c r="N130" s="2" t="str">
        <x:v>qualified_source_frame_numeric_summary</x:v>
      </x:c>
      <x:c r="O130" s="2" t="str">
        <x:v>none</x:v>
      </x:c>
      <x:c r="P130" s="2" t="str">
        <x:v>nominal2020; Overture geometry2024-07-22.0; height support2018</x:v>
      </x:c>
      <x:c r="Q130" s="2" t="str">
        <x:v>Adjusted GADM4.1 boundaries; included Overture coverage unknown; China shortfall flagged; not a contemporaneous2020 census</x:v>
      </x:c>
      <x:c r="R130" s="2" t="str">
        <x:v>https://data.jrc.ec.europa.eu/dataset/f41a22f1-5741-4c41-86eb-6384654f6927</x:v>
      </x:c>
      <x:c r="S130" s="13" t="b">
        <x:v>0</x:v>
      </x:c>
      <x:c r="T130" s="13" t="b">
        <x:v>0</x:v>
      </x:c>
    </x:row>
    <x:row r="131" ht="23" customHeight="1">
      <x:c r="A131" s="2" t="str">
        <x:v>MYS</x:v>
      </x:c>
      <x:c r="B131" s="2" t="str">
        <x:v>Malaysia</x:v>
      </x:c>
      <x:c r="C131" s="2" t="n">
        <x:v>2020</x:v>
      </x:c>
      <x:c r="D131" s="2" t="str">
        <x:v>OBAT_FOOTPRINT</x:v>
      </x:c>
      <x:c r="E131" s="2" t="str">
        <x:v>horizontal surface / footprint</x:v>
      </x:c>
      <x:c r="F131" s="2" t="str">
        <x:v>m2</x:v>
      </x:c>
      <x:c r="G131" s="17" t="n">
        <x:v>1923172736.52</x:v>
      </x:c>
      <x:c r="H131" s="17" t="n">
        <x:v>2075230911.67</x:v>
      </x:c>
      <x:c r="I131" s="17" t="n">
        <x:f>IF(AND(L131,ISNUMBER(G131),ISNUMBER(H131)),G131-H131,"n.a.")</x:f>
        <x:v>-152058175.1500001</x:v>
      </x:c>
      <x:c r="J131" s="15" t="n">
        <x:f>IF(AND(L131,ISNUMBER(G131),ISNUMBER(H131),H131&gt;0),(G131-H131)/H131,"n.a.")</x:f>
        <x:v>-0.07327289425716696</x:v>
      </x:c>
      <x:c r="K131" s="19" t="n">
        <x:f>IF(ISNUMBER(J131),ABS(J131),"n.a.")</x:f>
        <x:v>0.07327289425716696</x:v>
      </x:c>
      <x:c r="L131" s="13" t="b">
        <x:v>1</x:v>
      </x:c>
      <x:c r="M131" s="13" t="b">
        <x:v>1</x:v>
      </x:c>
      <x:c r="N131" s="2" t="str">
        <x:v>qualified_source_frame_numeric_summary</x:v>
      </x:c>
      <x:c r="O131" s="2" t="str">
        <x:v>none</x:v>
      </x:c>
      <x:c r="P131" s="2" t="str">
        <x:v>nominal2020; Overture geometry2024-07-22.0; height support2018</x:v>
      </x:c>
      <x:c r="Q131" s="2" t="str">
        <x:v>Adjusted GADM4.1 boundaries; included Overture coverage unknown; China shortfall flagged; not a contemporaneous2020 census</x:v>
      </x:c>
      <x:c r="R131" s="2" t="str">
        <x:v>https://data.jrc.ec.europa.eu/dataset/f41a22f1-5741-4c41-86eb-6384654f6927</x:v>
      </x:c>
      <x:c r="S131" s="13" t="b">
        <x:v>0</x:v>
      </x:c>
      <x:c r="T131" s="13" t="b">
        <x:v>0</x:v>
      </x:c>
    </x:row>
    <x:row r="132" ht="23" customHeight="1">
      <x:c r="A132" s="2" t="str">
        <x:v>NAM</x:v>
      </x:c>
      <x:c r="B132" s="2" t="str">
        <x:v>Namibia (Republic of)</x:v>
      </x:c>
      <x:c r="C132" s="2" t="n">
        <x:v>2020</x:v>
      </x:c>
      <x:c r="D132" s="2" t="str">
        <x:v>OBAT_FOOTPRINT</x:v>
      </x:c>
      <x:c r="E132" s="2" t="str">
        <x:v>horizontal surface / footprint</x:v>
      </x:c>
      <x:c r="F132" s="2" t="str">
        <x:v>m2</x:v>
      </x:c>
      <x:c r="G132" s="17" t="n">
        <x:v>112405609.31</x:v>
      </x:c>
      <x:c r="H132" s="17" t="n">
        <x:v>134506829.54</x:v>
      </x:c>
      <x:c r="I132" s="17" t="n">
        <x:f>IF(AND(L132,ISNUMBER(G132),ISNUMBER(H132)),G132-H132,"n.a.")</x:f>
        <x:v>-22101220.22999999</x:v>
      </x:c>
      <x:c r="J132" s="15" t="n">
        <x:f>IF(AND(L132,ISNUMBER(G132),ISNUMBER(H132),H132&gt;0),(G132-H132)/H132,"n.a.")</x:f>
        <x:v>-0.1643129966380441</x:v>
      </x:c>
      <x:c r="K132" s="19" t="n">
        <x:f>IF(ISNUMBER(J132),ABS(J132),"n.a.")</x:f>
        <x:v>0.1643129966380441</x:v>
      </x:c>
      <x:c r="L132" s="13" t="b">
        <x:v>1</x:v>
      </x:c>
      <x:c r="M132" s="13" t="b">
        <x:v>1</x:v>
      </x:c>
      <x:c r="N132" s="2" t="str">
        <x:v>qualified_source_frame_numeric_summary</x:v>
      </x:c>
      <x:c r="O132" s="2" t="str">
        <x:v>none</x:v>
      </x:c>
      <x:c r="P132" s="2" t="str">
        <x:v>nominal2020; Overture geometry2024-07-22.0; height support2018</x:v>
      </x:c>
      <x:c r="Q132" s="2" t="str">
        <x:v>Adjusted GADM4.1 boundaries; included Overture coverage unknown; China shortfall flagged; not a contemporaneous2020 census</x:v>
      </x:c>
      <x:c r="R132" s="2" t="str">
        <x:v>https://data.jrc.ec.europa.eu/dataset/f41a22f1-5741-4c41-86eb-6384654f6927</x:v>
      </x:c>
      <x:c r="S132" s="13" t="b">
        <x:v>0</x:v>
      </x:c>
      <x:c r="T132" s="13" t="b">
        <x:v>0</x:v>
      </x:c>
    </x:row>
    <x:row r="133" ht="23" customHeight="1">
      <x:c r="A133" s="2" t="str">
        <x:v>NER</x:v>
      </x:c>
      <x:c r="B133" s="2" t="str">
        <x:v>Niger (Republic of the)</x:v>
      </x:c>
      <x:c r="C133" s="2" t="n">
        <x:v>2020</x:v>
      </x:c>
      <x:c r="D133" s="2" t="str">
        <x:v>OBAT_FOOTPRINT</x:v>
      </x:c>
      <x:c r="E133" s="2" t="str">
        <x:v>horizontal surface / footprint</x:v>
      </x:c>
      <x:c r="F133" s="2" t="str">
        <x:v>m2</x:v>
      </x:c>
      <x:c r="G133" s="17" t="n">
        <x:v>203236516.43</x:v>
      </x:c>
      <x:c r="H133" s="17" t="n">
        <x:v>269534918.37</x:v>
      </x:c>
      <x:c r="I133" s="17" t="n">
        <x:f>IF(AND(L133,ISNUMBER(G133),ISNUMBER(H133)),G133-H133,"n.a.")</x:f>
        <x:v>-66298401.94</x:v>
      </x:c>
      <x:c r="J133" s="15" t="n">
        <x:f>IF(AND(L133,ISNUMBER(G133),ISNUMBER(H133),H133&gt;0),(G133-H133)/H133,"n.a.")</x:f>
        <x:v>-0.24597333191905718</x:v>
      </x:c>
      <x:c r="K133" s="19" t="n">
        <x:f>IF(ISNUMBER(J133),ABS(J133),"n.a.")</x:f>
        <x:v>0.24597333191905718</x:v>
      </x:c>
      <x:c r="L133" s="13" t="b">
        <x:v>1</x:v>
      </x:c>
      <x:c r="M133" s="13" t="b">
        <x:v>1</x:v>
      </x:c>
      <x:c r="N133" s="2" t="str">
        <x:v>qualified_source_frame_numeric_summary</x:v>
      </x:c>
      <x:c r="O133" s="2" t="str">
        <x:v>none</x:v>
      </x:c>
      <x:c r="P133" s="2" t="str">
        <x:v>nominal2020; Overture geometry2024-07-22.0; height support2018</x:v>
      </x:c>
      <x:c r="Q133" s="2" t="str">
        <x:v>Adjusted GADM4.1 boundaries; included Overture coverage unknown; China shortfall flagged; not a contemporaneous2020 census</x:v>
      </x:c>
      <x:c r="R133" s="2" t="str">
        <x:v>https://data.jrc.ec.europa.eu/dataset/f41a22f1-5741-4c41-86eb-6384654f6927</x:v>
      </x:c>
      <x:c r="S133" s="13" t="b">
        <x:v>0</x:v>
      </x:c>
      <x:c r="T133" s="13" t="b">
        <x:v>0</x:v>
      </x:c>
    </x:row>
    <x:row r="134" ht="23" customHeight="1">
      <x:c r="A134" s="2" t="str">
        <x:v>NGA</x:v>
      </x:c>
      <x:c r="B134" s="2" t="str">
        <x:v>Nigeria (Federal Republic of)</x:v>
      </x:c>
      <x:c r="C134" s="2" t="n">
        <x:v>2020</x:v>
      </x:c>
      <x:c r="D134" s="2" t="str">
        <x:v>OBAT_FOOTPRINT</x:v>
      </x:c>
      <x:c r="E134" s="2" t="str">
        <x:v>horizontal surface / footprint</x:v>
      </x:c>
      <x:c r="F134" s="2" t="str">
        <x:v>m2</x:v>
      </x:c>
      <x:c r="G134" s="17" t="n">
        <x:v>4102804870.27</x:v>
      </x:c>
      <x:c r="H134" s="17" t="n">
        <x:v>4658588796.7</x:v>
      </x:c>
      <x:c r="I134" s="17" t="n">
        <x:f>IF(AND(L134,ISNUMBER(G134),ISNUMBER(H134)),G134-H134,"n.a.")</x:f>
        <x:v>-555783926.4299998</x:v>
      </x:c>
      <x:c r="J134" s="15" t="n">
        <x:f>IF(AND(L134,ISNUMBER(G134),ISNUMBER(H134),H134&gt;0),(G134-H134)/H134,"n.a.")</x:f>
        <x:v>-0.11930306594642995</x:v>
      </x:c>
      <x:c r="K134" s="19" t="n">
        <x:f>IF(ISNUMBER(J134),ABS(J134),"n.a.")</x:f>
        <x:v>0.11930306594642995</x:v>
      </x:c>
      <x:c r="L134" s="13" t="b">
        <x:v>1</x:v>
      </x:c>
      <x:c r="M134" s="13" t="b">
        <x:v>1</x:v>
      </x:c>
      <x:c r="N134" s="2" t="str">
        <x:v>qualified_source_frame_numeric_summary</x:v>
      </x:c>
      <x:c r="O134" s="2" t="str">
        <x:v>none</x:v>
      </x:c>
      <x:c r="P134" s="2" t="str">
        <x:v>nominal2020; Overture geometry2024-07-22.0; height support2018</x:v>
      </x:c>
      <x:c r="Q134" s="2" t="str">
        <x:v>Adjusted GADM4.1 boundaries; included Overture coverage unknown; China shortfall flagged; not a contemporaneous2020 census</x:v>
      </x:c>
      <x:c r="R134" s="2" t="str">
        <x:v>https://data.jrc.ec.europa.eu/dataset/f41a22f1-5741-4c41-86eb-6384654f6927</x:v>
      </x:c>
      <x:c r="S134" s="13" t="b">
        <x:v>0</x:v>
      </x:c>
      <x:c r="T134" s="13" t="b">
        <x:v>0</x:v>
      </x:c>
    </x:row>
    <x:row r="135" ht="23" customHeight="1">
      <x:c r="A135" s="2" t="str">
        <x:v>NIC</x:v>
      </x:c>
      <x:c r="B135" s="2" t="str">
        <x:v>Nicaragua (Republic of)</x:v>
      </x:c>
      <x:c r="C135" s="2" t="n">
        <x:v>2020</x:v>
      </x:c>
      <x:c r="D135" s="2" t="str">
        <x:v>OBAT_FOOTPRINT</x:v>
      </x:c>
      <x:c r="E135" s="2" t="str">
        <x:v>horizontal surface / footprint</x:v>
      </x:c>
      <x:c r="F135" s="2" t="str">
        <x:v>m2</x:v>
      </x:c>
      <x:c r="G135" s="17" t="n">
        <x:v>201940338.65</x:v>
      </x:c>
      <x:c r="H135" s="17" t="n">
        <x:v>206853598.66</x:v>
      </x:c>
      <x:c r="I135" s="17" t="n">
        <x:f>IF(AND(L135,ISNUMBER(G135),ISNUMBER(H135)),G135-H135,"n.a.")</x:f>
        <x:v>-4913260.00999999</x:v>
      </x:c>
      <x:c r="J135" s="15" t="n">
        <x:f>IF(AND(L135,ISNUMBER(G135),ISNUMBER(H135),H135&gt;0),(G135-H135)/H135,"n.a.")</x:f>
        <x:v>-0.02375235452430195</x:v>
      </x:c>
      <x:c r="K135" s="19" t="n">
        <x:f>IF(ISNUMBER(J135),ABS(J135),"n.a.")</x:f>
        <x:v>0.02375235452430195</x:v>
      </x:c>
      <x:c r="L135" s="13" t="b">
        <x:v>1</x:v>
      </x:c>
      <x:c r="M135" s="13" t="b">
        <x:v>1</x:v>
      </x:c>
      <x:c r="N135" s="2" t="str">
        <x:v>qualified_source_frame_numeric_summary</x:v>
      </x:c>
      <x:c r="O135" s="2" t="str">
        <x:v>none</x:v>
      </x:c>
      <x:c r="P135" s="2" t="str">
        <x:v>nominal2020; Overture geometry2024-07-22.0; height support2018</x:v>
      </x:c>
      <x:c r="Q135" s="2" t="str">
        <x:v>Adjusted GADM4.1 boundaries; included Overture coverage unknown; China shortfall flagged; not a contemporaneous2020 census</x:v>
      </x:c>
      <x:c r="R135" s="2" t="str">
        <x:v>https://data.jrc.ec.europa.eu/dataset/f41a22f1-5741-4c41-86eb-6384654f6927</x:v>
      </x:c>
      <x:c r="S135" s="13" t="b">
        <x:v>0</x:v>
      </x:c>
      <x:c r="T135" s="13" t="b">
        <x:v>0</x:v>
      </x:c>
    </x:row>
    <x:row r="136" ht="23" customHeight="1">
      <x:c r="A136" s="2" t="str">
        <x:v>NLD</x:v>
      </x:c>
      <x:c r="B136" s="2" t="str">
        <x:v>Netherlands (Kingdom of the)</x:v>
      </x:c>
      <x:c r="C136" s="2" t="n">
        <x:v>2020</x:v>
      </x:c>
      <x:c r="D136" s="2" t="str">
        <x:v>OBAT_FOOTPRINT</x:v>
      </x:c>
      <x:c r="E136" s="2" t="str">
        <x:v>horizontal surface / footprint</x:v>
      </x:c>
      <x:c r="F136" s="2" t="str">
        <x:v>m2</x:v>
      </x:c>
      <x:c r="G136" s="17" t="n">
        <x:v>1263819429.15</x:v>
      </x:c>
      <x:c r="H136" s="17" t="n">
        <x:v>1369930523.83</x:v>
      </x:c>
      <x:c r="I136" s="17" t="n">
        <x:f>IF(AND(L136,ISNUMBER(G136),ISNUMBER(H136)),G136-H136,"n.a.")</x:f>
        <x:v>-106111094.67999983</x:v>
      </x:c>
      <x:c r="J136" s="15" t="n">
        <x:f>IF(AND(L136,ISNUMBER(G136),ISNUMBER(H136),H136&gt;0),(G136-H136)/H136,"n.a.")</x:f>
        <x:v>-0.0774572818359711</x:v>
      </x:c>
      <x:c r="K136" s="19" t="n">
        <x:f>IF(ISNUMBER(J136),ABS(J136),"n.a.")</x:f>
        <x:v>0.0774572818359711</x:v>
      </x:c>
      <x:c r="L136" s="13" t="b">
        <x:v>1</x:v>
      </x:c>
      <x:c r="M136" s="13" t="b">
        <x:v>1</x:v>
      </x:c>
      <x:c r="N136" s="2" t="str">
        <x:v>qualified_source_frame_numeric_summary</x:v>
      </x:c>
      <x:c r="O136" s="2" t="str">
        <x:v>none</x:v>
      </x:c>
      <x:c r="P136" s="2" t="str">
        <x:v>nominal2020; Overture geometry2024-07-22.0; height support2018</x:v>
      </x:c>
      <x:c r="Q136" s="2" t="str">
        <x:v>Adjusted GADM4.1 boundaries; included Overture coverage unknown; China shortfall flagged; not a contemporaneous2020 census</x:v>
      </x:c>
      <x:c r="R136" s="2" t="str">
        <x:v>https://data.jrc.ec.europa.eu/dataset/f41a22f1-5741-4c41-86eb-6384654f6927</x:v>
      </x:c>
      <x:c r="S136" s="13" t="b">
        <x:v>0</x:v>
      </x:c>
      <x:c r="T136" s="13" t="b">
        <x:v>0</x:v>
      </x:c>
    </x:row>
    <x:row r="137" ht="23" customHeight="1">
      <x:c r="A137" s="2" t="str">
        <x:v>NOR</x:v>
      </x:c>
      <x:c r="B137" s="2" t="str">
        <x:v>Norway (Kingdom of)</x:v>
      </x:c>
      <x:c r="C137" s="2" t="n">
        <x:v>2020</x:v>
      </x:c>
      <x:c r="D137" s="2" t="str">
        <x:v>OBAT_FOOTPRINT</x:v>
      </x:c>
      <x:c r="E137" s="2" t="str">
        <x:v>horizontal surface / footprint</x:v>
      </x:c>
      <x:c r="F137" s="2" t="str">
        <x:v>m2</x:v>
      </x:c>
      <x:c r="G137" s="17" t="n">
        <x:v>478516256.61</x:v>
      </x:c>
      <x:c r="H137" s="17" t="n">
        <x:v>587260041.1899999</x:v>
      </x:c>
      <x:c r="I137" s="17" t="n">
        <x:f>IF(AND(L137,ISNUMBER(G137),ISNUMBER(H137)),G137-H137,"n.a.")</x:f>
        <x:v>-108743784.57999992</x:v>
      </x:c>
      <x:c r="J137" s="15" t="n">
        <x:f>IF(AND(L137,ISNUMBER(G137),ISNUMBER(H137),H137&gt;0),(G137-H137)/H137,"n.a.")</x:f>
        <x:v>-0.18517143505906844</x:v>
      </x:c>
      <x:c r="K137" s="19" t="n">
        <x:f>IF(ISNUMBER(J137),ABS(J137),"n.a.")</x:f>
        <x:v>0.18517143505906844</x:v>
      </x:c>
      <x:c r="L137" s="13" t="b">
        <x:v>1</x:v>
      </x:c>
      <x:c r="M137" s="13" t="b">
        <x:v>1</x:v>
      </x:c>
      <x:c r="N137" s="2" t="str">
        <x:v>qualified_source_frame_numeric_summary</x:v>
      </x:c>
      <x:c r="O137" s="2" t="str">
        <x:v>none</x:v>
      </x:c>
      <x:c r="P137" s="2" t="str">
        <x:v>nominal2020; Overture geometry2024-07-22.0; height support2018</x:v>
      </x:c>
      <x:c r="Q137" s="2" t="str">
        <x:v>Adjusted GADM4.1 boundaries; included Overture coverage unknown; China shortfall flagged; not a contemporaneous2020 census</x:v>
      </x:c>
      <x:c r="R137" s="2" t="str">
        <x:v>https://data.jrc.ec.europa.eu/dataset/f41a22f1-5741-4c41-86eb-6384654f6927</x:v>
      </x:c>
      <x:c r="S137" s="13" t="b">
        <x:v>0</x:v>
      </x:c>
      <x:c r="T137" s="13" t="b">
        <x:v>0</x:v>
      </x:c>
    </x:row>
    <x:row r="138" ht="23" customHeight="1">
      <x:c r="A138" s="2" t="str">
        <x:v>NPL</x:v>
      </x:c>
      <x:c r="B138" s="2" t="str">
        <x:v>Nepal (Federal Democratic Republic of)</x:v>
      </x:c>
      <x:c r="C138" s="2" t="n">
        <x:v>2020</x:v>
      </x:c>
      <x:c r="D138" s="2" t="str">
        <x:v>OBAT_FOOTPRINT</x:v>
      </x:c>
      <x:c r="E138" s="2" t="str">
        <x:v>horizontal surface / footprint</x:v>
      </x:c>
      <x:c r="F138" s="2" t="str">
        <x:v>m2</x:v>
      </x:c>
      <x:c r="G138" s="17" t="n">
        <x:v>656084354.5</x:v>
      </x:c>
      <x:c r="H138" s="17" t="n">
        <x:v>744562924.44</x:v>
      </x:c>
      <x:c r="I138" s="17" t="n">
        <x:f>IF(AND(L138,ISNUMBER(G138),ISNUMBER(H138)),G138-H138,"n.a.")</x:f>
        <x:v>-88478569.94000006</x:v>
      </x:c>
      <x:c r="J138" s="15" t="n">
        <x:f>IF(AND(L138,ISNUMBER(G138),ISNUMBER(H138),H138&gt;0),(G138-H138)/H138,"n.a.")</x:f>
        <x:v>-0.11883289784613768</x:v>
      </x:c>
      <x:c r="K138" s="19" t="n">
        <x:f>IF(ISNUMBER(J138),ABS(J138),"n.a.")</x:f>
        <x:v>0.11883289784613768</x:v>
      </x:c>
      <x:c r="L138" s="13" t="b">
        <x:v>1</x:v>
      </x:c>
      <x:c r="M138" s="13" t="b">
        <x:v>1</x:v>
      </x:c>
      <x:c r="N138" s="2" t="str">
        <x:v>qualified_source_frame_numeric_summary</x:v>
      </x:c>
      <x:c r="O138" s="2" t="str">
        <x:v>none</x:v>
      </x:c>
      <x:c r="P138" s="2" t="str">
        <x:v>nominal2020; Overture geometry2024-07-22.0; height support2018</x:v>
      </x:c>
      <x:c r="Q138" s="2" t="str">
        <x:v>Adjusted GADM4.1 boundaries; included Overture coverage unknown; China shortfall flagged; not a contemporaneous2020 census</x:v>
      </x:c>
      <x:c r="R138" s="2" t="str">
        <x:v>https://data.jrc.ec.europa.eu/dataset/f41a22f1-5741-4c41-86eb-6384654f6927</x:v>
      </x:c>
      <x:c r="S138" s="13" t="b">
        <x:v>0</x:v>
      </x:c>
      <x:c r="T138" s="13" t="b">
        <x:v>0</x:v>
      </x:c>
    </x:row>
    <x:row r="139" ht="23" customHeight="1">
      <x:c r="A139" s="2" t="str">
        <x:v>NRU</x:v>
      </x:c>
      <x:c r="B139" s="2" t="str">
        <x:v>Nauru (Republic of)</x:v>
      </x:c>
      <x:c r="C139" s="2" t="n">
        <x:v>2020</x:v>
      </x:c>
      <x:c r="D139" s="2" t="str">
        <x:v>OBAT_FOOTPRINT</x:v>
      </x:c>
      <x:c r="E139" s="2" t="str">
        <x:v>horizontal surface / footprint</x:v>
      </x:c>
      <x:c r="F139" s="2" t="str">
        <x:v>m2</x:v>
      </x:c>
      <x:c r="G139" s="17" t="n">
        <x:v>405989.38</x:v>
      </x:c>
      <x:c r="H139" s="17" t="n">
        <x:v>536853.73</x:v>
      </x:c>
      <x:c r="I139" s="17" t="n">
        <x:f>IF(AND(L139,ISNUMBER(G139),ISNUMBER(H139)),G139-H139,"n.a.")</x:f>
        <x:v>-130864.34999999998</x:v>
      </x:c>
      <x:c r="J139" s="15" t="n">
        <x:f>IF(AND(L139,ISNUMBER(G139),ISNUMBER(H139),H139&gt;0),(G139-H139)/H139,"n.a.")</x:f>
        <x:v>-0.24376164807497935</x:v>
      </x:c>
      <x:c r="K139" s="19" t="n">
        <x:f>IF(ISNUMBER(J139),ABS(J139),"n.a.")</x:f>
        <x:v>0.24376164807497935</x:v>
      </x:c>
      <x:c r="L139" s="13" t="b">
        <x:v>1</x:v>
      </x:c>
      <x:c r="M139" s="13" t="b">
        <x:v>1</x:v>
      </x:c>
      <x:c r="N139" s="2" t="str">
        <x:v>qualified_source_frame_numeric_summary</x:v>
      </x:c>
      <x:c r="O139" s="2" t="str">
        <x:v>none</x:v>
      </x:c>
      <x:c r="P139" s="2" t="str">
        <x:v>nominal2020; Overture geometry2024-07-22.0; height support2018</x:v>
      </x:c>
      <x:c r="Q139" s="2" t="str">
        <x:v>Adjusted GADM4.1 boundaries; included Overture coverage unknown; China shortfall flagged; not a contemporaneous2020 census</x:v>
      </x:c>
      <x:c r="R139" s="2" t="str">
        <x:v>https://data.jrc.ec.europa.eu/dataset/f41a22f1-5741-4c41-86eb-6384654f6927</x:v>
      </x:c>
      <x:c r="S139" s="13" t="b">
        <x:v>0</x:v>
      </x:c>
      <x:c r="T139" s="13" t="b">
        <x:v>0</x:v>
      </x:c>
    </x:row>
    <x:row r="140" ht="23" customHeight="1">
      <x:c r="A140" s="2" t="str">
        <x:v>NZL</x:v>
      </x:c>
      <x:c r="B140" s="2" t="str">
        <x:v>New Zealand</x:v>
      </x:c>
      <x:c r="C140" s="2" t="n">
        <x:v>2020</x:v>
      </x:c>
      <x:c r="D140" s="2" t="str">
        <x:v>OBAT_FOOTPRINT</x:v>
      </x:c>
      <x:c r="E140" s="2" t="str">
        <x:v>horizontal surface / footprint</x:v>
      </x:c>
      <x:c r="F140" s="2" t="str">
        <x:v>m2</x:v>
      </x:c>
      <x:c r="G140" s="17" t="n">
        <x:v>553529463.79</x:v>
      </x:c>
      <x:c r="H140" s="17" t="n">
        <x:v>539122826.8199999</x:v>
      </x:c>
      <x:c r="I140" s="17" t="n">
        <x:f>IF(AND(L140,ISNUMBER(G140),ISNUMBER(H140)),G140-H140,"n.a.")</x:f>
        <x:v>14406636.970000029</x:v>
      </x:c>
      <x:c r="J140" s="15" t="n">
        <x:f>IF(AND(L140,ISNUMBER(G140),ISNUMBER(H140),H140&gt;0),(G140-H140)/H140,"n.a.")</x:f>
        <x:v>0.026722365022043587</x:v>
      </x:c>
      <x:c r="K140" s="19" t="n">
        <x:f>IF(ISNUMBER(J140),ABS(J140),"n.a.")</x:f>
        <x:v>0.026722365022043587</x:v>
      </x:c>
      <x:c r="L140" s="13" t="b">
        <x:v>1</x:v>
      </x:c>
      <x:c r="M140" s="13" t="b">
        <x:v>1</x:v>
      </x:c>
      <x:c r="N140" s="2" t="str">
        <x:v>qualified_source_frame_numeric_summary</x:v>
      </x:c>
      <x:c r="O140" s="2" t="str">
        <x:v>none</x:v>
      </x:c>
      <x:c r="P140" s="2" t="str">
        <x:v>nominal2020; Overture geometry2024-07-22.0; height support2018</x:v>
      </x:c>
      <x:c r="Q140" s="2" t="str">
        <x:v>Adjusted GADM4.1 boundaries; included Overture coverage unknown; China shortfall flagged; not a contemporaneous2020 census</x:v>
      </x:c>
      <x:c r="R140" s="2" t="str">
        <x:v>https://data.jrc.ec.europa.eu/dataset/f41a22f1-5741-4c41-86eb-6384654f6927</x:v>
      </x:c>
      <x:c r="S140" s="13" t="b">
        <x:v>0</x:v>
      </x:c>
      <x:c r="T140" s="13" t="b">
        <x:v>0</x:v>
      </x:c>
    </x:row>
    <x:row r="141" ht="23" customHeight="1">
      <x:c r="A141" s="2" t="str">
        <x:v>OMN</x:v>
      </x:c>
      <x:c r="B141" s="2" t="str">
        <x:v>Oman (Sultanate of)</x:v>
      </x:c>
      <x:c r="C141" s="2" t="n">
        <x:v>2020</x:v>
      </x:c>
      <x:c r="D141" s="2" t="str">
        <x:v>OBAT_FOOTPRINT</x:v>
      </x:c>
      <x:c r="E141" s="2" t="str">
        <x:v>horizontal surface / footprint</x:v>
      </x:c>
      <x:c r="F141" s="2" t="str">
        <x:v>m2</x:v>
      </x:c>
      <x:c r="G141" s="17" t="n">
        <x:v>262659820.85</x:v>
      </x:c>
      <x:c r="H141" s="17" t="n">
        <x:v>135379846.25</x:v>
      </x:c>
      <x:c r="I141" s="17" t="n">
        <x:f>IF(AND(L141,ISNUMBER(G141),ISNUMBER(H141)),G141-H141,"n.a.")</x:f>
        <x:v>127279974.6</x:v>
      </x:c>
      <x:c r="J141" s="15" t="n">
        <x:f>IF(AND(L141,ISNUMBER(G141),ISNUMBER(H141),H141&gt;0),(G141-H141)/H141,"n.a.")</x:f>
        <x:v>0.9401692949551566</x:v>
      </x:c>
      <x:c r="K141" s="19" t="n">
        <x:f>IF(ISNUMBER(J141),ABS(J141),"n.a.")</x:f>
        <x:v>0.9401692949551566</x:v>
      </x:c>
      <x:c r="L141" s="13" t="b">
        <x:v>1</x:v>
      </x:c>
      <x:c r="M141" s="13" t="b">
        <x:v>1</x:v>
      </x:c>
      <x:c r="N141" s="2" t="str">
        <x:v>qualified_source_frame_numeric_summary</x:v>
      </x:c>
      <x:c r="O141" s="2" t="str">
        <x:v>none</x:v>
      </x:c>
      <x:c r="P141" s="2" t="str">
        <x:v>nominal2020; Overture geometry2024-07-22.0; height support2018</x:v>
      </x:c>
      <x:c r="Q141" s="2" t="str">
        <x:v>Adjusted GADM4.1 boundaries; included Overture coverage unknown; China shortfall flagged; not a contemporaneous2020 census</x:v>
      </x:c>
      <x:c r="R141" s="2" t="str">
        <x:v>https://data.jrc.ec.europa.eu/dataset/f41a22f1-5741-4c41-86eb-6384654f6927</x:v>
      </x:c>
      <x:c r="S141" s="13" t="b">
        <x:v>0</x:v>
      </x:c>
      <x:c r="T141" s="13" t="b">
        <x:v>0</x:v>
      </x:c>
    </x:row>
    <x:row r="142" ht="23" customHeight="1">
      <x:c r="A142" s="2" t="str">
        <x:v>PAK</x:v>
      </x:c>
      <x:c r="B142" s="2" t="str">
        <x:v>Pakistan (Islamic Republic of)</x:v>
      </x:c>
      <x:c r="C142" s="2" t="n">
        <x:v>2020</x:v>
      </x:c>
      <x:c r="D142" s="2" t="str">
        <x:v>OBAT_FOOTPRINT</x:v>
      </x:c>
      <x:c r="E142" s="2" t="str">
        <x:v>horizontal surface / footprint</x:v>
      </x:c>
      <x:c r="F142" s="2" t="str">
        <x:v>m2</x:v>
      </x:c>
      <x:c r="G142" s="17" t="n">
        <x:v>4301390083.52</x:v>
      </x:c>
      <x:c r="H142" s="17" t="n">
        <x:v>4970762648.9</x:v>
      </x:c>
      <x:c r="I142" s="17" t="n">
        <x:f>IF(AND(L142,ISNUMBER(G142),ISNUMBER(H142)),G142-H142,"n.a.")</x:f>
        <x:v>-669372565.3799992</x:v>
      </x:c>
      <x:c r="J142" s="15" t="n">
        <x:f>IF(AND(L142,ISNUMBER(G142),ISNUMBER(H142),H142&gt;0),(G142-H142)/H142,"n.a.")</x:f>
        <x:v>-0.13466194478791446</x:v>
      </x:c>
      <x:c r="K142" s="19" t="n">
        <x:f>IF(ISNUMBER(J142),ABS(J142),"n.a.")</x:f>
        <x:v>0.13466194478791446</x:v>
      </x:c>
      <x:c r="L142" s="13" t="b">
        <x:v>1</x:v>
      </x:c>
      <x:c r="M142" s="13" t="b">
        <x:v>1</x:v>
      </x:c>
      <x:c r="N142" s="2" t="str">
        <x:v>qualified_source_frame_numeric_summary</x:v>
      </x:c>
      <x:c r="O142" s="2" t="str">
        <x:v>none</x:v>
      </x:c>
      <x:c r="P142" s="2" t="str">
        <x:v>nominal2020; Overture geometry2024-07-22.0; height support2018</x:v>
      </x:c>
      <x:c r="Q142" s="2" t="str">
        <x:v>Adjusted GADM4.1 boundaries; included Overture coverage unknown; China shortfall flagged; not a contemporaneous2020 census</x:v>
      </x:c>
      <x:c r="R142" s="2" t="str">
        <x:v>https://data.jrc.ec.europa.eu/dataset/f41a22f1-5741-4c41-86eb-6384654f6927</x:v>
      </x:c>
      <x:c r="S142" s="13" t="b">
        <x:v>0</x:v>
      </x:c>
      <x:c r="T142" s="13" t="b">
        <x:v>0</x:v>
      </x:c>
    </x:row>
    <x:row r="143" ht="23" customHeight="1">
      <x:c r="A143" s="2" t="str">
        <x:v>PAN</x:v>
      </x:c>
      <x:c r="B143" s="2" t="str">
        <x:v>Panama (Republic of)</x:v>
      </x:c>
      <x:c r="C143" s="2" t="n">
        <x:v>2020</x:v>
      </x:c>
      <x:c r="D143" s="2" t="str">
        <x:v>OBAT_FOOTPRINT</x:v>
      </x:c>
      <x:c r="E143" s="2" t="str">
        <x:v>horizontal surface / footprint</x:v>
      </x:c>
      <x:c r="F143" s="2" t="str">
        <x:v>m2</x:v>
      </x:c>
      <x:c r="G143" s="17" t="n">
        <x:v>209722829.78</x:v>
      </x:c>
      <x:c r="H143" s="17" t="n">
        <x:v>221659504.26</x:v>
      </x:c>
      <x:c r="I143" s="17" t="n">
        <x:f>IF(AND(L143,ISNUMBER(G143),ISNUMBER(H143)),G143-H143,"n.a.")</x:f>
        <x:v>-11936674.47999999</x:v>
      </x:c>
      <x:c r="J143" s="15" t="n">
        <x:f>IF(AND(L143,ISNUMBER(G143),ISNUMBER(H143),H143&gt;0),(G143-H143)/H143,"n.a.")</x:f>
        <x:v>-0.053851399333631214</x:v>
      </x:c>
      <x:c r="K143" s="19" t="n">
        <x:f>IF(ISNUMBER(J143),ABS(J143),"n.a.")</x:f>
        <x:v>0.053851399333631214</x:v>
      </x:c>
      <x:c r="L143" s="13" t="b">
        <x:v>1</x:v>
      </x:c>
      <x:c r="M143" s="13" t="b">
        <x:v>1</x:v>
      </x:c>
      <x:c r="N143" s="2" t="str">
        <x:v>qualified_source_frame_numeric_summary</x:v>
      </x:c>
      <x:c r="O143" s="2" t="str">
        <x:v>none</x:v>
      </x:c>
      <x:c r="P143" s="2" t="str">
        <x:v>nominal2020; Overture geometry2024-07-22.0; height support2018</x:v>
      </x:c>
      <x:c r="Q143" s="2" t="str">
        <x:v>Adjusted GADM4.1 boundaries; included Overture coverage unknown; China shortfall flagged; not a contemporaneous2020 census</x:v>
      </x:c>
      <x:c r="R143" s="2" t="str">
        <x:v>https://data.jrc.ec.europa.eu/dataset/f41a22f1-5741-4c41-86eb-6384654f6927</x:v>
      </x:c>
      <x:c r="S143" s="13" t="b">
        <x:v>0</x:v>
      </x:c>
      <x:c r="T143" s="13" t="b">
        <x:v>0</x:v>
      </x:c>
    </x:row>
    <x:row r="144" ht="23" customHeight="1">
      <x:c r="A144" s="2" t="str">
        <x:v>PER</x:v>
      </x:c>
      <x:c r="B144" s="2" t="str">
        <x:v>Peru (Republic of)</x:v>
      </x:c>
      <x:c r="C144" s="2" t="n">
        <x:v>2020</x:v>
      </x:c>
      <x:c r="D144" s="2" t="str">
        <x:v>OBAT_FOOTPRINT</x:v>
      </x:c>
      <x:c r="E144" s="2" t="str">
        <x:v>horizontal surface / footprint</x:v>
      </x:c>
      <x:c r="F144" s="2" t="str">
        <x:v>m2</x:v>
      </x:c>
      <x:c r="G144" s="17" t="n">
        <x:v>1228349086.86</x:v>
      </x:c>
      <x:c r="H144" s="17" t="n">
        <x:v>1365854140.8300002</x:v>
      </x:c>
      <x:c r="I144" s="17" t="n">
        <x:f>IF(AND(L144,ISNUMBER(G144),ISNUMBER(H144)),G144-H144,"n.a.")</x:f>
        <x:v>-137505053.97000027</x:v>
      </x:c>
      <x:c r="J144" s="15" t="n">
        <x:f>IF(AND(L144,ISNUMBER(G144),ISNUMBER(H144),H144&gt;0),(G144-H144)/H144,"n.a.")</x:f>
        <x:v>-0.10067330753666083</x:v>
      </x:c>
      <x:c r="K144" s="19" t="n">
        <x:f>IF(ISNUMBER(J144),ABS(J144),"n.a.")</x:f>
        <x:v>0.10067330753666083</x:v>
      </x:c>
      <x:c r="L144" s="13" t="b">
        <x:v>1</x:v>
      </x:c>
      <x:c r="M144" s="13" t="b">
        <x:v>1</x:v>
      </x:c>
      <x:c r="N144" s="2" t="str">
        <x:v>qualified_source_frame_numeric_summary</x:v>
      </x:c>
      <x:c r="O144" s="2" t="str">
        <x:v>none</x:v>
      </x:c>
      <x:c r="P144" s="2" t="str">
        <x:v>nominal2020; Overture geometry2024-07-22.0; height support2018</x:v>
      </x:c>
      <x:c r="Q144" s="2" t="str">
        <x:v>Adjusted GADM4.1 boundaries; included Overture coverage unknown; China shortfall flagged; not a contemporaneous2020 census</x:v>
      </x:c>
      <x:c r="R144" s="2" t="str">
        <x:v>https://data.jrc.ec.europa.eu/dataset/f41a22f1-5741-4c41-86eb-6384654f6927</x:v>
      </x:c>
      <x:c r="S144" s="13" t="b">
        <x:v>0</x:v>
      </x:c>
      <x:c r="T144" s="13" t="b">
        <x:v>0</x:v>
      </x:c>
    </x:row>
    <x:row r="145" ht="23" customHeight="1">
      <x:c r="A145" s="2" t="str">
        <x:v>PHL</x:v>
      </x:c>
      <x:c r="B145" s="2" t="str">
        <x:v>Philippines (Republic of the)</x:v>
      </x:c>
      <x:c r="C145" s="2" t="n">
        <x:v>2020</x:v>
      </x:c>
      <x:c r="D145" s="2" t="str">
        <x:v>OBAT_FOOTPRINT</x:v>
      </x:c>
      <x:c r="E145" s="2" t="str">
        <x:v>horizontal surface / footprint</x:v>
      </x:c>
      <x:c r="F145" s="2" t="str">
        <x:v>m2</x:v>
      </x:c>
      <x:c r="G145" s="17" t="n">
        <x:v>2290609295.4</x:v>
      </x:c>
      <x:c r="H145" s="17" t="n">
        <x:v>2523878400.38</x:v>
      </x:c>
      <x:c r="I145" s="17" t="n">
        <x:f>IF(AND(L145,ISNUMBER(G145),ISNUMBER(H145)),G145-H145,"n.a.")</x:f>
        <x:v>-233269104.98000002</x:v>
      </x:c>
      <x:c r="J145" s="15" t="n">
        <x:f>IF(AND(L145,ISNUMBER(G145),ISNUMBER(H145),H145&gt;0),(G145-H145)/H145,"n.a.")</x:f>
        <x:v>-0.09242485887785978</x:v>
      </x:c>
      <x:c r="K145" s="19" t="n">
        <x:f>IF(ISNUMBER(J145),ABS(J145),"n.a.")</x:f>
        <x:v>0.09242485887785978</x:v>
      </x:c>
      <x:c r="L145" s="13" t="b">
        <x:v>1</x:v>
      </x:c>
      <x:c r="M145" s="13" t="b">
        <x:v>1</x:v>
      </x:c>
      <x:c r="N145" s="2" t="str">
        <x:v>qualified_source_frame_numeric_summary</x:v>
      </x:c>
      <x:c r="O145" s="2" t="str">
        <x:v>none</x:v>
      </x:c>
      <x:c r="P145" s="2" t="str">
        <x:v>nominal2020; Overture geometry2024-07-22.0; height support2018</x:v>
      </x:c>
      <x:c r="Q145" s="2" t="str">
        <x:v>Adjusted GADM4.1 boundaries; included Overture coverage unknown; China shortfall flagged; not a contemporaneous2020 census</x:v>
      </x:c>
      <x:c r="R145" s="2" t="str">
        <x:v>https://data.jrc.ec.europa.eu/dataset/f41a22f1-5741-4c41-86eb-6384654f6927</x:v>
      </x:c>
      <x:c r="S145" s="13" t="b">
        <x:v>0</x:v>
      </x:c>
      <x:c r="T145" s="13" t="b">
        <x:v>0</x:v>
      </x:c>
    </x:row>
    <x:row r="146" ht="23" customHeight="1">
      <x:c r="A146" s="2" t="str">
        <x:v>PLW</x:v>
      </x:c>
      <x:c r="B146" s="2" t="str">
        <x:v>Palau (Republic of)</x:v>
      </x:c>
      <x:c r="C146" s="2" t="n">
        <x:v>2020</x:v>
      </x:c>
      <x:c r="D146" s="2" t="str">
        <x:v>OBAT_FOOTPRINT</x:v>
      </x:c>
      <x:c r="E146" s="2" t="str">
        <x:v>horizontal surface / footprint</x:v>
      </x:c>
      <x:c r="F146" s="2" t="str">
        <x:v>m2</x:v>
      </x:c>
      <x:c r="G146" s="17" t="n">
        <x:v>1152226.26</x:v>
      </x:c>
      <x:c r="H146" s="17" t="n">
        <x:v>1000004.2999999999</x:v>
      </x:c>
      <x:c r="I146" s="17" t="n">
        <x:f>IF(AND(L146,ISNUMBER(G146),ISNUMBER(H146)),G146-H146,"n.a.")</x:f>
        <x:v>152221.96000000008</x:v>
      </x:c>
      <x:c r="J146" s="15" t="n">
        <x:f>IF(AND(L146,ISNUMBER(G146),ISNUMBER(H146),H146&gt;0),(G146-H146)/H146,"n.a.")</x:f>
        <x:v>0.15222130544838666</x:v>
      </x:c>
      <x:c r="K146" s="19" t="n">
        <x:f>IF(ISNUMBER(J146),ABS(J146),"n.a.")</x:f>
        <x:v>0.15222130544838666</x:v>
      </x:c>
      <x:c r="L146" s="13" t="b">
        <x:v>1</x:v>
      </x:c>
      <x:c r="M146" s="13" t="b">
        <x:v>1</x:v>
      </x:c>
      <x:c r="N146" s="2" t="str">
        <x:v>qualified_source_frame_numeric_summary</x:v>
      </x:c>
      <x:c r="O146" s="2" t="str">
        <x:v>none</x:v>
      </x:c>
      <x:c r="P146" s="2" t="str">
        <x:v>nominal2020; Overture geometry2024-07-22.0; height support2018</x:v>
      </x:c>
      <x:c r="Q146" s="2" t="str">
        <x:v>Adjusted GADM4.1 boundaries; included Overture coverage unknown; China shortfall flagged; not a contemporaneous2020 census</x:v>
      </x:c>
      <x:c r="R146" s="2" t="str">
        <x:v>https://data.jrc.ec.europa.eu/dataset/f41a22f1-5741-4c41-86eb-6384654f6927</x:v>
      </x:c>
      <x:c r="S146" s="13" t="b">
        <x:v>0</x:v>
      </x:c>
      <x:c r="T146" s="13" t="b">
        <x:v>0</x:v>
      </x:c>
    </x:row>
    <x:row r="147" ht="23" customHeight="1">
      <x:c r="A147" s="2" t="str">
        <x:v>PNG</x:v>
      </x:c>
      <x:c r="B147" s="2" t="str">
        <x:v>Papua New Guinea (Independent State of)</x:v>
      </x:c>
      <x:c r="C147" s="2" t="n">
        <x:v>2020</x:v>
      </x:c>
      <x:c r="D147" s="2" t="str">
        <x:v>OBAT_FOOTPRINT</x:v>
      </x:c>
      <x:c r="E147" s="2" t="str">
        <x:v>horizontal surface / footprint</x:v>
      </x:c>
      <x:c r="F147" s="2" t="str">
        <x:v>m2</x:v>
      </x:c>
      <x:c r="G147" s="17" t="n">
        <x:v>111325792.03</x:v>
      </x:c>
      <x:c r="H147" s="17" t="n">
        <x:v>43387269.63</x:v>
      </x:c>
      <x:c r="I147" s="17" t="n">
        <x:f>IF(AND(L147,ISNUMBER(G147),ISNUMBER(H147)),G147-H147,"n.a.")</x:f>
        <x:v>67938522.4</x:v>
      </x:c>
      <x:c r="J147" s="15" t="n">
        <x:f>IF(AND(L147,ISNUMBER(G147),ISNUMBER(H147),H147&gt;0),(G147-H147)/H147,"n.a.")</x:f>
        <x:v>1.5658630510601228</x:v>
      </x:c>
      <x:c r="K147" s="19" t="n">
        <x:f>IF(ISNUMBER(J147),ABS(J147),"n.a.")</x:f>
        <x:v>1.5658630510601228</x:v>
      </x:c>
      <x:c r="L147" s="13" t="b">
        <x:v>1</x:v>
      </x:c>
      <x:c r="M147" s="13" t="b">
        <x:v>1</x:v>
      </x:c>
      <x:c r="N147" s="2" t="str">
        <x:v>qualified_source_frame_numeric_summary</x:v>
      </x:c>
      <x:c r="O147" s="2" t="str">
        <x:v>none</x:v>
      </x:c>
      <x:c r="P147" s="2" t="str">
        <x:v>nominal2020; Overture geometry2024-07-22.0; height support2018</x:v>
      </x:c>
      <x:c r="Q147" s="2" t="str">
        <x:v>Adjusted GADM4.1 boundaries; included Overture coverage unknown; China shortfall flagged; not a contemporaneous2020 census</x:v>
      </x:c>
      <x:c r="R147" s="2" t="str">
        <x:v>https://data.jrc.ec.europa.eu/dataset/f41a22f1-5741-4c41-86eb-6384654f6927</x:v>
      </x:c>
      <x:c r="S147" s="13" t="b">
        <x:v>0</x:v>
      </x:c>
      <x:c r="T147" s="13" t="b">
        <x:v>0</x:v>
      </x:c>
    </x:row>
    <x:row r="148" ht="23" customHeight="1">
      <x:c r="A148" s="2" t="str">
        <x:v>POL</x:v>
      </x:c>
      <x:c r="B148" s="2" t="str">
        <x:v>Poland (Republic of)</x:v>
      </x:c>
      <x:c r="C148" s="2" t="n">
        <x:v>2020</x:v>
      </x:c>
      <x:c r="D148" s="2" t="str">
        <x:v>OBAT_FOOTPRINT</x:v>
      </x:c>
      <x:c r="E148" s="2" t="str">
        <x:v>horizontal surface / footprint</x:v>
      </x:c>
      <x:c r="F148" s="2" t="str">
        <x:v>m2</x:v>
      </x:c>
      <x:c r="G148" s="17" t="n">
        <x:v>2573023573.53</x:v>
      </x:c>
      <x:c r="H148" s="17" t="n">
        <x:v>2714018463.98</x:v>
      </x:c>
      <x:c r="I148" s="17" t="n">
        <x:f>IF(AND(L148,ISNUMBER(G148),ISNUMBER(H148)),G148-H148,"n.a.")</x:f>
        <x:v>-140994890.4499998</x:v>
      </x:c>
      <x:c r="J148" s="15" t="n">
        <x:f>IF(AND(L148,ISNUMBER(G148),ISNUMBER(H148),H148&gt;0),(G148-H148)/H148,"n.a.")</x:f>
        <x:v>-0.05195060104463564</x:v>
      </x:c>
      <x:c r="K148" s="19" t="n">
        <x:f>IF(ISNUMBER(J148),ABS(J148),"n.a.")</x:f>
        <x:v>0.05195060104463564</x:v>
      </x:c>
      <x:c r="L148" s="13" t="b">
        <x:v>1</x:v>
      </x:c>
      <x:c r="M148" s="13" t="b">
        <x:v>1</x:v>
      </x:c>
      <x:c r="N148" s="2" t="str">
        <x:v>qualified_source_frame_numeric_summary</x:v>
      </x:c>
      <x:c r="O148" s="2" t="str">
        <x:v>none</x:v>
      </x:c>
      <x:c r="P148" s="2" t="str">
        <x:v>nominal2020; Overture geometry2024-07-22.0; height support2018</x:v>
      </x:c>
      <x:c r="Q148" s="2" t="str">
        <x:v>Adjusted GADM4.1 boundaries; included Overture coverage unknown; China shortfall flagged; not a contemporaneous2020 census</x:v>
      </x:c>
      <x:c r="R148" s="2" t="str">
        <x:v>https://data.jrc.ec.europa.eu/dataset/f41a22f1-5741-4c41-86eb-6384654f6927</x:v>
      </x:c>
      <x:c r="S148" s="13" t="b">
        <x:v>0</x:v>
      </x:c>
      <x:c r="T148" s="13" t="b">
        <x:v>0</x:v>
      </x:c>
    </x:row>
    <x:row r="149" ht="23" customHeight="1">
      <x:c r="A149" s="2" t="str">
        <x:v>PRK</x:v>
      </x:c>
      <x:c r="B149" s="2" t="str">
        <x:v>Korea (Democratic People's Republic of)</x:v>
      </x:c>
      <x:c r="C149" s="2" t="n">
        <x:v>2020</x:v>
      </x:c>
      <x:c r="D149" s="2" t="str">
        <x:v>OBAT_FOOTPRINT</x:v>
      </x:c>
      <x:c r="E149" s="2" t="str">
        <x:v>horizontal surface / footprint</x:v>
      </x:c>
      <x:c r="F149" s="2" t="str">
        <x:v>m2</x:v>
      </x:c>
      <x:c r="G149" s="17" t="n">
        <x:v>463540849.51</x:v>
      </x:c>
      <x:c r="H149" s="17" t="n">
        <x:v>148585575.72</x:v>
      </x:c>
      <x:c r="I149" s="17" t="n">
        <x:f>IF(AND(L149,ISNUMBER(G149),ISNUMBER(H149)),G149-H149,"n.a.")</x:f>
        <x:v>314955273.78999996</x:v>
      </x:c>
      <x:c r="J149" s="15" t="n">
        <x:f>IF(AND(L149,ISNUMBER(G149),ISNUMBER(H149),H149&gt;0),(G149-H149)/H149,"n.a.")</x:f>
        <x:v>2.1196894265397135</x:v>
      </x:c>
      <x:c r="K149" s="19" t="n">
        <x:f>IF(ISNUMBER(J149),ABS(J149),"n.a.")</x:f>
        <x:v>2.1196894265397135</x:v>
      </x:c>
      <x:c r="L149" s="13" t="b">
        <x:v>1</x:v>
      </x:c>
      <x:c r="M149" s="13" t="b">
        <x:v>1</x:v>
      </x:c>
      <x:c r="N149" s="2" t="str">
        <x:v>qualified_source_frame_numeric_summary</x:v>
      </x:c>
      <x:c r="O149" s="2" t="str">
        <x:v>none</x:v>
      </x:c>
      <x:c r="P149" s="2" t="str">
        <x:v>nominal2020; Overture geometry2024-07-22.0; height support2018</x:v>
      </x:c>
      <x:c r="Q149" s="2" t="str">
        <x:v>Adjusted GADM4.1 boundaries; included Overture coverage unknown; China shortfall flagged; not a contemporaneous2020 census</x:v>
      </x:c>
      <x:c r="R149" s="2" t="str">
        <x:v>https://data.jrc.ec.europa.eu/dataset/f41a22f1-5741-4c41-86eb-6384654f6927</x:v>
      </x:c>
      <x:c r="S149" s="13" t="b">
        <x:v>0</x:v>
      </x:c>
      <x:c r="T149" s="13" t="b">
        <x:v>0</x:v>
      </x:c>
    </x:row>
    <x:row r="150" ht="23" customHeight="1">
      <x:c r="A150" s="2" t="str">
        <x:v>PRT</x:v>
      </x:c>
      <x:c r="B150" s="2" t="str">
        <x:v>Portugal (Portuguese Republic)</x:v>
      </x:c>
      <x:c r="C150" s="2" t="n">
        <x:v>2020</x:v>
      </x:c>
      <x:c r="D150" s="2" t="str">
        <x:v>OBAT_FOOTPRINT</x:v>
      </x:c>
      <x:c r="E150" s="2" t="str">
        <x:v>horizontal surface / footprint</x:v>
      </x:c>
      <x:c r="F150" s="2" t="str">
        <x:v>m2</x:v>
      </x:c>
      <x:c r="G150" s="17" t="n">
        <x:v>1019333626.31</x:v>
      </x:c>
      <x:c r="H150" s="17" t="n">
        <x:v>1057531281.01</x:v>
      </x:c>
      <x:c r="I150" s="17" t="n">
        <x:f>IF(AND(L150,ISNUMBER(G150),ISNUMBER(H150)),G150-H150,"n.a.")</x:f>
        <x:v>-38197654.70000005</x:v>
      </x:c>
      <x:c r="J150" s="15" t="n">
        <x:f>IF(AND(L150,ISNUMBER(G150),ISNUMBER(H150),H150&gt;0),(G150-H150)/H150,"n.a.")</x:f>
        <x:v>-0.036119645239731546</x:v>
      </x:c>
      <x:c r="K150" s="19" t="n">
        <x:f>IF(ISNUMBER(J150),ABS(J150),"n.a.")</x:f>
        <x:v>0.036119645239731546</x:v>
      </x:c>
      <x:c r="L150" s="13" t="b">
        <x:v>1</x:v>
      </x:c>
      <x:c r="M150" s="13" t="b">
        <x:v>1</x:v>
      </x:c>
      <x:c r="N150" s="2" t="str">
        <x:v>qualified_source_frame_numeric_summary</x:v>
      </x:c>
      <x:c r="O150" s="2" t="str">
        <x:v>none</x:v>
      </x:c>
      <x:c r="P150" s="2" t="str">
        <x:v>nominal2020; Overture geometry2024-07-22.0; height support2018</x:v>
      </x:c>
      <x:c r="Q150" s="2" t="str">
        <x:v>Adjusted GADM4.1 boundaries; included Overture coverage unknown; China shortfall flagged; not a contemporaneous2020 census</x:v>
      </x:c>
      <x:c r="R150" s="2" t="str">
        <x:v>https://data.jrc.ec.europa.eu/dataset/f41a22f1-5741-4c41-86eb-6384654f6927</x:v>
      </x:c>
      <x:c r="S150" s="13" t="b">
        <x:v>0</x:v>
      </x:c>
      <x:c r="T150" s="13" t="b">
        <x:v>0</x:v>
      </x:c>
    </x:row>
    <x:row r="151" ht="23" customHeight="1">
      <x:c r="A151" s="2" t="str">
        <x:v>PRY</x:v>
      </x:c>
      <x:c r="B151" s="2" t="str">
        <x:v>Paraguay (Republic of)</x:v>
      </x:c>
      <x:c r="C151" s="2" t="n">
        <x:v>2020</x:v>
      </x:c>
      <x:c r="D151" s="2" t="str">
        <x:v>OBAT_FOOTPRINT</x:v>
      </x:c>
      <x:c r="E151" s="2" t="str">
        <x:v>horizontal surface / footprint</x:v>
      </x:c>
      <x:c r="F151" s="2" t="str">
        <x:v>m2</x:v>
      </x:c>
      <x:c r="G151" s="17" t="n">
        <x:v>336793873.45</x:v>
      </x:c>
      <x:c r="H151" s="17" t="n">
        <x:v>367370999.78</x:v>
      </x:c>
      <x:c r="I151" s="17" t="n">
        <x:f>IF(AND(L151,ISNUMBER(G151),ISNUMBER(H151)),G151-H151,"n.a.")</x:f>
        <x:v>-30577126.329999983</x:v>
      </x:c>
      <x:c r="J151" s="15" t="n">
        <x:f>IF(AND(L151,ISNUMBER(G151),ISNUMBER(H151),H151&gt;0),(G151-H151)/H151,"n.a.")</x:f>
        <x:v>-0.08323228112265554</x:v>
      </x:c>
      <x:c r="K151" s="19" t="n">
        <x:f>IF(ISNUMBER(J151),ABS(J151),"n.a.")</x:f>
        <x:v>0.08323228112265554</x:v>
      </x:c>
      <x:c r="L151" s="13" t="b">
        <x:v>1</x:v>
      </x:c>
      <x:c r="M151" s="13" t="b">
        <x:v>1</x:v>
      </x:c>
      <x:c r="N151" s="2" t="str">
        <x:v>qualified_source_frame_numeric_summary</x:v>
      </x:c>
      <x:c r="O151" s="2" t="str">
        <x:v>none</x:v>
      </x:c>
      <x:c r="P151" s="2" t="str">
        <x:v>nominal2020; Overture geometry2024-07-22.0; height support2018</x:v>
      </x:c>
      <x:c r="Q151" s="2" t="str">
        <x:v>Adjusted GADM4.1 boundaries; included Overture coverage unknown; China shortfall flagged; not a contemporaneous2020 census</x:v>
      </x:c>
      <x:c r="R151" s="2" t="str">
        <x:v>https://data.jrc.ec.europa.eu/dataset/f41a22f1-5741-4c41-86eb-6384654f6927</x:v>
      </x:c>
      <x:c r="S151" s="13" t="b">
        <x:v>0</x:v>
      </x:c>
      <x:c r="T151" s="13" t="b">
        <x:v>0</x:v>
      </x:c>
    </x:row>
    <x:row r="152" ht="23" customHeight="1">
      <x:c r="A152" s="2" t="str">
        <x:v>PSE</x:v>
      </x:c>
      <x:c r="B152" s="2" t="str">
        <x:v>State of Palestine</x:v>
      </x:c>
      <x:c r="C152" s="2" t="n">
        <x:v>2020</x:v>
      </x:c>
      <x:c r="D152" s="2" t="str">
        <x:v>OBAT_FOOTPRINT</x:v>
      </x:c>
      <x:c r="E152" s="2" t="str">
        <x:v>horizontal surface / footprint</x:v>
      </x:c>
      <x:c r="F152" s="2" t="str">
        <x:v>m2</x:v>
      </x:c>
      <x:c r="G152" s="17"/>
      <x:c r="H152" s="17" t="n">
        <x:v>207518037.82</x:v>
      </x:c>
      <x:c r="I152" s="17" t="str">
        <x:f>IF(AND(L152,ISNUMBER(G152),ISNUMBER(H152)),G152-H152,"n.a.")</x:f>
        <x:v>n.a.</x:v>
      </x:c>
      <x:c r="J152" s="15" t="str">
        <x:f>IF(AND(L152,ISNUMBER(G152),ISNUMBER(H152),H152&gt;0),(G152-H152)/H152,"n.a.")</x:f>
        <x:v>n.a.</x:v>
      </x:c>
      <x:c r="K152" s="19" t="str">
        <x:f>IF(ISNUMBER(J152),ABS(J152),"n.a.")</x:f>
        <x:v>n.a.</x:v>
      </x:c>
      <x:c r="L152" s="13" t="b">
        <x:v>0</x:v>
      </x:c>
      <x:c r="M152" s="13" t="b">
        <x:v>0</x:v>
      </x:c>
      <x:c r="N152" s="2" t="str">
        <x:v>qualified_source_frame_numeric_summary</x:v>
      </x:c>
      <x:c r="O152" s="2" t="str">
        <x:v>source row absent</x:v>
      </x:c>
      <x:c r="P152" s="2" t="str">
        <x:v>nominal2020; Overture geometry2024-07-22.0; height support2018</x:v>
      </x:c>
      <x:c r="Q152" s="2" t="str">
        <x:v>Adjusted GADM4.1 boundaries; included Overture coverage unknown; China shortfall flagged; not a contemporaneous2020 census</x:v>
      </x:c>
      <x:c r="R152" s="2" t="str">
        <x:v>https://data.jrc.ec.europa.eu/dataset/f41a22f1-5741-4c41-86eb-6384654f6927</x:v>
      </x:c>
      <x:c r="S152" s="13" t="b">
        <x:v>1</x:v>
      </x:c>
      <x:c r="T152" s="13" t="b">
        <x:v>0</x:v>
      </x:c>
    </x:row>
    <x:row r="153" ht="23" customHeight="1">
      <x:c r="A153" s="2" t="str">
        <x:v>QAT</x:v>
      </x:c>
      <x:c r="B153" s="2" t="str">
        <x:v>Qatar (State of)</x:v>
      </x:c>
      <x:c r="C153" s="2" t="n">
        <x:v>2020</x:v>
      </x:c>
      <x:c r="D153" s="2" t="str">
        <x:v>OBAT_FOOTPRINT</x:v>
      </x:c>
      <x:c r="E153" s="2" t="str">
        <x:v>horizontal surface / footprint</x:v>
      </x:c>
      <x:c r="F153" s="2" t="str">
        <x:v>m2</x:v>
      </x:c>
      <x:c r="G153" s="17" t="n">
        <x:v>123398530.18</x:v>
      </x:c>
      <x:c r="H153" s="17" t="n">
        <x:v>138074731.71</x:v>
      </x:c>
      <x:c r="I153" s="17" t="n">
        <x:f>IF(AND(L153,ISNUMBER(G153),ISNUMBER(H153)),G153-H153,"n.a.")</x:f>
        <x:v>-14676201.530000001</x:v>
      </x:c>
      <x:c r="J153" s="15" t="n">
        <x:f>IF(AND(L153,ISNUMBER(G153),ISNUMBER(H153),H153&gt;0),(G153-H153)/H153,"n.a.")</x:f>
        <x:v>-0.10629172585194371</x:v>
      </x:c>
      <x:c r="K153" s="19" t="n">
        <x:f>IF(ISNUMBER(J153),ABS(J153),"n.a.")</x:f>
        <x:v>0.10629172585194371</x:v>
      </x:c>
      <x:c r="L153" s="13" t="b">
        <x:v>1</x:v>
      </x:c>
      <x:c r="M153" s="13" t="b">
        <x:v>1</x:v>
      </x:c>
      <x:c r="N153" s="2" t="str">
        <x:v>qualified_source_frame_numeric_summary</x:v>
      </x:c>
      <x:c r="O153" s="2" t="str">
        <x:v>none</x:v>
      </x:c>
      <x:c r="P153" s="2" t="str">
        <x:v>nominal2020; Overture geometry2024-07-22.0; height support2018</x:v>
      </x:c>
      <x:c r="Q153" s="2" t="str">
        <x:v>Adjusted GADM4.1 boundaries; included Overture coverage unknown; China shortfall flagged; not a contemporaneous2020 census</x:v>
      </x:c>
      <x:c r="R153" s="2" t="str">
        <x:v>https://data.jrc.ec.europa.eu/dataset/f41a22f1-5741-4c41-86eb-6384654f6927</x:v>
      </x:c>
      <x:c r="S153" s="13" t="b">
        <x:v>0</x:v>
      </x:c>
      <x:c r="T153" s="13" t="b">
        <x:v>0</x:v>
      </x:c>
    </x:row>
    <x:row r="154" ht="23" customHeight="1">
      <x:c r="A154" s="2" t="str">
        <x:v>ROU</x:v>
      </x:c>
      <x:c r="B154" s="2" t="str">
        <x:v>Romania</x:v>
      </x:c>
      <x:c r="C154" s="2" t="n">
        <x:v>2020</x:v>
      </x:c>
      <x:c r="D154" s="2" t="str">
        <x:v>OBAT_FOOTPRINT</x:v>
      </x:c>
      <x:c r="E154" s="2" t="str">
        <x:v>horizontal surface / footprint</x:v>
      </x:c>
      <x:c r="F154" s="2" t="str">
        <x:v>m2</x:v>
      </x:c>
      <x:c r="G154" s="17" t="n">
        <x:v>1451492077.99</x:v>
      </x:c>
      <x:c r="H154" s="17" t="n">
        <x:v>1456793007.07</x:v>
      </x:c>
      <x:c r="I154" s="17" t="n">
        <x:f>IF(AND(L154,ISNUMBER(G154),ISNUMBER(H154)),G154-H154,"n.a.")</x:f>
        <x:v>-5300929.079999924</x:v>
      </x:c>
      <x:c r="J154" s="15" t="n">
        <x:f>IF(AND(L154,ISNUMBER(G154),ISNUMBER(H154),H154&gt;0),(G154-H154)/H154,"n.a.")</x:f>
        <x:v>-0.003638766148844652</x:v>
      </x:c>
      <x:c r="K154" s="19" t="n">
        <x:f>IF(ISNUMBER(J154),ABS(J154),"n.a.")</x:f>
        <x:v>0.003638766148844652</x:v>
      </x:c>
      <x:c r="L154" s="13" t="b">
        <x:v>1</x:v>
      </x:c>
      <x:c r="M154" s="13" t="b">
        <x:v>1</x:v>
      </x:c>
      <x:c r="N154" s="2" t="str">
        <x:v>qualified_source_frame_numeric_summary</x:v>
      </x:c>
      <x:c r="O154" s="2" t="str">
        <x:v>none</x:v>
      </x:c>
      <x:c r="P154" s="2" t="str">
        <x:v>nominal2020; Overture geometry2024-07-22.0; height support2018</x:v>
      </x:c>
      <x:c r="Q154" s="2" t="str">
        <x:v>Adjusted GADM4.1 boundaries; included Overture coverage unknown; China shortfall flagged; not a contemporaneous2020 census</x:v>
      </x:c>
      <x:c r="R154" s="2" t="str">
        <x:v>https://data.jrc.ec.europa.eu/dataset/f41a22f1-5741-4c41-86eb-6384654f6927</x:v>
      </x:c>
      <x:c r="S154" s="13" t="b">
        <x:v>0</x:v>
      </x:c>
      <x:c r="T154" s="13" t="b">
        <x:v>0</x:v>
      </x:c>
    </x:row>
    <x:row r="155" ht="23" customHeight="1">
      <x:c r="A155" s="2" t="str">
        <x:v>RUS</x:v>
      </x:c>
      <x:c r="B155" s="2" t="str">
        <x:v>Russian Federation</x:v>
      </x:c>
      <x:c r="C155" s="2" t="n">
        <x:v>2020</x:v>
      </x:c>
      <x:c r="D155" s="2" t="str">
        <x:v>OBAT_FOOTPRINT</x:v>
      </x:c>
      <x:c r="E155" s="2" t="str">
        <x:v>horizontal surface / footprint</x:v>
      </x:c>
      <x:c r="F155" s="2" t="str">
        <x:v>m2</x:v>
      </x:c>
      <x:c r="G155" s="17" t="n">
        <x:v>7742883032.41</x:v>
      </x:c>
      <x:c r="H155" s="17" t="n">
        <x:v>8437665564.09001</x:v>
      </x:c>
      <x:c r="I155" s="17" t="n">
        <x:f>IF(AND(L155,ISNUMBER(G155),ISNUMBER(H155)),G155-H155,"n.a.")</x:f>
        <x:v>-694782531.6800098</x:v>
      </x:c>
      <x:c r="J155" s="15" t="n">
        <x:f>IF(AND(L155,ISNUMBER(G155),ISNUMBER(H155),H155&gt;0),(G155-H155)/H155,"n.a.")</x:f>
        <x:v>-0.08234298057947988</x:v>
      </x:c>
      <x:c r="K155" s="19" t="n">
        <x:f>IF(ISNUMBER(J155),ABS(J155),"n.a.")</x:f>
        <x:v>0.08234298057947988</x:v>
      </x:c>
      <x:c r="L155" s="13" t="b">
        <x:v>1</x:v>
      </x:c>
      <x:c r="M155" s="13" t="b">
        <x:v>1</x:v>
      </x:c>
      <x:c r="N155" s="2" t="str">
        <x:v>qualified_source_frame_numeric_summary</x:v>
      </x:c>
      <x:c r="O155" s="2" t="str">
        <x:v>none</x:v>
      </x:c>
      <x:c r="P155" s="2" t="str">
        <x:v>nominal2020; Overture geometry2024-07-22.0; height support2018</x:v>
      </x:c>
      <x:c r="Q155" s="2" t="str">
        <x:v>Adjusted GADM4.1 boundaries; included Overture coverage unknown; China shortfall flagged; not a contemporaneous2020 census</x:v>
      </x:c>
      <x:c r="R155" s="2" t="str">
        <x:v>https://data.jrc.ec.europa.eu/dataset/f41a22f1-5741-4c41-86eb-6384654f6927</x:v>
      </x:c>
      <x:c r="S155" s="13" t="b">
        <x:v>0</x:v>
      </x:c>
      <x:c r="T155" s="13" t="b">
        <x:v>0</x:v>
      </x:c>
    </x:row>
    <x:row r="156" ht="23" customHeight="1">
      <x:c r="A156" s="2" t="str">
        <x:v>RWA</x:v>
      </x:c>
      <x:c r="B156" s="2" t="str">
        <x:v>Rwanda (Republic of)</x:v>
      </x:c>
      <x:c r="C156" s="2" t="n">
        <x:v>2020</x:v>
      </x:c>
      <x:c r="D156" s="2" t="str">
        <x:v>OBAT_FOOTPRINT</x:v>
      </x:c>
      <x:c r="E156" s="2" t="str">
        <x:v>horizontal surface / footprint</x:v>
      </x:c>
      <x:c r="F156" s="2" t="str">
        <x:v>m2</x:v>
      </x:c>
      <x:c r="G156" s="17" t="n">
        <x:v>244877324.63</x:v>
      </x:c>
      <x:c r="H156" s="17" t="n">
        <x:v>317131671.15</x:v>
      </x:c>
      <x:c r="I156" s="17" t="n">
        <x:f>IF(AND(L156,ISNUMBER(G156),ISNUMBER(H156)),G156-H156,"n.a.")</x:f>
        <x:v>-72254346.51999998</x:v>
      </x:c>
      <x:c r="J156" s="15" t="n">
        <x:f>IF(AND(L156,ISNUMBER(G156),ISNUMBER(H156),H156&gt;0),(G156-H156)/H156,"n.a.")</x:f>
        <x:v>-0.22783705663325068</x:v>
      </x:c>
      <x:c r="K156" s="19" t="n">
        <x:f>IF(ISNUMBER(J156),ABS(J156),"n.a.")</x:f>
        <x:v>0.22783705663325068</x:v>
      </x:c>
      <x:c r="L156" s="13" t="b">
        <x:v>1</x:v>
      </x:c>
      <x:c r="M156" s="13" t="b">
        <x:v>1</x:v>
      </x:c>
      <x:c r="N156" s="2" t="str">
        <x:v>qualified_source_frame_numeric_summary</x:v>
      </x:c>
      <x:c r="O156" s="2" t="str">
        <x:v>none</x:v>
      </x:c>
      <x:c r="P156" s="2" t="str">
        <x:v>nominal2020; Overture geometry2024-07-22.0; height support2018</x:v>
      </x:c>
      <x:c r="Q156" s="2" t="str">
        <x:v>Adjusted GADM4.1 boundaries; included Overture coverage unknown; China shortfall flagged; not a contemporaneous2020 census</x:v>
      </x:c>
      <x:c r="R156" s="2" t="str">
        <x:v>https://data.jrc.ec.europa.eu/dataset/f41a22f1-5741-4c41-86eb-6384654f6927</x:v>
      </x:c>
      <x:c r="S156" s="13" t="b">
        <x:v>0</x:v>
      </x:c>
      <x:c r="T156" s="13" t="b">
        <x:v>0</x:v>
      </x:c>
    </x:row>
    <x:row r="157" ht="23" customHeight="1">
      <x:c r="A157" s="2" t="str">
        <x:v>SAU</x:v>
      </x:c>
      <x:c r="B157" s="2" t="str">
        <x:v>Saudi Arabia (Kingdom of)</x:v>
      </x:c>
      <x:c r="C157" s="2" t="n">
        <x:v>2020</x:v>
      </x:c>
      <x:c r="D157" s="2" t="str">
        <x:v>OBAT_FOOTPRINT</x:v>
      </x:c>
      <x:c r="E157" s="2" t="str">
        <x:v>horizontal surface / footprint</x:v>
      </x:c>
      <x:c r="F157" s="2" t="str">
        <x:v>m2</x:v>
      </x:c>
      <x:c r="G157" s="17" t="n">
        <x:v>1860856502.16</x:v>
      </x:c>
      <x:c r="H157" s="17" t="n">
        <x:v>1818101152.39</x:v>
      </x:c>
      <x:c r="I157" s="17" t="n">
        <x:f>IF(AND(L157,ISNUMBER(G157),ISNUMBER(H157)),G157-H157,"n.a.")</x:f>
        <x:v>42755349.76999998</x:v>
      </x:c>
      <x:c r="J157" s="15" t="n">
        <x:f>IF(AND(L157,ISNUMBER(G157),ISNUMBER(H157),H157&gt;0),(G157-H157)/H157,"n.a.")</x:f>
        <x:v>0.023516485710267317</x:v>
      </x:c>
      <x:c r="K157" s="19" t="n">
        <x:f>IF(ISNUMBER(J157),ABS(J157),"n.a.")</x:f>
        <x:v>0.023516485710267317</x:v>
      </x:c>
      <x:c r="L157" s="13" t="b">
        <x:v>1</x:v>
      </x:c>
      <x:c r="M157" s="13" t="b">
        <x:v>1</x:v>
      </x:c>
      <x:c r="N157" s="2" t="str">
        <x:v>qualified_source_frame_numeric_summary</x:v>
      </x:c>
      <x:c r="O157" s="2" t="str">
        <x:v>none</x:v>
      </x:c>
      <x:c r="P157" s="2" t="str">
        <x:v>nominal2020; Overture geometry2024-07-22.0; height support2018</x:v>
      </x:c>
      <x:c r="Q157" s="2" t="str">
        <x:v>Adjusted GADM4.1 boundaries; included Overture coverage unknown; China shortfall flagged; not a contemporaneous2020 census</x:v>
      </x:c>
      <x:c r="R157" s="2" t="str">
        <x:v>https://data.jrc.ec.europa.eu/dataset/f41a22f1-5741-4c41-86eb-6384654f6927</x:v>
      </x:c>
      <x:c r="S157" s="13" t="b">
        <x:v>0</x:v>
      </x:c>
      <x:c r="T157" s="13" t="b">
        <x:v>0</x:v>
      </x:c>
    </x:row>
    <x:row r="158" ht="23" customHeight="1">
      <x:c r="A158" s="2" t="str">
        <x:v>SDN</x:v>
      </x:c>
      <x:c r="B158" s="2" t="str">
        <x:v>Sudan (Republic of the)</x:v>
      </x:c>
      <x:c r="C158" s="2" t="n">
        <x:v>2020</x:v>
      </x:c>
      <x:c r="D158" s="2" t="str">
        <x:v>OBAT_FOOTPRINT</x:v>
      </x:c>
      <x:c r="E158" s="2" t="str">
        <x:v>horizontal surface / footprint</x:v>
      </x:c>
      <x:c r="F158" s="2" t="str">
        <x:v>m2</x:v>
      </x:c>
      <x:c r="G158" s="17" t="n">
        <x:v>751311239.6</x:v>
      </x:c>
      <x:c r="H158" s="17" t="n">
        <x:v>819775308.3000001</x:v>
      </x:c>
      <x:c r="I158" s="17" t="n">
        <x:f>IF(AND(L158,ISNUMBER(G158),ISNUMBER(H158)),G158-H158,"n.a.")</x:f>
        <x:v>-68464068.70000005</x:v>
      </x:c>
      <x:c r="J158" s="15" t="n">
        <x:f>IF(AND(L158,ISNUMBER(G158),ISNUMBER(H158),H158&gt;0),(G158-H158)/H158,"n.a.")</x:f>
        <x:v>-0.08351565118736821</x:v>
      </x:c>
      <x:c r="K158" s="19" t="n">
        <x:f>IF(ISNUMBER(J158),ABS(J158),"n.a.")</x:f>
        <x:v>0.08351565118736821</x:v>
      </x:c>
      <x:c r="L158" s="13" t="b">
        <x:v>1</x:v>
      </x:c>
      <x:c r="M158" s="13" t="b">
        <x:v>1</x:v>
      </x:c>
      <x:c r="N158" s="2" t="str">
        <x:v>qualified_source_frame_numeric_summary</x:v>
      </x:c>
      <x:c r="O158" s="2" t="str">
        <x:v>none</x:v>
      </x:c>
      <x:c r="P158" s="2" t="str">
        <x:v>nominal2020; Overture geometry2024-07-22.0; height support2018</x:v>
      </x:c>
      <x:c r="Q158" s="2" t="str">
        <x:v>Adjusted GADM4.1 boundaries; included Overture coverage unknown; China shortfall flagged; not a contemporaneous2020 census</x:v>
      </x:c>
      <x:c r="R158" s="2" t="str">
        <x:v>https://data.jrc.ec.europa.eu/dataset/f41a22f1-5741-4c41-86eb-6384654f6927</x:v>
      </x:c>
      <x:c r="S158" s="13" t="b">
        <x:v>0</x:v>
      </x:c>
      <x:c r="T158" s="13" t="b">
        <x:v>0</x:v>
      </x:c>
    </x:row>
    <x:row r="159" ht="23" customHeight="1">
      <x:c r="A159" s="2" t="str">
        <x:v>SEN</x:v>
      </x:c>
      <x:c r="B159" s="2" t="str">
        <x:v>Senegal (Republic of)</x:v>
      </x:c>
      <x:c r="C159" s="2" t="n">
        <x:v>2020</x:v>
      </x:c>
      <x:c r="D159" s="2" t="str">
        <x:v>OBAT_FOOTPRINT</x:v>
      </x:c>
      <x:c r="E159" s="2" t="str">
        <x:v>horizontal surface / footprint</x:v>
      </x:c>
      <x:c r="F159" s="2" t="str">
        <x:v>m2</x:v>
      </x:c>
      <x:c r="G159" s="17" t="n">
        <x:v>305052833.69</x:v>
      </x:c>
      <x:c r="H159" s="17" t="n">
        <x:v>350994647.36</x:v>
      </x:c>
      <x:c r="I159" s="17" t="n">
        <x:f>IF(AND(L159,ISNUMBER(G159),ISNUMBER(H159)),G159-H159,"n.a.")</x:f>
        <x:v>-45941813.67000002</x:v>
      </x:c>
      <x:c r="J159" s="15" t="n">
        <x:f>IF(AND(L159,ISNUMBER(G159),ISNUMBER(H159),H159&gt;0),(G159-H159)/H159,"n.a.")</x:f>
        <x:v>-0.1308903540710679</x:v>
      </x:c>
      <x:c r="K159" s="19" t="n">
        <x:f>IF(ISNUMBER(J159),ABS(J159),"n.a.")</x:f>
        <x:v>0.1308903540710679</x:v>
      </x:c>
      <x:c r="L159" s="13" t="b">
        <x:v>1</x:v>
      </x:c>
      <x:c r="M159" s="13" t="b">
        <x:v>1</x:v>
      </x:c>
      <x:c r="N159" s="2" t="str">
        <x:v>qualified_source_frame_numeric_summary</x:v>
      </x:c>
      <x:c r="O159" s="2" t="str">
        <x:v>none</x:v>
      </x:c>
      <x:c r="P159" s="2" t="str">
        <x:v>nominal2020; Overture geometry2024-07-22.0; height support2018</x:v>
      </x:c>
      <x:c r="Q159" s="2" t="str">
        <x:v>Adjusted GADM4.1 boundaries; included Overture coverage unknown; China shortfall flagged; not a contemporaneous2020 census</x:v>
      </x:c>
      <x:c r="R159" s="2" t="str">
        <x:v>https://data.jrc.ec.europa.eu/dataset/f41a22f1-5741-4c41-86eb-6384654f6927</x:v>
      </x:c>
      <x:c r="S159" s="13" t="b">
        <x:v>0</x:v>
      </x:c>
      <x:c r="T159" s="13" t="b">
        <x:v>0</x:v>
      </x:c>
    </x:row>
    <x:row r="160" ht="23" customHeight="1">
      <x:c r="A160" s="2" t="str">
        <x:v>SGP</x:v>
      </x:c>
      <x:c r="B160" s="2" t="str">
        <x:v>Singapore (Republic of)</x:v>
      </x:c>
      <x:c r="C160" s="2" t="n">
        <x:v>2020</x:v>
      </x:c>
      <x:c r="D160" s="2" t="str">
        <x:v>OBAT_FOOTPRINT</x:v>
      </x:c>
      <x:c r="E160" s="2" t="str">
        <x:v>horizontal surface / footprint</x:v>
      </x:c>
      <x:c r="F160" s="2" t="str">
        <x:v>m2</x:v>
      </x:c>
      <x:c r="G160" s="17" t="n">
        <x:v>85878181.9</x:v>
      </x:c>
      <x:c r="H160" s="17" t="n">
        <x:v>110177113.91999999</x:v>
      </x:c>
      <x:c r="I160" s="17" t="n">
        <x:f>IF(AND(L160,ISNUMBER(G160),ISNUMBER(H160)),G160-H160,"n.a.")</x:f>
        <x:v>-24298932.01999998</x:v>
      </x:c>
      <x:c r="J160" s="15" t="n">
        <x:f>IF(AND(L160,ISNUMBER(G160),ISNUMBER(H160),H160&gt;0),(G160-H160)/H160,"n.a.")</x:f>
        <x:v>-0.22054427780385977</x:v>
      </x:c>
      <x:c r="K160" s="19" t="n">
        <x:f>IF(ISNUMBER(J160),ABS(J160),"n.a.")</x:f>
        <x:v>0.22054427780385977</x:v>
      </x:c>
      <x:c r="L160" s="13" t="b">
        <x:v>1</x:v>
      </x:c>
      <x:c r="M160" s="13" t="b">
        <x:v>1</x:v>
      </x:c>
      <x:c r="N160" s="2" t="str">
        <x:v>qualified_source_frame_numeric_summary</x:v>
      </x:c>
      <x:c r="O160" s="2" t="str">
        <x:v>none</x:v>
      </x:c>
      <x:c r="P160" s="2" t="str">
        <x:v>nominal2020; Overture geometry2024-07-22.0; height support2018</x:v>
      </x:c>
      <x:c r="Q160" s="2" t="str">
        <x:v>Adjusted GADM4.1 boundaries; included Overture coverage unknown; China shortfall flagged; not a contemporaneous2020 census</x:v>
      </x:c>
      <x:c r="R160" s="2" t="str">
        <x:v>https://data.jrc.ec.europa.eu/dataset/f41a22f1-5741-4c41-86eb-6384654f6927</x:v>
      </x:c>
      <x:c r="S160" s="13" t="b">
        <x:v>0</x:v>
      </x:c>
      <x:c r="T160" s="13" t="b">
        <x:v>0</x:v>
      </x:c>
    </x:row>
    <x:row r="161" ht="23" customHeight="1">
      <x:c r="A161" s="2" t="str">
        <x:v>SLB</x:v>
      </x:c>
      <x:c r="B161" s="2" t="str">
        <x:v>Solomon Islands</x:v>
      </x:c>
      <x:c r="C161" s="2" t="n">
        <x:v>2020</x:v>
      </x:c>
      <x:c r="D161" s="2" t="str">
        <x:v>OBAT_FOOTPRINT</x:v>
      </x:c>
      <x:c r="E161" s="2" t="str">
        <x:v>horizontal surface / footprint</x:v>
      </x:c>
      <x:c r="F161" s="2" t="str">
        <x:v>m2</x:v>
      </x:c>
      <x:c r="G161" s="17" t="n">
        <x:v>14438629.19</x:v>
      </x:c>
      <x:c r="H161" s="17" t="n">
        <x:v>7219741.05000002</x:v>
      </x:c>
      <x:c r="I161" s="17" t="n">
        <x:f>IF(AND(L161,ISNUMBER(G161),ISNUMBER(H161)),G161-H161,"n.a.")</x:f>
        <x:v>7218888.139999979</x:v>
      </x:c>
      <x:c r="J161" s="15" t="n">
        <x:f>IF(AND(L161,ISNUMBER(G161),ISNUMBER(H161),H161&gt;0),(G161-H161)/H161,"n.a.")</x:f>
        <x:v>0.999881864184029</x:v>
      </x:c>
      <x:c r="K161" s="19" t="n">
        <x:f>IF(ISNUMBER(J161),ABS(J161),"n.a.")</x:f>
        <x:v>0.999881864184029</x:v>
      </x:c>
      <x:c r="L161" s="13" t="b">
        <x:v>1</x:v>
      </x:c>
      <x:c r="M161" s="13" t="b">
        <x:v>1</x:v>
      </x:c>
      <x:c r="N161" s="2" t="str">
        <x:v>qualified_source_frame_numeric_summary</x:v>
      </x:c>
      <x:c r="O161" s="2" t="str">
        <x:v>none</x:v>
      </x:c>
      <x:c r="P161" s="2" t="str">
        <x:v>nominal2020; Overture geometry2024-07-22.0; height support2018</x:v>
      </x:c>
      <x:c r="Q161" s="2" t="str">
        <x:v>Adjusted GADM4.1 boundaries; included Overture coverage unknown; China shortfall flagged; not a contemporaneous2020 census</x:v>
      </x:c>
      <x:c r="R161" s="2" t="str">
        <x:v>https://data.jrc.ec.europa.eu/dataset/f41a22f1-5741-4c41-86eb-6384654f6927</x:v>
      </x:c>
      <x:c r="S161" s="13" t="b">
        <x:v>0</x:v>
      </x:c>
      <x:c r="T161" s="13" t="b">
        <x:v>0</x:v>
      </x:c>
    </x:row>
    <x:row r="162" ht="23" customHeight="1">
      <x:c r="A162" s="2" t="str">
        <x:v>SLE</x:v>
      </x:c>
      <x:c r="B162" s="2" t="str">
        <x:v>Sierra Leone (Republic of)</x:v>
      </x:c>
      <x:c r="C162" s="2" t="n">
        <x:v>2020</x:v>
      </x:c>
      <x:c r="D162" s="2" t="str">
        <x:v>OBAT_FOOTPRINT</x:v>
      </x:c>
      <x:c r="E162" s="2" t="str">
        <x:v>horizontal surface / footprint</x:v>
      </x:c>
      <x:c r="F162" s="2" t="str">
        <x:v>m2</x:v>
      </x:c>
      <x:c r="G162" s="17" t="n">
        <x:v>115259924.95</x:v>
      </x:c>
      <x:c r="H162" s="17" t="n">
        <x:v>128927133.2</x:v>
      </x:c>
      <x:c r="I162" s="17" t="n">
        <x:f>IF(AND(L162,ISNUMBER(G162),ISNUMBER(H162)),G162-H162,"n.a.")</x:f>
        <x:v>-13667208.25</x:v>
      </x:c>
      <x:c r="J162" s="15" t="n">
        <x:f>IF(AND(L162,ISNUMBER(G162),ISNUMBER(H162),H162&gt;0),(G162-H162)/H162,"n.a.")</x:f>
        <x:v>-0.10600722990403078</x:v>
      </x:c>
      <x:c r="K162" s="19" t="n">
        <x:f>IF(ISNUMBER(J162),ABS(J162),"n.a.")</x:f>
        <x:v>0.10600722990403078</x:v>
      </x:c>
      <x:c r="L162" s="13" t="b">
        <x:v>1</x:v>
      </x:c>
      <x:c r="M162" s="13" t="b">
        <x:v>1</x:v>
      </x:c>
      <x:c r="N162" s="2" t="str">
        <x:v>qualified_source_frame_numeric_summary</x:v>
      </x:c>
      <x:c r="O162" s="2" t="str">
        <x:v>none</x:v>
      </x:c>
      <x:c r="P162" s="2" t="str">
        <x:v>nominal2020; Overture geometry2024-07-22.0; height support2018</x:v>
      </x:c>
      <x:c r="Q162" s="2" t="str">
        <x:v>Adjusted GADM4.1 boundaries; included Overture coverage unknown; China shortfall flagged; not a contemporaneous2020 census</x:v>
      </x:c>
      <x:c r="R162" s="2" t="str">
        <x:v>https://data.jrc.ec.europa.eu/dataset/f41a22f1-5741-4c41-86eb-6384654f6927</x:v>
      </x:c>
      <x:c r="S162" s="13" t="b">
        <x:v>0</x:v>
      </x:c>
      <x:c r="T162" s="13" t="b">
        <x:v>0</x:v>
      </x:c>
    </x:row>
    <x:row r="163" ht="23" customHeight="1">
      <x:c r="A163" s="2" t="str">
        <x:v>SLV</x:v>
      </x:c>
      <x:c r="B163" s="2" t="str">
        <x:v>El Salvador (Republic of)</x:v>
      </x:c>
      <x:c r="C163" s="2" t="n">
        <x:v>2020</x:v>
      </x:c>
      <x:c r="D163" s="2" t="str">
        <x:v>OBAT_FOOTPRINT</x:v>
      </x:c>
      <x:c r="E163" s="2" t="str">
        <x:v>horizontal surface / footprint</x:v>
      </x:c>
      <x:c r="F163" s="2" t="str">
        <x:v>m2</x:v>
      </x:c>
      <x:c r="G163" s="17" t="n">
        <x:v>245414047.01</x:v>
      </x:c>
      <x:c r="H163" s="17" t="n">
        <x:v>264306520.76</x:v>
      </x:c>
      <x:c r="I163" s="17" t="n">
        <x:f>IF(AND(L163,ISNUMBER(G163),ISNUMBER(H163)),G163-H163,"n.a.")</x:f>
        <x:v>-18892473.75</x:v>
      </x:c>
      <x:c r="J163" s="15" t="n">
        <x:f>IF(AND(L163,ISNUMBER(G163),ISNUMBER(H163),H163&gt;0),(G163-H163)/H163,"n.a.")</x:f>
        <x:v>-0.0714794084371269</x:v>
      </x:c>
      <x:c r="K163" s="19" t="n">
        <x:f>IF(ISNUMBER(J163),ABS(J163),"n.a.")</x:f>
        <x:v>0.0714794084371269</x:v>
      </x:c>
      <x:c r="L163" s="13" t="b">
        <x:v>1</x:v>
      </x:c>
      <x:c r="M163" s="13" t="b">
        <x:v>1</x:v>
      </x:c>
      <x:c r="N163" s="2" t="str">
        <x:v>qualified_source_frame_numeric_summary</x:v>
      </x:c>
      <x:c r="O163" s="2" t="str">
        <x:v>none</x:v>
      </x:c>
      <x:c r="P163" s="2" t="str">
        <x:v>nominal2020; Overture geometry2024-07-22.0; height support2018</x:v>
      </x:c>
      <x:c r="Q163" s="2" t="str">
        <x:v>Adjusted GADM4.1 boundaries; included Overture coverage unknown; China shortfall flagged; not a contemporaneous2020 census</x:v>
      </x:c>
      <x:c r="R163" s="2" t="str">
        <x:v>https://data.jrc.ec.europa.eu/dataset/f41a22f1-5741-4c41-86eb-6384654f6927</x:v>
      </x:c>
      <x:c r="S163" s="13" t="b">
        <x:v>0</x:v>
      </x:c>
      <x:c r="T163" s="13" t="b">
        <x:v>0</x:v>
      </x:c>
    </x:row>
    <x:row r="164" ht="23" customHeight="1">
      <x:c r="A164" s="2" t="str">
        <x:v>SMR</x:v>
      </x:c>
      <x:c r="B164" s="2" t="str">
        <x:v>San Marino (Republic of)</x:v>
      </x:c>
      <x:c r="C164" s="2" t="n">
        <x:v>2020</x:v>
      </x:c>
      <x:c r="D164" s="2" t="str">
        <x:v>OBAT_FOOTPRINT</x:v>
      </x:c>
      <x:c r="E164" s="2" t="str">
        <x:v>horizontal surface / footprint</x:v>
      </x:c>
      <x:c r="F164" s="2" t="str">
        <x:v>m2</x:v>
      </x:c>
      <x:c r="G164" s="17" t="n">
        <x:v>2695532.72</x:v>
      </x:c>
      <x:c r="H164" s="17" t="n">
        <x:v>2648523.9000000004</x:v>
      </x:c>
      <x:c r="I164" s="17" t="n">
        <x:f>IF(AND(L164,ISNUMBER(G164),ISNUMBER(H164)),G164-H164,"n.a.")</x:f>
        <x:v>47008.81999999983</x:v>
      </x:c>
      <x:c r="J164" s="15" t="n">
        <x:f>IF(AND(L164,ISNUMBER(G164),ISNUMBER(H164),H164&gt;0),(G164-H164)/H164,"n.a.")</x:f>
        <x:v>0.017749063921983044</x:v>
      </x:c>
      <x:c r="K164" s="19" t="n">
        <x:f>IF(ISNUMBER(J164),ABS(J164),"n.a.")</x:f>
        <x:v>0.017749063921983044</x:v>
      </x:c>
      <x:c r="L164" s="13" t="b">
        <x:v>1</x:v>
      </x:c>
      <x:c r="M164" s="13" t="b">
        <x:v>1</x:v>
      </x:c>
      <x:c r="N164" s="2" t="str">
        <x:v>qualified_source_frame_numeric_summary</x:v>
      </x:c>
      <x:c r="O164" s="2" t="str">
        <x:v>none</x:v>
      </x:c>
      <x:c r="P164" s="2" t="str">
        <x:v>nominal2020; Overture geometry2024-07-22.0; height support2018</x:v>
      </x:c>
      <x:c r="Q164" s="2" t="str">
        <x:v>Adjusted GADM4.1 boundaries; included Overture coverage unknown; China shortfall flagged; not a contemporaneous2020 census</x:v>
      </x:c>
      <x:c r="R164" s="2" t="str">
        <x:v>https://data.jrc.ec.europa.eu/dataset/f41a22f1-5741-4c41-86eb-6384654f6927</x:v>
      </x:c>
      <x:c r="S164" s="13" t="b">
        <x:v>0</x:v>
      </x:c>
      <x:c r="T164" s="13" t="b">
        <x:v>0</x:v>
      </x:c>
    </x:row>
    <x:row r="165" ht="23" customHeight="1">
      <x:c r="A165" s="2" t="str">
        <x:v>SOM</x:v>
      </x:c>
      <x:c r="B165" s="2" t="str">
        <x:v>Somalia (Federal Republic of)</x:v>
      </x:c>
      <x:c r="C165" s="2" t="n">
        <x:v>2020</x:v>
      </x:c>
      <x:c r="D165" s="2" t="str">
        <x:v>OBAT_FOOTPRINT</x:v>
      </x:c>
      <x:c r="E165" s="2" t="str">
        <x:v>horizontal surface / footprint</x:v>
      </x:c>
      <x:c r="F165" s="2" t="str">
        <x:v>m2</x:v>
      </x:c>
      <x:c r="G165" s="17" t="n">
        <x:v>134848326.33</x:v>
      </x:c>
      <x:c r="H165" s="17" t="n">
        <x:v>149450157.17000002</x:v>
      </x:c>
      <x:c r="I165" s="17" t="n">
        <x:f>IF(AND(L165,ISNUMBER(G165),ISNUMBER(H165)),G165-H165,"n.a.")</x:f>
        <x:v>-14601830.840000004</x:v>
      </x:c>
      <x:c r="J165" s="15" t="n">
        <x:f>IF(AND(L165,ISNUMBER(G165),ISNUMBER(H165),H165&gt;0),(G165-H165)/H165,"n.a.")</x:f>
        <x:v>-0.09770368339854187</x:v>
      </x:c>
      <x:c r="K165" s="19" t="n">
        <x:f>IF(ISNUMBER(J165),ABS(J165),"n.a.")</x:f>
        <x:v>0.09770368339854187</x:v>
      </x:c>
      <x:c r="L165" s="13" t="b">
        <x:v>1</x:v>
      </x:c>
      <x:c r="M165" s="13" t="b">
        <x:v>1</x:v>
      </x:c>
      <x:c r="N165" s="2" t="str">
        <x:v>qualified_source_frame_numeric_summary</x:v>
      </x:c>
      <x:c r="O165" s="2" t="str">
        <x:v>none</x:v>
      </x:c>
      <x:c r="P165" s="2" t="str">
        <x:v>nominal2020; Overture geometry2024-07-22.0; height support2018</x:v>
      </x:c>
      <x:c r="Q165" s="2" t="str">
        <x:v>Adjusted GADM4.1 boundaries; included Overture coverage unknown; China shortfall flagged; not a contemporaneous2020 census</x:v>
      </x:c>
      <x:c r="R165" s="2" t="str">
        <x:v>https://data.jrc.ec.europa.eu/dataset/f41a22f1-5741-4c41-86eb-6384654f6927</x:v>
      </x:c>
      <x:c r="S165" s="13" t="b">
        <x:v>0</x:v>
      </x:c>
      <x:c r="T165" s="13" t="b">
        <x:v>0</x:v>
      </x:c>
    </x:row>
    <x:row r="166" ht="23" customHeight="1">
      <x:c r="A166" s="2" t="str">
        <x:v>SRB</x:v>
      </x:c>
      <x:c r="B166" s="2" t="str">
        <x:v>Serbia (Republic of)</x:v>
      </x:c>
      <x:c r="C166" s="2" t="n">
        <x:v>2020</x:v>
      </x:c>
      <x:c r="D166" s="2" t="str">
        <x:v>OBAT_FOOTPRINT</x:v>
      </x:c>
      <x:c r="E166" s="2" t="str">
        <x:v>horizontal surface / footprint</x:v>
      </x:c>
      <x:c r="F166" s="2" t="str">
        <x:v>m2</x:v>
      </x:c>
      <x:c r="G166" s="17" t="n">
        <x:v>584520286.21</x:v>
      </x:c>
      <x:c r="H166" s="17" t="n">
        <x:v>581521029.3</x:v>
      </x:c>
      <x:c r="I166" s="17" t="n">
        <x:f>IF(AND(L166,ISNUMBER(G166),ISNUMBER(H166)),G166-H166,"n.a.")</x:f>
        <x:v>2999256.910000086</x:v>
      </x:c>
      <x:c r="J166" s="15" t="n">
        <x:f>IF(AND(L166,ISNUMBER(G166),ISNUMBER(H166),H166&gt;0),(G166-H166)/H166,"n.a.")</x:f>
        <x:v>0.005157606963260487</x:v>
      </x:c>
      <x:c r="K166" s="19" t="n">
        <x:f>IF(ISNUMBER(J166),ABS(J166),"n.a.")</x:f>
        <x:v>0.005157606963260487</x:v>
      </x:c>
      <x:c r="L166" s="13" t="b">
        <x:v>1</x:v>
      </x:c>
      <x:c r="M166" s="13" t="b">
        <x:v>1</x:v>
      </x:c>
      <x:c r="N166" s="2" t="str">
        <x:v>qualified_source_frame_numeric_summary</x:v>
      </x:c>
      <x:c r="O166" s="2" t="str">
        <x:v>none</x:v>
      </x:c>
      <x:c r="P166" s="2" t="str">
        <x:v>nominal2020; Overture geometry2024-07-22.0; height support2018</x:v>
      </x:c>
      <x:c r="Q166" s="2" t="str">
        <x:v>Adjusted GADM4.1 boundaries; included Overture coverage unknown; China shortfall flagged; not a contemporaneous2020 census</x:v>
      </x:c>
      <x:c r="R166" s="2" t="str">
        <x:v>https://data.jrc.ec.europa.eu/dataset/f41a22f1-5741-4c41-86eb-6384654f6927</x:v>
      </x:c>
      <x:c r="S166" s="13" t="b">
        <x:v>0</x:v>
      </x:c>
      <x:c r="T166" s="13" t="b">
        <x:v>0</x:v>
      </x:c>
    </x:row>
    <x:row r="167" ht="23" customHeight="1">
      <x:c r="A167" s="2" t="str">
        <x:v>SSD</x:v>
      </x:c>
      <x:c r="B167" s="2" t="str">
        <x:v>South Sudan (Republic of)</x:v>
      </x:c>
      <x:c r="C167" s="2" t="n">
        <x:v>2020</x:v>
      </x:c>
      <x:c r="D167" s="2" t="str">
        <x:v>OBAT_FOOTPRINT</x:v>
      </x:c>
      <x:c r="E167" s="2" t="str">
        <x:v>horizontal surface / footprint</x:v>
      </x:c>
      <x:c r="F167" s="2" t="str">
        <x:v>m2</x:v>
      </x:c>
      <x:c r="G167" s="17" t="n">
        <x:v>82483216.59</x:v>
      </x:c>
      <x:c r="H167" s="17" t="n">
        <x:v>106825993.8</x:v>
      </x:c>
      <x:c r="I167" s="17" t="n">
        <x:f>IF(AND(L167,ISNUMBER(G167),ISNUMBER(H167)),G167-H167,"n.a.")</x:f>
        <x:v>-24342777.209999993</x:v>
      </x:c>
      <x:c r="J167" s="15" t="n">
        <x:f>IF(AND(L167,ISNUMBER(G167),ISNUMBER(H167),H167&gt;0),(G167-H167)/H167,"n.a.")</x:f>
        <x:v>-0.2278731640500778</x:v>
      </x:c>
      <x:c r="K167" s="19" t="n">
        <x:f>IF(ISNUMBER(J167),ABS(J167),"n.a.")</x:f>
        <x:v>0.2278731640500778</x:v>
      </x:c>
      <x:c r="L167" s="13" t="b">
        <x:v>1</x:v>
      </x:c>
      <x:c r="M167" s="13" t="b">
        <x:v>1</x:v>
      </x:c>
      <x:c r="N167" s="2" t="str">
        <x:v>qualified_source_frame_numeric_summary</x:v>
      </x:c>
      <x:c r="O167" s="2" t="str">
        <x:v>none</x:v>
      </x:c>
      <x:c r="P167" s="2" t="str">
        <x:v>nominal2020; Overture geometry2024-07-22.0; height support2018</x:v>
      </x:c>
      <x:c r="Q167" s="2" t="str">
        <x:v>Adjusted GADM4.1 boundaries; included Overture coverage unknown; China shortfall flagged; not a contemporaneous2020 census</x:v>
      </x:c>
      <x:c r="R167" s="2" t="str">
        <x:v>https://data.jrc.ec.europa.eu/dataset/f41a22f1-5741-4c41-86eb-6384654f6927</x:v>
      </x:c>
      <x:c r="S167" s="13" t="b">
        <x:v>0</x:v>
      </x:c>
      <x:c r="T167" s="13" t="b">
        <x:v>0</x:v>
      </x:c>
    </x:row>
    <x:row r="168" ht="23" customHeight="1">
      <x:c r="A168" s="2" t="str">
        <x:v>STP</x:v>
      </x:c>
      <x:c r="B168" s="2" t="str">
        <x:v>Sao Tome and Principe (Democratic Republic of)</x:v>
      </x:c>
      <x:c r="C168" s="2" t="n">
        <x:v>2020</x:v>
      </x:c>
      <x:c r="D168" s="2" t="str">
        <x:v>OBAT_FOOTPRINT</x:v>
      </x:c>
      <x:c r="E168" s="2" t="str">
        <x:v>horizontal surface / footprint</x:v>
      </x:c>
      <x:c r="F168" s="2" t="str">
        <x:v>m2</x:v>
      </x:c>
      <x:c r="G168" s="17" t="n">
        <x:v>6153544.55</x:v>
      </x:c>
      <x:c r="H168" s="17" t="n">
        <x:v>6291892.26</x:v>
      </x:c>
      <x:c r="I168" s="17" t="n">
        <x:f>IF(AND(L168,ISNUMBER(G168),ISNUMBER(H168)),G168-H168,"n.a.")</x:f>
        <x:v>-138347.70999999996</x:v>
      </x:c>
      <x:c r="J168" s="15" t="n">
        <x:f>IF(AND(L168,ISNUMBER(G168),ISNUMBER(H168),H168&gt;0),(G168-H168)/H168,"n.a.")</x:f>
        <x:v>-0.02198825159158081</x:v>
      </x:c>
      <x:c r="K168" s="19" t="n">
        <x:f>IF(ISNUMBER(J168),ABS(J168),"n.a.")</x:f>
        <x:v>0.02198825159158081</x:v>
      </x:c>
      <x:c r="L168" s="13" t="b">
        <x:v>1</x:v>
      </x:c>
      <x:c r="M168" s="13" t="b">
        <x:v>1</x:v>
      </x:c>
      <x:c r="N168" s="2" t="str">
        <x:v>qualified_source_frame_numeric_summary</x:v>
      </x:c>
      <x:c r="O168" s="2" t="str">
        <x:v>none</x:v>
      </x:c>
      <x:c r="P168" s="2" t="str">
        <x:v>nominal2020; Overture geometry2024-07-22.0; height support2018</x:v>
      </x:c>
      <x:c r="Q168" s="2" t="str">
        <x:v>Adjusted GADM4.1 boundaries; included Overture coverage unknown; China shortfall flagged; not a contemporaneous2020 census</x:v>
      </x:c>
      <x:c r="R168" s="2" t="str">
        <x:v>https://data.jrc.ec.europa.eu/dataset/f41a22f1-5741-4c41-86eb-6384654f6927</x:v>
      </x:c>
      <x:c r="S168" s="13" t="b">
        <x:v>0</x:v>
      </x:c>
      <x:c r="T168" s="13" t="b">
        <x:v>0</x:v>
      </x:c>
    </x:row>
    <x:row r="169" ht="23" customHeight="1">
      <x:c r="A169" s="2" t="str">
        <x:v>SUR</x:v>
      </x:c>
      <x:c r="B169" s="2" t="str">
        <x:v>Suriname (Republic of)</x:v>
      </x:c>
      <x:c r="C169" s="2" t="n">
        <x:v>2020</x:v>
      </x:c>
      <x:c r="D169" s="2" t="str">
        <x:v>OBAT_FOOTPRINT</x:v>
      </x:c>
      <x:c r="E169" s="2" t="str">
        <x:v>horizontal surface / footprint</x:v>
      </x:c>
      <x:c r="F169" s="2" t="str">
        <x:v>m2</x:v>
      </x:c>
      <x:c r="G169" s="17" t="n">
        <x:v>50598825.22</x:v>
      </x:c>
      <x:c r="H169" s="17" t="n">
        <x:v>55432030.919999994</x:v>
      </x:c>
      <x:c r="I169" s="17" t="n">
        <x:f>IF(AND(L169,ISNUMBER(G169),ISNUMBER(H169)),G169-H169,"n.a.")</x:f>
        <x:v>-4833205.6999999955</x:v>
      </x:c>
      <x:c r="J169" s="15" t="n">
        <x:f>IF(AND(L169,ISNUMBER(G169),ISNUMBER(H169),H169&gt;0),(G169-H169)/H169,"n.a.")</x:f>
        <x:v>-0.08719156812016002</x:v>
      </x:c>
      <x:c r="K169" s="19" t="n">
        <x:f>IF(ISNUMBER(J169),ABS(J169),"n.a.")</x:f>
        <x:v>0.08719156812016002</x:v>
      </x:c>
      <x:c r="L169" s="13" t="b">
        <x:v>1</x:v>
      </x:c>
      <x:c r="M169" s="13" t="b">
        <x:v>1</x:v>
      </x:c>
      <x:c r="N169" s="2" t="str">
        <x:v>qualified_source_frame_numeric_summary</x:v>
      </x:c>
      <x:c r="O169" s="2" t="str">
        <x:v>none</x:v>
      </x:c>
      <x:c r="P169" s="2" t="str">
        <x:v>nominal2020; Overture geometry2024-07-22.0; height support2018</x:v>
      </x:c>
      <x:c r="Q169" s="2" t="str">
        <x:v>Adjusted GADM4.1 boundaries; included Overture coverage unknown; China shortfall flagged; not a contemporaneous2020 census</x:v>
      </x:c>
      <x:c r="R169" s="2" t="str">
        <x:v>https://data.jrc.ec.europa.eu/dataset/f41a22f1-5741-4c41-86eb-6384654f6927</x:v>
      </x:c>
      <x:c r="S169" s="13" t="b">
        <x:v>0</x:v>
      </x:c>
      <x:c r="T169" s="13" t="b">
        <x:v>0</x:v>
      </x:c>
    </x:row>
    <x:row r="170" ht="23" customHeight="1">
      <x:c r="A170" s="2" t="str">
        <x:v>SVK</x:v>
      </x:c>
      <x:c r="B170" s="2" t="str">
        <x:v>Slovakia (Slovak Republic)</x:v>
      </x:c>
      <x:c r="C170" s="2" t="n">
        <x:v>2020</x:v>
      </x:c>
      <x:c r="D170" s="2" t="str">
        <x:v>OBAT_FOOTPRINT</x:v>
      </x:c>
      <x:c r="E170" s="2" t="str">
        <x:v>horizontal surface / footprint</x:v>
      </x:c>
      <x:c r="F170" s="2" t="str">
        <x:v>m2</x:v>
      </x:c>
      <x:c r="G170" s="17" t="n">
        <x:v>387594933.19</x:v>
      </x:c>
      <x:c r="H170" s="17" t="n">
        <x:v>392944623.40999997</x:v>
      </x:c>
      <x:c r="I170" s="17" t="n">
        <x:f>IF(AND(L170,ISNUMBER(G170),ISNUMBER(H170)),G170-H170,"n.a.")</x:f>
        <x:v>-5349690.219999969</x:v>
      </x:c>
      <x:c r="J170" s="15" t="n">
        <x:f>IF(AND(L170,ISNUMBER(G170),ISNUMBER(H170),H170&gt;0),(G170-H170)/H170,"n.a.")</x:f>
        <x:v>-0.013614361671563276</x:v>
      </x:c>
      <x:c r="K170" s="19" t="n">
        <x:f>IF(ISNUMBER(J170),ABS(J170),"n.a.")</x:f>
        <x:v>0.013614361671563276</x:v>
      </x:c>
      <x:c r="L170" s="13" t="b">
        <x:v>1</x:v>
      </x:c>
      <x:c r="M170" s="13" t="b">
        <x:v>1</x:v>
      </x:c>
      <x:c r="N170" s="2" t="str">
        <x:v>qualified_source_frame_numeric_summary</x:v>
      </x:c>
      <x:c r="O170" s="2" t="str">
        <x:v>none</x:v>
      </x:c>
      <x:c r="P170" s="2" t="str">
        <x:v>nominal2020; Overture geometry2024-07-22.0; height support2018</x:v>
      </x:c>
      <x:c r="Q170" s="2" t="str">
        <x:v>Adjusted GADM4.1 boundaries; included Overture coverage unknown; China shortfall flagged; not a contemporaneous2020 census</x:v>
      </x:c>
      <x:c r="R170" s="2" t="str">
        <x:v>https://data.jrc.ec.europa.eu/dataset/f41a22f1-5741-4c41-86eb-6384654f6927</x:v>
      </x:c>
      <x:c r="S170" s="13" t="b">
        <x:v>0</x:v>
      </x:c>
      <x:c r="T170" s="13" t="b">
        <x:v>0</x:v>
      </x:c>
    </x:row>
    <x:row r="171" ht="23" customHeight="1">
      <x:c r="A171" s="2" t="str">
        <x:v>SVN</x:v>
      </x:c>
      <x:c r="B171" s="2" t="str">
        <x:v>Slovenia (Republic of)</x:v>
      </x:c>
      <x:c r="C171" s="2" t="n">
        <x:v>2020</x:v>
      </x:c>
      <x:c r="D171" s="2" t="str">
        <x:v>OBAT_FOOTPRINT</x:v>
      </x:c>
      <x:c r="E171" s="2" t="str">
        <x:v>horizontal surface / footprint</x:v>
      </x:c>
      <x:c r="F171" s="2" t="str">
        <x:v>m2</x:v>
      </x:c>
      <x:c r="G171" s="17" t="n">
        <x:v>188783306.59</x:v>
      </x:c>
      <x:c r="H171" s="17" t="n">
        <x:v>192395664.92999998</x:v>
      </x:c>
      <x:c r="I171" s="17" t="n">
        <x:f>IF(AND(L171,ISNUMBER(G171),ISNUMBER(H171)),G171-H171,"n.a.")</x:f>
        <x:v>-3612358.339999974</x:v>
      </x:c>
      <x:c r="J171" s="15" t="n">
        <x:f>IF(AND(L171,ISNUMBER(G171),ISNUMBER(H171),H171&gt;0),(G171-H171)/H171,"n.a.")</x:f>
        <x:v>-0.018775674292423748</x:v>
      </x:c>
      <x:c r="K171" s="19" t="n">
        <x:f>IF(ISNUMBER(J171),ABS(J171),"n.a.")</x:f>
        <x:v>0.018775674292423748</x:v>
      </x:c>
      <x:c r="L171" s="13" t="b">
        <x:v>1</x:v>
      </x:c>
      <x:c r="M171" s="13" t="b">
        <x:v>1</x:v>
      </x:c>
      <x:c r="N171" s="2" t="str">
        <x:v>qualified_source_frame_numeric_summary</x:v>
      </x:c>
      <x:c r="O171" s="2" t="str">
        <x:v>none</x:v>
      </x:c>
      <x:c r="P171" s="2" t="str">
        <x:v>nominal2020; Overture geometry2024-07-22.0; height support2018</x:v>
      </x:c>
      <x:c r="Q171" s="2" t="str">
        <x:v>Adjusted GADM4.1 boundaries; included Overture coverage unknown; China shortfall flagged; not a contemporaneous2020 census</x:v>
      </x:c>
      <x:c r="R171" s="2" t="str">
        <x:v>https://data.jrc.ec.europa.eu/dataset/f41a22f1-5741-4c41-86eb-6384654f6927</x:v>
      </x:c>
      <x:c r="S171" s="13" t="b">
        <x:v>0</x:v>
      </x:c>
      <x:c r="T171" s="13" t="b">
        <x:v>0</x:v>
      </x:c>
    </x:row>
    <x:row r="172" ht="23" customHeight="1">
      <x:c r="A172" s="2" t="str">
        <x:v>SWE</x:v>
      </x:c>
      <x:c r="B172" s="2" t="str">
        <x:v>Sweden (Kingdom of)</x:v>
      </x:c>
      <x:c r="C172" s="2" t="n">
        <x:v>2020</x:v>
      </x:c>
      <x:c r="D172" s="2" t="str">
        <x:v>OBAT_FOOTPRINT</x:v>
      </x:c>
      <x:c r="E172" s="2" t="str">
        <x:v>horizontal surface / footprint</x:v>
      </x:c>
      <x:c r="F172" s="2" t="str">
        <x:v>m2</x:v>
      </x:c>
      <x:c r="G172" s="17" t="n">
        <x:v>853123931.52</x:v>
      </x:c>
      <x:c r="H172" s="17" t="n">
        <x:v>964174509.5600001</x:v>
      </x:c>
      <x:c r="I172" s="17" t="n">
        <x:f>IF(AND(L172,ISNUMBER(G172),ISNUMBER(H172)),G172-H172,"n.a.")</x:f>
        <x:v>-111050578.04000008</x:v>
      </x:c>
      <x:c r="J172" s="15" t="n">
        <x:f>IF(AND(L172,ISNUMBER(G172),ISNUMBER(H172),H172&gt;0),(G172-H172)/H172,"n.a.")</x:f>
        <x:v>-0.11517684499943676</x:v>
      </x:c>
      <x:c r="K172" s="19" t="n">
        <x:f>IF(ISNUMBER(J172),ABS(J172),"n.a.")</x:f>
        <x:v>0.11517684499943676</x:v>
      </x:c>
      <x:c r="L172" s="13" t="b">
        <x:v>1</x:v>
      </x:c>
      <x:c r="M172" s="13" t="b">
        <x:v>1</x:v>
      </x:c>
      <x:c r="N172" s="2" t="str">
        <x:v>qualified_source_frame_numeric_summary</x:v>
      </x:c>
      <x:c r="O172" s="2" t="str">
        <x:v>none</x:v>
      </x:c>
      <x:c r="P172" s="2" t="str">
        <x:v>nominal2020; Overture geometry2024-07-22.0; height support2018</x:v>
      </x:c>
      <x:c r="Q172" s="2" t="str">
        <x:v>Adjusted GADM4.1 boundaries; included Overture coverage unknown; China shortfall flagged; not a contemporaneous2020 census</x:v>
      </x:c>
      <x:c r="R172" s="2" t="str">
        <x:v>https://data.jrc.ec.europa.eu/dataset/f41a22f1-5741-4c41-86eb-6384654f6927</x:v>
      </x:c>
      <x:c r="S172" s="13" t="b">
        <x:v>0</x:v>
      </x:c>
      <x:c r="T172" s="13" t="b">
        <x:v>0</x:v>
      </x:c>
    </x:row>
    <x:row r="173" ht="23" customHeight="1">
      <x:c r="A173" s="2" t="str">
        <x:v>SWZ</x:v>
      </x:c>
      <x:c r="B173" s="2" t="str">
        <x:v>Eswatini (Kingdom of)</x:v>
      </x:c>
      <x:c r="C173" s="2" t="n">
        <x:v>2020</x:v>
      </x:c>
      <x:c r="D173" s="2" t="str">
        <x:v>OBAT_FOOTPRINT</x:v>
      </x:c>
      <x:c r="E173" s="2" t="str">
        <x:v>horizontal surface / footprint</x:v>
      </x:c>
      <x:c r="F173" s="2" t="str">
        <x:v>m2</x:v>
      </x:c>
      <x:c r="G173" s="17" t="n">
        <x:v>51228621.63</x:v>
      </x:c>
      <x:c r="H173" s="17" t="n">
        <x:v>61445981.1</x:v>
      </x:c>
      <x:c r="I173" s="17" t="n">
        <x:f>IF(AND(L173,ISNUMBER(G173),ISNUMBER(H173)),G173-H173,"n.a.")</x:f>
        <x:v>-10217359.469999999</x:v>
      </x:c>
      <x:c r="J173" s="15" t="n">
        <x:f>IF(AND(L173,ISNUMBER(G173),ISNUMBER(H173),H173&gt;0),(G173-H173)/H173,"n.a.")</x:f>
        <x:v>-0.16628198113350653</x:v>
      </x:c>
      <x:c r="K173" s="19" t="n">
        <x:f>IF(ISNUMBER(J173),ABS(J173),"n.a.")</x:f>
        <x:v>0.16628198113350653</x:v>
      </x:c>
      <x:c r="L173" s="13" t="b">
        <x:v>1</x:v>
      </x:c>
      <x:c r="M173" s="13" t="b">
        <x:v>1</x:v>
      </x:c>
      <x:c r="N173" s="2" t="str">
        <x:v>qualified_source_frame_numeric_summary</x:v>
      </x:c>
      <x:c r="O173" s="2" t="str">
        <x:v>none</x:v>
      </x:c>
      <x:c r="P173" s="2" t="str">
        <x:v>nominal2020; Overture geometry2024-07-22.0; height support2018</x:v>
      </x:c>
      <x:c r="Q173" s="2" t="str">
        <x:v>Adjusted GADM4.1 boundaries; included Overture coverage unknown; China shortfall flagged; not a contemporaneous2020 census</x:v>
      </x:c>
      <x:c r="R173" s="2" t="str">
        <x:v>https://data.jrc.ec.europa.eu/dataset/f41a22f1-5741-4c41-86eb-6384654f6927</x:v>
      </x:c>
      <x:c r="S173" s="13" t="b">
        <x:v>0</x:v>
      </x:c>
      <x:c r="T173" s="13" t="b">
        <x:v>0</x:v>
      </x:c>
    </x:row>
    <x:row r="174" ht="23" customHeight="1">
      <x:c r="A174" s="2" t="str">
        <x:v>SYC</x:v>
      </x:c>
      <x:c r="B174" s="2" t="str">
        <x:v>Seychelles (Republic of)</x:v>
      </x:c>
      <x:c r="C174" s="2" t="n">
        <x:v>2020</x:v>
      </x:c>
      <x:c r="D174" s="2" t="str">
        <x:v>OBAT_FOOTPRINT</x:v>
      </x:c>
      <x:c r="E174" s="2" t="str">
        <x:v>horizontal surface / footprint</x:v>
      </x:c>
      <x:c r="F174" s="2" t="str">
        <x:v>m2</x:v>
      </x:c>
      <x:c r="G174" s="17" t="n">
        <x:v>7317572.88</x:v>
      </x:c>
      <x:c r="H174" s="17" t="n">
        <x:v>7859458.630000019</x:v>
      </x:c>
      <x:c r="I174" s="17" t="n">
        <x:f>IF(AND(L174,ISNUMBER(G174),ISNUMBER(H174)),G174-H174,"n.a.")</x:f>
        <x:v>-541885.7500000196</x:v>
      </x:c>
      <x:c r="J174" s="15" t="n">
        <x:f>IF(AND(L174,ISNUMBER(G174),ISNUMBER(H174),H174&gt;0),(G174-H174)/H174,"n.a.")</x:f>
        <x:v>-0.06894695621039464</x:v>
      </x:c>
      <x:c r="K174" s="19" t="n">
        <x:f>IF(ISNUMBER(J174),ABS(J174),"n.a.")</x:f>
        <x:v>0.06894695621039464</x:v>
      </x:c>
      <x:c r="L174" s="13" t="b">
        <x:v>1</x:v>
      </x:c>
      <x:c r="M174" s="13" t="b">
        <x:v>1</x:v>
      </x:c>
      <x:c r="N174" s="2" t="str">
        <x:v>qualified_source_frame_numeric_summary</x:v>
      </x:c>
      <x:c r="O174" s="2" t="str">
        <x:v>none</x:v>
      </x:c>
      <x:c r="P174" s="2" t="str">
        <x:v>nominal2020; Overture geometry2024-07-22.0; height support2018</x:v>
      </x:c>
      <x:c r="Q174" s="2" t="str">
        <x:v>Adjusted GADM4.1 boundaries; included Overture coverage unknown; China shortfall flagged; not a contemporaneous2020 census</x:v>
      </x:c>
      <x:c r="R174" s="2" t="str">
        <x:v>https://data.jrc.ec.europa.eu/dataset/f41a22f1-5741-4c41-86eb-6384654f6927</x:v>
      </x:c>
      <x:c r="S174" s="13" t="b">
        <x:v>0</x:v>
      </x:c>
      <x:c r="T174" s="13" t="b">
        <x:v>0</x:v>
      </x:c>
    </x:row>
    <x:row r="175" ht="23" customHeight="1">
      <x:c r="A175" s="2" t="str">
        <x:v>SYR</x:v>
      </x:c>
      <x:c r="B175" s="2" t="str">
        <x:v>Syrian Arab Republic</x:v>
      </x:c>
      <x:c r="C175" s="2" t="n">
        <x:v>2020</x:v>
      </x:c>
      <x:c r="D175" s="2" t="str">
        <x:v>OBAT_FOOTPRINT</x:v>
      </x:c>
      <x:c r="E175" s="2" t="str">
        <x:v>horizontal surface / footprint</x:v>
      </x:c>
      <x:c r="F175" s="2" t="str">
        <x:v>m2</x:v>
      </x:c>
      <x:c r="G175" s="17" t="n">
        <x:v>784392266.01</x:v>
      </x:c>
      <x:c r="H175" s="17" t="n">
        <x:v>757309814.18</x:v>
      </x:c>
      <x:c r="I175" s="17" t="n">
        <x:f>IF(AND(L175,ISNUMBER(G175),ISNUMBER(H175)),G175-H175,"n.a.")</x:f>
        <x:v>27082451.830000043</x:v>
      </x:c>
      <x:c r="J175" s="15" t="n">
        <x:f>IF(AND(L175,ISNUMBER(G175),ISNUMBER(H175),H175&gt;0),(G175-H175)/H175,"n.a.")</x:f>
        <x:v>0.03576139028295095</x:v>
      </x:c>
      <x:c r="K175" s="19" t="n">
        <x:f>IF(ISNUMBER(J175),ABS(J175),"n.a.")</x:f>
        <x:v>0.03576139028295095</x:v>
      </x:c>
      <x:c r="L175" s="13" t="b">
        <x:v>1</x:v>
      </x:c>
      <x:c r="M175" s="13" t="b">
        <x:v>1</x:v>
      </x:c>
      <x:c r="N175" s="2" t="str">
        <x:v>qualified_source_frame_numeric_summary</x:v>
      </x:c>
      <x:c r="O175" s="2" t="str">
        <x:v>none</x:v>
      </x:c>
      <x:c r="P175" s="2" t="str">
        <x:v>nominal2020; Overture geometry2024-07-22.0; height support2018</x:v>
      </x:c>
      <x:c r="Q175" s="2" t="str">
        <x:v>Adjusted GADM4.1 boundaries; included Overture coverage unknown; China shortfall flagged; not a contemporaneous2020 census</x:v>
      </x:c>
      <x:c r="R175" s="2" t="str">
        <x:v>https://data.jrc.ec.europa.eu/dataset/f41a22f1-5741-4c41-86eb-6384654f6927</x:v>
      </x:c>
      <x:c r="S175" s="13" t="b">
        <x:v>0</x:v>
      </x:c>
      <x:c r="T175" s="13" t="b">
        <x:v>0</x:v>
      </x:c>
    </x:row>
    <x:row r="176" ht="23" customHeight="1">
      <x:c r="A176" s="2" t="str">
        <x:v>TCD</x:v>
      </x:c>
      <x:c r="B176" s="2" t="str">
        <x:v>Chad (Republic of)</x:v>
      </x:c>
      <x:c r="C176" s="2" t="n">
        <x:v>2020</x:v>
      </x:c>
      <x:c r="D176" s="2" t="str">
        <x:v>OBAT_FOOTPRINT</x:v>
      </x:c>
      <x:c r="E176" s="2" t="str">
        <x:v>horizontal surface / footprint</x:v>
      </x:c>
      <x:c r="F176" s="2" t="str">
        <x:v>m2</x:v>
      </x:c>
      <x:c r="G176" s="17" t="n">
        <x:v>126450494.22</x:v>
      </x:c>
      <x:c r="H176" s="17" t="n">
        <x:v>162945415.32</x:v>
      </x:c>
      <x:c r="I176" s="17" t="n">
        <x:f>IF(AND(L176,ISNUMBER(G176),ISNUMBER(H176)),G176-H176,"n.a.")</x:f>
        <x:v>-36494921.099999994</x:v>
      </x:c>
      <x:c r="J176" s="15" t="n">
        <x:f>IF(AND(L176,ISNUMBER(G176),ISNUMBER(H176),H176&gt;0),(G176-H176)/H176,"n.a.")</x:f>
        <x:v>-0.2239702235765856</x:v>
      </x:c>
      <x:c r="K176" s="19" t="n">
        <x:f>IF(ISNUMBER(J176),ABS(J176),"n.a.")</x:f>
        <x:v>0.2239702235765856</x:v>
      </x:c>
      <x:c r="L176" s="13" t="b">
        <x:v>1</x:v>
      </x:c>
      <x:c r="M176" s="13" t="b">
        <x:v>1</x:v>
      </x:c>
      <x:c r="N176" s="2" t="str">
        <x:v>qualified_source_frame_numeric_summary</x:v>
      </x:c>
      <x:c r="O176" s="2" t="str">
        <x:v>none</x:v>
      </x:c>
      <x:c r="P176" s="2" t="str">
        <x:v>nominal2020; Overture geometry2024-07-22.0; height support2018</x:v>
      </x:c>
      <x:c r="Q176" s="2" t="str">
        <x:v>Adjusted GADM4.1 boundaries; included Overture coverage unknown; China shortfall flagged; not a contemporaneous2020 census</x:v>
      </x:c>
      <x:c r="R176" s="2" t="str">
        <x:v>https://data.jrc.ec.europa.eu/dataset/f41a22f1-5741-4c41-86eb-6384654f6927</x:v>
      </x:c>
      <x:c r="S176" s="13" t="b">
        <x:v>0</x:v>
      </x:c>
      <x:c r="T176" s="13" t="b">
        <x:v>0</x:v>
      </x:c>
    </x:row>
    <x:row r="177" ht="23" customHeight="1">
      <x:c r="A177" s="2" t="str">
        <x:v>TGO</x:v>
      </x:c>
      <x:c r="B177" s="2" t="str">
        <x:v>Togo (Togolese Republic)</x:v>
      </x:c>
      <x:c r="C177" s="2" t="n">
        <x:v>2020</x:v>
      </x:c>
      <x:c r="D177" s="2" t="str">
        <x:v>OBAT_FOOTPRINT</x:v>
      </x:c>
      <x:c r="E177" s="2" t="str">
        <x:v>horizontal surface / footprint</x:v>
      </x:c>
      <x:c r="F177" s="2" t="str">
        <x:v>m2</x:v>
      </x:c>
      <x:c r="G177" s="17" t="n">
        <x:v>185693532.73</x:v>
      </x:c>
      <x:c r="H177" s="17" t="n">
        <x:v>209928198.41</x:v>
      </x:c>
      <x:c r="I177" s="17" t="n">
        <x:f>IF(AND(L177,ISNUMBER(G177),ISNUMBER(H177)),G177-H177,"n.a.")</x:f>
        <x:v>-24234665.680000007</x:v>
      </x:c>
      <x:c r="J177" s="15" t="n">
        <x:f>IF(AND(L177,ISNUMBER(G177),ISNUMBER(H177),H177&gt;0),(G177-H177)/H177,"n.a.")</x:f>
        <x:v>-0.1154426411675697</x:v>
      </x:c>
      <x:c r="K177" s="19" t="n">
        <x:f>IF(ISNUMBER(J177),ABS(J177),"n.a.")</x:f>
        <x:v>0.1154426411675697</x:v>
      </x:c>
      <x:c r="L177" s="13" t="b">
        <x:v>1</x:v>
      </x:c>
      <x:c r="M177" s="13" t="b">
        <x:v>1</x:v>
      </x:c>
      <x:c r="N177" s="2" t="str">
        <x:v>qualified_source_frame_numeric_summary</x:v>
      </x:c>
      <x:c r="O177" s="2" t="str">
        <x:v>none</x:v>
      </x:c>
      <x:c r="P177" s="2" t="str">
        <x:v>nominal2020; Overture geometry2024-07-22.0; height support2018</x:v>
      </x:c>
      <x:c r="Q177" s="2" t="str">
        <x:v>Adjusted GADM4.1 boundaries; included Overture coverage unknown; China shortfall flagged; not a contemporaneous2020 census</x:v>
      </x:c>
      <x:c r="R177" s="2" t="str">
        <x:v>https://data.jrc.ec.europa.eu/dataset/f41a22f1-5741-4c41-86eb-6384654f6927</x:v>
      </x:c>
      <x:c r="S177" s="13" t="b">
        <x:v>0</x:v>
      </x:c>
      <x:c r="T177" s="13" t="b">
        <x:v>0</x:v>
      </x:c>
    </x:row>
    <x:row r="178" ht="23" customHeight="1">
      <x:c r="A178" s="2" t="str">
        <x:v>THA</x:v>
      </x:c>
      <x:c r="B178" s="2" t="str">
        <x:v>Thailand (Kingdom of)</x:v>
      </x:c>
      <x:c r="C178" s="2" t="n">
        <x:v>2020</x:v>
      </x:c>
      <x:c r="D178" s="2" t="str">
        <x:v>OBAT_FOOTPRINT</x:v>
      </x:c>
      <x:c r="E178" s="2" t="str">
        <x:v>horizontal surface / footprint</x:v>
      </x:c>
      <x:c r="F178" s="2" t="str">
        <x:v>m2</x:v>
      </x:c>
      <x:c r="G178" s="17" t="n">
        <x:v>5229846890.15</x:v>
      </x:c>
      <x:c r="H178" s="17" t="n">
        <x:v>5397035325.759999</x:v>
      </x:c>
      <x:c r="I178" s="17" t="n">
        <x:f>IF(AND(L178,ISNUMBER(G178),ISNUMBER(H178)),G178-H178,"n.a.")</x:f>
        <x:v>-167188435.60999966</x:v>
      </x:c>
      <x:c r="J178" s="15" t="n">
        <x:f>IF(AND(L178,ISNUMBER(G178),ISNUMBER(H178),H178&gt;0),(G178-H178)/H178,"n.a.")</x:f>
        <x:v>-0.03097782866308301</x:v>
      </x:c>
      <x:c r="K178" s="19" t="n">
        <x:f>IF(ISNUMBER(J178),ABS(J178),"n.a.")</x:f>
        <x:v>0.03097782866308301</x:v>
      </x:c>
      <x:c r="L178" s="13" t="b">
        <x:v>1</x:v>
      </x:c>
      <x:c r="M178" s="13" t="b">
        <x:v>1</x:v>
      </x:c>
      <x:c r="N178" s="2" t="str">
        <x:v>qualified_source_frame_numeric_summary</x:v>
      </x:c>
      <x:c r="O178" s="2" t="str">
        <x:v>none</x:v>
      </x:c>
      <x:c r="P178" s="2" t="str">
        <x:v>nominal2020; Overture geometry2024-07-22.0; height support2018</x:v>
      </x:c>
      <x:c r="Q178" s="2" t="str">
        <x:v>Adjusted GADM4.1 boundaries; included Overture coverage unknown; China shortfall flagged; not a contemporaneous2020 census</x:v>
      </x:c>
      <x:c r="R178" s="2" t="str">
        <x:v>https://data.jrc.ec.europa.eu/dataset/f41a22f1-5741-4c41-86eb-6384654f6927</x:v>
      </x:c>
      <x:c r="S178" s="13" t="b">
        <x:v>0</x:v>
      </x:c>
      <x:c r="T178" s="13" t="b">
        <x:v>0</x:v>
      </x:c>
    </x:row>
    <x:row r="179" ht="23" customHeight="1">
      <x:c r="A179" s="2" t="str">
        <x:v>TJK</x:v>
      </x:c>
      <x:c r="B179" s="2" t="str">
        <x:v>Tajikistan (Republic of)</x:v>
      </x:c>
      <x:c r="C179" s="2" t="n">
        <x:v>2020</x:v>
      </x:c>
      <x:c r="D179" s="2" t="str">
        <x:v>OBAT_FOOTPRINT</x:v>
      </x:c>
      <x:c r="E179" s="2" t="str">
        <x:v>horizontal surface / footprint</x:v>
      </x:c>
      <x:c r="F179" s="2" t="str">
        <x:v>m2</x:v>
      </x:c>
      <x:c r="G179" s="17" t="n">
        <x:v>392955797.92</x:v>
      </x:c>
      <x:c r="H179" s="17" t="n">
        <x:v>295714374.25</x:v>
      </x:c>
      <x:c r="I179" s="17" t="n">
        <x:f>IF(AND(L179,ISNUMBER(G179),ISNUMBER(H179)),G179-H179,"n.a.")</x:f>
        <x:v>97241423.67000002</x:v>
      </x:c>
      <x:c r="J179" s="15" t="n">
        <x:f>IF(AND(L179,ISNUMBER(G179),ISNUMBER(H179),H179&gt;0),(G179-H179)/H179,"n.a.")</x:f>
        <x:v>0.32883563376527347</x:v>
      </x:c>
      <x:c r="K179" s="19" t="n">
        <x:f>IF(ISNUMBER(J179),ABS(J179),"n.a.")</x:f>
        <x:v>0.32883563376527347</x:v>
      </x:c>
      <x:c r="L179" s="13" t="b">
        <x:v>1</x:v>
      </x:c>
      <x:c r="M179" s="13" t="b">
        <x:v>1</x:v>
      </x:c>
      <x:c r="N179" s="2" t="str">
        <x:v>qualified_source_frame_numeric_summary</x:v>
      </x:c>
      <x:c r="O179" s="2" t="str">
        <x:v>none</x:v>
      </x:c>
      <x:c r="P179" s="2" t="str">
        <x:v>nominal2020; Overture geometry2024-07-22.0; height support2018</x:v>
      </x:c>
      <x:c r="Q179" s="2" t="str">
        <x:v>Adjusted GADM4.1 boundaries; included Overture coverage unknown; China shortfall flagged; not a contemporaneous2020 census</x:v>
      </x:c>
      <x:c r="R179" s="2" t="str">
        <x:v>https://data.jrc.ec.europa.eu/dataset/f41a22f1-5741-4c41-86eb-6384654f6927</x:v>
      </x:c>
      <x:c r="S179" s="13" t="b">
        <x:v>0</x:v>
      </x:c>
      <x:c r="T179" s="13" t="b">
        <x:v>0</x:v>
      </x:c>
    </x:row>
    <x:row r="180" ht="23" customHeight="1">
      <x:c r="A180" s="2" t="str">
        <x:v>TKM</x:v>
      </x:c>
      <x:c r="B180" s="2" t="str">
        <x:v>Turkmenistan</x:v>
      </x:c>
      <x:c r="C180" s="2" t="n">
        <x:v>2020</x:v>
      </x:c>
      <x:c r="D180" s="2" t="str">
        <x:v>OBAT_FOOTPRINT</x:v>
      </x:c>
      <x:c r="E180" s="2" t="str">
        <x:v>horizontal surface / footprint</x:v>
      </x:c>
      <x:c r="F180" s="2" t="str">
        <x:v>m2</x:v>
      </x:c>
      <x:c r="G180" s="17" t="n">
        <x:v>359976676.15</x:v>
      </x:c>
      <x:c r="H180" s="17" t="n">
        <x:v>275416569.38</x:v>
      </x:c>
      <x:c r="I180" s="17" t="n">
        <x:f>IF(AND(L180,ISNUMBER(G180),ISNUMBER(H180)),G180-H180,"n.a.")</x:f>
        <x:v>84560106.76999998</x:v>
      </x:c>
      <x:c r="J180" s="15" t="n">
        <x:f>IF(AND(L180,ISNUMBER(G180),ISNUMBER(H180),H180&gt;0),(G180-H180)/H180,"n.a.")</x:f>
        <x:v>0.3070262147275897</x:v>
      </x:c>
      <x:c r="K180" s="19" t="n">
        <x:f>IF(ISNUMBER(J180),ABS(J180),"n.a.")</x:f>
        <x:v>0.3070262147275897</x:v>
      </x:c>
      <x:c r="L180" s="13" t="b">
        <x:v>1</x:v>
      </x:c>
      <x:c r="M180" s="13" t="b">
        <x:v>1</x:v>
      </x:c>
      <x:c r="N180" s="2" t="str">
        <x:v>qualified_source_frame_numeric_summary</x:v>
      </x:c>
      <x:c r="O180" s="2" t="str">
        <x:v>none</x:v>
      </x:c>
      <x:c r="P180" s="2" t="str">
        <x:v>nominal2020; Overture geometry2024-07-22.0; height support2018</x:v>
      </x:c>
      <x:c r="Q180" s="2" t="str">
        <x:v>Adjusted GADM4.1 boundaries; included Overture coverage unknown; China shortfall flagged; not a contemporaneous2020 census</x:v>
      </x:c>
      <x:c r="R180" s="2" t="str">
        <x:v>https://data.jrc.ec.europa.eu/dataset/f41a22f1-5741-4c41-86eb-6384654f6927</x:v>
      </x:c>
      <x:c r="S180" s="13" t="b">
        <x:v>0</x:v>
      </x:c>
      <x:c r="T180" s="13" t="b">
        <x:v>0</x:v>
      </x:c>
    </x:row>
    <x:row r="181" ht="23" customHeight="1">
      <x:c r="A181" s="2" t="str">
        <x:v>TLS</x:v>
      </x:c>
      <x:c r="B181" s="2" t="str">
        <x:v>Timor-Leste (Democratic Republic of)</x:v>
      </x:c>
      <x:c r="C181" s="2" t="n">
        <x:v>2020</x:v>
      </x:c>
      <x:c r="D181" s="2" t="str">
        <x:v>OBAT_FOOTPRINT</x:v>
      </x:c>
      <x:c r="E181" s="2" t="str">
        <x:v>horizontal surface / footprint</x:v>
      </x:c>
      <x:c r="F181" s="2" t="str">
        <x:v>m2</x:v>
      </x:c>
      <x:c r="G181" s="17" t="n">
        <x:v>41213693.9</x:v>
      </x:c>
      <x:c r="H181" s="17" t="n">
        <x:v>47415777.79</x:v>
      </x:c>
      <x:c r="I181" s="17" t="n">
        <x:f>IF(AND(L181,ISNUMBER(G181),ISNUMBER(H181)),G181-H181,"n.a.")</x:f>
        <x:v>-6202083.890000001</x:v>
      </x:c>
      <x:c r="J181" s="15" t="n">
        <x:f>IF(AND(L181,ISNUMBER(G181),ISNUMBER(H181),H181&gt;0),(G181-H181)/H181,"n.a.")</x:f>
        <x:v>-0.13080211227301689</x:v>
      </x:c>
      <x:c r="K181" s="19" t="n">
        <x:f>IF(ISNUMBER(J181),ABS(J181),"n.a.")</x:f>
        <x:v>0.13080211227301689</x:v>
      </x:c>
      <x:c r="L181" s="13" t="b">
        <x:v>1</x:v>
      </x:c>
      <x:c r="M181" s="13" t="b">
        <x:v>1</x:v>
      </x:c>
      <x:c r="N181" s="2" t="str">
        <x:v>qualified_source_frame_numeric_summary</x:v>
      </x:c>
      <x:c r="O181" s="2" t="str">
        <x:v>none</x:v>
      </x:c>
      <x:c r="P181" s="2" t="str">
        <x:v>nominal2020; Overture geometry2024-07-22.0; height support2018</x:v>
      </x:c>
      <x:c r="Q181" s="2" t="str">
        <x:v>Adjusted GADM4.1 boundaries; included Overture coverage unknown; China shortfall flagged; not a contemporaneous2020 census</x:v>
      </x:c>
      <x:c r="R181" s="2" t="str">
        <x:v>https://data.jrc.ec.europa.eu/dataset/f41a22f1-5741-4c41-86eb-6384654f6927</x:v>
      </x:c>
      <x:c r="S181" s="13" t="b">
        <x:v>0</x:v>
      </x:c>
      <x:c r="T181" s="13" t="b">
        <x:v>0</x:v>
      </x:c>
    </x:row>
    <x:row r="182" ht="23" customHeight="1">
      <x:c r="A182" s="2" t="str">
        <x:v>TON</x:v>
      </x:c>
      <x:c r="B182" s="2" t="str">
        <x:v>Tonga (Kingdom of)</x:v>
      </x:c>
      <x:c r="C182" s="2" t="n">
        <x:v>2020</x:v>
      </x:c>
      <x:c r="D182" s="2" t="str">
        <x:v>OBAT_FOOTPRINT</x:v>
      </x:c>
      <x:c r="E182" s="2" t="str">
        <x:v>horizontal surface / footprint</x:v>
      </x:c>
      <x:c r="F182" s="2" t="str">
        <x:v>m2</x:v>
      </x:c>
      <x:c r="G182" s="17" t="n">
        <x:v>4719083.85</x:v>
      </x:c>
      <x:c r="H182" s="17" t="n">
        <x:v>11275526.17</x:v>
      </x:c>
      <x:c r="I182" s="17" t="n">
        <x:f>IF(AND(L182,ISNUMBER(G182),ISNUMBER(H182)),G182-H182,"n.a.")</x:f>
        <x:v>-6556442.32</x:v>
      </x:c>
      <x:c r="J182" s="15" t="n">
        <x:f>IF(AND(L182,ISNUMBER(G182),ISNUMBER(H182),H182&gt;0),(G182-H182)/H182,"n.a.")</x:f>
        <x:v>-0.5814755090936923</x:v>
      </x:c>
      <x:c r="K182" s="19" t="n">
        <x:f>IF(ISNUMBER(J182),ABS(J182),"n.a.")</x:f>
        <x:v>0.5814755090936923</x:v>
      </x:c>
      <x:c r="L182" s="13" t="b">
        <x:v>1</x:v>
      </x:c>
      <x:c r="M182" s="13" t="b">
        <x:v>1</x:v>
      </x:c>
      <x:c r="N182" s="2" t="str">
        <x:v>qualified_source_frame_numeric_summary</x:v>
      </x:c>
      <x:c r="O182" s="2" t="str">
        <x:v>none</x:v>
      </x:c>
      <x:c r="P182" s="2" t="str">
        <x:v>nominal2020; Overture geometry2024-07-22.0; height support2018</x:v>
      </x:c>
      <x:c r="Q182" s="2" t="str">
        <x:v>Adjusted GADM4.1 boundaries; included Overture coverage unknown; China shortfall flagged; not a contemporaneous2020 census</x:v>
      </x:c>
      <x:c r="R182" s="2" t="str">
        <x:v>https://data.jrc.ec.europa.eu/dataset/f41a22f1-5741-4c41-86eb-6384654f6927</x:v>
      </x:c>
      <x:c r="S182" s="13" t="b">
        <x:v>0</x:v>
      </x:c>
      <x:c r="T182" s="13" t="b">
        <x:v>0</x:v>
      </x:c>
    </x:row>
    <x:row r="183" ht="23" customHeight="1">
      <x:c r="A183" s="2" t="str">
        <x:v>TTO</x:v>
      </x:c>
      <x:c r="B183" s="2" t="str">
        <x:v>Trinidad and Tobago (Republic of)</x:v>
      </x:c>
      <x:c r="C183" s="2" t="n">
        <x:v>2020</x:v>
      </x:c>
      <x:c r="D183" s="2" t="str">
        <x:v>OBAT_FOOTPRINT</x:v>
      </x:c>
      <x:c r="E183" s="2" t="str">
        <x:v>horizontal surface / footprint</x:v>
      </x:c>
      <x:c r="F183" s="2" t="str">
        <x:v>m2</x:v>
      </x:c>
      <x:c r="G183" s="17" t="n">
        <x:v>100480869.27</x:v>
      </x:c>
      <x:c r="H183" s="17" t="n">
        <x:v>103937067.48</x:v>
      </x:c>
      <x:c r="I183" s="17" t="n">
        <x:f>IF(AND(L183,ISNUMBER(G183),ISNUMBER(H183)),G183-H183,"n.a.")</x:f>
        <x:v>-3456198.2100000083</x:v>
      </x:c>
      <x:c r="J183" s="15" t="n">
        <x:f>IF(AND(L183,ISNUMBER(G183),ISNUMBER(H183),H183&gt;0),(G183-H183)/H183,"n.a.")</x:f>
        <x:v>-0.03325279704148921</x:v>
      </x:c>
      <x:c r="K183" s="19" t="n">
        <x:f>IF(ISNUMBER(J183),ABS(J183),"n.a.")</x:f>
        <x:v>0.03325279704148921</x:v>
      </x:c>
      <x:c r="L183" s="13" t="b">
        <x:v>1</x:v>
      </x:c>
      <x:c r="M183" s="13" t="b">
        <x:v>1</x:v>
      </x:c>
      <x:c r="N183" s="2" t="str">
        <x:v>qualified_source_frame_numeric_summary</x:v>
      </x:c>
      <x:c r="O183" s="2" t="str">
        <x:v>none</x:v>
      </x:c>
      <x:c r="P183" s="2" t="str">
        <x:v>nominal2020; Overture geometry2024-07-22.0; height support2018</x:v>
      </x:c>
      <x:c r="Q183" s="2" t="str">
        <x:v>Adjusted GADM4.1 boundaries; included Overture coverage unknown; China shortfall flagged; not a contemporaneous2020 census</x:v>
      </x:c>
      <x:c r="R183" s="2" t="str">
        <x:v>https://data.jrc.ec.europa.eu/dataset/f41a22f1-5741-4c41-86eb-6384654f6927</x:v>
      </x:c>
      <x:c r="S183" s="13" t="b">
        <x:v>0</x:v>
      </x:c>
      <x:c r="T183" s="13" t="b">
        <x:v>0</x:v>
      </x:c>
    </x:row>
    <x:row r="184" ht="23" customHeight="1">
      <x:c r="A184" s="2" t="str">
        <x:v>TUN</x:v>
      </x:c>
      <x:c r="B184" s="2" t="str">
        <x:v>Tunisia (Republic of)</x:v>
      </x:c>
      <x:c r="C184" s="2" t="n">
        <x:v>2020</x:v>
      </x:c>
      <x:c r="D184" s="2" t="str">
        <x:v>OBAT_FOOTPRINT</x:v>
      </x:c>
      <x:c r="E184" s="2" t="str">
        <x:v>horizontal surface / footprint</x:v>
      </x:c>
      <x:c r="F184" s="2" t="str">
        <x:v>m2</x:v>
      </x:c>
      <x:c r="G184" s="17" t="n">
        <x:v>640256278.63</x:v>
      </x:c>
      <x:c r="H184" s="17" t="n">
        <x:v>760808245.4200001</x:v>
      </x:c>
      <x:c r="I184" s="17" t="n">
        <x:f>IF(AND(L184,ISNUMBER(G184),ISNUMBER(H184)),G184-H184,"n.a.")</x:f>
        <x:v>-120551966.79000008</x:v>
      </x:c>
      <x:c r="J184" s="15" t="n">
        <x:f>IF(AND(L184,ISNUMBER(G184),ISNUMBER(H184),H184&gt;0),(G184-H184)/H184,"n.a.")</x:f>
        <x:v>-0.15845249774264739</x:v>
      </x:c>
      <x:c r="K184" s="19" t="n">
        <x:f>IF(ISNUMBER(J184),ABS(J184),"n.a.")</x:f>
        <x:v>0.15845249774264739</x:v>
      </x:c>
      <x:c r="L184" s="13" t="b">
        <x:v>1</x:v>
      </x:c>
      <x:c r="M184" s="13" t="b">
        <x:v>1</x:v>
      </x:c>
      <x:c r="N184" s="2" t="str">
        <x:v>qualified_source_frame_numeric_summary</x:v>
      </x:c>
      <x:c r="O184" s="2" t="str">
        <x:v>none</x:v>
      </x:c>
      <x:c r="P184" s="2" t="str">
        <x:v>nominal2020; Overture geometry2024-07-22.0; height support2018</x:v>
      </x:c>
      <x:c r="Q184" s="2" t="str">
        <x:v>Adjusted GADM4.1 boundaries; included Overture coverage unknown; China shortfall flagged; not a contemporaneous2020 census</x:v>
      </x:c>
      <x:c r="R184" s="2" t="str">
        <x:v>https://data.jrc.ec.europa.eu/dataset/f41a22f1-5741-4c41-86eb-6384654f6927</x:v>
      </x:c>
      <x:c r="S184" s="13" t="b">
        <x:v>0</x:v>
      </x:c>
      <x:c r="T184" s="13" t="b">
        <x:v>0</x:v>
      </x:c>
    </x:row>
    <x:row r="185" ht="23" customHeight="1">
      <x:c r="A185" s="2" t="str">
        <x:v>TUR</x:v>
      </x:c>
      <x:c r="B185" s="2" t="str">
        <x:v>Türkiye (Republic of)</x:v>
      </x:c>
      <x:c r="C185" s="2" t="n">
        <x:v>2020</x:v>
      </x:c>
      <x:c r="D185" s="2" t="str">
        <x:v>OBAT_FOOTPRINT</x:v>
      </x:c>
      <x:c r="E185" s="2" t="str">
        <x:v>horizontal surface / footprint</x:v>
      </x:c>
      <x:c r="F185" s="2" t="str">
        <x:v>m2</x:v>
      </x:c>
      <x:c r="G185" s="17" t="n">
        <x:v>3724845529.66</x:v>
      </x:c>
      <x:c r="H185" s="17" t="n">
        <x:v>3851988999.8599997</x:v>
      </x:c>
      <x:c r="I185" s="17" t="n">
        <x:f>IF(AND(L185,ISNUMBER(G185),ISNUMBER(H185)),G185-H185,"n.a.")</x:f>
        <x:v>-127143470.19999981</x:v>
      </x:c>
      <x:c r="J185" s="15" t="n">
        <x:f>IF(AND(L185,ISNUMBER(G185),ISNUMBER(H185),H185&gt;0),(G185-H185)/H185,"n.a.")</x:f>
        <x:v>-0.03300722567084715</x:v>
      </x:c>
      <x:c r="K185" s="19" t="n">
        <x:f>IF(ISNUMBER(J185),ABS(J185),"n.a.")</x:f>
        <x:v>0.03300722567084715</x:v>
      </x:c>
      <x:c r="L185" s="13" t="b">
        <x:v>1</x:v>
      </x:c>
      <x:c r="M185" s="13" t="b">
        <x:v>1</x:v>
      </x:c>
      <x:c r="N185" s="2" t="str">
        <x:v>qualified_source_frame_numeric_summary</x:v>
      </x:c>
      <x:c r="O185" s="2" t="str">
        <x:v>none</x:v>
      </x:c>
      <x:c r="P185" s="2" t="str">
        <x:v>nominal2020; Overture geometry2024-07-22.0; height support2018</x:v>
      </x:c>
      <x:c r="Q185" s="2" t="str">
        <x:v>Adjusted GADM4.1 boundaries; included Overture coverage unknown; China shortfall flagged; not a contemporaneous2020 census</x:v>
      </x:c>
      <x:c r="R185" s="2" t="str">
        <x:v>https://data.jrc.ec.europa.eu/dataset/f41a22f1-5741-4c41-86eb-6384654f6927</x:v>
      </x:c>
      <x:c r="S185" s="13" t="b">
        <x:v>0</x:v>
      </x:c>
      <x:c r="T185" s="13" t="b">
        <x:v>0</x:v>
      </x:c>
    </x:row>
    <x:row r="186" ht="23" customHeight="1">
      <x:c r="A186" s="2" t="str">
        <x:v>TUV</x:v>
      </x:c>
      <x:c r="B186" s="2" t="str">
        <x:v>Tuvalu</x:v>
      </x:c>
      <x:c r="C186" s="2" t="n">
        <x:v>2020</x:v>
      </x:c>
      <x:c r="D186" s="2" t="str">
        <x:v>OBAT_FOOTPRINT</x:v>
      </x:c>
      <x:c r="E186" s="2" t="str">
        <x:v>horizontal surface / footprint</x:v>
      </x:c>
      <x:c r="F186" s="2" t="str">
        <x:v>m2</x:v>
      </x:c>
      <x:c r="G186" s="17" t="n">
        <x:v>19394.81</x:v>
      </x:c>
      <x:c r="H186" s="17" t="n">
        <x:v>467023.91</x:v>
      </x:c>
      <x:c r="I186" s="17" t="n">
        <x:f>IF(AND(L186,ISNUMBER(G186),ISNUMBER(H186)),G186-H186,"n.a.")</x:f>
        <x:v>-447629.1</x:v>
      </x:c>
      <x:c r="J186" s="15" t="n">
        <x:f>IF(AND(L186,ISNUMBER(G186),ISNUMBER(H186),H186&gt;0),(G186-H186)/H186,"n.a.")</x:f>
        <x:v>-0.9584714838261708</x:v>
      </x:c>
      <x:c r="K186" s="19" t="n">
        <x:f>IF(ISNUMBER(J186),ABS(J186),"n.a.")</x:f>
        <x:v>0.9584714838261708</x:v>
      </x:c>
      <x:c r="L186" s="13" t="b">
        <x:v>1</x:v>
      </x:c>
      <x:c r="M186" s="13" t="b">
        <x:v>1</x:v>
      </x:c>
      <x:c r="N186" s="2" t="str">
        <x:v>qualified_source_frame_numeric_summary</x:v>
      </x:c>
      <x:c r="O186" s="2" t="str">
        <x:v>none</x:v>
      </x:c>
      <x:c r="P186" s="2" t="str">
        <x:v>nominal2020; Overture geometry2024-07-22.0; height support2018</x:v>
      </x:c>
      <x:c r="Q186" s="2" t="str">
        <x:v>Adjusted GADM4.1 boundaries; included Overture coverage unknown; China shortfall flagged; not a contemporaneous2020 census</x:v>
      </x:c>
      <x:c r="R186" s="2" t="str">
        <x:v>https://data.jrc.ec.europa.eu/dataset/f41a22f1-5741-4c41-86eb-6384654f6927</x:v>
      </x:c>
      <x:c r="S186" s="13" t="b">
        <x:v>0</x:v>
      </x:c>
      <x:c r="T186" s="13" t="b">
        <x:v>0</x:v>
      </x:c>
    </x:row>
    <x:row r="187" ht="23" customHeight="1">
      <x:c r="A187" s="2" t="str">
        <x:v>TZA</x:v>
      </x:c>
      <x:c r="B187" s="2" t="str">
        <x:v>Tanzania (United Republic of)</x:v>
      </x:c>
      <x:c r="C187" s="2" t="n">
        <x:v>2020</x:v>
      </x:c>
      <x:c r="D187" s="2" t="str">
        <x:v>OBAT_FOOTPRINT</x:v>
      </x:c>
      <x:c r="E187" s="2" t="str">
        <x:v>horizontal surface / footprint</x:v>
      </x:c>
      <x:c r="F187" s="2" t="str">
        <x:v>m2</x:v>
      </x:c>
      <x:c r="G187" s="17" t="n">
        <x:v>1174486408.82</x:v>
      </x:c>
      <x:c r="H187" s="17" t="n">
        <x:v>1453207168.28</x:v>
      </x:c>
      <x:c r="I187" s="17" t="n">
        <x:f>IF(AND(L187,ISNUMBER(G187),ISNUMBER(H187)),G187-H187,"n.a.")</x:f>
        <x:v>-278720759.46000004</x:v>
      </x:c>
      <x:c r="J187" s="15" t="n">
        <x:f>IF(AND(L187,ISNUMBER(G187),ISNUMBER(H187),H187&gt;0),(G187-H187)/H187,"n.a.")</x:f>
        <x:v>-0.19179698913121304</x:v>
      </x:c>
      <x:c r="K187" s="19" t="n">
        <x:f>IF(ISNUMBER(J187),ABS(J187),"n.a.")</x:f>
        <x:v>0.19179698913121304</x:v>
      </x:c>
      <x:c r="L187" s="13" t="b">
        <x:v>1</x:v>
      </x:c>
      <x:c r="M187" s="13" t="b">
        <x:v>1</x:v>
      </x:c>
      <x:c r="N187" s="2" t="str">
        <x:v>qualified_source_frame_numeric_summary</x:v>
      </x:c>
      <x:c r="O187" s="2" t="str">
        <x:v>none</x:v>
      </x:c>
      <x:c r="P187" s="2" t="str">
        <x:v>nominal2020; Overture geometry2024-07-22.0; height support2018</x:v>
      </x:c>
      <x:c r="Q187" s="2" t="str">
        <x:v>Adjusted GADM4.1 boundaries; included Overture coverage unknown; China shortfall flagged; not a contemporaneous2020 census</x:v>
      </x:c>
      <x:c r="R187" s="2" t="str">
        <x:v>https://data.jrc.ec.europa.eu/dataset/f41a22f1-5741-4c41-86eb-6384654f6927</x:v>
      </x:c>
      <x:c r="S187" s="13" t="b">
        <x:v>0</x:v>
      </x:c>
      <x:c r="T187" s="13" t="b">
        <x:v>0</x:v>
      </x:c>
    </x:row>
    <x:row r="188" ht="23" customHeight="1">
      <x:c r="A188" s="2" t="str">
        <x:v>UGA</x:v>
      </x:c>
      <x:c r="B188" s="2" t="str">
        <x:v>Uganda (Republic of)</x:v>
      </x:c>
      <x:c r="C188" s="2" t="n">
        <x:v>2020</x:v>
      </x:c>
      <x:c r="D188" s="2" t="str">
        <x:v>OBAT_FOOTPRINT</x:v>
      </x:c>
      <x:c r="E188" s="2" t="str">
        <x:v>horizontal surface / footprint</x:v>
      </x:c>
      <x:c r="F188" s="2" t="str">
        <x:v>m2</x:v>
      </x:c>
      <x:c r="G188" s="17" t="n">
        <x:v>765891927.15</x:v>
      </x:c>
      <x:c r="H188" s="17" t="n">
        <x:v>936104562.38</x:v>
      </x:c>
      <x:c r="I188" s="17" t="n">
        <x:f>IF(AND(L188,ISNUMBER(G188),ISNUMBER(H188)),G188-H188,"n.a.")</x:f>
        <x:v>-170212635.23000002</x:v>
      </x:c>
      <x:c r="J188" s="15" t="n">
        <x:f>IF(AND(L188,ISNUMBER(G188),ISNUMBER(H188),H188&gt;0),(G188-H188)/H188,"n.a.")</x:f>
        <x:v>-0.18183079334347302</x:v>
      </x:c>
      <x:c r="K188" s="19" t="n">
        <x:f>IF(ISNUMBER(J188),ABS(J188),"n.a.")</x:f>
        <x:v>0.18183079334347302</x:v>
      </x:c>
      <x:c r="L188" s="13" t="b">
        <x:v>1</x:v>
      </x:c>
      <x:c r="M188" s="13" t="b">
        <x:v>1</x:v>
      </x:c>
      <x:c r="N188" s="2" t="str">
        <x:v>qualified_source_frame_numeric_summary</x:v>
      </x:c>
      <x:c r="O188" s="2" t="str">
        <x:v>none</x:v>
      </x:c>
      <x:c r="P188" s="2" t="str">
        <x:v>nominal2020; Overture geometry2024-07-22.0; height support2018</x:v>
      </x:c>
      <x:c r="Q188" s="2" t="str">
        <x:v>Adjusted GADM4.1 boundaries; included Overture coverage unknown; China shortfall flagged; not a contemporaneous2020 census</x:v>
      </x:c>
      <x:c r="R188" s="2" t="str">
        <x:v>https://data.jrc.ec.europa.eu/dataset/f41a22f1-5741-4c41-86eb-6384654f6927</x:v>
      </x:c>
      <x:c r="S188" s="13" t="b">
        <x:v>0</x:v>
      </x:c>
      <x:c r="T188" s="13" t="b">
        <x:v>0</x:v>
      </x:c>
    </x:row>
    <x:row r="189" ht="23" customHeight="1">
      <x:c r="A189" s="2" t="str">
        <x:v>UKR</x:v>
      </x:c>
      <x:c r="B189" s="2" t="str">
        <x:v>Ukraine</x:v>
      </x:c>
      <x:c r="C189" s="2" t="n">
        <x:v>2020</x:v>
      </x:c>
      <x:c r="D189" s="2" t="str">
        <x:v>OBAT_FOOTPRINT</x:v>
      </x:c>
      <x:c r="E189" s="2" t="str">
        <x:v>horizontal surface / footprint</x:v>
      </x:c>
      <x:c r="F189" s="2" t="str">
        <x:v>m2</x:v>
      </x:c>
      <x:c r="G189" s="17" t="n">
        <x:v>2808807029.82</x:v>
      </x:c>
      <x:c r="H189" s="17" t="n">
        <x:v>2858008890.0299997</x:v>
      </x:c>
      <x:c r="I189" s="17" t="n">
        <x:f>IF(AND(L189,ISNUMBER(G189),ISNUMBER(H189)),G189-H189,"n.a.")</x:f>
        <x:v>-49201860.20999956</x:v>
      </x:c>
      <x:c r="J189" s="15" t="n">
        <x:f>IF(AND(L189,ISNUMBER(G189),ISNUMBER(H189),H189&gt;0),(G189-H189)/H189,"n.a.")</x:f>
        <x:v>-0.017215432877636397</x:v>
      </x:c>
      <x:c r="K189" s="19" t="n">
        <x:f>IF(ISNUMBER(J189),ABS(J189),"n.a.")</x:f>
        <x:v>0.017215432877636397</x:v>
      </x:c>
      <x:c r="L189" s="13" t="b">
        <x:v>1</x:v>
      </x:c>
      <x:c r="M189" s="13" t="b">
        <x:v>1</x:v>
      </x:c>
      <x:c r="N189" s="2" t="str">
        <x:v>qualified_source_frame_numeric_summary</x:v>
      </x:c>
      <x:c r="O189" s="2" t="str">
        <x:v>none</x:v>
      </x:c>
      <x:c r="P189" s="2" t="str">
        <x:v>nominal2020; Overture geometry2024-07-22.0; height support2018</x:v>
      </x:c>
      <x:c r="Q189" s="2" t="str">
        <x:v>Adjusted GADM4.1 boundaries; included Overture coverage unknown; China shortfall flagged; not a contemporaneous2020 census</x:v>
      </x:c>
      <x:c r="R189" s="2" t="str">
        <x:v>https://data.jrc.ec.europa.eu/dataset/f41a22f1-5741-4c41-86eb-6384654f6927</x:v>
      </x:c>
      <x:c r="S189" s="13" t="b">
        <x:v>0</x:v>
      </x:c>
      <x:c r="T189" s="13" t="b">
        <x:v>0</x:v>
      </x:c>
    </x:row>
    <x:row r="190" ht="23" customHeight="1">
      <x:c r="A190" s="2" t="str">
        <x:v>URY</x:v>
      </x:c>
      <x:c r="B190" s="2" t="str">
        <x:v>Uruguay (Oriental Republic of)</x:v>
      </x:c>
      <x:c r="C190" s="2" t="n">
        <x:v>2020</x:v>
      </x:c>
      <x:c r="D190" s="2" t="str">
        <x:v>OBAT_FOOTPRINT</x:v>
      </x:c>
      <x:c r="E190" s="2" t="str">
        <x:v>horizontal surface / footprint</x:v>
      </x:c>
      <x:c r="F190" s="2" t="str">
        <x:v>m2</x:v>
      </x:c>
      <x:c r="G190" s="17" t="n">
        <x:v>209727833.29</x:v>
      </x:c>
      <x:c r="H190" s="17" t="n">
        <x:v>222271536.09</x:v>
      </x:c>
      <x:c r="I190" s="17" t="n">
        <x:f>IF(AND(L190,ISNUMBER(G190),ISNUMBER(H190)),G190-H190,"n.a.")</x:f>
        <x:v>-12543702.800000012</x:v>
      </x:c>
      <x:c r="J190" s="15" t="n">
        <x:f>IF(AND(L190,ISNUMBER(G190),ISNUMBER(H190),H190&gt;0),(G190-H190)/H190,"n.a.")</x:f>
        <x:v>-0.056434139164453966</x:v>
      </x:c>
      <x:c r="K190" s="19" t="n">
        <x:f>IF(ISNUMBER(J190),ABS(J190),"n.a.")</x:f>
        <x:v>0.056434139164453966</x:v>
      </x:c>
      <x:c r="L190" s="13" t="b">
        <x:v>1</x:v>
      </x:c>
      <x:c r="M190" s="13" t="b">
        <x:v>1</x:v>
      </x:c>
      <x:c r="N190" s="2" t="str">
        <x:v>qualified_source_frame_numeric_summary</x:v>
      </x:c>
      <x:c r="O190" s="2" t="str">
        <x:v>none</x:v>
      </x:c>
      <x:c r="P190" s="2" t="str">
        <x:v>nominal2020; Overture geometry2024-07-22.0; height support2018</x:v>
      </x:c>
      <x:c r="Q190" s="2" t="str">
        <x:v>Adjusted GADM4.1 boundaries; included Overture coverage unknown; China shortfall flagged; not a contemporaneous2020 census</x:v>
      </x:c>
      <x:c r="R190" s="2" t="str">
        <x:v>https://data.jrc.ec.europa.eu/dataset/f41a22f1-5741-4c41-86eb-6384654f6927</x:v>
      </x:c>
      <x:c r="S190" s="13" t="b">
        <x:v>0</x:v>
      </x:c>
      <x:c r="T190" s="13" t="b">
        <x:v>0</x:v>
      </x:c>
    </x:row>
    <x:row r="191" ht="23" customHeight="1">
      <x:c r="A191" s="2" t="str">
        <x:v>USA</x:v>
      </x:c>
      <x:c r="B191" s="2" t="str">
        <x:v>United States of America</x:v>
      </x:c>
      <x:c r="C191" s="2" t="n">
        <x:v>2020</x:v>
      </x:c>
      <x:c r="D191" s="2" t="str">
        <x:v>OBAT_FOOTPRINT</x:v>
      </x:c>
      <x:c r="E191" s="2" t="str">
        <x:v>horizontal surface / footprint</x:v>
      </x:c>
      <x:c r="F191" s="2" t="str">
        <x:v>m2</x:v>
      </x:c>
      <x:c r="G191" s="17" t="n">
        <x:v>35932980078.68</x:v>
      </x:c>
      <x:c r="H191" s="17" t="n">
        <x:v>48425575111.10999</x:v>
      </x:c>
      <x:c r="I191" s="17" t="n">
        <x:f>IF(AND(L191,ISNUMBER(G191),ISNUMBER(H191)),G191-H191,"n.a.")</x:f>
        <x:v>-12492595032.429993</x:v>
      </x:c>
      <x:c r="J191" s="15" t="n">
        <x:f>IF(AND(L191,ISNUMBER(G191),ISNUMBER(H191),H191&gt;0),(G191-H191)/H191,"n.a.")</x:f>
        <x:v>-0.257975150605158</x:v>
      </x:c>
      <x:c r="K191" s="19" t="n">
        <x:f>IF(ISNUMBER(J191),ABS(J191),"n.a.")</x:f>
        <x:v>0.257975150605158</x:v>
      </x:c>
      <x:c r="L191" s="13" t="b">
        <x:v>1</x:v>
      </x:c>
      <x:c r="M191" s="13" t="b">
        <x:v>1</x:v>
      </x:c>
      <x:c r="N191" s="2" t="str">
        <x:v>qualified_source_frame_numeric_summary</x:v>
      </x:c>
      <x:c r="O191" s="2" t="str">
        <x:v>none</x:v>
      </x:c>
      <x:c r="P191" s="2" t="str">
        <x:v>nominal2020; Overture geometry2024-07-22.0; height support2018</x:v>
      </x:c>
      <x:c r="Q191" s="2" t="str">
        <x:v>Adjusted GADM4.1 boundaries; included Overture coverage unknown; China shortfall flagged; not a contemporaneous2020 census</x:v>
      </x:c>
      <x:c r="R191" s="2" t="str">
        <x:v>https://data.jrc.ec.europa.eu/dataset/f41a22f1-5741-4c41-86eb-6384654f6927</x:v>
      </x:c>
      <x:c r="S191" s="13" t="b">
        <x:v>0</x:v>
      </x:c>
      <x:c r="T191" s="13" t="b">
        <x:v>0</x:v>
      </x:c>
    </x:row>
    <x:row r="192" ht="23" customHeight="1">
      <x:c r="A192" s="2" t="str">
        <x:v>UZB</x:v>
      </x:c>
      <x:c r="B192" s="2" t="str">
        <x:v>Uzbekistan (Republic of)</x:v>
      </x:c>
      <x:c r="C192" s="2" t="n">
        <x:v>2020</x:v>
      </x:c>
      <x:c r="D192" s="2" t="str">
        <x:v>OBAT_FOOTPRINT</x:v>
      </x:c>
      <x:c r="E192" s="2" t="str">
        <x:v>horizontal surface / footprint</x:v>
      </x:c>
      <x:c r="F192" s="2" t="str">
        <x:v>m2</x:v>
      </x:c>
      <x:c r="G192" s="17" t="n">
        <x:v>1997042653.63</x:v>
      </x:c>
      <x:c r="H192" s="17" t="n">
        <x:v>1188997052.01</x:v>
      </x:c>
      <x:c r="I192" s="17" t="n">
        <x:f>IF(AND(L192,ISNUMBER(G192),ISNUMBER(H192)),G192-H192,"n.a.")</x:f>
        <x:v>808045601.6200001</x:v>
      </x:c>
      <x:c r="J192" s="15" t="n">
        <x:f>IF(AND(L192,ISNUMBER(G192),ISNUMBER(H192),H192&gt;0),(G192-H192)/H192,"n.a.")</x:f>
        <x:v>0.6796026956113967</x:v>
      </x:c>
      <x:c r="K192" s="19" t="n">
        <x:f>IF(ISNUMBER(J192),ABS(J192),"n.a.")</x:f>
        <x:v>0.6796026956113967</x:v>
      </x:c>
      <x:c r="L192" s="13" t="b">
        <x:v>1</x:v>
      </x:c>
      <x:c r="M192" s="13" t="b">
        <x:v>1</x:v>
      </x:c>
      <x:c r="N192" s="2" t="str">
        <x:v>qualified_source_frame_numeric_summary</x:v>
      </x:c>
      <x:c r="O192" s="2" t="str">
        <x:v>none</x:v>
      </x:c>
      <x:c r="P192" s="2" t="str">
        <x:v>nominal2020; Overture geometry2024-07-22.0; height support2018</x:v>
      </x:c>
      <x:c r="Q192" s="2" t="str">
        <x:v>Adjusted GADM4.1 boundaries; included Overture coverage unknown; China shortfall flagged; not a contemporaneous2020 census</x:v>
      </x:c>
      <x:c r="R192" s="2" t="str">
        <x:v>https://data.jrc.ec.europa.eu/dataset/f41a22f1-5741-4c41-86eb-6384654f6927</x:v>
      </x:c>
      <x:c r="S192" s="13" t="b">
        <x:v>0</x:v>
      </x:c>
      <x:c r="T192" s="13" t="b">
        <x:v>0</x:v>
      </x:c>
    </x:row>
    <x:row r="193" ht="23" customHeight="1">
      <x:c r="A193" s="2" t="str">
        <x:v>VAT</x:v>
      </x:c>
      <x:c r="B193" s="2" t="str">
        <x:v>Holy See (State of the Vatican City)</x:v>
      </x:c>
      <x:c r="C193" s="2" t="n">
        <x:v>2020</x:v>
      </x:c>
      <x:c r="D193" s="2" t="str">
        <x:v>OBAT_FOOTPRINT</x:v>
      </x:c>
      <x:c r="E193" s="2" t="str">
        <x:v>horizontal surface / footprint</x:v>
      </x:c>
      <x:c r="F193" s="2" t="str">
        <x:v>m2</x:v>
      </x:c>
      <x:c r="G193" s="17" t="n">
        <x:v>118080.97</x:v>
      </x:c>
      <x:c r="H193" s="17" t="n">
        <x:v>133821.58000000002</x:v>
      </x:c>
      <x:c r="I193" s="17" t="n">
        <x:f>IF(AND(L193,ISNUMBER(G193),ISNUMBER(H193)),G193-H193,"n.a.")</x:f>
        <x:v>-15740.610000000015</x:v>
      </x:c>
      <x:c r="J193" s="15" t="n">
        <x:f>IF(AND(L193,ISNUMBER(G193),ISNUMBER(H193),H193&gt;0),(G193-H193)/H193,"n.a.")</x:f>
        <x:v>-0.11762385408990099</x:v>
      </x:c>
      <x:c r="K193" s="19" t="n">
        <x:f>IF(ISNUMBER(J193),ABS(J193),"n.a.")</x:f>
        <x:v>0.11762385408990099</x:v>
      </x:c>
      <x:c r="L193" s="13" t="b">
        <x:v>1</x:v>
      </x:c>
      <x:c r="M193" s="13" t="b">
        <x:v>1</x:v>
      </x:c>
      <x:c r="N193" s="2" t="str">
        <x:v>qualified_source_frame_numeric_summary</x:v>
      </x:c>
      <x:c r="O193" s="2" t="str">
        <x:v>none</x:v>
      </x:c>
      <x:c r="P193" s="2" t="str">
        <x:v>nominal2020; Overture geometry2024-07-22.0; height support2018</x:v>
      </x:c>
      <x:c r="Q193" s="2" t="str">
        <x:v>Adjusted GADM4.1 boundaries; included Overture coverage unknown; China shortfall flagged; not a contemporaneous2020 census</x:v>
      </x:c>
      <x:c r="R193" s="2" t="str">
        <x:v>https://data.jrc.ec.europa.eu/dataset/f41a22f1-5741-4c41-86eb-6384654f6927</x:v>
      </x:c>
      <x:c r="S193" s="13" t="b">
        <x:v>0</x:v>
      </x:c>
      <x:c r="T193" s="13" t="b">
        <x:v>0</x:v>
      </x:c>
    </x:row>
    <x:row r="194" ht="23" customHeight="1">
      <x:c r="A194" s="2" t="str">
        <x:v>VCT</x:v>
      </x:c>
      <x:c r="B194" s="2" t="str">
        <x:v>Saint Vincent and the Grenadines</x:v>
      </x:c>
      <x:c r="C194" s="2" t="n">
        <x:v>2020</x:v>
      </x:c>
      <x:c r="D194" s="2" t="str">
        <x:v>OBAT_FOOTPRINT</x:v>
      </x:c>
      <x:c r="E194" s="2" t="str">
        <x:v>horizontal surface / footprint</x:v>
      </x:c>
      <x:c r="F194" s="2" t="str">
        <x:v>m2</x:v>
      </x:c>
      <x:c r="G194" s="17" t="n">
        <x:v>6194383.57</x:v>
      </x:c>
      <x:c r="H194" s="17" t="n">
        <x:v>7027734.44000002</x:v>
      </x:c>
      <x:c r="I194" s="17" t="n">
        <x:f>IF(AND(L194,ISNUMBER(G194),ISNUMBER(H194)),G194-H194,"n.a.")</x:f>
        <x:v>-833350.8700000197</x:v>
      </x:c>
      <x:c r="J194" s="15" t="n">
        <x:f>IF(AND(L194,ISNUMBER(G194),ISNUMBER(H194),H194&gt;0),(G194-H194)/H194,"n.a.")</x:f>
        <x:v>-0.1185803016768541</x:v>
      </x:c>
      <x:c r="K194" s="19" t="n">
        <x:f>IF(ISNUMBER(J194),ABS(J194),"n.a.")</x:f>
        <x:v>0.1185803016768541</x:v>
      </x:c>
      <x:c r="L194" s="13" t="b">
        <x:v>1</x:v>
      </x:c>
      <x:c r="M194" s="13" t="b">
        <x:v>1</x:v>
      </x:c>
      <x:c r="N194" s="2" t="str">
        <x:v>qualified_source_frame_numeric_summary</x:v>
      </x:c>
      <x:c r="O194" s="2" t="str">
        <x:v>none</x:v>
      </x:c>
      <x:c r="P194" s="2" t="str">
        <x:v>nominal2020; Overture geometry2024-07-22.0; height support2018</x:v>
      </x:c>
      <x:c r="Q194" s="2" t="str">
        <x:v>Adjusted GADM4.1 boundaries; included Overture coverage unknown; China shortfall flagged; not a contemporaneous2020 census</x:v>
      </x:c>
      <x:c r="R194" s="2" t="str">
        <x:v>https://data.jrc.ec.europa.eu/dataset/f41a22f1-5741-4c41-86eb-6384654f6927</x:v>
      </x:c>
      <x:c r="S194" s="13" t="b">
        <x:v>0</x:v>
      </x:c>
      <x:c r="T194" s="13" t="b">
        <x:v>0</x:v>
      </x:c>
    </x:row>
    <x:row r="195" ht="23" customHeight="1">
      <x:c r="A195" s="2" t="str">
        <x:v>VEN</x:v>
      </x:c>
      <x:c r="B195" s="2" t="str">
        <x:v>Venezuela (Bolivarian Republic of)</x:v>
      </x:c>
      <x:c r="C195" s="2" t="n">
        <x:v>2020</x:v>
      </x:c>
      <x:c r="D195" s="2" t="str">
        <x:v>OBAT_FOOTPRINT</x:v>
      </x:c>
      <x:c r="E195" s="2" t="str">
        <x:v>horizontal surface / footprint</x:v>
      </x:c>
      <x:c r="F195" s="2" t="str">
        <x:v>m2</x:v>
      </x:c>
      <x:c r="G195" s="17" t="n">
        <x:v>1159546607.65</x:v>
      </x:c>
      <x:c r="H195" s="17" t="n">
        <x:v>1197068772.37</x:v>
      </x:c>
      <x:c r="I195" s="17" t="n">
        <x:f>IF(AND(L195,ISNUMBER(G195),ISNUMBER(H195)),G195-H195,"n.a.")</x:f>
        <x:v>-37522164.71999979</x:v>
      </x:c>
      <x:c r="J195" s="15" t="n">
        <x:f>IF(AND(L195,ISNUMBER(G195),ISNUMBER(H195),H195&gt;0),(G195-H195)/H195,"n.a.")</x:f>
        <x:v>-0.03134503679827188</x:v>
      </x:c>
      <x:c r="K195" s="19" t="n">
        <x:f>IF(ISNUMBER(J195),ABS(J195),"n.a.")</x:f>
        <x:v>0.03134503679827188</x:v>
      </x:c>
      <x:c r="L195" s="13" t="b">
        <x:v>1</x:v>
      </x:c>
      <x:c r="M195" s="13" t="b">
        <x:v>1</x:v>
      </x:c>
      <x:c r="N195" s="2" t="str">
        <x:v>qualified_source_frame_numeric_summary</x:v>
      </x:c>
      <x:c r="O195" s="2" t="str">
        <x:v>none</x:v>
      </x:c>
      <x:c r="P195" s="2" t="str">
        <x:v>nominal2020; Overture geometry2024-07-22.0; height support2018</x:v>
      </x:c>
      <x:c r="Q195" s="2" t="str">
        <x:v>Adjusted GADM4.1 boundaries; included Overture coverage unknown; China shortfall flagged; not a contemporaneous2020 census</x:v>
      </x:c>
      <x:c r="R195" s="2" t="str">
        <x:v>https://data.jrc.ec.europa.eu/dataset/f41a22f1-5741-4c41-86eb-6384654f6927</x:v>
      </x:c>
      <x:c r="S195" s="13" t="b">
        <x:v>0</x:v>
      </x:c>
      <x:c r="T195" s="13" t="b">
        <x:v>0</x:v>
      </x:c>
    </x:row>
    <x:row r="196" ht="23" customHeight="1">
      <x:c r="A196" s="2" t="str">
        <x:v>VNM</x:v>
      </x:c>
      <x:c r="B196" s="2" t="str">
        <x:v>Viet Nam (Socialist Republic of)</x:v>
      </x:c>
      <x:c r="C196" s="2" t="n">
        <x:v>2020</x:v>
      </x:c>
      <x:c r="D196" s="2" t="str">
        <x:v>OBAT_FOOTPRINT</x:v>
      </x:c>
      <x:c r="E196" s="2" t="str">
        <x:v>horizontal surface / footprint</x:v>
      </x:c>
      <x:c r="F196" s="2" t="str">
        <x:v>m2</x:v>
      </x:c>
      <x:c r="G196" s="17" t="n">
        <x:v>4775308196.86</x:v>
      </x:c>
      <x:c r="H196" s="17" t="n">
        <x:v>4735723870.059999</x:v>
      </x:c>
      <x:c r="I196" s="17" t="n">
        <x:f>IF(AND(L196,ISNUMBER(G196),ISNUMBER(H196)),G196-H196,"n.a.")</x:f>
        <x:v>39584326.80000019</x:v>
      </x:c>
      <x:c r="J196" s="15" t="n">
        <x:f>IF(AND(L196,ISNUMBER(G196),ISNUMBER(H196),H196&gt;0),(G196-H196)/H196,"n.a.")</x:f>
        <x:v>0.008358664458934907</x:v>
      </x:c>
      <x:c r="K196" s="19" t="n">
        <x:f>IF(ISNUMBER(J196),ABS(J196),"n.a.")</x:f>
        <x:v>0.008358664458934907</x:v>
      </x:c>
      <x:c r="L196" s="13" t="b">
        <x:v>1</x:v>
      </x:c>
      <x:c r="M196" s="13" t="b">
        <x:v>1</x:v>
      </x:c>
      <x:c r="N196" s="2" t="str">
        <x:v>qualified_source_frame_numeric_summary</x:v>
      </x:c>
      <x:c r="O196" s="2" t="str">
        <x:v>none</x:v>
      </x:c>
      <x:c r="P196" s="2" t="str">
        <x:v>nominal2020; Overture geometry2024-07-22.0; height support2018</x:v>
      </x:c>
      <x:c r="Q196" s="2" t="str">
        <x:v>Adjusted GADM4.1 boundaries; included Overture coverage unknown; China shortfall flagged; not a contemporaneous2020 census</x:v>
      </x:c>
      <x:c r="R196" s="2" t="str">
        <x:v>https://data.jrc.ec.europa.eu/dataset/f41a22f1-5741-4c41-86eb-6384654f6927</x:v>
      </x:c>
      <x:c r="S196" s="13" t="b">
        <x:v>0</x:v>
      </x:c>
      <x:c r="T196" s="13" t="b">
        <x:v>0</x:v>
      </x:c>
    </x:row>
    <x:row r="197" ht="23" customHeight="1">
      <x:c r="A197" s="2" t="str">
        <x:v>VUT</x:v>
      </x:c>
      <x:c r="B197" s="2" t="str">
        <x:v>Vanuatu (Republic of)</x:v>
      </x:c>
      <x:c r="C197" s="2" t="n">
        <x:v>2020</x:v>
      </x:c>
      <x:c r="D197" s="2" t="str">
        <x:v>OBAT_FOOTPRINT</x:v>
      </x:c>
      <x:c r="E197" s="2" t="str">
        <x:v>horizontal surface / footprint</x:v>
      </x:c>
      <x:c r="F197" s="2" t="str">
        <x:v>m2</x:v>
      </x:c>
      <x:c r="G197" s="17" t="n">
        <x:v>8193524.7</x:v>
      </x:c>
      <x:c r="H197" s="17" t="n">
        <x:v>9526349.76</x:v>
      </x:c>
      <x:c r="I197" s="17" t="n">
        <x:f>IF(AND(L197,ISNUMBER(G197),ISNUMBER(H197)),G197-H197,"n.a.")</x:f>
        <x:v>-1332825.0599999996</x:v>
      </x:c>
      <x:c r="J197" s="15" t="n">
        <x:f>IF(AND(L197,ISNUMBER(G197),ISNUMBER(H197),H197&gt;0),(G197-H197)/H197,"n.a.")</x:f>
        <x:v>-0.13990931401620085</x:v>
      </x:c>
      <x:c r="K197" s="19" t="n">
        <x:f>IF(ISNUMBER(J197),ABS(J197),"n.a.")</x:f>
        <x:v>0.13990931401620085</x:v>
      </x:c>
      <x:c r="L197" s="13" t="b">
        <x:v>1</x:v>
      </x:c>
      <x:c r="M197" s="13" t="b">
        <x:v>1</x:v>
      </x:c>
      <x:c r="N197" s="2" t="str">
        <x:v>qualified_source_frame_numeric_summary</x:v>
      </x:c>
      <x:c r="O197" s="2" t="str">
        <x:v>none</x:v>
      </x:c>
      <x:c r="P197" s="2" t="str">
        <x:v>nominal2020; Overture geometry2024-07-22.0; height support2018</x:v>
      </x:c>
      <x:c r="Q197" s="2" t="str">
        <x:v>Adjusted GADM4.1 boundaries; included Overture coverage unknown; China shortfall flagged; not a contemporaneous2020 census</x:v>
      </x:c>
      <x:c r="R197" s="2" t="str">
        <x:v>https://data.jrc.ec.europa.eu/dataset/f41a22f1-5741-4c41-86eb-6384654f6927</x:v>
      </x:c>
      <x:c r="S197" s="13" t="b">
        <x:v>0</x:v>
      </x:c>
      <x:c r="T197" s="13" t="b">
        <x:v>0</x:v>
      </x:c>
    </x:row>
    <x:row r="198" ht="23" customHeight="1">
      <x:c r="A198" s="2" t="str">
        <x:v>WSM</x:v>
      </x:c>
      <x:c r="B198" s="2" t="str">
        <x:v>Samoa (Independent State of)</x:v>
      </x:c>
      <x:c r="C198" s="2" t="n">
        <x:v>2020</x:v>
      </x:c>
      <x:c r="D198" s="2" t="str">
        <x:v>OBAT_FOOTPRINT</x:v>
      </x:c>
      <x:c r="E198" s="2" t="str">
        <x:v>horizontal surface / footprint</x:v>
      </x:c>
      <x:c r="F198" s="2" t="str">
        <x:v>m2</x:v>
      </x:c>
      <x:c r="G198" s="17" t="n">
        <x:v>8105266</x:v>
      </x:c>
      <x:c r="H198" s="17" t="n">
        <x:v>19062259.25</x:v>
      </x:c>
      <x:c r="I198" s="17" t="n">
        <x:f>IF(AND(L198,ISNUMBER(G198),ISNUMBER(H198)),G198-H198,"n.a.")</x:f>
        <x:v>-10956993.25</x:v>
      </x:c>
      <x:c r="J198" s="15" t="n">
        <x:f>IF(AND(L198,ISNUMBER(G198),ISNUMBER(H198),H198&gt;0),(G198-H198)/H198,"n.a.")</x:f>
        <x:v>-0.5748003479702963</x:v>
      </x:c>
      <x:c r="K198" s="19" t="n">
        <x:f>IF(ISNUMBER(J198),ABS(J198),"n.a.")</x:f>
        <x:v>0.5748003479702963</x:v>
      </x:c>
      <x:c r="L198" s="13" t="b">
        <x:v>1</x:v>
      </x:c>
      <x:c r="M198" s="13" t="b">
        <x:v>1</x:v>
      </x:c>
      <x:c r="N198" s="2" t="str">
        <x:v>qualified_source_frame_numeric_summary</x:v>
      </x:c>
      <x:c r="O198" s="2" t="str">
        <x:v>none</x:v>
      </x:c>
      <x:c r="P198" s="2" t="str">
        <x:v>nominal2020; Overture geometry2024-07-22.0; height support2018</x:v>
      </x:c>
      <x:c r="Q198" s="2" t="str">
        <x:v>Adjusted GADM4.1 boundaries; included Overture coverage unknown; China shortfall flagged; not a contemporaneous2020 census</x:v>
      </x:c>
      <x:c r="R198" s="2" t="str">
        <x:v>https://data.jrc.ec.europa.eu/dataset/f41a22f1-5741-4c41-86eb-6384654f6927</x:v>
      </x:c>
      <x:c r="S198" s="13" t="b">
        <x:v>0</x:v>
      </x:c>
      <x:c r="T198" s="13" t="b">
        <x:v>0</x:v>
      </x:c>
    </x:row>
    <x:row r="199" ht="23" customHeight="1">
      <x:c r="A199" s="2" t="str">
        <x:v>YEM</x:v>
      </x:c>
      <x:c r="B199" s="2" t="str">
        <x:v>Yemen (Republic of)</x:v>
      </x:c>
      <x:c r="C199" s="2" t="n">
        <x:v>2020</x:v>
      </x:c>
      <x:c r="D199" s="2" t="str">
        <x:v>OBAT_FOOTPRINT</x:v>
      </x:c>
      <x:c r="E199" s="2" t="str">
        <x:v>horizontal surface / footprint</x:v>
      </x:c>
      <x:c r="F199" s="2" t="str">
        <x:v>m2</x:v>
      </x:c>
      <x:c r="G199" s="17" t="n">
        <x:v>454480387.69</x:v>
      </x:c>
      <x:c r="H199" s="17" t="n">
        <x:v>491232185.88000005</x:v>
      </x:c>
      <x:c r="I199" s="17" t="n">
        <x:f>IF(AND(L199,ISNUMBER(G199),ISNUMBER(H199)),G199-H199,"n.a.")</x:f>
        <x:v>-36751798.19000006</x:v>
      </x:c>
      <x:c r="J199" s="15" t="n">
        <x:f>IF(AND(L199,ISNUMBER(G199),ISNUMBER(H199),H199&gt;0),(G199-H199)/H199,"n.a.")</x:f>
        <x:v>-0.07481553376671031</x:v>
      </x:c>
      <x:c r="K199" s="19" t="n">
        <x:f>IF(ISNUMBER(J199),ABS(J199),"n.a.")</x:f>
        <x:v>0.07481553376671031</x:v>
      </x:c>
      <x:c r="L199" s="13" t="b">
        <x:v>1</x:v>
      </x:c>
      <x:c r="M199" s="13" t="b">
        <x:v>1</x:v>
      </x:c>
      <x:c r="N199" s="2" t="str">
        <x:v>qualified_source_frame_numeric_summary</x:v>
      </x:c>
      <x:c r="O199" s="2" t="str">
        <x:v>none</x:v>
      </x:c>
      <x:c r="P199" s="2" t="str">
        <x:v>nominal2020; Overture geometry2024-07-22.0; height support2018</x:v>
      </x:c>
      <x:c r="Q199" s="2" t="str">
        <x:v>Adjusted GADM4.1 boundaries; included Overture coverage unknown; China shortfall flagged; not a contemporaneous2020 census</x:v>
      </x:c>
      <x:c r="R199" s="2" t="str">
        <x:v>https://data.jrc.ec.europa.eu/dataset/f41a22f1-5741-4c41-86eb-6384654f6927</x:v>
      </x:c>
      <x:c r="S199" s="13" t="b">
        <x:v>0</x:v>
      </x:c>
      <x:c r="T199" s="13" t="b">
        <x:v>0</x:v>
      </x:c>
    </x:row>
    <x:row r="200" ht="23" customHeight="1">
      <x:c r="A200" s="2" t="str">
        <x:v>ZAF</x:v>
      </x:c>
      <x:c r="B200" s="2" t="str">
        <x:v>South Africa (Republic of)</x:v>
      </x:c>
      <x:c r="C200" s="2" t="n">
        <x:v>2020</x:v>
      </x:c>
      <x:c r="D200" s="2" t="str">
        <x:v>OBAT_FOOTPRINT</x:v>
      </x:c>
      <x:c r="E200" s="2" t="str">
        <x:v>horizontal surface / footprint</x:v>
      </x:c>
      <x:c r="F200" s="2" t="str">
        <x:v>m2</x:v>
      </x:c>
      <x:c r="G200" s="17" t="n">
        <x:v>2711325840.61</x:v>
      </x:c>
      <x:c r="H200" s="17" t="n">
        <x:v>2969965974.75</x:v>
      </x:c>
      <x:c r="I200" s="17" t="n">
        <x:f>IF(AND(L200,ISNUMBER(G200),ISNUMBER(H200)),G200-H200,"n.a.")</x:f>
        <x:v>-258640134.13999987</x:v>
      </x:c>
      <x:c r="J200" s="15" t="n">
        <x:f>IF(AND(L200,ISNUMBER(G200),ISNUMBER(H200),H200&gt;0),(G200-H200)/H200,"n.a.")</x:f>
        <x:v>-0.08708521792468386</x:v>
      </x:c>
      <x:c r="K200" s="19" t="n">
        <x:f>IF(ISNUMBER(J200),ABS(J200),"n.a.")</x:f>
        <x:v>0.08708521792468386</x:v>
      </x:c>
      <x:c r="L200" s="13" t="b">
        <x:v>1</x:v>
      </x:c>
      <x:c r="M200" s="13" t="b">
        <x:v>1</x:v>
      </x:c>
      <x:c r="N200" s="2" t="str">
        <x:v>qualified_source_frame_numeric_summary</x:v>
      </x:c>
      <x:c r="O200" s="2" t="str">
        <x:v>none</x:v>
      </x:c>
      <x:c r="P200" s="2" t="str">
        <x:v>nominal2020; Overture geometry2024-07-22.0; height support2018</x:v>
      </x:c>
      <x:c r="Q200" s="2" t="str">
        <x:v>Adjusted GADM4.1 boundaries; included Overture coverage unknown; China shortfall flagged; not a contemporaneous2020 census</x:v>
      </x:c>
      <x:c r="R200" s="2" t="str">
        <x:v>https://data.jrc.ec.europa.eu/dataset/f41a22f1-5741-4c41-86eb-6384654f6927</x:v>
      </x:c>
      <x:c r="S200" s="13" t="b">
        <x:v>0</x:v>
      </x:c>
      <x:c r="T200" s="13" t="b">
        <x:v>0</x:v>
      </x:c>
    </x:row>
    <x:row r="201" ht="23" customHeight="1">
      <x:c r="A201" s="2" t="str">
        <x:v>ZMB</x:v>
      </x:c>
      <x:c r="B201" s="2" t="str">
        <x:v>Zambia (Republic of)</x:v>
      </x:c>
      <x:c r="C201" s="2" t="n">
        <x:v>2020</x:v>
      </x:c>
      <x:c r="D201" s="2" t="str">
        <x:v>OBAT_FOOTPRINT</x:v>
      </x:c>
      <x:c r="E201" s="2" t="str">
        <x:v>horizontal surface / footprint</x:v>
      </x:c>
      <x:c r="F201" s="2" t="str">
        <x:v>m2</x:v>
      </x:c>
      <x:c r="G201" s="17" t="n">
        <x:v>396696842.5</x:v>
      </x:c>
      <x:c r="H201" s="17" t="n">
        <x:v>478557287.66</x:v>
      </x:c>
      <x:c r="I201" s="17" t="n">
        <x:f>IF(AND(L201,ISNUMBER(G201),ISNUMBER(H201)),G201-H201,"n.a.")</x:f>
        <x:v>-81860445.16000003</x:v>
      </x:c>
      <x:c r="J201" s="15" t="n">
        <x:f>IF(AND(L201,ISNUMBER(G201),ISNUMBER(H201),H201&gt;0),(G201-H201)/H201,"n.a.")</x:f>
        <x:v>-0.17105673086763085</x:v>
      </x:c>
      <x:c r="K201" s="19" t="n">
        <x:f>IF(ISNUMBER(J201),ABS(J201),"n.a.")</x:f>
        <x:v>0.17105673086763085</x:v>
      </x:c>
      <x:c r="L201" s="13" t="b">
        <x:v>1</x:v>
      </x:c>
      <x:c r="M201" s="13" t="b">
        <x:v>1</x:v>
      </x:c>
      <x:c r="N201" s="2" t="str">
        <x:v>qualified_source_frame_numeric_summary</x:v>
      </x:c>
      <x:c r="O201" s="2" t="str">
        <x:v>none</x:v>
      </x:c>
      <x:c r="P201" s="2" t="str">
        <x:v>nominal2020; Overture geometry2024-07-22.0; height support2018</x:v>
      </x:c>
      <x:c r="Q201" s="2" t="str">
        <x:v>Adjusted GADM4.1 boundaries; included Overture coverage unknown; China shortfall flagged; not a contemporaneous2020 census</x:v>
      </x:c>
      <x:c r="R201" s="2" t="str">
        <x:v>https://data.jrc.ec.europa.eu/dataset/f41a22f1-5741-4c41-86eb-6384654f6927</x:v>
      </x:c>
      <x:c r="S201" s="13" t="b">
        <x:v>0</x:v>
      </x:c>
      <x:c r="T201" s="13" t="b">
        <x:v>0</x:v>
      </x:c>
    </x:row>
    <x:row r="202" ht="23" customHeight="1">
      <x:c r="A202" s="2" t="str">
        <x:v>ZWE</x:v>
      </x:c>
      <x:c r="B202" s="2" t="str">
        <x:v>Zimbabwe (Republic of)</x:v>
      </x:c>
      <x:c r="C202" s="2" t="n">
        <x:v>2020</x:v>
      </x:c>
      <x:c r="D202" s="2" t="str">
        <x:v>OBAT_FOOTPRINT</x:v>
      </x:c>
      <x:c r="E202" s="2" t="str">
        <x:v>horizontal surface / footprint</x:v>
      </x:c>
      <x:c r="F202" s="2" t="str">
        <x:v>m2</x:v>
      </x:c>
      <x:c r="G202" s="17" t="n">
        <x:v>420425813.98</x:v>
      </x:c>
      <x:c r="H202" s="17" t="n">
        <x:v>541794593.21</x:v>
      </x:c>
      <x:c r="I202" s="17" t="n">
        <x:f>IF(AND(L202,ISNUMBER(G202),ISNUMBER(H202)),G202-H202,"n.a.")</x:f>
        <x:v>-121368779.23000002</x:v>
      </x:c>
      <x:c r="J202" s="15" t="n">
        <x:f>IF(AND(L202,ISNUMBER(G202),ISNUMBER(H202),H202&gt;0),(G202-H202)/H202,"n.a.")</x:f>
        <x:v>-0.22401253307257973</x:v>
      </x:c>
      <x:c r="K202" s="19" t="n">
        <x:f>IF(ISNUMBER(J202),ABS(J202),"n.a.")</x:f>
        <x:v>0.22401253307257973</x:v>
      </x:c>
      <x:c r="L202" s="13" t="b">
        <x:v>1</x:v>
      </x:c>
      <x:c r="M202" s="13" t="b">
        <x:v>1</x:v>
      </x:c>
      <x:c r="N202" s="2" t="str">
        <x:v>qualified_source_frame_numeric_summary</x:v>
      </x:c>
      <x:c r="O202" s="2" t="str">
        <x:v>none</x:v>
      </x:c>
      <x:c r="P202" s="2" t="str">
        <x:v>nominal2020; Overture geometry2024-07-22.0; height support2018</x:v>
      </x:c>
      <x:c r="Q202" s="2" t="str">
        <x:v>Adjusted GADM4.1 boundaries; included Overture coverage unknown; China shortfall flagged; not a contemporaneous2020 census</x:v>
      </x:c>
      <x:c r="R202" s="2" t="str">
        <x:v>https://data.jrc.ec.europa.eu/dataset/f41a22f1-5741-4c41-86eb-6384654f6927</x:v>
      </x:c>
      <x:c r="S202" s="13" t="b">
        <x:v>0</x:v>
      </x:c>
      <x:c r="T202" s="13" t="b">
        <x:v>0</x:v>
      </x:c>
    </x:row>
    <x:row r="203" ht="23" customHeight="1">
      <x:c r="A203" s="2" t="str">
        <x:v>AFG</x:v>
      </x:c>
      <x:c r="B203" s="2" t="str">
        <x:v>Afghanistan (Islamic Republic of)</x:v>
      </x:c>
      <x:c r="C203" s="2" t="n">
        <x:v>2020</x:v>
      </x:c>
      <x:c r="D203" s="2" t="str">
        <x:v>GHSL_SURFACE</x:v>
      </x:c>
      <x:c r="E203" s="2" t="str">
        <x:v>horizontal surface / footprint</x:v>
      </x:c>
      <x:c r="F203" s="2" t="str">
        <x:v>m2</x:v>
      </x:c>
      <x:c r="G203" s="17" t="n">
        <x:v>853208432.45</x:v>
      </x:c>
      <x:c r="H203" s="17" t="n">
        <x:v>601824958</x:v>
      </x:c>
      <x:c r="I203" s="17" t="n">
        <x:f>IF(AND(L203,ISNUMBER(G203),ISNUMBER(H203)),G203-H203,"n.a.")</x:f>
        <x:v>251383474.45000005</x:v>
      </x:c>
      <x:c r="J203" s="15" t="n">
        <x:f>IF(AND(L203,ISNUMBER(G203),ISNUMBER(H203),H203&gt;0),(G203-H203)/H203,"n.a.")</x:f>
        <x:v>0.41770197647735313</x:v>
      </x:c>
      <x:c r="K203" s="19" t="n">
        <x:f>IF(ISNUMBER(J203),ABS(J203),"n.a.")</x:f>
        <x:v>0.41770197647735313</x:v>
      </x:c>
      <x:c r="L203" s="13" t="b">
        <x:v>1</x:v>
      </x:c>
      <x:c r="M203" s="13" t="b">
        <x:v>1</x:v>
      </x:c>
      <x:c r="N203" s="2" t="str">
        <x:v>legacy epoch_status=observed; not exact acquisition proof</x:v>
      </x:c>
      <x:c r="O203" s="2" t="str">
        <x:v>none</x:v>
      </x:c>
      <x:c r="P203" s="2" t="str">
        <x:v>historical source estimate</x:v>
      </x:c>
      <x:c r="Q203" s="2" t="str">
        <x:v>Saved country aggregation; cross-source boundary and pixel-support alignment not certified; legacy observed flag is not acquisition proof</x:v>
      </x:c>
      <x:c r="R203" s="2" t="str">
        <x:v>https://human-settlement.emergency.copernicus.eu/ghs_buS2023.php</x:v>
      </x:c>
      <x:c r="S203" s="13" t="b">
        <x:v>0</x:v>
      </x:c>
      <x:c r="T203" s="13" t="b">
        <x:v>0</x:v>
      </x:c>
    </x:row>
    <x:row r="204" ht="23" customHeight="1">
      <x:c r="A204" s="2" t="str">
        <x:v>AGO</x:v>
      </x:c>
      <x:c r="B204" s="2" t="str">
        <x:v>Angola (Republic of)</x:v>
      </x:c>
      <x:c r="C204" s="2" t="n">
        <x:v>2020</x:v>
      </x:c>
      <x:c r="D204" s="2" t="str">
        <x:v>GHSL_SURFACE</x:v>
      </x:c>
      <x:c r="E204" s="2" t="str">
        <x:v>horizontal surface / footprint</x:v>
      </x:c>
      <x:c r="F204" s="2" t="str">
        <x:v>m2</x:v>
      </x:c>
      <x:c r="G204" s="17" t="n">
        <x:v>512504617.86</x:v>
      </x:c>
      <x:c r="H204" s="17" t="n">
        <x:v>1281466302</x:v>
      </x:c>
      <x:c r="I204" s="17" t="n">
        <x:f>IF(AND(L204,ISNUMBER(G204),ISNUMBER(H204)),G204-H204,"n.a.")</x:f>
        <x:v>-768961684.14</x:v>
      </x:c>
      <x:c r="J204" s="15" t="n">
        <x:f>IF(AND(L204,ISNUMBER(G204),ISNUMBER(H204),H204&gt;0),(G204-H204)/H204,"n.a.")</x:f>
        <x:v>-0.6000639134559155</x:v>
      </x:c>
      <x:c r="K204" s="19" t="n">
        <x:f>IF(ISNUMBER(J204),ABS(J204),"n.a.")</x:f>
        <x:v>0.6000639134559155</x:v>
      </x:c>
      <x:c r="L204" s="13" t="b">
        <x:v>1</x:v>
      </x:c>
      <x:c r="M204" s="13" t="b">
        <x:v>1</x:v>
      </x:c>
      <x:c r="N204" s="2" t="str">
        <x:v>legacy epoch_status=observed; not exact acquisition proof</x:v>
      </x:c>
      <x:c r="O204" s="2" t="str">
        <x:v>none</x:v>
      </x:c>
      <x:c r="P204" s="2" t="str">
        <x:v>historical source estimate</x:v>
      </x:c>
      <x:c r="Q204" s="2" t="str">
        <x:v>Saved country aggregation; cross-source boundary and pixel-support alignment not certified; legacy observed flag is not acquisition proof</x:v>
      </x:c>
      <x:c r="R204" s="2" t="str">
        <x:v>https://human-settlement.emergency.copernicus.eu/ghs_buS2023.php</x:v>
      </x:c>
      <x:c r="S204" s="13" t="b">
        <x:v>0</x:v>
      </x:c>
      <x:c r="T204" s="13" t="b">
        <x:v>0</x:v>
      </x:c>
    </x:row>
    <x:row r="205" ht="23" customHeight="1">
      <x:c r="A205" s="2" t="str">
        <x:v>ALB</x:v>
      </x:c>
      <x:c r="B205" s="2" t="str">
        <x:v>Albania (Republic of)</x:v>
      </x:c>
      <x:c r="C205" s="2" t="n">
        <x:v>2020</x:v>
      </x:c>
      <x:c r="D205" s="2" t="str">
        <x:v>GHSL_SURFACE</x:v>
      </x:c>
      <x:c r="E205" s="2" t="str">
        <x:v>horizontal surface / footprint</x:v>
      </x:c>
      <x:c r="F205" s="2" t="str">
        <x:v>m2</x:v>
      </x:c>
      <x:c r="G205" s="17" t="n">
        <x:v>161276383.52</x:v>
      </x:c>
      <x:c r="H205" s="17" t="n">
        <x:v>237955692</x:v>
      </x:c>
      <x:c r="I205" s="17" t="n">
        <x:f>IF(AND(L205,ISNUMBER(G205),ISNUMBER(H205)),G205-H205,"n.a.")</x:f>
        <x:v>-76679308.47999999</x:v>
      </x:c>
      <x:c r="J205" s="15" t="n">
        <x:f>IF(AND(L205,ISNUMBER(G205),ISNUMBER(H205),H205&gt;0),(G205-H205)/H205,"n.a.")</x:f>
        <x:v>-0.32224195956615315</x:v>
      </x:c>
      <x:c r="K205" s="19" t="n">
        <x:f>IF(ISNUMBER(J205),ABS(J205),"n.a.")</x:f>
        <x:v>0.32224195956615315</x:v>
      </x:c>
      <x:c r="L205" s="13" t="b">
        <x:v>1</x:v>
      </x:c>
      <x:c r="M205" s="13" t="b">
        <x:v>1</x:v>
      </x:c>
      <x:c r="N205" s="2" t="str">
        <x:v>legacy epoch_status=observed; not exact acquisition proof</x:v>
      </x:c>
      <x:c r="O205" s="2" t="str">
        <x:v>none</x:v>
      </x:c>
      <x:c r="P205" s="2" t="str">
        <x:v>historical source estimate</x:v>
      </x:c>
      <x:c r="Q205" s="2" t="str">
        <x:v>Saved country aggregation; cross-source boundary and pixel-support alignment not certified; legacy observed flag is not acquisition proof</x:v>
      </x:c>
      <x:c r="R205" s="2" t="str">
        <x:v>https://human-settlement.emergency.copernicus.eu/ghs_buS2023.php</x:v>
      </x:c>
      <x:c r="S205" s="13" t="b">
        <x:v>0</x:v>
      </x:c>
      <x:c r="T205" s="13" t="b">
        <x:v>0</x:v>
      </x:c>
    </x:row>
    <x:row r="206" ht="23" customHeight="1">
      <x:c r="A206" s="2" t="str">
        <x:v>AND</x:v>
      </x:c>
      <x:c r="B206" s="2" t="str">
        <x:v>Andorra (Principality of)</x:v>
      </x:c>
      <x:c r="C206" s="2" t="n">
        <x:v>2020</x:v>
      </x:c>
      <x:c r="D206" s="2" t="str">
        <x:v>GHSL_SURFACE</x:v>
      </x:c>
      <x:c r="E206" s="2" t="str">
        <x:v>horizontal surface / footprint</x:v>
      </x:c>
      <x:c r="F206" s="2" t="str">
        <x:v>m2</x:v>
      </x:c>
      <x:c r="G206" s="17" t="n">
        <x:v>2209198.1</x:v>
      </x:c>
      <x:c r="H206" s="17" t="n">
        <x:v>2225731</x:v>
      </x:c>
      <x:c r="I206" s="17" t="n">
        <x:f>IF(AND(L206,ISNUMBER(G206),ISNUMBER(H206)),G206-H206,"n.a.")</x:f>
        <x:v>-16532.899999999907</x:v>
      </x:c>
      <x:c r="J206" s="15" t="n">
        <x:f>IF(AND(L206,ISNUMBER(G206),ISNUMBER(H206),H206&gt;0),(G206-H206)/H206,"n.a.")</x:f>
        <x:v>-0.007428076438707062</x:v>
      </x:c>
      <x:c r="K206" s="19" t="n">
        <x:f>IF(ISNUMBER(J206),ABS(J206),"n.a.")</x:f>
        <x:v>0.007428076438707062</x:v>
      </x:c>
      <x:c r="L206" s="13" t="b">
        <x:v>1</x:v>
      </x:c>
      <x:c r="M206" s="13" t="b">
        <x:v>1</x:v>
      </x:c>
      <x:c r="N206" s="2" t="str">
        <x:v>legacy epoch_status=observed; not exact acquisition proof</x:v>
      </x:c>
      <x:c r="O206" s="2" t="str">
        <x:v>none</x:v>
      </x:c>
      <x:c r="P206" s="2" t="str">
        <x:v>historical source estimate</x:v>
      </x:c>
      <x:c r="Q206" s="2" t="str">
        <x:v>Saved country aggregation; cross-source boundary and pixel-support alignment not certified; legacy observed flag is not acquisition proof</x:v>
      </x:c>
      <x:c r="R206" s="2" t="str">
        <x:v>https://human-settlement.emergency.copernicus.eu/ghs_buS2023.php</x:v>
      </x:c>
      <x:c r="S206" s="13" t="b">
        <x:v>0</x:v>
      </x:c>
      <x:c r="T206" s="13" t="b">
        <x:v>0</x:v>
      </x:c>
    </x:row>
    <x:row r="207" ht="23" customHeight="1">
      <x:c r="A207" s="2" t="str">
        <x:v>ARE</x:v>
      </x:c>
      <x:c r="B207" s="2" t="str">
        <x:v>United Arab Emirates</x:v>
      </x:c>
      <x:c r="C207" s="2" t="n">
        <x:v>2020</x:v>
      </x:c>
      <x:c r="D207" s="2" t="str">
        <x:v>GHSL_SURFACE</x:v>
      </x:c>
      <x:c r="E207" s="2" t="str">
        <x:v>horizontal surface / footprint</x:v>
      </x:c>
      <x:c r="F207" s="2" t="str">
        <x:v>m2</x:v>
      </x:c>
      <x:c r="G207" s="17" t="n">
        <x:v>458879702.88</x:v>
      </x:c>
      <x:c r="H207" s="17" t="n">
        <x:v>620014254</x:v>
      </x:c>
      <x:c r="I207" s="17" t="n">
        <x:f>IF(AND(L207,ISNUMBER(G207),ISNUMBER(H207)),G207-H207,"n.a.")</x:f>
        <x:v>-161134551.12</x:v>
      </x:c>
      <x:c r="J207" s="15" t="n">
        <x:f>IF(AND(L207,ISNUMBER(G207),ISNUMBER(H207),H207&gt;0),(G207-H207)/H207,"n.a.")</x:f>
        <x:v>-0.2598884623707377</x:v>
      </x:c>
      <x:c r="K207" s="19" t="n">
        <x:f>IF(ISNUMBER(J207),ABS(J207),"n.a.")</x:f>
        <x:v>0.2598884623707377</x:v>
      </x:c>
      <x:c r="L207" s="13" t="b">
        <x:v>1</x:v>
      </x:c>
      <x:c r="M207" s="13" t="b">
        <x:v>1</x:v>
      </x:c>
      <x:c r="N207" s="2" t="str">
        <x:v>legacy epoch_status=observed; not exact acquisition proof</x:v>
      </x:c>
      <x:c r="O207" s="2" t="str">
        <x:v>none</x:v>
      </x:c>
      <x:c r="P207" s="2" t="str">
        <x:v>historical source estimate</x:v>
      </x:c>
      <x:c r="Q207" s="2" t="str">
        <x:v>Saved country aggregation; cross-source boundary and pixel-support alignment not certified; legacy observed flag is not acquisition proof</x:v>
      </x:c>
      <x:c r="R207" s="2" t="str">
        <x:v>https://human-settlement.emergency.copernicus.eu/ghs_buS2023.php</x:v>
      </x:c>
      <x:c r="S207" s="13" t="b">
        <x:v>0</x:v>
      </x:c>
      <x:c r="T207" s="13" t="b">
        <x:v>0</x:v>
      </x:c>
    </x:row>
    <x:row r="208" ht="23" customHeight="1">
      <x:c r="A208" s="2" t="str">
        <x:v>ARG</x:v>
      </x:c>
      <x:c r="B208" s="2" t="str">
        <x:v>Argentina (Argentine Republic)</x:v>
      </x:c>
      <x:c r="C208" s="2" t="n">
        <x:v>2020</x:v>
      </x:c>
      <x:c r="D208" s="2" t="str">
        <x:v>GHSL_SURFACE</x:v>
      </x:c>
      <x:c r="E208" s="2" t="str">
        <x:v>horizontal surface / footprint</x:v>
      </x:c>
      <x:c r="F208" s="2" t="str">
        <x:v>m2</x:v>
      </x:c>
      <x:c r="G208" s="17" t="n">
        <x:v>2382940448.4</x:v>
      </x:c>
      <x:c r="H208" s="17" t="n">
        <x:v>3922202527</x:v>
      </x:c>
      <x:c r="I208" s="17" t="n">
        <x:f>IF(AND(L208,ISNUMBER(G208),ISNUMBER(H208)),G208-H208,"n.a.")</x:f>
        <x:v>-1539262078.6</x:v>
      </x:c>
      <x:c r="J208" s="15" t="n">
        <x:f>IF(AND(L208,ISNUMBER(G208),ISNUMBER(H208),H208&gt;0),(G208-H208)/H208,"n.a.")</x:f>
        <x:v>-0.39244839296387507</x:v>
      </x:c>
      <x:c r="K208" s="19" t="n">
        <x:f>IF(ISNUMBER(J208),ABS(J208),"n.a.")</x:f>
        <x:v>0.39244839296387507</x:v>
      </x:c>
      <x:c r="L208" s="13" t="b">
        <x:v>1</x:v>
      </x:c>
      <x:c r="M208" s="13" t="b">
        <x:v>1</x:v>
      </x:c>
      <x:c r="N208" s="2" t="str">
        <x:v>legacy epoch_status=observed; not exact acquisition proof</x:v>
      </x:c>
      <x:c r="O208" s="2" t="str">
        <x:v>none</x:v>
      </x:c>
      <x:c r="P208" s="2" t="str">
        <x:v>historical source estimate</x:v>
      </x:c>
      <x:c r="Q208" s="2" t="str">
        <x:v>Saved country aggregation; cross-source boundary and pixel-support alignment not certified; legacy observed flag is not acquisition proof</x:v>
      </x:c>
      <x:c r="R208" s="2" t="str">
        <x:v>https://human-settlement.emergency.copernicus.eu/ghs_buS2023.php</x:v>
      </x:c>
      <x:c r="S208" s="13" t="b">
        <x:v>0</x:v>
      </x:c>
      <x:c r="T208" s="13" t="b">
        <x:v>0</x:v>
      </x:c>
    </x:row>
    <x:row r="209" ht="23" customHeight="1">
      <x:c r="A209" s="2" t="str">
        <x:v>ARM</x:v>
      </x:c>
      <x:c r="B209" s="2" t="str">
        <x:v>Armenia (Republic of)</x:v>
      </x:c>
      <x:c r="C209" s="2" t="n">
        <x:v>2020</x:v>
      </x:c>
      <x:c r="D209" s="2" t="str">
        <x:v>GHSL_SURFACE</x:v>
      </x:c>
      <x:c r="E209" s="2" t="str">
        <x:v>horizontal surface / footprint</x:v>
      </x:c>
      <x:c r="F209" s="2" t="str">
        <x:v>m2</x:v>
      </x:c>
      <x:c r="G209" s="17" t="n">
        <x:v>142786500.21</x:v>
      </x:c>
      <x:c r="H209" s="17" t="n">
        <x:v>222493806</x:v>
      </x:c>
      <x:c r="I209" s="17" t="n">
        <x:f>IF(AND(L209,ISNUMBER(G209),ISNUMBER(H209)),G209-H209,"n.a.")</x:f>
        <x:v>-79707305.78999999</x:v>
      </x:c>
      <x:c r="J209" s="15" t="n">
        <x:f>IF(AND(L209,ISNUMBER(G209),ISNUMBER(H209),H209&gt;0),(G209-H209)/H209,"n.a.")</x:f>
        <x:v>-0.3582450551005451</x:v>
      </x:c>
      <x:c r="K209" s="19" t="n">
        <x:f>IF(ISNUMBER(J209),ABS(J209),"n.a.")</x:f>
        <x:v>0.3582450551005451</x:v>
      </x:c>
      <x:c r="L209" s="13" t="b">
        <x:v>1</x:v>
      </x:c>
      <x:c r="M209" s="13" t="b">
        <x:v>1</x:v>
      </x:c>
      <x:c r="N209" s="2" t="str">
        <x:v>legacy epoch_status=observed; not exact acquisition proof</x:v>
      </x:c>
      <x:c r="O209" s="2" t="str">
        <x:v>none</x:v>
      </x:c>
      <x:c r="P209" s="2" t="str">
        <x:v>historical source estimate</x:v>
      </x:c>
      <x:c r="Q209" s="2" t="str">
        <x:v>Saved country aggregation; cross-source boundary and pixel-support alignment not certified; legacy observed flag is not acquisition proof</x:v>
      </x:c>
      <x:c r="R209" s="2" t="str">
        <x:v>https://human-settlement.emergency.copernicus.eu/ghs_buS2023.php</x:v>
      </x:c>
      <x:c r="S209" s="13" t="b">
        <x:v>0</x:v>
      </x:c>
      <x:c r="T209" s="13" t="b">
        <x:v>0</x:v>
      </x:c>
    </x:row>
    <x:row r="210" ht="23" customHeight="1">
      <x:c r="A210" s="2" t="str">
        <x:v>ATG</x:v>
      </x:c>
      <x:c r="B210" s="2" t="str">
        <x:v>Antigua and Barbuda</x:v>
      </x:c>
      <x:c r="C210" s="2" t="n">
        <x:v>2020</x:v>
      </x:c>
      <x:c r="D210" s="2" t="str">
        <x:v>GHSL_SURFACE</x:v>
      </x:c>
      <x:c r="E210" s="2" t="str">
        <x:v>horizontal surface / footprint</x:v>
      </x:c>
      <x:c r="F210" s="2" t="str">
        <x:v>m2</x:v>
      </x:c>
      <x:c r="G210" s="17" t="n">
        <x:v>7437404.66</x:v>
      </x:c>
      <x:c r="H210" s="17" t="n">
        <x:v>13752045</x:v>
      </x:c>
      <x:c r="I210" s="17" t="n">
        <x:f>IF(AND(L210,ISNUMBER(G210),ISNUMBER(H210)),G210-H210,"n.a.")</x:f>
        <x:v>-6314640.34</x:v>
      </x:c>
      <x:c r="J210" s="15" t="n">
        <x:f>IF(AND(L210,ISNUMBER(G210),ISNUMBER(H210),H210&gt;0),(G210-H210)/H210,"n.a.")</x:f>
        <x:v>-0.4591782778488581</x:v>
      </x:c>
      <x:c r="K210" s="19" t="n">
        <x:f>IF(ISNUMBER(J210),ABS(J210),"n.a.")</x:f>
        <x:v>0.4591782778488581</x:v>
      </x:c>
      <x:c r="L210" s="13" t="b">
        <x:v>1</x:v>
      </x:c>
      <x:c r="M210" s="13" t="b">
        <x:v>1</x:v>
      </x:c>
      <x:c r="N210" s="2" t="str">
        <x:v>legacy epoch_status=observed; not exact acquisition proof</x:v>
      </x:c>
      <x:c r="O210" s="2" t="str">
        <x:v>none</x:v>
      </x:c>
      <x:c r="P210" s="2" t="str">
        <x:v>historical source estimate</x:v>
      </x:c>
      <x:c r="Q210" s="2" t="str">
        <x:v>Saved country aggregation; cross-source boundary and pixel-support alignment not certified; legacy observed flag is not acquisition proof</x:v>
      </x:c>
      <x:c r="R210" s="2" t="str">
        <x:v>https://human-settlement.emergency.copernicus.eu/ghs_buS2023.php</x:v>
      </x:c>
      <x:c r="S210" s="13" t="b">
        <x:v>0</x:v>
      </x:c>
      <x:c r="T210" s="13" t="b">
        <x:v>0</x:v>
      </x:c>
    </x:row>
    <x:row r="211" ht="23" customHeight="1">
      <x:c r="A211" s="2" t="str">
        <x:v>AUS</x:v>
      </x:c>
      <x:c r="B211" s="2" t="str">
        <x:v>Australia (Commonwealth of)</x:v>
      </x:c>
      <x:c r="C211" s="2" t="n">
        <x:v>2020</x:v>
      </x:c>
      <x:c r="D211" s="2" t="str">
        <x:v>GHSL_SURFACE</x:v>
      </x:c>
      <x:c r="E211" s="2" t="str">
        <x:v>horizontal surface / footprint</x:v>
      </x:c>
      <x:c r="F211" s="2" t="str">
        <x:v>m2</x:v>
      </x:c>
      <x:c r="G211" s="17" t="n">
        <x:v>3011161094.86</x:v>
      </x:c>
      <x:c r="H211" s="17" t="n">
        <x:v>5035897826</x:v>
      </x:c>
      <x:c r="I211" s="17" t="n">
        <x:f>IF(AND(L211,ISNUMBER(G211),ISNUMBER(H211)),G211-H211,"n.a.")</x:f>
        <x:v>-2024736731.1399999</x:v>
      </x:c>
      <x:c r="J211" s="15" t="n">
        <x:f>IF(AND(L211,ISNUMBER(G211),ISNUMBER(H211),H211&gt;0),(G211-H211)/H211,"n.a.")</x:f>
        <x:v>-0.40206072503822876</x:v>
      </x:c>
      <x:c r="K211" s="19" t="n">
        <x:f>IF(ISNUMBER(J211),ABS(J211),"n.a.")</x:f>
        <x:v>0.40206072503822876</x:v>
      </x:c>
      <x:c r="L211" s="13" t="b">
        <x:v>1</x:v>
      </x:c>
      <x:c r="M211" s="13" t="b">
        <x:v>1</x:v>
      </x:c>
      <x:c r="N211" s="2" t="str">
        <x:v>legacy epoch_status=observed; not exact acquisition proof</x:v>
      </x:c>
      <x:c r="O211" s="2" t="str">
        <x:v>none</x:v>
      </x:c>
      <x:c r="P211" s="2" t="str">
        <x:v>historical source estimate</x:v>
      </x:c>
      <x:c r="Q211" s="2" t="str">
        <x:v>Saved country aggregation; cross-source boundary and pixel-support alignment not certified; legacy observed flag is not acquisition proof</x:v>
      </x:c>
      <x:c r="R211" s="2" t="str">
        <x:v>https://human-settlement.emergency.copernicus.eu/ghs_buS2023.php</x:v>
      </x:c>
      <x:c r="S211" s="13" t="b">
        <x:v>0</x:v>
      </x:c>
      <x:c r="T211" s="13" t="b">
        <x:v>0</x:v>
      </x:c>
    </x:row>
    <x:row r="212" ht="23" customHeight="1">
      <x:c r="A212" s="2" t="str">
        <x:v>AUT</x:v>
      </x:c>
      <x:c r="B212" s="2" t="str">
        <x:v>Austria (Republic of)</x:v>
      </x:c>
      <x:c r="C212" s="2" t="n">
        <x:v>2020</x:v>
      </x:c>
      <x:c r="D212" s="2" t="str">
        <x:v>GHSL_SURFACE</x:v>
      </x:c>
      <x:c r="E212" s="2" t="str">
        <x:v>horizontal surface / footprint</x:v>
      </x:c>
      <x:c r="F212" s="2" t="str">
        <x:v>m2</x:v>
      </x:c>
      <x:c r="G212" s="17" t="n">
        <x:v>852795432.34</x:v>
      </x:c>
      <x:c r="H212" s="17" t="n">
        <x:v>1140281128</x:v>
      </x:c>
      <x:c r="I212" s="17" t="n">
        <x:f>IF(AND(L212,ISNUMBER(G212),ISNUMBER(H212)),G212-H212,"n.a.")</x:f>
        <x:v>-287485695.65999997</x:v>
      </x:c>
      <x:c r="J212" s="15" t="n">
        <x:f>IF(AND(L212,ISNUMBER(G212),ISNUMBER(H212),H212&gt;0),(G212-H212)/H212,"n.a.")</x:f>
        <x:v>-0.25211826154155204</x:v>
      </x:c>
      <x:c r="K212" s="19" t="n">
        <x:f>IF(ISNUMBER(J212),ABS(J212),"n.a.")</x:f>
        <x:v>0.25211826154155204</x:v>
      </x:c>
      <x:c r="L212" s="13" t="b">
        <x:v>1</x:v>
      </x:c>
      <x:c r="M212" s="13" t="b">
        <x:v>1</x:v>
      </x:c>
      <x:c r="N212" s="2" t="str">
        <x:v>legacy epoch_status=observed; not exact acquisition proof</x:v>
      </x:c>
      <x:c r="O212" s="2" t="str">
        <x:v>none</x:v>
      </x:c>
      <x:c r="P212" s="2" t="str">
        <x:v>historical source estimate</x:v>
      </x:c>
      <x:c r="Q212" s="2" t="str">
        <x:v>Saved country aggregation; cross-source boundary and pixel-support alignment not certified; legacy observed flag is not acquisition proof</x:v>
      </x:c>
      <x:c r="R212" s="2" t="str">
        <x:v>https://human-settlement.emergency.copernicus.eu/ghs_buS2023.php</x:v>
      </x:c>
      <x:c r="S212" s="13" t="b">
        <x:v>0</x:v>
      </x:c>
      <x:c r="T212" s="13" t="b">
        <x:v>0</x:v>
      </x:c>
    </x:row>
    <x:row r="213" ht="23" customHeight="1">
      <x:c r="A213" s="2" t="str">
        <x:v>AZE</x:v>
      </x:c>
      <x:c r="B213" s="2" t="str">
        <x:v>Azerbaijan (Republic of)</x:v>
      </x:c>
      <x:c r="C213" s="2" t="n">
        <x:v>2020</x:v>
      </x:c>
      <x:c r="D213" s="2" t="str">
        <x:v>GHSL_SURFACE</x:v>
      </x:c>
      <x:c r="E213" s="2" t="str">
        <x:v>horizontal surface / footprint</x:v>
      </x:c>
      <x:c r="F213" s="2" t="str">
        <x:v>m2</x:v>
      </x:c>
      <x:c r="G213" s="17" t="n">
        <x:v>507953272.9</x:v>
      </x:c>
      <x:c r="H213" s="17" t="n">
        <x:v>837638041</x:v>
      </x:c>
      <x:c r="I213" s="17" t="n">
        <x:f>IF(AND(L213,ISNUMBER(G213),ISNUMBER(H213)),G213-H213,"n.a.")</x:f>
        <x:v>-329684768.1</x:v>
      </x:c>
      <x:c r="J213" s="15" t="n">
        <x:f>IF(AND(L213,ISNUMBER(G213),ISNUMBER(H213),H213&gt;0),(G213-H213)/H213,"n.a.")</x:f>
        <x:v>-0.3935885811804959</x:v>
      </x:c>
      <x:c r="K213" s="19" t="n">
        <x:f>IF(ISNUMBER(J213),ABS(J213),"n.a.")</x:f>
        <x:v>0.3935885811804959</x:v>
      </x:c>
      <x:c r="L213" s="13" t="b">
        <x:v>1</x:v>
      </x:c>
      <x:c r="M213" s="13" t="b">
        <x:v>1</x:v>
      </x:c>
      <x:c r="N213" s="2" t="str">
        <x:v>legacy epoch_status=observed; not exact acquisition proof</x:v>
      </x:c>
      <x:c r="O213" s="2" t="str">
        <x:v>none</x:v>
      </x:c>
      <x:c r="P213" s="2" t="str">
        <x:v>historical source estimate</x:v>
      </x:c>
      <x:c r="Q213" s="2" t="str">
        <x:v>Saved country aggregation; cross-source boundary and pixel-support alignment not certified; legacy observed flag is not acquisition proof</x:v>
      </x:c>
      <x:c r="R213" s="2" t="str">
        <x:v>https://human-settlement.emergency.copernicus.eu/ghs_buS2023.php</x:v>
      </x:c>
      <x:c r="S213" s="13" t="b">
        <x:v>0</x:v>
      </x:c>
      <x:c r="T213" s="13" t="b">
        <x:v>0</x:v>
      </x:c>
    </x:row>
    <x:row r="214" ht="23" customHeight="1">
      <x:c r="A214" s="2" t="str">
        <x:v>BDI</x:v>
      </x:c>
      <x:c r="B214" s="2" t="str">
        <x:v>Burundi (Republic of)</x:v>
      </x:c>
      <x:c r="C214" s="2" t="n">
        <x:v>2020</x:v>
      </x:c>
      <x:c r="D214" s="2" t="str">
        <x:v>GHSL_SURFACE</x:v>
      </x:c>
      <x:c r="E214" s="2" t="str">
        <x:v>horizontal surface / footprint</x:v>
      </x:c>
      <x:c r="F214" s="2" t="str">
        <x:v>m2</x:v>
      </x:c>
      <x:c r="G214" s="17" t="n">
        <x:v>147710691.61</x:v>
      </x:c>
      <x:c r="H214" s="17" t="n">
        <x:v>422744368</x:v>
      </x:c>
      <x:c r="I214" s="17" t="n">
        <x:f>IF(AND(L214,ISNUMBER(G214),ISNUMBER(H214)),G214-H214,"n.a.")</x:f>
        <x:v>-275033676.39</x:v>
      </x:c>
      <x:c r="J214" s="15" t="n">
        <x:f>IF(AND(L214,ISNUMBER(G214),ISNUMBER(H214),H214&gt;0),(G214-H214)/H214,"n.a.")</x:f>
        <x:v>-0.6505909888076853</x:v>
      </x:c>
      <x:c r="K214" s="19" t="n">
        <x:f>IF(ISNUMBER(J214),ABS(J214),"n.a.")</x:f>
        <x:v>0.6505909888076853</x:v>
      </x:c>
      <x:c r="L214" s="13" t="b">
        <x:v>1</x:v>
      </x:c>
      <x:c r="M214" s="13" t="b">
        <x:v>1</x:v>
      </x:c>
      <x:c r="N214" s="2" t="str">
        <x:v>legacy epoch_status=observed; not exact acquisition proof</x:v>
      </x:c>
      <x:c r="O214" s="2" t="str">
        <x:v>none</x:v>
      </x:c>
      <x:c r="P214" s="2" t="str">
        <x:v>historical source estimate</x:v>
      </x:c>
      <x:c r="Q214" s="2" t="str">
        <x:v>Saved country aggregation; cross-source boundary and pixel-support alignment not certified; legacy observed flag is not acquisition proof</x:v>
      </x:c>
      <x:c r="R214" s="2" t="str">
        <x:v>https://human-settlement.emergency.copernicus.eu/ghs_buS2023.php</x:v>
      </x:c>
      <x:c r="S214" s="13" t="b">
        <x:v>0</x:v>
      </x:c>
      <x:c r="T214" s="13" t="b">
        <x:v>0</x:v>
      </x:c>
    </x:row>
    <x:row r="215" ht="23" customHeight="1">
      <x:c r="A215" s="2" t="str">
        <x:v>BEL</x:v>
      </x:c>
      <x:c r="B215" s="2" t="str">
        <x:v>Belgium (Kingdom of)</x:v>
      </x:c>
      <x:c r="C215" s="2" t="n">
        <x:v>2020</x:v>
      </x:c>
      <x:c r="D215" s="2" t="str">
        <x:v>GHSL_SURFACE</x:v>
      </x:c>
      <x:c r="E215" s="2" t="str">
        <x:v>horizontal surface / footprint</x:v>
      </x:c>
      <x:c r="F215" s="2" t="str">
        <x:v>m2</x:v>
      </x:c>
      <x:c r="G215" s="17" t="n">
        <x:v>997505427.36</x:v>
      </x:c>
      <x:c r="H215" s="17" t="n">
        <x:v>1512873677</x:v>
      </x:c>
      <x:c r="I215" s="17" t="n">
        <x:f>IF(AND(L215,ISNUMBER(G215),ISNUMBER(H215)),G215-H215,"n.a.")</x:f>
        <x:v>-515368249.64</x:v>
      </x:c>
      <x:c r="J215" s="15" t="n">
        <x:f>IF(AND(L215,ISNUMBER(G215),ISNUMBER(H215),H215&gt;0),(G215-H215)/H215,"n.a.")</x:f>
        <x:v>-0.3406551766185565</x:v>
      </x:c>
      <x:c r="K215" s="19" t="n">
        <x:f>IF(ISNUMBER(J215),ABS(J215),"n.a.")</x:f>
        <x:v>0.3406551766185565</x:v>
      </x:c>
      <x:c r="L215" s="13" t="b">
        <x:v>1</x:v>
      </x:c>
      <x:c r="M215" s="13" t="b">
        <x:v>1</x:v>
      </x:c>
      <x:c r="N215" s="2" t="str">
        <x:v>legacy epoch_status=observed; not exact acquisition proof</x:v>
      </x:c>
      <x:c r="O215" s="2" t="str">
        <x:v>none</x:v>
      </x:c>
      <x:c r="P215" s="2" t="str">
        <x:v>historical source estimate</x:v>
      </x:c>
      <x:c r="Q215" s="2" t="str">
        <x:v>Saved country aggregation; cross-source boundary and pixel-support alignment not certified; legacy observed flag is not acquisition proof</x:v>
      </x:c>
      <x:c r="R215" s="2" t="str">
        <x:v>https://human-settlement.emergency.copernicus.eu/ghs_buS2023.php</x:v>
      </x:c>
      <x:c r="S215" s="13" t="b">
        <x:v>0</x:v>
      </x:c>
      <x:c r="T215" s="13" t="b">
        <x:v>0</x:v>
      </x:c>
    </x:row>
    <x:row r="216" ht="23" customHeight="1">
      <x:c r="A216" s="2" t="str">
        <x:v>BEN</x:v>
      </x:c>
      <x:c r="B216" s="2" t="str">
        <x:v>Benin (Republic of)</x:v>
      </x:c>
      <x:c r="C216" s="2" t="n">
        <x:v>2020</x:v>
      </x:c>
      <x:c r="D216" s="2" t="str">
        <x:v>GHSL_SURFACE</x:v>
      </x:c>
      <x:c r="E216" s="2" t="str">
        <x:v>horizontal surface / footprint</x:v>
      </x:c>
      <x:c r="F216" s="2" t="str">
        <x:v>m2</x:v>
      </x:c>
      <x:c r="G216" s="17" t="n">
        <x:v>302038367.25</x:v>
      </x:c>
      <x:c r="H216" s="17" t="n">
        <x:v>732731145</x:v>
      </x:c>
      <x:c r="I216" s="17" t="n">
        <x:f>IF(AND(L216,ISNUMBER(G216),ISNUMBER(H216)),G216-H216,"n.a.")</x:f>
        <x:v>-430692777.75</x:v>
      </x:c>
      <x:c r="J216" s="15" t="n">
        <x:f>IF(AND(L216,ISNUMBER(G216),ISNUMBER(H216),H216&gt;0),(G216-H216)/H216,"n.a.")</x:f>
        <x:v>-0.5877910072322639</x:v>
      </x:c>
      <x:c r="K216" s="19" t="n">
        <x:f>IF(ISNUMBER(J216),ABS(J216),"n.a.")</x:f>
        <x:v>0.5877910072322639</x:v>
      </x:c>
      <x:c r="L216" s="13" t="b">
        <x:v>1</x:v>
      </x:c>
      <x:c r="M216" s="13" t="b">
        <x:v>1</x:v>
      </x:c>
      <x:c r="N216" s="2" t="str">
        <x:v>legacy epoch_status=observed; not exact acquisition proof</x:v>
      </x:c>
      <x:c r="O216" s="2" t="str">
        <x:v>none</x:v>
      </x:c>
      <x:c r="P216" s="2" t="str">
        <x:v>historical source estimate</x:v>
      </x:c>
      <x:c r="Q216" s="2" t="str">
        <x:v>Saved country aggregation; cross-source boundary and pixel-support alignment not certified; legacy observed flag is not acquisition proof</x:v>
      </x:c>
      <x:c r="R216" s="2" t="str">
        <x:v>https://human-settlement.emergency.copernicus.eu/ghs_buS2023.php</x:v>
      </x:c>
      <x:c r="S216" s="13" t="b">
        <x:v>0</x:v>
      </x:c>
      <x:c r="T216" s="13" t="b">
        <x:v>0</x:v>
      </x:c>
    </x:row>
    <x:row r="217" ht="23" customHeight="1">
      <x:c r="A217" s="2" t="str">
        <x:v>BFA</x:v>
      </x:c>
      <x:c r="B217" s="2" t="str">
        <x:v>Burkina Faso</x:v>
      </x:c>
      <x:c r="C217" s="2" t="n">
        <x:v>2020</x:v>
      </x:c>
      <x:c r="D217" s="2" t="str">
        <x:v>GHSL_SURFACE</x:v>
      </x:c>
      <x:c r="E217" s="2" t="str">
        <x:v>horizontal surface / footprint</x:v>
      </x:c>
      <x:c r="F217" s="2" t="str">
        <x:v>m2</x:v>
      </x:c>
      <x:c r="G217" s="17" t="n">
        <x:v>359180891.35</x:v>
      </x:c>
      <x:c r="H217" s="17" t="n">
        <x:v>1249648002</x:v>
      </x:c>
      <x:c r="I217" s="17" t="n">
        <x:f>IF(AND(L217,ISNUMBER(G217),ISNUMBER(H217)),G217-H217,"n.a.")</x:f>
        <x:v>-890467110.65</x:v>
      </x:c>
      <x:c r="J217" s="15" t="n">
        <x:f>IF(AND(L217,ISNUMBER(G217),ISNUMBER(H217),H217&gt;0),(G217-H217)/H217,"n.a.")</x:f>
        <x:v>-0.7125743483163669</x:v>
      </x:c>
      <x:c r="K217" s="19" t="n">
        <x:f>IF(ISNUMBER(J217),ABS(J217),"n.a.")</x:f>
        <x:v>0.7125743483163669</x:v>
      </x:c>
      <x:c r="L217" s="13" t="b">
        <x:v>1</x:v>
      </x:c>
      <x:c r="M217" s="13" t="b">
        <x:v>1</x:v>
      </x:c>
      <x:c r="N217" s="2" t="str">
        <x:v>legacy epoch_status=observed; not exact acquisition proof</x:v>
      </x:c>
      <x:c r="O217" s="2" t="str">
        <x:v>none</x:v>
      </x:c>
      <x:c r="P217" s="2" t="str">
        <x:v>historical source estimate</x:v>
      </x:c>
      <x:c r="Q217" s="2" t="str">
        <x:v>Saved country aggregation; cross-source boundary and pixel-support alignment not certified; legacy observed flag is not acquisition proof</x:v>
      </x:c>
      <x:c r="R217" s="2" t="str">
        <x:v>https://human-settlement.emergency.copernicus.eu/ghs_buS2023.php</x:v>
      </x:c>
      <x:c r="S217" s="13" t="b">
        <x:v>0</x:v>
      </x:c>
      <x:c r="T217" s="13" t="b">
        <x:v>0</x:v>
      </x:c>
    </x:row>
    <x:row r="218" ht="23" customHeight="1">
      <x:c r="A218" s="2" t="str">
        <x:v>BGD</x:v>
      </x:c>
      <x:c r="B218" s="2" t="str">
        <x:v>Bangladesh (People's Republic of)</x:v>
      </x:c>
      <x:c r="C218" s="2" t="n">
        <x:v>2020</x:v>
      </x:c>
      <x:c r="D218" s="2" t="str">
        <x:v>GHSL_SURFACE</x:v>
      </x:c>
      <x:c r="E218" s="2" t="str">
        <x:v>horizontal surface / footprint</x:v>
      </x:c>
      <x:c r="F218" s="2" t="str">
        <x:v>m2</x:v>
      </x:c>
      <x:c r="G218" s="17" t="n">
        <x:v>2430930564.55</x:v>
      </x:c>
      <x:c r="H218" s="17" t="n">
        <x:v>2677880900</x:v>
      </x:c>
      <x:c r="I218" s="17" t="n">
        <x:f>IF(AND(L218,ISNUMBER(G218),ISNUMBER(H218)),G218-H218,"n.a.")</x:f>
        <x:v>-246950335.4499998</x:v>
      </x:c>
      <x:c r="J218" s="15" t="n">
        <x:f>IF(AND(L218,ISNUMBER(G218),ISNUMBER(H218),H218&gt;0),(G218-H218)/H218,"n.a.")</x:f>
        <x:v>-0.0922185656016292</x:v>
      </x:c>
      <x:c r="K218" s="19" t="n">
        <x:f>IF(ISNUMBER(J218),ABS(J218),"n.a.")</x:f>
        <x:v>0.0922185656016292</x:v>
      </x:c>
      <x:c r="L218" s="13" t="b">
        <x:v>1</x:v>
      </x:c>
      <x:c r="M218" s="13" t="b">
        <x:v>1</x:v>
      </x:c>
      <x:c r="N218" s="2" t="str">
        <x:v>legacy epoch_status=observed; not exact acquisition proof</x:v>
      </x:c>
      <x:c r="O218" s="2" t="str">
        <x:v>none</x:v>
      </x:c>
      <x:c r="P218" s="2" t="str">
        <x:v>historical source estimate</x:v>
      </x:c>
      <x:c r="Q218" s="2" t="str">
        <x:v>Saved country aggregation; cross-source boundary and pixel-support alignment not certified; legacy observed flag is not acquisition proof</x:v>
      </x:c>
      <x:c r="R218" s="2" t="str">
        <x:v>https://human-settlement.emergency.copernicus.eu/ghs_buS2023.php</x:v>
      </x:c>
      <x:c r="S218" s="13" t="b">
        <x:v>0</x:v>
      </x:c>
      <x:c r="T218" s="13" t="b">
        <x:v>0</x:v>
      </x:c>
    </x:row>
    <x:row r="219" ht="23" customHeight="1">
      <x:c r="A219" s="2" t="str">
        <x:v>BGR</x:v>
      </x:c>
      <x:c r="B219" s="2" t="str">
        <x:v>Bulgaria (Republic of)</x:v>
      </x:c>
      <x:c r="C219" s="2" t="n">
        <x:v>2020</x:v>
      </x:c>
      <x:c r="D219" s="2" t="str">
        <x:v>GHSL_SURFACE</x:v>
      </x:c>
      <x:c r="E219" s="2" t="str">
        <x:v>horizontal surface / footprint</x:v>
      </x:c>
      <x:c r="F219" s="2" t="str">
        <x:v>m2</x:v>
      </x:c>
      <x:c r="G219" s="17" t="n">
        <x:v>543020803.57</x:v>
      </x:c>
      <x:c r="H219" s="17" t="n">
        <x:v>861728773</x:v>
      </x:c>
      <x:c r="I219" s="17" t="n">
        <x:f>IF(AND(L219,ISNUMBER(G219),ISNUMBER(H219)),G219-H219,"n.a.")</x:f>
        <x:v>-318707969.42999995</x:v>
      </x:c>
      <x:c r="J219" s="15" t="n">
        <x:f>IF(AND(L219,ISNUMBER(G219),ISNUMBER(H219),H219&gt;0),(G219-H219)/H219,"n.a.")</x:f>
        <x:v>-0.36984719486673096</x:v>
      </x:c>
      <x:c r="K219" s="19" t="n">
        <x:f>IF(ISNUMBER(J219),ABS(J219),"n.a.")</x:f>
        <x:v>0.36984719486673096</x:v>
      </x:c>
      <x:c r="L219" s="13" t="b">
        <x:v>1</x:v>
      </x:c>
      <x:c r="M219" s="13" t="b">
        <x:v>1</x:v>
      </x:c>
      <x:c r="N219" s="2" t="str">
        <x:v>legacy epoch_status=observed; not exact acquisition proof</x:v>
      </x:c>
      <x:c r="O219" s="2" t="str">
        <x:v>none</x:v>
      </x:c>
      <x:c r="P219" s="2" t="str">
        <x:v>historical source estimate</x:v>
      </x:c>
      <x:c r="Q219" s="2" t="str">
        <x:v>Saved country aggregation; cross-source boundary and pixel-support alignment not certified; legacy observed flag is not acquisition proof</x:v>
      </x:c>
      <x:c r="R219" s="2" t="str">
        <x:v>https://human-settlement.emergency.copernicus.eu/ghs_buS2023.php</x:v>
      </x:c>
      <x:c r="S219" s="13" t="b">
        <x:v>0</x:v>
      </x:c>
      <x:c r="T219" s="13" t="b">
        <x:v>0</x:v>
      </x:c>
    </x:row>
    <x:row r="220" ht="23" customHeight="1">
      <x:c r="A220" s="2" t="str">
        <x:v>BHR</x:v>
      </x:c>
      <x:c r="B220" s="2" t="str">
        <x:v>Bahrain (Kingdom of)</x:v>
      </x:c>
      <x:c r="C220" s="2" t="n">
        <x:v>2020</x:v>
      </x:c>
      <x:c r="D220" s="2" t="str">
        <x:v>GHSL_SURFACE</x:v>
      </x:c>
      <x:c r="E220" s="2" t="str">
        <x:v>horizontal surface / footprint</x:v>
      </x:c>
      <x:c r="F220" s="2" t="str">
        <x:v>m2</x:v>
      </x:c>
      <x:c r="G220" s="17" t="n">
        <x:v>54723363.17</x:v>
      </x:c>
      <x:c r="H220" s="17" t="n">
        <x:v>78478685</x:v>
      </x:c>
      <x:c r="I220" s="17" t="n">
        <x:f>IF(AND(L220,ISNUMBER(G220),ISNUMBER(H220)),G220-H220,"n.a.")</x:f>
        <x:v>-23755321.83</x:v>
      </x:c>
      <x:c r="J220" s="15" t="n">
        <x:f>IF(AND(L220,ISNUMBER(G220),ISNUMBER(H220),H220&gt;0),(G220-H220)/H220,"n.a.")</x:f>
        <x:v>-0.302697755830134</x:v>
      </x:c>
      <x:c r="K220" s="19" t="n">
        <x:f>IF(ISNUMBER(J220),ABS(J220),"n.a.")</x:f>
        <x:v>0.302697755830134</x:v>
      </x:c>
      <x:c r="L220" s="13" t="b">
        <x:v>1</x:v>
      </x:c>
      <x:c r="M220" s="13" t="b">
        <x:v>1</x:v>
      </x:c>
      <x:c r="N220" s="2" t="str">
        <x:v>legacy epoch_status=observed; not exact acquisition proof</x:v>
      </x:c>
      <x:c r="O220" s="2" t="str">
        <x:v>none</x:v>
      </x:c>
      <x:c r="P220" s="2" t="str">
        <x:v>historical source estimate</x:v>
      </x:c>
      <x:c r="Q220" s="2" t="str">
        <x:v>Saved country aggregation; cross-source boundary and pixel-support alignment not certified; legacy observed flag is not acquisition proof</x:v>
      </x:c>
      <x:c r="R220" s="2" t="str">
        <x:v>https://human-settlement.emergency.copernicus.eu/ghs_buS2023.php</x:v>
      </x:c>
      <x:c r="S220" s="13" t="b">
        <x:v>0</x:v>
      </x:c>
      <x:c r="T220" s="13" t="b">
        <x:v>0</x:v>
      </x:c>
    </x:row>
    <x:row r="221" ht="23" customHeight="1">
      <x:c r="A221" s="2" t="str">
        <x:v>BHS</x:v>
      </x:c>
      <x:c r="B221" s="2" t="str">
        <x:v>Bahamas (Commonwealth of the)</x:v>
      </x:c>
      <x:c r="C221" s="2" t="n">
        <x:v>2020</x:v>
      </x:c>
      <x:c r="D221" s="2" t="str">
        <x:v>GHSL_SURFACE</x:v>
      </x:c>
      <x:c r="E221" s="2" t="str">
        <x:v>horizontal surface / footprint</x:v>
      </x:c>
      <x:c r="F221" s="2" t="str">
        <x:v>m2</x:v>
      </x:c>
      <x:c r="G221" s="17" t="n">
        <x:v>29184660.45</x:v>
      </x:c>
      <x:c r="H221" s="17" t="n">
        <x:v>39878684</x:v>
      </x:c>
      <x:c r="I221" s="17" t="n">
        <x:f>IF(AND(L221,ISNUMBER(G221),ISNUMBER(H221)),G221-H221,"n.a.")</x:f>
        <x:v>-10694023.55</x:v>
      </x:c>
      <x:c r="J221" s="15" t="n">
        <x:f>IF(AND(L221,ISNUMBER(G221),ISNUMBER(H221),H221&gt;0),(G221-H221)/H221,"n.a.")</x:f>
        <x:v>-0.2681639030515651</x:v>
      </x:c>
      <x:c r="K221" s="19" t="n">
        <x:f>IF(ISNUMBER(J221),ABS(J221),"n.a.")</x:f>
        <x:v>0.2681639030515651</x:v>
      </x:c>
      <x:c r="L221" s="13" t="b">
        <x:v>1</x:v>
      </x:c>
      <x:c r="M221" s="13" t="b">
        <x:v>1</x:v>
      </x:c>
      <x:c r="N221" s="2" t="str">
        <x:v>legacy epoch_status=observed; not exact acquisition proof</x:v>
      </x:c>
      <x:c r="O221" s="2" t="str">
        <x:v>none</x:v>
      </x:c>
      <x:c r="P221" s="2" t="str">
        <x:v>historical source estimate</x:v>
      </x:c>
      <x:c r="Q221" s="2" t="str">
        <x:v>Saved country aggregation; cross-source boundary and pixel-support alignment not certified; legacy observed flag is not acquisition proof</x:v>
      </x:c>
      <x:c r="R221" s="2" t="str">
        <x:v>https://human-settlement.emergency.copernicus.eu/ghs_buS2023.php</x:v>
      </x:c>
      <x:c r="S221" s="13" t="b">
        <x:v>0</x:v>
      </x:c>
      <x:c r="T221" s="13" t="b">
        <x:v>0</x:v>
      </x:c>
    </x:row>
    <x:row r="222" ht="23" customHeight="1">
      <x:c r="A222" s="2" t="str">
        <x:v>BIH</x:v>
      </x:c>
      <x:c r="B222" s="2" t="str">
        <x:v>Bosnia and Herzegovina</x:v>
      </x:c>
      <x:c r="C222" s="2" t="n">
        <x:v>2020</x:v>
      </x:c>
      <x:c r="D222" s="2" t="str">
        <x:v>GHSL_SURFACE</x:v>
      </x:c>
      <x:c r="E222" s="2" t="str">
        <x:v>horizontal surface / footprint</x:v>
      </x:c>
      <x:c r="F222" s="2" t="str">
        <x:v>m2</x:v>
      </x:c>
      <x:c r="G222" s="17" t="n">
        <x:v>247114206.72</x:v>
      </x:c>
      <x:c r="H222" s="17" t="n">
        <x:v>359276461</x:v>
      </x:c>
      <x:c r="I222" s="17" t="n">
        <x:f>IF(AND(L222,ISNUMBER(G222),ISNUMBER(H222)),G222-H222,"n.a.")</x:f>
        <x:v>-112162254.28</x:v>
      </x:c>
      <x:c r="J222" s="15" t="n">
        <x:f>IF(AND(L222,ISNUMBER(G222),ISNUMBER(H222),H222&gt;0),(G222-H222)/H222,"n.a.")</x:f>
        <x:v>-0.31218926496829413</x:v>
      </x:c>
      <x:c r="K222" s="19" t="n">
        <x:f>IF(ISNUMBER(J222),ABS(J222),"n.a.")</x:f>
        <x:v>0.31218926496829413</x:v>
      </x:c>
      <x:c r="L222" s="13" t="b">
        <x:v>1</x:v>
      </x:c>
      <x:c r="M222" s="13" t="b">
        <x:v>1</x:v>
      </x:c>
      <x:c r="N222" s="2" t="str">
        <x:v>legacy epoch_status=observed; not exact acquisition proof</x:v>
      </x:c>
      <x:c r="O222" s="2" t="str">
        <x:v>none</x:v>
      </x:c>
      <x:c r="P222" s="2" t="str">
        <x:v>historical source estimate</x:v>
      </x:c>
      <x:c r="Q222" s="2" t="str">
        <x:v>Saved country aggregation; cross-source boundary and pixel-support alignment not certified; legacy observed flag is not acquisition proof</x:v>
      </x:c>
      <x:c r="R222" s="2" t="str">
        <x:v>https://human-settlement.emergency.copernicus.eu/ghs_buS2023.php</x:v>
      </x:c>
      <x:c r="S222" s="13" t="b">
        <x:v>0</x:v>
      </x:c>
      <x:c r="T222" s="13" t="b">
        <x:v>0</x:v>
      </x:c>
    </x:row>
    <x:row r="223" ht="23" customHeight="1">
      <x:c r="A223" s="2" t="str">
        <x:v>BLR</x:v>
      </x:c>
      <x:c r="B223" s="2" t="str">
        <x:v>Belarus (Republic of)</x:v>
      </x:c>
      <x:c r="C223" s="2" t="n">
        <x:v>2020</x:v>
      </x:c>
      <x:c r="D223" s="2" t="str">
        <x:v>GHSL_SURFACE</x:v>
      </x:c>
      <x:c r="E223" s="2" t="str">
        <x:v>horizontal surface / footprint</x:v>
      </x:c>
      <x:c r="F223" s="2" t="str">
        <x:v>m2</x:v>
      </x:c>
      <x:c r="G223" s="17" t="n">
        <x:v>672205246.44</x:v>
      </x:c>
      <x:c r="H223" s="17" t="n">
        <x:v>1244637191</x:v>
      </x:c>
      <x:c r="I223" s="17" t="n">
        <x:f>IF(AND(L223,ISNUMBER(G223),ISNUMBER(H223)),G223-H223,"n.a.")</x:f>
        <x:v>-572431944.56</x:v>
      </x:c>
      <x:c r="J223" s="15" t="n">
        <x:f>IF(AND(L223,ISNUMBER(G223),ISNUMBER(H223),H223&gt;0),(G223-H223)/H223,"n.a.")</x:f>
        <x:v>-0.45991872065150263</x:v>
      </x:c>
      <x:c r="K223" s="19" t="n">
        <x:f>IF(ISNUMBER(J223),ABS(J223),"n.a.")</x:f>
        <x:v>0.45991872065150263</x:v>
      </x:c>
      <x:c r="L223" s="13" t="b">
        <x:v>1</x:v>
      </x:c>
      <x:c r="M223" s="13" t="b">
        <x:v>1</x:v>
      </x:c>
      <x:c r="N223" s="2" t="str">
        <x:v>legacy epoch_status=observed; not exact acquisition proof</x:v>
      </x:c>
      <x:c r="O223" s="2" t="str">
        <x:v>none</x:v>
      </x:c>
      <x:c r="P223" s="2" t="str">
        <x:v>historical source estimate</x:v>
      </x:c>
      <x:c r="Q223" s="2" t="str">
        <x:v>Saved country aggregation; cross-source boundary and pixel-support alignment not certified; legacy observed flag is not acquisition proof</x:v>
      </x:c>
      <x:c r="R223" s="2" t="str">
        <x:v>https://human-settlement.emergency.copernicus.eu/ghs_buS2023.php</x:v>
      </x:c>
      <x:c r="S223" s="13" t="b">
        <x:v>0</x:v>
      </x:c>
      <x:c r="T223" s="13" t="b">
        <x:v>0</x:v>
      </x:c>
    </x:row>
    <x:row r="224" ht="23" customHeight="1">
      <x:c r="A224" s="2" t="str">
        <x:v>BLZ</x:v>
      </x:c>
      <x:c r="B224" s="2" t="str">
        <x:v>Belize</x:v>
      </x:c>
      <x:c r="C224" s="2" t="n">
        <x:v>2020</x:v>
      </x:c>
      <x:c r="D224" s="2" t="str">
        <x:v>GHSL_SURFACE</x:v>
      </x:c>
      <x:c r="E224" s="2" t="str">
        <x:v>horizontal surface / footprint</x:v>
      </x:c>
      <x:c r="F224" s="2" t="str">
        <x:v>m2</x:v>
      </x:c>
      <x:c r="G224" s="17" t="n">
        <x:v>21867714.34</x:v>
      </x:c>
      <x:c r="H224" s="17" t="n">
        <x:v>49519969</x:v>
      </x:c>
      <x:c r="I224" s="17" t="n">
        <x:f>IF(AND(L224,ISNUMBER(G224),ISNUMBER(H224)),G224-H224,"n.a.")</x:f>
        <x:v>-27652254.66</x:v>
      </x:c>
      <x:c r="J224" s="15" t="n">
        <x:f>IF(AND(L224,ISNUMBER(G224),ISNUMBER(H224),H224&gt;0),(G224-H224)/H224,"n.a.")</x:f>
        <x:v>-0.5584061383398685</x:v>
      </x:c>
      <x:c r="K224" s="19" t="n">
        <x:f>IF(ISNUMBER(J224),ABS(J224),"n.a.")</x:f>
        <x:v>0.5584061383398685</x:v>
      </x:c>
      <x:c r="L224" s="13" t="b">
        <x:v>1</x:v>
      </x:c>
      <x:c r="M224" s="13" t="b">
        <x:v>1</x:v>
      </x:c>
      <x:c r="N224" s="2" t="str">
        <x:v>legacy epoch_status=observed; not exact acquisition proof</x:v>
      </x:c>
      <x:c r="O224" s="2" t="str">
        <x:v>none</x:v>
      </x:c>
      <x:c r="P224" s="2" t="str">
        <x:v>historical source estimate</x:v>
      </x:c>
      <x:c r="Q224" s="2" t="str">
        <x:v>Saved country aggregation; cross-source boundary and pixel-support alignment not certified; legacy observed flag is not acquisition proof</x:v>
      </x:c>
      <x:c r="R224" s="2" t="str">
        <x:v>https://human-settlement.emergency.copernicus.eu/ghs_buS2023.php</x:v>
      </x:c>
      <x:c r="S224" s="13" t="b">
        <x:v>0</x:v>
      </x:c>
      <x:c r="T224" s="13" t="b">
        <x:v>0</x:v>
      </x:c>
    </x:row>
    <x:row r="225" ht="23" customHeight="1">
      <x:c r="A225" s="2" t="str">
        <x:v>BOL</x:v>
      </x:c>
      <x:c r="B225" s="2" t="str">
        <x:v>Bolivia (Plurinational State of)</x:v>
      </x:c>
      <x:c r="C225" s="2" t="n">
        <x:v>2020</x:v>
      </x:c>
      <x:c r="D225" s="2" t="str">
        <x:v>GHSL_SURFACE</x:v>
      </x:c>
      <x:c r="E225" s="2" t="str">
        <x:v>horizontal surface / footprint</x:v>
      </x:c>
      <x:c r="F225" s="2" t="str">
        <x:v>m2</x:v>
      </x:c>
      <x:c r="G225" s="17" t="n">
        <x:v>496419008.94</x:v>
      </x:c>
      <x:c r="H225" s="17" t="n">
        <x:v>715677141</x:v>
      </x:c>
      <x:c r="I225" s="17" t="n">
        <x:f>IF(AND(L225,ISNUMBER(G225),ISNUMBER(H225)),G225-H225,"n.a.")</x:f>
        <x:v>-219258132.06</x:v>
      </x:c>
      <x:c r="J225" s="15" t="n">
        <x:f>IF(AND(L225,ISNUMBER(G225),ISNUMBER(H225),H225&gt;0),(G225-H225)/H225,"n.a.")</x:f>
        <x:v>-0.3063645874641677</x:v>
      </x:c>
      <x:c r="K225" s="19" t="n">
        <x:f>IF(ISNUMBER(J225),ABS(J225),"n.a.")</x:f>
        <x:v>0.3063645874641677</x:v>
      </x:c>
      <x:c r="L225" s="13" t="b">
        <x:v>1</x:v>
      </x:c>
      <x:c r="M225" s="13" t="b">
        <x:v>1</x:v>
      </x:c>
      <x:c r="N225" s="2" t="str">
        <x:v>legacy epoch_status=observed; not exact acquisition proof</x:v>
      </x:c>
      <x:c r="O225" s="2" t="str">
        <x:v>none</x:v>
      </x:c>
      <x:c r="P225" s="2" t="str">
        <x:v>historical source estimate</x:v>
      </x:c>
      <x:c r="Q225" s="2" t="str">
        <x:v>Saved country aggregation; cross-source boundary and pixel-support alignment not certified; legacy observed flag is not acquisition proof</x:v>
      </x:c>
      <x:c r="R225" s="2" t="str">
        <x:v>https://human-settlement.emergency.copernicus.eu/ghs_buS2023.php</x:v>
      </x:c>
      <x:c r="S225" s="13" t="b">
        <x:v>0</x:v>
      </x:c>
      <x:c r="T225" s="13" t="b">
        <x:v>0</x:v>
      </x:c>
    </x:row>
    <x:row r="226" ht="23" customHeight="1">
      <x:c r="A226" s="2" t="str">
        <x:v>BRA</x:v>
      </x:c>
      <x:c r="B226" s="2" t="str">
        <x:v>Brazil (Federative Republic of)</x:v>
      </x:c>
      <x:c r="C226" s="2" t="n">
        <x:v>2020</x:v>
      </x:c>
      <x:c r="D226" s="2" t="str">
        <x:v>GHSL_SURFACE</x:v>
      </x:c>
      <x:c r="E226" s="2" t="str">
        <x:v>horizontal surface / footprint</x:v>
      </x:c>
      <x:c r="F226" s="2" t="str">
        <x:v>m2</x:v>
      </x:c>
      <x:c r="G226" s="17" t="n">
        <x:v>12112839681.86</x:v>
      </x:c>
      <x:c r="H226" s="17" t="n">
        <x:v>15705841034</x:v>
      </x:c>
      <x:c r="I226" s="17" t="n">
        <x:f>IF(AND(L226,ISNUMBER(G226),ISNUMBER(H226)),G226-H226,"n.a.")</x:f>
        <x:v>-3593001352.1399994</x:v>
      </x:c>
      <x:c r="J226" s="15" t="n">
        <x:f>IF(AND(L226,ISNUMBER(G226),ISNUMBER(H226),H226&gt;0),(G226-H226)/H226,"n.a.")</x:f>
        <x:v>-0.22876847819622464</x:v>
      </x:c>
      <x:c r="K226" s="19" t="n">
        <x:f>IF(ISNUMBER(J226),ABS(J226),"n.a.")</x:f>
        <x:v>0.22876847819622464</x:v>
      </x:c>
      <x:c r="L226" s="13" t="b">
        <x:v>1</x:v>
      </x:c>
      <x:c r="M226" s="13" t="b">
        <x:v>1</x:v>
      </x:c>
      <x:c r="N226" s="2" t="str">
        <x:v>legacy epoch_status=observed; not exact acquisition proof</x:v>
      </x:c>
      <x:c r="O226" s="2" t="str">
        <x:v>none</x:v>
      </x:c>
      <x:c r="P226" s="2" t="str">
        <x:v>historical source estimate</x:v>
      </x:c>
      <x:c r="Q226" s="2" t="str">
        <x:v>Saved country aggregation; cross-source boundary and pixel-support alignment not certified; legacy observed flag is not acquisition proof</x:v>
      </x:c>
      <x:c r="R226" s="2" t="str">
        <x:v>https://human-settlement.emergency.copernicus.eu/ghs_buS2023.php</x:v>
      </x:c>
      <x:c r="S226" s="13" t="b">
        <x:v>0</x:v>
      </x:c>
      <x:c r="T226" s="13" t="b">
        <x:v>0</x:v>
      </x:c>
    </x:row>
    <x:row r="227" ht="23" customHeight="1">
      <x:c r="A227" s="2" t="str">
        <x:v>BRB</x:v>
      </x:c>
      <x:c r="B227" s="2" t="str">
        <x:v>Barbados</x:v>
      </x:c>
      <x:c r="C227" s="2" t="n">
        <x:v>2020</x:v>
      </x:c>
      <x:c r="D227" s="2" t="str">
        <x:v>GHSL_SURFACE</x:v>
      </x:c>
      <x:c r="E227" s="2" t="str">
        <x:v>horizontal surface / footprint</x:v>
      </x:c>
      <x:c r="F227" s="2" t="str">
        <x:v>m2</x:v>
      </x:c>
      <x:c r="G227" s="17" t="n">
        <x:v>23684585.84</x:v>
      </x:c>
      <x:c r="H227" s="17" t="n">
        <x:v>38829977</x:v>
      </x:c>
      <x:c r="I227" s="17" t="n">
        <x:f>IF(AND(L227,ISNUMBER(G227),ISNUMBER(H227)),G227-H227,"n.a.")</x:f>
        <x:v>-15145391.16</x:v>
      </x:c>
      <x:c r="J227" s="15" t="n">
        <x:f>IF(AND(L227,ISNUMBER(G227),ISNUMBER(H227),H227&gt;0),(G227-H227)/H227,"n.a.")</x:f>
        <x:v>-0.3900437839558854</x:v>
      </x:c>
      <x:c r="K227" s="19" t="n">
        <x:f>IF(ISNUMBER(J227),ABS(J227),"n.a.")</x:f>
        <x:v>0.3900437839558854</x:v>
      </x:c>
      <x:c r="L227" s="13" t="b">
        <x:v>1</x:v>
      </x:c>
      <x:c r="M227" s="13" t="b">
        <x:v>1</x:v>
      </x:c>
      <x:c r="N227" s="2" t="str">
        <x:v>legacy epoch_status=observed; not exact acquisition proof</x:v>
      </x:c>
      <x:c r="O227" s="2" t="str">
        <x:v>none</x:v>
      </x:c>
      <x:c r="P227" s="2" t="str">
        <x:v>historical source estimate</x:v>
      </x:c>
      <x:c r="Q227" s="2" t="str">
        <x:v>Saved country aggregation; cross-source boundary and pixel-support alignment not certified; legacy observed flag is not acquisition proof</x:v>
      </x:c>
      <x:c r="R227" s="2" t="str">
        <x:v>https://human-settlement.emergency.copernicus.eu/ghs_buS2023.php</x:v>
      </x:c>
      <x:c r="S227" s="13" t="b">
        <x:v>0</x:v>
      </x:c>
      <x:c r="T227" s="13" t="b">
        <x:v>0</x:v>
      </x:c>
    </x:row>
    <x:row r="228" ht="23" customHeight="1">
      <x:c r="A228" s="2" t="str">
        <x:v>BRN</x:v>
      </x:c>
      <x:c r="B228" s="2" t="str">
        <x:v>Brunei Darussalam</x:v>
      </x:c>
      <x:c r="C228" s="2" t="n">
        <x:v>2020</x:v>
      </x:c>
      <x:c r="D228" s="2" t="str">
        <x:v>GHSL_SURFACE</x:v>
      </x:c>
      <x:c r="E228" s="2" t="str">
        <x:v>horizontal surface / footprint</x:v>
      </x:c>
      <x:c r="F228" s="2" t="str">
        <x:v>m2</x:v>
      </x:c>
      <x:c r="G228" s="17" t="n">
        <x:v>37849769.86</x:v>
      </x:c>
      <x:c r="H228" s="17" t="n">
        <x:v>52067814</x:v>
      </x:c>
      <x:c r="I228" s="17" t="n">
        <x:f>IF(AND(L228,ISNUMBER(G228),ISNUMBER(H228)),G228-H228,"n.a.")</x:f>
        <x:v>-14218044.14</x:v>
      </x:c>
      <x:c r="J228" s="15" t="n">
        <x:f>IF(AND(L228,ISNUMBER(G228),ISNUMBER(H228),H228&gt;0),(G228-H228)/H228,"n.a.")</x:f>
        <x:v>-0.27306781383216894</x:v>
      </x:c>
      <x:c r="K228" s="19" t="n">
        <x:f>IF(ISNUMBER(J228),ABS(J228),"n.a.")</x:f>
        <x:v>0.27306781383216894</x:v>
      </x:c>
      <x:c r="L228" s="13" t="b">
        <x:v>1</x:v>
      </x:c>
      <x:c r="M228" s="13" t="b">
        <x:v>1</x:v>
      </x:c>
      <x:c r="N228" s="2" t="str">
        <x:v>legacy epoch_status=observed; not exact acquisition proof</x:v>
      </x:c>
      <x:c r="O228" s="2" t="str">
        <x:v>none</x:v>
      </x:c>
      <x:c r="P228" s="2" t="str">
        <x:v>historical source estimate</x:v>
      </x:c>
      <x:c r="Q228" s="2" t="str">
        <x:v>Saved country aggregation; cross-source boundary and pixel-support alignment not certified; legacy observed flag is not acquisition proof</x:v>
      </x:c>
      <x:c r="R228" s="2" t="str">
        <x:v>https://human-settlement.emergency.copernicus.eu/ghs_buS2023.php</x:v>
      </x:c>
      <x:c r="S228" s="13" t="b">
        <x:v>0</x:v>
      </x:c>
      <x:c r="T228" s="13" t="b">
        <x:v>0</x:v>
      </x:c>
    </x:row>
    <x:row r="229" ht="23" customHeight="1">
      <x:c r="A229" s="2" t="str">
        <x:v>BTN</x:v>
      </x:c>
      <x:c r="B229" s="2" t="str">
        <x:v>Bhutan (Kingdom of)</x:v>
      </x:c>
      <x:c r="C229" s="2" t="n">
        <x:v>2020</x:v>
      </x:c>
      <x:c r="D229" s="2" t="str">
        <x:v>GHSL_SURFACE</x:v>
      </x:c>
      <x:c r="E229" s="2" t="str">
        <x:v>horizontal surface / footprint</x:v>
      </x:c>
      <x:c r="F229" s="2" t="str">
        <x:v>m2</x:v>
      </x:c>
      <x:c r="G229" s="17" t="n">
        <x:v>27177544.51</x:v>
      </x:c>
      <x:c r="H229" s="17" t="n">
        <x:v>31407011</x:v>
      </x:c>
      <x:c r="I229" s="17" t="n">
        <x:f>IF(AND(L229,ISNUMBER(G229),ISNUMBER(H229)),G229-H229,"n.a.")</x:f>
        <x:v>-4229466.489999998</x:v>
      </x:c>
      <x:c r="J229" s="15" t="n">
        <x:f>IF(AND(L229,ISNUMBER(G229),ISNUMBER(H229),H229&gt;0),(G229-H229)/H229,"n.a.")</x:f>
        <x:v>-0.13466631670234389</x:v>
      </x:c>
      <x:c r="K229" s="19" t="n">
        <x:f>IF(ISNUMBER(J229),ABS(J229),"n.a.")</x:f>
        <x:v>0.13466631670234389</x:v>
      </x:c>
      <x:c r="L229" s="13" t="b">
        <x:v>1</x:v>
      </x:c>
      <x:c r="M229" s="13" t="b">
        <x:v>1</x:v>
      </x:c>
      <x:c r="N229" s="2" t="str">
        <x:v>legacy epoch_status=observed; not exact acquisition proof</x:v>
      </x:c>
      <x:c r="O229" s="2" t="str">
        <x:v>none</x:v>
      </x:c>
      <x:c r="P229" s="2" t="str">
        <x:v>historical source estimate</x:v>
      </x:c>
      <x:c r="Q229" s="2" t="str">
        <x:v>Saved country aggregation; cross-source boundary and pixel-support alignment not certified; legacy observed flag is not acquisition proof</x:v>
      </x:c>
      <x:c r="R229" s="2" t="str">
        <x:v>https://human-settlement.emergency.copernicus.eu/ghs_buS2023.php</x:v>
      </x:c>
      <x:c r="S229" s="13" t="b">
        <x:v>0</x:v>
      </x:c>
      <x:c r="T229" s="13" t="b">
        <x:v>0</x:v>
      </x:c>
    </x:row>
    <x:row r="230" ht="23" customHeight="1">
      <x:c r="A230" s="2" t="str">
        <x:v>BWA</x:v>
      </x:c>
      <x:c r="B230" s="2" t="str">
        <x:v>Botswana (Republic of)</x:v>
      </x:c>
      <x:c r="C230" s="2" t="n">
        <x:v>2020</x:v>
      </x:c>
      <x:c r="D230" s="2" t="str">
        <x:v>GHSL_SURFACE</x:v>
      </x:c>
      <x:c r="E230" s="2" t="str">
        <x:v>horizontal surface / footprint</x:v>
      </x:c>
      <x:c r="F230" s="2" t="str">
        <x:v>m2</x:v>
      </x:c>
      <x:c r="G230" s="17" t="n">
        <x:v>118564613.02</x:v>
      </x:c>
      <x:c r="H230" s="17" t="n">
        <x:v>479268825</x:v>
      </x:c>
      <x:c r="I230" s="17" t="n">
        <x:f>IF(AND(L230,ISNUMBER(G230),ISNUMBER(H230)),G230-H230,"n.a.")</x:f>
        <x:v>-360704211.98</x:v>
      </x:c>
      <x:c r="J230" s="15" t="n">
        <x:f>IF(AND(L230,ISNUMBER(G230),ISNUMBER(H230),H230&gt;0),(G230-H230)/H230,"n.a.")</x:f>
        <x:v>-0.7526135504014893</x:v>
      </x:c>
      <x:c r="K230" s="19" t="n">
        <x:f>IF(ISNUMBER(J230),ABS(J230),"n.a.")</x:f>
        <x:v>0.7526135504014893</x:v>
      </x:c>
      <x:c r="L230" s="13" t="b">
        <x:v>1</x:v>
      </x:c>
      <x:c r="M230" s="13" t="b">
        <x:v>1</x:v>
      </x:c>
      <x:c r="N230" s="2" t="str">
        <x:v>legacy epoch_status=observed; not exact acquisition proof</x:v>
      </x:c>
      <x:c r="O230" s="2" t="str">
        <x:v>none</x:v>
      </x:c>
      <x:c r="P230" s="2" t="str">
        <x:v>historical source estimate</x:v>
      </x:c>
      <x:c r="Q230" s="2" t="str">
        <x:v>Saved country aggregation; cross-source boundary and pixel-support alignment not certified; legacy observed flag is not acquisition proof</x:v>
      </x:c>
      <x:c r="R230" s="2" t="str">
        <x:v>https://human-settlement.emergency.copernicus.eu/ghs_buS2023.php</x:v>
      </x:c>
      <x:c r="S230" s="13" t="b">
        <x:v>0</x:v>
      </x:c>
      <x:c r="T230" s="13" t="b">
        <x:v>0</x:v>
      </x:c>
    </x:row>
    <x:row r="231" ht="23" customHeight="1">
      <x:c r="A231" s="2" t="str">
        <x:v>CAF</x:v>
      </x:c>
      <x:c r="B231" s="2" t="str">
        <x:v>Central African Republic</x:v>
      </x:c>
      <x:c r="C231" s="2" t="n">
        <x:v>2020</x:v>
      </x:c>
      <x:c r="D231" s="2" t="str">
        <x:v>GHSL_SURFACE</x:v>
      </x:c>
      <x:c r="E231" s="2" t="str">
        <x:v>horizontal surface / footprint</x:v>
      </x:c>
      <x:c r="F231" s="2" t="str">
        <x:v>m2</x:v>
      </x:c>
      <x:c r="G231" s="17" t="n">
        <x:v>66989106.04</x:v>
      </x:c>
      <x:c r="H231" s="17" t="n">
        <x:v>203562278</x:v>
      </x:c>
      <x:c r="I231" s="17" t="n">
        <x:f>IF(AND(L231,ISNUMBER(G231),ISNUMBER(H231)),G231-H231,"n.a.")</x:f>
        <x:v>-136573171.96</x:v>
      </x:c>
      <x:c r="J231" s="15" t="n">
        <x:f>IF(AND(L231,ISNUMBER(G231),ISNUMBER(H231),H231&gt;0),(G231-H231)/H231,"n.a.")</x:f>
        <x:v>-0.6709159147845654</x:v>
      </x:c>
      <x:c r="K231" s="19" t="n">
        <x:f>IF(ISNUMBER(J231),ABS(J231),"n.a.")</x:f>
        <x:v>0.6709159147845654</x:v>
      </x:c>
      <x:c r="L231" s="13" t="b">
        <x:v>1</x:v>
      </x:c>
      <x:c r="M231" s="13" t="b">
        <x:v>1</x:v>
      </x:c>
      <x:c r="N231" s="2" t="str">
        <x:v>legacy epoch_status=observed; not exact acquisition proof</x:v>
      </x:c>
      <x:c r="O231" s="2" t="str">
        <x:v>none</x:v>
      </x:c>
      <x:c r="P231" s="2" t="str">
        <x:v>historical source estimate</x:v>
      </x:c>
      <x:c r="Q231" s="2" t="str">
        <x:v>Saved country aggregation; cross-source boundary and pixel-support alignment not certified; legacy observed flag is not acquisition proof</x:v>
      </x:c>
      <x:c r="R231" s="2" t="str">
        <x:v>https://human-settlement.emergency.copernicus.eu/ghs_buS2023.php</x:v>
      </x:c>
      <x:c r="S231" s="13" t="b">
        <x:v>0</x:v>
      </x:c>
      <x:c r="T231" s="13" t="b">
        <x:v>0</x:v>
      </x:c>
    </x:row>
    <x:row r="232" ht="23" customHeight="1">
      <x:c r="A232" s="2" t="str">
        <x:v>CAN</x:v>
      </x:c>
      <x:c r="B232" s="2" t="str">
        <x:v>Canada</x:v>
      </x:c>
      <x:c r="C232" s="2" t="n">
        <x:v>2020</x:v>
      </x:c>
      <x:c r="D232" s="2" t="str">
        <x:v>GHSL_SURFACE</x:v>
      </x:c>
      <x:c r="E232" s="2" t="str">
        <x:v>horizontal surface / footprint</x:v>
      </x:c>
      <x:c r="F232" s="2" t="str">
        <x:v>m2</x:v>
      </x:c>
      <x:c r="G232" s="17" t="n">
        <x:v>2941628265.26</x:v>
      </x:c>
      <x:c r="H232" s="17" t="n">
        <x:v>4923374604</x:v>
      </x:c>
      <x:c r="I232" s="17" t="n">
        <x:f>IF(AND(L232,ISNUMBER(G232),ISNUMBER(H232)),G232-H232,"n.a.")</x:f>
        <x:v>-1981746338.7399998</x:v>
      </x:c>
      <x:c r="J232" s="15" t="n">
        <x:f>IF(AND(L232,ISNUMBER(G232),ISNUMBER(H232),H232&gt;0),(G232-H232)/H232,"n.a.")</x:f>
        <x:v>-0.40251788623395185</x:v>
      </x:c>
      <x:c r="K232" s="19" t="n">
        <x:f>IF(ISNUMBER(J232),ABS(J232),"n.a.")</x:f>
        <x:v>0.40251788623395185</x:v>
      </x:c>
      <x:c r="L232" s="13" t="b">
        <x:v>1</x:v>
      </x:c>
      <x:c r="M232" s="13" t="b">
        <x:v>1</x:v>
      </x:c>
      <x:c r="N232" s="2" t="str">
        <x:v>legacy epoch_status=observed; not exact acquisition proof</x:v>
      </x:c>
      <x:c r="O232" s="2" t="str">
        <x:v>none</x:v>
      </x:c>
      <x:c r="P232" s="2" t="str">
        <x:v>historical source estimate</x:v>
      </x:c>
      <x:c r="Q232" s="2" t="str">
        <x:v>Saved country aggregation; cross-source boundary and pixel-support alignment not certified; legacy observed flag is not acquisition proof</x:v>
      </x:c>
      <x:c r="R232" s="2" t="str">
        <x:v>https://human-settlement.emergency.copernicus.eu/ghs_buS2023.php</x:v>
      </x:c>
      <x:c r="S232" s="13" t="b">
        <x:v>0</x:v>
      </x:c>
      <x:c r="T232" s="13" t="b">
        <x:v>0</x:v>
      </x:c>
    </x:row>
    <x:row r="233" ht="23" customHeight="1">
      <x:c r="A233" s="2" t="str">
        <x:v>CHE</x:v>
      </x:c>
      <x:c r="B233" s="2" t="str">
        <x:v>Switzerland (Swiss Confederation)</x:v>
      </x:c>
      <x:c r="C233" s="2" t="n">
        <x:v>2020</x:v>
      </x:c>
      <x:c r="D233" s="2" t="str">
        <x:v>GHSL_SURFACE</x:v>
      </x:c>
      <x:c r="E233" s="2" t="str">
        <x:v>horizontal surface / footprint</x:v>
      </x:c>
      <x:c r="F233" s="2" t="str">
        <x:v>m2</x:v>
      </x:c>
      <x:c r="G233" s="17" t="n">
        <x:v>545813067.36</x:v>
      </x:c>
      <x:c r="H233" s="17" t="n">
        <x:v>781101154</x:v>
      </x:c>
      <x:c r="I233" s="17" t="n">
        <x:f>IF(AND(L233,ISNUMBER(G233),ISNUMBER(H233)),G233-H233,"n.a.")</x:f>
        <x:v>-235288086.64</x:v>
      </x:c>
      <x:c r="J233" s="15" t="n">
        <x:f>IF(AND(L233,ISNUMBER(G233),ISNUMBER(H233),H233&gt;0),(G233-H233)/H233,"n.a.")</x:f>
        <x:v>-0.3012261413711853</x:v>
      </x:c>
      <x:c r="K233" s="19" t="n">
        <x:f>IF(ISNUMBER(J233),ABS(J233),"n.a.")</x:f>
        <x:v>0.3012261413711853</x:v>
      </x:c>
      <x:c r="L233" s="13" t="b">
        <x:v>1</x:v>
      </x:c>
      <x:c r="M233" s="13" t="b">
        <x:v>1</x:v>
      </x:c>
      <x:c r="N233" s="2" t="str">
        <x:v>legacy epoch_status=observed; not exact acquisition proof</x:v>
      </x:c>
      <x:c r="O233" s="2" t="str">
        <x:v>none</x:v>
      </x:c>
      <x:c r="P233" s="2" t="str">
        <x:v>historical source estimate</x:v>
      </x:c>
      <x:c r="Q233" s="2" t="str">
        <x:v>Saved country aggregation; cross-source boundary and pixel-support alignment not certified; legacy observed flag is not acquisition proof</x:v>
      </x:c>
      <x:c r="R233" s="2" t="str">
        <x:v>https://human-settlement.emergency.copernicus.eu/ghs_buS2023.php</x:v>
      </x:c>
      <x:c r="S233" s="13" t="b">
        <x:v>0</x:v>
      </x:c>
      <x:c r="T233" s="13" t="b">
        <x:v>0</x:v>
      </x:c>
    </x:row>
    <x:row r="234" ht="23" customHeight="1">
      <x:c r="A234" s="2" t="str">
        <x:v>CHL</x:v>
      </x:c>
      <x:c r="B234" s="2" t="str">
        <x:v>Chile (Republic of)</x:v>
      </x:c>
      <x:c r="C234" s="2" t="n">
        <x:v>2020</x:v>
      </x:c>
      <x:c r="D234" s="2" t="str">
        <x:v>GHSL_SURFACE</x:v>
      </x:c>
      <x:c r="E234" s="2" t="str">
        <x:v>horizontal surface / footprint</x:v>
      </x:c>
      <x:c r="F234" s="2" t="str">
        <x:v>m2</x:v>
      </x:c>
      <x:c r="G234" s="17" t="n">
        <x:v>986436316.07</x:v>
      </x:c>
      <x:c r="H234" s="17" t="n">
        <x:v>1313803378</x:v>
      </x:c>
      <x:c r="I234" s="17" t="n">
        <x:f>IF(AND(L234,ISNUMBER(G234),ISNUMBER(H234)),G234-H234,"n.a.")</x:f>
        <x:v>-327367061.92999995</x:v>
      </x:c>
      <x:c r="J234" s="15" t="n">
        <x:f>IF(AND(L234,ISNUMBER(G234),ISNUMBER(H234),H234&gt;0),(G234-H234)/H234,"n.a.")</x:f>
        <x:v>-0.24917508008568992</x:v>
      </x:c>
      <x:c r="K234" s="19" t="n">
        <x:f>IF(ISNUMBER(J234),ABS(J234),"n.a.")</x:f>
        <x:v>0.24917508008568992</x:v>
      </x:c>
      <x:c r="L234" s="13" t="b">
        <x:v>1</x:v>
      </x:c>
      <x:c r="M234" s="13" t="b">
        <x:v>1</x:v>
      </x:c>
      <x:c r="N234" s="2" t="str">
        <x:v>legacy epoch_status=observed; not exact acquisition proof</x:v>
      </x:c>
      <x:c r="O234" s="2" t="str">
        <x:v>none</x:v>
      </x:c>
      <x:c r="P234" s="2" t="str">
        <x:v>historical source estimate</x:v>
      </x:c>
      <x:c r="Q234" s="2" t="str">
        <x:v>Saved country aggregation; cross-source boundary and pixel-support alignment not certified; legacy observed flag is not acquisition proof</x:v>
      </x:c>
      <x:c r="R234" s="2" t="str">
        <x:v>https://human-settlement.emergency.copernicus.eu/ghs_buS2023.php</x:v>
      </x:c>
      <x:c r="S234" s="13" t="b">
        <x:v>0</x:v>
      </x:c>
      <x:c r="T234" s="13" t="b">
        <x:v>0</x:v>
      </x:c>
    </x:row>
    <x:row r="235" ht="23" customHeight="1">
      <x:c r="A235" s="2" t="str">
        <x:v>CHN</x:v>
      </x:c>
      <x:c r="B235" s="2" t="str">
        <x:v>China (People's Republic of)</x:v>
      </x:c>
      <x:c r="C235" s="2" t="n">
        <x:v>2020</x:v>
      </x:c>
      <x:c r="D235" s="2" t="str">
        <x:v>GHSL_SURFACE</x:v>
      </x:c>
      <x:c r="E235" s="2" t="str">
        <x:v>horizontal surface / footprint</x:v>
      </x:c>
      <x:c r="F235" s="2" t="str">
        <x:v>m2</x:v>
      </x:c>
      <x:c r="G235" s="17" t="n">
        <x:v>78150235427.5</x:v>
      </x:c>
      <x:c r="H235" s="17" t="n">
        <x:v>81421638765</x:v>
      </x:c>
      <x:c r="I235" s="17" t="n">
        <x:f>IF(AND(L235,ISNUMBER(G235),ISNUMBER(H235)),G235-H235,"n.a.")</x:f>
        <x:v>-3271403337.5</x:v>
      </x:c>
      <x:c r="J235" s="15" t="n">
        <x:f>IF(AND(L235,ISNUMBER(G235),ISNUMBER(H235),H235&gt;0),(G235-H235)/H235,"n.a.")</x:f>
        <x:v>-0.040178549426424084</x:v>
      </x:c>
      <x:c r="K235" s="19" t="n">
        <x:f>IF(ISNUMBER(J235),ABS(J235),"n.a.")</x:f>
        <x:v>0.040178549426424084</x:v>
      </x:c>
      <x:c r="L235" s="13" t="b">
        <x:v>1</x:v>
      </x:c>
      <x:c r="M235" s="13" t="b">
        <x:v>1</x:v>
      </x:c>
      <x:c r="N235" s="2" t="str">
        <x:v>legacy epoch_status=observed; not exact acquisition proof</x:v>
      </x:c>
      <x:c r="O235" s="2" t="str">
        <x:v>none</x:v>
      </x:c>
      <x:c r="P235" s="2" t="str">
        <x:v>historical source estimate</x:v>
      </x:c>
      <x:c r="Q235" s="2" t="str">
        <x:v>Saved country aggregation; cross-source boundary and pixel-support alignment not certified; legacy observed flag is not acquisition proof</x:v>
      </x:c>
      <x:c r="R235" s="2" t="str">
        <x:v>https://human-settlement.emergency.copernicus.eu/ghs_buS2023.php</x:v>
      </x:c>
      <x:c r="S235" s="13" t="b">
        <x:v>0</x:v>
      </x:c>
      <x:c r="T235" s="13" t="b">
        <x:v>0</x:v>
      </x:c>
    </x:row>
    <x:row r="236" ht="23" customHeight="1">
      <x:c r="A236" s="2" t="str">
        <x:v>CIV</x:v>
      </x:c>
      <x:c r="B236" s="2" t="str">
        <x:v>Côte d'Ivoire (Republic of)</x:v>
      </x:c>
      <x:c r="C236" s="2" t="n">
        <x:v>2020</x:v>
      </x:c>
      <x:c r="D236" s="2" t="str">
        <x:v>GHSL_SURFACE</x:v>
      </x:c>
      <x:c r="E236" s="2" t="str">
        <x:v>horizontal surface / footprint</x:v>
      </x:c>
      <x:c r="F236" s="2" t="str">
        <x:v>m2</x:v>
      </x:c>
      <x:c r="G236" s="17" t="n">
        <x:v>602828854.82</x:v>
      </x:c>
      <x:c r="H236" s="17" t="n">
        <x:v>1260792972</x:v>
      </x:c>
      <x:c r="I236" s="17" t="n">
        <x:f>IF(AND(L236,ISNUMBER(G236),ISNUMBER(H236)),G236-H236,"n.a.")</x:f>
        <x:v>-657964117.18</x:v>
      </x:c>
      <x:c r="J236" s="15" t="n">
        <x:f>IF(AND(L236,ISNUMBER(G236),ISNUMBER(H236),H236&gt;0),(G236-H236)/H236,"n.a.")</x:f>
        <x:v>-0.5218653115874126</x:v>
      </x:c>
      <x:c r="K236" s="19" t="n">
        <x:f>IF(ISNUMBER(J236),ABS(J236),"n.a.")</x:f>
        <x:v>0.5218653115874126</x:v>
      </x:c>
      <x:c r="L236" s="13" t="b">
        <x:v>1</x:v>
      </x:c>
      <x:c r="M236" s="13" t="b">
        <x:v>1</x:v>
      </x:c>
      <x:c r="N236" s="2" t="str">
        <x:v>legacy epoch_status=observed; not exact acquisition proof</x:v>
      </x:c>
      <x:c r="O236" s="2" t="str">
        <x:v>none</x:v>
      </x:c>
      <x:c r="P236" s="2" t="str">
        <x:v>historical source estimate</x:v>
      </x:c>
      <x:c r="Q236" s="2" t="str">
        <x:v>Saved country aggregation; cross-source boundary and pixel-support alignment not certified; legacy observed flag is not acquisition proof</x:v>
      </x:c>
      <x:c r="R236" s="2" t="str">
        <x:v>https://human-settlement.emergency.copernicus.eu/ghs_buS2023.php</x:v>
      </x:c>
      <x:c r="S236" s="13" t="b">
        <x:v>0</x:v>
      </x:c>
      <x:c r="T236" s="13" t="b">
        <x:v>0</x:v>
      </x:c>
    </x:row>
    <x:row r="237" ht="23" customHeight="1">
      <x:c r="A237" s="2" t="str">
        <x:v>CMR</x:v>
      </x:c>
      <x:c r="B237" s="2" t="str">
        <x:v>Cameroon (Republic of)</x:v>
      </x:c>
      <x:c r="C237" s="2" t="n">
        <x:v>2020</x:v>
      </x:c>
      <x:c r="D237" s="2" t="str">
        <x:v>GHSL_SURFACE</x:v>
      </x:c>
      <x:c r="E237" s="2" t="str">
        <x:v>horizontal surface / footprint</x:v>
      </x:c>
      <x:c r="F237" s="2" t="str">
        <x:v>m2</x:v>
      </x:c>
      <x:c r="G237" s="17" t="n">
        <x:v>577057207.81</x:v>
      </x:c>
      <x:c r="H237" s="17" t="n">
        <x:v>1223755693</x:v>
      </x:c>
      <x:c r="I237" s="17" t="n">
        <x:f>IF(AND(L237,ISNUMBER(G237),ISNUMBER(H237)),G237-H237,"n.a.")</x:f>
        <x:v>-646698485.19</x:v>
      </x:c>
      <x:c r="J237" s="15" t="n">
        <x:f>IF(AND(L237,ISNUMBER(G237),ISNUMBER(H237),H237&gt;0),(G237-H237)/H237,"n.a.")</x:f>
        <x:v>-0.5284539135459614</x:v>
      </x:c>
      <x:c r="K237" s="19" t="n">
        <x:f>IF(ISNUMBER(J237),ABS(J237),"n.a.")</x:f>
        <x:v>0.5284539135459614</x:v>
      </x:c>
      <x:c r="L237" s="13" t="b">
        <x:v>1</x:v>
      </x:c>
      <x:c r="M237" s="13" t="b">
        <x:v>1</x:v>
      </x:c>
      <x:c r="N237" s="2" t="str">
        <x:v>legacy epoch_status=observed; not exact acquisition proof</x:v>
      </x:c>
      <x:c r="O237" s="2" t="str">
        <x:v>none</x:v>
      </x:c>
      <x:c r="P237" s="2" t="str">
        <x:v>historical source estimate</x:v>
      </x:c>
      <x:c r="Q237" s="2" t="str">
        <x:v>Saved country aggregation; cross-source boundary and pixel-support alignment not certified; legacy observed flag is not acquisition proof</x:v>
      </x:c>
      <x:c r="R237" s="2" t="str">
        <x:v>https://human-settlement.emergency.copernicus.eu/ghs_buS2023.php</x:v>
      </x:c>
      <x:c r="S237" s="13" t="b">
        <x:v>0</x:v>
      </x:c>
      <x:c r="T237" s="13" t="b">
        <x:v>0</x:v>
      </x:c>
    </x:row>
    <x:row r="238" ht="23" customHeight="1">
      <x:c r="A238" s="2" t="str">
        <x:v>COD</x:v>
      </x:c>
      <x:c r="B238" s="2" t="str">
        <x:v>Congo (Democratic Republic of the)</x:v>
      </x:c>
      <x:c r="C238" s="2" t="n">
        <x:v>2020</x:v>
      </x:c>
      <x:c r="D238" s="2" t="str">
        <x:v>GHSL_SURFACE</x:v>
      </x:c>
      <x:c r="E238" s="2" t="str">
        <x:v>horizontal surface / footprint</x:v>
      </x:c>
      <x:c r="F238" s="2" t="str">
        <x:v>m2</x:v>
      </x:c>
      <x:c r="G238" s="17" t="n">
        <x:v>941825698.84</x:v>
      </x:c>
      <x:c r="H238" s="17" t="n">
        <x:v>2769375283</x:v>
      </x:c>
      <x:c r="I238" s="17" t="n">
        <x:f>IF(AND(L238,ISNUMBER(G238),ISNUMBER(H238)),G238-H238,"n.a.")</x:f>
        <x:v>-1827549584.1599998</x:v>
      </x:c>
      <x:c r="J238" s="15" t="n">
        <x:f>IF(AND(L238,ISNUMBER(G238),ISNUMBER(H238),H238&gt;0),(G238-H238)/H238,"n.a.")</x:f>
        <x:v>-0.6599140229850892</x:v>
      </x:c>
      <x:c r="K238" s="19" t="n">
        <x:f>IF(ISNUMBER(J238),ABS(J238),"n.a.")</x:f>
        <x:v>0.6599140229850892</x:v>
      </x:c>
      <x:c r="L238" s="13" t="b">
        <x:v>1</x:v>
      </x:c>
      <x:c r="M238" s="13" t="b">
        <x:v>1</x:v>
      </x:c>
      <x:c r="N238" s="2" t="str">
        <x:v>legacy epoch_status=observed; not exact acquisition proof</x:v>
      </x:c>
      <x:c r="O238" s="2" t="str">
        <x:v>none</x:v>
      </x:c>
      <x:c r="P238" s="2" t="str">
        <x:v>historical source estimate</x:v>
      </x:c>
      <x:c r="Q238" s="2" t="str">
        <x:v>Saved country aggregation; cross-source boundary and pixel-support alignment not certified; legacy observed flag is not acquisition proof</x:v>
      </x:c>
      <x:c r="R238" s="2" t="str">
        <x:v>https://human-settlement.emergency.copernicus.eu/ghs_buS2023.php</x:v>
      </x:c>
      <x:c r="S238" s="13" t="b">
        <x:v>0</x:v>
      </x:c>
      <x:c r="T238" s="13" t="b">
        <x:v>0</x:v>
      </x:c>
    </x:row>
    <x:row r="239" ht="23" customHeight="1">
      <x:c r="A239" s="2" t="str">
        <x:v>COG</x:v>
      </x:c>
      <x:c r="B239" s="2" t="str">
        <x:v>Congo (Republic of the)</x:v>
      </x:c>
      <x:c r="C239" s="2" t="n">
        <x:v>2020</x:v>
      </x:c>
      <x:c r="D239" s="2" t="str">
        <x:v>GHSL_SURFACE</x:v>
      </x:c>
      <x:c r="E239" s="2" t="str">
        <x:v>horizontal surface / footprint</x:v>
      </x:c>
      <x:c r="F239" s="2" t="str">
        <x:v>m2</x:v>
      </x:c>
      <x:c r="G239" s="17" t="n">
        <x:v>110620071.65</x:v>
      </x:c>
      <x:c r="H239" s="17" t="n">
        <x:v>241420781</x:v>
      </x:c>
      <x:c r="I239" s="17" t="n">
        <x:f>IF(AND(L239,ISNUMBER(G239),ISNUMBER(H239)),G239-H239,"n.a.")</x:f>
        <x:v>-130800709.35</x:v>
      </x:c>
      <x:c r="J239" s="15" t="n">
        <x:f>IF(AND(L239,ISNUMBER(G239),ISNUMBER(H239),H239&gt;0),(G239-H239)/H239,"n.a.")</x:f>
        <x:v>-0.5417955687501483</x:v>
      </x:c>
      <x:c r="K239" s="19" t="n">
        <x:f>IF(ISNUMBER(J239),ABS(J239),"n.a.")</x:f>
        <x:v>0.5417955687501483</x:v>
      </x:c>
      <x:c r="L239" s="13" t="b">
        <x:v>1</x:v>
      </x:c>
      <x:c r="M239" s="13" t="b">
        <x:v>1</x:v>
      </x:c>
      <x:c r="N239" s="2" t="str">
        <x:v>legacy epoch_status=observed; not exact acquisition proof</x:v>
      </x:c>
      <x:c r="O239" s="2" t="str">
        <x:v>none</x:v>
      </x:c>
      <x:c r="P239" s="2" t="str">
        <x:v>historical source estimate</x:v>
      </x:c>
      <x:c r="Q239" s="2" t="str">
        <x:v>Saved country aggregation; cross-source boundary and pixel-support alignment not certified; legacy observed flag is not acquisition proof</x:v>
      </x:c>
      <x:c r="R239" s="2" t="str">
        <x:v>https://human-settlement.emergency.copernicus.eu/ghs_buS2023.php</x:v>
      </x:c>
      <x:c r="S239" s="13" t="b">
        <x:v>0</x:v>
      </x:c>
      <x:c r="T239" s="13" t="b">
        <x:v>0</x:v>
      </x:c>
    </x:row>
    <x:row r="240" ht="23" customHeight="1">
      <x:c r="A240" s="2" t="str">
        <x:v>COL</x:v>
      </x:c>
      <x:c r="B240" s="2" t="str">
        <x:v>Colombia (Republic of)</x:v>
      </x:c>
      <x:c r="C240" s="2" t="n">
        <x:v>2020</x:v>
      </x:c>
      <x:c r="D240" s="2" t="str">
        <x:v>GHSL_SURFACE</x:v>
      </x:c>
      <x:c r="E240" s="2" t="str">
        <x:v>horizontal surface / footprint</x:v>
      </x:c>
      <x:c r="F240" s="2" t="str">
        <x:v>m2</x:v>
      </x:c>
      <x:c r="G240" s="17" t="n">
        <x:v>1505534156.31</x:v>
      </x:c>
      <x:c r="H240" s="17" t="n">
        <x:v>1554621979</x:v>
      </x:c>
      <x:c r="I240" s="17" t="n">
        <x:f>IF(AND(L240,ISNUMBER(G240),ISNUMBER(H240)),G240-H240,"n.a.")</x:f>
        <x:v>-49087822.69000006</x:v>
      </x:c>
      <x:c r="J240" s="15" t="n">
        <x:f>IF(AND(L240,ISNUMBER(G240),ISNUMBER(H240),H240&gt;0),(G240-H240)/H240,"n.a.")</x:f>
        <x:v>-0.031575407625187096</x:v>
      </x:c>
      <x:c r="K240" s="19" t="n">
        <x:f>IF(ISNUMBER(J240),ABS(J240),"n.a.")</x:f>
        <x:v>0.031575407625187096</x:v>
      </x:c>
      <x:c r="L240" s="13" t="b">
        <x:v>1</x:v>
      </x:c>
      <x:c r="M240" s="13" t="b">
        <x:v>1</x:v>
      </x:c>
      <x:c r="N240" s="2" t="str">
        <x:v>legacy epoch_status=observed; not exact acquisition proof</x:v>
      </x:c>
      <x:c r="O240" s="2" t="str">
        <x:v>none</x:v>
      </x:c>
      <x:c r="P240" s="2" t="str">
        <x:v>historical source estimate</x:v>
      </x:c>
      <x:c r="Q240" s="2" t="str">
        <x:v>Saved country aggregation; cross-source boundary and pixel-support alignment not certified; legacy observed flag is not acquisition proof</x:v>
      </x:c>
      <x:c r="R240" s="2" t="str">
        <x:v>https://human-settlement.emergency.copernicus.eu/ghs_buS2023.php</x:v>
      </x:c>
      <x:c r="S240" s="13" t="b">
        <x:v>0</x:v>
      </x:c>
      <x:c r="T240" s="13" t="b">
        <x:v>0</x:v>
      </x:c>
    </x:row>
    <x:row r="241" ht="23" customHeight="1">
      <x:c r="A241" s="2" t="str">
        <x:v>COM</x:v>
      </x:c>
      <x:c r="B241" s="2" t="str">
        <x:v>Comoros (Union of the)</x:v>
      </x:c>
      <x:c r="C241" s="2" t="n">
        <x:v>2020</x:v>
      </x:c>
      <x:c r="D241" s="2" t="str">
        <x:v>GHSL_SURFACE</x:v>
      </x:c>
      <x:c r="E241" s="2" t="str">
        <x:v>horizontal surface / footprint</x:v>
      </x:c>
      <x:c r="F241" s="2" t="str">
        <x:v>m2</x:v>
      </x:c>
      <x:c r="G241" s="17" t="n">
        <x:v>18035090.41</x:v>
      </x:c>
      <x:c r="H241" s="17" t="n">
        <x:v>24199666</x:v>
      </x:c>
      <x:c r="I241" s="17" t="n">
        <x:f>IF(AND(L241,ISNUMBER(G241),ISNUMBER(H241)),G241-H241,"n.a.")</x:f>
        <x:v>-6164575.59</x:v>
      </x:c>
      <x:c r="J241" s="15" t="n">
        <x:f>IF(AND(L241,ISNUMBER(G241),ISNUMBER(H241),H241&gt;0),(G241-H241)/H241,"n.a.")</x:f>
        <x:v>-0.2547380443184629</x:v>
      </x:c>
      <x:c r="K241" s="19" t="n">
        <x:f>IF(ISNUMBER(J241),ABS(J241),"n.a.")</x:f>
        <x:v>0.2547380443184629</x:v>
      </x:c>
      <x:c r="L241" s="13" t="b">
        <x:v>1</x:v>
      </x:c>
      <x:c r="M241" s="13" t="b">
        <x:v>1</x:v>
      </x:c>
      <x:c r="N241" s="2" t="str">
        <x:v>legacy epoch_status=observed; not exact acquisition proof</x:v>
      </x:c>
      <x:c r="O241" s="2" t="str">
        <x:v>none</x:v>
      </x:c>
      <x:c r="P241" s="2" t="str">
        <x:v>historical source estimate</x:v>
      </x:c>
      <x:c r="Q241" s="2" t="str">
        <x:v>Saved country aggregation; cross-source boundary and pixel-support alignment not certified; legacy observed flag is not acquisition proof</x:v>
      </x:c>
      <x:c r="R241" s="2" t="str">
        <x:v>https://human-settlement.emergency.copernicus.eu/ghs_buS2023.php</x:v>
      </x:c>
      <x:c r="S241" s="13" t="b">
        <x:v>0</x:v>
      </x:c>
      <x:c r="T241" s="13" t="b">
        <x:v>0</x:v>
      </x:c>
    </x:row>
    <x:row r="242" ht="23" customHeight="1">
      <x:c r="A242" s="2" t="str">
        <x:v>CPV</x:v>
      </x:c>
      <x:c r="B242" s="2" t="str">
        <x:v>Cabo Verde (Republic of)</x:v>
      </x:c>
      <x:c r="C242" s="2" t="n">
        <x:v>2020</x:v>
      </x:c>
      <x:c r="D242" s="2" t="str">
        <x:v>GHSL_SURFACE</x:v>
      </x:c>
      <x:c r="E242" s="2" t="str">
        <x:v>horizontal surface / footprint</x:v>
      </x:c>
      <x:c r="F242" s="2" t="str">
        <x:v>m2</x:v>
      </x:c>
      <x:c r="G242" s="17" t="n">
        <x:v>20998892.42</x:v>
      </x:c>
      <x:c r="H242" s="17" t="n">
        <x:v>22272899</x:v>
      </x:c>
      <x:c r="I242" s="17" t="n">
        <x:f>IF(AND(L242,ISNUMBER(G242),ISNUMBER(H242)),G242-H242,"n.a.")</x:f>
        <x:v>-1274006.5799999982</x:v>
      </x:c>
      <x:c r="J242" s="15" t="n">
        <x:f>IF(AND(L242,ISNUMBER(G242),ISNUMBER(H242),H242&gt;0),(G242-H242)/H242,"n.a.")</x:f>
        <x:v>-0.05719985440602044</x:v>
      </x:c>
      <x:c r="K242" s="19" t="n">
        <x:f>IF(ISNUMBER(J242),ABS(J242),"n.a.")</x:f>
        <x:v>0.05719985440602044</x:v>
      </x:c>
      <x:c r="L242" s="13" t="b">
        <x:v>1</x:v>
      </x:c>
      <x:c r="M242" s="13" t="b">
        <x:v>1</x:v>
      </x:c>
      <x:c r="N242" s="2" t="str">
        <x:v>legacy epoch_status=observed; not exact acquisition proof</x:v>
      </x:c>
      <x:c r="O242" s="2" t="str">
        <x:v>none</x:v>
      </x:c>
      <x:c r="P242" s="2" t="str">
        <x:v>historical source estimate</x:v>
      </x:c>
      <x:c r="Q242" s="2" t="str">
        <x:v>Saved country aggregation; cross-source boundary and pixel-support alignment not certified; legacy observed flag is not acquisition proof</x:v>
      </x:c>
      <x:c r="R242" s="2" t="str">
        <x:v>https://human-settlement.emergency.copernicus.eu/ghs_buS2023.php</x:v>
      </x:c>
      <x:c r="S242" s="13" t="b">
        <x:v>0</x:v>
      </x:c>
      <x:c r="T242" s="13" t="b">
        <x:v>0</x:v>
      </x:c>
    </x:row>
    <x:row r="243" ht="23" customHeight="1">
      <x:c r="A243" s="2" t="str">
        <x:v>CRI</x:v>
      </x:c>
      <x:c r="B243" s="2" t="str">
        <x:v>Costa Rica (Republic of)</x:v>
      </x:c>
      <x:c r="C243" s="2" t="n">
        <x:v>2020</x:v>
      </x:c>
      <x:c r="D243" s="2" t="str">
        <x:v>GHSL_SURFACE</x:v>
      </x:c>
      <x:c r="E243" s="2" t="str">
        <x:v>horizontal surface / footprint</x:v>
      </x:c>
      <x:c r="F243" s="2" t="str">
        <x:v>m2</x:v>
      </x:c>
      <x:c r="G243" s="17" t="n">
        <x:v>284786315.39</x:v>
      </x:c>
      <x:c r="H243" s="17" t="n">
        <x:v>365803979</x:v>
      </x:c>
      <x:c r="I243" s="17" t="n">
        <x:f>IF(AND(L243,ISNUMBER(G243),ISNUMBER(H243)),G243-H243,"n.a.")</x:f>
        <x:v>-81017663.61000001</x:v>
      </x:c>
      <x:c r="J243" s="15" t="n">
        <x:f>IF(AND(L243,ISNUMBER(G243),ISNUMBER(H243),H243&gt;0),(G243-H243)/H243,"n.a.")</x:f>
        <x:v>-0.22147835524227585</x:v>
      </x:c>
      <x:c r="K243" s="19" t="n">
        <x:f>IF(ISNUMBER(J243),ABS(J243),"n.a.")</x:f>
        <x:v>0.22147835524227585</x:v>
      </x:c>
      <x:c r="L243" s="13" t="b">
        <x:v>1</x:v>
      </x:c>
      <x:c r="M243" s="13" t="b">
        <x:v>1</x:v>
      </x:c>
      <x:c r="N243" s="2" t="str">
        <x:v>legacy epoch_status=observed; not exact acquisition proof</x:v>
      </x:c>
      <x:c r="O243" s="2" t="str">
        <x:v>none</x:v>
      </x:c>
      <x:c r="P243" s="2" t="str">
        <x:v>historical source estimate</x:v>
      </x:c>
      <x:c r="Q243" s="2" t="str">
        <x:v>Saved country aggregation; cross-source boundary and pixel-support alignment not certified; legacy observed flag is not acquisition proof</x:v>
      </x:c>
      <x:c r="R243" s="2" t="str">
        <x:v>https://human-settlement.emergency.copernicus.eu/ghs_buS2023.php</x:v>
      </x:c>
      <x:c r="S243" s="13" t="b">
        <x:v>0</x:v>
      </x:c>
      <x:c r="T243" s="13" t="b">
        <x:v>0</x:v>
      </x:c>
    </x:row>
    <x:row r="244" ht="23" customHeight="1">
      <x:c r="A244" s="2" t="str">
        <x:v>CUB</x:v>
      </x:c>
      <x:c r="B244" s="2" t="str">
        <x:v>Cuba (Republic of)</x:v>
      </x:c>
      <x:c r="C244" s="2" t="n">
        <x:v>2020</x:v>
      </x:c>
      <x:c r="D244" s="2" t="str">
        <x:v>GHSL_SURFACE</x:v>
      </x:c>
      <x:c r="E244" s="2" t="str">
        <x:v>horizontal surface / footprint</x:v>
      </x:c>
      <x:c r="F244" s="2" t="str">
        <x:v>m2</x:v>
      </x:c>
      <x:c r="G244" s="17" t="n">
        <x:v>360088927.42</x:v>
      </x:c>
      <x:c r="H244" s="17" t="n">
        <x:v>387153054</x:v>
      </x:c>
      <x:c r="I244" s="17" t="n">
        <x:f>IF(AND(L244,ISNUMBER(G244),ISNUMBER(H244)),G244-H244,"n.a.")</x:f>
        <x:v>-27064126.579999983</x:v>
      </x:c>
      <x:c r="J244" s="15" t="n">
        <x:f>IF(AND(L244,ISNUMBER(G244),ISNUMBER(H244),H244&gt;0),(G244-H244)/H244,"n.a.")</x:f>
        <x:v>-0.06990549680643868</x:v>
      </x:c>
      <x:c r="K244" s="19" t="n">
        <x:f>IF(ISNUMBER(J244),ABS(J244),"n.a.")</x:f>
        <x:v>0.06990549680643868</x:v>
      </x:c>
      <x:c r="L244" s="13" t="b">
        <x:v>1</x:v>
      </x:c>
      <x:c r="M244" s="13" t="b">
        <x:v>1</x:v>
      </x:c>
      <x:c r="N244" s="2" t="str">
        <x:v>legacy epoch_status=observed; not exact acquisition proof</x:v>
      </x:c>
      <x:c r="O244" s="2" t="str">
        <x:v>none</x:v>
      </x:c>
      <x:c r="P244" s="2" t="str">
        <x:v>historical source estimate</x:v>
      </x:c>
      <x:c r="Q244" s="2" t="str">
        <x:v>Saved country aggregation; cross-source boundary and pixel-support alignment not certified; legacy observed flag is not acquisition proof</x:v>
      </x:c>
      <x:c r="R244" s="2" t="str">
        <x:v>https://human-settlement.emergency.copernicus.eu/ghs_buS2023.php</x:v>
      </x:c>
      <x:c r="S244" s="13" t="b">
        <x:v>0</x:v>
      </x:c>
      <x:c r="T244" s="13" t="b">
        <x:v>0</x:v>
      </x:c>
    </x:row>
    <x:row r="245" ht="23" customHeight="1">
      <x:c r="A245" s="2" t="str">
        <x:v>CYP</x:v>
      </x:c>
      <x:c r="B245" s="2" t="str">
        <x:v>Cyprus (Republic of)</x:v>
      </x:c>
      <x:c r="C245" s="2" t="n">
        <x:v>2020</x:v>
      </x:c>
      <x:c r="D245" s="2" t="str">
        <x:v>GHSL_SURFACE</x:v>
      </x:c>
      <x:c r="E245" s="2" t="str">
        <x:v>horizontal surface / footprint</x:v>
      </x:c>
      <x:c r="F245" s="2" t="str">
        <x:v>m2</x:v>
      </x:c>
      <x:c r="G245" s="17" t="n">
        <x:v>124124771.75</x:v>
      </x:c>
      <x:c r="H245" s="17" t="n">
        <x:v>141665206</x:v>
      </x:c>
      <x:c r="I245" s="17" t="n">
        <x:f>IF(AND(L245,ISNUMBER(G245),ISNUMBER(H245)),G245-H245,"n.a.")</x:f>
        <x:v>-17540434.25</x:v>
      </x:c>
      <x:c r="J245" s="15" t="n">
        <x:f>IF(AND(L245,ISNUMBER(G245),ISNUMBER(H245),H245&gt;0),(G245-H245)/H245,"n.a.")</x:f>
        <x:v>-0.12381610661689223</x:v>
      </x:c>
      <x:c r="K245" s="19" t="n">
        <x:f>IF(ISNUMBER(J245),ABS(J245),"n.a.")</x:f>
        <x:v>0.12381610661689223</x:v>
      </x:c>
      <x:c r="L245" s="13" t="b">
        <x:v>1</x:v>
      </x:c>
      <x:c r="M245" s="13" t="b">
        <x:v>1</x:v>
      </x:c>
      <x:c r="N245" s="2" t="str">
        <x:v>legacy epoch_status=observed; not exact acquisition proof</x:v>
      </x:c>
      <x:c r="O245" s="2" t="str">
        <x:v>none</x:v>
      </x:c>
      <x:c r="P245" s="2" t="str">
        <x:v>historical source estimate</x:v>
      </x:c>
      <x:c r="Q245" s="2" t="str">
        <x:v>Saved country aggregation; cross-source boundary and pixel-support alignment not certified; legacy observed flag is not acquisition proof</x:v>
      </x:c>
      <x:c r="R245" s="2" t="str">
        <x:v>https://human-settlement.emergency.copernicus.eu/ghs_buS2023.php</x:v>
      </x:c>
      <x:c r="S245" s="13" t="b">
        <x:v>0</x:v>
      </x:c>
      <x:c r="T245" s="13" t="b">
        <x:v>0</x:v>
      </x:c>
    </x:row>
    <x:row r="246" ht="23" customHeight="1">
      <x:c r="A246" s="2" t="str">
        <x:v>CZE</x:v>
      </x:c>
      <x:c r="B246" s="2" t="str">
        <x:v>Czechia (Czech Republic)</x:v>
      </x:c>
      <x:c r="C246" s="2" t="n">
        <x:v>2020</x:v>
      </x:c>
      <x:c r="D246" s="2" t="str">
        <x:v>GHSL_SURFACE</x:v>
      </x:c>
      <x:c r="E246" s="2" t="str">
        <x:v>horizontal surface / footprint</x:v>
      </x:c>
      <x:c r="F246" s="2" t="str">
        <x:v>m2</x:v>
      </x:c>
      <x:c r="G246" s="17" t="n">
        <x:v>832797594.35</x:v>
      </x:c>
      <x:c r="H246" s="17" t="n">
        <x:v>1361688970</x:v>
      </x:c>
      <x:c r="I246" s="17" t="n">
        <x:f>IF(AND(L246,ISNUMBER(G246),ISNUMBER(H246)),G246-H246,"n.a.")</x:f>
        <x:v>-528891375.65</x:v>
      </x:c>
      <x:c r="J246" s="15" t="n">
        <x:f>IF(AND(L246,ISNUMBER(G246),ISNUMBER(H246),H246&gt;0),(G246-H246)/H246,"n.a.")</x:f>
        <x:v>-0.3884083570494075</x:v>
      </x:c>
      <x:c r="K246" s="19" t="n">
        <x:f>IF(ISNUMBER(J246),ABS(J246),"n.a.")</x:f>
        <x:v>0.3884083570494075</x:v>
      </x:c>
      <x:c r="L246" s="13" t="b">
        <x:v>1</x:v>
      </x:c>
      <x:c r="M246" s="13" t="b">
        <x:v>1</x:v>
      </x:c>
      <x:c r="N246" s="2" t="str">
        <x:v>legacy epoch_status=observed; not exact acquisition proof</x:v>
      </x:c>
      <x:c r="O246" s="2" t="str">
        <x:v>none</x:v>
      </x:c>
      <x:c r="P246" s="2" t="str">
        <x:v>historical source estimate</x:v>
      </x:c>
      <x:c r="Q246" s="2" t="str">
        <x:v>Saved country aggregation; cross-source boundary and pixel-support alignment not certified; legacy observed flag is not acquisition proof</x:v>
      </x:c>
      <x:c r="R246" s="2" t="str">
        <x:v>https://human-settlement.emergency.copernicus.eu/ghs_buS2023.php</x:v>
      </x:c>
      <x:c r="S246" s="13" t="b">
        <x:v>0</x:v>
      </x:c>
      <x:c r="T246" s="13" t="b">
        <x:v>0</x:v>
      </x:c>
    </x:row>
    <x:row r="247" ht="23" customHeight="1">
      <x:c r="A247" s="2" t="str">
        <x:v>DEU</x:v>
      </x:c>
      <x:c r="B247" s="2" t="str">
        <x:v>Germany (Federal Republic of)</x:v>
      </x:c>
      <x:c r="C247" s="2" t="n">
        <x:v>2020</x:v>
      </x:c>
      <x:c r="D247" s="2" t="str">
        <x:v>GHSL_SURFACE</x:v>
      </x:c>
      <x:c r="E247" s="2" t="str">
        <x:v>horizontal surface / footprint</x:v>
      </x:c>
      <x:c r="F247" s="2" t="str">
        <x:v>m2</x:v>
      </x:c>
      <x:c r="G247" s="17" t="n">
        <x:v>6308730216.94</x:v>
      </x:c>
      <x:c r="H247" s="17" t="n">
        <x:v>9548020066</x:v>
      </x:c>
      <x:c r="I247" s="17" t="n">
        <x:f>IF(AND(L247,ISNUMBER(G247),ISNUMBER(H247)),G247-H247,"n.a.")</x:f>
        <x:v>-3239289849.0600004</x:v>
      </x:c>
      <x:c r="J247" s="15" t="n">
        <x:f>IF(AND(L247,ISNUMBER(G247),ISNUMBER(H247),H247&gt;0),(G247-H247)/H247,"n.a.")</x:f>
        <x:v>-0.33926299134989696</x:v>
      </x:c>
      <x:c r="K247" s="19" t="n">
        <x:f>IF(ISNUMBER(J247),ABS(J247),"n.a.")</x:f>
        <x:v>0.33926299134989696</x:v>
      </x:c>
      <x:c r="L247" s="13" t="b">
        <x:v>1</x:v>
      </x:c>
      <x:c r="M247" s="13" t="b">
        <x:v>1</x:v>
      </x:c>
      <x:c r="N247" s="2" t="str">
        <x:v>legacy epoch_status=observed; not exact acquisition proof</x:v>
      </x:c>
      <x:c r="O247" s="2" t="str">
        <x:v>none</x:v>
      </x:c>
      <x:c r="P247" s="2" t="str">
        <x:v>historical source estimate</x:v>
      </x:c>
      <x:c r="Q247" s="2" t="str">
        <x:v>Saved country aggregation; cross-source boundary and pixel-support alignment not certified; legacy observed flag is not acquisition proof</x:v>
      </x:c>
      <x:c r="R247" s="2" t="str">
        <x:v>https://human-settlement.emergency.copernicus.eu/ghs_buS2023.php</x:v>
      </x:c>
      <x:c r="S247" s="13" t="b">
        <x:v>0</x:v>
      </x:c>
      <x:c r="T247" s="13" t="b">
        <x:v>0</x:v>
      </x:c>
    </x:row>
    <x:row r="248" ht="23" customHeight="1">
      <x:c r="A248" s="2" t="str">
        <x:v>DJI</x:v>
      </x:c>
      <x:c r="B248" s="2" t="str">
        <x:v>Djibouti (Republic of)</x:v>
      </x:c>
      <x:c r="C248" s="2" t="n">
        <x:v>2020</x:v>
      </x:c>
      <x:c r="D248" s="2" t="str">
        <x:v>GHSL_SURFACE</x:v>
      </x:c>
      <x:c r="E248" s="2" t="str">
        <x:v>horizontal surface / footprint</x:v>
      </x:c>
      <x:c r="F248" s="2" t="str">
        <x:v>m2</x:v>
      </x:c>
      <x:c r="G248" s="17" t="n">
        <x:v>12127167.01</x:v>
      </x:c>
      <x:c r="H248" s="17" t="n">
        <x:v>19092795</x:v>
      </x:c>
      <x:c r="I248" s="17" t="n">
        <x:f>IF(AND(L248,ISNUMBER(G248),ISNUMBER(H248)),G248-H248,"n.a.")</x:f>
        <x:v>-6965627.99</x:v>
      </x:c>
      <x:c r="J248" s="15" t="n">
        <x:f>IF(AND(L248,ISNUMBER(G248),ISNUMBER(H248),H248&gt;0),(G248-H248)/H248,"n.a.")</x:f>
        <x:v>-0.3648301880369008</x:v>
      </x:c>
      <x:c r="K248" s="19" t="n">
        <x:f>IF(ISNUMBER(J248),ABS(J248),"n.a.")</x:f>
        <x:v>0.3648301880369008</x:v>
      </x:c>
      <x:c r="L248" s="13" t="b">
        <x:v>1</x:v>
      </x:c>
      <x:c r="M248" s="13" t="b">
        <x:v>1</x:v>
      </x:c>
      <x:c r="N248" s="2" t="str">
        <x:v>legacy epoch_status=observed; not exact acquisition proof</x:v>
      </x:c>
      <x:c r="O248" s="2" t="str">
        <x:v>none</x:v>
      </x:c>
      <x:c r="P248" s="2" t="str">
        <x:v>historical source estimate</x:v>
      </x:c>
      <x:c r="Q248" s="2" t="str">
        <x:v>Saved country aggregation; cross-source boundary and pixel-support alignment not certified; legacy observed flag is not acquisition proof</x:v>
      </x:c>
      <x:c r="R248" s="2" t="str">
        <x:v>https://human-settlement.emergency.copernicus.eu/ghs_buS2023.php</x:v>
      </x:c>
      <x:c r="S248" s="13" t="b">
        <x:v>0</x:v>
      </x:c>
      <x:c r="T248" s="13" t="b">
        <x:v>0</x:v>
      </x:c>
    </x:row>
    <x:row r="249" ht="23" customHeight="1">
      <x:c r="A249" s="2" t="str">
        <x:v>DMA</x:v>
      </x:c>
      <x:c r="B249" s="2" t="str">
        <x:v>Dominica (Commonwealth of)</x:v>
      </x:c>
      <x:c r="C249" s="2" t="n">
        <x:v>2020</x:v>
      </x:c>
      <x:c r="D249" s="2" t="str">
        <x:v>GHSL_SURFACE</x:v>
      </x:c>
      <x:c r="E249" s="2" t="str">
        <x:v>horizontal surface / footprint</x:v>
      </x:c>
      <x:c r="F249" s="2" t="str">
        <x:v>m2</x:v>
      </x:c>
      <x:c r="G249" s="17" t="n">
        <x:v>3947192.69</x:v>
      </x:c>
      <x:c r="H249" s="17" t="n">
        <x:v>4721715</x:v>
      </x:c>
      <x:c r="I249" s="17" t="n">
        <x:f>IF(AND(L249,ISNUMBER(G249),ISNUMBER(H249)),G249-H249,"n.a.")</x:f>
        <x:v>-774522.31</x:v>
      </x:c>
      <x:c r="J249" s="15" t="n">
        <x:f>IF(AND(L249,ISNUMBER(G249),ISNUMBER(H249),H249&gt;0),(G249-H249)/H249,"n.a.")</x:f>
        <x:v>-0.16403410836952254</x:v>
      </x:c>
      <x:c r="K249" s="19" t="n">
        <x:f>IF(ISNUMBER(J249),ABS(J249),"n.a.")</x:f>
        <x:v>0.16403410836952254</x:v>
      </x:c>
      <x:c r="L249" s="13" t="b">
        <x:v>1</x:v>
      </x:c>
      <x:c r="M249" s="13" t="b">
        <x:v>1</x:v>
      </x:c>
      <x:c r="N249" s="2" t="str">
        <x:v>legacy epoch_status=observed; not exact acquisition proof</x:v>
      </x:c>
      <x:c r="O249" s="2" t="str">
        <x:v>none</x:v>
      </x:c>
      <x:c r="P249" s="2" t="str">
        <x:v>historical source estimate</x:v>
      </x:c>
      <x:c r="Q249" s="2" t="str">
        <x:v>Saved country aggregation; cross-source boundary and pixel-support alignment not certified; legacy observed flag is not acquisition proof</x:v>
      </x:c>
      <x:c r="R249" s="2" t="str">
        <x:v>https://human-settlement.emergency.copernicus.eu/ghs_buS2023.php</x:v>
      </x:c>
      <x:c r="S249" s="13" t="b">
        <x:v>0</x:v>
      </x:c>
      <x:c r="T249" s="13" t="b">
        <x:v>0</x:v>
      </x:c>
    </x:row>
    <x:row r="250" ht="23" customHeight="1">
      <x:c r="A250" s="2" t="str">
        <x:v>DNK</x:v>
      </x:c>
      <x:c r="B250" s="2" t="str">
        <x:v>Denmark (Kingdom of)</x:v>
      </x:c>
      <x:c r="C250" s="2" t="n">
        <x:v>2020</x:v>
      </x:c>
      <x:c r="D250" s="2" t="str">
        <x:v>GHSL_SURFACE</x:v>
      </x:c>
      <x:c r="E250" s="2" t="str">
        <x:v>horizontal surface / footprint</x:v>
      </x:c>
      <x:c r="F250" s="2" t="str">
        <x:v>m2</x:v>
      </x:c>
      <x:c r="G250" s="17" t="n">
        <x:v>660731556.2</x:v>
      </x:c>
      <x:c r="H250" s="17" t="n">
        <x:v>796295710</x:v>
      </x:c>
      <x:c r="I250" s="17" t="n">
        <x:f>IF(AND(L250,ISNUMBER(G250),ISNUMBER(H250)),G250-H250,"n.a.")</x:f>
        <x:v>-135564153.79999995</x:v>
      </x:c>
      <x:c r="J250" s="15" t="n">
        <x:f>IF(AND(L250,ISNUMBER(G250),ISNUMBER(H250),H250&gt;0),(G250-H250)/H250,"n.a.")</x:f>
        <x:v>-0.1702434812815957</x:v>
      </x:c>
      <x:c r="K250" s="19" t="n">
        <x:f>IF(ISNUMBER(J250),ABS(J250),"n.a.")</x:f>
        <x:v>0.1702434812815957</x:v>
      </x:c>
      <x:c r="L250" s="13" t="b">
        <x:v>1</x:v>
      </x:c>
      <x:c r="M250" s="13" t="b">
        <x:v>1</x:v>
      </x:c>
      <x:c r="N250" s="2" t="str">
        <x:v>legacy epoch_status=observed; not exact acquisition proof</x:v>
      </x:c>
      <x:c r="O250" s="2" t="str">
        <x:v>none</x:v>
      </x:c>
      <x:c r="P250" s="2" t="str">
        <x:v>historical source estimate</x:v>
      </x:c>
      <x:c r="Q250" s="2" t="str">
        <x:v>Saved country aggregation; cross-source boundary and pixel-support alignment not certified; legacy observed flag is not acquisition proof</x:v>
      </x:c>
      <x:c r="R250" s="2" t="str">
        <x:v>https://human-settlement.emergency.copernicus.eu/ghs_buS2023.php</x:v>
      </x:c>
      <x:c r="S250" s="13" t="b">
        <x:v>0</x:v>
      </x:c>
      <x:c r="T250" s="13" t="b">
        <x:v>0</x:v>
      </x:c>
    </x:row>
    <x:row r="251" ht="23" customHeight="1">
      <x:c r="A251" s="2" t="str">
        <x:v>DOM</x:v>
      </x:c>
      <x:c r="B251" s="2" t="str">
        <x:v>Dominican Republic</x:v>
      </x:c>
      <x:c r="C251" s="2" t="n">
        <x:v>2020</x:v>
      </x:c>
      <x:c r="D251" s="2" t="str">
        <x:v>GHSL_SURFACE</x:v>
      </x:c>
      <x:c r="E251" s="2" t="str">
        <x:v>horizontal surface / footprint</x:v>
      </x:c>
      <x:c r="F251" s="2" t="str">
        <x:v>m2</x:v>
      </x:c>
      <x:c r="G251" s="17" t="n">
        <x:v>336248050.89</x:v>
      </x:c>
      <x:c r="H251" s="17" t="n">
        <x:v>501777002</x:v>
      </x:c>
      <x:c r="I251" s="17" t="n">
        <x:f>IF(AND(L251,ISNUMBER(G251),ISNUMBER(H251)),G251-H251,"n.a.")</x:f>
        <x:v>-165528951.11</x:v>
      </x:c>
      <x:c r="J251" s="15" t="n">
        <x:f>IF(AND(L251,ISNUMBER(G251),ISNUMBER(H251),H251&gt;0),(G251-H251)/H251,"n.a.")</x:f>
        <x:v>-0.3298854878765448</x:v>
      </x:c>
      <x:c r="K251" s="19" t="n">
        <x:f>IF(ISNUMBER(J251),ABS(J251),"n.a.")</x:f>
        <x:v>0.3298854878765448</x:v>
      </x:c>
      <x:c r="L251" s="13" t="b">
        <x:v>1</x:v>
      </x:c>
      <x:c r="M251" s="13" t="b">
        <x:v>1</x:v>
      </x:c>
      <x:c r="N251" s="2" t="str">
        <x:v>legacy epoch_status=observed; not exact acquisition proof</x:v>
      </x:c>
      <x:c r="O251" s="2" t="str">
        <x:v>none</x:v>
      </x:c>
      <x:c r="P251" s="2" t="str">
        <x:v>historical source estimate</x:v>
      </x:c>
      <x:c r="Q251" s="2" t="str">
        <x:v>Saved country aggregation; cross-source boundary and pixel-support alignment not certified; legacy observed flag is not acquisition proof</x:v>
      </x:c>
      <x:c r="R251" s="2" t="str">
        <x:v>https://human-settlement.emergency.copernicus.eu/ghs_buS2023.php</x:v>
      </x:c>
      <x:c r="S251" s="13" t="b">
        <x:v>0</x:v>
      </x:c>
      <x:c r="T251" s="13" t="b">
        <x:v>0</x:v>
      </x:c>
    </x:row>
    <x:row r="252" ht="23" customHeight="1">
      <x:c r="A252" s="2" t="str">
        <x:v>DZA</x:v>
      </x:c>
      <x:c r="B252" s="2" t="str">
        <x:v>Algeria (People's Democratic Republic of)</x:v>
      </x:c>
      <x:c r="C252" s="2" t="n">
        <x:v>2020</x:v>
      </x:c>
      <x:c r="D252" s="2" t="str">
        <x:v>GHSL_SURFACE</x:v>
      </x:c>
      <x:c r="E252" s="2" t="str">
        <x:v>horizontal surface / footprint</x:v>
      </x:c>
      <x:c r="F252" s="2" t="str">
        <x:v>m2</x:v>
      </x:c>
      <x:c r="G252" s="17" t="n">
        <x:v>1589287619</x:v>
      </x:c>
      <x:c r="H252" s="17" t="n">
        <x:v>2238737907</x:v>
      </x:c>
      <x:c r="I252" s="17" t="n">
        <x:f>IF(AND(L252,ISNUMBER(G252),ISNUMBER(H252)),G252-H252,"n.a.")</x:f>
        <x:v>-649450288</x:v>
      </x:c>
      <x:c r="J252" s="15" t="n">
        <x:f>IF(AND(L252,ISNUMBER(G252),ISNUMBER(H252),H252&gt;0),(G252-H252)/H252,"n.a.")</x:f>
        <x:v>-0.290096614690502</x:v>
      </x:c>
      <x:c r="K252" s="19" t="n">
        <x:f>IF(ISNUMBER(J252),ABS(J252),"n.a.")</x:f>
        <x:v>0.290096614690502</x:v>
      </x:c>
      <x:c r="L252" s="13" t="b">
        <x:v>1</x:v>
      </x:c>
      <x:c r="M252" s="13" t="b">
        <x:v>1</x:v>
      </x:c>
      <x:c r="N252" s="2" t="str">
        <x:v>legacy epoch_status=observed; not exact acquisition proof</x:v>
      </x:c>
      <x:c r="O252" s="2" t="str">
        <x:v>none</x:v>
      </x:c>
      <x:c r="P252" s="2" t="str">
        <x:v>historical source estimate</x:v>
      </x:c>
      <x:c r="Q252" s="2" t="str">
        <x:v>Saved country aggregation; cross-source boundary and pixel-support alignment not certified; legacy observed flag is not acquisition proof</x:v>
      </x:c>
      <x:c r="R252" s="2" t="str">
        <x:v>https://human-settlement.emergency.copernicus.eu/ghs_buS2023.php</x:v>
      </x:c>
      <x:c r="S252" s="13" t="b">
        <x:v>0</x:v>
      </x:c>
      <x:c r="T252" s="13" t="b">
        <x:v>0</x:v>
      </x:c>
    </x:row>
    <x:row r="253" ht="23" customHeight="1">
      <x:c r="A253" s="2" t="str">
        <x:v>ECU</x:v>
      </x:c>
      <x:c r="B253" s="2" t="str">
        <x:v>Ecuador (Republic of)</x:v>
      </x:c>
      <x:c r="C253" s="2" t="n">
        <x:v>2020</x:v>
      </x:c>
      <x:c r="D253" s="2" t="str">
        <x:v>GHSL_SURFACE</x:v>
      </x:c>
      <x:c r="E253" s="2" t="str">
        <x:v>horizontal surface / footprint</x:v>
      </x:c>
      <x:c r="F253" s="2" t="str">
        <x:v>m2</x:v>
      </x:c>
      <x:c r="G253" s="17" t="n">
        <x:v>734538215.05</x:v>
      </x:c>
      <x:c r="H253" s="17" t="n">
        <x:v>919672837</x:v>
      </x:c>
      <x:c r="I253" s="17" t="n">
        <x:f>IF(AND(L253,ISNUMBER(G253),ISNUMBER(H253)),G253-H253,"n.a.")</x:f>
        <x:v>-185134621.95000005</x:v>
      </x:c>
      <x:c r="J253" s="15" t="n">
        <x:f>IF(AND(L253,ISNUMBER(G253),ISNUMBER(H253),H253&gt;0),(G253-H253)/H253,"n.a.")</x:f>
        <x:v>-0.201304871147347</x:v>
      </x:c>
      <x:c r="K253" s="19" t="n">
        <x:f>IF(ISNUMBER(J253),ABS(J253),"n.a.")</x:f>
        <x:v>0.201304871147347</x:v>
      </x:c>
      <x:c r="L253" s="13" t="b">
        <x:v>1</x:v>
      </x:c>
      <x:c r="M253" s="13" t="b">
        <x:v>1</x:v>
      </x:c>
      <x:c r="N253" s="2" t="str">
        <x:v>legacy epoch_status=observed; not exact acquisition proof</x:v>
      </x:c>
      <x:c r="O253" s="2" t="str">
        <x:v>none</x:v>
      </x:c>
      <x:c r="P253" s="2" t="str">
        <x:v>historical source estimate</x:v>
      </x:c>
      <x:c r="Q253" s="2" t="str">
        <x:v>Saved country aggregation; cross-source boundary and pixel-support alignment not certified; legacy observed flag is not acquisition proof</x:v>
      </x:c>
      <x:c r="R253" s="2" t="str">
        <x:v>https://human-settlement.emergency.copernicus.eu/ghs_buS2023.php</x:v>
      </x:c>
      <x:c r="S253" s="13" t="b">
        <x:v>0</x:v>
      </x:c>
      <x:c r="T253" s="13" t="b">
        <x:v>0</x:v>
      </x:c>
    </x:row>
    <x:row r="254" ht="23" customHeight="1">
      <x:c r="A254" s="2" t="str">
        <x:v>EGY</x:v>
      </x:c>
      <x:c r="B254" s="2" t="str">
        <x:v>Egypt (Arab Republic of)</x:v>
      </x:c>
      <x:c r="C254" s="2" t="n">
        <x:v>2020</x:v>
      </x:c>
      <x:c r="D254" s="2" t="str">
        <x:v>GHSL_SURFACE</x:v>
      </x:c>
      <x:c r="E254" s="2" t="str">
        <x:v>horizontal surface / footprint</x:v>
      </x:c>
      <x:c r="F254" s="2" t="str">
        <x:v>m2</x:v>
      </x:c>
      <x:c r="G254" s="17" t="n">
        <x:v>2212752476.53</x:v>
      </x:c>
      <x:c r="H254" s="17" t="n">
        <x:v>3109010360</x:v>
      </x:c>
      <x:c r="I254" s="17" t="n">
        <x:f>IF(AND(L254,ISNUMBER(G254),ISNUMBER(H254)),G254-H254,"n.a.")</x:f>
        <x:v>-896257883.4699998</x:v>
      </x:c>
      <x:c r="J254" s="15" t="n">
        <x:f>IF(AND(L254,ISNUMBER(G254),ISNUMBER(H254),H254&gt;0),(G254-H254)/H254,"n.a.")</x:f>
        <x:v>-0.28827754805873335</x:v>
      </x:c>
      <x:c r="K254" s="19" t="n">
        <x:f>IF(ISNUMBER(J254),ABS(J254),"n.a.")</x:f>
        <x:v>0.28827754805873335</x:v>
      </x:c>
      <x:c r="L254" s="13" t="b">
        <x:v>1</x:v>
      </x:c>
      <x:c r="M254" s="13" t="b">
        <x:v>1</x:v>
      </x:c>
      <x:c r="N254" s="2" t="str">
        <x:v>legacy epoch_status=observed; not exact acquisition proof</x:v>
      </x:c>
      <x:c r="O254" s="2" t="str">
        <x:v>none</x:v>
      </x:c>
      <x:c r="P254" s="2" t="str">
        <x:v>historical source estimate</x:v>
      </x:c>
      <x:c r="Q254" s="2" t="str">
        <x:v>Saved country aggregation; cross-source boundary and pixel-support alignment not certified; legacy observed flag is not acquisition proof</x:v>
      </x:c>
      <x:c r="R254" s="2" t="str">
        <x:v>https://human-settlement.emergency.copernicus.eu/ghs_buS2023.php</x:v>
      </x:c>
      <x:c r="S254" s="13" t="b">
        <x:v>0</x:v>
      </x:c>
      <x:c r="T254" s="13" t="b">
        <x:v>0</x:v>
      </x:c>
    </x:row>
    <x:row r="255" ht="23" customHeight="1">
      <x:c r="A255" s="2" t="str">
        <x:v>ERI</x:v>
      </x:c>
      <x:c r="B255" s="2" t="str">
        <x:v>Eritrea (State of)</x:v>
      </x:c>
      <x:c r="C255" s="2" t="n">
        <x:v>2020</x:v>
      </x:c>
      <x:c r="D255" s="2" t="str">
        <x:v>GHSL_SURFACE</x:v>
      </x:c>
      <x:c r="E255" s="2" t="str">
        <x:v>horizontal surface / footprint</x:v>
      </x:c>
      <x:c r="F255" s="2" t="str">
        <x:v>m2</x:v>
      </x:c>
      <x:c r="G255" s="17" t="n">
        <x:v>45298098.33</x:v>
      </x:c>
      <x:c r="H255" s="17" t="n">
        <x:v>105456246</x:v>
      </x:c>
      <x:c r="I255" s="17" t="n">
        <x:f>IF(AND(L255,ISNUMBER(G255),ISNUMBER(H255)),G255-H255,"n.a.")</x:f>
        <x:v>-60158147.67</x:v>
      </x:c>
      <x:c r="J255" s="15" t="n">
        <x:f>IF(AND(L255,ISNUMBER(G255),ISNUMBER(H255),H255&gt;0),(G255-H255)/H255,"n.a.")</x:f>
        <x:v>-0.5704559943277329</x:v>
      </x:c>
      <x:c r="K255" s="19" t="n">
        <x:f>IF(ISNUMBER(J255),ABS(J255),"n.a.")</x:f>
        <x:v>0.5704559943277329</x:v>
      </x:c>
      <x:c r="L255" s="13" t="b">
        <x:v>1</x:v>
      </x:c>
      <x:c r="M255" s="13" t="b">
        <x:v>1</x:v>
      </x:c>
      <x:c r="N255" s="2" t="str">
        <x:v>legacy epoch_status=observed; not exact acquisition proof</x:v>
      </x:c>
      <x:c r="O255" s="2" t="str">
        <x:v>none</x:v>
      </x:c>
      <x:c r="P255" s="2" t="str">
        <x:v>historical source estimate</x:v>
      </x:c>
      <x:c r="Q255" s="2" t="str">
        <x:v>Saved country aggregation; cross-source boundary and pixel-support alignment not certified; legacy observed flag is not acquisition proof</x:v>
      </x:c>
      <x:c r="R255" s="2" t="str">
        <x:v>https://human-settlement.emergency.copernicus.eu/ghs_buS2023.php</x:v>
      </x:c>
      <x:c r="S255" s="13" t="b">
        <x:v>0</x:v>
      </x:c>
      <x:c r="T255" s="13" t="b">
        <x:v>0</x:v>
      </x:c>
    </x:row>
    <x:row r="256" ht="23" customHeight="1">
      <x:c r="A256" s="2" t="str">
        <x:v>ESP</x:v>
      </x:c>
      <x:c r="B256" s="2" t="str">
        <x:v>Spain (Kingdom of)</x:v>
      </x:c>
      <x:c r="C256" s="2" t="n">
        <x:v>2020</x:v>
      </x:c>
      <x:c r="D256" s="2" t="str">
        <x:v>GHSL_SURFACE</x:v>
      </x:c>
      <x:c r="E256" s="2" t="str">
        <x:v>horizontal surface / footprint</x:v>
      </x:c>
      <x:c r="F256" s="2" t="str">
        <x:v>m2</x:v>
      </x:c>
      <x:c r="G256" s="17" t="n">
        <x:v>3279628822.71</x:v>
      </x:c>
      <x:c r="H256" s="17" t="n">
        <x:v>4372211992</x:v>
      </x:c>
      <x:c r="I256" s="17" t="n">
        <x:f>IF(AND(L256,ISNUMBER(G256),ISNUMBER(H256)),G256-H256,"n.a.")</x:f>
        <x:v>-1092583169.29</x:v>
      </x:c>
      <x:c r="J256" s="15" t="n">
        <x:f>IF(AND(L256,ISNUMBER(G256),ISNUMBER(H256),H256&gt;0),(G256-H256)/H256,"n.a.")</x:f>
        <x:v>-0.2498925421020619</x:v>
      </x:c>
      <x:c r="K256" s="19" t="n">
        <x:f>IF(ISNUMBER(J256),ABS(J256),"n.a.")</x:f>
        <x:v>0.2498925421020619</x:v>
      </x:c>
      <x:c r="L256" s="13" t="b">
        <x:v>1</x:v>
      </x:c>
      <x:c r="M256" s="13" t="b">
        <x:v>1</x:v>
      </x:c>
      <x:c r="N256" s="2" t="str">
        <x:v>legacy epoch_status=observed; not exact acquisition proof</x:v>
      </x:c>
      <x:c r="O256" s="2" t="str">
        <x:v>none</x:v>
      </x:c>
      <x:c r="P256" s="2" t="str">
        <x:v>historical source estimate</x:v>
      </x:c>
      <x:c r="Q256" s="2" t="str">
        <x:v>Saved country aggregation; cross-source boundary and pixel-support alignment not certified; legacy observed flag is not acquisition proof</x:v>
      </x:c>
      <x:c r="R256" s="2" t="str">
        <x:v>https://human-settlement.emergency.copernicus.eu/ghs_buS2023.php</x:v>
      </x:c>
      <x:c r="S256" s="13" t="b">
        <x:v>0</x:v>
      </x:c>
      <x:c r="T256" s="13" t="b">
        <x:v>0</x:v>
      </x:c>
    </x:row>
    <x:row r="257" ht="23" customHeight="1">
      <x:c r="A257" s="2" t="str">
        <x:v>EST</x:v>
      </x:c>
      <x:c r="B257" s="2" t="str">
        <x:v>Estonia (Republic of)</x:v>
      </x:c>
      <x:c r="C257" s="2" t="n">
        <x:v>2020</x:v>
      </x:c>
      <x:c r="D257" s="2" t="str">
        <x:v>GHSL_SURFACE</x:v>
      </x:c>
      <x:c r="E257" s="2" t="str">
        <x:v>horizontal surface / footprint</x:v>
      </x:c>
      <x:c r="F257" s="2" t="str">
        <x:v>m2</x:v>
      </x:c>
      <x:c r="G257" s="17" t="n">
        <x:v>113094705.37</x:v>
      </x:c>
      <x:c r="H257" s="17" t="n">
        <x:v>189816777</x:v>
      </x:c>
      <x:c r="I257" s="17" t="n">
        <x:f>IF(AND(L257,ISNUMBER(G257),ISNUMBER(H257)),G257-H257,"n.a.")</x:f>
        <x:v>-76722071.63</x:v>
      </x:c>
      <x:c r="J257" s="15" t="n">
        <x:f>IF(AND(L257,ISNUMBER(G257),ISNUMBER(H257),H257&gt;0),(G257-H257)/H257,"n.a.")</x:f>
        <x:v>-0.4041901503258587</x:v>
      </x:c>
      <x:c r="K257" s="19" t="n">
        <x:f>IF(ISNUMBER(J257),ABS(J257),"n.a.")</x:f>
        <x:v>0.4041901503258587</x:v>
      </x:c>
      <x:c r="L257" s="13" t="b">
        <x:v>1</x:v>
      </x:c>
      <x:c r="M257" s="13" t="b">
        <x:v>1</x:v>
      </x:c>
      <x:c r="N257" s="2" t="str">
        <x:v>legacy epoch_status=observed; not exact acquisition proof</x:v>
      </x:c>
      <x:c r="O257" s="2" t="str">
        <x:v>none</x:v>
      </x:c>
      <x:c r="P257" s="2" t="str">
        <x:v>historical source estimate</x:v>
      </x:c>
      <x:c r="Q257" s="2" t="str">
        <x:v>Saved country aggregation; cross-source boundary and pixel-support alignment not certified; legacy observed flag is not acquisition proof</x:v>
      </x:c>
      <x:c r="R257" s="2" t="str">
        <x:v>https://human-settlement.emergency.copernicus.eu/ghs_buS2023.php</x:v>
      </x:c>
      <x:c r="S257" s="13" t="b">
        <x:v>0</x:v>
      </x:c>
      <x:c r="T257" s="13" t="b">
        <x:v>0</x:v>
      </x:c>
    </x:row>
    <x:row r="258" ht="23" customHeight="1">
      <x:c r="A258" s="2" t="str">
        <x:v>ETH</x:v>
      </x:c>
      <x:c r="B258" s="2" t="str">
        <x:v>Ethiopia (Federal Democratic Republic of)</x:v>
      </x:c>
      <x:c r="C258" s="2" t="n">
        <x:v>2020</x:v>
      </x:c>
      <x:c r="D258" s="2" t="str">
        <x:v>GHSL_SURFACE</x:v>
      </x:c>
      <x:c r="E258" s="2" t="str">
        <x:v>horizontal surface / footprint</x:v>
      </x:c>
      <x:c r="F258" s="2" t="str">
        <x:v>m2</x:v>
      </x:c>
      <x:c r="G258" s="17" t="n">
        <x:v>1660821510.71</x:v>
      </x:c>
      <x:c r="H258" s="17" t="n">
        <x:v>2544076331</x:v>
      </x:c>
      <x:c r="I258" s="17" t="n">
        <x:f>IF(AND(L258,ISNUMBER(G258),ISNUMBER(H258)),G258-H258,"n.a.")</x:f>
        <x:v>-883254820.29</x:v>
      </x:c>
      <x:c r="J258" s="15" t="n">
        <x:f>IF(AND(L258,ISNUMBER(G258),ISNUMBER(H258),H258&gt;0),(G258-H258)/H258,"n.a.")</x:f>
        <x:v>-0.3471809432474139</x:v>
      </x:c>
      <x:c r="K258" s="19" t="n">
        <x:f>IF(ISNUMBER(J258),ABS(J258),"n.a.")</x:f>
        <x:v>0.3471809432474139</x:v>
      </x:c>
      <x:c r="L258" s="13" t="b">
        <x:v>1</x:v>
      </x:c>
      <x:c r="M258" s="13" t="b">
        <x:v>1</x:v>
      </x:c>
      <x:c r="N258" s="2" t="str">
        <x:v>legacy epoch_status=observed; not exact acquisition proof</x:v>
      </x:c>
      <x:c r="O258" s="2" t="str">
        <x:v>none</x:v>
      </x:c>
      <x:c r="P258" s="2" t="str">
        <x:v>historical source estimate</x:v>
      </x:c>
      <x:c r="Q258" s="2" t="str">
        <x:v>Saved country aggregation; cross-source boundary and pixel-support alignment not certified; legacy observed flag is not acquisition proof</x:v>
      </x:c>
      <x:c r="R258" s="2" t="str">
        <x:v>https://human-settlement.emergency.copernicus.eu/ghs_buS2023.php</x:v>
      </x:c>
      <x:c r="S258" s="13" t="b">
        <x:v>0</x:v>
      </x:c>
      <x:c r="T258" s="13" t="b">
        <x:v>0</x:v>
      </x:c>
    </x:row>
    <x:row r="259" ht="23" customHeight="1">
      <x:c r="A259" s="2" t="str">
        <x:v>FIN</x:v>
      </x:c>
      <x:c r="B259" s="2" t="str">
        <x:v>Finland (Republic of)</x:v>
      </x:c>
      <x:c r="C259" s="2" t="n">
        <x:v>2020</x:v>
      </x:c>
      <x:c r="D259" s="2" t="str">
        <x:v>GHSL_SURFACE</x:v>
      </x:c>
      <x:c r="E259" s="2" t="str">
        <x:v>horizontal surface / footprint</x:v>
      </x:c>
      <x:c r="F259" s="2" t="str">
        <x:v>m2</x:v>
      </x:c>
      <x:c r="G259" s="17" t="n">
        <x:v>615866742.34</x:v>
      </x:c>
      <x:c r="H259" s="17" t="n">
        <x:v>525804615</x:v>
      </x:c>
      <x:c r="I259" s="17" t="n">
        <x:f>IF(AND(L259,ISNUMBER(G259),ISNUMBER(H259)),G259-H259,"n.a.")</x:f>
        <x:v>90062127.34000003</x:v>
      </x:c>
      <x:c r="J259" s="15" t="n">
        <x:f>IF(AND(L259,ISNUMBER(G259),ISNUMBER(H259),H259&gt;0),(G259-H259)/H259,"n.a.")</x:f>
        <x:v>0.17128439874952417</x:v>
      </x:c>
      <x:c r="K259" s="19" t="n">
        <x:f>IF(ISNUMBER(J259),ABS(J259),"n.a.")</x:f>
        <x:v>0.17128439874952417</x:v>
      </x:c>
      <x:c r="L259" s="13" t="b">
        <x:v>1</x:v>
      </x:c>
      <x:c r="M259" s="13" t="b">
        <x:v>1</x:v>
      </x:c>
      <x:c r="N259" s="2" t="str">
        <x:v>legacy epoch_status=observed; not exact acquisition proof</x:v>
      </x:c>
      <x:c r="O259" s="2" t="str">
        <x:v>none</x:v>
      </x:c>
      <x:c r="P259" s="2" t="str">
        <x:v>historical source estimate</x:v>
      </x:c>
      <x:c r="Q259" s="2" t="str">
        <x:v>Saved country aggregation; cross-source boundary and pixel-support alignment not certified; legacy observed flag is not acquisition proof</x:v>
      </x:c>
      <x:c r="R259" s="2" t="str">
        <x:v>https://human-settlement.emergency.copernicus.eu/ghs_buS2023.php</x:v>
      </x:c>
      <x:c r="S259" s="13" t="b">
        <x:v>0</x:v>
      </x:c>
      <x:c r="T259" s="13" t="b">
        <x:v>0</x:v>
      </x:c>
    </x:row>
    <x:row r="260" ht="23" customHeight="1">
      <x:c r="A260" s="2" t="str">
        <x:v>FJI</x:v>
      </x:c>
      <x:c r="B260" s="2" t="str">
        <x:v>Fiji (Republic of)</x:v>
      </x:c>
      <x:c r="C260" s="2" t="n">
        <x:v>2020</x:v>
      </x:c>
      <x:c r="D260" s="2" t="str">
        <x:v>GHSL_SURFACE</x:v>
      </x:c>
      <x:c r="E260" s="2" t="str">
        <x:v>horizontal surface / footprint</x:v>
      </x:c>
      <x:c r="F260" s="2" t="str">
        <x:v>m2</x:v>
      </x:c>
      <x:c r="G260" s="17" t="n">
        <x:v>37460168.12</x:v>
      </x:c>
      <x:c r="H260" s="17" t="n">
        <x:v>78515030</x:v>
      </x:c>
      <x:c r="I260" s="17" t="n">
        <x:f>IF(AND(L260,ISNUMBER(G260),ISNUMBER(H260)),G260-H260,"n.a.")</x:f>
        <x:v>-41054861.88</x:v>
      </x:c>
      <x:c r="J260" s="15" t="n">
        <x:f>IF(AND(L260,ISNUMBER(G260),ISNUMBER(H260),H260&gt;0),(G260-H260)/H260,"n.a.")</x:f>
        <x:v>-0.5228917556294636</x:v>
      </x:c>
      <x:c r="K260" s="19" t="n">
        <x:f>IF(ISNUMBER(J260),ABS(J260),"n.a.")</x:f>
        <x:v>0.5228917556294636</x:v>
      </x:c>
      <x:c r="L260" s="13" t="b">
        <x:v>1</x:v>
      </x:c>
      <x:c r="M260" s="13" t="b">
        <x:v>1</x:v>
      </x:c>
      <x:c r="N260" s="2" t="str">
        <x:v>legacy epoch_status=observed; not exact acquisition proof</x:v>
      </x:c>
      <x:c r="O260" s="2" t="str">
        <x:v>none</x:v>
      </x:c>
      <x:c r="P260" s="2" t="str">
        <x:v>historical source estimate</x:v>
      </x:c>
      <x:c r="Q260" s="2" t="str">
        <x:v>Saved country aggregation; cross-source boundary and pixel-support alignment not certified; legacy observed flag is not acquisition proof</x:v>
      </x:c>
      <x:c r="R260" s="2" t="str">
        <x:v>https://human-settlement.emergency.copernicus.eu/ghs_buS2023.php</x:v>
      </x:c>
      <x:c r="S260" s="13" t="b">
        <x:v>0</x:v>
      </x:c>
      <x:c r="T260" s="13" t="b">
        <x:v>0</x:v>
      </x:c>
    </x:row>
    <x:row r="261" ht="23" customHeight="1">
      <x:c r="A261" s="2" t="str">
        <x:v>FRA</x:v>
      </x:c>
      <x:c r="B261" s="2" t="str">
        <x:v>France (French Republic)</x:v>
      </x:c>
      <x:c r="C261" s="2" t="n">
        <x:v>2020</x:v>
      </x:c>
      <x:c r="D261" s="2" t="str">
        <x:v>GHSL_SURFACE</x:v>
      </x:c>
      <x:c r="E261" s="2" t="str">
        <x:v>horizontal surface / footprint</x:v>
      </x:c>
      <x:c r="F261" s="2" t="str">
        <x:v>m2</x:v>
      </x:c>
      <x:c r="G261" s="17" t="n">
        <x:v>6074526882.68</x:v>
      </x:c>
      <x:c r="H261" s="17" t="n">
        <x:v>10148800483</x:v>
      </x:c>
      <x:c r="I261" s="17" t="n">
        <x:f>IF(AND(L261,ISNUMBER(G261),ISNUMBER(H261)),G261-H261,"n.a.")</x:f>
        <x:v>-4074273600.3199997</x:v>
      </x:c>
      <x:c r="J261" s="15" t="n">
        <x:f>IF(AND(L261,ISNUMBER(G261),ISNUMBER(H261),H261&gt;0),(G261-H261)/H261,"n.a.")</x:f>
        <x:v>-0.4014537094452406</x:v>
      </x:c>
      <x:c r="K261" s="19" t="n">
        <x:f>IF(ISNUMBER(J261),ABS(J261),"n.a.")</x:f>
        <x:v>0.4014537094452406</x:v>
      </x:c>
      <x:c r="L261" s="13" t="b">
        <x:v>1</x:v>
      </x:c>
      <x:c r="M261" s="13" t="b">
        <x:v>1</x:v>
      </x:c>
      <x:c r="N261" s="2" t="str">
        <x:v>legacy epoch_status=observed; not exact acquisition proof</x:v>
      </x:c>
      <x:c r="O261" s="2" t="str">
        <x:v>none</x:v>
      </x:c>
      <x:c r="P261" s="2" t="str">
        <x:v>historical source estimate</x:v>
      </x:c>
      <x:c r="Q261" s="2" t="str">
        <x:v>Saved country aggregation; cross-source boundary and pixel-support alignment not certified; legacy observed flag is not acquisition proof</x:v>
      </x:c>
      <x:c r="R261" s="2" t="str">
        <x:v>https://human-settlement.emergency.copernicus.eu/ghs_buS2023.php</x:v>
      </x:c>
      <x:c r="S261" s="13" t="b">
        <x:v>0</x:v>
      </x:c>
      <x:c r="T261" s="13" t="b">
        <x:v>0</x:v>
      </x:c>
    </x:row>
    <x:row r="262" ht="23" customHeight="1">
      <x:c r="A262" s="2" t="str">
        <x:v>FSM</x:v>
      </x:c>
      <x:c r="B262" s="2" t="str">
        <x:v>Micronesia (Federated States of)</x:v>
      </x:c>
      <x:c r="C262" s="2" t="n">
        <x:v>2020</x:v>
      </x:c>
      <x:c r="D262" s="2" t="str">
        <x:v>GHSL_SURFACE</x:v>
      </x:c>
      <x:c r="E262" s="2" t="str">
        <x:v>horizontal surface / footprint</x:v>
      </x:c>
      <x:c r="F262" s="2" t="str">
        <x:v>m2</x:v>
      </x:c>
      <x:c r="G262" s="17" t="n">
        <x:v>2177822.61</x:v>
      </x:c>
      <x:c r="H262" s="17" t="n">
        <x:v>3384044</x:v>
      </x:c>
      <x:c r="I262" s="17" t="n">
        <x:f>IF(AND(L262,ISNUMBER(G262),ISNUMBER(H262)),G262-H262,"n.a.")</x:f>
        <x:v>-1206221.3900000001</x:v>
      </x:c>
      <x:c r="J262" s="15" t="n">
        <x:f>IF(AND(L262,ISNUMBER(G262),ISNUMBER(H262),H262&gt;0),(G262-H262)/H262,"n.a.")</x:f>
        <x:v>-0.35644376668861283</x:v>
      </x:c>
      <x:c r="K262" s="19" t="n">
        <x:f>IF(ISNUMBER(J262),ABS(J262),"n.a.")</x:f>
        <x:v>0.35644376668861283</x:v>
      </x:c>
      <x:c r="L262" s="13" t="b">
        <x:v>1</x:v>
      </x:c>
      <x:c r="M262" s="13" t="b">
        <x:v>1</x:v>
      </x:c>
      <x:c r="N262" s="2" t="str">
        <x:v>legacy epoch_status=observed; not exact acquisition proof</x:v>
      </x:c>
      <x:c r="O262" s="2" t="str">
        <x:v>none</x:v>
      </x:c>
      <x:c r="P262" s="2" t="str">
        <x:v>historical source estimate</x:v>
      </x:c>
      <x:c r="Q262" s="2" t="str">
        <x:v>Saved country aggregation; cross-source boundary and pixel-support alignment not certified; legacy observed flag is not acquisition proof</x:v>
      </x:c>
      <x:c r="R262" s="2" t="str">
        <x:v>https://human-settlement.emergency.copernicus.eu/ghs_buS2023.php</x:v>
      </x:c>
      <x:c r="S262" s="13" t="b">
        <x:v>0</x:v>
      </x:c>
      <x:c r="T262" s="13" t="b">
        <x:v>0</x:v>
      </x:c>
    </x:row>
    <x:row r="263" ht="23" customHeight="1">
      <x:c r="A263" s="2" t="str">
        <x:v>GAB</x:v>
      </x:c>
      <x:c r="B263" s="2" t="str">
        <x:v>Gabon (Gabonese Republic)</x:v>
      </x:c>
      <x:c r="C263" s="2" t="n">
        <x:v>2020</x:v>
      </x:c>
      <x:c r="D263" s="2" t="str">
        <x:v>GHSL_SURFACE</x:v>
      </x:c>
      <x:c r="E263" s="2" t="str">
        <x:v>horizontal surface / footprint</x:v>
      </x:c>
      <x:c r="F263" s="2" t="str">
        <x:v>m2</x:v>
      </x:c>
      <x:c r="G263" s="17" t="n">
        <x:v>73743642.56</x:v>
      </x:c>
      <x:c r="H263" s="17" t="n">
        <x:v>143914060</x:v>
      </x:c>
      <x:c r="I263" s="17" t="n">
        <x:f>IF(AND(L263,ISNUMBER(G263),ISNUMBER(H263)),G263-H263,"n.a.")</x:f>
        <x:v>-70170417.44</x:v>
      </x:c>
      <x:c r="J263" s="15" t="n">
        <x:f>IF(AND(L263,ISNUMBER(G263),ISNUMBER(H263),H263&gt;0),(G263-H263)/H263,"n.a.")</x:f>
        <x:v>-0.48758555932617004</x:v>
      </x:c>
      <x:c r="K263" s="19" t="n">
        <x:f>IF(ISNUMBER(J263),ABS(J263),"n.a.")</x:f>
        <x:v>0.48758555932617004</x:v>
      </x:c>
      <x:c r="L263" s="13" t="b">
        <x:v>1</x:v>
      </x:c>
      <x:c r="M263" s="13" t="b">
        <x:v>1</x:v>
      </x:c>
      <x:c r="N263" s="2" t="str">
        <x:v>legacy epoch_status=observed; not exact acquisition proof</x:v>
      </x:c>
      <x:c r="O263" s="2" t="str">
        <x:v>none</x:v>
      </x:c>
      <x:c r="P263" s="2" t="str">
        <x:v>historical source estimate</x:v>
      </x:c>
      <x:c r="Q263" s="2" t="str">
        <x:v>Saved country aggregation; cross-source boundary and pixel-support alignment not certified; legacy observed flag is not acquisition proof</x:v>
      </x:c>
      <x:c r="R263" s="2" t="str">
        <x:v>https://human-settlement.emergency.copernicus.eu/ghs_buS2023.php</x:v>
      </x:c>
      <x:c r="S263" s="13" t="b">
        <x:v>0</x:v>
      </x:c>
      <x:c r="T263" s="13" t="b">
        <x:v>0</x:v>
      </x:c>
    </x:row>
    <x:row r="264" ht="23" customHeight="1">
      <x:c r="A264" s="2" t="str">
        <x:v>GBR</x:v>
      </x:c>
      <x:c r="B264" s="2" t="str">
        <x:v>United Kingdom of Great Britain and Northern Ireland</x:v>
      </x:c>
      <x:c r="C264" s="2" t="n">
        <x:v>2020</x:v>
      </x:c>
      <x:c r="D264" s="2" t="str">
        <x:v>GHSL_SURFACE</x:v>
      </x:c>
      <x:c r="E264" s="2" t="str">
        <x:v>horizontal surface / footprint</x:v>
      </x:c>
      <x:c r="F264" s="2" t="str">
        <x:v>m2</x:v>
      </x:c>
      <x:c r="G264" s="17" t="n">
        <x:v>3400930204.99</x:v>
      </x:c>
      <x:c r="H264" s="17" t="n">
        <x:v>5578108570</x:v>
      </x:c>
      <x:c r="I264" s="17" t="n">
        <x:f>IF(AND(L264,ISNUMBER(G264),ISNUMBER(H264)),G264-H264,"n.a.")</x:f>
        <x:v>-2177178365.01</x:v>
      </x:c>
      <x:c r="J264" s="15" t="n">
        <x:f>IF(AND(L264,ISNUMBER(G264),ISNUMBER(H264),H264&gt;0),(G264-H264)/H264,"n.a.")</x:f>
        <x:v>-0.3903076352294807</x:v>
      </x:c>
      <x:c r="K264" s="19" t="n">
        <x:f>IF(ISNUMBER(J264),ABS(J264),"n.a.")</x:f>
        <x:v>0.3903076352294807</x:v>
      </x:c>
      <x:c r="L264" s="13" t="b">
        <x:v>1</x:v>
      </x:c>
      <x:c r="M264" s="13" t="b">
        <x:v>1</x:v>
      </x:c>
      <x:c r="N264" s="2" t="str">
        <x:v>legacy epoch_status=observed; not exact acquisition proof</x:v>
      </x:c>
      <x:c r="O264" s="2" t="str">
        <x:v>none</x:v>
      </x:c>
      <x:c r="P264" s="2" t="str">
        <x:v>historical source estimate</x:v>
      </x:c>
      <x:c r="Q264" s="2" t="str">
        <x:v>Saved country aggregation; cross-source boundary and pixel-support alignment not certified; legacy observed flag is not acquisition proof</x:v>
      </x:c>
      <x:c r="R264" s="2" t="str">
        <x:v>https://human-settlement.emergency.copernicus.eu/ghs_buS2023.php</x:v>
      </x:c>
      <x:c r="S264" s="13" t="b">
        <x:v>0</x:v>
      </x:c>
      <x:c r="T264" s="13" t="b">
        <x:v>0</x:v>
      </x:c>
    </x:row>
    <x:row r="265" ht="23" customHeight="1">
      <x:c r="A265" s="2" t="str">
        <x:v>GEO</x:v>
      </x:c>
      <x:c r="B265" s="2" t="str">
        <x:v>Georgia</x:v>
      </x:c>
      <x:c r="C265" s="2" t="n">
        <x:v>2020</x:v>
      </x:c>
      <x:c r="D265" s="2" t="str">
        <x:v>GHSL_SURFACE</x:v>
      </x:c>
      <x:c r="E265" s="2" t="str">
        <x:v>horizontal surface / footprint</x:v>
      </x:c>
      <x:c r="F265" s="2" t="str">
        <x:v>m2</x:v>
      </x:c>
      <x:c r="G265" s="17" t="n">
        <x:v>242256071.04</x:v>
      </x:c>
      <x:c r="H265" s="17" t="n">
        <x:v>490303136</x:v>
      </x:c>
      <x:c r="I265" s="17" t="n">
        <x:f>IF(AND(L265,ISNUMBER(G265),ISNUMBER(H265)),G265-H265,"n.a.")</x:f>
        <x:v>-248047064.96</x:v>
      </x:c>
      <x:c r="J265" s="15" t="n">
        <x:f>IF(AND(L265,ISNUMBER(G265),ISNUMBER(H265),H265&gt;0),(G265-H265)/H265,"n.a.")</x:f>
        <x:v>-0.5059055240470662</x:v>
      </x:c>
      <x:c r="K265" s="19" t="n">
        <x:f>IF(ISNUMBER(J265),ABS(J265),"n.a.")</x:f>
        <x:v>0.5059055240470662</x:v>
      </x:c>
      <x:c r="L265" s="13" t="b">
        <x:v>1</x:v>
      </x:c>
      <x:c r="M265" s="13" t="b">
        <x:v>1</x:v>
      </x:c>
      <x:c r="N265" s="2" t="str">
        <x:v>legacy epoch_status=observed; not exact acquisition proof</x:v>
      </x:c>
      <x:c r="O265" s="2" t="str">
        <x:v>none</x:v>
      </x:c>
      <x:c r="P265" s="2" t="str">
        <x:v>historical source estimate</x:v>
      </x:c>
      <x:c r="Q265" s="2" t="str">
        <x:v>Saved country aggregation; cross-source boundary and pixel-support alignment not certified; legacy observed flag is not acquisition proof</x:v>
      </x:c>
      <x:c r="R265" s="2" t="str">
        <x:v>https://human-settlement.emergency.copernicus.eu/ghs_buS2023.php</x:v>
      </x:c>
      <x:c r="S265" s="13" t="b">
        <x:v>0</x:v>
      </x:c>
      <x:c r="T265" s="13" t="b">
        <x:v>0</x:v>
      </x:c>
    </x:row>
    <x:row r="266" ht="23" customHeight="1">
      <x:c r="A266" s="2" t="str">
        <x:v>GHA</x:v>
      </x:c>
      <x:c r="B266" s="2" t="str">
        <x:v>Ghana (Republic of)</x:v>
      </x:c>
      <x:c r="C266" s="2" t="n">
        <x:v>2020</x:v>
      </x:c>
      <x:c r="D266" s="2" t="str">
        <x:v>GHSL_SURFACE</x:v>
      </x:c>
      <x:c r="E266" s="2" t="str">
        <x:v>horizontal surface / footprint</x:v>
      </x:c>
      <x:c r="F266" s="2" t="str">
        <x:v>m2</x:v>
      </x:c>
      <x:c r="G266" s="17" t="n">
        <x:v>958424622.62</x:v>
      </x:c>
      <x:c r="H266" s="17" t="n">
        <x:v>1922849541</x:v>
      </x:c>
      <x:c r="I266" s="17" t="n">
        <x:f>IF(AND(L266,ISNUMBER(G266),ISNUMBER(H266)),G266-H266,"n.a.")</x:f>
        <x:v>-964424918.38</x:v>
      </x:c>
      <x:c r="J266" s="15" t="n">
        <x:f>IF(AND(L266,ISNUMBER(G266),ISNUMBER(H266),H266&gt;0),(G266-H266)/H266,"n.a.")</x:f>
        <x:v>-0.5015602613808461</x:v>
      </x:c>
      <x:c r="K266" s="19" t="n">
        <x:f>IF(ISNUMBER(J266),ABS(J266),"n.a.")</x:f>
        <x:v>0.5015602613808461</x:v>
      </x:c>
      <x:c r="L266" s="13" t="b">
        <x:v>1</x:v>
      </x:c>
      <x:c r="M266" s="13" t="b">
        <x:v>1</x:v>
      </x:c>
      <x:c r="N266" s="2" t="str">
        <x:v>legacy epoch_status=observed; not exact acquisition proof</x:v>
      </x:c>
      <x:c r="O266" s="2" t="str">
        <x:v>none</x:v>
      </x:c>
      <x:c r="P266" s="2" t="str">
        <x:v>historical source estimate</x:v>
      </x:c>
      <x:c r="Q266" s="2" t="str">
        <x:v>Saved country aggregation; cross-source boundary and pixel-support alignment not certified; legacy observed flag is not acquisition proof</x:v>
      </x:c>
      <x:c r="R266" s="2" t="str">
        <x:v>https://human-settlement.emergency.copernicus.eu/ghs_buS2023.php</x:v>
      </x:c>
      <x:c r="S266" s="13" t="b">
        <x:v>0</x:v>
      </x:c>
      <x:c r="T266" s="13" t="b">
        <x:v>0</x:v>
      </x:c>
    </x:row>
    <x:row r="267" ht="23" customHeight="1">
      <x:c r="A267" s="2" t="str">
        <x:v>GIN</x:v>
      </x:c>
      <x:c r="B267" s="2" t="str">
        <x:v>Guinea (Republic of)</x:v>
      </x:c>
      <x:c r="C267" s="2" t="n">
        <x:v>2020</x:v>
      </x:c>
      <x:c r="D267" s="2" t="str">
        <x:v>GHSL_SURFACE</x:v>
      </x:c>
      <x:c r="E267" s="2" t="str">
        <x:v>horizontal surface / footprint</x:v>
      </x:c>
      <x:c r="F267" s="2" t="str">
        <x:v>m2</x:v>
      </x:c>
      <x:c r="G267" s="17" t="n">
        <x:v>277637578.23</x:v>
      </x:c>
      <x:c r="H267" s="17" t="n">
        <x:v>647376380</x:v>
      </x:c>
      <x:c r="I267" s="17" t="n">
        <x:f>IF(AND(L267,ISNUMBER(G267),ISNUMBER(H267)),G267-H267,"n.a.")</x:f>
        <x:v>-369738801.77</x:v>
      </x:c>
      <x:c r="J267" s="15" t="n">
        <x:f>IF(AND(L267,ISNUMBER(G267),ISNUMBER(H267),H267&gt;0),(G267-H267)/H267,"n.a.")</x:f>
        <x:v>-0.5711342168059946</x:v>
      </x:c>
      <x:c r="K267" s="19" t="n">
        <x:f>IF(ISNUMBER(J267),ABS(J267),"n.a.")</x:f>
        <x:v>0.5711342168059946</x:v>
      </x:c>
      <x:c r="L267" s="13" t="b">
        <x:v>1</x:v>
      </x:c>
      <x:c r="M267" s="13" t="b">
        <x:v>1</x:v>
      </x:c>
      <x:c r="N267" s="2" t="str">
        <x:v>legacy epoch_status=observed; not exact acquisition proof</x:v>
      </x:c>
      <x:c r="O267" s="2" t="str">
        <x:v>none</x:v>
      </x:c>
      <x:c r="P267" s="2" t="str">
        <x:v>historical source estimate</x:v>
      </x:c>
      <x:c r="Q267" s="2" t="str">
        <x:v>Saved country aggregation; cross-source boundary and pixel-support alignment not certified; legacy observed flag is not acquisition proof</x:v>
      </x:c>
      <x:c r="R267" s="2" t="str">
        <x:v>https://human-settlement.emergency.copernicus.eu/ghs_buS2023.php</x:v>
      </x:c>
      <x:c r="S267" s="13" t="b">
        <x:v>0</x:v>
      </x:c>
      <x:c r="T267" s="13" t="b">
        <x:v>0</x:v>
      </x:c>
    </x:row>
    <x:row r="268" ht="23" customHeight="1">
      <x:c r="A268" s="2" t="str">
        <x:v>GMB</x:v>
      </x:c>
      <x:c r="B268" s="2" t="str">
        <x:v>Gambia (Republic of the)</x:v>
      </x:c>
      <x:c r="C268" s="2" t="n">
        <x:v>2020</x:v>
      </x:c>
      <x:c r="D268" s="2" t="str">
        <x:v>GHSL_SURFACE</x:v>
      </x:c>
      <x:c r="E268" s="2" t="str">
        <x:v>horizontal surface / footprint</x:v>
      </x:c>
      <x:c r="F268" s="2" t="str">
        <x:v>m2</x:v>
      </x:c>
      <x:c r="G268" s="17" t="n">
        <x:v>56875154.53</x:v>
      </x:c>
      <x:c r="H268" s="17" t="n">
        <x:v>111621938</x:v>
      </x:c>
      <x:c r="I268" s="17" t="n">
        <x:f>IF(AND(L268,ISNUMBER(G268),ISNUMBER(H268)),G268-H268,"n.a.")</x:f>
        <x:v>-54746783.47</x:v>
      </x:c>
      <x:c r="J268" s="15" t="n">
        <x:f>IF(AND(L268,ISNUMBER(G268),ISNUMBER(H268),H268&gt;0),(G268-H268)/H268,"n.a.")</x:f>
        <x:v>-0.4904661614995432</x:v>
      </x:c>
      <x:c r="K268" s="19" t="n">
        <x:f>IF(ISNUMBER(J268),ABS(J268),"n.a.")</x:f>
        <x:v>0.4904661614995432</x:v>
      </x:c>
      <x:c r="L268" s="13" t="b">
        <x:v>1</x:v>
      </x:c>
      <x:c r="M268" s="13" t="b">
        <x:v>1</x:v>
      </x:c>
      <x:c r="N268" s="2" t="str">
        <x:v>legacy epoch_status=observed; not exact acquisition proof</x:v>
      </x:c>
      <x:c r="O268" s="2" t="str">
        <x:v>none</x:v>
      </x:c>
      <x:c r="P268" s="2" t="str">
        <x:v>historical source estimate</x:v>
      </x:c>
      <x:c r="Q268" s="2" t="str">
        <x:v>Saved country aggregation; cross-source boundary and pixel-support alignment not certified; legacy observed flag is not acquisition proof</x:v>
      </x:c>
      <x:c r="R268" s="2" t="str">
        <x:v>https://human-settlement.emergency.copernicus.eu/ghs_buS2023.php</x:v>
      </x:c>
      <x:c r="S268" s="13" t="b">
        <x:v>0</x:v>
      </x:c>
      <x:c r="T268" s="13" t="b">
        <x:v>0</x:v>
      </x:c>
    </x:row>
    <x:row r="269" ht="23" customHeight="1">
      <x:c r="A269" s="2" t="str">
        <x:v>GNB</x:v>
      </x:c>
      <x:c r="B269" s="2" t="str">
        <x:v>Guinea-Bissau (Republic of)</x:v>
      </x:c>
      <x:c r="C269" s="2" t="n">
        <x:v>2020</x:v>
      </x:c>
      <x:c r="D269" s="2" t="str">
        <x:v>GHSL_SURFACE</x:v>
      </x:c>
      <x:c r="E269" s="2" t="str">
        <x:v>horizontal surface / footprint</x:v>
      </x:c>
      <x:c r="F269" s="2" t="str">
        <x:v>m2</x:v>
      </x:c>
      <x:c r="G269" s="17" t="n">
        <x:v>48952674.5</x:v>
      </x:c>
      <x:c r="H269" s="17" t="n">
        <x:v>96752102</x:v>
      </x:c>
      <x:c r="I269" s="17" t="n">
        <x:f>IF(AND(L269,ISNUMBER(G269),ISNUMBER(H269)),G269-H269,"n.a.")</x:f>
        <x:v>-47799427.5</x:v>
      </x:c>
      <x:c r="J269" s="15" t="n">
        <x:f>IF(AND(L269,ISNUMBER(G269),ISNUMBER(H269),H269&gt;0),(G269-H269)/H269,"n.a.")</x:f>
        <x:v>-0.49404019666673493</x:v>
      </x:c>
      <x:c r="K269" s="19" t="n">
        <x:f>IF(ISNUMBER(J269),ABS(J269),"n.a.")</x:f>
        <x:v>0.49404019666673493</x:v>
      </x:c>
      <x:c r="L269" s="13" t="b">
        <x:v>1</x:v>
      </x:c>
      <x:c r="M269" s="13" t="b">
        <x:v>1</x:v>
      </x:c>
      <x:c r="N269" s="2" t="str">
        <x:v>legacy epoch_status=observed; not exact acquisition proof</x:v>
      </x:c>
      <x:c r="O269" s="2" t="str">
        <x:v>none</x:v>
      </x:c>
      <x:c r="P269" s="2" t="str">
        <x:v>historical source estimate</x:v>
      </x:c>
      <x:c r="Q269" s="2" t="str">
        <x:v>Saved country aggregation; cross-source boundary and pixel-support alignment not certified; legacy observed flag is not acquisition proof</x:v>
      </x:c>
      <x:c r="R269" s="2" t="str">
        <x:v>https://human-settlement.emergency.copernicus.eu/ghs_buS2023.php</x:v>
      </x:c>
      <x:c r="S269" s="13" t="b">
        <x:v>0</x:v>
      </x:c>
      <x:c r="T269" s="13" t="b">
        <x:v>0</x:v>
      </x:c>
    </x:row>
    <x:row r="270" ht="23" customHeight="1">
      <x:c r="A270" s="2" t="str">
        <x:v>GNQ</x:v>
      </x:c>
      <x:c r="B270" s="2" t="str">
        <x:v>Equatorial Guinea (Republic of)</x:v>
      </x:c>
      <x:c r="C270" s="2" t="n">
        <x:v>2020</x:v>
      </x:c>
      <x:c r="D270" s="2" t="str">
        <x:v>GHSL_SURFACE</x:v>
      </x:c>
      <x:c r="E270" s="2" t="str">
        <x:v>horizontal surface / footprint</x:v>
      </x:c>
      <x:c r="F270" s="2" t="str">
        <x:v>m2</x:v>
      </x:c>
      <x:c r="G270" s="17" t="n">
        <x:v>34102626.52</x:v>
      </x:c>
      <x:c r="H270" s="17" t="n">
        <x:v>55615981</x:v>
      </x:c>
      <x:c r="I270" s="17" t="n">
        <x:f>IF(AND(L270,ISNUMBER(G270),ISNUMBER(H270)),G270-H270,"n.a.")</x:f>
        <x:v>-21513354.479999997</x:v>
      </x:c>
      <x:c r="J270" s="15" t="n">
        <x:f>IF(AND(L270,ISNUMBER(G270),ISNUMBER(H270),H270&gt;0),(G270-H270)/H270,"n.a.")</x:f>
        <x:v>-0.38681965314969446</x:v>
      </x:c>
      <x:c r="K270" s="19" t="n">
        <x:f>IF(ISNUMBER(J270),ABS(J270),"n.a.")</x:f>
        <x:v>0.38681965314969446</x:v>
      </x:c>
      <x:c r="L270" s="13" t="b">
        <x:v>1</x:v>
      </x:c>
      <x:c r="M270" s="13" t="b">
        <x:v>1</x:v>
      </x:c>
      <x:c r="N270" s="2" t="str">
        <x:v>legacy epoch_status=observed; not exact acquisition proof</x:v>
      </x:c>
      <x:c r="O270" s="2" t="str">
        <x:v>none</x:v>
      </x:c>
      <x:c r="P270" s="2" t="str">
        <x:v>historical source estimate</x:v>
      </x:c>
      <x:c r="Q270" s="2" t="str">
        <x:v>Saved country aggregation; cross-source boundary and pixel-support alignment not certified; legacy observed flag is not acquisition proof</x:v>
      </x:c>
      <x:c r="R270" s="2" t="str">
        <x:v>https://human-settlement.emergency.copernicus.eu/ghs_buS2023.php</x:v>
      </x:c>
      <x:c r="S270" s="13" t="b">
        <x:v>0</x:v>
      </x:c>
      <x:c r="T270" s="13" t="b">
        <x:v>0</x:v>
      </x:c>
    </x:row>
    <x:row r="271" ht="23" customHeight="1">
      <x:c r="A271" s="2" t="str">
        <x:v>GRC</x:v>
      </x:c>
      <x:c r="B271" s="2" t="str">
        <x:v>Greece (Hellenic Republic)</x:v>
      </x:c>
      <x:c r="C271" s="2" t="n">
        <x:v>2020</x:v>
      </x:c>
      <x:c r="D271" s="2" t="str">
        <x:v>GHSL_SURFACE</x:v>
      </x:c>
      <x:c r="E271" s="2" t="str">
        <x:v>horizontal surface / footprint</x:v>
      </x:c>
      <x:c r="F271" s="2" t="str">
        <x:v>m2</x:v>
      </x:c>
      <x:c r="G271" s="17" t="n">
        <x:v>853851739.67</x:v>
      </x:c>
      <x:c r="H271" s="17" t="n">
        <x:v>1154682167</x:v>
      </x:c>
      <x:c r="I271" s="17" t="n">
        <x:f>IF(AND(L271,ISNUMBER(G271),ISNUMBER(H271)),G271-H271,"n.a.")</x:f>
        <x:v>-300830427.33000004</x:v>
      </x:c>
      <x:c r="J271" s="15" t="n">
        <x:f>IF(AND(L271,ISNUMBER(G271),ISNUMBER(H271),H271&gt;0),(G271-H271)/H271,"n.a.")</x:f>
        <x:v>-0.26053093736746</x:v>
      </x:c>
      <x:c r="K271" s="19" t="n">
        <x:f>IF(ISNUMBER(J271),ABS(J271),"n.a.")</x:f>
        <x:v>0.26053093736746</x:v>
      </x:c>
      <x:c r="L271" s="13" t="b">
        <x:v>1</x:v>
      </x:c>
      <x:c r="M271" s="13" t="b">
        <x:v>1</x:v>
      </x:c>
      <x:c r="N271" s="2" t="str">
        <x:v>legacy epoch_status=observed; not exact acquisition proof</x:v>
      </x:c>
      <x:c r="O271" s="2" t="str">
        <x:v>none</x:v>
      </x:c>
      <x:c r="P271" s="2" t="str">
        <x:v>historical source estimate</x:v>
      </x:c>
      <x:c r="Q271" s="2" t="str">
        <x:v>Saved country aggregation; cross-source boundary and pixel-support alignment not certified; legacy observed flag is not acquisition proof</x:v>
      </x:c>
      <x:c r="R271" s="2" t="str">
        <x:v>https://human-settlement.emergency.copernicus.eu/ghs_buS2023.php</x:v>
      </x:c>
      <x:c r="S271" s="13" t="b">
        <x:v>0</x:v>
      </x:c>
      <x:c r="T271" s="13" t="b">
        <x:v>0</x:v>
      </x:c>
    </x:row>
    <x:row r="272" ht="23" customHeight="1">
      <x:c r="A272" s="2" t="str">
        <x:v>GRD</x:v>
      </x:c>
      <x:c r="B272" s="2" t="str">
        <x:v>Grenada</x:v>
      </x:c>
      <x:c r="C272" s="2" t="n">
        <x:v>2020</x:v>
      </x:c>
      <x:c r="D272" s="2" t="str">
        <x:v>GHSL_SURFACE</x:v>
      </x:c>
      <x:c r="E272" s="2" t="str">
        <x:v>horizontal surface / footprint</x:v>
      </x:c>
      <x:c r="F272" s="2" t="str">
        <x:v>m2</x:v>
      </x:c>
      <x:c r="G272" s="17" t="n">
        <x:v>6904998.42</x:v>
      </x:c>
      <x:c r="H272" s="17" t="n">
        <x:v>8921675</x:v>
      </x:c>
      <x:c r="I272" s="17" t="n">
        <x:f>IF(AND(L272,ISNUMBER(G272),ISNUMBER(H272)),G272-H272,"n.a.")</x:f>
        <x:v>-2016676.58</x:v>
      </x:c>
      <x:c r="J272" s="15" t="n">
        <x:f>IF(AND(L272,ISNUMBER(G272),ISNUMBER(H272),H272&gt;0),(G272-H272)/H272,"n.a.")</x:f>
        <x:v>-0.22604237208820094</x:v>
      </x:c>
      <x:c r="K272" s="19" t="n">
        <x:f>IF(ISNUMBER(J272),ABS(J272),"n.a.")</x:f>
        <x:v>0.22604237208820094</x:v>
      </x:c>
      <x:c r="L272" s="13" t="b">
        <x:v>1</x:v>
      </x:c>
      <x:c r="M272" s="13" t="b">
        <x:v>1</x:v>
      </x:c>
      <x:c r="N272" s="2" t="str">
        <x:v>legacy epoch_status=observed; not exact acquisition proof</x:v>
      </x:c>
      <x:c r="O272" s="2" t="str">
        <x:v>none</x:v>
      </x:c>
      <x:c r="P272" s="2" t="str">
        <x:v>historical source estimate</x:v>
      </x:c>
      <x:c r="Q272" s="2" t="str">
        <x:v>Saved country aggregation; cross-source boundary and pixel-support alignment not certified; legacy observed flag is not acquisition proof</x:v>
      </x:c>
      <x:c r="R272" s="2" t="str">
        <x:v>https://human-settlement.emergency.copernicus.eu/ghs_buS2023.php</x:v>
      </x:c>
      <x:c r="S272" s="13" t="b">
        <x:v>0</x:v>
      </x:c>
      <x:c r="T272" s="13" t="b">
        <x:v>0</x:v>
      </x:c>
    </x:row>
    <x:row r="273" ht="23" customHeight="1">
      <x:c r="A273" s="2" t="str">
        <x:v>GTM</x:v>
      </x:c>
      <x:c r="B273" s="2" t="str">
        <x:v>Guatemala (Republic of)</x:v>
      </x:c>
      <x:c r="C273" s="2" t="n">
        <x:v>2020</x:v>
      </x:c>
      <x:c r="D273" s="2" t="str">
        <x:v>GHSL_SURFACE</x:v>
      </x:c>
      <x:c r="E273" s="2" t="str">
        <x:v>horizontal surface / footprint</x:v>
      </x:c>
      <x:c r="F273" s="2" t="str">
        <x:v>m2</x:v>
      </x:c>
      <x:c r="G273" s="17" t="n">
        <x:v>599114028.81</x:v>
      </x:c>
      <x:c r="H273" s="17" t="n">
        <x:v>932538652</x:v>
      </x:c>
      <x:c r="I273" s="17" t="n">
        <x:f>IF(AND(L273,ISNUMBER(G273),ISNUMBER(H273)),G273-H273,"n.a.")</x:f>
        <x:v>-333424623.19000006</x:v>
      </x:c>
      <x:c r="J273" s="15" t="n">
        <x:f>IF(AND(L273,ISNUMBER(G273),ISNUMBER(H273),H273&gt;0),(G273-H273)/H273,"n.a.")</x:f>
        <x:v>-0.3575450974336665</x:v>
      </x:c>
      <x:c r="K273" s="19" t="n">
        <x:f>IF(ISNUMBER(J273),ABS(J273),"n.a.")</x:f>
        <x:v>0.3575450974336665</x:v>
      </x:c>
      <x:c r="L273" s="13" t="b">
        <x:v>1</x:v>
      </x:c>
      <x:c r="M273" s="13" t="b">
        <x:v>1</x:v>
      </x:c>
      <x:c r="N273" s="2" t="str">
        <x:v>legacy epoch_status=observed; not exact acquisition proof</x:v>
      </x:c>
      <x:c r="O273" s="2" t="str">
        <x:v>none</x:v>
      </x:c>
      <x:c r="P273" s="2" t="str">
        <x:v>historical source estimate</x:v>
      </x:c>
      <x:c r="Q273" s="2" t="str">
        <x:v>Saved country aggregation; cross-source boundary and pixel-support alignment not certified; legacy observed flag is not acquisition proof</x:v>
      </x:c>
      <x:c r="R273" s="2" t="str">
        <x:v>https://human-settlement.emergency.copernicus.eu/ghs_buS2023.php</x:v>
      </x:c>
      <x:c r="S273" s="13" t="b">
        <x:v>0</x:v>
      </x:c>
      <x:c r="T273" s="13" t="b">
        <x:v>0</x:v>
      </x:c>
    </x:row>
    <x:row r="274" ht="23" customHeight="1">
      <x:c r="A274" s="2" t="str">
        <x:v>GUY</x:v>
      </x:c>
      <x:c r="B274" s="2" t="str">
        <x:v>Guyana (Co-operative Republic of)</x:v>
      </x:c>
      <x:c r="C274" s="2" t="n">
        <x:v>2020</x:v>
      </x:c>
      <x:c r="D274" s="2" t="str">
        <x:v>GHSL_SURFACE</x:v>
      </x:c>
      <x:c r="E274" s="2" t="str">
        <x:v>horizontal surface / footprint</x:v>
      </x:c>
      <x:c r="F274" s="2" t="str">
        <x:v>m2</x:v>
      </x:c>
      <x:c r="G274" s="17" t="n">
        <x:v>46462035.66</x:v>
      </x:c>
      <x:c r="H274" s="17" t="n">
        <x:v>55299179</x:v>
      </x:c>
      <x:c r="I274" s="17" t="n">
        <x:f>IF(AND(L274,ISNUMBER(G274),ISNUMBER(H274)),G274-H274,"n.a.")</x:f>
        <x:v>-8837143.340000004</x:v>
      </x:c>
      <x:c r="J274" s="15" t="n">
        <x:f>IF(AND(L274,ISNUMBER(G274),ISNUMBER(H274),H274&gt;0),(G274-H274)/H274,"n.a.")</x:f>
        <x:v>-0.1598060495617847</x:v>
      </x:c>
      <x:c r="K274" s="19" t="n">
        <x:f>IF(ISNUMBER(J274),ABS(J274),"n.a.")</x:f>
        <x:v>0.1598060495617847</x:v>
      </x:c>
      <x:c r="L274" s="13" t="b">
        <x:v>1</x:v>
      </x:c>
      <x:c r="M274" s="13" t="b">
        <x:v>1</x:v>
      </x:c>
      <x:c r="N274" s="2" t="str">
        <x:v>legacy epoch_status=observed; not exact acquisition proof</x:v>
      </x:c>
      <x:c r="O274" s="2" t="str">
        <x:v>none</x:v>
      </x:c>
      <x:c r="P274" s="2" t="str">
        <x:v>historical source estimate</x:v>
      </x:c>
      <x:c r="Q274" s="2" t="str">
        <x:v>Saved country aggregation; cross-source boundary and pixel-support alignment not certified; legacy observed flag is not acquisition proof</x:v>
      </x:c>
      <x:c r="R274" s="2" t="str">
        <x:v>https://human-settlement.emergency.copernicus.eu/ghs_buS2023.php</x:v>
      </x:c>
      <x:c r="S274" s="13" t="b">
        <x:v>0</x:v>
      </x:c>
      <x:c r="T274" s="13" t="b">
        <x:v>0</x:v>
      </x:c>
    </x:row>
    <x:row r="275" ht="23" customHeight="1">
      <x:c r="A275" s="2" t="str">
        <x:v>HND</x:v>
      </x:c>
      <x:c r="B275" s="2" t="str">
        <x:v>Honduras (Republic of)</x:v>
      </x:c>
      <x:c r="C275" s="2" t="n">
        <x:v>2020</x:v>
      </x:c>
      <x:c r="D275" s="2" t="str">
        <x:v>GHSL_SURFACE</x:v>
      </x:c>
      <x:c r="E275" s="2" t="str">
        <x:v>horizontal surface / footprint</x:v>
      </x:c>
      <x:c r="F275" s="2" t="str">
        <x:v>m2</x:v>
      </x:c>
      <x:c r="G275" s="17" t="n">
        <x:v>335660713.27</x:v>
      </x:c>
      <x:c r="H275" s="17" t="n">
        <x:v>563718026</x:v>
      </x:c>
      <x:c r="I275" s="17" t="n">
        <x:f>IF(AND(L275,ISNUMBER(G275),ISNUMBER(H275)),G275-H275,"n.a.")</x:f>
        <x:v>-228057312.73000002</x:v>
      </x:c>
      <x:c r="J275" s="15" t="n">
        <x:f>IF(AND(L275,ISNUMBER(G275),ISNUMBER(H275),H275&gt;0),(G275-H275)/H275,"n.a.")</x:f>
        <x:v>-0.40455919841385385</x:v>
      </x:c>
      <x:c r="K275" s="19" t="n">
        <x:f>IF(ISNUMBER(J275),ABS(J275),"n.a.")</x:f>
        <x:v>0.40455919841385385</x:v>
      </x:c>
      <x:c r="L275" s="13" t="b">
        <x:v>1</x:v>
      </x:c>
      <x:c r="M275" s="13" t="b">
        <x:v>1</x:v>
      </x:c>
      <x:c r="N275" s="2" t="str">
        <x:v>legacy epoch_status=observed; not exact acquisition proof</x:v>
      </x:c>
      <x:c r="O275" s="2" t="str">
        <x:v>none</x:v>
      </x:c>
      <x:c r="P275" s="2" t="str">
        <x:v>historical source estimate</x:v>
      </x:c>
      <x:c r="Q275" s="2" t="str">
        <x:v>Saved country aggregation; cross-source boundary and pixel-support alignment not certified; legacy observed flag is not acquisition proof</x:v>
      </x:c>
      <x:c r="R275" s="2" t="str">
        <x:v>https://human-settlement.emergency.copernicus.eu/ghs_buS2023.php</x:v>
      </x:c>
      <x:c r="S275" s="13" t="b">
        <x:v>0</x:v>
      </x:c>
      <x:c r="T275" s="13" t="b">
        <x:v>0</x:v>
      </x:c>
    </x:row>
    <x:row r="276" ht="23" customHeight="1">
      <x:c r="A276" s="2" t="str">
        <x:v>HRV</x:v>
      </x:c>
      <x:c r="B276" s="2" t="str">
        <x:v>Croatia (Republic of)</x:v>
      </x:c>
      <x:c r="C276" s="2" t="n">
        <x:v>2020</x:v>
      </x:c>
      <x:c r="D276" s="2" t="str">
        <x:v>GHSL_SURFACE</x:v>
      </x:c>
      <x:c r="E276" s="2" t="str">
        <x:v>horizontal surface / footprint</x:v>
      </x:c>
      <x:c r="F276" s="2" t="str">
        <x:v>m2</x:v>
      </x:c>
      <x:c r="G276" s="17" t="n">
        <x:v>361520718.43</x:v>
      </x:c>
      <x:c r="H276" s="17" t="n">
        <x:v>498223280</x:v>
      </x:c>
      <x:c r="I276" s="17" t="n">
        <x:f>IF(AND(L276,ISNUMBER(G276),ISNUMBER(H276)),G276-H276,"n.a.")</x:f>
        <x:v>-136702561.57</x:v>
      </x:c>
      <x:c r="J276" s="15" t="n">
        <x:f>IF(AND(L276,ISNUMBER(G276),ISNUMBER(H276),H276&gt;0),(G276-H276)/H276,"n.a.")</x:f>
        <x:v>-0.27438011642089466</x:v>
      </x:c>
      <x:c r="K276" s="19" t="n">
        <x:f>IF(ISNUMBER(J276),ABS(J276),"n.a.")</x:f>
        <x:v>0.27438011642089466</x:v>
      </x:c>
      <x:c r="L276" s="13" t="b">
        <x:v>1</x:v>
      </x:c>
      <x:c r="M276" s="13" t="b">
        <x:v>1</x:v>
      </x:c>
      <x:c r="N276" s="2" t="str">
        <x:v>legacy epoch_status=observed; not exact acquisition proof</x:v>
      </x:c>
      <x:c r="O276" s="2" t="str">
        <x:v>none</x:v>
      </x:c>
      <x:c r="P276" s="2" t="str">
        <x:v>historical source estimate</x:v>
      </x:c>
      <x:c r="Q276" s="2" t="str">
        <x:v>Saved country aggregation; cross-source boundary and pixel-support alignment not certified; legacy observed flag is not acquisition proof</x:v>
      </x:c>
      <x:c r="R276" s="2" t="str">
        <x:v>https://human-settlement.emergency.copernicus.eu/ghs_buS2023.php</x:v>
      </x:c>
      <x:c r="S276" s="13" t="b">
        <x:v>0</x:v>
      </x:c>
      <x:c r="T276" s="13" t="b">
        <x:v>0</x:v>
      </x:c>
    </x:row>
    <x:row r="277" ht="23" customHeight="1">
      <x:c r="A277" s="2" t="str">
        <x:v>HTI</x:v>
      </x:c>
      <x:c r="B277" s="2" t="str">
        <x:v>Haiti (Republic of)</x:v>
      </x:c>
      <x:c r="C277" s="2" t="n">
        <x:v>2020</x:v>
      </x:c>
      <x:c r="D277" s="2" t="str">
        <x:v>GHSL_SURFACE</x:v>
      </x:c>
      <x:c r="E277" s="2" t="str">
        <x:v>horizontal surface / footprint</x:v>
      </x:c>
      <x:c r="F277" s="2" t="str">
        <x:v>m2</x:v>
      </x:c>
      <x:c r="G277" s="17" t="n">
        <x:v>189002396.54</x:v>
      </x:c>
      <x:c r="H277" s="17" t="n">
        <x:v>286862502</x:v>
      </x:c>
      <x:c r="I277" s="17" t="n">
        <x:f>IF(AND(L277,ISNUMBER(G277),ISNUMBER(H277)),G277-H277,"n.a.")</x:f>
        <x:v>-97860105.46000001</x:v>
      </x:c>
      <x:c r="J277" s="15" t="n">
        <x:f>IF(AND(L277,ISNUMBER(G277),ISNUMBER(H277),H277&gt;0),(G277-H277)/H277,"n.a.")</x:f>
        <x:v>-0.34113941270720705</x:v>
      </x:c>
      <x:c r="K277" s="19" t="n">
        <x:f>IF(ISNUMBER(J277),ABS(J277),"n.a.")</x:f>
        <x:v>0.34113941270720705</x:v>
      </x:c>
      <x:c r="L277" s="13" t="b">
        <x:v>1</x:v>
      </x:c>
      <x:c r="M277" s="13" t="b">
        <x:v>1</x:v>
      </x:c>
      <x:c r="N277" s="2" t="str">
        <x:v>legacy epoch_status=observed; not exact acquisition proof</x:v>
      </x:c>
      <x:c r="O277" s="2" t="str">
        <x:v>none</x:v>
      </x:c>
      <x:c r="P277" s="2" t="str">
        <x:v>historical source estimate</x:v>
      </x:c>
      <x:c r="Q277" s="2" t="str">
        <x:v>Saved country aggregation; cross-source boundary and pixel-support alignment not certified; legacy observed flag is not acquisition proof</x:v>
      </x:c>
      <x:c r="R277" s="2" t="str">
        <x:v>https://human-settlement.emergency.copernicus.eu/ghs_buS2023.php</x:v>
      </x:c>
      <x:c r="S277" s="13" t="b">
        <x:v>0</x:v>
      </x:c>
      <x:c r="T277" s="13" t="b">
        <x:v>0</x:v>
      </x:c>
    </x:row>
    <x:row r="278" ht="23" customHeight="1">
      <x:c r="A278" s="2" t="str">
        <x:v>HUN</x:v>
      </x:c>
      <x:c r="B278" s="2" t="str">
        <x:v>Hungary</x:v>
      </x:c>
      <x:c r="C278" s="2" t="n">
        <x:v>2020</x:v>
      </x:c>
      <x:c r="D278" s="2" t="str">
        <x:v>GHSL_SURFACE</x:v>
      </x:c>
      <x:c r="E278" s="2" t="str">
        <x:v>horizontal surface / footprint</x:v>
      </x:c>
      <x:c r="F278" s="2" t="str">
        <x:v>m2</x:v>
      </x:c>
      <x:c r="G278" s="17" t="n">
        <x:v>853072780.53</x:v>
      </x:c>
      <x:c r="H278" s="17" t="n">
        <x:v>1296608423</x:v>
      </x:c>
      <x:c r="I278" s="17" t="n">
        <x:f>IF(AND(L278,ISNUMBER(G278),ISNUMBER(H278)),G278-H278,"n.a.")</x:f>
        <x:v>-443535642.47</x:v>
      </x:c>
      <x:c r="J278" s="15" t="n">
        <x:f>IF(AND(L278,ISNUMBER(G278),ISNUMBER(H278),H278&gt;0),(G278-H278)/H278,"n.a.")</x:f>
        <x:v>-0.34207370135987464</x:v>
      </x:c>
      <x:c r="K278" s="19" t="n">
        <x:f>IF(ISNUMBER(J278),ABS(J278),"n.a.")</x:f>
        <x:v>0.34207370135987464</x:v>
      </x:c>
      <x:c r="L278" s="13" t="b">
        <x:v>1</x:v>
      </x:c>
      <x:c r="M278" s="13" t="b">
        <x:v>1</x:v>
      </x:c>
      <x:c r="N278" s="2" t="str">
        <x:v>legacy epoch_status=observed; not exact acquisition proof</x:v>
      </x:c>
      <x:c r="O278" s="2" t="str">
        <x:v>none</x:v>
      </x:c>
      <x:c r="P278" s="2" t="str">
        <x:v>historical source estimate</x:v>
      </x:c>
      <x:c r="Q278" s="2" t="str">
        <x:v>Saved country aggregation; cross-source boundary and pixel-support alignment not certified; legacy observed flag is not acquisition proof</x:v>
      </x:c>
      <x:c r="R278" s="2" t="str">
        <x:v>https://human-settlement.emergency.copernicus.eu/ghs_buS2023.php</x:v>
      </x:c>
      <x:c r="S278" s="13" t="b">
        <x:v>0</x:v>
      </x:c>
      <x:c r="T278" s="13" t="b">
        <x:v>0</x:v>
      </x:c>
    </x:row>
    <x:row r="279" ht="23" customHeight="1">
      <x:c r="A279" s="2" t="str">
        <x:v>IDN</x:v>
      </x:c>
      <x:c r="B279" s="2" t="str">
        <x:v>Indonesia (Republic of)</x:v>
      </x:c>
      <x:c r="C279" s="2" t="n">
        <x:v>2020</x:v>
      </x:c>
      <x:c r="D279" s="2" t="str">
        <x:v>GHSL_SURFACE</x:v>
      </x:c>
      <x:c r="E279" s="2" t="str">
        <x:v>horizontal surface / footprint</x:v>
      </x:c>
      <x:c r="F279" s="2" t="str">
        <x:v>m2</x:v>
      </x:c>
      <x:c r="G279" s="17" t="n">
        <x:v>10794355074.09</x:v>
      </x:c>
      <x:c r="H279" s="17" t="n">
        <x:v>10374602922</x:v>
      </x:c>
      <x:c r="I279" s="17" t="n">
        <x:f>IF(AND(L279,ISNUMBER(G279),ISNUMBER(H279)),G279-H279,"n.a.")</x:f>
        <x:v>419752152.09000015</x:v>
      </x:c>
      <x:c r="J279" s="15" t="n">
        <x:f>IF(AND(L279,ISNUMBER(G279),ISNUMBER(H279),H279&gt;0),(G279-H279)/H279,"n.a.")</x:f>
        <x:v>0.04045958724838415</x:v>
      </x:c>
      <x:c r="K279" s="19" t="n">
        <x:f>IF(ISNUMBER(J279),ABS(J279),"n.a.")</x:f>
        <x:v>0.04045958724838415</x:v>
      </x:c>
      <x:c r="L279" s="13" t="b">
        <x:v>1</x:v>
      </x:c>
      <x:c r="M279" s="13" t="b">
        <x:v>1</x:v>
      </x:c>
      <x:c r="N279" s="2" t="str">
        <x:v>legacy epoch_status=observed; not exact acquisition proof</x:v>
      </x:c>
      <x:c r="O279" s="2" t="str">
        <x:v>none</x:v>
      </x:c>
      <x:c r="P279" s="2" t="str">
        <x:v>historical source estimate</x:v>
      </x:c>
      <x:c r="Q279" s="2" t="str">
        <x:v>Saved country aggregation; cross-source boundary and pixel-support alignment not certified; legacy observed flag is not acquisition proof</x:v>
      </x:c>
      <x:c r="R279" s="2" t="str">
        <x:v>https://human-settlement.emergency.copernicus.eu/ghs_buS2023.php</x:v>
      </x:c>
      <x:c r="S279" s="13" t="b">
        <x:v>0</x:v>
      </x:c>
      <x:c r="T279" s="13" t="b">
        <x:v>0</x:v>
      </x:c>
    </x:row>
    <x:row r="280" ht="23" customHeight="1">
      <x:c r="A280" s="2" t="str">
        <x:v>IND</x:v>
      </x:c>
      <x:c r="B280" s="2" t="str">
        <x:v>India (Republic of)</x:v>
      </x:c>
      <x:c r="C280" s="2" t="n">
        <x:v>2020</x:v>
      </x:c>
      <x:c r="D280" s="2" t="str">
        <x:v>GHSL_SURFACE</x:v>
      </x:c>
      <x:c r="E280" s="2" t="str">
        <x:v>horizontal surface / footprint</x:v>
      </x:c>
      <x:c r="F280" s="2" t="str">
        <x:v>m2</x:v>
      </x:c>
      <x:c r="G280" s="17" t="n">
        <x:v>27853638424.04</x:v>
      </x:c>
      <x:c r="H280" s="17" t="n">
        <x:v>38219711194</x:v>
      </x:c>
      <x:c r="I280" s="17" t="n">
        <x:f>IF(AND(L280,ISNUMBER(G280),ISNUMBER(H280)),G280-H280,"n.a.")</x:f>
        <x:v>-10366072769.96</x:v>
      </x:c>
      <x:c r="J280" s="15" t="n">
        <x:f>IF(AND(L280,ISNUMBER(G280),ISNUMBER(H280),H280&gt;0),(G280-H280)/H280,"n.a.")</x:f>
        <x:v>-0.2712232103833202</x:v>
      </x:c>
      <x:c r="K280" s="19" t="n">
        <x:f>IF(ISNUMBER(J280),ABS(J280),"n.a.")</x:f>
        <x:v>0.2712232103833202</x:v>
      </x:c>
      <x:c r="L280" s="13" t="b">
        <x:v>1</x:v>
      </x:c>
      <x:c r="M280" s="13" t="b">
        <x:v>1</x:v>
      </x:c>
      <x:c r="N280" s="2" t="str">
        <x:v>legacy epoch_status=observed; not exact acquisition proof</x:v>
      </x:c>
      <x:c r="O280" s="2" t="str">
        <x:v>none</x:v>
      </x:c>
      <x:c r="P280" s="2" t="str">
        <x:v>historical source estimate</x:v>
      </x:c>
      <x:c r="Q280" s="2" t="str">
        <x:v>Saved country aggregation; cross-source boundary and pixel-support alignment not certified; legacy observed flag is not acquisition proof</x:v>
      </x:c>
      <x:c r="R280" s="2" t="str">
        <x:v>https://human-settlement.emergency.copernicus.eu/ghs_buS2023.php</x:v>
      </x:c>
      <x:c r="S280" s="13" t="b">
        <x:v>0</x:v>
      </x:c>
      <x:c r="T280" s="13" t="b">
        <x:v>0</x:v>
      </x:c>
    </x:row>
    <x:row r="281" ht="23" customHeight="1">
      <x:c r="A281" s="2" t="str">
        <x:v>IRL</x:v>
      </x:c>
      <x:c r="B281" s="2" t="str">
        <x:v>Ireland</x:v>
      </x:c>
      <x:c r="C281" s="2" t="n">
        <x:v>2020</x:v>
      </x:c>
      <x:c r="D281" s="2" t="str">
        <x:v>GHSL_SURFACE</x:v>
      </x:c>
      <x:c r="E281" s="2" t="str">
        <x:v>horizontal surface / footprint</x:v>
      </x:c>
      <x:c r="F281" s="2" t="str">
        <x:v>m2</x:v>
      </x:c>
      <x:c r="G281" s="17" t="n">
        <x:v>426553619.4</x:v>
      </x:c>
      <x:c r="H281" s="17" t="n">
        <x:v>724222995</x:v>
      </x:c>
      <x:c r="I281" s="17" t="n">
        <x:f>IF(AND(L281,ISNUMBER(G281),ISNUMBER(H281)),G281-H281,"n.a.")</x:f>
        <x:v>-297669375.6</x:v>
      </x:c>
      <x:c r="J281" s="15" t="n">
        <x:f>IF(AND(L281,ISNUMBER(G281),ISNUMBER(H281),H281&gt;0),(G281-H281)/H281,"n.a.")</x:f>
        <x:v>-0.411018950868855</x:v>
      </x:c>
      <x:c r="K281" s="19" t="n">
        <x:f>IF(ISNUMBER(J281),ABS(J281),"n.a.")</x:f>
        <x:v>0.411018950868855</x:v>
      </x:c>
      <x:c r="L281" s="13" t="b">
        <x:v>1</x:v>
      </x:c>
      <x:c r="M281" s="13" t="b">
        <x:v>1</x:v>
      </x:c>
      <x:c r="N281" s="2" t="str">
        <x:v>legacy epoch_status=observed; not exact acquisition proof</x:v>
      </x:c>
      <x:c r="O281" s="2" t="str">
        <x:v>none</x:v>
      </x:c>
      <x:c r="P281" s="2" t="str">
        <x:v>historical source estimate</x:v>
      </x:c>
      <x:c r="Q281" s="2" t="str">
        <x:v>Saved country aggregation; cross-source boundary and pixel-support alignment not certified; legacy observed flag is not acquisition proof</x:v>
      </x:c>
      <x:c r="R281" s="2" t="str">
        <x:v>https://human-settlement.emergency.copernicus.eu/ghs_buS2023.php</x:v>
      </x:c>
      <x:c r="S281" s="13" t="b">
        <x:v>0</x:v>
      </x:c>
      <x:c r="T281" s="13" t="b">
        <x:v>0</x:v>
      </x:c>
    </x:row>
    <x:row r="282" ht="23" customHeight="1">
      <x:c r="A282" s="2" t="str">
        <x:v>IRN</x:v>
      </x:c>
      <x:c r="B282" s="2" t="str">
        <x:v>Iran (Islamic Republic of)</x:v>
      </x:c>
      <x:c r="C282" s="2" t="n">
        <x:v>2020</x:v>
      </x:c>
      <x:c r="D282" s="2" t="str">
        <x:v>GHSL_SURFACE</x:v>
      </x:c>
      <x:c r="E282" s="2" t="str">
        <x:v>horizontal surface / footprint</x:v>
      </x:c>
      <x:c r="F282" s="2" t="str">
        <x:v>m2</x:v>
      </x:c>
      <x:c r="G282" s="17" t="n">
        <x:v>3695850551.99</x:v>
      </x:c>
      <x:c r="H282" s="17" t="n">
        <x:v>4192699745</x:v>
      </x:c>
      <x:c r="I282" s="17" t="n">
        <x:f>IF(AND(L282,ISNUMBER(G282),ISNUMBER(H282)),G282-H282,"n.a.")</x:f>
        <x:v>-496849193.0100002</x:v>
      </x:c>
      <x:c r="J282" s="15" t="n">
        <x:f>IF(AND(L282,ISNUMBER(G282),ISNUMBER(H282),H282&gt;0),(G282-H282)/H282,"n.a.")</x:f>
        <x:v>-0.11850340430471255</x:v>
      </x:c>
      <x:c r="K282" s="19" t="n">
        <x:f>IF(ISNUMBER(J282),ABS(J282),"n.a.")</x:f>
        <x:v>0.11850340430471255</x:v>
      </x:c>
      <x:c r="L282" s="13" t="b">
        <x:v>1</x:v>
      </x:c>
      <x:c r="M282" s="13" t="b">
        <x:v>1</x:v>
      </x:c>
      <x:c r="N282" s="2" t="str">
        <x:v>legacy epoch_status=observed; not exact acquisition proof</x:v>
      </x:c>
      <x:c r="O282" s="2" t="str">
        <x:v>none</x:v>
      </x:c>
      <x:c r="P282" s="2" t="str">
        <x:v>historical source estimate</x:v>
      </x:c>
      <x:c r="Q282" s="2" t="str">
        <x:v>Saved country aggregation; cross-source boundary and pixel-support alignment not certified; legacy observed flag is not acquisition proof</x:v>
      </x:c>
      <x:c r="R282" s="2" t="str">
        <x:v>https://human-settlement.emergency.copernicus.eu/ghs_buS2023.php</x:v>
      </x:c>
      <x:c r="S282" s="13" t="b">
        <x:v>0</x:v>
      </x:c>
      <x:c r="T282" s="13" t="b">
        <x:v>0</x:v>
      </x:c>
    </x:row>
    <x:row r="283" ht="23" customHeight="1">
      <x:c r="A283" s="2" t="str">
        <x:v>IRQ</x:v>
      </x:c>
      <x:c r="B283" s="2" t="str">
        <x:v>Iraq (Republic of)</x:v>
      </x:c>
      <x:c r="C283" s="2" t="n">
        <x:v>2020</x:v>
      </x:c>
      <x:c r="D283" s="2" t="str">
        <x:v>GHSL_SURFACE</x:v>
      </x:c>
      <x:c r="E283" s="2" t="str">
        <x:v>horizontal surface / footprint</x:v>
      </x:c>
      <x:c r="F283" s="2" t="str">
        <x:v>m2</x:v>
      </x:c>
      <x:c r="G283" s="17" t="n">
        <x:v>1226955244.87</x:v>
      </x:c>
      <x:c r="H283" s="17" t="n">
        <x:v>1578256496</x:v>
      </x:c>
      <x:c r="I283" s="17" t="n">
        <x:f>IF(AND(L283,ISNUMBER(G283),ISNUMBER(H283)),G283-H283,"n.a.")</x:f>
        <x:v>-351301251.1300001</x:v>
      </x:c>
      <x:c r="J283" s="15" t="n">
        <x:f>IF(AND(L283,ISNUMBER(G283),ISNUMBER(H283),H283&gt;0),(G283-H283)/H283,"n.a.")</x:f>
        <x:v>-0.22258818640718595</x:v>
      </x:c>
      <x:c r="K283" s="19" t="n">
        <x:f>IF(ISNUMBER(J283),ABS(J283),"n.a.")</x:f>
        <x:v>0.22258818640718595</x:v>
      </x:c>
      <x:c r="L283" s="13" t="b">
        <x:v>1</x:v>
      </x:c>
      <x:c r="M283" s="13" t="b">
        <x:v>1</x:v>
      </x:c>
      <x:c r="N283" s="2" t="str">
        <x:v>legacy epoch_status=observed; not exact acquisition proof</x:v>
      </x:c>
      <x:c r="O283" s="2" t="str">
        <x:v>none</x:v>
      </x:c>
      <x:c r="P283" s="2" t="str">
        <x:v>historical source estimate</x:v>
      </x:c>
      <x:c r="Q283" s="2" t="str">
        <x:v>Saved country aggregation; cross-source boundary and pixel-support alignment not certified; legacy observed flag is not acquisition proof</x:v>
      </x:c>
      <x:c r="R283" s="2" t="str">
        <x:v>https://human-settlement.emergency.copernicus.eu/ghs_buS2023.php</x:v>
      </x:c>
      <x:c r="S283" s="13" t="b">
        <x:v>0</x:v>
      </x:c>
      <x:c r="T283" s="13" t="b">
        <x:v>0</x:v>
      </x:c>
    </x:row>
    <x:row r="284" ht="23" customHeight="1">
      <x:c r="A284" s="2" t="str">
        <x:v>ISL</x:v>
      </x:c>
      <x:c r="B284" s="2" t="str">
        <x:v>Iceland</x:v>
      </x:c>
      <x:c r="C284" s="2" t="n">
        <x:v>2020</x:v>
      </x:c>
      <x:c r="D284" s="2" t="str">
        <x:v>GHSL_SURFACE</x:v>
      </x:c>
      <x:c r="E284" s="2" t="str">
        <x:v>horizontal surface / footprint</x:v>
      </x:c>
      <x:c r="F284" s="2" t="str">
        <x:v>m2</x:v>
      </x:c>
      <x:c r="G284" s="17" t="n">
        <x:v>24141007.67</x:v>
      </x:c>
      <x:c r="H284" s="17" t="n">
        <x:v>29008173</x:v>
      </x:c>
      <x:c r="I284" s="17" t="n">
        <x:f>IF(AND(L284,ISNUMBER(G284),ISNUMBER(H284)),G284-H284,"n.a.")</x:f>
        <x:v>-4867165.329999998</x:v>
      </x:c>
      <x:c r="J284" s="15" t="n">
        <x:f>IF(AND(L284,ISNUMBER(G284),ISNUMBER(H284),H284&gt;0),(G284-H284)/H284,"n.a.")</x:f>
        <x:v>-0.167786000517854</x:v>
      </x:c>
      <x:c r="K284" s="19" t="n">
        <x:f>IF(ISNUMBER(J284),ABS(J284),"n.a.")</x:f>
        <x:v>0.167786000517854</x:v>
      </x:c>
      <x:c r="L284" s="13" t="b">
        <x:v>1</x:v>
      </x:c>
      <x:c r="M284" s="13" t="b">
        <x:v>1</x:v>
      </x:c>
      <x:c r="N284" s="2" t="str">
        <x:v>legacy epoch_status=observed; not exact acquisition proof</x:v>
      </x:c>
      <x:c r="O284" s="2" t="str">
        <x:v>none</x:v>
      </x:c>
      <x:c r="P284" s="2" t="str">
        <x:v>historical source estimate</x:v>
      </x:c>
      <x:c r="Q284" s="2" t="str">
        <x:v>Saved country aggregation; cross-source boundary and pixel-support alignment not certified; legacy observed flag is not acquisition proof</x:v>
      </x:c>
      <x:c r="R284" s="2" t="str">
        <x:v>https://human-settlement.emergency.copernicus.eu/ghs_buS2023.php</x:v>
      </x:c>
      <x:c r="S284" s="13" t="b">
        <x:v>0</x:v>
      </x:c>
      <x:c r="T284" s="13" t="b">
        <x:v>0</x:v>
      </x:c>
    </x:row>
    <x:row r="285" ht="23" customHeight="1">
      <x:c r="A285" s="2" t="str">
        <x:v>ISR</x:v>
      </x:c>
      <x:c r="B285" s="2" t="str">
        <x:v>Israel (State of)</x:v>
      </x:c>
      <x:c r="C285" s="2" t="n">
        <x:v>2020</x:v>
      </x:c>
      <x:c r="D285" s="2" t="str">
        <x:v>GHSL_SURFACE</x:v>
      </x:c>
      <x:c r="E285" s="2" t="str">
        <x:v>horizontal surface / footprint</x:v>
      </x:c>
      <x:c r="F285" s="2" t="str">
        <x:v>m2</x:v>
      </x:c>
      <x:c r="G285" s="17" t="n">
        <x:v>357032950.94</x:v>
      </x:c>
      <x:c r="H285" s="17" t="n">
        <x:v>460133516</x:v>
      </x:c>
      <x:c r="I285" s="17" t="n">
        <x:f>IF(AND(L285,ISNUMBER(G285),ISNUMBER(H285)),G285-H285,"n.a.")</x:f>
        <x:v>-103100565.06</x:v>
      </x:c>
      <x:c r="J285" s="15" t="n">
        <x:f>IF(AND(L285,ISNUMBER(G285),ISNUMBER(H285),H285&gt;0),(G285-H285)/H285,"n.a.")</x:f>
        <x:v>-0.22406662734822386</x:v>
      </x:c>
      <x:c r="K285" s="19" t="n">
        <x:f>IF(ISNUMBER(J285),ABS(J285),"n.a.")</x:f>
        <x:v>0.22406662734822386</x:v>
      </x:c>
      <x:c r="L285" s="13" t="b">
        <x:v>1</x:v>
      </x:c>
      <x:c r="M285" s="13" t="b">
        <x:v>1</x:v>
      </x:c>
      <x:c r="N285" s="2" t="str">
        <x:v>legacy epoch_status=observed; not exact acquisition proof</x:v>
      </x:c>
      <x:c r="O285" s="2" t="str">
        <x:v>none</x:v>
      </x:c>
      <x:c r="P285" s="2" t="str">
        <x:v>historical source estimate</x:v>
      </x:c>
      <x:c r="Q285" s="2" t="str">
        <x:v>Saved country aggregation; cross-source boundary and pixel-support alignment not certified; legacy observed flag is not acquisition proof</x:v>
      </x:c>
      <x:c r="R285" s="2" t="str">
        <x:v>https://human-settlement.emergency.copernicus.eu/ghs_buS2023.php</x:v>
      </x:c>
      <x:c r="S285" s="13" t="b">
        <x:v>0</x:v>
      </x:c>
      <x:c r="T285" s="13" t="b">
        <x:v>0</x:v>
      </x:c>
    </x:row>
    <x:row r="286" ht="23" customHeight="1">
      <x:c r="A286" s="2" t="str">
        <x:v>ITA</x:v>
      </x:c>
      <x:c r="B286" s="2" t="str">
        <x:v>Italy (Italian Republic)</x:v>
      </x:c>
      <x:c r="C286" s="2" t="n">
        <x:v>2020</x:v>
      </x:c>
      <x:c r="D286" s="2" t="str">
        <x:v>GHSL_SURFACE</x:v>
      </x:c>
      <x:c r="E286" s="2" t="str">
        <x:v>horizontal surface / footprint</x:v>
      </x:c>
      <x:c r="F286" s="2" t="str">
        <x:v>m2</x:v>
      </x:c>
      <x:c r="G286" s="17" t="n">
        <x:v>4711304092.61</x:v>
      </x:c>
      <x:c r="H286" s="17" t="n">
        <x:v>6852988629</x:v>
      </x:c>
      <x:c r="I286" s="17" t="n">
        <x:f>IF(AND(L286,ISNUMBER(G286),ISNUMBER(H286)),G286-H286,"n.a.")</x:f>
        <x:v>-2141684536.3900003</x:v>
      </x:c>
      <x:c r="J286" s="15" t="n">
        <x:f>IF(AND(L286,ISNUMBER(G286),ISNUMBER(H286),H286&gt;0),(G286-H286)/H286,"n.a.")</x:f>
        <x:v>-0.31251832628569803</x:v>
      </x:c>
      <x:c r="K286" s="19" t="n">
        <x:f>IF(ISNUMBER(J286),ABS(J286),"n.a.")</x:f>
        <x:v>0.31251832628569803</x:v>
      </x:c>
      <x:c r="L286" s="13" t="b">
        <x:v>1</x:v>
      </x:c>
      <x:c r="M286" s="13" t="b">
        <x:v>1</x:v>
      </x:c>
      <x:c r="N286" s="2" t="str">
        <x:v>legacy epoch_status=observed; not exact acquisition proof</x:v>
      </x:c>
      <x:c r="O286" s="2" t="str">
        <x:v>none</x:v>
      </x:c>
      <x:c r="P286" s="2" t="str">
        <x:v>historical source estimate</x:v>
      </x:c>
      <x:c r="Q286" s="2" t="str">
        <x:v>Saved country aggregation; cross-source boundary and pixel-support alignment not certified; legacy observed flag is not acquisition proof</x:v>
      </x:c>
      <x:c r="R286" s="2" t="str">
        <x:v>https://human-settlement.emergency.copernicus.eu/ghs_buS2023.php</x:v>
      </x:c>
      <x:c r="S286" s="13" t="b">
        <x:v>0</x:v>
      </x:c>
      <x:c r="T286" s="13" t="b">
        <x:v>0</x:v>
      </x:c>
    </x:row>
    <x:row r="287" ht="23" customHeight="1">
      <x:c r="A287" s="2" t="str">
        <x:v>JAM</x:v>
      </x:c>
      <x:c r="B287" s="2" t="str">
        <x:v>Jamaica</x:v>
      </x:c>
      <x:c r="C287" s="2" t="n">
        <x:v>2020</x:v>
      </x:c>
      <x:c r="D287" s="2" t="str">
        <x:v>GHSL_SURFACE</x:v>
      </x:c>
      <x:c r="E287" s="2" t="str">
        <x:v>horizontal surface / footprint</x:v>
      </x:c>
      <x:c r="F287" s="2" t="str">
        <x:v>m2</x:v>
      </x:c>
      <x:c r="G287" s="17" t="n">
        <x:v>133338245.19</x:v>
      </x:c>
      <x:c r="H287" s="17" t="n">
        <x:v>218536791</x:v>
      </x:c>
      <x:c r="I287" s="17" t="n">
        <x:f>IF(AND(L287,ISNUMBER(G287),ISNUMBER(H287)),G287-H287,"n.a.")</x:f>
        <x:v>-85198545.81</x:v>
      </x:c>
      <x:c r="J287" s="15" t="n">
        <x:f>IF(AND(L287,ISNUMBER(G287),ISNUMBER(H287),H287&gt;0),(G287-H287)/H287,"n.a.")</x:f>
        <x:v>-0.38985905036923507</x:v>
      </x:c>
      <x:c r="K287" s="19" t="n">
        <x:f>IF(ISNUMBER(J287),ABS(J287),"n.a.")</x:f>
        <x:v>0.38985905036923507</x:v>
      </x:c>
      <x:c r="L287" s="13" t="b">
        <x:v>1</x:v>
      </x:c>
      <x:c r="M287" s="13" t="b">
        <x:v>1</x:v>
      </x:c>
      <x:c r="N287" s="2" t="str">
        <x:v>legacy epoch_status=observed; not exact acquisition proof</x:v>
      </x:c>
      <x:c r="O287" s="2" t="str">
        <x:v>none</x:v>
      </x:c>
      <x:c r="P287" s="2" t="str">
        <x:v>historical source estimate</x:v>
      </x:c>
      <x:c r="Q287" s="2" t="str">
        <x:v>Saved country aggregation; cross-source boundary and pixel-support alignment not certified; legacy observed flag is not acquisition proof</x:v>
      </x:c>
      <x:c r="R287" s="2" t="str">
        <x:v>https://human-settlement.emergency.copernicus.eu/ghs_buS2023.php</x:v>
      </x:c>
      <x:c r="S287" s="13" t="b">
        <x:v>0</x:v>
      </x:c>
      <x:c r="T287" s="13" t="b">
        <x:v>0</x:v>
      </x:c>
    </x:row>
    <x:row r="288" ht="23" customHeight="1">
      <x:c r="A288" s="2" t="str">
        <x:v>JOR</x:v>
      </x:c>
      <x:c r="B288" s="2" t="str">
        <x:v>Jordan (Hashemite Kingdom of)</x:v>
      </x:c>
      <x:c r="C288" s="2" t="n">
        <x:v>2020</x:v>
      </x:c>
      <x:c r="D288" s="2" t="str">
        <x:v>GHSL_SURFACE</x:v>
      </x:c>
      <x:c r="E288" s="2" t="str">
        <x:v>horizontal surface / footprint</x:v>
      </x:c>
      <x:c r="F288" s="2" t="str">
        <x:v>m2</x:v>
      </x:c>
      <x:c r="G288" s="17" t="n">
        <x:v>275983857.16</x:v>
      </x:c>
      <x:c r="H288" s="17" t="n">
        <x:v>326632032</x:v>
      </x:c>
      <x:c r="I288" s="17" t="n">
        <x:f>IF(AND(L288,ISNUMBER(G288),ISNUMBER(H288)),G288-H288,"n.a.")</x:f>
        <x:v>-50648174.839999974</x:v>
      </x:c>
      <x:c r="J288" s="15" t="n">
        <x:f>IF(AND(L288,ISNUMBER(G288),ISNUMBER(H288),H288&gt;0),(G288-H288)/H288,"n.a.")</x:f>
        <x:v>-0.15506187353970224</x:v>
      </x:c>
      <x:c r="K288" s="19" t="n">
        <x:f>IF(ISNUMBER(J288),ABS(J288),"n.a.")</x:f>
        <x:v>0.15506187353970224</x:v>
      </x:c>
      <x:c r="L288" s="13" t="b">
        <x:v>1</x:v>
      </x:c>
      <x:c r="M288" s="13" t="b">
        <x:v>1</x:v>
      </x:c>
      <x:c r="N288" s="2" t="str">
        <x:v>legacy epoch_status=observed; not exact acquisition proof</x:v>
      </x:c>
      <x:c r="O288" s="2" t="str">
        <x:v>none</x:v>
      </x:c>
      <x:c r="P288" s="2" t="str">
        <x:v>historical source estimate</x:v>
      </x:c>
      <x:c r="Q288" s="2" t="str">
        <x:v>Saved country aggregation; cross-source boundary and pixel-support alignment not certified; legacy observed flag is not acquisition proof</x:v>
      </x:c>
      <x:c r="R288" s="2" t="str">
        <x:v>https://human-settlement.emergency.copernicus.eu/ghs_buS2023.php</x:v>
      </x:c>
      <x:c r="S288" s="13" t="b">
        <x:v>0</x:v>
      </x:c>
      <x:c r="T288" s="13" t="b">
        <x:v>0</x:v>
      </x:c>
    </x:row>
    <x:row r="289" ht="23" customHeight="1">
      <x:c r="A289" s="2" t="str">
        <x:v>JPN</x:v>
      </x:c>
      <x:c r="B289" s="2" t="str">
        <x:v>Japan</x:v>
      </x:c>
      <x:c r="C289" s="2" t="n">
        <x:v>2020</x:v>
      </x:c>
      <x:c r="D289" s="2" t="str">
        <x:v>GHSL_SURFACE</x:v>
      </x:c>
      <x:c r="E289" s="2" t="str">
        <x:v>horizontal surface / footprint</x:v>
      </x:c>
      <x:c r="F289" s="2" t="str">
        <x:v>m2</x:v>
      </x:c>
      <x:c r="G289" s="17" t="n">
        <x:v>8076054059.79</x:v>
      </x:c>
      <x:c r="H289" s="17" t="n">
        <x:v>12557834219</x:v>
      </x:c>
      <x:c r="I289" s="17" t="n">
        <x:f>IF(AND(L289,ISNUMBER(G289),ISNUMBER(H289)),G289-H289,"n.a.")</x:f>
        <x:v>-4481780159.21</x:v>
      </x:c>
      <x:c r="J289" s="15" t="n">
        <x:f>IF(AND(L289,ISNUMBER(G289),ISNUMBER(H289),H289&gt;0),(G289-H289)/H289,"n.a.")</x:f>
        <x:v>-0.356891170965537</x:v>
      </x:c>
      <x:c r="K289" s="19" t="n">
        <x:f>IF(ISNUMBER(J289),ABS(J289),"n.a.")</x:f>
        <x:v>0.356891170965537</x:v>
      </x:c>
      <x:c r="L289" s="13" t="b">
        <x:v>1</x:v>
      </x:c>
      <x:c r="M289" s="13" t="b">
        <x:v>1</x:v>
      </x:c>
      <x:c r="N289" s="2" t="str">
        <x:v>legacy epoch_status=observed; not exact acquisition proof</x:v>
      </x:c>
      <x:c r="O289" s="2" t="str">
        <x:v>none</x:v>
      </x:c>
      <x:c r="P289" s="2" t="str">
        <x:v>historical source estimate</x:v>
      </x:c>
      <x:c r="Q289" s="2" t="str">
        <x:v>Saved country aggregation; cross-source boundary and pixel-support alignment not certified; legacy observed flag is not acquisition proof</x:v>
      </x:c>
      <x:c r="R289" s="2" t="str">
        <x:v>https://human-settlement.emergency.copernicus.eu/ghs_buS2023.php</x:v>
      </x:c>
      <x:c r="S289" s="13" t="b">
        <x:v>0</x:v>
      </x:c>
      <x:c r="T289" s="13" t="b">
        <x:v>0</x:v>
      </x:c>
    </x:row>
    <x:row r="290" ht="23" customHeight="1">
      <x:c r="A290" s="2" t="str">
        <x:v>KAZ</x:v>
      </x:c>
      <x:c r="B290" s="2" t="str">
        <x:v>Kazakhstan (Republic of)</x:v>
      </x:c>
      <x:c r="C290" s="2" t="n">
        <x:v>2020</x:v>
      </x:c>
      <x:c r="D290" s="2" t="str">
        <x:v>GHSL_SURFACE</x:v>
      </x:c>
      <x:c r="E290" s="2" t="str">
        <x:v>horizontal surface / footprint</x:v>
      </x:c>
      <x:c r="F290" s="2" t="str">
        <x:v>m2</x:v>
      </x:c>
      <x:c r="G290" s="17" t="n">
        <x:v>1009034692.97</x:v>
      </x:c>
      <x:c r="H290" s="17" t="n">
        <x:v>2312894884</x:v>
      </x:c>
      <x:c r="I290" s="17" t="n">
        <x:f>IF(AND(L290,ISNUMBER(G290),ISNUMBER(H290)),G290-H290,"n.a.")</x:f>
        <x:v>-1303860191.03</x:v>
      </x:c>
      <x:c r="J290" s="15" t="n">
        <x:f>IF(AND(L290,ISNUMBER(G290),ISNUMBER(H290),H290&gt;0),(G290-H290)/H290,"n.a.")</x:f>
        <x:v>-0.5637351701755937</x:v>
      </x:c>
      <x:c r="K290" s="19" t="n">
        <x:f>IF(ISNUMBER(J290),ABS(J290),"n.a.")</x:f>
        <x:v>0.5637351701755937</x:v>
      </x:c>
      <x:c r="L290" s="13" t="b">
        <x:v>1</x:v>
      </x:c>
      <x:c r="M290" s="13" t="b">
        <x:v>1</x:v>
      </x:c>
      <x:c r="N290" s="2" t="str">
        <x:v>legacy epoch_status=observed; not exact acquisition proof</x:v>
      </x:c>
      <x:c r="O290" s="2" t="str">
        <x:v>none</x:v>
      </x:c>
      <x:c r="P290" s="2" t="str">
        <x:v>historical source estimate</x:v>
      </x:c>
      <x:c r="Q290" s="2" t="str">
        <x:v>Saved country aggregation; cross-source boundary and pixel-support alignment not certified; legacy observed flag is not acquisition proof</x:v>
      </x:c>
      <x:c r="R290" s="2" t="str">
        <x:v>https://human-settlement.emergency.copernicus.eu/ghs_buS2023.php</x:v>
      </x:c>
      <x:c r="S290" s="13" t="b">
        <x:v>0</x:v>
      </x:c>
      <x:c r="T290" s="13" t="b">
        <x:v>0</x:v>
      </x:c>
    </x:row>
    <x:row r="291" ht="23" customHeight="1">
      <x:c r="A291" s="2" t="str">
        <x:v>KEN</x:v>
      </x:c>
      <x:c r="B291" s="2" t="str">
        <x:v>Kenya (Republic of)</x:v>
      </x:c>
      <x:c r="C291" s="2" t="n">
        <x:v>2020</x:v>
      </x:c>
      <x:c r="D291" s="2" t="str">
        <x:v>GHSL_SURFACE</x:v>
      </x:c>
      <x:c r="E291" s="2" t="str">
        <x:v>horizontal surface / footprint</x:v>
      </x:c>
      <x:c r="F291" s="2" t="str">
        <x:v>m2</x:v>
      </x:c>
      <x:c r="G291" s="17" t="n">
        <x:v>1180050447.52</x:v>
      </x:c>
      <x:c r="H291" s="17" t="n">
        <x:v>3054216229</x:v>
      </x:c>
      <x:c r="I291" s="17" t="n">
        <x:f>IF(AND(L291,ISNUMBER(G291),ISNUMBER(H291)),G291-H291,"n.a.")</x:f>
        <x:v>-1874165781.48</x:v>
      </x:c>
      <x:c r="J291" s="15" t="n">
        <x:f>IF(AND(L291,ISNUMBER(G291),ISNUMBER(H291),H291&gt;0),(G291-H291)/H291,"n.a.")</x:f>
        <x:v>-0.613632317085039</x:v>
      </x:c>
      <x:c r="K291" s="19" t="n">
        <x:f>IF(ISNUMBER(J291),ABS(J291),"n.a.")</x:f>
        <x:v>0.613632317085039</x:v>
      </x:c>
      <x:c r="L291" s="13" t="b">
        <x:v>1</x:v>
      </x:c>
      <x:c r="M291" s="13" t="b">
        <x:v>1</x:v>
      </x:c>
      <x:c r="N291" s="2" t="str">
        <x:v>legacy epoch_status=observed; not exact acquisition proof</x:v>
      </x:c>
      <x:c r="O291" s="2" t="str">
        <x:v>none</x:v>
      </x:c>
      <x:c r="P291" s="2" t="str">
        <x:v>historical source estimate</x:v>
      </x:c>
      <x:c r="Q291" s="2" t="str">
        <x:v>Saved country aggregation; cross-source boundary and pixel-support alignment not certified; legacy observed flag is not acquisition proof</x:v>
      </x:c>
      <x:c r="R291" s="2" t="str">
        <x:v>https://human-settlement.emergency.copernicus.eu/ghs_buS2023.php</x:v>
      </x:c>
      <x:c r="S291" s="13" t="b">
        <x:v>0</x:v>
      </x:c>
      <x:c r="T291" s="13" t="b">
        <x:v>0</x:v>
      </x:c>
    </x:row>
    <x:row r="292" ht="23" customHeight="1">
      <x:c r="A292" s="2" t="str">
        <x:v>KGZ</x:v>
      </x:c>
      <x:c r="B292" s="2" t="str">
        <x:v>Kyrgyzstan (Kyrgyz Republic)</x:v>
      </x:c>
      <x:c r="C292" s="2" t="n">
        <x:v>2020</x:v>
      </x:c>
      <x:c r="D292" s="2" t="str">
        <x:v>GHSL_SURFACE</x:v>
      </x:c>
      <x:c r="E292" s="2" t="str">
        <x:v>horizontal surface / footprint</x:v>
      </x:c>
      <x:c r="F292" s="2" t="str">
        <x:v>m2</x:v>
      </x:c>
      <x:c r="G292" s="17" t="n">
        <x:v>332236534.37</x:v>
      </x:c>
      <x:c r="H292" s="17" t="n">
        <x:v>677417918</x:v>
      </x:c>
      <x:c r="I292" s="17" t="n">
        <x:f>IF(AND(L292,ISNUMBER(G292),ISNUMBER(H292)),G292-H292,"n.a.")</x:f>
        <x:v>-345181383.63</x:v>
      </x:c>
      <x:c r="J292" s="15" t="n">
        <x:f>IF(AND(L292,ISNUMBER(G292),ISNUMBER(H292),H292&gt;0),(G292-H292)/H292,"n.a.")</x:f>
        <x:v>-0.5095545518623261</x:v>
      </x:c>
      <x:c r="K292" s="19" t="n">
        <x:f>IF(ISNUMBER(J292),ABS(J292),"n.a.")</x:f>
        <x:v>0.5095545518623261</x:v>
      </x:c>
      <x:c r="L292" s="13" t="b">
        <x:v>1</x:v>
      </x:c>
      <x:c r="M292" s="13" t="b">
        <x:v>1</x:v>
      </x:c>
      <x:c r="N292" s="2" t="str">
        <x:v>legacy epoch_status=observed; not exact acquisition proof</x:v>
      </x:c>
      <x:c r="O292" s="2" t="str">
        <x:v>none</x:v>
      </x:c>
      <x:c r="P292" s="2" t="str">
        <x:v>historical source estimate</x:v>
      </x:c>
      <x:c r="Q292" s="2" t="str">
        <x:v>Saved country aggregation; cross-source boundary and pixel-support alignment not certified; legacy observed flag is not acquisition proof</x:v>
      </x:c>
      <x:c r="R292" s="2" t="str">
        <x:v>https://human-settlement.emergency.copernicus.eu/ghs_buS2023.php</x:v>
      </x:c>
      <x:c r="S292" s="13" t="b">
        <x:v>0</x:v>
      </x:c>
      <x:c r="T292" s="13" t="b">
        <x:v>0</x:v>
      </x:c>
    </x:row>
    <x:row r="293" ht="23" customHeight="1">
      <x:c r="A293" s="2" t="str">
        <x:v>KHM</x:v>
      </x:c>
      <x:c r="B293" s="2" t="str">
        <x:v>Cambodia (Kingdom of)</x:v>
      </x:c>
      <x:c r="C293" s="2" t="n">
        <x:v>2020</x:v>
      </x:c>
      <x:c r="D293" s="2" t="str">
        <x:v>GHSL_SURFACE</x:v>
      </x:c>
      <x:c r="E293" s="2" t="str">
        <x:v>horizontal surface / footprint</x:v>
      </x:c>
      <x:c r="F293" s="2" t="str">
        <x:v>m2</x:v>
      </x:c>
      <x:c r="G293" s="17" t="n">
        <x:v>672933221.83</x:v>
      </x:c>
      <x:c r="H293" s="17" t="n">
        <x:v>810917690</x:v>
      </x:c>
      <x:c r="I293" s="17" t="n">
        <x:f>IF(AND(L293,ISNUMBER(G293),ISNUMBER(H293)),G293-H293,"n.a.")</x:f>
        <x:v>-137984468.16999996</x:v>
      </x:c>
      <x:c r="J293" s="15" t="n">
        <x:f>IF(AND(L293,ISNUMBER(G293),ISNUMBER(H293),H293&gt;0),(G293-H293)/H293,"n.a.")</x:f>
        <x:v>-0.1701584141912109</x:v>
      </x:c>
      <x:c r="K293" s="19" t="n">
        <x:f>IF(ISNUMBER(J293),ABS(J293),"n.a.")</x:f>
        <x:v>0.1701584141912109</x:v>
      </x:c>
      <x:c r="L293" s="13" t="b">
        <x:v>1</x:v>
      </x:c>
      <x:c r="M293" s="13" t="b">
        <x:v>1</x:v>
      </x:c>
      <x:c r="N293" s="2" t="str">
        <x:v>legacy epoch_status=observed; not exact acquisition proof</x:v>
      </x:c>
      <x:c r="O293" s="2" t="str">
        <x:v>none</x:v>
      </x:c>
      <x:c r="P293" s="2" t="str">
        <x:v>historical source estimate</x:v>
      </x:c>
      <x:c r="Q293" s="2" t="str">
        <x:v>Saved country aggregation; cross-source boundary and pixel-support alignment not certified; legacy observed flag is not acquisition proof</x:v>
      </x:c>
      <x:c r="R293" s="2" t="str">
        <x:v>https://human-settlement.emergency.copernicus.eu/ghs_buS2023.php</x:v>
      </x:c>
      <x:c r="S293" s="13" t="b">
        <x:v>0</x:v>
      </x:c>
      <x:c r="T293" s="13" t="b">
        <x:v>0</x:v>
      </x:c>
    </x:row>
    <x:row r="294" ht="23" customHeight="1">
      <x:c r="A294" s="2" t="str">
        <x:v>KIR</x:v>
      </x:c>
      <x:c r="B294" s="2" t="str">
        <x:v>Kiribati (Republic of)</x:v>
      </x:c>
      <x:c r="C294" s="2" t="n">
        <x:v>2020</x:v>
      </x:c>
      <x:c r="D294" s="2" t="str">
        <x:v>GHSL_SURFACE</x:v>
      </x:c>
      <x:c r="E294" s="2" t="str">
        <x:v>horizontal surface / footprint</x:v>
      </x:c>
      <x:c r="F294" s="2" t="str">
        <x:v>m2</x:v>
      </x:c>
      <x:c r="G294" s="17" t="n">
        <x:v>1721739.67</x:v>
      </x:c>
      <x:c r="H294" s="17" t="n">
        <x:v>550127</x:v>
      </x:c>
      <x:c r="I294" s="17" t="n">
        <x:f>IF(AND(L294,ISNUMBER(G294),ISNUMBER(H294)),G294-H294,"n.a.")</x:f>
        <x:v>1171612.67</x:v>
      </x:c>
      <x:c r="J294" s="15" t="n">
        <x:f>IF(AND(L294,ISNUMBER(G294),ISNUMBER(H294),H294&gt;0),(G294-H294)/H294,"n.a.")</x:f>
        <x:v>2.129713084433231</x:v>
      </x:c>
      <x:c r="K294" s="19" t="n">
        <x:f>IF(ISNUMBER(J294),ABS(J294),"n.a.")</x:f>
        <x:v>2.129713084433231</x:v>
      </x:c>
      <x:c r="L294" s="13" t="b">
        <x:v>1</x:v>
      </x:c>
      <x:c r="M294" s="13" t="b">
        <x:v>1</x:v>
      </x:c>
      <x:c r="N294" s="2" t="str">
        <x:v>legacy epoch_status=observed; not exact acquisition proof</x:v>
      </x:c>
      <x:c r="O294" s="2" t="str">
        <x:v>none</x:v>
      </x:c>
      <x:c r="P294" s="2" t="str">
        <x:v>historical source estimate</x:v>
      </x:c>
      <x:c r="Q294" s="2" t="str">
        <x:v>Saved country aggregation; cross-source boundary and pixel-support alignment not certified; legacy observed flag is not acquisition proof</x:v>
      </x:c>
      <x:c r="R294" s="2" t="str">
        <x:v>https://human-settlement.emergency.copernicus.eu/ghs_buS2023.php</x:v>
      </x:c>
      <x:c r="S294" s="13" t="b">
        <x:v>0</x:v>
      </x:c>
      <x:c r="T294" s="13" t="b">
        <x:v>0</x:v>
      </x:c>
    </x:row>
    <x:row r="295" ht="23" customHeight="1">
      <x:c r="A295" s="2" t="str">
        <x:v>KNA</x:v>
      </x:c>
      <x:c r="B295" s="2" t="str">
        <x:v>Saint Kitts and Nevis (Federation of)</x:v>
      </x:c>
      <x:c r="C295" s="2" t="n">
        <x:v>2020</x:v>
      </x:c>
      <x:c r="D295" s="2" t="str">
        <x:v>GHSL_SURFACE</x:v>
      </x:c>
      <x:c r="E295" s="2" t="str">
        <x:v>horizontal surface / footprint</x:v>
      </x:c>
      <x:c r="F295" s="2" t="str">
        <x:v>m2</x:v>
      </x:c>
      <x:c r="G295" s="17" t="n">
        <x:v>4523960.76</x:v>
      </x:c>
      <x:c r="H295" s="17" t="n">
        <x:v>7398831</x:v>
      </x:c>
      <x:c r="I295" s="17" t="n">
        <x:f>IF(AND(L295,ISNUMBER(G295),ISNUMBER(H295)),G295-H295,"n.a.")</x:f>
        <x:v>-2874870.24</x:v>
      </x:c>
      <x:c r="J295" s="15" t="n">
        <x:f>IF(AND(L295,ISNUMBER(G295),ISNUMBER(H295),H295&gt;0),(G295-H295)/H295,"n.a.")</x:f>
        <x:v>-0.3885573599396986</x:v>
      </x:c>
      <x:c r="K295" s="19" t="n">
        <x:f>IF(ISNUMBER(J295),ABS(J295),"n.a.")</x:f>
        <x:v>0.3885573599396986</x:v>
      </x:c>
      <x:c r="L295" s="13" t="b">
        <x:v>1</x:v>
      </x:c>
      <x:c r="M295" s="13" t="b">
        <x:v>1</x:v>
      </x:c>
      <x:c r="N295" s="2" t="str">
        <x:v>legacy epoch_status=observed; not exact acquisition proof</x:v>
      </x:c>
      <x:c r="O295" s="2" t="str">
        <x:v>none</x:v>
      </x:c>
      <x:c r="P295" s="2" t="str">
        <x:v>historical source estimate</x:v>
      </x:c>
      <x:c r="Q295" s="2" t="str">
        <x:v>Saved country aggregation; cross-source boundary and pixel-support alignment not certified; legacy observed flag is not acquisition proof</x:v>
      </x:c>
      <x:c r="R295" s="2" t="str">
        <x:v>https://human-settlement.emergency.copernicus.eu/ghs_buS2023.php</x:v>
      </x:c>
      <x:c r="S295" s="13" t="b">
        <x:v>0</x:v>
      </x:c>
      <x:c r="T295" s="13" t="b">
        <x:v>0</x:v>
      </x:c>
    </x:row>
    <x:row r="296" ht="23" customHeight="1">
      <x:c r="A296" s="2" t="str">
        <x:v>KOR</x:v>
      </x:c>
      <x:c r="B296" s="2" t="str">
        <x:v>Korea (Republic of)</x:v>
      </x:c>
      <x:c r="C296" s="2" t="n">
        <x:v>2020</x:v>
      </x:c>
      <x:c r="D296" s="2" t="str">
        <x:v>GHSL_SURFACE</x:v>
      </x:c>
      <x:c r="E296" s="2" t="str">
        <x:v>horizontal surface / footprint</x:v>
      </x:c>
      <x:c r="F296" s="2" t="str">
        <x:v>m2</x:v>
      </x:c>
      <x:c r="G296" s="17" t="n">
        <x:v>2559028811.37</x:v>
      </x:c>
      <x:c r="H296" s="17" t="n">
        <x:v>3476969930</x:v>
      </x:c>
      <x:c r="I296" s="17" t="n">
        <x:f>IF(AND(L296,ISNUMBER(G296),ISNUMBER(H296)),G296-H296,"n.a.")</x:f>
        <x:v>-917941118.6300001</x:v>
      </x:c>
      <x:c r="J296" s="15" t="n">
        <x:f>IF(AND(L296,ISNUMBER(G296),ISNUMBER(H296),H296&gt;0),(G296-H296)/H296,"n.a.")</x:f>
        <x:v>-0.2640060561668418</x:v>
      </x:c>
      <x:c r="K296" s="19" t="n">
        <x:f>IF(ISNUMBER(J296),ABS(J296),"n.a.")</x:f>
        <x:v>0.2640060561668418</x:v>
      </x:c>
      <x:c r="L296" s="13" t="b">
        <x:v>1</x:v>
      </x:c>
      <x:c r="M296" s="13" t="b">
        <x:v>1</x:v>
      </x:c>
      <x:c r="N296" s="2" t="str">
        <x:v>legacy epoch_status=observed; not exact acquisition proof</x:v>
      </x:c>
      <x:c r="O296" s="2" t="str">
        <x:v>none</x:v>
      </x:c>
      <x:c r="P296" s="2" t="str">
        <x:v>historical source estimate</x:v>
      </x:c>
      <x:c r="Q296" s="2" t="str">
        <x:v>Saved country aggregation; cross-source boundary and pixel-support alignment not certified; legacy observed flag is not acquisition proof</x:v>
      </x:c>
      <x:c r="R296" s="2" t="str">
        <x:v>https://human-settlement.emergency.copernicus.eu/ghs_buS2023.php</x:v>
      </x:c>
      <x:c r="S296" s="13" t="b">
        <x:v>0</x:v>
      </x:c>
      <x:c r="T296" s="13" t="b">
        <x:v>0</x:v>
      </x:c>
    </x:row>
    <x:row r="297" ht="23" customHeight="1">
      <x:c r="A297" s="2" t="str">
        <x:v>KWT</x:v>
      </x:c>
      <x:c r="B297" s="2" t="str">
        <x:v>Kuwait (State of)</x:v>
      </x:c>
      <x:c r="C297" s="2" t="n">
        <x:v>2020</x:v>
      </x:c>
      <x:c r="D297" s="2" t="str">
        <x:v>GHSL_SURFACE</x:v>
      </x:c>
      <x:c r="E297" s="2" t="str">
        <x:v>horizontal surface / footprint</x:v>
      </x:c>
      <x:c r="F297" s="2" t="str">
        <x:v>m2</x:v>
      </x:c>
      <x:c r="G297" s="17" t="n">
        <x:v>143367071.73</x:v>
      </x:c>
      <x:c r="H297" s="17" t="n">
        <x:v>213971234</x:v>
      </x:c>
      <x:c r="I297" s="17" t="n">
        <x:f>IF(AND(L297,ISNUMBER(G297),ISNUMBER(H297)),G297-H297,"n.a.")</x:f>
        <x:v>-70604162.27000001</x:v>
      </x:c>
      <x:c r="J297" s="15" t="n">
        <x:f>IF(AND(L297,ISNUMBER(G297),ISNUMBER(H297),H297&gt;0),(G297-H297)/H297,"n.a.")</x:f>
        <x:v>-0.3299703467149234</x:v>
      </x:c>
      <x:c r="K297" s="19" t="n">
        <x:f>IF(ISNUMBER(J297),ABS(J297),"n.a.")</x:f>
        <x:v>0.3299703467149234</x:v>
      </x:c>
      <x:c r="L297" s="13" t="b">
        <x:v>1</x:v>
      </x:c>
      <x:c r="M297" s="13" t="b">
        <x:v>1</x:v>
      </x:c>
      <x:c r="N297" s="2" t="str">
        <x:v>legacy epoch_status=observed; not exact acquisition proof</x:v>
      </x:c>
      <x:c r="O297" s="2" t="str">
        <x:v>none</x:v>
      </x:c>
      <x:c r="P297" s="2" t="str">
        <x:v>historical source estimate</x:v>
      </x:c>
      <x:c r="Q297" s="2" t="str">
        <x:v>Saved country aggregation; cross-source boundary and pixel-support alignment not certified; legacy observed flag is not acquisition proof</x:v>
      </x:c>
      <x:c r="R297" s="2" t="str">
        <x:v>https://human-settlement.emergency.copernicus.eu/ghs_buS2023.php</x:v>
      </x:c>
      <x:c r="S297" s="13" t="b">
        <x:v>0</x:v>
      </x:c>
      <x:c r="T297" s="13" t="b">
        <x:v>0</x:v>
      </x:c>
    </x:row>
    <x:row r="298" ht="23" customHeight="1">
      <x:c r="A298" s="2" t="str">
        <x:v>LAO</x:v>
      </x:c>
      <x:c r="B298" s="2" t="str">
        <x:v>Lao People's Democratic Republic</x:v>
      </x:c>
      <x:c r="C298" s="2" t="n">
        <x:v>2020</x:v>
      </x:c>
      <x:c r="D298" s="2" t="str">
        <x:v>GHSL_SURFACE</x:v>
      </x:c>
      <x:c r="E298" s="2" t="str">
        <x:v>horizontal surface / footprint</x:v>
      </x:c>
      <x:c r="F298" s="2" t="str">
        <x:v>m2</x:v>
      </x:c>
      <x:c r="G298" s="17" t="n">
        <x:v>333393295.19</x:v>
      </x:c>
      <x:c r="H298" s="17" t="n">
        <x:v>340316418</x:v>
      </x:c>
      <x:c r="I298" s="17" t="n">
        <x:f>IF(AND(L298,ISNUMBER(G298),ISNUMBER(H298)),G298-H298,"n.a.")</x:f>
        <x:v>-6923122.810000002</x:v>
      </x:c>
      <x:c r="J298" s="15" t="n">
        <x:f>IF(AND(L298,ISNUMBER(G298),ISNUMBER(H298),H298&gt;0),(G298-H298)/H298,"n.a.")</x:f>
        <x:v>-0.020343193698048392</x:v>
      </x:c>
      <x:c r="K298" s="19" t="n">
        <x:f>IF(ISNUMBER(J298),ABS(J298),"n.a.")</x:f>
        <x:v>0.020343193698048392</x:v>
      </x:c>
      <x:c r="L298" s="13" t="b">
        <x:v>1</x:v>
      </x:c>
      <x:c r="M298" s="13" t="b">
        <x:v>1</x:v>
      </x:c>
      <x:c r="N298" s="2" t="str">
        <x:v>legacy epoch_status=observed; not exact acquisition proof</x:v>
      </x:c>
      <x:c r="O298" s="2" t="str">
        <x:v>none</x:v>
      </x:c>
      <x:c r="P298" s="2" t="str">
        <x:v>historical source estimate</x:v>
      </x:c>
      <x:c r="Q298" s="2" t="str">
        <x:v>Saved country aggregation; cross-source boundary and pixel-support alignment not certified; legacy observed flag is not acquisition proof</x:v>
      </x:c>
      <x:c r="R298" s="2" t="str">
        <x:v>https://human-settlement.emergency.copernicus.eu/ghs_buS2023.php</x:v>
      </x:c>
      <x:c r="S298" s="13" t="b">
        <x:v>0</x:v>
      </x:c>
      <x:c r="T298" s="13" t="b">
        <x:v>0</x:v>
      </x:c>
    </x:row>
    <x:row r="299" ht="23" customHeight="1">
      <x:c r="A299" s="2" t="str">
        <x:v>LBN</x:v>
      </x:c>
      <x:c r="B299" s="2" t="str">
        <x:v>Lebanon (Lebanese Republic)</x:v>
      </x:c>
      <x:c r="C299" s="2" t="n">
        <x:v>2020</x:v>
      </x:c>
      <x:c r="D299" s="2" t="str">
        <x:v>GHSL_SURFACE</x:v>
      </x:c>
      <x:c r="E299" s="2" t="str">
        <x:v>horizontal surface / footprint</x:v>
      </x:c>
      <x:c r="F299" s="2" t="str">
        <x:v>m2</x:v>
      </x:c>
      <x:c r="G299" s="17" t="n">
        <x:v>222783609.45</x:v>
      </x:c>
      <x:c r="H299" s="17" t="n">
        <x:v>285815139</x:v>
      </x:c>
      <x:c r="I299" s="17" t="n">
        <x:f>IF(AND(L299,ISNUMBER(G299),ISNUMBER(H299)),G299-H299,"n.a.")</x:f>
        <x:v>-63031529.55000001</x:v>
      </x:c>
      <x:c r="J299" s="15" t="n">
        <x:f>IF(AND(L299,ISNUMBER(G299),ISNUMBER(H299),H299&gt;0),(G299-H299)/H299,"n.a.")</x:f>
        <x:v>-0.22053250842671426</x:v>
      </x:c>
      <x:c r="K299" s="19" t="n">
        <x:f>IF(ISNUMBER(J299),ABS(J299),"n.a.")</x:f>
        <x:v>0.22053250842671426</x:v>
      </x:c>
      <x:c r="L299" s="13" t="b">
        <x:v>1</x:v>
      </x:c>
      <x:c r="M299" s="13" t="b">
        <x:v>1</x:v>
      </x:c>
      <x:c r="N299" s="2" t="str">
        <x:v>legacy epoch_status=observed; not exact acquisition proof</x:v>
      </x:c>
      <x:c r="O299" s="2" t="str">
        <x:v>none</x:v>
      </x:c>
      <x:c r="P299" s="2" t="str">
        <x:v>historical source estimate</x:v>
      </x:c>
      <x:c r="Q299" s="2" t="str">
        <x:v>Saved country aggregation; cross-source boundary and pixel-support alignment not certified; legacy observed flag is not acquisition proof</x:v>
      </x:c>
      <x:c r="R299" s="2" t="str">
        <x:v>https://human-settlement.emergency.copernicus.eu/ghs_buS2023.php</x:v>
      </x:c>
      <x:c r="S299" s="13" t="b">
        <x:v>0</x:v>
      </x:c>
      <x:c r="T299" s="13" t="b">
        <x:v>0</x:v>
      </x:c>
    </x:row>
    <x:row r="300" ht="23" customHeight="1">
      <x:c r="A300" s="2" t="str">
        <x:v>LBR</x:v>
      </x:c>
      <x:c r="B300" s="2" t="str">
        <x:v>Liberia (Republic of)</x:v>
      </x:c>
      <x:c r="C300" s="2" t="n">
        <x:v>2020</x:v>
      </x:c>
      <x:c r="D300" s="2" t="str">
        <x:v>GHSL_SURFACE</x:v>
      </x:c>
      <x:c r="E300" s="2" t="str">
        <x:v>horizontal surface / footprint</x:v>
      </x:c>
      <x:c r="F300" s="2" t="str">
        <x:v>m2</x:v>
      </x:c>
      <x:c r="G300" s="17" t="n">
        <x:v>93713430.84</x:v>
      </x:c>
      <x:c r="H300" s="17" t="n">
        <x:v>197494951</x:v>
      </x:c>
      <x:c r="I300" s="17" t="n">
        <x:f>IF(AND(L300,ISNUMBER(G300),ISNUMBER(H300)),G300-H300,"n.a.")</x:f>
        <x:v>-103781520.16</x:v>
      </x:c>
      <x:c r="J300" s="15" t="n">
        <x:f>IF(AND(L300,ISNUMBER(G300),ISNUMBER(H300),H300&gt;0),(G300-H300)/H300,"n.a.")</x:f>
        <x:v>-0.5254894853489191</x:v>
      </x:c>
      <x:c r="K300" s="19" t="n">
        <x:f>IF(ISNUMBER(J300),ABS(J300),"n.a.")</x:f>
        <x:v>0.5254894853489191</x:v>
      </x:c>
      <x:c r="L300" s="13" t="b">
        <x:v>1</x:v>
      </x:c>
      <x:c r="M300" s="13" t="b">
        <x:v>1</x:v>
      </x:c>
      <x:c r="N300" s="2" t="str">
        <x:v>legacy epoch_status=observed; not exact acquisition proof</x:v>
      </x:c>
      <x:c r="O300" s="2" t="str">
        <x:v>none</x:v>
      </x:c>
      <x:c r="P300" s="2" t="str">
        <x:v>historical source estimate</x:v>
      </x:c>
      <x:c r="Q300" s="2" t="str">
        <x:v>Saved country aggregation; cross-source boundary and pixel-support alignment not certified; legacy observed flag is not acquisition proof</x:v>
      </x:c>
      <x:c r="R300" s="2" t="str">
        <x:v>https://human-settlement.emergency.copernicus.eu/ghs_buS2023.php</x:v>
      </x:c>
      <x:c r="S300" s="13" t="b">
        <x:v>0</x:v>
      </x:c>
      <x:c r="T300" s="13" t="b">
        <x:v>0</x:v>
      </x:c>
    </x:row>
    <x:row r="301" ht="23" customHeight="1">
      <x:c r="A301" s="2" t="str">
        <x:v>LBY</x:v>
      </x:c>
      <x:c r="B301" s="2" t="str">
        <x:v>Libya (State of)</x:v>
      </x:c>
      <x:c r="C301" s="2" t="n">
        <x:v>2020</x:v>
      </x:c>
      <x:c r="D301" s="2" t="str">
        <x:v>GHSL_SURFACE</x:v>
      </x:c>
      <x:c r="E301" s="2" t="str">
        <x:v>horizontal surface / footprint</x:v>
      </x:c>
      <x:c r="F301" s="2" t="str">
        <x:v>m2</x:v>
      </x:c>
      <x:c r="G301" s="17" t="n">
        <x:v>523048577.3</x:v>
      </x:c>
      <x:c r="H301" s="17" t="n">
        <x:v>998710141</x:v>
      </x:c>
      <x:c r="I301" s="17" t="n">
        <x:f>IF(AND(L301,ISNUMBER(G301),ISNUMBER(H301)),G301-H301,"n.a.")</x:f>
        <x:v>-475661563.7</x:v>
      </x:c>
      <x:c r="J301" s="15" t="n">
        <x:f>IF(AND(L301,ISNUMBER(G301),ISNUMBER(H301),H301&gt;0),(G301-H301)/H301,"n.a.")</x:f>
        <x:v>-0.47627589244635493</x:v>
      </x:c>
      <x:c r="K301" s="19" t="n">
        <x:f>IF(ISNUMBER(J301),ABS(J301),"n.a.")</x:f>
        <x:v>0.47627589244635493</x:v>
      </x:c>
      <x:c r="L301" s="13" t="b">
        <x:v>1</x:v>
      </x:c>
      <x:c r="M301" s="13" t="b">
        <x:v>1</x:v>
      </x:c>
      <x:c r="N301" s="2" t="str">
        <x:v>legacy epoch_status=observed; not exact acquisition proof</x:v>
      </x:c>
      <x:c r="O301" s="2" t="str">
        <x:v>none</x:v>
      </x:c>
      <x:c r="P301" s="2" t="str">
        <x:v>historical source estimate</x:v>
      </x:c>
      <x:c r="Q301" s="2" t="str">
        <x:v>Saved country aggregation; cross-source boundary and pixel-support alignment not certified; legacy observed flag is not acquisition proof</x:v>
      </x:c>
      <x:c r="R301" s="2" t="str">
        <x:v>https://human-settlement.emergency.copernicus.eu/ghs_buS2023.php</x:v>
      </x:c>
      <x:c r="S301" s="13" t="b">
        <x:v>0</x:v>
      </x:c>
      <x:c r="T301" s="13" t="b">
        <x:v>0</x:v>
      </x:c>
    </x:row>
    <x:row r="302" ht="23" customHeight="1">
      <x:c r="A302" s="2" t="str">
        <x:v>LCA</x:v>
      </x:c>
      <x:c r="B302" s="2" t="str">
        <x:v>Saint Lucia</x:v>
      </x:c>
      <x:c r="C302" s="2" t="n">
        <x:v>2020</x:v>
      </x:c>
      <x:c r="D302" s="2" t="str">
        <x:v>GHSL_SURFACE</x:v>
      </x:c>
      <x:c r="E302" s="2" t="str">
        <x:v>horizontal surface / footprint</x:v>
      </x:c>
      <x:c r="F302" s="2" t="str">
        <x:v>m2</x:v>
      </x:c>
      <x:c r="G302" s="17" t="n">
        <x:v>10226894.6</x:v>
      </x:c>
      <x:c r="H302" s="17" t="n">
        <x:v>14791926</x:v>
      </x:c>
      <x:c r="I302" s="17" t="n">
        <x:f>IF(AND(L302,ISNUMBER(G302),ISNUMBER(H302)),G302-H302,"n.a.")</x:f>
        <x:v>-4565031.4</x:v>
      </x:c>
      <x:c r="J302" s="15" t="n">
        <x:f>IF(AND(L302,ISNUMBER(G302),ISNUMBER(H302),H302&gt;0),(G302-H302)/H302,"n.a.")</x:f>
        <x:v>-0.3086164303417959</x:v>
      </x:c>
      <x:c r="K302" s="19" t="n">
        <x:f>IF(ISNUMBER(J302),ABS(J302),"n.a.")</x:f>
        <x:v>0.3086164303417959</x:v>
      </x:c>
      <x:c r="L302" s="13" t="b">
        <x:v>1</x:v>
      </x:c>
      <x:c r="M302" s="13" t="b">
        <x:v>1</x:v>
      </x:c>
      <x:c r="N302" s="2" t="str">
        <x:v>legacy epoch_status=observed; not exact acquisition proof</x:v>
      </x:c>
      <x:c r="O302" s="2" t="str">
        <x:v>none</x:v>
      </x:c>
      <x:c r="P302" s="2" t="str">
        <x:v>historical source estimate</x:v>
      </x:c>
      <x:c r="Q302" s="2" t="str">
        <x:v>Saved country aggregation; cross-source boundary and pixel-support alignment not certified; legacy observed flag is not acquisition proof</x:v>
      </x:c>
      <x:c r="R302" s="2" t="str">
        <x:v>https://human-settlement.emergency.copernicus.eu/ghs_buS2023.php</x:v>
      </x:c>
      <x:c r="S302" s="13" t="b">
        <x:v>0</x:v>
      </x:c>
      <x:c r="T302" s="13" t="b">
        <x:v>0</x:v>
      </x:c>
    </x:row>
    <x:row r="303" ht="23" customHeight="1">
      <x:c r="A303" s="2" t="str">
        <x:v>LIE</x:v>
      </x:c>
      <x:c r="B303" s="2" t="str">
        <x:v>Liechtenstein (Principality of)</x:v>
      </x:c>
      <x:c r="C303" s="2" t="n">
        <x:v>2020</x:v>
      </x:c>
      <x:c r="D303" s="2" t="str">
        <x:v>GHSL_SURFACE</x:v>
      </x:c>
      <x:c r="E303" s="2" t="str">
        <x:v>horizontal surface / footprint</x:v>
      </x:c>
      <x:c r="F303" s="2" t="str">
        <x:v>m2</x:v>
      </x:c>
      <x:c r="G303" s="17" t="n">
        <x:v>3519854.45</x:v>
      </x:c>
      <x:c r="H303" s="17" t="n">
        <x:v>5091949</x:v>
      </x:c>
      <x:c r="I303" s="17" t="n">
        <x:f>IF(AND(L303,ISNUMBER(G303),ISNUMBER(H303)),G303-H303,"n.a.")</x:f>
        <x:v>-1572094.5499999998</x:v>
      </x:c>
      <x:c r="J303" s="15" t="n">
        <x:f>IF(AND(L303,ISNUMBER(G303),ISNUMBER(H303),H303&gt;0),(G303-H303)/H303,"n.a.")</x:f>
        <x:v>-0.3087412206995788</x:v>
      </x:c>
      <x:c r="K303" s="19" t="n">
        <x:f>IF(ISNUMBER(J303),ABS(J303),"n.a.")</x:f>
        <x:v>0.3087412206995788</x:v>
      </x:c>
      <x:c r="L303" s="13" t="b">
        <x:v>1</x:v>
      </x:c>
      <x:c r="M303" s="13" t="b">
        <x:v>1</x:v>
      </x:c>
      <x:c r="N303" s="2" t="str">
        <x:v>legacy epoch_status=observed; not exact acquisition proof</x:v>
      </x:c>
      <x:c r="O303" s="2" t="str">
        <x:v>none</x:v>
      </x:c>
      <x:c r="P303" s="2" t="str">
        <x:v>historical source estimate</x:v>
      </x:c>
      <x:c r="Q303" s="2" t="str">
        <x:v>Saved country aggregation; cross-source boundary and pixel-support alignment not certified; legacy observed flag is not acquisition proof</x:v>
      </x:c>
      <x:c r="R303" s="2" t="str">
        <x:v>https://human-settlement.emergency.copernicus.eu/ghs_buS2023.php</x:v>
      </x:c>
      <x:c r="S303" s="13" t="b">
        <x:v>0</x:v>
      </x:c>
      <x:c r="T303" s="13" t="b">
        <x:v>0</x:v>
      </x:c>
    </x:row>
    <x:row r="304" ht="23" customHeight="1">
      <x:c r="A304" s="2" t="str">
        <x:v>LKA</x:v>
      </x:c>
      <x:c r="B304" s="2" t="str">
        <x:v>Sri Lanka (Democratic Socialist Republic of)</x:v>
      </x:c>
      <x:c r="C304" s="2" t="n">
        <x:v>2020</x:v>
      </x:c>
      <x:c r="D304" s="2" t="str">
        <x:v>GHSL_SURFACE</x:v>
      </x:c>
      <x:c r="E304" s="2" t="str">
        <x:v>horizontal surface / footprint</x:v>
      </x:c>
      <x:c r="F304" s="2" t="str">
        <x:v>m2</x:v>
      </x:c>
      <x:c r="G304" s="17" t="n">
        <x:v>899293602.29</x:v>
      </x:c>
      <x:c r="H304" s="17" t="n">
        <x:v>970761407</x:v>
      </x:c>
      <x:c r="I304" s="17" t="n">
        <x:f>IF(AND(L304,ISNUMBER(G304),ISNUMBER(H304)),G304-H304,"n.a.")</x:f>
        <x:v>-71467804.71000004</x:v>
      </x:c>
      <x:c r="J304" s="15" t="n">
        <x:f>IF(AND(L304,ISNUMBER(G304),ISNUMBER(H304),H304&gt;0),(G304-H304)/H304,"n.a.")</x:f>
        <x:v>-0.07362036046618409</x:v>
      </x:c>
      <x:c r="K304" s="19" t="n">
        <x:f>IF(ISNUMBER(J304),ABS(J304),"n.a.")</x:f>
        <x:v>0.07362036046618409</x:v>
      </x:c>
      <x:c r="L304" s="13" t="b">
        <x:v>1</x:v>
      </x:c>
      <x:c r="M304" s="13" t="b">
        <x:v>1</x:v>
      </x:c>
      <x:c r="N304" s="2" t="str">
        <x:v>legacy epoch_status=observed; not exact acquisition proof</x:v>
      </x:c>
      <x:c r="O304" s="2" t="str">
        <x:v>none</x:v>
      </x:c>
      <x:c r="P304" s="2" t="str">
        <x:v>historical source estimate</x:v>
      </x:c>
      <x:c r="Q304" s="2" t="str">
        <x:v>Saved country aggregation; cross-source boundary and pixel-support alignment not certified; legacy observed flag is not acquisition proof</x:v>
      </x:c>
      <x:c r="R304" s="2" t="str">
        <x:v>https://human-settlement.emergency.copernicus.eu/ghs_buS2023.php</x:v>
      </x:c>
      <x:c r="S304" s="13" t="b">
        <x:v>0</x:v>
      </x:c>
      <x:c r="T304" s="13" t="b">
        <x:v>0</x:v>
      </x:c>
    </x:row>
    <x:row r="305" ht="23" customHeight="1">
      <x:c r="A305" s="2" t="str">
        <x:v>LSO</x:v>
      </x:c>
      <x:c r="B305" s="2" t="str">
        <x:v>Lesotho (Kingdom of)</x:v>
      </x:c>
      <x:c r="C305" s="2" t="n">
        <x:v>2020</x:v>
      </x:c>
      <x:c r="D305" s="2" t="str">
        <x:v>GHSL_SURFACE</x:v>
      </x:c>
      <x:c r="E305" s="2" t="str">
        <x:v>horizontal surface / footprint</x:v>
      </x:c>
      <x:c r="F305" s="2" t="str">
        <x:v>m2</x:v>
      </x:c>
      <x:c r="G305" s="17" t="n">
        <x:v>60655167.15</x:v>
      </x:c>
      <x:c r="H305" s="17" t="n">
        <x:v>209647362</x:v>
      </x:c>
      <x:c r="I305" s="17" t="n">
        <x:f>IF(AND(L305,ISNUMBER(G305),ISNUMBER(H305)),G305-H305,"n.a.")</x:f>
        <x:v>-148992194.85</x:v>
      </x:c>
      <x:c r="J305" s="15" t="n">
        <x:f>IF(AND(L305,ISNUMBER(G305),ISNUMBER(H305),H305&gt;0),(G305-H305)/H305,"n.a.")</x:f>
        <x:v>-0.7106800363650653</x:v>
      </x:c>
      <x:c r="K305" s="19" t="n">
        <x:f>IF(ISNUMBER(J305),ABS(J305),"n.a.")</x:f>
        <x:v>0.7106800363650653</x:v>
      </x:c>
      <x:c r="L305" s="13" t="b">
        <x:v>1</x:v>
      </x:c>
      <x:c r="M305" s="13" t="b">
        <x:v>1</x:v>
      </x:c>
      <x:c r="N305" s="2" t="str">
        <x:v>legacy epoch_status=observed; not exact acquisition proof</x:v>
      </x:c>
      <x:c r="O305" s="2" t="str">
        <x:v>none</x:v>
      </x:c>
      <x:c r="P305" s="2" t="str">
        <x:v>historical source estimate</x:v>
      </x:c>
      <x:c r="Q305" s="2" t="str">
        <x:v>Saved country aggregation; cross-source boundary and pixel-support alignment not certified; legacy observed flag is not acquisition proof</x:v>
      </x:c>
      <x:c r="R305" s="2" t="str">
        <x:v>https://human-settlement.emergency.copernicus.eu/ghs_buS2023.php</x:v>
      </x:c>
      <x:c r="S305" s="13" t="b">
        <x:v>0</x:v>
      </x:c>
      <x:c r="T305" s="13" t="b">
        <x:v>0</x:v>
      </x:c>
    </x:row>
    <x:row r="306" ht="23" customHeight="1">
      <x:c r="A306" s="2" t="str">
        <x:v>LTU</x:v>
      </x:c>
      <x:c r="B306" s="2" t="str">
        <x:v>Lithuania (Republic of)</x:v>
      </x:c>
      <x:c r="C306" s="2" t="n">
        <x:v>2020</x:v>
      </x:c>
      <x:c r="D306" s="2" t="str">
        <x:v>GHSL_SURFACE</x:v>
      </x:c>
      <x:c r="E306" s="2" t="str">
        <x:v>horizontal surface / footprint</x:v>
      </x:c>
      <x:c r="F306" s="2" t="str">
        <x:v>m2</x:v>
      </x:c>
      <x:c r="G306" s="17" t="n">
        <x:v>269070067.62</x:v>
      </x:c>
      <x:c r="H306" s="17" t="n">
        <x:v>476242331</x:v>
      </x:c>
      <x:c r="I306" s="17" t="n">
        <x:f>IF(AND(L306,ISNUMBER(G306),ISNUMBER(H306)),G306-H306,"n.a.")</x:f>
        <x:v>-207172263.38</x:v>
      </x:c>
      <x:c r="J306" s="15" t="n">
        <x:f>IF(AND(L306,ISNUMBER(G306),ISNUMBER(H306),H306&gt;0),(G306-H306)/H306,"n.a.")</x:f>
        <x:v>-0.43501438216335286</x:v>
      </x:c>
      <x:c r="K306" s="19" t="n">
        <x:f>IF(ISNUMBER(J306),ABS(J306),"n.a.")</x:f>
        <x:v>0.43501438216335286</x:v>
      </x:c>
      <x:c r="L306" s="13" t="b">
        <x:v>1</x:v>
      </x:c>
      <x:c r="M306" s="13" t="b">
        <x:v>1</x:v>
      </x:c>
      <x:c r="N306" s="2" t="str">
        <x:v>legacy epoch_status=observed; not exact acquisition proof</x:v>
      </x:c>
      <x:c r="O306" s="2" t="str">
        <x:v>none</x:v>
      </x:c>
      <x:c r="P306" s="2" t="str">
        <x:v>historical source estimate</x:v>
      </x:c>
      <x:c r="Q306" s="2" t="str">
        <x:v>Saved country aggregation; cross-source boundary and pixel-support alignment not certified; legacy observed flag is not acquisition proof</x:v>
      </x:c>
      <x:c r="R306" s="2" t="str">
        <x:v>https://human-settlement.emergency.copernicus.eu/ghs_buS2023.php</x:v>
      </x:c>
      <x:c r="S306" s="13" t="b">
        <x:v>0</x:v>
      </x:c>
      <x:c r="T306" s="13" t="b">
        <x:v>0</x:v>
      </x:c>
    </x:row>
    <x:row r="307" ht="23" customHeight="1">
      <x:c r="A307" s="2" t="str">
        <x:v>LUX</x:v>
      </x:c>
      <x:c r="B307" s="2" t="str">
        <x:v>Luxembourg (Grand Duchy of)</x:v>
      </x:c>
      <x:c r="C307" s="2" t="n">
        <x:v>2020</x:v>
      </x:c>
      <x:c r="D307" s="2" t="str">
        <x:v>GHSL_SURFACE</x:v>
      </x:c>
      <x:c r="E307" s="2" t="str">
        <x:v>horizontal surface / footprint</x:v>
      </x:c>
      <x:c r="F307" s="2" t="str">
        <x:v>m2</x:v>
      </x:c>
      <x:c r="G307" s="17" t="n">
        <x:v>43297332.17</x:v>
      </x:c>
      <x:c r="H307" s="17" t="n">
        <x:v>67500481</x:v>
      </x:c>
      <x:c r="I307" s="17" t="n">
        <x:f>IF(AND(L307,ISNUMBER(G307),ISNUMBER(H307)),G307-H307,"n.a.")</x:f>
        <x:v>-24203148.83</x:v>
      </x:c>
      <x:c r="J307" s="15" t="n">
        <x:f>IF(AND(L307,ISNUMBER(G307),ISNUMBER(H307),H307&gt;0),(G307-H307)/H307,"n.a.")</x:f>
        <x:v>-0.35856261276123347</x:v>
      </x:c>
      <x:c r="K307" s="19" t="n">
        <x:f>IF(ISNUMBER(J307),ABS(J307),"n.a.")</x:f>
        <x:v>0.35856261276123347</x:v>
      </x:c>
      <x:c r="L307" s="13" t="b">
        <x:v>1</x:v>
      </x:c>
      <x:c r="M307" s="13" t="b">
        <x:v>1</x:v>
      </x:c>
      <x:c r="N307" s="2" t="str">
        <x:v>legacy epoch_status=observed; not exact acquisition proof</x:v>
      </x:c>
      <x:c r="O307" s="2" t="str">
        <x:v>none</x:v>
      </x:c>
      <x:c r="P307" s="2" t="str">
        <x:v>historical source estimate</x:v>
      </x:c>
      <x:c r="Q307" s="2" t="str">
        <x:v>Saved country aggregation; cross-source boundary and pixel-support alignment not certified; legacy observed flag is not acquisition proof</x:v>
      </x:c>
      <x:c r="R307" s="2" t="str">
        <x:v>https://human-settlement.emergency.copernicus.eu/ghs_buS2023.php</x:v>
      </x:c>
      <x:c r="S307" s="13" t="b">
        <x:v>0</x:v>
      </x:c>
      <x:c r="T307" s="13" t="b">
        <x:v>0</x:v>
      </x:c>
    </x:row>
    <x:row r="308" ht="23" customHeight="1">
      <x:c r="A308" s="2" t="str">
        <x:v>LVA</x:v>
      </x:c>
      <x:c r="B308" s="2" t="str">
        <x:v>Latvia (Republic of)</x:v>
      </x:c>
      <x:c r="C308" s="2" t="n">
        <x:v>2020</x:v>
      </x:c>
      <x:c r="D308" s="2" t="str">
        <x:v>GHSL_SURFACE</x:v>
      </x:c>
      <x:c r="E308" s="2" t="str">
        <x:v>horizontal surface / footprint</x:v>
      </x:c>
      <x:c r="F308" s="2" t="str">
        <x:v>m2</x:v>
      </x:c>
      <x:c r="G308" s="17" t="n">
        <x:v>145154805.19</x:v>
      </x:c>
      <x:c r="H308" s="17" t="n">
        <x:v>254085901</x:v>
      </x:c>
      <x:c r="I308" s="17" t="n">
        <x:f>IF(AND(L308,ISNUMBER(G308),ISNUMBER(H308)),G308-H308,"n.a.")</x:f>
        <x:v>-108931095.81</x:v>
      </x:c>
      <x:c r="J308" s="15" t="n">
        <x:f>IF(AND(L308,ISNUMBER(G308),ISNUMBER(H308),H308&gt;0),(G308-H308)/H308,"n.a.")</x:f>
        <x:v>-0.4287175926774465</x:v>
      </x:c>
      <x:c r="K308" s="19" t="n">
        <x:f>IF(ISNUMBER(J308),ABS(J308),"n.a.")</x:f>
        <x:v>0.4287175926774465</x:v>
      </x:c>
      <x:c r="L308" s="13" t="b">
        <x:v>1</x:v>
      </x:c>
      <x:c r="M308" s="13" t="b">
        <x:v>1</x:v>
      </x:c>
      <x:c r="N308" s="2" t="str">
        <x:v>legacy epoch_status=observed; not exact acquisition proof</x:v>
      </x:c>
      <x:c r="O308" s="2" t="str">
        <x:v>none</x:v>
      </x:c>
      <x:c r="P308" s="2" t="str">
        <x:v>historical source estimate</x:v>
      </x:c>
      <x:c r="Q308" s="2" t="str">
        <x:v>Saved country aggregation; cross-source boundary and pixel-support alignment not certified; legacy observed flag is not acquisition proof</x:v>
      </x:c>
      <x:c r="R308" s="2" t="str">
        <x:v>https://human-settlement.emergency.copernicus.eu/ghs_buS2023.php</x:v>
      </x:c>
      <x:c r="S308" s="13" t="b">
        <x:v>0</x:v>
      </x:c>
      <x:c r="T308" s="13" t="b">
        <x:v>0</x:v>
      </x:c>
    </x:row>
    <x:row r="309" ht="23" customHeight="1">
      <x:c r="A309" s="2" t="str">
        <x:v>MAR</x:v>
      </x:c>
      <x:c r="B309" s="2" t="str">
        <x:v>Morocco (Kingdom of)</x:v>
      </x:c>
      <x:c r="C309" s="2" t="n">
        <x:v>2020</x:v>
      </x:c>
      <x:c r="D309" s="2" t="str">
        <x:v>GHSL_SURFACE</x:v>
      </x:c>
      <x:c r="E309" s="2" t="str">
        <x:v>horizontal surface / footprint</x:v>
      </x:c>
      <x:c r="F309" s="2" t="str">
        <x:v>m2</x:v>
      </x:c>
      <x:c r="G309" s="17" t="n">
        <x:v>1189658461.93</x:v>
      </x:c>
      <x:c r="H309" s="17" t="n">
        <x:v>824943110</x:v>
      </x:c>
      <x:c r="I309" s="17" t="n">
        <x:f>IF(AND(L309,ISNUMBER(G309),ISNUMBER(H309)),G309-H309,"n.a.")</x:f>
        <x:v>364715351.93000007</x:v>
      </x:c>
      <x:c r="J309" s="15" t="n">
        <x:f>IF(AND(L309,ISNUMBER(G309),ISNUMBER(H309),H309&gt;0),(G309-H309)/H309,"n.a.")</x:f>
        <x:v>0.4421097012738249</x:v>
      </x:c>
      <x:c r="K309" s="19" t="n">
        <x:f>IF(ISNUMBER(J309),ABS(J309),"n.a.")</x:f>
        <x:v>0.4421097012738249</x:v>
      </x:c>
      <x:c r="L309" s="13" t="b">
        <x:v>1</x:v>
      </x:c>
      <x:c r="M309" s="13" t="b">
        <x:v>1</x:v>
      </x:c>
      <x:c r="N309" s="2" t="str">
        <x:v>legacy epoch_status=observed; not exact acquisition proof</x:v>
      </x:c>
      <x:c r="O309" s="2" t="str">
        <x:v>none</x:v>
      </x:c>
      <x:c r="P309" s="2" t="str">
        <x:v>historical source estimate</x:v>
      </x:c>
      <x:c r="Q309" s="2" t="str">
        <x:v>Saved country aggregation; cross-source boundary and pixel-support alignment not certified; legacy observed flag is not acquisition proof</x:v>
      </x:c>
      <x:c r="R309" s="2" t="str">
        <x:v>https://human-settlement.emergency.copernicus.eu/ghs_buS2023.php</x:v>
      </x:c>
      <x:c r="S309" s="13" t="b">
        <x:v>0</x:v>
      </x:c>
      <x:c r="T309" s="13" t="b">
        <x:v>0</x:v>
      </x:c>
    </x:row>
    <x:row r="310" ht="23" customHeight="1">
      <x:c r="A310" s="2" t="str">
        <x:v>MCO</x:v>
      </x:c>
      <x:c r="B310" s="2" t="str">
        <x:v>Monaco (Principality of)</x:v>
      </x:c>
      <x:c r="C310" s="2" t="n">
        <x:v>2020</x:v>
      </x:c>
      <x:c r="D310" s="2" t="str">
        <x:v>GHSL_SURFACE</x:v>
      </x:c>
      <x:c r="E310" s="2" t="str">
        <x:v>horizontal surface / footprint</x:v>
      </x:c>
      <x:c r="F310" s="2" t="str">
        <x:v>m2</x:v>
      </x:c>
      <x:c r="G310" s="17" t="n">
        <x:v>555169</x:v>
      </x:c>
      <x:c r="H310" s="17" t="n">
        <x:v>496930</x:v>
      </x:c>
      <x:c r="I310" s="17" t="n">
        <x:f>IF(AND(L310,ISNUMBER(G310),ISNUMBER(H310)),G310-H310,"n.a.")</x:f>
        <x:v>58239</x:v>
      </x:c>
      <x:c r="J310" s="15" t="n">
        <x:f>IF(AND(L310,ISNUMBER(G310),ISNUMBER(H310),H310&gt;0),(G310-H310)/H310,"n.a.")</x:f>
        <x:v>0.11719759322238545</x:v>
      </x:c>
      <x:c r="K310" s="19" t="n">
        <x:f>IF(ISNUMBER(J310),ABS(J310),"n.a.")</x:f>
        <x:v>0.11719759322238545</x:v>
      </x:c>
      <x:c r="L310" s="13" t="b">
        <x:v>1</x:v>
      </x:c>
      <x:c r="M310" s="13" t="b">
        <x:v>1</x:v>
      </x:c>
      <x:c r="N310" s="2" t="str">
        <x:v>legacy epoch_status=observed; not exact acquisition proof</x:v>
      </x:c>
      <x:c r="O310" s="2" t="str">
        <x:v>none</x:v>
      </x:c>
      <x:c r="P310" s="2" t="str">
        <x:v>historical source estimate</x:v>
      </x:c>
      <x:c r="Q310" s="2" t="str">
        <x:v>Saved country aggregation; cross-source boundary and pixel-support alignment not certified; legacy observed flag is not acquisition proof</x:v>
      </x:c>
      <x:c r="R310" s="2" t="str">
        <x:v>https://human-settlement.emergency.copernicus.eu/ghs_buS2023.php</x:v>
      </x:c>
      <x:c r="S310" s="13" t="b">
        <x:v>0</x:v>
      </x:c>
      <x:c r="T310" s="13" t="b">
        <x:v>0</x:v>
      </x:c>
    </x:row>
    <x:row r="311" ht="23" customHeight="1">
      <x:c r="A311" s="2" t="str">
        <x:v>MDA</x:v>
      </x:c>
      <x:c r="B311" s="2" t="str">
        <x:v>Moldova (Republic of)</x:v>
      </x:c>
      <x:c r="C311" s="2" t="n">
        <x:v>2020</x:v>
      </x:c>
      <x:c r="D311" s="2" t="str">
        <x:v>GHSL_SURFACE</x:v>
      </x:c>
      <x:c r="E311" s="2" t="str">
        <x:v>horizontal surface / footprint</x:v>
      </x:c>
      <x:c r="F311" s="2" t="str">
        <x:v>m2</x:v>
      </x:c>
      <x:c r="G311" s="17" t="n">
        <x:v>254566854.83</x:v>
      </x:c>
      <x:c r="H311" s="17" t="n">
        <x:v>488101078</x:v>
      </x:c>
      <x:c r="I311" s="17" t="n">
        <x:f>IF(AND(L311,ISNUMBER(G311),ISNUMBER(H311)),G311-H311,"n.a.")</x:f>
        <x:v>-233534223.17</x:v>
      </x:c>
      <x:c r="J311" s="15" t="n">
        <x:f>IF(AND(L311,ISNUMBER(G311),ISNUMBER(H311),H311&gt;0),(G311-H311)/H311,"n.a.")</x:f>
        <x:v>-0.4784546351073619</x:v>
      </x:c>
      <x:c r="K311" s="19" t="n">
        <x:f>IF(ISNUMBER(J311),ABS(J311),"n.a.")</x:f>
        <x:v>0.4784546351073619</x:v>
      </x:c>
      <x:c r="L311" s="13" t="b">
        <x:v>1</x:v>
      </x:c>
      <x:c r="M311" s="13" t="b">
        <x:v>1</x:v>
      </x:c>
      <x:c r="N311" s="2" t="str">
        <x:v>legacy epoch_status=observed; not exact acquisition proof</x:v>
      </x:c>
      <x:c r="O311" s="2" t="str">
        <x:v>none</x:v>
      </x:c>
      <x:c r="P311" s="2" t="str">
        <x:v>historical source estimate</x:v>
      </x:c>
      <x:c r="Q311" s="2" t="str">
        <x:v>Saved country aggregation; cross-source boundary and pixel-support alignment not certified; legacy observed flag is not acquisition proof</x:v>
      </x:c>
      <x:c r="R311" s="2" t="str">
        <x:v>https://human-settlement.emergency.copernicus.eu/ghs_buS2023.php</x:v>
      </x:c>
      <x:c r="S311" s="13" t="b">
        <x:v>0</x:v>
      </x:c>
      <x:c r="T311" s="13" t="b">
        <x:v>0</x:v>
      </x:c>
    </x:row>
    <x:row r="312" ht="23" customHeight="1">
      <x:c r="A312" s="2" t="str">
        <x:v>MDG</x:v>
      </x:c>
      <x:c r="B312" s="2" t="str">
        <x:v>Madagascar (Republic of)</x:v>
      </x:c>
      <x:c r="C312" s="2" t="n">
        <x:v>2020</x:v>
      </x:c>
      <x:c r="D312" s="2" t="str">
        <x:v>GHSL_SURFACE</x:v>
      </x:c>
      <x:c r="E312" s="2" t="str">
        <x:v>horizontal surface / footprint</x:v>
      </x:c>
      <x:c r="F312" s="2" t="str">
        <x:v>m2</x:v>
      </x:c>
      <x:c r="G312" s="17" t="n">
        <x:v>360823089.8</x:v>
      </x:c>
      <x:c r="H312" s="17" t="n">
        <x:v>801040226</x:v>
      </x:c>
      <x:c r="I312" s="17" t="n">
        <x:f>IF(AND(L312,ISNUMBER(G312),ISNUMBER(H312)),G312-H312,"n.a.")</x:f>
        <x:v>-440217136.2</x:v>
      </x:c>
      <x:c r="J312" s="15" t="n">
        <x:f>IF(AND(L312,ISNUMBER(G312),ISNUMBER(H312),H312&gt;0),(G312-H312)/H312,"n.a.")</x:f>
        <x:v>-0.5495568411067536</x:v>
      </x:c>
      <x:c r="K312" s="19" t="n">
        <x:f>IF(ISNUMBER(J312),ABS(J312),"n.a.")</x:f>
        <x:v>0.5495568411067536</x:v>
      </x:c>
      <x:c r="L312" s="13" t="b">
        <x:v>1</x:v>
      </x:c>
      <x:c r="M312" s="13" t="b">
        <x:v>1</x:v>
      </x:c>
      <x:c r="N312" s="2" t="str">
        <x:v>legacy epoch_status=observed; not exact acquisition proof</x:v>
      </x:c>
      <x:c r="O312" s="2" t="str">
        <x:v>none</x:v>
      </x:c>
      <x:c r="P312" s="2" t="str">
        <x:v>historical source estimate</x:v>
      </x:c>
      <x:c r="Q312" s="2" t="str">
        <x:v>Saved country aggregation; cross-source boundary and pixel-support alignment not certified; legacy observed flag is not acquisition proof</x:v>
      </x:c>
      <x:c r="R312" s="2" t="str">
        <x:v>https://human-settlement.emergency.copernicus.eu/ghs_buS2023.php</x:v>
      </x:c>
      <x:c r="S312" s="13" t="b">
        <x:v>0</x:v>
      </x:c>
      <x:c r="T312" s="13" t="b">
        <x:v>0</x:v>
      </x:c>
    </x:row>
    <x:row r="313" ht="23" customHeight="1">
      <x:c r="A313" s="2" t="str">
        <x:v>MDV</x:v>
      </x:c>
      <x:c r="B313" s="2" t="str">
        <x:v>Maldives (Republic of)</x:v>
      </x:c>
      <x:c r="C313" s="2" t="n">
        <x:v>2020</x:v>
      </x:c>
      <x:c r="D313" s="2" t="str">
        <x:v>GHSL_SURFACE</x:v>
      </x:c>
      <x:c r="E313" s="2" t="str">
        <x:v>horizontal surface / footprint</x:v>
      </x:c>
      <x:c r="F313" s="2" t="str">
        <x:v>m2</x:v>
      </x:c>
      <x:c r="G313" s="17" t="n">
        <x:v>2206666.83</x:v>
      </x:c>
      <x:c r="H313" s="17" t="n">
        <x:v>958826</x:v>
      </x:c>
      <x:c r="I313" s="17" t="n">
        <x:f>IF(AND(L313,ISNUMBER(G313),ISNUMBER(H313)),G313-H313,"n.a.")</x:f>
        <x:v>1247840.83</x:v>
      </x:c>
      <x:c r="J313" s="15" t="n">
        <x:f>IF(AND(L313,ISNUMBER(G313),ISNUMBER(H313),H313&gt;0),(G313-H313)/H313,"n.a.")</x:f>
        <x:v>1.3014257331361478</x:v>
      </x:c>
      <x:c r="K313" s="19" t="n">
        <x:f>IF(ISNUMBER(J313),ABS(J313),"n.a.")</x:f>
        <x:v>1.3014257331361478</x:v>
      </x:c>
      <x:c r="L313" s="13" t="b">
        <x:v>1</x:v>
      </x:c>
      <x:c r="M313" s="13" t="b">
        <x:v>1</x:v>
      </x:c>
      <x:c r="N313" s="2" t="str">
        <x:v>legacy epoch_status=observed; not exact acquisition proof</x:v>
      </x:c>
      <x:c r="O313" s="2" t="str">
        <x:v>none</x:v>
      </x:c>
      <x:c r="P313" s="2" t="str">
        <x:v>historical source estimate</x:v>
      </x:c>
      <x:c r="Q313" s="2" t="str">
        <x:v>Saved country aggregation; cross-source boundary and pixel-support alignment not certified; legacy observed flag is not acquisition proof</x:v>
      </x:c>
      <x:c r="R313" s="2" t="str">
        <x:v>https://human-settlement.emergency.copernicus.eu/ghs_buS2023.php</x:v>
      </x:c>
      <x:c r="S313" s="13" t="b">
        <x:v>0</x:v>
      </x:c>
      <x:c r="T313" s="13" t="b">
        <x:v>0</x:v>
      </x:c>
    </x:row>
    <x:row r="314" ht="23" customHeight="1">
      <x:c r="A314" s="2" t="str">
        <x:v>MEX</x:v>
      </x:c>
      <x:c r="B314" s="2" t="str">
        <x:v>Mexico (United Mexican States)</x:v>
      </x:c>
      <x:c r="C314" s="2" t="n">
        <x:v>2020</x:v>
      </x:c>
      <x:c r="D314" s="2" t="str">
        <x:v>GHSL_SURFACE</x:v>
      </x:c>
      <x:c r="E314" s="2" t="str">
        <x:v>horizontal surface / footprint</x:v>
      </x:c>
      <x:c r="F314" s="2" t="str">
        <x:v>m2</x:v>
      </x:c>
      <x:c r="G314" s="17" t="n">
        <x:v>6345872319.04</x:v>
      </x:c>
      <x:c r="H314" s="17" t="n">
        <x:v>9735626157</x:v>
      </x:c>
      <x:c r="I314" s="17" t="n">
        <x:f>IF(AND(L314,ISNUMBER(G314),ISNUMBER(H314)),G314-H314,"n.a.")</x:f>
        <x:v>-3389753837.96</x:v>
      </x:c>
      <x:c r="J314" s="15" t="n">
        <x:f>IF(AND(L314,ISNUMBER(G314),ISNUMBER(H314),H314&gt;0),(G314-H314)/H314,"n.a.")</x:f>
        <x:v>-0.3481803618273425</x:v>
      </x:c>
      <x:c r="K314" s="19" t="n">
        <x:f>IF(ISNUMBER(J314),ABS(J314),"n.a.")</x:f>
        <x:v>0.3481803618273425</x:v>
      </x:c>
      <x:c r="L314" s="13" t="b">
        <x:v>1</x:v>
      </x:c>
      <x:c r="M314" s="13" t="b">
        <x:v>1</x:v>
      </x:c>
      <x:c r="N314" s="2" t="str">
        <x:v>legacy epoch_status=observed; not exact acquisition proof</x:v>
      </x:c>
      <x:c r="O314" s="2" t="str">
        <x:v>none</x:v>
      </x:c>
      <x:c r="P314" s="2" t="str">
        <x:v>historical source estimate</x:v>
      </x:c>
      <x:c r="Q314" s="2" t="str">
        <x:v>Saved country aggregation; cross-source boundary and pixel-support alignment not certified; legacy observed flag is not acquisition proof</x:v>
      </x:c>
      <x:c r="R314" s="2" t="str">
        <x:v>https://human-settlement.emergency.copernicus.eu/ghs_buS2023.php</x:v>
      </x:c>
      <x:c r="S314" s="13" t="b">
        <x:v>0</x:v>
      </x:c>
      <x:c r="T314" s="13" t="b">
        <x:v>0</x:v>
      </x:c>
    </x:row>
    <x:row r="315" ht="23" customHeight="1">
      <x:c r="A315" s="2" t="str">
        <x:v>MHL</x:v>
      </x:c>
      <x:c r="B315" s="2" t="str">
        <x:v>Marshall Islands (Republic of the)</x:v>
      </x:c>
      <x:c r="C315" s="2" t="n">
        <x:v>2020</x:v>
      </x:c>
      <x:c r="D315" s="2" t="str">
        <x:v>GHSL_SURFACE</x:v>
      </x:c>
      <x:c r="E315" s="2" t="str">
        <x:v>horizontal surface / footprint</x:v>
      </x:c>
      <x:c r="F315" s="2" t="str">
        <x:v>m2</x:v>
      </x:c>
      <x:c r="G315" s="17" t="n">
        <x:v>198896.74</x:v>
      </x:c>
      <x:c r="H315" s="17" t="n">
        <x:v>474231</x:v>
      </x:c>
      <x:c r="I315" s="17" t="n">
        <x:f>IF(AND(L315,ISNUMBER(G315),ISNUMBER(H315)),G315-H315,"n.a.")</x:f>
        <x:v>-275334.26</x:v>
      </x:c>
      <x:c r="J315" s="15" t="n">
        <x:f>IF(AND(L315,ISNUMBER(G315),ISNUMBER(H315),H315&gt;0),(G315-H315)/H315,"n.a.")</x:f>
        <x:v>-0.5805910199881492</x:v>
      </x:c>
      <x:c r="K315" s="19" t="n">
        <x:f>IF(ISNUMBER(J315),ABS(J315),"n.a.")</x:f>
        <x:v>0.5805910199881492</x:v>
      </x:c>
      <x:c r="L315" s="13" t="b">
        <x:v>1</x:v>
      </x:c>
      <x:c r="M315" s="13" t="b">
        <x:v>1</x:v>
      </x:c>
      <x:c r="N315" s="2" t="str">
        <x:v>legacy epoch_status=observed; not exact acquisition proof</x:v>
      </x:c>
      <x:c r="O315" s="2" t="str">
        <x:v>none</x:v>
      </x:c>
      <x:c r="P315" s="2" t="str">
        <x:v>historical source estimate</x:v>
      </x:c>
      <x:c r="Q315" s="2" t="str">
        <x:v>Saved country aggregation; cross-source boundary and pixel-support alignment not certified; legacy observed flag is not acquisition proof</x:v>
      </x:c>
      <x:c r="R315" s="2" t="str">
        <x:v>https://human-settlement.emergency.copernicus.eu/ghs_buS2023.php</x:v>
      </x:c>
      <x:c r="S315" s="13" t="b">
        <x:v>0</x:v>
      </x:c>
      <x:c r="T315" s="13" t="b">
        <x:v>0</x:v>
      </x:c>
    </x:row>
    <x:row r="316" ht="23" customHeight="1">
      <x:c r="A316" s="2" t="str">
        <x:v>MKD</x:v>
      </x:c>
      <x:c r="B316" s="2" t="str">
        <x:v>North Macedonia (Republic of)</x:v>
      </x:c>
      <x:c r="C316" s="2" t="n">
        <x:v>2020</x:v>
      </x:c>
      <x:c r="D316" s="2" t="str">
        <x:v>GHSL_SURFACE</x:v>
      </x:c>
      <x:c r="E316" s="2" t="str">
        <x:v>horizontal surface / footprint</x:v>
      </x:c>
      <x:c r="F316" s="2" t="str">
        <x:v>m2</x:v>
      </x:c>
      <x:c r="G316" s="17" t="n">
        <x:v>122189801.59</x:v>
      </x:c>
      <x:c r="H316" s="17" t="n">
        <x:v>176181016</x:v>
      </x:c>
      <x:c r="I316" s="17" t="n">
        <x:f>IF(AND(L316,ISNUMBER(G316),ISNUMBER(H316)),G316-H316,"n.a.")</x:f>
        <x:v>-53991214.41</x:v>
      </x:c>
      <x:c r="J316" s="15" t="n">
        <x:f>IF(AND(L316,ISNUMBER(G316),ISNUMBER(H316),H316&gt;0),(G316-H316)/H316,"n.a.")</x:f>
        <x:v>-0.30645307670379196</x:v>
      </x:c>
      <x:c r="K316" s="19" t="n">
        <x:f>IF(ISNUMBER(J316),ABS(J316),"n.a.")</x:f>
        <x:v>0.30645307670379196</x:v>
      </x:c>
      <x:c r="L316" s="13" t="b">
        <x:v>1</x:v>
      </x:c>
      <x:c r="M316" s="13" t="b">
        <x:v>1</x:v>
      </x:c>
      <x:c r="N316" s="2" t="str">
        <x:v>legacy epoch_status=observed; not exact acquisition proof</x:v>
      </x:c>
      <x:c r="O316" s="2" t="str">
        <x:v>none</x:v>
      </x:c>
      <x:c r="P316" s="2" t="str">
        <x:v>historical source estimate</x:v>
      </x:c>
      <x:c r="Q316" s="2" t="str">
        <x:v>Saved country aggregation; cross-source boundary and pixel-support alignment not certified; legacy observed flag is not acquisition proof</x:v>
      </x:c>
      <x:c r="R316" s="2" t="str">
        <x:v>https://human-settlement.emergency.copernicus.eu/ghs_buS2023.php</x:v>
      </x:c>
      <x:c r="S316" s="13" t="b">
        <x:v>0</x:v>
      </x:c>
      <x:c r="T316" s="13" t="b">
        <x:v>0</x:v>
      </x:c>
    </x:row>
    <x:row r="317" ht="23" customHeight="1">
      <x:c r="A317" s="2" t="str">
        <x:v>MLI</x:v>
      </x:c>
      <x:c r="B317" s="2" t="str">
        <x:v>Mali (Republic of)</x:v>
      </x:c>
      <x:c r="C317" s="2" t="n">
        <x:v>2020</x:v>
      </x:c>
      <x:c r="D317" s="2" t="str">
        <x:v>GHSL_SURFACE</x:v>
      </x:c>
      <x:c r="E317" s="2" t="str">
        <x:v>horizontal surface / footprint</x:v>
      </x:c>
      <x:c r="F317" s="2" t="str">
        <x:v>m2</x:v>
      </x:c>
      <x:c r="G317" s="17" t="n">
        <x:v>323707340.75</x:v>
      </x:c>
      <x:c r="H317" s="17" t="n">
        <x:v>1032871210</x:v>
      </x:c>
      <x:c r="I317" s="17" t="n">
        <x:f>IF(AND(L317,ISNUMBER(G317),ISNUMBER(H317)),G317-H317,"n.a.")</x:f>
        <x:v>-709163869.25</x:v>
      </x:c>
      <x:c r="J317" s="15" t="n">
        <x:f>IF(AND(L317,ISNUMBER(G317),ISNUMBER(H317),H317&gt;0),(G317-H317)/H317,"n.a.")</x:f>
        <x:v>-0.6865946716144794</x:v>
      </x:c>
      <x:c r="K317" s="19" t="n">
        <x:f>IF(ISNUMBER(J317),ABS(J317),"n.a.")</x:f>
        <x:v>0.6865946716144794</x:v>
      </x:c>
      <x:c r="L317" s="13" t="b">
        <x:v>1</x:v>
      </x:c>
      <x:c r="M317" s="13" t="b">
        <x:v>1</x:v>
      </x:c>
      <x:c r="N317" s="2" t="str">
        <x:v>legacy epoch_status=observed; not exact acquisition proof</x:v>
      </x:c>
      <x:c r="O317" s="2" t="str">
        <x:v>none</x:v>
      </x:c>
      <x:c r="P317" s="2" t="str">
        <x:v>historical source estimate</x:v>
      </x:c>
      <x:c r="Q317" s="2" t="str">
        <x:v>Saved country aggregation; cross-source boundary and pixel-support alignment not certified; legacy observed flag is not acquisition proof</x:v>
      </x:c>
      <x:c r="R317" s="2" t="str">
        <x:v>https://human-settlement.emergency.copernicus.eu/ghs_buS2023.php</x:v>
      </x:c>
      <x:c r="S317" s="13" t="b">
        <x:v>0</x:v>
      </x:c>
      <x:c r="T317" s="13" t="b">
        <x:v>0</x:v>
      </x:c>
    </x:row>
    <x:row r="318" ht="23" customHeight="1">
      <x:c r="A318" s="2" t="str">
        <x:v>MLT</x:v>
      </x:c>
      <x:c r="B318" s="2" t="str">
        <x:v>Malta (Republic of)</x:v>
      </x:c>
      <x:c r="C318" s="2" t="n">
        <x:v>2020</x:v>
      </x:c>
      <x:c r="D318" s="2" t="str">
        <x:v>GHSL_SURFACE</x:v>
      </x:c>
      <x:c r="E318" s="2" t="str">
        <x:v>horizontal surface / footprint</x:v>
      </x:c>
      <x:c r="F318" s="2" t="str">
        <x:v>m2</x:v>
      </x:c>
      <x:c r="G318" s="17" t="n">
        <x:v>26330050.25</x:v>
      </x:c>
      <x:c r="H318" s="17" t="n">
        <x:v>33314899</x:v>
      </x:c>
      <x:c r="I318" s="17" t="n">
        <x:f>IF(AND(L318,ISNUMBER(G318),ISNUMBER(H318)),G318-H318,"n.a.")</x:f>
        <x:v>-6984848.75</x:v>
      </x:c>
      <x:c r="J318" s="15" t="n">
        <x:f>IF(AND(L318,ISNUMBER(G318),ISNUMBER(H318),H318&gt;0),(G318-H318)/H318,"n.a.")</x:f>
        <x:v>-0.20966141155042972</x:v>
      </x:c>
      <x:c r="K318" s="19" t="n">
        <x:f>IF(ISNUMBER(J318),ABS(J318),"n.a.")</x:f>
        <x:v>0.20966141155042972</x:v>
      </x:c>
      <x:c r="L318" s="13" t="b">
        <x:v>1</x:v>
      </x:c>
      <x:c r="M318" s="13" t="b">
        <x:v>1</x:v>
      </x:c>
      <x:c r="N318" s="2" t="str">
        <x:v>legacy epoch_status=observed; not exact acquisition proof</x:v>
      </x:c>
      <x:c r="O318" s="2" t="str">
        <x:v>none</x:v>
      </x:c>
      <x:c r="P318" s="2" t="str">
        <x:v>historical source estimate</x:v>
      </x:c>
      <x:c r="Q318" s="2" t="str">
        <x:v>Saved country aggregation; cross-source boundary and pixel-support alignment not certified; legacy observed flag is not acquisition proof</x:v>
      </x:c>
      <x:c r="R318" s="2" t="str">
        <x:v>https://human-settlement.emergency.copernicus.eu/ghs_buS2023.php</x:v>
      </x:c>
      <x:c r="S318" s="13" t="b">
        <x:v>0</x:v>
      </x:c>
      <x:c r="T318" s="13" t="b">
        <x:v>0</x:v>
      </x:c>
    </x:row>
    <x:row r="319" ht="23" customHeight="1">
      <x:c r="A319" s="2" t="str">
        <x:v>MMR</x:v>
      </x:c>
      <x:c r="B319" s="2" t="str">
        <x:v>Myanmar (Republic of the Union of)</x:v>
      </x:c>
      <x:c r="C319" s="2" t="n">
        <x:v>2020</x:v>
      </x:c>
      <x:c r="D319" s="2" t="str">
        <x:v>GHSL_SURFACE</x:v>
      </x:c>
      <x:c r="E319" s="2" t="str">
        <x:v>horizontal surface / footprint</x:v>
      </x:c>
      <x:c r="F319" s="2" t="str">
        <x:v>m2</x:v>
      </x:c>
      <x:c r="G319" s="17" t="n">
        <x:v>1377164281.68</x:v>
      </x:c>
      <x:c r="H319" s="17" t="n">
        <x:v>1218116234</x:v>
      </x:c>
      <x:c r="I319" s="17" t="n">
        <x:f>IF(AND(L319,ISNUMBER(G319),ISNUMBER(H319)),G319-H319,"n.a.")</x:f>
        <x:v>159048047.68000007</x:v>
      </x:c>
      <x:c r="J319" s="15" t="n">
        <x:f>IF(AND(L319,ISNUMBER(G319),ISNUMBER(H319),H319&gt;0),(G319-H319)/H319,"n.a.")</x:f>
        <x:v>0.13056885972016366</x:v>
      </x:c>
      <x:c r="K319" s="19" t="n">
        <x:f>IF(ISNUMBER(J319),ABS(J319),"n.a.")</x:f>
        <x:v>0.13056885972016366</x:v>
      </x:c>
      <x:c r="L319" s="13" t="b">
        <x:v>1</x:v>
      </x:c>
      <x:c r="M319" s="13" t="b">
        <x:v>1</x:v>
      </x:c>
      <x:c r="N319" s="2" t="str">
        <x:v>legacy epoch_status=observed; not exact acquisition proof</x:v>
      </x:c>
      <x:c r="O319" s="2" t="str">
        <x:v>none</x:v>
      </x:c>
      <x:c r="P319" s="2" t="str">
        <x:v>historical source estimate</x:v>
      </x:c>
      <x:c r="Q319" s="2" t="str">
        <x:v>Saved country aggregation; cross-source boundary and pixel-support alignment not certified; legacy observed flag is not acquisition proof</x:v>
      </x:c>
      <x:c r="R319" s="2" t="str">
        <x:v>https://human-settlement.emergency.copernicus.eu/ghs_buS2023.php</x:v>
      </x:c>
      <x:c r="S319" s="13" t="b">
        <x:v>0</x:v>
      </x:c>
      <x:c r="T319" s="13" t="b">
        <x:v>0</x:v>
      </x:c>
    </x:row>
    <x:row r="320" ht="23" customHeight="1">
      <x:c r="A320" s="2" t="str">
        <x:v>MNE</x:v>
      </x:c>
      <x:c r="B320" s="2" t="str">
        <x:v>Montenegro</x:v>
      </x:c>
      <x:c r="C320" s="2" t="n">
        <x:v>2020</x:v>
      </x:c>
      <x:c r="D320" s="2" t="str">
        <x:v>GHSL_SURFACE</x:v>
      </x:c>
      <x:c r="E320" s="2" t="str">
        <x:v>horizontal surface / footprint</x:v>
      </x:c>
      <x:c r="F320" s="2" t="str">
        <x:v>m2</x:v>
      </x:c>
      <x:c r="G320" s="17" t="n">
        <x:v>39447648.86</x:v>
      </x:c>
      <x:c r="H320" s="17" t="n">
        <x:v>39408936</x:v>
      </x:c>
      <x:c r="I320" s="17" t="n">
        <x:f>IF(AND(L320,ISNUMBER(G320),ISNUMBER(H320)),G320-H320,"n.a.")</x:f>
        <x:v>38712.859999999404</x:v>
      </x:c>
      <x:c r="J320" s="15" t="n">
        <x:f>IF(AND(L320,ISNUMBER(G320),ISNUMBER(H320),H320&gt;0),(G320-H320)/H320,"n.a.")</x:f>
        <x:v>0.0009823371024277184</x:v>
      </x:c>
      <x:c r="K320" s="19" t="n">
        <x:f>IF(ISNUMBER(J320),ABS(J320),"n.a.")</x:f>
        <x:v>0.0009823371024277184</x:v>
      </x:c>
      <x:c r="L320" s="13" t="b">
        <x:v>1</x:v>
      </x:c>
      <x:c r="M320" s="13" t="b">
        <x:v>1</x:v>
      </x:c>
      <x:c r="N320" s="2" t="str">
        <x:v>legacy epoch_status=observed; not exact acquisition proof</x:v>
      </x:c>
      <x:c r="O320" s="2" t="str">
        <x:v>none</x:v>
      </x:c>
      <x:c r="P320" s="2" t="str">
        <x:v>historical source estimate</x:v>
      </x:c>
      <x:c r="Q320" s="2" t="str">
        <x:v>Saved country aggregation; cross-source boundary and pixel-support alignment not certified; legacy observed flag is not acquisition proof</x:v>
      </x:c>
      <x:c r="R320" s="2" t="str">
        <x:v>https://human-settlement.emergency.copernicus.eu/ghs_buS2023.php</x:v>
      </x:c>
      <x:c r="S320" s="13" t="b">
        <x:v>0</x:v>
      </x:c>
      <x:c r="T320" s="13" t="b">
        <x:v>0</x:v>
      </x:c>
    </x:row>
    <x:row r="321" ht="23" customHeight="1">
      <x:c r="A321" s="2" t="str">
        <x:v>MNG</x:v>
      </x:c>
      <x:c r="B321" s="2" t="str">
        <x:v>Mongolia</x:v>
      </x:c>
      <x:c r="C321" s="2" t="n">
        <x:v>2020</x:v>
      </x:c>
      <x:c r="D321" s="2" t="str">
        <x:v>GHSL_SURFACE</x:v>
      </x:c>
      <x:c r="E321" s="2" t="str">
        <x:v>horizontal surface / footprint</x:v>
      </x:c>
      <x:c r="F321" s="2" t="str">
        <x:v>m2</x:v>
      </x:c>
      <x:c r="G321" s="17" t="n">
        <x:v>83111291.45</x:v>
      </x:c>
      <x:c r="H321" s="17" t="n">
        <x:v>160908341</x:v>
      </x:c>
      <x:c r="I321" s="17" t="n">
        <x:f>IF(AND(L321,ISNUMBER(G321),ISNUMBER(H321)),G321-H321,"n.a.")</x:f>
        <x:v>-77797049.55</x:v>
      </x:c>
      <x:c r="J321" s="15" t="n">
        <x:f>IF(AND(L321,ISNUMBER(G321),ISNUMBER(H321),H321&gt;0),(G321-H321)/H321,"n.a.")</x:f>
        <x:v>-0.4834867419955563</x:v>
      </x:c>
      <x:c r="K321" s="19" t="n">
        <x:f>IF(ISNUMBER(J321),ABS(J321),"n.a.")</x:f>
        <x:v>0.4834867419955563</x:v>
      </x:c>
      <x:c r="L321" s="13" t="b">
        <x:v>1</x:v>
      </x:c>
      <x:c r="M321" s="13" t="b">
        <x:v>1</x:v>
      </x:c>
      <x:c r="N321" s="2" t="str">
        <x:v>legacy epoch_status=observed; not exact acquisition proof</x:v>
      </x:c>
      <x:c r="O321" s="2" t="str">
        <x:v>none</x:v>
      </x:c>
      <x:c r="P321" s="2" t="str">
        <x:v>historical source estimate</x:v>
      </x:c>
      <x:c r="Q321" s="2" t="str">
        <x:v>Saved country aggregation; cross-source boundary and pixel-support alignment not certified; legacy observed flag is not acquisition proof</x:v>
      </x:c>
      <x:c r="R321" s="2" t="str">
        <x:v>https://human-settlement.emergency.copernicus.eu/ghs_buS2023.php</x:v>
      </x:c>
      <x:c r="S321" s="13" t="b">
        <x:v>0</x:v>
      </x:c>
      <x:c r="T321" s="13" t="b">
        <x:v>0</x:v>
      </x:c>
    </x:row>
    <x:row r="322" ht="23" customHeight="1">
      <x:c r="A322" s="2" t="str">
        <x:v>MOZ</x:v>
      </x:c>
      <x:c r="B322" s="2" t="str">
        <x:v>Mozambique (Republic of)</x:v>
      </x:c>
      <x:c r="C322" s="2" t="n">
        <x:v>2020</x:v>
      </x:c>
      <x:c r="D322" s="2" t="str">
        <x:v>GHSL_SURFACE</x:v>
      </x:c>
      <x:c r="E322" s="2" t="str">
        <x:v>horizontal surface / footprint</x:v>
      </x:c>
      <x:c r="F322" s="2" t="str">
        <x:v>m2</x:v>
      </x:c>
      <x:c r="G322" s="17" t="n">
        <x:v>540811235.53</x:v>
      </x:c>
      <x:c r="H322" s="17" t="n">
        <x:v>1936571810</x:v>
      </x:c>
      <x:c r="I322" s="17" t="n">
        <x:f>IF(AND(L322,ISNUMBER(G322),ISNUMBER(H322)),G322-H322,"n.a.")</x:f>
        <x:v>-1395760574.47</x:v>
      </x:c>
      <x:c r="J322" s="15" t="n">
        <x:f>IF(AND(L322,ISNUMBER(G322),ISNUMBER(H322),H322&gt;0),(G322-H322)/H322,"n.a.")</x:f>
        <x:v>-0.7207378354175258</x:v>
      </x:c>
      <x:c r="K322" s="19" t="n">
        <x:f>IF(ISNUMBER(J322),ABS(J322),"n.a.")</x:f>
        <x:v>0.7207378354175258</x:v>
      </x:c>
      <x:c r="L322" s="13" t="b">
        <x:v>1</x:v>
      </x:c>
      <x:c r="M322" s="13" t="b">
        <x:v>1</x:v>
      </x:c>
      <x:c r="N322" s="2" t="str">
        <x:v>legacy epoch_status=observed; not exact acquisition proof</x:v>
      </x:c>
      <x:c r="O322" s="2" t="str">
        <x:v>none</x:v>
      </x:c>
      <x:c r="P322" s="2" t="str">
        <x:v>historical source estimate</x:v>
      </x:c>
      <x:c r="Q322" s="2" t="str">
        <x:v>Saved country aggregation; cross-source boundary and pixel-support alignment not certified; legacy observed flag is not acquisition proof</x:v>
      </x:c>
      <x:c r="R322" s="2" t="str">
        <x:v>https://human-settlement.emergency.copernicus.eu/ghs_buS2023.php</x:v>
      </x:c>
      <x:c r="S322" s="13" t="b">
        <x:v>0</x:v>
      </x:c>
      <x:c r="T322" s="13" t="b">
        <x:v>0</x:v>
      </x:c>
    </x:row>
    <x:row r="323" ht="23" customHeight="1">
      <x:c r="A323" s="2" t="str">
        <x:v>MRT</x:v>
      </x:c>
      <x:c r="B323" s="2" t="str">
        <x:v>Mauritania (Islamic Republic of)</x:v>
      </x:c>
      <x:c r="C323" s="2" t="n">
        <x:v>2020</x:v>
      </x:c>
      <x:c r="D323" s="2" t="str">
        <x:v>GHSL_SURFACE</x:v>
      </x:c>
      <x:c r="E323" s="2" t="str">
        <x:v>horizontal surface / footprint</x:v>
      </x:c>
      <x:c r="F323" s="2" t="str">
        <x:v>m2</x:v>
      </x:c>
      <x:c r="G323" s="17" t="n">
        <x:v>97384454.07</x:v>
      </x:c>
      <x:c r="H323" s="17" t="n">
        <x:v>225032380</x:v>
      </x:c>
      <x:c r="I323" s="17" t="n">
        <x:f>IF(AND(L323,ISNUMBER(G323),ISNUMBER(H323)),G323-H323,"n.a.")</x:f>
        <x:v>-127647925.93</x:v>
      </x:c>
      <x:c r="J323" s="15" t="n">
        <x:f>IF(AND(L323,ISNUMBER(G323),ISNUMBER(H323),H323&gt;0),(G323-H323)/H323,"n.a.")</x:f>
        <x:v>-0.5672424827484828</x:v>
      </x:c>
      <x:c r="K323" s="19" t="n">
        <x:f>IF(ISNUMBER(J323),ABS(J323),"n.a.")</x:f>
        <x:v>0.5672424827484828</x:v>
      </x:c>
      <x:c r="L323" s="13" t="b">
        <x:v>1</x:v>
      </x:c>
      <x:c r="M323" s="13" t="b">
        <x:v>1</x:v>
      </x:c>
      <x:c r="N323" s="2" t="str">
        <x:v>legacy epoch_status=observed; not exact acquisition proof</x:v>
      </x:c>
      <x:c r="O323" s="2" t="str">
        <x:v>none</x:v>
      </x:c>
      <x:c r="P323" s="2" t="str">
        <x:v>historical source estimate</x:v>
      </x:c>
      <x:c r="Q323" s="2" t="str">
        <x:v>Saved country aggregation; cross-source boundary and pixel-support alignment not certified; legacy observed flag is not acquisition proof</x:v>
      </x:c>
      <x:c r="R323" s="2" t="str">
        <x:v>https://human-settlement.emergency.copernicus.eu/ghs_buS2023.php</x:v>
      </x:c>
      <x:c r="S323" s="13" t="b">
        <x:v>0</x:v>
      </x:c>
      <x:c r="T323" s="13" t="b">
        <x:v>0</x:v>
      </x:c>
    </x:row>
    <x:row r="324" ht="23" customHeight="1">
      <x:c r="A324" s="2" t="str">
        <x:v>MUS</x:v>
      </x:c>
      <x:c r="B324" s="2" t="str">
        <x:v>Mauritius (Republic of)</x:v>
      </x:c>
      <x:c r="C324" s="2" t="n">
        <x:v>2020</x:v>
      </x:c>
      <x:c r="D324" s="2" t="str">
        <x:v>GHSL_SURFACE</x:v>
      </x:c>
      <x:c r="E324" s="2" t="str">
        <x:v>horizontal surface / footprint</x:v>
      </x:c>
      <x:c r="F324" s="2" t="str">
        <x:v>m2</x:v>
      </x:c>
      <x:c r="G324" s="17" t="n">
        <x:v>64765689.96</x:v>
      </x:c>
      <x:c r="H324" s="17" t="n">
        <x:v>70472235</x:v>
      </x:c>
      <x:c r="I324" s="17" t="n">
        <x:f>IF(AND(L324,ISNUMBER(G324),ISNUMBER(H324)),G324-H324,"n.a.")</x:f>
        <x:v>-5706545.039999999</x:v>
      </x:c>
      <x:c r="J324" s="15" t="n">
        <x:f>IF(AND(L324,ISNUMBER(G324),ISNUMBER(H324),H324&gt;0),(G324-H324)/H324,"n.a.")</x:f>
        <x:v>-0.08097579195551267</x:v>
      </x:c>
      <x:c r="K324" s="19" t="n">
        <x:f>IF(ISNUMBER(J324),ABS(J324),"n.a.")</x:f>
        <x:v>0.08097579195551267</x:v>
      </x:c>
      <x:c r="L324" s="13" t="b">
        <x:v>1</x:v>
      </x:c>
      <x:c r="M324" s="13" t="b">
        <x:v>1</x:v>
      </x:c>
      <x:c r="N324" s="2" t="str">
        <x:v>legacy epoch_status=observed; not exact acquisition proof</x:v>
      </x:c>
      <x:c r="O324" s="2" t="str">
        <x:v>none</x:v>
      </x:c>
      <x:c r="P324" s="2" t="str">
        <x:v>historical source estimate</x:v>
      </x:c>
      <x:c r="Q324" s="2" t="str">
        <x:v>Saved country aggregation; cross-source boundary and pixel-support alignment not certified; legacy observed flag is not acquisition proof</x:v>
      </x:c>
      <x:c r="R324" s="2" t="str">
        <x:v>https://human-settlement.emergency.copernicus.eu/ghs_buS2023.php</x:v>
      </x:c>
      <x:c r="S324" s="13" t="b">
        <x:v>0</x:v>
      </x:c>
      <x:c r="T324" s="13" t="b">
        <x:v>0</x:v>
      </x:c>
    </x:row>
    <x:row r="325" ht="23" customHeight="1">
      <x:c r="A325" s="2" t="str">
        <x:v>MWI</x:v>
      </x:c>
      <x:c r="B325" s="2" t="str">
        <x:v>Malawi (Republic of)</x:v>
      </x:c>
      <x:c r="C325" s="2" t="n">
        <x:v>2020</x:v>
      </x:c>
      <x:c r="D325" s="2" t="str">
        <x:v>GHSL_SURFACE</x:v>
      </x:c>
      <x:c r="E325" s="2" t="str">
        <x:v>horizontal surface / footprint</x:v>
      </x:c>
      <x:c r="F325" s="2" t="str">
        <x:v>m2</x:v>
      </x:c>
      <x:c r="G325" s="17" t="n">
        <x:v>330771641.02</x:v>
      </x:c>
      <x:c r="H325" s="17" t="n">
        <x:v>1096174712</x:v>
      </x:c>
      <x:c r="I325" s="17" t="n">
        <x:f>IF(AND(L325,ISNUMBER(G325),ISNUMBER(H325)),G325-H325,"n.a.")</x:f>
        <x:v>-765403070.98</x:v>
      </x:c>
      <x:c r="J325" s="15" t="n">
        <x:f>IF(AND(L325,ISNUMBER(G325),ISNUMBER(H325),H325&gt;0),(G325-H325)/H325,"n.a.")</x:f>
        <x:v>-0.6982491591906017</x:v>
      </x:c>
      <x:c r="K325" s="19" t="n">
        <x:f>IF(ISNUMBER(J325),ABS(J325),"n.a.")</x:f>
        <x:v>0.6982491591906017</x:v>
      </x:c>
      <x:c r="L325" s="13" t="b">
        <x:v>1</x:v>
      </x:c>
      <x:c r="M325" s="13" t="b">
        <x:v>1</x:v>
      </x:c>
      <x:c r="N325" s="2" t="str">
        <x:v>legacy epoch_status=observed; not exact acquisition proof</x:v>
      </x:c>
      <x:c r="O325" s="2" t="str">
        <x:v>none</x:v>
      </x:c>
      <x:c r="P325" s="2" t="str">
        <x:v>historical source estimate</x:v>
      </x:c>
      <x:c r="Q325" s="2" t="str">
        <x:v>Saved country aggregation; cross-source boundary and pixel-support alignment not certified; legacy observed flag is not acquisition proof</x:v>
      </x:c>
      <x:c r="R325" s="2" t="str">
        <x:v>https://human-settlement.emergency.copernicus.eu/ghs_buS2023.php</x:v>
      </x:c>
      <x:c r="S325" s="13" t="b">
        <x:v>0</x:v>
      </x:c>
      <x:c r="T325" s="13" t="b">
        <x:v>0</x:v>
      </x:c>
    </x:row>
    <x:row r="326" ht="23" customHeight="1">
      <x:c r="A326" s="2" t="str">
        <x:v>MYS</x:v>
      </x:c>
      <x:c r="B326" s="2" t="str">
        <x:v>Malaysia</x:v>
      </x:c>
      <x:c r="C326" s="2" t="n">
        <x:v>2020</x:v>
      </x:c>
      <x:c r="D326" s="2" t="str">
        <x:v>GHSL_SURFACE</x:v>
      </x:c>
      <x:c r="E326" s="2" t="str">
        <x:v>horizontal surface / footprint</x:v>
      </x:c>
      <x:c r="F326" s="2" t="str">
        <x:v>m2</x:v>
      </x:c>
      <x:c r="G326" s="17" t="n">
        <x:v>1923172736.52</x:v>
      </x:c>
      <x:c r="H326" s="17" t="n">
        <x:v>2020918803</x:v>
      </x:c>
      <x:c r="I326" s="17" t="n">
        <x:f>IF(AND(L326,ISNUMBER(G326),ISNUMBER(H326)),G326-H326,"n.a.")</x:f>
        <x:v>-97746066.48000002</x:v>
      </x:c>
      <x:c r="J326" s="15" t="n">
        <x:f>IF(AND(L326,ISNUMBER(G326),ISNUMBER(H326),H326&gt;0),(G326-H326)/H326,"n.a.")</x:f>
        <x:v>-0.04836714188363164</x:v>
      </x:c>
      <x:c r="K326" s="19" t="n">
        <x:f>IF(ISNUMBER(J326),ABS(J326),"n.a.")</x:f>
        <x:v>0.04836714188363164</x:v>
      </x:c>
      <x:c r="L326" s="13" t="b">
        <x:v>1</x:v>
      </x:c>
      <x:c r="M326" s="13" t="b">
        <x:v>1</x:v>
      </x:c>
      <x:c r="N326" s="2" t="str">
        <x:v>legacy epoch_status=observed; not exact acquisition proof</x:v>
      </x:c>
      <x:c r="O326" s="2" t="str">
        <x:v>none</x:v>
      </x:c>
      <x:c r="P326" s="2" t="str">
        <x:v>historical source estimate</x:v>
      </x:c>
      <x:c r="Q326" s="2" t="str">
        <x:v>Saved country aggregation; cross-source boundary and pixel-support alignment not certified; legacy observed flag is not acquisition proof</x:v>
      </x:c>
      <x:c r="R326" s="2" t="str">
        <x:v>https://human-settlement.emergency.copernicus.eu/ghs_buS2023.php</x:v>
      </x:c>
      <x:c r="S326" s="13" t="b">
        <x:v>0</x:v>
      </x:c>
      <x:c r="T326" s="13" t="b">
        <x:v>0</x:v>
      </x:c>
    </x:row>
    <x:row r="327" ht="23" customHeight="1">
      <x:c r="A327" s="2" t="str">
        <x:v>NAM</x:v>
      </x:c>
      <x:c r="B327" s="2" t="str">
        <x:v>Namibia (Republic of)</x:v>
      </x:c>
      <x:c r="C327" s="2" t="n">
        <x:v>2020</x:v>
      </x:c>
      <x:c r="D327" s="2" t="str">
        <x:v>GHSL_SURFACE</x:v>
      </x:c>
      <x:c r="E327" s="2" t="str">
        <x:v>horizontal surface / footprint</x:v>
      </x:c>
      <x:c r="F327" s="2" t="str">
        <x:v>m2</x:v>
      </x:c>
      <x:c r="G327" s="17" t="n">
        <x:v>112405609.31</x:v>
      </x:c>
      <x:c r="H327" s="17" t="n">
        <x:v>299797231</x:v>
      </x:c>
      <x:c r="I327" s="17" t="n">
        <x:f>IF(AND(L327,ISNUMBER(G327),ISNUMBER(H327)),G327-H327,"n.a.")</x:f>
        <x:v>-187391621.69</x:v>
      </x:c>
      <x:c r="J327" s="15" t="n">
        <x:f>IF(AND(L327,ISNUMBER(G327),ISNUMBER(H327),H327&gt;0),(G327-H327)/H327,"n.a.")</x:f>
        <x:v>-0.6250612157588606</x:v>
      </x:c>
      <x:c r="K327" s="19" t="n">
        <x:f>IF(ISNUMBER(J327),ABS(J327),"n.a.")</x:f>
        <x:v>0.6250612157588606</x:v>
      </x:c>
      <x:c r="L327" s="13" t="b">
        <x:v>1</x:v>
      </x:c>
      <x:c r="M327" s="13" t="b">
        <x:v>1</x:v>
      </x:c>
      <x:c r="N327" s="2" t="str">
        <x:v>legacy epoch_status=observed; not exact acquisition proof</x:v>
      </x:c>
      <x:c r="O327" s="2" t="str">
        <x:v>none</x:v>
      </x:c>
      <x:c r="P327" s="2" t="str">
        <x:v>historical source estimate</x:v>
      </x:c>
      <x:c r="Q327" s="2" t="str">
        <x:v>Saved country aggregation; cross-source boundary and pixel-support alignment not certified; legacy observed flag is not acquisition proof</x:v>
      </x:c>
      <x:c r="R327" s="2" t="str">
        <x:v>https://human-settlement.emergency.copernicus.eu/ghs_buS2023.php</x:v>
      </x:c>
      <x:c r="S327" s="13" t="b">
        <x:v>0</x:v>
      </x:c>
      <x:c r="T327" s="13" t="b">
        <x:v>0</x:v>
      </x:c>
    </x:row>
    <x:row r="328" ht="23" customHeight="1">
      <x:c r="A328" s="2" t="str">
        <x:v>NER</x:v>
      </x:c>
      <x:c r="B328" s="2" t="str">
        <x:v>Niger (Republic of the)</x:v>
      </x:c>
      <x:c r="C328" s="2" t="n">
        <x:v>2020</x:v>
      </x:c>
      <x:c r="D328" s="2" t="str">
        <x:v>GHSL_SURFACE</x:v>
      </x:c>
      <x:c r="E328" s="2" t="str">
        <x:v>horizontal surface / footprint</x:v>
      </x:c>
      <x:c r="F328" s="2" t="str">
        <x:v>m2</x:v>
      </x:c>
      <x:c r="G328" s="17" t="n">
        <x:v>203236516.43</x:v>
      </x:c>
      <x:c r="H328" s="17" t="n">
        <x:v>724358609</x:v>
      </x:c>
      <x:c r="I328" s="17" t="n">
        <x:f>IF(AND(L328,ISNUMBER(G328),ISNUMBER(H328)),G328-H328,"n.a.")</x:f>
        <x:v>-521122092.57</x:v>
      </x:c>
      <x:c r="J328" s="15" t="n">
        <x:f>IF(AND(L328,ISNUMBER(G328),ISNUMBER(H328),H328&gt;0),(G328-H328)/H328,"n.a.")</x:f>
        <x:v>-0.7194255526132637</x:v>
      </x:c>
      <x:c r="K328" s="19" t="n">
        <x:f>IF(ISNUMBER(J328),ABS(J328),"n.a.")</x:f>
        <x:v>0.7194255526132637</x:v>
      </x:c>
      <x:c r="L328" s="13" t="b">
        <x:v>1</x:v>
      </x:c>
      <x:c r="M328" s="13" t="b">
        <x:v>1</x:v>
      </x:c>
      <x:c r="N328" s="2" t="str">
        <x:v>legacy epoch_status=observed; not exact acquisition proof</x:v>
      </x:c>
      <x:c r="O328" s="2" t="str">
        <x:v>none</x:v>
      </x:c>
      <x:c r="P328" s="2" t="str">
        <x:v>historical source estimate</x:v>
      </x:c>
      <x:c r="Q328" s="2" t="str">
        <x:v>Saved country aggregation; cross-source boundary and pixel-support alignment not certified; legacy observed flag is not acquisition proof</x:v>
      </x:c>
      <x:c r="R328" s="2" t="str">
        <x:v>https://human-settlement.emergency.copernicus.eu/ghs_buS2023.php</x:v>
      </x:c>
      <x:c r="S328" s="13" t="b">
        <x:v>0</x:v>
      </x:c>
      <x:c r="T328" s="13" t="b">
        <x:v>0</x:v>
      </x:c>
    </x:row>
    <x:row r="329" ht="23" customHeight="1">
      <x:c r="A329" s="2" t="str">
        <x:v>NGA</x:v>
      </x:c>
      <x:c r="B329" s="2" t="str">
        <x:v>Nigeria (Federal Republic of)</x:v>
      </x:c>
      <x:c r="C329" s="2" t="n">
        <x:v>2020</x:v>
      </x:c>
      <x:c r="D329" s="2" t="str">
        <x:v>GHSL_SURFACE</x:v>
      </x:c>
      <x:c r="E329" s="2" t="str">
        <x:v>horizontal surface / footprint</x:v>
      </x:c>
      <x:c r="F329" s="2" t="str">
        <x:v>m2</x:v>
      </x:c>
      <x:c r="G329" s="17" t="n">
        <x:v>4102804870.27</x:v>
      </x:c>
      <x:c r="H329" s="17" t="n">
        <x:v>8179421162</x:v>
      </x:c>
      <x:c r="I329" s="17" t="n">
        <x:f>IF(AND(L329,ISNUMBER(G329),ISNUMBER(H329)),G329-H329,"n.a.")</x:f>
        <x:v>-4076616291.73</x:v>
      </x:c>
      <x:c r="J329" s="15" t="n">
        <x:f>IF(AND(L329,ISNUMBER(G329),ISNUMBER(H329),H329&gt;0),(G329-H329)/H329,"n.a.")</x:f>
        <x:v>-0.49839911785801744</x:v>
      </x:c>
      <x:c r="K329" s="19" t="n">
        <x:f>IF(ISNUMBER(J329),ABS(J329),"n.a.")</x:f>
        <x:v>0.49839911785801744</x:v>
      </x:c>
      <x:c r="L329" s="13" t="b">
        <x:v>1</x:v>
      </x:c>
      <x:c r="M329" s="13" t="b">
        <x:v>1</x:v>
      </x:c>
      <x:c r="N329" s="2" t="str">
        <x:v>legacy epoch_status=observed; not exact acquisition proof</x:v>
      </x:c>
      <x:c r="O329" s="2" t="str">
        <x:v>none</x:v>
      </x:c>
      <x:c r="P329" s="2" t="str">
        <x:v>historical source estimate</x:v>
      </x:c>
      <x:c r="Q329" s="2" t="str">
        <x:v>Saved country aggregation; cross-source boundary and pixel-support alignment not certified; legacy observed flag is not acquisition proof</x:v>
      </x:c>
      <x:c r="R329" s="2" t="str">
        <x:v>https://human-settlement.emergency.copernicus.eu/ghs_buS2023.php</x:v>
      </x:c>
      <x:c r="S329" s="13" t="b">
        <x:v>0</x:v>
      </x:c>
      <x:c r="T329" s="13" t="b">
        <x:v>0</x:v>
      </x:c>
    </x:row>
    <x:row r="330" ht="23" customHeight="1">
      <x:c r="A330" s="2" t="str">
        <x:v>NIC</x:v>
      </x:c>
      <x:c r="B330" s="2" t="str">
        <x:v>Nicaragua (Republic of)</x:v>
      </x:c>
      <x:c r="C330" s="2" t="n">
        <x:v>2020</x:v>
      </x:c>
      <x:c r="D330" s="2" t="str">
        <x:v>GHSL_SURFACE</x:v>
      </x:c>
      <x:c r="E330" s="2" t="str">
        <x:v>horizontal surface / footprint</x:v>
      </x:c>
      <x:c r="F330" s="2" t="str">
        <x:v>m2</x:v>
      </x:c>
      <x:c r="G330" s="17" t="n">
        <x:v>201940338.65</x:v>
      </x:c>
      <x:c r="H330" s="17" t="n">
        <x:v>294619476</x:v>
      </x:c>
      <x:c r="I330" s="17" t="n">
        <x:f>IF(AND(L330,ISNUMBER(G330),ISNUMBER(H330)),G330-H330,"n.a.")</x:f>
        <x:v>-92679137.35</x:v>
      </x:c>
      <x:c r="J330" s="15" t="n">
        <x:f>IF(AND(L330,ISNUMBER(G330),ISNUMBER(H330),H330&gt;0),(G330-H330)/H330,"n.a.")</x:f>
        <x:v>-0.31457233787897987</x:v>
      </x:c>
      <x:c r="K330" s="19" t="n">
        <x:f>IF(ISNUMBER(J330),ABS(J330),"n.a.")</x:f>
        <x:v>0.31457233787897987</x:v>
      </x:c>
      <x:c r="L330" s="13" t="b">
        <x:v>1</x:v>
      </x:c>
      <x:c r="M330" s="13" t="b">
        <x:v>1</x:v>
      </x:c>
      <x:c r="N330" s="2" t="str">
        <x:v>legacy epoch_status=observed; not exact acquisition proof</x:v>
      </x:c>
      <x:c r="O330" s="2" t="str">
        <x:v>none</x:v>
      </x:c>
      <x:c r="P330" s="2" t="str">
        <x:v>historical source estimate</x:v>
      </x:c>
      <x:c r="Q330" s="2" t="str">
        <x:v>Saved country aggregation; cross-source boundary and pixel-support alignment not certified; legacy observed flag is not acquisition proof</x:v>
      </x:c>
      <x:c r="R330" s="2" t="str">
        <x:v>https://human-settlement.emergency.copernicus.eu/ghs_buS2023.php</x:v>
      </x:c>
      <x:c r="S330" s="13" t="b">
        <x:v>0</x:v>
      </x:c>
      <x:c r="T330" s="13" t="b">
        <x:v>0</x:v>
      </x:c>
    </x:row>
    <x:row r="331" ht="23" customHeight="1">
      <x:c r="A331" s="2" t="str">
        <x:v>NLD</x:v>
      </x:c>
      <x:c r="B331" s="2" t="str">
        <x:v>Netherlands (Kingdom of the)</x:v>
      </x:c>
      <x:c r="C331" s="2" t="n">
        <x:v>2020</x:v>
      </x:c>
      <x:c r="D331" s="2" t="str">
        <x:v>GHSL_SURFACE</x:v>
      </x:c>
      <x:c r="E331" s="2" t="str">
        <x:v>horizontal surface / footprint</x:v>
      </x:c>
      <x:c r="F331" s="2" t="str">
        <x:v>m2</x:v>
      </x:c>
      <x:c r="G331" s="17" t="n">
        <x:v>1263819429.15</x:v>
      </x:c>
      <x:c r="H331" s="17" t="n">
        <x:v>1958304344</x:v>
      </x:c>
      <x:c r="I331" s="17" t="n">
        <x:f>IF(AND(L331,ISNUMBER(G331),ISNUMBER(H331)),G331-H331,"n.a.")</x:f>
        <x:v>-694484914.8499999</x:v>
      </x:c>
      <x:c r="J331" s="15" t="n">
        <x:f>IF(AND(L331,ISNUMBER(G331),ISNUMBER(H331),H331&gt;0),(G331-H331)/H331,"n.a.")</x:f>
        <x:v>-0.3546358445140639</x:v>
      </x:c>
      <x:c r="K331" s="19" t="n">
        <x:f>IF(ISNUMBER(J331),ABS(J331),"n.a.")</x:f>
        <x:v>0.3546358445140639</x:v>
      </x:c>
      <x:c r="L331" s="13" t="b">
        <x:v>1</x:v>
      </x:c>
      <x:c r="M331" s="13" t="b">
        <x:v>1</x:v>
      </x:c>
      <x:c r="N331" s="2" t="str">
        <x:v>legacy epoch_status=observed; not exact acquisition proof</x:v>
      </x:c>
      <x:c r="O331" s="2" t="str">
        <x:v>none</x:v>
      </x:c>
      <x:c r="P331" s="2" t="str">
        <x:v>historical source estimate</x:v>
      </x:c>
      <x:c r="Q331" s="2" t="str">
        <x:v>Saved country aggregation; cross-source boundary and pixel-support alignment not certified; legacy observed flag is not acquisition proof</x:v>
      </x:c>
      <x:c r="R331" s="2" t="str">
        <x:v>https://human-settlement.emergency.copernicus.eu/ghs_buS2023.php</x:v>
      </x:c>
      <x:c r="S331" s="13" t="b">
        <x:v>0</x:v>
      </x:c>
      <x:c r="T331" s="13" t="b">
        <x:v>0</x:v>
      </x:c>
    </x:row>
    <x:row r="332" ht="23" customHeight="1">
      <x:c r="A332" s="2" t="str">
        <x:v>NOR</x:v>
      </x:c>
      <x:c r="B332" s="2" t="str">
        <x:v>Norway (Kingdom of)</x:v>
      </x:c>
      <x:c r="C332" s="2" t="n">
        <x:v>2020</x:v>
      </x:c>
      <x:c r="D332" s="2" t="str">
        <x:v>GHSL_SURFACE</x:v>
      </x:c>
      <x:c r="E332" s="2" t="str">
        <x:v>horizontal surface / footprint</x:v>
      </x:c>
      <x:c r="F332" s="2" t="str">
        <x:v>m2</x:v>
      </x:c>
      <x:c r="G332" s="17" t="n">
        <x:v>478516256.61</x:v>
      </x:c>
      <x:c r="H332" s="17" t="n">
        <x:v>366859395</x:v>
      </x:c>
      <x:c r="I332" s="17" t="n">
        <x:f>IF(AND(L332,ISNUMBER(G332),ISNUMBER(H332)),G332-H332,"n.a.")</x:f>
        <x:v>111656861.61000001</x:v>
      </x:c>
      <x:c r="J332" s="15" t="n">
        <x:f>IF(AND(L332,ISNUMBER(G332),ISNUMBER(H332),H332&gt;0),(G332-H332)/H332,"n.a.")</x:f>
        <x:v>0.304358735613136</x:v>
      </x:c>
      <x:c r="K332" s="19" t="n">
        <x:f>IF(ISNUMBER(J332),ABS(J332),"n.a.")</x:f>
        <x:v>0.304358735613136</x:v>
      </x:c>
      <x:c r="L332" s="13" t="b">
        <x:v>1</x:v>
      </x:c>
      <x:c r="M332" s="13" t="b">
        <x:v>1</x:v>
      </x:c>
      <x:c r="N332" s="2" t="str">
        <x:v>legacy epoch_status=observed; not exact acquisition proof</x:v>
      </x:c>
      <x:c r="O332" s="2" t="str">
        <x:v>none</x:v>
      </x:c>
      <x:c r="P332" s="2" t="str">
        <x:v>historical source estimate</x:v>
      </x:c>
      <x:c r="Q332" s="2" t="str">
        <x:v>Saved country aggregation; cross-source boundary and pixel-support alignment not certified; legacy observed flag is not acquisition proof</x:v>
      </x:c>
      <x:c r="R332" s="2" t="str">
        <x:v>https://human-settlement.emergency.copernicus.eu/ghs_buS2023.php</x:v>
      </x:c>
      <x:c r="S332" s="13" t="b">
        <x:v>0</x:v>
      </x:c>
      <x:c r="T332" s="13" t="b">
        <x:v>0</x:v>
      </x:c>
    </x:row>
    <x:row r="333" ht="23" customHeight="1">
      <x:c r="A333" s="2" t="str">
        <x:v>NPL</x:v>
      </x:c>
      <x:c r="B333" s="2" t="str">
        <x:v>Nepal (Federal Democratic Republic of)</x:v>
      </x:c>
      <x:c r="C333" s="2" t="n">
        <x:v>2020</x:v>
      </x:c>
      <x:c r="D333" s="2" t="str">
        <x:v>GHSL_SURFACE</x:v>
      </x:c>
      <x:c r="E333" s="2" t="str">
        <x:v>horizontal surface / footprint</x:v>
      </x:c>
      <x:c r="F333" s="2" t="str">
        <x:v>m2</x:v>
      </x:c>
      <x:c r="G333" s="17" t="n">
        <x:v>656084354.5</x:v>
      </x:c>
      <x:c r="H333" s="17" t="n">
        <x:v>1102008802</x:v>
      </x:c>
      <x:c r="I333" s="17" t="n">
        <x:f>IF(AND(L333,ISNUMBER(G333),ISNUMBER(H333)),G333-H333,"n.a.")</x:f>
        <x:v>-445924447.5</x:v>
      </x:c>
      <x:c r="J333" s="15" t="n">
        <x:f>IF(AND(L333,ISNUMBER(G333),ISNUMBER(H333),H333&gt;0),(G333-H333)/H333,"n.a.")</x:f>
        <x:v>-0.40464690181304014</x:v>
      </x:c>
      <x:c r="K333" s="19" t="n">
        <x:f>IF(ISNUMBER(J333),ABS(J333),"n.a.")</x:f>
        <x:v>0.40464690181304014</x:v>
      </x:c>
      <x:c r="L333" s="13" t="b">
        <x:v>1</x:v>
      </x:c>
      <x:c r="M333" s="13" t="b">
        <x:v>1</x:v>
      </x:c>
      <x:c r="N333" s="2" t="str">
        <x:v>legacy epoch_status=observed; not exact acquisition proof</x:v>
      </x:c>
      <x:c r="O333" s="2" t="str">
        <x:v>none</x:v>
      </x:c>
      <x:c r="P333" s="2" t="str">
        <x:v>historical source estimate</x:v>
      </x:c>
      <x:c r="Q333" s="2" t="str">
        <x:v>Saved country aggregation; cross-source boundary and pixel-support alignment not certified; legacy observed flag is not acquisition proof</x:v>
      </x:c>
      <x:c r="R333" s="2" t="str">
        <x:v>https://human-settlement.emergency.copernicus.eu/ghs_buS2023.php</x:v>
      </x:c>
      <x:c r="S333" s="13" t="b">
        <x:v>0</x:v>
      </x:c>
      <x:c r="T333" s="13" t="b">
        <x:v>0</x:v>
      </x:c>
    </x:row>
    <x:row r="334" ht="23" customHeight="1">
      <x:c r="A334" s="2" t="str">
        <x:v>NRU</x:v>
      </x:c>
      <x:c r="B334" s="2" t="str">
        <x:v>Nauru (Republic of)</x:v>
      </x:c>
      <x:c r="C334" s="2" t="n">
        <x:v>2020</x:v>
      </x:c>
      <x:c r="D334" s="2" t="str">
        <x:v>GHSL_SURFACE</x:v>
      </x:c>
      <x:c r="E334" s="2" t="str">
        <x:v>horizontal surface / footprint</x:v>
      </x:c>
      <x:c r="F334" s="2" t="str">
        <x:v>m2</x:v>
      </x:c>
      <x:c r="G334" s="17" t="n">
        <x:v>405989.38</x:v>
      </x:c>
      <x:c r="H334" s="17" t="n">
        <x:v>462272</x:v>
      </x:c>
      <x:c r="I334" s="17" t="n">
        <x:f>IF(AND(L334,ISNUMBER(G334),ISNUMBER(H334)),G334-H334,"n.a.")</x:f>
        <x:v>-56282.619999999995</x:v>
      </x:c>
      <x:c r="J334" s="15" t="n">
        <x:f>IF(AND(L334,ISNUMBER(G334),ISNUMBER(H334),H334&gt;0),(G334-H334)/H334,"n.a.")</x:f>
        <x:v>-0.12175217188148968</x:v>
      </x:c>
      <x:c r="K334" s="19" t="n">
        <x:f>IF(ISNUMBER(J334),ABS(J334),"n.a.")</x:f>
        <x:v>0.12175217188148968</x:v>
      </x:c>
      <x:c r="L334" s="13" t="b">
        <x:v>1</x:v>
      </x:c>
      <x:c r="M334" s="13" t="b">
        <x:v>1</x:v>
      </x:c>
      <x:c r="N334" s="2" t="str">
        <x:v>legacy epoch_status=observed; not exact acquisition proof</x:v>
      </x:c>
      <x:c r="O334" s="2" t="str">
        <x:v>none</x:v>
      </x:c>
      <x:c r="P334" s="2" t="str">
        <x:v>historical source estimate</x:v>
      </x:c>
      <x:c r="Q334" s="2" t="str">
        <x:v>Saved country aggregation; cross-source boundary and pixel-support alignment not certified; legacy observed flag is not acquisition proof</x:v>
      </x:c>
      <x:c r="R334" s="2" t="str">
        <x:v>https://human-settlement.emergency.copernicus.eu/ghs_buS2023.php</x:v>
      </x:c>
      <x:c r="S334" s="13" t="b">
        <x:v>0</x:v>
      </x:c>
      <x:c r="T334" s="13" t="b">
        <x:v>0</x:v>
      </x:c>
    </x:row>
    <x:row r="335" ht="23" customHeight="1">
      <x:c r="A335" s="2" t="str">
        <x:v>NZL</x:v>
      </x:c>
      <x:c r="B335" s="2" t="str">
        <x:v>New Zealand</x:v>
      </x:c>
      <x:c r="C335" s="2" t="n">
        <x:v>2020</x:v>
      </x:c>
      <x:c r="D335" s="2" t="str">
        <x:v>GHSL_SURFACE</x:v>
      </x:c>
      <x:c r="E335" s="2" t="str">
        <x:v>horizontal surface / footprint</x:v>
      </x:c>
      <x:c r="F335" s="2" t="str">
        <x:v>m2</x:v>
      </x:c>
      <x:c r="G335" s="17" t="n">
        <x:v>553529463.79</x:v>
      </x:c>
      <x:c r="H335" s="17" t="n">
        <x:v>933984431</x:v>
      </x:c>
      <x:c r="I335" s="17" t="n">
        <x:f>IF(AND(L335,ISNUMBER(G335),ISNUMBER(H335)),G335-H335,"n.a.")</x:f>
        <x:v>-380454967.21000004</x:v>
      </x:c>
      <x:c r="J335" s="15" t="n">
        <x:f>IF(AND(L335,ISNUMBER(G335),ISNUMBER(H335),H335&gt;0),(G335-H335)/H335,"n.a.")</x:f>
        <x:v>-0.4073461554414284</x:v>
      </x:c>
      <x:c r="K335" s="19" t="n">
        <x:f>IF(ISNUMBER(J335),ABS(J335),"n.a.")</x:f>
        <x:v>0.4073461554414284</x:v>
      </x:c>
      <x:c r="L335" s="13" t="b">
        <x:v>1</x:v>
      </x:c>
      <x:c r="M335" s="13" t="b">
        <x:v>1</x:v>
      </x:c>
      <x:c r="N335" s="2" t="str">
        <x:v>legacy epoch_status=observed; not exact acquisition proof</x:v>
      </x:c>
      <x:c r="O335" s="2" t="str">
        <x:v>none</x:v>
      </x:c>
      <x:c r="P335" s="2" t="str">
        <x:v>historical source estimate</x:v>
      </x:c>
      <x:c r="Q335" s="2" t="str">
        <x:v>Saved country aggregation; cross-source boundary and pixel-support alignment not certified; legacy observed flag is not acquisition proof</x:v>
      </x:c>
      <x:c r="R335" s="2" t="str">
        <x:v>https://human-settlement.emergency.copernicus.eu/ghs_buS2023.php</x:v>
      </x:c>
      <x:c r="S335" s="13" t="b">
        <x:v>0</x:v>
      </x:c>
      <x:c r="T335" s="13" t="b">
        <x:v>0</x:v>
      </x:c>
    </x:row>
    <x:row r="336" ht="23" customHeight="1">
      <x:c r="A336" s="2" t="str">
        <x:v>OMN</x:v>
      </x:c>
      <x:c r="B336" s="2" t="str">
        <x:v>Oman (Sultanate of)</x:v>
      </x:c>
      <x:c r="C336" s="2" t="n">
        <x:v>2020</x:v>
      </x:c>
      <x:c r="D336" s="2" t="str">
        <x:v>GHSL_SURFACE</x:v>
      </x:c>
      <x:c r="E336" s="2" t="str">
        <x:v>horizontal surface / footprint</x:v>
      </x:c>
      <x:c r="F336" s="2" t="str">
        <x:v>m2</x:v>
      </x:c>
      <x:c r="G336" s="17" t="n">
        <x:v>262659820.85</x:v>
      </x:c>
      <x:c r="H336" s="17" t="n">
        <x:v>427916040</x:v>
      </x:c>
      <x:c r="I336" s="17" t="n">
        <x:f>IF(AND(L336,ISNUMBER(G336),ISNUMBER(H336)),G336-H336,"n.a.")</x:f>
        <x:v>-165256219.15</x:v>
      </x:c>
      <x:c r="J336" s="15" t="n">
        <x:f>IF(AND(L336,ISNUMBER(G336),ISNUMBER(H336),H336&gt;0),(G336-H336)/H336,"n.a.")</x:f>
        <x:v>-0.3861884194619113</x:v>
      </x:c>
      <x:c r="K336" s="19" t="n">
        <x:f>IF(ISNUMBER(J336),ABS(J336),"n.a.")</x:f>
        <x:v>0.3861884194619113</x:v>
      </x:c>
      <x:c r="L336" s="13" t="b">
        <x:v>1</x:v>
      </x:c>
      <x:c r="M336" s="13" t="b">
        <x:v>1</x:v>
      </x:c>
      <x:c r="N336" s="2" t="str">
        <x:v>legacy epoch_status=observed; not exact acquisition proof</x:v>
      </x:c>
      <x:c r="O336" s="2" t="str">
        <x:v>none</x:v>
      </x:c>
      <x:c r="P336" s="2" t="str">
        <x:v>historical source estimate</x:v>
      </x:c>
      <x:c r="Q336" s="2" t="str">
        <x:v>Saved country aggregation; cross-source boundary and pixel-support alignment not certified; legacy observed flag is not acquisition proof</x:v>
      </x:c>
      <x:c r="R336" s="2" t="str">
        <x:v>https://human-settlement.emergency.copernicus.eu/ghs_buS2023.php</x:v>
      </x:c>
      <x:c r="S336" s="13" t="b">
        <x:v>0</x:v>
      </x:c>
      <x:c r="T336" s="13" t="b">
        <x:v>0</x:v>
      </x:c>
    </x:row>
    <x:row r="337" ht="23" customHeight="1">
      <x:c r="A337" s="2" t="str">
        <x:v>PAK</x:v>
      </x:c>
      <x:c r="B337" s="2" t="str">
        <x:v>Pakistan (Islamic Republic of)</x:v>
      </x:c>
      <x:c r="C337" s="2" t="n">
        <x:v>2020</x:v>
      </x:c>
      <x:c r="D337" s="2" t="str">
        <x:v>GHSL_SURFACE</x:v>
      </x:c>
      <x:c r="E337" s="2" t="str">
        <x:v>horizontal surface / footprint</x:v>
      </x:c>
      <x:c r="F337" s="2" t="str">
        <x:v>m2</x:v>
      </x:c>
      <x:c r="G337" s="17" t="n">
        <x:v>4301390083.52</x:v>
      </x:c>
      <x:c r="H337" s="17" t="n">
        <x:v>6256084711</x:v>
      </x:c>
      <x:c r="I337" s="17" t="n">
        <x:f>IF(AND(L337,ISNUMBER(G337),ISNUMBER(H337)),G337-H337,"n.a.")</x:f>
        <x:v>-1954694627.4799995</x:v>
      </x:c>
      <x:c r="J337" s="15" t="n">
        <x:f>IF(AND(L337,ISNUMBER(G337),ISNUMBER(H337),H337&gt;0),(G337-H337)/H337,"n.a.")</x:f>
        <x:v>-0.312446956487511</x:v>
      </x:c>
      <x:c r="K337" s="19" t="n">
        <x:f>IF(ISNUMBER(J337),ABS(J337),"n.a.")</x:f>
        <x:v>0.312446956487511</x:v>
      </x:c>
      <x:c r="L337" s="13" t="b">
        <x:v>1</x:v>
      </x:c>
      <x:c r="M337" s="13" t="b">
        <x:v>1</x:v>
      </x:c>
      <x:c r="N337" s="2" t="str">
        <x:v>legacy epoch_status=observed; not exact acquisition proof</x:v>
      </x:c>
      <x:c r="O337" s="2" t="str">
        <x:v>none</x:v>
      </x:c>
      <x:c r="P337" s="2" t="str">
        <x:v>historical source estimate</x:v>
      </x:c>
      <x:c r="Q337" s="2" t="str">
        <x:v>Saved country aggregation; cross-source boundary and pixel-support alignment not certified; legacy observed flag is not acquisition proof</x:v>
      </x:c>
      <x:c r="R337" s="2" t="str">
        <x:v>https://human-settlement.emergency.copernicus.eu/ghs_buS2023.php</x:v>
      </x:c>
      <x:c r="S337" s="13" t="b">
        <x:v>0</x:v>
      </x:c>
      <x:c r="T337" s="13" t="b">
        <x:v>0</x:v>
      </x:c>
    </x:row>
    <x:row r="338" ht="23" customHeight="1">
      <x:c r="A338" s="2" t="str">
        <x:v>PAN</x:v>
      </x:c>
      <x:c r="B338" s="2" t="str">
        <x:v>Panama (Republic of)</x:v>
      </x:c>
      <x:c r="C338" s="2" t="n">
        <x:v>2020</x:v>
      </x:c>
      <x:c r="D338" s="2" t="str">
        <x:v>GHSL_SURFACE</x:v>
      </x:c>
      <x:c r="E338" s="2" t="str">
        <x:v>horizontal surface / footprint</x:v>
      </x:c>
      <x:c r="F338" s="2" t="str">
        <x:v>m2</x:v>
      </x:c>
      <x:c r="G338" s="17" t="n">
        <x:v>209722829.78</x:v>
      </x:c>
      <x:c r="H338" s="17" t="n">
        <x:v>286803553</x:v>
      </x:c>
      <x:c r="I338" s="17" t="n">
        <x:f>IF(AND(L338,ISNUMBER(G338),ISNUMBER(H338)),G338-H338,"n.a.")</x:f>
        <x:v>-77080723.22</x:v>
      </x:c>
      <x:c r="J338" s="15" t="n">
        <x:f>IF(AND(L338,ISNUMBER(G338),ISNUMBER(H338),H338&gt;0),(G338-H338)/H338,"n.a.")</x:f>
        <x:v>-0.26875790907653085</x:v>
      </x:c>
      <x:c r="K338" s="19" t="n">
        <x:f>IF(ISNUMBER(J338),ABS(J338),"n.a.")</x:f>
        <x:v>0.26875790907653085</x:v>
      </x:c>
      <x:c r="L338" s="13" t="b">
        <x:v>1</x:v>
      </x:c>
      <x:c r="M338" s="13" t="b">
        <x:v>1</x:v>
      </x:c>
      <x:c r="N338" s="2" t="str">
        <x:v>legacy epoch_status=observed; not exact acquisition proof</x:v>
      </x:c>
      <x:c r="O338" s="2" t="str">
        <x:v>none</x:v>
      </x:c>
      <x:c r="P338" s="2" t="str">
        <x:v>historical source estimate</x:v>
      </x:c>
      <x:c r="Q338" s="2" t="str">
        <x:v>Saved country aggregation; cross-source boundary and pixel-support alignment not certified; legacy observed flag is not acquisition proof</x:v>
      </x:c>
      <x:c r="R338" s="2" t="str">
        <x:v>https://human-settlement.emergency.copernicus.eu/ghs_buS2023.php</x:v>
      </x:c>
      <x:c r="S338" s="13" t="b">
        <x:v>0</x:v>
      </x:c>
      <x:c r="T338" s="13" t="b">
        <x:v>0</x:v>
      </x:c>
    </x:row>
    <x:row r="339" ht="23" customHeight="1">
      <x:c r="A339" s="2" t="str">
        <x:v>PER</x:v>
      </x:c>
      <x:c r="B339" s="2" t="str">
        <x:v>Peru (Republic of)</x:v>
      </x:c>
      <x:c r="C339" s="2" t="n">
        <x:v>2020</x:v>
      </x:c>
      <x:c r="D339" s="2" t="str">
        <x:v>GHSL_SURFACE</x:v>
      </x:c>
      <x:c r="E339" s="2" t="str">
        <x:v>horizontal surface / footprint</x:v>
      </x:c>
      <x:c r="F339" s="2" t="str">
        <x:v>m2</x:v>
      </x:c>
      <x:c r="G339" s="17" t="n">
        <x:v>1228349086.86</x:v>
      </x:c>
      <x:c r="H339" s="17" t="n">
        <x:v>1466079228</x:v>
      </x:c>
      <x:c r="I339" s="17" t="n">
        <x:f>IF(AND(L339,ISNUMBER(G339),ISNUMBER(H339)),G339-H339,"n.a.")</x:f>
        <x:v>-237730141.1400001</x:v>
      </x:c>
      <x:c r="J339" s="15" t="n">
        <x:f>IF(AND(L339,ISNUMBER(G339),ISNUMBER(H339),H339&gt;0),(G339-H339)/H339,"n.a.")</x:f>
        <x:v>-0.16215367941902256</x:v>
      </x:c>
      <x:c r="K339" s="19" t="n">
        <x:f>IF(ISNUMBER(J339),ABS(J339),"n.a.")</x:f>
        <x:v>0.16215367941902256</x:v>
      </x:c>
      <x:c r="L339" s="13" t="b">
        <x:v>1</x:v>
      </x:c>
      <x:c r="M339" s="13" t="b">
        <x:v>1</x:v>
      </x:c>
      <x:c r="N339" s="2" t="str">
        <x:v>legacy epoch_status=observed; not exact acquisition proof</x:v>
      </x:c>
      <x:c r="O339" s="2" t="str">
        <x:v>none</x:v>
      </x:c>
      <x:c r="P339" s="2" t="str">
        <x:v>historical source estimate</x:v>
      </x:c>
      <x:c r="Q339" s="2" t="str">
        <x:v>Saved country aggregation; cross-source boundary and pixel-support alignment not certified; legacy observed flag is not acquisition proof</x:v>
      </x:c>
      <x:c r="R339" s="2" t="str">
        <x:v>https://human-settlement.emergency.copernicus.eu/ghs_buS2023.php</x:v>
      </x:c>
      <x:c r="S339" s="13" t="b">
        <x:v>0</x:v>
      </x:c>
      <x:c r="T339" s="13" t="b">
        <x:v>0</x:v>
      </x:c>
    </x:row>
    <x:row r="340" ht="23" customHeight="1">
      <x:c r="A340" s="2" t="str">
        <x:v>PHL</x:v>
      </x:c>
      <x:c r="B340" s="2" t="str">
        <x:v>Philippines (Republic of the)</x:v>
      </x:c>
      <x:c r="C340" s="2" t="n">
        <x:v>2020</x:v>
      </x:c>
      <x:c r="D340" s="2" t="str">
        <x:v>GHSL_SURFACE</x:v>
      </x:c>
      <x:c r="E340" s="2" t="str">
        <x:v>horizontal surface / footprint</x:v>
      </x:c>
      <x:c r="F340" s="2" t="str">
        <x:v>m2</x:v>
      </x:c>
      <x:c r="G340" s="17" t="n">
        <x:v>2290609295.4</x:v>
      </x:c>
      <x:c r="H340" s="17" t="n">
        <x:v>2318969682</x:v>
      </x:c>
      <x:c r="I340" s="17" t="n">
        <x:f>IF(AND(L340,ISNUMBER(G340),ISNUMBER(H340)),G340-H340,"n.a.")</x:f>
        <x:v>-28360386.599999905</x:v>
      </x:c>
      <x:c r="J340" s="15" t="n">
        <x:f>IF(AND(L340,ISNUMBER(G340),ISNUMBER(H340),H340&gt;0),(G340-H340)/H340,"n.a.")</x:f>
        <x:v>-0.012229735826274553</x:v>
      </x:c>
      <x:c r="K340" s="19" t="n">
        <x:f>IF(ISNUMBER(J340),ABS(J340),"n.a.")</x:f>
        <x:v>0.012229735826274553</x:v>
      </x:c>
      <x:c r="L340" s="13" t="b">
        <x:v>1</x:v>
      </x:c>
      <x:c r="M340" s="13" t="b">
        <x:v>1</x:v>
      </x:c>
      <x:c r="N340" s="2" t="str">
        <x:v>legacy epoch_status=observed; not exact acquisition proof</x:v>
      </x:c>
      <x:c r="O340" s="2" t="str">
        <x:v>none</x:v>
      </x:c>
      <x:c r="P340" s="2" t="str">
        <x:v>historical source estimate</x:v>
      </x:c>
      <x:c r="Q340" s="2" t="str">
        <x:v>Saved country aggregation; cross-source boundary and pixel-support alignment not certified; legacy observed flag is not acquisition proof</x:v>
      </x:c>
      <x:c r="R340" s="2" t="str">
        <x:v>https://human-settlement.emergency.copernicus.eu/ghs_buS2023.php</x:v>
      </x:c>
      <x:c r="S340" s="13" t="b">
        <x:v>0</x:v>
      </x:c>
      <x:c r="T340" s="13" t="b">
        <x:v>0</x:v>
      </x:c>
    </x:row>
    <x:row r="341" ht="23" customHeight="1">
      <x:c r="A341" s="2" t="str">
        <x:v>PLW</x:v>
      </x:c>
      <x:c r="B341" s="2" t="str">
        <x:v>Palau (Republic of)</x:v>
      </x:c>
      <x:c r="C341" s="2" t="n">
        <x:v>2020</x:v>
      </x:c>
      <x:c r="D341" s="2" t="str">
        <x:v>GHSL_SURFACE</x:v>
      </x:c>
      <x:c r="E341" s="2" t="str">
        <x:v>horizontal surface / footprint</x:v>
      </x:c>
      <x:c r="F341" s="2" t="str">
        <x:v>m2</x:v>
      </x:c>
      <x:c r="G341" s="17" t="n">
        <x:v>1152226.26</x:v>
      </x:c>
      <x:c r="H341" s="17" t="n">
        <x:v>1035553</x:v>
      </x:c>
      <x:c r="I341" s="17" t="n">
        <x:f>IF(AND(L341,ISNUMBER(G341),ISNUMBER(H341)),G341-H341,"n.a.")</x:f>
        <x:v>116673.26000000001</x:v>
      </x:c>
      <x:c r="J341" s="15" t="n">
        <x:f>IF(AND(L341,ISNUMBER(G341),ISNUMBER(H341),H341&gt;0),(G341-H341)/H341,"n.a.")</x:f>
        <x:v>0.11266758920113215</x:v>
      </x:c>
      <x:c r="K341" s="19" t="n">
        <x:f>IF(ISNUMBER(J341),ABS(J341),"n.a.")</x:f>
        <x:v>0.11266758920113215</x:v>
      </x:c>
      <x:c r="L341" s="13" t="b">
        <x:v>1</x:v>
      </x:c>
      <x:c r="M341" s="13" t="b">
        <x:v>1</x:v>
      </x:c>
      <x:c r="N341" s="2" t="str">
        <x:v>legacy epoch_status=observed; not exact acquisition proof</x:v>
      </x:c>
      <x:c r="O341" s="2" t="str">
        <x:v>none</x:v>
      </x:c>
      <x:c r="P341" s="2" t="str">
        <x:v>historical source estimate</x:v>
      </x:c>
      <x:c r="Q341" s="2" t="str">
        <x:v>Saved country aggregation; cross-source boundary and pixel-support alignment not certified; legacy observed flag is not acquisition proof</x:v>
      </x:c>
      <x:c r="R341" s="2" t="str">
        <x:v>https://human-settlement.emergency.copernicus.eu/ghs_buS2023.php</x:v>
      </x:c>
      <x:c r="S341" s="13" t="b">
        <x:v>0</x:v>
      </x:c>
      <x:c r="T341" s="13" t="b">
        <x:v>0</x:v>
      </x:c>
    </x:row>
    <x:row r="342" ht="23" customHeight="1">
      <x:c r="A342" s="2" t="str">
        <x:v>PNG</x:v>
      </x:c>
      <x:c r="B342" s="2" t="str">
        <x:v>Papua New Guinea (Independent State of)</x:v>
      </x:c>
      <x:c r="C342" s="2" t="n">
        <x:v>2020</x:v>
      </x:c>
      <x:c r="D342" s="2" t="str">
        <x:v>GHSL_SURFACE</x:v>
      </x:c>
      <x:c r="E342" s="2" t="str">
        <x:v>horizontal surface / footprint</x:v>
      </x:c>
      <x:c r="F342" s="2" t="str">
        <x:v>m2</x:v>
      </x:c>
      <x:c r="G342" s="17" t="n">
        <x:v>111325792.03</x:v>
      </x:c>
      <x:c r="H342" s="17" t="n">
        <x:v>174457095</x:v>
      </x:c>
      <x:c r="I342" s="17" t="n">
        <x:f>IF(AND(L342,ISNUMBER(G342),ISNUMBER(H342)),G342-H342,"n.a.")</x:f>
        <x:v>-63131302.97</x:v>
      </x:c>
      <x:c r="J342" s="15" t="n">
        <x:f>IF(AND(L342,ISNUMBER(G342),ISNUMBER(H342),H342&gt;0),(G342-H342)/H342,"n.a.")</x:f>
        <x:v>-0.3618729462966238</x:v>
      </x:c>
      <x:c r="K342" s="19" t="n">
        <x:f>IF(ISNUMBER(J342),ABS(J342),"n.a.")</x:f>
        <x:v>0.3618729462966238</x:v>
      </x:c>
      <x:c r="L342" s="13" t="b">
        <x:v>1</x:v>
      </x:c>
      <x:c r="M342" s="13" t="b">
        <x:v>1</x:v>
      </x:c>
      <x:c r="N342" s="2" t="str">
        <x:v>legacy epoch_status=observed; not exact acquisition proof</x:v>
      </x:c>
      <x:c r="O342" s="2" t="str">
        <x:v>none</x:v>
      </x:c>
      <x:c r="P342" s="2" t="str">
        <x:v>historical source estimate</x:v>
      </x:c>
      <x:c r="Q342" s="2" t="str">
        <x:v>Saved country aggregation; cross-source boundary and pixel-support alignment not certified; legacy observed flag is not acquisition proof</x:v>
      </x:c>
      <x:c r="R342" s="2" t="str">
        <x:v>https://human-settlement.emergency.copernicus.eu/ghs_buS2023.php</x:v>
      </x:c>
      <x:c r="S342" s="13" t="b">
        <x:v>0</x:v>
      </x:c>
      <x:c r="T342" s="13" t="b">
        <x:v>0</x:v>
      </x:c>
    </x:row>
    <x:row r="343" ht="23" customHeight="1">
      <x:c r="A343" s="2" t="str">
        <x:v>POL</x:v>
      </x:c>
      <x:c r="B343" s="2" t="str">
        <x:v>Poland (Republic of)</x:v>
      </x:c>
      <x:c r="C343" s="2" t="n">
        <x:v>2020</x:v>
      </x:c>
      <x:c r="D343" s="2" t="str">
        <x:v>GHSL_SURFACE</x:v>
      </x:c>
      <x:c r="E343" s="2" t="str">
        <x:v>horizontal surface / footprint</x:v>
      </x:c>
      <x:c r="F343" s="2" t="str">
        <x:v>m2</x:v>
      </x:c>
      <x:c r="G343" s="17" t="n">
        <x:v>2573023573.53</x:v>
      </x:c>
      <x:c r="H343" s="17" t="n">
        <x:v>4543610074</x:v>
      </x:c>
      <x:c r="I343" s="17" t="n">
        <x:f>IF(AND(L343,ISNUMBER(G343),ISNUMBER(H343)),G343-H343,"n.a.")</x:f>
        <x:v>-1970586500.4699998</x:v>
      </x:c>
      <x:c r="J343" s="15" t="n">
        <x:f>IF(AND(L343,ISNUMBER(G343),ISNUMBER(H343),H343&gt;0),(G343-H343)/H343,"n.a.")</x:f>
        <x:v>-0.43370502054001736</x:v>
      </x:c>
      <x:c r="K343" s="19" t="n">
        <x:f>IF(ISNUMBER(J343),ABS(J343),"n.a.")</x:f>
        <x:v>0.43370502054001736</x:v>
      </x:c>
      <x:c r="L343" s="13" t="b">
        <x:v>1</x:v>
      </x:c>
      <x:c r="M343" s="13" t="b">
        <x:v>1</x:v>
      </x:c>
      <x:c r="N343" s="2" t="str">
        <x:v>legacy epoch_status=observed; not exact acquisition proof</x:v>
      </x:c>
      <x:c r="O343" s="2" t="str">
        <x:v>none</x:v>
      </x:c>
      <x:c r="P343" s="2" t="str">
        <x:v>historical source estimate</x:v>
      </x:c>
      <x:c r="Q343" s="2" t="str">
        <x:v>Saved country aggregation; cross-source boundary and pixel-support alignment not certified; legacy observed flag is not acquisition proof</x:v>
      </x:c>
      <x:c r="R343" s="2" t="str">
        <x:v>https://human-settlement.emergency.copernicus.eu/ghs_buS2023.php</x:v>
      </x:c>
      <x:c r="S343" s="13" t="b">
        <x:v>0</x:v>
      </x:c>
      <x:c r="T343" s="13" t="b">
        <x:v>0</x:v>
      </x:c>
    </x:row>
    <x:row r="344" ht="23" customHeight="1">
      <x:c r="A344" s="2" t="str">
        <x:v>PRK</x:v>
      </x:c>
      <x:c r="B344" s="2" t="str">
        <x:v>Korea (Democratic People's Republic of)</x:v>
      </x:c>
      <x:c r="C344" s="2" t="n">
        <x:v>2020</x:v>
      </x:c>
      <x:c r="D344" s="2" t="str">
        <x:v>GHSL_SURFACE</x:v>
      </x:c>
      <x:c r="E344" s="2" t="str">
        <x:v>horizontal surface / footprint</x:v>
      </x:c>
      <x:c r="F344" s="2" t="str">
        <x:v>m2</x:v>
      </x:c>
      <x:c r="G344" s="17" t="n">
        <x:v>463540849.51</x:v>
      </x:c>
      <x:c r="H344" s="17" t="n">
        <x:v>370290380</x:v>
      </x:c>
      <x:c r="I344" s="17" t="n">
        <x:f>IF(AND(L344,ISNUMBER(G344),ISNUMBER(H344)),G344-H344,"n.a.")</x:f>
        <x:v>93250469.50999999</x:v>
      </x:c>
      <x:c r="J344" s="15" t="n">
        <x:f>IF(AND(L344,ISNUMBER(G344),ISNUMBER(H344),H344&gt;0),(G344-H344)/H344,"n.a.")</x:f>
        <x:v>0.25183065655121795</x:v>
      </x:c>
      <x:c r="K344" s="19" t="n">
        <x:f>IF(ISNUMBER(J344),ABS(J344),"n.a.")</x:f>
        <x:v>0.25183065655121795</x:v>
      </x:c>
      <x:c r="L344" s="13" t="b">
        <x:v>1</x:v>
      </x:c>
      <x:c r="M344" s="13" t="b">
        <x:v>1</x:v>
      </x:c>
      <x:c r="N344" s="2" t="str">
        <x:v>legacy epoch_status=observed; not exact acquisition proof</x:v>
      </x:c>
      <x:c r="O344" s="2" t="str">
        <x:v>none</x:v>
      </x:c>
      <x:c r="P344" s="2" t="str">
        <x:v>historical source estimate</x:v>
      </x:c>
      <x:c r="Q344" s="2" t="str">
        <x:v>Saved country aggregation; cross-source boundary and pixel-support alignment not certified; legacy observed flag is not acquisition proof</x:v>
      </x:c>
      <x:c r="R344" s="2" t="str">
        <x:v>https://human-settlement.emergency.copernicus.eu/ghs_buS2023.php</x:v>
      </x:c>
      <x:c r="S344" s="13" t="b">
        <x:v>0</x:v>
      </x:c>
      <x:c r="T344" s="13" t="b">
        <x:v>0</x:v>
      </x:c>
    </x:row>
    <x:row r="345" ht="23" customHeight="1">
      <x:c r="A345" s="2" t="str">
        <x:v>PRT</x:v>
      </x:c>
      <x:c r="B345" s="2" t="str">
        <x:v>Portugal (Portuguese Republic)</x:v>
      </x:c>
      <x:c r="C345" s="2" t="n">
        <x:v>2020</x:v>
      </x:c>
      <x:c r="D345" s="2" t="str">
        <x:v>GHSL_SURFACE</x:v>
      </x:c>
      <x:c r="E345" s="2" t="str">
        <x:v>horizontal surface / footprint</x:v>
      </x:c>
      <x:c r="F345" s="2" t="str">
        <x:v>m2</x:v>
      </x:c>
      <x:c r="G345" s="17" t="n">
        <x:v>1019333626.31</x:v>
      </x:c>
      <x:c r="H345" s="17" t="n">
        <x:v>1365564489</x:v>
      </x:c>
      <x:c r="I345" s="17" t="n">
        <x:f>IF(AND(L345,ISNUMBER(G345),ISNUMBER(H345)),G345-H345,"n.a.")</x:f>
        <x:v>-346230862.69000006</x:v>
      </x:c>
      <x:c r="J345" s="15" t="n">
        <x:f>IF(AND(L345,ISNUMBER(G345),ISNUMBER(H345),H345&gt;0),(G345-H345)/H345,"n.a.")</x:f>
        <x:v>-0.25354413173378887</x:v>
      </x:c>
      <x:c r="K345" s="19" t="n">
        <x:f>IF(ISNUMBER(J345),ABS(J345),"n.a.")</x:f>
        <x:v>0.25354413173378887</x:v>
      </x:c>
      <x:c r="L345" s="13" t="b">
        <x:v>1</x:v>
      </x:c>
      <x:c r="M345" s="13" t="b">
        <x:v>1</x:v>
      </x:c>
      <x:c r="N345" s="2" t="str">
        <x:v>legacy epoch_status=observed; not exact acquisition proof</x:v>
      </x:c>
      <x:c r="O345" s="2" t="str">
        <x:v>none</x:v>
      </x:c>
      <x:c r="P345" s="2" t="str">
        <x:v>historical source estimate</x:v>
      </x:c>
      <x:c r="Q345" s="2" t="str">
        <x:v>Saved country aggregation; cross-source boundary and pixel-support alignment not certified; legacy observed flag is not acquisition proof</x:v>
      </x:c>
      <x:c r="R345" s="2" t="str">
        <x:v>https://human-settlement.emergency.copernicus.eu/ghs_buS2023.php</x:v>
      </x:c>
      <x:c r="S345" s="13" t="b">
        <x:v>0</x:v>
      </x:c>
      <x:c r="T345" s="13" t="b">
        <x:v>0</x:v>
      </x:c>
    </x:row>
    <x:row r="346" ht="23" customHeight="1">
      <x:c r="A346" s="2" t="str">
        <x:v>PRY</x:v>
      </x:c>
      <x:c r="B346" s="2" t="str">
        <x:v>Paraguay (Republic of)</x:v>
      </x:c>
      <x:c r="C346" s="2" t="n">
        <x:v>2020</x:v>
      </x:c>
      <x:c r="D346" s="2" t="str">
        <x:v>GHSL_SURFACE</x:v>
      </x:c>
      <x:c r="E346" s="2" t="str">
        <x:v>horizontal surface / footprint</x:v>
      </x:c>
      <x:c r="F346" s="2" t="str">
        <x:v>m2</x:v>
      </x:c>
      <x:c r="G346" s="17" t="n">
        <x:v>336793873.45</x:v>
      </x:c>
      <x:c r="H346" s="17" t="n">
        <x:v>562623032</x:v>
      </x:c>
      <x:c r="I346" s="17" t="n">
        <x:f>IF(AND(L346,ISNUMBER(G346),ISNUMBER(H346)),G346-H346,"n.a.")</x:f>
        <x:v>-225829158.55</x:v>
      </x:c>
      <x:c r="J346" s="15" t="n">
        <x:f>IF(AND(L346,ISNUMBER(G346),ISNUMBER(H346),H346&gt;0),(G346-H346)/H346,"n.a.")</x:f>
        <x:v>-0.4013862670129722</x:v>
      </x:c>
      <x:c r="K346" s="19" t="n">
        <x:f>IF(ISNUMBER(J346),ABS(J346),"n.a.")</x:f>
        <x:v>0.4013862670129722</x:v>
      </x:c>
      <x:c r="L346" s="13" t="b">
        <x:v>1</x:v>
      </x:c>
      <x:c r="M346" s="13" t="b">
        <x:v>1</x:v>
      </x:c>
      <x:c r="N346" s="2" t="str">
        <x:v>legacy epoch_status=observed; not exact acquisition proof</x:v>
      </x:c>
      <x:c r="O346" s="2" t="str">
        <x:v>none</x:v>
      </x:c>
      <x:c r="P346" s="2" t="str">
        <x:v>historical source estimate</x:v>
      </x:c>
      <x:c r="Q346" s="2" t="str">
        <x:v>Saved country aggregation; cross-source boundary and pixel-support alignment not certified; legacy observed flag is not acquisition proof</x:v>
      </x:c>
      <x:c r="R346" s="2" t="str">
        <x:v>https://human-settlement.emergency.copernicus.eu/ghs_buS2023.php</x:v>
      </x:c>
      <x:c r="S346" s="13" t="b">
        <x:v>0</x:v>
      </x:c>
      <x:c r="T346" s="13" t="b">
        <x:v>0</x:v>
      </x:c>
    </x:row>
    <x:row r="347" ht="23" customHeight="1">
      <x:c r="A347" s="2" t="str">
        <x:v>PSE</x:v>
      </x:c>
      <x:c r="B347" s="2" t="str">
        <x:v>State of Palestine</x:v>
      </x:c>
      <x:c r="C347" s="2" t="n">
        <x:v>2020</x:v>
      </x:c>
      <x:c r="D347" s="2" t="str">
        <x:v>GHSL_SURFACE</x:v>
      </x:c>
      <x:c r="E347" s="2" t="str">
        <x:v>horizontal surface / footprint</x:v>
      </x:c>
      <x:c r="F347" s="2" t="str">
        <x:v>m2</x:v>
      </x:c>
      <x:c r="G347" s="17"/>
      <x:c r="H347" s="17"/>
      <x:c r="I347" s="17" t="str">
        <x:f>IF(AND(L347,ISNUMBER(G347),ISNUMBER(H347)),G347-H347,"n.a.")</x:f>
        <x:v>n.a.</x:v>
      </x:c>
      <x:c r="J347" s="15" t="str">
        <x:f>IF(AND(L347,ISNUMBER(G347),ISNUMBER(H347),H347&gt;0),(G347-H347)/H347,"n.a.")</x:f>
        <x:v>n.a.</x:v>
      </x:c>
      <x:c r="K347" s="19" t="str">
        <x:f>IF(ISNUMBER(J347),ABS(J347),"n.a.")</x:f>
        <x:v>n.a.</x:v>
      </x:c>
      <x:c r="L347" s="13" t="b">
        <x:v>0</x:v>
      </x:c>
      <x:c r="M347" s="13" t="b">
        <x:v>0</x:v>
      </x:c>
      <x:c r="N347" s="2" t="str">
        <x:v>legacy epoch_status=missing; not exact acquisition proof</x:v>
      </x:c>
      <x:c r="O347" s="2" t="str">
        <x:v>source row absent</x:v>
      </x:c>
      <x:c r="P347" s="2" t="str">
        <x:v>historical source estimate</x:v>
      </x:c>
      <x:c r="Q347" s="2" t="str">
        <x:v>Saved country aggregation; cross-source boundary and pixel-support alignment not certified; legacy observed flag is not acquisition proof</x:v>
      </x:c>
      <x:c r="R347" s="2" t="str">
        <x:v>https://human-settlement.emergency.copernicus.eu/ghs_buS2023.php</x:v>
      </x:c>
      <x:c r="S347" s="13" t="b">
        <x:v>1</x:v>
      </x:c>
      <x:c r="T347" s="13" t="b">
        <x:v>0</x:v>
      </x:c>
    </x:row>
    <x:row r="348" ht="23" customHeight="1">
      <x:c r="A348" s="2" t="str">
        <x:v>QAT</x:v>
      </x:c>
      <x:c r="B348" s="2" t="str">
        <x:v>Qatar (State of)</x:v>
      </x:c>
      <x:c r="C348" s="2" t="n">
        <x:v>2020</x:v>
      </x:c>
      <x:c r="D348" s="2" t="str">
        <x:v>GHSL_SURFACE</x:v>
      </x:c>
      <x:c r="E348" s="2" t="str">
        <x:v>horizontal surface / footprint</x:v>
      </x:c>
      <x:c r="F348" s="2" t="str">
        <x:v>m2</x:v>
      </x:c>
      <x:c r="G348" s="17" t="n">
        <x:v>123398530.18</x:v>
      </x:c>
      <x:c r="H348" s="17" t="n">
        <x:v>213763441</x:v>
      </x:c>
      <x:c r="I348" s="17" t="n">
        <x:f>IF(AND(L348,ISNUMBER(G348),ISNUMBER(H348)),G348-H348,"n.a.")</x:f>
        <x:v>-90364910.82</x:v>
      </x:c>
      <x:c r="J348" s="15" t="n">
        <x:f>IF(AND(L348,ISNUMBER(G348),ISNUMBER(H348),H348&gt;0),(G348-H348)/H348,"n.a.")</x:f>
        <x:v>-0.42273323444489275</x:v>
      </x:c>
      <x:c r="K348" s="19" t="n">
        <x:f>IF(ISNUMBER(J348),ABS(J348),"n.a.")</x:f>
        <x:v>0.42273323444489275</x:v>
      </x:c>
      <x:c r="L348" s="13" t="b">
        <x:v>1</x:v>
      </x:c>
      <x:c r="M348" s="13" t="b">
        <x:v>1</x:v>
      </x:c>
      <x:c r="N348" s="2" t="str">
        <x:v>legacy epoch_status=observed; not exact acquisition proof</x:v>
      </x:c>
      <x:c r="O348" s="2" t="str">
        <x:v>none</x:v>
      </x:c>
      <x:c r="P348" s="2" t="str">
        <x:v>historical source estimate</x:v>
      </x:c>
      <x:c r="Q348" s="2" t="str">
        <x:v>Saved country aggregation; cross-source boundary and pixel-support alignment not certified; legacy observed flag is not acquisition proof</x:v>
      </x:c>
      <x:c r="R348" s="2" t="str">
        <x:v>https://human-settlement.emergency.copernicus.eu/ghs_buS2023.php</x:v>
      </x:c>
      <x:c r="S348" s="13" t="b">
        <x:v>0</x:v>
      </x:c>
      <x:c r="T348" s="13" t="b">
        <x:v>0</x:v>
      </x:c>
    </x:row>
    <x:row r="349" ht="23" customHeight="1">
      <x:c r="A349" s="2" t="str">
        <x:v>ROU</x:v>
      </x:c>
      <x:c r="B349" s="2" t="str">
        <x:v>Romania</x:v>
      </x:c>
      <x:c r="C349" s="2" t="n">
        <x:v>2020</x:v>
      </x:c>
      <x:c r="D349" s="2" t="str">
        <x:v>GHSL_SURFACE</x:v>
      </x:c>
      <x:c r="E349" s="2" t="str">
        <x:v>horizontal surface / footprint</x:v>
      </x:c>
      <x:c r="F349" s="2" t="str">
        <x:v>m2</x:v>
      </x:c>
      <x:c r="G349" s="17" t="n">
        <x:v>1451492077.99</x:v>
      </x:c>
      <x:c r="H349" s="17" t="n">
        <x:v>2283253218</x:v>
      </x:c>
      <x:c r="I349" s="17" t="n">
        <x:f>IF(AND(L349,ISNUMBER(G349),ISNUMBER(H349)),G349-H349,"n.a.")</x:f>
        <x:v>-831761140.01</x:v>
      </x:c>
      <x:c r="J349" s="15" t="n">
        <x:f>IF(AND(L349,ISNUMBER(G349),ISNUMBER(H349),H349&gt;0),(G349-H349)/H349,"n.a.")</x:f>
        <x:v>-0.36428773359556477</x:v>
      </x:c>
      <x:c r="K349" s="19" t="n">
        <x:f>IF(ISNUMBER(J349),ABS(J349),"n.a.")</x:f>
        <x:v>0.36428773359556477</x:v>
      </x:c>
      <x:c r="L349" s="13" t="b">
        <x:v>1</x:v>
      </x:c>
      <x:c r="M349" s="13" t="b">
        <x:v>1</x:v>
      </x:c>
      <x:c r="N349" s="2" t="str">
        <x:v>legacy epoch_status=observed; not exact acquisition proof</x:v>
      </x:c>
      <x:c r="O349" s="2" t="str">
        <x:v>none</x:v>
      </x:c>
      <x:c r="P349" s="2" t="str">
        <x:v>historical source estimate</x:v>
      </x:c>
      <x:c r="Q349" s="2" t="str">
        <x:v>Saved country aggregation; cross-source boundary and pixel-support alignment not certified; legacy observed flag is not acquisition proof</x:v>
      </x:c>
      <x:c r="R349" s="2" t="str">
        <x:v>https://human-settlement.emergency.copernicus.eu/ghs_buS2023.php</x:v>
      </x:c>
      <x:c r="S349" s="13" t="b">
        <x:v>0</x:v>
      </x:c>
      <x:c r="T349" s="13" t="b">
        <x:v>0</x:v>
      </x:c>
    </x:row>
    <x:row r="350" ht="23" customHeight="1">
      <x:c r="A350" s="2" t="str">
        <x:v>RUS</x:v>
      </x:c>
      <x:c r="B350" s="2" t="str">
        <x:v>Russian Federation</x:v>
      </x:c>
      <x:c r="C350" s="2" t="n">
        <x:v>2020</x:v>
      </x:c>
      <x:c r="D350" s="2" t="str">
        <x:v>GHSL_SURFACE</x:v>
      </x:c>
      <x:c r="E350" s="2" t="str">
        <x:v>horizontal surface / footprint</x:v>
      </x:c>
      <x:c r="F350" s="2" t="str">
        <x:v>m2</x:v>
      </x:c>
      <x:c r="G350" s="17" t="n">
        <x:v>7742883032.41</x:v>
      </x:c>
      <x:c r="H350" s="17" t="n">
        <x:v>12575889656</x:v>
      </x:c>
      <x:c r="I350" s="17" t="n">
        <x:f>IF(AND(L350,ISNUMBER(G350),ISNUMBER(H350)),G350-H350,"n.a.")</x:f>
        <x:v>-4833006623.59</x:v>
      </x:c>
      <x:c r="J350" s="15" t="n">
        <x:f>IF(AND(L350,ISNUMBER(G350),ISNUMBER(H350),H350&gt;0),(G350-H350)/H350,"n.a.")</x:f>
        <x:v>-0.3843073337785018</x:v>
      </x:c>
      <x:c r="K350" s="19" t="n">
        <x:f>IF(ISNUMBER(J350),ABS(J350),"n.a.")</x:f>
        <x:v>0.3843073337785018</x:v>
      </x:c>
      <x:c r="L350" s="13" t="b">
        <x:v>1</x:v>
      </x:c>
      <x:c r="M350" s="13" t="b">
        <x:v>1</x:v>
      </x:c>
      <x:c r="N350" s="2" t="str">
        <x:v>legacy epoch_status=observed; not exact acquisition proof</x:v>
      </x:c>
      <x:c r="O350" s="2" t="str">
        <x:v>none</x:v>
      </x:c>
      <x:c r="P350" s="2" t="str">
        <x:v>historical source estimate</x:v>
      </x:c>
      <x:c r="Q350" s="2" t="str">
        <x:v>Saved country aggregation; cross-source boundary and pixel-support alignment not certified; legacy observed flag is not acquisition proof</x:v>
      </x:c>
      <x:c r="R350" s="2" t="str">
        <x:v>https://human-settlement.emergency.copernicus.eu/ghs_buS2023.php</x:v>
      </x:c>
      <x:c r="S350" s="13" t="b">
        <x:v>0</x:v>
      </x:c>
      <x:c r="T350" s="13" t="b">
        <x:v>0</x:v>
      </x:c>
    </x:row>
    <x:row r="351" ht="23" customHeight="1">
      <x:c r="A351" s="2" t="str">
        <x:v>RWA</x:v>
      </x:c>
      <x:c r="B351" s="2" t="str">
        <x:v>Rwanda (Republic of)</x:v>
      </x:c>
      <x:c r="C351" s="2" t="n">
        <x:v>2020</x:v>
      </x:c>
      <x:c r="D351" s="2" t="str">
        <x:v>GHSL_SURFACE</x:v>
      </x:c>
      <x:c r="E351" s="2" t="str">
        <x:v>horizontal surface / footprint</x:v>
      </x:c>
      <x:c r="F351" s="2" t="str">
        <x:v>m2</x:v>
      </x:c>
      <x:c r="G351" s="17" t="n">
        <x:v>244877324.63</x:v>
      </x:c>
      <x:c r="H351" s="17" t="n">
        <x:v>676279394</x:v>
      </x:c>
      <x:c r="I351" s="17" t="n">
        <x:f>IF(AND(L351,ISNUMBER(G351),ISNUMBER(H351)),G351-H351,"n.a.")</x:f>
        <x:v>-431402069.37</x:v>
      </x:c>
      <x:c r="J351" s="15" t="n">
        <x:f>IF(AND(L351,ISNUMBER(G351),ISNUMBER(H351),H351&gt;0),(G351-H351)/H351,"n.a.")</x:f>
        <x:v>-0.6379050924772077</x:v>
      </x:c>
      <x:c r="K351" s="19" t="n">
        <x:f>IF(ISNUMBER(J351),ABS(J351),"n.a.")</x:f>
        <x:v>0.6379050924772077</x:v>
      </x:c>
      <x:c r="L351" s="13" t="b">
        <x:v>1</x:v>
      </x:c>
      <x:c r="M351" s="13" t="b">
        <x:v>1</x:v>
      </x:c>
      <x:c r="N351" s="2" t="str">
        <x:v>legacy epoch_status=observed; not exact acquisition proof</x:v>
      </x:c>
      <x:c r="O351" s="2" t="str">
        <x:v>none</x:v>
      </x:c>
      <x:c r="P351" s="2" t="str">
        <x:v>historical source estimate</x:v>
      </x:c>
      <x:c r="Q351" s="2" t="str">
        <x:v>Saved country aggregation; cross-source boundary and pixel-support alignment not certified; legacy observed flag is not acquisition proof</x:v>
      </x:c>
      <x:c r="R351" s="2" t="str">
        <x:v>https://human-settlement.emergency.copernicus.eu/ghs_buS2023.php</x:v>
      </x:c>
      <x:c r="S351" s="13" t="b">
        <x:v>0</x:v>
      </x:c>
      <x:c r="T351" s="13" t="b">
        <x:v>0</x:v>
      </x:c>
    </x:row>
    <x:row r="352" ht="23" customHeight="1">
      <x:c r="A352" s="2" t="str">
        <x:v>SAU</x:v>
      </x:c>
      <x:c r="B352" s="2" t="str">
        <x:v>Saudi Arabia (Kingdom of)</x:v>
      </x:c>
      <x:c r="C352" s="2" t="n">
        <x:v>2020</x:v>
      </x:c>
      <x:c r="D352" s="2" t="str">
        <x:v>GHSL_SURFACE</x:v>
      </x:c>
      <x:c r="E352" s="2" t="str">
        <x:v>horizontal surface / footprint</x:v>
      </x:c>
      <x:c r="F352" s="2" t="str">
        <x:v>m2</x:v>
      </x:c>
      <x:c r="G352" s="17" t="n">
        <x:v>1860856502.16</x:v>
      </x:c>
      <x:c r="H352" s="17" t="n">
        <x:v>2788803471</x:v>
      </x:c>
      <x:c r="I352" s="17" t="n">
        <x:f>IF(AND(L352,ISNUMBER(G352),ISNUMBER(H352)),G352-H352,"n.a.")</x:f>
        <x:v>-927946968.8399999</x:v>
      </x:c>
      <x:c r="J352" s="15" t="n">
        <x:f>IF(AND(L352,ISNUMBER(G352),ISNUMBER(H352),H352&gt;0),(G352-H352)/H352,"n.a.")</x:f>
        <x:v>-0.33274017996946187</x:v>
      </x:c>
      <x:c r="K352" s="19" t="n">
        <x:f>IF(ISNUMBER(J352),ABS(J352),"n.a.")</x:f>
        <x:v>0.33274017996946187</x:v>
      </x:c>
      <x:c r="L352" s="13" t="b">
        <x:v>1</x:v>
      </x:c>
      <x:c r="M352" s="13" t="b">
        <x:v>1</x:v>
      </x:c>
      <x:c r="N352" s="2" t="str">
        <x:v>legacy epoch_status=observed; not exact acquisition proof</x:v>
      </x:c>
      <x:c r="O352" s="2" t="str">
        <x:v>none</x:v>
      </x:c>
      <x:c r="P352" s="2" t="str">
        <x:v>historical source estimate</x:v>
      </x:c>
      <x:c r="Q352" s="2" t="str">
        <x:v>Saved country aggregation; cross-source boundary and pixel-support alignment not certified; legacy observed flag is not acquisition proof</x:v>
      </x:c>
      <x:c r="R352" s="2" t="str">
        <x:v>https://human-settlement.emergency.copernicus.eu/ghs_buS2023.php</x:v>
      </x:c>
      <x:c r="S352" s="13" t="b">
        <x:v>0</x:v>
      </x:c>
      <x:c r="T352" s="13" t="b">
        <x:v>0</x:v>
      </x:c>
    </x:row>
    <x:row r="353" ht="23" customHeight="1">
      <x:c r="A353" s="2" t="str">
        <x:v>SDN</x:v>
      </x:c>
      <x:c r="B353" s="2" t="str">
        <x:v>Sudan (Republic of the)</x:v>
      </x:c>
      <x:c r="C353" s="2" t="n">
        <x:v>2020</x:v>
      </x:c>
      <x:c r="D353" s="2" t="str">
        <x:v>GHSL_SURFACE</x:v>
      </x:c>
      <x:c r="E353" s="2" t="str">
        <x:v>horizontal surface / footprint</x:v>
      </x:c>
      <x:c r="F353" s="2" t="str">
        <x:v>m2</x:v>
      </x:c>
      <x:c r="G353" s="17" t="n">
        <x:v>751311239.6</x:v>
      </x:c>
      <x:c r="H353" s="17" t="n">
        <x:v>1633884999</x:v>
      </x:c>
      <x:c r="I353" s="17" t="n">
        <x:f>IF(AND(L353,ISNUMBER(G353),ISNUMBER(H353)),G353-H353,"n.a.")</x:f>
        <x:v>-882573759.4</x:v>
      </x:c>
      <x:c r="J353" s="15" t="n">
        <x:f>IF(AND(L353,ISNUMBER(G353),ISNUMBER(H353),H353&gt;0),(G353-H353)/H353,"n.a.")</x:f>
        <x:v>-0.5401688368154238</x:v>
      </x:c>
      <x:c r="K353" s="19" t="n">
        <x:f>IF(ISNUMBER(J353),ABS(J353),"n.a.")</x:f>
        <x:v>0.5401688368154238</x:v>
      </x:c>
      <x:c r="L353" s="13" t="b">
        <x:v>1</x:v>
      </x:c>
      <x:c r="M353" s="13" t="b">
        <x:v>1</x:v>
      </x:c>
      <x:c r="N353" s="2" t="str">
        <x:v>legacy epoch_status=observed; not exact acquisition proof</x:v>
      </x:c>
      <x:c r="O353" s="2" t="str">
        <x:v>none</x:v>
      </x:c>
      <x:c r="P353" s="2" t="str">
        <x:v>historical source estimate</x:v>
      </x:c>
      <x:c r="Q353" s="2" t="str">
        <x:v>Saved country aggregation; cross-source boundary and pixel-support alignment not certified; legacy observed flag is not acquisition proof</x:v>
      </x:c>
      <x:c r="R353" s="2" t="str">
        <x:v>https://human-settlement.emergency.copernicus.eu/ghs_buS2023.php</x:v>
      </x:c>
      <x:c r="S353" s="13" t="b">
        <x:v>0</x:v>
      </x:c>
      <x:c r="T353" s="13" t="b">
        <x:v>0</x:v>
      </x:c>
    </x:row>
    <x:row r="354" ht="23" customHeight="1">
      <x:c r="A354" s="2" t="str">
        <x:v>SEN</x:v>
      </x:c>
      <x:c r="B354" s="2" t="str">
        <x:v>Senegal (Republic of)</x:v>
      </x:c>
      <x:c r="C354" s="2" t="n">
        <x:v>2020</x:v>
      </x:c>
      <x:c r="D354" s="2" t="str">
        <x:v>GHSL_SURFACE</x:v>
      </x:c>
      <x:c r="E354" s="2" t="str">
        <x:v>horizontal surface / footprint</x:v>
      </x:c>
      <x:c r="F354" s="2" t="str">
        <x:v>m2</x:v>
      </x:c>
      <x:c r="G354" s="17" t="n">
        <x:v>305052833.69</x:v>
      </x:c>
      <x:c r="H354" s="17" t="n">
        <x:v>698769296</x:v>
      </x:c>
      <x:c r="I354" s="17" t="n">
        <x:f>IF(AND(L354,ISNUMBER(G354),ISNUMBER(H354)),G354-H354,"n.a.")</x:f>
        <x:v>-393716462.31</x:v>
      </x:c>
      <x:c r="J354" s="15" t="n">
        <x:f>IF(AND(L354,ISNUMBER(G354),ISNUMBER(H354),H354&gt;0),(G354-H354)/H354,"n.a.")</x:f>
        <x:v>-0.5634427050011653</x:v>
      </x:c>
      <x:c r="K354" s="19" t="n">
        <x:f>IF(ISNUMBER(J354),ABS(J354),"n.a.")</x:f>
        <x:v>0.5634427050011653</x:v>
      </x:c>
      <x:c r="L354" s="13" t="b">
        <x:v>1</x:v>
      </x:c>
      <x:c r="M354" s="13" t="b">
        <x:v>1</x:v>
      </x:c>
      <x:c r="N354" s="2" t="str">
        <x:v>legacy epoch_status=observed; not exact acquisition proof</x:v>
      </x:c>
      <x:c r="O354" s="2" t="str">
        <x:v>none</x:v>
      </x:c>
      <x:c r="P354" s="2" t="str">
        <x:v>historical source estimate</x:v>
      </x:c>
      <x:c r="Q354" s="2" t="str">
        <x:v>Saved country aggregation; cross-source boundary and pixel-support alignment not certified; legacy observed flag is not acquisition proof</x:v>
      </x:c>
      <x:c r="R354" s="2" t="str">
        <x:v>https://human-settlement.emergency.copernicus.eu/ghs_buS2023.php</x:v>
      </x:c>
      <x:c r="S354" s="13" t="b">
        <x:v>0</x:v>
      </x:c>
      <x:c r="T354" s="13" t="b">
        <x:v>0</x:v>
      </x:c>
    </x:row>
    <x:row r="355" ht="23" customHeight="1">
      <x:c r="A355" s="2" t="str">
        <x:v>SGP</x:v>
      </x:c>
      <x:c r="B355" s="2" t="str">
        <x:v>Singapore (Republic of)</x:v>
      </x:c>
      <x:c r="C355" s="2" t="n">
        <x:v>2020</x:v>
      </x:c>
      <x:c r="D355" s="2" t="str">
        <x:v>GHSL_SURFACE</x:v>
      </x:c>
      <x:c r="E355" s="2" t="str">
        <x:v>horizontal surface / footprint</x:v>
      </x:c>
      <x:c r="F355" s="2" t="str">
        <x:v>m2</x:v>
      </x:c>
      <x:c r="G355" s="17" t="n">
        <x:v>85878181.9</x:v>
      </x:c>
      <x:c r="H355" s="17" t="n">
        <x:v>107391783</x:v>
      </x:c>
      <x:c r="I355" s="17" t="n">
        <x:f>IF(AND(L355,ISNUMBER(G355),ISNUMBER(H355)),G355-H355,"n.a.")</x:f>
        <x:v>-21513601.099999994</x:v>
      </x:c>
      <x:c r="J355" s="15" t="n">
        <x:f>IF(AND(L355,ISNUMBER(G355),ISNUMBER(H355),H355&gt;0),(G355-H355)/H355,"n.a.")</x:f>
        <x:v>-0.20032818618906806</x:v>
      </x:c>
      <x:c r="K355" s="19" t="n">
        <x:f>IF(ISNUMBER(J355),ABS(J355),"n.a.")</x:f>
        <x:v>0.20032818618906806</x:v>
      </x:c>
      <x:c r="L355" s="13" t="b">
        <x:v>1</x:v>
      </x:c>
      <x:c r="M355" s="13" t="b">
        <x:v>1</x:v>
      </x:c>
      <x:c r="N355" s="2" t="str">
        <x:v>legacy epoch_status=observed; not exact acquisition proof</x:v>
      </x:c>
      <x:c r="O355" s="2" t="str">
        <x:v>none</x:v>
      </x:c>
      <x:c r="P355" s="2" t="str">
        <x:v>historical source estimate</x:v>
      </x:c>
      <x:c r="Q355" s="2" t="str">
        <x:v>Saved country aggregation; cross-source boundary and pixel-support alignment not certified; legacy observed flag is not acquisition proof</x:v>
      </x:c>
      <x:c r="R355" s="2" t="str">
        <x:v>https://human-settlement.emergency.copernicus.eu/ghs_buS2023.php</x:v>
      </x:c>
      <x:c r="S355" s="13" t="b">
        <x:v>0</x:v>
      </x:c>
      <x:c r="T355" s="13" t="b">
        <x:v>0</x:v>
      </x:c>
    </x:row>
    <x:row r="356" ht="23" customHeight="1">
      <x:c r="A356" s="2" t="str">
        <x:v>SLB</x:v>
      </x:c>
      <x:c r="B356" s="2" t="str">
        <x:v>Solomon Islands</x:v>
      </x:c>
      <x:c r="C356" s="2" t="n">
        <x:v>2020</x:v>
      </x:c>
      <x:c r="D356" s="2" t="str">
        <x:v>GHSL_SURFACE</x:v>
      </x:c>
      <x:c r="E356" s="2" t="str">
        <x:v>horizontal surface / footprint</x:v>
      </x:c>
      <x:c r="F356" s="2" t="str">
        <x:v>m2</x:v>
      </x:c>
      <x:c r="G356" s="17" t="n">
        <x:v>14438629.19</x:v>
      </x:c>
      <x:c r="H356" s="17" t="n">
        <x:v>22068396</x:v>
      </x:c>
      <x:c r="I356" s="17" t="n">
        <x:f>IF(AND(L356,ISNUMBER(G356),ISNUMBER(H356)),G356-H356,"n.a.")</x:f>
        <x:v>-7629766.8100000005</x:v>
      </x:c>
      <x:c r="J356" s="15" t="n">
        <x:f>IF(AND(L356,ISNUMBER(G356),ISNUMBER(H356),H356&gt;0),(G356-H356)/H356,"n.a.")</x:f>
        <x:v>-0.3457327306434052</x:v>
      </x:c>
      <x:c r="K356" s="19" t="n">
        <x:f>IF(ISNUMBER(J356),ABS(J356),"n.a.")</x:f>
        <x:v>0.3457327306434052</x:v>
      </x:c>
      <x:c r="L356" s="13" t="b">
        <x:v>1</x:v>
      </x:c>
      <x:c r="M356" s="13" t="b">
        <x:v>1</x:v>
      </x:c>
      <x:c r="N356" s="2" t="str">
        <x:v>legacy epoch_status=observed; not exact acquisition proof</x:v>
      </x:c>
      <x:c r="O356" s="2" t="str">
        <x:v>none</x:v>
      </x:c>
      <x:c r="P356" s="2" t="str">
        <x:v>historical source estimate</x:v>
      </x:c>
      <x:c r="Q356" s="2" t="str">
        <x:v>Saved country aggregation; cross-source boundary and pixel-support alignment not certified; legacy observed flag is not acquisition proof</x:v>
      </x:c>
      <x:c r="R356" s="2" t="str">
        <x:v>https://human-settlement.emergency.copernicus.eu/ghs_buS2023.php</x:v>
      </x:c>
      <x:c r="S356" s="13" t="b">
        <x:v>0</x:v>
      </x:c>
      <x:c r="T356" s="13" t="b">
        <x:v>0</x:v>
      </x:c>
    </x:row>
    <x:row r="357" ht="23" customHeight="1">
      <x:c r="A357" s="2" t="str">
        <x:v>SLE</x:v>
      </x:c>
      <x:c r="B357" s="2" t="str">
        <x:v>Sierra Leone (Republic of)</x:v>
      </x:c>
      <x:c r="C357" s="2" t="n">
        <x:v>2020</x:v>
      </x:c>
      <x:c r="D357" s="2" t="str">
        <x:v>GHSL_SURFACE</x:v>
      </x:c>
      <x:c r="E357" s="2" t="str">
        <x:v>horizontal surface / footprint</x:v>
      </x:c>
      <x:c r="F357" s="2" t="str">
        <x:v>m2</x:v>
      </x:c>
      <x:c r="G357" s="17" t="n">
        <x:v>115259924.95</x:v>
      </x:c>
      <x:c r="H357" s="17" t="n">
        <x:v>221509991</x:v>
      </x:c>
      <x:c r="I357" s="17" t="n">
        <x:f>IF(AND(L357,ISNUMBER(G357),ISNUMBER(H357)),G357-H357,"n.a.")</x:f>
        <x:v>-106250066.05</x:v>
      </x:c>
      <x:c r="J357" s="15" t="n">
        <x:f>IF(AND(L357,ISNUMBER(G357),ISNUMBER(H357),H357&gt;0),(G357-H357)/H357,"n.a.")</x:f>
        <x:v>-0.47966263539778664</x:v>
      </x:c>
      <x:c r="K357" s="19" t="n">
        <x:f>IF(ISNUMBER(J357),ABS(J357),"n.a.")</x:f>
        <x:v>0.47966263539778664</x:v>
      </x:c>
      <x:c r="L357" s="13" t="b">
        <x:v>1</x:v>
      </x:c>
      <x:c r="M357" s="13" t="b">
        <x:v>1</x:v>
      </x:c>
      <x:c r="N357" s="2" t="str">
        <x:v>legacy epoch_status=observed; not exact acquisition proof</x:v>
      </x:c>
      <x:c r="O357" s="2" t="str">
        <x:v>none</x:v>
      </x:c>
      <x:c r="P357" s="2" t="str">
        <x:v>historical source estimate</x:v>
      </x:c>
      <x:c r="Q357" s="2" t="str">
        <x:v>Saved country aggregation; cross-source boundary and pixel-support alignment not certified; legacy observed flag is not acquisition proof</x:v>
      </x:c>
      <x:c r="R357" s="2" t="str">
        <x:v>https://human-settlement.emergency.copernicus.eu/ghs_buS2023.php</x:v>
      </x:c>
      <x:c r="S357" s="13" t="b">
        <x:v>0</x:v>
      </x:c>
      <x:c r="T357" s="13" t="b">
        <x:v>0</x:v>
      </x:c>
    </x:row>
    <x:row r="358" ht="23" customHeight="1">
      <x:c r="A358" s="2" t="str">
        <x:v>SLV</x:v>
      </x:c>
      <x:c r="B358" s="2" t="str">
        <x:v>El Salvador (Republic of)</x:v>
      </x:c>
      <x:c r="C358" s="2" t="n">
        <x:v>2020</x:v>
      </x:c>
      <x:c r="D358" s="2" t="str">
        <x:v>GHSL_SURFACE</x:v>
      </x:c>
      <x:c r="E358" s="2" t="str">
        <x:v>horizontal surface / footprint</x:v>
      </x:c>
      <x:c r="F358" s="2" t="str">
        <x:v>m2</x:v>
      </x:c>
      <x:c r="G358" s="17" t="n">
        <x:v>245414047.01</x:v>
      </x:c>
      <x:c r="H358" s="17" t="n">
        <x:v>339386096</x:v>
      </x:c>
      <x:c r="I358" s="17" t="n">
        <x:f>IF(AND(L358,ISNUMBER(G358),ISNUMBER(H358)),G358-H358,"n.a.")</x:f>
        <x:v>-93972048.99000001</x:v>
      </x:c>
      <x:c r="J358" s="15" t="n">
        <x:f>IF(AND(L358,ISNUMBER(G358),ISNUMBER(H358),H358&gt;0),(G358-H358)/H358,"n.a.")</x:f>
        <x:v>-0.2768883289491035</x:v>
      </x:c>
      <x:c r="K358" s="19" t="n">
        <x:f>IF(ISNUMBER(J358),ABS(J358),"n.a.")</x:f>
        <x:v>0.2768883289491035</x:v>
      </x:c>
      <x:c r="L358" s="13" t="b">
        <x:v>1</x:v>
      </x:c>
      <x:c r="M358" s="13" t="b">
        <x:v>1</x:v>
      </x:c>
      <x:c r="N358" s="2" t="str">
        <x:v>legacy epoch_status=observed; not exact acquisition proof</x:v>
      </x:c>
      <x:c r="O358" s="2" t="str">
        <x:v>none</x:v>
      </x:c>
      <x:c r="P358" s="2" t="str">
        <x:v>historical source estimate</x:v>
      </x:c>
      <x:c r="Q358" s="2" t="str">
        <x:v>Saved country aggregation; cross-source boundary and pixel-support alignment not certified; legacy observed flag is not acquisition proof</x:v>
      </x:c>
      <x:c r="R358" s="2" t="str">
        <x:v>https://human-settlement.emergency.copernicus.eu/ghs_buS2023.php</x:v>
      </x:c>
      <x:c r="S358" s="13" t="b">
        <x:v>0</x:v>
      </x:c>
      <x:c r="T358" s="13" t="b">
        <x:v>0</x:v>
      </x:c>
    </x:row>
    <x:row r="359" ht="23" customHeight="1">
      <x:c r="A359" s="2" t="str">
        <x:v>SMR</x:v>
      </x:c>
      <x:c r="B359" s="2" t="str">
        <x:v>San Marino (Republic of)</x:v>
      </x:c>
      <x:c r="C359" s="2" t="n">
        <x:v>2020</x:v>
      </x:c>
      <x:c r="D359" s="2" t="str">
        <x:v>GHSL_SURFACE</x:v>
      </x:c>
      <x:c r="E359" s="2" t="str">
        <x:v>horizontal surface / footprint</x:v>
      </x:c>
      <x:c r="F359" s="2" t="str">
        <x:v>m2</x:v>
      </x:c>
      <x:c r="G359" s="17" t="n">
        <x:v>2695532.72</x:v>
      </x:c>
      <x:c r="H359" s="17" t="n">
        <x:v>3935876</x:v>
      </x:c>
      <x:c r="I359" s="17" t="n">
        <x:f>IF(AND(L359,ISNUMBER(G359),ISNUMBER(H359)),G359-H359,"n.a.")</x:f>
        <x:v>-1240343.2799999998</x:v>
      </x:c>
      <x:c r="J359" s="15" t="n">
        <x:f>IF(AND(L359,ISNUMBER(G359),ISNUMBER(H359),H359&gt;0),(G359-H359)/H359,"n.a.")</x:f>
        <x:v>-0.31513779397521663</x:v>
      </x:c>
      <x:c r="K359" s="19" t="n">
        <x:f>IF(ISNUMBER(J359),ABS(J359),"n.a.")</x:f>
        <x:v>0.31513779397521663</x:v>
      </x:c>
      <x:c r="L359" s="13" t="b">
        <x:v>1</x:v>
      </x:c>
      <x:c r="M359" s="13" t="b">
        <x:v>1</x:v>
      </x:c>
      <x:c r="N359" s="2" t="str">
        <x:v>legacy epoch_status=observed; not exact acquisition proof</x:v>
      </x:c>
      <x:c r="O359" s="2" t="str">
        <x:v>none</x:v>
      </x:c>
      <x:c r="P359" s="2" t="str">
        <x:v>historical source estimate</x:v>
      </x:c>
      <x:c r="Q359" s="2" t="str">
        <x:v>Saved country aggregation; cross-source boundary and pixel-support alignment not certified; legacy observed flag is not acquisition proof</x:v>
      </x:c>
      <x:c r="R359" s="2" t="str">
        <x:v>https://human-settlement.emergency.copernicus.eu/ghs_buS2023.php</x:v>
      </x:c>
      <x:c r="S359" s="13" t="b">
        <x:v>0</x:v>
      </x:c>
      <x:c r="T359" s="13" t="b">
        <x:v>0</x:v>
      </x:c>
    </x:row>
    <x:row r="360" ht="23" customHeight="1">
      <x:c r="A360" s="2" t="str">
        <x:v>SOM</x:v>
      </x:c>
      <x:c r="B360" s="2" t="str">
        <x:v>Somalia (Federal Republic of)</x:v>
      </x:c>
      <x:c r="C360" s="2" t="n">
        <x:v>2020</x:v>
      </x:c>
      <x:c r="D360" s="2" t="str">
        <x:v>GHSL_SURFACE</x:v>
      </x:c>
      <x:c r="E360" s="2" t="str">
        <x:v>horizontal surface / footprint</x:v>
      </x:c>
      <x:c r="F360" s="2" t="str">
        <x:v>m2</x:v>
      </x:c>
      <x:c r="G360" s="17" t="n">
        <x:v>134848326.33</x:v>
      </x:c>
      <x:c r="H360" s="17" t="n">
        <x:v>234315715</x:v>
      </x:c>
      <x:c r="I360" s="17" t="n">
        <x:f>IF(AND(L360,ISNUMBER(G360),ISNUMBER(H360)),G360-H360,"n.a.")</x:f>
        <x:v>-99467388.66999999</x:v>
      </x:c>
      <x:c r="J360" s="15" t="n">
        <x:f>IF(AND(L360,ISNUMBER(G360),ISNUMBER(H360),H360&gt;0),(G360-H360)/H360,"n.a.")</x:f>
        <x:v>-0.42450156904755615</x:v>
      </x:c>
      <x:c r="K360" s="19" t="n">
        <x:f>IF(ISNUMBER(J360),ABS(J360),"n.a.")</x:f>
        <x:v>0.42450156904755615</x:v>
      </x:c>
      <x:c r="L360" s="13" t="b">
        <x:v>1</x:v>
      </x:c>
      <x:c r="M360" s="13" t="b">
        <x:v>1</x:v>
      </x:c>
      <x:c r="N360" s="2" t="str">
        <x:v>legacy epoch_status=observed; not exact acquisition proof</x:v>
      </x:c>
      <x:c r="O360" s="2" t="str">
        <x:v>none</x:v>
      </x:c>
      <x:c r="P360" s="2" t="str">
        <x:v>historical source estimate</x:v>
      </x:c>
      <x:c r="Q360" s="2" t="str">
        <x:v>Saved country aggregation; cross-source boundary and pixel-support alignment not certified; legacy observed flag is not acquisition proof</x:v>
      </x:c>
      <x:c r="R360" s="2" t="str">
        <x:v>https://human-settlement.emergency.copernicus.eu/ghs_buS2023.php</x:v>
      </x:c>
      <x:c r="S360" s="13" t="b">
        <x:v>0</x:v>
      </x:c>
      <x:c r="T360" s="13" t="b">
        <x:v>0</x:v>
      </x:c>
    </x:row>
    <x:row r="361" ht="23" customHeight="1">
      <x:c r="A361" s="2" t="str">
        <x:v>SRB</x:v>
      </x:c>
      <x:c r="B361" s="2" t="str">
        <x:v>Serbia (Republic of)</x:v>
      </x:c>
      <x:c r="C361" s="2" t="n">
        <x:v>2020</x:v>
      </x:c>
      <x:c r="D361" s="2" t="str">
        <x:v>GHSL_SURFACE</x:v>
      </x:c>
      <x:c r="E361" s="2" t="str">
        <x:v>horizontal surface / footprint</x:v>
      </x:c>
      <x:c r="F361" s="2" t="str">
        <x:v>m2</x:v>
      </x:c>
      <x:c r="G361" s="17" t="n">
        <x:v>584520286.21</x:v>
      </x:c>
      <x:c r="H361" s="17" t="n">
        <x:v>808806773</x:v>
      </x:c>
      <x:c r="I361" s="17" t="n">
        <x:f>IF(AND(L361,ISNUMBER(G361),ISNUMBER(H361)),G361-H361,"n.a.")</x:f>
        <x:v>-224286486.78999996</x:v>
      </x:c>
      <x:c r="J361" s="15" t="n">
        <x:f>IF(AND(L361,ISNUMBER(G361),ISNUMBER(H361),H361&gt;0),(G361-H361)/H361,"n.a.")</x:f>
        <x:v>-0.27730540133595044</x:v>
      </x:c>
      <x:c r="K361" s="19" t="n">
        <x:f>IF(ISNUMBER(J361),ABS(J361),"n.a.")</x:f>
        <x:v>0.27730540133595044</x:v>
      </x:c>
      <x:c r="L361" s="13" t="b">
        <x:v>1</x:v>
      </x:c>
      <x:c r="M361" s="13" t="b">
        <x:v>1</x:v>
      </x:c>
      <x:c r="N361" s="2" t="str">
        <x:v>legacy epoch_status=observed; not exact acquisition proof</x:v>
      </x:c>
      <x:c r="O361" s="2" t="str">
        <x:v>none</x:v>
      </x:c>
      <x:c r="P361" s="2" t="str">
        <x:v>historical source estimate</x:v>
      </x:c>
      <x:c r="Q361" s="2" t="str">
        <x:v>Saved country aggregation; cross-source boundary and pixel-support alignment not certified; legacy observed flag is not acquisition proof</x:v>
      </x:c>
      <x:c r="R361" s="2" t="str">
        <x:v>https://human-settlement.emergency.copernicus.eu/ghs_buS2023.php</x:v>
      </x:c>
      <x:c r="S361" s="13" t="b">
        <x:v>0</x:v>
      </x:c>
      <x:c r="T361" s="13" t="b">
        <x:v>0</x:v>
      </x:c>
    </x:row>
    <x:row r="362" ht="23" customHeight="1">
      <x:c r="A362" s="2" t="str">
        <x:v>SSD</x:v>
      </x:c>
      <x:c r="B362" s="2" t="str">
        <x:v>South Sudan (Republic of)</x:v>
      </x:c>
      <x:c r="C362" s="2" t="n">
        <x:v>2020</x:v>
      </x:c>
      <x:c r="D362" s="2" t="str">
        <x:v>GHSL_SURFACE</x:v>
      </x:c>
      <x:c r="E362" s="2" t="str">
        <x:v>horizontal surface / footprint</x:v>
      </x:c>
      <x:c r="F362" s="2" t="str">
        <x:v>m2</x:v>
      </x:c>
      <x:c r="G362" s="17" t="n">
        <x:v>82483216.59</x:v>
      </x:c>
      <x:c r="H362" s="17" t="n">
        <x:v>193596976</x:v>
      </x:c>
      <x:c r="I362" s="17" t="n">
        <x:f>IF(AND(L362,ISNUMBER(G362),ISNUMBER(H362)),G362-H362,"n.a.")</x:f>
        <x:v>-111113759.41</x:v>
      </x:c>
      <x:c r="J362" s="15" t="n">
        <x:f>IF(AND(L362,ISNUMBER(G362),ISNUMBER(H362),H362&gt;0),(G362-H362)/H362,"n.a.")</x:f>
        <x:v>-0.5739436726015803</x:v>
      </x:c>
      <x:c r="K362" s="19" t="n">
        <x:f>IF(ISNUMBER(J362),ABS(J362),"n.a.")</x:f>
        <x:v>0.5739436726015803</x:v>
      </x:c>
      <x:c r="L362" s="13" t="b">
        <x:v>1</x:v>
      </x:c>
      <x:c r="M362" s="13" t="b">
        <x:v>1</x:v>
      </x:c>
      <x:c r="N362" s="2" t="str">
        <x:v>legacy epoch_status=observed; not exact acquisition proof</x:v>
      </x:c>
      <x:c r="O362" s="2" t="str">
        <x:v>none</x:v>
      </x:c>
      <x:c r="P362" s="2" t="str">
        <x:v>historical source estimate</x:v>
      </x:c>
      <x:c r="Q362" s="2" t="str">
        <x:v>Saved country aggregation; cross-source boundary and pixel-support alignment not certified; legacy observed flag is not acquisition proof</x:v>
      </x:c>
      <x:c r="R362" s="2" t="str">
        <x:v>https://human-settlement.emergency.copernicus.eu/ghs_buS2023.php</x:v>
      </x:c>
      <x:c r="S362" s="13" t="b">
        <x:v>0</x:v>
      </x:c>
      <x:c r="T362" s="13" t="b">
        <x:v>0</x:v>
      </x:c>
    </x:row>
    <x:row r="363" ht="23" customHeight="1">
      <x:c r="A363" s="2" t="str">
        <x:v>STP</x:v>
      </x:c>
      <x:c r="B363" s="2" t="str">
        <x:v>Sao Tome and Principe (Democratic Republic of)</x:v>
      </x:c>
      <x:c r="C363" s="2" t="n">
        <x:v>2020</x:v>
      </x:c>
      <x:c r="D363" s="2" t="str">
        <x:v>GHSL_SURFACE</x:v>
      </x:c>
      <x:c r="E363" s="2" t="str">
        <x:v>horizontal surface / footprint</x:v>
      </x:c>
      <x:c r="F363" s="2" t="str">
        <x:v>m2</x:v>
      </x:c>
      <x:c r="G363" s="17" t="n">
        <x:v>6153544.55</x:v>
      </x:c>
      <x:c r="H363" s="17" t="n">
        <x:v>7042445</x:v>
      </x:c>
      <x:c r="I363" s="17" t="n">
        <x:f>IF(AND(L363,ISNUMBER(G363),ISNUMBER(H363)),G363-H363,"n.a.")</x:f>
        <x:v>-888900.4500000002</x:v>
      </x:c>
      <x:c r="J363" s="15" t="n">
        <x:f>IF(AND(L363,ISNUMBER(G363),ISNUMBER(H363),H363&gt;0),(G363-H363)/H363,"n.a.")</x:f>
        <x:v>-0.12622043196645485</x:v>
      </x:c>
      <x:c r="K363" s="19" t="n">
        <x:f>IF(ISNUMBER(J363),ABS(J363),"n.a.")</x:f>
        <x:v>0.12622043196645485</x:v>
      </x:c>
      <x:c r="L363" s="13" t="b">
        <x:v>1</x:v>
      </x:c>
      <x:c r="M363" s="13" t="b">
        <x:v>1</x:v>
      </x:c>
      <x:c r="N363" s="2" t="str">
        <x:v>legacy epoch_status=observed; not exact acquisition proof</x:v>
      </x:c>
      <x:c r="O363" s="2" t="str">
        <x:v>none</x:v>
      </x:c>
      <x:c r="P363" s="2" t="str">
        <x:v>historical source estimate</x:v>
      </x:c>
      <x:c r="Q363" s="2" t="str">
        <x:v>Saved country aggregation; cross-source boundary and pixel-support alignment not certified; legacy observed flag is not acquisition proof</x:v>
      </x:c>
      <x:c r="R363" s="2" t="str">
        <x:v>https://human-settlement.emergency.copernicus.eu/ghs_buS2023.php</x:v>
      </x:c>
      <x:c r="S363" s="13" t="b">
        <x:v>0</x:v>
      </x:c>
      <x:c r="T363" s="13" t="b">
        <x:v>0</x:v>
      </x:c>
    </x:row>
    <x:row r="364" ht="23" customHeight="1">
      <x:c r="A364" s="2" t="str">
        <x:v>SUR</x:v>
      </x:c>
      <x:c r="B364" s="2" t="str">
        <x:v>Suriname (Republic of)</x:v>
      </x:c>
      <x:c r="C364" s="2" t="n">
        <x:v>2020</x:v>
      </x:c>
      <x:c r="D364" s="2" t="str">
        <x:v>GHSL_SURFACE</x:v>
      </x:c>
      <x:c r="E364" s="2" t="str">
        <x:v>horizontal surface / footprint</x:v>
      </x:c>
      <x:c r="F364" s="2" t="str">
        <x:v>m2</x:v>
      </x:c>
      <x:c r="G364" s="17" t="n">
        <x:v>50598825.22</x:v>
      </x:c>
      <x:c r="H364" s="17" t="n">
        <x:v>67839211</x:v>
      </x:c>
      <x:c r="I364" s="17" t="n">
        <x:f>IF(AND(L364,ISNUMBER(G364),ISNUMBER(H364)),G364-H364,"n.a.")</x:f>
        <x:v>-17240385.78</x:v>
      </x:c>
      <x:c r="J364" s="15" t="n">
        <x:f>IF(AND(L364,ISNUMBER(G364),ISNUMBER(H364),H364&gt;0),(G364-H364)/H364,"n.a.")</x:f>
        <x:v>-0.2541360007857403</x:v>
      </x:c>
      <x:c r="K364" s="19" t="n">
        <x:f>IF(ISNUMBER(J364),ABS(J364),"n.a.")</x:f>
        <x:v>0.2541360007857403</x:v>
      </x:c>
      <x:c r="L364" s="13" t="b">
        <x:v>1</x:v>
      </x:c>
      <x:c r="M364" s="13" t="b">
        <x:v>1</x:v>
      </x:c>
      <x:c r="N364" s="2" t="str">
        <x:v>legacy epoch_status=observed; not exact acquisition proof</x:v>
      </x:c>
      <x:c r="O364" s="2" t="str">
        <x:v>none</x:v>
      </x:c>
      <x:c r="P364" s="2" t="str">
        <x:v>historical source estimate</x:v>
      </x:c>
      <x:c r="Q364" s="2" t="str">
        <x:v>Saved country aggregation; cross-source boundary and pixel-support alignment not certified; legacy observed flag is not acquisition proof</x:v>
      </x:c>
      <x:c r="R364" s="2" t="str">
        <x:v>https://human-settlement.emergency.copernicus.eu/ghs_buS2023.php</x:v>
      </x:c>
      <x:c r="S364" s="13" t="b">
        <x:v>0</x:v>
      </x:c>
      <x:c r="T364" s="13" t="b">
        <x:v>0</x:v>
      </x:c>
    </x:row>
    <x:row r="365" ht="23" customHeight="1">
      <x:c r="A365" s="2" t="str">
        <x:v>SVK</x:v>
      </x:c>
      <x:c r="B365" s="2" t="str">
        <x:v>Slovakia (Slovak Republic)</x:v>
      </x:c>
      <x:c r="C365" s="2" t="n">
        <x:v>2020</x:v>
      </x:c>
      <x:c r="D365" s="2" t="str">
        <x:v>GHSL_SURFACE</x:v>
      </x:c>
      <x:c r="E365" s="2" t="str">
        <x:v>horizontal surface / footprint</x:v>
      </x:c>
      <x:c r="F365" s="2" t="str">
        <x:v>m2</x:v>
      </x:c>
      <x:c r="G365" s="17" t="n">
        <x:v>387594933.19</x:v>
      </x:c>
      <x:c r="H365" s="17" t="n">
        <x:v>675522198</x:v>
      </x:c>
      <x:c r="I365" s="17" t="n">
        <x:f>IF(AND(L365,ISNUMBER(G365),ISNUMBER(H365)),G365-H365,"n.a.")</x:f>
        <x:v>-287927264.81</x:v>
      </x:c>
      <x:c r="J365" s="15" t="n">
        <x:f>IF(AND(L365,ISNUMBER(G365),ISNUMBER(H365),H365&gt;0),(G365-H365)/H365,"n.a.")</x:f>
        <x:v>-0.42622916857870596</x:v>
      </x:c>
      <x:c r="K365" s="19" t="n">
        <x:f>IF(ISNUMBER(J365),ABS(J365),"n.a.")</x:f>
        <x:v>0.42622916857870596</x:v>
      </x:c>
      <x:c r="L365" s="13" t="b">
        <x:v>1</x:v>
      </x:c>
      <x:c r="M365" s="13" t="b">
        <x:v>1</x:v>
      </x:c>
      <x:c r="N365" s="2" t="str">
        <x:v>legacy epoch_status=observed; not exact acquisition proof</x:v>
      </x:c>
      <x:c r="O365" s="2" t="str">
        <x:v>none</x:v>
      </x:c>
      <x:c r="P365" s="2" t="str">
        <x:v>historical source estimate</x:v>
      </x:c>
      <x:c r="Q365" s="2" t="str">
        <x:v>Saved country aggregation; cross-source boundary and pixel-support alignment not certified; legacy observed flag is not acquisition proof</x:v>
      </x:c>
      <x:c r="R365" s="2" t="str">
        <x:v>https://human-settlement.emergency.copernicus.eu/ghs_buS2023.php</x:v>
      </x:c>
      <x:c r="S365" s="13" t="b">
        <x:v>0</x:v>
      </x:c>
      <x:c r="T365" s="13" t="b">
        <x:v>0</x:v>
      </x:c>
    </x:row>
    <x:row r="366" ht="23" customHeight="1">
      <x:c r="A366" s="2" t="str">
        <x:v>SVN</x:v>
      </x:c>
      <x:c r="B366" s="2" t="str">
        <x:v>Slovenia (Republic of)</x:v>
      </x:c>
      <x:c r="C366" s="2" t="n">
        <x:v>2020</x:v>
      </x:c>
      <x:c r="D366" s="2" t="str">
        <x:v>GHSL_SURFACE</x:v>
      </x:c>
      <x:c r="E366" s="2" t="str">
        <x:v>horizontal surface / footprint</x:v>
      </x:c>
      <x:c r="F366" s="2" t="str">
        <x:v>m2</x:v>
      </x:c>
      <x:c r="G366" s="17" t="n">
        <x:v>188783306.59</x:v>
      </x:c>
      <x:c r="H366" s="17" t="n">
        <x:v>254790018</x:v>
      </x:c>
      <x:c r="I366" s="17" t="n">
        <x:f>IF(AND(L366,ISNUMBER(G366),ISNUMBER(H366)),G366-H366,"n.a.")</x:f>
        <x:v>-66006711.41</x:v>
      </x:c>
      <x:c r="J366" s="15" t="n">
        <x:f>IF(AND(L366,ISNUMBER(G366),ISNUMBER(H366),H366&gt;0),(G366-H366)/H366,"n.a.")</x:f>
        <x:v>-0.2590631765252279</x:v>
      </x:c>
      <x:c r="K366" s="19" t="n">
        <x:f>IF(ISNUMBER(J366),ABS(J366),"n.a.")</x:f>
        <x:v>0.2590631765252279</x:v>
      </x:c>
      <x:c r="L366" s="13" t="b">
        <x:v>1</x:v>
      </x:c>
      <x:c r="M366" s="13" t="b">
        <x:v>1</x:v>
      </x:c>
      <x:c r="N366" s="2" t="str">
        <x:v>legacy epoch_status=observed; not exact acquisition proof</x:v>
      </x:c>
      <x:c r="O366" s="2" t="str">
        <x:v>none</x:v>
      </x:c>
      <x:c r="P366" s="2" t="str">
        <x:v>historical source estimate</x:v>
      </x:c>
      <x:c r="Q366" s="2" t="str">
        <x:v>Saved country aggregation; cross-source boundary and pixel-support alignment not certified; legacy observed flag is not acquisition proof</x:v>
      </x:c>
      <x:c r="R366" s="2" t="str">
        <x:v>https://human-settlement.emergency.copernicus.eu/ghs_buS2023.php</x:v>
      </x:c>
      <x:c r="S366" s="13" t="b">
        <x:v>0</x:v>
      </x:c>
      <x:c r="T366" s="13" t="b">
        <x:v>0</x:v>
      </x:c>
    </x:row>
    <x:row r="367" ht="23" customHeight="1">
      <x:c r="A367" s="2" t="str">
        <x:v>SWE</x:v>
      </x:c>
      <x:c r="B367" s="2" t="str">
        <x:v>Sweden (Kingdom of)</x:v>
      </x:c>
      <x:c r="C367" s="2" t="n">
        <x:v>2020</x:v>
      </x:c>
      <x:c r="D367" s="2" t="str">
        <x:v>GHSL_SURFACE</x:v>
      </x:c>
      <x:c r="E367" s="2" t="str">
        <x:v>horizontal surface / footprint</x:v>
      </x:c>
      <x:c r="F367" s="2" t="str">
        <x:v>m2</x:v>
      </x:c>
      <x:c r="G367" s="17" t="n">
        <x:v>853123931.52</x:v>
      </x:c>
      <x:c r="H367" s="17" t="n">
        <x:v>896337955</x:v>
      </x:c>
      <x:c r="I367" s="17" t="n">
        <x:f>IF(AND(L367,ISNUMBER(G367),ISNUMBER(H367)),G367-H367,"n.a.")</x:f>
        <x:v>-43214023.48000002</x:v>
      </x:c>
      <x:c r="J367" s="15" t="n">
        <x:f>IF(AND(L367,ISNUMBER(G367),ISNUMBER(H367),H367&gt;0),(G367-H367)/H367,"n.a.")</x:f>
        <x:v>-0.0482117523183541</x:v>
      </x:c>
      <x:c r="K367" s="19" t="n">
        <x:f>IF(ISNUMBER(J367),ABS(J367),"n.a.")</x:f>
        <x:v>0.0482117523183541</x:v>
      </x:c>
      <x:c r="L367" s="13" t="b">
        <x:v>1</x:v>
      </x:c>
      <x:c r="M367" s="13" t="b">
        <x:v>1</x:v>
      </x:c>
      <x:c r="N367" s="2" t="str">
        <x:v>legacy epoch_status=observed; not exact acquisition proof</x:v>
      </x:c>
      <x:c r="O367" s="2" t="str">
        <x:v>none</x:v>
      </x:c>
      <x:c r="P367" s="2" t="str">
        <x:v>historical source estimate</x:v>
      </x:c>
      <x:c r="Q367" s="2" t="str">
        <x:v>Saved country aggregation; cross-source boundary and pixel-support alignment not certified; legacy observed flag is not acquisition proof</x:v>
      </x:c>
      <x:c r="R367" s="2" t="str">
        <x:v>https://human-settlement.emergency.copernicus.eu/ghs_buS2023.php</x:v>
      </x:c>
      <x:c r="S367" s="13" t="b">
        <x:v>0</x:v>
      </x:c>
      <x:c r="T367" s="13" t="b">
        <x:v>0</x:v>
      </x:c>
    </x:row>
    <x:row r="368" ht="23" customHeight="1">
      <x:c r="A368" s="2" t="str">
        <x:v>SWZ</x:v>
      </x:c>
      <x:c r="B368" s="2" t="str">
        <x:v>Eswatini (Kingdom of)</x:v>
      </x:c>
      <x:c r="C368" s="2" t="n">
        <x:v>2020</x:v>
      </x:c>
      <x:c r="D368" s="2" t="str">
        <x:v>GHSL_SURFACE</x:v>
      </x:c>
      <x:c r="E368" s="2" t="str">
        <x:v>horizontal surface / footprint</x:v>
      </x:c>
      <x:c r="F368" s="2" t="str">
        <x:v>m2</x:v>
      </x:c>
      <x:c r="G368" s="17" t="n">
        <x:v>51228621.63</x:v>
      </x:c>
      <x:c r="H368" s="17" t="n">
        <x:v>159842879</x:v>
      </x:c>
      <x:c r="I368" s="17" t="n">
        <x:f>IF(AND(L368,ISNUMBER(G368),ISNUMBER(H368)),G368-H368,"n.a.")</x:f>
        <x:v>-108614257.37</x:v>
      </x:c>
      <x:c r="J368" s="15" t="n">
        <x:f>IF(AND(L368,ISNUMBER(G368),ISNUMBER(H368),H368&gt;0),(G368-H368)/H368,"n.a.")</x:f>
        <x:v>-0.679506388082512</x:v>
      </x:c>
      <x:c r="K368" s="19" t="n">
        <x:f>IF(ISNUMBER(J368),ABS(J368),"n.a.")</x:f>
        <x:v>0.679506388082512</x:v>
      </x:c>
      <x:c r="L368" s="13" t="b">
        <x:v>1</x:v>
      </x:c>
      <x:c r="M368" s="13" t="b">
        <x:v>1</x:v>
      </x:c>
      <x:c r="N368" s="2" t="str">
        <x:v>legacy epoch_status=observed; not exact acquisition proof</x:v>
      </x:c>
      <x:c r="O368" s="2" t="str">
        <x:v>none</x:v>
      </x:c>
      <x:c r="P368" s="2" t="str">
        <x:v>historical source estimate</x:v>
      </x:c>
      <x:c r="Q368" s="2" t="str">
        <x:v>Saved country aggregation; cross-source boundary and pixel-support alignment not certified; legacy observed flag is not acquisition proof</x:v>
      </x:c>
      <x:c r="R368" s="2" t="str">
        <x:v>https://human-settlement.emergency.copernicus.eu/ghs_buS2023.php</x:v>
      </x:c>
      <x:c r="S368" s="13" t="b">
        <x:v>0</x:v>
      </x:c>
      <x:c r="T368" s="13" t="b">
        <x:v>0</x:v>
      </x:c>
    </x:row>
    <x:row r="369" ht="23" customHeight="1">
      <x:c r="A369" s="2" t="str">
        <x:v>SYC</x:v>
      </x:c>
      <x:c r="B369" s="2" t="str">
        <x:v>Seychelles (Republic of)</x:v>
      </x:c>
      <x:c r="C369" s="2" t="n">
        <x:v>2020</x:v>
      </x:c>
      <x:c r="D369" s="2" t="str">
        <x:v>GHSL_SURFACE</x:v>
      </x:c>
      <x:c r="E369" s="2" t="str">
        <x:v>horizontal surface / footprint</x:v>
      </x:c>
      <x:c r="F369" s="2" t="str">
        <x:v>m2</x:v>
      </x:c>
      <x:c r="G369" s="17" t="n">
        <x:v>7317572.88</x:v>
      </x:c>
      <x:c r="H369" s="17" t="n">
        <x:v>4373119</x:v>
      </x:c>
      <x:c r="I369" s="17" t="n">
        <x:f>IF(AND(L369,ISNUMBER(G369),ISNUMBER(H369)),G369-H369,"n.a.")</x:f>
        <x:v>2944453.88</x:v>
      </x:c>
      <x:c r="J369" s="15" t="n">
        <x:f>IF(AND(L369,ISNUMBER(G369),ISNUMBER(H369),H369&gt;0),(G369-H369)/H369,"n.a.")</x:f>
        <x:v>0.6733075134703629</x:v>
      </x:c>
      <x:c r="K369" s="19" t="n">
        <x:f>IF(ISNUMBER(J369),ABS(J369),"n.a.")</x:f>
        <x:v>0.6733075134703629</x:v>
      </x:c>
      <x:c r="L369" s="13" t="b">
        <x:v>1</x:v>
      </x:c>
      <x:c r="M369" s="13" t="b">
        <x:v>1</x:v>
      </x:c>
      <x:c r="N369" s="2" t="str">
        <x:v>legacy epoch_status=observed; not exact acquisition proof</x:v>
      </x:c>
      <x:c r="O369" s="2" t="str">
        <x:v>none</x:v>
      </x:c>
      <x:c r="P369" s="2" t="str">
        <x:v>historical source estimate</x:v>
      </x:c>
      <x:c r="Q369" s="2" t="str">
        <x:v>Saved country aggregation; cross-source boundary and pixel-support alignment not certified; legacy observed flag is not acquisition proof</x:v>
      </x:c>
      <x:c r="R369" s="2" t="str">
        <x:v>https://human-settlement.emergency.copernicus.eu/ghs_buS2023.php</x:v>
      </x:c>
      <x:c r="S369" s="13" t="b">
        <x:v>0</x:v>
      </x:c>
      <x:c r="T369" s="13" t="b">
        <x:v>0</x:v>
      </x:c>
    </x:row>
    <x:row r="370" ht="23" customHeight="1">
      <x:c r="A370" s="2" t="str">
        <x:v>SYR</x:v>
      </x:c>
      <x:c r="B370" s="2" t="str">
        <x:v>Syrian Arab Republic</x:v>
      </x:c>
      <x:c r="C370" s="2" t="n">
        <x:v>2020</x:v>
      </x:c>
      <x:c r="D370" s="2" t="str">
        <x:v>GHSL_SURFACE</x:v>
      </x:c>
      <x:c r="E370" s="2" t="str">
        <x:v>horizontal surface / footprint</x:v>
      </x:c>
      <x:c r="F370" s="2" t="str">
        <x:v>m2</x:v>
      </x:c>
      <x:c r="G370" s="17" t="n">
        <x:v>784392266.01</x:v>
      </x:c>
      <x:c r="H370" s="17" t="n">
        <x:v>965574253</x:v>
      </x:c>
      <x:c r="I370" s="17" t="n">
        <x:f>IF(AND(L370,ISNUMBER(G370),ISNUMBER(H370)),G370-H370,"n.a.")</x:f>
        <x:v>-181181986.99</x:v>
      </x:c>
      <x:c r="J370" s="15" t="n">
        <x:f>IF(AND(L370,ISNUMBER(G370),ISNUMBER(H370),H370&gt;0),(G370-H370)/H370,"n.a.")</x:f>
        <x:v>-0.18764169241989928</x:v>
      </x:c>
      <x:c r="K370" s="19" t="n">
        <x:f>IF(ISNUMBER(J370),ABS(J370),"n.a.")</x:f>
        <x:v>0.18764169241989928</x:v>
      </x:c>
      <x:c r="L370" s="13" t="b">
        <x:v>1</x:v>
      </x:c>
      <x:c r="M370" s="13" t="b">
        <x:v>1</x:v>
      </x:c>
      <x:c r="N370" s="2" t="str">
        <x:v>legacy epoch_status=observed; not exact acquisition proof</x:v>
      </x:c>
      <x:c r="O370" s="2" t="str">
        <x:v>none</x:v>
      </x:c>
      <x:c r="P370" s="2" t="str">
        <x:v>historical source estimate</x:v>
      </x:c>
      <x:c r="Q370" s="2" t="str">
        <x:v>Saved country aggregation; cross-source boundary and pixel-support alignment not certified; legacy observed flag is not acquisition proof</x:v>
      </x:c>
      <x:c r="R370" s="2" t="str">
        <x:v>https://human-settlement.emergency.copernicus.eu/ghs_buS2023.php</x:v>
      </x:c>
      <x:c r="S370" s="13" t="b">
        <x:v>0</x:v>
      </x:c>
      <x:c r="T370" s="13" t="b">
        <x:v>0</x:v>
      </x:c>
    </x:row>
    <x:row r="371" ht="23" customHeight="1">
      <x:c r="A371" s="2" t="str">
        <x:v>TCD</x:v>
      </x:c>
      <x:c r="B371" s="2" t="str">
        <x:v>Chad (Republic of)</x:v>
      </x:c>
      <x:c r="C371" s="2" t="n">
        <x:v>2020</x:v>
      </x:c>
      <x:c r="D371" s="2" t="str">
        <x:v>GHSL_SURFACE</x:v>
      </x:c>
      <x:c r="E371" s="2" t="str">
        <x:v>horizontal surface / footprint</x:v>
      </x:c>
      <x:c r="F371" s="2" t="str">
        <x:v>m2</x:v>
      </x:c>
      <x:c r="G371" s="17" t="n">
        <x:v>126450494.22</x:v>
      </x:c>
      <x:c r="H371" s="17" t="n">
        <x:v>555299723</x:v>
      </x:c>
      <x:c r="I371" s="17" t="n">
        <x:f>IF(AND(L371,ISNUMBER(G371),ISNUMBER(H371)),G371-H371,"n.a.")</x:f>
        <x:v>-428849228.78</x:v>
      </x:c>
      <x:c r="J371" s="15" t="n">
        <x:f>IF(AND(L371,ISNUMBER(G371),ISNUMBER(H371),H371&gt;0),(G371-H371)/H371,"n.a.")</x:f>
        <x:v>-0.7722842476188305</x:v>
      </x:c>
      <x:c r="K371" s="19" t="n">
        <x:f>IF(ISNUMBER(J371),ABS(J371),"n.a.")</x:f>
        <x:v>0.7722842476188305</x:v>
      </x:c>
      <x:c r="L371" s="13" t="b">
        <x:v>1</x:v>
      </x:c>
      <x:c r="M371" s="13" t="b">
        <x:v>1</x:v>
      </x:c>
      <x:c r="N371" s="2" t="str">
        <x:v>legacy epoch_status=observed; not exact acquisition proof</x:v>
      </x:c>
      <x:c r="O371" s="2" t="str">
        <x:v>none</x:v>
      </x:c>
      <x:c r="P371" s="2" t="str">
        <x:v>historical source estimate</x:v>
      </x:c>
      <x:c r="Q371" s="2" t="str">
        <x:v>Saved country aggregation; cross-source boundary and pixel-support alignment not certified; legacy observed flag is not acquisition proof</x:v>
      </x:c>
      <x:c r="R371" s="2" t="str">
        <x:v>https://human-settlement.emergency.copernicus.eu/ghs_buS2023.php</x:v>
      </x:c>
      <x:c r="S371" s="13" t="b">
        <x:v>0</x:v>
      </x:c>
      <x:c r="T371" s="13" t="b">
        <x:v>0</x:v>
      </x:c>
    </x:row>
    <x:row r="372" ht="23" customHeight="1">
      <x:c r="A372" s="2" t="str">
        <x:v>TGO</x:v>
      </x:c>
      <x:c r="B372" s="2" t="str">
        <x:v>Togo (Togolese Republic)</x:v>
      </x:c>
      <x:c r="C372" s="2" t="n">
        <x:v>2020</x:v>
      </x:c>
      <x:c r="D372" s="2" t="str">
        <x:v>GHSL_SURFACE</x:v>
      </x:c>
      <x:c r="E372" s="2" t="str">
        <x:v>horizontal surface / footprint</x:v>
      </x:c>
      <x:c r="F372" s="2" t="str">
        <x:v>m2</x:v>
      </x:c>
      <x:c r="G372" s="17" t="n">
        <x:v>185693532.73</x:v>
      </x:c>
      <x:c r="H372" s="17" t="n">
        <x:v>468331079</x:v>
      </x:c>
      <x:c r="I372" s="17" t="n">
        <x:f>IF(AND(L372,ISNUMBER(G372),ISNUMBER(H372)),G372-H372,"n.a.")</x:f>
        <x:v>-282637546.27</x:v>
      </x:c>
      <x:c r="J372" s="15" t="n">
        <x:f>IF(AND(L372,ISNUMBER(G372),ISNUMBER(H372),H372&gt;0),(G372-H372)/H372,"n.a.")</x:f>
        <x:v>-0.6034994450368304</x:v>
      </x:c>
      <x:c r="K372" s="19" t="n">
        <x:f>IF(ISNUMBER(J372),ABS(J372),"n.a.")</x:f>
        <x:v>0.6034994450368304</x:v>
      </x:c>
      <x:c r="L372" s="13" t="b">
        <x:v>1</x:v>
      </x:c>
      <x:c r="M372" s="13" t="b">
        <x:v>1</x:v>
      </x:c>
      <x:c r="N372" s="2" t="str">
        <x:v>legacy epoch_status=observed; not exact acquisition proof</x:v>
      </x:c>
      <x:c r="O372" s="2" t="str">
        <x:v>none</x:v>
      </x:c>
      <x:c r="P372" s="2" t="str">
        <x:v>historical source estimate</x:v>
      </x:c>
      <x:c r="Q372" s="2" t="str">
        <x:v>Saved country aggregation; cross-source boundary and pixel-support alignment not certified; legacy observed flag is not acquisition proof</x:v>
      </x:c>
      <x:c r="R372" s="2" t="str">
        <x:v>https://human-settlement.emergency.copernicus.eu/ghs_buS2023.php</x:v>
      </x:c>
      <x:c r="S372" s="13" t="b">
        <x:v>0</x:v>
      </x:c>
      <x:c r="T372" s="13" t="b">
        <x:v>0</x:v>
      </x:c>
    </x:row>
    <x:row r="373" ht="23" customHeight="1">
      <x:c r="A373" s="2" t="str">
        <x:v>THA</x:v>
      </x:c>
      <x:c r="B373" s="2" t="str">
        <x:v>Thailand (Kingdom of)</x:v>
      </x:c>
      <x:c r="C373" s="2" t="n">
        <x:v>2020</x:v>
      </x:c>
      <x:c r="D373" s="2" t="str">
        <x:v>GHSL_SURFACE</x:v>
      </x:c>
      <x:c r="E373" s="2" t="str">
        <x:v>horizontal surface / footprint</x:v>
      </x:c>
      <x:c r="F373" s="2" t="str">
        <x:v>m2</x:v>
      </x:c>
      <x:c r="G373" s="17" t="n">
        <x:v>5229846890.15</x:v>
      </x:c>
      <x:c r="H373" s="17" t="n">
        <x:v>6682044283</x:v>
      </x:c>
      <x:c r="I373" s="17" t="n">
        <x:f>IF(AND(L373,ISNUMBER(G373),ISNUMBER(H373)),G373-H373,"n.a.")</x:f>
        <x:v>-1452197392.8500004</x:v>
      </x:c>
      <x:c r="J373" s="15" t="n">
        <x:f>IF(AND(L373,ISNUMBER(G373),ISNUMBER(H373),H373&gt;0),(G373-H373)/H373,"n.a.")</x:f>
        <x:v>-0.21732831022155624</x:v>
      </x:c>
      <x:c r="K373" s="19" t="n">
        <x:f>IF(ISNUMBER(J373),ABS(J373),"n.a.")</x:f>
        <x:v>0.21732831022155624</x:v>
      </x:c>
      <x:c r="L373" s="13" t="b">
        <x:v>1</x:v>
      </x:c>
      <x:c r="M373" s="13" t="b">
        <x:v>1</x:v>
      </x:c>
      <x:c r="N373" s="2" t="str">
        <x:v>legacy epoch_status=observed; not exact acquisition proof</x:v>
      </x:c>
      <x:c r="O373" s="2" t="str">
        <x:v>none</x:v>
      </x:c>
      <x:c r="P373" s="2" t="str">
        <x:v>historical source estimate</x:v>
      </x:c>
      <x:c r="Q373" s="2" t="str">
        <x:v>Saved country aggregation; cross-source boundary and pixel-support alignment not certified; legacy observed flag is not acquisition proof</x:v>
      </x:c>
      <x:c r="R373" s="2" t="str">
        <x:v>https://human-settlement.emergency.copernicus.eu/ghs_buS2023.php</x:v>
      </x:c>
      <x:c r="S373" s="13" t="b">
        <x:v>0</x:v>
      </x:c>
      <x:c r="T373" s="13" t="b">
        <x:v>0</x:v>
      </x:c>
    </x:row>
    <x:row r="374" ht="23" customHeight="1">
      <x:c r="A374" s="2" t="str">
        <x:v>TJK</x:v>
      </x:c>
      <x:c r="B374" s="2" t="str">
        <x:v>Tajikistan (Republic of)</x:v>
      </x:c>
      <x:c r="C374" s="2" t="n">
        <x:v>2020</x:v>
      </x:c>
      <x:c r="D374" s="2" t="str">
        <x:v>GHSL_SURFACE</x:v>
      </x:c>
      <x:c r="E374" s="2" t="str">
        <x:v>horizontal surface / footprint</x:v>
      </x:c>
      <x:c r="F374" s="2" t="str">
        <x:v>m2</x:v>
      </x:c>
      <x:c r="G374" s="17" t="n">
        <x:v>392955797.92</x:v>
      </x:c>
      <x:c r="H374" s="17" t="n">
        <x:v>729509384</x:v>
      </x:c>
      <x:c r="I374" s="17" t="n">
        <x:f>IF(AND(L374,ISNUMBER(G374),ISNUMBER(H374)),G374-H374,"n.a.")</x:f>
        <x:v>-336553586.08</x:v>
      </x:c>
      <x:c r="J374" s="15" t="n">
        <x:f>IF(AND(L374,ISNUMBER(G374),ISNUMBER(H374),H374&gt;0),(G374-H374)/H374,"n.a.")</x:f>
        <x:v>-0.461342367160009</x:v>
      </x:c>
      <x:c r="K374" s="19" t="n">
        <x:f>IF(ISNUMBER(J374),ABS(J374),"n.a.")</x:f>
        <x:v>0.461342367160009</x:v>
      </x:c>
      <x:c r="L374" s="13" t="b">
        <x:v>1</x:v>
      </x:c>
      <x:c r="M374" s="13" t="b">
        <x:v>1</x:v>
      </x:c>
      <x:c r="N374" s="2" t="str">
        <x:v>legacy epoch_status=observed; not exact acquisition proof</x:v>
      </x:c>
      <x:c r="O374" s="2" t="str">
        <x:v>none</x:v>
      </x:c>
      <x:c r="P374" s="2" t="str">
        <x:v>historical source estimate</x:v>
      </x:c>
      <x:c r="Q374" s="2" t="str">
        <x:v>Saved country aggregation; cross-source boundary and pixel-support alignment not certified; legacy observed flag is not acquisition proof</x:v>
      </x:c>
      <x:c r="R374" s="2" t="str">
        <x:v>https://human-settlement.emergency.copernicus.eu/ghs_buS2023.php</x:v>
      </x:c>
      <x:c r="S374" s="13" t="b">
        <x:v>0</x:v>
      </x:c>
      <x:c r="T374" s="13" t="b">
        <x:v>0</x:v>
      </x:c>
    </x:row>
    <x:row r="375" ht="23" customHeight="1">
      <x:c r="A375" s="2" t="str">
        <x:v>TKM</x:v>
      </x:c>
      <x:c r="B375" s="2" t="str">
        <x:v>Turkmenistan</x:v>
      </x:c>
      <x:c r="C375" s="2" t="n">
        <x:v>2020</x:v>
      </x:c>
      <x:c r="D375" s="2" t="str">
        <x:v>GHSL_SURFACE</x:v>
      </x:c>
      <x:c r="E375" s="2" t="str">
        <x:v>horizontal surface / footprint</x:v>
      </x:c>
      <x:c r="F375" s="2" t="str">
        <x:v>m2</x:v>
      </x:c>
      <x:c r="G375" s="17" t="n">
        <x:v>359976676.15</x:v>
      </x:c>
      <x:c r="H375" s="17" t="n">
        <x:v>755791419</x:v>
      </x:c>
      <x:c r="I375" s="17" t="n">
        <x:f>IF(AND(L375,ISNUMBER(G375),ISNUMBER(H375)),G375-H375,"n.a.")</x:f>
        <x:v>-395814742.85</x:v>
      </x:c>
      <x:c r="J375" s="15" t="n">
        <x:f>IF(AND(L375,ISNUMBER(G375),ISNUMBER(H375),H375&gt;0),(G375-H375)/H375,"n.a.")</x:f>
        <x:v>-0.523708966388781</x:v>
      </x:c>
      <x:c r="K375" s="19" t="n">
        <x:f>IF(ISNUMBER(J375),ABS(J375),"n.a.")</x:f>
        <x:v>0.523708966388781</x:v>
      </x:c>
      <x:c r="L375" s="13" t="b">
        <x:v>1</x:v>
      </x:c>
      <x:c r="M375" s="13" t="b">
        <x:v>1</x:v>
      </x:c>
      <x:c r="N375" s="2" t="str">
        <x:v>legacy epoch_status=observed; not exact acquisition proof</x:v>
      </x:c>
      <x:c r="O375" s="2" t="str">
        <x:v>none</x:v>
      </x:c>
      <x:c r="P375" s="2" t="str">
        <x:v>historical source estimate</x:v>
      </x:c>
      <x:c r="Q375" s="2" t="str">
        <x:v>Saved country aggregation; cross-source boundary and pixel-support alignment not certified; legacy observed flag is not acquisition proof</x:v>
      </x:c>
      <x:c r="R375" s="2" t="str">
        <x:v>https://human-settlement.emergency.copernicus.eu/ghs_buS2023.php</x:v>
      </x:c>
      <x:c r="S375" s="13" t="b">
        <x:v>0</x:v>
      </x:c>
      <x:c r="T375" s="13" t="b">
        <x:v>0</x:v>
      </x:c>
    </x:row>
    <x:row r="376" ht="23" customHeight="1">
      <x:c r="A376" s="2" t="str">
        <x:v>TLS</x:v>
      </x:c>
      <x:c r="B376" s="2" t="str">
        <x:v>Timor-Leste (Democratic Republic of)</x:v>
      </x:c>
      <x:c r="C376" s="2" t="n">
        <x:v>2020</x:v>
      </x:c>
      <x:c r="D376" s="2" t="str">
        <x:v>GHSL_SURFACE</x:v>
      </x:c>
      <x:c r="E376" s="2" t="str">
        <x:v>horizontal surface / footprint</x:v>
      </x:c>
      <x:c r="F376" s="2" t="str">
        <x:v>m2</x:v>
      </x:c>
      <x:c r="G376" s="17" t="n">
        <x:v>41213693.9</x:v>
      </x:c>
      <x:c r="H376" s="17" t="n">
        <x:v>49386692</x:v>
      </x:c>
      <x:c r="I376" s="17" t="n">
        <x:f>IF(AND(L376,ISNUMBER(G376),ISNUMBER(H376)),G376-H376,"n.a.")</x:f>
        <x:v>-8172998.1000000015</x:v>
      </x:c>
      <x:c r="J376" s="15" t="n">
        <x:f>IF(AND(L376,ISNUMBER(G376),ISNUMBER(H376),H376&gt;0),(G376-H376)/H376,"n.a.")</x:f>
        <x:v>-0.16548988743769275</x:v>
      </x:c>
      <x:c r="K376" s="19" t="n">
        <x:f>IF(ISNUMBER(J376),ABS(J376),"n.a.")</x:f>
        <x:v>0.16548988743769275</x:v>
      </x:c>
      <x:c r="L376" s="13" t="b">
        <x:v>1</x:v>
      </x:c>
      <x:c r="M376" s="13" t="b">
        <x:v>1</x:v>
      </x:c>
      <x:c r="N376" s="2" t="str">
        <x:v>legacy epoch_status=observed; not exact acquisition proof</x:v>
      </x:c>
      <x:c r="O376" s="2" t="str">
        <x:v>none</x:v>
      </x:c>
      <x:c r="P376" s="2" t="str">
        <x:v>historical source estimate</x:v>
      </x:c>
      <x:c r="Q376" s="2" t="str">
        <x:v>Saved country aggregation; cross-source boundary and pixel-support alignment not certified; legacy observed flag is not acquisition proof</x:v>
      </x:c>
      <x:c r="R376" s="2" t="str">
        <x:v>https://human-settlement.emergency.copernicus.eu/ghs_buS2023.php</x:v>
      </x:c>
      <x:c r="S376" s="13" t="b">
        <x:v>0</x:v>
      </x:c>
      <x:c r="T376" s="13" t="b">
        <x:v>0</x:v>
      </x:c>
    </x:row>
    <x:row r="377" ht="23" customHeight="1">
      <x:c r="A377" s="2" t="str">
        <x:v>TON</x:v>
      </x:c>
      <x:c r="B377" s="2" t="str">
        <x:v>Tonga (Kingdom of)</x:v>
      </x:c>
      <x:c r="C377" s="2" t="n">
        <x:v>2020</x:v>
      </x:c>
      <x:c r="D377" s="2" t="str">
        <x:v>GHSL_SURFACE</x:v>
      </x:c>
      <x:c r="E377" s="2" t="str">
        <x:v>horizontal surface / footprint</x:v>
      </x:c>
      <x:c r="F377" s="2" t="str">
        <x:v>m2</x:v>
      </x:c>
      <x:c r="G377" s="17" t="n">
        <x:v>4719083.85</x:v>
      </x:c>
      <x:c r="H377" s="17" t="n">
        <x:v>6477644</x:v>
      </x:c>
      <x:c r="I377" s="17" t="n">
        <x:f>IF(AND(L377,ISNUMBER(G377),ISNUMBER(H377)),G377-H377,"n.a.")</x:f>
        <x:v>-1758560.1500000004</x:v>
      </x:c>
      <x:c r="J377" s="15" t="n">
        <x:f>IF(AND(L377,ISNUMBER(G377),ISNUMBER(H377),H377&gt;0),(G377-H377)/H377,"n.a.")</x:f>
        <x:v>-0.27148144448815037</x:v>
      </x:c>
      <x:c r="K377" s="19" t="n">
        <x:f>IF(ISNUMBER(J377),ABS(J377),"n.a.")</x:f>
        <x:v>0.27148144448815037</x:v>
      </x:c>
      <x:c r="L377" s="13" t="b">
        <x:v>1</x:v>
      </x:c>
      <x:c r="M377" s="13" t="b">
        <x:v>1</x:v>
      </x:c>
      <x:c r="N377" s="2" t="str">
        <x:v>legacy epoch_status=observed; not exact acquisition proof</x:v>
      </x:c>
      <x:c r="O377" s="2" t="str">
        <x:v>none</x:v>
      </x:c>
      <x:c r="P377" s="2" t="str">
        <x:v>historical source estimate</x:v>
      </x:c>
      <x:c r="Q377" s="2" t="str">
        <x:v>Saved country aggregation; cross-source boundary and pixel-support alignment not certified; legacy observed flag is not acquisition proof</x:v>
      </x:c>
      <x:c r="R377" s="2" t="str">
        <x:v>https://human-settlement.emergency.copernicus.eu/ghs_buS2023.php</x:v>
      </x:c>
      <x:c r="S377" s="13" t="b">
        <x:v>0</x:v>
      </x:c>
      <x:c r="T377" s="13" t="b">
        <x:v>0</x:v>
      </x:c>
    </x:row>
    <x:row r="378" ht="23" customHeight="1">
      <x:c r="A378" s="2" t="str">
        <x:v>TTO</x:v>
      </x:c>
      <x:c r="B378" s="2" t="str">
        <x:v>Trinidad and Tobago (Republic of)</x:v>
      </x:c>
      <x:c r="C378" s="2" t="n">
        <x:v>2020</x:v>
      </x:c>
      <x:c r="D378" s="2" t="str">
        <x:v>GHSL_SURFACE</x:v>
      </x:c>
      <x:c r="E378" s="2" t="str">
        <x:v>horizontal surface / footprint</x:v>
      </x:c>
      <x:c r="F378" s="2" t="str">
        <x:v>m2</x:v>
      </x:c>
      <x:c r="G378" s="17" t="n">
        <x:v>100480869.27</x:v>
      </x:c>
      <x:c r="H378" s="17" t="n">
        <x:v>163068221</x:v>
      </x:c>
      <x:c r="I378" s="17" t="n">
        <x:f>IF(AND(L378,ISNUMBER(G378),ISNUMBER(H378)),G378-H378,"n.a.")</x:f>
        <x:v>-62587351.730000004</x:v>
      </x:c>
      <x:c r="J378" s="15" t="n">
        <x:f>IF(AND(L378,ISNUMBER(G378),ISNUMBER(H378),H378&gt;0),(G378-H378)/H378,"n.a.")</x:f>
        <x:v>-0.3838108452167391</x:v>
      </x:c>
      <x:c r="K378" s="19" t="n">
        <x:f>IF(ISNUMBER(J378),ABS(J378),"n.a.")</x:f>
        <x:v>0.3838108452167391</x:v>
      </x:c>
      <x:c r="L378" s="13" t="b">
        <x:v>1</x:v>
      </x:c>
      <x:c r="M378" s="13" t="b">
        <x:v>1</x:v>
      </x:c>
      <x:c r="N378" s="2" t="str">
        <x:v>legacy epoch_status=observed; not exact acquisition proof</x:v>
      </x:c>
      <x:c r="O378" s="2" t="str">
        <x:v>none</x:v>
      </x:c>
      <x:c r="P378" s="2" t="str">
        <x:v>historical source estimate</x:v>
      </x:c>
      <x:c r="Q378" s="2" t="str">
        <x:v>Saved country aggregation; cross-source boundary and pixel-support alignment not certified; legacy observed flag is not acquisition proof</x:v>
      </x:c>
      <x:c r="R378" s="2" t="str">
        <x:v>https://human-settlement.emergency.copernicus.eu/ghs_buS2023.php</x:v>
      </x:c>
      <x:c r="S378" s="13" t="b">
        <x:v>0</x:v>
      </x:c>
      <x:c r="T378" s="13" t="b">
        <x:v>0</x:v>
      </x:c>
    </x:row>
    <x:row r="379" ht="23" customHeight="1">
      <x:c r="A379" s="2" t="str">
        <x:v>TUN</x:v>
      </x:c>
      <x:c r="B379" s="2" t="str">
        <x:v>Tunisia (Republic of)</x:v>
      </x:c>
      <x:c r="C379" s="2" t="n">
        <x:v>2020</x:v>
      </x:c>
      <x:c r="D379" s="2" t="str">
        <x:v>GHSL_SURFACE</x:v>
      </x:c>
      <x:c r="E379" s="2" t="str">
        <x:v>horizontal surface / footprint</x:v>
      </x:c>
      <x:c r="F379" s="2" t="str">
        <x:v>m2</x:v>
      </x:c>
      <x:c r="G379" s="17" t="n">
        <x:v>640256278.63</x:v>
      </x:c>
      <x:c r="H379" s="17" t="n">
        <x:v>1125705502</x:v>
      </x:c>
      <x:c r="I379" s="17" t="n">
        <x:f>IF(AND(L379,ISNUMBER(G379),ISNUMBER(H379)),G379-H379,"n.a.")</x:f>
        <x:v>-485449223.37</x:v>
      </x:c>
      <x:c r="J379" s="15" t="n">
        <x:f>IF(AND(L379,ISNUMBER(G379),ISNUMBER(H379),H379&gt;0),(G379-H379)/H379,"n.a.")</x:f>
        <x:v>-0.4312399846207734</x:v>
      </x:c>
      <x:c r="K379" s="19" t="n">
        <x:f>IF(ISNUMBER(J379),ABS(J379),"n.a.")</x:f>
        <x:v>0.4312399846207734</x:v>
      </x:c>
      <x:c r="L379" s="13" t="b">
        <x:v>1</x:v>
      </x:c>
      <x:c r="M379" s="13" t="b">
        <x:v>1</x:v>
      </x:c>
      <x:c r="N379" s="2" t="str">
        <x:v>legacy epoch_status=observed; not exact acquisition proof</x:v>
      </x:c>
      <x:c r="O379" s="2" t="str">
        <x:v>none</x:v>
      </x:c>
      <x:c r="P379" s="2" t="str">
        <x:v>historical source estimate</x:v>
      </x:c>
      <x:c r="Q379" s="2" t="str">
        <x:v>Saved country aggregation; cross-source boundary and pixel-support alignment not certified; legacy observed flag is not acquisition proof</x:v>
      </x:c>
      <x:c r="R379" s="2" t="str">
        <x:v>https://human-settlement.emergency.copernicus.eu/ghs_buS2023.php</x:v>
      </x:c>
      <x:c r="S379" s="13" t="b">
        <x:v>0</x:v>
      </x:c>
      <x:c r="T379" s="13" t="b">
        <x:v>0</x:v>
      </x:c>
    </x:row>
    <x:row r="380" ht="23" customHeight="1">
      <x:c r="A380" s="2" t="str">
        <x:v>TUR</x:v>
      </x:c>
      <x:c r="B380" s="2" t="str">
        <x:v>Türkiye (Republic of)</x:v>
      </x:c>
      <x:c r="C380" s="2" t="n">
        <x:v>2020</x:v>
      </x:c>
      <x:c r="D380" s="2" t="str">
        <x:v>GHSL_SURFACE</x:v>
      </x:c>
      <x:c r="E380" s="2" t="str">
        <x:v>horizontal surface / footprint</x:v>
      </x:c>
      <x:c r="F380" s="2" t="str">
        <x:v>m2</x:v>
      </x:c>
      <x:c r="G380" s="17" t="n">
        <x:v>3724845529.66</x:v>
      </x:c>
      <x:c r="H380" s="17" t="n">
        <x:v>3397689619</x:v>
      </x:c>
      <x:c r="I380" s="17" t="n">
        <x:f>IF(AND(L380,ISNUMBER(G380),ISNUMBER(H380)),G380-H380,"n.a.")</x:f>
        <x:v>327155910.65999985</x:v>
      </x:c>
      <x:c r="J380" s="15" t="n">
        <x:f>IF(AND(L380,ISNUMBER(G380),ISNUMBER(H380),H380&gt;0),(G380-H380)/H380,"n.a.")</x:f>
        <x:v>0.09628775648915441</x:v>
      </x:c>
      <x:c r="K380" s="19" t="n">
        <x:f>IF(ISNUMBER(J380),ABS(J380),"n.a.")</x:f>
        <x:v>0.09628775648915441</x:v>
      </x:c>
      <x:c r="L380" s="13" t="b">
        <x:v>1</x:v>
      </x:c>
      <x:c r="M380" s="13" t="b">
        <x:v>1</x:v>
      </x:c>
      <x:c r="N380" s="2" t="str">
        <x:v>legacy epoch_status=observed; not exact acquisition proof</x:v>
      </x:c>
      <x:c r="O380" s="2" t="str">
        <x:v>none</x:v>
      </x:c>
      <x:c r="P380" s="2" t="str">
        <x:v>historical source estimate</x:v>
      </x:c>
      <x:c r="Q380" s="2" t="str">
        <x:v>Saved country aggregation; cross-source boundary and pixel-support alignment not certified; legacy observed flag is not acquisition proof</x:v>
      </x:c>
      <x:c r="R380" s="2" t="str">
        <x:v>https://human-settlement.emergency.copernicus.eu/ghs_buS2023.php</x:v>
      </x:c>
      <x:c r="S380" s="13" t="b">
        <x:v>0</x:v>
      </x:c>
      <x:c r="T380" s="13" t="b">
        <x:v>0</x:v>
      </x:c>
    </x:row>
    <x:row r="381" ht="23" customHeight="1">
      <x:c r="A381" s="2" t="str">
        <x:v>TUV</x:v>
      </x:c>
      <x:c r="B381" s="2" t="str">
        <x:v>Tuvalu</x:v>
      </x:c>
      <x:c r="C381" s="2" t="n">
        <x:v>2020</x:v>
      </x:c>
      <x:c r="D381" s="2" t="str">
        <x:v>GHSL_SURFACE</x:v>
      </x:c>
      <x:c r="E381" s="2" t="str">
        <x:v>horizontal surface / footprint</x:v>
      </x:c>
      <x:c r="F381" s="2" t="str">
        <x:v>m2</x:v>
      </x:c>
      <x:c r="G381" s="17" t="n">
        <x:v>19394.81</x:v>
      </x:c>
      <x:c r="H381" s="17" t="n">
        <x:v>7758</x:v>
      </x:c>
      <x:c r="I381" s="17" t="n">
        <x:f>IF(AND(L381,ISNUMBER(G381),ISNUMBER(H381)),G381-H381,"n.a.")</x:f>
        <x:v>11636.810000000001</x:v>
      </x:c>
      <x:c r="J381" s="15" t="n">
        <x:f>IF(AND(L381,ISNUMBER(G381),ISNUMBER(H381),H381&gt;0),(G381-H381)/H381,"n.a.")</x:f>
        <x:v>1.4999755091518434</x:v>
      </x:c>
      <x:c r="K381" s="19" t="n">
        <x:f>IF(ISNUMBER(J381),ABS(J381),"n.a.")</x:f>
        <x:v>1.4999755091518434</x:v>
      </x:c>
      <x:c r="L381" s="13" t="b">
        <x:v>1</x:v>
      </x:c>
      <x:c r="M381" s="13" t="b">
        <x:v>1</x:v>
      </x:c>
      <x:c r="N381" s="2" t="str">
        <x:v>legacy epoch_status=observed; not exact acquisition proof</x:v>
      </x:c>
      <x:c r="O381" s="2" t="str">
        <x:v>none</x:v>
      </x:c>
      <x:c r="P381" s="2" t="str">
        <x:v>historical source estimate</x:v>
      </x:c>
      <x:c r="Q381" s="2" t="str">
        <x:v>Saved country aggregation; cross-source boundary and pixel-support alignment not certified; legacy observed flag is not acquisition proof</x:v>
      </x:c>
      <x:c r="R381" s="2" t="str">
        <x:v>https://human-settlement.emergency.copernicus.eu/ghs_buS2023.php</x:v>
      </x:c>
      <x:c r="S381" s="13" t="b">
        <x:v>0</x:v>
      </x:c>
      <x:c r="T381" s="13" t="b">
        <x:v>0</x:v>
      </x:c>
    </x:row>
    <x:row r="382" ht="23" customHeight="1">
      <x:c r="A382" s="2" t="str">
        <x:v>TZA</x:v>
      </x:c>
      <x:c r="B382" s="2" t="str">
        <x:v>Tanzania (United Republic of)</x:v>
      </x:c>
      <x:c r="C382" s="2" t="n">
        <x:v>2020</x:v>
      </x:c>
      <x:c r="D382" s="2" t="str">
        <x:v>GHSL_SURFACE</x:v>
      </x:c>
      <x:c r="E382" s="2" t="str">
        <x:v>horizontal surface / footprint</x:v>
      </x:c>
      <x:c r="F382" s="2" t="str">
        <x:v>m2</x:v>
      </x:c>
      <x:c r="G382" s="17" t="n">
        <x:v>1174486408.82</x:v>
      </x:c>
      <x:c r="H382" s="17" t="n">
        <x:v>4108005048</x:v>
      </x:c>
      <x:c r="I382" s="17" t="n">
        <x:f>IF(AND(L382,ISNUMBER(G382),ISNUMBER(H382)),G382-H382,"n.a.")</x:f>
        <x:v>-2933518639.1800003</x:v>
      </x:c>
      <x:c r="J382" s="15" t="n">
        <x:f>IF(AND(L382,ISNUMBER(G382),ISNUMBER(H382),H382&gt;0),(G382-H382)/H382,"n.a.")</x:f>
        <x:v>-0.7140981096428293</x:v>
      </x:c>
      <x:c r="K382" s="19" t="n">
        <x:f>IF(ISNUMBER(J382),ABS(J382),"n.a.")</x:f>
        <x:v>0.7140981096428293</x:v>
      </x:c>
      <x:c r="L382" s="13" t="b">
        <x:v>1</x:v>
      </x:c>
      <x:c r="M382" s="13" t="b">
        <x:v>1</x:v>
      </x:c>
      <x:c r="N382" s="2" t="str">
        <x:v>legacy epoch_status=observed; not exact acquisition proof</x:v>
      </x:c>
      <x:c r="O382" s="2" t="str">
        <x:v>none</x:v>
      </x:c>
      <x:c r="P382" s="2" t="str">
        <x:v>historical source estimate</x:v>
      </x:c>
      <x:c r="Q382" s="2" t="str">
        <x:v>Saved country aggregation; cross-source boundary and pixel-support alignment not certified; legacy observed flag is not acquisition proof</x:v>
      </x:c>
      <x:c r="R382" s="2" t="str">
        <x:v>https://human-settlement.emergency.copernicus.eu/ghs_buS2023.php</x:v>
      </x:c>
      <x:c r="S382" s="13" t="b">
        <x:v>0</x:v>
      </x:c>
      <x:c r="T382" s="13" t="b">
        <x:v>0</x:v>
      </x:c>
    </x:row>
    <x:row r="383" ht="23" customHeight="1">
      <x:c r="A383" s="2" t="str">
        <x:v>UGA</x:v>
      </x:c>
      <x:c r="B383" s="2" t="str">
        <x:v>Uganda (Republic of)</x:v>
      </x:c>
      <x:c r="C383" s="2" t="n">
        <x:v>2020</x:v>
      </x:c>
      <x:c r="D383" s="2" t="str">
        <x:v>GHSL_SURFACE</x:v>
      </x:c>
      <x:c r="E383" s="2" t="str">
        <x:v>horizontal surface / footprint</x:v>
      </x:c>
      <x:c r="F383" s="2" t="str">
        <x:v>m2</x:v>
      </x:c>
      <x:c r="G383" s="17" t="n">
        <x:v>765891927.15</x:v>
      </x:c>
      <x:c r="H383" s="17" t="n">
        <x:v>2641631116</x:v>
      </x:c>
      <x:c r="I383" s="17" t="n">
        <x:f>IF(AND(L383,ISNUMBER(G383),ISNUMBER(H383)),G383-H383,"n.a.")</x:f>
        <x:v>-1875739188.85</x:v>
      </x:c>
      <x:c r="J383" s="15" t="n">
        <x:f>IF(AND(L383,ISNUMBER(G383),ISNUMBER(H383),H383&gt;0),(G383-H383)/H383,"n.a.")</x:f>
        <x:v>-0.7100685547989282</x:v>
      </x:c>
      <x:c r="K383" s="19" t="n">
        <x:f>IF(ISNUMBER(J383),ABS(J383),"n.a.")</x:f>
        <x:v>0.7100685547989282</x:v>
      </x:c>
      <x:c r="L383" s="13" t="b">
        <x:v>1</x:v>
      </x:c>
      <x:c r="M383" s="13" t="b">
        <x:v>1</x:v>
      </x:c>
      <x:c r="N383" s="2" t="str">
        <x:v>legacy epoch_status=observed; not exact acquisition proof</x:v>
      </x:c>
      <x:c r="O383" s="2" t="str">
        <x:v>none</x:v>
      </x:c>
      <x:c r="P383" s="2" t="str">
        <x:v>historical source estimate</x:v>
      </x:c>
      <x:c r="Q383" s="2" t="str">
        <x:v>Saved country aggregation; cross-source boundary and pixel-support alignment not certified; legacy observed flag is not acquisition proof</x:v>
      </x:c>
      <x:c r="R383" s="2" t="str">
        <x:v>https://human-settlement.emergency.copernicus.eu/ghs_buS2023.php</x:v>
      </x:c>
      <x:c r="S383" s="13" t="b">
        <x:v>0</x:v>
      </x:c>
      <x:c r="T383" s="13" t="b">
        <x:v>0</x:v>
      </x:c>
    </x:row>
    <x:row r="384" ht="23" customHeight="1">
      <x:c r="A384" s="2" t="str">
        <x:v>UKR</x:v>
      </x:c>
      <x:c r="B384" s="2" t="str">
        <x:v>Ukraine</x:v>
      </x:c>
      <x:c r="C384" s="2" t="n">
        <x:v>2020</x:v>
      </x:c>
      <x:c r="D384" s="2" t="str">
        <x:v>GHSL_SURFACE</x:v>
      </x:c>
      <x:c r="E384" s="2" t="str">
        <x:v>horizontal surface / footprint</x:v>
      </x:c>
      <x:c r="F384" s="2" t="str">
        <x:v>m2</x:v>
      </x:c>
      <x:c r="G384" s="17" t="n">
        <x:v>2808807029.82</x:v>
      </x:c>
      <x:c r="H384" s="17" t="n">
        <x:v>4301915405</x:v>
      </x:c>
      <x:c r="I384" s="17" t="n">
        <x:f>IF(AND(L384,ISNUMBER(G384),ISNUMBER(H384)),G384-H384,"n.a.")</x:f>
        <x:v>-1493108375.1799998</x:v>
      </x:c>
      <x:c r="J384" s="15" t="n">
        <x:f>IF(AND(L384,ISNUMBER(G384),ISNUMBER(H384),H384&gt;0),(G384-H384)/H384,"n.a.")</x:f>
        <x:v>-0.34707990153516277</x:v>
      </x:c>
      <x:c r="K384" s="19" t="n">
        <x:f>IF(ISNUMBER(J384),ABS(J384),"n.a.")</x:f>
        <x:v>0.34707990153516277</x:v>
      </x:c>
      <x:c r="L384" s="13" t="b">
        <x:v>1</x:v>
      </x:c>
      <x:c r="M384" s="13" t="b">
        <x:v>1</x:v>
      </x:c>
      <x:c r="N384" s="2" t="str">
        <x:v>legacy epoch_status=observed; not exact acquisition proof</x:v>
      </x:c>
      <x:c r="O384" s="2" t="str">
        <x:v>none</x:v>
      </x:c>
      <x:c r="P384" s="2" t="str">
        <x:v>historical source estimate</x:v>
      </x:c>
      <x:c r="Q384" s="2" t="str">
        <x:v>Saved country aggregation; cross-source boundary and pixel-support alignment not certified; legacy observed flag is not acquisition proof</x:v>
      </x:c>
      <x:c r="R384" s="2" t="str">
        <x:v>https://human-settlement.emergency.copernicus.eu/ghs_buS2023.php</x:v>
      </x:c>
      <x:c r="S384" s="13" t="b">
        <x:v>0</x:v>
      </x:c>
      <x:c r="T384" s="13" t="b">
        <x:v>0</x:v>
      </x:c>
    </x:row>
    <x:row r="385" ht="23" customHeight="1">
      <x:c r="A385" s="2" t="str">
        <x:v>URY</x:v>
      </x:c>
      <x:c r="B385" s="2" t="str">
        <x:v>Uruguay (Oriental Republic of)</x:v>
      </x:c>
      <x:c r="C385" s="2" t="n">
        <x:v>2020</x:v>
      </x:c>
      <x:c r="D385" s="2" t="str">
        <x:v>GHSL_SURFACE</x:v>
      </x:c>
      <x:c r="E385" s="2" t="str">
        <x:v>horizontal surface / footprint</x:v>
      </x:c>
      <x:c r="F385" s="2" t="str">
        <x:v>m2</x:v>
      </x:c>
      <x:c r="G385" s="17" t="n">
        <x:v>209727833.29</x:v>
      </x:c>
      <x:c r="H385" s="17" t="n">
        <x:v>377811413</x:v>
      </x:c>
      <x:c r="I385" s="17" t="n">
        <x:f>IF(AND(L385,ISNUMBER(G385),ISNUMBER(H385)),G385-H385,"n.a.")</x:f>
        <x:v>-168083579.71</x:v>
      </x:c>
      <x:c r="J385" s="15" t="n">
        <x:f>IF(AND(L385,ISNUMBER(G385),ISNUMBER(H385),H385&gt;0),(G385-H385)/H385,"n.a.")</x:f>
        <x:v>-0.44488751246379105</x:v>
      </x:c>
      <x:c r="K385" s="19" t="n">
        <x:f>IF(ISNUMBER(J385),ABS(J385),"n.a.")</x:f>
        <x:v>0.44488751246379105</x:v>
      </x:c>
      <x:c r="L385" s="13" t="b">
        <x:v>1</x:v>
      </x:c>
      <x:c r="M385" s="13" t="b">
        <x:v>1</x:v>
      </x:c>
      <x:c r="N385" s="2" t="str">
        <x:v>legacy epoch_status=observed; not exact acquisition proof</x:v>
      </x:c>
      <x:c r="O385" s="2" t="str">
        <x:v>none</x:v>
      </x:c>
      <x:c r="P385" s="2" t="str">
        <x:v>historical source estimate</x:v>
      </x:c>
      <x:c r="Q385" s="2" t="str">
        <x:v>Saved country aggregation; cross-source boundary and pixel-support alignment not certified; legacy observed flag is not acquisition proof</x:v>
      </x:c>
      <x:c r="R385" s="2" t="str">
        <x:v>https://human-settlement.emergency.copernicus.eu/ghs_buS2023.php</x:v>
      </x:c>
      <x:c r="S385" s="13" t="b">
        <x:v>0</x:v>
      </x:c>
      <x:c r="T385" s="13" t="b">
        <x:v>0</x:v>
      </x:c>
    </x:row>
    <x:row r="386" ht="23" customHeight="1">
      <x:c r="A386" s="2" t="str">
        <x:v>USA</x:v>
      </x:c>
      <x:c r="B386" s="2" t="str">
        <x:v>United States of America</x:v>
      </x:c>
      <x:c r="C386" s="2" t="n">
        <x:v>2020</x:v>
      </x:c>
      <x:c r="D386" s="2" t="str">
        <x:v>GHSL_SURFACE</x:v>
      </x:c>
      <x:c r="E386" s="2" t="str">
        <x:v>horizontal surface / footprint</x:v>
      </x:c>
      <x:c r="F386" s="2" t="str">
        <x:v>m2</x:v>
      </x:c>
      <x:c r="G386" s="17" t="n">
        <x:v>35932980078.68</x:v>
      </x:c>
      <x:c r="H386" s="17" t="n">
        <x:v>60491887152</x:v>
      </x:c>
      <x:c r="I386" s="17" t="n">
        <x:f>IF(AND(L386,ISNUMBER(G386),ISNUMBER(H386)),G386-H386,"n.a.")</x:f>
        <x:v>-24558907073.32</x:v>
      </x:c>
      <x:c r="J386" s="15" t="n">
        <x:f>IF(AND(L386,ISNUMBER(G386),ISNUMBER(H386),H386&gt;0),(G386-H386)/H386,"n.a.")</x:f>
        <x:v>-0.40598678979232383</x:v>
      </x:c>
      <x:c r="K386" s="19" t="n">
        <x:f>IF(ISNUMBER(J386),ABS(J386),"n.a.")</x:f>
        <x:v>0.40598678979232383</x:v>
      </x:c>
      <x:c r="L386" s="13" t="b">
        <x:v>1</x:v>
      </x:c>
      <x:c r="M386" s="13" t="b">
        <x:v>1</x:v>
      </x:c>
      <x:c r="N386" s="2" t="str">
        <x:v>legacy epoch_status=observed; not exact acquisition proof</x:v>
      </x:c>
      <x:c r="O386" s="2" t="str">
        <x:v>none</x:v>
      </x:c>
      <x:c r="P386" s="2" t="str">
        <x:v>historical source estimate</x:v>
      </x:c>
      <x:c r="Q386" s="2" t="str">
        <x:v>Saved country aggregation; cross-source boundary and pixel-support alignment not certified; legacy observed flag is not acquisition proof</x:v>
      </x:c>
      <x:c r="R386" s="2" t="str">
        <x:v>https://human-settlement.emergency.copernicus.eu/ghs_buS2023.php</x:v>
      </x:c>
      <x:c r="S386" s="13" t="b">
        <x:v>0</x:v>
      </x:c>
      <x:c r="T386" s="13" t="b">
        <x:v>0</x:v>
      </x:c>
    </x:row>
    <x:row r="387" ht="23" customHeight="1">
      <x:c r="A387" s="2" t="str">
        <x:v>UZB</x:v>
      </x:c>
      <x:c r="B387" s="2" t="str">
        <x:v>Uzbekistan (Republic of)</x:v>
      </x:c>
      <x:c r="C387" s="2" t="n">
        <x:v>2020</x:v>
      </x:c>
      <x:c r="D387" s="2" t="str">
        <x:v>GHSL_SURFACE</x:v>
      </x:c>
      <x:c r="E387" s="2" t="str">
        <x:v>horizontal surface / footprint</x:v>
      </x:c>
      <x:c r="F387" s="2" t="str">
        <x:v>m2</x:v>
      </x:c>
      <x:c r="G387" s="17" t="n">
        <x:v>1997042653.63</x:v>
      </x:c>
      <x:c r="H387" s="17" t="n">
        <x:v>3791926639</x:v>
      </x:c>
      <x:c r="I387" s="17" t="n">
        <x:f>IF(AND(L387,ISNUMBER(G387),ISNUMBER(H387)),G387-H387,"n.a.")</x:f>
        <x:v>-1794883985.37</x:v>
      </x:c>
      <x:c r="J387" s="15" t="n">
        <x:f>IF(AND(L387,ISNUMBER(G387),ISNUMBER(H387),H387&gt;0),(G387-H387)/H387,"n.a.")</x:f>
        <x:v>-0.4733435417525228</x:v>
      </x:c>
      <x:c r="K387" s="19" t="n">
        <x:f>IF(ISNUMBER(J387),ABS(J387),"n.a.")</x:f>
        <x:v>0.4733435417525228</x:v>
      </x:c>
      <x:c r="L387" s="13" t="b">
        <x:v>1</x:v>
      </x:c>
      <x:c r="M387" s="13" t="b">
        <x:v>1</x:v>
      </x:c>
      <x:c r="N387" s="2" t="str">
        <x:v>legacy epoch_status=observed; not exact acquisition proof</x:v>
      </x:c>
      <x:c r="O387" s="2" t="str">
        <x:v>none</x:v>
      </x:c>
      <x:c r="P387" s="2" t="str">
        <x:v>historical source estimate</x:v>
      </x:c>
      <x:c r="Q387" s="2" t="str">
        <x:v>Saved country aggregation; cross-source boundary and pixel-support alignment not certified; legacy observed flag is not acquisition proof</x:v>
      </x:c>
      <x:c r="R387" s="2" t="str">
        <x:v>https://human-settlement.emergency.copernicus.eu/ghs_buS2023.php</x:v>
      </x:c>
      <x:c r="S387" s="13" t="b">
        <x:v>0</x:v>
      </x:c>
      <x:c r="T387" s="13" t="b">
        <x:v>0</x:v>
      </x:c>
    </x:row>
    <x:row r="388" ht="23" customHeight="1">
      <x:c r="A388" s="2" t="str">
        <x:v>VAT</x:v>
      </x:c>
      <x:c r="B388" s="2" t="str">
        <x:v>Holy See (State of the Vatican City)</x:v>
      </x:c>
      <x:c r="C388" s="2" t="n">
        <x:v>2020</x:v>
      </x:c>
      <x:c r="D388" s="2" t="str">
        <x:v>GHSL_SURFACE</x:v>
      </x:c>
      <x:c r="E388" s="2" t="str">
        <x:v>horizontal surface / footprint</x:v>
      </x:c>
      <x:c r="F388" s="2" t="str">
        <x:v>m2</x:v>
      </x:c>
      <x:c r="G388" s="17" t="n">
        <x:v>118080.97</x:v>
      </x:c>
      <x:c r="H388" s="17" t="n">
        <x:v>0</x:v>
      </x:c>
      <x:c r="I388" s="17" t="str">
        <x:f>IF(AND(L388,ISNUMBER(G388),ISNUMBER(H388)),G388-H388,"n.a.")</x:f>
        <x:v>n.a.</x:v>
      </x:c>
      <x:c r="J388" s="15" t="str">
        <x:f>IF(AND(L388,ISNUMBER(G388),ISNUMBER(H388),H388&gt;0),(G388-H388)/H388,"n.a.")</x:f>
        <x:v>n.a.</x:v>
      </x:c>
      <x:c r="K388" s="19" t="str">
        <x:f>IF(ISNUMBER(J388),ABS(J388),"n.a.")</x:f>
        <x:v>n.a.</x:v>
      </x:c>
      <x:c r="L388" s="13" t="b">
        <x:v>0</x:v>
      </x:c>
      <x:c r="M388" s="13" t="b">
        <x:v>1</x:v>
      </x:c>
      <x:c r="N388" s="2" t="str">
        <x:v>legacy epoch_status=observed; not exact acquisition proof</x:v>
      </x:c>
      <x:c r="O388" s="2" t="str">
        <x:v>none</x:v>
      </x:c>
      <x:c r="P388" s="2" t="str">
        <x:v>historical source estimate</x:v>
      </x:c>
      <x:c r="Q388" s="2" t="str">
        <x:v>Saved country aggregation; cross-source boundary and pixel-support alignment not certified; legacy observed flag is not acquisition proof</x:v>
      </x:c>
      <x:c r="R388" s="2" t="str">
        <x:v>https://human-settlement.emergency.copernicus.eu/ghs_buS2023.php</x:v>
      </x:c>
      <x:c r="S388" s="13" t="b">
        <x:v>0</x:v>
      </x:c>
      <x:c r="T388" s="13" t="b">
        <x:v>0</x:v>
      </x:c>
    </x:row>
    <x:row r="389" ht="23" customHeight="1">
      <x:c r="A389" s="2" t="str">
        <x:v>VCT</x:v>
      </x:c>
      <x:c r="B389" s="2" t="str">
        <x:v>Saint Vincent and the Grenadines</x:v>
      </x:c>
      <x:c r="C389" s="2" t="n">
        <x:v>2020</x:v>
      </x:c>
      <x:c r="D389" s="2" t="str">
        <x:v>GHSL_SURFACE</x:v>
      </x:c>
      <x:c r="E389" s="2" t="str">
        <x:v>horizontal surface / footprint</x:v>
      </x:c>
      <x:c r="F389" s="2" t="str">
        <x:v>m2</x:v>
      </x:c>
      <x:c r="G389" s="17" t="n">
        <x:v>6194383.57</x:v>
      </x:c>
      <x:c r="H389" s="17" t="n">
        <x:v>8928921</x:v>
      </x:c>
      <x:c r="I389" s="17" t="n">
        <x:f>IF(AND(L389,ISNUMBER(G389),ISNUMBER(H389)),G389-H389,"n.a.")</x:f>
        <x:v>-2734537.4299999997</x:v>
      </x:c>
      <x:c r="J389" s="15" t="n">
        <x:f>IF(AND(L389,ISNUMBER(G389),ISNUMBER(H389),H389&gt;0),(G389-H389)/H389,"n.a.")</x:f>
        <x:v>-0.30625620161719425</x:v>
      </x:c>
      <x:c r="K389" s="19" t="n">
        <x:f>IF(ISNUMBER(J389),ABS(J389),"n.a.")</x:f>
        <x:v>0.30625620161719425</x:v>
      </x:c>
      <x:c r="L389" s="13" t="b">
        <x:v>1</x:v>
      </x:c>
      <x:c r="M389" s="13" t="b">
        <x:v>1</x:v>
      </x:c>
      <x:c r="N389" s="2" t="str">
        <x:v>legacy epoch_status=observed; not exact acquisition proof</x:v>
      </x:c>
      <x:c r="O389" s="2" t="str">
        <x:v>none</x:v>
      </x:c>
      <x:c r="P389" s="2" t="str">
        <x:v>historical source estimate</x:v>
      </x:c>
      <x:c r="Q389" s="2" t="str">
        <x:v>Saved country aggregation; cross-source boundary and pixel-support alignment not certified; legacy observed flag is not acquisition proof</x:v>
      </x:c>
      <x:c r="R389" s="2" t="str">
        <x:v>https://human-settlement.emergency.copernicus.eu/ghs_buS2023.php</x:v>
      </x:c>
      <x:c r="S389" s="13" t="b">
        <x:v>0</x:v>
      </x:c>
      <x:c r="T389" s="13" t="b">
        <x:v>0</x:v>
      </x:c>
    </x:row>
    <x:row r="390" ht="23" customHeight="1">
      <x:c r="A390" s="2" t="str">
        <x:v>VEN</x:v>
      </x:c>
      <x:c r="B390" s="2" t="str">
        <x:v>Venezuela (Bolivarian Republic of)</x:v>
      </x:c>
      <x:c r="C390" s="2" t="n">
        <x:v>2020</x:v>
      </x:c>
      <x:c r="D390" s="2" t="str">
        <x:v>GHSL_SURFACE</x:v>
      </x:c>
      <x:c r="E390" s="2" t="str">
        <x:v>horizontal surface / footprint</x:v>
      </x:c>
      <x:c r="F390" s="2" t="str">
        <x:v>m2</x:v>
      </x:c>
      <x:c r="G390" s="17" t="n">
        <x:v>1159546607.65</x:v>
      </x:c>
      <x:c r="H390" s="17" t="n">
        <x:v>1468777487</x:v>
      </x:c>
      <x:c r="I390" s="17" t="n">
        <x:f>IF(AND(L390,ISNUMBER(G390),ISNUMBER(H390)),G390-H390,"n.a.")</x:f>
        <x:v>-309230879.3499999</x:v>
      </x:c>
      <x:c r="J390" s="15" t="n">
        <x:f>IF(AND(L390,ISNUMBER(G390),ISNUMBER(H390),H390&gt;0),(G390-H390)/H390,"n.a.")</x:f>
        <x:v>-0.21053623308293526</x:v>
      </x:c>
      <x:c r="K390" s="19" t="n">
        <x:f>IF(ISNUMBER(J390),ABS(J390),"n.a.")</x:f>
        <x:v>0.21053623308293526</x:v>
      </x:c>
      <x:c r="L390" s="13" t="b">
        <x:v>1</x:v>
      </x:c>
      <x:c r="M390" s="13" t="b">
        <x:v>1</x:v>
      </x:c>
      <x:c r="N390" s="2" t="str">
        <x:v>legacy epoch_status=observed; not exact acquisition proof</x:v>
      </x:c>
      <x:c r="O390" s="2" t="str">
        <x:v>none</x:v>
      </x:c>
      <x:c r="P390" s="2" t="str">
        <x:v>historical source estimate</x:v>
      </x:c>
      <x:c r="Q390" s="2" t="str">
        <x:v>Saved country aggregation; cross-source boundary and pixel-support alignment not certified; legacy observed flag is not acquisition proof</x:v>
      </x:c>
      <x:c r="R390" s="2" t="str">
        <x:v>https://human-settlement.emergency.copernicus.eu/ghs_buS2023.php</x:v>
      </x:c>
      <x:c r="S390" s="13" t="b">
        <x:v>0</x:v>
      </x:c>
      <x:c r="T390" s="13" t="b">
        <x:v>0</x:v>
      </x:c>
    </x:row>
    <x:row r="391" ht="23" customHeight="1">
      <x:c r="A391" s="2" t="str">
        <x:v>VNM</x:v>
      </x:c>
      <x:c r="B391" s="2" t="str">
        <x:v>Viet Nam (Socialist Republic of)</x:v>
      </x:c>
      <x:c r="C391" s="2" t="n">
        <x:v>2020</x:v>
      </x:c>
      <x:c r="D391" s="2" t="str">
        <x:v>GHSL_SURFACE</x:v>
      </x:c>
      <x:c r="E391" s="2" t="str">
        <x:v>horizontal surface / footprint</x:v>
      </x:c>
      <x:c r="F391" s="2" t="str">
        <x:v>m2</x:v>
      </x:c>
      <x:c r="G391" s="17" t="n">
        <x:v>4775308196.86</x:v>
      </x:c>
      <x:c r="H391" s="17" t="n">
        <x:v>5026264760</x:v>
      </x:c>
      <x:c r="I391" s="17" t="n">
        <x:f>IF(AND(L391,ISNUMBER(G391),ISNUMBER(H391)),G391-H391,"n.a.")</x:f>
        <x:v>-250956563.14000034</x:v>
      </x:c>
      <x:c r="J391" s="15" t="n">
        <x:f>IF(AND(L391,ISNUMBER(G391),ISNUMBER(H391),H391&gt;0),(G391-H391)/H391,"n.a.")</x:f>
        <x:v>-0.049929037789087805</x:v>
      </x:c>
      <x:c r="K391" s="19" t="n">
        <x:f>IF(ISNUMBER(J391),ABS(J391),"n.a.")</x:f>
        <x:v>0.049929037789087805</x:v>
      </x:c>
      <x:c r="L391" s="13" t="b">
        <x:v>1</x:v>
      </x:c>
      <x:c r="M391" s="13" t="b">
        <x:v>1</x:v>
      </x:c>
      <x:c r="N391" s="2" t="str">
        <x:v>legacy epoch_status=observed; not exact acquisition proof</x:v>
      </x:c>
      <x:c r="O391" s="2" t="str">
        <x:v>none</x:v>
      </x:c>
      <x:c r="P391" s="2" t="str">
        <x:v>historical source estimate</x:v>
      </x:c>
      <x:c r="Q391" s="2" t="str">
        <x:v>Saved country aggregation; cross-source boundary and pixel-support alignment not certified; legacy observed flag is not acquisition proof</x:v>
      </x:c>
      <x:c r="R391" s="2" t="str">
        <x:v>https://human-settlement.emergency.copernicus.eu/ghs_buS2023.php</x:v>
      </x:c>
      <x:c r="S391" s="13" t="b">
        <x:v>0</x:v>
      </x:c>
      <x:c r="T391" s="13" t="b">
        <x:v>0</x:v>
      </x:c>
    </x:row>
    <x:row r="392" ht="23" customHeight="1">
      <x:c r="A392" s="2" t="str">
        <x:v>VUT</x:v>
      </x:c>
      <x:c r="B392" s="2" t="str">
        <x:v>Vanuatu (Republic of)</x:v>
      </x:c>
      <x:c r="C392" s="2" t="n">
        <x:v>2020</x:v>
      </x:c>
      <x:c r="D392" s="2" t="str">
        <x:v>GHSL_SURFACE</x:v>
      </x:c>
      <x:c r="E392" s="2" t="str">
        <x:v>horizontal surface / footprint</x:v>
      </x:c>
      <x:c r="F392" s="2" t="str">
        <x:v>m2</x:v>
      </x:c>
      <x:c r="G392" s="17" t="n">
        <x:v>8193524.7</x:v>
      </x:c>
      <x:c r="H392" s="17" t="n">
        <x:v>10341804</x:v>
      </x:c>
      <x:c r="I392" s="17" t="n">
        <x:f>IF(AND(L392,ISNUMBER(G392),ISNUMBER(H392)),G392-H392,"n.a.")</x:f>
        <x:v>-2148279.3</x:v>
      </x:c>
      <x:c r="J392" s="15" t="n">
        <x:f>IF(AND(L392,ISNUMBER(G392),ISNUMBER(H392),H392&gt;0),(G392-H392)/H392,"n.a.")</x:f>
        <x:v>-0.2077277136561474</x:v>
      </x:c>
      <x:c r="K392" s="19" t="n">
        <x:f>IF(ISNUMBER(J392),ABS(J392),"n.a.")</x:f>
        <x:v>0.2077277136561474</x:v>
      </x:c>
      <x:c r="L392" s="13" t="b">
        <x:v>1</x:v>
      </x:c>
      <x:c r="M392" s="13" t="b">
        <x:v>1</x:v>
      </x:c>
      <x:c r="N392" s="2" t="str">
        <x:v>legacy epoch_status=observed; not exact acquisition proof</x:v>
      </x:c>
      <x:c r="O392" s="2" t="str">
        <x:v>none</x:v>
      </x:c>
      <x:c r="P392" s="2" t="str">
        <x:v>historical source estimate</x:v>
      </x:c>
      <x:c r="Q392" s="2" t="str">
        <x:v>Saved country aggregation; cross-source boundary and pixel-support alignment not certified; legacy observed flag is not acquisition proof</x:v>
      </x:c>
      <x:c r="R392" s="2" t="str">
        <x:v>https://human-settlement.emergency.copernicus.eu/ghs_buS2023.php</x:v>
      </x:c>
      <x:c r="S392" s="13" t="b">
        <x:v>0</x:v>
      </x:c>
      <x:c r="T392" s="13" t="b">
        <x:v>0</x:v>
      </x:c>
    </x:row>
    <x:row r="393" ht="23" customHeight="1">
      <x:c r="A393" s="2" t="str">
        <x:v>WSM</x:v>
      </x:c>
      <x:c r="B393" s="2" t="str">
        <x:v>Samoa (Independent State of)</x:v>
      </x:c>
      <x:c r="C393" s="2" t="n">
        <x:v>2020</x:v>
      </x:c>
      <x:c r="D393" s="2" t="str">
        <x:v>GHSL_SURFACE</x:v>
      </x:c>
      <x:c r="E393" s="2" t="str">
        <x:v>horizontal surface / footprint</x:v>
      </x:c>
      <x:c r="F393" s="2" t="str">
        <x:v>m2</x:v>
      </x:c>
      <x:c r="G393" s="17" t="n">
        <x:v>8105266</x:v>
      </x:c>
      <x:c r="H393" s="17" t="n">
        <x:v>12412460</x:v>
      </x:c>
      <x:c r="I393" s="17" t="n">
        <x:f>IF(AND(L393,ISNUMBER(G393),ISNUMBER(H393)),G393-H393,"n.a.")</x:f>
        <x:v>-4307194</x:v>
      </x:c>
      <x:c r="J393" s="15" t="n">
        <x:f>IF(AND(L393,ISNUMBER(G393),ISNUMBER(H393),H393&gt;0),(G393-H393)/H393,"n.a.")</x:f>
        <x:v>-0.3470056701089067</x:v>
      </x:c>
      <x:c r="K393" s="19" t="n">
        <x:f>IF(ISNUMBER(J393),ABS(J393),"n.a.")</x:f>
        <x:v>0.3470056701089067</x:v>
      </x:c>
      <x:c r="L393" s="13" t="b">
        <x:v>1</x:v>
      </x:c>
      <x:c r="M393" s="13" t="b">
        <x:v>1</x:v>
      </x:c>
      <x:c r="N393" s="2" t="str">
        <x:v>legacy epoch_status=observed; not exact acquisition proof</x:v>
      </x:c>
      <x:c r="O393" s="2" t="str">
        <x:v>none</x:v>
      </x:c>
      <x:c r="P393" s="2" t="str">
        <x:v>historical source estimate</x:v>
      </x:c>
      <x:c r="Q393" s="2" t="str">
        <x:v>Saved country aggregation; cross-source boundary and pixel-support alignment not certified; legacy observed flag is not acquisition proof</x:v>
      </x:c>
      <x:c r="R393" s="2" t="str">
        <x:v>https://human-settlement.emergency.copernicus.eu/ghs_buS2023.php</x:v>
      </x:c>
      <x:c r="S393" s="13" t="b">
        <x:v>0</x:v>
      </x:c>
      <x:c r="T393" s="13" t="b">
        <x:v>0</x:v>
      </x:c>
    </x:row>
    <x:row r="394" ht="23" customHeight="1">
      <x:c r="A394" s="2" t="str">
        <x:v>YEM</x:v>
      </x:c>
      <x:c r="B394" s="2" t="str">
        <x:v>Yemen (Republic of)</x:v>
      </x:c>
      <x:c r="C394" s="2" t="n">
        <x:v>2020</x:v>
      </x:c>
      <x:c r="D394" s="2" t="str">
        <x:v>GHSL_SURFACE</x:v>
      </x:c>
      <x:c r="E394" s="2" t="str">
        <x:v>horizontal surface / footprint</x:v>
      </x:c>
      <x:c r="F394" s="2" t="str">
        <x:v>m2</x:v>
      </x:c>
      <x:c r="G394" s="17" t="n">
        <x:v>454480387.69</x:v>
      </x:c>
      <x:c r="H394" s="17" t="n">
        <x:v>260274946</x:v>
      </x:c>
      <x:c r="I394" s="17" t="n">
        <x:f>IF(AND(L394,ISNUMBER(G394),ISNUMBER(H394)),G394-H394,"n.a.")</x:f>
        <x:v>194205441.69</x:v>
      </x:c>
      <x:c r="J394" s="15" t="n">
        <x:f>IF(AND(L394,ISNUMBER(G394),ISNUMBER(H394),H394&gt;0),(G394-H394)/H394,"n.a.")</x:f>
        <x:v>0.7461549591100481</x:v>
      </x:c>
      <x:c r="K394" s="19" t="n">
        <x:f>IF(ISNUMBER(J394),ABS(J394),"n.a.")</x:f>
        <x:v>0.7461549591100481</x:v>
      </x:c>
      <x:c r="L394" s="13" t="b">
        <x:v>1</x:v>
      </x:c>
      <x:c r="M394" s="13" t="b">
        <x:v>1</x:v>
      </x:c>
      <x:c r="N394" s="2" t="str">
        <x:v>legacy epoch_status=observed; not exact acquisition proof</x:v>
      </x:c>
      <x:c r="O394" s="2" t="str">
        <x:v>none</x:v>
      </x:c>
      <x:c r="P394" s="2" t="str">
        <x:v>historical source estimate</x:v>
      </x:c>
      <x:c r="Q394" s="2" t="str">
        <x:v>Saved country aggregation; cross-source boundary and pixel-support alignment not certified; legacy observed flag is not acquisition proof</x:v>
      </x:c>
      <x:c r="R394" s="2" t="str">
        <x:v>https://human-settlement.emergency.copernicus.eu/ghs_buS2023.php</x:v>
      </x:c>
      <x:c r="S394" s="13" t="b">
        <x:v>0</x:v>
      </x:c>
      <x:c r="T394" s="13" t="b">
        <x:v>0</x:v>
      </x:c>
    </x:row>
    <x:row r="395" ht="23" customHeight="1">
      <x:c r="A395" s="2" t="str">
        <x:v>ZAF</x:v>
      </x:c>
      <x:c r="B395" s="2" t="str">
        <x:v>South Africa (Republic of)</x:v>
      </x:c>
      <x:c r="C395" s="2" t="n">
        <x:v>2020</x:v>
      </x:c>
      <x:c r="D395" s="2" t="str">
        <x:v>GHSL_SURFACE</x:v>
      </x:c>
      <x:c r="E395" s="2" t="str">
        <x:v>horizontal surface / footprint</x:v>
      </x:c>
      <x:c r="F395" s="2" t="str">
        <x:v>m2</x:v>
      </x:c>
      <x:c r="G395" s="17" t="n">
        <x:v>2711325840.61</x:v>
      </x:c>
      <x:c r="H395" s="17" t="n">
        <x:v>6330801326</x:v>
      </x:c>
      <x:c r="I395" s="17" t="n">
        <x:f>IF(AND(L395,ISNUMBER(G395),ISNUMBER(H395)),G395-H395,"n.a.")</x:f>
        <x:v>-3619475485.39</x:v>
      </x:c>
      <x:c r="J395" s="15" t="n">
        <x:f>IF(AND(L395,ISNUMBER(G395),ISNUMBER(H395),H395&gt;0),(G395-H395)/H395,"n.a.")</x:f>
        <x:v>-0.571724699450788</x:v>
      </x:c>
      <x:c r="K395" s="19" t="n">
        <x:f>IF(ISNUMBER(J395),ABS(J395),"n.a.")</x:f>
        <x:v>0.571724699450788</x:v>
      </x:c>
      <x:c r="L395" s="13" t="b">
        <x:v>1</x:v>
      </x:c>
      <x:c r="M395" s="13" t="b">
        <x:v>1</x:v>
      </x:c>
      <x:c r="N395" s="2" t="str">
        <x:v>legacy epoch_status=observed; not exact acquisition proof</x:v>
      </x:c>
      <x:c r="O395" s="2" t="str">
        <x:v>none</x:v>
      </x:c>
      <x:c r="P395" s="2" t="str">
        <x:v>historical source estimate</x:v>
      </x:c>
      <x:c r="Q395" s="2" t="str">
        <x:v>Saved country aggregation; cross-source boundary and pixel-support alignment not certified; legacy observed flag is not acquisition proof</x:v>
      </x:c>
      <x:c r="R395" s="2" t="str">
        <x:v>https://human-settlement.emergency.copernicus.eu/ghs_buS2023.php</x:v>
      </x:c>
      <x:c r="S395" s="13" t="b">
        <x:v>0</x:v>
      </x:c>
      <x:c r="T395" s="13" t="b">
        <x:v>0</x:v>
      </x:c>
    </x:row>
    <x:row r="396" ht="23" customHeight="1">
      <x:c r="A396" s="2" t="str">
        <x:v>ZMB</x:v>
      </x:c>
      <x:c r="B396" s="2" t="str">
        <x:v>Zambia (Republic of)</x:v>
      </x:c>
      <x:c r="C396" s="2" t="n">
        <x:v>2020</x:v>
      </x:c>
      <x:c r="D396" s="2" t="str">
        <x:v>GHSL_SURFACE</x:v>
      </x:c>
      <x:c r="E396" s="2" t="str">
        <x:v>horizontal surface / footprint</x:v>
      </x:c>
      <x:c r="F396" s="2" t="str">
        <x:v>m2</x:v>
      </x:c>
      <x:c r="G396" s="17" t="n">
        <x:v>396696842.5</x:v>
      </x:c>
      <x:c r="H396" s="17" t="n">
        <x:v>1372179148</x:v>
      </x:c>
      <x:c r="I396" s="17" t="n">
        <x:f>IF(AND(L396,ISNUMBER(G396),ISNUMBER(H396)),G396-H396,"n.a.")</x:f>
        <x:v>-975482305.5</x:v>
      </x:c>
      <x:c r="J396" s="15" t="n">
        <x:f>IF(AND(L396,ISNUMBER(G396),ISNUMBER(H396),H396&gt;0),(G396-H396)/H396,"n.a.")</x:f>
        <x:v>-0.7109001087225383</x:v>
      </x:c>
      <x:c r="K396" s="19" t="n">
        <x:f>IF(ISNUMBER(J396),ABS(J396),"n.a.")</x:f>
        <x:v>0.7109001087225383</x:v>
      </x:c>
      <x:c r="L396" s="13" t="b">
        <x:v>1</x:v>
      </x:c>
      <x:c r="M396" s="13" t="b">
        <x:v>1</x:v>
      </x:c>
      <x:c r="N396" s="2" t="str">
        <x:v>legacy epoch_status=observed; not exact acquisition proof</x:v>
      </x:c>
      <x:c r="O396" s="2" t="str">
        <x:v>none</x:v>
      </x:c>
      <x:c r="P396" s="2" t="str">
        <x:v>historical source estimate</x:v>
      </x:c>
      <x:c r="Q396" s="2" t="str">
        <x:v>Saved country aggregation; cross-source boundary and pixel-support alignment not certified; legacy observed flag is not acquisition proof</x:v>
      </x:c>
      <x:c r="R396" s="2" t="str">
        <x:v>https://human-settlement.emergency.copernicus.eu/ghs_buS2023.php</x:v>
      </x:c>
      <x:c r="S396" s="13" t="b">
        <x:v>0</x:v>
      </x:c>
      <x:c r="T396" s="13" t="b">
        <x:v>0</x:v>
      </x:c>
    </x:row>
    <x:row r="397" ht="23" customHeight="1">
      <x:c r="A397" s="2" t="str">
        <x:v>ZWE</x:v>
      </x:c>
      <x:c r="B397" s="2" t="str">
        <x:v>Zimbabwe (Republic of)</x:v>
      </x:c>
      <x:c r="C397" s="2" t="n">
        <x:v>2020</x:v>
      </x:c>
      <x:c r="D397" s="2" t="str">
        <x:v>GHSL_SURFACE</x:v>
      </x:c>
      <x:c r="E397" s="2" t="str">
        <x:v>horizontal surface / footprint</x:v>
      </x:c>
      <x:c r="F397" s="2" t="str">
        <x:v>m2</x:v>
      </x:c>
      <x:c r="G397" s="17" t="n">
        <x:v>420425813.98</x:v>
      </x:c>
      <x:c r="H397" s="17" t="n">
        <x:v>1327037943</x:v>
      </x:c>
      <x:c r="I397" s="17" t="n">
        <x:f>IF(AND(L397,ISNUMBER(G397),ISNUMBER(H397)),G397-H397,"n.a.")</x:f>
        <x:v>-906612129.02</x:v>
      </x:c>
      <x:c r="J397" s="15" t="n">
        <x:f>IF(AND(L397,ISNUMBER(G397),ISNUMBER(H397),H397&gt;0),(G397-H397)/H397,"n.a.")</x:f>
        <x:v>-0.6831847829237239</x:v>
      </x:c>
      <x:c r="K397" s="19" t="n">
        <x:f>IF(ISNUMBER(J397),ABS(J397),"n.a.")</x:f>
        <x:v>0.6831847829237239</x:v>
      </x:c>
      <x:c r="L397" s="13" t="b">
        <x:v>1</x:v>
      </x:c>
      <x:c r="M397" s="13" t="b">
        <x:v>1</x:v>
      </x:c>
      <x:c r="N397" s="2" t="str">
        <x:v>legacy epoch_status=observed; not exact acquisition proof</x:v>
      </x:c>
      <x:c r="O397" s="2" t="str">
        <x:v>none</x:v>
      </x:c>
      <x:c r="P397" s="2" t="str">
        <x:v>historical source estimate</x:v>
      </x:c>
      <x:c r="Q397" s="2" t="str">
        <x:v>Saved country aggregation; cross-source boundary and pixel-support alignment not certified; legacy observed flag is not acquisition proof</x:v>
      </x:c>
      <x:c r="R397" s="2" t="str">
        <x:v>https://human-settlement.emergency.copernicus.eu/ghs_buS2023.php</x:v>
      </x:c>
      <x:c r="S397" s="13" t="b">
        <x:v>0</x:v>
      </x:c>
      <x:c r="T397" s="13" t="b">
        <x:v>0</x:v>
      </x:c>
    </x:row>
    <x:row r="398" ht="23" customHeight="1">
      <x:c r="A398" s="2" t="str">
        <x:v>AFG</x:v>
      </x:c>
      <x:c r="B398" s="2" t="str">
        <x:v>Afghanistan (Islamic Republic of)</x:v>
      </x:c>
      <x:c r="C398" s="2" t="n">
        <x:v>2020</x:v>
      </x:c>
      <x:c r="D398" s="2" t="str">
        <x:v>WUP_SURFACE</x:v>
      </x:c>
      <x:c r="E398" s="2" t="str">
        <x:v>horizontal surface / footprint</x:v>
      </x:c>
      <x:c r="F398" s="2" t="str">
        <x:v>m2</x:v>
      </x:c>
      <x:c r="G398" s="17" t="n">
        <x:v>853208432.45</x:v>
      </x:c>
      <x:c r="H398" s="17" t="n">
        <x:v>601855988.0311444</x:v>
      </x:c>
      <x:c r="I398" s="17" t="n">
        <x:f>IF(AND(L398,ISNUMBER(G398),ISNUMBER(H398)),G398-H398,"n.a.")</x:f>
        <x:v>251352444.41885567</x:v>
      </x:c>
      <x:c r="J398" s="15" t="n">
        <x:f>IF(AND(L398,ISNUMBER(G398),ISNUMBER(H398),H398&gt;0),(G398-H398)/H398,"n.a.")</x:f>
        <x:v>0.41762888368213574</x:v>
      </x:c>
      <x:c r="K398" s="19" t="n">
        <x:f>IF(ISNUMBER(J398),ABS(J398),"n.a.")</x:f>
        <x:v>0.41762888368213574</x:v>
      </x:c>
      <x:c r="L398" s="13" t="b">
        <x:v>1</x:v>
      </x:c>
      <x:c r="M398" s="13" t="b">
        <x:v>1</x:v>
      </x:c>
      <x:c r="N398" s="2" t="str">
        <x:v>L1_numeric_partition_qualified_not_national_completeness</x:v>
      </x:c>
      <x:c r="O398" s="2" t="str">
        <x:v>none</x:v>
      </x:c>
      <x:c r="P398" s="2" t="str">
        <x:v>historical_GHSL_BU_estimate</x:v>
      </x:c>
      <x:c r="Q398" s="2" t="str">
        <x:v>Published UN country boundaries, L1 class partition, national completeness unproven;2025/2030 source projections</x:v>
      </x:c>
      <x:c r="R398" s="2" t="str">
        <x:v>https://human-settlement.emergency.copernicus.eu/datasets.php</x:v>
      </x:c>
      <x:c r="S398" s="13" t="b">
        <x:v>0</x:v>
      </x:c>
      <x:c r="T398" s="13" t="b">
        <x:v>0</x:v>
      </x:c>
    </x:row>
    <x:row r="399" ht="23" customHeight="1">
      <x:c r="A399" s="2" t="str">
        <x:v>AGO</x:v>
      </x:c>
      <x:c r="B399" s="2" t="str">
        <x:v>Angola (Republic of)</x:v>
      </x:c>
      <x:c r="C399" s="2" t="n">
        <x:v>2020</x:v>
      </x:c>
      <x:c r="D399" s="2" t="str">
        <x:v>WUP_SURFACE</x:v>
      </x:c>
      <x:c r="E399" s="2" t="str">
        <x:v>horizontal surface / footprint</x:v>
      </x:c>
      <x:c r="F399" s="2" t="str">
        <x:v>m2</x:v>
      </x:c>
      <x:c r="G399" s="17" t="n">
        <x:v>512504617.86</x:v>
      </x:c>
      <x:c r="H399" s="17" t="n">
        <x:v>1289840103.655108</x:v>
      </x:c>
      <x:c r="I399" s="17" t="n">
        <x:f>IF(AND(L399,ISNUMBER(G399),ISNUMBER(H399)),G399-H399,"n.a.")</x:f>
        <x:v>-777335485.795108</x:v>
      </x:c>
      <x:c r="J399" s="15" t="n">
        <x:f>IF(AND(L399,ISNUMBER(G399),ISNUMBER(H399),H399&gt;0),(G399-H399)/H399,"n.a.")</x:f>
        <x:v>-0.6026603480480405</x:v>
      </x:c>
      <x:c r="K399" s="19" t="n">
        <x:f>IF(ISNUMBER(J399),ABS(J399),"n.a.")</x:f>
        <x:v>0.6026603480480405</x:v>
      </x:c>
      <x:c r="L399" s="13" t="b">
        <x:v>1</x:v>
      </x:c>
      <x:c r="M399" s="13" t="b">
        <x:v>1</x:v>
      </x:c>
      <x:c r="N399" s="2" t="str">
        <x:v>L1_numeric_partition_qualified_not_national_completeness</x:v>
      </x:c>
      <x:c r="O399" s="2" t="str">
        <x:v>none</x:v>
      </x:c>
      <x:c r="P399" s="2" t="str">
        <x:v>historical_GHSL_BU_estimate</x:v>
      </x:c>
      <x:c r="Q399" s="2" t="str">
        <x:v>Published UN country boundaries, L1 class partition, national completeness unproven;2025/2030 source projections</x:v>
      </x:c>
      <x:c r="R399" s="2" t="str">
        <x:v>https://human-settlement.emergency.copernicus.eu/datasets.php</x:v>
      </x:c>
      <x:c r="S399" s="13" t="b">
        <x:v>0</x:v>
      </x:c>
      <x:c r="T399" s="13" t="b">
        <x:v>0</x:v>
      </x:c>
    </x:row>
    <x:row r="400" ht="23" customHeight="1">
      <x:c r="A400" s="2" t="str">
        <x:v>ALB</x:v>
      </x:c>
      <x:c r="B400" s="2" t="str">
        <x:v>Albania (Republic of)</x:v>
      </x:c>
      <x:c r="C400" s="2" t="n">
        <x:v>2020</x:v>
      </x:c>
      <x:c r="D400" s="2" t="str">
        <x:v>WUP_SURFACE</x:v>
      </x:c>
      <x:c r="E400" s="2" t="str">
        <x:v>horizontal surface / footprint</x:v>
      </x:c>
      <x:c r="F400" s="2" t="str">
        <x:v>m2</x:v>
      </x:c>
      <x:c r="G400" s="17" t="n">
        <x:v>161276383.52</x:v>
      </x:c>
      <x:c r="H400" s="17" t="n">
        <x:v>239435354.92663443</x:v>
      </x:c>
      <x:c r="I400" s="17" t="n">
        <x:f>IF(AND(L400,ISNUMBER(G400),ISNUMBER(H400)),G400-H400,"n.a.")</x:f>
        <x:v>-78158971.40663442</x:v>
      </x:c>
      <x:c r="J400" s="15" t="n">
        <x:f>IF(AND(L400,ISNUMBER(G400),ISNUMBER(H400),H400&gt;0),(G400-H400)/H400,"n.a.")</x:f>
        <x:v>-0.32643036961096733</x:v>
      </x:c>
      <x:c r="K400" s="19" t="n">
        <x:f>IF(ISNUMBER(J400),ABS(J400),"n.a.")</x:f>
        <x:v>0.32643036961096733</x:v>
      </x:c>
      <x:c r="L400" s="13" t="b">
        <x:v>1</x:v>
      </x:c>
      <x:c r="M400" s="13" t="b">
        <x:v>1</x:v>
      </x:c>
      <x:c r="N400" s="2" t="str">
        <x:v>L1_numeric_partition_qualified_not_national_completeness</x:v>
      </x:c>
      <x:c r="O400" s="2" t="str">
        <x:v>none</x:v>
      </x:c>
      <x:c r="P400" s="2" t="str">
        <x:v>historical_GHSL_BU_estimate</x:v>
      </x:c>
      <x:c r="Q400" s="2" t="str">
        <x:v>Published UN country boundaries, L1 class partition, national completeness unproven;2025/2030 source projections</x:v>
      </x:c>
      <x:c r="R400" s="2" t="str">
        <x:v>https://human-settlement.emergency.copernicus.eu/datasets.php</x:v>
      </x:c>
      <x:c r="S400" s="13" t="b">
        <x:v>0</x:v>
      </x:c>
      <x:c r="T400" s="13" t="b">
        <x:v>0</x:v>
      </x:c>
    </x:row>
    <x:row r="401" ht="23" customHeight="1">
      <x:c r="A401" s="2" t="str">
        <x:v>AND</x:v>
      </x:c>
      <x:c r="B401" s="2" t="str">
        <x:v>Andorra (Principality of)</x:v>
      </x:c>
      <x:c r="C401" s="2" t="n">
        <x:v>2020</x:v>
      </x:c>
      <x:c r="D401" s="2" t="str">
        <x:v>WUP_SURFACE</x:v>
      </x:c>
      <x:c r="E401" s="2" t="str">
        <x:v>horizontal surface / footprint</x:v>
      </x:c>
      <x:c r="F401" s="2" t="str">
        <x:v>m2</x:v>
      </x:c>
      <x:c r="G401" s="17" t="n">
        <x:v>2209198.1</x:v>
      </x:c>
      <x:c r="H401" s="17" t="n">
        <x:v>2238287.009914984</x:v>
      </x:c>
      <x:c r="I401" s="17" t="n">
        <x:f>IF(AND(L401,ISNUMBER(G401),ISNUMBER(H401)),G401-H401,"n.a.")</x:f>
        <x:v>-29088.909914983902</x:v>
      </x:c>
      <x:c r="J401" s="15" t="n">
        <x:f>IF(AND(L401,ISNUMBER(G401),ISNUMBER(H401),H401&gt;0),(G401-H401)/H401,"n.a.")</x:f>
        <x:v>-0.012996058944240925</x:v>
      </x:c>
      <x:c r="K401" s="19" t="n">
        <x:f>IF(ISNUMBER(J401),ABS(J401),"n.a.")</x:f>
        <x:v>0.012996058944240925</x:v>
      </x:c>
      <x:c r="L401" s="13" t="b">
        <x:v>1</x:v>
      </x:c>
      <x:c r="M401" s="13" t="b">
        <x:v>1</x:v>
      </x:c>
      <x:c r="N401" s="2" t="str">
        <x:v>L1_numeric_partition_qualified_not_national_completeness</x:v>
      </x:c>
      <x:c r="O401" s="2" t="str">
        <x:v>none</x:v>
      </x:c>
      <x:c r="P401" s="2" t="str">
        <x:v>historical_GHSL_BU_estimate</x:v>
      </x:c>
      <x:c r="Q401" s="2" t="str">
        <x:v>Published UN country boundaries, L1 class partition, national completeness unproven;2025/2030 source projections</x:v>
      </x:c>
      <x:c r="R401" s="2" t="str">
        <x:v>https://human-settlement.emergency.copernicus.eu/datasets.php</x:v>
      </x:c>
      <x:c r="S401" s="13" t="b">
        <x:v>0</x:v>
      </x:c>
      <x:c r="T401" s="13" t="b">
        <x:v>0</x:v>
      </x:c>
    </x:row>
    <x:row r="402" ht="23" customHeight="1">
      <x:c r="A402" s="2" t="str">
        <x:v>ARE</x:v>
      </x:c>
      <x:c r="B402" s="2" t="str">
        <x:v>United Arab Emirates</x:v>
      </x:c>
      <x:c r="C402" s="2" t="n">
        <x:v>2020</x:v>
      </x:c>
      <x:c r="D402" s="2" t="str">
        <x:v>WUP_SURFACE</x:v>
      </x:c>
      <x:c r="E402" s="2" t="str">
        <x:v>horizontal surface / footprint</x:v>
      </x:c>
      <x:c r="F402" s="2" t="str">
        <x:v>m2</x:v>
      </x:c>
      <x:c r="G402" s="17" t="n">
        <x:v>458879702.88</x:v>
      </x:c>
      <x:c r="H402" s="17" t="n">
        <x:v>638456291.4414136</x:v>
      </x:c>
      <x:c r="I402" s="17" t="n">
        <x:f>IF(AND(L402,ISNUMBER(G402),ISNUMBER(H402)),G402-H402,"n.a.")</x:f>
        <x:v>-179576588.56141365</x:v>
      </x:c>
      <x:c r="J402" s="15" t="n">
        <x:f>IF(AND(L402,ISNUMBER(G402),ISNUMBER(H402),H402&gt;0),(G402-H402)/H402,"n.a.")</x:f>
        <x:v>-0.2812668478150505</x:v>
      </x:c>
      <x:c r="K402" s="19" t="n">
        <x:f>IF(ISNUMBER(J402),ABS(J402),"n.a.")</x:f>
        <x:v>0.2812668478150505</x:v>
      </x:c>
      <x:c r="L402" s="13" t="b">
        <x:v>1</x:v>
      </x:c>
      <x:c r="M402" s="13" t="b">
        <x:v>1</x:v>
      </x:c>
      <x:c r="N402" s="2" t="str">
        <x:v>L1_numeric_partition_qualified_not_national_completeness</x:v>
      </x:c>
      <x:c r="O402" s="2" t="str">
        <x:v>none</x:v>
      </x:c>
      <x:c r="P402" s="2" t="str">
        <x:v>historical_GHSL_BU_estimate</x:v>
      </x:c>
      <x:c r="Q402" s="2" t="str">
        <x:v>Published UN country boundaries, L1 class partition, national completeness unproven;2025/2030 source projections</x:v>
      </x:c>
      <x:c r="R402" s="2" t="str">
        <x:v>https://human-settlement.emergency.copernicus.eu/datasets.php</x:v>
      </x:c>
      <x:c r="S402" s="13" t="b">
        <x:v>0</x:v>
      </x:c>
      <x:c r="T402" s="13" t="b">
        <x:v>0</x:v>
      </x:c>
    </x:row>
    <x:row r="403" ht="23" customHeight="1">
      <x:c r="A403" s="2" t="str">
        <x:v>ARG</x:v>
      </x:c>
      <x:c r="B403" s="2" t="str">
        <x:v>Argentina (Argentine Republic)</x:v>
      </x:c>
      <x:c r="C403" s="2" t="n">
        <x:v>2020</x:v>
      </x:c>
      <x:c r="D403" s="2" t="str">
        <x:v>WUP_SURFACE</x:v>
      </x:c>
      <x:c r="E403" s="2" t="str">
        <x:v>horizontal surface / footprint</x:v>
      </x:c>
      <x:c r="F403" s="2" t="str">
        <x:v>m2</x:v>
      </x:c>
      <x:c r="G403" s="17" t="n">
        <x:v>2382940448.4</x:v>
      </x:c>
      <x:c r="H403" s="17" t="n">
        <x:v>3943294133.4848666</x:v>
      </x:c>
      <x:c r="I403" s="17" t="n">
        <x:f>IF(AND(L403,ISNUMBER(G403),ISNUMBER(H403)),G403-H403,"n.a.")</x:f>
        <x:v>-1560353685.0848665</x:v>
      </x:c>
      <x:c r="J403" s="15" t="n">
        <x:f>IF(AND(L403,ISNUMBER(G403),ISNUMBER(H403),H403&gt;0),(G403-H403)/H403,"n.a.")</x:f>
        <x:v>-0.3956980210618759</x:v>
      </x:c>
      <x:c r="K403" s="19" t="n">
        <x:f>IF(ISNUMBER(J403),ABS(J403),"n.a.")</x:f>
        <x:v>0.3956980210618759</x:v>
      </x:c>
      <x:c r="L403" s="13" t="b">
        <x:v>1</x:v>
      </x:c>
      <x:c r="M403" s="13" t="b">
        <x:v>1</x:v>
      </x:c>
      <x:c r="N403" s="2" t="str">
        <x:v>L1_numeric_partition_qualified_not_national_completeness</x:v>
      </x:c>
      <x:c r="O403" s="2" t="str">
        <x:v>none</x:v>
      </x:c>
      <x:c r="P403" s="2" t="str">
        <x:v>historical_GHSL_BU_estimate</x:v>
      </x:c>
      <x:c r="Q403" s="2" t="str">
        <x:v>Published UN country boundaries, L1 class partition, national completeness unproven;2025/2030 source projections</x:v>
      </x:c>
      <x:c r="R403" s="2" t="str">
        <x:v>https://human-settlement.emergency.copernicus.eu/datasets.php</x:v>
      </x:c>
      <x:c r="S403" s="13" t="b">
        <x:v>0</x:v>
      </x:c>
      <x:c r="T403" s="13" t="b">
        <x:v>0</x:v>
      </x:c>
    </x:row>
    <x:row r="404" ht="23" customHeight="1">
      <x:c r="A404" s="2" t="str">
        <x:v>ARM</x:v>
      </x:c>
      <x:c r="B404" s="2" t="str">
        <x:v>Armenia (Republic of)</x:v>
      </x:c>
      <x:c r="C404" s="2" t="n">
        <x:v>2020</x:v>
      </x:c>
      <x:c r="D404" s="2" t="str">
        <x:v>WUP_SURFACE</x:v>
      </x:c>
      <x:c r="E404" s="2" t="str">
        <x:v>horizontal surface / footprint</x:v>
      </x:c>
      <x:c r="F404" s="2" t="str">
        <x:v>m2</x:v>
      </x:c>
      <x:c r="G404" s="17" t="n">
        <x:v>142786500.21</x:v>
      </x:c>
      <x:c r="H404" s="17" t="n">
        <x:v>222480262.7736285</x:v>
      </x:c>
      <x:c r="I404" s="17" t="n">
        <x:f>IF(AND(L404,ISNUMBER(G404),ISNUMBER(H404)),G404-H404,"n.a.")</x:f>
        <x:v>-79693762.5636285</x:v>
      </x:c>
      <x:c r="J404" s="15" t="n">
        <x:f>IF(AND(L404,ISNUMBER(G404),ISNUMBER(H404),H404&gt;0),(G404-H404)/H404,"n.a.")</x:f>
        <x:v>-0.3582059890171746</x:v>
      </x:c>
      <x:c r="K404" s="19" t="n">
        <x:f>IF(ISNUMBER(J404),ABS(J404),"n.a.")</x:f>
        <x:v>0.3582059890171746</x:v>
      </x:c>
      <x:c r="L404" s="13" t="b">
        <x:v>1</x:v>
      </x:c>
      <x:c r="M404" s="13" t="b">
        <x:v>1</x:v>
      </x:c>
      <x:c r="N404" s="2" t="str">
        <x:v>L1_numeric_partition_qualified_not_national_completeness</x:v>
      </x:c>
      <x:c r="O404" s="2" t="str">
        <x:v>none</x:v>
      </x:c>
      <x:c r="P404" s="2" t="str">
        <x:v>historical_GHSL_BU_estimate</x:v>
      </x:c>
      <x:c r="Q404" s="2" t="str">
        <x:v>Published UN country boundaries, L1 class partition, national completeness unproven;2025/2030 source projections</x:v>
      </x:c>
      <x:c r="R404" s="2" t="str">
        <x:v>https://human-settlement.emergency.copernicus.eu/datasets.php</x:v>
      </x:c>
      <x:c r="S404" s="13" t="b">
        <x:v>0</x:v>
      </x:c>
      <x:c r="T404" s="13" t="b">
        <x:v>0</x:v>
      </x:c>
    </x:row>
    <x:row r="405" ht="23" customHeight="1">
      <x:c r="A405" s="2" t="str">
        <x:v>ATG</x:v>
      </x:c>
      <x:c r="B405" s="2" t="str">
        <x:v>Antigua and Barbuda</x:v>
      </x:c>
      <x:c r="C405" s="2" t="n">
        <x:v>2020</x:v>
      </x:c>
      <x:c r="D405" s="2" t="str">
        <x:v>WUP_SURFACE</x:v>
      </x:c>
      <x:c r="E405" s="2" t="str">
        <x:v>horizontal surface / footprint</x:v>
      </x:c>
      <x:c r="F405" s="2" t="str">
        <x:v>m2</x:v>
      </x:c>
      <x:c r="G405" s="17" t="n">
        <x:v>7437404.66</x:v>
      </x:c>
      <x:c r="H405" s="17" t="n">
        <x:v>14728033.99585814</x:v>
      </x:c>
      <x:c r="I405" s="17" t="n">
        <x:f>IF(AND(L405,ISNUMBER(G405),ISNUMBER(H405)),G405-H405,"n.a.")</x:f>
        <x:v>-7290629.33585814</x:v>
      </x:c>
      <x:c r="J405" s="15" t="n">
        <x:f>IF(AND(L405,ISNUMBER(G405),ISNUMBER(H405),H405&gt;0),(G405-H405)/H405,"n.a.")</x:f>
        <x:v>-0.4950171447124872</x:v>
      </x:c>
      <x:c r="K405" s="19" t="n">
        <x:f>IF(ISNUMBER(J405),ABS(J405),"n.a.")</x:f>
        <x:v>0.4950171447124872</x:v>
      </x:c>
      <x:c r="L405" s="13" t="b">
        <x:v>1</x:v>
      </x:c>
      <x:c r="M405" s="13" t="b">
        <x:v>1</x:v>
      </x:c>
      <x:c r="N405" s="2" t="str">
        <x:v>L1_numeric_partition_qualified_not_national_completeness</x:v>
      </x:c>
      <x:c r="O405" s="2" t="str">
        <x:v>none</x:v>
      </x:c>
      <x:c r="P405" s="2" t="str">
        <x:v>historical_GHSL_BU_estimate</x:v>
      </x:c>
      <x:c r="Q405" s="2" t="str">
        <x:v>Published UN country boundaries, L1 class partition, national completeness unproven;2025/2030 source projections</x:v>
      </x:c>
      <x:c r="R405" s="2" t="str">
        <x:v>https://human-settlement.emergency.copernicus.eu/datasets.php</x:v>
      </x:c>
      <x:c r="S405" s="13" t="b">
        <x:v>0</x:v>
      </x:c>
      <x:c r="T405" s="13" t="b">
        <x:v>0</x:v>
      </x:c>
    </x:row>
    <x:row r="406" ht="23" customHeight="1">
      <x:c r="A406" s="2" t="str">
        <x:v>AUS</x:v>
      </x:c>
      <x:c r="B406" s="2" t="str">
        <x:v>Australia (Commonwealth of)</x:v>
      </x:c>
      <x:c r="C406" s="2" t="n">
        <x:v>2020</x:v>
      </x:c>
      <x:c r="D406" s="2" t="str">
        <x:v>WUP_SURFACE</x:v>
      </x:c>
      <x:c r="E406" s="2" t="str">
        <x:v>horizontal surface / footprint</x:v>
      </x:c>
      <x:c r="F406" s="2" t="str">
        <x:v>m2</x:v>
      </x:c>
      <x:c r="G406" s="17" t="n">
        <x:v>3011161094.86</x:v>
      </x:c>
      <x:c r="H406" s="17" t="n">
        <x:v>5111320190.100877</x:v>
      </x:c>
      <x:c r="I406" s="17" t="n">
        <x:f>IF(AND(L406,ISNUMBER(G406),ISNUMBER(H406)),G406-H406,"n.a.")</x:f>
        <x:v>-2100159095.2408767</x:v>
      </x:c>
      <x:c r="J406" s="15" t="n">
        <x:f>IF(AND(L406,ISNUMBER(G406),ISNUMBER(H406),H406&gt;0),(G406-H406)/H406,"n.a.")</x:f>
        <x:v>-0.4108838846191375</x:v>
      </x:c>
      <x:c r="K406" s="19" t="n">
        <x:f>IF(ISNUMBER(J406),ABS(J406),"n.a.")</x:f>
        <x:v>0.4108838846191375</x:v>
      </x:c>
      <x:c r="L406" s="13" t="b">
        <x:v>1</x:v>
      </x:c>
      <x:c r="M406" s="13" t="b">
        <x:v>1</x:v>
      </x:c>
      <x:c r="N406" s="2" t="str">
        <x:v>L1_numeric_partition_qualified_not_national_completeness</x:v>
      </x:c>
      <x:c r="O406" s="2" t="str">
        <x:v>none</x:v>
      </x:c>
      <x:c r="P406" s="2" t="str">
        <x:v>historical_GHSL_BU_estimate</x:v>
      </x:c>
      <x:c r="Q406" s="2" t="str">
        <x:v>Published UN country boundaries, L1 class partition, national completeness unproven;2025/2030 source projections</x:v>
      </x:c>
      <x:c r="R406" s="2" t="str">
        <x:v>https://human-settlement.emergency.copernicus.eu/datasets.php</x:v>
      </x:c>
      <x:c r="S406" s="13" t="b">
        <x:v>0</x:v>
      </x:c>
      <x:c r="T406" s="13" t="b">
        <x:v>0</x:v>
      </x:c>
    </x:row>
    <x:row r="407" ht="23" customHeight="1">
      <x:c r="A407" s="2" t="str">
        <x:v>AUT</x:v>
      </x:c>
      <x:c r="B407" s="2" t="str">
        <x:v>Austria (Republic of)</x:v>
      </x:c>
      <x:c r="C407" s="2" t="n">
        <x:v>2020</x:v>
      </x:c>
      <x:c r="D407" s="2" t="str">
        <x:v>WUP_SURFACE</x:v>
      </x:c>
      <x:c r="E407" s="2" t="str">
        <x:v>horizontal surface / footprint</x:v>
      </x:c>
      <x:c r="F407" s="2" t="str">
        <x:v>m2</x:v>
      </x:c>
      <x:c r="G407" s="17" t="n">
        <x:v>852795432.34</x:v>
      </x:c>
      <x:c r="H407" s="17" t="n">
        <x:v>1140614141.503219</x:v>
      </x:c>
      <x:c r="I407" s="17" t="n">
        <x:f>IF(AND(L407,ISNUMBER(G407),ISNUMBER(H407)),G407-H407,"n.a.")</x:f>
        <x:v>-287818709.16321886</x:v>
      </x:c>
      <x:c r="J407" s="15" t="n">
        <x:f>IF(AND(L407,ISNUMBER(G407),ISNUMBER(H407),H407&gt;0),(G407-H407)/H407,"n.a.")</x:f>
        <x:v>-0.2523366129617696</x:v>
      </x:c>
      <x:c r="K407" s="19" t="n">
        <x:f>IF(ISNUMBER(J407),ABS(J407),"n.a.")</x:f>
        <x:v>0.2523366129617696</x:v>
      </x:c>
      <x:c r="L407" s="13" t="b">
        <x:v>1</x:v>
      </x:c>
      <x:c r="M407" s="13" t="b">
        <x:v>1</x:v>
      </x:c>
      <x:c r="N407" s="2" t="str">
        <x:v>L1_numeric_partition_qualified_not_national_completeness</x:v>
      </x:c>
      <x:c r="O407" s="2" t="str">
        <x:v>none</x:v>
      </x:c>
      <x:c r="P407" s="2" t="str">
        <x:v>historical_GHSL_BU_estimate</x:v>
      </x:c>
      <x:c r="Q407" s="2" t="str">
        <x:v>Published UN country boundaries, L1 class partition, national completeness unproven;2025/2030 source projections</x:v>
      </x:c>
      <x:c r="R407" s="2" t="str">
        <x:v>https://human-settlement.emergency.copernicus.eu/datasets.php</x:v>
      </x:c>
      <x:c r="S407" s="13" t="b">
        <x:v>0</x:v>
      </x:c>
      <x:c r="T407" s="13" t="b">
        <x:v>0</x:v>
      </x:c>
    </x:row>
    <x:row r="408" ht="23" customHeight="1">
      <x:c r="A408" s="2" t="str">
        <x:v>AZE</x:v>
      </x:c>
      <x:c r="B408" s="2" t="str">
        <x:v>Azerbaijan (Republic of)</x:v>
      </x:c>
      <x:c r="C408" s="2" t="n">
        <x:v>2020</x:v>
      </x:c>
      <x:c r="D408" s="2" t="str">
        <x:v>WUP_SURFACE</x:v>
      </x:c>
      <x:c r="E408" s="2" t="str">
        <x:v>horizontal surface / footprint</x:v>
      </x:c>
      <x:c r="F408" s="2" t="str">
        <x:v>m2</x:v>
      </x:c>
      <x:c r="G408" s="17" t="n">
        <x:v>507953272.9</x:v>
      </x:c>
      <x:c r="H408" s="17" t="n">
        <x:v>846314460.4218581</x:v>
      </x:c>
      <x:c r="I408" s="17" t="n">
        <x:f>IF(AND(L408,ISNUMBER(G408),ISNUMBER(H408)),G408-H408,"n.a.")</x:f>
        <x:v>-338361187.5218581</x:v>
      </x:c>
      <x:c r="J408" s="15" t="n">
        <x:f>IF(AND(L408,ISNUMBER(G408),ISNUMBER(H408),H408&gt;0),(G408-H408)/H408,"n.a.")</x:f>
        <x:v>-0.39980551360684174</x:v>
      </x:c>
      <x:c r="K408" s="19" t="n">
        <x:f>IF(ISNUMBER(J408),ABS(J408),"n.a.")</x:f>
        <x:v>0.39980551360684174</x:v>
      </x:c>
      <x:c r="L408" s="13" t="b">
        <x:v>1</x:v>
      </x:c>
      <x:c r="M408" s="13" t="b">
        <x:v>1</x:v>
      </x:c>
      <x:c r="N408" s="2" t="str">
        <x:v>L1_numeric_partition_qualified_not_national_completeness</x:v>
      </x:c>
      <x:c r="O408" s="2" t="str">
        <x:v>none</x:v>
      </x:c>
      <x:c r="P408" s="2" t="str">
        <x:v>historical_GHSL_BU_estimate</x:v>
      </x:c>
      <x:c r="Q408" s="2" t="str">
        <x:v>Published UN country boundaries, L1 class partition, national completeness unproven;2025/2030 source projections</x:v>
      </x:c>
      <x:c r="R408" s="2" t="str">
        <x:v>https://human-settlement.emergency.copernicus.eu/datasets.php</x:v>
      </x:c>
      <x:c r="S408" s="13" t="b">
        <x:v>0</x:v>
      </x:c>
      <x:c r="T408" s="13" t="b">
        <x:v>0</x:v>
      </x:c>
    </x:row>
    <x:row r="409" ht="23" customHeight="1">
      <x:c r="A409" s="2" t="str">
        <x:v>BDI</x:v>
      </x:c>
      <x:c r="B409" s="2" t="str">
        <x:v>Burundi (Republic of)</x:v>
      </x:c>
      <x:c r="C409" s="2" t="n">
        <x:v>2020</x:v>
      </x:c>
      <x:c r="D409" s="2" t="str">
        <x:v>WUP_SURFACE</x:v>
      </x:c>
      <x:c r="E409" s="2" t="str">
        <x:v>horizontal surface / footprint</x:v>
      </x:c>
      <x:c r="F409" s="2" t="str">
        <x:v>m2</x:v>
      </x:c>
      <x:c r="G409" s="17" t="n">
        <x:v>147710691.61</x:v>
      </x:c>
      <x:c r="H409" s="17" t="n">
        <x:v>423016836.03304994</x:v>
      </x:c>
      <x:c r="I409" s="17" t="n">
        <x:f>IF(AND(L409,ISNUMBER(G409),ISNUMBER(H409)),G409-H409,"n.a.")</x:f>
        <x:v>-275306144.4230499</x:v>
      </x:c>
      <x:c r="J409" s="15" t="n">
        <x:f>IF(AND(L409,ISNUMBER(G409),ISNUMBER(H409),H409&gt;0),(G409-H409)/H409,"n.a.")</x:f>
        <x:v>-0.6508160455380563</x:v>
      </x:c>
      <x:c r="K409" s="19" t="n">
        <x:f>IF(ISNUMBER(J409),ABS(J409),"n.a.")</x:f>
        <x:v>0.6508160455380563</x:v>
      </x:c>
      <x:c r="L409" s="13" t="b">
        <x:v>1</x:v>
      </x:c>
      <x:c r="M409" s="13" t="b">
        <x:v>1</x:v>
      </x:c>
      <x:c r="N409" s="2" t="str">
        <x:v>L1_numeric_partition_qualified_not_national_completeness</x:v>
      </x:c>
      <x:c r="O409" s="2" t="str">
        <x:v>none</x:v>
      </x:c>
      <x:c r="P409" s="2" t="str">
        <x:v>historical_GHSL_BU_estimate</x:v>
      </x:c>
      <x:c r="Q409" s="2" t="str">
        <x:v>Published UN country boundaries, L1 class partition, national completeness unproven;2025/2030 source projections</x:v>
      </x:c>
      <x:c r="R409" s="2" t="str">
        <x:v>https://human-settlement.emergency.copernicus.eu/datasets.php</x:v>
      </x:c>
      <x:c r="S409" s="13" t="b">
        <x:v>0</x:v>
      </x:c>
      <x:c r="T409" s="13" t="b">
        <x:v>0</x:v>
      </x:c>
    </x:row>
    <x:row r="410" ht="23" customHeight="1">
      <x:c r="A410" s="2" t="str">
        <x:v>BEL</x:v>
      </x:c>
      <x:c r="B410" s="2" t="str">
        <x:v>Belgium (Kingdom of)</x:v>
      </x:c>
      <x:c r="C410" s="2" t="n">
        <x:v>2020</x:v>
      </x:c>
      <x:c r="D410" s="2" t="str">
        <x:v>WUP_SURFACE</x:v>
      </x:c>
      <x:c r="E410" s="2" t="str">
        <x:v>horizontal surface / footprint</x:v>
      </x:c>
      <x:c r="F410" s="2" t="str">
        <x:v>m2</x:v>
      </x:c>
      <x:c r="G410" s="17" t="n">
        <x:v>997505427.36</x:v>
      </x:c>
      <x:c r="H410" s="17" t="n">
        <x:v>1515116058.1065893</x:v>
      </x:c>
      <x:c r="I410" s="17" t="n">
        <x:f>IF(AND(L410,ISNUMBER(G410),ISNUMBER(H410)),G410-H410,"n.a.")</x:f>
        <x:v>-517610630.7465893</x:v>
      </x:c>
      <x:c r="J410" s="15" t="n">
        <x:f>IF(AND(L410,ISNUMBER(G410),ISNUMBER(H410),H410&gt;0),(G410-H410)/H410,"n.a.")</x:f>
        <x:v>-0.3416310110219788</x:v>
      </x:c>
      <x:c r="K410" s="19" t="n">
        <x:f>IF(ISNUMBER(J410),ABS(J410),"n.a.")</x:f>
        <x:v>0.3416310110219788</x:v>
      </x:c>
      <x:c r="L410" s="13" t="b">
        <x:v>1</x:v>
      </x:c>
      <x:c r="M410" s="13" t="b">
        <x:v>1</x:v>
      </x:c>
      <x:c r="N410" s="2" t="str">
        <x:v>L1_numeric_partition_qualified_not_national_completeness</x:v>
      </x:c>
      <x:c r="O410" s="2" t="str">
        <x:v>none</x:v>
      </x:c>
      <x:c r="P410" s="2" t="str">
        <x:v>historical_GHSL_BU_estimate</x:v>
      </x:c>
      <x:c r="Q410" s="2" t="str">
        <x:v>Published UN country boundaries, L1 class partition, national completeness unproven;2025/2030 source projections</x:v>
      </x:c>
      <x:c r="R410" s="2" t="str">
        <x:v>https://human-settlement.emergency.copernicus.eu/datasets.php</x:v>
      </x:c>
      <x:c r="S410" s="13" t="b">
        <x:v>0</x:v>
      </x:c>
      <x:c r="T410" s="13" t="b">
        <x:v>0</x:v>
      </x:c>
    </x:row>
    <x:row r="411" ht="23" customHeight="1">
      <x:c r="A411" s="2" t="str">
        <x:v>BEN</x:v>
      </x:c>
      <x:c r="B411" s="2" t="str">
        <x:v>Benin (Republic of)</x:v>
      </x:c>
      <x:c r="C411" s="2" t="n">
        <x:v>2020</x:v>
      </x:c>
      <x:c r="D411" s="2" t="str">
        <x:v>WUP_SURFACE</x:v>
      </x:c>
      <x:c r="E411" s="2" t="str">
        <x:v>horizontal surface / footprint</x:v>
      </x:c>
      <x:c r="F411" s="2" t="str">
        <x:v>m2</x:v>
      </x:c>
      <x:c r="G411" s="17" t="n">
        <x:v>302038367.25</x:v>
      </x:c>
      <x:c r="H411" s="17" t="n">
        <x:v>735384103.9916569</x:v>
      </x:c>
      <x:c r="I411" s="17" t="n">
        <x:f>IF(AND(L411,ISNUMBER(G411),ISNUMBER(H411)),G411-H411,"n.a.")</x:f>
        <x:v>-433345736.7416569</x:v>
      </x:c>
      <x:c r="J411" s="15" t="n">
        <x:f>IF(AND(L411,ISNUMBER(G411),ISNUMBER(H411),H411&gt;0),(G411-H411)/H411,"n.a.")</x:f>
        <x:v>-0.5892780852747034</x:v>
      </x:c>
      <x:c r="K411" s="19" t="n">
        <x:f>IF(ISNUMBER(J411),ABS(J411),"n.a.")</x:f>
        <x:v>0.5892780852747034</x:v>
      </x:c>
      <x:c r="L411" s="13" t="b">
        <x:v>1</x:v>
      </x:c>
      <x:c r="M411" s="13" t="b">
        <x:v>1</x:v>
      </x:c>
      <x:c r="N411" s="2" t="str">
        <x:v>L1_numeric_partition_qualified_not_national_completeness</x:v>
      </x:c>
      <x:c r="O411" s="2" t="str">
        <x:v>none</x:v>
      </x:c>
      <x:c r="P411" s="2" t="str">
        <x:v>historical_GHSL_BU_estimate</x:v>
      </x:c>
      <x:c r="Q411" s="2" t="str">
        <x:v>Published UN country boundaries, L1 class partition, national completeness unproven;2025/2030 source projections</x:v>
      </x:c>
      <x:c r="R411" s="2" t="str">
        <x:v>https://human-settlement.emergency.copernicus.eu/datasets.php</x:v>
      </x:c>
      <x:c r="S411" s="13" t="b">
        <x:v>0</x:v>
      </x:c>
      <x:c r="T411" s="13" t="b">
        <x:v>0</x:v>
      </x:c>
    </x:row>
    <x:row r="412" ht="23" customHeight="1">
      <x:c r="A412" s="2" t="str">
        <x:v>BFA</x:v>
      </x:c>
      <x:c r="B412" s="2" t="str">
        <x:v>Burkina Faso</x:v>
      </x:c>
      <x:c r="C412" s="2" t="n">
        <x:v>2020</x:v>
      </x:c>
      <x:c r="D412" s="2" t="str">
        <x:v>WUP_SURFACE</x:v>
      </x:c>
      <x:c r="E412" s="2" t="str">
        <x:v>horizontal surface / footprint</x:v>
      </x:c>
      <x:c r="F412" s="2" t="str">
        <x:v>m2</x:v>
      </x:c>
      <x:c r="G412" s="17" t="n">
        <x:v>359180891.35</x:v>
      </x:c>
      <x:c r="H412" s="17" t="n">
        <x:v>1249029390.284681</x:v>
      </x:c>
      <x:c r="I412" s="17" t="n">
        <x:f>IF(AND(L412,ISNUMBER(G412),ISNUMBER(H412)),G412-H412,"n.a.")</x:f>
        <x:v>-889848498.934681</x:v>
      </x:c>
      <x:c r="J412" s="15" t="n">
        <x:f>IF(AND(L412,ISNUMBER(G412),ISNUMBER(H412),H412&gt;0),(G412-H412)/H412,"n.a.")</x:f>
        <x:v>-0.7124319938795557</x:v>
      </x:c>
      <x:c r="K412" s="19" t="n">
        <x:f>IF(ISNUMBER(J412),ABS(J412),"n.a.")</x:f>
        <x:v>0.7124319938795557</x:v>
      </x:c>
      <x:c r="L412" s="13" t="b">
        <x:v>1</x:v>
      </x:c>
      <x:c r="M412" s="13" t="b">
        <x:v>1</x:v>
      </x:c>
      <x:c r="N412" s="2" t="str">
        <x:v>L1_numeric_partition_qualified_not_national_completeness</x:v>
      </x:c>
      <x:c r="O412" s="2" t="str">
        <x:v>none</x:v>
      </x:c>
      <x:c r="P412" s="2" t="str">
        <x:v>historical_GHSL_BU_estimate</x:v>
      </x:c>
      <x:c r="Q412" s="2" t="str">
        <x:v>Published UN country boundaries, L1 class partition, national completeness unproven;2025/2030 source projections</x:v>
      </x:c>
      <x:c r="R412" s="2" t="str">
        <x:v>https://human-settlement.emergency.copernicus.eu/datasets.php</x:v>
      </x:c>
      <x:c r="S412" s="13" t="b">
        <x:v>0</x:v>
      </x:c>
      <x:c r="T412" s="13" t="b">
        <x:v>0</x:v>
      </x:c>
    </x:row>
    <x:row r="413" ht="23" customHeight="1">
      <x:c r="A413" s="2" t="str">
        <x:v>BGD</x:v>
      </x:c>
      <x:c r="B413" s="2" t="str">
        <x:v>Bangladesh (People's Republic of)</x:v>
      </x:c>
      <x:c r="C413" s="2" t="n">
        <x:v>2020</x:v>
      </x:c>
      <x:c r="D413" s="2" t="str">
        <x:v>WUP_SURFACE</x:v>
      </x:c>
      <x:c r="E413" s="2" t="str">
        <x:v>horizontal surface / footprint</x:v>
      </x:c>
      <x:c r="F413" s="2" t="str">
        <x:v>m2</x:v>
      </x:c>
      <x:c r="G413" s="17" t="n">
        <x:v>2430930564.55</x:v>
      </x:c>
      <x:c r="H413" s="17" t="n">
        <x:v>2684733057.8446093</x:v>
      </x:c>
      <x:c r="I413" s="17" t="n">
        <x:f>IF(AND(L413,ISNUMBER(G413),ISNUMBER(H413)),G413-H413,"n.a.")</x:f>
        <x:v>-253802493.29460907</x:v>
      </x:c>
      <x:c r="J413" s="15" t="n">
        <x:f>IF(AND(L413,ISNUMBER(G413),ISNUMBER(H413),H413&gt;0),(G413-H413)/H413,"n.a.")</x:f>
        <x:v>-0.0945354669630991</x:v>
      </x:c>
      <x:c r="K413" s="19" t="n">
        <x:f>IF(ISNUMBER(J413),ABS(J413),"n.a.")</x:f>
        <x:v>0.0945354669630991</x:v>
      </x:c>
      <x:c r="L413" s="13" t="b">
        <x:v>1</x:v>
      </x:c>
      <x:c r="M413" s="13" t="b">
        <x:v>1</x:v>
      </x:c>
      <x:c r="N413" s="2" t="str">
        <x:v>L1_numeric_partition_qualified_not_national_completeness</x:v>
      </x:c>
      <x:c r="O413" s="2" t="str">
        <x:v>none</x:v>
      </x:c>
      <x:c r="P413" s="2" t="str">
        <x:v>historical_GHSL_BU_estimate</x:v>
      </x:c>
      <x:c r="Q413" s="2" t="str">
        <x:v>Published UN country boundaries, L1 class partition, national completeness unproven;2025/2030 source projections</x:v>
      </x:c>
      <x:c r="R413" s="2" t="str">
        <x:v>https://human-settlement.emergency.copernicus.eu/datasets.php</x:v>
      </x:c>
      <x:c r="S413" s="13" t="b">
        <x:v>0</x:v>
      </x:c>
      <x:c r="T413" s="13" t="b">
        <x:v>0</x:v>
      </x:c>
    </x:row>
    <x:row r="414" ht="23" customHeight="1">
      <x:c r="A414" s="2" t="str">
        <x:v>BGR</x:v>
      </x:c>
      <x:c r="B414" s="2" t="str">
        <x:v>Bulgaria (Republic of)</x:v>
      </x:c>
      <x:c r="C414" s="2" t="n">
        <x:v>2020</x:v>
      </x:c>
      <x:c r="D414" s="2" t="str">
        <x:v>WUP_SURFACE</x:v>
      </x:c>
      <x:c r="E414" s="2" t="str">
        <x:v>horizontal surface / footprint</x:v>
      </x:c>
      <x:c r="F414" s="2" t="str">
        <x:v>m2</x:v>
      </x:c>
      <x:c r="G414" s="17" t="n">
        <x:v>543020803.57</x:v>
      </x:c>
      <x:c r="H414" s="17" t="n">
        <x:v>864626173.1732111</x:v>
      </x:c>
      <x:c r="I414" s="17" t="n">
        <x:f>IF(AND(L414,ISNUMBER(G414),ISNUMBER(H414)),G414-H414,"n.a.")</x:f>
        <x:v>-321605369.60321105</x:v>
      </x:c>
      <x:c r="J414" s="15" t="n">
        <x:f>IF(AND(L414,ISNUMBER(G414),ISNUMBER(H414),H414&gt;0),(G414-H414)/H414,"n.a.")</x:f>
        <x:v>-0.3719588645147151</x:v>
      </x:c>
      <x:c r="K414" s="19" t="n">
        <x:f>IF(ISNUMBER(J414),ABS(J414),"n.a.")</x:f>
        <x:v>0.3719588645147151</x:v>
      </x:c>
      <x:c r="L414" s="13" t="b">
        <x:v>1</x:v>
      </x:c>
      <x:c r="M414" s="13" t="b">
        <x:v>1</x:v>
      </x:c>
      <x:c r="N414" s="2" t="str">
        <x:v>L1_numeric_partition_qualified_not_national_completeness</x:v>
      </x:c>
      <x:c r="O414" s="2" t="str">
        <x:v>none</x:v>
      </x:c>
      <x:c r="P414" s="2" t="str">
        <x:v>historical_GHSL_BU_estimate</x:v>
      </x:c>
      <x:c r="Q414" s="2" t="str">
        <x:v>Published UN country boundaries, L1 class partition, national completeness unproven;2025/2030 source projections</x:v>
      </x:c>
      <x:c r="R414" s="2" t="str">
        <x:v>https://human-settlement.emergency.copernicus.eu/datasets.php</x:v>
      </x:c>
      <x:c r="S414" s="13" t="b">
        <x:v>0</x:v>
      </x:c>
      <x:c r="T414" s="13" t="b">
        <x:v>0</x:v>
      </x:c>
    </x:row>
    <x:row r="415" ht="23" customHeight="1">
      <x:c r="A415" s="2" t="str">
        <x:v>BHR</x:v>
      </x:c>
      <x:c r="B415" s="2" t="str">
        <x:v>Bahrain (Kingdom of)</x:v>
      </x:c>
      <x:c r="C415" s="2" t="n">
        <x:v>2020</x:v>
      </x:c>
      <x:c r="D415" s="2" t="str">
        <x:v>WUP_SURFACE</x:v>
      </x:c>
      <x:c r="E415" s="2" t="str">
        <x:v>horizontal surface / footprint</x:v>
      </x:c>
      <x:c r="F415" s="2" t="str">
        <x:v>m2</x:v>
      </x:c>
      <x:c r="G415" s="17" t="n">
        <x:v>54723363.17</x:v>
      </x:c>
      <x:c r="H415" s="17" t="n">
        <x:v>82288563.04807505</x:v>
      </x:c>
      <x:c r="I415" s="17" t="n">
        <x:f>IF(AND(L415,ISNUMBER(G415),ISNUMBER(H415)),G415-H415,"n.a.")</x:f>
        <x:v>-27565199.87807505</x:v>
      </x:c>
      <x:c r="J415" s="15" t="n">
        <x:f>IF(AND(L415,ISNUMBER(G415),ISNUMBER(H415),H415&gt;0),(G415-H415)/H415,"n.a.")</x:f>
        <x:v>-0.334982151310271</x:v>
      </x:c>
      <x:c r="K415" s="19" t="n">
        <x:f>IF(ISNUMBER(J415),ABS(J415),"n.a.")</x:f>
        <x:v>0.334982151310271</x:v>
      </x:c>
      <x:c r="L415" s="13" t="b">
        <x:v>1</x:v>
      </x:c>
      <x:c r="M415" s="13" t="b">
        <x:v>1</x:v>
      </x:c>
      <x:c r="N415" s="2" t="str">
        <x:v>L1_numeric_partition_qualified_not_national_completeness</x:v>
      </x:c>
      <x:c r="O415" s="2" t="str">
        <x:v>none</x:v>
      </x:c>
      <x:c r="P415" s="2" t="str">
        <x:v>historical_GHSL_BU_estimate</x:v>
      </x:c>
      <x:c r="Q415" s="2" t="str">
        <x:v>Published UN country boundaries, L1 class partition, national completeness unproven;2025/2030 source projections</x:v>
      </x:c>
      <x:c r="R415" s="2" t="str">
        <x:v>https://human-settlement.emergency.copernicus.eu/datasets.php</x:v>
      </x:c>
      <x:c r="S415" s="13" t="b">
        <x:v>0</x:v>
      </x:c>
      <x:c r="T415" s="13" t="b">
        <x:v>0</x:v>
      </x:c>
    </x:row>
    <x:row r="416" ht="23" customHeight="1">
      <x:c r="A416" s="2" t="str">
        <x:v>BHS</x:v>
      </x:c>
      <x:c r="B416" s="2" t="str">
        <x:v>Bahamas (Commonwealth of the)</x:v>
      </x:c>
      <x:c r="C416" s="2" t="n">
        <x:v>2020</x:v>
      </x:c>
      <x:c r="D416" s="2" t="str">
        <x:v>WUP_SURFACE</x:v>
      </x:c>
      <x:c r="E416" s="2" t="str">
        <x:v>horizontal surface / footprint</x:v>
      </x:c>
      <x:c r="F416" s="2" t="str">
        <x:v>m2</x:v>
      </x:c>
      <x:c r="G416" s="17" t="n">
        <x:v>29184660.45</x:v>
      </x:c>
      <x:c r="H416" s="17" t="n">
        <x:v>45793790.007442795</x:v>
      </x:c>
      <x:c r="I416" s="17" t="n">
        <x:f>IF(AND(L416,ISNUMBER(G416),ISNUMBER(H416)),G416-H416,"n.a.")</x:f>
        <x:v>-16609129.557442795</x:v>
      </x:c>
      <x:c r="J416" s="15" t="n">
        <x:f>IF(AND(L416,ISNUMBER(G416),ISNUMBER(H416),H416&gt;0),(G416-H416)/H416,"n.a.")</x:f>
        <x:v>-0.3626939275989897</x:v>
      </x:c>
      <x:c r="K416" s="19" t="n">
        <x:f>IF(ISNUMBER(J416),ABS(J416),"n.a.")</x:f>
        <x:v>0.3626939275989897</x:v>
      </x:c>
      <x:c r="L416" s="13" t="b">
        <x:v>1</x:v>
      </x:c>
      <x:c r="M416" s="13" t="b">
        <x:v>1</x:v>
      </x:c>
      <x:c r="N416" s="2" t="str">
        <x:v>L1_numeric_partition_qualified_not_national_completeness</x:v>
      </x:c>
      <x:c r="O416" s="2" t="str">
        <x:v>none</x:v>
      </x:c>
      <x:c r="P416" s="2" t="str">
        <x:v>historical_GHSL_BU_estimate</x:v>
      </x:c>
      <x:c r="Q416" s="2" t="str">
        <x:v>Published UN country boundaries, L1 class partition, national completeness unproven;2025/2030 source projections</x:v>
      </x:c>
      <x:c r="R416" s="2" t="str">
        <x:v>https://human-settlement.emergency.copernicus.eu/datasets.php</x:v>
      </x:c>
      <x:c r="S416" s="13" t="b">
        <x:v>0</x:v>
      </x:c>
      <x:c r="T416" s="13" t="b">
        <x:v>0</x:v>
      </x:c>
    </x:row>
    <x:row r="417" ht="23" customHeight="1">
      <x:c r="A417" s="2" t="str">
        <x:v>BIH</x:v>
      </x:c>
      <x:c r="B417" s="2" t="str">
        <x:v>Bosnia and Herzegovina</x:v>
      </x:c>
      <x:c r="C417" s="2" t="n">
        <x:v>2020</x:v>
      </x:c>
      <x:c r="D417" s="2" t="str">
        <x:v>WUP_SURFACE</x:v>
      </x:c>
      <x:c r="E417" s="2" t="str">
        <x:v>horizontal surface / footprint</x:v>
      </x:c>
      <x:c r="F417" s="2" t="str">
        <x:v>m2</x:v>
      </x:c>
      <x:c r="G417" s="17" t="n">
        <x:v>247114206.72</x:v>
      </x:c>
      <x:c r="H417" s="17" t="n">
        <x:v>359281659.1342707</x:v>
      </x:c>
      <x:c r="I417" s="17" t="n">
        <x:f>IF(AND(L417,ISNUMBER(G417),ISNUMBER(H417)),G417-H417,"n.a.")</x:f>
        <x:v>-112167452.41427073</x:v>
      </x:c>
      <x:c r="J417" s="15" t="n">
        <x:f>IF(AND(L417,ISNUMBER(G417),ISNUMBER(H417),H417&gt;0),(G417-H417)/H417,"n.a.")</x:f>
        <x:v>-0.312199216304419</x:v>
      </x:c>
      <x:c r="K417" s="19" t="n">
        <x:f>IF(ISNUMBER(J417),ABS(J417),"n.a.")</x:f>
        <x:v>0.312199216304419</x:v>
      </x:c>
      <x:c r="L417" s="13" t="b">
        <x:v>1</x:v>
      </x:c>
      <x:c r="M417" s="13" t="b">
        <x:v>1</x:v>
      </x:c>
      <x:c r="N417" s="2" t="str">
        <x:v>L1_numeric_partition_qualified_not_national_completeness</x:v>
      </x:c>
      <x:c r="O417" s="2" t="str">
        <x:v>none</x:v>
      </x:c>
      <x:c r="P417" s="2" t="str">
        <x:v>historical_GHSL_BU_estimate</x:v>
      </x:c>
      <x:c r="Q417" s="2" t="str">
        <x:v>Published UN country boundaries, L1 class partition, national completeness unproven;2025/2030 source projections</x:v>
      </x:c>
      <x:c r="R417" s="2" t="str">
        <x:v>https://human-settlement.emergency.copernicus.eu/datasets.php</x:v>
      </x:c>
      <x:c r="S417" s="13" t="b">
        <x:v>0</x:v>
      </x:c>
      <x:c r="T417" s="13" t="b">
        <x:v>0</x:v>
      </x:c>
    </x:row>
    <x:row r="418" ht="23" customHeight="1">
      <x:c r="A418" s="2" t="str">
        <x:v>BLR</x:v>
      </x:c>
      <x:c r="B418" s="2" t="str">
        <x:v>Belarus (Republic of)</x:v>
      </x:c>
      <x:c r="C418" s="2" t="n">
        <x:v>2020</x:v>
      </x:c>
      <x:c r="D418" s="2" t="str">
        <x:v>WUP_SURFACE</x:v>
      </x:c>
      <x:c r="E418" s="2" t="str">
        <x:v>horizontal surface / footprint</x:v>
      </x:c>
      <x:c r="F418" s="2" t="str">
        <x:v>m2</x:v>
      </x:c>
      <x:c r="G418" s="17" t="n">
        <x:v>672205246.44</x:v>
      </x:c>
      <x:c r="H418" s="17" t="n">
        <x:v>1244644795.4009273</x:v>
      </x:c>
      <x:c r="I418" s="17" t="n">
        <x:f>IF(AND(L418,ISNUMBER(G418),ISNUMBER(H418)),G418-H418,"n.a.")</x:f>
        <x:v>-572439548.9609272</x:v>
      </x:c>
      <x:c r="J418" s="15" t="n">
        <x:f>IF(AND(L418,ISNUMBER(G418),ISNUMBER(H418),H418&gt;0),(G418-H418)/H418,"n.a.")</x:f>
        <x:v>-0.45992202038376095</x:v>
      </x:c>
      <x:c r="K418" s="19" t="n">
        <x:f>IF(ISNUMBER(J418),ABS(J418),"n.a.")</x:f>
        <x:v>0.45992202038376095</x:v>
      </x:c>
      <x:c r="L418" s="13" t="b">
        <x:v>1</x:v>
      </x:c>
      <x:c r="M418" s="13" t="b">
        <x:v>1</x:v>
      </x:c>
      <x:c r="N418" s="2" t="str">
        <x:v>L1_numeric_partition_qualified_not_national_completeness</x:v>
      </x:c>
      <x:c r="O418" s="2" t="str">
        <x:v>none</x:v>
      </x:c>
      <x:c r="P418" s="2" t="str">
        <x:v>historical_GHSL_BU_estimate</x:v>
      </x:c>
      <x:c r="Q418" s="2" t="str">
        <x:v>Published UN country boundaries, L1 class partition, national completeness unproven;2025/2030 source projections</x:v>
      </x:c>
      <x:c r="R418" s="2" t="str">
        <x:v>https://human-settlement.emergency.copernicus.eu/datasets.php</x:v>
      </x:c>
      <x:c r="S418" s="13" t="b">
        <x:v>0</x:v>
      </x:c>
      <x:c r="T418" s="13" t="b">
        <x:v>0</x:v>
      </x:c>
    </x:row>
    <x:row r="419" ht="23" customHeight="1">
      <x:c r="A419" s="2" t="str">
        <x:v>BLZ</x:v>
      </x:c>
      <x:c r="B419" s="2" t="str">
        <x:v>Belize</x:v>
      </x:c>
      <x:c r="C419" s="2" t="n">
        <x:v>2020</x:v>
      </x:c>
      <x:c r="D419" s="2" t="str">
        <x:v>WUP_SURFACE</x:v>
      </x:c>
      <x:c r="E419" s="2" t="str">
        <x:v>horizontal surface / footprint</x:v>
      </x:c>
      <x:c r="F419" s="2" t="str">
        <x:v>m2</x:v>
      </x:c>
      <x:c r="G419" s="17" t="n">
        <x:v>21867714.34</x:v>
      </x:c>
      <x:c r="H419" s="17" t="n">
        <x:v>51048240.931582086</x:v>
      </x:c>
      <x:c r="I419" s="17" t="n">
        <x:f>IF(AND(L419,ISNUMBER(G419),ISNUMBER(H419)),G419-H419,"n.a.")</x:f>
        <x:v>-29180526.591582086</x:v>
      </x:c>
      <x:c r="J419" s="15" t="n">
        <x:f>IF(AND(L419,ISNUMBER(G419),ISNUMBER(H419),H419&gt;0),(G419-H419)/H419,"n.a.")</x:f>
        <x:v>-0.5716264862229352</x:v>
      </x:c>
      <x:c r="K419" s="19" t="n">
        <x:f>IF(ISNUMBER(J419),ABS(J419),"n.a.")</x:f>
        <x:v>0.5716264862229352</x:v>
      </x:c>
      <x:c r="L419" s="13" t="b">
        <x:v>1</x:v>
      </x:c>
      <x:c r="M419" s="13" t="b">
        <x:v>1</x:v>
      </x:c>
      <x:c r="N419" s="2" t="str">
        <x:v>L1_numeric_partition_qualified_not_national_completeness</x:v>
      </x:c>
      <x:c r="O419" s="2" t="str">
        <x:v>none</x:v>
      </x:c>
      <x:c r="P419" s="2" t="str">
        <x:v>historical_GHSL_BU_estimate</x:v>
      </x:c>
      <x:c r="Q419" s="2" t="str">
        <x:v>Published UN country boundaries, L1 class partition, national completeness unproven;2025/2030 source projections</x:v>
      </x:c>
      <x:c r="R419" s="2" t="str">
        <x:v>https://human-settlement.emergency.copernicus.eu/datasets.php</x:v>
      </x:c>
      <x:c r="S419" s="13" t="b">
        <x:v>0</x:v>
      </x:c>
      <x:c r="T419" s="13" t="b">
        <x:v>0</x:v>
      </x:c>
    </x:row>
    <x:row r="420" ht="23" customHeight="1">
      <x:c r="A420" s="2" t="str">
        <x:v>BOL</x:v>
      </x:c>
      <x:c r="B420" s="2" t="str">
        <x:v>Bolivia (Plurinational State of)</x:v>
      </x:c>
      <x:c r="C420" s="2" t="n">
        <x:v>2020</x:v>
      </x:c>
      <x:c r="D420" s="2" t="str">
        <x:v>WUP_SURFACE</x:v>
      </x:c>
      <x:c r="E420" s="2" t="str">
        <x:v>horizontal surface / footprint</x:v>
      </x:c>
      <x:c r="F420" s="2" t="str">
        <x:v>m2</x:v>
      </x:c>
      <x:c r="G420" s="17" t="n">
        <x:v>496419008.94</x:v>
      </x:c>
      <x:c r="H420" s="17" t="n">
        <x:v>712494665.0899172</x:v>
      </x:c>
      <x:c r="I420" s="17" t="n">
        <x:f>IF(AND(L420,ISNUMBER(G420),ISNUMBER(H420)),G420-H420,"n.a.")</x:f>
        <x:v>-216075656.1499172</x:v>
      </x:c>
      <x:c r="J420" s="15" t="n">
        <x:f>IF(AND(L420,ISNUMBER(G420),ISNUMBER(H420),H420&gt;0),(G420-H420)/H420,"n.a.")</x:f>
        <x:v>-0.3032663495419272</x:v>
      </x:c>
      <x:c r="K420" s="19" t="n">
        <x:f>IF(ISNUMBER(J420),ABS(J420),"n.a.")</x:f>
        <x:v>0.3032663495419272</x:v>
      </x:c>
      <x:c r="L420" s="13" t="b">
        <x:v>1</x:v>
      </x:c>
      <x:c r="M420" s="13" t="b">
        <x:v>1</x:v>
      </x:c>
      <x:c r="N420" s="2" t="str">
        <x:v>L1_numeric_partition_qualified_not_national_completeness</x:v>
      </x:c>
      <x:c r="O420" s="2" t="str">
        <x:v>none</x:v>
      </x:c>
      <x:c r="P420" s="2" t="str">
        <x:v>historical_GHSL_BU_estimate</x:v>
      </x:c>
      <x:c r="Q420" s="2" t="str">
        <x:v>Published UN country boundaries, L1 class partition, national completeness unproven;2025/2030 source projections</x:v>
      </x:c>
      <x:c r="R420" s="2" t="str">
        <x:v>https://human-settlement.emergency.copernicus.eu/datasets.php</x:v>
      </x:c>
      <x:c r="S420" s="13" t="b">
        <x:v>0</x:v>
      </x:c>
      <x:c r="T420" s="13" t="b">
        <x:v>0</x:v>
      </x:c>
    </x:row>
    <x:row r="421" ht="23" customHeight="1">
      <x:c r="A421" s="2" t="str">
        <x:v>BRA</x:v>
      </x:c>
      <x:c r="B421" s="2" t="str">
        <x:v>Brazil (Federative Republic of)</x:v>
      </x:c>
      <x:c r="C421" s="2" t="n">
        <x:v>2020</x:v>
      </x:c>
      <x:c r="D421" s="2" t="str">
        <x:v>WUP_SURFACE</x:v>
      </x:c>
      <x:c r="E421" s="2" t="str">
        <x:v>horizontal surface / footprint</x:v>
      </x:c>
      <x:c r="F421" s="2" t="str">
        <x:v>m2</x:v>
      </x:c>
      <x:c r="G421" s="17" t="n">
        <x:v>12112839681.86</x:v>
      </x:c>
      <x:c r="H421" s="17" t="n">
        <x:v>15838096315.129276</x:v>
      </x:c>
      <x:c r="I421" s="17" t="n">
        <x:f>IF(AND(L421,ISNUMBER(G421),ISNUMBER(H421)),G421-H421,"n.a.")</x:f>
        <x:v>-3725256633.2692757</x:v>
      </x:c>
      <x:c r="J421" s="15" t="n">
        <x:f>IF(AND(L421,ISNUMBER(G421),ISNUMBER(H421),H421&gt;0),(G421-H421)/H421,"n.a.")</x:f>
        <x:v>-0.2352086108802571</x:v>
      </x:c>
      <x:c r="K421" s="19" t="n">
        <x:f>IF(ISNUMBER(J421),ABS(J421),"n.a.")</x:f>
        <x:v>0.2352086108802571</x:v>
      </x:c>
      <x:c r="L421" s="13" t="b">
        <x:v>1</x:v>
      </x:c>
      <x:c r="M421" s="13" t="b">
        <x:v>1</x:v>
      </x:c>
      <x:c r="N421" s="2" t="str">
        <x:v>L1_numeric_partition_qualified_not_national_completeness</x:v>
      </x:c>
      <x:c r="O421" s="2" t="str">
        <x:v>none</x:v>
      </x:c>
      <x:c r="P421" s="2" t="str">
        <x:v>historical_GHSL_BU_estimate</x:v>
      </x:c>
      <x:c r="Q421" s="2" t="str">
        <x:v>Published UN country boundaries, L1 class partition, national completeness unproven;2025/2030 source projections</x:v>
      </x:c>
      <x:c r="R421" s="2" t="str">
        <x:v>https://human-settlement.emergency.copernicus.eu/datasets.php</x:v>
      </x:c>
      <x:c r="S421" s="13" t="b">
        <x:v>0</x:v>
      </x:c>
      <x:c r="T421" s="13" t="b">
        <x:v>0</x:v>
      </x:c>
    </x:row>
    <x:row r="422" ht="23" customHeight="1">
      <x:c r="A422" s="2" t="str">
        <x:v>BRB</x:v>
      </x:c>
      <x:c r="B422" s="2" t="str">
        <x:v>Barbados</x:v>
      </x:c>
      <x:c r="C422" s="2" t="n">
        <x:v>2020</x:v>
      </x:c>
      <x:c r="D422" s="2" t="str">
        <x:v>WUP_SURFACE</x:v>
      </x:c>
      <x:c r="E422" s="2" t="str">
        <x:v>horizontal surface / footprint</x:v>
      </x:c>
      <x:c r="F422" s="2" t="str">
        <x:v>m2</x:v>
      </x:c>
      <x:c r="G422" s="17" t="n">
        <x:v>23684585.84</x:v>
      </x:c>
      <x:c r="H422" s="17" t="n">
        <x:v>40156877.050634645</x:v>
      </x:c>
      <x:c r="I422" s="17" t="n">
        <x:f>IF(AND(L422,ISNUMBER(G422),ISNUMBER(H422)),G422-H422,"n.a.")</x:f>
        <x:v>-16472291.210634645</x:v>
      </x:c>
      <x:c r="J422" s="15" t="n">
        <x:f>IF(AND(L422,ISNUMBER(G422),ISNUMBER(H422),H422&gt;0),(G422-H422)/H422,"n.a.")</x:f>
        <x:v>-0.41019851194763945</x:v>
      </x:c>
      <x:c r="K422" s="19" t="n">
        <x:f>IF(ISNUMBER(J422),ABS(J422),"n.a.")</x:f>
        <x:v>0.41019851194763945</x:v>
      </x:c>
      <x:c r="L422" s="13" t="b">
        <x:v>1</x:v>
      </x:c>
      <x:c r="M422" s="13" t="b">
        <x:v>1</x:v>
      </x:c>
      <x:c r="N422" s="2" t="str">
        <x:v>L1_numeric_partition_qualified_not_national_completeness</x:v>
      </x:c>
      <x:c r="O422" s="2" t="str">
        <x:v>none</x:v>
      </x:c>
      <x:c r="P422" s="2" t="str">
        <x:v>historical_GHSL_BU_estimate</x:v>
      </x:c>
      <x:c r="Q422" s="2" t="str">
        <x:v>Published UN country boundaries, L1 class partition, national completeness unproven;2025/2030 source projections</x:v>
      </x:c>
      <x:c r="R422" s="2" t="str">
        <x:v>https://human-settlement.emergency.copernicus.eu/datasets.php</x:v>
      </x:c>
      <x:c r="S422" s="13" t="b">
        <x:v>0</x:v>
      </x:c>
      <x:c r="T422" s="13" t="b">
        <x:v>0</x:v>
      </x:c>
    </x:row>
    <x:row r="423" ht="23" customHeight="1">
      <x:c r="A423" s="2" t="str">
        <x:v>BRN</x:v>
      </x:c>
      <x:c r="B423" s="2" t="str">
        <x:v>Brunei Darussalam</x:v>
      </x:c>
      <x:c r="C423" s="2" t="n">
        <x:v>2020</x:v>
      </x:c>
      <x:c r="D423" s="2" t="str">
        <x:v>WUP_SURFACE</x:v>
      </x:c>
      <x:c r="E423" s="2" t="str">
        <x:v>horizontal surface / footprint</x:v>
      </x:c>
      <x:c r="F423" s="2" t="str">
        <x:v>m2</x:v>
      </x:c>
      <x:c r="G423" s="17" t="n">
        <x:v>37849769.86</x:v>
      </x:c>
      <x:c r="H423" s="17" t="n">
        <x:v>53555230.01312929</x:v>
      </x:c>
      <x:c r="I423" s="17" t="n">
        <x:f>IF(AND(L423,ISNUMBER(G423),ISNUMBER(H423)),G423-H423,"n.a.")</x:f>
        <x:v>-15705460.153129287</x:v>
      </x:c>
      <x:c r="J423" s="15" t="n">
        <x:f>IF(AND(L423,ISNUMBER(G423),ISNUMBER(H423),H423&gt;0),(G423-H423)/H423,"n.a.")</x:f>
        <x:v>-0.29325726262923396</x:v>
      </x:c>
      <x:c r="K423" s="19" t="n">
        <x:f>IF(ISNUMBER(J423),ABS(J423),"n.a.")</x:f>
        <x:v>0.29325726262923396</x:v>
      </x:c>
      <x:c r="L423" s="13" t="b">
        <x:v>1</x:v>
      </x:c>
      <x:c r="M423" s="13" t="b">
        <x:v>1</x:v>
      </x:c>
      <x:c r="N423" s="2" t="str">
        <x:v>L1_numeric_partition_qualified_not_national_completeness</x:v>
      </x:c>
      <x:c r="O423" s="2" t="str">
        <x:v>none</x:v>
      </x:c>
      <x:c r="P423" s="2" t="str">
        <x:v>historical_GHSL_BU_estimate</x:v>
      </x:c>
      <x:c r="Q423" s="2" t="str">
        <x:v>Published UN country boundaries, L1 class partition, national completeness unproven;2025/2030 source projections</x:v>
      </x:c>
      <x:c r="R423" s="2" t="str">
        <x:v>https://human-settlement.emergency.copernicus.eu/datasets.php</x:v>
      </x:c>
      <x:c r="S423" s="13" t="b">
        <x:v>0</x:v>
      </x:c>
      <x:c r="T423" s="13" t="b">
        <x:v>0</x:v>
      </x:c>
    </x:row>
    <x:row r="424" ht="23" customHeight="1">
      <x:c r="A424" s="2" t="str">
        <x:v>BTN</x:v>
      </x:c>
      <x:c r="B424" s="2" t="str">
        <x:v>Bhutan (Kingdom of)</x:v>
      </x:c>
      <x:c r="C424" s="2" t="n">
        <x:v>2020</x:v>
      </x:c>
      <x:c r="D424" s="2" t="str">
        <x:v>WUP_SURFACE</x:v>
      </x:c>
      <x:c r="E424" s="2" t="str">
        <x:v>horizontal surface / footprint</x:v>
      </x:c>
      <x:c r="F424" s="2" t="str">
        <x:v>m2</x:v>
      </x:c>
      <x:c r="G424" s="17" t="n">
        <x:v>27177544.51</x:v>
      </x:c>
      <x:c r="H424" s="17" t="n">
        <x:v>31148447.98729871</x:v>
      </x:c>
      <x:c r="I424" s="17" t="n">
        <x:f>IF(AND(L424,ISNUMBER(G424),ISNUMBER(H424)),G424-H424,"n.a.")</x:f>
        <x:v>-3970903.477298707</x:v>
      </x:c>
      <x:c r="J424" s="15" t="n">
        <x:f>IF(AND(L424,ISNUMBER(G424),ISNUMBER(H424),H424&gt;0),(G424-H424)/H424,"n.a.")</x:f>
        <x:v>-0.1274831888547997</x:v>
      </x:c>
      <x:c r="K424" s="19" t="n">
        <x:f>IF(ISNUMBER(J424),ABS(J424),"n.a.")</x:f>
        <x:v>0.1274831888547997</x:v>
      </x:c>
      <x:c r="L424" s="13" t="b">
        <x:v>1</x:v>
      </x:c>
      <x:c r="M424" s="13" t="b">
        <x:v>1</x:v>
      </x:c>
      <x:c r="N424" s="2" t="str">
        <x:v>L1_numeric_partition_qualified_not_national_completeness</x:v>
      </x:c>
      <x:c r="O424" s="2" t="str">
        <x:v>none</x:v>
      </x:c>
      <x:c r="P424" s="2" t="str">
        <x:v>historical_GHSL_BU_estimate</x:v>
      </x:c>
      <x:c r="Q424" s="2" t="str">
        <x:v>Published UN country boundaries, L1 class partition, national completeness unproven;2025/2030 source projections</x:v>
      </x:c>
      <x:c r="R424" s="2" t="str">
        <x:v>https://human-settlement.emergency.copernicus.eu/datasets.php</x:v>
      </x:c>
      <x:c r="S424" s="13" t="b">
        <x:v>0</x:v>
      </x:c>
      <x:c r="T424" s="13" t="b">
        <x:v>0</x:v>
      </x:c>
    </x:row>
    <x:row r="425" ht="23" customHeight="1">
      <x:c r="A425" s="2" t="str">
        <x:v>BWA</x:v>
      </x:c>
      <x:c r="B425" s="2" t="str">
        <x:v>Botswana (Republic of)</x:v>
      </x:c>
      <x:c r="C425" s="2" t="n">
        <x:v>2020</x:v>
      </x:c>
      <x:c r="D425" s="2" t="str">
        <x:v>WUP_SURFACE</x:v>
      </x:c>
      <x:c r="E425" s="2" t="str">
        <x:v>horizontal surface / footprint</x:v>
      </x:c>
      <x:c r="F425" s="2" t="str">
        <x:v>m2</x:v>
      </x:c>
      <x:c r="G425" s="17" t="n">
        <x:v>118564613.02</x:v>
      </x:c>
      <x:c r="H425" s="17" t="n">
        <x:v>479517869.1935612</x:v>
      </x:c>
      <x:c r="I425" s="17" t="n">
        <x:f>IF(AND(L425,ISNUMBER(G425),ISNUMBER(H425)),G425-H425,"n.a.")</x:f>
        <x:v>-360953256.1735612</x:v>
      </x:c>
      <x:c r="J425" s="15" t="n">
        <x:f>IF(AND(L425,ISNUMBER(G425),ISNUMBER(H425),H425&gt;0),(G425-H425)/H425,"n.a.")</x:f>
        <x:v>-0.752742033952982</x:v>
      </x:c>
      <x:c r="K425" s="19" t="n">
        <x:f>IF(ISNUMBER(J425),ABS(J425),"n.a.")</x:f>
        <x:v>0.752742033952982</x:v>
      </x:c>
      <x:c r="L425" s="13" t="b">
        <x:v>1</x:v>
      </x:c>
      <x:c r="M425" s="13" t="b">
        <x:v>1</x:v>
      </x:c>
      <x:c r="N425" s="2" t="str">
        <x:v>L1_numeric_partition_qualified_not_national_completeness</x:v>
      </x:c>
      <x:c r="O425" s="2" t="str">
        <x:v>none</x:v>
      </x:c>
      <x:c r="P425" s="2" t="str">
        <x:v>historical_GHSL_BU_estimate</x:v>
      </x:c>
      <x:c r="Q425" s="2" t="str">
        <x:v>Published UN country boundaries, L1 class partition, national completeness unproven;2025/2030 source projections</x:v>
      </x:c>
      <x:c r="R425" s="2" t="str">
        <x:v>https://human-settlement.emergency.copernicus.eu/datasets.php</x:v>
      </x:c>
      <x:c r="S425" s="13" t="b">
        <x:v>0</x:v>
      </x:c>
      <x:c r="T425" s="13" t="b">
        <x:v>0</x:v>
      </x:c>
    </x:row>
    <x:row r="426" ht="23" customHeight="1">
      <x:c r="A426" s="2" t="str">
        <x:v>CAF</x:v>
      </x:c>
      <x:c r="B426" s="2" t="str">
        <x:v>Central African Republic</x:v>
      </x:c>
      <x:c r="C426" s="2" t="n">
        <x:v>2020</x:v>
      </x:c>
      <x:c r="D426" s="2" t="str">
        <x:v>WUP_SURFACE</x:v>
      </x:c>
      <x:c r="E426" s="2" t="str">
        <x:v>horizontal surface / footprint</x:v>
      </x:c>
      <x:c r="F426" s="2" t="str">
        <x:v>m2</x:v>
      </x:c>
      <x:c r="G426" s="17" t="n">
        <x:v>66989106.04</x:v>
      </x:c>
      <x:c r="H426" s="17" t="n">
        <x:v>203735296.06993726</x:v>
      </x:c>
      <x:c r="I426" s="17" t="n">
        <x:f>IF(AND(L426,ISNUMBER(G426),ISNUMBER(H426)),G426-H426,"n.a.")</x:f>
        <x:v>-136746190.02993727</x:v>
      </x:c>
      <x:c r="J426" s="15" t="n">
        <x:f>IF(AND(L426,ISNUMBER(G426),ISNUMBER(H426),H426&gt;0),(G426-H426)/H426,"n.a.")</x:f>
        <x:v>-0.6711953827725349</x:v>
      </x:c>
      <x:c r="K426" s="19" t="n">
        <x:f>IF(ISNUMBER(J426),ABS(J426),"n.a.")</x:f>
        <x:v>0.6711953827725349</x:v>
      </x:c>
      <x:c r="L426" s="13" t="b">
        <x:v>1</x:v>
      </x:c>
      <x:c r="M426" s="13" t="b">
        <x:v>1</x:v>
      </x:c>
      <x:c r="N426" s="2" t="str">
        <x:v>L1_numeric_partition_qualified_not_national_completeness</x:v>
      </x:c>
      <x:c r="O426" s="2" t="str">
        <x:v>none</x:v>
      </x:c>
      <x:c r="P426" s="2" t="str">
        <x:v>historical_GHSL_BU_estimate</x:v>
      </x:c>
      <x:c r="Q426" s="2" t="str">
        <x:v>Published UN country boundaries, L1 class partition, national completeness unproven;2025/2030 source projections</x:v>
      </x:c>
      <x:c r="R426" s="2" t="str">
        <x:v>https://human-settlement.emergency.copernicus.eu/datasets.php</x:v>
      </x:c>
      <x:c r="S426" s="13" t="b">
        <x:v>0</x:v>
      </x:c>
      <x:c r="T426" s="13" t="b">
        <x:v>0</x:v>
      </x:c>
    </x:row>
    <x:row r="427" ht="23" customHeight="1">
      <x:c r="A427" s="2" t="str">
        <x:v>CAN</x:v>
      </x:c>
      <x:c r="B427" s="2" t="str">
        <x:v>Canada</x:v>
      </x:c>
      <x:c r="C427" s="2" t="n">
        <x:v>2020</x:v>
      </x:c>
      <x:c r="D427" s="2" t="str">
        <x:v>WUP_SURFACE</x:v>
      </x:c>
      <x:c r="E427" s="2" t="str">
        <x:v>horizontal surface / footprint</x:v>
      </x:c>
      <x:c r="F427" s="2" t="str">
        <x:v>m2</x:v>
      </x:c>
      <x:c r="G427" s="17" t="n">
        <x:v>2941628265.26</x:v>
      </x:c>
      <x:c r="H427" s="17" t="n">
        <x:v>4959638580.022324</x:v>
      </x:c>
      <x:c r="I427" s="17" t="n">
        <x:f>IF(AND(L427,ISNUMBER(G427),ISNUMBER(H427)),G427-H427,"n.a.")</x:f>
        <x:v>-2018010314.7623234</x:v>
      </x:c>
      <x:c r="J427" s="15" t="n">
        <x:f>IF(AND(L427,ISNUMBER(G427),ISNUMBER(H427),H427&gt;0),(G427-H427)/H427,"n.a.")</x:f>
        <x:v>-0.4068865668742419</x:v>
      </x:c>
      <x:c r="K427" s="19" t="n">
        <x:f>IF(ISNUMBER(J427),ABS(J427),"n.a.")</x:f>
        <x:v>0.4068865668742419</x:v>
      </x:c>
      <x:c r="L427" s="13" t="b">
        <x:v>1</x:v>
      </x:c>
      <x:c r="M427" s="13" t="b">
        <x:v>1</x:v>
      </x:c>
      <x:c r="N427" s="2" t="str">
        <x:v>L1_numeric_partition_qualified_not_national_completeness</x:v>
      </x:c>
      <x:c r="O427" s="2" t="str">
        <x:v>none</x:v>
      </x:c>
      <x:c r="P427" s="2" t="str">
        <x:v>historical_GHSL_BU_estimate</x:v>
      </x:c>
      <x:c r="Q427" s="2" t="str">
        <x:v>Published UN country boundaries, L1 class partition, national completeness unproven;2025/2030 source projections</x:v>
      </x:c>
      <x:c r="R427" s="2" t="str">
        <x:v>https://human-settlement.emergency.copernicus.eu/datasets.php</x:v>
      </x:c>
      <x:c r="S427" s="13" t="b">
        <x:v>0</x:v>
      </x:c>
      <x:c r="T427" s="13" t="b">
        <x:v>0</x:v>
      </x:c>
    </x:row>
    <x:row r="428" ht="23" customHeight="1">
      <x:c r="A428" s="2" t="str">
        <x:v>CHE</x:v>
      </x:c>
      <x:c r="B428" s="2" t="str">
        <x:v>Switzerland (Swiss Confederation)</x:v>
      </x:c>
      <x:c r="C428" s="2" t="n">
        <x:v>2020</x:v>
      </x:c>
      <x:c r="D428" s="2" t="str">
        <x:v>WUP_SURFACE</x:v>
      </x:c>
      <x:c r="E428" s="2" t="str">
        <x:v>horizontal surface / footprint</x:v>
      </x:c>
      <x:c r="F428" s="2" t="str">
        <x:v>m2</x:v>
      </x:c>
      <x:c r="G428" s="17" t="n">
        <x:v>545813067.36</x:v>
      </x:c>
      <x:c r="H428" s="17" t="n">
        <x:v>781136767.810239</x:v>
      </x:c>
      <x:c r="I428" s="17" t="n">
        <x:f>IF(AND(L428,ISNUMBER(G428),ISNUMBER(H428)),G428-H428,"n.a.")</x:f>
        <x:v>-235323700.45023894</x:v>
      </x:c>
      <x:c r="J428" s="15" t="n">
        <x:f>IF(AND(L428,ISNUMBER(G428),ISNUMBER(H428),H428&gt;0),(G428-H428)/H428,"n.a.")</x:f>
        <x:v>-0.3012580000681852</x:v>
      </x:c>
      <x:c r="K428" s="19" t="n">
        <x:f>IF(ISNUMBER(J428),ABS(J428),"n.a.")</x:f>
        <x:v>0.3012580000681852</x:v>
      </x:c>
      <x:c r="L428" s="13" t="b">
        <x:v>1</x:v>
      </x:c>
      <x:c r="M428" s="13" t="b">
        <x:v>1</x:v>
      </x:c>
      <x:c r="N428" s="2" t="str">
        <x:v>L1_numeric_partition_qualified_not_national_completeness</x:v>
      </x:c>
      <x:c r="O428" s="2" t="str">
        <x:v>none</x:v>
      </x:c>
      <x:c r="P428" s="2" t="str">
        <x:v>historical_GHSL_BU_estimate</x:v>
      </x:c>
      <x:c r="Q428" s="2" t="str">
        <x:v>Published UN country boundaries, L1 class partition, national completeness unproven;2025/2030 source projections</x:v>
      </x:c>
      <x:c r="R428" s="2" t="str">
        <x:v>https://human-settlement.emergency.copernicus.eu/datasets.php</x:v>
      </x:c>
      <x:c r="S428" s="13" t="b">
        <x:v>0</x:v>
      </x:c>
      <x:c r="T428" s="13" t="b">
        <x:v>0</x:v>
      </x:c>
    </x:row>
    <x:row r="429" ht="23" customHeight="1">
      <x:c r="A429" s="2" t="str">
        <x:v>CHL</x:v>
      </x:c>
      <x:c r="B429" s="2" t="str">
        <x:v>Chile (Republic of)</x:v>
      </x:c>
      <x:c r="C429" s="2" t="n">
        <x:v>2020</x:v>
      </x:c>
      <x:c r="D429" s="2" t="str">
        <x:v>WUP_SURFACE</x:v>
      </x:c>
      <x:c r="E429" s="2" t="str">
        <x:v>horizontal surface / footprint</x:v>
      </x:c>
      <x:c r="F429" s="2" t="str">
        <x:v>m2</x:v>
      </x:c>
      <x:c r="G429" s="17" t="n">
        <x:v>986436316.07</x:v>
      </x:c>
      <x:c r="H429" s="17" t="n">
        <x:v>1327922613.9074051</x:v>
      </x:c>
      <x:c r="I429" s="17" t="n">
        <x:f>IF(AND(L429,ISNUMBER(G429),ISNUMBER(H429)),G429-H429,"n.a.")</x:f>
        <x:v>-341486297.8374051</x:v>
      </x:c>
      <x:c r="J429" s="15" t="n">
        <x:f>IF(AND(L429,ISNUMBER(G429),ISNUMBER(H429),H429&gt;0),(G429-H429)/H429,"n.a.")</x:f>
        <x:v>-0.2571582818614584</x:v>
      </x:c>
      <x:c r="K429" s="19" t="n">
        <x:f>IF(ISNUMBER(J429),ABS(J429),"n.a.")</x:f>
        <x:v>0.2571582818614584</x:v>
      </x:c>
      <x:c r="L429" s="13" t="b">
        <x:v>1</x:v>
      </x:c>
      <x:c r="M429" s="13" t="b">
        <x:v>1</x:v>
      </x:c>
      <x:c r="N429" s="2" t="str">
        <x:v>L1_numeric_partition_qualified_not_national_completeness</x:v>
      </x:c>
      <x:c r="O429" s="2" t="str">
        <x:v>none</x:v>
      </x:c>
      <x:c r="P429" s="2" t="str">
        <x:v>historical_GHSL_BU_estimate</x:v>
      </x:c>
      <x:c r="Q429" s="2" t="str">
        <x:v>Published UN country boundaries, L1 class partition, national completeness unproven;2025/2030 source projections</x:v>
      </x:c>
      <x:c r="R429" s="2" t="str">
        <x:v>https://human-settlement.emergency.copernicus.eu/datasets.php</x:v>
      </x:c>
      <x:c r="S429" s="13" t="b">
        <x:v>0</x:v>
      </x:c>
      <x:c r="T429" s="13" t="b">
        <x:v>0</x:v>
      </x:c>
    </x:row>
    <x:row r="430" ht="23" customHeight="1">
      <x:c r="A430" s="2" t="str">
        <x:v>CHN</x:v>
      </x:c>
      <x:c r="B430" s="2" t="str">
        <x:v>China (People's Republic of)</x:v>
      </x:c>
      <x:c r="C430" s="2" t="n">
        <x:v>2020</x:v>
      </x:c>
      <x:c r="D430" s="2" t="str">
        <x:v>WUP_SURFACE</x:v>
      </x:c>
      <x:c r="E430" s="2" t="str">
        <x:v>horizontal surface / footprint</x:v>
      </x:c>
      <x:c r="F430" s="2" t="str">
        <x:v>m2</x:v>
      </x:c>
      <x:c r="G430" s="17" t="n">
        <x:v>78150235427.5</x:v>
      </x:c>
      <x:c r="H430" s="17" t="n">
        <x:v>81846582898.93993</x:v>
      </x:c>
      <x:c r="I430" s="17" t="n">
        <x:f>IF(AND(L430,ISNUMBER(G430),ISNUMBER(H430)),G430-H430,"n.a.")</x:f>
        <x:v>-3696347471.439926</x:v>
      </x:c>
      <x:c r="J430" s="15" t="n">
        <x:f>IF(AND(L430,ISNUMBER(G430),ISNUMBER(H430),H430&gt;0),(G430-H430)/H430,"n.a.")</x:f>
        <x:v>-0.045161903411459356</x:v>
      </x:c>
      <x:c r="K430" s="19" t="n">
        <x:f>IF(ISNUMBER(J430),ABS(J430),"n.a.")</x:f>
        <x:v>0.045161903411459356</x:v>
      </x:c>
      <x:c r="L430" s="13" t="b">
        <x:v>1</x:v>
      </x:c>
      <x:c r="M430" s="13" t="b">
        <x:v>1</x:v>
      </x:c>
      <x:c r="N430" s="2" t="str">
        <x:v>L1_numeric_partition_qualified_not_national_completeness</x:v>
      </x:c>
      <x:c r="O430" s="2" t="str">
        <x:v>none</x:v>
      </x:c>
      <x:c r="P430" s="2" t="str">
        <x:v>historical_GHSL_BU_estimate</x:v>
      </x:c>
      <x:c r="Q430" s="2" t="str">
        <x:v>Published UN country boundaries, L1 class partition, national completeness unproven;2025/2030 source projections</x:v>
      </x:c>
      <x:c r="R430" s="2" t="str">
        <x:v>https://human-settlement.emergency.copernicus.eu/datasets.php</x:v>
      </x:c>
      <x:c r="S430" s="13" t="b">
        <x:v>0</x:v>
      </x:c>
      <x:c r="T430" s="13" t="b">
        <x:v>0</x:v>
      </x:c>
    </x:row>
    <x:row r="431" ht="23" customHeight="1">
      <x:c r="A431" s="2" t="str">
        <x:v>CIV</x:v>
      </x:c>
      <x:c r="B431" s="2" t="str">
        <x:v>Côte d'Ivoire (Republic of)</x:v>
      </x:c>
      <x:c r="C431" s="2" t="n">
        <x:v>2020</x:v>
      </x:c>
      <x:c r="D431" s="2" t="str">
        <x:v>WUP_SURFACE</x:v>
      </x:c>
      <x:c r="E431" s="2" t="str">
        <x:v>horizontal surface / footprint</x:v>
      </x:c>
      <x:c r="F431" s="2" t="str">
        <x:v>m2</x:v>
      </x:c>
      <x:c r="G431" s="17" t="n">
        <x:v>602828854.82</x:v>
      </x:c>
      <x:c r="H431" s="17" t="n">
        <x:v>1262654365.4642804</x:v>
      </x:c>
      <x:c r="I431" s="17" t="n">
        <x:f>IF(AND(L431,ISNUMBER(G431),ISNUMBER(H431)),G431-H431,"n.a.")</x:f>
        <x:v>-659825510.6442803</x:v>
      </x:c>
      <x:c r="J431" s="15" t="n">
        <x:f>IF(AND(L431,ISNUMBER(G431),ISNUMBER(H431),H431&gt;0),(G431-H431)/H431,"n.a.")</x:f>
        <x:v>-0.5225701733519618</x:v>
      </x:c>
      <x:c r="K431" s="19" t="n">
        <x:f>IF(ISNUMBER(J431),ABS(J431),"n.a.")</x:f>
        <x:v>0.5225701733519618</x:v>
      </x:c>
      <x:c r="L431" s="13" t="b">
        <x:v>1</x:v>
      </x:c>
      <x:c r="M431" s="13" t="b">
        <x:v>1</x:v>
      </x:c>
      <x:c r="N431" s="2" t="str">
        <x:v>L1_numeric_partition_qualified_not_national_completeness</x:v>
      </x:c>
      <x:c r="O431" s="2" t="str">
        <x:v>none</x:v>
      </x:c>
      <x:c r="P431" s="2" t="str">
        <x:v>historical_GHSL_BU_estimate</x:v>
      </x:c>
      <x:c r="Q431" s="2" t="str">
        <x:v>Published UN country boundaries, L1 class partition, national completeness unproven;2025/2030 source projections</x:v>
      </x:c>
      <x:c r="R431" s="2" t="str">
        <x:v>https://human-settlement.emergency.copernicus.eu/datasets.php</x:v>
      </x:c>
      <x:c r="S431" s="13" t="b">
        <x:v>0</x:v>
      </x:c>
      <x:c r="T431" s="13" t="b">
        <x:v>0</x:v>
      </x:c>
    </x:row>
    <x:row r="432" ht="23" customHeight="1">
      <x:c r="A432" s="2" t="str">
        <x:v>CMR</x:v>
      </x:c>
      <x:c r="B432" s="2" t="str">
        <x:v>Cameroon (Republic of)</x:v>
      </x:c>
      <x:c r="C432" s="2" t="n">
        <x:v>2020</x:v>
      </x:c>
      <x:c r="D432" s="2" t="str">
        <x:v>WUP_SURFACE</x:v>
      </x:c>
      <x:c r="E432" s="2" t="str">
        <x:v>horizontal surface / footprint</x:v>
      </x:c>
      <x:c r="F432" s="2" t="str">
        <x:v>m2</x:v>
      </x:c>
      <x:c r="G432" s="17" t="n">
        <x:v>577057207.81</x:v>
      </x:c>
      <x:c r="H432" s="17" t="n">
        <x:v>1225974917.8400168</x:v>
      </x:c>
      <x:c r="I432" s="17" t="n">
        <x:f>IF(AND(L432,ISNUMBER(G432),ISNUMBER(H432)),G432-H432,"n.a.")</x:f>
        <x:v>-648917710.0300169</x:v>
      </x:c>
      <x:c r="J432" s="15" t="n">
        <x:f>IF(AND(L432,ISNUMBER(G432),ISNUMBER(H432),H432&gt;0),(G432-H432)/H432,"n.a.")</x:f>
        <x:v>-0.5293074928264537</x:v>
      </x:c>
      <x:c r="K432" s="19" t="n">
        <x:f>IF(ISNUMBER(J432),ABS(J432),"n.a.")</x:f>
        <x:v>0.5293074928264537</x:v>
      </x:c>
      <x:c r="L432" s="13" t="b">
        <x:v>1</x:v>
      </x:c>
      <x:c r="M432" s="13" t="b">
        <x:v>1</x:v>
      </x:c>
      <x:c r="N432" s="2" t="str">
        <x:v>L1_numeric_partition_qualified_not_national_completeness</x:v>
      </x:c>
      <x:c r="O432" s="2" t="str">
        <x:v>none</x:v>
      </x:c>
      <x:c r="P432" s="2" t="str">
        <x:v>historical_GHSL_BU_estimate</x:v>
      </x:c>
      <x:c r="Q432" s="2" t="str">
        <x:v>Published UN country boundaries, L1 class partition, national completeness unproven;2025/2030 source projections</x:v>
      </x:c>
      <x:c r="R432" s="2" t="str">
        <x:v>https://human-settlement.emergency.copernicus.eu/datasets.php</x:v>
      </x:c>
      <x:c r="S432" s="13" t="b">
        <x:v>0</x:v>
      </x:c>
      <x:c r="T432" s="13" t="b">
        <x:v>0</x:v>
      </x:c>
    </x:row>
    <x:row r="433" ht="23" customHeight="1">
      <x:c r="A433" s="2" t="str">
        <x:v>COD</x:v>
      </x:c>
      <x:c r="B433" s="2" t="str">
        <x:v>Congo (Democratic Republic of the)</x:v>
      </x:c>
      <x:c r="C433" s="2" t="n">
        <x:v>2020</x:v>
      </x:c>
      <x:c r="D433" s="2" t="str">
        <x:v>WUP_SURFACE</x:v>
      </x:c>
      <x:c r="E433" s="2" t="str">
        <x:v>horizontal surface / footprint</x:v>
      </x:c>
      <x:c r="F433" s="2" t="str">
        <x:v>m2</x:v>
      </x:c>
      <x:c r="G433" s="17" t="n">
        <x:v>941825698.84</x:v>
      </x:c>
      <x:c r="H433" s="17" t="n">
        <x:v>2768938805.1443105</x:v>
      </x:c>
      <x:c r="I433" s="17" t="n">
        <x:f>IF(AND(L433,ISNUMBER(G433),ISNUMBER(H433)),G433-H433,"n.a.")</x:f>
        <x:v>-1827113106.3043103</x:v>
      </x:c>
      <x:c r="J433" s="15" t="n">
        <x:f>IF(AND(L433,ISNUMBER(G433),ISNUMBER(H433),H433&gt;0),(G433-H433)/H433,"n.a.")</x:f>
        <x:v>-0.6598604140004046</x:v>
      </x:c>
      <x:c r="K433" s="19" t="n">
        <x:f>IF(ISNUMBER(J433),ABS(J433),"n.a.")</x:f>
        <x:v>0.6598604140004046</x:v>
      </x:c>
      <x:c r="L433" s="13" t="b">
        <x:v>1</x:v>
      </x:c>
      <x:c r="M433" s="13" t="b">
        <x:v>1</x:v>
      </x:c>
      <x:c r="N433" s="2" t="str">
        <x:v>L1_numeric_partition_qualified_not_national_completeness</x:v>
      </x:c>
      <x:c r="O433" s="2" t="str">
        <x:v>none</x:v>
      </x:c>
      <x:c r="P433" s="2" t="str">
        <x:v>historical_GHSL_BU_estimate</x:v>
      </x:c>
      <x:c r="Q433" s="2" t="str">
        <x:v>Published UN country boundaries, L1 class partition, national completeness unproven;2025/2030 source projections</x:v>
      </x:c>
      <x:c r="R433" s="2" t="str">
        <x:v>https://human-settlement.emergency.copernicus.eu/datasets.php</x:v>
      </x:c>
      <x:c r="S433" s="13" t="b">
        <x:v>0</x:v>
      </x:c>
      <x:c r="T433" s="13" t="b">
        <x:v>0</x:v>
      </x:c>
    </x:row>
    <x:row r="434" ht="23" customHeight="1">
      <x:c r="A434" s="2" t="str">
        <x:v>COG</x:v>
      </x:c>
      <x:c r="B434" s="2" t="str">
        <x:v>Congo (Republic of the)</x:v>
      </x:c>
      <x:c r="C434" s="2" t="n">
        <x:v>2020</x:v>
      </x:c>
      <x:c r="D434" s="2" t="str">
        <x:v>WUP_SURFACE</x:v>
      </x:c>
      <x:c r="E434" s="2" t="str">
        <x:v>horizontal surface / footprint</x:v>
      </x:c>
      <x:c r="F434" s="2" t="str">
        <x:v>m2</x:v>
      </x:c>
      <x:c r="G434" s="17" t="n">
        <x:v>110620071.65</x:v>
      </x:c>
      <x:c r="H434" s="17" t="n">
        <x:v>240343102.9452585</x:v>
      </x:c>
      <x:c r="I434" s="17" t="n">
        <x:f>IF(AND(L434,ISNUMBER(G434),ISNUMBER(H434)),G434-H434,"n.a.")</x:f>
        <x:v>-129723031.29525849</x:v>
      </x:c>
      <x:c r="J434" s="15" t="n">
        <x:f>IF(AND(L434,ISNUMBER(G434),ISNUMBER(H434),H434&gt;0),(G434-H434)/H434,"n.a.")</x:f>
        <x:v>-0.5397410190081665</x:v>
      </x:c>
      <x:c r="K434" s="19" t="n">
        <x:f>IF(ISNUMBER(J434),ABS(J434),"n.a.")</x:f>
        <x:v>0.5397410190081665</x:v>
      </x:c>
      <x:c r="L434" s="13" t="b">
        <x:v>1</x:v>
      </x:c>
      <x:c r="M434" s="13" t="b">
        <x:v>1</x:v>
      </x:c>
      <x:c r="N434" s="2" t="str">
        <x:v>L1_numeric_partition_qualified_not_national_completeness</x:v>
      </x:c>
      <x:c r="O434" s="2" t="str">
        <x:v>none</x:v>
      </x:c>
      <x:c r="P434" s="2" t="str">
        <x:v>historical_GHSL_BU_estimate</x:v>
      </x:c>
      <x:c r="Q434" s="2" t="str">
        <x:v>Published UN country boundaries, L1 class partition, national completeness unproven;2025/2030 source projections</x:v>
      </x:c>
      <x:c r="R434" s="2" t="str">
        <x:v>https://human-settlement.emergency.copernicus.eu/datasets.php</x:v>
      </x:c>
      <x:c r="S434" s="13" t="b">
        <x:v>0</x:v>
      </x:c>
      <x:c r="T434" s="13" t="b">
        <x:v>0</x:v>
      </x:c>
    </x:row>
    <x:row r="435" ht="23" customHeight="1">
      <x:c r="A435" s="2" t="str">
        <x:v>COL</x:v>
      </x:c>
      <x:c r="B435" s="2" t="str">
        <x:v>Colombia (Republic of)</x:v>
      </x:c>
      <x:c r="C435" s="2" t="n">
        <x:v>2020</x:v>
      </x:c>
      <x:c r="D435" s="2" t="str">
        <x:v>WUP_SURFACE</x:v>
      </x:c>
      <x:c r="E435" s="2" t="str">
        <x:v>horizontal surface / footprint</x:v>
      </x:c>
      <x:c r="F435" s="2" t="str">
        <x:v>m2</x:v>
      </x:c>
      <x:c r="G435" s="17" t="n">
        <x:v>1505534156.31</x:v>
      </x:c>
      <x:c r="H435" s="17" t="n">
        <x:v>1562720271.636618</x:v>
      </x:c>
      <x:c r="I435" s="17" t="n">
        <x:f>IF(AND(L435,ISNUMBER(G435),ISNUMBER(H435)),G435-H435,"n.a.")</x:f>
        <x:v>-57186115.326617956</x:v>
      </x:c>
      <x:c r="J435" s="15" t="n">
        <x:f>IF(AND(L435,ISNUMBER(G435),ISNUMBER(H435),H435&gt;0),(G435-H435)/H435,"n.a.")</x:f>
        <x:v>-0.036593955018403665</x:v>
      </x:c>
      <x:c r="K435" s="19" t="n">
        <x:f>IF(ISNUMBER(J435),ABS(J435),"n.a.")</x:f>
        <x:v>0.036593955018403665</x:v>
      </x:c>
      <x:c r="L435" s="13" t="b">
        <x:v>1</x:v>
      </x:c>
      <x:c r="M435" s="13" t="b">
        <x:v>1</x:v>
      </x:c>
      <x:c r="N435" s="2" t="str">
        <x:v>L1_numeric_partition_qualified_not_national_completeness</x:v>
      </x:c>
      <x:c r="O435" s="2" t="str">
        <x:v>none</x:v>
      </x:c>
      <x:c r="P435" s="2" t="str">
        <x:v>historical_GHSL_BU_estimate</x:v>
      </x:c>
      <x:c r="Q435" s="2" t="str">
        <x:v>Published UN country boundaries, L1 class partition, national completeness unproven;2025/2030 source projections</x:v>
      </x:c>
      <x:c r="R435" s="2" t="str">
        <x:v>https://human-settlement.emergency.copernicus.eu/datasets.php</x:v>
      </x:c>
      <x:c r="S435" s="13" t="b">
        <x:v>0</x:v>
      </x:c>
      <x:c r="T435" s="13" t="b">
        <x:v>0</x:v>
      </x:c>
    </x:row>
    <x:row r="436" ht="23" customHeight="1">
      <x:c r="A436" s="2" t="str">
        <x:v>COM</x:v>
      </x:c>
      <x:c r="B436" s="2" t="str">
        <x:v>Comoros (Union of the)</x:v>
      </x:c>
      <x:c r="C436" s="2" t="n">
        <x:v>2020</x:v>
      </x:c>
      <x:c r="D436" s="2" t="str">
        <x:v>WUP_SURFACE</x:v>
      </x:c>
      <x:c r="E436" s="2" t="str">
        <x:v>horizontal surface / footprint</x:v>
      </x:c>
      <x:c r="F436" s="2" t="str">
        <x:v>m2</x:v>
      </x:c>
      <x:c r="G436" s="17" t="n">
        <x:v>18035090.41</x:v>
      </x:c>
      <x:c r="H436" s="17" t="n">
        <x:v>26193450.897957403</x:v>
      </x:c>
      <x:c r="I436" s="17" t="n">
        <x:f>IF(AND(L436,ISNUMBER(G436),ISNUMBER(H436)),G436-H436,"n.a.")</x:f>
        <x:v>-8158360.487957403</x:v>
      </x:c>
      <x:c r="J436" s="15" t="n">
        <x:f>IF(AND(L436,ISNUMBER(G436),ISNUMBER(H436),H436&gt;0),(G436-H436)/H436,"n.a.")</x:f>
        <x:v>-0.3114656606241067</x:v>
      </x:c>
      <x:c r="K436" s="19" t="n">
        <x:f>IF(ISNUMBER(J436),ABS(J436),"n.a.")</x:f>
        <x:v>0.3114656606241067</x:v>
      </x:c>
      <x:c r="L436" s="13" t="b">
        <x:v>1</x:v>
      </x:c>
      <x:c r="M436" s="13" t="b">
        <x:v>1</x:v>
      </x:c>
      <x:c r="N436" s="2" t="str">
        <x:v>L1_numeric_partition_qualified_not_national_completeness</x:v>
      </x:c>
      <x:c r="O436" s="2" t="str">
        <x:v>none</x:v>
      </x:c>
      <x:c r="P436" s="2" t="str">
        <x:v>historical_GHSL_BU_estimate</x:v>
      </x:c>
      <x:c r="Q436" s="2" t="str">
        <x:v>Published UN country boundaries, L1 class partition, national completeness unproven;2025/2030 source projections</x:v>
      </x:c>
      <x:c r="R436" s="2" t="str">
        <x:v>https://human-settlement.emergency.copernicus.eu/datasets.php</x:v>
      </x:c>
      <x:c r="S436" s="13" t="b">
        <x:v>0</x:v>
      </x:c>
      <x:c r="T436" s="13" t="b">
        <x:v>0</x:v>
      </x:c>
    </x:row>
    <x:row r="437" ht="23" customHeight="1">
      <x:c r="A437" s="2" t="str">
        <x:v>CPV</x:v>
      </x:c>
      <x:c r="B437" s="2" t="str">
        <x:v>Cabo Verde (Republic of)</x:v>
      </x:c>
      <x:c r="C437" s="2" t="n">
        <x:v>2020</x:v>
      </x:c>
      <x:c r="D437" s="2" t="str">
        <x:v>WUP_SURFACE</x:v>
      </x:c>
      <x:c r="E437" s="2" t="str">
        <x:v>horizontal surface / footprint</x:v>
      </x:c>
      <x:c r="F437" s="2" t="str">
        <x:v>m2</x:v>
      </x:c>
      <x:c r="G437" s="17" t="n">
        <x:v>20998892.42</x:v>
      </x:c>
      <x:c r="H437" s="17" t="n">
        <x:v>23623195.006221067</x:v>
      </x:c>
      <x:c r="I437" s="17" t="n">
        <x:f>IF(AND(L437,ISNUMBER(G437),ISNUMBER(H437)),G437-H437,"n.a.")</x:f>
        <x:v>-2624302.5862210654</x:v>
      </x:c>
      <x:c r="J437" s="15" t="n">
        <x:f>IF(AND(L437,ISNUMBER(G437),ISNUMBER(H437),H437&gt;0),(G437-H437)/H437,"n.a.")</x:f>
        <x:v>-0.11109007843900737</x:v>
      </x:c>
      <x:c r="K437" s="19" t="n">
        <x:f>IF(ISNUMBER(J437),ABS(J437),"n.a.")</x:f>
        <x:v>0.11109007843900737</x:v>
      </x:c>
      <x:c r="L437" s="13" t="b">
        <x:v>1</x:v>
      </x:c>
      <x:c r="M437" s="13" t="b">
        <x:v>1</x:v>
      </x:c>
      <x:c r="N437" s="2" t="str">
        <x:v>L1_numeric_partition_qualified_not_national_completeness</x:v>
      </x:c>
      <x:c r="O437" s="2" t="str">
        <x:v>none</x:v>
      </x:c>
      <x:c r="P437" s="2" t="str">
        <x:v>historical_GHSL_BU_estimate</x:v>
      </x:c>
      <x:c r="Q437" s="2" t="str">
        <x:v>Published UN country boundaries, L1 class partition, national completeness unproven;2025/2030 source projections</x:v>
      </x:c>
      <x:c r="R437" s="2" t="str">
        <x:v>https://human-settlement.emergency.copernicus.eu/datasets.php</x:v>
      </x:c>
      <x:c r="S437" s="13" t="b">
        <x:v>0</x:v>
      </x:c>
      <x:c r="T437" s="13" t="b">
        <x:v>0</x:v>
      </x:c>
    </x:row>
    <x:row r="438" ht="23" customHeight="1">
      <x:c r="A438" s="2" t="str">
        <x:v>CRI</x:v>
      </x:c>
      <x:c r="B438" s="2" t="str">
        <x:v>Costa Rica (Republic of)</x:v>
      </x:c>
      <x:c r="C438" s="2" t="n">
        <x:v>2020</x:v>
      </x:c>
      <x:c r="D438" s="2" t="str">
        <x:v>WUP_SURFACE</x:v>
      </x:c>
      <x:c r="E438" s="2" t="str">
        <x:v>horizontal surface / footprint</x:v>
      </x:c>
      <x:c r="F438" s="2" t="str">
        <x:v>m2</x:v>
      </x:c>
      <x:c r="G438" s="17" t="n">
        <x:v>284786315.39</x:v>
      </x:c>
      <x:c r="H438" s="17" t="n">
        <x:v>367435856.8570776</x:v>
      </x:c>
      <x:c r="I438" s="17" t="n">
        <x:f>IF(AND(L438,ISNUMBER(G438),ISNUMBER(H438)),G438-H438,"n.a.")</x:f>
        <x:v>-82649541.46707761</x:v>
      </x:c>
      <x:c r="J438" s="15" t="n">
        <x:f>IF(AND(L438,ISNUMBER(G438),ISNUMBER(H438),H438&gt;0),(G438-H438)/H438,"n.a.")</x:f>
        <x:v>-0.22493597161157303</x:v>
      </x:c>
      <x:c r="K438" s="19" t="n">
        <x:f>IF(ISNUMBER(J438),ABS(J438),"n.a.")</x:f>
        <x:v>0.22493597161157303</x:v>
      </x:c>
      <x:c r="L438" s="13" t="b">
        <x:v>1</x:v>
      </x:c>
      <x:c r="M438" s="13" t="b">
        <x:v>1</x:v>
      </x:c>
      <x:c r="N438" s="2" t="str">
        <x:v>L1_numeric_partition_qualified_not_national_completeness</x:v>
      </x:c>
      <x:c r="O438" s="2" t="str">
        <x:v>none</x:v>
      </x:c>
      <x:c r="P438" s="2" t="str">
        <x:v>historical_GHSL_BU_estimate</x:v>
      </x:c>
      <x:c r="Q438" s="2" t="str">
        <x:v>Published UN country boundaries, L1 class partition, national completeness unproven;2025/2030 source projections</x:v>
      </x:c>
      <x:c r="R438" s="2" t="str">
        <x:v>https://human-settlement.emergency.copernicus.eu/datasets.php</x:v>
      </x:c>
      <x:c r="S438" s="13" t="b">
        <x:v>0</x:v>
      </x:c>
      <x:c r="T438" s="13" t="b">
        <x:v>0</x:v>
      </x:c>
    </x:row>
    <x:row r="439" ht="23" customHeight="1">
      <x:c r="A439" s="2" t="str">
        <x:v>CUB</x:v>
      </x:c>
      <x:c r="B439" s="2" t="str">
        <x:v>Cuba (Republic of)</x:v>
      </x:c>
      <x:c r="C439" s="2" t="n">
        <x:v>2020</x:v>
      </x:c>
      <x:c r="D439" s="2" t="str">
        <x:v>WUP_SURFACE</x:v>
      </x:c>
      <x:c r="E439" s="2" t="str">
        <x:v>horizontal surface / footprint</x:v>
      </x:c>
      <x:c r="F439" s="2" t="str">
        <x:v>m2</x:v>
      </x:c>
      <x:c r="G439" s="17" t="n">
        <x:v>360088927.42</x:v>
      </x:c>
      <x:c r="H439" s="17" t="n">
        <x:v>393093124.879059</x:v>
      </x:c>
      <x:c r="I439" s="17" t="n">
        <x:f>IF(AND(L439,ISNUMBER(G439),ISNUMBER(H439)),G439-H439,"n.a.")</x:f>
        <x:v>-33004197.459059</x:v>
      </x:c>
      <x:c r="J439" s="15" t="n">
        <x:f>IF(AND(L439,ISNUMBER(G439),ISNUMBER(H439),H439&gt;0),(G439-H439)/H439,"n.a.")</x:f>
        <x:v>-0.08396025107082002</x:v>
      </x:c>
      <x:c r="K439" s="19" t="n">
        <x:f>IF(ISNUMBER(J439),ABS(J439),"n.a.")</x:f>
        <x:v>0.08396025107082002</x:v>
      </x:c>
      <x:c r="L439" s="13" t="b">
        <x:v>1</x:v>
      </x:c>
      <x:c r="M439" s="13" t="b">
        <x:v>1</x:v>
      </x:c>
      <x:c r="N439" s="2" t="str">
        <x:v>L1_numeric_partition_qualified_not_national_completeness</x:v>
      </x:c>
      <x:c r="O439" s="2" t="str">
        <x:v>none</x:v>
      </x:c>
      <x:c r="P439" s="2" t="str">
        <x:v>historical_GHSL_BU_estimate</x:v>
      </x:c>
      <x:c r="Q439" s="2" t="str">
        <x:v>Published UN country boundaries, L1 class partition, national completeness unproven;2025/2030 source projections</x:v>
      </x:c>
      <x:c r="R439" s="2" t="str">
        <x:v>https://human-settlement.emergency.copernicus.eu/datasets.php</x:v>
      </x:c>
      <x:c r="S439" s="13" t="b">
        <x:v>0</x:v>
      </x:c>
      <x:c r="T439" s="13" t="b">
        <x:v>0</x:v>
      </x:c>
    </x:row>
    <x:row r="440" ht="23" customHeight="1">
      <x:c r="A440" s="2" t="str">
        <x:v>CYP</x:v>
      </x:c>
      <x:c r="B440" s="2" t="str">
        <x:v>Cyprus (Republic of)</x:v>
      </x:c>
      <x:c r="C440" s="2" t="n">
        <x:v>2020</x:v>
      </x:c>
      <x:c r="D440" s="2" t="str">
        <x:v>WUP_SURFACE</x:v>
      </x:c>
      <x:c r="E440" s="2" t="str">
        <x:v>horizontal surface / footprint</x:v>
      </x:c>
      <x:c r="F440" s="2" t="str">
        <x:v>m2</x:v>
      </x:c>
      <x:c r="G440" s="17" t="n">
        <x:v>124124771.75</x:v>
      </x:c>
      <x:c r="H440" s="17" t="n">
        <x:v>145137908.00039965</x:v>
      </x:c>
      <x:c r="I440" s="17" t="n">
        <x:f>IF(AND(L440,ISNUMBER(G440),ISNUMBER(H440)),G440-H440,"n.a.")</x:f>
        <x:v>-21013136.25039965</x:v>
      </x:c>
      <x:c r="J440" s="15" t="n">
        <x:f>IF(AND(L440,ISNUMBER(G440),ISNUMBER(H440),H440&gt;0),(G440-H440)/H440,"n.a.")</x:f>
        <x:v>-0.14478048181831163</x:v>
      </x:c>
      <x:c r="K440" s="19" t="n">
        <x:f>IF(ISNUMBER(J440),ABS(J440),"n.a.")</x:f>
        <x:v>0.14478048181831163</x:v>
      </x:c>
      <x:c r="L440" s="13" t="b">
        <x:v>1</x:v>
      </x:c>
      <x:c r="M440" s="13" t="b">
        <x:v>1</x:v>
      </x:c>
      <x:c r="N440" s="2" t="str">
        <x:v>L1_numeric_partition_qualified_not_national_completeness</x:v>
      </x:c>
      <x:c r="O440" s="2" t="str">
        <x:v>none</x:v>
      </x:c>
      <x:c r="P440" s="2" t="str">
        <x:v>historical_GHSL_BU_estimate</x:v>
      </x:c>
      <x:c r="Q440" s="2" t="str">
        <x:v>Published UN country boundaries, L1 class partition, national completeness unproven;2025/2030 source projections</x:v>
      </x:c>
      <x:c r="R440" s="2" t="str">
        <x:v>https://human-settlement.emergency.copernicus.eu/datasets.php</x:v>
      </x:c>
      <x:c r="S440" s="13" t="b">
        <x:v>0</x:v>
      </x:c>
      <x:c r="T440" s="13" t="b">
        <x:v>0</x:v>
      </x:c>
    </x:row>
    <x:row r="441" ht="23" customHeight="1">
      <x:c r="A441" s="2" t="str">
        <x:v>CZE</x:v>
      </x:c>
      <x:c r="B441" s="2" t="str">
        <x:v>Czechia (Czech Republic)</x:v>
      </x:c>
      <x:c r="C441" s="2" t="n">
        <x:v>2020</x:v>
      </x:c>
      <x:c r="D441" s="2" t="str">
        <x:v>WUP_SURFACE</x:v>
      </x:c>
      <x:c r="E441" s="2" t="str">
        <x:v>horizontal surface / footprint</x:v>
      </x:c>
      <x:c r="F441" s="2" t="str">
        <x:v>m2</x:v>
      </x:c>
      <x:c r="G441" s="17" t="n">
        <x:v>832797594.35</x:v>
      </x:c>
      <x:c r="H441" s="17" t="n">
        <x:v>1361503641.673497</x:v>
      </x:c>
      <x:c r="I441" s="17" t="n">
        <x:f>IF(AND(L441,ISNUMBER(G441),ISNUMBER(H441)),G441-H441,"n.a.")</x:f>
        <x:v>-528706047.32349694</x:v>
      </x:c>
      <x:c r="J441" s="15" t="n">
        <x:f>IF(AND(L441,ISNUMBER(G441),ISNUMBER(H441),H441&gt;0),(G441-H441)/H441,"n.a.")</x:f>
        <x:v>-0.388325106992469</x:v>
      </x:c>
      <x:c r="K441" s="19" t="n">
        <x:f>IF(ISNUMBER(J441),ABS(J441),"n.a.")</x:f>
        <x:v>0.388325106992469</x:v>
      </x:c>
      <x:c r="L441" s="13" t="b">
        <x:v>1</x:v>
      </x:c>
      <x:c r="M441" s="13" t="b">
        <x:v>1</x:v>
      </x:c>
      <x:c r="N441" s="2" t="str">
        <x:v>L1_numeric_partition_qualified_not_national_completeness</x:v>
      </x:c>
      <x:c r="O441" s="2" t="str">
        <x:v>none</x:v>
      </x:c>
      <x:c r="P441" s="2" t="str">
        <x:v>historical_GHSL_BU_estimate</x:v>
      </x:c>
      <x:c r="Q441" s="2" t="str">
        <x:v>Published UN country boundaries, L1 class partition, national completeness unproven;2025/2030 source projections</x:v>
      </x:c>
      <x:c r="R441" s="2" t="str">
        <x:v>https://human-settlement.emergency.copernicus.eu/datasets.php</x:v>
      </x:c>
      <x:c r="S441" s="13" t="b">
        <x:v>0</x:v>
      </x:c>
      <x:c r="T441" s="13" t="b">
        <x:v>0</x:v>
      </x:c>
    </x:row>
    <x:row r="442" ht="23" customHeight="1">
      <x:c r="A442" s="2" t="str">
        <x:v>DEU</x:v>
      </x:c>
      <x:c r="B442" s="2" t="str">
        <x:v>Germany (Federal Republic of)</x:v>
      </x:c>
      <x:c r="C442" s="2" t="n">
        <x:v>2020</x:v>
      </x:c>
      <x:c r="D442" s="2" t="str">
        <x:v>WUP_SURFACE</x:v>
      </x:c>
      <x:c r="E442" s="2" t="str">
        <x:v>horizontal surface / footprint</x:v>
      </x:c>
      <x:c r="F442" s="2" t="str">
        <x:v>m2</x:v>
      </x:c>
      <x:c r="G442" s="17" t="n">
        <x:v>6308730216.94</x:v>
      </x:c>
      <x:c r="H442" s="17" t="n">
        <x:v>9558232652.439943</x:v>
      </x:c>
      <x:c r="I442" s="17" t="n">
        <x:f>IF(AND(L442,ISNUMBER(G442),ISNUMBER(H442)),G442-H442,"n.a.")</x:f>
        <x:v>-3249502435.4999437</x:v>
      </x:c>
      <x:c r="J442" s="15" t="n">
        <x:f>IF(AND(L442,ISNUMBER(G442),ISNUMBER(H442),H442&gt;0),(G442-H442)/H442,"n.a.")</x:f>
        <x:v>-0.33996896221922773</x:v>
      </x:c>
      <x:c r="K442" s="19" t="n">
        <x:f>IF(ISNUMBER(J442),ABS(J442),"n.a.")</x:f>
        <x:v>0.33996896221922773</x:v>
      </x:c>
      <x:c r="L442" s="13" t="b">
        <x:v>1</x:v>
      </x:c>
      <x:c r="M442" s="13" t="b">
        <x:v>1</x:v>
      </x:c>
      <x:c r="N442" s="2" t="str">
        <x:v>L1_numeric_partition_qualified_not_national_completeness</x:v>
      </x:c>
      <x:c r="O442" s="2" t="str">
        <x:v>none</x:v>
      </x:c>
      <x:c r="P442" s="2" t="str">
        <x:v>historical_GHSL_BU_estimate</x:v>
      </x:c>
      <x:c r="Q442" s="2" t="str">
        <x:v>Published UN country boundaries, L1 class partition, national completeness unproven;2025/2030 source projections</x:v>
      </x:c>
      <x:c r="R442" s="2" t="str">
        <x:v>https://human-settlement.emergency.copernicus.eu/datasets.php</x:v>
      </x:c>
      <x:c r="S442" s="13" t="b">
        <x:v>0</x:v>
      </x:c>
      <x:c r="T442" s="13" t="b">
        <x:v>0</x:v>
      </x:c>
    </x:row>
    <x:row r="443" ht="23" customHeight="1">
      <x:c r="A443" s="2" t="str">
        <x:v>DJI</x:v>
      </x:c>
      <x:c r="B443" s="2" t="str">
        <x:v>Djibouti (Republic of)</x:v>
      </x:c>
      <x:c r="C443" s="2" t="n">
        <x:v>2020</x:v>
      </x:c>
      <x:c r="D443" s="2" t="str">
        <x:v>WUP_SURFACE</x:v>
      </x:c>
      <x:c r="E443" s="2" t="str">
        <x:v>horizontal surface / footprint</x:v>
      </x:c>
      <x:c r="F443" s="2" t="str">
        <x:v>m2</x:v>
      </x:c>
      <x:c r="G443" s="17" t="n">
        <x:v>12127167.01</x:v>
      </x:c>
      <x:c r="H443" s="17" t="n">
        <x:v>20249018.040496703</x:v>
      </x:c>
      <x:c r="I443" s="17" t="n">
        <x:f>IF(AND(L443,ISNUMBER(G443),ISNUMBER(H443)),G443-H443,"n.a.")</x:f>
        <x:v>-8121851.030496703</x:v>
      </x:c>
      <x:c r="J443" s="15" t="n">
        <x:f>IF(AND(L443,ISNUMBER(G443),ISNUMBER(H443),H443&gt;0),(G443-H443)/H443,"n.a.")</x:f>
        <x:v>-0.4010985132342485</x:v>
      </x:c>
      <x:c r="K443" s="19" t="n">
        <x:f>IF(ISNUMBER(J443),ABS(J443),"n.a.")</x:f>
        <x:v>0.4010985132342485</x:v>
      </x:c>
      <x:c r="L443" s="13" t="b">
        <x:v>1</x:v>
      </x:c>
      <x:c r="M443" s="13" t="b">
        <x:v>1</x:v>
      </x:c>
      <x:c r="N443" s="2" t="str">
        <x:v>L1_numeric_partition_qualified_not_national_completeness</x:v>
      </x:c>
      <x:c r="O443" s="2" t="str">
        <x:v>none</x:v>
      </x:c>
      <x:c r="P443" s="2" t="str">
        <x:v>historical_GHSL_BU_estimate</x:v>
      </x:c>
      <x:c r="Q443" s="2" t="str">
        <x:v>Published UN country boundaries, L1 class partition, national completeness unproven;2025/2030 source projections</x:v>
      </x:c>
      <x:c r="R443" s="2" t="str">
        <x:v>https://human-settlement.emergency.copernicus.eu/datasets.php</x:v>
      </x:c>
      <x:c r="S443" s="13" t="b">
        <x:v>0</x:v>
      </x:c>
      <x:c r="T443" s="13" t="b">
        <x:v>0</x:v>
      </x:c>
    </x:row>
    <x:row r="444" ht="23" customHeight="1">
      <x:c r="A444" s="2" t="str">
        <x:v>DMA</x:v>
      </x:c>
      <x:c r="B444" s="2" t="str">
        <x:v>Dominica (Commonwealth of)</x:v>
      </x:c>
      <x:c r="C444" s="2" t="n">
        <x:v>2020</x:v>
      </x:c>
      <x:c r="D444" s="2" t="str">
        <x:v>WUP_SURFACE</x:v>
      </x:c>
      <x:c r="E444" s="2" t="str">
        <x:v>horizontal surface / footprint</x:v>
      </x:c>
      <x:c r="F444" s="2" t="str">
        <x:v>m2</x:v>
      </x:c>
      <x:c r="G444" s="17" t="n">
        <x:v>3947192.69</x:v>
      </x:c>
      <x:c r="H444" s="17" t="n">
        <x:v>5577641.011276227</x:v>
      </x:c>
      <x:c r="I444" s="17" t="n">
        <x:f>IF(AND(L444,ISNUMBER(G444),ISNUMBER(H444)),G444-H444,"n.a.")</x:f>
        <x:v>-1630448.3212762275</x:v>
      </x:c>
      <x:c r="J444" s="15" t="n">
        <x:f>IF(AND(L444,ISNUMBER(G444),ISNUMBER(H444),H444&gt;0),(G444-H444)/H444,"n.a.")</x:f>
        <x:v>-0.29231861964224237</x:v>
      </x:c>
      <x:c r="K444" s="19" t="n">
        <x:f>IF(ISNUMBER(J444),ABS(J444),"n.a.")</x:f>
        <x:v>0.29231861964224237</x:v>
      </x:c>
      <x:c r="L444" s="13" t="b">
        <x:v>1</x:v>
      </x:c>
      <x:c r="M444" s="13" t="b">
        <x:v>1</x:v>
      </x:c>
      <x:c r="N444" s="2" t="str">
        <x:v>L1_numeric_partition_qualified_not_national_completeness</x:v>
      </x:c>
      <x:c r="O444" s="2" t="str">
        <x:v>none</x:v>
      </x:c>
      <x:c r="P444" s="2" t="str">
        <x:v>historical_GHSL_BU_estimate</x:v>
      </x:c>
      <x:c r="Q444" s="2" t="str">
        <x:v>Published UN country boundaries, L1 class partition, national completeness unproven;2025/2030 source projections</x:v>
      </x:c>
      <x:c r="R444" s="2" t="str">
        <x:v>https://human-settlement.emergency.copernicus.eu/datasets.php</x:v>
      </x:c>
      <x:c r="S444" s="13" t="b">
        <x:v>0</x:v>
      </x:c>
      <x:c r="T444" s="13" t="b">
        <x:v>0</x:v>
      </x:c>
    </x:row>
    <x:row r="445" ht="23" customHeight="1">
      <x:c r="A445" s="2" t="str">
        <x:v>DNK</x:v>
      </x:c>
      <x:c r="B445" s="2" t="str">
        <x:v>Denmark (Kingdom of)</x:v>
      </x:c>
      <x:c r="C445" s="2" t="n">
        <x:v>2020</x:v>
      </x:c>
      <x:c r="D445" s="2" t="str">
        <x:v>WUP_SURFACE</x:v>
      </x:c>
      <x:c r="E445" s="2" t="str">
        <x:v>horizontal surface / footprint</x:v>
      </x:c>
      <x:c r="F445" s="2" t="str">
        <x:v>m2</x:v>
      </x:c>
      <x:c r="G445" s="17" t="n">
        <x:v>660731556.2</x:v>
      </x:c>
      <x:c r="H445" s="17" t="n">
        <x:v>819001256.3846583</x:v>
      </x:c>
      <x:c r="I445" s="17" t="n">
        <x:f>IF(AND(L445,ISNUMBER(G445),ISNUMBER(H445)),G445-H445,"n.a.")</x:f>
        <x:v>-158269700.1846583</x:v>
      </x:c>
      <x:c r="J445" s="15" t="n">
        <x:f>IF(AND(L445,ISNUMBER(G445),ISNUMBER(H445),H445&gt;0),(G445-H445)/H445,"n.a.")</x:f>
        <x:v>-0.1932472007226374</x:v>
      </x:c>
      <x:c r="K445" s="19" t="n">
        <x:f>IF(ISNUMBER(J445),ABS(J445),"n.a.")</x:f>
        <x:v>0.1932472007226374</x:v>
      </x:c>
      <x:c r="L445" s="13" t="b">
        <x:v>1</x:v>
      </x:c>
      <x:c r="M445" s="13" t="b">
        <x:v>1</x:v>
      </x:c>
      <x:c r="N445" s="2" t="str">
        <x:v>L1_numeric_partition_qualified_not_national_completeness</x:v>
      </x:c>
      <x:c r="O445" s="2" t="str">
        <x:v>none</x:v>
      </x:c>
      <x:c r="P445" s="2" t="str">
        <x:v>historical_GHSL_BU_estimate</x:v>
      </x:c>
      <x:c r="Q445" s="2" t="str">
        <x:v>Published UN country boundaries, L1 class partition, national completeness unproven;2025/2030 source projections</x:v>
      </x:c>
      <x:c r="R445" s="2" t="str">
        <x:v>https://human-settlement.emergency.copernicus.eu/datasets.php</x:v>
      </x:c>
      <x:c r="S445" s="13" t="b">
        <x:v>0</x:v>
      </x:c>
      <x:c r="T445" s="13" t="b">
        <x:v>0</x:v>
      </x:c>
    </x:row>
    <x:row r="446" ht="23" customHeight="1">
      <x:c r="A446" s="2" t="str">
        <x:v>DOM</x:v>
      </x:c>
      <x:c r="B446" s="2" t="str">
        <x:v>Dominican Republic</x:v>
      </x:c>
      <x:c r="C446" s="2" t="n">
        <x:v>2020</x:v>
      </x:c>
      <x:c r="D446" s="2" t="str">
        <x:v>WUP_SURFACE</x:v>
      </x:c>
      <x:c r="E446" s="2" t="str">
        <x:v>horizontal surface / footprint</x:v>
      </x:c>
      <x:c r="F446" s="2" t="str">
        <x:v>m2</x:v>
      </x:c>
      <x:c r="G446" s="17" t="n">
        <x:v>336248050.89</x:v>
      </x:c>
      <x:c r="H446" s="17" t="n">
        <x:v>505607053.0571373</x:v>
      </x:c>
      <x:c r="I446" s="17" t="n">
        <x:f>IF(AND(L446,ISNUMBER(G446),ISNUMBER(H446)),G446-H446,"n.a.")</x:f>
        <x:v>-169359002.16713732</x:v>
      </x:c>
      <x:c r="J446" s="15" t="n">
        <x:f>IF(AND(L446,ISNUMBER(G446),ISNUMBER(H446),H446&gt;0),(G446-H446)/H446,"n.a.")</x:f>
        <x:v>-0.3349617081943644</x:v>
      </x:c>
      <x:c r="K446" s="19" t="n">
        <x:f>IF(ISNUMBER(J446),ABS(J446),"n.a.")</x:f>
        <x:v>0.3349617081943644</x:v>
      </x:c>
      <x:c r="L446" s="13" t="b">
        <x:v>1</x:v>
      </x:c>
      <x:c r="M446" s="13" t="b">
        <x:v>1</x:v>
      </x:c>
      <x:c r="N446" s="2" t="str">
        <x:v>L1_numeric_partition_qualified_not_national_completeness</x:v>
      </x:c>
      <x:c r="O446" s="2" t="str">
        <x:v>none</x:v>
      </x:c>
      <x:c r="P446" s="2" t="str">
        <x:v>historical_GHSL_BU_estimate</x:v>
      </x:c>
      <x:c r="Q446" s="2" t="str">
        <x:v>Published UN country boundaries, L1 class partition, national completeness unproven;2025/2030 source projections</x:v>
      </x:c>
      <x:c r="R446" s="2" t="str">
        <x:v>https://human-settlement.emergency.copernicus.eu/datasets.php</x:v>
      </x:c>
      <x:c r="S446" s="13" t="b">
        <x:v>0</x:v>
      </x:c>
      <x:c r="T446" s="13" t="b">
        <x:v>0</x:v>
      </x:c>
    </x:row>
    <x:row r="447" ht="23" customHeight="1">
      <x:c r="A447" s="2" t="str">
        <x:v>DZA</x:v>
      </x:c>
      <x:c r="B447" s="2" t="str">
        <x:v>Algeria (People's Democratic Republic of)</x:v>
      </x:c>
      <x:c r="C447" s="2" t="n">
        <x:v>2020</x:v>
      </x:c>
      <x:c r="D447" s="2" t="str">
        <x:v>WUP_SURFACE</x:v>
      </x:c>
      <x:c r="E447" s="2" t="str">
        <x:v>horizontal surface / footprint</x:v>
      </x:c>
      <x:c r="F447" s="2" t="str">
        <x:v>m2</x:v>
      </x:c>
      <x:c r="G447" s="17" t="n">
        <x:v>1589287619</x:v>
      </x:c>
      <x:c r="H447" s="17" t="n">
        <x:v>2251269484.417323</x:v>
      </x:c>
      <x:c r="I447" s="17" t="n">
        <x:f>IF(AND(L447,ISNUMBER(G447),ISNUMBER(H447)),G447-H447,"n.a.")</x:f>
        <x:v>-661981865.4173231</x:v>
      </x:c>
      <x:c r="J447" s="15" t="n">
        <x:f>IF(AND(L447,ISNUMBER(G447),ISNUMBER(H447),H447&gt;0),(G447-H447)/H447,"n.a.")</x:f>
        <x:v>-0.29404825588379446</x:v>
      </x:c>
      <x:c r="K447" s="19" t="n">
        <x:f>IF(ISNUMBER(J447),ABS(J447),"n.a.")</x:f>
        <x:v>0.29404825588379446</x:v>
      </x:c>
      <x:c r="L447" s="13" t="b">
        <x:v>1</x:v>
      </x:c>
      <x:c r="M447" s="13" t="b">
        <x:v>1</x:v>
      </x:c>
      <x:c r="N447" s="2" t="str">
        <x:v>L1_numeric_partition_qualified_not_national_completeness</x:v>
      </x:c>
      <x:c r="O447" s="2" t="str">
        <x:v>none</x:v>
      </x:c>
      <x:c r="P447" s="2" t="str">
        <x:v>historical_GHSL_BU_estimate</x:v>
      </x:c>
      <x:c r="Q447" s="2" t="str">
        <x:v>Published UN country boundaries, L1 class partition, national completeness unproven;2025/2030 source projections</x:v>
      </x:c>
      <x:c r="R447" s="2" t="str">
        <x:v>https://human-settlement.emergency.copernicus.eu/datasets.php</x:v>
      </x:c>
      <x:c r="S447" s="13" t="b">
        <x:v>0</x:v>
      </x:c>
      <x:c r="T447" s="13" t="b">
        <x:v>0</x:v>
      </x:c>
    </x:row>
    <x:row r="448" ht="23" customHeight="1">
      <x:c r="A448" s="2" t="str">
        <x:v>ECU</x:v>
      </x:c>
      <x:c r="B448" s="2" t="str">
        <x:v>Ecuador (Republic of)</x:v>
      </x:c>
      <x:c r="C448" s="2" t="n">
        <x:v>2020</x:v>
      </x:c>
      <x:c r="D448" s="2" t="str">
        <x:v>WUP_SURFACE</x:v>
      </x:c>
      <x:c r="E448" s="2" t="str">
        <x:v>horizontal surface / footprint</x:v>
      </x:c>
      <x:c r="F448" s="2" t="str">
        <x:v>m2</x:v>
      </x:c>
      <x:c r="G448" s="17" t="n">
        <x:v>734538215.05</x:v>
      </x:c>
      <x:c r="H448" s="17" t="n">
        <x:v>932396377.5527977</x:v>
      </x:c>
      <x:c r="I448" s="17" t="n">
        <x:f>IF(AND(L448,ISNUMBER(G448),ISNUMBER(H448)),G448-H448,"n.a.")</x:f>
        <x:v>-197858162.50279772</x:v>
      </x:c>
      <x:c r="J448" s="15" t="n">
        <x:f>IF(AND(L448,ISNUMBER(G448),ISNUMBER(H448),H448&gt;0),(G448-H448)/H448,"n.a.")</x:f>
        <x:v>-0.21220391591621543</x:v>
      </x:c>
      <x:c r="K448" s="19" t="n">
        <x:f>IF(ISNUMBER(J448),ABS(J448),"n.a.")</x:f>
        <x:v>0.21220391591621543</x:v>
      </x:c>
      <x:c r="L448" s="13" t="b">
        <x:v>1</x:v>
      </x:c>
      <x:c r="M448" s="13" t="b">
        <x:v>1</x:v>
      </x:c>
      <x:c r="N448" s="2" t="str">
        <x:v>L1_numeric_partition_qualified_not_national_completeness</x:v>
      </x:c>
      <x:c r="O448" s="2" t="str">
        <x:v>none</x:v>
      </x:c>
      <x:c r="P448" s="2" t="str">
        <x:v>historical_GHSL_BU_estimate</x:v>
      </x:c>
      <x:c r="Q448" s="2" t="str">
        <x:v>Published UN country boundaries, L1 class partition, national completeness unproven;2025/2030 source projections</x:v>
      </x:c>
      <x:c r="R448" s="2" t="str">
        <x:v>https://human-settlement.emergency.copernicus.eu/datasets.php</x:v>
      </x:c>
      <x:c r="S448" s="13" t="b">
        <x:v>0</x:v>
      </x:c>
      <x:c r="T448" s="13" t="b">
        <x:v>0</x:v>
      </x:c>
    </x:row>
    <x:row r="449" ht="23" customHeight="1">
      <x:c r="A449" s="2" t="str">
        <x:v>EGY</x:v>
      </x:c>
      <x:c r="B449" s="2" t="str">
        <x:v>Egypt (Arab Republic of)</x:v>
      </x:c>
      <x:c r="C449" s="2" t="n">
        <x:v>2020</x:v>
      </x:c>
      <x:c r="D449" s="2" t="str">
        <x:v>WUP_SURFACE</x:v>
      </x:c>
      <x:c r="E449" s="2" t="str">
        <x:v>horizontal surface / footprint</x:v>
      </x:c>
      <x:c r="F449" s="2" t="str">
        <x:v>m2</x:v>
      </x:c>
      <x:c r="G449" s="17" t="n">
        <x:v>2212752476.53</x:v>
      </x:c>
      <x:c r="H449" s="17" t="n">
        <x:v>3131484168.105507</x:v>
      </x:c>
      <x:c r="I449" s="17" t="n">
        <x:f>IF(AND(L449,ISNUMBER(G449),ISNUMBER(H449)),G449-H449,"n.a.")</x:f>
        <x:v>-918731691.5755067</x:v>
      </x:c>
      <x:c r="J449" s="15" t="n">
        <x:f>IF(AND(L449,ISNUMBER(G449),ISNUMBER(H449),H449&gt;0),(G449-H449)/H449,"n.a.")</x:f>
        <x:v>-0.2933853860520468</x:v>
      </x:c>
      <x:c r="K449" s="19" t="n">
        <x:f>IF(ISNUMBER(J449),ABS(J449),"n.a.")</x:f>
        <x:v>0.2933853860520468</x:v>
      </x:c>
      <x:c r="L449" s="13" t="b">
        <x:v>1</x:v>
      </x:c>
      <x:c r="M449" s="13" t="b">
        <x:v>1</x:v>
      </x:c>
      <x:c r="N449" s="2" t="str">
        <x:v>L1_numeric_partition_qualified_not_national_completeness</x:v>
      </x:c>
      <x:c r="O449" s="2" t="str">
        <x:v>none</x:v>
      </x:c>
      <x:c r="P449" s="2" t="str">
        <x:v>historical_GHSL_BU_estimate</x:v>
      </x:c>
      <x:c r="Q449" s="2" t="str">
        <x:v>Published UN country boundaries, L1 class partition, national completeness unproven;2025/2030 source projections</x:v>
      </x:c>
      <x:c r="R449" s="2" t="str">
        <x:v>https://human-settlement.emergency.copernicus.eu/datasets.php</x:v>
      </x:c>
      <x:c r="S449" s="13" t="b">
        <x:v>0</x:v>
      </x:c>
      <x:c r="T449" s="13" t="b">
        <x:v>0</x:v>
      </x:c>
    </x:row>
    <x:row r="450" ht="23" customHeight="1">
      <x:c r="A450" s="2" t="str">
        <x:v>ERI</x:v>
      </x:c>
      <x:c r="B450" s="2" t="str">
        <x:v>Eritrea (State of)</x:v>
      </x:c>
      <x:c r="C450" s="2" t="n">
        <x:v>2020</x:v>
      </x:c>
      <x:c r="D450" s="2" t="str">
        <x:v>WUP_SURFACE</x:v>
      </x:c>
      <x:c r="E450" s="2" t="str">
        <x:v>horizontal surface / footprint</x:v>
      </x:c>
      <x:c r="F450" s="2" t="str">
        <x:v>m2</x:v>
      </x:c>
      <x:c r="G450" s="17" t="n">
        <x:v>45298098.33</x:v>
      </x:c>
      <x:c r="H450" s="17" t="n">
        <x:v>106156469.93711676</x:v>
      </x:c>
      <x:c r="I450" s="17" t="n">
        <x:f>IF(AND(L450,ISNUMBER(G450),ISNUMBER(H450)),G450-H450,"n.a.")</x:f>
        <x:v>-60858371.60711676</x:v>
      </x:c>
      <x:c r="J450" s="15" t="n">
        <x:f>IF(AND(L450,ISNUMBER(G450),ISNUMBER(H450),H450&gt;0),(G450-H450)/H450,"n.a.")</x:f>
        <x:v>-0.5732893307696371</x:v>
      </x:c>
      <x:c r="K450" s="19" t="n">
        <x:f>IF(ISNUMBER(J450),ABS(J450),"n.a.")</x:f>
        <x:v>0.5732893307696371</x:v>
      </x:c>
      <x:c r="L450" s="13" t="b">
        <x:v>1</x:v>
      </x:c>
      <x:c r="M450" s="13" t="b">
        <x:v>1</x:v>
      </x:c>
      <x:c r="N450" s="2" t="str">
        <x:v>L1_numeric_partition_qualified_not_national_completeness</x:v>
      </x:c>
      <x:c r="O450" s="2" t="str">
        <x:v>none</x:v>
      </x:c>
      <x:c r="P450" s="2" t="str">
        <x:v>historical_GHSL_BU_estimate</x:v>
      </x:c>
      <x:c r="Q450" s="2" t="str">
        <x:v>Published UN country boundaries, L1 class partition, national completeness unproven;2025/2030 source projections</x:v>
      </x:c>
      <x:c r="R450" s="2" t="str">
        <x:v>https://human-settlement.emergency.copernicus.eu/datasets.php</x:v>
      </x:c>
      <x:c r="S450" s="13" t="b">
        <x:v>0</x:v>
      </x:c>
      <x:c r="T450" s="13" t="b">
        <x:v>0</x:v>
      </x:c>
    </x:row>
    <x:row r="451" ht="23" customHeight="1">
      <x:c r="A451" s="2" t="str">
        <x:v>ESP</x:v>
      </x:c>
      <x:c r="B451" s="2" t="str">
        <x:v>Spain (Kingdom of)</x:v>
      </x:c>
      <x:c r="C451" s="2" t="n">
        <x:v>2020</x:v>
      </x:c>
      <x:c r="D451" s="2" t="str">
        <x:v>WUP_SURFACE</x:v>
      </x:c>
      <x:c r="E451" s="2" t="str">
        <x:v>horizontal surface / footprint</x:v>
      </x:c>
      <x:c r="F451" s="2" t="str">
        <x:v>m2</x:v>
      </x:c>
      <x:c r="G451" s="17" t="n">
        <x:v>3279628822.71</x:v>
      </x:c>
      <x:c r="H451" s="17" t="n">
        <x:v>4436720089.4513445</x:v>
      </x:c>
      <x:c r="I451" s="17" t="n">
        <x:f>IF(AND(L451,ISNUMBER(G451),ISNUMBER(H451)),G451-H451,"n.a.")</x:f>
        <x:v>-1157091266.7413445</x:v>
      </x:c>
      <x:c r="J451" s="15" t="n">
        <x:f>IF(AND(L451,ISNUMBER(G451),ISNUMBER(H451),H451&gt;0),(G451-H451)/H451,"n.a.")</x:f>
        <x:v>-0.2607987980788829</x:v>
      </x:c>
      <x:c r="K451" s="19" t="n">
        <x:f>IF(ISNUMBER(J451),ABS(J451),"n.a.")</x:f>
        <x:v>0.2607987980788829</x:v>
      </x:c>
      <x:c r="L451" s="13" t="b">
        <x:v>1</x:v>
      </x:c>
      <x:c r="M451" s="13" t="b">
        <x:v>1</x:v>
      </x:c>
      <x:c r="N451" s="2" t="str">
        <x:v>L1_numeric_partition_qualified_not_national_completeness</x:v>
      </x:c>
      <x:c r="O451" s="2" t="str">
        <x:v>none</x:v>
      </x:c>
      <x:c r="P451" s="2" t="str">
        <x:v>historical_GHSL_BU_estimate</x:v>
      </x:c>
      <x:c r="Q451" s="2" t="str">
        <x:v>Published UN country boundaries, L1 class partition, national completeness unproven;2025/2030 source projections</x:v>
      </x:c>
      <x:c r="R451" s="2" t="str">
        <x:v>https://human-settlement.emergency.copernicus.eu/datasets.php</x:v>
      </x:c>
      <x:c r="S451" s="13" t="b">
        <x:v>0</x:v>
      </x:c>
      <x:c r="T451" s="13" t="b">
        <x:v>0</x:v>
      </x:c>
    </x:row>
    <x:row r="452" ht="23" customHeight="1">
      <x:c r="A452" s="2" t="str">
        <x:v>EST</x:v>
      </x:c>
      <x:c r="B452" s="2" t="str">
        <x:v>Estonia (Republic of)</x:v>
      </x:c>
      <x:c r="C452" s="2" t="n">
        <x:v>2020</x:v>
      </x:c>
      <x:c r="D452" s="2" t="str">
        <x:v>WUP_SURFACE</x:v>
      </x:c>
      <x:c r="E452" s="2" t="str">
        <x:v>horizontal surface / footprint</x:v>
      </x:c>
      <x:c r="F452" s="2" t="str">
        <x:v>m2</x:v>
      </x:c>
      <x:c r="G452" s="17" t="n">
        <x:v>113094705.37</x:v>
      </x:c>
      <x:c r="H452" s="17" t="n">
        <x:v>192976209.96352896</x:v>
      </x:c>
      <x:c r="I452" s="17" t="n">
        <x:f>IF(AND(L452,ISNUMBER(G452),ISNUMBER(H452)),G452-H452,"n.a.")</x:f>
        <x:v>-79881504.59352896</x:v>
      </x:c>
      <x:c r="J452" s="15" t="n">
        <x:f>IF(AND(L452,ISNUMBER(G452),ISNUMBER(H452),H452&gt;0),(G452-H452)/H452,"n.a.")</x:f>
        <x:v>-0.4139448308608919</x:v>
      </x:c>
      <x:c r="K452" s="19" t="n">
        <x:f>IF(ISNUMBER(J452),ABS(J452),"n.a.")</x:f>
        <x:v>0.4139448308608919</x:v>
      </x:c>
      <x:c r="L452" s="13" t="b">
        <x:v>1</x:v>
      </x:c>
      <x:c r="M452" s="13" t="b">
        <x:v>1</x:v>
      </x:c>
      <x:c r="N452" s="2" t="str">
        <x:v>L1_numeric_partition_qualified_not_national_completeness</x:v>
      </x:c>
      <x:c r="O452" s="2" t="str">
        <x:v>none</x:v>
      </x:c>
      <x:c r="P452" s="2" t="str">
        <x:v>historical_GHSL_BU_estimate</x:v>
      </x:c>
      <x:c r="Q452" s="2" t="str">
        <x:v>Published UN country boundaries, L1 class partition, national completeness unproven;2025/2030 source projections</x:v>
      </x:c>
      <x:c r="R452" s="2" t="str">
        <x:v>https://human-settlement.emergency.copernicus.eu/datasets.php</x:v>
      </x:c>
      <x:c r="S452" s="13" t="b">
        <x:v>0</x:v>
      </x:c>
      <x:c r="T452" s="13" t="b">
        <x:v>0</x:v>
      </x:c>
    </x:row>
    <x:row r="453" ht="23" customHeight="1">
      <x:c r="A453" s="2" t="str">
        <x:v>ETH</x:v>
      </x:c>
      <x:c r="B453" s="2" t="str">
        <x:v>Ethiopia (Federal Democratic Republic of)</x:v>
      </x:c>
      <x:c r="C453" s="2" t="n">
        <x:v>2020</x:v>
      </x:c>
      <x:c r="D453" s="2" t="str">
        <x:v>WUP_SURFACE</x:v>
      </x:c>
      <x:c r="E453" s="2" t="str">
        <x:v>horizontal surface / footprint</x:v>
      </x:c>
      <x:c r="F453" s="2" t="str">
        <x:v>m2</x:v>
      </x:c>
      <x:c r="G453" s="17" t="n">
        <x:v>1660821510.71</x:v>
      </x:c>
      <x:c r="H453" s="17" t="n">
        <x:v>2544618131.682302</x:v>
      </x:c>
      <x:c r="I453" s="17" t="n">
        <x:f>IF(AND(L453,ISNUMBER(G453),ISNUMBER(H453)),G453-H453,"n.a.")</x:f>
        <x:v>-883796620.972302</x:v>
      </x:c>
      <x:c r="J453" s="15" t="n">
        <x:f>IF(AND(L453,ISNUMBER(G453),ISNUMBER(H453),H453&gt;0),(G453-H453)/H453,"n.a.")</x:f>
        <x:v>-0.34731994163226565</x:v>
      </x:c>
      <x:c r="K453" s="19" t="n">
        <x:f>IF(ISNUMBER(J453),ABS(J453),"n.a.")</x:f>
        <x:v>0.34731994163226565</x:v>
      </x:c>
      <x:c r="L453" s="13" t="b">
        <x:v>1</x:v>
      </x:c>
      <x:c r="M453" s="13" t="b">
        <x:v>1</x:v>
      </x:c>
      <x:c r="N453" s="2" t="str">
        <x:v>L1_numeric_partition_qualified_not_national_completeness</x:v>
      </x:c>
      <x:c r="O453" s="2" t="str">
        <x:v>none</x:v>
      </x:c>
      <x:c r="P453" s="2" t="str">
        <x:v>historical_GHSL_BU_estimate</x:v>
      </x:c>
      <x:c r="Q453" s="2" t="str">
        <x:v>Published UN country boundaries, L1 class partition, national completeness unproven;2025/2030 source projections</x:v>
      </x:c>
      <x:c r="R453" s="2" t="str">
        <x:v>https://human-settlement.emergency.copernicus.eu/datasets.php</x:v>
      </x:c>
      <x:c r="S453" s="13" t="b">
        <x:v>0</x:v>
      </x:c>
      <x:c r="T453" s="13" t="b">
        <x:v>0</x:v>
      </x:c>
    </x:row>
    <x:row r="454" ht="23" customHeight="1">
      <x:c r="A454" s="2" t="str">
        <x:v>FIN</x:v>
      </x:c>
      <x:c r="B454" s="2" t="str">
        <x:v>Finland (Republic of)</x:v>
      </x:c>
      <x:c r="C454" s="2" t="n">
        <x:v>2020</x:v>
      </x:c>
      <x:c r="D454" s="2" t="str">
        <x:v>WUP_SURFACE</x:v>
      </x:c>
      <x:c r="E454" s="2" t="str">
        <x:v>horizontal surface / footprint</x:v>
      </x:c>
      <x:c r="F454" s="2" t="str">
        <x:v>m2</x:v>
      </x:c>
      <x:c r="G454" s="17" t="n">
        <x:v>615866742.34</x:v>
      </x:c>
      <x:c r="H454" s="17" t="n">
        <x:v>542868462.1400499</x:v>
      </x:c>
      <x:c r="I454" s="17" t="n">
        <x:f>IF(AND(L454,ISNUMBER(G454),ISNUMBER(H454)),G454-H454,"n.a.")</x:f>
        <x:v>72998280.1999501</x:v>
      </x:c>
      <x:c r="J454" s="15" t="n">
        <x:f>IF(AND(L454,ISNUMBER(G454),ISNUMBER(H454),H454&gt;0),(G454-H454)/H454,"n.a.")</x:f>
        <x:v>0.1344677123297649</x:v>
      </x:c>
      <x:c r="K454" s="19" t="n">
        <x:f>IF(ISNUMBER(J454),ABS(J454),"n.a.")</x:f>
        <x:v>0.1344677123297649</x:v>
      </x:c>
      <x:c r="L454" s="13" t="b">
        <x:v>1</x:v>
      </x:c>
      <x:c r="M454" s="13" t="b">
        <x:v>1</x:v>
      </x:c>
      <x:c r="N454" s="2" t="str">
        <x:v>L1_numeric_partition_qualified_not_national_completeness</x:v>
      </x:c>
      <x:c r="O454" s="2" t="str">
        <x:v>none</x:v>
      </x:c>
      <x:c r="P454" s="2" t="str">
        <x:v>historical_GHSL_BU_estimate</x:v>
      </x:c>
      <x:c r="Q454" s="2" t="str">
        <x:v>Published UN country boundaries, L1 class partition, national completeness unproven;2025/2030 source projections</x:v>
      </x:c>
      <x:c r="R454" s="2" t="str">
        <x:v>https://human-settlement.emergency.copernicus.eu/datasets.php</x:v>
      </x:c>
      <x:c r="S454" s="13" t="b">
        <x:v>0</x:v>
      </x:c>
      <x:c r="T454" s="13" t="b">
        <x:v>0</x:v>
      </x:c>
    </x:row>
    <x:row r="455" ht="23" customHeight="1">
      <x:c r="A455" s="2" t="str">
        <x:v>FJI</x:v>
      </x:c>
      <x:c r="B455" s="2" t="str">
        <x:v>Fiji (Republic of)</x:v>
      </x:c>
      <x:c r="C455" s="2" t="n">
        <x:v>2020</x:v>
      </x:c>
      <x:c r="D455" s="2" t="str">
        <x:v>WUP_SURFACE</x:v>
      </x:c>
      <x:c r="E455" s="2" t="str">
        <x:v>horizontal surface / footprint</x:v>
      </x:c>
      <x:c r="F455" s="2" t="str">
        <x:v>m2</x:v>
      </x:c>
      <x:c r="G455" s="17" t="n">
        <x:v>37460168.12</x:v>
      </x:c>
      <x:c r="H455" s="17" t="n">
        <x:v>86259115.95521654</x:v>
      </x:c>
      <x:c r="I455" s="17" t="n">
        <x:f>IF(AND(L455,ISNUMBER(G455),ISNUMBER(H455)),G455-H455,"n.a.")</x:f>
        <x:v>-48798947.835216545</x:v>
      </x:c>
      <x:c r="J455" s="15" t="n">
        <x:f>IF(AND(L455,ISNUMBER(G455),ISNUMBER(H455),H455&gt;0),(G455-H455)/H455,"n.a.")</x:f>
        <x:v>-0.5657251096863973</x:v>
      </x:c>
      <x:c r="K455" s="19" t="n">
        <x:f>IF(ISNUMBER(J455),ABS(J455),"n.a.")</x:f>
        <x:v>0.5657251096863973</x:v>
      </x:c>
      <x:c r="L455" s="13" t="b">
        <x:v>1</x:v>
      </x:c>
      <x:c r="M455" s="13" t="b">
        <x:v>1</x:v>
      </x:c>
      <x:c r="N455" s="2" t="str">
        <x:v>L1_numeric_partition_qualified_not_national_completeness</x:v>
      </x:c>
      <x:c r="O455" s="2" t="str">
        <x:v>none</x:v>
      </x:c>
      <x:c r="P455" s="2" t="str">
        <x:v>historical_GHSL_BU_estimate</x:v>
      </x:c>
      <x:c r="Q455" s="2" t="str">
        <x:v>Published UN country boundaries, L1 class partition, national completeness unproven;2025/2030 source projections</x:v>
      </x:c>
      <x:c r="R455" s="2" t="str">
        <x:v>https://human-settlement.emergency.copernicus.eu/datasets.php</x:v>
      </x:c>
      <x:c r="S455" s="13" t="b">
        <x:v>0</x:v>
      </x:c>
      <x:c r="T455" s="13" t="b">
        <x:v>0</x:v>
      </x:c>
    </x:row>
    <x:row r="456" ht="23" customHeight="1">
      <x:c r="A456" s="2" t="str">
        <x:v>FRA</x:v>
      </x:c>
      <x:c r="B456" s="2" t="str">
        <x:v>France (French Republic)</x:v>
      </x:c>
      <x:c r="C456" s="2" t="n">
        <x:v>2020</x:v>
      </x:c>
      <x:c r="D456" s="2" t="str">
        <x:v>WUP_SURFACE</x:v>
      </x:c>
      <x:c r="E456" s="2" t="str">
        <x:v>horizontal surface / footprint</x:v>
      </x:c>
      <x:c r="F456" s="2" t="str">
        <x:v>m2</x:v>
      </x:c>
      <x:c r="G456" s="17" t="n">
        <x:v>6074526882.68</x:v>
      </x:c>
      <x:c r="H456" s="17" t="n">
        <x:v>9914338336.45296</x:v>
      </x:c>
      <x:c r="I456" s="17" t="n">
        <x:f>IF(AND(L456,ISNUMBER(G456),ISNUMBER(H456)),G456-H456,"n.a.")</x:f>
        <x:v>-3839811453.7729588</x:v>
      </x:c>
      <x:c r="J456" s="15" t="n">
        <x:f>IF(AND(L456,ISNUMBER(G456),ISNUMBER(H456),H456&gt;0),(G456-H456)/H456,"n.a.")</x:f>
        <x:v>-0.3872988114249411</x:v>
      </x:c>
      <x:c r="K456" s="19" t="n">
        <x:f>IF(ISNUMBER(J456),ABS(J456),"n.a.")</x:f>
        <x:v>0.3872988114249411</x:v>
      </x:c>
      <x:c r="L456" s="13" t="b">
        <x:v>1</x:v>
      </x:c>
      <x:c r="M456" s="13" t="b">
        <x:v>1</x:v>
      </x:c>
      <x:c r="N456" s="2" t="str">
        <x:v>L1_numeric_partition_qualified_not_national_completeness</x:v>
      </x:c>
      <x:c r="O456" s="2" t="str">
        <x:v>none</x:v>
      </x:c>
      <x:c r="P456" s="2" t="str">
        <x:v>historical_GHSL_BU_estimate</x:v>
      </x:c>
      <x:c r="Q456" s="2" t="str">
        <x:v>Published UN country boundaries, L1 class partition, national completeness unproven;2025/2030 source projections</x:v>
      </x:c>
      <x:c r="R456" s="2" t="str">
        <x:v>https://human-settlement.emergency.copernicus.eu/datasets.php</x:v>
      </x:c>
      <x:c r="S456" s="13" t="b">
        <x:v>0</x:v>
      </x:c>
      <x:c r="T456" s="13" t="b">
        <x:v>0</x:v>
      </x:c>
    </x:row>
    <x:row r="457" ht="23" customHeight="1">
      <x:c r="A457" s="2" t="str">
        <x:v>FSM</x:v>
      </x:c>
      <x:c r="B457" s="2" t="str">
        <x:v>Micronesia (Federated States of)</x:v>
      </x:c>
      <x:c r="C457" s="2" t="n">
        <x:v>2020</x:v>
      </x:c>
      <x:c r="D457" s="2" t="str">
        <x:v>WUP_SURFACE</x:v>
      </x:c>
      <x:c r="E457" s="2" t="str">
        <x:v>horizontal surface / footprint</x:v>
      </x:c>
      <x:c r="F457" s="2" t="str">
        <x:v>m2</x:v>
      </x:c>
      <x:c r="G457" s="17" t="n">
        <x:v>2177822.61</x:v>
      </x:c>
      <x:c r="H457" s="17" t="n">
        <x:v>5493713.999648435</x:v>
      </x:c>
      <x:c r="I457" s="17" t="n">
        <x:f>IF(AND(L457,ISNUMBER(G457),ISNUMBER(H457)),G457-H457,"n.a.")</x:f>
        <x:v>-3315891.389648435</x:v>
      </x:c>
      <x:c r="J457" s="15" t="n">
        <x:f>IF(AND(L457,ISNUMBER(G457),ISNUMBER(H457),H457&gt;0),(G457-H457)/H457,"n.a.")</x:f>
        <x:v>-0.6035791797426354</x:v>
      </x:c>
      <x:c r="K457" s="19" t="n">
        <x:f>IF(ISNUMBER(J457),ABS(J457),"n.a.")</x:f>
        <x:v>0.6035791797426354</x:v>
      </x:c>
      <x:c r="L457" s="13" t="b">
        <x:v>1</x:v>
      </x:c>
      <x:c r="M457" s="13" t="b">
        <x:v>1</x:v>
      </x:c>
      <x:c r="N457" s="2" t="str">
        <x:v>L1_numeric_partition_qualified_not_national_completeness</x:v>
      </x:c>
      <x:c r="O457" s="2" t="str">
        <x:v>none</x:v>
      </x:c>
      <x:c r="P457" s="2" t="str">
        <x:v>historical_GHSL_BU_estimate</x:v>
      </x:c>
      <x:c r="Q457" s="2" t="str">
        <x:v>Published UN country boundaries, L1 class partition, national completeness unproven;2025/2030 source projections</x:v>
      </x:c>
      <x:c r="R457" s="2" t="str">
        <x:v>https://human-settlement.emergency.copernicus.eu/datasets.php</x:v>
      </x:c>
      <x:c r="S457" s="13" t="b">
        <x:v>0</x:v>
      </x:c>
      <x:c r="T457" s="13" t="b">
        <x:v>0</x:v>
      </x:c>
    </x:row>
    <x:row r="458" ht="23" customHeight="1">
      <x:c r="A458" s="2" t="str">
        <x:v>GAB</x:v>
      </x:c>
      <x:c r="B458" s="2" t="str">
        <x:v>Gabon (Gabonese Republic)</x:v>
      </x:c>
      <x:c r="C458" s="2" t="n">
        <x:v>2020</x:v>
      </x:c>
      <x:c r="D458" s="2" t="str">
        <x:v>WUP_SURFACE</x:v>
      </x:c>
      <x:c r="E458" s="2" t="str">
        <x:v>horizontal surface / footprint</x:v>
      </x:c>
      <x:c r="F458" s="2" t="str">
        <x:v>m2</x:v>
      </x:c>
      <x:c r="G458" s="17" t="n">
        <x:v>73743642.56</x:v>
      </x:c>
      <x:c r="H458" s="17" t="n">
        <x:v>145734357.92939937</x:v>
      </x:c>
      <x:c r="I458" s="17" t="n">
        <x:f>IF(AND(L458,ISNUMBER(G458),ISNUMBER(H458)),G458-H458,"n.a.")</x:f>
        <x:v>-71990715.36939937</x:v>
      </x:c>
      <x:c r="J458" s="15" t="n">
        <x:f>IF(AND(L458,ISNUMBER(G458),ISNUMBER(H458),H458&gt;0),(G458-H458)/H458,"n.a.")</x:f>
        <x:v>-0.49398588220545137</x:v>
      </x:c>
      <x:c r="K458" s="19" t="n">
        <x:f>IF(ISNUMBER(J458),ABS(J458),"n.a.")</x:f>
        <x:v>0.49398588220545137</x:v>
      </x:c>
      <x:c r="L458" s="13" t="b">
        <x:v>1</x:v>
      </x:c>
      <x:c r="M458" s="13" t="b">
        <x:v>1</x:v>
      </x:c>
      <x:c r="N458" s="2" t="str">
        <x:v>L1_numeric_partition_qualified_not_national_completeness</x:v>
      </x:c>
      <x:c r="O458" s="2" t="str">
        <x:v>none</x:v>
      </x:c>
      <x:c r="P458" s="2" t="str">
        <x:v>historical_GHSL_BU_estimate</x:v>
      </x:c>
      <x:c r="Q458" s="2" t="str">
        <x:v>Published UN country boundaries, L1 class partition, national completeness unproven;2025/2030 source projections</x:v>
      </x:c>
      <x:c r="R458" s="2" t="str">
        <x:v>https://human-settlement.emergency.copernicus.eu/datasets.php</x:v>
      </x:c>
      <x:c r="S458" s="13" t="b">
        <x:v>0</x:v>
      </x:c>
      <x:c r="T458" s="13" t="b">
        <x:v>0</x:v>
      </x:c>
    </x:row>
    <x:row r="459" ht="23" customHeight="1">
      <x:c r="A459" s="2" t="str">
        <x:v>GBR</x:v>
      </x:c>
      <x:c r="B459" s="2" t="str">
        <x:v>United Kingdom of Great Britain and Northern Ireland</x:v>
      </x:c>
      <x:c r="C459" s="2" t="n">
        <x:v>2020</x:v>
      </x:c>
      <x:c r="D459" s="2" t="str">
        <x:v>WUP_SURFACE</x:v>
      </x:c>
      <x:c r="E459" s="2" t="str">
        <x:v>horizontal surface / footprint</x:v>
      </x:c>
      <x:c r="F459" s="2" t="str">
        <x:v>m2</x:v>
      </x:c>
      <x:c r="G459" s="17" t="n">
        <x:v>3400930204.99</x:v>
      </x:c>
      <x:c r="H459" s="17" t="n">
        <x:v>5575801402.085568</x:v>
      </x:c>
      <x:c r="I459" s="17" t="n">
        <x:f>IF(AND(L459,ISNUMBER(G459),ISNUMBER(H459)),G459-H459,"n.a.")</x:f>
        <x:v>-2174871197.0955687</x:v>
      </x:c>
      <x:c r="J459" s="15" t="n">
        <x:f>IF(AND(L459,ISNUMBER(G459),ISNUMBER(H459),H459&gt;0),(G459-H459)/H459,"n.a.")</x:f>
        <x:v>-0.39005535532203167</x:v>
      </x:c>
      <x:c r="K459" s="19" t="n">
        <x:f>IF(ISNUMBER(J459),ABS(J459),"n.a.")</x:f>
        <x:v>0.39005535532203167</x:v>
      </x:c>
      <x:c r="L459" s="13" t="b">
        <x:v>1</x:v>
      </x:c>
      <x:c r="M459" s="13" t="b">
        <x:v>1</x:v>
      </x:c>
      <x:c r="N459" s="2" t="str">
        <x:v>L1_numeric_partition_qualified_not_national_completeness</x:v>
      </x:c>
      <x:c r="O459" s="2" t="str">
        <x:v>none</x:v>
      </x:c>
      <x:c r="P459" s="2" t="str">
        <x:v>historical_GHSL_BU_estimate</x:v>
      </x:c>
      <x:c r="Q459" s="2" t="str">
        <x:v>Published UN country boundaries, L1 class partition, national completeness unproven;2025/2030 source projections</x:v>
      </x:c>
      <x:c r="R459" s="2" t="str">
        <x:v>https://human-settlement.emergency.copernicus.eu/datasets.php</x:v>
      </x:c>
      <x:c r="S459" s="13" t="b">
        <x:v>0</x:v>
      </x:c>
      <x:c r="T459" s="13" t="b">
        <x:v>0</x:v>
      </x:c>
    </x:row>
    <x:row r="460" ht="23" customHeight="1">
      <x:c r="A460" s="2" t="str">
        <x:v>GEO</x:v>
      </x:c>
      <x:c r="B460" s="2" t="str">
        <x:v>Georgia</x:v>
      </x:c>
      <x:c r="C460" s="2" t="n">
        <x:v>2020</x:v>
      </x:c>
      <x:c r="D460" s="2" t="str">
        <x:v>WUP_SURFACE</x:v>
      </x:c>
      <x:c r="E460" s="2" t="str">
        <x:v>horizontal surface / footprint</x:v>
      </x:c>
      <x:c r="F460" s="2" t="str">
        <x:v>m2</x:v>
      </x:c>
      <x:c r="G460" s="17" t="n">
        <x:v>242256071.04</x:v>
      </x:c>
      <x:c r="H460" s="17" t="n">
        <x:v>495299797.9398166</x:v>
      </x:c>
      <x:c r="I460" s="17" t="n">
        <x:f>IF(AND(L460,ISNUMBER(G460),ISNUMBER(H460)),G460-H460,"n.a.")</x:f>
        <x:v>-253043726.8998166</x:v>
      </x:c>
      <x:c r="J460" s="15" t="n">
        <x:f>IF(AND(L460,ISNUMBER(G460),ISNUMBER(H460),H460&gt;0),(G460-H460)/H460,"n.a.")</x:f>
        <x:v>-0.5108900265098911</x:v>
      </x:c>
      <x:c r="K460" s="19" t="n">
        <x:f>IF(ISNUMBER(J460),ABS(J460),"n.a.")</x:f>
        <x:v>0.5108900265098911</x:v>
      </x:c>
      <x:c r="L460" s="13" t="b">
        <x:v>1</x:v>
      </x:c>
      <x:c r="M460" s="13" t="b">
        <x:v>1</x:v>
      </x:c>
      <x:c r="N460" s="2" t="str">
        <x:v>L1_numeric_partition_qualified_not_national_completeness</x:v>
      </x:c>
      <x:c r="O460" s="2" t="str">
        <x:v>none</x:v>
      </x:c>
      <x:c r="P460" s="2" t="str">
        <x:v>historical_GHSL_BU_estimate</x:v>
      </x:c>
      <x:c r="Q460" s="2" t="str">
        <x:v>Published UN country boundaries, L1 class partition, national completeness unproven;2025/2030 source projections</x:v>
      </x:c>
      <x:c r="R460" s="2" t="str">
        <x:v>https://human-settlement.emergency.copernicus.eu/datasets.php</x:v>
      </x:c>
      <x:c r="S460" s="13" t="b">
        <x:v>0</x:v>
      </x:c>
      <x:c r="T460" s="13" t="b">
        <x:v>0</x:v>
      </x:c>
    </x:row>
    <x:row r="461" ht="23" customHeight="1">
      <x:c r="A461" s="2" t="str">
        <x:v>GHA</x:v>
      </x:c>
      <x:c r="B461" s="2" t="str">
        <x:v>Ghana (Republic of)</x:v>
      </x:c>
      <x:c r="C461" s="2" t="n">
        <x:v>2020</x:v>
      </x:c>
      <x:c r="D461" s="2" t="str">
        <x:v>WUP_SURFACE</x:v>
      </x:c>
      <x:c r="E461" s="2" t="str">
        <x:v>horizontal surface / footprint</x:v>
      </x:c>
      <x:c r="F461" s="2" t="str">
        <x:v>m2</x:v>
      </x:c>
      <x:c r="G461" s="17" t="n">
        <x:v>958424622.62</x:v>
      </x:c>
      <x:c r="H461" s="17" t="n">
        <x:v>1930651519.0645432</x:v>
      </x:c>
      <x:c r="I461" s="17" t="n">
        <x:f>IF(AND(L461,ISNUMBER(G461),ISNUMBER(H461)),G461-H461,"n.a.")</x:f>
        <x:v>-972226896.4445432</x:v>
      </x:c>
      <x:c r="J461" s="15" t="n">
        <x:f>IF(AND(L461,ISNUMBER(G461),ISNUMBER(H461),H461&gt;0),(G461-H461)/H461,"n.a.")</x:f>
        <x:v>-0.503574511942795</x:v>
      </x:c>
      <x:c r="K461" s="19" t="n">
        <x:f>IF(ISNUMBER(J461),ABS(J461),"n.a.")</x:f>
        <x:v>0.503574511942795</x:v>
      </x:c>
      <x:c r="L461" s="13" t="b">
        <x:v>1</x:v>
      </x:c>
      <x:c r="M461" s="13" t="b">
        <x:v>1</x:v>
      </x:c>
      <x:c r="N461" s="2" t="str">
        <x:v>L1_numeric_partition_qualified_not_national_completeness</x:v>
      </x:c>
      <x:c r="O461" s="2" t="str">
        <x:v>none</x:v>
      </x:c>
      <x:c r="P461" s="2" t="str">
        <x:v>historical_GHSL_BU_estimate</x:v>
      </x:c>
      <x:c r="Q461" s="2" t="str">
        <x:v>Published UN country boundaries, L1 class partition, national completeness unproven;2025/2030 source projections</x:v>
      </x:c>
      <x:c r="R461" s="2" t="str">
        <x:v>https://human-settlement.emergency.copernicus.eu/datasets.php</x:v>
      </x:c>
      <x:c r="S461" s="13" t="b">
        <x:v>0</x:v>
      </x:c>
      <x:c r="T461" s="13" t="b">
        <x:v>0</x:v>
      </x:c>
    </x:row>
    <x:row r="462" ht="23" customHeight="1">
      <x:c r="A462" s="2" t="str">
        <x:v>GIN</x:v>
      </x:c>
      <x:c r="B462" s="2" t="str">
        <x:v>Guinea (Republic of)</x:v>
      </x:c>
      <x:c r="C462" s="2" t="n">
        <x:v>2020</x:v>
      </x:c>
      <x:c r="D462" s="2" t="str">
        <x:v>WUP_SURFACE</x:v>
      </x:c>
      <x:c r="E462" s="2" t="str">
        <x:v>horizontal surface / footprint</x:v>
      </x:c>
      <x:c r="F462" s="2" t="str">
        <x:v>m2</x:v>
      </x:c>
      <x:c r="G462" s="17" t="n">
        <x:v>277637578.23</x:v>
      </x:c>
      <x:c r="H462" s="17" t="n">
        <x:v>649763986.9718647</x:v>
      </x:c>
      <x:c r="I462" s="17" t="n">
        <x:f>IF(AND(L462,ISNUMBER(G462),ISNUMBER(H462)),G462-H462,"n.a.")</x:f>
        <x:v>-372126408.7418647</x:v>
      </x:c>
      <x:c r="J462" s="15" t="n">
        <x:f>IF(AND(L462,ISNUMBER(G462),ISNUMBER(H462),H462&gt;0),(G462-H462)/H462,"n.a.")</x:f>
        <x:v>-0.5727101166011191</x:v>
      </x:c>
      <x:c r="K462" s="19" t="n">
        <x:f>IF(ISNUMBER(J462),ABS(J462),"n.a.")</x:f>
        <x:v>0.5727101166011191</x:v>
      </x:c>
      <x:c r="L462" s="13" t="b">
        <x:v>1</x:v>
      </x:c>
      <x:c r="M462" s="13" t="b">
        <x:v>1</x:v>
      </x:c>
      <x:c r="N462" s="2" t="str">
        <x:v>L1_numeric_partition_qualified_not_national_completeness</x:v>
      </x:c>
      <x:c r="O462" s="2" t="str">
        <x:v>none</x:v>
      </x:c>
      <x:c r="P462" s="2" t="str">
        <x:v>historical_GHSL_BU_estimate</x:v>
      </x:c>
      <x:c r="Q462" s="2" t="str">
        <x:v>Published UN country boundaries, L1 class partition, national completeness unproven;2025/2030 source projections</x:v>
      </x:c>
      <x:c r="R462" s="2" t="str">
        <x:v>https://human-settlement.emergency.copernicus.eu/datasets.php</x:v>
      </x:c>
      <x:c r="S462" s="13" t="b">
        <x:v>0</x:v>
      </x:c>
      <x:c r="T462" s="13" t="b">
        <x:v>0</x:v>
      </x:c>
    </x:row>
    <x:row r="463" ht="23" customHeight="1">
      <x:c r="A463" s="2" t="str">
        <x:v>GMB</x:v>
      </x:c>
      <x:c r="B463" s="2" t="str">
        <x:v>Gambia (Republic of the)</x:v>
      </x:c>
      <x:c r="C463" s="2" t="n">
        <x:v>2020</x:v>
      </x:c>
      <x:c r="D463" s="2" t="str">
        <x:v>WUP_SURFACE</x:v>
      </x:c>
      <x:c r="E463" s="2" t="str">
        <x:v>horizontal surface / footprint</x:v>
      </x:c>
      <x:c r="F463" s="2" t="str">
        <x:v>m2</x:v>
      </x:c>
      <x:c r="G463" s="17" t="n">
        <x:v>56875154.53</x:v>
      </x:c>
      <x:c r="H463" s="17" t="n">
        <x:v>114650843.82510397</x:v>
      </x:c>
      <x:c r="I463" s="17" t="n">
        <x:f>IF(AND(L463,ISNUMBER(G463),ISNUMBER(H463)),G463-H463,"n.a.")</x:f>
        <x:v>-57775689.29510397</x:v>
      </x:c>
      <x:c r="J463" s="15" t="n">
        <x:f>IF(AND(L463,ISNUMBER(G463),ISNUMBER(H463),H463&gt;0),(G463-H463)/H463,"n.a.")</x:f>
        <x:v>-0.5039272923559015</x:v>
      </x:c>
      <x:c r="K463" s="19" t="n">
        <x:f>IF(ISNUMBER(J463),ABS(J463),"n.a.")</x:f>
        <x:v>0.5039272923559015</x:v>
      </x:c>
      <x:c r="L463" s="13" t="b">
        <x:v>1</x:v>
      </x:c>
      <x:c r="M463" s="13" t="b">
        <x:v>1</x:v>
      </x:c>
      <x:c r="N463" s="2" t="str">
        <x:v>L1_numeric_partition_qualified_not_national_completeness</x:v>
      </x:c>
      <x:c r="O463" s="2" t="str">
        <x:v>none</x:v>
      </x:c>
      <x:c r="P463" s="2" t="str">
        <x:v>historical_GHSL_BU_estimate</x:v>
      </x:c>
      <x:c r="Q463" s="2" t="str">
        <x:v>Published UN country boundaries, L1 class partition, national completeness unproven;2025/2030 source projections</x:v>
      </x:c>
      <x:c r="R463" s="2" t="str">
        <x:v>https://human-settlement.emergency.copernicus.eu/datasets.php</x:v>
      </x:c>
      <x:c r="S463" s="13" t="b">
        <x:v>0</x:v>
      </x:c>
      <x:c r="T463" s="13" t="b">
        <x:v>0</x:v>
      </x:c>
    </x:row>
    <x:row r="464" ht="23" customHeight="1">
      <x:c r="A464" s="2" t="str">
        <x:v>GNB</x:v>
      </x:c>
      <x:c r="B464" s="2" t="str">
        <x:v>Guinea-Bissau (Republic of)</x:v>
      </x:c>
      <x:c r="C464" s="2" t="n">
        <x:v>2020</x:v>
      </x:c>
      <x:c r="D464" s="2" t="str">
        <x:v>WUP_SURFACE</x:v>
      </x:c>
      <x:c r="E464" s="2" t="str">
        <x:v>horizontal surface / footprint</x:v>
      </x:c>
      <x:c r="F464" s="2" t="str">
        <x:v>m2</x:v>
      </x:c>
      <x:c r="G464" s="17" t="n">
        <x:v>48952674.5</x:v>
      </x:c>
      <x:c r="H464" s="17" t="n">
        <x:v>96952541.94673587</x:v>
      </x:c>
      <x:c r="I464" s="17" t="n">
        <x:f>IF(AND(L464,ISNUMBER(G464),ISNUMBER(H464)),G464-H464,"n.a.")</x:f>
        <x:v>-47999867.446735874</x:v>
      </x:c>
      <x:c r="J464" s="15" t="n">
        <x:f>IF(AND(L464,ISNUMBER(G464),ISNUMBER(H464),H464&gt;0),(G464-H464)/H464,"n.a.")</x:f>
        <x:v>-0.4950862193288981</x:v>
      </x:c>
      <x:c r="K464" s="19" t="n">
        <x:f>IF(ISNUMBER(J464),ABS(J464),"n.a.")</x:f>
        <x:v>0.4950862193288981</x:v>
      </x:c>
      <x:c r="L464" s="13" t="b">
        <x:v>1</x:v>
      </x:c>
      <x:c r="M464" s="13" t="b">
        <x:v>1</x:v>
      </x:c>
      <x:c r="N464" s="2" t="str">
        <x:v>L1_numeric_partition_qualified_not_national_completeness</x:v>
      </x:c>
      <x:c r="O464" s="2" t="str">
        <x:v>none</x:v>
      </x:c>
      <x:c r="P464" s="2" t="str">
        <x:v>historical_GHSL_BU_estimate</x:v>
      </x:c>
      <x:c r="Q464" s="2" t="str">
        <x:v>Published UN country boundaries, L1 class partition, national completeness unproven;2025/2030 source projections</x:v>
      </x:c>
      <x:c r="R464" s="2" t="str">
        <x:v>https://human-settlement.emergency.copernicus.eu/datasets.php</x:v>
      </x:c>
      <x:c r="S464" s="13" t="b">
        <x:v>0</x:v>
      </x:c>
      <x:c r="T464" s="13" t="b">
        <x:v>0</x:v>
      </x:c>
    </x:row>
    <x:row r="465" ht="23" customHeight="1">
      <x:c r="A465" s="2" t="str">
        <x:v>GNQ</x:v>
      </x:c>
      <x:c r="B465" s="2" t="str">
        <x:v>Equatorial Guinea (Republic of)</x:v>
      </x:c>
      <x:c r="C465" s="2" t="n">
        <x:v>2020</x:v>
      </x:c>
      <x:c r="D465" s="2" t="str">
        <x:v>WUP_SURFACE</x:v>
      </x:c>
      <x:c r="E465" s="2" t="str">
        <x:v>horizontal surface / footprint</x:v>
      </x:c>
      <x:c r="F465" s="2" t="str">
        <x:v>m2</x:v>
      </x:c>
      <x:c r="G465" s="17" t="n">
        <x:v>34102626.52</x:v>
      </x:c>
      <x:c r="H465" s="17" t="n">
        <x:v>57630347.0060426</x:v>
      </x:c>
      <x:c r="I465" s="17" t="n">
        <x:f>IF(AND(L465,ISNUMBER(G465),ISNUMBER(H465)),G465-H465,"n.a.")</x:f>
        <x:v>-23527720.486042596</x:v>
      </x:c>
      <x:c r="J465" s="15" t="n">
        <x:f>IF(AND(L465,ISNUMBER(G465),ISNUMBER(H465),H465&gt;0),(G465-H465)/H465,"n.a.")</x:f>
        <x:v>-0.40825227867490876</x:v>
      </x:c>
      <x:c r="K465" s="19" t="n">
        <x:f>IF(ISNUMBER(J465),ABS(J465),"n.a.")</x:f>
        <x:v>0.40825227867490876</x:v>
      </x:c>
      <x:c r="L465" s="13" t="b">
        <x:v>1</x:v>
      </x:c>
      <x:c r="M465" s="13" t="b">
        <x:v>1</x:v>
      </x:c>
      <x:c r="N465" s="2" t="str">
        <x:v>L1_numeric_partition_qualified_not_national_completeness</x:v>
      </x:c>
      <x:c r="O465" s="2" t="str">
        <x:v>none</x:v>
      </x:c>
      <x:c r="P465" s="2" t="str">
        <x:v>historical_GHSL_BU_estimate</x:v>
      </x:c>
      <x:c r="Q465" s="2" t="str">
        <x:v>Published UN country boundaries, L1 class partition, national completeness unproven;2025/2030 source projections</x:v>
      </x:c>
      <x:c r="R465" s="2" t="str">
        <x:v>https://human-settlement.emergency.copernicus.eu/datasets.php</x:v>
      </x:c>
      <x:c r="S465" s="13" t="b">
        <x:v>0</x:v>
      </x:c>
      <x:c r="T465" s="13" t="b">
        <x:v>0</x:v>
      </x:c>
    </x:row>
    <x:row r="466" ht="23" customHeight="1">
      <x:c r="A466" s="2" t="str">
        <x:v>GRC</x:v>
      </x:c>
      <x:c r="B466" s="2" t="str">
        <x:v>Greece (Hellenic Republic)</x:v>
      </x:c>
      <x:c r="C466" s="2" t="n">
        <x:v>2020</x:v>
      </x:c>
      <x:c r="D466" s="2" t="str">
        <x:v>WUP_SURFACE</x:v>
      </x:c>
      <x:c r="E466" s="2" t="str">
        <x:v>horizontal surface / footprint</x:v>
      </x:c>
      <x:c r="F466" s="2" t="str">
        <x:v>m2</x:v>
      </x:c>
      <x:c r="G466" s="17" t="n">
        <x:v>853851739.67</x:v>
      </x:c>
      <x:c r="H466" s="17" t="n">
        <x:v>1184598146.8152592</x:v>
      </x:c>
      <x:c r="I466" s="17" t="n">
        <x:f>IF(AND(L466,ISNUMBER(G466),ISNUMBER(H466)),G466-H466,"n.a.")</x:f>
        <x:v>-330746407.14525926</x:v>
      </x:c>
      <x:c r="J466" s="15" t="n">
        <x:f>IF(AND(L466,ISNUMBER(G466),ISNUMBER(H466),H466&gt;0),(G466-H466)/H466,"n.a.")</x:f>
        <x:v>-0.2792055753543568</x:v>
      </x:c>
      <x:c r="K466" s="19" t="n">
        <x:f>IF(ISNUMBER(J466),ABS(J466),"n.a.")</x:f>
        <x:v>0.2792055753543568</x:v>
      </x:c>
      <x:c r="L466" s="13" t="b">
        <x:v>1</x:v>
      </x:c>
      <x:c r="M466" s="13" t="b">
        <x:v>1</x:v>
      </x:c>
      <x:c r="N466" s="2" t="str">
        <x:v>L1_numeric_partition_qualified_not_national_completeness</x:v>
      </x:c>
      <x:c r="O466" s="2" t="str">
        <x:v>none</x:v>
      </x:c>
      <x:c r="P466" s="2" t="str">
        <x:v>historical_GHSL_BU_estimate</x:v>
      </x:c>
      <x:c r="Q466" s="2" t="str">
        <x:v>Published UN country boundaries, L1 class partition, national completeness unproven;2025/2030 source projections</x:v>
      </x:c>
      <x:c r="R466" s="2" t="str">
        <x:v>https://human-settlement.emergency.copernicus.eu/datasets.php</x:v>
      </x:c>
      <x:c r="S466" s="13" t="b">
        <x:v>0</x:v>
      </x:c>
      <x:c r="T466" s="13" t="b">
        <x:v>0</x:v>
      </x:c>
    </x:row>
    <x:row r="467" ht="23" customHeight="1">
      <x:c r="A467" s="2" t="str">
        <x:v>GRD</x:v>
      </x:c>
      <x:c r="B467" s="2" t="str">
        <x:v>Grenada</x:v>
      </x:c>
      <x:c r="C467" s="2" t="n">
        <x:v>2020</x:v>
      </x:c>
      <x:c r="D467" s="2" t="str">
        <x:v>WUP_SURFACE</x:v>
      </x:c>
      <x:c r="E467" s="2" t="str">
        <x:v>horizontal surface / footprint</x:v>
      </x:c>
      <x:c r="F467" s="2" t="str">
        <x:v>m2</x:v>
      </x:c>
      <x:c r="G467" s="17" t="n">
        <x:v>6904998.42</x:v>
      </x:c>
      <x:c r="H467" s="17" t="n">
        <x:v>9899280.970064864</x:v>
      </x:c>
      <x:c r="I467" s="17" t="n">
        <x:f>IF(AND(L467,ISNUMBER(G467),ISNUMBER(H467)),G467-H467,"n.a.")</x:f>
        <x:v>-2994282.5500648636</x:v>
      </x:c>
      <x:c r="J467" s="15" t="n">
        <x:f>IF(AND(L467,ISNUMBER(G467),ISNUMBER(H467),H467&gt;0),(G467-H467)/H467,"n.a.")</x:f>
        <x:v>-0.3024747513601732</x:v>
      </x:c>
      <x:c r="K467" s="19" t="n">
        <x:f>IF(ISNUMBER(J467),ABS(J467),"n.a.")</x:f>
        <x:v>0.3024747513601732</x:v>
      </x:c>
      <x:c r="L467" s="13" t="b">
        <x:v>1</x:v>
      </x:c>
      <x:c r="M467" s="13" t="b">
        <x:v>1</x:v>
      </x:c>
      <x:c r="N467" s="2" t="str">
        <x:v>L1_numeric_partition_qualified_not_national_completeness</x:v>
      </x:c>
      <x:c r="O467" s="2" t="str">
        <x:v>none</x:v>
      </x:c>
      <x:c r="P467" s="2" t="str">
        <x:v>historical_GHSL_BU_estimate</x:v>
      </x:c>
      <x:c r="Q467" s="2" t="str">
        <x:v>Published UN country boundaries, L1 class partition, national completeness unproven;2025/2030 source projections</x:v>
      </x:c>
      <x:c r="R467" s="2" t="str">
        <x:v>https://human-settlement.emergency.copernicus.eu/datasets.php</x:v>
      </x:c>
      <x:c r="S467" s="13" t="b">
        <x:v>0</x:v>
      </x:c>
      <x:c r="T467" s="13" t="b">
        <x:v>0</x:v>
      </x:c>
    </x:row>
    <x:row r="468" ht="23" customHeight="1">
      <x:c r="A468" s="2" t="str">
        <x:v>GTM</x:v>
      </x:c>
      <x:c r="B468" s="2" t="str">
        <x:v>Guatemala (Republic of)</x:v>
      </x:c>
      <x:c r="C468" s="2" t="n">
        <x:v>2020</x:v>
      </x:c>
      <x:c r="D468" s="2" t="str">
        <x:v>WUP_SURFACE</x:v>
      </x:c>
      <x:c r="E468" s="2" t="str">
        <x:v>horizontal surface / footprint</x:v>
      </x:c>
      <x:c r="F468" s="2" t="str">
        <x:v>m2</x:v>
      </x:c>
      <x:c r="G468" s="17" t="n">
        <x:v>599114028.81</x:v>
      </x:c>
      <x:c r="H468" s="17" t="n">
        <x:v>933677044.955574</x:v>
      </x:c>
      <x:c r="I468" s="17" t="n">
        <x:f>IF(AND(L468,ISNUMBER(G468),ISNUMBER(H468)),G468-H468,"n.a.")</x:f>
        <x:v>-334563016.1455741</x:v>
      </x:c>
      <x:c r="J468" s="15" t="n">
        <x:f>IF(AND(L468,ISNUMBER(G468),ISNUMBER(H468),H468&gt;0),(G468-H468)/H468,"n.a.")</x:f>
        <x:v>-0.3583284155406147</x:v>
      </x:c>
      <x:c r="K468" s="19" t="n">
        <x:f>IF(ISNUMBER(J468),ABS(J468),"n.a.")</x:f>
        <x:v>0.3583284155406147</x:v>
      </x:c>
      <x:c r="L468" s="13" t="b">
        <x:v>1</x:v>
      </x:c>
      <x:c r="M468" s="13" t="b">
        <x:v>1</x:v>
      </x:c>
      <x:c r="N468" s="2" t="str">
        <x:v>L1_numeric_partition_qualified_not_national_completeness</x:v>
      </x:c>
      <x:c r="O468" s="2" t="str">
        <x:v>none</x:v>
      </x:c>
      <x:c r="P468" s="2" t="str">
        <x:v>historical_GHSL_BU_estimate</x:v>
      </x:c>
      <x:c r="Q468" s="2" t="str">
        <x:v>Published UN country boundaries, L1 class partition, national completeness unproven;2025/2030 source projections</x:v>
      </x:c>
      <x:c r="R468" s="2" t="str">
        <x:v>https://human-settlement.emergency.copernicus.eu/datasets.php</x:v>
      </x:c>
      <x:c r="S468" s="13" t="b">
        <x:v>0</x:v>
      </x:c>
      <x:c r="T468" s="13" t="b">
        <x:v>0</x:v>
      </x:c>
    </x:row>
    <x:row r="469" ht="23" customHeight="1">
      <x:c r="A469" s="2" t="str">
        <x:v>GUY</x:v>
      </x:c>
      <x:c r="B469" s="2" t="str">
        <x:v>Guyana (Co-operative Republic of)</x:v>
      </x:c>
      <x:c r="C469" s="2" t="n">
        <x:v>2020</x:v>
      </x:c>
      <x:c r="D469" s="2" t="str">
        <x:v>WUP_SURFACE</x:v>
      </x:c>
      <x:c r="E469" s="2" t="str">
        <x:v>horizontal surface / footprint</x:v>
      </x:c>
      <x:c r="F469" s="2" t="str">
        <x:v>m2</x:v>
      </x:c>
      <x:c r="G469" s="17" t="n">
        <x:v>46462035.66</x:v>
      </x:c>
      <x:c r="H469" s="17" t="n">
        <x:v>58881835.14478123</x:v>
      </x:c>
      <x:c r="I469" s="17" t="n">
        <x:f>IF(AND(L469,ISNUMBER(G469),ISNUMBER(H469)),G469-H469,"n.a.")</x:f>
        <x:v>-12419799.484781235</x:v>
      </x:c>
      <x:c r="J469" s="15" t="n">
        <x:f>IF(AND(L469,ISNUMBER(G469),ISNUMBER(H469),H469&gt;0),(G469-H469)/H469,"n.a.")</x:f>
        <x:v>-0.2109275204185279</x:v>
      </x:c>
      <x:c r="K469" s="19" t="n">
        <x:f>IF(ISNUMBER(J469),ABS(J469),"n.a.")</x:f>
        <x:v>0.2109275204185279</x:v>
      </x:c>
      <x:c r="L469" s="13" t="b">
        <x:v>1</x:v>
      </x:c>
      <x:c r="M469" s="13" t="b">
        <x:v>1</x:v>
      </x:c>
      <x:c r="N469" s="2" t="str">
        <x:v>L1_numeric_partition_qualified_not_national_completeness</x:v>
      </x:c>
      <x:c r="O469" s="2" t="str">
        <x:v>none</x:v>
      </x:c>
      <x:c r="P469" s="2" t="str">
        <x:v>historical_GHSL_BU_estimate</x:v>
      </x:c>
      <x:c r="Q469" s="2" t="str">
        <x:v>Published UN country boundaries, L1 class partition, national completeness unproven;2025/2030 source projections</x:v>
      </x:c>
      <x:c r="R469" s="2" t="str">
        <x:v>https://human-settlement.emergency.copernicus.eu/datasets.php</x:v>
      </x:c>
      <x:c r="S469" s="13" t="b">
        <x:v>0</x:v>
      </x:c>
      <x:c r="T469" s="13" t="b">
        <x:v>0</x:v>
      </x:c>
    </x:row>
    <x:row r="470" ht="23" customHeight="1">
      <x:c r="A470" s="2" t="str">
        <x:v>HND</x:v>
      </x:c>
      <x:c r="B470" s="2" t="str">
        <x:v>Honduras (Republic of)</x:v>
      </x:c>
      <x:c r="C470" s="2" t="n">
        <x:v>2020</x:v>
      </x:c>
      <x:c r="D470" s="2" t="str">
        <x:v>WUP_SURFACE</x:v>
      </x:c>
      <x:c r="E470" s="2" t="str">
        <x:v>horizontal surface / footprint</x:v>
      </x:c>
      <x:c r="F470" s="2" t="str">
        <x:v>m2</x:v>
      </x:c>
      <x:c r="G470" s="17" t="n">
        <x:v>335660713.27</x:v>
      </x:c>
      <x:c r="H470" s="17" t="n">
        <x:v>565893835.2078419</x:v>
      </x:c>
      <x:c r="I470" s="17" t="n">
        <x:f>IF(AND(L470,ISNUMBER(G470),ISNUMBER(H470)),G470-H470,"n.a.")</x:f>
        <x:v>-230233121.9378419</x:v>
      </x:c>
      <x:c r="J470" s="15" t="n">
        <x:f>IF(AND(L470,ISNUMBER(G470),ISNUMBER(H470),H470&gt;0),(G470-H470)/H470,"n.a.")</x:f>
        <x:v>-0.4068486129616198</x:v>
      </x:c>
      <x:c r="K470" s="19" t="n">
        <x:f>IF(ISNUMBER(J470),ABS(J470),"n.a.")</x:f>
        <x:v>0.4068486129616198</x:v>
      </x:c>
      <x:c r="L470" s="13" t="b">
        <x:v>1</x:v>
      </x:c>
      <x:c r="M470" s="13" t="b">
        <x:v>1</x:v>
      </x:c>
      <x:c r="N470" s="2" t="str">
        <x:v>L1_numeric_partition_qualified_not_national_completeness</x:v>
      </x:c>
      <x:c r="O470" s="2" t="str">
        <x:v>none</x:v>
      </x:c>
      <x:c r="P470" s="2" t="str">
        <x:v>historical_GHSL_BU_estimate</x:v>
      </x:c>
      <x:c r="Q470" s="2" t="str">
        <x:v>Published UN country boundaries, L1 class partition, national completeness unproven;2025/2030 source projections</x:v>
      </x:c>
      <x:c r="R470" s="2" t="str">
        <x:v>https://human-settlement.emergency.copernicus.eu/datasets.php</x:v>
      </x:c>
      <x:c r="S470" s="13" t="b">
        <x:v>0</x:v>
      </x:c>
      <x:c r="T470" s="13" t="b">
        <x:v>0</x:v>
      </x:c>
    </x:row>
    <x:row r="471" ht="23" customHeight="1">
      <x:c r="A471" s="2" t="str">
        <x:v>HRV</x:v>
      </x:c>
      <x:c r="B471" s="2" t="str">
        <x:v>Croatia (Republic of)</x:v>
      </x:c>
      <x:c r="C471" s="2" t="n">
        <x:v>2020</x:v>
      </x:c>
      <x:c r="D471" s="2" t="str">
        <x:v>WUP_SURFACE</x:v>
      </x:c>
      <x:c r="E471" s="2" t="str">
        <x:v>horizontal surface / footprint</x:v>
      </x:c>
      <x:c r="F471" s="2" t="str">
        <x:v>m2</x:v>
      </x:c>
      <x:c r="G471" s="17" t="n">
        <x:v>361520718.43</x:v>
      </x:c>
      <x:c r="H471" s="17" t="n">
        <x:v>513991735.8921723</x:v>
      </x:c>
      <x:c r="I471" s="17" t="n">
        <x:f>IF(AND(L471,ISNUMBER(G471),ISNUMBER(H471)),G471-H471,"n.a.")</x:f>
        <x:v>-152471017.46217227</x:v>
      </x:c>
      <x:c r="J471" s="15" t="n">
        <x:f>IF(AND(L471,ISNUMBER(G471),ISNUMBER(H471),H471&gt;0),(G471-H471)/H471,"n.a.")</x:f>
        <x:v>-0.2966409901464999</x:v>
      </x:c>
      <x:c r="K471" s="19" t="n">
        <x:f>IF(ISNUMBER(J471),ABS(J471),"n.a.")</x:f>
        <x:v>0.2966409901464999</x:v>
      </x:c>
      <x:c r="L471" s="13" t="b">
        <x:v>1</x:v>
      </x:c>
      <x:c r="M471" s="13" t="b">
        <x:v>1</x:v>
      </x:c>
      <x:c r="N471" s="2" t="str">
        <x:v>L1_numeric_partition_qualified_not_national_completeness</x:v>
      </x:c>
      <x:c r="O471" s="2" t="str">
        <x:v>none</x:v>
      </x:c>
      <x:c r="P471" s="2" t="str">
        <x:v>historical_GHSL_BU_estimate</x:v>
      </x:c>
      <x:c r="Q471" s="2" t="str">
        <x:v>Published UN country boundaries, L1 class partition, national completeness unproven;2025/2030 source projections</x:v>
      </x:c>
      <x:c r="R471" s="2" t="str">
        <x:v>https://human-settlement.emergency.copernicus.eu/datasets.php</x:v>
      </x:c>
      <x:c r="S471" s="13" t="b">
        <x:v>0</x:v>
      </x:c>
      <x:c r="T471" s="13" t="b">
        <x:v>0</x:v>
      </x:c>
    </x:row>
    <x:row r="472" ht="23" customHeight="1">
      <x:c r="A472" s="2" t="str">
        <x:v>HTI</x:v>
      </x:c>
      <x:c r="B472" s="2" t="str">
        <x:v>Haiti (Republic of)</x:v>
      </x:c>
      <x:c r="C472" s="2" t="n">
        <x:v>2020</x:v>
      </x:c>
      <x:c r="D472" s="2" t="str">
        <x:v>WUP_SURFACE</x:v>
      </x:c>
      <x:c r="E472" s="2" t="str">
        <x:v>horizontal surface / footprint</x:v>
      </x:c>
      <x:c r="F472" s="2" t="str">
        <x:v>m2</x:v>
      </x:c>
      <x:c r="G472" s="17" t="n">
        <x:v>189002396.54</x:v>
      </x:c>
      <x:c r="H472" s="17" t="n">
        <x:v>292667027.0329865</x:v>
      </x:c>
      <x:c r="I472" s="17" t="n">
        <x:f>IF(AND(L472,ISNUMBER(G472),ISNUMBER(H472)),G472-H472,"n.a.")</x:f>
        <x:v>-103664630.49298653</x:v>
      </x:c>
      <x:c r="J472" s="15" t="n">
        <x:f>IF(AND(L472,ISNUMBER(G472),ISNUMBER(H472),H472&gt;0),(G472-H472)/H472,"n.a.")</x:f>
        <x:v>-0.3542067295517458</x:v>
      </x:c>
      <x:c r="K472" s="19" t="n">
        <x:f>IF(ISNUMBER(J472),ABS(J472),"n.a.")</x:f>
        <x:v>0.3542067295517458</x:v>
      </x:c>
      <x:c r="L472" s="13" t="b">
        <x:v>1</x:v>
      </x:c>
      <x:c r="M472" s="13" t="b">
        <x:v>1</x:v>
      </x:c>
      <x:c r="N472" s="2" t="str">
        <x:v>L1_numeric_partition_qualified_not_national_completeness</x:v>
      </x:c>
      <x:c r="O472" s="2" t="str">
        <x:v>none</x:v>
      </x:c>
      <x:c r="P472" s="2" t="str">
        <x:v>historical_GHSL_BU_estimate</x:v>
      </x:c>
      <x:c r="Q472" s="2" t="str">
        <x:v>Published UN country boundaries, L1 class partition, national completeness unproven;2025/2030 source projections</x:v>
      </x:c>
      <x:c r="R472" s="2" t="str">
        <x:v>https://human-settlement.emergency.copernicus.eu/datasets.php</x:v>
      </x:c>
      <x:c r="S472" s="13" t="b">
        <x:v>0</x:v>
      </x:c>
      <x:c r="T472" s="13" t="b">
        <x:v>0</x:v>
      </x:c>
    </x:row>
    <x:row r="473" ht="23" customHeight="1">
      <x:c r="A473" s="2" t="str">
        <x:v>HUN</x:v>
      </x:c>
      <x:c r="B473" s="2" t="str">
        <x:v>Hungary</x:v>
      </x:c>
      <x:c r="C473" s="2" t="n">
        <x:v>2020</x:v>
      </x:c>
      <x:c r="D473" s="2" t="str">
        <x:v>WUP_SURFACE</x:v>
      </x:c>
      <x:c r="E473" s="2" t="str">
        <x:v>horizontal surface / footprint</x:v>
      </x:c>
      <x:c r="F473" s="2" t="str">
        <x:v>m2</x:v>
      </x:c>
      <x:c r="G473" s="17" t="n">
        <x:v>853072780.53</x:v>
      </x:c>
      <x:c r="H473" s="17" t="n">
        <x:v>1296768067.9325144</x:v>
      </x:c>
      <x:c r="I473" s="17" t="n">
        <x:f>IF(AND(L473,ISNUMBER(G473),ISNUMBER(H473)),G473-H473,"n.a.")</x:f>
        <x:v>-443695287.40251446</x:v>
      </x:c>
      <x:c r="J473" s="15" t="n">
        <x:f>IF(AND(L473,ISNUMBER(G473),ISNUMBER(H473),H473&gt;0),(G473-H473)/H473,"n.a.")</x:f>
        <x:v>-0.3421546985729795</x:v>
      </x:c>
      <x:c r="K473" s="19" t="n">
        <x:f>IF(ISNUMBER(J473),ABS(J473),"n.a.")</x:f>
        <x:v>0.3421546985729795</x:v>
      </x:c>
      <x:c r="L473" s="13" t="b">
        <x:v>1</x:v>
      </x:c>
      <x:c r="M473" s="13" t="b">
        <x:v>1</x:v>
      </x:c>
      <x:c r="N473" s="2" t="str">
        <x:v>L1_numeric_partition_qualified_not_national_completeness</x:v>
      </x:c>
      <x:c r="O473" s="2" t="str">
        <x:v>none</x:v>
      </x:c>
      <x:c r="P473" s="2" t="str">
        <x:v>historical_GHSL_BU_estimate</x:v>
      </x:c>
      <x:c r="Q473" s="2" t="str">
        <x:v>Published UN country boundaries, L1 class partition, national completeness unproven;2025/2030 source projections</x:v>
      </x:c>
      <x:c r="R473" s="2" t="str">
        <x:v>https://human-settlement.emergency.copernicus.eu/datasets.php</x:v>
      </x:c>
      <x:c r="S473" s="13" t="b">
        <x:v>0</x:v>
      </x:c>
      <x:c r="T473" s="13" t="b">
        <x:v>0</x:v>
      </x:c>
    </x:row>
    <x:row r="474" ht="23" customHeight="1">
      <x:c r="A474" s="2" t="str">
        <x:v>IDN</x:v>
      </x:c>
      <x:c r="B474" s="2" t="str">
        <x:v>Indonesia (Republic of)</x:v>
      </x:c>
      <x:c r="C474" s="2" t="n">
        <x:v>2020</x:v>
      </x:c>
      <x:c r="D474" s="2" t="str">
        <x:v>WUP_SURFACE</x:v>
      </x:c>
      <x:c r="E474" s="2" t="str">
        <x:v>horizontal surface / footprint</x:v>
      </x:c>
      <x:c r="F474" s="2" t="str">
        <x:v>m2</x:v>
      </x:c>
      <x:c r="G474" s="17" t="n">
        <x:v>10794355074.09</x:v>
      </x:c>
      <x:c r="H474" s="17" t="n">
        <x:v>10555709715.863432</x:v>
      </x:c>
      <x:c r="I474" s="17" t="n">
        <x:f>IF(AND(L474,ISNUMBER(G474),ISNUMBER(H474)),G474-H474,"n.a.")</x:f>
        <x:v>238645358.22656822</x:v>
      </x:c>
      <x:c r="J474" s="15" t="n">
        <x:f>IF(AND(L474,ISNUMBER(G474),ISNUMBER(H474),H474&gt;0),(G474-H474)/H474,"n.a.")</x:f>
        <x:v>0.022608177436702806</x:v>
      </x:c>
      <x:c r="K474" s="19" t="n">
        <x:f>IF(ISNUMBER(J474),ABS(J474),"n.a.")</x:f>
        <x:v>0.022608177436702806</x:v>
      </x:c>
      <x:c r="L474" s="13" t="b">
        <x:v>1</x:v>
      </x:c>
      <x:c r="M474" s="13" t="b">
        <x:v>1</x:v>
      </x:c>
      <x:c r="N474" s="2" t="str">
        <x:v>L1_numeric_partition_qualified_not_national_completeness</x:v>
      </x:c>
      <x:c r="O474" s="2" t="str">
        <x:v>none</x:v>
      </x:c>
      <x:c r="P474" s="2" t="str">
        <x:v>historical_GHSL_BU_estimate</x:v>
      </x:c>
      <x:c r="Q474" s="2" t="str">
        <x:v>Published UN country boundaries, L1 class partition, national completeness unproven;2025/2030 source projections</x:v>
      </x:c>
      <x:c r="R474" s="2" t="str">
        <x:v>https://human-settlement.emergency.copernicus.eu/datasets.php</x:v>
      </x:c>
      <x:c r="S474" s="13" t="b">
        <x:v>0</x:v>
      </x:c>
      <x:c r="T474" s="13" t="b">
        <x:v>0</x:v>
      </x:c>
    </x:row>
    <x:row r="475" ht="23" customHeight="1">
      <x:c r="A475" s="2" t="str">
        <x:v>IND</x:v>
      </x:c>
      <x:c r="B475" s="2" t="str">
        <x:v>India (Republic of)</x:v>
      </x:c>
      <x:c r="C475" s="2" t="n">
        <x:v>2020</x:v>
      </x:c>
      <x:c r="D475" s="2" t="str">
        <x:v>WUP_SURFACE</x:v>
      </x:c>
      <x:c r="E475" s="2" t="str">
        <x:v>horizontal surface / footprint</x:v>
      </x:c>
      <x:c r="F475" s="2" t="str">
        <x:v>m2</x:v>
      </x:c>
      <x:c r="G475" s="17" t="n">
        <x:v>27853638424.04</x:v>
      </x:c>
      <x:c r="H475" s="17" t="n">
        <x:v>38257833490.03374</x:v>
      </x:c>
      <x:c r="I475" s="17" t="n">
        <x:f>IF(AND(L475,ISNUMBER(G475),ISNUMBER(H475)),G475-H475,"n.a.")</x:f>
        <x:v>-10404195065.993736</x:v>
      </x:c>
      <x:c r="J475" s="15" t="n">
        <x:f>IF(AND(L475,ISNUMBER(G475),ISNUMBER(H475),H475&gt;0),(G475-H475)/H475,"n.a.")</x:f>
        <x:v>-0.27194940530817185</x:v>
      </x:c>
      <x:c r="K475" s="19" t="n">
        <x:f>IF(ISNUMBER(J475),ABS(J475),"n.a.")</x:f>
        <x:v>0.27194940530817185</x:v>
      </x:c>
      <x:c r="L475" s="13" t="b">
        <x:v>1</x:v>
      </x:c>
      <x:c r="M475" s="13" t="b">
        <x:v>1</x:v>
      </x:c>
      <x:c r="N475" s="2" t="str">
        <x:v>L1_numeric_partition_qualified_not_national_completeness</x:v>
      </x:c>
      <x:c r="O475" s="2" t="str">
        <x:v>none</x:v>
      </x:c>
      <x:c r="P475" s="2" t="str">
        <x:v>historical_GHSL_BU_estimate</x:v>
      </x:c>
      <x:c r="Q475" s="2" t="str">
        <x:v>Published UN country boundaries, L1 class partition, national completeness unproven;2025/2030 source projections</x:v>
      </x:c>
      <x:c r="R475" s="2" t="str">
        <x:v>https://human-settlement.emergency.copernicus.eu/datasets.php</x:v>
      </x:c>
      <x:c r="S475" s="13" t="b">
        <x:v>0</x:v>
      </x:c>
      <x:c r="T475" s="13" t="b">
        <x:v>0</x:v>
      </x:c>
    </x:row>
    <x:row r="476" ht="23" customHeight="1">
      <x:c r="A476" s="2" t="str">
        <x:v>IRL</x:v>
      </x:c>
      <x:c r="B476" s="2" t="str">
        <x:v>Ireland</x:v>
      </x:c>
      <x:c r="C476" s="2" t="n">
        <x:v>2020</x:v>
      </x:c>
      <x:c r="D476" s="2" t="str">
        <x:v>WUP_SURFACE</x:v>
      </x:c>
      <x:c r="E476" s="2" t="str">
        <x:v>horizontal surface / footprint</x:v>
      </x:c>
      <x:c r="F476" s="2" t="str">
        <x:v>m2</x:v>
      </x:c>
      <x:c r="G476" s="17" t="n">
        <x:v>426553619.4</x:v>
      </x:c>
      <x:c r="H476" s="17" t="n">
        <x:v>733764827.0827649</x:v>
      </x:c>
      <x:c r="I476" s="17" t="n">
        <x:f>IF(AND(L476,ISNUMBER(G476),ISNUMBER(H476)),G476-H476,"n.a.")</x:f>
        <x:v>-307211207.6827649</x:v>
      </x:c>
      <x:c r="J476" s="15" t="n">
        <x:f>IF(AND(L476,ISNUMBER(G476),ISNUMBER(H476),H476&gt;0),(G476-H476)/H476,"n.a.")</x:f>
        <x:v>-0.41867802372614005</x:v>
      </x:c>
      <x:c r="K476" s="19" t="n">
        <x:f>IF(ISNUMBER(J476),ABS(J476),"n.a.")</x:f>
        <x:v>0.41867802372614005</x:v>
      </x:c>
      <x:c r="L476" s="13" t="b">
        <x:v>1</x:v>
      </x:c>
      <x:c r="M476" s="13" t="b">
        <x:v>1</x:v>
      </x:c>
      <x:c r="N476" s="2" t="str">
        <x:v>L1_numeric_partition_qualified_not_national_completeness</x:v>
      </x:c>
      <x:c r="O476" s="2" t="str">
        <x:v>none</x:v>
      </x:c>
      <x:c r="P476" s="2" t="str">
        <x:v>historical_GHSL_BU_estimate</x:v>
      </x:c>
      <x:c r="Q476" s="2" t="str">
        <x:v>Published UN country boundaries, L1 class partition, national completeness unproven;2025/2030 source projections</x:v>
      </x:c>
      <x:c r="R476" s="2" t="str">
        <x:v>https://human-settlement.emergency.copernicus.eu/datasets.php</x:v>
      </x:c>
      <x:c r="S476" s="13" t="b">
        <x:v>0</x:v>
      </x:c>
      <x:c r="T476" s="13" t="b">
        <x:v>0</x:v>
      </x:c>
    </x:row>
    <x:row r="477" ht="23" customHeight="1">
      <x:c r="A477" s="2" t="str">
        <x:v>IRN</x:v>
      </x:c>
      <x:c r="B477" s="2" t="str">
        <x:v>Iran (Islamic Republic of)</x:v>
      </x:c>
      <x:c r="C477" s="2" t="n">
        <x:v>2020</x:v>
      </x:c>
      <x:c r="D477" s="2" t="str">
        <x:v>WUP_SURFACE</x:v>
      </x:c>
      <x:c r="E477" s="2" t="str">
        <x:v>horizontal surface / footprint</x:v>
      </x:c>
      <x:c r="F477" s="2" t="str">
        <x:v>m2</x:v>
      </x:c>
      <x:c r="G477" s="17" t="n">
        <x:v>3695850551.99</x:v>
      </x:c>
      <x:c r="H477" s="17" t="n">
        <x:v>4209778761.3319345</x:v>
      </x:c>
      <x:c r="I477" s="17" t="n">
        <x:f>IF(AND(L477,ISNUMBER(G477),ISNUMBER(H477)),G477-H477,"n.a.")</x:f>
        <x:v>-513928209.3419347</x:v>
      </x:c>
      <x:c r="J477" s="15" t="n">
        <x:f>IF(AND(L477,ISNUMBER(G477),ISNUMBER(H477),H477&gt;0),(G477-H477)/H477,"n.a.")</x:f>
        <x:v>-0.12207962424593843</x:v>
      </x:c>
      <x:c r="K477" s="19" t="n">
        <x:f>IF(ISNUMBER(J477),ABS(J477),"n.a.")</x:f>
        <x:v>0.12207962424593843</x:v>
      </x:c>
      <x:c r="L477" s="13" t="b">
        <x:v>1</x:v>
      </x:c>
      <x:c r="M477" s="13" t="b">
        <x:v>1</x:v>
      </x:c>
      <x:c r="N477" s="2" t="str">
        <x:v>L1_numeric_partition_qualified_not_national_completeness</x:v>
      </x:c>
      <x:c r="O477" s="2" t="str">
        <x:v>none</x:v>
      </x:c>
      <x:c r="P477" s="2" t="str">
        <x:v>historical_GHSL_BU_estimate</x:v>
      </x:c>
      <x:c r="Q477" s="2" t="str">
        <x:v>Published UN country boundaries, L1 class partition, national completeness unproven;2025/2030 source projections</x:v>
      </x:c>
      <x:c r="R477" s="2" t="str">
        <x:v>https://human-settlement.emergency.copernicus.eu/datasets.php</x:v>
      </x:c>
      <x:c r="S477" s="13" t="b">
        <x:v>0</x:v>
      </x:c>
      <x:c r="T477" s="13" t="b">
        <x:v>0</x:v>
      </x:c>
    </x:row>
    <x:row r="478" ht="23" customHeight="1">
      <x:c r="A478" s="2" t="str">
        <x:v>IRQ</x:v>
      </x:c>
      <x:c r="B478" s="2" t="str">
        <x:v>Iraq (Republic of)</x:v>
      </x:c>
      <x:c r="C478" s="2" t="n">
        <x:v>2020</x:v>
      </x:c>
      <x:c r="D478" s="2" t="str">
        <x:v>WUP_SURFACE</x:v>
      </x:c>
      <x:c r="E478" s="2" t="str">
        <x:v>horizontal surface / footprint</x:v>
      </x:c>
      <x:c r="F478" s="2" t="str">
        <x:v>m2</x:v>
      </x:c>
      <x:c r="G478" s="17" t="n">
        <x:v>1226955244.87</x:v>
      </x:c>
      <x:c r="H478" s="17" t="n">
        <x:v>1578249706.0221016</x:v>
      </x:c>
      <x:c r="I478" s="17" t="n">
        <x:f>IF(AND(L478,ISNUMBER(G478),ISNUMBER(H478)),G478-H478,"n.a.")</x:f>
        <x:v>-351294461.15210176</x:v>
      </x:c>
      <x:c r="J478" s="15" t="n">
        <x:f>IF(AND(L478,ISNUMBER(G478),ISNUMBER(H478),H478&gt;0),(G478-H478)/H478,"n.a.")</x:f>
        <x:v>-0.22258484181031254</x:v>
      </x:c>
      <x:c r="K478" s="19" t="n">
        <x:f>IF(ISNUMBER(J478),ABS(J478),"n.a.")</x:f>
        <x:v>0.22258484181031254</x:v>
      </x:c>
      <x:c r="L478" s="13" t="b">
        <x:v>1</x:v>
      </x:c>
      <x:c r="M478" s="13" t="b">
        <x:v>1</x:v>
      </x:c>
      <x:c r="N478" s="2" t="str">
        <x:v>L1_numeric_partition_qualified_not_national_completeness</x:v>
      </x:c>
      <x:c r="O478" s="2" t="str">
        <x:v>none</x:v>
      </x:c>
      <x:c r="P478" s="2" t="str">
        <x:v>historical_GHSL_BU_estimate</x:v>
      </x:c>
      <x:c r="Q478" s="2" t="str">
        <x:v>Published UN country boundaries, L1 class partition, national completeness unproven;2025/2030 source projections</x:v>
      </x:c>
      <x:c r="R478" s="2" t="str">
        <x:v>https://human-settlement.emergency.copernicus.eu/datasets.php</x:v>
      </x:c>
      <x:c r="S478" s="13" t="b">
        <x:v>0</x:v>
      </x:c>
      <x:c r="T478" s="13" t="b">
        <x:v>0</x:v>
      </x:c>
    </x:row>
    <x:row r="479" ht="23" customHeight="1">
      <x:c r="A479" s="2" t="str">
        <x:v>ISL</x:v>
      </x:c>
      <x:c r="B479" s="2" t="str">
        <x:v>Iceland</x:v>
      </x:c>
      <x:c r="C479" s="2" t="n">
        <x:v>2020</x:v>
      </x:c>
      <x:c r="D479" s="2" t="str">
        <x:v>WUP_SURFACE</x:v>
      </x:c>
      <x:c r="E479" s="2" t="str">
        <x:v>horizontal surface / footprint</x:v>
      </x:c>
      <x:c r="F479" s="2" t="str">
        <x:v>m2</x:v>
      </x:c>
      <x:c r="G479" s="17" t="n">
        <x:v>24141007.67</x:v>
      </x:c>
      <x:c r="H479" s="17" t="n">
        <x:v>32077527.99264938</x:v>
      </x:c>
      <x:c r="I479" s="17" t="n">
        <x:f>IF(AND(L479,ISNUMBER(G479),ISNUMBER(H479)),G479-H479,"n.a.")</x:f>
        <x:v>-7936520.322649378</x:v>
      </x:c>
      <x:c r="J479" s="15" t="n">
        <x:f>IF(AND(L479,ISNUMBER(G479),ISNUMBER(H479),H479&gt;0),(G479-H479)/H479,"n.a.")</x:f>
        <x:v>-0.2474168310122914</x:v>
      </x:c>
      <x:c r="K479" s="19" t="n">
        <x:f>IF(ISNUMBER(J479),ABS(J479),"n.a.")</x:f>
        <x:v>0.2474168310122914</x:v>
      </x:c>
      <x:c r="L479" s="13" t="b">
        <x:v>1</x:v>
      </x:c>
      <x:c r="M479" s="13" t="b">
        <x:v>1</x:v>
      </x:c>
      <x:c r="N479" s="2" t="str">
        <x:v>L1_numeric_partition_qualified_not_national_completeness</x:v>
      </x:c>
      <x:c r="O479" s="2" t="str">
        <x:v>none</x:v>
      </x:c>
      <x:c r="P479" s="2" t="str">
        <x:v>historical_GHSL_BU_estimate</x:v>
      </x:c>
      <x:c r="Q479" s="2" t="str">
        <x:v>Published UN country boundaries, L1 class partition, national completeness unproven;2025/2030 source projections</x:v>
      </x:c>
      <x:c r="R479" s="2" t="str">
        <x:v>https://human-settlement.emergency.copernicus.eu/datasets.php</x:v>
      </x:c>
      <x:c r="S479" s="13" t="b">
        <x:v>0</x:v>
      </x:c>
      <x:c r="T479" s="13" t="b">
        <x:v>0</x:v>
      </x:c>
    </x:row>
    <x:row r="480" ht="23" customHeight="1">
      <x:c r="A480" s="2" t="str">
        <x:v>ISR</x:v>
      </x:c>
      <x:c r="B480" s="2" t="str">
        <x:v>Israel (State of)</x:v>
      </x:c>
      <x:c r="C480" s="2" t="n">
        <x:v>2020</x:v>
      </x:c>
      <x:c r="D480" s="2" t="str">
        <x:v>WUP_SURFACE</x:v>
      </x:c>
      <x:c r="E480" s="2" t="str">
        <x:v>horizontal surface / footprint</x:v>
      </x:c>
      <x:c r="F480" s="2" t="str">
        <x:v>m2</x:v>
      </x:c>
      <x:c r="G480" s="17" t="n">
        <x:v>357032950.94</x:v>
      </x:c>
      <x:c r="H480" s="17" t="n">
        <x:v>462391054.28538233</x:v>
      </x:c>
      <x:c r="I480" s="17" t="n">
        <x:f>IF(AND(L480,ISNUMBER(G480),ISNUMBER(H480)),G480-H480,"n.a.")</x:f>
        <x:v>-105358103.34538233</x:v>
      </x:c>
      <x:c r="J480" s="15" t="n">
        <x:f>IF(AND(L480,ISNUMBER(G480),ISNUMBER(H480),H480&gt;0),(G480-H480)/H480,"n.a.")</x:f>
        <x:v>-0.2278549776621685</x:v>
      </x:c>
      <x:c r="K480" s="19" t="n">
        <x:f>IF(ISNUMBER(J480),ABS(J480),"n.a.")</x:f>
        <x:v>0.2278549776621685</x:v>
      </x:c>
      <x:c r="L480" s="13" t="b">
        <x:v>1</x:v>
      </x:c>
      <x:c r="M480" s="13" t="b">
        <x:v>1</x:v>
      </x:c>
      <x:c r="N480" s="2" t="str">
        <x:v>L1_numeric_partition_qualified_not_national_completeness</x:v>
      </x:c>
      <x:c r="O480" s="2" t="str">
        <x:v>none</x:v>
      </x:c>
      <x:c r="P480" s="2" t="str">
        <x:v>historical_GHSL_BU_estimate</x:v>
      </x:c>
      <x:c r="Q480" s="2" t="str">
        <x:v>Published UN country boundaries, L1 class partition, national completeness unproven;2025/2030 source projections</x:v>
      </x:c>
      <x:c r="R480" s="2" t="str">
        <x:v>https://human-settlement.emergency.copernicus.eu/datasets.php</x:v>
      </x:c>
      <x:c r="S480" s="13" t="b">
        <x:v>0</x:v>
      </x:c>
      <x:c r="T480" s="13" t="b">
        <x:v>0</x:v>
      </x:c>
    </x:row>
    <x:row r="481" ht="23" customHeight="1">
      <x:c r="A481" s="2" t="str">
        <x:v>ITA</x:v>
      </x:c>
      <x:c r="B481" s="2" t="str">
        <x:v>Italy (Italian Republic)</x:v>
      </x:c>
      <x:c r="C481" s="2" t="n">
        <x:v>2020</x:v>
      </x:c>
      <x:c r="D481" s="2" t="str">
        <x:v>WUP_SURFACE</x:v>
      </x:c>
      <x:c r="E481" s="2" t="str">
        <x:v>horizontal surface / footprint</x:v>
      </x:c>
      <x:c r="F481" s="2" t="str">
        <x:v>m2</x:v>
      </x:c>
      <x:c r="G481" s="17" t="n">
        <x:v>4711304092.61</x:v>
      </x:c>
      <x:c r="H481" s="17" t="n">
        <x:v>6926352828.687858</x:v>
      </x:c>
      <x:c r="I481" s="17" t="n">
        <x:f>IF(AND(L481,ISNUMBER(G481),ISNUMBER(H481)),G481-H481,"n.a.")</x:f>
        <x:v>-2215048736.077858</x:v>
      </x:c>
      <x:c r="J481" s="15" t="n">
        <x:f>IF(AND(L481,ISNUMBER(G481),ISNUMBER(H481),H481&gt;0),(G481-H481)/H481,"n.a.")</x:f>
        <x:v>-0.3198001590250321</x:v>
      </x:c>
      <x:c r="K481" s="19" t="n">
        <x:f>IF(ISNUMBER(J481),ABS(J481),"n.a.")</x:f>
        <x:v>0.3198001590250321</x:v>
      </x:c>
      <x:c r="L481" s="13" t="b">
        <x:v>1</x:v>
      </x:c>
      <x:c r="M481" s="13" t="b">
        <x:v>1</x:v>
      </x:c>
      <x:c r="N481" s="2" t="str">
        <x:v>L1_numeric_partition_qualified_not_national_completeness</x:v>
      </x:c>
      <x:c r="O481" s="2" t="str">
        <x:v>none</x:v>
      </x:c>
      <x:c r="P481" s="2" t="str">
        <x:v>historical_GHSL_BU_estimate</x:v>
      </x:c>
      <x:c r="Q481" s="2" t="str">
        <x:v>Published UN country boundaries, L1 class partition, national completeness unproven;2025/2030 source projections</x:v>
      </x:c>
      <x:c r="R481" s="2" t="str">
        <x:v>https://human-settlement.emergency.copernicus.eu/datasets.php</x:v>
      </x:c>
      <x:c r="S481" s="13" t="b">
        <x:v>0</x:v>
      </x:c>
      <x:c r="T481" s="13" t="b">
        <x:v>0</x:v>
      </x:c>
    </x:row>
    <x:row r="482" ht="23" customHeight="1">
      <x:c r="A482" s="2" t="str">
        <x:v>JAM</x:v>
      </x:c>
      <x:c r="B482" s="2" t="str">
        <x:v>Jamaica</x:v>
      </x:c>
      <x:c r="C482" s="2" t="n">
        <x:v>2020</x:v>
      </x:c>
      <x:c r="D482" s="2" t="str">
        <x:v>WUP_SURFACE</x:v>
      </x:c>
      <x:c r="E482" s="2" t="str">
        <x:v>horizontal surface / footprint</x:v>
      </x:c>
      <x:c r="F482" s="2" t="str">
        <x:v>m2</x:v>
      </x:c>
      <x:c r="G482" s="17" t="n">
        <x:v>133338245.19</x:v>
      </x:c>
      <x:c r="H482" s="17" t="n">
        <x:v>223762960.0370435</x:v>
      </x:c>
      <x:c r="I482" s="17" t="n">
        <x:f>IF(AND(L482,ISNUMBER(G482),ISNUMBER(H482)),G482-H482,"n.a.")</x:f>
        <x:v>-90424714.84704351</x:v>
      </x:c>
      <x:c r="J482" s="15" t="n">
        <x:f>IF(AND(L482,ISNUMBER(G482),ISNUMBER(H482),H482&gt;0),(G482-H482)/H482,"n.a.")</x:f>
        <x:v>-0.40410939698006265</x:v>
      </x:c>
      <x:c r="K482" s="19" t="n">
        <x:f>IF(ISNUMBER(J482),ABS(J482),"n.a.")</x:f>
        <x:v>0.40410939698006265</x:v>
      </x:c>
      <x:c r="L482" s="13" t="b">
        <x:v>1</x:v>
      </x:c>
      <x:c r="M482" s="13" t="b">
        <x:v>1</x:v>
      </x:c>
      <x:c r="N482" s="2" t="str">
        <x:v>L1_numeric_partition_qualified_not_national_completeness</x:v>
      </x:c>
      <x:c r="O482" s="2" t="str">
        <x:v>none</x:v>
      </x:c>
      <x:c r="P482" s="2" t="str">
        <x:v>historical_GHSL_BU_estimate</x:v>
      </x:c>
      <x:c r="Q482" s="2" t="str">
        <x:v>Published UN country boundaries, L1 class partition, national completeness unproven;2025/2030 source projections</x:v>
      </x:c>
      <x:c r="R482" s="2" t="str">
        <x:v>https://human-settlement.emergency.copernicus.eu/datasets.php</x:v>
      </x:c>
      <x:c r="S482" s="13" t="b">
        <x:v>0</x:v>
      </x:c>
      <x:c r="T482" s="13" t="b">
        <x:v>0</x:v>
      </x:c>
    </x:row>
    <x:row r="483" ht="23" customHeight="1">
      <x:c r="A483" s="2" t="str">
        <x:v>JOR</x:v>
      </x:c>
      <x:c r="B483" s="2" t="str">
        <x:v>Jordan (Hashemite Kingdom of)</x:v>
      </x:c>
      <x:c r="C483" s="2" t="n">
        <x:v>2020</x:v>
      </x:c>
      <x:c r="D483" s="2" t="str">
        <x:v>WUP_SURFACE</x:v>
      </x:c>
      <x:c r="E483" s="2" t="str">
        <x:v>horizontal surface / footprint</x:v>
      </x:c>
      <x:c r="F483" s="2" t="str">
        <x:v>m2</x:v>
      </x:c>
      <x:c r="G483" s="17" t="n">
        <x:v>275983857.16</x:v>
      </x:c>
      <x:c r="H483" s="17" t="n">
        <x:v>326961055.7409019</x:v>
      </x:c>
      <x:c r="I483" s="17" t="n">
        <x:f>IF(AND(L483,ISNUMBER(G483),ISNUMBER(H483)),G483-H483,"n.a.")</x:f>
        <x:v>-50977198.58090186</x:v>
      </x:c>
      <x:c r="J483" s="15" t="n">
        <x:f>IF(AND(L483,ISNUMBER(G483),ISNUMBER(H483),H483&gt;0),(G483-H483)/H483,"n.a.")</x:f>
        <x:v>-0.15591214209100915</x:v>
      </x:c>
      <x:c r="K483" s="19" t="n">
        <x:f>IF(ISNUMBER(J483),ABS(J483),"n.a.")</x:f>
        <x:v>0.15591214209100915</x:v>
      </x:c>
      <x:c r="L483" s="13" t="b">
        <x:v>1</x:v>
      </x:c>
      <x:c r="M483" s="13" t="b">
        <x:v>1</x:v>
      </x:c>
      <x:c r="N483" s="2" t="str">
        <x:v>L1_numeric_partition_qualified_not_national_completeness</x:v>
      </x:c>
      <x:c r="O483" s="2" t="str">
        <x:v>none</x:v>
      </x:c>
      <x:c r="P483" s="2" t="str">
        <x:v>historical_GHSL_BU_estimate</x:v>
      </x:c>
      <x:c r="Q483" s="2" t="str">
        <x:v>Published UN country boundaries, L1 class partition, national completeness unproven;2025/2030 source projections</x:v>
      </x:c>
      <x:c r="R483" s="2" t="str">
        <x:v>https://human-settlement.emergency.copernicus.eu/datasets.php</x:v>
      </x:c>
      <x:c r="S483" s="13" t="b">
        <x:v>0</x:v>
      </x:c>
      <x:c r="T483" s="13" t="b">
        <x:v>0</x:v>
      </x:c>
    </x:row>
    <x:row r="484" ht="23" customHeight="1">
      <x:c r="A484" s="2" t="str">
        <x:v>JPN</x:v>
      </x:c>
      <x:c r="B484" s="2" t="str">
        <x:v>Japan</x:v>
      </x:c>
      <x:c r="C484" s="2" t="n">
        <x:v>2020</x:v>
      </x:c>
      <x:c r="D484" s="2" t="str">
        <x:v>WUP_SURFACE</x:v>
      </x:c>
      <x:c r="E484" s="2" t="str">
        <x:v>horizontal surface / footprint</x:v>
      </x:c>
      <x:c r="F484" s="2" t="str">
        <x:v>m2</x:v>
      </x:c>
      <x:c r="G484" s="17" t="n">
        <x:v>8076054059.79</x:v>
      </x:c>
      <x:c r="H484" s="17" t="n">
        <x:v>12914669529.300297</x:v>
      </x:c>
      <x:c r="I484" s="17" t="n">
        <x:f>IF(AND(L484,ISNUMBER(G484),ISNUMBER(H484)),G484-H484,"n.a.")</x:f>
        <x:v>-4838615469.510297</x:v>
      </x:c>
      <x:c r="J484" s="15" t="n">
        <x:f>IF(AND(L484,ISNUMBER(G484),ISNUMBER(H484),H484&gt;0),(G484-H484)/H484,"n.a.")</x:f>
        <x:v>-0.37466041686414314</x:v>
      </x:c>
      <x:c r="K484" s="19" t="n">
        <x:f>IF(ISNUMBER(J484),ABS(J484),"n.a.")</x:f>
        <x:v>0.37466041686414314</x:v>
      </x:c>
      <x:c r="L484" s="13" t="b">
        <x:v>1</x:v>
      </x:c>
      <x:c r="M484" s="13" t="b">
        <x:v>1</x:v>
      </x:c>
      <x:c r="N484" s="2" t="str">
        <x:v>L1_numeric_partition_qualified_not_national_completeness</x:v>
      </x:c>
      <x:c r="O484" s="2" t="str">
        <x:v>none</x:v>
      </x:c>
      <x:c r="P484" s="2" t="str">
        <x:v>historical_GHSL_BU_estimate</x:v>
      </x:c>
      <x:c r="Q484" s="2" t="str">
        <x:v>Published UN country boundaries, L1 class partition, national completeness unproven;2025/2030 source projections</x:v>
      </x:c>
      <x:c r="R484" s="2" t="str">
        <x:v>https://human-settlement.emergency.copernicus.eu/datasets.php</x:v>
      </x:c>
      <x:c r="S484" s="13" t="b">
        <x:v>0</x:v>
      </x:c>
      <x:c r="T484" s="13" t="b">
        <x:v>0</x:v>
      </x:c>
    </x:row>
    <x:row r="485" ht="23" customHeight="1">
      <x:c r="A485" s="2" t="str">
        <x:v>KAZ</x:v>
      </x:c>
      <x:c r="B485" s="2" t="str">
        <x:v>Kazakhstan (Republic of)</x:v>
      </x:c>
      <x:c r="C485" s="2" t="n">
        <x:v>2020</x:v>
      </x:c>
      <x:c r="D485" s="2" t="str">
        <x:v>WUP_SURFACE</x:v>
      </x:c>
      <x:c r="E485" s="2" t="str">
        <x:v>horizontal surface / footprint</x:v>
      </x:c>
      <x:c r="F485" s="2" t="str">
        <x:v>m2</x:v>
      </x:c>
      <x:c r="G485" s="17" t="n">
        <x:v>1009034692.97</x:v>
      </x:c>
      <x:c r="H485" s="17" t="n">
        <x:v>2313486292.257429</x:v>
      </x:c>
      <x:c r="I485" s="17" t="n">
        <x:f>IF(AND(L485,ISNUMBER(G485),ISNUMBER(H485)),G485-H485,"n.a.")</x:f>
        <x:v>-1304451599.287429</x:v>
      </x:c>
      <x:c r="J485" s="15" t="n">
        <x:f>IF(AND(L485,ISNUMBER(G485),ISNUMBER(H485),H485&gt;0),(G485-H485)/H485,"n.a.")</x:f>
        <x:v>-0.5638466947710268</x:v>
      </x:c>
      <x:c r="K485" s="19" t="n">
        <x:f>IF(ISNUMBER(J485),ABS(J485),"n.a.")</x:f>
        <x:v>0.5638466947710268</x:v>
      </x:c>
      <x:c r="L485" s="13" t="b">
        <x:v>1</x:v>
      </x:c>
      <x:c r="M485" s="13" t="b">
        <x:v>1</x:v>
      </x:c>
      <x:c r="N485" s="2" t="str">
        <x:v>L1_numeric_partition_qualified_not_national_completeness</x:v>
      </x:c>
      <x:c r="O485" s="2" t="str">
        <x:v>none</x:v>
      </x:c>
      <x:c r="P485" s="2" t="str">
        <x:v>historical_GHSL_BU_estimate</x:v>
      </x:c>
      <x:c r="Q485" s="2" t="str">
        <x:v>Published UN country boundaries, L1 class partition, national completeness unproven;2025/2030 source projections</x:v>
      </x:c>
      <x:c r="R485" s="2" t="str">
        <x:v>https://human-settlement.emergency.copernicus.eu/datasets.php</x:v>
      </x:c>
      <x:c r="S485" s="13" t="b">
        <x:v>0</x:v>
      </x:c>
      <x:c r="T485" s="13" t="b">
        <x:v>0</x:v>
      </x:c>
    </x:row>
    <x:row r="486" ht="23" customHeight="1">
      <x:c r="A486" s="2" t="str">
        <x:v>KEN</x:v>
      </x:c>
      <x:c r="B486" s="2" t="str">
        <x:v>Kenya (Republic of)</x:v>
      </x:c>
      <x:c r="C486" s="2" t="n">
        <x:v>2020</x:v>
      </x:c>
      <x:c r="D486" s="2" t="str">
        <x:v>WUP_SURFACE</x:v>
      </x:c>
      <x:c r="E486" s="2" t="str">
        <x:v>horizontal surface / footprint</x:v>
      </x:c>
      <x:c r="F486" s="2" t="str">
        <x:v>m2</x:v>
      </x:c>
      <x:c r="G486" s="17" t="n">
        <x:v>1180050447.52</x:v>
      </x:c>
      <x:c r="H486" s="17" t="n">
        <x:v>3057429689.161173</x:v>
      </x:c>
      <x:c r="I486" s="17" t="n">
        <x:f>IF(AND(L486,ISNUMBER(G486),ISNUMBER(H486)),G486-H486,"n.a.")</x:f>
        <x:v>-1877379241.641173</x:v>
      </x:c>
      <x:c r="J486" s="15" t="n">
        <x:f>IF(AND(L486,ISNUMBER(G486),ISNUMBER(H486),H486&gt;0),(G486-H486)/H486,"n.a.")</x:f>
        <x:v>-0.6140384023536597</x:v>
      </x:c>
      <x:c r="K486" s="19" t="n">
        <x:f>IF(ISNUMBER(J486),ABS(J486),"n.a.")</x:f>
        <x:v>0.6140384023536597</x:v>
      </x:c>
      <x:c r="L486" s="13" t="b">
        <x:v>1</x:v>
      </x:c>
      <x:c r="M486" s="13" t="b">
        <x:v>1</x:v>
      </x:c>
      <x:c r="N486" s="2" t="str">
        <x:v>L1_numeric_partition_qualified_not_national_completeness</x:v>
      </x:c>
      <x:c r="O486" s="2" t="str">
        <x:v>none</x:v>
      </x:c>
      <x:c r="P486" s="2" t="str">
        <x:v>historical_GHSL_BU_estimate</x:v>
      </x:c>
      <x:c r="Q486" s="2" t="str">
        <x:v>Published UN country boundaries, L1 class partition, national completeness unproven;2025/2030 source projections</x:v>
      </x:c>
      <x:c r="R486" s="2" t="str">
        <x:v>https://human-settlement.emergency.copernicus.eu/datasets.php</x:v>
      </x:c>
      <x:c r="S486" s="13" t="b">
        <x:v>0</x:v>
      </x:c>
      <x:c r="T486" s="13" t="b">
        <x:v>0</x:v>
      </x:c>
    </x:row>
    <x:row r="487" ht="23" customHeight="1">
      <x:c r="A487" s="2" t="str">
        <x:v>KGZ</x:v>
      </x:c>
      <x:c r="B487" s="2" t="str">
        <x:v>Kyrgyzstan (Kyrgyz Republic)</x:v>
      </x:c>
      <x:c r="C487" s="2" t="n">
        <x:v>2020</x:v>
      </x:c>
      <x:c r="D487" s="2" t="str">
        <x:v>WUP_SURFACE</x:v>
      </x:c>
      <x:c r="E487" s="2" t="str">
        <x:v>horizontal surface / footprint</x:v>
      </x:c>
      <x:c r="F487" s="2" t="str">
        <x:v>m2</x:v>
      </x:c>
      <x:c r="G487" s="17" t="n">
        <x:v>332236534.37</x:v>
      </x:c>
      <x:c r="H487" s="17" t="n">
        <x:v>676009971.9548508</x:v>
      </x:c>
      <x:c r="I487" s="17" t="n">
        <x:f>IF(AND(L487,ISNUMBER(G487),ISNUMBER(H487)),G487-H487,"n.a.")</x:f>
        <x:v>-343773437.5848508</x:v>
      </x:c>
      <x:c r="J487" s="15" t="n">
        <x:f>IF(AND(L487,ISNUMBER(G487),ISNUMBER(H487),H487&gt;0),(G487-H487)/H487,"n.a.")</x:f>
        <x:v>-0.5085330865619401</x:v>
      </x:c>
      <x:c r="K487" s="19" t="n">
        <x:f>IF(ISNUMBER(J487),ABS(J487),"n.a.")</x:f>
        <x:v>0.5085330865619401</x:v>
      </x:c>
      <x:c r="L487" s="13" t="b">
        <x:v>1</x:v>
      </x:c>
      <x:c r="M487" s="13" t="b">
        <x:v>1</x:v>
      </x:c>
      <x:c r="N487" s="2" t="str">
        <x:v>L1_numeric_partition_qualified_not_national_completeness</x:v>
      </x:c>
      <x:c r="O487" s="2" t="str">
        <x:v>none</x:v>
      </x:c>
      <x:c r="P487" s="2" t="str">
        <x:v>historical_GHSL_BU_estimate</x:v>
      </x:c>
      <x:c r="Q487" s="2" t="str">
        <x:v>Published UN country boundaries, L1 class partition, national completeness unproven;2025/2030 source projections</x:v>
      </x:c>
      <x:c r="R487" s="2" t="str">
        <x:v>https://human-settlement.emergency.copernicus.eu/datasets.php</x:v>
      </x:c>
      <x:c r="S487" s="13" t="b">
        <x:v>0</x:v>
      </x:c>
      <x:c r="T487" s="13" t="b">
        <x:v>0</x:v>
      </x:c>
    </x:row>
    <x:row r="488" ht="23" customHeight="1">
      <x:c r="A488" s="2" t="str">
        <x:v>KHM</x:v>
      </x:c>
      <x:c r="B488" s="2" t="str">
        <x:v>Cambodia (Kingdom of)</x:v>
      </x:c>
      <x:c r="C488" s="2" t="n">
        <x:v>2020</x:v>
      </x:c>
      <x:c r="D488" s="2" t="str">
        <x:v>WUP_SURFACE</x:v>
      </x:c>
      <x:c r="E488" s="2" t="str">
        <x:v>horizontal surface / footprint</x:v>
      </x:c>
      <x:c r="F488" s="2" t="str">
        <x:v>m2</x:v>
      </x:c>
      <x:c r="G488" s="17" t="n">
        <x:v>672933221.83</x:v>
      </x:c>
      <x:c r="H488" s="17" t="n">
        <x:v>809555987.1995302</x:v>
      </x:c>
      <x:c r="I488" s="17" t="n">
        <x:f>IF(AND(L488,ISNUMBER(G488),ISNUMBER(H488)),G488-H488,"n.a.")</x:f>
        <x:v>-136622765.3695302</x:v>
      </x:c>
      <x:c r="J488" s="15" t="n">
        <x:f>IF(AND(L488,ISNUMBER(G488),ISNUMBER(H488),H488&gt;0),(G488-H488)/H488,"n.a.")</x:f>
        <x:v>-0.16876259027142115</x:v>
      </x:c>
      <x:c r="K488" s="19" t="n">
        <x:f>IF(ISNUMBER(J488),ABS(J488),"n.a.")</x:f>
        <x:v>0.16876259027142115</x:v>
      </x:c>
      <x:c r="L488" s="13" t="b">
        <x:v>1</x:v>
      </x:c>
      <x:c r="M488" s="13" t="b">
        <x:v>1</x:v>
      </x:c>
      <x:c r="N488" s="2" t="str">
        <x:v>L1_numeric_partition_qualified_not_national_completeness</x:v>
      </x:c>
      <x:c r="O488" s="2" t="str">
        <x:v>none</x:v>
      </x:c>
      <x:c r="P488" s="2" t="str">
        <x:v>historical_GHSL_BU_estimate</x:v>
      </x:c>
      <x:c r="Q488" s="2" t="str">
        <x:v>Published UN country boundaries, L1 class partition, national completeness unproven;2025/2030 source projections</x:v>
      </x:c>
      <x:c r="R488" s="2" t="str">
        <x:v>https://human-settlement.emergency.copernicus.eu/datasets.php</x:v>
      </x:c>
      <x:c r="S488" s="13" t="b">
        <x:v>0</x:v>
      </x:c>
      <x:c r="T488" s="13" t="b">
        <x:v>0</x:v>
      </x:c>
    </x:row>
    <x:row r="489" ht="23" customHeight="1">
      <x:c r="A489" s="2" t="str">
        <x:v>KIR</x:v>
      </x:c>
      <x:c r="B489" s="2" t="str">
        <x:v>Kiribati (Republic of)</x:v>
      </x:c>
      <x:c r="C489" s="2" t="n">
        <x:v>2020</x:v>
      </x:c>
      <x:c r="D489" s="2" t="str">
        <x:v>WUP_SURFACE</x:v>
      </x:c>
      <x:c r="E489" s="2" t="str">
        <x:v>horizontal surface / footprint</x:v>
      </x:c>
      <x:c r="F489" s="2" t="str">
        <x:v>m2</x:v>
      </x:c>
      <x:c r="G489" s="17" t="n">
        <x:v>1721739.67</x:v>
      </x:c>
      <x:c r="H489" s="17" t="n">
        <x:v>1365486.0004487545</x:v>
      </x:c>
      <x:c r="I489" s="17" t="n">
        <x:f>IF(AND(L489,ISNUMBER(G489),ISNUMBER(H489)),G489-H489,"n.a.")</x:f>
        <x:v>356253.6695512454</x:v>
      </x:c>
      <x:c r="J489" s="15" t="n">
        <x:f>IF(AND(L489,ISNUMBER(G489),ISNUMBER(H489),H489&gt;0),(G489-H489)/H489,"n.a.")</x:f>
        <x:v>0.2608988077755216</x:v>
      </x:c>
      <x:c r="K489" s="19" t="n">
        <x:f>IF(ISNUMBER(J489),ABS(J489),"n.a.")</x:f>
        <x:v>0.2608988077755216</x:v>
      </x:c>
      <x:c r="L489" s="13" t="b">
        <x:v>1</x:v>
      </x:c>
      <x:c r="M489" s="13" t="b">
        <x:v>1</x:v>
      </x:c>
      <x:c r="N489" s="2" t="str">
        <x:v>L1_numeric_partition_qualified_not_national_completeness</x:v>
      </x:c>
      <x:c r="O489" s="2" t="str">
        <x:v>none</x:v>
      </x:c>
      <x:c r="P489" s="2" t="str">
        <x:v>historical_GHSL_BU_estimate</x:v>
      </x:c>
      <x:c r="Q489" s="2" t="str">
        <x:v>Published UN country boundaries, L1 class partition, national completeness unproven;2025/2030 source projections</x:v>
      </x:c>
      <x:c r="R489" s="2" t="str">
        <x:v>https://human-settlement.emergency.copernicus.eu/datasets.php</x:v>
      </x:c>
      <x:c r="S489" s="13" t="b">
        <x:v>0</x:v>
      </x:c>
      <x:c r="T489" s="13" t="b">
        <x:v>0</x:v>
      </x:c>
    </x:row>
    <x:row r="490" ht="23" customHeight="1">
      <x:c r="A490" s="2" t="str">
        <x:v>KNA</x:v>
      </x:c>
      <x:c r="B490" s="2" t="str">
        <x:v>Saint Kitts and Nevis (Federation of)</x:v>
      </x:c>
      <x:c r="C490" s="2" t="n">
        <x:v>2020</x:v>
      </x:c>
      <x:c r="D490" s="2" t="str">
        <x:v>WUP_SURFACE</x:v>
      </x:c>
      <x:c r="E490" s="2" t="str">
        <x:v>horizontal surface / footprint</x:v>
      </x:c>
      <x:c r="F490" s="2" t="str">
        <x:v>m2</x:v>
      </x:c>
      <x:c r="G490" s="17" t="n">
        <x:v>4523960.76</x:v>
      </x:c>
      <x:c r="H490" s="17" t="n">
        <x:v>8302335.982883051</x:v>
      </x:c>
      <x:c r="I490" s="17" t="n">
        <x:f>IF(AND(L490,ISNUMBER(G490),ISNUMBER(H490)),G490-H490,"n.a.")</x:f>
        <x:v>-3778375.2228830513</x:v>
      </x:c>
      <x:c r="J490" s="15" t="n">
        <x:f>IF(AND(L490,ISNUMBER(G490),ISNUMBER(H490),H490&gt;0),(G490-H490)/H490,"n.a.")</x:f>
        <x:v>-0.45509784603669834</x:v>
      </x:c>
      <x:c r="K490" s="19" t="n">
        <x:f>IF(ISNUMBER(J490),ABS(J490),"n.a.")</x:f>
        <x:v>0.45509784603669834</x:v>
      </x:c>
      <x:c r="L490" s="13" t="b">
        <x:v>1</x:v>
      </x:c>
      <x:c r="M490" s="13" t="b">
        <x:v>1</x:v>
      </x:c>
      <x:c r="N490" s="2" t="str">
        <x:v>L1_numeric_partition_qualified_not_national_completeness</x:v>
      </x:c>
      <x:c r="O490" s="2" t="str">
        <x:v>none</x:v>
      </x:c>
      <x:c r="P490" s="2" t="str">
        <x:v>historical_GHSL_BU_estimate</x:v>
      </x:c>
      <x:c r="Q490" s="2" t="str">
        <x:v>Published UN country boundaries, L1 class partition, national completeness unproven;2025/2030 source projections</x:v>
      </x:c>
      <x:c r="R490" s="2" t="str">
        <x:v>https://human-settlement.emergency.copernicus.eu/datasets.php</x:v>
      </x:c>
      <x:c r="S490" s="13" t="b">
        <x:v>0</x:v>
      </x:c>
      <x:c r="T490" s="13" t="b">
        <x:v>0</x:v>
      </x:c>
    </x:row>
    <x:row r="491" ht="23" customHeight="1">
      <x:c r="A491" s="2" t="str">
        <x:v>KOR</x:v>
      </x:c>
      <x:c r="B491" s="2" t="str">
        <x:v>Korea (Republic of)</x:v>
      </x:c>
      <x:c r="C491" s="2" t="n">
        <x:v>2020</x:v>
      </x:c>
      <x:c r="D491" s="2" t="str">
        <x:v>WUP_SURFACE</x:v>
      </x:c>
      <x:c r="E491" s="2" t="str">
        <x:v>horizontal surface / footprint</x:v>
      </x:c>
      <x:c r="F491" s="2" t="str">
        <x:v>m2</x:v>
      </x:c>
      <x:c r="G491" s="17" t="n">
        <x:v>2559028811.37</x:v>
      </x:c>
      <x:c r="H491" s="17" t="n">
        <x:v>3586617010.949781</x:v>
      </x:c>
      <x:c r="I491" s="17" t="n">
        <x:f>IF(AND(L491,ISNUMBER(G491),ISNUMBER(H491)),G491-H491,"n.a.")</x:f>
        <x:v>-1027588199.579781</x:v>
      </x:c>
      <x:c r="J491" s="15" t="n">
        <x:f>IF(AND(L491,ISNUMBER(G491),ISNUMBER(H491),H491&gt;0),(G491-H491)/H491,"n.a.")</x:f>
        <x:v>-0.28650625267281127</x:v>
      </x:c>
      <x:c r="K491" s="19" t="n">
        <x:f>IF(ISNUMBER(J491),ABS(J491),"n.a.")</x:f>
        <x:v>0.28650625267281127</x:v>
      </x:c>
      <x:c r="L491" s="13" t="b">
        <x:v>1</x:v>
      </x:c>
      <x:c r="M491" s="13" t="b">
        <x:v>1</x:v>
      </x:c>
      <x:c r="N491" s="2" t="str">
        <x:v>L1_numeric_partition_qualified_not_national_completeness</x:v>
      </x:c>
      <x:c r="O491" s="2" t="str">
        <x:v>none</x:v>
      </x:c>
      <x:c r="P491" s="2" t="str">
        <x:v>historical_GHSL_BU_estimate</x:v>
      </x:c>
      <x:c r="Q491" s="2" t="str">
        <x:v>Published UN country boundaries, L1 class partition, national completeness unproven;2025/2030 source projections</x:v>
      </x:c>
      <x:c r="R491" s="2" t="str">
        <x:v>https://human-settlement.emergency.copernicus.eu/datasets.php</x:v>
      </x:c>
      <x:c r="S491" s="13" t="b">
        <x:v>0</x:v>
      </x:c>
      <x:c r="T491" s="13" t="b">
        <x:v>0</x:v>
      </x:c>
    </x:row>
    <x:row r="492" ht="23" customHeight="1">
      <x:c r="A492" s="2" t="str">
        <x:v>KWT</x:v>
      </x:c>
      <x:c r="B492" s="2" t="str">
        <x:v>Kuwait (State of)</x:v>
      </x:c>
      <x:c r="C492" s="2" t="n">
        <x:v>2020</x:v>
      </x:c>
      <x:c r="D492" s="2" t="str">
        <x:v>WUP_SURFACE</x:v>
      </x:c>
      <x:c r="E492" s="2" t="str">
        <x:v>horizontal surface / footprint</x:v>
      </x:c>
      <x:c r="F492" s="2" t="str">
        <x:v>m2</x:v>
      </x:c>
      <x:c r="G492" s="17" t="n">
        <x:v>143367071.73</x:v>
      </x:c>
      <x:c r="H492" s="17" t="n">
        <x:v>217834423.23681584</x:v>
      </x:c>
      <x:c r="I492" s="17" t="n">
        <x:f>IF(AND(L492,ISNUMBER(G492),ISNUMBER(H492)),G492-H492,"n.a.")</x:f>
        <x:v>-74467351.50681585</x:v>
      </x:c>
      <x:c r="J492" s="15" t="n">
        <x:f>IF(AND(L492,ISNUMBER(G492),ISNUMBER(H492),H492&gt;0),(G492-H492)/H492,"n.a.")</x:f>
        <x:v>-0.3418530019282565</x:v>
      </x:c>
      <x:c r="K492" s="19" t="n">
        <x:f>IF(ISNUMBER(J492),ABS(J492),"n.a.")</x:f>
        <x:v>0.3418530019282565</x:v>
      </x:c>
      <x:c r="L492" s="13" t="b">
        <x:v>1</x:v>
      </x:c>
      <x:c r="M492" s="13" t="b">
        <x:v>1</x:v>
      </x:c>
      <x:c r="N492" s="2" t="str">
        <x:v>L1_numeric_partition_qualified_not_national_completeness</x:v>
      </x:c>
      <x:c r="O492" s="2" t="str">
        <x:v>none</x:v>
      </x:c>
      <x:c r="P492" s="2" t="str">
        <x:v>historical_GHSL_BU_estimate</x:v>
      </x:c>
      <x:c r="Q492" s="2" t="str">
        <x:v>Published UN country boundaries, L1 class partition, national completeness unproven;2025/2030 source projections</x:v>
      </x:c>
      <x:c r="R492" s="2" t="str">
        <x:v>https://human-settlement.emergency.copernicus.eu/datasets.php</x:v>
      </x:c>
      <x:c r="S492" s="13" t="b">
        <x:v>0</x:v>
      </x:c>
      <x:c r="T492" s="13" t="b">
        <x:v>0</x:v>
      </x:c>
    </x:row>
    <x:row r="493" ht="23" customHeight="1">
      <x:c r="A493" s="2" t="str">
        <x:v>LAO</x:v>
      </x:c>
      <x:c r="B493" s="2" t="str">
        <x:v>Lao People's Democratic Republic</x:v>
      </x:c>
      <x:c r="C493" s="2" t="n">
        <x:v>2020</x:v>
      </x:c>
      <x:c r="D493" s="2" t="str">
        <x:v>WUP_SURFACE</x:v>
      </x:c>
      <x:c r="E493" s="2" t="str">
        <x:v>horizontal surface / footprint</x:v>
      </x:c>
      <x:c r="F493" s="2" t="str">
        <x:v>m2</x:v>
      </x:c>
      <x:c r="G493" s="17" t="n">
        <x:v>333393295.19</x:v>
      </x:c>
      <x:c r="H493" s="17" t="n">
        <x:v>339745097.1179587</x:v>
      </x:c>
      <x:c r="I493" s="17" t="n">
        <x:f>IF(AND(L493,ISNUMBER(G493),ISNUMBER(H493)),G493-H493,"n.a.")</x:f>
        <x:v>-6351801.927958727</x:v>
      </x:c>
      <x:c r="J493" s="15" t="n">
        <x:f>IF(AND(L493,ISNUMBER(G493),ISNUMBER(H493),H493&gt;0),(G493-H493)/H493,"n.a.")</x:f>
        <x:v>-0.018695786876222073</x:v>
      </x:c>
      <x:c r="K493" s="19" t="n">
        <x:f>IF(ISNUMBER(J493),ABS(J493),"n.a.")</x:f>
        <x:v>0.018695786876222073</x:v>
      </x:c>
      <x:c r="L493" s="13" t="b">
        <x:v>1</x:v>
      </x:c>
      <x:c r="M493" s="13" t="b">
        <x:v>1</x:v>
      </x:c>
      <x:c r="N493" s="2" t="str">
        <x:v>L1_numeric_partition_qualified_not_national_completeness</x:v>
      </x:c>
      <x:c r="O493" s="2" t="str">
        <x:v>none</x:v>
      </x:c>
      <x:c r="P493" s="2" t="str">
        <x:v>historical_GHSL_BU_estimate</x:v>
      </x:c>
      <x:c r="Q493" s="2" t="str">
        <x:v>Published UN country boundaries, L1 class partition, national completeness unproven;2025/2030 source projections</x:v>
      </x:c>
      <x:c r="R493" s="2" t="str">
        <x:v>https://human-settlement.emergency.copernicus.eu/datasets.php</x:v>
      </x:c>
      <x:c r="S493" s="13" t="b">
        <x:v>0</x:v>
      </x:c>
      <x:c r="T493" s="13" t="b">
        <x:v>0</x:v>
      </x:c>
    </x:row>
    <x:row r="494" ht="23" customHeight="1">
      <x:c r="A494" s="2" t="str">
        <x:v>LBN</x:v>
      </x:c>
      <x:c r="B494" s="2" t="str">
        <x:v>Lebanon (Lebanese Republic)</x:v>
      </x:c>
      <x:c r="C494" s="2" t="n">
        <x:v>2020</x:v>
      </x:c>
      <x:c r="D494" s="2" t="str">
        <x:v>WUP_SURFACE</x:v>
      </x:c>
      <x:c r="E494" s="2" t="str">
        <x:v>horizontal surface / footprint</x:v>
      </x:c>
      <x:c r="F494" s="2" t="str">
        <x:v>m2</x:v>
      </x:c>
      <x:c r="G494" s="17" t="n">
        <x:v>222783609.45</x:v>
      </x:c>
      <x:c r="H494" s="17" t="n">
        <x:v>290312516.0537993</x:v>
      </x:c>
      <x:c r="I494" s="17" t="n">
        <x:f>IF(AND(L494,ISNUMBER(G494),ISNUMBER(H494)),G494-H494,"n.a.")</x:f>
        <x:v>-67528906.60379928</x:v>
      </x:c>
      <x:c r="J494" s="15" t="n">
        <x:f>IF(AND(L494,ISNUMBER(G494),ISNUMBER(H494),H494&gt;0),(G494-H494)/H494,"n.a.")</x:f>
        <x:v>-0.23260763098234857</x:v>
      </x:c>
      <x:c r="K494" s="19" t="n">
        <x:f>IF(ISNUMBER(J494),ABS(J494),"n.a.")</x:f>
        <x:v>0.23260763098234857</x:v>
      </x:c>
      <x:c r="L494" s="13" t="b">
        <x:v>1</x:v>
      </x:c>
      <x:c r="M494" s="13" t="b">
        <x:v>1</x:v>
      </x:c>
      <x:c r="N494" s="2" t="str">
        <x:v>L1_numeric_partition_qualified_not_national_completeness</x:v>
      </x:c>
      <x:c r="O494" s="2" t="str">
        <x:v>none</x:v>
      </x:c>
      <x:c r="P494" s="2" t="str">
        <x:v>historical_GHSL_BU_estimate</x:v>
      </x:c>
      <x:c r="Q494" s="2" t="str">
        <x:v>Published UN country boundaries, L1 class partition, national completeness unproven;2025/2030 source projections</x:v>
      </x:c>
      <x:c r="R494" s="2" t="str">
        <x:v>https://human-settlement.emergency.copernicus.eu/datasets.php</x:v>
      </x:c>
      <x:c r="S494" s="13" t="b">
        <x:v>0</x:v>
      </x:c>
      <x:c r="T494" s="13" t="b">
        <x:v>0</x:v>
      </x:c>
    </x:row>
    <x:row r="495" ht="23" customHeight="1">
      <x:c r="A495" s="2" t="str">
        <x:v>LBR</x:v>
      </x:c>
      <x:c r="B495" s="2" t="str">
        <x:v>Liberia (Republic of)</x:v>
      </x:c>
      <x:c r="C495" s="2" t="n">
        <x:v>2020</x:v>
      </x:c>
      <x:c r="D495" s="2" t="str">
        <x:v>WUP_SURFACE</x:v>
      </x:c>
      <x:c r="E495" s="2" t="str">
        <x:v>horizontal surface / footprint</x:v>
      </x:c>
      <x:c r="F495" s="2" t="str">
        <x:v>m2</x:v>
      </x:c>
      <x:c r="G495" s="17" t="n">
        <x:v>93713430.84</x:v>
      </x:c>
      <x:c r="H495" s="17" t="n">
        <x:v>199718960.09603718</x:v>
      </x:c>
      <x:c r="I495" s="17" t="n">
        <x:f>IF(AND(L495,ISNUMBER(G495),ISNUMBER(H495)),G495-H495,"n.a.")</x:f>
        <x:v>-106005529.25603718</x:v>
      </x:c>
      <x:c r="J495" s="15" t="n">
        <x:f>IF(AND(L495,ISNUMBER(G495),ISNUMBER(H495),H495&gt;0),(G495-H495)/H495,"n.a.")</x:f>
        <x:v>-0.5307734889319631</x:v>
      </x:c>
      <x:c r="K495" s="19" t="n">
        <x:f>IF(ISNUMBER(J495),ABS(J495),"n.a.")</x:f>
        <x:v>0.5307734889319631</x:v>
      </x:c>
      <x:c r="L495" s="13" t="b">
        <x:v>1</x:v>
      </x:c>
      <x:c r="M495" s="13" t="b">
        <x:v>1</x:v>
      </x:c>
      <x:c r="N495" s="2" t="str">
        <x:v>L1_numeric_partition_qualified_not_national_completeness</x:v>
      </x:c>
      <x:c r="O495" s="2" t="str">
        <x:v>none</x:v>
      </x:c>
      <x:c r="P495" s="2" t="str">
        <x:v>historical_GHSL_BU_estimate</x:v>
      </x:c>
      <x:c r="Q495" s="2" t="str">
        <x:v>Published UN country boundaries, L1 class partition, national completeness unproven;2025/2030 source projections</x:v>
      </x:c>
      <x:c r="R495" s="2" t="str">
        <x:v>https://human-settlement.emergency.copernicus.eu/datasets.php</x:v>
      </x:c>
      <x:c r="S495" s="13" t="b">
        <x:v>0</x:v>
      </x:c>
      <x:c r="T495" s="13" t="b">
        <x:v>0</x:v>
      </x:c>
    </x:row>
    <x:row r="496" ht="23" customHeight="1">
      <x:c r="A496" s="2" t="str">
        <x:v>LBY</x:v>
      </x:c>
      <x:c r="B496" s="2" t="str">
        <x:v>Libya (State of)</x:v>
      </x:c>
      <x:c r="C496" s="2" t="n">
        <x:v>2020</x:v>
      </x:c>
      <x:c r="D496" s="2" t="str">
        <x:v>WUP_SURFACE</x:v>
      </x:c>
      <x:c r="E496" s="2" t="str">
        <x:v>horizontal surface / footprint</x:v>
      </x:c>
      <x:c r="F496" s="2" t="str">
        <x:v>m2</x:v>
      </x:c>
      <x:c r="G496" s="17" t="n">
        <x:v>523048577.3</x:v>
      </x:c>
      <x:c r="H496" s="17" t="n">
        <x:v>1007615694.8703437</x:v>
      </x:c>
      <x:c r="I496" s="17" t="n">
        <x:f>IF(AND(L496,ISNUMBER(G496),ISNUMBER(H496)),G496-H496,"n.a.")</x:f>
        <x:v>-484567117.5703437</x:v>
      </x:c>
      <x:c r="J496" s="15" t="n">
        <x:f>IF(AND(L496,ISNUMBER(G496),ISNUMBER(H496),H496&gt;0),(G496-H496)/H496,"n.a.")</x:f>
        <x:v>-0.480904694157921</x:v>
      </x:c>
      <x:c r="K496" s="19" t="n">
        <x:f>IF(ISNUMBER(J496),ABS(J496),"n.a.")</x:f>
        <x:v>0.480904694157921</x:v>
      </x:c>
      <x:c r="L496" s="13" t="b">
        <x:v>1</x:v>
      </x:c>
      <x:c r="M496" s="13" t="b">
        <x:v>1</x:v>
      </x:c>
      <x:c r="N496" s="2" t="str">
        <x:v>L1_numeric_partition_qualified_not_national_completeness</x:v>
      </x:c>
      <x:c r="O496" s="2" t="str">
        <x:v>none</x:v>
      </x:c>
      <x:c r="P496" s="2" t="str">
        <x:v>historical_GHSL_BU_estimate</x:v>
      </x:c>
      <x:c r="Q496" s="2" t="str">
        <x:v>Published UN country boundaries, L1 class partition, national completeness unproven;2025/2030 source projections</x:v>
      </x:c>
      <x:c r="R496" s="2" t="str">
        <x:v>https://human-settlement.emergency.copernicus.eu/datasets.php</x:v>
      </x:c>
      <x:c r="S496" s="13" t="b">
        <x:v>0</x:v>
      </x:c>
      <x:c r="T496" s="13" t="b">
        <x:v>0</x:v>
      </x:c>
    </x:row>
    <x:row r="497" ht="23" customHeight="1">
      <x:c r="A497" s="2" t="str">
        <x:v>LCA</x:v>
      </x:c>
      <x:c r="B497" s="2" t="str">
        <x:v>Saint Lucia</x:v>
      </x:c>
      <x:c r="C497" s="2" t="n">
        <x:v>2020</x:v>
      </x:c>
      <x:c r="D497" s="2" t="str">
        <x:v>WUP_SURFACE</x:v>
      </x:c>
      <x:c r="E497" s="2" t="str">
        <x:v>horizontal surface / footprint</x:v>
      </x:c>
      <x:c r="F497" s="2" t="str">
        <x:v>m2</x:v>
      </x:c>
      <x:c r="G497" s="17" t="n">
        <x:v>10226894.6</x:v>
      </x:c>
      <x:c r="H497" s="17" t="n">
        <x:v>15660153.983425064</x:v>
      </x:c>
      <x:c r="I497" s="17" t="n">
        <x:f>IF(AND(L497,ISNUMBER(G497),ISNUMBER(H497)),G497-H497,"n.a.")</x:f>
        <x:v>-5433259.383425064</x:v>
      </x:c>
      <x:c r="J497" s="15" t="n">
        <x:f>IF(AND(L497,ISNUMBER(G497),ISNUMBER(H497),H497&gt;0),(G497-H497)/H497,"n.a.")</x:f>
        <x:v>-0.3469480178276475</x:v>
      </x:c>
      <x:c r="K497" s="19" t="n">
        <x:f>IF(ISNUMBER(J497),ABS(J497),"n.a.")</x:f>
        <x:v>0.3469480178276475</x:v>
      </x:c>
      <x:c r="L497" s="13" t="b">
        <x:v>1</x:v>
      </x:c>
      <x:c r="M497" s="13" t="b">
        <x:v>1</x:v>
      </x:c>
      <x:c r="N497" s="2" t="str">
        <x:v>L1_numeric_partition_qualified_not_national_completeness</x:v>
      </x:c>
      <x:c r="O497" s="2" t="str">
        <x:v>none</x:v>
      </x:c>
      <x:c r="P497" s="2" t="str">
        <x:v>historical_GHSL_BU_estimate</x:v>
      </x:c>
      <x:c r="Q497" s="2" t="str">
        <x:v>Published UN country boundaries, L1 class partition, national completeness unproven;2025/2030 source projections</x:v>
      </x:c>
      <x:c r="R497" s="2" t="str">
        <x:v>https://human-settlement.emergency.copernicus.eu/datasets.php</x:v>
      </x:c>
      <x:c r="S497" s="13" t="b">
        <x:v>0</x:v>
      </x:c>
      <x:c r="T497" s="13" t="b">
        <x:v>0</x:v>
      </x:c>
    </x:row>
    <x:row r="498" ht="23" customHeight="1">
      <x:c r="A498" s="2" t="str">
        <x:v>LIE</x:v>
      </x:c>
      <x:c r="B498" s="2" t="str">
        <x:v>Liechtenstein (Principality of)</x:v>
      </x:c>
      <x:c r="C498" s="2" t="n">
        <x:v>2020</x:v>
      </x:c>
      <x:c r="D498" s="2" t="str">
        <x:v>WUP_SURFACE</x:v>
      </x:c>
      <x:c r="E498" s="2" t="str">
        <x:v>horizontal surface / footprint</x:v>
      </x:c>
      <x:c r="F498" s="2" t="str">
        <x:v>m2</x:v>
      </x:c>
      <x:c r="G498" s="17" t="n">
        <x:v>3519854.45</x:v>
      </x:c>
      <x:c r="H498" s="17" t="n">
        <x:v>5124664.990694326</x:v>
      </x:c>
      <x:c r="I498" s="17" t="n">
        <x:f>IF(AND(L498,ISNUMBER(G498),ISNUMBER(H498)),G498-H498,"n.a.")</x:f>
        <x:v>-1604810.5406943262</x:v>
      </x:c>
      <x:c r="J498" s="15" t="n">
        <x:f>IF(AND(L498,ISNUMBER(G498),ISNUMBER(H498),H498&gt;0),(G498-H498)/H498,"n.a.")</x:f>
        <x:v>-0.31315423420036964</x:v>
      </x:c>
      <x:c r="K498" s="19" t="n">
        <x:f>IF(ISNUMBER(J498),ABS(J498),"n.a.")</x:f>
        <x:v>0.31315423420036964</x:v>
      </x:c>
      <x:c r="L498" s="13" t="b">
        <x:v>1</x:v>
      </x:c>
      <x:c r="M498" s="13" t="b">
        <x:v>1</x:v>
      </x:c>
      <x:c r="N498" s="2" t="str">
        <x:v>L1_numeric_partition_qualified_not_national_completeness</x:v>
      </x:c>
      <x:c r="O498" s="2" t="str">
        <x:v>none</x:v>
      </x:c>
      <x:c r="P498" s="2" t="str">
        <x:v>historical_GHSL_BU_estimate</x:v>
      </x:c>
      <x:c r="Q498" s="2" t="str">
        <x:v>Published UN country boundaries, L1 class partition, national completeness unproven;2025/2030 source projections</x:v>
      </x:c>
      <x:c r="R498" s="2" t="str">
        <x:v>https://human-settlement.emergency.copernicus.eu/datasets.php</x:v>
      </x:c>
      <x:c r="S498" s="13" t="b">
        <x:v>0</x:v>
      </x:c>
      <x:c r="T498" s="13" t="b">
        <x:v>0</x:v>
      </x:c>
    </x:row>
    <x:row r="499" ht="23" customHeight="1">
      <x:c r="A499" s="2" t="str">
        <x:v>LKA</x:v>
      </x:c>
      <x:c r="B499" s="2" t="str">
        <x:v>Sri Lanka (Democratic Socialist Republic of)</x:v>
      </x:c>
      <x:c r="C499" s="2" t="n">
        <x:v>2020</x:v>
      </x:c>
      <x:c r="D499" s="2" t="str">
        <x:v>WUP_SURFACE</x:v>
      </x:c>
      <x:c r="E499" s="2" t="str">
        <x:v>horizontal surface / footprint</x:v>
      </x:c>
      <x:c r="F499" s="2" t="str">
        <x:v>m2</x:v>
      </x:c>
      <x:c r="G499" s="17" t="n">
        <x:v>899293602.29</x:v>
      </x:c>
      <x:c r="H499" s="17" t="n">
        <x:v>984798909.2979468</x:v>
      </x:c>
      <x:c r="I499" s="17" t="n">
        <x:f>IF(AND(L499,ISNUMBER(G499),ISNUMBER(H499)),G499-H499,"n.a.")</x:f>
        <x:v>-85505307.00794685</x:v>
      </x:c>
      <x:c r="J499" s="15" t="n">
        <x:f>IF(AND(L499,ISNUMBER(G499),ISNUMBER(H499),H499&gt;0),(G499-H499)/H499,"n.a.")</x:f>
        <x:v>-0.0868251438955215</x:v>
      </x:c>
      <x:c r="K499" s="19" t="n">
        <x:f>IF(ISNUMBER(J499),ABS(J499),"n.a.")</x:f>
        <x:v>0.0868251438955215</x:v>
      </x:c>
      <x:c r="L499" s="13" t="b">
        <x:v>1</x:v>
      </x:c>
      <x:c r="M499" s="13" t="b">
        <x:v>1</x:v>
      </x:c>
      <x:c r="N499" s="2" t="str">
        <x:v>L1_numeric_partition_qualified_not_national_completeness</x:v>
      </x:c>
      <x:c r="O499" s="2" t="str">
        <x:v>none</x:v>
      </x:c>
      <x:c r="P499" s="2" t="str">
        <x:v>historical_GHSL_BU_estimate</x:v>
      </x:c>
      <x:c r="Q499" s="2" t="str">
        <x:v>Published UN country boundaries, L1 class partition, national completeness unproven;2025/2030 source projections</x:v>
      </x:c>
      <x:c r="R499" s="2" t="str">
        <x:v>https://human-settlement.emergency.copernicus.eu/datasets.php</x:v>
      </x:c>
      <x:c r="S499" s="13" t="b">
        <x:v>0</x:v>
      </x:c>
      <x:c r="T499" s="13" t="b">
        <x:v>0</x:v>
      </x:c>
    </x:row>
    <x:row r="500" ht="23" customHeight="1">
      <x:c r="A500" s="2" t="str">
        <x:v>LSO</x:v>
      </x:c>
      <x:c r="B500" s="2" t="str">
        <x:v>Lesotho (Kingdom of)</x:v>
      </x:c>
      <x:c r="C500" s="2" t="n">
        <x:v>2020</x:v>
      </x:c>
      <x:c r="D500" s="2" t="str">
        <x:v>WUP_SURFACE</x:v>
      </x:c>
      <x:c r="E500" s="2" t="str">
        <x:v>horizontal surface / footprint</x:v>
      </x:c>
      <x:c r="F500" s="2" t="str">
        <x:v>m2</x:v>
      </x:c>
      <x:c r="G500" s="17" t="n">
        <x:v>60655167.15</x:v>
      </x:c>
      <x:c r="H500" s="17" t="n">
        <x:v>210188354.9035109</x:v>
      </x:c>
      <x:c r="I500" s="17" t="n">
        <x:f>IF(AND(L500,ISNUMBER(G500),ISNUMBER(H500)),G500-H500,"n.a.")</x:f>
        <x:v>-149533187.7535109</x:v>
      </x:c>
      <x:c r="J500" s="15" t="n">
        <x:f>IF(AND(L500,ISNUMBER(G500),ISNUMBER(H500),H500&gt;0),(G500-H500)/H500,"n.a.")</x:f>
        <x:v>-0.7114247020114679</x:v>
      </x:c>
      <x:c r="K500" s="19" t="n">
        <x:f>IF(ISNUMBER(J500),ABS(J500),"n.a.")</x:f>
        <x:v>0.7114247020114679</x:v>
      </x:c>
      <x:c r="L500" s="13" t="b">
        <x:v>1</x:v>
      </x:c>
      <x:c r="M500" s="13" t="b">
        <x:v>1</x:v>
      </x:c>
      <x:c r="N500" s="2" t="str">
        <x:v>L1_numeric_partition_qualified_not_national_completeness</x:v>
      </x:c>
      <x:c r="O500" s="2" t="str">
        <x:v>none</x:v>
      </x:c>
      <x:c r="P500" s="2" t="str">
        <x:v>historical_GHSL_BU_estimate</x:v>
      </x:c>
      <x:c r="Q500" s="2" t="str">
        <x:v>Published UN country boundaries, L1 class partition, national completeness unproven;2025/2030 source projections</x:v>
      </x:c>
      <x:c r="R500" s="2" t="str">
        <x:v>https://human-settlement.emergency.copernicus.eu/datasets.php</x:v>
      </x:c>
      <x:c r="S500" s="13" t="b">
        <x:v>0</x:v>
      </x:c>
      <x:c r="T500" s="13" t="b">
        <x:v>0</x:v>
      </x:c>
    </x:row>
    <x:row r="501" ht="23" customHeight="1">
      <x:c r="A501" s="2" t="str">
        <x:v>LTU</x:v>
      </x:c>
      <x:c r="B501" s="2" t="str">
        <x:v>Lithuania (Republic of)</x:v>
      </x:c>
      <x:c r="C501" s="2" t="n">
        <x:v>2020</x:v>
      </x:c>
      <x:c r="D501" s="2" t="str">
        <x:v>WUP_SURFACE</x:v>
      </x:c>
      <x:c r="E501" s="2" t="str">
        <x:v>horizontal surface / footprint</x:v>
      </x:c>
      <x:c r="F501" s="2" t="str">
        <x:v>m2</x:v>
      </x:c>
      <x:c r="G501" s="17" t="n">
        <x:v>269070067.62</x:v>
      </x:c>
      <x:c r="H501" s="17" t="n">
        <x:v>477086393.8024533</x:v>
      </x:c>
      <x:c r="I501" s="17" t="n">
        <x:f>IF(AND(L501,ISNUMBER(G501),ISNUMBER(H501)),G501-H501,"n.a.")</x:f>
        <x:v>-208016326.18245327</x:v>
      </x:c>
      <x:c r="J501" s="15" t="n">
        <x:f>IF(AND(L501,ISNUMBER(G501),ISNUMBER(H501),H501&gt;0),(G501-H501)/H501,"n.a.")</x:f>
        <x:v>-0.43601395655937825</x:v>
      </x:c>
      <x:c r="K501" s="19" t="n">
        <x:f>IF(ISNUMBER(J501),ABS(J501),"n.a.")</x:f>
        <x:v>0.43601395655937825</x:v>
      </x:c>
      <x:c r="L501" s="13" t="b">
        <x:v>1</x:v>
      </x:c>
      <x:c r="M501" s="13" t="b">
        <x:v>1</x:v>
      </x:c>
      <x:c r="N501" s="2" t="str">
        <x:v>L1_numeric_partition_qualified_not_national_completeness</x:v>
      </x:c>
      <x:c r="O501" s="2" t="str">
        <x:v>none</x:v>
      </x:c>
      <x:c r="P501" s="2" t="str">
        <x:v>historical_GHSL_BU_estimate</x:v>
      </x:c>
      <x:c r="Q501" s="2" t="str">
        <x:v>Published UN country boundaries, L1 class partition, national completeness unproven;2025/2030 source projections</x:v>
      </x:c>
      <x:c r="R501" s="2" t="str">
        <x:v>https://human-settlement.emergency.copernicus.eu/datasets.php</x:v>
      </x:c>
      <x:c r="S501" s="13" t="b">
        <x:v>0</x:v>
      </x:c>
      <x:c r="T501" s="13" t="b">
        <x:v>0</x:v>
      </x:c>
    </x:row>
    <x:row r="502" ht="23" customHeight="1">
      <x:c r="A502" s="2" t="str">
        <x:v>LUX</x:v>
      </x:c>
      <x:c r="B502" s="2" t="str">
        <x:v>Luxembourg (Grand Duchy of)</x:v>
      </x:c>
      <x:c r="C502" s="2" t="n">
        <x:v>2020</x:v>
      </x:c>
      <x:c r="D502" s="2" t="str">
        <x:v>WUP_SURFACE</x:v>
      </x:c>
      <x:c r="E502" s="2" t="str">
        <x:v>horizontal surface / footprint</x:v>
      </x:c>
      <x:c r="F502" s="2" t="str">
        <x:v>m2</x:v>
      </x:c>
      <x:c r="G502" s="17" t="n">
        <x:v>43297332.17</x:v>
      </x:c>
      <x:c r="H502" s="17" t="n">
        <x:v>67894942.03978768</x:v>
      </x:c>
      <x:c r="I502" s="17" t="n">
        <x:f>IF(AND(L502,ISNUMBER(G502),ISNUMBER(H502)),G502-H502,"n.a.")</x:f>
        <x:v>-24597609.869787678</x:v>
      </x:c>
      <x:c r="J502" s="15" t="n">
        <x:f>IF(AND(L502,ISNUMBER(G502),ISNUMBER(H502),H502&gt;0),(G502-H502)/H502,"n.a.")</x:f>
        <x:v>-0.36228928298330426</x:v>
      </x:c>
      <x:c r="K502" s="19" t="n">
        <x:f>IF(ISNUMBER(J502),ABS(J502),"n.a.")</x:f>
        <x:v>0.36228928298330426</x:v>
      </x:c>
      <x:c r="L502" s="13" t="b">
        <x:v>1</x:v>
      </x:c>
      <x:c r="M502" s="13" t="b">
        <x:v>1</x:v>
      </x:c>
      <x:c r="N502" s="2" t="str">
        <x:v>L1_numeric_partition_qualified_not_national_completeness</x:v>
      </x:c>
      <x:c r="O502" s="2" t="str">
        <x:v>none</x:v>
      </x:c>
      <x:c r="P502" s="2" t="str">
        <x:v>historical_GHSL_BU_estimate</x:v>
      </x:c>
      <x:c r="Q502" s="2" t="str">
        <x:v>Published UN country boundaries, L1 class partition, national completeness unproven;2025/2030 source projections</x:v>
      </x:c>
      <x:c r="R502" s="2" t="str">
        <x:v>https://human-settlement.emergency.copernicus.eu/datasets.php</x:v>
      </x:c>
      <x:c r="S502" s="13" t="b">
        <x:v>0</x:v>
      </x:c>
      <x:c r="T502" s="13" t="b">
        <x:v>0</x:v>
      </x:c>
    </x:row>
    <x:row r="503" ht="23" customHeight="1">
      <x:c r="A503" s="2" t="str">
        <x:v>LVA</x:v>
      </x:c>
      <x:c r="B503" s="2" t="str">
        <x:v>Latvia (Republic of)</x:v>
      </x:c>
      <x:c r="C503" s="2" t="n">
        <x:v>2020</x:v>
      </x:c>
      <x:c r="D503" s="2" t="str">
        <x:v>WUP_SURFACE</x:v>
      </x:c>
      <x:c r="E503" s="2" t="str">
        <x:v>horizontal surface / footprint</x:v>
      </x:c>
      <x:c r="F503" s="2" t="str">
        <x:v>m2</x:v>
      </x:c>
      <x:c r="G503" s="17" t="n">
        <x:v>145154805.19</x:v>
      </x:c>
      <x:c r="H503" s="17" t="n">
        <x:v>255494711.05248618</x:v>
      </x:c>
      <x:c r="I503" s="17" t="n">
        <x:f>IF(AND(L503,ISNUMBER(G503),ISNUMBER(H503)),G503-H503,"n.a.")</x:f>
        <x:v>-110339905.86248618</x:v>
      </x:c>
      <x:c r="J503" s="15" t="n">
        <x:f>IF(AND(L503,ISNUMBER(G503),ISNUMBER(H503),H503&gt;0),(G503-H503)/H503,"n.a.")</x:f>
        <x:v>-0.43186767118564384</x:v>
      </x:c>
      <x:c r="K503" s="19" t="n">
        <x:f>IF(ISNUMBER(J503),ABS(J503),"n.a.")</x:f>
        <x:v>0.43186767118564384</x:v>
      </x:c>
      <x:c r="L503" s="13" t="b">
        <x:v>1</x:v>
      </x:c>
      <x:c r="M503" s="13" t="b">
        <x:v>1</x:v>
      </x:c>
      <x:c r="N503" s="2" t="str">
        <x:v>L1_numeric_partition_qualified_not_national_completeness</x:v>
      </x:c>
      <x:c r="O503" s="2" t="str">
        <x:v>none</x:v>
      </x:c>
      <x:c r="P503" s="2" t="str">
        <x:v>historical_GHSL_BU_estimate</x:v>
      </x:c>
      <x:c r="Q503" s="2" t="str">
        <x:v>Published UN country boundaries, L1 class partition, national completeness unproven;2025/2030 source projections</x:v>
      </x:c>
      <x:c r="R503" s="2" t="str">
        <x:v>https://human-settlement.emergency.copernicus.eu/datasets.php</x:v>
      </x:c>
      <x:c r="S503" s="13" t="b">
        <x:v>0</x:v>
      </x:c>
      <x:c r="T503" s="13" t="b">
        <x:v>0</x:v>
      </x:c>
    </x:row>
    <x:row r="504" ht="23" customHeight="1">
      <x:c r="A504" s="2" t="str">
        <x:v>MAR</x:v>
      </x:c>
      <x:c r="B504" s="2" t="str">
        <x:v>Morocco (Kingdom of)</x:v>
      </x:c>
      <x:c r="C504" s="2" t="n">
        <x:v>2020</x:v>
      </x:c>
      <x:c r="D504" s="2" t="str">
        <x:v>WUP_SURFACE</x:v>
      </x:c>
      <x:c r="E504" s="2" t="str">
        <x:v>horizontal surface / footprint</x:v>
      </x:c>
      <x:c r="F504" s="2" t="str">
        <x:v>m2</x:v>
      </x:c>
      <x:c r="G504" s="17" t="n">
        <x:v>1189658461.93</x:v>
      </x:c>
      <x:c r="H504" s="17" t="n">
        <x:v>830940279.8591127</x:v>
      </x:c>
      <x:c r="I504" s="17" t="n">
        <x:f>IF(AND(L504,ISNUMBER(G504),ISNUMBER(H504)),G504-H504,"n.a.")</x:f>
        <x:v>358718182.0708873</x:v>
      </x:c>
      <x:c r="J504" s="15" t="n">
        <x:f>IF(AND(L504,ISNUMBER(G504),ISNUMBER(H504),H504&gt;0),(G504-H504)/H504,"n.a.")</x:f>
        <x:v>0.43170152027256226</x:v>
      </x:c>
      <x:c r="K504" s="19" t="n">
        <x:f>IF(ISNUMBER(J504),ABS(J504),"n.a.")</x:f>
        <x:v>0.43170152027256226</x:v>
      </x:c>
      <x:c r="L504" s="13" t="b">
        <x:v>1</x:v>
      </x:c>
      <x:c r="M504" s="13" t="b">
        <x:v>1</x:v>
      </x:c>
      <x:c r="N504" s="2" t="str">
        <x:v>L1_numeric_partition_qualified_not_national_completeness</x:v>
      </x:c>
      <x:c r="O504" s="2" t="str">
        <x:v>none</x:v>
      </x:c>
      <x:c r="P504" s="2" t="str">
        <x:v>historical_GHSL_BU_estimate</x:v>
      </x:c>
      <x:c r="Q504" s="2" t="str">
        <x:v>Published UN country boundaries, L1 class partition, national completeness unproven;2025/2030 source projections</x:v>
      </x:c>
      <x:c r="R504" s="2" t="str">
        <x:v>https://human-settlement.emergency.copernicus.eu/datasets.php</x:v>
      </x:c>
      <x:c r="S504" s="13" t="b">
        <x:v>0</x:v>
      </x:c>
      <x:c r="T504" s="13" t="b">
        <x:v>0</x:v>
      </x:c>
    </x:row>
    <x:row r="505" ht="23" customHeight="1">
      <x:c r="A505" s="2" t="str">
        <x:v>MCO</x:v>
      </x:c>
      <x:c r="B505" s="2" t="str">
        <x:v>Monaco (Principality of)</x:v>
      </x:c>
      <x:c r="C505" s="2" t="n">
        <x:v>2020</x:v>
      </x:c>
      <x:c r="D505" s="2" t="str">
        <x:v>WUP_SURFACE</x:v>
      </x:c>
      <x:c r="E505" s="2" t="str">
        <x:v>horizontal surface / footprint</x:v>
      </x:c>
      <x:c r="F505" s="2" t="str">
        <x:v>m2</x:v>
      </x:c>
      <x:c r="G505" s="17" t="n">
        <x:v>555169</x:v>
      </x:c>
      <x:c r="H505" s="17" t="n">
        <x:v>751268.0051731877</x:v>
      </x:c>
      <x:c r="I505" s="17" t="n">
        <x:f>IF(AND(L505,ISNUMBER(G505),ISNUMBER(H505)),G505-H505,"n.a.")</x:f>
        <x:v>-196099.0051731877</x:v>
      </x:c>
      <x:c r="J505" s="15" t="n">
        <x:f>IF(AND(L505,ISNUMBER(G505),ISNUMBER(H505),H505&gt;0),(G505-H505)/H505,"n.a.")</x:f>
        <x:v>-0.2610240337973418</x:v>
      </x:c>
      <x:c r="K505" s="19" t="n">
        <x:f>IF(ISNUMBER(J505),ABS(J505),"n.a.")</x:f>
        <x:v>0.2610240337973418</x:v>
      </x:c>
      <x:c r="L505" s="13" t="b">
        <x:v>1</x:v>
      </x:c>
      <x:c r="M505" s="13" t="b">
        <x:v>1</x:v>
      </x:c>
      <x:c r="N505" s="2" t="str">
        <x:v>L1_numeric_partition_qualified_not_national_completeness</x:v>
      </x:c>
      <x:c r="O505" s="2" t="str">
        <x:v>none</x:v>
      </x:c>
      <x:c r="P505" s="2" t="str">
        <x:v>historical_GHSL_BU_estimate</x:v>
      </x:c>
      <x:c r="Q505" s="2" t="str">
        <x:v>Published UN country boundaries, L1 class partition, national completeness unproven;2025/2030 source projections</x:v>
      </x:c>
      <x:c r="R505" s="2" t="str">
        <x:v>https://human-settlement.emergency.copernicus.eu/datasets.php</x:v>
      </x:c>
      <x:c r="S505" s="13" t="b">
        <x:v>0</x:v>
      </x:c>
      <x:c r="T505" s="13" t="b">
        <x:v>0</x:v>
      </x:c>
    </x:row>
    <x:row r="506" ht="23" customHeight="1">
      <x:c r="A506" s="2" t="str">
        <x:v>MDA</x:v>
      </x:c>
      <x:c r="B506" s="2" t="str">
        <x:v>Moldova (Republic of)</x:v>
      </x:c>
      <x:c r="C506" s="2" t="n">
        <x:v>2020</x:v>
      </x:c>
      <x:c r="D506" s="2" t="str">
        <x:v>WUP_SURFACE</x:v>
      </x:c>
      <x:c r="E506" s="2" t="str">
        <x:v>horizontal surface / footprint</x:v>
      </x:c>
      <x:c r="F506" s="2" t="str">
        <x:v>m2</x:v>
      </x:c>
      <x:c r="G506" s="17" t="n">
        <x:v>254566854.83</x:v>
      </x:c>
      <x:c r="H506" s="17" t="n">
        <x:v>488421133.9322726</x:v>
      </x:c>
      <x:c r="I506" s="17" t="n">
        <x:f>IF(AND(L506,ISNUMBER(G506),ISNUMBER(H506)),G506-H506,"n.a.")</x:f>
        <x:v>-233854279.1022726</x:v>
      </x:c>
      <x:c r="J506" s="15" t="n">
        <x:f>IF(AND(L506,ISNUMBER(G506),ISNUMBER(H506),H506&gt;0),(G506-H506)/H506,"n.a.")</x:f>
        <x:v>-0.478796396911646</x:v>
      </x:c>
      <x:c r="K506" s="19" t="n">
        <x:f>IF(ISNUMBER(J506),ABS(J506),"n.a.")</x:f>
        <x:v>0.478796396911646</x:v>
      </x:c>
      <x:c r="L506" s="13" t="b">
        <x:v>1</x:v>
      </x:c>
      <x:c r="M506" s="13" t="b">
        <x:v>1</x:v>
      </x:c>
      <x:c r="N506" s="2" t="str">
        <x:v>L1_numeric_partition_qualified_not_national_completeness</x:v>
      </x:c>
      <x:c r="O506" s="2" t="str">
        <x:v>none</x:v>
      </x:c>
      <x:c r="P506" s="2" t="str">
        <x:v>historical_GHSL_BU_estimate</x:v>
      </x:c>
      <x:c r="Q506" s="2" t="str">
        <x:v>Published UN country boundaries, L1 class partition, national completeness unproven;2025/2030 source projections</x:v>
      </x:c>
      <x:c r="R506" s="2" t="str">
        <x:v>https://human-settlement.emergency.copernicus.eu/datasets.php</x:v>
      </x:c>
      <x:c r="S506" s="13" t="b">
        <x:v>0</x:v>
      </x:c>
      <x:c r="T506" s="13" t="b">
        <x:v>0</x:v>
      </x:c>
    </x:row>
    <x:row r="507" ht="23" customHeight="1">
      <x:c r="A507" s="2" t="str">
        <x:v>MDG</x:v>
      </x:c>
      <x:c r="B507" s="2" t="str">
        <x:v>Madagascar (Republic of)</x:v>
      </x:c>
      <x:c r="C507" s="2" t="n">
        <x:v>2020</x:v>
      </x:c>
      <x:c r="D507" s="2" t="str">
        <x:v>WUP_SURFACE</x:v>
      </x:c>
      <x:c r="E507" s="2" t="str">
        <x:v>horizontal surface / footprint</x:v>
      </x:c>
      <x:c r="F507" s="2" t="str">
        <x:v>m2</x:v>
      </x:c>
      <x:c r="G507" s="17" t="n">
        <x:v>360823089.8</x:v>
      </x:c>
      <x:c r="H507" s="17" t="n">
        <x:v>807916952.66796</x:v>
      </x:c>
      <x:c r="I507" s="17" t="n">
        <x:f>IF(AND(L507,ISNUMBER(G507),ISNUMBER(H507)),G507-H507,"n.a.")</x:f>
        <x:v>-447093862.86796004</x:v>
      </x:c>
      <x:c r="J507" s="15" t="n">
        <x:f>IF(AND(L507,ISNUMBER(G507),ISNUMBER(H507),H507&gt;0),(G507-H507)/H507,"n.a.")</x:f>
        <x:v>-0.5533908669592034</x:v>
      </x:c>
      <x:c r="K507" s="19" t="n">
        <x:f>IF(ISNUMBER(J507),ABS(J507),"n.a.")</x:f>
        <x:v>0.5533908669592034</x:v>
      </x:c>
      <x:c r="L507" s="13" t="b">
        <x:v>1</x:v>
      </x:c>
      <x:c r="M507" s="13" t="b">
        <x:v>1</x:v>
      </x:c>
      <x:c r="N507" s="2" t="str">
        <x:v>L1_numeric_partition_qualified_not_national_completeness</x:v>
      </x:c>
      <x:c r="O507" s="2" t="str">
        <x:v>none</x:v>
      </x:c>
      <x:c r="P507" s="2" t="str">
        <x:v>historical_GHSL_BU_estimate</x:v>
      </x:c>
      <x:c r="Q507" s="2" t="str">
        <x:v>Published UN country boundaries, L1 class partition, national completeness unproven;2025/2030 source projections</x:v>
      </x:c>
      <x:c r="R507" s="2" t="str">
        <x:v>https://human-settlement.emergency.copernicus.eu/datasets.php</x:v>
      </x:c>
      <x:c r="S507" s="13" t="b">
        <x:v>0</x:v>
      </x:c>
      <x:c r="T507" s="13" t="b">
        <x:v>0</x:v>
      </x:c>
    </x:row>
    <x:row r="508" ht="23" customHeight="1">
      <x:c r="A508" s="2" t="str">
        <x:v>MDV</x:v>
      </x:c>
      <x:c r="B508" s="2" t="str">
        <x:v>Maldives (Republic of)</x:v>
      </x:c>
      <x:c r="C508" s="2" t="n">
        <x:v>2020</x:v>
      </x:c>
      <x:c r="D508" s="2" t="str">
        <x:v>WUP_SURFACE</x:v>
      </x:c>
      <x:c r="E508" s="2" t="str">
        <x:v>horizontal surface / footprint</x:v>
      </x:c>
      <x:c r="F508" s="2" t="str">
        <x:v>m2</x:v>
      </x:c>
      <x:c r="G508" s="17" t="n">
        <x:v>2206666.83</x:v>
      </x:c>
      <x:c r="H508" s="17" t="n">
        <x:v>6356477.007677995</x:v>
      </x:c>
      <x:c r="I508" s="17" t="n">
        <x:f>IF(AND(L508,ISNUMBER(G508),ISNUMBER(H508)),G508-H508,"n.a.")</x:f>
        <x:v>-4149810.1776779946</x:v>
      </x:c>
      <x:c r="J508" s="15" t="n">
        <x:f>IF(AND(L508,ISNUMBER(G508),ISNUMBER(H508),H508&gt;0),(G508-H508)/H508,"n.a.")</x:f>
        <x:v>-0.6528475085594481</x:v>
      </x:c>
      <x:c r="K508" s="19" t="n">
        <x:f>IF(ISNUMBER(J508),ABS(J508),"n.a.")</x:f>
        <x:v>0.6528475085594481</x:v>
      </x:c>
      <x:c r="L508" s="13" t="b">
        <x:v>1</x:v>
      </x:c>
      <x:c r="M508" s="13" t="b">
        <x:v>1</x:v>
      </x:c>
      <x:c r="N508" s="2" t="str">
        <x:v>L1_numeric_partition_qualified_not_national_completeness</x:v>
      </x:c>
      <x:c r="O508" s="2" t="str">
        <x:v>none</x:v>
      </x:c>
      <x:c r="P508" s="2" t="str">
        <x:v>historical_GHSL_BU_estimate</x:v>
      </x:c>
      <x:c r="Q508" s="2" t="str">
        <x:v>Published UN country boundaries, L1 class partition, national completeness unproven;2025/2030 source projections</x:v>
      </x:c>
      <x:c r="R508" s="2" t="str">
        <x:v>https://human-settlement.emergency.copernicus.eu/datasets.php</x:v>
      </x:c>
      <x:c r="S508" s="13" t="b">
        <x:v>0</x:v>
      </x:c>
      <x:c r="T508" s="13" t="b">
        <x:v>0</x:v>
      </x:c>
    </x:row>
    <x:row r="509" ht="23" customHeight="1">
      <x:c r="A509" s="2" t="str">
        <x:v>MEX</x:v>
      </x:c>
      <x:c r="B509" s="2" t="str">
        <x:v>Mexico (United Mexican States)</x:v>
      </x:c>
      <x:c r="C509" s="2" t="n">
        <x:v>2020</x:v>
      </x:c>
      <x:c r="D509" s="2" t="str">
        <x:v>WUP_SURFACE</x:v>
      </x:c>
      <x:c r="E509" s="2" t="str">
        <x:v>horizontal surface / footprint</x:v>
      </x:c>
      <x:c r="F509" s="2" t="str">
        <x:v>m2</x:v>
      </x:c>
      <x:c r="G509" s="17" t="n">
        <x:v>6345872319.04</x:v>
      </x:c>
      <x:c r="H509" s="17" t="n">
        <x:v>9762805907.018768</x:v>
      </x:c>
      <x:c r="I509" s="17" t="n">
        <x:f>IF(AND(L509,ISNUMBER(G509),ISNUMBER(H509)),G509-H509,"n.a.")</x:f>
        <x:v>-3416933587.9787683</x:v>
      </x:c>
      <x:c r="J509" s="15" t="n">
        <x:f>IF(AND(L509,ISNUMBER(G509),ISNUMBER(H509),H509&gt;0),(G509-H509)/H509,"n.a.")</x:f>
        <x:v>-0.34999503426798995</x:v>
      </x:c>
      <x:c r="K509" s="19" t="n">
        <x:f>IF(ISNUMBER(J509),ABS(J509),"n.a.")</x:f>
        <x:v>0.34999503426798995</x:v>
      </x:c>
      <x:c r="L509" s="13" t="b">
        <x:v>1</x:v>
      </x:c>
      <x:c r="M509" s="13" t="b">
        <x:v>1</x:v>
      </x:c>
      <x:c r="N509" s="2" t="str">
        <x:v>L1_numeric_partition_qualified_not_national_completeness</x:v>
      </x:c>
      <x:c r="O509" s="2" t="str">
        <x:v>none</x:v>
      </x:c>
      <x:c r="P509" s="2" t="str">
        <x:v>historical_GHSL_BU_estimate</x:v>
      </x:c>
      <x:c r="Q509" s="2" t="str">
        <x:v>Published UN country boundaries, L1 class partition, national completeness unproven;2025/2030 source projections</x:v>
      </x:c>
      <x:c r="R509" s="2" t="str">
        <x:v>https://human-settlement.emergency.copernicus.eu/datasets.php</x:v>
      </x:c>
      <x:c r="S509" s="13" t="b">
        <x:v>0</x:v>
      </x:c>
      <x:c r="T509" s="13" t="b">
        <x:v>0</x:v>
      </x:c>
    </x:row>
    <x:row r="510" ht="23" customHeight="1">
      <x:c r="A510" s="2" t="str">
        <x:v>MHL</x:v>
      </x:c>
      <x:c r="B510" s="2" t="str">
        <x:v>Marshall Islands (Republic of the)</x:v>
      </x:c>
      <x:c r="C510" s="2" t="n">
        <x:v>2020</x:v>
      </x:c>
      <x:c r="D510" s="2" t="str">
        <x:v>WUP_SURFACE</x:v>
      </x:c>
      <x:c r="E510" s="2" t="str">
        <x:v>horizontal surface / footprint</x:v>
      </x:c>
      <x:c r="F510" s="2" t="str">
        <x:v>m2</x:v>
      </x:c>
      <x:c r="G510" s="17" t="n">
        <x:v>198896.74</x:v>
      </x:c>
      <x:c r="H510" s="17" t="n">
        <x:v>2419459.9983580927</x:v>
      </x:c>
      <x:c r="I510" s="17" t="n">
        <x:f>IF(AND(L510,ISNUMBER(G510),ISNUMBER(H510)),G510-H510,"n.a.")</x:f>
        <x:v>-2220563.258358093</x:v>
      </x:c>
      <x:c r="J510" s="15" t="n">
        <x:f>IF(AND(L510,ISNUMBER(G510),ISNUMBER(H510),H510&gt;0),(G510-H510)/H510,"n.a.")</x:f>
        <x:v>-0.917792920678591</x:v>
      </x:c>
      <x:c r="K510" s="19" t="n">
        <x:f>IF(ISNUMBER(J510),ABS(J510),"n.a.")</x:f>
        <x:v>0.917792920678591</x:v>
      </x:c>
      <x:c r="L510" s="13" t="b">
        <x:v>1</x:v>
      </x:c>
      <x:c r="M510" s="13" t="b">
        <x:v>1</x:v>
      </x:c>
      <x:c r="N510" s="2" t="str">
        <x:v>L1_numeric_partition_qualified_not_national_completeness</x:v>
      </x:c>
      <x:c r="O510" s="2" t="str">
        <x:v>none</x:v>
      </x:c>
      <x:c r="P510" s="2" t="str">
        <x:v>historical_GHSL_BU_estimate</x:v>
      </x:c>
      <x:c r="Q510" s="2" t="str">
        <x:v>Published UN country boundaries, L1 class partition, national completeness unproven;2025/2030 source projections</x:v>
      </x:c>
      <x:c r="R510" s="2" t="str">
        <x:v>https://human-settlement.emergency.copernicus.eu/datasets.php</x:v>
      </x:c>
      <x:c r="S510" s="13" t="b">
        <x:v>0</x:v>
      </x:c>
      <x:c r="T510" s="13" t="b">
        <x:v>0</x:v>
      </x:c>
    </x:row>
    <x:row r="511" ht="23" customHeight="1">
      <x:c r="A511" s="2" t="str">
        <x:v>MKD</x:v>
      </x:c>
      <x:c r="B511" s="2" t="str">
        <x:v>North Macedonia (Republic of)</x:v>
      </x:c>
      <x:c r="C511" s="2" t="n">
        <x:v>2020</x:v>
      </x:c>
      <x:c r="D511" s="2" t="str">
        <x:v>WUP_SURFACE</x:v>
      </x:c>
      <x:c r="E511" s="2" t="str">
        <x:v>horizontal surface / footprint</x:v>
      </x:c>
      <x:c r="F511" s="2" t="str">
        <x:v>m2</x:v>
      </x:c>
      <x:c r="G511" s="17" t="n">
        <x:v>122189801.59</x:v>
      </x:c>
      <x:c r="H511" s="17" t="n">
        <x:v>176132168.96862137</x:v>
      </x:c>
      <x:c r="I511" s="17" t="n">
        <x:f>IF(AND(L511,ISNUMBER(G511),ISNUMBER(H511)),G511-H511,"n.a.")</x:f>
        <x:v>-53942367.37862137</x:v>
      </x:c>
      <x:c r="J511" s="15" t="n">
        <x:f>IF(AND(L511,ISNUMBER(G511),ISNUMBER(H511),H511&gt;0),(G511-H511)/H511,"n.a.")</x:f>
        <x:v>-0.30626073416623517</x:v>
      </x:c>
      <x:c r="K511" s="19" t="n">
        <x:f>IF(ISNUMBER(J511),ABS(J511),"n.a.")</x:f>
        <x:v>0.30626073416623517</x:v>
      </x:c>
      <x:c r="L511" s="13" t="b">
        <x:v>1</x:v>
      </x:c>
      <x:c r="M511" s="13" t="b">
        <x:v>1</x:v>
      </x:c>
      <x:c r="N511" s="2" t="str">
        <x:v>L1_numeric_partition_qualified_not_national_completeness</x:v>
      </x:c>
      <x:c r="O511" s="2" t="str">
        <x:v>none</x:v>
      </x:c>
      <x:c r="P511" s="2" t="str">
        <x:v>historical_GHSL_BU_estimate</x:v>
      </x:c>
      <x:c r="Q511" s="2" t="str">
        <x:v>Published UN country boundaries, L1 class partition, national completeness unproven;2025/2030 source projections</x:v>
      </x:c>
      <x:c r="R511" s="2" t="str">
        <x:v>https://human-settlement.emergency.copernicus.eu/datasets.php</x:v>
      </x:c>
      <x:c r="S511" s="13" t="b">
        <x:v>0</x:v>
      </x:c>
      <x:c r="T511" s="13" t="b">
        <x:v>0</x:v>
      </x:c>
    </x:row>
    <x:row r="512" ht="23" customHeight="1">
      <x:c r="A512" s="2" t="str">
        <x:v>MLI</x:v>
      </x:c>
      <x:c r="B512" s="2" t="str">
        <x:v>Mali (Republic of)</x:v>
      </x:c>
      <x:c r="C512" s="2" t="n">
        <x:v>2020</x:v>
      </x:c>
      <x:c r="D512" s="2" t="str">
        <x:v>WUP_SURFACE</x:v>
      </x:c>
      <x:c r="E512" s="2" t="str">
        <x:v>horizontal surface / footprint</x:v>
      </x:c>
      <x:c r="F512" s="2" t="str">
        <x:v>m2</x:v>
      </x:c>
      <x:c r="G512" s="17" t="n">
        <x:v>323707340.75</x:v>
      </x:c>
      <x:c r="H512" s="17" t="n">
        <x:v>1033475440.1502903</x:v>
      </x:c>
      <x:c r="I512" s="17" t="n">
        <x:f>IF(AND(L512,ISNUMBER(G512),ISNUMBER(H512)),G512-H512,"n.a.")</x:f>
        <x:v>-709768099.4002903</x:v>
      </x:c>
      <x:c r="J512" s="15" t="n">
        <x:f>IF(AND(L512,ISNUMBER(G512),ISNUMBER(H512),H512&gt;0),(G512-H512)/H512,"n.a.")</x:f>
        <x:v>-0.6867779066884011</x:v>
      </x:c>
      <x:c r="K512" s="19" t="n">
        <x:f>IF(ISNUMBER(J512),ABS(J512),"n.a.")</x:f>
        <x:v>0.6867779066884011</x:v>
      </x:c>
      <x:c r="L512" s="13" t="b">
        <x:v>1</x:v>
      </x:c>
      <x:c r="M512" s="13" t="b">
        <x:v>1</x:v>
      </x:c>
      <x:c r="N512" s="2" t="str">
        <x:v>L1_numeric_partition_qualified_not_national_completeness</x:v>
      </x:c>
      <x:c r="O512" s="2" t="str">
        <x:v>none</x:v>
      </x:c>
      <x:c r="P512" s="2" t="str">
        <x:v>historical_GHSL_BU_estimate</x:v>
      </x:c>
      <x:c r="Q512" s="2" t="str">
        <x:v>Published UN country boundaries, L1 class partition, national completeness unproven;2025/2030 source projections</x:v>
      </x:c>
      <x:c r="R512" s="2" t="str">
        <x:v>https://human-settlement.emergency.copernicus.eu/datasets.php</x:v>
      </x:c>
      <x:c r="S512" s="13" t="b">
        <x:v>0</x:v>
      </x:c>
      <x:c r="T512" s="13" t="b">
        <x:v>0</x:v>
      </x:c>
    </x:row>
    <x:row r="513" ht="23" customHeight="1">
      <x:c r="A513" s="2" t="str">
        <x:v>MLT</x:v>
      </x:c>
      <x:c r="B513" s="2" t="str">
        <x:v>Malta (Republic of)</x:v>
      </x:c>
      <x:c r="C513" s="2" t="n">
        <x:v>2020</x:v>
      </x:c>
      <x:c r="D513" s="2" t="str">
        <x:v>WUP_SURFACE</x:v>
      </x:c>
      <x:c r="E513" s="2" t="str">
        <x:v>horizontal surface / footprint</x:v>
      </x:c>
      <x:c r="F513" s="2" t="str">
        <x:v>m2</x:v>
      </x:c>
      <x:c r="G513" s="17" t="n">
        <x:v>26330050.25</x:v>
      </x:c>
      <x:c r="H513" s="17" t="n">
        <x:v>34904095.010637775</x:v>
      </x:c>
      <x:c r="I513" s="17" t="n">
        <x:f>IF(AND(L513,ISNUMBER(G513),ISNUMBER(H513)),G513-H513,"n.a.")</x:f>
        <x:v>-8574044.760637775</x:v>
      </x:c>
      <x:c r="J513" s="15" t="n">
        <x:f>IF(AND(L513,ISNUMBER(G513),ISNUMBER(H513),H513&gt;0),(G513-H513)/H513,"n.a.")</x:f>
        <x:v>-0.24564581198924224</x:v>
      </x:c>
      <x:c r="K513" s="19" t="n">
        <x:f>IF(ISNUMBER(J513),ABS(J513),"n.a.")</x:f>
        <x:v>0.24564581198924224</x:v>
      </x:c>
      <x:c r="L513" s="13" t="b">
        <x:v>1</x:v>
      </x:c>
      <x:c r="M513" s="13" t="b">
        <x:v>1</x:v>
      </x:c>
      <x:c r="N513" s="2" t="str">
        <x:v>L1_numeric_partition_qualified_not_national_completeness</x:v>
      </x:c>
      <x:c r="O513" s="2" t="str">
        <x:v>none</x:v>
      </x:c>
      <x:c r="P513" s="2" t="str">
        <x:v>historical_GHSL_BU_estimate</x:v>
      </x:c>
      <x:c r="Q513" s="2" t="str">
        <x:v>Published UN country boundaries, L1 class partition, national completeness unproven;2025/2030 source projections</x:v>
      </x:c>
      <x:c r="R513" s="2" t="str">
        <x:v>https://human-settlement.emergency.copernicus.eu/datasets.php</x:v>
      </x:c>
      <x:c r="S513" s="13" t="b">
        <x:v>0</x:v>
      </x:c>
      <x:c r="T513" s="13" t="b">
        <x:v>0</x:v>
      </x:c>
    </x:row>
    <x:row r="514" ht="23" customHeight="1">
      <x:c r="A514" s="2" t="str">
        <x:v>MMR</x:v>
      </x:c>
      <x:c r="B514" s="2" t="str">
        <x:v>Myanmar (Republic of the Union of)</x:v>
      </x:c>
      <x:c r="C514" s="2" t="n">
        <x:v>2020</x:v>
      </x:c>
      <x:c r="D514" s="2" t="str">
        <x:v>WUP_SURFACE</x:v>
      </x:c>
      <x:c r="E514" s="2" t="str">
        <x:v>horizontal surface / footprint</x:v>
      </x:c>
      <x:c r="F514" s="2" t="str">
        <x:v>m2</x:v>
      </x:c>
      <x:c r="G514" s="17" t="n">
        <x:v>1377164281.68</x:v>
      </x:c>
      <x:c r="H514" s="17" t="n">
        <x:v>1226236717.688602</x:v>
      </x:c>
      <x:c r="I514" s="17" t="n">
        <x:f>IF(AND(L514,ISNUMBER(G514),ISNUMBER(H514)),G514-H514,"n.a.")</x:f>
        <x:v>150927563.9913981</x:v>
      </x:c>
      <x:c r="J514" s="15" t="n">
        <x:f>IF(AND(L514,ISNUMBER(G514),ISNUMBER(H514),H514&gt;0),(G514-H514)/H514,"n.a.")</x:f>
        <x:v>0.12308191543627024</x:v>
      </x:c>
      <x:c r="K514" s="19" t="n">
        <x:f>IF(ISNUMBER(J514),ABS(J514),"n.a.")</x:f>
        <x:v>0.12308191543627024</x:v>
      </x:c>
      <x:c r="L514" s="13" t="b">
        <x:v>1</x:v>
      </x:c>
      <x:c r="M514" s="13" t="b">
        <x:v>1</x:v>
      </x:c>
      <x:c r="N514" s="2" t="str">
        <x:v>L1_numeric_partition_qualified_not_national_completeness</x:v>
      </x:c>
      <x:c r="O514" s="2" t="str">
        <x:v>none</x:v>
      </x:c>
      <x:c r="P514" s="2" t="str">
        <x:v>historical_GHSL_BU_estimate</x:v>
      </x:c>
      <x:c r="Q514" s="2" t="str">
        <x:v>Published UN country boundaries, L1 class partition, national completeness unproven;2025/2030 source projections</x:v>
      </x:c>
      <x:c r="R514" s="2" t="str">
        <x:v>https://human-settlement.emergency.copernicus.eu/datasets.php</x:v>
      </x:c>
      <x:c r="S514" s="13" t="b">
        <x:v>0</x:v>
      </x:c>
      <x:c r="T514" s="13" t="b">
        <x:v>0</x:v>
      </x:c>
    </x:row>
    <x:row r="515" ht="23" customHeight="1">
      <x:c r="A515" s="2" t="str">
        <x:v>MNE</x:v>
      </x:c>
      <x:c r="B515" s="2" t="str">
        <x:v>Montenegro</x:v>
      </x:c>
      <x:c r="C515" s="2" t="n">
        <x:v>2020</x:v>
      </x:c>
      <x:c r="D515" s="2" t="str">
        <x:v>WUP_SURFACE</x:v>
      </x:c>
      <x:c r="E515" s="2" t="str">
        <x:v>horizontal surface / footprint</x:v>
      </x:c>
      <x:c r="F515" s="2" t="str">
        <x:v>m2</x:v>
      </x:c>
      <x:c r="G515" s="17" t="n">
        <x:v>39447648.86</x:v>
      </x:c>
      <x:c r="H515" s="17" t="n">
        <x:v>40512506.12172407</x:v>
      </x:c>
      <x:c r="I515" s="17" t="n">
        <x:f>IF(AND(L515,ISNUMBER(G515),ISNUMBER(H515)),G515-H515,"n.a.")</x:f>
        <x:v>-1064857.2617240697</x:v>
      </x:c>
      <x:c r="J515" s="15" t="n">
        <x:f>IF(AND(L515,ISNUMBER(G515),ISNUMBER(H515),H515&gt;0),(G515-H515)/H515,"n.a.")</x:f>
        <x:v>-0.0262846553734443</x:v>
      </x:c>
      <x:c r="K515" s="19" t="n">
        <x:f>IF(ISNUMBER(J515),ABS(J515),"n.a.")</x:f>
        <x:v>0.0262846553734443</x:v>
      </x:c>
      <x:c r="L515" s="13" t="b">
        <x:v>1</x:v>
      </x:c>
      <x:c r="M515" s="13" t="b">
        <x:v>1</x:v>
      </x:c>
      <x:c r="N515" s="2" t="str">
        <x:v>L1_numeric_partition_qualified_not_national_completeness</x:v>
      </x:c>
      <x:c r="O515" s="2" t="str">
        <x:v>none</x:v>
      </x:c>
      <x:c r="P515" s="2" t="str">
        <x:v>historical_GHSL_BU_estimate</x:v>
      </x:c>
      <x:c r="Q515" s="2" t="str">
        <x:v>Published UN country boundaries, L1 class partition, national completeness unproven;2025/2030 source projections</x:v>
      </x:c>
      <x:c r="R515" s="2" t="str">
        <x:v>https://human-settlement.emergency.copernicus.eu/datasets.php</x:v>
      </x:c>
      <x:c r="S515" s="13" t="b">
        <x:v>0</x:v>
      </x:c>
      <x:c r="T515" s="13" t="b">
        <x:v>0</x:v>
      </x:c>
    </x:row>
    <x:row r="516" ht="23" customHeight="1">
      <x:c r="A516" s="2" t="str">
        <x:v>MNG</x:v>
      </x:c>
      <x:c r="B516" s="2" t="str">
        <x:v>Mongolia</x:v>
      </x:c>
      <x:c r="C516" s="2" t="n">
        <x:v>2020</x:v>
      </x:c>
      <x:c r="D516" s="2" t="str">
        <x:v>WUP_SURFACE</x:v>
      </x:c>
      <x:c r="E516" s="2" t="str">
        <x:v>horizontal surface / footprint</x:v>
      </x:c>
      <x:c r="F516" s="2" t="str">
        <x:v>m2</x:v>
      </x:c>
      <x:c r="G516" s="17" t="n">
        <x:v>83111291.45</x:v>
      </x:c>
      <x:c r="H516" s="17" t="n">
        <x:v>160899892.81459567</x:v>
      </x:c>
      <x:c r="I516" s="17" t="n">
        <x:f>IF(AND(L516,ISNUMBER(G516),ISNUMBER(H516)),G516-H516,"n.a.")</x:f>
        <x:v>-77788601.36459567</x:v>
      </x:c>
      <x:c r="J516" s="15" t="n">
        <x:f>IF(AND(L516,ISNUMBER(G516),ISNUMBER(H516),H516&gt;0),(G516-H516)/H516,"n.a.")</x:f>
        <x:v>-0.4834596220286559</x:v>
      </x:c>
      <x:c r="K516" s="19" t="n">
        <x:f>IF(ISNUMBER(J516),ABS(J516),"n.a.")</x:f>
        <x:v>0.4834596220286559</x:v>
      </x:c>
      <x:c r="L516" s="13" t="b">
        <x:v>1</x:v>
      </x:c>
      <x:c r="M516" s="13" t="b">
        <x:v>1</x:v>
      </x:c>
      <x:c r="N516" s="2" t="str">
        <x:v>L1_numeric_partition_qualified_not_national_completeness</x:v>
      </x:c>
      <x:c r="O516" s="2" t="str">
        <x:v>none</x:v>
      </x:c>
      <x:c r="P516" s="2" t="str">
        <x:v>historical_GHSL_BU_estimate</x:v>
      </x:c>
      <x:c r="Q516" s="2" t="str">
        <x:v>Published UN country boundaries, L1 class partition, national completeness unproven;2025/2030 source projections</x:v>
      </x:c>
      <x:c r="R516" s="2" t="str">
        <x:v>https://human-settlement.emergency.copernicus.eu/datasets.php</x:v>
      </x:c>
      <x:c r="S516" s="13" t="b">
        <x:v>0</x:v>
      </x:c>
      <x:c r="T516" s="13" t="b">
        <x:v>0</x:v>
      </x:c>
    </x:row>
    <x:row r="517" ht="23" customHeight="1">
      <x:c r="A517" s="2" t="str">
        <x:v>MOZ</x:v>
      </x:c>
      <x:c r="B517" s="2" t="str">
        <x:v>Mozambique (Republic of)</x:v>
      </x:c>
      <x:c r="C517" s="2" t="n">
        <x:v>2020</x:v>
      </x:c>
      <x:c r="D517" s="2" t="str">
        <x:v>WUP_SURFACE</x:v>
      </x:c>
      <x:c r="E517" s="2" t="str">
        <x:v>horizontal surface / footprint</x:v>
      </x:c>
      <x:c r="F517" s="2" t="str">
        <x:v>m2</x:v>
      </x:c>
      <x:c r="G517" s="17" t="n">
        <x:v>540811235.53</x:v>
      </x:c>
      <x:c r="H517" s="17" t="n">
        <x:v>1946079434.3725688</x:v>
      </x:c>
      <x:c r="I517" s="17" t="n">
        <x:f>IF(AND(L517,ISNUMBER(G517),ISNUMBER(H517)),G517-H517,"n.a.")</x:f>
        <x:v>-1405268198.8425689</x:v>
      </x:c>
      <x:c r="J517" s="15" t="n">
        <x:f>IF(AND(L517,ISNUMBER(G517),ISNUMBER(H517),H517&gt;0),(G517-H517)/H517,"n.a.")</x:f>
        <x:v>-0.7221021783705547</x:v>
      </x:c>
      <x:c r="K517" s="19" t="n">
        <x:f>IF(ISNUMBER(J517),ABS(J517),"n.a.")</x:f>
        <x:v>0.7221021783705547</x:v>
      </x:c>
      <x:c r="L517" s="13" t="b">
        <x:v>1</x:v>
      </x:c>
      <x:c r="M517" s="13" t="b">
        <x:v>1</x:v>
      </x:c>
      <x:c r="N517" s="2" t="str">
        <x:v>L1_numeric_partition_qualified_not_national_completeness</x:v>
      </x:c>
      <x:c r="O517" s="2" t="str">
        <x:v>none</x:v>
      </x:c>
      <x:c r="P517" s="2" t="str">
        <x:v>historical_GHSL_BU_estimate</x:v>
      </x:c>
      <x:c r="Q517" s="2" t="str">
        <x:v>Published UN country boundaries, L1 class partition, national completeness unproven;2025/2030 source projections</x:v>
      </x:c>
      <x:c r="R517" s="2" t="str">
        <x:v>https://human-settlement.emergency.copernicus.eu/datasets.php</x:v>
      </x:c>
      <x:c r="S517" s="13" t="b">
        <x:v>0</x:v>
      </x:c>
      <x:c r="T517" s="13" t="b">
        <x:v>0</x:v>
      </x:c>
    </x:row>
    <x:row r="518" ht="23" customHeight="1">
      <x:c r="A518" s="2" t="str">
        <x:v>MRT</x:v>
      </x:c>
      <x:c r="B518" s="2" t="str">
        <x:v>Mauritania (Islamic Republic of)</x:v>
      </x:c>
      <x:c r="C518" s="2" t="n">
        <x:v>2020</x:v>
      </x:c>
      <x:c r="D518" s="2" t="str">
        <x:v>WUP_SURFACE</x:v>
      </x:c>
      <x:c r="E518" s="2" t="str">
        <x:v>horizontal surface / footprint</x:v>
      </x:c>
      <x:c r="F518" s="2" t="str">
        <x:v>m2</x:v>
      </x:c>
      <x:c r="G518" s="17" t="n">
        <x:v>97384454.07</x:v>
      </x:c>
      <x:c r="H518" s="17" t="n">
        <x:v>225713140.8755389</x:v>
      </x:c>
      <x:c r="I518" s="17" t="n">
        <x:f>IF(AND(L518,ISNUMBER(G518),ISNUMBER(H518)),G518-H518,"n.a.")</x:f>
        <x:v>-128328686.8055389</x:v>
      </x:c>
      <x:c r="J518" s="15" t="n">
        <x:f>IF(AND(L518,ISNUMBER(G518),ISNUMBER(H518),H518&gt;0),(G518-H518)/H518,"n.a.")</x:f>
        <x:v>-0.5685476986752002</x:v>
      </x:c>
      <x:c r="K518" s="19" t="n">
        <x:f>IF(ISNUMBER(J518),ABS(J518),"n.a.")</x:f>
        <x:v>0.5685476986752002</x:v>
      </x:c>
      <x:c r="L518" s="13" t="b">
        <x:v>1</x:v>
      </x:c>
      <x:c r="M518" s="13" t="b">
        <x:v>1</x:v>
      </x:c>
      <x:c r="N518" s="2" t="str">
        <x:v>L1_numeric_partition_qualified_not_national_completeness</x:v>
      </x:c>
      <x:c r="O518" s="2" t="str">
        <x:v>none</x:v>
      </x:c>
      <x:c r="P518" s="2" t="str">
        <x:v>historical_GHSL_BU_estimate</x:v>
      </x:c>
      <x:c r="Q518" s="2" t="str">
        <x:v>Published UN country boundaries, L1 class partition, national completeness unproven;2025/2030 source projections</x:v>
      </x:c>
      <x:c r="R518" s="2" t="str">
        <x:v>https://human-settlement.emergency.copernicus.eu/datasets.php</x:v>
      </x:c>
      <x:c r="S518" s="13" t="b">
        <x:v>0</x:v>
      </x:c>
      <x:c r="T518" s="13" t="b">
        <x:v>0</x:v>
      </x:c>
    </x:row>
    <x:row r="519" ht="23" customHeight="1">
      <x:c r="A519" s="2" t="str">
        <x:v>MUS</x:v>
      </x:c>
      <x:c r="B519" s="2" t="str">
        <x:v>Mauritius (Republic of)</x:v>
      </x:c>
      <x:c r="C519" s="2" t="n">
        <x:v>2020</x:v>
      </x:c>
      <x:c r="D519" s="2" t="str">
        <x:v>WUP_SURFACE</x:v>
      </x:c>
      <x:c r="E519" s="2" t="str">
        <x:v>horizontal surface / footprint</x:v>
      </x:c>
      <x:c r="F519" s="2" t="str">
        <x:v>m2</x:v>
      </x:c>
      <x:c r="G519" s="17" t="n">
        <x:v>64765689.96</x:v>
      </x:c>
      <x:c r="H519" s="17" t="n">
        <x:v>74043178.96130703</x:v>
      </x:c>
      <x:c r="I519" s="17" t="n">
        <x:f>IF(AND(L519,ISNUMBER(G519),ISNUMBER(H519)),G519-H519,"n.a.")</x:f>
        <x:v>-9277489.001307033</x:v>
      </x:c>
      <x:c r="J519" s="15" t="n">
        <x:f>IF(AND(L519,ISNUMBER(G519),ISNUMBER(H519),H519&gt;0),(G519-H519)/H519,"n.a.")</x:f>
        <x:v>-0.1252983614622381</x:v>
      </x:c>
      <x:c r="K519" s="19" t="n">
        <x:f>IF(ISNUMBER(J519),ABS(J519),"n.a.")</x:f>
        <x:v>0.1252983614622381</x:v>
      </x:c>
      <x:c r="L519" s="13" t="b">
        <x:v>1</x:v>
      </x:c>
      <x:c r="M519" s="13" t="b">
        <x:v>1</x:v>
      </x:c>
      <x:c r="N519" s="2" t="str">
        <x:v>L1_numeric_partition_qualified_not_national_completeness</x:v>
      </x:c>
      <x:c r="O519" s="2" t="str">
        <x:v>none</x:v>
      </x:c>
      <x:c r="P519" s="2" t="str">
        <x:v>historical_GHSL_BU_estimate</x:v>
      </x:c>
      <x:c r="Q519" s="2" t="str">
        <x:v>Published UN country boundaries, L1 class partition, national completeness unproven;2025/2030 source projections</x:v>
      </x:c>
      <x:c r="R519" s="2" t="str">
        <x:v>https://human-settlement.emergency.copernicus.eu/datasets.php</x:v>
      </x:c>
      <x:c r="S519" s="13" t="b">
        <x:v>0</x:v>
      </x:c>
      <x:c r="T519" s="13" t="b">
        <x:v>0</x:v>
      </x:c>
    </x:row>
    <x:row r="520" ht="23" customHeight="1">
      <x:c r="A520" s="2" t="str">
        <x:v>MWI</x:v>
      </x:c>
      <x:c r="B520" s="2" t="str">
        <x:v>Malawi (Republic of)</x:v>
      </x:c>
      <x:c r="C520" s="2" t="n">
        <x:v>2020</x:v>
      </x:c>
      <x:c r="D520" s="2" t="str">
        <x:v>WUP_SURFACE</x:v>
      </x:c>
      <x:c r="E520" s="2" t="str">
        <x:v>horizontal surface / footprint</x:v>
      </x:c>
      <x:c r="F520" s="2" t="str">
        <x:v>m2</x:v>
      </x:c>
      <x:c r="G520" s="17" t="n">
        <x:v>330771641.02</x:v>
      </x:c>
      <x:c r="H520" s="17" t="n">
        <x:v>1096645518.849963</x:v>
      </x:c>
      <x:c r="I520" s="17" t="n">
        <x:f>IF(AND(L520,ISNUMBER(G520),ISNUMBER(H520)),G520-H520,"n.a.")</x:f>
        <x:v>-765873877.829963</x:v>
      </x:c>
      <x:c r="J520" s="15" t="n">
        <x:f>IF(AND(L520,ISNUMBER(G520),ISNUMBER(H520),H520&gt;0),(G520-H520)/H520,"n.a.")</x:f>
        <x:v>-0.698378705484635</x:v>
      </x:c>
      <x:c r="K520" s="19" t="n">
        <x:f>IF(ISNUMBER(J520),ABS(J520),"n.a.")</x:f>
        <x:v>0.698378705484635</x:v>
      </x:c>
      <x:c r="L520" s="13" t="b">
        <x:v>1</x:v>
      </x:c>
      <x:c r="M520" s="13" t="b">
        <x:v>1</x:v>
      </x:c>
      <x:c r="N520" s="2" t="str">
        <x:v>L1_numeric_partition_qualified_not_national_completeness</x:v>
      </x:c>
      <x:c r="O520" s="2" t="str">
        <x:v>none</x:v>
      </x:c>
      <x:c r="P520" s="2" t="str">
        <x:v>historical_GHSL_BU_estimate</x:v>
      </x:c>
      <x:c r="Q520" s="2" t="str">
        <x:v>Published UN country boundaries, L1 class partition, national completeness unproven;2025/2030 source projections</x:v>
      </x:c>
      <x:c r="R520" s="2" t="str">
        <x:v>https://human-settlement.emergency.copernicus.eu/datasets.php</x:v>
      </x:c>
      <x:c r="S520" s="13" t="b">
        <x:v>0</x:v>
      </x:c>
      <x:c r="T520" s="13" t="b">
        <x:v>0</x:v>
      </x:c>
    </x:row>
    <x:row r="521" ht="23" customHeight="1">
      <x:c r="A521" s="2" t="str">
        <x:v>MYS</x:v>
      </x:c>
      <x:c r="B521" s="2" t="str">
        <x:v>Malaysia</x:v>
      </x:c>
      <x:c r="C521" s="2" t="n">
        <x:v>2020</x:v>
      </x:c>
      <x:c r="D521" s="2" t="str">
        <x:v>WUP_SURFACE</x:v>
      </x:c>
      <x:c r="E521" s="2" t="str">
        <x:v>horizontal surface / footprint</x:v>
      </x:c>
      <x:c r="F521" s="2" t="str">
        <x:v>m2</x:v>
      </x:c>
      <x:c r="G521" s="17" t="n">
        <x:v>1923172736.52</x:v>
      </x:c>
      <x:c r="H521" s="17" t="n">
        <x:v>2067567185.869002</x:v>
      </x:c>
      <x:c r="I521" s="17" t="n">
        <x:f>IF(AND(L521,ISNUMBER(G521),ISNUMBER(H521)),G521-H521,"n.a.")</x:f>
        <x:v>-144394449.34900212</x:v>
      </x:c>
      <x:c r="J521" s="15" t="n">
        <x:f>IF(AND(L521,ISNUMBER(G521),ISNUMBER(H521),H521&gt;0),(G521-H521)/H521,"n.a.")</x:f>
        <x:v>-0.06983785114016157</x:v>
      </x:c>
      <x:c r="K521" s="19" t="n">
        <x:f>IF(ISNUMBER(J521),ABS(J521),"n.a.")</x:f>
        <x:v>0.06983785114016157</x:v>
      </x:c>
      <x:c r="L521" s="13" t="b">
        <x:v>1</x:v>
      </x:c>
      <x:c r="M521" s="13" t="b">
        <x:v>1</x:v>
      </x:c>
      <x:c r="N521" s="2" t="str">
        <x:v>L1_numeric_partition_qualified_not_national_completeness</x:v>
      </x:c>
      <x:c r="O521" s="2" t="str">
        <x:v>none</x:v>
      </x:c>
      <x:c r="P521" s="2" t="str">
        <x:v>historical_GHSL_BU_estimate</x:v>
      </x:c>
      <x:c r="Q521" s="2" t="str">
        <x:v>Published UN country boundaries, L1 class partition, national completeness unproven;2025/2030 source projections</x:v>
      </x:c>
      <x:c r="R521" s="2" t="str">
        <x:v>https://human-settlement.emergency.copernicus.eu/datasets.php</x:v>
      </x:c>
      <x:c r="S521" s="13" t="b">
        <x:v>0</x:v>
      </x:c>
      <x:c r="T521" s="13" t="b">
        <x:v>0</x:v>
      </x:c>
    </x:row>
    <x:row r="522" ht="23" customHeight="1">
      <x:c r="A522" s="2" t="str">
        <x:v>NAM</x:v>
      </x:c>
      <x:c r="B522" s="2" t="str">
        <x:v>Namibia (Republic of)</x:v>
      </x:c>
      <x:c r="C522" s="2" t="n">
        <x:v>2020</x:v>
      </x:c>
      <x:c r="D522" s="2" t="str">
        <x:v>WUP_SURFACE</x:v>
      </x:c>
      <x:c r="E522" s="2" t="str">
        <x:v>horizontal surface / footprint</x:v>
      </x:c>
      <x:c r="F522" s="2" t="str">
        <x:v>m2</x:v>
      </x:c>
      <x:c r="G522" s="17" t="n">
        <x:v>112405609.31</x:v>
      </x:c>
      <x:c r="H522" s="17" t="n">
        <x:v>301328274.969822</x:v>
      </x:c>
      <x:c r="I522" s="17" t="n">
        <x:f>IF(AND(L522,ISNUMBER(G522),ISNUMBER(H522)),G522-H522,"n.a.")</x:f>
        <x:v>-188922665.659822</x:v>
      </x:c>
      <x:c r="J522" s="15" t="n">
        <x:f>IF(AND(L522,ISNUMBER(G522),ISNUMBER(H522),H522&gt;0),(G522-H522)/H522,"n.a.")</x:f>
        <x:v>-0.6269662735060046</x:v>
      </x:c>
      <x:c r="K522" s="19" t="n">
        <x:f>IF(ISNUMBER(J522),ABS(J522),"n.a.")</x:f>
        <x:v>0.6269662735060046</x:v>
      </x:c>
      <x:c r="L522" s="13" t="b">
        <x:v>1</x:v>
      </x:c>
      <x:c r="M522" s="13" t="b">
        <x:v>1</x:v>
      </x:c>
      <x:c r="N522" s="2" t="str">
        <x:v>L1_numeric_partition_qualified_not_national_completeness</x:v>
      </x:c>
      <x:c r="O522" s="2" t="str">
        <x:v>none</x:v>
      </x:c>
      <x:c r="P522" s="2" t="str">
        <x:v>historical_GHSL_BU_estimate</x:v>
      </x:c>
      <x:c r="Q522" s="2" t="str">
        <x:v>Published UN country boundaries, L1 class partition, national completeness unproven;2025/2030 source projections</x:v>
      </x:c>
      <x:c r="R522" s="2" t="str">
        <x:v>https://human-settlement.emergency.copernicus.eu/datasets.php</x:v>
      </x:c>
      <x:c r="S522" s="13" t="b">
        <x:v>0</x:v>
      </x:c>
      <x:c r="T522" s="13" t="b">
        <x:v>0</x:v>
      </x:c>
    </x:row>
    <x:row r="523" ht="23" customHeight="1">
      <x:c r="A523" s="2" t="str">
        <x:v>NER</x:v>
      </x:c>
      <x:c r="B523" s="2" t="str">
        <x:v>Niger (Republic of the)</x:v>
      </x:c>
      <x:c r="C523" s="2" t="n">
        <x:v>2020</x:v>
      </x:c>
      <x:c r="D523" s="2" t="str">
        <x:v>WUP_SURFACE</x:v>
      </x:c>
      <x:c r="E523" s="2" t="str">
        <x:v>horizontal surface / footprint</x:v>
      </x:c>
      <x:c r="F523" s="2" t="str">
        <x:v>m2</x:v>
      </x:c>
      <x:c r="G523" s="17" t="n">
        <x:v>203236516.43</x:v>
      </x:c>
      <x:c r="H523" s="17" t="n">
        <x:v>723520897.8383732</x:v>
      </x:c>
      <x:c r="I523" s="17" t="n">
        <x:f>IF(AND(L523,ISNUMBER(G523),ISNUMBER(H523)),G523-H523,"n.a.")</x:f>
        <x:v>-520284381.4083732</x:v>
      </x:c>
      <x:c r="J523" s="15" t="n">
        <x:f>IF(AND(L523,ISNUMBER(G523),ISNUMBER(H523),H523&gt;0),(G523-H523)/H523,"n.a.")</x:f>
        <x:v>-0.7191006962795415</x:v>
      </x:c>
      <x:c r="K523" s="19" t="n">
        <x:f>IF(ISNUMBER(J523),ABS(J523),"n.a.")</x:f>
        <x:v>0.7191006962795415</x:v>
      </x:c>
      <x:c r="L523" s="13" t="b">
        <x:v>1</x:v>
      </x:c>
      <x:c r="M523" s="13" t="b">
        <x:v>1</x:v>
      </x:c>
      <x:c r="N523" s="2" t="str">
        <x:v>L1_numeric_partition_qualified_not_national_completeness</x:v>
      </x:c>
      <x:c r="O523" s="2" t="str">
        <x:v>none</x:v>
      </x:c>
      <x:c r="P523" s="2" t="str">
        <x:v>historical_GHSL_BU_estimate</x:v>
      </x:c>
      <x:c r="Q523" s="2" t="str">
        <x:v>Published UN country boundaries, L1 class partition, national completeness unproven;2025/2030 source projections</x:v>
      </x:c>
      <x:c r="R523" s="2" t="str">
        <x:v>https://human-settlement.emergency.copernicus.eu/datasets.php</x:v>
      </x:c>
      <x:c r="S523" s="13" t="b">
        <x:v>0</x:v>
      </x:c>
      <x:c r="T523" s="13" t="b">
        <x:v>0</x:v>
      </x:c>
    </x:row>
    <x:row r="524" ht="23" customHeight="1">
      <x:c r="A524" s="2" t="str">
        <x:v>NGA</x:v>
      </x:c>
      <x:c r="B524" s="2" t="str">
        <x:v>Nigeria (Federal Republic of)</x:v>
      </x:c>
      <x:c r="C524" s="2" t="n">
        <x:v>2020</x:v>
      </x:c>
      <x:c r="D524" s="2" t="str">
        <x:v>WUP_SURFACE</x:v>
      </x:c>
      <x:c r="E524" s="2" t="str">
        <x:v>horizontal surface / footprint</x:v>
      </x:c>
      <x:c r="F524" s="2" t="str">
        <x:v>m2</x:v>
      </x:c>
      <x:c r="G524" s="17" t="n">
        <x:v>4102804870.27</x:v>
      </x:c>
      <x:c r="H524" s="17" t="n">
        <x:v>8191198036.130508</x:v>
      </x:c>
      <x:c r="I524" s="17" t="n">
        <x:f>IF(AND(L524,ISNUMBER(G524),ISNUMBER(H524)),G524-H524,"n.a.")</x:f>
        <x:v>-4088393165.8605084</x:v>
      </x:c>
      <x:c r="J524" s="15" t="n">
        <x:f>IF(AND(L524,ISNUMBER(G524),ISNUMBER(H524),H524&gt;0),(G524-H524)/H524,"n.a.")</x:f>
        <x:v>-0.4991202932497833</x:v>
      </x:c>
      <x:c r="K524" s="19" t="n">
        <x:f>IF(ISNUMBER(J524),ABS(J524),"n.a.")</x:f>
        <x:v>0.4991202932497833</x:v>
      </x:c>
      <x:c r="L524" s="13" t="b">
        <x:v>1</x:v>
      </x:c>
      <x:c r="M524" s="13" t="b">
        <x:v>1</x:v>
      </x:c>
      <x:c r="N524" s="2" t="str">
        <x:v>L1_numeric_partition_qualified_not_national_completeness</x:v>
      </x:c>
      <x:c r="O524" s="2" t="str">
        <x:v>none</x:v>
      </x:c>
      <x:c r="P524" s="2" t="str">
        <x:v>historical_GHSL_BU_estimate</x:v>
      </x:c>
      <x:c r="Q524" s="2" t="str">
        <x:v>Published UN country boundaries, L1 class partition, national completeness unproven;2025/2030 source projections</x:v>
      </x:c>
      <x:c r="R524" s="2" t="str">
        <x:v>https://human-settlement.emergency.copernicus.eu/datasets.php</x:v>
      </x:c>
      <x:c r="S524" s="13" t="b">
        <x:v>0</x:v>
      </x:c>
      <x:c r="T524" s="13" t="b">
        <x:v>0</x:v>
      </x:c>
    </x:row>
    <x:row r="525" ht="23" customHeight="1">
      <x:c r="A525" s="2" t="str">
        <x:v>NIC</x:v>
      </x:c>
      <x:c r="B525" s="2" t="str">
        <x:v>Nicaragua (Republic of)</x:v>
      </x:c>
      <x:c r="C525" s="2" t="n">
        <x:v>2020</x:v>
      </x:c>
      <x:c r="D525" s="2" t="str">
        <x:v>WUP_SURFACE</x:v>
      </x:c>
      <x:c r="E525" s="2" t="str">
        <x:v>horizontal surface / footprint</x:v>
      </x:c>
      <x:c r="F525" s="2" t="str">
        <x:v>m2</x:v>
      </x:c>
      <x:c r="G525" s="17" t="n">
        <x:v>201940338.65</x:v>
      </x:c>
      <x:c r="H525" s="17" t="n">
        <x:v>298532468.20258904</x:v>
      </x:c>
      <x:c r="I525" s="17" t="n">
        <x:f>IF(AND(L525,ISNUMBER(G525),ISNUMBER(H525)),G525-H525,"n.a.")</x:f>
        <x:v>-96592129.55258903</x:v>
      </x:c>
      <x:c r="J525" s="15" t="n">
        <x:f>IF(AND(L525,ISNUMBER(G525),ISNUMBER(H525),H525&gt;0),(G525-H525)/H525,"n.a.")</x:f>
        <x:v>-0.3235565301628767</x:v>
      </x:c>
      <x:c r="K525" s="19" t="n">
        <x:f>IF(ISNUMBER(J525),ABS(J525),"n.a.")</x:f>
        <x:v>0.3235565301628767</x:v>
      </x:c>
      <x:c r="L525" s="13" t="b">
        <x:v>1</x:v>
      </x:c>
      <x:c r="M525" s="13" t="b">
        <x:v>1</x:v>
      </x:c>
      <x:c r="N525" s="2" t="str">
        <x:v>L1_numeric_partition_qualified_not_national_completeness</x:v>
      </x:c>
      <x:c r="O525" s="2" t="str">
        <x:v>none</x:v>
      </x:c>
      <x:c r="P525" s="2" t="str">
        <x:v>historical_GHSL_BU_estimate</x:v>
      </x:c>
      <x:c r="Q525" s="2" t="str">
        <x:v>Published UN country boundaries, L1 class partition, national completeness unproven;2025/2030 source projections</x:v>
      </x:c>
      <x:c r="R525" s="2" t="str">
        <x:v>https://human-settlement.emergency.copernicus.eu/datasets.php</x:v>
      </x:c>
      <x:c r="S525" s="13" t="b">
        <x:v>0</x:v>
      </x:c>
      <x:c r="T525" s="13" t="b">
        <x:v>0</x:v>
      </x:c>
    </x:row>
    <x:row r="526" ht="23" customHeight="1">
      <x:c r="A526" s="2" t="str">
        <x:v>NLD</x:v>
      </x:c>
      <x:c r="B526" s="2" t="str">
        <x:v>Netherlands (Kingdom of the)</x:v>
      </x:c>
      <x:c r="C526" s="2" t="n">
        <x:v>2020</x:v>
      </x:c>
      <x:c r="D526" s="2" t="str">
        <x:v>WUP_SURFACE</x:v>
      </x:c>
      <x:c r="E526" s="2" t="str">
        <x:v>horizontal surface / footprint</x:v>
      </x:c>
      <x:c r="F526" s="2" t="str">
        <x:v>m2</x:v>
      </x:c>
      <x:c r="G526" s="17" t="n">
        <x:v>1263819429.15</x:v>
      </x:c>
      <x:c r="H526" s="17" t="n">
        <x:v>1907111935.276258</x:v>
      </x:c>
      <x:c r="I526" s="17" t="n">
        <x:f>IF(AND(L526,ISNUMBER(G526),ISNUMBER(H526)),G526-H526,"n.a.")</x:f>
        <x:v>-643292506.1262579</x:v>
      </x:c>
      <x:c r="J526" s="15" t="n">
        <x:f>IF(AND(L526,ISNUMBER(G526),ISNUMBER(H526),H526&gt;0),(G526-H526)/H526,"n.a.")</x:f>
        <x:v>-0.33731240113762523</x:v>
      </x:c>
      <x:c r="K526" s="19" t="n">
        <x:f>IF(ISNUMBER(J526),ABS(J526),"n.a.")</x:f>
        <x:v>0.33731240113762523</x:v>
      </x:c>
      <x:c r="L526" s="13" t="b">
        <x:v>1</x:v>
      </x:c>
      <x:c r="M526" s="13" t="b">
        <x:v>1</x:v>
      </x:c>
      <x:c r="N526" s="2" t="str">
        <x:v>L1_numeric_partition_qualified_not_national_completeness</x:v>
      </x:c>
      <x:c r="O526" s="2" t="str">
        <x:v>none</x:v>
      </x:c>
      <x:c r="P526" s="2" t="str">
        <x:v>historical_GHSL_BU_estimate</x:v>
      </x:c>
      <x:c r="Q526" s="2" t="str">
        <x:v>Published UN country boundaries, L1 class partition, national completeness unproven;2025/2030 source projections</x:v>
      </x:c>
      <x:c r="R526" s="2" t="str">
        <x:v>https://human-settlement.emergency.copernicus.eu/datasets.php</x:v>
      </x:c>
      <x:c r="S526" s="13" t="b">
        <x:v>0</x:v>
      </x:c>
      <x:c r="T526" s="13" t="b">
        <x:v>0</x:v>
      </x:c>
    </x:row>
    <x:row r="527" ht="23" customHeight="1">
      <x:c r="A527" s="2" t="str">
        <x:v>NOR</x:v>
      </x:c>
      <x:c r="B527" s="2" t="str">
        <x:v>Norway (Kingdom of)</x:v>
      </x:c>
      <x:c r="C527" s="2" t="n">
        <x:v>2020</x:v>
      </x:c>
      <x:c r="D527" s="2" t="str">
        <x:v>WUP_SURFACE</x:v>
      </x:c>
      <x:c r="E527" s="2" t="str">
        <x:v>horizontal surface / footprint</x:v>
      </x:c>
      <x:c r="F527" s="2" t="str">
        <x:v>m2</x:v>
      </x:c>
      <x:c r="G527" s="17" t="n">
        <x:v>478516256.61</x:v>
      </x:c>
      <x:c r="H527" s="17" t="n">
        <x:v>402253104.2124926</x:v>
      </x:c>
      <x:c r="I527" s="17" t="n">
        <x:f>IF(AND(L527,ISNUMBER(G527),ISNUMBER(H527)),G527-H527,"n.a.")</x:f>
        <x:v>76263152.39750743</x:v>
      </x:c>
      <x:c r="J527" s="15" t="n">
        <x:f>IF(AND(L527,ISNUMBER(G527),ISNUMBER(H527),H527&gt;0),(G527-H527)/H527,"n.a.")</x:f>
        <x:v>0.1895899661155156</x:v>
      </x:c>
      <x:c r="K527" s="19" t="n">
        <x:f>IF(ISNUMBER(J527),ABS(J527),"n.a.")</x:f>
        <x:v>0.1895899661155156</x:v>
      </x:c>
      <x:c r="L527" s="13" t="b">
        <x:v>1</x:v>
      </x:c>
      <x:c r="M527" s="13" t="b">
        <x:v>1</x:v>
      </x:c>
      <x:c r="N527" s="2" t="str">
        <x:v>L1_numeric_partition_qualified_not_national_completeness</x:v>
      </x:c>
      <x:c r="O527" s="2" t="str">
        <x:v>none</x:v>
      </x:c>
      <x:c r="P527" s="2" t="str">
        <x:v>historical_GHSL_BU_estimate</x:v>
      </x:c>
      <x:c r="Q527" s="2" t="str">
        <x:v>Published UN country boundaries, L1 class partition, national completeness unproven;2025/2030 source projections</x:v>
      </x:c>
      <x:c r="R527" s="2" t="str">
        <x:v>https://human-settlement.emergency.copernicus.eu/datasets.php</x:v>
      </x:c>
      <x:c r="S527" s="13" t="b">
        <x:v>0</x:v>
      </x:c>
      <x:c r="T527" s="13" t="b">
        <x:v>0</x:v>
      </x:c>
    </x:row>
    <x:row r="528" ht="23" customHeight="1">
      <x:c r="A528" s="2" t="str">
        <x:v>NPL</x:v>
      </x:c>
      <x:c r="B528" s="2" t="str">
        <x:v>Nepal (Federal Democratic Republic of)</x:v>
      </x:c>
      <x:c r="C528" s="2" t="n">
        <x:v>2020</x:v>
      </x:c>
      <x:c r="D528" s="2" t="str">
        <x:v>WUP_SURFACE</x:v>
      </x:c>
      <x:c r="E528" s="2" t="str">
        <x:v>horizontal surface / footprint</x:v>
      </x:c>
      <x:c r="F528" s="2" t="str">
        <x:v>m2</x:v>
      </x:c>
      <x:c r="G528" s="17" t="n">
        <x:v>656084354.5</x:v>
      </x:c>
      <x:c r="H528" s="17" t="n">
        <x:v>1101961973.0921273</x:v>
      </x:c>
      <x:c r="I528" s="17" t="n">
        <x:f>IF(AND(L528,ISNUMBER(G528),ISNUMBER(H528)),G528-H528,"n.a.")</x:f>
        <x:v>-445877618.5921273</x:v>
      </x:c>
      <x:c r="J528" s="15" t="n">
        <x:f>IF(AND(L528,ISNUMBER(G528),ISNUMBER(H528),H528&gt;0),(G528-H528)/H528,"n.a.")</x:f>
        <x:v>-0.4046216017245911</x:v>
      </x:c>
      <x:c r="K528" s="19" t="n">
        <x:f>IF(ISNUMBER(J528),ABS(J528),"n.a.")</x:f>
        <x:v>0.4046216017245911</x:v>
      </x:c>
      <x:c r="L528" s="13" t="b">
        <x:v>1</x:v>
      </x:c>
      <x:c r="M528" s="13" t="b">
        <x:v>1</x:v>
      </x:c>
      <x:c r="N528" s="2" t="str">
        <x:v>L1_numeric_partition_qualified_not_national_completeness</x:v>
      </x:c>
      <x:c r="O528" s="2" t="str">
        <x:v>none</x:v>
      </x:c>
      <x:c r="P528" s="2" t="str">
        <x:v>historical_GHSL_BU_estimate</x:v>
      </x:c>
      <x:c r="Q528" s="2" t="str">
        <x:v>Published UN country boundaries, L1 class partition, national completeness unproven;2025/2030 source projections</x:v>
      </x:c>
      <x:c r="R528" s="2" t="str">
        <x:v>https://human-settlement.emergency.copernicus.eu/datasets.php</x:v>
      </x:c>
      <x:c r="S528" s="13" t="b">
        <x:v>0</x:v>
      </x:c>
      <x:c r="T528" s="13" t="b">
        <x:v>0</x:v>
      </x:c>
    </x:row>
    <x:row r="529" ht="23" customHeight="1">
      <x:c r="A529" s="2" t="str">
        <x:v>NRU</x:v>
      </x:c>
      <x:c r="B529" s="2" t="str">
        <x:v>Nauru (Republic of)</x:v>
      </x:c>
      <x:c r="C529" s="2" t="n">
        <x:v>2020</x:v>
      </x:c>
      <x:c r="D529" s="2" t="str">
        <x:v>WUP_SURFACE</x:v>
      </x:c>
      <x:c r="E529" s="2" t="str">
        <x:v>horizontal surface / footprint</x:v>
      </x:c>
      <x:c r="F529" s="2" t="str">
        <x:v>m2</x:v>
      </x:c>
      <x:c r="G529" s="17" t="n">
        <x:v>405989.38</x:v>
      </x:c>
      <x:c r="H529" s="17" t="n">
        <x:v>753905.9966875357</x:v>
      </x:c>
      <x:c r="I529" s="17" t="n">
        <x:f>IF(AND(L529,ISNUMBER(G529),ISNUMBER(H529)),G529-H529,"n.a.")</x:f>
        <x:v>-347916.61668753566</x:v>
      </x:c>
      <x:c r="J529" s="15" t="n">
        <x:f>IF(AND(L529,ISNUMBER(G529),ISNUMBER(H529),H529&gt;0),(G529-H529)/H529,"n.a.")</x:f>
        <x:v>-0.4614854082819206</x:v>
      </x:c>
      <x:c r="K529" s="19" t="n">
        <x:f>IF(ISNUMBER(J529),ABS(J529),"n.a.")</x:f>
        <x:v>0.4614854082819206</x:v>
      </x:c>
      <x:c r="L529" s="13" t="b">
        <x:v>1</x:v>
      </x:c>
      <x:c r="M529" s="13" t="b">
        <x:v>1</x:v>
      </x:c>
      <x:c r="N529" s="2" t="str">
        <x:v>L1_numeric_partition_qualified_not_national_completeness</x:v>
      </x:c>
      <x:c r="O529" s="2" t="str">
        <x:v>none</x:v>
      </x:c>
      <x:c r="P529" s="2" t="str">
        <x:v>historical_GHSL_BU_estimate</x:v>
      </x:c>
      <x:c r="Q529" s="2" t="str">
        <x:v>Published UN country boundaries, L1 class partition, national completeness unproven;2025/2030 source projections</x:v>
      </x:c>
      <x:c r="R529" s="2" t="str">
        <x:v>https://human-settlement.emergency.copernicus.eu/datasets.php</x:v>
      </x:c>
      <x:c r="S529" s="13" t="b">
        <x:v>0</x:v>
      </x:c>
      <x:c r="T529" s="13" t="b">
        <x:v>0</x:v>
      </x:c>
    </x:row>
    <x:row r="530" ht="23" customHeight="1">
      <x:c r="A530" s="2" t="str">
        <x:v>NZL</x:v>
      </x:c>
      <x:c r="B530" s="2" t="str">
        <x:v>New Zealand</x:v>
      </x:c>
      <x:c r="C530" s="2" t="n">
        <x:v>2020</x:v>
      </x:c>
      <x:c r="D530" s="2" t="str">
        <x:v>WUP_SURFACE</x:v>
      </x:c>
      <x:c r="E530" s="2" t="str">
        <x:v>horizontal surface / footprint</x:v>
      </x:c>
      <x:c r="F530" s="2" t="str">
        <x:v>m2</x:v>
      </x:c>
      <x:c r="G530" s="17" t="n">
        <x:v>553529463.79</x:v>
      </x:c>
      <x:c r="H530" s="17" t="n">
        <x:v>963823875.4474204</x:v>
      </x:c>
      <x:c r="I530" s="17" t="n">
        <x:f>IF(AND(L530,ISNUMBER(G530),ISNUMBER(H530)),G530-H530,"n.a.")</x:f>
        <x:v>-410294411.6574204</x:v>
      </x:c>
      <x:c r="J530" s="15" t="n">
        <x:f>IF(AND(L530,ISNUMBER(G530),ISNUMBER(H530),H530&gt;0),(G530-H530)/H530,"n.a.")</x:f>
        <x:v>-0.42569438474115</x:v>
      </x:c>
      <x:c r="K530" s="19" t="n">
        <x:f>IF(ISNUMBER(J530),ABS(J530),"n.a.")</x:f>
        <x:v>0.42569438474115</x:v>
      </x:c>
      <x:c r="L530" s="13" t="b">
        <x:v>1</x:v>
      </x:c>
      <x:c r="M530" s="13" t="b">
        <x:v>1</x:v>
      </x:c>
      <x:c r="N530" s="2" t="str">
        <x:v>L1_numeric_partition_qualified_not_national_completeness</x:v>
      </x:c>
      <x:c r="O530" s="2" t="str">
        <x:v>none</x:v>
      </x:c>
      <x:c r="P530" s="2" t="str">
        <x:v>historical_GHSL_BU_estimate</x:v>
      </x:c>
      <x:c r="Q530" s="2" t="str">
        <x:v>Published UN country boundaries, L1 class partition, national completeness unproven;2025/2030 source projections</x:v>
      </x:c>
      <x:c r="R530" s="2" t="str">
        <x:v>https://human-settlement.emergency.copernicus.eu/datasets.php</x:v>
      </x:c>
      <x:c r="S530" s="13" t="b">
        <x:v>0</x:v>
      </x:c>
      <x:c r="T530" s="13" t="b">
        <x:v>0</x:v>
      </x:c>
    </x:row>
    <x:row r="531" ht="23" customHeight="1">
      <x:c r="A531" s="2" t="str">
        <x:v>OMN</x:v>
      </x:c>
      <x:c r="B531" s="2" t="str">
        <x:v>Oman (Sultanate of)</x:v>
      </x:c>
      <x:c r="C531" s="2" t="n">
        <x:v>2020</x:v>
      </x:c>
      <x:c r="D531" s="2" t="str">
        <x:v>WUP_SURFACE</x:v>
      </x:c>
      <x:c r="E531" s="2" t="str">
        <x:v>horizontal surface / footprint</x:v>
      </x:c>
      <x:c r="F531" s="2" t="str">
        <x:v>m2</x:v>
      </x:c>
      <x:c r="G531" s="17" t="n">
        <x:v>262659820.85</x:v>
      </x:c>
      <x:c r="H531" s="17" t="n">
        <x:v>438211242.9416793</x:v>
      </x:c>
      <x:c r="I531" s="17" t="n">
        <x:f>IF(AND(L531,ISNUMBER(G531),ISNUMBER(H531)),G531-H531,"n.a.")</x:f>
        <x:v>-175551422.0916793</x:v>
      </x:c>
      <x:c r="J531" s="15" t="n">
        <x:f>IF(AND(L531,ISNUMBER(G531),ISNUMBER(H531),H531&gt;0),(G531-H531)/H531,"n.a.")</x:f>
        <x:v>-0.40060912383994474</x:v>
      </x:c>
      <x:c r="K531" s="19" t="n">
        <x:f>IF(ISNUMBER(J531),ABS(J531),"n.a.")</x:f>
        <x:v>0.40060912383994474</x:v>
      </x:c>
      <x:c r="L531" s="13" t="b">
        <x:v>1</x:v>
      </x:c>
      <x:c r="M531" s="13" t="b">
        <x:v>1</x:v>
      </x:c>
      <x:c r="N531" s="2" t="str">
        <x:v>L1_numeric_partition_qualified_not_national_completeness</x:v>
      </x:c>
      <x:c r="O531" s="2" t="str">
        <x:v>none</x:v>
      </x:c>
      <x:c r="P531" s="2" t="str">
        <x:v>historical_GHSL_BU_estimate</x:v>
      </x:c>
      <x:c r="Q531" s="2" t="str">
        <x:v>Published UN country boundaries, L1 class partition, national completeness unproven;2025/2030 source projections</x:v>
      </x:c>
      <x:c r="R531" s="2" t="str">
        <x:v>https://human-settlement.emergency.copernicus.eu/datasets.php</x:v>
      </x:c>
      <x:c r="S531" s="13" t="b">
        <x:v>0</x:v>
      </x:c>
      <x:c r="T531" s="13" t="b">
        <x:v>0</x:v>
      </x:c>
    </x:row>
    <x:row r="532" ht="23" customHeight="1">
      <x:c r="A532" s="2" t="str">
        <x:v>PAK</x:v>
      </x:c>
      <x:c r="B532" s="2" t="str">
        <x:v>Pakistan (Islamic Republic of)</x:v>
      </x:c>
      <x:c r="C532" s="2" t="n">
        <x:v>2020</x:v>
      </x:c>
      <x:c r="D532" s="2" t="str">
        <x:v>WUP_SURFACE</x:v>
      </x:c>
      <x:c r="E532" s="2" t="str">
        <x:v>horizontal surface / footprint</x:v>
      </x:c>
      <x:c r="F532" s="2" t="str">
        <x:v>m2</x:v>
      </x:c>
      <x:c r="G532" s="17" t="n">
        <x:v>4301390083.52</x:v>
      </x:c>
      <x:c r="H532" s="17" t="n">
        <x:v>6256683450.581376</x:v>
      </x:c>
      <x:c r="I532" s="17" t="n">
        <x:f>IF(AND(L532,ISNUMBER(G532),ISNUMBER(H532)),G532-H532,"n.a.")</x:f>
        <x:v>-1955293367.0613756</x:v>
      </x:c>
      <x:c r="J532" s="15" t="n">
        <x:f>IF(AND(L532,ISNUMBER(G532),ISNUMBER(H532),H532&gt;0),(G532-H532)/H532,"n.a.")</x:f>
        <x:v>-0.31251275256377054</x:v>
      </x:c>
      <x:c r="K532" s="19" t="n">
        <x:f>IF(ISNUMBER(J532),ABS(J532),"n.a.")</x:f>
        <x:v>0.31251275256377054</x:v>
      </x:c>
      <x:c r="L532" s="13" t="b">
        <x:v>1</x:v>
      </x:c>
      <x:c r="M532" s="13" t="b">
        <x:v>1</x:v>
      </x:c>
      <x:c r="N532" s="2" t="str">
        <x:v>L1_numeric_partition_qualified_not_national_completeness</x:v>
      </x:c>
      <x:c r="O532" s="2" t="str">
        <x:v>none</x:v>
      </x:c>
      <x:c r="P532" s="2" t="str">
        <x:v>historical_GHSL_BU_estimate</x:v>
      </x:c>
      <x:c r="Q532" s="2" t="str">
        <x:v>Published UN country boundaries, L1 class partition, national completeness unproven;2025/2030 source projections</x:v>
      </x:c>
      <x:c r="R532" s="2" t="str">
        <x:v>https://human-settlement.emergency.copernicus.eu/datasets.php</x:v>
      </x:c>
      <x:c r="S532" s="13" t="b">
        <x:v>0</x:v>
      </x:c>
      <x:c r="T532" s="13" t="b">
        <x:v>0</x:v>
      </x:c>
    </x:row>
    <x:row r="533" ht="23" customHeight="1">
      <x:c r="A533" s="2" t="str">
        <x:v>PAN</x:v>
      </x:c>
      <x:c r="B533" s="2" t="str">
        <x:v>Panama (Republic of)</x:v>
      </x:c>
      <x:c r="C533" s="2" t="n">
        <x:v>2020</x:v>
      </x:c>
      <x:c r="D533" s="2" t="str">
        <x:v>WUP_SURFACE</x:v>
      </x:c>
      <x:c r="E533" s="2" t="str">
        <x:v>horizontal surface / footprint</x:v>
      </x:c>
      <x:c r="F533" s="2" t="str">
        <x:v>m2</x:v>
      </x:c>
      <x:c r="G533" s="17" t="n">
        <x:v>209722829.78</x:v>
      </x:c>
      <x:c r="H533" s="17" t="n">
        <x:v>291288538.1392319</x:v>
      </x:c>
      <x:c r="I533" s="17" t="n">
        <x:f>IF(AND(L533,ISNUMBER(G533),ISNUMBER(H533)),G533-H533,"n.a.")</x:f>
        <x:v>-81565708.35923192</x:v>
      </x:c>
      <x:c r="J533" s="15" t="n">
        <x:f>IF(AND(L533,ISNUMBER(G533),ISNUMBER(H533),H533&gt;0),(G533-H533)/H533,"n.a.")</x:f>
        <x:v>-0.2800168825051559</x:v>
      </x:c>
      <x:c r="K533" s="19" t="n">
        <x:f>IF(ISNUMBER(J533),ABS(J533),"n.a.")</x:f>
        <x:v>0.2800168825051559</x:v>
      </x:c>
      <x:c r="L533" s="13" t="b">
        <x:v>1</x:v>
      </x:c>
      <x:c r="M533" s="13" t="b">
        <x:v>1</x:v>
      </x:c>
      <x:c r="N533" s="2" t="str">
        <x:v>L1_numeric_partition_qualified_not_national_completeness</x:v>
      </x:c>
      <x:c r="O533" s="2" t="str">
        <x:v>none</x:v>
      </x:c>
      <x:c r="P533" s="2" t="str">
        <x:v>historical_GHSL_BU_estimate</x:v>
      </x:c>
      <x:c r="Q533" s="2" t="str">
        <x:v>Published UN country boundaries, L1 class partition, national completeness unproven;2025/2030 source projections</x:v>
      </x:c>
      <x:c r="R533" s="2" t="str">
        <x:v>https://human-settlement.emergency.copernicus.eu/datasets.php</x:v>
      </x:c>
      <x:c r="S533" s="13" t="b">
        <x:v>0</x:v>
      </x:c>
      <x:c r="T533" s="13" t="b">
        <x:v>0</x:v>
      </x:c>
    </x:row>
    <x:row r="534" ht="23" customHeight="1">
      <x:c r="A534" s="2" t="str">
        <x:v>PER</x:v>
      </x:c>
      <x:c r="B534" s="2" t="str">
        <x:v>Peru (Republic of)</x:v>
      </x:c>
      <x:c r="C534" s="2" t="n">
        <x:v>2020</x:v>
      </x:c>
      <x:c r="D534" s="2" t="str">
        <x:v>WUP_SURFACE</x:v>
      </x:c>
      <x:c r="E534" s="2" t="str">
        <x:v>horizontal surface / footprint</x:v>
      </x:c>
      <x:c r="F534" s="2" t="str">
        <x:v>m2</x:v>
      </x:c>
      <x:c r="G534" s="17" t="n">
        <x:v>1228349086.86</x:v>
      </x:c>
      <x:c r="H534" s="17" t="n">
        <x:v>1468922753.8804944</x:v>
      </x:c>
      <x:c r="I534" s="17" t="n">
        <x:f>IF(AND(L534,ISNUMBER(G534),ISNUMBER(H534)),G534-H534,"n.a.")</x:f>
        <x:v>-240573667.02049446</x:v>
      </x:c>
      <x:c r="J534" s="15" t="n">
        <x:f>IF(AND(L534,ISNUMBER(G534),ISNUMBER(H534),H534&gt;0),(G534-H534)/H534,"n.a.")</x:f>
        <x:v>-0.16377557389247616</x:v>
      </x:c>
      <x:c r="K534" s="19" t="n">
        <x:f>IF(ISNUMBER(J534),ABS(J534),"n.a.")</x:f>
        <x:v>0.16377557389247616</x:v>
      </x:c>
      <x:c r="L534" s="13" t="b">
        <x:v>1</x:v>
      </x:c>
      <x:c r="M534" s="13" t="b">
        <x:v>1</x:v>
      </x:c>
      <x:c r="N534" s="2" t="str">
        <x:v>L1_numeric_partition_qualified_not_national_completeness</x:v>
      </x:c>
      <x:c r="O534" s="2" t="str">
        <x:v>none</x:v>
      </x:c>
      <x:c r="P534" s="2" t="str">
        <x:v>historical_GHSL_BU_estimate</x:v>
      </x:c>
      <x:c r="Q534" s="2" t="str">
        <x:v>Published UN country boundaries, L1 class partition, national completeness unproven;2025/2030 source projections</x:v>
      </x:c>
      <x:c r="R534" s="2" t="str">
        <x:v>https://human-settlement.emergency.copernicus.eu/datasets.php</x:v>
      </x:c>
      <x:c r="S534" s="13" t="b">
        <x:v>0</x:v>
      </x:c>
      <x:c r="T534" s="13" t="b">
        <x:v>0</x:v>
      </x:c>
    </x:row>
    <x:row r="535" ht="23" customHeight="1">
      <x:c r="A535" s="2" t="str">
        <x:v>PHL</x:v>
      </x:c>
      <x:c r="B535" s="2" t="str">
        <x:v>Philippines (Republic of the)</x:v>
      </x:c>
      <x:c r="C535" s="2" t="n">
        <x:v>2020</x:v>
      </x:c>
      <x:c r="D535" s="2" t="str">
        <x:v>WUP_SURFACE</x:v>
      </x:c>
      <x:c r="E535" s="2" t="str">
        <x:v>horizontal surface / footprint</x:v>
      </x:c>
      <x:c r="F535" s="2" t="str">
        <x:v>m2</x:v>
      </x:c>
      <x:c r="G535" s="17" t="n">
        <x:v>2290609295.4</x:v>
      </x:c>
      <x:c r="H535" s="17" t="n">
        <x:v>2415345169.4013467</x:v>
      </x:c>
      <x:c r="I535" s="17" t="n">
        <x:f>IF(AND(L535,ISNUMBER(G535),ISNUMBER(H535)),G535-H535,"n.a.")</x:f>
        <x:v>-124735874.00134659</x:v>
      </x:c>
      <x:c r="J535" s="15" t="n">
        <x:f>IF(AND(L535,ISNUMBER(G535),ISNUMBER(H535),H535&gt;0),(G535-H535)/H535,"n.a.")</x:f>
        <x:v>-0.05164308421899918</x:v>
      </x:c>
      <x:c r="K535" s="19" t="n">
        <x:f>IF(ISNUMBER(J535),ABS(J535),"n.a.")</x:f>
        <x:v>0.05164308421899918</x:v>
      </x:c>
      <x:c r="L535" s="13" t="b">
        <x:v>1</x:v>
      </x:c>
      <x:c r="M535" s="13" t="b">
        <x:v>1</x:v>
      </x:c>
      <x:c r="N535" s="2" t="str">
        <x:v>L1_numeric_partition_qualified_not_national_completeness</x:v>
      </x:c>
      <x:c r="O535" s="2" t="str">
        <x:v>none</x:v>
      </x:c>
      <x:c r="P535" s="2" t="str">
        <x:v>historical_GHSL_BU_estimate</x:v>
      </x:c>
      <x:c r="Q535" s="2" t="str">
        <x:v>Published UN country boundaries, L1 class partition, national completeness unproven;2025/2030 source projections</x:v>
      </x:c>
      <x:c r="R535" s="2" t="str">
        <x:v>https://human-settlement.emergency.copernicus.eu/datasets.php</x:v>
      </x:c>
      <x:c r="S535" s="13" t="b">
        <x:v>0</x:v>
      </x:c>
      <x:c r="T535" s="13" t="b">
        <x:v>0</x:v>
      </x:c>
    </x:row>
    <x:row r="536" ht="23" customHeight="1">
      <x:c r="A536" s="2" t="str">
        <x:v>PLW</x:v>
      </x:c>
      <x:c r="B536" s="2" t="str">
        <x:v>Palau (Republic of)</x:v>
      </x:c>
      <x:c r="C536" s="2" t="n">
        <x:v>2020</x:v>
      </x:c>
      <x:c r="D536" s="2" t="str">
        <x:v>WUP_SURFACE</x:v>
      </x:c>
      <x:c r="E536" s="2" t="str">
        <x:v>horizontal surface / footprint</x:v>
      </x:c>
      <x:c r="F536" s="2" t="str">
        <x:v>m2</x:v>
      </x:c>
      <x:c r="G536" s="17" t="n">
        <x:v>1152226.26</x:v>
      </x:c>
      <x:c r="H536" s="17" t="n">
        <x:v>1284489.9999239487</x:v>
      </x:c>
      <x:c r="I536" s="17" t="n">
        <x:f>IF(AND(L536,ISNUMBER(G536),ISNUMBER(H536)),G536-H536,"n.a.")</x:f>
        <x:v>-132263.73992394865</x:v>
      </x:c>
      <x:c r="J536" s="15" t="n">
        <x:f>IF(AND(L536,ISNUMBER(G536),ISNUMBER(H536),H536&gt;0),(G536-H536)/H536,"n.a.")</x:f>
        <x:v>-0.10296984790210874</x:v>
      </x:c>
      <x:c r="K536" s="19" t="n">
        <x:f>IF(ISNUMBER(J536),ABS(J536),"n.a.")</x:f>
        <x:v>0.10296984790210874</x:v>
      </x:c>
      <x:c r="L536" s="13" t="b">
        <x:v>1</x:v>
      </x:c>
      <x:c r="M536" s="13" t="b">
        <x:v>1</x:v>
      </x:c>
      <x:c r="N536" s="2" t="str">
        <x:v>L1_numeric_partition_qualified_not_national_completeness</x:v>
      </x:c>
      <x:c r="O536" s="2" t="str">
        <x:v>none</x:v>
      </x:c>
      <x:c r="P536" s="2" t="str">
        <x:v>historical_GHSL_BU_estimate</x:v>
      </x:c>
      <x:c r="Q536" s="2" t="str">
        <x:v>Published UN country boundaries, L1 class partition, national completeness unproven;2025/2030 source projections</x:v>
      </x:c>
      <x:c r="R536" s="2" t="str">
        <x:v>https://human-settlement.emergency.copernicus.eu/datasets.php</x:v>
      </x:c>
      <x:c r="S536" s="13" t="b">
        <x:v>0</x:v>
      </x:c>
      <x:c r="T536" s="13" t="b">
        <x:v>0</x:v>
      </x:c>
    </x:row>
    <x:row r="537" ht="23" customHeight="1">
      <x:c r="A537" s="2" t="str">
        <x:v>PNG</x:v>
      </x:c>
      <x:c r="B537" s="2" t="str">
        <x:v>Papua New Guinea (Independent State of)</x:v>
      </x:c>
      <x:c r="C537" s="2" t="n">
        <x:v>2020</x:v>
      </x:c>
      <x:c r="D537" s="2" t="str">
        <x:v>WUP_SURFACE</x:v>
      </x:c>
      <x:c r="E537" s="2" t="str">
        <x:v>horizontal surface / footprint</x:v>
      </x:c>
      <x:c r="F537" s="2" t="str">
        <x:v>m2</x:v>
      </x:c>
      <x:c r="G537" s="17" t="n">
        <x:v>111325792.03</x:v>
      </x:c>
      <x:c r="H537" s="17" t="n">
        <x:v>188950877.017159</x:v>
      </x:c>
      <x:c r="I537" s="17" t="n">
        <x:f>IF(AND(L537,ISNUMBER(G537),ISNUMBER(H537)),G537-H537,"n.a.")</x:f>
        <x:v>-77625084.98715898</x:v>
      </x:c>
      <x:c r="J537" s="15" t="n">
        <x:f>IF(AND(L537,ISNUMBER(G537),ISNUMBER(H537),H537&gt;0),(G537-H537)/H537,"n.a.")</x:f>
        <x:v>-0.4108215119854125</x:v>
      </x:c>
      <x:c r="K537" s="19" t="n">
        <x:f>IF(ISNUMBER(J537),ABS(J537),"n.a.")</x:f>
        <x:v>0.4108215119854125</x:v>
      </x:c>
      <x:c r="L537" s="13" t="b">
        <x:v>1</x:v>
      </x:c>
      <x:c r="M537" s="13" t="b">
        <x:v>1</x:v>
      </x:c>
      <x:c r="N537" s="2" t="str">
        <x:v>L1_numeric_partition_qualified_not_national_completeness</x:v>
      </x:c>
      <x:c r="O537" s="2" t="str">
        <x:v>none</x:v>
      </x:c>
      <x:c r="P537" s="2" t="str">
        <x:v>historical_GHSL_BU_estimate</x:v>
      </x:c>
      <x:c r="Q537" s="2" t="str">
        <x:v>Published UN country boundaries, L1 class partition, national completeness unproven;2025/2030 source projections</x:v>
      </x:c>
      <x:c r="R537" s="2" t="str">
        <x:v>https://human-settlement.emergency.copernicus.eu/datasets.php</x:v>
      </x:c>
      <x:c r="S537" s="13" t="b">
        <x:v>0</x:v>
      </x:c>
      <x:c r="T537" s="13" t="b">
        <x:v>0</x:v>
      </x:c>
    </x:row>
    <x:row r="538" ht="23" customHeight="1">
      <x:c r="A538" s="2" t="str">
        <x:v>POL</x:v>
      </x:c>
      <x:c r="B538" s="2" t="str">
        <x:v>Poland (Republic of)</x:v>
      </x:c>
      <x:c r="C538" s="2" t="n">
        <x:v>2020</x:v>
      </x:c>
      <x:c r="D538" s="2" t="str">
        <x:v>WUP_SURFACE</x:v>
      </x:c>
      <x:c r="E538" s="2" t="str">
        <x:v>horizontal surface / footprint</x:v>
      </x:c>
      <x:c r="F538" s="2" t="str">
        <x:v>m2</x:v>
      </x:c>
      <x:c r="G538" s="17" t="n">
        <x:v>2573023573.53</x:v>
      </x:c>
      <x:c r="H538" s="17" t="n">
        <x:v>4546888793.225267</x:v>
      </x:c>
      <x:c r="I538" s="17" t="n">
        <x:f>IF(AND(L538,ISNUMBER(G538),ISNUMBER(H538)),G538-H538,"n.a.")</x:f>
        <x:v>-1973865219.6952672</x:v>
      </x:c>
      <x:c r="J538" s="15" t="n">
        <x:f>IF(AND(L538,ISNUMBER(G538),ISNUMBER(H538),H538&gt;0),(G538-H538)/H538,"n.a.")</x:f>
        <x:v>-0.4341133705834788</x:v>
      </x:c>
      <x:c r="K538" s="19" t="n">
        <x:f>IF(ISNUMBER(J538),ABS(J538),"n.a.")</x:f>
        <x:v>0.4341133705834788</x:v>
      </x:c>
      <x:c r="L538" s="13" t="b">
        <x:v>1</x:v>
      </x:c>
      <x:c r="M538" s="13" t="b">
        <x:v>1</x:v>
      </x:c>
      <x:c r="N538" s="2" t="str">
        <x:v>L1_numeric_partition_qualified_not_national_completeness</x:v>
      </x:c>
      <x:c r="O538" s="2" t="str">
        <x:v>none</x:v>
      </x:c>
      <x:c r="P538" s="2" t="str">
        <x:v>historical_GHSL_BU_estimate</x:v>
      </x:c>
      <x:c r="Q538" s="2" t="str">
        <x:v>Published UN country boundaries, L1 class partition, national completeness unproven;2025/2030 source projections</x:v>
      </x:c>
      <x:c r="R538" s="2" t="str">
        <x:v>https://human-settlement.emergency.copernicus.eu/datasets.php</x:v>
      </x:c>
      <x:c r="S538" s="13" t="b">
        <x:v>0</x:v>
      </x:c>
      <x:c r="T538" s="13" t="b">
        <x:v>0</x:v>
      </x:c>
    </x:row>
    <x:row r="539" ht="23" customHeight="1">
      <x:c r="A539" s="2" t="str">
        <x:v>PRK</x:v>
      </x:c>
      <x:c r="B539" s="2" t="str">
        <x:v>Korea (Democratic People's Republic of)</x:v>
      </x:c>
      <x:c r="C539" s="2" t="n">
        <x:v>2020</x:v>
      </x:c>
      <x:c r="D539" s="2" t="str">
        <x:v>WUP_SURFACE</x:v>
      </x:c>
      <x:c r="E539" s="2" t="str">
        <x:v>horizontal surface / footprint</x:v>
      </x:c>
      <x:c r="F539" s="2" t="str">
        <x:v>m2</x:v>
      </x:c>
      <x:c r="G539" s="17" t="n">
        <x:v>463540849.51</x:v>
      </x:c>
      <x:c r="H539" s="17" t="n">
        <x:v>377674861.30029035</x:v>
      </x:c>
      <x:c r="I539" s="17" t="n">
        <x:f>IF(AND(L539,ISNUMBER(G539),ISNUMBER(H539)),G539-H539,"n.a.")</x:f>
        <x:v>85865988.20970964</x:v>
      </x:c>
      <x:c r="J539" s="15" t="n">
        <x:f>IF(AND(L539,ISNUMBER(G539),ISNUMBER(H539),H539&gt;0),(G539-H539)/H539,"n.a.")</x:f>
        <x:v>0.22735425893606764</x:v>
      </x:c>
      <x:c r="K539" s="19" t="n">
        <x:f>IF(ISNUMBER(J539),ABS(J539),"n.a.")</x:f>
        <x:v>0.22735425893606764</x:v>
      </x:c>
      <x:c r="L539" s="13" t="b">
        <x:v>1</x:v>
      </x:c>
      <x:c r="M539" s="13" t="b">
        <x:v>1</x:v>
      </x:c>
      <x:c r="N539" s="2" t="str">
        <x:v>L1_numeric_partition_qualified_not_national_completeness</x:v>
      </x:c>
      <x:c r="O539" s="2" t="str">
        <x:v>none</x:v>
      </x:c>
      <x:c r="P539" s="2" t="str">
        <x:v>historical_GHSL_BU_estimate</x:v>
      </x:c>
      <x:c r="Q539" s="2" t="str">
        <x:v>Published UN country boundaries, L1 class partition, national completeness unproven;2025/2030 source projections</x:v>
      </x:c>
      <x:c r="R539" s="2" t="str">
        <x:v>https://human-settlement.emergency.copernicus.eu/datasets.php</x:v>
      </x:c>
      <x:c r="S539" s="13" t="b">
        <x:v>0</x:v>
      </x:c>
      <x:c r="T539" s="13" t="b">
        <x:v>0</x:v>
      </x:c>
    </x:row>
    <x:row r="540" ht="23" customHeight="1">
      <x:c r="A540" s="2" t="str">
        <x:v>PRT</x:v>
      </x:c>
      <x:c r="B540" s="2" t="str">
        <x:v>Portugal (Portuguese Republic)</x:v>
      </x:c>
      <x:c r="C540" s="2" t="n">
        <x:v>2020</x:v>
      </x:c>
      <x:c r="D540" s="2" t="str">
        <x:v>WUP_SURFACE</x:v>
      </x:c>
      <x:c r="E540" s="2" t="str">
        <x:v>horizontal surface / footprint</x:v>
      </x:c>
      <x:c r="F540" s="2" t="str">
        <x:v>m2</x:v>
      </x:c>
      <x:c r="G540" s="17" t="n">
        <x:v>1019333626.31</x:v>
      </x:c>
      <x:c r="H540" s="17" t="n">
        <x:v>1374860716.2609584</x:v>
      </x:c>
      <x:c r="I540" s="17" t="n">
        <x:f>IF(AND(L540,ISNUMBER(G540),ISNUMBER(H540)),G540-H540,"n.a.")</x:f>
        <x:v>-355527089.9509585</x:v>
      </x:c>
      <x:c r="J540" s="15" t="n">
        <x:f>IF(AND(L540,ISNUMBER(G540),ISNUMBER(H540),H540&gt;0),(G540-H540)/H540,"n.a.")</x:f>
        <x:v>-0.2585913509245084</x:v>
      </x:c>
      <x:c r="K540" s="19" t="n">
        <x:f>IF(ISNUMBER(J540),ABS(J540),"n.a.")</x:f>
        <x:v>0.2585913509245084</x:v>
      </x:c>
      <x:c r="L540" s="13" t="b">
        <x:v>1</x:v>
      </x:c>
      <x:c r="M540" s="13" t="b">
        <x:v>1</x:v>
      </x:c>
      <x:c r="N540" s="2" t="str">
        <x:v>L1_numeric_partition_qualified_not_national_completeness</x:v>
      </x:c>
      <x:c r="O540" s="2" t="str">
        <x:v>none</x:v>
      </x:c>
      <x:c r="P540" s="2" t="str">
        <x:v>historical_GHSL_BU_estimate</x:v>
      </x:c>
      <x:c r="Q540" s="2" t="str">
        <x:v>Published UN country boundaries, L1 class partition, national completeness unproven;2025/2030 source projections</x:v>
      </x:c>
      <x:c r="R540" s="2" t="str">
        <x:v>https://human-settlement.emergency.copernicus.eu/datasets.php</x:v>
      </x:c>
      <x:c r="S540" s="13" t="b">
        <x:v>0</x:v>
      </x:c>
      <x:c r="T540" s="13" t="b">
        <x:v>0</x:v>
      </x:c>
    </x:row>
    <x:row r="541" ht="23" customHeight="1">
      <x:c r="A541" s="2" t="str">
        <x:v>PRY</x:v>
      </x:c>
      <x:c r="B541" s="2" t="str">
        <x:v>Paraguay (Republic of)</x:v>
      </x:c>
      <x:c r="C541" s="2" t="n">
        <x:v>2020</x:v>
      </x:c>
      <x:c r="D541" s="2" t="str">
        <x:v>WUP_SURFACE</x:v>
      </x:c>
      <x:c r="E541" s="2" t="str">
        <x:v>horizontal surface / footprint</x:v>
      </x:c>
      <x:c r="F541" s="2" t="str">
        <x:v>m2</x:v>
      </x:c>
      <x:c r="G541" s="17" t="n">
        <x:v>336793873.45</x:v>
      </x:c>
      <x:c r="H541" s="17" t="n">
        <x:v>562101220.9652554</x:v>
      </x:c>
      <x:c r="I541" s="17" t="n">
        <x:f>IF(AND(L541,ISNUMBER(G541),ISNUMBER(H541)),G541-H541,"n.a.")</x:f>
        <x:v>-225307347.5152554</x:v>
      </x:c>
      <x:c r="J541" s="15" t="n">
        <x:f>IF(AND(L541,ISNUMBER(G541),ISNUMBER(H541),H541&gt;0),(G541-H541)/H541,"n.a.")</x:f>
        <x:v>-0.4008305606032158</x:v>
      </x:c>
      <x:c r="K541" s="19" t="n">
        <x:f>IF(ISNUMBER(J541),ABS(J541),"n.a.")</x:f>
        <x:v>0.4008305606032158</x:v>
      </x:c>
      <x:c r="L541" s="13" t="b">
        <x:v>1</x:v>
      </x:c>
      <x:c r="M541" s="13" t="b">
        <x:v>1</x:v>
      </x:c>
      <x:c r="N541" s="2" t="str">
        <x:v>L1_numeric_partition_qualified_not_national_completeness</x:v>
      </x:c>
      <x:c r="O541" s="2" t="str">
        <x:v>none</x:v>
      </x:c>
      <x:c r="P541" s="2" t="str">
        <x:v>historical_GHSL_BU_estimate</x:v>
      </x:c>
      <x:c r="Q541" s="2" t="str">
        <x:v>Published UN country boundaries, L1 class partition, national completeness unproven;2025/2030 source projections</x:v>
      </x:c>
      <x:c r="R541" s="2" t="str">
        <x:v>https://human-settlement.emergency.copernicus.eu/datasets.php</x:v>
      </x:c>
      <x:c r="S541" s="13" t="b">
        <x:v>0</x:v>
      </x:c>
      <x:c r="T541" s="13" t="b">
        <x:v>0</x:v>
      </x:c>
    </x:row>
    <x:row r="542" ht="23" customHeight="1">
      <x:c r="A542" s="2" t="str">
        <x:v>PSE</x:v>
      </x:c>
      <x:c r="B542" s="2" t="str">
        <x:v>State of Palestine</x:v>
      </x:c>
      <x:c r="C542" s="2" t="n">
        <x:v>2020</x:v>
      </x:c>
      <x:c r="D542" s="2" t="str">
        <x:v>WUP_SURFACE</x:v>
      </x:c>
      <x:c r="E542" s="2" t="str">
        <x:v>horizontal surface / footprint</x:v>
      </x:c>
      <x:c r="F542" s="2" t="str">
        <x:v>m2</x:v>
      </x:c>
      <x:c r="G542" s="17"/>
      <x:c r="H542" s="17" t="n">
        <x:v>223132983.0147804</x:v>
      </x:c>
      <x:c r="I542" s="17" t="str">
        <x:f>IF(AND(L542,ISNUMBER(G542),ISNUMBER(H542)),G542-H542,"n.a.")</x:f>
        <x:v>n.a.</x:v>
      </x:c>
      <x:c r="J542" s="15" t="str">
        <x:f>IF(AND(L542,ISNUMBER(G542),ISNUMBER(H542),H542&gt;0),(G542-H542)/H542,"n.a.")</x:f>
        <x:v>n.a.</x:v>
      </x:c>
      <x:c r="K542" s="19" t="str">
        <x:f>IF(ISNUMBER(J542),ABS(J542),"n.a.")</x:f>
        <x:v>n.a.</x:v>
      </x:c>
      <x:c r="L542" s="13" t="b">
        <x:v>0</x:v>
      </x:c>
      <x:c r="M542" s="13" t="b">
        <x:v>0</x:v>
      </x:c>
      <x:c r="N542" s="2" t="str">
        <x:v>L1_numeric_partition_qualified_not_national_completeness</x:v>
      </x:c>
      <x:c r="O542" s="2" t="str">
        <x:v>source row absent</x:v>
      </x:c>
      <x:c r="P542" s="2" t="str">
        <x:v>historical_GHSL_BU_estimate</x:v>
      </x:c>
      <x:c r="Q542" s="2" t="str">
        <x:v>Published UN country boundaries, L1 class partition, national completeness unproven;2025/2030 source projections</x:v>
      </x:c>
      <x:c r="R542" s="2" t="str">
        <x:v>https://human-settlement.emergency.copernicus.eu/datasets.php</x:v>
      </x:c>
      <x:c r="S542" s="13" t="b">
        <x:v>1</x:v>
      </x:c>
      <x:c r="T542" s="13" t="b">
        <x:v>0</x:v>
      </x:c>
    </x:row>
    <x:row r="543" ht="23" customHeight="1">
      <x:c r="A543" s="2" t="str">
        <x:v>QAT</x:v>
      </x:c>
      <x:c r="B543" s="2" t="str">
        <x:v>Qatar (State of)</x:v>
      </x:c>
      <x:c r="C543" s="2" t="n">
        <x:v>2020</x:v>
      </x:c>
      <x:c r="D543" s="2" t="str">
        <x:v>WUP_SURFACE</x:v>
      </x:c>
      <x:c r="E543" s="2" t="str">
        <x:v>horizontal surface / footprint</x:v>
      </x:c>
      <x:c r="F543" s="2" t="str">
        <x:v>m2</x:v>
      </x:c>
      <x:c r="G543" s="17" t="n">
        <x:v>123398530.18</x:v>
      </x:c>
      <x:c r="H543" s="17" t="n">
        <x:v>216448403.827633</x:v>
      </x:c>
      <x:c r="I543" s="17" t="n">
        <x:f>IF(AND(L543,ISNUMBER(G543),ISNUMBER(H543)),G543-H543,"n.a.")</x:f>
        <x:v>-93049873.64763299</x:v>
      </x:c>
      <x:c r="J543" s="15" t="n">
        <x:f>IF(AND(L543,ISNUMBER(G543),ISNUMBER(H543),H543&gt;0),(G543-H543)/H543,"n.a.")</x:f>
        <x:v>-0.42989401632054786</x:v>
      </x:c>
      <x:c r="K543" s="19" t="n">
        <x:f>IF(ISNUMBER(J543),ABS(J543),"n.a.")</x:f>
        <x:v>0.42989401632054786</x:v>
      </x:c>
      <x:c r="L543" s="13" t="b">
        <x:v>1</x:v>
      </x:c>
      <x:c r="M543" s="13" t="b">
        <x:v>1</x:v>
      </x:c>
      <x:c r="N543" s="2" t="str">
        <x:v>L1_numeric_partition_qualified_not_national_completeness</x:v>
      </x:c>
      <x:c r="O543" s="2" t="str">
        <x:v>none</x:v>
      </x:c>
      <x:c r="P543" s="2" t="str">
        <x:v>historical_GHSL_BU_estimate</x:v>
      </x:c>
      <x:c r="Q543" s="2" t="str">
        <x:v>Published UN country boundaries, L1 class partition, national completeness unproven;2025/2030 source projections</x:v>
      </x:c>
      <x:c r="R543" s="2" t="str">
        <x:v>https://human-settlement.emergency.copernicus.eu/datasets.php</x:v>
      </x:c>
      <x:c r="S543" s="13" t="b">
        <x:v>0</x:v>
      </x:c>
      <x:c r="T543" s="13" t="b">
        <x:v>0</x:v>
      </x:c>
    </x:row>
    <x:row r="544" ht="23" customHeight="1">
      <x:c r="A544" s="2" t="str">
        <x:v>ROU</x:v>
      </x:c>
      <x:c r="B544" s="2" t="str">
        <x:v>Romania</x:v>
      </x:c>
      <x:c r="C544" s="2" t="n">
        <x:v>2020</x:v>
      </x:c>
      <x:c r="D544" s="2" t="str">
        <x:v>WUP_SURFACE</x:v>
      </x:c>
      <x:c r="E544" s="2" t="str">
        <x:v>horizontal surface / footprint</x:v>
      </x:c>
      <x:c r="F544" s="2" t="str">
        <x:v>m2</x:v>
      </x:c>
      <x:c r="G544" s="17" t="n">
        <x:v>1451492077.99</x:v>
      </x:c>
      <x:c r="H544" s="17" t="n">
        <x:v>2285419520.7995014</x:v>
      </x:c>
      <x:c r="I544" s="17" t="n">
        <x:f>IF(AND(L544,ISNUMBER(G544),ISNUMBER(H544)),G544-H544,"n.a.")</x:f>
        <x:v>-833927442.8095014</x:v>
      </x:c>
      <x:c r="J544" s="15" t="n">
        <x:f>IF(AND(L544,ISNUMBER(G544),ISNUMBER(H544),H544&gt;0),(G544-H544)/H544,"n.a.")</x:f>
        <x:v>-0.3648903123562063</x:v>
      </x:c>
      <x:c r="K544" s="19" t="n">
        <x:f>IF(ISNUMBER(J544),ABS(J544),"n.a.")</x:f>
        <x:v>0.3648903123562063</x:v>
      </x:c>
      <x:c r="L544" s="13" t="b">
        <x:v>1</x:v>
      </x:c>
      <x:c r="M544" s="13" t="b">
        <x:v>1</x:v>
      </x:c>
      <x:c r="N544" s="2" t="str">
        <x:v>L1_numeric_partition_qualified_not_national_completeness</x:v>
      </x:c>
      <x:c r="O544" s="2" t="str">
        <x:v>none</x:v>
      </x:c>
      <x:c r="P544" s="2" t="str">
        <x:v>historical_GHSL_BU_estimate</x:v>
      </x:c>
      <x:c r="Q544" s="2" t="str">
        <x:v>Published UN country boundaries, L1 class partition, national completeness unproven;2025/2030 source projections</x:v>
      </x:c>
      <x:c r="R544" s="2" t="str">
        <x:v>https://human-settlement.emergency.copernicus.eu/datasets.php</x:v>
      </x:c>
      <x:c r="S544" s="13" t="b">
        <x:v>0</x:v>
      </x:c>
      <x:c r="T544" s="13" t="b">
        <x:v>0</x:v>
      </x:c>
    </x:row>
    <x:row r="545" ht="23" customHeight="1">
      <x:c r="A545" s="2" t="str">
        <x:v>RUS</x:v>
      </x:c>
      <x:c r="B545" s="2" t="str">
        <x:v>Russian Federation</x:v>
      </x:c>
      <x:c r="C545" s="2" t="n">
        <x:v>2020</x:v>
      </x:c>
      <x:c r="D545" s="2" t="str">
        <x:v>WUP_SURFACE</x:v>
      </x:c>
      <x:c r="E545" s="2" t="str">
        <x:v>horizontal surface / footprint</x:v>
      </x:c>
      <x:c r="F545" s="2" t="str">
        <x:v>m2</x:v>
      </x:c>
      <x:c r="G545" s="17" t="n">
        <x:v>7742883032.41</x:v>
      </x:c>
      <x:c r="H545" s="17" t="n">
        <x:v>12620142866.166924</x:v>
      </x:c>
      <x:c r="I545" s="17" t="n">
        <x:f>IF(AND(L545,ISNUMBER(G545),ISNUMBER(H545)),G545-H545,"n.a.")</x:f>
        <x:v>-4877259833.756924</x:v>
      </x:c>
      <x:c r="J545" s="15" t="n">
        <x:f>IF(AND(L545,ISNUMBER(G545),ISNUMBER(H545),H545&gt;0),(G545-H545)/H545,"n.a.")</x:f>
        <x:v>-0.38646629324872916</x:v>
      </x:c>
      <x:c r="K545" s="19" t="n">
        <x:f>IF(ISNUMBER(J545),ABS(J545),"n.a.")</x:f>
        <x:v>0.38646629324872916</x:v>
      </x:c>
      <x:c r="L545" s="13" t="b">
        <x:v>1</x:v>
      </x:c>
      <x:c r="M545" s="13" t="b">
        <x:v>1</x:v>
      </x:c>
      <x:c r="N545" s="2" t="str">
        <x:v>L1_numeric_partition_qualified_not_national_completeness</x:v>
      </x:c>
      <x:c r="O545" s="2" t="str">
        <x:v>none</x:v>
      </x:c>
      <x:c r="P545" s="2" t="str">
        <x:v>historical_GHSL_BU_estimate</x:v>
      </x:c>
      <x:c r="Q545" s="2" t="str">
        <x:v>Published UN country boundaries, L1 class partition, national completeness unproven;2025/2030 source projections</x:v>
      </x:c>
      <x:c r="R545" s="2" t="str">
        <x:v>https://human-settlement.emergency.copernicus.eu/datasets.php</x:v>
      </x:c>
      <x:c r="S545" s="13" t="b">
        <x:v>0</x:v>
      </x:c>
      <x:c r="T545" s="13" t="b">
        <x:v>0</x:v>
      </x:c>
    </x:row>
    <x:row r="546" ht="23" customHeight="1">
      <x:c r="A546" s="2" t="str">
        <x:v>RWA</x:v>
      </x:c>
      <x:c r="B546" s="2" t="str">
        <x:v>Rwanda (Republic of)</x:v>
      </x:c>
      <x:c r="C546" s="2" t="n">
        <x:v>2020</x:v>
      </x:c>
      <x:c r="D546" s="2" t="str">
        <x:v>WUP_SURFACE</x:v>
      </x:c>
      <x:c r="E546" s="2" t="str">
        <x:v>horizontal surface / footprint</x:v>
      </x:c>
      <x:c r="F546" s="2" t="str">
        <x:v>m2</x:v>
      </x:c>
      <x:c r="G546" s="17" t="n">
        <x:v>244877324.63</x:v>
      </x:c>
      <x:c r="H546" s="17" t="n">
        <x:v>676222861.7570442</x:v>
      </x:c>
      <x:c r="I546" s="17" t="n">
        <x:f>IF(AND(L546,ISNUMBER(G546),ISNUMBER(H546)),G546-H546,"n.a.")</x:f>
        <x:v>-431345537.1270442</x:v>
      </x:c>
      <x:c r="J546" s="15" t="n">
        <x:f>IF(AND(L546,ISNUMBER(G546),ISNUMBER(H546),H546&gt;0),(G546-H546)/H546,"n.a.")</x:f>
        <x:v>-0.637874821336667</x:v>
      </x:c>
      <x:c r="K546" s="19" t="n">
        <x:f>IF(ISNUMBER(J546),ABS(J546),"n.a.")</x:f>
        <x:v>0.637874821336667</x:v>
      </x:c>
      <x:c r="L546" s="13" t="b">
        <x:v>1</x:v>
      </x:c>
      <x:c r="M546" s="13" t="b">
        <x:v>1</x:v>
      </x:c>
      <x:c r="N546" s="2" t="str">
        <x:v>L1_numeric_partition_qualified_not_national_completeness</x:v>
      </x:c>
      <x:c r="O546" s="2" t="str">
        <x:v>none</x:v>
      </x:c>
      <x:c r="P546" s="2" t="str">
        <x:v>historical_GHSL_BU_estimate</x:v>
      </x:c>
      <x:c r="Q546" s="2" t="str">
        <x:v>Published UN country boundaries, L1 class partition, national completeness unproven;2025/2030 source projections</x:v>
      </x:c>
      <x:c r="R546" s="2" t="str">
        <x:v>https://human-settlement.emergency.copernicus.eu/datasets.php</x:v>
      </x:c>
      <x:c r="S546" s="13" t="b">
        <x:v>0</x:v>
      </x:c>
      <x:c r="T546" s="13" t="b">
        <x:v>0</x:v>
      </x:c>
    </x:row>
    <x:row r="547" ht="23" customHeight="1">
      <x:c r="A547" s="2" t="str">
        <x:v>SAU</x:v>
      </x:c>
      <x:c r="B547" s="2" t="str">
        <x:v>Saudi Arabia (Kingdom of)</x:v>
      </x:c>
      <x:c r="C547" s="2" t="n">
        <x:v>2020</x:v>
      </x:c>
      <x:c r="D547" s="2" t="str">
        <x:v>WUP_SURFACE</x:v>
      </x:c>
      <x:c r="E547" s="2" t="str">
        <x:v>horizontal surface / footprint</x:v>
      </x:c>
      <x:c r="F547" s="2" t="str">
        <x:v>m2</x:v>
      </x:c>
      <x:c r="G547" s="17" t="n">
        <x:v>1860856502.16</x:v>
      </x:c>
      <x:c r="H547" s="17" t="n">
        <x:v>2801471153.0187106</x:v>
      </x:c>
      <x:c r="I547" s="17" t="n">
        <x:f>IF(AND(L547,ISNUMBER(G547),ISNUMBER(H547)),G547-H547,"n.a.")</x:f>
        <x:v>-940614650.8587105</x:v>
      </x:c>
      <x:c r="J547" s="15" t="n">
        <x:f>IF(AND(L547,ISNUMBER(G547),ISNUMBER(H547),H547&gt;0),(G547-H547)/H547,"n.a.")</x:f>
        <x:v>-0.3357573929844525</x:v>
      </x:c>
      <x:c r="K547" s="19" t="n">
        <x:f>IF(ISNUMBER(J547),ABS(J547),"n.a.")</x:f>
        <x:v>0.3357573929844525</x:v>
      </x:c>
      <x:c r="L547" s="13" t="b">
        <x:v>1</x:v>
      </x:c>
      <x:c r="M547" s="13" t="b">
        <x:v>1</x:v>
      </x:c>
      <x:c r="N547" s="2" t="str">
        <x:v>L1_numeric_partition_qualified_not_national_completeness</x:v>
      </x:c>
      <x:c r="O547" s="2" t="str">
        <x:v>none</x:v>
      </x:c>
      <x:c r="P547" s="2" t="str">
        <x:v>historical_GHSL_BU_estimate</x:v>
      </x:c>
      <x:c r="Q547" s="2" t="str">
        <x:v>Published UN country boundaries, L1 class partition, national completeness unproven;2025/2030 source projections</x:v>
      </x:c>
      <x:c r="R547" s="2" t="str">
        <x:v>https://human-settlement.emergency.copernicus.eu/datasets.php</x:v>
      </x:c>
      <x:c r="S547" s="13" t="b">
        <x:v>0</x:v>
      </x:c>
      <x:c r="T547" s="13" t="b">
        <x:v>0</x:v>
      </x:c>
    </x:row>
    <x:row r="548" ht="23" customHeight="1">
      <x:c r="A548" s="2" t="str">
        <x:v>SDN</x:v>
      </x:c>
      <x:c r="B548" s="2" t="str">
        <x:v>Sudan (Republic of the)</x:v>
      </x:c>
      <x:c r="C548" s="2" t="n">
        <x:v>2020</x:v>
      </x:c>
      <x:c r="D548" s="2" t="str">
        <x:v>WUP_SURFACE</x:v>
      </x:c>
      <x:c r="E548" s="2" t="str">
        <x:v>horizontal surface / footprint</x:v>
      </x:c>
      <x:c r="F548" s="2" t="str">
        <x:v>m2</x:v>
      </x:c>
      <x:c r="G548" s="17" t="n">
        <x:v>751311239.6</x:v>
      </x:c>
      <x:c r="H548" s="17" t="n">
        <x:v>1634560565.2687297</x:v>
      </x:c>
      <x:c r="I548" s="17" t="n">
        <x:f>IF(AND(L548,ISNUMBER(G548),ISNUMBER(H548)),G548-H548,"n.a.")</x:f>
        <x:v>-883249325.6687297</x:v>
      </x:c>
      <x:c r="J548" s="15" t="n">
        <x:f>IF(AND(L548,ISNUMBER(G548),ISNUMBER(H548),H548&gt;0),(G548-H548)/H548,"n.a.")</x:f>
        <x:v>-0.5403588857067032</x:v>
      </x:c>
      <x:c r="K548" s="19" t="n">
        <x:f>IF(ISNUMBER(J548),ABS(J548),"n.a.")</x:f>
        <x:v>0.5403588857067032</x:v>
      </x:c>
      <x:c r="L548" s="13" t="b">
        <x:v>1</x:v>
      </x:c>
      <x:c r="M548" s="13" t="b">
        <x:v>1</x:v>
      </x:c>
      <x:c r="N548" s="2" t="str">
        <x:v>L1_numeric_partition_qualified_not_national_completeness</x:v>
      </x:c>
      <x:c r="O548" s="2" t="str">
        <x:v>none</x:v>
      </x:c>
      <x:c r="P548" s="2" t="str">
        <x:v>historical_GHSL_BU_estimate</x:v>
      </x:c>
      <x:c r="Q548" s="2" t="str">
        <x:v>Published UN country boundaries, L1 class partition, national completeness unproven;2025/2030 source projections</x:v>
      </x:c>
      <x:c r="R548" s="2" t="str">
        <x:v>https://human-settlement.emergency.copernicus.eu/datasets.php</x:v>
      </x:c>
      <x:c r="S548" s="13" t="b">
        <x:v>0</x:v>
      </x:c>
      <x:c r="T548" s="13" t="b">
        <x:v>0</x:v>
      </x:c>
    </x:row>
    <x:row r="549" ht="23" customHeight="1">
      <x:c r="A549" s="2" t="str">
        <x:v>SEN</x:v>
      </x:c>
      <x:c r="B549" s="2" t="str">
        <x:v>Senegal (Republic of)</x:v>
      </x:c>
      <x:c r="C549" s="2" t="n">
        <x:v>2020</x:v>
      </x:c>
      <x:c r="D549" s="2" t="str">
        <x:v>WUP_SURFACE</x:v>
      </x:c>
      <x:c r="E549" s="2" t="str">
        <x:v>horizontal surface / footprint</x:v>
      </x:c>
      <x:c r="F549" s="2" t="str">
        <x:v>m2</x:v>
      </x:c>
      <x:c r="G549" s="17" t="n">
        <x:v>305052833.69</x:v>
      </x:c>
      <x:c r="H549" s="17" t="n">
        <x:v>702358485.1448159</x:v>
      </x:c>
      <x:c r="I549" s="17" t="n">
        <x:f>IF(AND(L549,ISNUMBER(G549),ISNUMBER(H549)),G549-H549,"n.a.")</x:f>
        <x:v>-397305651.4548159</x:v>
      </x:c>
      <x:c r="J549" s="15" t="n">
        <x:f>IF(AND(L549,ISNUMBER(G549),ISNUMBER(H549),H549&gt;0),(G549-H549)/H549,"n.a.")</x:f>
        <x:v>-0.5656735981097991</x:v>
      </x:c>
      <x:c r="K549" s="19" t="n">
        <x:f>IF(ISNUMBER(J549),ABS(J549),"n.a.")</x:f>
        <x:v>0.5656735981097991</x:v>
      </x:c>
      <x:c r="L549" s="13" t="b">
        <x:v>1</x:v>
      </x:c>
      <x:c r="M549" s="13" t="b">
        <x:v>1</x:v>
      </x:c>
      <x:c r="N549" s="2" t="str">
        <x:v>L1_numeric_partition_qualified_not_national_completeness</x:v>
      </x:c>
      <x:c r="O549" s="2" t="str">
        <x:v>none</x:v>
      </x:c>
      <x:c r="P549" s="2" t="str">
        <x:v>historical_GHSL_BU_estimate</x:v>
      </x:c>
      <x:c r="Q549" s="2" t="str">
        <x:v>Published UN country boundaries, L1 class partition, national completeness unproven;2025/2030 source projections</x:v>
      </x:c>
      <x:c r="R549" s="2" t="str">
        <x:v>https://human-settlement.emergency.copernicus.eu/datasets.php</x:v>
      </x:c>
      <x:c r="S549" s="13" t="b">
        <x:v>0</x:v>
      </x:c>
      <x:c r="T549" s="13" t="b">
        <x:v>0</x:v>
      </x:c>
    </x:row>
    <x:row r="550" ht="23" customHeight="1">
      <x:c r="A550" s="2" t="str">
        <x:v>SGP</x:v>
      </x:c>
      <x:c r="B550" s="2" t="str">
        <x:v>Singapore (Republic of)</x:v>
      </x:c>
      <x:c r="C550" s="2" t="n">
        <x:v>2020</x:v>
      </x:c>
      <x:c r="D550" s="2" t="str">
        <x:v>WUP_SURFACE</x:v>
      </x:c>
      <x:c r="E550" s="2" t="str">
        <x:v>horizontal surface / footprint</x:v>
      </x:c>
      <x:c r="F550" s="2" t="str">
        <x:v>m2</x:v>
      </x:c>
      <x:c r="G550" s="17" t="n">
        <x:v>85878181.9</x:v>
      </x:c>
      <x:c r="H550" s="17" t="n">
        <x:v>112572526.7715635</x:v>
      </x:c>
      <x:c r="I550" s="17" t="n">
        <x:f>IF(AND(L550,ISNUMBER(G550),ISNUMBER(H550)),G550-H550,"n.a.")</x:f>
        <x:v>-26694344.871563494</x:v>
      </x:c>
      <x:c r="J550" s="15" t="n">
        <x:f>IF(AND(L550,ISNUMBER(G550),ISNUMBER(H550),H550&gt;0),(G550-H550)/H550,"n.a.")</x:f>
        <x:v>-0.23713019186051215</x:v>
      </x:c>
      <x:c r="K550" s="19" t="n">
        <x:f>IF(ISNUMBER(J550),ABS(J550),"n.a.")</x:f>
        <x:v>0.23713019186051215</x:v>
      </x:c>
      <x:c r="L550" s="13" t="b">
        <x:v>1</x:v>
      </x:c>
      <x:c r="M550" s="13" t="b">
        <x:v>1</x:v>
      </x:c>
      <x:c r="N550" s="2" t="str">
        <x:v>L1_numeric_partition_qualified_not_national_completeness</x:v>
      </x:c>
      <x:c r="O550" s="2" t="str">
        <x:v>none</x:v>
      </x:c>
      <x:c r="P550" s="2" t="str">
        <x:v>historical_GHSL_BU_estimate</x:v>
      </x:c>
      <x:c r="Q550" s="2" t="str">
        <x:v>Published UN country boundaries, L1 class partition, national completeness unproven;2025/2030 source projections</x:v>
      </x:c>
      <x:c r="R550" s="2" t="str">
        <x:v>https://human-settlement.emergency.copernicus.eu/datasets.php</x:v>
      </x:c>
      <x:c r="S550" s="13" t="b">
        <x:v>0</x:v>
      </x:c>
      <x:c r="T550" s="13" t="b">
        <x:v>0</x:v>
      </x:c>
    </x:row>
    <x:row r="551" ht="23" customHeight="1">
      <x:c r="A551" s="2" t="str">
        <x:v>SLB</x:v>
      </x:c>
      <x:c r="B551" s="2" t="str">
        <x:v>Solomon Islands</x:v>
      </x:c>
      <x:c r="C551" s="2" t="n">
        <x:v>2020</x:v>
      </x:c>
      <x:c r="D551" s="2" t="str">
        <x:v>WUP_SURFACE</x:v>
      </x:c>
      <x:c r="E551" s="2" t="str">
        <x:v>horizontal surface / footprint</x:v>
      </x:c>
      <x:c r="F551" s="2" t="str">
        <x:v>m2</x:v>
      </x:c>
      <x:c r="G551" s="17" t="n">
        <x:v>14438629.19</x:v>
      </x:c>
      <x:c r="H551" s="17" t="n">
        <x:v>26522994.034811523</x:v>
      </x:c>
      <x:c r="I551" s="17" t="n">
        <x:f>IF(AND(L551,ISNUMBER(G551),ISNUMBER(H551)),G551-H551,"n.a.")</x:f>
        <x:v>-12084364.844811523</x:v>
      </x:c>
      <x:c r="J551" s="15" t="n">
        <x:f>IF(AND(L551,ISNUMBER(G551),ISNUMBER(H551),H551&gt;0),(G551-H551)/H551,"n.a.")</x:f>
        <x:v>-0.455618427880003</x:v>
      </x:c>
      <x:c r="K551" s="19" t="n">
        <x:f>IF(ISNUMBER(J551),ABS(J551),"n.a.")</x:f>
        <x:v>0.455618427880003</x:v>
      </x:c>
      <x:c r="L551" s="13" t="b">
        <x:v>1</x:v>
      </x:c>
      <x:c r="M551" s="13" t="b">
        <x:v>1</x:v>
      </x:c>
      <x:c r="N551" s="2" t="str">
        <x:v>L1_numeric_partition_qualified_not_national_completeness</x:v>
      </x:c>
      <x:c r="O551" s="2" t="str">
        <x:v>none</x:v>
      </x:c>
      <x:c r="P551" s="2" t="str">
        <x:v>historical_GHSL_BU_estimate</x:v>
      </x:c>
      <x:c r="Q551" s="2" t="str">
        <x:v>Published UN country boundaries, L1 class partition, national completeness unproven;2025/2030 source projections</x:v>
      </x:c>
      <x:c r="R551" s="2" t="str">
        <x:v>https://human-settlement.emergency.copernicus.eu/datasets.php</x:v>
      </x:c>
      <x:c r="S551" s="13" t="b">
        <x:v>0</x:v>
      </x:c>
      <x:c r="T551" s="13" t="b">
        <x:v>0</x:v>
      </x:c>
    </x:row>
    <x:row r="552" ht="23" customHeight="1">
      <x:c r="A552" s="2" t="str">
        <x:v>SLE</x:v>
      </x:c>
      <x:c r="B552" s="2" t="str">
        <x:v>Sierra Leone (Republic of)</x:v>
      </x:c>
      <x:c r="C552" s="2" t="n">
        <x:v>2020</x:v>
      </x:c>
      <x:c r="D552" s="2" t="str">
        <x:v>WUP_SURFACE</x:v>
      </x:c>
      <x:c r="E552" s="2" t="str">
        <x:v>horizontal surface / footprint</x:v>
      </x:c>
      <x:c r="F552" s="2" t="str">
        <x:v>m2</x:v>
      </x:c>
      <x:c r="G552" s="17" t="n">
        <x:v>115259924.95</x:v>
      </x:c>
      <x:c r="H552" s="17" t="n">
        <x:v>224041914.19126338</x:v>
      </x:c>
      <x:c r="I552" s="17" t="n">
        <x:f>IF(AND(L552,ISNUMBER(G552),ISNUMBER(H552)),G552-H552,"n.a.")</x:f>
        <x:v>-108781989.24126337</x:v>
      </x:c>
      <x:c r="J552" s="15" t="n">
        <x:f>IF(AND(L552,ISNUMBER(G552),ISNUMBER(H552),H552&gt;0),(G552-H552)/H552,"n.a.")</x:f>
        <x:v>-0.4855430272230078</x:v>
      </x:c>
      <x:c r="K552" s="19" t="n">
        <x:f>IF(ISNUMBER(J552),ABS(J552),"n.a.")</x:f>
        <x:v>0.4855430272230078</x:v>
      </x:c>
      <x:c r="L552" s="13" t="b">
        <x:v>1</x:v>
      </x:c>
      <x:c r="M552" s="13" t="b">
        <x:v>1</x:v>
      </x:c>
      <x:c r="N552" s="2" t="str">
        <x:v>L1_numeric_partition_qualified_not_national_completeness</x:v>
      </x:c>
      <x:c r="O552" s="2" t="str">
        <x:v>none</x:v>
      </x:c>
      <x:c r="P552" s="2" t="str">
        <x:v>historical_GHSL_BU_estimate</x:v>
      </x:c>
      <x:c r="Q552" s="2" t="str">
        <x:v>Published UN country boundaries, L1 class partition, national completeness unproven;2025/2030 source projections</x:v>
      </x:c>
      <x:c r="R552" s="2" t="str">
        <x:v>https://human-settlement.emergency.copernicus.eu/datasets.php</x:v>
      </x:c>
      <x:c r="S552" s="13" t="b">
        <x:v>0</x:v>
      </x:c>
      <x:c r="T552" s="13" t="b">
        <x:v>0</x:v>
      </x:c>
    </x:row>
    <x:row r="553" ht="23" customHeight="1">
      <x:c r="A553" s="2" t="str">
        <x:v>SLV</x:v>
      </x:c>
      <x:c r="B553" s="2" t="str">
        <x:v>El Salvador (Republic of)</x:v>
      </x:c>
      <x:c r="C553" s="2" t="n">
        <x:v>2020</x:v>
      </x:c>
      <x:c r="D553" s="2" t="str">
        <x:v>WUP_SURFACE</x:v>
      </x:c>
      <x:c r="E553" s="2" t="str">
        <x:v>horizontal surface / footprint</x:v>
      </x:c>
      <x:c r="F553" s="2" t="str">
        <x:v>m2</x:v>
      </x:c>
      <x:c r="G553" s="17" t="n">
        <x:v>245414047.01</x:v>
      </x:c>
      <x:c r="H553" s="17" t="n">
        <x:v>341042214.0468587</x:v>
      </x:c>
      <x:c r="I553" s="17" t="n">
        <x:f>IF(AND(L553,ISNUMBER(G553),ISNUMBER(H553)),G553-H553,"n.a.")</x:f>
        <x:v>-95628167.03685874</x:v>
      </x:c>
      <x:c r="J553" s="15" t="n">
        <x:f>IF(AND(L553,ISNUMBER(G553),ISNUMBER(H553),H553&gt;0),(G553-H553)/H553,"n.a.")</x:f>
        <x:v>-0.2803997953863845</x:v>
      </x:c>
      <x:c r="K553" s="19" t="n">
        <x:f>IF(ISNUMBER(J553),ABS(J553),"n.a.")</x:f>
        <x:v>0.2803997953863845</x:v>
      </x:c>
      <x:c r="L553" s="13" t="b">
        <x:v>1</x:v>
      </x:c>
      <x:c r="M553" s="13" t="b">
        <x:v>1</x:v>
      </x:c>
      <x:c r="N553" s="2" t="str">
        <x:v>L1_numeric_partition_qualified_not_national_completeness</x:v>
      </x:c>
      <x:c r="O553" s="2" t="str">
        <x:v>none</x:v>
      </x:c>
      <x:c r="P553" s="2" t="str">
        <x:v>historical_GHSL_BU_estimate</x:v>
      </x:c>
      <x:c r="Q553" s="2" t="str">
        <x:v>Published UN country boundaries, L1 class partition, national completeness unproven;2025/2030 source projections</x:v>
      </x:c>
      <x:c r="R553" s="2" t="str">
        <x:v>https://human-settlement.emergency.copernicus.eu/datasets.php</x:v>
      </x:c>
      <x:c r="S553" s="13" t="b">
        <x:v>0</x:v>
      </x:c>
      <x:c r="T553" s="13" t="b">
        <x:v>0</x:v>
      </x:c>
    </x:row>
    <x:row r="554" ht="23" customHeight="1">
      <x:c r="A554" s="2" t="str">
        <x:v>SMR</x:v>
      </x:c>
      <x:c r="B554" s="2" t="str">
        <x:v>San Marino (Republic of)</x:v>
      </x:c>
      <x:c r="C554" s="2" t="n">
        <x:v>2020</x:v>
      </x:c>
      <x:c r="D554" s="2" t="str">
        <x:v>WUP_SURFACE</x:v>
      </x:c>
      <x:c r="E554" s="2" t="str">
        <x:v>horizontal surface / footprint</x:v>
      </x:c>
      <x:c r="F554" s="2" t="str">
        <x:v>m2</x:v>
      </x:c>
      <x:c r="G554" s="17" t="n">
        <x:v>2695532.72</x:v>
      </x:c>
      <x:c r="H554" s="17" t="n">
        <x:v>4682492.999825627</x:v>
      </x:c>
      <x:c r="I554" s="17" t="n">
        <x:f>IF(AND(L554,ISNUMBER(G554),ISNUMBER(H554)),G554-H554,"n.a.")</x:f>
        <x:v>-1986960.2798256264</x:v>
      </x:c>
      <x:c r="J554" s="15" t="n">
        <x:f>IF(AND(L554,ISNUMBER(G554),ISNUMBER(H554),H554&gt;0),(G554-H554)/H554,"n.a.")</x:f>
        <x:v>-0.424338120718946</x:v>
      </x:c>
      <x:c r="K554" s="19" t="n">
        <x:f>IF(ISNUMBER(J554),ABS(J554),"n.a.")</x:f>
        <x:v>0.424338120718946</x:v>
      </x:c>
      <x:c r="L554" s="13" t="b">
        <x:v>1</x:v>
      </x:c>
      <x:c r="M554" s="13" t="b">
        <x:v>1</x:v>
      </x:c>
      <x:c r="N554" s="2" t="str">
        <x:v>L1_numeric_partition_qualified_not_national_completeness</x:v>
      </x:c>
      <x:c r="O554" s="2" t="str">
        <x:v>none</x:v>
      </x:c>
      <x:c r="P554" s="2" t="str">
        <x:v>historical_GHSL_BU_estimate</x:v>
      </x:c>
      <x:c r="Q554" s="2" t="str">
        <x:v>Published UN country boundaries, L1 class partition, national completeness unproven;2025/2030 source projections</x:v>
      </x:c>
      <x:c r="R554" s="2" t="str">
        <x:v>https://human-settlement.emergency.copernicus.eu/datasets.php</x:v>
      </x:c>
      <x:c r="S554" s="13" t="b">
        <x:v>0</x:v>
      </x:c>
      <x:c r="T554" s="13" t="b">
        <x:v>0</x:v>
      </x:c>
    </x:row>
    <x:row r="555" ht="23" customHeight="1">
      <x:c r="A555" s="2" t="str">
        <x:v>SOM</x:v>
      </x:c>
      <x:c r="B555" s="2" t="str">
        <x:v>Somalia (Federal Republic of)</x:v>
      </x:c>
      <x:c r="C555" s="2" t="n">
        <x:v>2020</x:v>
      </x:c>
      <x:c r="D555" s="2" t="str">
        <x:v>WUP_SURFACE</x:v>
      </x:c>
      <x:c r="E555" s="2" t="str">
        <x:v>horizontal surface / footprint</x:v>
      </x:c>
      <x:c r="F555" s="2" t="str">
        <x:v>m2</x:v>
      </x:c>
      <x:c r="G555" s="17" t="n">
        <x:v>134848326.33</x:v>
      </x:c>
      <x:c r="H555" s="17" t="n">
        <x:v>235423435.1938329</x:v>
      </x:c>
      <x:c r="I555" s="17" t="n">
        <x:f>IF(AND(L555,ISNUMBER(G555),ISNUMBER(H555)),G555-H555,"n.a.")</x:f>
        <x:v>-100575108.86383289</x:v>
      </x:c>
      <x:c r="J555" s="15" t="n">
        <x:f>IF(AND(L555,ISNUMBER(G555),ISNUMBER(H555),H555&gt;0),(G555-H555)/H555,"n.a.")</x:f>
        <x:v>-0.4272094185569319</x:v>
      </x:c>
      <x:c r="K555" s="19" t="n">
        <x:f>IF(ISNUMBER(J555),ABS(J555),"n.a.")</x:f>
        <x:v>0.4272094185569319</x:v>
      </x:c>
      <x:c r="L555" s="13" t="b">
        <x:v>1</x:v>
      </x:c>
      <x:c r="M555" s="13" t="b">
        <x:v>1</x:v>
      </x:c>
      <x:c r="N555" s="2" t="str">
        <x:v>L1_numeric_partition_qualified_not_national_completeness</x:v>
      </x:c>
      <x:c r="O555" s="2" t="str">
        <x:v>none</x:v>
      </x:c>
      <x:c r="P555" s="2" t="str">
        <x:v>historical_GHSL_BU_estimate</x:v>
      </x:c>
      <x:c r="Q555" s="2" t="str">
        <x:v>Published UN country boundaries, L1 class partition, national completeness unproven;2025/2030 source projections</x:v>
      </x:c>
      <x:c r="R555" s="2" t="str">
        <x:v>https://human-settlement.emergency.copernicus.eu/datasets.php</x:v>
      </x:c>
      <x:c r="S555" s="13" t="b">
        <x:v>0</x:v>
      </x:c>
      <x:c r="T555" s="13" t="b">
        <x:v>0</x:v>
      </x:c>
    </x:row>
    <x:row r="556" ht="23" customHeight="1">
      <x:c r="A556" s="2" t="str">
        <x:v>SRB</x:v>
      </x:c>
      <x:c r="B556" s="2" t="str">
        <x:v>Serbia (Republic of)</x:v>
      </x:c>
      <x:c r="C556" s="2" t="n">
        <x:v>2020</x:v>
      </x:c>
      <x:c r="D556" s="2" t="str">
        <x:v>WUP_SURFACE</x:v>
      </x:c>
      <x:c r="E556" s="2" t="str">
        <x:v>horizontal surface / footprint</x:v>
      </x:c>
      <x:c r="F556" s="2" t="str">
        <x:v>m2</x:v>
      </x:c>
      <x:c r="G556" s="17" t="n">
        <x:v>584520286.21</x:v>
      </x:c>
      <x:c r="H556" s="17" t="n">
        <x:v>809442328.1996503</x:v>
      </x:c>
      <x:c r="I556" s="17" t="n">
        <x:f>IF(AND(L556,ISNUMBER(G556),ISNUMBER(H556)),G556-H556,"n.a.")</x:f>
        <x:v>-224922041.98965025</x:v>
      </x:c>
      <x:c r="J556" s="15" t="n">
        <x:f>IF(AND(L556,ISNUMBER(G556),ISNUMBER(H556),H556&gt;0),(G556-H556)/H556,"n.a.")</x:f>
        <x:v>-0.27787284424564074</x:v>
      </x:c>
      <x:c r="K556" s="19" t="n">
        <x:f>IF(ISNUMBER(J556),ABS(J556),"n.a.")</x:f>
        <x:v>0.27787284424564074</x:v>
      </x:c>
      <x:c r="L556" s="13" t="b">
        <x:v>1</x:v>
      </x:c>
      <x:c r="M556" s="13" t="b">
        <x:v>1</x:v>
      </x:c>
      <x:c r="N556" s="2" t="str">
        <x:v>L1_numeric_partition_qualified_not_national_completeness</x:v>
      </x:c>
      <x:c r="O556" s="2" t="str">
        <x:v>none</x:v>
      </x:c>
      <x:c r="P556" s="2" t="str">
        <x:v>historical_GHSL_BU_estimate</x:v>
      </x:c>
      <x:c r="Q556" s="2" t="str">
        <x:v>Published UN country boundaries, L1 class partition, national completeness unproven;2025/2030 source projections</x:v>
      </x:c>
      <x:c r="R556" s="2" t="str">
        <x:v>https://human-settlement.emergency.copernicus.eu/datasets.php</x:v>
      </x:c>
      <x:c r="S556" s="13" t="b">
        <x:v>0</x:v>
      </x:c>
      <x:c r="T556" s="13" t="b">
        <x:v>0</x:v>
      </x:c>
    </x:row>
    <x:row r="557" ht="23" customHeight="1">
      <x:c r="A557" s="2" t="str">
        <x:v>SSD</x:v>
      </x:c>
      <x:c r="B557" s="2" t="str">
        <x:v>South Sudan (Republic of)</x:v>
      </x:c>
      <x:c r="C557" s="2" t="n">
        <x:v>2020</x:v>
      </x:c>
      <x:c r="D557" s="2" t="str">
        <x:v>WUP_SURFACE</x:v>
      </x:c>
      <x:c r="E557" s="2" t="str">
        <x:v>horizontal surface / footprint</x:v>
      </x:c>
      <x:c r="F557" s="2" t="str">
        <x:v>m2</x:v>
      </x:c>
      <x:c r="G557" s="17" t="n">
        <x:v>82483216.59</x:v>
      </x:c>
      <x:c r="H557" s="17" t="n">
        <x:v>193501773.84508845</x:v>
      </x:c>
      <x:c r="I557" s="17" t="n">
        <x:f>IF(AND(L557,ISNUMBER(G557),ISNUMBER(H557)),G557-H557,"n.a.")</x:f>
        <x:v>-111018557.25508845</x:v>
      </x:c>
      <x:c r="J557" s="15" t="n">
        <x:f>IF(AND(L557,ISNUMBER(G557),ISNUMBER(H557),H557&gt;0),(G557-H557)/H557,"n.a.")</x:f>
        <x:v>-0.5737340544690122</x:v>
      </x:c>
      <x:c r="K557" s="19" t="n">
        <x:f>IF(ISNUMBER(J557),ABS(J557),"n.a.")</x:f>
        <x:v>0.5737340544690122</x:v>
      </x:c>
      <x:c r="L557" s="13" t="b">
        <x:v>1</x:v>
      </x:c>
      <x:c r="M557" s="13" t="b">
        <x:v>1</x:v>
      </x:c>
      <x:c r="N557" s="2" t="str">
        <x:v>L1_numeric_partition_qualified_not_national_completeness</x:v>
      </x:c>
      <x:c r="O557" s="2" t="str">
        <x:v>none</x:v>
      </x:c>
      <x:c r="P557" s="2" t="str">
        <x:v>historical_GHSL_BU_estimate</x:v>
      </x:c>
      <x:c r="Q557" s="2" t="str">
        <x:v>Published UN country boundaries, L1 class partition, national completeness unproven;2025/2030 source projections</x:v>
      </x:c>
      <x:c r="R557" s="2" t="str">
        <x:v>https://human-settlement.emergency.copernicus.eu/datasets.php</x:v>
      </x:c>
      <x:c r="S557" s="13" t="b">
        <x:v>0</x:v>
      </x:c>
      <x:c r="T557" s="13" t="b">
        <x:v>0</x:v>
      </x:c>
    </x:row>
    <x:row r="558" ht="23" customHeight="1">
      <x:c r="A558" s="2" t="str">
        <x:v>STP</x:v>
      </x:c>
      <x:c r="B558" s="2" t="str">
        <x:v>Sao Tome and Principe (Democratic Republic of)</x:v>
      </x:c>
      <x:c r="C558" s="2" t="n">
        <x:v>2020</x:v>
      </x:c>
      <x:c r="D558" s="2" t="str">
        <x:v>WUP_SURFACE</x:v>
      </x:c>
      <x:c r="E558" s="2" t="str">
        <x:v>horizontal surface / footprint</x:v>
      </x:c>
      <x:c r="F558" s="2" t="str">
        <x:v>m2</x:v>
      </x:c>
      <x:c r="G558" s="17" t="n">
        <x:v>6153544.55</x:v>
      </x:c>
      <x:c r="H558" s="17" t="n">
        <x:v>7954488.003631922</x:v>
      </x:c>
      <x:c r="I558" s="17" t="n">
        <x:f>IF(AND(L558,ISNUMBER(G558),ISNUMBER(H558)),G558-H558,"n.a.")</x:f>
        <x:v>-1800943.4536319226</x:v>
      </x:c>
      <x:c r="J558" s="15" t="n">
        <x:f>IF(AND(L558,ISNUMBER(G558),ISNUMBER(H558),H558&gt;0),(G558-H558)/H558,"n.a.")</x:f>
        <x:v>-0.22640595507965236</x:v>
      </x:c>
      <x:c r="K558" s="19" t="n">
        <x:f>IF(ISNUMBER(J558),ABS(J558),"n.a.")</x:f>
        <x:v>0.22640595507965236</x:v>
      </x:c>
      <x:c r="L558" s="13" t="b">
        <x:v>1</x:v>
      </x:c>
      <x:c r="M558" s="13" t="b">
        <x:v>1</x:v>
      </x:c>
      <x:c r="N558" s="2" t="str">
        <x:v>L1_numeric_partition_qualified_not_national_completeness</x:v>
      </x:c>
      <x:c r="O558" s="2" t="str">
        <x:v>none</x:v>
      </x:c>
      <x:c r="P558" s="2" t="str">
        <x:v>historical_GHSL_BU_estimate</x:v>
      </x:c>
      <x:c r="Q558" s="2" t="str">
        <x:v>Published UN country boundaries, L1 class partition, national completeness unproven;2025/2030 source projections</x:v>
      </x:c>
      <x:c r="R558" s="2" t="str">
        <x:v>https://human-settlement.emergency.copernicus.eu/datasets.php</x:v>
      </x:c>
      <x:c r="S558" s="13" t="b">
        <x:v>0</x:v>
      </x:c>
      <x:c r="T558" s="13" t="b">
        <x:v>0</x:v>
      </x:c>
    </x:row>
    <x:row r="559" ht="23" customHeight="1">
      <x:c r="A559" s="2" t="str">
        <x:v>SUR</x:v>
      </x:c>
      <x:c r="B559" s="2" t="str">
        <x:v>Suriname (Republic of)</x:v>
      </x:c>
      <x:c r="C559" s="2" t="n">
        <x:v>2020</x:v>
      </x:c>
      <x:c r="D559" s="2" t="str">
        <x:v>WUP_SURFACE</x:v>
      </x:c>
      <x:c r="E559" s="2" t="str">
        <x:v>horizontal surface / footprint</x:v>
      </x:c>
      <x:c r="F559" s="2" t="str">
        <x:v>m2</x:v>
      </x:c>
      <x:c r="G559" s="17" t="n">
        <x:v>50598825.22</x:v>
      </x:c>
      <x:c r="H559" s="17" t="n">
        <x:v>71550729.04333702</x:v>
      </x:c>
      <x:c r="I559" s="17" t="n">
        <x:f>IF(AND(L559,ISNUMBER(G559),ISNUMBER(H559)),G559-H559,"n.a.")</x:f>
        <x:v>-20951903.82333702</x:v>
      </x:c>
      <x:c r="J559" s="15" t="n">
        <x:f>IF(AND(L559,ISNUMBER(G559),ISNUMBER(H559),H559&gt;0),(G559-H559)/H559,"n.a.")</x:f>
        <x:v>-0.29282586080495165</x:v>
      </x:c>
      <x:c r="K559" s="19" t="n">
        <x:f>IF(ISNUMBER(J559),ABS(J559),"n.a.")</x:f>
        <x:v>0.29282586080495165</x:v>
      </x:c>
      <x:c r="L559" s="13" t="b">
        <x:v>1</x:v>
      </x:c>
      <x:c r="M559" s="13" t="b">
        <x:v>1</x:v>
      </x:c>
      <x:c r="N559" s="2" t="str">
        <x:v>L1_numeric_partition_qualified_not_national_completeness</x:v>
      </x:c>
      <x:c r="O559" s="2" t="str">
        <x:v>none</x:v>
      </x:c>
      <x:c r="P559" s="2" t="str">
        <x:v>historical_GHSL_BU_estimate</x:v>
      </x:c>
      <x:c r="Q559" s="2" t="str">
        <x:v>Published UN country boundaries, L1 class partition, national completeness unproven;2025/2030 source projections</x:v>
      </x:c>
      <x:c r="R559" s="2" t="str">
        <x:v>https://human-settlement.emergency.copernicus.eu/datasets.php</x:v>
      </x:c>
      <x:c r="S559" s="13" t="b">
        <x:v>0</x:v>
      </x:c>
      <x:c r="T559" s="13" t="b">
        <x:v>0</x:v>
      </x:c>
    </x:row>
    <x:row r="560" ht="23" customHeight="1">
      <x:c r="A560" s="2" t="str">
        <x:v>SVK</x:v>
      </x:c>
      <x:c r="B560" s="2" t="str">
        <x:v>Slovakia (Slovak Republic)</x:v>
      </x:c>
      <x:c r="C560" s="2" t="n">
        <x:v>2020</x:v>
      </x:c>
      <x:c r="D560" s="2" t="str">
        <x:v>WUP_SURFACE</x:v>
      </x:c>
      <x:c r="E560" s="2" t="str">
        <x:v>horizontal surface / footprint</x:v>
      </x:c>
      <x:c r="F560" s="2" t="str">
        <x:v>m2</x:v>
      </x:c>
      <x:c r="G560" s="17" t="n">
        <x:v>387594933.19</x:v>
      </x:c>
      <x:c r="H560" s="17" t="n">
        <x:v>675187190.6212317</x:v>
      </x:c>
      <x:c r="I560" s="17" t="n">
        <x:f>IF(AND(L560,ISNUMBER(G560),ISNUMBER(H560)),G560-H560,"n.a.")</x:f>
        <x:v>-287592257.4312317</x:v>
      </x:c>
      <x:c r="J560" s="15" t="n">
        <x:f>IF(AND(L560,ISNUMBER(G560),ISNUMBER(H560),H560&gt;0),(G560-H560)/H560,"n.a.")</x:f>
        <x:v>-0.42594448091739046</x:v>
      </x:c>
      <x:c r="K560" s="19" t="n">
        <x:f>IF(ISNUMBER(J560),ABS(J560),"n.a.")</x:f>
        <x:v>0.42594448091739046</x:v>
      </x:c>
      <x:c r="L560" s="13" t="b">
        <x:v>1</x:v>
      </x:c>
      <x:c r="M560" s="13" t="b">
        <x:v>1</x:v>
      </x:c>
      <x:c r="N560" s="2" t="str">
        <x:v>L1_numeric_partition_qualified_not_national_completeness</x:v>
      </x:c>
      <x:c r="O560" s="2" t="str">
        <x:v>none</x:v>
      </x:c>
      <x:c r="P560" s="2" t="str">
        <x:v>historical_GHSL_BU_estimate</x:v>
      </x:c>
      <x:c r="Q560" s="2" t="str">
        <x:v>Published UN country boundaries, L1 class partition, national completeness unproven;2025/2030 source projections</x:v>
      </x:c>
      <x:c r="R560" s="2" t="str">
        <x:v>https://human-settlement.emergency.copernicus.eu/datasets.php</x:v>
      </x:c>
      <x:c r="S560" s="13" t="b">
        <x:v>0</x:v>
      </x:c>
      <x:c r="T560" s="13" t="b">
        <x:v>0</x:v>
      </x:c>
    </x:row>
    <x:row r="561" ht="23" customHeight="1">
      <x:c r="A561" s="2" t="str">
        <x:v>SVN</x:v>
      </x:c>
      <x:c r="B561" s="2" t="str">
        <x:v>Slovenia (Republic of)</x:v>
      </x:c>
      <x:c r="C561" s="2" t="n">
        <x:v>2020</x:v>
      </x:c>
      <x:c r="D561" s="2" t="str">
        <x:v>WUP_SURFACE</x:v>
      </x:c>
      <x:c r="E561" s="2" t="str">
        <x:v>horizontal surface / footprint</x:v>
      </x:c>
      <x:c r="F561" s="2" t="str">
        <x:v>m2</x:v>
      </x:c>
      <x:c r="G561" s="17" t="n">
        <x:v>188783306.59</x:v>
      </x:c>
      <x:c r="H561" s="17" t="n">
        <x:v>257007811.99404934</x:v>
      </x:c>
      <x:c r="I561" s="17" t="n">
        <x:f>IF(AND(L561,ISNUMBER(G561),ISNUMBER(H561)),G561-H561,"n.a.")</x:f>
        <x:v>-68224505.40404934</x:v>
      </x:c>
      <x:c r="J561" s="15" t="n">
        <x:f>IF(AND(L561,ISNUMBER(G561),ISNUMBER(H561),H561&gt;0),(G561-H561)/H561,"n.a.")</x:f>
        <x:v>-0.26545693251389957</x:v>
      </x:c>
      <x:c r="K561" s="19" t="n">
        <x:f>IF(ISNUMBER(J561),ABS(J561),"n.a.")</x:f>
        <x:v>0.26545693251389957</x:v>
      </x:c>
      <x:c r="L561" s="13" t="b">
        <x:v>1</x:v>
      </x:c>
      <x:c r="M561" s="13" t="b">
        <x:v>1</x:v>
      </x:c>
      <x:c r="N561" s="2" t="str">
        <x:v>L1_numeric_partition_qualified_not_national_completeness</x:v>
      </x:c>
      <x:c r="O561" s="2" t="str">
        <x:v>none</x:v>
      </x:c>
      <x:c r="P561" s="2" t="str">
        <x:v>historical_GHSL_BU_estimate</x:v>
      </x:c>
      <x:c r="Q561" s="2" t="str">
        <x:v>Published UN country boundaries, L1 class partition, national completeness unproven;2025/2030 source projections</x:v>
      </x:c>
      <x:c r="R561" s="2" t="str">
        <x:v>https://human-settlement.emergency.copernicus.eu/datasets.php</x:v>
      </x:c>
      <x:c r="S561" s="13" t="b">
        <x:v>0</x:v>
      </x:c>
      <x:c r="T561" s="13" t="b">
        <x:v>0</x:v>
      </x:c>
    </x:row>
    <x:row r="562" ht="23" customHeight="1">
      <x:c r="A562" s="2" t="str">
        <x:v>SWE</x:v>
      </x:c>
      <x:c r="B562" s="2" t="str">
        <x:v>Sweden (Kingdom of)</x:v>
      </x:c>
      <x:c r="C562" s="2" t="n">
        <x:v>2020</x:v>
      </x:c>
      <x:c r="D562" s="2" t="str">
        <x:v>WUP_SURFACE</x:v>
      </x:c>
      <x:c r="E562" s="2" t="str">
        <x:v>horizontal surface / footprint</x:v>
      </x:c>
      <x:c r="F562" s="2" t="str">
        <x:v>m2</x:v>
      </x:c>
      <x:c r="G562" s="17" t="n">
        <x:v>853123931.52</x:v>
      </x:c>
      <x:c r="H562" s="17" t="n">
        <x:v>922063838.942528</x:v>
      </x:c>
      <x:c r="I562" s="17" t="n">
        <x:f>IF(AND(L562,ISNUMBER(G562),ISNUMBER(H562)),G562-H562,"n.a.")</x:f>
        <x:v>-68939907.42252803</x:v>
      </x:c>
      <x:c r="J562" s="15" t="n">
        <x:f>IF(AND(L562,ISNUMBER(G562),ISNUMBER(H562),H562&gt;0),(G562-H562)/H562,"n.a.")</x:f>
        <x:v>-0.07476695702717503</x:v>
      </x:c>
      <x:c r="K562" s="19" t="n">
        <x:f>IF(ISNUMBER(J562),ABS(J562),"n.a.")</x:f>
        <x:v>0.07476695702717503</x:v>
      </x:c>
      <x:c r="L562" s="13" t="b">
        <x:v>1</x:v>
      </x:c>
      <x:c r="M562" s="13" t="b">
        <x:v>1</x:v>
      </x:c>
      <x:c r="N562" s="2" t="str">
        <x:v>L1_numeric_partition_qualified_not_national_completeness</x:v>
      </x:c>
      <x:c r="O562" s="2" t="str">
        <x:v>none</x:v>
      </x:c>
      <x:c r="P562" s="2" t="str">
        <x:v>historical_GHSL_BU_estimate</x:v>
      </x:c>
      <x:c r="Q562" s="2" t="str">
        <x:v>Published UN country boundaries, L1 class partition, national completeness unproven;2025/2030 source projections</x:v>
      </x:c>
      <x:c r="R562" s="2" t="str">
        <x:v>https://human-settlement.emergency.copernicus.eu/datasets.php</x:v>
      </x:c>
      <x:c r="S562" s="13" t="b">
        <x:v>0</x:v>
      </x:c>
      <x:c r="T562" s="13" t="b">
        <x:v>0</x:v>
      </x:c>
    </x:row>
    <x:row r="563" ht="23" customHeight="1">
      <x:c r="A563" s="2" t="str">
        <x:v>SWZ</x:v>
      </x:c>
      <x:c r="B563" s="2" t="str">
        <x:v>Eswatini (Kingdom of)</x:v>
      </x:c>
      <x:c r="C563" s="2" t="n">
        <x:v>2020</x:v>
      </x:c>
      <x:c r="D563" s="2" t="str">
        <x:v>WUP_SURFACE</x:v>
      </x:c>
      <x:c r="E563" s="2" t="str">
        <x:v>horizontal surface / footprint</x:v>
      </x:c>
      <x:c r="F563" s="2" t="str">
        <x:v>m2</x:v>
      </x:c>
      <x:c r="G563" s="17" t="n">
        <x:v>51228621.63</x:v>
      </x:c>
      <x:c r="H563" s="17" t="n">
        <x:v>159921158.14358234</x:v>
      </x:c>
      <x:c r="I563" s="17" t="n">
        <x:f>IF(AND(L563,ISNUMBER(G563),ISNUMBER(H563)),G563-H563,"n.a.")</x:f>
        <x:v>-108692536.51358235</x:v>
      </x:c>
      <x:c r="J563" s="15" t="n">
        <x:f>IF(AND(L563,ISNUMBER(G563),ISNUMBER(H563),H563&gt;0),(G563-H563)/H563,"n.a.")</x:f>
        <x:v>-0.67966326516967</x:v>
      </x:c>
      <x:c r="K563" s="19" t="n">
        <x:f>IF(ISNUMBER(J563),ABS(J563),"n.a.")</x:f>
        <x:v>0.67966326516967</x:v>
      </x:c>
      <x:c r="L563" s="13" t="b">
        <x:v>1</x:v>
      </x:c>
      <x:c r="M563" s="13" t="b">
        <x:v>1</x:v>
      </x:c>
      <x:c r="N563" s="2" t="str">
        <x:v>L1_numeric_partition_qualified_not_national_completeness</x:v>
      </x:c>
      <x:c r="O563" s="2" t="str">
        <x:v>none</x:v>
      </x:c>
      <x:c r="P563" s="2" t="str">
        <x:v>historical_GHSL_BU_estimate</x:v>
      </x:c>
      <x:c r="Q563" s="2" t="str">
        <x:v>Published UN country boundaries, L1 class partition, national completeness unproven;2025/2030 source projections</x:v>
      </x:c>
      <x:c r="R563" s="2" t="str">
        <x:v>https://human-settlement.emergency.copernicus.eu/datasets.php</x:v>
      </x:c>
      <x:c r="S563" s="13" t="b">
        <x:v>0</x:v>
      </x:c>
      <x:c r="T563" s="13" t="b">
        <x:v>0</x:v>
      </x:c>
    </x:row>
    <x:row r="564" ht="23" customHeight="1">
      <x:c r="A564" s="2" t="str">
        <x:v>SYC</x:v>
      </x:c>
      <x:c r="B564" s="2" t="str">
        <x:v>Seychelles (Republic of)</x:v>
      </x:c>
      <x:c r="C564" s="2" t="n">
        <x:v>2020</x:v>
      </x:c>
      <x:c r="D564" s="2" t="str">
        <x:v>WUP_SURFACE</x:v>
      </x:c>
      <x:c r="E564" s="2" t="str">
        <x:v>horizontal surface / footprint</x:v>
      </x:c>
      <x:c r="F564" s="2" t="str">
        <x:v>m2</x:v>
      </x:c>
      <x:c r="G564" s="17" t="n">
        <x:v>7317572.88</x:v>
      </x:c>
      <x:c r="H564" s="17" t="n">
        <x:v>5511621.986451587</x:v>
      </x:c>
      <x:c r="I564" s="17" t="n">
        <x:f>IF(AND(L564,ISNUMBER(G564),ISNUMBER(H564)),G564-H564,"n.a.")</x:f>
        <x:v>1805950.8935484132</x:v>
      </x:c>
      <x:c r="J564" s="15" t="n">
        <x:f>IF(AND(L564,ISNUMBER(G564),ISNUMBER(H564),H564&gt;0),(G564-H564)/H564,"n.a.")</x:f>
        <x:v>0.3276623284375666</x:v>
      </x:c>
      <x:c r="K564" s="19" t="n">
        <x:f>IF(ISNUMBER(J564),ABS(J564),"n.a.")</x:f>
        <x:v>0.3276623284375666</x:v>
      </x:c>
      <x:c r="L564" s="13" t="b">
        <x:v>1</x:v>
      </x:c>
      <x:c r="M564" s="13" t="b">
        <x:v>1</x:v>
      </x:c>
      <x:c r="N564" s="2" t="str">
        <x:v>L1_numeric_partition_qualified_not_national_completeness</x:v>
      </x:c>
      <x:c r="O564" s="2" t="str">
        <x:v>none</x:v>
      </x:c>
      <x:c r="P564" s="2" t="str">
        <x:v>historical_GHSL_BU_estimate</x:v>
      </x:c>
      <x:c r="Q564" s="2" t="str">
        <x:v>Published UN country boundaries, L1 class partition, national completeness unproven;2025/2030 source projections</x:v>
      </x:c>
      <x:c r="R564" s="2" t="str">
        <x:v>https://human-settlement.emergency.copernicus.eu/datasets.php</x:v>
      </x:c>
      <x:c r="S564" s="13" t="b">
        <x:v>0</x:v>
      </x:c>
      <x:c r="T564" s="13" t="b">
        <x:v>0</x:v>
      </x:c>
    </x:row>
    <x:row r="565" ht="23" customHeight="1">
      <x:c r="A565" s="2" t="str">
        <x:v>SYR</x:v>
      </x:c>
      <x:c r="B565" s="2" t="str">
        <x:v>Syrian Arab Republic</x:v>
      </x:c>
      <x:c r="C565" s="2" t="n">
        <x:v>2020</x:v>
      </x:c>
      <x:c r="D565" s="2" t="str">
        <x:v>WUP_SURFACE</x:v>
      </x:c>
      <x:c r="E565" s="2" t="str">
        <x:v>horizontal surface / footprint</x:v>
      </x:c>
      <x:c r="F565" s="2" t="str">
        <x:v>m2</x:v>
      </x:c>
      <x:c r="G565" s="17" t="n">
        <x:v>784392266.01</x:v>
      </x:c>
      <x:c r="H565" s="17" t="n">
        <x:v>966625815.5891018</x:v>
      </x:c>
      <x:c r="I565" s="17" t="n">
        <x:f>IF(AND(L565,ISNUMBER(G565),ISNUMBER(H565)),G565-H565,"n.a.")</x:f>
        <x:v>-182233549.5791018</x:v>
      </x:c>
      <x:c r="J565" s="15" t="n">
        <x:f>IF(AND(L565,ISNUMBER(G565),ISNUMBER(H565),H565&gt;0),(G565-H565)/H565,"n.a.")</x:f>
        <x:v>-0.18852543211670914</x:v>
      </x:c>
      <x:c r="K565" s="19" t="n">
        <x:f>IF(ISNUMBER(J565),ABS(J565),"n.a.")</x:f>
        <x:v>0.18852543211670914</x:v>
      </x:c>
      <x:c r="L565" s="13" t="b">
        <x:v>1</x:v>
      </x:c>
      <x:c r="M565" s="13" t="b">
        <x:v>1</x:v>
      </x:c>
      <x:c r="N565" s="2" t="str">
        <x:v>L1_numeric_partition_qualified_not_national_completeness</x:v>
      </x:c>
      <x:c r="O565" s="2" t="str">
        <x:v>none</x:v>
      </x:c>
      <x:c r="P565" s="2" t="str">
        <x:v>historical_GHSL_BU_estimate</x:v>
      </x:c>
      <x:c r="Q565" s="2" t="str">
        <x:v>Published UN country boundaries, L1 class partition, national completeness unproven;2025/2030 source projections</x:v>
      </x:c>
      <x:c r="R565" s="2" t="str">
        <x:v>https://human-settlement.emergency.copernicus.eu/datasets.php</x:v>
      </x:c>
      <x:c r="S565" s="13" t="b">
        <x:v>0</x:v>
      </x:c>
      <x:c r="T565" s="13" t="b">
        <x:v>0</x:v>
      </x:c>
    </x:row>
    <x:row r="566" ht="23" customHeight="1">
      <x:c r="A566" s="2" t="str">
        <x:v>TCD</x:v>
      </x:c>
      <x:c r="B566" s="2" t="str">
        <x:v>Chad (Republic of)</x:v>
      </x:c>
      <x:c r="C566" s="2" t="n">
        <x:v>2020</x:v>
      </x:c>
      <x:c r="D566" s="2" t="str">
        <x:v>WUP_SURFACE</x:v>
      </x:c>
      <x:c r="E566" s="2" t="str">
        <x:v>horizontal surface / footprint</x:v>
      </x:c>
      <x:c r="F566" s="2" t="str">
        <x:v>m2</x:v>
      </x:c>
      <x:c r="G566" s="17" t="n">
        <x:v>126450494.22</x:v>
      </x:c>
      <x:c r="H566" s="17" t="n">
        <x:v>555204347.0216299</x:v>
      </x:c>
      <x:c r="I566" s="17" t="n">
        <x:f>IF(AND(L566,ISNUMBER(G566),ISNUMBER(H566)),G566-H566,"n.a.")</x:f>
        <x:v>-428753852.8016299</x:v>
      </x:c>
      <x:c r="J566" s="15" t="n">
        <x:f>IF(AND(L566,ISNUMBER(G566),ISNUMBER(H566),H566&gt;0),(G566-H566)/H566,"n.a.")</x:f>
        <x:v>-0.7722451293864353</x:v>
      </x:c>
      <x:c r="K566" s="19" t="n">
        <x:f>IF(ISNUMBER(J566),ABS(J566),"n.a.")</x:f>
        <x:v>0.7722451293864353</x:v>
      </x:c>
      <x:c r="L566" s="13" t="b">
        <x:v>1</x:v>
      </x:c>
      <x:c r="M566" s="13" t="b">
        <x:v>1</x:v>
      </x:c>
      <x:c r="N566" s="2" t="str">
        <x:v>L1_numeric_partition_qualified_not_national_completeness</x:v>
      </x:c>
      <x:c r="O566" s="2" t="str">
        <x:v>none</x:v>
      </x:c>
      <x:c r="P566" s="2" t="str">
        <x:v>historical_GHSL_BU_estimate</x:v>
      </x:c>
      <x:c r="Q566" s="2" t="str">
        <x:v>Published UN country boundaries, L1 class partition, national completeness unproven;2025/2030 source projections</x:v>
      </x:c>
      <x:c r="R566" s="2" t="str">
        <x:v>https://human-settlement.emergency.copernicus.eu/datasets.php</x:v>
      </x:c>
      <x:c r="S566" s="13" t="b">
        <x:v>0</x:v>
      </x:c>
      <x:c r="T566" s="13" t="b">
        <x:v>0</x:v>
      </x:c>
    </x:row>
    <x:row r="567" ht="23" customHeight="1">
      <x:c r="A567" s="2" t="str">
        <x:v>TGO</x:v>
      </x:c>
      <x:c r="B567" s="2" t="str">
        <x:v>Togo (Togolese Republic)</x:v>
      </x:c>
      <x:c r="C567" s="2" t="n">
        <x:v>2020</x:v>
      </x:c>
      <x:c r="D567" s="2" t="str">
        <x:v>WUP_SURFACE</x:v>
      </x:c>
      <x:c r="E567" s="2" t="str">
        <x:v>horizontal surface / footprint</x:v>
      </x:c>
      <x:c r="F567" s="2" t="str">
        <x:v>m2</x:v>
      </x:c>
      <x:c r="G567" s="17" t="n">
        <x:v>185693532.73</x:v>
      </x:c>
      <x:c r="H567" s="17" t="n">
        <x:v>470326535.96646696</x:v>
      </x:c>
      <x:c r="I567" s="17" t="n">
        <x:f>IF(AND(L567,ISNUMBER(G567),ISNUMBER(H567)),G567-H567,"n.a.")</x:f>
        <x:v>-284633003.236467</x:v>
      </x:c>
      <x:c r="J567" s="15" t="n">
        <x:f>IF(AND(L567,ISNUMBER(G567),ISNUMBER(H567),H567&gt;0),(G567-H567)/H567,"n.a.")</x:f>
        <x:v>-0.6051816801099239</x:v>
      </x:c>
      <x:c r="K567" s="19" t="n">
        <x:f>IF(ISNUMBER(J567),ABS(J567),"n.a.")</x:f>
        <x:v>0.6051816801099239</x:v>
      </x:c>
      <x:c r="L567" s="13" t="b">
        <x:v>1</x:v>
      </x:c>
      <x:c r="M567" s="13" t="b">
        <x:v>1</x:v>
      </x:c>
      <x:c r="N567" s="2" t="str">
        <x:v>L1_numeric_partition_qualified_not_national_completeness</x:v>
      </x:c>
      <x:c r="O567" s="2" t="str">
        <x:v>none</x:v>
      </x:c>
      <x:c r="P567" s="2" t="str">
        <x:v>historical_GHSL_BU_estimate</x:v>
      </x:c>
      <x:c r="Q567" s="2" t="str">
        <x:v>Published UN country boundaries, L1 class partition, national completeness unproven;2025/2030 source projections</x:v>
      </x:c>
      <x:c r="R567" s="2" t="str">
        <x:v>https://human-settlement.emergency.copernicus.eu/datasets.php</x:v>
      </x:c>
      <x:c r="S567" s="13" t="b">
        <x:v>0</x:v>
      </x:c>
      <x:c r="T567" s="13" t="b">
        <x:v>0</x:v>
      </x:c>
    </x:row>
    <x:row r="568" ht="23" customHeight="1">
      <x:c r="A568" s="2" t="str">
        <x:v>THA</x:v>
      </x:c>
      <x:c r="B568" s="2" t="str">
        <x:v>Thailand (Kingdom of)</x:v>
      </x:c>
      <x:c r="C568" s="2" t="n">
        <x:v>2020</x:v>
      </x:c>
      <x:c r="D568" s="2" t="str">
        <x:v>WUP_SURFACE</x:v>
      </x:c>
      <x:c r="E568" s="2" t="str">
        <x:v>horizontal surface / footprint</x:v>
      </x:c>
      <x:c r="F568" s="2" t="str">
        <x:v>m2</x:v>
      </x:c>
      <x:c r="G568" s="17" t="n">
        <x:v>5229846890.15</x:v>
      </x:c>
      <x:c r="H568" s="17" t="n">
        <x:v>6720698354.65762</x:v>
      </x:c>
      <x:c r="I568" s="17" t="n">
        <x:f>IF(AND(L568,ISNUMBER(G568),ISNUMBER(H568)),G568-H568,"n.a.")</x:f>
        <x:v>-1490851464.5076208</x:v>
      </x:c>
      <x:c r="J568" s="15" t="n">
        <x:f>IF(AND(L568,ISNUMBER(G568),ISNUMBER(H568),H568&gt;0),(G568-H568)/H568,"n.a.")</x:f>
        <x:v>-0.22182984354214047</x:v>
      </x:c>
      <x:c r="K568" s="19" t="n">
        <x:f>IF(ISNUMBER(J568),ABS(J568),"n.a.")</x:f>
        <x:v>0.22182984354214047</x:v>
      </x:c>
      <x:c r="L568" s="13" t="b">
        <x:v>1</x:v>
      </x:c>
      <x:c r="M568" s="13" t="b">
        <x:v>1</x:v>
      </x:c>
      <x:c r="N568" s="2" t="str">
        <x:v>L1_numeric_partition_qualified_not_national_completeness</x:v>
      </x:c>
      <x:c r="O568" s="2" t="str">
        <x:v>none</x:v>
      </x:c>
      <x:c r="P568" s="2" t="str">
        <x:v>historical_GHSL_BU_estimate</x:v>
      </x:c>
      <x:c r="Q568" s="2" t="str">
        <x:v>Published UN country boundaries, L1 class partition, national completeness unproven;2025/2030 source projections</x:v>
      </x:c>
      <x:c r="R568" s="2" t="str">
        <x:v>https://human-settlement.emergency.copernicus.eu/datasets.php</x:v>
      </x:c>
      <x:c r="S568" s="13" t="b">
        <x:v>0</x:v>
      </x:c>
      <x:c r="T568" s="13" t="b">
        <x:v>0</x:v>
      </x:c>
    </x:row>
    <x:row r="569" ht="23" customHeight="1">
      <x:c r="A569" s="2" t="str">
        <x:v>TJK</x:v>
      </x:c>
      <x:c r="B569" s="2" t="str">
        <x:v>Tajikistan (Republic of)</x:v>
      </x:c>
      <x:c r="C569" s="2" t="n">
        <x:v>2020</x:v>
      </x:c>
      <x:c r="D569" s="2" t="str">
        <x:v>WUP_SURFACE</x:v>
      </x:c>
      <x:c r="E569" s="2" t="str">
        <x:v>horizontal surface / footprint</x:v>
      </x:c>
      <x:c r="F569" s="2" t="str">
        <x:v>m2</x:v>
      </x:c>
      <x:c r="G569" s="17" t="n">
        <x:v>392955797.92</x:v>
      </x:c>
      <x:c r="H569" s="17" t="n">
        <x:v>729344216.843611</x:v>
      </x:c>
      <x:c r="I569" s="17" t="n">
        <x:f>IF(AND(L569,ISNUMBER(G569),ISNUMBER(H569)),G569-H569,"n.a.")</x:f>
        <x:v>-336388418.923611</x:v>
      </x:c>
      <x:c r="J569" s="15" t="n">
        <x:f>IF(AND(L569,ISNUMBER(G569),ISNUMBER(H569),H569&gt;0),(G569-H569)/H569,"n.a.")</x:f>
        <x:v>-0.4612203828521489</x:v>
      </x:c>
      <x:c r="K569" s="19" t="n">
        <x:f>IF(ISNUMBER(J569),ABS(J569),"n.a.")</x:f>
        <x:v>0.4612203828521489</x:v>
      </x:c>
      <x:c r="L569" s="13" t="b">
        <x:v>1</x:v>
      </x:c>
      <x:c r="M569" s="13" t="b">
        <x:v>1</x:v>
      </x:c>
      <x:c r="N569" s="2" t="str">
        <x:v>L1_numeric_partition_qualified_not_national_completeness</x:v>
      </x:c>
      <x:c r="O569" s="2" t="str">
        <x:v>none</x:v>
      </x:c>
      <x:c r="P569" s="2" t="str">
        <x:v>historical_GHSL_BU_estimate</x:v>
      </x:c>
      <x:c r="Q569" s="2" t="str">
        <x:v>Published UN country boundaries, L1 class partition, national completeness unproven;2025/2030 source projections</x:v>
      </x:c>
      <x:c r="R569" s="2" t="str">
        <x:v>https://human-settlement.emergency.copernicus.eu/datasets.php</x:v>
      </x:c>
      <x:c r="S569" s="13" t="b">
        <x:v>0</x:v>
      </x:c>
      <x:c r="T569" s="13" t="b">
        <x:v>0</x:v>
      </x:c>
    </x:row>
    <x:row r="570" ht="23" customHeight="1">
      <x:c r="A570" s="2" t="str">
        <x:v>TKM</x:v>
      </x:c>
      <x:c r="B570" s="2" t="str">
        <x:v>Turkmenistan</x:v>
      </x:c>
      <x:c r="C570" s="2" t="n">
        <x:v>2020</x:v>
      </x:c>
      <x:c r="D570" s="2" t="str">
        <x:v>WUP_SURFACE</x:v>
      </x:c>
      <x:c r="E570" s="2" t="str">
        <x:v>horizontal surface / footprint</x:v>
      </x:c>
      <x:c r="F570" s="2" t="str">
        <x:v>m2</x:v>
      </x:c>
      <x:c r="G570" s="17" t="n">
        <x:v>359976676.15</x:v>
      </x:c>
      <x:c r="H570" s="17" t="n">
        <x:v>756506146.8044217</x:v>
      </x:c>
      <x:c r="I570" s="17" t="n">
        <x:f>IF(AND(L570,ISNUMBER(G570),ISNUMBER(H570)),G570-H570,"n.a.")</x:f>
        <x:v>-396529470.6544217</x:v>
      </x:c>
      <x:c r="J570" s="15" t="n">
        <x:f>IF(AND(L570,ISNUMBER(G570),ISNUMBER(H570),H570&gt;0),(G570-H570)/H570,"n.a.")</x:f>
        <x:v>-0.524158954067211</x:v>
      </x:c>
      <x:c r="K570" s="19" t="n">
        <x:f>IF(ISNUMBER(J570),ABS(J570),"n.a.")</x:f>
        <x:v>0.524158954067211</x:v>
      </x:c>
      <x:c r="L570" s="13" t="b">
        <x:v>1</x:v>
      </x:c>
      <x:c r="M570" s="13" t="b">
        <x:v>1</x:v>
      </x:c>
      <x:c r="N570" s="2" t="str">
        <x:v>L1_numeric_partition_qualified_not_national_completeness</x:v>
      </x:c>
      <x:c r="O570" s="2" t="str">
        <x:v>none</x:v>
      </x:c>
      <x:c r="P570" s="2" t="str">
        <x:v>historical_GHSL_BU_estimate</x:v>
      </x:c>
      <x:c r="Q570" s="2" t="str">
        <x:v>Published UN country boundaries, L1 class partition, national completeness unproven;2025/2030 source projections</x:v>
      </x:c>
      <x:c r="R570" s="2" t="str">
        <x:v>https://human-settlement.emergency.copernicus.eu/datasets.php</x:v>
      </x:c>
      <x:c r="S570" s="13" t="b">
        <x:v>0</x:v>
      </x:c>
      <x:c r="T570" s="13" t="b">
        <x:v>0</x:v>
      </x:c>
    </x:row>
    <x:row r="571" ht="23" customHeight="1">
      <x:c r="A571" s="2" t="str">
        <x:v>TLS</x:v>
      </x:c>
      <x:c r="B571" s="2" t="str">
        <x:v>Timor-Leste (Democratic Republic of)</x:v>
      </x:c>
      <x:c r="C571" s="2" t="n">
        <x:v>2020</x:v>
      </x:c>
      <x:c r="D571" s="2" t="str">
        <x:v>WUP_SURFACE</x:v>
      </x:c>
      <x:c r="E571" s="2" t="str">
        <x:v>horizontal surface / footprint</x:v>
      </x:c>
      <x:c r="F571" s="2" t="str">
        <x:v>m2</x:v>
      </x:c>
      <x:c r="G571" s="17" t="n">
        <x:v>41213693.9</x:v>
      </x:c>
      <x:c r="H571" s="17" t="n">
        <x:v>50043573.01595746</x:v>
      </x:c>
      <x:c r="I571" s="17" t="n">
        <x:f>IF(AND(L571,ISNUMBER(G571),ISNUMBER(H571)),G571-H571,"n.a.")</x:f>
        <x:v>-8829879.115957461</x:v>
      </x:c>
      <x:c r="J571" s="15" t="n">
        <x:f>IF(AND(L571,ISNUMBER(G571),ISNUMBER(H571),H571&gt;0),(G571-H571)/H571,"n.a.")</x:f>
        <x:v>-0.17644381853273877</x:v>
      </x:c>
      <x:c r="K571" s="19" t="n">
        <x:f>IF(ISNUMBER(J571),ABS(J571),"n.a.")</x:f>
        <x:v>0.17644381853273877</x:v>
      </x:c>
      <x:c r="L571" s="13" t="b">
        <x:v>1</x:v>
      </x:c>
      <x:c r="M571" s="13" t="b">
        <x:v>1</x:v>
      </x:c>
      <x:c r="N571" s="2" t="str">
        <x:v>L1_numeric_partition_qualified_not_national_completeness</x:v>
      </x:c>
      <x:c r="O571" s="2" t="str">
        <x:v>none</x:v>
      </x:c>
      <x:c r="P571" s="2" t="str">
        <x:v>historical_GHSL_BU_estimate</x:v>
      </x:c>
      <x:c r="Q571" s="2" t="str">
        <x:v>Published UN country boundaries, L1 class partition, national completeness unproven;2025/2030 source projections</x:v>
      </x:c>
      <x:c r="R571" s="2" t="str">
        <x:v>https://human-settlement.emergency.copernicus.eu/datasets.php</x:v>
      </x:c>
      <x:c r="S571" s="13" t="b">
        <x:v>0</x:v>
      </x:c>
      <x:c r="T571" s="13" t="b">
        <x:v>0</x:v>
      </x:c>
    </x:row>
    <x:row r="572" ht="23" customHeight="1">
      <x:c r="A572" s="2" t="str">
        <x:v>TON</x:v>
      </x:c>
      <x:c r="B572" s="2" t="str">
        <x:v>Tonga (Kingdom of)</x:v>
      </x:c>
      <x:c r="C572" s="2" t="n">
        <x:v>2020</x:v>
      </x:c>
      <x:c r="D572" s="2" t="str">
        <x:v>WUP_SURFACE</x:v>
      </x:c>
      <x:c r="E572" s="2" t="str">
        <x:v>horizontal surface / footprint</x:v>
      </x:c>
      <x:c r="F572" s="2" t="str">
        <x:v>m2</x:v>
      </x:c>
      <x:c r="G572" s="17" t="n">
        <x:v>4719083.85</x:v>
      </x:c>
      <x:c r="H572" s="17" t="n">
        <x:v>8585997.990630858</x:v>
      </x:c>
      <x:c r="I572" s="17" t="n">
        <x:f>IF(AND(L572,ISNUMBER(G572),ISNUMBER(H572)),G572-H572,"n.a.")</x:f>
        <x:v>-3866914.140630858</x:v>
      </x:c>
      <x:c r="J572" s="15" t="n">
        <x:f>IF(AND(L572,ISNUMBER(G572),ISNUMBER(H572),H572&gt;0),(G572-H572)/H572,"n.a.")</x:f>
        <x:v>-0.4503744520847175</x:v>
      </x:c>
      <x:c r="K572" s="19" t="n">
        <x:f>IF(ISNUMBER(J572),ABS(J572),"n.a.")</x:f>
        <x:v>0.4503744520847175</x:v>
      </x:c>
      <x:c r="L572" s="13" t="b">
        <x:v>1</x:v>
      </x:c>
      <x:c r="M572" s="13" t="b">
        <x:v>1</x:v>
      </x:c>
      <x:c r="N572" s="2" t="str">
        <x:v>L1_numeric_partition_qualified_not_national_completeness</x:v>
      </x:c>
      <x:c r="O572" s="2" t="str">
        <x:v>none</x:v>
      </x:c>
      <x:c r="P572" s="2" t="str">
        <x:v>historical_GHSL_BU_estimate</x:v>
      </x:c>
      <x:c r="Q572" s="2" t="str">
        <x:v>Published UN country boundaries, L1 class partition, national completeness unproven;2025/2030 source projections</x:v>
      </x:c>
      <x:c r="R572" s="2" t="str">
        <x:v>https://human-settlement.emergency.copernicus.eu/datasets.php</x:v>
      </x:c>
      <x:c r="S572" s="13" t="b">
        <x:v>0</x:v>
      </x:c>
      <x:c r="T572" s="13" t="b">
        <x:v>0</x:v>
      </x:c>
    </x:row>
    <x:row r="573" ht="23" customHeight="1">
      <x:c r="A573" s="2" t="str">
        <x:v>TTO</x:v>
      </x:c>
      <x:c r="B573" s="2" t="str">
        <x:v>Trinidad and Tobago (Republic of)</x:v>
      </x:c>
      <x:c r="C573" s="2" t="n">
        <x:v>2020</x:v>
      </x:c>
      <x:c r="D573" s="2" t="str">
        <x:v>WUP_SURFACE</x:v>
      </x:c>
      <x:c r="E573" s="2" t="str">
        <x:v>horizontal surface / footprint</x:v>
      </x:c>
      <x:c r="F573" s="2" t="str">
        <x:v>m2</x:v>
      </x:c>
      <x:c r="G573" s="17" t="n">
        <x:v>100480869.27</x:v>
      </x:c>
      <x:c r="H573" s="17" t="n">
        <x:v>165736139.07806897</x:v>
      </x:c>
      <x:c r="I573" s="17" t="n">
        <x:f>IF(AND(L573,ISNUMBER(G573),ISNUMBER(H573)),G573-H573,"n.a.")</x:f>
        <x:v>-65255269.808068976</x:v>
      </x:c>
      <x:c r="J573" s="15" t="n">
        <x:f>IF(AND(L573,ISNUMBER(G573),ISNUMBER(H573),H573&gt;0),(G573-H573)/H573,"n.a.")</x:f>
        <x:v>-0.3937298779316374</x:v>
      </x:c>
      <x:c r="K573" s="19" t="n">
        <x:f>IF(ISNUMBER(J573),ABS(J573),"n.a.")</x:f>
        <x:v>0.3937298779316374</x:v>
      </x:c>
      <x:c r="L573" s="13" t="b">
        <x:v>1</x:v>
      </x:c>
      <x:c r="M573" s="13" t="b">
        <x:v>1</x:v>
      </x:c>
      <x:c r="N573" s="2" t="str">
        <x:v>L1_numeric_partition_qualified_not_national_completeness</x:v>
      </x:c>
      <x:c r="O573" s="2" t="str">
        <x:v>none</x:v>
      </x:c>
      <x:c r="P573" s="2" t="str">
        <x:v>historical_GHSL_BU_estimate</x:v>
      </x:c>
      <x:c r="Q573" s="2" t="str">
        <x:v>Published UN country boundaries, L1 class partition, national completeness unproven;2025/2030 source projections</x:v>
      </x:c>
      <x:c r="R573" s="2" t="str">
        <x:v>https://human-settlement.emergency.copernicus.eu/datasets.php</x:v>
      </x:c>
      <x:c r="S573" s="13" t="b">
        <x:v>0</x:v>
      </x:c>
      <x:c r="T573" s="13" t="b">
        <x:v>0</x:v>
      </x:c>
    </x:row>
    <x:row r="574" ht="23" customHeight="1">
      <x:c r="A574" s="2" t="str">
        <x:v>TUN</x:v>
      </x:c>
      <x:c r="B574" s="2" t="str">
        <x:v>Tunisia (Republic of)</x:v>
      </x:c>
      <x:c r="C574" s="2" t="n">
        <x:v>2020</x:v>
      </x:c>
      <x:c r="D574" s="2" t="str">
        <x:v>WUP_SURFACE</x:v>
      </x:c>
      <x:c r="E574" s="2" t="str">
        <x:v>horizontal surface / footprint</x:v>
      </x:c>
      <x:c r="F574" s="2" t="str">
        <x:v>m2</x:v>
      </x:c>
      <x:c r="G574" s="17" t="n">
        <x:v>640256278.63</x:v>
      </x:c>
      <x:c r="H574" s="17" t="n">
        <x:v>1138292407.080182</x:v>
      </x:c>
      <x:c r="I574" s="17" t="n">
        <x:f>IF(AND(L574,ISNUMBER(G574),ISNUMBER(H574)),G574-H574,"n.a.")</x:f>
        <x:v>-498036128.4501821</x:v>
      </x:c>
      <x:c r="J574" s="15" t="n">
        <x:f>IF(AND(L574,ISNUMBER(G574),ISNUMBER(H574),H574&gt;0),(G574-H574)/H574,"n.a.")</x:f>
        <x:v>-0.43752916680494036</x:v>
      </x:c>
      <x:c r="K574" s="19" t="n">
        <x:f>IF(ISNUMBER(J574),ABS(J574),"n.a.")</x:f>
        <x:v>0.43752916680494036</x:v>
      </x:c>
      <x:c r="L574" s="13" t="b">
        <x:v>1</x:v>
      </x:c>
      <x:c r="M574" s="13" t="b">
        <x:v>1</x:v>
      </x:c>
      <x:c r="N574" s="2" t="str">
        <x:v>L1_numeric_partition_qualified_not_national_completeness</x:v>
      </x:c>
      <x:c r="O574" s="2" t="str">
        <x:v>none</x:v>
      </x:c>
      <x:c r="P574" s="2" t="str">
        <x:v>historical_GHSL_BU_estimate</x:v>
      </x:c>
      <x:c r="Q574" s="2" t="str">
        <x:v>Published UN country boundaries, L1 class partition, national completeness unproven;2025/2030 source projections</x:v>
      </x:c>
      <x:c r="R574" s="2" t="str">
        <x:v>https://human-settlement.emergency.copernicus.eu/datasets.php</x:v>
      </x:c>
      <x:c r="S574" s="13" t="b">
        <x:v>0</x:v>
      </x:c>
      <x:c r="T574" s="13" t="b">
        <x:v>0</x:v>
      </x:c>
    </x:row>
    <x:row r="575" ht="23" customHeight="1">
      <x:c r="A575" s="2" t="str">
        <x:v>TUR</x:v>
      </x:c>
      <x:c r="B575" s="2" t="str">
        <x:v>Türkiye (Republic of)</x:v>
      </x:c>
      <x:c r="C575" s="2" t="n">
        <x:v>2020</x:v>
      </x:c>
      <x:c r="D575" s="2" t="str">
        <x:v>WUP_SURFACE</x:v>
      </x:c>
      <x:c r="E575" s="2" t="str">
        <x:v>horizontal surface / footprint</x:v>
      </x:c>
      <x:c r="F575" s="2" t="str">
        <x:v>m2</x:v>
      </x:c>
      <x:c r="G575" s="17" t="n">
        <x:v>3724845529.66</x:v>
      </x:c>
      <x:c r="H575" s="17" t="n">
        <x:v>3437235122.2279906</x:v>
      </x:c>
      <x:c r="I575" s="17" t="n">
        <x:f>IF(AND(L575,ISNUMBER(G575),ISNUMBER(H575)),G575-H575,"n.a.")</x:f>
        <x:v>287610407.4320092</x:v>
      </x:c>
      <x:c r="J575" s="15" t="n">
        <x:f>IF(AND(L575,ISNUMBER(G575),ISNUMBER(H575),H575&gt;0),(G575-H575)/H575,"n.a.")</x:f>
        <x:v>0.08367492976319359</x:v>
      </x:c>
      <x:c r="K575" s="19" t="n">
        <x:f>IF(ISNUMBER(J575),ABS(J575),"n.a.")</x:f>
        <x:v>0.08367492976319359</x:v>
      </x:c>
      <x:c r="L575" s="13" t="b">
        <x:v>1</x:v>
      </x:c>
      <x:c r="M575" s="13" t="b">
        <x:v>1</x:v>
      </x:c>
      <x:c r="N575" s="2" t="str">
        <x:v>L1_numeric_partition_qualified_not_national_completeness</x:v>
      </x:c>
      <x:c r="O575" s="2" t="str">
        <x:v>none</x:v>
      </x:c>
      <x:c r="P575" s="2" t="str">
        <x:v>historical_GHSL_BU_estimate</x:v>
      </x:c>
      <x:c r="Q575" s="2" t="str">
        <x:v>Published UN country boundaries, L1 class partition, national completeness unproven;2025/2030 source projections</x:v>
      </x:c>
      <x:c r="R575" s="2" t="str">
        <x:v>https://human-settlement.emergency.copernicus.eu/datasets.php</x:v>
      </x:c>
      <x:c r="S575" s="13" t="b">
        <x:v>0</x:v>
      </x:c>
      <x:c r="T575" s="13" t="b">
        <x:v>0</x:v>
      </x:c>
    </x:row>
    <x:row r="576" ht="23" customHeight="1">
      <x:c r="A576" s="2" t="str">
        <x:v>TUV</x:v>
      </x:c>
      <x:c r="B576" s="2" t="str">
        <x:v>Tuvalu</x:v>
      </x:c>
      <x:c r="C576" s="2" t="n">
        <x:v>2020</x:v>
      </x:c>
      <x:c r="D576" s="2" t="str">
        <x:v>WUP_SURFACE</x:v>
      </x:c>
      <x:c r="E576" s="2" t="str">
        <x:v>horizontal surface / footprint</x:v>
      </x:c>
      <x:c r="F576" s="2" t="str">
        <x:v>m2</x:v>
      </x:c>
      <x:c r="G576" s="17" t="n">
        <x:v>19394.81</x:v>
      </x:c>
      <x:c r="H576" s="17" t="n">
        <x:v>808146.0099492688</x:v>
      </x:c>
      <x:c r="I576" s="17" t="n">
        <x:f>IF(AND(L576,ISNUMBER(G576),ISNUMBER(H576)),G576-H576,"n.a.")</x:f>
        <x:v>-788751.1999492687</x:v>
      </x:c>
      <x:c r="J576" s="15" t="n">
        <x:f>IF(AND(L576,ISNUMBER(G576),ISNUMBER(H576),H576&gt;0),(G576-H576)/H576,"n.a.")</x:f>
        <x:v>-0.9760008590511787</x:v>
      </x:c>
      <x:c r="K576" s="19" t="n">
        <x:f>IF(ISNUMBER(J576),ABS(J576),"n.a.")</x:f>
        <x:v>0.9760008590511787</x:v>
      </x:c>
      <x:c r="L576" s="13" t="b">
        <x:v>1</x:v>
      </x:c>
      <x:c r="M576" s="13" t="b">
        <x:v>1</x:v>
      </x:c>
      <x:c r="N576" s="2" t="str">
        <x:v>L1_numeric_partition_qualified_not_national_completeness</x:v>
      </x:c>
      <x:c r="O576" s="2" t="str">
        <x:v>none</x:v>
      </x:c>
      <x:c r="P576" s="2" t="str">
        <x:v>historical_GHSL_BU_estimate</x:v>
      </x:c>
      <x:c r="Q576" s="2" t="str">
        <x:v>Published UN country boundaries, L1 class partition, national completeness unproven;2025/2030 source projections</x:v>
      </x:c>
      <x:c r="R576" s="2" t="str">
        <x:v>https://human-settlement.emergency.copernicus.eu/datasets.php</x:v>
      </x:c>
      <x:c r="S576" s="13" t="b">
        <x:v>0</x:v>
      </x:c>
      <x:c r="T576" s="13" t="b">
        <x:v>0</x:v>
      </x:c>
    </x:row>
    <x:row r="577" ht="23" customHeight="1">
      <x:c r="A577" s="2" t="str">
        <x:v>TZA</x:v>
      </x:c>
      <x:c r="B577" s="2" t="str">
        <x:v>Tanzania (United Republic of)</x:v>
      </x:c>
      <x:c r="C577" s="2" t="n">
        <x:v>2020</x:v>
      </x:c>
      <x:c r="D577" s="2" t="str">
        <x:v>WUP_SURFACE</x:v>
      </x:c>
      <x:c r="E577" s="2" t="str">
        <x:v>horizontal surface / footprint</x:v>
      </x:c>
      <x:c r="F577" s="2" t="str">
        <x:v>m2</x:v>
      </x:c>
      <x:c r="G577" s="17" t="n">
        <x:v>1174486408.82</x:v>
      </x:c>
      <x:c r="H577" s="17" t="n">
        <x:v>4116719145.857338</x:v>
      </x:c>
      <x:c r="I577" s="17" t="n">
        <x:f>IF(AND(L577,ISNUMBER(G577),ISNUMBER(H577)),G577-H577,"n.a.")</x:f>
        <x:v>-2942232737.0373383</x:v>
      </x:c>
      <x:c r="J577" s="15" t="n">
        <x:f>IF(AND(L577,ISNUMBER(G577),ISNUMBER(H577),H577&gt;0),(G577-H577)/H577,"n.a.")</x:f>
        <x:v>-0.7147032947336504</x:v>
      </x:c>
      <x:c r="K577" s="19" t="n">
        <x:f>IF(ISNUMBER(J577),ABS(J577),"n.a.")</x:f>
        <x:v>0.7147032947336504</x:v>
      </x:c>
      <x:c r="L577" s="13" t="b">
        <x:v>1</x:v>
      </x:c>
      <x:c r="M577" s="13" t="b">
        <x:v>1</x:v>
      </x:c>
      <x:c r="N577" s="2" t="str">
        <x:v>L1_numeric_partition_qualified_not_national_completeness</x:v>
      </x:c>
      <x:c r="O577" s="2" t="str">
        <x:v>none</x:v>
      </x:c>
      <x:c r="P577" s="2" t="str">
        <x:v>historical_GHSL_BU_estimate</x:v>
      </x:c>
      <x:c r="Q577" s="2" t="str">
        <x:v>Published UN country boundaries, L1 class partition, national completeness unproven;2025/2030 source projections</x:v>
      </x:c>
      <x:c r="R577" s="2" t="str">
        <x:v>https://human-settlement.emergency.copernicus.eu/datasets.php</x:v>
      </x:c>
      <x:c r="S577" s="13" t="b">
        <x:v>0</x:v>
      </x:c>
      <x:c r="T577" s="13" t="b">
        <x:v>0</x:v>
      </x:c>
    </x:row>
    <x:row r="578" ht="23" customHeight="1">
      <x:c r="A578" s="2" t="str">
        <x:v>UGA</x:v>
      </x:c>
      <x:c r="B578" s="2" t="str">
        <x:v>Uganda (Republic of)</x:v>
      </x:c>
      <x:c r="C578" s="2" t="n">
        <x:v>2020</x:v>
      </x:c>
      <x:c r="D578" s="2" t="str">
        <x:v>WUP_SURFACE</x:v>
      </x:c>
      <x:c r="E578" s="2" t="str">
        <x:v>horizontal surface / footprint</x:v>
      </x:c>
      <x:c r="F578" s="2" t="str">
        <x:v>m2</x:v>
      </x:c>
      <x:c r="G578" s="17" t="n">
        <x:v>765891927.15</x:v>
      </x:c>
      <x:c r="H578" s="17" t="n">
        <x:v>2642961995.088086</x:v>
      </x:c>
      <x:c r="I578" s="17" t="n">
        <x:f>IF(AND(L578,ISNUMBER(G578),ISNUMBER(H578)),G578-H578,"n.a.")</x:f>
        <x:v>-1877070067.938086</x:v>
      </x:c>
      <x:c r="J578" s="15" t="n">
        <x:f>IF(AND(L578,ISNUMBER(G578),ISNUMBER(H578),H578&gt;0),(G578-H578)/H578,"n.a.")</x:f>
        <x:v>-0.7102145514867784</x:v>
      </x:c>
      <x:c r="K578" s="19" t="n">
        <x:f>IF(ISNUMBER(J578),ABS(J578),"n.a.")</x:f>
        <x:v>0.7102145514867784</x:v>
      </x:c>
      <x:c r="L578" s="13" t="b">
        <x:v>1</x:v>
      </x:c>
      <x:c r="M578" s="13" t="b">
        <x:v>1</x:v>
      </x:c>
      <x:c r="N578" s="2" t="str">
        <x:v>L1_numeric_partition_qualified_not_national_completeness</x:v>
      </x:c>
      <x:c r="O578" s="2" t="str">
        <x:v>none</x:v>
      </x:c>
      <x:c r="P578" s="2" t="str">
        <x:v>historical_GHSL_BU_estimate</x:v>
      </x:c>
      <x:c r="Q578" s="2" t="str">
        <x:v>Published UN country boundaries, L1 class partition, national completeness unproven;2025/2030 source projections</x:v>
      </x:c>
      <x:c r="R578" s="2" t="str">
        <x:v>https://human-settlement.emergency.copernicus.eu/datasets.php</x:v>
      </x:c>
      <x:c r="S578" s="13" t="b">
        <x:v>0</x:v>
      </x:c>
      <x:c r="T578" s="13" t="b">
        <x:v>0</x:v>
      </x:c>
    </x:row>
    <x:row r="579" ht="23" customHeight="1">
      <x:c r="A579" s="2" t="str">
        <x:v>UKR</x:v>
      </x:c>
      <x:c r="B579" s="2" t="str">
        <x:v>Ukraine</x:v>
      </x:c>
      <x:c r="C579" s="2" t="n">
        <x:v>2020</x:v>
      </x:c>
      <x:c r="D579" s="2" t="str">
        <x:v>WUP_SURFACE</x:v>
      </x:c>
      <x:c r="E579" s="2" t="str">
        <x:v>horizontal surface / footprint</x:v>
      </x:c>
      <x:c r="F579" s="2" t="str">
        <x:v>m2</x:v>
      </x:c>
      <x:c r="G579" s="17" t="n">
        <x:v>2808807029.82</x:v>
      </x:c>
      <x:c r="H579" s="17" t="n">
        <x:v>4313766328.53754</x:v>
      </x:c>
      <x:c r="I579" s="17" t="n">
        <x:f>IF(AND(L579,ISNUMBER(G579),ISNUMBER(H579)),G579-H579,"n.a.")</x:f>
        <x:v>-1504959298.7175403</x:v>
      </x:c>
      <x:c r="J579" s="15" t="n">
        <x:f>IF(AND(L579,ISNUMBER(G579),ISNUMBER(H579),H579&gt;0),(G579-H579)/H579,"n.a.")</x:f>
        <x:v>-0.34887362552800905</x:v>
      </x:c>
      <x:c r="K579" s="19" t="n">
        <x:f>IF(ISNUMBER(J579),ABS(J579),"n.a.")</x:f>
        <x:v>0.34887362552800905</x:v>
      </x:c>
      <x:c r="L579" s="13" t="b">
        <x:v>1</x:v>
      </x:c>
      <x:c r="M579" s="13" t="b">
        <x:v>1</x:v>
      </x:c>
      <x:c r="N579" s="2" t="str">
        <x:v>L1_numeric_partition_qualified_not_national_completeness</x:v>
      </x:c>
      <x:c r="O579" s="2" t="str">
        <x:v>none</x:v>
      </x:c>
      <x:c r="P579" s="2" t="str">
        <x:v>historical_GHSL_BU_estimate</x:v>
      </x:c>
      <x:c r="Q579" s="2" t="str">
        <x:v>Published UN country boundaries, L1 class partition, national completeness unproven;2025/2030 source projections</x:v>
      </x:c>
      <x:c r="R579" s="2" t="str">
        <x:v>https://human-settlement.emergency.copernicus.eu/datasets.php</x:v>
      </x:c>
      <x:c r="S579" s="13" t="b">
        <x:v>0</x:v>
      </x:c>
      <x:c r="T579" s="13" t="b">
        <x:v>0</x:v>
      </x:c>
    </x:row>
    <x:row r="580" ht="23" customHeight="1">
      <x:c r="A580" s="2" t="str">
        <x:v>URY</x:v>
      </x:c>
      <x:c r="B580" s="2" t="str">
        <x:v>Uruguay (Oriental Republic of)</x:v>
      </x:c>
      <x:c r="C580" s="2" t="n">
        <x:v>2020</x:v>
      </x:c>
      <x:c r="D580" s="2" t="str">
        <x:v>WUP_SURFACE</x:v>
      </x:c>
      <x:c r="E580" s="2" t="str">
        <x:v>horizontal surface / footprint</x:v>
      </x:c>
      <x:c r="F580" s="2" t="str">
        <x:v>m2</x:v>
      </x:c>
      <x:c r="G580" s="17" t="n">
        <x:v>209727833.29</x:v>
      </x:c>
      <x:c r="H580" s="17" t="n">
        <x:v>380701570.0466187</x:v>
      </x:c>
      <x:c r="I580" s="17" t="n">
        <x:f>IF(AND(L580,ISNUMBER(G580),ISNUMBER(H580)),G580-H580,"n.a.")</x:f>
        <x:v>-170973736.7566187</x:v>
      </x:c>
      <x:c r="J580" s="15" t="n">
        <x:f>IF(AND(L580,ISNUMBER(G580),ISNUMBER(H580),H580&gt;0),(G580-H580)/H580,"n.a.")</x:f>
        <x:v>-0.44910173797203456</x:v>
      </x:c>
      <x:c r="K580" s="19" t="n">
        <x:f>IF(ISNUMBER(J580),ABS(J580),"n.a.")</x:f>
        <x:v>0.44910173797203456</x:v>
      </x:c>
      <x:c r="L580" s="13" t="b">
        <x:v>1</x:v>
      </x:c>
      <x:c r="M580" s="13" t="b">
        <x:v>1</x:v>
      </x:c>
      <x:c r="N580" s="2" t="str">
        <x:v>L1_numeric_partition_qualified_not_national_completeness</x:v>
      </x:c>
      <x:c r="O580" s="2" t="str">
        <x:v>none</x:v>
      </x:c>
      <x:c r="P580" s="2" t="str">
        <x:v>historical_GHSL_BU_estimate</x:v>
      </x:c>
      <x:c r="Q580" s="2" t="str">
        <x:v>Published UN country boundaries, L1 class partition, national completeness unproven;2025/2030 source projections</x:v>
      </x:c>
      <x:c r="R580" s="2" t="str">
        <x:v>https://human-settlement.emergency.copernicus.eu/datasets.php</x:v>
      </x:c>
      <x:c r="S580" s="13" t="b">
        <x:v>0</x:v>
      </x:c>
      <x:c r="T580" s="13" t="b">
        <x:v>0</x:v>
      </x:c>
    </x:row>
    <x:row r="581" ht="23" customHeight="1">
      <x:c r="A581" s="2" t="str">
        <x:v>USA</x:v>
      </x:c>
      <x:c r="B581" s="2" t="str">
        <x:v>United States of America</x:v>
      </x:c>
      <x:c r="C581" s="2" t="n">
        <x:v>2020</x:v>
      </x:c>
      <x:c r="D581" s="2" t="str">
        <x:v>WUP_SURFACE</x:v>
      </x:c>
      <x:c r="E581" s="2" t="str">
        <x:v>horizontal surface / footprint</x:v>
      </x:c>
      <x:c r="F581" s="2" t="str">
        <x:v>m2</x:v>
      </x:c>
      <x:c r="G581" s="17" t="n">
        <x:v>35932980078.68</x:v>
      </x:c>
      <x:c r="H581" s="17" t="n">
        <x:v>60246811001.31557</x:v>
      </x:c>
      <x:c r="I581" s="17" t="n">
        <x:f>IF(AND(L581,ISNUMBER(G581),ISNUMBER(H581)),G581-H581,"n.a.")</x:f>
        <x:v>-24313830922.635567</x:v>
      </x:c>
      <x:c r="J581" s="15" t="n">
        <x:f>IF(AND(L581,ISNUMBER(G581),ISNUMBER(H581),H581&gt;0),(G581-H581)/H581,"n.a.")</x:f>
        <x:v>-0.40357042171252255</x:v>
      </x:c>
      <x:c r="K581" s="19" t="n">
        <x:f>IF(ISNUMBER(J581),ABS(J581),"n.a.")</x:f>
        <x:v>0.40357042171252255</x:v>
      </x:c>
      <x:c r="L581" s="13" t="b">
        <x:v>1</x:v>
      </x:c>
      <x:c r="M581" s="13" t="b">
        <x:v>1</x:v>
      </x:c>
      <x:c r="N581" s="2" t="str">
        <x:v>L1_numeric_partition_qualified_not_national_completeness</x:v>
      </x:c>
      <x:c r="O581" s="2" t="str">
        <x:v>none</x:v>
      </x:c>
      <x:c r="P581" s="2" t="str">
        <x:v>historical_GHSL_BU_estimate</x:v>
      </x:c>
      <x:c r="Q581" s="2" t="str">
        <x:v>Published UN country boundaries, L1 class partition, national completeness unproven;2025/2030 source projections</x:v>
      </x:c>
      <x:c r="R581" s="2" t="str">
        <x:v>https://human-settlement.emergency.copernicus.eu/datasets.php</x:v>
      </x:c>
      <x:c r="S581" s="13" t="b">
        <x:v>0</x:v>
      </x:c>
      <x:c r="T581" s="13" t="b">
        <x:v>0</x:v>
      </x:c>
    </x:row>
    <x:row r="582" ht="23" customHeight="1">
      <x:c r="A582" s="2" t="str">
        <x:v>UZB</x:v>
      </x:c>
      <x:c r="B582" s="2" t="str">
        <x:v>Uzbekistan (Republic of)</x:v>
      </x:c>
      <x:c r="C582" s="2" t="n">
        <x:v>2020</x:v>
      </x:c>
      <x:c r="D582" s="2" t="str">
        <x:v>WUP_SURFACE</x:v>
      </x:c>
      <x:c r="E582" s="2" t="str">
        <x:v>horizontal surface / footprint</x:v>
      </x:c>
      <x:c r="F582" s="2" t="str">
        <x:v>m2</x:v>
      </x:c>
      <x:c r="G582" s="17" t="n">
        <x:v>1997042653.63</x:v>
      </x:c>
      <x:c r="H582" s="17" t="n">
        <x:v>3793565339.8305197</x:v>
      </x:c>
      <x:c r="I582" s="17" t="n">
        <x:f>IF(AND(L582,ISNUMBER(G582),ISNUMBER(H582)),G582-H582,"n.a.")</x:f>
        <x:v>-1796522686.2005196</x:v>
      </x:c>
      <x:c r="J582" s="15" t="n">
        <x:f>IF(AND(L582,ISNUMBER(G582),ISNUMBER(H582),H582&gt;0),(G582-H582)/H582,"n.a.")</x:f>
        <x:v>-0.47357104076683193</x:v>
      </x:c>
      <x:c r="K582" s="19" t="n">
        <x:f>IF(ISNUMBER(J582),ABS(J582),"n.a.")</x:f>
        <x:v>0.47357104076683193</x:v>
      </x:c>
      <x:c r="L582" s="13" t="b">
        <x:v>1</x:v>
      </x:c>
      <x:c r="M582" s="13" t="b">
        <x:v>1</x:v>
      </x:c>
      <x:c r="N582" s="2" t="str">
        <x:v>L1_numeric_partition_qualified_not_national_completeness</x:v>
      </x:c>
      <x:c r="O582" s="2" t="str">
        <x:v>none</x:v>
      </x:c>
      <x:c r="P582" s="2" t="str">
        <x:v>historical_GHSL_BU_estimate</x:v>
      </x:c>
      <x:c r="Q582" s="2" t="str">
        <x:v>Published UN country boundaries, L1 class partition, national completeness unproven;2025/2030 source projections</x:v>
      </x:c>
      <x:c r="R582" s="2" t="str">
        <x:v>https://human-settlement.emergency.copernicus.eu/datasets.php</x:v>
      </x:c>
      <x:c r="S582" s="13" t="b">
        <x:v>0</x:v>
      </x:c>
      <x:c r="T582" s="13" t="b">
        <x:v>0</x:v>
      </x:c>
    </x:row>
    <x:row r="583" ht="23" customHeight="1">
      <x:c r="A583" s="2" t="str">
        <x:v>VAT</x:v>
      </x:c>
      <x:c r="B583" s="2" t="str">
        <x:v>Holy See (State of the Vatican City)</x:v>
      </x:c>
      <x:c r="C583" s="2" t="n">
        <x:v>2020</x:v>
      </x:c>
      <x:c r="D583" s="2" t="str">
        <x:v>WUP_SURFACE</x:v>
      </x:c>
      <x:c r="E583" s="2" t="str">
        <x:v>horizontal surface / footprint</x:v>
      </x:c>
      <x:c r="F583" s="2" t="str">
        <x:v>m2</x:v>
      </x:c>
      <x:c r="G583" s="17" t="n">
        <x:v>118080.97</x:v>
      </x:c>
      <x:c r="H583" s="17" t="n">
        <x:v>360359.0130805969</x:v>
      </x:c>
      <x:c r="I583" s="17" t="n">
        <x:f>IF(AND(L583,ISNUMBER(G583),ISNUMBER(H583)),G583-H583,"n.a.")</x:f>
        <x:v>-242278.04308059692</x:v>
      </x:c>
      <x:c r="J583" s="15" t="n">
        <x:f>IF(AND(L583,ISNUMBER(G583),ISNUMBER(H583),H583&gt;0),(G583-H583)/H583,"n.a.")</x:f>
        <x:v>-0.6723240831676095</x:v>
      </x:c>
      <x:c r="K583" s="19" t="n">
        <x:f>IF(ISNUMBER(J583),ABS(J583),"n.a.")</x:f>
        <x:v>0.6723240831676095</x:v>
      </x:c>
      <x:c r="L583" s="13" t="b">
        <x:v>1</x:v>
      </x:c>
      <x:c r="M583" s="13" t="b">
        <x:v>1</x:v>
      </x:c>
      <x:c r="N583" s="2" t="str">
        <x:v>L1_numeric_partition_qualified_not_national_completeness</x:v>
      </x:c>
      <x:c r="O583" s="2" t="str">
        <x:v>none</x:v>
      </x:c>
      <x:c r="P583" s="2" t="str">
        <x:v>historical_GHSL_BU_estimate</x:v>
      </x:c>
      <x:c r="Q583" s="2" t="str">
        <x:v>Published UN country boundaries, L1 class partition, national completeness unproven;2025/2030 source projections</x:v>
      </x:c>
      <x:c r="R583" s="2" t="str">
        <x:v>https://human-settlement.emergency.copernicus.eu/datasets.php</x:v>
      </x:c>
      <x:c r="S583" s="13" t="b">
        <x:v>0</x:v>
      </x:c>
      <x:c r="T583" s="13" t="b">
        <x:v>0</x:v>
      </x:c>
    </x:row>
    <x:row r="584" ht="23" customHeight="1">
      <x:c r="A584" s="2" t="str">
        <x:v>VCT</x:v>
      </x:c>
      <x:c r="B584" s="2" t="str">
        <x:v>Saint Vincent and the Grenadines</x:v>
      </x:c>
      <x:c r="C584" s="2" t="n">
        <x:v>2020</x:v>
      </x:c>
      <x:c r="D584" s="2" t="str">
        <x:v>WUP_SURFACE</x:v>
      </x:c>
      <x:c r="E584" s="2" t="str">
        <x:v>horizontal surface / footprint</x:v>
      </x:c>
      <x:c r="F584" s="2" t="str">
        <x:v>m2</x:v>
      </x:c>
      <x:c r="G584" s="17" t="n">
        <x:v>6194383.57</x:v>
      </x:c>
      <x:c r="H584" s="17" t="n">
        <x:v>10351806.977656337</x:v>
      </x:c>
      <x:c r="I584" s="17" t="n">
        <x:f>IF(AND(L584,ISNUMBER(G584),ISNUMBER(H584)),G584-H584,"n.a.")</x:f>
        <x:v>-4157423.407656336</x:v>
      </x:c>
      <x:c r="J584" s="15" t="n">
        <x:f>IF(AND(L584,ISNUMBER(G584),ISNUMBER(H584),H584&gt;0),(G584-H584)/H584,"n.a.")</x:f>
        <x:v>-0.40161330448199517</x:v>
      </x:c>
      <x:c r="K584" s="19" t="n">
        <x:f>IF(ISNUMBER(J584),ABS(J584),"n.a.")</x:f>
        <x:v>0.40161330448199517</x:v>
      </x:c>
      <x:c r="L584" s="13" t="b">
        <x:v>1</x:v>
      </x:c>
      <x:c r="M584" s="13" t="b">
        <x:v>1</x:v>
      </x:c>
      <x:c r="N584" s="2" t="str">
        <x:v>L1_numeric_partition_qualified_not_national_completeness</x:v>
      </x:c>
      <x:c r="O584" s="2" t="str">
        <x:v>none</x:v>
      </x:c>
      <x:c r="P584" s="2" t="str">
        <x:v>historical_GHSL_BU_estimate</x:v>
      </x:c>
      <x:c r="Q584" s="2" t="str">
        <x:v>Published UN country boundaries, L1 class partition, national completeness unproven;2025/2030 source projections</x:v>
      </x:c>
      <x:c r="R584" s="2" t="str">
        <x:v>https://human-settlement.emergency.copernicus.eu/datasets.php</x:v>
      </x:c>
      <x:c r="S584" s="13" t="b">
        <x:v>0</x:v>
      </x:c>
      <x:c r="T584" s="13" t="b">
        <x:v>0</x:v>
      </x:c>
    </x:row>
    <x:row r="585" ht="23" customHeight="1">
      <x:c r="A585" s="2" t="str">
        <x:v>VEN</x:v>
      </x:c>
      <x:c r="B585" s="2" t="str">
        <x:v>Venezuela (Bolivarian Republic of)</x:v>
      </x:c>
      <x:c r="C585" s="2" t="n">
        <x:v>2020</x:v>
      </x:c>
      <x:c r="D585" s="2" t="str">
        <x:v>WUP_SURFACE</x:v>
      </x:c>
      <x:c r="E585" s="2" t="str">
        <x:v>horizontal surface / footprint</x:v>
      </x:c>
      <x:c r="F585" s="2" t="str">
        <x:v>m2</x:v>
      </x:c>
      <x:c r="G585" s="17" t="n">
        <x:v>1159546607.65</x:v>
      </x:c>
      <x:c r="H585" s="17" t="n">
        <x:v>1484592084.073905</x:v>
      </x:c>
      <x:c r="I585" s="17" t="n">
        <x:f>IF(AND(L585,ISNUMBER(G585),ISNUMBER(H585)),G585-H585,"n.a.")</x:f>
        <x:v>-325045476.4239049</x:v>
      </x:c>
      <x:c r="J585" s="15" t="n">
        <x:f>IF(AND(L585,ISNUMBER(G585),ISNUMBER(H585),H585&gt;0),(G585-H585)/H585,"n.a.")</x:f>
        <x:v>-0.21894598517051211</x:v>
      </x:c>
      <x:c r="K585" s="19" t="n">
        <x:f>IF(ISNUMBER(J585),ABS(J585),"n.a.")</x:f>
        <x:v>0.21894598517051211</x:v>
      </x:c>
      <x:c r="L585" s="13" t="b">
        <x:v>1</x:v>
      </x:c>
      <x:c r="M585" s="13" t="b">
        <x:v>1</x:v>
      </x:c>
      <x:c r="N585" s="2" t="str">
        <x:v>L1_numeric_partition_qualified_not_national_completeness</x:v>
      </x:c>
      <x:c r="O585" s="2" t="str">
        <x:v>none</x:v>
      </x:c>
      <x:c r="P585" s="2" t="str">
        <x:v>historical_GHSL_BU_estimate</x:v>
      </x:c>
      <x:c r="Q585" s="2" t="str">
        <x:v>Published UN country boundaries, L1 class partition, national completeness unproven;2025/2030 source projections</x:v>
      </x:c>
      <x:c r="R585" s="2" t="str">
        <x:v>https://human-settlement.emergency.copernicus.eu/datasets.php</x:v>
      </x:c>
      <x:c r="S585" s="13" t="b">
        <x:v>0</x:v>
      </x:c>
      <x:c r="T585" s="13" t="b">
        <x:v>0</x:v>
      </x:c>
    </x:row>
    <x:row r="586" ht="23" customHeight="1">
      <x:c r="A586" s="2" t="str">
        <x:v>VNM</x:v>
      </x:c>
      <x:c r="B586" s="2" t="str">
        <x:v>Viet Nam (Socialist Republic of)</x:v>
      </x:c>
      <x:c r="C586" s="2" t="n">
        <x:v>2020</x:v>
      </x:c>
      <x:c r="D586" s="2" t="str">
        <x:v>WUP_SURFACE</x:v>
      </x:c>
      <x:c r="E586" s="2" t="str">
        <x:v>horizontal surface / footprint</x:v>
      </x:c>
      <x:c r="F586" s="2" t="str">
        <x:v>m2</x:v>
      </x:c>
      <x:c r="G586" s="17" t="n">
        <x:v>4775308196.86</x:v>
      </x:c>
      <x:c r="H586" s="17" t="n">
        <x:v>5086925512.180058</x:v>
      </x:c>
      <x:c r="I586" s="17" t="n">
        <x:f>IF(AND(L586,ISNUMBER(G586),ISNUMBER(H586)),G586-H586,"n.a.")</x:f>
        <x:v>-311617315.32005787</x:v>
      </x:c>
      <x:c r="J586" s="15" t="n">
        <x:f>IF(AND(L586,ISNUMBER(G586),ISNUMBER(H586),H586&gt;0),(G586-H586)/H586,"n.a.")</x:f>
        <x:v>-0.061258478146362885</x:v>
      </x:c>
      <x:c r="K586" s="19" t="n">
        <x:f>IF(ISNUMBER(J586),ABS(J586),"n.a.")</x:f>
        <x:v>0.061258478146362885</x:v>
      </x:c>
      <x:c r="L586" s="13" t="b">
        <x:v>1</x:v>
      </x:c>
      <x:c r="M586" s="13" t="b">
        <x:v>1</x:v>
      </x:c>
      <x:c r="N586" s="2" t="str">
        <x:v>L1_numeric_partition_qualified_not_national_completeness</x:v>
      </x:c>
      <x:c r="O586" s="2" t="str">
        <x:v>none</x:v>
      </x:c>
      <x:c r="P586" s="2" t="str">
        <x:v>historical_GHSL_BU_estimate</x:v>
      </x:c>
      <x:c r="Q586" s="2" t="str">
        <x:v>Published UN country boundaries, L1 class partition, national completeness unproven;2025/2030 source projections</x:v>
      </x:c>
      <x:c r="R586" s="2" t="str">
        <x:v>https://human-settlement.emergency.copernicus.eu/datasets.php</x:v>
      </x:c>
      <x:c r="S586" s="13" t="b">
        <x:v>0</x:v>
      </x:c>
      <x:c r="T586" s="13" t="b">
        <x:v>0</x:v>
      </x:c>
    </x:row>
    <x:row r="587" ht="23" customHeight="1">
      <x:c r="A587" s="2" t="str">
        <x:v>VUT</x:v>
      </x:c>
      <x:c r="B587" s="2" t="str">
        <x:v>Vanuatu (Republic of)</x:v>
      </x:c>
      <x:c r="C587" s="2" t="n">
        <x:v>2020</x:v>
      </x:c>
      <x:c r="D587" s="2" t="str">
        <x:v>WUP_SURFACE</x:v>
      </x:c>
      <x:c r="E587" s="2" t="str">
        <x:v>horizontal surface / footprint</x:v>
      </x:c>
      <x:c r="F587" s="2" t="str">
        <x:v>m2</x:v>
      </x:c>
      <x:c r="G587" s="17" t="n">
        <x:v>8193524.7</x:v>
      </x:c>
      <x:c r="H587" s="17" t="n">
        <x:v>13741144.030732356</x:v>
      </x:c>
      <x:c r="I587" s="17" t="n">
        <x:f>IF(AND(L587,ISNUMBER(G587),ISNUMBER(H587)),G587-H587,"n.a.")</x:f>
        <x:v>-5547619.330732356</x:v>
      </x:c>
      <x:c r="J587" s="15" t="n">
        <x:f>IF(AND(L587,ISNUMBER(G587),ISNUMBER(H587),H587&gt;0),(G587-H587)/H587,"n.a.")</x:f>
        <x:v>-0.40372325028578326</x:v>
      </x:c>
      <x:c r="K587" s="19" t="n">
        <x:f>IF(ISNUMBER(J587),ABS(J587),"n.a.")</x:f>
        <x:v>0.40372325028578326</x:v>
      </x:c>
      <x:c r="L587" s="13" t="b">
        <x:v>1</x:v>
      </x:c>
      <x:c r="M587" s="13" t="b">
        <x:v>1</x:v>
      </x:c>
      <x:c r="N587" s="2" t="str">
        <x:v>L1_numeric_partition_qualified_not_national_completeness</x:v>
      </x:c>
      <x:c r="O587" s="2" t="str">
        <x:v>none</x:v>
      </x:c>
      <x:c r="P587" s="2" t="str">
        <x:v>historical_GHSL_BU_estimate</x:v>
      </x:c>
      <x:c r="Q587" s="2" t="str">
        <x:v>Published UN country boundaries, L1 class partition, national completeness unproven;2025/2030 source projections</x:v>
      </x:c>
      <x:c r="R587" s="2" t="str">
        <x:v>https://human-settlement.emergency.copernicus.eu/datasets.php</x:v>
      </x:c>
      <x:c r="S587" s="13" t="b">
        <x:v>0</x:v>
      </x:c>
      <x:c r="T587" s="13" t="b">
        <x:v>0</x:v>
      </x:c>
    </x:row>
    <x:row r="588" ht="23" customHeight="1">
      <x:c r="A588" s="2" t="str">
        <x:v>WSM</x:v>
      </x:c>
      <x:c r="B588" s="2" t="str">
        <x:v>Samoa (Independent State of)</x:v>
      </x:c>
      <x:c r="C588" s="2" t="n">
        <x:v>2020</x:v>
      </x:c>
      <x:c r="D588" s="2" t="str">
        <x:v>WUP_SURFACE</x:v>
      </x:c>
      <x:c r="E588" s="2" t="str">
        <x:v>horizontal surface / footprint</x:v>
      </x:c>
      <x:c r="F588" s="2" t="str">
        <x:v>m2</x:v>
      </x:c>
      <x:c r="G588" s="17" t="n">
        <x:v>8105266</x:v>
      </x:c>
      <x:c r="H588" s="17" t="n">
        <x:v>15743507.981150629</x:v>
      </x:c>
      <x:c r="I588" s="17" t="n">
        <x:f>IF(AND(L588,ISNUMBER(G588),ISNUMBER(H588)),G588-H588,"n.a.")</x:f>
        <x:v>-7638241.981150629</x:v>
      </x:c>
      <x:c r="J588" s="15" t="n">
        <x:f>IF(AND(L588,ISNUMBER(G588),ISNUMBER(H588),H588&gt;0),(G588-H588)/H588,"n.a.")</x:f>
        <x:v>-0.4851677269319986</x:v>
      </x:c>
      <x:c r="K588" s="19" t="n">
        <x:f>IF(ISNUMBER(J588),ABS(J588),"n.a.")</x:f>
        <x:v>0.4851677269319986</x:v>
      </x:c>
      <x:c r="L588" s="13" t="b">
        <x:v>1</x:v>
      </x:c>
      <x:c r="M588" s="13" t="b">
        <x:v>1</x:v>
      </x:c>
      <x:c r="N588" s="2" t="str">
        <x:v>L1_numeric_partition_qualified_not_national_completeness</x:v>
      </x:c>
      <x:c r="O588" s="2" t="str">
        <x:v>none</x:v>
      </x:c>
      <x:c r="P588" s="2" t="str">
        <x:v>historical_GHSL_BU_estimate</x:v>
      </x:c>
      <x:c r="Q588" s="2" t="str">
        <x:v>Published UN country boundaries, L1 class partition, national completeness unproven;2025/2030 source projections</x:v>
      </x:c>
      <x:c r="R588" s="2" t="str">
        <x:v>https://human-settlement.emergency.copernicus.eu/datasets.php</x:v>
      </x:c>
      <x:c r="S588" s="13" t="b">
        <x:v>0</x:v>
      </x:c>
      <x:c r="T588" s="13" t="b">
        <x:v>0</x:v>
      </x:c>
    </x:row>
    <x:row r="589" ht="23" customHeight="1">
      <x:c r="A589" s="2" t="str">
        <x:v>YEM</x:v>
      </x:c>
      <x:c r="B589" s="2" t="str">
        <x:v>Yemen (Republic of)</x:v>
      </x:c>
      <x:c r="C589" s="2" t="n">
        <x:v>2020</x:v>
      </x:c>
      <x:c r="D589" s="2" t="str">
        <x:v>WUP_SURFACE</x:v>
      </x:c>
      <x:c r="E589" s="2" t="str">
        <x:v>horizontal surface / footprint</x:v>
      </x:c>
      <x:c r="F589" s="2" t="str">
        <x:v>m2</x:v>
      </x:c>
      <x:c r="G589" s="17" t="n">
        <x:v>454480387.69</x:v>
      </x:c>
      <x:c r="H589" s="17" t="n">
        <x:v>262106950.0246266</x:v>
      </x:c>
      <x:c r="I589" s="17" t="n">
        <x:f>IF(AND(L589,ISNUMBER(G589),ISNUMBER(H589)),G589-H589,"n.a.")</x:f>
        <x:v>192373437.66537338</x:v>
      </x:c>
      <x:c r="J589" s="15" t="n">
        <x:f>IF(AND(L589,ISNUMBER(G589),ISNUMBER(H589),H589&gt;0),(G589-H589)/H589,"n.a.")</x:f>
        <x:v>0.7339501590755174</x:v>
      </x:c>
      <x:c r="K589" s="19" t="n">
        <x:f>IF(ISNUMBER(J589),ABS(J589),"n.a.")</x:f>
        <x:v>0.7339501590755174</x:v>
      </x:c>
      <x:c r="L589" s="13" t="b">
        <x:v>1</x:v>
      </x:c>
      <x:c r="M589" s="13" t="b">
        <x:v>1</x:v>
      </x:c>
      <x:c r="N589" s="2" t="str">
        <x:v>L1_numeric_partition_qualified_not_national_completeness</x:v>
      </x:c>
      <x:c r="O589" s="2" t="str">
        <x:v>none</x:v>
      </x:c>
      <x:c r="P589" s="2" t="str">
        <x:v>historical_GHSL_BU_estimate</x:v>
      </x:c>
      <x:c r="Q589" s="2" t="str">
        <x:v>Published UN country boundaries, L1 class partition, national completeness unproven;2025/2030 source projections</x:v>
      </x:c>
      <x:c r="R589" s="2" t="str">
        <x:v>https://human-settlement.emergency.copernicus.eu/datasets.php</x:v>
      </x:c>
      <x:c r="S589" s="13" t="b">
        <x:v>0</x:v>
      </x:c>
      <x:c r="T589" s="13" t="b">
        <x:v>0</x:v>
      </x:c>
    </x:row>
    <x:row r="590" ht="23" customHeight="1">
      <x:c r="A590" s="2" t="str">
        <x:v>ZAF</x:v>
      </x:c>
      <x:c r="B590" s="2" t="str">
        <x:v>South Africa (Republic of)</x:v>
      </x:c>
      <x:c r="C590" s="2" t="n">
        <x:v>2020</x:v>
      </x:c>
      <x:c r="D590" s="2" t="str">
        <x:v>WUP_SURFACE</x:v>
      </x:c>
      <x:c r="E590" s="2" t="str">
        <x:v>horizontal surface / footprint</x:v>
      </x:c>
      <x:c r="F590" s="2" t="str">
        <x:v>m2</x:v>
      </x:c>
      <x:c r="G590" s="17" t="n">
        <x:v>2711325840.61</x:v>
      </x:c>
      <x:c r="H590" s="17" t="n">
        <x:v>6345332430.962695</x:v>
      </x:c>
      <x:c r="I590" s="17" t="n">
        <x:f>IF(AND(L590,ISNUMBER(G590),ISNUMBER(H590)),G590-H590,"n.a.")</x:f>
        <x:v>-3634006590.352695</x:v>
      </x:c>
      <x:c r="J590" s="15" t="n">
        <x:f>IF(AND(L590,ISNUMBER(G590),ISNUMBER(H590),H590&gt;0),(G590-H590)/H590,"n.a.")</x:f>
        <x:v>-0.5727054697119083</x:v>
      </x:c>
      <x:c r="K590" s="19" t="n">
        <x:f>IF(ISNUMBER(J590),ABS(J590),"n.a.")</x:f>
        <x:v>0.5727054697119083</x:v>
      </x:c>
      <x:c r="L590" s="13" t="b">
        <x:v>1</x:v>
      </x:c>
      <x:c r="M590" s="13" t="b">
        <x:v>1</x:v>
      </x:c>
      <x:c r="N590" s="2" t="str">
        <x:v>L1_numeric_partition_qualified_not_national_completeness</x:v>
      </x:c>
      <x:c r="O590" s="2" t="str">
        <x:v>none</x:v>
      </x:c>
      <x:c r="P590" s="2" t="str">
        <x:v>historical_GHSL_BU_estimate</x:v>
      </x:c>
      <x:c r="Q590" s="2" t="str">
        <x:v>Published UN country boundaries, L1 class partition, national completeness unproven;2025/2030 source projections</x:v>
      </x:c>
      <x:c r="R590" s="2" t="str">
        <x:v>https://human-settlement.emergency.copernicus.eu/datasets.php</x:v>
      </x:c>
      <x:c r="S590" s="13" t="b">
        <x:v>0</x:v>
      </x:c>
      <x:c r="T590" s="13" t="b">
        <x:v>0</x:v>
      </x:c>
    </x:row>
    <x:row r="591" ht="23" customHeight="1">
      <x:c r="A591" s="2" t="str">
        <x:v>ZMB</x:v>
      </x:c>
      <x:c r="B591" s="2" t="str">
        <x:v>Zambia (Republic of)</x:v>
      </x:c>
      <x:c r="C591" s="2" t="n">
        <x:v>2020</x:v>
      </x:c>
      <x:c r="D591" s="2" t="str">
        <x:v>WUP_SURFACE</x:v>
      </x:c>
      <x:c r="E591" s="2" t="str">
        <x:v>horizontal surface / footprint</x:v>
      </x:c>
      <x:c r="F591" s="2" t="str">
        <x:v>m2</x:v>
      </x:c>
      <x:c r="G591" s="17" t="n">
        <x:v>396696842.5</x:v>
      </x:c>
      <x:c r="H591" s="17" t="n">
        <x:v>1370847983.7854471</x:v>
      </x:c>
      <x:c r="I591" s="17" t="n">
        <x:f>IF(AND(L591,ISNUMBER(G591),ISNUMBER(H591)),G591-H591,"n.a.")</x:f>
        <x:v>-974151141.2854471</x:v>
      </x:c>
      <x:c r="J591" s="15" t="n">
        <x:f>IF(AND(L591,ISNUMBER(G591),ISNUMBER(H591),H591&gt;0),(G591-H591)/H591,"n.a.")</x:f>
        <x:v>-0.7106193777923027</x:v>
      </x:c>
      <x:c r="K591" s="19" t="n">
        <x:f>IF(ISNUMBER(J591),ABS(J591),"n.a.")</x:f>
        <x:v>0.7106193777923027</x:v>
      </x:c>
      <x:c r="L591" s="13" t="b">
        <x:v>1</x:v>
      </x:c>
      <x:c r="M591" s="13" t="b">
        <x:v>1</x:v>
      </x:c>
      <x:c r="N591" s="2" t="str">
        <x:v>L1_numeric_partition_qualified_not_national_completeness</x:v>
      </x:c>
      <x:c r="O591" s="2" t="str">
        <x:v>none</x:v>
      </x:c>
      <x:c r="P591" s="2" t="str">
        <x:v>historical_GHSL_BU_estimate</x:v>
      </x:c>
      <x:c r="Q591" s="2" t="str">
        <x:v>Published UN country boundaries, L1 class partition, national completeness unproven;2025/2030 source projections</x:v>
      </x:c>
      <x:c r="R591" s="2" t="str">
        <x:v>https://human-settlement.emergency.copernicus.eu/datasets.php</x:v>
      </x:c>
      <x:c r="S591" s="13" t="b">
        <x:v>0</x:v>
      </x:c>
      <x:c r="T591" s="13" t="b">
        <x:v>0</x:v>
      </x:c>
    </x:row>
    <x:row r="592" ht="23" customHeight="1">
      <x:c r="A592" s="2" t="str">
        <x:v>ZWE</x:v>
      </x:c>
      <x:c r="B592" s="2" t="str">
        <x:v>Zimbabwe (Republic of)</x:v>
      </x:c>
      <x:c r="C592" s="2" t="n">
        <x:v>2020</x:v>
      </x:c>
      <x:c r="D592" s="2" t="str">
        <x:v>WUP_SURFACE</x:v>
      </x:c>
      <x:c r="E592" s="2" t="str">
        <x:v>horizontal surface / footprint</x:v>
      </x:c>
      <x:c r="F592" s="2" t="str">
        <x:v>m2</x:v>
      </x:c>
      <x:c r="G592" s="17" t="n">
        <x:v>420425813.98</x:v>
      </x:c>
      <x:c r="H592" s="17" t="n">
        <x:v>1326741819.9649086</x:v>
      </x:c>
      <x:c r="I592" s="17" t="n">
        <x:f>IF(AND(L592,ISNUMBER(G592),ISNUMBER(H592)),G592-H592,"n.a.")</x:f>
        <x:v>-906316005.9849086</x:v>
      </x:c>
      <x:c r="J592" s="15" t="n">
        <x:f>IF(AND(L592,ISNUMBER(G592),ISNUMBER(H592),H592&gt;0),(G592-H592)/H592,"n.a.")</x:f>
        <x:v>-0.6831140711377289</x:v>
      </x:c>
      <x:c r="K592" s="19" t="n">
        <x:f>IF(ISNUMBER(J592),ABS(J592),"n.a.")</x:f>
        <x:v>0.6831140711377289</x:v>
      </x:c>
      <x:c r="L592" s="13" t="b">
        <x:v>1</x:v>
      </x:c>
      <x:c r="M592" s="13" t="b">
        <x:v>1</x:v>
      </x:c>
      <x:c r="N592" s="2" t="str">
        <x:v>L1_numeric_partition_qualified_not_national_completeness</x:v>
      </x:c>
      <x:c r="O592" s="2" t="str">
        <x:v>none</x:v>
      </x:c>
      <x:c r="P592" s="2" t="str">
        <x:v>historical_GHSL_BU_estimate</x:v>
      </x:c>
      <x:c r="Q592" s="2" t="str">
        <x:v>Published UN country boundaries, L1 class partition, national completeness unproven;2025/2030 source projections</x:v>
      </x:c>
      <x:c r="R592" s="2" t="str">
        <x:v>https://human-settlement.emergency.copernicus.eu/datasets.php</x:v>
      </x:c>
      <x:c r="S592" s="13" t="b">
        <x:v>0</x:v>
      </x:c>
      <x:c r="T592" s="13" t="b">
        <x:v>0</x:v>
      </x:c>
    </x:row>
    <x:row r="593" ht="23" customHeight="1">
      <x:c r="A593" s="2" t="str">
        <x:v>AFG</x:v>
      </x:c>
      <x:c r="B593" s="2" t="str">
        <x:v>Afghanistan (Islamic Republic of)</x:v>
      </x:c>
      <x:c r="C593" s="2" t="n">
        <x:v>2020</x:v>
      </x:c>
      <x:c r="D593" s="2" t="str">
        <x:v>GHSL_VOLUME</x:v>
      </x:c>
      <x:c r="E593" s="2" t="str">
        <x:v>volume</x:v>
      </x:c>
      <x:c r="F593" s="2" t="str">
        <x:v>m3</x:v>
      </x:c>
      <x:c r="G593" s="17" t="n">
        <x:v>1907783364.98</x:v>
      </x:c>
      <x:c r="H593" s="17" t="n">
        <x:v>2429155175.9137254</x:v>
      </x:c>
      <x:c r="I593" s="17" t="n">
        <x:f>IF(AND(L593,ISNUMBER(G593),ISNUMBER(H593)),G593-H593,"n.a.")</x:f>
        <x:v>-521371810.93372536</x:v>
      </x:c>
      <x:c r="J593" s="15" t="n">
        <x:f>IF(AND(L593,ISNUMBER(G593),ISNUMBER(H593),H593&gt;0),(G593-H593)/H593,"n.a.")</x:f>
        <x:v>-0.21463092029005995</x:v>
      </x:c>
      <x:c r="K593" s="19" t="n">
        <x:f>IF(ISNUMBER(J593),ABS(J593),"n.a.")</x:f>
        <x:v>0.21463092029005995</x:v>
      </x:c>
      <x:c r="L593" s="13" t="b">
        <x:v>1</x:v>
      </x:c>
      <x:c r="M593" s="13" t="b">
        <x:v>1</x:v>
      </x:c>
      <x:c r="N593" s="2" t="str">
        <x:v>qualified_paired_native_source_frame</x:v>
      </x:c>
      <x:c r="O593" s="2" t="str">
        <x:v>none</x:v>
      </x:c>
      <x:c r="P593" s="2" t="str">
        <x:v>modeled_epoch_volume_with_fixed2018_height_and_predominant_use</x:v>
      </x:c>
      <x:c r="Q593" s="2" t="str">
        <x:v>Only qualified source rows admitted; CAN/PAK/TUV/USA fail source checks; PSE unmapped in retained table</x:v>
      </x:c>
      <x:c r="R593" s="2" t="str">
        <x:v>https://human-settlement.emergency.copernicus.eu/ghs_buV2023.php</x:v>
      </x:c>
      <x:c r="S593" s="13" t="b">
        <x:v>0</x:v>
      </x:c>
      <x:c r="T593" s="13" t="b">
        <x:v>0</x:v>
      </x:c>
    </x:row>
    <x:row r="594" ht="23" customHeight="1">
      <x:c r="A594" s="2" t="str">
        <x:v>AGO</x:v>
      </x:c>
      <x:c r="B594" s="2" t="str">
        <x:v>Angola (Republic of)</x:v>
      </x:c>
      <x:c r="C594" s="2" t="n">
        <x:v>2020</x:v>
      </x:c>
      <x:c r="D594" s="2" t="str">
        <x:v>GHSL_VOLUME</x:v>
      </x:c>
      <x:c r="E594" s="2" t="str">
        <x:v>volume</x:v>
      </x:c>
      <x:c r="F594" s="2" t="str">
        <x:v>m3</x:v>
      </x:c>
      <x:c r="G594" s="17" t="n">
        <x:v>1250700306.27</x:v>
      </x:c>
      <x:c r="H594" s="17" t="n">
        <x:v>6250586665.427452</x:v>
      </x:c>
      <x:c r="I594" s="17" t="n">
        <x:f>IF(AND(L594,ISNUMBER(G594),ISNUMBER(H594)),G594-H594,"n.a.")</x:f>
        <x:v>-4999886359.157452</x:v>
      </x:c>
      <x:c r="J594" s="15" t="n">
        <x:f>IF(AND(L594,ISNUMBER(G594),ISNUMBER(H594),H594&gt;0),(G594-H594)/H594,"n.a.")</x:f>
        <x:v>-0.7999067330451181</x:v>
      </x:c>
      <x:c r="K594" s="19" t="n">
        <x:f>IF(ISNUMBER(J594),ABS(J594),"n.a.")</x:f>
        <x:v>0.7999067330451181</x:v>
      </x:c>
      <x:c r="L594" s="13" t="b">
        <x:v>1</x:v>
      </x:c>
      <x:c r="M594" s="13" t="b">
        <x:v>1</x:v>
      </x:c>
      <x:c r="N594" s="2" t="str">
        <x:v>qualified_paired_native_source_frame</x:v>
      </x:c>
      <x:c r="O594" s="2" t="str">
        <x:v>none</x:v>
      </x:c>
      <x:c r="P594" s="2" t="str">
        <x:v>modeled_epoch_volume_with_fixed2018_height_and_predominant_use</x:v>
      </x:c>
      <x:c r="Q594" s="2" t="str">
        <x:v>Only qualified source rows admitted; CAN/PAK/TUV/USA fail source checks; PSE unmapped in retained table</x:v>
      </x:c>
      <x:c r="R594" s="2" t="str">
        <x:v>https://human-settlement.emergency.copernicus.eu/ghs_buV2023.php</x:v>
      </x:c>
      <x:c r="S594" s="13" t="b">
        <x:v>0</x:v>
      </x:c>
      <x:c r="T594" s="13" t="b">
        <x:v>0</x:v>
      </x:c>
    </x:row>
    <x:row r="595" ht="23" customHeight="1">
      <x:c r="A595" s="2" t="str">
        <x:v>ALB</x:v>
      </x:c>
      <x:c r="B595" s="2" t="str">
        <x:v>Albania (Republic of)</x:v>
      </x:c>
      <x:c r="C595" s="2" t="n">
        <x:v>2020</x:v>
      </x:c>
      <x:c r="D595" s="2" t="str">
        <x:v>GHSL_VOLUME</x:v>
      </x:c>
      <x:c r="E595" s="2" t="str">
        <x:v>volume</x:v>
      </x:c>
      <x:c r="F595" s="2" t="str">
        <x:v>m3</x:v>
      </x:c>
      <x:c r="G595" s="17" t="n">
        <x:v>460338375.08</x:v>
      </x:c>
      <x:c r="H595" s="17" t="n">
        <x:v>1003808049.2549018</x:v>
      </x:c>
      <x:c r="I595" s="17" t="n">
        <x:f>IF(AND(L595,ISNUMBER(G595),ISNUMBER(H595)),G595-H595,"n.a.")</x:f>
        <x:v>-543469674.1749017</x:v>
      </x:c>
      <x:c r="J595" s="15" t="n">
        <x:f>IF(AND(L595,ISNUMBER(G595),ISNUMBER(H595),H595&gt;0),(G595-H595)/H595,"n.a.")</x:f>
        <x:v>-0.5414079659734785</x:v>
      </x:c>
      <x:c r="K595" s="19" t="n">
        <x:f>IF(ISNUMBER(J595),ABS(J595),"n.a.")</x:f>
        <x:v>0.5414079659734785</x:v>
      </x:c>
      <x:c r="L595" s="13" t="b">
        <x:v>1</x:v>
      </x:c>
      <x:c r="M595" s="13" t="b">
        <x:v>1</x:v>
      </x:c>
      <x:c r="N595" s="2" t="str">
        <x:v>qualified_paired_native_source_frame</x:v>
      </x:c>
      <x:c r="O595" s="2" t="str">
        <x:v>none</x:v>
      </x:c>
      <x:c r="P595" s="2" t="str">
        <x:v>modeled_epoch_volume_with_fixed2018_height_and_predominant_use</x:v>
      </x:c>
      <x:c r="Q595" s="2" t="str">
        <x:v>Only qualified source rows admitted; CAN/PAK/TUV/USA fail source checks; PSE unmapped in retained table</x:v>
      </x:c>
      <x:c r="R595" s="2" t="str">
        <x:v>https://human-settlement.emergency.copernicus.eu/ghs_buV2023.php</x:v>
      </x:c>
      <x:c r="S595" s="13" t="b">
        <x:v>0</x:v>
      </x:c>
      <x:c r="T595" s="13" t="b">
        <x:v>0</x:v>
      </x:c>
    </x:row>
    <x:row r="596" ht="23" customHeight="1">
      <x:c r="A596" s="2" t="str">
        <x:v>AND</x:v>
      </x:c>
      <x:c r="B596" s="2" t="str">
        <x:v>Andorra (Principality of)</x:v>
      </x:c>
      <x:c r="C596" s="2" t="n">
        <x:v>2020</x:v>
      </x:c>
      <x:c r="D596" s="2" t="str">
        <x:v>GHSL_VOLUME</x:v>
      </x:c>
      <x:c r="E596" s="2" t="str">
        <x:v>volume</x:v>
      </x:c>
      <x:c r="F596" s="2" t="str">
        <x:v>m3</x:v>
      </x:c>
      <x:c r="G596" s="17" t="n">
        <x:v>11386387.31</x:v>
      </x:c>
      <x:c r="H596" s="17" t="n">
        <x:v>9953581.564705884</x:v>
      </x:c>
      <x:c r="I596" s="17" t="n">
        <x:f>IF(AND(L596,ISNUMBER(G596),ISNUMBER(H596)),G596-H596,"n.a.")</x:f>
        <x:v>1432805.7452941164</x:v>
      </x:c>
      <x:c r="J596" s="15" t="n">
        <x:f>IF(AND(L596,ISNUMBER(G596),ISNUMBER(H596),H596&gt;0),(G596-H596)/H596,"n.a.")</x:f>
        <x:v>0.14394876215960903</x:v>
      </x:c>
      <x:c r="K596" s="19" t="n">
        <x:f>IF(ISNUMBER(J596),ABS(J596),"n.a.")</x:f>
        <x:v>0.14394876215960903</x:v>
      </x:c>
      <x:c r="L596" s="13" t="b">
        <x:v>1</x:v>
      </x:c>
      <x:c r="M596" s="13" t="b">
        <x:v>1</x:v>
      </x:c>
      <x:c r="N596" s="2" t="str">
        <x:v>qualified_paired_native_source_frame</x:v>
      </x:c>
      <x:c r="O596" s="2" t="str">
        <x:v>none</x:v>
      </x:c>
      <x:c r="P596" s="2" t="str">
        <x:v>modeled_epoch_volume_with_fixed2018_height_and_predominant_use</x:v>
      </x:c>
      <x:c r="Q596" s="2" t="str">
        <x:v>Only qualified source rows admitted; CAN/PAK/TUV/USA fail source checks; PSE unmapped in retained table</x:v>
      </x:c>
      <x:c r="R596" s="2" t="str">
        <x:v>https://human-settlement.emergency.copernicus.eu/ghs_buV2023.php</x:v>
      </x:c>
      <x:c r="S596" s="13" t="b">
        <x:v>0</x:v>
      </x:c>
      <x:c r="T596" s="13" t="b">
        <x:v>0</x:v>
      </x:c>
    </x:row>
    <x:row r="597" ht="23" customHeight="1">
      <x:c r="A597" s="2" t="str">
        <x:v>ARE</x:v>
      </x:c>
      <x:c r="B597" s="2" t="str">
        <x:v>United Arab Emirates</x:v>
      </x:c>
      <x:c r="C597" s="2" t="n">
        <x:v>2020</x:v>
      </x:c>
      <x:c r="D597" s="2" t="str">
        <x:v>GHSL_VOLUME</x:v>
      </x:c>
      <x:c r="E597" s="2" t="str">
        <x:v>volume</x:v>
      </x:c>
      <x:c r="F597" s="2" t="str">
        <x:v>m3</x:v>
      </x:c>
      <x:c r="G597" s="17" t="n">
        <x:v>1818070625.75</x:v>
      </x:c>
      <x:c r="H597" s="17" t="n">
        <x:v>4807064616.082353</x:v>
      </x:c>
      <x:c r="I597" s="17" t="n">
        <x:f>IF(AND(L597,ISNUMBER(G597),ISNUMBER(H597)),G597-H597,"n.a.")</x:f>
        <x:v>-2988993990.3323526</x:v>
      </x:c>
      <x:c r="J597" s="15" t="n">
        <x:f>IF(AND(L597,ISNUMBER(G597),ISNUMBER(H597),H597&gt;0),(G597-H597)/H597,"n.a.")</x:f>
        <x:v>-0.6217919310534075</x:v>
      </x:c>
      <x:c r="K597" s="19" t="n">
        <x:f>IF(ISNUMBER(J597),ABS(J597),"n.a.")</x:f>
        <x:v>0.6217919310534075</x:v>
      </x:c>
      <x:c r="L597" s="13" t="b">
        <x:v>1</x:v>
      </x:c>
      <x:c r="M597" s="13" t="b">
        <x:v>1</x:v>
      </x:c>
      <x:c r="N597" s="2" t="str">
        <x:v>qualified_paired_native_source_frame</x:v>
      </x:c>
      <x:c r="O597" s="2" t="str">
        <x:v>none</x:v>
      </x:c>
      <x:c r="P597" s="2" t="str">
        <x:v>modeled_epoch_volume_with_fixed2018_height_and_predominant_use</x:v>
      </x:c>
      <x:c r="Q597" s="2" t="str">
        <x:v>Only qualified source rows admitted; CAN/PAK/TUV/USA fail source checks; PSE unmapped in retained table</x:v>
      </x:c>
      <x:c r="R597" s="2" t="str">
        <x:v>https://human-settlement.emergency.copernicus.eu/ghs_buV2023.php</x:v>
      </x:c>
      <x:c r="S597" s="13" t="b">
        <x:v>0</x:v>
      </x:c>
      <x:c r="T597" s="13" t="b">
        <x:v>0</x:v>
      </x:c>
    </x:row>
    <x:row r="598" ht="23" customHeight="1">
      <x:c r="A598" s="2" t="str">
        <x:v>ARG</x:v>
      </x:c>
      <x:c r="B598" s="2" t="str">
        <x:v>Argentina (Argentine Republic)</x:v>
      </x:c>
      <x:c r="C598" s="2" t="n">
        <x:v>2020</x:v>
      </x:c>
      <x:c r="D598" s="2" t="str">
        <x:v>GHSL_VOLUME</x:v>
      </x:c>
      <x:c r="E598" s="2" t="str">
        <x:v>volume</x:v>
      </x:c>
      <x:c r="F598" s="2" t="str">
        <x:v>m3</x:v>
      </x:c>
      <x:c r="G598" s="17" t="n">
        <x:v>6929595705.3</x:v>
      </x:c>
      <x:c r="H598" s="17" t="n">
        <x:v>23067963593.600002</x:v>
      </x:c>
      <x:c r="I598" s="17" t="n">
        <x:f>IF(AND(L598,ISNUMBER(G598),ISNUMBER(H598)),G598-H598,"n.a.")</x:f>
        <x:v>-16138367888.300003</x:v>
      </x:c>
      <x:c r="J598" s="15" t="n">
        <x:f>IF(AND(L598,ISNUMBER(G598),ISNUMBER(H598),H598&gt;0),(G598-H598)/H598,"n.a.")</x:f>
        <x:v>-0.6996008912020932</x:v>
      </x:c>
      <x:c r="K598" s="19" t="n">
        <x:f>IF(ISNUMBER(J598),ABS(J598),"n.a.")</x:f>
        <x:v>0.6996008912020932</x:v>
      </x:c>
      <x:c r="L598" s="13" t="b">
        <x:v>1</x:v>
      </x:c>
      <x:c r="M598" s="13" t="b">
        <x:v>1</x:v>
      </x:c>
      <x:c r="N598" s="2" t="str">
        <x:v>qualified_paired_native_source_frame</x:v>
      </x:c>
      <x:c r="O598" s="2" t="str">
        <x:v>none</x:v>
      </x:c>
      <x:c r="P598" s="2" t="str">
        <x:v>modeled_epoch_volume_with_fixed2018_height_and_predominant_use</x:v>
      </x:c>
      <x:c r="Q598" s="2" t="str">
        <x:v>Only qualified source rows admitted; CAN/PAK/TUV/USA fail source checks; PSE unmapped in retained table</x:v>
      </x:c>
      <x:c r="R598" s="2" t="str">
        <x:v>https://human-settlement.emergency.copernicus.eu/ghs_buV2023.php</x:v>
      </x:c>
      <x:c r="S598" s="13" t="b">
        <x:v>0</x:v>
      </x:c>
      <x:c r="T598" s="13" t="b">
        <x:v>0</x:v>
      </x:c>
    </x:row>
    <x:row r="599" ht="23" customHeight="1">
      <x:c r="A599" s="2" t="str">
        <x:v>ARM</x:v>
      </x:c>
      <x:c r="B599" s="2" t="str">
        <x:v>Armenia (Republic of)</x:v>
      </x:c>
      <x:c r="C599" s="2" t="n">
        <x:v>2020</x:v>
      </x:c>
      <x:c r="D599" s="2" t="str">
        <x:v>GHSL_VOLUME</x:v>
      </x:c>
      <x:c r="E599" s="2" t="str">
        <x:v>volume</x:v>
      </x:c>
      <x:c r="F599" s="2" t="str">
        <x:v>m3</x:v>
      </x:c>
      <x:c r="G599" s="17" t="n">
        <x:v>413298166.32</x:v>
      </x:c>
      <x:c r="H599" s="17" t="n">
        <x:v>1458584860.482353</x:v>
      </x:c>
      <x:c r="I599" s="17" t="n">
        <x:f>IF(AND(L599,ISNUMBER(G599),ISNUMBER(H599)),G599-H599,"n.a.")</x:f>
        <x:v>-1045286694.162353</x:v>
      </x:c>
      <x:c r="J599" s="15" t="n">
        <x:f>IF(AND(L599,ISNUMBER(G599),ISNUMBER(H599),H599&gt;0),(G599-H599)/H599,"n.a.")</x:f>
        <x:v>-0.7166444150645287</x:v>
      </x:c>
      <x:c r="K599" s="19" t="n">
        <x:f>IF(ISNUMBER(J599),ABS(J599),"n.a.")</x:f>
        <x:v>0.7166444150645287</x:v>
      </x:c>
      <x:c r="L599" s="13" t="b">
        <x:v>1</x:v>
      </x:c>
      <x:c r="M599" s="13" t="b">
        <x:v>1</x:v>
      </x:c>
      <x:c r="N599" s="2" t="str">
        <x:v>qualified_paired_native_source_frame</x:v>
      </x:c>
      <x:c r="O599" s="2" t="str">
        <x:v>none</x:v>
      </x:c>
      <x:c r="P599" s="2" t="str">
        <x:v>modeled_epoch_volume_with_fixed2018_height_and_predominant_use</x:v>
      </x:c>
      <x:c r="Q599" s="2" t="str">
        <x:v>Only qualified source rows admitted; CAN/PAK/TUV/USA fail source checks; PSE unmapped in retained table</x:v>
      </x:c>
      <x:c r="R599" s="2" t="str">
        <x:v>https://human-settlement.emergency.copernicus.eu/ghs_buV2023.php</x:v>
      </x:c>
      <x:c r="S599" s="13" t="b">
        <x:v>0</x:v>
      </x:c>
      <x:c r="T599" s="13" t="b">
        <x:v>0</x:v>
      </x:c>
    </x:row>
    <x:row r="600" ht="23" customHeight="1">
      <x:c r="A600" s="2" t="str">
        <x:v>ATG</x:v>
      </x:c>
      <x:c r="B600" s="2" t="str">
        <x:v>Antigua and Barbuda</x:v>
      </x:c>
      <x:c r="C600" s="2" t="n">
        <x:v>2020</x:v>
      </x:c>
      <x:c r="D600" s="2" t="str">
        <x:v>GHSL_VOLUME</x:v>
      </x:c>
      <x:c r="E600" s="2" t="str">
        <x:v>volume</x:v>
      </x:c>
      <x:c r="F600" s="2" t="str">
        <x:v>m3</x:v>
      </x:c>
      <x:c r="G600" s="17" t="n">
        <x:v>17285834.35</x:v>
      </x:c>
      <x:c r="H600" s="17" t="n">
        <x:v>60308483.89803922</x:v>
      </x:c>
      <x:c r="I600" s="17" t="n">
        <x:f>IF(AND(L600,ISNUMBER(G600),ISNUMBER(H600)),G600-H600,"n.a.")</x:f>
        <x:v>-43022649.54803922</x:v>
      </x:c>
      <x:c r="J600" s="15" t="n">
        <x:f>IF(AND(L600,ISNUMBER(G600),ISNUMBER(H600),H600&gt;0),(G600-H600)/H600,"n.a.")</x:f>
        <x:v>-0.7133764068878872</x:v>
      </x:c>
      <x:c r="K600" s="19" t="n">
        <x:f>IF(ISNUMBER(J600),ABS(J600),"n.a.")</x:f>
        <x:v>0.7133764068878872</x:v>
      </x:c>
      <x:c r="L600" s="13" t="b">
        <x:v>1</x:v>
      </x:c>
      <x:c r="M600" s="13" t="b">
        <x:v>1</x:v>
      </x:c>
      <x:c r="N600" s="2" t="str">
        <x:v>qualified_paired_native_source_frame</x:v>
      </x:c>
      <x:c r="O600" s="2" t="str">
        <x:v>none</x:v>
      </x:c>
      <x:c r="P600" s="2" t="str">
        <x:v>modeled_epoch_volume_with_fixed2018_height_and_predominant_use</x:v>
      </x:c>
      <x:c r="Q600" s="2" t="str">
        <x:v>Only qualified source rows admitted; CAN/PAK/TUV/USA fail source checks; PSE unmapped in retained table</x:v>
      </x:c>
      <x:c r="R600" s="2" t="str">
        <x:v>https://human-settlement.emergency.copernicus.eu/ghs_buV2023.php</x:v>
      </x:c>
      <x:c r="S600" s="13" t="b">
        <x:v>0</x:v>
      </x:c>
      <x:c r="T600" s="13" t="b">
        <x:v>0</x:v>
      </x:c>
    </x:row>
    <x:row r="601" ht="23" customHeight="1">
      <x:c r="A601" s="2" t="str">
        <x:v>AUS</x:v>
      </x:c>
      <x:c r="B601" s="2" t="str">
        <x:v>Australia (Commonwealth of)</x:v>
      </x:c>
      <x:c r="C601" s="2" t="n">
        <x:v>2020</x:v>
      </x:c>
      <x:c r="D601" s="2" t="str">
        <x:v>GHSL_VOLUME</x:v>
      </x:c>
      <x:c r="E601" s="2" t="str">
        <x:v>volume</x:v>
      </x:c>
      <x:c r="F601" s="2" t="str">
        <x:v>m3</x:v>
      </x:c>
      <x:c r="G601" s="17" t="n">
        <x:v>8570367979.23</x:v>
      </x:c>
      <x:c r="H601" s="17" t="n">
        <x:v>29330885053.58039</x:v>
      </x:c>
      <x:c r="I601" s="17" t="n">
        <x:f>IF(AND(L601,ISNUMBER(G601),ISNUMBER(H601)),G601-H601,"n.a.")</x:f>
        <x:v>-20760517074.35039</x:v>
      </x:c>
      <x:c r="J601" s="15" t="n">
        <x:f>IF(AND(L601,ISNUMBER(G601),ISNUMBER(H601),H601&gt;0),(G601-H601)/H601,"n.a.")</x:f>
        <x:v>-0.7078039764714218</x:v>
      </x:c>
      <x:c r="K601" s="19" t="n">
        <x:f>IF(ISNUMBER(J601),ABS(J601),"n.a.")</x:f>
        <x:v>0.7078039764714218</x:v>
      </x:c>
      <x:c r="L601" s="13" t="b">
        <x:v>1</x:v>
      </x:c>
      <x:c r="M601" s="13" t="b">
        <x:v>1</x:v>
      </x:c>
      <x:c r="N601" s="2" t="str">
        <x:v>qualified_paired_native_source_frame</x:v>
      </x:c>
      <x:c r="O601" s="2" t="str">
        <x:v>none</x:v>
      </x:c>
      <x:c r="P601" s="2" t="str">
        <x:v>modeled_epoch_volume_with_fixed2018_height_and_predominant_use</x:v>
      </x:c>
      <x:c r="Q601" s="2" t="str">
        <x:v>Only qualified source rows admitted; CAN/PAK/TUV/USA fail source checks; PSE unmapped in retained table</x:v>
      </x:c>
      <x:c r="R601" s="2" t="str">
        <x:v>https://human-settlement.emergency.copernicus.eu/ghs_buV2023.php</x:v>
      </x:c>
      <x:c r="S601" s="13" t="b">
        <x:v>0</x:v>
      </x:c>
      <x:c r="T601" s="13" t="b">
        <x:v>0</x:v>
      </x:c>
    </x:row>
    <x:row r="602" ht="23" customHeight="1">
      <x:c r="A602" s="2" t="str">
        <x:v>AUT</x:v>
      </x:c>
      <x:c r="B602" s="2" t="str">
        <x:v>Austria (Republic of)</x:v>
      </x:c>
      <x:c r="C602" s="2" t="n">
        <x:v>2020</x:v>
      </x:c>
      <x:c r="D602" s="2" t="str">
        <x:v>GHSL_VOLUME</x:v>
      </x:c>
      <x:c r="E602" s="2" t="str">
        <x:v>volume</x:v>
      </x:c>
      <x:c r="F602" s="2" t="str">
        <x:v>m3</x:v>
      </x:c>
      <x:c r="G602" s="17" t="n">
        <x:v>2938619208.31</x:v>
      </x:c>
      <x:c r="H602" s="17" t="n">
        <x:v>5026438294.247058</x:v>
      </x:c>
      <x:c r="I602" s="17" t="n">
        <x:f>IF(AND(L602,ISNUMBER(G602),ISNUMBER(H602)),G602-H602,"n.a.")</x:f>
        <x:v>-2087819085.937058</x:v>
      </x:c>
      <x:c r="J602" s="15" t="n">
        <x:f>IF(AND(L602,ISNUMBER(G602),ISNUMBER(H602),H602&gt;0),(G602-H602)/H602,"n.a.")</x:f>
        <x:v>-0.41536749557368347</x:v>
      </x:c>
      <x:c r="K602" s="19" t="n">
        <x:f>IF(ISNUMBER(J602),ABS(J602),"n.a.")</x:f>
        <x:v>0.41536749557368347</x:v>
      </x:c>
      <x:c r="L602" s="13" t="b">
        <x:v>1</x:v>
      </x:c>
      <x:c r="M602" s="13" t="b">
        <x:v>1</x:v>
      </x:c>
      <x:c r="N602" s="2" t="str">
        <x:v>qualified_paired_native_source_frame</x:v>
      </x:c>
      <x:c r="O602" s="2" t="str">
        <x:v>none</x:v>
      </x:c>
      <x:c r="P602" s="2" t="str">
        <x:v>modeled_epoch_volume_with_fixed2018_height_and_predominant_use</x:v>
      </x:c>
      <x:c r="Q602" s="2" t="str">
        <x:v>Only qualified source rows admitted; CAN/PAK/TUV/USA fail source checks; PSE unmapped in retained table</x:v>
      </x:c>
      <x:c r="R602" s="2" t="str">
        <x:v>https://human-settlement.emergency.copernicus.eu/ghs_buV2023.php</x:v>
      </x:c>
      <x:c r="S602" s="13" t="b">
        <x:v>0</x:v>
      </x:c>
      <x:c r="T602" s="13" t="b">
        <x:v>0</x:v>
      </x:c>
    </x:row>
    <x:row r="603" ht="23" customHeight="1">
      <x:c r="A603" s="2" t="str">
        <x:v>AZE</x:v>
      </x:c>
      <x:c r="B603" s="2" t="str">
        <x:v>Azerbaijan (Republic of)</x:v>
      </x:c>
      <x:c r="C603" s="2" t="n">
        <x:v>2020</x:v>
      </x:c>
      <x:c r="D603" s="2" t="str">
        <x:v>GHSL_VOLUME</x:v>
      </x:c>
      <x:c r="E603" s="2" t="str">
        <x:v>volume</x:v>
      </x:c>
      <x:c r="F603" s="2" t="str">
        <x:v>m3</x:v>
      </x:c>
      <x:c r="G603" s="17" t="n">
        <x:v>1416846279.23</x:v>
      </x:c>
      <x:c r="H603" s="17" t="n">
        <x:v>4537719466.929411</x:v>
      </x:c>
      <x:c r="I603" s="17" t="n">
        <x:f>IF(AND(L603,ISNUMBER(G603),ISNUMBER(H603)),G603-H603,"n.a.")</x:f>
        <x:v>-3120873187.699411</x:v>
      </x:c>
      <x:c r="J603" s="15" t="n">
        <x:f>IF(AND(L603,ISNUMBER(G603),ISNUMBER(H603),H603&gt;0),(G603-H603)/H603,"n.a.")</x:f>
        <x:v>-0.6877624785851398</x:v>
      </x:c>
      <x:c r="K603" s="19" t="n">
        <x:f>IF(ISNUMBER(J603),ABS(J603),"n.a.")</x:f>
        <x:v>0.6877624785851398</x:v>
      </x:c>
      <x:c r="L603" s="13" t="b">
        <x:v>1</x:v>
      </x:c>
      <x:c r="M603" s="13" t="b">
        <x:v>1</x:v>
      </x:c>
      <x:c r="N603" s="2" t="str">
        <x:v>qualified_paired_native_source_frame</x:v>
      </x:c>
      <x:c r="O603" s="2" t="str">
        <x:v>none</x:v>
      </x:c>
      <x:c r="P603" s="2" t="str">
        <x:v>modeled_epoch_volume_with_fixed2018_height_and_predominant_use</x:v>
      </x:c>
      <x:c r="Q603" s="2" t="str">
        <x:v>Only qualified source rows admitted; CAN/PAK/TUV/USA fail source checks; PSE unmapped in retained table</x:v>
      </x:c>
      <x:c r="R603" s="2" t="str">
        <x:v>https://human-settlement.emergency.copernicus.eu/ghs_buV2023.php</x:v>
      </x:c>
      <x:c r="S603" s="13" t="b">
        <x:v>0</x:v>
      </x:c>
      <x:c r="T603" s="13" t="b">
        <x:v>0</x:v>
      </x:c>
    </x:row>
    <x:row r="604" ht="23" customHeight="1">
      <x:c r="A604" s="2" t="str">
        <x:v>BDI</x:v>
      </x:c>
      <x:c r="B604" s="2" t="str">
        <x:v>Burundi (Republic of)</x:v>
      </x:c>
      <x:c r="C604" s="2" t="n">
        <x:v>2020</x:v>
      </x:c>
      <x:c r="D604" s="2" t="str">
        <x:v>GHSL_VOLUME</x:v>
      </x:c>
      <x:c r="E604" s="2" t="str">
        <x:v>volume</x:v>
      </x:c>
      <x:c r="F604" s="2" t="str">
        <x:v>m3</x:v>
      </x:c>
      <x:c r="G604" s="17" t="n">
        <x:v>282280957.67</x:v>
      </x:c>
      <x:c r="H604" s="17" t="n">
        <x:v>1471076104.1999998</x:v>
      </x:c>
      <x:c r="I604" s="17" t="n">
        <x:f>IF(AND(L604,ISNUMBER(G604),ISNUMBER(H604)),G604-H604,"n.a.")</x:f>
        <x:v>-1188795146.5299997</x:v>
      </x:c>
      <x:c r="J604" s="15" t="n">
        <x:f>IF(AND(L604,ISNUMBER(G604),ISNUMBER(H604),H604&gt;0),(G604-H604)/H604,"n.a.")</x:f>
        <x:v>-0.8081126075910872</x:v>
      </x:c>
      <x:c r="K604" s="19" t="n">
        <x:f>IF(ISNUMBER(J604),ABS(J604),"n.a.")</x:f>
        <x:v>0.8081126075910872</x:v>
      </x:c>
      <x:c r="L604" s="13" t="b">
        <x:v>1</x:v>
      </x:c>
      <x:c r="M604" s="13" t="b">
        <x:v>1</x:v>
      </x:c>
      <x:c r="N604" s="2" t="str">
        <x:v>qualified_paired_native_source_frame</x:v>
      </x:c>
      <x:c r="O604" s="2" t="str">
        <x:v>none</x:v>
      </x:c>
      <x:c r="P604" s="2" t="str">
        <x:v>modeled_epoch_volume_with_fixed2018_height_and_predominant_use</x:v>
      </x:c>
      <x:c r="Q604" s="2" t="str">
        <x:v>Only qualified source rows admitted; CAN/PAK/TUV/USA fail source checks; PSE unmapped in retained table</x:v>
      </x:c>
      <x:c r="R604" s="2" t="str">
        <x:v>https://human-settlement.emergency.copernicus.eu/ghs_buV2023.php</x:v>
      </x:c>
      <x:c r="S604" s="13" t="b">
        <x:v>0</x:v>
      </x:c>
      <x:c r="T604" s="13" t="b">
        <x:v>0</x:v>
      </x:c>
    </x:row>
    <x:row r="605" ht="23" customHeight="1">
      <x:c r="A605" s="2" t="str">
        <x:v>BEL</x:v>
      </x:c>
      <x:c r="B605" s="2" t="str">
        <x:v>Belgium (Kingdom of)</x:v>
      </x:c>
      <x:c r="C605" s="2" t="n">
        <x:v>2020</x:v>
      </x:c>
      <x:c r="D605" s="2" t="str">
        <x:v>GHSL_VOLUME</x:v>
      </x:c>
      <x:c r="E605" s="2" t="str">
        <x:v>volume</x:v>
      </x:c>
      <x:c r="F605" s="2" t="str">
        <x:v>m3</x:v>
      </x:c>
      <x:c r="G605" s="17" t="n">
        <x:v>3854664222.08</x:v>
      </x:c>
      <x:c r="H605" s="17" t="n">
        <x:v>8706097543.313723</x:v>
      </x:c>
      <x:c r="I605" s="17" t="n">
        <x:f>IF(AND(L605,ISNUMBER(G605),ISNUMBER(H605)),G605-H605,"n.a.")</x:f>
        <x:v>-4851433321.233723</x:v>
      </x:c>
      <x:c r="J605" s="15" t="n">
        <x:f>IF(AND(L605,ISNUMBER(G605),ISNUMBER(H605),H605&gt;0),(G605-H605)/H605,"n.a.")</x:f>
        <x:v>-0.5572454589553296</x:v>
      </x:c>
      <x:c r="K605" s="19" t="n">
        <x:f>IF(ISNUMBER(J605),ABS(J605),"n.a.")</x:f>
        <x:v>0.5572454589553296</x:v>
      </x:c>
      <x:c r="L605" s="13" t="b">
        <x:v>1</x:v>
      </x:c>
      <x:c r="M605" s="13" t="b">
        <x:v>1</x:v>
      </x:c>
      <x:c r="N605" s="2" t="str">
        <x:v>qualified_paired_native_source_frame</x:v>
      </x:c>
      <x:c r="O605" s="2" t="str">
        <x:v>none</x:v>
      </x:c>
      <x:c r="P605" s="2" t="str">
        <x:v>modeled_epoch_volume_with_fixed2018_height_and_predominant_use</x:v>
      </x:c>
      <x:c r="Q605" s="2" t="str">
        <x:v>Only qualified source rows admitted; CAN/PAK/TUV/USA fail source checks; PSE unmapped in retained table</x:v>
      </x:c>
      <x:c r="R605" s="2" t="str">
        <x:v>https://human-settlement.emergency.copernicus.eu/ghs_buV2023.php</x:v>
      </x:c>
      <x:c r="S605" s="13" t="b">
        <x:v>0</x:v>
      </x:c>
      <x:c r="T605" s="13" t="b">
        <x:v>0</x:v>
      </x:c>
    </x:row>
    <x:row r="606" ht="23" customHeight="1">
      <x:c r="A606" s="2" t="str">
        <x:v>BEN</x:v>
      </x:c>
      <x:c r="B606" s="2" t="str">
        <x:v>Benin (Republic of)</x:v>
      </x:c>
      <x:c r="C606" s="2" t="n">
        <x:v>2020</x:v>
      </x:c>
      <x:c r="D606" s="2" t="str">
        <x:v>GHSL_VOLUME</x:v>
      </x:c>
      <x:c r="E606" s="2" t="str">
        <x:v>volume</x:v>
      </x:c>
      <x:c r="F606" s="2" t="str">
        <x:v>m3</x:v>
      </x:c>
      <x:c r="G606" s="17" t="n">
        <x:v>680866675.25</x:v>
      </x:c>
      <x:c r="H606" s="17" t="n">
        <x:v>3517665215.501961</x:v>
      </x:c>
      <x:c r="I606" s="17" t="n">
        <x:f>IF(AND(L606,ISNUMBER(G606),ISNUMBER(H606)),G606-H606,"n.a.")</x:f>
        <x:v>-2836798540.251961</x:v>
      </x:c>
      <x:c r="J606" s="15" t="n">
        <x:f>IF(AND(L606,ISNUMBER(G606),ISNUMBER(H606),H606&gt;0),(G606-H606)/H606,"n.a.")</x:f>
        <x:v>-0.8064435830193573</x:v>
      </x:c>
      <x:c r="K606" s="19" t="n">
        <x:f>IF(ISNUMBER(J606),ABS(J606),"n.a.")</x:f>
        <x:v>0.8064435830193573</x:v>
      </x:c>
      <x:c r="L606" s="13" t="b">
        <x:v>1</x:v>
      </x:c>
      <x:c r="M606" s="13" t="b">
        <x:v>1</x:v>
      </x:c>
      <x:c r="N606" s="2" t="str">
        <x:v>qualified_paired_native_source_frame</x:v>
      </x:c>
      <x:c r="O606" s="2" t="str">
        <x:v>none</x:v>
      </x:c>
      <x:c r="P606" s="2" t="str">
        <x:v>modeled_epoch_volume_with_fixed2018_height_and_predominant_use</x:v>
      </x:c>
      <x:c r="Q606" s="2" t="str">
        <x:v>Only qualified source rows admitted; CAN/PAK/TUV/USA fail source checks; PSE unmapped in retained table</x:v>
      </x:c>
      <x:c r="R606" s="2" t="str">
        <x:v>https://human-settlement.emergency.copernicus.eu/ghs_buV2023.php</x:v>
      </x:c>
      <x:c r="S606" s="13" t="b">
        <x:v>0</x:v>
      </x:c>
      <x:c r="T606" s="13" t="b">
        <x:v>0</x:v>
      </x:c>
    </x:row>
    <x:row r="607" ht="23" customHeight="1">
      <x:c r="A607" s="2" t="str">
        <x:v>BFA</x:v>
      </x:c>
      <x:c r="B607" s="2" t="str">
        <x:v>Burkina Faso</x:v>
      </x:c>
      <x:c r="C607" s="2" t="n">
        <x:v>2020</x:v>
      </x:c>
      <x:c r="D607" s="2" t="str">
        <x:v>GHSL_VOLUME</x:v>
      </x:c>
      <x:c r="E607" s="2" t="str">
        <x:v>volume</x:v>
      </x:c>
      <x:c r="F607" s="2" t="str">
        <x:v>m3</x:v>
      </x:c>
      <x:c r="G607" s="17" t="n">
        <x:v>720655403.9</x:v>
      </x:c>
      <x:c r="H607" s="17" t="n">
        <x:v>4680031727.552941</x:v>
      </x:c>
      <x:c r="I607" s="17" t="n">
        <x:f>IF(AND(L607,ISNUMBER(G607),ISNUMBER(H607)),G607-H607,"n.a.")</x:f>
        <x:v>-3959376323.652941</x:v>
      </x:c>
      <x:c r="J607" s="15" t="n">
        <x:f>IF(AND(L607,ISNUMBER(G607),ISNUMBER(H607),H607&gt;0),(G607-H607)/H607,"n.a.")</x:f>
        <x:v>-0.8460148465111345</x:v>
      </x:c>
      <x:c r="K607" s="19" t="n">
        <x:f>IF(ISNUMBER(J607),ABS(J607),"n.a.")</x:f>
        <x:v>0.8460148465111345</x:v>
      </x:c>
      <x:c r="L607" s="13" t="b">
        <x:v>1</x:v>
      </x:c>
      <x:c r="M607" s="13" t="b">
        <x:v>1</x:v>
      </x:c>
      <x:c r="N607" s="2" t="str">
        <x:v>qualified_paired_native_source_frame</x:v>
      </x:c>
      <x:c r="O607" s="2" t="str">
        <x:v>none</x:v>
      </x:c>
      <x:c r="P607" s="2" t="str">
        <x:v>modeled_epoch_volume_with_fixed2018_height_and_predominant_use</x:v>
      </x:c>
      <x:c r="Q607" s="2" t="str">
        <x:v>Only qualified source rows admitted; CAN/PAK/TUV/USA fail source checks; PSE unmapped in retained table</x:v>
      </x:c>
      <x:c r="R607" s="2" t="str">
        <x:v>https://human-settlement.emergency.copernicus.eu/ghs_buV2023.php</x:v>
      </x:c>
      <x:c r="S607" s="13" t="b">
        <x:v>0</x:v>
      </x:c>
      <x:c r="T607" s="13" t="b">
        <x:v>0</x:v>
      </x:c>
    </x:row>
    <x:row r="608" ht="23" customHeight="1">
      <x:c r="A608" s="2" t="str">
        <x:v>BGD</x:v>
      </x:c>
      <x:c r="B608" s="2" t="str">
        <x:v>Bangladesh (People's Republic of)</x:v>
      </x:c>
      <x:c r="C608" s="2" t="n">
        <x:v>2020</x:v>
      </x:c>
      <x:c r="D608" s="2" t="str">
        <x:v>GHSL_VOLUME</x:v>
      </x:c>
      <x:c r="E608" s="2" t="str">
        <x:v>volume</x:v>
      </x:c>
      <x:c r="F608" s="2" t="str">
        <x:v>m3</x:v>
      </x:c>
      <x:c r="G608" s="17" t="n">
        <x:v>5829804164.63</x:v>
      </x:c>
      <x:c r="H608" s="17" t="n">
        <x:v>9557537104.458824</x:v>
      </x:c>
      <x:c r="I608" s="17" t="n">
        <x:f>IF(AND(L608,ISNUMBER(G608),ISNUMBER(H608)),G608-H608,"n.a.")</x:f>
        <x:v>-3727732939.828824</x:v>
      </x:c>
      <x:c r="J608" s="15" t="n">
        <x:f>IF(AND(L608,ISNUMBER(G608),ISNUMBER(H608),H608&gt;0),(G608-H608)/H608,"n.a.")</x:f>
        <x:v>-0.390030705514054</x:v>
      </x:c>
      <x:c r="K608" s="19" t="n">
        <x:f>IF(ISNUMBER(J608),ABS(J608),"n.a.")</x:f>
        <x:v>0.390030705514054</x:v>
      </x:c>
      <x:c r="L608" s="13" t="b">
        <x:v>1</x:v>
      </x:c>
      <x:c r="M608" s="13" t="b">
        <x:v>1</x:v>
      </x:c>
      <x:c r="N608" s="2" t="str">
        <x:v>qualified_paired_native_source_frame</x:v>
      </x:c>
      <x:c r="O608" s="2" t="str">
        <x:v>none</x:v>
      </x:c>
      <x:c r="P608" s="2" t="str">
        <x:v>modeled_epoch_volume_with_fixed2018_height_and_predominant_use</x:v>
      </x:c>
      <x:c r="Q608" s="2" t="str">
        <x:v>Only qualified source rows admitted; CAN/PAK/TUV/USA fail source checks; PSE unmapped in retained table</x:v>
      </x:c>
      <x:c r="R608" s="2" t="str">
        <x:v>https://human-settlement.emergency.copernicus.eu/ghs_buV2023.php</x:v>
      </x:c>
      <x:c r="S608" s="13" t="b">
        <x:v>0</x:v>
      </x:c>
      <x:c r="T608" s="13" t="b">
        <x:v>0</x:v>
      </x:c>
    </x:row>
    <x:row r="609" ht="23" customHeight="1">
      <x:c r="A609" s="2" t="str">
        <x:v>BGR</x:v>
      </x:c>
      <x:c r="B609" s="2" t="str">
        <x:v>Bulgaria (Republic of)</x:v>
      </x:c>
      <x:c r="C609" s="2" t="n">
        <x:v>2020</x:v>
      </x:c>
      <x:c r="D609" s="2" t="str">
        <x:v>GHSL_VOLUME</x:v>
      </x:c>
      <x:c r="E609" s="2" t="str">
        <x:v>volume</x:v>
      </x:c>
      <x:c r="F609" s="2" t="str">
        <x:v>m3</x:v>
      </x:c>
      <x:c r="G609" s="17" t="n">
        <x:v>1674219775.43</x:v>
      </x:c>
      <x:c r="H609" s="17" t="n">
        <x:v>3936383210.7137256</x:v>
      </x:c>
      <x:c r="I609" s="17" t="n">
        <x:f>IF(AND(L609,ISNUMBER(G609),ISNUMBER(H609)),G609-H609,"n.a.")</x:f>
        <x:v>-2262163435.2837257</x:v>
      </x:c>
      <x:c r="J609" s="15" t="n">
        <x:f>IF(AND(L609,ISNUMBER(G609),ISNUMBER(H609),H609&gt;0),(G609-H609)/H609,"n.a.")</x:f>
        <x:v>-0.5746806939748027</x:v>
      </x:c>
      <x:c r="K609" s="19" t="n">
        <x:f>IF(ISNUMBER(J609),ABS(J609),"n.a.")</x:f>
        <x:v>0.5746806939748027</x:v>
      </x:c>
      <x:c r="L609" s="13" t="b">
        <x:v>1</x:v>
      </x:c>
      <x:c r="M609" s="13" t="b">
        <x:v>1</x:v>
      </x:c>
      <x:c r="N609" s="2" t="str">
        <x:v>qualified_paired_native_source_frame</x:v>
      </x:c>
      <x:c r="O609" s="2" t="str">
        <x:v>none</x:v>
      </x:c>
      <x:c r="P609" s="2" t="str">
        <x:v>modeled_epoch_volume_with_fixed2018_height_and_predominant_use</x:v>
      </x:c>
      <x:c r="Q609" s="2" t="str">
        <x:v>Only qualified source rows admitted; CAN/PAK/TUV/USA fail source checks; PSE unmapped in retained table</x:v>
      </x:c>
      <x:c r="R609" s="2" t="str">
        <x:v>https://human-settlement.emergency.copernicus.eu/ghs_buV2023.php</x:v>
      </x:c>
      <x:c r="S609" s="13" t="b">
        <x:v>0</x:v>
      </x:c>
      <x:c r="T609" s="13" t="b">
        <x:v>0</x:v>
      </x:c>
    </x:row>
    <x:row r="610" ht="23" customHeight="1">
      <x:c r="A610" s="2" t="str">
        <x:v>BHR</x:v>
      </x:c>
      <x:c r="B610" s="2" t="str">
        <x:v>Bahrain (Kingdom of)</x:v>
      </x:c>
      <x:c r="C610" s="2" t="n">
        <x:v>2020</x:v>
      </x:c>
      <x:c r="D610" s="2" t="str">
        <x:v>GHSL_VOLUME</x:v>
      </x:c>
      <x:c r="E610" s="2" t="str">
        <x:v>volume</x:v>
      </x:c>
      <x:c r="F610" s="2" t="str">
        <x:v>m3</x:v>
      </x:c>
      <x:c r="G610" s="17" t="n">
        <x:v>233079427.45</x:v>
      </x:c>
      <x:c r="H610" s="17" t="n">
        <x:v>638464925.5529416</x:v>
      </x:c>
      <x:c r="I610" s="17" t="n">
        <x:f>IF(AND(L610,ISNUMBER(G610),ISNUMBER(H610)),G610-H610,"n.a.")</x:f>
        <x:v>-405385498.1029416</x:v>
      </x:c>
      <x:c r="J610" s="15" t="n">
        <x:f>IF(AND(L610,ISNUMBER(G610),ISNUMBER(H610),H610&gt;0),(G610-H610)/H610,"n.a.")</x:f>
        <x:v>-0.6349377732094806</x:v>
      </x:c>
      <x:c r="K610" s="19" t="n">
        <x:f>IF(ISNUMBER(J610),ABS(J610),"n.a.")</x:f>
        <x:v>0.6349377732094806</x:v>
      </x:c>
      <x:c r="L610" s="13" t="b">
        <x:v>1</x:v>
      </x:c>
      <x:c r="M610" s="13" t="b">
        <x:v>1</x:v>
      </x:c>
      <x:c r="N610" s="2" t="str">
        <x:v>qualified_paired_native_source_frame</x:v>
      </x:c>
      <x:c r="O610" s="2" t="str">
        <x:v>none</x:v>
      </x:c>
      <x:c r="P610" s="2" t="str">
        <x:v>modeled_epoch_volume_with_fixed2018_height_and_predominant_use</x:v>
      </x:c>
      <x:c r="Q610" s="2" t="str">
        <x:v>Only qualified source rows admitted; CAN/PAK/TUV/USA fail source checks; PSE unmapped in retained table</x:v>
      </x:c>
      <x:c r="R610" s="2" t="str">
        <x:v>https://human-settlement.emergency.copernicus.eu/ghs_buV2023.php</x:v>
      </x:c>
      <x:c r="S610" s="13" t="b">
        <x:v>0</x:v>
      </x:c>
      <x:c r="T610" s="13" t="b">
        <x:v>0</x:v>
      </x:c>
    </x:row>
    <x:row r="611" ht="23" customHeight="1">
      <x:c r="A611" s="2" t="str">
        <x:v>BHS</x:v>
      </x:c>
      <x:c r="B611" s="2" t="str">
        <x:v>Bahamas (Commonwealth of the)</x:v>
      </x:c>
      <x:c r="C611" s="2" t="n">
        <x:v>2020</x:v>
      </x:c>
      <x:c r="D611" s="2" t="str">
        <x:v>GHSL_VOLUME</x:v>
      </x:c>
      <x:c r="E611" s="2" t="str">
        <x:v>volume</x:v>
      </x:c>
      <x:c r="F611" s="2" t="str">
        <x:v>m3</x:v>
      </x:c>
      <x:c r="G611" s="17" t="n">
        <x:v>73579036.69</x:v>
      </x:c>
      <x:c r="H611" s="17" t="n">
        <x:v>196027043.40392154</x:v>
      </x:c>
      <x:c r="I611" s="17" t="n">
        <x:f>IF(AND(L611,ISNUMBER(G611),ISNUMBER(H611)),G611-H611,"n.a.")</x:f>
        <x:v>-122448006.71392155</x:v>
      </x:c>
      <x:c r="J611" s="15" t="n">
        <x:f>IF(AND(L611,ISNUMBER(G611),ISNUMBER(H611),H611&gt;0),(G611-H611)/H611,"n.a.")</x:f>
        <x:v>-0.624648541281177</x:v>
      </x:c>
      <x:c r="K611" s="19" t="n">
        <x:f>IF(ISNUMBER(J611),ABS(J611),"n.a.")</x:f>
        <x:v>0.624648541281177</x:v>
      </x:c>
      <x:c r="L611" s="13" t="b">
        <x:v>1</x:v>
      </x:c>
      <x:c r="M611" s="13" t="b">
        <x:v>1</x:v>
      </x:c>
      <x:c r="N611" s="2" t="str">
        <x:v>qualified_paired_native_source_frame</x:v>
      </x:c>
      <x:c r="O611" s="2" t="str">
        <x:v>none</x:v>
      </x:c>
      <x:c r="P611" s="2" t="str">
        <x:v>modeled_epoch_volume_with_fixed2018_height_and_predominant_use</x:v>
      </x:c>
      <x:c r="Q611" s="2" t="str">
        <x:v>Only qualified source rows admitted; CAN/PAK/TUV/USA fail source checks; PSE unmapped in retained table</x:v>
      </x:c>
      <x:c r="R611" s="2" t="str">
        <x:v>https://human-settlement.emergency.copernicus.eu/ghs_buV2023.php</x:v>
      </x:c>
      <x:c r="S611" s="13" t="b">
        <x:v>0</x:v>
      </x:c>
      <x:c r="T611" s="13" t="b">
        <x:v>0</x:v>
      </x:c>
    </x:row>
    <x:row r="612" ht="23" customHeight="1">
      <x:c r="A612" s="2" t="str">
        <x:v>BIH</x:v>
      </x:c>
      <x:c r="B612" s="2" t="str">
        <x:v>Bosnia and Herzegovina</x:v>
      </x:c>
      <x:c r="C612" s="2" t="n">
        <x:v>2020</x:v>
      </x:c>
      <x:c r="D612" s="2" t="str">
        <x:v>GHSL_VOLUME</x:v>
      </x:c>
      <x:c r="E612" s="2" t="str">
        <x:v>volume</x:v>
      </x:c>
      <x:c r="F612" s="2" t="str">
        <x:v>m3</x:v>
      </x:c>
      <x:c r="G612" s="17" t="n">
        <x:v>627629014.89</x:v>
      </x:c>
      <x:c r="H612" s="17" t="n">
        <x:v>1309228516.3960783</x:v>
      </x:c>
      <x:c r="I612" s="17" t="n">
        <x:f>IF(AND(L612,ISNUMBER(G612),ISNUMBER(H612)),G612-H612,"n.a.")</x:f>
        <x:v>-681599501.5060784</x:v>
      </x:c>
      <x:c r="J612" s="15" t="n">
        <x:f>IF(AND(L612,ISNUMBER(G612),ISNUMBER(H612),H612&gt;0),(G612-H612)/H612,"n.a.")</x:f>
        <x:v>-0.5206115609078862</x:v>
      </x:c>
      <x:c r="K612" s="19" t="n">
        <x:f>IF(ISNUMBER(J612),ABS(J612),"n.a.")</x:f>
        <x:v>0.5206115609078862</x:v>
      </x:c>
      <x:c r="L612" s="13" t="b">
        <x:v>1</x:v>
      </x:c>
      <x:c r="M612" s="13" t="b">
        <x:v>1</x:v>
      </x:c>
      <x:c r="N612" s="2" t="str">
        <x:v>qualified_paired_native_source_frame</x:v>
      </x:c>
      <x:c r="O612" s="2" t="str">
        <x:v>none</x:v>
      </x:c>
      <x:c r="P612" s="2" t="str">
        <x:v>modeled_epoch_volume_with_fixed2018_height_and_predominant_use</x:v>
      </x:c>
      <x:c r="Q612" s="2" t="str">
        <x:v>Only qualified source rows admitted; CAN/PAK/TUV/USA fail source checks; PSE unmapped in retained table</x:v>
      </x:c>
      <x:c r="R612" s="2" t="str">
        <x:v>https://human-settlement.emergency.copernicus.eu/ghs_buV2023.php</x:v>
      </x:c>
      <x:c r="S612" s="13" t="b">
        <x:v>0</x:v>
      </x:c>
      <x:c r="T612" s="13" t="b">
        <x:v>0</x:v>
      </x:c>
    </x:row>
    <x:row r="613" ht="23" customHeight="1">
      <x:c r="A613" s="2" t="str">
        <x:v>BLR</x:v>
      </x:c>
      <x:c r="B613" s="2" t="str">
        <x:v>Belarus (Republic of)</x:v>
      </x:c>
      <x:c r="C613" s="2" t="n">
        <x:v>2020</x:v>
      </x:c>
      <x:c r="D613" s="2" t="str">
        <x:v>GHSL_VOLUME</x:v>
      </x:c>
      <x:c r="E613" s="2" t="str">
        <x:v>volume</x:v>
      </x:c>
      <x:c r="F613" s="2" t="str">
        <x:v>m3</x:v>
      </x:c>
      <x:c r="G613" s="17" t="n">
        <x:v>2094811037.29</x:v>
      </x:c>
      <x:c r="H613" s="17" t="n">
        <x:v>6086745199.847059</x:v>
      </x:c>
      <x:c r="I613" s="17" t="n">
        <x:f>IF(AND(L613,ISNUMBER(G613),ISNUMBER(H613)),G613-H613,"n.a.")</x:f>
        <x:v>-3991934162.5570593</x:v>
      </x:c>
      <x:c r="J613" s="15" t="n">
        <x:f>IF(AND(L613,ISNUMBER(G613),ISNUMBER(H613),H613&gt;0),(G613-H613)/H613,"n.a.")</x:f>
        <x:v>-0.6558405242028801</x:v>
      </x:c>
      <x:c r="K613" s="19" t="n">
        <x:f>IF(ISNUMBER(J613),ABS(J613),"n.a.")</x:f>
        <x:v>0.6558405242028801</x:v>
      </x:c>
      <x:c r="L613" s="13" t="b">
        <x:v>1</x:v>
      </x:c>
      <x:c r="M613" s="13" t="b">
        <x:v>1</x:v>
      </x:c>
      <x:c r="N613" s="2" t="str">
        <x:v>qualified_paired_native_source_frame</x:v>
      </x:c>
      <x:c r="O613" s="2" t="str">
        <x:v>none</x:v>
      </x:c>
      <x:c r="P613" s="2" t="str">
        <x:v>modeled_epoch_volume_with_fixed2018_height_and_predominant_use</x:v>
      </x:c>
      <x:c r="Q613" s="2" t="str">
        <x:v>Only qualified source rows admitted; CAN/PAK/TUV/USA fail source checks; PSE unmapped in retained table</x:v>
      </x:c>
      <x:c r="R613" s="2" t="str">
        <x:v>https://human-settlement.emergency.copernicus.eu/ghs_buV2023.php</x:v>
      </x:c>
      <x:c r="S613" s="13" t="b">
        <x:v>0</x:v>
      </x:c>
      <x:c r="T613" s="13" t="b">
        <x:v>0</x:v>
      </x:c>
    </x:row>
    <x:row r="614" ht="23" customHeight="1">
      <x:c r="A614" s="2" t="str">
        <x:v>BLZ</x:v>
      </x:c>
      <x:c r="B614" s="2" t="str">
        <x:v>Belize</x:v>
      </x:c>
      <x:c r="C614" s="2" t="n">
        <x:v>2020</x:v>
      </x:c>
      <x:c r="D614" s="2" t="str">
        <x:v>GHSL_VOLUME</x:v>
      </x:c>
      <x:c r="E614" s="2" t="str">
        <x:v>volume</x:v>
      </x:c>
      <x:c r="F614" s="2" t="str">
        <x:v>m3</x:v>
      </x:c>
      <x:c r="G614" s="17" t="n">
        <x:v>47743072.84</x:v>
      </x:c>
      <x:c r="H614" s="17" t="n">
        <x:v>186923982.63137254</x:v>
      </x:c>
      <x:c r="I614" s="17" t="n">
        <x:f>IF(AND(L614,ISNUMBER(G614),ISNUMBER(H614)),G614-H614,"n.a.")</x:f>
        <x:v>-139180909.79137254</x:v>
      </x:c>
      <x:c r="J614" s="15" t="n">
        <x:f>IF(AND(L614,ISNUMBER(G614),ISNUMBER(H614),H614&gt;0),(G614-H614)/H614,"n.a.")</x:f>
        <x:v>-0.7445856215563695</x:v>
      </x:c>
      <x:c r="K614" s="19" t="n">
        <x:f>IF(ISNUMBER(J614),ABS(J614),"n.a.")</x:f>
        <x:v>0.7445856215563695</x:v>
      </x:c>
      <x:c r="L614" s="13" t="b">
        <x:v>1</x:v>
      </x:c>
      <x:c r="M614" s="13" t="b">
        <x:v>1</x:v>
      </x:c>
      <x:c r="N614" s="2" t="str">
        <x:v>qualified_paired_native_source_frame</x:v>
      </x:c>
      <x:c r="O614" s="2" t="str">
        <x:v>none</x:v>
      </x:c>
      <x:c r="P614" s="2" t="str">
        <x:v>modeled_epoch_volume_with_fixed2018_height_and_predominant_use</x:v>
      </x:c>
      <x:c r="Q614" s="2" t="str">
        <x:v>Only qualified source rows admitted; CAN/PAK/TUV/USA fail source checks; PSE unmapped in retained table</x:v>
      </x:c>
      <x:c r="R614" s="2" t="str">
        <x:v>https://human-settlement.emergency.copernicus.eu/ghs_buV2023.php</x:v>
      </x:c>
      <x:c r="S614" s="13" t="b">
        <x:v>0</x:v>
      </x:c>
      <x:c r="T614" s="13" t="b">
        <x:v>0</x:v>
      </x:c>
    </x:row>
    <x:row r="615" ht="23" customHeight="1">
      <x:c r="A615" s="2" t="str">
        <x:v>BOL</x:v>
      </x:c>
      <x:c r="B615" s="2" t="str">
        <x:v>Bolivia (Plurinational State of)</x:v>
      </x:c>
      <x:c r="C615" s="2" t="n">
        <x:v>2020</x:v>
      </x:c>
      <x:c r="D615" s="2" t="str">
        <x:v>GHSL_VOLUME</x:v>
      </x:c>
      <x:c r="E615" s="2" t="str">
        <x:v>volume</x:v>
      </x:c>
      <x:c r="F615" s="2" t="str">
        <x:v>m3</x:v>
      </x:c>
      <x:c r="G615" s="17" t="n">
        <x:v>1276348098.54</x:v>
      </x:c>
      <x:c r="H615" s="17" t="n">
        <x:v>3911087262.1294117</x:v>
      </x:c>
      <x:c r="I615" s="17" t="n">
        <x:f>IF(AND(L615,ISNUMBER(G615),ISNUMBER(H615)),G615-H615,"n.a.")</x:f>
        <x:v>-2634739163.5894117</x:v>
      </x:c>
      <x:c r="J615" s="15" t="n">
        <x:f>IF(AND(L615,ISNUMBER(G615),ISNUMBER(H615),H615&gt;0),(G615-H615)/H615,"n.a.")</x:f>
        <x:v>-0.6736590075862726</x:v>
      </x:c>
      <x:c r="K615" s="19" t="n">
        <x:f>IF(ISNUMBER(J615),ABS(J615),"n.a.")</x:f>
        <x:v>0.6736590075862726</x:v>
      </x:c>
      <x:c r="L615" s="13" t="b">
        <x:v>1</x:v>
      </x:c>
      <x:c r="M615" s="13" t="b">
        <x:v>1</x:v>
      </x:c>
      <x:c r="N615" s="2" t="str">
        <x:v>qualified_paired_native_source_frame</x:v>
      </x:c>
      <x:c r="O615" s="2" t="str">
        <x:v>none</x:v>
      </x:c>
      <x:c r="P615" s="2" t="str">
        <x:v>modeled_epoch_volume_with_fixed2018_height_and_predominant_use</x:v>
      </x:c>
      <x:c r="Q615" s="2" t="str">
        <x:v>Only qualified source rows admitted; CAN/PAK/TUV/USA fail source checks; PSE unmapped in retained table</x:v>
      </x:c>
      <x:c r="R615" s="2" t="str">
        <x:v>https://human-settlement.emergency.copernicus.eu/ghs_buV2023.php</x:v>
      </x:c>
      <x:c r="S615" s="13" t="b">
        <x:v>0</x:v>
      </x:c>
      <x:c r="T615" s="13" t="b">
        <x:v>0</x:v>
      </x:c>
    </x:row>
    <x:row r="616" ht="23" customHeight="1">
      <x:c r="A616" s="2" t="str">
        <x:v>BRA</x:v>
      </x:c>
      <x:c r="B616" s="2" t="str">
        <x:v>Brazil (Federative Republic of)</x:v>
      </x:c>
      <x:c r="C616" s="2" t="n">
        <x:v>2020</x:v>
      </x:c>
      <x:c r="D616" s="2" t="str">
        <x:v>GHSL_VOLUME</x:v>
      </x:c>
      <x:c r="E616" s="2" t="str">
        <x:v>volume</x:v>
      </x:c>
      <x:c r="F616" s="2" t="str">
        <x:v>m3</x:v>
      </x:c>
      <x:c r="G616" s="17" t="n">
        <x:v>35548429912.6</x:v>
      </x:c>
      <x:c r="H616" s="17" t="n">
        <x:v>96088937632.91373</x:v>
      </x:c>
      <x:c r="I616" s="17" t="n">
        <x:f>IF(AND(L616,ISNUMBER(G616),ISNUMBER(H616)),G616-H616,"n.a.")</x:f>
        <x:v>-60540507720.31373</x:v>
      </x:c>
      <x:c r="J616" s="15" t="n">
        <x:f>IF(AND(L616,ISNUMBER(G616),ISNUMBER(H616),H616&gt;0),(G616-H616)/H616,"n.a.")</x:f>
        <x:v>-0.6300465923725287</x:v>
      </x:c>
      <x:c r="K616" s="19" t="n">
        <x:f>IF(ISNUMBER(J616),ABS(J616),"n.a.")</x:f>
        <x:v>0.6300465923725287</x:v>
      </x:c>
      <x:c r="L616" s="13" t="b">
        <x:v>1</x:v>
      </x:c>
      <x:c r="M616" s="13" t="b">
        <x:v>1</x:v>
      </x:c>
      <x:c r="N616" s="2" t="str">
        <x:v>qualified_paired_native_source_frame</x:v>
      </x:c>
      <x:c r="O616" s="2" t="str">
        <x:v>none</x:v>
      </x:c>
      <x:c r="P616" s="2" t="str">
        <x:v>modeled_epoch_volume_with_fixed2018_height_and_predominant_use</x:v>
      </x:c>
      <x:c r="Q616" s="2" t="str">
        <x:v>Only qualified source rows admitted; CAN/PAK/TUV/USA fail source checks; PSE unmapped in retained table</x:v>
      </x:c>
      <x:c r="R616" s="2" t="str">
        <x:v>https://human-settlement.emergency.copernicus.eu/ghs_buV2023.php</x:v>
      </x:c>
      <x:c r="S616" s="13" t="b">
        <x:v>0</x:v>
      </x:c>
      <x:c r="T616" s="13" t="b">
        <x:v>0</x:v>
      </x:c>
    </x:row>
    <x:row r="617" ht="23" customHeight="1">
      <x:c r="A617" s="2" t="str">
        <x:v>BRB</x:v>
      </x:c>
      <x:c r="B617" s="2" t="str">
        <x:v>Barbados</x:v>
      </x:c>
      <x:c r="C617" s="2" t="n">
        <x:v>2020</x:v>
      </x:c>
      <x:c r="D617" s="2" t="str">
        <x:v>GHSL_VOLUME</x:v>
      </x:c>
      <x:c r="E617" s="2" t="str">
        <x:v>volume</x:v>
      </x:c>
      <x:c r="F617" s="2" t="str">
        <x:v>m3</x:v>
      </x:c>
      <x:c r="G617" s="17" t="n">
        <x:v>59020792.31</x:v>
      </x:c>
      <x:c r="H617" s="17" t="n">
        <x:v>217525236.10980397</x:v>
      </x:c>
      <x:c r="I617" s="17" t="n">
        <x:f>IF(AND(L617,ISNUMBER(G617),ISNUMBER(H617)),G617-H617,"n.a.")</x:f>
        <x:v>-158504443.79980397</x:v>
      </x:c>
      <x:c r="J617" s="15" t="n">
        <x:f>IF(AND(L617,ISNUMBER(G617),ISNUMBER(H617),H617&gt;0),(G617-H617)/H617,"n.a.")</x:f>
        <x:v>-0.728671517082243</x:v>
      </x:c>
      <x:c r="K617" s="19" t="n">
        <x:f>IF(ISNUMBER(J617),ABS(J617),"n.a.")</x:f>
        <x:v>0.728671517082243</x:v>
      </x:c>
      <x:c r="L617" s="13" t="b">
        <x:v>1</x:v>
      </x:c>
      <x:c r="M617" s="13" t="b">
        <x:v>1</x:v>
      </x:c>
      <x:c r="N617" s="2" t="str">
        <x:v>qualified_paired_native_source_frame</x:v>
      </x:c>
      <x:c r="O617" s="2" t="str">
        <x:v>none</x:v>
      </x:c>
      <x:c r="P617" s="2" t="str">
        <x:v>modeled_epoch_volume_with_fixed2018_height_and_predominant_use</x:v>
      </x:c>
      <x:c r="Q617" s="2" t="str">
        <x:v>Only qualified source rows admitted; CAN/PAK/TUV/USA fail source checks; PSE unmapped in retained table</x:v>
      </x:c>
      <x:c r="R617" s="2" t="str">
        <x:v>https://human-settlement.emergency.copernicus.eu/ghs_buV2023.php</x:v>
      </x:c>
      <x:c r="S617" s="13" t="b">
        <x:v>0</x:v>
      </x:c>
      <x:c r="T617" s="13" t="b">
        <x:v>0</x:v>
      </x:c>
    </x:row>
    <x:row r="618" ht="23" customHeight="1">
      <x:c r="A618" s="2" t="str">
        <x:v>BRN</x:v>
      </x:c>
      <x:c r="B618" s="2" t="str">
        <x:v>Brunei Darussalam</x:v>
      </x:c>
      <x:c r="C618" s="2" t="n">
        <x:v>2020</x:v>
      </x:c>
      <x:c r="D618" s="2" t="str">
        <x:v>GHSL_VOLUME</x:v>
      </x:c>
      <x:c r="E618" s="2" t="str">
        <x:v>volume</x:v>
      </x:c>
      <x:c r="F618" s="2" t="str">
        <x:v>m3</x:v>
      </x:c>
      <x:c r="G618" s="17" t="n">
        <x:v>105104800.1</x:v>
      </x:c>
      <x:c r="H618" s="17" t="n">
        <x:v>272351381.4784314</x:v>
      </x:c>
      <x:c r="I618" s="17" t="n">
        <x:f>IF(AND(L618,ISNUMBER(G618),ISNUMBER(H618)),G618-H618,"n.a.")</x:f>
        <x:v>-167246581.3784314</x:v>
      </x:c>
      <x:c r="J618" s="15" t="n">
        <x:f>IF(AND(L618,ISNUMBER(G618),ISNUMBER(H618),H618&gt;0),(G618-H618)/H618,"n.a.")</x:f>
        <x:v>-0.6140838371024615</x:v>
      </x:c>
      <x:c r="K618" s="19" t="n">
        <x:f>IF(ISNUMBER(J618),ABS(J618),"n.a.")</x:f>
        <x:v>0.6140838371024615</x:v>
      </x:c>
      <x:c r="L618" s="13" t="b">
        <x:v>1</x:v>
      </x:c>
      <x:c r="M618" s="13" t="b">
        <x:v>1</x:v>
      </x:c>
      <x:c r="N618" s="2" t="str">
        <x:v>qualified_paired_native_source_frame</x:v>
      </x:c>
      <x:c r="O618" s="2" t="str">
        <x:v>none</x:v>
      </x:c>
      <x:c r="P618" s="2" t="str">
        <x:v>modeled_epoch_volume_with_fixed2018_height_and_predominant_use</x:v>
      </x:c>
      <x:c r="Q618" s="2" t="str">
        <x:v>Only qualified source rows admitted; CAN/PAK/TUV/USA fail source checks; PSE unmapped in retained table</x:v>
      </x:c>
      <x:c r="R618" s="2" t="str">
        <x:v>https://human-settlement.emergency.copernicus.eu/ghs_buV2023.php</x:v>
      </x:c>
      <x:c r="S618" s="13" t="b">
        <x:v>0</x:v>
      </x:c>
      <x:c r="T618" s="13" t="b">
        <x:v>0</x:v>
      </x:c>
    </x:row>
    <x:row r="619" ht="23" customHeight="1">
      <x:c r="A619" s="2" t="str">
        <x:v>BTN</x:v>
      </x:c>
      <x:c r="B619" s="2" t="str">
        <x:v>Bhutan (Kingdom of)</x:v>
      </x:c>
      <x:c r="C619" s="2" t="n">
        <x:v>2020</x:v>
      </x:c>
      <x:c r="D619" s="2" t="str">
        <x:v>GHSL_VOLUME</x:v>
      </x:c>
      <x:c r="E619" s="2" t="str">
        <x:v>volume</x:v>
      </x:c>
      <x:c r="F619" s="2" t="str">
        <x:v>m3</x:v>
      </x:c>
      <x:c r="G619" s="17" t="n">
        <x:v>54511683.95</x:v>
      </x:c>
      <x:c r="H619" s="17" t="n">
        <x:v>95242345.76862743</x:v>
      </x:c>
      <x:c r="I619" s="17" t="n">
        <x:f>IF(AND(L619,ISNUMBER(G619),ISNUMBER(H619)),G619-H619,"n.a.")</x:f>
        <x:v>-40730661.81862743</x:v>
      </x:c>
      <x:c r="J619" s="15" t="n">
        <x:f>IF(AND(L619,ISNUMBER(G619),ISNUMBER(H619),H619&gt;0),(G619-H619)/H619,"n.a.")</x:f>
        <x:v>-0.4276528627043119</x:v>
      </x:c>
      <x:c r="K619" s="19" t="n">
        <x:f>IF(ISNUMBER(J619),ABS(J619),"n.a.")</x:f>
        <x:v>0.4276528627043119</x:v>
      </x:c>
      <x:c r="L619" s="13" t="b">
        <x:v>1</x:v>
      </x:c>
      <x:c r="M619" s="13" t="b">
        <x:v>1</x:v>
      </x:c>
      <x:c r="N619" s="2" t="str">
        <x:v>qualified_paired_native_source_frame</x:v>
      </x:c>
      <x:c r="O619" s="2" t="str">
        <x:v>none</x:v>
      </x:c>
      <x:c r="P619" s="2" t="str">
        <x:v>modeled_epoch_volume_with_fixed2018_height_and_predominant_use</x:v>
      </x:c>
      <x:c r="Q619" s="2" t="str">
        <x:v>Only qualified source rows admitted; CAN/PAK/TUV/USA fail source checks; PSE unmapped in retained table</x:v>
      </x:c>
      <x:c r="R619" s="2" t="str">
        <x:v>https://human-settlement.emergency.copernicus.eu/ghs_buV2023.php</x:v>
      </x:c>
      <x:c r="S619" s="13" t="b">
        <x:v>0</x:v>
      </x:c>
      <x:c r="T619" s="13" t="b">
        <x:v>0</x:v>
      </x:c>
    </x:row>
    <x:row r="620" ht="23" customHeight="1">
      <x:c r="A620" s="2" t="str">
        <x:v>BWA</x:v>
      </x:c>
      <x:c r="B620" s="2" t="str">
        <x:v>Botswana (Republic of)</x:v>
      </x:c>
      <x:c r="C620" s="2" t="n">
        <x:v>2020</x:v>
      </x:c>
      <x:c r="D620" s="2" t="str">
        <x:v>GHSL_VOLUME</x:v>
      </x:c>
      <x:c r="E620" s="2" t="str">
        <x:v>volume</x:v>
      </x:c>
      <x:c r="F620" s="2" t="str">
        <x:v>m3</x:v>
      </x:c>
      <x:c r="G620" s="17" t="n">
        <x:v>256485858.63</x:v>
      </x:c>
      <x:c r="H620" s="17" t="n">
        <x:v>2139965390.5058825</x:v>
      </x:c>
      <x:c r="I620" s="17" t="n">
        <x:f>IF(AND(L620,ISNUMBER(G620),ISNUMBER(H620)),G620-H620,"n.a.")</x:f>
        <x:v>-1883479531.8758826</x:v>
      </x:c>
      <x:c r="J620" s="15" t="n">
        <x:f>IF(AND(L620,ISNUMBER(G620),ISNUMBER(H620),H620&gt;0),(G620-H620)/H620,"n.a.")</x:f>
        <x:v>-0.8801448566561316</x:v>
      </x:c>
      <x:c r="K620" s="19" t="n">
        <x:f>IF(ISNUMBER(J620),ABS(J620),"n.a.")</x:f>
        <x:v>0.8801448566561316</x:v>
      </x:c>
      <x:c r="L620" s="13" t="b">
        <x:v>1</x:v>
      </x:c>
      <x:c r="M620" s="13" t="b">
        <x:v>1</x:v>
      </x:c>
      <x:c r="N620" s="2" t="str">
        <x:v>qualified_paired_native_source_frame</x:v>
      </x:c>
      <x:c r="O620" s="2" t="str">
        <x:v>none</x:v>
      </x:c>
      <x:c r="P620" s="2" t="str">
        <x:v>modeled_epoch_volume_with_fixed2018_height_and_predominant_use</x:v>
      </x:c>
      <x:c r="Q620" s="2" t="str">
        <x:v>Only qualified source rows admitted; CAN/PAK/TUV/USA fail source checks; PSE unmapped in retained table</x:v>
      </x:c>
      <x:c r="R620" s="2" t="str">
        <x:v>https://human-settlement.emergency.copernicus.eu/ghs_buV2023.php</x:v>
      </x:c>
      <x:c r="S620" s="13" t="b">
        <x:v>0</x:v>
      </x:c>
      <x:c r="T620" s="13" t="b">
        <x:v>0</x:v>
      </x:c>
    </x:row>
    <x:row r="621" ht="23" customHeight="1">
      <x:c r="A621" s="2" t="str">
        <x:v>CAF</x:v>
      </x:c>
      <x:c r="B621" s="2" t="str">
        <x:v>Central African Republic</x:v>
      </x:c>
      <x:c r="C621" s="2" t="n">
        <x:v>2020</x:v>
      </x:c>
      <x:c r="D621" s="2" t="str">
        <x:v>GHSL_VOLUME</x:v>
      </x:c>
      <x:c r="E621" s="2" t="str">
        <x:v>volume</x:v>
      </x:c>
      <x:c r="F621" s="2" t="str">
        <x:v>m3</x:v>
      </x:c>
      <x:c r="G621" s="17" t="n">
        <x:v>145133910.52</x:v>
      </x:c>
      <x:c r="H621" s="17" t="n">
        <x:v>864769603.0941176</x:v>
      </x:c>
      <x:c r="I621" s="17" t="n">
        <x:f>IF(AND(L621,ISNUMBER(G621),ISNUMBER(H621)),G621-H621,"n.a.")</x:f>
        <x:v>-719635692.5741177</x:v>
      </x:c>
      <x:c r="J621" s="15" t="n">
        <x:f>IF(AND(L621,ISNUMBER(G621),ISNUMBER(H621),H621&gt;0),(G621-H621)/H621,"n.a.")</x:f>
        <x:v>-0.8321704301345519</x:v>
      </x:c>
      <x:c r="K621" s="19" t="n">
        <x:f>IF(ISNUMBER(J621),ABS(J621),"n.a.")</x:f>
        <x:v>0.8321704301345519</x:v>
      </x:c>
      <x:c r="L621" s="13" t="b">
        <x:v>1</x:v>
      </x:c>
      <x:c r="M621" s="13" t="b">
        <x:v>1</x:v>
      </x:c>
      <x:c r="N621" s="2" t="str">
        <x:v>qualified_paired_native_source_frame</x:v>
      </x:c>
      <x:c r="O621" s="2" t="str">
        <x:v>none</x:v>
      </x:c>
      <x:c r="P621" s="2" t="str">
        <x:v>modeled_epoch_volume_with_fixed2018_height_and_predominant_use</x:v>
      </x:c>
      <x:c r="Q621" s="2" t="str">
        <x:v>Only qualified source rows admitted; CAN/PAK/TUV/USA fail source checks; PSE unmapped in retained table</x:v>
      </x:c>
      <x:c r="R621" s="2" t="str">
        <x:v>https://human-settlement.emergency.copernicus.eu/ghs_buV2023.php</x:v>
      </x:c>
      <x:c r="S621" s="13" t="b">
        <x:v>0</x:v>
      </x:c>
      <x:c r="T621" s="13" t="b">
        <x:v>0</x:v>
      </x:c>
    </x:row>
    <x:row r="622" ht="23" customHeight="1">
      <x:c r="A622" s="2" t="str">
        <x:v>CAN</x:v>
      </x:c>
      <x:c r="B622" s="2" t="str">
        <x:v>Canada</x:v>
      </x:c>
      <x:c r="C622" s="2" t="n">
        <x:v>2020</x:v>
      </x:c>
      <x:c r="D622" s="2" t="str">
        <x:v>GHSL_VOLUME</x:v>
      </x:c>
      <x:c r="E622" s="2" t="str">
        <x:v>volume</x:v>
      </x:c>
      <x:c r="F622" s="2" t="str">
        <x:v>m3</x:v>
      </x:c>
      <x:c r="G622" s="17" t="n">
        <x:v>8910828189.5</x:v>
      </x:c>
      <x:c r="H622" s="17" t="n">
        <x:v>27711309978.321568</x:v>
      </x:c>
      <x:c r="I622" s="17" t="str">
        <x:f>IF(AND(L622,ISNUMBER(G622),ISNUMBER(H622)),G622-H622,"n.a.")</x:f>
        <x:v>n.a.</x:v>
      </x:c>
      <x:c r="J622" s="15" t="str">
        <x:f>IF(AND(L622,ISNUMBER(G622),ISNUMBER(H622),H622&gt;0),(G622-H622)/H622,"n.a.")</x:f>
        <x:v>n.a.</x:v>
      </x:c>
      <x:c r="K622" s="19" t="str">
        <x:f>IF(ISNUMBER(J622),ABS(J622),"n.a.")</x:f>
        <x:v>n.a.</x:v>
      </x:c>
      <x:c r="L622" s="13" t="b">
        <x:v>0</x:v>
      </x:c>
      <x:c r="M622" s="13" t="b">
        <x:v>1</x:v>
      </x:c>
      <x:c r="N622" s="2" t="str">
        <x:v>source_support_or_logical_consistency_failed</x:v>
      </x:c>
      <x:c r="O622" s="2" t="str">
        <x:v>none</x:v>
      </x:c>
      <x:c r="P622" s="2" t="str">
        <x:v>modeled_epoch_volume_with_fixed2018_height_and_predominant_use</x:v>
      </x:c>
      <x:c r="Q622" s="2" t="str">
        <x:v>Only qualified source rows admitted; CAN/PAK/TUV/USA fail source checks; PSE unmapped in retained table</x:v>
      </x:c>
      <x:c r="R622" s="2" t="str">
        <x:v>https://human-settlement.emergency.copernicus.eu/ghs_buV2023.php</x:v>
      </x:c>
      <x:c r="S622" s="13" t="b">
        <x:v>0</x:v>
      </x:c>
      <x:c r="T622" s="13" t="b">
        <x:v>0</x:v>
      </x:c>
    </x:row>
    <x:row r="623" ht="23" customHeight="1">
      <x:c r="A623" s="2" t="str">
        <x:v>CHE</x:v>
      </x:c>
      <x:c r="B623" s="2" t="str">
        <x:v>Switzerland (Swiss Confederation)</x:v>
      </x:c>
      <x:c r="C623" s="2" t="n">
        <x:v>2020</x:v>
      </x:c>
      <x:c r="D623" s="2" t="str">
        <x:v>GHSL_VOLUME</x:v>
      </x:c>
      <x:c r="E623" s="2" t="str">
        <x:v>volume</x:v>
      </x:c>
      <x:c r="F623" s="2" t="str">
        <x:v>m3</x:v>
      </x:c>
      <x:c r="G623" s="17" t="n">
        <x:v>1881753387.57</x:v>
      </x:c>
      <x:c r="H623" s="17" t="n">
        <x:v>4435282669.780392</x:v>
      </x:c>
      <x:c r="I623" s="17" t="n">
        <x:f>IF(AND(L623,ISNUMBER(G623),ISNUMBER(H623)),G623-H623,"n.a.")</x:f>
        <x:v>-2553529282.210392</x:v>
      </x:c>
      <x:c r="J623" s="15" t="n">
        <x:f>IF(AND(L623,ISNUMBER(G623),ISNUMBER(H623),H623&gt;0),(G623-H623)/H623,"n.a.")</x:f>
        <x:v>-0.5757308997707754</x:v>
      </x:c>
      <x:c r="K623" s="19" t="n">
        <x:f>IF(ISNUMBER(J623),ABS(J623),"n.a.")</x:f>
        <x:v>0.5757308997707754</x:v>
      </x:c>
      <x:c r="L623" s="13" t="b">
        <x:v>1</x:v>
      </x:c>
      <x:c r="M623" s="13" t="b">
        <x:v>1</x:v>
      </x:c>
      <x:c r="N623" s="2" t="str">
        <x:v>qualified_paired_native_source_frame</x:v>
      </x:c>
      <x:c r="O623" s="2" t="str">
        <x:v>none</x:v>
      </x:c>
      <x:c r="P623" s="2" t="str">
        <x:v>modeled_epoch_volume_with_fixed2018_height_and_predominant_use</x:v>
      </x:c>
      <x:c r="Q623" s="2" t="str">
        <x:v>Only qualified source rows admitted; CAN/PAK/TUV/USA fail source checks; PSE unmapped in retained table</x:v>
      </x:c>
      <x:c r="R623" s="2" t="str">
        <x:v>https://human-settlement.emergency.copernicus.eu/ghs_buV2023.php</x:v>
      </x:c>
      <x:c r="S623" s="13" t="b">
        <x:v>0</x:v>
      </x:c>
      <x:c r="T623" s="13" t="b">
        <x:v>0</x:v>
      </x:c>
    </x:row>
    <x:row r="624" ht="23" customHeight="1">
      <x:c r="A624" s="2" t="str">
        <x:v>CHL</x:v>
      </x:c>
      <x:c r="B624" s="2" t="str">
        <x:v>Chile (Republic of)</x:v>
      </x:c>
      <x:c r="C624" s="2" t="n">
        <x:v>2020</x:v>
      </x:c>
      <x:c r="D624" s="2" t="str">
        <x:v>GHSL_VOLUME</x:v>
      </x:c>
      <x:c r="E624" s="2" t="str">
        <x:v>volume</x:v>
      </x:c>
      <x:c r="F624" s="2" t="str">
        <x:v>m3</x:v>
      </x:c>
      <x:c r="G624" s="17" t="n">
        <x:v>2931309348.39</x:v>
      </x:c>
      <x:c r="H624" s="17" t="n">
        <x:v>6854307501.894117</x:v>
      </x:c>
      <x:c r="I624" s="17" t="n">
        <x:f>IF(AND(L624,ISNUMBER(G624),ISNUMBER(H624)),G624-H624,"n.a.")</x:f>
        <x:v>-3922998153.5041175</x:v>
      </x:c>
      <x:c r="J624" s="15" t="n">
        <x:f>IF(AND(L624,ISNUMBER(G624),ISNUMBER(H624),H624&gt;0),(G624-H624)/H624,"n.a.")</x:f>
        <x:v>-0.5723405540851555</x:v>
      </x:c>
      <x:c r="K624" s="19" t="n">
        <x:f>IF(ISNUMBER(J624),ABS(J624),"n.a.")</x:f>
        <x:v>0.5723405540851555</x:v>
      </x:c>
      <x:c r="L624" s="13" t="b">
        <x:v>1</x:v>
      </x:c>
      <x:c r="M624" s="13" t="b">
        <x:v>1</x:v>
      </x:c>
      <x:c r="N624" s="2" t="str">
        <x:v>qualified_paired_native_source_frame</x:v>
      </x:c>
      <x:c r="O624" s="2" t="str">
        <x:v>none</x:v>
      </x:c>
      <x:c r="P624" s="2" t="str">
        <x:v>modeled_epoch_volume_with_fixed2018_height_and_predominant_use</x:v>
      </x:c>
      <x:c r="Q624" s="2" t="str">
        <x:v>Only qualified source rows admitted; CAN/PAK/TUV/USA fail source checks; PSE unmapped in retained table</x:v>
      </x:c>
      <x:c r="R624" s="2" t="str">
        <x:v>https://human-settlement.emergency.copernicus.eu/ghs_buV2023.php</x:v>
      </x:c>
      <x:c r="S624" s="13" t="b">
        <x:v>0</x:v>
      </x:c>
      <x:c r="T624" s="13" t="b">
        <x:v>0</x:v>
      </x:c>
    </x:row>
    <x:row r="625" ht="23" customHeight="1">
      <x:c r="A625" s="2" t="str">
        <x:v>CHN</x:v>
      </x:c>
      <x:c r="B625" s="2" t="str">
        <x:v>China (People's Republic of)</x:v>
      </x:c>
      <x:c r="C625" s="2" t="n">
        <x:v>2020</x:v>
      </x:c>
      <x:c r="D625" s="2" t="str">
        <x:v>GHSL_VOLUME</x:v>
      </x:c>
      <x:c r="E625" s="2" t="str">
        <x:v>volume</x:v>
      </x:c>
      <x:c r="F625" s="2" t="str">
        <x:v>m3</x:v>
      </x:c>
      <x:c r="G625" s="17" t="n">
        <x:v>294573212122.84</x:v>
      </x:c>
      <x:c r="H625" s="17" t="n">
        <x:v>521226017294.9059</x:v>
      </x:c>
      <x:c r="I625" s="17" t="n">
        <x:f>IF(AND(L625,ISNUMBER(G625),ISNUMBER(H625)),G625-H625,"n.a.")</x:f>
        <x:v>-226652805172.06586</x:v>
      </x:c>
      <x:c r="J625" s="15" t="n">
        <x:f>IF(AND(L625,ISNUMBER(G625),ISNUMBER(H625),H625&gt;0),(G625-H625)/H625,"n.a.")</x:f>
        <x:v>-0.4348455327467419</x:v>
      </x:c>
      <x:c r="K625" s="19" t="n">
        <x:f>IF(ISNUMBER(J625),ABS(J625),"n.a.")</x:f>
        <x:v>0.4348455327467419</x:v>
      </x:c>
      <x:c r="L625" s="13" t="b">
        <x:v>1</x:v>
      </x:c>
      <x:c r="M625" s="13" t="b">
        <x:v>1</x:v>
      </x:c>
      <x:c r="N625" s="2" t="str">
        <x:v>qualified_paired_native_source_frame</x:v>
      </x:c>
      <x:c r="O625" s="2" t="str">
        <x:v>none</x:v>
      </x:c>
      <x:c r="P625" s="2" t="str">
        <x:v>modeled_epoch_volume_with_fixed2018_height_and_predominant_use</x:v>
      </x:c>
      <x:c r="Q625" s="2" t="str">
        <x:v>Only qualified source rows admitted; CAN/PAK/TUV/USA fail source checks; PSE unmapped in retained table</x:v>
      </x:c>
      <x:c r="R625" s="2" t="str">
        <x:v>https://human-settlement.emergency.copernicus.eu/ghs_buV2023.php</x:v>
      </x:c>
      <x:c r="S625" s="13" t="b">
        <x:v>0</x:v>
      </x:c>
      <x:c r="T625" s="13" t="b">
        <x:v>0</x:v>
      </x:c>
    </x:row>
    <x:row r="626" ht="23" customHeight="1">
      <x:c r="A626" s="2" t="str">
        <x:v>CIV</x:v>
      </x:c>
      <x:c r="B626" s="2" t="str">
        <x:v>Côte d'Ivoire (Republic of)</x:v>
      </x:c>
      <x:c r="C626" s="2" t="n">
        <x:v>2020</x:v>
      </x:c>
      <x:c r="D626" s="2" t="str">
        <x:v>GHSL_VOLUME</x:v>
      </x:c>
      <x:c r="E626" s="2" t="str">
        <x:v>volume</x:v>
      </x:c>
      <x:c r="F626" s="2" t="str">
        <x:v>m3</x:v>
      </x:c>
      <x:c r="G626" s="17" t="n">
        <x:v>1475346058.37</x:v>
      </x:c>
      <x:c r="H626" s="17" t="n">
        <x:v>6443917536.313725</x:v>
      </x:c>
      <x:c r="I626" s="17" t="n">
        <x:f>IF(AND(L626,ISNUMBER(G626),ISNUMBER(H626)),G626-H626,"n.a.")</x:f>
        <x:v>-4968571477.943726</x:v>
      </x:c>
      <x:c r="J626" s="15" t="n">
        <x:f>IF(AND(L626,ISNUMBER(G626),ISNUMBER(H626),H626&gt;0),(G626-H626)/H626,"n.a.")</x:f>
        <x:v>-0.7710482714814537</x:v>
      </x:c>
      <x:c r="K626" s="19" t="n">
        <x:f>IF(ISNUMBER(J626),ABS(J626),"n.a.")</x:f>
        <x:v>0.7710482714814537</x:v>
      </x:c>
      <x:c r="L626" s="13" t="b">
        <x:v>1</x:v>
      </x:c>
      <x:c r="M626" s="13" t="b">
        <x:v>1</x:v>
      </x:c>
      <x:c r="N626" s="2" t="str">
        <x:v>qualified_paired_native_source_frame</x:v>
      </x:c>
      <x:c r="O626" s="2" t="str">
        <x:v>none</x:v>
      </x:c>
      <x:c r="P626" s="2" t="str">
        <x:v>modeled_epoch_volume_with_fixed2018_height_and_predominant_use</x:v>
      </x:c>
      <x:c r="Q626" s="2" t="str">
        <x:v>Only qualified source rows admitted; CAN/PAK/TUV/USA fail source checks; PSE unmapped in retained table</x:v>
      </x:c>
      <x:c r="R626" s="2" t="str">
        <x:v>https://human-settlement.emergency.copernicus.eu/ghs_buV2023.php</x:v>
      </x:c>
      <x:c r="S626" s="13" t="b">
        <x:v>0</x:v>
      </x:c>
      <x:c r="T626" s="13" t="b">
        <x:v>0</x:v>
      </x:c>
    </x:row>
    <x:row r="627" ht="23" customHeight="1">
      <x:c r="A627" s="2" t="str">
        <x:v>CMR</x:v>
      </x:c>
      <x:c r="B627" s="2" t="str">
        <x:v>Cameroon (Republic of)</x:v>
      </x:c>
      <x:c r="C627" s="2" t="n">
        <x:v>2020</x:v>
      </x:c>
      <x:c r="D627" s="2" t="str">
        <x:v>GHSL_VOLUME</x:v>
      </x:c>
      <x:c r="E627" s="2" t="str">
        <x:v>volume</x:v>
      </x:c>
      <x:c r="F627" s="2" t="str">
        <x:v>m3</x:v>
      </x:c>
      <x:c r="G627" s="17" t="n">
        <x:v>1306842249.94</x:v>
      </x:c>
      <x:c r="H627" s="17" t="n">
        <x:v>6071964103.368628</x:v>
      </x:c>
      <x:c r="I627" s="17" t="n">
        <x:f>IF(AND(L627,ISNUMBER(G627),ISNUMBER(H627)),G627-H627,"n.a.")</x:f>
        <x:v>-4765121853.428627</x:v>
      </x:c>
      <x:c r="J627" s="15" t="n">
        <x:f>IF(AND(L627,ISNUMBER(G627),ISNUMBER(H627),H627&gt;0),(G627-H627)/H627,"n.a.")</x:f>
        <x:v>-0.7847743781596164</x:v>
      </x:c>
      <x:c r="K627" s="19" t="n">
        <x:f>IF(ISNUMBER(J627),ABS(J627),"n.a.")</x:f>
        <x:v>0.7847743781596164</x:v>
      </x:c>
      <x:c r="L627" s="13" t="b">
        <x:v>1</x:v>
      </x:c>
      <x:c r="M627" s="13" t="b">
        <x:v>1</x:v>
      </x:c>
      <x:c r="N627" s="2" t="str">
        <x:v>qualified_paired_native_source_frame</x:v>
      </x:c>
      <x:c r="O627" s="2" t="str">
        <x:v>none</x:v>
      </x:c>
      <x:c r="P627" s="2" t="str">
        <x:v>modeled_epoch_volume_with_fixed2018_height_and_predominant_use</x:v>
      </x:c>
      <x:c r="Q627" s="2" t="str">
        <x:v>Only qualified source rows admitted; CAN/PAK/TUV/USA fail source checks; PSE unmapped in retained table</x:v>
      </x:c>
      <x:c r="R627" s="2" t="str">
        <x:v>https://human-settlement.emergency.copernicus.eu/ghs_buV2023.php</x:v>
      </x:c>
      <x:c r="S627" s="13" t="b">
        <x:v>0</x:v>
      </x:c>
      <x:c r="T627" s="13" t="b">
        <x:v>0</x:v>
      </x:c>
    </x:row>
    <x:row r="628" ht="23" customHeight="1">
      <x:c r="A628" s="2" t="str">
        <x:v>COD</x:v>
      </x:c>
      <x:c r="B628" s="2" t="str">
        <x:v>Congo (Democratic Republic of the)</x:v>
      </x:c>
      <x:c r="C628" s="2" t="n">
        <x:v>2020</x:v>
      </x:c>
      <x:c r="D628" s="2" t="str">
        <x:v>GHSL_VOLUME</x:v>
      </x:c>
      <x:c r="E628" s="2" t="str">
        <x:v>volume</x:v>
      </x:c>
      <x:c r="F628" s="2" t="str">
        <x:v>m3</x:v>
      </x:c>
      <x:c r="G628" s="17" t="n">
        <x:v>2095322526.52</x:v>
      </x:c>
      <x:c r="H628" s="17" t="n">
        <x:v>12601329216.572548</x:v>
      </x:c>
      <x:c r="I628" s="17" t="n">
        <x:f>IF(AND(L628,ISNUMBER(G628),ISNUMBER(H628)),G628-H628,"n.a.")</x:f>
        <x:v>-10506006690.052547</x:v>
      </x:c>
      <x:c r="J628" s="15" t="n">
        <x:f>IF(AND(L628,ISNUMBER(G628),ISNUMBER(H628),H628&gt;0),(G628-H628)/H628,"n.a.")</x:f>
        <x:v>-0.8337221026045132</x:v>
      </x:c>
      <x:c r="K628" s="19" t="n">
        <x:f>IF(ISNUMBER(J628),ABS(J628),"n.a.")</x:f>
        <x:v>0.8337221026045132</x:v>
      </x:c>
      <x:c r="L628" s="13" t="b">
        <x:v>1</x:v>
      </x:c>
      <x:c r="M628" s="13" t="b">
        <x:v>1</x:v>
      </x:c>
      <x:c r="N628" s="2" t="str">
        <x:v>qualified_paired_native_source_frame</x:v>
      </x:c>
      <x:c r="O628" s="2" t="str">
        <x:v>none</x:v>
      </x:c>
      <x:c r="P628" s="2" t="str">
        <x:v>modeled_epoch_volume_with_fixed2018_height_and_predominant_use</x:v>
      </x:c>
      <x:c r="Q628" s="2" t="str">
        <x:v>Only qualified source rows admitted; CAN/PAK/TUV/USA fail source checks; PSE unmapped in retained table</x:v>
      </x:c>
      <x:c r="R628" s="2" t="str">
        <x:v>https://human-settlement.emergency.copernicus.eu/ghs_buV2023.php</x:v>
      </x:c>
      <x:c r="S628" s="13" t="b">
        <x:v>0</x:v>
      </x:c>
      <x:c r="T628" s="13" t="b">
        <x:v>0</x:v>
      </x:c>
    </x:row>
    <x:row r="629" ht="23" customHeight="1">
      <x:c r="A629" s="2" t="str">
        <x:v>COG</x:v>
      </x:c>
      <x:c r="B629" s="2" t="str">
        <x:v>Congo (Republic of the)</x:v>
      </x:c>
      <x:c r="C629" s="2" t="n">
        <x:v>2020</x:v>
      </x:c>
      <x:c r="D629" s="2" t="str">
        <x:v>GHSL_VOLUME</x:v>
      </x:c>
      <x:c r="E629" s="2" t="str">
        <x:v>volume</x:v>
      </x:c>
      <x:c r="F629" s="2" t="str">
        <x:v>m3</x:v>
      </x:c>
      <x:c r="G629" s="17" t="n">
        <x:v>284819662.07</x:v>
      </x:c>
      <x:c r="H629" s="17" t="n">
        <x:v>1356832453.8352942</x:v>
      </x:c>
      <x:c r="I629" s="17" t="n">
        <x:f>IF(AND(L629,ISNUMBER(G629),ISNUMBER(H629)),G629-H629,"n.a.")</x:f>
        <x:v>-1072012791.7652943</x:v>
      </x:c>
      <x:c r="J629" s="15" t="n">
        <x:f>IF(AND(L629,ISNUMBER(G629),ISNUMBER(H629),H629&gt;0),(G629-H629)/H629,"n.a.")</x:f>
        <x:v>-0.7900848691635333</x:v>
      </x:c>
      <x:c r="K629" s="19" t="n">
        <x:f>IF(ISNUMBER(J629),ABS(J629),"n.a.")</x:f>
        <x:v>0.7900848691635333</x:v>
      </x:c>
      <x:c r="L629" s="13" t="b">
        <x:v>1</x:v>
      </x:c>
      <x:c r="M629" s="13" t="b">
        <x:v>1</x:v>
      </x:c>
      <x:c r="N629" s="2" t="str">
        <x:v>qualified_paired_native_source_frame</x:v>
      </x:c>
      <x:c r="O629" s="2" t="str">
        <x:v>none</x:v>
      </x:c>
      <x:c r="P629" s="2" t="str">
        <x:v>modeled_epoch_volume_with_fixed2018_height_and_predominant_use</x:v>
      </x:c>
      <x:c r="Q629" s="2" t="str">
        <x:v>Only qualified source rows admitted; CAN/PAK/TUV/USA fail source checks; PSE unmapped in retained table</x:v>
      </x:c>
      <x:c r="R629" s="2" t="str">
        <x:v>https://human-settlement.emergency.copernicus.eu/ghs_buV2023.php</x:v>
      </x:c>
      <x:c r="S629" s="13" t="b">
        <x:v>0</x:v>
      </x:c>
      <x:c r="T629" s="13" t="b">
        <x:v>0</x:v>
      </x:c>
    </x:row>
    <x:row r="630" ht="23" customHeight="1">
      <x:c r="A630" s="2" t="str">
        <x:v>COL</x:v>
      </x:c>
      <x:c r="B630" s="2" t="str">
        <x:v>Colombia (Republic of)</x:v>
      </x:c>
      <x:c r="C630" s="2" t="n">
        <x:v>2020</x:v>
      </x:c>
      <x:c r="D630" s="2" t="str">
        <x:v>GHSL_VOLUME</x:v>
      </x:c>
      <x:c r="E630" s="2" t="str">
        <x:v>volume</x:v>
      </x:c>
      <x:c r="F630" s="2" t="str">
        <x:v>m3</x:v>
      </x:c>
      <x:c r="G630" s="17" t="n">
        <x:v>4507158850.32</x:v>
      </x:c>
      <x:c r="H630" s="17" t="n">
        <x:v>9929835615.784313</x:v>
      </x:c>
      <x:c r="I630" s="17" t="n">
        <x:f>IF(AND(L630,ISNUMBER(G630),ISNUMBER(H630)),G630-H630,"n.a.")</x:f>
        <x:v>-5422676765.4643135</x:v>
      </x:c>
      <x:c r="J630" s="15" t="n">
        <x:f>IF(AND(L630,ISNUMBER(G630),ISNUMBER(H630),H630&gt;0),(G630-H630)/H630,"n.a.")</x:f>
        <x:v>-0.5460993490007539</x:v>
      </x:c>
      <x:c r="K630" s="19" t="n">
        <x:f>IF(ISNUMBER(J630),ABS(J630),"n.a.")</x:f>
        <x:v>0.5460993490007539</x:v>
      </x:c>
      <x:c r="L630" s="13" t="b">
        <x:v>1</x:v>
      </x:c>
      <x:c r="M630" s="13" t="b">
        <x:v>1</x:v>
      </x:c>
      <x:c r="N630" s="2" t="str">
        <x:v>qualified_paired_native_source_frame</x:v>
      </x:c>
      <x:c r="O630" s="2" t="str">
        <x:v>none</x:v>
      </x:c>
      <x:c r="P630" s="2" t="str">
        <x:v>modeled_epoch_volume_with_fixed2018_height_and_predominant_use</x:v>
      </x:c>
      <x:c r="Q630" s="2" t="str">
        <x:v>Only qualified source rows admitted; CAN/PAK/TUV/USA fail source checks; PSE unmapped in retained table</x:v>
      </x:c>
      <x:c r="R630" s="2" t="str">
        <x:v>https://human-settlement.emergency.copernicus.eu/ghs_buV2023.php</x:v>
      </x:c>
      <x:c r="S630" s="13" t="b">
        <x:v>0</x:v>
      </x:c>
      <x:c r="T630" s="13" t="b">
        <x:v>0</x:v>
      </x:c>
    </x:row>
    <x:row r="631" ht="23" customHeight="1">
      <x:c r="A631" s="2" t="str">
        <x:v>COM</x:v>
      </x:c>
      <x:c r="B631" s="2" t="str">
        <x:v>Comoros (Union of the)</x:v>
      </x:c>
      <x:c r="C631" s="2" t="n">
        <x:v>2020</x:v>
      </x:c>
      <x:c r="D631" s="2" t="str">
        <x:v>GHSL_VOLUME</x:v>
      </x:c>
      <x:c r="E631" s="2" t="str">
        <x:v>volume</x:v>
      </x:c>
      <x:c r="F631" s="2" t="str">
        <x:v>m3</x:v>
      </x:c>
      <x:c r="G631" s="17" t="n">
        <x:v>47134266.27</x:v>
      </x:c>
      <x:c r="H631" s="17" t="n">
        <x:v>135192764.73725492</x:v>
      </x:c>
      <x:c r="I631" s="17" t="n">
        <x:f>IF(AND(L631,ISNUMBER(G631),ISNUMBER(H631)),G631-H631,"n.a.")</x:f>
        <x:v>-88058498.4672549</x:v>
      </x:c>
      <x:c r="J631" s="15" t="n">
        <x:f>IF(AND(L631,ISNUMBER(G631),ISNUMBER(H631),H631&gt;0),(G631-H631)/H631,"n.a.")</x:f>
        <x:v>-0.6513551123715479</x:v>
      </x:c>
      <x:c r="K631" s="19" t="n">
        <x:f>IF(ISNUMBER(J631),ABS(J631),"n.a.")</x:f>
        <x:v>0.6513551123715479</x:v>
      </x:c>
      <x:c r="L631" s="13" t="b">
        <x:v>1</x:v>
      </x:c>
      <x:c r="M631" s="13" t="b">
        <x:v>1</x:v>
      </x:c>
      <x:c r="N631" s="2" t="str">
        <x:v>qualified_paired_native_source_frame</x:v>
      </x:c>
      <x:c r="O631" s="2" t="str">
        <x:v>none</x:v>
      </x:c>
      <x:c r="P631" s="2" t="str">
        <x:v>modeled_epoch_volume_with_fixed2018_height_and_predominant_use</x:v>
      </x:c>
      <x:c r="Q631" s="2" t="str">
        <x:v>Only qualified source rows admitted; CAN/PAK/TUV/USA fail source checks; PSE unmapped in retained table</x:v>
      </x:c>
      <x:c r="R631" s="2" t="str">
        <x:v>https://human-settlement.emergency.copernicus.eu/ghs_buV2023.php</x:v>
      </x:c>
      <x:c r="S631" s="13" t="b">
        <x:v>0</x:v>
      </x:c>
      <x:c r="T631" s="13" t="b">
        <x:v>0</x:v>
      </x:c>
    </x:row>
    <x:row r="632" ht="23" customHeight="1">
      <x:c r="A632" s="2" t="str">
        <x:v>CPV</x:v>
      </x:c>
      <x:c r="B632" s="2" t="str">
        <x:v>Cabo Verde (Republic of)</x:v>
      </x:c>
      <x:c r="C632" s="2" t="n">
        <x:v>2020</x:v>
      </x:c>
      <x:c r="D632" s="2" t="str">
        <x:v>GHSL_VOLUME</x:v>
      </x:c>
      <x:c r="E632" s="2" t="str">
        <x:v>volume</x:v>
      </x:c>
      <x:c r="F632" s="2" t="str">
        <x:v>m3</x:v>
      </x:c>
      <x:c r="G632" s="17" t="n">
        <x:v>64544419.93</x:v>
      </x:c>
      <x:c r="H632" s="17" t="n">
        <x:v>130584032.545098</x:v>
      </x:c>
      <x:c r="I632" s="17" t="n">
        <x:f>IF(AND(L632,ISNUMBER(G632),ISNUMBER(H632)),G632-H632,"n.a.")</x:f>
        <x:v>-66039612.61509801</x:v>
      </x:c>
      <x:c r="J632" s="15" t="n">
        <x:f>IF(AND(L632,ISNUMBER(G632),ISNUMBER(H632),H632&gt;0),(G632-H632)/H632,"n.a.")</x:f>
        <x:v>-0.5057250211069322</x:v>
      </x:c>
      <x:c r="K632" s="19" t="n">
        <x:f>IF(ISNUMBER(J632),ABS(J632),"n.a.")</x:f>
        <x:v>0.5057250211069322</x:v>
      </x:c>
      <x:c r="L632" s="13" t="b">
        <x:v>1</x:v>
      </x:c>
      <x:c r="M632" s="13" t="b">
        <x:v>1</x:v>
      </x:c>
      <x:c r="N632" s="2" t="str">
        <x:v>qualified_paired_native_source_frame</x:v>
      </x:c>
      <x:c r="O632" s="2" t="str">
        <x:v>none</x:v>
      </x:c>
      <x:c r="P632" s="2" t="str">
        <x:v>modeled_epoch_volume_with_fixed2018_height_and_predominant_use</x:v>
      </x:c>
      <x:c r="Q632" s="2" t="str">
        <x:v>Only qualified source rows admitted; CAN/PAK/TUV/USA fail source checks; PSE unmapped in retained table</x:v>
      </x:c>
      <x:c r="R632" s="2" t="str">
        <x:v>https://human-settlement.emergency.copernicus.eu/ghs_buV2023.php</x:v>
      </x:c>
      <x:c r="S632" s="13" t="b">
        <x:v>0</x:v>
      </x:c>
      <x:c r="T632" s="13" t="b">
        <x:v>0</x:v>
      </x:c>
    </x:row>
    <x:row r="633" ht="23" customHeight="1">
      <x:c r="A633" s="2" t="str">
        <x:v>CRI</x:v>
      </x:c>
      <x:c r="B633" s="2" t="str">
        <x:v>Costa Rica (Republic of)</x:v>
      </x:c>
      <x:c r="C633" s="2" t="n">
        <x:v>2020</x:v>
      </x:c>
      <x:c r="D633" s="2" t="str">
        <x:v>GHSL_VOLUME</x:v>
      </x:c>
      <x:c r="E633" s="2" t="str">
        <x:v>volume</x:v>
      </x:c>
      <x:c r="F633" s="2" t="str">
        <x:v>m3</x:v>
      </x:c>
      <x:c r="G633" s="17" t="n">
        <x:v>753150522.26</x:v>
      </x:c>
      <x:c r="H633" s="17" t="n">
        <x:v>1895073761.6784313</x:v>
      </x:c>
      <x:c r="I633" s="17" t="n">
        <x:f>IF(AND(L633,ISNUMBER(G633),ISNUMBER(H633)),G633-H633,"n.a.")</x:f>
        <x:v>-1141923239.4184313</x:v>
      </x:c>
      <x:c r="J633" s="15" t="n">
        <x:f>IF(AND(L633,ISNUMBER(G633),ISNUMBER(H633),H633&gt;0),(G633-H633)/H633,"n.a.")</x:f>
        <x:v>-0.6025745606899497</x:v>
      </x:c>
      <x:c r="K633" s="19" t="n">
        <x:f>IF(ISNUMBER(J633),ABS(J633),"n.a.")</x:f>
        <x:v>0.6025745606899497</x:v>
      </x:c>
      <x:c r="L633" s="13" t="b">
        <x:v>1</x:v>
      </x:c>
      <x:c r="M633" s="13" t="b">
        <x:v>1</x:v>
      </x:c>
      <x:c r="N633" s="2" t="str">
        <x:v>qualified_paired_native_source_frame</x:v>
      </x:c>
      <x:c r="O633" s="2" t="str">
        <x:v>none</x:v>
      </x:c>
      <x:c r="P633" s="2" t="str">
        <x:v>modeled_epoch_volume_with_fixed2018_height_and_predominant_use</x:v>
      </x:c>
      <x:c r="Q633" s="2" t="str">
        <x:v>Only qualified source rows admitted; CAN/PAK/TUV/USA fail source checks; PSE unmapped in retained table</x:v>
      </x:c>
      <x:c r="R633" s="2" t="str">
        <x:v>https://human-settlement.emergency.copernicus.eu/ghs_buV2023.php</x:v>
      </x:c>
      <x:c r="S633" s="13" t="b">
        <x:v>0</x:v>
      </x:c>
      <x:c r="T633" s="13" t="b">
        <x:v>0</x:v>
      </x:c>
    </x:row>
    <x:row r="634" ht="23" customHeight="1">
      <x:c r="A634" s="2" t="str">
        <x:v>CUB</x:v>
      </x:c>
      <x:c r="B634" s="2" t="str">
        <x:v>Cuba (Republic of)</x:v>
      </x:c>
      <x:c r="C634" s="2" t="n">
        <x:v>2020</x:v>
      </x:c>
      <x:c r="D634" s="2" t="str">
        <x:v>GHSL_VOLUME</x:v>
      </x:c>
      <x:c r="E634" s="2" t="str">
        <x:v>volume</x:v>
      </x:c>
      <x:c r="F634" s="2" t="str">
        <x:v>m3</x:v>
      </x:c>
      <x:c r="G634" s="17" t="n">
        <x:v>934386713.42</x:v>
      </x:c>
      <x:c r="H634" s="17" t="n">
        <x:v>2052274926.6549013</x:v>
      </x:c>
      <x:c r="I634" s="17" t="n">
        <x:f>IF(AND(L634,ISNUMBER(G634),ISNUMBER(H634)),G634-H634,"n.a.")</x:f>
        <x:v>-1117888213.2349014</x:v>
      </x:c>
      <x:c r="J634" s="15" t="n">
        <x:f>IF(AND(L634,ISNUMBER(G634),ISNUMBER(H634),H634&gt;0),(G634-H634)/H634,"n.a.")</x:f>
        <x:v>-0.5447068512682166</x:v>
      </x:c>
      <x:c r="K634" s="19" t="n">
        <x:f>IF(ISNUMBER(J634),ABS(J634),"n.a.")</x:f>
        <x:v>0.5447068512682166</x:v>
      </x:c>
      <x:c r="L634" s="13" t="b">
        <x:v>1</x:v>
      </x:c>
      <x:c r="M634" s="13" t="b">
        <x:v>1</x:v>
      </x:c>
      <x:c r="N634" s="2" t="str">
        <x:v>qualified_paired_native_source_frame</x:v>
      </x:c>
      <x:c r="O634" s="2" t="str">
        <x:v>none</x:v>
      </x:c>
      <x:c r="P634" s="2" t="str">
        <x:v>modeled_epoch_volume_with_fixed2018_height_and_predominant_use</x:v>
      </x:c>
      <x:c r="Q634" s="2" t="str">
        <x:v>Only qualified source rows admitted; CAN/PAK/TUV/USA fail source checks; PSE unmapped in retained table</x:v>
      </x:c>
      <x:c r="R634" s="2" t="str">
        <x:v>https://human-settlement.emergency.copernicus.eu/ghs_buV2023.php</x:v>
      </x:c>
      <x:c r="S634" s="13" t="b">
        <x:v>0</x:v>
      </x:c>
      <x:c r="T634" s="13" t="b">
        <x:v>0</x:v>
      </x:c>
    </x:row>
    <x:row r="635" ht="23" customHeight="1">
      <x:c r="A635" s="2" t="str">
        <x:v>CYP</x:v>
      </x:c>
      <x:c r="B635" s="2" t="str">
        <x:v>Cyprus (Republic of)</x:v>
      </x:c>
      <x:c r="C635" s="2" t="n">
        <x:v>2020</x:v>
      </x:c>
      <x:c r="D635" s="2" t="str">
        <x:v>GHSL_VOLUME</x:v>
      </x:c>
      <x:c r="E635" s="2" t="str">
        <x:v>volume</x:v>
      </x:c>
      <x:c r="F635" s="2" t="str">
        <x:v>m3</x:v>
      </x:c>
      <x:c r="G635" s="17" t="n">
        <x:v>354750518.03</x:v>
      </x:c>
      <x:c r="H635" s="17" t="n">
        <x:v>835513154.8901961</x:v>
      </x:c>
      <x:c r="I635" s="17" t="n">
        <x:f>IF(AND(L635,ISNUMBER(G635),ISNUMBER(H635)),G635-H635,"n.a.")</x:f>
        <x:v>-480762636.8601961</x:v>
      </x:c>
      <x:c r="J635" s="15" t="n">
        <x:f>IF(AND(L635,ISNUMBER(G635),ISNUMBER(H635),H635&gt;0),(G635-H635)/H635,"n.a.")</x:f>
        <x:v>-0.5754100148469576</x:v>
      </x:c>
      <x:c r="K635" s="19" t="n">
        <x:f>IF(ISNUMBER(J635),ABS(J635),"n.a.")</x:f>
        <x:v>0.5754100148469576</x:v>
      </x:c>
      <x:c r="L635" s="13" t="b">
        <x:v>1</x:v>
      </x:c>
      <x:c r="M635" s="13" t="b">
        <x:v>1</x:v>
      </x:c>
      <x:c r="N635" s="2" t="str">
        <x:v>qualified_paired_native_source_frame</x:v>
      </x:c>
      <x:c r="O635" s="2" t="str">
        <x:v>none</x:v>
      </x:c>
      <x:c r="P635" s="2" t="str">
        <x:v>modeled_epoch_volume_with_fixed2018_height_and_predominant_use</x:v>
      </x:c>
      <x:c r="Q635" s="2" t="str">
        <x:v>Only qualified source rows admitted; CAN/PAK/TUV/USA fail source checks; PSE unmapped in retained table</x:v>
      </x:c>
      <x:c r="R635" s="2" t="str">
        <x:v>https://human-settlement.emergency.copernicus.eu/ghs_buV2023.php</x:v>
      </x:c>
      <x:c r="S635" s="13" t="b">
        <x:v>0</x:v>
      </x:c>
      <x:c r="T635" s="13" t="b">
        <x:v>0</x:v>
      </x:c>
    </x:row>
    <x:row r="636" ht="23" customHeight="1">
      <x:c r="A636" s="2" t="str">
        <x:v>CZE</x:v>
      </x:c>
      <x:c r="B636" s="2" t="str">
        <x:v>Czechia (Czech Republic)</x:v>
      </x:c>
      <x:c r="C636" s="2" t="n">
        <x:v>2020</x:v>
      </x:c>
      <x:c r="D636" s="2" t="str">
        <x:v>GHSL_VOLUME</x:v>
      </x:c>
      <x:c r="E636" s="2" t="str">
        <x:v>volume</x:v>
      </x:c>
      <x:c r="F636" s="2" t="str">
        <x:v>m3</x:v>
      </x:c>
      <x:c r="G636" s="17" t="n">
        <x:v>2923786140.39</x:v>
      </x:c>
      <x:c r="H636" s="17" t="n">
        <x:v>5915070621.741177</x:v>
      </x:c>
      <x:c r="I636" s="17" t="n">
        <x:f>IF(AND(L636,ISNUMBER(G636),ISNUMBER(H636)),G636-H636,"n.a.")</x:f>
        <x:v>-2991284481.3511767</x:v>
      </x:c>
      <x:c r="J636" s="15" t="n">
        <x:f>IF(AND(L636,ISNUMBER(G636),ISNUMBER(H636),H636&gt;0),(G636-H636)/H636,"n.a.")</x:f>
        <x:v>-0.5057056242670276</x:v>
      </x:c>
      <x:c r="K636" s="19" t="n">
        <x:f>IF(ISNUMBER(J636),ABS(J636),"n.a.")</x:f>
        <x:v>0.5057056242670276</x:v>
      </x:c>
      <x:c r="L636" s="13" t="b">
        <x:v>1</x:v>
      </x:c>
      <x:c r="M636" s="13" t="b">
        <x:v>1</x:v>
      </x:c>
      <x:c r="N636" s="2" t="str">
        <x:v>qualified_paired_native_source_frame</x:v>
      </x:c>
      <x:c r="O636" s="2" t="str">
        <x:v>none</x:v>
      </x:c>
      <x:c r="P636" s="2" t="str">
        <x:v>modeled_epoch_volume_with_fixed2018_height_and_predominant_use</x:v>
      </x:c>
      <x:c r="Q636" s="2" t="str">
        <x:v>Only qualified source rows admitted; CAN/PAK/TUV/USA fail source checks; PSE unmapped in retained table</x:v>
      </x:c>
      <x:c r="R636" s="2" t="str">
        <x:v>https://human-settlement.emergency.copernicus.eu/ghs_buV2023.php</x:v>
      </x:c>
      <x:c r="S636" s="13" t="b">
        <x:v>0</x:v>
      </x:c>
      <x:c r="T636" s="13" t="b">
        <x:v>0</x:v>
      </x:c>
    </x:row>
    <x:row r="637" ht="23" customHeight="1">
      <x:c r="A637" s="2" t="str">
        <x:v>DEU</x:v>
      </x:c>
      <x:c r="B637" s="2" t="str">
        <x:v>Germany (Federal Republic of)</x:v>
      </x:c>
      <x:c r="C637" s="2" t="n">
        <x:v>2020</x:v>
      </x:c>
      <x:c r="D637" s="2" t="str">
        <x:v>GHSL_VOLUME</x:v>
      </x:c>
      <x:c r="E637" s="2" t="str">
        <x:v>volume</x:v>
      </x:c>
      <x:c r="F637" s="2" t="str">
        <x:v>m3</x:v>
      </x:c>
      <x:c r="G637" s="17" t="n">
        <x:v>23042163121.21</x:v>
      </x:c>
      <x:c r="H637" s="17" t="n">
        <x:v>53095142788.298035</x:v>
      </x:c>
      <x:c r="I637" s="17" t="n">
        <x:f>IF(AND(L637,ISNUMBER(G637),ISNUMBER(H637)),G637-H637,"n.a.")</x:f>
        <x:v>-30052979667.088036</x:v>
      </x:c>
      <x:c r="J637" s="15" t="n">
        <x:f>IF(AND(L637,ISNUMBER(G637),ISNUMBER(H637),H637&gt;0),(G637-H637)/H637,"n.a.")</x:f>
        <x:v>-0.5660212608696779</x:v>
      </x:c>
      <x:c r="K637" s="19" t="n">
        <x:f>IF(ISNUMBER(J637),ABS(J637),"n.a.")</x:f>
        <x:v>0.5660212608696779</x:v>
      </x:c>
      <x:c r="L637" s="13" t="b">
        <x:v>1</x:v>
      </x:c>
      <x:c r="M637" s="13" t="b">
        <x:v>1</x:v>
      </x:c>
      <x:c r="N637" s="2" t="str">
        <x:v>qualified_paired_native_source_frame</x:v>
      </x:c>
      <x:c r="O637" s="2" t="str">
        <x:v>none</x:v>
      </x:c>
      <x:c r="P637" s="2" t="str">
        <x:v>modeled_epoch_volume_with_fixed2018_height_and_predominant_use</x:v>
      </x:c>
      <x:c r="Q637" s="2" t="str">
        <x:v>Only qualified source rows admitted; CAN/PAK/TUV/USA fail source checks; PSE unmapped in retained table</x:v>
      </x:c>
      <x:c r="R637" s="2" t="str">
        <x:v>https://human-settlement.emergency.copernicus.eu/ghs_buV2023.php</x:v>
      </x:c>
      <x:c r="S637" s="13" t="b">
        <x:v>0</x:v>
      </x:c>
      <x:c r="T637" s="13" t="b">
        <x:v>0</x:v>
      </x:c>
    </x:row>
    <x:row r="638" ht="23" customHeight="1">
      <x:c r="A638" s="2" t="str">
        <x:v>DJI</x:v>
      </x:c>
      <x:c r="B638" s="2" t="str">
        <x:v>Djibouti (Republic of)</x:v>
      </x:c>
      <x:c r="C638" s="2" t="n">
        <x:v>2020</x:v>
      </x:c>
      <x:c r="D638" s="2" t="str">
        <x:v>GHSL_VOLUME</x:v>
      </x:c>
      <x:c r="E638" s="2" t="str">
        <x:v>volume</x:v>
      </x:c>
      <x:c r="F638" s="2" t="str">
        <x:v>m3</x:v>
      </x:c>
      <x:c r="G638" s="17" t="n">
        <x:v>37085097.63</x:v>
      </x:c>
      <x:c r="H638" s="17" t="n">
        <x:v>143146615.06274512</x:v>
      </x:c>
      <x:c r="I638" s="17" t="n">
        <x:f>IF(AND(L638,ISNUMBER(G638),ISNUMBER(H638)),G638-H638,"n.a.")</x:f>
        <x:v>-106061517.43274513</x:v>
      </x:c>
      <x:c r="J638" s="15" t="n">
        <x:f>IF(AND(L638,ISNUMBER(G638),ISNUMBER(H638),H638&gt;0),(G638-H638)/H638,"n.a.")</x:f>
        <x:v>-0.740929273013235</x:v>
      </x:c>
      <x:c r="K638" s="19" t="n">
        <x:f>IF(ISNUMBER(J638),ABS(J638),"n.a.")</x:f>
        <x:v>0.740929273013235</x:v>
      </x:c>
      <x:c r="L638" s="13" t="b">
        <x:v>1</x:v>
      </x:c>
      <x:c r="M638" s="13" t="b">
        <x:v>1</x:v>
      </x:c>
      <x:c r="N638" s="2" t="str">
        <x:v>qualified_paired_native_source_frame</x:v>
      </x:c>
      <x:c r="O638" s="2" t="str">
        <x:v>none</x:v>
      </x:c>
      <x:c r="P638" s="2" t="str">
        <x:v>modeled_epoch_volume_with_fixed2018_height_and_predominant_use</x:v>
      </x:c>
      <x:c r="Q638" s="2" t="str">
        <x:v>Only qualified source rows admitted; CAN/PAK/TUV/USA fail source checks; PSE unmapped in retained table</x:v>
      </x:c>
      <x:c r="R638" s="2" t="str">
        <x:v>https://human-settlement.emergency.copernicus.eu/ghs_buV2023.php</x:v>
      </x:c>
      <x:c r="S638" s="13" t="b">
        <x:v>0</x:v>
      </x:c>
      <x:c r="T638" s="13" t="b">
        <x:v>0</x:v>
      </x:c>
    </x:row>
    <x:row r="639" ht="23" customHeight="1">
      <x:c r="A639" s="2" t="str">
        <x:v>DMA</x:v>
      </x:c>
      <x:c r="B639" s="2" t="str">
        <x:v>Dominica (Commonwealth of)</x:v>
      </x:c>
      <x:c r="C639" s="2" t="n">
        <x:v>2020</x:v>
      </x:c>
      <x:c r="D639" s="2" t="str">
        <x:v>GHSL_VOLUME</x:v>
      </x:c>
      <x:c r="E639" s="2" t="str">
        <x:v>volume</x:v>
      </x:c>
      <x:c r="F639" s="2" t="str">
        <x:v>m3</x:v>
      </x:c>
      <x:c r="G639" s="17" t="n">
        <x:v>9453298.65</x:v>
      </x:c>
      <x:c r="H639" s="17" t="n">
        <x:v>19920845.07058823</x:v>
      </x:c>
      <x:c r="I639" s="17" t="n">
        <x:f>IF(AND(L639,ISNUMBER(G639),ISNUMBER(H639)),G639-H639,"n.a.")</x:f>
        <x:v>-10467546.42058823</x:v>
      </x:c>
      <x:c r="J639" s="15" t="n">
        <x:f>IF(AND(L639,ISNUMBER(G639),ISNUMBER(H639),H639&gt;0),(G639-H639)/H639,"n.a.")</x:f>
        <x:v>-0.5254569464044901</x:v>
      </x:c>
      <x:c r="K639" s="19" t="n">
        <x:f>IF(ISNUMBER(J639),ABS(J639),"n.a.")</x:f>
        <x:v>0.5254569464044901</x:v>
      </x:c>
      <x:c r="L639" s="13" t="b">
        <x:v>1</x:v>
      </x:c>
      <x:c r="M639" s="13" t="b">
        <x:v>1</x:v>
      </x:c>
      <x:c r="N639" s="2" t="str">
        <x:v>qualified_paired_native_source_frame</x:v>
      </x:c>
      <x:c r="O639" s="2" t="str">
        <x:v>none</x:v>
      </x:c>
      <x:c r="P639" s="2" t="str">
        <x:v>modeled_epoch_volume_with_fixed2018_height_and_predominant_use</x:v>
      </x:c>
      <x:c r="Q639" s="2" t="str">
        <x:v>Only qualified source rows admitted; CAN/PAK/TUV/USA fail source checks; PSE unmapped in retained table</x:v>
      </x:c>
      <x:c r="R639" s="2" t="str">
        <x:v>https://human-settlement.emergency.copernicus.eu/ghs_buV2023.php</x:v>
      </x:c>
      <x:c r="S639" s="13" t="b">
        <x:v>0</x:v>
      </x:c>
      <x:c r="T639" s="13" t="b">
        <x:v>0</x:v>
      </x:c>
    </x:row>
    <x:row r="640" ht="23" customHeight="1">
      <x:c r="A640" s="2" t="str">
        <x:v>DNK</x:v>
      </x:c>
      <x:c r="B640" s="2" t="str">
        <x:v>Denmark (Kingdom of)</x:v>
      </x:c>
      <x:c r="C640" s="2" t="n">
        <x:v>2020</x:v>
      </x:c>
      <x:c r="D640" s="2" t="str">
        <x:v>GHSL_VOLUME</x:v>
      </x:c>
      <x:c r="E640" s="2" t="str">
        <x:v>volume</x:v>
      </x:c>
      <x:c r="F640" s="2" t="str">
        <x:v>m3</x:v>
      </x:c>
      <x:c r="G640" s="17" t="n">
        <x:v>2223763225.87</x:v>
      </x:c>
      <x:c r="H640" s="17" t="n">
        <x:v>3743423894.384314</x:v>
      </x:c>
      <x:c r="I640" s="17" t="n">
        <x:f>IF(AND(L640,ISNUMBER(G640),ISNUMBER(H640)),G640-H640,"n.a.")</x:f>
        <x:v>-1519660668.5143142</x:v>
      </x:c>
      <x:c r="J640" s="15" t="n">
        <x:f>IF(AND(L640,ISNUMBER(G640),ISNUMBER(H640),H640&gt;0),(G640-H640)/H640,"n.a.")</x:f>
        <x:v>-0.4059547386001432</x:v>
      </x:c>
      <x:c r="K640" s="19" t="n">
        <x:f>IF(ISNUMBER(J640),ABS(J640),"n.a.")</x:f>
        <x:v>0.4059547386001432</x:v>
      </x:c>
      <x:c r="L640" s="13" t="b">
        <x:v>1</x:v>
      </x:c>
      <x:c r="M640" s="13" t="b">
        <x:v>1</x:v>
      </x:c>
      <x:c r="N640" s="2" t="str">
        <x:v>qualified_paired_native_source_frame</x:v>
      </x:c>
      <x:c r="O640" s="2" t="str">
        <x:v>none</x:v>
      </x:c>
      <x:c r="P640" s="2" t="str">
        <x:v>modeled_epoch_volume_with_fixed2018_height_and_predominant_use</x:v>
      </x:c>
      <x:c r="Q640" s="2" t="str">
        <x:v>Only qualified source rows admitted; CAN/PAK/TUV/USA fail source checks; PSE unmapped in retained table</x:v>
      </x:c>
      <x:c r="R640" s="2" t="str">
        <x:v>https://human-settlement.emergency.copernicus.eu/ghs_buV2023.php</x:v>
      </x:c>
      <x:c r="S640" s="13" t="b">
        <x:v>0</x:v>
      </x:c>
      <x:c r="T640" s="13" t="b">
        <x:v>0</x:v>
      </x:c>
    </x:row>
    <x:row r="641" ht="23" customHeight="1">
      <x:c r="A641" s="2" t="str">
        <x:v>DOM</x:v>
      </x:c>
      <x:c r="B641" s="2" t="str">
        <x:v>Dominican Republic</x:v>
      </x:c>
      <x:c r="C641" s="2" t="n">
        <x:v>2020</x:v>
      </x:c>
      <x:c r="D641" s="2" t="str">
        <x:v>GHSL_VOLUME</x:v>
      </x:c>
      <x:c r="E641" s="2" t="str">
        <x:v>volume</x:v>
      </x:c>
      <x:c r="F641" s="2" t="str">
        <x:v>m3</x:v>
      </x:c>
      <x:c r="G641" s="17" t="n">
        <x:v>900377033.27</x:v>
      </x:c>
      <x:c r="H641" s="17" t="n">
        <x:v>2672179103.945099</x:v>
      </x:c>
      <x:c r="I641" s="17" t="n">
        <x:f>IF(AND(L641,ISNUMBER(G641),ISNUMBER(H641)),G641-H641,"n.a.")</x:f>
        <x:v>-1771802070.675099</x:v>
      </x:c>
      <x:c r="J641" s="15" t="n">
        <x:f>IF(AND(L641,ISNUMBER(G641),ISNUMBER(H641),H641&gt;0),(G641-H641)/H641,"n.a.")</x:f>
        <x:v>-0.6630551328162401</x:v>
      </x:c>
      <x:c r="K641" s="19" t="n">
        <x:f>IF(ISNUMBER(J641),ABS(J641),"n.a.")</x:f>
        <x:v>0.6630551328162401</x:v>
      </x:c>
      <x:c r="L641" s="13" t="b">
        <x:v>1</x:v>
      </x:c>
      <x:c r="M641" s="13" t="b">
        <x:v>1</x:v>
      </x:c>
      <x:c r="N641" s="2" t="str">
        <x:v>qualified_paired_native_source_frame</x:v>
      </x:c>
      <x:c r="O641" s="2" t="str">
        <x:v>none</x:v>
      </x:c>
      <x:c r="P641" s="2" t="str">
        <x:v>modeled_epoch_volume_with_fixed2018_height_and_predominant_use</x:v>
      </x:c>
      <x:c r="Q641" s="2" t="str">
        <x:v>Only qualified source rows admitted; CAN/PAK/TUV/USA fail source checks; PSE unmapped in retained table</x:v>
      </x:c>
      <x:c r="R641" s="2" t="str">
        <x:v>https://human-settlement.emergency.copernicus.eu/ghs_buV2023.php</x:v>
      </x:c>
      <x:c r="S641" s="13" t="b">
        <x:v>0</x:v>
      </x:c>
      <x:c r="T641" s="13" t="b">
        <x:v>0</x:v>
      </x:c>
    </x:row>
    <x:row r="642" ht="23" customHeight="1">
      <x:c r="A642" s="2" t="str">
        <x:v>DZA</x:v>
      </x:c>
      <x:c r="B642" s="2" t="str">
        <x:v>Algeria (People's Democratic Republic of)</x:v>
      </x:c>
      <x:c r="C642" s="2" t="n">
        <x:v>2020</x:v>
      </x:c>
      <x:c r="D642" s="2" t="str">
        <x:v>GHSL_VOLUME</x:v>
      </x:c>
      <x:c r="E642" s="2" t="str">
        <x:v>volume</x:v>
      </x:c>
      <x:c r="F642" s="2" t="str">
        <x:v>m3</x:v>
      </x:c>
      <x:c r="G642" s="17" t="n">
        <x:v>4829692175.3</x:v>
      </x:c>
      <x:c r="H642" s="17" t="n">
        <x:v>11885445058.078432</x:v>
      </x:c>
      <x:c r="I642" s="17" t="n">
        <x:f>IF(AND(L642,ISNUMBER(G642),ISNUMBER(H642)),G642-H642,"n.a.")</x:f>
        <x:v>-7055752882.778432</x:v>
      </x:c>
      <x:c r="J642" s="15" t="n">
        <x:f>IF(AND(L642,ISNUMBER(G642),ISNUMBER(H642),H642&gt;0),(G642-H642)/H642,"n.a.")</x:f>
        <x:v>-0.5936465019442161</x:v>
      </x:c>
      <x:c r="K642" s="19" t="n">
        <x:f>IF(ISNUMBER(J642),ABS(J642),"n.a.")</x:f>
        <x:v>0.5936465019442161</x:v>
      </x:c>
      <x:c r="L642" s="13" t="b">
        <x:v>1</x:v>
      </x:c>
      <x:c r="M642" s="13" t="b">
        <x:v>1</x:v>
      </x:c>
      <x:c r="N642" s="2" t="str">
        <x:v>qualified_paired_native_source_frame</x:v>
      </x:c>
      <x:c r="O642" s="2" t="str">
        <x:v>none</x:v>
      </x:c>
      <x:c r="P642" s="2" t="str">
        <x:v>modeled_epoch_volume_with_fixed2018_height_and_predominant_use</x:v>
      </x:c>
      <x:c r="Q642" s="2" t="str">
        <x:v>Only qualified source rows admitted; CAN/PAK/TUV/USA fail source checks; PSE unmapped in retained table</x:v>
      </x:c>
      <x:c r="R642" s="2" t="str">
        <x:v>https://human-settlement.emergency.copernicus.eu/ghs_buV2023.php</x:v>
      </x:c>
      <x:c r="S642" s="13" t="b">
        <x:v>0</x:v>
      </x:c>
      <x:c r="T642" s="13" t="b">
        <x:v>0</x:v>
      </x:c>
    </x:row>
    <x:row r="643" ht="23" customHeight="1">
      <x:c r="A643" s="2" t="str">
        <x:v>ECU</x:v>
      </x:c>
      <x:c r="B643" s="2" t="str">
        <x:v>Ecuador (Republic of)</x:v>
      </x:c>
      <x:c r="C643" s="2" t="n">
        <x:v>2020</x:v>
      </x:c>
      <x:c r="D643" s="2" t="str">
        <x:v>GHSL_VOLUME</x:v>
      </x:c>
      <x:c r="E643" s="2" t="str">
        <x:v>volume</x:v>
      </x:c>
      <x:c r="F643" s="2" t="str">
        <x:v>m3</x:v>
      </x:c>
      <x:c r="G643" s="17" t="n">
        <x:v>1992145415.03</x:v>
      </x:c>
      <x:c r="H643" s="17" t="n">
        <x:v>6087232839.368628</x:v>
      </x:c>
      <x:c r="I643" s="17" t="n">
        <x:f>IF(AND(L643,ISNUMBER(G643),ISNUMBER(H643)),G643-H643,"n.a.")</x:f>
        <x:v>-4095087424.338628</x:v>
      </x:c>
      <x:c r="J643" s="15" t="n">
        <x:f>IF(AND(L643,ISNUMBER(G643),ISNUMBER(H643),H643&gt;0),(G643-H643)/H643,"n.a.")</x:f>
        <x:v>-0.6727338237916612</x:v>
      </x:c>
      <x:c r="K643" s="19" t="n">
        <x:f>IF(ISNUMBER(J643),ABS(J643),"n.a.")</x:f>
        <x:v>0.6727338237916612</x:v>
      </x:c>
      <x:c r="L643" s="13" t="b">
        <x:v>1</x:v>
      </x:c>
      <x:c r="M643" s="13" t="b">
        <x:v>1</x:v>
      </x:c>
      <x:c r="N643" s="2" t="str">
        <x:v>qualified_paired_native_source_frame</x:v>
      </x:c>
      <x:c r="O643" s="2" t="str">
        <x:v>none</x:v>
      </x:c>
      <x:c r="P643" s="2" t="str">
        <x:v>modeled_epoch_volume_with_fixed2018_height_and_predominant_use</x:v>
      </x:c>
      <x:c r="Q643" s="2" t="str">
        <x:v>Only qualified source rows admitted; CAN/PAK/TUV/USA fail source checks; PSE unmapped in retained table</x:v>
      </x:c>
      <x:c r="R643" s="2" t="str">
        <x:v>https://human-settlement.emergency.copernicus.eu/ghs_buV2023.php</x:v>
      </x:c>
      <x:c r="S643" s="13" t="b">
        <x:v>0</x:v>
      </x:c>
      <x:c r="T643" s="13" t="b">
        <x:v>0</x:v>
      </x:c>
    </x:row>
    <x:row r="644" ht="23" customHeight="1">
      <x:c r="A644" s="2" t="str">
        <x:v>EGY</x:v>
      </x:c>
      <x:c r="B644" s="2" t="str">
        <x:v>Egypt (Arab Republic of)</x:v>
      </x:c>
      <x:c r="C644" s="2" t="n">
        <x:v>2020</x:v>
      </x:c>
      <x:c r="D644" s="2" t="str">
        <x:v>GHSL_VOLUME</x:v>
      </x:c>
      <x:c r="E644" s="2" t="str">
        <x:v>volume</x:v>
      </x:c>
      <x:c r="F644" s="2" t="str">
        <x:v>m3</x:v>
      </x:c>
      <x:c r="G644" s="17" t="n">
        <x:v>10038549346.27</x:v>
      </x:c>
      <x:c r="H644" s="17" t="n">
        <x:v>21790590167.894115</x:v>
      </x:c>
      <x:c r="I644" s="17" t="n">
        <x:f>IF(AND(L644,ISNUMBER(G644),ISNUMBER(H644)),G644-H644,"n.a.")</x:f>
        <x:v>-11752040821.624115</x:v>
      </x:c>
      <x:c r="J644" s="15" t="n">
        <x:f>IF(AND(L644,ISNUMBER(G644),ISNUMBER(H644),H644&gt;0),(G644-H644)/H644,"n.a.")</x:f>
        <x:v>-0.5393172342316535</x:v>
      </x:c>
      <x:c r="K644" s="19" t="n">
        <x:f>IF(ISNUMBER(J644),ABS(J644),"n.a.")</x:f>
        <x:v>0.5393172342316535</x:v>
      </x:c>
      <x:c r="L644" s="13" t="b">
        <x:v>1</x:v>
      </x:c>
      <x:c r="M644" s="13" t="b">
        <x:v>1</x:v>
      </x:c>
      <x:c r="N644" s="2" t="str">
        <x:v>qualified_paired_native_source_frame</x:v>
      </x:c>
      <x:c r="O644" s="2" t="str">
        <x:v>none</x:v>
      </x:c>
      <x:c r="P644" s="2" t="str">
        <x:v>modeled_epoch_volume_with_fixed2018_height_and_predominant_use</x:v>
      </x:c>
      <x:c r="Q644" s="2" t="str">
        <x:v>Only qualified source rows admitted; CAN/PAK/TUV/USA fail source checks; PSE unmapped in retained table</x:v>
      </x:c>
      <x:c r="R644" s="2" t="str">
        <x:v>https://human-settlement.emergency.copernicus.eu/ghs_buV2023.php</x:v>
      </x:c>
      <x:c r="S644" s="13" t="b">
        <x:v>0</x:v>
      </x:c>
      <x:c r="T644" s="13" t="b">
        <x:v>0</x:v>
      </x:c>
    </x:row>
    <x:row r="645" ht="23" customHeight="1">
      <x:c r="A645" s="2" t="str">
        <x:v>ERI</x:v>
      </x:c>
      <x:c r="B645" s="2" t="str">
        <x:v>Eritrea (State of)</x:v>
      </x:c>
      <x:c r="C645" s="2" t="n">
        <x:v>2020</x:v>
      </x:c>
      <x:c r="D645" s="2" t="str">
        <x:v>GHSL_VOLUME</x:v>
      </x:c>
      <x:c r="E645" s="2" t="str">
        <x:v>volume</x:v>
      </x:c>
      <x:c r="F645" s="2" t="str">
        <x:v>m3</x:v>
      </x:c>
      <x:c r="G645" s="17" t="n">
        <x:v>98121664.95</x:v>
      </x:c>
      <x:c r="H645" s="17" t="n">
        <x:v>418841113.0549018</x:v>
      </x:c>
      <x:c r="I645" s="17" t="n">
        <x:f>IF(AND(L645,ISNUMBER(G645),ISNUMBER(H645)),G645-H645,"n.a.")</x:f>
        <x:v>-320719448.1049018</x:v>
      </x:c>
      <x:c r="J645" s="15" t="n">
        <x:f>IF(AND(L645,ISNUMBER(G645),ISNUMBER(H645),H645&gt;0),(G645-H645)/H645,"n.a.")</x:f>
        <x:v>-0.765730579230081</x:v>
      </x:c>
      <x:c r="K645" s="19" t="n">
        <x:f>IF(ISNUMBER(J645),ABS(J645),"n.a.")</x:f>
        <x:v>0.765730579230081</x:v>
      </x:c>
      <x:c r="L645" s="13" t="b">
        <x:v>1</x:v>
      </x:c>
      <x:c r="M645" s="13" t="b">
        <x:v>1</x:v>
      </x:c>
      <x:c r="N645" s="2" t="str">
        <x:v>qualified_paired_native_source_frame</x:v>
      </x:c>
      <x:c r="O645" s="2" t="str">
        <x:v>none</x:v>
      </x:c>
      <x:c r="P645" s="2" t="str">
        <x:v>modeled_epoch_volume_with_fixed2018_height_and_predominant_use</x:v>
      </x:c>
      <x:c r="Q645" s="2" t="str">
        <x:v>Only qualified source rows admitted; CAN/PAK/TUV/USA fail source checks; PSE unmapped in retained table</x:v>
      </x:c>
      <x:c r="R645" s="2" t="str">
        <x:v>https://human-settlement.emergency.copernicus.eu/ghs_buV2023.php</x:v>
      </x:c>
      <x:c r="S645" s="13" t="b">
        <x:v>0</x:v>
      </x:c>
      <x:c r="T645" s="13" t="b">
        <x:v>0</x:v>
      </x:c>
    </x:row>
    <x:row r="646" ht="23" customHeight="1">
      <x:c r="A646" s="2" t="str">
        <x:v>ESP</x:v>
      </x:c>
      <x:c r="B646" s="2" t="str">
        <x:v>Spain (Kingdom of)</x:v>
      </x:c>
      <x:c r="C646" s="2" t="n">
        <x:v>2020</x:v>
      </x:c>
      <x:c r="D646" s="2" t="str">
        <x:v>GHSL_VOLUME</x:v>
      </x:c>
      <x:c r="E646" s="2" t="str">
        <x:v>volume</x:v>
      </x:c>
      <x:c r="F646" s="2" t="str">
        <x:v>m3</x:v>
      </x:c>
      <x:c r="G646" s="17" t="n">
        <x:v>13585671020.88</x:v>
      </x:c>
      <x:c r="H646" s="17" t="n">
        <x:v>27401460446.48628</x:v>
      </x:c>
      <x:c r="I646" s="17" t="n">
        <x:f>IF(AND(L646,ISNUMBER(G646),ISNUMBER(H646)),G646-H646,"n.a.")</x:f>
        <x:v>-13815789425.60628</x:v>
      </x:c>
      <x:c r="J646" s="15" t="n">
        <x:f>IF(AND(L646,ISNUMBER(G646),ISNUMBER(H646),H646&gt;0),(G646-H646)/H646,"n.a.")</x:f>
        <x:v>-0.5041990171504853</x:v>
      </x:c>
      <x:c r="K646" s="19" t="n">
        <x:f>IF(ISNUMBER(J646),ABS(J646),"n.a.")</x:f>
        <x:v>0.5041990171504853</x:v>
      </x:c>
      <x:c r="L646" s="13" t="b">
        <x:v>1</x:v>
      </x:c>
      <x:c r="M646" s="13" t="b">
        <x:v>1</x:v>
      </x:c>
      <x:c r="N646" s="2" t="str">
        <x:v>qualified_paired_native_source_frame</x:v>
      </x:c>
      <x:c r="O646" s="2" t="str">
        <x:v>none</x:v>
      </x:c>
      <x:c r="P646" s="2" t="str">
        <x:v>modeled_epoch_volume_with_fixed2018_height_and_predominant_use</x:v>
      </x:c>
      <x:c r="Q646" s="2" t="str">
        <x:v>Only qualified source rows admitted; CAN/PAK/TUV/USA fail source checks; PSE unmapped in retained table</x:v>
      </x:c>
      <x:c r="R646" s="2" t="str">
        <x:v>https://human-settlement.emergency.copernicus.eu/ghs_buV2023.php</x:v>
      </x:c>
      <x:c r="S646" s="13" t="b">
        <x:v>0</x:v>
      </x:c>
      <x:c r="T646" s="13" t="b">
        <x:v>0</x:v>
      </x:c>
    </x:row>
    <x:row r="647" ht="23" customHeight="1">
      <x:c r="A647" s="2" t="str">
        <x:v>EST</x:v>
      </x:c>
      <x:c r="B647" s="2" t="str">
        <x:v>Estonia (Republic of)</x:v>
      </x:c>
      <x:c r="C647" s="2" t="n">
        <x:v>2020</x:v>
      </x:c>
      <x:c r="D647" s="2" t="str">
        <x:v>GHSL_VOLUME</x:v>
      </x:c>
      <x:c r="E647" s="2" t="str">
        <x:v>volume</x:v>
      </x:c>
      <x:c r="F647" s="2" t="str">
        <x:v>m3</x:v>
      </x:c>
      <x:c r="G647" s="17" t="n">
        <x:v>364531196.27</x:v>
      </x:c>
      <x:c r="H647" s="17" t="n">
        <x:v>746205633.7764707</x:v>
      </x:c>
      <x:c r="I647" s="17" t="n">
        <x:f>IF(AND(L647,ISNUMBER(G647),ISNUMBER(H647)),G647-H647,"n.a.")</x:f>
        <x:v>-381674437.5064707</x:v>
      </x:c>
      <x:c r="J647" s="15" t="n">
        <x:f>IF(AND(L647,ISNUMBER(G647),ISNUMBER(H647),H647&gt;0),(G647-H647)/H647,"n.a.")</x:f>
        <x:v>-0.5114869417091576</x:v>
      </x:c>
      <x:c r="K647" s="19" t="n">
        <x:f>IF(ISNUMBER(J647),ABS(J647),"n.a.")</x:f>
        <x:v>0.5114869417091576</x:v>
      </x:c>
      <x:c r="L647" s="13" t="b">
        <x:v>1</x:v>
      </x:c>
      <x:c r="M647" s="13" t="b">
        <x:v>1</x:v>
      </x:c>
      <x:c r="N647" s="2" t="str">
        <x:v>qualified_paired_native_source_frame</x:v>
      </x:c>
      <x:c r="O647" s="2" t="str">
        <x:v>none</x:v>
      </x:c>
      <x:c r="P647" s="2" t="str">
        <x:v>modeled_epoch_volume_with_fixed2018_height_and_predominant_use</x:v>
      </x:c>
      <x:c r="Q647" s="2" t="str">
        <x:v>Only qualified source rows admitted; CAN/PAK/TUV/USA fail source checks; PSE unmapped in retained table</x:v>
      </x:c>
      <x:c r="R647" s="2" t="str">
        <x:v>https://human-settlement.emergency.copernicus.eu/ghs_buV2023.php</x:v>
      </x:c>
      <x:c r="S647" s="13" t="b">
        <x:v>0</x:v>
      </x:c>
      <x:c r="T647" s="13" t="b">
        <x:v>0</x:v>
      </x:c>
    </x:row>
    <x:row r="648" ht="23" customHeight="1">
      <x:c r="A648" s="2" t="str">
        <x:v>ETH</x:v>
      </x:c>
      <x:c r="B648" s="2" t="str">
        <x:v>Ethiopia (Federal Democratic Republic of)</x:v>
      </x:c>
      <x:c r="C648" s="2" t="n">
        <x:v>2020</x:v>
      </x:c>
      <x:c r="D648" s="2" t="str">
        <x:v>GHSL_VOLUME</x:v>
      </x:c>
      <x:c r="E648" s="2" t="str">
        <x:v>volume</x:v>
      </x:c>
      <x:c r="F648" s="2" t="str">
        <x:v>m3</x:v>
      </x:c>
      <x:c r="G648" s="17" t="n">
        <x:v>3219274539.19</x:v>
      </x:c>
      <x:c r="H648" s="17" t="n">
        <x:v>9232488217.717646</x:v>
      </x:c>
      <x:c r="I648" s="17" t="n">
        <x:f>IF(AND(L648,ISNUMBER(G648),ISNUMBER(H648)),G648-H648,"n.a.")</x:f>
        <x:v>-6013213678.527645</x:v>
      </x:c>
      <x:c r="J648" s="15" t="n">
        <x:f>IF(AND(L648,ISNUMBER(G648),ISNUMBER(H648),H648&gt;0),(G648-H648)/H648,"n.a.")</x:f>
        <x:v>-0.6513101925207944</x:v>
      </x:c>
      <x:c r="K648" s="19" t="n">
        <x:f>IF(ISNUMBER(J648),ABS(J648),"n.a.")</x:f>
        <x:v>0.6513101925207944</x:v>
      </x:c>
      <x:c r="L648" s="13" t="b">
        <x:v>1</x:v>
      </x:c>
      <x:c r="M648" s="13" t="b">
        <x:v>1</x:v>
      </x:c>
      <x:c r="N648" s="2" t="str">
        <x:v>qualified_paired_native_source_frame</x:v>
      </x:c>
      <x:c r="O648" s="2" t="str">
        <x:v>none</x:v>
      </x:c>
      <x:c r="P648" s="2" t="str">
        <x:v>modeled_epoch_volume_with_fixed2018_height_and_predominant_use</x:v>
      </x:c>
      <x:c r="Q648" s="2" t="str">
        <x:v>Only qualified source rows admitted; CAN/PAK/TUV/USA fail source checks; PSE unmapped in retained table</x:v>
      </x:c>
      <x:c r="R648" s="2" t="str">
        <x:v>https://human-settlement.emergency.copernicus.eu/ghs_buV2023.php</x:v>
      </x:c>
      <x:c r="S648" s="13" t="b">
        <x:v>0</x:v>
      </x:c>
      <x:c r="T648" s="13" t="b">
        <x:v>0</x:v>
      </x:c>
    </x:row>
    <x:row r="649" ht="23" customHeight="1">
      <x:c r="A649" s="2" t="str">
        <x:v>FIN</x:v>
      </x:c>
      <x:c r="B649" s="2" t="str">
        <x:v>Finland (Republic of)</x:v>
      </x:c>
      <x:c r="C649" s="2" t="n">
        <x:v>2020</x:v>
      </x:c>
      <x:c r="D649" s="2" t="str">
        <x:v>GHSL_VOLUME</x:v>
      </x:c>
      <x:c r="E649" s="2" t="str">
        <x:v>volume</x:v>
      </x:c>
      <x:c r="F649" s="2" t="str">
        <x:v>m3</x:v>
      </x:c>
      <x:c r="G649" s="17" t="n">
        <x:v>1882245837.63</x:v>
      </x:c>
      <x:c r="H649" s="17" t="n">
        <x:v>2142727942.5921571</x:v>
      </x:c>
      <x:c r="I649" s="17" t="n">
        <x:f>IF(AND(L649,ISNUMBER(G649),ISNUMBER(H649)),G649-H649,"n.a.")</x:f>
        <x:v>-260482104.962157</x:v>
      </x:c>
      <x:c r="J649" s="15" t="n">
        <x:f>IF(AND(L649,ISNUMBER(G649),ISNUMBER(H649),H649&gt;0),(G649-H649)/H649,"n.a.")</x:f>
        <x:v>-0.12156564526201108</x:v>
      </x:c>
      <x:c r="K649" s="19" t="n">
        <x:f>IF(ISNUMBER(J649),ABS(J649),"n.a.")</x:f>
        <x:v>0.12156564526201108</x:v>
      </x:c>
      <x:c r="L649" s="13" t="b">
        <x:v>1</x:v>
      </x:c>
      <x:c r="M649" s="13" t="b">
        <x:v>1</x:v>
      </x:c>
      <x:c r="N649" s="2" t="str">
        <x:v>qualified_paired_native_source_frame</x:v>
      </x:c>
      <x:c r="O649" s="2" t="str">
        <x:v>none</x:v>
      </x:c>
      <x:c r="P649" s="2" t="str">
        <x:v>modeled_epoch_volume_with_fixed2018_height_and_predominant_use</x:v>
      </x:c>
      <x:c r="Q649" s="2" t="str">
        <x:v>Only qualified source rows admitted; CAN/PAK/TUV/USA fail source checks; PSE unmapped in retained table</x:v>
      </x:c>
      <x:c r="R649" s="2" t="str">
        <x:v>https://human-settlement.emergency.copernicus.eu/ghs_buV2023.php</x:v>
      </x:c>
      <x:c r="S649" s="13" t="b">
        <x:v>0</x:v>
      </x:c>
      <x:c r="T649" s="13" t="b">
        <x:v>0</x:v>
      </x:c>
    </x:row>
    <x:row r="650" ht="23" customHeight="1">
      <x:c r="A650" s="2" t="str">
        <x:v>FJI</x:v>
      </x:c>
      <x:c r="B650" s="2" t="str">
        <x:v>Fiji (Republic of)</x:v>
      </x:c>
      <x:c r="C650" s="2" t="n">
        <x:v>2020</x:v>
      </x:c>
      <x:c r="D650" s="2" t="str">
        <x:v>GHSL_VOLUME</x:v>
      </x:c>
      <x:c r="E650" s="2" t="str">
        <x:v>volume</x:v>
      </x:c>
      <x:c r="F650" s="2" t="str">
        <x:v>m3</x:v>
      </x:c>
      <x:c r="G650" s="17" t="n">
        <x:v>81724716.17</x:v>
      </x:c>
      <x:c r="H650" s="17" t="n">
        <x:v>482364465.59607846</x:v>
      </x:c>
      <x:c r="I650" s="17" t="n">
        <x:f>IF(AND(L650,ISNUMBER(G650),ISNUMBER(H650)),G650-H650,"n.a.")</x:f>
        <x:v>-400639749.42607844</x:v>
      </x:c>
      <x:c r="J650" s="15" t="n">
        <x:f>IF(AND(L650,ISNUMBER(G650),ISNUMBER(H650),H650&gt;0),(G650-H650)/H650,"n.a.")</x:f>
        <x:v>-0.8305747583022948</x:v>
      </x:c>
      <x:c r="K650" s="19" t="n">
        <x:f>IF(ISNUMBER(J650),ABS(J650),"n.a.")</x:f>
        <x:v>0.8305747583022948</x:v>
      </x:c>
      <x:c r="L650" s="13" t="b">
        <x:v>1</x:v>
      </x:c>
      <x:c r="M650" s="13" t="b">
        <x:v>1</x:v>
      </x:c>
      <x:c r="N650" s="2" t="str">
        <x:v>qualified_paired_native_source_frame</x:v>
      </x:c>
      <x:c r="O650" s="2" t="str">
        <x:v>none</x:v>
      </x:c>
      <x:c r="P650" s="2" t="str">
        <x:v>modeled_epoch_volume_with_fixed2018_height_and_predominant_use</x:v>
      </x:c>
      <x:c r="Q650" s="2" t="str">
        <x:v>Only qualified source rows admitted; CAN/PAK/TUV/USA fail source checks; PSE unmapped in retained table</x:v>
      </x:c>
      <x:c r="R650" s="2" t="str">
        <x:v>https://human-settlement.emergency.copernicus.eu/ghs_buV2023.php</x:v>
      </x:c>
      <x:c r="S650" s="13" t="b">
        <x:v>0</x:v>
      </x:c>
      <x:c r="T650" s="13" t="b">
        <x:v>0</x:v>
      </x:c>
    </x:row>
    <x:row r="651" ht="23" customHeight="1">
      <x:c r="A651" s="2" t="str">
        <x:v>FRA</x:v>
      </x:c>
      <x:c r="B651" s="2" t="str">
        <x:v>France (French Republic)</x:v>
      </x:c>
      <x:c r="C651" s="2" t="n">
        <x:v>2020</x:v>
      </x:c>
      <x:c r="D651" s="2" t="str">
        <x:v>GHSL_VOLUME</x:v>
      </x:c>
      <x:c r="E651" s="2" t="str">
        <x:v>volume</x:v>
      </x:c>
      <x:c r="F651" s="2" t="str">
        <x:v>m3</x:v>
      </x:c>
      <x:c r="G651" s="17" t="n">
        <x:v>19173133587.38</x:v>
      </x:c>
      <x:c r="H651" s="17" t="n">
        <x:v>50237820416.36079</x:v>
      </x:c>
      <x:c r="I651" s="17" t="n">
        <x:f>IF(AND(L651,ISNUMBER(G651),ISNUMBER(H651)),G651-H651,"n.a.")</x:f>
        <x:v>-31064686828.980785</x:v>
      </x:c>
      <x:c r="J651" s="15" t="n">
        <x:f>IF(AND(L651,ISNUMBER(G651),ISNUMBER(H651),H651&gt;0),(G651-H651)/H651,"n.a.")</x:f>
        <x:v>-0.6183525991279679</x:v>
      </x:c>
      <x:c r="K651" s="19" t="n">
        <x:f>IF(ISNUMBER(J651),ABS(J651),"n.a.")</x:f>
        <x:v>0.6183525991279679</x:v>
      </x:c>
      <x:c r="L651" s="13" t="b">
        <x:v>1</x:v>
      </x:c>
      <x:c r="M651" s="13" t="b">
        <x:v>1</x:v>
      </x:c>
      <x:c r="N651" s="2" t="str">
        <x:v>qualified_paired_native_source_frame</x:v>
      </x:c>
      <x:c r="O651" s="2" t="str">
        <x:v>none</x:v>
      </x:c>
      <x:c r="P651" s="2" t="str">
        <x:v>modeled_epoch_volume_with_fixed2018_height_and_predominant_use</x:v>
      </x:c>
      <x:c r="Q651" s="2" t="str">
        <x:v>Only qualified source rows admitted; CAN/PAK/TUV/USA fail source checks; PSE unmapped in retained table</x:v>
      </x:c>
      <x:c r="R651" s="2" t="str">
        <x:v>https://human-settlement.emergency.copernicus.eu/ghs_buV2023.php</x:v>
      </x:c>
      <x:c r="S651" s="13" t="b">
        <x:v>0</x:v>
      </x:c>
      <x:c r="T651" s="13" t="b">
        <x:v>0</x:v>
      </x:c>
    </x:row>
    <x:row r="652" ht="23" customHeight="1">
      <x:c r="A652" s="2" t="str">
        <x:v>FSM</x:v>
      </x:c>
      <x:c r="B652" s="2" t="str">
        <x:v>Micronesia (Federated States of)</x:v>
      </x:c>
      <x:c r="C652" s="2" t="n">
        <x:v>2020</x:v>
      </x:c>
      <x:c r="D652" s="2" t="str">
        <x:v>GHSL_VOLUME</x:v>
      </x:c>
      <x:c r="E652" s="2" t="str">
        <x:v>volume</x:v>
      </x:c>
      <x:c r="F652" s="2" t="str">
        <x:v>m3</x:v>
      </x:c>
      <x:c r="G652" s="17" t="n">
        <x:v>4457897.24</x:v>
      </x:c>
      <x:c r="H652" s="17" t="n">
        <x:v>12409515.890196078</x:v>
      </x:c>
      <x:c r="I652" s="17" t="n">
        <x:f>IF(AND(L652,ISNUMBER(G652),ISNUMBER(H652)),G652-H652,"n.a.")</x:f>
        <x:v>-7951618.650196077</x:v>
      </x:c>
      <x:c r="J652" s="15" t="n">
        <x:f>IF(AND(L652,ISNUMBER(G652),ISNUMBER(H652),H652&gt;0),(G652-H652)/H652,"n.a.")</x:f>
        <x:v>-0.6407678365985344</x:v>
      </x:c>
      <x:c r="K652" s="19" t="n">
        <x:f>IF(ISNUMBER(J652),ABS(J652),"n.a.")</x:f>
        <x:v>0.6407678365985344</x:v>
      </x:c>
      <x:c r="L652" s="13" t="b">
        <x:v>1</x:v>
      </x:c>
      <x:c r="M652" s="13" t="b">
        <x:v>1</x:v>
      </x:c>
      <x:c r="N652" s="2" t="str">
        <x:v>qualified_paired_native_source_frame</x:v>
      </x:c>
      <x:c r="O652" s="2" t="str">
        <x:v>none</x:v>
      </x:c>
      <x:c r="P652" s="2" t="str">
        <x:v>modeled_epoch_volume_with_fixed2018_height_and_predominant_use</x:v>
      </x:c>
      <x:c r="Q652" s="2" t="str">
        <x:v>Only qualified source rows admitted; CAN/PAK/TUV/USA fail source checks; PSE unmapped in retained table</x:v>
      </x:c>
      <x:c r="R652" s="2" t="str">
        <x:v>https://human-settlement.emergency.copernicus.eu/ghs_buV2023.php</x:v>
      </x:c>
      <x:c r="S652" s="13" t="b">
        <x:v>0</x:v>
      </x:c>
      <x:c r="T652" s="13" t="b">
        <x:v>0</x:v>
      </x:c>
    </x:row>
    <x:row r="653" ht="23" customHeight="1">
      <x:c r="A653" s="2" t="str">
        <x:v>GAB</x:v>
      </x:c>
      <x:c r="B653" s="2" t="str">
        <x:v>Gabon (Gabonese Republic)</x:v>
      </x:c>
      <x:c r="C653" s="2" t="n">
        <x:v>2020</x:v>
      </x:c>
      <x:c r="D653" s="2" t="str">
        <x:v>GHSL_VOLUME</x:v>
      </x:c>
      <x:c r="E653" s="2" t="str">
        <x:v>volume</x:v>
      </x:c>
      <x:c r="F653" s="2" t="str">
        <x:v>m3</x:v>
      </x:c>
      <x:c r="G653" s="17" t="n">
        <x:v>190513524.89</x:v>
      </x:c>
      <x:c r="H653" s="17" t="n">
        <x:v>963791612.9607841</x:v>
      </x:c>
      <x:c r="I653" s="17" t="n">
        <x:f>IF(AND(L653,ISNUMBER(G653),ISNUMBER(H653)),G653-H653,"n.a.")</x:f>
        <x:v>-773278088.0707841</x:v>
      </x:c>
      <x:c r="J653" s="15" t="n">
        <x:f>IF(AND(L653,ISNUMBER(G653),ISNUMBER(H653),H653&gt;0),(G653-H653)/H653,"n.a.")</x:f>
        <x:v>-0.802329131808131</x:v>
      </x:c>
      <x:c r="K653" s="19" t="n">
        <x:f>IF(ISNUMBER(J653),ABS(J653),"n.a.")</x:f>
        <x:v>0.802329131808131</x:v>
      </x:c>
      <x:c r="L653" s="13" t="b">
        <x:v>1</x:v>
      </x:c>
      <x:c r="M653" s="13" t="b">
        <x:v>1</x:v>
      </x:c>
      <x:c r="N653" s="2" t="str">
        <x:v>qualified_paired_native_source_frame</x:v>
      </x:c>
      <x:c r="O653" s="2" t="str">
        <x:v>none</x:v>
      </x:c>
      <x:c r="P653" s="2" t="str">
        <x:v>modeled_epoch_volume_with_fixed2018_height_and_predominant_use</x:v>
      </x:c>
      <x:c r="Q653" s="2" t="str">
        <x:v>Only qualified source rows admitted; CAN/PAK/TUV/USA fail source checks; PSE unmapped in retained table</x:v>
      </x:c>
      <x:c r="R653" s="2" t="str">
        <x:v>https://human-settlement.emergency.copernicus.eu/ghs_buV2023.php</x:v>
      </x:c>
      <x:c r="S653" s="13" t="b">
        <x:v>0</x:v>
      </x:c>
      <x:c r="T653" s="13" t="b">
        <x:v>0</x:v>
      </x:c>
    </x:row>
    <x:row r="654" ht="23" customHeight="1">
      <x:c r="A654" s="2" t="str">
        <x:v>GBR</x:v>
      </x:c>
      <x:c r="B654" s="2" t="str">
        <x:v>United Kingdom of Great Britain and Northern Ireland</x:v>
      </x:c>
      <x:c r="C654" s="2" t="n">
        <x:v>2020</x:v>
      </x:c>
      <x:c r="D654" s="2" t="str">
        <x:v>GHSL_VOLUME</x:v>
      </x:c>
      <x:c r="E654" s="2" t="str">
        <x:v>volume</x:v>
      </x:c>
      <x:c r="F654" s="2" t="str">
        <x:v>m3</x:v>
      </x:c>
      <x:c r="G654" s="17" t="n">
        <x:v>11380700056.36</x:v>
      </x:c>
      <x:c r="H654" s="17" t="n">
        <x:v>31396506672.20784</x:v>
      </x:c>
      <x:c r="I654" s="17" t="n">
        <x:f>IF(AND(L654,ISNUMBER(G654),ISNUMBER(H654)),G654-H654,"n.a.")</x:f>
        <x:v>-20015806615.84784</x:v>
      </x:c>
      <x:c r="J654" s="15" t="n">
        <x:f>IF(AND(L654,ISNUMBER(G654),ISNUMBER(H654),H654&gt;0),(G654-H654)/H654,"n.a.")</x:f>
        <x:v>-0.6375169959136191</x:v>
      </x:c>
      <x:c r="K654" s="19" t="n">
        <x:f>IF(ISNUMBER(J654),ABS(J654),"n.a.")</x:f>
        <x:v>0.6375169959136191</x:v>
      </x:c>
      <x:c r="L654" s="13" t="b">
        <x:v>1</x:v>
      </x:c>
      <x:c r="M654" s="13" t="b">
        <x:v>1</x:v>
      </x:c>
      <x:c r="N654" s="2" t="str">
        <x:v>qualified_paired_native_source_frame</x:v>
      </x:c>
      <x:c r="O654" s="2" t="str">
        <x:v>none</x:v>
      </x:c>
      <x:c r="P654" s="2" t="str">
        <x:v>modeled_epoch_volume_with_fixed2018_height_and_predominant_use</x:v>
      </x:c>
      <x:c r="Q654" s="2" t="str">
        <x:v>Only qualified source rows admitted; CAN/PAK/TUV/USA fail source checks; PSE unmapped in retained table</x:v>
      </x:c>
      <x:c r="R654" s="2" t="str">
        <x:v>https://human-settlement.emergency.copernicus.eu/ghs_buV2023.php</x:v>
      </x:c>
      <x:c r="S654" s="13" t="b">
        <x:v>0</x:v>
      </x:c>
      <x:c r="T654" s="13" t="b">
        <x:v>0</x:v>
      </x:c>
    </x:row>
    <x:row r="655" ht="23" customHeight="1">
      <x:c r="A655" s="2" t="str">
        <x:v>GEO</x:v>
      </x:c>
      <x:c r="B655" s="2" t="str">
        <x:v>Georgia</x:v>
      </x:c>
      <x:c r="C655" s="2" t="n">
        <x:v>2020</x:v>
      </x:c>
      <x:c r="D655" s="2" t="str">
        <x:v>GHSL_VOLUME</x:v>
      </x:c>
      <x:c r="E655" s="2" t="str">
        <x:v>volume</x:v>
      </x:c>
      <x:c r="F655" s="2" t="str">
        <x:v>m3</x:v>
      </x:c>
      <x:c r="G655" s="17" t="n">
        <x:v>645902078.1</x:v>
      </x:c>
      <x:c r="H655" s="17" t="n">
        <x:v>2403015595.5607843</x:v>
      </x:c>
      <x:c r="I655" s="17" t="n">
        <x:f>IF(AND(L655,ISNUMBER(G655),ISNUMBER(H655)),G655-H655,"n.a.")</x:f>
        <x:v>-1757113517.4607844</x:v>
      </x:c>
      <x:c r="J655" s="15" t="n">
        <x:f>IF(AND(L655,ISNUMBER(G655),ISNUMBER(H655),H655&gt;0),(G655-H655)/H655,"n.a.")</x:f>
        <x:v>-0.7312118659183034</x:v>
      </x:c>
      <x:c r="K655" s="19" t="n">
        <x:f>IF(ISNUMBER(J655),ABS(J655),"n.a.")</x:f>
        <x:v>0.7312118659183034</x:v>
      </x:c>
      <x:c r="L655" s="13" t="b">
        <x:v>1</x:v>
      </x:c>
      <x:c r="M655" s="13" t="b">
        <x:v>1</x:v>
      </x:c>
      <x:c r="N655" s="2" t="str">
        <x:v>qualified_paired_native_source_frame</x:v>
      </x:c>
      <x:c r="O655" s="2" t="str">
        <x:v>none</x:v>
      </x:c>
      <x:c r="P655" s="2" t="str">
        <x:v>modeled_epoch_volume_with_fixed2018_height_and_predominant_use</x:v>
      </x:c>
      <x:c r="Q655" s="2" t="str">
        <x:v>Only qualified source rows admitted; CAN/PAK/TUV/USA fail source checks; PSE unmapped in retained table</x:v>
      </x:c>
      <x:c r="R655" s="2" t="str">
        <x:v>https://human-settlement.emergency.copernicus.eu/ghs_buV2023.php</x:v>
      </x:c>
      <x:c r="S655" s="13" t="b">
        <x:v>0</x:v>
      </x:c>
      <x:c r="T655" s="13" t="b">
        <x:v>0</x:v>
      </x:c>
    </x:row>
    <x:row r="656" ht="23" customHeight="1">
      <x:c r="A656" s="2" t="str">
        <x:v>GHA</x:v>
      </x:c>
      <x:c r="B656" s="2" t="str">
        <x:v>Ghana (Republic of)</x:v>
      </x:c>
      <x:c r="C656" s="2" t="n">
        <x:v>2020</x:v>
      </x:c>
      <x:c r="D656" s="2" t="str">
        <x:v>GHSL_VOLUME</x:v>
      </x:c>
      <x:c r="E656" s="2" t="str">
        <x:v>volume</x:v>
      </x:c>
      <x:c r="F656" s="2" t="str">
        <x:v>m3</x:v>
      </x:c>
      <x:c r="G656" s="17" t="n">
        <x:v>2306843747.68</x:v>
      </x:c>
      <x:c r="H656" s="17" t="n">
        <x:v>10837199511.337263</x:v>
      </x:c>
      <x:c r="I656" s="17" t="n">
        <x:f>IF(AND(L656,ISNUMBER(G656),ISNUMBER(H656)),G656-H656,"n.a.")</x:f>
        <x:v>-8530355763.657263</x:v>
      </x:c>
      <x:c r="J656" s="15" t="n">
        <x:f>IF(AND(L656,ISNUMBER(G656),ISNUMBER(H656),H656&gt;0),(G656-H656)/H656,"n.a.")</x:f>
        <x:v>-0.7871365434154173</x:v>
      </x:c>
      <x:c r="K656" s="19" t="n">
        <x:f>IF(ISNUMBER(J656),ABS(J656),"n.a.")</x:f>
        <x:v>0.7871365434154173</x:v>
      </x:c>
      <x:c r="L656" s="13" t="b">
        <x:v>1</x:v>
      </x:c>
      <x:c r="M656" s="13" t="b">
        <x:v>1</x:v>
      </x:c>
      <x:c r="N656" s="2" t="str">
        <x:v>qualified_paired_native_source_frame</x:v>
      </x:c>
      <x:c r="O656" s="2" t="str">
        <x:v>none</x:v>
      </x:c>
      <x:c r="P656" s="2" t="str">
        <x:v>modeled_epoch_volume_with_fixed2018_height_and_predominant_use</x:v>
      </x:c>
      <x:c r="Q656" s="2" t="str">
        <x:v>Only qualified source rows admitted; CAN/PAK/TUV/USA fail source checks; PSE unmapped in retained table</x:v>
      </x:c>
      <x:c r="R656" s="2" t="str">
        <x:v>https://human-settlement.emergency.copernicus.eu/ghs_buV2023.php</x:v>
      </x:c>
      <x:c r="S656" s="13" t="b">
        <x:v>0</x:v>
      </x:c>
      <x:c r="T656" s="13" t="b">
        <x:v>0</x:v>
      </x:c>
    </x:row>
    <x:row r="657" ht="23" customHeight="1">
      <x:c r="A657" s="2" t="str">
        <x:v>GIN</x:v>
      </x:c>
      <x:c r="B657" s="2" t="str">
        <x:v>Guinea (Republic of)</x:v>
      </x:c>
      <x:c r="C657" s="2" t="n">
        <x:v>2020</x:v>
      </x:c>
      <x:c r="D657" s="2" t="str">
        <x:v>GHSL_VOLUME</x:v>
      </x:c>
      <x:c r="E657" s="2" t="str">
        <x:v>volume</x:v>
      </x:c>
      <x:c r="F657" s="2" t="str">
        <x:v>m3</x:v>
      </x:c>
      <x:c r="G657" s="17" t="n">
        <x:v>631267172.04</x:v>
      </x:c>
      <x:c r="H657" s="17" t="n">
        <x:v>2846272979.317646</x:v>
      </x:c>
      <x:c r="I657" s="17" t="n">
        <x:f>IF(AND(L657,ISNUMBER(G657),ISNUMBER(H657)),G657-H657,"n.a.")</x:f>
        <x:v>-2215005807.277646</x:v>
      </x:c>
      <x:c r="J657" s="15" t="n">
        <x:f>IF(AND(L657,ISNUMBER(G657),ISNUMBER(H657),H657&gt;0),(G657-H657)/H657,"n.a.")</x:f>
        <x:v>-0.7782127095232667</x:v>
      </x:c>
      <x:c r="K657" s="19" t="n">
        <x:f>IF(ISNUMBER(J657),ABS(J657),"n.a.")</x:f>
        <x:v>0.7782127095232667</x:v>
      </x:c>
      <x:c r="L657" s="13" t="b">
        <x:v>1</x:v>
      </x:c>
      <x:c r="M657" s="13" t="b">
        <x:v>1</x:v>
      </x:c>
      <x:c r="N657" s="2" t="str">
        <x:v>qualified_paired_native_source_frame</x:v>
      </x:c>
      <x:c r="O657" s="2" t="str">
        <x:v>none</x:v>
      </x:c>
      <x:c r="P657" s="2" t="str">
        <x:v>modeled_epoch_volume_with_fixed2018_height_and_predominant_use</x:v>
      </x:c>
      <x:c r="Q657" s="2" t="str">
        <x:v>Only qualified source rows admitted; CAN/PAK/TUV/USA fail source checks; PSE unmapped in retained table</x:v>
      </x:c>
      <x:c r="R657" s="2" t="str">
        <x:v>https://human-settlement.emergency.copernicus.eu/ghs_buV2023.php</x:v>
      </x:c>
      <x:c r="S657" s="13" t="b">
        <x:v>0</x:v>
      </x:c>
      <x:c r="T657" s="13" t="b">
        <x:v>0</x:v>
      </x:c>
    </x:row>
    <x:row r="658" ht="23" customHeight="1">
      <x:c r="A658" s="2" t="str">
        <x:v>GMB</x:v>
      </x:c>
      <x:c r="B658" s="2" t="str">
        <x:v>Gambia (Republic of the)</x:v>
      </x:c>
      <x:c r="C658" s="2" t="n">
        <x:v>2020</x:v>
      </x:c>
      <x:c r="D658" s="2" t="str">
        <x:v>GHSL_VOLUME</x:v>
      </x:c>
      <x:c r="E658" s="2" t="str">
        <x:v>volume</x:v>
      </x:c>
      <x:c r="F658" s="2" t="str">
        <x:v>m3</x:v>
      </x:c>
      <x:c r="G658" s="17" t="n">
        <x:v>134066864.69</x:v>
      </x:c>
      <x:c r="H658" s="17" t="n">
        <x:v>563051374.572549</x:v>
      </x:c>
      <x:c r="I658" s="17" t="n">
        <x:f>IF(AND(L658,ISNUMBER(G658),ISNUMBER(H658)),G658-H658,"n.a.")</x:f>
        <x:v>-428984509.882549</x:v>
      </x:c>
      <x:c r="J658" s="15" t="n">
        <x:f>IF(AND(L658,ISNUMBER(G658),ISNUMBER(H658),H658&gt;0),(G658-H658)/H658,"n.a.")</x:f>
        <x:v>-0.7618923054902772</x:v>
      </x:c>
      <x:c r="K658" s="19" t="n">
        <x:f>IF(ISNUMBER(J658),ABS(J658),"n.a.")</x:f>
        <x:v>0.7618923054902772</x:v>
      </x:c>
      <x:c r="L658" s="13" t="b">
        <x:v>1</x:v>
      </x:c>
      <x:c r="M658" s="13" t="b">
        <x:v>1</x:v>
      </x:c>
      <x:c r="N658" s="2" t="str">
        <x:v>qualified_paired_native_source_frame</x:v>
      </x:c>
      <x:c r="O658" s="2" t="str">
        <x:v>none</x:v>
      </x:c>
      <x:c r="P658" s="2" t="str">
        <x:v>modeled_epoch_volume_with_fixed2018_height_and_predominant_use</x:v>
      </x:c>
      <x:c r="Q658" s="2" t="str">
        <x:v>Only qualified source rows admitted; CAN/PAK/TUV/USA fail source checks; PSE unmapped in retained table</x:v>
      </x:c>
      <x:c r="R658" s="2" t="str">
        <x:v>https://human-settlement.emergency.copernicus.eu/ghs_buV2023.php</x:v>
      </x:c>
      <x:c r="S658" s="13" t="b">
        <x:v>0</x:v>
      </x:c>
      <x:c r="T658" s="13" t="b">
        <x:v>0</x:v>
      </x:c>
    </x:row>
    <x:row r="659" ht="23" customHeight="1">
      <x:c r="A659" s="2" t="str">
        <x:v>GNB</x:v>
      </x:c>
      <x:c r="B659" s="2" t="str">
        <x:v>Guinea-Bissau (Republic of)</x:v>
      </x:c>
      <x:c r="C659" s="2" t="n">
        <x:v>2020</x:v>
      </x:c>
      <x:c r="D659" s="2" t="str">
        <x:v>GHSL_VOLUME</x:v>
      </x:c>
      <x:c r="E659" s="2" t="str">
        <x:v>volume</x:v>
      </x:c>
      <x:c r="F659" s="2" t="str">
        <x:v>m3</x:v>
      </x:c>
      <x:c r="G659" s="17" t="n">
        <x:v>106351519.14</x:v>
      </x:c>
      <x:c r="H659" s="17" t="n">
        <x:v>392074388.8549019</x:v>
      </x:c>
      <x:c r="I659" s="17" t="n">
        <x:f>IF(AND(L659,ISNUMBER(G659),ISNUMBER(H659)),G659-H659,"n.a.")</x:f>
        <x:v>-285722869.7149019</x:v>
      </x:c>
      <x:c r="J659" s="15" t="n">
        <x:f>IF(AND(L659,ISNUMBER(G659),ISNUMBER(H659),H659&gt;0),(G659-H659)/H659,"n.a.")</x:f>
        <x:v>-0.7287465793146761</x:v>
      </x:c>
      <x:c r="K659" s="19" t="n">
        <x:f>IF(ISNUMBER(J659),ABS(J659),"n.a.")</x:f>
        <x:v>0.7287465793146761</x:v>
      </x:c>
      <x:c r="L659" s="13" t="b">
        <x:v>1</x:v>
      </x:c>
      <x:c r="M659" s="13" t="b">
        <x:v>1</x:v>
      </x:c>
      <x:c r="N659" s="2" t="str">
        <x:v>qualified_paired_native_source_frame</x:v>
      </x:c>
      <x:c r="O659" s="2" t="str">
        <x:v>none</x:v>
      </x:c>
      <x:c r="P659" s="2" t="str">
        <x:v>modeled_epoch_volume_with_fixed2018_height_and_predominant_use</x:v>
      </x:c>
      <x:c r="Q659" s="2" t="str">
        <x:v>Only qualified source rows admitted; CAN/PAK/TUV/USA fail source checks; PSE unmapped in retained table</x:v>
      </x:c>
      <x:c r="R659" s="2" t="str">
        <x:v>https://human-settlement.emergency.copernicus.eu/ghs_buV2023.php</x:v>
      </x:c>
      <x:c r="S659" s="13" t="b">
        <x:v>0</x:v>
      </x:c>
      <x:c r="T659" s="13" t="b">
        <x:v>0</x:v>
      </x:c>
    </x:row>
    <x:row r="660" ht="23" customHeight="1">
      <x:c r="A660" s="2" t="str">
        <x:v>GNQ</x:v>
      </x:c>
      <x:c r="B660" s="2" t="str">
        <x:v>Equatorial Guinea (Republic of)</x:v>
      </x:c>
      <x:c r="C660" s="2" t="n">
        <x:v>2020</x:v>
      </x:c>
      <x:c r="D660" s="2" t="str">
        <x:v>GHSL_VOLUME</x:v>
      </x:c>
      <x:c r="E660" s="2" t="str">
        <x:v>volume</x:v>
      </x:c>
      <x:c r="F660" s="2" t="str">
        <x:v>m3</x:v>
      </x:c>
      <x:c r="G660" s="17" t="n">
        <x:v>89884942.06</x:v>
      </x:c>
      <x:c r="H660" s="17" t="n">
        <x:v>348002215.5098039</x:v>
      </x:c>
      <x:c r="I660" s="17" t="n">
        <x:f>IF(AND(L660,ISNUMBER(G660),ISNUMBER(H660)),G660-H660,"n.a.")</x:f>
        <x:v>-258117273.4498039</x:v>
      </x:c>
      <x:c r="J660" s="15" t="n">
        <x:f>IF(AND(L660,ISNUMBER(G660),ISNUMBER(H660),H660&gt;0),(G660-H660)/H660,"n.a.")</x:f>
        <x:v>-0.7417115809785189</x:v>
      </x:c>
      <x:c r="K660" s="19" t="n">
        <x:f>IF(ISNUMBER(J660),ABS(J660),"n.a.")</x:f>
        <x:v>0.7417115809785189</x:v>
      </x:c>
      <x:c r="L660" s="13" t="b">
        <x:v>1</x:v>
      </x:c>
      <x:c r="M660" s="13" t="b">
        <x:v>1</x:v>
      </x:c>
      <x:c r="N660" s="2" t="str">
        <x:v>qualified_paired_native_source_frame</x:v>
      </x:c>
      <x:c r="O660" s="2" t="str">
        <x:v>none</x:v>
      </x:c>
      <x:c r="P660" s="2" t="str">
        <x:v>modeled_epoch_volume_with_fixed2018_height_and_predominant_use</x:v>
      </x:c>
      <x:c r="Q660" s="2" t="str">
        <x:v>Only qualified source rows admitted; CAN/PAK/TUV/USA fail source checks; PSE unmapped in retained table</x:v>
      </x:c>
      <x:c r="R660" s="2" t="str">
        <x:v>https://human-settlement.emergency.copernicus.eu/ghs_buV2023.php</x:v>
      </x:c>
      <x:c r="S660" s="13" t="b">
        <x:v>0</x:v>
      </x:c>
      <x:c r="T660" s="13" t="b">
        <x:v>0</x:v>
      </x:c>
    </x:row>
    <x:row r="661" ht="23" customHeight="1">
      <x:c r="A661" s="2" t="str">
        <x:v>GRC</x:v>
      </x:c>
      <x:c r="B661" s="2" t="str">
        <x:v>Greece (Hellenic Republic)</x:v>
      </x:c>
      <x:c r="C661" s="2" t="n">
        <x:v>2020</x:v>
      </x:c>
      <x:c r="D661" s="2" t="str">
        <x:v>GHSL_VOLUME</x:v>
      </x:c>
      <x:c r="E661" s="2" t="str">
        <x:v>volume</x:v>
      </x:c>
      <x:c r="F661" s="2" t="str">
        <x:v>m3</x:v>
      </x:c>
      <x:c r="G661" s="17" t="n">
        <x:v>2649309337.71</x:v>
      </x:c>
      <x:c r="H661" s="17" t="n">
        <x:v>5923909455.254904</x:v>
      </x:c>
      <x:c r="I661" s="17" t="n">
        <x:f>IF(AND(L661,ISNUMBER(G661),ISNUMBER(H661)),G661-H661,"n.a.")</x:f>
        <x:v>-3274600117.5449038</x:v>
      </x:c>
      <x:c r="J661" s="15" t="n">
        <x:f>IF(AND(L661,ISNUMBER(G661),ISNUMBER(H661),H661&gt;0),(G661-H661)/H661,"n.a.")</x:f>
        <x:v>-0.5527768684310518</x:v>
      </x:c>
      <x:c r="K661" s="19" t="n">
        <x:f>IF(ISNUMBER(J661),ABS(J661),"n.a.")</x:f>
        <x:v>0.5527768684310518</x:v>
      </x:c>
      <x:c r="L661" s="13" t="b">
        <x:v>1</x:v>
      </x:c>
      <x:c r="M661" s="13" t="b">
        <x:v>1</x:v>
      </x:c>
      <x:c r="N661" s="2" t="str">
        <x:v>qualified_paired_native_source_frame</x:v>
      </x:c>
      <x:c r="O661" s="2" t="str">
        <x:v>none</x:v>
      </x:c>
      <x:c r="P661" s="2" t="str">
        <x:v>modeled_epoch_volume_with_fixed2018_height_and_predominant_use</x:v>
      </x:c>
      <x:c r="Q661" s="2" t="str">
        <x:v>Only qualified source rows admitted; CAN/PAK/TUV/USA fail source checks; PSE unmapped in retained table</x:v>
      </x:c>
      <x:c r="R661" s="2" t="str">
        <x:v>https://human-settlement.emergency.copernicus.eu/ghs_buV2023.php</x:v>
      </x:c>
      <x:c r="S661" s="13" t="b">
        <x:v>0</x:v>
      </x:c>
      <x:c r="T661" s="13" t="b">
        <x:v>0</x:v>
      </x:c>
    </x:row>
    <x:row r="662" ht="23" customHeight="1">
      <x:c r="A662" s="2" t="str">
        <x:v>GRD</x:v>
      </x:c>
      <x:c r="B662" s="2" t="str">
        <x:v>Grenada</x:v>
      </x:c>
      <x:c r="C662" s="2" t="n">
        <x:v>2020</x:v>
      </x:c>
      <x:c r="D662" s="2" t="str">
        <x:v>GHSL_VOLUME</x:v>
      </x:c>
      <x:c r="E662" s="2" t="str">
        <x:v>volume</x:v>
      </x:c>
      <x:c r="F662" s="2" t="str">
        <x:v>m3</x:v>
      </x:c>
      <x:c r="G662" s="17" t="n">
        <x:v>15160841.72</x:v>
      </x:c>
      <x:c r="H662" s="17" t="n">
        <x:v>34566534.78039217</x:v>
      </x:c>
      <x:c r="I662" s="17" t="n">
        <x:f>IF(AND(L662,ISNUMBER(G662),ISNUMBER(H662)),G662-H662,"n.a.")</x:f>
        <x:v>-19405693.06039217</x:v>
      </x:c>
      <x:c r="J662" s="15" t="n">
        <x:f>IF(AND(L662,ISNUMBER(G662),ISNUMBER(H662),H662&gt;0),(G662-H662)/H662,"n.a.")</x:f>
        <x:v>-0.5614011697637691</x:v>
      </x:c>
      <x:c r="K662" s="19" t="n">
        <x:f>IF(ISNUMBER(J662),ABS(J662),"n.a.")</x:f>
        <x:v>0.5614011697637691</x:v>
      </x:c>
      <x:c r="L662" s="13" t="b">
        <x:v>1</x:v>
      </x:c>
      <x:c r="M662" s="13" t="b">
        <x:v>1</x:v>
      </x:c>
      <x:c r="N662" s="2" t="str">
        <x:v>qualified_paired_native_source_frame</x:v>
      </x:c>
      <x:c r="O662" s="2" t="str">
        <x:v>none</x:v>
      </x:c>
      <x:c r="P662" s="2" t="str">
        <x:v>modeled_epoch_volume_with_fixed2018_height_and_predominant_use</x:v>
      </x:c>
      <x:c r="Q662" s="2" t="str">
        <x:v>Only qualified source rows admitted; CAN/PAK/TUV/USA fail source checks; PSE unmapped in retained table</x:v>
      </x:c>
      <x:c r="R662" s="2" t="str">
        <x:v>https://human-settlement.emergency.copernicus.eu/ghs_buV2023.php</x:v>
      </x:c>
      <x:c r="S662" s="13" t="b">
        <x:v>0</x:v>
      </x:c>
      <x:c r="T662" s="13" t="b">
        <x:v>0</x:v>
      </x:c>
    </x:row>
    <x:row r="663" ht="23" customHeight="1">
      <x:c r="A663" s="2" t="str">
        <x:v>GTM</x:v>
      </x:c>
      <x:c r="B663" s="2" t="str">
        <x:v>Guatemala (Republic of)</x:v>
      </x:c>
      <x:c r="C663" s="2" t="n">
        <x:v>2020</x:v>
      </x:c>
      <x:c r="D663" s="2" t="str">
        <x:v>GHSL_VOLUME</x:v>
      </x:c>
      <x:c r="E663" s="2" t="str">
        <x:v>volume</x:v>
      </x:c>
      <x:c r="F663" s="2" t="str">
        <x:v>m3</x:v>
      </x:c>
      <x:c r="G663" s="17" t="n">
        <x:v>1485854767.08</x:v>
      </x:c>
      <x:c r="H663" s="17" t="n">
        <x:v>4509374949.678432</x:v>
      </x:c>
      <x:c r="I663" s="17" t="n">
        <x:f>IF(AND(L663,ISNUMBER(G663),ISNUMBER(H663)),G663-H663,"n.a.")</x:f>
        <x:v>-3023520182.5984325</x:v>
      </x:c>
      <x:c r="J663" s="15" t="n">
        <x:f>IF(AND(L663,ISNUMBER(G663),ISNUMBER(H663),H663&gt;0),(G663-H663)/H663,"n.a.")</x:f>
        <x:v>-0.6704965136718211</x:v>
      </x:c>
      <x:c r="K663" s="19" t="n">
        <x:f>IF(ISNUMBER(J663),ABS(J663),"n.a.")</x:f>
        <x:v>0.6704965136718211</x:v>
      </x:c>
      <x:c r="L663" s="13" t="b">
        <x:v>1</x:v>
      </x:c>
      <x:c r="M663" s="13" t="b">
        <x:v>1</x:v>
      </x:c>
      <x:c r="N663" s="2" t="str">
        <x:v>qualified_paired_native_source_frame</x:v>
      </x:c>
      <x:c r="O663" s="2" t="str">
        <x:v>none</x:v>
      </x:c>
      <x:c r="P663" s="2" t="str">
        <x:v>modeled_epoch_volume_with_fixed2018_height_and_predominant_use</x:v>
      </x:c>
      <x:c r="Q663" s="2" t="str">
        <x:v>Only qualified source rows admitted; CAN/PAK/TUV/USA fail source checks; PSE unmapped in retained table</x:v>
      </x:c>
      <x:c r="R663" s="2" t="str">
        <x:v>https://human-settlement.emergency.copernicus.eu/ghs_buV2023.php</x:v>
      </x:c>
      <x:c r="S663" s="13" t="b">
        <x:v>0</x:v>
      </x:c>
      <x:c r="T663" s="13" t="b">
        <x:v>0</x:v>
      </x:c>
    </x:row>
    <x:row r="664" ht="23" customHeight="1">
      <x:c r="A664" s="2" t="str">
        <x:v>GUY</x:v>
      </x:c>
      <x:c r="B664" s="2" t="str">
        <x:v>Guyana (Co-operative Republic of)</x:v>
      </x:c>
      <x:c r="C664" s="2" t="n">
        <x:v>2020</x:v>
      </x:c>
      <x:c r="D664" s="2" t="str">
        <x:v>GHSL_VOLUME</x:v>
      </x:c>
      <x:c r="E664" s="2" t="str">
        <x:v>volume</x:v>
      </x:c>
      <x:c r="F664" s="2" t="str">
        <x:v>m3</x:v>
      </x:c>
      <x:c r="G664" s="17" t="n">
        <x:v>113535675.21</x:v>
      </x:c>
      <x:c r="H664" s="17" t="n">
        <x:v>240155610.63529414</x:v>
      </x:c>
      <x:c r="I664" s="17" t="n">
        <x:f>IF(AND(L664,ISNUMBER(G664),ISNUMBER(H664)),G664-H664,"n.a.")</x:f>
        <x:v>-126619935.42529415</x:v>
      </x:c>
      <x:c r="J664" s="15" t="n">
        <x:f>IF(AND(L664,ISNUMBER(G664),ISNUMBER(H664),H664&gt;0),(G664-H664)/H664,"n.a.")</x:f>
        <x:v>-0.5272412128550356</x:v>
      </x:c>
      <x:c r="K664" s="19" t="n">
        <x:f>IF(ISNUMBER(J664),ABS(J664),"n.a.")</x:f>
        <x:v>0.5272412128550356</x:v>
      </x:c>
      <x:c r="L664" s="13" t="b">
        <x:v>1</x:v>
      </x:c>
      <x:c r="M664" s="13" t="b">
        <x:v>1</x:v>
      </x:c>
      <x:c r="N664" s="2" t="str">
        <x:v>qualified_paired_native_source_frame</x:v>
      </x:c>
      <x:c r="O664" s="2" t="str">
        <x:v>none</x:v>
      </x:c>
      <x:c r="P664" s="2" t="str">
        <x:v>modeled_epoch_volume_with_fixed2018_height_and_predominant_use</x:v>
      </x:c>
      <x:c r="Q664" s="2" t="str">
        <x:v>Only qualified source rows admitted; CAN/PAK/TUV/USA fail source checks; PSE unmapped in retained table</x:v>
      </x:c>
      <x:c r="R664" s="2" t="str">
        <x:v>https://human-settlement.emergency.copernicus.eu/ghs_buV2023.php</x:v>
      </x:c>
      <x:c r="S664" s="13" t="b">
        <x:v>0</x:v>
      </x:c>
      <x:c r="T664" s="13" t="b">
        <x:v>0</x:v>
      </x:c>
    </x:row>
    <x:row r="665" ht="23" customHeight="1">
      <x:c r="A665" s="2" t="str">
        <x:v>HND</x:v>
      </x:c>
      <x:c r="B665" s="2" t="str">
        <x:v>Honduras (Republic of)</x:v>
      </x:c>
      <x:c r="C665" s="2" t="n">
        <x:v>2020</x:v>
      </x:c>
      <x:c r="D665" s="2" t="str">
        <x:v>GHSL_VOLUME</x:v>
      </x:c>
      <x:c r="E665" s="2" t="str">
        <x:v>volume</x:v>
      </x:c>
      <x:c r="F665" s="2" t="str">
        <x:v>m3</x:v>
      </x:c>
      <x:c r="G665" s="17" t="n">
        <x:v>790387597.05</x:v>
      </x:c>
      <x:c r="H665" s="17" t="n">
        <x:v>2634107241.478431</x:v>
      </x:c>
      <x:c r="I665" s="17" t="n">
        <x:f>IF(AND(L665,ISNUMBER(G665),ISNUMBER(H665)),G665-H665,"n.a.")</x:f>
        <x:v>-1843719644.4284313</x:v>
      </x:c>
      <x:c r="J665" s="15" t="n">
        <x:f>IF(AND(L665,ISNUMBER(G665),ISNUMBER(H665),H665&gt;0),(G665-H665)/H665,"n.a.")</x:f>
        <x:v>-0.6999409953383738</x:v>
      </x:c>
      <x:c r="K665" s="19" t="n">
        <x:f>IF(ISNUMBER(J665),ABS(J665),"n.a.")</x:f>
        <x:v>0.6999409953383738</x:v>
      </x:c>
      <x:c r="L665" s="13" t="b">
        <x:v>1</x:v>
      </x:c>
      <x:c r="M665" s="13" t="b">
        <x:v>1</x:v>
      </x:c>
      <x:c r="N665" s="2" t="str">
        <x:v>qualified_paired_native_source_frame</x:v>
      </x:c>
      <x:c r="O665" s="2" t="str">
        <x:v>none</x:v>
      </x:c>
      <x:c r="P665" s="2" t="str">
        <x:v>modeled_epoch_volume_with_fixed2018_height_and_predominant_use</x:v>
      </x:c>
      <x:c r="Q665" s="2" t="str">
        <x:v>Only qualified source rows admitted; CAN/PAK/TUV/USA fail source checks; PSE unmapped in retained table</x:v>
      </x:c>
      <x:c r="R665" s="2" t="str">
        <x:v>https://human-settlement.emergency.copernicus.eu/ghs_buV2023.php</x:v>
      </x:c>
      <x:c r="S665" s="13" t="b">
        <x:v>0</x:v>
      </x:c>
      <x:c r="T665" s="13" t="b">
        <x:v>0</x:v>
      </x:c>
    </x:row>
    <x:row r="666" ht="23" customHeight="1">
      <x:c r="A666" s="2" t="str">
        <x:v>HRV</x:v>
      </x:c>
      <x:c r="B666" s="2" t="str">
        <x:v>Croatia (Republic of)</x:v>
      </x:c>
      <x:c r="C666" s="2" t="n">
        <x:v>2020</x:v>
      </x:c>
      <x:c r="D666" s="2" t="str">
        <x:v>GHSL_VOLUME</x:v>
      </x:c>
      <x:c r="E666" s="2" t="str">
        <x:v>volume</x:v>
      </x:c>
      <x:c r="F666" s="2" t="str">
        <x:v>m3</x:v>
      </x:c>
      <x:c r="G666" s="17" t="n">
        <x:v>1011990991.35</x:v>
      </x:c>
      <x:c r="H666" s="17" t="n">
        <x:v>2020311566.6823537</x:v>
      </x:c>
      <x:c r="I666" s="17" t="n">
        <x:f>IF(AND(L666,ISNUMBER(G666),ISNUMBER(H666)),G666-H666,"n.a.")</x:f>
        <x:v>-1008320575.3323537</x:v>
      </x:c>
      <x:c r="J666" s="15" t="n">
        <x:f>IF(AND(L666,ISNUMBER(G666),ISNUMBER(H666),H666&gt;0),(G666-H666)/H666,"n.a.")</x:f>
        <x:v>-0.49909162129292917</x:v>
      </x:c>
      <x:c r="K666" s="19" t="n">
        <x:f>IF(ISNUMBER(J666),ABS(J666),"n.a.")</x:f>
        <x:v>0.49909162129292917</x:v>
      </x:c>
      <x:c r="L666" s="13" t="b">
        <x:v>1</x:v>
      </x:c>
      <x:c r="M666" s="13" t="b">
        <x:v>1</x:v>
      </x:c>
      <x:c r="N666" s="2" t="str">
        <x:v>qualified_paired_native_source_frame</x:v>
      </x:c>
      <x:c r="O666" s="2" t="str">
        <x:v>none</x:v>
      </x:c>
      <x:c r="P666" s="2" t="str">
        <x:v>modeled_epoch_volume_with_fixed2018_height_and_predominant_use</x:v>
      </x:c>
      <x:c r="Q666" s="2" t="str">
        <x:v>Only qualified source rows admitted; CAN/PAK/TUV/USA fail source checks; PSE unmapped in retained table</x:v>
      </x:c>
      <x:c r="R666" s="2" t="str">
        <x:v>https://human-settlement.emergency.copernicus.eu/ghs_buV2023.php</x:v>
      </x:c>
      <x:c r="S666" s="13" t="b">
        <x:v>0</x:v>
      </x:c>
      <x:c r="T666" s="13" t="b">
        <x:v>0</x:v>
      </x:c>
    </x:row>
    <x:row r="667" ht="23" customHeight="1">
      <x:c r="A667" s="2" t="str">
        <x:v>HTI</x:v>
      </x:c>
      <x:c r="B667" s="2" t="str">
        <x:v>Haiti (Republic of)</x:v>
      </x:c>
      <x:c r="C667" s="2" t="n">
        <x:v>2020</x:v>
      </x:c>
      <x:c r="D667" s="2" t="str">
        <x:v>GHSL_VOLUME</x:v>
      </x:c>
      <x:c r="E667" s="2" t="str">
        <x:v>volume</x:v>
      </x:c>
      <x:c r="F667" s="2" t="str">
        <x:v>m3</x:v>
      </x:c>
      <x:c r="G667" s="17" t="n">
        <x:v>428385998.41</x:v>
      </x:c>
      <x:c r="H667" s="17" t="n">
        <x:v>1476339102.4431372</x:v>
      </x:c>
      <x:c r="I667" s="17" t="n">
        <x:f>IF(AND(L667,ISNUMBER(G667),ISNUMBER(H667)),G667-H667,"n.a.")</x:f>
        <x:v>-1047953104.0331371</x:v>
      </x:c>
      <x:c r="J667" s="15" t="n">
        <x:f>IF(AND(L667,ISNUMBER(G667),ISNUMBER(H667),H667&gt;0),(G667-H667)/H667,"n.a.")</x:f>
        <x:v>-0.7098322480918642</x:v>
      </x:c>
      <x:c r="K667" s="19" t="n">
        <x:f>IF(ISNUMBER(J667),ABS(J667),"n.a.")</x:f>
        <x:v>0.7098322480918642</x:v>
      </x:c>
      <x:c r="L667" s="13" t="b">
        <x:v>1</x:v>
      </x:c>
      <x:c r="M667" s="13" t="b">
        <x:v>1</x:v>
      </x:c>
      <x:c r="N667" s="2" t="str">
        <x:v>qualified_paired_native_source_frame</x:v>
      </x:c>
      <x:c r="O667" s="2" t="str">
        <x:v>none</x:v>
      </x:c>
      <x:c r="P667" s="2" t="str">
        <x:v>modeled_epoch_volume_with_fixed2018_height_and_predominant_use</x:v>
      </x:c>
      <x:c r="Q667" s="2" t="str">
        <x:v>Only qualified source rows admitted; CAN/PAK/TUV/USA fail source checks; PSE unmapped in retained table</x:v>
      </x:c>
      <x:c r="R667" s="2" t="str">
        <x:v>https://human-settlement.emergency.copernicus.eu/ghs_buV2023.php</x:v>
      </x:c>
      <x:c r="S667" s="13" t="b">
        <x:v>0</x:v>
      </x:c>
      <x:c r="T667" s="13" t="b">
        <x:v>0</x:v>
      </x:c>
    </x:row>
    <x:row r="668" ht="23" customHeight="1">
      <x:c r="A668" s="2" t="str">
        <x:v>HUN</x:v>
      </x:c>
      <x:c r="B668" s="2" t="str">
        <x:v>Hungary</x:v>
      </x:c>
      <x:c r="C668" s="2" t="n">
        <x:v>2020</x:v>
      </x:c>
      <x:c r="D668" s="2" t="str">
        <x:v>GHSL_VOLUME</x:v>
      </x:c>
      <x:c r="E668" s="2" t="str">
        <x:v>volume</x:v>
      </x:c>
      <x:c r="F668" s="2" t="str">
        <x:v>m3</x:v>
      </x:c>
      <x:c r="G668" s="17" t="n">
        <x:v>2603669443.89</x:v>
      </x:c>
      <x:c r="H668" s="17" t="n">
        <x:v>5932102712.309803</x:v>
      </x:c>
      <x:c r="I668" s="17" t="n">
        <x:f>IF(AND(L668,ISNUMBER(G668),ISNUMBER(H668)),G668-H668,"n.a.")</x:f>
        <x:v>-3328433268.419803</x:v>
      </x:c>
      <x:c r="J668" s="15" t="n">
        <x:f>IF(AND(L668,ISNUMBER(G668),ISNUMBER(H668),H668&gt;0),(G668-H668)/H668,"n.a.")</x:f>
        <x:v>-0.5610882733896224</x:v>
      </x:c>
      <x:c r="K668" s="19" t="n">
        <x:f>IF(ISNUMBER(J668),ABS(J668),"n.a.")</x:f>
        <x:v>0.5610882733896224</x:v>
      </x:c>
      <x:c r="L668" s="13" t="b">
        <x:v>1</x:v>
      </x:c>
      <x:c r="M668" s="13" t="b">
        <x:v>1</x:v>
      </x:c>
      <x:c r="N668" s="2" t="str">
        <x:v>qualified_paired_native_source_frame</x:v>
      </x:c>
      <x:c r="O668" s="2" t="str">
        <x:v>none</x:v>
      </x:c>
      <x:c r="P668" s="2" t="str">
        <x:v>modeled_epoch_volume_with_fixed2018_height_and_predominant_use</x:v>
      </x:c>
      <x:c r="Q668" s="2" t="str">
        <x:v>Only qualified source rows admitted; CAN/PAK/TUV/USA fail source checks; PSE unmapped in retained table</x:v>
      </x:c>
      <x:c r="R668" s="2" t="str">
        <x:v>https://human-settlement.emergency.copernicus.eu/ghs_buV2023.php</x:v>
      </x:c>
      <x:c r="S668" s="13" t="b">
        <x:v>0</x:v>
      </x:c>
      <x:c r="T668" s="13" t="b">
        <x:v>0</x:v>
      </x:c>
    </x:row>
    <x:row r="669" ht="23" customHeight="1">
      <x:c r="A669" s="2" t="str">
        <x:v>IDN</x:v>
      </x:c>
      <x:c r="B669" s="2" t="str">
        <x:v>Indonesia (Republic of)</x:v>
      </x:c>
      <x:c r="C669" s="2" t="n">
        <x:v>2020</x:v>
      </x:c>
      <x:c r="D669" s="2" t="str">
        <x:v>GHSL_VOLUME</x:v>
      </x:c>
      <x:c r="E669" s="2" t="str">
        <x:v>volume</x:v>
      </x:c>
      <x:c r="F669" s="2" t="str">
        <x:v>m3</x:v>
      </x:c>
      <x:c r="G669" s="17" t="n">
        <x:v>30638069975.65</x:v>
      </x:c>
      <x:c r="H669" s="17" t="n">
        <x:v>48550579909.35294</x:v>
      </x:c>
      <x:c r="I669" s="17" t="n">
        <x:f>IF(AND(L669,ISNUMBER(G669),ISNUMBER(H669)),G669-H669,"n.a.")</x:f>
        <x:v>-17912509933.70294</x:v>
      </x:c>
      <x:c r="J669" s="15" t="n">
        <x:f>IF(AND(L669,ISNUMBER(G669),ISNUMBER(H669),H669&gt;0),(G669-H669)/H669,"n.a.")</x:f>
        <x:v>-0.36894533427091397</x:v>
      </x:c>
      <x:c r="K669" s="19" t="n">
        <x:f>IF(ISNUMBER(J669),ABS(J669),"n.a.")</x:f>
        <x:v>0.36894533427091397</x:v>
      </x:c>
      <x:c r="L669" s="13" t="b">
        <x:v>1</x:v>
      </x:c>
      <x:c r="M669" s="13" t="b">
        <x:v>1</x:v>
      </x:c>
      <x:c r="N669" s="2" t="str">
        <x:v>qualified_paired_native_source_frame</x:v>
      </x:c>
      <x:c r="O669" s="2" t="str">
        <x:v>none</x:v>
      </x:c>
      <x:c r="P669" s="2" t="str">
        <x:v>modeled_epoch_volume_with_fixed2018_height_and_predominant_use</x:v>
      </x:c>
      <x:c r="Q669" s="2" t="str">
        <x:v>Only qualified source rows admitted; CAN/PAK/TUV/USA fail source checks; PSE unmapped in retained table</x:v>
      </x:c>
      <x:c r="R669" s="2" t="str">
        <x:v>https://human-settlement.emergency.copernicus.eu/ghs_buV2023.php</x:v>
      </x:c>
      <x:c r="S669" s="13" t="b">
        <x:v>0</x:v>
      </x:c>
      <x:c r="T669" s="13" t="b">
        <x:v>0</x:v>
      </x:c>
    </x:row>
    <x:row r="670" ht="23" customHeight="1">
      <x:c r="A670" s="2" t="str">
        <x:v>IND</x:v>
      </x:c>
      <x:c r="B670" s="2" t="str">
        <x:v>India (Republic of)</x:v>
      </x:c>
      <x:c r="C670" s="2" t="n">
        <x:v>2020</x:v>
      </x:c>
      <x:c r="D670" s="2" t="str">
        <x:v>GHSL_VOLUME</x:v>
      </x:c>
      <x:c r="E670" s="2" t="str">
        <x:v>volume</x:v>
      </x:c>
      <x:c r="F670" s="2" t="str">
        <x:v>m3</x:v>
      </x:c>
      <x:c r="G670" s="17" t="n">
        <x:v>73626732402.42</x:v>
      </x:c>
      <x:c r="H670" s="17" t="n">
        <x:v>161595015820.28235</x:v>
      </x:c>
      <x:c r="I670" s="17" t="n">
        <x:f>IF(AND(L670,ISNUMBER(G670),ISNUMBER(H670)),G670-H670,"n.a.")</x:f>
        <x:v>-87968283417.86235</x:v>
      </x:c>
      <x:c r="J670" s="15" t="n">
        <x:f>IF(AND(L670,ISNUMBER(G670),ISNUMBER(H670),H670&gt;0),(G670-H670)/H670,"n.a.")</x:f>
        <x:v>-0.5443749794591198</x:v>
      </x:c>
      <x:c r="K670" s="19" t="n">
        <x:f>IF(ISNUMBER(J670),ABS(J670),"n.a.")</x:f>
        <x:v>0.5443749794591198</x:v>
      </x:c>
      <x:c r="L670" s="13" t="b">
        <x:v>1</x:v>
      </x:c>
      <x:c r="M670" s="13" t="b">
        <x:v>1</x:v>
      </x:c>
      <x:c r="N670" s="2" t="str">
        <x:v>qualified_paired_native_source_frame</x:v>
      </x:c>
      <x:c r="O670" s="2" t="str">
        <x:v>none</x:v>
      </x:c>
      <x:c r="P670" s="2" t="str">
        <x:v>modeled_epoch_volume_with_fixed2018_height_and_predominant_use</x:v>
      </x:c>
      <x:c r="Q670" s="2" t="str">
        <x:v>Only qualified source rows admitted; CAN/PAK/TUV/USA fail source checks; PSE unmapped in retained table</x:v>
      </x:c>
      <x:c r="R670" s="2" t="str">
        <x:v>https://human-settlement.emergency.copernicus.eu/ghs_buV2023.php</x:v>
      </x:c>
      <x:c r="S670" s="13" t="b">
        <x:v>0</x:v>
      </x:c>
      <x:c r="T670" s="13" t="b">
        <x:v>0</x:v>
      </x:c>
    </x:row>
    <x:row r="671" ht="23" customHeight="1">
      <x:c r="A671" s="2" t="str">
        <x:v>IRL</x:v>
      </x:c>
      <x:c r="B671" s="2" t="str">
        <x:v>Ireland</x:v>
      </x:c>
      <x:c r="C671" s="2" t="n">
        <x:v>2020</x:v>
      </x:c>
      <x:c r="D671" s="2" t="str">
        <x:v>GHSL_VOLUME</x:v>
      </x:c>
      <x:c r="E671" s="2" t="str">
        <x:v>volume</x:v>
      </x:c>
      <x:c r="F671" s="2" t="str">
        <x:v>m3</x:v>
      </x:c>
      <x:c r="G671" s="17" t="n">
        <x:v>1175016849.13</x:v>
      </x:c>
      <x:c r="H671" s="17" t="n">
        <x:v>2701122744.631371</x:v>
      </x:c>
      <x:c r="I671" s="17" t="n">
        <x:f>IF(AND(L671,ISNUMBER(G671),ISNUMBER(H671)),G671-H671,"n.a.")</x:f>
        <x:v>-1526105895.501371</x:v>
      </x:c>
      <x:c r="J671" s="15" t="n">
        <x:f>IF(AND(L671,ISNUMBER(G671),ISNUMBER(H671),H671&gt;0),(G671-H671)/H671,"n.a.")</x:f>
        <x:v>-0.5649894654119624</x:v>
      </x:c>
      <x:c r="K671" s="19" t="n">
        <x:f>IF(ISNUMBER(J671),ABS(J671),"n.a.")</x:f>
        <x:v>0.5649894654119624</x:v>
      </x:c>
      <x:c r="L671" s="13" t="b">
        <x:v>1</x:v>
      </x:c>
      <x:c r="M671" s="13" t="b">
        <x:v>1</x:v>
      </x:c>
      <x:c r="N671" s="2" t="str">
        <x:v>qualified_paired_native_source_frame</x:v>
      </x:c>
      <x:c r="O671" s="2" t="str">
        <x:v>none</x:v>
      </x:c>
      <x:c r="P671" s="2" t="str">
        <x:v>modeled_epoch_volume_with_fixed2018_height_and_predominant_use</x:v>
      </x:c>
      <x:c r="Q671" s="2" t="str">
        <x:v>Only qualified source rows admitted; CAN/PAK/TUV/USA fail source checks; PSE unmapped in retained table</x:v>
      </x:c>
      <x:c r="R671" s="2" t="str">
        <x:v>https://human-settlement.emergency.copernicus.eu/ghs_buV2023.php</x:v>
      </x:c>
      <x:c r="S671" s="13" t="b">
        <x:v>0</x:v>
      </x:c>
      <x:c r="T671" s="13" t="b">
        <x:v>0</x:v>
      </x:c>
    </x:row>
    <x:row r="672" ht="23" customHeight="1">
      <x:c r="A672" s="2" t="str">
        <x:v>IRN</x:v>
      </x:c>
      <x:c r="B672" s="2" t="str">
        <x:v>Iran (Islamic Republic of)</x:v>
      </x:c>
      <x:c r="C672" s="2" t="n">
        <x:v>2020</x:v>
      </x:c>
      <x:c r="D672" s="2" t="str">
        <x:v>GHSL_VOLUME</x:v>
      </x:c>
      <x:c r="E672" s="2" t="str">
        <x:v>volume</x:v>
      </x:c>
      <x:c r="F672" s="2" t="str">
        <x:v>m3</x:v>
      </x:c>
      <x:c r="G672" s="17" t="n">
        <x:v>11996342355.59</x:v>
      </x:c>
      <x:c r="H672" s="17" t="n">
        <x:v>25583927984.129414</x:v>
      </x:c>
      <x:c r="I672" s="17" t="n">
        <x:f>IF(AND(L672,ISNUMBER(G672),ISNUMBER(H672)),G672-H672,"n.a.")</x:f>
        <x:v>-13587585628.539413</x:v>
      </x:c>
      <x:c r="J672" s="15" t="n">
        <x:f>IF(AND(L672,ISNUMBER(G672),ISNUMBER(H672),H672&gt;0),(G672-H672)/H672,"n.a.")</x:f>
        <x:v>-0.5310984942174735</x:v>
      </x:c>
      <x:c r="K672" s="19" t="n">
        <x:f>IF(ISNUMBER(J672),ABS(J672),"n.a.")</x:f>
        <x:v>0.5310984942174735</x:v>
      </x:c>
      <x:c r="L672" s="13" t="b">
        <x:v>1</x:v>
      </x:c>
      <x:c r="M672" s="13" t="b">
        <x:v>1</x:v>
      </x:c>
      <x:c r="N672" s="2" t="str">
        <x:v>qualified_paired_native_source_frame</x:v>
      </x:c>
      <x:c r="O672" s="2" t="str">
        <x:v>none</x:v>
      </x:c>
      <x:c r="P672" s="2" t="str">
        <x:v>modeled_epoch_volume_with_fixed2018_height_and_predominant_use</x:v>
      </x:c>
      <x:c r="Q672" s="2" t="str">
        <x:v>Only qualified source rows admitted; CAN/PAK/TUV/USA fail source checks; PSE unmapped in retained table</x:v>
      </x:c>
      <x:c r="R672" s="2" t="str">
        <x:v>https://human-settlement.emergency.copernicus.eu/ghs_buV2023.php</x:v>
      </x:c>
      <x:c r="S672" s="13" t="b">
        <x:v>0</x:v>
      </x:c>
      <x:c r="T672" s="13" t="b">
        <x:v>0</x:v>
      </x:c>
    </x:row>
    <x:row r="673" ht="23" customHeight="1">
      <x:c r="A673" s="2" t="str">
        <x:v>IRQ</x:v>
      </x:c>
      <x:c r="B673" s="2" t="str">
        <x:v>Iraq (Republic of)</x:v>
      </x:c>
      <x:c r="C673" s="2" t="n">
        <x:v>2020</x:v>
      </x:c>
      <x:c r="D673" s="2" t="str">
        <x:v>GHSL_VOLUME</x:v>
      </x:c>
      <x:c r="E673" s="2" t="str">
        <x:v>volume</x:v>
      </x:c>
      <x:c r="F673" s="2" t="str">
        <x:v>m3</x:v>
      </x:c>
      <x:c r="G673" s="17" t="n">
        <x:v>3508223180.22</x:v>
      </x:c>
      <x:c r="H673" s="17" t="n">
        <x:v>8192264661.447058</x:v>
      </x:c>
      <x:c r="I673" s="17" t="n">
        <x:f>IF(AND(L673,ISNUMBER(G673),ISNUMBER(H673)),G673-H673,"n.a.")</x:f>
        <x:v>-4684041481.227058</x:v>
      </x:c>
      <x:c r="J673" s="15" t="n">
        <x:f>IF(AND(L673,ISNUMBER(G673),ISNUMBER(H673),H673&gt;0),(G673-H673)/H673,"n.a.")</x:f>
        <x:v>-0.5717639352241927</x:v>
      </x:c>
      <x:c r="K673" s="19" t="n">
        <x:f>IF(ISNUMBER(J673),ABS(J673),"n.a.")</x:f>
        <x:v>0.5717639352241927</x:v>
      </x:c>
      <x:c r="L673" s="13" t="b">
        <x:v>1</x:v>
      </x:c>
      <x:c r="M673" s="13" t="b">
        <x:v>1</x:v>
      </x:c>
      <x:c r="N673" s="2" t="str">
        <x:v>qualified_paired_native_source_frame</x:v>
      </x:c>
      <x:c r="O673" s="2" t="str">
        <x:v>none</x:v>
      </x:c>
      <x:c r="P673" s="2" t="str">
        <x:v>modeled_epoch_volume_with_fixed2018_height_and_predominant_use</x:v>
      </x:c>
      <x:c r="Q673" s="2" t="str">
        <x:v>Only qualified source rows admitted; CAN/PAK/TUV/USA fail source checks; PSE unmapped in retained table</x:v>
      </x:c>
      <x:c r="R673" s="2" t="str">
        <x:v>https://human-settlement.emergency.copernicus.eu/ghs_buV2023.php</x:v>
      </x:c>
      <x:c r="S673" s="13" t="b">
        <x:v>0</x:v>
      </x:c>
      <x:c r="T673" s="13" t="b">
        <x:v>0</x:v>
      </x:c>
    </x:row>
    <x:row r="674" ht="23" customHeight="1">
      <x:c r="A674" s="2" t="str">
        <x:v>ISL</x:v>
      </x:c>
      <x:c r="B674" s="2" t="str">
        <x:v>Iceland</x:v>
      </x:c>
      <x:c r="C674" s="2" t="n">
        <x:v>2020</x:v>
      </x:c>
      <x:c r="D674" s="2" t="str">
        <x:v>GHSL_VOLUME</x:v>
      </x:c>
      <x:c r="E674" s="2" t="str">
        <x:v>volume</x:v>
      </x:c>
      <x:c r="F674" s="2" t="str">
        <x:v>m3</x:v>
      </x:c>
      <x:c r="G674" s="17" t="n">
        <x:v>94926985.96</x:v>
      </x:c>
      <x:c r="H674" s="17" t="n">
        <x:v>137569166.74509808</x:v>
      </x:c>
      <x:c r="I674" s="17" t="n">
        <x:f>IF(AND(L674,ISNUMBER(G674),ISNUMBER(H674)),G674-H674,"n.a.")</x:f>
        <x:v>-42642180.78509809</x:v>
      </x:c>
      <x:c r="J674" s="15" t="n">
        <x:f>IF(AND(L674,ISNUMBER(G674),ISNUMBER(H674),H674&gt;0),(G674-H674)/H674,"n.a.")</x:f>
        <x:v>-0.3099690271738709</x:v>
      </x:c>
      <x:c r="K674" s="19" t="n">
        <x:f>IF(ISNUMBER(J674),ABS(J674),"n.a.")</x:f>
        <x:v>0.3099690271738709</x:v>
      </x:c>
      <x:c r="L674" s="13" t="b">
        <x:v>1</x:v>
      </x:c>
      <x:c r="M674" s="13" t="b">
        <x:v>1</x:v>
      </x:c>
      <x:c r="N674" s="2" t="str">
        <x:v>qualified_paired_native_source_frame</x:v>
      </x:c>
      <x:c r="O674" s="2" t="str">
        <x:v>none</x:v>
      </x:c>
      <x:c r="P674" s="2" t="str">
        <x:v>modeled_epoch_volume_with_fixed2018_height_and_predominant_use</x:v>
      </x:c>
      <x:c r="Q674" s="2" t="str">
        <x:v>Only qualified source rows admitted; CAN/PAK/TUV/USA fail source checks; PSE unmapped in retained table</x:v>
      </x:c>
      <x:c r="R674" s="2" t="str">
        <x:v>https://human-settlement.emergency.copernicus.eu/ghs_buV2023.php</x:v>
      </x:c>
      <x:c r="S674" s="13" t="b">
        <x:v>0</x:v>
      </x:c>
      <x:c r="T674" s="13" t="b">
        <x:v>0</x:v>
      </x:c>
    </x:row>
    <x:row r="675" ht="23" customHeight="1">
      <x:c r="A675" s="2" t="str">
        <x:v>ISR</x:v>
      </x:c>
      <x:c r="B675" s="2" t="str">
        <x:v>Israel (State of)</x:v>
      </x:c>
      <x:c r="C675" s="2" t="n">
        <x:v>2020</x:v>
      </x:c>
      <x:c r="D675" s="2" t="str">
        <x:v>GHSL_VOLUME</x:v>
      </x:c>
      <x:c r="E675" s="2" t="str">
        <x:v>volume</x:v>
      </x:c>
      <x:c r="F675" s="2" t="str">
        <x:v>m3</x:v>
      </x:c>
      <x:c r="G675" s="17" t="n">
        <x:v>1257234675.08</x:v>
      </x:c>
      <x:c r="H675" s="17" t="n">
        <x:v>3731540885.7450967</x:v>
      </x:c>
      <x:c r="I675" s="17" t="n">
        <x:f>IF(AND(L675,ISNUMBER(G675),ISNUMBER(H675)),G675-H675,"n.a.")</x:f>
        <x:v>-2474306210.6650968</x:v>
      </x:c>
      <x:c r="J675" s="15" t="n">
        <x:f>IF(AND(L675,ISNUMBER(G675),ISNUMBER(H675),H675&gt;0),(G675-H675)/H675,"n.a.")</x:f>
        <x:v>-0.6630789495345537</x:v>
      </x:c>
      <x:c r="K675" s="19" t="n">
        <x:f>IF(ISNUMBER(J675),ABS(J675),"n.a.")</x:f>
        <x:v>0.6630789495345537</x:v>
      </x:c>
      <x:c r="L675" s="13" t="b">
        <x:v>1</x:v>
      </x:c>
      <x:c r="M675" s="13" t="b">
        <x:v>1</x:v>
      </x:c>
      <x:c r="N675" s="2" t="str">
        <x:v>qualified_paired_native_source_frame</x:v>
      </x:c>
      <x:c r="O675" s="2" t="str">
        <x:v>none</x:v>
      </x:c>
      <x:c r="P675" s="2" t="str">
        <x:v>modeled_epoch_volume_with_fixed2018_height_and_predominant_use</x:v>
      </x:c>
      <x:c r="Q675" s="2" t="str">
        <x:v>Only qualified source rows admitted; CAN/PAK/TUV/USA fail source checks; PSE unmapped in retained table</x:v>
      </x:c>
      <x:c r="R675" s="2" t="str">
        <x:v>https://human-settlement.emergency.copernicus.eu/ghs_buV2023.php</x:v>
      </x:c>
      <x:c r="S675" s="13" t="b">
        <x:v>0</x:v>
      </x:c>
      <x:c r="T675" s="13" t="b">
        <x:v>0</x:v>
      </x:c>
    </x:row>
    <x:row r="676" ht="23" customHeight="1">
      <x:c r="A676" s="2" t="str">
        <x:v>ITA</x:v>
      </x:c>
      <x:c r="B676" s="2" t="str">
        <x:v>Italy (Italian Republic)</x:v>
      </x:c>
      <x:c r="C676" s="2" t="n">
        <x:v>2020</x:v>
      </x:c>
      <x:c r="D676" s="2" t="str">
        <x:v>GHSL_VOLUME</x:v>
      </x:c>
      <x:c r="E676" s="2" t="str">
        <x:v>volume</x:v>
      </x:c>
      <x:c r="F676" s="2" t="str">
        <x:v>m3</x:v>
      </x:c>
      <x:c r="G676" s="17" t="n">
        <x:v>17604473968.7</x:v>
      </x:c>
      <x:c r="H676" s="17" t="n">
        <x:v>39629821274.29804</x:v>
      </x:c>
      <x:c r="I676" s="17" t="n">
        <x:f>IF(AND(L676,ISNUMBER(G676),ISNUMBER(H676)),G676-H676,"n.a.")</x:f>
        <x:v>-22025347305.59804</x:v>
      </x:c>
      <x:c r="J676" s="15" t="n">
        <x:f>IF(AND(L676,ISNUMBER(G676),ISNUMBER(H676),H676&gt;0),(G676-H676)/H676,"n.a.")</x:f>
        <x:v>-0.5557771041446155</x:v>
      </x:c>
      <x:c r="K676" s="19" t="n">
        <x:f>IF(ISNUMBER(J676),ABS(J676),"n.a.")</x:f>
        <x:v>0.5557771041446155</x:v>
      </x:c>
      <x:c r="L676" s="13" t="b">
        <x:v>1</x:v>
      </x:c>
      <x:c r="M676" s="13" t="b">
        <x:v>1</x:v>
      </x:c>
      <x:c r="N676" s="2" t="str">
        <x:v>qualified_paired_native_source_frame</x:v>
      </x:c>
      <x:c r="O676" s="2" t="str">
        <x:v>none</x:v>
      </x:c>
      <x:c r="P676" s="2" t="str">
        <x:v>modeled_epoch_volume_with_fixed2018_height_and_predominant_use</x:v>
      </x:c>
      <x:c r="Q676" s="2" t="str">
        <x:v>Only qualified source rows admitted; CAN/PAK/TUV/USA fail source checks; PSE unmapped in retained table</x:v>
      </x:c>
      <x:c r="R676" s="2" t="str">
        <x:v>https://human-settlement.emergency.copernicus.eu/ghs_buV2023.php</x:v>
      </x:c>
      <x:c r="S676" s="13" t="b">
        <x:v>0</x:v>
      </x:c>
      <x:c r="T676" s="13" t="b">
        <x:v>0</x:v>
      </x:c>
    </x:row>
    <x:row r="677" ht="23" customHeight="1">
      <x:c r="A677" s="2" t="str">
        <x:v>JAM</x:v>
      </x:c>
      <x:c r="B677" s="2" t="str">
        <x:v>Jamaica</x:v>
      </x:c>
      <x:c r="C677" s="2" t="n">
        <x:v>2020</x:v>
      </x:c>
      <x:c r="D677" s="2" t="str">
        <x:v>GHSL_VOLUME</x:v>
      </x:c>
      <x:c r="E677" s="2" t="str">
        <x:v>volume</x:v>
      </x:c>
      <x:c r="F677" s="2" t="str">
        <x:v>m3</x:v>
      </x:c>
      <x:c r="G677" s="17" t="n">
        <x:v>310385505.64</x:v>
      </x:c>
      <x:c r="H677" s="17" t="n">
        <x:v>1000446002.5607845</x:v>
      </x:c>
      <x:c r="I677" s="17" t="n">
        <x:f>IF(AND(L677,ISNUMBER(G677),ISNUMBER(H677)),G677-H677,"n.a.")</x:f>
        <x:v>-690060496.9207845</x:v>
      </x:c>
      <x:c r="J677" s="15" t="n">
        <x:f>IF(AND(L677,ISNUMBER(G677),ISNUMBER(H677),H677&gt;0),(G677-H677)/H677,"n.a.")</x:f>
        <x:v>-0.6897528653765181</x:v>
      </x:c>
      <x:c r="K677" s="19" t="n">
        <x:f>IF(ISNUMBER(J677),ABS(J677),"n.a.")</x:f>
        <x:v>0.6897528653765181</x:v>
      </x:c>
      <x:c r="L677" s="13" t="b">
        <x:v>1</x:v>
      </x:c>
      <x:c r="M677" s="13" t="b">
        <x:v>1</x:v>
      </x:c>
      <x:c r="N677" s="2" t="str">
        <x:v>qualified_paired_native_source_frame</x:v>
      </x:c>
      <x:c r="O677" s="2" t="str">
        <x:v>none</x:v>
      </x:c>
      <x:c r="P677" s="2" t="str">
        <x:v>modeled_epoch_volume_with_fixed2018_height_and_predominant_use</x:v>
      </x:c>
      <x:c r="Q677" s="2" t="str">
        <x:v>Only qualified source rows admitted; CAN/PAK/TUV/USA fail source checks; PSE unmapped in retained table</x:v>
      </x:c>
      <x:c r="R677" s="2" t="str">
        <x:v>https://human-settlement.emergency.copernicus.eu/ghs_buV2023.php</x:v>
      </x:c>
      <x:c r="S677" s="13" t="b">
        <x:v>0</x:v>
      </x:c>
      <x:c r="T677" s="13" t="b">
        <x:v>0</x:v>
      </x:c>
    </x:row>
    <x:row r="678" ht="23" customHeight="1">
      <x:c r="A678" s="2" t="str">
        <x:v>JOR</x:v>
      </x:c>
      <x:c r="B678" s="2" t="str">
        <x:v>Jordan (Hashemite Kingdom of)</x:v>
      </x:c>
      <x:c r="C678" s="2" t="n">
        <x:v>2020</x:v>
      </x:c>
      <x:c r="D678" s="2" t="str">
        <x:v>GHSL_VOLUME</x:v>
      </x:c>
      <x:c r="E678" s="2" t="str">
        <x:v>volume</x:v>
      </x:c>
      <x:c r="F678" s="2" t="str">
        <x:v>m3</x:v>
      </x:c>
      <x:c r="G678" s="17" t="n">
        <x:v>820143957.85</x:v>
      </x:c>
      <x:c r="H678" s="17" t="n">
        <x:v>2539702030.560784</x:v>
      </x:c>
      <x:c r="I678" s="17" t="n">
        <x:f>IF(AND(L678,ISNUMBER(G678),ISNUMBER(H678)),G678-H678,"n.a.")</x:f>
        <x:v>-1719558072.710784</x:v>
      </x:c>
      <x:c r="J678" s="15" t="n">
        <x:f>IF(AND(L678,ISNUMBER(G678),ISNUMBER(H678),H678&gt;0),(G678-H678)/H678,"n.a.")</x:f>
        <x:v>-0.6770707949275032</x:v>
      </x:c>
      <x:c r="K678" s="19" t="n">
        <x:f>IF(ISNUMBER(J678),ABS(J678),"n.a.")</x:f>
        <x:v>0.6770707949275032</x:v>
      </x:c>
      <x:c r="L678" s="13" t="b">
        <x:v>1</x:v>
      </x:c>
      <x:c r="M678" s="13" t="b">
        <x:v>1</x:v>
      </x:c>
      <x:c r="N678" s="2" t="str">
        <x:v>qualified_paired_native_source_frame</x:v>
      </x:c>
      <x:c r="O678" s="2" t="str">
        <x:v>none</x:v>
      </x:c>
      <x:c r="P678" s="2" t="str">
        <x:v>modeled_epoch_volume_with_fixed2018_height_and_predominant_use</x:v>
      </x:c>
      <x:c r="Q678" s="2" t="str">
        <x:v>Only qualified source rows admitted; CAN/PAK/TUV/USA fail source checks; PSE unmapped in retained table</x:v>
      </x:c>
      <x:c r="R678" s="2" t="str">
        <x:v>https://human-settlement.emergency.copernicus.eu/ghs_buV2023.php</x:v>
      </x:c>
      <x:c r="S678" s="13" t="b">
        <x:v>0</x:v>
      </x:c>
      <x:c r="T678" s="13" t="b">
        <x:v>0</x:v>
      </x:c>
    </x:row>
    <x:row r="679" ht="23" customHeight="1">
      <x:c r="A679" s="2" t="str">
        <x:v>JPN</x:v>
      </x:c>
      <x:c r="B679" s="2" t="str">
        <x:v>Japan</x:v>
      </x:c>
      <x:c r="C679" s="2" t="n">
        <x:v>2020</x:v>
      </x:c>
      <x:c r="D679" s="2" t="str">
        <x:v>GHSL_VOLUME</x:v>
      </x:c>
      <x:c r="E679" s="2" t="str">
        <x:v>volume</x:v>
      </x:c>
      <x:c r="F679" s="2" t="str">
        <x:v>m3</x:v>
      </x:c>
      <x:c r="G679" s="17" t="n">
        <x:v>27944106649.18</x:v>
      </x:c>
      <x:c r="H679" s="17" t="n">
        <x:v>107019852231.9451</x:v>
      </x:c>
      <x:c r="I679" s="17" t="n">
        <x:f>IF(AND(L679,ISNUMBER(G679),ISNUMBER(H679)),G679-H679,"n.a.")</x:f>
        <x:v>-79075745582.7651</x:v>
      </x:c>
      <x:c r="J679" s="15" t="n">
        <x:f>IF(AND(L679,ISNUMBER(G679),ISNUMBER(H679),H679&gt;0),(G679-H679)/H679,"n.a.")</x:f>
        <x:v>-0.7388885700513165</x:v>
      </x:c>
      <x:c r="K679" s="19" t="n">
        <x:f>IF(ISNUMBER(J679),ABS(J679),"n.a.")</x:f>
        <x:v>0.7388885700513165</x:v>
      </x:c>
      <x:c r="L679" s="13" t="b">
        <x:v>1</x:v>
      </x:c>
      <x:c r="M679" s="13" t="b">
        <x:v>1</x:v>
      </x:c>
      <x:c r="N679" s="2" t="str">
        <x:v>qualified_paired_native_source_frame</x:v>
      </x:c>
      <x:c r="O679" s="2" t="str">
        <x:v>none</x:v>
      </x:c>
      <x:c r="P679" s="2" t="str">
        <x:v>modeled_epoch_volume_with_fixed2018_height_and_predominant_use</x:v>
      </x:c>
      <x:c r="Q679" s="2" t="str">
        <x:v>Only qualified source rows admitted; CAN/PAK/TUV/USA fail source checks; PSE unmapped in retained table</x:v>
      </x:c>
      <x:c r="R679" s="2" t="str">
        <x:v>https://human-settlement.emergency.copernicus.eu/ghs_buV2023.php</x:v>
      </x:c>
      <x:c r="S679" s="13" t="b">
        <x:v>0</x:v>
      </x:c>
      <x:c r="T679" s="13" t="b">
        <x:v>0</x:v>
      </x:c>
    </x:row>
    <x:row r="680" ht="23" customHeight="1">
      <x:c r="A680" s="2" t="str">
        <x:v>KAZ</x:v>
      </x:c>
      <x:c r="B680" s="2" t="str">
        <x:v>Kazakhstan (Republic of)</x:v>
      </x:c>
      <x:c r="C680" s="2" t="n">
        <x:v>2020</x:v>
      </x:c>
      <x:c r="D680" s="2" t="str">
        <x:v>GHSL_VOLUME</x:v>
      </x:c>
      <x:c r="E680" s="2" t="str">
        <x:v>volume</x:v>
      </x:c>
      <x:c r="F680" s="2" t="str">
        <x:v>m3</x:v>
      </x:c>
      <x:c r="G680" s="17" t="n">
        <x:v>2943667375.07</x:v>
      </x:c>
      <x:c r="H680" s="17" t="n">
        <x:v>12128641312.317646</x:v>
      </x:c>
      <x:c r="I680" s="17" t="n">
        <x:f>IF(AND(L680,ISNUMBER(G680),ISNUMBER(H680)),G680-H680,"n.a.")</x:f>
        <x:v>-9184973937.247646</x:v>
      </x:c>
      <x:c r="J680" s="15" t="n">
        <x:f>IF(AND(L680,ISNUMBER(G680),ISNUMBER(H680),H680&gt;0),(G680-H680)/H680,"n.a.")</x:f>
        <x:v>-0.7572961967239925</x:v>
      </x:c>
      <x:c r="K680" s="19" t="n">
        <x:f>IF(ISNUMBER(J680),ABS(J680),"n.a.")</x:f>
        <x:v>0.7572961967239925</x:v>
      </x:c>
      <x:c r="L680" s="13" t="b">
        <x:v>1</x:v>
      </x:c>
      <x:c r="M680" s="13" t="b">
        <x:v>1</x:v>
      </x:c>
      <x:c r="N680" s="2" t="str">
        <x:v>qualified_paired_native_source_frame</x:v>
      </x:c>
      <x:c r="O680" s="2" t="str">
        <x:v>none</x:v>
      </x:c>
      <x:c r="P680" s="2" t="str">
        <x:v>modeled_epoch_volume_with_fixed2018_height_and_predominant_use</x:v>
      </x:c>
      <x:c r="Q680" s="2" t="str">
        <x:v>Only qualified source rows admitted; CAN/PAK/TUV/USA fail source checks; PSE unmapped in retained table</x:v>
      </x:c>
      <x:c r="R680" s="2" t="str">
        <x:v>https://human-settlement.emergency.copernicus.eu/ghs_buV2023.php</x:v>
      </x:c>
      <x:c r="S680" s="13" t="b">
        <x:v>0</x:v>
      </x:c>
      <x:c r="T680" s="13" t="b">
        <x:v>0</x:v>
      </x:c>
    </x:row>
    <x:row r="681" ht="23" customHeight="1">
      <x:c r="A681" s="2" t="str">
        <x:v>KEN</x:v>
      </x:c>
      <x:c r="B681" s="2" t="str">
        <x:v>Kenya (Republic of)</x:v>
      </x:c>
      <x:c r="C681" s="2" t="n">
        <x:v>2020</x:v>
      </x:c>
      <x:c r="D681" s="2" t="str">
        <x:v>GHSL_VOLUME</x:v>
      </x:c>
      <x:c r="E681" s="2" t="str">
        <x:v>volume</x:v>
      </x:c>
      <x:c r="F681" s="2" t="str">
        <x:v>m3</x:v>
      </x:c>
      <x:c r="G681" s="17" t="n">
        <x:v>2460424318.71</x:v>
      </x:c>
      <x:c r="H681" s="17" t="n">
        <x:v>10000453818.984314</x:v>
      </x:c>
      <x:c r="I681" s="17" t="n">
        <x:f>IF(AND(L681,ISNUMBER(G681),ISNUMBER(H681)),G681-H681,"n.a.")</x:f>
        <x:v>-7540029500.274314</x:v>
      </x:c>
      <x:c r="J681" s="15" t="n">
        <x:f>IF(AND(L681,ISNUMBER(G681),ISNUMBER(H681),H681&gt;0),(G681-H681)/H681,"n.a.")</x:f>
        <x:v>-0.7539687334949475</x:v>
      </x:c>
      <x:c r="K681" s="19" t="n">
        <x:f>IF(ISNUMBER(J681),ABS(J681),"n.a.")</x:f>
        <x:v>0.7539687334949475</x:v>
      </x:c>
      <x:c r="L681" s="13" t="b">
        <x:v>1</x:v>
      </x:c>
      <x:c r="M681" s="13" t="b">
        <x:v>1</x:v>
      </x:c>
      <x:c r="N681" s="2" t="str">
        <x:v>qualified_paired_native_source_frame</x:v>
      </x:c>
      <x:c r="O681" s="2" t="str">
        <x:v>none</x:v>
      </x:c>
      <x:c r="P681" s="2" t="str">
        <x:v>modeled_epoch_volume_with_fixed2018_height_and_predominant_use</x:v>
      </x:c>
      <x:c r="Q681" s="2" t="str">
        <x:v>Only qualified source rows admitted; CAN/PAK/TUV/USA fail source checks; PSE unmapped in retained table</x:v>
      </x:c>
      <x:c r="R681" s="2" t="str">
        <x:v>https://human-settlement.emergency.copernicus.eu/ghs_buV2023.php</x:v>
      </x:c>
      <x:c r="S681" s="13" t="b">
        <x:v>0</x:v>
      </x:c>
      <x:c r="T681" s="13" t="b">
        <x:v>0</x:v>
      </x:c>
    </x:row>
    <x:row r="682" ht="23" customHeight="1">
      <x:c r="A682" s="2" t="str">
        <x:v>KGZ</x:v>
      </x:c>
      <x:c r="B682" s="2" t="str">
        <x:v>Kyrgyzstan (Kyrgyz Republic)</x:v>
      </x:c>
      <x:c r="C682" s="2" t="n">
        <x:v>2020</x:v>
      </x:c>
      <x:c r="D682" s="2" t="str">
        <x:v>GHSL_VOLUME</x:v>
      </x:c>
      <x:c r="E682" s="2" t="str">
        <x:v>volume</x:v>
      </x:c>
      <x:c r="F682" s="2" t="str">
        <x:v>m3</x:v>
      </x:c>
      <x:c r="G682" s="17" t="n">
        <x:v>826212058.11</x:v>
      </x:c>
      <x:c r="H682" s="17" t="n">
        <x:v>3227143967.247059</x:v>
      </x:c>
      <x:c r="I682" s="17" t="n">
        <x:f>IF(AND(L682,ISNUMBER(G682),ISNUMBER(H682)),G682-H682,"n.a.")</x:f>
        <x:v>-2400931909.1370587</x:v>
      </x:c>
      <x:c r="J682" s="15" t="n">
        <x:f>IF(AND(L682,ISNUMBER(G682),ISNUMBER(H682),H682&gt;0),(G682-H682)/H682,"n.a.")</x:f>
        <x:v>-0.7439804153470082</x:v>
      </x:c>
      <x:c r="K682" s="19" t="n">
        <x:f>IF(ISNUMBER(J682),ABS(J682),"n.a.")</x:f>
        <x:v>0.7439804153470082</x:v>
      </x:c>
      <x:c r="L682" s="13" t="b">
        <x:v>1</x:v>
      </x:c>
      <x:c r="M682" s="13" t="b">
        <x:v>1</x:v>
      </x:c>
      <x:c r="N682" s="2" t="str">
        <x:v>qualified_paired_native_source_frame</x:v>
      </x:c>
      <x:c r="O682" s="2" t="str">
        <x:v>none</x:v>
      </x:c>
      <x:c r="P682" s="2" t="str">
        <x:v>modeled_epoch_volume_with_fixed2018_height_and_predominant_use</x:v>
      </x:c>
      <x:c r="Q682" s="2" t="str">
        <x:v>Only qualified source rows admitted; CAN/PAK/TUV/USA fail source checks; PSE unmapped in retained table</x:v>
      </x:c>
      <x:c r="R682" s="2" t="str">
        <x:v>https://human-settlement.emergency.copernicus.eu/ghs_buV2023.php</x:v>
      </x:c>
      <x:c r="S682" s="13" t="b">
        <x:v>0</x:v>
      </x:c>
      <x:c r="T682" s="13" t="b">
        <x:v>0</x:v>
      </x:c>
    </x:row>
    <x:row r="683" ht="23" customHeight="1">
      <x:c r="A683" s="2" t="str">
        <x:v>KHM</x:v>
      </x:c>
      <x:c r="B683" s="2" t="str">
        <x:v>Cambodia (Kingdom of)</x:v>
      </x:c>
      <x:c r="C683" s="2" t="n">
        <x:v>2020</x:v>
      </x:c>
      <x:c r="D683" s="2" t="str">
        <x:v>GHSL_VOLUME</x:v>
      </x:c>
      <x:c r="E683" s="2" t="str">
        <x:v>volume</x:v>
      </x:c>
      <x:c r="F683" s="2" t="str">
        <x:v>m3</x:v>
      </x:c>
      <x:c r="G683" s="17" t="n">
        <x:v>1795847634.11</x:v>
      </x:c>
      <x:c r="H683" s="17" t="n">
        <x:v>2874208465.1176476</x:v>
      </x:c>
      <x:c r="I683" s="17" t="n">
        <x:f>IF(AND(L683,ISNUMBER(G683),ISNUMBER(H683)),G683-H683,"n.a.")</x:f>
        <x:v>-1078360831.0076478</x:v>
      </x:c>
      <x:c r="J683" s="15" t="n">
        <x:f>IF(AND(L683,ISNUMBER(G683),ISNUMBER(H683),H683&gt;0),(G683-H683)/H683,"n.a.")</x:f>
        <x:v>-0.37518532287932294</x:v>
      </x:c>
      <x:c r="K683" s="19" t="n">
        <x:f>IF(ISNUMBER(J683),ABS(J683),"n.a.")</x:f>
        <x:v>0.37518532287932294</x:v>
      </x:c>
      <x:c r="L683" s="13" t="b">
        <x:v>1</x:v>
      </x:c>
      <x:c r="M683" s="13" t="b">
        <x:v>1</x:v>
      </x:c>
      <x:c r="N683" s="2" t="str">
        <x:v>qualified_paired_native_source_frame</x:v>
      </x:c>
      <x:c r="O683" s="2" t="str">
        <x:v>none</x:v>
      </x:c>
      <x:c r="P683" s="2" t="str">
        <x:v>modeled_epoch_volume_with_fixed2018_height_and_predominant_use</x:v>
      </x:c>
      <x:c r="Q683" s="2" t="str">
        <x:v>Only qualified source rows admitted; CAN/PAK/TUV/USA fail source checks; PSE unmapped in retained table</x:v>
      </x:c>
      <x:c r="R683" s="2" t="str">
        <x:v>https://human-settlement.emergency.copernicus.eu/ghs_buV2023.php</x:v>
      </x:c>
      <x:c r="S683" s="13" t="b">
        <x:v>0</x:v>
      </x:c>
      <x:c r="T683" s="13" t="b">
        <x:v>0</x:v>
      </x:c>
    </x:row>
    <x:row r="684" ht="23" customHeight="1">
      <x:c r="A684" s="2" t="str">
        <x:v>KIR</x:v>
      </x:c>
      <x:c r="B684" s="2" t="str">
        <x:v>Kiribati (Republic of)</x:v>
      </x:c>
      <x:c r="C684" s="2" t="n">
        <x:v>2020</x:v>
      </x:c>
      <x:c r="D684" s="2" t="str">
        <x:v>GHSL_VOLUME</x:v>
      </x:c>
      <x:c r="E684" s="2" t="str">
        <x:v>volume</x:v>
      </x:c>
      <x:c r="F684" s="2" t="str">
        <x:v>m3</x:v>
      </x:c>
      <x:c r="G684" s="17" t="n">
        <x:v>4356830.95</x:v>
      </x:c>
      <x:c r="H684" s="17" t="n">
        <x:v>1977085.5843137254</x:v>
      </x:c>
      <x:c r="I684" s="17" t="n">
        <x:f>IF(AND(L684,ISNUMBER(G684),ISNUMBER(H684)),G684-H684,"n.a.")</x:f>
        <x:v>2379745.365686275</x:v>
      </x:c>
      <x:c r="J684" s="15" t="n">
        <x:f>IF(AND(L684,ISNUMBER(G684),ISNUMBER(H684),H684&gt;0),(G684-H684)/H684,"n.a.")</x:f>
        <x:v>1.2036633034843145</x:v>
      </x:c>
      <x:c r="K684" s="19" t="n">
        <x:f>IF(ISNUMBER(J684),ABS(J684),"n.a.")</x:f>
        <x:v>1.2036633034843145</x:v>
      </x:c>
      <x:c r="L684" s="13" t="b">
        <x:v>1</x:v>
      </x:c>
      <x:c r="M684" s="13" t="b">
        <x:v>1</x:v>
      </x:c>
      <x:c r="N684" s="2" t="str">
        <x:v>qualified_paired_native_source_frame</x:v>
      </x:c>
      <x:c r="O684" s="2" t="str">
        <x:v>none</x:v>
      </x:c>
      <x:c r="P684" s="2" t="str">
        <x:v>modeled_epoch_volume_with_fixed2018_height_and_predominant_use</x:v>
      </x:c>
      <x:c r="Q684" s="2" t="str">
        <x:v>Only qualified source rows admitted; CAN/PAK/TUV/USA fail source checks; PSE unmapped in retained table</x:v>
      </x:c>
      <x:c r="R684" s="2" t="str">
        <x:v>https://human-settlement.emergency.copernicus.eu/ghs_buV2023.php</x:v>
      </x:c>
      <x:c r="S684" s="13" t="b">
        <x:v>0</x:v>
      </x:c>
      <x:c r="T684" s="13" t="b">
        <x:v>0</x:v>
      </x:c>
    </x:row>
    <x:row r="685" ht="23" customHeight="1">
      <x:c r="A685" s="2" t="str">
        <x:v>KNA</x:v>
      </x:c>
      <x:c r="B685" s="2" t="str">
        <x:v>Saint Kitts and Nevis (Federation of)</x:v>
      </x:c>
      <x:c r="C685" s="2" t="n">
        <x:v>2020</x:v>
      </x:c>
      <x:c r="D685" s="2" t="str">
        <x:v>GHSL_VOLUME</x:v>
      </x:c>
      <x:c r="E685" s="2" t="str">
        <x:v>volume</x:v>
      </x:c>
      <x:c r="F685" s="2" t="str">
        <x:v>m3</x:v>
      </x:c>
      <x:c r="G685" s="17" t="n">
        <x:v>10545293.66</x:v>
      </x:c>
      <x:c r="H685" s="17" t="n">
        <x:v>31303976.972549014</x:v>
      </x:c>
      <x:c r="I685" s="17" t="n">
        <x:f>IF(AND(L685,ISNUMBER(G685),ISNUMBER(H685)),G685-H685,"n.a.")</x:f>
        <x:v>-20758683.312549014</x:v>
      </x:c>
      <x:c r="J685" s="15" t="n">
        <x:f>IF(AND(L685,ISNUMBER(G685),ISNUMBER(H685),H685&gt;0),(G685-H685)/H685,"n.a.")</x:f>
        <x:v>-0.663132461755663</x:v>
      </x:c>
      <x:c r="K685" s="19" t="n">
        <x:f>IF(ISNUMBER(J685),ABS(J685),"n.a.")</x:f>
        <x:v>0.663132461755663</x:v>
      </x:c>
      <x:c r="L685" s="13" t="b">
        <x:v>1</x:v>
      </x:c>
      <x:c r="M685" s="13" t="b">
        <x:v>1</x:v>
      </x:c>
      <x:c r="N685" s="2" t="str">
        <x:v>qualified_paired_native_source_frame</x:v>
      </x:c>
      <x:c r="O685" s="2" t="str">
        <x:v>none</x:v>
      </x:c>
      <x:c r="P685" s="2" t="str">
        <x:v>modeled_epoch_volume_with_fixed2018_height_and_predominant_use</x:v>
      </x:c>
      <x:c r="Q685" s="2" t="str">
        <x:v>Only qualified source rows admitted; CAN/PAK/TUV/USA fail source checks; PSE unmapped in retained table</x:v>
      </x:c>
      <x:c r="R685" s="2" t="str">
        <x:v>https://human-settlement.emergency.copernicus.eu/ghs_buV2023.php</x:v>
      </x:c>
      <x:c r="S685" s="13" t="b">
        <x:v>0</x:v>
      </x:c>
      <x:c r="T685" s="13" t="b">
        <x:v>0</x:v>
      </x:c>
    </x:row>
    <x:row r="686" ht="23" customHeight="1">
      <x:c r="A686" s="2" t="str">
        <x:v>KOR</x:v>
      </x:c>
      <x:c r="B686" s="2" t="str">
        <x:v>Korea (Republic of)</x:v>
      </x:c>
      <x:c r="C686" s="2" t="n">
        <x:v>2020</x:v>
      </x:c>
      <x:c r="D686" s="2" t="str">
        <x:v>GHSL_VOLUME</x:v>
      </x:c>
      <x:c r="E686" s="2" t="str">
        <x:v>volume</x:v>
      </x:c>
      <x:c r="F686" s="2" t="str">
        <x:v>m3</x:v>
      </x:c>
      <x:c r="G686" s="17" t="n">
        <x:v>10708925714</x:v>
      </x:c>
      <x:c r="H686" s="17" t="n">
        <x:v>29964723167.796074</x:v>
      </x:c>
      <x:c r="I686" s="17" t="n">
        <x:f>IF(AND(L686,ISNUMBER(G686),ISNUMBER(H686)),G686-H686,"n.a.")</x:f>
        <x:v>-19255797453.796074</x:v>
      </x:c>
      <x:c r="J686" s="15" t="n">
        <x:f>IF(AND(L686,ISNUMBER(G686),ISNUMBER(H686),H686&gt;0),(G686-H686)/H686,"n.a.")</x:f>
        <x:v>-0.642615563172992</x:v>
      </x:c>
      <x:c r="K686" s="19" t="n">
        <x:f>IF(ISNUMBER(J686),ABS(J686),"n.a.")</x:f>
        <x:v>0.642615563172992</x:v>
      </x:c>
      <x:c r="L686" s="13" t="b">
        <x:v>1</x:v>
      </x:c>
      <x:c r="M686" s="13" t="b">
        <x:v>1</x:v>
      </x:c>
      <x:c r="N686" s="2" t="str">
        <x:v>qualified_paired_native_source_frame</x:v>
      </x:c>
      <x:c r="O686" s="2" t="str">
        <x:v>none</x:v>
      </x:c>
      <x:c r="P686" s="2" t="str">
        <x:v>modeled_epoch_volume_with_fixed2018_height_and_predominant_use</x:v>
      </x:c>
      <x:c r="Q686" s="2" t="str">
        <x:v>Only qualified source rows admitted; CAN/PAK/TUV/USA fail source checks; PSE unmapped in retained table</x:v>
      </x:c>
      <x:c r="R686" s="2" t="str">
        <x:v>https://human-settlement.emergency.copernicus.eu/ghs_buV2023.php</x:v>
      </x:c>
      <x:c r="S686" s="13" t="b">
        <x:v>0</x:v>
      </x:c>
      <x:c r="T686" s="13" t="b">
        <x:v>0</x:v>
      </x:c>
    </x:row>
    <x:row r="687" ht="23" customHeight="1">
      <x:c r="A687" s="2" t="str">
        <x:v>KWT</x:v>
      </x:c>
      <x:c r="B687" s="2" t="str">
        <x:v>Kuwait (State of)</x:v>
      </x:c>
      <x:c r="C687" s="2" t="n">
        <x:v>2020</x:v>
      </x:c>
      <x:c r="D687" s="2" t="str">
        <x:v>GHSL_VOLUME</x:v>
      </x:c>
      <x:c r="E687" s="2" t="str">
        <x:v>volume</x:v>
      </x:c>
      <x:c r="F687" s="2" t="str">
        <x:v>m3</x:v>
      </x:c>
      <x:c r="G687" s="17" t="n">
        <x:v>541789120.14</x:v>
      </x:c>
      <x:c r="H687" s="17" t="n">
        <x:v>2152158781.9529405</x:v>
      </x:c>
      <x:c r="I687" s="17" t="n">
        <x:f>IF(AND(L687,ISNUMBER(G687),ISNUMBER(H687)),G687-H687,"n.a.")</x:f>
        <x:v>-1610369661.8129406</x:v>
      </x:c>
      <x:c r="J687" s="15" t="n">
        <x:f>IF(AND(L687,ISNUMBER(G687),ISNUMBER(H687),H687&gt;0),(G687-H687)/H687,"n.a.")</x:f>
        <x:v>-0.7482578308425912</x:v>
      </x:c>
      <x:c r="K687" s="19" t="n">
        <x:f>IF(ISNUMBER(J687),ABS(J687),"n.a.")</x:f>
        <x:v>0.7482578308425912</x:v>
      </x:c>
      <x:c r="L687" s="13" t="b">
        <x:v>1</x:v>
      </x:c>
      <x:c r="M687" s="13" t="b">
        <x:v>1</x:v>
      </x:c>
      <x:c r="N687" s="2" t="str">
        <x:v>qualified_paired_native_source_frame</x:v>
      </x:c>
      <x:c r="O687" s="2" t="str">
        <x:v>none</x:v>
      </x:c>
      <x:c r="P687" s="2" t="str">
        <x:v>modeled_epoch_volume_with_fixed2018_height_and_predominant_use</x:v>
      </x:c>
      <x:c r="Q687" s="2" t="str">
        <x:v>Only qualified source rows admitted; CAN/PAK/TUV/USA fail source checks; PSE unmapped in retained table</x:v>
      </x:c>
      <x:c r="R687" s="2" t="str">
        <x:v>https://human-settlement.emergency.copernicus.eu/ghs_buV2023.php</x:v>
      </x:c>
      <x:c r="S687" s="13" t="b">
        <x:v>0</x:v>
      </x:c>
      <x:c r="T687" s="13" t="b">
        <x:v>0</x:v>
      </x:c>
    </x:row>
    <x:row r="688" ht="23" customHeight="1">
      <x:c r="A688" s="2" t="str">
        <x:v>LAO</x:v>
      </x:c>
      <x:c r="B688" s="2" t="str">
        <x:v>Lao People's Democratic Republic</x:v>
      </x:c>
      <x:c r="C688" s="2" t="n">
        <x:v>2020</x:v>
      </x:c>
      <x:c r="D688" s="2" t="str">
        <x:v>GHSL_VOLUME</x:v>
      </x:c>
      <x:c r="E688" s="2" t="str">
        <x:v>volume</x:v>
      </x:c>
      <x:c r="F688" s="2" t="str">
        <x:v>m3</x:v>
      </x:c>
      <x:c r="G688" s="17" t="n">
        <x:v>788818980.78</x:v>
      </x:c>
      <x:c r="H688" s="17" t="n">
        <x:v>1140783450.741176</x:v>
      </x:c>
      <x:c r="I688" s="17" t="n">
        <x:f>IF(AND(L688,ISNUMBER(G688),ISNUMBER(H688)),G688-H688,"n.a.")</x:f>
        <x:v>-351964469.9611759</x:v>
      </x:c>
      <x:c r="J688" s="15" t="n">
        <x:f>IF(AND(L688,ISNUMBER(G688),ISNUMBER(H688),H688&gt;0),(G688-H688)/H688,"n.a.")</x:f>
        <x:v>-0.30852873061272224</x:v>
      </x:c>
      <x:c r="K688" s="19" t="n">
        <x:f>IF(ISNUMBER(J688),ABS(J688),"n.a.")</x:f>
        <x:v>0.30852873061272224</x:v>
      </x:c>
      <x:c r="L688" s="13" t="b">
        <x:v>1</x:v>
      </x:c>
      <x:c r="M688" s="13" t="b">
        <x:v>1</x:v>
      </x:c>
      <x:c r="N688" s="2" t="str">
        <x:v>qualified_paired_native_source_frame</x:v>
      </x:c>
      <x:c r="O688" s="2" t="str">
        <x:v>none</x:v>
      </x:c>
      <x:c r="P688" s="2" t="str">
        <x:v>modeled_epoch_volume_with_fixed2018_height_and_predominant_use</x:v>
      </x:c>
      <x:c r="Q688" s="2" t="str">
        <x:v>Only qualified source rows admitted; CAN/PAK/TUV/USA fail source checks; PSE unmapped in retained table</x:v>
      </x:c>
      <x:c r="R688" s="2" t="str">
        <x:v>https://human-settlement.emergency.copernicus.eu/ghs_buV2023.php</x:v>
      </x:c>
      <x:c r="S688" s="13" t="b">
        <x:v>0</x:v>
      </x:c>
      <x:c r="T688" s="13" t="b">
        <x:v>0</x:v>
      </x:c>
    </x:row>
    <x:row r="689" ht="23" customHeight="1">
      <x:c r="A689" s="2" t="str">
        <x:v>LBN</x:v>
      </x:c>
      <x:c r="B689" s="2" t="str">
        <x:v>Lebanon (Lebanese Republic)</x:v>
      </x:c>
      <x:c r="C689" s="2" t="n">
        <x:v>2020</x:v>
      </x:c>
      <x:c r="D689" s="2" t="str">
        <x:v>GHSL_VOLUME</x:v>
      </x:c>
      <x:c r="E689" s="2" t="str">
        <x:v>volume</x:v>
      </x:c>
      <x:c r="F689" s="2" t="str">
        <x:v>m3</x:v>
      </x:c>
      <x:c r="G689" s="17" t="n">
        <x:v>675090272.06</x:v>
      </x:c>
      <x:c r="H689" s="17" t="n">
        <x:v>2006600134.4823532</x:v>
      </x:c>
      <x:c r="I689" s="17" t="n">
        <x:f>IF(AND(L689,ISNUMBER(G689),ISNUMBER(H689)),G689-H689,"n.a.")</x:f>
        <x:v>-1331509862.4223533</x:v>
      </x:c>
      <x:c r="J689" s="15" t="n">
        <x:f>IF(AND(L689,ISNUMBER(G689),ISNUMBER(H689),H689&gt;0),(G689-H689)/H689,"n.a.")</x:f>
        <x:v>-0.6635651216906978</x:v>
      </x:c>
      <x:c r="K689" s="19" t="n">
        <x:f>IF(ISNUMBER(J689),ABS(J689),"n.a.")</x:f>
        <x:v>0.6635651216906978</x:v>
      </x:c>
      <x:c r="L689" s="13" t="b">
        <x:v>1</x:v>
      </x:c>
      <x:c r="M689" s="13" t="b">
        <x:v>1</x:v>
      </x:c>
      <x:c r="N689" s="2" t="str">
        <x:v>qualified_paired_native_source_frame</x:v>
      </x:c>
      <x:c r="O689" s="2" t="str">
        <x:v>none</x:v>
      </x:c>
      <x:c r="P689" s="2" t="str">
        <x:v>modeled_epoch_volume_with_fixed2018_height_and_predominant_use</x:v>
      </x:c>
      <x:c r="Q689" s="2" t="str">
        <x:v>Only qualified source rows admitted; CAN/PAK/TUV/USA fail source checks; PSE unmapped in retained table</x:v>
      </x:c>
      <x:c r="R689" s="2" t="str">
        <x:v>https://human-settlement.emergency.copernicus.eu/ghs_buV2023.php</x:v>
      </x:c>
      <x:c r="S689" s="13" t="b">
        <x:v>0</x:v>
      </x:c>
      <x:c r="T689" s="13" t="b">
        <x:v>0</x:v>
      </x:c>
    </x:row>
    <x:row r="690" ht="23" customHeight="1">
      <x:c r="A690" s="2" t="str">
        <x:v>LBR</x:v>
      </x:c>
      <x:c r="B690" s="2" t="str">
        <x:v>Liberia (Republic of)</x:v>
      </x:c>
      <x:c r="C690" s="2" t="n">
        <x:v>2020</x:v>
      </x:c>
      <x:c r="D690" s="2" t="str">
        <x:v>GHSL_VOLUME</x:v>
      </x:c>
      <x:c r="E690" s="2" t="str">
        <x:v>volume</x:v>
      </x:c>
      <x:c r="F690" s="2" t="str">
        <x:v>m3</x:v>
      </x:c>
      <x:c r="G690" s="17" t="n">
        <x:v>218647420.43</x:v>
      </x:c>
      <x:c r="H690" s="17" t="n">
        <x:v>1006785539.07451</x:v>
      </x:c>
      <x:c r="I690" s="17" t="n">
        <x:f>IF(AND(L690,ISNUMBER(G690),ISNUMBER(H690)),G690-H690,"n.a.")</x:f>
        <x:v>-788138118.64451</x:v>
      </x:c>
      <x:c r="J690" s="15" t="n">
        <x:f>IF(AND(L690,ISNUMBER(G690),ISNUMBER(H690),H690&gt;0),(G690-H690)/H690,"n.a.")</x:f>
        <x:v>-0.7828262207351606</x:v>
      </x:c>
      <x:c r="K690" s="19" t="n">
        <x:f>IF(ISNUMBER(J690),ABS(J690),"n.a.")</x:f>
        <x:v>0.7828262207351606</x:v>
      </x:c>
      <x:c r="L690" s="13" t="b">
        <x:v>1</x:v>
      </x:c>
      <x:c r="M690" s="13" t="b">
        <x:v>1</x:v>
      </x:c>
      <x:c r="N690" s="2" t="str">
        <x:v>qualified_paired_native_source_frame</x:v>
      </x:c>
      <x:c r="O690" s="2" t="str">
        <x:v>none</x:v>
      </x:c>
      <x:c r="P690" s="2" t="str">
        <x:v>modeled_epoch_volume_with_fixed2018_height_and_predominant_use</x:v>
      </x:c>
      <x:c r="Q690" s="2" t="str">
        <x:v>Only qualified source rows admitted; CAN/PAK/TUV/USA fail source checks; PSE unmapped in retained table</x:v>
      </x:c>
      <x:c r="R690" s="2" t="str">
        <x:v>https://human-settlement.emergency.copernicus.eu/ghs_buV2023.php</x:v>
      </x:c>
      <x:c r="S690" s="13" t="b">
        <x:v>0</x:v>
      </x:c>
      <x:c r="T690" s="13" t="b">
        <x:v>0</x:v>
      </x:c>
    </x:row>
    <x:row r="691" ht="23" customHeight="1">
      <x:c r="A691" s="2" t="str">
        <x:v>LBY</x:v>
      </x:c>
      <x:c r="B691" s="2" t="str">
        <x:v>Libya (State of)</x:v>
      </x:c>
      <x:c r="C691" s="2" t="n">
        <x:v>2020</x:v>
      </x:c>
      <x:c r="D691" s="2" t="str">
        <x:v>GHSL_VOLUME</x:v>
      </x:c>
      <x:c r="E691" s="2" t="str">
        <x:v>volume</x:v>
      </x:c>
      <x:c r="F691" s="2" t="str">
        <x:v>m3</x:v>
      </x:c>
      <x:c r="G691" s="17" t="n">
        <x:v>1332173491.45</x:v>
      </x:c>
      <x:c r="H691" s="17" t="n">
        <x:v>5124368234.729412</x:v>
      </x:c>
      <x:c r="I691" s="17" t="n">
        <x:f>IF(AND(L691,ISNUMBER(G691),ISNUMBER(H691)),G691-H691,"n.a.")</x:f>
        <x:v>-3792194743.2794123</x:v>
      </x:c>
      <x:c r="J691" s="15" t="n">
        <x:f>IF(AND(L691,ISNUMBER(G691),ISNUMBER(H691),H691&gt;0),(G691-H691)/H691,"n.a.")</x:f>
        <x:v>-0.7400316623576244</x:v>
      </x:c>
      <x:c r="K691" s="19" t="n">
        <x:f>IF(ISNUMBER(J691),ABS(J691),"n.a.")</x:f>
        <x:v>0.7400316623576244</x:v>
      </x:c>
      <x:c r="L691" s="13" t="b">
        <x:v>1</x:v>
      </x:c>
      <x:c r="M691" s="13" t="b">
        <x:v>1</x:v>
      </x:c>
      <x:c r="N691" s="2" t="str">
        <x:v>qualified_paired_native_source_frame</x:v>
      </x:c>
      <x:c r="O691" s="2" t="str">
        <x:v>none</x:v>
      </x:c>
      <x:c r="P691" s="2" t="str">
        <x:v>modeled_epoch_volume_with_fixed2018_height_and_predominant_use</x:v>
      </x:c>
      <x:c r="Q691" s="2" t="str">
        <x:v>Only qualified source rows admitted; CAN/PAK/TUV/USA fail source checks; PSE unmapped in retained table</x:v>
      </x:c>
      <x:c r="R691" s="2" t="str">
        <x:v>https://human-settlement.emergency.copernicus.eu/ghs_buV2023.php</x:v>
      </x:c>
      <x:c r="S691" s="13" t="b">
        <x:v>0</x:v>
      </x:c>
      <x:c r="T691" s="13" t="b">
        <x:v>0</x:v>
      </x:c>
    </x:row>
    <x:row r="692" ht="23" customHeight="1">
      <x:c r="A692" s="2" t="str">
        <x:v>LCA</x:v>
      </x:c>
      <x:c r="B692" s="2" t="str">
        <x:v>Saint Lucia</x:v>
      </x:c>
      <x:c r="C692" s="2" t="n">
        <x:v>2020</x:v>
      </x:c>
      <x:c r="D692" s="2" t="str">
        <x:v>GHSL_VOLUME</x:v>
      </x:c>
      <x:c r="E692" s="2" t="str">
        <x:v>volume</x:v>
      </x:c>
      <x:c r="F692" s="2" t="str">
        <x:v>m3</x:v>
      </x:c>
      <x:c r="G692" s="17" t="n">
        <x:v>24035532.56</x:v>
      </x:c>
      <x:c r="H692" s="17" t="n">
        <x:v>67117230.12156862</x:v>
      </x:c>
      <x:c r="I692" s="17" t="n">
        <x:f>IF(AND(L692,ISNUMBER(G692),ISNUMBER(H692)),G692-H692,"n.a.")</x:f>
        <x:v>-43081697.56156862</x:v>
      </x:c>
      <x:c r="J692" s="15" t="n">
        <x:f>IF(AND(L692,ISNUMBER(G692),ISNUMBER(H692),H692&gt;0),(G692-H692)/H692,"n.a.")</x:f>
        <x:v>-0.6418872990368534</x:v>
      </x:c>
      <x:c r="K692" s="19" t="n">
        <x:f>IF(ISNUMBER(J692),ABS(J692),"n.a.")</x:f>
        <x:v>0.6418872990368534</x:v>
      </x:c>
      <x:c r="L692" s="13" t="b">
        <x:v>1</x:v>
      </x:c>
      <x:c r="M692" s="13" t="b">
        <x:v>1</x:v>
      </x:c>
      <x:c r="N692" s="2" t="str">
        <x:v>qualified_paired_native_source_frame</x:v>
      </x:c>
      <x:c r="O692" s="2" t="str">
        <x:v>none</x:v>
      </x:c>
      <x:c r="P692" s="2" t="str">
        <x:v>modeled_epoch_volume_with_fixed2018_height_and_predominant_use</x:v>
      </x:c>
      <x:c r="Q692" s="2" t="str">
        <x:v>Only qualified source rows admitted; CAN/PAK/TUV/USA fail source checks; PSE unmapped in retained table</x:v>
      </x:c>
      <x:c r="R692" s="2" t="str">
        <x:v>https://human-settlement.emergency.copernicus.eu/ghs_buV2023.php</x:v>
      </x:c>
      <x:c r="S692" s="13" t="b">
        <x:v>0</x:v>
      </x:c>
      <x:c r="T692" s="13" t="b">
        <x:v>0</x:v>
      </x:c>
    </x:row>
    <x:row r="693" ht="23" customHeight="1">
      <x:c r="A693" s="2" t="str">
        <x:v>LIE</x:v>
      </x:c>
      <x:c r="B693" s="2" t="str">
        <x:v>Liechtenstein (Principality of)</x:v>
      </x:c>
      <x:c r="C693" s="2" t="n">
        <x:v>2020</x:v>
      </x:c>
      <x:c r="D693" s="2" t="str">
        <x:v>GHSL_VOLUME</x:v>
      </x:c>
      <x:c r="E693" s="2" t="str">
        <x:v>volume</x:v>
      </x:c>
      <x:c r="F693" s="2" t="str">
        <x:v>m3</x:v>
      </x:c>
      <x:c r="G693" s="17" t="n">
        <x:v>12481399.11</x:v>
      </x:c>
      <x:c r="H693" s="17" t="n">
        <x:v>28839352.23921569</x:v>
      </x:c>
      <x:c r="I693" s="17" t="n">
        <x:f>IF(AND(L693,ISNUMBER(G693),ISNUMBER(H693)),G693-H693,"n.a.")</x:f>
        <x:v>-16357953.129215691</x:v>
      </x:c>
      <x:c r="J693" s="15" t="n">
        <x:f>IF(AND(L693,ISNUMBER(G693),ISNUMBER(H693),H693&gt;0),(G693-H693)/H693,"n.a.")</x:f>
        <x:v>-0.5672094502515276</x:v>
      </x:c>
      <x:c r="K693" s="19" t="n">
        <x:f>IF(ISNUMBER(J693),ABS(J693),"n.a.")</x:f>
        <x:v>0.5672094502515276</x:v>
      </x:c>
      <x:c r="L693" s="13" t="b">
        <x:v>1</x:v>
      </x:c>
      <x:c r="M693" s="13" t="b">
        <x:v>1</x:v>
      </x:c>
      <x:c r="N693" s="2" t="str">
        <x:v>qualified_paired_native_source_frame</x:v>
      </x:c>
      <x:c r="O693" s="2" t="str">
        <x:v>none</x:v>
      </x:c>
      <x:c r="P693" s="2" t="str">
        <x:v>modeled_epoch_volume_with_fixed2018_height_and_predominant_use</x:v>
      </x:c>
      <x:c r="Q693" s="2" t="str">
        <x:v>Only qualified source rows admitted; CAN/PAK/TUV/USA fail source checks; PSE unmapped in retained table</x:v>
      </x:c>
      <x:c r="R693" s="2" t="str">
        <x:v>https://human-settlement.emergency.copernicus.eu/ghs_buV2023.php</x:v>
      </x:c>
      <x:c r="S693" s="13" t="b">
        <x:v>0</x:v>
      </x:c>
      <x:c r="T693" s="13" t="b">
        <x:v>0</x:v>
      </x:c>
    </x:row>
    <x:row r="694" ht="23" customHeight="1">
      <x:c r="A694" s="2" t="str">
        <x:v>LKA</x:v>
      </x:c>
      <x:c r="B694" s="2" t="str">
        <x:v>Sri Lanka (Democratic Socialist Republic of)</x:v>
      </x:c>
      <x:c r="C694" s="2" t="n">
        <x:v>2020</x:v>
      </x:c>
      <x:c r="D694" s="2" t="str">
        <x:v>GHSL_VOLUME</x:v>
      </x:c>
      <x:c r="E694" s="2" t="str">
        <x:v>volume</x:v>
      </x:c>
      <x:c r="F694" s="2" t="str">
        <x:v>m3</x:v>
      </x:c>
      <x:c r="G694" s="17" t="n">
        <x:v>2069343446.58</x:v>
      </x:c>
      <x:c r="H694" s="17" t="n">
        <x:v>4198596273.537255</x:v>
      </x:c>
      <x:c r="I694" s="17" t="n">
        <x:f>IF(AND(L694,ISNUMBER(G694),ISNUMBER(H694)),G694-H694,"n.a.")</x:f>
        <x:v>-2129252826.957255</x:v>
      </x:c>
      <x:c r="J694" s="15" t="n">
        <x:f>IF(AND(L694,ISNUMBER(G694),ISNUMBER(H694),H694&gt;0),(G694-H694)/H694,"n.a.")</x:f>
        <x:v>-0.5071344535737872</x:v>
      </x:c>
      <x:c r="K694" s="19" t="n">
        <x:f>IF(ISNUMBER(J694),ABS(J694),"n.a.")</x:f>
        <x:v>0.5071344535737872</x:v>
      </x:c>
      <x:c r="L694" s="13" t="b">
        <x:v>1</x:v>
      </x:c>
      <x:c r="M694" s="13" t="b">
        <x:v>1</x:v>
      </x:c>
      <x:c r="N694" s="2" t="str">
        <x:v>qualified_paired_native_source_frame</x:v>
      </x:c>
      <x:c r="O694" s="2" t="str">
        <x:v>none</x:v>
      </x:c>
      <x:c r="P694" s="2" t="str">
        <x:v>modeled_epoch_volume_with_fixed2018_height_and_predominant_use</x:v>
      </x:c>
      <x:c r="Q694" s="2" t="str">
        <x:v>Only qualified source rows admitted; CAN/PAK/TUV/USA fail source checks; PSE unmapped in retained table</x:v>
      </x:c>
      <x:c r="R694" s="2" t="str">
        <x:v>https://human-settlement.emergency.copernicus.eu/ghs_buV2023.php</x:v>
      </x:c>
      <x:c r="S694" s="13" t="b">
        <x:v>0</x:v>
      </x:c>
      <x:c r="T694" s="13" t="b">
        <x:v>0</x:v>
      </x:c>
    </x:row>
    <x:row r="695" ht="23" customHeight="1">
      <x:c r="A695" s="2" t="str">
        <x:v>LSO</x:v>
      </x:c>
      <x:c r="B695" s="2" t="str">
        <x:v>Lesotho (Kingdom of)</x:v>
      </x:c>
      <x:c r="C695" s="2" t="n">
        <x:v>2020</x:v>
      </x:c>
      <x:c r="D695" s="2" t="str">
        <x:v>GHSL_VOLUME</x:v>
      </x:c>
      <x:c r="E695" s="2" t="str">
        <x:v>volume</x:v>
      </x:c>
      <x:c r="F695" s="2" t="str">
        <x:v>m3</x:v>
      </x:c>
      <x:c r="G695" s="17" t="n">
        <x:v>122054816.46</x:v>
      </x:c>
      <x:c r="H695" s="17" t="n">
        <x:v>784105539.8705884</x:v>
      </x:c>
      <x:c r="I695" s="17" t="n">
        <x:f>IF(AND(L695,ISNUMBER(G695),ISNUMBER(H695)),G695-H695,"n.a.")</x:f>
        <x:v>-662050723.4105884</x:v>
      </x:c>
      <x:c r="J695" s="15" t="n">
        <x:f>IF(AND(L695,ISNUMBER(G695),ISNUMBER(H695),H695&gt;0),(G695-H695)/H695,"n.a.")</x:f>
        <x:v>-0.8443387908212657</x:v>
      </x:c>
      <x:c r="K695" s="19" t="n">
        <x:f>IF(ISNUMBER(J695),ABS(J695),"n.a.")</x:f>
        <x:v>0.8443387908212657</x:v>
      </x:c>
      <x:c r="L695" s="13" t="b">
        <x:v>1</x:v>
      </x:c>
      <x:c r="M695" s="13" t="b">
        <x:v>1</x:v>
      </x:c>
      <x:c r="N695" s="2" t="str">
        <x:v>qualified_paired_native_source_frame</x:v>
      </x:c>
      <x:c r="O695" s="2" t="str">
        <x:v>none</x:v>
      </x:c>
      <x:c r="P695" s="2" t="str">
        <x:v>modeled_epoch_volume_with_fixed2018_height_and_predominant_use</x:v>
      </x:c>
      <x:c r="Q695" s="2" t="str">
        <x:v>Only qualified source rows admitted; CAN/PAK/TUV/USA fail source checks; PSE unmapped in retained table</x:v>
      </x:c>
      <x:c r="R695" s="2" t="str">
        <x:v>https://human-settlement.emergency.copernicus.eu/ghs_buV2023.php</x:v>
      </x:c>
      <x:c r="S695" s="13" t="b">
        <x:v>0</x:v>
      </x:c>
      <x:c r="T695" s="13" t="b">
        <x:v>0</x:v>
      </x:c>
    </x:row>
    <x:row r="696" ht="23" customHeight="1">
      <x:c r="A696" s="2" t="str">
        <x:v>LTU</x:v>
      </x:c>
      <x:c r="B696" s="2" t="str">
        <x:v>Lithuania (Republic of)</x:v>
      </x:c>
      <x:c r="C696" s="2" t="n">
        <x:v>2020</x:v>
      </x:c>
      <x:c r="D696" s="2" t="str">
        <x:v>GHSL_VOLUME</x:v>
      </x:c>
      <x:c r="E696" s="2" t="str">
        <x:v>volume</x:v>
      </x:c>
      <x:c r="F696" s="2" t="str">
        <x:v>m3</x:v>
      </x:c>
      <x:c r="G696" s="17" t="n">
        <x:v>797387203.33</x:v>
      </x:c>
      <x:c r="H696" s="17" t="n">
        <x:v>2111333745.760785</x:v>
      </x:c>
      <x:c r="I696" s="17" t="n">
        <x:f>IF(AND(L696,ISNUMBER(G696),ISNUMBER(H696)),G696-H696,"n.a.")</x:f>
        <x:v>-1313946542.4307852</x:v>
      </x:c>
      <x:c r="J696" s="15" t="n">
        <x:f>IF(AND(L696,ISNUMBER(G696),ISNUMBER(H696),H696&gt;0),(G696-H696)/H696,"n.a.")</x:f>
        <x:v>-0.6223301006148252</x:v>
      </x:c>
      <x:c r="K696" s="19" t="n">
        <x:f>IF(ISNUMBER(J696),ABS(J696),"n.a.")</x:f>
        <x:v>0.6223301006148252</x:v>
      </x:c>
      <x:c r="L696" s="13" t="b">
        <x:v>1</x:v>
      </x:c>
      <x:c r="M696" s="13" t="b">
        <x:v>1</x:v>
      </x:c>
      <x:c r="N696" s="2" t="str">
        <x:v>qualified_paired_native_source_frame</x:v>
      </x:c>
      <x:c r="O696" s="2" t="str">
        <x:v>none</x:v>
      </x:c>
      <x:c r="P696" s="2" t="str">
        <x:v>modeled_epoch_volume_with_fixed2018_height_and_predominant_use</x:v>
      </x:c>
      <x:c r="Q696" s="2" t="str">
        <x:v>Only qualified source rows admitted; CAN/PAK/TUV/USA fail source checks; PSE unmapped in retained table</x:v>
      </x:c>
      <x:c r="R696" s="2" t="str">
        <x:v>https://human-settlement.emergency.copernicus.eu/ghs_buV2023.php</x:v>
      </x:c>
      <x:c r="S696" s="13" t="b">
        <x:v>0</x:v>
      </x:c>
      <x:c r="T696" s="13" t="b">
        <x:v>0</x:v>
      </x:c>
    </x:row>
    <x:row r="697" ht="23" customHeight="1">
      <x:c r="A697" s="2" t="str">
        <x:v>LUX</x:v>
      </x:c>
      <x:c r="B697" s="2" t="str">
        <x:v>Luxembourg (Grand Duchy of)</x:v>
      </x:c>
      <x:c r="C697" s="2" t="n">
        <x:v>2020</x:v>
      </x:c>
      <x:c r="D697" s="2" t="str">
        <x:v>GHSL_VOLUME</x:v>
      </x:c>
      <x:c r="E697" s="2" t="str">
        <x:v>volume</x:v>
      </x:c>
      <x:c r="F697" s="2" t="str">
        <x:v>m3</x:v>
      </x:c>
      <x:c r="G697" s="17" t="n">
        <x:v>181190130.19</x:v>
      </x:c>
      <x:c r="H697" s="17" t="n">
        <x:v>381515774.6941179</x:v>
      </x:c>
      <x:c r="I697" s="17" t="n">
        <x:f>IF(AND(L697,ISNUMBER(G697),ISNUMBER(H697)),G697-H697,"n.a.")</x:f>
        <x:v>-200325644.5041179</x:v>
      </x:c>
      <x:c r="J697" s="15" t="n">
        <x:f>IF(AND(L697,ISNUMBER(G697),ISNUMBER(H697),H697&gt;0),(G697-H697)/H697,"n.a.")</x:f>
        <x:v>-0.5250782740627958</x:v>
      </x:c>
      <x:c r="K697" s="19" t="n">
        <x:f>IF(ISNUMBER(J697),ABS(J697),"n.a.")</x:f>
        <x:v>0.5250782740627958</x:v>
      </x:c>
      <x:c r="L697" s="13" t="b">
        <x:v>1</x:v>
      </x:c>
      <x:c r="M697" s="13" t="b">
        <x:v>1</x:v>
      </x:c>
      <x:c r="N697" s="2" t="str">
        <x:v>qualified_paired_native_source_frame</x:v>
      </x:c>
      <x:c r="O697" s="2" t="str">
        <x:v>none</x:v>
      </x:c>
      <x:c r="P697" s="2" t="str">
        <x:v>modeled_epoch_volume_with_fixed2018_height_and_predominant_use</x:v>
      </x:c>
      <x:c r="Q697" s="2" t="str">
        <x:v>Only qualified source rows admitted; CAN/PAK/TUV/USA fail source checks; PSE unmapped in retained table</x:v>
      </x:c>
      <x:c r="R697" s="2" t="str">
        <x:v>https://human-settlement.emergency.copernicus.eu/ghs_buV2023.php</x:v>
      </x:c>
      <x:c r="S697" s="13" t="b">
        <x:v>0</x:v>
      </x:c>
      <x:c r="T697" s="13" t="b">
        <x:v>0</x:v>
      </x:c>
    </x:row>
    <x:row r="698" ht="23" customHeight="1">
      <x:c r="A698" s="2" t="str">
        <x:v>LVA</x:v>
      </x:c>
      <x:c r="B698" s="2" t="str">
        <x:v>Latvia (Republic of)</x:v>
      </x:c>
      <x:c r="C698" s="2" t="n">
        <x:v>2020</x:v>
      </x:c>
      <x:c r="D698" s="2" t="str">
        <x:v>GHSL_VOLUME</x:v>
      </x:c>
      <x:c r="E698" s="2" t="str">
        <x:v>volume</x:v>
      </x:c>
      <x:c r="F698" s="2" t="str">
        <x:v>m3</x:v>
      </x:c>
      <x:c r="G698" s="17" t="n">
        <x:v>449369069.54</x:v>
      </x:c>
      <x:c r="H698" s="17" t="n">
        <x:v>982301463.2196082</x:v>
      </x:c>
      <x:c r="I698" s="17" t="n">
        <x:f>IF(AND(L698,ISNUMBER(G698),ISNUMBER(H698)),G698-H698,"n.a.")</x:f>
        <x:v>-532932393.67960817</x:v>
      </x:c>
      <x:c r="J698" s="15" t="n">
        <x:f>IF(AND(L698,ISNUMBER(G698),ISNUMBER(H698),H698&gt;0),(G698-H698)/H698,"n.a.")</x:f>
        <x:v>-0.5425344597704861</x:v>
      </x:c>
      <x:c r="K698" s="19" t="n">
        <x:f>IF(ISNUMBER(J698),ABS(J698),"n.a.")</x:f>
        <x:v>0.5425344597704861</x:v>
      </x:c>
      <x:c r="L698" s="13" t="b">
        <x:v>1</x:v>
      </x:c>
      <x:c r="M698" s="13" t="b">
        <x:v>1</x:v>
      </x:c>
      <x:c r="N698" s="2" t="str">
        <x:v>qualified_paired_native_source_frame</x:v>
      </x:c>
      <x:c r="O698" s="2" t="str">
        <x:v>none</x:v>
      </x:c>
      <x:c r="P698" s="2" t="str">
        <x:v>modeled_epoch_volume_with_fixed2018_height_and_predominant_use</x:v>
      </x:c>
      <x:c r="Q698" s="2" t="str">
        <x:v>Only qualified source rows admitted; CAN/PAK/TUV/USA fail source checks; PSE unmapped in retained table</x:v>
      </x:c>
      <x:c r="R698" s="2" t="str">
        <x:v>https://human-settlement.emergency.copernicus.eu/ghs_buV2023.php</x:v>
      </x:c>
      <x:c r="S698" s="13" t="b">
        <x:v>0</x:v>
      </x:c>
      <x:c r="T698" s="13" t="b">
        <x:v>0</x:v>
      </x:c>
    </x:row>
    <x:row r="699" ht="23" customHeight="1">
      <x:c r="A699" s="2" t="str">
        <x:v>MAR</x:v>
      </x:c>
      <x:c r="B699" s="2" t="str">
        <x:v>Morocco (Kingdom of)</x:v>
      </x:c>
      <x:c r="C699" s="2" t="n">
        <x:v>2020</x:v>
      </x:c>
      <x:c r="D699" s="2" t="str">
        <x:v>GHSL_VOLUME</x:v>
      </x:c>
      <x:c r="E699" s="2" t="str">
        <x:v>volume</x:v>
      </x:c>
      <x:c r="F699" s="2" t="str">
        <x:v>m3</x:v>
      </x:c>
      <x:c r="G699" s="17" t="n">
        <x:v>3747650433.53</x:v>
      </x:c>
      <x:c r="H699" s="17" t="n">
        <x:v>4816701556.478432</x:v>
      </x:c>
      <x:c r="I699" s="17" t="n">
        <x:f>IF(AND(L699,ISNUMBER(G699),ISNUMBER(H699)),G699-H699,"n.a.")</x:f>
        <x:v>-1069051122.9484315</x:v>
      </x:c>
      <x:c r="J699" s="15" t="n">
        <x:f>IF(AND(L699,ISNUMBER(G699),ISNUMBER(H699),H699&gt;0),(G699-H699)/H699,"n.a.")</x:f>
        <x:v>-0.22194672233959872</x:v>
      </x:c>
      <x:c r="K699" s="19" t="n">
        <x:f>IF(ISNUMBER(J699),ABS(J699),"n.a.")</x:f>
        <x:v>0.22194672233959872</x:v>
      </x:c>
      <x:c r="L699" s="13" t="b">
        <x:v>1</x:v>
      </x:c>
      <x:c r="M699" s="13" t="b">
        <x:v>1</x:v>
      </x:c>
      <x:c r="N699" s="2" t="str">
        <x:v>qualified_paired_native_source_frame</x:v>
      </x:c>
      <x:c r="O699" s="2" t="str">
        <x:v>none</x:v>
      </x:c>
      <x:c r="P699" s="2" t="str">
        <x:v>modeled_epoch_volume_with_fixed2018_height_and_predominant_use</x:v>
      </x:c>
      <x:c r="Q699" s="2" t="str">
        <x:v>Only qualified source rows admitted; CAN/PAK/TUV/USA fail source checks; PSE unmapped in retained table</x:v>
      </x:c>
      <x:c r="R699" s="2" t="str">
        <x:v>https://human-settlement.emergency.copernicus.eu/ghs_buV2023.php</x:v>
      </x:c>
      <x:c r="S699" s="13" t="b">
        <x:v>0</x:v>
      </x:c>
      <x:c r="T699" s="13" t="b">
        <x:v>0</x:v>
      </x:c>
    </x:row>
    <x:row r="700" ht="23" customHeight="1">
      <x:c r="A700" s="2" t="str">
        <x:v>MCO</x:v>
      </x:c>
      <x:c r="B700" s="2" t="str">
        <x:v>Monaco (Principality of)</x:v>
      </x:c>
      <x:c r="C700" s="2" t="n">
        <x:v>2020</x:v>
      </x:c>
      <x:c r="D700" s="2" t="str">
        <x:v>GHSL_VOLUME</x:v>
      </x:c>
      <x:c r="E700" s="2" t="str">
        <x:v>volume</x:v>
      </x:c>
      <x:c r="F700" s="2" t="str">
        <x:v>m3</x:v>
      </x:c>
      <x:c r="G700" s="17" t="n">
        <x:v>5726967.5</x:v>
      </x:c>
      <x:c r="H700" s="17" t="n">
        <x:v>13854693.341176467</x:v>
      </x:c>
      <x:c r="I700" s="17" t="n">
        <x:f>IF(AND(L700,ISNUMBER(G700),ISNUMBER(H700)),G700-H700,"n.a.")</x:f>
        <x:v>-8127725.841176467</x:v>
      </x:c>
      <x:c r="J700" s="15" t="n">
        <x:f>IF(AND(L700,ISNUMBER(G700),ISNUMBER(H700),H700&gt;0),(G700-H700)/H700,"n.a.")</x:f>
        <x:v>-0.5866406163621594</x:v>
      </x:c>
      <x:c r="K700" s="19" t="n">
        <x:f>IF(ISNUMBER(J700),ABS(J700),"n.a.")</x:f>
        <x:v>0.5866406163621594</x:v>
      </x:c>
      <x:c r="L700" s="13" t="b">
        <x:v>1</x:v>
      </x:c>
      <x:c r="M700" s="13" t="b">
        <x:v>1</x:v>
      </x:c>
      <x:c r="N700" s="2" t="str">
        <x:v>qualified_paired_native_source_frame</x:v>
      </x:c>
      <x:c r="O700" s="2" t="str">
        <x:v>none</x:v>
      </x:c>
      <x:c r="P700" s="2" t="str">
        <x:v>modeled_epoch_volume_with_fixed2018_height_and_predominant_use</x:v>
      </x:c>
      <x:c r="Q700" s="2" t="str">
        <x:v>Only qualified source rows admitted; CAN/PAK/TUV/USA fail source checks; PSE unmapped in retained table</x:v>
      </x:c>
      <x:c r="R700" s="2" t="str">
        <x:v>https://human-settlement.emergency.copernicus.eu/ghs_buV2023.php</x:v>
      </x:c>
      <x:c r="S700" s="13" t="b">
        <x:v>0</x:v>
      </x:c>
      <x:c r="T700" s="13" t="b">
        <x:v>0</x:v>
      </x:c>
    </x:row>
    <x:row r="701" ht="23" customHeight="1">
      <x:c r="A701" s="2" t="str">
        <x:v>MDA</x:v>
      </x:c>
      <x:c r="B701" s="2" t="str">
        <x:v>Moldova (Republic of)</x:v>
      </x:c>
      <x:c r="C701" s="2" t="n">
        <x:v>2020</x:v>
      </x:c>
      <x:c r="D701" s="2" t="str">
        <x:v>GHSL_VOLUME</x:v>
      </x:c>
      <x:c r="E701" s="2" t="str">
        <x:v>volume</x:v>
      </x:c>
      <x:c r="F701" s="2" t="str">
        <x:v>m3</x:v>
      </x:c>
      <x:c r="G701" s="17" t="n">
        <x:v>664609574.56</x:v>
      </x:c>
      <x:c r="H701" s="17" t="n">
        <x:v>2158516672.9960785</x:v>
      </x:c>
      <x:c r="I701" s="17" t="n">
        <x:f>IF(AND(L701,ISNUMBER(G701),ISNUMBER(H701)),G701-H701,"n.a.")</x:f>
        <x:v>-1493907098.4360785</x:v>
      </x:c>
      <x:c r="J701" s="15" t="n">
        <x:f>IF(AND(L701,ISNUMBER(G701),ISNUMBER(H701),H701&gt;0),(G701-H701)/H701,"n.a.")</x:f>
        <x:v>-0.6920989386486859</x:v>
      </x:c>
      <x:c r="K701" s="19" t="n">
        <x:f>IF(ISNUMBER(J701),ABS(J701),"n.a.")</x:f>
        <x:v>0.6920989386486859</x:v>
      </x:c>
      <x:c r="L701" s="13" t="b">
        <x:v>1</x:v>
      </x:c>
      <x:c r="M701" s="13" t="b">
        <x:v>1</x:v>
      </x:c>
      <x:c r="N701" s="2" t="str">
        <x:v>qualified_paired_native_source_frame</x:v>
      </x:c>
      <x:c r="O701" s="2" t="str">
        <x:v>none</x:v>
      </x:c>
      <x:c r="P701" s="2" t="str">
        <x:v>modeled_epoch_volume_with_fixed2018_height_and_predominant_use</x:v>
      </x:c>
      <x:c r="Q701" s="2" t="str">
        <x:v>Only qualified source rows admitted; CAN/PAK/TUV/USA fail source checks; PSE unmapped in retained table</x:v>
      </x:c>
      <x:c r="R701" s="2" t="str">
        <x:v>https://human-settlement.emergency.copernicus.eu/ghs_buV2023.php</x:v>
      </x:c>
      <x:c r="S701" s="13" t="b">
        <x:v>0</x:v>
      </x:c>
      <x:c r="T701" s="13" t="b">
        <x:v>0</x:v>
      </x:c>
    </x:row>
    <x:row r="702" ht="23" customHeight="1">
      <x:c r="A702" s="2" t="str">
        <x:v>MDG</x:v>
      </x:c>
      <x:c r="B702" s="2" t="str">
        <x:v>Madagascar (Republic of)</x:v>
      </x:c>
      <x:c r="C702" s="2" t="n">
        <x:v>2020</x:v>
      </x:c>
      <x:c r="D702" s="2" t="str">
        <x:v>GHSL_VOLUME</x:v>
      </x:c>
      <x:c r="E702" s="2" t="str">
        <x:v>volume</x:v>
      </x:c>
      <x:c r="F702" s="2" t="str">
        <x:v>m3</x:v>
      </x:c>
      <x:c r="G702" s="17" t="n">
        <x:v>734099654.72</x:v>
      </x:c>
      <x:c r="H702" s="17" t="n">
        <x:v>2828785083.3960786</x:v>
      </x:c>
      <x:c r="I702" s="17" t="n">
        <x:f>IF(AND(L702,ISNUMBER(G702),ISNUMBER(H702)),G702-H702,"n.a.")</x:f>
        <x:v>-2094685428.6760786</x:v>
      </x:c>
      <x:c r="J702" s="15" t="n">
        <x:f>IF(AND(L702,ISNUMBER(G702),ISNUMBER(H702),H702&gt;0),(G702-H702)/H702,"n.a.")</x:f>
        <x:v>-0.7404894210490245</x:v>
      </x:c>
      <x:c r="K702" s="19" t="n">
        <x:f>IF(ISNUMBER(J702),ABS(J702),"n.a.")</x:f>
        <x:v>0.7404894210490245</x:v>
      </x:c>
      <x:c r="L702" s="13" t="b">
        <x:v>1</x:v>
      </x:c>
      <x:c r="M702" s="13" t="b">
        <x:v>1</x:v>
      </x:c>
      <x:c r="N702" s="2" t="str">
        <x:v>qualified_paired_native_source_frame</x:v>
      </x:c>
      <x:c r="O702" s="2" t="str">
        <x:v>none</x:v>
      </x:c>
      <x:c r="P702" s="2" t="str">
        <x:v>modeled_epoch_volume_with_fixed2018_height_and_predominant_use</x:v>
      </x:c>
      <x:c r="Q702" s="2" t="str">
        <x:v>Only qualified source rows admitted; CAN/PAK/TUV/USA fail source checks; PSE unmapped in retained table</x:v>
      </x:c>
      <x:c r="R702" s="2" t="str">
        <x:v>https://human-settlement.emergency.copernicus.eu/ghs_buV2023.php</x:v>
      </x:c>
      <x:c r="S702" s="13" t="b">
        <x:v>0</x:v>
      </x:c>
      <x:c r="T702" s="13" t="b">
        <x:v>0</x:v>
      </x:c>
    </x:row>
    <x:row r="703" ht="23" customHeight="1">
      <x:c r="A703" s="2" t="str">
        <x:v>MDV</x:v>
      </x:c>
      <x:c r="B703" s="2" t="str">
        <x:v>Maldives (Republic of)</x:v>
      </x:c>
      <x:c r="C703" s="2" t="n">
        <x:v>2020</x:v>
      </x:c>
      <x:c r="D703" s="2" t="str">
        <x:v>GHSL_VOLUME</x:v>
      </x:c>
      <x:c r="E703" s="2" t="str">
        <x:v>volume</x:v>
      </x:c>
      <x:c r="F703" s="2" t="str">
        <x:v>m3</x:v>
      </x:c>
      <x:c r="G703" s="17" t="n">
        <x:v>5643521.43</x:v>
      </x:c>
      <x:c r="H703" s="17" t="n">
        <x:v>6810866.768627446</x:v>
      </x:c>
      <x:c r="I703" s="17" t="n">
        <x:f>IF(AND(L703,ISNUMBER(G703),ISNUMBER(H703)),G703-H703,"n.a.")</x:f>
        <x:v>-1167345.3386274464</x:v>
      </x:c>
      <x:c r="J703" s="15" t="n">
        <x:f>IF(AND(L703,ISNUMBER(G703),ISNUMBER(H703),H703&gt;0),(G703-H703)/H703,"n.a.")</x:f>
        <x:v>-0.17139453439384994</x:v>
      </x:c>
      <x:c r="K703" s="19" t="n">
        <x:f>IF(ISNUMBER(J703),ABS(J703),"n.a.")</x:f>
        <x:v>0.17139453439384994</x:v>
      </x:c>
      <x:c r="L703" s="13" t="b">
        <x:v>1</x:v>
      </x:c>
      <x:c r="M703" s="13" t="b">
        <x:v>1</x:v>
      </x:c>
      <x:c r="N703" s="2" t="str">
        <x:v>qualified_paired_native_source_frame</x:v>
      </x:c>
      <x:c r="O703" s="2" t="str">
        <x:v>none</x:v>
      </x:c>
      <x:c r="P703" s="2" t="str">
        <x:v>modeled_epoch_volume_with_fixed2018_height_and_predominant_use</x:v>
      </x:c>
      <x:c r="Q703" s="2" t="str">
        <x:v>Only qualified source rows admitted; CAN/PAK/TUV/USA fail source checks; PSE unmapped in retained table</x:v>
      </x:c>
      <x:c r="R703" s="2" t="str">
        <x:v>https://human-settlement.emergency.copernicus.eu/ghs_buV2023.php</x:v>
      </x:c>
      <x:c r="S703" s="13" t="b">
        <x:v>0</x:v>
      </x:c>
      <x:c r="T703" s="13" t="b">
        <x:v>0</x:v>
      </x:c>
    </x:row>
    <x:row r="704" ht="23" customHeight="1">
      <x:c r="A704" s="2" t="str">
        <x:v>MEX</x:v>
      </x:c>
      <x:c r="B704" s="2" t="str">
        <x:v>Mexico (United Mexican States)</x:v>
      </x:c>
      <x:c r="C704" s="2" t="n">
        <x:v>2020</x:v>
      </x:c>
      <x:c r="D704" s="2" t="str">
        <x:v>GHSL_VOLUME</x:v>
      </x:c>
      <x:c r="E704" s="2" t="str">
        <x:v>volume</x:v>
      </x:c>
      <x:c r="F704" s="2" t="str">
        <x:v>m3</x:v>
      </x:c>
      <x:c r="G704" s="17" t="n">
        <x:v>18019194526.75</x:v>
      </x:c>
      <x:c r="H704" s="17" t="n">
        <x:v>56099921449.399994</x:v>
      </x:c>
      <x:c r="I704" s="17" t="n">
        <x:f>IF(AND(L704,ISNUMBER(G704),ISNUMBER(H704)),G704-H704,"n.a.")</x:f>
        <x:v>-38080726922.649994</x:v>
      </x:c>
      <x:c r="J704" s="15" t="n">
        <x:f>IF(AND(L704,ISNUMBER(G704),ISNUMBER(H704),H704&gt;0),(G704-H704)/H704,"n.a.")</x:f>
        <x:v>-0.6788017868616335</x:v>
      </x:c>
      <x:c r="K704" s="19" t="n">
        <x:f>IF(ISNUMBER(J704),ABS(J704),"n.a.")</x:f>
        <x:v>0.6788017868616335</x:v>
      </x:c>
      <x:c r="L704" s="13" t="b">
        <x:v>1</x:v>
      </x:c>
      <x:c r="M704" s="13" t="b">
        <x:v>1</x:v>
      </x:c>
      <x:c r="N704" s="2" t="str">
        <x:v>qualified_paired_native_source_frame</x:v>
      </x:c>
      <x:c r="O704" s="2" t="str">
        <x:v>none</x:v>
      </x:c>
      <x:c r="P704" s="2" t="str">
        <x:v>modeled_epoch_volume_with_fixed2018_height_and_predominant_use</x:v>
      </x:c>
      <x:c r="Q704" s="2" t="str">
        <x:v>Only qualified source rows admitted; CAN/PAK/TUV/USA fail source checks; PSE unmapped in retained table</x:v>
      </x:c>
      <x:c r="R704" s="2" t="str">
        <x:v>https://human-settlement.emergency.copernicus.eu/ghs_buV2023.php</x:v>
      </x:c>
      <x:c r="S704" s="13" t="b">
        <x:v>0</x:v>
      </x:c>
      <x:c r="T704" s="13" t="b">
        <x:v>0</x:v>
      </x:c>
    </x:row>
    <x:row r="705" ht="23" customHeight="1">
      <x:c r="A705" s="2" t="str">
        <x:v>MHL</x:v>
      </x:c>
      <x:c r="B705" s="2" t="str">
        <x:v>Marshall Islands (Republic of the)</x:v>
      </x:c>
      <x:c r="C705" s="2" t="n">
        <x:v>2020</x:v>
      </x:c>
      <x:c r="D705" s="2" t="str">
        <x:v>GHSL_VOLUME</x:v>
      </x:c>
      <x:c r="E705" s="2" t="str">
        <x:v>volume</x:v>
      </x:c>
      <x:c r="F705" s="2" t="str">
        <x:v>m3</x:v>
      </x:c>
      <x:c r="G705" s="17" t="n">
        <x:v>523585.21</x:v>
      </x:c>
      <x:c r="H705" s="17" t="n">
        <x:v>1494834.788235294</x:v>
      </x:c>
      <x:c r="I705" s="17" t="n">
        <x:f>IF(AND(L705,ISNUMBER(G705),ISNUMBER(H705)),G705-H705,"n.a.")</x:f>
        <x:v>-971249.578235294</x:v>
      </x:c>
      <x:c r="J705" s="15" t="n">
        <x:f>IF(AND(L705,ISNUMBER(G705),ISNUMBER(H705),H705&gt;0),(G705-H705)/H705,"n.a.")</x:f>
        <x:v>-0.6497370718685835</x:v>
      </x:c>
      <x:c r="K705" s="19" t="n">
        <x:f>IF(ISNUMBER(J705),ABS(J705),"n.a.")</x:f>
        <x:v>0.6497370718685835</x:v>
      </x:c>
      <x:c r="L705" s="13" t="b">
        <x:v>1</x:v>
      </x:c>
      <x:c r="M705" s="13" t="b">
        <x:v>1</x:v>
      </x:c>
      <x:c r="N705" s="2" t="str">
        <x:v>qualified_paired_native_source_frame</x:v>
      </x:c>
      <x:c r="O705" s="2" t="str">
        <x:v>none</x:v>
      </x:c>
      <x:c r="P705" s="2" t="str">
        <x:v>modeled_epoch_volume_with_fixed2018_height_and_predominant_use</x:v>
      </x:c>
      <x:c r="Q705" s="2" t="str">
        <x:v>Only qualified source rows admitted; CAN/PAK/TUV/USA fail source checks; PSE unmapped in retained table</x:v>
      </x:c>
      <x:c r="R705" s="2" t="str">
        <x:v>https://human-settlement.emergency.copernicus.eu/ghs_buV2023.php</x:v>
      </x:c>
      <x:c r="S705" s="13" t="b">
        <x:v>0</x:v>
      </x:c>
      <x:c r="T705" s="13" t="b">
        <x:v>0</x:v>
      </x:c>
    </x:row>
    <x:row r="706" ht="23" customHeight="1">
      <x:c r="A706" s="2" t="str">
        <x:v>MKD</x:v>
      </x:c>
      <x:c r="B706" s="2" t="str">
        <x:v>North Macedonia (Republic of)</x:v>
      </x:c>
      <x:c r="C706" s="2" t="n">
        <x:v>2020</x:v>
      </x:c>
      <x:c r="D706" s="2" t="str">
        <x:v>GHSL_VOLUME</x:v>
      </x:c>
      <x:c r="E706" s="2" t="str">
        <x:v>volume</x:v>
      </x:c>
      <x:c r="F706" s="2" t="str">
        <x:v>m3</x:v>
      </x:c>
      <x:c r="G706" s="17" t="n">
        <x:v>375858818.67</x:v>
      </x:c>
      <x:c r="H706" s="17" t="n">
        <x:v>786945288.0117646</x:v>
      </x:c>
      <x:c r="I706" s="17" t="n">
        <x:f>IF(AND(L706,ISNUMBER(G706),ISNUMBER(H706)),G706-H706,"n.a.")</x:f>
        <x:v>-411086469.3417646</x:v>
      </x:c>
      <x:c r="J706" s="15" t="n">
        <x:f>IF(AND(L706,ISNUMBER(G706),ISNUMBER(H706),H706&gt;0),(G706-H706)/H706,"n.a.")</x:f>
        <x:v>-0.5223825284987524</x:v>
      </x:c>
      <x:c r="K706" s="19" t="n">
        <x:f>IF(ISNUMBER(J706),ABS(J706),"n.a.")</x:f>
        <x:v>0.5223825284987524</x:v>
      </x:c>
      <x:c r="L706" s="13" t="b">
        <x:v>1</x:v>
      </x:c>
      <x:c r="M706" s="13" t="b">
        <x:v>1</x:v>
      </x:c>
      <x:c r="N706" s="2" t="str">
        <x:v>qualified_paired_native_source_frame</x:v>
      </x:c>
      <x:c r="O706" s="2" t="str">
        <x:v>none</x:v>
      </x:c>
      <x:c r="P706" s="2" t="str">
        <x:v>modeled_epoch_volume_with_fixed2018_height_and_predominant_use</x:v>
      </x:c>
      <x:c r="Q706" s="2" t="str">
        <x:v>Only qualified source rows admitted; CAN/PAK/TUV/USA fail source checks; PSE unmapped in retained table</x:v>
      </x:c>
      <x:c r="R706" s="2" t="str">
        <x:v>https://human-settlement.emergency.copernicus.eu/ghs_buV2023.php</x:v>
      </x:c>
      <x:c r="S706" s="13" t="b">
        <x:v>0</x:v>
      </x:c>
      <x:c r="T706" s="13" t="b">
        <x:v>0</x:v>
      </x:c>
    </x:row>
    <x:row r="707" ht="23" customHeight="1">
      <x:c r="A707" s="2" t="str">
        <x:v>MLI</x:v>
      </x:c>
      <x:c r="B707" s="2" t="str">
        <x:v>Mali (Republic of)</x:v>
      </x:c>
      <x:c r="C707" s="2" t="n">
        <x:v>2020</x:v>
      </x:c>
      <x:c r="D707" s="2" t="str">
        <x:v>GHSL_VOLUME</x:v>
      </x:c>
      <x:c r="E707" s="2" t="str">
        <x:v>volume</x:v>
      </x:c>
      <x:c r="F707" s="2" t="str">
        <x:v>m3</x:v>
      </x:c>
      <x:c r="G707" s="17" t="n">
        <x:v>736488951.99</x:v>
      </x:c>
      <x:c r="H707" s="17" t="n">
        <x:v>4180136921.654903</x:v>
      </x:c>
      <x:c r="I707" s="17" t="n">
        <x:f>IF(AND(L707,ISNUMBER(G707),ISNUMBER(H707)),G707-H707,"n.a.")</x:f>
        <x:v>-3443647969.6649027</x:v>
      </x:c>
      <x:c r="J707" s="15" t="n">
        <x:f>IF(AND(L707,ISNUMBER(G707),ISNUMBER(H707),H707&gt;0),(G707-H707)/H707,"n.a.")</x:f>
        <x:v>-0.82381224208837</x:v>
      </x:c>
      <x:c r="K707" s="19" t="n">
        <x:f>IF(ISNUMBER(J707),ABS(J707),"n.a.")</x:f>
        <x:v>0.82381224208837</x:v>
      </x:c>
      <x:c r="L707" s="13" t="b">
        <x:v>1</x:v>
      </x:c>
      <x:c r="M707" s="13" t="b">
        <x:v>1</x:v>
      </x:c>
      <x:c r="N707" s="2" t="str">
        <x:v>qualified_paired_native_source_frame</x:v>
      </x:c>
      <x:c r="O707" s="2" t="str">
        <x:v>none</x:v>
      </x:c>
      <x:c r="P707" s="2" t="str">
        <x:v>modeled_epoch_volume_with_fixed2018_height_and_predominant_use</x:v>
      </x:c>
      <x:c r="Q707" s="2" t="str">
        <x:v>Only qualified source rows admitted; CAN/PAK/TUV/USA fail source checks; PSE unmapped in retained table</x:v>
      </x:c>
      <x:c r="R707" s="2" t="str">
        <x:v>https://human-settlement.emergency.copernicus.eu/ghs_buV2023.php</x:v>
      </x:c>
      <x:c r="S707" s="13" t="b">
        <x:v>0</x:v>
      </x:c>
      <x:c r="T707" s="13" t="b">
        <x:v>0</x:v>
      </x:c>
    </x:row>
    <x:row r="708" ht="23" customHeight="1">
      <x:c r="A708" s="2" t="str">
        <x:v>MLT</x:v>
      </x:c>
      <x:c r="B708" s="2" t="str">
        <x:v>Malta (Republic of)</x:v>
      </x:c>
      <x:c r="C708" s="2" t="n">
        <x:v>2020</x:v>
      </x:c>
      <x:c r="D708" s="2" t="str">
        <x:v>GHSL_VOLUME</x:v>
      </x:c>
      <x:c r="E708" s="2" t="str">
        <x:v>volume</x:v>
      </x:c>
      <x:c r="F708" s="2" t="str">
        <x:v>m3</x:v>
      </x:c>
      <x:c r="G708" s="17" t="n">
        <x:v>133548779.75</x:v>
      </x:c>
      <x:c r="H708" s="17" t="n">
        <x:v>266446635.57647055</x:v>
      </x:c>
      <x:c r="I708" s="17" t="n">
        <x:f>IF(AND(L708,ISNUMBER(G708),ISNUMBER(H708)),G708-H708,"n.a.")</x:f>
        <x:v>-132897855.82647055</x:v>
      </x:c>
      <x:c r="J708" s="15" t="n">
        <x:f>IF(AND(L708,ISNUMBER(G708),ISNUMBER(H708),H708&gt;0),(G708-H708)/H708,"n.a.")</x:f>
        <x:v>-0.49877850977153243</x:v>
      </x:c>
      <x:c r="K708" s="19" t="n">
        <x:f>IF(ISNUMBER(J708),ABS(J708),"n.a.")</x:f>
        <x:v>0.49877850977153243</x:v>
      </x:c>
      <x:c r="L708" s="13" t="b">
        <x:v>1</x:v>
      </x:c>
      <x:c r="M708" s="13" t="b">
        <x:v>1</x:v>
      </x:c>
      <x:c r="N708" s="2" t="str">
        <x:v>qualified_paired_native_source_frame</x:v>
      </x:c>
      <x:c r="O708" s="2" t="str">
        <x:v>none</x:v>
      </x:c>
      <x:c r="P708" s="2" t="str">
        <x:v>modeled_epoch_volume_with_fixed2018_height_and_predominant_use</x:v>
      </x:c>
      <x:c r="Q708" s="2" t="str">
        <x:v>Only qualified source rows admitted; CAN/PAK/TUV/USA fail source checks; PSE unmapped in retained table</x:v>
      </x:c>
      <x:c r="R708" s="2" t="str">
        <x:v>https://human-settlement.emergency.copernicus.eu/ghs_buV2023.php</x:v>
      </x:c>
      <x:c r="S708" s="13" t="b">
        <x:v>0</x:v>
      </x:c>
      <x:c r="T708" s="13" t="b">
        <x:v>0</x:v>
      </x:c>
    </x:row>
    <x:row r="709" ht="23" customHeight="1">
      <x:c r="A709" s="2" t="str">
        <x:v>MMR</x:v>
      </x:c>
      <x:c r="B709" s="2" t="str">
        <x:v>Myanmar (Republic of the Union of)</x:v>
      </x:c>
      <x:c r="C709" s="2" t="n">
        <x:v>2020</x:v>
      </x:c>
      <x:c r="D709" s="2" t="str">
        <x:v>GHSL_VOLUME</x:v>
      </x:c>
      <x:c r="E709" s="2" t="str">
        <x:v>volume</x:v>
      </x:c>
      <x:c r="F709" s="2" t="str">
        <x:v>m3</x:v>
      </x:c>
      <x:c r="G709" s="17" t="n">
        <x:v>3369578170.41</x:v>
      </x:c>
      <x:c r="H709" s="17" t="n">
        <x:v>5115336260.396078</x:v>
      </x:c>
      <x:c r="I709" s="17" t="n">
        <x:f>IF(AND(L709,ISNUMBER(G709),ISNUMBER(H709)),G709-H709,"n.a.")</x:f>
        <x:v>-1745758089.9860783</x:v>
      </x:c>
      <x:c r="J709" s="15" t="n">
        <x:f>IF(AND(L709,ISNUMBER(G709),ISNUMBER(H709),H709&gt;0),(G709-H709)/H709,"n.a.")</x:f>
        <x:v>-0.34127924365443474</x:v>
      </x:c>
      <x:c r="K709" s="19" t="n">
        <x:f>IF(ISNUMBER(J709),ABS(J709),"n.a.")</x:f>
        <x:v>0.34127924365443474</x:v>
      </x:c>
      <x:c r="L709" s="13" t="b">
        <x:v>1</x:v>
      </x:c>
      <x:c r="M709" s="13" t="b">
        <x:v>1</x:v>
      </x:c>
      <x:c r="N709" s="2" t="str">
        <x:v>qualified_paired_native_source_frame</x:v>
      </x:c>
      <x:c r="O709" s="2" t="str">
        <x:v>none</x:v>
      </x:c>
      <x:c r="P709" s="2" t="str">
        <x:v>modeled_epoch_volume_with_fixed2018_height_and_predominant_use</x:v>
      </x:c>
      <x:c r="Q709" s="2" t="str">
        <x:v>Only qualified source rows admitted; CAN/PAK/TUV/USA fail source checks; PSE unmapped in retained table</x:v>
      </x:c>
      <x:c r="R709" s="2" t="str">
        <x:v>https://human-settlement.emergency.copernicus.eu/ghs_buV2023.php</x:v>
      </x:c>
      <x:c r="S709" s="13" t="b">
        <x:v>0</x:v>
      </x:c>
      <x:c r="T709" s="13" t="b">
        <x:v>0</x:v>
      </x:c>
    </x:row>
    <x:row r="710" ht="23" customHeight="1">
      <x:c r="A710" s="2" t="str">
        <x:v>MNE</x:v>
      </x:c>
      <x:c r="B710" s="2" t="str">
        <x:v>Montenegro</x:v>
      </x:c>
      <x:c r="C710" s="2" t="n">
        <x:v>2020</x:v>
      </x:c>
      <x:c r="D710" s="2" t="str">
        <x:v>GHSL_VOLUME</x:v>
      </x:c>
      <x:c r="E710" s="2" t="str">
        <x:v>volume</x:v>
      </x:c>
      <x:c r="F710" s="2" t="str">
        <x:v>m3</x:v>
      </x:c>
      <x:c r="G710" s="17" t="n">
        <x:v>102701774.08</x:v>
      </x:c>
      <x:c r="H710" s="17" t="n">
        <x:v>201731258.0745098</x:v>
      </x:c>
      <x:c r="I710" s="17" t="n">
        <x:f>IF(AND(L710,ISNUMBER(G710),ISNUMBER(H710)),G710-H710,"n.a.")</x:f>
        <x:v>-99029483.9945098</x:v>
      </x:c>
      <x:c r="J710" s="15" t="n">
        <x:f>IF(AND(L710,ISNUMBER(G710),ISNUMBER(H710),H710&gt;0),(G710-H710)/H710,"n.a.")</x:f>
        <x:v>-0.49089806378906875</x:v>
      </x:c>
      <x:c r="K710" s="19" t="n">
        <x:f>IF(ISNUMBER(J710),ABS(J710),"n.a.")</x:f>
        <x:v>0.49089806378906875</x:v>
      </x:c>
      <x:c r="L710" s="13" t="b">
        <x:v>1</x:v>
      </x:c>
      <x:c r="M710" s="13" t="b">
        <x:v>1</x:v>
      </x:c>
      <x:c r="N710" s="2" t="str">
        <x:v>qualified_paired_native_source_frame</x:v>
      </x:c>
      <x:c r="O710" s="2" t="str">
        <x:v>none</x:v>
      </x:c>
      <x:c r="P710" s="2" t="str">
        <x:v>modeled_epoch_volume_with_fixed2018_height_and_predominant_use</x:v>
      </x:c>
      <x:c r="Q710" s="2" t="str">
        <x:v>Only qualified source rows admitted; CAN/PAK/TUV/USA fail source checks; PSE unmapped in retained table</x:v>
      </x:c>
      <x:c r="R710" s="2" t="str">
        <x:v>https://human-settlement.emergency.copernicus.eu/ghs_buV2023.php</x:v>
      </x:c>
      <x:c r="S710" s="13" t="b">
        <x:v>0</x:v>
      </x:c>
      <x:c r="T710" s="13" t="b">
        <x:v>0</x:v>
      </x:c>
    </x:row>
    <x:row r="711" ht="23" customHeight="1">
      <x:c r="A711" s="2" t="str">
        <x:v>MNG</x:v>
      </x:c>
      <x:c r="B711" s="2" t="str">
        <x:v>Mongolia</x:v>
      </x:c>
      <x:c r="C711" s="2" t="n">
        <x:v>2020</x:v>
      </x:c>
      <x:c r="D711" s="2" t="str">
        <x:v>GHSL_VOLUME</x:v>
      </x:c>
      <x:c r="E711" s="2" t="str">
        <x:v>volume</x:v>
      </x:c>
      <x:c r="F711" s="2" t="str">
        <x:v>m3</x:v>
      </x:c>
      <x:c r="G711" s="17" t="n">
        <x:v>258745858.2</x:v>
      </x:c>
      <x:c r="H711" s="17" t="n">
        <x:v>968244966.7450981</x:v>
      </x:c>
      <x:c r="I711" s="17" t="n">
        <x:f>IF(AND(L711,ISNUMBER(G711),ISNUMBER(H711)),G711-H711,"n.a.")</x:f>
        <x:v>-709499108.5450981</x:v>
      </x:c>
      <x:c r="J711" s="15" t="n">
        <x:f>IF(AND(L711,ISNUMBER(G711),ISNUMBER(H711),H711&gt;0),(G711-H711)/H711,"n.a.")</x:f>
        <x:v>-0.7327681866812968</x:v>
      </x:c>
      <x:c r="K711" s="19" t="n">
        <x:f>IF(ISNUMBER(J711),ABS(J711),"n.a.")</x:f>
        <x:v>0.7327681866812968</x:v>
      </x:c>
      <x:c r="L711" s="13" t="b">
        <x:v>1</x:v>
      </x:c>
      <x:c r="M711" s="13" t="b">
        <x:v>1</x:v>
      </x:c>
      <x:c r="N711" s="2" t="str">
        <x:v>qualified_paired_native_source_frame</x:v>
      </x:c>
      <x:c r="O711" s="2" t="str">
        <x:v>none</x:v>
      </x:c>
      <x:c r="P711" s="2" t="str">
        <x:v>modeled_epoch_volume_with_fixed2018_height_and_predominant_use</x:v>
      </x:c>
      <x:c r="Q711" s="2" t="str">
        <x:v>Only qualified source rows admitted; CAN/PAK/TUV/USA fail source checks; PSE unmapped in retained table</x:v>
      </x:c>
      <x:c r="R711" s="2" t="str">
        <x:v>https://human-settlement.emergency.copernicus.eu/ghs_buV2023.php</x:v>
      </x:c>
      <x:c r="S711" s="13" t="b">
        <x:v>0</x:v>
      </x:c>
      <x:c r="T711" s="13" t="b">
        <x:v>0</x:v>
      </x:c>
    </x:row>
    <x:row r="712" ht="23" customHeight="1">
      <x:c r="A712" s="2" t="str">
        <x:v>MOZ</x:v>
      </x:c>
      <x:c r="B712" s="2" t="str">
        <x:v>Mozambique (Republic of)</x:v>
      </x:c>
      <x:c r="C712" s="2" t="n">
        <x:v>2020</x:v>
      </x:c>
      <x:c r="D712" s="2" t="str">
        <x:v>GHSL_VOLUME</x:v>
      </x:c>
      <x:c r="E712" s="2" t="str">
        <x:v>volume</x:v>
      </x:c>
      <x:c r="F712" s="2" t="str">
        <x:v>m3</x:v>
      </x:c>
      <x:c r="G712" s="17" t="n">
        <x:v>1093908126.41</x:v>
      </x:c>
      <x:c r="H712" s="17" t="n">
        <x:v>7192469617.32549</x:v>
      </x:c>
      <x:c r="I712" s="17" t="n">
        <x:f>IF(AND(L712,ISNUMBER(G712),ISNUMBER(H712)),G712-H712,"n.a.")</x:f>
        <x:v>-6098561490.91549</x:v>
      </x:c>
      <x:c r="J712" s="15" t="n">
        <x:f>IF(AND(L712,ISNUMBER(G712),ISNUMBER(H712),H712&gt;0),(G712-H712)/H712,"n.a.")</x:f>
        <x:v>-0.8479092461127743</x:v>
      </x:c>
      <x:c r="K712" s="19" t="n">
        <x:f>IF(ISNUMBER(J712),ABS(J712),"n.a.")</x:f>
        <x:v>0.8479092461127743</x:v>
      </x:c>
      <x:c r="L712" s="13" t="b">
        <x:v>1</x:v>
      </x:c>
      <x:c r="M712" s="13" t="b">
        <x:v>1</x:v>
      </x:c>
      <x:c r="N712" s="2" t="str">
        <x:v>qualified_paired_native_source_frame</x:v>
      </x:c>
      <x:c r="O712" s="2" t="str">
        <x:v>none</x:v>
      </x:c>
      <x:c r="P712" s="2" t="str">
        <x:v>modeled_epoch_volume_with_fixed2018_height_and_predominant_use</x:v>
      </x:c>
      <x:c r="Q712" s="2" t="str">
        <x:v>Only qualified source rows admitted; CAN/PAK/TUV/USA fail source checks; PSE unmapped in retained table</x:v>
      </x:c>
      <x:c r="R712" s="2" t="str">
        <x:v>https://human-settlement.emergency.copernicus.eu/ghs_buV2023.php</x:v>
      </x:c>
      <x:c r="S712" s="13" t="b">
        <x:v>0</x:v>
      </x:c>
      <x:c r="T712" s="13" t="b">
        <x:v>0</x:v>
      </x:c>
    </x:row>
    <x:row r="713" ht="23" customHeight="1">
      <x:c r="A713" s="2" t="str">
        <x:v>MRT</x:v>
      </x:c>
      <x:c r="B713" s="2" t="str">
        <x:v>Mauritania (Islamic Republic of)</x:v>
      </x:c>
      <x:c r="C713" s="2" t="n">
        <x:v>2020</x:v>
      </x:c>
      <x:c r="D713" s="2" t="str">
        <x:v>GHSL_VOLUME</x:v>
      </x:c>
      <x:c r="E713" s="2" t="str">
        <x:v>volume</x:v>
      </x:c>
      <x:c r="F713" s="2" t="str">
        <x:v>m3</x:v>
      </x:c>
      <x:c r="G713" s="17" t="n">
        <x:v>231122160.53</x:v>
      </x:c>
      <x:c r="H713" s="17" t="n">
        <x:v>1006337609.137255</x:v>
      </x:c>
      <x:c r="I713" s="17" t="n">
        <x:f>IF(AND(L713,ISNUMBER(G713),ISNUMBER(H713)),G713-H713,"n.a.")</x:f>
        <x:v>-775215448.607255</x:v>
      </x:c>
      <x:c r="J713" s="15" t="n">
        <x:f>IF(AND(L713,ISNUMBER(G713),ISNUMBER(H713),H713&gt;0),(G713-H713)/H713,"n.a.")</x:f>
        <x:v>-0.7703333767599685</x:v>
      </x:c>
      <x:c r="K713" s="19" t="n">
        <x:f>IF(ISNUMBER(J713),ABS(J713),"n.a.")</x:f>
        <x:v>0.7703333767599685</x:v>
      </x:c>
      <x:c r="L713" s="13" t="b">
        <x:v>1</x:v>
      </x:c>
      <x:c r="M713" s="13" t="b">
        <x:v>1</x:v>
      </x:c>
      <x:c r="N713" s="2" t="str">
        <x:v>qualified_paired_native_source_frame</x:v>
      </x:c>
      <x:c r="O713" s="2" t="str">
        <x:v>none</x:v>
      </x:c>
      <x:c r="P713" s="2" t="str">
        <x:v>modeled_epoch_volume_with_fixed2018_height_and_predominant_use</x:v>
      </x:c>
      <x:c r="Q713" s="2" t="str">
        <x:v>Only qualified source rows admitted; CAN/PAK/TUV/USA fail source checks; PSE unmapped in retained table</x:v>
      </x:c>
      <x:c r="R713" s="2" t="str">
        <x:v>https://human-settlement.emergency.copernicus.eu/ghs_buV2023.php</x:v>
      </x:c>
      <x:c r="S713" s="13" t="b">
        <x:v>0</x:v>
      </x:c>
      <x:c r="T713" s="13" t="b">
        <x:v>0</x:v>
      </x:c>
    </x:row>
    <x:row r="714" ht="23" customHeight="1">
      <x:c r="A714" s="2" t="str">
        <x:v>MUS</x:v>
      </x:c>
      <x:c r="B714" s="2" t="str">
        <x:v>Mauritius (Republic of)</x:v>
      </x:c>
      <x:c r="C714" s="2" t="n">
        <x:v>2020</x:v>
      </x:c>
      <x:c r="D714" s="2" t="str">
        <x:v>GHSL_VOLUME</x:v>
      </x:c>
      <x:c r="E714" s="2" t="str">
        <x:v>volume</x:v>
      </x:c>
      <x:c r="F714" s="2" t="str">
        <x:v>m3</x:v>
      </x:c>
      <x:c r="G714" s="17" t="n">
        <x:v>193251324.58</x:v>
      </x:c>
      <x:c r="H714" s="17" t="n">
        <x:v>396525595.7215688</x:v>
      </x:c>
      <x:c r="I714" s="17" t="n">
        <x:f>IF(AND(L714,ISNUMBER(G714),ISNUMBER(H714)),G714-H714,"n.a.")</x:f>
        <x:v>-203274271.1415688</x:v>
      </x:c>
      <x:c r="J714" s="15" t="n">
        <x:f>IF(AND(L714,ISNUMBER(G714),ISNUMBER(H714),H714&gt;0),(G714-H714)/H714,"n.a.")</x:f>
        <x:v>-0.5126384610094712</x:v>
      </x:c>
      <x:c r="K714" s="19" t="n">
        <x:f>IF(ISNUMBER(J714),ABS(J714),"n.a.")</x:f>
        <x:v>0.5126384610094712</x:v>
      </x:c>
      <x:c r="L714" s="13" t="b">
        <x:v>1</x:v>
      </x:c>
      <x:c r="M714" s="13" t="b">
        <x:v>1</x:v>
      </x:c>
      <x:c r="N714" s="2" t="str">
        <x:v>qualified_paired_native_source_frame</x:v>
      </x:c>
      <x:c r="O714" s="2" t="str">
        <x:v>none</x:v>
      </x:c>
      <x:c r="P714" s="2" t="str">
        <x:v>modeled_epoch_volume_with_fixed2018_height_and_predominant_use</x:v>
      </x:c>
      <x:c r="Q714" s="2" t="str">
        <x:v>Only qualified source rows admitted; CAN/PAK/TUV/USA fail source checks; PSE unmapped in retained table</x:v>
      </x:c>
      <x:c r="R714" s="2" t="str">
        <x:v>https://human-settlement.emergency.copernicus.eu/ghs_buV2023.php</x:v>
      </x:c>
      <x:c r="S714" s="13" t="b">
        <x:v>0</x:v>
      </x:c>
      <x:c r="T714" s="13" t="b">
        <x:v>0</x:v>
      </x:c>
    </x:row>
    <x:row r="715" ht="23" customHeight="1">
      <x:c r="A715" s="2" t="str">
        <x:v>MWI</x:v>
      </x:c>
      <x:c r="B715" s="2" t="str">
        <x:v>Malawi (Republic of)</x:v>
      </x:c>
      <x:c r="C715" s="2" t="n">
        <x:v>2020</x:v>
      </x:c>
      <x:c r="D715" s="2" t="str">
        <x:v>GHSL_VOLUME</x:v>
      </x:c>
      <x:c r="E715" s="2" t="str">
        <x:v>volume</x:v>
      </x:c>
      <x:c r="F715" s="2" t="str">
        <x:v>m3</x:v>
      </x:c>
      <x:c r="G715" s="17" t="n">
        <x:v>645214789.74</x:v>
      </x:c>
      <x:c r="H715" s="17" t="n">
        <x:v>3456304028.066667</x:v>
      </x:c>
      <x:c r="I715" s="17" t="n">
        <x:f>IF(AND(L715,ISNUMBER(G715),ISNUMBER(H715)),G715-H715,"n.a.")</x:f>
        <x:v>-2811089238.326667</x:v>
      </x:c>
      <x:c r="J715" s="15" t="n">
        <x:f>IF(AND(L715,ISNUMBER(G715),ISNUMBER(H715),H715&gt;0),(G715-H715)/H715,"n.a.")</x:f>
        <x:v>-0.8133223279837132</x:v>
      </x:c>
      <x:c r="K715" s="19" t="n">
        <x:f>IF(ISNUMBER(J715),ABS(J715),"n.a.")</x:f>
        <x:v>0.8133223279837132</x:v>
      </x:c>
      <x:c r="L715" s="13" t="b">
        <x:v>1</x:v>
      </x:c>
      <x:c r="M715" s="13" t="b">
        <x:v>1</x:v>
      </x:c>
      <x:c r="N715" s="2" t="str">
        <x:v>qualified_paired_native_source_frame</x:v>
      </x:c>
      <x:c r="O715" s="2" t="str">
        <x:v>none</x:v>
      </x:c>
      <x:c r="P715" s="2" t="str">
        <x:v>modeled_epoch_volume_with_fixed2018_height_and_predominant_use</x:v>
      </x:c>
      <x:c r="Q715" s="2" t="str">
        <x:v>Only qualified source rows admitted; CAN/PAK/TUV/USA fail source checks; PSE unmapped in retained table</x:v>
      </x:c>
      <x:c r="R715" s="2" t="str">
        <x:v>https://human-settlement.emergency.copernicus.eu/ghs_buV2023.php</x:v>
      </x:c>
      <x:c r="S715" s="13" t="b">
        <x:v>0</x:v>
      </x:c>
      <x:c r="T715" s="13" t="b">
        <x:v>0</x:v>
      </x:c>
    </x:row>
    <x:row r="716" ht="23" customHeight="1">
      <x:c r="A716" s="2" t="str">
        <x:v>MYS</x:v>
      </x:c>
      <x:c r="B716" s="2" t="str">
        <x:v>Malaysia</x:v>
      </x:c>
      <x:c r="C716" s="2" t="n">
        <x:v>2020</x:v>
      </x:c>
      <x:c r="D716" s="2" t="str">
        <x:v>GHSL_VOLUME</x:v>
      </x:c>
      <x:c r="E716" s="2" t="str">
        <x:v>volume</x:v>
      </x:c>
      <x:c r="F716" s="2" t="str">
        <x:v>m3</x:v>
      </x:c>
      <x:c r="G716" s="17" t="n">
        <x:v>6783668146.53</x:v>
      </x:c>
      <x:c r="H716" s="17" t="n">
        <x:v>12735489004.72157</x:v>
      </x:c>
      <x:c r="I716" s="17" t="n">
        <x:f>IF(AND(L716,ISNUMBER(G716),ISNUMBER(H716)),G716-H716,"n.a.")</x:f>
        <x:v>-5951820858.191569</x:v>
      </x:c>
      <x:c r="J716" s="15" t="n">
        <x:f>IF(AND(L716,ISNUMBER(G716),ISNUMBER(H716),H716&gt;0),(G716-H716)/H716,"n.a.")</x:f>
        <x:v>-0.46734136835931345</x:v>
      </x:c>
      <x:c r="K716" s="19" t="n">
        <x:f>IF(ISNUMBER(J716),ABS(J716),"n.a.")</x:f>
        <x:v>0.46734136835931345</x:v>
      </x:c>
      <x:c r="L716" s="13" t="b">
        <x:v>1</x:v>
      </x:c>
      <x:c r="M716" s="13" t="b">
        <x:v>1</x:v>
      </x:c>
      <x:c r="N716" s="2" t="str">
        <x:v>qualified_paired_native_source_frame</x:v>
      </x:c>
      <x:c r="O716" s="2" t="str">
        <x:v>none</x:v>
      </x:c>
      <x:c r="P716" s="2" t="str">
        <x:v>modeled_epoch_volume_with_fixed2018_height_and_predominant_use</x:v>
      </x:c>
      <x:c r="Q716" s="2" t="str">
        <x:v>Only qualified source rows admitted; CAN/PAK/TUV/USA fail source checks; PSE unmapped in retained table</x:v>
      </x:c>
      <x:c r="R716" s="2" t="str">
        <x:v>https://human-settlement.emergency.copernicus.eu/ghs_buV2023.php</x:v>
      </x:c>
      <x:c r="S716" s="13" t="b">
        <x:v>0</x:v>
      </x:c>
      <x:c r="T716" s="13" t="b">
        <x:v>0</x:v>
      </x:c>
    </x:row>
    <x:row r="717" ht="23" customHeight="1">
      <x:c r="A717" s="2" t="str">
        <x:v>NAM</x:v>
      </x:c>
      <x:c r="B717" s="2" t="str">
        <x:v>Namibia (Republic of)</x:v>
      </x:c>
      <x:c r="C717" s="2" t="n">
        <x:v>2020</x:v>
      </x:c>
      <x:c r="D717" s="2" t="str">
        <x:v>GHSL_VOLUME</x:v>
      </x:c>
      <x:c r="E717" s="2" t="str">
        <x:v>volume</x:v>
      </x:c>
      <x:c r="F717" s="2" t="str">
        <x:v>m3</x:v>
      </x:c>
      <x:c r="G717" s="17" t="n">
        <x:v>235986427.19</x:v>
      </x:c>
      <x:c r="H717" s="17" t="n">
        <x:v>1214918567.654902</x:v>
      </x:c>
      <x:c r="I717" s="17" t="n">
        <x:f>IF(AND(L717,ISNUMBER(G717),ISNUMBER(H717)),G717-H717,"n.a.")</x:f>
        <x:v>-978932140.4649019</x:v>
      </x:c>
      <x:c r="J717" s="15" t="n">
        <x:f>IF(AND(L717,ISNUMBER(G717),ISNUMBER(H717),H717&gt;0),(G717-H717)/H717,"n.a.")</x:f>
        <x:v>-0.8057594694222896</x:v>
      </x:c>
      <x:c r="K717" s="19" t="n">
        <x:f>IF(ISNUMBER(J717),ABS(J717),"n.a.")</x:f>
        <x:v>0.8057594694222896</x:v>
      </x:c>
      <x:c r="L717" s="13" t="b">
        <x:v>1</x:v>
      </x:c>
      <x:c r="M717" s="13" t="b">
        <x:v>1</x:v>
      </x:c>
      <x:c r="N717" s="2" t="str">
        <x:v>qualified_paired_native_source_frame</x:v>
      </x:c>
      <x:c r="O717" s="2" t="str">
        <x:v>none</x:v>
      </x:c>
      <x:c r="P717" s="2" t="str">
        <x:v>modeled_epoch_volume_with_fixed2018_height_and_predominant_use</x:v>
      </x:c>
      <x:c r="Q717" s="2" t="str">
        <x:v>Only qualified source rows admitted; CAN/PAK/TUV/USA fail source checks; PSE unmapped in retained table</x:v>
      </x:c>
      <x:c r="R717" s="2" t="str">
        <x:v>https://human-settlement.emergency.copernicus.eu/ghs_buV2023.php</x:v>
      </x:c>
      <x:c r="S717" s="13" t="b">
        <x:v>0</x:v>
      </x:c>
      <x:c r="T717" s="13" t="b">
        <x:v>0</x:v>
      </x:c>
    </x:row>
    <x:row r="718" ht="23" customHeight="1">
      <x:c r="A718" s="2" t="str">
        <x:v>NER</x:v>
      </x:c>
      <x:c r="B718" s="2" t="str">
        <x:v>Niger (Republic of the)</x:v>
      </x:c>
      <x:c r="C718" s="2" t="n">
        <x:v>2020</x:v>
      </x:c>
      <x:c r="D718" s="2" t="str">
        <x:v>GHSL_VOLUME</x:v>
      </x:c>
      <x:c r="E718" s="2" t="str">
        <x:v>volume</x:v>
      </x:c>
      <x:c r="F718" s="2" t="str">
        <x:v>m3</x:v>
      </x:c>
      <x:c r="G718" s="17" t="n">
        <x:v>433348333.47</x:v>
      </x:c>
      <x:c r="H718" s="17" t="n">
        <x:v>2600456942.7490196</x:v>
      </x:c>
      <x:c r="I718" s="17" t="n">
        <x:f>IF(AND(L718,ISNUMBER(G718),ISNUMBER(H718)),G718-H718,"n.a.")</x:f>
        <x:v>-2167108609.2790194</x:v>
      </x:c>
      <x:c r="J718" s="15" t="n">
        <x:f>IF(AND(L718,ISNUMBER(G718),ISNUMBER(H718),H718&gt;0),(G718-H718)/H718,"n.a.")</x:f>
        <x:v>-0.833356851118675</x:v>
      </x:c>
      <x:c r="K718" s="19" t="n">
        <x:f>IF(ISNUMBER(J718),ABS(J718),"n.a.")</x:f>
        <x:v>0.833356851118675</x:v>
      </x:c>
      <x:c r="L718" s="13" t="b">
        <x:v>1</x:v>
      </x:c>
      <x:c r="M718" s="13" t="b">
        <x:v>1</x:v>
      </x:c>
      <x:c r="N718" s="2" t="str">
        <x:v>qualified_paired_native_source_frame</x:v>
      </x:c>
      <x:c r="O718" s="2" t="str">
        <x:v>none</x:v>
      </x:c>
      <x:c r="P718" s="2" t="str">
        <x:v>modeled_epoch_volume_with_fixed2018_height_and_predominant_use</x:v>
      </x:c>
      <x:c r="Q718" s="2" t="str">
        <x:v>Only qualified source rows admitted; CAN/PAK/TUV/USA fail source checks; PSE unmapped in retained table</x:v>
      </x:c>
      <x:c r="R718" s="2" t="str">
        <x:v>https://human-settlement.emergency.copernicus.eu/ghs_buV2023.php</x:v>
      </x:c>
      <x:c r="S718" s="13" t="b">
        <x:v>0</x:v>
      </x:c>
      <x:c r="T718" s="13" t="b">
        <x:v>0</x:v>
      </x:c>
    </x:row>
    <x:row r="719" ht="23" customHeight="1">
      <x:c r="A719" s="2" t="str">
        <x:v>NGA</x:v>
      </x:c>
      <x:c r="B719" s="2" t="str">
        <x:v>Nigeria (Federal Republic of)</x:v>
      </x:c>
      <x:c r="C719" s="2" t="n">
        <x:v>2020</x:v>
      </x:c>
      <x:c r="D719" s="2" t="str">
        <x:v>GHSL_VOLUME</x:v>
      </x:c>
      <x:c r="E719" s="2" t="str">
        <x:v>volume</x:v>
      </x:c>
      <x:c r="F719" s="2" t="str">
        <x:v>m3</x:v>
      </x:c>
      <x:c r="G719" s="17" t="n">
        <x:v>9942554261.29</x:v>
      </x:c>
      <x:c r="H719" s="17" t="n">
        <x:v>43931254772.96863</x:v>
      </x:c>
      <x:c r="I719" s="17" t="n">
        <x:f>IF(AND(L719,ISNUMBER(G719),ISNUMBER(H719)),G719-H719,"n.a.")</x:f>
        <x:v>-33988700511.678627</x:v>
      </x:c>
      <x:c r="J719" s="15" t="n">
        <x:f>IF(AND(L719,ISNUMBER(G719),ISNUMBER(H719),H719&gt;0),(G719-H719)/H719,"n.a.")</x:f>
        <x:v>-0.7736792560860847</x:v>
      </x:c>
      <x:c r="K719" s="19" t="n">
        <x:f>IF(ISNUMBER(J719),ABS(J719),"n.a.")</x:f>
        <x:v>0.7736792560860847</x:v>
      </x:c>
      <x:c r="L719" s="13" t="b">
        <x:v>1</x:v>
      </x:c>
      <x:c r="M719" s="13" t="b">
        <x:v>1</x:v>
      </x:c>
      <x:c r="N719" s="2" t="str">
        <x:v>qualified_paired_native_source_frame</x:v>
      </x:c>
      <x:c r="O719" s="2" t="str">
        <x:v>none</x:v>
      </x:c>
      <x:c r="P719" s="2" t="str">
        <x:v>modeled_epoch_volume_with_fixed2018_height_and_predominant_use</x:v>
      </x:c>
      <x:c r="Q719" s="2" t="str">
        <x:v>Only qualified source rows admitted; CAN/PAK/TUV/USA fail source checks; PSE unmapped in retained table</x:v>
      </x:c>
      <x:c r="R719" s="2" t="str">
        <x:v>https://human-settlement.emergency.copernicus.eu/ghs_buV2023.php</x:v>
      </x:c>
      <x:c r="S719" s="13" t="b">
        <x:v>0</x:v>
      </x:c>
      <x:c r="T719" s="13" t="b">
        <x:v>0</x:v>
      </x:c>
    </x:row>
    <x:row r="720" ht="23" customHeight="1">
      <x:c r="A720" s="2" t="str">
        <x:v>NIC</x:v>
      </x:c>
      <x:c r="B720" s="2" t="str">
        <x:v>Nicaragua (Republic of)</x:v>
      </x:c>
      <x:c r="C720" s="2" t="n">
        <x:v>2020</x:v>
      </x:c>
      <x:c r="D720" s="2" t="str">
        <x:v>GHSL_VOLUME</x:v>
      </x:c>
      <x:c r="E720" s="2" t="str">
        <x:v>volume</x:v>
      </x:c>
      <x:c r="F720" s="2" t="str">
        <x:v>m3</x:v>
      </x:c>
      <x:c r="G720" s="17" t="n">
        <x:v>459459771.32</x:v>
      </x:c>
      <x:c r="H720" s="17" t="n">
        <x:v>1359702935.5294118</x:v>
      </x:c>
      <x:c r="I720" s="17" t="n">
        <x:f>IF(AND(L720,ISNUMBER(G720),ISNUMBER(H720)),G720-H720,"n.a.")</x:f>
        <x:v>-900243164.2094119</x:v>
      </x:c>
      <x:c r="J720" s="15" t="n">
        <x:f>IF(AND(L720,ISNUMBER(G720),ISNUMBER(H720),H720&gt;0),(G720-H720)/H720,"n.a.")</x:f>
        <x:v>-0.6620881228434611</x:v>
      </x:c>
      <x:c r="K720" s="19" t="n">
        <x:f>IF(ISNUMBER(J720),ABS(J720),"n.a.")</x:f>
        <x:v>0.6620881228434611</x:v>
      </x:c>
      <x:c r="L720" s="13" t="b">
        <x:v>1</x:v>
      </x:c>
      <x:c r="M720" s="13" t="b">
        <x:v>1</x:v>
      </x:c>
      <x:c r="N720" s="2" t="str">
        <x:v>qualified_paired_native_source_frame</x:v>
      </x:c>
      <x:c r="O720" s="2" t="str">
        <x:v>none</x:v>
      </x:c>
      <x:c r="P720" s="2" t="str">
        <x:v>modeled_epoch_volume_with_fixed2018_height_and_predominant_use</x:v>
      </x:c>
      <x:c r="Q720" s="2" t="str">
        <x:v>Only qualified source rows admitted; CAN/PAK/TUV/USA fail source checks; PSE unmapped in retained table</x:v>
      </x:c>
      <x:c r="R720" s="2" t="str">
        <x:v>https://human-settlement.emergency.copernicus.eu/ghs_buV2023.php</x:v>
      </x:c>
      <x:c r="S720" s="13" t="b">
        <x:v>0</x:v>
      </x:c>
      <x:c r="T720" s="13" t="b">
        <x:v>0</x:v>
      </x:c>
    </x:row>
    <x:row r="721" ht="23" customHeight="1">
      <x:c r="A721" s="2" t="str">
        <x:v>NLD</x:v>
      </x:c>
      <x:c r="B721" s="2" t="str">
        <x:v>Netherlands (Kingdom of the)</x:v>
      </x:c>
      <x:c r="C721" s="2" t="n">
        <x:v>2020</x:v>
      </x:c>
      <x:c r="D721" s="2" t="str">
        <x:v>GHSL_VOLUME</x:v>
      </x:c>
      <x:c r="E721" s="2" t="str">
        <x:v>volume</x:v>
      </x:c>
      <x:c r="F721" s="2" t="str">
        <x:v>m3</x:v>
      </x:c>
      <x:c r="G721" s="17" t="n">
        <x:v>5496567009.09</x:v>
      </x:c>
      <x:c r="H721" s="17" t="n">
        <x:v>12634360284.631369</x:v>
      </x:c>
      <x:c r="I721" s="17" t="n">
        <x:f>IF(AND(L721,ISNUMBER(G721),ISNUMBER(H721)),G721-H721,"n.a.")</x:f>
        <x:v>-7137793275.5413685</x:v>
      </x:c>
      <x:c r="J721" s="15" t="n">
        <x:f>IF(AND(L721,ISNUMBER(G721),ISNUMBER(H721),H721&gt;0),(G721-H721)/H721,"n.a.")</x:f>
        <x:v>-0.5649509048925802</x:v>
      </x:c>
      <x:c r="K721" s="19" t="n">
        <x:f>IF(ISNUMBER(J721),ABS(J721),"n.a.")</x:f>
        <x:v>0.5649509048925802</x:v>
      </x:c>
      <x:c r="L721" s="13" t="b">
        <x:v>1</x:v>
      </x:c>
      <x:c r="M721" s="13" t="b">
        <x:v>1</x:v>
      </x:c>
      <x:c r="N721" s="2" t="str">
        <x:v>qualified_paired_native_source_frame</x:v>
      </x:c>
      <x:c r="O721" s="2" t="str">
        <x:v>none</x:v>
      </x:c>
      <x:c r="P721" s="2" t="str">
        <x:v>modeled_epoch_volume_with_fixed2018_height_and_predominant_use</x:v>
      </x:c>
      <x:c r="Q721" s="2" t="str">
        <x:v>Only qualified source rows admitted; CAN/PAK/TUV/USA fail source checks; PSE unmapped in retained table</x:v>
      </x:c>
      <x:c r="R721" s="2" t="str">
        <x:v>https://human-settlement.emergency.copernicus.eu/ghs_buV2023.php</x:v>
      </x:c>
      <x:c r="S721" s="13" t="b">
        <x:v>0</x:v>
      </x:c>
      <x:c r="T721" s="13" t="b">
        <x:v>0</x:v>
      </x:c>
    </x:row>
    <x:row r="722" ht="23" customHeight="1">
      <x:c r="A722" s="2" t="str">
        <x:v>NOR</x:v>
      </x:c>
      <x:c r="B722" s="2" t="str">
        <x:v>Norway (Kingdom of)</x:v>
      </x:c>
      <x:c r="C722" s="2" t="n">
        <x:v>2020</x:v>
      </x:c>
      <x:c r="D722" s="2" t="str">
        <x:v>GHSL_VOLUME</x:v>
      </x:c>
      <x:c r="E722" s="2" t="str">
        <x:v>volume</x:v>
      </x:c>
      <x:c r="F722" s="2" t="str">
        <x:v>m3</x:v>
      </x:c>
      <x:c r="G722" s="17" t="n">
        <x:v>1542720229.19</x:v>
      </x:c>
      <x:c r="H722" s="17" t="n">
        <x:v>1668560407.2784312</x:v>
      </x:c>
      <x:c r="I722" s="17" t="n">
        <x:f>IF(AND(L722,ISNUMBER(G722),ISNUMBER(H722)),G722-H722,"n.a.")</x:f>
        <x:v>-125840178.08843112</x:v>
      </x:c>
      <x:c r="J722" s="15" t="n">
        <x:f>IF(AND(L722,ISNUMBER(G722),ISNUMBER(H722),H722&gt;0),(G722-H722)/H722,"n.a.")</x:f>
        <x:v>-0.07541841310599448</x:v>
      </x:c>
      <x:c r="K722" s="19" t="n">
        <x:f>IF(ISNUMBER(J722),ABS(J722),"n.a.")</x:f>
        <x:v>0.07541841310599448</x:v>
      </x:c>
      <x:c r="L722" s="13" t="b">
        <x:v>1</x:v>
      </x:c>
      <x:c r="M722" s="13" t="b">
        <x:v>1</x:v>
      </x:c>
      <x:c r="N722" s="2" t="str">
        <x:v>qualified_paired_native_source_frame</x:v>
      </x:c>
      <x:c r="O722" s="2" t="str">
        <x:v>none</x:v>
      </x:c>
      <x:c r="P722" s="2" t="str">
        <x:v>modeled_epoch_volume_with_fixed2018_height_and_predominant_use</x:v>
      </x:c>
      <x:c r="Q722" s="2" t="str">
        <x:v>Only qualified source rows admitted; CAN/PAK/TUV/USA fail source checks; PSE unmapped in retained table</x:v>
      </x:c>
      <x:c r="R722" s="2" t="str">
        <x:v>https://human-settlement.emergency.copernicus.eu/ghs_buV2023.php</x:v>
      </x:c>
      <x:c r="S722" s="13" t="b">
        <x:v>0</x:v>
      </x:c>
      <x:c r="T722" s="13" t="b">
        <x:v>0</x:v>
      </x:c>
    </x:row>
    <x:row r="723" ht="23" customHeight="1">
      <x:c r="A723" s="2" t="str">
        <x:v>NPL</x:v>
      </x:c>
      <x:c r="B723" s="2" t="str">
        <x:v>Nepal (Federal Democratic Republic of)</x:v>
      </x:c>
      <x:c r="C723" s="2" t="n">
        <x:v>2020</x:v>
      </x:c>
      <x:c r="D723" s="2" t="str">
        <x:v>GHSL_VOLUME</x:v>
      </x:c>
      <x:c r="E723" s="2" t="str">
        <x:v>volume</x:v>
      </x:c>
      <x:c r="F723" s="2" t="str">
        <x:v>m3</x:v>
      </x:c>
      <x:c r="G723" s="17" t="n">
        <x:v>1424099511.51</x:v>
      </x:c>
      <x:c r="H723" s="17" t="n">
        <x:v>3754178646.8980393</x:v>
      </x:c>
      <x:c r="I723" s="17" t="n">
        <x:f>IF(AND(L723,ISNUMBER(G723),ISNUMBER(H723)),G723-H723,"n.a.")</x:f>
        <x:v>-2330079135.3880396</x:v>
      </x:c>
      <x:c r="J723" s="15" t="n">
        <x:f>IF(AND(L723,ISNUMBER(G723),ISNUMBER(H723),H723&gt;0),(G723-H723)/H723,"n.a.")</x:f>
        <x:v>-0.6206628278900129</x:v>
      </x:c>
      <x:c r="K723" s="19" t="n">
        <x:f>IF(ISNUMBER(J723),ABS(J723),"n.a.")</x:f>
        <x:v>0.6206628278900129</x:v>
      </x:c>
      <x:c r="L723" s="13" t="b">
        <x:v>1</x:v>
      </x:c>
      <x:c r="M723" s="13" t="b">
        <x:v>1</x:v>
      </x:c>
      <x:c r="N723" s="2" t="str">
        <x:v>qualified_paired_native_source_frame</x:v>
      </x:c>
      <x:c r="O723" s="2" t="str">
        <x:v>none</x:v>
      </x:c>
      <x:c r="P723" s="2" t="str">
        <x:v>modeled_epoch_volume_with_fixed2018_height_and_predominant_use</x:v>
      </x:c>
      <x:c r="Q723" s="2" t="str">
        <x:v>Only qualified source rows admitted; CAN/PAK/TUV/USA fail source checks; PSE unmapped in retained table</x:v>
      </x:c>
      <x:c r="R723" s="2" t="str">
        <x:v>https://human-settlement.emergency.copernicus.eu/ghs_buV2023.php</x:v>
      </x:c>
      <x:c r="S723" s="13" t="b">
        <x:v>0</x:v>
      </x:c>
      <x:c r="T723" s="13" t="b">
        <x:v>0</x:v>
      </x:c>
    </x:row>
    <x:row r="724" ht="23" customHeight="1">
      <x:c r="A724" s="2" t="str">
        <x:v>NRU</x:v>
      </x:c>
      <x:c r="B724" s="2" t="str">
        <x:v>Nauru (Republic of)</x:v>
      </x:c>
      <x:c r="C724" s="2" t="n">
        <x:v>2020</x:v>
      </x:c>
      <x:c r="D724" s="2" t="str">
        <x:v>GHSL_VOLUME</x:v>
      </x:c>
      <x:c r="E724" s="2" t="str">
        <x:v>volume</x:v>
      </x:c>
      <x:c r="F724" s="2" t="str">
        <x:v>m3</x:v>
      </x:c>
      <x:c r="G724" s="17" t="n">
        <x:v>1092672.69</x:v>
      </x:c>
      <x:c r="H724" s="17" t="n">
        <x:v>2003283.4</x:v>
      </x:c>
      <x:c r="I724" s="17" t="n">
        <x:f>IF(AND(L724,ISNUMBER(G724),ISNUMBER(H724)),G724-H724,"n.a.")</x:f>
        <x:v>-910610.71</x:v>
      </x:c>
      <x:c r="J724" s="15" t="n">
        <x:f>IF(AND(L724,ISNUMBER(G724),ISNUMBER(H724),H724&gt;0),(G724-H724)/H724,"n.a.")</x:f>
        <x:v>-0.45455910531680144</x:v>
      </x:c>
      <x:c r="K724" s="19" t="n">
        <x:f>IF(ISNUMBER(J724),ABS(J724),"n.a.")</x:f>
        <x:v>0.45455910531680144</x:v>
      </x:c>
      <x:c r="L724" s="13" t="b">
        <x:v>1</x:v>
      </x:c>
      <x:c r="M724" s="13" t="b">
        <x:v>1</x:v>
      </x:c>
      <x:c r="N724" s="2" t="str">
        <x:v>qualified_paired_native_source_frame</x:v>
      </x:c>
      <x:c r="O724" s="2" t="str">
        <x:v>none</x:v>
      </x:c>
      <x:c r="P724" s="2" t="str">
        <x:v>modeled_epoch_volume_with_fixed2018_height_and_predominant_use</x:v>
      </x:c>
      <x:c r="Q724" s="2" t="str">
        <x:v>Only qualified source rows admitted; CAN/PAK/TUV/USA fail source checks; PSE unmapped in retained table</x:v>
      </x:c>
      <x:c r="R724" s="2" t="str">
        <x:v>https://human-settlement.emergency.copernicus.eu/ghs_buV2023.php</x:v>
      </x:c>
      <x:c r="S724" s="13" t="b">
        <x:v>0</x:v>
      </x:c>
      <x:c r="T724" s="13" t="b">
        <x:v>0</x:v>
      </x:c>
    </x:row>
    <x:row r="725" ht="23" customHeight="1">
      <x:c r="A725" s="2" t="str">
        <x:v>NZL</x:v>
      </x:c>
      <x:c r="B725" s="2" t="str">
        <x:v>New Zealand</x:v>
      </x:c>
      <x:c r="C725" s="2" t="n">
        <x:v>2020</x:v>
      </x:c>
      <x:c r="D725" s="2" t="str">
        <x:v>GHSL_VOLUME</x:v>
      </x:c>
      <x:c r="E725" s="2" t="str">
        <x:v>volume</x:v>
      </x:c>
      <x:c r="F725" s="2" t="str">
        <x:v>m3</x:v>
      </x:c>
      <x:c r="G725" s="17" t="n">
        <x:v>1517032261.4</x:v>
      </x:c>
      <x:c r="H725" s="17" t="n">
        <x:v>6861220666.105884</x:v>
      </x:c>
      <x:c r="I725" s="17" t="n">
        <x:f>IF(AND(L725,ISNUMBER(G725),ISNUMBER(H725)),G725-H725,"n.a.")</x:f>
        <x:v>-5344188404.705883</x:v>
      </x:c>
      <x:c r="J725" s="15" t="n">
        <x:f>IF(AND(L725,ISNUMBER(G725),ISNUMBER(H725),H725&gt;0),(G725-H725)/H725,"n.a.")</x:f>
        <x:v>-0.7788976138176009</x:v>
      </x:c>
      <x:c r="K725" s="19" t="n">
        <x:f>IF(ISNUMBER(J725),ABS(J725),"n.a.")</x:f>
        <x:v>0.7788976138176009</x:v>
      </x:c>
      <x:c r="L725" s="13" t="b">
        <x:v>1</x:v>
      </x:c>
      <x:c r="M725" s="13" t="b">
        <x:v>1</x:v>
      </x:c>
      <x:c r="N725" s="2" t="str">
        <x:v>qualified_paired_native_source_frame</x:v>
      </x:c>
      <x:c r="O725" s="2" t="str">
        <x:v>none</x:v>
      </x:c>
      <x:c r="P725" s="2" t="str">
        <x:v>modeled_epoch_volume_with_fixed2018_height_and_predominant_use</x:v>
      </x:c>
      <x:c r="Q725" s="2" t="str">
        <x:v>Only qualified source rows admitted; CAN/PAK/TUV/USA fail source checks; PSE unmapped in retained table</x:v>
      </x:c>
      <x:c r="R725" s="2" t="str">
        <x:v>https://human-settlement.emergency.copernicus.eu/ghs_buV2023.php</x:v>
      </x:c>
      <x:c r="S725" s="13" t="b">
        <x:v>0</x:v>
      </x:c>
      <x:c r="T725" s="13" t="b">
        <x:v>0</x:v>
      </x:c>
    </x:row>
    <x:row r="726" ht="23" customHeight="1">
      <x:c r="A726" s="2" t="str">
        <x:v>OMN</x:v>
      </x:c>
      <x:c r="B726" s="2" t="str">
        <x:v>Oman (Sultanate of)</x:v>
      </x:c>
      <x:c r="C726" s="2" t="n">
        <x:v>2020</x:v>
      </x:c>
      <x:c r="D726" s="2" t="str">
        <x:v>GHSL_VOLUME</x:v>
      </x:c>
      <x:c r="E726" s="2" t="str">
        <x:v>volume</x:v>
      </x:c>
      <x:c r="F726" s="2" t="str">
        <x:v>m3</x:v>
      </x:c>
      <x:c r="G726" s="17" t="n">
        <x:v>730176923.74</x:v>
      </x:c>
      <x:c r="H726" s="17" t="n">
        <x:v>2169521245.7450976</x:v>
      </x:c>
      <x:c r="I726" s="17" t="n">
        <x:f>IF(AND(L726,ISNUMBER(G726),ISNUMBER(H726)),G726-H726,"n.a.")</x:f>
        <x:v>-1439344322.0050976</x:v>
      </x:c>
      <x:c r="J726" s="15" t="n">
        <x:f>IF(AND(L726,ISNUMBER(G726),ISNUMBER(H726),H726&gt;0),(G726-H726)/H726,"n.a.")</x:f>
        <x:v>-0.6634386848379403</x:v>
      </x:c>
      <x:c r="K726" s="19" t="n">
        <x:f>IF(ISNUMBER(J726),ABS(J726),"n.a.")</x:f>
        <x:v>0.6634386848379403</x:v>
      </x:c>
      <x:c r="L726" s="13" t="b">
        <x:v>1</x:v>
      </x:c>
      <x:c r="M726" s="13" t="b">
        <x:v>1</x:v>
      </x:c>
      <x:c r="N726" s="2" t="str">
        <x:v>qualified_paired_native_source_frame</x:v>
      </x:c>
      <x:c r="O726" s="2" t="str">
        <x:v>none</x:v>
      </x:c>
      <x:c r="P726" s="2" t="str">
        <x:v>modeled_epoch_volume_with_fixed2018_height_and_predominant_use</x:v>
      </x:c>
      <x:c r="Q726" s="2" t="str">
        <x:v>Only qualified source rows admitted; CAN/PAK/TUV/USA fail source checks; PSE unmapped in retained table</x:v>
      </x:c>
      <x:c r="R726" s="2" t="str">
        <x:v>https://human-settlement.emergency.copernicus.eu/ghs_buV2023.php</x:v>
      </x:c>
      <x:c r="S726" s="13" t="b">
        <x:v>0</x:v>
      </x:c>
      <x:c r="T726" s="13" t="b">
        <x:v>0</x:v>
      </x:c>
    </x:row>
    <x:row r="727" ht="23" customHeight="1">
      <x:c r="A727" s="2" t="str">
        <x:v>PAK</x:v>
      </x:c>
      <x:c r="B727" s="2" t="str">
        <x:v>Pakistan (Islamic Republic of)</x:v>
      </x:c>
      <x:c r="C727" s="2" t="n">
        <x:v>2020</x:v>
      </x:c>
      <x:c r="D727" s="2" t="str">
        <x:v>GHSL_VOLUME</x:v>
      </x:c>
      <x:c r="E727" s="2" t="str">
        <x:v>volume</x:v>
      </x:c>
      <x:c r="F727" s="2" t="str">
        <x:v>m3</x:v>
      </x:c>
      <x:c r="G727" s="17" t="n">
        <x:v>11536929090.5</x:v>
      </x:c>
      <x:c r="H727" s="17" t="n">
        <x:v>26394675492.44706</x:v>
      </x:c>
      <x:c r="I727" s="17" t="str">
        <x:f>IF(AND(L727,ISNUMBER(G727),ISNUMBER(H727)),G727-H727,"n.a.")</x:f>
        <x:v>n.a.</x:v>
      </x:c>
      <x:c r="J727" s="15" t="str">
        <x:f>IF(AND(L727,ISNUMBER(G727),ISNUMBER(H727),H727&gt;0),(G727-H727)/H727,"n.a.")</x:f>
        <x:v>n.a.</x:v>
      </x:c>
      <x:c r="K727" s="19" t="str">
        <x:f>IF(ISNUMBER(J727),ABS(J727),"n.a.")</x:f>
        <x:v>n.a.</x:v>
      </x:c>
      <x:c r="L727" s="13" t="b">
        <x:v>0</x:v>
      </x:c>
      <x:c r="M727" s="13" t="b">
        <x:v>1</x:v>
      </x:c>
      <x:c r="N727" s="2" t="str">
        <x:v>source_support_or_logical_consistency_failed</x:v>
      </x:c>
      <x:c r="O727" s="2" t="str">
        <x:v>none</x:v>
      </x:c>
      <x:c r="P727" s="2" t="str">
        <x:v>modeled_epoch_volume_with_fixed2018_height_and_predominant_use</x:v>
      </x:c>
      <x:c r="Q727" s="2" t="str">
        <x:v>Only qualified source rows admitted; CAN/PAK/TUV/USA fail source checks; PSE unmapped in retained table</x:v>
      </x:c>
      <x:c r="R727" s="2" t="str">
        <x:v>https://human-settlement.emergency.copernicus.eu/ghs_buV2023.php</x:v>
      </x:c>
      <x:c r="S727" s="13" t="b">
        <x:v>0</x:v>
      </x:c>
      <x:c r="T727" s="13" t="b">
        <x:v>0</x:v>
      </x:c>
    </x:row>
    <x:row r="728" ht="23" customHeight="1">
      <x:c r="A728" s="2" t="str">
        <x:v>PAN</x:v>
      </x:c>
      <x:c r="B728" s="2" t="str">
        <x:v>Panama (Republic of)</x:v>
      </x:c>
      <x:c r="C728" s="2" t="n">
        <x:v>2020</x:v>
      </x:c>
      <x:c r="D728" s="2" t="str">
        <x:v>GHSL_VOLUME</x:v>
      </x:c>
      <x:c r="E728" s="2" t="str">
        <x:v>volume</x:v>
      </x:c>
      <x:c r="F728" s="2" t="str">
        <x:v>m3</x:v>
      </x:c>
      <x:c r="G728" s="17" t="n">
        <x:v>600051648.5</x:v>
      </x:c>
      <x:c r="H728" s="17" t="n">
        <x:v>1562660833.0549016</x:v>
      </x:c>
      <x:c r="I728" s="17" t="n">
        <x:f>IF(AND(L728,ISNUMBER(G728),ISNUMBER(H728)),G728-H728,"n.a.")</x:f>
        <x:v>-962609184.5549016</x:v>
      </x:c>
      <x:c r="J728" s="15" t="n">
        <x:f>IF(AND(L728,ISNUMBER(G728),ISNUMBER(H728),H728&gt;0),(G728-H728)/H728,"n.a.")</x:f>
        <x:v>-0.6160064706255307</x:v>
      </x:c>
      <x:c r="K728" s="19" t="n">
        <x:f>IF(ISNUMBER(J728),ABS(J728),"n.a.")</x:f>
        <x:v>0.6160064706255307</x:v>
      </x:c>
      <x:c r="L728" s="13" t="b">
        <x:v>1</x:v>
      </x:c>
      <x:c r="M728" s="13" t="b">
        <x:v>1</x:v>
      </x:c>
      <x:c r="N728" s="2" t="str">
        <x:v>qualified_paired_native_source_frame</x:v>
      </x:c>
      <x:c r="O728" s="2" t="str">
        <x:v>none</x:v>
      </x:c>
      <x:c r="P728" s="2" t="str">
        <x:v>modeled_epoch_volume_with_fixed2018_height_and_predominant_use</x:v>
      </x:c>
      <x:c r="Q728" s="2" t="str">
        <x:v>Only qualified source rows admitted; CAN/PAK/TUV/USA fail source checks; PSE unmapped in retained table</x:v>
      </x:c>
      <x:c r="R728" s="2" t="str">
        <x:v>https://human-settlement.emergency.copernicus.eu/ghs_buV2023.php</x:v>
      </x:c>
      <x:c r="S728" s="13" t="b">
        <x:v>0</x:v>
      </x:c>
      <x:c r="T728" s="13" t="b">
        <x:v>0</x:v>
      </x:c>
    </x:row>
    <x:row r="729" ht="23" customHeight="1">
      <x:c r="A729" s="2" t="str">
        <x:v>PER</x:v>
      </x:c>
      <x:c r="B729" s="2" t="str">
        <x:v>Peru (Republic of)</x:v>
      </x:c>
      <x:c r="C729" s="2" t="n">
        <x:v>2020</x:v>
      </x:c>
      <x:c r="D729" s="2" t="str">
        <x:v>GHSL_VOLUME</x:v>
      </x:c>
      <x:c r="E729" s="2" t="str">
        <x:v>volume</x:v>
      </x:c>
      <x:c r="F729" s="2" t="str">
        <x:v>m3</x:v>
      </x:c>
      <x:c r="G729" s="17" t="n">
        <x:v>3516375732.47</x:v>
      </x:c>
      <x:c r="H729" s="17" t="n">
        <x:v>7921014560.070589</x:v>
      </x:c>
      <x:c r="I729" s="17" t="n">
        <x:f>IF(AND(L729,ISNUMBER(G729),ISNUMBER(H729)),G729-H729,"n.a.")</x:f>
        <x:v>-4404638827.60059</x:v>
      </x:c>
      <x:c r="J729" s="15" t="n">
        <x:f>IF(AND(L729,ISNUMBER(G729),ISNUMBER(H729),H729&gt;0),(G729-H729)/H729,"n.a.")</x:f>
        <x:v>-0.5560700329733187</x:v>
      </x:c>
      <x:c r="K729" s="19" t="n">
        <x:f>IF(ISNUMBER(J729),ABS(J729),"n.a.")</x:f>
        <x:v>0.5560700329733187</x:v>
      </x:c>
      <x:c r="L729" s="13" t="b">
        <x:v>1</x:v>
      </x:c>
      <x:c r="M729" s="13" t="b">
        <x:v>1</x:v>
      </x:c>
      <x:c r="N729" s="2" t="str">
        <x:v>qualified_paired_native_source_frame</x:v>
      </x:c>
      <x:c r="O729" s="2" t="str">
        <x:v>none</x:v>
      </x:c>
      <x:c r="P729" s="2" t="str">
        <x:v>modeled_epoch_volume_with_fixed2018_height_and_predominant_use</x:v>
      </x:c>
      <x:c r="Q729" s="2" t="str">
        <x:v>Only qualified source rows admitted; CAN/PAK/TUV/USA fail source checks; PSE unmapped in retained table</x:v>
      </x:c>
      <x:c r="R729" s="2" t="str">
        <x:v>https://human-settlement.emergency.copernicus.eu/ghs_buV2023.php</x:v>
      </x:c>
      <x:c r="S729" s="13" t="b">
        <x:v>0</x:v>
      </x:c>
      <x:c r="T729" s="13" t="b">
        <x:v>0</x:v>
      </x:c>
    </x:row>
    <x:row r="730" ht="23" customHeight="1">
      <x:c r="A730" s="2" t="str">
        <x:v>PHL</x:v>
      </x:c>
      <x:c r="B730" s="2" t="str">
        <x:v>Philippines (Republic of the)</x:v>
      </x:c>
      <x:c r="C730" s="2" t="n">
        <x:v>2020</x:v>
      </x:c>
      <x:c r="D730" s="2" t="str">
        <x:v>GHSL_VOLUME</x:v>
      </x:c>
      <x:c r="E730" s="2" t="str">
        <x:v>volume</x:v>
      </x:c>
      <x:c r="F730" s="2" t="str">
        <x:v>m3</x:v>
      </x:c>
      <x:c r="G730" s="17" t="n">
        <x:v>6306091848.97</x:v>
      </x:c>
      <x:c r="H730" s="17" t="n">
        <x:v>10968252840.474512</x:v>
      </x:c>
      <x:c r="I730" s="17" t="n">
        <x:f>IF(AND(L730,ISNUMBER(G730),ISNUMBER(H730)),G730-H730,"n.a.")</x:f>
        <x:v>-4662160991.504512</x:v>
      </x:c>
      <x:c r="J730" s="15" t="n">
        <x:f>IF(AND(L730,ISNUMBER(G730),ISNUMBER(H730),H730&gt;0),(G730-H730)/H730,"n.a.")</x:f>
        <x:v>-0.425059584175561</x:v>
      </x:c>
      <x:c r="K730" s="19" t="n">
        <x:f>IF(ISNUMBER(J730),ABS(J730),"n.a.")</x:f>
        <x:v>0.425059584175561</x:v>
      </x:c>
      <x:c r="L730" s="13" t="b">
        <x:v>1</x:v>
      </x:c>
      <x:c r="M730" s="13" t="b">
        <x:v>1</x:v>
      </x:c>
      <x:c r="N730" s="2" t="str">
        <x:v>qualified_paired_native_source_frame</x:v>
      </x:c>
      <x:c r="O730" s="2" t="str">
        <x:v>none</x:v>
      </x:c>
      <x:c r="P730" s="2" t="str">
        <x:v>modeled_epoch_volume_with_fixed2018_height_and_predominant_use</x:v>
      </x:c>
      <x:c r="Q730" s="2" t="str">
        <x:v>Only qualified source rows admitted; CAN/PAK/TUV/USA fail source checks; PSE unmapped in retained table</x:v>
      </x:c>
      <x:c r="R730" s="2" t="str">
        <x:v>https://human-settlement.emergency.copernicus.eu/ghs_buV2023.php</x:v>
      </x:c>
      <x:c r="S730" s="13" t="b">
        <x:v>0</x:v>
      </x:c>
      <x:c r="T730" s="13" t="b">
        <x:v>0</x:v>
      </x:c>
    </x:row>
    <x:row r="731" ht="23" customHeight="1">
      <x:c r="A731" s="2" t="str">
        <x:v>PLW</x:v>
      </x:c>
      <x:c r="B731" s="2" t="str">
        <x:v>Palau (Republic of)</x:v>
      </x:c>
      <x:c r="C731" s="2" t="n">
        <x:v>2020</x:v>
      </x:c>
      <x:c r="D731" s="2" t="str">
        <x:v>GHSL_VOLUME</x:v>
      </x:c>
      <x:c r="E731" s="2" t="str">
        <x:v>volume</x:v>
      </x:c>
      <x:c r="F731" s="2" t="str">
        <x:v>m3</x:v>
      </x:c>
      <x:c r="G731" s="17" t="n">
        <x:v>2767544.44</x:v>
      </x:c>
      <x:c r="H731" s="17" t="n">
        <x:v>3410397.6196078435</x:v>
      </x:c>
      <x:c r="I731" s="17" t="n">
        <x:f>IF(AND(L731,ISNUMBER(G731),ISNUMBER(H731)),G731-H731,"n.a.")</x:f>
        <x:v>-642853.1796078435</x:v>
      </x:c>
      <x:c r="J731" s="15" t="n">
        <x:f>IF(AND(L731,ISNUMBER(G731),ISNUMBER(H731),H731&gt;0),(G731-H731)/H731,"n.a.")</x:f>
        <x:v>-0.188498014399202</x:v>
      </x:c>
      <x:c r="K731" s="19" t="n">
        <x:f>IF(ISNUMBER(J731),ABS(J731),"n.a.")</x:f>
        <x:v>0.188498014399202</x:v>
      </x:c>
      <x:c r="L731" s="13" t="b">
        <x:v>1</x:v>
      </x:c>
      <x:c r="M731" s="13" t="b">
        <x:v>1</x:v>
      </x:c>
      <x:c r="N731" s="2" t="str">
        <x:v>qualified_paired_native_source_frame</x:v>
      </x:c>
      <x:c r="O731" s="2" t="str">
        <x:v>none</x:v>
      </x:c>
      <x:c r="P731" s="2" t="str">
        <x:v>modeled_epoch_volume_with_fixed2018_height_and_predominant_use</x:v>
      </x:c>
      <x:c r="Q731" s="2" t="str">
        <x:v>Only qualified source rows admitted; CAN/PAK/TUV/USA fail source checks; PSE unmapped in retained table</x:v>
      </x:c>
      <x:c r="R731" s="2" t="str">
        <x:v>https://human-settlement.emergency.copernicus.eu/ghs_buV2023.php</x:v>
      </x:c>
      <x:c r="S731" s="13" t="b">
        <x:v>0</x:v>
      </x:c>
      <x:c r="T731" s="13" t="b">
        <x:v>0</x:v>
      </x:c>
    </x:row>
    <x:row r="732" ht="23" customHeight="1">
      <x:c r="A732" s="2" t="str">
        <x:v>PNG</x:v>
      </x:c>
      <x:c r="B732" s="2" t="str">
        <x:v>Papua New Guinea (Independent State of)</x:v>
      </x:c>
      <x:c r="C732" s="2" t="n">
        <x:v>2020</x:v>
      </x:c>
      <x:c r="D732" s="2" t="str">
        <x:v>GHSL_VOLUME</x:v>
      </x:c>
      <x:c r="E732" s="2" t="str">
        <x:v>volume</x:v>
      </x:c>
      <x:c r="F732" s="2" t="str">
        <x:v>m3</x:v>
      </x:c>
      <x:c r="G732" s="17" t="n">
        <x:v>231401727.62</x:v>
      </x:c>
      <x:c r="H732" s="17" t="n">
        <x:v>550412275.1490197</x:v>
      </x:c>
      <x:c r="I732" s="17" t="n">
        <x:f>IF(AND(L732,ISNUMBER(G732),ISNUMBER(H732)),G732-H732,"n.a.")</x:f>
        <x:v>-319010547.5290197</x:v>
      </x:c>
      <x:c r="J732" s="15" t="n">
        <x:f>IF(AND(L732,ISNUMBER(G732),ISNUMBER(H732),H732&gt;0),(G732-H732)/H732,"n.a.")</x:f>
        <x:v>-0.5795847257270019</x:v>
      </x:c>
      <x:c r="K732" s="19" t="n">
        <x:f>IF(ISNUMBER(J732),ABS(J732),"n.a.")</x:f>
        <x:v>0.5795847257270019</x:v>
      </x:c>
      <x:c r="L732" s="13" t="b">
        <x:v>1</x:v>
      </x:c>
      <x:c r="M732" s="13" t="b">
        <x:v>1</x:v>
      </x:c>
      <x:c r="N732" s="2" t="str">
        <x:v>qualified_paired_native_source_frame</x:v>
      </x:c>
      <x:c r="O732" s="2" t="str">
        <x:v>none</x:v>
      </x:c>
      <x:c r="P732" s="2" t="str">
        <x:v>modeled_epoch_volume_with_fixed2018_height_and_predominant_use</x:v>
      </x:c>
      <x:c r="Q732" s="2" t="str">
        <x:v>Only qualified source rows admitted; CAN/PAK/TUV/USA fail source checks; PSE unmapped in retained table</x:v>
      </x:c>
      <x:c r="R732" s="2" t="str">
        <x:v>https://human-settlement.emergency.copernicus.eu/ghs_buV2023.php</x:v>
      </x:c>
      <x:c r="S732" s="13" t="b">
        <x:v>0</x:v>
      </x:c>
      <x:c r="T732" s="13" t="b">
        <x:v>0</x:v>
      </x:c>
    </x:row>
    <x:row r="733" ht="23" customHeight="1">
      <x:c r="A733" s="2" t="str">
        <x:v>POL</x:v>
      </x:c>
      <x:c r="B733" s="2" t="str">
        <x:v>Poland (Republic of)</x:v>
      </x:c>
      <x:c r="C733" s="2" t="n">
        <x:v>2020</x:v>
      </x:c>
      <x:c r="D733" s="2" t="str">
        <x:v>GHSL_VOLUME</x:v>
      </x:c>
      <x:c r="E733" s="2" t="str">
        <x:v>volume</x:v>
      </x:c>
      <x:c r="F733" s="2" t="str">
        <x:v>m3</x:v>
      </x:c>
      <x:c r="G733" s="17" t="n">
        <x:v>7661856703.95</x:v>
      </x:c>
      <x:c r="H733" s="17" t="n">
        <x:v>19150152906.380394</x:v>
      </x:c>
      <x:c r="I733" s="17" t="n">
        <x:f>IF(AND(L733,ISNUMBER(G733),ISNUMBER(H733)),G733-H733,"n.a.")</x:f>
        <x:v>-11488296202.430393</x:v>
      </x:c>
      <x:c r="J733" s="15" t="n">
        <x:f>IF(AND(L733,ISNUMBER(G733),ISNUMBER(H733),H733&gt;0),(G733-H733)/H733,"n.a.")</x:f>
        <x:v>-0.599906238795762</x:v>
      </x:c>
      <x:c r="K733" s="19" t="n">
        <x:f>IF(ISNUMBER(J733),ABS(J733),"n.a.")</x:f>
        <x:v>0.599906238795762</x:v>
      </x:c>
      <x:c r="L733" s="13" t="b">
        <x:v>1</x:v>
      </x:c>
      <x:c r="M733" s="13" t="b">
        <x:v>1</x:v>
      </x:c>
      <x:c r="N733" s="2" t="str">
        <x:v>qualified_paired_native_source_frame</x:v>
      </x:c>
      <x:c r="O733" s="2" t="str">
        <x:v>none</x:v>
      </x:c>
      <x:c r="P733" s="2" t="str">
        <x:v>modeled_epoch_volume_with_fixed2018_height_and_predominant_use</x:v>
      </x:c>
      <x:c r="Q733" s="2" t="str">
        <x:v>Only qualified source rows admitted; CAN/PAK/TUV/USA fail source checks; PSE unmapped in retained table</x:v>
      </x:c>
      <x:c r="R733" s="2" t="str">
        <x:v>https://human-settlement.emergency.copernicus.eu/ghs_buV2023.php</x:v>
      </x:c>
      <x:c r="S733" s="13" t="b">
        <x:v>0</x:v>
      </x:c>
      <x:c r="T733" s="13" t="b">
        <x:v>0</x:v>
      </x:c>
    </x:row>
    <x:row r="734" ht="23" customHeight="1">
      <x:c r="A734" s="2" t="str">
        <x:v>PRK</x:v>
      </x:c>
      <x:c r="B734" s="2" t="str">
        <x:v>Korea (Democratic People's Republic of)</x:v>
      </x:c>
      <x:c r="C734" s="2" t="n">
        <x:v>2020</x:v>
      </x:c>
      <x:c r="D734" s="2" t="str">
        <x:v>GHSL_VOLUME</x:v>
      </x:c>
      <x:c r="E734" s="2" t="str">
        <x:v>volume</x:v>
      </x:c>
      <x:c r="F734" s="2" t="str">
        <x:v>m3</x:v>
      </x:c>
      <x:c r="G734" s="17" t="n">
        <x:v>1314862793.51</x:v>
      </x:c>
      <x:c r="H734" s="17" t="n">
        <x:v>2466553665.145099</x:v>
      </x:c>
      <x:c r="I734" s="17" t="n">
        <x:f>IF(AND(L734,ISNUMBER(G734),ISNUMBER(H734)),G734-H734,"n.a.")</x:f>
        <x:v>-1151690871.6350992</x:v>
      </x:c>
      <x:c r="J734" s="15" t="n">
        <x:f>IF(AND(L734,ISNUMBER(G734),ISNUMBER(H734),H734&gt;0),(G734-H734)/H734,"n.a.")</x:f>
        <x:v>-0.4669230951305286</x:v>
      </x:c>
      <x:c r="K734" s="19" t="n">
        <x:f>IF(ISNUMBER(J734),ABS(J734),"n.a.")</x:f>
        <x:v>0.4669230951305286</x:v>
      </x:c>
      <x:c r="L734" s="13" t="b">
        <x:v>1</x:v>
      </x:c>
      <x:c r="M734" s="13" t="b">
        <x:v>1</x:v>
      </x:c>
      <x:c r="N734" s="2" t="str">
        <x:v>qualified_paired_native_source_frame</x:v>
      </x:c>
      <x:c r="O734" s="2" t="str">
        <x:v>none</x:v>
      </x:c>
      <x:c r="P734" s="2" t="str">
        <x:v>modeled_epoch_volume_with_fixed2018_height_and_predominant_use</x:v>
      </x:c>
      <x:c r="Q734" s="2" t="str">
        <x:v>Only qualified source rows admitted; CAN/PAK/TUV/USA fail source checks; PSE unmapped in retained table</x:v>
      </x:c>
      <x:c r="R734" s="2" t="str">
        <x:v>https://human-settlement.emergency.copernicus.eu/ghs_buV2023.php</x:v>
      </x:c>
      <x:c r="S734" s="13" t="b">
        <x:v>0</x:v>
      </x:c>
      <x:c r="T734" s="13" t="b">
        <x:v>0</x:v>
      </x:c>
    </x:row>
    <x:row r="735" ht="23" customHeight="1">
      <x:c r="A735" s="2" t="str">
        <x:v>PRT</x:v>
      </x:c>
      <x:c r="B735" s="2" t="str">
        <x:v>Portugal (Portuguese Republic)</x:v>
      </x:c>
      <x:c r="C735" s="2" t="n">
        <x:v>2020</x:v>
      </x:c>
      <x:c r="D735" s="2" t="str">
        <x:v>GHSL_VOLUME</x:v>
      </x:c>
      <x:c r="E735" s="2" t="str">
        <x:v>volume</x:v>
      </x:c>
      <x:c r="F735" s="2" t="str">
        <x:v>m3</x:v>
      </x:c>
      <x:c r="G735" s="17" t="n">
        <x:v>3280431979.36</x:v>
      </x:c>
      <x:c r="H735" s="17" t="n">
        <x:v>6860024831.145095</x:v>
      </x:c>
      <x:c r="I735" s="17" t="n">
        <x:f>IF(AND(L735,ISNUMBER(G735),ISNUMBER(H735)),G735-H735,"n.a.")</x:f>
        <x:v>-3579592851.7850947</x:v>
      </x:c>
      <x:c r="J735" s="15" t="n">
        <x:f>IF(AND(L735,ISNUMBER(G735),ISNUMBER(H735),H735&gt;0),(G735-H735)/H735,"n.a.")</x:f>
        <x:v>-0.5218046493845677</x:v>
      </x:c>
      <x:c r="K735" s="19" t="n">
        <x:f>IF(ISNUMBER(J735),ABS(J735),"n.a.")</x:f>
        <x:v>0.5218046493845677</x:v>
      </x:c>
      <x:c r="L735" s="13" t="b">
        <x:v>1</x:v>
      </x:c>
      <x:c r="M735" s="13" t="b">
        <x:v>1</x:v>
      </x:c>
      <x:c r="N735" s="2" t="str">
        <x:v>qualified_paired_native_source_frame</x:v>
      </x:c>
      <x:c r="O735" s="2" t="str">
        <x:v>none</x:v>
      </x:c>
      <x:c r="P735" s="2" t="str">
        <x:v>modeled_epoch_volume_with_fixed2018_height_and_predominant_use</x:v>
      </x:c>
      <x:c r="Q735" s="2" t="str">
        <x:v>Only qualified source rows admitted; CAN/PAK/TUV/USA fail source checks; PSE unmapped in retained table</x:v>
      </x:c>
      <x:c r="R735" s="2" t="str">
        <x:v>https://human-settlement.emergency.copernicus.eu/ghs_buV2023.php</x:v>
      </x:c>
      <x:c r="S735" s="13" t="b">
        <x:v>0</x:v>
      </x:c>
      <x:c r="T735" s="13" t="b">
        <x:v>0</x:v>
      </x:c>
    </x:row>
    <x:row r="736" ht="23" customHeight="1">
      <x:c r="A736" s="2" t="str">
        <x:v>PRY</x:v>
      </x:c>
      <x:c r="B736" s="2" t="str">
        <x:v>Paraguay (Republic of)</x:v>
      </x:c>
      <x:c r="C736" s="2" t="n">
        <x:v>2020</x:v>
      </x:c>
      <x:c r="D736" s="2" t="str">
        <x:v>GHSL_VOLUME</x:v>
      </x:c>
      <x:c r="E736" s="2" t="str">
        <x:v>volume</x:v>
      </x:c>
      <x:c r="F736" s="2" t="str">
        <x:v>m3</x:v>
      </x:c>
      <x:c r="G736" s="17" t="n">
        <x:v>788822067.97</x:v>
      </x:c>
      <x:c r="H736" s="17" t="n">
        <x:v>2556784041.752941</x:v>
      </x:c>
      <x:c r="I736" s="17" t="n">
        <x:f>IF(AND(L736,ISNUMBER(G736),ISNUMBER(H736)),G736-H736,"n.a.")</x:f>
        <x:v>-1767961973.782941</x:v>
      </x:c>
      <x:c r="J736" s="15" t="n">
        <x:f>IF(AND(L736,ISNUMBER(G736),ISNUMBER(H736),H736&gt;0),(G736-H736)/H736,"n.a.")</x:f>
        <x:v>-0.691478804979876</x:v>
      </x:c>
      <x:c r="K736" s="19" t="n">
        <x:f>IF(ISNUMBER(J736),ABS(J736),"n.a.")</x:f>
        <x:v>0.691478804979876</x:v>
      </x:c>
      <x:c r="L736" s="13" t="b">
        <x:v>1</x:v>
      </x:c>
      <x:c r="M736" s="13" t="b">
        <x:v>1</x:v>
      </x:c>
      <x:c r="N736" s="2" t="str">
        <x:v>qualified_paired_native_source_frame</x:v>
      </x:c>
      <x:c r="O736" s="2" t="str">
        <x:v>none</x:v>
      </x:c>
      <x:c r="P736" s="2" t="str">
        <x:v>modeled_epoch_volume_with_fixed2018_height_and_predominant_use</x:v>
      </x:c>
      <x:c r="Q736" s="2" t="str">
        <x:v>Only qualified source rows admitted; CAN/PAK/TUV/USA fail source checks; PSE unmapped in retained table</x:v>
      </x:c>
      <x:c r="R736" s="2" t="str">
        <x:v>https://human-settlement.emergency.copernicus.eu/ghs_buV2023.php</x:v>
      </x:c>
      <x:c r="S736" s="13" t="b">
        <x:v>0</x:v>
      </x:c>
      <x:c r="T736" s="13" t="b">
        <x:v>0</x:v>
      </x:c>
    </x:row>
    <x:row r="737" ht="23" customHeight="1">
      <x:c r="A737" s="2" t="str">
        <x:v>PSE</x:v>
      </x:c>
      <x:c r="B737" s="2" t="str">
        <x:v>State of Palestine</x:v>
      </x:c>
      <x:c r="C737" s="2" t="n">
        <x:v>2020</x:v>
      </x:c>
      <x:c r="D737" s="2" t="str">
        <x:v>GHSL_VOLUME</x:v>
      </x:c>
      <x:c r="E737" s="2" t="str">
        <x:v>volume</x:v>
      </x:c>
      <x:c r="F737" s="2" t="str">
        <x:v>m3</x:v>
      </x:c>
      <x:c r="G737" s="17"/>
      <x:c r="H737" s="17"/>
      <x:c r="I737" s="17" t="str">
        <x:f>IF(AND(L737,ISNUMBER(G737),ISNUMBER(H737)),G737-H737,"n.a.")</x:f>
        <x:v>n.a.</x:v>
      </x:c>
      <x:c r="J737" s="15" t="str">
        <x:f>IF(AND(L737,ISNUMBER(G737),ISNUMBER(H737),H737&gt;0),(G737-H737)/H737,"n.a.")</x:f>
        <x:v>n.a.</x:v>
      </x:c>
      <x:c r="K737" s="19" t="str">
        <x:f>IF(ISNUMBER(J737),ABS(J737),"n.a.")</x:f>
        <x:v>n.a.</x:v>
      </x:c>
      <x:c r="L737" s="13" t="b">
        <x:v>0</x:v>
      </x:c>
      <x:c r="M737" s="13" t="b">
        <x:v>0</x:v>
      </x:c>
      <x:c r="N737" s="2" t="str">
        <x:v>boundary_unmapped</x:v>
      </x:c>
      <x:c r="O737" s="2" t="str">
        <x:v>source row absent</x:v>
      </x:c>
      <x:c r="P737" s="2" t="str">
        <x:v>modeled_epoch_volume_with_fixed2018_height_and_predominant_use</x:v>
      </x:c>
      <x:c r="Q737" s="2" t="str">
        <x:v>Only qualified source rows admitted; CAN/PAK/TUV/USA fail source checks; PSE unmapped in retained table</x:v>
      </x:c>
      <x:c r="R737" s="2" t="str">
        <x:v>https://human-settlement.emergency.copernicus.eu/ghs_buV2023.php</x:v>
      </x:c>
      <x:c r="S737" s="13" t="b">
        <x:v>1</x:v>
      </x:c>
      <x:c r="T737" s="13" t="b">
        <x:v>0</x:v>
      </x:c>
    </x:row>
    <x:row r="738" ht="23" customHeight="1">
      <x:c r="A738" s="2" t="str">
        <x:v>QAT</x:v>
      </x:c>
      <x:c r="B738" s="2" t="str">
        <x:v>Qatar (State of)</x:v>
      </x:c>
      <x:c r="C738" s="2" t="n">
        <x:v>2020</x:v>
      </x:c>
      <x:c r="D738" s="2" t="str">
        <x:v>GHSL_VOLUME</x:v>
      </x:c>
      <x:c r="E738" s="2" t="str">
        <x:v>volume</x:v>
      </x:c>
      <x:c r="F738" s="2" t="str">
        <x:v>m3</x:v>
      </x:c>
      <x:c r="G738" s="17" t="n">
        <x:v>486987373.31</x:v>
      </x:c>
      <x:c r="H738" s="17" t="n">
        <x:v>1534321666.937255</x:v>
      </x:c>
      <x:c r="I738" s="17" t="n">
        <x:f>IF(AND(L738,ISNUMBER(G738),ISNUMBER(H738)),G738-H738,"n.a.")</x:f>
        <x:v>-1047334293.627255</x:v>
      </x:c>
      <x:c r="J738" s="15" t="n">
        <x:f>IF(AND(L738,ISNUMBER(G738),ISNUMBER(H738),H738&gt;0),(G738-H738)/H738,"n.a.")</x:f>
        <x:v>-0.6826041215450587</x:v>
      </x:c>
      <x:c r="K738" s="19" t="n">
        <x:f>IF(ISNUMBER(J738),ABS(J738),"n.a.")</x:f>
        <x:v>0.6826041215450587</x:v>
      </x:c>
      <x:c r="L738" s="13" t="b">
        <x:v>1</x:v>
      </x:c>
      <x:c r="M738" s="13" t="b">
        <x:v>1</x:v>
      </x:c>
      <x:c r="N738" s="2" t="str">
        <x:v>qualified_paired_native_source_frame</x:v>
      </x:c>
      <x:c r="O738" s="2" t="str">
        <x:v>none</x:v>
      </x:c>
      <x:c r="P738" s="2" t="str">
        <x:v>modeled_epoch_volume_with_fixed2018_height_and_predominant_use</x:v>
      </x:c>
      <x:c r="Q738" s="2" t="str">
        <x:v>Only qualified source rows admitted; CAN/PAK/TUV/USA fail source checks; PSE unmapped in retained table</x:v>
      </x:c>
      <x:c r="R738" s="2" t="str">
        <x:v>https://human-settlement.emergency.copernicus.eu/ghs_buV2023.php</x:v>
      </x:c>
      <x:c r="S738" s="13" t="b">
        <x:v>0</x:v>
      </x:c>
      <x:c r="T738" s="13" t="b">
        <x:v>0</x:v>
      </x:c>
    </x:row>
    <x:row r="739" ht="23" customHeight="1">
      <x:c r="A739" s="2" t="str">
        <x:v>ROU</x:v>
      </x:c>
      <x:c r="B739" s="2" t="str">
        <x:v>Romania</x:v>
      </x:c>
      <x:c r="C739" s="2" t="n">
        <x:v>2020</x:v>
      </x:c>
      <x:c r="D739" s="2" t="str">
        <x:v>GHSL_VOLUME</x:v>
      </x:c>
      <x:c r="E739" s="2" t="str">
        <x:v>volume</x:v>
      </x:c>
      <x:c r="F739" s="2" t="str">
        <x:v>m3</x:v>
      </x:c>
      <x:c r="G739" s="17" t="n">
        <x:v>4224835877.28</x:v>
      </x:c>
      <x:c r="H739" s="17" t="n">
        <x:v>9268314944.701962</x:v>
      </x:c>
      <x:c r="I739" s="17" t="n">
        <x:f>IF(AND(L739,ISNUMBER(G739),ISNUMBER(H739)),G739-H739,"n.a.")</x:f>
        <x:v>-5043479067.421961</x:v>
      </x:c>
      <x:c r="J739" s="15" t="n">
        <x:f>IF(AND(L739,ISNUMBER(G739),ISNUMBER(H739),H739&gt;0),(G739-H739)/H739,"n.a.")</x:f>
        <x:v>-0.5441635397063153</x:v>
      </x:c>
      <x:c r="K739" s="19" t="n">
        <x:f>IF(ISNUMBER(J739),ABS(J739),"n.a.")</x:f>
        <x:v>0.5441635397063153</x:v>
      </x:c>
      <x:c r="L739" s="13" t="b">
        <x:v>1</x:v>
      </x:c>
      <x:c r="M739" s="13" t="b">
        <x:v>1</x:v>
      </x:c>
      <x:c r="N739" s="2" t="str">
        <x:v>qualified_paired_native_source_frame</x:v>
      </x:c>
      <x:c r="O739" s="2" t="str">
        <x:v>none</x:v>
      </x:c>
      <x:c r="P739" s="2" t="str">
        <x:v>modeled_epoch_volume_with_fixed2018_height_and_predominant_use</x:v>
      </x:c>
      <x:c r="Q739" s="2" t="str">
        <x:v>Only qualified source rows admitted; CAN/PAK/TUV/USA fail source checks; PSE unmapped in retained table</x:v>
      </x:c>
      <x:c r="R739" s="2" t="str">
        <x:v>https://human-settlement.emergency.copernicus.eu/ghs_buV2023.php</x:v>
      </x:c>
      <x:c r="S739" s="13" t="b">
        <x:v>0</x:v>
      </x:c>
      <x:c r="T739" s="13" t="b">
        <x:v>0</x:v>
      </x:c>
    </x:row>
    <x:row r="740" ht="23" customHeight="1">
      <x:c r="A740" s="2" t="str">
        <x:v>RUS</x:v>
      </x:c>
      <x:c r="B740" s="2" t="str">
        <x:v>Russian Federation</x:v>
      </x:c>
      <x:c r="C740" s="2" t="n">
        <x:v>2020</x:v>
      </x:c>
      <x:c r="D740" s="2" t="str">
        <x:v>GHSL_VOLUME</x:v>
      </x:c>
      <x:c r="E740" s="2" t="str">
        <x:v>volume</x:v>
      </x:c>
      <x:c r="F740" s="2" t="str">
        <x:v>m3</x:v>
      </x:c>
      <x:c r="G740" s="17" t="n">
        <x:v>25701753824.48</x:v>
      </x:c>
      <x:c r="H740" s="17" t="n">
        <x:v>71141190449.59216</x:v>
      </x:c>
      <x:c r="I740" s="17" t="n">
        <x:f>IF(AND(L740,ISNUMBER(G740),ISNUMBER(H740)),G740-H740,"n.a.")</x:f>
        <x:v>-45439436625.11217</x:v>
      </x:c>
      <x:c r="J740" s="15" t="n">
        <x:f>IF(AND(L740,ISNUMBER(G740),ISNUMBER(H740),H740&gt;0),(G740-H740)/H740,"n.a.")</x:f>
        <x:v>-0.6387219041169793</x:v>
      </x:c>
      <x:c r="K740" s="19" t="n">
        <x:f>IF(ISNUMBER(J740),ABS(J740),"n.a.")</x:f>
        <x:v>0.6387219041169793</x:v>
      </x:c>
      <x:c r="L740" s="13" t="b">
        <x:v>1</x:v>
      </x:c>
      <x:c r="M740" s="13" t="b">
        <x:v>1</x:v>
      </x:c>
      <x:c r="N740" s="2" t="str">
        <x:v>qualified_paired_native_source_frame</x:v>
      </x:c>
      <x:c r="O740" s="2" t="str">
        <x:v>none</x:v>
      </x:c>
      <x:c r="P740" s="2" t="str">
        <x:v>modeled_epoch_volume_with_fixed2018_height_and_predominant_use</x:v>
      </x:c>
      <x:c r="Q740" s="2" t="str">
        <x:v>Only qualified source rows admitted; CAN/PAK/TUV/USA fail source checks; PSE unmapped in retained table</x:v>
      </x:c>
      <x:c r="R740" s="2" t="str">
        <x:v>https://human-settlement.emergency.copernicus.eu/ghs_buV2023.php</x:v>
      </x:c>
      <x:c r="S740" s="13" t="b">
        <x:v>0</x:v>
      </x:c>
      <x:c r="T740" s="13" t="b">
        <x:v>0</x:v>
      </x:c>
    </x:row>
    <x:row r="741" ht="23" customHeight="1">
      <x:c r="A741" s="2" t="str">
        <x:v>RWA</x:v>
      </x:c>
      <x:c r="B741" s="2" t="str">
        <x:v>Rwanda (Republic of)</x:v>
      </x:c>
      <x:c r="C741" s="2" t="n">
        <x:v>2020</x:v>
      </x:c>
      <x:c r="D741" s="2" t="str">
        <x:v>GHSL_VOLUME</x:v>
      </x:c>
      <x:c r="E741" s="2" t="str">
        <x:v>volume</x:v>
      </x:c>
      <x:c r="F741" s="2" t="str">
        <x:v>m3</x:v>
      </x:c>
      <x:c r="G741" s="17" t="n">
        <x:v>495070944.77</x:v>
      </x:c>
      <x:c r="H741" s="17" t="n">
        <x:v>2327337431.490196</x:v>
      </x:c>
      <x:c r="I741" s="17" t="n">
        <x:f>IF(AND(L741,ISNUMBER(G741),ISNUMBER(H741)),G741-H741,"n.a.")</x:f>
        <x:v>-1832266486.7201962</x:v>
      </x:c>
      <x:c r="J741" s="15" t="n">
        <x:f>IF(AND(L741,ISNUMBER(G741),ISNUMBER(H741),H741&gt;0),(G741-H741)/H741,"n.a.")</x:f>
        <x:v>-0.7872801175835489</x:v>
      </x:c>
      <x:c r="K741" s="19" t="n">
        <x:f>IF(ISNUMBER(J741),ABS(J741),"n.a.")</x:f>
        <x:v>0.7872801175835489</x:v>
      </x:c>
      <x:c r="L741" s="13" t="b">
        <x:v>1</x:v>
      </x:c>
      <x:c r="M741" s="13" t="b">
        <x:v>1</x:v>
      </x:c>
      <x:c r="N741" s="2" t="str">
        <x:v>qualified_paired_native_source_frame</x:v>
      </x:c>
      <x:c r="O741" s="2" t="str">
        <x:v>none</x:v>
      </x:c>
      <x:c r="P741" s="2" t="str">
        <x:v>modeled_epoch_volume_with_fixed2018_height_and_predominant_use</x:v>
      </x:c>
      <x:c r="Q741" s="2" t="str">
        <x:v>Only qualified source rows admitted; CAN/PAK/TUV/USA fail source checks; PSE unmapped in retained table</x:v>
      </x:c>
      <x:c r="R741" s="2" t="str">
        <x:v>https://human-settlement.emergency.copernicus.eu/ghs_buV2023.php</x:v>
      </x:c>
      <x:c r="S741" s="13" t="b">
        <x:v>0</x:v>
      </x:c>
      <x:c r="T741" s="13" t="b">
        <x:v>0</x:v>
      </x:c>
    </x:row>
    <x:row r="742" ht="23" customHeight="1">
      <x:c r="A742" s="2" t="str">
        <x:v>SAU</x:v>
      </x:c>
      <x:c r="B742" s="2" t="str">
        <x:v>Saudi Arabia (Kingdom of)</x:v>
      </x:c>
      <x:c r="C742" s="2" t="n">
        <x:v>2020</x:v>
      </x:c>
      <x:c r="D742" s="2" t="str">
        <x:v>GHSL_VOLUME</x:v>
      </x:c>
      <x:c r="E742" s="2" t="str">
        <x:v>volume</x:v>
      </x:c>
      <x:c r="F742" s="2" t="str">
        <x:v>m3</x:v>
      </x:c>
      <x:c r="G742" s="17" t="n">
        <x:v>6376625840.02</x:v>
      </x:c>
      <x:c r="H742" s="17" t="n">
        <x:v>18609628037.7451</x:v>
      </x:c>
      <x:c r="I742" s="17" t="n">
        <x:f>IF(AND(L742,ISNUMBER(G742),ISNUMBER(H742)),G742-H742,"n.a.")</x:f>
        <x:v>-12233002197.725098</x:v>
      </x:c>
      <x:c r="J742" s="15" t="n">
        <x:f>IF(AND(L742,ISNUMBER(G742),ISNUMBER(H742),H742&gt;0),(G742-H742)/H742,"n.a.")</x:f>
        <x:v>-0.6573480229112281</x:v>
      </x:c>
      <x:c r="K742" s="19" t="n">
        <x:f>IF(ISNUMBER(J742),ABS(J742),"n.a.")</x:f>
        <x:v>0.6573480229112281</x:v>
      </x:c>
      <x:c r="L742" s="13" t="b">
        <x:v>1</x:v>
      </x:c>
      <x:c r="M742" s="13" t="b">
        <x:v>1</x:v>
      </x:c>
      <x:c r="N742" s="2" t="str">
        <x:v>qualified_paired_native_source_frame</x:v>
      </x:c>
      <x:c r="O742" s="2" t="str">
        <x:v>none</x:v>
      </x:c>
      <x:c r="P742" s="2" t="str">
        <x:v>modeled_epoch_volume_with_fixed2018_height_and_predominant_use</x:v>
      </x:c>
      <x:c r="Q742" s="2" t="str">
        <x:v>Only qualified source rows admitted; CAN/PAK/TUV/USA fail source checks; PSE unmapped in retained table</x:v>
      </x:c>
      <x:c r="R742" s="2" t="str">
        <x:v>https://human-settlement.emergency.copernicus.eu/ghs_buV2023.php</x:v>
      </x:c>
      <x:c r="S742" s="13" t="b">
        <x:v>0</x:v>
      </x:c>
      <x:c r="T742" s="13" t="b">
        <x:v>0</x:v>
      </x:c>
    </x:row>
    <x:row r="743" ht="23" customHeight="1">
      <x:c r="A743" s="2" t="str">
        <x:v>SDN</x:v>
      </x:c>
      <x:c r="B743" s="2" t="str">
        <x:v>Sudan (Republic of the)</x:v>
      </x:c>
      <x:c r="C743" s="2" t="n">
        <x:v>2020</x:v>
      </x:c>
      <x:c r="D743" s="2" t="str">
        <x:v>GHSL_VOLUME</x:v>
      </x:c>
      <x:c r="E743" s="2" t="str">
        <x:v>volume</x:v>
      </x:c>
      <x:c r="F743" s="2" t="str">
        <x:v>m3</x:v>
      </x:c>
      <x:c r="G743" s="17" t="n">
        <x:v>1773781071.22</x:v>
      </x:c>
      <x:c r="H743" s="17" t="n">
        <x:v>7687931605.160784</x:v>
      </x:c>
      <x:c r="I743" s="17" t="n">
        <x:f>IF(AND(L743,ISNUMBER(G743),ISNUMBER(H743)),G743-H743,"n.a.")</x:f>
        <x:v>-5914150533.9407835</x:v>
      </x:c>
      <x:c r="J743" s="15" t="n">
        <x:f>IF(AND(L743,ISNUMBER(G743),ISNUMBER(H743),H743&gt;0),(G743-H743)/H743,"n.a.")</x:f>
        <x:v>-0.7692772045436396</x:v>
      </x:c>
      <x:c r="K743" s="19" t="n">
        <x:f>IF(ISNUMBER(J743),ABS(J743),"n.a.")</x:f>
        <x:v>0.7692772045436396</x:v>
      </x:c>
      <x:c r="L743" s="13" t="b">
        <x:v>1</x:v>
      </x:c>
      <x:c r="M743" s="13" t="b">
        <x:v>1</x:v>
      </x:c>
      <x:c r="N743" s="2" t="str">
        <x:v>qualified_paired_native_source_frame</x:v>
      </x:c>
      <x:c r="O743" s="2" t="str">
        <x:v>none</x:v>
      </x:c>
      <x:c r="P743" s="2" t="str">
        <x:v>modeled_epoch_volume_with_fixed2018_height_and_predominant_use</x:v>
      </x:c>
      <x:c r="Q743" s="2" t="str">
        <x:v>Only qualified source rows admitted; CAN/PAK/TUV/USA fail source checks; PSE unmapped in retained table</x:v>
      </x:c>
      <x:c r="R743" s="2" t="str">
        <x:v>https://human-settlement.emergency.copernicus.eu/ghs_buV2023.php</x:v>
      </x:c>
      <x:c r="S743" s="13" t="b">
        <x:v>0</x:v>
      </x:c>
      <x:c r="T743" s="13" t="b">
        <x:v>0</x:v>
      </x:c>
    </x:row>
    <x:row r="744" ht="23" customHeight="1">
      <x:c r="A744" s="2" t="str">
        <x:v>SEN</x:v>
      </x:c>
      <x:c r="B744" s="2" t="str">
        <x:v>Senegal (Republic of)</x:v>
      </x:c>
      <x:c r="C744" s="2" t="n">
        <x:v>2020</x:v>
      </x:c>
      <x:c r="D744" s="2" t="str">
        <x:v>GHSL_VOLUME</x:v>
      </x:c>
      <x:c r="E744" s="2" t="str">
        <x:v>volume</x:v>
      </x:c>
      <x:c r="F744" s="2" t="str">
        <x:v>m3</x:v>
      </x:c>
      <x:c r="G744" s="17" t="n">
        <x:v>774798269.1</x:v>
      </x:c>
      <x:c r="H744" s="17" t="n">
        <x:v>3230521085.2901964</x:v>
      </x:c>
      <x:c r="I744" s="17" t="n">
        <x:f>IF(AND(L744,ISNUMBER(G744),ISNUMBER(H744)),G744-H744,"n.a.")</x:f>
        <x:v>-2455722816.1901965</x:v>
      </x:c>
      <x:c r="J744" s="15" t="n">
        <x:f>IF(AND(L744,ISNUMBER(G744),ISNUMBER(H744),H744&gt;0),(G744-H744)/H744,"n.a.")</x:f>
        <x:v>-0.7601630669962335</x:v>
      </x:c>
      <x:c r="K744" s="19" t="n">
        <x:f>IF(ISNUMBER(J744),ABS(J744),"n.a.")</x:f>
        <x:v>0.7601630669962335</x:v>
      </x:c>
      <x:c r="L744" s="13" t="b">
        <x:v>1</x:v>
      </x:c>
      <x:c r="M744" s="13" t="b">
        <x:v>1</x:v>
      </x:c>
      <x:c r="N744" s="2" t="str">
        <x:v>qualified_paired_native_source_frame</x:v>
      </x:c>
      <x:c r="O744" s="2" t="str">
        <x:v>none</x:v>
      </x:c>
      <x:c r="P744" s="2" t="str">
        <x:v>modeled_epoch_volume_with_fixed2018_height_and_predominant_use</x:v>
      </x:c>
      <x:c r="Q744" s="2" t="str">
        <x:v>Only qualified source rows admitted; CAN/PAK/TUV/USA fail source checks; PSE unmapped in retained table</x:v>
      </x:c>
      <x:c r="R744" s="2" t="str">
        <x:v>https://human-settlement.emergency.copernicus.eu/ghs_buV2023.php</x:v>
      </x:c>
      <x:c r="S744" s="13" t="b">
        <x:v>0</x:v>
      </x:c>
      <x:c r="T744" s="13" t="b">
        <x:v>0</x:v>
      </x:c>
    </x:row>
    <x:row r="745" ht="23" customHeight="1">
      <x:c r="A745" s="2" t="str">
        <x:v>SGP</x:v>
      </x:c>
      <x:c r="B745" s="2" t="str">
        <x:v>Singapore (Republic of)</x:v>
      </x:c>
      <x:c r="C745" s="2" t="n">
        <x:v>2020</x:v>
      </x:c>
      <x:c r="D745" s="2" t="str">
        <x:v>GHSL_VOLUME</x:v>
      </x:c>
      <x:c r="E745" s="2" t="str">
        <x:v>volume</x:v>
      </x:c>
      <x:c r="F745" s="2" t="str">
        <x:v>m3</x:v>
      </x:c>
      <x:c r="G745" s="17" t="n">
        <x:v>703977699.01</x:v>
      </x:c>
      <x:c r="H745" s="17" t="n">
        <x:v>1693185304.6196074</x:v>
      </x:c>
      <x:c r="I745" s="17" t="n">
        <x:f>IF(AND(L745,ISNUMBER(G745),ISNUMBER(H745)),G745-H745,"n.a.")</x:f>
        <x:v>-989207605.6096075</x:v>
      </x:c>
      <x:c r="J745" s="15" t="n">
        <x:f>IF(AND(L745,ISNUMBER(G745),ISNUMBER(H745),H745&gt;0),(G745-H745)/H745,"n.a.")</x:f>
        <x:v>-0.5842287922714069</x:v>
      </x:c>
      <x:c r="K745" s="19" t="n">
        <x:f>IF(ISNUMBER(J745),ABS(J745),"n.a.")</x:f>
        <x:v>0.5842287922714069</x:v>
      </x:c>
      <x:c r="L745" s="13" t="b">
        <x:v>1</x:v>
      </x:c>
      <x:c r="M745" s="13" t="b">
        <x:v>1</x:v>
      </x:c>
      <x:c r="N745" s="2" t="str">
        <x:v>qualified_paired_native_source_frame</x:v>
      </x:c>
      <x:c r="O745" s="2" t="str">
        <x:v>none</x:v>
      </x:c>
      <x:c r="P745" s="2" t="str">
        <x:v>modeled_epoch_volume_with_fixed2018_height_and_predominant_use</x:v>
      </x:c>
      <x:c r="Q745" s="2" t="str">
        <x:v>Only qualified source rows admitted; CAN/PAK/TUV/USA fail source checks; PSE unmapped in retained table</x:v>
      </x:c>
      <x:c r="R745" s="2" t="str">
        <x:v>https://human-settlement.emergency.copernicus.eu/ghs_buV2023.php</x:v>
      </x:c>
      <x:c r="S745" s="13" t="b">
        <x:v>0</x:v>
      </x:c>
      <x:c r="T745" s="13" t="b">
        <x:v>0</x:v>
      </x:c>
    </x:row>
    <x:row r="746" ht="23" customHeight="1">
      <x:c r="A746" s="2" t="str">
        <x:v>SLB</x:v>
      </x:c>
      <x:c r="B746" s="2" t="str">
        <x:v>Solomon Islands</x:v>
      </x:c>
      <x:c r="C746" s="2" t="n">
        <x:v>2020</x:v>
      </x:c>
      <x:c r="D746" s="2" t="str">
        <x:v>GHSL_VOLUME</x:v>
      </x:c>
      <x:c r="E746" s="2" t="str">
        <x:v>volume</x:v>
      </x:c>
      <x:c r="F746" s="2" t="str">
        <x:v>m3</x:v>
      </x:c>
      <x:c r="G746" s="17" t="n">
        <x:v>31183494.28</x:v>
      </x:c>
      <x:c r="H746" s="17" t="n">
        <x:v>124442315.32941177</x:v>
      </x:c>
      <x:c r="I746" s="17" t="n">
        <x:f>IF(AND(L746,ISNUMBER(G746),ISNUMBER(H746)),G746-H746,"n.a.")</x:f>
        <x:v>-93258821.04941177</x:v>
      </x:c>
      <x:c r="J746" s="15" t="n">
        <x:f>IF(AND(L746,ISNUMBER(G746),ISNUMBER(H746),H746&gt;0),(G746-H746)/H746,"n.a.")</x:f>
        <x:v>-0.7494140622709081</x:v>
      </x:c>
      <x:c r="K746" s="19" t="n">
        <x:f>IF(ISNUMBER(J746),ABS(J746),"n.a.")</x:f>
        <x:v>0.7494140622709081</x:v>
      </x:c>
      <x:c r="L746" s="13" t="b">
        <x:v>1</x:v>
      </x:c>
      <x:c r="M746" s="13" t="b">
        <x:v>1</x:v>
      </x:c>
      <x:c r="N746" s="2" t="str">
        <x:v>qualified_paired_native_source_frame</x:v>
      </x:c>
      <x:c r="O746" s="2" t="str">
        <x:v>none</x:v>
      </x:c>
      <x:c r="P746" s="2" t="str">
        <x:v>modeled_epoch_volume_with_fixed2018_height_and_predominant_use</x:v>
      </x:c>
      <x:c r="Q746" s="2" t="str">
        <x:v>Only qualified source rows admitted; CAN/PAK/TUV/USA fail source checks; PSE unmapped in retained table</x:v>
      </x:c>
      <x:c r="R746" s="2" t="str">
        <x:v>https://human-settlement.emergency.copernicus.eu/ghs_buV2023.php</x:v>
      </x:c>
      <x:c r="S746" s="13" t="b">
        <x:v>0</x:v>
      </x:c>
      <x:c r="T746" s="13" t="b">
        <x:v>0</x:v>
      </x:c>
    </x:row>
    <x:row r="747" ht="23" customHeight="1">
      <x:c r="A747" s="2" t="str">
        <x:v>SLE</x:v>
      </x:c>
      <x:c r="B747" s="2" t="str">
        <x:v>Sierra Leone (Republic of)</x:v>
      </x:c>
      <x:c r="C747" s="2" t="n">
        <x:v>2020</x:v>
      </x:c>
      <x:c r="D747" s="2" t="str">
        <x:v>GHSL_VOLUME</x:v>
      </x:c>
      <x:c r="E747" s="2" t="str">
        <x:v>volume</x:v>
      </x:c>
      <x:c r="F747" s="2" t="str">
        <x:v>m3</x:v>
      </x:c>
      <x:c r="G747" s="17" t="n">
        <x:v>263814967.69</x:v>
      </x:c>
      <x:c r="H747" s="17" t="n">
        <x:v>1223139206.9450984</x:v>
      </x:c>
      <x:c r="I747" s="17" t="n">
        <x:f>IF(AND(L747,ISNUMBER(G747),ISNUMBER(H747)),G747-H747,"n.a.")</x:f>
        <x:v>-959324239.2550983</x:v>
      </x:c>
      <x:c r="J747" s="15" t="n">
        <x:f>IF(AND(L747,ISNUMBER(G747),ISNUMBER(H747),H747&gt;0),(G747-H747)/H747,"n.a.")</x:f>
        <x:v>-0.78431321129105</x:v>
      </x:c>
      <x:c r="K747" s="19" t="n">
        <x:f>IF(ISNUMBER(J747),ABS(J747),"n.a.")</x:f>
        <x:v>0.78431321129105</x:v>
      </x:c>
      <x:c r="L747" s="13" t="b">
        <x:v>1</x:v>
      </x:c>
      <x:c r="M747" s="13" t="b">
        <x:v>1</x:v>
      </x:c>
      <x:c r="N747" s="2" t="str">
        <x:v>qualified_paired_native_source_frame</x:v>
      </x:c>
      <x:c r="O747" s="2" t="str">
        <x:v>none</x:v>
      </x:c>
      <x:c r="P747" s="2" t="str">
        <x:v>modeled_epoch_volume_with_fixed2018_height_and_predominant_use</x:v>
      </x:c>
      <x:c r="Q747" s="2" t="str">
        <x:v>Only qualified source rows admitted; CAN/PAK/TUV/USA fail source checks; PSE unmapped in retained table</x:v>
      </x:c>
      <x:c r="R747" s="2" t="str">
        <x:v>https://human-settlement.emergency.copernicus.eu/ghs_buV2023.php</x:v>
      </x:c>
      <x:c r="S747" s="13" t="b">
        <x:v>0</x:v>
      </x:c>
      <x:c r="T747" s="13" t="b">
        <x:v>0</x:v>
      </x:c>
    </x:row>
    <x:row r="748" ht="23" customHeight="1">
      <x:c r="A748" s="2" t="str">
        <x:v>SLV</x:v>
      </x:c>
      <x:c r="B748" s="2" t="str">
        <x:v>El Salvador (Republic of)</x:v>
      </x:c>
      <x:c r="C748" s="2" t="n">
        <x:v>2020</x:v>
      </x:c>
      <x:c r="D748" s="2" t="str">
        <x:v>GHSL_VOLUME</x:v>
      </x:c>
      <x:c r="E748" s="2" t="str">
        <x:v>volume</x:v>
      </x:c>
      <x:c r="F748" s="2" t="str">
        <x:v>m3</x:v>
      </x:c>
      <x:c r="G748" s="17" t="n">
        <x:v>631828141.43</x:v>
      </x:c>
      <x:c r="H748" s="17" t="n">
        <x:v>1791543948.807843</x:v>
      </x:c>
      <x:c r="I748" s="17" t="n">
        <x:f>IF(AND(L748,ISNUMBER(G748),ISNUMBER(H748)),G748-H748,"n.a.")</x:f>
        <x:v>-1159715807.377843</x:v>
      </x:c>
      <x:c r="J748" s="15" t="n">
        <x:f>IF(AND(L748,ISNUMBER(G748),ISNUMBER(H748),H748&gt;0),(G748-H748)/H748,"n.a.")</x:f>
        <x:v>-0.6473275791808284</x:v>
      </x:c>
      <x:c r="K748" s="19" t="n">
        <x:f>IF(ISNUMBER(J748),ABS(J748),"n.a.")</x:f>
        <x:v>0.6473275791808284</x:v>
      </x:c>
      <x:c r="L748" s="13" t="b">
        <x:v>1</x:v>
      </x:c>
      <x:c r="M748" s="13" t="b">
        <x:v>1</x:v>
      </x:c>
      <x:c r="N748" s="2" t="str">
        <x:v>qualified_paired_native_source_frame</x:v>
      </x:c>
      <x:c r="O748" s="2" t="str">
        <x:v>none</x:v>
      </x:c>
      <x:c r="P748" s="2" t="str">
        <x:v>modeled_epoch_volume_with_fixed2018_height_and_predominant_use</x:v>
      </x:c>
      <x:c r="Q748" s="2" t="str">
        <x:v>Only qualified source rows admitted; CAN/PAK/TUV/USA fail source checks; PSE unmapped in retained table</x:v>
      </x:c>
      <x:c r="R748" s="2" t="str">
        <x:v>https://human-settlement.emergency.copernicus.eu/ghs_buV2023.php</x:v>
      </x:c>
      <x:c r="S748" s="13" t="b">
        <x:v>0</x:v>
      </x:c>
      <x:c r="T748" s="13" t="b">
        <x:v>0</x:v>
      </x:c>
    </x:row>
    <x:row r="749" ht="23" customHeight="1">
      <x:c r="A749" s="2" t="str">
        <x:v>SMR</x:v>
      </x:c>
      <x:c r="B749" s="2" t="str">
        <x:v>San Marino (Republic of)</x:v>
      </x:c>
      <x:c r="C749" s="2" t="n">
        <x:v>2020</x:v>
      </x:c>
      <x:c r="D749" s="2" t="str">
        <x:v>GHSL_VOLUME</x:v>
      </x:c>
      <x:c r="E749" s="2" t="str">
        <x:v>volume</x:v>
      </x:c>
      <x:c r="F749" s="2" t="str">
        <x:v>m3</x:v>
      </x:c>
      <x:c r="G749" s="17" t="n">
        <x:v>11134636.62</x:v>
      </x:c>
      <x:c r="H749" s="17" t="n">
        <x:v>28179522.211764704</x:v>
      </x:c>
      <x:c r="I749" s="17" t="n">
        <x:f>IF(AND(L749,ISNUMBER(G749),ISNUMBER(H749)),G749-H749,"n.a.")</x:f>
        <x:v>-17044885.591764703</x:v>
      </x:c>
      <x:c r="J749" s="15" t="n">
        <x:f>IF(AND(L749,ISNUMBER(G749),ISNUMBER(H749),H749&gt;0),(G749-H749)/H749,"n.a.")</x:f>
        <x:v>-0.6048677995203415</x:v>
      </x:c>
      <x:c r="K749" s="19" t="n">
        <x:f>IF(ISNUMBER(J749),ABS(J749),"n.a.")</x:f>
        <x:v>0.6048677995203415</x:v>
      </x:c>
      <x:c r="L749" s="13" t="b">
        <x:v>1</x:v>
      </x:c>
      <x:c r="M749" s="13" t="b">
        <x:v>1</x:v>
      </x:c>
      <x:c r="N749" s="2" t="str">
        <x:v>qualified_paired_native_source_frame</x:v>
      </x:c>
      <x:c r="O749" s="2" t="str">
        <x:v>none</x:v>
      </x:c>
      <x:c r="P749" s="2" t="str">
        <x:v>modeled_epoch_volume_with_fixed2018_height_and_predominant_use</x:v>
      </x:c>
      <x:c r="Q749" s="2" t="str">
        <x:v>Only qualified source rows admitted; CAN/PAK/TUV/USA fail source checks; PSE unmapped in retained table</x:v>
      </x:c>
      <x:c r="R749" s="2" t="str">
        <x:v>https://human-settlement.emergency.copernicus.eu/ghs_buV2023.php</x:v>
      </x:c>
      <x:c r="S749" s="13" t="b">
        <x:v>0</x:v>
      </x:c>
      <x:c r="T749" s="13" t="b">
        <x:v>0</x:v>
      </x:c>
    </x:row>
    <x:row r="750" ht="23" customHeight="1">
      <x:c r="A750" s="2" t="str">
        <x:v>SOM</x:v>
      </x:c>
      <x:c r="B750" s="2" t="str">
        <x:v>Somalia (Federal Republic of)</x:v>
      </x:c>
      <x:c r="C750" s="2" t="n">
        <x:v>2020</x:v>
      </x:c>
      <x:c r="D750" s="2" t="str">
        <x:v>GHSL_VOLUME</x:v>
      </x:c>
      <x:c r="E750" s="2" t="str">
        <x:v>volume</x:v>
      </x:c>
      <x:c r="F750" s="2" t="str">
        <x:v>m3</x:v>
      </x:c>
      <x:c r="G750" s="17" t="n">
        <x:v>331358808.1</x:v>
      </x:c>
      <x:c r="H750" s="17" t="n">
        <x:v>1200258211.9529412</x:v>
      </x:c>
      <x:c r="I750" s="17" t="n">
        <x:f>IF(AND(L750,ISNUMBER(G750),ISNUMBER(H750)),G750-H750,"n.a.")</x:f>
        <x:v>-868899403.8529412</x:v>
      </x:c>
      <x:c r="J750" s="15" t="n">
        <x:f>IF(AND(L750,ISNUMBER(G750),ISNUMBER(H750),H750&gt;0),(G750-H750)/H750,"n.a.")</x:f>
        <x:v>-0.7239270643598882</x:v>
      </x:c>
      <x:c r="K750" s="19" t="n">
        <x:f>IF(ISNUMBER(J750),ABS(J750),"n.a.")</x:f>
        <x:v>0.7239270643598882</x:v>
      </x:c>
      <x:c r="L750" s="13" t="b">
        <x:v>1</x:v>
      </x:c>
      <x:c r="M750" s="13" t="b">
        <x:v>1</x:v>
      </x:c>
      <x:c r="N750" s="2" t="str">
        <x:v>qualified_paired_native_source_frame</x:v>
      </x:c>
      <x:c r="O750" s="2" t="str">
        <x:v>none</x:v>
      </x:c>
      <x:c r="P750" s="2" t="str">
        <x:v>modeled_epoch_volume_with_fixed2018_height_and_predominant_use</x:v>
      </x:c>
      <x:c r="Q750" s="2" t="str">
        <x:v>Only qualified source rows admitted; CAN/PAK/TUV/USA fail source checks; PSE unmapped in retained table</x:v>
      </x:c>
      <x:c r="R750" s="2" t="str">
        <x:v>https://human-settlement.emergency.copernicus.eu/ghs_buV2023.php</x:v>
      </x:c>
      <x:c r="S750" s="13" t="b">
        <x:v>0</x:v>
      </x:c>
      <x:c r="T750" s="13" t="b">
        <x:v>0</x:v>
      </x:c>
    </x:row>
    <x:row r="751" ht="23" customHeight="1">
      <x:c r="A751" s="2" t="str">
        <x:v>SRB</x:v>
      </x:c>
      <x:c r="B751" s="2" t="str">
        <x:v>Serbia (Republic of)</x:v>
      </x:c>
      <x:c r="C751" s="2" t="n">
        <x:v>2020</x:v>
      </x:c>
      <x:c r="D751" s="2" t="str">
        <x:v>GHSL_VOLUME</x:v>
      </x:c>
      <x:c r="E751" s="2" t="str">
        <x:v>volume</x:v>
      </x:c>
      <x:c r="F751" s="2" t="str">
        <x:v>m3</x:v>
      </x:c>
      <x:c r="G751" s="17" t="n">
        <x:v>1624429543.81</x:v>
      </x:c>
      <x:c r="H751" s="17" t="n">
        <x:v>3438481444.1450973</x:v>
      </x:c>
      <x:c r="I751" s="17" t="n">
        <x:f>IF(AND(L751,ISNUMBER(G751),ISNUMBER(H751)),G751-H751,"n.a.")</x:f>
        <x:v>-1814051900.3350973</x:v>
      </x:c>
      <x:c r="J751" s="15" t="n">
        <x:f>IF(AND(L751,ISNUMBER(G751),ISNUMBER(H751),H751&gt;0),(G751-H751)/H751,"n.a.")</x:f>
        <x:v>-0.5275735611207061</x:v>
      </x:c>
      <x:c r="K751" s="19" t="n">
        <x:f>IF(ISNUMBER(J751),ABS(J751),"n.a.")</x:f>
        <x:v>0.5275735611207061</x:v>
      </x:c>
      <x:c r="L751" s="13" t="b">
        <x:v>1</x:v>
      </x:c>
      <x:c r="M751" s="13" t="b">
        <x:v>1</x:v>
      </x:c>
      <x:c r="N751" s="2" t="str">
        <x:v>qualified_paired_native_source_frame</x:v>
      </x:c>
      <x:c r="O751" s="2" t="str">
        <x:v>none</x:v>
      </x:c>
      <x:c r="P751" s="2" t="str">
        <x:v>modeled_epoch_volume_with_fixed2018_height_and_predominant_use</x:v>
      </x:c>
      <x:c r="Q751" s="2" t="str">
        <x:v>Only qualified source rows admitted; CAN/PAK/TUV/USA fail source checks; PSE unmapped in retained table</x:v>
      </x:c>
      <x:c r="R751" s="2" t="str">
        <x:v>https://human-settlement.emergency.copernicus.eu/ghs_buV2023.php</x:v>
      </x:c>
      <x:c r="S751" s="13" t="b">
        <x:v>0</x:v>
      </x:c>
      <x:c r="T751" s="13" t="b">
        <x:v>0</x:v>
      </x:c>
    </x:row>
    <x:row r="752" ht="23" customHeight="1">
      <x:c r="A752" s="2" t="str">
        <x:v>SSD</x:v>
      </x:c>
      <x:c r="B752" s="2" t="str">
        <x:v>South Sudan (Republic of)</x:v>
      </x:c>
      <x:c r="C752" s="2" t="n">
        <x:v>2020</x:v>
      </x:c>
      <x:c r="D752" s="2" t="str">
        <x:v>GHSL_VOLUME</x:v>
      </x:c>
      <x:c r="E752" s="2" t="str">
        <x:v>volume</x:v>
      </x:c>
      <x:c r="F752" s="2" t="str">
        <x:v>m3</x:v>
      </x:c>
      <x:c r="G752" s="17" t="n">
        <x:v>148470921.36</x:v>
      </x:c>
      <x:c r="H752" s="17" t="n">
        <x:v>740382831.1921568</x:v>
      </x:c>
      <x:c r="I752" s="17" t="n">
        <x:f>IF(AND(L752,ISNUMBER(G752),ISNUMBER(H752)),G752-H752,"n.a.")</x:f>
        <x:v>-591911909.8321568</x:v>
      </x:c>
      <x:c r="J752" s="15" t="n">
        <x:f>IF(AND(L752,ISNUMBER(G752),ISNUMBER(H752),H752&gt;0),(G752-H752)/H752,"n.a.")</x:f>
        <x:v>-0.7994673632275702</x:v>
      </x:c>
      <x:c r="K752" s="19" t="n">
        <x:f>IF(ISNUMBER(J752),ABS(J752),"n.a.")</x:f>
        <x:v>0.7994673632275702</x:v>
      </x:c>
      <x:c r="L752" s="13" t="b">
        <x:v>1</x:v>
      </x:c>
      <x:c r="M752" s="13" t="b">
        <x:v>1</x:v>
      </x:c>
      <x:c r="N752" s="2" t="str">
        <x:v>qualified_paired_native_source_frame</x:v>
      </x:c>
      <x:c r="O752" s="2" t="str">
        <x:v>none</x:v>
      </x:c>
      <x:c r="P752" s="2" t="str">
        <x:v>modeled_epoch_volume_with_fixed2018_height_and_predominant_use</x:v>
      </x:c>
      <x:c r="Q752" s="2" t="str">
        <x:v>Only qualified source rows admitted; CAN/PAK/TUV/USA fail source checks; PSE unmapped in retained table</x:v>
      </x:c>
      <x:c r="R752" s="2" t="str">
        <x:v>https://human-settlement.emergency.copernicus.eu/ghs_buV2023.php</x:v>
      </x:c>
      <x:c r="S752" s="13" t="b">
        <x:v>0</x:v>
      </x:c>
      <x:c r="T752" s="13" t="b">
        <x:v>0</x:v>
      </x:c>
    </x:row>
    <x:row r="753" ht="23" customHeight="1">
      <x:c r="A753" s="2" t="str">
        <x:v>STP</x:v>
      </x:c>
      <x:c r="B753" s="2" t="str">
        <x:v>Sao Tome and Principe (Democratic Republic of)</x:v>
      </x:c>
      <x:c r="C753" s="2" t="n">
        <x:v>2020</x:v>
      </x:c>
      <x:c r="D753" s="2" t="str">
        <x:v>GHSL_VOLUME</x:v>
      </x:c>
      <x:c r="E753" s="2" t="str">
        <x:v>volume</x:v>
      </x:c>
      <x:c r="F753" s="2" t="str">
        <x:v>m3</x:v>
      </x:c>
      <x:c r="G753" s="17" t="n">
        <x:v>14559413.82</x:v>
      </x:c>
      <x:c r="H753" s="17" t="n">
        <x:v>32356269.101960786</x:v>
      </x:c>
      <x:c r="I753" s="17" t="n">
        <x:f>IF(AND(L753,ISNUMBER(G753),ISNUMBER(H753)),G753-H753,"n.a.")</x:f>
        <x:v>-17796855.281960785</x:v>
      </x:c>
      <x:c r="J753" s="15" t="n">
        <x:f>IF(AND(L753,ISNUMBER(G753),ISNUMBER(H753),H753&gt;0),(G753-H753)/H753,"n.a.")</x:f>
        <x:v>-0.5500280401884251</x:v>
      </x:c>
      <x:c r="K753" s="19" t="n">
        <x:f>IF(ISNUMBER(J753),ABS(J753),"n.a.")</x:f>
        <x:v>0.5500280401884251</x:v>
      </x:c>
      <x:c r="L753" s="13" t="b">
        <x:v>1</x:v>
      </x:c>
      <x:c r="M753" s="13" t="b">
        <x:v>1</x:v>
      </x:c>
      <x:c r="N753" s="2" t="str">
        <x:v>qualified_paired_native_source_frame</x:v>
      </x:c>
      <x:c r="O753" s="2" t="str">
        <x:v>none</x:v>
      </x:c>
      <x:c r="P753" s="2" t="str">
        <x:v>modeled_epoch_volume_with_fixed2018_height_and_predominant_use</x:v>
      </x:c>
      <x:c r="Q753" s="2" t="str">
        <x:v>Only qualified source rows admitted; CAN/PAK/TUV/USA fail source checks; PSE unmapped in retained table</x:v>
      </x:c>
      <x:c r="R753" s="2" t="str">
        <x:v>https://human-settlement.emergency.copernicus.eu/ghs_buV2023.php</x:v>
      </x:c>
      <x:c r="S753" s="13" t="b">
        <x:v>0</x:v>
      </x:c>
      <x:c r="T753" s="13" t="b">
        <x:v>0</x:v>
      </x:c>
    </x:row>
    <x:row r="754" ht="23" customHeight="1">
      <x:c r="A754" s="2" t="str">
        <x:v>SUR</x:v>
      </x:c>
      <x:c r="B754" s="2" t="str">
        <x:v>Suriname (Republic of)</x:v>
      </x:c>
      <x:c r="C754" s="2" t="n">
        <x:v>2020</x:v>
      </x:c>
      <x:c r="D754" s="2" t="str">
        <x:v>GHSL_VOLUME</x:v>
      </x:c>
      <x:c r="E754" s="2" t="str">
        <x:v>volume</x:v>
      </x:c>
      <x:c r="F754" s="2" t="str">
        <x:v>m3</x:v>
      </x:c>
      <x:c r="G754" s="17" t="n">
        <x:v>123470788.4</x:v>
      </x:c>
      <x:c r="H754" s="17" t="n">
        <x:v>322278803.44705886</x:v>
      </x:c>
      <x:c r="I754" s="17" t="n">
        <x:f>IF(AND(L754,ISNUMBER(G754),ISNUMBER(H754)),G754-H754,"n.a.")</x:f>
        <x:v>-198808015.04705885</x:v>
      </x:c>
      <x:c r="J754" s="15" t="n">
        <x:f>IF(AND(L754,ISNUMBER(G754),ISNUMBER(H754),H754&gt;0),(G754-H754)/H754,"n.a.")</x:f>
        <x:v>-0.616882068943505</x:v>
      </x:c>
      <x:c r="K754" s="19" t="n">
        <x:f>IF(ISNUMBER(J754),ABS(J754),"n.a.")</x:f>
        <x:v>0.616882068943505</x:v>
      </x:c>
      <x:c r="L754" s="13" t="b">
        <x:v>1</x:v>
      </x:c>
      <x:c r="M754" s="13" t="b">
        <x:v>1</x:v>
      </x:c>
      <x:c r="N754" s="2" t="str">
        <x:v>qualified_paired_native_source_frame</x:v>
      </x:c>
      <x:c r="O754" s="2" t="str">
        <x:v>none</x:v>
      </x:c>
      <x:c r="P754" s="2" t="str">
        <x:v>modeled_epoch_volume_with_fixed2018_height_and_predominant_use</x:v>
      </x:c>
      <x:c r="Q754" s="2" t="str">
        <x:v>Only qualified source rows admitted; CAN/PAK/TUV/USA fail source checks; PSE unmapped in retained table</x:v>
      </x:c>
      <x:c r="R754" s="2" t="str">
        <x:v>https://human-settlement.emergency.copernicus.eu/ghs_buV2023.php</x:v>
      </x:c>
      <x:c r="S754" s="13" t="b">
        <x:v>0</x:v>
      </x:c>
      <x:c r="T754" s="13" t="b">
        <x:v>0</x:v>
      </x:c>
    </x:row>
    <x:row r="755" ht="23" customHeight="1">
      <x:c r="A755" s="2" t="str">
        <x:v>SVK</x:v>
      </x:c>
      <x:c r="B755" s="2" t="str">
        <x:v>Slovakia (Slovak Republic)</x:v>
      </x:c>
      <x:c r="C755" s="2" t="n">
        <x:v>2020</x:v>
      </x:c>
      <x:c r="D755" s="2" t="str">
        <x:v>GHSL_VOLUME</x:v>
      </x:c>
      <x:c r="E755" s="2" t="str">
        <x:v>volume</x:v>
      </x:c>
      <x:c r="F755" s="2" t="str">
        <x:v>m3</x:v>
      </x:c>
      <x:c r="G755" s="17" t="n">
        <x:v>1319069234.46</x:v>
      </x:c>
      <x:c r="H755" s="17" t="n">
        <x:v>2961009534.372549</x:v>
      </x:c>
      <x:c r="I755" s="17" t="n">
        <x:f>IF(AND(L755,ISNUMBER(G755),ISNUMBER(H755)),G755-H755,"n.a.")</x:f>
        <x:v>-1641940299.912549</x:v>
      </x:c>
      <x:c r="J755" s="15" t="n">
        <x:f>IF(AND(L755,ISNUMBER(G755),ISNUMBER(H755),H755&gt;0),(G755-H755)/H755,"n.a.")</x:f>
        <x:v>-0.5545204366457683</x:v>
      </x:c>
      <x:c r="K755" s="19" t="n">
        <x:f>IF(ISNUMBER(J755),ABS(J755),"n.a.")</x:f>
        <x:v>0.5545204366457683</x:v>
      </x:c>
      <x:c r="L755" s="13" t="b">
        <x:v>1</x:v>
      </x:c>
      <x:c r="M755" s="13" t="b">
        <x:v>1</x:v>
      </x:c>
      <x:c r="N755" s="2" t="str">
        <x:v>qualified_paired_native_source_frame</x:v>
      </x:c>
      <x:c r="O755" s="2" t="str">
        <x:v>none</x:v>
      </x:c>
      <x:c r="P755" s="2" t="str">
        <x:v>modeled_epoch_volume_with_fixed2018_height_and_predominant_use</x:v>
      </x:c>
      <x:c r="Q755" s="2" t="str">
        <x:v>Only qualified source rows admitted; CAN/PAK/TUV/USA fail source checks; PSE unmapped in retained table</x:v>
      </x:c>
      <x:c r="R755" s="2" t="str">
        <x:v>https://human-settlement.emergency.copernicus.eu/ghs_buV2023.php</x:v>
      </x:c>
      <x:c r="S755" s="13" t="b">
        <x:v>0</x:v>
      </x:c>
      <x:c r="T755" s="13" t="b">
        <x:v>0</x:v>
      </x:c>
    </x:row>
    <x:row r="756" ht="23" customHeight="1">
      <x:c r="A756" s="2" t="str">
        <x:v>SVN</x:v>
      </x:c>
      <x:c r="B756" s="2" t="str">
        <x:v>Slovenia (Republic of)</x:v>
      </x:c>
      <x:c r="C756" s="2" t="n">
        <x:v>2020</x:v>
      </x:c>
      <x:c r="D756" s="2" t="str">
        <x:v>GHSL_VOLUME</x:v>
      </x:c>
      <x:c r="E756" s="2" t="str">
        <x:v>volume</x:v>
      </x:c>
      <x:c r="F756" s="2" t="str">
        <x:v>m3</x:v>
      </x:c>
      <x:c r="G756" s="17" t="n">
        <x:v>574124262.4</x:v>
      </x:c>
      <x:c r="H756" s="17" t="n">
        <x:v>976659571.1058824</x:v>
      </x:c>
      <x:c r="I756" s="17" t="n">
        <x:f>IF(AND(L756,ISNUMBER(G756),ISNUMBER(H756)),G756-H756,"n.a.")</x:f>
        <x:v>-402535308.70588243</x:v>
      </x:c>
      <x:c r="J756" s="15" t="n">
        <x:f>IF(AND(L756,ISNUMBER(G756),ISNUMBER(H756),H756&gt;0),(G756-H756)/H756,"n.a.")</x:f>
        <x:v>-0.4121551875543361</x:v>
      </x:c>
      <x:c r="K756" s="19" t="n">
        <x:f>IF(ISNUMBER(J756),ABS(J756),"n.a.")</x:f>
        <x:v>0.4121551875543361</x:v>
      </x:c>
      <x:c r="L756" s="13" t="b">
        <x:v>1</x:v>
      </x:c>
      <x:c r="M756" s="13" t="b">
        <x:v>1</x:v>
      </x:c>
      <x:c r="N756" s="2" t="str">
        <x:v>qualified_paired_native_source_frame</x:v>
      </x:c>
      <x:c r="O756" s="2" t="str">
        <x:v>none</x:v>
      </x:c>
      <x:c r="P756" s="2" t="str">
        <x:v>modeled_epoch_volume_with_fixed2018_height_and_predominant_use</x:v>
      </x:c>
      <x:c r="Q756" s="2" t="str">
        <x:v>Only qualified source rows admitted; CAN/PAK/TUV/USA fail source checks; PSE unmapped in retained table</x:v>
      </x:c>
      <x:c r="R756" s="2" t="str">
        <x:v>https://human-settlement.emergency.copernicus.eu/ghs_buV2023.php</x:v>
      </x:c>
      <x:c r="S756" s="13" t="b">
        <x:v>0</x:v>
      </x:c>
      <x:c r="T756" s="13" t="b">
        <x:v>0</x:v>
      </x:c>
    </x:row>
    <x:row r="757" ht="23" customHeight="1">
      <x:c r="A757" s="2" t="str">
        <x:v>SWE</x:v>
      </x:c>
      <x:c r="B757" s="2" t="str">
        <x:v>Sweden (Kingdom of)</x:v>
      </x:c>
      <x:c r="C757" s="2" t="n">
        <x:v>2020</x:v>
      </x:c>
      <x:c r="D757" s="2" t="str">
        <x:v>GHSL_VOLUME</x:v>
      </x:c>
      <x:c r="E757" s="2" t="str">
        <x:v>volume</x:v>
      </x:c>
      <x:c r="F757" s="2" t="str">
        <x:v>m3</x:v>
      </x:c>
      <x:c r="G757" s="17" t="n">
        <x:v>2899426313.02</x:v>
      </x:c>
      <x:c r="H757" s="17" t="n">
        <x:v>4620415714.145098</x:v>
      </x:c>
      <x:c r="I757" s="17" t="n">
        <x:f>IF(AND(L757,ISNUMBER(G757),ISNUMBER(H757)),G757-H757,"n.a.")</x:f>
        <x:v>-1720989401.1250978</x:v>
      </x:c>
      <x:c r="J757" s="15" t="n">
        <x:f>IF(AND(L757,ISNUMBER(G757),ISNUMBER(H757),H757&gt;0),(G757-H757)/H757,"n.a.")</x:f>
        <x:v>-0.37247501255274545</x:v>
      </x:c>
      <x:c r="K757" s="19" t="n">
        <x:f>IF(ISNUMBER(J757),ABS(J757),"n.a.")</x:f>
        <x:v>0.37247501255274545</x:v>
      </x:c>
      <x:c r="L757" s="13" t="b">
        <x:v>1</x:v>
      </x:c>
      <x:c r="M757" s="13" t="b">
        <x:v>1</x:v>
      </x:c>
      <x:c r="N757" s="2" t="str">
        <x:v>qualified_paired_native_source_frame</x:v>
      </x:c>
      <x:c r="O757" s="2" t="str">
        <x:v>none</x:v>
      </x:c>
      <x:c r="P757" s="2" t="str">
        <x:v>modeled_epoch_volume_with_fixed2018_height_and_predominant_use</x:v>
      </x:c>
      <x:c r="Q757" s="2" t="str">
        <x:v>Only qualified source rows admitted; CAN/PAK/TUV/USA fail source checks; PSE unmapped in retained table</x:v>
      </x:c>
      <x:c r="R757" s="2" t="str">
        <x:v>https://human-settlement.emergency.copernicus.eu/ghs_buV2023.php</x:v>
      </x:c>
      <x:c r="S757" s="13" t="b">
        <x:v>0</x:v>
      </x:c>
      <x:c r="T757" s="13" t="b">
        <x:v>0</x:v>
      </x:c>
    </x:row>
    <x:row r="758" ht="23" customHeight="1">
      <x:c r="A758" s="2" t="str">
        <x:v>SWZ</x:v>
      </x:c>
      <x:c r="B758" s="2" t="str">
        <x:v>Eswatini (Kingdom of)</x:v>
      </x:c>
      <x:c r="C758" s="2" t="n">
        <x:v>2020</x:v>
      </x:c>
      <x:c r="D758" s="2" t="str">
        <x:v>GHSL_VOLUME</x:v>
      </x:c>
      <x:c r="E758" s="2" t="str">
        <x:v>volume</x:v>
      </x:c>
      <x:c r="F758" s="2" t="str">
        <x:v>m3</x:v>
      </x:c>
      <x:c r="G758" s="17" t="n">
        <x:v>93162362.79</x:v>
      </x:c>
      <x:c r="H758" s="17" t="n">
        <x:v>487785832.5137254</x:v>
      </x:c>
      <x:c r="I758" s="17" t="n">
        <x:f>IF(AND(L758,ISNUMBER(G758),ISNUMBER(H758)),G758-H758,"n.a.")</x:f>
        <x:v>-394623469.7237254</x:v>
      </x:c>
      <x:c r="J758" s="15" t="n">
        <x:f>IF(AND(L758,ISNUMBER(G758),ISNUMBER(H758),H758&gt;0),(G758-H758)/H758,"n.a.")</x:f>
        <x:v>-0.8090096993799454</x:v>
      </x:c>
      <x:c r="K758" s="19" t="n">
        <x:f>IF(ISNUMBER(J758),ABS(J758),"n.a.")</x:f>
        <x:v>0.8090096993799454</x:v>
      </x:c>
      <x:c r="L758" s="13" t="b">
        <x:v>1</x:v>
      </x:c>
      <x:c r="M758" s="13" t="b">
        <x:v>1</x:v>
      </x:c>
      <x:c r="N758" s="2" t="str">
        <x:v>qualified_paired_native_source_frame</x:v>
      </x:c>
      <x:c r="O758" s="2" t="str">
        <x:v>none</x:v>
      </x:c>
      <x:c r="P758" s="2" t="str">
        <x:v>modeled_epoch_volume_with_fixed2018_height_and_predominant_use</x:v>
      </x:c>
      <x:c r="Q758" s="2" t="str">
        <x:v>Only qualified source rows admitted; CAN/PAK/TUV/USA fail source checks; PSE unmapped in retained table</x:v>
      </x:c>
      <x:c r="R758" s="2" t="str">
        <x:v>https://human-settlement.emergency.copernicus.eu/ghs_buV2023.php</x:v>
      </x:c>
      <x:c r="S758" s="13" t="b">
        <x:v>0</x:v>
      </x:c>
      <x:c r="T758" s="13" t="b">
        <x:v>0</x:v>
      </x:c>
    </x:row>
    <x:row r="759" ht="23" customHeight="1">
      <x:c r="A759" s="2" t="str">
        <x:v>SYC</x:v>
      </x:c>
      <x:c r="B759" s="2" t="str">
        <x:v>Seychelles (Republic of)</x:v>
      </x:c>
      <x:c r="C759" s="2" t="n">
        <x:v>2020</x:v>
      </x:c>
      <x:c r="D759" s="2" t="str">
        <x:v>GHSL_VOLUME</x:v>
      </x:c>
      <x:c r="E759" s="2" t="str">
        <x:v>volume</x:v>
      </x:c>
      <x:c r="F759" s="2" t="str">
        <x:v>m3</x:v>
      </x:c>
      <x:c r="G759" s="17" t="n">
        <x:v>19512555.16</x:v>
      </x:c>
      <x:c r="H759" s="17" t="n">
        <x:v>19518052.290196083</x:v>
      </x:c>
      <x:c r="I759" s="17" t="n">
        <x:f>IF(AND(L759,ISNUMBER(G759),ISNUMBER(H759)),G759-H759,"n.a.")</x:f>
        <x:v>-5497.130196083337</x:v>
      </x:c>
      <x:c r="J759" s="15" t="n">
        <x:f>IF(AND(L759,ISNUMBER(G759),ISNUMBER(H759),H759&gt;0),(G759-H759)/H759,"n.a.")</x:f>
        <x:v>-0.0002816433788756958</x:v>
      </x:c>
      <x:c r="K759" s="19" t="n">
        <x:f>IF(ISNUMBER(J759),ABS(J759),"n.a.")</x:f>
        <x:v>0.0002816433788756958</x:v>
      </x:c>
      <x:c r="L759" s="13" t="b">
        <x:v>1</x:v>
      </x:c>
      <x:c r="M759" s="13" t="b">
        <x:v>1</x:v>
      </x:c>
      <x:c r="N759" s="2" t="str">
        <x:v>qualified_paired_native_source_frame</x:v>
      </x:c>
      <x:c r="O759" s="2" t="str">
        <x:v>none</x:v>
      </x:c>
      <x:c r="P759" s="2" t="str">
        <x:v>modeled_epoch_volume_with_fixed2018_height_and_predominant_use</x:v>
      </x:c>
      <x:c r="Q759" s="2" t="str">
        <x:v>Only qualified source rows admitted; CAN/PAK/TUV/USA fail source checks; PSE unmapped in retained table</x:v>
      </x:c>
      <x:c r="R759" s="2" t="str">
        <x:v>https://human-settlement.emergency.copernicus.eu/ghs_buV2023.php</x:v>
      </x:c>
      <x:c r="S759" s="13" t="b">
        <x:v>0</x:v>
      </x:c>
      <x:c r="T759" s="13" t="b">
        <x:v>0</x:v>
      </x:c>
    </x:row>
    <x:row r="760" ht="23" customHeight="1">
      <x:c r="A760" s="2" t="str">
        <x:v>SYR</x:v>
      </x:c>
      <x:c r="B760" s="2" t="str">
        <x:v>Syrian Arab Republic</x:v>
      </x:c>
      <x:c r="C760" s="2" t="n">
        <x:v>2020</x:v>
      </x:c>
      <x:c r="D760" s="2" t="str">
        <x:v>GHSL_VOLUME</x:v>
      </x:c>
      <x:c r="E760" s="2" t="str">
        <x:v>volume</x:v>
      </x:c>
      <x:c r="F760" s="2" t="str">
        <x:v>m3</x:v>
      </x:c>
      <x:c r="G760" s="17" t="n">
        <x:v>2230810368.99</x:v>
      </x:c>
      <x:c r="H760" s="17" t="n">
        <x:v>5261929580.094119</x:v>
      </x:c>
      <x:c r="I760" s="17" t="n">
        <x:f>IF(AND(L760,ISNUMBER(G760),ISNUMBER(H760)),G760-H760,"n.a.")</x:f>
        <x:v>-3031119211.1041193</x:v>
      </x:c>
      <x:c r="J760" s="15" t="n">
        <x:f>IF(AND(L760,ISNUMBER(G760),ISNUMBER(H760),H760&gt;0),(G760-H760)/H760,"n.a.")</x:f>
        <x:v>-0.5760470878536353</x:v>
      </x:c>
      <x:c r="K760" s="19" t="n">
        <x:f>IF(ISNUMBER(J760),ABS(J760),"n.a.")</x:f>
        <x:v>0.5760470878536353</x:v>
      </x:c>
      <x:c r="L760" s="13" t="b">
        <x:v>1</x:v>
      </x:c>
      <x:c r="M760" s="13" t="b">
        <x:v>1</x:v>
      </x:c>
      <x:c r="N760" s="2" t="str">
        <x:v>qualified_paired_native_source_frame</x:v>
      </x:c>
      <x:c r="O760" s="2" t="str">
        <x:v>none</x:v>
      </x:c>
      <x:c r="P760" s="2" t="str">
        <x:v>modeled_epoch_volume_with_fixed2018_height_and_predominant_use</x:v>
      </x:c>
      <x:c r="Q760" s="2" t="str">
        <x:v>Only qualified source rows admitted; CAN/PAK/TUV/USA fail source checks; PSE unmapped in retained table</x:v>
      </x:c>
      <x:c r="R760" s="2" t="str">
        <x:v>https://human-settlement.emergency.copernicus.eu/ghs_buV2023.php</x:v>
      </x:c>
      <x:c r="S760" s="13" t="b">
        <x:v>0</x:v>
      </x:c>
      <x:c r="T760" s="13" t="b">
        <x:v>0</x:v>
      </x:c>
    </x:row>
    <x:row r="761" ht="23" customHeight="1">
      <x:c r="A761" s="2" t="str">
        <x:v>TCD</x:v>
      </x:c>
      <x:c r="B761" s="2" t="str">
        <x:v>Chad (Republic of)</x:v>
      </x:c>
      <x:c r="C761" s="2" t="n">
        <x:v>2020</x:v>
      </x:c>
      <x:c r="D761" s="2" t="str">
        <x:v>GHSL_VOLUME</x:v>
      </x:c>
      <x:c r="E761" s="2" t="str">
        <x:v>volume</x:v>
      </x:c>
      <x:c r="F761" s="2" t="str">
        <x:v>m3</x:v>
      </x:c>
      <x:c r="G761" s="17" t="n">
        <x:v>252413480.81</x:v>
      </x:c>
      <x:c r="H761" s="17" t="n">
        <x:v>2012029178.980392</x:v>
      </x:c>
      <x:c r="I761" s="17" t="n">
        <x:f>IF(AND(L761,ISNUMBER(G761),ISNUMBER(H761)),G761-H761,"n.a.")</x:f>
        <x:v>-1759615698.170392</x:v>
      </x:c>
      <x:c r="J761" s="15" t="n">
        <x:f>IF(AND(L761,ISNUMBER(G761),ISNUMBER(H761),H761&gt;0),(G761-H761)/H761,"n.a.")</x:f>
        <x:v>-0.8745478030602359</x:v>
      </x:c>
      <x:c r="K761" s="19" t="n">
        <x:f>IF(ISNUMBER(J761),ABS(J761),"n.a.")</x:f>
        <x:v>0.8745478030602359</x:v>
      </x:c>
      <x:c r="L761" s="13" t="b">
        <x:v>1</x:v>
      </x:c>
      <x:c r="M761" s="13" t="b">
        <x:v>1</x:v>
      </x:c>
      <x:c r="N761" s="2" t="str">
        <x:v>qualified_paired_native_source_frame</x:v>
      </x:c>
      <x:c r="O761" s="2" t="str">
        <x:v>none</x:v>
      </x:c>
      <x:c r="P761" s="2" t="str">
        <x:v>modeled_epoch_volume_with_fixed2018_height_and_predominant_use</x:v>
      </x:c>
      <x:c r="Q761" s="2" t="str">
        <x:v>Only qualified source rows admitted; CAN/PAK/TUV/USA fail source checks; PSE unmapped in retained table</x:v>
      </x:c>
      <x:c r="R761" s="2" t="str">
        <x:v>https://human-settlement.emergency.copernicus.eu/ghs_buV2023.php</x:v>
      </x:c>
      <x:c r="S761" s="13" t="b">
        <x:v>0</x:v>
      </x:c>
      <x:c r="T761" s="13" t="b">
        <x:v>0</x:v>
      </x:c>
    </x:row>
    <x:row r="762" ht="23" customHeight="1">
      <x:c r="A762" s="2" t="str">
        <x:v>TGO</x:v>
      </x:c>
      <x:c r="B762" s="2" t="str">
        <x:v>Togo (Togolese Republic)</x:v>
      </x:c>
      <x:c r="C762" s="2" t="n">
        <x:v>2020</x:v>
      </x:c>
      <x:c r="D762" s="2" t="str">
        <x:v>GHSL_VOLUME</x:v>
      </x:c>
      <x:c r="E762" s="2" t="str">
        <x:v>volume</x:v>
      </x:c>
      <x:c r="F762" s="2" t="str">
        <x:v>m3</x:v>
      </x:c>
      <x:c r="G762" s="17" t="n">
        <x:v>414282847.76</x:v>
      </x:c>
      <x:c r="H762" s="17" t="n">
        <x:v>2629419440.6588235</x:v>
      </x:c>
      <x:c r="I762" s="17" t="n">
        <x:f>IF(AND(L762,ISNUMBER(G762),ISNUMBER(H762)),G762-H762,"n.a.")</x:f>
        <x:v>-2215136592.8988237</x:v>
      </x:c>
      <x:c r="J762" s="15" t="n">
        <x:f>IF(AND(L762,ISNUMBER(G762),ISNUMBER(H762),H762&gt;0),(G762-H762)/H762,"n.a.")</x:f>
        <x:v>-0.8424432247841761</x:v>
      </x:c>
      <x:c r="K762" s="19" t="n">
        <x:f>IF(ISNUMBER(J762),ABS(J762),"n.a.")</x:f>
        <x:v>0.8424432247841761</x:v>
      </x:c>
      <x:c r="L762" s="13" t="b">
        <x:v>1</x:v>
      </x:c>
      <x:c r="M762" s="13" t="b">
        <x:v>1</x:v>
      </x:c>
      <x:c r="N762" s="2" t="str">
        <x:v>qualified_paired_native_source_frame</x:v>
      </x:c>
      <x:c r="O762" s="2" t="str">
        <x:v>none</x:v>
      </x:c>
      <x:c r="P762" s="2" t="str">
        <x:v>modeled_epoch_volume_with_fixed2018_height_and_predominant_use</x:v>
      </x:c>
      <x:c r="Q762" s="2" t="str">
        <x:v>Only qualified source rows admitted; CAN/PAK/TUV/USA fail source checks; PSE unmapped in retained table</x:v>
      </x:c>
      <x:c r="R762" s="2" t="str">
        <x:v>https://human-settlement.emergency.copernicus.eu/ghs_buV2023.php</x:v>
      </x:c>
      <x:c r="S762" s="13" t="b">
        <x:v>0</x:v>
      </x:c>
      <x:c r="T762" s="13" t="b">
        <x:v>0</x:v>
      </x:c>
    </x:row>
    <x:row r="763" ht="23" customHeight="1">
      <x:c r="A763" s="2" t="str">
        <x:v>THA</x:v>
      </x:c>
      <x:c r="B763" s="2" t="str">
        <x:v>Thailand (Kingdom of)</x:v>
      </x:c>
      <x:c r="C763" s="2" t="n">
        <x:v>2020</x:v>
      </x:c>
      <x:c r="D763" s="2" t="str">
        <x:v>GHSL_VOLUME</x:v>
      </x:c>
      <x:c r="E763" s="2" t="str">
        <x:v>volume</x:v>
      </x:c>
      <x:c r="F763" s="2" t="str">
        <x:v>m3</x:v>
      </x:c>
      <x:c r="G763" s="17" t="n">
        <x:v>14897053539.07</x:v>
      </x:c>
      <x:c r="H763" s="17" t="n">
        <x:v>28528264104.050983</x:v>
      </x:c>
      <x:c r="I763" s="17" t="n">
        <x:f>IF(AND(L763,ISNUMBER(G763),ISNUMBER(H763)),G763-H763,"n.a.")</x:f>
        <x:v>-13631210564.980984</x:v>
      </x:c>
      <x:c r="J763" s="15" t="n">
        <x:f>IF(AND(L763,ISNUMBER(G763),ISNUMBER(H763),H763&gt;0),(G763-H763)/H763,"n.a.")</x:f>
        <x:v>-0.477814230661352</x:v>
      </x:c>
      <x:c r="K763" s="19" t="n">
        <x:f>IF(ISNUMBER(J763),ABS(J763),"n.a.")</x:f>
        <x:v>0.477814230661352</x:v>
      </x:c>
      <x:c r="L763" s="13" t="b">
        <x:v>1</x:v>
      </x:c>
      <x:c r="M763" s="13" t="b">
        <x:v>1</x:v>
      </x:c>
      <x:c r="N763" s="2" t="str">
        <x:v>qualified_paired_native_source_frame</x:v>
      </x:c>
      <x:c r="O763" s="2" t="str">
        <x:v>none</x:v>
      </x:c>
      <x:c r="P763" s="2" t="str">
        <x:v>modeled_epoch_volume_with_fixed2018_height_and_predominant_use</x:v>
      </x:c>
      <x:c r="Q763" s="2" t="str">
        <x:v>Only qualified source rows admitted; CAN/PAK/TUV/USA fail source checks; PSE unmapped in retained table</x:v>
      </x:c>
      <x:c r="R763" s="2" t="str">
        <x:v>https://human-settlement.emergency.copernicus.eu/ghs_buV2023.php</x:v>
      </x:c>
      <x:c r="S763" s="13" t="b">
        <x:v>0</x:v>
      </x:c>
      <x:c r="T763" s="13" t="b">
        <x:v>0</x:v>
      </x:c>
    </x:row>
    <x:row r="764" ht="23" customHeight="1">
      <x:c r="A764" s="2" t="str">
        <x:v>TJK</x:v>
      </x:c>
      <x:c r="B764" s="2" t="str">
        <x:v>Tajikistan (Republic of)</x:v>
      </x:c>
      <x:c r="C764" s="2" t="n">
        <x:v>2020</x:v>
      </x:c>
      <x:c r="D764" s="2" t="str">
        <x:v>GHSL_VOLUME</x:v>
      </x:c>
      <x:c r="E764" s="2" t="str">
        <x:v>volume</x:v>
      </x:c>
      <x:c r="F764" s="2" t="str">
        <x:v>m3</x:v>
      </x:c>
      <x:c r="G764" s="17" t="n">
        <x:v>970081598.17</x:v>
      </x:c>
      <x:c r="H764" s="17" t="n">
        <x:v>3582743642.435294</x:v>
      </x:c>
      <x:c r="I764" s="17" t="n">
        <x:f>IF(AND(L764,ISNUMBER(G764),ISNUMBER(H764)),G764-H764,"n.a.")</x:f>
        <x:v>-2612662044.265294</x:v>
      </x:c>
      <x:c r="J764" s="15" t="n">
        <x:f>IF(AND(L764,ISNUMBER(G764),ISNUMBER(H764),H764&gt;0),(G764-H764)/H764,"n.a.")</x:f>
        <x:v>-0.7292349955827128</x:v>
      </x:c>
      <x:c r="K764" s="19" t="n">
        <x:f>IF(ISNUMBER(J764),ABS(J764),"n.a.")</x:f>
        <x:v>0.7292349955827128</x:v>
      </x:c>
      <x:c r="L764" s="13" t="b">
        <x:v>1</x:v>
      </x:c>
      <x:c r="M764" s="13" t="b">
        <x:v>1</x:v>
      </x:c>
      <x:c r="N764" s="2" t="str">
        <x:v>qualified_paired_native_source_frame</x:v>
      </x:c>
      <x:c r="O764" s="2" t="str">
        <x:v>none</x:v>
      </x:c>
      <x:c r="P764" s="2" t="str">
        <x:v>modeled_epoch_volume_with_fixed2018_height_and_predominant_use</x:v>
      </x:c>
      <x:c r="Q764" s="2" t="str">
        <x:v>Only qualified source rows admitted; CAN/PAK/TUV/USA fail source checks; PSE unmapped in retained table</x:v>
      </x:c>
      <x:c r="R764" s="2" t="str">
        <x:v>https://human-settlement.emergency.copernicus.eu/ghs_buV2023.php</x:v>
      </x:c>
      <x:c r="S764" s="13" t="b">
        <x:v>0</x:v>
      </x:c>
      <x:c r="T764" s="13" t="b">
        <x:v>0</x:v>
      </x:c>
    </x:row>
    <x:row r="765" ht="23" customHeight="1">
      <x:c r="A765" s="2" t="str">
        <x:v>TKM</x:v>
      </x:c>
      <x:c r="B765" s="2" t="str">
        <x:v>Turkmenistan</x:v>
      </x:c>
      <x:c r="C765" s="2" t="n">
        <x:v>2020</x:v>
      </x:c>
      <x:c r="D765" s="2" t="str">
        <x:v>GHSL_VOLUME</x:v>
      </x:c>
      <x:c r="E765" s="2" t="str">
        <x:v>volume</x:v>
      </x:c>
      <x:c r="F765" s="2" t="str">
        <x:v>m3</x:v>
      </x:c>
      <x:c r="G765" s="17" t="n">
        <x:v>932335371.04</x:v>
      </x:c>
      <x:c r="H765" s="17" t="n">
        <x:v>3518767210.7921567</x:v>
      </x:c>
      <x:c r="I765" s="17" t="n">
        <x:f>IF(AND(L765,ISNUMBER(G765),ISNUMBER(H765)),G765-H765,"n.a.")</x:f>
        <x:v>-2586431839.7521567</x:v>
      </x:c>
      <x:c r="J765" s="15" t="n">
        <x:f>IF(AND(L765,ISNUMBER(G765),ISNUMBER(H765),H765&gt;0),(G765-H765)/H765,"n.a.")</x:f>
        <x:v>-0.7350392011780429</x:v>
      </x:c>
      <x:c r="K765" s="19" t="n">
        <x:f>IF(ISNUMBER(J765),ABS(J765),"n.a.")</x:f>
        <x:v>0.7350392011780429</x:v>
      </x:c>
      <x:c r="L765" s="13" t="b">
        <x:v>1</x:v>
      </x:c>
      <x:c r="M765" s="13" t="b">
        <x:v>1</x:v>
      </x:c>
      <x:c r="N765" s="2" t="str">
        <x:v>qualified_paired_native_source_frame</x:v>
      </x:c>
      <x:c r="O765" s="2" t="str">
        <x:v>none</x:v>
      </x:c>
      <x:c r="P765" s="2" t="str">
        <x:v>modeled_epoch_volume_with_fixed2018_height_and_predominant_use</x:v>
      </x:c>
      <x:c r="Q765" s="2" t="str">
        <x:v>Only qualified source rows admitted; CAN/PAK/TUV/USA fail source checks; PSE unmapped in retained table</x:v>
      </x:c>
      <x:c r="R765" s="2" t="str">
        <x:v>https://human-settlement.emergency.copernicus.eu/ghs_buV2023.php</x:v>
      </x:c>
      <x:c r="S765" s="13" t="b">
        <x:v>0</x:v>
      </x:c>
      <x:c r="T765" s="13" t="b">
        <x:v>0</x:v>
      </x:c>
    </x:row>
    <x:row r="766" ht="23" customHeight="1">
      <x:c r="A766" s="2" t="str">
        <x:v>TLS</x:v>
      </x:c>
      <x:c r="B766" s="2" t="str">
        <x:v>Timor-Leste (Democratic Republic of)</x:v>
      </x:c>
      <x:c r="C766" s="2" t="n">
        <x:v>2020</x:v>
      </x:c>
      <x:c r="D766" s="2" t="str">
        <x:v>GHSL_VOLUME</x:v>
      </x:c>
      <x:c r="E766" s="2" t="str">
        <x:v>volume</x:v>
      </x:c>
      <x:c r="F766" s="2" t="str">
        <x:v>m3</x:v>
      </x:c>
      <x:c r="G766" s="17" t="n">
        <x:v>88774360.59</x:v>
      </x:c>
      <x:c r="H766" s="17" t="n">
        <x:v>174973392.37254897</x:v>
      </x:c>
      <x:c r="I766" s="17" t="n">
        <x:f>IF(AND(L766,ISNUMBER(G766),ISNUMBER(H766)),G766-H766,"n.a.")</x:f>
        <x:v>-86199031.78254896</x:v>
      </x:c>
      <x:c r="J766" s="15" t="n">
        <x:f>IF(AND(L766,ISNUMBER(G766),ISNUMBER(H766),H766&gt;0),(G766-H766)/H766,"n.a.")</x:f>
        <x:v>-0.49264079877365663</x:v>
      </x:c>
      <x:c r="K766" s="19" t="n">
        <x:f>IF(ISNUMBER(J766),ABS(J766),"n.a.")</x:f>
        <x:v>0.49264079877365663</x:v>
      </x:c>
      <x:c r="L766" s="13" t="b">
        <x:v>1</x:v>
      </x:c>
      <x:c r="M766" s="13" t="b">
        <x:v>1</x:v>
      </x:c>
      <x:c r="N766" s="2" t="str">
        <x:v>qualified_paired_native_source_frame</x:v>
      </x:c>
      <x:c r="O766" s="2" t="str">
        <x:v>none</x:v>
      </x:c>
      <x:c r="P766" s="2" t="str">
        <x:v>modeled_epoch_volume_with_fixed2018_height_and_predominant_use</x:v>
      </x:c>
      <x:c r="Q766" s="2" t="str">
        <x:v>Only qualified source rows admitted; CAN/PAK/TUV/USA fail source checks; PSE unmapped in retained table</x:v>
      </x:c>
      <x:c r="R766" s="2" t="str">
        <x:v>https://human-settlement.emergency.copernicus.eu/ghs_buV2023.php</x:v>
      </x:c>
      <x:c r="S766" s="13" t="b">
        <x:v>0</x:v>
      </x:c>
      <x:c r="T766" s="13" t="b">
        <x:v>0</x:v>
      </x:c>
    </x:row>
    <x:row r="767" ht="23" customHeight="1">
      <x:c r="A767" s="2" t="str">
        <x:v>TON</x:v>
      </x:c>
      <x:c r="B767" s="2" t="str">
        <x:v>Tonga (Kingdom of)</x:v>
      </x:c>
      <x:c r="C767" s="2" t="n">
        <x:v>2020</x:v>
      </x:c>
      <x:c r="D767" s="2" t="str">
        <x:v>GHSL_VOLUME</x:v>
      </x:c>
      <x:c r="E767" s="2" t="str">
        <x:v>volume</x:v>
      </x:c>
      <x:c r="F767" s="2" t="str">
        <x:v>m3</x:v>
      </x:c>
      <x:c r="G767" s="17" t="n">
        <x:v>10644020.01</x:v>
      </x:c>
      <x:c r="H767" s="17" t="n">
        <x:v>22728732.141176466</x:v>
      </x:c>
      <x:c r="I767" s="17" t="n">
        <x:f>IF(AND(L767,ISNUMBER(G767),ISNUMBER(H767)),G767-H767,"n.a.")</x:f>
        <x:v>-12084712.131176466</x:v>
      </x:c>
      <x:c r="J767" s="15" t="n">
        <x:f>IF(AND(L767,ISNUMBER(G767),ISNUMBER(H767),H767&gt;0),(G767-H767)/H767,"n.a.")</x:f>
        <x:v>-0.531693191512571</x:v>
      </x:c>
      <x:c r="K767" s="19" t="n">
        <x:f>IF(ISNUMBER(J767),ABS(J767),"n.a.")</x:f>
        <x:v>0.531693191512571</x:v>
      </x:c>
      <x:c r="L767" s="13" t="b">
        <x:v>1</x:v>
      </x:c>
      <x:c r="M767" s="13" t="b">
        <x:v>1</x:v>
      </x:c>
      <x:c r="N767" s="2" t="str">
        <x:v>qualified_paired_native_source_frame</x:v>
      </x:c>
      <x:c r="O767" s="2" t="str">
        <x:v>none</x:v>
      </x:c>
      <x:c r="P767" s="2" t="str">
        <x:v>modeled_epoch_volume_with_fixed2018_height_and_predominant_use</x:v>
      </x:c>
      <x:c r="Q767" s="2" t="str">
        <x:v>Only qualified source rows admitted; CAN/PAK/TUV/USA fail source checks; PSE unmapped in retained table</x:v>
      </x:c>
      <x:c r="R767" s="2" t="str">
        <x:v>https://human-settlement.emergency.copernicus.eu/ghs_buV2023.php</x:v>
      </x:c>
      <x:c r="S767" s="13" t="b">
        <x:v>0</x:v>
      </x:c>
      <x:c r="T767" s="13" t="b">
        <x:v>0</x:v>
      </x:c>
    </x:row>
    <x:row r="768" ht="23" customHeight="1">
      <x:c r="A768" s="2" t="str">
        <x:v>TTO</x:v>
      </x:c>
      <x:c r="B768" s="2" t="str">
        <x:v>Trinidad and Tobago (Republic of)</x:v>
      </x:c>
      <x:c r="C768" s="2" t="n">
        <x:v>2020</x:v>
      </x:c>
      <x:c r="D768" s="2" t="str">
        <x:v>GHSL_VOLUME</x:v>
      </x:c>
      <x:c r="E768" s="2" t="str">
        <x:v>volume</x:v>
      </x:c>
      <x:c r="F768" s="2" t="str">
        <x:v>m3</x:v>
      </x:c>
      <x:c r="G768" s="17" t="n">
        <x:v>265209532.67</x:v>
      </x:c>
      <x:c r="H768" s="17" t="n">
        <x:v>1014233667.5137254</x:v>
      </x:c>
      <x:c r="I768" s="17" t="n">
        <x:f>IF(AND(L768,ISNUMBER(G768),ISNUMBER(H768)),G768-H768,"n.a.")</x:f>
        <x:v>-749024134.8437254</x:v>
      </x:c>
      <x:c r="J768" s="15" t="n">
        <x:f>IF(AND(L768,ISNUMBER(G768),ISNUMBER(H768),H768&gt;0),(G768-H768)/H768,"n.a.")</x:f>
        <x:v>-0.7385123949591124</x:v>
      </x:c>
      <x:c r="K768" s="19" t="n">
        <x:f>IF(ISNUMBER(J768),ABS(J768),"n.a.")</x:f>
        <x:v>0.7385123949591124</x:v>
      </x:c>
      <x:c r="L768" s="13" t="b">
        <x:v>1</x:v>
      </x:c>
      <x:c r="M768" s="13" t="b">
        <x:v>1</x:v>
      </x:c>
      <x:c r="N768" s="2" t="str">
        <x:v>qualified_paired_native_source_frame</x:v>
      </x:c>
      <x:c r="O768" s="2" t="str">
        <x:v>none</x:v>
      </x:c>
      <x:c r="P768" s="2" t="str">
        <x:v>modeled_epoch_volume_with_fixed2018_height_and_predominant_use</x:v>
      </x:c>
      <x:c r="Q768" s="2" t="str">
        <x:v>Only qualified source rows admitted; CAN/PAK/TUV/USA fail source checks; PSE unmapped in retained table</x:v>
      </x:c>
      <x:c r="R768" s="2" t="str">
        <x:v>https://human-settlement.emergency.copernicus.eu/ghs_buV2023.php</x:v>
      </x:c>
      <x:c r="S768" s="13" t="b">
        <x:v>0</x:v>
      </x:c>
      <x:c r="T768" s="13" t="b">
        <x:v>0</x:v>
      </x:c>
    </x:row>
    <x:row r="769" ht="23" customHeight="1">
      <x:c r="A769" s="2" t="str">
        <x:v>TUN</x:v>
      </x:c>
      <x:c r="B769" s="2" t="str">
        <x:v>Tunisia (Republic of)</x:v>
      </x:c>
      <x:c r="C769" s="2" t="n">
        <x:v>2020</x:v>
      </x:c>
      <x:c r="D769" s="2" t="str">
        <x:v>GHSL_VOLUME</x:v>
      </x:c>
      <x:c r="E769" s="2" t="str">
        <x:v>volume</x:v>
      </x:c>
      <x:c r="F769" s="2" t="str">
        <x:v>m3</x:v>
      </x:c>
      <x:c r="G769" s="17" t="n">
        <x:v>1818309867.9</x:v>
      </x:c>
      <x:c r="H769" s="17" t="n">
        <x:v>5481838990.57647</x:v>
      </x:c>
      <x:c r="I769" s="17" t="n">
        <x:f>IF(AND(L769,ISNUMBER(G769),ISNUMBER(H769)),G769-H769,"n.a.")</x:f>
        <x:v>-3663529122.6764703</x:v>
      </x:c>
      <x:c r="J769" s="15" t="n">
        <x:f>IF(AND(L769,ISNUMBER(G769),ISNUMBER(H769),H769&gt;0),(G769-H769)/H769,"n.a.")</x:f>
        <x:v>-0.6683029415811451</x:v>
      </x:c>
      <x:c r="K769" s="19" t="n">
        <x:f>IF(ISNUMBER(J769),ABS(J769),"n.a.")</x:f>
        <x:v>0.6683029415811451</x:v>
      </x:c>
      <x:c r="L769" s="13" t="b">
        <x:v>1</x:v>
      </x:c>
      <x:c r="M769" s="13" t="b">
        <x:v>1</x:v>
      </x:c>
      <x:c r="N769" s="2" t="str">
        <x:v>qualified_paired_native_source_frame</x:v>
      </x:c>
      <x:c r="O769" s="2" t="str">
        <x:v>none</x:v>
      </x:c>
      <x:c r="P769" s="2" t="str">
        <x:v>modeled_epoch_volume_with_fixed2018_height_and_predominant_use</x:v>
      </x:c>
      <x:c r="Q769" s="2" t="str">
        <x:v>Only qualified source rows admitted; CAN/PAK/TUV/USA fail source checks; PSE unmapped in retained table</x:v>
      </x:c>
      <x:c r="R769" s="2" t="str">
        <x:v>https://human-settlement.emergency.copernicus.eu/ghs_buV2023.php</x:v>
      </x:c>
      <x:c r="S769" s="13" t="b">
        <x:v>0</x:v>
      </x:c>
      <x:c r="T769" s="13" t="b">
        <x:v>0</x:v>
      </x:c>
    </x:row>
    <x:row r="770" ht="23" customHeight="1">
      <x:c r="A770" s="2" t="str">
        <x:v>TUR</x:v>
      </x:c>
      <x:c r="B770" s="2" t="str">
        <x:v>Türkiye (Republic of)</x:v>
      </x:c>
      <x:c r="C770" s="2" t="n">
        <x:v>2020</x:v>
      </x:c>
      <x:c r="D770" s="2" t="str">
        <x:v>GHSL_VOLUME</x:v>
      </x:c>
      <x:c r="E770" s="2" t="str">
        <x:v>volume</x:v>
      </x:c>
      <x:c r="F770" s="2" t="str">
        <x:v>m3</x:v>
      </x:c>
      <x:c r="G770" s="17" t="n">
        <x:v>13166454645.85</x:v>
      </x:c>
      <x:c r="H770" s="17" t="n">
        <x:v>21575776805.24706</x:v>
      </x:c>
      <x:c r="I770" s="17" t="n">
        <x:f>IF(AND(L770,ISNUMBER(G770),ISNUMBER(H770)),G770-H770,"n.a.")</x:f>
        <x:v>-8409322159.3970585</x:v>
      </x:c>
      <x:c r="J770" s="15" t="n">
        <x:f>IF(AND(L770,ISNUMBER(G770),ISNUMBER(H770),H770&gt;0),(G770-H770)/H770,"n.a.")</x:f>
        <x:v>-0.38975756170002546</x:v>
      </x:c>
      <x:c r="K770" s="19" t="n">
        <x:f>IF(ISNUMBER(J770),ABS(J770),"n.a.")</x:f>
        <x:v>0.38975756170002546</x:v>
      </x:c>
      <x:c r="L770" s="13" t="b">
        <x:v>1</x:v>
      </x:c>
      <x:c r="M770" s="13" t="b">
        <x:v>1</x:v>
      </x:c>
      <x:c r="N770" s="2" t="str">
        <x:v>qualified_paired_native_source_frame</x:v>
      </x:c>
      <x:c r="O770" s="2" t="str">
        <x:v>none</x:v>
      </x:c>
      <x:c r="P770" s="2" t="str">
        <x:v>modeled_epoch_volume_with_fixed2018_height_and_predominant_use</x:v>
      </x:c>
      <x:c r="Q770" s="2" t="str">
        <x:v>Only qualified source rows admitted; CAN/PAK/TUV/USA fail source checks; PSE unmapped in retained table</x:v>
      </x:c>
      <x:c r="R770" s="2" t="str">
        <x:v>https://human-settlement.emergency.copernicus.eu/ghs_buV2023.php</x:v>
      </x:c>
      <x:c r="S770" s="13" t="b">
        <x:v>0</x:v>
      </x:c>
      <x:c r="T770" s="13" t="b">
        <x:v>0</x:v>
      </x:c>
    </x:row>
    <x:row r="771" ht="23" customHeight="1">
      <x:c r="A771" s="2" t="str">
        <x:v>TUV</x:v>
      </x:c>
      <x:c r="B771" s="2" t="str">
        <x:v>Tuvalu</x:v>
      </x:c>
      <x:c r="C771" s="2" t="n">
        <x:v>2020</x:v>
      </x:c>
      <x:c r="D771" s="2" t="str">
        <x:v>GHSL_VOLUME</x:v>
      </x:c>
      <x:c r="E771" s="2" t="str">
        <x:v>volume</x:v>
      </x:c>
      <x:c r="F771" s="2" t="str">
        <x:v>m3</x:v>
      </x:c>
      <x:c r="G771" s="17" t="n">
        <x:v>45934.54</x:v>
      </x:c>
      <x:c r="H771" s="17" t="n">
        <x:v>71460.90980392156</x:v>
      </x:c>
      <x:c r="I771" s="17" t="str">
        <x:f>IF(AND(L771,ISNUMBER(G771),ISNUMBER(H771)),G771-H771,"n.a.")</x:f>
        <x:v>n.a.</x:v>
      </x:c>
      <x:c r="J771" s="15" t="str">
        <x:f>IF(AND(L771,ISNUMBER(G771),ISNUMBER(H771),H771&gt;0),(G771-H771)/H771,"n.a.")</x:f>
        <x:v>n.a.</x:v>
      </x:c>
      <x:c r="K771" s="19" t="str">
        <x:f>IF(ISNUMBER(J771),ABS(J771),"n.a.")</x:f>
        <x:v>n.a.</x:v>
      </x:c>
      <x:c r="L771" s="13" t="b">
        <x:v>0</x:v>
      </x:c>
      <x:c r="M771" s="13" t="b">
        <x:v>1</x:v>
      </x:c>
      <x:c r="N771" s="2" t="str">
        <x:v>source_support_or_logical_consistency_failed</x:v>
      </x:c>
      <x:c r="O771" s="2" t="str">
        <x:v>none</x:v>
      </x:c>
      <x:c r="P771" s="2" t="str">
        <x:v>modeled_epoch_volume_with_fixed2018_height_and_predominant_use</x:v>
      </x:c>
      <x:c r="Q771" s="2" t="str">
        <x:v>Only qualified source rows admitted; CAN/PAK/TUV/USA fail source checks; PSE unmapped in retained table</x:v>
      </x:c>
      <x:c r="R771" s="2" t="str">
        <x:v>https://human-settlement.emergency.copernicus.eu/ghs_buV2023.php</x:v>
      </x:c>
      <x:c r="S771" s="13" t="b">
        <x:v>0</x:v>
      </x:c>
      <x:c r="T771" s="13" t="b">
        <x:v>0</x:v>
      </x:c>
    </x:row>
    <x:row r="772" ht="23" customHeight="1">
      <x:c r="A772" s="2" t="str">
        <x:v>TZA</x:v>
      </x:c>
      <x:c r="B772" s="2" t="str">
        <x:v>Tanzania (United Republic of)</x:v>
      </x:c>
      <x:c r="C772" s="2" t="n">
        <x:v>2020</x:v>
      </x:c>
      <x:c r="D772" s="2" t="str">
        <x:v>GHSL_VOLUME</x:v>
      </x:c>
      <x:c r="E772" s="2" t="str">
        <x:v>volume</x:v>
      </x:c>
      <x:c r="F772" s="2" t="str">
        <x:v>m3</x:v>
      </x:c>
      <x:c r="G772" s="17" t="n">
        <x:v>2401211110.99</x:v>
      </x:c>
      <x:c r="H772" s="17" t="n">
        <x:v>14330506564.121569</x:v>
      </x:c>
      <x:c r="I772" s="17" t="n">
        <x:f>IF(AND(L772,ISNUMBER(G772),ISNUMBER(H772)),G772-H772,"n.a.")</x:f>
        <x:v>-11929295453.131569</x:v>
      </x:c>
      <x:c r="J772" s="15" t="n">
        <x:f>IF(AND(L772,ISNUMBER(G772),ISNUMBER(H772),H772&gt;0),(G772-H772)/H772,"n.a.")</x:f>
        <x:v>-0.8324405979477537</x:v>
      </x:c>
      <x:c r="K772" s="19" t="n">
        <x:f>IF(ISNUMBER(J772),ABS(J772),"n.a.")</x:f>
        <x:v>0.8324405979477537</x:v>
      </x:c>
      <x:c r="L772" s="13" t="b">
        <x:v>1</x:v>
      </x:c>
      <x:c r="M772" s="13" t="b">
        <x:v>1</x:v>
      </x:c>
      <x:c r="N772" s="2" t="str">
        <x:v>qualified_paired_native_source_frame</x:v>
      </x:c>
      <x:c r="O772" s="2" t="str">
        <x:v>none</x:v>
      </x:c>
      <x:c r="P772" s="2" t="str">
        <x:v>modeled_epoch_volume_with_fixed2018_height_and_predominant_use</x:v>
      </x:c>
      <x:c r="Q772" s="2" t="str">
        <x:v>Only qualified source rows admitted; CAN/PAK/TUV/USA fail source checks; PSE unmapped in retained table</x:v>
      </x:c>
      <x:c r="R772" s="2" t="str">
        <x:v>https://human-settlement.emergency.copernicus.eu/ghs_buV2023.php</x:v>
      </x:c>
      <x:c r="S772" s="13" t="b">
        <x:v>0</x:v>
      </x:c>
      <x:c r="T772" s="13" t="b">
        <x:v>0</x:v>
      </x:c>
    </x:row>
    <x:row r="773" ht="23" customHeight="1">
      <x:c r="A773" s="2" t="str">
        <x:v>UGA</x:v>
      </x:c>
      <x:c r="B773" s="2" t="str">
        <x:v>Uganda (Republic of)</x:v>
      </x:c>
      <x:c r="C773" s="2" t="n">
        <x:v>2020</x:v>
      </x:c>
      <x:c r="D773" s="2" t="str">
        <x:v>GHSL_VOLUME</x:v>
      </x:c>
      <x:c r="E773" s="2" t="str">
        <x:v>volume</x:v>
      </x:c>
      <x:c r="F773" s="2" t="str">
        <x:v>m3</x:v>
      </x:c>
      <x:c r="G773" s="17" t="n">
        <x:v>1457932649.66</x:v>
      </x:c>
      <x:c r="H773" s="17" t="n">
        <x:v>7961624052.580395</x:v>
      </x:c>
      <x:c r="I773" s="17" t="n">
        <x:f>IF(AND(L773,ISNUMBER(G773),ISNUMBER(H773)),G773-H773,"n.a.")</x:f>
        <x:v>-6503691402.920395</x:v>
      </x:c>
      <x:c r="J773" s="15" t="n">
        <x:f>IF(AND(L773,ISNUMBER(G773),ISNUMBER(H773),H773&gt;0),(G773-H773)/H773,"n.a.")</x:f>
        <x:v>-0.8168799933240407</x:v>
      </x:c>
      <x:c r="K773" s="19" t="n">
        <x:f>IF(ISNUMBER(J773),ABS(J773),"n.a.")</x:f>
        <x:v>0.8168799933240407</x:v>
      </x:c>
      <x:c r="L773" s="13" t="b">
        <x:v>1</x:v>
      </x:c>
      <x:c r="M773" s="13" t="b">
        <x:v>1</x:v>
      </x:c>
      <x:c r="N773" s="2" t="str">
        <x:v>qualified_paired_native_source_frame</x:v>
      </x:c>
      <x:c r="O773" s="2" t="str">
        <x:v>none</x:v>
      </x:c>
      <x:c r="P773" s="2" t="str">
        <x:v>modeled_epoch_volume_with_fixed2018_height_and_predominant_use</x:v>
      </x:c>
      <x:c r="Q773" s="2" t="str">
        <x:v>Only qualified source rows admitted; CAN/PAK/TUV/USA fail source checks; PSE unmapped in retained table</x:v>
      </x:c>
      <x:c r="R773" s="2" t="str">
        <x:v>https://human-settlement.emergency.copernicus.eu/ghs_buV2023.php</x:v>
      </x:c>
      <x:c r="S773" s="13" t="b">
        <x:v>0</x:v>
      </x:c>
      <x:c r="T773" s="13" t="b">
        <x:v>0</x:v>
      </x:c>
    </x:row>
    <x:row r="774" ht="23" customHeight="1">
      <x:c r="A774" s="2" t="str">
        <x:v>UKR</x:v>
      </x:c>
      <x:c r="B774" s="2" t="str">
        <x:v>Ukraine</x:v>
      </x:c>
      <x:c r="C774" s="2" t="n">
        <x:v>2020</x:v>
      </x:c>
      <x:c r="D774" s="2" t="str">
        <x:v>GHSL_VOLUME</x:v>
      </x:c>
      <x:c r="E774" s="2" t="str">
        <x:v>volume</x:v>
      </x:c>
      <x:c r="F774" s="2" t="str">
        <x:v>m3</x:v>
      </x:c>
      <x:c r="G774" s="17" t="n">
        <x:v>8032843898.35</x:v>
      </x:c>
      <x:c r="H774" s="17" t="n">
        <x:v>21935793705.47843</x:v>
      </x:c>
      <x:c r="I774" s="17" t="n">
        <x:f>IF(AND(L774,ISNUMBER(G774),ISNUMBER(H774)),G774-H774,"n.a.")</x:f>
        <x:v>-13902949807.128431</x:v>
      </x:c>
      <x:c r="J774" s="15" t="n">
        <x:f>IF(AND(L774,ISNUMBER(G774),ISNUMBER(H774),H774&gt;0),(G774-H774)/H774,"n.a.")</x:f>
        <x:v>-0.6338019947578277</x:v>
      </x:c>
      <x:c r="K774" s="19" t="n">
        <x:f>IF(ISNUMBER(J774),ABS(J774),"n.a.")</x:f>
        <x:v>0.6338019947578277</x:v>
      </x:c>
      <x:c r="L774" s="13" t="b">
        <x:v>1</x:v>
      </x:c>
      <x:c r="M774" s="13" t="b">
        <x:v>1</x:v>
      </x:c>
      <x:c r="N774" s="2" t="str">
        <x:v>qualified_paired_native_source_frame</x:v>
      </x:c>
      <x:c r="O774" s="2" t="str">
        <x:v>none</x:v>
      </x:c>
      <x:c r="P774" s="2" t="str">
        <x:v>modeled_epoch_volume_with_fixed2018_height_and_predominant_use</x:v>
      </x:c>
      <x:c r="Q774" s="2" t="str">
        <x:v>Only qualified source rows admitted; CAN/PAK/TUV/USA fail source checks; PSE unmapped in retained table</x:v>
      </x:c>
      <x:c r="R774" s="2" t="str">
        <x:v>https://human-settlement.emergency.copernicus.eu/ghs_buV2023.php</x:v>
      </x:c>
      <x:c r="S774" s="13" t="b">
        <x:v>0</x:v>
      </x:c>
      <x:c r="T774" s="13" t="b">
        <x:v>0</x:v>
      </x:c>
    </x:row>
    <x:row r="775" ht="23" customHeight="1">
      <x:c r="A775" s="2" t="str">
        <x:v>URY</x:v>
      </x:c>
      <x:c r="B775" s="2" t="str">
        <x:v>Uruguay (Oriental Republic of)</x:v>
      </x:c>
      <x:c r="C775" s="2" t="n">
        <x:v>2020</x:v>
      </x:c>
      <x:c r="D775" s="2" t="str">
        <x:v>GHSL_VOLUME</x:v>
      </x:c>
      <x:c r="E775" s="2" t="str">
        <x:v>volume</x:v>
      </x:c>
      <x:c r="F775" s="2" t="str">
        <x:v>m3</x:v>
      </x:c>
      <x:c r="G775" s="17" t="n">
        <x:v>584197986.37</x:v>
      </x:c>
      <x:c r="H775" s="17" t="n">
        <x:v>2195551911.1372547</x:v>
      </x:c>
      <x:c r="I775" s="17" t="n">
        <x:f>IF(AND(L775,ISNUMBER(G775),ISNUMBER(H775)),G775-H775,"n.a.")</x:f>
        <x:v>-1611353924.7672548</x:v>
      </x:c>
      <x:c r="J775" s="15" t="n">
        <x:f>IF(AND(L775,ISNUMBER(G775),ISNUMBER(H775),H775&gt;0),(G775-H775)/H775,"n.a.")</x:f>
        <x:v>-0.7339174795154826</x:v>
      </x:c>
      <x:c r="K775" s="19" t="n">
        <x:f>IF(ISNUMBER(J775),ABS(J775),"n.a.")</x:f>
        <x:v>0.7339174795154826</x:v>
      </x:c>
      <x:c r="L775" s="13" t="b">
        <x:v>1</x:v>
      </x:c>
      <x:c r="M775" s="13" t="b">
        <x:v>1</x:v>
      </x:c>
      <x:c r="N775" s="2" t="str">
        <x:v>qualified_paired_native_source_frame</x:v>
      </x:c>
      <x:c r="O775" s="2" t="str">
        <x:v>none</x:v>
      </x:c>
      <x:c r="P775" s="2" t="str">
        <x:v>modeled_epoch_volume_with_fixed2018_height_and_predominant_use</x:v>
      </x:c>
      <x:c r="Q775" s="2" t="str">
        <x:v>Only qualified source rows admitted; CAN/PAK/TUV/USA fail source checks; PSE unmapped in retained table</x:v>
      </x:c>
      <x:c r="R775" s="2" t="str">
        <x:v>https://human-settlement.emergency.copernicus.eu/ghs_buV2023.php</x:v>
      </x:c>
      <x:c r="S775" s="13" t="b">
        <x:v>0</x:v>
      </x:c>
      <x:c r="T775" s="13" t="b">
        <x:v>0</x:v>
      </x:c>
    </x:row>
    <x:row r="776" ht="23" customHeight="1">
      <x:c r="A776" s="2" t="str">
        <x:v>USA</x:v>
      </x:c>
      <x:c r="B776" s="2" t="str">
        <x:v>United States of America</x:v>
      </x:c>
      <x:c r="C776" s="2" t="n">
        <x:v>2020</x:v>
      </x:c>
      <x:c r="D776" s="2" t="str">
        <x:v>GHSL_VOLUME</x:v>
      </x:c>
      <x:c r="E776" s="2" t="str">
        <x:v>volume</x:v>
      </x:c>
      <x:c r="F776" s="2" t="str">
        <x:v>m3</x:v>
      </x:c>
      <x:c r="G776" s="17" t="n">
        <x:v>98610675090.34</x:v>
      </x:c>
      <x:c r="H776" s="17" t="n">
        <x:v>328431959761.06274</x:v>
      </x:c>
      <x:c r="I776" s="17" t="str">
        <x:f>IF(AND(L776,ISNUMBER(G776),ISNUMBER(H776)),G776-H776,"n.a.")</x:f>
        <x:v>n.a.</x:v>
      </x:c>
      <x:c r="J776" s="15" t="str">
        <x:f>IF(AND(L776,ISNUMBER(G776),ISNUMBER(H776),H776&gt;0),(G776-H776)/H776,"n.a.")</x:f>
        <x:v>n.a.</x:v>
      </x:c>
      <x:c r="K776" s="19" t="str">
        <x:f>IF(ISNUMBER(J776),ABS(J776),"n.a.")</x:f>
        <x:v>n.a.</x:v>
      </x:c>
      <x:c r="L776" s="13" t="b">
        <x:v>0</x:v>
      </x:c>
      <x:c r="M776" s="13" t="b">
        <x:v>1</x:v>
      </x:c>
      <x:c r="N776" s="2" t="str">
        <x:v>source_support_or_logical_consistency_failed</x:v>
      </x:c>
      <x:c r="O776" s="2" t="str">
        <x:v>none</x:v>
      </x:c>
      <x:c r="P776" s="2" t="str">
        <x:v>modeled_epoch_volume_with_fixed2018_height_and_predominant_use</x:v>
      </x:c>
      <x:c r="Q776" s="2" t="str">
        <x:v>Only qualified source rows admitted; CAN/PAK/TUV/USA fail source checks; PSE unmapped in retained table</x:v>
      </x:c>
      <x:c r="R776" s="2" t="str">
        <x:v>https://human-settlement.emergency.copernicus.eu/ghs_buV2023.php</x:v>
      </x:c>
      <x:c r="S776" s="13" t="b">
        <x:v>0</x:v>
      </x:c>
      <x:c r="T776" s="13" t="b">
        <x:v>0</x:v>
      </x:c>
    </x:row>
    <x:row r="777" ht="23" customHeight="1">
      <x:c r="A777" s="2" t="str">
        <x:v>UZB</x:v>
      </x:c>
      <x:c r="B777" s="2" t="str">
        <x:v>Uzbekistan (Republic of)</x:v>
      </x:c>
      <x:c r="C777" s="2" t="n">
        <x:v>2020</x:v>
      </x:c>
      <x:c r="D777" s="2" t="str">
        <x:v>GHSL_VOLUME</x:v>
      </x:c>
      <x:c r="E777" s="2" t="str">
        <x:v>volume</x:v>
      </x:c>
      <x:c r="F777" s="2" t="str">
        <x:v>m3</x:v>
      </x:c>
      <x:c r="G777" s="17" t="n">
        <x:v>5303920108.56</x:v>
      </x:c>
      <x:c r="H777" s="17" t="n">
        <x:v>19303676225.713726</x:v>
      </x:c>
      <x:c r="I777" s="17" t="n">
        <x:f>IF(AND(L777,ISNUMBER(G777),ISNUMBER(H777)),G777-H777,"n.a.")</x:f>
        <x:v>-13999756117.153725</x:v>
      </x:c>
      <x:c r="J777" s="15" t="n">
        <x:f>IF(AND(L777,ISNUMBER(G777),ISNUMBER(H777),H777&gt;0),(G777-H777)/H777,"n.a.")</x:f>
        <x:v>-0.7252378227575719</x:v>
      </x:c>
      <x:c r="K777" s="19" t="n">
        <x:f>IF(ISNUMBER(J777),ABS(J777),"n.a.")</x:f>
        <x:v>0.7252378227575719</x:v>
      </x:c>
      <x:c r="L777" s="13" t="b">
        <x:v>1</x:v>
      </x:c>
      <x:c r="M777" s="13" t="b">
        <x:v>1</x:v>
      </x:c>
      <x:c r="N777" s="2" t="str">
        <x:v>qualified_paired_native_source_frame</x:v>
      </x:c>
      <x:c r="O777" s="2" t="str">
        <x:v>none</x:v>
      </x:c>
      <x:c r="P777" s="2" t="str">
        <x:v>modeled_epoch_volume_with_fixed2018_height_and_predominant_use</x:v>
      </x:c>
      <x:c r="Q777" s="2" t="str">
        <x:v>Only qualified source rows admitted; CAN/PAK/TUV/USA fail source checks; PSE unmapped in retained table</x:v>
      </x:c>
      <x:c r="R777" s="2" t="str">
        <x:v>https://human-settlement.emergency.copernicus.eu/ghs_buV2023.php</x:v>
      </x:c>
      <x:c r="S777" s="13" t="b">
        <x:v>0</x:v>
      </x:c>
      <x:c r="T777" s="13" t="b">
        <x:v>0</x:v>
      </x:c>
    </x:row>
    <x:row r="778" ht="23" customHeight="1">
      <x:c r="A778" s="2" t="str">
        <x:v>VAT</x:v>
      </x:c>
      <x:c r="B778" s="2" t="str">
        <x:v>Holy See (State of the Vatican City)</x:v>
      </x:c>
      <x:c r="C778" s="2" t="n">
        <x:v>2020</x:v>
      </x:c>
      <x:c r="D778" s="2" t="str">
        <x:v>GHSL_VOLUME</x:v>
      </x:c>
      <x:c r="E778" s="2" t="str">
        <x:v>volume</x:v>
      </x:c>
      <x:c r="F778" s="2" t="str">
        <x:v>m3</x:v>
      </x:c>
      <x:c r="G778" s="17" t="n">
        <x:v>1169933.28</x:v>
      </x:c>
      <x:c r="H778" s="17" t="n">
        <x:v>2146743.878431373</x:v>
      </x:c>
      <x:c r="I778" s="17" t="n">
        <x:f>IF(AND(L778,ISNUMBER(G778),ISNUMBER(H778)),G778-H778,"n.a.")</x:f>
        <x:v>-976810.5984313728</x:v>
      </x:c>
      <x:c r="J778" s="15" t="n">
        <x:f>IF(AND(L778,ISNUMBER(G778),ISNUMBER(H778),H778&gt;0),(G778-H778)/H778,"n.a.")</x:f>
        <x:v>-0.45501962681506697</x:v>
      </x:c>
      <x:c r="K778" s="19" t="n">
        <x:f>IF(ISNUMBER(J778),ABS(J778),"n.a.")</x:f>
        <x:v>0.45501962681506697</x:v>
      </x:c>
      <x:c r="L778" s="13" t="b">
        <x:v>1</x:v>
      </x:c>
      <x:c r="M778" s="13" t="b">
        <x:v>1</x:v>
      </x:c>
      <x:c r="N778" s="2" t="str">
        <x:v>qualified_paired_native_source_frame</x:v>
      </x:c>
      <x:c r="O778" s="2" t="str">
        <x:v>none</x:v>
      </x:c>
      <x:c r="P778" s="2" t="str">
        <x:v>modeled_epoch_volume_with_fixed2018_height_and_predominant_use</x:v>
      </x:c>
      <x:c r="Q778" s="2" t="str">
        <x:v>Only qualified source rows admitted; CAN/PAK/TUV/USA fail source checks; PSE unmapped in retained table</x:v>
      </x:c>
      <x:c r="R778" s="2" t="str">
        <x:v>https://human-settlement.emergency.copernicus.eu/ghs_buV2023.php</x:v>
      </x:c>
      <x:c r="S778" s="13" t="b">
        <x:v>0</x:v>
      </x:c>
      <x:c r="T778" s="13" t="b">
        <x:v>0</x:v>
      </x:c>
    </x:row>
    <x:row r="779" ht="23" customHeight="1">
      <x:c r="A779" s="2" t="str">
        <x:v>VCT</x:v>
      </x:c>
      <x:c r="B779" s="2" t="str">
        <x:v>Saint Vincent and the Grenadines</x:v>
      </x:c>
      <x:c r="C779" s="2" t="n">
        <x:v>2020</x:v>
      </x:c>
      <x:c r="D779" s="2" t="str">
        <x:v>GHSL_VOLUME</x:v>
      </x:c>
      <x:c r="E779" s="2" t="str">
        <x:v>volume</x:v>
      </x:c>
      <x:c r="F779" s="2" t="str">
        <x:v>m3</x:v>
      </x:c>
      <x:c r="G779" s="17" t="n">
        <x:v>14313847.75</x:v>
      </x:c>
      <x:c r="H779" s="17" t="n">
        <x:v>51878321.83137253</x:v>
      </x:c>
      <x:c r="I779" s="17" t="n">
        <x:f>IF(AND(L779,ISNUMBER(G779),ISNUMBER(H779)),G779-H779,"n.a.")</x:f>
        <x:v>-37564474.08137253</x:v>
      </x:c>
      <x:c r="J779" s="15" t="n">
        <x:f>IF(AND(L779,ISNUMBER(G779),ISNUMBER(H779),H779&gt;0),(G779-H779)/H779,"n.a.")</x:f>
        <x:v>-0.7240880729232851</x:v>
      </x:c>
      <x:c r="K779" s="19" t="n">
        <x:f>IF(ISNUMBER(J779),ABS(J779),"n.a.")</x:f>
        <x:v>0.7240880729232851</x:v>
      </x:c>
      <x:c r="L779" s="13" t="b">
        <x:v>1</x:v>
      </x:c>
      <x:c r="M779" s="13" t="b">
        <x:v>1</x:v>
      </x:c>
      <x:c r="N779" s="2" t="str">
        <x:v>qualified_paired_native_source_frame</x:v>
      </x:c>
      <x:c r="O779" s="2" t="str">
        <x:v>none</x:v>
      </x:c>
      <x:c r="P779" s="2" t="str">
        <x:v>modeled_epoch_volume_with_fixed2018_height_and_predominant_use</x:v>
      </x:c>
      <x:c r="Q779" s="2" t="str">
        <x:v>Only qualified source rows admitted; CAN/PAK/TUV/USA fail source checks; PSE unmapped in retained table</x:v>
      </x:c>
      <x:c r="R779" s="2" t="str">
        <x:v>https://human-settlement.emergency.copernicus.eu/ghs_buV2023.php</x:v>
      </x:c>
      <x:c r="S779" s="13" t="b">
        <x:v>0</x:v>
      </x:c>
      <x:c r="T779" s="13" t="b">
        <x:v>0</x:v>
      </x:c>
    </x:row>
    <x:row r="780" ht="23" customHeight="1">
      <x:c r="A780" s="2" t="str">
        <x:v>VEN</x:v>
      </x:c>
      <x:c r="B780" s="2" t="str">
        <x:v>Venezuela (Bolivarian Republic of)</x:v>
      </x:c>
      <x:c r="C780" s="2" t="n">
        <x:v>2020</x:v>
      </x:c>
      <x:c r="D780" s="2" t="str">
        <x:v>GHSL_VOLUME</x:v>
      </x:c>
      <x:c r="E780" s="2" t="str">
        <x:v>volume</x:v>
      </x:c>
      <x:c r="F780" s="2" t="str">
        <x:v>m3</x:v>
      </x:c>
      <x:c r="G780" s="17" t="n">
        <x:v>3248249123.14</x:v>
      </x:c>
      <x:c r="H780" s="17" t="n">
        <x:v>10470250451.4549</x:v>
      </x:c>
      <x:c r="I780" s="17" t="n">
        <x:f>IF(AND(L780,ISNUMBER(G780),ISNUMBER(H780)),G780-H780,"n.a.")</x:f>
        <x:v>-7222001328.314901</x:v>
      </x:c>
      <x:c r="J780" s="15" t="n">
        <x:f>IF(AND(L780,ISNUMBER(G780),ISNUMBER(H780),H780&gt;0),(G780-H780)/H780,"n.a.")</x:f>
        <x:v>-0.6897639518557422</x:v>
      </x:c>
      <x:c r="K780" s="19" t="n">
        <x:f>IF(ISNUMBER(J780),ABS(J780),"n.a.")</x:f>
        <x:v>0.6897639518557422</x:v>
      </x:c>
      <x:c r="L780" s="13" t="b">
        <x:v>1</x:v>
      </x:c>
      <x:c r="M780" s="13" t="b">
        <x:v>1</x:v>
      </x:c>
      <x:c r="N780" s="2" t="str">
        <x:v>qualified_paired_native_source_frame</x:v>
      </x:c>
      <x:c r="O780" s="2" t="str">
        <x:v>none</x:v>
      </x:c>
      <x:c r="P780" s="2" t="str">
        <x:v>modeled_epoch_volume_with_fixed2018_height_and_predominant_use</x:v>
      </x:c>
      <x:c r="Q780" s="2" t="str">
        <x:v>Only qualified source rows admitted; CAN/PAK/TUV/USA fail source checks; PSE unmapped in retained table</x:v>
      </x:c>
      <x:c r="R780" s="2" t="str">
        <x:v>https://human-settlement.emergency.copernicus.eu/ghs_buV2023.php</x:v>
      </x:c>
      <x:c r="S780" s="13" t="b">
        <x:v>0</x:v>
      </x:c>
      <x:c r="T780" s="13" t="b">
        <x:v>0</x:v>
      </x:c>
    </x:row>
    <x:row r="781" ht="23" customHeight="1">
      <x:c r="A781" s="2" t="str">
        <x:v>VNM</x:v>
      </x:c>
      <x:c r="B781" s="2" t="str">
        <x:v>Viet Nam (Socialist Republic of)</x:v>
      </x:c>
      <x:c r="C781" s="2" t="n">
        <x:v>2020</x:v>
      </x:c>
      <x:c r="D781" s="2" t="str">
        <x:v>GHSL_VOLUME</x:v>
      </x:c>
      <x:c r="E781" s="2" t="str">
        <x:v>volume</x:v>
      </x:c>
      <x:c r="F781" s="2" t="str">
        <x:v>m3</x:v>
      </x:c>
      <x:c r="G781" s="17" t="n">
        <x:v>14490175973.06</x:v>
      </x:c>
      <x:c r="H781" s="17" t="n">
        <x:v>22045374036.254898</x:v>
      </x:c>
      <x:c r="I781" s="17" t="n">
        <x:f>IF(AND(L781,ISNUMBER(G781),ISNUMBER(H781)),G781-H781,"n.a.")</x:f>
        <x:v>-7555198063.194899</x:v>
      </x:c>
      <x:c r="J781" s="15" t="n">
        <x:f>IF(AND(L781,ISNUMBER(G781),ISNUMBER(H781),H781&gt;0),(G781-H781)/H781,"n.a.")</x:f>
        <x:v>-0.34271126680681113</x:v>
      </x:c>
      <x:c r="K781" s="19" t="n">
        <x:f>IF(ISNUMBER(J781),ABS(J781),"n.a.")</x:f>
        <x:v>0.34271126680681113</x:v>
      </x:c>
      <x:c r="L781" s="13" t="b">
        <x:v>1</x:v>
      </x:c>
      <x:c r="M781" s="13" t="b">
        <x:v>1</x:v>
      </x:c>
      <x:c r="N781" s="2" t="str">
        <x:v>qualified_paired_native_source_frame</x:v>
      </x:c>
      <x:c r="O781" s="2" t="str">
        <x:v>none</x:v>
      </x:c>
      <x:c r="P781" s="2" t="str">
        <x:v>modeled_epoch_volume_with_fixed2018_height_and_predominant_use</x:v>
      </x:c>
      <x:c r="Q781" s="2" t="str">
        <x:v>Only qualified source rows admitted; CAN/PAK/TUV/USA fail source checks; PSE unmapped in retained table</x:v>
      </x:c>
      <x:c r="R781" s="2" t="str">
        <x:v>https://human-settlement.emergency.copernicus.eu/ghs_buV2023.php</x:v>
      </x:c>
      <x:c r="S781" s="13" t="b">
        <x:v>0</x:v>
      </x:c>
      <x:c r="T781" s="13" t="b">
        <x:v>0</x:v>
      </x:c>
    </x:row>
    <x:row r="782" ht="23" customHeight="1">
      <x:c r="A782" s="2" t="str">
        <x:v>VUT</x:v>
      </x:c>
      <x:c r="B782" s="2" t="str">
        <x:v>Vanuatu (Republic of)</x:v>
      </x:c>
      <x:c r="C782" s="2" t="n">
        <x:v>2020</x:v>
      </x:c>
      <x:c r="D782" s="2" t="str">
        <x:v>GHSL_VOLUME</x:v>
      </x:c>
      <x:c r="E782" s="2" t="str">
        <x:v>volume</x:v>
      </x:c>
      <x:c r="F782" s="2" t="str">
        <x:v>m3</x:v>
      </x:c>
      <x:c r="G782" s="17" t="n">
        <x:v>16288659.46</x:v>
      </x:c>
      <x:c r="H782" s="17" t="n">
        <x:v>47115855.02352942</x:v>
      </x:c>
      <x:c r="I782" s="17" t="n">
        <x:f>IF(AND(L782,ISNUMBER(G782),ISNUMBER(H782)),G782-H782,"n.a.")</x:f>
        <x:v>-30827195.563529417</x:v>
      </x:c>
      <x:c r="J782" s="15" t="n">
        <x:f>IF(AND(L782,ISNUMBER(G782),ISNUMBER(H782),H782&gt;0),(G782-H782)/H782,"n.a.")</x:f>
        <x:v>-0.6542849651807119</x:v>
      </x:c>
      <x:c r="K782" s="19" t="n">
        <x:f>IF(ISNUMBER(J782),ABS(J782),"n.a.")</x:f>
        <x:v>0.6542849651807119</x:v>
      </x:c>
      <x:c r="L782" s="13" t="b">
        <x:v>1</x:v>
      </x:c>
      <x:c r="M782" s="13" t="b">
        <x:v>1</x:v>
      </x:c>
      <x:c r="N782" s="2" t="str">
        <x:v>qualified_paired_native_source_frame</x:v>
      </x:c>
      <x:c r="O782" s="2" t="str">
        <x:v>none</x:v>
      </x:c>
      <x:c r="P782" s="2" t="str">
        <x:v>modeled_epoch_volume_with_fixed2018_height_and_predominant_use</x:v>
      </x:c>
      <x:c r="Q782" s="2" t="str">
        <x:v>Only qualified source rows admitted; CAN/PAK/TUV/USA fail source checks; PSE unmapped in retained table</x:v>
      </x:c>
      <x:c r="R782" s="2" t="str">
        <x:v>https://human-settlement.emergency.copernicus.eu/ghs_buV2023.php</x:v>
      </x:c>
      <x:c r="S782" s="13" t="b">
        <x:v>0</x:v>
      </x:c>
      <x:c r="T782" s="13" t="b">
        <x:v>0</x:v>
      </x:c>
    </x:row>
    <x:row r="783" ht="23" customHeight="1">
      <x:c r="A783" s="2" t="str">
        <x:v>WSM</x:v>
      </x:c>
      <x:c r="B783" s="2" t="str">
        <x:v>Samoa (Independent State of)</x:v>
      </x:c>
      <x:c r="C783" s="2" t="n">
        <x:v>2020</x:v>
      </x:c>
      <x:c r="D783" s="2" t="str">
        <x:v>GHSL_VOLUME</x:v>
      </x:c>
      <x:c r="E783" s="2" t="str">
        <x:v>volume</x:v>
      </x:c>
      <x:c r="F783" s="2" t="str">
        <x:v>m3</x:v>
      </x:c>
      <x:c r="G783" s="17" t="n">
        <x:v>18082688.33</x:v>
      </x:c>
      <x:c r="H783" s="17" t="n">
        <x:v>42099494.21568628</x:v>
      </x:c>
      <x:c r="I783" s="17" t="n">
        <x:f>IF(AND(L783,ISNUMBER(G783),ISNUMBER(H783)),G783-H783,"n.a.")</x:f>
        <x:v>-24016805.88568628</x:v>
      </x:c>
      <x:c r="J783" s="15" t="n">
        <x:f>IF(AND(L783,ISNUMBER(G783),ISNUMBER(H783),H783&gt;0),(G783-H783)/H783,"n.a.")</x:f>
        <x:v>-0.5704773022365103</x:v>
      </x:c>
      <x:c r="K783" s="19" t="n">
        <x:f>IF(ISNUMBER(J783),ABS(J783),"n.a.")</x:f>
        <x:v>0.5704773022365103</x:v>
      </x:c>
      <x:c r="L783" s="13" t="b">
        <x:v>1</x:v>
      </x:c>
      <x:c r="M783" s="13" t="b">
        <x:v>1</x:v>
      </x:c>
      <x:c r="N783" s="2" t="str">
        <x:v>qualified_paired_native_source_frame</x:v>
      </x:c>
      <x:c r="O783" s="2" t="str">
        <x:v>none</x:v>
      </x:c>
      <x:c r="P783" s="2" t="str">
        <x:v>modeled_epoch_volume_with_fixed2018_height_and_predominant_use</x:v>
      </x:c>
      <x:c r="Q783" s="2" t="str">
        <x:v>Only qualified source rows admitted; CAN/PAK/TUV/USA fail source checks; PSE unmapped in retained table</x:v>
      </x:c>
      <x:c r="R783" s="2" t="str">
        <x:v>https://human-settlement.emergency.copernicus.eu/ghs_buV2023.php</x:v>
      </x:c>
      <x:c r="S783" s="13" t="b">
        <x:v>0</x:v>
      </x:c>
      <x:c r="T783" s="13" t="b">
        <x:v>0</x:v>
      </x:c>
    </x:row>
    <x:row r="784" ht="23" customHeight="1">
      <x:c r="A784" s="2" t="str">
        <x:v>YEM</x:v>
      </x:c>
      <x:c r="B784" s="2" t="str">
        <x:v>Yemen (Republic of)</x:v>
      </x:c>
      <x:c r="C784" s="2" t="n">
        <x:v>2020</x:v>
      </x:c>
      <x:c r="D784" s="2" t="str">
        <x:v>GHSL_VOLUME</x:v>
      </x:c>
      <x:c r="E784" s="2" t="str">
        <x:v>volume</x:v>
      </x:c>
      <x:c r="F784" s="2" t="str">
        <x:v>m3</x:v>
      </x:c>
      <x:c r="G784" s="17" t="n">
        <x:v>1080524379.68</x:v>
      </x:c>
      <x:c r="H784" s="17" t="n">
        <x:v>1512402913.4745097</x:v>
      </x:c>
      <x:c r="I784" s="17" t="n">
        <x:f>IF(AND(L784,ISNUMBER(G784),ISNUMBER(H784)),G784-H784,"n.a.")</x:f>
        <x:v>-431878533.79450965</x:v>
      </x:c>
      <x:c r="J784" s="15" t="n">
        <x:f>IF(AND(L784,ISNUMBER(G784),ISNUMBER(H784),H784&gt;0),(G784-H784)/H784,"n.a.")</x:f>
        <x:v>-0.28555785627411684</x:v>
      </x:c>
      <x:c r="K784" s="19" t="n">
        <x:f>IF(ISNUMBER(J784),ABS(J784),"n.a.")</x:f>
        <x:v>0.28555785627411684</x:v>
      </x:c>
      <x:c r="L784" s="13" t="b">
        <x:v>1</x:v>
      </x:c>
      <x:c r="M784" s="13" t="b">
        <x:v>1</x:v>
      </x:c>
      <x:c r="N784" s="2" t="str">
        <x:v>qualified_paired_native_source_frame</x:v>
      </x:c>
      <x:c r="O784" s="2" t="str">
        <x:v>none</x:v>
      </x:c>
      <x:c r="P784" s="2" t="str">
        <x:v>modeled_epoch_volume_with_fixed2018_height_and_predominant_use</x:v>
      </x:c>
      <x:c r="Q784" s="2" t="str">
        <x:v>Only qualified source rows admitted; CAN/PAK/TUV/USA fail source checks; PSE unmapped in retained table</x:v>
      </x:c>
      <x:c r="R784" s="2" t="str">
        <x:v>https://human-settlement.emergency.copernicus.eu/ghs_buV2023.php</x:v>
      </x:c>
      <x:c r="S784" s="13" t="b">
        <x:v>0</x:v>
      </x:c>
      <x:c r="T784" s="13" t="b">
        <x:v>0</x:v>
      </x:c>
    </x:row>
    <x:row r="785" ht="23" customHeight="1">
      <x:c r="A785" s="2" t="str">
        <x:v>ZAF</x:v>
      </x:c>
      <x:c r="B785" s="2" t="str">
        <x:v>South Africa (Republic of)</x:v>
      </x:c>
      <x:c r="C785" s="2" t="n">
        <x:v>2020</x:v>
      </x:c>
      <x:c r="D785" s="2" t="str">
        <x:v>GHSL_VOLUME</x:v>
      </x:c>
      <x:c r="E785" s="2" t="str">
        <x:v>volume</x:v>
      </x:c>
      <x:c r="F785" s="2" t="str">
        <x:v>m3</x:v>
      </x:c>
      <x:c r="G785" s="17" t="n">
        <x:v>7002529150.44</x:v>
      </x:c>
      <x:c r="H785" s="17" t="n">
        <x:v>31719061610.768627</x:v>
      </x:c>
      <x:c r="I785" s="17" t="n">
        <x:f>IF(AND(L785,ISNUMBER(G785),ISNUMBER(H785)),G785-H785,"n.a.")</x:f>
        <x:v>-24716532460.32863</x:v>
      </x:c>
      <x:c r="J785" s="15" t="n">
        <x:f>IF(AND(L785,ISNUMBER(G785),ISNUMBER(H785),H785&gt;0),(G785-H785)/H785,"n.a.")</x:f>
        <x:v>-0.7792327769222959</x:v>
      </x:c>
      <x:c r="K785" s="19" t="n">
        <x:f>IF(ISNUMBER(J785),ABS(J785),"n.a.")</x:f>
        <x:v>0.7792327769222959</x:v>
      </x:c>
      <x:c r="L785" s="13" t="b">
        <x:v>1</x:v>
      </x:c>
      <x:c r="M785" s="13" t="b">
        <x:v>1</x:v>
      </x:c>
      <x:c r="N785" s="2" t="str">
        <x:v>qualified_paired_native_source_frame</x:v>
      </x:c>
      <x:c r="O785" s="2" t="str">
        <x:v>none</x:v>
      </x:c>
      <x:c r="P785" s="2" t="str">
        <x:v>modeled_epoch_volume_with_fixed2018_height_and_predominant_use</x:v>
      </x:c>
      <x:c r="Q785" s="2" t="str">
        <x:v>Only qualified source rows admitted; CAN/PAK/TUV/USA fail source checks; PSE unmapped in retained table</x:v>
      </x:c>
      <x:c r="R785" s="2" t="str">
        <x:v>https://human-settlement.emergency.copernicus.eu/ghs_buV2023.php</x:v>
      </x:c>
      <x:c r="S785" s="13" t="b">
        <x:v>0</x:v>
      </x:c>
      <x:c r="T785" s="13" t="b">
        <x:v>0</x:v>
      </x:c>
    </x:row>
    <x:row r="786" ht="23" customHeight="1">
      <x:c r="A786" s="2" t="str">
        <x:v>ZMB</x:v>
      </x:c>
      <x:c r="B786" s="2" t="str">
        <x:v>Zambia (Republic of)</x:v>
      </x:c>
      <x:c r="C786" s="2" t="n">
        <x:v>2020</x:v>
      </x:c>
      <x:c r="D786" s="2" t="str">
        <x:v>GHSL_VOLUME</x:v>
      </x:c>
      <x:c r="E786" s="2" t="str">
        <x:v>volume</x:v>
      </x:c>
      <x:c r="F786" s="2" t="str">
        <x:v>m3</x:v>
      </x:c>
      <x:c r="G786" s="17" t="n">
        <x:v>817672593.02</x:v>
      </x:c>
      <x:c r="H786" s="17" t="n">
        <x:v>5051943890.513725</x:v>
      </x:c>
      <x:c r="I786" s="17" t="n">
        <x:f>IF(AND(L786,ISNUMBER(G786),ISNUMBER(H786)),G786-H786,"n.a.")</x:f>
        <x:v>-4234271297.4937253</x:v>
      </x:c>
      <x:c r="J786" s="15" t="n">
        <x:f>IF(AND(L786,ISNUMBER(G786),ISNUMBER(H786),H786&gt;0),(G786-H786)/H786,"n.a.")</x:f>
        <x:v>-0.8381469369532424</x:v>
      </x:c>
      <x:c r="K786" s="19" t="n">
        <x:f>IF(ISNUMBER(J786),ABS(J786),"n.a.")</x:f>
        <x:v>0.8381469369532424</x:v>
      </x:c>
      <x:c r="L786" s="13" t="b">
        <x:v>1</x:v>
      </x:c>
      <x:c r="M786" s="13" t="b">
        <x:v>1</x:v>
      </x:c>
      <x:c r="N786" s="2" t="str">
        <x:v>qualified_paired_native_source_frame</x:v>
      </x:c>
      <x:c r="O786" s="2" t="str">
        <x:v>none</x:v>
      </x:c>
      <x:c r="P786" s="2" t="str">
        <x:v>modeled_epoch_volume_with_fixed2018_height_and_predominant_use</x:v>
      </x:c>
      <x:c r="Q786" s="2" t="str">
        <x:v>Only qualified source rows admitted; CAN/PAK/TUV/USA fail source checks; PSE unmapped in retained table</x:v>
      </x:c>
      <x:c r="R786" s="2" t="str">
        <x:v>https://human-settlement.emergency.copernicus.eu/ghs_buV2023.php</x:v>
      </x:c>
      <x:c r="S786" s="13" t="b">
        <x:v>0</x:v>
      </x:c>
      <x:c r="T786" s="13" t="b">
        <x:v>0</x:v>
      </x:c>
    </x:row>
    <x:row r="787" ht="23" customHeight="1">
      <x:c r="A787" s="2" t="str">
        <x:v>ZWE</x:v>
      </x:c>
      <x:c r="B787" s="2" t="str">
        <x:v>Zimbabwe (Republic of)</x:v>
      </x:c>
      <x:c r="C787" s="2" t="n">
        <x:v>2020</x:v>
      </x:c>
      <x:c r="D787" s="2" t="str">
        <x:v>GHSL_VOLUME</x:v>
      </x:c>
      <x:c r="E787" s="2" t="str">
        <x:v>volume</x:v>
      </x:c>
      <x:c r="F787" s="2" t="str">
        <x:v>m3</x:v>
      </x:c>
      <x:c r="G787" s="17" t="n">
        <x:v>773528571.44</x:v>
      </x:c>
      <x:c r="H787" s="17" t="n">
        <x:v>4223310742.5254903</x:v>
      </x:c>
      <x:c r="I787" s="17" t="n">
        <x:f>IF(AND(L787,ISNUMBER(G787),ISNUMBER(H787)),G787-H787,"n.a.")</x:f>
        <x:v>-3449782171.08549</x:v>
      </x:c>
      <x:c r="J787" s="15" t="n">
        <x:f>IF(AND(L787,ISNUMBER(G787),ISNUMBER(H787),H787&gt;0),(G787-H787)/H787,"n.a.")</x:f>
        <x:v>-0.8168430838746573</x:v>
      </x:c>
      <x:c r="K787" s="19" t="n">
        <x:f>IF(ISNUMBER(J787),ABS(J787),"n.a.")</x:f>
        <x:v>0.8168430838746573</x:v>
      </x:c>
      <x:c r="L787" s="13" t="b">
        <x:v>1</x:v>
      </x:c>
      <x:c r="M787" s="13" t="b">
        <x:v>1</x:v>
      </x:c>
      <x:c r="N787" s="2" t="str">
        <x:v>qualified_paired_native_source_frame</x:v>
      </x:c>
      <x:c r="O787" s="2" t="str">
        <x:v>none</x:v>
      </x:c>
      <x:c r="P787" s="2" t="str">
        <x:v>modeled_epoch_volume_with_fixed2018_height_and_predominant_use</x:v>
      </x:c>
      <x:c r="Q787" s="2" t="str">
        <x:v>Only qualified source rows admitted; CAN/PAK/TUV/USA fail source checks; PSE unmapped in retained table</x:v>
      </x:c>
      <x:c r="R787" s="2" t="str">
        <x:v>https://human-settlement.emergency.copernicus.eu/ghs_buV2023.php</x:v>
      </x:c>
      <x:c r="S787" s="13" t="b">
        <x:v>0</x:v>
      </x:c>
      <x:c r="T787" s="1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8cdd54f48f4d6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9" hidden="0" customWidth="1"/>
    <x:col min="2" max="2" width="29" hidden="0" customWidth="1"/>
    <x:col min="3" max="3" width="24" hidden="0" customWidth="1"/>
    <x:col min="4" max="4" width="12" hidden="0" customWidth="1"/>
    <x:col min="5" max="5" width="12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7" hidden="0" customWidth="1"/>
    <x:col min="15" max="15" width="17" hidden="0" customWidth="1"/>
    <x:col min="16" max="16" width="17" hidden="0" customWidth="1"/>
    <x:col min="17" max="17" width="95" hidden="0" customWidth="1"/>
    <x:col min="18" max="18" width="95" hidden="0" customWidth="1"/>
    <x:col min="19" max="19" width="95" hidden="0" customWidth="1"/>
    <x:col min="20" max="20" width="95" hidden="0" customWidth="1"/>
    <x:col min="21" max="21" width="95" hidden="0" customWidth="1"/>
    <x:col min="22" max="22" width="95" hidden="0" customWidth="1"/>
    <x:col min="23" max="23" width="9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3" customHeight="1">
      <x:c r="A2" s="3" t="str">
        <x:v>Cumulative change differences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23" customHeight="1">
      <x:c r="A4" s="5" t="str">
        <x:v>Growth gap = model growth minus source growth, in percentage points. Equality assumes a constant conversion from the native quantity to GFA.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 ht="44" customHeight="1">
      <x:c r="A7" s="10" t="str">
        <x:v>ISO</x:v>
      </x:c>
      <x:c r="B7" s="11" t="str">
        <x:v>Country</x:v>
      </x:c>
      <x:c r="C7" s="11" t="str">
        <x:v>Dataset</x:v>
      </x:c>
      <x:c r="D7" s="11" t="str">
        <x:v>Start year</x:v>
      </x:c>
      <x:c r="E7" s="11" t="str">
        <x:v>End year</x:v>
      </x:c>
      <x:c r="F7" s="11" t="str">
        <x:v>Model start GFA (m²)</x:v>
      </x:c>
      <x:c r="G7" s="11" t="str">
        <x:v>Model end GFA (m²)</x:v>
      </x:c>
      <x:c r="H7" s="11" t="str">
        <x:v>Source start value</x:v>
      </x:c>
      <x:c r="I7" s="11" t="str">
        <x:v>Source end value</x:v>
      </x:c>
      <x:c r="J7" s="11" t="str">
        <x:v>Source native units</x:v>
      </x:c>
      <x:c r="K7" s="11" t="str">
        <x:v>Model growth (%)</x:v>
      </x:c>
      <x:c r="L7" s="11" t="str">
        <x:v>Source growth (%)</x:v>
      </x:c>
      <x:c r="M7" s="11" t="str">
        <x:v>Growth gap (pp)</x:v>
      </x:c>
      <x:c r="N7" s="11" t="str">
        <x:v>Available</x:v>
      </x:c>
      <x:c r="O7" s="11" t="str">
        <x:v>Core 194</x:v>
      </x:c>
      <x:c r="P7" s="11" t="str">
        <x:v>PSE supplement</x:v>
      </x:c>
      <x:c r="Q7" s="11" t="str">
        <x:v>Source start quality</x:v>
      </x:c>
      <x:c r="R7" s="11" t="str">
        <x:v>Source end quality</x:v>
      </x:c>
      <x:c r="S7" s="11" t="str">
        <x:v>Source start role</x:v>
      </x:c>
      <x:c r="T7" s="11" t="str">
        <x:v>Source end role</x:v>
      </x:c>
      <x:c r="U7" s="11" t="str">
        <x:v>Interpretation</x:v>
      </x:c>
      <x:c r="V7" s="11" t="str">
        <x:v>Shared lineage</x:v>
      </x:c>
      <x:c r="W7" s="12" t="str">
        <x:v>Source URL</x:v>
      </x:c>
    </x:row>
    <x:row r="8" ht="23" customHeight="1">
      <x:c r="A8" s="2" t="str">
        <x:v>AFG</x:v>
      </x:c>
      <x:c r="B8" s="2" t="str">
        <x:v>Afghanistan (Islamic Republic of)</x:v>
      </x:c>
      <x:c r="C8" s="2" t="str">
        <x:v>TEMPO_PROXY</x:v>
      </x:c>
      <x:c r="D8" s="2" t="n">
        <x:v>2020</x:v>
      </x:c>
      <x:c r="E8" s="2" t="n">
        <x:v>2023</x:v>
      </x:c>
      <x:c r="F8" s="17" t="n">
        <x:v>853208432.4500008</x:v>
      </x:c>
      <x:c r="G8" s="17" t="n">
        <x:v>996044473.5381728</x:v>
      </x:c>
      <x:c r="H8" s="17" t="n">
        <x:v>853208432.4500008</x:v>
      </x:c>
      <x:c r="I8" s="17" t="n">
        <x:v>904786946.28</x:v>
      </x:c>
      <x:c r="J8" s="2" t="str">
        <x:v>m2</x:v>
      </x:c>
      <x:c r="K8" s="15" t="n">
        <x:f>IF(AND(ISNUMBER(F8),ISNUMBER(G8),F8&gt;0),G8/F8-1,"n.a.")</x:f>
        <x:v>0.16741048922596358</x:v>
      </x:c>
      <x:c r="L8" s="15" t="n">
        <x:f>IF(AND(N8,ISNUMBER(H8),ISNUMBER(I8),H8&gt;0),I8/H8-1,"n.a.")</x:f>
        <x:v>0.06045241920768496</x:v>
      </x:c>
      <x:c r="M8" s="20" t="n">
        <x:f>IF(AND(ISNUMBER(K8),ISNUMBER(L8)),100*(K8-L8),"n.a.")</x:f>
        <x:v>10.695807001827863</x:v>
      </x:c>
      <x:c r="N8" s="13" t="b">
        <x:v>1</x:v>
      </x:c>
      <x:c r="O8" s="13" t="b">
        <x:v>1</x:v>
      </x:c>
      <x:c r="P8" s="13" t="b">
        <x:v>0</x:v>
      </x:c>
      <x:c r="Q8" s="2" t="str">
        <x:v>legacy_epoch_source_QA_passed; new_common_native_support_not_certified</x:v>
      </x:c>
      <x:c r="R8" s="2" t="str">
        <x:v>legacy_epoch_source_QA_passed; new_common_native_support_not_certified</x:v>
      </x:c>
      <x:c r="S8" s="2" t="str">
        <x:v>inherited2020anchor</x:v>
      </x:c>
      <x:c r="T8" s="2" t="str">
        <x:v>unused2023converted-source comparator</x:v>
      </x:c>
      <x:c r="U8" s="2" t="str">
        <x:v>GFA growth versus source physical quantity growth; constant conversion required for equality</x:v>
      </x:c>
      <x:c r="V8" s="2" t="str">
        <x:v>2020 level is the model anchor; 2023 comparator unused by v16 fit but shares conversion/upstream lineage</x:v>
      </x:c>
      <x:c r="W8" s="2" t="str">
        <x:v>https://arxiv.org/abs/2511.12104</x:v>
      </x:c>
    </x:row>
    <x:row r="9" ht="23" customHeight="1">
      <x:c r="A9" s="2" t="str">
        <x:v>AGO</x:v>
      </x:c>
      <x:c r="B9" s="2" t="str">
        <x:v>Angola (Republic of)</x:v>
      </x:c>
      <x:c r="C9" s="2" t="str">
        <x:v>TEMPO_PROXY</x:v>
      </x:c>
      <x:c r="D9" s="2" t="n">
        <x:v>2020</x:v>
      </x:c>
      <x:c r="E9" s="2" t="n">
        <x:v>2023</x:v>
      </x:c>
      <x:c r="F9" s="17" t="n">
        <x:v>512504617.85999936</x:v>
      </x:c>
      <x:c r="G9" s="17" t="n">
        <x:v>577098188.7830937</x:v>
      </x:c>
      <x:c r="H9" s="17" t="n">
        <x:v>512504617.85999936</x:v>
      </x:c>
      <x:c r="I9" s="17" t="n">
        <x:v>515655178.64</x:v>
      </x:c>
      <x:c r="J9" s="2" t="str">
        <x:v>m2</x:v>
      </x:c>
      <x:c r="K9" s="15" t="n">
        <x:f>IF(AND(ISNUMBER(F9),ISNUMBER(G9),F9&gt;0),G9/F9-1,"n.a.")</x:f>
        <x:v>0.12603510031345566</x:v>
      </x:c>
      <x:c r="L9" s="15" t="n">
        <x:f>IF(AND(N9,ISNUMBER(H9),ISNUMBER(I9),H9&gt;0),I9/H9-1,"n.a.")</x:f>
        <x:v>0.006147380277578884</x:v>
      </x:c>
      <x:c r="M9" s="20" t="n">
        <x:f>IF(AND(ISNUMBER(K9),ISNUMBER(L9)),100*(K9-L9),"n.a.")</x:f>
        <x:v>11.988772003587677</x:v>
      </x:c>
      <x:c r="N9" s="13" t="b">
        <x:v>1</x:v>
      </x:c>
      <x:c r="O9" s="13" t="b">
        <x:v>1</x:v>
      </x:c>
      <x:c r="P9" s="13" t="b">
        <x:v>0</x:v>
      </x:c>
      <x:c r="Q9" s="2" t="str">
        <x:v>legacy_epoch_source_QA_passed; new_common_native_support_not_certified</x:v>
      </x:c>
      <x:c r="R9" s="2" t="str">
        <x:v>legacy_epoch_source_QA_passed; new_common_native_support_not_certified</x:v>
      </x:c>
      <x:c r="S9" s="2" t="str">
        <x:v>inherited2020anchor</x:v>
      </x:c>
      <x:c r="T9" s="2" t="str">
        <x:v>unused2023converted-source comparator</x:v>
      </x:c>
      <x:c r="U9" s="2" t="str">
        <x:v>GFA growth versus source physical quantity growth; constant conversion required for equality</x:v>
      </x:c>
      <x:c r="V9" s="2" t="str">
        <x:v>2020 level is the model anchor; 2023 comparator unused by v16 fit but shares conversion/upstream lineage</x:v>
      </x:c>
      <x:c r="W9" s="2" t="str">
        <x:v>https://arxiv.org/abs/2511.12104</x:v>
      </x:c>
    </x:row>
    <x:row r="10" ht="23" customHeight="1">
      <x:c r="A10" s="2" t="str">
        <x:v>ALB</x:v>
      </x:c>
      <x:c r="B10" s="2" t="str">
        <x:v>Albania (Republic of)</x:v>
      </x:c>
      <x:c r="C10" s="2" t="str">
        <x:v>TEMPO_PROXY</x:v>
      </x:c>
      <x:c r="D10" s="2" t="n">
        <x:v>2020</x:v>
      </x:c>
      <x:c r="E10" s="2" t="n">
        <x:v>2023</x:v>
      </x:c>
      <x:c r="F10" s="17" t="n">
        <x:v>161276383.52000022</x:v>
      </x:c>
      <x:c r="G10" s="17" t="n">
        <x:v>163084599.75188568</x:v>
      </x:c>
      <x:c r="H10" s="17" t="n">
        <x:v>161276383.52000022</x:v>
      </x:c>
      <x:c r="I10" s="17" t="n">
        <x:v>169295544.74</x:v>
      </x:c>
      <x:c r="J10" s="2" t="str">
        <x:v>m2</x:v>
      </x:c>
      <x:c r="K10" s="15" t="n">
        <x:f>IF(AND(ISNUMBER(F10),ISNUMBER(G10),F10&gt;0),G10/F10-1,"n.a.")</x:f>
        <x:v>0.011211909595314262</x:v>
      </x:c>
      <x:c r="L10" s="15" t="n">
        <x:f>IF(AND(N10,ISNUMBER(H10),ISNUMBER(I10),H10&gt;0),I10/H10-1,"n.a.")</x:f>
        <x:v>0.049723096742216644</x:v>
      </x:c>
      <x:c r="M10" s="20" t="n">
        <x:f>IF(AND(ISNUMBER(K10),ISNUMBER(L10)),100*(K10-L10),"n.a.")</x:f>
        <x:v>-3.851118714690238</x:v>
      </x:c>
      <x:c r="N10" s="13" t="b">
        <x:v>1</x:v>
      </x:c>
      <x:c r="O10" s="13" t="b">
        <x:v>1</x:v>
      </x:c>
      <x:c r="P10" s="13" t="b">
        <x:v>0</x:v>
      </x:c>
      <x:c r="Q10" s="2" t="str">
        <x:v>legacy_epoch_source_QA_passed; new_common_native_support_not_certified</x:v>
      </x:c>
      <x:c r="R10" s="2" t="str">
        <x:v>legacy_epoch_source_QA_passed; new_common_native_support_not_certified</x:v>
      </x:c>
      <x:c r="S10" s="2" t="str">
        <x:v>inherited2020anchor</x:v>
      </x:c>
      <x:c r="T10" s="2" t="str">
        <x:v>unused2023converted-source comparator</x:v>
      </x:c>
      <x:c r="U10" s="2" t="str">
        <x:v>GFA growth versus source physical quantity growth; constant conversion required for equality</x:v>
      </x:c>
      <x:c r="V10" s="2" t="str">
        <x:v>2020 level is the model anchor; 2023 comparator unused by v16 fit but shares conversion/upstream lineage</x:v>
      </x:c>
      <x:c r="W10" s="2" t="str">
        <x:v>https://arxiv.org/abs/2511.12104</x:v>
      </x:c>
    </x:row>
    <x:row r="11" ht="23" customHeight="1">
      <x:c r="A11" s="2" t="str">
        <x:v>AND</x:v>
      </x:c>
      <x:c r="B11" s="2" t="str">
        <x:v>Andorra (Principality of)</x:v>
      </x:c>
      <x:c r="C11" s="2" t="str">
        <x:v>TEMPO_PROXY</x:v>
      </x:c>
      <x:c r="D11" s="2" t="n">
        <x:v>2020</x:v>
      </x:c>
      <x:c r="E11" s="2" t="n">
        <x:v>2023</x:v>
      </x:c>
      <x:c r="F11" s="17" t="n">
        <x:v>2995448.5899999994</x:v>
      </x:c>
      <x:c r="G11" s="17" t="n">
        <x:v>3326486.5028189747</x:v>
      </x:c>
      <x:c r="H11" s="17" t="n">
        <x:v>2995448.5899999994</x:v>
      </x:c>
      <x:c r="I11" s="17" t="n">
        <x:v>3230172.18</x:v>
      </x:c>
      <x:c r="J11" s="2" t="str">
        <x:v>m2</x:v>
      </x:c>
      <x:c r="K11" s="15" t="n">
        <x:f>IF(AND(ISNUMBER(F11),ISNUMBER(G11),F11&gt;0),G11/F11-1,"n.a.")</x:f>
        <x:v>0.11051363522782931</x:v>
      </x:c>
      <x:c r="L11" s="15" t="n">
        <x:f>IF(AND(N11,ISNUMBER(H11),ISNUMBER(I11),H11&gt;0),I11/H11-1,"n.a.")</x:f>
        <x:v>0.07836007961665636</x:v>
      </x:c>
      <x:c r="M11" s="20" t="n">
        <x:f>IF(AND(ISNUMBER(K11),ISNUMBER(L11)),100*(K11-L11),"n.a.")</x:f>
        <x:v>3.2153555611172946</x:v>
      </x:c>
      <x:c r="N11" s="13" t="b">
        <x:v>1</x:v>
      </x:c>
      <x:c r="O11" s="13" t="b">
        <x:v>1</x:v>
      </x:c>
      <x:c r="P11" s="13" t="b">
        <x:v>0</x:v>
      </x:c>
      <x:c r="Q11" s="2" t="str">
        <x:v>legacy_epoch_source_QA_passed; new_common_native_support_not_certified</x:v>
      </x:c>
      <x:c r="R11" s="2" t="str">
        <x:v>legacy_epoch_source_QA_passed; new_common_native_support_not_certified</x:v>
      </x:c>
      <x:c r="S11" s="2" t="str">
        <x:v>inherited2020anchor</x:v>
      </x:c>
      <x:c r="T11" s="2" t="str">
        <x:v>unused2023converted-source comparator</x:v>
      </x:c>
      <x:c r="U11" s="2" t="str">
        <x:v>GFA growth versus source physical quantity growth; constant conversion required for equality</x:v>
      </x:c>
      <x:c r="V11" s="2" t="str">
        <x:v>2020 level is the model anchor; 2023 comparator unused by v16 fit but shares conversion/upstream lineage</x:v>
      </x:c>
      <x:c r="W11" s="2" t="str">
        <x:v>https://arxiv.org/abs/2511.12104</x:v>
      </x:c>
    </x:row>
    <x:row r="12" ht="23" customHeight="1">
      <x:c r="A12" s="2" t="str">
        <x:v>ARE</x:v>
      </x:c>
      <x:c r="B12" s="2" t="str">
        <x:v>United Arab Emirates</x:v>
      </x:c>
      <x:c r="C12" s="2" t="str">
        <x:v>TEMPO_PROXY</x:v>
      </x:c>
      <x:c r="D12" s="2" t="n">
        <x:v>2020</x:v>
      </x:c>
      <x:c r="E12" s="2" t="n">
        <x:v>2023</x:v>
      </x:c>
      <x:c r="F12" s="17" t="n">
        <x:v>511804054.8699995</x:v>
      </x:c>
      <x:c r="G12" s="17" t="n">
        <x:v>576740560.1188428</x:v>
      </x:c>
      <x:c r="H12" s="17" t="n">
        <x:v>511804054.8699995</x:v>
      </x:c>
      <x:c r="I12" s="17" t="n">
        <x:v>551729412.03</x:v>
      </x:c>
      <x:c r="J12" s="2" t="str">
        <x:v>m2</x:v>
      </x:c>
      <x:c r="K12" s="15" t="n">
        <x:f>IF(AND(ISNUMBER(F12),ISNUMBER(G12),F12&gt;0),G12/F12-1,"n.a.")</x:f>
        <x:v>0.1268776685744264</x:v>
      </x:c>
      <x:c r="L12" s="15" t="n">
        <x:f>IF(AND(N12,ISNUMBER(H12),ISNUMBER(I12),H12&gt;0),I12/H12-1,"n.a.")</x:f>
        <x:v>0.07800906768927751</x:v>
      </x:c>
      <x:c r="M12" s="20" t="n">
        <x:f>IF(AND(ISNUMBER(K12),ISNUMBER(L12)),100*(K12-L12),"n.a.")</x:f>
        <x:v>4.886860088514888</x:v>
      </x:c>
      <x:c r="N12" s="13" t="b">
        <x:v>1</x:v>
      </x:c>
      <x:c r="O12" s="13" t="b">
        <x:v>1</x:v>
      </x:c>
      <x:c r="P12" s="13" t="b">
        <x:v>0</x:v>
      </x:c>
      <x:c r="Q12" s="2" t="str">
        <x:v>legacy_epoch_source_QA_passed; new_common_native_support_not_certified</x:v>
      </x:c>
      <x:c r="R12" s="2" t="str">
        <x:v>legacy_epoch_source_QA_passed; new_common_native_support_not_certified</x:v>
      </x:c>
      <x:c r="S12" s="2" t="str">
        <x:v>inherited2020anchor</x:v>
      </x:c>
      <x:c r="T12" s="2" t="str">
        <x:v>unused2023converted-source comparator</x:v>
      </x:c>
      <x:c r="U12" s="2" t="str">
        <x:v>GFA growth versus source physical quantity growth; constant conversion required for equality</x:v>
      </x:c>
      <x:c r="V12" s="2" t="str">
        <x:v>2020 level is the model anchor; 2023 comparator unused by v16 fit but shares conversion/upstream lineage</x:v>
      </x:c>
      <x:c r="W12" s="2" t="str">
        <x:v>https://arxiv.org/abs/2511.12104</x:v>
      </x:c>
    </x:row>
    <x:row r="13" ht="23" customHeight="1">
      <x:c r="A13" s="2" t="str">
        <x:v>ARG</x:v>
      </x:c>
      <x:c r="B13" s="2" t="str">
        <x:v>Argentina (Argentine Republic)</x:v>
      </x:c>
      <x:c r="C13" s="2" t="str">
        <x:v>TEMPO_PROXY</x:v>
      </x:c>
      <x:c r="D13" s="2" t="n">
        <x:v>2020</x:v>
      </x:c>
      <x:c r="E13" s="2" t="n">
        <x:v>2023</x:v>
      </x:c>
      <x:c r="F13" s="17" t="n">
        <x:v>2382940448.399998</x:v>
      </x:c>
      <x:c r="G13" s="17" t="n">
        <x:v>2512039170.750072</x:v>
      </x:c>
      <x:c r="H13" s="17" t="n">
        <x:v>2382940448.399998</x:v>
      </x:c>
      <x:c r="I13" s="17" t="n">
        <x:v>2531011731.78</x:v>
      </x:c>
      <x:c r="J13" s="2" t="str">
        <x:v>m2</x:v>
      </x:c>
      <x:c r="K13" s="15" t="n">
        <x:f>IF(AND(ISNUMBER(F13),ISNUMBER(G13),F13&gt;0),G13/F13-1,"n.a.")</x:f>
        <x:v>0.0541762268699395</x:v>
      </x:c>
      <x:c r="L13" s="15" t="n">
        <x:f>IF(AND(N13,ISNUMBER(H13),ISNUMBER(I13),H13&gt;0),I13/H13-1,"n.a.")</x:f>
        <x:v>0.062138054469394355</x:v>
      </x:c>
      <x:c r="M13" s="20" t="n">
        <x:f>IF(AND(ISNUMBER(K13),ISNUMBER(L13)),100*(K13-L13),"n.a.")</x:f>
        <x:v>-0.7961827599454852</x:v>
      </x:c>
      <x:c r="N13" s="13" t="b">
        <x:v>1</x:v>
      </x:c>
      <x:c r="O13" s="13" t="b">
        <x:v>1</x:v>
      </x:c>
      <x:c r="P13" s="13" t="b">
        <x:v>0</x:v>
      </x:c>
      <x:c r="Q13" s="2" t="str">
        <x:v>legacy_epoch_source_QA_passed; new_common_native_support_not_certified</x:v>
      </x:c>
      <x:c r="R13" s="2" t="str">
        <x:v>legacy_epoch_source_QA_passed; new_common_native_support_not_certified</x:v>
      </x:c>
      <x:c r="S13" s="2" t="str">
        <x:v>inherited2020anchor</x:v>
      </x:c>
      <x:c r="T13" s="2" t="str">
        <x:v>unused2023converted-source comparator</x:v>
      </x:c>
      <x:c r="U13" s="2" t="str">
        <x:v>GFA growth versus source physical quantity growth; constant conversion required for equality</x:v>
      </x:c>
      <x:c r="V13" s="2" t="str">
        <x:v>2020 level is the model anchor; 2023 comparator unused by v16 fit but shares conversion/upstream lineage</x:v>
      </x:c>
      <x:c r="W13" s="2" t="str">
        <x:v>https://arxiv.org/abs/2511.12104</x:v>
      </x:c>
    </x:row>
    <x:row r="14" ht="23" customHeight="1">
      <x:c r="A14" s="2" t="str">
        <x:v>ARM</x:v>
      </x:c>
      <x:c r="B14" s="2" t="str">
        <x:v>Armenia (Republic of)</x:v>
      </x:c>
      <x:c r="C14" s="2" t="str">
        <x:v>TEMPO_PROXY</x:v>
      </x:c>
      <x:c r="D14" s="2" t="n">
        <x:v>2020</x:v>
      </x:c>
      <x:c r="E14" s="2" t="n">
        <x:v>2023</x:v>
      </x:c>
      <x:c r="F14" s="17" t="n">
        <x:v>142786500.21000025</x:v>
      </x:c>
      <x:c r="G14" s="17" t="n">
        <x:v>148794351.70823196</x:v>
      </x:c>
      <x:c r="H14" s="17" t="n">
        <x:v>142786500.21000025</x:v>
      </x:c>
      <x:c r="I14" s="17" t="n">
        <x:v>150315484.74</x:v>
      </x:c>
      <x:c r="J14" s="2" t="str">
        <x:v>m2</x:v>
      </x:c>
      <x:c r="K14" s="15" t="n">
        <x:f>IF(AND(ISNUMBER(F14),ISNUMBER(G14),F14&gt;0),G14/F14-1,"n.a.")</x:f>
        <x:v>0.04207576689249892</x:v>
      </x:c>
      <x:c r="L14" s="15" t="n">
        <x:f>IF(AND(N14,ISNUMBER(H14),ISNUMBER(I14),H14&gt;0),I14/H14-1,"n.a.")</x:f>
        <x:v>0.05272896610622624</x:v>
      </x:c>
      <x:c r="M14" s="20" t="n">
        <x:f>IF(AND(ISNUMBER(K14),ISNUMBER(L14)),100*(K14-L14),"n.a.")</x:f>
        <x:v>-1.0653199213727316</x:v>
      </x:c>
      <x:c r="N14" s="13" t="b">
        <x:v>1</x:v>
      </x:c>
      <x:c r="O14" s="13" t="b">
        <x:v>1</x:v>
      </x:c>
      <x:c r="P14" s="13" t="b">
        <x:v>0</x:v>
      </x:c>
      <x:c r="Q14" s="2" t="str">
        <x:v>legacy_epoch_source_QA_passed; new_common_native_support_not_certified</x:v>
      </x:c>
      <x:c r="R14" s="2" t="str">
        <x:v>legacy_epoch_source_QA_passed; new_common_native_support_not_certified</x:v>
      </x:c>
      <x:c r="S14" s="2" t="str">
        <x:v>inherited2020anchor</x:v>
      </x:c>
      <x:c r="T14" s="2" t="str">
        <x:v>unused2023converted-source comparator</x:v>
      </x:c>
      <x:c r="U14" s="2" t="str">
        <x:v>GFA growth versus source physical quantity growth; constant conversion required for equality</x:v>
      </x:c>
      <x:c r="V14" s="2" t="str">
        <x:v>2020 level is the model anchor; 2023 comparator unused by v16 fit but shares conversion/upstream lineage</x:v>
      </x:c>
      <x:c r="W14" s="2" t="str">
        <x:v>https://arxiv.org/abs/2511.12104</x:v>
      </x:c>
    </x:row>
    <x:row r="15" ht="23" customHeight="1">
      <x:c r="A15" s="2" t="str">
        <x:v>ATG</x:v>
      </x:c>
      <x:c r="B15" s="2" t="str">
        <x:v>Antigua and Barbuda</x:v>
      </x:c>
      <x:c r="C15" s="2" t="str">
        <x:v>TEMPO_PROXY</x:v>
      </x:c>
      <x:c r="D15" s="2" t="n">
        <x:v>2020</x:v>
      </x:c>
      <x:c r="E15" s="2" t="n">
        <x:v>2023</x:v>
      </x:c>
      <x:c r="F15" s="17" t="n">
        <x:v>7437404.659999999</x:v>
      </x:c>
      <x:c r="G15" s="17" t="n">
        <x:v>7604119.701437739</x:v>
      </x:c>
      <x:c r="H15" s="17" t="n">
        <x:v>7437404.659999999</x:v>
      </x:c>
      <x:c r="I15" s="17" t="n">
        <x:v>7876426.92</x:v>
      </x:c>
      <x:c r="J15" s="2" t="str">
        <x:v>m2</x:v>
      </x:c>
      <x:c r="K15" s="15" t="n">
        <x:f>IF(AND(ISNUMBER(F15),ISNUMBER(G15),F15&gt;0),G15/F15-1,"n.a.")</x:f>
        <x:v>0.022415755099943535</x:v>
      </x:c>
      <x:c r="L15" s="15" t="n">
        <x:f>IF(AND(N15,ISNUMBER(H15),ISNUMBER(I15),H15&gt;0),I15/H15-1,"n.a.")</x:f>
        <x:v>0.059028959707027706</x:v>
      </x:c>
      <x:c r="M15" s="20" t="n">
        <x:f>IF(AND(ISNUMBER(K15),ISNUMBER(L15)),100*(K15-L15),"n.a.")</x:f>
        <x:v>-3.661320460708417</x:v>
      </x:c>
      <x:c r="N15" s="13" t="b">
        <x:v>1</x:v>
      </x:c>
      <x:c r="O15" s="13" t="b">
        <x:v>1</x:v>
      </x:c>
      <x:c r="P15" s="13" t="b">
        <x:v>0</x:v>
      </x:c>
      <x:c r="Q15" s="2" t="str">
        <x:v>legacy_epoch_source_QA_passed; new_common_native_support_not_certified</x:v>
      </x:c>
      <x:c r="R15" s="2" t="str">
        <x:v>legacy_epoch_source_QA_passed; new_common_native_support_not_certified</x:v>
      </x:c>
      <x:c r="S15" s="2" t="str">
        <x:v>inherited2020anchor</x:v>
      </x:c>
      <x:c r="T15" s="2" t="str">
        <x:v>unused2023converted-source comparator</x:v>
      </x:c>
      <x:c r="U15" s="2" t="str">
        <x:v>GFA growth versus source physical quantity growth; constant conversion required for equality</x:v>
      </x:c>
      <x:c r="V15" s="2" t="str">
        <x:v>2020 level is the model anchor; 2023 comparator unused by v16 fit but shares conversion/upstream lineage</x:v>
      </x:c>
      <x:c r="W15" s="2" t="str">
        <x:v>https://arxiv.org/abs/2511.12104</x:v>
      </x:c>
    </x:row>
    <x:row r="16" ht="23" customHeight="1">
      <x:c r="A16" s="2" t="str">
        <x:v>AUS</x:v>
      </x:c>
      <x:c r="B16" s="2" t="str">
        <x:v>Australia (Commonwealth of)</x:v>
      </x:c>
      <x:c r="C16" s="2" t="str">
        <x:v>TEMPO_PROXY</x:v>
      </x:c>
      <x:c r="D16" s="2" t="n">
        <x:v>2020</x:v>
      </x:c>
      <x:c r="E16" s="2" t="n">
        <x:v>2023</x:v>
      </x:c>
      <x:c r="F16" s="17" t="n">
        <x:v>3011161094.8599973</x:v>
      </x:c>
      <x:c r="G16" s="17" t="n">
        <x:v>3150002772.636592</x:v>
      </x:c>
      <x:c r="H16" s="17" t="n">
        <x:v>3011161094.8599973</x:v>
      </x:c>
      <x:c r="I16" s="17" t="n">
        <x:v>3197269910.45</x:v>
      </x:c>
      <x:c r="J16" s="2" t="str">
        <x:v>m2</x:v>
      </x:c>
      <x:c r="K16" s="15" t="n">
        <x:f>IF(AND(ISNUMBER(F16),ISNUMBER(G16),F16&gt;0),G16/F16-1,"n.a.")</x:f>
        <x:v>0.046109016888400634</x:v>
      </x:c>
      <x:c r="L16" s="15" t="n">
        <x:f>IF(AND(N16,ISNUMBER(H16),ISNUMBER(I16),H16&gt;0),I16/H16-1,"n.a.")</x:f>
        <x:v>0.061806329760200285</x:v>
      </x:c>
      <x:c r="M16" s="20" t="n">
        <x:f>IF(AND(ISNUMBER(K16),ISNUMBER(L16)),100*(K16-L16),"n.a.")</x:f>
        <x:v>-1.5697312871799651</x:v>
      </x:c>
      <x:c r="N16" s="13" t="b">
        <x:v>1</x:v>
      </x:c>
      <x:c r="O16" s="13" t="b">
        <x:v>1</x:v>
      </x:c>
      <x:c r="P16" s="13" t="b">
        <x:v>0</x:v>
      </x:c>
      <x:c r="Q16" s="2" t="str">
        <x:v>legacy_epoch_source_QA_passed; new_common_native_support_not_certified</x:v>
      </x:c>
      <x:c r="R16" s="2" t="str">
        <x:v>legacy_epoch_source_QA_passed; new_common_native_support_not_certified</x:v>
      </x:c>
      <x:c r="S16" s="2" t="str">
        <x:v>inherited2020anchor</x:v>
      </x:c>
      <x:c r="T16" s="2" t="str">
        <x:v>unused2023converted-source comparator</x:v>
      </x:c>
      <x:c r="U16" s="2" t="str">
        <x:v>GFA growth versus source physical quantity growth; constant conversion required for equality</x:v>
      </x:c>
      <x:c r="V16" s="2" t="str">
        <x:v>2020 level is the model anchor; 2023 comparator unused by v16 fit but shares conversion/upstream lineage</x:v>
      </x:c>
      <x:c r="W16" s="2" t="str">
        <x:v>https://arxiv.org/abs/2511.12104</x:v>
      </x:c>
    </x:row>
    <x:row r="17" ht="23" customHeight="1">
      <x:c r="A17" s="2" t="str">
        <x:v>AUT</x:v>
      </x:c>
      <x:c r="B17" s="2" t="str">
        <x:v>Austria (Republic of)</x:v>
      </x:c>
      <x:c r="C17" s="2" t="str">
        <x:v>TEMPO_PROXY</x:v>
      </x:c>
      <x:c r="D17" s="2" t="n">
        <x:v>2020</x:v>
      </x:c>
      <x:c r="E17" s="2" t="n">
        <x:v>2023</x:v>
      </x:c>
      <x:c r="F17" s="17" t="n">
        <x:v>865496536.0700006</x:v>
      </x:c>
      <x:c r="G17" s="17" t="n">
        <x:v>921470012.8599453</x:v>
      </x:c>
      <x:c r="H17" s="17" t="n">
        <x:v>865496536.0700006</x:v>
      </x:c>
      <x:c r="I17" s="17" t="n">
        <x:v>904623249.78</x:v>
      </x:c>
      <x:c r="J17" s="2" t="str">
        <x:v>m2</x:v>
      </x:c>
      <x:c r="K17" s="15" t="n">
        <x:f>IF(AND(ISNUMBER(F17),ISNUMBER(G17),F17&gt;0),G17/F17-1,"n.a.")</x:f>
        <x:v>0.06467209798909868</x:v>
      </x:c>
      <x:c r="L17" s="15" t="n">
        <x:f>IF(AND(N17,ISNUMBER(H17),ISNUMBER(I17),H17&gt;0),I17/H17-1,"n.a.")</x:f>
        <x:v>0.04520724471950377</x:v>
      </x:c>
      <x:c r="M17" s="20" t="n">
        <x:f>IF(AND(ISNUMBER(K17),ISNUMBER(L17)),100*(K17-L17),"n.a.")</x:f>
        <x:v>1.9464853269594906</x:v>
      </x:c>
      <x:c r="N17" s="13" t="b">
        <x:v>1</x:v>
      </x:c>
      <x:c r="O17" s="13" t="b">
        <x:v>1</x:v>
      </x:c>
      <x:c r="P17" s="13" t="b">
        <x:v>0</x:v>
      </x:c>
      <x:c r="Q17" s="2" t="str">
        <x:v>legacy_epoch_source_QA_passed; new_common_native_support_not_certified</x:v>
      </x:c>
      <x:c r="R17" s="2" t="str">
        <x:v>legacy_epoch_source_QA_passed; new_common_native_support_not_certified</x:v>
      </x:c>
      <x:c r="S17" s="2" t="str">
        <x:v>inherited2020anchor</x:v>
      </x:c>
      <x:c r="T17" s="2" t="str">
        <x:v>unused2023converted-source comparator</x:v>
      </x:c>
      <x:c r="U17" s="2" t="str">
        <x:v>GFA growth versus source physical quantity growth; constant conversion required for equality</x:v>
      </x:c>
      <x:c r="V17" s="2" t="str">
        <x:v>2020 level is the model anchor; 2023 comparator unused by v16 fit but shares conversion/upstream lineage</x:v>
      </x:c>
      <x:c r="W17" s="2" t="str">
        <x:v>https://arxiv.org/abs/2511.12104</x:v>
      </x:c>
    </x:row>
    <x:row r="18" ht="23" customHeight="1">
      <x:c r="A18" s="2" t="str">
        <x:v>AZE</x:v>
      </x:c>
      <x:c r="B18" s="2" t="str">
        <x:v>Azerbaijan (Republic of)</x:v>
      </x:c>
      <x:c r="C18" s="2" t="str">
        <x:v>TEMPO_PROXY</x:v>
      </x:c>
      <x:c r="D18" s="2" t="n">
        <x:v>2020</x:v>
      </x:c>
      <x:c r="E18" s="2" t="n">
        <x:v>2023</x:v>
      </x:c>
      <x:c r="F18" s="17" t="n">
        <x:v>507953272.9000006</x:v>
      </x:c>
      <x:c r="G18" s="17" t="n">
        <x:v>533450484.5210403</x:v>
      </x:c>
      <x:c r="H18" s="17" t="n">
        <x:v>507953272.9000006</x:v>
      </x:c>
      <x:c r="I18" s="17" t="n">
        <x:v>545138692.22</x:v>
      </x:c>
      <x:c r="J18" s="2" t="str">
        <x:v>m2</x:v>
      </x:c>
      <x:c r="K18" s="15" t="n">
        <x:f>IF(AND(ISNUMBER(F18),ISNUMBER(G18),F18&gt;0),G18/F18-1,"n.a.")</x:f>
        <x:v>0.050195978609353986</x:v>
      </x:c>
      <x:c r="L18" s="15" t="n">
        <x:f>IF(AND(N18,ISNUMBER(H18),ISNUMBER(I18),H18&gt;0),I18/H18-1,"n.a.")</x:f>
        <x:v>0.07320637803493413</x:v>
      </x:c>
      <x:c r="M18" s="20" t="n">
        <x:f>IF(AND(ISNUMBER(K18),ISNUMBER(L18)),100*(K18-L18),"n.a.")</x:f>
        <x:v>-2.301039942558014</x:v>
      </x:c>
      <x:c r="N18" s="13" t="b">
        <x:v>1</x:v>
      </x:c>
      <x:c r="O18" s="13" t="b">
        <x:v>1</x:v>
      </x:c>
      <x:c r="P18" s="13" t="b">
        <x:v>0</x:v>
      </x:c>
      <x:c r="Q18" s="2" t="str">
        <x:v>legacy_epoch_source_QA_passed; new_common_native_support_not_certified</x:v>
      </x:c>
      <x:c r="R18" s="2" t="str">
        <x:v>legacy_epoch_source_QA_passed; new_common_native_support_not_certified</x:v>
      </x:c>
      <x:c r="S18" s="2" t="str">
        <x:v>inherited2020anchor</x:v>
      </x:c>
      <x:c r="T18" s="2" t="str">
        <x:v>unused2023converted-source comparator</x:v>
      </x:c>
      <x:c r="U18" s="2" t="str">
        <x:v>GFA growth versus source physical quantity growth; constant conversion required for equality</x:v>
      </x:c>
      <x:c r="V18" s="2" t="str">
        <x:v>2020 level is the model anchor; 2023 comparator unused by v16 fit but shares conversion/upstream lineage</x:v>
      </x:c>
      <x:c r="W18" s="2" t="str">
        <x:v>https://arxiv.org/abs/2511.12104</x:v>
      </x:c>
    </x:row>
    <x:row r="19" ht="23" customHeight="1">
      <x:c r="A19" s="2" t="str">
        <x:v>BDI</x:v>
      </x:c>
      <x:c r="B19" s="2" t="str">
        <x:v>Burundi (Republic of)</x:v>
      </x:c>
      <x:c r="C19" s="2" t="str">
        <x:v>TEMPO_PROXY</x:v>
      </x:c>
      <x:c r="D19" s="2" t="n">
        <x:v>2020</x:v>
      </x:c>
      <x:c r="E19" s="2" t="n">
        <x:v>2023</x:v>
      </x:c>
      <x:c r="F19" s="17" t="n">
        <x:v>147710691.6100001</x:v>
      </x:c>
      <x:c r="G19" s="17" t="n">
        <x:v>164848816.54997876</x:v>
      </x:c>
      <x:c r="H19" s="17" t="n">
        <x:v>147710691.6100001</x:v>
      </x:c>
      <x:c r="I19" s="17" t="n">
        <x:v>163647664.16</x:v>
      </x:c>
      <x:c r="J19" s="2" t="str">
        <x:v>m2</x:v>
      </x:c>
      <x:c r="K19" s="15" t="n">
        <x:f>IF(AND(ISNUMBER(F19),ISNUMBER(G19),F19&gt;0),G19/F19-1,"n.a.")</x:f>
        <x:v>0.11602494547401054</x:v>
      </x:c>
      <x:c r="L19" s="15" t="n">
        <x:f>IF(AND(N19,ISNUMBER(H19),ISNUMBER(I19),H19&gt;0),I19/H19-1,"n.a.")</x:f>
        <x:v>0.10789315503361263</x:v>
      </x:c>
      <x:c r="M19" s="20" t="n">
        <x:f>IF(AND(ISNUMBER(K19),ISNUMBER(L19)),100*(K19-L19),"n.a.")</x:f>
        <x:v>0.8131790440397912</x:v>
      </x:c>
      <x:c r="N19" s="13" t="b">
        <x:v>1</x:v>
      </x:c>
      <x:c r="O19" s="13" t="b">
        <x:v>1</x:v>
      </x:c>
      <x:c r="P19" s="13" t="b">
        <x:v>0</x:v>
      </x:c>
      <x:c r="Q19" s="2" t="str">
        <x:v>legacy_epoch_source_QA_passed; new_common_native_support_not_certified</x:v>
      </x:c>
      <x:c r="R19" s="2" t="str">
        <x:v>legacy_epoch_source_QA_passed; new_common_native_support_not_certified</x:v>
      </x:c>
      <x:c r="S19" s="2" t="str">
        <x:v>inherited2020anchor</x:v>
      </x:c>
      <x:c r="T19" s="2" t="str">
        <x:v>unused2023converted-source comparator</x:v>
      </x:c>
      <x:c r="U19" s="2" t="str">
        <x:v>GFA growth versus source physical quantity growth; constant conversion required for equality</x:v>
      </x:c>
      <x:c r="V19" s="2" t="str">
        <x:v>2020 level is the model anchor; 2023 comparator unused by v16 fit but shares conversion/upstream lineage</x:v>
      </x:c>
      <x:c r="W19" s="2" t="str">
        <x:v>https://arxiv.org/abs/2511.12104</x:v>
      </x:c>
    </x:row>
    <x:row r="20" ht="23" customHeight="1">
      <x:c r="A20" s="2" t="str">
        <x:v>BEL</x:v>
      </x:c>
      <x:c r="B20" s="2" t="str">
        <x:v>Belgium (Kingdom of)</x:v>
      </x:c>
      <x:c r="C20" s="2" t="str">
        <x:v>TEMPO_PROXY</x:v>
      </x:c>
      <x:c r="D20" s="2" t="n">
        <x:v>2020</x:v>
      </x:c>
      <x:c r="E20" s="2" t="n">
        <x:v>2023</x:v>
      </x:c>
      <x:c r="F20" s="17" t="n">
        <x:v>1079109698.0100002</x:v>
      </x:c>
      <x:c r="G20" s="17" t="n">
        <x:v>1164575889.6617367</x:v>
      </x:c>
      <x:c r="H20" s="17" t="n">
        <x:v>1079109698.0100002</x:v>
      </x:c>
      <x:c r="I20" s="17" t="n">
        <x:v>1111162585.13</x:v>
      </x:c>
      <x:c r="J20" s="2" t="str">
        <x:v>m2</x:v>
      </x:c>
      <x:c r="K20" s="15" t="n">
        <x:f>IF(AND(ISNUMBER(F20),ISNUMBER(G20),F20&gt;0),G20/F20-1,"n.a.")</x:f>
        <x:v>0.07920065199056747</x:v>
      </x:c>
      <x:c r="L20" s="15" t="n">
        <x:f>IF(AND(N20,ISNUMBER(H20),ISNUMBER(I20),H20&gt;0),I20/H20-1,"n.a.")</x:f>
        <x:v>0.0297030850330684</x:v>
      </x:c>
      <x:c r="M20" s="20" t="n">
        <x:f>IF(AND(ISNUMBER(K20),ISNUMBER(L20)),100*(K20-L20),"n.a.")</x:f>
        <x:v>4.949756695749907</x:v>
      </x:c>
      <x:c r="N20" s="13" t="b">
        <x:v>1</x:v>
      </x:c>
      <x:c r="O20" s="13" t="b">
        <x:v>1</x:v>
      </x:c>
      <x:c r="P20" s="13" t="b">
        <x:v>0</x:v>
      </x:c>
      <x:c r="Q20" s="2" t="str">
        <x:v>legacy_epoch_source_QA_passed; new_common_native_support_not_certified</x:v>
      </x:c>
      <x:c r="R20" s="2" t="str">
        <x:v>legacy_epoch_source_QA_passed; new_common_native_support_not_certified</x:v>
      </x:c>
      <x:c r="S20" s="2" t="str">
        <x:v>inherited2020anchor</x:v>
      </x:c>
      <x:c r="T20" s="2" t="str">
        <x:v>unused2023converted-source comparator</x:v>
      </x:c>
      <x:c r="U20" s="2" t="str">
        <x:v>GFA growth versus source physical quantity growth; constant conversion required for equality</x:v>
      </x:c>
      <x:c r="V20" s="2" t="str">
        <x:v>2020 level is the model anchor; 2023 comparator unused by v16 fit but shares conversion/upstream lineage</x:v>
      </x:c>
      <x:c r="W20" s="2" t="str">
        <x:v>https://arxiv.org/abs/2511.12104</x:v>
      </x:c>
    </x:row>
    <x:row r="21" ht="23" customHeight="1">
      <x:c r="A21" s="2" t="str">
        <x:v>BEN</x:v>
      </x:c>
      <x:c r="B21" s="2" t="str">
        <x:v>Benin (Republic of)</x:v>
      </x:c>
      <x:c r="C21" s="2" t="str">
        <x:v>TEMPO_PROXY</x:v>
      </x:c>
      <x:c r="D21" s="2" t="n">
        <x:v>2020</x:v>
      </x:c>
      <x:c r="E21" s="2" t="n">
        <x:v>2023</x:v>
      </x:c>
      <x:c r="F21" s="17" t="n">
        <x:v>302038367.25</x:v>
      </x:c>
      <x:c r="G21" s="17" t="n">
        <x:v>330354836.0723422</x:v>
      </x:c>
      <x:c r="H21" s="17" t="n">
        <x:v>302038367.25</x:v>
      </x:c>
      <x:c r="I21" s="17" t="n">
        <x:v>329684296.35</x:v>
      </x:c>
      <x:c r="J21" s="2" t="str">
        <x:v>m2</x:v>
      </x:c>
      <x:c r="K21" s="15" t="n">
        <x:f>IF(AND(ISNUMBER(F21),ISNUMBER(G21),F21&gt;0),G21/F21-1,"n.a.")</x:f>
        <x:v>0.09375123127620544</x:v>
      </x:c>
      <x:c r="L21" s="15" t="n">
        <x:f>IF(AND(N21,ISNUMBER(H21),ISNUMBER(I21),H21&gt;0),I21/H21-1,"n.a.")</x:f>
        <x:v>0.09153118311329367</x:v>
      </x:c>
      <x:c r="M21" s="20" t="n">
        <x:f>IF(AND(ISNUMBER(K21),ISNUMBER(L21)),100*(K21-L21),"n.a.")</x:f>
        <x:v>0.22200481629117697</x:v>
      </x:c>
      <x:c r="N21" s="13" t="b">
        <x:v>1</x:v>
      </x:c>
      <x:c r="O21" s="13" t="b">
        <x:v>1</x:v>
      </x:c>
      <x:c r="P21" s="13" t="b">
        <x:v>0</x:v>
      </x:c>
      <x:c r="Q21" s="2" t="str">
        <x:v>legacy_epoch_source_QA_passed; new_common_native_support_not_certified</x:v>
      </x:c>
      <x:c r="R21" s="2" t="str">
        <x:v>legacy_epoch_source_QA_passed; new_common_native_support_not_certified</x:v>
      </x:c>
      <x:c r="S21" s="2" t="str">
        <x:v>inherited2020anchor</x:v>
      </x:c>
      <x:c r="T21" s="2" t="str">
        <x:v>unused2023converted-source comparator</x:v>
      </x:c>
      <x:c r="U21" s="2" t="str">
        <x:v>GFA growth versus source physical quantity growth; constant conversion required for equality</x:v>
      </x:c>
      <x:c r="V21" s="2" t="str">
        <x:v>2020 level is the model anchor; 2023 comparator unused by v16 fit but shares conversion/upstream lineage</x:v>
      </x:c>
      <x:c r="W21" s="2" t="str">
        <x:v>https://arxiv.org/abs/2511.12104</x:v>
      </x:c>
    </x:row>
    <x:row r="22" ht="23" customHeight="1">
      <x:c r="A22" s="2" t="str">
        <x:v>BFA</x:v>
      </x:c>
      <x:c r="B22" s="2" t="str">
        <x:v>Burkina Faso</x:v>
      </x:c>
      <x:c r="C22" s="2" t="str">
        <x:v>TEMPO_PROXY</x:v>
      </x:c>
      <x:c r="D22" s="2" t="n">
        <x:v>2020</x:v>
      </x:c>
      <x:c r="E22" s="2" t="n">
        <x:v>2023</x:v>
      </x:c>
      <x:c r="F22" s="17" t="n">
        <x:v>359180891.3500002</x:v>
      </x:c>
      <x:c r="G22" s="17" t="n">
        <x:v>391497281.1057063</x:v>
      </x:c>
      <x:c r="H22" s="17" t="n">
        <x:v>359180891.3500002</x:v>
      </x:c>
      <x:c r="I22" s="17" t="n">
        <x:v>404459464.1</x:v>
      </x:c>
      <x:c r="J22" s="2" t="str">
        <x:v>m2</x:v>
      </x:c>
      <x:c r="K22" s="15" t="n">
        <x:f>IF(AND(ISNUMBER(F22),ISNUMBER(G22),F22&gt;0),G22/F22-1,"n.a.")</x:f>
        <x:v>0.08997246383081015</x:v>
      </x:c>
      <x:c r="L22" s="15" t="n">
        <x:f>IF(AND(N22,ISNUMBER(H22),ISNUMBER(I22),H22&gt;0),I22/H22-1,"n.a.")</x:f>
        <x:v>0.12606063919441235</x:v>
      </x:c>
      <x:c r="M22" s="20" t="n">
        <x:f>IF(AND(ISNUMBER(K22),ISNUMBER(L22)),100*(K22-L22),"n.a.")</x:f>
        <x:v>-3.6088175363602204</x:v>
      </x:c>
      <x:c r="N22" s="13" t="b">
        <x:v>1</x:v>
      </x:c>
      <x:c r="O22" s="13" t="b">
        <x:v>1</x:v>
      </x:c>
      <x:c r="P22" s="13" t="b">
        <x:v>0</x:v>
      </x:c>
      <x:c r="Q22" s="2" t="str">
        <x:v>legacy_epoch_source_QA_passed; new_common_native_support_not_certified</x:v>
      </x:c>
      <x:c r="R22" s="2" t="str">
        <x:v>legacy_epoch_source_QA_passed; new_common_native_support_not_certified</x:v>
      </x:c>
      <x:c r="S22" s="2" t="str">
        <x:v>inherited2020anchor</x:v>
      </x:c>
      <x:c r="T22" s="2" t="str">
        <x:v>unused2023converted-source comparator</x:v>
      </x:c>
      <x:c r="U22" s="2" t="str">
        <x:v>GFA growth versus source physical quantity growth; constant conversion required for equality</x:v>
      </x:c>
      <x:c r="V22" s="2" t="str">
        <x:v>2020 level is the model anchor; 2023 comparator unused by v16 fit but shares conversion/upstream lineage</x:v>
      </x:c>
      <x:c r="W22" s="2" t="str">
        <x:v>https://arxiv.org/abs/2511.12104</x:v>
      </x:c>
    </x:row>
    <x:row r="23" ht="23" customHeight="1">
      <x:c r="A23" s="2" t="str">
        <x:v>BGD</x:v>
      </x:c>
      <x:c r="B23" s="2" t="str">
        <x:v>Bangladesh (People's Republic of)</x:v>
      </x:c>
      <x:c r="C23" s="2" t="str">
        <x:v>TEMPO_PROXY</x:v>
      </x:c>
      <x:c r="D23" s="2" t="n">
        <x:v>2020</x:v>
      </x:c>
      <x:c r="E23" s="2" t="n">
        <x:v>2023</x:v>
      </x:c>
      <x:c r="F23" s="17" t="n">
        <x:v>2430930564.5499988</x:v>
      </x:c>
      <x:c r="G23" s="17" t="n">
        <x:v>2740038058.4835844</x:v>
      </x:c>
      <x:c r="H23" s="17" t="n">
        <x:v>2430930564.5499988</x:v>
      </x:c>
      <x:c r="I23" s="17" t="n">
        <x:v>2618059042.17</x:v>
      </x:c>
      <x:c r="J23" s="2" t="str">
        <x:v>m2</x:v>
      </x:c>
      <x:c r="K23" s="15" t="n">
        <x:f>IF(AND(ISNUMBER(F23),ISNUMBER(G23),F23&gt;0),G23/F23-1,"n.a.")</x:f>
        <x:v>0.1271560358165993</x:v>
      </x:c>
      <x:c r="L23" s="15" t="n">
        <x:f>IF(AND(N23,ISNUMBER(H23),ISNUMBER(I23),H23&gt;0),I23/H23-1,"n.a.")</x:f>
        <x:v>0.07697812531088966</x:v>
      </x:c>
      <x:c r="M23" s="20" t="n">
        <x:f>IF(AND(ISNUMBER(K23),ISNUMBER(L23)),100*(K23-L23),"n.a.")</x:f>
        <x:v>5.017791050570963</x:v>
      </x:c>
      <x:c r="N23" s="13" t="b">
        <x:v>1</x:v>
      </x:c>
      <x:c r="O23" s="13" t="b">
        <x:v>1</x:v>
      </x:c>
      <x:c r="P23" s="13" t="b">
        <x:v>0</x:v>
      </x:c>
      <x:c r="Q23" s="2" t="str">
        <x:v>legacy_epoch_source_QA_passed; new_common_native_support_not_certified</x:v>
      </x:c>
      <x:c r="R23" s="2" t="str">
        <x:v>legacy_epoch_source_QA_passed; new_common_native_support_not_certified</x:v>
      </x:c>
      <x:c r="S23" s="2" t="str">
        <x:v>inherited2020anchor</x:v>
      </x:c>
      <x:c r="T23" s="2" t="str">
        <x:v>unused2023converted-source comparator</x:v>
      </x:c>
      <x:c r="U23" s="2" t="str">
        <x:v>GFA growth versus source physical quantity growth; constant conversion required for equality</x:v>
      </x:c>
      <x:c r="V23" s="2" t="str">
        <x:v>2020 level is the model anchor; 2023 comparator unused by v16 fit but shares conversion/upstream lineage</x:v>
      </x:c>
      <x:c r="W23" s="2" t="str">
        <x:v>https://arxiv.org/abs/2511.12104</x:v>
      </x:c>
    </x:row>
    <x:row r="24" ht="23" customHeight="1">
      <x:c r="A24" s="2" t="str">
        <x:v>BGR</x:v>
      </x:c>
      <x:c r="B24" s="2" t="str">
        <x:v>Bulgaria (Republic of)</x:v>
      </x:c>
      <x:c r="C24" s="2" t="str">
        <x:v>TEMPO_PROXY</x:v>
      </x:c>
      <x:c r="D24" s="2" t="n">
        <x:v>2020</x:v>
      </x:c>
      <x:c r="E24" s="2" t="n">
        <x:v>2023</x:v>
      </x:c>
      <x:c r="F24" s="17" t="n">
        <x:v>543020803.5700008</x:v>
      </x:c>
      <x:c r="G24" s="17" t="n">
        <x:v>563290439.3726661</x:v>
      </x:c>
      <x:c r="H24" s="17" t="n">
        <x:v>543020803.5700008</x:v>
      </x:c>
      <x:c r="I24" s="17" t="n">
        <x:v>566462792.97</x:v>
      </x:c>
      <x:c r="J24" s="2" t="str">
        <x:v>m2</x:v>
      </x:c>
      <x:c r="K24" s="15" t="n">
        <x:f>IF(AND(ISNUMBER(F24),ISNUMBER(G24),F24&gt;0),G24/F24-1,"n.a.")</x:f>
        <x:v>0.03732754927510329</x:v>
      </x:c>
      <x:c r="L24" s="15" t="n">
        <x:f>IF(AND(N24,ISNUMBER(H24),ISNUMBER(I24),H24&gt;0),I24/H24-1,"n.a.")</x:f>
        <x:v>0.04316959727119807</x:v>
      </x:c>
      <x:c r="M24" s="20" t="n">
        <x:f>IF(AND(ISNUMBER(K24),ISNUMBER(L24)),100*(K24-L24),"n.a.")</x:f>
        <x:v>-0.5842047996094779</x:v>
      </x:c>
      <x:c r="N24" s="13" t="b">
        <x:v>1</x:v>
      </x:c>
      <x:c r="O24" s="13" t="b">
        <x:v>1</x:v>
      </x:c>
      <x:c r="P24" s="13" t="b">
        <x:v>0</x:v>
      </x:c>
      <x:c r="Q24" s="2" t="str">
        <x:v>legacy_epoch_source_QA_passed; new_common_native_support_not_certified</x:v>
      </x:c>
      <x:c r="R24" s="2" t="str">
        <x:v>legacy_epoch_source_QA_passed; new_common_native_support_not_certified</x:v>
      </x:c>
      <x:c r="S24" s="2" t="str">
        <x:v>inherited2020anchor</x:v>
      </x:c>
      <x:c r="T24" s="2" t="str">
        <x:v>unused2023converted-source comparator</x:v>
      </x:c>
      <x:c r="U24" s="2" t="str">
        <x:v>GFA growth versus source physical quantity growth; constant conversion required for equality</x:v>
      </x:c>
      <x:c r="V24" s="2" t="str">
        <x:v>2020 level is the model anchor; 2023 comparator unused by v16 fit but shares conversion/upstream lineage</x:v>
      </x:c>
      <x:c r="W24" s="2" t="str">
        <x:v>https://arxiv.org/abs/2511.12104</x:v>
      </x:c>
    </x:row>
    <x:row r="25" ht="23" customHeight="1">
      <x:c r="A25" s="2" t="str">
        <x:v>BHR</x:v>
      </x:c>
      <x:c r="B25" s="2" t="str">
        <x:v>Bahrain (Kingdom of)</x:v>
      </x:c>
      <x:c r="C25" s="2" t="str">
        <x:v>TEMPO_PROXY</x:v>
      </x:c>
      <x:c r="D25" s="2" t="n">
        <x:v>2020</x:v>
      </x:c>
      <x:c r="E25" s="2" t="n">
        <x:v>2023</x:v>
      </x:c>
      <x:c r="F25" s="17" t="n">
        <x:v>63702858.11000008</x:v>
      </x:c>
      <x:c r="G25" s="17" t="n">
        <x:v>69508549.57617551</x:v>
      </x:c>
      <x:c r="H25" s="17" t="n">
        <x:v>63702858.11000008</x:v>
      </x:c>
      <x:c r="I25" s="17" t="n">
        <x:v>70285026.86</x:v>
      </x:c>
      <x:c r="J25" s="2" t="str">
        <x:v>m2</x:v>
      </x:c>
      <x:c r="K25" s="15" t="n">
        <x:f>IF(AND(ISNUMBER(F25),ISNUMBER(G25),F25&gt;0),G25/F25-1,"n.a.")</x:f>
        <x:v>0.09113706415103606</x:v>
      </x:c>
      <x:c r="L25" s="15" t="n">
        <x:f>IF(AND(N25,ISNUMBER(H25),ISNUMBER(I25),H25&gt;0),I25/H25-1,"n.a.")</x:f>
        <x:v>0.10332611354162546</x:v>
      </x:c>
      <x:c r="M25" s="20" t="n">
        <x:f>IF(AND(ISNUMBER(K25),ISNUMBER(L25)),100*(K25-L25),"n.a.")</x:f>
        <x:v>-1.2189049390589402</x:v>
      </x:c>
      <x:c r="N25" s="13" t="b">
        <x:v>1</x:v>
      </x:c>
      <x:c r="O25" s="13" t="b">
        <x:v>1</x:v>
      </x:c>
      <x:c r="P25" s="13" t="b">
        <x:v>0</x:v>
      </x:c>
      <x:c r="Q25" s="2" t="str">
        <x:v>legacy_epoch_source_QA_passed; new_common_native_support_not_certified</x:v>
      </x:c>
      <x:c r="R25" s="2" t="str">
        <x:v>legacy_epoch_source_QA_passed; new_common_native_support_not_certified</x:v>
      </x:c>
      <x:c r="S25" s="2" t="str">
        <x:v>inherited2020anchor</x:v>
      </x:c>
      <x:c r="T25" s="2" t="str">
        <x:v>unused2023converted-source comparator</x:v>
      </x:c>
      <x:c r="U25" s="2" t="str">
        <x:v>GFA growth versus source physical quantity growth; constant conversion required for equality</x:v>
      </x:c>
      <x:c r="V25" s="2" t="str">
        <x:v>2020 level is the model anchor; 2023 comparator unused by v16 fit but shares conversion/upstream lineage</x:v>
      </x:c>
      <x:c r="W25" s="2" t="str">
        <x:v>https://arxiv.org/abs/2511.12104</x:v>
      </x:c>
    </x:row>
    <x:row r="26" ht="23" customHeight="1">
      <x:c r="A26" s="2" t="str">
        <x:v>BHS</x:v>
      </x:c>
      <x:c r="B26" s="2" t="str">
        <x:v>Bahamas (Commonwealth of the)</x:v>
      </x:c>
      <x:c r="C26" s="2" t="str">
        <x:v>TEMPO_PROXY</x:v>
      </x:c>
      <x:c r="D26" s="2" t="n">
        <x:v>2020</x:v>
      </x:c>
      <x:c r="E26" s="2" t="n">
        <x:v>2023</x:v>
      </x:c>
      <x:c r="F26" s="17" t="n">
        <x:v>29184660.44999999</x:v>
      </x:c>
      <x:c r="G26" s="17" t="n">
        <x:v>30727373.649168283</x:v>
      </x:c>
      <x:c r="H26" s="17" t="n">
        <x:v>29184660.44999999</x:v>
      </x:c>
      <x:c r="I26" s="17" t="n">
        <x:v>30646062.76</x:v>
      </x:c>
      <x:c r="J26" s="2" t="str">
        <x:v>m2</x:v>
      </x:c>
      <x:c r="K26" s="15" t="n">
        <x:f>IF(AND(ISNUMBER(F26),ISNUMBER(G26),F26&gt;0),G26/F26-1,"n.a.")</x:f>
        <x:v>0.05286041281211107</x:v>
      </x:c>
      <x:c r="L26" s="15" t="n">
        <x:f>IF(AND(N26,ISNUMBER(H26),ISNUMBER(I26),H26&gt;0),I26/H26-1,"n.a.")</x:f>
        <x:v>0.05007432971521886</x:v>
      </x:c>
      <x:c r="M26" s="20" t="n">
        <x:f>IF(AND(ISNUMBER(K26),ISNUMBER(L26)),100*(K26-L26),"n.a.")</x:f>
        <x:v>0.2786083096892211</x:v>
      </x:c>
      <x:c r="N26" s="13" t="b">
        <x:v>1</x:v>
      </x:c>
      <x:c r="O26" s="13" t="b">
        <x:v>1</x:v>
      </x:c>
      <x:c r="P26" s="13" t="b">
        <x:v>0</x:v>
      </x:c>
      <x:c r="Q26" s="2" t="str">
        <x:v>legacy_epoch_source_QA_passed; new_common_native_support_not_certified</x:v>
      </x:c>
      <x:c r="R26" s="2" t="str">
        <x:v>legacy_epoch_source_QA_passed; new_common_native_support_not_certified</x:v>
      </x:c>
      <x:c r="S26" s="2" t="str">
        <x:v>inherited2020anchor</x:v>
      </x:c>
      <x:c r="T26" s="2" t="str">
        <x:v>unused2023converted-source comparator</x:v>
      </x:c>
      <x:c r="U26" s="2" t="str">
        <x:v>GFA growth versus source physical quantity growth; constant conversion required for equality</x:v>
      </x:c>
      <x:c r="V26" s="2" t="str">
        <x:v>2020 level is the model anchor; 2023 comparator unused by v16 fit but shares conversion/upstream lineage</x:v>
      </x:c>
      <x:c r="W26" s="2" t="str">
        <x:v>https://arxiv.org/abs/2511.12104</x:v>
      </x:c>
    </x:row>
    <x:row r="27" ht="23" customHeight="1">
      <x:c r="A27" s="2" t="str">
        <x:v>BIH</x:v>
      </x:c>
      <x:c r="B27" s="2" t="str">
        <x:v>Bosnia and Herzegovina</x:v>
      </x:c>
      <x:c r="C27" s="2" t="str">
        <x:v>TEMPO_PROXY</x:v>
      </x:c>
      <x:c r="D27" s="2" t="n">
        <x:v>2020</x:v>
      </x:c>
      <x:c r="E27" s="2" t="n">
        <x:v>2023</x:v>
      </x:c>
      <x:c r="F27" s="17" t="n">
        <x:v>247114206.72000027</x:v>
      </x:c>
      <x:c r="G27" s="17" t="n">
        <x:v>251211896.28119755</x:v>
      </x:c>
      <x:c r="H27" s="17" t="n">
        <x:v>247114206.72000027</x:v>
      </x:c>
      <x:c r="I27" s="17" t="n">
        <x:v>260873881.34</x:v>
      </x:c>
      <x:c r="J27" s="2" t="str">
        <x:v>m2</x:v>
      </x:c>
      <x:c r="K27" s="15" t="n">
        <x:f>IF(AND(ISNUMBER(F27),ISNUMBER(G27),F27&gt;0),G27/F27-1,"n.a.")</x:f>
        <x:v>0.01658216909333854</x:v>
      </x:c>
      <x:c r="L27" s="15" t="n">
        <x:f>IF(AND(N27,ISNUMBER(H27),ISNUMBER(I27),H27&gt;0),I27/H27-1,"n.a.")</x:f>
        <x:v>0.055681438969595654</x:v>
      </x:c>
      <x:c r="M27" s="20" t="n">
        <x:f>IF(AND(ISNUMBER(K27),ISNUMBER(L27)),100*(K27-L27),"n.a.")</x:f>
        <x:v>-3.9099269876257114</x:v>
      </x:c>
      <x:c r="N27" s="13" t="b">
        <x:v>1</x:v>
      </x:c>
      <x:c r="O27" s="13" t="b">
        <x:v>1</x:v>
      </x:c>
      <x:c r="P27" s="13" t="b">
        <x:v>0</x:v>
      </x:c>
      <x:c r="Q27" s="2" t="str">
        <x:v>legacy_epoch_source_QA_passed; new_common_native_support_not_certified</x:v>
      </x:c>
      <x:c r="R27" s="2" t="str">
        <x:v>legacy_epoch_source_QA_passed; new_common_native_support_not_certified</x:v>
      </x:c>
      <x:c r="S27" s="2" t="str">
        <x:v>inherited2020anchor</x:v>
      </x:c>
      <x:c r="T27" s="2" t="str">
        <x:v>unused2023converted-source comparator</x:v>
      </x:c>
      <x:c r="U27" s="2" t="str">
        <x:v>GFA growth versus source physical quantity growth; constant conversion required for equality</x:v>
      </x:c>
      <x:c r="V27" s="2" t="str">
        <x:v>2020 level is the model anchor; 2023 comparator unused by v16 fit but shares conversion/upstream lineage</x:v>
      </x:c>
      <x:c r="W27" s="2" t="str">
        <x:v>https://arxiv.org/abs/2511.12104</x:v>
      </x:c>
    </x:row>
    <x:row r="28" ht="23" customHeight="1">
      <x:c r="A28" s="2" t="str">
        <x:v>BLR</x:v>
      </x:c>
      <x:c r="B28" s="2" t="str">
        <x:v>Belarus (Republic of)</x:v>
      </x:c>
      <x:c r="C28" s="2" t="str">
        <x:v>TEMPO_PROXY</x:v>
      </x:c>
      <x:c r="D28" s="2" t="n">
        <x:v>2020</x:v>
      </x:c>
      <x:c r="E28" s="2" t="n">
        <x:v>2023</x:v>
      </x:c>
      <x:c r="F28" s="17" t="n">
        <x:v>672205246.4400003</x:v>
      </x:c>
      <x:c r="G28" s="17" t="n">
        <x:v>699202895.6286968</x:v>
      </x:c>
      <x:c r="H28" s="17" t="n">
        <x:v>672205246.4400003</x:v>
      </x:c>
      <x:c r="I28" s="17" t="n">
        <x:v>691145993.09</x:v>
      </x:c>
      <x:c r="J28" s="2" t="str">
        <x:v>m2</x:v>
      </x:c>
      <x:c r="K28" s="15" t="n">
        <x:f>IF(AND(ISNUMBER(F28),ISNUMBER(G28),F28&gt;0),G28/F28-1,"n.a.")</x:f>
        <x:v>0.04016280642211001</x:v>
      </x:c>
      <x:c r="L28" s="15" t="n">
        <x:f>IF(AND(N28,ISNUMBER(H28),ISNUMBER(I28),H28&gt;0),I28/H28-1,"n.a.")</x:f>
        <x:v>0.028177028891562372</x:v>
      </x:c>
      <x:c r="M28" s="20" t="n">
        <x:f>IF(AND(ISNUMBER(K28),ISNUMBER(L28)),100*(K28-L28),"n.a.")</x:f>
        <x:v>1.1985777530547637</x:v>
      </x:c>
      <x:c r="N28" s="13" t="b">
        <x:v>1</x:v>
      </x:c>
      <x:c r="O28" s="13" t="b">
        <x:v>1</x:v>
      </x:c>
      <x:c r="P28" s="13" t="b">
        <x:v>0</x:v>
      </x:c>
      <x:c r="Q28" s="2" t="str">
        <x:v>legacy_epoch_source_QA_passed; new_common_native_support_not_certified</x:v>
      </x:c>
      <x:c r="R28" s="2" t="str">
        <x:v>legacy_epoch_source_QA_passed; new_common_native_support_not_certified</x:v>
      </x:c>
      <x:c r="S28" s="2" t="str">
        <x:v>inherited2020anchor</x:v>
      </x:c>
      <x:c r="T28" s="2" t="str">
        <x:v>unused2023converted-source comparator</x:v>
      </x:c>
      <x:c r="U28" s="2" t="str">
        <x:v>GFA growth versus source physical quantity growth; constant conversion required for equality</x:v>
      </x:c>
      <x:c r="V28" s="2" t="str">
        <x:v>2020 level is the model anchor; 2023 comparator unused by v16 fit but shares conversion/upstream lineage</x:v>
      </x:c>
      <x:c r="W28" s="2" t="str">
        <x:v>https://arxiv.org/abs/2511.12104</x:v>
      </x:c>
    </x:row>
    <x:row r="29" ht="23" customHeight="1">
      <x:c r="A29" s="2" t="str">
        <x:v>BLZ</x:v>
      </x:c>
      <x:c r="B29" s="2" t="str">
        <x:v>Belize</x:v>
      </x:c>
      <x:c r="C29" s="2" t="str">
        <x:v>TEMPO_PROXY</x:v>
      </x:c>
      <x:c r="D29" s="2" t="n">
        <x:v>2020</x:v>
      </x:c>
      <x:c r="E29" s="2" t="n">
        <x:v>2023</x:v>
      </x:c>
      <x:c r="F29" s="17" t="n">
        <x:v>21867714.339999966</x:v>
      </x:c>
      <x:c r="G29" s="17" t="n">
        <x:v>23115627.76110608</x:v>
      </x:c>
      <x:c r="H29" s="17" t="n">
        <x:v>21867714.339999966</x:v>
      </x:c>
      <x:c r="I29" s="17" t="n">
        <x:v>23377063.81</x:v>
      </x:c>
      <x:c r="J29" s="2" t="str">
        <x:v>m2</x:v>
      </x:c>
      <x:c r="K29" s="15" t="n">
        <x:f>IF(AND(ISNUMBER(F29),ISNUMBER(G29),F29&gt;0),G29/F29-1,"n.a.")</x:f>
        <x:v>0.05706647716828184</x:v>
      </x:c>
      <x:c r="L29" s="15" t="n">
        <x:f>IF(AND(N29,ISNUMBER(H29),ISNUMBER(I29),H29&gt;0),I29/H29-1,"n.a.")</x:f>
        <x:v>0.06902182123529754</x:v>
      </x:c>
      <x:c r="M29" s="20" t="n">
        <x:f>IF(AND(ISNUMBER(K29),ISNUMBER(L29)),100*(K29-L29),"n.a.")</x:f>
        <x:v>-1.1955344067015705</x:v>
      </x:c>
      <x:c r="N29" s="13" t="b">
        <x:v>1</x:v>
      </x:c>
      <x:c r="O29" s="13" t="b">
        <x:v>1</x:v>
      </x:c>
      <x:c r="P29" s="13" t="b">
        <x:v>0</x:v>
      </x:c>
      <x:c r="Q29" s="2" t="str">
        <x:v>legacy_epoch_source_QA_passed; new_common_native_support_not_certified</x:v>
      </x:c>
      <x:c r="R29" s="2" t="str">
        <x:v>legacy_epoch_source_QA_passed; new_common_native_support_not_certified</x:v>
      </x:c>
      <x:c r="S29" s="2" t="str">
        <x:v>inherited2020anchor</x:v>
      </x:c>
      <x:c r="T29" s="2" t="str">
        <x:v>unused2023converted-source comparator</x:v>
      </x:c>
      <x:c r="U29" s="2" t="str">
        <x:v>GFA growth versus source physical quantity growth; constant conversion required for equality</x:v>
      </x:c>
      <x:c r="V29" s="2" t="str">
        <x:v>2020 level is the model anchor; 2023 comparator unused by v16 fit but shares conversion/upstream lineage</x:v>
      </x:c>
      <x:c r="W29" s="2" t="str">
        <x:v>https://arxiv.org/abs/2511.12104</x:v>
      </x:c>
    </x:row>
    <x:row r="30" ht="23" customHeight="1">
      <x:c r="A30" s="2" t="str">
        <x:v>BOL</x:v>
      </x:c>
      <x:c r="B30" s="2" t="str">
        <x:v>Bolivia (Plurinational State of)</x:v>
      </x:c>
      <x:c r="C30" s="2" t="str">
        <x:v>TEMPO_PROXY</x:v>
      </x:c>
      <x:c r="D30" s="2" t="n">
        <x:v>2020</x:v>
      </x:c>
      <x:c r="E30" s="2" t="n">
        <x:v>2023</x:v>
      </x:c>
      <x:c r="F30" s="17" t="n">
        <x:v>496419008.9399992</x:v>
      </x:c>
      <x:c r="G30" s="17" t="n">
        <x:v>539024897.6683519</x:v>
      </x:c>
      <x:c r="H30" s="17" t="n">
        <x:v>496419008.9399992</x:v>
      </x:c>
      <x:c r="I30" s="17" t="n">
        <x:v>536161611.56</x:v>
      </x:c>
      <x:c r="J30" s="2" t="str">
        <x:v>m2</x:v>
      </x:c>
      <x:c r="K30" s="15" t="n">
        <x:f>IF(AND(ISNUMBER(F30),ISNUMBER(G30),F30&gt;0),G30/F30-1,"n.a.")</x:f>
        <x:v>0.0858264650649232</x:v>
      </x:c>
      <x:c r="L30" s="15" t="n">
        <x:f>IF(AND(N30,ISNUMBER(H30),ISNUMBER(I30),H30&gt;0),I30/H30-1,"n.a.")</x:f>
        <x:v>0.08005858338274141</x:v>
      </x:c>
      <x:c r="M30" s="20" t="n">
        <x:f>IF(AND(ISNUMBER(K30),ISNUMBER(L30)),100*(K30-L30),"n.a.")</x:f>
        <x:v>0.5767881682181786</x:v>
      </x:c>
      <x:c r="N30" s="13" t="b">
        <x:v>1</x:v>
      </x:c>
      <x:c r="O30" s="13" t="b">
        <x:v>1</x:v>
      </x:c>
      <x:c r="P30" s="13" t="b">
        <x:v>0</x:v>
      </x:c>
      <x:c r="Q30" s="2" t="str">
        <x:v>legacy_epoch_source_QA_passed; new_common_native_support_not_certified</x:v>
      </x:c>
      <x:c r="R30" s="2" t="str">
        <x:v>legacy_epoch_source_QA_passed; new_common_native_support_not_certified</x:v>
      </x:c>
      <x:c r="S30" s="2" t="str">
        <x:v>inherited2020anchor</x:v>
      </x:c>
      <x:c r="T30" s="2" t="str">
        <x:v>unused2023converted-source comparator</x:v>
      </x:c>
      <x:c r="U30" s="2" t="str">
        <x:v>GFA growth versus source physical quantity growth; constant conversion required for equality</x:v>
      </x:c>
      <x:c r="V30" s="2" t="str">
        <x:v>2020 level is the model anchor; 2023 comparator unused by v16 fit but shares conversion/upstream lineage</x:v>
      </x:c>
      <x:c r="W30" s="2" t="str">
        <x:v>https://arxiv.org/abs/2511.12104</x:v>
      </x:c>
    </x:row>
    <x:row r="31" ht="23" customHeight="1">
      <x:c r="A31" s="2" t="str">
        <x:v>BRA</x:v>
      </x:c>
      <x:c r="B31" s="2" t="str">
        <x:v>Brazil (Federative Republic of)</x:v>
      </x:c>
      <x:c r="C31" s="2" t="str">
        <x:v>TEMPO_PROXY</x:v>
      </x:c>
      <x:c r="D31" s="2" t="n">
        <x:v>2020</x:v>
      </x:c>
      <x:c r="E31" s="2" t="n">
        <x:v>2023</x:v>
      </x:c>
      <x:c r="F31" s="17" t="n">
        <x:v>12112839681.859997</x:v>
      </x:c>
      <x:c r="G31" s="17" t="n">
        <x:v>12777477492.222046</x:v>
      </x:c>
      <x:c r="H31" s="17" t="n">
        <x:v>12112839681.859997</x:v>
      </x:c>
      <x:c r="I31" s="17" t="n">
        <x:v>12899655171.43</x:v>
      </x:c>
      <x:c r="J31" s="2" t="str">
        <x:v>m2</x:v>
      </x:c>
      <x:c r="K31" s="15" t="n">
        <x:f>IF(AND(ISNUMBER(F31),ISNUMBER(G31),F31&gt;0),G31/F31-1,"n.a.")</x:f>
        <x:v>0.05487051986310032</x:v>
      </x:c>
      <x:c r="L31" s="15" t="n">
        <x:f>IF(AND(N31,ISNUMBER(H31),ISNUMBER(I31),H31&gt;0),I31/H31-1,"n.a.")</x:f>
        <x:v>0.06495714549481946</x:v>
      </x:c>
      <x:c r="M31" s="20" t="n">
        <x:f>IF(AND(ISNUMBER(K31),ISNUMBER(L31)),100*(K31-L31),"n.a.")</x:f>
        <x:v>-1.0086625631719137</x:v>
      </x:c>
      <x:c r="N31" s="13" t="b">
        <x:v>1</x:v>
      </x:c>
      <x:c r="O31" s="13" t="b">
        <x:v>1</x:v>
      </x:c>
      <x:c r="P31" s="13" t="b">
        <x:v>0</x:v>
      </x:c>
      <x:c r="Q31" s="2" t="str">
        <x:v>legacy_epoch_source_QA_passed; new_common_native_support_not_certified</x:v>
      </x:c>
      <x:c r="R31" s="2" t="str">
        <x:v>legacy_epoch_source_QA_passed; new_common_native_support_not_certified</x:v>
      </x:c>
      <x:c r="S31" s="2" t="str">
        <x:v>inherited2020anchor</x:v>
      </x:c>
      <x:c r="T31" s="2" t="str">
        <x:v>unused2023converted-source comparator</x:v>
      </x:c>
      <x:c r="U31" s="2" t="str">
        <x:v>GFA growth versus source physical quantity growth; constant conversion required for equality</x:v>
      </x:c>
      <x:c r="V31" s="2" t="str">
        <x:v>2020 level is the model anchor; 2023 comparator unused by v16 fit but shares conversion/upstream lineage</x:v>
      </x:c>
      <x:c r="W31" s="2" t="str">
        <x:v>https://arxiv.org/abs/2511.12104</x:v>
      </x:c>
    </x:row>
    <x:row r="32" ht="23" customHeight="1">
      <x:c r="A32" s="2" t="str">
        <x:v>BRB</x:v>
      </x:c>
      <x:c r="B32" s="2" t="str">
        <x:v>Barbados</x:v>
      </x:c>
      <x:c r="C32" s="2" t="str">
        <x:v>TEMPO_PROXY</x:v>
      </x:c>
      <x:c r="D32" s="2" t="n">
        <x:v>2020</x:v>
      </x:c>
      <x:c r="E32" s="2" t="n">
        <x:v>2023</x:v>
      </x:c>
      <x:c r="F32" s="17" t="n">
        <x:v>23684585.840000004</x:v>
      </x:c>
      <x:c r="G32" s="17" t="n">
        <x:v>24170733.972350426</x:v>
      </x:c>
      <x:c r="H32" s="17" t="n">
        <x:v>23684585.840000004</x:v>
      </x:c>
      <x:c r="I32" s="17" t="n">
        <x:v>24526039.72</x:v>
      </x:c>
      <x:c r="J32" s="2" t="str">
        <x:v>m2</x:v>
      </x:c>
      <x:c r="K32" s="15" t="n">
        <x:f>IF(AND(ISNUMBER(F32),ISNUMBER(G32),F32&gt;0),G32/F32-1,"n.a.")</x:f>
        <x:v>0.020525929211284044</x:v>
      </x:c>
      <x:c r="L32" s="15" t="n">
        <x:f>IF(AND(N32,ISNUMBER(H32),ISNUMBER(I32),H32&gt;0),I32/H32-1,"n.a.")</x:f>
        <x:v>0.03552748972198172</x:v>
      </x:c>
      <x:c r="M32" s="20" t="n">
        <x:f>IF(AND(ISNUMBER(K32),ISNUMBER(L32)),100*(K32-L32),"n.a.")</x:f>
        <x:v>-1.5001560510697676</x:v>
      </x:c>
      <x:c r="N32" s="13" t="b">
        <x:v>1</x:v>
      </x:c>
      <x:c r="O32" s="13" t="b">
        <x:v>1</x:v>
      </x:c>
      <x:c r="P32" s="13" t="b">
        <x:v>0</x:v>
      </x:c>
      <x:c r="Q32" s="2" t="str">
        <x:v>legacy_epoch_source_QA_passed; new_common_native_support_not_certified</x:v>
      </x:c>
      <x:c r="R32" s="2" t="str">
        <x:v>legacy_epoch_source_QA_passed; new_common_native_support_not_certified</x:v>
      </x:c>
      <x:c r="S32" s="2" t="str">
        <x:v>inherited2020anchor</x:v>
      </x:c>
      <x:c r="T32" s="2" t="str">
        <x:v>unused2023converted-source comparator</x:v>
      </x:c>
      <x:c r="U32" s="2" t="str">
        <x:v>GFA growth versus source physical quantity growth; constant conversion required for equality</x:v>
      </x:c>
      <x:c r="V32" s="2" t="str">
        <x:v>2020 level is the model anchor; 2023 comparator unused by v16 fit but shares conversion/upstream lineage</x:v>
      </x:c>
      <x:c r="W32" s="2" t="str">
        <x:v>https://arxiv.org/abs/2511.12104</x:v>
      </x:c>
    </x:row>
    <x:row r="33" ht="23" customHeight="1">
      <x:c r="A33" s="2" t="str">
        <x:v>BRN</x:v>
      </x:c>
      <x:c r="B33" s="2" t="str">
        <x:v>Brunei Darussalam</x:v>
      </x:c>
      <x:c r="C33" s="2" t="str">
        <x:v>TEMPO_PROXY</x:v>
      </x:c>
      <x:c r="D33" s="2" t="n">
        <x:v>2020</x:v>
      </x:c>
      <x:c r="E33" s="2" t="n">
        <x:v>2023</x:v>
      </x:c>
      <x:c r="F33" s="17" t="n">
        <x:v>37849769.86000001</x:v>
      </x:c>
      <x:c r="G33" s="17" t="n">
        <x:v>40249225.03655419</x:v>
      </x:c>
      <x:c r="H33" s="17" t="n">
        <x:v>37849769.86000001</x:v>
      </x:c>
      <x:c r="I33" s="17" t="n">
        <x:v>39594012.79</x:v>
      </x:c>
      <x:c r="J33" s="2" t="str">
        <x:v>m2</x:v>
      </x:c>
      <x:c r="K33" s="15" t="n">
        <x:f>IF(AND(ISNUMBER(F33),ISNUMBER(G33),F33&gt;0),G33/F33-1,"n.a.")</x:f>
        <x:v>0.06339418140267084</x:v>
      </x:c>
      <x:c r="L33" s="15" t="n">
        <x:f>IF(AND(N33,ISNUMBER(H33),ISNUMBER(I33),H33&gt;0),I33/H33-1,"n.a.")</x:f>
        <x:v>0.04608331666088472</x:v>
      </x:c>
      <x:c r="M33" s="20" t="n">
        <x:f>IF(AND(ISNUMBER(K33),ISNUMBER(L33)),100*(K33-L33),"n.a.")</x:f>
        <x:v>1.7310864741786114</x:v>
      </x:c>
      <x:c r="N33" s="13" t="b">
        <x:v>1</x:v>
      </x:c>
      <x:c r="O33" s="13" t="b">
        <x:v>1</x:v>
      </x:c>
      <x:c r="P33" s="13" t="b">
        <x:v>0</x:v>
      </x:c>
      <x:c r="Q33" s="2" t="str">
        <x:v>legacy_epoch_source_QA_passed; new_common_native_support_not_certified</x:v>
      </x:c>
      <x:c r="R33" s="2" t="str">
        <x:v>legacy_epoch_source_QA_passed; new_common_native_support_not_certified</x:v>
      </x:c>
      <x:c r="S33" s="2" t="str">
        <x:v>inherited2020anchor</x:v>
      </x:c>
      <x:c r="T33" s="2" t="str">
        <x:v>unused2023converted-source comparator</x:v>
      </x:c>
      <x:c r="U33" s="2" t="str">
        <x:v>GFA growth versus source physical quantity growth; constant conversion required for equality</x:v>
      </x:c>
      <x:c r="V33" s="2" t="str">
        <x:v>2020 level is the model anchor; 2023 comparator unused by v16 fit but shares conversion/upstream lineage</x:v>
      </x:c>
      <x:c r="W33" s="2" t="str">
        <x:v>https://arxiv.org/abs/2511.12104</x:v>
      </x:c>
    </x:row>
    <x:row r="34" ht="23" customHeight="1">
      <x:c r="A34" s="2" t="str">
        <x:v>BTN</x:v>
      </x:c>
      <x:c r="B34" s="2" t="str">
        <x:v>Bhutan (Kingdom of)</x:v>
      </x:c>
      <x:c r="C34" s="2" t="str">
        <x:v>TEMPO_PROXY</x:v>
      </x:c>
      <x:c r="D34" s="2" t="n">
        <x:v>2020</x:v>
      </x:c>
      <x:c r="E34" s="2" t="n">
        <x:v>2023</x:v>
      </x:c>
      <x:c r="F34" s="17" t="n">
        <x:v>27177544.510000043</x:v>
      </x:c>
      <x:c r="G34" s="17" t="n">
        <x:v>29650984.242419805</x:v>
      </x:c>
      <x:c r="H34" s="17" t="n">
        <x:v>27177544.510000043</x:v>
      </x:c>
      <x:c r="I34" s="17" t="n">
        <x:v>31057262.36</x:v>
      </x:c>
      <x:c r="J34" s="2" t="str">
        <x:v>m2</x:v>
      </x:c>
      <x:c r="K34" s="15" t="n">
        <x:f>IF(AND(ISNUMBER(F34),ISNUMBER(G34),F34&gt;0),G34/F34-1,"n.a.")</x:f>
        <x:v>0.09101041970549084</x:v>
      </x:c>
      <x:c r="L34" s="15" t="n">
        <x:f>IF(AND(N34,ISNUMBER(H34),ISNUMBER(I34),H34&gt;0),I34/H34-1,"n.a.")</x:f>
        <x:v>0.14275453945342287</x:v>
      </x:c>
      <x:c r="M34" s="20" t="n">
        <x:f>IF(AND(ISNUMBER(K34),ISNUMBER(L34)),100*(K34-L34),"n.a.")</x:f>
        <x:v>-5.174411974793203</x:v>
      </x:c>
      <x:c r="N34" s="13" t="b">
        <x:v>1</x:v>
      </x:c>
      <x:c r="O34" s="13" t="b">
        <x:v>1</x:v>
      </x:c>
      <x:c r="P34" s="13" t="b">
        <x:v>0</x:v>
      </x:c>
      <x:c r="Q34" s="2" t="str">
        <x:v>legacy_epoch_source_QA_passed; new_common_native_support_not_certified</x:v>
      </x:c>
      <x:c r="R34" s="2" t="str">
        <x:v>legacy_epoch_source_QA_passed; new_common_native_support_not_certified</x:v>
      </x:c>
      <x:c r="S34" s="2" t="str">
        <x:v>inherited2020anchor</x:v>
      </x:c>
      <x:c r="T34" s="2" t="str">
        <x:v>unused2023converted-source comparator</x:v>
      </x:c>
      <x:c r="U34" s="2" t="str">
        <x:v>GFA growth versus source physical quantity growth; constant conversion required for equality</x:v>
      </x:c>
      <x:c r="V34" s="2" t="str">
        <x:v>2020 level is the model anchor; 2023 comparator unused by v16 fit but shares conversion/upstream lineage</x:v>
      </x:c>
      <x:c r="W34" s="2" t="str">
        <x:v>https://arxiv.org/abs/2511.12104</x:v>
      </x:c>
    </x:row>
    <x:row r="35" ht="23" customHeight="1">
      <x:c r="A35" s="2" t="str">
        <x:v>BWA</x:v>
      </x:c>
      <x:c r="B35" s="2" t="str">
        <x:v>Botswana (Republic of)</x:v>
      </x:c>
      <x:c r="C35" s="2" t="str">
        <x:v>TEMPO_PROXY</x:v>
      </x:c>
      <x:c r="D35" s="2" t="n">
        <x:v>2020</x:v>
      </x:c>
      <x:c r="E35" s="2" t="n">
        <x:v>2023</x:v>
      </x:c>
      <x:c r="F35" s="17" t="n">
        <x:v>118564613.02000009</x:v>
      </x:c>
      <x:c r="G35" s="17" t="n">
        <x:v>122713658.58198829</x:v>
      </x:c>
      <x:c r="H35" s="17" t="n">
        <x:v>118564613.02000009</x:v>
      </x:c>
      <x:c r="I35" s="17" t="n">
        <x:v>131491809.12</x:v>
      </x:c>
      <x:c r="J35" s="2" t="str">
        <x:v>m2</x:v>
      </x:c>
      <x:c r="K35" s="15" t="n">
        <x:f>IF(AND(ISNUMBER(F35),ISNUMBER(G35),F35&gt;0),G35/F35-1,"n.a.")</x:f>
        <x:v>0.034993961995121836</x:v>
      </x:c>
      <x:c r="L35" s="15" t="n">
        <x:f>IF(AND(N35,ISNUMBER(H35),ISNUMBER(I35),H35&gt;0),I35/H35-1,"n.a.")</x:f>
        <x:v>0.10903081257321934</x:v>
      </x:c>
      <x:c r="M35" s="20" t="n">
        <x:f>IF(AND(ISNUMBER(K35),ISNUMBER(L35)),100*(K35-L35),"n.a.")</x:f>
        <x:v>-7.40368505780975</x:v>
      </x:c>
      <x:c r="N35" s="13" t="b">
        <x:v>1</x:v>
      </x:c>
      <x:c r="O35" s="13" t="b">
        <x:v>1</x:v>
      </x:c>
      <x:c r="P35" s="13" t="b">
        <x:v>0</x:v>
      </x:c>
      <x:c r="Q35" s="2" t="str">
        <x:v>legacy_epoch_source_QA_passed; new_common_native_support_not_certified</x:v>
      </x:c>
      <x:c r="R35" s="2" t="str">
        <x:v>legacy_epoch_source_QA_passed; new_common_native_support_not_certified</x:v>
      </x:c>
      <x:c r="S35" s="2" t="str">
        <x:v>inherited2020anchor</x:v>
      </x:c>
      <x:c r="T35" s="2" t="str">
        <x:v>unused2023converted-source comparator</x:v>
      </x:c>
      <x:c r="U35" s="2" t="str">
        <x:v>GFA growth versus source physical quantity growth; constant conversion required for equality</x:v>
      </x:c>
      <x:c r="V35" s="2" t="str">
        <x:v>2020 level is the model anchor; 2023 comparator unused by v16 fit but shares conversion/upstream lineage</x:v>
      </x:c>
      <x:c r="W35" s="2" t="str">
        <x:v>https://arxiv.org/abs/2511.12104</x:v>
      </x:c>
    </x:row>
    <x:row r="36" ht="23" customHeight="1">
      <x:c r="A36" s="2" t="str">
        <x:v>CAF</x:v>
      </x:c>
      <x:c r="B36" s="2" t="str">
        <x:v>Central African Republic</x:v>
      </x:c>
      <x:c r="C36" s="2" t="str">
        <x:v>TEMPO_PROXY</x:v>
      </x:c>
      <x:c r="D36" s="2" t="n">
        <x:v>2020</x:v>
      </x:c>
      <x:c r="E36" s="2" t="n">
        <x:v>2023</x:v>
      </x:c>
      <x:c r="F36" s="17" t="n">
        <x:v>66989106.04000005</x:v>
      </x:c>
      <x:c r="G36" s="17" t="n">
        <x:v>74971085.86685422</x:v>
      </x:c>
      <x:c r="H36" s="17" t="n">
        <x:v>66989106.04000005</x:v>
      </x:c>
      <x:c r="I36" s="17" t="n">
        <x:v>72080997.57</x:v>
      </x:c>
      <x:c r="J36" s="2" t="str">
        <x:v>m2</x:v>
      </x:c>
      <x:c r="K36" s="15" t="n">
        <x:f>IF(AND(ISNUMBER(F36),ISNUMBER(G36),F36&gt;0),G36/F36-1,"n.a.")</x:f>
        <x:v>0.11915340118269424</x:v>
      </x:c>
      <x:c r="L36" s="15" t="n">
        <x:f>IF(AND(N36,ISNUMBER(H36),ISNUMBER(I36),H36&gt;0),I36/H36-1,"n.a.")</x:f>
        <x:v>0.07601074011884124</x:v>
      </x:c>
      <x:c r="M36" s="20" t="n">
        <x:f>IF(AND(ISNUMBER(K36),ISNUMBER(L36)),100*(K36-L36),"n.a.")</x:f>
        <x:v>4.3142661063853005</x:v>
      </x:c>
      <x:c r="N36" s="13" t="b">
        <x:v>1</x:v>
      </x:c>
      <x:c r="O36" s="13" t="b">
        <x:v>1</x:v>
      </x:c>
      <x:c r="P36" s="13" t="b">
        <x:v>0</x:v>
      </x:c>
      <x:c r="Q36" s="2" t="str">
        <x:v>legacy_epoch_source_QA_passed; new_common_native_support_not_certified</x:v>
      </x:c>
      <x:c r="R36" s="2" t="str">
        <x:v>legacy_epoch_source_QA_passed; new_common_native_support_not_certified</x:v>
      </x:c>
      <x:c r="S36" s="2" t="str">
        <x:v>inherited2020anchor</x:v>
      </x:c>
      <x:c r="T36" s="2" t="str">
        <x:v>unused2023converted-source comparator</x:v>
      </x:c>
      <x:c r="U36" s="2" t="str">
        <x:v>GFA growth versus source physical quantity growth; constant conversion required for equality</x:v>
      </x:c>
      <x:c r="V36" s="2" t="str">
        <x:v>2020 level is the model anchor; 2023 comparator unused by v16 fit but shares conversion/upstream lineage</x:v>
      </x:c>
      <x:c r="W36" s="2" t="str">
        <x:v>https://arxiv.org/abs/2511.12104</x:v>
      </x:c>
    </x:row>
    <x:row r="37" ht="23" customHeight="1">
      <x:c r="A37" s="2" t="str">
        <x:v>CAN</x:v>
      </x:c>
      <x:c r="B37" s="2" t="str">
        <x:v>Canada</x:v>
      </x:c>
      <x:c r="C37" s="2" t="str">
        <x:v>TEMPO_PROXY</x:v>
      </x:c>
      <x:c r="D37" s="2" t="n">
        <x:v>2020</x:v>
      </x:c>
      <x:c r="E37" s="2" t="n">
        <x:v>2023</x:v>
      </x:c>
      <x:c r="F37" s="17" t="n">
        <x:v>2941628265.260001</x:v>
      </x:c>
      <x:c r="G37" s="17" t="n">
        <x:v>3187920876.377938</x:v>
      </x:c>
      <x:c r="H37" s="17" t="n">
        <x:v>2941628265.260001</x:v>
      </x:c>
      <x:c r="I37" s="17" t="n">
        <x:v>3124236708.89</x:v>
      </x:c>
      <x:c r="J37" s="2" t="str">
        <x:v>m2</x:v>
      </x:c>
      <x:c r="K37" s="15" t="n">
        <x:f>IF(AND(ISNUMBER(F37),ISNUMBER(G37),F37&gt;0),G37/F37-1,"n.a.")</x:f>
        <x:v>0.08372662651722496</x:v>
      </x:c>
      <x:c r="L37" s="15" t="n">
        <x:f>IF(AND(N37,ISNUMBER(H37),ISNUMBER(I37),H37&gt;0),I37/H37-1,"n.a.")</x:f>
        <x:v>0.06207733512305591</x:v>
      </x:c>
      <x:c r="M37" s="20" t="n">
        <x:f>IF(AND(ISNUMBER(K37),ISNUMBER(L37)),100*(K37-L37),"n.a.")</x:f>
        <x:v>2.1649291394169046</x:v>
      </x:c>
      <x:c r="N37" s="13" t="b">
        <x:v>1</x:v>
      </x:c>
      <x:c r="O37" s="13" t="b">
        <x:v>1</x:v>
      </x:c>
      <x:c r="P37" s="13" t="b">
        <x:v>0</x:v>
      </x:c>
      <x:c r="Q37" s="2" t="str">
        <x:v>legacy_epoch_source_QA_passed; new_common_native_support_not_certified</x:v>
      </x:c>
      <x:c r="R37" s="2" t="str">
        <x:v>legacy_epoch_source_QA_passed; new_common_native_support_not_certified</x:v>
      </x:c>
      <x:c r="S37" s="2" t="str">
        <x:v>inherited2020anchor</x:v>
      </x:c>
      <x:c r="T37" s="2" t="str">
        <x:v>unused2023converted-source comparator</x:v>
      </x:c>
      <x:c r="U37" s="2" t="str">
        <x:v>GFA growth versus source physical quantity growth; constant conversion required for equality</x:v>
      </x:c>
      <x:c r="V37" s="2" t="str">
        <x:v>2020 level is the model anchor; 2023 comparator unused by v16 fit but shares conversion/upstream lineage</x:v>
      </x:c>
      <x:c r="W37" s="2" t="str">
        <x:v>https://arxiv.org/abs/2511.12104</x:v>
      </x:c>
    </x:row>
    <x:row r="38" ht="23" customHeight="1">
      <x:c r="A38" s="2" t="str">
        <x:v>CHE</x:v>
      </x:c>
      <x:c r="B38" s="2" t="str">
        <x:v>Switzerland (Swiss Confederation)</x:v>
      </x:c>
      <x:c r="C38" s="2" t="str">
        <x:v>TEMPO_PROXY</x:v>
      </x:c>
      <x:c r="D38" s="2" t="n">
        <x:v>2020</x:v>
      </x:c>
      <x:c r="E38" s="2" t="n">
        <x:v>2023</x:v>
      </x:c>
      <x:c r="F38" s="17" t="n">
        <x:v>554094959.2900008</x:v>
      </x:c>
      <x:c r="G38" s="17" t="n">
        <x:v>599198878.0750616</x:v>
      </x:c>
      <x:c r="H38" s="17" t="n">
        <x:v>554094959.2900008</x:v>
      </x:c>
      <x:c r="I38" s="17" t="n">
        <x:v>571802111.84</x:v>
      </x:c>
      <x:c r="J38" s="2" t="str">
        <x:v>m2</x:v>
      </x:c>
      <x:c r="K38" s="15" t="n">
        <x:f>IF(AND(ISNUMBER(F38),ISNUMBER(G38),F38&gt;0),G38/F38-1,"n.a.")</x:f>
        <x:v>0.08140106317309836</x:v>
      </x:c>
      <x:c r="L38" s="15" t="n">
        <x:f>IF(AND(N38,ISNUMBER(H38),ISNUMBER(I38),H38&gt;0),I38/H38-1,"n.a.")</x:f>
        <x:v>0.03195689159975146</x:v>
      </x:c>
      <x:c r="M38" s="20" t="n">
        <x:f>IF(AND(ISNUMBER(K38),ISNUMBER(L38)),100*(K38-L38),"n.a.")</x:f>
        <x:v>4.944417157334691</x:v>
      </x:c>
      <x:c r="N38" s="13" t="b">
        <x:v>1</x:v>
      </x:c>
      <x:c r="O38" s="13" t="b">
        <x:v>1</x:v>
      </x:c>
      <x:c r="P38" s="13" t="b">
        <x:v>0</x:v>
      </x:c>
      <x:c r="Q38" s="2" t="str">
        <x:v>legacy_epoch_source_QA_passed; new_common_native_support_not_certified</x:v>
      </x:c>
      <x:c r="R38" s="2" t="str">
        <x:v>legacy_epoch_source_QA_passed; new_common_native_support_not_certified</x:v>
      </x:c>
      <x:c r="S38" s="2" t="str">
        <x:v>inherited2020anchor</x:v>
      </x:c>
      <x:c r="T38" s="2" t="str">
        <x:v>unused2023converted-source comparator</x:v>
      </x:c>
      <x:c r="U38" s="2" t="str">
        <x:v>GFA growth versus source physical quantity growth; constant conversion required for equality</x:v>
      </x:c>
      <x:c r="V38" s="2" t="str">
        <x:v>2020 level is the model anchor; 2023 comparator unused by v16 fit but shares conversion/upstream lineage</x:v>
      </x:c>
      <x:c r="W38" s="2" t="str">
        <x:v>https://arxiv.org/abs/2511.12104</x:v>
      </x:c>
    </x:row>
    <x:row r="39" ht="23" customHeight="1">
      <x:c r="A39" s="2" t="str">
        <x:v>CHL</x:v>
      </x:c>
      <x:c r="B39" s="2" t="str">
        <x:v>Chile (Republic of)</x:v>
      </x:c>
      <x:c r="C39" s="2" t="str">
        <x:v>TEMPO_PROXY</x:v>
      </x:c>
      <x:c r="D39" s="2" t="n">
        <x:v>2020</x:v>
      </x:c>
      <x:c r="E39" s="2" t="n">
        <x:v>2023</x:v>
      </x:c>
      <x:c r="F39" s="17" t="n">
        <x:v>986436316.0700014</x:v>
      </x:c>
      <x:c r="G39" s="17" t="n">
        <x:v>1055630735.2526693</x:v>
      </x:c>
      <x:c r="H39" s="17" t="n">
        <x:v>986436316.0700014</x:v>
      </x:c>
      <x:c r="I39" s="17" t="n">
        <x:v>1072527701.08</x:v>
      </x:c>
      <x:c r="J39" s="2" t="str">
        <x:v>m2</x:v>
      </x:c>
      <x:c r="K39" s="15" t="n">
        <x:f>IF(AND(ISNUMBER(F39),ISNUMBER(G39),F39&gt;0),G39/F39-1,"n.a.")</x:f>
        <x:v>0.07014585539423468</x:v>
      </x:c>
      <x:c r="L39" s="15" t="n">
        <x:f>IF(AND(N39,ISNUMBER(H39),ISNUMBER(I39),H39&gt;0),I39/H39-1,"n.a.")</x:f>
        <x:v>0.08727515766348692</x:v>
      </x:c>
      <x:c r="M39" s="20" t="n">
        <x:f>IF(AND(ISNUMBER(K39),ISNUMBER(L39)),100*(K39-L39),"n.a.")</x:f>
        <x:v>-1.7129302269252245</x:v>
      </x:c>
      <x:c r="N39" s="13" t="b">
        <x:v>1</x:v>
      </x:c>
      <x:c r="O39" s="13" t="b">
        <x:v>1</x:v>
      </x:c>
      <x:c r="P39" s="13" t="b">
        <x:v>0</x:v>
      </x:c>
      <x:c r="Q39" s="2" t="str">
        <x:v>legacy_epoch_source_QA_passed; new_common_native_support_not_certified</x:v>
      </x:c>
      <x:c r="R39" s="2" t="str">
        <x:v>legacy_epoch_source_QA_passed; new_common_native_support_not_certified</x:v>
      </x:c>
      <x:c r="S39" s="2" t="str">
        <x:v>inherited2020anchor</x:v>
      </x:c>
      <x:c r="T39" s="2" t="str">
        <x:v>unused2023converted-source comparator</x:v>
      </x:c>
      <x:c r="U39" s="2" t="str">
        <x:v>GFA growth versus source physical quantity growth; constant conversion required for equality</x:v>
      </x:c>
      <x:c r="V39" s="2" t="str">
        <x:v>2020 level is the model anchor; 2023 comparator unused by v16 fit but shares conversion/upstream lineage</x:v>
      </x:c>
      <x:c r="W39" s="2" t="str">
        <x:v>https://arxiv.org/abs/2511.12104</x:v>
      </x:c>
    </x:row>
    <x:row r="40" ht="23" customHeight="1">
      <x:c r="A40" s="2" t="str">
        <x:v>CHN</x:v>
      </x:c>
      <x:c r="B40" s="2" t="str">
        <x:v>China (People's Republic of)</x:v>
      </x:c>
      <x:c r="C40" s="2" t="str">
        <x:v>TEMPO_PROXY</x:v>
      </x:c>
      <x:c r="D40" s="2" t="n">
        <x:v>2020</x:v>
      </x:c>
      <x:c r="E40" s="2" t="n">
        <x:v>2023</x:v>
      </x:c>
      <x:c r="F40" s="17" t="n">
        <x:v>86144650012.34993</x:v>
      </x:c>
      <x:c r="G40" s="17" t="n">
        <x:v>90625662469.73807</x:v>
      </x:c>
      <x:c r="H40" s="17" t="n">
        <x:v>86144650012.34993</x:v>
      </x:c>
      <x:c r="I40" s="17" t="n">
        <x:v>97062140040.85</x:v>
      </x:c>
      <x:c r="J40" s="2" t="str">
        <x:v>m2</x:v>
      </x:c>
      <x:c r="K40" s="15" t="n">
        <x:f>IF(AND(ISNUMBER(F40),ISNUMBER(G40),F40&gt;0),G40/F40-1,"n.a.")</x:f>
        <x:v>0.05201730411285821</x:v>
      </x:c>
      <x:c r="L40" s="15" t="n">
        <x:f>IF(AND(N40,ISNUMBER(H40),ISNUMBER(I40),H40&gt;0),I40/H40-1,"n.a.")</x:f>
        <x:v>0.12673439414908438</x:v>
      </x:c>
      <x:c r="M40" s="20" t="n">
        <x:f>IF(AND(ISNUMBER(K40),ISNUMBER(L40)),100*(K40-L40),"n.a.")</x:f>
        <x:v>-7.4717090036226175</x:v>
      </x:c>
      <x:c r="N40" s="13" t="b">
        <x:v>1</x:v>
      </x:c>
      <x:c r="O40" s="13" t="b">
        <x:v>1</x:v>
      </x:c>
      <x:c r="P40" s="13" t="b">
        <x:v>0</x:v>
      </x:c>
      <x:c r="Q40" s="2" t="str">
        <x:v>legacy_epoch_source_QA_passed; new_common_native_support_not_certified</x:v>
      </x:c>
      <x:c r="R40" s="2" t="str">
        <x:v>legacy_epoch_source_QA_passed; new_common_native_support_not_certified</x:v>
      </x:c>
      <x:c r="S40" s="2" t="str">
        <x:v>inherited2020anchor</x:v>
      </x:c>
      <x:c r="T40" s="2" t="str">
        <x:v>unused2023converted-source comparator</x:v>
      </x:c>
      <x:c r="U40" s="2" t="str">
        <x:v>GFA growth versus source physical quantity growth; constant conversion required for equality</x:v>
      </x:c>
      <x:c r="V40" s="2" t="str">
        <x:v>2020 level is the model anchor; 2023 comparator unused by v16 fit but shares conversion/upstream lineage</x:v>
      </x:c>
      <x:c r="W40" s="2" t="str">
        <x:v>https://arxiv.org/abs/2511.12104</x:v>
      </x:c>
    </x:row>
    <x:row r="41" ht="23" customHeight="1">
      <x:c r="A41" s="2" t="str">
        <x:v>CIV</x:v>
      </x:c>
      <x:c r="B41" s="2" t="str">
        <x:v>Côte d'Ivoire (Republic of)</x:v>
      </x:c>
      <x:c r="C41" s="2" t="str">
        <x:v>TEMPO_PROXY</x:v>
      </x:c>
      <x:c r="D41" s="2" t="n">
        <x:v>2020</x:v>
      </x:c>
      <x:c r="E41" s="2" t="n">
        <x:v>2023</x:v>
      </x:c>
      <x:c r="F41" s="17" t="n">
        <x:v>602828854.8199993</x:v>
      </x:c>
      <x:c r="G41" s="17" t="n">
        <x:v>668470983.6666439</x:v>
      </x:c>
      <x:c r="H41" s="17" t="n">
        <x:v>602828854.8199993</x:v>
      </x:c>
      <x:c r="I41" s="17" t="n">
        <x:v>672252471.54</x:v>
      </x:c>
      <x:c r="J41" s="2" t="str">
        <x:v>m2</x:v>
      </x:c>
      <x:c r="K41" s="15" t="n">
        <x:f>IF(AND(ISNUMBER(F41),ISNUMBER(G41),F41&gt;0),G41/F41-1,"n.a.")</x:f>
        <x:v>0.10889015733370089</x:v>
      </x:c>
      <x:c r="L41" s="15" t="n">
        <x:f>IF(AND(N41,ISNUMBER(H41),ISNUMBER(I41),H41&gt;0),I41/H41-1,"n.a.")</x:f>
        <x:v>0.11516306189545289</x:v>
      </x:c>
      <x:c r="M41" s="20" t="n">
        <x:f>IF(AND(ISNUMBER(K41),ISNUMBER(L41)),100*(K41-L41),"n.a.")</x:f>
        <x:v>-0.6272904561752002</x:v>
      </x:c>
      <x:c r="N41" s="13" t="b">
        <x:v>1</x:v>
      </x:c>
      <x:c r="O41" s="13" t="b">
        <x:v>1</x:v>
      </x:c>
      <x:c r="P41" s="13" t="b">
        <x:v>0</x:v>
      </x:c>
      <x:c r="Q41" s="2" t="str">
        <x:v>legacy_epoch_source_QA_passed; new_common_native_support_not_certified</x:v>
      </x:c>
      <x:c r="R41" s="2" t="str">
        <x:v>legacy_epoch_source_QA_passed; new_common_native_support_not_certified</x:v>
      </x:c>
      <x:c r="S41" s="2" t="str">
        <x:v>inherited2020anchor</x:v>
      </x:c>
      <x:c r="T41" s="2" t="str">
        <x:v>unused2023converted-source comparator</x:v>
      </x:c>
      <x:c r="U41" s="2" t="str">
        <x:v>GFA growth versus source physical quantity growth; constant conversion required for equality</x:v>
      </x:c>
      <x:c r="V41" s="2" t="str">
        <x:v>2020 level is the model anchor; 2023 comparator unused by v16 fit but shares conversion/upstream lineage</x:v>
      </x:c>
      <x:c r="W41" s="2" t="str">
        <x:v>https://arxiv.org/abs/2511.12104</x:v>
      </x:c>
    </x:row>
    <x:row r="42" ht="23" customHeight="1">
      <x:c r="A42" s="2" t="str">
        <x:v>CMR</x:v>
      </x:c>
      <x:c r="B42" s="2" t="str">
        <x:v>Cameroon (Republic of)</x:v>
      </x:c>
      <x:c r="C42" s="2" t="str">
        <x:v>TEMPO_PROXY</x:v>
      </x:c>
      <x:c r="D42" s="2" t="n">
        <x:v>2020</x:v>
      </x:c>
      <x:c r="E42" s="2" t="n">
        <x:v>2023</x:v>
      </x:c>
      <x:c r="F42" s="17" t="n">
        <x:v>577057207.8100005</x:v>
      </x:c>
      <x:c r="G42" s="17" t="n">
        <x:v>636209041.5204653</x:v>
      </x:c>
      <x:c r="H42" s="17" t="n">
        <x:v>577057207.8100005</x:v>
      </x:c>
      <x:c r="I42" s="17" t="n">
        <x:v>620718462.75</x:v>
      </x:c>
      <x:c r="J42" s="2" t="str">
        <x:v>m2</x:v>
      </x:c>
      <x:c r="K42" s="15" t="n">
        <x:f>IF(AND(ISNUMBER(F42),ISNUMBER(G42),F42&gt;0),G42/F42-1,"n.a.")</x:f>
        <x:v>0.10250601311255236</x:v>
      </x:c>
      <x:c r="L42" s="15" t="n">
        <x:f>IF(AND(N42,ISNUMBER(H42),ISNUMBER(I42),H42&gt;0),I42/H42-1,"n.a.")</x:f>
        <x:v>0.07566191765578845</x:v>
      </x:c>
      <x:c r="M42" s="20" t="n">
        <x:f>IF(AND(ISNUMBER(K42),ISNUMBER(L42)),100*(K42-L42),"n.a.")</x:f>
        <x:v>2.6844095456763917</x:v>
      </x:c>
      <x:c r="N42" s="13" t="b">
        <x:v>1</x:v>
      </x:c>
      <x:c r="O42" s="13" t="b">
        <x:v>1</x:v>
      </x:c>
      <x:c r="P42" s="13" t="b">
        <x:v>0</x:v>
      </x:c>
      <x:c r="Q42" s="2" t="str">
        <x:v>legacy_epoch_source_QA_passed; new_common_native_support_not_certified</x:v>
      </x:c>
      <x:c r="R42" s="2" t="str">
        <x:v>legacy_epoch_source_QA_passed; new_common_native_support_not_certified</x:v>
      </x:c>
      <x:c r="S42" s="2" t="str">
        <x:v>inherited2020anchor</x:v>
      </x:c>
      <x:c r="T42" s="2" t="str">
        <x:v>unused2023converted-source comparator</x:v>
      </x:c>
      <x:c r="U42" s="2" t="str">
        <x:v>GFA growth versus source physical quantity growth; constant conversion required for equality</x:v>
      </x:c>
      <x:c r="V42" s="2" t="str">
        <x:v>2020 level is the model anchor; 2023 comparator unused by v16 fit but shares conversion/upstream lineage</x:v>
      </x:c>
      <x:c r="W42" s="2" t="str">
        <x:v>https://arxiv.org/abs/2511.12104</x:v>
      </x:c>
    </x:row>
    <x:row r="43" ht="23" customHeight="1">
      <x:c r="A43" s="2" t="str">
        <x:v>COD</x:v>
      </x:c>
      <x:c r="B43" s="2" t="str">
        <x:v>Congo (Democratic Republic of the)</x:v>
      </x:c>
      <x:c r="C43" s="2" t="str">
        <x:v>TEMPO_PROXY</x:v>
      </x:c>
      <x:c r="D43" s="2" t="n">
        <x:v>2020</x:v>
      </x:c>
      <x:c r="E43" s="2" t="n">
        <x:v>2023</x:v>
      </x:c>
      <x:c r="F43" s="17" t="n">
        <x:v>941825698.8399988</x:v>
      </x:c>
      <x:c r="G43" s="17" t="n">
        <x:v>1077139696.3216643</x:v>
      </x:c>
      <x:c r="H43" s="17" t="n">
        <x:v>941825698.8399988</x:v>
      </x:c>
      <x:c r="I43" s="17" t="n">
        <x:v>968518804.86</x:v>
      </x:c>
      <x:c r="J43" s="2" t="str">
        <x:v>m2</x:v>
      </x:c>
      <x:c r="K43" s="15" t="n">
        <x:f>IF(AND(ISNUMBER(F43),ISNUMBER(G43),F43&gt;0),G43/F43-1,"n.a.")</x:f>
        <x:v>0.1436720166463128</x:v>
      </x:c>
      <x:c r="L43" s="15" t="n">
        <x:f>IF(AND(N43,ISNUMBER(H43),ISNUMBER(I43),H43&gt;0),I43/H43-1,"n.a.")</x:f>
        <x:v>0.02834187477882355</x:v>
      </x:c>
      <x:c r="M43" s="20" t="n">
        <x:f>IF(AND(ISNUMBER(K43),ISNUMBER(L43)),100*(K43-L43),"n.a.")</x:f>
        <x:v>11.533014186748925</x:v>
      </x:c>
      <x:c r="N43" s="13" t="b">
        <x:v>1</x:v>
      </x:c>
      <x:c r="O43" s="13" t="b">
        <x:v>1</x:v>
      </x:c>
      <x:c r="P43" s="13" t="b">
        <x:v>0</x:v>
      </x:c>
      <x:c r="Q43" s="2" t="str">
        <x:v>legacy_epoch_source_QA_passed; new_common_native_support_not_certified</x:v>
      </x:c>
      <x:c r="R43" s="2" t="str">
        <x:v>legacy_epoch_source_QA_passed; new_common_native_support_not_certified</x:v>
      </x:c>
      <x:c r="S43" s="2" t="str">
        <x:v>inherited2020anchor</x:v>
      </x:c>
      <x:c r="T43" s="2" t="str">
        <x:v>unused2023converted-source comparator</x:v>
      </x:c>
      <x:c r="U43" s="2" t="str">
        <x:v>GFA growth versus source physical quantity growth; constant conversion required for equality</x:v>
      </x:c>
      <x:c r="V43" s="2" t="str">
        <x:v>2020 level is the model anchor; 2023 comparator unused by v16 fit but shares conversion/upstream lineage</x:v>
      </x:c>
      <x:c r="W43" s="2" t="str">
        <x:v>https://arxiv.org/abs/2511.12104</x:v>
      </x:c>
    </x:row>
    <x:row r="44" ht="23" customHeight="1">
      <x:c r="A44" s="2" t="str">
        <x:v>COG</x:v>
      </x:c>
      <x:c r="B44" s="2" t="str">
        <x:v>Congo (Republic of the)</x:v>
      </x:c>
      <x:c r="C44" s="2" t="str">
        <x:v>TEMPO_PROXY</x:v>
      </x:c>
      <x:c r="D44" s="2" t="n">
        <x:v>2020</x:v>
      </x:c>
      <x:c r="E44" s="2" t="n">
        <x:v>2023</x:v>
      </x:c>
      <x:c r="F44" s="17" t="n">
        <x:v>110620071.65000013</x:v>
      </x:c>
      <x:c r="G44" s="17" t="n">
        <x:v>123040849.17188968</x:v>
      </x:c>
      <x:c r="H44" s="17" t="n">
        <x:v>110620071.65000013</x:v>
      </x:c>
      <x:c r="I44" s="17" t="n">
        <x:v>115333636.53</x:v>
      </x:c>
      <x:c r="J44" s="2" t="str">
        <x:v>m2</x:v>
      </x:c>
      <x:c r="K44" s="15" t="n">
        <x:f>IF(AND(ISNUMBER(F44),ISNUMBER(G44),F44&gt;0),G44/F44-1,"n.a.")</x:f>
        <x:v>0.11228321711080302</x:v>
      </x:c>
      <x:c r="L44" s="15" t="n">
        <x:f>IF(AND(N44,ISNUMBER(H44),ISNUMBER(I44),H44&gt;0),I44/H44-1,"n.a.")</x:f>
        <x:v>0.04261039438587155</x:v>
      </x:c>
      <x:c r="M44" s="20" t="n">
        <x:f>IF(AND(ISNUMBER(K44),ISNUMBER(L44)),100*(K44-L44),"n.a.")</x:f>
        <x:v>6.967282272493147</x:v>
      </x:c>
      <x:c r="N44" s="13" t="b">
        <x:v>1</x:v>
      </x:c>
      <x:c r="O44" s="13" t="b">
        <x:v>1</x:v>
      </x:c>
      <x:c r="P44" s="13" t="b">
        <x:v>0</x:v>
      </x:c>
      <x:c r="Q44" s="2" t="str">
        <x:v>legacy_epoch_source_QA_passed; new_common_native_support_not_certified</x:v>
      </x:c>
      <x:c r="R44" s="2" t="str">
        <x:v>legacy_epoch_source_QA_passed; new_common_native_support_not_certified</x:v>
      </x:c>
      <x:c r="S44" s="2" t="str">
        <x:v>inherited2020anchor</x:v>
      </x:c>
      <x:c r="T44" s="2" t="str">
        <x:v>unused2023converted-source comparator</x:v>
      </x:c>
      <x:c r="U44" s="2" t="str">
        <x:v>GFA growth versus source physical quantity growth; constant conversion required for equality</x:v>
      </x:c>
      <x:c r="V44" s="2" t="str">
        <x:v>2020 level is the model anchor; 2023 comparator unused by v16 fit but shares conversion/upstream lineage</x:v>
      </x:c>
      <x:c r="W44" s="2" t="str">
        <x:v>https://arxiv.org/abs/2511.12104</x:v>
      </x:c>
    </x:row>
    <x:row r="45" ht="23" customHeight="1">
      <x:c r="A45" s="2" t="str">
        <x:v>COL</x:v>
      </x:c>
      <x:c r="B45" s="2" t="str">
        <x:v>Colombia (Republic of)</x:v>
      </x:c>
      <x:c r="C45" s="2" t="str">
        <x:v>TEMPO_PROXY</x:v>
      </x:c>
      <x:c r="D45" s="2" t="n">
        <x:v>2020</x:v>
      </x:c>
      <x:c r="E45" s="2" t="n">
        <x:v>2023</x:v>
      </x:c>
      <x:c r="F45" s="17" t="n">
        <x:v>1505534156.3100014</x:v>
      </x:c>
      <x:c r="G45" s="17" t="n">
        <x:v>1675730324.963179</x:v>
      </x:c>
      <x:c r="H45" s="17" t="n">
        <x:v>1505534156.3100014</x:v>
      </x:c>
      <x:c r="I45" s="17" t="n">
        <x:v>1635486731.72</x:v>
      </x:c>
      <x:c r="J45" s="2" t="str">
        <x:v>m2</x:v>
      </x:c>
      <x:c r="K45" s="15" t="n">
        <x:f>IF(AND(ISNUMBER(F45),ISNUMBER(G45),F45&gt;0),G45/F45-1,"n.a.")</x:f>
        <x:v>0.11304703247007097</x:v>
      </x:c>
      <x:c r="L45" s="15" t="n">
        <x:f>IF(AND(N45,ISNUMBER(H45),ISNUMBER(I45),H45&gt;0),I45/H45-1,"n.a.")</x:f>
        <x:v>0.0863165906036345</x:v>
      </x:c>
      <x:c r="M45" s="20" t="n">
        <x:f>IF(AND(ISNUMBER(K45),ISNUMBER(L45)),100*(K45-L45),"n.a.")</x:f>
        <x:v>2.673044186643647</x:v>
      </x:c>
      <x:c r="N45" s="13" t="b">
        <x:v>1</x:v>
      </x:c>
      <x:c r="O45" s="13" t="b">
        <x:v>1</x:v>
      </x:c>
      <x:c r="P45" s="13" t="b">
        <x:v>0</x:v>
      </x:c>
      <x:c r="Q45" s="2" t="str">
        <x:v>legacy_epoch_source_QA_passed; new_common_native_support_not_certified</x:v>
      </x:c>
      <x:c r="R45" s="2" t="str">
        <x:v>legacy_epoch_source_QA_passed; new_common_native_support_not_certified</x:v>
      </x:c>
      <x:c r="S45" s="2" t="str">
        <x:v>inherited2020anchor</x:v>
      </x:c>
      <x:c r="T45" s="2" t="str">
        <x:v>unused2023converted-source comparator</x:v>
      </x:c>
      <x:c r="U45" s="2" t="str">
        <x:v>GFA growth versus source physical quantity growth; constant conversion required for equality</x:v>
      </x:c>
      <x:c r="V45" s="2" t="str">
        <x:v>2020 level is the model anchor; 2023 comparator unused by v16 fit but shares conversion/upstream lineage</x:v>
      </x:c>
      <x:c r="W45" s="2" t="str">
        <x:v>https://arxiv.org/abs/2511.12104</x:v>
      </x:c>
    </x:row>
    <x:row r="46" ht="23" customHeight="1">
      <x:c r="A46" s="2" t="str">
        <x:v>COM</x:v>
      </x:c>
      <x:c r="B46" s="2" t="str">
        <x:v>Comoros (Union of the)</x:v>
      </x:c>
      <x:c r="C46" s="2" t="str">
        <x:v>TEMPO_PROXY</x:v>
      </x:c>
      <x:c r="D46" s="2" t="n">
        <x:v>2020</x:v>
      </x:c>
      <x:c r="E46" s="2" t="n">
        <x:v>2023</x:v>
      </x:c>
      <x:c r="F46" s="17" t="n">
        <x:v>18035090.40999997</x:v>
      </x:c>
      <x:c r="G46" s="17" t="n">
        <x:v>19978277.467180517</x:v>
      </x:c>
      <x:c r="H46" s="17" t="n">
        <x:v>18035090.40999997</x:v>
      </x:c>
      <x:c r="I46" s="17" t="n">
        <x:v>19443892.35</x:v>
      </x:c>
      <x:c r="J46" s="2" t="str">
        <x:v>m2</x:v>
      </x:c>
      <x:c r="K46" s="15" t="n">
        <x:f>IF(AND(ISNUMBER(F46),ISNUMBER(G46),F46&gt;0),G46/F46-1,"n.a.")</x:f>
        <x:v>0.10774479157049877</x:v>
      </x:c>
      <x:c r="L46" s="15" t="n">
        <x:f>IF(AND(N46,ISNUMBER(H46),ISNUMBER(I46),H46&gt;0),I46/H46-1,"n.a.")</x:f>
        <x:v>0.0781144928011499</x:v>
      </x:c>
      <x:c r="M46" s="20" t="n">
        <x:f>IF(AND(ISNUMBER(K46),ISNUMBER(L46)),100*(K46-L46),"n.a.")</x:f>
        <x:v>2.963029876934886</x:v>
      </x:c>
      <x:c r="N46" s="13" t="b">
        <x:v>1</x:v>
      </x:c>
      <x:c r="O46" s="13" t="b">
        <x:v>1</x:v>
      </x:c>
      <x:c r="P46" s="13" t="b">
        <x:v>0</x:v>
      </x:c>
      <x:c r="Q46" s="2" t="str">
        <x:v>legacy_epoch_source_QA_passed; new_common_native_support_not_certified</x:v>
      </x:c>
      <x:c r="R46" s="2" t="str">
        <x:v>legacy_epoch_source_QA_passed; new_common_native_support_not_certified</x:v>
      </x:c>
      <x:c r="S46" s="2" t="str">
        <x:v>inherited2020anchor</x:v>
      </x:c>
      <x:c r="T46" s="2" t="str">
        <x:v>unused2023converted-source comparator</x:v>
      </x:c>
      <x:c r="U46" s="2" t="str">
        <x:v>GFA growth versus source physical quantity growth; constant conversion required for equality</x:v>
      </x:c>
      <x:c r="V46" s="2" t="str">
        <x:v>2020 level is the model anchor; 2023 comparator unused by v16 fit but shares conversion/upstream lineage</x:v>
      </x:c>
      <x:c r="W46" s="2" t="str">
        <x:v>https://arxiv.org/abs/2511.12104</x:v>
      </x:c>
    </x:row>
    <x:row r="47" ht="23" customHeight="1">
      <x:c r="A47" s="2" t="str">
        <x:v>CPV</x:v>
      </x:c>
      <x:c r="B47" s="2" t="str">
        <x:v>Cabo Verde (Republic of)</x:v>
      </x:c>
      <x:c r="C47" s="2" t="str">
        <x:v>TEMPO_PROXY</x:v>
      </x:c>
      <x:c r="D47" s="2" t="n">
        <x:v>2020</x:v>
      </x:c>
      <x:c r="E47" s="2" t="n">
        <x:v>2023</x:v>
      </x:c>
      <x:c r="F47" s="17" t="n">
        <x:v>21833832.63999998</x:v>
      </x:c>
      <x:c r="G47" s="17" t="n">
        <x:v>23551926.182221353</x:v>
      </x:c>
      <x:c r="H47" s="17" t="n">
        <x:v>21833832.63999998</x:v>
      </x:c>
      <x:c r="I47" s="17" t="n">
        <x:v>22570911.01</x:v>
      </x:c>
      <x:c r="J47" s="2" t="str">
        <x:v>m2</x:v>
      </x:c>
      <x:c r="K47" s="15" t="n">
        <x:f>IF(AND(ISNUMBER(F47),ISNUMBER(G47),F47&gt;0),G47/F47-1,"n.a.")</x:f>
        <x:v>0.07868950772636207</x:v>
      </x:c>
      <x:c r="L47" s="15" t="n">
        <x:f>IF(AND(N47,ISNUMBER(H47),ISNUMBER(I47),H47&gt;0),I47/H47-1,"n.a.")</x:f>
        <x:v>0.033758542632120525</x:v>
      </x:c>
      <x:c r="M47" s="20" t="n">
        <x:f>IF(AND(ISNUMBER(K47),ISNUMBER(L47)),100*(K47-L47),"n.a.")</x:f>
        <x:v>4.493096509424155</x:v>
      </x:c>
      <x:c r="N47" s="13" t="b">
        <x:v>1</x:v>
      </x:c>
      <x:c r="O47" s="13" t="b">
        <x:v>1</x:v>
      </x:c>
      <x:c r="P47" s="13" t="b">
        <x:v>0</x:v>
      </x:c>
      <x:c r="Q47" s="2" t="str">
        <x:v>legacy_epoch_source_QA_passed; new_common_native_support_not_certified</x:v>
      </x:c>
      <x:c r="R47" s="2" t="str">
        <x:v>legacy_epoch_source_QA_passed; new_common_native_support_not_certified</x:v>
      </x:c>
      <x:c r="S47" s="2" t="str">
        <x:v>inherited2020anchor</x:v>
      </x:c>
      <x:c r="T47" s="2" t="str">
        <x:v>unused2023converted-source comparator</x:v>
      </x:c>
      <x:c r="U47" s="2" t="str">
        <x:v>GFA growth versus source physical quantity growth; constant conversion required for equality</x:v>
      </x:c>
      <x:c r="V47" s="2" t="str">
        <x:v>2020 level is the model anchor; 2023 comparator unused by v16 fit but shares conversion/upstream lineage</x:v>
      </x:c>
      <x:c r="W47" s="2" t="str">
        <x:v>https://arxiv.org/abs/2511.12104</x:v>
      </x:c>
    </x:row>
    <x:row r="48" ht="23" customHeight="1">
      <x:c r="A48" s="2" t="str">
        <x:v>CRI</x:v>
      </x:c>
      <x:c r="B48" s="2" t="str">
        <x:v>Costa Rica (Republic of)</x:v>
      </x:c>
      <x:c r="C48" s="2" t="str">
        <x:v>TEMPO_PROXY</x:v>
      </x:c>
      <x:c r="D48" s="2" t="n">
        <x:v>2020</x:v>
      </x:c>
      <x:c r="E48" s="2" t="n">
        <x:v>2023</x:v>
      </x:c>
      <x:c r="F48" s="17" t="n">
        <x:v>284786315.38999987</x:v>
      </x:c>
      <x:c r="G48" s="17" t="n">
        <x:v>302776512.56543505</x:v>
      </x:c>
      <x:c r="H48" s="17" t="n">
        <x:v>284786315.38999987</x:v>
      </x:c>
      <x:c r="I48" s="17" t="n">
        <x:v>300356181.17</x:v>
      </x:c>
      <x:c r="J48" s="2" t="str">
        <x:v>m2</x:v>
      </x:c>
      <x:c r="K48" s="15" t="n">
        <x:f>IF(AND(ISNUMBER(F48),ISNUMBER(G48),F48&gt;0),G48/F48-1,"n.a.")</x:f>
        <x:v>0.06317086251422777</x:v>
      </x:c>
      <x:c r="L48" s="15" t="n">
        <x:f>IF(AND(N48,ISNUMBER(H48),ISNUMBER(I48),H48&gt;0),I48/H48-1,"n.a.")</x:f>
        <x:v>0.0546720995307588</x:v>
      </x:c>
      <x:c r="M48" s="20" t="n">
        <x:f>IF(AND(ISNUMBER(K48),ISNUMBER(L48)),100*(K48-L48),"n.a.")</x:f>
        <x:v>0.8498762983468966</x:v>
      </x:c>
      <x:c r="N48" s="13" t="b">
        <x:v>1</x:v>
      </x:c>
      <x:c r="O48" s="13" t="b">
        <x:v>1</x:v>
      </x:c>
      <x:c r="P48" s="13" t="b">
        <x:v>0</x:v>
      </x:c>
      <x:c r="Q48" s="2" t="str">
        <x:v>legacy_epoch_source_QA_passed; new_common_native_support_not_certified</x:v>
      </x:c>
      <x:c r="R48" s="2" t="str">
        <x:v>legacy_epoch_source_QA_passed; new_common_native_support_not_certified</x:v>
      </x:c>
      <x:c r="S48" s="2" t="str">
        <x:v>inherited2020anchor</x:v>
      </x:c>
      <x:c r="T48" s="2" t="str">
        <x:v>unused2023converted-source comparator</x:v>
      </x:c>
      <x:c r="U48" s="2" t="str">
        <x:v>GFA growth versus source physical quantity growth; constant conversion required for equality</x:v>
      </x:c>
      <x:c r="V48" s="2" t="str">
        <x:v>2020 level is the model anchor; 2023 comparator unused by v16 fit but shares conversion/upstream lineage</x:v>
      </x:c>
      <x:c r="W48" s="2" t="str">
        <x:v>https://arxiv.org/abs/2511.12104</x:v>
      </x:c>
    </x:row>
    <x:row r="49" ht="23" customHeight="1">
      <x:c r="A49" s="2" t="str">
        <x:v>CUB</x:v>
      </x:c>
      <x:c r="B49" s="2" t="str">
        <x:v>Cuba (Republic of)</x:v>
      </x:c>
      <x:c r="C49" s="2" t="str">
        <x:v>TEMPO_PROXY</x:v>
      </x:c>
      <x:c r="D49" s="2" t="n">
        <x:v>2020</x:v>
      </x:c>
      <x:c r="E49" s="2" t="n">
        <x:v>2023</x:v>
      </x:c>
      <x:c r="F49" s="17" t="n">
        <x:v>360088927.4199998</x:v>
      </x:c>
      <x:c r="G49" s="17" t="n">
        <x:v>391491907.2637088</x:v>
      </x:c>
      <x:c r="H49" s="17" t="n">
        <x:v>360088927.4199998</x:v>
      </x:c>
      <x:c r="I49" s="17" t="n">
        <x:v>368259242.91</x:v>
      </x:c>
      <x:c r="J49" s="2" t="str">
        <x:v>m2</x:v>
      </x:c>
      <x:c r="K49" s="15" t="n">
        <x:f>IF(AND(ISNUMBER(F49),ISNUMBER(G49),F49&gt;0),G49/F49-1,"n.a.")</x:f>
        <x:v>0.08720895715596733</x:v>
      </x:c>
      <x:c r="L49" s="15" t="n">
        <x:f>IF(AND(N49,ISNUMBER(H49),ISNUMBER(I49),H49&gt;0),I49/H49-1,"n.a.")</x:f>
        <x:v>0.022689715978049474</x:v>
      </x:c>
      <x:c r="M49" s="20" t="n">
        <x:f>IF(AND(ISNUMBER(K49),ISNUMBER(L49)),100*(K49-L49),"n.a.")</x:f>
        <x:v>6.451924117791785</x:v>
      </x:c>
      <x:c r="N49" s="13" t="b">
        <x:v>1</x:v>
      </x:c>
      <x:c r="O49" s="13" t="b">
        <x:v>1</x:v>
      </x:c>
      <x:c r="P49" s="13" t="b">
        <x:v>0</x:v>
      </x:c>
      <x:c r="Q49" s="2" t="str">
        <x:v>legacy_epoch_source_QA_passed; new_common_native_support_not_certified</x:v>
      </x:c>
      <x:c r="R49" s="2" t="str">
        <x:v>legacy_epoch_source_QA_passed; new_common_native_support_not_certified</x:v>
      </x:c>
      <x:c r="S49" s="2" t="str">
        <x:v>inherited2020anchor</x:v>
      </x:c>
      <x:c r="T49" s="2" t="str">
        <x:v>unused2023converted-source comparator</x:v>
      </x:c>
      <x:c r="U49" s="2" t="str">
        <x:v>GFA growth versus source physical quantity growth; constant conversion required for equality</x:v>
      </x:c>
      <x:c r="V49" s="2" t="str">
        <x:v>2020 level is the model anchor; 2023 comparator unused by v16 fit but shares conversion/upstream lineage</x:v>
      </x:c>
      <x:c r="W49" s="2" t="str">
        <x:v>https://arxiv.org/abs/2511.12104</x:v>
      </x:c>
    </x:row>
    <x:row r="50" ht="23" customHeight="1">
      <x:c r="A50" s="2" t="str">
        <x:v>CYP</x:v>
      </x:c>
      <x:c r="B50" s="2" t="str">
        <x:v>Cyprus (Republic of)</x:v>
      </x:c>
      <x:c r="C50" s="2" t="str">
        <x:v>TEMPO_PROXY</x:v>
      </x:c>
      <x:c r="D50" s="2" t="n">
        <x:v>2020</x:v>
      </x:c>
      <x:c r="E50" s="2" t="n">
        <x:v>2023</x:v>
      </x:c>
      <x:c r="F50" s="17" t="n">
        <x:v>124124771.75000016</x:v>
      </x:c>
      <x:c r="G50" s="17" t="n">
        <x:v>132644927.09533326</x:v>
      </x:c>
      <x:c r="H50" s="17" t="n">
        <x:v>124124771.75000016</x:v>
      </x:c>
      <x:c r="I50" s="17" t="n">
        <x:v>131183683.78</x:v>
      </x:c>
      <x:c r="J50" s="2" t="str">
        <x:v>m2</x:v>
      </x:c>
      <x:c r="K50" s="15" t="n">
        <x:f>IF(AND(ISNUMBER(F50),ISNUMBER(G50),F50&gt;0),G50/F50-1,"n.a.")</x:f>
        <x:v>0.06864186113061743</x:v>
      </x:c>
      <x:c r="L50" s="15" t="n">
        <x:f>IF(AND(N50,ISNUMBER(H50),ISNUMBER(I50),H50&gt;0),I50/H50-1,"n.a.")</x:f>
        <x:v>0.056869486489104615</x:v>
      </x:c>
      <x:c r="M50" s="20" t="n">
        <x:f>IF(AND(ISNUMBER(K50),ISNUMBER(L50)),100*(K50-L50),"n.a.")</x:f>
        <x:v>1.1772374641512817</x:v>
      </x:c>
      <x:c r="N50" s="13" t="b">
        <x:v>1</x:v>
      </x:c>
      <x:c r="O50" s="13" t="b">
        <x:v>1</x:v>
      </x:c>
      <x:c r="P50" s="13" t="b">
        <x:v>0</x:v>
      </x:c>
      <x:c r="Q50" s="2" t="str">
        <x:v>legacy_epoch_source_QA_passed; new_common_native_support_not_certified</x:v>
      </x:c>
      <x:c r="R50" s="2" t="str">
        <x:v>legacy_epoch_source_QA_passed; new_common_native_support_not_certified</x:v>
      </x:c>
      <x:c r="S50" s="2" t="str">
        <x:v>inherited2020anchor</x:v>
      </x:c>
      <x:c r="T50" s="2" t="str">
        <x:v>unused2023converted-source comparator</x:v>
      </x:c>
      <x:c r="U50" s="2" t="str">
        <x:v>GFA growth versus source physical quantity growth; constant conversion required for equality</x:v>
      </x:c>
      <x:c r="V50" s="2" t="str">
        <x:v>2020 level is the model anchor; 2023 comparator unused by v16 fit but shares conversion/upstream lineage</x:v>
      </x:c>
      <x:c r="W50" s="2" t="str">
        <x:v>https://arxiv.org/abs/2511.12104</x:v>
      </x:c>
    </x:row>
    <x:row r="51" ht="23" customHeight="1">
      <x:c r="A51" s="2" t="str">
        <x:v>CZE</x:v>
      </x:c>
      <x:c r="B51" s="2" t="str">
        <x:v>Czechia (Czech Republic)</x:v>
      </x:c>
      <x:c r="C51" s="2" t="str">
        <x:v>TEMPO_PROXY</x:v>
      </x:c>
      <x:c r="D51" s="2" t="n">
        <x:v>2020</x:v>
      </x:c>
      <x:c r="E51" s="2" t="n">
        <x:v>2023</x:v>
      </x:c>
      <x:c r="F51" s="17" t="n">
        <x:v>853858176.0500003</x:v>
      </x:c>
      <x:c r="G51" s="17" t="n">
        <x:v>925269232.9123237</x:v>
      </x:c>
      <x:c r="H51" s="17" t="n">
        <x:v>853858176.0500003</x:v>
      </x:c>
      <x:c r="I51" s="17" t="n">
        <x:v>914447201.07</x:v>
      </x:c>
      <x:c r="J51" s="2" t="str">
        <x:v>m2</x:v>
      </x:c>
      <x:c r="K51" s="15" t="n">
        <x:f>IF(AND(ISNUMBER(F51),ISNUMBER(G51),F51&gt;0),G51/F51-1,"n.a.")</x:f>
        <x:v>0.08363339353693999</x:v>
      </x:c>
      <x:c r="L51" s="15" t="n">
        <x:f>IF(AND(N51,ISNUMBER(H51),ISNUMBER(I51),H51&gt;0),I51/H51-1,"n.a.")</x:f>
        <x:v>0.07095912028422369</x:v>
      </x:c>
      <x:c r="M51" s="20" t="n">
        <x:f>IF(AND(ISNUMBER(K51),ISNUMBER(L51)),100*(K51-L51),"n.a.")</x:f>
        <x:v>1.2674273252716306</x:v>
      </x:c>
      <x:c r="N51" s="13" t="b">
        <x:v>1</x:v>
      </x:c>
      <x:c r="O51" s="13" t="b">
        <x:v>1</x:v>
      </x:c>
      <x:c r="P51" s="13" t="b">
        <x:v>0</x:v>
      </x:c>
      <x:c r="Q51" s="2" t="str">
        <x:v>legacy_epoch_source_QA_passed; new_common_native_support_not_certified</x:v>
      </x:c>
      <x:c r="R51" s="2" t="str">
        <x:v>legacy_epoch_source_QA_passed; new_common_native_support_not_certified</x:v>
      </x:c>
      <x:c r="S51" s="2" t="str">
        <x:v>inherited2020anchor</x:v>
      </x:c>
      <x:c r="T51" s="2" t="str">
        <x:v>unused2023converted-source comparator</x:v>
      </x:c>
      <x:c r="U51" s="2" t="str">
        <x:v>GFA growth versus source physical quantity growth; constant conversion required for equality</x:v>
      </x:c>
      <x:c r="V51" s="2" t="str">
        <x:v>2020 level is the model anchor; 2023 comparator unused by v16 fit but shares conversion/upstream lineage</x:v>
      </x:c>
      <x:c r="W51" s="2" t="str">
        <x:v>https://arxiv.org/abs/2511.12104</x:v>
      </x:c>
    </x:row>
    <x:row r="52" ht="23" customHeight="1">
      <x:c r="A52" s="2" t="str">
        <x:v>DEU</x:v>
      </x:c>
      <x:c r="B52" s="2" t="str">
        <x:v>Germany (Federal Republic of)</x:v>
      </x:c>
      <x:c r="C52" s="2" t="str">
        <x:v>TEMPO_PROXY</x:v>
      </x:c>
      <x:c r="D52" s="2" t="n">
        <x:v>2020</x:v>
      </x:c>
      <x:c r="E52" s="2" t="n">
        <x:v>2023</x:v>
      </x:c>
      <x:c r="F52" s="17" t="n">
        <x:v>6611215465.220001</x:v>
      </x:c>
      <x:c r="G52" s="17" t="n">
        <x:v>7106088633.453205</x:v>
      </x:c>
      <x:c r="H52" s="17" t="n">
        <x:v>6611215465.220001</x:v>
      </x:c>
      <x:c r="I52" s="17" t="n">
        <x:v>6915458352.86</x:v>
      </x:c>
      <x:c r="J52" s="2" t="str">
        <x:v>m2</x:v>
      </x:c>
      <x:c r="K52" s="15" t="n">
        <x:f>IF(AND(ISNUMBER(F52),ISNUMBER(G52),F52&gt;0),G52/F52-1,"n.a.")</x:f>
        <x:v>0.0748535834048385</x:v>
      </x:c>
      <x:c r="L52" s="15" t="n">
        <x:f>IF(AND(N52,ISNUMBER(H52),ISNUMBER(I52),H52&gt;0),I52/H52-1,"n.a.")</x:f>
        <x:v>0.046019206186902695</x:v>
      </x:c>
      <x:c r="M52" s="20" t="n">
        <x:f>IF(AND(ISNUMBER(K52),ISNUMBER(L52)),100*(K52-L52),"n.a.")</x:f>
        <x:v>2.8834377217935803</x:v>
      </x:c>
      <x:c r="N52" s="13" t="b">
        <x:v>1</x:v>
      </x:c>
      <x:c r="O52" s="13" t="b">
        <x:v>1</x:v>
      </x:c>
      <x:c r="P52" s="13" t="b">
        <x:v>0</x:v>
      </x:c>
      <x:c r="Q52" s="2" t="str">
        <x:v>legacy_epoch_source_QA_passed; new_common_native_support_not_certified</x:v>
      </x:c>
      <x:c r="R52" s="2" t="str">
        <x:v>legacy_epoch_source_QA_passed; new_common_native_support_not_certified</x:v>
      </x:c>
      <x:c r="S52" s="2" t="str">
        <x:v>inherited2020anchor</x:v>
      </x:c>
      <x:c r="T52" s="2" t="str">
        <x:v>unused2023converted-source comparator</x:v>
      </x:c>
      <x:c r="U52" s="2" t="str">
        <x:v>GFA growth versus source physical quantity growth; constant conversion required for equality</x:v>
      </x:c>
      <x:c r="V52" s="2" t="str">
        <x:v>2020 level is the model anchor; 2023 comparator unused by v16 fit but shares conversion/upstream lineage</x:v>
      </x:c>
      <x:c r="W52" s="2" t="str">
        <x:v>https://arxiv.org/abs/2511.12104</x:v>
      </x:c>
    </x:row>
    <x:row r="53" ht="23" customHeight="1">
      <x:c r="A53" s="2" t="str">
        <x:v>DJI</x:v>
      </x:c>
      <x:c r="B53" s="2" t="str">
        <x:v>Djibouti (Republic of)</x:v>
      </x:c>
      <x:c r="C53" s="2" t="str">
        <x:v>TEMPO_PROXY</x:v>
      </x:c>
      <x:c r="D53" s="2" t="n">
        <x:v>2020</x:v>
      </x:c>
      <x:c r="E53" s="2" t="n">
        <x:v>2023</x:v>
      </x:c>
      <x:c r="F53" s="17" t="n">
        <x:v>12588327.629999984</x:v>
      </x:c>
      <x:c r="G53" s="17" t="n">
        <x:v>14536951.663955854</x:v>
      </x:c>
      <x:c r="H53" s="17" t="n">
        <x:v>12588327.629999984</x:v>
      </x:c>
      <x:c r="I53" s="17" t="n">
        <x:v>13545048.59</x:v>
      </x:c>
      <x:c r="J53" s="2" t="str">
        <x:v>m2</x:v>
      </x:c>
      <x:c r="K53" s="15" t="n">
        <x:f>IF(AND(ISNUMBER(F53),ISNUMBER(G53),F53&gt;0),G53/F53-1,"n.a.")</x:f>
        <x:v>0.154796100898422</x:v>
      </x:c>
      <x:c r="L53" s="15" t="n">
        <x:f>IF(AND(N53,ISNUMBER(H53),ISNUMBER(I53),H53&gt;0),I53/H53-1,"n.a.")</x:f>
        <x:v>0.07600064028521136</x:v>
      </x:c>
      <x:c r="M53" s="20" t="n">
        <x:f>IF(AND(ISNUMBER(K53),ISNUMBER(L53)),100*(K53-L53),"n.a.")</x:f>
        <x:v>7.879546061321063</x:v>
      </x:c>
      <x:c r="N53" s="13" t="b">
        <x:v>1</x:v>
      </x:c>
      <x:c r="O53" s="13" t="b">
        <x:v>1</x:v>
      </x:c>
      <x:c r="P53" s="13" t="b">
        <x:v>0</x:v>
      </x:c>
      <x:c r="Q53" s="2" t="str">
        <x:v>legacy_epoch_source_QA_passed; new_common_native_support_not_certified</x:v>
      </x:c>
      <x:c r="R53" s="2" t="str">
        <x:v>legacy_epoch_source_QA_passed; new_common_native_support_not_certified</x:v>
      </x:c>
      <x:c r="S53" s="2" t="str">
        <x:v>inherited2020anchor</x:v>
      </x:c>
      <x:c r="T53" s="2" t="str">
        <x:v>unused2023converted-source comparator</x:v>
      </x:c>
      <x:c r="U53" s="2" t="str">
        <x:v>GFA growth versus source physical quantity growth; constant conversion required for equality</x:v>
      </x:c>
      <x:c r="V53" s="2" t="str">
        <x:v>2020 level is the model anchor; 2023 comparator unused by v16 fit but shares conversion/upstream lineage</x:v>
      </x:c>
      <x:c r="W53" s="2" t="str">
        <x:v>https://arxiv.org/abs/2511.12104</x:v>
      </x:c>
    </x:row>
    <x:row r="54" ht="23" customHeight="1">
      <x:c r="A54" s="2" t="str">
        <x:v>DMA</x:v>
      </x:c>
      <x:c r="B54" s="2" t="str">
        <x:v>Dominica (Commonwealth of)</x:v>
      </x:c>
      <x:c r="C54" s="2" t="str">
        <x:v>TEMPO_PROXY</x:v>
      </x:c>
      <x:c r="D54" s="2" t="n">
        <x:v>2020</x:v>
      </x:c>
      <x:c r="E54" s="2" t="n">
        <x:v>2023</x:v>
      </x:c>
      <x:c r="F54" s="17" t="n">
        <x:v>3947192.6899999985</x:v>
      </x:c>
      <x:c r="G54" s="17" t="n">
        <x:v>4019366.182434599</x:v>
      </x:c>
      <x:c r="H54" s="17" t="n">
        <x:v>3947192.6899999985</x:v>
      </x:c>
      <x:c r="I54" s="17" t="n">
        <x:v>4055064.14</x:v>
      </x:c>
      <x:c r="J54" s="2" t="str">
        <x:v>m2</x:v>
      </x:c>
      <x:c r="K54" s="15" t="n">
        <x:f>IF(AND(ISNUMBER(F54),ISNUMBER(G54),F54&gt;0),G54/F54-1,"n.a.")</x:f>
        <x:v>0.01828476542770452</x:v>
      </x:c>
      <x:c r="L54" s="15" t="n">
        <x:f>IF(AND(N54,ISNUMBER(H54),ISNUMBER(I54),H54&gt;0),I54/H54-1,"n.a.")</x:f>
        <x:v>0.027328650631444518</x:v>
      </x:c>
      <x:c r="M54" s="20" t="n">
        <x:f>IF(AND(ISNUMBER(K54),ISNUMBER(L54)),100*(K54-L54),"n.a.")</x:f>
        <x:v>-0.9043885203739999</x:v>
      </x:c>
      <x:c r="N54" s="13" t="b">
        <x:v>1</x:v>
      </x:c>
      <x:c r="O54" s="13" t="b">
        <x:v>1</x:v>
      </x:c>
      <x:c r="P54" s="13" t="b">
        <x:v>0</x:v>
      </x:c>
      <x:c r="Q54" s="2" t="str">
        <x:v>legacy_epoch_source_QA_passed; new_common_native_support_not_certified</x:v>
      </x:c>
      <x:c r="R54" s="2" t="str">
        <x:v>legacy_epoch_source_QA_passed; new_common_native_support_not_certified</x:v>
      </x:c>
      <x:c r="S54" s="2" t="str">
        <x:v>inherited2020anchor</x:v>
      </x:c>
      <x:c r="T54" s="2" t="str">
        <x:v>unused2023converted-source comparator</x:v>
      </x:c>
      <x:c r="U54" s="2" t="str">
        <x:v>GFA growth versus source physical quantity growth; constant conversion required for equality</x:v>
      </x:c>
      <x:c r="V54" s="2" t="str">
        <x:v>2020 level is the model anchor; 2023 comparator unused by v16 fit but shares conversion/upstream lineage</x:v>
      </x:c>
      <x:c r="W54" s="2" t="str">
        <x:v>https://arxiv.org/abs/2511.12104</x:v>
      </x:c>
    </x:row>
    <x:row r="55" ht="23" customHeight="1">
      <x:c r="A55" s="2" t="str">
        <x:v>DNK</x:v>
      </x:c>
      <x:c r="B55" s="2" t="str">
        <x:v>Denmark (Kingdom of)</x:v>
      </x:c>
      <x:c r="C55" s="2" t="str">
        <x:v>TEMPO_PROXY</x:v>
      </x:c>
      <x:c r="D55" s="2" t="n">
        <x:v>2020</x:v>
      </x:c>
      <x:c r="E55" s="2" t="n">
        <x:v>2023</x:v>
      </x:c>
      <x:c r="F55" s="17" t="n">
        <x:v>665059716.8900009</x:v>
      </x:c>
      <x:c r="G55" s="17" t="n">
        <x:v>719708341.7903874</x:v>
      </x:c>
      <x:c r="H55" s="17" t="n">
        <x:v>665059716.8900009</x:v>
      </x:c>
      <x:c r="I55" s="17" t="n">
        <x:v>701820477.16</x:v>
      </x:c>
      <x:c r="J55" s="2" t="str">
        <x:v>m2</x:v>
      </x:c>
      <x:c r="K55" s="15" t="n">
        <x:f>IF(AND(ISNUMBER(F55),ISNUMBER(G55),F55&gt;0),G55/F55-1,"n.a.")</x:f>
        <x:v>0.0821710043662518</x:v>
      </x:c>
      <x:c r="L55" s="15" t="n">
        <x:f>IF(AND(N55,ISNUMBER(H55),ISNUMBER(I55),H55&gt;0),I55/H55-1,"n.a.")</x:f>
        <x:v>0.0552743751221354</x:v>
      </x:c>
      <x:c r="M55" s="20" t="n">
        <x:f>IF(AND(ISNUMBER(K55),ISNUMBER(L55)),100*(K55-L55),"n.a.")</x:f>
        <x:v>2.68966292441164</x:v>
      </x:c>
      <x:c r="N55" s="13" t="b">
        <x:v>1</x:v>
      </x:c>
      <x:c r="O55" s="13" t="b">
        <x:v>1</x:v>
      </x:c>
      <x:c r="P55" s="13" t="b">
        <x:v>0</x:v>
      </x:c>
      <x:c r="Q55" s="2" t="str">
        <x:v>legacy_epoch_source_QA_passed; new_common_native_support_not_certified</x:v>
      </x:c>
      <x:c r="R55" s="2" t="str">
        <x:v>legacy_epoch_source_QA_passed; new_common_native_support_not_certified</x:v>
      </x:c>
      <x:c r="S55" s="2" t="str">
        <x:v>inherited2020anchor</x:v>
      </x:c>
      <x:c r="T55" s="2" t="str">
        <x:v>unused2023converted-source comparator</x:v>
      </x:c>
      <x:c r="U55" s="2" t="str">
        <x:v>GFA growth versus source physical quantity growth; constant conversion required for equality</x:v>
      </x:c>
      <x:c r="V55" s="2" t="str">
        <x:v>2020 level is the model anchor; 2023 comparator unused by v16 fit but shares conversion/upstream lineage</x:v>
      </x:c>
      <x:c r="W55" s="2" t="str">
        <x:v>https://arxiv.org/abs/2511.12104</x:v>
      </x:c>
    </x:row>
    <x:row r="56" ht="23" customHeight="1">
      <x:c r="A56" s="2" t="str">
        <x:v>DOM</x:v>
      </x:c>
      <x:c r="B56" s="2" t="str">
        <x:v>Dominican Republic</x:v>
      </x:c>
      <x:c r="C56" s="2" t="str">
        <x:v>TEMPO_PROXY</x:v>
      </x:c>
      <x:c r="D56" s="2" t="n">
        <x:v>2020</x:v>
      </x:c>
      <x:c r="E56" s="2" t="n">
        <x:v>2023</x:v>
      </x:c>
      <x:c r="F56" s="17" t="n">
        <x:v>336248050.8900004</x:v>
      </x:c>
      <x:c r="G56" s="17" t="n">
        <x:v>362266793.65343577</x:v>
      </x:c>
      <x:c r="H56" s="17" t="n">
        <x:v>336248050.8900004</x:v>
      </x:c>
      <x:c r="I56" s="17" t="n">
        <x:v>367109326.4</x:v>
      </x:c>
      <x:c r="J56" s="2" t="str">
        <x:v>m2</x:v>
      </x:c>
      <x:c r="K56" s="15" t="n">
        <x:f>IF(AND(ISNUMBER(F56),ISNUMBER(G56),F56&gt;0),G56/F56-1,"n.a.")</x:f>
        <x:v>0.07737960917414233</x:v>
      </x:c>
      <x:c r="L56" s="15" t="n">
        <x:f>IF(AND(N56,ISNUMBER(H56),ISNUMBER(I56),H56&gt;0),I56/H56-1,"n.a.")</x:f>
        <x:v>0.09178127703138861</x:v>
      </x:c>
      <x:c r="M56" s="20" t="n">
        <x:f>IF(AND(ISNUMBER(K56),ISNUMBER(L56)),100*(K56-L56),"n.a.")</x:f>
        <x:v>-1.440166785724628</x:v>
      </x:c>
      <x:c r="N56" s="13" t="b">
        <x:v>1</x:v>
      </x:c>
      <x:c r="O56" s="13" t="b">
        <x:v>1</x:v>
      </x:c>
      <x:c r="P56" s="13" t="b">
        <x:v>0</x:v>
      </x:c>
      <x:c r="Q56" s="2" t="str">
        <x:v>legacy_epoch_source_QA_passed; new_common_native_support_not_certified</x:v>
      </x:c>
      <x:c r="R56" s="2" t="str">
        <x:v>legacy_epoch_source_QA_passed; new_common_native_support_not_certified</x:v>
      </x:c>
      <x:c r="S56" s="2" t="str">
        <x:v>inherited2020anchor</x:v>
      </x:c>
      <x:c r="T56" s="2" t="str">
        <x:v>unused2023converted-source comparator</x:v>
      </x:c>
      <x:c r="U56" s="2" t="str">
        <x:v>GFA growth versus source physical quantity growth; constant conversion required for equality</x:v>
      </x:c>
      <x:c r="V56" s="2" t="str">
        <x:v>2020 level is the model anchor; 2023 comparator unused by v16 fit but shares conversion/upstream lineage</x:v>
      </x:c>
      <x:c r="W56" s="2" t="str">
        <x:v>https://arxiv.org/abs/2511.12104</x:v>
      </x:c>
    </x:row>
    <x:row r="57" ht="23" customHeight="1">
      <x:c r="A57" s="2" t="str">
        <x:v>DZA</x:v>
      </x:c>
      <x:c r="B57" s="2" t="str">
        <x:v>Algeria (People's Democratic Republic of)</x:v>
      </x:c>
      <x:c r="C57" s="2" t="str">
        <x:v>TEMPO_PROXY</x:v>
      </x:c>
      <x:c r="D57" s="2" t="n">
        <x:v>2020</x:v>
      </x:c>
      <x:c r="E57" s="2" t="n">
        <x:v>2023</x:v>
      </x:c>
      <x:c r="F57" s="17" t="n">
        <x:v>1607752786.8799975</x:v>
      </x:c>
      <x:c r="G57" s="17" t="n">
        <x:v>1753398705.6282687</x:v>
      </x:c>
      <x:c r="H57" s="17" t="n">
        <x:v>1607752786.8799975</x:v>
      </x:c>
      <x:c r="I57" s="17" t="n">
        <x:v>1686067766.67</x:v>
      </x:c>
      <x:c r="J57" s="2" t="str">
        <x:v>m2</x:v>
      </x:c>
      <x:c r="K57" s="15" t="n">
        <x:f>IF(AND(ISNUMBER(F57),ISNUMBER(G57),F57&gt;0),G57/F57-1,"n.a.")</x:f>
        <x:v>0.09058974733977077</x:v>
      </x:c>
      <x:c r="L57" s="15" t="n">
        <x:f>IF(AND(N57,ISNUMBER(H57),ISNUMBER(I57),H57&gt;0),I57/H57-1,"n.a.")</x:f>
        <x:v>0.04871083441999846</x:v>
      </x:c>
      <x:c r="M57" s="20" t="n">
        <x:f>IF(AND(ISNUMBER(K57),ISNUMBER(L57)),100*(K57-L57),"n.a.")</x:f>
        <x:v>4.18789129197723</x:v>
      </x:c>
      <x:c r="N57" s="13" t="b">
        <x:v>1</x:v>
      </x:c>
      <x:c r="O57" s="13" t="b">
        <x:v>1</x:v>
      </x:c>
      <x:c r="P57" s="13" t="b">
        <x:v>0</x:v>
      </x:c>
      <x:c r="Q57" s="2" t="str">
        <x:v>legacy_epoch_source_QA_passed; new_common_native_support_not_certified</x:v>
      </x:c>
      <x:c r="R57" s="2" t="str">
        <x:v>legacy_epoch_source_QA_passed; new_common_native_support_not_certified</x:v>
      </x:c>
      <x:c r="S57" s="2" t="str">
        <x:v>inherited2020anchor</x:v>
      </x:c>
      <x:c r="T57" s="2" t="str">
        <x:v>unused2023converted-source comparator</x:v>
      </x:c>
      <x:c r="U57" s="2" t="str">
        <x:v>GFA growth versus source physical quantity growth; constant conversion required for equality</x:v>
      </x:c>
      <x:c r="V57" s="2" t="str">
        <x:v>2020 level is the model anchor; 2023 comparator unused by v16 fit but shares conversion/upstream lineage</x:v>
      </x:c>
      <x:c r="W57" s="2" t="str">
        <x:v>https://arxiv.org/abs/2511.12104</x:v>
      </x:c>
    </x:row>
    <x:row r="58" ht="23" customHeight="1">
      <x:c r="A58" s="2" t="str">
        <x:v>ECU</x:v>
      </x:c>
      <x:c r="B58" s="2" t="str">
        <x:v>Ecuador (Republic of)</x:v>
      </x:c>
      <x:c r="C58" s="2" t="str">
        <x:v>TEMPO_PROXY</x:v>
      </x:c>
      <x:c r="D58" s="2" t="n">
        <x:v>2020</x:v>
      </x:c>
      <x:c r="E58" s="2" t="n">
        <x:v>2023</x:v>
      </x:c>
      <x:c r="F58" s="17" t="n">
        <x:v>734538215.0500003</x:v>
      </x:c>
      <x:c r="G58" s="17" t="n">
        <x:v>794619772.2105788</x:v>
      </x:c>
      <x:c r="H58" s="17" t="n">
        <x:v>734538215.0500003</x:v>
      </x:c>
      <x:c r="I58" s="17" t="n">
        <x:v>806345279.37</x:v>
      </x:c>
      <x:c r="J58" s="2" t="str">
        <x:v>m2</x:v>
      </x:c>
      <x:c r="K58" s="15" t="n">
        <x:f>IF(AND(ISNUMBER(F58),ISNUMBER(G58),F58&gt;0),G58/F58-1,"n.a.")</x:f>
        <x:v>0.08179500525576966</x:v>
      </x:c>
      <x:c r="L58" s="15" t="n">
        <x:f>IF(AND(N58,ISNUMBER(H58),ISNUMBER(I58),H58&gt;0),I58/H58-1,"n.a.")</x:f>
        <x:v>0.09775810549912878</x:v>
      </x:c>
      <x:c r="M58" s="20" t="n">
        <x:f>IF(AND(ISNUMBER(K58),ISNUMBER(L58)),100*(K58-L58),"n.a.")</x:f>
        <x:v>-1.5963100243359118</x:v>
      </x:c>
      <x:c r="N58" s="13" t="b">
        <x:v>1</x:v>
      </x:c>
      <x:c r="O58" s="13" t="b">
        <x:v>1</x:v>
      </x:c>
      <x:c r="P58" s="13" t="b">
        <x:v>0</x:v>
      </x:c>
      <x:c r="Q58" s="2" t="str">
        <x:v>legacy_epoch_source_QA_passed; new_common_native_support_not_certified</x:v>
      </x:c>
      <x:c r="R58" s="2" t="str">
        <x:v>legacy_epoch_source_QA_passed; new_common_native_support_not_certified</x:v>
      </x:c>
      <x:c r="S58" s="2" t="str">
        <x:v>inherited2020anchor</x:v>
      </x:c>
      <x:c r="T58" s="2" t="str">
        <x:v>unused2023converted-source comparator</x:v>
      </x:c>
      <x:c r="U58" s="2" t="str">
        <x:v>GFA growth versus source physical quantity growth; constant conversion required for equality</x:v>
      </x:c>
      <x:c r="V58" s="2" t="str">
        <x:v>2020 level is the model anchor; 2023 comparator unused by v16 fit but shares conversion/upstream lineage</x:v>
      </x:c>
      <x:c r="W58" s="2" t="str">
        <x:v>https://arxiv.org/abs/2511.12104</x:v>
      </x:c>
    </x:row>
    <x:row r="59" ht="23" customHeight="1">
      <x:c r="A59" s="2" t="str">
        <x:v>EGY</x:v>
      </x:c>
      <x:c r="B59" s="2" t="str">
        <x:v>Egypt (Arab Republic of)</x:v>
      </x:c>
      <x:c r="C59" s="2" t="str">
        <x:v>TEMPO_PROXY</x:v>
      </x:c>
      <x:c r="D59" s="2" t="n">
        <x:v>2020</x:v>
      </x:c>
      <x:c r="E59" s="2" t="n">
        <x:v>2023</x:v>
      </x:c>
      <x:c r="F59" s="17" t="n">
        <x:v>2954306535.6</x:v>
      </x:c>
      <x:c r="G59" s="17" t="n">
        <x:v>3297128281.7812448</x:v>
      </x:c>
      <x:c r="H59" s="17" t="n">
        <x:v>2954306535.6</x:v>
      </x:c>
      <x:c r="I59" s="17" t="n">
        <x:v>3102447182.97</x:v>
      </x:c>
      <x:c r="J59" s="2" t="str">
        <x:v>m2</x:v>
      </x:c>
      <x:c r="K59" s="15" t="n">
        <x:f>IF(AND(ISNUMBER(F59),ISNUMBER(G59),F59&gt;0),G59/F59-1,"n.a.")</x:f>
        <x:v>0.11604135930045589</x:v>
      </x:c>
      <x:c r="L59" s="15" t="n">
        <x:f>IF(AND(N59,ISNUMBER(H59),ISNUMBER(I59),H59&gt;0),I59/H59-1,"n.a.")</x:f>
        <x:v>0.05014396630304763</x:v>
      </x:c>
      <x:c r="M59" s="20" t="n">
        <x:f>IF(AND(ISNUMBER(K59),ISNUMBER(L59)),100*(K59-L59),"n.a.")</x:f>
        <x:v>6.589739299740827</x:v>
      </x:c>
      <x:c r="N59" s="13" t="b">
        <x:v>1</x:v>
      </x:c>
      <x:c r="O59" s="13" t="b">
        <x:v>1</x:v>
      </x:c>
      <x:c r="P59" s="13" t="b">
        <x:v>0</x:v>
      </x:c>
      <x:c r="Q59" s="2" t="str">
        <x:v>legacy_epoch_source_QA_passed; new_common_native_support_not_certified</x:v>
      </x:c>
      <x:c r="R59" s="2" t="str">
        <x:v>legacy_epoch_source_QA_passed; new_common_native_support_not_certified</x:v>
      </x:c>
      <x:c r="S59" s="2" t="str">
        <x:v>inherited2020anchor</x:v>
      </x:c>
      <x:c r="T59" s="2" t="str">
        <x:v>unused2023converted-source comparator</x:v>
      </x:c>
      <x:c r="U59" s="2" t="str">
        <x:v>GFA growth versus source physical quantity growth; constant conversion required for equality</x:v>
      </x:c>
      <x:c r="V59" s="2" t="str">
        <x:v>2020 level is the model anchor; 2023 comparator unused by v16 fit but shares conversion/upstream lineage</x:v>
      </x:c>
      <x:c r="W59" s="2" t="str">
        <x:v>https://arxiv.org/abs/2511.12104</x:v>
      </x:c>
    </x:row>
    <x:row r="60" ht="23" customHeight="1">
      <x:c r="A60" s="2" t="str">
        <x:v>ERI</x:v>
      </x:c>
      <x:c r="B60" s="2" t="str">
        <x:v>Eritrea (State of)</x:v>
      </x:c>
      <x:c r="C60" s="2" t="str">
        <x:v>TEMPO_PROXY</x:v>
      </x:c>
      <x:c r="D60" s="2" t="n">
        <x:v>2020</x:v>
      </x:c>
      <x:c r="E60" s="2" t="n">
        <x:v>2023</x:v>
      </x:c>
      <x:c r="F60" s="17" t="n">
        <x:v>45298098.329999976</x:v>
      </x:c>
      <x:c r="G60" s="17" t="n">
        <x:v>50844198.12792341</x:v>
      </x:c>
      <x:c r="H60" s="17" t="n">
        <x:v>45298098.329999976</x:v>
      </x:c>
      <x:c r="I60" s="17" t="n">
        <x:v>46539774.76</x:v>
      </x:c>
      <x:c r="J60" s="2" t="str">
        <x:v>m2</x:v>
      </x:c>
      <x:c r="K60" s="15" t="n">
        <x:f>IF(AND(ISNUMBER(F60),ISNUMBER(G60),F60&gt;0),G60/F60-1,"n.a.")</x:f>
        <x:v>0.12243559889688282</x:v>
      </x:c>
      <x:c r="L60" s="15" t="n">
        <x:f>IF(AND(N60,ISNUMBER(H60),ISNUMBER(I60),H60&gt;0),I60/H60-1,"n.a.")</x:f>
        <x:v>0.02741122642620275</x:v>
      </x:c>
      <x:c r="M60" s="20" t="n">
        <x:f>IF(AND(ISNUMBER(K60),ISNUMBER(L60)),100*(K60-L60),"n.a.")</x:f>
        <x:v>9.502437247068007</x:v>
      </x:c>
      <x:c r="N60" s="13" t="b">
        <x:v>1</x:v>
      </x:c>
      <x:c r="O60" s="13" t="b">
        <x:v>1</x:v>
      </x:c>
      <x:c r="P60" s="13" t="b">
        <x:v>0</x:v>
      </x:c>
      <x:c r="Q60" s="2" t="str">
        <x:v>legacy_epoch_source_QA_passed; new_common_native_support_not_certified</x:v>
      </x:c>
      <x:c r="R60" s="2" t="str">
        <x:v>legacy_epoch_source_QA_passed; new_common_native_support_not_certified</x:v>
      </x:c>
      <x:c r="S60" s="2" t="str">
        <x:v>inherited2020anchor</x:v>
      </x:c>
      <x:c r="T60" s="2" t="str">
        <x:v>unused2023converted-source comparator</x:v>
      </x:c>
      <x:c r="U60" s="2" t="str">
        <x:v>GFA growth versus source physical quantity growth; constant conversion required for equality</x:v>
      </x:c>
      <x:c r="V60" s="2" t="str">
        <x:v>2020 level is the model anchor; 2023 comparator unused by v16 fit but shares conversion/upstream lineage</x:v>
      </x:c>
      <x:c r="W60" s="2" t="str">
        <x:v>https://arxiv.org/abs/2511.12104</x:v>
      </x:c>
    </x:row>
    <x:row r="61" ht="23" customHeight="1">
      <x:c r="A61" s="2" t="str">
        <x:v>ESP</x:v>
      </x:c>
      <x:c r="B61" s="2" t="str">
        <x:v>Spain (Kingdom of)</x:v>
      </x:c>
      <x:c r="C61" s="2" t="str">
        <x:v>TEMPO_PROXY</x:v>
      </x:c>
      <x:c r="D61" s="2" t="n">
        <x:v>2020</x:v>
      </x:c>
      <x:c r="E61" s="2" t="n">
        <x:v>2023</x:v>
      </x:c>
      <x:c r="F61" s="17" t="n">
        <x:v>3693503432.029994</x:v>
      </x:c>
      <x:c r="G61" s="17" t="n">
        <x:v>4025358106.323323</x:v>
      </x:c>
      <x:c r="H61" s="17" t="n">
        <x:v>3693503432.029994</x:v>
      </x:c>
      <x:c r="I61" s="17" t="n">
        <x:v>3791405522.54</x:v>
      </x:c>
      <x:c r="J61" s="2" t="str">
        <x:v>m2</x:v>
      </x:c>
      <x:c r="K61" s="15" t="n">
        <x:f>IF(AND(ISNUMBER(F61),ISNUMBER(G61),F61&gt;0),G61/F61-1,"n.a.")</x:f>
        <x:v>0.08984821062178838</x:v>
      </x:c>
      <x:c r="L61" s="15" t="n">
        <x:f>IF(AND(N61,ISNUMBER(H61),ISNUMBER(I61),H61&gt;0),I61/H61-1,"n.a.")</x:f>
        <x:v>0.02650656546329455</x:v>
      </x:c>
      <x:c r="M61" s="20" t="n">
        <x:f>IF(AND(ISNUMBER(K61),ISNUMBER(L61)),100*(K61-L61),"n.a.")</x:f>
        <x:v>6.334164515849383</x:v>
      </x:c>
      <x:c r="N61" s="13" t="b">
        <x:v>1</x:v>
      </x:c>
      <x:c r="O61" s="13" t="b">
        <x:v>1</x:v>
      </x:c>
      <x:c r="P61" s="13" t="b">
        <x:v>0</x:v>
      </x:c>
      <x:c r="Q61" s="2" t="str">
        <x:v>legacy_epoch_source_QA_passed; new_common_native_support_not_certified</x:v>
      </x:c>
      <x:c r="R61" s="2" t="str">
        <x:v>legacy_epoch_source_QA_passed; new_common_native_support_not_certified</x:v>
      </x:c>
      <x:c r="S61" s="2" t="str">
        <x:v>inherited2020anchor</x:v>
      </x:c>
      <x:c r="T61" s="2" t="str">
        <x:v>unused2023converted-source comparator</x:v>
      </x:c>
      <x:c r="U61" s="2" t="str">
        <x:v>GFA growth versus source physical quantity growth; constant conversion required for equality</x:v>
      </x:c>
      <x:c r="V61" s="2" t="str">
        <x:v>2020 level is the model anchor; 2023 comparator unused by v16 fit but shares conversion/upstream lineage</x:v>
      </x:c>
      <x:c r="W61" s="2" t="str">
        <x:v>https://arxiv.org/abs/2511.12104</x:v>
      </x:c>
    </x:row>
    <x:row r="62" ht="23" customHeight="1">
      <x:c r="A62" s="2" t="str">
        <x:v>EST</x:v>
      </x:c>
      <x:c r="B62" s="2" t="str">
        <x:v>Estonia (Republic of)</x:v>
      </x:c>
      <x:c r="C62" s="2" t="str">
        <x:v>TEMPO_PROXY</x:v>
      </x:c>
      <x:c r="D62" s="2" t="n">
        <x:v>2020</x:v>
      </x:c>
      <x:c r="E62" s="2" t="n">
        <x:v>2023</x:v>
      </x:c>
      <x:c r="F62" s="17" t="n">
        <x:v>113094705.3700001</x:v>
      </x:c>
      <x:c r="G62" s="17" t="n">
        <x:v>119990211.53416616</x:v>
      </x:c>
      <x:c r="H62" s="17" t="n">
        <x:v>113094705.3700001</x:v>
      </x:c>
      <x:c r="I62" s="17" t="n">
        <x:v>118906361.09</x:v>
      </x:c>
      <x:c r="J62" s="2" t="str">
        <x:v>m2</x:v>
      </x:c>
      <x:c r="K62" s="15" t="n">
        <x:f>IF(AND(ISNUMBER(F62),ISNUMBER(G62),F62&gt;0),G62/F62-1,"n.a.")</x:f>
        <x:v>0.06097107854524886</x:v>
      </x:c>
      <x:c r="L62" s="15" t="n">
        <x:f>IF(AND(N62,ISNUMBER(H62),ISNUMBER(I62),H62&gt;0),I62/H62-1,"n.a.")</x:f>
        <x:v>0.05138751368586636</x:v>
      </x:c>
      <x:c r="M62" s="20" t="n">
        <x:f>IF(AND(ISNUMBER(K62),ISNUMBER(L62)),100*(K62-L62),"n.a.")</x:f>
        <x:v>0.9583564859382498</x:v>
      </x:c>
      <x:c r="N62" s="13" t="b">
        <x:v>1</x:v>
      </x:c>
      <x:c r="O62" s="13" t="b">
        <x:v>1</x:v>
      </x:c>
      <x:c r="P62" s="13" t="b">
        <x:v>0</x:v>
      </x:c>
      <x:c r="Q62" s="2" t="str">
        <x:v>legacy_epoch_source_QA_passed; new_common_native_support_not_certified</x:v>
      </x:c>
      <x:c r="R62" s="2" t="str">
        <x:v>legacy_epoch_source_QA_passed; new_common_native_support_not_certified</x:v>
      </x:c>
      <x:c r="S62" s="2" t="str">
        <x:v>inherited2020anchor</x:v>
      </x:c>
      <x:c r="T62" s="2" t="str">
        <x:v>unused2023converted-source comparator</x:v>
      </x:c>
      <x:c r="U62" s="2" t="str">
        <x:v>GFA growth versus source physical quantity growth; constant conversion required for equality</x:v>
      </x:c>
      <x:c r="V62" s="2" t="str">
        <x:v>2020 level is the model anchor; 2023 comparator unused by v16 fit but shares conversion/upstream lineage</x:v>
      </x:c>
      <x:c r="W62" s="2" t="str">
        <x:v>https://arxiv.org/abs/2511.12104</x:v>
      </x:c>
    </x:row>
    <x:row r="63" ht="23" customHeight="1">
      <x:c r="A63" s="2" t="str">
        <x:v>ETH</x:v>
      </x:c>
      <x:c r="B63" s="2" t="str">
        <x:v>Ethiopia (Federal Democratic Republic of)</x:v>
      </x:c>
      <x:c r="C63" s="2" t="str">
        <x:v>TEMPO_PROXY</x:v>
      </x:c>
      <x:c r="D63" s="2" t="n">
        <x:v>2020</x:v>
      </x:c>
      <x:c r="E63" s="2" t="n">
        <x:v>2023</x:v>
      </x:c>
      <x:c r="F63" s="17" t="n">
        <x:v>1660821510.7100024</x:v>
      </x:c>
      <x:c r="G63" s="17" t="n">
        <x:v>1902459385.037186</x:v>
      </x:c>
      <x:c r="H63" s="17" t="n">
        <x:v>1660821510.7100024</x:v>
      </x:c>
      <x:c r="I63" s="17" t="n">
        <x:v>1825219817.43</x:v>
      </x:c>
      <x:c r="J63" s="2" t="str">
        <x:v>m2</x:v>
      </x:c>
      <x:c r="K63" s="15" t="n">
        <x:f>IF(AND(ISNUMBER(F63),ISNUMBER(G63),F63&gt;0),G63/F63-1,"n.a.")</x:f>
        <x:v>0.14549298209889105</x:v>
      </x:c>
      <x:c r="L63" s="15" t="n">
        <x:f>IF(AND(N63,ISNUMBER(H63),ISNUMBER(I63),H63&gt;0),I63/H63-1,"n.a.")</x:f>
        <x:v>0.09898613767936881</x:v>
      </x:c>
      <x:c r="M63" s="20" t="n">
        <x:f>IF(AND(ISNUMBER(K63),ISNUMBER(L63)),100*(K63-L63),"n.a.")</x:f>
        <x:v>4.650684441952224</x:v>
      </x:c>
      <x:c r="N63" s="13" t="b">
        <x:v>1</x:v>
      </x:c>
      <x:c r="O63" s="13" t="b">
        <x:v>1</x:v>
      </x:c>
      <x:c r="P63" s="13" t="b">
        <x:v>0</x:v>
      </x:c>
      <x:c r="Q63" s="2" t="str">
        <x:v>legacy_epoch_source_QA_passed; new_common_native_support_not_certified</x:v>
      </x:c>
      <x:c r="R63" s="2" t="str">
        <x:v>legacy_epoch_source_QA_passed; new_common_native_support_not_certified</x:v>
      </x:c>
      <x:c r="S63" s="2" t="str">
        <x:v>inherited2020anchor</x:v>
      </x:c>
      <x:c r="T63" s="2" t="str">
        <x:v>unused2023converted-source comparator</x:v>
      </x:c>
      <x:c r="U63" s="2" t="str">
        <x:v>GFA growth versus source physical quantity growth; constant conversion required for equality</x:v>
      </x:c>
      <x:c r="V63" s="2" t="str">
        <x:v>2020 level is the model anchor; 2023 comparator unused by v16 fit but shares conversion/upstream lineage</x:v>
      </x:c>
      <x:c r="W63" s="2" t="str">
        <x:v>https://arxiv.org/abs/2511.12104</x:v>
      </x:c>
    </x:row>
    <x:row r="64" ht="23" customHeight="1">
      <x:c r="A64" s="2" t="str">
        <x:v>FIN</x:v>
      </x:c>
      <x:c r="B64" s="2" t="str">
        <x:v>Finland (Republic of)</x:v>
      </x:c>
      <x:c r="C64" s="2" t="str">
        <x:v>TEMPO_PROXY</x:v>
      </x:c>
      <x:c r="D64" s="2" t="n">
        <x:v>2020</x:v>
      </x:c>
      <x:c r="E64" s="2" t="n">
        <x:v>2023</x:v>
      </x:c>
      <x:c r="F64" s="17" t="n">
        <x:v>615866742.3399993</x:v>
      </x:c>
      <x:c r="G64" s="17" t="n">
        <x:v>688966113.4488864</x:v>
      </x:c>
      <x:c r="H64" s="17" t="n">
        <x:v>615866742.3399993</x:v>
      </x:c>
      <x:c r="I64" s="17" t="n">
        <x:v>634422300.66</x:v>
      </x:c>
      <x:c r="J64" s="2" t="str">
        <x:v>m2</x:v>
      </x:c>
      <x:c r="K64" s="15" t="n">
        <x:f>IF(AND(ISNUMBER(F64),ISNUMBER(G64),F64&gt;0),G64/F64-1,"n.a.")</x:f>
        <x:v>0.11869348689157078</x:v>
      </x:c>
      <x:c r="L64" s="15" t="n">
        <x:f>IF(AND(N64,ISNUMBER(H64),ISNUMBER(I64),H64&gt;0),I64/H64-1,"n.a.")</x:f>
        <x:v>0.03012917737609655</x:v>
      </x:c>
      <x:c r="M64" s="20" t="n">
        <x:f>IF(AND(ISNUMBER(K64),ISNUMBER(L64)),100*(K64-L64),"n.a.")</x:f>
        <x:v>8.856430951547424</x:v>
      </x:c>
      <x:c r="N64" s="13" t="b">
        <x:v>1</x:v>
      </x:c>
      <x:c r="O64" s="13" t="b">
        <x:v>1</x:v>
      </x:c>
      <x:c r="P64" s="13" t="b">
        <x:v>0</x:v>
      </x:c>
      <x:c r="Q64" s="2" t="str">
        <x:v>legacy_epoch_source_QA_passed; new_common_native_support_not_certified</x:v>
      </x:c>
      <x:c r="R64" s="2" t="str">
        <x:v>legacy_epoch_source_QA_passed; new_common_native_support_not_certified</x:v>
      </x:c>
      <x:c r="S64" s="2" t="str">
        <x:v>inherited2020anchor</x:v>
      </x:c>
      <x:c r="T64" s="2" t="str">
        <x:v>unused2023converted-source comparator</x:v>
      </x:c>
      <x:c r="U64" s="2" t="str">
        <x:v>GFA growth versus source physical quantity growth; constant conversion required for equality</x:v>
      </x:c>
      <x:c r="V64" s="2" t="str">
        <x:v>2020 level is the model anchor; 2023 comparator unused by v16 fit but shares conversion/upstream lineage</x:v>
      </x:c>
      <x:c r="W64" s="2" t="str">
        <x:v>https://arxiv.org/abs/2511.12104</x:v>
      </x:c>
    </x:row>
    <x:row r="65" ht="23" customHeight="1">
      <x:c r="A65" s="2" t="str">
        <x:v>FJI</x:v>
      </x:c>
      <x:c r="B65" s="2" t="str">
        <x:v>Fiji (Republic of)</x:v>
      </x:c>
      <x:c r="C65" s="2" t="str">
        <x:v>TEMPO_PROXY</x:v>
      </x:c>
      <x:c r="D65" s="2" t="n">
        <x:v>2020</x:v>
      </x:c>
      <x:c r="E65" s="2" t="n">
        <x:v>2023</x:v>
      </x:c>
      <x:c r="F65" s="17" t="n">
        <x:v>37460168.12</x:v>
      </x:c>
      <x:c r="G65" s="17" t="n">
        <x:v>39148436.010481395</x:v>
      </x:c>
      <x:c r="H65" s="17" t="n">
        <x:v>37460168.12</x:v>
      </x:c>
      <x:c r="I65" s="17" t="n">
        <x:v>38081115.71</x:v>
      </x:c>
      <x:c r="J65" s="2" t="str">
        <x:v>m2</x:v>
      </x:c>
      <x:c r="K65" s="15" t="n">
        <x:f>IF(AND(ISNUMBER(F65),ISNUMBER(G65),F65&gt;0),G65/F65-1,"n.a.")</x:f>
        <x:v>0.04506834793354897</x:v>
      </x:c>
      <x:c r="L65" s="15" t="n">
        <x:f>IF(AND(N65,ISNUMBER(H65),ISNUMBER(I65),H65&gt;0),I65/H65-1,"n.a.")</x:f>
        <x:v>0.01657620937553883</x:v>
      </x:c>
      <x:c r="M65" s="20" t="n">
        <x:f>IF(AND(ISNUMBER(K65),ISNUMBER(L65)),100*(K65-L65),"n.a.")</x:f>
        <x:v>2.849213855801014</x:v>
      </x:c>
      <x:c r="N65" s="13" t="b">
        <x:v>1</x:v>
      </x:c>
      <x:c r="O65" s="13" t="b">
        <x:v>1</x:v>
      </x:c>
      <x:c r="P65" s="13" t="b">
        <x:v>0</x:v>
      </x:c>
      <x:c r="Q65" s="2" t="str">
        <x:v>legacy_epoch_source_QA_passed; new_common_native_support_not_certified</x:v>
      </x:c>
      <x:c r="R65" s="2" t="str">
        <x:v>legacy_epoch_source_QA_passed; new_common_native_support_not_certified</x:v>
      </x:c>
      <x:c r="S65" s="2" t="str">
        <x:v>inherited2020anchor</x:v>
      </x:c>
      <x:c r="T65" s="2" t="str">
        <x:v>unused2023converted-source comparator</x:v>
      </x:c>
      <x:c r="U65" s="2" t="str">
        <x:v>GFA growth versus source physical quantity growth; constant conversion required for equality</x:v>
      </x:c>
      <x:c r="V65" s="2" t="str">
        <x:v>2020 level is the model anchor; 2023 comparator unused by v16 fit but shares conversion/upstream lineage</x:v>
      </x:c>
      <x:c r="W65" s="2" t="str">
        <x:v>https://arxiv.org/abs/2511.12104</x:v>
      </x:c>
    </x:row>
    <x:row r="66" ht="23" customHeight="1">
      <x:c r="A66" s="2" t="str">
        <x:v>FRA</x:v>
      </x:c>
      <x:c r="B66" s="2" t="str">
        <x:v>France (French Republic)</x:v>
      </x:c>
      <x:c r="C66" s="2" t="str">
        <x:v>TEMPO_PROXY</x:v>
      </x:c>
      <x:c r="D66" s="2" t="n">
        <x:v>2020</x:v>
      </x:c>
      <x:c r="E66" s="2" t="n">
        <x:v>2023</x:v>
      </x:c>
      <x:c r="F66" s="17" t="n">
        <x:v>6074526882.680001</x:v>
      </x:c>
      <x:c r="G66" s="17" t="n">
        <x:v>6389564730.251554</x:v>
      </x:c>
      <x:c r="H66" s="17" t="n">
        <x:v>6074526882.680001</x:v>
      </x:c>
      <x:c r="I66" s="17" t="n">
        <x:v>6361129189.52</x:v>
      </x:c>
      <x:c r="J66" s="2" t="str">
        <x:v>m2</x:v>
      </x:c>
      <x:c r="K66" s="15" t="n">
        <x:f>IF(AND(ISNUMBER(F66),ISNUMBER(G66),F66&gt;0),G66/F66-1,"n.a.")</x:f>
        <x:v>0.05186212089534159</x:v>
      </x:c>
      <x:c r="L66" s="15" t="n">
        <x:f>IF(AND(N66,ISNUMBER(H66),ISNUMBER(I66),H66&gt;0),I66/H66-1,"n.a.")</x:f>
        <x:v>0.047181008887650755</x:v>
      </x:c>
      <x:c r="M66" s="20" t="n">
        <x:f>IF(AND(ISNUMBER(K66),ISNUMBER(L66)),100*(K66-L66),"n.a.")</x:f>
        <x:v>0.4681112007690835</x:v>
      </x:c>
      <x:c r="N66" s="13" t="b">
        <x:v>1</x:v>
      </x:c>
      <x:c r="O66" s="13" t="b">
        <x:v>1</x:v>
      </x:c>
      <x:c r="P66" s="13" t="b">
        <x:v>0</x:v>
      </x:c>
      <x:c r="Q66" s="2" t="str">
        <x:v>legacy_epoch_source_QA_passed; new_common_native_support_not_certified</x:v>
      </x:c>
      <x:c r="R66" s="2" t="str">
        <x:v>legacy_epoch_source_QA_passed; new_common_native_support_not_certified</x:v>
      </x:c>
      <x:c r="S66" s="2" t="str">
        <x:v>inherited2020anchor</x:v>
      </x:c>
      <x:c r="T66" s="2" t="str">
        <x:v>unused2023converted-source comparator</x:v>
      </x:c>
      <x:c r="U66" s="2" t="str">
        <x:v>GFA growth versus source physical quantity growth; constant conversion required for equality</x:v>
      </x:c>
      <x:c r="V66" s="2" t="str">
        <x:v>2020 level is the model anchor; 2023 comparator unused by v16 fit but shares conversion/upstream lineage</x:v>
      </x:c>
      <x:c r="W66" s="2" t="str">
        <x:v>https://arxiv.org/abs/2511.12104</x:v>
      </x:c>
    </x:row>
    <x:row r="67" ht="23" customHeight="1">
      <x:c r="A67" s="2" t="str">
        <x:v>FSM</x:v>
      </x:c>
      <x:c r="B67" s="2" t="str">
        <x:v>Micronesia (Federated States of)</x:v>
      </x:c>
      <x:c r="C67" s="2" t="str">
        <x:v>TEMPO_PROXY</x:v>
      </x:c>
      <x:c r="D67" s="2" t="n">
        <x:v>2020</x:v>
      </x:c>
      <x:c r="E67" s="2" t="n">
        <x:v>2023</x:v>
      </x:c>
      <x:c r="F67" s="17" t="n">
        <x:v>2177822.609999999</x:v>
      </x:c>
      <x:c r="G67" s="17" t="n">
        <x:v>2327474.040135418</x:v>
      </x:c>
      <x:c r="H67" s="17" t="n">
        <x:v>2177822.609999999</x:v>
      </x:c>
      <x:c r="I67" s="17" t="n">
        <x:v>2228182.32</x:v>
      </x:c>
      <x:c r="J67" s="2" t="str">
        <x:v>m2</x:v>
      </x:c>
      <x:c r="K67" s="15" t="n">
        <x:f>IF(AND(ISNUMBER(F67),ISNUMBER(G67),F67&gt;0),G67/F67-1,"n.a.")</x:f>
        <x:v>0.06871607882490438</x:v>
      </x:c>
      <x:c r="L67" s="15" t="n">
        <x:f>IF(AND(N67,ISNUMBER(H67),ISNUMBER(I67),H67&gt;0),I67/H67-1,"n.a.")</x:f>
        <x:v>0.023123880599256408</x:v>
      </x:c>
      <x:c r="M67" s="20" t="n">
        <x:f>IF(AND(ISNUMBER(K67),ISNUMBER(L67)),100*(K67-L67),"n.a.")</x:f>
        <x:v>4.559219822564797</x:v>
      </x:c>
      <x:c r="N67" s="13" t="b">
        <x:v>1</x:v>
      </x:c>
      <x:c r="O67" s="13" t="b">
        <x:v>1</x:v>
      </x:c>
      <x:c r="P67" s="13" t="b">
        <x:v>0</x:v>
      </x:c>
      <x:c r="Q67" s="2" t="str">
        <x:v>legacy_epoch_source_QA_passed; new_common_native_support_not_certified</x:v>
      </x:c>
      <x:c r="R67" s="2" t="str">
        <x:v>legacy_epoch_source_QA_passed; new_common_native_support_not_certified</x:v>
      </x:c>
      <x:c r="S67" s="2" t="str">
        <x:v>inherited2020anchor</x:v>
      </x:c>
      <x:c r="T67" s="2" t="str">
        <x:v>unused2023converted-source comparator</x:v>
      </x:c>
      <x:c r="U67" s="2" t="str">
        <x:v>GFA growth versus source physical quantity growth; constant conversion required for equality</x:v>
      </x:c>
      <x:c r="V67" s="2" t="str">
        <x:v>2020 level is the model anchor; 2023 comparator unused by v16 fit but shares conversion/upstream lineage</x:v>
      </x:c>
      <x:c r="W67" s="2" t="str">
        <x:v>https://arxiv.org/abs/2511.12104</x:v>
      </x:c>
    </x:row>
    <x:row r="68" ht="23" customHeight="1">
      <x:c r="A68" s="2" t="str">
        <x:v>GAB</x:v>
      </x:c>
      <x:c r="B68" s="2" t="str">
        <x:v>Gabon (Gabonese Republic)</x:v>
      </x:c>
      <x:c r="C68" s="2" t="str">
        <x:v>TEMPO_PROXY</x:v>
      </x:c>
      <x:c r="D68" s="2" t="n">
        <x:v>2020</x:v>
      </x:c>
      <x:c r="E68" s="2" t="n">
        <x:v>2023</x:v>
      </x:c>
      <x:c r="F68" s="17" t="n">
        <x:v>73743642.55999996</x:v>
      </x:c>
      <x:c r="G68" s="17" t="n">
        <x:v>80472687.08876044</x:v>
      </x:c>
      <x:c r="H68" s="17" t="n">
        <x:v>73743642.55999996</x:v>
      </x:c>
      <x:c r="I68" s="17" t="n">
        <x:v>77774183.11</x:v>
      </x:c>
      <x:c r="J68" s="2" t="str">
        <x:v>m2</x:v>
      </x:c>
      <x:c r="K68" s="15" t="n">
        <x:f>IF(AND(ISNUMBER(F68),ISNUMBER(G68),F68&gt;0),G68/F68-1,"n.a.")</x:f>
        <x:v>0.09124914765751546</x:v>
      </x:c>
      <x:c r="L68" s="15" t="n">
        <x:f>IF(AND(N68,ISNUMBER(H68),ISNUMBER(I68),H68&gt;0),I68/H68-1,"n.a.")</x:f>
        <x:v>0.054656108785522406</x:v>
      </x:c>
      <x:c r="M68" s="20" t="n">
        <x:f>IF(AND(ISNUMBER(K68),ISNUMBER(L68)),100*(K68-L68),"n.a.")</x:f>
        <x:v>3.6593038871993055</x:v>
      </x:c>
      <x:c r="N68" s="13" t="b">
        <x:v>1</x:v>
      </x:c>
      <x:c r="O68" s="13" t="b">
        <x:v>1</x:v>
      </x:c>
      <x:c r="P68" s="13" t="b">
        <x:v>0</x:v>
      </x:c>
      <x:c r="Q68" s="2" t="str">
        <x:v>legacy_epoch_source_QA_passed; new_common_native_support_not_certified</x:v>
      </x:c>
      <x:c r="R68" s="2" t="str">
        <x:v>legacy_epoch_source_QA_passed; new_common_native_support_not_certified</x:v>
      </x:c>
      <x:c r="S68" s="2" t="str">
        <x:v>inherited2020anchor</x:v>
      </x:c>
      <x:c r="T68" s="2" t="str">
        <x:v>unused2023converted-source comparator</x:v>
      </x:c>
      <x:c r="U68" s="2" t="str">
        <x:v>GFA growth versus source physical quantity growth; constant conversion required for equality</x:v>
      </x:c>
      <x:c r="V68" s="2" t="str">
        <x:v>2020 level is the model anchor; 2023 comparator unused by v16 fit but shares conversion/upstream lineage</x:v>
      </x:c>
      <x:c r="W68" s="2" t="str">
        <x:v>https://arxiv.org/abs/2511.12104</x:v>
      </x:c>
    </x:row>
    <x:row r="69" ht="23" customHeight="1">
      <x:c r="A69" s="2" t="str">
        <x:v>GBR</x:v>
      </x:c>
      <x:c r="B69" s="2" t="str">
        <x:v>United Kingdom of Great Britain and Northern Ireland</x:v>
      </x:c>
      <x:c r="C69" s="2" t="str">
        <x:v>TEMPO_PROXY</x:v>
      </x:c>
      <x:c r="D69" s="2" t="n">
        <x:v>2020</x:v>
      </x:c>
      <x:c r="E69" s="2" t="n">
        <x:v>2023</x:v>
      </x:c>
      <x:c r="F69" s="17" t="n">
        <x:v>3418464510.0900006</x:v>
      </x:c>
      <x:c r="G69" s="17" t="n">
        <x:v>3712529416.016612</x:v>
      </x:c>
      <x:c r="H69" s="17" t="n">
        <x:v>3418464510.0900006</x:v>
      </x:c>
      <x:c r="I69" s="17" t="n">
        <x:v>3606945243.56</x:v>
      </x:c>
      <x:c r="J69" s="2" t="str">
        <x:v>m2</x:v>
      </x:c>
      <x:c r="K69" s="15" t="n">
        <x:f>IF(AND(ISNUMBER(F69),ISNUMBER(G69),F69&gt;0),G69/F69-1,"n.a.")</x:f>
        <x:v>0.08602251246389847</x:v>
      </x:c>
      <x:c r="L69" s="15" t="n">
        <x:f>IF(AND(N69,ISNUMBER(H69),ISNUMBER(I69),H69&gt;0),I69/H69-1,"n.a.")</x:f>
        <x:v>0.055136080223643136</x:v>
      </x:c>
      <x:c r="M69" s="20" t="n">
        <x:f>IF(AND(ISNUMBER(K69),ISNUMBER(L69)),100*(K69-L69),"n.a.")</x:f>
        <x:v>3.0886432240255335</x:v>
      </x:c>
      <x:c r="N69" s="13" t="b">
        <x:v>1</x:v>
      </x:c>
      <x:c r="O69" s="13" t="b">
        <x:v>1</x:v>
      </x:c>
      <x:c r="P69" s="13" t="b">
        <x:v>0</x:v>
      </x:c>
      <x:c r="Q69" s="2" t="str">
        <x:v>legacy_epoch_source_QA_passed; new_common_native_support_not_certified</x:v>
      </x:c>
      <x:c r="R69" s="2" t="str">
        <x:v>legacy_epoch_source_QA_passed; new_common_native_support_not_certified</x:v>
      </x:c>
      <x:c r="S69" s="2" t="str">
        <x:v>inherited2020anchor</x:v>
      </x:c>
      <x:c r="T69" s="2" t="str">
        <x:v>unused2023converted-source comparator</x:v>
      </x:c>
      <x:c r="U69" s="2" t="str">
        <x:v>GFA growth versus source physical quantity growth; constant conversion required for equality</x:v>
      </x:c>
      <x:c r="V69" s="2" t="str">
        <x:v>2020 level is the model anchor; 2023 comparator unused by v16 fit but shares conversion/upstream lineage</x:v>
      </x:c>
      <x:c r="W69" s="2" t="str">
        <x:v>https://arxiv.org/abs/2511.12104</x:v>
      </x:c>
    </x:row>
    <x:row r="70" ht="23" customHeight="1">
      <x:c r="A70" s="2" t="str">
        <x:v>GEO</x:v>
      </x:c>
      <x:c r="B70" s="2" t="str">
        <x:v>Georgia</x:v>
      </x:c>
      <x:c r="C70" s="2" t="str">
        <x:v>TEMPO_PROXY</x:v>
      </x:c>
      <x:c r="D70" s="2" t="n">
        <x:v>2020</x:v>
      </x:c>
      <x:c r="E70" s="2" t="n">
        <x:v>2023</x:v>
      </x:c>
      <x:c r="F70" s="17" t="n">
        <x:v>242256071.04000017</x:v>
      </x:c>
      <x:c r="G70" s="17" t="n">
        <x:v>247964997.94667792</x:v>
      </x:c>
      <x:c r="H70" s="17" t="n">
        <x:v>242256071.04000017</x:v>
      </x:c>
      <x:c r="I70" s="17" t="n">
        <x:v>256355188.76</x:v>
      </x:c>
      <x:c r="J70" s="2" t="str">
        <x:v>m2</x:v>
      </x:c>
      <x:c r="K70" s="15" t="n">
        <x:f>IF(AND(ISNUMBER(F70),ISNUMBER(G70),F70&gt;0),G70/F70-1,"n.a.")</x:f>
        <x:v>0.02356567116014663</x:v>
      </x:c>
      <x:c r="L70" s="15" t="n">
        <x:f>IF(AND(N70,ISNUMBER(H70),ISNUMBER(I70),H70&gt;0),I70/H70-1,"n.a.")</x:f>
        <x:v>0.05819923380855885</x:v>
      </x:c>
      <x:c r="M70" s="20" t="n">
        <x:f>IF(AND(ISNUMBER(K70),ISNUMBER(L70)),100*(K70-L70),"n.a.")</x:f>
        <x:v>-3.463356264841222</x:v>
      </x:c>
      <x:c r="N70" s="13" t="b">
        <x:v>1</x:v>
      </x:c>
      <x:c r="O70" s="13" t="b">
        <x:v>1</x:v>
      </x:c>
      <x:c r="P70" s="13" t="b">
        <x:v>0</x:v>
      </x:c>
      <x:c r="Q70" s="2" t="str">
        <x:v>legacy_epoch_source_QA_passed; new_common_native_support_not_certified</x:v>
      </x:c>
      <x:c r="R70" s="2" t="str">
        <x:v>legacy_epoch_source_QA_passed; new_common_native_support_not_certified</x:v>
      </x:c>
      <x:c r="S70" s="2" t="str">
        <x:v>inherited2020anchor</x:v>
      </x:c>
      <x:c r="T70" s="2" t="str">
        <x:v>unused2023converted-source comparator</x:v>
      </x:c>
      <x:c r="U70" s="2" t="str">
        <x:v>GFA growth versus source physical quantity growth; constant conversion required for equality</x:v>
      </x:c>
      <x:c r="V70" s="2" t="str">
        <x:v>2020 level is the model anchor; 2023 comparator unused by v16 fit but shares conversion/upstream lineage</x:v>
      </x:c>
      <x:c r="W70" s="2" t="str">
        <x:v>https://arxiv.org/abs/2511.12104</x:v>
      </x:c>
    </x:row>
    <x:row r="71" ht="23" customHeight="1">
      <x:c r="A71" s="2" t="str">
        <x:v>GHA</x:v>
      </x:c>
      <x:c r="B71" s="2" t="str">
        <x:v>Ghana (Republic of)</x:v>
      </x:c>
      <x:c r="C71" s="2" t="str">
        <x:v>TEMPO_PROXY</x:v>
      </x:c>
      <x:c r="D71" s="2" t="n">
        <x:v>2020</x:v>
      </x:c>
      <x:c r="E71" s="2" t="n">
        <x:v>2023</x:v>
      </x:c>
      <x:c r="F71" s="17" t="n">
        <x:v>958424622.62</x:v>
      </x:c>
      <x:c r="G71" s="17" t="n">
        <x:v>1034825318.9084021</x:v>
      </x:c>
      <x:c r="H71" s="17" t="n">
        <x:v>958424622.62</x:v>
      </x:c>
      <x:c r="I71" s="17" t="n">
        <x:v>1079528033.02</x:v>
      </x:c>
      <x:c r="J71" s="2" t="str">
        <x:v>m2</x:v>
      </x:c>
      <x:c r="K71" s="15" t="n">
        <x:f>IF(AND(ISNUMBER(F71),ISNUMBER(G71),F71&gt;0),G71/F71-1,"n.a.")</x:f>
        <x:v>0.07971487218217455</x:v>
      </x:c>
      <x:c r="L71" s="15" t="n">
        <x:f>IF(AND(N71,ISNUMBER(H71),ISNUMBER(I71),H71&gt;0),I71/H71-1,"n.a.")</x:f>
        <x:v>0.12635673953048632</x:v>
      </x:c>
      <x:c r="M71" s="20" t="n">
        <x:f>IF(AND(ISNUMBER(K71),ISNUMBER(L71)),100*(K71-L71),"n.a.")</x:f>
        <x:v>-4.664186734831177</x:v>
      </x:c>
      <x:c r="N71" s="13" t="b">
        <x:v>1</x:v>
      </x:c>
      <x:c r="O71" s="13" t="b">
        <x:v>1</x:v>
      </x:c>
      <x:c r="P71" s="13" t="b">
        <x:v>0</x:v>
      </x:c>
      <x:c r="Q71" s="2" t="str">
        <x:v>legacy_epoch_source_QA_passed; new_common_native_support_not_certified</x:v>
      </x:c>
      <x:c r="R71" s="2" t="str">
        <x:v>legacy_epoch_source_QA_passed; new_common_native_support_not_certified</x:v>
      </x:c>
      <x:c r="S71" s="2" t="str">
        <x:v>inherited2020anchor</x:v>
      </x:c>
      <x:c r="T71" s="2" t="str">
        <x:v>unused2023converted-source comparator</x:v>
      </x:c>
      <x:c r="U71" s="2" t="str">
        <x:v>GFA growth versus source physical quantity growth; constant conversion required for equality</x:v>
      </x:c>
      <x:c r="V71" s="2" t="str">
        <x:v>2020 level is the model anchor; 2023 comparator unused by v16 fit but shares conversion/upstream lineage</x:v>
      </x:c>
      <x:c r="W71" s="2" t="str">
        <x:v>https://arxiv.org/abs/2511.12104</x:v>
      </x:c>
    </x:row>
    <x:row r="72" ht="23" customHeight="1">
      <x:c r="A72" s="2" t="str">
        <x:v>GIN</x:v>
      </x:c>
      <x:c r="B72" s="2" t="str">
        <x:v>Guinea (Republic of)</x:v>
      </x:c>
      <x:c r="C72" s="2" t="str">
        <x:v>TEMPO_PROXY</x:v>
      </x:c>
      <x:c r="D72" s="2" t="n">
        <x:v>2020</x:v>
      </x:c>
      <x:c r="E72" s="2" t="n">
        <x:v>2023</x:v>
      </x:c>
      <x:c r="F72" s="17" t="n">
        <x:v>277637578.22999954</x:v>
      </x:c>
      <x:c r="G72" s="17" t="n">
        <x:v>306365619.5322375</x:v>
      </x:c>
      <x:c r="H72" s="17" t="n">
        <x:v>277637578.22999954</x:v>
      </x:c>
      <x:c r="I72" s="17" t="n">
        <x:v>302309654.5</x:v>
      </x:c>
      <x:c r="J72" s="2" t="str">
        <x:v>m2</x:v>
      </x:c>
      <x:c r="K72" s="15" t="n">
        <x:f>IF(AND(ISNUMBER(F72),ISNUMBER(G72),F72&gt;0),G72/F72-1,"n.a.")</x:f>
        <x:v>0.1034731734997314</x:v>
      </x:c>
      <x:c r="L72" s="15" t="n">
        <x:f>IF(AND(N72,ISNUMBER(H72),ISNUMBER(I72),H72&gt;0),I72/H72-1,"n.a.")</x:f>
        <x:v>0.08886432602996441</x:v>
      </x:c>
      <x:c r="M72" s="20" t="n">
        <x:f>IF(AND(ISNUMBER(K72),ISNUMBER(L72)),100*(K72-L72),"n.a.")</x:f>
        <x:v>1.4608847469766983</x:v>
      </x:c>
      <x:c r="N72" s="13" t="b">
        <x:v>1</x:v>
      </x:c>
      <x:c r="O72" s="13" t="b">
        <x:v>1</x:v>
      </x:c>
      <x:c r="P72" s="13" t="b">
        <x:v>0</x:v>
      </x:c>
      <x:c r="Q72" s="2" t="str">
        <x:v>legacy_epoch_source_QA_passed; new_common_native_support_not_certified</x:v>
      </x:c>
      <x:c r="R72" s="2" t="str">
        <x:v>legacy_epoch_source_QA_passed; new_common_native_support_not_certified</x:v>
      </x:c>
      <x:c r="S72" s="2" t="str">
        <x:v>inherited2020anchor</x:v>
      </x:c>
      <x:c r="T72" s="2" t="str">
        <x:v>unused2023converted-source comparator</x:v>
      </x:c>
      <x:c r="U72" s="2" t="str">
        <x:v>GFA growth versus source physical quantity growth; constant conversion required for equality</x:v>
      </x:c>
      <x:c r="V72" s="2" t="str">
        <x:v>2020 level is the model anchor; 2023 comparator unused by v16 fit but shares conversion/upstream lineage</x:v>
      </x:c>
      <x:c r="W72" s="2" t="str">
        <x:v>https://arxiv.org/abs/2511.12104</x:v>
      </x:c>
    </x:row>
    <x:row r="73" ht="23" customHeight="1">
      <x:c r="A73" s="2" t="str">
        <x:v>GMB</x:v>
      </x:c>
      <x:c r="B73" s="2" t="str">
        <x:v>Gambia (Republic of the)</x:v>
      </x:c>
      <x:c r="C73" s="2" t="str">
        <x:v>TEMPO_PROXY</x:v>
      </x:c>
      <x:c r="D73" s="2" t="n">
        <x:v>2020</x:v>
      </x:c>
      <x:c r="E73" s="2" t="n">
        <x:v>2023</x:v>
      </x:c>
      <x:c r="F73" s="17" t="n">
        <x:v>56875154.52999992</x:v>
      </x:c>
      <x:c r="G73" s="17" t="n">
        <x:v>62520713.49145536</x:v>
      </x:c>
      <x:c r="H73" s="17" t="n">
        <x:v>56875154.52999992</x:v>
      </x:c>
      <x:c r="I73" s="17" t="n">
        <x:v>62513278.48</x:v>
      </x:c>
      <x:c r="J73" s="2" t="str">
        <x:v>m2</x:v>
      </x:c>
      <x:c r="K73" s="15" t="n">
        <x:f>IF(AND(ISNUMBER(F73),ISNUMBER(G73),F73&gt;0),G73/F73-1,"n.a.")</x:f>
        <x:v>0.09926230544969483</x:v>
      </x:c>
      <x:c r="L73" s="15" t="n">
        <x:f>IF(AND(N73,ISNUMBER(H73),ISNUMBER(I73),H73&gt;0),I73/H73-1,"n.a.")</x:f>
        <x:v>0.09913158032873803</x:v>
      </x:c>
      <x:c r="M73" s="20" t="n">
        <x:f>IF(AND(ISNUMBER(K73),ISNUMBER(L73)),100*(K73-L73),"n.a.")</x:f>
        <x:v>0.013072512095679834</x:v>
      </x:c>
      <x:c r="N73" s="13" t="b">
        <x:v>1</x:v>
      </x:c>
      <x:c r="O73" s="13" t="b">
        <x:v>1</x:v>
      </x:c>
      <x:c r="P73" s="13" t="b">
        <x:v>0</x:v>
      </x:c>
      <x:c r="Q73" s="2" t="str">
        <x:v>legacy_epoch_source_QA_passed; new_common_native_support_not_certified</x:v>
      </x:c>
      <x:c r="R73" s="2" t="str">
        <x:v>legacy_epoch_source_QA_passed; new_common_native_support_not_certified</x:v>
      </x:c>
      <x:c r="S73" s="2" t="str">
        <x:v>inherited2020anchor</x:v>
      </x:c>
      <x:c r="T73" s="2" t="str">
        <x:v>unused2023converted-source comparator</x:v>
      </x:c>
      <x:c r="U73" s="2" t="str">
        <x:v>GFA growth versus source physical quantity growth; constant conversion required for equality</x:v>
      </x:c>
      <x:c r="V73" s="2" t="str">
        <x:v>2020 level is the model anchor; 2023 comparator unused by v16 fit but shares conversion/upstream lineage</x:v>
      </x:c>
      <x:c r="W73" s="2" t="str">
        <x:v>https://arxiv.org/abs/2511.12104</x:v>
      </x:c>
    </x:row>
    <x:row r="74" ht="23" customHeight="1">
      <x:c r="A74" s="2" t="str">
        <x:v>GNB</x:v>
      </x:c>
      <x:c r="B74" s="2" t="str">
        <x:v>Guinea-Bissau (Republic of)</x:v>
      </x:c>
      <x:c r="C74" s="2" t="str">
        <x:v>TEMPO_PROXY</x:v>
      </x:c>
      <x:c r="D74" s="2" t="n">
        <x:v>2020</x:v>
      </x:c>
      <x:c r="E74" s="2" t="n">
        <x:v>2023</x:v>
      </x:c>
      <x:c r="F74" s="17" t="n">
        <x:v>48952674.499999925</x:v>
      </x:c>
      <x:c r="G74" s="17" t="n">
        <x:v>53947655.779188216</x:v>
      </x:c>
      <x:c r="H74" s="17" t="n">
        <x:v>48952674.499999925</x:v>
      </x:c>
      <x:c r="I74" s="17" t="n">
        <x:v>49874498.93</x:v>
      </x:c>
      <x:c r="J74" s="2" t="str">
        <x:v>m2</x:v>
      </x:c>
      <x:c r="K74" s="15" t="n">
        <x:f>IF(AND(ISNUMBER(F74),ISNUMBER(G74),F74&gt;0),G74/F74-1,"n.a.")</x:f>
        <x:v>0.10203694343989933</x:v>
      </x:c>
      <x:c r="L74" s="15" t="n">
        <x:f>IF(AND(N74,ISNUMBER(H74),ISNUMBER(I74),H74&gt;0),I74/H74-1,"n.a.")</x:f>
        <x:v>0.01883093088203136</x:v>
      </x:c>
      <x:c r="M74" s="20" t="n">
        <x:f>IF(AND(ISNUMBER(K74),ISNUMBER(L74)),100*(K74-L74),"n.a.")</x:f>
        <x:v>8.320601255786798</x:v>
      </x:c>
      <x:c r="N74" s="13" t="b">
        <x:v>1</x:v>
      </x:c>
      <x:c r="O74" s="13" t="b">
        <x:v>1</x:v>
      </x:c>
      <x:c r="P74" s="13" t="b">
        <x:v>0</x:v>
      </x:c>
      <x:c r="Q74" s="2" t="str">
        <x:v>legacy_epoch_source_QA_passed; new_common_native_support_not_certified</x:v>
      </x:c>
      <x:c r="R74" s="2" t="str">
        <x:v>legacy_epoch_source_QA_passed; new_common_native_support_not_certified</x:v>
      </x:c>
      <x:c r="S74" s="2" t="str">
        <x:v>inherited2020anchor</x:v>
      </x:c>
      <x:c r="T74" s="2" t="str">
        <x:v>unused2023converted-source comparator</x:v>
      </x:c>
      <x:c r="U74" s="2" t="str">
        <x:v>GFA growth versus source physical quantity growth; constant conversion required for equality</x:v>
      </x:c>
      <x:c r="V74" s="2" t="str">
        <x:v>2020 level is the model anchor; 2023 comparator unused by v16 fit but shares conversion/upstream lineage</x:v>
      </x:c>
      <x:c r="W74" s="2" t="str">
        <x:v>https://arxiv.org/abs/2511.12104</x:v>
      </x:c>
    </x:row>
    <x:row r="75" ht="23" customHeight="1">
      <x:c r="A75" s="2" t="str">
        <x:v>GNQ</x:v>
      </x:c>
      <x:c r="B75" s="2" t="str">
        <x:v>Equatorial Guinea (Republic of)</x:v>
      </x:c>
      <x:c r="C75" s="2" t="str">
        <x:v>TEMPO_PROXY</x:v>
      </x:c>
      <x:c r="D75" s="2" t="n">
        <x:v>2020</x:v>
      </x:c>
      <x:c r="E75" s="2" t="n">
        <x:v>2023</x:v>
      </x:c>
      <x:c r="F75" s="17" t="n">
        <x:v>34102626.51999995</x:v>
      </x:c>
      <x:c r="G75" s="17" t="n">
        <x:v>38613248.31957669</x:v>
      </x:c>
      <x:c r="H75" s="17" t="n">
        <x:v>34102626.51999995</x:v>
      </x:c>
      <x:c r="I75" s="17" t="n">
        <x:v>35119830.56</x:v>
      </x:c>
      <x:c r="J75" s="2" t="str">
        <x:v>m2</x:v>
      </x:c>
      <x:c r="K75" s="15" t="n">
        <x:f>IF(AND(ISNUMBER(F75),ISNUMBER(G75),F75&gt;0),G75/F75-1,"n.a.")</x:f>
        <x:v>0.13226611143664901</x:v>
      </x:c>
      <x:c r="L75" s="15" t="n">
        <x:f>IF(AND(N75,ISNUMBER(H75),ISNUMBER(I75),H75&gt;0),I75/H75-1,"n.a.")</x:f>
        <x:v>0.029827733045825644</x:v>
      </x:c>
      <x:c r="M75" s="20" t="n">
        <x:f>IF(AND(ISNUMBER(K75),ISNUMBER(L75)),100*(K75-L75),"n.a.")</x:f>
        <x:v>10.243837839082337</x:v>
      </x:c>
      <x:c r="N75" s="13" t="b">
        <x:v>1</x:v>
      </x:c>
      <x:c r="O75" s="13" t="b">
        <x:v>1</x:v>
      </x:c>
      <x:c r="P75" s="13" t="b">
        <x:v>0</x:v>
      </x:c>
      <x:c r="Q75" s="2" t="str">
        <x:v>legacy_epoch_source_QA_passed; new_common_native_support_not_certified</x:v>
      </x:c>
      <x:c r="R75" s="2" t="str">
        <x:v>legacy_epoch_source_QA_passed; new_common_native_support_not_certified</x:v>
      </x:c>
      <x:c r="S75" s="2" t="str">
        <x:v>inherited2020anchor</x:v>
      </x:c>
      <x:c r="T75" s="2" t="str">
        <x:v>unused2023converted-source comparator</x:v>
      </x:c>
      <x:c r="U75" s="2" t="str">
        <x:v>GFA growth versus source physical quantity growth; constant conversion required for equality</x:v>
      </x:c>
      <x:c r="V75" s="2" t="str">
        <x:v>2020 level is the model anchor; 2023 comparator unused by v16 fit but shares conversion/upstream lineage</x:v>
      </x:c>
      <x:c r="W75" s="2" t="str">
        <x:v>https://arxiv.org/abs/2511.12104</x:v>
      </x:c>
    </x:row>
    <x:row r="76" ht="23" customHeight="1">
      <x:c r="A76" s="2" t="str">
        <x:v>GRC</x:v>
      </x:c>
      <x:c r="B76" s="2" t="str">
        <x:v>Greece (Hellenic Republic)</x:v>
      </x:c>
      <x:c r="C76" s="2" t="str">
        <x:v>TEMPO_PROXY</x:v>
      </x:c>
      <x:c r="D76" s="2" t="n">
        <x:v>2020</x:v>
      </x:c>
      <x:c r="E76" s="2" t="n">
        <x:v>2023</x:v>
      </x:c>
      <x:c r="F76" s="17" t="n">
        <x:v>853851739.6700008</x:v>
      </x:c>
      <x:c r="G76" s="17" t="n">
        <x:v>878991889.6218495</x:v>
      </x:c>
      <x:c r="H76" s="17" t="n">
        <x:v>853851739.6700008</x:v>
      </x:c>
      <x:c r="I76" s="17" t="n">
        <x:v>890023645.48</x:v>
      </x:c>
      <x:c r="J76" s="2" t="str">
        <x:v>m2</x:v>
      </x:c>
      <x:c r="K76" s="15" t="n">
        <x:f>IF(AND(ISNUMBER(F76),ISNUMBER(G76),F76&gt;0),G76/F76-1,"n.a.")</x:f>
        <x:v>0.029443226246239185</x:v>
      </x:c>
      <x:c r="L76" s="15" t="n">
        <x:f>IF(AND(N76,ISNUMBER(H76),ISNUMBER(I76),H76&gt;0),I76/H76-1,"n.a.")</x:f>
        <x:v>0.04236321615270011</x:v>
      </x:c>
      <x:c r="M76" s="20" t="n">
        <x:f>IF(AND(ISNUMBER(K76),ISNUMBER(L76)),100*(K76-L76),"n.a.")</x:f>
        <x:v>-1.2919989906460927</x:v>
      </x:c>
      <x:c r="N76" s="13" t="b">
        <x:v>1</x:v>
      </x:c>
      <x:c r="O76" s="13" t="b">
        <x:v>1</x:v>
      </x:c>
      <x:c r="P76" s="13" t="b">
        <x:v>0</x:v>
      </x:c>
      <x:c r="Q76" s="2" t="str">
        <x:v>legacy_epoch_source_QA_passed; new_common_native_support_not_certified</x:v>
      </x:c>
      <x:c r="R76" s="2" t="str">
        <x:v>legacy_epoch_source_QA_passed; new_common_native_support_not_certified</x:v>
      </x:c>
      <x:c r="S76" s="2" t="str">
        <x:v>inherited2020anchor</x:v>
      </x:c>
      <x:c r="T76" s="2" t="str">
        <x:v>unused2023converted-source comparator</x:v>
      </x:c>
      <x:c r="U76" s="2" t="str">
        <x:v>GFA growth versus source physical quantity growth; constant conversion required for equality</x:v>
      </x:c>
      <x:c r="V76" s="2" t="str">
        <x:v>2020 level is the model anchor; 2023 comparator unused by v16 fit but shares conversion/upstream lineage</x:v>
      </x:c>
      <x:c r="W76" s="2" t="str">
        <x:v>https://arxiv.org/abs/2511.12104</x:v>
      </x:c>
    </x:row>
    <x:row r="77" ht="23" customHeight="1">
      <x:c r="A77" s="2" t="str">
        <x:v>GRD</x:v>
      </x:c>
      <x:c r="B77" s="2" t="str">
        <x:v>Grenada</x:v>
      </x:c>
      <x:c r="C77" s="2" t="str">
        <x:v>TEMPO_PROXY</x:v>
      </x:c>
      <x:c r="D77" s="2" t="n">
        <x:v>2020</x:v>
      </x:c>
      <x:c r="E77" s="2" t="n">
        <x:v>2023</x:v>
      </x:c>
      <x:c r="F77" s="17" t="n">
        <x:v>6904998.419999993</x:v>
      </x:c>
      <x:c r="G77" s="17" t="n">
        <x:v>7180368.844334662</x:v>
      </x:c>
      <x:c r="H77" s="17" t="n">
        <x:v>6904998.419999993</x:v>
      </x:c>
      <x:c r="I77" s="17" t="n">
        <x:v>7250430.92</x:v>
      </x:c>
      <x:c r="J77" s="2" t="str">
        <x:v>m2</x:v>
      </x:c>
      <x:c r="K77" s="15" t="n">
        <x:f>IF(AND(ISNUMBER(F77),ISNUMBER(G77),F77&gt;0),G77/F77-1,"n.a.")</x:f>
        <x:v>0.03987986782691677</x:v>
      </x:c>
      <x:c r="L77" s="15" t="n">
        <x:f>IF(AND(N77,ISNUMBER(H77),ISNUMBER(I77),H77&gt;0),I77/H77-1,"n.a.")</x:f>
        <x:v>0.05002644157013525</x:v>
      </x:c>
      <x:c r="M77" s="20" t="n">
        <x:f>IF(AND(ISNUMBER(K77),ISNUMBER(L77)),100*(K77-L77),"n.a.")</x:f>
        <x:v>-1.0146573743218479</x:v>
      </x:c>
      <x:c r="N77" s="13" t="b">
        <x:v>1</x:v>
      </x:c>
      <x:c r="O77" s="13" t="b">
        <x:v>1</x:v>
      </x:c>
      <x:c r="P77" s="13" t="b">
        <x:v>0</x:v>
      </x:c>
      <x:c r="Q77" s="2" t="str">
        <x:v>legacy_epoch_source_QA_passed; new_common_native_support_not_certified</x:v>
      </x:c>
      <x:c r="R77" s="2" t="str">
        <x:v>legacy_epoch_source_QA_passed; new_common_native_support_not_certified</x:v>
      </x:c>
      <x:c r="S77" s="2" t="str">
        <x:v>inherited2020anchor</x:v>
      </x:c>
      <x:c r="T77" s="2" t="str">
        <x:v>unused2023converted-source comparator</x:v>
      </x:c>
      <x:c r="U77" s="2" t="str">
        <x:v>GFA growth versus source physical quantity growth; constant conversion required for equality</x:v>
      </x:c>
      <x:c r="V77" s="2" t="str">
        <x:v>2020 level is the model anchor; 2023 comparator unused by v16 fit but shares conversion/upstream lineage</x:v>
      </x:c>
      <x:c r="W77" s="2" t="str">
        <x:v>https://arxiv.org/abs/2511.12104</x:v>
      </x:c>
    </x:row>
    <x:row r="78" ht="23" customHeight="1">
      <x:c r="A78" s="2" t="str">
        <x:v>GTM</x:v>
      </x:c>
      <x:c r="B78" s="2" t="str">
        <x:v>Guatemala (Republic of)</x:v>
      </x:c>
      <x:c r="C78" s="2" t="str">
        <x:v>TEMPO_PROXY</x:v>
      </x:c>
      <x:c r="D78" s="2" t="n">
        <x:v>2020</x:v>
      </x:c>
      <x:c r="E78" s="2" t="n">
        <x:v>2023</x:v>
      </x:c>
      <x:c r="F78" s="17" t="n">
        <x:v>599114028.8099989</x:v>
      </x:c>
      <x:c r="G78" s="17" t="n">
        <x:v>647754969.24808</x:v>
      </x:c>
      <x:c r="H78" s="17" t="n">
        <x:v>599114028.8099989</x:v>
      </x:c>
      <x:c r="I78" s="17" t="n">
        <x:v>655326350.78</x:v>
      </x:c>
      <x:c r="J78" s="2" t="str">
        <x:v>m2</x:v>
      </x:c>
      <x:c r="K78" s="15" t="n">
        <x:f>IF(AND(ISNUMBER(F78),ISNUMBER(G78),F78&gt;0),G78/F78-1,"n.a.")</x:f>
        <x:v>0.08118811795259595</x:v>
      </x:c>
      <x:c r="L78" s="15" t="n">
        <x:f>IF(AND(N78,ISNUMBER(H78),ISNUMBER(I78),H78&gt;0),I78/H78-1,"n.a.")</x:f>
        <x:v>0.09382574813287858</x:v>
      </x:c>
      <x:c r="M78" s="20" t="n">
        <x:f>IF(AND(ISNUMBER(K78),ISNUMBER(L78)),100*(K78-L78),"n.a.")</x:f>
        <x:v>-1.2637630180282633</x:v>
      </x:c>
      <x:c r="N78" s="13" t="b">
        <x:v>1</x:v>
      </x:c>
      <x:c r="O78" s="13" t="b">
        <x:v>1</x:v>
      </x:c>
      <x:c r="P78" s="13" t="b">
        <x:v>0</x:v>
      </x:c>
      <x:c r="Q78" s="2" t="str">
        <x:v>legacy_epoch_source_QA_passed; new_common_native_support_not_certified</x:v>
      </x:c>
      <x:c r="R78" s="2" t="str">
        <x:v>legacy_epoch_source_QA_passed; new_common_native_support_not_certified</x:v>
      </x:c>
      <x:c r="S78" s="2" t="str">
        <x:v>inherited2020anchor</x:v>
      </x:c>
      <x:c r="T78" s="2" t="str">
        <x:v>unused2023converted-source comparator</x:v>
      </x:c>
      <x:c r="U78" s="2" t="str">
        <x:v>GFA growth versus source physical quantity growth; constant conversion required for equality</x:v>
      </x:c>
      <x:c r="V78" s="2" t="str">
        <x:v>2020 level is the model anchor; 2023 comparator unused by v16 fit but shares conversion/upstream lineage</x:v>
      </x:c>
      <x:c r="W78" s="2" t="str">
        <x:v>https://arxiv.org/abs/2511.12104</x:v>
      </x:c>
    </x:row>
    <x:row r="79" ht="23" customHeight="1">
      <x:c r="A79" s="2" t="str">
        <x:v>GUY</x:v>
      </x:c>
      <x:c r="B79" s="2" t="str">
        <x:v>Guyana (Co-operative Republic of)</x:v>
      </x:c>
      <x:c r="C79" s="2" t="str">
        <x:v>TEMPO_PROXY</x:v>
      </x:c>
      <x:c r="D79" s="2" t="n">
        <x:v>2020</x:v>
      </x:c>
      <x:c r="E79" s="2" t="n">
        <x:v>2023</x:v>
      </x:c>
      <x:c r="F79" s="17" t="n">
        <x:v>46462035.66000002</x:v>
      </x:c>
      <x:c r="G79" s="17" t="n">
        <x:v>49798430.03803689</x:v>
      </x:c>
      <x:c r="H79" s="17" t="n">
        <x:v>46462035.66000002</x:v>
      </x:c>
      <x:c r="I79" s="17" t="n">
        <x:v>49163715.5</x:v>
      </x:c>
      <x:c r="J79" s="2" t="str">
        <x:v>m2</x:v>
      </x:c>
      <x:c r="K79" s="15" t="n">
        <x:f>IF(AND(ISNUMBER(F79),ISNUMBER(G79),F79&gt;0),G79/F79-1,"n.a.")</x:f>
        <x:v>0.07180904432280899</x:v>
      </x:c>
      <x:c r="L79" s="15" t="n">
        <x:f>IF(AND(N79,ISNUMBER(H79),ISNUMBER(I79),H79&gt;0),I79/H79-1,"n.a.")</x:f>
        <x:v>0.058148116018212015</x:v>
      </x:c>
      <x:c r="M79" s="20" t="n">
        <x:f>IF(AND(ISNUMBER(K79),ISNUMBER(L79)),100*(K79-L79),"n.a.")</x:f>
        <x:v>1.3660928304596975</x:v>
      </x:c>
      <x:c r="N79" s="13" t="b">
        <x:v>1</x:v>
      </x:c>
      <x:c r="O79" s="13" t="b">
        <x:v>1</x:v>
      </x:c>
      <x:c r="P79" s="13" t="b">
        <x:v>0</x:v>
      </x:c>
      <x:c r="Q79" s="2" t="str">
        <x:v>legacy_epoch_source_QA_passed; new_common_native_support_not_certified</x:v>
      </x:c>
      <x:c r="R79" s="2" t="str">
        <x:v>legacy_epoch_source_QA_passed; new_common_native_support_not_certified</x:v>
      </x:c>
      <x:c r="S79" s="2" t="str">
        <x:v>inherited2020anchor</x:v>
      </x:c>
      <x:c r="T79" s="2" t="str">
        <x:v>unused2023converted-source comparator</x:v>
      </x:c>
      <x:c r="U79" s="2" t="str">
        <x:v>GFA growth versus source physical quantity growth; constant conversion required for equality</x:v>
      </x:c>
      <x:c r="V79" s="2" t="str">
        <x:v>2020 level is the model anchor; 2023 comparator unused by v16 fit but shares conversion/upstream lineage</x:v>
      </x:c>
      <x:c r="W79" s="2" t="str">
        <x:v>https://arxiv.org/abs/2511.12104</x:v>
      </x:c>
    </x:row>
    <x:row r="80" ht="23" customHeight="1">
      <x:c r="A80" s="2" t="str">
        <x:v>HND</x:v>
      </x:c>
      <x:c r="B80" s="2" t="str">
        <x:v>Honduras (Republic of)</x:v>
      </x:c>
      <x:c r="C80" s="2" t="str">
        <x:v>TEMPO_PROXY</x:v>
      </x:c>
      <x:c r="D80" s="2" t="n">
        <x:v>2020</x:v>
      </x:c>
      <x:c r="E80" s="2" t="n">
        <x:v>2023</x:v>
      </x:c>
      <x:c r="F80" s="17" t="n">
        <x:v>335660713.2700002</x:v>
      </x:c>
      <x:c r="G80" s="17" t="n">
        <x:v>364439508.79973423</x:v>
      </x:c>
      <x:c r="H80" s="17" t="n">
        <x:v>335660713.2700002</x:v>
      </x:c>
      <x:c r="I80" s="17" t="n">
        <x:v>364417328.07</x:v>
      </x:c>
      <x:c r="J80" s="2" t="str">
        <x:v>m2</x:v>
      </x:c>
      <x:c r="K80" s="15" t="n">
        <x:f>IF(AND(ISNUMBER(F80),ISNUMBER(G80),F80&gt;0),G80/F80-1,"n.a.")</x:f>
        <x:v>0.0857377536065258</x:v>
      </x:c>
      <x:c r="L80" s="15" t="n">
        <x:f>IF(AND(N80,ISNUMBER(H80),ISNUMBER(I80),H80&gt;0),I80/H80-1,"n.a.")</x:f>
        <x:v>0.08567167280273402</x:v>
      </x:c>
      <x:c r="M80" s="20" t="n">
        <x:f>IF(AND(ISNUMBER(K80),ISNUMBER(L80)),100*(K80-L80),"n.a.")</x:f>
        <x:v>0.0066080803791779275</x:v>
      </x:c>
      <x:c r="N80" s="13" t="b">
        <x:v>1</x:v>
      </x:c>
      <x:c r="O80" s="13" t="b">
        <x:v>1</x:v>
      </x:c>
      <x:c r="P80" s="13" t="b">
        <x:v>0</x:v>
      </x:c>
      <x:c r="Q80" s="2" t="str">
        <x:v>legacy_epoch_source_QA_passed; new_common_native_support_not_certified</x:v>
      </x:c>
      <x:c r="R80" s="2" t="str">
        <x:v>legacy_epoch_source_QA_passed; new_common_native_support_not_certified</x:v>
      </x:c>
      <x:c r="S80" s="2" t="str">
        <x:v>inherited2020anchor</x:v>
      </x:c>
      <x:c r="T80" s="2" t="str">
        <x:v>unused2023converted-source comparator</x:v>
      </x:c>
      <x:c r="U80" s="2" t="str">
        <x:v>GFA growth versus source physical quantity growth; constant conversion required for equality</x:v>
      </x:c>
      <x:c r="V80" s="2" t="str">
        <x:v>2020 level is the model anchor; 2023 comparator unused by v16 fit but shares conversion/upstream lineage</x:v>
      </x:c>
      <x:c r="W80" s="2" t="str">
        <x:v>https://arxiv.org/abs/2511.12104</x:v>
      </x:c>
    </x:row>
    <x:row r="81" ht="23" customHeight="1">
      <x:c r="A81" s="2" t="str">
        <x:v>HRV</x:v>
      </x:c>
      <x:c r="B81" s="2" t="str">
        <x:v>Croatia (Republic of)</x:v>
      </x:c>
      <x:c r="C81" s="2" t="str">
        <x:v>TEMPO_PROXY</x:v>
      </x:c>
      <x:c r="D81" s="2" t="n">
        <x:v>2020</x:v>
      </x:c>
      <x:c r="E81" s="2" t="n">
        <x:v>2023</x:v>
      </x:c>
      <x:c r="F81" s="17" t="n">
        <x:v>361520718.4299994</x:v>
      </x:c>
      <x:c r="G81" s="17" t="n">
        <x:v>369349142.65656567</x:v>
      </x:c>
      <x:c r="H81" s="17" t="n">
        <x:v>361520718.4299994</x:v>
      </x:c>
      <x:c r="I81" s="17" t="n">
        <x:v>380643014.24</x:v>
      </x:c>
      <x:c r="J81" s="2" t="str">
        <x:v>m2</x:v>
      </x:c>
      <x:c r="K81" s="15" t="n">
        <x:f>IF(AND(ISNUMBER(F81),ISNUMBER(G81),F81&gt;0),G81/F81-1,"n.a.")</x:f>
        <x:v>0.02165415100015089</x:v>
      </x:c>
      <x:c r="L81" s="15" t="n">
        <x:f>IF(AND(N81,ISNUMBER(H81),ISNUMBER(I81),H81&gt;0),I81/H81-1,"n.a.")</x:f>
        <x:v>0.05289405236038558</x:v>
      </x:c>
      <x:c r="M81" s="20" t="n">
        <x:f>IF(AND(ISNUMBER(K81),ISNUMBER(L81)),100*(K81-L81),"n.a.")</x:f>
        <x:v>-3.123990136023469</x:v>
      </x:c>
      <x:c r="N81" s="13" t="b">
        <x:v>1</x:v>
      </x:c>
      <x:c r="O81" s="13" t="b">
        <x:v>1</x:v>
      </x:c>
      <x:c r="P81" s="13" t="b">
        <x:v>0</x:v>
      </x:c>
      <x:c r="Q81" s="2" t="str">
        <x:v>legacy_epoch_source_QA_passed; new_common_native_support_not_certified</x:v>
      </x:c>
      <x:c r="R81" s="2" t="str">
        <x:v>legacy_epoch_source_QA_passed; new_common_native_support_not_certified</x:v>
      </x:c>
      <x:c r="S81" s="2" t="str">
        <x:v>inherited2020anchor</x:v>
      </x:c>
      <x:c r="T81" s="2" t="str">
        <x:v>unused2023converted-source comparator</x:v>
      </x:c>
      <x:c r="U81" s="2" t="str">
        <x:v>GFA growth versus source physical quantity growth; constant conversion required for equality</x:v>
      </x:c>
      <x:c r="V81" s="2" t="str">
        <x:v>2020 level is the model anchor; 2023 comparator unused by v16 fit but shares conversion/upstream lineage</x:v>
      </x:c>
      <x:c r="W81" s="2" t="str">
        <x:v>https://arxiv.org/abs/2511.12104</x:v>
      </x:c>
    </x:row>
    <x:row r="82" ht="23" customHeight="1">
      <x:c r="A82" s="2" t="str">
        <x:v>HTI</x:v>
      </x:c>
      <x:c r="B82" s="2" t="str">
        <x:v>Haiti (Republic of)</x:v>
      </x:c>
      <x:c r="C82" s="2" t="str">
        <x:v>TEMPO_PROXY</x:v>
      </x:c>
      <x:c r="D82" s="2" t="n">
        <x:v>2020</x:v>
      </x:c>
      <x:c r="E82" s="2" t="n">
        <x:v>2023</x:v>
      </x:c>
      <x:c r="F82" s="17" t="n">
        <x:v>189002396.5400002</x:v>
      </x:c>
      <x:c r="G82" s="17" t="n">
        <x:v>209148379.48343772</x:v>
      </x:c>
      <x:c r="H82" s="17" t="n">
        <x:v>189002396.5400002</x:v>
      </x:c>
      <x:c r="I82" s="17" t="n">
        <x:v>199836091.86</x:v>
      </x:c>
      <x:c r="J82" s="2" t="str">
        <x:v>m2</x:v>
      </x:c>
      <x:c r="K82" s="15" t="n">
        <x:f>IF(AND(ISNUMBER(F82),ISNUMBER(G82),F82&gt;0),G82/F82-1,"n.a.")</x:f>
        <x:v>0.10659115075915904</x:v>
      </x:c>
      <x:c r="L82" s="15" t="n">
        <x:f>IF(AND(N82,ISNUMBER(H82),ISNUMBER(I82),H82&gt;0),I82/H82-1,"n.a.")</x:f>
        <x:v>0.05732041243036301</x:v>
      </x:c>
      <x:c r="M82" s="20" t="n">
        <x:f>IF(AND(ISNUMBER(K82),ISNUMBER(L82)),100*(K82-L82),"n.a.")</x:f>
        <x:v>4.927073832879603</x:v>
      </x:c>
      <x:c r="N82" s="13" t="b">
        <x:v>1</x:v>
      </x:c>
      <x:c r="O82" s="13" t="b">
        <x:v>1</x:v>
      </x:c>
      <x:c r="P82" s="13" t="b">
        <x:v>0</x:v>
      </x:c>
      <x:c r="Q82" s="2" t="str">
        <x:v>legacy_epoch_source_QA_passed; new_common_native_support_not_certified</x:v>
      </x:c>
      <x:c r="R82" s="2" t="str">
        <x:v>legacy_epoch_source_QA_passed; new_common_native_support_not_certified</x:v>
      </x:c>
      <x:c r="S82" s="2" t="str">
        <x:v>inherited2020anchor</x:v>
      </x:c>
      <x:c r="T82" s="2" t="str">
        <x:v>unused2023converted-source comparator</x:v>
      </x:c>
      <x:c r="U82" s="2" t="str">
        <x:v>GFA growth versus source physical quantity growth; constant conversion required for equality</x:v>
      </x:c>
      <x:c r="V82" s="2" t="str">
        <x:v>2020 level is the model anchor; 2023 comparator unused by v16 fit but shares conversion/upstream lineage</x:v>
      </x:c>
      <x:c r="W82" s="2" t="str">
        <x:v>https://arxiv.org/abs/2511.12104</x:v>
      </x:c>
    </x:row>
    <x:row r="83" ht="23" customHeight="1">
      <x:c r="A83" s="2" t="str">
        <x:v>HUN</x:v>
      </x:c>
      <x:c r="B83" s="2" t="str">
        <x:v>Hungary</x:v>
      </x:c>
      <x:c r="C83" s="2" t="str">
        <x:v>TEMPO_PROXY</x:v>
      </x:c>
      <x:c r="D83" s="2" t="n">
        <x:v>2020</x:v>
      </x:c>
      <x:c r="E83" s="2" t="n">
        <x:v>2023</x:v>
      </x:c>
      <x:c r="F83" s="17" t="n">
        <x:v>853072780.5300013</x:v>
      </x:c>
      <x:c r="G83" s="17" t="n">
        <x:v>883797573.1256319</x:v>
      </x:c>
      <x:c r="H83" s="17" t="n">
        <x:v>853072780.5300013</x:v>
      </x:c>
      <x:c r="I83" s="17" t="n">
        <x:v>903090760.9</x:v>
      </x:c>
      <x:c r="J83" s="2" t="str">
        <x:v>m2</x:v>
      </x:c>
      <x:c r="K83" s="15" t="n">
        <x:f>IF(AND(ISNUMBER(F83),ISNUMBER(G83),F83&gt;0),G83/F83-1,"n.a.")</x:f>
        <x:v>0.03601661346707341</x:v>
      </x:c>
      <x:c r="L83" s="15" t="n">
        <x:f>IF(AND(N83,ISNUMBER(H83),ISNUMBER(I83),H83&gt;0),I83/H83-1,"n.a.")</x:f>
        <x:v>0.05863272338723924</x:v>
      </x:c>
      <x:c r="M83" s="20" t="n">
        <x:f>IF(AND(ISNUMBER(K83),ISNUMBER(L83)),100*(K83-L83),"n.a.")</x:f>
        <x:v>-2.2616109920165828</x:v>
      </x:c>
      <x:c r="N83" s="13" t="b">
        <x:v>1</x:v>
      </x:c>
      <x:c r="O83" s="13" t="b">
        <x:v>1</x:v>
      </x:c>
      <x:c r="P83" s="13" t="b">
        <x:v>0</x:v>
      </x:c>
      <x:c r="Q83" s="2" t="str">
        <x:v>legacy_epoch_source_QA_passed; new_common_native_support_not_certified</x:v>
      </x:c>
      <x:c r="R83" s="2" t="str">
        <x:v>legacy_epoch_source_QA_passed; new_common_native_support_not_certified</x:v>
      </x:c>
      <x:c r="S83" s="2" t="str">
        <x:v>inherited2020anchor</x:v>
      </x:c>
      <x:c r="T83" s="2" t="str">
        <x:v>unused2023converted-source comparator</x:v>
      </x:c>
      <x:c r="U83" s="2" t="str">
        <x:v>GFA growth versus source physical quantity growth; constant conversion required for equality</x:v>
      </x:c>
      <x:c r="V83" s="2" t="str">
        <x:v>2020 level is the model anchor; 2023 comparator unused by v16 fit but shares conversion/upstream lineage</x:v>
      </x:c>
      <x:c r="W83" s="2" t="str">
        <x:v>https://arxiv.org/abs/2511.12104</x:v>
      </x:c>
    </x:row>
    <x:row r="84" ht="23" customHeight="1">
      <x:c r="A84" s="2" t="str">
        <x:v>IDN</x:v>
      </x:c>
      <x:c r="B84" s="2" t="str">
        <x:v>Indonesia (Republic of)</x:v>
      </x:c>
      <x:c r="C84" s="2" t="str">
        <x:v>TEMPO_PROXY</x:v>
      </x:c>
      <x:c r="D84" s="2" t="n">
        <x:v>2020</x:v>
      </x:c>
      <x:c r="E84" s="2" t="n">
        <x:v>2023</x:v>
      </x:c>
      <x:c r="F84" s="17" t="n">
        <x:v>10794355074.089985</x:v>
      </x:c>
      <x:c r="G84" s="17" t="n">
        <x:v>11646095553.226633</x:v>
      </x:c>
      <x:c r="H84" s="17" t="n">
        <x:v>10794355074.089985</x:v>
      </x:c>
      <x:c r="I84" s="17" t="n">
        <x:v>11473877386.57</x:v>
      </x:c>
      <x:c r="J84" s="2" t="str">
        <x:v>m2</x:v>
      </x:c>
      <x:c r="K84" s="15" t="n">
        <x:f>IF(AND(ISNUMBER(F84),ISNUMBER(G84),F84&gt;0),G84/F84-1,"n.a.")</x:f>
        <x:v>0.07890610168838208</x:v>
      </x:c>
      <x:c r="L84" s="15" t="n">
        <x:f>IF(AND(N84,ISNUMBER(H84),ISNUMBER(I84),H84&gt;0),I84/H84-1,"n.a.")</x:f>
        <x:v>0.06295163609274756</x:v>
      </x:c>
      <x:c r="M84" s="20" t="n">
        <x:f>IF(AND(ISNUMBER(K84),ISNUMBER(L84)),100*(K84-L84),"n.a.")</x:f>
        <x:v>1.5954465595634515</x:v>
      </x:c>
      <x:c r="N84" s="13" t="b">
        <x:v>1</x:v>
      </x:c>
      <x:c r="O84" s="13" t="b">
        <x:v>1</x:v>
      </x:c>
      <x:c r="P84" s="13" t="b">
        <x:v>0</x:v>
      </x:c>
      <x:c r="Q84" s="2" t="str">
        <x:v>legacy_epoch_source_QA_passed; new_common_native_support_not_certified</x:v>
      </x:c>
      <x:c r="R84" s="2" t="str">
        <x:v>legacy_epoch_source_QA_passed; new_common_native_support_not_certified</x:v>
      </x:c>
      <x:c r="S84" s="2" t="str">
        <x:v>inherited2020anchor</x:v>
      </x:c>
      <x:c r="T84" s="2" t="str">
        <x:v>unused2023converted-source comparator</x:v>
      </x:c>
      <x:c r="U84" s="2" t="str">
        <x:v>GFA growth versus source physical quantity growth; constant conversion required for equality</x:v>
      </x:c>
      <x:c r="V84" s="2" t="str">
        <x:v>2020 level is the model anchor; 2023 comparator unused by v16 fit but shares conversion/upstream lineage</x:v>
      </x:c>
      <x:c r="W84" s="2" t="str">
        <x:v>https://arxiv.org/abs/2511.12104</x:v>
      </x:c>
    </x:row>
    <x:row r="85" ht="23" customHeight="1">
      <x:c r="A85" s="2" t="str">
        <x:v>IND</x:v>
      </x:c>
      <x:c r="B85" s="2" t="str">
        <x:v>India (Republic of)</x:v>
      </x:c>
      <x:c r="C85" s="2" t="str">
        <x:v>TEMPO_PROXY</x:v>
      </x:c>
      <x:c r="D85" s="2" t="n">
        <x:v>2020</x:v>
      </x:c>
      <x:c r="E85" s="2" t="n">
        <x:v>2023</x:v>
      </x:c>
      <x:c r="F85" s="17" t="n">
        <x:v>27853638424.040043</x:v>
      </x:c>
      <x:c r="G85" s="17" t="n">
        <x:v>30710239600.452385</x:v>
      </x:c>
      <x:c r="H85" s="17" t="n">
        <x:v>27853638424.040043</x:v>
      </x:c>
      <x:c r="I85" s="17" t="n">
        <x:v>29243910723.05</x:v>
      </x:c>
      <x:c r="J85" s="2" t="str">
        <x:v>m2</x:v>
      </x:c>
      <x:c r="K85" s="15" t="n">
        <x:f>IF(AND(ISNUMBER(F85),ISNUMBER(G85),F85&gt;0),G85/F85-1,"n.a.")</x:f>
        <x:v>0.1025575593724537</x:v>
      </x:c>
      <x:c r="L85" s="15" t="n">
        <x:f>IF(AND(N85,ISNUMBER(H85),ISNUMBER(I85),H85&gt;0),I85/H85-1,"n.a.")</x:f>
        <x:v>0.04991348985883426</x:v>
      </x:c>
      <x:c r="M85" s="20" t="n">
        <x:f>IF(AND(ISNUMBER(K85),ISNUMBER(L85)),100*(K85-L85),"n.a.")</x:f>
        <x:v>5.264406951361944</x:v>
      </x:c>
      <x:c r="N85" s="13" t="b">
        <x:v>1</x:v>
      </x:c>
      <x:c r="O85" s="13" t="b">
        <x:v>1</x:v>
      </x:c>
      <x:c r="P85" s="13" t="b">
        <x:v>0</x:v>
      </x:c>
      <x:c r="Q85" s="2" t="str">
        <x:v>legacy_epoch_source_QA_passed; new_common_native_support_not_certified</x:v>
      </x:c>
      <x:c r="R85" s="2" t="str">
        <x:v>legacy_epoch_source_QA_passed; new_common_native_support_not_certified</x:v>
      </x:c>
      <x:c r="S85" s="2" t="str">
        <x:v>inherited2020anchor</x:v>
      </x:c>
      <x:c r="T85" s="2" t="str">
        <x:v>unused2023converted-source comparator</x:v>
      </x:c>
      <x:c r="U85" s="2" t="str">
        <x:v>GFA growth versus source physical quantity growth; constant conversion required for equality</x:v>
      </x:c>
      <x:c r="V85" s="2" t="str">
        <x:v>2020 level is the model anchor; 2023 comparator unused by v16 fit but shares conversion/upstream lineage</x:v>
      </x:c>
      <x:c r="W85" s="2" t="str">
        <x:v>https://arxiv.org/abs/2511.12104</x:v>
      </x:c>
    </x:row>
    <x:row r="86" ht="23" customHeight="1">
      <x:c r="A86" s="2" t="str">
        <x:v>IRL</x:v>
      </x:c>
      <x:c r="B86" s="2" t="str">
        <x:v>Ireland</x:v>
      </x:c>
      <x:c r="C86" s="2" t="str">
        <x:v>TEMPO_PROXY</x:v>
      </x:c>
      <x:c r="D86" s="2" t="n">
        <x:v>2020</x:v>
      </x:c>
      <x:c r="E86" s="2" t="n">
        <x:v>2023</x:v>
      </x:c>
      <x:c r="F86" s="17" t="n">
        <x:v>426553619.39999974</x:v>
      </x:c>
      <x:c r="G86" s="17" t="n">
        <x:v>453550056.5667838</x:v>
      </x:c>
      <x:c r="H86" s="17" t="n">
        <x:v>426553619.39999974</x:v>
      </x:c>
      <x:c r="I86" s="17" t="n">
        <x:v>449407443.08</x:v>
      </x:c>
      <x:c r="J86" s="2" t="str">
        <x:v>m2</x:v>
      </x:c>
      <x:c r="K86" s="15" t="n">
        <x:f>IF(AND(ISNUMBER(F86),ISNUMBER(G86),F86&gt;0),G86/F86-1,"n.a.")</x:f>
        <x:v>0.0632896684940989</x:v>
      </x:c>
      <x:c r="L86" s="15" t="n">
        <x:f>IF(AND(N86,ISNUMBER(H86),ISNUMBER(I86),H86&gt;0),I86/H86-1,"n.a.")</x:f>
        <x:v>0.05357784494279283</x:v>
      </x:c>
      <x:c r="M86" s="20" t="n">
        <x:f>IF(AND(ISNUMBER(K86),ISNUMBER(L86)),100*(K86-L86),"n.a.")</x:f>
        <x:v>0.9711823551306065</x:v>
      </x:c>
      <x:c r="N86" s="13" t="b">
        <x:v>1</x:v>
      </x:c>
      <x:c r="O86" s="13" t="b">
        <x:v>1</x:v>
      </x:c>
      <x:c r="P86" s="13" t="b">
        <x:v>0</x:v>
      </x:c>
      <x:c r="Q86" s="2" t="str">
        <x:v>legacy_epoch_source_QA_passed; new_common_native_support_not_certified</x:v>
      </x:c>
      <x:c r="R86" s="2" t="str">
        <x:v>legacy_epoch_source_QA_passed; new_common_native_support_not_certified</x:v>
      </x:c>
      <x:c r="S86" s="2" t="str">
        <x:v>inherited2020anchor</x:v>
      </x:c>
      <x:c r="T86" s="2" t="str">
        <x:v>unused2023converted-source comparator</x:v>
      </x:c>
      <x:c r="U86" s="2" t="str">
        <x:v>GFA growth versus source physical quantity growth; constant conversion required for equality</x:v>
      </x:c>
      <x:c r="V86" s="2" t="str">
        <x:v>2020 level is the model anchor; 2023 comparator unused by v16 fit but shares conversion/upstream lineage</x:v>
      </x:c>
      <x:c r="W86" s="2" t="str">
        <x:v>https://arxiv.org/abs/2511.12104</x:v>
      </x:c>
    </x:row>
    <x:row r="87" ht="23" customHeight="1">
      <x:c r="A87" s="2" t="str">
        <x:v>IRN</x:v>
      </x:c>
      <x:c r="B87" s="2" t="str">
        <x:v>Iran (Islamic Republic of)</x:v>
      </x:c>
      <x:c r="C87" s="2" t="str">
        <x:v>TEMPO_PROXY</x:v>
      </x:c>
      <x:c r="D87" s="2" t="n">
        <x:v>2020</x:v>
      </x:c>
      <x:c r="E87" s="2" t="n">
        <x:v>2023</x:v>
      </x:c>
      <x:c r="F87" s="17" t="n">
        <x:v>3753827768.770001</x:v>
      </x:c>
      <x:c r="G87" s="17" t="n">
        <x:v>4092887896.004569</x:v>
      </x:c>
      <x:c r="H87" s="17" t="n">
        <x:v>3753827768.770001</x:v>
      </x:c>
      <x:c r="I87" s="17" t="n">
        <x:v>4066045855.51</x:v>
      </x:c>
      <x:c r="J87" s="2" t="str">
        <x:v>m2</x:v>
      </x:c>
      <x:c r="K87" s="15" t="n">
        <x:f>IF(AND(ISNUMBER(F87),ISNUMBER(G87),F87&gt;0),G87/F87-1,"n.a.")</x:f>
        <x:v>0.09032383692597223</x:v>
      </x:c>
      <x:c r="L87" s="15" t="n">
        <x:f>IF(AND(N87,ISNUMBER(H87),ISNUMBER(I87),H87&gt;0),I87/H87-1,"n.a.")</x:f>
        <x:v>0.08317325833047007</x:v>
      </x:c>
      <x:c r="M87" s="20" t="n">
        <x:f>IF(AND(ISNUMBER(K87),ISNUMBER(L87)),100*(K87-L87),"n.a.")</x:f>
        <x:v>0.7150578595502166</x:v>
      </x:c>
      <x:c r="N87" s="13" t="b">
        <x:v>1</x:v>
      </x:c>
      <x:c r="O87" s="13" t="b">
        <x:v>1</x:v>
      </x:c>
      <x:c r="P87" s="13" t="b">
        <x:v>0</x:v>
      </x:c>
      <x:c r="Q87" s="2" t="str">
        <x:v>legacy_epoch_source_QA_passed; new_common_native_support_not_certified</x:v>
      </x:c>
      <x:c r="R87" s="2" t="str">
        <x:v>legacy_epoch_source_QA_passed; new_common_native_support_not_certified</x:v>
      </x:c>
      <x:c r="S87" s="2" t="str">
        <x:v>inherited2020anchor</x:v>
      </x:c>
      <x:c r="T87" s="2" t="str">
        <x:v>unused2023converted-source comparator</x:v>
      </x:c>
      <x:c r="U87" s="2" t="str">
        <x:v>GFA growth versus source physical quantity growth; constant conversion required for equality</x:v>
      </x:c>
      <x:c r="V87" s="2" t="str">
        <x:v>2020 level is the model anchor; 2023 comparator unused by v16 fit but shares conversion/upstream lineage</x:v>
      </x:c>
      <x:c r="W87" s="2" t="str">
        <x:v>https://arxiv.org/abs/2511.12104</x:v>
      </x:c>
    </x:row>
    <x:row r="88" ht="23" customHeight="1">
      <x:c r="A88" s="2" t="str">
        <x:v>IRQ</x:v>
      </x:c>
      <x:c r="B88" s="2" t="str">
        <x:v>Iraq (Republic of)</x:v>
      </x:c>
      <x:c r="C88" s="2" t="str">
        <x:v>TEMPO_PROXY</x:v>
      </x:c>
      <x:c r="D88" s="2" t="n">
        <x:v>2020</x:v>
      </x:c>
      <x:c r="E88" s="2" t="n">
        <x:v>2023</x:v>
      </x:c>
      <x:c r="F88" s="17" t="n">
        <x:v>1226955244.870001</x:v>
      </x:c>
      <x:c r="G88" s="17" t="n">
        <x:v>1368221797.4819076</x:v>
      </x:c>
      <x:c r="H88" s="17" t="n">
        <x:v>1226955244.870001</x:v>
      </x:c>
      <x:c r="I88" s="17" t="n">
        <x:v>1387601146.59</x:v>
      </x:c>
      <x:c r="J88" s="2" t="str">
        <x:v>m2</x:v>
      </x:c>
      <x:c r="K88" s="15" t="n">
        <x:f>IF(AND(ISNUMBER(F88),ISNUMBER(G88),F88&gt;0),G88/F88-1,"n.a.")</x:f>
        <x:v>0.1151358643296514</x:v>
      </x:c>
      <x:c r="L88" s="15" t="n">
        <x:f>IF(AND(N88,ISNUMBER(H88),ISNUMBER(I88),H88&gt;0),I88/H88-1,"n.a.")</x:f>
        <x:v>0.1309305309966866</x:v>
      </x:c>
      <x:c r="M88" s="20" t="n">
        <x:f>IF(AND(ISNUMBER(K88),ISNUMBER(L88)),100*(K88-L88),"n.a.")</x:f>
        <x:v>-1.5794666667035218</x:v>
      </x:c>
      <x:c r="N88" s="13" t="b">
        <x:v>1</x:v>
      </x:c>
      <x:c r="O88" s="13" t="b">
        <x:v>1</x:v>
      </x:c>
      <x:c r="P88" s="13" t="b">
        <x:v>0</x:v>
      </x:c>
      <x:c r="Q88" s="2" t="str">
        <x:v>legacy_epoch_source_QA_passed; new_common_native_support_not_certified</x:v>
      </x:c>
      <x:c r="R88" s="2" t="str">
        <x:v>legacy_epoch_source_QA_passed; new_common_native_support_not_certified</x:v>
      </x:c>
      <x:c r="S88" s="2" t="str">
        <x:v>inherited2020anchor</x:v>
      </x:c>
      <x:c r="T88" s="2" t="str">
        <x:v>unused2023converted-source comparator</x:v>
      </x:c>
      <x:c r="U88" s="2" t="str">
        <x:v>GFA growth versus source physical quantity growth; constant conversion required for equality</x:v>
      </x:c>
      <x:c r="V88" s="2" t="str">
        <x:v>2020 level is the model anchor; 2023 comparator unused by v16 fit but shares conversion/upstream lineage</x:v>
      </x:c>
      <x:c r="W88" s="2" t="str">
        <x:v>https://arxiv.org/abs/2511.12104</x:v>
      </x:c>
    </x:row>
    <x:row r="89" ht="23" customHeight="1">
      <x:c r="A89" s="2" t="str">
        <x:v>ISL</x:v>
      </x:c>
      <x:c r="B89" s="2" t="str">
        <x:v>Iceland</x:v>
      </x:c>
      <x:c r="C89" s="2" t="str">
        <x:v>TEMPO_PROXY</x:v>
      </x:c>
      <x:c r="D89" s="2" t="n">
        <x:v>2020</x:v>
      </x:c>
      <x:c r="E89" s="2" t="n">
        <x:v>2023</x:v>
      </x:c>
      <x:c r="F89" s="17" t="n">
        <x:v>26377629.56999999</x:v>
      </x:c>
      <x:c r="G89" s="17" t="n">
        <x:v>29802140.79216753</x:v>
      </x:c>
      <x:c r="H89" s="17" t="n">
        <x:v>26377629.56999999</x:v>
      </x:c>
      <x:c r="I89" s="17" t="n">
        <x:v>27117290.59</x:v>
      </x:c>
      <x:c r="J89" s="2" t="str">
        <x:v>m2</x:v>
      </x:c>
      <x:c r="K89" s="15" t="n">
        <x:f>IF(AND(ISNUMBER(F89),ISNUMBER(G89),F89&gt;0),G89/F89-1,"n.a.")</x:f>
        <x:v>0.12982634444386654</x:v>
      </x:c>
      <x:c r="L89" s="15" t="n">
        <x:f>IF(AND(N89,ISNUMBER(H89),ISNUMBER(I89),H89&gt;0),I89/H89-1,"n.a.")</x:f>
        <x:v>0.028041224024210498</x:v>
      </x:c>
      <x:c r="M89" s="20" t="n">
        <x:f>IF(AND(ISNUMBER(K89),ISNUMBER(L89)),100*(K89-L89),"n.a.")</x:f>
        <x:v>10.178512041965604</x:v>
      </x:c>
      <x:c r="N89" s="13" t="b">
        <x:v>1</x:v>
      </x:c>
      <x:c r="O89" s="13" t="b">
        <x:v>1</x:v>
      </x:c>
      <x:c r="P89" s="13" t="b">
        <x:v>0</x:v>
      </x:c>
      <x:c r="Q89" s="2" t="str">
        <x:v>legacy_epoch_source_QA_passed; new_common_native_support_not_certified</x:v>
      </x:c>
      <x:c r="R89" s="2" t="str">
        <x:v>legacy_epoch_source_QA_passed; new_common_native_support_not_certified</x:v>
      </x:c>
      <x:c r="S89" s="2" t="str">
        <x:v>inherited2020anchor</x:v>
      </x:c>
      <x:c r="T89" s="2" t="str">
        <x:v>unused2023converted-source comparator</x:v>
      </x:c>
      <x:c r="U89" s="2" t="str">
        <x:v>GFA growth versus source physical quantity growth; constant conversion required for equality</x:v>
      </x:c>
      <x:c r="V89" s="2" t="str">
        <x:v>2020 level is the model anchor; 2023 comparator unused by v16 fit but shares conversion/upstream lineage</x:v>
      </x:c>
      <x:c r="W89" s="2" t="str">
        <x:v>https://arxiv.org/abs/2511.12104</x:v>
      </x:c>
    </x:row>
    <x:row r="90" ht="23" customHeight="1">
      <x:c r="A90" s="2" t="str">
        <x:v>ISR</x:v>
      </x:c>
      <x:c r="B90" s="2" t="str">
        <x:v>Israel (State of)</x:v>
      </x:c>
      <x:c r="C90" s="2" t="str">
        <x:v>TEMPO_PROXY</x:v>
      </x:c>
      <x:c r="D90" s="2" t="n">
        <x:v>2020</x:v>
      </x:c>
      <x:c r="E90" s="2" t="n">
        <x:v>2023</x:v>
      </x:c>
      <x:c r="F90" s="17" t="n">
        <x:v>372353983.1399999</x:v>
      </x:c>
      <x:c r="G90" s="17" t="n">
        <x:v>409812102.4425136</x:v>
      </x:c>
      <x:c r="H90" s="17" t="n">
        <x:v>372353983.1399999</x:v>
      </x:c>
      <x:c r="I90" s="17" t="n">
        <x:v>383737232.46</x:v>
      </x:c>
      <x:c r="J90" s="2" t="str">
        <x:v>m2</x:v>
      </x:c>
      <x:c r="K90" s="15" t="n">
        <x:f>IF(AND(ISNUMBER(F90),ISNUMBER(G90),F90&gt;0),G90/F90-1,"n.a.")</x:f>
        <x:v>0.1005981431610734</x:v>
      </x:c>
      <x:c r="L90" s="15" t="n">
        <x:f>IF(AND(N90,ISNUMBER(H90),ISNUMBER(I90),H90&gt;0),I90/H90-1,"n.a.")</x:f>
        <x:v>0.030571042168011653</x:v>
      </x:c>
      <x:c r="M90" s="20" t="n">
        <x:f>IF(AND(ISNUMBER(K90),ISNUMBER(L90)),100*(K90-L90),"n.a.")</x:f>
        <x:v>7.002710099306175</x:v>
      </x:c>
      <x:c r="N90" s="13" t="b">
        <x:v>1</x:v>
      </x:c>
      <x:c r="O90" s="13" t="b">
        <x:v>1</x:v>
      </x:c>
      <x:c r="P90" s="13" t="b">
        <x:v>0</x:v>
      </x:c>
      <x:c r="Q90" s="2" t="str">
        <x:v>legacy_epoch_source_QA_passed; new_common_native_support_not_certified</x:v>
      </x:c>
      <x:c r="R90" s="2" t="str">
        <x:v>legacy_epoch_source_QA_passed; new_common_native_support_not_certified</x:v>
      </x:c>
      <x:c r="S90" s="2" t="str">
        <x:v>inherited2020anchor</x:v>
      </x:c>
      <x:c r="T90" s="2" t="str">
        <x:v>unused2023converted-source comparator</x:v>
      </x:c>
      <x:c r="U90" s="2" t="str">
        <x:v>GFA growth versus source physical quantity growth; constant conversion required for equality</x:v>
      </x:c>
      <x:c r="V90" s="2" t="str">
        <x:v>2020 level is the model anchor; 2023 comparator unused by v16 fit but shares conversion/upstream lineage</x:v>
      </x:c>
      <x:c r="W90" s="2" t="str">
        <x:v>https://arxiv.org/abs/2511.12104</x:v>
      </x:c>
    </x:row>
    <x:row r="91" ht="23" customHeight="1">
      <x:c r="A91" s="2" t="str">
        <x:v>ITA</x:v>
      </x:c>
      <x:c r="B91" s="2" t="str">
        <x:v>Italy (Italian Republic)</x:v>
      </x:c>
      <x:c r="C91" s="2" t="str">
        <x:v>TEMPO_PROXY</x:v>
      </x:c>
      <x:c r="D91" s="2" t="n">
        <x:v>2020</x:v>
      </x:c>
      <x:c r="E91" s="2" t="n">
        <x:v>2023</x:v>
      </x:c>
      <x:c r="F91" s="17" t="n">
        <x:v>5000634293.290002</x:v>
      </x:c>
      <x:c r="G91" s="17" t="n">
        <x:v>5351931681.161436</x:v>
      </x:c>
      <x:c r="H91" s="17" t="n">
        <x:v>5000634293.290002</x:v>
      </x:c>
      <x:c r="I91" s="17" t="n">
        <x:v>5125317478.93</x:v>
      </x:c>
      <x:c r="J91" s="2" t="str">
        <x:v>m2</x:v>
      </x:c>
      <x:c r="K91" s="15" t="n">
        <x:f>IF(AND(ISNUMBER(F91),ISNUMBER(G91),F91&gt;0),G91/F91-1,"n.a.")</x:f>
        <x:v>0.07025056568180066</x:v>
      </x:c>
      <x:c r="L91" s="15" t="n">
        <x:f>IF(AND(N91,ISNUMBER(H91),ISNUMBER(I91),H91&gt;0),I91/H91-1,"n.a.")</x:f>
        <x:v>0.024933474100935937</x:v>
      </x:c>
      <x:c r="M91" s="20" t="n">
        <x:f>IF(AND(ISNUMBER(K91),ISNUMBER(L91)),100*(K91-L91),"n.a.")</x:f>
        <x:v>4.531709158086472</x:v>
      </x:c>
      <x:c r="N91" s="13" t="b">
        <x:v>1</x:v>
      </x:c>
      <x:c r="O91" s="13" t="b">
        <x:v>1</x:v>
      </x:c>
      <x:c r="P91" s="13" t="b">
        <x:v>0</x:v>
      </x:c>
      <x:c r="Q91" s="2" t="str">
        <x:v>legacy_epoch_source_QA_passed; new_common_native_support_not_certified</x:v>
      </x:c>
      <x:c r="R91" s="2" t="str">
        <x:v>legacy_epoch_source_QA_passed; new_common_native_support_not_certified</x:v>
      </x:c>
      <x:c r="S91" s="2" t="str">
        <x:v>inherited2020anchor</x:v>
      </x:c>
      <x:c r="T91" s="2" t="str">
        <x:v>unused2023converted-source comparator</x:v>
      </x:c>
      <x:c r="U91" s="2" t="str">
        <x:v>GFA growth versus source physical quantity growth; constant conversion required for equality</x:v>
      </x:c>
      <x:c r="V91" s="2" t="str">
        <x:v>2020 level is the model anchor; 2023 comparator unused by v16 fit but shares conversion/upstream lineage</x:v>
      </x:c>
      <x:c r="W91" s="2" t="str">
        <x:v>https://arxiv.org/abs/2511.12104</x:v>
      </x:c>
    </x:row>
    <x:row r="92" ht="23" customHeight="1">
      <x:c r="A92" s="2" t="str">
        <x:v>JAM</x:v>
      </x:c>
      <x:c r="B92" s="2" t="str">
        <x:v>Jamaica</x:v>
      </x:c>
      <x:c r="C92" s="2" t="str">
        <x:v>TEMPO_PROXY</x:v>
      </x:c>
      <x:c r="D92" s="2" t="n">
        <x:v>2020</x:v>
      </x:c>
      <x:c r="E92" s="2" t="n">
        <x:v>2023</x:v>
      </x:c>
      <x:c r="F92" s="17" t="n">
        <x:v>133338245.18999992</x:v>
      </x:c>
      <x:c r="G92" s="17" t="n">
        <x:v>138645959.96013302</x:v>
      </x:c>
      <x:c r="H92" s="17" t="n">
        <x:v>133338245.18999992</x:v>
      </x:c>
      <x:c r="I92" s="17" t="n">
        <x:v>139540116.51</x:v>
      </x:c>
      <x:c r="J92" s="2" t="str">
        <x:v>m2</x:v>
      </x:c>
      <x:c r="K92" s="15" t="n">
        <x:f>IF(AND(ISNUMBER(F92),ISNUMBER(G92),F92&gt;0),G92/F92-1,"n.a.")</x:f>
        <x:v>0.03980639435122213</x:v>
      </x:c>
      <x:c r="L92" s="15" t="n">
        <x:f>IF(AND(N92,ISNUMBER(H92),ISNUMBER(I92),H92&gt;0),I92/H92-1,"n.a.")</x:f>
        <x:v>0.04651232143607964</x:v>
      </x:c>
      <x:c r="M92" s="20" t="n">
        <x:f>IF(AND(ISNUMBER(K92),ISNUMBER(L92)),100*(K92-L92),"n.a.")</x:f>
        <x:v>-0.670592708485751</x:v>
      </x:c>
      <x:c r="N92" s="13" t="b">
        <x:v>1</x:v>
      </x:c>
      <x:c r="O92" s="13" t="b">
        <x:v>1</x:v>
      </x:c>
      <x:c r="P92" s="13" t="b">
        <x:v>0</x:v>
      </x:c>
      <x:c r="Q92" s="2" t="str">
        <x:v>legacy_epoch_source_QA_passed; new_common_native_support_not_certified</x:v>
      </x:c>
      <x:c r="R92" s="2" t="str">
        <x:v>legacy_epoch_source_QA_passed; new_common_native_support_not_certified</x:v>
      </x:c>
      <x:c r="S92" s="2" t="str">
        <x:v>inherited2020anchor</x:v>
      </x:c>
      <x:c r="T92" s="2" t="str">
        <x:v>unused2023converted-source comparator</x:v>
      </x:c>
      <x:c r="U92" s="2" t="str">
        <x:v>GFA growth versus source physical quantity growth; constant conversion required for equality</x:v>
      </x:c>
      <x:c r="V92" s="2" t="str">
        <x:v>2020 level is the model anchor; 2023 comparator unused by v16 fit but shares conversion/upstream lineage</x:v>
      </x:c>
      <x:c r="W92" s="2" t="str">
        <x:v>https://arxiv.org/abs/2511.12104</x:v>
      </x:c>
    </x:row>
    <x:row r="93" ht="23" customHeight="1">
      <x:c r="A93" s="2" t="str">
        <x:v>JOR</x:v>
      </x:c>
      <x:c r="B93" s="2" t="str">
        <x:v>Jordan (Hashemite Kingdom of)</x:v>
      </x:c>
      <x:c r="C93" s="2" t="str">
        <x:v>TEMPO_PROXY</x:v>
      </x:c>
      <x:c r="D93" s="2" t="n">
        <x:v>2020</x:v>
      </x:c>
      <x:c r="E93" s="2" t="n">
        <x:v>2023</x:v>
      </x:c>
      <x:c r="F93" s="17" t="n">
        <x:v>279172690.0000002</x:v>
      </x:c>
      <x:c r="G93" s="17" t="n">
        <x:v>311291115.8472091</x:v>
      </x:c>
      <x:c r="H93" s="17" t="n">
        <x:v>279172690.0000002</x:v>
      </x:c>
      <x:c r="I93" s="17" t="n">
        <x:v>295560679.23</x:v>
      </x:c>
      <x:c r="J93" s="2" t="str">
        <x:v>m2</x:v>
      </x:c>
      <x:c r="K93" s="15" t="n">
        <x:f>IF(AND(ISNUMBER(F93),ISNUMBER(G93),F93&gt;0),G93/F93-1,"n.a.")</x:f>
        <x:v>0.11504859535941314</x:v>
      </x:c>
      <x:c r="L93" s="15" t="n">
        <x:f>IF(AND(N93,ISNUMBER(H93),ISNUMBER(I93),H93&gt;0),I93/H93-1,"n.a.")</x:f>
        <x:v>0.058701978442088354</x:v>
      </x:c>
      <x:c r="M93" s="20" t="n">
        <x:f>IF(AND(ISNUMBER(K93),ISNUMBER(L93)),100*(K93-L93),"n.a.")</x:f>
        <x:v>5.634661691732479</x:v>
      </x:c>
      <x:c r="N93" s="13" t="b">
        <x:v>1</x:v>
      </x:c>
      <x:c r="O93" s="13" t="b">
        <x:v>1</x:v>
      </x:c>
      <x:c r="P93" s="13" t="b">
        <x:v>0</x:v>
      </x:c>
      <x:c r="Q93" s="2" t="str">
        <x:v>legacy_epoch_source_QA_passed; new_common_native_support_not_certified</x:v>
      </x:c>
      <x:c r="R93" s="2" t="str">
        <x:v>legacy_epoch_source_QA_passed; new_common_native_support_not_certified</x:v>
      </x:c>
      <x:c r="S93" s="2" t="str">
        <x:v>inherited2020anchor</x:v>
      </x:c>
      <x:c r="T93" s="2" t="str">
        <x:v>unused2023converted-source comparator</x:v>
      </x:c>
      <x:c r="U93" s="2" t="str">
        <x:v>GFA growth versus source physical quantity growth; constant conversion required for equality</x:v>
      </x:c>
      <x:c r="V93" s="2" t="str">
        <x:v>2020 level is the model anchor; 2023 comparator unused by v16 fit but shares conversion/upstream lineage</x:v>
      </x:c>
      <x:c r="W93" s="2" t="str">
        <x:v>https://arxiv.org/abs/2511.12104</x:v>
      </x:c>
    </x:row>
    <x:row r="94" ht="23" customHeight="1">
      <x:c r="A94" s="2" t="str">
        <x:v>JPN</x:v>
      </x:c>
      <x:c r="B94" s="2" t="str">
        <x:v>Japan</x:v>
      </x:c>
      <x:c r="C94" s="2" t="str">
        <x:v>TEMPO_PROXY</x:v>
      </x:c>
      <x:c r="D94" s="2" t="n">
        <x:v>2020</x:v>
      </x:c>
      <x:c r="E94" s="2" t="n">
        <x:v>2023</x:v>
      </x:c>
      <x:c r="F94" s="17" t="n">
        <x:v>8341228241.779989</x:v>
      </x:c>
      <x:c r="G94" s="17" t="n">
        <x:v>8538031893.713573</x:v>
      </x:c>
      <x:c r="H94" s="17" t="n">
        <x:v>8341228241.779989</x:v>
      </x:c>
      <x:c r="I94" s="17" t="n">
        <x:v>8505060343.2</x:v>
      </x:c>
      <x:c r="J94" s="2" t="str">
        <x:v>m2</x:v>
      </x:c>
      <x:c r="K94" s="15" t="n">
        <x:f>IF(AND(ISNUMBER(F94),ISNUMBER(G94),F94&gt;0),G94/F94-1,"n.a.")</x:f>
        <x:v>0.023594085454684333</x:v>
      </x:c>
      <x:c r="L94" s="15" t="n">
        <x:f>IF(AND(N94,ISNUMBER(H94),ISNUMBER(I94),H94&gt;0),I94/H94-1,"n.a.")</x:f>
        <x:v>0.019641244271365155</x:v>
      </x:c>
      <x:c r="M94" s="20" t="n">
        <x:f>IF(AND(ISNUMBER(K94),ISNUMBER(L94)),100*(K94-L94),"n.a.")</x:f>
        <x:v>0.3952841183319178</x:v>
      </x:c>
      <x:c r="N94" s="13" t="b">
        <x:v>1</x:v>
      </x:c>
      <x:c r="O94" s="13" t="b">
        <x:v>1</x:v>
      </x:c>
      <x:c r="P94" s="13" t="b">
        <x:v>0</x:v>
      </x:c>
      <x:c r="Q94" s="2" t="str">
        <x:v>legacy_epoch_source_QA_passed; new_common_native_support_not_certified</x:v>
      </x:c>
      <x:c r="R94" s="2" t="str">
        <x:v>legacy_epoch_source_QA_passed; new_common_native_support_not_certified</x:v>
      </x:c>
      <x:c r="S94" s="2" t="str">
        <x:v>inherited2020anchor</x:v>
      </x:c>
      <x:c r="T94" s="2" t="str">
        <x:v>unused2023converted-source comparator</x:v>
      </x:c>
      <x:c r="U94" s="2" t="str">
        <x:v>GFA growth versus source physical quantity growth; constant conversion required for equality</x:v>
      </x:c>
      <x:c r="V94" s="2" t="str">
        <x:v>2020 level is the model anchor; 2023 comparator unused by v16 fit but shares conversion/upstream lineage</x:v>
      </x:c>
      <x:c r="W94" s="2" t="str">
        <x:v>https://arxiv.org/abs/2511.12104</x:v>
      </x:c>
    </x:row>
    <x:row r="95" ht="23" customHeight="1">
      <x:c r="A95" s="2" t="str">
        <x:v>KAZ</x:v>
      </x:c>
      <x:c r="B95" s="2" t="str">
        <x:v>Kazakhstan (Republic of)</x:v>
      </x:c>
      <x:c r="C95" s="2" t="str">
        <x:v>TEMPO_PROXY</x:v>
      </x:c>
      <x:c r="D95" s="2" t="n">
        <x:v>2020</x:v>
      </x:c>
      <x:c r="E95" s="2" t="n">
        <x:v>2023</x:v>
      </x:c>
      <x:c r="F95" s="17" t="n">
        <x:v>1009034692.9700016</x:v>
      </x:c>
      <x:c r="G95" s="17" t="n">
        <x:v>1066734433.6354417</x:v>
      </x:c>
      <x:c r="H95" s="17" t="n">
        <x:v>1009034692.9700016</x:v>
      </x:c>
      <x:c r="I95" s="17" t="n">
        <x:v>1106837370.56</x:v>
      </x:c>
      <x:c r="J95" s="2" t="str">
        <x:v>m2</x:v>
      </x:c>
      <x:c r="K95" s="15" t="n">
        <x:f>IF(AND(ISNUMBER(F95),ISNUMBER(G95),F95&gt;0),G95/F95-1,"n.a.")</x:f>
        <x:v>0.0571831088340542</x:v>
      </x:c>
      <x:c r="L95" s="15" t="n">
        <x:f>IF(AND(N95,ISNUMBER(H95),ISNUMBER(I95),H95&gt;0),I95/H95-1,"n.a.")</x:f>
        <x:v>0.09692697215605661</x:v>
      </x:c>
      <x:c r="M95" s="20" t="n">
        <x:f>IF(AND(ISNUMBER(K95),ISNUMBER(L95)),100*(K95-L95),"n.a.")</x:f>
        <x:v>-3.9743863322002415</x:v>
      </x:c>
      <x:c r="N95" s="13" t="b">
        <x:v>1</x:v>
      </x:c>
      <x:c r="O95" s="13" t="b">
        <x:v>1</x:v>
      </x:c>
      <x:c r="P95" s="13" t="b">
        <x:v>0</x:v>
      </x:c>
      <x:c r="Q95" s="2" t="str">
        <x:v>legacy_epoch_source_QA_passed; new_common_native_support_not_certified</x:v>
      </x:c>
      <x:c r="R95" s="2" t="str">
        <x:v>legacy_epoch_source_QA_passed; new_common_native_support_not_certified</x:v>
      </x:c>
      <x:c r="S95" s="2" t="str">
        <x:v>inherited2020anchor</x:v>
      </x:c>
      <x:c r="T95" s="2" t="str">
        <x:v>unused2023converted-source comparator</x:v>
      </x:c>
      <x:c r="U95" s="2" t="str">
        <x:v>GFA growth versus source physical quantity growth; constant conversion required for equality</x:v>
      </x:c>
      <x:c r="V95" s="2" t="str">
        <x:v>2020 level is the model anchor; 2023 comparator unused by v16 fit but shares conversion/upstream lineage</x:v>
      </x:c>
      <x:c r="W95" s="2" t="str">
        <x:v>https://arxiv.org/abs/2511.12104</x:v>
      </x:c>
    </x:row>
    <x:row r="96" ht="23" customHeight="1">
      <x:c r="A96" s="2" t="str">
        <x:v>KEN</x:v>
      </x:c>
      <x:c r="B96" s="2" t="str">
        <x:v>Kenya (Republic of)</x:v>
      </x:c>
      <x:c r="C96" s="2" t="str">
        <x:v>TEMPO_PROXY</x:v>
      </x:c>
      <x:c r="D96" s="2" t="n">
        <x:v>2020</x:v>
      </x:c>
      <x:c r="E96" s="2" t="n">
        <x:v>2023</x:v>
      </x:c>
      <x:c r="F96" s="17" t="n">
        <x:v>1180050447.52</x:v>
      </x:c>
      <x:c r="G96" s="17" t="n">
        <x:v>1279332476.0834823</x:v>
      </x:c>
      <x:c r="H96" s="17" t="n">
        <x:v>1180050447.52</x:v>
      </x:c>
      <x:c r="I96" s="17" t="n">
        <x:v>1295570584.12</x:v>
      </x:c>
      <x:c r="J96" s="2" t="str">
        <x:v>m2</x:v>
      </x:c>
      <x:c r="K96" s="15" t="n">
        <x:f>IF(AND(ISNUMBER(F96),ISNUMBER(G96),F96&gt;0),G96/F96-1,"n.a.")</x:f>
        <x:v>0.08413371544592341</x:v>
      </x:c>
      <x:c r="L96" s="15" t="n">
        <x:f>IF(AND(N96,ISNUMBER(H96),ISNUMBER(I96),H96&gt;0),I96/H96-1,"n.a.")</x:f>
        <x:v>0.09789423565982092</x:v>
      </x:c>
      <x:c r="M96" s="20" t="n">
        <x:f>IF(AND(ISNUMBER(K96),ISNUMBER(L96)),100*(K96-L96),"n.a.")</x:f>
        <x:v>-1.376052021389751</x:v>
      </x:c>
      <x:c r="N96" s="13" t="b">
        <x:v>1</x:v>
      </x:c>
      <x:c r="O96" s="13" t="b">
        <x:v>1</x:v>
      </x:c>
      <x:c r="P96" s="13" t="b">
        <x:v>0</x:v>
      </x:c>
      <x:c r="Q96" s="2" t="str">
        <x:v>legacy_epoch_source_QA_passed; new_common_native_support_not_certified</x:v>
      </x:c>
      <x:c r="R96" s="2" t="str">
        <x:v>legacy_epoch_source_QA_passed; new_common_native_support_not_certified</x:v>
      </x:c>
      <x:c r="S96" s="2" t="str">
        <x:v>inherited2020anchor</x:v>
      </x:c>
      <x:c r="T96" s="2" t="str">
        <x:v>unused2023converted-source comparator</x:v>
      </x:c>
      <x:c r="U96" s="2" t="str">
        <x:v>GFA growth versus source physical quantity growth; constant conversion required for equality</x:v>
      </x:c>
      <x:c r="V96" s="2" t="str">
        <x:v>2020 level is the model anchor; 2023 comparator unused by v16 fit but shares conversion/upstream lineage</x:v>
      </x:c>
      <x:c r="W96" s="2" t="str">
        <x:v>https://arxiv.org/abs/2511.12104</x:v>
      </x:c>
    </x:row>
    <x:row r="97" ht="23" customHeight="1">
      <x:c r="A97" s="2" t="str">
        <x:v>KGZ</x:v>
      </x:c>
      <x:c r="B97" s="2" t="str">
        <x:v>Kyrgyzstan (Kyrgyz Republic)</x:v>
      </x:c>
      <x:c r="C97" s="2" t="str">
        <x:v>TEMPO_PROXY</x:v>
      </x:c>
      <x:c r="D97" s="2" t="n">
        <x:v>2020</x:v>
      </x:c>
      <x:c r="E97" s="2" t="n">
        <x:v>2023</x:v>
      </x:c>
      <x:c r="F97" s="17" t="n">
        <x:v>332236534.37000054</x:v>
      </x:c>
      <x:c r="G97" s="17" t="n">
        <x:v>352616082.1877337</x:v>
      </x:c>
      <x:c r="H97" s="17" t="n">
        <x:v>332236534.37000054</x:v>
      </x:c>
      <x:c r="I97" s="17" t="n">
        <x:v>366574260.6</x:v>
      </x:c>
      <x:c r="J97" s="2" t="str">
        <x:v>m2</x:v>
      </x:c>
      <x:c r="K97" s="15" t="n">
        <x:f>IF(AND(ISNUMBER(F97),ISNUMBER(G97),F97&gt;0),G97/F97-1,"n.a.")</x:f>
        <x:v>0.061340477971146834</x:v>
      </x:c>
      <x:c r="L97" s="15" t="n">
        <x:f>IF(AND(N97,ISNUMBER(H97),ISNUMBER(I97),H97&gt;0),I97/H97-1,"n.a.")</x:f>
        <x:v>0.10335325190864997</x:v>
      </x:c>
      <x:c r="M97" s="20" t="n">
        <x:f>IF(AND(ISNUMBER(K97),ISNUMBER(L97)),100*(K97-L97),"n.a.")</x:f>
        <x:v>-4.201277393750313</x:v>
      </x:c>
      <x:c r="N97" s="13" t="b">
        <x:v>1</x:v>
      </x:c>
      <x:c r="O97" s="13" t="b">
        <x:v>1</x:v>
      </x:c>
      <x:c r="P97" s="13" t="b">
        <x:v>0</x:v>
      </x:c>
      <x:c r="Q97" s="2" t="str">
        <x:v>legacy_epoch_source_QA_passed; new_common_native_support_not_certified</x:v>
      </x:c>
      <x:c r="R97" s="2" t="str">
        <x:v>legacy_epoch_source_QA_passed; new_common_native_support_not_certified</x:v>
      </x:c>
      <x:c r="S97" s="2" t="str">
        <x:v>inherited2020anchor</x:v>
      </x:c>
      <x:c r="T97" s="2" t="str">
        <x:v>unused2023converted-source comparator</x:v>
      </x:c>
      <x:c r="U97" s="2" t="str">
        <x:v>GFA growth versus source physical quantity growth; constant conversion required for equality</x:v>
      </x:c>
      <x:c r="V97" s="2" t="str">
        <x:v>2020 level is the model anchor; 2023 comparator unused by v16 fit but shares conversion/upstream lineage</x:v>
      </x:c>
      <x:c r="W97" s="2" t="str">
        <x:v>https://arxiv.org/abs/2511.12104</x:v>
      </x:c>
    </x:row>
    <x:row r="98" ht="23" customHeight="1">
      <x:c r="A98" s="2" t="str">
        <x:v>KHM</x:v>
      </x:c>
      <x:c r="B98" s="2" t="str">
        <x:v>Cambodia (Kingdom of)</x:v>
      </x:c>
      <x:c r="C98" s="2" t="str">
        <x:v>TEMPO_PROXY</x:v>
      </x:c>
      <x:c r="D98" s="2" t="n">
        <x:v>2020</x:v>
      </x:c>
      <x:c r="E98" s="2" t="n">
        <x:v>2023</x:v>
      </x:c>
      <x:c r="F98" s="17" t="n">
        <x:v>672933221.830001</x:v>
      </x:c>
      <x:c r="G98" s="17" t="n">
        <x:v>729563330.9318277</x:v>
      </x:c>
      <x:c r="H98" s="17" t="n">
        <x:v>672933221.830001</x:v>
      </x:c>
      <x:c r="I98" s="17" t="n">
        <x:v>785745718.18</x:v>
      </x:c>
      <x:c r="J98" s="2" t="str">
        <x:v>m2</x:v>
      </x:c>
      <x:c r="K98" s="15" t="n">
        <x:f>IF(AND(ISNUMBER(F98),ISNUMBER(G98),F98&gt;0),G98/F98-1,"n.a.")</x:f>
        <x:v>0.08415412891612717</x:v>
      </x:c>
      <x:c r="L98" s="15" t="n">
        <x:f>IF(AND(N98,ISNUMBER(H98),ISNUMBER(I98),H98&gt;0),I98/H98-1,"n.a.")</x:f>
        <x:v>0.1676429290312227</x:v>
      </x:c>
      <x:c r="M98" s="20" t="n">
        <x:f>IF(AND(ISNUMBER(K98),ISNUMBER(L98)),100*(K98-L98),"n.a.")</x:f>
        <x:v>-8.348880011509552</x:v>
      </x:c>
      <x:c r="N98" s="13" t="b">
        <x:v>1</x:v>
      </x:c>
      <x:c r="O98" s="13" t="b">
        <x:v>1</x:v>
      </x:c>
      <x:c r="P98" s="13" t="b">
        <x:v>0</x:v>
      </x:c>
      <x:c r="Q98" s="2" t="str">
        <x:v>legacy_epoch_source_QA_passed; new_common_native_support_not_certified</x:v>
      </x:c>
      <x:c r="R98" s="2" t="str">
        <x:v>legacy_epoch_source_QA_passed; new_common_native_support_not_certified</x:v>
      </x:c>
      <x:c r="S98" s="2" t="str">
        <x:v>inherited2020anchor</x:v>
      </x:c>
      <x:c r="T98" s="2" t="str">
        <x:v>unused2023converted-source comparator</x:v>
      </x:c>
      <x:c r="U98" s="2" t="str">
        <x:v>GFA growth versus source physical quantity growth; constant conversion required for equality</x:v>
      </x:c>
      <x:c r="V98" s="2" t="str">
        <x:v>2020 level is the model anchor; 2023 comparator unused by v16 fit but shares conversion/upstream lineage</x:v>
      </x:c>
      <x:c r="W98" s="2" t="str">
        <x:v>https://arxiv.org/abs/2511.12104</x:v>
      </x:c>
    </x:row>
    <x:row r="99" ht="23" customHeight="1">
      <x:c r="A99" s="2" t="str">
        <x:v>KIR</x:v>
      </x:c>
      <x:c r="B99" s="2" t="str">
        <x:v>Kiribati (Republic of)</x:v>
      </x:c>
      <x:c r="C99" s="2" t="str">
        <x:v>TEMPO_PROXY</x:v>
      </x:c>
      <x:c r="D99" s="2" t="n">
        <x:v>2020</x:v>
      </x:c>
      <x:c r="E99" s="2" t="n">
        <x:v>2023</x:v>
      </x:c>
      <x:c r="F99" s="17" t="n">
        <x:v>1721739.6700000002</x:v>
      </x:c>
      <x:c r="G99" s="17" t="n">
        <x:v>2021045.8833142433</x:v>
      </x:c>
      <x:c r="H99" s="17" t="n">
        <x:v>1721739.6700000002</x:v>
      </x:c>
      <x:c r="I99" s="17" t="n">
        <x:v>1863230.46</x:v>
      </x:c>
      <x:c r="J99" s="2" t="str">
        <x:v>m2</x:v>
      </x:c>
      <x:c r="K99" s="15" t="n">
        <x:f>IF(AND(ISNUMBER(F99),ISNUMBER(G99),F99&gt;0),G99/F99-1,"n.a.")</x:f>
        <x:v>0.17383941285051718</x:v>
      </x:c>
      <x:c r="L99" s="15" t="n">
        <x:f>IF(AND(N99,ISNUMBER(H99),ISNUMBER(I99),H99&gt;0),I99/H99-1,"n.a.")</x:f>
        <x:v>0.08217896843835848</x:v>
      </x:c>
      <x:c r="M99" s="20" t="n">
        <x:f>IF(AND(ISNUMBER(K99),ISNUMBER(L99)),100*(K99-L99),"n.a.")</x:f>
        <x:v>9.16604444121587</x:v>
      </x:c>
      <x:c r="N99" s="13" t="b">
        <x:v>1</x:v>
      </x:c>
      <x:c r="O99" s="13" t="b">
        <x:v>1</x:v>
      </x:c>
      <x:c r="P99" s="13" t="b">
        <x:v>0</x:v>
      </x:c>
      <x:c r="Q99" s="2" t="str">
        <x:v>legacy_epoch_source_QA_passed; new_common_native_support_not_certified</x:v>
      </x:c>
      <x:c r="R99" s="2" t="str">
        <x:v>legacy_epoch_source_QA_passed; new_common_native_support_not_certified</x:v>
      </x:c>
      <x:c r="S99" s="2" t="str">
        <x:v>inherited2020anchor</x:v>
      </x:c>
      <x:c r="T99" s="2" t="str">
        <x:v>unused2023converted-source comparator</x:v>
      </x:c>
      <x:c r="U99" s="2" t="str">
        <x:v>GFA growth versus source physical quantity growth; constant conversion required for equality</x:v>
      </x:c>
      <x:c r="V99" s="2" t="str">
        <x:v>2020 level is the model anchor; 2023 comparator unused by v16 fit but shares conversion/upstream lineage</x:v>
      </x:c>
      <x:c r="W99" s="2" t="str">
        <x:v>https://arxiv.org/abs/2511.12104</x:v>
      </x:c>
    </x:row>
    <x:row r="100" ht="23" customHeight="1">
      <x:c r="A100" s="2" t="str">
        <x:v>KNA</x:v>
      </x:c>
      <x:c r="B100" s="2" t="str">
        <x:v>Saint Kitts and Nevis (Federation of)</x:v>
      </x:c>
      <x:c r="C100" s="2" t="str">
        <x:v>TEMPO_PROXY</x:v>
      </x:c>
      <x:c r="D100" s="2" t="n">
        <x:v>2020</x:v>
      </x:c>
      <x:c r="E100" s="2" t="n">
        <x:v>2023</x:v>
      </x:c>
      <x:c r="F100" s="17" t="n">
        <x:v>4523960.760000001</x:v>
      </x:c>
      <x:c r="G100" s="17" t="n">
        <x:v>4662472.850554909</x:v>
      </x:c>
      <x:c r="H100" s="17" t="n">
        <x:v>4523960.760000001</x:v>
      </x:c>
      <x:c r="I100" s="17" t="n">
        <x:v>4708557.36</x:v>
      </x:c>
      <x:c r="J100" s="2" t="str">
        <x:v>m2</x:v>
      </x:c>
      <x:c r="K100" s="15" t="n">
        <x:f>IF(AND(ISNUMBER(F100),ISNUMBER(G100),F100&gt;0),G100/F100-1,"n.a.")</x:f>
        <x:v>0.030617438546241438</x:v>
      </x:c>
      <x:c r="L100" s="15" t="n">
        <x:f>IF(AND(N100,ISNUMBER(H100),ISNUMBER(I100),H100&gt;0),I100/H100-1,"n.a.")</x:f>
        <x:v>0.040804200078870645</x:v>
      </x:c>
      <x:c r="M100" s="20" t="n">
        <x:f>IF(AND(ISNUMBER(K100),ISNUMBER(L100)),100*(K100-L100),"n.a.")</x:f>
        <x:v>-1.0186761532629207</x:v>
      </x:c>
      <x:c r="N100" s="13" t="b">
        <x:v>1</x:v>
      </x:c>
      <x:c r="O100" s="13" t="b">
        <x:v>1</x:v>
      </x:c>
      <x:c r="P100" s="13" t="b">
        <x:v>0</x:v>
      </x:c>
      <x:c r="Q100" s="2" t="str">
        <x:v>legacy_epoch_source_QA_passed; new_common_native_support_not_certified</x:v>
      </x:c>
      <x:c r="R100" s="2" t="str">
        <x:v>legacy_epoch_source_QA_passed; new_common_native_support_not_certified</x:v>
      </x:c>
      <x:c r="S100" s="2" t="str">
        <x:v>inherited2020anchor</x:v>
      </x:c>
      <x:c r="T100" s="2" t="str">
        <x:v>unused2023converted-source comparator</x:v>
      </x:c>
      <x:c r="U100" s="2" t="str">
        <x:v>GFA growth versus source physical quantity growth; constant conversion required for equality</x:v>
      </x:c>
      <x:c r="V100" s="2" t="str">
        <x:v>2020 level is the model anchor; 2023 comparator unused by v16 fit but shares conversion/upstream lineage</x:v>
      </x:c>
      <x:c r="W100" s="2" t="str">
        <x:v>https://arxiv.org/abs/2511.12104</x:v>
      </x:c>
    </x:row>
    <x:row r="101" ht="23" customHeight="1">
      <x:c r="A101" s="2" t="str">
        <x:v>KOR</x:v>
      </x:c>
      <x:c r="B101" s="2" t="str">
        <x:v>Korea (Republic of)</x:v>
      </x:c>
      <x:c r="C101" s="2" t="str">
        <x:v>TEMPO_PROXY</x:v>
      </x:c>
      <x:c r="D101" s="2" t="n">
        <x:v>2020</x:v>
      </x:c>
      <x:c r="E101" s="2" t="n">
        <x:v>2023</x:v>
      </x:c>
      <x:c r="F101" s="17" t="n">
        <x:v>2947698717.329997</x:v>
      </x:c>
      <x:c r="G101" s="17" t="n">
        <x:v>3096484602.971078</x:v>
      </x:c>
      <x:c r="H101" s="17" t="n">
        <x:v>2947698717.329997</x:v>
      </x:c>
      <x:c r="I101" s="17" t="n">
        <x:v>3031441837.9</x:v>
      </x:c>
      <x:c r="J101" s="2" t="str">
        <x:v>m2</x:v>
      </x:c>
      <x:c r="K101" s="15" t="n">
        <x:f>IF(AND(ISNUMBER(F101),ISNUMBER(G101),F101&gt;0),G101/F101-1,"n.a.")</x:f>
        <x:v>0.05047526898401955</x:v>
      </x:c>
      <x:c r="L101" s="15" t="n">
        <x:f>IF(AND(N101,ISNUMBER(H101),ISNUMBER(I101),H101&gt;0),I101/H101-1,"n.a.")</x:f>
        <x:v>0.028409660755918997</x:v>
      </x:c>
      <x:c r="M101" s="20" t="n">
        <x:f>IF(AND(ISNUMBER(K101),ISNUMBER(L101)),100*(K101-L101),"n.a.")</x:f>
        <x:v>2.2065608228100553</x:v>
      </x:c>
      <x:c r="N101" s="13" t="b">
        <x:v>1</x:v>
      </x:c>
      <x:c r="O101" s="13" t="b">
        <x:v>1</x:v>
      </x:c>
      <x:c r="P101" s="13" t="b">
        <x:v>0</x:v>
      </x:c>
      <x:c r="Q101" s="2" t="str">
        <x:v>legacy_epoch_source_QA_passed; new_common_native_support_not_certified</x:v>
      </x:c>
      <x:c r="R101" s="2" t="str">
        <x:v>legacy_epoch_source_QA_passed; new_common_native_support_not_certified</x:v>
      </x:c>
      <x:c r="S101" s="2" t="str">
        <x:v>inherited2020anchor</x:v>
      </x:c>
      <x:c r="T101" s="2" t="str">
        <x:v>unused2023converted-source comparator</x:v>
      </x:c>
      <x:c r="U101" s="2" t="str">
        <x:v>GFA growth versus source physical quantity growth; constant conversion required for equality</x:v>
      </x:c>
      <x:c r="V101" s="2" t="str">
        <x:v>2020 level is the model anchor; 2023 comparator unused by v16 fit but shares conversion/upstream lineage</x:v>
      </x:c>
      <x:c r="W101" s="2" t="str">
        <x:v>https://arxiv.org/abs/2511.12104</x:v>
      </x:c>
    </x:row>
    <x:row r="102" ht="23" customHeight="1">
      <x:c r="A102" s="2" t="str">
        <x:v>KWT</x:v>
      </x:c>
      <x:c r="B102" s="2" t="str">
        <x:v>Kuwait (State of)</x:v>
      </x:c>
      <x:c r="C102" s="2" t="str">
        <x:v>TEMPO_PROXY</x:v>
      </x:c>
      <x:c r="D102" s="2" t="n">
        <x:v>2020</x:v>
      </x:c>
      <x:c r="E102" s="2" t="n">
        <x:v>2023</x:v>
      </x:c>
      <x:c r="F102" s="17" t="n">
        <x:v>155594647.5199998</x:v>
      </x:c>
      <x:c r="G102" s="17" t="n">
        <x:v>172890363.84898752</x:v>
      </x:c>
      <x:c r="H102" s="17" t="n">
        <x:v>155594647.5199998</x:v>
      </x:c>
      <x:c r="I102" s="17" t="n">
        <x:v>179904165.87</x:v>
      </x:c>
      <x:c r="J102" s="2" t="str">
        <x:v>m2</x:v>
      </x:c>
      <x:c r="K102" s="15" t="n">
        <x:f>IF(AND(ISNUMBER(F102),ISNUMBER(G102),F102&gt;0),G102/F102-1,"n.a.")</x:f>
        <x:v>0.11115881300971209</x:v>
      </x:c>
      <x:c r="L102" s="15" t="n">
        <x:f>IF(AND(N102,ISNUMBER(H102),ISNUMBER(I102),H102&gt;0),I102/H102-1,"n.a.")</x:f>
        <x:v>0.15623621208997895</x:v>
      </x:c>
      <x:c r="M102" s="20" t="n">
        <x:f>IF(AND(ISNUMBER(K102),ISNUMBER(L102)),100*(K102-L102),"n.a.")</x:f>
        <x:v>-4.507739908026687</x:v>
      </x:c>
      <x:c r="N102" s="13" t="b">
        <x:v>1</x:v>
      </x:c>
      <x:c r="O102" s="13" t="b">
        <x:v>1</x:v>
      </x:c>
      <x:c r="P102" s="13" t="b">
        <x:v>0</x:v>
      </x:c>
      <x:c r="Q102" s="2" t="str">
        <x:v>legacy_epoch_source_QA_passed; new_common_native_support_not_certified</x:v>
      </x:c>
      <x:c r="R102" s="2" t="str">
        <x:v>legacy_epoch_source_QA_passed; new_common_native_support_not_certified</x:v>
      </x:c>
      <x:c r="S102" s="2" t="str">
        <x:v>inherited2020anchor</x:v>
      </x:c>
      <x:c r="T102" s="2" t="str">
        <x:v>unused2023converted-source comparator</x:v>
      </x:c>
      <x:c r="U102" s="2" t="str">
        <x:v>GFA growth versus source physical quantity growth; constant conversion required for equality</x:v>
      </x:c>
      <x:c r="V102" s="2" t="str">
        <x:v>2020 level is the model anchor; 2023 comparator unused by v16 fit but shares conversion/upstream lineage</x:v>
      </x:c>
      <x:c r="W102" s="2" t="str">
        <x:v>https://arxiv.org/abs/2511.12104</x:v>
      </x:c>
    </x:row>
    <x:row r="103" ht="23" customHeight="1">
      <x:c r="A103" s="2" t="str">
        <x:v>LAO</x:v>
      </x:c>
      <x:c r="B103" s="2" t="str">
        <x:v>Lao People's Democratic Republic</x:v>
      </x:c>
      <x:c r="C103" s="2" t="str">
        <x:v>TEMPO_PROXY</x:v>
      </x:c>
      <x:c r="D103" s="2" t="n">
        <x:v>2020</x:v>
      </x:c>
      <x:c r="E103" s="2" t="n">
        <x:v>2023</x:v>
      </x:c>
      <x:c r="F103" s="17" t="n">
        <x:v>333393295.1899998</x:v>
      </x:c>
      <x:c r="G103" s="17" t="n">
        <x:v>364322978.36261857</x:v>
      </x:c>
      <x:c r="H103" s="17" t="n">
        <x:v>333393295.1899998</x:v>
      </x:c>
      <x:c r="I103" s="17" t="n">
        <x:v>365029982.26</x:v>
      </x:c>
      <x:c r="J103" s="2" t="str">
        <x:v>m2</x:v>
      </x:c>
      <x:c r="K103" s="15" t="n">
        <x:f>IF(AND(ISNUMBER(F103),ISNUMBER(G103),F103&gt;0),G103/F103-1,"n.a.")</x:f>
        <x:v>0.09277236110879805</x:v>
      </x:c>
      <x:c r="L103" s="15" t="n">
        <x:f>IF(AND(N103,ISNUMBER(H103),ISNUMBER(I103),H103&gt;0),I103/H103-1,"n.a.")</x:f>
        <x:v>0.09489299133016615</x:v>
      </x:c>
      <x:c r="M103" s="20" t="n">
        <x:f>IF(AND(ISNUMBER(K103),ISNUMBER(L103)),100*(K103-L103),"n.a.")</x:f>
        <x:v>-0.21206302213681028</x:v>
      </x:c>
      <x:c r="N103" s="13" t="b">
        <x:v>1</x:v>
      </x:c>
      <x:c r="O103" s="13" t="b">
        <x:v>1</x:v>
      </x:c>
      <x:c r="P103" s="13" t="b">
        <x:v>0</x:v>
      </x:c>
      <x:c r="Q103" s="2" t="str">
        <x:v>legacy_epoch_source_QA_passed; new_common_native_support_not_certified</x:v>
      </x:c>
      <x:c r="R103" s="2" t="str">
        <x:v>legacy_epoch_source_QA_passed; new_common_native_support_not_certified</x:v>
      </x:c>
      <x:c r="S103" s="2" t="str">
        <x:v>inherited2020anchor</x:v>
      </x:c>
      <x:c r="T103" s="2" t="str">
        <x:v>unused2023converted-source comparator</x:v>
      </x:c>
      <x:c r="U103" s="2" t="str">
        <x:v>GFA growth versus source physical quantity growth; constant conversion required for equality</x:v>
      </x:c>
      <x:c r="V103" s="2" t="str">
        <x:v>2020 level is the model anchor; 2023 comparator unused by v16 fit but shares conversion/upstream lineage</x:v>
      </x:c>
      <x:c r="W103" s="2" t="str">
        <x:v>https://arxiv.org/abs/2511.12104</x:v>
      </x:c>
    </x:row>
    <x:row r="104" ht="23" customHeight="1">
      <x:c r="A104" s="2" t="str">
        <x:v>LBN</x:v>
      </x:c>
      <x:c r="B104" s="2" t="str">
        <x:v>Lebanon (Lebanese Republic)</x:v>
      </x:c>
      <x:c r="C104" s="2" t="str">
        <x:v>TEMPO_PROXY</x:v>
      </x:c>
      <x:c r="D104" s="2" t="n">
        <x:v>2020</x:v>
      </x:c>
      <x:c r="E104" s="2" t="n">
        <x:v>2023</x:v>
      </x:c>
      <x:c r="F104" s="17" t="n">
        <x:v>226725070.95000017</x:v>
      </x:c>
      <x:c r="G104" s="17" t="n">
        <x:v>241600565.7920856</x:v>
      </x:c>
      <x:c r="H104" s="17" t="n">
        <x:v>226725070.95000017</x:v>
      </x:c>
      <x:c r="I104" s="17" t="n">
        <x:v>231797059.14</x:v>
      </x:c>
      <x:c r="J104" s="2" t="str">
        <x:v>m2</x:v>
      </x:c>
      <x:c r="K104" s="15" t="n">
        <x:f>IF(AND(ISNUMBER(F104),ISNUMBER(G104),F104&gt;0),G104/F104-1,"n.a.")</x:f>
        <x:v>0.06561027759195603</x:v>
      </x:c>
      <x:c r="L104" s="15" t="n">
        <x:f>IF(AND(N104,ISNUMBER(H104),ISNUMBER(I104),H104&gt;0),I104/H104-1,"n.a.")</x:f>
        <x:v>0.022370654329261885</x:v>
      </x:c>
      <x:c r="M104" s="20" t="n">
        <x:f>IF(AND(ISNUMBER(K104),ISNUMBER(L104)),100*(K104-L104),"n.a.")</x:f>
        <x:v>4.323962326269415</x:v>
      </x:c>
      <x:c r="N104" s="13" t="b">
        <x:v>1</x:v>
      </x:c>
      <x:c r="O104" s="13" t="b">
        <x:v>1</x:v>
      </x:c>
      <x:c r="P104" s="13" t="b">
        <x:v>0</x:v>
      </x:c>
      <x:c r="Q104" s="2" t="str">
        <x:v>legacy_epoch_source_QA_passed; new_common_native_support_not_certified</x:v>
      </x:c>
      <x:c r="R104" s="2" t="str">
        <x:v>legacy_epoch_source_QA_passed; new_common_native_support_not_certified</x:v>
      </x:c>
      <x:c r="S104" s="2" t="str">
        <x:v>inherited2020anchor</x:v>
      </x:c>
      <x:c r="T104" s="2" t="str">
        <x:v>unused2023converted-source comparator</x:v>
      </x:c>
      <x:c r="U104" s="2" t="str">
        <x:v>GFA growth versus source physical quantity growth; constant conversion required for equality</x:v>
      </x:c>
      <x:c r="V104" s="2" t="str">
        <x:v>2020 level is the model anchor; 2023 comparator unused by v16 fit but shares conversion/upstream lineage</x:v>
      </x:c>
      <x:c r="W104" s="2" t="str">
        <x:v>https://arxiv.org/abs/2511.12104</x:v>
      </x:c>
    </x:row>
    <x:row r="105" ht="23" customHeight="1">
      <x:c r="A105" s="2" t="str">
        <x:v>LBR</x:v>
      </x:c>
      <x:c r="B105" s="2" t="str">
        <x:v>Liberia (Republic of)</x:v>
      </x:c>
      <x:c r="C105" s="2" t="str">
        <x:v>TEMPO_PROXY</x:v>
      </x:c>
      <x:c r="D105" s="2" t="n">
        <x:v>2020</x:v>
      </x:c>
      <x:c r="E105" s="2" t="n">
        <x:v>2023</x:v>
      </x:c>
      <x:c r="F105" s="17" t="n">
        <x:v>93713430.84000014</x:v>
      </x:c>
      <x:c r="G105" s="17" t="n">
        <x:v>104559516.7608036</x:v>
      </x:c>
      <x:c r="H105" s="17" t="n">
        <x:v>93713430.84000014</x:v>
      </x:c>
      <x:c r="I105" s="17" t="n">
        <x:v>101961024.16</x:v>
      </x:c>
      <x:c r="J105" s="2" t="str">
        <x:v>m2</x:v>
      </x:c>
      <x:c r="K105" s="15" t="n">
        <x:f>IF(AND(ISNUMBER(F105),ISNUMBER(G105),F105&gt;0),G105/F105-1,"n.a.")</x:f>
        <x:v>0.11573672870136753</x:v>
      </x:c>
      <x:c r="L105" s="15" t="n">
        <x:f>IF(AND(N105,ISNUMBER(H105),ISNUMBER(I105),H105&gt;0),I105/H105-1,"n.a.")</x:f>
        <x:v>0.0880086583755666</x:v>
      </x:c>
      <x:c r="M105" s="20" t="n">
        <x:f>IF(AND(ISNUMBER(K105),ISNUMBER(L105)),100*(K105-L105),"n.a.")</x:f>
        <x:v>2.7728070325800935</x:v>
      </x:c>
      <x:c r="N105" s="13" t="b">
        <x:v>1</x:v>
      </x:c>
      <x:c r="O105" s="13" t="b">
        <x:v>1</x:v>
      </x:c>
      <x:c r="P105" s="13" t="b">
        <x:v>0</x:v>
      </x:c>
      <x:c r="Q105" s="2" t="str">
        <x:v>legacy_epoch_source_QA_passed; new_common_native_support_not_certified</x:v>
      </x:c>
      <x:c r="R105" s="2" t="str">
        <x:v>legacy_epoch_source_QA_passed; new_common_native_support_not_certified</x:v>
      </x:c>
      <x:c r="S105" s="2" t="str">
        <x:v>inherited2020anchor</x:v>
      </x:c>
      <x:c r="T105" s="2" t="str">
        <x:v>unused2023converted-source comparator</x:v>
      </x:c>
      <x:c r="U105" s="2" t="str">
        <x:v>GFA growth versus source physical quantity growth; constant conversion required for equality</x:v>
      </x:c>
      <x:c r="V105" s="2" t="str">
        <x:v>2020 level is the model anchor; 2023 comparator unused by v16 fit but shares conversion/upstream lineage</x:v>
      </x:c>
      <x:c r="W105" s="2" t="str">
        <x:v>https://arxiv.org/abs/2511.12104</x:v>
      </x:c>
    </x:row>
    <x:row r="106" ht="23" customHeight="1">
      <x:c r="A106" s="2" t="str">
        <x:v>LBY</x:v>
      </x:c>
      <x:c r="B106" s="2" t="str">
        <x:v>Libya (State of)</x:v>
      </x:c>
      <x:c r="C106" s="2" t="str">
        <x:v>TEMPO_PROXY</x:v>
      </x:c>
      <x:c r="D106" s="2" t="n">
        <x:v>2020</x:v>
      </x:c>
      <x:c r="E106" s="2" t="n">
        <x:v>2023</x:v>
      </x:c>
      <x:c r="F106" s="17" t="n">
        <x:v>523048577.3000005</x:v>
      </x:c>
      <x:c r="G106" s="17" t="n">
        <x:v>544069120.243073</x:v>
      </x:c>
      <x:c r="H106" s="17" t="n">
        <x:v>523048577.3000005</x:v>
      </x:c>
      <x:c r="I106" s="17" t="n">
        <x:v>562082814.83</x:v>
      </x:c>
      <x:c r="J106" s="2" t="str">
        <x:v>m2</x:v>
      </x:c>
      <x:c r="K106" s="15" t="n">
        <x:f>IF(AND(ISNUMBER(F106),ISNUMBER(G106),F106&gt;0),G106/F106-1,"n.a.")</x:f>
        <x:v>0.04018850993072465</x:v>
      </x:c>
      <x:c r="L106" s="15" t="n">
        <x:f>IF(AND(N106,ISNUMBER(H106),ISNUMBER(I106),H106&gt;0),I106/H106-1,"n.a.")</x:f>
        <x:v>0.07462832177366008</x:v>
      </x:c>
      <x:c r="M106" s="20" t="n">
        <x:f>IF(AND(ISNUMBER(K106),ISNUMBER(L106)),100*(K106-L106),"n.a.")</x:f>
        <x:v>-3.443981184293543</x:v>
      </x:c>
      <x:c r="N106" s="13" t="b">
        <x:v>1</x:v>
      </x:c>
      <x:c r="O106" s="13" t="b">
        <x:v>1</x:v>
      </x:c>
      <x:c r="P106" s="13" t="b">
        <x:v>0</x:v>
      </x:c>
      <x:c r="Q106" s="2" t="str">
        <x:v>legacy_epoch_source_QA_passed; new_common_native_support_not_certified</x:v>
      </x:c>
      <x:c r="R106" s="2" t="str">
        <x:v>legacy_epoch_source_QA_passed; new_common_native_support_not_certified</x:v>
      </x:c>
      <x:c r="S106" s="2" t="str">
        <x:v>inherited2020anchor</x:v>
      </x:c>
      <x:c r="T106" s="2" t="str">
        <x:v>unused2023converted-source comparator</x:v>
      </x:c>
      <x:c r="U106" s="2" t="str">
        <x:v>GFA growth versus source physical quantity growth; constant conversion required for equality</x:v>
      </x:c>
      <x:c r="V106" s="2" t="str">
        <x:v>2020 level is the model anchor; 2023 comparator unused by v16 fit but shares conversion/upstream lineage</x:v>
      </x:c>
      <x:c r="W106" s="2" t="str">
        <x:v>https://arxiv.org/abs/2511.12104</x:v>
      </x:c>
    </x:row>
    <x:row r="107" ht="23" customHeight="1">
      <x:c r="A107" s="2" t="str">
        <x:v>LCA</x:v>
      </x:c>
      <x:c r="B107" s="2" t="str">
        <x:v>Saint Lucia</x:v>
      </x:c>
      <x:c r="C107" s="2" t="str">
        <x:v>TEMPO_PROXY</x:v>
      </x:c>
      <x:c r="D107" s="2" t="n">
        <x:v>2020</x:v>
      </x:c>
      <x:c r="E107" s="2" t="n">
        <x:v>2023</x:v>
      </x:c>
      <x:c r="F107" s="17" t="n">
        <x:v>10226894.600000018</x:v>
      </x:c>
      <x:c r="G107" s="17" t="n">
        <x:v>10772946.39498207</x:v>
      </x:c>
      <x:c r="H107" s="17" t="n">
        <x:v>10226894.600000018</x:v>
      </x:c>
      <x:c r="I107" s="17" t="n">
        <x:v>10636385.01</x:v>
      </x:c>
      <x:c r="J107" s="2" t="str">
        <x:v>m2</x:v>
      </x:c>
      <x:c r="K107" s="15" t="n">
        <x:f>IF(AND(ISNUMBER(F107),ISNUMBER(G107),F107&gt;0),G107/F107-1,"n.a.")</x:f>
        <x:v>0.053393705160709404</x:v>
      </x:c>
      <x:c r="L107" s="15" t="n">
        <x:f>IF(AND(N107,ISNUMBER(H107),ISNUMBER(I107),H107&gt;0),I107/H107-1,"n.a.")</x:f>
        <x:v>0.04004054270785007</x:v>
      </x:c>
      <x:c r="M107" s="20" t="n">
        <x:f>IF(AND(ISNUMBER(K107),ISNUMBER(L107)),100*(K107-L107),"n.a.")</x:f>
        <x:v>1.3353162452859335</x:v>
      </x:c>
      <x:c r="N107" s="13" t="b">
        <x:v>1</x:v>
      </x:c>
      <x:c r="O107" s="13" t="b">
        <x:v>1</x:v>
      </x:c>
      <x:c r="P107" s="13" t="b">
        <x:v>0</x:v>
      </x:c>
      <x:c r="Q107" s="2" t="str">
        <x:v>legacy_epoch_source_QA_passed; new_common_native_support_not_certified</x:v>
      </x:c>
      <x:c r="R107" s="2" t="str">
        <x:v>legacy_epoch_source_QA_passed; new_common_native_support_not_certified</x:v>
      </x:c>
      <x:c r="S107" s="2" t="str">
        <x:v>inherited2020anchor</x:v>
      </x:c>
      <x:c r="T107" s="2" t="str">
        <x:v>unused2023converted-source comparator</x:v>
      </x:c>
      <x:c r="U107" s="2" t="str">
        <x:v>GFA growth versus source physical quantity growth; constant conversion required for equality</x:v>
      </x:c>
      <x:c r="V107" s="2" t="str">
        <x:v>2020 level is the model anchor; 2023 comparator unused by v16 fit but shares conversion/upstream lineage</x:v>
      </x:c>
      <x:c r="W107" s="2" t="str">
        <x:v>https://arxiv.org/abs/2511.12104</x:v>
      </x:c>
    </x:row>
    <x:row r="108" ht="23" customHeight="1">
      <x:c r="A108" s="2" t="str">
        <x:v>LIE</x:v>
      </x:c>
      <x:c r="B108" s="2" t="str">
        <x:v>Liechtenstein (Principality of)</x:v>
      </x:c>
      <x:c r="C108" s="2" t="str">
        <x:v>TEMPO_PROXY</x:v>
      </x:c>
      <x:c r="D108" s="2" t="n">
        <x:v>2020</x:v>
      </x:c>
      <x:c r="E108" s="2" t="n">
        <x:v>2023</x:v>
      </x:c>
      <x:c r="F108" s="17" t="n">
        <x:v>3628695.830000003</x:v>
      </x:c>
      <x:c r="G108" s="17" t="n">
        <x:v>3982510.1732081324</x:v>
      </x:c>
      <x:c r="H108" s="17" t="n">
        <x:v>3628695.830000003</x:v>
      </x:c>
      <x:c r="I108" s="17" t="n">
        <x:v>3716915.87</x:v>
      </x:c>
      <x:c r="J108" s="2" t="str">
        <x:v>m2</x:v>
      </x:c>
      <x:c r="K108" s="15" t="n">
        <x:f>IF(AND(ISNUMBER(F108),ISNUMBER(G108),F108&gt;0),G108/F108-1,"n.a.")</x:f>
        <x:v>0.09750454702843725</x:v>
      </x:c>
      <x:c r="L108" s="15" t="n">
        <x:f>IF(AND(N108,ISNUMBER(H108),ISNUMBER(I108),H108&gt;0),I108/H108-1,"n.a.")</x:f>
        <x:v>0.024311775947337244</x:v>
      </x:c>
      <x:c r="M108" s="20" t="n">
        <x:f>IF(AND(ISNUMBER(K108),ISNUMBER(L108)),100*(K108-L108),"n.a.")</x:f>
        <x:v>7.3192771081100005</x:v>
      </x:c>
      <x:c r="N108" s="13" t="b">
        <x:v>1</x:v>
      </x:c>
      <x:c r="O108" s="13" t="b">
        <x:v>1</x:v>
      </x:c>
      <x:c r="P108" s="13" t="b">
        <x:v>0</x:v>
      </x:c>
      <x:c r="Q108" s="2" t="str">
        <x:v>legacy_epoch_source_QA_passed; new_common_native_support_not_certified</x:v>
      </x:c>
      <x:c r="R108" s="2" t="str">
        <x:v>legacy_epoch_source_QA_passed; new_common_native_support_not_certified</x:v>
      </x:c>
      <x:c r="S108" s="2" t="str">
        <x:v>inherited2020anchor</x:v>
      </x:c>
      <x:c r="T108" s="2" t="str">
        <x:v>unused2023converted-source comparator</x:v>
      </x:c>
      <x:c r="U108" s="2" t="str">
        <x:v>GFA growth versus source physical quantity growth; constant conversion required for equality</x:v>
      </x:c>
      <x:c r="V108" s="2" t="str">
        <x:v>2020 level is the model anchor; 2023 comparator unused by v16 fit but shares conversion/upstream lineage</x:v>
      </x:c>
      <x:c r="W108" s="2" t="str">
        <x:v>https://arxiv.org/abs/2511.12104</x:v>
      </x:c>
    </x:row>
    <x:row r="109" ht="23" customHeight="1">
      <x:c r="A109" s="2" t="str">
        <x:v>LKA</x:v>
      </x:c>
      <x:c r="B109" s="2" t="str">
        <x:v>Sri Lanka (Democratic Socialist Republic of)</x:v>
      </x:c>
      <x:c r="C109" s="2" t="str">
        <x:v>TEMPO_PROXY</x:v>
      </x:c>
      <x:c r="D109" s="2" t="n">
        <x:v>2020</x:v>
      </x:c>
      <x:c r="E109" s="2" t="n">
        <x:v>2023</x:v>
      </x:c>
      <x:c r="F109" s="17" t="n">
        <x:v>899293602.2900008</x:v>
      </x:c>
      <x:c r="G109" s="17" t="n">
        <x:v>963113965.8763132</x:v>
      </x:c>
      <x:c r="H109" s="17" t="n">
        <x:v>899293602.2900008</x:v>
      </x:c>
      <x:c r="I109" s="17" t="n">
        <x:v>920328044.91</x:v>
      </x:c>
      <x:c r="J109" s="2" t="str">
        <x:v>m2</x:v>
      </x:c>
      <x:c r="K109" s="15" t="n">
        <x:f>IF(AND(ISNUMBER(F109),ISNUMBER(G109),F109&gt;0),G109/F109-1,"n.a.")</x:f>
        <x:v>0.07096721629487579</x:v>
      </x:c>
      <x:c r="L109" s="15" t="n">
        <x:f>IF(AND(N109,ISNUMBER(H109),ISNUMBER(I109),H109&gt;0),I109/H109-1,"n.a.")</x:f>
        <x:v>0.023389961372388468</x:v>
      </x:c>
      <x:c r="M109" s="20" t="n">
        <x:f>IF(AND(ISNUMBER(K109),ISNUMBER(L109)),100*(K109-L109),"n.a.")</x:f>
        <x:v>4.757725492248732</x:v>
      </x:c>
      <x:c r="N109" s="13" t="b">
        <x:v>1</x:v>
      </x:c>
      <x:c r="O109" s="13" t="b">
        <x:v>1</x:v>
      </x:c>
      <x:c r="P109" s="13" t="b">
        <x:v>0</x:v>
      </x:c>
      <x:c r="Q109" s="2" t="str">
        <x:v>legacy_epoch_source_QA_passed; new_common_native_support_not_certified</x:v>
      </x:c>
      <x:c r="R109" s="2" t="str">
        <x:v>legacy_epoch_source_QA_passed; new_common_native_support_not_certified</x:v>
      </x:c>
      <x:c r="S109" s="2" t="str">
        <x:v>inherited2020anchor</x:v>
      </x:c>
      <x:c r="T109" s="2" t="str">
        <x:v>unused2023converted-source comparator</x:v>
      </x:c>
      <x:c r="U109" s="2" t="str">
        <x:v>GFA growth versus source physical quantity growth; constant conversion required for equality</x:v>
      </x:c>
      <x:c r="V109" s="2" t="str">
        <x:v>2020 level is the model anchor; 2023 comparator unused by v16 fit but shares conversion/upstream lineage</x:v>
      </x:c>
      <x:c r="W109" s="2" t="str">
        <x:v>https://arxiv.org/abs/2511.12104</x:v>
      </x:c>
    </x:row>
    <x:row r="110" ht="23" customHeight="1">
      <x:c r="A110" s="2" t="str">
        <x:v>LSO</x:v>
      </x:c>
      <x:c r="B110" s="2" t="str">
        <x:v>Lesotho (Kingdom of)</x:v>
      </x:c>
      <x:c r="C110" s="2" t="str">
        <x:v>TEMPO_PROXY</x:v>
      </x:c>
      <x:c r="D110" s="2" t="n">
        <x:v>2020</x:v>
      </x:c>
      <x:c r="E110" s="2" t="n">
        <x:v>2023</x:v>
      </x:c>
      <x:c r="F110" s="17" t="n">
        <x:v>60655167.15000007</x:v>
      </x:c>
      <x:c r="G110" s="17" t="n">
        <x:v>64000772.9998195</x:v>
      </x:c>
      <x:c r="H110" s="17" t="n">
        <x:v>60655167.15000007</x:v>
      </x:c>
      <x:c r="I110" s="17" t="n">
        <x:v>65893565.87</x:v>
      </x:c>
      <x:c r="J110" s="2" t="str">
        <x:v>m2</x:v>
      </x:c>
      <x:c r="K110" s="15" t="n">
        <x:f>IF(AND(ISNUMBER(F110),ISNUMBER(G110),F110&gt;0),G110/F110-1,"n.a.")</x:f>
        <x:v>0.05515780447106433</x:v>
      </x:c>
      <x:c r="L110" s="15" t="n">
        <x:f>IF(AND(N110,ISNUMBER(H110),ISNUMBER(I110),H110&gt;0),I110/H110-1,"n.a.")</x:f>
        <x:v>0.08636360208266147</x:v>
      </x:c>
      <x:c r="M110" s="20" t="n">
        <x:f>IF(AND(ISNUMBER(K110),ISNUMBER(L110)),100*(K110-L110),"n.a.")</x:f>
        <x:v>-3.120579761159714</x:v>
      </x:c>
      <x:c r="N110" s="13" t="b">
        <x:v>1</x:v>
      </x:c>
      <x:c r="O110" s="13" t="b">
        <x:v>1</x:v>
      </x:c>
      <x:c r="P110" s="13" t="b">
        <x:v>0</x:v>
      </x:c>
      <x:c r="Q110" s="2" t="str">
        <x:v>legacy_epoch_source_QA_passed; new_common_native_support_not_certified</x:v>
      </x:c>
      <x:c r="R110" s="2" t="str">
        <x:v>legacy_epoch_source_QA_passed; new_common_native_support_not_certified</x:v>
      </x:c>
      <x:c r="S110" s="2" t="str">
        <x:v>inherited2020anchor</x:v>
      </x:c>
      <x:c r="T110" s="2" t="str">
        <x:v>unused2023converted-source comparator</x:v>
      </x:c>
      <x:c r="U110" s="2" t="str">
        <x:v>GFA growth versus source physical quantity growth; constant conversion required for equality</x:v>
      </x:c>
      <x:c r="V110" s="2" t="str">
        <x:v>2020 level is the model anchor; 2023 comparator unused by v16 fit but shares conversion/upstream lineage</x:v>
      </x:c>
      <x:c r="W110" s="2" t="str">
        <x:v>https://arxiv.org/abs/2511.12104</x:v>
      </x:c>
    </x:row>
    <x:row r="111" ht="23" customHeight="1">
      <x:c r="A111" s="2" t="str">
        <x:v>LTU</x:v>
      </x:c>
      <x:c r="B111" s="2" t="str">
        <x:v>Lithuania (Republic of)</x:v>
      </x:c>
      <x:c r="C111" s="2" t="str">
        <x:v>TEMPO_PROXY</x:v>
      </x:c>
      <x:c r="D111" s="2" t="n">
        <x:v>2020</x:v>
      </x:c>
      <x:c r="E111" s="2" t="n">
        <x:v>2023</x:v>
      </x:c>
      <x:c r="F111" s="17" t="n">
        <x:v>269070067.6199997</x:v>
      </x:c>
      <x:c r="G111" s="17" t="n">
        <x:v>278050523.1056788</x:v>
      </x:c>
      <x:c r="H111" s="17" t="n">
        <x:v>269070067.6199997</x:v>
      </x:c>
      <x:c r="I111" s="17" t="n">
        <x:v>283025479.77</x:v>
      </x:c>
      <x:c r="J111" s="2" t="str">
        <x:v>m2</x:v>
      </x:c>
      <x:c r="K111" s="15" t="n">
        <x:f>IF(AND(ISNUMBER(F111),ISNUMBER(G111),F111&gt;0),G111/F111-1,"n.a.")</x:f>
        <x:v>0.03337589931542273</x:v>
      </x:c>
      <x:c r="L111" s="15" t="n">
        <x:f>IF(AND(N111,ISNUMBER(H111),ISNUMBER(I111),H111&gt;0),I111/H111-1,"n.a.")</x:f>
        <x:v>0.0518653459801004</x:v>
      </x:c>
      <x:c r="M111" s="20" t="n">
        <x:f>IF(AND(ISNUMBER(K111),ISNUMBER(L111)),100*(K111-L111),"n.a.")</x:f>
        <x:v>-1.8489446664677667</x:v>
      </x:c>
      <x:c r="N111" s="13" t="b">
        <x:v>1</x:v>
      </x:c>
      <x:c r="O111" s="13" t="b">
        <x:v>1</x:v>
      </x:c>
      <x:c r="P111" s="13" t="b">
        <x:v>0</x:v>
      </x:c>
      <x:c r="Q111" s="2" t="str">
        <x:v>legacy_epoch_source_QA_passed; new_common_native_support_not_certified</x:v>
      </x:c>
      <x:c r="R111" s="2" t="str">
        <x:v>legacy_epoch_source_QA_passed; new_common_native_support_not_certified</x:v>
      </x:c>
      <x:c r="S111" s="2" t="str">
        <x:v>inherited2020anchor</x:v>
      </x:c>
      <x:c r="T111" s="2" t="str">
        <x:v>unused2023converted-source comparator</x:v>
      </x:c>
      <x:c r="U111" s="2" t="str">
        <x:v>GFA growth versus source physical quantity growth; constant conversion required for equality</x:v>
      </x:c>
      <x:c r="V111" s="2" t="str">
        <x:v>2020 level is the model anchor; 2023 comparator unused by v16 fit but shares conversion/upstream lineage</x:v>
      </x:c>
      <x:c r="W111" s="2" t="str">
        <x:v>https://arxiv.org/abs/2511.12104</x:v>
      </x:c>
    </x:row>
    <x:row r="112" ht="23" customHeight="1">
      <x:c r="A112" s="2" t="str">
        <x:v>LUX</x:v>
      </x:c>
      <x:c r="B112" s="2" t="str">
        <x:v>Luxembourg (Grand Duchy of)</x:v>
      </x:c>
      <x:c r="C112" s="2" t="str">
        <x:v>TEMPO_PROXY</x:v>
      </x:c>
      <x:c r="D112" s="2" t="n">
        <x:v>2020</x:v>
      </x:c>
      <x:c r="E112" s="2" t="n">
        <x:v>2023</x:v>
      </x:c>
      <x:c r="F112" s="17" t="n">
        <x:v>49053600.56000002</x:v>
      </x:c>
      <x:c r="G112" s="17" t="n">
        <x:v>55006643.51753835</x:v>
      </x:c>
      <x:c r="H112" s="17" t="n">
        <x:v>49053600.56000002</x:v>
      </x:c>
      <x:c r="I112" s="17" t="n">
        <x:v>51981415.18</x:v>
      </x:c>
      <x:c r="J112" s="2" t="str">
        <x:v>m2</x:v>
      </x:c>
      <x:c r="K112" s="15" t="n">
        <x:f>IF(AND(ISNUMBER(F112),ISNUMBER(G112),F112&gt;0),G112/F112-1,"n.a.")</x:f>
        <x:v>0.12135792051098981</x:v>
      </x:c>
      <x:c r="L112" s="15" t="n">
        <x:f>IF(AND(N112,ISNUMBER(H112),ISNUMBER(I112),H112&gt;0),I112/H112-1,"n.a.")</x:f>
        <x:v>0.0596860288862755</x:v>
      </x:c>
      <x:c r="M112" s="20" t="n">
        <x:f>IF(AND(ISNUMBER(K112),ISNUMBER(L112)),100*(K112-L112),"n.a.")</x:f>
        <x:v>6.1671891624714315</x:v>
      </x:c>
      <x:c r="N112" s="13" t="b">
        <x:v>1</x:v>
      </x:c>
      <x:c r="O112" s="13" t="b">
        <x:v>1</x:v>
      </x:c>
      <x:c r="P112" s="13" t="b">
        <x:v>0</x:v>
      </x:c>
      <x:c r="Q112" s="2" t="str">
        <x:v>legacy_epoch_source_QA_passed; new_common_native_support_not_certified</x:v>
      </x:c>
      <x:c r="R112" s="2" t="str">
        <x:v>legacy_epoch_source_QA_passed; new_common_native_support_not_certified</x:v>
      </x:c>
      <x:c r="S112" s="2" t="str">
        <x:v>inherited2020anchor</x:v>
      </x:c>
      <x:c r="T112" s="2" t="str">
        <x:v>unused2023converted-source comparator</x:v>
      </x:c>
      <x:c r="U112" s="2" t="str">
        <x:v>GFA growth versus source physical quantity growth; constant conversion required for equality</x:v>
      </x:c>
      <x:c r="V112" s="2" t="str">
        <x:v>2020 level is the model anchor; 2023 comparator unused by v16 fit but shares conversion/upstream lineage</x:v>
      </x:c>
      <x:c r="W112" s="2" t="str">
        <x:v>https://arxiv.org/abs/2511.12104</x:v>
      </x:c>
    </x:row>
    <x:row r="113" ht="23" customHeight="1">
      <x:c r="A113" s="2" t="str">
        <x:v>LVA</x:v>
      </x:c>
      <x:c r="B113" s="2" t="str">
        <x:v>Latvia (Republic of)</x:v>
      </x:c>
      <x:c r="C113" s="2" t="str">
        <x:v>TEMPO_PROXY</x:v>
      </x:c>
      <x:c r="D113" s="2" t="n">
        <x:v>2020</x:v>
      </x:c>
      <x:c r="E113" s="2" t="n">
        <x:v>2023</x:v>
      </x:c>
      <x:c r="F113" s="17" t="n">
        <x:v>145154805.1899999</x:v>
      </x:c>
      <x:c r="G113" s="17" t="n">
        <x:v>151004680.80462965</x:v>
      </x:c>
      <x:c r="H113" s="17" t="n">
        <x:v>145154805.1899999</x:v>
      </x:c>
      <x:c r="I113" s="17" t="n">
        <x:v>151349432.85</x:v>
      </x:c>
      <x:c r="J113" s="2" t="str">
        <x:v>m2</x:v>
      </x:c>
      <x:c r="K113" s="15" t="n">
        <x:f>IF(AND(ISNUMBER(F113),ISNUMBER(G113),F113&gt;0),G113/F113-1,"n.a.")</x:f>
        <x:v>0.04030094358207825</x:v>
      </x:c>
      <x:c r="L113" s="15" t="n">
        <x:f>IF(AND(N113,ISNUMBER(H113),ISNUMBER(I113),H113&gt;0),I113/H113-1,"n.a.")</x:f>
        <x:v>0.04267600822371431</x:v>
      </x:c>
      <x:c r="M113" s="20" t="n">
        <x:f>IF(AND(ISNUMBER(K113),ISNUMBER(L113)),100*(K113-L113),"n.a.")</x:f>
        <x:v>-0.237506464163606</x:v>
      </x:c>
      <x:c r="N113" s="13" t="b">
        <x:v>1</x:v>
      </x:c>
      <x:c r="O113" s="13" t="b">
        <x:v>1</x:v>
      </x:c>
      <x:c r="P113" s="13" t="b">
        <x:v>0</x:v>
      </x:c>
      <x:c r="Q113" s="2" t="str">
        <x:v>legacy_epoch_source_QA_passed; new_common_native_support_not_certified</x:v>
      </x:c>
      <x:c r="R113" s="2" t="str">
        <x:v>legacy_epoch_source_QA_passed; new_common_native_support_not_certified</x:v>
      </x:c>
      <x:c r="S113" s="2" t="str">
        <x:v>inherited2020anchor</x:v>
      </x:c>
      <x:c r="T113" s="2" t="str">
        <x:v>unused2023converted-source comparator</x:v>
      </x:c>
      <x:c r="U113" s="2" t="str">
        <x:v>GFA growth versus source physical quantity growth; constant conversion required for equality</x:v>
      </x:c>
      <x:c r="V113" s="2" t="str">
        <x:v>2020 level is the model anchor; 2023 comparator unused by v16 fit but shares conversion/upstream lineage</x:v>
      </x:c>
      <x:c r="W113" s="2" t="str">
        <x:v>https://arxiv.org/abs/2511.12104</x:v>
      </x:c>
    </x:row>
    <x:row r="114" ht="23" customHeight="1">
      <x:c r="A114" s="2" t="str">
        <x:v>MAR</x:v>
      </x:c>
      <x:c r="B114" s="2" t="str">
        <x:v>Morocco (Kingdom of)</x:v>
      </x:c>
      <x:c r="C114" s="2" t="str">
        <x:v>TEMPO_PROXY</x:v>
      </x:c>
      <x:c r="D114" s="2" t="n">
        <x:v>2020</x:v>
      </x:c>
      <x:c r="E114" s="2" t="n">
        <x:v>2023</x:v>
      </x:c>
      <x:c r="F114" s="17" t="n">
        <x:v>1247018524.7000012</x:v>
      </x:c>
      <x:c r="G114" s="17" t="n">
        <x:v>1413637538.0337749</x:v>
      </x:c>
      <x:c r="H114" s="17" t="n">
        <x:v>1247018524.7000012</x:v>
      </x:c>
      <x:c r="I114" s="17" t="n">
        <x:v>1312940653.62</x:v>
      </x:c>
      <x:c r="J114" s="2" t="str">
        <x:v>m2</x:v>
      </x:c>
      <x:c r="K114" s="15" t="n">
        <x:f>IF(AND(ISNUMBER(F114),ISNUMBER(G114),F114&gt;0),G114/F114-1,"n.a.")</x:f>
        <x:v>0.13361390391041517</x:v>
      </x:c>
      <x:c r="L114" s="15" t="n">
        <x:f>IF(AND(N114,ISNUMBER(H114),ISNUMBER(I114),H114&gt;0),I114/H114-1,"n.a.")</x:f>
        <x:v>0.05286379281002085</x:v>
      </x:c>
      <x:c r="M114" s="20" t="n">
        <x:f>IF(AND(ISNUMBER(K114),ISNUMBER(L114)),100*(K114-L114),"n.a.")</x:f>
        <x:v>8.075011110039432</x:v>
      </x:c>
      <x:c r="N114" s="13" t="b">
        <x:v>1</x:v>
      </x:c>
      <x:c r="O114" s="13" t="b">
        <x:v>1</x:v>
      </x:c>
      <x:c r="P114" s="13" t="b">
        <x:v>0</x:v>
      </x:c>
      <x:c r="Q114" s="2" t="str">
        <x:v>legacy_epoch_source_QA_passed; new_common_native_support_not_certified</x:v>
      </x:c>
      <x:c r="R114" s="2" t="str">
        <x:v>legacy_epoch_source_QA_passed; new_common_native_support_not_certified</x:v>
      </x:c>
      <x:c r="S114" s="2" t="str">
        <x:v>inherited2020anchor</x:v>
      </x:c>
      <x:c r="T114" s="2" t="str">
        <x:v>unused2023converted-source comparator</x:v>
      </x:c>
      <x:c r="U114" s="2" t="str">
        <x:v>GFA growth versus source physical quantity growth; constant conversion required for equality</x:v>
      </x:c>
      <x:c r="V114" s="2" t="str">
        <x:v>2020 level is the model anchor; 2023 comparator unused by v16 fit but shares conversion/upstream lineage</x:v>
      </x:c>
      <x:c r="W114" s="2" t="str">
        <x:v>https://arxiv.org/abs/2511.12104</x:v>
      </x:c>
    </x:row>
    <x:row r="115" ht="23" customHeight="1">
      <x:c r="A115" s="2" t="str">
        <x:v>MCO</x:v>
      </x:c>
      <x:c r="B115" s="2" t="str">
        <x:v>Monaco (Principality of)</x:v>
      </x:c>
      <x:c r="C115" s="2" t="str">
        <x:v>TEMPO_PROXY</x:v>
      </x:c>
      <x:c r="D115" s="2" t="n">
        <x:v>2020</x:v>
      </x:c>
      <x:c r="E115" s="2" t="n">
        <x:v>2023</x:v>
      </x:c>
      <x:c r="F115" s="17" t="n">
        <x:v>1563267.7900000005</x:v>
      </x:c>
      <x:c r="G115" s="17" t="n">
        <x:v>1704411.190059275</x:v>
      </x:c>
      <x:c r="H115" s="17" t="n">
        <x:v>1563267.7900000005</x:v>
      </x:c>
      <x:c r="I115" s="17" t="n">
        <x:v>1680821.43</x:v>
      </x:c>
      <x:c r="J115" s="2" t="str">
        <x:v>m2</x:v>
      </x:c>
      <x:c r="K115" s="15" t="n">
        <x:f>IF(AND(ISNUMBER(F115),ISNUMBER(G115),F115&gt;0),G115/F115-1,"n.a.")</x:f>
        <x:v>0.09028741010474883</x:v>
      </x:c>
      <x:c r="L115" s="15" t="n">
        <x:f>IF(AND(N115,ISNUMBER(H115),ISNUMBER(I115),H115&gt;0),I115/H115-1,"n.a.")</x:f>
        <x:v>0.07519737869095322</x:v>
      </x:c>
      <x:c r="M115" s="20" t="n">
        <x:f>IF(AND(ISNUMBER(K115),ISNUMBER(L115)),100*(K115-L115),"n.a.")</x:f>
        <x:v>1.5090031413795613</x:v>
      </x:c>
      <x:c r="N115" s="13" t="b">
        <x:v>1</x:v>
      </x:c>
      <x:c r="O115" s="13" t="b">
        <x:v>1</x:v>
      </x:c>
      <x:c r="P115" s="13" t="b">
        <x:v>0</x:v>
      </x:c>
      <x:c r="Q115" s="2" t="str">
        <x:v>legacy_epoch_source_QA_passed; new_common_native_support_not_certified</x:v>
      </x:c>
      <x:c r="R115" s="2" t="str">
        <x:v>legacy_epoch_source_QA_passed; new_common_native_support_not_certified</x:v>
      </x:c>
      <x:c r="S115" s="2" t="str">
        <x:v>inherited2020anchor</x:v>
      </x:c>
      <x:c r="T115" s="2" t="str">
        <x:v>unused2023converted-source comparator</x:v>
      </x:c>
      <x:c r="U115" s="2" t="str">
        <x:v>GFA growth versus source physical quantity growth; constant conversion required for equality</x:v>
      </x:c>
      <x:c r="V115" s="2" t="str">
        <x:v>2020 level is the model anchor; 2023 comparator unused by v16 fit but shares conversion/upstream lineage</x:v>
      </x:c>
      <x:c r="W115" s="2" t="str">
        <x:v>https://arxiv.org/abs/2511.12104</x:v>
      </x:c>
    </x:row>
    <x:row r="116" ht="23" customHeight="1">
      <x:c r="A116" s="2" t="str">
        <x:v>MDA</x:v>
      </x:c>
      <x:c r="B116" s="2" t="str">
        <x:v>Moldova (Republic of)</x:v>
      </x:c>
      <x:c r="C116" s="2" t="str">
        <x:v>TEMPO_PROXY</x:v>
      </x:c>
      <x:c r="D116" s="2" t="n">
        <x:v>2020</x:v>
      </x:c>
      <x:c r="E116" s="2" t="n">
        <x:v>2023</x:v>
      </x:c>
      <x:c r="F116" s="17" t="n">
        <x:v>254566854.8299996</x:v>
      </x:c>
      <x:c r="G116" s="17" t="n">
        <x:v>256986634.83789924</x:v>
      </x:c>
      <x:c r="H116" s="17" t="n">
        <x:v>254566854.8299996</x:v>
      </x:c>
      <x:c r="I116" s="17" t="n">
        <x:v>263817968.88</x:v>
      </x:c>
      <x:c r="J116" s="2" t="str">
        <x:v>m2</x:v>
      </x:c>
      <x:c r="K116" s="15" t="n">
        <x:f>IF(AND(ISNUMBER(F116),ISNUMBER(G116),F116&gt;0),G116/F116-1,"n.a.")</x:f>
        <x:v>0.009505479452600385</x:v>
      </x:c>
      <x:c r="L116" s="15" t="n">
        <x:f>IF(AND(N116,ISNUMBER(H116),ISNUMBER(I116),H116&gt;0),I116/H116-1,"n.a.")</x:f>
        <x:v>0.03634060709191034</x:v>
      </x:c>
      <x:c r="M116" s="20" t="n">
        <x:f>IF(AND(ISNUMBER(K116),ISNUMBER(L116)),100*(K116-L116),"n.a.")</x:f>
        <x:v>-2.6835127639309952</x:v>
      </x:c>
      <x:c r="N116" s="13" t="b">
        <x:v>1</x:v>
      </x:c>
      <x:c r="O116" s="13" t="b">
        <x:v>1</x:v>
      </x:c>
      <x:c r="P116" s="13" t="b">
        <x:v>0</x:v>
      </x:c>
      <x:c r="Q116" s="2" t="str">
        <x:v>legacy_epoch_source_QA_passed; new_common_native_support_not_certified</x:v>
      </x:c>
      <x:c r="R116" s="2" t="str">
        <x:v>legacy_epoch_source_QA_passed; new_common_native_support_not_certified</x:v>
      </x:c>
      <x:c r="S116" s="2" t="str">
        <x:v>inherited2020anchor</x:v>
      </x:c>
      <x:c r="T116" s="2" t="str">
        <x:v>unused2023converted-source comparator</x:v>
      </x:c>
      <x:c r="U116" s="2" t="str">
        <x:v>GFA growth versus source physical quantity growth; constant conversion required for equality</x:v>
      </x:c>
      <x:c r="V116" s="2" t="str">
        <x:v>2020 level is the model anchor; 2023 comparator unused by v16 fit but shares conversion/upstream lineage</x:v>
      </x:c>
      <x:c r="W116" s="2" t="str">
        <x:v>https://arxiv.org/abs/2511.12104</x:v>
      </x:c>
    </x:row>
    <x:row r="117" ht="23" customHeight="1">
      <x:c r="A117" s="2" t="str">
        <x:v>MDG</x:v>
      </x:c>
      <x:c r="B117" s="2" t="str">
        <x:v>Madagascar (Republic of)</x:v>
      </x:c>
      <x:c r="C117" s="2" t="str">
        <x:v>TEMPO_PROXY</x:v>
      </x:c>
      <x:c r="D117" s="2" t="n">
        <x:v>2020</x:v>
      </x:c>
      <x:c r="E117" s="2" t="n">
        <x:v>2023</x:v>
      </x:c>
      <x:c r="F117" s="17" t="n">
        <x:v>360823089.7999994</x:v>
      </x:c>
      <x:c r="G117" s="17" t="n">
        <x:v>409780281.06508857</x:v>
      </x:c>
      <x:c r="H117" s="17" t="n">
        <x:v>360823089.7999994</x:v>
      </x:c>
      <x:c r="I117" s="17" t="n">
        <x:v>378018463.01</x:v>
      </x:c>
      <x:c r="J117" s="2" t="str">
        <x:v>m2</x:v>
      </x:c>
      <x:c r="K117" s="15" t="n">
        <x:f>IF(AND(ISNUMBER(F117),ISNUMBER(G117),F117&gt;0),G117/F117-1,"n.a.")</x:f>
        <x:v>0.1356819800313378</x:v>
      </x:c>
      <x:c r="L117" s="15" t="n">
        <x:f>IF(AND(N117,ISNUMBER(H117),ISNUMBER(I117),H117&gt;0),I117/H117-1,"n.a.")</x:f>
        <x:v>0.04765596686046836</x:v>
      </x:c>
      <x:c r="M117" s="20" t="n">
        <x:f>IF(AND(ISNUMBER(K117),ISNUMBER(L117)),100*(K117-L117),"n.a.")</x:f>
        <x:v>8.802601317086944</x:v>
      </x:c>
      <x:c r="N117" s="13" t="b">
        <x:v>1</x:v>
      </x:c>
      <x:c r="O117" s="13" t="b">
        <x:v>1</x:v>
      </x:c>
      <x:c r="P117" s="13" t="b">
        <x:v>0</x:v>
      </x:c>
      <x:c r="Q117" s="2" t="str">
        <x:v>legacy_epoch_source_QA_passed; new_common_native_support_not_certified</x:v>
      </x:c>
      <x:c r="R117" s="2" t="str">
        <x:v>legacy_epoch_source_QA_passed; new_common_native_support_not_certified</x:v>
      </x:c>
      <x:c r="S117" s="2" t="str">
        <x:v>inherited2020anchor</x:v>
      </x:c>
      <x:c r="T117" s="2" t="str">
        <x:v>unused2023converted-source comparator</x:v>
      </x:c>
      <x:c r="U117" s="2" t="str">
        <x:v>GFA growth versus source physical quantity growth; constant conversion required for equality</x:v>
      </x:c>
      <x:c r="V117" s="2" t="str">
        <x:v>2020 level is the model anchor; 2023 comparator unused by v16 fit but shares conversion/upstream lineage</x:v>
      </x:c>
      <x:c r="W117" s="2" t="str">
        <x:v>https://arxiv.org/abs/2511.12104</x:v>
      </x:c>
    </x:row>
    <x:row r="118" ht="23" customHeight="1">
      <x:c r="A118" s="2" t="str">
        <x:v>MDV</x:v>
      </x:c>
      <x:c r="B118" s="2" t="str">
        <x:v>Maldives (Republic of)</x:v>
      </x:c>
      <x:c r="C118" s="2" t="str">
        <x:v>TEMPO_PROXY</x:v>
      </x:c>
      <x:c r="D118" s="2" t="n">
        <x:v>2020</x:v>
      </x:c>
      <x:c r="E118" s="2" t="n">
        <x:v>2023</x:v>
      </x:c>
      <x:c r="F118" s="17" t="n">
        <x:v>2206666.830000001</x:v>
      </x:c>
      <x:c r="G118" s="17" t="n">
        <x:v>2547252.166048249</x:v>
      </x:c>
      <x:c r="H118" s="17" t="n">
        <x:v>2206666.830000001</x:v>
      </x:c>
      <x:c r="I118" s="17" t="n">
        <x:v>2297643.44</x:v>
      </x:c>
      <x:c r="J118" s="2" t="str">
        <x:v>m2</x:v>
      </x:c>
      <x:c r="K118" s="15" t="n">
        <x:f>IF(AND(ISNUMBER(F118),ISNUMBER(G118),F118&gt;0),G118/F118-1,"n.a.")</x:f>
        <x:v>0.15434379645261087</x:v>
      </x:c>
      <x:c r="L118" s="15" t="n">
        <x:f>IF(AND(N118,ISNUMBER(H118),ISNUMBER(I118),H118&gt;0),I118/H118-1,"n.a.")</x:f>
        <x:v>0.04122806794535405</x:v>
      </x:c>
      <x:c r="M118" s="20" t="n">
        <x:f>IF(AND(ISNUMBER(K118),ISNUMBER(L118)),100*(K118-L118),"n.a.")</x:f>
        <x:v>11.311572850725682</x:v>
      </x:c>
      <x:c r="N118" s="13" t="b">
        <x:v>1</x:v>
      </x:c>
      <x:c r="O118" s="13" t="b">
        <x:v>1</x:v>
      </x:c>
      <x:c r="P118" s="13" t="b">
        <x:v>0</x:v>
      </x:c>
      <x:c r="Q118" s="2" t="str">
        <x:v>legacy_epoch_source_QA_passed; new_common_native_support_not_certified</x:v>
      </x:c>
      <x:c r="R118" s="2" t="str">
        <x:v>legacy_epoch_source_QA_passed; new_common_native_support_not_certified</x:v>
      </x:c>
      <x:c r="S118" s="2" t="str">
        <x:v>inherited2020anchor</x:v>
      </x:c>
      <x:c r="T118" s="2" t="str">
        <x:v>unused2023converted-source comparator</x:v>
      </x:c>
      <x:c r="U118" s="2" t="str">
        <x:v>GFA growth versus source physical quantity growth; constant conversion required for equality</x:v>
      </x:c>
      <x:c r="V118" s="2" t="str">
        <x:v>2020 level is the model anchor; 2023 comparator unused by v16 fit but shares conversion/upstream lineage</x:v>
      </x:c>
      <x:c r="W118" s="2" t="str">
        <x:v>https://arxiv.org/abs/2511.12104</x:v>
      </x:c>
    </x:row>
    <x:row r="119" ht="23" customHeight="1">
      <x:c r="A119" s="2" t="str">
        <x:v>MEX</x:v>
      </x:c>
      <x:c r="B119" s="2" t="str">
        <x:v>Mexico (United Mexican States)</x:v>
      </x:c>
      <x:c r="C119" s="2" t="str">
        <x:v>TEMPO_PROXY</x:v>
      </x:c>
      <x:c r="D119" s="2" t="n">
        <x:v>2020</x:v>
      </x:c>
      <x:c r="E119" s="2" t="n">
        <x:v>2023</x:v>
      </x:c>
      <x:c r="F119" s="17" t="n">
        <x:v>6345872319.039995</x:v>
      </x:c>
      <x:c r="G119" s="17" t="n">
        <x:v>6748020920.092563</x:v>
      </x:c>
      <x:c r="H119" s="17" t="n">
        <x:v>6345872319.039995</x:v>
      </x:c>
      <x:c r="I119" s="17" t="n">
        <x:v>6761919820.05</x:v>
      </x:c>
      <x:c r="J119" s="2" t="str">
        <x:v>m2</x:v>
      </x:c>
      <x:c r="K119" s="15" t="n">
        <x:f>IF(AND(ISNUMBER(F119),ISNUMBER(G119),F119&gt;0),G119/F119-1,"n.a.")</x:f>
        <x:v>0.06337168175381835</x:v>
      </x:c>
      <x:c r="L119" s="15" t="n">
        <x:f>IF(AND(N119,ISNUMBER(H119),ISNUMBER(I119),H119&gt;0),I119/H119-1,"n.a.")</x:f>
        <x:v>0.06556190860659239</x:v>
      </x:c>
      <x:c r="M119" s="20" t="n">
        <x:f>IF(AND(ISNUMBER(K119),ISNUMBER(L119)),100*(K119-L119),"n.a.")</x:f>
        <x:v>-0.21902268527740354</x:v>
      </x:c>
      <x:c r="N119" s="13" t="b">
        <x:v>1</x:v>
      </x:c>
      <x:c r="O119" s="13" t="b">
        <x:v>1</x:v>
      </x:c>
      <x:c r="P119" s="13" t="b">
        <x:v>0</x:v>
      </x:c>
      <x:c r="Q119" s="2" t="str">
        <x:v>legacy_epoch_source_QA_passed; new_common_native_support_not_certified</x:v>
      </x:c>
      <x:c r="R119" s="2" t="str">
        <x:v>legacy_epoch_source_QA_passed; new_common_native_support_not_certified</x:v>
      </x:c>
      <x:c r="S119" s="2" t="str">
        <x:v>inherited2020anchor</x:v>
      </x:c>
      <x:c r="T119" s="2" t="str">
        <x:v>unused2023converted-source comparator</x:v>
      </x:c>
      <x:c r="U119" s="2" t="str">
        <x:v>GFA growth versus source physical quantity growth; constant conversion required for equality</x:v>
      </x:c>
      <x:c r="V119" s="2" t="str">
        <x:v>2020 level is the model anchor; 2023 comparator unused by v16 fit but shares conversion/upstream lineage</x:v>
      </x:c>
      <x:c r="W119" s="2" t="str">
        <x:v>https://arxiv.org/abs/2511.12104</x:v>
      </x:c>
    </x:row>
    <x:row r="120" ht="23" customHeight="1">
      <x:c r="A120" s="2" t="str">
        <x:v>MHL</x:v>
      </x:c>
      <x:c r="B120" s="2" t="str">
        <x:v>Marshall Islands (Republic of the)</x:v>
      </x:c>
      <x:c r="C120" s="2" t="str">
        <x:v>TEMPO_PROXY</x:v>
      </x:c>
      <x:c r="D120" s="2" t="n">
        <x:v>2020</x:v>
      </x:c>
      <x:c r="E120" s="2" t="n">
        <x:v>2023</x:v>
      </x:c>
      <x:c r="F120" s="17" t="n">
        <x:v>198896.74</x:v>
      </x:c>
      <x:c r="G120" s="17" t="n">
        <x:v>200822.6318928674</x:v>
      </x:c>
      <x:c r="H120" s="17" t="n">
        <x:v>198896.74</x:v>
      </x:c>
      <x:c r="I120" s="17" t="n">
        <x:v>198378.32</x:v>
      </x:c>
      <x:c r="J120" s="2" t="str">
        <x:v>m2</x:v>
      </x:c>
      <x:c r="K120" s="15" t="n">
        <x:f>IF(AND(ISNUMBER(F120),ISNUMBER(G120),F120&gt;0),G120/F120-1,"n.a.")</x:f>
        <x:v>0.00968287309720317</x:v>
      </x:c>
      <x:c r="L120" s="15" t="n">
        <x:f>IF(AND(N120,ISNUMBER(H120),ISNUMBER(I120),H120&gt;0),I120/H120-1,"n.a.")</x:f>
        <x:v>-0.0026064781152269623</x:v>
      </x:c>
      <x:c r="M120" s="20" t="n">
        <x:f>IF(AND(ISNUMBER(K120),ISNUMBER(L120)),100*(K120-L120),"n.a.")</x:f>
        <x:v>1.2289351212430133</x:v>
      </x:c>
      <x:c r="N120" s="13" t="b">
        <x:v>1</x:v>
      </x:c>
      <x:c r="O120" s="13" t="b">
        <x:v>1</x:v>
      </x:c>
      <x:c r="P120" s="13" t="b">
        <x:v>0</x:v>
      </x:c>
      <x:c r="Q120" s="2" t="str">
        <x:v>legacy_epoch_source_QA_passed; new_common_native_support_not_certified</x:v>
      </x:c>
      <x:c r="R120" s="2" t="str">
        <x:v>legacy_epoch_source_QA_passed; new_common_native_support_not_certified</x:v>
      </x:c>
      <x:c r="S120" s="2" t="str">
        <x:v>inherited2020anchor</x:v>
      </x:c>
      <x:c r="T120" s="2" t="str">
        <x:v>unused2023converted-source comparator</x:v>
      </x:c>
      <x:c r="U120" s="2" t="str">
        <x:v>GFA growth versus source physical quantity growth; constant conversion required for equality</x:v>
      </x:c>
      <x:c r="V120" s="2" t="str">
        <x:v>2020 level is the model anchor; 2023 comparator unused by v16 fit but shares conversion/upstream lineage</x:v>
      </x:c>
      <x:c r="W120" s="2" t="str">
        <x:v>https://arxiv.org/abs/2511.12104</x:v>
      </x:c>
    </x:row>
    <x:row r="121" ht="23" customHeight="1">
      <x:c r="A121" s="2" t="str">
        <x:v>MKD</x:v>
      </x:c>
      <x:c r="B121" s="2" t="str">
        <x:v>North Macedonia (Republic of)</x:v>
      </x:c>
      <x:c r="C121" s="2" t="str">
        <x:v>TEMPO_PROXY</x:v>
      </x:c>
      <x:c r="D121" s="2" t="n">
        <x:v>2020</x:v>
      </x:c>
      <x:c r="E121" s="2" t="n">
        <x:v>2023</x:v>
      </x:c>
      <x:c r="F121" s="17" t="n">
        <x:v>122189801.58999982</x:v>
      </x:c>
      <x:c r="G121" s="17" t="n">
        <x:v>125152275.58989622</x:v>
      </x:c>
      <x:c r="H121" s="17" t="n">
        <x:v>122189801.58999982</x:v>
      </x:c>
      <x:c r="I121" s="17" t="n">
        <x:v>129543726.26</x:v>
      </x:c>
      <x:c r="J121" s="2" t="str">
        <x:v>m2</x:v>
      </x:c>
      <x:c r="K121" s="15" t="n">
        <x:f>IF(AND(ISNUMBER(F121),ISNUMBER(G121),F121&gt;0),G121/F121-1,"n.a.")</x:f>
        <x:v>0.024244854818872508</x:v>
      </x:c>
      <x:c r="L121" s="15" t="n">
        <x:f>IF(AND(N121,ISNUMBER(H121),ISNUMBER(I121),H121&gt;0),I121/H121-1,"n.a.")</x:f>
        <x:v>0.06018443908007809</x:v>
      </x:c>
      <x:c r="M121" s="20" t="n">
        <x:f>IF(AND(ISNUMBER(K121),ISNUMBER(L121)),100*(K121-L121),"n.a.")</x:f>
        <x:v>-3.593958426120558</x:v>
      </x:c>
      <x:c r="N121" s="13" t="b">
        <x:v>1</x:v>
      </x:c>
      <x:c r="O121" s="13" t="b">
        <x:v>1</x:v>
      </x:c>
      <x:c r="P121" s="13" t="b">
        <x:v>0</x:v>
      </x:c>
      <x:c r="Q121" s="2" t="str">
        <x:v>legacy_epoch_source_QA_passed; new_common_native_support_not_certified</x:v>
      </x:c>
      <x:c r="R121" s="2" t="str">
        <x:v>legacy_epoch_source_QA_passed; new_common_native_support_not_certified</x:v>
      </x:c>
      <x:c r="S121" s="2" t="str">
        <x:v>inherited2020anchor</x:v>
      </x:c>
      <x:c r="T121" s="2" t="str">
        <x:v>unused2023converted-source comparator</x:v>
      </x:c>
      <x:c r="U121" s="2" t="str">
        <x:v>GFA growth versus source physical quantity growth; constant conversion required for equality</x:v>
      </x:c>
      <x:c r="V121" s="2" t="str">
        <x:v>2020 level is the model anchor; 2023 comparator unused by v16 fit but shares conversion/upstream lineage</x:v>
      </x:c>
      <x:c r="W121" s="2" t="str">
        <x:v>https://arxiv.org/abs/2511.12104</x:v>
      </x:c>
    </x:row>
    <x:row r="122" ht="23" customHeight="1">
      <x:c r="A122" s="2" t="str">
        <x:v>MLI</x:v>
      </x:c>
      <x:c r="B122" s="2" t="str">
        <x:v>Mali (Republic of)</x:v>
      </x:c>
      <x:c r="C122" s="2" t="str">
        <x:v>TEMPO_PROXY</x:v>
      </x:c>
      <x:c r="D122" s="2" t="n">
        <x:v>2020</x:v>
      </x:c>
      <x:c r="E122" s="2" t="n">
        <x:v>2023</x:v>
      </x:c>
      <x:c r="F122" s="17" t="n">
        <x:v>323707340.7500005</x:v>
      </x:c>
      <x:c r="G122" s="17" t="n">
        <x:v>360443344.9314102</x:v>
      </x:c>
      <x:c r="H122" s="17" t="n">
        <x:v>323707340.7500005</x:v>
      </x:c>
      <x:c r="I122" s="17" t="n">
        <x:v>362765496.2</x:v>
      </x:c>
      <x:c r="J122" s="2" t="str">
        <x:v>m2</x:v>
      </x:c>
      <x:c r="K122" s="15" t="n">
        <x:f>IF(AND(ISNUMBER(F122),ISNUMBER(G122),F122&gt;0),G122/F122-1,"n.a.")</x:f>
        <x:v>0.11348523668414723</x:v>
      </x:c>
      <x:c r="L122" s="15" t="n">
        <x:f>IF(AND(N122,ISNUMBER(H122),ISNUMBER(I122),H122&gt;0),I122/H122-1,"n.a.")</x:f>
        <x:v>0.12065884993372511</x:v>
      </x:c>
      <x:c r="M122" s="20" t="n">
        <x:f>IF(AND(ISNUMBER(K122),ISNUMBER(L122)),100*(K122-L122),"n.a.")</x:f>
        <x:v>-0.7173613249577881</x:v>
      </x:c>
      <x:c r="N122" s="13" t="b">
        <x:v>1</x:v>
      </x:c>
      <x:c r="O122" s="13" t="b">
        <x:v>1</x:v>
      </x:c>
      <x:c r="P122" s="13" t="b">
        <x:v>0</x:v>
      </x:c>
      <x:c r="Q122" s="2" t="str">
        <x:v>legacy_epoch_source_QA_passed; new_common_native_support_not_certified</x:v>
      </x:c>
      <x:c r="R122" s="2" t="str">
        <x:v>legacy_epoch_source_QA_passed; new_common_native_support_not_certified</x:v>
      </x:c>
      <x:c r="S122" s="2" t="str">
        <x:v>inherited2020anchor</x:v>
      </x:c>
      <x:c r="T122" s="2" t="str">
        <x:v>unused2023converted-source comparator</x:v>
      </x:c>
      <x:c r="U122" s="2" t="str">
        <x:v>GFA growth versus source physical quantity growth; constant conversion required for equality</x:v>
      </x:c>
      <x:c r="V122" s="2" t="str">
        <x:v>2020 level is the model anchor; 2023 comparator unused by v16 fit but shares conversion/upstream lineage</x:v>
      </x:c>
      <x:c r="W122" s="2" t="str">
        <x:v>https://arxiv.org/abs/2511.12104</x:v>
      </x:c>
    </x:row>
    <x:row r="123" ht="23" customHeight="1">
      <x:c r="A123" s="2" t="str">
        <x:v>MLT</x:v>
      </x:c>
      <x:c r="B123" s="2" t="str">
        <x:v>Malta (Republic of)</x:v>
      </x:c>
      <x:c r="C123" s="2" t="str">
        <x:v>TEMPO_PROXY</x:v>
      </x:c>
      <x:c r="D123" s="2" t="n">
        <x:v>2020</x:v>
      </x:c>
      <x:c r="E123" s="2" t="n">
        <x:v>2023</x:v>
      </x:c>
      <x:c r="F123" s="17" t="n">
        <x:v>35087387.829999976</x:v>
      </x:c>
      <x:c r="G123" s="17" t="n">
        <x:v>38205817.79602839</x:v>
      </x:c>
      <x:c r="H123" s="17" t="n">
        <x:v>35087387.829999976</x:v>
      </x:c>
      <x:c r="I123" s="17" t="n">
        <x:v>32991118.92</x:v>
      </x:c>
      <x:c r="J123" s="2" t="str">
        <x:v>m2</x:v>
      </x:c>
      <x:c r="K123" s="15" t="n">
        <x:f>IF(AND(ISNUMBER(F123),ISNUMBER(G123),F123&gt;0),G123/F123-1,"n.a.")</x:f>
        <x:v>0.08887609363049065</x:v>
      </x:c>
      <x:c r="L123" s="15" t="n">
        <x:f>IF(AND(N123,ISNUMBER(H123),ISNUMBER(I123),H123&gt;0),I123/H123-1,"n.a.")</x:f>
        <x:v>-0.05974422832946402</x:v>
      </x:c>
      <x:c r="M123" s="20" t="n">
        <x:f>IF(AND(ISNUMBER(K123),ISNUMBER(L123)),100*(K123-L123),"n.a.")</x:f>
        <x:v>14.862032195995468</x:v>
      </x:c>
      <x:c r="N123" s="13" t="b">
        <x:v>1</x:v>
      </x:c>
      <x:c r="O123" s="13" t="b">
        <x:v>1</x:v>
      </x:c>
      <x:c r="P123" s="13" t="b">
        <x:v>0</x:v>
      </x:c>
      <x:c r="Q123" s="2" t="str">
        <x:v>legacy_epoch_source_QA_passed; new_common_native_support_not_certified</x:v>
      </x:c>
      <x:c r="R123" s="2" t="str">
        <x:v>legacy_epoch_source_QA_passed; new_common_native_support_not_certified</x:v>
      </x:c>
      <x:c r="S123" s="2" t="str">
        <x:v>inherited2020anchor</x:v>
      </x:c>
      <x:c r="T123" s="2" t="str">
        <x:v>unused2023converted-source comparator</x:v>
      </x:c>
      <x:c r="U123" s="2" t="str">
        <x:v>GFA growth versus source physical quantity growth; constant conversion required for equality</x:v>
      </x:c>
      <x:c r="V123" s="2" t="str">
        <x:v>2020 level is the model anchor; 2023 comparator unused by v16 fit but shares conversion/upstream lineage</x:v>
      </x:c>
      <x:c r="W123" s="2" t="str">
        <x:v>https://arxiv.org/abs/2511.12104</x:v>
      </x:c>
    </x:row>
    <x:row r="124" ht="23" customHeight="1">
      <x:c r="A124" s="2" t="str">
        <x:v>MMR</x:v>
      </x:c>
      <x:c r="B124" s="2" t="str">
        <x:v>Myanmar (Republic of the Union of)</x:v>
      </x:c>
      <x:c r="C124" s="2" t="str">
        <x:v>TEMPO_PROXY</x:v>
      </x:c>
      <x:c r="D124" s="2" t="n">
        <x:v>2020</x:v>
      </x:c>
      <x:c r="E124" s="2" t="n">
        <x:v>2023</x:v>
      </x:c>
      <x:c r="F124" s="17" t="n">
        <x:v>1377164281.6799977</x:v>
      </x:c>
      <x:c r="G124" s="17" t="n">
        <x:v>1519827384.5030234</x:v>
      </x:c>
      <x:c r="H124" s="17" t="n">
        <x:v>1377164281.6799977</x:v>
      </x:c>
      <x:c r="I124" s="17" t="n">
        <x:v>1522255806.33</x:v>
      </x:c>
      <x:c r="J124" s="2" t="str">
        <x:v>m2</x:v>
      </x:c>
      <x:c r="K124" s="15" t="n">
        <x:f>IF(AND(ISNUMBER(F124),ISNUMBER(G124),F124&gt;0),G124/F124-1,"n.a.")</x:f>
        <x:v>0.10359192779019177</x:v>
      </x:c>
      <x:c r="L124" s="15" t="n">
        <x:f>IF(AND(N124,ISNUMBER(H124),ISNUMBER(I124),H124&gt;0),I124/H124-1,"n.a.")</x:f>
        <x:v>0.10535527720266291</x:v>
      </x:c>
      <x:c r="M124" s="20" t="n">
        <x:f>IF(AND(ISNUMBER(K124),ISNUMBER(L124)),100*(K124-L124),"n.a.")</x:f>
        <x:v>-0.1763349412471138</x:v>
      </x:c>
      <x:c r="N124" s="13" t="b">
        <x:v>1</x:v>
      </x:c>
      <x:c r="O124" s="13" t="b">
        <x:v>1</x:v>
      </x:c>
      <x:c r="P124" s="13" t="b">
        <x:v>0</x:v>
      </x:c>
      <x:c r="Q124" s="2" t="str">
        <x:v>legacy_epoch_source_QA_passed; new_common_native_support_not_certified</x:v>
      </x:c>
      <x:c r="R124" s="2" t="str">
        <x:v>legacy_epoch_source_QA_passed; new_common_native_support_not_certified</x:v>
      </x:c>
      <x:c r="S124" s="2" t="str">
        <x:v>inherited2020anchor</x:v>
      </x:c>
      <x:c r="T124" s="2" t="str">
        <x:v>unused2023converted-source comparator</x:v>
      </x:c>
      <x:c r="U124" s="2" t="str">
        <x:v>GFA growth versus source physical quantity growth; constant conversion required for equality</x:v>
      </x:c>
      <x:c r="V124" s="2" t="str">
        <x:v>2020 level is the model anchor; 2023 comparator unused by v16 fit but shares conversion/upstream lineage</x:v>
      </x:c>
      <x:c r="W124" s="2" t="str">
        <x:v>https://arxiv.org/abs/2511.12104</x:v>
      </x:c>
    </x:row>
    <x:row r="125" ht="23" customHeight="1">
      <x:c r="A125" s="2" t="str">
        <x:v>MNE</x:v>
      </x:c>
      <x:c r="B125" s="2" t="str">
        <x:v>Montenegro</x:v>
      </x:c>
      <x:c r="C125" s="2" t="str">
        <x:v>TEMPO_PROXY</x:v>
      </x:c>
      <x:c r="D125" s="2" t="n">
        <x:v>2020</x:v>
      </x:c>
      <x:c r="E125" s="2" t="n">
        <x:v>2023</x:v>
      </x:c>
      <x:c r="F125" s="17" t="n">
        <x:v>39447648.85999995</x:v>
      </x:c>
      <x:c r="G125" s="17" t="n">
        <x:v>42427910.89336175</x:v>
      </x:c>
      <x:c r="H125" s="17" t="n">
        <x:v>39447648.85999995</x:v>
      </x:c>
      <x:c r="I125" s="17" t="n">
        <x:v>42323390.44</x:v>
      </x:c>
      <x:c r="J125" s="2" t="str">
        <x:v>m2</x:v>
      </x:c>
      <x:c r="K125" s="15" t="n">
        <x:f>IF(AND(ISNUMBER(F125),ISNUMBER(G125),F125&gt;0),G125/F125-1,"n.a.")</x:f>
        <x:v>0.07554980130599875</x:v>
      </x:c>
      <x:c r="L125" s="15" t="n">
        <x:f>IF(AND(N125,ISNUMBER(H125),ISNUMBER(I125),H125&gt;0),I125/H125-1,"n.a.")</x:f>
        <x:v>0.07290020224541349</x:v>
      </x:c>
      <x:c r="M125" s="20" t="n">
        <x:f>IF(AND(ISNUMBER(K125),ISNUMBER(L125)),100*(K125-L125),"n.a.")</x:f>
        <x:v>0.26495990605852615</x:v>
      </x:c>
      <x:c r="N125" s="13" t="b">
        <x:v>1</x:v>
      </x:c>
      <x:c r="O125" s="13" t="b">
        <x:v>1</x:v>
      </x:c>
      <x:c r="P125" s="13" t="b">
        <x:v>0</x:v>
      </x:c>
      <x:c r="Q125" s="2" t="str">
        <x:v>legacy_epoch_source_QA_passed; new_common_native_support_not_certified</x:v>
      </x:c>
      <x:c r="R125" s="2" t="str">
        <x:v>legacy_epoch_source_QA_passed; new_common_native_support_not_certified</x:v>
      </x:c>
      <x:c r="S125" s="2" t="str">
        <x:v>inherited2020anchor</x:v>
      </x:c>
      <x:c r="T125" s="2" t="str">
        <x:v>unused2023converted-source comparator</x:v>
      </x:c>
      <x:c r="U125" s="2" t="str">
        <x:v>GFA growth versus source physical quantity growth; constant conversion required for equality</x:v>
      </x:c>
      <x:c r="V125" s="2" t="str">
        <x:v>2020 level is the model anchor; 2023 comparator unused by v16 fit but shares conversion/upstream lineage</x:v>
      </x:c>
      <x:c r="W125" s="2" t="str">
        <x:v>https://arxiv.org/abs/2511.12104</x:v>
      </x:c>
    </x:row>
    <x:row r="126" ht="23" customHeight="1">
      <x:c r="A126" s="2" t="str">
        <x:v>MNG</x:v>
      </x:c>
      <x:c r="B126" s="2" t="str">
        <x:v>Mongolia</x:v>
      </x:c>
      <x:c r="C126" s="2" t="str">
        <x:v>TEMPO_PROXY</x:v>
      </x:c>
      <x:c r="D126" s="2" t="n">
        <x:v>2020</x:v>
      </x:c>
      <x:c r="E126" s="2" t="n">
        <x:v>2023</x:v>
      </x:c>
      <x:c r="F126" s="17" t="n">
        <x:v>83342838.68000013</x:v>
      </x:c>
      <x:c r="G126" s="17" t="n">
        <x:v>90292994.45228642</x:v>
      </x:c>
      <x:c r="H126" s="17" t="n">
        <x:v>83342838.68000013</x:v>
      </x:c>
      <x:c r="I126" s="17" t="n">
        <x:v>98082505.33</x:v>
      </x:c>
      <x:c r="J126" s="2" t="str">
        <x:v>m2</x:v>
      </x:c>
      <x:c r="K126" s="15" t="n">
        <x:f>IF(AND(ISNUMBER(F126),ISNUMBER(G126),F126&gt;0),G126/F126-1,"n.a.")</x:f>
        <x:v>0.08339235718826243</x:v>
      </x:c>
      <x:c r="L126" s="15" t="n">
        <x:f>IF(AND(N126,ISNUMBER(H126),ISNUMBER(I126),H126&gt;0),I126/H126-1,"n.a.")</x:f>
        <x:v>0.17685582688866308</x:v>
      </x:c>
      <x:c r="M126" s="20" t="n">
        <x:f>IF(AND(ISNUMBER(K126),ISNUMBER(L126)),100*(K126-L126),"n.a.")</x:f>
        <x:v>-9.346346970040065</x:v>
      </x:c>
      <x:c r="N126" s="13" t="b">
        <x:v>1</x:v>
      </x:c>
      <x:c r="O126" s="13" t="b">
        <x:v>1</x:v>
      </x:c>
      <x:c r="P126" s="13" t="b">
        <x:v>0</x:v>
      </x:c>
      <x:c r="Q126" s="2" t="str">
        <x:v>legacy_epoch_source_QA_passed; new_common_native_support_not_certified</x:v>
      </x:c>
      <x:c r="R126" s="2" t="str">
        <x:v>legacy_epoch_source_QA_passed; new_common_native_support_not_certified</x:v>
      </x:c>
      <x:c r="S126" s="2" t="str">
        <x:v>inherited2020anchor</x:v>
      </x:c>
      <x:c r="T126" s="2" t="str">
        <x:v>unused2023converted-source comparator</x:v>
      </x:c>
      <x:c r="U126" s="2" t="str">
        <x:v>GFA growth versus source physical quantity growth; constant conversion required for equality</x:v>
      </x:c>
      <x:c r="V126" s="2" t="str">
        <x:v>2020 level is the model anchor; 2023 comparator unused by v16 fit but shares conversion/upstream lineage</x:v>
      </x:c>
      <x:c r="W126" s="2" t="str">
        <x:v>https://arxiv.org/abs/2511.12104</x:v>
      </x:c>
    </x:row>
    <x:row r="127" ht="23" customHeight="1">
      <x:c r="A127" s="2" t="str">
        <x:v>MOZ</x:v>
      </x:c>
      <x:c r="B127" s="2" t="str">
        <x:v>Mozambique (Republic of)</x:v>
      </x:c>
      <x:c r="C127" s="2" t="str">
        <x:v>TEMPO_PROXY</x:v>
      </x:c>
      <x:c r="D127" s="2" t="n">
        <x:v>2020</x:v>
      </x:c>
      <x:c r="E127" s="2" t="n">
        <x:v>2023</x:v>
      </x:c>
      <x:c r="F127" s="17" t="n">
        <x:v>540811235.5300008</x:v>
      </x:c>
      <x:c r="G127" s="17" t="n">
        <x:v>593659095.3970346</x:v>
      </x:c>
      <x:c r="H127" s="17" t="n">
        <x:v>540811235.5300008</x:v>
      </x:c>
      <x:c r="I127" s="17" t="n">
        <x:v>565747554.16</x:v>
      </x:c>
      <x:c r="J127" s="2" t="str">
        <x:v>m2</x:v>
      </x:c>
      <x:c r="K127" s="15" t="n">
        <x:f>IF(AND(ISNUMBER(F127),ISNUMBER(G127),F127&gt;0),G127/F127-1,"n.a.")</x:f>
        <x:v>0.09771960417065362</x:v>
      </x:c>
      <x:c r="L127" s="15" t="n">
        <x:f>IF(AND(N127,ISNUMBER(H127),ISNUMBER(I127),H127&gt;0),I127/H127-1,"n.a.")</x:f>
        <x:v>0.046109098686829775</x:v>
      </x:c>
      <x:c r="M127" s="20" t="n">
        <x:f>IF(AND(ISNUMBER(K127),ISNUMBER(L127)),100*(K127-L127),"n.a.")</x:f>
        <x:v>5.161050548382384</x:v>
      </x:c>
      <x:c r="N127" s="13" t="b">
        <x:v>1</x:v>
      </x:c>
      <x:c r="O127" s="13" t="b">
        <x:v>1</x:v>
      </x:c>
      <x:c r="P127" s="13" t="b">
        <x:v>0</x:v>
      </x:c>
      <x:c r="Q127" s="2" t="str">
        <x:v>legacy_epoch_source_QA_passed; new_common_native_support_not_certified</x:v>
      </x:c>
      <x:c r="R127" s="2" t="str">
        <x:v>legacy_epoch_source_QA_passed; new_common_native_support_not_certified</x:v>
      </x:c>
      <x:c r="S127" s="2" t="str">
        <x:v>inherited2020anchor</x:v>
      </x:c>
      <x:c r="T127" s="2" t="str">
        <x:v>unused2023converted-source comparator</x:v>
      </x:c>
      <x:c r="U127" s="2" t="str">
        <x:v>GFA growth versus source physical quantity growth; constant conversion required for equality</x:v>
      </x:c>
      <x:c r="V127" s="2" t="str">
        <x:v>2020 level is the model anchor; 2023 comparator unused by v16 fit but shares conversion/upstream lineage</x:v>
      </x:c>
      <x:c r="W127" s="2" t="str">
        <x:v>https://arxiv.org/abs/2511.12104</x:v>
      </x:c>
    </x:row>
    <x:row r="128" ht="23" customHeight="1">
      <x:c r="A128" s="2" t="str">
        <x:v>MRT</x:v>
      </x:c>
      <x:c r="B128" s="2" t="str">
        <x:v>Mauritania (Islamic Republic of)</x:v>
      </x:c>
      <x:c r="C128" s="2" t="str">
        <x:v>TEMPO_PROXY</x:v>
      </x:c>
      <x:c r="D128" s="2" t="n">
        <x:v>2020</x:v>
      </x:c>
      <x:c r="E128" s="2" t="n">
        <x:v>2023</x:v>
      </x:c>
      <x:c r="F128" s="17" t="n">
        <x:v>97384454.07000008</x:v>
      </x:c>
      <x:c r="G128" s="17" t="n">
        <x:v>108768070.37373576</x:v>
      </x:c>
      <x:c r="H128" s="17" t="n">
        <x:v>97384454.07000008</x:v>
      </x:c>
      <x:c r="I128" s="17" t="n">
        <x:v>109421965.67</x:v>
      </x:c>
      <x:c r="J128" s="2" t="str">
        <x:v>m2</x:v>
      </x:c>
      <x:c r="K128" s="15" t="n">
        <x:f>IF(AND(ISNUMBER(F128),ISNUMBER(G128),F128&gt;0),G128/F128-1,"n.a.")</x:f>
        <x:v>0.11689356799754824</x:v>
      </x:c>
      <x:c r="L128" s="15" t="n">
        <x:f>IF(AND(N128,ISNUMBER(H128),ISNUMBER(I128),H128&gt;0),I128/H128-1,"n.a.")</x:f>
        <x:v>0.1236081437736185</x:v>
      </x:c>
      <x:c r="M128" s="20" t="n">
        <x:f>IF(AND(ISNUMBER(K128),ISNUMBER(L128)),100*(K128-L128),"n.a.")</x:f>
        <x:v>-0.6714575776070264</x:v>
      </x:c>
      <x:c r="N128" s="13" t="b">
        <x:v>1</x:v>
      </x:c>
      <x:c r="O128" s="13" t="b">
        <x:v>1</x:v>
      </x:c>
      <x:c r="P128" s="13" t="b">
        <x:v>0</x:v>
      </x:c>
      <x:c r="Q128" s="2" t="str">
        <x:v>legacy_epoch_source_QA_passed; new_common_native_support_not_certified</x:v>
      </x:c>
      <x:c r="R128" s="2" t="str">
        <x:v>legacy_epoch_source_QA_passed; new_common_native_support_not_certified</x:v>
      </x:c>
      <x:c r="S128" s="2" t="str">
        <x:v>inherited2020anchor</x:v>
      </x:c>
      <x:c r="T128" s="2" t="str">
        <x:v>unused2023converted-source comparator</x:v>
      </x:c>
      <x:c r="U128" s="2" t="str">
        <x:v>GFA growth versus source physical quantity growth; constant conversion required for equality</x:v>
      </x:c>
      <x:c r="V128" s="2" t="str">
        <x:v>2020 level is the model anchor; 2023 comparator unused by v16 fit but shares conversion/upstream lineage</x:v>
      </x:c>
      <x:c r="W128" s="2" t="str">
        <x:v>https://arxiv.org/abs/2511.12104</x:v>
      </x:c>
    </x:row>
    <x:row r="129" ht="23" customHeight="1">
      <x:c r="A129" s="2" t="str">
        <x:v>MUS</x:v>
      </x:c>
      <x:c r="B129" s="2" t="str">
        <x:v>Mauritius (Republic of)</x:v>
      </x:c>
      <x:c r="C129" s="2" t="str">
        <x:v>TEMPO_PROXY</x:v>
      </x:c>
      <x:c r="D129" s="2" t="n">
        <x:v>2020</x:v>
      </x:c>
      <x:c r="E129" s="2" t="n">
        <x:v>2023</x:v>
      </x:c>
      <x:c r="F129" s="17" t="n">
        <x:v>65152566.7100001</x:v>
      </x:c>
      <x:c r="G129" s="17" t="n">
        <x:v>68085283.2917745</x:v>
      </x:c>
      <x:c r="H129" s="17" t="n">
        <x:v>65152566.7100001</x:v>
      </x:c>
      <x:c r="I129" s="17" t="n">
        <x:v>67601899.3</x:v>
      </x:c>
      <x:c r="J129" s="2" t="str">
        <x:v>m2</x:v>
      </x:c>
      <x:c r="K129" s="15" t="n">
        <x:f>IF(AND(ISNUMBER(F129),ISNUMBER(G129),F129&gt;0),G129/F129-1,"n.a.")</x:f>
        <x:v>0.045013062874839305</x:v>
      </x:c>
      <x:c r="L129" s="15" t="n">
        <x:f>IF(AND(N129,ISNUMBER(H129),ISNUMBER(I129),H129&gt;0),I129/H129-1,"n.a.")</x:f>
        <x:v>0.0375938004238896</x:v>
      </x:c>
      <x:c r="M129" s="20" t="n">
        <x:f>IF(AND(ISNUMBER(K129),ISNUMBER(L129)),100*(K129-L129),"n.a.")</x:f>
        <x:v>0.7419262450949704</x:v>
      </x:c>
      <x:c r="N129" s="13" t="b">
        <x:v>1</x:v>
      </x:c>
      <x:c r="O129" s="13" t="b">
        <x:v>1</x:v>
      </x:c>
      <x:c r="P129" s="13" t="b">
        <x:v>0</x:v>
      </x:c>
      <x:c r="Q129" s="2" t="str">
        <x:v>legacy_epoch_source_QA_passed; new_common_native_support_not_certified</x:v>
      </x:c>
      <x:c r="R129" s="2" t="str">
        <x:v>legacy_epoch_source_QA_passed; new_common_native_support_not_certified</x:v>
      </x:c>
      <x:c r="S129" s="2" t="str">
        <x:v>inherited2020anchor</x:v>
      </x:c>
      <x:c r="T129" s="2" t="str">
        <x:v>unused2023converted-source comparator</x:v>
      </x:c>
      <x:c r="U129" s="2" t="str">
        <x:v>GFA growth versus source physical quantity growth; constant conversion required for equality</x:v>
      </x:c>
      <x:c r="V129" s="2" t="str">
        <x:v>2020 level is the model anchor; 2023 comparator unused by v16 fit but shares conversion/upstream lineage</x:v>
      </x:c>
      <x:c r="W129" s="2" t="str">
        <x:v>https://arxiv.org/abs/2511.12104</x:v>
      </x:c>
    </x:row>
    <x:row r="130" ht="23" customHeight="1">
      <x:c r="A130" s="2" t="str">
        <x:v>MWI</x:v>
      </x:c>
      <x:c r="B130" s="2" t="str">
        <x:v>Malawi (Republic of)</x:v>
      </x:c>
      <x:c r="C130" s="2" t="str">
        <x:v>TEMPO_PROXY</x:v>
      </x:c>
      <x:c r="D130" s="2" t="n">
        <x:v>2020</x:v>
      </x:c>
      <x:c r="E130" s="2" t="n">
        <x:v>2023</x:v>
      </x:c>
      <x:c r="F130" s="17" t="n">
        <x:v>330771641.01999974</x:v>
      </x:c>
      <x:c r="G130" s="17" t="n">
        <x:v>361927943.7362978</x:v>
      </x:c>
      <x:c r="H130" s="17" t="n">
        <x:v>330771641.01999974</x:v>
      </x:c>
      <x:c r="I130" s="17" t="n">
        <x:v>362398367.11</x:v>
      </x:c>
      <x:c r="J130" s="2" t="str">
        <x:v>m2</x:v>
      </x:c>
      <x:c r="K130" s="15" t="n">
        <x:f>IF(AND(ISNUMBER(F130),ISNUMBER(G130),F130&gt;0),G130/F130-1,"n.a.")</x:f>
        <x:v>0.09419278696390476</x:v>
      </x:c>
      <x:c r="L130" s="15" t="n">
        <x:f>IF(AND(N130,ISNUMBER(H130),ISNUMBER(I130),H130&gt;0),I130/H130-1,"n.a.")</x:f>
        <x:v>0.09561498680017744</x:v>
      </x:c>
      <x:c r="M130" s="20" t="n">
        <x:f>IF(AND(ISNUMBER(K130),ISNUMBER(L130)),100*(K130-L130),"n.a.")</x:f>
        <x:v>-0.1422199836272675</x:v>
      </x:c>
      <x:c r="N130" s="13" t="b">
        <x:v>1</x:v>
      </x:c>
      <x:c r="O130" s="13" t="b">
        <x:v>1</x:v>
      </x:c>
      <x:c r="P130" s="13" t="b">
        <x:v>0</x:v>
      </x:c>
      <x:c r="Q130" s="2" t="str">
        <x:v>legacy_epoch_source_QA_passed; new_common_native_support_not_certified</x:v>
      </x:c>
      <x:c r="R130" s="2" t="str">
        <x:v>legacy_epoch_source_QA_passed; new_common_native_support_not_certified</x:v>
      </x:c>
      <x:c r="S130" s="2" t="str">
        <x:v>inherited2020anchor</x:v>
      </x:c>
      <x:c r="T130" s="2" t="str">
        <x:v>unused2023converted-source comparator</x:v>
      </x:c>
      <x:c r="U130" s="2" t="str">
        <x:v>GFA growth versus source physical quantity growth; constant conversion required for equality</x:v>
      </x:c>
      <x:c r="V130" s="2" t="str">
        <x:v>2020 level is the model anchor; 2023 comparator unused by v16 fit but shares conversion/upstream lineage</x:v>
      </x:c>
      <x:c r="W130" s="2" t="str">
        <x:v>https://arxiv.org/abs/2511.12104</x:v>
      </x:c>
    </x:row>
    <x:row r="131" ht="23" customHeight="1">
      <x:c r="A131" s="2" t="str">
        <x:v>MYS</x:v>
      </x:c>
      <x:c r="B131" s="2" t="str">
        <x:v>Malaysia</x:v>
      </x:c>
      <x:c r="C131" s="2" t="str">
        <x:v>TEMPO_PROXY</x:v>
      </x:c>
      <x:c r="D131" s="2" t="n">
        <x:v>2020</x:v>
      </x:c>
      <x:c r="E131" s="2" t="n">
        <x:v>2023</x:v>
      </x:c>
      <x:c r="F131" s="17" t="n">
        <x:v>2041076673.6399992</x:v>
      </x:c>
      <x:c r="G131" s="17" t="n">
        <x:v>2240286852.648412</x:v>
      </x:c>
      <x:c r="H131" s="17" t="n">
        <x:v>2041076673.6399992</x:v>
      </x:c>
      <x:c r="I131" s="17" t="n">
        <x:v>2142520176.68</x:v>
      </x:c>
      <x:c r="J131" s="2" t="str">
        <x:v>m2</x:v>
      </x:c>
      <x:c r="K131" s="15" t="n">
        <x:f>IF(AND(ISNUMBER(F131),ISNUMBER(G131),F131&gt;0),G131/F131-1,"n.a.")</x:f>
        <x:v>0.09760053680548286</x:v>
      </x:c>
      <x:c r="L131" s="15" t="n">
        <x:f>IF(AND(N131,ISNUMBER(H131),ISNUMBER(I131),H131&gt;0),I131/H131-1,"n.a.")</x:f>
        <x:v>0.04970097613192026</x:v>
      </x:c>
      <x:c r="M131" s="20" t="n">
        <x:f>IF(AND(ISNUMBER(K131),ISNUMBER(L131)),100*(K131-L131),"n.a.")</x:f>
        <x:v>4.78995606735626</x:v>
      </x:c>
      <x:c r="N131" s="13" t="b">
        <x:v>1</x:v>
      </x:c>
      <x:c r="O131" s="13" t="b">
        <x:v>1</x:v>
      </x:c>
      <x:c r="P131" s="13" t="b">
        <x:v>0</x:v>
      </x:c>
      <x:c r="Q131" s="2" t="str">
        <x:v>legacy_epoch_source_QA_passed; new_common_native_support_not_certified</x:v>
      </x:c>
      <x:c r="R131" s="2" t="str">
        <x:v>legacy_epoch_source_QA_passed; new_common_native_support_not_certified</x:v>
      </x:c>
      <x:c r="S131" s="2" t="str">
        <x:v>inherited2020anchor</x:v>
      </x:c>
      <x:c r="T131" s="2" t="str">
        <x:v>unused2023converted-source comparator</x:v>
      </x:c>
      <x:c r="U131" s="2" t="str">
        <x:v>GFA growth versus source physical quantity growth; constant conversion required for equality</x:v>
      </x:c>
      <x:c r="V131" s="2" t="str">
        <x:v>2020 level is the model anchor; 2023 comparator unused by v16 fit but shares conversion/upstream lineage</x:v>
      </x:c>
      <x:c r="W131" s="2" t="str">
        <x:v>https://arxiv.org/abs/2511.12104</x:v>
      </x:c>
    </x:row>
    <x:row r="132" ht="23" customHeight="1">
      <x:c r="A132" s="2" t="str">
        <x:v>NAM</x:v>
      </x:c>
      <x:c r="B132" s="2" t="str">
        <x:v>Namibia (Republic of)</x:v>
      </x:c>
      <x:c r="C132" s="2" t="str">
        <x:v>TEMPO_PROXY</x:v>
      </x:c>
      <x:c r="D132" s="2" t="n">
        <x:v>2020</x:v>
      </x:c>
      <x:c r="E132" s="2" t="n">
        <x:v>2023</x:v>
      </x:c>
      <x:c r="F132" s="17" t="n">
        <x:v>112405609.30999991</x:v>
      </x:c>
      <x:c r="G132" s="17" t="n">
        <x:v>121245506.01639862</x:v>
      </x:c>
      <x:c r="H132" s="17" t="n">
        <x:v>112405609.30999991</x:v>
      </x:c>
      <x:c r="I132" s="17" t="n">
        <x:v>120928610.42</x:v>
      </x:c>
      <x:c r="J132" s="2" t="str">
        <x:v>m2</x:v>
      </x:c>
      <x:c r="K132" s="15" t="n">
        <x:f>IF(AND(ISNUMBER(F132),ISNUMBER(G132),F132&gt;0),G132/F132-1,"n.a.")</x:f>
        <x:v>0.07864284318782921</x:v>
      </x:c>
      <x:c r="L132" s="15" t="n">
        <x:f>IF(AND(N132,ISNUMBER(H132),ISNUMBER(I132),H132&gt;0),I132/H132-1,"n.a.")</x:f>
        <x:v>0.0758236280406146</x:v>
      </x:c>
      <x:c r="M132" s="20" t="n">
        <x:f>IF(AND(ISNUMBER(K132),ISNUMBER(L132)),100*(K132-L132),"n.a.")</x:f>
        <x:v>0.28192151472146154</x:v>
      </x:c>
      <x:c r="N132" s="13" t="b">
        <x:v>1</x:v>
      </x:c>
      <x:c r="O132" s="13" t="b">
        <x:v>1</x:v>
      </x:c>
      <x:c r="P132" s="13" t="b">
        <x:v>0</x:v>
      </x:c>
      <x:c r="Q132" s="2" t="str">
        <x:v>legacy_epoch_source_QA_passed; new_common_native_support_not_certified</x:v>
      </x:c>
      <x:c r="R132" s="2" t="str">
        <x:v>legacy_epoch_source_QA_passed; new_common_native_support_not_certified</x:v>
      </x:c>
      <x:c r="S132" s="2" t="str">
        <x:v>inherited2020anchor</x:v>
      </x:c>
      <x:c r="T132" s="2" t="str">
        <x:v>unused2023converted-source comparator</x:v>
      </x:c>
      <x:c r="U132" s="2" t="str">
        <x:v>GFA growth versus source physical quantity growth; constant conversion required for equality</x:v>
      </x:c>
      <x:c r="V132" s="2" t="str">
        <x:v>2020 level is the model anchor; 2023 comparator unused by v16 fit but shares conversion/upstream lineage</x:v>
      </x:c>
      <x:c r="W132" s="2" t="str">
        <x:v>https://arxiv.org/abs/2511.12104</x:v>
      </x:c>
    </x:row>
    <x:row r="133" ht="23" customHeight="1">
      <x:c r="A133" s="2" t="str">
        <x:v>NER</x:v>
      </x:c>
      <x:c r="B133" s="2" t="str">
        <x:v>Niger (Republic of the)</x:v>
      </x:c>
      <x:c r="C133" s="2" t="str">
        <x:v>TEMPO_PROXY</x:v>
      </x:c>
      <x:c r="D133" s="2" t="n">
        <x:v>2020</x:v>
      </x:c>
      <x:c r="E133" s="2" t="n">
        <x:v>2023</x:v>
      </x:c>
      <x:c r="F133" s="17" t="n">
        <x:v>203236516.4300003</x:v>
      </x:c>
      <x:c r="G133" s="17" t="n">
        <x:v>231892758.99673218</x:v>
      </x:c>
      <x:c r="H133" s="17" t="n">
        <x:v>203236516.4300003</x:v>
      </x:c>
      <x:c r="I133" s="17" t="n">
        <x:v>212813754.93</x:v>
      </x:c>
      <x:c r="J133" s="2" t="str">
        <x:v>m2</x:v>
      </x:c>
      <x:c r="K133" s="15" t="n">
        <x:f>IF(AND(ISNUMBER(F133),ISNUMBER(G133),F133&gt;0),G133/F133-1,"n.a.")</x:f>
        <x:v>0.14099947721059158</x:v>
      </x:c>
      <x:c r="L133" s="15" t="n">
        <x:f>IF(AND(N133,ISNUMBER(H133),ISNUMBER(I133),H133&gt;0),I133/H133-1,"n.a.")</x:f>
        <x:v>0.04712361079707028</x:v>
      </x:c>
      <x:c r="M133" s="20" t="n">
        <x:f>IF(AND(ISNUMBER(K133),ISNUMBER(L133)),100*(K133-L133),"n.a.")</x:f>
        <x:v>9.38758664135213</x:v>
      </x:c>
      <x:c r="N133" s="13" t="b">
        <x:v>1</x:v>
      </x:c>
      <x:c r="O133" s="13" t="b">
        <x:v>1</x:v>
      </x:c>
      <x:c r="P133" s="13" t="b">
        <x:v>0</x:v>
      </x:c>
      <x:c r="Q133" s="2" t="str">
        <x:v>legacy_epoch_source_QA_passed; new_common_native_support_not_certified</x:v>
      </x:c>
      <x:c r="R133" s="2" t="str">
        <x:v>legacy_epoch_source_QA_passed; new_common_native_support_not_certified</x:v>
      </x:c>
      <x:c r="S133" s="2" t="str">
        <x:v>inherited2020anchor</x:v>
      </x:c>
      <x:c r="T133" s="2" t="str">
        <x:v>unused2023converted-source comparator</x:v>
      </x:c>
      <x:c r="U133" s="2" t="str">
        <x:v>GFA growth versus source physical quantity growth; constant conversion required for equality</x:v>
      </x:c>
      <x:c r="V133" s="2" t="str">
        <x:v>2020 level is the model anchor; 2023 comparator unused by v16 fit but shares conversion/upstream lineage</x:v>
      </x:c>
      <x:c r="W133" s="2" t="str">
        <x:v>https://arxiv.org/abs/2511.12104</x:v>
      </x:c>
    </x:row>
    <x:row r="134" ht="23" customHeight="1">
      <x:c r="A134" s="2" t="str">
        <x:v>NGA</x:v>
      </x:c>
      <x:c r="B134" s="2" t="str">
        <x:v>Nigeria (Federal Republic of)</x:v>
      </x:c>
      <x:c r="C134" s="2" t="str">
        <x:v>TEMPO_PROXY</x:v>
      </x:c>
      <x:c r="D134" s="2" t="n">
        <x:v>2020</x:v>
      </x:c>
      <x:c r="E134" s="2" t="n">
        <x:v>2023</x:v>
      </x:c>
      <x:c r="F134" s="17" t="n">
        <x:v>4102804870.2700024</x:v>
      </x:c>
      <x:c r="G134" s="17" t="n">
        <x:v>4529091058.902534</x:v>
      </x:c>
      <x:c r="H134" s="17" t="n">
        <x:v>4102804870.2700024</x:v>
      </x:c>
      <x:c r="I134" s="17" t="n">
        <x:v>4405456725.82</x:v>
      </x:c>
      <x:c r="J134" s="2" t="str">
        <x:v>m2</x:v>
      </x:c>
      <x:c r="K134" s="15" t="n">
        <x:f>IF(AND(ISNUMBER(F134),ISNUMBER(G134),F134&gt;0),G134/F134-1,"n.a.")</x:f>
        <x:v>0.1039011608184226</x:v>
      </x:c>
      <x:c r="L134" s="15" t="n">
        <x:f>IF(AND(N134,ISNUMBER(H134),ISNUMBER(I134),H134&gt;0),I134/H134-1,"n.a.")</x:f>
        <x:v>0.07376706061336025</x:v>
      </x:c>
      <x:c r="M134" s="20" t="n">
        <x:f>IF(AND(ISNUMBER(K134),ISNUMBER(L134)),100*(K134-L134),"n.a.")</x:f>
        <x:v>3.0134100205062353</x:v>
      </x:c>
      <x:c r="N134" s="13" t="b">
        <x:v>1</x:v>
      </x:c>
      <x:c r="O134" s="13" t="b">
        <x:v>1</x:v>
      </x:c>
      <x:c r="P134" s="13" t="b">
        <x:v>0</x:v>
      </x:c>
      <x:c r="Q134" s="2" t="str">
        <x:v>legacy_epoch_source_QA_passed; new_common_native_support_not_certified</x:v>
      </x:c>
      <x:c r="R134" s="2" t="str">
        <x:v>legacy_epoch_source_QA_passed; new_common_native_support_not_certified</x:v>
      </x:c>
      <x:c r="S134" s="2" t="str">
        <x:v>inherited2020anchor</x:v>
      </x:c>
      <x:c r="T134" s="2" t="str">
        <x:v>unused2023converted-source comparator</x:v>
      </x:c>
      <x:c r="U134" s="2" t="str">
        <x:v>GFA growth versus source physical quantity growth; constant conversion required for equality</x:v>
      </x:c>
      <x:c r="V134" s="2" t="str">
        <x:v>2020 level is the model anchor; 2023 comparator unused by v16 fit but shares conversion/upstream lineage</x:v>
      </x:c>
      <x:c r="W134" s="2" t="str">
        <x:v>https://arxiv.org/abs/2511.12104</x:v>
      </x:c>
    </x:row>
    <x:row r="135" ht="23" customHeight="1">
      <x:c r="A135" s="2" t="str">
        <x:v>NIC</x:v>
      </x:c>
      <x:c r="B135" s="2" t="str">
        <x:v>Nicaragua (Republic of)</x:v>
      </x:c>
      <x:c r="C135" s="2" t="str">
        <x:v>TEMPO_PROXY</x:v>
      </x:c>
      <x:c r="D135" s="2" t="n">
        <x:v>2020</x:v>
      </x:c>
      <x:c r="E135" s="2" t="n">
        <x:v>2023</x:v>
      </x:c>
      <x:c r="F135" s="17" t="n">
        <x:v>201940338.64999992</x:v>
      </x:c>
      <x:c r="G135" s="17" t="n">
        <x:v>220275456.25770077</x:v>
      </x:c>
      <x:c r="H135" s="17" t="n">
        <x:v>201940338.64999992</x:v>
      </x:c>
      <x:c r="I135" s="17" t="n">
        <x:v>217312926.14</x:v>
      </x:c>
      <x:c r="J135" s="2" t="str">
        <x:v>m2</x:v>
      </x:c>
      <x:c r="K135" s="15" t="n">
        <x:f>IF(AND(ISNUMBER(F135),ISNUMBER(G135),F135&gt;0),G135/F135-1,"n.a.")</x:f>
        <x:v>0.090794725463341</x:v>
      </x:c>
      <x:c r="L135" s="15" t="n">
        <x:f>IF(AND(N135,ISNUMBER(H135),ISNUMBER(I135),H135&gt;0),I135/H135-1,"n.a.")</x:f>
        <x:v>0.07612440185436964</x:v>
      </x:c>
      <x:c r="M135" s="20" t="n">
        <x:f>IF(AND(ISNUMBER(K135),ISNUMBER(L135)),100*(K135-L135),"n.a.")</x:f>
        <x:v>1.4670323608971358</x:v>
      </x:c>
      <x:c r="N135" s="13" t="b">
        <x:v>1</x:v>
      </x:c>
      <x:c r="O135" s="13" t="b">
        <x:v>1</x:v>
      </x:c>
      <x:c r="P135" s="13" t="b">
        <x:v>0</x:v>
      </x:c>
      <x:c r="Q135" s="2" t="str">
        <x:v>legacy_epoch_source_QA_passed; new_common_native_support_not_certified</x:v>
      </x:c>
      <x:c r="R135" s="2" t="str">
        <x:v>legacy_epoch_source_QA_passed; new_common_native_support_not_certified</x:v>
      </x:c>
      <x:c r="S135" s="2" t="str">
        <x:v>inherited2020anchor</x:v>
      </x:c>
      <x:c r="T135" s="2" t="str">
        <x:v>unused2023converted-source comparator</x:v>
      </x:c>
      <x:c r="U135" s="2" t="str">
        <x:v>GFA growth versus source physical quantity growth; constant conversion required for equality</x:v>
      </x:c>
      <x:c r="V135" s="2" t="str">
        <x:v>2020 level is the model anchor; 2023 comparator unused by v16 fit but shares conversion/upstream lineage</x:v>
      </x:c>
      <x:c r="W135" s="2" t="str">
        <x:v>https://arxiv.org/abs/2511.12104</x:v>
      </x:c>
    </x:row>
    <x:row r="136" ht="23" customHeight="1">
      <x:c r="A136" s="2" t="str">
        <x:v>NLD</x:v>
      </x:c>
      <x:c r="B136" s="2" t="str">
        <x:v>Netherlands (Kingdom of the)</x:v>
      </x:c>
      <x:c r="C136" s="2" t="str">
        <x:v>TEMPO_PROXY</x:v>
      </x:c>
      <x:c r="D136" s="2" t="n">
        <x:v>2020</x:v>
      </x:c>
      <x:c r="E136" s="2" t="n">
        <x:v>2023</x:v>
      </x:c>
      <x:c r="F136" s="17" t="n">
        <x:v>1464947836.6400025</x:v>
      </x:c>
      <x:c r="G136" s="17" t="n">
        <x:v>1617809345.5752683</x:v>
      </x:c>
      <x:c r="H136" s="17" t="n">
        <x:v>1464947836.6400025</x:v>
      </x:c>
      <x:c r="I136" s="17" t="n">
        <x:v>1530564080.43</x:v>
      </x:c>
      <x:c r="J136" s="2" t="str">
        <x:v>m2</x:v>
      </x:c>
      <x:c r="K136" s="15" t="n">
        <x:f>IF(AND(ISNUMBER(F136),ISNUMBER(G136),F136&gt;0),G136/F136-1,"n.a.")</x:f>
        <x:v>0.10434604230405098</x:v>
      </x:c>
      <x:c r="L136" s="15" t="n">
        <x:f>IF(AND(N136,ISNUMBER(H136),ISNUMBER(I136),H136&gt;0),I136/H136-1,"n.a.")</x:f>
        <x:v>0.04479083974791531</x:v>
      </x:c>
      <x:c r="M136" s="20" t="n">
        <x:f>IF(AND(ISNUMBER(K136),ISNUMBER(L136)),100*(K136-L136),"n.a.")</x:f>
        <x:v>5.955520255613567</x:v>
      </x:c>
      <x:c r="N136" s="13" t="b">
        <x:v>1</x:v>
      </x:c>
      <x:c r="O136" s="13" t="b">
        <x:v>1</x:v>
      </x:c>
      <x:c r="P136" s="13" t="b">
        <x:v>0</x:v>
      </x:c>
      <x:c r="Q136" s="2" t="str">
        <x:v>legacy_epoch_source_QA_passed; new_common_native_support_not_certified</x:v>
      </x:c>
      <x:c r="R136" s="2" t="str">
        <x:v>legacy_epoch_source_QA_passed; new_common_native_support_not_certified</x:v>
      </x:c>
      <x:c r="S136" s="2" t="str">
        <x:v>inherited2020anchor</x:v>
      </x:c>
      <x:c r="T136" s="2" t="str">
        <x:v>unused2023converted-source comparator</x:v>
      </x:c>
      <x:c r="U136" s="2" t="str">
        <x:v>GFA growth versus source physical quantity growth; constant conversion required for equality</x:v>
      </x:c>
      <x:c r="V136" s="2" t="str">
        <x:v>2020 level is the model anchor; 2023 comparator unused by v16 fit but shares conversion/upstream lineage</x:v>
      </x:c>
      <x:c r="W136" s="2" t="str">
        <x:v>https://arxiv.org/abs/2511.12104</x:v>
      </x:c>
    </x:row>
    <x:row r="137" ht="23" customHeight="1">
      <x:c r="A137" s="2" t="str">
        <x:v>NOR</x:v>
      </x:c>
      <x:c r="B137" s="2" t="str">
        <x:v>Norway (Kingdom of)</x:v>
      </x:c>
      <x:c r="C137" s="2" t="str">
        <x:v>TEMPO_PROXY</x:v>
      </x:c>
      <x:c r="D137" s="2" t="n">
        <x:v>2020</x:v>
      </x:c>
      <x:c r="E137" s="2" t="n">
        <x:v>2023</x:v>
      </x:c>
      <x:c r="F137" s="17" t="n">
        <x:v>478516256.6100005</x:v>
      </x:c>
      <x:c r="G137" s="17" t="n">
        <x:v>542319411.7409029</x:v>
      </x:c>
      <x:c r="H137" s="17" t="n">
        <x:v>478516256.6100005</x:v>
      </x:c>
      <x:c r="I137" s="17" t="n">
        <x:v>493284455.97</x:v>
      </x:c>
      <x:c r="J137" s="2" t="str">
        <x:v>m2</x:v>
      </x:c>
      <x:c r="K137" s="15" t="n">
        <x:f>IF(AND(ISNUMBER(F137),ISNUMBER(G137),F137&gt;0),G137/F137-1,"n.a.")</x:f>
        <x:v>0.13333539717732745</x:v>
      </x:c>
      <x:c r="L137" s="15" t="n">
        <x:f>IF(AND(N137,ISNUMBER(H137),ISNUMBER(I137),H137&gt;0),I137/H137-1,"n.a.")</x:f>
        <x:v>0.030862482007661285</x:v>
      </x:c>
      <x:c r="M137" s="20" t="n">
        <x:f>IF(AND(ISNUMBER(K137),ISNUMBER(L137)),100*(K137-L137),"n.a.")</x:f>
        <x:v>10.247291516966616</x:v>
      </x:c>
      <x:c r="N137" s="13" t="b">
        <x:v>1</x:v>
      </x:c>
      <x:c r="O137" s="13" t="b">
        <x:v>1</x:v>
      </x:c>
      <x:c r="P137" s="13" t="b">
        <x:v>0</x:v>
      </x:c>
      <x:c r="Q137" s="2" t="str">
        <x:v>legacy_epoch_source_QA_passed; new_common_native_support_not_certified</x:v>
      </x:c>
      <x:c r="R137" s="2" t="str">
        <x:v>legacy_epoch_source_QA_passed; new_common_native_support_not_certified</x:v>
      </x:c>
      <x:c r="S137" s="2" t="str">
        <x:v>inherited2020anchor</x:v>
      </x:c>
      <x:c r="T137" s="2" t="str">
        <x:v>unused2023converted-source comparator</x:v>
      </x:c>
      <x:c r="U137" s="2" t="str">
        <x:v>GFA growth versus source physical quantity growth; constant conversion required for equality</x:v>
      </x:c>
      <x:c r="V137" s="2" t="str">
        <x:v>2020 level is the model anchor; 2023 comparator unused by v16 fit but shares conversion/upstream lineage</x:v>
      </x:c>
      <x:c r="W137" s="2" t="str">
        <x:v>https://arxiv.org/abs/2511.12104</x:v>
      </x:c>
    </x:row>
    <x:row r="138" ht="23" customHeight="1">
      <x:c r="A138" s="2" t="str">
        <x:v>NPL</x:v>
      </x:c>
      <x:c r="B138" s="2" t="str">
        <x:v>Nepal (Federal Democratic Republic of)</x:v>
      </x:c>
      <x:c r="C138" s="2" t="str">
        <x:v>TEMPO_PROXY</x:v>
      </x:c>
      <x:c r="D138" s="2" t="n">
        <x:v>2020</x:v>
      </x:c>
      <x:c r="E138" s="2" t="n">
        <x:v>2023</x:v>
      </x:c>
      <x:c r="F138" s="17" t="n">
        <x:v>656084354.4999993</x:v>
      </x:c>
      <x:c r="G138" s="17" t="n">
        <x:v>707802184.0028585</x:v>
      </x:c>
      <x:c r="H138" s="17" t="n">
        <x:v>656084354.4999993</x:v>
      </x:c>
      <x:c r="I138" s="17" t="n">
        <x:v>720562916.9</x:v>
      </x:c>
      <x:c r="J138" s="2" t="str">
        <x:v>m2</x:v>
      </x:c>
      <x:c r="K138" s="15" t="n">
        <x:f>IF(AND(ISNUMBER(F138),ISNUMBER(G138),F138&gt;0),G138/F138-1,"n.a.")</x:f>
        <x:v>0.07882801829998409</x:v>
      </x:c>
      <x:c r="L138" s="15" t="n">
        <x:f>IF(AND(N138,ISNUMBER(H138),ISNUMBER(I138),H138&gt;0),I138/H138-1,"n.a.")</x:f>
        <x:v>0.09827785399506994</x:v>
      </x:c>
      <x:c r="M138" s="20" t="n">
        <x:f>IF(AND(ISNUMBER(K138),ISNUMBER(L138)),100*(K138-L138),"n.a.")</x:f>
        <x:v>-1.9449835695085849</x:v>
      </x:c>
      <x:c r="N138" s="13" t="b">
        <x:v>1</x:v>
      </x:c>
      <x:c r="O138" s="13" t="b">
        <x:v>1</x:v>
      </x:c>
      <x:c r="P138" s="13" t="b">
        <x:v>0</x:v>
      </x:c>
      <x:c r="Q138" s="2" t="str">
        <x:v>legacy_epoch_source_QA_passed; new_common_native_support_not_certified</x:v>
      </x:c>
      <x:c r="R138" s="2" t="str">
        <x:v>legacy_epoch_source_QA_passed; new_common_native_support_not_certified</x:v>
      </x:c>
      <x:c r="S138" s="2" t="str">
        <x:v>inherited2020anchor</x:v>
      </x:c>
      <x:c r="T138" s="2" t="str">
        <x:v>unused2023converted-source comparator</x:v>
      </x:c>
      <x:c r="U138" s="2" t="str">
        <x:v>GFA growth versus source physical quantity growth; constant conversion required for equality</x:v>
      </x:c>
      <x:c r="V138" s="2" t="str">
        <x:v>2020 level is the model anchor; 2023 comparator unused by v16 fit but shares conversion/upstream lineage</x:v>
      </x:c>
      <x:c r="W138" s="2" t="str">
        <x:v>https://arxiv.org/abs/2511.12104</x:v>
      </x:c>
    </x:row>
    <x:row r="139" ht="23" customHeight="1">
      <x:c r="A139" s="2" t="str">
        <x:v>NRU</x:v>
      </x:c>
      <x:c r="B139" s="2" t="str">
        <x:v>Nauru (Republic of)</x:v>
      </x:c>
      <x:c r="C139" s="2" t="str">
        <x:v>TEMPO_PROXY</x:v>
      </x:c>
      <x:c r="D139" s="2" t="n">
        <x:v>2020</x:v>
      </x:c>
      <x:c r="E139" s="2" t="n">
        <x:v>2023</x:v>
      </x:c>
      <x:c r="F139" s="17" t="n">
        <x:v>405989.38000000024</x:v>
      </x:c>
      <x:c r="G139" s="17" t="n">
        <x:v>445868.28140939225</x:v>
      </x:c>
      <x:c r="H139" s="17" t="n">
        <x:v>405989.38000000024</x:v>
      </x:c>
      <x:c r="I139" s="17" t="n">
        <x:v>440908.5</x:v>
      </x:c>
      <x:c r="J139" s="2" t="str">
        <x:v>m2</x:v>
      </x:c>
      <x:c r="K139" s="15" t="n">
        <x:f>IF(AND(ISNUMBER(F139),ISNUMBER(G139),F139&gt;0),G139/F139-1,"n.a.")</x:f>
        <x:v>0.09822646446907557</x:v>
      </x:c>
      <x:c r="L139" s="15" t="n">
        <x:f>IF(AND(N139,ISNUMBER(H139),ISNUMBER(I139),H139&gt;0),I139/H139-1,"n.a.")</x:f>
        <x:v>0.08600993454557782</x:v>
      </x:c>
      <x:c r="M139" s="20" t="n">
        <x:f>IF(AND(ISNUMBER(K139),ISNUMBER(L139)),100*(K139-L139),"n.a.")</x:f>
        <x:v>1.2216529923497754</x:v>
      </x:c>
      <x:c r="N139" s="13" t="b">
        <x:v>1</x:v>
      </x:c>
      <x:c r="O139" s="13" t="b">
        <x:v>1</x:v>
      </x:c>
      <x:c r="P139" s="13" t="b">
        <x:v>0</x:v>
      </x:c>
      <x:c r="Q139" s="2" t="str">
        <x:v>legacy_epoch_source_QA_passed; new_common_native_support_not_certified</x:v>
      </x:c>
      <x:c r="R139" s="2" t="str">
        <x:v>legacy_epoch_source_QA_passed; new_common_native_support_not_certified</x:v>
      </x:c>
      <x:c r="S139" s="2" t="str">
        <x:v>inherited2020anchor</x:v>
      </x:c>
      <x:c r="T139" s="2" t="str">
        <x:v>unused2023converted-source comparator</x:v>
      </x:c>
      <x:c r="U139" s="2" t="str">
        <x:v>GFA growth versus source physical quantity growth; constant conversion required for equality</x:v>
      </x:c>
      <x:c r="V139" s="2" t="str">
        <x:v>2020 level is the model anchor; 2023 comparator unused by v16 fit but shares conversion/upstream lineage</x:v>
      </x:c>
      <x:c r="W139" s="2" t="str">
        <x:v>https://arxiv.org/abs/2511.12104</x:v>
      </x:c>
    </x:row>
    <x:row r="140" ht="23" customHeight="1">
      <x:c r="A140" s="2" t="str">
        <x:v>NZL</x:v>
      </x:c>
      <x:c r="B140" s="2" t="str">
        <x:v>New Zealand</x:v>
      </x:c>
      <x:c r="C140" s="2" t="str">
        <x:v>TEMPO_PROXY</x:v>
      </x:c>
      <x:c r="D140" s="2" t="n">
        <x:v>2020</x:v>
      </x:c>
      <x:c r="E140" s="2" t="n">
        <x:v>2023</x:v>
      </x:c>
      <x:c r="F140" s="17" t="n">
        <x:v>553529463.7899991</x:v>
      </x:c>
      <x:c r="G140" s="17" t="n">
        <x:v>569428738.7998221</x:v>
      </x:c>
      <x:c r="H140" s="17" t="n">
        <x:v>553529463.7899991</x:v>
      </x:c>
      <x:c r="I140" s="17" t="n">
        <x:v>586222189.09</x:v>
      </x:c>
      <x:c r="J140" s="2" t="str">
        <x:v>m2</x:v>
      </x:c>
      <x:c r="K140" s="15" t="n">
        <x:f>IF(AND(ISNUMBER(F140),ISNUMBER(G140),F140&gt;0),G140/F140-1,"n.a.")</x:f>
        <x:v>0.028723448433911836</x:v>
      </x:c>
      <x:c r="L140" s="15" t="n">
        <x:f>IF(AND(N140,ISNUMBER(H140),ISNUMBER(I140),H140&gt;0),I140/H140-1,"n.a.")</x:f>
        <x:v>0.05906230370494603</x:v>
      </x:c>
      <x:c r="M140" s="20" t="n">
        <x:f>IF(AND(ISNUMBER(K140),ISNUMBER(L140)),100*(K140-L140),"n.a.")</x:f>
        <x:v>-3.0338855271034193</x:v>
      </x:c>
      <x:c r="N140" s="13" t="b">
        <x:v>1</x:v>
      </x:c>
      <x:c r="O140" s="13" t="b">
        <x:v>1</x:v>
      </x:c>
      <x:c r="P140" s="13" t="b">
        <x:v>0</x:v>
      </x:c>
      <x:c r="Q140" s="2" t="str">
        <x:v>legacy_epoch_source_QA_passed; new_common_native_support_not_certified</x:v>
      </x:c>
      <x:c r="R140" s="2" t="str">
        <x:v>legacy_epoch_source_QA_passed; new_common_native_support_not_certified</x:v>
      </x:c>
      <x:c r="S140" s="2" t="str">
        <x:v>inherited2020anchor</x:v>
      </x:c>
      <x:c r="T140" s="2" t="str">
        <x:v>unused2023converted-source comparator</x:v>
      </x:c>
      <x:c r="U140" s="2" t="str">
        <x:v>GFA growth versus source physical quantity growth; constant conversion required for equality</x:v>
      </x:c>
      <x:c r="V140" s="2" t="str">
        <x:v>2020 level is the model anchor; 2023 comparator unused by v16 fit but shares conversion/upstream lineage</x:v>
      </x:c>
      <x:c r="W140" s="2" t="str">
        <x:v>https://arxiv.org/abs/2511.12104</x:v>
      </x:c>
    </x:row>
    <x:row r="141" ht="23" customHeight="1">
      <x:c r="A141" s="2" t="str">
        <x:v>OMN</x:v>
      </x:c>
      <x:c r="B141" s="2" t="str">
        <x:v>Oman (Sultanate of)</x:v>
      </x:c>
      <x:c r="C141" s="2" t="str">
        <x:v>TEMPO_PROXY</x:v>
      </x:c>
      <x:c r="D141" s="2" t="n">
        <x:v>2020</x:v>
      </x:c>
      <x:c r="E141" s="2" t="n">
        <x:v>2023</x:v>
      </x:c>
      <x:c r="F141" s="17" t="n">
        <x:v>262659820.8500002</x:v>
      </x:c>
      <x:c r="G141" s="17" t="n">
        <x:v>286550123.99235415</x:v>
      </x:c>
      <x:c r="H141" s="17" t="n">
        <x:v>262659820.8500002</x:v>
      </x:c>
      <x:c r="I141" s="17" t="n">
        <x:v>298636482.92</x:v>
      </x:c>
      <x:c r="J141" s="2" t="str">
        <x:v>m2</x:v>
      </x:c>
      <x:c r="K141" s="15" t="n">
        <x:f>IF(AND(ISNUMBER(F141),ISNUMBER(G141),F141&gt;0),G141/F141-1,"n.a.")</x:f>
        <x:v>0.09095530129062723</x:v>
      </x:c>
      <x:c r="L141" s="15" t="n">
        <x:f>IF(AND(N141,ISNUMBER(H141),ISNUMBER(I141),H141&gt;0),I141/H141-1,"n.a.")</x:f>
        <x:v>0.1369705574060578</x:v>
      </x:c>
      <x:c r="M141" s="20" t="n">
        <x:f>IF(AND(ISNUMBER(K141),ISNUMBER(L141)),100*(K141-L141),"n.a.")</x:f>
        <x:v>-4.601525611543056</x:v>
      </x:c>
      <x:c r="N141" s="13" t="b">
        <x:v>1</x:v>
      </x:c>
      <x:c r="O141" s="13" t="b">
        <x:v>1</x:v>
      </x:c>
      <x:c r="P141" s="13" t="b">
        <x:v>0</x:v>
      </x:c>
      <x:c r="Q141" s="2" t="str">
        <x:v>legacy_epoch_source_QA_passed; new_common_native_support_not_certified</x:v>
      </x:c>
      <x:c r="R141" s="2" t="str">
        <x:v>legacy_epoch_source_QA_passed; new_common_native_support_not_certified</x:v>
      </x:c>
      <x:c r="S141" s="2" t="str">
        <x:v>inherited2020anchor</x:v>
      </x:c>
      <x:c r="T141" s="2" t="str">
        <x:v>unused2023converted-source comparator</x:v>
      </x:c>
      <x:c r="U141" s="2" t="str">
        <x:v>GFA growth versus source physical quantity growth; constant conversion required for equality</x:v>
      </x:c>
      <x:c r="V141" s="2" t="str">
        <x:v>2020 level is the model anchor; 2023 comparator unused by v16 fit but shares conversion/upstream lineage</x:v>
      </x:c>
      <x:c r="W141" s="2" t="str">
        <x:v>https://arxiv.org/abs/2511.12104</x:v>
      </x:c>
    </x:row>
    <x:row r="142" ht="23" customHeight="1">
      <x:c r="A142" s="2" t="str">
        <x:v>PAK</x:v>
      </x:c>
      <x:c r="B142" s="2" t="str">
        <x:v>Pakistan (Islamic Republic of)</x:v>
      </x:c>
      <x:c r="C142" s="2" t="str">
        <x:v>TEMPO_PROXY</x:v>
      </x:c>
      <x:c r="D142" s="2" t="n">
        <x:v>2020</x:v>
      </x:c>
      <x:c r="E142" s="2" t="n">
        <x:v>2023</x:v>
      </x:c>
      <x:c r="F142" s="17" t="n">
        <x:v>4301390083.520005</x:v>
      </x:c>
      <x:c r="G142" s="17" t="n">
        <x:v>4785996828.103547</x:v>
      </x:c>
      <x:c r="H142" s="17" t="n">
        <x:v>4301390083.520005</x:v>
      </x:c>
      <x:c r="I142" s="17" t="n">
        <x:v>4562318910.21</x:v>
      </x:c>
      <x:c r="J142" s="2" t="str">
        <x:v>m2</x:v>
      </x:c>
      <x:c r="K142" s="15" t="n">
        <x:f>IF(AND(ISNUMBER(F142),ISNUMBER(G142),F142&gt;0),G142/F142-1,"n.a.")</x:f>
        <x:v>0.11266282182595444</x:v>
      </x:c>
      <x:c r="L142" s="15" t="n">
        <x:f>IF(AND(N142,ISNUMBER(H142),ISNUMBER(I142),H142&gt;0),I142/H142-1,"n.a.")</x:f>
        <x:v>0.06066151212132476</x:v>
      </x:c>
      <x:c r="M142" s="20" t="n">
        <x:f>IF(AND(ISNUMBER(K142),ISNUMBER(L142)),100*(K142-L142),"n.a.")</x:f>
        <x:v>5.200130970462968</x:v>
      </x:c>
      <x:c r="N142" s="13" t="b">
        <x:v>1</x:v>
      </x:c>
      <x:c r="O142" s="13" t="b">
        <x:v>1</x:v>
      </x:c>
      <x:c r="P142" s="13" t="b">
        <x:v>0</x:v>
      </x:c>
      <x:c r="Q142" s="2" t="str">
        <x:v>legacy_epoch_source_QA_passed; new_common_native_support_not_certified</x:v>
      </x:c>
      <x:c r="R142" s="2" t="str">
        <x:v>legacy_epoch_source_QA_passed; new_common_native_support_not_certified</x:v>
      </x:c>
      <x:c r="S142" s="2" t="str">
        <x:v>inherited2020anchor</x:v>
      </x:c>
      <x:c r="T142" s="2" t="str">
        <x:v>unused2023converted-source comparator</x:v>
      </x:c>
      <x:c r="U142" s="2" t="str">
        <x:v>GFA growth versus source physical quantity growth; constant conversion required for equality</x:v>
      </x:c>
      <x:c r="V142" s="2" t="str">
        <x:v>2020 level is the model anchor; 2023 comparator unused by v16 fit but shares conversion/upstream lineage</x:v>
      </x:c>
      <x:c r="W142" s="2" t="str">
        <x:v>https://arxiv.org/abs/2511.12104</x:v>
      </x:c>
    </x:row>
    <x:row r="143" ht="23" customHeight="1">
      <x:c r="A143" s="2" t="str">
        <x:v>PAN</x:v>
      </x:c>
      <x:c r="B143" s="2" t="str">
        <x:v>Panama (Republic of)</x:v>
      </x:c>
      <x:c r="C143" s="2" t="str">
        <x:v>TEMPO_PROXY</x:v>
      </x:c>
      <x:c r="D143" s="2" t="n">
        <x:v>2020</x:v>
      </x:c>
      <x:c r="E143" s="2" t="n">
        <x:v>2023</x:v>
      </x:c>
      <x:c r="F143" s="17" t="n">
        <x:v>209722829.7800001</x:v>
      </x:c>
      <x:c r="G143" s="17" t="n">
        <x:v>226443992.67294908</x:v>
      </x:c>
      <x:c r="H143" s="17" t="n">
        <x:v>209722829.7800001</x:v>
      </x:c>
      <x:c r="I143" s="17" t="n">
        <x:v>222615540.57</x:v>
      </x:c>
      <x:c r="J143" s="2" t="str">
        <x:v>m2</x:v>
      </x:c>
      <x:c r="K143" s="15" t="n">
        <x:f>IF(AND(ISNUMBER(F143),ISNUMBER(G143),F143&gt;0),G143/F143-1,"n.a.")</x:f>
        <x:v>0.07972981725685058</x:v>
      </x:c>
      <x:c r="L143" s="15" t="n">
        <x:f>IF(AND(N143,ISNUMBER(H143),ISNUMBER(I143),H143&gt;0),I143/H143-1,"n.a.")</x:f>
        <x:v>0.061474999185946455</x:v>
      </x:c>
      <x:c r="M143" s="20" t="n">
        <x:f>IF(AND(ISNUMBER(K143),ISNUMBER(L143)),100*(K143-L143),"n.a.")</x:f>
        <x:v>1.8254818070904122</x:v>
      </x:c>
      <x:c r="N143" s="13" t="b">
        <x:v>1</x:v>
      </x:c>
      <x:c r="O143" s="13" t="b">
        <x:v>1</x:v>
      </x:c>
      <x:c r="P143" s="13" t="b">
        <x:v>0</x:v>
      </x:c>
      <x:c r="Q143" s="2" t="str">
        <x:v>legacy_epoch_source_QA_passed; new_common_native_support_not_certified</x:v>
      </x:c>
      <x:c r="R143" s="2" t="str">
        <x:v>legacy_epoch_source_QA_passed; new_common_native_support_not_certified</x:v>
      </x:c>
      <x:c r="S143" s="2" t="str">
        <x:v>inherited2020anchor</x:v>
      </x:c>
      <x:c r="T143" s="2" t="str">
        <x:v>unused2023converted-source comparator</x:v>
      </x:c>
      <x:c r="U143" s="2" t="str">
        <x:v>GFA growth versus source physical quantity growth; constant conversion required for equality</x:v>
      </x:c>
      <x:c r="V143" s="2" t="str">
        <x:v>2020 level is the model anchor; 2023 comparator unused by v16 fit but shares conversion/upstream lineage</x:v>
      </x:c>
      <x:c r="W143" s="2" t="str">
        <x:v>https://arxiv.org/abs/2511.12104</x:v>
      </x:c>
    </x:row>
    <x:row r="144" ht="23" customHeight="1">
      <x:c r="A144" s="2" t="str">
        <x:v>PER</x:v>
      </x:c>
      <x:c r="B144" s="2" t="str">
        <x:v>Peru (Republic of)</x:v>
      </x:c>
      <x:c r="C144" s="2" t="str">
        <x:v>TEMPO_PROXY</x:v>
      </x:c>
      <x:c r="D144" s="2" t="n">
        <x:v>2020</x:v>
      </x:c>
      <x:c r="E144" s="2" t="n">
        <x:v>2023</x:v>
      </x:c>
      <x:c r="F144" s="17" t="n">
        <x:v>1228349086.860001</x:v>
      </x:c>
      <x:c r="G144" s="17" t="n">
        <x:v>1339638115.2916863</x:v>
      </x:c>
      <x:c r="H144" s="17" t="n">
        <x:v>1228349086.860001</x:v>
      </x:c>
      <x:c r="I144" s="17" t="n">
        <x:v>1316509778.75</x:v>
      </x:c>
      <x:c r="J144" s="2" t="str">
        <x:v>m2</x:v>
      </x:c>
      <x:c r="K144" s="15" t="n">
        <x:f>IF(AND(ISNUMBER(F144),ISNUMBER(G144),F144&gt;0),G144/F144-1,"n.a.")</x:f>
        <x:v>0.09060048940661547</x:v>
      </x:c>
      <x:c r="L144" s="15" t="n">
        <x:f>IF(AND(N144,ISNUMBER(H144),ISNUMBER(I144),H144&gt;0),I144/H144-1,"n.a.")</x:f>
        <x:v>0.07177169164130848</x:v>
      </x:c>
      <x:c r="M144" s="20" t="n">
        <x:f>IF(AND(ISNUMBER(K144),ISNUMBER(L144)),100*(K144-L144),"n.a.")</x:f>
        <x:v>1.8828797765306993</x:v>
      </x:c>
      <x:c r="N144" s="13" t="b">
        <x:v>1</x:v>
      </x:c>
      <x:c r="O144" s="13" t="b">
        <x:v>1</x:v>
      </x:c>
      <x:c r="P144" s="13" t="b">
        <x:v>0</x:v>
      </x:c>
      <x:c r="Q144" s="2" t="str">
        <x:v>legacy_epoch_source_QA_passed; new_common_native_support_not_certified</x:v>
      </x:c>
      <x:c r="R144" s="2" t="str">
        <x:v>legacy_epoch_source_QA_passed; new_common_native_support_not_certified</x:v>
      </x:c>
      <x:c r="S144" s="2" t="str">
        <x:v>inherited2020anchor</x:v>
      </x:c>
      <x:c r="T144" s="2" t="str">
        <x:v>unused2023converted-source comparator</x:v>
      </x:c>
      <x:c r="U144" s="2" t="str">
        <x:v>GFA growth versus source physical quantity growth; constant conversion required for equality</x:v>
      </x:c>
      <x:c r="V144" s="2" t="str">
        <x:v>2020 level is the model anchor; 2023 comparator unused by v16 fit but shares conversion/upstream lineage</x:v>
      </x:c>
      <x:c r="W144" s="2" t="str">
        <x:v>https://arxiv.org/abs/2511.12104</x:v>
      </x:c>
    </x:row>
    <x:row r="145" ht="23" customHeight="1">
      <x:c r="A145" s="2" t="str">
        <x:v>PHL</x:v>
      </x:c>
      <x:c r="B145" s="2" t="str">
        <x:v>Philippines (Republic of the)</x:v>
      </x:c>
      <x:c r="C145" s="2" t="str">
        <x:v>TEMPO_PROXY</x:v>
      </x:c>
      <x:c r="D145" s="2" t="n">
        <x:v>2020</x:v>
      </x:c>
      <x:c r="E145" s="2" t="n">
        <x:v>2023</x:v>
      </x:c>
      <x:c r="F145" s="17" t="n">
        <x:v>2290609295.400001</x:v>
      </x:c>
      <x:c r="G145" s="17" t="n">
        <x:v>2571747623.808842</x:v>
      </x:c>
      <x:c r="H145" s="17" t="n">
        <x:v>2290609295.400001</x:v>
      </x:c>
      <x:c r="I145" s="17" t="n">
        <x:v>2486971631</x:v>
      </x:c>
      <x:c r="J145" s="2" t="str">
        <x:v>m2</x:v>
      </x:c>
      <x:c r="K145" s="15" t="n">
        <x:f>IF(AND(ISNUMBER(F145),ISNUMBER(G145),F145&gt;0),G145/F145-1,"n.a.")</x:f>
        <x:v>0.12273517311460447</x:v>
      </x:c>
      <x:c r="L145" s="15" t="n">
        <x:f>IF(AND(N145,ISNUMBER(H145),ISNUMBER(I145),H145&gt;0),I145/H145-1,"n.a.")</x:f>
        <x:v>0.08572493615315957</x:v>
      </x:c>
      <x:c r="M145" s="20" t="n">
        <x:f>IF(AND(ISNUMBER(K145),ISNUMBER(L145)),100*(K145-L145),"n.a.")</x:f>
        <x:v>3.70102369614449</x:v>
      </x:c>
      <x:c r="N145" s="13" t="b">
        <x:v>1</x:v>
      </x:c>
      <x:c r="O145" s="13" t="b">
        <x:v>1</x:v>
      </x:c>
      <x:c r="P145" s="13" t="b">
        <x:v>0</x:v>
      </x:c>
      <x:c r="Q145" s="2" t="str">
        <x:v>legacy_epoch_source_QA_passed; new_common_native_support_not_certified</x:v>
      </x:c>
      <x:c r="R145" s="2" t="str">
        <x:v>legacy_epoch_source_QA_passed; new_common_native_support_not_certified</x:v>
      </x:c>
      <x:c r="S145" s="2" t="str">
        <x:v>inherited2020anchor</x:v>
      </x:c>
      <x:c r="T145" s="2" t="str">
        <x:v>unused2023converted-source comparator</x:v>
      </x:c>
      <x:c r="U145" s="2" t="str">
        <x:v>GFA growth versus source physical quantity growth; constant conversion required for equality</x:v>
      </x:c>
      <x:c r="V145" s="2" t="str">
        <x:v>2020 level is the model anchor; 2023 comparator unused by v16 fit but shares conversion/upstream lineage</x:v>
      </x:c>
      <x:c r="W145" s="2" t="str">
        <x:v>https://arxiv.org/abs/2511.12104</x:v>
      </x:c>
    </x:row>
    <x:row r="146" ht="23" customHeight="1">
      <x:c r="A146" s="2" t="str">
        <x:v>PLW</x:v>
      </x:c>
      <x:c r="B146" s="2" t="str">
        <x:v>Palau (Republic of)</x:v>
      </x:c>
      <x:c r="C146" s="2" t="str">
        <x:v>TEMPO_PROXY</x:v>
      </x:c>
      <x:c r="D146" s="2" t="n">
        <x:v>2020</x:v>
      </x:c>
      <x:c r="E146" s="2" t="n">
        <x:v>2023</x:v>
      </x:c>
      <x:c r="F146" s="17" t="n">
        <x:v>1152226.26</x:v>
      </x:c>
      <x:c r="G146" s="17" t="n">
        <x:v>1195201.2782398385</x:v>
      </x:c>
      <x:c r="H146" s="17" t="n">
        <x:v>1152226.26</x:v>
      </x:c>
      <x:c r="I146" s="17" t="n">
        <x:v>1223947.84</x:v>
      </x:c>
      <x:c r="J146" s="2" t="str">
        <x:v>m2</x:v>
      </x:c>
      <x:c r="K146" s="15" t="n">
        <x:f>IF(AND(ISNUMBER(F146),ISNUMBER(G146),F146&gt;0),G146/F146-1,"n.a.")</x:f>
        <x:v>0.03729737789506604</x:v>
      </x:c>
      <x:c r="L146" s="15" t="n">
        <x:f>IF(AND(N146,ISNUMBER(H146),ISNUMBER(I146),H146&gt;0),I146/H146-1,"n.a.")</x:f>
        <x:v>0.06224609045101959</x:v>
      </x:c>
      <x:c r="M146" s="20" t="n">
        <x:f>IF(AND(ISNUMBER(K146),ISNUMBER(L146)),100*(K146-L146),"n.a.")</x:f>
        <x:v>-2.4948712555953545</x:v>
      </x:c>
      <x:c r="N146" s="13" t="b">
        <x:v>1</x:v>
      </x:c>
      <x:c r="O146" s="13" t="b">
        <x:v>1</x:v>
      </x:c>
      <x:c r="P146" s="13" t="b">
        <x:v>0</x:v>
      </x:c>
      <x:c r="Q146" s="2" t="str">
        <x:v>legacy_epoch_source_QA_passed; new_common_native_support_not_certified</x:v>
      </x:c>
      <x:c r="R146" s="2" t="str">
        <x:v>legacy_epoch_source_QA_passed; new_common_native_support_not_certified</x:v>
      </x:c>
      <x:c r="S146" s="2" t="str">
        <x:v>inherited2020anchor</x:v>
      </x:c>
      <x:c r="T146" s="2" t="str">
        <x:v>unused2023converted-source comparator</x:v>
      </x:c>
      <x:c r="U146" s="2" t="str">
        <x:v>GFA growth versus source physical quantity growth; constant conversion required for equality</x:v>
      </x:c>
      <x:c r="V146" s="2" t="str">
        <x:v>2020 level is the model anchor; 2023 comparator unused by v16 fit but shares conversion/upstream lineage</x:v>
      </x:c>
      <x:c r="W146" s="2" t="str">
        <x:v>https://arxiv.org/abs/2511.12104</x:v>
      </x:c>
    </x:row>
    <x:row r="147" ht="23" customHeight="1">
      <x:c r="A147" s="2" t="str">
        <x:v>PNG</x:v>
      </x:c>
      <x:c r="B147" s="2" t="str">
        <x:v>Papua New Guinea (Independent State of)</x:v>
      </x:c>
      <x:c r="C147" s="2" t="str">
        <x:v>TEMPO_PROXY</x:v>
      </x:c>
      <x:c r="D147" s="2" t="n">
        <x:v>2020</x:v>
      </x:c>
      <x:c r="E147" s="2" t="n">
        <x:v>2023</x:v>
      </x:c>
      <x:c r="F147" s="17" t="n">
        <x:v>111325792.03000018</x:v>
      </x:c>
      <x:c r="G147" s="17" t="n">
        <x:v>127622114.45234741</x:v>
      </x:c>
      <x:c r="H147" s="17" t="n">
        <x:v>111325792.03000018</x:v>
      </x:c>
      <x:c r="I147" s="17" t="n">
        <x:v>111337527.52</x:v>
      </x:c>
      <x:c r="J147" s="2" t="str">
        <x:v>m2</x:v>
      </x:c>
      <x:c r="K147" s="15" t="n">
        <x:f>IF(AND(ISNUMBER(F147),ISNUMBER(G147),F147&gt;0),G147/F147-1,"n.a.")</x:f>
        <x:v>0.1463840690031264</x:v>
      </x:c>
      <x:c r="L147" s="15" t="n">
        <x:f>IF(AND(N147,ISNUMBER(H147),ISNUMBER(I147),H147&gt;0),I147/H147-1,"n.a.")</x:f>
        <x:v>0.00010541573328004539</x:v>
      </x:c>
      <x:c r="M147" s="20" t="n">
        <x:f>IF(AND(ISNUMBER(K147),ISNUMBER(L147)),100*(K147-L147),"n.a.")</x:f>
        <x:v>14.627865326984635</x:v>
      </x:c>
      <x:c r="N147" s="13" t="b">
        <x:v>1</x:v>
      </x:c>
      <x:c r="O147" s="13" t="b">
        <x:v>1</x:v>
      </x:c>
      <x:c r="P147" s="13" t="b">
        <x:v>0</x:v>
      </x:c>
      <x:c r="Q147" s="2" t="str">
        <x:v>legacy_epoch_source_QA_passed; new_common_native_support_not_certified</x:v>
      </x:c>
      <x:c r="R147" s="2" t="str">
        <x:v>legacy_epoch_source_QA_passed; new_common_native_support_not_certified</x:v>
      </x:c>
      <x:c r="S147" s="2" t="str">
        <x:v>inherited2020anchor</x:v>
      </x:c>
      <x:c r="T147" s="2" t="str">
        <x:v>unused2023converted-source comparator</x:v>
      </x:c>
      <x:c r="U147" s="2" t="str">
        <x:v>GFA growth versus source physical quantity growth; constant conversion required for equality</x:v>
      </x:c>
      <x:c r="V147" s="2" t="str">
        <x:v>2020 level is the model anchor; 2023 comparator unused by v16 fit but shares conversion/upstream lineage</x:v>
      </x:c>
      <x:c r="W147" s="2" t="str">
        <x:v>https://arxiv.org/abs/2511.12104</x:v>
      </x:c>
    </x:row>
    <x:row r="148" ht="23" customHeight="1">
      <x:c r="A148" s="2" t="str">
        <x:v>POL</x:v>
      </x:c>
      <x:c r="B148" s="2" t="str">
        <x:v>Poland (Republic of)</x:v>
      </x:c>
      <x:c r="C148" s="2" t="str">
        <x:v>TEMPO_PROXY</x:v>
      </x:c>
      <x:c r="D148" s="2" t="n">
        <x:v>2020</x:v>
      </x:c>
      <x:c r="E148" s="2" t="n">
        <x:v>2023</x:v>
      </x:c>
      <x:c r="F148" s="17" t="n">
        <x:v>2573023573.5300016</x:v>
      </x:c>
      <x:c r="G148" s="17" t="n">
        <x:v>2700645539.672737</x:v>
      </x:c>
      <x:c r="H148" s="17" t="n">
        <x:v>2573023573.5300016</x:v>
      </x:c>
      <x:c r="I148" s="17" t="n">
        <x:v>2780706970.7</x:v>
      </x:c>
      <x:c r="J148" s="2" t="str">
        <x:v>m2</x:v>
      </x:c>
      <x:c r="K148" s="15" t="n">
        <x:f>IF(AND(ISNUMBER(F148),ISNUMBER(G148),F148&gt;0),G148/F148-1,"n.a.")</x:f>
        <x:v>0.04959999879350008</x:v>
      </x:c>
      <x:c r="L148" s="15" t="n">
        <x:f>IF(AND(N148,ISNUMBER(H148),ISNUMBER(I148),H148&gt;0),I148/H148-1,"n.a.")</x:f>
        <x:v>0.0807156993455258</x:v>
      </x:c>
      <x:c r="M148" s="20" t="n">
        <x:f>IF(AND(ISNUMBER(K148),ISNUMBER(L148)),100*(K148-L148),"n.a.")</x:f>
        <x:v>-3.1115700552025727</x:v>
      </x:c>
      <x:c r="N148" s="13" t="b">
        <x:v>1</x:v>
      </x:c>
      <x:c r="O148" s="13" t="b">
        <x:v>1</x:v>
      </x:c>
      <x:c r="P148" s="13" t="b">
        <x:v>0</x:v>
      </x:c>
      <x:c r="Q148" s="2" t="str">
        <x:v>legacy_epoch_source_QA_passed; new_common_native_support_not_certified</x:v>
      </x:c>
      <x:c r="R148" s="2" t="str">
        <x:v>legacy_epoch_source_QA_passed; new_common_native_support_not_certified</x:v>
      </x:c>
      <x:c r="S148" s="2" t="str">
        <x:v>inherited2020anchor</x:v>
      </x:c>
      <x:c r="T148" s="2" t="str">
        <x:v>unused2023converted-source comparator</x:v>
      </x:c>
      <x:c r="U148" s="2" t="str">
        <x:v>GFA growth versus source physical quantity growth; constant conversion required for equality</x:v>
      </x:c>
      <x:c r="V148" s="2" t="str">
        <x:v>2020 level is the model anchor; 2023 comparator unused by v16 fit but shares conversion/upstream lineage</x:v>
      </x:c>
      <x:c r="W148" s="2" t="str">
        <x:v>https://arxiv.org/abs/2511.12104</x:v>
      </x:c>
    </x:row>
    <x:row r="149" ht="23" customHeight="1">
      <x:c r="A149" s="2" t="str">
        <x:v>PRK</x:v>
      </x:c>
      <x:c r="B149" s="2" t="str">
        <x:v>Korea (Democratic People's Republic of)</x:v>
      </x:c>
      <x:c r="C149" s="2" t="str">
        <x:v>TEMPO_PROXY</x:v>
      </x:c>
      <x:c r="D149" s="2" t="n">
        <x:v>2020</x:v>
      </x:c>
      <x:c r="E149" s="2" t="n">
        <x:v>2023</x:v>
      </x:c>
      <x:c r="F149" s="17" t="n">
        <x:v>469713807.49000067</x:v>
      </x:c>
      <x:c r="G149" s="17" t="n">
        <x:v>533888370.4753465</x:v>
      </x:c>
      <x:c r="H149" s="17" t="n">
        <x:v>469713807.49000067</x:v>
      </x:c>
      <x:c r="I149" s="17" t="n">
        <x:v>479546992.76</x:v>
      </x:c>
      <x:c r="J149" s="2" t="str">
        <x:v>m2</x:v>
      </x:c>
      <x:c r="K149" s="15" t="n">
        <x:f>IF(AND(ISNUMBER(F149),ISNUMBER(G149),F149&gt;0),G149/F149-1,"n.a.")</x:f>
        <x:v>0.13662481698861284</x:v>
      </x:c>
      <x:c r="L149" s="15" t="n">
        <x:f>IF(AND(N149,ISNUMBER(H149),ISNUMBER(I149),H149&gt;0),I149/H149-1,"n.a.")</x:f>
        <x:v>0.020934418178049086</x:v>
      </x:c>
      <x:c r="M149" s="20" t="n">
        <x:f>IF(AND(ISNUMBER(K149),ISNUMBER(L149)),100*(K149-L149),"n.a.")</x:f>
        <x:v>11.569039881056376</x:v>
      </x:c>
      <x:c r="N149" s="13" t="b">
        <x:v>1</x:v>
      </x:c>
      <x:c r="O149" s="13" t="b">
        <x:v>1</x:v>
      </x:c>
      <x:c r="P149" s="13" t="b">
        <x:v>0</x:v>
      </x:c>
      <x:c r="Q149" s="2" t="str">
        <x:v>legacy_epoch_source_QA_passed; new_common_native_support_not_certified</x:v>
      </x:c>
      <x:c r="R149" s="2" t="str">
        <x:v>legacy_epoch_source_QA_passed; new_common_native_support_not_certified</x:v>
      </x:c>
      <x:c r="S149" s="2" t="str">
        <x:v>inherited2020anchor</x:v>
      </x:c>
      <x:c r="T149" s="2" t="str">
        <x:v>unused2023converted-source comparator</x:v>
      </x:c>
      <x:c r="U149" s="2" t="str">
        <x:v>GFA growth versus source physical quantity growth; constant conversion required for equality</x:v>
      </x:c>
      <x:c r="V149" s="2" t="str">
        <x:v>2020 level is the model anchor; 2023 comparator unused by v16 fit but shares conversion/upstream lineage</x:v>
      </x:c>
      <x:c r="W149" s="2" t="str">
        <x:v>https://arxiv.org/abs/2511.12104</x:v>
      </x:c>
    </x:row>
    <x:row r="150" ht="23" customHeight="1">
      <x:c r="A150" s="2" t="str">
        <x:v>PRT</x:v>
      </x:c>
      <x:c r="B150" s="2" t="str">
        <x:v>Portugal (Portuguese Republic)</x:v>
      </x:c>
      <x:c r="C150" s="2" t="str">
        <x:v>TEMPO_PROXY</x:v>
      </x:c>
      <x:c r="D150" s="2" t="n">
        <x:v>2020</x:v>
      </x:c>
      <x:c r="E150" s="2" t="n">
        <x:v>2023</x:v>
      </x:c>
      <x:c r="F150" s="17" t="n">
        <x:v>1019333626.31</x:v>
      </x:c>
      <x:c r="G150" s="17" t="n">
        <x:v>1067142948.5214574</x:v>
      </x:c>
      <x:c r="H150" s="17" t="n">
        <x:v>1019333626.31</x:v>
      </x:c>
      <x:c r="I150" s="17" t="n">
        <x:v>1065083013.16</x:v>
      </x:c>
      <x:c r="J150" s="2" t="str">
        <x:v>m2</x:v>
      </x:c>
      <x:c r="K150" s="15" t="n">
        <x:f>IF(AND(ISNUMBER(F150),ISNUMBER(G150),F150&gt;0),G150/F150-1,"n.a.")</x:f>
        <x:v>0.04690252629507352</x:v>
      </x:c>
      <x:c r="L150" s="15" t="n">
        <x:f>IF(AND(N150,ISNUMBER(H150),ISNUMBER(I150),H150&gt;0),I150/H150-1,"n.a.")</x:f>
        <x:v>0.04488166157690032</x:v>
      </x:c>
      <x:c r="M150" s="20" t="n">
        <x:f>IF(AND(ISNUMBER(K150),ISNUMBER(L150)),100*(K150-L150),"n.a.")</x:f>
        <x:v>0.20208647181731987</x:v>
      </x:c>
      <x:c r="N150" s="13" t="b">
        <x:v>1</x:v>
      </x:c>
      <x:c r="O150" s="13" t="b">
        <x:v>1</x:v>
      </x:c>
      <x:c r="P150" s="13" t="b">
        <x:v>0</x:v>
      </x:c>
      <x:c r="Q150" s="2" t="str">
        <x:v>legacy_epoch_source_QA_passed; new_common_native_support_not_certified</x:v>
      </x:c>
      <x:c r="R150" s="2" t="str">
        <x:v>legacy_epoch_source_QA_passed; new_common_native_support_not_certified</x:v>
      </x:c>
      <x:c r="S150" s="2" t="str">
        <x:v>inherited2020anchor</x:v>
      </x:c>
      <x:c r="T150" s="2" t="str">
        <x:v>unused2023converted-source comparator</x:v>
      </x:c>
      <x:c r="U150" s="2" t="str">
        <x:v>GFA growth versus source physical quantity growth; constant conversion required for equality</x:v>
      </x:c>
      <x:c r="V150" s="2" t="str">
        <x:v>2020 level is the model anchor; 2023 comparator unused by v16 fit but shares conversion/upstream lineage</x:v>
      </x:c>
      <x:c r="W150" s="2" t="str">
        <x:v>https://arxiv.org/abs/2511.12104</x:v>
      </x:c>
    </x:row>
    <x:row r="151" ht="23" customHeight="1">
      <x:c r="A151" s="2" t="str">
        <x:v>PRY</x:v>
      </x:c>
      <x:c r="B151" s="2" t="str">
        <x:v>Paraguay (Republic of)</x:v>
      </x:c>
      <x:c r="C151" s="2" t="str">
        <x:v>TEMPO_PROXY</x:v>
      </x:c>
      <x:c r="D151" s="2" t="n">
        <x:v>2020</x:v>
      </x:c>
      <x:c r="E151" s="2" t="n">
        <x:v>2023</x:v>
      </x:c>
      <x:c r="F151" s="17" t="n">
        <x:v>336793873.4500005</x:v>
      </x:c>
      <x:c r="G151" s="17" t="n">
        <x:v>360037428.418509</x:v>
      </x:c>
      <x:c r="H151" s="17" t="n">
        <x:v>336793873.4500005</x:v>
      </x:c>
      <x:c r="I151" s="17" t="n">
        <x:v>370085965.65</x:v>
      </x:c>
      <x:c r="J151" s="2" t="str">
        <x:v>m2</x:v>
      </x:c>
      <x:c r="K151" s="15" t="n">
        <x:f>IF(AND(ISNUMBER(F151),ISNUMBER(G151),F151&gt;0),G151/F151-1,"n.a.")</x:f>
        <x:v>0.06901418582947927</x:v>
      </x:c>
      <x:c r="L151" s="15" t="n">
        <x:f>IF(AND(N151,ISNUMBER(H151),ISNUMBER(I151),H151&gt;0),I151/H151-1,"n.a.")</x:f>
        <x:v>0.0988500528794265</x:v>
      </x:c>
      <x:c r="M151" s="20" t="n">
        <x:f>IF(AND(ISNUMBER(K151),ISNUMBER(L151)),100*(K151-L151),"n.a.")</x:f>
        <x:v>-2.983586704994723</x:v>
      </x:c>
      <x:c r="N151" s="13" t="b">
        <x:v>1</x:v>
      </x:c>
      <x:c r="O151" s="13" t="b">
        <x:v>1</x:v>
      </x:c>
      <x:c r="P151" s="13" t="b">
        <x:v>0</x:v>
      </x:c>
      <x:c r="Q151" s="2" t="str">
        <x:v>legacy_epoch_source_QA_passed; new_common_native_support_not_certified</x:v>
      </x:c>
      <x:c r="R151" s="2" t="str">
        <x:v>legacy_epoch_source_QA_passed; new_common_native_support_not_certified</x:v>
      </x:c>
      <x:c r="S151" s="2" t="str">
        <x:v>inherited2020anchor</x:v>
      </x:c>
      <x:c r="T151" s="2" t="str">
        <x:v>unused2023converted-source comparator</x:v>
      </x:c>
      <x:c r="U151" s="2" t="str">
        <x:v>GFA growth versus source physical quantity growth; constant conversion required for equality</x:v>
      </x:c>
      <x:c r="V151" s="2" t="str">
        <x:v>2020 level is the model anchor; 2023 comparator unused by v16 fit but shares conversion/upstream lineage</x:v>
      </x:c>
      <x:c r="W151" s="2" t="str">
        <x:v>https://arxiv.org/abs/2511.12104</x:v>
      </x:c>
    </x:row>
    <x:row r="152" ht="23" customHeight="1">
      <x:c r="A152" s="2" t="str">
        <x:v>PSE</x:v>
      </x:c>
      <x:c r="B152" s="2" t="str">
        <x:v>State of Palestine</x:v>
      </x:c>
      <x:c r="C152" s="2" t="str">
        <x:v>TEMPO_PROXY</x:v>
      </x:c>
      <x:c r="D152" s="2" t="n">
        <x:v>2020</x:v>
      </x:c>
      <x:c r="E152" s="2" t="n">
        <x:v>2023</x:v>
      </x:c>
      <x:c r="F152" s="17" t="n">
        <x:v>239938472.63190365</x:v>
      </x:c>
      <x:c r="G152" s="17" t="n">
        <x:v>262431110.64627308</x:v>
      </x:c>
      <x:c r="H152" s="17"/>
      <x:c r="I152" s="17"/>
      <x:c r="J152" s="2" t="str">
        <x:v>m2</x:v>
      </x:c>
      <x:c r="K152" s="15" t="n">
        <x:f>IF(AND(ISNUMBER(F152),ISNUMBER(G152),F152&gt;0),G152/F152-1,"n.a.")</x:f>
        <x:v>0.0937433574851334</x:v>
      </x:c>
      <x:c r="L152" s="15" t="str">
        <x:f>IF(AND(N152,ISNUMBER(H152),ISNUMBER(I152),H152&gt;0),I152/H152-1,"n.a.")</x:f>
        <x:v>n.a.</x:v>
      </x:c>
      <x:c r="M152" s="20" t="str">
        <x:f>IF(AND(ISNUMBER(K152),ISNUMBER(L152)),100*(K152-L152),"n.a.")</x:f>
        <x:v>n.a.</x:v>
      </x:c>
      <x:c r="N152" s="13" t="b">
        <x:v>0</x:v>
      </x:c>
      <x:c r="O152" s="13" t="b">
        <x:v>0</x:v>
      </x:c>
      <x:c r="P152" s="13" t="b">
        <x:v>1</x:v>
      </x:c>
      <x:c r="Q152" s="2" t="str">
        <x:v>missing_frozen_TEMPO_epoch</x:v>
      </x:c>
      <x:c r="R152" s="2" t="str">
        <x:v>missing_frozen_TEMPO_epoch</x:v>
      </x:c>
      <x:c r="S152" s="2" t="str">
        <x:v>inherited2020anchor</x:v>
      </x:c>
      <x:c r="T152" s="2" t="str">
        <x:v>unused2023converted-source comparator</x:v>
      </x:c>
      <x:c r="U152" s="2" t="str">
        <x:v>GFA growth versus source physical quantity growth; constant conversion required for equality</x:v>
      </x:c>
      <x:c r="V152" s="2" t="str">
        <x:v>2020 level is the model anchor; 2023 comparator unused by v16 fit but shares conversion/upstream lineage</x:v>
      </x:c>
      <x:c r="W152" s="2" t="str">
        <x:v>https://arxiv.org/abs/2511.12104</x:v>
      </x:c>
    </x:row>
    <x:row r="153" ht="23" customHeight="1">
      <x:c r="A153" s="2" t="str">
        <x:v>QAT</x:v>
      </x:c>
      <x:c r="B153" s="2" t="str">
        <x:v>Qatar (State of)</x:v>
      </x:c>
      <x:c r="C153" s="2" t="str">
        <x:v>TEMPO_PROXY</x:v>
      </x:c>
      <x:c r="D153" s="2" t="n">
        <x:v>2020</x:v>
      </x:c>
      <x:c r="E153" s="2" t="n">
        <x:v>2023</x:v>
      </x:c>
      <x:c r="F153" s="17" t="n">
        <x:v>137316242.80000022</x:v>
      </x:c>
      <x:c r="G153" s="17" t="n">
        <x:v>152620233.5404953</x:v>
      </x:c>
      <x:c r="H153" s="17" t="n">
        <x:v>137316242.80000022</x:v>
      </x:c>
      <x:c r="I153" s="17" t="n">
        <x:v>153362683.68</x:v>
      </x:c>
      <x:c r="J153" s="2" t="str">
        <x:v>m2</x:v>
      </x:c>
      <x:c r="K153" s="15" t="n">
        <x:f>IF(AND(ISNUMBER(F153),ISNUMBER(G153),F153&gt;0),G153/F153-1,"n.a.")</x:f>
        <x:v>0.11145069533241747</x:v>
      </x:c>
      <x:c r="L153" s="15" t="n">
        <x:f>IF(AND(N153,ISNUMBER(H153),ISNUMBER(I153),H153&gt;0),I153/H153-1,"n.a.")</x:f>
        <x:v>0.11685755852911939</x:v>
      </x:c>
      <x:c r="M153" s="20" t="n">
        <x:f>IF(AND(ISNUMBER(K153),ISNUMBER(L153)),100*(K153-L153),"n.a.")</x:f>
        <x:v>-0.5406863196701917</x:v>
      </x:c>
      <x:c r="N153" s="13" t="b">
        <x:v>1</x:v>
      </x:c>
      <x:c r="O153" s="13" t="b">
        <x:v>1</x:v>
      </x:c>
      <x:c r="P153" s="13" t="b">
        <x:v>0</x:v>
      </x:c>
      <x:c r="Q153" s="2" t="str">
        <x:v>legacy_epoch_source_QA_passed; new_common_native_support_not_certified</x:v>
      </x:c>
      <x:c r="R153" s="2" t="str">
        <x:v>legacy_epoch_source_QA_passed; new_common_native_support_not_certified</x:v>
      </x:c>
      <x:c r="S153" s="2" t="str">
        <x:v>inherited2020anchor</x:v>
      </x:c>
      <x:c r="T153" s="2" t="str">
        <x:v>unused2023converted-source comparator</x:v>
      </x:c>
      <x:c r="U153" s="2" t="str">
        <x:v>GFA growth versus source physical quantity growth; constant conversion required for equality</x:v>
      </x:c>
      <x:c r="V153" s="2" t="str">
        <x:v>2020 level is the model anchor; 2023 comparator unused by v16 fit but shares conversion/upstream lineage</x:v>
      </x:c>
      <x:c r="W153" s="2" t="str">
        <x:v>https://arxiv.org/abs/2511.12104</x:v>
      </x:c>
    </x:row>
    <x:row r="154" ht="23" customHeight="1">
      <x:c r="A154" s="2" t="str">
        <x:v>ROU</x:v>
      </x:c>
      <x:c r="B154" s="2" t="str">
        <x:v>Romania</x:v>
      </x:c>
      <x:c r="C154" s="2" t="str">
        <x:v>TEMPO_PROXY</x:v>
      </x:c>
      <x:c r="D154" s="2" t="n">
        <x:v>2020</x:v>
      </x:c>
      <x:c r="E154" s="2" t="n">
        <x:v>2023</x:v>
      </x:c>
      <x:c r="F154" s="17" t="n">
        <x:v>1451492077.9900024</x:v>
      </x:c>
      <x:c r="G154" s="17" t="n">
        <x:v>1483847699.1618993</x:v>
      </x:c>
      <x:c r="H154" s="17" t="n">
        <x:v>1451492077.9900024</x:v>
      </x:c>
      <x:c r="I154" s="17" t="n">
        <x:v>1553477966.83</x:v>
      </x:c>
      <x:c r="J154" s="2" t="str">
        <x:v>m2</x:v>
      </x:c>
      <x:c r="K154" s="15" t="n">
        <x:f>IF(AND(ISNUMBER(F154),ISNUMBER(G154),F154&gt;0),G154/F154-1,"n.a.")</x:f>
        <x:v>0.022291283337007473</x:v>
      </x:c>
      <x:c r="L154" s="15" t="n">
        <x:f>IF(AND(N154,ISNUMBER(H154),ISNUMBER(I154),H154&gt;0),I154/H154-1,"n.a.")</x:f>
        <x:v>0.07026279398040236</x:v>
      </x:c>
      <x:c r="M154" s="20" t="n">
        <x:f>IF(AND(ISNUMBER(K154),ISNUMBER(L154)),100*(K154-L154),"n.a.")</x:f>
        <x:v>-4.797151064339489</x:v>
      </x:c>
      <x:c r="N154" s="13" t="b">
        <x:v>1</x:v>
      </x:c>
      <x:c r="O154" s="13" t="b">
        <x:v>1</x:v>
      </x:c>
      <x:c r="P154" s="13" t="b">
        <x:v>0</x:v>
      </x:c>
      <x:c r="Q154" s="2" t="str">
        <x:v>legacy_epoch_source_QA_passed; new_common_native_support_not_certified</x:v>
      </x:c>
      <x:c r="R154" s="2" t="str">
        <x:v>legacy_epoch_source_QA_passed; new_common_native_support_not_certified</x:v>
      </x:c>
      <x:c r="S154" s="2" t="str">
        <x:v>inherited2020anchor</x:v>
      </x:c>
      <x:c r="T154" s="2" t="str">
        <x:v>unused2023converted-source comparator</x:v>
      </x:c>
      <x:c r="U154" s="2" t="str">
        <x:v>GFA growth versus source physical quantity growth; constant conversion required for equality</x:v>
      </x:c>
      <x:c r="V154" s="2" t="str">
        <x:v>2020 level is the model anchor; 2023 comparator unused by v16 fit but shares conversion/upstream lineage</x:v>
      </x:c>
      <x:c r="W154" s="2" t="str">
        <x:v>https://arxiv.org/abs/2511.12104</x:v>
      </x:c>
    </x:row>
    <x:row r="155" ht="23" customHeight="1">
      <x:c r="A155" s="2" t="str">
        <x:v>RUS</x:v>
      </x:c>
      <x:c r="B155" s="2" t="str">
        <x:v>Russian Federation</x:v>
      </x:c>
      <x:c r="C155" s="2" t="str">
        <x:v>TEMPO_PROXY</x:v>
      </x:c>
      <x:c r="D155" s="2" t="n">
        <x:v>2020</x:v>
      </x:c>
      <x:c r="E155" s="2" t="n">
        <x:v>2023</x:v>
      </x:c>
      <x:c r="F155" s="17" t="n">
        <x:v>7767687345.91001</x:v>
      </x:c>
      <x:c r="G155" s="17" t="n">
        <x:v>8172232946.716192</x:v>
      </x:c>
      <x:c r="H155" s="17" t="n">
        <x:v>7767687345.91001</x:v>
      </x:c>
      <x:c r="I155" s="17" t="n">
        <x:v>8278547550.03</x:v>
      </x:c>
      <x:c r="J155" s="2" t="str">
        <x:v>m2</x:v>
      </x:c>
      <x:c r="K155" s="15" t="n">
        <x:f>IF(AND(ISNUMBER(F155),ISNUMBER(G155),F155&gt;0),G155/F155-1,"n.a.")</x:f>
        <x:v>0.05208057209192263</x:v>
      </x:c>
      <x:c r="L155" s="15" t="n">
        <x:f>IF(AND(N155,ISNUMBER(H155),ISNUMBER(I155),H155&gt;0),I155/H155-1,"n.a.")</x:f>
        <x:v>0.06576734893803082</x:v>
      </x:c>
      <x:c r="M155" s="20" t="n">
        <x:f>IF(AND(ISNUMBER(K155),ISNUMBER(L155)),100*(K155-L155),"n.a.")</x:f>
        <x:v>-1.3686776846108195</x:v>
      </x:c>
      <x:c r="N155" s="13" t="b">
        <x:v>1</x:v>
      </x:c>
      <x:c r="O155" s="13" t="b">
        <x:v>1</x:v>
      </x:c>
      <x:c r="P155" s="13" t="b">
        <x:v>0</x:v>
      </x:c>
      <x:c r="Q155" s="2" t="str">
        <x:v>legacy_epoch_source_QA_passed; new_common_native_support_not_certified</x:v>
      </x:c>
      <x:c r="R155" s="2" t="str">
        <x:v>legacy_epoch_source_QA_passed; new_common_native_support_not_certified</x:v>
      </x:c>
      <x:c r="S155" s="2" t="str">
        <x:v>inherited2020anchor</x:v>
      </x:c>
      <x:c r="T155" s="2" t="str">
        <x:v>unused2023converted-source comparator</x:v>
      </x:c>
      <x:c r="U155" s="2" t="str">
        <x:v>GFA growth versus source physical quantity growth; constant conversion required for equality</x:v>
      </x:c>
      <x:c r="V155" s="2" t="str">
        <x:v>2020 level is the model anchor; 2023 comparator unused by v16 fit but shares conversion/upstream lineage</x:v>
      </x:c>
      <x:c r="W155" s="2" t="str">
        <x:v>https://arxiv.org/abs/2511.12104</x:v>
      </x:c>
    </x:row>
    <x:row r="156" ht="23" customHeight="1">
      <x:c r="A156" s="2" t="str">
        <x:v>RWA</x:v>
      </x:c>
      <x:c r="B156" s="2" t="str">
        <x:v>Rwanda (Republic of)</x:v>
      </x:c>
      <x:c r="C156" s="2" t="str">
        <x:v>TEMPO_PROXY</x:v>
      </x:c>
      <x:c r="D156" s="2" t="n">
        <x:v>2020</x:v>
      </x:c>
      <x:c r="E156" s="2" t="n">
        <x:v>2023</x:v>
      </x:c>
      <x:c r="F156" s="17" t="n">
        <x:v>244877324.63000005</x:v>
      </x:c>
      <x:c r="G156" s="17" t="n">
        <x:v>266219888.1864959</x:v>
      </x:c>
      <x:c r="H156" s="17" t="n">
        <x:v>244877324.63000005</x:v>
      </x:c>
      <x:c r="I156" s="17" t="n">
        <x:v>277734072.08</x:v>
      </x:c>
      <x:c r="J156" s="2" t="str">
        <x:v>m2</x:v>
      </x:c>
      <x:c r="K156" s="15" t="n">
        <x:f>IF(AND(ISNUMBER(F156),ISNUMBER(G156),F156&gt;0),G156/F156-1,"n.a.")</x:f>
        <x:v>0.08715614477062594</x:v>
      </x:c>
      <x:c r="L156" s="15" t="n">
        <x:f>IF(AND(N156,ISNUMBER(H156),ISNUMBER(I156),H156&gt;0),I156/H156-1,"n.a.")</x:f>
        <x:v>0.13417635748693835</x:v>
      </x:c>
      <x:c r="M156" s="20" t="n">
        <x:f>IF(AND(ISNUMBER(K156),ISNUMBER(L156)),100*(K156-L156),"n.a.")</x:f>
        <x:v>-4.70202127163124</x:v>
      </x:c>
      <x:c r="N156" s="13" t="b">
        <x:v>1</x:v>
      </x:c>
      <x:c r="O156" s="13" t="b">
        <x:v>1</x:v>
      </x:c>
      <x:c r="P156" s="13" t="b">
        <x:v>0</x:v>
      </x:c>
      <x:c r="Q156" s="2" t="str">
        <x:v>legacy_epoch_source_QA_passed; new_common_native_support_not_certified</x:v>
      </x:c>
      <x:c r="R156" s="2" t="str">
        <x:v>legacy_epoch_source_QA_passed; new_common_native_support_not_certified</x:v>
      </x:c>
      <x:c r="S156" s="2" t="str">
        <x:v>inherited2020anchor</x:v>
      </x:c>
      <x:c r="T156" s="2" t="str">
        <x:v>unused2023converted-source comparator</x:v>
      </x:c>
      <x:c r="U156" s="2" t="str">
        <x:v>GFA growth versus source physical quantity growth; constant conversion required for equality</x:v>
      </x:c>
      <x:c r="V156" s="2" t="str">
        <x:v>2020 level is the model anchor; 2023 comparator unused by v16 fit but shares conversion/upstream lineage</x:v>
      </x:c>
      <x:c r="W156" s="2" t="str">
        <x:v>https://arxiv.org/abs/2511.12104</x:v>
      </x:c>
    </x:row>
    <x:row r="157" ht="23" customHeight="1">
      <x:c r="A157" s="2" t="str">
        <x:v>SAU</x:v>
      </x:c>
      <x:c r="B157" s="2" t="str">
        <x:v>Saudi Arabia (Kingdom of)</x:v>
      </x:c>
      <x:c r="C157" s="2" t="str">
        <x:v>TEMPO_PROXY</x:v>
      </x:c>
      <x:c r="D157" s="2" t="n">
        <x:v>2020</x:v>
      </x:c>
      <x:c r="E157" s="2" t="n">
        <x:v>2023</x:v>
      </x:c>
      <x:c r="F157" s="17" t="n">
        <x:v>1911722272.930002</x:v>
      </x:c>
      <x:c r="G157" s="17" t="n">
        <x:v>2067839009.467918</x:v>
      </x:c>
      <x:c r="H157" s="17" t="n">
        <x:v>1911722272.930002</x:v>
      </x:c>
      <x:c r="I157" s="17" t="n">
        <x:v>2104707626.12</x:v>
      </x:c>
      <x:c r="J157" s="2" t="str">
        <x:v>m2</x:v>
      </x:c>
      <x:c r="K157" s="15" t="n">
        <x:f>IF(AND(ISNUMBER(F157),ISNUMBER(G157),F157&gt;0),G157/F157-1,"n.a.")</x:f>
        <x:v>0.08166287475358214</x:v>
      </x:c>
      <x:c r="L157" s="15" t="n">
        <x:f>IF(AND(N157,ISNUMBER(H157),ISNUMBER(I157),H157&gt;0),I157/H157-1,"n.a.")</x:f>
        <x:v>0.10094842536631576</x:v>
      </x:c>
      <x:c r="M157" s="20" t="n">
        <x:f>IF(AND(ISNUMBER(K157),ISNUMBER(L157)),100*(K157-L157),"n.a.")</x:f>
        <x:v>-1.9285550612733626</x:v>
      </x:c>
      <x:c r="N157" s="13" t="b">
        <x:v>1</x:v>
      </x:c>
      <x:c r="O157" s="13" t="b">
        <x:v>1</x:v>
      </x:c>
      <x:c r="P157" s="13" t="b">
        <x:v>0</x:v>
      </x:c>
      <x:c r="Q157" s="2" t="str">
        <x:v>legacy_epoch_source_QA_passed; new_common_native_support_not_certified</x:v>
      </x:c>
      <x:c r="R157" s="2" t="str">
        <x:v>legacy_epoch_source_QA_passed; new_common_native_support_not_certified</x:v>
      </x:c>
      <x:c r="S157" s="2" t="str">
        <x:v>inherited2020anchor</x:v>
      </x:c>
      <x:c r="T157" s="2" t="str">
        <x:v>unused2023converted-source comparator</x:v>
      </x:c>
      <x:c r="U157" s="2" t="str">
        <x:v>GFA growth versus source physical quantity growth; constant conversion required for equality</x:v>
      </x:c>
      <x:c r="V157" s="2" t="str">
        <x:v>2020 level is the model anchor; 2023 comparator unused by v16 fit but shares conversion/upstream lineage</x:v>
      </x:c>
      <x:c r="W157" s="2" t="str">
        <x:v>https://arxiv.org/abs/2511.12104</x:v>
      </x:c>
    </x:row>
    <x:row r="158" ht="23" customHeight="1">
      <x:c r="A158" s="2" t="str">
        <x:v>SDN</x:v>
      </x:c>
      <x:c r="B158" s="2" t="str">
        <x:v>Sudan (Republic of the)</x:v>
      </x:c>
      <x:c r="C158" s="2" t="str">
        <x:v>TEMPO_PROXY</x:v>
      </x:c>
      <x:c r="D158" s="2" t="n">
        <x:v>2020</x:v>
      </x:c>
      <x:c r="E158" s="2" t="n">
        <x:v>2023</x:v>
      </x:c>
      <x:c r="F158" s="17" t="n">
        <x:v>751311239.6000005</x:v>
      </x:c>
      <x:c r="G158" s="17" t="n">
        <x:v>835961184.5150774</x:v>
      </x:c>
      <x:c r="H158" s="17" t="n">
        <x:v>751311239.6000005</x:v>
      </x:c>
      <x:c r="I158" s="17" t="n">
        <x:v>780315352.63</x:v>
      </x:c>
      <x:c r="J158" s="2" t="str">
        <x:v>m2</x:v>
      </x:c>
      <x:c r="K158" s="15" t="n">
        <x:f>IF(AND(ISNUMBER(F158),ISNUMBER(G158),F158&gt;0),G158/F158-1,"n.a.")</x:f>
        <x:v>0.11266961074633275</x:v>
      </x:c>
      <x:c r="L158" s="15" t="n">
        <x:f>IF(AND(N158,ISNUMBER(H158),ISNUMBER(I158),H158&gt;0),I158/H158-1,"n.a.")</x:f>
        <x:v>0.03860465743257269</x:v>
      </x:c>
      <x:c r="M158" s="20" t="n">
        <x:f>IF(AND(ISNUMBER(K158),ISNUMBER(L158)),100*(K158-L158),"n.a.")</x:f>
        <x:v>7.406495331376006</x:v>
      </x:c>
      <x:c r="N158" s="13" t="b">
        <x:v>1</x:v>
      </x:c>
      <x:c r="O158" s="13" t="b">
        <x:v>1</x:v>
      </x:c>
      <x:c r="P158" s="13" t="b">
        <x:v>0</x:v>
      </x:c>
      <x:c r="Q158" s="2" t="str">
        <x:v>legacy_epoch_source_QA_passed; new_common_native_support_not_certified</x:v>
      </x:c>
      <x:c r="R158" s="2" t="str">
        <x:v>legacy_epoch_source_QA_passed; new_common_native_support_not_certified</x:v>
      </x:c>
      <x:c r="S158" s="2" t="str">
        <x:v>inherited2020anchor</x:v>
      </x:c>
      <x:c r="T158" s="2" t="str">
        <x:v>unused2023converted-source comparator</x:v>
      </x:c>
      <x:c r="U158" s="2" t="str">
        <x:v>GFA growth versus source physical quantity growth; constant conversion required for equality</x:v>
      </x:c>
      <x:c r="V158" s="2" t="str">
        <x:v>2020 level is the model anchor; 2023 comparator unused by v16 fit but shares conversion/upstream lineage</x:v>
      </x:c>
      <x:c r="W158" s="2" t="str">
        <x:v>https://arxiv.org/abs/2511.12104</x:v>
      </x:c>
    </x:row>
    <x:row r="159" ht="23" customHeight="1">
      <x:c r="A159" s="2" t="str">
        <x:v>SEN</x:v>
      </x:c>
      <x:c r="B159" s="2" t="str">
        <x:v>Senegal (Republic of)</x:v>
      </x:c>
      <x:c r="C159" s="2" t="str">
        <x:v>TEMPO_PROXY</x:v>
      </x:c>
      <x:c r="D159" s="2" t="n">
        <x:v>2020</x:v>
      </x:c>
      <x:c r="E159" s="2" t="n">
        <x:v>2023</x:v>
      </x:c>
      <x:c r="F159" s="17" t="n">
        <x:v>305052833.6899998</x:v>
      </x:c>
      <x:c r="G159" s="17" t="n">
        <x:v>338137959.6472059</x:v>
      </x:c>
      <x:c r="H159" s="17" t="n">
        <x:v>305052833.6899998</x:v>
      </x:c>
      <x:c r="I159" s="17" t="n">
        <x:v>335964506.02</x:v>
      </x:c>
      <x:c r="J159" s="2" t="str">
        <x:v>m2</x:v>
      </x:c>
      <x:c r="K159" s="15" t="n">
        <x:f>IF(AND(ISNUMBER(F159),ISNUMBER(G159),F159&gt;0),G159/F159-1,"n.a.")</x:f>
        <x:v>0.10845703531745521</x:v>
      </x:c>
      <x:c r="L159" s="15" t="n">
        <x:f>IF(AND(N159,ISNUMBER(H159),ISNUMBER(I159),H159&gt;0),I159/H159-1,"n.a.")</x:f>
        <x:v>0.10133219205369892</x:v>
      </x:c>
      <x:c r="M159" s="20" t="n">
        <x:f>IF(AND(ISNUMBER(K159),ISNUMBER(L159)),100*(K159-L159),"n.a.")</x:f>
        <x:v>0.7124843263756286</x:v>
      </x:c>
      <x:c r="N159" s="13" t="b">
        <x:v>1</x:v>
      </x:c>
      <x:c r="O159" s="13" t="b">
        <x:v>1</x:v>
      </x:c>
      <x:c r="P159" s="13" t="b">
        <x:v>0</x:v>
      </x:c>
      <x:c r="Q159" s="2" t="str">
        <x:v>legacy_epoch_source_QA_passed; new_common_native_support_not_certified</x:v>
      </x:c>
      <x:c r="R159" s="2" t="str">
        <x:v>legacy_epoch_source_QA_passed; new_common_native_support_not_certified</x:v>
      </x:c>
      <x:c r="S159" s="2" t="str">
        <x:v>inherited2020anchor</x:v>
      </x:c>
      <x:c r="T159" s="2" t="str">
        <x:v>unused2023converted-source comparator</x:v>
      </x:c>
      <x:c r="U159" s="2" t="str">
        <x:v>GFA growth versus source physical quantity growth; constant conversion required for equality</x:v>
      </x:c>
      <x:c r="V159" s="2" t="str">
        <x:v>2020 level is the model anchor; 2023 comparator unused by v16 fit but shares conversion/upstream lineage</x:v>
      </x:c>
      <x:c r="W159" s="2" t="str">
        <x:v>https://arxiv.org/abs/2511.12104</x:v>
      </x:c>
    </x:row>
    <x:row r="160" ht="23" customHeight="1">
      <x:c r="A160" s="2" t="str">
        <x:v>SGP</x:v>
      </x:c>
      <x:c r="B160" s="2" t="str">
        <x:v>Singapore (Republic of)</x:v>
      </x:c>
      <x:c r="C160" s="2" t="str">
        <x:v>TEMPO_PROXY</x:v>
      </x:c>
      <x:c r="D160" s="2" t="n">
        <x:v>2020</x:v>
      </x:c>
      <x:c r="E160" s="2" t="n">
        <x:v>2023</x:v>
      </x:c>
      <x:c r="F160" s="17" t="n">
        <x:v>194662203.04</x:v>
      </x:c>
      <x:c r="G160" s="17" t="n">
        <x:v>226441430.31132615</x:v>
      </x:c>
      <x:c r="H160" s="17" t="n">
        <x:v>194662203.04</x:v>
      </x:c>
      <x:c r="I160" s="17" t="n">
        <x:v>213019503.2</x:v>
      </x:c>
      <x:c r="J160" s="2" t="str">
        <x:v>m2</x:v>
      </x:c>
      <x:c r="K160" s="15" t="n">
        <x:f>IF(AND(ISNUMBER(F160),ISNUMBER(G160),F160&gt;0),G160/F160-1,"n.a.")</x:f>
        <x:v>0.163253198489673</x:v>
      </x:c>
      <x:c r="L160" s="15" t="n">
        <x:f>IF(AND(N160,ISNUMBER(H160),ISNUMBER(I160),H160&gt;0),I160/H160-1,"n.a.")</x:f>
        <x:v>0.09430336178938581</x:v>
      </x:c>
      <x:c r="M160" s="20" t="n">
        <x:f>IF(AND(ISNUMBER(K160),ISNUMBER(L160)),100*(K160-L160),"n.a.")</x:f>
        <x:v>6.89498367002872</x:v>
      </x:c>
      <x:c r="N160" s="13" t="b">
        <x:v>1</x:v>
      </x:c>
      <x:c r="O160" s="13" t="b">
        <x:v>1</x:v>
      </x:c>
      <x:c r="P160" s="13" t="b">
        <x:v>0</x:v>
      </x:c>
      <x:c r="Q160" s="2" t="str">
        <x:v>legacy_epoch_source_QA_passed; new_common_native_support_not_certified</x:v>
      </x:c>
      <x:c r="R160" s="2" t="str">
        <x:v>legacy_epoch_source_QA_passed; new_common_native_support_not_certified</x:v>
      </x:c>
      <x:c r="S160" s="2" t="str">
        <x:v>inherited2020anchor</x:v>
      </x:c>
      <x:c r="T160" s="2" t="str">
        <x:v>unused2023converted-source comparator</x:v>
      </x:c>
      <x:c r="U160" s="2" t="str">
        <x:v>GFA growth versus source physical quantity growth; constant conversion required for equality</x:v>
      </x:c>
      <x:c r="V160" s="2" t="str">
        <x:v>2020 level is the model anchor; 2023 comparator unused by v16 fit but shares conversion/upstream lineage</x:v>
      </x:c>
      <x:c r="W160" s="2" t="str">
        <x:v>https://arxiv.org/abs/2511.12104</x:v>
      </x:c>
    </x:row>
    <x:row r="161" ht="23" customHeight="1">
      <x:c r="A161" s="2" t="str">
        <x:v>SLB</x:v>
      </x:c>
      <x:c r="B161" s="2" t="str">
        <x:v>Solomon Islands</x:v>
      </x:c>
      <x:c r="C161" s="2" t="str">
        <x:v>TEMPO_PROXY</x:v>
      </x:c>
      <x:c r="D161" s="2" t="n">
        <x:v>2020</x:v>
      </x:c>
      <x:c r="E161" s="2" t="n">
        <x:v>2023</x:v>
      </x:c>
      <x:c r="F161" s="17" t="n">
        <x:v>14438629.189999975</x:v>
      </x:c>
      <x:c r="G161" s="17" t="n">
        <x:v>16306252.212643614</x:v>
      </x:c>
      <x:c r="H161" s="17" t="n">
        <x:v>14438629.189999975</x:v>
      </x:c>
      <x:c r="I161" s="17" t="n">
        <x:v>14566828.58</x:v>
      </x:c>
      <x:c r="J161" s="2" t="str">
        <x:v>m2</x:v>
      </x:c>
      <x:c r="K161" s="15" t="n">
        <x:f>IF(AND(ISNUMBER(F161),ISNUMBER(G161),F161&gt;0),G161/F161-1,"n.a.")</x:f>
        <x:v>0.12934905371329375</x:v>
      </x:c>
      <x:c r="L161" s="15" t="n">
        <x:f>IF(AND(N161,ISNUMBER(H161),ISNUMBER(I161),H161&gt;0),I161/H161-1,"n.a.")</x:f>
        <x:v>0.008878916988104057</x:v>
      </x:c>
      <x:c r="M161" s="20" t="n">
        <x:f>IF(AND(ISNUMBER(K161),ISNUMBER(L161)),100*(K161-L161),"n.a.")</x:f>
        <x:v>12.047013672518968</x:v>
      </x:c>
      <x:c r="N161" s="13" t="b">
        <x:v>1</x:v>
      </x:c>
      <x:c r="O161" s="13" t="b">
        <x:v>1</x:v>
      </x:c>
      <x:c r="P161" s="13" t="b">
        <x:v>0</x:v>
      </x:c>
      <x:c r="Q161" s="2" t="str">
        <x:v>legacy_epoch_source_QA_passed; new_common_native_support_not_certified</x:v>
      </x:c>
      <x:c r="R161" s="2" t="str">
        <x:v>legacy_epoch_source_QA_passed; new_common_native_support_not_certified</x:v>
      </x:c>
      <x:c r="S161" s="2" t="str">
        <x:v>inherited2020anchor</x:v>
      </x:c>
      <x:c r="T161" s="2" t="str">
        <x:v>unused2023converted-source comparator</x:v>
      </x:c>
      <x:c r="U161" s="2" t="str">
        <x:v>GFA growth versus source physical quantity growth; constant conversion required for equality</x:v>
      </x:c>
      <x:c r="V161" s="2" t="str">
        <x:v>2020 level is the model anchor; 2023 comparator unused by v16 fit but shares conversion/upstream lineage</x:v>
      </x:c>
      <x:c r="W161" s="2" t="str">
        <x:v>https://arxiv.org/abs/2511.12104</x:v>
      </x:c>
    </x:row>
    <x:row r="162" ht="23" customHeight="1">
      <x:c r="A162" s="2" t="str">
        <x:v>SLE</x:v>
      </x:c>
      <x:c r="B162" s="2" t="str">
        <x:v>Sierra Leone (Republic of)</x:v>
      </x:c>
      <x:c r="C162" s="2" t="str">
        <x:v>TEMPO_PROXY</x:v>
      </x:c>
      <x:c r="D162" s="2" t="n">
        <x:v>2020</x:v>
      </x:c>
      <x:c r="E162" s="2" t="n">
        <x:v>2023</x:v>
      </x:c>
      <x:c r="F162" s="17" t="n">
        <x:v>115259924.94999996</x:v>
      </x:c>
      <x:c r="G162" s="17" t="n">
        <x:v>129856241.15136361</x:v>
      </x:c>
      <x:c r="H162" s="17" t="n">
        <x:v>115259924.94999996</x:v>
      </x:c>
      <x:c r="I162" s="17" t="n">
        <x:v>120733489.63</x:v>
      </x:c>
      <x:c r="J162" s="2" t="str">
        <x:v>m2</x:v>
      </x:c>
      <x:c r="K162" s="15" t="n">
        <x:f>IF(AND(ISNUMBER(F162),ISNUMBER(G162),F162&gt;0),G162/F162-1,"n.a.")</x:f>
        <x:v>0.12663825876769885</x:v>
      </x:c>
      <x:c r="L162" s="15" t="n">
        <x:f>IF(AND(N162,ISNUMBER(H162),ISNUMBER(I162),H162&gt;0),I162/H162-1,"n.a.")</x:f>
        <x:v>0.047488879438143616</x:v>
      </x:c>
      <x:c r="M162" s="20" t="n">
        <x:f>IF(AND(ISNUMBER(K162),ISNUMBER(L162)),100*(K162-L162),"n.a.")</x:f>
        <x:v>7.914937932955524</x:v>
      </x:c>
      <x:c r="N162" s="13" t="b">
        <x:v>1</x:v>
      </x:c>
      <x:c r="O162" s="13" t="b">
        <x:v>1</x:v>
      </x:c>
      <x:c r="P162" s="13" t="b">
        <x:v>0</x:v>
      </x:c>
      <x:c r="Q162" s="2" t="str">
        <x:v>legacy_epoch_source_QA_passed; new_common_native_support_not_certified</x:v>
      </x:c>
      <x:c r="R162" s="2" t="str">
        <x:v>legacy_epoch_source_QA_passed; new_common_native_support_not_certified</x:v>
      </x:c>
      <x:c r="S162" s="2" t="str">
        <x:v>inherited2020anchor</x:v>
      </x:c>
      <x:c r="T162" s="2" t="str">
        <x:v>unused2023converted-source comparator</x:v>
      </x:c>
      <x:c r="U162" s="2" t="str">
        <x:v>GFA growth versus source physical quantity growth; constant conversion required for equality</x:v>
      </x:c>
      <x:c r="V162" s="2" t="str">
        <x:v>2020 level is the model anchor; 2023 comparator unused by v16 fit but shares conversion/upstream lineage</x:v>
      </x:c>
      <x:c r="W162" s="2" t="str">
        <x:v>https://arxiv.org/abs/2511.12104</x:v>
      </x:c>
    </x:row>
    <x:row r="163" ht="23" customHeight="1">
      <x:c r="A163" s="2" t="str">
        <x:v>SLV</x:v>
      </x:c>
      <x:c r="B163" s="2" t="str">
        <x:v>El Salvador (Republic of)</x:v>
      </x:c>
      <x:c r="C163" s="2" t="str">
        <x:v>TEMPO_PROXY</x:v>
      </x:c>
      <x:c r="D163" s="2" t="n">
        <x:v>2020</x:v>
      </x:c>
      <x:c r="E163" s="2" t="n">
        <x:v>2023</x:v>
      </x:c>
      <x:c r="F163" s="17" t="n">
        <x:v>245414047.01000017</x:v>
      </x:c>
      <x:c r="G163" s="17" t="n">
        <x:v>261024429.91522917</x:v>
      </x:c>
      <x:c r="H163" s="17" t="n">
        <x:v>245414047.01000017</x:v>
      </x:c>
      <x:c r="I163" s="17" t="n">
        <x:v>261944365.07</x:v>
      </x:c>
      <x:c r="J163" s="2" t="str">
        <x:v>m2</x:v>
      </x:c>
      <x:c r="K163" s="15" t="n">
        <x:f>IF(AND(ISNUMBER(F163),ISNUMBER(G163),F163&gt;0),G163/F163-1,"n.a.")</x:f>
        <x:v>0.0636083512554313</x:v>
      </x:c>
      <x:c r="L163" s="15" t="n">
        <x:f>IF(AND(N163,ISNUMBER(H163),ISNUMBER(I163),H163&gt;0),I163/H163-1,"n.a.")</x:f>
        <x:v>0.067356853698461</x:v>
      </x:c>
      <x:c r="M163" s="20" t="n">
        <x:f>IF(AND(ISNUMBER(K163),ISNUMBER(L163)),100*(K163-L163),"n.a.")</x:f>
        <x:v>-0.3748502443029711</x:v>
      </x:c>
      <x:c r="N163" s="13" t="b">
        <x:v>1</x:v>
      </x:c>
      <x:c r="O163" s="13" t="b">
        <x:v>1</x:v>
      </x:c>
      <x:c r="P163" s="13" t="b">
        <x:v>0</x:v>
      </x:c>
      <x:c r="Q163" s="2" t="str">
        <x:v>legacy_epoch_source_QA_passed; new_common_native_support_not_certified</x:v>
      </x:c>
      <x:c r="R163" s="2" t="str">
        <x:v>legacy_epoch_source_QA_passed; new_common_native_support_not_certified</x:v>
      </x:c>
      <x:c r="S163" s="2" t="str">
        <x:v>inherited2020anchor</x:v>
      </x:c>
      <x:c r="T163" s="2" t="str">
        <x:v>unused2023converted-source comparator</x:v>
      </x:c>
      <x:c r="U163" s="2" t="str">
        <x:v>GFA growth versus source physical quantity growth; constant conversion required for equality</x:v>
      </x:c>
      <x:c r="V163" s="2" t="str">
        <x:v>2020 level is the model anchor; 2023 comparator unused by v16 fit but shares conversion/upstream lineage</x:v>
      </x:c>
      <x:c r="W163" s="2" t="str">
        <x:v>https://arxiv.org/abs/2511.12104</x:v>
      </x:c>
    </x:row>
    <x:row r="164" ht="23" customHeight="1">
      <x:c r="A164" s="2" t="str">
        <x:v>SMR</x:v>
      </x:c>
      <x:c r="B164" s="2" t="str">
        <x:v>San Marino (Republic of)</x:v>
      </x:c>
      <x:c r="C164" s="2" t="str">
        <x:v>TEMPO_PROXY</x:v>
      </x:c>
      <x:c r="D164" s="2" t="n">
        <x:v>2020</x:v>
      </x:c>
      <x:c r="E164" s="2" t="n">
        <x:v>2023</x:v>
      </x:c>
      <x:c r="F164" s="17" t="n">
        <x:v>3030681.630000002</x:v>
      </x:c>
      <x:c r="G164" s="17" t="n">
        <x:v>3250655.826220989</x:v>
      </x:c>
      <x:c r="H164" s="17" t="n">
        <x:v>3030681.630000002</x:v>
      </x:c>
      <x:c r="I164" s="17" t="n">
        <x:v>3170012.44</x:v>
      </x:c>
      <x:c r="J164" s="2" t="str">
        <x:v>m2</x:v>
      </x:c>
      <x:c r="K164" s="15" t="n">
        <x:f>IF(AND(ISNUMBER(F164),ISNUMBER(G164),F164&gt;0),G164/F164-1,"n.a.")</x:f>
        <x:v>0.07258241645823649</x:v>
      </x:c>
      <x:c r="L164" s="15" t="n">
        <x:f>IF(AND(N164,ISNUMBER(H164),ISNUMBER(I164),H164&gt;0),I164/H164-1,"n.a.")</x:f>
        <x:v>0.045973423477014164</x:v>
      </x:c>
      <x:c r="M164" s="20" t="n">
        <x:f>IF(AND(ISNUMBER(K164),ISNUMBER(L164)),100*(K164-L164),"n.a.")</x:f>
        <x:v>2.6608992981222324</x:v>
      </x:c>
      <x:c r="N164" s="13" t="b">
        <x:v>1</x:v>
      </x:c>
      <x:c r="O164" s="13" t="b">
        <x:v>1</x:v>
      </x:c>
      <x:c r="P164" s="13" t="b">
        <x:v>0</x:v>
      </x:c>
      <x:c r="Q164" s="2" t="str">
        <x:v>legacy_epoch_source_QA_passed; new_common_native_support_not_certified</x:v>
      </x:c>
      <x:c r="R164" s="2" t="str">
        <x:v>legacy_epoch_source_QA_passed; new_common_native_support_not_certified</x:v>
      </x:c>
      <x:c r="S164" s="2" t="str">
        <x:v>inherited2020anchor</x:v>
      </x:c>
      <x:c r="T164" s="2" t="str">
        <x:v>unused2023converted-source comparator</x:v>
      </x:c>
      <x:c r="U164" s="2" t="str">
        <x:v>GFA growth versus source physical quantity growth; constant conversion required for equality</x:v>
      </x:c>
      <x:c r="V164" s="2" t="str">
        <x:v>2020 level is the model anchor; 2023 comparator unused by v16 fit but shares conversion/upstream lineage</x:v>
      </x:c>
      <x:c r="W164" s="2" t="str">
        <x:v>https://arxiv.org/abs/2511.12104</x:v>
      </x:c>
    </x:row>
    <x:row r="165" ht="23" customHeight="1">
      <x:c r="A165" s="2" t="str">
        <x:v>SOM</x:v>
      </x:c>
      <x:c r="B165" s="2" t="str">
        <x:v>Somalia (Federal Republic of)</x:v>
      </x:c>
      <x:c r="C165" s="2" t="str">
        <x:v>TEMPO_PROXY</x:v>
      </x:c>
      <x:c r="D165" s="2" t="n">
        <x:v>2020</x:v>
      </x:c>
      <x:c r="E165" s="2" t="n">
        <x:v>2023</x:v>
      </x:c>
      <x:c r="F165" s="17" t="n">
        <x:v>134848326.33000013</x:v>
      </x:c>
      <x:c r="G165" s="17" t="n">
        <x:v>159520140.05612206</x:v>
      </x:c>
      <x:c r="H165" s="17" t="n">
        <x:v>134848326.33000013</x:v>
      </x:c>
      <x:c r="I165" s="17" t="n">
        <x:v>150313667.33</x:v>
      </x:c>
      <x:c r="J165" s="2" t="str">
        <x:v>m2</x:v>
      </x:c>
      <x:c r="K165" s="15" t="n">
        <x:f>IF(AND(ISNUMBER(F165),ISNUMBER(G165),F165&gt;0),G165/F165-1,"n.a.")</x:f>
        <x:v>0.18295973259427178</x:v>
      </x:c>
      <x:c r="L165" s="15" t="n">
        <x:f>IF(AND(N165,ISNUMBER(H165),ISNUMBER(I165),H165&gt;0),I165/H165-1,"n.a.")</x:f>
        <x:v>0.11468693324493451</x:v>
      </x:c>
      <x:c r="M165" s="20" t="n">
        <x:f>IF(AND(ISNUMBER(K165),ISNUMBER(L165)),100*(K165-L165),"n.a.")</x:f>
        <x:v>6.827279934933728</x:v>
      </x:c>
      <x:c r="N165" s="13" t="b">
        <x:v>1</x:v>
      </x:c>
      <x:c r="O165" s="13" t="b">
        <x:v>1</x:v>
      </x:c>
      <x:c r="P165" s="13" t="b">
        <x:v>0</x:v>
      </x:c>
      <x:c r="Q165" s="2" t="str">
        <x:v>legacy_epoch_source_QA_passed; new_common_native_support_not_certified</x:v>
      </x:c>
      <x:c r="R165" s="2" t="str">
        <x:v>legacy_epoch_source_QA_passed; new_common_native_support_not_certified</x:v>
      </x:c>
      <x:c r="S165" s="2" t="str">
        <x:v>inherited2020anchor</x:v>
      </x:c>
      <x:c r="T165" s="2" t="str">
        <x:v>unused2023converted-source comparator</x:v>
      </x:c>
      <x:c r="U165" s="2" t="str">
        <x:v>GFA growth versus source physical quantity growth; constant conversion required for equality</x:v>
      </x:c>
      <x:c r="V165" s="2" t="str">
        <x:v>2020 level is the model anchor; 2023 comparator unused by v16 fit but shares conversion/upstream lineage</x:v>
      </x:c>
      <x:c r="W165" s="2" t="str">
        <x:v>https://arxiv.org/abs/2511.12104</x:v>
      </x:c>
    </x:row>
    <x:row r="166" ht="23" customHeight="1">
      <x:c r="A166" s="2" t="str">
        <x:v>SRB</x:v>
      </x:c>
      <x:c r="B166" s="2" t="str">
        <x:v>Serbia (Republic of)</x:v>
      </x:c>
      <x:c r="C166" s="2" t="str">
        <x:v>TEMPO_PROXY</x:v>
      </x:c>
      <x:c r="D166" s="2" t="n">
        <x:v>2020</x:v>
      </x:c>
      <x:c r="E166" s="2" t="n">
        <x:v>2023</x:v>
      </x:c>
      <x:c r="F166" s="17" t="n">
        <x:v>584520286.2100008</x:v>
      </x:c>
      <x:c r="G166" s="17" t="n">
        <x:v>594802444.5711257</x:v>
      </x:c>
      <x:c r="H166" s="17" t="n">
        <x:v>584520286.2100008</x:v>
      </x:c>
      <x:c r="I166" s="17" t="n">
        <x:v>605430808.53</x:v>
      </x:c>
      <x:c r="J166" s="2" t="str">
        <x:v>m2</x:v>
      </x:c>
      <x:c r="K166" s="15" t="n">
        <x:f>IF(AND(ISNUMBER(F166),ISNUMBER(G166),F166&gt;0),G166/F166-1,"n.a.")</x:f>
        <x:v>0.017590763919921315</x:v>
      </x:c>
      <x:c r="L166" s="15" t="n">
        <x:f>IF(AND(N166,ISNUMBER(H166),ISNUMBER(I166),H166&gt;0),I166/H166-1,"n.a.")</x:f>
        <x:v>0.03577381797231016</x:v>
      </x:c>
      <x:c r="M166" s="20" t="n">
        <x:f>IF(AND(ISNUMBER(K166),ISNUMBER(L166)),100*(K166-L166),"n.a.")</x:f>
        <x:v>-1.8183054052388847</x:v>
      </x:c>
      <x:c r="N166" s="13" t="b">
        <x:v>1</x:v>
      </x:c>
      <x:c r="O166" s="13" t="b">
        <x:v>1</x:v>
      </x:c>
      <x:c r="P166" s="13" t="b">
        <x:v>0</x:v>
      </x:c>
      <x:c r="Q166" s="2" t="str">
        <x:v>legacy_epoch_source_QA_passed; new_common_native_support_not_certified</x:v>
      </x:c>
      <x:c r="R166" s="2" t="str">
        <x:v>legacy_epoch_source_QA_passed; new_common_native_support_not_certified</x:v>
      </x:c>
      <x:c r="S166" s="2" t="str">
        <x:v>inherited2020anchor</x:v>
      </x:c>
      <x:c r="T166" s="2" t="str">
        <x:v>unused2023converted-source comparator</x:v>
      </x:c>
      <x:c r="U166" s="2" t="str">
        <x:v>GFA growth versus source physical quantity growth; constant conversion required for equality</x:v>
      </x:c>
      <x:c r="V166" s="2" t="str">
        <x:v>2020 level is the model anchor; 2023 comparator unused by v16 fit but shares conversion/upstream lineage</x:v>
      </x:c>
      <x:c r="W166" s="2" t="str">
        <x:v>https://arxiv.org/abs/2511.12104</x:v>
      </x:c>
    </x:row>
    <x:row r="167" ht="23" customHeight="1">
      <x:c r="A167" s="2" t="str">
        <x:v>SSD</x:v>
      </x:c>
      <x:c r="B167" s="2" t="str">
        <x:v>South Sudan (Republic of)</x:v>
      </x:c>
      <x:c r="C167" s="2" t="str">
        <x:v>TEMPO_PROXY</x:v>
      </x:c>
      <x:c r="D167" s="2" t="n">
        <x:v>2020</x:v>
      </x:c>
      <x:c r="E167" s="2" t="n">
        <x:v>2023</x:v>
      </x:c>
      <x:c r="F167" s="17" t="n">
        <x:v>82483216.59000005</x:v>
      </x:c>
      <x:c r="G167" s="17" t="n">
        <x:v>92690983.58884174</x:v>
      </x:c>
      <x:c r="H167" s="17" t="n">
        <x:v>82483216.59000005</x:v>
      </x:c>
      <x:c r="I167" s="17" t="n">
        <x:v>87971259.95</x:v>
      </x:c>
      <x:c r="J167" s="2" t="str">
        <x:v>m2</x:v>
      </x:c>
      <x:c r="K167" s="15" t="n">
        <x:f>IF(AND(ISNUMBER(F167),ISNUMBER(G167),F167&gt;0),G167/F167-1,"n.a.")</x:f>
        <x:v>0.12375568534846937</x:v>
      </x:c>
      <x:c r="L167" s="15" t="n">
        <x:f>IF(AND(N167,ISNUMBER(H167),ISNUMBER(I167),H167&gt;0),I167/H167-1,"n.a.")</x:f>
        <x:v>0.06653527331844256</x:v>
      </x:c>
      <x:c r="M167" s="20" t="n">
        <x:f>IF(AND(ISNUMBER(K167),ISNUMBER(L167)),100*(K167-L167),"n.a.")</x:f>
        <x:v>5.722041203002681</x:v>
      </x:c>
      <x:c r="N167" s="13" t="b">
        <x:v>1</x:v>
      </x:c>
      <x:c r="O167" s="13" t="b">
        <x:v>1</x:v>
      </x:c>
      <x:c r="P167" s="13" t="b">
        <x:v>0</x:v>
      </x:c>
      <x:c r="Q167" s="2" t="str">
        <x:v>legacy_epoch_source_QA_passed; new_common_native_support_not_certified</x:v>
      </x:c>
      <x:c r="R167" s="2" t="str">
        <x:v>legacy_epoch_source_QA_passed; new_common_native_support_not_certified</x:v>
      </x:c>
      <x:c r="S167" s="2" t="str">
        <x:v>inherited2020anchor</x:v>
      </x:c>
      <x:c r="T167" s="2" t="str">
        <x:v>unused2023converted-source comparator</x:v>
      </x:c>
      <x:c r="U167" s="2" t="str">
        <x:v>GFA growth versus source physical quantity growth; constant conversion required for equality</x:v>
      </x:c>
      <x:c r="V167" s="2" t="str">
        <x:v>2020 level is the model anchor; 2023 comparator unused by v16 fit but shares conversion/upstream lineage</x:v>
      </x:c>
      <x:c r="W167" s="2" t="str">
        <x:v>https://arxiv.org/abs/2511.12104</x:v>
      </x:c>
    </x:row>
    <x:row r="168" ht="23" customHeight="1">
      <x:c r="A168" s="2" t="str">
        <x:v>STP</x:v>
      </x:c>
      <x:c r="B168" s="2" t="str">
        <x:v>Sao Tome and Principe (Democratic Republic of)</x:v>
      </x:c>
      <x:c r="C168" s="2" t="str">
        <x:v>TEMPO_PROXY</x:v>
      </x:c>
      <x:c r="D168" s="2" t="n">
        <x:v>2020</x:v>
      </x:c>
      <x:c r="E168" s="2" t="n">
        <x:v>2023</x:v>
      </x:c>
      <x:c r="F168" s="17" t="n">
        <x:v>6153544.550000003</x:v>
      </x:c>
      <x:c r="G168" s="17" t="n">
        <x:v>6818483.323616166</x:v>
      </x:c>
      <x:c r="H168" s="17" t="n">
        <x:v>6153544.550000003</x:v>
      </x:c>
      <x:c r="I168" s="17" t="n">
        <x:v>6216233.54</x:v>
      </x:c>
      <x:c r="J168" s="2" t="str">
        <x:v>m2</x:v>
      </x:c>
      <x:c r="K168" s="15" t="n">
        <x:f>IF(AND(ISNUMBER(F168),ISNUMBER(G168),F168&gt;0),G168/F168-1,"n.a.")</x:f>
        <x:v>0.10805784669522911</x:v>
      </x:c>
      <x:c r="L168" s="15" t="n">
        <x:f>IF(AND(N168,ISNUMBER(H168),ISNUMBER(I168),H168&gt;0),I168/H168-1,"n.a.")</x:f>
        <x:v>0.010187460168789686</x:v>
      </x:c>
      <x:c r="M168" s="20" t="n">
        <x:f>IF(AND(ISNUMBER(K168),ISNUMBER(L168)),100*(K168-L168),"n.a.")</x:f>
        <x:v>9.787038652643943</x:v>
      </x:c>
      <x:c r="N168" s="13" t="b">
        <x:v>1</x:v>
      </x:c>
      <x:c r="O168" s="13" t="b">
        <x:v>1</x:v>
      </x:c>
      <x:c r="P168" s="13" t="b">
        <x:v>0</x:v>
      </x:c>
      <x:c r="Q168" s="2" t="str">
        <x:v>legacy_epoch_source_QA_passed; new_common_native_support_not_certified</x:v>
      </x:c>
      <x:c r="R168" s="2" t="str">
        <x:v>legacy_epoch_source_QA_passed; new_common_native_support_not_certified</x:v>
      </x:c>
      <x:c r="S168" s="2" t="str">
        <x:v>inherited2020anchor</x:v>
      </x:c>
      <x:c r="T168" s="2" t="str">
        <x:v>unused2023converted-source comparator</x:v>
      </x:c>
      <x:c r="U168" s="2" t="str">
        <x:v>GFA growth versus source physical quantity growth; constant conversion required for equality</x:v>
      </x:c>
      <x:c r="V168" s="2" t="str">
        <x:v>2020 level is the model anchor; 2023 comparator unused by v16 fit but shares conversion/upstream lineage</x:v>
      </x:c>
      <x:c r="W168" s="2" t="str">
        <x:v>https://arxiv.org/abs/2511.12104</x:v>
      </x:c>
    </x:row>
    <x:row r="169" ht="23" customHeight="1">
      <x:c r="A169" s="2" t="str">
        <x:v>SUR</x:v>
      </x:c>
      <x:c r="B169" s="2" t="str">
        <x:v>Suriname (Republic of)</x:v>
      </x:c>
      <x:c r="C169" s="2" t="str">
        <x:v>TEMPO_PROXY</x:v>
      </x:c>
      <x:c r="D169" s="2" t="n">
        <x:v>2020</x:v>
      </x:c>
      <x:c r="E169" s="2" t="n">
        <x:v>2023</x:v>
      </x:c>
      <x:c r="F169" s="17" t="n">
        <x:v>50598825.22000002</x:v>
      </x:c>
      <x:c r="G169" s="17" t="n">
        <x:v>53172347.76025656</x:v>
      </x:c>
      <x:c r="H169" s="17" t="n">
        <x:v>50598825.22000002</x:v>
      </x:c>
      <x:c r="I169" s="17" t="n">
        <x:v>51982456.44</x:v>
      </x:c>
      <x:c r="J169" s="2" t="str">
        <x:v>m2</x:v>
      </x:c>
      <x:c r="K169" s="15" t="n">
        <x:f>IF(AND(ISNUMBER(F169),ISNUMBER(G169),F169&gt;0),G169/F169-1,"n.a.")</x:f>
        <x:v>0.050861310100917434</x:v>
      </x:c>
      <x:c r="L169" s="15" t="n">
        <x:f>IF(AND(N169,ISNUMBER(H169),ISNUMBER(I169),H169&gt;0),I169/H169-1,"n.a.")</x:f>
        <x:v>0.02734512538550149</x:v>
      </x:c>
      <x:c r="M169" s="20" t="n">
        <x:f>IF(AND(ISNUMBER(K169),ISNUMBER(L169)),100*(K169-L169),"n.a.")</x:f>
        <x:v>2.3516184715415944</x:v>
      </x:c>
      <x:c r="N169" s="13" t="b">
        <x:v>1</x:v>
      </x:c>
      <x:c r="O169" s="13" t="b">
        <x:v>1</x:v>
      </x:c>
      <x:c r="P169" s="13" t="b">
        <x:v>0</x:v>
      </x:c>
      <x:c r="Q169" s="2" t="str">
        <x:v>legacy_epoch_source_QA_passed; new_common_native_support_not_certified</x:v>
      </x:c>
      <x:c r="R169" s="2" t="str">
        <x:v>legacy_epoch_source_QA_passed; new_common_native_support_not_certified</x:v>
      </x:c>
      <x:c r="S169" s="2" t="str">
        <x:v>inherited2020anchor</x:v>
      </x:c>
      <x:c r="T169" s="2" t="str">
        <x:v>unused2023converted-source comparator</x:v>
      </x:c>
      <x:c r="U169" s="2" t="str">
        <x:v>GFA growth versus source physical quantity growth; constant conversion required for equality</x:v>
      </x:c>
      <x:c r="V169" s="2" t="str">
        <x:v>2020 level is the model anchor; 2023 comparator unused by v16 fit but shares conversion/upstream lineage</x:v>
      </x:c>
      <x:c r="W169" s="2" t="str">
        <x:v>https://arxiv.org/abs/2511.12104</x:v>
      </x:c>
    </x:row>
    <x:row r="170" ht="23" customHeight="1">
      <x:c r="A170" s="2" t="str">
        <x:v>SVK</x:v>
      </x:c>
      <x:c r="B170" s="2" t="str">
        <x:v>Slovakia (Slovak Republic)</x:v>
      </x:c>
      <x:c r="C170" s="2" t="str">
        <x:v>TEMPO_PROXY</x:v>
      </x:c>
      <x:c r="D170" s="2" t="n">
        <x:v>2020</x:v>
      </x:c>
      <x:c r="E170" s="2" t="n">
        <x:v>2023</x:v>
      </x:c>
      <x:c r="F170" s="17" t="n">
        <x:v>391189188.0500002</x:v>
      </x:c>
      <x:c r="G170" s="17" t="n">
        <x:v>412340398.81688684</x:v>
      </x:c>
      <x:c r="H170" s="17" t="n">
        <x:v>391189188.0500002</x:v>
      </x:c>
      <x:c r="I170" s="17" t="n">
        <x:v>421745624.75</x:v>
      </x:c>
      <x:c r="J170" s="2" t="str">
        <x:v>m2</x:v>
      </x:c>
      <x:c r="K170" s="15" t="n">
        <x:f>IF(AND(ISNUMBER(F170),ISNUMBER(G170),F170&gt;0),G170/F170-1,"n.a.")</x:f>
        <x:v>0.05406900653957547</x:v>
      </x:c>
      <x:c r="L170" s="15" t="n">
        <x:f>IF(AND(N170,ISNUMBER(H170),ISNUMBER(I170),H170&gt;0),I170/H170-1,"n.a.")</x:f>
        <x:v>0.07811165960981059</x:v>
      </x:c>
      <x:c r="M170" s="20" t="n">
        <x:f>IF(AND(ISNUMBER(K170),ISNUMBER(L170)),100*(K170-L170),"n.a.")</x:f>
        <x:v>-2.404265307023512</x:v>
      </x:c>
      <x:c r="N170" s="13" t="b">
        <x:v>1</x:v>
      </x:c>
      <x:c r="O170" s="13" t="b">
        <x:v>1</x:v>
      </x:c>
      <x:c r="P170" s="13" t="b">
        <x:v>0</x:v>
      </x:c>
      <x:c r="Q170" s="2" t="str">
        <x:v>legacy_epoch_source_QA_passed; new_common_native_support_not_certified</x:v>
      </x:c>
      <x:c r="R170" s="2" t="str">
        <x:v>legacy_epoch_source_QA_passed; new_common_native_support_not_certified</x:v>
      </x:c>
      <x:c r="S170" s="2" t="str">
        <x:v>inherited2020anchor</x:v>
      </x:c>
      <x:c r="T170" s="2" t="str">
        <x:v>unused2023converted-source comparator</x:v>
      </x:c>
      <x:c r="U170" s="2" t="str">
        <x:v>GFA growth versus source physical quantity growth; constant conversion required for equality</x:v>
      </x:c>
      <x:c r="V170" s="2" t="str">
        <x:v>2020 level is the model anchor; 2023 comparator unused by v16 fit but shares conversion/upstream lineage</x:v>
      </x:c>
      <x:c r="W170" s="2" t="str">
        <x:v>https://arxiv.org/abs/2511.12104</x:v>
      </x:c>
    </x:row>
    <x:row r="171" ht="23" customHeight="1">
      <x:c r="A171" s="2" t="str">
        <x:v>SVN</x:v>
      </x:c>
      <x:c r="B171" s="2" t="str">
        <x:v>Slovenia (Republic of)</x:v>
      </x:c>
      <x:c r="C171" s="2" t="str">
        <x:v>TEMPO_PROXY</x:v>
      </x:c>
      <x:c r="D171" s="2" t="n">
        <x:v>2020</x:v>
      </x:c>
      <x:c r="E171" s="2" t="n">
        <x:v>2023</x:v>
      </x:c>
      <x:c r="F171" s="17" t="n">
        <x:v>188783306.59000015</x:v>
      </x:c>
      <x:c r="G171" s="17" t="n">
        <x:v>199590518.4316829</x:v>
      </x:c>
      <x:c r="H171" s="17" t="n">
        <x:v>188783306.59000015</x:v>
      </x:c>
      <x:c r="I171" s="17" t="n">
        <x:v>198142046.73</x:v>
      </x:c>
      <x:c r="J171" s="2" t="str">
        <x:v>m2</x:v>
      </x:c>
      <x:c r="K171" s="15" t="n">
        <x:f>IF(AND(ISNUMBER(F171),ISNUMBER(G171),F171&gt;0),G171/F171-1,"n.a.")</x:f>
        <x:v>0.05724664980656313</x:v>
      </x:c>
      <x:c r="L171" s="15" t="n">
        <x:f>IF(AND(N171,ISNUMBER(H171),ISNUMBER(I171),H171&gt;0),I171/H171-1,"n.a.")</x:f>
        <x:v>0.04957398145549585</x:v>
      </x:c>
      <x:c r="M171" s="20" t="n">
        <x:f>IF(AND(ISNUMBER(K171),ISNUMBER(L171)),100*(K171-L171),"n.a.")</x:f>
        <x:v>0.767266835106728</x:v>
      </x:c>
      <x:c r="N171" s="13" t="b">
        <x:v>1</x:v>
      </x:c>
      <x:c r="O171" s="13" t="b">
        <x:v>1</x:v>
      </x:c>
      <x:c r="P171" s="13" t="b">
        <x:v>0</x:v>
      </x:c>
      <x:c r="Q171" s="2" t="str">
        <x:v>legacy_epoch_source_QA_passed; new_common_native_support_not_certified</x:v>
      </x:c>
      <x:c r="R171" s="2" t="str">
        <x:v>legacy_epoch_source_QA_passed; new_common_native_support_not_certified</x:v>
      </x:c>
      <x:c r="S171" s="2" t="str">
        <x:v>inherited2020anchor</x:v>
      </x:c>
      <x:c r="T171" s="2" t="str">
        <x:v>unused2023converted-source comparator</x:v>
      </x:c>
      <x:c r="U171" s="2" t="str">
        <x:v>GFA growth versus source physical quantity growth; constant conversion required for equality</x:v>
      </x:c>
      <x:c r="V171" s="2" t="str">
        <x:v>2020 level is the model anchor; 2023 comparator unused by v16 fit but shares conversion/upstream lineage</x:v>
      </x:c>
      <x:c r="W171" s="2" t="str">
        <x:v>https://arxiv.org/abs/2511.12104</x:v>
      </x:c>
    </x:row>
    <x:row r="172" ht="23" customHeight="1">
      <x:c r="A172" s="2" t="str">
        <x:v>SWE</x:v>
      </x:c>
      <x:c r="B172" s="2" t="str">
        <x:v>Sweden (Kingdom of)</x:v>
      </x:c>
      <x:c r="C172" s="2" t="str">
        <x:v>TEMPO_PROXY</x:v>
      </x:c>
      <x:c r="D172" s="2" t="n">
        <x:v>2020</x:v>
      </x:c>
      <x:c r="E172" s="2" t="n">
        <x:v>2023</x:v>
      </x:c>
      <x:c r="F172" s="17" t="n">
        <x:v>860750073.0500002</x:v>
      </x:c>
      <x:c r="G172" s="17" t="n">
        <x:v>964341597.2007422</x:v>
      </x:c>
      <x:c r="H172" s="17" t="n">
        <x:v>860750073.0500002</x:v>
      </x:c>
      <x:c r="I172" s="17" t="n">
        <x:v>928478260.76</x:v>
      </x:c>
      <x:c r="J172" s="2" t="str">
        <x:v>m2</x:v>
      </x:c>
      <x:c r="K172" s="15" t="n">
        <x:f>IF(AND(ISNUMBER(F172),ISNUMBER(G172),F172&gt;0),G172/F172-1,"n.a.")</x:f>
        <x:v>0.12035029376607964</x:v>
      </x:c>
      <x:c r="L172" s="15" t="n">
        <x:f>IF(AND(N172,ISNUMBER(H172),ISNUMBER(I172),H172&gt;0),I172/H172-1,"n.a.")</x:f>
        <x:v>0.07868507924723178</x:v>
      </x:c>
      <x:c r="M172" s="20" t="n">
        <x:f>IF(AND(ISNUMBER(K172),ISNUMBER(L172)),100*(K172-L172),"n.a.")</x:f>
        <x:v>4.166521451884786</x:v>
      </x:c>
      <x:c r="N172" s="13" t="b">
        <x:v>1</x:v>
      </x:c>
      <x:c r="O172" s="13" t="b">
        <x:v>1</x:v>
      </x:c>
      <x:c r="P172" s="13" t="b">
        <x:v>0</x:v>
      </x:c>
      <x:c r="Q172" s="2" t="str">
        <x:v>legacy_epoch_source_QA_passed; new_common_native_support_not_certified</x:v>
      </x:c>
      <x:c r="R172" s="2" t="str">
        <x:v>legacy_epoch_source_QA_passed; new_common_native_support_not_certified</x:v>
      </x:c>
      <x:c r="S172" s="2" t="str">
        <x:v>inherited2020anchor</x:v>
      </x:c>
      <x:c r="T172" s="2" t="str">
        <x:v>unused2023converted-source comparator</x:v>
      </x:c>
      <x:c r="U172" s="2" t="str">
        <x:v>GFA growth versus source physical quantity growth; constant conversion required for equality</x:v>
      </x:c>
      <x:c r="V172" s="2" t="str">
        <x:v>2020 level is the model anchor; 2023 comparator unused by v16 fit but shares conversion/upstream lineage</x:v>
      </x:c>
      <x:c r="W172" s="2" t="str">
        <x:v>https://arxiv.org/abs/2511.12104</x:v>
      </x:c>
    </x:row>
    <x:row r="173" ht="23" customHeight="1">
      <x:c r="A173" s="2" t="str">
        <x:v>SWZ</x:v>
      </x:c>
      <x:c r="B173" s="2" t="str">
        <x:v>Eswatini (Kingdom of)</x:v>
      </x:c>
      <x:c r="C173" s="2" t="str">
        <x:v>TEMPO_PROXY</x:v>
      </x:c>
      <x:c r="D173" s="2" t="n">
        <x:v>2020</x:v>
      </x:c>
      <x:c r="E173" s="2" t="n">
        <x:v>2023</x:v>
      </x:c>
      <x:c r="F173" s="17" t="n">
        <x:v>51228621.629999995</x:v>
      </x:c>
      <x:c r="G173" s="17" t="n">
        <x:v>53055083.172159255</x:v>
      </x:c>
      <x:c r="H173" s="17" t="n">
        <x:v>51228621.629999995</x:v>
      </x:c>
      <x:c r="I173" s="17" t="n">
        <x:v>54818020.65</x:v>
      </x:c>
      <x:c r="J173" s="2" t="str">
        <x:v>m2</x:v>
      </x:c>
      <x:c r="K173" s="15" t="n">
        <x:f>IF(AND(ISNUMBER(F173),ISNUMBER(G173),F173&gt;0),G173/F173-1,"n.a.")</x:f>
        <x:v>0.03565314630854055</x:v>
      </x:c>
      <x:c r="L173" s="15" t="n">
        <x:f>IF(AND(N173,ISNUMBER(H173),ISNUMBER(I173),H173&gt;0),I173/H173-1,"n.a.")</x:f>
        <x:v>0.07006628142221993</x:v>
      </x:c>
      <x:c r="M173" s="20" t="n">
        <x:f>IF(AND(ISNUMBER(K173),ISNUMBER(L173)),100*(K173-L173),"n.a.")</x:f>
        <x:v>-3.4413135113679383</x:v>
      </x:c>
      <x:c r="N173" s="13" t="b">
        <x:v>1</x:v>
      </x:c>
      <x:c r="O173" s="13" t="b">
        <x:v>1</x:v>
      </x:c>
      <x:c r="P173" s="13" t="b">
        <x:v>0</x:v>
      </x:c>
      <x:c r="Q173" s="2" t="str">
        <x:v>legacy_epoch_source_QA_passed; new_common_native_support_not_certified</x:v>
      </x:c>
      <x:c r="R173" s="2" t="str">
        <x:v>legacy_epoch_source_QA_passed; new_common_native_support_not_certified</x:v>
      </x:c>
      <x:c r="S173" s="2" t="str">
        <x:v>inherited2020anchor</x:v>
      </x:c>
      <x:c r="T173" s="2" t="str">
        <x:v>unused2023converted-source comparator</x:v>
      </x:c>
      <x:c r="U173" s="2" t="str">
        <x:v>GFA growth versus source physical quantity growth; constant conversion required for equality</x:v>
      </x:c>
      <x:c r="V173" s="2" t="str">
        <x:v>2020 level is the model anchor; 2023 comparator unused by v16 fit but shares conversion/upstream lineage</x:v>
      </x:c>
      <x:c r="W173" s="2" t="str">
        <x:v>https://arxiv.org/abs/2511.12104</x:v>
      </x:c>
    </x:row>
    <x:row r="174" ht="23" customHeight="1">
      <x:c r="A174" s="2" t="str">
        <x:v>SYC</x:v>
      </x:c>
      <x:c r="B174" s="2" t="str">
        <x:v>Seychelles (Republic of)</x:v>
      </x:c>
      <x:c r="C174" s="2" t="str">
        <x:v>TEMPO_PROXY</x:v>
      </x:c>
      <x:c r="D174" s="2" t="n">
        <x:v>2020</x:v>
      </x:c>
      <x:c r="E174" s="2" t="n">
        <x:v>2023</x:v>
      </x:c>
      <x:c r="F174" s="17" t="n">
        <x:v>7317572.880000001</x:v>
      </x:c>
      <x:c r="G174" s="17" t="n">
        <x:v>8032324.393538225</x:v>
      </x:c>
      <x:c r="H174" s="17" t="n">
        <x:v>7317572.880000001</x:v>
      </x:c>
      <x:c r="I174" s="17" t="n">
        <x:v>7673242.18</x:v>
      </x:c>
      <x:c r="J174" s="2" t="str">
        <x:v>m2</x:v>
      </x:c>
      <x:c r="K174" s="15" t="n">
        <x:f>IF(AND(ISNUMBER(F174),ISNUMBER(G174),F174&gt;0),G174/F174-1,"n.a.")</x:f>
        <x:v>0.0976760362020781</x:v>
      </x:c>
      <x:c r="L174" s="15" t="n">
        <x:f>IF(AND(N174,ISNUMBER(H174),ISNUMBER(I174),H174&gt;0),I174/H174-1,"n.a.")</x:f>
        <x:v>0.0486048182686496</x:v>
      </x:c>
      <x:c r="M174" s="20" t="n">
        <x:f>IF(AND(ISNUMBER(K174),ISNUMBER(L174)),100*(K174-L174),"n.a.")</x:f>
        <x:v>4.90712179334285</x:v>
      </x:c>
      <x:c r="N174" s="13" t="b">
        <x:v>1</x:v>
      </x:c>
      <x:c r="O174" s="13" t="b">
        <x:v>1</x:v>
      </x:c>
      <x:c r="P174" s="13" t="b">
        <x:v>0</x:v>
      </x:c>
      <x:c r="Q174" s="2" t="str">
        <x:v>legacy_epoch_source_QA_passed; new_common_native_support_not_certified</x:v>
      </x:c>
      <x:c r="R174" s="2" t="str">
        <x:v>legacy_epoch_source_QA_passed; new_common_native_support_not_certified</x:v>
      </x:c>
      <x:c r="S174" s="2" t="str">
        <x:v>inherited2020anchor</x:v>
      </x:c>
      <x:c r="T174" s="2" t="str">
        <x:v>unused2023converted-source comparator</x:v>
      </x:c>
      <x:c r="U174" s="2" t="str">
        <x:v>GFA growth versus source physical quantity growth; constant conversion required for equality</x:v>
      </x:c>
      <x:c r="V174" s="2" t="str">
        <x:v>2020 level is the model anchor; 2023 comparator unused by v16 fit but shares conversion/upstream lineage</x:v>
      </x:c>
      <x:c r="W174" s="2" t="str">
        <x:v>https://arxiv.org/abs/2511.12104</x:v>
      </x:c>
    </x:row>
    <x:row r="175" ht="23" customHeight="1">
      <x:c r="A175" s="2" t="str">
        <x:v>SYR</x:v>
      </x:c>
      <x:c r="B175" s="2" t="str">
        <x:v>Syrian Arab Republic</x:v>
      </x:c>
      <x:c r="C175" s="2" t="str">
        <x:v>TEMPO_PROXY</x:v>
      </x:c>
      <x:c r="D175" s="2" t="n">
        <x:v>2020</x:v>
      </x:c>
      <x:c r="E175" s="2" t="n">
        <x:v>2023</x:v>
      </x:c>
      <x:c r="F175" s="17" t="n">
        <x:v>795482211.65</x:v>
      </x:c>
      <x:c r="G175" s="17" t="n">
        <x:v>894113829.7998247</x:v>
      </x:c>
      <x:c r="H175" s="17" t="n">
        <x:v>795482211.65</x:v>
      </x:c>
      <x:c r="I175" s="17" t="n">
        <x:v>824666220.12</x:v>
      </x:c>
      <x:c r="J175" s="2" t="str">
        <x:v>m2</x:v>
      </x:c>
      <x:c r="K175" s="15" t="n">
        <x:f>IF(AND(ISNUMBER(F175),ISNUMBER(G175),F175&gt;0),G175/F175-1,"n.a.")</x:f>
        <x:v>0.12398972183833212</x:v>
      </x:c>
      <x:c r="L175" s="15" t="n">
        <x:f>IF(AND(N175,ISNUMBER(H175),ISNUMBER(I175),H175&gt;0),I175/H175-1,"n.a.")</x:f>
        <x:v>0.03668719179711899</x:v>
      </x:c>
      <x:c r="M175" s="20" t="n">
        <x:f>IF(AND(ISNUMBER(K175),ISNUMBER(L175)),100*(K175-L175),"n.a.")</x:f>
        <x:v>8.730253004121312</x:v>
      </x:c>
      <x:c r="N175" s="13" t="b">
        <x:v>1</x:v>
      </x:c>
      <x:c r="O175" s="13" t="b">
        <x:v>1</x:v>
      </x:c>
      <x:c r="P175" s="13" t="b">
        <x:v>0</x:v>
      </x:c>
      <x:c r="Q175" s="2" t="str">
        <x:v>legacy_epoch_source_QA_passed; new_common_native_support_not_certified</x:v>
      </x:c>
      <x:c r="R175" s="2" t="str">
        <x:v>legacy_epoch_source_QA_passed; new_common_native_support_not_certified</x:v>
      </x:c>
      <x:c r="S175" s="2" t="str">
        <x:v>inherited2020anchor</x:v>
      </x:c>
      <x:c r="T175" s="2" t="str">
        <x:v>unused2023converted-source comparator</x:v>
      </x:c>
      <x:c r="U175" s="2" t="str">
        <x:v>GFA growth versus source physical quantity growth; constant conversion required for equality</x:v>
      </x:c>
      <x:c r="V175" s="2" t="str">
        <x:v>2020 level is the model anchor; 2023 comparator unused by v16 fit but shares conversion/upstream lineage</x:v>
      </x:c>
      <x:c r="W175" s="2" t="str">
        <x:v>https://arxiv.org/abs/2511.12104</x:v>
      </x:c>
    </x:row>
    <x:row r="176" ht="23" customHeight="1">
      <x:c r="A176" s="2" t="str">
        <x:v>TCD</x:v>
      </x:c>
      <x:c r="B176" s="2" t="str">
        <x:v>Chad (Republic of)</x:v>
      </x:c>
      <x:c r="C176" s="2" t="str">
        <x:v>TEMPO_PROXY</x:v>
      </x:c>
      <x:c r="D176" s="2" t="n">
        <x:v>2020</x:v>
      </x:c>
      <x:c r="E176" s="2" t="n">
        <x:v>2023</x:v>
      </x:c>
      <x:c r="F176" s="17" t="n">
        <x:v>126450494.21999988</x:v>
      </x:c>
      <x:c r="G176" s="17" t="n">
        <x:v>144627097.09096757</x:v>
      </x:c>
      <x:c r="H176" s="17" t="n">
        <x:v>126450494.21999988</x:v>
      </x:c>
      <x:c r="I176" s="17" t="n">
        <x:v>139916047.9</x:v>
      </x:c>
      <x:c r="J176" s="2" t="str">
        <x:v>m2</x:v>
      </x:c>
      <x:c r="K176" s="15" t="n">
        <x:f>IF(AND(ISNUMBER(F176),ISNUMBER(G176),F176&gt;0),G176/F176-1,"n.a.")</x:f>
        <x:v>0.14374481478375123</x:v>
      </x:c>
      <x:c r="L176" s="15" t="n">
        <x:f>IF(AND(N176,ISNUMBER(H176),ISNUMBER(I176),H176&gt;0),I176/H176-1,"n.a.")</x:f>
        <x:v>0.10648873903626366</x:v>
      </x:c>
      <x:c r="M176" s="20" t="n">
        <x:f>IF(AND(ISNUMBER(K176),ISNUMBER(L176)),100*(K176-L176),"n.a.")</x:f>
        <x:v>3.725607574748757</x:v>
      </x:c>
      <x:c r="N176" s="13" t="b">
        <x:v>1</x:v>
      </x:c>
      <x:c r="O176" s="13" t="b">
        <x:v>1</x:v>
      </x:c>
      <x:c r="P176" s="13" t="b">
        <x:v>0</x:v>
      </x:c>
      <x:c r="Q176" s="2" t="str">
        <x:v>legacy_epoch_source_QA_passed; new_common_native_support_not_certified</x:v>
      </x:c>
      <x:c r="R176" s="2" t="str">
        <x:v>legacy_epoch_source_QA_passed; new_common_native_support_not_certified</x:v>
      </x:c>
      <x:c r="S176" s="2" t="str">
        <x:v>inherited2020anchor</x:v>
      </x:c>
      <x:c r="T176" s="2" t="str">
        <x:v>unused2023converted-source comparator</x:v>
      </x:c>
      <x:c r="U176" s="2" t="str">
        <x:v>GFA growth versus source physical quantity growth; constant conversion required for equality</x:v>
      </x:c>
      <x:c r="V176" s="2" t="str">
        <x:v>2020 level is the model anchor; 2023 comparator unused by v16 fit but shares conversion/upstream lineage</x:v>
      </x:c>
      <x:c r="W176" s="2" t="str">
        <x:v>https://arxiv.org/abs/2511.12104</x:v>
      </x:c>
    </x:row>
    <x:row r="177" ht="23" customHeight="1">
      <x:c r="A177" s="2" t="str">
        <x:v>TGO</x:v>
      </x:c>
      <x:c r="B177" s="2" t="str">
        <x:v>Togo (Togolese Republic)</x:v>
      </x:c>
      <x:c r="C177" s="2" t="str">
        <x:v>TEMPO_PROXY</x:v>
      </x:c>
      <x:c r="D177" s="2" t="n">
        <x:v>2020</x:v>
      </x:c>
      <x:c r="E177" s="2" t="n">
        <x:v>2023</x:v>
      </x:c>
      <x:c r="F177" s="17" t="n">
        <x:v>185693532.7300002</x:v>
      </x:c>
      <x:c r="G177" s="17" t="n">
        <x:v>202627737.73450005</x:v>
      </x:c>
      <x:c r="H177" s="17" t="n">
        <x:v>185693532.7300002</x:v>
      </x:c>
      <x:c r="I177" s="17" t="n">
        <x:v>209305536.68</x:v>
      </x:c>
      <x:c r="J177" s="2" t="str">
        <x:v>m2</x:v>
      </x:c>
      <x:c r="K177" s="15" t="n">
        <x:f>IF(AND(ISNUMBER(F177),ISNUMBER(G177),F177&gt;0),G177/F177-1,"n.a.")</x:f>
        <x:v>0.0911943714761585</x:v>
      </x:c>
      <x:c r="L177" s="15" t="n">
        <x:f>IF(AND(N177,ISNUMBER(H177),ISNUMBER(I177),H177&gt;0),I177/H177-1,"n.a.")</x:f>
        <x:v>0.12715576898594438</x:v>
      </x:c>
      <x:c r="M177" s="20" t="n">
        <x:f>IF(AND(ISNUMBER(K177),ISNUMBER(L177)),100*(K177-L177),"n.a.")</x:f>
        <x:v>-3.5961397509785886</x:v>
      </x:c>
      <x:c r="N177" s="13" t="b">
        <x:v>1</x:v>
      </x:c>
      <x:c r="O177" s="13" t="b">
        <x:v>1</x:v>
      </x:c>
      <x:c r="P177" s="13" t="b">
        <x:v>0</x:v>
      </x:c>
      <x:c r="Q177" s="2" t="str">
        <x:v>legacy_epoch_source_QA_passed; new_common_native_support_not_certified</x:v>
      </x:c>
      <x:c r="R177" s="2" t="str">
        <x:v>legacy_epoch_source_QA_passed; new_common_native_support_not_certified</x:v>
      </x:c>
      <x:c r="S177" s="2" t="str">
        <x:v>inherited2020anchor</x:v>
      </x:c>
      <x:c r="T177" s="2" t="str">
        <x:v>unused2023converted-source comparator</x:v>
      </x:c>
      <x:c r="U177" s="2" t="str">
        <x:v>GFA growth versus source physical quantity growth; constant conversion required for equality</x:v>
      </x:c>
      <x:c r="V177" s="2" t="str">
        <x:v>2020 level is the model anchor; 2023 comparator unused by v16 fit but shares conversion/upstream lineage</x:v>
      </x:c>
      <x:c r="W177" s="2" t="str">
        <x:v>https://arxiv.org/abs/2511.12104</x:v>
      </x:c>
    </x:row>
    <x:row r="178" ht="23" customHeight="1">
      <x:c r="A178" s="2" t="str">
        <x:v>THA</x:v>
      </x:c>
      <x:c r="B178" s="2" t="str">
        <x:v>Thailand (Kingdom of)</x:v>
      </x:c>
      <x:c r="C178" s="2" t="str">
        <x:v>TEMPO_PROXY</x:v>
      </x:c>
      <x:c r="D178" s="2" t="n">
        <x:v>2020</x:v>
      </x:c>
      <x:c r="E178" s="2" t="n">
        <x:v>2023</x:v>
      </x:c>
      <x:c r="F178" s="17" t="n">
        <x:v>5229846890.149993</x:v>
      </x:c>
      <x:c r="G178" s="17" t="n">
        <x:v>5408286735.094725</x:v>
      </x:c>
      <x:c r="H178" s="17" t="n">
        <x:v>5229846890.149993</x:v>
      </x:c>
      <x:c r="I178" s="17" t="n">
        <x:v>5667036516.15</x:v>
      </x:c>
      <x:c r="J178" s="2" t="str">
        <x:v>m2</x:v>
      </x:c>
      <x:c r="K178" s="15" t="n">
        <x:f>IF(AND(ISNUMBER(F178),ISNUMBER(G178),F178&gt;0),G178/F178-1,"n.a.")</x:f>
        <x:v>0.03411951605711616</x:v>
      </x:c>
      <x:c r="L178" s="15" t="n">
        <x:f>IF(AND(N178,ISNUMBER(H178),ISNUMBER(I178),H178&gt;0),I178/H178-1,"n.a.")</x:f>
        <x:v>0.0835951099875254</x:v>
      </x:c>
      <x:c r="M178" s="20" t="n">
        <x:f>IF(AND(ISNUMBER(K178),ISNUMBER(L178)),100*(K178-L178),"n.a.")</x:f>
        <x:v>-4.947559393040923</x:v>
      </x:c>
      <x:c r="N178" s="13" t="b">
        <x:v>1</x:v>
      </x:c>
      <x:c r="O178" s="13" t="b">
        <x:v>1</x:v>
      </x:c>
      <x:c r="P178" s="13" t="b">
        <x:v>0</x:v>
      </x:c>
      <x:c r="Q178" s="2" t="str">
        <x:v>legacy_epoch_source_QA_passed; new_common_native_support_not_certified</x:v>
      </x:c>
      <x:c r="R178" s="2" t="str">
        <x:v>legacy_epoch_source_QA_passed; new_common_native_support_not_certified</x:v>
      </x:c>
      <x:c r="S178" s="2" t="str">
        <x:v>inherited2020anchor</x:v>
      </x:c>
      <x:c r="T178" s="2" t="str">
        <x:v>unused2023converted-source comparator</x:v>
      </x:c>
      <x:c r="U178" s="2" t="str">
        <x:v>GFA growth versus source physical quantity growth; constant conversion required for equality</x:v>
      </x:c>
      <x:c r="V178" s="2" t="str">
        <x:v>2020 level is the model anchor; 2023 comparator unused by v16 fit but shares conversion/upstream lineage</x:v>
      </x:c>
      <x:c r="W178" s="2" t="str">
        <x:v>https://arxiv.org/abs/2511.12104</x:v>
      </x:c>
    </x:row>
    <x:row r="179" ht="23" customHeight="1">
      <x:c r="A179" s="2" t="str">
        <x:v>TJK</x:v>
      </x:c>
      <x:c r="B179" s="2" t="str">
        <x:v>Tajikistan (Republic of)</x:v>
      </x:c>
      <x:c r="C179" s="2" t="str">
        <x:v>TEMPO_PROXY</x:v>
      </x:c>
      <x:c r="D179" s="2" t="n">
        <x:v>2020</x:v>
      </x:c>
      <x:c r="E179" s="2" t="n">
        <x:v>2023</x:v>
      </x:c>
      <x:c r="F179" s="17" t="n">
        <x:v>392955797.9200004</x:v>
      </x:c>
      <x:c r="G179" s="17" t="n">
        <x:v>421817980.74880624</x:v>
      </x:c>
      <x:c r="H179" s="17" t="n">
        <x:v>392955797.9200004</x:v>
      </x:c>
      <x:c r="I179" s="17" t="n">
        <x:v>429052966.63</x:v>
      </x:c>
      <x:c r="J179" s="2" t="str">
        <x:v>m2</x:v>
      </x:c>
      <x:c r="K179" s="15" t="n">
        <x:f>IF(AND(ISNUMBER(F179),ISNUMBER(G179),F179&gt;0),G179/F179-1,"n.a.")</x:f>
        <x:v>0.07344892983276896</x:v>
      </x:c>
      <x:c r="L179" s="15" t="n">
        <x:f>IF(AND(N179,ISNUMBER(H179),ISNUMBER(I179),H179&gt;0),I179/H179-1,"n.a.")</x:f>
        <x:v>0.09186063394679422</x:v>
      </x:c>
      <x:c r="M179" s="20" t="n">
        <x:f>IF(AND(ISNUMBER(K179),ISNUMBER(L179)),100*(K179-L179),"n.a.")</x:f>
        <x:v>-1.8411704114025262</x:v>
      </x:c>
      <x:c r="N179" s="13" t="b">
        <x:v>1</x:v>
      </x:c>
      <x:c r="O179" s="13" t="b">
        <x:v>1</x:v>
      </x:c>
      <x:c r="P179" s="13" t="b">
        <x:v>0</x:v>
      </x:c>
      <x:c r="Q179" s="2" t="str">
        <x:v>legacy_epoch_source_QA_passed; new_common_native_support_not_certified</x:v>
      </x:c>
      <x:c r="R179" s="2" t="str">
        <x:v>legacy_epoch_source_QA_passed; new_common_native_support_not_certified</x:v>
      </x:c>
      <x:c r="S179" s="2" t="str">
        <x:v>inherited2020anchor</x:v>
      </x:c>
      <x:c r="T179" s="2" t="str">
        <x:v>unused2023converted-source comparator</x:v>
      </x:c>
      <x:c r="U179" s="2" t="str">
        <x:v>GFA growth versus source physical quantity growth; constant conversion required for equality</x:v>
      </x:c>
      <x:c r="V179" s="2" t="str">
        <x:v>2020 level is the model anchor; 2023 comparator unused by v16 fit but shares conversion/upstream lineage</x:v>
      </x:c>
      <x:c r="W179" s="2" t="str">
        <x:v>https://arxiv.org/abs/2511.12104</x:v>
      </x:c>
    </x:row>
    <x:row r="180" ht="23" customHeight="1">
      <x:c r="A180" s="2" t="str">
        <x:v>TKM</x:v>
      </x:c>
      <x:c r="B180" s="2" t="str">
        <x:v>Turkmenistan</x:v>
      </x:c>
      <x:c r="C180" s="2" t="str">
        <x:v>TEMPO_PROXY</x:v>
      </x:c>
      <x:c r="D180" s="2" t="n">
        <x:v>2020</x:v>
      </x:c>
      <x:c r="E180" s="2" t="n">
        <x:v>2023</x:v>
      </x:c>
      <x:c r="F180" s="17" t="n">
        <x:v>359976676.1500005</x:v>
      </x:c>
      <x:c r="G180" s="17" t="n">
        <x:v>380873674.62837243</x:v>
      </x:c>
      <x:c r="H180" s="17" t="n">
        <x:v>359976676.1500005</x:v>
      </x:c>
      <x:c r="I180" s="17" t="n">
        <x:v>394619540.28</x:v>
      </x:c>
      <x:c r="J180" s="2" t="str">
        <x:v>m2</x:v>
      </x:c>
      <x:c r="K180" s="15" t="n">
        <x:f>IF(AND(ISNUMBER(F180),ISNUMBER(G180),F180&gt;0),G180/F180-1,"n.a.")</x:f>
        <x:v>0.058050979029719896</x:v>
      </x:c>
      <x:c r="L180" s="15" t="n">
        <x:f>IF(AND(N180,ISNUMBER(H180),ISNUMBER(I180),H180&gt;0),I180/H180-1,"n.a.")</x:f>
        <x:v>0.09623641314906739</x:v>
      </x:c>
      <x:c r="M180" s="20" t="n">
        <x:f>IF(AND(ISNUMBER(K180),ISNUMBER(L180)),100*(K180-L180),"n.a.")</x:f>
        <x:v>-3.8185434119347494</x:v>
      </x:c>
      <x:c r="N180" s="13" t="b">
        <x:v>1</x:v>
      </x:c>
      <x:c r="O180" s="13" t="b">
        <x:v>1</x:v>
      </x:c>
      <x:c r="P180" s="13" t="b">
        <x:v>0</x:v>
      </x:c>
      <x:c r="Q180" s="2" t="str">
        <x:v>legacy_epoch_source_QA_passed; new_common_native_support_not_certified</x:v>
      </x:c>
      <x:c r="R180" s="2" t="str">
        <x:v>legacy_epoch_source_QA_passed; new_common_native_support_not_certified</x:v>
      </x:c>
      <x:c r="S180" s="2" t="str">
        <x:v>inherited2020anchor</x:v>
      </x:c>
      <x:c r="T180" s="2" t="str">
        <x:v>unused2023converted-source comparator</x:v>
      </x:c>
      <x:c r="U180" s="2" t="str">
        <x:v>GFA growth versus source physical quantity growth; constant conversion required for equality</x:v>
      </x:c>
      <x:c r="V180" s="2" t="str">
        <x:v>2020 level is the model anchor; 2023 comparator unused by v16 fit but shares conversion/upstream lineage</x:v>
      </x:c>
      <x:c r="W180" s="2" t="str">
        <x:v>https://arxiv.org/abs/2511.12104</x:v>
      </x:c>
    </x:row>
    <x:row r="181" ht="23" customHeight="1">
      <x:c r="A181" s="2" t="str">
        <x:v>TLS</x:v>
      </x:c>
      <x:c r="B181" s="2" t="str">
        <x:v>Timor-Leste (Democratic Republic of)</x:v>
      </x:c>
      <x:c r="C181" s="2" t="str">
        <x:v>TEMPO_PROXY</x:v>
      </x:c>
      <x:c r="D181" s="2" t="n">
        <x:v>2020</x:v>
      </x:c>
      <x:c r="E181" s="2" t="n">
        <x:v>2023</x:v>
      </x:c>
      <x:c r="F181" s="17" t="n">
        <x:v>41213693.90000002</x:v>
      </x:c>
      <x:c r="G181" s="17" t="n">
        <x:v>45360163.36270319</x:v>
      </x:c>
      <x:c r="H181" s="17" t="n">
        <x:v>41213693.90000002</x:v>
      </x:c>
      <x:c r="I181" s="17" t="n">
        <x:v>44023426.68</x:v>
      </x:c>
      <x:c r="J181" s="2" t="str">
        <x:v>m2</x:v>
      </x:c>
      <x:c r="K181" s="15" t="n">
        <x:f>IF(AND(ISNUMBER(F181),ISNUMBER(G181),F181&gt;0),G181/F181-1,"n.a.")</x:f>
        <x:v>0.10060902264097149</x:v>
      </x:c>
      <x:c r="L181" s="15" t="n">
        <x:f>IF(AND(N181,ISNUMBER(H181),ISNUMBER(I181),H181&gt;0),I181/H181-1,"n.a.")</x:f>
        <x:v>0.06817473791156536</x:v>
      </x:c>
      <x:c r="M181" s="20" t="n">
        <x:f>IF(AND(ISNUMBER(K181),ISNUMBER(L181)),100*(K181-L181),"n.a.")</x:f>
        <x:v>3.2434284729406127</x:v>
      </x:c>
      <x:c r="N181" s="13" t="b">
        <x:v>1</x:v>
      </x:c>
      <x:c r="O181" s="13" t="b">
        <x:v>1</x:v>
      </x:c>
      <x:c r="P181" s="13" t="b">
        <x:v>0</x:v>
      </x:c>
      <x:c r="Q181" s="2" t="str">
        <x:v>legacy_epoch_source_QA_passed; new_common_native_support_not_certified</x:v>
      </x:c>
      <x:c r="R181" s="2" t="str">
        <x:v>legacy_epoch_source_QA_passed; new_common_native_support_not_certified</x:v>
      </x:c>
      <x:c r="S181" s="2" t="str">
        <x:v>inherited2020anchor</x:v>
      </x:c>
      <x:c r="T181" s="2" t="str">
        <x:v>unused2023converted-source comparator</x:v>
      </x:c>
      <x:c r="U181" s="2" t="str">
        <x:v>GFA growth versus source physical quantity growth; constant conversion required for equality</x:v>
      </x:c>
      <x:c r="V181" s="2" t="str">
        <x:v>2020 level is the model anchor; 2023 comparator unused by v16 fit but shares conversion/upstream lineage</x:v>
      </x:c>
      <x:c r="W181" s="2" t="str">
        <x:v>https://arxiv.org/abs/2511.12104</x:v>
      </x:c>
    </x:row>
    <x:row r="182" ht="23" customHeight="1">
      <x:c r="A182" s="2" t="str">
        <x:v>TON</x:v>
      </x:c>
      <x:c r="B182" s="2" t="str">
        <x:v>Tonga (Kingdom of)</x:v>
      </x:c>
      <x:c r="C182" s="2" t="str">
        <x:v>TEMPO_PROXY</x:v>
      </x:c>
      <x:c r="D182" s="2" t="n">
        <x:v>2020</x:v>
      </x:c>
      <x:c r="E182" s="2" t="n">
        <x:v>2023</x:v>
      </x:c>
      <x:c r="F182" s="17" t="n">
        <x:v>4719083.849999997</x:v>
      </x:c>
      <x:c r="G182" s="17" t="n">
        <x:v>4799653.787733948</x:v>
      </x:c>
      <x:c r="H182" s="17" t="n">
        <x:v>4719083.849999997</x:v>
      </x:c>
      <x:c r="I182" s="17" t="n">
        <x:v>4976616.78</x:v>
      </x:c>
      <x:c r="J182" s="2" t="str">
        <x:v>m2</x:v>
      </x:c>
      <x:c r="K182" s="15" t="n">
        <x:f>IF(AND(ISNUMBER(F182),ISNUMBER(G182),F182&gt;0),G182/F182-1,"n.a.")</x:f>
        <x:v>0.017073215966262323</x:v>
      </x:c>
      <x:c r="L182" s="15" t="n">
        <x:f>IF(AND(N182,ISNUMBER(H182),ISNUMBER(I182),H182&gt;0),I182/H182-1,"n.a.")</x:f>
        <x:v>0.054572653969690244</x:v>
      </x:c>
      <x:c r="M182" s="20" t="n">
        <x:f>IF(AND(ISNUMBER(K182),ISNUMBER(L182)),100*(K182-L182),"n.a.")</x:f>
        <x:v>-3.749943800342792</x:v>
      </x:c>
      <x:c r="N182" s="13" t="b">
        <x:v>1</x:v>
      </x:c>
      <x:c r="O182" s="13" t="b">
        <x:v>1</x:v>
      </x:c>
      <x:c r="P182" s="13" t="b">
        <x:v>0</x:v>
      </x:c>
      <x:c r="Q182" s="2" t="str">
        <x:v>legacy_epoch_source_QA_passed; new_common_native_support_not_certified</x:v>
      </x:c>
      <x:c r="R182" s="2" t="str">
        <x:v>legacy_epoch_source_QA_passed; new_common_native_support_not_certified</x:v>
      </x:c>
      <x:c r="S182" s="2" t="str">
        <x:v>inherited2020anchor</x:v>
      </x:c>
      <x:c r="T182" s="2" t="str">
        <x:v>unused2023converted-source comparator</x:v>
      </x:c>
      <x:c r="U182" s="2" t="str">
        <x:v>GFA growth versus source physical quantity growth; constant conversion required for equality</x:v>
      </x:c>
      <x:c r="V182" s="2" t="str">
        <x:v>2020 level is the model anchor; 2023 comparator unused by v16 fit but shares conversion/upstream lineage</x:v>
      </x:c>
      <x:c r="W182" s="2" t="str">
        <x:v>https://arxiv.org/abs/2511.12104</x:v>
      </x:c>
    </x:row>
    <x:row r="183" ht="23" customHeight="1">
      <x:c r="A183" s="2" t="str">
        <x:v>TTO</x:v>
      </x:c>
      <x:c r="B183" s="2" t="str">
        <x:v>Trinidad and Tobago (Republic of)</x:v>
      </x:c>
      <x:c r="C183" s="2" t="str">
        <x:v>TEMPO_PROXY</x:v>
      </x:c>
      <x:c r="D183" s="2" t="n">
        <x:v>2020</x:v>
      </x:c>
      <x:c r="E183" s="2" t="n">
        <x:v>2023</x:v>
      </x:c>
      <x:c r="F183" s="17" t="n">
        <x:v>100480869.27000004</x:v>
      </x:c>
      <x:c r="G183" s="17" t="n">
        <x:v>104987205.95667483</x:v>
      </x:c>
      <x:c r="H183" s="17" t="n">
        <x:v>100480869.27000004</x:v>
      </x:c>
      <x:c r="I183" s="17" t="n">
        <x:v>104234034.7</x:v>
      </x:c>
      <x:c r="J183" s="2" t="str">
        <x:v>m2</x:v>
      </x:c>
      <x:c r="K183" s="15" t="n">
        <x:f>IF(AND(ISNUMBER(F183),ISNUMBER(G183),F183&gt;0),G183/F183-1,"n.a.")</x:f>
        <x:v>0.04484770802057758</x:v>
      </x:c>
      <x:c r="L183" s="15" t="n">
        <x:f>IF(AND(N183,ISNUMBER(H183),ISNUMBER(I183),H183&gt;0),I183/H183-1,"n.a.")</x:f>
        <x:v>0.03735203981879298</x:v>
      </x:c>
      <x:c r="M183" s="20" t="n">
        <x:f>IF(AND(ISNUMBER(K183),ISNUMBER(L183)),100*(K183-L183),"n.a.")</x:f>
        <x:v>0.74956682017846</x:v>
      </x:c>
      <x:c r="N183" s="13" t="b">
        <x:v>1</x:v>
      </x:c>
      <x:c r="O183" s="13" t="b">
        <x:v>1</x:v>
      </x:c>
      <x:c r="P183" s="13" t="b">
        <x:v>0</x:v>
      </x:c>
      <x:c r="Q183" s="2" t="str">
        <x:v>legacy_epoch_source_QA_passed; new_common_native_support_not_certified</x:v>
      </x:c>
      <x:c r="R183" s="2" t="str">
        <x:v>legacy_epoch_source_QA_passed; new_common_native_support_not_certified</x:v>
      </x:c>
      <x:c r="S183" s="2" t="str">
        <x:v>inherited2020anchor</x:v>
      </x:c>
      <x:c r="T183" s="2" t="str">
        <x:v>unused2023converted-source comparator</x:v>
      </x:c>
      <x:c r="U183" s="2" t="str">
        <x:v>GFA growth versus source physical quantity growth; constant conversion required for equality</x:v>
      </x:c>
      <x:c r="V183" s="2" t="str">
        <x:v>2020 level is the model anchor; 2023 comparator unused by v16 fit but shares conversion/upstream lineage</x:v>
      </x:c>
      <x:c r="W183" s="2" t="str">
        <x:v>https://arxiv.org/abs/2511.12104</x:v>
      </x:c>
    </x:row>
    <x:row r="184" ht="23" customHeight="1">
      <x:c r="A184" s="2" t="str">
        <x:v>TUN</x:v>
      </x:c>
      <x:c r="B184" s="2" t="str">
        <x:v>Tunisia (Republic of)</x:v>
      </x:c>
      <x:c r="C184" s="2" t="str">
        <x:v>TEMPO_PROXY</x:v>
      </x:c>
      <x:c r="D184" s="2" t="n">
        <x:v>2020</x:v>
      </x:c>
      <x:c r="E184" s="2" t="n">
        <x:v>2023</x:v>
      </x:c>
      <x:c r="F184" s="17" t="n">
        <x:v>649171642.779999</x:v>
      </x:c>
      <x:c r="G184" s="17" t="n">
        <x:v>679743209.9745548</x:v>
      </x:c>
      <x:c r="H184" s="17" t="n">
        <x:v>649171642.779999</x:v>
      </x:c>
      <x:c r="I184" s="17" t="n">
        <x:v>668747173.77</x:v>
      </x:c>
      <x:c r="J184" s="2" t="str">
        <x:v>m2</x:v>
      </x:c>
      <x:c r="K184" s="15" t="n">
        <x:f>IF(AND(ISNUMBER(F184),ISNUMBER(G184),F184&gt;0),G184/F184-1,"n.a.")</x:f>
        <x:v>0.047093195666459975</x:v>
      </x:c>
      <x:c r="L184" s="15" t="n">
        <x:f>IF(AND(N184,ISNUMBER(H184),ISNUMBER(I184),H184&gt;0),I184/H184-1,"n.a.")</x:f>
        <x:v>0.030154630455161424</x:v>
      </x:c>
      <x:c r="M184" s="20" t="n">
        <x:f>IF(AND(ISNUMBER(K184),ISNUMBER(L184)),100*(K184-L184),"n.a.")</x:f>
        <x:v>1.693856521129855</x:v>
      </x:c>
      <x:c r="N184" s="13" t="b">
        <x:v>1</x:v>
      </x:c>
      <x:c r="O184" s="13" t="b">
        <x:v>1</x:v>
      </x:c>
      <x:c r="P184" s="13" t="b">
        <x:v>0</x:v>
      </x:c>
      <x:c r="Q184" s="2" t="str">
        <x:v>legacy_epoch_source_QA_passed; new_common_native_support_not_certified</x:v>
      </x:c>
      <x:c r="R184" s="2" t="str">
        <x:v>legacy_epoch_source_QA_passed; new_common_native_support_not_certified</x:v>
      </x:c>
      <x:c r="S184" s="2" t="str">
        <x:v>inherited2020anchor</x:v>
      </x:c>
      <x:c r="T184" s="2" t="str">
        <x:v>unused2023converted-source comparator</x:v>
      </x:c>
      <x:c r="U184" s="2" t="str">
        <x:v>GFA growth versus source physical quantity growth; constant conversion required for equality</x:v>
      </x:c>
      <x:c r="V184" s="2" t="str">
        <x:v>2020 level is the model anchor; 2023 comparator unused by v16 fit but shares conversion/upstream lineage</x:v>
      </x:c>
      <x:c r="W184" s="2" t="str">
        <x:v>https://arxiv.org/abs/2511.12104</x:v>
      </x:c>
    </x:row>
    <x:row r="185" ht="23" customHeight="1">
      <x:c r="A185" s="2" t="str">
        <x:v>TUR</x:v>
      </x:c>
      <x:c r="B185" s="2" t="str">
        <x:v>Türkiye (Republic of)</x:v>
      </x:c>
      <x:c r="C185" s="2" t="str">
        <x:v>TEMPO_PROXY</x:v>
      </x:c>
      <x:c r="D185" s="2" t="n">
        <x:v>2020</x:v>
      </x:c>
      <x:c r="E185" s="2" t="n">
        <x:v>2023</x:v>
      </x:c>
      <x:c r="F185" s="17" t="n">
        <x:v>3957897873.260005</x:v>
      </x:c>
      <x:c r="G185" s="17" t="n">
        <x:v>4384411975.076062</x:v>
      </x:c>
      <x:c r="H185" s="17" t="n">
        <x:v>3957897873.260005</x:v>
      </x:c>
      <x:c r="I185" s="17" t="n">
        <x:v>4371696621.06</x:v>
      </x:c>
      <x:c r="J185" s="2" t="str">
        <x:v>m2</x:v>
      </x:c>
      <x:c r="K185" s="15" t="n">
        <x:f>IF(AND(ISNUMBER(F185),ISNUMBER(G185),F185&gt;0),G185/F185-1,"n.a.")</x:f>
        <x:v>0.1077627860732926</x:v>
      </x:c>
      <x:c r="L185" s="15" t="n">
        <x:f>IF(AND(N185,ISNUMBER(H185),ISNUMBER(I185),H185&gt;0),I185/H185-1,"n.a.")</x:f>
        <x:v>0.10455013268423752</x:v>
      </x:c>
      <x:c r="M185" s="20" t="n">
        <x:f>IF(AND(ISNUMBER(K185),ISNUMBER(L185)),100*(K185-L185),"n.a.")</x:f>
        <x:v>0.32126533890550757</x:v>
      </x:c>
      <x:c r="N185" s="13" t="b">
        <x:v>1</x:v>
      </x:c>
      <x:c r="O185" s="13" t="b">
        <x:v>1</x:v>
      </x:c>
      <x:c r="P185" s="13" t="b">
        <x:v>0</x:v>
      </x:c>
      <x:c r="Q185" s="2" t="str">
        <x:v>legacy_epoch_source_QA_passed; new_common_native_support_not_certified</x:v>
      </x:c>
      <x:c r="R185" s="2" t="str">
        <x:v>legacy_epoch_source_QA_passed; new_common_native_support_not_certified</x:v>
      </x:c>
      <x:c r="S185" s="2" t="str">
        <x:v>inherited2020anchor</x:v>
      </x:c>
      <x:c r="T185" s="2" t="str">
        <x:v>unused2023converted-source comparator</x:v>
      </x:c>
      <x:c r="U185" s="2" t="str">
        <x:v>GFA growth versus source physical quantity growth; constant conversion required for equality</x:v>
      </x:c>
      <x:c r="V185" s="2" t="str">
        <x:v>2020 level is the model anchor; 2023 comparator unused by v16 fit but shares conversion/upstream lineage</x:v>
      </x:c>
      <x:c r="W185" s="2" t="str">
        <x:v>https://arxiv.org/abs/2511.12104</x:v>
      </x:c>
    </x:row>
    <x:row r="186" ht="23" customHeight="1">
      <x:c r="A186" s="2" t="str">
        <x:v>TUV</x:v>
      </x:c>
      <x:c r="B186" s="2" t="str">
        <x:v>Tuvalu</x:v>
      </x:c>
      <x:c r="C186" s="2" t="str">
        <x:v>TEMPO_PROXY</x:v>
      </x:c>
      <x:c r="D186" s="2" t="n">
        <x:v>2020</x:v>
      </x:c>
      <x:c r="E186" s="2" t="n">
        <x:v>2023</x:v>
      </x:c>
      <x:c r="F186" s="17" t="n">
        <x:v>19394.80999999999</x:v>
      </x:c>
      <x:c r="G186" s="17" t="n">
        <x:v>19384.52304712556</x:v>
      </x:c>
      <x:c r="H186" s="17" t="n">
        <x:v>19394.80999999999</x:v>
      </x:c>
      <x:c r="I186" s="17" t="n">
        <x:v>20204.93</x:v>
      </x:c>
      <x:c r="J186" s="2" t="str">
        <x:v>m2</x:v>
      </x:c>
      <x:c r="K186" s="15" t="n">
        <x:f>IF(AND(ISNUMBER(F186),ISNUMBER(G186),F186&gt;0),G186/F186-1,"n.a.")</x:f>
        <x:v>-0.0005303971977260735</x:v>
      </x:c>
      <x:c r="L186" s="15" t="n">
        <x:f>IF(AND(N186,ISNUMBER(H186),ISNUMBER(I186),H186&gt;0),I186/H186-1,"n.a.")</x:f>
        <x:v>0.04176993742140356</x:v>
      </x:c>
      <x:c r="M186" s="20" t="n">
        <x:f>IF(AND(ISNUMBER(K186),ISNUMBER(L186)),100*(K186-L186),"n.a.")</x:f>
        <x:v>-4.230033461912964</x:v>
      </x:c>
      <x:c r="N186" s="13" t="b">
        <x:v>1</x:v>
      </x:c>
      <x:c r="O186" s="13" t="b">
        <x:v>1</x:v>
      </x:c>
      <x:c r="P186" s="13" t="b">
        <x:v>0</x:v>
      </x:c>
      <x:c r="Q186" s="2" t="str">
        <x:v>legacy_epoch_source_QA_passed; new_common_native_support_not_certified</x:v>
      </x:c>
      <x:c r="R186" s="2" t="str">
        <x:v>legacy_epoch_source_QA_passed; new_common_native_support_not_certified</x:v>
      </x:c>
      <x:c r="S186" s="2" t="str">
        <x:v>inherited2020anchor</x:v>
      </x:c>
      <x:c r="T186" s="2" t="str">
        <x:v>unused2023converted-source comparator</x:v>
      </x:c>
      <x:c r="U186" s="2" t="str">
        <x:v>GFA growth versus source physical quantity growth; constant conversion required for equality</x:v>
      </x:c>
      <x:c r="V186" s="2" t="str">
        <x:v>2020 level is the model anchor; 2023 comparator unused by v16 fit but shares conversion/upstream lineage</x:v>
      </x:c>
      <x:c r="W186" s="2" t="str">
        <x:v>https://arxiv.org/abs/2511.12104</x:v>
      </x:c>
    </x:row>
    <x:row r="187" ht="23" customHeight="1">
      <x:c r="A187" s="2" t="str">
        <x:v>TZA</x:v>
      </x:c>
      <x:c r="B187" s="2" t="str">
        <x:v>Tanzania (United Republic of)</x:v>
      </x:c>
      <x:c r="C187" s="2" t="str">
        <x:v>TEMPO_PROXY</x:v>
      </x:c>
      <x:c r="D187" s="2" t="n">
        <x:v>2020</x:v>
      </x:c>
      <x:c r="E187" s="2" t="n">
        <x:v>2023</x:v>
      </x:c>
      <x:c r="F187" s="17" t="n">
        <x:v>1174486408.8199985</x:v>
      </x:c>
      <x:c r="G187" s="17" t="n">
        <x:v>1281481057.4010613</x:v>
      </x:c>
      <x:c r="H187" s="17" t="n">
        <x:v>1174486408.8199985</x:v>
      </x:c>
      <x:c r="I187" s="17" t="n">
        <x:v>1294453255.68</x:v>
      </x:c>
      <x:c r="J187" s="2" t="str">
        <x:v>m2</x:v>
      </x:c>
      <x:c r="K187" s="15" t="n">
        <x:f>IF(AND(ISNUMBER(F187),ISNUMBER(G187),F187&gt;0),G187/F187-1,"n.a.")</x:f>
        <x:v>0.09109909470009092</x:v>
      </x:c>
      <x:c r="L187" s="15" t="n">
        <x:f>IF(AND(N187,ISNUMBER(H187),ISNUMBER(I187),H187&gt;0),I187/H187-1,"n.a.")</x:f>
        <x:v>0.10214409120368773</x:v>
      </x:c>
      <x:c r="M187" s="20" t="n">
        <x:f>IF(AND(ISNUMBER(K187),ISNUMBER(L187)),100*(K187-L187),"n.a.")</x:f>
        <x:v>-1.1044996503596805</x:v>
      </x:c>
      <x:c r="N187" s="13" t="b">
        <x:v>1</x:v>
      </x:c>
      <x:c r="O187" s="13" t="b">
        <x:v>1</x:v>
      </x:c>
      <x:c r="P187" s="13" t="b">
        <x:v>0</x:v>
      </x:c>
      <x:c r="Q187" s="2" t="str">
        <x:v>legacy_epoch_source_QA_passed; new_common_native_support_not_certified</x:v>
      </x:c>
      <x:c r="R187" s="2" t="str">
        <x:v>legacy_epoch_source_QA_passed; new_common_native_support_not_certified</x:v>
      </x:c>
      <x:c r="S187" s="2" t="str">
        <x:v>inherited2020anchor</x:v>
      </x:c>
      <x:c r="T187" s="2" t="str">
        <x:v>unused2023converted-source comparator</x:v>
      </x:c>
      <x:c r="U187" s="2" t="str">
        <x:v>GFA growth versus source physical quantity growth; constant conversion required for equality</x:v>
      </x:c>
      <x:c r="V187" s="2" t="str">
        <x:v>2020 level is the model anchor; 2023 comparator unused by v16 fit but shares conversion/upstream lineage</x:v>
      </x:c>
      <x:c r="W187" s="2" t="str">
        <x:v>https://arxiv.org/abs/2511.12104</x:v>
      </x:c>
    </x:row>
    <x:row r="188" ht="23" customHeight="1">
      <x:c r="A188" s="2" t="str">
        <x:v>UGA</x:v>
      </x:c>
      <x:c r="B188" s="2" t="str">
        <x:v>Uganda (Republic of)</x:v>
      </x:c>
      <x:c r="C188" s="2" t="str">
        <x:v>TEMPO_PROXY</x:v>
      </x:c>
      <x:c r="D188" s="2" t="n">
        <x:v>2020</x:v>
      </x:c>
      <x:c r="E188" s="2" t="n">
        <x:v>2023</x:v>
      </x:c>
      <x:c r="F188" s="17" t="n">
        <x:v>765891927.1500008</x:v>
      </x:c>
      <x:c r="G188" s="17" t="n">
        <x:v>835864813.7925357</x:v>
      </x:c>
      <x:c r="H188" s="17" t="n">
        <x:v>765891927.1500008</x:v>
      </x:c>
      <x:c r="I188" s="17" t="n">
        <x:v>843272425.23</x:v>
      </x:c>
      <x:c r="J188" s="2" t="str">
        <x:v>m2</x:v>
      </x:c>
      <x:c r="K188" s="15" t="n">
        <x:f>IF(AND(ISNUMBER(F188),ISNUMBER(G188),F188&gt;0),G188/F188-1,"n.a.")</x:f>
        <x:v>0.09136130589979508</x:v>
      </x:c>
      <x:c r="L188" s="15" t="n">
        <x:f>IF(AND(N188,ISNUMBER(H188),ISNUMBER(I188),H188&gt;0),I188/H188-1,"n.a.")</x:f>
        <x:v>0.10103318149329987</x:v>
      </x:c>
      <x:c r="M188" s="20" t="n">
        <x:f>IF(AND(ISNUMBER(K188),ISNUMBER(L188)),100*(K188-L188),"n.a.")</x:f>
        <x:v>-0.9671875593504797</x:v>
      </x:c>
      <x:c r="N188" s="13" t="b">
        <x:v>1</x:v>
      </x:c>
      <x:c r="O188" s="13" t="b">
        <x:v>1</x:v>
      </x:c>
      <x:c r="P188" s="13" t="b">
        <x:v>0</x:v>
      </x:c>
      <x:c r="Q188" s="2" t="str">
        <x:v>legacy_epoch_source_QA_passed; new_common_native_support_not_certified</x:v>
      </x:c>
      <x:c r="R188" s="2" t="str">
        <x:v>legacy_epoch_source_QA_passed; new_common_native_support_not_certified</x:v>
      </x:c>
      <x:c r="S188" s="2" t="str">
        <x:v>inherited2020anchor</x:v>
      </x:c>
      <x:c r="T188" s="2" t="str">
        <x:v>unused2023converted-source comparator</x:v>
      </x:c>
      <x:c r="U188" s="2" t="str">
        <x:v>GFA growth versus source physical quantity growth; constant conversion required for equality</x:v>
      </x:c>
      <x:c r="V188" s="2" t="str">
        <x:v>2020 level is the model anchor; 2023 comparator unused by v16 fit but shares conversion/upstream lineage</x:v>
      </x:c>
      <x:c r="W188" s="2" t="str">
        <x:v>https://arxiv.org/abs/2511.12104</x:v>
      </x:c>
    </x:row>
    <x:row r="189" ht="23" customHeight="1">
      <x:c r="A189" s="2" t="str">
        <x:v>UKR</x:v>
      </x:c>
      <x:c r="B189" s="2" t="str">
        <x:v>Ukraine</x:v>
      </x:c>
      <x:c r="C189" s="2" t="str">
        <x:v>TEMPO_PROXY</x:v>
      </x:c>
      <x:c r="D189" s="2" t="n">
        <x:v>2020</x:v>
      </x:c>
      <x:c r="E189" s="2" t="n">
        <x:v>2023</x:v>
      </x:c>
      <x:c r="F189" s="17" t="n">
        <x:v>2808807029.8199997</x:v>
      </x:c>
      <x:c r="G189" s="17" t="n">
        <x:v>2885404740.5009565</x:v>
      </x:c>
      <x:c r="H189" s="17" t="n">
        <x:v>2808807029.8199997</x:v>
      </x:c>
      <x:c r="I189" s="17" t="n">
        <x:v>2900922302.88</x:v>
      </x:c>
      <x:c r="J189" s="2" t="str">
        <x:v>m2</x:v>
      </x:c>
      <x:c r="K189" s="15" t="n">
        <x:f>IF(AND(ISNUMBER(F189),ISNUMBER(G189),F189&gt;0),G189/F189-1,"n.a.")</x:f>
        <x:v>0.027270549335625116</x:v>
      </x:c>
      <x:c r="L189" s="15" t="n">
        <x:f>IF(AND(N189,ISNUMBER(H189),ISNUMBER(I189),H189&gt;0),I189/H189-1,"n.a.")</x:f>
        <x:v>0.03279515897035612</x:v>
      </x:c>
      <x:c r="M189" s="20" t="n">
        <x:f>IF(AND(ISNUMBER(K189),ISNUMBER(L189)),100*(K189-L189),"n.a.")</x:f>
        <x:v>-0.5524609634731004</x:v>
      </x:c>
      <x:c r="N189" s="13" t="b">
        <x:v>1</x:v>
      </x:c>
      <x:c r="O189" s="13" t="b">
        <x:v>1</x:v>
      </x:c>
      <x:c r="P189" s="13" t="b">
        <x:v>0</x:v>
      </x:c>
      <x:c r="Q189" s="2" t="str">
        <x:v>legacy_epoch_source_QA_passed; new_common_native_support_not_certified</x:v>
      </x:c>
      <x:c r="R189" s="2" t="str">
        <x:v>legacy_epoch_source_QA_passed; new_common_native_support_not_certified</x:v>
      </x:c>
      <x:c r="S189" s="2" t="str">
        <x:v>inherited2020anchor</x:v>
      </x:c>
      <x:c r="T189" s="2" t="str">
        <x:v>unused2023converted-source comparator</x:v>
      </x:c>
      <x:c r="U189" s="2" t="str">
        <x:v>GFA growth versus source physical quantity growth; constant conversion required for equality</x:v>
      </x:c>
      <x:c r="V189" s="2" t="str">
        <x:v>2020 level is the model anchor; 2023 comparator unused by v16 fit but shares conversion/upstream lineage</x:v>
      </x:c>
      <x:c r="W189" s="2" t="str">
        <x:v>https://arxiv.org/abs/2511.12104</x:v>
      </x:c>
    </x:row>
    <x:row r="190" ht="23" customHeight="1">
      <x:c r="A190" s="2" t="str">
        <x:v>URY</x:v>
      </x:c>
      <x:c r="B190" s="2" t="str">
        <x:v>Uruguay (Oriental Republic of)</x:v>
      </x:c>
      <x:c r="C190" s="2" t="str">
        <x:v>TEMPO_PROXY</x:v>
      </x:c>
      <x:c r="D190" s="2" t="n">
        <x:v>2020</x:v>
      </x:c>
      <x:c r="E190" s="2" t="n">
        <x:v>2023</x:v>
      </x:c>
      <x:c r="F190" s="17" t="n">
        <x:v>209727833.2899997</x:v>
      </x:c>
      <x:c r="G190" s="17" t="n">
        <x:v>216779212.07105872</x:v>
      </x:c>
      <x:c r="H190" s="17" t="n">
        <x:v>209727833.2899997</x:v>
      </x:c>
      <x:c r="I190" s="17" t="n">
        <x:v>224167211.87</x:v>
      </x:c>
      <x:c r="J190" s="2" t="str">
        <x:v>m2</x:v>
      </x:c>
      <x:c r="K190" s="15" t="n">
        <x:f>IF(AND(ISNUMBER(F190),ISNUMBER(G190),F190&gt;0),G190/F190-1,"n.a.")</x:f>
        <x:v>0.033621568823003045</x:v>
      </x:c>
      <x:c r="L190" s="15" t="n">
        <x:f>IF(AND(N190,ISNUMBER(H190),ISNUMBER(I190),H190&gt;0),I190/H190-1,"n.a.")</x:f>
        <x:v>0.06884817505378193</x:v>
      </x:c>
      <x:c r="M190" s="20" t="n">
        <x:f>IF(AND(ISNUMBER(K190),ISNUMBER(L190)),100*(K190-L190),"n.a.")</x:f>
        <x:v>-3.522660623077889</x:v>
      </x:c>
      <x:c r="N190" s="13" t="b">
        <x:v>1</x:v>
      </x:c>
      <x:c r="O190" s="13" t="b">
        <x:v>1</x:v>
      </x:c>
      <x:c r="P190" s="13" t="b">
        <x:v>0</x:v>
      </x:c>
      <x:c r="Q190" s="2" t="str">
        <x:v>legacy_epoch_source_QA_passed; new_common_native_support_not_certified</x:v>
      </x:c>
      <x:c r="R190" s="2" t="str">
        <x:v>legacy_epoch_source_QA_passed; new_common_native_support_not_certified</x:v>
      </x:c>
      <x:c r="S190" s="2" t="str">
        <x:v>inherited2020anchor</x:v>
      </x:c>
      <x:c r="T190" s="2" t="str">
        <x:v>unused2023converted-source comparator</x:v>
      </x:c>
      <x:c r="U190" s="2" t="str">
        <x:v>GFA growth versus source physical quantity growth; constant conversion required for equality</x:v>
      </x:c>
      <x:c r="V190" s="2" t="str">
        <x:v>2020 level is the model anchor; 2023 comparator unused by v16 fit but shares conversion/upstream lineage</x:v>
      </x:c>
      <x:c r="W190" s="2" t="str">
        <x:v>https://arxiv.org/abs/2511.12104</x:v>
      </x:c>
    </x:row>
    <x:row r="191" ht="23" customHeight="1">
      <x:c r="A191" s="2" t="str">
        <x:v>USA</x:v>
      </x:c>
      <x:c r="B191" s="2" t="str">
        <x:v>United States of America</x:v>
      </x:c>
      <x:c r="C191" s="2" t="str">
        <x:v>TEMPO_PROXY</x:v>
      </x:c>
      <x:c r="D191" s="2" t="n">
        <x:v>2020</x:v>
      </x:c>
      <x:c r="E191" s="2" t="n">
        <x:v>2023</x:v>
      </x:c>
      <x:c r="F191" s="17" t="n">
        <x:v>35932980078.68004</x:v>
      </x:c>
      <x:c r="G191" s="17" t="n">
        <x:v>37685943602.101105</x:v>
      </x:c>
      <x:c r="H191" s="17" t="n">
        <x:v>35932980078.68004</x:v>
      </x:c>
      <x:c r="I191" s="17" t="n">
        <x:v>38124566298.64</x:v>
      </x:c>
      <x:c r="J191" s="2" t="str">
        <x:v>m2</x:v>
      </x:c>
      <x:c r="K191" s="15" t="n">
        <x:f>IF(AND(ISNUMBER(F191),ISNUMBER(G191),F191&gt;0),G191/F191-1,"n.a.")</x:f>
        <x:v>0.04878425111367668</x:v>
      </x:c>
      <x:c r="L191" s="15" t="n">
        <x:f>IF(AND(N191,ISNUMBER(H191),ISNUMBER(I191),H191&gt;0),I191/H191-1,"n.a.")</x:f>
        <x:v>0.06099093966493152</x:v>
      </x:c>
      <x:c r="M191" s="20" t="n">
        <x:f>IF(AND(ISNUMBER(K191),ISNUMBER(L191)),100*(K191-L191),"n.a.")</x:f>
        <x:v>-1.220668855125484</x:v>
      </x:c>
      <x:c r="N191" s="13" t="b">
        <x:v>1</x:v>
      </x:c>
      <x:c r="O191" s="13" t="b">
        <x:v>1</x:v>
      </x:c>
      <x:c r="P191" s="13" t="b">
        <x:v>0</x:v>
      </x:c>
      <x:c r="Q191" s="2" t="str">
        <x:v>legacy_epoch_source_QA_passed; new_common_native_support_not_certified</x:v>
      </x:c>
      <x:c r="R191" s="2" t="str">
        <x:v>legacy_epoch_source_QA_passed; new_common_native_support_not_certified</x:v>
      </x:c>
      <x:c r="S191" s="2" t="str">
        <x:v>inherited2020anchor</x:v>
      </x:c>
      <x:c r="T191" s="2" t="str">
        <x:v>unused2023converted-source comparator</x:v>
      </x:c>
      <x:c r="U191" s="2" t="str">
        <x:v>GFA growth versus source physical quantity growth; constant conversion required for equality</x:v>
      </x:c>
      <x:c r="V191" s="2" t="str">
        <x:v>2020 level is the model anchor; 2023 comparator unused by v16 fit but shares conversion/upstream lineage</x:v>
      </x:c>
      <x:c r="W191" s="2" t="str">
        <x:v>https://arxiv.org/abs/2511.12104</x:v>
      </x:c>
    </x:row>
    <x:row r="192" ht="23" customHeight="1">
      <x:c r="A192" s="2" t="str">
        <x:v>UZB</x:v>
      </x:c>
      <x:c r="B192" s="2" t="str">
        <x:v>Uzbekistan (Republic of)</x:v>
      </x:c>
      <x:c r="C192" s="2" t="str">
        <x:v>TEMPO_PROXY</x:v>
      </x:c>
      <x:c r="D192" s="2" t="n">
        <x:v>2020</x:v>
      </x:c>
      <x:c r="E192" s="2" t="n">
        <x:v>2023</x:v>
      </x:c>
      <x:c r="F192" s="17" t="n">
        <x:v>1997042653.6300015</x:v>
      </x:c>
      <x:c r="G192" s="17" t="n">
        <x:v>2099392260.7105381</x:v>
      </x:c>
      <x:c r="H192" s="17" t="n">
        <x:v>1997042653.6300015</x:v>
      </x:c>
      <x:c r="I192" s="17" t="n">
        <x:v>2180969221.83</x:v>
      </x:c>
      <x:c r="J192" s="2" t="str">
        <x:v>m2</x:v>
      </x:c>
      <x:c r="K192" s="15" t="n">
        <x:f>IF(AND(ISNUMBER(F192),ISNUMBER(G192),F192&gt;0),G192/F192-1,"n.a.")</x:f>
        <x:v>0.051250586408105425</x:v>
      </x:c>
      <x:c r="L192" s="15" t="n">
        <x:f>IF(AND(N192,ISNUMBER(H192),ISNUMBER(I192),H192&gt;0),I192/H192-1,"n.a.")</x:f>
        <x:v>0.09209946911533273</x:v>
      </x:c>
      <x:c r="M192" s="20" t="n">
        <x:f>IF(AND(ISNUMBER(K192),ISNUMBER(L192)),100*(K192-L192),"n.a.")</x:f>
        <x:v>-4.084888270722731</x:v>
      </x:c>
      <x:c r="N192" s="13" t="b">
        <x:v>1</x:v>
      </x:c>
      <x:c r="O192" s="13" t="b">
        <x:v>1</x:v>
      </x:c>
      <x:c r="P192" s="13" t="b">
        <x:v>0</x:v>
      </x:c>
      <x:c r="Q192" s="2" t="str">
        <x:v>legacy_epoch_source_QA_passed; new_common_native_support_not_certified</x:v>
      </x:c>
      <x:c r="R192" s="2" t="str">
        <x:v>legacy_epoch_source_QA_passed; new_common_native_support_not_certified</x:v>
      </x:c>
      <x:c r="S192" s="2" t="str">
        <x:v>inherited2020anchor</x:v>
      </x:c>
      <x:c r="T192" s="2" t="str">
        <x:v>unused2023converted-source comparator</x:v>
      </x:c>
      <x:c r="U192" s="2" t="str">
        <x:v>GFA growth versus source physical quantity growth; constant conversion required for equality</x:v>
      </x:c>
      <x:c r="V192" s="2" t="str">
        <x:v>2020 level is the model anchor; 2023 comparator unused by v16 fit but shares conversion/upstream lineage</x:v>
      </x:c>
      <x:c r="W192" s="2" t="str">
        <x:v>https://arxiv.org/abs/2511.12104</x:v>
      </x:c>
    </x:row>
    <x:row r="193" ht="23" customHeight="1">
      <x:c r="A193" s="2" t="str">
        <x:v>VAT</x:v>
      </x:c>
      <x:c r="B193" s="2" t="str">
        <x:v>Holy See (State of the Vatican City)</x:v>
      </x:c>
      <x:c r="C193" s="2" t="str">
        <x:v>TEMPO_PROXY</x:v>
      </x:c>
      <x:c r="D193" s="2" t="n">
        <x:v>2020</x:v>
      </x:c>
      <x:c r="E193" s="2" t="n">
        <x:v>2023</x:v>
      </x:c>
      <x:c r="F193" s="17" t="n">
        <x:v>318924.24</x:v>
      </x:c>
      <x:c r="G193" s="17" t="n">
        <x:v>319246.38469032873</x:v>
      </x:c>
      <x:c r="H193" s="17" t="n">
        <x:v>318924.24</x:v>
      </x:c>
      <x:c r="I193" s="17" t="n">
        <x:v>311910.22</x:v>
      </x:c>
      <x:c r="J193" s="2" t="str">
        <x:v>m2</x:v>
      </x:c>
      <x:c r="K193" s="15" t="n">
        <x:f>IF(AND(ISNUMBER(F193),ISNUMBER(G193),F193&gt;0),G193/F193-1,"n.a.")</x:f>
        <x:v>0.0010100978537370686</x:v>
      </x:c>
      <x:c r="L193" s="15" t="n">
        <x:f>IF(AND(N193,ISNUMBER(H193),ISNUMBER(I193),H193&gt;0),I193/H193-1,"n.a.")</x:f>
        <x:v>-0.0219927466159362</x:v>
      </x:c>
      <x:c r="M193" s="20" t="n">
        <x:f>IF(AND(ISNUMBER(K193),ISNUMBER(L193)),100*(K193-L193),"n.a.")</x:f>
        <x:v>2.3002844469673267</x:v>
      </x:c>
      <x:c r="N193" s="13" t="b">
        <x:v>1</x:v>
      </x:c>
      <x:c r="O193" s="13" t="b">
        <x:v>1</x:v>
      </x:c>
      <x:c r="P193" s="13" t="b">
        <x:v>0</x:v>
      </x:c>
      <x:c r="Q193" s="2" t="str">
        <x:v>legacy_epoch_source_QA_passed; new_common_native_support_not_certified</x:v>
      </x:c>
      <x:c r="R193" s="2" t="str">
        <x:v>legacy_epoch_source_QA_passed; new_common_native_support_not_certified</x:v>
      </x:c>
      <x:c r="S193" s="2" t="str">
        <x:v>inherited2020anchor</x:v>
      </x:c>
      <x:c r="T193" s="2" t="str">
        <x:v>unused2023converted-source comparator</x:v>
      </x:c>
      <x:c r="U193" s="2" t="str">
        <x:v>GFA growth versus source physical quantity growth; constant conversion required for equality</x:v>
      </x:c>
      <x:c r="V193" s="2" t="str">
        <x:v>2020 level is the model anchor; 2023 comparator unused by v16 fit but shares conversion/upstream lineage</x:v>
      </x:c>
      <x:c r="W193" s="2" t="str">
        <x:v>https://arxiv.org/abs/2511.12104</x:v>
      </x:c>
    </x:row>
    <x:row r="194" ht="23" customHeight="1">
      <x:c r="A194" s="2" t="str">
        <x:v>VCT</x:v>
      </x:c>
      <x:c r="B194" s="2" t="str">
        <x:v>Saint Vincent and the Grenadines</x:v>
      </x:c>
      <x:c r="C194" s="2" t="str">
        <x:v>TEMPO_PROXY</x:v>
      </x:c>
      <x:c r="D194" s="2" t="n">
        <x:v>2020</x:v>
      </x:c>
      <x:c r="E194" s="2" t="n">
        <x:v>2023</x:v>
      </x:c>
      <x:c r="F194" s="17" t="n">
        <x:v>6194383.570000002</x:v>
      </x:c>
      <x:c r="G194" s="17" t="n">
        <x:v>6242837.645069028</x:v>
      </x:c>
      <x:c r="H194" s="17" t="n">
        <x:v>6194383.570000002</x:v>
      </x:c>
      <x:c r="I194" s="17" t="n">
        <x:v>6463658.26</x:v>
      </x:c>
      <x:c r="J194" s="2" t="str">
        <x:v>m2</x:v>
      </x:c>
      <x:c r="K194" s="15" t="n">
        <x:f>IF(AND(ISNUMBER(F194),ISNUMBER(G194),F194&gt;0),G194/F194-1,"n.a.")</x:f>
        <x:v>0.007822259393766684</x:v>
      </x:c>
      <x:c r="L194" s="15" t="n">
        <x:f>IF(AND(N194,ISNUMBER(H194),ISNUMBER(I194),H194&gt;0),I194/H194-1,"n.a.")</x:f>
        <x:v>0.043470780741464043</x:v>
      </x:c>
      <x:c r="M194" s="20" t="n">
        <x:f>IF(AND(ISNUMBER(K194),ISNUMBER(L194)),100*(K194-L194),"n.a.")</x:f>
        <x:v>-3.564852134769736</x:v>
      </x:c>
      <x:c r="N194" s="13" t="b">
        <x:v>1</x:v>
      </x:c>
      <x:c r="O194" s="13" t="b">
        <x:v>1</x:v>
      </x:c>
      <x:c r="P194" s="13" t="b">
        <x:v>0</x:v>
      </x:c>
      <x:c r="Q194" s="2" t="str">
        <x:v>legacy_epoch_source_QA_passed; new_common_native_support_not_certified</x:v>
      </x:c>
      <x:c r="R194" s="2" t="str">
        <x:v>legacy_epoch_source_QA_passed; new_common_native_support_not_certified</x:v>
      </x:c>
      <x:c r="S194" s="2" t="str">
        <x:v>inherited2020anchor</x:v>
      </x:c>
      <x:c r="T194" s="2" t="str">
        <x:v>unused2023converted-source comparator</x:v>
      </x:c>
      <x:c r="U194" s="2" t="str">
        <x:v>GFA growth versus source physical quantity growth; constant conversion required for equality</x:v>
      </x:c>
      <x:c r="V194" s="2" t="str">
        <x:v>2020 level is the model anchor; 2023 comparator unused by v16 fit but shares conversion/upstream lineage</x:v>
      </x:c>
      <x:c r="W194" s="2" t="str">
        <x:v>https://arxiv.org/abs/2511.12104</x:v>
      </x:c>
    </x:row>
    <x:row r="195" ht="23" customHeight="1">
      <x:c r="A195" s="2" t="str">
        <x:v>VEN</x:v>
      </x:c>
      <x:c r="B195" s="2" t="str">
        <x:v>Venezuela (Bolivarian Republic of)</x:v>
      </x:c>
      <x:c r="C195" s="2" t="str">
        <x:v>TEMPO_PROXY</x:v>
      </x:c>
      <x:c r="D195" s="2" t="n">
        <x:v>2020</x:v>
      </x:c>
      <x:c r="E195" s="2" t="n">
        <x:v>2023</x:v>
      </x:c>
      <x:c r="F195" s="17" t="n">
        <x:v>1159546607.6500015</x:v>
      </x:c>
      <x:c r="G195" s="17" t="n">
        <x:v>1244165585.1265662</x:v>
      </x:c>
      <x:c r="H195" s="17" t="n">
        <x:v>1159546607.6500015</x:v>
      </x:c>
      <x:c r="I195" s="17" t="n">
        <x:v>1171051056.07</x:v>
      </x:c>
      <x:c r="J195" s="2" t="str">
        <x:v>m2</x:v>
      </x:c>
      <x:c r="K195" s="15" t="n">
        <x:f>IF(AND(ISNUMBER(F195),ISNUMBER(G195),F195&gt;0),G195/F195-1,"n.a.")</x:f>
        <x:v>0.0729759174131499</x:v>
      </x:c>
      <x:c r="L195" s="15" t="n">
        <x:f>IF(AND(N195,ISNUMBER(H195),ISNUMBER(I195),H195&gt;0),I195/H195-1,"n.a.")</x:f>
        <x:v>0.009921505823137222</x:v>
      </x:c>
      <x:c r="M195" s="20" t="n">
        <x:f>IF(AND(ISNUMBER(K195),ISNUMBER(L195)),100*(K195-L195),"n.a.")</x:f>
        <x:v>6.305441159001268</x:v>
      </x:c>
      <x:c r="N195" s="13" t="b">
        <x:v>1</x:v>
      </x:c>
      <x:c r="O195" s="13" t="b">
        <x:v>1</x:v>
      </x:c>
      <x:c r="P195" s="13" t="b">
        <x:v>0</x:v>
      </x:c>
      <x:c r="Q195" s="2" t="str">
        <x:v>legacy_epoch_source_QA_passed; new_common_native_support_not_certified</x:v>
      </x:c>
      <x:c r="R195" s="2" t="str">
        <x:v>legacy_epoch_source_QA_passed; new_common_native_support_not_certified</x:v>
      </x:c>
      <x:c r="S195" s="2" t="str">
        <x:v>inherited2020anchor</x:v>
      </x:c>
      <x:c r="T195" s="2" t="str">
        <x:v>unused2023converted-source comparator</x:v>
      </x:c>
      <x:c r="U195" s="2" t="str">
        <x:v>GFA growth versus source physical quantity growth; constant conversion required for equality</x:v>
      </x:c>
      <x:c r="V195" s="2" t="str">
        <x:v>2020 level is the model anchor; 2023 comparator unused by v16 fit but shares conversion/upstream lineage</x:v>
      </x:c>
      <x:c r="W195" s="2" t="str">
        <x:v>https://arxiv.org/abs/2511.12104</x:v>
      </x:c>
    </x:row>
    <x:row r="196" ht="23" customHeight="1">
      <x:c r="A196" s="2" t="str">
        <x:v>VNM</x:v>
      </x:c>
      <x:c r="B196" s="2" t="str">
        <x:v>Viet Nam (Socialist Republic of)</x:v>
      </x:c>
      <x:c r="C196" s="2" t="str">
        <x:v>TEMPO_PROXY</x:v>
      </x:c>
      <x:c r="D196" s="2" t="n">
        <x:v>2020</x:v>
      </x:c>
      <x:c r="E196" s="2" t="n">
        <x:v>2023</x:v>
      </x:c>
      <x:c r="F196" s="17" t="n">
        <x:v>4861867508.520002</x:v>
      </x:c>
      <x:c r="G196" s="17" t="n">
        <x:v>5196458095.274765</x:v>
      </x:c>
      <x:c r="H196" s="17" t="n">
        <x:v>4861867508.520002</x:v>
      </x:c>
      <x:c r="I196" s="17" t="n">
        <x:v>5302311451.46</x:v>
      </x:c>
      <x:c r="J196" s="2" t="str">
        <x:v>m2</x:v>
      </x:c>
      <x:c r="K196" s="15" t="n">
        <x:f>IF(AND(ISNUMBER(F196),ISNUMBER(G196),F196&gt;0),G196/F196-1,"n.a.")</x:f>
        <x:v>0.06881935514869997</x:v>
      </x:c>
      <x:c r="L196" s="15" t="n">
        <x:f>IF(AND(N196,ISNUMBER(H196),ISNUMBER(I196),H196&gt;0),I196/H196-1,"n.a.")</x:f>
        <x:v>0.09059151492058515</x:v>
      </x:c>
      <x:c r="M196" s="20" t="n">
        <x:f>IF(AND(ISNUMBER(K196),ISNUMBER(L196)),100*(K196-L196),"n.a.")</x:f>
        <x:v>-2.177215977188518</x:v>
      </x:c>
      <x:c r="N196" s="13" t="b">
        <x:v>1</x:v>
      </x:c>
      <x:c r="O196" s="13" t="b">
        <x:v>1</x:v>
      </x:c>
      <x:c r="P196" s="13" t="b">
        <x:v>0</x:v>
      </x:c>
      <x:c r="Q196" s="2" t="str">
        <x:v>legacy_epoch_source_QA_passed; new_common_native_support_not_certified</x:v>
      </x:c>
      <x:c r="R196" s="2" t="str">
        <x:v>legacy_epoch_source_QA_passed; new_common_native_support_not_certified</x:v>
      </x:c>
      <x:c r="S196" s="2" t="str">
        <x:v>inherited2020anchor</x:v>
      </x:c>
      <x:c r="T196" s="2" t="str">
        <x:v>unused2023converted-source comparator</x:v>
      </x:c>
      <x:c r="U196" s="2" t="str">
        <x:v>GFA growth versus source physical quantity growth; constant conversion required for equality</x:v>
      </x:c>
      <x:c r="V196" s="2" t="str">
        <x:v>2020 level is the model anchor; 2023 comparator unused by v16 fit but shares conversion/upstream lineage</x:v>
      </x:c>
      <x:c r="W196" s="2" t="str">
        <x:v>https://arxiv.org/abs/2511.12104</x:v>
      </x:c>
    </x:row>
    <x:row r="197" ht="23" customHeight="1">
      <x:c r="A197" s="2" t="str">
        <x:v>VUT</x:v>
      </x:c>
      <x:c r="B197" s="2" t="str">
        <x:v>Vanuatu (Republic of)</x:v>
      </x:c>
      <x:c r="C197" s="2" t="str">
        <x:v>TEMPO_PROXY</x:v>
      </x:c>
      <x:c r="D197" s="2" t="n">
        <x:v>2020</x:v>
      </x:c>
      <x:c r="E197" s="2" t="n">
        <x:v>2023</x:v>
      </x:c>
      <x:c r="F197" s="17" t="n">
        <x:v>8193524.700000004</x:v>
      </x:c>
      <x:c r="G197" s="17" t="n">
        <x:v>9110750.156144958</x:v>
      </x:c>
      <x:c r="H197" s="17" t="n">
        <x:v>8193524.700000004</x:v>
      </x:c>
      <x:c r="I197" s="17" t="n">
        <x:v>8711962.64</x:v>
      </x:c>
      <x:c r="J197" s="2" t="str">
        <x:v>m2</x:v>
      </x:c>
      <x:c r="K197" s="15" t="n">
        <x:f>IF(AND(ISNUMBER(F197),ISNUMBER(G197),F197&gt;0),G197/F197-1,"n.a.")</x:f>
        <x:v>0.11194516276309674</x:v>
      </x:c>
      <x:c r="L197" s="15" t="n">
        <x:f>IF(AND(N197,ISNUMBER(H197),ISNUMBER(I197),H197&gt;0),I197/H197-1,"n.a.")</x:f>
        <x:v>0.06327410473297235</x:v>
      </x:c>
      <x:c r="M197" s="20" t="n">
        <x:f>IF(AND(ISNUMBER(K197),ISNUMBER(L197)),100*(K197-L197),"n.a.")</x:f>
        <x:v>4.867105803012439</x:v>
      </x:c>
      <x:c r="N197" s="13" t="b">
        <x:v>1</x:v>
      </x:c>
      <x:c r="O197" s="13" t="b">
        <x:v>1</x:v>
      </x:c>
      <x:c r="P197" s="13" t="b">
        <x:v>0</x:v>
      </x:c>
      <x:c r="Q197" s="2" t="str">
        <x:v>legacy_epoch_source_QA_passed; new_common_native_support_not_certified</x:v>
      </x:c>
      <x:c r="R197" s="2" t="str">
        <x:v>legacy_epoch_source_QA_passed; new_common_native_support_not_certified</x:v>
      </x:c>
      <x:c r="S197" s="2" t="str">
        <x:v>inherited2020anchor</x:v>
      </x:c>
      <x:c r="T197" s="2" t="str">
        <x:v>unused2023converted-source comparator</x:v>
      </x:c>
      <x:c r="U197" s="2" t="str">
        <x:v>GFA growth versus source physical quantity growth; constant conversion required for equality</x:v>
      </x:c>
      <x:c r="V197" s="2" t="str">
        <x:v>2020 level is the model anchor; 2023 comparator unused by v16 fit but shares conversion/upstream lineage</x:v>
      </x:c>
      <x:c r="W197" s="2" t="str">
        <x:v>https://arxiv.org/abs/2511.12104</x:v>
      </x:c>
    </x:row>
    <x:row r="198" ht="23" customHeight="1">
      <x:c r="A198" s="2" t="str">
        <x:v>WSM</x:v>
      </x:c>
      <x:c r="B198" s="2" t="str">
        <x:v>Samoa (Independent State of)</x:v>
      </x:c>
      <x:c r="C198" s="2" t="str">
        <x:v>TEMPO_PROXY</x:v>
      </x:c>
      <x:c r="D198" s="2" t="n">
        <x:v>2020</x:v>
      </x:c>
      <x:c r="E198" s="2" t="n">
        <x:v>2023</x:v>
      </x:c>
      <x:c r="F198" s="17" t="n">
        <x:v>8105266.000000001</x:v>
      </x:c>
      <x:c r="G198" s="17" t="n">
        <x:v>8552439.935047252</x:v>
      </x:c>
      <x:c r="H198" s="17" t="n">
        <x:v>8105266.000000001</x:v>
      </x:c>
      <x:c r="I198" s="17" t="n">
        <x:v>9166225.33</x:v>
      </x:c>
      <x:c r="J198" s="2" t="str">
        <x:v>m2</x:v>
      </x:c>
      <x:c r="K198" s="15" t="n">
        <x:f>IF(AND(ISNUMBER(F198),ISNUMBER(G198),F198&gt;0),G198/F198-1,"n.a.")</x:f>
        <x:v>0.055170790822565374</x:v>
      </x:c>
      <x:c r="L198" s="15" t="n">
        <x:f>IF(AND(N198,ISNUMBER(H198),ISNUMBER(I198),H198&gt;0),I198/H198-1,"n.a.")</x:f>
        <x:v>0.1308975337761893</x:v>
      </x:c>
      <x:c r="M198" s="20" t="n">
        <x:f>IF(AND(ISNUMBER(K198),ISNUMBER(L198)),100*(K198-L198),"n.a.")</x:f>
        <x:v>-7.572674295362392</x:v>
      </x:c>
      <x:c r="N198" s="13" t="b">
        <x:v>1</x:v>
      </x:c>
      <x:c r="O198" s="13" t="b">
        <x:v>1</x:v>
      </x:c>
      <x:c r="P198" s="13" t="b">
        <x:v>0</x:v>
      </x:c>
      <x:c r="Q198" s="2" t="str">
        <x:v>legacy_epoch_source_QA_passed; new_common_native_support_not_certified</x:v>
      </x:c>
      <x:c r="R198" s="2" t="str">
        <x:v>legacy_epoch_source_QA_passed; new_common_native_support_not_certified</x:v>
      </x:c>
      <x:c r="S198" s="2" t="str">
        <x:v>inherited2020anchor</x:v>
      </x:c>
      <x:c r="T198" s="2" t="str">
        <x:v>unused2023converted-source comparator</x:v>
      </x:c>
      <x:c r="U198" s="2" t="str">
        <x:v>GFA growth versus source physical quantity growth; constant conversion required for equality</x:v>
      </x:c>
      <x:c r="V198" s="2" t="str">
        <x:v>2020 level is the model anchor; 2023 comparator unused by v16 fit but shares conversion/upstream lineage</x:v>
      </x:c>
      <x:c r="W198" s="2" t="str">
        <x:v>https://arxiv.org/abs/2511.12104</x:v>
      </x:c>
    </x:row>
    <x:row r="199" ht="23" customHeight="1">
      <x:c r="A199" s="2" t="str">
        <x:v>YEM</x:v>
      </x:c>
      <x:c r="B199" s="2" t="str">
        <x:v>Yemen (Republic of)</x:v>
      </x:c>
      <x:c r="C199" s="2" t="str">
        <x:v>TEMPO_PROXY</x:v>
      </x:c>
      <x:c r="D199" s="2" t="n">
        <x:v>2020</x:v>
      </x:c>
      <x:c r="E199" s="2" t="n">
        <x:v>2023</x:v>
      </x:c>
      <x:c r="F199" s="17" t="n">
        <x:v>454480387.6899993</x:v>
      </x:c>
      <x:c r="G199" s="17" t="n">
        <x:v>554270837.8402537</x:v>
      </x:c>
      <x:c r="H199" s="17" t="n">
        <x:v>454480387.6899993</x:v>
      </x:c>
      <x:c r="I199" s="17" t="n">
        <x:v>497021869.96</x:v>
      </x:c>
      <x:c r="J199" s="2" t="str">
        <x:v>m2</x:v>
      </x:c>
      <x:c r="K199" s="15" t="n">
        <x:f>IF(AND(ISNUMBER(F199),ISNUMBER(G199),F199&gt;0),G199/F199-1,"n.a.")</x:f>
        <x:v>0.21957042119564774</x:v>
      </x:c>
      <x:c r="L199" s="15" t="n">
        <x:f>IF(AND(N199,ISNUMBER(H199),ISNUMBER(I199),H199&gt;0),I199/H199-1,"n.a.")</x:f>
        <x:v>0.09360466022797498</x:v>
      </x:c>
      <x:c r="M199" s="20" t="n">
        <x:f>IF(AND(ISNUMBER(K199),ISNUMBER(L199)),100*(K199-L199),"n.a.")</x:f>
        <x:v>12.596576096767276</x:v>
      </x:c>
      <x:c r="N199" s="13" t="b">
        <x:v>1</x:v>
      </x:c>
      <x:c r="O199" s="13" t="b">
        <x:v>1</x:v>
      </x:c>
      <x:c r="P199" s="13" t="b">
        <x:v>0</x:v>
      </x:c>
      <x:c r="Q199" s="2" t="str">
        <x:v>legacy_epoch_source_QA_passed; new_common_native_support_not_certified</x:v>
      </x:c>
      <x:c r="R199" s="2" t="str">
        <x:v>legacy_epoch_source_QA_passed; new_common_native_support_not_certified</x:v>
      </x:c>
      <x:c r="S199" s="2" t="str">
        <x:v>inherited2020anchor</x:v>
      </x:c>
      <x:c r="T199" s="2" t="str">
        <x:v>unused2023converted-source comparator</x:v>
      </x:c>
      <x:c r="U199" s="2" t="str">
        <x:v>GFA growth versus source physical quantity growth; constant conversion required for equality</x:v>
      </x:c>
      <x:c r="V199" s="2" t="str">
        <x:v>2020 level is the model anchor; 2023 comparator unused by v16 fit but shares conversion/upstream lineage</x:v>
      </x:c>
      <x:c r="W199" s="2" t="str">
        <x:v>https://arxiv.org/abs/2511.12104</x:v>
      </x:c>
    </x:row>
    <x:row r="200" ht="23" customHeight="1">
      <x:c r="A200" s="2" t="str">
        <x:v>ZAF</x:v>
      </x:c>
      <x:c r="B200" s="2" t="str">
        <x:v>South Africa (Republic of)</x:v>
      </x:c>
      <x:c r="C200" s="2" t="str">
        <x:v>TEMPO_PROXY</x:v>
      </x:c>
      <x:c r="D200" s="2" t="n">
        <x:v>2020</x:v>
      </x:c>
      <x:c r="E200" s="2" t="n">
        <x:v>2023</x:v>
      </x:c>
      <x:c r="F200" s="17" t="n">
        <x:v>2711325840.6099963</x:v>
      </x:c>
      <x:c r="G200" s="17" t="n">
        <x:v>2851993951.5264945</x:v>
      </x:c>
      <x:c r="H200" s="17" t="n">
        <x:v>2711325840.6099963</x:v>
      </x:c>
      <x:c r="I200" s="17" t="n">
        <x:v>2889099648.76</x:v>
      </x:c>
      <x:c r="J200" s="2" t="str">
        <x:v>m2</x:v>
      </x:c>
      <x:c r="K200" s="15" t="n">
        <x:f>IF(AND(ISNUMBER(F200),ISNUMBER(G200),F200&gt;0),G200/F200-1,"n.a.")</x:f>
        <x:v>0.05188166940674699</x:v>
      </x:c>
      <x:c r="L200" s="15" t="n">
        <x:f>IF(AND(N200,ISNUMBER(H200),ISNUMBER(I200),H200&gt;0),I200/H200-1,"n.a.")</x:f>
        <x:v>0.06556711313975017</x:v>
      </x:c>
      <x:c r="M200" s="20" t="n">
        <x:f>IF(AND(ISNUMBER(K200),ISNUMBER(L200)),100*(K200-L200),"n.a.")</x:f>
        <x:v>-1.3685443733003178</x:v>
      </x:c>
      <x:c r="N200" s="13" t="b">
        <x:v>1</x:v>
      </x:c>
      <x:c r="O200" s="13" t="b">
        <x:v>1</x:v>
      </x:c>
      <x:c r="P200" s="13" t="b">
        <x:v>0</x:v>
      </x:c>
      <x:c r="Q200" s="2" t="str">
        <x:v>legacy_epoch_source_QA_passed; new_common_native_support_not_certified</x:v>
      </x:c>
      <x:c r="R200" s="2" t="str">
        <x:v>legacy_epoch_source_QA_passed; new_common_native_support_not_certified</x:v>
      </x:c>
      <x:c r="S200" s="2" t="str">
        <x:v>inherited2020anchor</x:v>
      </x:c>
      <x:c r="T200" s="2" t="str">
        <x:v>unused2023converted-source comparator</x:v>
      </x:c>
      <x:c r="U200" s="2" t="str">
        <x:v>GFA growth versus source physical quantity growth; constant conversion required for equality</x:v>
      </x:c>
      <x:c r="V200" s="2" t="str">
        <x:v>2020 level is the model anchor; 2023 comparator unused by v16 fit but shares conversion/upstream lineage</x:v>
      </x:c>
      <x:c r="W200" s="2" t="str">
        <x:v>https://arxiv.org/abs/2511.12104</x:v>
      </x:c>
    </x:row>
    <x:row r="201" ht="23" customHeight="1">
      <x:c r="A201" s="2" t="str">
        <x:v>ZMB</x:v>
      </x:c>
      <x:c r="B201" s="2" t="str">
        <x:v>Zambia (Republic of)</x:v>
      </x:c>
      <x:c r="C201" s="2" t="str">
        <x:v>TEMPO_PROXY</x:v>
      </x:c>
      <x:c r="D201" s="2" t="n">
        <x:v>2020</x:v>
      </x:c>
      <x:c r="E201" s="2" t="n">
        <x:v>2023</x:v>
      </x:c>
      <x:c r="F201" s="17" t="n">
        <x:v>396696842.49999976</x:v>
      </x:c>
      <x:c r="G201" s="17" t="n">
        <x:v>433758719.9772798</x:v>
      </x:c>
      <x:c r="H201" s="17" t="n">
        <x:v>396696842.49999976</x:v>
      </x:c>
      <x:c r="I201" s="17" t="n">
        <x:v>437281444.48</x:v>
      </x:c>
      <x:c r="J201" s="2" t="str">
        <x:v>m2</x:v>
      </x:c>
      <x:c r="K201" s="15" t="n">
        <x:f>IF(AND(ISNUMBER(F201),ISNUMBER(G201),F201&gt;0),G201/F201-1,"n.a.")</x:f>
        <x:v>0.09342619730400314</x:v>
      </x:c>
      <x:c r="L201" s="15" t="n">
        <x:f>IF(AND(N201,ISNUMBER(H201),ISNUMBER(I201),H201&gt;0),I201/H201-1,"n.a.")</x:f>
        <x:v>0.10230633983430382</x:v>
      </x:c>
      <x:c r="M201" s="20" t="n">
        <x:f>IF(AND(ISNUMBER(K201),ISNUMBER(L201)),100*(K201-L201),"n.a.")</x:f>
        <x:v>-0.8880142530300672</x:v>
      </x:c>
      <x:c r="N201" s="13" t="b">
        <x:v>1</x:v>
      </x:c>
      <x:c r="O201" s="13" t="b">
        <x:v>1</x:v>
      </x:c>
      <x:c r="P201" s="13" t="b">
        <x:v>0</x:v>
      </x:c>
      <x:c r="Q201" s="2" t="str">
        <x:v>legacy_epoch_source_QA_passed; new_common_native_support_not_certified</x:v>
      </x:c>
      <x:c r="R201" s="2" t="str">
        <x:v>legacy_epoch_source_QA_passed; new_common_native_support_not_certified</x:v>
      </x:c>
      <x:c r="S201" s="2" t="str">
        <x:v>inherited2020anchor</x:v>
      </x:c>
      <x:c r="T201" s="2" t="str">
        <x:v>unused2023converted-source comparator</x:v>
      </x:c>
      <x:c r="U201" s="2" t="str">
        <x:v>GFA growth versus source physical quantity growth; constant conversion required for equality</x:v>
      </x:c>
      <x:c r="V201" s="2" t="str">
        <x:v>2020 level is the model anchor; 2023 comparator unused by v16 fit but shares conversion/upstream lineage</x:v>
      </x:c>
      <x:c r="W201" s="2" t="str">
        <x:v>https://arxiv.org/abs/2511.12104</x:v>
      </x:c>
    </x:row>
    <x:row r="202" ht="23" customHeight="1">
      <x:c r="A202" s="2" t="str">
        <x:v>ZWE</x:v>
      </x:c>
      <x:c r="B202" s="2" t="str">
        <x:v>Zimbabwe (Republic of)</x:v>
      </x:c>
      <x:c r="C202" s="2" t="str">
        <x:v>TEMPO_PROXY</x:v>
      </x:c>
      <x:c r="D202" s="2" t="n">
        <x:v>2020</x:v>
      </x:c>
      <x:c r="E202" s="2" t="n">
        <x:v>2023</x:v>
      </x:c>
      <x:c r="F202" s="17" t="n">
        <x:v>420425813.9799996</x:v>
      </x:c>
      <x:c r="G202" s="17" t="n">
        <x:v>450582162.9465908</x:v>
      </x:c>
      <x:c r="H202" s="17" t="n">
        <x:v>420425813.9799996</x:v>
      </x:c>
      <x:c r="I202" s="17" t="n">
        <x:v>459465466.59</x:v>
      </x:c>
      <x:c r="J202" s="2" t="str">
        <x:v>m2</x:v>
      </x:c>
      <x:c r="K202" s="15" t="n">
        <x:f>IF(AND(ISNUMBER(F202),ISNUMBER(G202),F202&gt;0),G202/F202-1,"n.a.")</x:f>
        <x:v>0.07172810984442979</x:v>
      </x:c>
      <x:c r="L202" s="15" t="n">
        <x:f>IF(AND(N202,ISNUMBER(H202),ISNUMBER(I202),H202&gt;0),I202/H202-1,"n.a.")</x:f>
        <x:v>0.09285741101486589</x:v>
      </x:c>
      <x:c r="M202" s="20" t="n">
        <x:f>IF(AND(ISNUMBER(K202),ISNUMBER(L202)),100*(K202-L202),"n.a.")</x:f>
        <x:v>-2.11293011704361</x:v>
      </x:c>
      <x:c r="N202" s="13" t="b">
        <x:v>1</x:v>
      </x:c>
      <x:c r="O202" s="13" t="b">
        <x:v>1</x:v>
      </x:c>
      <x:c r="P202" s="13" t="b">
        <x:v>0</x:v>
      </x:c>
      <x:c r="Q202" s="2" t="str">
        <x:v>legacy_epoch_source_QA_passed; new_common_native_support_not_certified</x:v>
      </x:c>
      <x:c r="R202" s="2" t="str">
        <x:v>legacy_epoch_source_QA_passed; new_common_native_support_not_certified</x:v>
      </x:c>
      <x:c r="S202" s="2" t="str">
        <x:v>inherited2020anchor</x:v>
      </x:c>
      <x:c r="T202" s="2" t="str">
        <x:v>unused2023converted-source comparator</x:v>
      </x:c>
      <x:c r="U202" s="2" t="str">
        <x:v>GFA growth versus source physical quantity growth; constant conversion required for equality</x:v>
      </x:c>
      <x:c r="V202" s="2" t="str">
        <x:v>2020 level is the model anchor; 2023 comparator unused by v16 fit but shares conversion/upstream lineage</x:v>
      </x:c>
      <x:c r="W202" s="2" t="str">
        <x:v>https://arxiv.org/abs/2511.12104</x:v>
      </x:c>
    </x:row>
    <x:row r="203" ht="23" customHeight="1">
      <x:c r="A203" s="2" t="str">
        <x:v>AFG</x:v>
      </x:c>
      <x:c r="B203" s="2" t="str">
        <x:v>Afghanistan (Islamic Republic of)</x:v>
      </x:c>
      <x:c r="C203" s="2" t="str">
        <x:v>TEMPO_FOOTPRINT</x:v>
      </x:c>
      <x:c r="D203" s="2" t="n">
        <x:v>2020</x:v>
      </x:c>
      <x:c r="E203" s="2" t="n">
        <x:v>2023</x:v>
      </x:c>
      <x:c r="F203" s="17" t="n">
        <x:v>853208432.4500008</x:v>
      </x:c>
      <x:c r="G203" s="17" t="n">
        <x:v>996044473.5381728</x:v>
      </x:c>
      <x:c r="H203" s="17" t="n">
        <x:v>853208432.45</x:v>
      </x:c>
      <x:c r="I203" s="17" t="n">
        <x:v>904786946.28</x:v>
      </x:c>
      <x:c r="J203" s="2" t="str">
        <x:v>m2</x:v>
      </x:c>
      <x:c r="K203" s="15" t="n">
        <x:f>IF(AND(ISNUMBER(F203),ISNUMBER(G203),F203&gt;0),G203/F203-1,"n.a.")</x:f>
        <x:v>0.16741048922596358</x:v>
      </x:c>
      <x:c r="L203" s="15" t="n">
        <x:f>IF(AND(N203,ISNUMBER(H203),ISNUMBER(I203),H203&gt;0),I203/H203-1,"n.a.")</x:f>
        <x:v>0.06045241920768585</x:v>
      </x:c>
      <x:c r="M203" s="20" t="n">
        <x:f>IF(AND(ISNUMBER(K203),ISNUMBER(L203)),100*(K203-L203),"n.a.")</x:f>
        <x:v>10.695807001827774</x:v>
      </x:c>
      <x:c r="N203" s="13" t="b">
        <x:v>1</x:v>
      </x:c>
      <x:c r="O203" s="13" t="b">
        <x:v>1</x:v>
      </x:c>
      <x:c r="P203" s="13" t="b">
        <x:v>0</x:v>
      </x:c>
      <x:c r="Q203" s="2" t="str">
        <x:v>none</x:v>
      </x:c>
      <x:c r="R203" s="2" t="str">
        <x:v>none</x:v>
      </x:c>
      <x:c r="S203" s="2" t="str">
        <x:v>nominal Q4 source model estimate</x:v>
      </x:c>
      <x:c r="T203" s="2" t="str">
        <x:v>nominal Q4 source model estimate</x:v>
      </x:c>
      <x:c r="U203" s="2" t="str">
        <x:v>GFA growth versus source physical quantity growth; constant conversion required for equality</x:v>
      </x:c>
      <x:c r="V203" s="2" t="str">
        <x:v>2020 level is the model anchor; 2023 comparator unused by v16 fit but shares conversion/upstream lineage</x:v>
      </x:c>
      <x:c r="W203" s="2" t="str">
        <x:v>https://arxiv.org/abs/2511.12104</x:v>
      </x:c>
    </x:row>
    <x:row r="204" ht="23" customHeight="1">
      <x:c r="A204" s="2" t="str">
        <x:v>AGO</x:v>
      </x:c>
      <x:c r="B204" s="2" t="str">
        <x:v>Angola (Republic of)</x:v>
      </x:c>
      <x:c r="C204" s="2" t="str">
        <x:v>TEMPO_FOOTPRINT</x:v>
      </x:c>
      <x:c r="D204" s="2" t="n">
        <x:v>2020</x:v>
      </x:c>
      <x:c r="E204" s="2" t="n">
        <x:v>2023</x:v>
      </x:c>
      <x:c r="F204" s="17" t="n">
        <x:v>512504617.85999936</x:v>
      </x:c>
      <x:c r="G204" s="17" t="n">
        <x:v>577098188.7830937</x:v>
      </x:c>
      <x:c r="H204" s="17" t="n">
        <x:v>512504617.86</x:v>
      </x:c>
      <x:c r="I204" s="17" t="n">
        <x:v>515655178.64</x:v>
      </x:c>
      <x:c r="J204" s="2" t="str">
        <x:v>m2</x:v>
      </x:c>
      <x:c r="K204" s="15" t="n">
        <x:f>IF(AND(ISNUMBER(F204),ISNUMBER(G204),F204&gt;0),G204/F204-1,"n.a.")</x:f>
        <x:v>0.12603510031345566</x:v>
      </x:c>
      <x:c r="L204" s="15" t="n">
        <x:f>IF(AND(N204,ISNUMBER(H204),ISNUMBER(I204),H204&gt;0),I204/H204-1,"n.a.")</x:f>
        <x:v>0.006147380277577552</x:v>
      </x:c>
      <x:c r="M204" s="20" t="n">
        <x:f>IF(AND(ISNUMBER(K204),ISNUMBER(L204)),100*(K204-L204),"n.a.")</x:f>
        <x:v>11.988772003587812</x:v>
      </x:c>
      <x:c r="N204" s="13" t="b">
        <x:v>1</x:v>
      </x:c>
      <x:c r="O204" s="13" t="b">
        <x:v>1</x:v>
      </x:c>
      <x:c r="P204" s="13" t="b">
        <x:v>0</x:v>
      </x:c>
      <x:c r="Q204" s="2" t="str">
        <x:v>none</x:v>
      </x:c>
      <x:c r="R204" s="2" t="str">
        <x:v>none</x:v>
      </x:c>
      <x:c r="S204" s="2" t="str">
        <x:v>nominal Q4 source model estimate</x:v>
      </x:c>
      <x:c r="T204" s="2" t="str">
        <x:v>nominal Q4 source model estimate</x:v>
      </x:c>
      <x:c r="U204" s="2" t="str">
        <x:v>GFA growth versus source physical quantity growth; constant conversion required for equality</x:v>
      </x:c>
      <x:c r="V204" s="2" t="str">
        <x:v>2020 level is the model anchor; 2023 comparator unused by v16 fit but shares conversion/upstream lineage</x:v>
      </x:c>
      <x:c r="W204" s="2" t="str">
        <x:v>https://arxiv.org/abs/2511.12104</x:v>
      </x:c>
    </x:row>
    <x:row r="205" ht="23" customHeight="1">
      <x:c r="A205" s="2" t="str">
        <x:v>ALB</x:v>
      </x:c>
      <x:c r="B205" s="2" t="str">
        <x:v>Albania (Republic of)</x:v>
      </x:c>
      <x:c r="C205" s="2" t="str">
        <x:v>TEMPO_FOOTPRINT</x:v>
      </x:c>
      <x:c r="D205" s="2" t="n">
        <x:v>2020</x:v>
      </x:c>
      <x:c r="E205" s="2" t="n">
        <x:v>2023</x:v>
      </x:c>
      <x:c r="F205" s="17" t="n">
        <x:v>161276383.52000022</x:v>
      </x:c>
      <x:c r="G205" s="17" t="n">
        <x:v>163084599.75188568</x:v>
      </x:c>
      <x:c r="H205" s="17" t="n">
        <x:v>161276383.52</x:v>
      </x:c>
      <x:c r="I205" s="17" t="n">
        <x:v>169295544.74</x:v>
      </x:c>
      <x:c r="J205" s="2" t="str">
        <x:v>m2</x:v>
      </x:c>
      <x:c r="K205" s="15" t="n">
        <x:f>IF(AND(ISNUMBER(F205),ISNUMBER(G205),F205&gt;0),G205/F205-1,"n.a.")</x:f>
        <x:v>0.011211909595314262</x:v>
      </x:c>
      <x:c r="L205" s="15" t="n">
        <x:f>IF(AND(N205,ISNUMBER(H205),ISNUMBER(I205),H205&gt;0),I205/H205-1,"n.a.")</x:f>
        <x:v>0.049723096742217976</x:v>
      </x:c>
      <x:c r="M205" s="20" t="n">
        <x:f>IF(AND(ISNUMBER(K205),ISNUMBER(L205)),100*(K205-L205),"n.a.")</x:f>
        <x:v>-3.8511187146903714</x:v>
      </x:c>
      <x:c r="N205" s="13" t="b">
        <x:v>1</x:v>
      </x:c>
      <x:c r="O205" s="13" t="b">
        <x:v>1</x:v>
      </x:c>
      <x:c r="P205" s="13" t="b">
        <x:v>0</x:v>
      </x:c>
      <x:c r="Q205" s="2" t="str">
        <x:v>none</x:v>
      </x:c>
      <x:c r="R205" s="2" t="str">
        <x:v>none</x:v>
      </x:c>
      <x:c r="S205" s="2" t="str">
        <x:v>nominal Q4 source model estimate</x:v>
      </x:c>
      <x:c r="T205" s="2" t="str">
        <x:v>nominal Q4 source model estimate</x:v>
      </x:c>
      <x:c r="U205" s="2" t="str">
        <x:v>GFA growth versus source physical quantity growth; constant conversion required for equality</x:v>
      </x:c>
      <x:c r="V205" s="2" t="str">
        <x:v>2020 level is the model anchor; 2023 comparator unused by v16 fit but shares conversion/upstream lineage</x:v>
      </x:c>
      <x:c r="W205" s="2" t="str">
        <x:v>https://arxiv.org/abs/2511.12104</x:v>
      </x:c>
    </x:row>
    <x:row r="206" ht="23" customHeight="1">
      <x:c r="A206" s="2" t="str">
        <x:v>AND</x:v>
      </x:c>
      <x:c r="B206" s="2" t="str">
        <x:v>Andorra (Principality of)</x:v>
      </x:c>
      <x:c r="C206" s="2" t="str">
        <x:v>TEMPO_FOOTPRINT</x:v>
      </x:c>
      <x:c r="D206" s="2" t="n">
        <x:v>2020</x:v>
      </x:c>
      <x:c r="E206" s="2" t="n">
        <x:v>2023</x:v>
      </x:c>
      <x:c r="F206" s="17" t="n">
        <x:v>2995448.5899999994</x:v>
      </x:c>
      <x:c r="G206" s="17" t="n">
        <x:v>3326486.5028189747</x:v>
      </x:c>
      <x:c r="H206" s="17" t="n">
        <x:v>2209198.1</x:v>
      </x:c>
      <x:c r="I206" s="17" t="n">
        <x:v>2336620.4</x:v>
      </x:c>
      <x:c r="J206" s="2" t="str">
        <x:v>m2</x:v>
      </x:c>
      <x:c r="K206" s="15" t="n">
        <x:f>IF(AND(ISNUMBER(F206),ISNUMBER(G206),F206&gt;0),G206/F206-1,"n.a.")</x:f>
        <x:v>0.11051363522782931</x:v>
      </x:c>
      <x:c r="L206" s="15" t="n">
        <x:f>IF(AND(N206,ISNUMBER(H206),ISNUMBER(I206),H206&gt;0),I206/H206-1,"n.a.")</x:f>
        <x:v>0.05767807785096313</x:v>
      </x:c>
      <x:c r="M206" s="20" t="n">
        <x:f>IF(AND(ISNUMBER(K206),ISNUMBER(L206)),100*(K206-L206),"n.a.")</x:f>
        <x:v>5.283555737686618</x:v>
      </x:c>
      <x:c r="N206" s="13" t="b">
        <x:v>1</x:v>
      </x:c>
      <x:c r="O206" s="13" t="b">
        <x:v>1</x:v>
      </x:c>
      <x:c r="P206" s="13" t="b">
        <x:v>0</x:v>
      </x:c>
      <x:c r="Q206" s="2" t="str">
        <x:v>none</x:v>
      </x:c>
      <x:c r="R206" s="2" t="str">
        <x:v>none</x:v>
      </x:c>
      <x:c r="S206" s="2" t="str">
        <x:v>nominal Q4 source model estimate</x:v>
      </x:c>
      <x:c r="T206" s="2" t="str">
        <x:v>nominal Q4 source model estimate</x:v>
      </x:c>
      <x:c r="U206" s="2" t="str">
        <x:v>GFA growth versus source physical quantity growth; constant conversion required for equality</x:v>
      </x:c>
      <x:c r="V206" s="2" t="str">
        <x:v>2020 level is the model anchor; 2023 comparator unused by v16 fit but shares conversion/upstream lineage</x:v>
      </x:c>
      <x:c r="W206" s="2" t="str">
        <x:v>https://arxiv.org/abs/2511.12104</x:v>
      </x:c>
    </x:row>
    <x:row r="207" ht="23" customHeight="1">
      <x:c r="A207" s="2" t="str">
        <x:v>ARE</x:v>
      </x:c>
      <x:c r="B207" s="2" t="str">
        <x:v>United Arab Emirates</x:v>
      </x:c>
      <x:c r="C207" s="2" t="str">
        <x:v>TEMPO_FOOTPRINT</x:v>
      </x:c>
      <x:c r="D207" s="2" t="n">
        <x:v>2020</x:v>
      </x:c>
      <x:c r="E207" s="2" t="n">
        <x:v>2023</x:v>
      </x:c>
      <x:c r="F207" s="17" t="n">
        <x:v>511804054.8699995</x:v>
      </x:c>
      <x:c r="G207" s="17" t="n">
        <x:v>576740560.1188428</x:v>
      </x:c>
      <x:c r="H207" s="17" t="n">
        <x:v>458879702.88</x:v>
      </x:c>
      <x:c r="I207" s="17" t="n">
        <x:v>500791337.13</x:v>
      </x:c>
      <x:c r="J207" s="2" t="str">
        <x:v>m2</x:v>
      </x:c>
      <x:c r="K207" s="15" t="n">
        <x:f>IF(AND(ISNUMBER(F207),ISNUMBER(G207),F207&gt;0),G207/F207-1,"n.a.")</x:f>
        <x:v>0.1268776685744264</x:v>
      </x:c>
      <x:c r="L207" s="15" t="n">
        <x:f>IF(AND(N207,ISNUMBER(H207),ISNUMBER(I207),H207&gt;0),I207/H207-1,"n.a.")</x:f>
        <x:v>0.09133468747245987</x:v>
      </x:c>
      <x:c r="M207" s="20" t="n">
        <x:f>IF(AND(ISNUMBER(K207),ISNUMBER(L207)),100*(K207-L207),"n.a.")</x:f>
        <x:v>3.554298110196652</x:v>
      </x:c>
      <x:c r="N207" s="13" t="b">
        <x:v>1</x:v>
      </x:c>
      <x:c r="O207" s="13" t="b">
        <x:v>1</x:v>
      </x:c>
      <x:c r="P207" s="13" t="b">
        <x:v>0</x:v>
      </x:c>
      <x:c r="Q207" s="2" t="str">
        <x:v>none</x:v>
      </x:c>
      <x:c r="R207" s="2" t="str">
        <x:v>none</x:v>
      </x:c>
      <x:c r="S207" s="2" t="str">
        <x:v>nominal Q4 source model estimate</x:v>
      </x:c>
      <x:c r="T207" s="2" t="str">
        <x:v>nominal Q4 source model estimate</x:v>
      </x:c>
      <x:c r="U207" s="2" t="str">
        <x:v>GFA growth versus source physical quantity growth; constant conversion required for equality</x:v>
      </x:c>
      <x:c r="V207" s="2" t="str">
        <x:v>2020 level is the model anchor; 2023 comparator unused by v16 fit but shares conversion/upstream lineage</x:v>
      </x:c>
      <x:c r="W207" s="2" t="str">
        <x:v>https://arxiv.org/abs/2511.12104</x:v>
      </x:c>
    </x:row>
    <x:row r="208" ht="23" customHeight="1">
      <x:c r="A208" s="2" t="str">
        <x:v>ARG</x:v>
      </x:c>
      <x:c r="B208" s="2" t="str">
        <x:v>Argentina (Argentine Republic)</x:v>
      </x:c>
      <x:c r="C208" s="2" t="str">
        <x:v>TEMPO_FOOTPRINT</x:v>
      </x:c>
      <x:c r="D208" s="2" t="n">
        <x:v>2020</x:v>
      </x:c>
      <x:c r="E208" s="2" t="n">
        <x:v>2023</x:v>
      </x:c>
      <x:c r="F208" s="17" t="n">
        <x:v>2382940448.399998</x:v>
      </x:c>
      <x:c r="G208" s="17" t="n">
        <x:v>2512039170.750072</x:v>
      </x:c>
      <x:c r="H208" s="17" t="n">
        <x:v>2382940448.4</x:v>
      </x:c>
      <x:c r="I208" s="17" t="n">
        <x:v>2531011731.78</x:v>
      </x:c>
      <x:c r="J208" s="2" t="str">
        <x:v>m2</x:v>
      </x:c>
      <x:c r="K208" s="15" t="n">
        <x:f>IF(AND(ISNUMBER(F208),ISNUMBER(G208),F208&gt;0),G208/F208-1,"n.a.")</x:f>
        <x:v>0.0541762268699395</x:v>
      </x:c>
      <x:c r="L208" s="15" t="n">
        <x:f>IF(AND(N208,ISNUMBER(H208),ISNUMBER(I208),H208&gt;0),I208/H208-1,"n.a.")</x:f>
        <x:v>0.06213805446939347</x:v>
      </x:c>
      <x:c r="M208" s="20" t="n">
        <x:f>IF(AND(ISNUMBER(K208),ISNUMBER(L208)),100*(K208-L208),"n.a.")</x:f>
        <x:v>-0.7961827599453963</x:v>
      </x:c>
      <x:c r="N208" s="13" t="b">
        <x:v>1</x:v>
      </x:c>
      <x:c r="O208" s="13" t="b">
        <x:v>1</x:v>
      </x:c>
      <x:c r="P208" s="13" t="b">
        <x:v>0</x:v>
      </x:c>
      <x:c r="Q208" s="2" t="str">
        <x:v>none</x:v>
      </x:c>
      <x:c r="R208" s="2" t="str">
        <x:v>none</x:v>
      </x:c>
      <x:c r="S208" s="2" t="str">
        <x:v>nominal Q4 source model estimate</x:v>
      </x:c>
      <x:c r="T208" s="2" t="str">
        <x:v>nominal Q4 source model estimate</x:v>
      </x:c>
      <x:c r="U208" s="2" t="str">
        <x:v>GFA growth versus source physical quantity growth; constant conversion required for equality</x:v>
      </x:c>
      <x:c r="V208" s="2" t="str">
        <x:v>2020 level is the model anchor; 2023 comparator unused by v16 fit but shares conversion/upstream lineage</x:v>
      </x:c>
      <x:c r="W208" s="2" t="str">
        <x:v>https://arxiv.org/abs/2511.12104</x:v>
      </x:c>
    </x:row>
    <x:row r="209" ht="23" customHeight="1">
      <x:c r="A209" s="2" t="str">
        <x:v>ARM</x:v>
      </x:c>
      <x:c r="B209" s="2" t="str">
        <x:v>Armenia (Republic of)</x:v>
      </x:c>
      <x:c r="C209" s="2" t="str">
        <x:v>TEMPO_FOOTPRINT</x:v>
      </x:c>
      <x:c r="D209" s="2" t="n">
        <x:v>2020</x:v>
      </x:c>
      <x:c r="E209" s="2" t="n">
        <x:v>2023</x:v>
      </x:c>
      <x:c r="F209" s="17" t="n">
        <x:v>142786500.21000025</x:v>
      </x:c>
      <x:c r="G209" s="17" t="n">
        <x:v>148794351.70823196</x:v>
      </x:c>
      <x:c r="H209" s="17" t="n">
        <x:v>142786500.21</x:v>
      </x:c>
      <x:c r="I209" s="17" t="n">
        <x:v>150315484.74</x:v>
      </x:c>
      <x:c r="J209" s="2" t="str">
        <x:v>m2</x:v>
      </x:c>
      <x:c r="K209" s="15" t="n">
        <x:f>IF(AND(ISNUMBER(F209),ISNUMBER(G209),F209&gt;0),G209/F209-1,"n.a.")</x:f>
        <x:v>0.04207576689249892</x:v>
      </x:c>
      <x:c r="L209" s="15" t="n">
        <x:f>IF(AND(N209,ISNUMBER(H209),ISNUMBER(I209),H209&gt;0),I209/H209-1,"n.a.")</x:f>
        <x:v>0.052728966106228015</x:v>
      </x:c>
      <x:c r="M209" s="20" t="n">
        <x:f>IF(AND(ISNUMBER(K209),ISNUMBER(L209)),100*(K209-L209),"n.a.")</x:f>
        <x:v>-1.0653199213729092</x:v>
      </x:c>
      <x:c r="N209" s="13" t="b">
        <x:v>1</x:v>
      </x:c>
      <x:c r="O209" s="13" t="b">
        <x:v>1</x:v>
      </x:c>
      <x:c r="P209" s="13" t="b">
        <x:v>0</x:v>
      </x:c>
      <x:c r="Q209" s="2" t="str">
        <x:v>none</x:v>
      </x:c>
      <x:c r="R209" s="2" t="str">
        <x:v>none</x:v>
      </x:c>
      <x:c r="S209" s="2" t="str">
        <x:v>nominal Q4 source model estimate</x:v>
      </x:c>
      <x:c r="T209" s="2" t="str">
        <x:v>nominal Q4 source model estimate</x:v>
      </x:c>
      <x:c r="U209" s="2" t="str">
        <x:v>GFA growth versus source physical quantity growth; constant conversion required for equality</x:v>
      </x:c>
      <x:c r="V209" s="2" t="str">
        <x:v>2020 level is the model anchor; 2023 comparator unused by v16 fit but shares conversion/upstream lineage</x:v>
      </x:c>
      <x:c r="W209" s="2" t="str">
        <x:v>https://arxiv.org/abs/2511.12104</x:v>
      </x:c>
    </x:row>
    <x:row r="210" ht="23" customHeight="1">
      <x:c r="A210" s="2" t="str">
        <x:v>ATG</x:v>
      </x:c>
      <x:c r="B210" s="2" t="str">
        <x:v>Antigua and Barbuda</x:v>
      </x:c>
      <x:c r="C210" s="2" t="str">
        <x:v>TEMPO_FOOTPRINT</x:v>
      </x:c>
      <x:c r="D210" s="2" t="n">
        <x:v>2020</x:v>
      </x:c>
      <x:c r="E210" s="2" t="n">
        <x:v>2023</x:v>
      </x:c>
      <x:c r="F210" s="17" t="n">
        <x:v>7437404.659999999</x:v>
      </x:c>
      <x:c r="G210" s="17" t="n">
        <x:v>7604119.701437739</x:v>
      </x:c>
      <x:c r="H210" s="17" t="n">
        <x:v>7437404.66</x:v>
      </x:c>
      <x:c r="I210" s="17" t="n">
        <x:v>7876426.92</x:v>
      </x:c>
      <x:c r="J210" s="2" t="str">
        <x:v>m2</x:v>
      </x:c>
      <x:c r="K210" s="15" t="n">
        <x:f>IF(AND(ISNUMBER(F210),ISNUMBER(G210),F210&gt;0),G210/F210-1,"n.a.")</x:f>
        <x:v>0.022415755099943535</x:v>
      </x:c>
      <x:c r="L210" s="15" t="n">
        <x:f>IF(AND(N210,ISNUMBER(H210),ISNUMBER(I210),H210&gt;0),I210/H210-1,"n.a.")</x:f>
        <x:v>0.059028959707027706</x:v>
      </x:c>
      <x:c r="M210" s="20" t="n">
        <x:f>IF(AND(ISNUMBER(K210),ISNUMBER(L210)),100*(K210-L210),"n.a.")</x:f>
        <x:v>-3.661320460708417</x:v>
      </x:c>
      <x:c r="N210" s="13" t="b">
        <x:v>1</x:v>
      </x:c>
      <x:c r="O210" s="13" t="b">
        <x:v>1</x:v>
      </x:c>
      <x:c r="P210" s="13" t="b">
        <x:v>0</x:v>
      </x:c>
      <x:c r="Q210" s="2" t="str">
        <x:v>none</x:v>
      </x:c>
      <x:c r="R210" s="2" t="str">
        <x:v>none</x:v>
      </x:c>
      <x:c r="S210" s="2" t="str">
        <x:v>nominal Q4 source model estimate</x:v>
      </x:c>
      <x:c r="T210" s="2" t="str">
        <x:v>nominal Q4 source model estimate</x:v>
      </x:c>
      <x:c r="U210" s="2" t="str">
        <x:v>GFA growth versus source physical quantity growth; constant conversion required for equality</x:v>
      </x:c>
      <x:c r="V210" s="2" t="str">
        <x:v>2020 level is the model anchor; 2023 comparator unused by v16 fit but shares conversion/upstream lineage</x:v>
      </x:c>
      <x:c r="W210" s="2" t="str">
        <x:v>https://arxiv.org/abs/2511.12104</x:v>
      </x:c>
    </x:row>
    <x:row r="211" ht="23" customHeight="1">
      <x:c r="A211" s="2" t="str">
        <x:v>AUS</x:v>
      </x:c>
      <x:c r="B211" s="2" t="str">
        <x:v>Australia (Commonwealth of)</x:v>
      </x:c>
      <x:c r="C211" s="2" t="str">
        <x:v>TEMPO_FOOTPRINT</x:v>
      </x:c>
      <x:c r="D211" s="2" t="n">
        <x:v>2020</x:v>
      </x:c>
      <x:c r="E211" s="2" t="n">
        <x:v>2023</x:v>
      </x:c>
      <x:c r="F211" s="17" t="n">
        <x:v>3011161094.8599973</x:v>
      </x:c>
      <x:c r="G211" s="17" t="n">
        <x:v>3150002772.636592</x:v>
      </x:c>
      <x:c r="H211" s="17" t="n">
        <x:v>3011161094.86</x:v>
      </x:c>
      <x:c r="I211" s="17" t="n">
        <x:v>3197269910.45</x:v>
      </x:c>
      <x:c r="J211" s="2" t="str">
        <x:v>m2</x:v>
      </x:c>
      <x:c r="K211" s="15" t="n">
        <x:f>IF(AND(ISNUMBER(F211),ISNUMBER(G211),F211&gt;0),G211/F211-1,"n.a.")</x:f>
        <x:v>0.046109016888400634</x:v>
      </x:c>
      <x:c r="L211" s="15" t="n">
        <x:f>IF(AND(N211,ISNUMBER(H211),ISNUMBER(I211),H211&gt;0),I211/H211-1,"n.a.")</x:f>
        <x:v>0.061806329760199175</x:v>
      </x:c>
      <x:c r="M211" s="20" t="n">
        <x:f>IF(AND(ISNUMBER(K211),ISNUMBER(L211)),100*(K211-L211),"n.a.")</x:f>
        <x:v>-1.569731287179854</x:v>
      </x:c>
      <x:c r="N211" s="13" t="b">
        <x:v>1</x:v>
      </x:c>
      <x:c r="O211" s="13" t="b">
        <x:v>1</x:v>
      </x:c>
      <x:c r="P211" s="13" t="b">
        <x:v>0</x:v>
      </x:c>
      <x:c r="Q211" s="2" t="str">
        <x:v>none</x:v>
      </x:c>
      <x:c r="R211" s="2" t="str">
        <x:v>none</x:v>
      </x:c>
      <x:c r="S211" s="2" t="str">
        <x:v>nominal Q4 source model estimate</x:v>
      </x:c>
      <x:c r="T211" s="2" t="str">
        <x:v>nominal Q4 source model estimate</x:v>
      </x:c>
      <x:c r="U211" s="2" t="str">
        <x:v>GFA growth versus source physical quantity growth; constant conversion required for equality</x:v>
      </x:c>
      <x:c r="V211" s="2" t="str">
        <x:v>2020 level is the model anchor; 2023 comparator unused by v16 fit but shares conversion/upstream lineage</x:v>
      </x:c>
      <x:c r="W211" s="2" t="str">
        <x:v>https://arxiv.org/abs/2511.12104</x:v>
      </x:c>
    </x:row>
    <x:row r="212" ht="23" customHeight="1">
      <x:c r="A212" s="2" t="str">
        <x:v>AUT</x:v>
      </x:c>
      <x:c r="B212" s="2" t="str">
        <x:v>Austria (Republic of)</x:v>
      </x:c>
      <x:c r="C212" s="2" t="str">
        <x:v>TEMPO_FOOTPRINT</x:v>
      </x:c>
      <x:c r="D212" s="2" t="n">
        <x:v>2020</x:v>
      </x:c>
      <x:c r="E212" s="2" t="n">
        <x:v>2023</x:v>
      </x:c>
      <x:c r="F212" s="17" t="n">
        <x:v>865496536.0700006</x:v>
      </x:c>
      <x:c r="G212" s="17" t="n">
        <x:v>921470012.8599453</x:v>
      </x:c>
      <x:c r="H212" s="17" t="n">
        <x:v>852795432.34</x:v>
      </x:c>
      <x:c r="I212" s="17" t="n">
        <x:v>896713697.52</x:v>
      </x:c>
      <x:c r="J212" s="2" t="str">
        <x:v>m2</x:v>
      </x:c>
      <x:c r="K212" s="15" t="n">
        <x:f>IF(AND(ISNUMBER(F212),ISNUMBER(G212),F212&gt;0),G212/F212-1,"n.a.")</x:f>
        <x:v>0.06467209798909868</x:v>
      </x:c>
      <x:c r="L212" s="15" t="n">
        <x:f>IF(AND(N212,ISNUMBER(H212),ISNUMBER(I212),H212&gt;0),I212/H212-1,"n.a.")</x:f>
        <x:v>0.05149917965612438</x:v>
      </x:c>
      <x:c r="M212" s="20" t="n">
        <x:f>IF(AND(ISNUMBER(K212),ISNUMBER(L212)),100*(K212-L212),"n.a.")</x:f>
        <x:v>1.3172918332974293</x:v>
      </x:c>
      <x:c r="N212" s="13" t="b">
        <x:v>1</x:v>
      </x:c>
      <x:c r="O212" s="13" t="b">
        <x:v>1</x:v>
      </x:c>
      <x:c r="P212" s="13" t="b">
        <x:v>0</x:v>
      </x:c>
      <x:c r="Q212" s="2" t="str">
        <x:v>none</x:v>
      </x:c>
      <x:c r="R212" s="2" t="str">
        <x:v>none</x:v>
      </x:c>
      <x:c r="S212" s="2" t="str">
        <x:v>nominal Q4 source model estimate</x:v>
      </x:c>
      <x:c r="T212" s="2" t="str">
        <x:v>nominal Q4 source model estimate</x:v>
      </x:c>
      <x:c r="U212" s="2" t="str">
        <x:v>GFA growth versus source physical quantity growth; constant conversion required for equality</x:v>
      </x:c>
      <x:c r="V212" s="2" t="str">
        <x:v>2020 level is the model anchor; 2023 comparator unused by v16 fit but shares conversion/upstream lineage</x:v>
      </x:c>
      <x:c r="W212" s="2" t="str">
        <x:v>https://arxiv.org/abs/2511.12104</x:v>
      </x:c>
    </x:row>
    <x:row r="213" ht="23" customHeight="1">
      <x:c r="A213" s="2" t="str">
        <x:v>AZE</x:v>
      </x:c>
      <x:c r="B213" s="2" t="str">
        <x:v>Azerbaijan (Republic of)</x:v>
      </x:c>
      <x:c r="C213" s="2" t="str">
        <x:v>TEMPO_FOOTPRINT</x:v>
      </x:c>
      <x:c r="D213" s="2" t="n">
        <x:v>2020</x:v>
      </x:c>
      <x:c r="E213" s="2" t="n">
        <x:v>2023</x:v>
      </x:c>
      <x:c r="F213" s="17" t="n">
        <x:v>507953272.9000006</x:v>
      </x:c>
      <x:c r="G213" s="17" t="n">
        <x:v>533450484.5210403</x:v>
      </x:c>
      <x:c r="H213" s="17" t="n">
        <x:v>507953272.9</x:v>
      </x:c>
      <x:c r="I213" s="17" t="n">
        <x:v>545138692.22</x:v>
      </x:c>
      <x:c r="J213" s="2" t="str">
        <x:v>m2</x:v>
      </x:c>
      <x:c r="K213" s="15" t="n">
        <x:f>IF(AND(ISNUMBER(F213),ISNUMBER(G213),F213&gt;0),G213/F213-1,"n.a.")</x:f>
        <x:v>0.050195978609353986</x:v>
      </x:c>
      <x:c r="L213" s="15" t="n">
        <x:f>IF(AND(N213,ISNUMBER(H213),ISNUMBER(I213),H213&gt;0),I213/H213-1,"n.a.")</x:f>
        <x:v>0.07320637803493524</x:v>
      </x:c>
      <x:c r="M213" s="20" t="n">
        <x:f>IF(AND(ISNUMBER(K213),ISNUMBER(L213)),100*(K213-L213),"n.a.")</x:f>
        <x:v>-2.301039942558125</x:v>
      </x:c>
      <x:c r="N213" s="13" t="b">
        <x:v>1</x:v>
      </x:c>
      <x:c r="O213" s="13" t="b">
        <x:v>1</x:v>
      </x:c>
      <x:c r="P213" s="13" t="b">
        <x:v>0</x:v>
      </x:c>
      <x:c r="Q213" s="2" t="str">
        <x:v>none</x:v>
      </x:c>
      <x:c r="R213" s="2" t="str">
        <x:v>none</x:v>
      </x:c>
      <x:c r="S213" s="2" t="str">
        <x:v>nominal Q4 source model estimate</x:v>
      </x:c>
      <x:c r="T213" s="2" t="str">
        <x:v>nominal Q4 source model estimate</x:v>
      </x:c>
      <x:c r="U213" s="2" t="str">
        <x:v>GFA growth versus source physical quantity growth; constant conversion required for equality</x:v>
      </x:c>
      <x:c r="V213" s="2" t="str">
        <x:v>2020 level is the model anchor; 2023 comparator unused by v16 fit but shares conversion/upstream lineage</x:v>
      </x:c>
      <x:c r="W213" s="2" t="str">
        <x:v>https://arxiv.org/abs/2511.12104</x:v>
      </x:c>
    </x:row>
    <x:row r="214" ht="23" customHeight="1">
      <x:c r="A214" s="2" t="str">
        <x:v>BDI</x:v>
      </x:c>
      <x:c r="B214" s="2" t="str">
        <x:v>Burundi (Republic of)</x:v>
      </x:c>
      <x:c r="C214" s="2" t="str">
        <x:v>TEMPO_FOOTPRINT</x:v>
      </x:c>
      <x:c r="D214" s="2" t="n">
        <x:v>2020</x:v>
      </x:c>
      <x:c r="E214" s="2" t="n">
        <x:v>2023</x:v>
      </x:c>
      <x:c r="F214" s="17" t="n">
        <x:v>147710691.6100001</x:v>
      </x:c>
      <x:c r="G214" s="17" t="n">
        <x:v>164848816.54997876</x:v>
      </x:c>
      <x:c r="H214" s="17" t="n">
        <x:v>147710691.61</x:v>
      </x:c>
      <x:c r="I214" s="17" t="n">
        <x:v>163647664.16</x:v>
      </x:c>
      <x:c r="J214" s="2" t="str">
        <x:v>m2</x:v>
      </x:c>
      <x:c r="K214" s="15" t="n">
        <x:f>IF(AND(ISNUMBER(F214),ISNUMBER(G214),F214&gt;0),G214/F214-1,"n.a.")</x:f>
        <x:v>0.11602494547401054</x:v>
      </x:c>
      <x:c r="L214" s="15" t="n">
        <x:f>IF(AND(N214,ISNUMBER(H214),ISNUMBER(I214),H214&gt;0),I214/H214-1,"n.a.")</x:f>
        <x:v>0.1078931550336133</x:v>
      </x:c>
      <x:c r="M214" s="20" t="n">
        <x:f>IF(AND(ISNUMBER(K214),ISNUMBER(L214)),100*(K214-L214),"n.a.")</x:f>
        <x:v>0.8131790440397246</x:v>
      </x:c>
      <x:c r="N214" s="13" t="b">
        <x:v>1</x:v>
      </x:c>
      <x:c r="O214" s="13" t="b">
        <x:v>1</x:v>
      </x:c>
      <x:c r="P214" s="13" t="b">
        <x:v>0</x:v>
      </x:c>
      <x:c r="Q214" s="2" t="str">
        <x:v>none</x:v>
      </x:c>
      <x:c r="R214" s="2" t="str">
        <x:v>none</x:v>
      </x:c>
      <x:c r="S214" s="2" t="str">
        <x:v>nominal Q4 source model estimate</x:v>
      </x:c>
      <x:c r="T214" s="2" t="str">
        <x:v>nominal Q4 source model estimate</x:v>
      </x:c>
      <x:c r="U214" s="2" t="str">
        <x:v>GFA growth versus source physical quantity growth; constant conversion required for equality</x:v>
      </x:c>
      <x:c r="V214" s="2" t="str">
        <x:v>2020 level is the model anchor; 2023 comparator unused by v16 fit but shares conversion/upstream lineage</x:v>
      </x:c>
      <x:c r="W214" s="2" t="str">
        <x:v>https://arxiv.org/abs/2511.12104</x:v>
      </x:c>
    </x:row>
    <x:row r="215" ht="23" customHeight="1">
      <x:c r="A215" s="2" t="str">
        <x:v>BEL</x:v>
      </x:c>
      <x:c r="B215" s="2" t="str">
        <x:v>Belgium (Kingdom of)</x:v>
      </x:c>
      <x:c r="C215" s="2" t="str">
        <x:v>TEMPO_FOOTPRINT</x:v>
      </x:c>
      <x:c r="D215" s="2" t="n">
        <x:v>2020</x:v>
      </x:c>
      <x:c r="E215" s="2" t="n">
        <x:v>2023</x:v>
      </x:c>
      <x:c r="F215" s="17" t="n">
        <x:v>1079109698.0100002</x:v>
      </x:c>
      <x:c r="G215" s="17" t="n">
        <x:v>1164575889.6617367</x:v>
      </x:c>
      <x:c r="H215" s="17" t="n">
        <x:v>997505427.36</x:v>
      </x:c>
      <x:c r="I215" s="17" t="n">
        <x:v>1029946591.98</x:v>
      </x:c>
      <x:c r="J215" s="2" t="str">
        <x:v>m2</x:v>
      </x:c>
      <x:c r="K215" s="15" t="n">
        <x:f>IF(AND(ISNUMBER(F215),ISNUMBER(G215),F215&gt;0),G215/F215-1,"n.a.")</x:f>
        <x:v>0.07920065199056747</x:v>
      </x:c>
      <x:c r="L215" s="15" t="n">
        <x:f>IF(AND(N215,ISNUMBER(H215),ISNUMBER(I215),H215&gt;0),I215/H215-1,"n.a.")</x:f>
        <x:v>0.032522293844414296</x:v>
      </x:c>
      <x:c r="M215" s="20" t="n">
        <x:f>IF(AND(ISNUMBER(K215),ISNUMBER(L215)),100*(K215-L215),"n.a.")</x:f>
        <x:v>4.667835814615318</x:v>
      </x:c>
      <x:c r="N215" s="13" t="b">
        <x:v>1</x:v>
      </x:c>
      <x:c r="O215" s="13" t="b">
        <x:v>1</x:v>
      </x:c>
      <x:c r="P215" s="13" t="b">
        <x:v>0</x:v>
      </x:c>
      <x:c r="Q215" s="2" t="str">
        <x:v>none</x:v>
      </x:c>
      <x:c r="R215" s="2" t="str">
        <x:v>none</x:v>
      </x:c>
      <x:c r="S215" s="2" t="str">
        <x:v>nominal Q4 source model estimate</x:v>
      </x:c>
      <x:c r="T215" s="2" t="str">
        <x:v>nominal Q4 source model estimate</x:v>
      </x:c>
      <x:c r="U215" s="2" t="str">
        <x:v>GFA growth versus source physical quantity growth; constant conversion required for equality</x:v>
      </x:c>
      <x:c r="V215" s="2" t="str">
        <x:v>2020 level is the model anchor; 2023 comparator unused by v16 fit but shares conversion/upstream lineage</x:v>
      </x:c>
      <x:c r="W215" s="2" t="str">
        <x:v>https://arxiv.org/abs/2511.12104</x:v>
      </x:c>
    </x:row>
    <x:row r="216" ht="23" customHeight="1">
      <x:c r="A216" s="2" t="str">
        <x:v>BEN</x:v>
      </x:c>
      <x:c r="B216" s="2" t="str">
        <x:v>Benin (Republic of)</x:v>
      </x:c>
      <x:c r="C216" s="2" t="str">
        <x:v>TEMPO_FOOTPRINT</x:v>
      </x:c>
      <x:c r="D216" s="2" t="n">
        <x:v>2020</x:v>
      </x:c>
      <x:c r="E216" s="2" t="n">
        <x:v>2023</x:v>
      </x:c>
      <x:c r="F216" s="17" t="n">
        <x:v>302038367.25</x:v>
      </x:c>
      <x:c r="G216" s="17" t="n">
        <x:v>330354836.0723422</x:v>
      </x:c>
      <x:c r="H216" s="17" t="n">
        <x:v>302038367.25</x:v>
      </x:c>
      <x:c r="I216" s="17" t="n">
        <x:v>329684296.35</x:v>
      </x:c>
      <x:c r="J216" s="2" t="str">
        <x:v>m2</x:v>
      </x:c>
      <x:c r="K216" s="15" t="n">
        <x:f>IF(AND(ISNUMBER(F216),ISNUMBER(G216),F216&gt;0),G216/F216-1,"n.a.")</x:f>
        <x:v>0.09375123127620544</x:v>
      </x:c>
      <x:c r="L216" s="15" t="n">
        <x:f>IF(AND(N216,ISNUMBER(H216),ISNUMBER(I216),H216&gt;0),I216/H216-1,"n.a.")</x:f>
        <x:v>0.09153118311329367</x:v>
      </x:c>
      <x:c r="M216" s="20" t="n">
        <x:f>IF(AND(ISNUMBER(K216),ISNUMBER(L216)),100*(K216-L216),"n.a.")</x:f>
        <x:v>0.22200481629117697</x:v>
      </x:c>
      <x:c r="N216" s="13" t="b">
        <x:v>1</x:v>
      </x:c>
      <x:c r="O216" s="13" t="b">
        <x:v>1</x:v>
      </x:c>
      <x:c r="P216" s="13" t="b">
        <x:v>0</x:v>
      </x:c>
      <x:c r="Q216" s="2" t="str">
        <x:v>none</x:v>
      </x:c>
      <x:c r="R216" s="2" t="str">
        <x:v>none</x:v>
      </x:c>
      <x:c r="S216" s="2" t="str">
        <x:v>nominal Q4 source model estimate</x:v>
      </x:c>
      <x:c r="T216" s="2" t="str">
        <x:v>nominal Q4 source model estimate</x:v>
      </x:c>
      <x:c r="U216" s="2" t="str">
        <x:v>GFA growth versus source physical quantity growth; constant conversion required for equality</x:v>
      </x:c>
      <x:c r="V216" s="2" t="str">
        <x:v>2020 level is the model anchor; 2023 comparator unused by v16 fit but shares conversion/upstream lineage</x:v>
      </x:c>
      <x:c r="W216" s="2" t="str">
        <x:v>https://arxiv.org/abs/2511.12104</x:v>
      </x:c>
    </x:row>
    <x:row r="217" ht="23" customHeight="1">
      <x:c r="A217" s="2" t="str">
        <x:v>BFA</x:v>
      </x:c>
      <x:c r="B217" s="2" t="str">
        <x:v>Burkina Faso</x:v>
      </x:c>
      <x:c r="C217" s="2" t="str">
        <x:v>TEMPO_FOOTPRINT</x:v>
      </x:c>
      <x:c r="D217" s="2" t="n">
        <x:v>2020</x:v>
      </x:c>
      <x:c r="E217" s="2" t="n">
        <x:v>2023</x:v>
      </x:c>
      <x:c r="F217" s="17" t="n">
        <x:v>359180891.3500002</x:v>
      </x:c>
      <x:c r="G217" s="17" t="n">
        <x:v>391497281.1057063</x:v>
      </x:c>
      <x:c r="H217" s="17" t="n">
        <x:v>359180891.35</x:v>
      </x:c>
      <x:c r="I217" s="17" t="n">
        <x:v>404459464.1</x:v>
      </x:c>
      <x:c r="J217" s="2" t="str">
        <x:v>m2</x:v>
      </x:c>
      <x:c r="K217" s="15" t="n">
        <x:f>IF(AND(ISNUMBER(F217),ISNUMBER(G217),F217&gt;0),G217/F217-1,"n.a.")</x:f>
        <x:v>0.08997246383081015</x:v>
      </x:c>
      <x:c r="L217" s="15" t="n">
        <x:f>IF(AND(N217,ISNUMBER(H217),ISNUMBER(I217),H217&gt;0),I217/H217-1,"n.a.")</x:f>
        <x:v>0.12606063919441302</x:v>
      </x:c>
      <x:c r="M217" s="20" t="n">
        <x:f>IF(AND(ISNUMBER(K217),ISNUMBER(L217)),100*(K217-L217),"n.a.")</x:f>
        <x:v>-3.608817536360287</x:v>
      </x:c>
      <x:c r="N217" s="13" t="b">
        <x:v>1</x:v>
      </x:c>
      <x:c r="O217" s="13" t="b">
        <x:v>1</x:v>
      </x:c>
      <x:c r="P217" s="13" t="b">
        <x:v>0</x:v>
      </x:c>
      <x:c r="Q217" s="2" t="str">
        <x:v>none</x:v>
      </x:c>
      <x:c r="R217" s="2" t="str">
        <x:v>none</x:v>
      </x:c>
      <x:c r="S217" s="2" t="str">
        <x:v>nominal Q4 source model estimate</x:v>
      </x:c>
      <x:c r="T217" s="2" t="str">
        <x:v>nominal Q4 source model estimate</x:v>
      </x:c>
      <x:c r="U217" s="2" t="str">
        <x:v>GFA growth versus source physical quantity growth; constant conversion required for equality</x:v>
      </x:c>
      <x:c r="V217" s="2" t="str">
        <x:v>2020 level is the model anchor; 2023 comparator unused by v16 fit but shares conversion/upstream lineage</x:v>
      </x:c>
      <x:c r="W217" s="2" t="str">
        <x:v>https://arxiv.org/abs/2511.12104</x:v>
      </x:c>
    </x:row>
    <x:row r="218" ht="23" customHeight="1">
      <x:c r="A218" s="2" t="str">
        <x:v>BGD</x:v>
      </x:c>
      <x:c r="B218" s="2" t="str">
        <x:v>Bangladesh (People's Republic of)</x:v>
      </x:c>
      <x:c r="C218" s="2" t="str">
        <x:v>TEMPO_FOOTPRINT</x:v>
      </x:c>
      <x:c r="D218" s="2" t="n">
        <x:v>2020</x:v>
      </x:c>
      <x:c r="E218" s="2" t="n">
        <x:v>2023</x:v>
      </x:c>
      <x:c r="F218" s="17" t="n">
        <x:v>2430930564.5499988</x:v>
      </x:c>
      <x:c r="G218" s="17" t="n">
        <x:v>2740038058.4835844</x:v>
      </x:c>
      <x:c r="H218" s="17" t="n">
        <x:v>2430930564.55</x:v>
      </x:c>
      <x:c r="I218" s="17" t="n">
        <x:v>2618059042.17</x:v>
      </x:c>
      <x:c r="J218" s="2" t="str">
        <x:v>m2</x:v>
      </x:c>
      <x:c r="K218" s="15" t="n">
        <x:f>IF(AND(ISNUMBER(F218),ISNUMBER(G218),F218&gt;0),G218/F218-1,"n.a.")</x:f>
        <x:v>0.1271560358165993</x:v>
      </x:c>
      <x:c r="L218" s="15" t="n">
        <x:f>IF(AND(N218,ISNUMBER(H218),ISNUMBER(I218),H218&gt;0),I218/H218-1,"n.a.")</x:f>
        <x:v>0.07697812531088899</x:v>
      </x:c>
      <x:c r="M218" s="20" t="n">
        <x:f>IF(AND(ISNUMBER(K218),ISNUMBER(L218)),100*(K218-L218),"n.a.")</x:f>
        <x:v>5.01779105057103</x:v>
      </x:c>
      <x:c r="N218" s="13" t="b">
        <x:v>1</x:v>
      </x:c>
      <x:c r="O218" s="13" t="b">
        <x:v>1</x:v>
      </x:c>
      <x:c r="P218" s="13" t="b">
        <x:v>0</x:v>
      </x:c>
      <x:c r="Q218" s="2" t="str">
        <x:v>none</x:v>
      </x:c>
      <x:c r="R218" s="2" t="str">
        <x:v>none</x:v>
      </x:c>
      <x:c r="S218" s="2" t="str">
        <x:v>nominal Q4 source model estimate</x:v>
      </x:c>
      <x:c r="T218" s="2" t="str">
        <x:v>nominal Q4 source model estimate</x:v>
      </x:c>
      <x:c r="U218" s="2" t="str">
        <x:v>GFA growth versus source physical quantity growth; constant conversion required for equality</x:v>
      </x:c>
      <x:c r="V218" s="2" t="str">
        <x:v>2020 level is the model anchor; 2023 comparator unused by v16 fit but shares conversion/upstream lineage</x:v>
      </x:c>
      <x:c r="W218" s="2" t="str">
        <x:v>https://arxiv.org/abs/2511.12104</x:v>
      </x:c>
    </x:row>
    <x:row r="219" ht="23" customHeight="1">
      <x:c r="A219" s="2" t="str">
        <x:v>BGR</x:v>
      </x:c>
      <x:c r="B219" s="2" t="str">
        <x:v>Bulgaria (Republic of)</x:v>
      </x:c>
      <x:c r="C219" s="2" t="str">
        <x:v>TEMPO_FOOTPRINT</x:v>
      </x:c>
      <x:c r="D219" s="2" t="n">
        <x:v>2020</x:v>
      </x:c>
      <x:c r="E219" s="2" t="n">
        <x:v>2023</x:v>
      </x:c>
      <x:c r="F219" s="17" t="n">
        <x:v>543020803.5700008</x:v>
      </x:c>
      <x:c r="G219" s="17" t="n">
        <x:v>563290439.3726661</x:v>
      </x:c>
      <x:c r="H219" s="17" t="n">
        <x:v>543020803.57</x:v>
      </x:c>
      <x:c r="I219" s="17" t="n">
        <x:v>566462792.97</x:v>
      </x:c>
      <x:c r="J219" s="2" t="str">
        <x:v>m2</x:v>
      </x:c>
      <x:c r="K219" s="15" t="n">
        <x:f>IF(AND(ISNUMBER(F219),ISNUMBER(G219),F219&gt;0),G219/F219-1,"n.a.")</x:f>
        <x:v>0.03732754927510329</x:v>
      </x:c>
      <x:c r="L219" s="15" t="n">
        <x:f>IF(AND(N219,ISNUMBER(H219),ISNUMBER(I219),H219&gt;0),I219/H219-1,"n.a.")</x:f>
        <x:v>0.0431695972711994</x:v>
      </x:c>
      <x:c r="M219" s="20" t="n">
        <x:f>IF(AND(ISNUMBER(K219),ISNUMBER(L219)),100*(K219-L219),"n.a.")</x:f>
        <x:v>-0.5842047996096111</x:v>
      </x:c>
      <x:c r="N219" s="13" t="b">
        <x:v>1</x:v>
      </x:c>
      <x:c r="O219" s="13" t="b">
        <x:v>1</x:v>
      </x:c>
      <x:c r="P219" s="13" t="b">
        <x:v>0</x:v>
      </x:c>
      <x:c r="Q219" s="2" t="str">
        <x:v>none</x:v>
      </x:c>
      <x:c r="R219" s="2" t="str">
        <x:v>none</x:v>
      </x:c>
      <x:c r="S219" s="2" t="str">
        <x:v>nominal Q4 source model estimate</x:v>
      </x:c>
      <x:c r="T219" s="2" t="str">
        <x:v>nominal Q4 source model estimate</x:v>
      </x:c>
      <x:c r="U219" s="2" t="str">
        <x:v>GFA growth versus source physical quantity growth; constant conversion required for equality</x:v>
      </x:c>
      <x:c r="V219" s="2" t="str">
        <x:v>2020 level is the model anchor; 2023 comparator unused by v16 fit but shares conversion/upstream lineage</x:v>
      </x:c>
      <x:c r="W219" s="2" t="str">
        <x:v>https://arxiv.org/abs/2511.12104</x:v>
      </x:c>
    </x:row>
    <x:row r="220" ht="23" customHeight="1">
      <x:c r="A220" s="2" t="str">
        <x:v>BHR</x:v>
      </x:c>
      <x:c r="B220" s="2" t="str">
        <x:v>Bahrain (Kingdom of)</x:v>
      </x:c>
      <x:c r="C220" s="2" t="str">
        <x:v>TEMPO_FOOTPRINT</x:v>
      </x:c>
      <x:c r="D220" s="2" t="n">
        <x:v>2020</x:v>
      </x:c>
      <x:c r="E220" s="2" t="n">
        <x:v>2023</x:v>
      </x:c>
      <x:c r="F220" s="17" t="n">
        <x:v>63702858.11000008</x:v>
      </x:c>
      <x:c r="G220" s="17" t="n">
        <x:v>69508549.57617551</x:v>
      </x:c>
      <x:c r="H220" s="17" t="n">
        <x:v>54723363.17</x:v>
      </x:c>
      <x:c r="I220" s="17" t="n">
        <x:v>59163725.24</x:v>
      </x:c>
      <x:c r="J220" s="2" t="str">
        <x:v>m2</x:v>
      </x:c>
      <x:c r="K220" s="15" t="n">
        <x:f>IF(AND(ISNUMBER(F220),ISNUMBER(G220),F220&gt;0),G220/F220-1,"n.a.")</x:f>
        <x:v>0.09113706415103606</x:v>
      </x:c>
      <x:c r="L220" s="15" t="n">
        <x:f>IF(AND(N220,ISNUMBER(H220),ISNUMBER(I220),H220&gt;0),I220/H220-1,"n.a.")</x:f>
        <x:v>0.0811419805505349</x:v>
      </x:c>
      <x:c r="M220" s="20" t="n">
        <x:f>IF(AND(ISNUMBER(K220),ISNUMBER(L220)),100*(K220-L220),"n.a.")</x:f>
        <x:v>0.9995083600501165</x:v>
      </x:c>
      <x:c r="N220" s="13" t="b">
        <x:v>1</x:v>
      </x:c>
      <x:c r="O220" s="13" t="b">
        <x:v>1</x:v>
      </x:c>
      <x:c r="P220" s="13" t="b">
        <x:v>0</x:v>
      </x:c>
      <x:c r="Q220" s="2" t="str">
        <x:v>none</x:v>
      </x:c>
      <x:c r="R220" s="2" t="str">
        <x:v>none</x:v>
      </x:c>
      <x:c r="S220" s="2" t="str">
        <x:v>nominal Q4 source model estimate</x:v>
      </x:c>
      <x:c r="T220" s="2" t="str">
        <x:v>nominal Q4 source model estimate</x:v>
      </x:c>
      <x:c r="U220" s="2" t="str">
        <x:v>GFA growth versus source physical quantity growth; constant conversion required for equality</x:v>
      </x:c>
      <x:c r="V220" s="2" t="str">
        <x:v>2020 level is the model anchor; 2023 comparator unused by v16 fit but shares conversion/upstream lineage</x:v>
      </x:c>
      <x:c r="W220" s="2" t="str">
        <x:v>https://arxiv.org/abs/2511.12104</x:v>
      </x:c>
    </x:row>
    <x:row r="221" ht="23" customHeight="1">
      <x:c r="A221" s="2" t="str">
        <x:v>BHS</x:v>
      </x:c>
      <x:c r="B221" s="2" t="str">
        <x:v>Bahamas (Commonwealth of the)</x:v>
      </x:c>
      <x:c r="C221" s="2" t="str">
        <x:v>TEMPO_FOOTPRINT</x:v>
      </x:c>
      <x:c r="D221" s="2" t="n">
        <x:v>2020</x:v>
      </x:c>
      <x:c r="E221" s="2" t="n">
        <x:v>2023</x:v>
      </x:c>
      <x:c r="F221" s="17" t="n">
        <x:v>29184660.44999999</x:v>
      </x:c>
      <x:c r="G221" s="17" t="n">
        <x:v>30727373.649168283</x:v>
      </x:c>
      <x:c r="H221" s="17" t="n">
        <x:v>29184660.45</x:v>
      </x:c>
      <x:c r="I221" s="17" t="n">
        <x:v>30646062.76</x:v>
      </x:c>
      <x:c r="J221" s="2" t="str">
        <x:v>m2</x:v>
      </x:c>
      <x:c r="K221" s="15" t="n">
        <x:f>IF(AND(ISNUMBER(F221),ISNUMBER(G221),F221&gt;0),G221/F221-1,"n.a.")</x:f>
        <x:v>0.05286041281211107</x:v>
      </x:c>
      <x:c r="L221" s="15" t="n">
        <x:f>IF(AND(N221,ISNUMBER(H221),ISNUMBER(I221),H221&gt;0),I221/H221-1,"n.a.")</x:f>
        <x:v>0.050074329715218635</x:v>
      </x:c>
      <x:c r="M221" s="20" t="n">
        <x:f>IF(AND(ISNUMBER(K221),ISNUMBER(L221)),100*(K221-L221),"n.a.")</x:f>
        <x:v>0.2786083096892433</x:v>
      </x:c>
      <x:c r="N221" s="13" t="b">
        <x:v>1</x:v>
      </x:c>
      <x:c r="O221" s="13" t="b">
        <x:v>1</x:v>
      </x:c>
      <x:c r="P221" s="13" t="b">
        <x:v>0</x:v>
      </x:c>
      <x:c r="Q221" s="2" t="str">
        <x:v>none</x:v>
      </x:c>
      <x:c r="R221" s="2" t="str">
        <x:v>none</x:v>
      </x:c>
      <x:c r="S221" s="2" t="str">
        <x:v>nominal Q4 source model estimate</x:v>
      </x:c>
      <x:c r="T221" s="2" t="str">
        <x:v>nominal Q4 source model estimate</x:v>
      </x:c>
      <x:c r="U221" s="2" t="str">
        <x:v>GFA growth versus source physical quantity growth; constant conversion required for equality</x:v>
      </x:c>
      <x:c r="V221" s="2" t="str">
        <x:v>2020 level is the model anchor; 2023 comparator unused by v16 fit but shares conversion/upstream lineage</x:v>
      </x:c>
      <x:c r="W221" s="2" t="str">
        <x:v>https://arxiv.org/abs/2511.12104</x:v>
      </x:c>
    </x:row>
    <x:row r="222" ht="23" customHeight="1">
      <x:c r="A222" s="2" t="str">
        <x:v>BIH</x:v>
      </x:c>
      <x:c r="B222" s="2" t="str">
        <x:v>Bosnia and Herzegovina</x:v>
      </x:c>
      <x:c r="C222" s="2" t="str">
        <x:v>TEMPO_FOOTPRINT</x:v>
      </x:c>
      <x:c r="D222" s="2" t="n">
        <x:v>2020</x:v>
      </x:c>
      <x:c r="E222" s="2" t="n">
        <x:v>2023</x:v>
      </x:c>
      <x:c r="F222" s="17" t="n">
        <x:v>247114206.72000027</x:v>
      </x:c>
      <x:c r="G222" s="17" t="n">
        <x:v>251211896.28119755</x:v>
      </x:c>
      <x:c r="H222" s="17" t="n">
        <x:v>247114206.72</x:v>
      </x:c>
      <x:c r="I222" s="17" t="n">
        <x:v>260873881.34</x:v>
      </x:c>
      <x:c r="J222" s="2" t="str">
        <x:v>m2</x:v>
      </x:c>
      <x:c r="K222" s="15" t="n">
        <x:f>IF(AND(ISNUMBER(F222),ISNUMBER(G222),F222&gt;0),G222/F222-1,"n.a.")</x:f>
        <x:v>0.01658216909333854</x:v>
      </x:c>
      <x:c r="L222" s="15" t="n">
        <x:f>IF(AND(N222,ISNUMBER(H222),ISNUMBER(I222),H222&gt;0),I222/H222-1,"n.a.")</x:f>
        <x:v>0.055681438969596764</x:v>
      </x:c>
      <x:c r="M222" s="20" t="n">
        <x:f>IF(AND(ISNUMBER(K222),ISNUMBER(L222)),100*(K222-L222),"n.a.")</x:f>
        <x:v>-3.9099269876258225</x:v>
      </x:c>
      <x:c r="N222" s="13" t="b">
        <x:v>1</x:v>
      </x:c>
      <x:c r="O222" s="13" t="b">
        <x:v>1</x:v>
      </x:c>
      <x:c r="P222" s="13" t="b">
        <x:v>0</x:v>
      </x:c>
      <x:c r="Q222" s="2" t="str">
        <x:v>none</x:v>
      </x:c>
      <x:c r="R222" s="2" t="str">
        <x:v>none</x:v>
      </x:c>
      <x:c r="S222" s="2" t="str">
        <x:v>nominal Q4 source model estimate</x:v>
      </x:c>
      <x:c r="T222" s="2" t="str">
        <x:v>nominal Q4 source model estimate</x:v>
      </x:c>
      <x:c r="U222" s="2" t="str">
        <x:v>GFA growth versus source physical quantity growth; constant conversion required for equality</x:v>
      </x:c>
      <x:c r="V222" s="2" t="str">
        <x:v>2020 level is the model anchor; 2023 comparator unused by v16 fit but shares conversion/upstream lineage</x:v>
      </x:c>
      <x:c r="W222" s="2" t="str">
        <x:v>https://arxiv.org/abs/2511.12104</x:v>
      </x:c>
    </x:row>
    <x:row r="223" ht="23" customHeight="1">
      <x:c r="A223" s="2" t="str">
        <x:v>BLR</x:v>
      </x:c>
      <x:c r="B223" s="2" t="str">
        <x:v>Belarus (Republic of)</x:v>
      </x:c>
      <x:c r="C223" s="2" t="str">
        <x:v>TEMPO_FOOTPRINT</x:v>
      </x:c>
      <x:c r="D223" s="2" t="n">
        <x:v>2020</x:v>
      </x:c>
      <x:c r="E223" s="2" t="n">
        <x:v>2023</x:v>
      </x:c>
      <x:c r="F223" s="17" t="n">
        <x:v>672205246.4400003</x:v>
      </x:c>
      <x:c r="G223" s="17" t="n">
        <x:v>699202895.6286968</x:v>
      </x:c>
      <x:c r="H223" s="17" t="n">
        <x:v>672205246.44</x:v>
      </x:c>
      <x:c r="I223" s="17" t="n">
        <x:v>691140315.2</x:v>
      </x:c>
      <x:c r="J223" s="2" t="str">
        <x:v>m2</x:v>
      </x:c>
      <x:c r="K223" s="15" t="n">
        <x:f>IF(AND(ISNUMBER(F223),ISNUMBER(G223),F223&gt;0),G223/F223-1,"n.a.")</x:f>
        <x:v>0.04016280642211001</x:v>
      </x:c>
      <x:c r="L223" s="15" t="n">
        <x:f>IF(AND(N223,ISNUMBER(H223),ISNUMBER(I223),H223&gt;0),I223/H223-1,"n.a.")</x:f>
        <x:v>0.02816858223032348</x:v>
      </x:c>
      <x:c r="M223" s="20" t="n">
        <x:f>IF(AND(ISNUMBER(K223),ISNUMBER(L223)),100*(K223-L223),"n.a.")</x:f>
        <x:v>1.1994224191786529</x:v>
      </x:c>
      <x:c r="N223" s="13" t="b">
        <x:v>1</x:v>
      </x:c>
      <x:c r="O223" s="13" t="b">
        <x:v>1</x:v>
      </x:c>
      <x:c r="P223" s="13" t="b">
        <x:v>0</x:v>
      </x:c>
      <x:c r="Q223" s="2" t="str">
        <x:v>none</x:v>
      </x:c>
      <x:c r="R223" s="2" t="str">
        <x:v>none</x:v>
      </x:c>
      <x:c r="S223" s="2" t="str">
        <x:v>nominal Q4 source model estimate</x:v>
      </x:c>
      <x:c r="T223" s="2" t="str">
        <x:v>nominal Q4 source model estimate</x:v>
      </x:c>
      <x:c r="U223" s="2" t="str">
        <x:v>GFA growth versus source physical quantity growth; constant conversion required for equality</x:v>
      </x:c>
      <x:c r="V223" s="2" t="str">
        <x:v>2020 level is the model anchor; 2023 comparator unused by v16 fit but shares conversion/upstream lineage</x:v>
      </x:c>
      <x:c r="W223" s="2" t="str">
        <x:v>https://arxiv.org/abs/2511.12104</x:v>
      </x:c>
    </x:row>
    <x:row r="224" ht="23" customHeight="1">
      <x:c r="A224" s="2" t="str">
        <x:v>BLZ</x:v>
      </x:c>
      <x:c r="B224" s="2" t="str">
        <x:v>Belize</x:v>
      </x:c>
      <x:c r="C224" s="2" t="str">
        <x:v>TEMPO_FOOTPRINT</x:v>
      </x:c>
      <x:c r="D224" s="2" t="n">
        <x:v>2020</x:v>
      </x:c>
      <x:c r="E224" s="2" t="n">
        <x:v>2023</x:v>
      </x:c>
      <x:c r="F224" s="17" t="n">
        <x:v>21867714.339999966</x:v>
      </x:c>
      <x:c r="G224" s="17" t="n">
        <x:v>23115627.76110608</x:v>
      </x:c>
      <x:c r="H224" s="17" t="n">
        <x:v>21867714.34</x:v>
      </x:c>
      <x:c r="I224" s="17" t="n">
        <x:v>23377063.81</x:v>
      </x:c>
      <x:c r="J224" s="2" t="str">
        <x:v>m2</x:v>
      </x:c>
      <x:c r="K224" s="15" t="n">
        <x:f>IF(AND(ISNUMBER(F224),ISNUMBER(G224),F224&gt;0),G224/F224-1,"n.a.")</x:f>
        <x:v>0.05706647716828184</x:v>
      </x:c>
      <x:c r="L224" s="15" t="n">
        <x:f>IF(AND(N224,ISNUMBER(H224),ISNUMBER(I224),H224&gt;0),I224/H224-1,"n.a.")</x:f>
        <x:v>0.06902182123529599</x:v>
      </x:c>
      <x:c r="M224" s="20" t="n">
        <x:f>IF(AND(ISNUMBER(K224),ISNUMBER(L224)),100*(K224-L224),"n.a.")</x:f>
        <x:v>-1.195534406701415</x:v>
      </x:c>
      <x:c r="N224" s="13" t="b">
        <x:v>1</x:v>
      </x:c>
      <x:c r="O224" s="13" t="b">
        <x:v>1</x:v>
      </x:c>
      <x:c r="P224" s="13" t="b">
        <x:v>0</x:v>
      </x:c>
      <x:c r="Q224" s="2" t="str">
        <x:v>none</x:v>
      </x:c>
      <x:c r="R224" s="2" t="str">
        <x:v>none</x:v>
      </x:c>
      <x:c r="S224" s="2" t="str">
        <x:v>nominal Q4 source model estimate</x:v>
      </x:c>
      <x:c r="T224" s="2" t="str">
        <x:v>nominal Q4 source model estimate</x:v>
      </x:c>
      <x:c r="U224" s="2" t="str">
        <x:v>GFA growth versus source physical quantity growth; constant conversion required for equality</x:v>
      </x:c>
      <x:c r="V224" s="2" t="str">
        <x:v>2020 level is the model anchor; 2023 comparator unused by v16 fit but shares conversion/upstream lineage</x:v>
      </x:c>
      <x:c r="W224" s="2" t="str">
        <x:v>https://arxiv.org/abs/2511.12104</x:v>
      </x:c>
    </x:row>
    <x:row r="225" ht="23" customHeight="1">
      <x:c r="A225" s="2" t="str">
        <x:v>BOL</x:v>
      </x:c>
      <x:c r="B225" s="2" t="str">
        <x:v>Bolivia (Plurinational State of)</x:v>
      </x:c>
      <x:c r="C225" s="2" t="str">
        <x:v>TEMPO_FOOTPRINT</x:v>
      </x:c>
      <x:c r="D225" s="2" t="n">
        <x:v>2020</x:v>
      </x:c>
      <x:c r="E225" s="2" t="n">
        <x:v>2023</x:v>
      </x:c>
      <x:c r="F225" s="17" t="n">
        <x:v>496419008.9399992</x:v>
      </x:c>
      <x:c r="G225" s="17" t="n">
        <x:v>539024897.6683519</x:v>
      </x:c>
      <x:c r="H225" s="17" t="n">
        <x:v>496419008.94</x:v>
      </x:c>
      <x:c r="I225" s="17" t="n">
        <x:v>536161611.56</x:v>
      </x:c>
      <x:c r="J225" s="2" t="str">
        <x:v>m2</x:v>
      </x:c>
      <x:c r="K225" s="15" t="n">
        <x:f>IF(AND(ISNUMBER(F225),ISNUMBER(G225),F225&gt;0),G225/F225-1,"n.a.")</x:f>
        <x:v>0.0858264650649232</x:v>
      </x:c>
      <x:c r="L225" s="15" t="n">
        <x:f>IF(AND(N225,ISNUMBER(H225),ISNUMBER(I225),H225&gt;0),I225/H225-1,"n.a.")</x:f>
        <x:v>0.08005858338273963</x:v>
      </x:c>
      <x:c r="M225" s="20" t="n">
        <x:f>IF(AND(ISNUMBER(K225),ISNUMBER(L225)),100*(K225-L225),"n.a.")</x:f>
        <x:v>0.5767881682183562</x:v>
      </x:c>
      <x:c r="N225" s="13" t="b">
        <x:v>1</x:v>
      </x:c>
      <x:c r="O225" s="13" t="b">
        <x:v>1</x:v>
      </x:c>
      <x:c r="P225" s="13" t="b">
        <x:v>0</x:v>
      </x:c>
      <x:c r="Q225" s="2" t="str">
        <x:v>none</x:v>
      </x:c>
      <x:c r="R225" s="2" t="str">
        <x:v>none</x:v>
      </x:c>
      <x:c r="S225" s="2" t="str">
        <x:v>nominal Q4 source model estimate</x:v>
      </x:c>
      <x:c r="T225" s="2" t="str">
        <x:v>nominal Q4 source model estimate</x:v>
      </x:c>
      <x:c r="U225" s="2" t="str">
        <x:v>GFA growth versus source physical quantity growth; constant conversion required for equality</x:v>
      </x:c>
      <x:c r="V225" s="2" t="str">
        <x:v>2020 level is the model anchor; 2023 comparator unused by v16 fit but shares conversion/upstream lineage</x:v>
      </x:c>
      <x:c r="W225" s="2" t="str">
        <x:v>https://arxiv.org/abs/2511.12104</x:v>
      </x:c>
    </x:row>
    <x:row r="226" ht="23" customHeight="1">
      <x:c r="A226" s="2" t="str">
        <x:v>BRA</x:v>
      </x:c>
      <x:c r="B226" s="2" t="str">
        <x:v>Brazil (Federative Republic of)</x:v>
      </x:c>
      <x:c r="C226" s="2" t="str">
        <x:v>TEMPO_FOOTPRINT</x:v>
      </x:c>
      <x:c r="D226" s="2" t="n">
        <x:v>2020</x:v>
      </x:c>
      <x:c r="E226" s="2" t="n">
        <x:v>2023</x:v>
      </x:c>
      <x:c r="F226" s="17" t="n">
        <x:v>12112839681.859997</x:v>
      </x:c>
      <x:c r="G226" s="17" t="n">
        <x:v>12777477492.222046</x:v>
      </x:c>
      <x:c r="H226" s="17" t="n">
        <x:v>12112839681.86</x:v>
      </x:c>
      <x:c r="I226" s="17" t="n">
        <x:v>12899655171.43</x:v>
      </x:c>
      <x:c r="J226" s="2" t="str">
        <x:v>m2</x:v>
      </x:c>
      <x:c r="K226" s="15" t="n">
        <x:f>IF(AND(ISNUMBER(F226),ISNUMBER(G226),F226&gt;0),G226/F226-1,"n.a.")</x:f>
        <x:v>0.05487051986310032</x:v>
      </x:c>
      <x:c r="L226" s="15" t="n">
        <x:f>IF(AND(N226,ISNUMBER(H226),ISNUMBER(I226),H226&gt;0),I226/H226-1,"n.a.")</x:f>
        <x:v>0.06495714549481924</x:v>
      </x:c>
      <x:c r="M226" s="20" t="n">
        <x:f>IF(AND(ISNUMBER(K226),ISNUMBER(L226)),100*(K226-L226),"n.a.")</x:f>
        <x:v>-1.0086625631718915</x:v>
      </x:c>
      <x:c r="N226" s="13" t="b">
        <x:v>1</x:v>
      </x:c>
      <x:c r="O226" s="13" t="b">
        <x:v>1</x:v>
      </x:c>
      <x:c r="P226" s="13" t="b">
        <x:v>0</x:v>
      </x:c>
      <x:c r="Q226" s="2" t="str">
        <x:v>none</x:v>
      </x:c>
      <x:c r="R226" s="2" t="str">
        <x:v>none</x:v>
      </x:c>
      <x:c r="S226" s="2" t="str">
        <x:v>nominal Q4 source model estimate</x:v>
      </x:c>
      <x:c r="T226" s="2" t="str">
        <x:v>nominal Q4 source model estimate</x:v>
      </x:c>
      <x:c r="U226" s="2" t="str">
        <x:v>GFA growth versus source physical quantity growth; constant conversion required for equality</x:v>
      </x:c>
      <x:c r="V226" s="2" t="str">
        <x:v>2020 level is the model anchor; 2023 comparator unused by v16 fit but shares conversion/upstream lineage</x:v>
      </x:c>
      <x:c r="W226" s="2" t="str">
        <x:v>https://arxiv.org/abs/2511.12104</x:v>
      </x:c>
    </x:row>
    <x:row r="227" ht="23" customHeight="1">
      <x:c r="A227" s="2" t="str">
        <x:v>BRB</x:v>
      </x:c>
      <x:c r="B227" s="2" t="str">
        <x:v>Barbados</x:v>
      </x:c>
      <x:c r="C227" s="2" t="str">
        <x:v>TEMPO_FOOTPRINT</x:v>
      </x:c>
      <x:c r="D227" s="2" t="n">
        <x:v>2020</x:v>
      </x:c>
      <x:c r="E227" s="2" t="n">
        <x:v>2023</x:v>
      </x:c>
      <x:c r="F227" s="17" t="n">
        <x:v>23684585.840000004</x:v>
      </x:c>
      <x:c r="G227" s="17" t="n">
        <x:v>24170733.972350426</x:v>
      </x:c>
      <x:c r="H227" s="17" t="n">
        <x:v>23684585.84</x:v>
      </x:c>
      <x:c r="I227" s="17" t="n">
        <x:v>24526039.72</x:v>
      </x:c>
      <x:c r="J227" s="2" t="str">
        <x:v>m2</x:v>
      </x:c>
      <x:c r="K227" s="15" t="n">
        <x:f>IF(AND(ISNUMBER(F227),ISNUMBER(G227),F227&gt;0),G227/F227-1,"n.a.")</x:f>
        <x:v>0.020525929211284044</x:v>
      </x:c>
      <x:c r="L227" s="15" t="n">
        <x:f>IF(AND(N227,ISNUMBER(H227),ISNUMBER(I227),H227&gt;0),I227/H227-1,"n.a.")</x:f>
        <x:v>0.03552748972198194</x:v>
      </x:c>
      <x:c r="M227" s="20" t="n">
        <x:f>IF(AND(ISNUMBER(K227),ISNUMBER(L227)),100*(K227-L227),"n.a.")</x:f>
        <x:v>-1.5001560510697898</x:v>
      </x:c>
      <x:c r="N227" s="13" t="b">
        <x:v>1</x:v>
      </x:c>
      <x:c r="O227" s="13" t="b">
        <x:v>1</x:v>
      </x:c>
      <x:c r="P227" s="13" t="b">
        <x:v>0</x:v>
      </x:c>
      <x:c r="Q227" s="2" t="str">
        <x:v>none</x:v>
      </x:c>
      <x:c r="R227" s="2" t="str">
        <x:v>none</x:v>
      </x:c>
      <x:c r="S227" s="2" t="str">
        <x:v>nominal Q4 source model estimate</x:v>
      </x:c>
      <x:c r="T227" s="2" t="str">
        <x:v>nominal Q4 source model estimate</x:v>
      </x:c>
      <x:c r="U227" s="2" t="str">
        <x:v>GFA growth versus source physical quantity growth; constant conversion required for equality</x:v>
      </x:c>
      <x:c r="V227" s="2" t="str">
        <x:v>2020 level is the model anchor; 2023 comparator unused by v16 fit but shares conversion/upstream lineage</x:v>
      </x:c>
      <x:c r="W227" s="2" t="str">
        <x:v>https://arxiv.org/abs/2511.12104</x:v>
      </x:c>
    </x:row>
    <x:row r="228" ht="23" customHeight="1">
      <x:c r="A228" s="2" t="str">
        <x:v>BRN</x:v>
      </x:c>
      <x:c r="B228" s="2" t="str">
        <x:v>Brunei Darussalam</x:v>
      </x:c>
      <x:c r="C228" s="2" t="str">
        <x:v>TEMPO_FOOTPRINT</x:v>
      </x:c>
      <x:c r="D228" s="2" t="n">
        <x:v>2020</x:v>
      </x:c>
      <x:c r="E228" s="2" t="n">
        <x:v>2023</x:v>
      </x:c>
      <x:c r="F228" s="17" t="n">
        <x:v>37849769.86000001</x:v>
      </x:c>
      <x:c r="G228" s="17" t="n">
        <x:v>40249225.03655419</x:v>
      </x:c>
      <x:c r="H228" s="17" t="n">
        <x:v>37849769.86</x:v>
      </x:c>
      <x:c r="I228" s="17" t="n">
        <x:v>39594012.79</x:v>
      </x:c>
      <x:c r="J228" s="2" t="str">
        <x:v>m2</x:v>
      </x:c>
      <x:c r="K228" s="15" t="n">
        <x:f>IF(AND(ISNUMBER(F228),ISNUMBER(G228),F228&gt;0),G228/F228-1,"n.a.")</x:f>
        <x:v>0.06339418140267084</x:v>
      </x:c>
      <x:c r="L228" s="15" t="n">
        <x:f>IF(AND(N228,ISNUMBER(H228),ISNUMBER(I228),H228&gt;0),I228/H228-1,"n.a.")</x:f>
        <x:v>0.04608331666088494</x:v>
      </x:c>
      <x:c r="M228" s="20" t="n">
        <x:f>IF(AND(ISNUMBER(K228),ISNUMBER(L228)),100*(K228-L228),"n.a.")</x:f>
        <x:v>1.7310864741785892</x:v>
      </x:c>
      <x:c r="N228" s="13" t="b">
        <x:v>1</x:v>
      </x:c>
      <x:c r="O228" s="13" t="b">
        <x:v>1</x:v>
      </x:c>
      <x:c r="P228" s="13" t="b">
        <x:v>0</x:v>
      </x:c>
      <x:c r="Q228" s="2" t="str">
        <x:v>none</x:v>
      </x:c>
      <x:c r="R228" s="2" t="str">
        <x:v>none</x:v>
      </x:c>
      <x:c r="S228" s="2" t="str">
        <x:v>nominal Q4 source model estimate</x:v>
      </x:c>
      <x:c r="T228" s="2" t="str">
        <x:v>nominal Q4 source model estimate</x:v>
      </x:c>
      <x:c r="U228" s="2" t="str">
        <x:v>GFA growth versus source physical quantity growth; constant conversion required for equality</x:v>
      </x:c>
      <x:c r="V228" s="2" t="str">
        <x:v>2020 level is the model anchor; 2023 comparator unused by v16 fit but shares conversion/upstream lineage</x:v>
      </x:c>
      <x:c r="W228" s="2" t="str">
        <x:v>https://arxiv.org/abs/2511.12104</x:v>
      </x:c>
    </x:row>
    <x:row r="229" ht="23" customHeight="1">
      <x:c r="A229" s="2" t="str">
        <x:v>BTN</x:v>
      </x:c>
      <x:c r="B229" s="2" t="str">
        <x:v>Bhutan (Kingdom of)</x:v>
      </x:c>
      <x:c r="C229" s="2" t="str">
        <x:v>TEMPO_FOOTPRINT</x:v>
      </x:c>
      <x:c r="D229" s="2" t="n">
        <x:v>2020</x:v>
      </x:c>
      <x:c r="E229" s="2" t="n">
        <x:v>2023</x:v>
      </x:c>
      <x:c r="F229" s="17" t="n">
        <x:v>27177544.510000043</x:v>
      </x:c>
      <x:c r="G229" s="17" t="n">
        <x:v>29650984.242419805</x:v>
      </x:c>
      <x:c r="H229" s="17" t="n">
        <x:v>27177544.51</x:v>
      </x:c>
      <x:c r="I229" s="17" t="n">
        <x:v>31057262.36</x:v>
      </x:c>
      <x:c r="J229" s="2" t="str">
        <x:v>m2</x:v>
      </x:c>
      <x:c r="K229" s="15" t="n">
        <x:f>IF(AND(ISNUMBER(F229),ISNUMBER(G229),F229&gt;0),G229/F229-1,"n.a.")</x:f>
        <x:v>0.09101041970549084</x:v>
      </x:c>
      <x:c r="L229" s="15" t="n">
        <x:f>IF(AND(N229,ISNUMBER(H229),ISNUMBER(I229),H229&gt;0),I229/H229-1,"n.a.")</x:f>
        <x:v>0.14275453945342464</x:v>
      </x:c>
      <x:c r="M229" s="20" t="n">
        <x:f>IF(AND(ISNUMBER(K229),ISNUMBER(L229)),100*(K229-L229),"n.a.")</x:f>
        <x:v>-5.17441197479338</x:v>
      </x:c>
      <x:c r="N229" s="13" t="b">
        <x:v>1</x:v>
      </x:c>
      <x:c r="O229" s="13" t="b">
        <x:v>1</x:v>
      </x:c>
      <x:c r="P229" s="13" t="b">
        <x:v>0</x:v>
      </x:c>
      <x:c r="Q229" s="2" t="str">
        <x:v>none</x:v>
      </x:c>
      <x:c r="R229" s="2" t="str">
        <x:v>none</x:v>
      </x:c>
      <x:c r="S229" s="2" t="str">
        <x:v>nominal Q4 source model estimate</x:v>
      </x:c>
      <x:c r="T229" s="2" t="str">
        <x:v>nominal Q4 source model estimate</x:v>
      </x:c>
      <x:c r="U229" s="2" t="str">
        <x:v>GFA growth versus source physical quantity growth; constant conversion required for equality</x:v>
      </x:c>
      <x:c r="V229" s="2" t="str">
        <x:v>2020 level is the model anchor; 2023 comparator unused by v16 fit but shares conversion/upstream lineage</x:v>
      </x:c>
      <x:c r="W229" s="2" t="str">
        <x:v>https://arxiv.org/abs/2511.12104</x:v>
      </x:c>
    </x:row>
    <x:row r="230" ht="23" customHeight="1">
      <x:c r="A230" s="2" t="str">
        <x:v>BWA</x:v>
      </x:c>
      <x:c r="B230" s="2" t="str">
        <x:v>Botswana (Republic of)</x:v>
      </x:c>
      <x:c r="C230" s="2" t="str">
        <x:v>TEMPO_FOOTPRINT</x:v>
      </x:c>
      <x:c r="D230" s="2" t="n">
        <x:v>2020</x:v>
      </x:c>
      <x:c r="E230" s="2" t="n">
        <x:v>2023</x:v>
      </x:c>
      <x:c r="F230" s="17" t="n">
        <x:v>118564613.02000009</x:v>
      </x:c>
      <x:c r="G230" s="17" t="n">
        <x:v>122713658.58198829</x:v>
      </x:c>
      <x:c r="H230" s="17" t="n">
        <x:v>118564613.02</x:v>
      </x:c>
      <x:c r="I230" s="17" t="n">
        <x:v>131491809.12</x:v>
      </x:c>
      <x:c r="J230" s="2" t="str">
        <x:v>m2</x:v>
      </x:c>
      <x:c r="K230" s="15" t="n">
        <x:f>IF(AND(ISNUMBER(F230),ISNUMBER(G230),F230&gt;0),G230/F230-1,"n.a.")</x:f>
        <x:v>0.034993961995121836</x:v>
      </x:c>
      <x:c r="L230" s="15" t="n">
        <x:f>IF(AND(N230,ISNUMBER(H230),ISNUMBER(I230),H230&gt;0),I230/H230-1,"n.a.")</x:f>
        <x:v>0.10903081257322023</x:v>
      </x:c>
      <x:c r="M230" s="20" t="n">
        <x:f>IF(AND(ISNUMBER(K230),ISNUMBER(L230)),100*(K230-L230),"n.a.")</x:f>
        <x:v>-7.403685057809839</x:v>
      </x:c>
      <x:c r="N230" s="13" t="b">
        <x:v>1</x:v>
      </x:c>
      <x:c r="O230" s="13" t="b">
        <x:v>1</x:v>
      </x:c>
      <x:c r="P230" s="13" t="b">
        <x:v>0</x:v>
      </x:c>
      <x:c r="Q230" s="2" t="str">
        <x:v>none</x:v>
      </x:c>
      <x:c r="R230" s="2" t="str">
        <x:v>none</x:v>
      </x:c>
      <x:c r="S230" s="2" t="str">
        <x:v>nominal Q4 source model estimate</x:v>
      </x:c>
      <x:c r="T230" s="2" t="str">
        <x:v>nominal Q4 source model estimate</x:v>
      </x:c>
      <x:c r="U230" s="2" t="str">
        <x:v>GFA growth versus source physical quantity growth; constant conversion required for equality</x:v>
      </x:c>
      <x:c r="V230" s="2" t="str">
        <x:v>2020 level is the model anchor; 2023 comparator unused by v16 fit but shares conversion/upstream lineage</x:v>
      </x:c>
      <x:c r="W230" s="2" t="str">
        <x:v>https://arxiv.org/abs/2511.12104</x:v>
      </x:c>
    </x:row>
    <x:row r="231" ht="23" customHeight="1">
      <x:c r="A231" s="2" t="str">
        <x:v>CAF</x:v>
      </x:c>
      <x:c r="B231" s="2" t="str">
        <x:v>Central African Republic</x:v>
      </x:c>
      <x:c r="C231" s="2" t="str">
        <x:v>TEMPO_FOOTPRINT</x:v>
      </x:c>
      <x:c r="D231" s="2" t="n">
        <x:v>2020</x:v>
      </x:c>
      <x:c r="E231" s="2" t="n">
        <x:v>2023</x:v>
      </x:c>
      <x:c r="F231" s="17" t="n">
        <x:v>66989106.04000005</x:v>
      </x:c>
      <x:c r="G231" s="17" t="n">
        <x:v>74971085.86685422</x:v>
      </x:c>
      <x:c r="H231" s="17" t="n">
        <x:v>66989106.04</x:v>
      </x:c>
      <x:c r="I231" s="17" t="n">
        <x:v>72080997.57</x:v>
      </x:c>
      <x:c r="J231" s="2" t="str">
        <x:v>m2</x:v>
      </x:c>
      <x:c r="K231" s="15" t="n">
        <x:f>IF(AND(ISNUMBER(F231),ISNUMBER(G231),F231&gt;0),G231/F231-1,"n.a.")</x:f>
        <x:v>0.11915340118269424</x:v>
      </x:c>
      <x:c r="L231" s="15" t="n">
        <x:f>IF(AND(N231,ISNUMBER(H231),ISNUMBER(I231),H231&gt;0),I231/H231-1,"n.a.")</x:f>
        <x:v>0.07601074011884212</x:v>
      </x:c>
      <x:c r="M231" s="20" t="n">
        <x:f>IF(AND(ISNUMBER(K231),ISNUMBER(L231)),100*(K231-L231),"n.a.")</x:f>
        <x:v>4.314266106385212</x:v>
      </x:c>
      <x:c r="N231" s="13" t="b">
        <x:v>1</x:v>
      </x:c>
      <x:c r="O231" s="13" t="b">
        <x:v>1</x:v>
      </x:c>
      <x:c r="P231" s="13" t="b">
        <x:v>0</x:v>
      </x:c>
      <x:c r="Q231" s="2" t="str">
        <x:v>none</x:v>
      </x:c>
      <x:c r="R231" s="2" t="str">
        <x:v>none</x:v>
      </x:c>
      <x:c r="S231" s="2" t="str">
        <x:v>nominal Q4 source model estimate</x:v>
      </x:c>
      <x:c r="T231" s="2" t="str">
        <x:v>nominal Q4 source model estimate</x:v>
      </x:c>
      <x:c r="U231" s="2" t="str">
        <x:v>GFA growth versus source physical quantity growth; constant conversion required for equality</x:v>
      </x:c>
      <x:c r="V231" s="2" t="str">
        <x:v>2020 level is the model anchor; 2023 comparator unused by v16 fit but shares conversion/upstream lineage</x:v>
      </x:c>
      <x:c r="W231" s="2" t="str">
        <x:v>https://arxiv.org/abs/2511.12104</x:v>
      </x:c>
    </x:row>
    <x:row r="232" ht="23" customHeight="1">
      <x:c r="A232" s="2" t="str">
        <x:v>CAN</x:v>
      </x:c>
      <x:c r="B232" s="2" t="str">
        <x:v>Canada</x:v>
      </x:c>
      <x:c r="C232" s="2" t="str">
        <x:v>TEMPO_FOOTPRINT</x:v>
      </x:c>
      <x:c r="D232" s="2" t="n">
        <x:v>2020</x:v>
      </x:c>
      <x:c r="E232" s="2" t="n">
        <x:v>2023</x:v>
      </x:c>
      <x:c r="F232" s="17" t="n">
        <x:v>2941628265.260001</x:v>
      </x:c>
      <x:c r="G232" s="17" t="n">
        <x:v>3187920876.377938</x:v>
      </x:c>
      <x:c r="H232" s="17" t="n">
        <x:v>2941628265.26</x:v>
      </x:c>
      <x:c r="I232" s="17" t="n">
        <x:v>3124236708.89</x:v>
      </x:c>
      <x:c r="J232" s="2" t="str">
        <x:v>m2</x:v>
      </x:c>
      <x:c r="K232" s="15" t="n">
        <x:f>IF(AND(ISNUMBER(F232),ISNUMBER(G232),F232&gt;0),G232/F232-1,"n.a.")</x:f>
        <x:v>0.08372662651722496</x:v>
      </x:c>
      <x:c r="L232" s="15" t="n">
        <x:f>IF(AND(N232,ISNUMBER(H232),ISNUMBER(I232),H232&gt;0),I232/H232-1,"n.a.")</x:f>
        <x:v>0.062077335123056354</x:v>
      </x:c>
      <x:c r="M232" s="20" t="n">
        <x:f>IF(AND(ISNUMBER(K232),ISNUMBER(L232)),100*(K232-L232),"n.a.")</x:f>
        <x:v>2.16492913941686</x:v>
      </x:c>
      <x:c r="N232" s="13" t="b">
        <x:v>1</x:v>
      </x:c>
      <x:c r="O232" s="13" t="b">
        <x:v>1</x:v>
      </x:c>
      <x:c r="P232" s="13" t="b">
        <x:v>0</x:v>
      </x:c>
      <x:c r="Q232" s="2" t="str">
        <x:v>none</x:v>
      </x:c>
      <x:c r="R232" s="2" t="str">
        <x:v>none</x:v>
      </x:c>
      <x:c r="S232" s="2" t="str">
        <x:v>nominal Q4 source model estimate</x:v>
      </x:c>
      <x:c r="T232" s="2" t="str">
        <x:v>nominal Q4 source model estimate</x:v>
      </x:c>
      <x:c r="U232" s="2" t="str">
        <x:v>GFA growth versus source physical quantity growth; constant conversion required for equality</x:v>
      </x:c>
      <x:c r="V232" s="2" t="str">
        <x:v>2020 level is the model anchor; 2023 comparator unused by v16 fit but shares conversion/upstream lineage</x:v>
      </x:c>
      <x:c r="W232" s="2" t="str">
        <x:v>https://arxiv.org/abs/2511.12104</x:v>
      </x:c>
    </x:row>
    <x:row r="233" ht="23" customHeight="1">
      <x:c r="A233" s="2" t="str">
        <x:v>CHE</x:v>
      </x:c>
      <x:c r="B233" s="2" t="str">
        <x:v>Switzerland (Swiss Confederation)</x:v>
      </x:c>
      <x:c r="C233" s="2" t="str">
        <x:v>TEMPO_FOOTPRINT</x:v>
      </x:c>
      <x:c r="D233" s="2" t="n">
        <x:v>2020</x:v>
      </x:c>
      <x:c r="E233" s="2" t="n">
        <x:v>2023</x:v>
      </x:c>
      <x:c r="F233" s="17" t="n">
        <x:v>554094959.2900008</x:v>
      </x:c>
      <x:c r="G233" s="17" t="n">
        <x:v>599198878.0750616</x:v>
      </x:c>
      <x:c r="H233" s="17" t="n">
        <x:v>545813067.36</x:v>
      </x:c>
      <x:c r="I233" s="17" t="n">
        <x:v>565827259.54</x:v>
      </x:c>
      <x:c r="J233" s="2" t="str">
        <x:v>m2</x:v>
      </x:c>
      <x:c r="K233" s="15" t="n">
        <x:f>IF(AND(ISNUMBER(F233),ISNUMBER(G233),F233&gt;0),G233/F233-1,"n.a.")</x:f>
        <x:v>0.08140106317309836</x:v>
      </x:c>
      <x:c r="L233" s="15" t="n">
        <x:f>IF(AND(N233,ISNUMBER(H233),ISNUMBER(I233),H233&gt;0),I233/H233-1,"n.a.")</x:f>
        <x:v>0.036668583764043916</x:v>
      </x:c>
      <x:c r="M233" s="20" t="n">
        <x:f>IF(AND(ISNUMBER(K233),ISNUMBER(L233)),100*(K233-L233),"n.a.")</x:f>
        <x:v>4.473247940905445</x:v>
      </x:c>
      <x:c r="N233" s="13" t="b">
        <x:v>1</x:v>
      </x:c>
      <x:c r="O233" s="13" t="b">
        <x:v>1</x:v>
      </x:c>
      <x:c r="P233" s="13" t="b">
        <x:v>0</x:v>
      </x:c>
      <x:c r="Q233" s="2" t="str">
        <x:v>none</x:v>
      </x:c>
      <x:c r="R233" s="2" t="str">
        <x:v>none</x:v>
      </x:c>
      <x:c r="S233" s="2" t="str">
        <x:v>nominal Q4 source model estimate</x:v>
      </x:c>
      <x:c r="T233" s="2" t="str">
        <x:v>nominal Q4 source model estimate</x:v>
      </x:c>
      <x:c r="U233" s="2" t="str">
        <x:v>GFA growth versus source physical quantity growth; constant conversion required for equality</x:v>
      </x:c>
      <x:c r="V233" s="2" t="str">
        <x:v>2020 level is the model anchor; 2023 comparator unused by v16 fit but shares conversion/upstream lineage</x:v>
      </x:c>
      <x:c r="W233" s="2" t="str">
        <x:v>https://arxiv.org/abs/2511.12104</x:v>
      </x:c>
    </x:row>
    <x:row r="234" ht="23" customHeight="1">
      <x:c r="A234" s="2" t="str">
        <x:v>CHL</x:v>
      </x:c>
      <x:c r="B234" s="2" t="str">
        <x:v>Chile (Republic of)</x:v>
      </x:c>
      <x:c r="C234" s="2" t="str">
        <x:v>TEMPO_FOOTPRINT</x:v>
      </x:c>
      <x:c r="D234" s="2" t="n">
        <x:v>2020</x:v>
      </x:c>
      <x:c r="E234" s="2" t="n">
        <x:v>2023</x:v>
      </x:c>
      <x:c r="F234" s="17" t="n">
        <x:v>986436316.0700014</x:v>
      </x:c>
      <x:c r="G234" s="17" t="n">
        <x:v>1055630735.2526693</x:v>
      </x:c>
      <x:c r="H234" s="17" t="n">
        <x:v>986436316.07</x:v>
      </x:c>
      <x:c r="I234" s="17" t="n">
        <x:v>1072527701.08</x:v>
      </x:c>
      <x:c r="J234" s="2" t="str">
        <x:v>m2</x:v>
      </x:c>
      <x:c r="K234" s="15" t="n">
        <x:f>IF(AND(ISNUMBER(F234),ISNUMBER(G234),F234&gt;0),G234/F234-1,"n.a.")</x:f>
        <x:v>0.07014585539423468</x:v>
      </x:c>
      <x:c r="L234" s="15" t="n">
        <x:f>IF(AND(N234,ISNUMBER(H234),ISNUMBER(I234),H234&gt;0),I234/H234-1,"n.a.")</x:f>
        <x:v>0.08727515766348848</x:v>
      </x:c>
      <x:c r="M234" s="20" t="n">
        <x:f>IF(AND(ISNUMBER(K234),ISNUMBER(L234)),100*(K234-L234),"n.a.")</x:f>
        <x:v>-1.7129302269253799</x:v>
      </x:c>
      <x:c r="N234" s="13" t="b">
        <x:v>1</x:v>
      </x:c>
      <x:c r="O234" s="13" t="b">
        <x:v>1</x:v>
      </x:c>
      <x:c r="P234" s="13" t="b">
        <x:v>0</x:v>
      </x:c>
      <x:c r="Q234" s="2" t="str">
        <x:v>none</x:v>
      </x:c>
      <x:c r="R234" s="2" t="str">
        <x:v>none</x:v>
      </x:c>
      <x:c r="S234" s="2" t="str">
        <x:v>nominal Q4 source model estimate</x:v>
      </x:c>
      <x:c r="T234" s="2" t="str">
        <x:v>nominal Q4 source model estimate</x:v>
      </x:c>
      <x:c r="U234" s="2" t="str">
        <x:v>GFA growth versus source physical quantity growth; constant conversion required for equality</x:v>
      </x:c>
      <x:c r="V234" s="2" t="str">
        <x:v>2020 level is the model anchor; 2023 comparator unused by v16 fit but shares conversion/upstream lineage</x:v>
      </x:c>
      <x:c r="W234" s="2" t="str">
        <x:v>https://arxiv.org/abs/2511.12104</x:v>
      </x:c>
    </x:row>
    <x:row r="235" ht="23" customHeight="1">
      <x:c r="A235" s="2" t="str">
        <x:v>CHN</x:v>
      </x:c>
      <x:c r="B235" s="2" t="str">
        <x:v>China (People's Republic of)</x:v>
      </x:c>
      <x:c r="C235" s="2" t="str">
        <x:v>TEMPO_FOOTPRINT</x:v>
      </x:c>
      <x:c r="D235" s="2" t="n">
        <x:v>2020</x:v>
      </x:c>
      <x:c r="E235" s="2" t="n">
        <x:v>2023</x:v>
      </x:c>
      <x:c r="F235" s="17" t="n">
        <x:v>86144650012.34993</x:v>
      </x:c>
      <x:c r="G235" s="17" t="n">
        <x:v>90625662469.73807</x:v>
      </x:c>
      <x:c r="H235" s="17" t="n">
        <x:v>78150235427.5</x:v>
      </x:c>
      <x:c r="I235" s="17" t="n">
        <x:v>85842258758.44</x:v>
      </x:c>
      <x:c r="J235" s="2" t="str">
        <x:v>m2</x:v>
      </x:c>
      <x:c r="K235" s="15" t="n">
        <x:f>IF(AND(ISNUMBER(F235),ISNUMBER(G235),F235&gt;0),G235/F235-1,"n.a.")</x:f>
        <x:v>0.05201730411285821</x:v>
      </x:c>
      <x:c r="L235" s="15" t="n">
        <x:f>IF(AND(N235,ISNUMBER(H235),ISNUMBER(I235),H235&gt;0),I235/H235-1,"n.a.")</x:f>
        <x:v>0.09842610567790167</x:v>
      </x:c>
      <x:c r="M235" s="20" t="n">
        <x:f>IF(AND(ISNUMBER(K235),ISNUMBER(L235)),100*(K235-L235),"n.a.")</x:f>
        <x:v>-4.640880156504346</x:v>
      </x:c>
      <x:c r="N235" s="13" t="b">
        <x:v>1</x:v>
      </x:c>
      <x:c r="O235" s="13" t="b">
        <x:v>1</x:v>
      </x:c>
      <x:c r="P235" s="13" t="b">
        <x:v>0</x:v>
      </x:c>
      <x:c r="Q235" s="2" t="str">
        <x:v>none</x:v>
      </x:c>
      <x:c r="R235" s="2" t="str">
        <x:v>none</x:v>
      </x:c>
      <x:c r="S235" s="2" t="str">
        <x:v>nominal Q4 source model estimate</x:v>
      </x:c>
      <x:c r="T235" s="2" t="str">
        <x:v>nominal Q4 source model estimate</x:v>
      </x:c>
      <x:c r="U235" s="2" t="str">
        <x:v>GFA growth versus source physical quantity growth; constant conversion required for equality</x:v>
      </x:c>
      <x:c r="V235" s="2" t="str">
        <x:v>2020 level is the model anchor; 2023 comparator unused by v16 fit but shares conversion/upstream lineage</x:v>
      </x:c>
      <x:c r="W235" s="2" t="str">
        <x:v>https://arxiv.org/abs/2511.12104</x:v>
      </x:c>
    </x:row>
    <x:row r="236" ht="23" customHeight="1">
      <x:c r="A236" s="2" t="str">
        <x:v>CIV</x:v>
      </x:c>
      <x:c r="B236" s="2" t="str">
        <x:v>Côte d'Ivoire (Republic of)</x:v>
      </x:c>
      <x:c r="C236" s="2" t="str">
        <x:v>TEMPO_FOOTPRINT</x:v>
      </x:c>
      <x:c r="D236" s="2" t="n">
        <x:v>2020</x:v>
      </x:c>
      <x:c r="E236" s="2" t="n">
        <x:v>2023</x:v>
      </x:c>
      <x:c r="F236" s="17" t="n">
        <x:v>602828854.8199993</x:v>
      </x:c>
      <x:c r="G236" s="17" t="n">
        <x:v>668470983.6666439</x:v>
      </x:c>
      <x:c r="H236" s="17" t="n">
        <x:v>602828854.82</x:v>
      </x:c>
      <x:c r="I236" s="17" t="n">
        <x:v>672252471.54</x:v>
      </x:c>
      <x:c r="J236" s="2" t="str">
        <x:v>m2</x:v>
      </x:c>
      <x:c r="K236" s="15" t="n">
        <x:f>IF(AND(ISNUMBER(F236),ISNUMBER(G236),F236&gt;0),G236/F236-1,"n.a.")</x:f>
        <x:v>0.10889015733370089</x:v>
      </x:c>
      <x:c r="L236" s="15" t="n">
        <x:f>IF(AND(N236,ISNUMBER(H236),ISNUMBER(I236),H236&gt;0),I236/H236-1,"n.a.")</x:f>
        <x:v>0.11516306189545156</x:v>
      </x:c>
      <x:c r="M236" s="20" t="n">
        <x:f>IF(AND(ISNUMBER(K236),ISNUMBER(L236)),100*(K236-L236),"n.a.")</x:f>
        <x:v>-0.627290456175067</x:v>
      </x:c>
      <x:c r="N236" s="13" t="b">
        <x:v>1</x:v>
      </x:c>
      <x:c r="O236" s="13" t="b">
        <x:v>1</x:v>
      </x:c>
      <x:c r="P236" s="13" t="b">
        <x:v>0</x:v>
      </x:c>
      <x:c r="Q236" s="2" t="str">
        <x:v>none</x:v>
      </x:c>
      <x:c r="R236" s="2" t="str">
        <x:v>none</x:v>
      </x:c>
      <x:c r="S236" s="2" t="str">
        <x:v>nominal Q4 source model estimate</x:v>
      </x:c>
      <x:c r="T236" s="2" t="str">
        <x:v>nominal Q4 source model estimate</x:v>
      </x:c>
      <x:c r="U236" s="2" t="str">
        <x:v>GFA growth versus source physical quantity growth; constant conversion required for equality</x:v>
      </x:c>
      <x:c r="V236" s="2" t="str">
        <x:v>2020 level is the model anchor; 2023 comparator unused by v16 fit but shares conversion/upstream lineage</x:v>
      </x:c>
      <x:c r="W236" s="2" t="str">
        <x:v>https://arxiv.org/abs/2511.12104</x:v>
      </x:c>
    </x:row>
    <x:row r="237" ht="23" customHeight="1">
      <x:c r="A237" s="2" t="str">
        <x:v>CMR</x:v>
      </x:c>
      <x:c r="B237" s="2" t="str">
        <x:v>Cameroon (Republic of)</x:v>
      </x:c>
      <x:c r="C237" s="2" t="str">
        <x:v>TEMPO_FOOTPRINT</x:v>
      </x:c>
      <x:c r="D237" s="2" t="n">
        <x:v>2020</x:v>
      </x:c>
      <x:c r="E237" s="2" t="n">
        <x:v>2023</x:v>
      </x:c>
      <x:c r="F237" s="17" t="n">
        <x:v>577057207.8100005</x:v>
      </x:c>
      <x:c r="G237" s="17" t="n">
        <x:v>636209041.5204653</x:v>
      </x:c>
      <x:c r="H237" s="17" t="n">
        <x:v>577057207.81</x:v>
      </x:c>
      <x:c r="I237" s="17" t="n">
        <x:v>620718462.75</x:v>
      </x:c>
      <x:c r="J237" s="2" t="str">
        <x:v>m2</x:v>
      </x:c>
      <x:c r="K237" s="15" t="n">
        <x:f>IF(AND(ISNUMBER(F237),ISNUMBER(G237),F237&gt;0),G237/F237-1,"n.a.")</x:f>
        <x:v>0.10250601311255236</x:v>
      </x:c>
      <x:c r="L237" s="15" t="n">
        <x:f>IF(AND(N237,ISNUMBER(H237),ISNUMBER(I237),H237&gt;0),I237/H237-1,"n.a.")</x:f>
        <x:v>0.07566191765578956</x:v>
      </x:c>
      <x:c r="M237" s="20" t="n">
        <x:f>IF(AND(ISNUMBER(K237),ISNUMBER(L237)),100*(K237-L237),"n.a.")</x:f>
        <x:v>2.6844095456762807</x:v>
      </x:c>
      <x:c r="N237" s="13" t="b">
        <x:v>1</x:v>
      </x:c>
      <x:c r="O237" s="13" t="b">
        <x:v>1</x:v>
      </x:c>
      <x:c r="P237" s="13" t="b">
        <x:v>0</x:v>
      </x:c>
      <x:c r="Q237" s="2" t="str">
        <x:v>none</x:v>
      </x:c>
      <x:c r="R237" s="2" t="str">
        <x:v>none</x:v>
      </x:c>
      <x:c r="S237" s="2" t="str">
        <x:v>nominal Q4 source model estimate</x:v>
      </x:c>
      <x:c r="T237" s="2" t="str">
        <x:v>nominal Q4 source model estimate</x:v>
      </x:c>
      <x:c r="U237" s="2" t="str">
        <x:v>GFA growth versus source physical quantity growth; constant conversion required for equality</x:v>
      </x:c>
      <x:c r="V237" s="2" t="str">
        <x:v>2020 level is the model anchor; 2023 comparator unused by v16 fit but shares conversion/upstream lineage</x:v>
      </x:c>
      <x:c r="W237" s="2" t="str">
        <x:v>https://arxiv.org/abs/2511.12104</x:v>
      </x:c>
    </x:row>
    <x:row r="238" ht="23" customHeight="1">
      <x:c r="A238" s="2" t="str">
        <x:v>COD</x:v>
      </x:c>
      <x:c r="B238" s="2" t="str">
        <x:v>Congo (Democratic Republic of the)</x:v>
      </x:c>
      <x:c r="C238" s="2" t="str">
        <x:v>TEMPO_FOOTPRINT</x:v>
      </x:c>
      <x:c r="D238" s="2" t="n">
        <x:v>2020</x:v>
      </x:c>
      <x:c r="E238" s="2" t="n">
        <x:v>2023</x:v>
      </x:c>
      <x:c r="F238" s="17" t="n">
        <x:v>941825698.8399988</x:v>
      </x:c>
      <x:c r="G238" s="17" t="n">
        <x:v>1077139696.3216643</x:v>
      </x:c>
      <x:c r="H238" s="17" t="n">
        <x:v>941825698.84</x:v>
      </x:c>
      <x:c r="I238" s="17" t="n">
        <x:v>968518804.86</x:v>
      </x:c>
      <x:c r="J238" s="2" t="str">
        <x:v>m2</x:v>
      </x:c>
      <x:c r="K238" s="15" t="n">
        <x:f>IF(AND(ISNUMBER(F238),ISNUMBER(G238),F238&gt;0),G238/F238-1,"n.a.")</x:f>
        <x:v>0.1436720166463128</x:v>
      </x:c>
      <x:c r="L238" s="15" t="n">
        <x:f>IF(AND(N238,ISNUMBER(H238),ISNUMBER(I238),H238&gt;0),I238/H238-1,"n.a.")</x:f>
        <x:v>0.028341874778822218</x:v>
      </x:c>
      <x:c r="M238" s="20" t="n">
        <x:f>IF(AND(ISNUMBER(K238),ISNUMBER(L238)),100*(K238-L238),"n.a.")</x:f>
        <x:v>11.533014186749057</x:v>
      </x:c>
      <x:c r="N238" s="13" t="b">
        <x:v>1</x:v>
      </x:c>
      <x:c r="O238" s="13" t="b">
        <x:v>1</x:v>
      </x:c>
      <x:c r="P238" s="13" t="b">
        <x:v>0</x:v>
      </x:c>
      <x:c r="Q238" s="2" t="str">
        <x:v>none</x:v>
      </x:c>
      <x:c r="R238" s="2" t="str">
        <x:v>none</x:v>
      </x:c>
      <x:c r="S238" s="2" t="str">
        <x:v>nominal Q4 source model estimate</x:v>
      </x:c>
      <x:c r="T238" s="2" t="str">
        <x:v>nominal Q4 source model estimate</x:v>
      </x:c>
      <x:c r="U238" s="2" t="str">
        <x:v>GFA growth versus source physical quantity growth; constant conversion required for equality</x:v>
      </x:c>
      <x:c r="V238" s="2" t="str">
        <x:v>2020 level is the model anchor; 2023 comparator unused by v16 fit but shares conversion/upstream lineage</x:v>
      </x:c>
      <x:c r="W238" s="2" t="str">
        <x:v>https://arxiv.org/abs/2511.12104</x:v>
      </x:c>
    </x:row>
    <x:row r="239" ht="23" customHeight="1">
      <x:c r="A239" s="2" t="str">
        <x:v>COG</x:v>
      </x:c>
      <x:c r="B239" s="2" t="str">
        <x:v>Congo (Republic of the)</x:v>
      </x:c>
      <x:c r="C239" s="2" t="str">
        <x:v>TEMPO_FOOTPRINT</x:v>
      </x:c>
      <x:c r="D239" s="2" t="n">
        <x:v>2020</x:v>
      </x:c>
      <x:c r="E239" s="2" t="n">
        <x:v>2023</x:v>
      </x:c>
      <x:c r="F239" s="17" t="n">
        <x:v>110620071.65000013</x:v>
      </x:c>
      <x:c r="G239" s="17" t="n">
        <x:v>123040849.17188968</x:v>
      </x:c>
      <x:c r="H239" s="17" t="n">
        <x:v>110620071.65</x:v>
      </x:c>
      <x:c r="I239" s="17" t="n">
        <x:v>115333636.53</x:v>
      </x:c>
      <x:c r="J239" s="2" t="str">
        <x:v>m2</x:v>
      </x:c>
      <x:c r="K239" s="15" t="n">
        <x:f>IF(AND(ISNUMBER(F239),ISNUMBER(G239),F239&gt;0),G239/F239-1,"n.a.")</x:f>
        <x:v>0.11228321711080302</x:v>
      </x:c>
      <x:c r="L239" s="15" t="n">
        <x:f>IF(AND(N239,ISNUMBER(H239),ISNUMBER(I239),H239&gt;0),I239/H239-1,"n.a.")</x:f>
        <x:v>0.04261039438587266</x:v>
      </x:c>
      <x:c r="M239" s="20" t="n">
        <x:f>IF(AND(ISNUMBER(K239),ISNUMBER(L239)),100*(K239-L239),"n.a.")</x:f>
        <x:v>6.967282272493036</x:v>
      </x:c>
      <x:c r="N239" s="13" t="b">
        <x:v>1</x:v>
      </x:c>
      <x:c r="O239" s="13" t="b">
        <x:v>1</x:v>
      </x:c>
      <x:c r="P239" s="13" t="b">
        <x:v>0</x:v>
      </x:c>
      <x:c r="Q239" s="2" t="str">
        <x:v>none</x:v>
      </x:c>
      <x:c r="R239" s="2" t="str">
        <x:v>none</x:v>
      </x:c>
      <x:c r="S239" s="2" t="str">
        <x:v>nominal Q4 source model estimate</x:v>
      </x:c>
      <x:c r="T239" s="2" t="str">
        <x:v>nominal Q4 source model estimate</x:v>
      </x:c>
      <x:c r="U239" s="2" t="str">
        <x:v>GFA growth versus source physical quantity growth; constant conversion required for equality</x:v>
      </x:c>
      <x:c r="V239" s="2" t="str">
        <x:v>2020 level is the model anchor; 2023 comparator unused by v16 fit but shares conversion/upstream lineage</x:v>
      </x:c>
      <x:c r="W239" s="2" t="str">
        <x:v>https://arxiv.org/abs/2511.12104</x:v>
      </x:c>
    </x:row>
    <x:row r="240" ht="23" customHeight="1">
      <x:c r="A240" s="2" t="str">
        <x:v>COL</x:v>
      </x:c>
      <x:c r="B240" s="2" t="str">
        <x:v>Colombia (Republic of)</x:v>
      </x:c>
      <x:c r="C240" s="2" t="str">
        <x:v>TEMPO_FOOTPRINT</x:v>
      </x:c>
      <x:c r="D240" s="2" t="n">
        <x:v>2020</x:v>
      </x:c>
      <x:c r="E240" s="2" t="n">
        <x:v>2023</x:v>
      </x:c>
      <x:c r="F240" s="17" t="n">
        <x:v>1505534156.3100014</x:v>
      </x:c>
      <x:c r="G240" s="17" t="n">
        <x:v>1675730324.963179</x:v>
      </x:c>
      <x:c r="H240" s="17" t="n">
        <x:v>1505534156.31</x:v>
      </x:c>
      <x:c r="I240" s="17" t="n">
        <x:v>1635486731.72</x:v>
      </x:c>
      <x:c r="J240" s="2" t="str">
        <x:v>m2</x:v>
      </x:c>
      <x:c r="K240" s="15" t="n">
        <x:f>IF(AND(ISNUMBER(F240),ISNUMBER(G240),F240&gt;0),G240/F240-1,"n.a.")</x:f>
        <x:v>0.11304703247007097</x:v>
      </x:c>
      <x:c r="L240" s="15" t="n">
        <x:f>IF(AND(N240,ISNUMBER(H240),ISNUMBER(I240),H240&gt;0),I240/H240-1,"n.a.")</x:f>
        <x:v>0.08631659060363561</x:v>
      </x:c>
      <x:c r="M240" s="20" t="n">
        <x:f>IF(AND(ISNUMBER(K240),ISNUMBER(L240)),100*(K240-L240),"n.a.")</x:f>
        <x:v>2.673044186643536</x:v>
      </x:c>
      <x:c r="N240" s="13" t="b">
        <x:v>1</x:v>
      </x:c>
      <x:c r="O240" s="13" t="b">
        <x:v>1</x:v>
      </x:c>
      <x:c r="P240" s="13" t="b">
        <x:v>0</x:v>
      </x:c>
      <x:c r="Q240" s="2" t="str">
        <x:v>none</x:v>
      </x:c>
      <x:c r="R240" s="2" t="str">
        <x:v>none</x:v>
      </x:c>
      <x:c r="S240" s="2" t="str">
        <x:v>nominal Q4 source model estimate</x:v>
      </x:c>
      <x:c r="T240" s="2" t="str">
        <x:v>nominal Q4 source model estimate</x:v>
      </x:c>
      <x:c r="U240" s="2" t="str">
        <x:v>GFA growth versus source physical quantity growth; constant conversion required for equality</x:v>
      </x:c>
      <x:c r="V240" s="2" t="str">
        <x:v>2020 level is the model anchor; 2023 comparator unused by v16 fit but shares conversion/upstream lineage</x:v>
      </x:c>
      <x:c r="W240" s="2" t="str">
        <x:v>https://arxiv.org/abs/2511.12104</x:v>
      </x:c>
    </x:row>
    <x:row r="241" ht="23" customHeight="1">
      <x:c r="A241" s="2" t="str">
        <x:v>COM</x:v>
      </x:c>
      <x:c r="B241" s="2" t="str">
        <x:v>Comoros (Union of the)</x:v>
      </x:c>
      <x:c r="C241" s="2" t="str">
        <x:v>TEMPO_FOOTPRINT</x:v>
      </x:c>
      <x:c r="D241" s="2" t="n">
        <x:v>2020</x:v>
      </x:c>
      <x:c r="E241" s="2" t="n">
        <x:v>2023</x:v>
      </x:c>
      <x:c r="F241" s="17" t="n">
        <x:v>18035090.40999997</x:v>
      </x:c>
      <x:c r="G241" s="17" t="n">
        <x:v>19978277.467180517</x:v>
      </x:c>
      <x:c r="H241" s="17" t="n">
        <x:v>18035090.41</x:v>
      </x:c>
      <x:c r="I241" s="17" t="n">
        <x:v>19443892.35</x:v>
      </x:c>
      <x:c r="J241" s="2" t="str">
        <x:v>m2</x:v>
      </x:c>
      <x:c r="K241" s="15" t="n">
        <x:f>IF(AND(ISNUMBER(F241),ISNUMBER(G241),F241&gt;0),G241/F241-1,"n.a.")</x:f>
        <x:v>0.10774479157049877</x:v>
      </x:c>
      <x:c r="L241" s="15" t="n">
        <x:f>IF(AND(N241,ISNUMBER(H241),ISNUMBER(I241),H241&gt;0),I241/H241-1,"n.a.")</x:f>
        <x:v>0.07811449280114813</x:v>
      </x:c>
      <x:c r="M241" s="20" t="n">
        <x:f>IF(AND(ISNUMBER(K241),ISNUMBER(L241)),100*(K241-L241),"n.a.")</x:f>
        <x:v>2.963029876935064</x:v>
      </x:c>
      <x:c r="N241" s="13" t="b">
        <x:v>1</x:v>
      </x:c>
      <x:c r="O241" s="13" t="b">
        <x:v>1</x:v>
      </x:c>
      <x:c r="P241" s="13" t="b">
        <x:v>0</x:v>
      </x:c>
      <x:c r="Q241" s="2" t="str">
        <x:v>none</x:v>
      </x:c>
      <x:c r="R241" s="2" t="str">
        <x:v>none</x:v>
      </x:c>
      <x:c r="S241" s="2" t="str">
        <x:v>nominal Q4 source model estimate</x:v>
      </x:c>
      <x:c r="T241" s="2" t="str">
        <x:v>nominal Q4 source model estimate</x:v>
      </x:c>
      <x:c r="U241" s="2" t="str">
        <x:v>GFA growth versus source physical quantity growth; constant conversion required for equality</x:v>
      </x:c>
      <x:c r="V241" s="2" t="str">
        <x:v>2020 level is the model anchor; 2023 comparator unused by v16 fit but shares conversion/upstream lineage</x:v>
      </x:c>
      <x:c r="W241" s="2" t="str">
        <x:v>https://arxiv.org/abs/2511.12104</x:v>
      </x:c>
    </x:row>
    <x:row r="242" ht="23" customHeight="1">
      <x:c r="A242" s="2" t="str">
        <x:v>CPV</x:v>
      </x:c>
      <x:c r="B242" s="2" t="str">
        <x:v>Cabo Verde (Republic of)</x:v>
      </x:c>
      <x:c r="C242" s="2" t="str">
        <x:v>TEMPO_FOOTPRINT</x:v>
      </x:c>
      <x:c r="D242" s="2" t="n">
        <x:v>2020</x:v>
      </x:c>
      <x:c r="E242" s="2" t="n">
        <x:v>2023</x:v>
      </x:c>
      <x:c r="F242" s="17" t="n">
        <x:v>21833832.63999998</x:v>
      </x:c>
      <x:c r="G242" s="17" t="n">
        <x:v>23551926.182221353</x:v>
      </x:c>
      <x:c r="H242" s="17" t="n">
        <x:v>20998892.42</x:v>
      </x:c>
      <x:c r="I242" s="17" t="n">
        <x:v>22039659.52</x:v>
      </x:c>
      <x:c r="J242" s="2" t="str">
        <x:v>m2</x:v>
      </x:c>
      <x:c r="K242" s="15" t="n">
        <x:f>IF(AND(ISNUMBER(F242),ISNUMBER(G242),F242&gt;0),G242/F242-1,"n.a.")</x:f>
        <x:v>0.07868950772636207</x:v>
      </x:c>
      <x:c r="L242" s="15" t="n">
        <x:f>IF(AND(N242,ISNUMBER(H242),ISNUMBER(I242),H242&gt;0),I242/H242-1,"n.a.")</x:f>
        <x:v>0.04956295213973938</x:v>
      </x:c>
      <x:c r="M242" s="20" t="n">
        <x:f>IF(AND(ISNUMBER(K242),ISNUMBER(L242)),100*(K242-L242),"n.a.")</x:f>
        <x:v>2.9126555586622693</x:v>
      </x:c>
      <x:c r="N242" s="13" t="b">
        <x:v>1</x:v>
      </x:c>
      <x:c r="O242" s="13" t="b">
        <x:v>1</x:v>
      </x:c>
      <x:c r="P242" s="13" t="b">
        <x:v>0</x:v>
      </x:c>
      <x:c r="Q242" s="2" t="str">
        <x:v>none</x:v>
      </x:c>
      <x:c r="R242" s="2" t="str">
        <x:v>none</x:v>
      </x:c>
      <x:c r="S242" s="2" t="str">
        <x:v>nominal Q4 source model estimate</x:v>
      </x:c>
      <x:c r="T242" s="2" t="str">
        <x:v>nominal Q4 source model estimate</x:v>
      </x:c>
      <x:c r="U242" s="2" t="str">
        <x:v>GFA growth versus source physical quantity growth; constant conversion required for equality</x:v>
      </x:c>
      <x:c r="V242" s="2" t="str">
        <x:v>2020 level is the model anchor; 2023 comparator unused by v16 fit but shares conversion/upstream lineage</x:v>
      </x:c>
      <x:c r="W242" s="2" t="str">
        <x:v>https://arxiv.org/abs/2511.12104</x:v>
      </x:c>
    </x:row>
    <x:row r="243" ht="23" customHeight="1">
      <x:c r="A243" s="2" t="str">
        <x:v>CRI</x:v>
      </x:c>
      <x:c r="B243" s="2" t="str">
        <x:v>Costa Rica (Republic of)</x:v>
      </x:c>
      <x:c r="C243" s="2" t="str">
        <x:v>TEMPO_FOOTPRINT</x:v>
      </x:c>
      <x:c r="D243" s="2" t="n">
        <x:v>2020</x:v>
      </x:c>
      <x:c r="E243" s="2" t="n">
        <x:v>2023</x:v>
      </x:c>
      <x:c r="F243" s="17" t="n">
        <x:v>284786315.38999987</x:v>
      </x:c>
      <x:c r="G243" s="17" t="n">
        <x:v>302776512.56543505</x:v>
      </x:c>
      <x:c r="H243" s="17" t="n">
        <x:v>284786315.39</x:v>
      </x:c>
      <x:c r="I243" s="17" t="n">
        <x:v>300356181.17</x:v>
      </x:c>
      <x:c r="J243" s="2" t="str">
        <x:v>m2</x:v>
      </x:c>
      <x:c r="K243" s="15" t="n">
        <x:f>IF(AND(ISNUMBER(F243),ISNUMBER(G243),F243&gt;0),G243/F243-1,"n.a.")</x:f>
        <x:v>0.06317086251422777</x:v>
      </x:c>
      <x:c r="L243" s="15" t="n">
        <x:f>IF(AND(N243,ISNUMBER(H243),ISNUMBER(I243),H243&gt;0),I243/H243-1,"n.a.")</x:f>
        <x:v>0.054672099530758356</x:v>
      </x:c>
      <x:c r="M243" s="20" t="n">
        <x:f>IF(AND(ISNUMBER(K243),ISNUMBER(L243)),100*(K243-L243),"n.a.")</x:f>
        <x:v>0.849876298346941</x:v>
      </x:c>
      <x:c r="N243" s="13" t="b">
        <x:v>1</x:v>
      </x:c>
      <x:c r="O243" s="13" t="b">
        <x:v>1</x:v>
      </x:c>
      <x:c r="P243" s="13" t="b">
        <x:v>0</x:v>
      </x:c>
      <x:c r="Q243" s="2" t="str">
        <x:v>none</x:v>
      </x:c>
      <x:c r="R243" s="2" t="str">
        <x:v>none</x:v>
      </x:c>
      <x:c r="S243" s="2" t="str">
        <x:v>nominal Q4 source model estimate</x:v>
      </x:c>
      <x:c r="T243" s="2" t="str">
        <x:v>nominal Q4 source model estimate</x:v>
      </x:c>
      <x:c r="U243" s="2" t="str">
        <x:v>GFA growth versus source physical quantity growth; constant conversion required for equality</x:v>
      </x:c>
      <x:c r="V243" s="2" t="str">
        <x:v>2020 level is the model anchor; 2023 comparator unused by v16 fit but shares conversion/upstream lineage</x:v>
      </x:c>
      <x:c r="W243" s="2" t="str">
        <x:v>https://arxiv.org/abs/2511.12104</x:v>
      </x:c>
    </x:row>
    <x:row r="244" ht="23" customHeight="1">
      <x:c r="A244" s="2" t="str">
        <x:v>CUB</x:v>
      </x:c>
      <x:c r="B244" s="2" t="str">
        <x:v>Cuba (Republic of)</x:v>
      </x:c>
      <x:c r="C244" s="2" t="str">
        <x:v>TEMPO_FOOTPRINT</x:v>
      </x:c>
      <x:c r="D244" s="2" t="n">
        <x:v>2020</x:v>
      </x:c>
      <x:c r="E244" s="2" t="n">
        <x:v>2023</x:v>
      </x:c>
      <x:c r="F244" s="17" t="n">
        <x:v>360088927.4199998</x:v>
      </x:c>
      <x:c r="G244" s="17" t="n">
        <x:v>391491907.2637088</x:v>
      </x:c>
      <x:c r="H244" s="17" t="n">
        <x:v>360088927.42</x:v>
      </x:c>
      <x:c r="I244" s="17" t="n">
        <x:v>368259242.91</x:v>
      </x:c>
      <x:c r="J244" s="2" t="str">
        <x:v>m2</x:v>
      </x:c>
      <x:c r="K244" s="15" t="n">
        <x:f>IF(AND(ISNUMBER(F244),ISNUMBER(G244),F244&gt;0),G244/F244-1,"n.a.")</x:f>
        <x:v>0.08720895715596733</x:v>
      </x:c>
      <x:c r="L244" s="15" t="n">
        <x:f>IF(AND(N244,ISNUMBER(H244),ISNUMBER(I244),H244&gt;0),I244/H244-1,"n.a.")</x:f>
        <x:v>0.022689715978048808</x:v>
      </x:c>
      <x:c r="M244" s="20" t="n">
        <x:f>IF(AND(ISNUMBER(K244),ISNUMBER(L244)),100*(K244-L244),"n.a.")</x:f>
        <x:v>6.451924117791852</x:v>
      </x:c>
      <x:c r="N244" s="13" t="b">
        <x:v>1</x:v>
      </x:c>
      <x:c r="O244" s="13" t="b">
        <x:v>1</x:v>
      </x:c>
      <x:c r="P244" s="13" t="b">
        <x:v>0</x:v>
      </x:c>
      <x:c r="Q244" s="2" t="str">
        <x:v>none</x:v>
      </x:c>
      <x:c r="R244" s="2" t="str">
        <x:v>none</x:v>
      </x:c>
      <x:c r="S244" s="2" t="str">
        <x:v>nominal Q4 source model estimate</x:v>
      </x:c>
      <x:c r="T244" s="2" t="str">
        <x:v>nominal Q4 source model estimate</x:v>
      </x:c>
      <x:c r="U244" s="2" t="str">
        <x:v>GFA growth versus source physical quantity growth; constant conversion required for equality</x:v>
      </x:c>
      <x:c r="V244" s="2" t="str">
        <x:v>2020 level is the model anchor; 2023 comparator unused by v16 fit but shares conversion/upstream lineage</x:v>
      </x:c>
      <x:c r="W244" s="2" t="str">
        <x:v>https://arxiv.org/abs/2511.12104</x:v>
      </x:c>
    </x:row>
    <x:row r="245" ht="23" customHeight="1">
      <x:c r="A245" s="2" t="str">
        <x:v>CYP</x:v>
      </x:c>
      <x:c r="B245" s="2" t="str">
        <x:v>Cyprus (Republic of)</x:v>
      </x:c>
      <x:c r="C245" s="2" t="str">
        <x:v>TEMPO_FOOTPRINT</x:v>
      </x:c>
      <x:c r="D245" s="2" t="n">
        <x:v>2020</x:v>
      </x:c>
      <x:c r="E245" s="2" t="n">
        <x:v>2023</x:v>
      </x:c>
      <x:c r="F245" s="17" t="n">
        <x:v>124124771.75000016</x:v>
      </x:c>
      <x:c r="G245" s="17" t="n">
        <x:v>132644927.09533326</x:v>
      </x:c>
      <x:c r="H245" s="17" t="n">
        <x:v>124124771.75</x:v>
      </x:c>
      <x:c r="I245" s="17" t="n">
        <x:v>131183683.78</x:v>
      </x:c>
      <x:c r="J245" s="2" t="str">
        <x:v>m2</x:v>
      </x:c>
      <x:c r="K245" s="15" t="n">
        <x:f>IF(AND(ISNUMBER(F245),ISNUMBER(G245),F245&gt;0),G245/F245-1,"n.a.")</x:f>
        <x:v>0.06864186113061743</x:v>
      </x:c>
      <x:c r="L245" s="15" t="n">
        <x:f>IF(AND(N245,ISNUMBER(H245),ISNUMBER(I245),H245&gt;0),I245/H245-1,"n.a.")</x:f>
        <x:v>0.05686948648910617</x:v>
      </x:c>
      <x:c r="M245" s="20" t="n">
        <x:f>IF(AND(ISNUMBER(K245),ISNUMBER(L245)),100*(K245-L245),"n.a.")</x:f>
        <x:v>1.1772374641511263</x:v>
      </x:c>
      <x:c r="N245" s="13" t="b">
        <x:v>1</x:v>
      </x:c>
      <x:c r="O245" s="13" t="b">
        <x:v>1</x:v>
      </x:c>
      <x:c r="P245" s="13" t="b">
        <x:v>0</x:v>
      </x:c>
      <x:c r="Q245" s="2" t="str">
        <x:v>none</x:v>
      </x:c>
      <x:c r="R245" s="2" t="str">
        <x:v>none</x:v>
      </x:c>
      <x:c r="S245" s="2" t="str">
        <x:v>nominal Q4 source model estimate</x:v>
      </x:c>
      <x:c r="T245" s="2" t="str">
        <x:v>nominal Q4 source model estimate</x:v>
      </x:c>
      <x:c r="U245" s="2" t="str">
        <x:v>GFA growth versus source physical quantity growth; constant conversion required for equality</x:v>
      </x:c>
      <x:c r="V245" s="2" t="str">
        <x:v>2020 level is the model anchor; 2023 comparator unused by v16 fit but shares conversion/upstream lineage</x:v>
      </x:c>
      <x:c r="W245" s="2" t="str">
        <x:v>https://arxiv.org/abs/2511.12104</x:v>
      </x:c>
    </x:row>
    <x:row r="246" ht="23" customHeight="1">
      <x:c r="A246" s="2" t="str">
        <x:v>CZE</x:v>
      </x:c>
      <x:c r="B246" s="2" t="str">
        <x:v>Czechia (Czech Republic)</x:v>
      </x:c>
      <x:c r="C246" s="2" t="str">
        <x:v>TEMPO_FOOTPRINT</x:v>
      </x:c>
      <x:c r="D246" s="2" t="n">
        <x:v>2020</x:v>
      </x:c>
      <x:c r="E246" s="2" t="n">
        <x:v>2023</x:v>
      </x:c>
      <x:c r="F246" s="17" t="n">
        <x:v>853858176.0500003</x:v>
      </x:c>
      <x:c r="G246" s="17" t="n">
        <x:v>925269232.9123237</x:v>
      </x:c>
      <x:c r="H246" s="17" t="n">
        <x:v>832797594.35</x:v>
      </x:c>
      <x:c r="I246" s="17" t="n">
        <x:v>888227631.5</x:v>
      </x:c>
      <x:c r="J246" s="2" t="str">
        <x:v>m2</x:v>
      </x:c>
      <x:c r="K246" s="15" t="n">
        <x:f>IF(AND(ISNUMBER(F246),ISNUMBER(G246),F246&gt;0),G246/F246-1,"n.a.")</x:f>
        <x:v>0.08363339353693999</x:v>
      </x:c>
      <x:c r="L246" s="15" t="n">
        <x:f>IF(AND(N246,ISNUMBER(H246),ISNUMBER(I246),H246&gt;0),I246/H246-1,"n.a.")</x:f>
        <x:v>0.06655883437471166</x:v>
      </x:c>
      <x:c r="M246" s="20" t="n">
        <x:f>IF(AND(ISNUMBER(K246),ISNUMBER(L246)),100*(K246-L246),"n.a.")</x:f>
        <x:v>1.707455916222833</x:v>
      </x:c>
      <x:c r="N246" s="13" t="b">
        <x:v>1</x:v>
      </x:c>
      <x:c r="O246" s="13" t="b">
        <x:v>1</x:v>
      </x:c>
      <x:c r="P246" s="13" t="b">
        <x:v>0</x:v>
      </x:c>
      <x:c r="Q246" s="2" t="str">
        <x:v>none</x:v>
      </x:c>
      <x:c r="R246" s="2" t="str">
        <x:v>none</x:v>
      </x:c>
      <x:c r="S246" s="2" t="str">
        <x:v>nominal Q4 source model estimate</x:v>
      </x:c>
      <x:c r="T246" s="2" t="str">
        <x:v>nominal Q4 source model estimate</x:v>
      </x:c>
      <x:c r="U246" s="2" t="str">
        <x:v>GFA growth versus source physical quantity growth; constant conversion required for equality</x:v>
      </x:c>
      <x:c r="V246" s="2" t="str">
        <x:v>2020 level is the model anchor; 2023 comparator unused by v16 fit but shares conversion/upstream lineage</x:v>
      </x:c>
      <x:c r="W246" s="2" t="str">
        <x:v>https://arxiv.org/abs/2511.12104</x:v>
      </x:c>
    </x:row>
    <x:row r="247" ht="23" customHeight="1">
      <x:c r="A247" s="2" t="str">
        <x:v>DEU</x:v>
      </x:c>
      <x:c r="B247" s="2" t="str">
        <x:v>Germany (Federal Republic of)</x:v>
      </x:c>
      <x:c r="C247" s="2" t="str">
        <x:v>TEMPO_FOOTPRINT</x:v>
      </x:c>
      <x:c r="D247" s="2" t="n">
        <x:v>2020</x:v>
      </x:c>
      <x:c r="E247" s="2" t="n">
        <x:v>2023</x:v>
      </x:c>
      <x:c r="F247" s="17" t="n">
        <x:v>6611215465.220001</x:v>
      </x:c>
      <x:c r="G247" s="17" t="n">
        <x:v>7106088633.453205</x:v>
      </x:c>
      <x:c r="H247" s="17" t="n">
        <x:v>6308730216.94</x:v>
      </x:c>
      <x:c r="I247" s="17" t="n">
        <x:v>6595446550.53</x:v>
      </x:c>
      <x:c r="J247" s="2" t="str">
        <x:v>m2</x:v>
      </x:c>
      <x:c r="K247" s="15" t="n">
        <x:f>IF(AND(ISNUMBER(F247),ISNUMBER(G247),F247&gt;0),G247/F247-1,"n.a.")</x:f>
        <x:v>0.0748535834048385</x:v>
      </x:c>
      <x:c r="L247" s="15" t="n">
        <x:f>IF(AND(N247,ISNUMBER(H247),ISNUMBER(I247),H247&gt;0),I247/H247-1,"n.a.")</x:f>
        <x:v>0.04544755025664582</x:v>
      </x:c>
      <x:c r="M247" s="20" t="n">
        <x:f>IF(AND(ISNUMBER(K247),ISNUMBER(L247)),100*(K247-L247),"n.a.")</x:f>
        <x:v>2.940603314819268</x:v>
      </x:c>
      <x:c r="N247" s="13" t="b">
        <x:v>1</x:v>
      </x:c>
      <x:c r="O247" s="13" t="b">
        <x:v>1</x:v>
      </x:c>
      <x:c r="P247" s="13" t="b">
        <x:v>0</x:v>
      </x:c>
      <x:c r="Q247" s="2" t="str">
        <x:v>none</x:v>
      </x:c>
      <x:c r="R247" s="2" t="str">
        <x:v>none</x:v>
      </x:c>
      <x:c r="S247" s="2" t="str">
        <x:v>nominal Q4 source model estimate</x:v>
      </x:c>
      <x:c r="T247" s="2" t="str">
        <x:v>nominal Q4 source model estimate</x:v>
      </x:c>
      <x:c r="U247" s="2" t="str">
        <x:v>GFA growth versus source physical quantity growth; constant conversion required for equality</x:v>
      </x:c>
      <x:c r="V247" s="2" t="str">
        <x:v>2020 level is the model anchor; 2023 comparator unused by v16 fit but shares conversion/upstream lineage</x:v>
      </x:c>
      <x:c r="W247" s="2" t="str">
        <x:v>https://arxiv.org/abs/2511.12104</x:v>
      </x:c>
    </x:row>
    <x:row r="248" ht="23" customHeight="1">
      <x:c r="A248" s="2" t="str">
        <x:v>DJI</x:v>
      </x:c>
      <x:c r="B248" s="2" t="str">
        <x:v>Djibouti (Republic of)</x:v>
      </x:c>
      <x:c r="C248" s="2" t="str">
        <x:v>TEMPO_FOOTPRINT</x:v>
      </x:c>
      <x:c r="D248" s="2" t="n">
        <x:v>2020</x:v>
      </x:c>
      <x:c r="E248" s="2" t="n">
        <x:v>2023</x:v>
      </x:c>
      <x:c r="F248" s="17" t="n">
        <x:v>12588327.629999984</x:v>
      </x:c>
      <x:c r="G248" s="17" t="n">
        <x:v>14536951.663955854</x:v>
      </x:c>
      <x:c r="H248" s="17" t="n">
        <x:v>12127167.01</x:v>
      </x:c>
      <x:c r="I248" s="17" t="n">
        <x:v>13100562.56</x:v>
      </x:c>
      <x:c r="J248" s="2" t="str">
        <x:v>m2</x:v>
      </x:c>
      <x:c r="K248" s="15" t="n">
        <x:f>IF(AND(ISNUMBER(F248),ISNUMBER(G248),F248&gt;0),G248/F248-1,"n.a.")</x:f>
        <x:v>0.154796100898422</x:v>
      </x:c>
      <x:c r="L248" s="15" t="n">
        <x:f>IF(AND(N248,ISNUMBER(H248),ISNUMBER(I248),H248&gt;0),I248/H248-1,"n.a.")</x:f>
        <x:v>0.08026570007631162</x:v>
      </x:c>
      <x:c r="M248" s="20" t="n">
        <x:f>IF(AND(ISNUMBER(K248),ISNUMBER(L248)),100*(K248-L248),"n.a.")</x:f>
        <x:v>7.453040082211038</x:v>
      </x:c>
      <x:c r="N248" s="13" t="b">
        <x:v>1</x:v>
      </x:c>
      <x:c r="O248" s="13" t="b">
        <x:v>1</x:v>
      </x:c>
      <x:c r="P248" s="13" t="b">
        <x:v>0</x:v>
      </x:c>
      <x:c r="Q248" s="2" t="str">
        <x:v>none</x:v>
      </x:c>
      <x:c r="R248" s="2" t="str">
        <x:v>none</x:v>
      </x:c>
      <x:c r="S248" s="2" t="str">
        <x:v>nominal Q4 source model estimate</x:v>
      </x:c>
      <x:c r="T248" s="2" t="str">
        <x:v>nominal Q4 source model estimate</x:v>
      </x:c>
      <x:c r="U248" s="2" t="str">
        <x:v>GFA growth versus source physical quantity growth; constant conversion required for equality</x:v>
      </x:c>
      <x:c r="V248" s="2" t="str">
        <x:v>2020 level is the model anchor; 2023 comparator unused by v16 fit but shares conversion/upstream lineage</x:v>
      </x:c>
      <x:c r="W248" s="2" t="str">
        <x:v>https://arxiv.org/abs/2511.12104</x:v>
      </x:c>
    </x:row>
    <x:row r="249" ht="23" customHeight="1">
      <x:c r="A249" s="2" t="str">
        <x:v>DMA</x:v>
      </x:c>
      <x:c r="B249" s="2" t="str">
        <x:v>Dominica (Commonwealth of)</x:v>
      </x:c>
      <x:c r="C249" s="2" t="str">
        <x:v>TEMPO_FOOTPRINT</x:v>
      </x:c>
      <x:c r="D249" s="2" t="n">
        <x:v>2020</x:v>
      </x:c>
      <x:c r="E249" s="2" t="n">
        <x:v>2023</x:v>
      </x:c>
      <x:c r="F249" s="17" t="n">
        <x:v>3947192.6899999985</x:v>
      </x:c>
      <x:c r="G249" s="17" t="n">
        <x:v>4019366.182434599</x:v>
      </x:c>
      <x:c r="H249" s="17" t="n">
        <x:v>3947192.69</x:v>
      </x:c>
      <x:c r="I249" s="17" t="n">
        <x:v>4055064.14</x:v>
      </x:c>
      <x:c r="J249" s="2" t="str">
        <x:v>m2</x:v>
      </x:c>
      <x:c r="K249" s="15" t="n">
        <x:f>IF(AND(ISNUMBER(F249),ISNUMBER(G249),F249&gt;0),G249/F249-1,"n.a.")</x:f>
        <x:v>0.01828476542770452</x:v>
      </x:c>
      <x:c r="L249" s="15" t="n">
        <x:f>IF(AND(N249,ISNUMBER(H249),ISNUMBER(I249),H249&gt;0),I249/H249-1,"n.a.")</x:f>
        <x:v>0.027328650631444074</x:v>
      </x:c>
      <x:c r="M249" s="20" t="n">
        <x:f>IF(AND(ISNUMBER(K249),ISNUMBER(L249)),100*(K249-L249),"n.a.")</x:f>
        <x:v>-0.9043885203739555</x:v>
      </x:c>
      <x:c r="N249" s="13" t="b">
        <x:v>1</x:v>
      </x:c>
      <x:c r="O249" s="13" t="b">
        <x:v>1</x:v>
      </x:c>
      <x:c r="P249" s="13" t="b">
        <x:v>0</x:v>
      </x:c>
      <x:c r="Q249" s="2" t="str">
        <x:v>none</x:v>
      </x:c>
      <x:c r="R249" s="2" t="str">
        <x:v>none</x:v>
      </x:c>
      <x:c r="S249" s="2" t="str">
        <x:v>nominal Q4 source model estimate</x:v>
      </x:c>
      <x:c r="T249" s="2" t="str">
        <x:v>nominal Q4 source model estimate</x:v>
      </x:c>
      <x:c r="U249" s="2" t="str">
        <x:v>GFA growth versus source physical quantity growth; constant conversion required for equality</x:v>
      </x:c>
      <x:c r="V249" s="2" t="str">
        <x:v>2020 level is the model anchor; 2023 comparator unused by v16 fit but shares conversion/upstream lineage</x:v>
      </x:c>
      <x:c r="W249" s="2" t="str">
        <x:v>https://arxiv.org/abs/2511.12104</x:v>
      </x:c>
    </x:row>
    <x:row r="250" ht="23" customHeight="1">
      <x:c r="A250" s="2" t="str">
        <x:v>DNK</x:v>
      </x:c>
      <x:c r="B250" s="2" t="str">
        <x:v>Denmark (Kingdom of)</x:v>
      </x:c>
      <x:c r="C250" s="2" t="str">
        <x:v>TEMPO_FOOTPRINT</x:v>
      </x:c>
      <x:c r="D250" s="2" t="n">
        <x:v>2020</x:v>
      </x:c>
      <x:c r="E250" s="2" t="n">
        <x:v>2023</x:v>
      </x:c>
      <x:c r="F250" s="17" t="n">
        <x:v>665059716.8900009</x:v>
      </x:c>
      <x:c r="G250" s="17" t="n">
        <x:v>719708341.7903874</x:v>
      </x:c>
      <x:c r="H250" s="17" t="n">
        <x:v>660731556.2</x:v>
      </x:c>
      <x:c r="I250" s="17" t="n">
        <x:v>691860676.63</x:v>
      </x:c>
      <x:c r="J250" s="2" t="str">
        <x:v>m2</x:v>
      </x:c>
      <x:c r="K250" s="15" t="n">
        <x:f>IF(AND(ISNUMBER(F250),ISNUMBER(G250),F250&gt;0),G250/F250-1,"n.a.")</x:f>
        <x:v>0.0821710043662518</x:v>
      </x:c>
      <x:c r="L250" s="15" t="n">
        <x:f>IF(AND(N250,ISNUMBER(H250),ISNUMBER(I250),H250&gt;0),I250/H250-1,"n.a.")</x:f>
        <x:v>0.04711311293958742</x:v>
      </x:c>
      <x:c r="M250" s="20" t="n">
        <x:f>IF(AND(ISNUMBER(K250),ISNUMBER(L250)),100*(K250-L250),"n.a.")</x:f>
        <x:v>3.505789142666438</x:v>
      </x:c>
      <x:c r="N250" s="13" t="b">
        <x:v>1</x:v>
      </x:c>
      <x:c r="O250" s="13" t="b">
        <x:v>1</x:v>
      </x:c>
      <x:c r="P250" s="13" t="b">
        <x:v>0</x:v>
      </x:c>
      <x:c r="Q250" s="2" t="str">
        <x:v>none</x:v>
      </x:c>
      <x:c r="R250" s="2" t="str">
        <x:v>none</x:v>
      </x:c>
      <x:c r="S250" s="2" t="str">
        <x:v>nominal Q4 source model estimate</x:v>
      </x:c>
      <x:c r="T250" s="2" t="str">
        <x:v>nominal Q4 source model estimate</x:v>
      </x:c>
      <x:c r="U250" s="2" t="str">
        <x:v>GFA growth versus source physical quantity growth; constant conversion required for equality</x:v>
      </x:c>
      <x:c r="V250" s="2" t="str">
        <x:v>2020 level is the model anchor; 2023 comparator unused by v16 fit but shares conversion/upstream lineage</x:v>
      </x:c>
      <x:c r="W250" s="2" t="str">
        <x:v>https://arxiv.org/abs/2511.12104</x:v>
      </x:c>
    </x:row>
    <x:row r="251" ht="23" customHeight="1">
      <x:c r="A251" s="2" t="str">
        <x:v>DOM</x:v>
      </x:c>
      <x:c r="B251" s="2" t="str">
        <x:v>Dominican Republic</x:v>
      </x:c>
      <x:c r="C251" s="2" t="str">
        <x:v>TEMPO_FOOTPRINT</x:v>
      </x:c>
      <x:c r="D251" s="2" t="n">
        <x:v>2020</x:v>
      </x:c>
      <x:c r="E251" s="2" t="n">
        <x:v>2023</x:v>
      </x:c>
      <x:c r="F251" s="17" t="n">
        <x:v>336248050.8900004</x:v>
      </x:c>
      <x:c r="G251" s="17" t="n">
        <x:v>362266793.65343577</x:v>
      </x:c>
      <x:c r="H251" s="17" t="n">
        <x:v>336248050.89</x:v>
      </x:c>
      <x:c r="I251" s="17" t="n">
        <x:v>367109326.4</x:v>
      </x:c>
      <x:c r="J251" s="2" t="str">
        <x:v>m2</x:v>
      </x:c>
      <x:c r="K251" s="15" t="n">
        <x:f>IF(AND(ISNUMBER(F251),ISNUMBER(G251),F251&gt;0),G251/F251-1,"n.a.")</x:f>
        <x:v>0.07737960917414233</x:v>
      </x:c>
      <x:c r="L251" s="15" t="n">
        <x:f>IF(AND(N251,ISNUMBER(H251),ISNUMBER(I251),H251&gt;0),I251/H251-1,"n.a.")</x:f>
        <x:v>0.09178127703138994</x:v>
      </x:c>
      <x:c r="M251" s="20" t="n">
        <x:f>IF(AND(ISNUMBER(K251),ISNUMBER(L251)),100*(K251-L251),"n.a.")</x:f>
        <x:v>-1.4401667857247613</x:v>
      </x:c>
      <x:c r="N251" s="13" t="b">
        <x:v>1</x:v>
      </x:c>
      <x:c r="O251" s="13" t="b">
        <x:v>1</x:v>
      </x:c>
      <x:c r="P251" s="13" t="b">
        <x:v>0</x:v>
      </x:c>
      <x:c r="Q251" s="2" t="str">
        <x:v>none</x:v>
      </x:c>
      <x:c r="R251" s="2" t="str">
        <x:v>none</x:v>
      </x:c>
      <x:c r="S251" s="2" t="str">
        <x:v>nominal Q4 source model estimate</x:v>
      </x:c>
      <x:c r="T251" s="2" t="str">
        <x:v>nominal Q4 source model estimate</x:v>
      </x:c>
      <x:c r="U251" s="2" t="str">
        <x:v>GFA growth versus source physical quantity growth; constant conversion required for equality</x:v>
      </x:c>
      <x:c r="V251" s="2" t="str">
        <x:v>2020 level is the model anchor; 2023 comparator unused by v16 fit but shares conversion/upstream lineage</x:v>
      </x:c>
      <x:c r="W251" s="2" t="str">
        <x:v>https://arxiv.org/abs/2511.12104</x:v>
      </x:c>
    </x:row>
    <x:row r="252" ht="23" customHeight="1">
      <x:c r="A252" s="2" t="str">
        <x:v>DZA</x:v>
      </x:c>
      <x:c r="B252" s="2" t="str">
        <x:v>Algeria (People's Democratic Republic of)</x:v>
      </x:c>
      <x:c r="C252" s="2" t="str">
        <x:v>TEMPO_FOOTPRINT</x:v>
      </x:c>
      <x:c r="D252" s="2" t="n">
        <x:v>2020</x:v>
      </x:c>
      <x:c r="E252" s="2" t="n">
        <x:v>2023</x:v>
      </x:c>
      <x:c r="F252" s="17" t="n">
        <x:v>1607752786.8799975</x:v>
      </x:c>
      <x:c r="G252" s="17" t="n">
        <x:v>1753398705.6282687</x:v>
      </x:c>
      <x:c r="H252" s="17" t="n">
        <x:v>1589287619</x:v>
      </x:c>
      <x:c r="I252" s="17" t="n">
        <x:v>1664795340.54</x:v>
      </x:c>
      <x:c r="J252" s="2" t="str">
        <x:v>m2</x:v>
      </x:c>
      <x:c r="K252" s="15" t="n">
        <x:f>IF(AND(ISNUMBER(F252),ISNUMBER(G252),F252&gt;0),G252/F252-1,"n.a.")</x:f>
        <x:v>0.09058974733977077</x:v>
      </x:c>
      <x:c r="L252" s="15" t="n">
        <x:f>IF(AND(N252,ISNUMBER(H252),ISNUMBER(I252),H252&gt;0),I252/H252-1,"n.a.")</x:f>
        <x:v>0.04751041953470336</x:v>
      </x:c>
      <x:c r="M252" s="20" t="n">
        <x:f>IF(AND(ISNUMBER(K252),ISNUMBER(L252)),100*(K252-L252),"n.a.")</x:f>
        <x:v>4.30793278050674</x:v>
      </x:c>
      <x:c r="N252" s="13" t="b">
        <x:v>1</x:v>
      </x:c>
      <x:c r="O252" s="13" t="b">
        <x:v>1</x:v>
      </x:c>
      <x:c r="P252" s="13" t="b">
        <x:v>0</x:v>
      </x:c>
      <x:c r="Q252" s="2" t="str">
        <x:v>none</x:v>
      </x:c>
      <x:c r="R252" s="2" t="str">
        <x:v>none</x:v>
      </x:c>
      <x:c r="S252" s="2" t="str">
        <x:v>nominal Q4 source model estimate</x:v>
      </x:c>
      <x:c r="T252" s="2" t="str">
        <x:v>nominal Q4 source model estimate</x:v>
      </x:c>
      <x:c r="U252" s="2" t="str">
        <x:v>GFA growth versus source physical quantity growth; constant conversion required for equality</x:v>
      </x:c>
      <x:c r="V252" s="2" t="str">
        <x:v>2020 level is the model anchor; 2023 comparator unused by v16 fit but shares conversion/upstream lineage</x:v>
      </x:c>
      <x:c r="W252" s="2" t="str">
        <x:v>https://arxiv.org/abs/2511.12104</x:v>
      </x:c>
    </x:row>
    <x:row r="253" ht="23" customHeight="1">
      <x:c r="A253" s="2" t="str">
        <x:v>ECU</x:v>
      </x:c>
      <x:c r="B253" s="2" t="str">
        <x:v>Ecuador (Republic of)</x:v>
      </x:c>
      <x:c r="C253" s="2" t="str">
        <x:v>TEMPO_FOOTPRINT</x:v>
      </x:c>
      <x:c r="D253" s="2" t="n">
        <x:v>2020</x:v>
      </x:c>
      <x:c r="E253" s="2" t="n">
        <x:v>2023</x:v>
      </x:c>
      <x:c r="F253" s="17" t="n">
        <x:v>734538215.0500003</x:v>
      </x:c>
      <x:c r="G253" s="17" t="n">
        <x:v>794619772.2105788</x:v>
      </x:c>
      <x:c r="H253" s="17" t="n">
        <x:v>734538215.05</x:v>
      </x:c>
      <x:c r="I253" s="17" t="n">
        <x:v>806345279.37</x:v>
      </x:c>
      <x:c r="J253" s="2" t="str">
        <x:v>m2</x:v>
      </x:c>
      <x:c r="K253" s="15" t="n">
        <x:f>IF(AND(ISNUMBER(F253),ISNUMBER(G253),F253&gt;0),G253/F253-1,"n.a.")</x:f>
        <x:v>0.08179500525576966</x:v>
      </x:c>
      <x:c r="L253" s="15" t="n">
        <x:f>IF(AND(N253,ISNUMBER(H253),ISNUMBER(I253),H253&gt;0),I253/H253-1,"n.a.")</x:f>
        <x:v>0.09775810549912944</x:v>
      </x:c>
      <x:c r="M253" s="20" t="n">
        <x:f>IF(AND(ISNUMBER(K253),ISNUMBER(L253)),100*(K253-L253),"n.a.")</x:f>
        <x:v>-1.5963100243359785</x:v>
      </x:c>
      <x:c r="N253" s="13" t="b">
        <x:v>1</x:v>
      </x:c>
      <x:c r="O253" s="13" t="b">
        <x:v>1</x:v>
      </x:c>
      <x:c r="P253" s="13" t="b">
        <x:v>0</x:v>
      </x:c>
      <x:c r="Q253" s="2" t="str">
        <x:v>none</x:v>
      </x:c>
      <x:c r="R253" s="2" t="str">
        <x:v>none</x:v>
      </x:c>
      <x:c r="S253" s="2" t="str">
        <x:v>nominal Q4 source model estimate</x:v>
      </x:c>
      <x:c r="T253" s="2" t="str">
        <x:v>nominal Q4 source model estimate</x:v>
      </x:c>
      <x:c r="U253" s="2" t="str">
        <x:v>GFA growth versus source physical quantity growth; constant conversion required for equality</x:v>
      </x:c>
      <x:c r="V253" s="2" t="str">
        <x:v>2020 level is the model anchor; 2023 comparator unused by v16 fit but shares conversion/upstream lineage</x:v>
      </x:c>
      <x:c r="W253" s="2" t="str">
        <x:v>https://arxiv.org/abs/2511.12104</x:v>
      </x:c>
    </x:row>
    <x:row r="254" ht="23" customHeight="1">
      <x:c r="A254" s="2" t="str">
        <x:v>EGY</x:v>
      </x:c>
      <x:c r="B254" s="2" t="str">
        <x:v>Egypt (Arab Republic of)</x:v>
      </x:c>
      <x:c r="C254" s="2" t="str">
        <x:v>TEMPO_FOOTPRINT</x:v>
      </x:c>
      <x:c r="D254" s="2" t="n">
        <x:v>2020</x:v>
      </x:c>
      <x:c r="E254" s="2" t="n">
        <x:v>2023</x:v>
      </x:c>
      <x:c r="F254" s="17" t="n">
        <x:v>2954306535.6</x:v>
      </x:c>
      <x:c r="G254" s="17" t="n">
        <x:v>3297128281.7812448</x:v>
      </x:c>
      <x:c r="H254" s="17" t="n">
        <x:v>2212752476.53</x:v>
      </x:c>
      <x:c r="I254" s="17" t="n">
        <x:v>2323011005.87</x:v>
      </x:c>
      <x:c r="J254" s="2" t="str">
        <x:v>m2</x:v>
      </x:c>
      <x:c r="K254" s="15" t="n">
        <x:f>IF(AND(ISNUMBER(F254),ISNUMBER(G254),F254&gt;0),G254/F254-1,"n.a.")</x:f>
        <x:v>0.11604135930045589</x:v>
      </x:c>
      <x:c r="L254" s="15" t="n">
        <x:f>IF(AND(N254,ISNUMBER(H254),ISNUMBER(I254),H254&gt;0),I254/H254-1,"n.a.")</x:f>
        <x:v>0.049828677409461175</x:v>
      </x:c>
      <x:c r="M254" s="20" t="n">
        <x:f>IF(AND(ISNUMBER(K254),ISNUMBER(L254)),100*(K254-L254),"n.a.")</x:f>
        <x:v>6.621268189099472</x:v>
      </x:c>
      <x:c r="N254" s="13" t="b">
        <x:v>1</x:v>
      </x:c>
      <x:c r="O254" s="13" t="b">
        <x:v>1</x:v>
      </x:c>
      <x:c r="P254" s="13" t="b">
        <x:v>0</x:v>
      </x:c>
      <x:c r="Q254" s="2" t="str">
        <x:v>none</x:v>
      </x:c>
      <x:c r="R254" s="2" t="str">
        <x:v>none</x:v>
      </x:c>
      <x:c r="S254" s="2" t="str">
        <x:v>nominal Q4 source model estimate</x:v>
      </x:c>
      <x:c r="T254" s="2" t="str">
        <x:v>nominal Q4 source model estimate</x:v>
      </x:c>
      <x:c r="U254" s="2" t="str">
        <x:v>GFA growth versus source physical quantity growth; constant conversion required for equality</x:v>
      </x:c>
      <x:c r="V254" s="2" t="str">
        <x:v>2020 level is the model anchor; 2023 comparator unused by v16 fit but shares conversion/upstream lineage</x:v>
      </x:c>
      <x:c r="W254" s="2" t="str">
        <x:v>https://arxiv.org/abs/2511.12104</x:v>
      </x:c>
    </x:row>
    <x:row r="255" ht="23" customHeight="1">
      <x:c r="A255" s="2" t="str">
        <x:v>ERI</x:v>
      </x:c>
      <x:c r="B255" s="2" t="str">
        <x:v>Eritrea (State of)</x:v>
      </x:c>
      <x:c r="C255" s="2" t="str">
        <x:v>TEMPO_FOOTPRINT</x:v>
      </x:c>
      <x:c r="D255" s="2" t="n">
        <x:v>2020</x:v>
      </x:c>
      <x:c r="E255" s="2" t="n">
        <x:v>2023</x:v>
      </x:c>
      <x:c r="F255" s="17" t="n">
        <x:v>45298098.329999976</x:v>
      </x:c>
      <x:c r="G255" s="17" t="n">
        <x:v>50844198.12792341</x:v>
      </x:c>
      <x:c r="H255" s="17" t="n">
        <x:v>45298098.33</x:v>
      </x:c>
      <x:c r="I255" s="17" t="n">
        <x:v>46539774.76</x:v>
      </x:c>
      <x:c r="J255" s="2" t="str">
        <x:v>m2</x:v>
      </x:c>
      <x:c r="K255" s="15" t="n">
        <x:f>IF(AND(ISNUMBER(F255),ISNUMBER(G255),F255&gt;0),G255/F255-1,"n.a.")</x:f>
        <x:v>0.12243559889688282</x:v>
      </x:c>
      <x:c r="L255" s="15" t="n">
        <x:f>IF(AND(N255,ISNUMBER(H255),ISNUMBER(I255),H255&gt;0),I255/H255-1,"n.a.")</x:f>
        <x:v>0.027411226426202084</x:v>
      </x:c>
      <x:c r="M255" s="20" t="n">
        <x:f>IF(AND(ISNUMBER(K255),ISNUMBER(L255)),100*(K255-L255),"n.a.")</x:f>
        <x:v>9.502437247068073</x:v>
      </x:c>
      <x:c r="N255" s="13" t="b">
        <x:v>1</x:v>
      </x:c>
      <x:c r="O255" s="13" t="b">
        <x:v>1</x:v>
      </x:c>
      <x:c r="P255" s="13" t="b">
        <x:v>0</x:v>
      </x:c>
      <x:c r="Q255" s="2" t="str">
        <x:v>none</x:v>
      </x:c>
      <x:c r="R255" s="2" t="str">
        <x:v>none</x:v>
      </x:c>
      <x:c r="S255" s="2" t="str">
        <x:v>nominal Q4 source model estimate</x:v>
      </x:c>
      <x:c r="T255" s="2" t="str">
        <x:v>nominal Q4 source model estimate</x:v>
      </x:c>
      <x:c r="U255" s="2" t="str">
        <x:v>GFA growth versus source physical quantity growth; constant conversion required for equality</x:v>
      </x:c>
      <x:c r="V255" s="2" t="str">
        <x:v>2020 level is the model anchor; 2023 comparator unused by v16 fit but shares conversion/upstream lineage</x:v>
      </x:c>
      <x:c r="W255" s="2" t="str">
        <x:v>https://arxiv.org/abs/2511.12104</x:v>
      </x:c>
    </x:row>
    <x:row r="256" ht="23" customHeight="1">
      <x:c r="A256" s="2" t="str">
        <x:v>ESP</x:v>
      </x:c>
      <x:c r="B256" s="2" t="str">
        <x:v>Spain (Kingdom of)</x:v>
      </x:c>
      <x:c r="C256" s="2" t="str">
        <x:v>TEMPO_FOOTPRINT</x:v>
      </x:c>
      <x:c r="D256" s="2" t="n">
        <x:v>2020</x:v>
      </x:c>
      <x:c r="E256" s="2" t="n">
        <x:v>2023</x:v>
      </x:c>
      <x:c r="F256" s="17" t="n">
        <x:v>3693503432.029994</x:v>
      </x:c>
      <x:c r="G256" s="17" t="n">
        <x:v>4025358106.323323</x:v>
      </x:c>
      <x:c r="H256" s="17" t="n">
        <x:v>3279628822.71</x:v>
      </x:c>
      <x:c r="I256" s="17" t="n">
        <x:v>3415380802.79</x:v>
      </x:c>
      <x:c r="J256" s="2" t="str">
        <x:v>m2</x:v>
      </x:c>
      <x:c r="K256" s="15" t="n">
        <x:f>IF(AND(ISNUMBER(F256),ISNUMBER(G256),F256&gt;0),G256/F256-1,"n.a.")</x:f>
        <x:v>0.08984821062178838</x:v>
      </x:c>
      <x:c r="L256" s="15" t="n">
        <x:f>IF(AND(N256,ISNUMBER(H256),ISNUMBER(I256),H256&gt;0),I256/H256-1,"n.a.")</x:f>
        <x:v>0.041392482935866504</x:v>
      </x:c>
      <x:c r="M256" s="20" t="n">
        <x:f>IF(AND(ISNUMBER(K256),ISNUMBER(L256)),100*(K256-L256),"n.a.")</x:f>
        <x:v>4.845572768592188</x:v>
      </x:c>
      <x:c r="N256" s="13" t="b">
        <x:v>1</x:v>
      </x:c>
      <x:c r="O256" s="13" t="b">
        <x:v>1</x:v>
      </x:c>
      <x:c r="P256" s="13" t="b">
        <x:v>0</x:v>
      </x:c>
      <x:c r="Q256" s="2" t="str">
        <x:v>none</x:v>
      </x:c>
      <x:c r="R256" s="2" t="str">
        <x:v>none</x:v>
      </x:c>
      <x:c r="S256" s="2" t="str">
        <x:v>nominal Q4 source model estimate</x:v>
      </x:c>
      <x:c r="T256" s="2" t="str">
        <x:v>nominal Q4 source model estimate</x:v>
      </x:c>
      <x:c r="U256" s="2" t="str">
        <x:v>GFA growth versus source physical quantity growth; constant conversion required for equality</x:v>
      </x:c>
      <x:c r="V256" s="2" t="str">
        <x:v>2020 level is the model anchor; 2023 comparator unused by v16 fit but shares conversion/upstream lineage</x:v>
      </x:c>
      <x:c r="W256" s="2" t="str">
        <x:v>https://arxiv.org/abs/2511.12104</x:v>
      </x:c>
    </x:row>
    <x:row r="257" ht="23" customHeight="1">
      <x:c r="A257" s="2" t="str">
        <x:v>EST</x:v>
      </x:c>
      <x:c r="B257" s="2" t="str">
        <x:v>Estonia (Republic of)</x:v>
      </x:c>
      <x:c r="C257" s="2" t="str">
        <x:v>TEMPO_FOOTPRINT</x:v>
      </x:c>
      <x:c r="D257" s="2" t="n">
        <x:v>2020</x:v>
      </x:c>
      <x:c r="E257" s="2" t="n">
        <x:v>2023</x:v>
      </x:c>
      <x:c r="F257" s="17" t="n">
        <x:v>113094705.3700001</x:v>
      </x:c>
      <x:c r="G257" s="17" t="n">
        <x:v>119990211.53416616</x:v>
      </x:c>
      <x:c r="H257" s="17" t="n">
        <x:v>113094705.37</x:v>
      </x:c>
      <x:c r="I257" s="17" t="n">
        <x:v>117902644.31</x:v>
      </x:c>
      <x:c r="J257" s="2" t="str">
        <x:v>m2</x:v>
      </x:c>
      <x:c r="K257" s="15" t="n">
        <x:f>IF(AND(ISNUMBER(F257),ISNUMBER(G257),F257&gt;0),G257/F257-1,"n.a.")</x:f>
        <x:v>0.06097107854524886</x:v>
      </x:c>
      <x:c r="L257" s="15" t="n">
        <x:f>IF(AND(N257,ISNUMBER(H257),ISNUMBER(I257),H257&gt;0),I257/H257-1,"n.a.")</x:f>
        <x:v>0.042512502457744406</x:v>
      </x:c>
      <x:c r="M257" s="20" t="n">
        <x:f>IF(AND(ISNUMBER(K257),ISNUMBER(L257)),100*(K257-L257),"n.a.")</x:f>
        <x:v>1.8458576087504452</x:v>
      </x:c>
      <x:c r="N257" s="13" t="b">
        <x:v>1</x:v>
      </x:c>
      <x:c r="O257" s="13" t="b">
        <x:v>1</x:v>
      </x:c>
      <x:c r="P257" s="13" t="b">
        <x:v>0</x:v>
      </x:c>
      <x:c r="Q257" s="2" t="str">
        <x:v>none</x:v>
      </x:c>
      <x:c r="R257" s="2" t="str">
        <x:v>none</x:v>
      </x:c>
      <x:c r="S257" s="2" t="str">
        <x:v>nominal Q4 source model estimate</x:v>
      </x:c>
      <x:c r="T257" s="2" t="str">
        <x:v>nominal Q4 source model estimate</x:v>
      </x:c>
      <x:c r="U257" s="2" t="str">
        <x:v>GFA growth versus source physical quantity growth; constant conversion required for equality</x:v>
      </x:c>
      <x:c r="V257" s="2" t="str">
        <x:v>2020 level is the model anchor; 2023 comparator unused by v16 fit but shares conversion/upstream lineage</x:v>
      </x:c>
      <x:c r="W257" s="2" t="str">
        <x:v>https://arxiv.org/abs/2511.12104</x:v>
      </x:c>
    </x:row>
    <x:row r="258" ht="23" customHeight="1">
      <x:c r="A258" s="2" t="str">
        <x:v>ETH</x:v>
      </x:c>
      <x:c r="B258" s="2" t="str">
        <x:v>Ethiopia (Federal Democratic Republic of)</x:v>
      </x:c>
      <x:c r="C258" s="2" t="str">
        <x:v>TEMPO_FOOTPRINT</x:v>
      </x:c>
      <x:c r="D258" s="2" t="n">
        <x:v>2020</x:v>
      </x:c>
      <x:c r="E258" s="2" t="n">
        <x:v>2023</x:v>
      </x:c>
      <x:c r="F258" s="17" t="n">
        <x:v>1660821510.7100024</x:v>
      </x:c>
      <x:c r="G258" s="17" t="n">
        <x:v>1902459385.037186</x:v>
      </x:c>
      <x:c r="H258" s="17" t="n">
        <x:v>1660821510.71</x:v>
      </x:c>
      <x:c r="I258" s="17" t="n">
        <x:v>1825219817.43</x:v>
      </x:c>
      <x:c r="J258" s="2" t="str">
        <x:v>m2</x:v>
      </x:c>
      <x:c r="K258" s="15" t="n">
        <x:f>IF(AND(ISNUMBER(F258),ISNUMBER(G258),F258&gt;0),G258/F258-1,"n.a.")</x:f>
        <x:v>0.14549298209889105</x:v>
      </x:c>
      <x:c r="L258" s="15" t="n">
        <x:f>IF(AND(N258,ISNUMBER(H258),ISNUMBER(I258),H258&gt;0),I258/H258-1,"n.a.")</x:f>
        <x:v>0.09898613767937037</x:v>
      </x:c>
      <x:c r="M258" s="20" t="n">
        <x:f>IF(AND(ISNUMBER(K258),ISNUMBER(L258)),100*(K258-L258),"n.a.")</x:f>
        <x:v>4.650684441952069</x:v>
      </x:c>
      <x:c r="N258" s="13" t="b">
        <x:v>1</x:v>
      </x:c>
      <x:c r="O258" s="13" t="b">
        <x:v>1</x:v>
      </x:c>
      <x:c r="P258" s="13" t="b">
        <x:v>0</x:v>
      </x:c>
      <x:c r="Q258" s="2" t="str">
        <x:v>none</x:v>
      </x:c>
      <x:c r="R258" s="2" t="str">
        <x:v>none</x:v>
      </x:c>
      <x:c r="S258" s="2" t="str">
        <x:v>nominal Q4 source model estimate</x:v>
      </x:c>
      <x:c r="T258" s="2" t="str">
        <x:v>nominal Q4 source model estimate</x:v>
      </x:c>
      <x:c r="U258" s="2" t="str">
        <x:v>GFA growth versus source physical quantity growth; constant conversion required for equality</x:v>
      </x:c>
      <x:c r="V258" s="2" t="str">
        <x:v>2020 level is the model anchor; 2023 comparator unused by v16 fit but shares conversion/upstream lineage</x:v>
      </x:c>
      <x:c r="W258" s="2" t="str">
        <x:v>https://arxiv.org/abs/2511.12104</x:v>
      </x:c>
    </x:row>
    <x:row r="259" ht="23" customHeight="1">
      <x:c r="A259" s="2" t="str">
        <x:v>FIN</x:v>
      </x:c>
      <x:c r="B259" s="2" t="str">
        <x:v>Finland (Republic of)</x:v>
      </x:c>
      <x:c r="C259" s="2" t="str">
        <x:v>TEMPO_FOOTPRINT</x:v>
      </x:c>
      <x:c r="D259" s="2" t="n">
        <x:v>2020</x:v>
      </x:c>
      <x:c r="E259" s="2" t="n">
        <x:v>2023</x:v>
      </x:c>
      <x:c r="F259" s="17" t="n">
        <x:v>615866742.3399993</x:v>
      </x:c>
      <x:c r="G259" s="17" t="n">
        <x:v>688966113.4488864</x:v>
      </x:c>
      <x:c r="H259" s="17" t="n">
        <x:v>615866742.34</x:v>
      </x:c>
      <x:c r="I259" s="17" t="n">
        <x:v>634422300.66</x:v>
      </x:c>
      <x:c r="J259" s="2" t="str">
        <x:v>m2</x:v>
      </x:c>
      <x:c r="K259" s="15" t="n">
        <x:f>IF(AND(ISNUMBER(F259),ISNUMBER(G259),F259&gt;0),G259/F259-1,"n.a.")</x:f>
        <x:v>0.11869348689157078</x:v>
      </x:c>
      <x:c r="L259" s="15" t="n">
        <x:f>IF(AND(N259,ISNUMBER(H259),ISNUMBER(I259),H259&gt;0),I259/H259-1,"n.a.")</x:f>
        <x:v>0.03012917737609544</x:v>
      </x:c>
      <x:c r="M259" s="20" t="n">
        <x:f>IF(AND(ISNUMBER(K259),ISNUMBER(L259)),100*(K259-L259),"n.a.")</x:f>
        <x:v>8.856430951547534</x:v>
      </x:c>
      <x:c r="N259" s="13" t="b">
        <x:v>1</x:v>
      </x:c>
      <x:c r="O259" s="13" t="b">
        <x:v>1</x:v>
      </x:c>
      <x:c r="P259" s="13" t="b">
        <x:v>0</x:v>
      </x:c>
      <x:c r="Q259" s="2" t="str">
        <x:v>none</x:v>
      </x:c>
      <x:c r="R259" s="2" t="str">
        <x:v>none</x:v>
      </x:c>
      <x:c r="S259" s="2" t="str">
        <x:v>nominal Q4 source model estimate</x:v>
      </x:c>
      <x:c r="T259" s="2" t="str">
        <x:v>nominal Q4 source model estimate</x:v>
      </x:c>
      <x:c r="U259" s="2" t="str">
        <x:v>GFA growth versus source physical quantity growth; constant conversion required for equality</x:v>
      </x:c>
      <x:c r="V259" s="2" t="str">
        <x:v>2020 level is the model anchor; 2023 comparator unused by v16 fit but shares conversion/upstream lineage</x:v>
      </x:c>
      <x:c r="W259" s="2" t="str">
        <x:v>https://arxiv.org/abs/2511.12104</x:v>
      </x:c>
    </x:row>
    <x:row r="260" ht="23" customHeight="1">
      <x:c r="A260" s="2" t="str">
        <x:v>FJI</x:v>
      </x:c>
      <x:c r="B260" s="2" t="str">
        <x:v>Fiji (Republic of)</x:v>
      </x:c>
      <x:c r="C260" s="2" t="str">
        <x:v>TEMPO_FOOTPRINT</x:v>
      </x:c>
      <x:c r="D260" s="2" t="n">
        <x:v>2020</x:v>
      </x:c>
      <x:c r="E260" s="2" t="n">
        <x:v>2023</x:v>
      </x:c>
      <x:c r="F260" s="17" t="n">
        <x:v>37460168.12</x:v>
      </x:c>
      <x:c r="G260" s="17" t="n">
        <x:v>39148436.010481395</x:v>
      </x:c>
      <x:c r="H260" s="17" t="n">
        <x:v>37460168.12</x:v>
      </x:c>
      <x:c r="I260" s="17" t="n">
        <x:v>38081115.71</x:v>
      </x:c>
      <x:c r="J260" s="2" t="str">
        <x:v>m2</x:v>
      </x:c>
      <x:c r="K260" s="15" t="n">
        <x:f>IF(AND(ISNUMBER(F260),ISNUMBER(G260),F260&gt;0),G260/F260-1,"n.a.")</x:f>
        <x:v>0.04506834793354897</x:v>
      </x:c>
      <x:c r="L260" s="15" t="n">
        <x:f>IF(AND(N260,ISNUMBER(H260),ISNUMBER(I260),H260&gt;0),I260/H260-1,"n.a.")</x:f>
        <x:v>0.01657620937553883</x:v>
      </x:c>
      <x:c r="M260" s="20" t="n">
        <x:f>IF(AND(ISNUMBER(K260),ISNUMBER(L260)),100*(K260-L260),"n.a.")</x:f>
        <x:v>2.849213855801014</x:v>
      </x:c>
      <x:c r="N260" s="13" t="b">
        <x:v>1</x:v>
      </x:c>
      <x:c r="O260" s="13" t="b">
        <x:v>1</x:v>
      </x:c>
      <x:c r="P260" s="13" t="b">
        <x:v>0</x:v>
      </x:c>
      <x:c r="Q260" s="2" t="str">
        <x:v>none</x:v>
      </x:c>
      <x:c r="R260" s="2" t="str">
        <x:v>none</x:v>
      </x:c>
      <x:c r="S260" s="2" t="str">
        <x:v>nominal Q4 source model estimate</x:v>
      </x:c>
      <x:c r="T260" s="2" t="str">
        <x:v>nominal Q4 source model estimate</x:v>
      </x:c>
      <x:c r="U260" s="2" t="str">
        <x:v>GFA growth versus source physical quantity growth; constant conversion required for equality</x:v>
      </x:c>
      <x:c r="V260" s="2" t="str">
        <x:v>2020 level is the model anchor; 2023 comparator unused by v16 fit but shares conversion/upstream lineage</x:v>
      </x:c>
      <x:c r="W260" s="2" t="str">
        <x:v>https://arxiv.org/abs/2511.12104</x:v>
      </x:c>
    </x:row>
    <x:row r="261" ht="23" customHeight="1">
      <x:c r="A261" s="2" t="str">
        <x:v>FRA</x:v>
      </x:c>
      <x:c r="B261" s="2" t="str">
        <x:v>France (French Republic)</x:v>
      </x:c>
      <x:c r="C261" s="2" t="str">
        <x:v>TEMPO_FOOTPRINT</x:v>
      </x:c>
      <x:c r="D261" s="2" t="n">
        <x:v>2020</x:v>
      </x:c>
      <x:c r="E261" s="2" t="n">
        <x:v>2023</x:v>
      </x:c>
      <x:c r="F261" s="17" t="n">
        <x:v>6074526882.680001</x:v>
      </x:c>
      <x:c r="G261" s="17" t="n">
        <x:v>6389564730.251554</x:v>
      </x:c>
      <x:c r="H261" s="17" t="n">
        <x:v>6074526882.68</x:v>
      </x:c>
      <x:c r="I261" s="17" t="n">
        <x:v>6361129189.52</x:v>
      </x:c>
      <x:c r="J261" s="2" t="str">
        <x:v>m2</x:v>
      </x:c>
      <x:c r="K261" s="15" t="n">
        <x:f>IF(AND(ISNUMBER(F261),ISNUMBER(G261),F261&gt;0),G261/F261-1,"n.a.")</x:f>
        <x:v>0.05186212089534159</x:v>
      </x:c>
      <x:c r="L261" s="15" t="n">
        <x:f>IF(AND(N261,ISNUMBER(H261),ISNUMBER(I261),H261&gt;0),I261/H261-1,"n.a.")</x:f>
        <x:v>0.04718100888765098</x:v>
      </x:c>
      <x:c r="M261" s="20" t="n">
        <x:f>IF(AND(ISNUMBER(K261),ISNUMBER(L261)),100*(K261-L261),"n.a.")</x:f>
        <x:v>0.4681112007690613</x:v>
      </x:c>
      <x:c r="N261" s="13" t="b">
        <x:v>1</x:v>
      </x:c>
      <x:c r="O261" s="13" t="b">
        <x:v>1</x:v>
      </x:c>
      <x:c r="P261" s="13" t="b">
        <x:v>0</x:v>
      </x:c>
      <x:c r="Q261" s="2" t="str">
        <x:v>none</x:v>
      </x:c>
      <x:c r="R261" s="2" t="str">
        <x:v>none</x:v>
      </x:c>
      <x:c r="S261" s="2" t="str">
        <x:v>nominal Q4 source model estimate</x:v>
      </x:c>
      <x:c r="T261" s="2" t="str">
        <x:v>nominal Q4 source model estimate</x:v>
      </x:c>
      <x:c r="U261" s="2" t="str">
        <x:v>GFA growth versus source physical quantity growth; constant conversion required for equality</x:v>
      </x:c>
      <x:c r="V261" s="2" t="str">
        <x:v>2020 level is the model anchor; 2023 comparator unused by v16 fit but shares conversion/upstream lineage</x:v>
      </x:c>
      <x:c r="W261" s="2" t="str">
        <x:v>https://arxiv.org/abs/2511.12104</x:v>
      </x:c>
    </x:row>
    <x:row r="262" ht="23" customHeight="1">
      <x:c r="A262" s="2" t="str">
        <x:v>FSM</x:v>
      </x:c>
      <x:c r="B262" s="2" t="str">
        <x:v>Micronesia (Federated States of)</x:v>
      </x:c>
      <x:c r="C262" s="2" t="str">
        <x:v>TEMPO_FOOTPRINT</x:v>
      </x:c>
      <x:c r="D262" s="2" t="n">
        <x:v>2020</x:v>
      </x:c>
      <x:c r="E262" s="2" t="n">
        <x:v>2023</x:v>
      </x:c>
      <x:c r="F262" s="17" t="n">
        <x:v>2177822.609999999</x:v>
      </x:c>
      <x:c r="G262" s="17" t="n">
        <x:v>2327474.040135418</x:v>
      </x:c>
      <x:c r="H262" s="17" t="n">
        <x:v>2177822.61</x:v>
      </x:c>
      <x:c r="I262" s="17" t="n">
        <x:v>2228182.32</x:v>
      </x:c>
      <x:c r="J262" s="2" t="str">
        <x:v>m2</x:v>
      </x:c>
      <x:c r="K262" s="15" t="n">
        <x:f>IF(AND(ISNUMBER(F262),ISNUMBER(G262),F262&gt;0),G262/F262-1,"n.a.")</x:f>
        <x:v>0.06871607882490438</x:v>
      </x:c>
      <x:c r="L262" s="15" t="n">
        <x:f>IF(AND(N262,ISNUMBER(H262),ISNUMBER(I262),H262&gt;0),I262/H262-1,"n.a.")</x:f>
        <x:v>0.023123880599255964</x:v>
      </x:c>
      <x:c r="M262" s="20" t="n">
        <x:f>IF(AND(ISNUMBER(K262),ISNUMBER(L262)),100*(K262-L262),"n.a.")</x:f>
        <x:v>4.559219822564842</x:v>
      </x:c>
      <x:c r="N262" s="13" t="b">
        <x:v>1</x:v>
      </x:c>
      <x:c r="O262" s="13" t="b">
        <x:v>1</x:v>
      </x:c>
      <x:c r="P262" s="13" t="b">
        <x:v>0</x:v>
      </x:c>
      <x:c r="Q262" s="2" t="str">
        <x:v>none</x:v>
      </x:c>
      <x:c r="R262" s="2" t="str">
        <x:v>none</x:v>
      </x:c>
      <x:c r="S262" s="2" t="str">
        <x:v>nominal Q4 source model estimate</x:v>
      </x:c>
      <x:c r="T262" s="2" t="str">
        <x:v>nominal Q4 source model estimate</x:v>
      </x:c>
      <x:c r="U262" s="2" t="str">
        <x:v>GFA growth versus source physical quantity growth; constant conversion required for equality</x:v>
      </x:c>
      <x:c r="V262" s="2" t="str">
        <x:v>2020 level is the model anchor; 2023 comparator unused by v16 fit but shares conversion/upstream lineage</x:v>
      </x:c>
      <x:c r="W262" s="2" t="str">
        <x:v>https://arxiv.org/abs/2511.12104</x:v>
      </x:c>
    </x:row>
    <x:row r="263" ht="23" customHeight="1">
      <x:c r="A263" s="2" t="str">
        <x:v>GAB</x:v>
      </x:c>
      <x:c r="B263" s="2" t="str">
        <x:v>Gabon (Gabonese Republic)</x:v>
      </x:c>
      <x:c r="C263" s="2" t="str">
        <x:v>TEMPO_FOOTPRINT</x:v>
      </x:c>
      <x:c r="D263" s="2" t="n">
        <x:v>2020</x:v>
      </x:c>
      <x:c r="E263" s="2" t="n">
        <x:v>2023</x:v>
      </x:c>
      <x:c r="F263" s="17" t="n">
        <x:v>73743642.55999996</x:v>
      </x:c>
      <x:c r="G263" s="17" t="n">
        <x:v>80472687.08876044</x:v>
      </x:c>
      <x:c r="H263" s="17" t="n">
        <x:v>73743642.56</x:v>
      </x:c>
      <x:c r="I263" s="17" t="n">
        <x:v>77774183.11</x:v>
      </x:c>
      <x:c r="J263" s="2" t="str">
        <x:v>m2</x:v>
      </x:c>
      <x:c r="K263" s="15" t="n">
        <x:f>IF(AND(ISNUMBER(F263),ISNUMBER(G263),F263&gt;0),G263/F263-1,"n.a.")</x:f>
        <x:v>0.09124914765751546</x:v>
      </x:c>
      <x:c r="L263" s="15" t="n">
        <x:f>IF(AND(N263,ISNUMBER(H263),ISNUMBER(I263),H263&gt;0),I263/H263-1,"n.a.")</x:f>
        <x:v>0.05465610878552174</x:v>
      </x:c>
      <x:c r="M263" s="20" t="n">
        <x:f>IF(AND(ISNUMBER(K263),ISNUMBER(L263)),100*(K263-L263),"n.a.")</x:f>
        <x:v>3.659303887199372</x:v>
      </x:c>
      <x:c r="N263" s="13" t="b">
        <x:v>1</x:v>
      </x:c>
      <x:c r="O263" s="13" t="b">
        <x:v>1</x:v>
      </x:c>
      <x:c r="P263" s="13" t="b">
        <x:v>0</x:v>
      </x:c>
      <x:c r="Q263" s="2" t="str">
        <x:v>none</x:v>
      </x:c>
      <x:c r="R263" s="2" t="str">
        <x:v>none</x:v>
      </x:c>
      <x:c r="S263" s="2" t="str">
        <x:v>nominal Q4 source model estimate</x:v>
      </x:c>
      <x:c r="T263" s="2" t="str">
        <x:v>nominal Q4 source model estimate</x:v>
      </x:c>
      <x:c r="U263" s="2" t="str">
        <x:v>GFA growth versus source physical quantity growth; constant conversion required for equality</x:v>
      </x:c>
      <x:c r="V263" s="2" t="str">
        <x:v>2020 level is the model anchor; 2023 comparator unused by v16 fit but shares conversion/upstream lineage</x:v>
      </x:c>
      <x:c r="W263" s="2" t="str">
        <x:v>https://arxiv.org/abs/2511.12104</x:v>
      </x:c>
    </x:row>
    <x:row r="264" ht="23" customHeight="1">
      <x:c r="A264" s="2" t="str">
        <x:v>GBR</x:v>
      </x:c>
      <x:c r="B264" s="2" t="str">
        <x:v>United Kingdom of Great Britain and Northern Ireland</x:v>
      </x:c>
      <x:c r="C264" s="2" t="str">
        <x:v>TEMPO_FOOTPRINT</x:v>
      </x:c>
      <x:c r="D264" s="2" t="n">
        <x:v>2020</x:v>
      </x:c>
      <x:c r="E264" s="2" t="n">
        <x:v>2023</x:v>
      </x:c>
      <x:c r="F264" s="17" t="n">
        <x:v>3418464510.0900006</x:v>
      </x:c>
      <x:c r="G264" s="17" t="n">
        <x:v>3712529416.016612</x:v>
      </x:c>
      <x:c r="H264" s="17" t="n">
        <x:v>3400930204.99</x:v>
      </x:c>
      <x:c r="I264" s="17" t="n">
        <x:v>3573424932.67</x:v>
      </x:c>
      <x:c r="J264" s="2" t="str">
        <x:v>m2</x:v>
      </x:c>
      <x:c r="K264" s="15" t="n">
        <x:f>IF(AND(ISNUMBER(F264),ISNUMBER(G264),F264&gt;0),G264/F264-1,"n.a.")</x:f>
        <x:v>0.08602251246389847</x:v>
      </x:c>
      <x:c r="L264" s="15" t="n">
        <x:f>IF(AND(N264,ISNUMBER(H264),ISNUMBER(I264),H264&gt;0),I264/H264-1,"n.a.")</x:f>
        <x:v>0.05071986700194797</x:v>
      </x:c>
      <x:c r="M264" s="20" t="n">
        <x:f>IF(AND(ISNUMBER(K264),ISNUMBER(L264)),100*(K264-L264),"n.a.")</x:f>
        <x:v>3.53026454619505</x:v>
      </x:c>
      <x:c r="N264" s="13" t="b">
        <x:v>1</x:v>
      </x:c>
      <x:c r="O264" s="13" t="b">
        <x:v>1</x:v>
      </x:c>
      <x:c r="P264" s="13" t="b">
        <x:v>0</x:v>
      </x:c>
      <x:c r="Q264" s="2" t="str">
        <x:v>none</x:v>
      </x:c>
      <x:c r="R264" s="2" t="str">
        <x:v>none</x:v>
      </x:c>
      <x:c r="S264" s="2" t="str">
        <x:v>nominal Q4 source model estimate</x:v>
      </x:c>
      <x:c r="T264" s="2" t="str">
        <x:v>nominal Q4 source model estimate</x:v>
      </x:c>
      <x:c r="U264" s="2" t="str">
        <x:v>GFA growth versus source physical quantity growth; constant conversion required for equality</x:v>
      </x:c>
      <x:c r="V264" s="2" t="str">
        <x:v>2020 level is the model anchor; 2023 comparator unused by v16 fit but shares conversion/upstream lineage</x:v>
      </x:c>
      <x:c r="W264" s="2" t="str">
        <x:v>https://arxiv.org/abs/2511.12104</x:v>
      </x:c>
    </x:row>
    <x:row r="265" ht="23" customHeight="1">
      <x:c r="A265" s="2" t="str">
        <x:v>GEO</x:v>
      </x:c>
      <x:c r="B265" s="2" t="str">
        <x:v>Georgia</x:v>
      </x:c>
      <x:c r="C265" s="2" t="str">
        <x:v>TEMPO_FOOTPRINT</x:v>
      </x:c>
      <x:c r="D265" s="2" t="n">
        <x:v>2020</x:v>
      </x:c>
      <x:c r="E265" s="2" t="n">
        <x:v>2023</x:v>
      </x:c>
      <x:c r="F265" s="17" t="n">
        <x:v>242256071.04000017</x:v>
      </x:c>
      <x:c r="G265" s="17" t="n">
        <x:v>247964997.94667792</x:v>
      </x:c>
      <x:c r="H265" s="17" t="n">
        <x:v>242256071.04</x:v>
      </x:c>
      <x:c r="I265" s="17" t="n">
        <x:v>256355188.76</x:v>
      </x:c>
      <x:c r="J265" s="2" t="str">
        <x:v>m2</x:v>
      </x:c>
      <x:c r="K265" s="15" t="n">
        <x:f>IF(AND(ISNUMBER(F265),ISNUMBER(G265),F265&gt;0),G265/F265-1,"n.a.")</x:f>
        <x:v>0.02356567116014663</x:v>
      </x:c>
      <x:c r="L265" s="15" t="n">
        <x:f>IF(AND(N265,ISNUMBER(H265),ISNUMBER(I265),H265&gt;0),I265/H265-1,"n.a.")</x:f>
        <x:v>0.058199233808559736</x:v>
      </x:c>
      <x:c r="M265" s="20" t="n">
        <x:f>IF(AND(ISNUMBER(K265),ISNUMBER(L265)),100*(K265-L265),"n.a.")</x:f>
        <x:v>-3.4633562648413108</x:v>
      </x:c>
      <x:c r="N265" s="13" t="b">
        <x:v>1</x:v>
      </x:c>
      <x:c r="O265" s="13" t="b">
        <x:v>1</x:v>
      </x:c>
      <x:c r="P265" s="13" t="b">
        <x:v>0</x:v>
      </x:c>
      <x:c r="Q265" s="2" t="str">
        <x:v>none</x:v>
      </x:c>
      <x:c r="R265" s="2" t="str">
        <x:v>none</x:v>
      </x:c>
      <x:c r="S265" s="2" t="str">
        <x:v>nominal Q4 source model estimate</x:v>
      </x:c>
      <x:c r="T265" s="2" t="str">
        <x:v>nominal Q4 source model estimate</x:v>
      </x:c>
      <x:c r="U265" s="2" t="str">
        <x:v>GFA growth versus source physical quantity growth; constant conversion required for equality</x:v>
      </x:c>
      <x:c r="V265" s="2" t="str">
        <x:v>2020 level is the model anchor; 2023 comparator unused by v16 fit but shares conversion/upstream lineage</x:v>
      </x:c>
      <x:c r="W265" s="2" t="str">
        <x:v>https://arxiv.org/abs/2511.12104</x:v>
      </x:c>
    </x:row>
    <x:row r="266" ht="23" customHeight="1">
      <x:c r="A266" s="2" t="str">
        <x:v>GHA</x:v>
      </x:c>
      <x:c r="B266" s="2" t="str">
        <x:v>Ghana (Republic of)</x:v>
      </x:c>
      <x:c r="C266" s="2" t="str">
        <x:v>TEMPO_FOOTPRINT</x:v>
      </x:c>
      <x:c r="D266" s="2" t="n">
        <x:v>2020</x:v>
      </x:c>
      <x:c r="E266" s="2" t="n">
        <x:v>2023</x:v>
      </x:c>
      <x:c r="F266" s="17" t="n">
        <x:v>958424622.62</x:v>
      </x:c>
      <x:c r="G266" s="17" t="n">
        <x:v>1034825318.9084021</x:v>
      </x:c>
      <x:c r="H266" s="17" t="n">
        <x:v>958424622.62</x:v>
      </x:c>
      <x:c r="I266" s="17" t="n">
        <x:v>1079528033.02</x:v>
      </x:c>
      <x:c r="J266" s="2" t="str">
        <x:v>m2</x:v>
      </x:c>
      <x:c r="K266" s="15" t="n">
        <x:f>IF(AND(ISNUMBER(F266),ISNUMBER(G266),F266&gt;0),G266/F266-1,"n.a.")</x:f>
        <x:v>0.07971487218217455</x:v>
      </x:c>
      <x:c r="L266" s="15" t="n">
        <x:f>IF(AND(N266,ISNUMBER(H266),ISNUMBER(I266),H266&gt;0),I266/H266-1,"n.a.")</x:f>
        <x:v>0.12635673953048632</x:v>
      </x:c>
      <x:c r="M266" s="20" t="n">
        <x:f>IF(AND(ISNUMBER(K266),ISNUMBER(L266)),100*(K266-L266),"n.a.")</x:f>
        <x:v>-4.664186734831177</x:v>
      </x:c>
      <x:c r="N266" s="13" t="b">
        <x:v>1</x:v>
      </x:c>
      <x:c r="O266" s="13" t="b">
        <x:v>1</x:v>
      </x:c>
      <x:c r="P266" s="13" t="b">
        <x:v>0</x:v>
      </x:c>
      <x:c r="Q266" s="2" t="str">
        <x:v>none</x:v>
      </x:c>
      <x:c r="R266" s="2" t="str">
        <x:v>none</x:v>
      </x:c>
      <x:c r="S266" s="2" t="str">
        <x:v>nominal Q4 source model estimate</x:v>
      </x:c>
      <x:c r="T266" s="2" t="str">
        <x:v>nominal Q4 source model estimate</x:v>
      </x:c>
      <x:c r="U266" s="2" t="str">
        <x:v>GFA growth versus source physical quantity growth; constant conversion required for equality</x:v>
      </x:c>
      <x:c r="V266" s="2" t="str">
        <x:v>2020 level is the model anchor; 2023 comparator unused by v16 fit but shares conversion/upstream lineage</x:v>
      </x:c>
      <x:c r="W266" s="2" t="str">
        <x:v>https://arxiv.org/abs/2511.12104</x:v>
      </x:c>
    </x:row>
    <x:row r="267" ht="23" customHeight="1">
      <x:c r="A267" s="2" t="str">
        <x:v>GIN</x:v>
      </x:c>
      <x:c r="B267" s="2" t="str">
        <x:v>Guinea (Republic of)</x:v>
      </x:c>
      <x:c r="C267" s="2" t="str">
        <x:v>TEMPO_FOOTPRINT</x:v>
      </x:c>
      <x:c r="D267" s="2" t="n">
        <x:v>2020</x:v>
      </x:c>
      <x:c r="E267" s="2" t="n">
        <x:v>2023</x:v>
      </x:c>
      <x:c r="F267" s="17" t="n">
        <x:v>277637578.22999954</x:v>
      </x:c>
      <x:c r="G267" s="17" t="n">
        <x:v>306365619.5322375</x:v>
      </x:c>
      <x:c r="H267" s="17" t="n">
        <x:v>277637578.23</x:v>
      </x:c>
      <x:c r="I267" s="17" t="n">
        <x:v>302309654.5</x:v>
      </x:c>
      <x:c r="J267" s="2" t="str">
        <x:v>m2</x:v>
      </x:c>
      <x:c r="K267" s="15" t="n">
        <x:f>IF(AND(ISNUMBER(F267),ISNUMBER(G267),F267&gt;0),G267/F267-1,"n.a.")</x:f>
        <x:v>0.1034731734997314</x:v>
      </x:c>
      <x:c r="L267" s="15" t="n">
        <x:f>IF(AND(N267,ISNUMBER(H267),ISNUMBER(I267),H267&gt;0),I267/H267-1,"n.a.")</x:f>
        <x:v>0.08886432602996264</x:v>
      </x:c>
      <x:c r="M267" s="20" t="n">
        <x:f>IF(AND(ISNUMBER(K267),ISNUMBER(L267)),100*(K267-L267),"n.a.")</x:f>
        <x:v>1.460884746976876</x:v>
      </x:c>
      <x:c r="N267" s="13" t="b">
        <x:v>1</x:v>
      </x:c>
      <x:c r="O267" s="13" t="b">
        <x:v>1</x:v>
      </x:c>
      <x:c r="P267" s="13" t="b">
        <x:v>0</x:v>
      </x:c>
      <x:c r="Q267" s="2" t="str">
        <x:v>none</x:v>
      </x:c>
      <x:c r="R267" s="2" t="str">
        <x:v>none</x:v>
      </x:c>
      <x:c r="S267" s="2" t="str">
        <x:v>nominal Q4 source model estimate</x:v>
      </x:c>
      <x:c r="T267" s="2" t="str">
        <x:v>nominal Q4 source model estimate</x:v>
      </x:c>
      <x:c r="U267" s="2" t="str">
        <x:v>GFA growth versus source physical quantity growth; constant conversion required for equality</x:v>
      </x:c>
      <x:c r="V267" s="2" t="str">
        <x:v>2020 level is the model anchor; 2023 comparator unused by v16 fit but shares conversion/upstream lineage</x:v>
      </x:c>
      <x:c r="W267" s="2" t="str">
        <x:v>https://arxiv.org/abs/2511.12104</x:v>
      </x:c>
    </x:row>
    <x:row r="268" ht="23" customHeight="1">
      <x:c r="A268" s="2" t="str">
        <x:v>GMB</x:v>
      </x:c>
      <x:c r="B268" s="2" t="str">
        <x:v>Gambia (Republic of the)</x:v>
      </x:c>
      <x:c r="C268" s="2" t="str">
        <x:v>TEMPO_FOOTPRINT</x:v>
      </x:c>
      <x:c r="D268" s="2" t="n">
        <x:v>2020</x:v>
      </x:c>
      <x:c r="E268" s="2" t="n">
        <x:v>2023</x:v>
      </x:c>
      <x:c r="F268" s="17" t="n">
        <x:v>56875154.52999992</x:v>
      </x:c>
      <x:c r="G268" s="17" t="n">
        <x:v>62520713.49145536</x:v>
      </x:c>
      <x:c r="H268" s="17" t="n">
        <x:v>56875154.53</x:v>
      </x:c>
      <x:c r="I268" s="17" t="n">
        <x:v>62513278.48</x:v>
      </x:c>
      <x:c r="J268" s="2" t="str">
        <x:v>m2</x:v>
      </x:c>
      <x:c r="K268" s="15" t="n">
        <x:f>IF(AND(ISNUMBER(F268),ISNUMBER(G268),F268&gt;0),G268/F268-1,"n.a.")</x:f>
        <x:v>0.09926230544969483</x:v>
      </x:c>
      <x:c r="L268" s="15" t="n">
        <x:f>IF(AND(N268,ISNUMBER(H268),ISNUMBER(I268),H268&gt;0),I268/H268-1,"n.a.")</x:f>
        <x:v>0.09913158032873648</x:v>
      </x:c>
      <x:c r="M268" s="20" t="n">
        <x:f>IF(AND(ISNUMBER(K268),ISNUMBER(L268)),100*(K268-L268),"n.a.")</x:f>
        <x:v>0.013072512095835265</x:v>
      </x:c>
      <x:c r="N268" s="13" t="b">
        <x:v>1</x:v>
      </x:c>
      <x:c r="O268" s="13" t="b">
        <x:v>1</x:v>
      </x:c>
      <x:c r="P268" s="13" t="b">
        <x:v>0</x:v>
      </x:c>
      <x:c r="Q268" s="2" t="str">
        <x:v>none</x:v>
      </x:c>
      <x:c r="R268" s="2" t="str">
        <x:v>none</x:v>
      </x:c>
      <x:c r="S268" s="2" t="str">
        <x:v>nominal Q4 source model estimate</x:v>
      </x:c>
      <x:c r="T268" s="2" t="str">
        <x:v>nominal Q4 source model estimate</x:v>
      </x:c>
      <x:c r="U268" s="2" t="str">
        <x:v>GFA growth versus source physical quantity growth; constant conversion required for equality</x:v>
      </x:c>
      <x:c r="V268" s="2" t="str">
        <x:v>2020 level is the model anchor; 2023 comparator unused by v16 fit but shares conversion/upstream lineage</x:v>
      </x:c>
      <x:c r="W268" s="2" t="str">
        <x:v>https://arxiv.org/abs/2511.12104</x:v>
      </x:c>
    </x:row>
    <x:row r="269" ht="23" customHeight="1">
      <x:c r="A269" s="2" t="str">
        <x:v>GNB</x:v>
      </x:c>
      <x:c r="B269" s="2" t="str">
        <x:v>Guinea-Bissau (Republic of)</x:v>
      </x:c>
      <x:c r="C269" s="2" t="str">
        <x:v>TEMPO_FOOTPRINT</x:v>
      </x:c>
      <x:c r="D269" s="2" t="n">
        <x:v>2020</x:v>
      </x:c>
      <x:c r="E269" s="2" t="n">
        <x:v>2023</x:v>
      </x:c>
      <x:c r="F269" s="17" t="n">
        <x:v>48952674.499999925</x:v>
      </x:c>
      <x:c r="G269" s="17" t="n">
        <x:v>53947655.779188216</x:v>
      </x:c>
      <x:c r="H269" s="17" t="n">
        <x:v>48952674.5</x:v>
      </x:c>
      <x:c r="I269" s="17" t="n">
        <x:v>49874498.93</x:v>
      </x:c>
      <x:c r="J269" s="2" t="str">
        <x:v>m2</x:v>
      </x:c>
      <x:c r="K269" s="15" t="n">
        <x:f>IF(AND(ISNUMBER(F269),ISNUMBER(G269),F269&gt;0),G269/F269-1,"n.a.")</x:f>
        <x:v>0.10203694343989933</x:v>
      </x:c>
      <x:c r="L269" s="15" t="n">
        <x:f>IF(AND(N269,ISNUMBER(H269),ISNUMBER(I269),H269&gt;0),I269/H269-1,"n.a.")</x:f>
        <x:v>0.018830930882029806</x:v>
      </x:c>
      <x:c r="M269" s="20" t="n">
        <x:f>IF(AND(ISNUMBER(K269),ISNUMBER(L269)),100*(K269-L269),"n.a.")</x:f>
        <x:v>8.320601255786952</x:v>
      </x:c>
      <x:c r="N269" s="13" t="b">
        <x:v>1</x:v>
      </x:c>
      <x:c r="O269" s="13" t="b">
        <x:v>1</x:v>
      </x:c>
      <x:c r="P269" s="13" t="b">
        <x:v>0</x:v>
      </x:c>
      <x:c r="Q269" s="2" t="str">
        <x:v>none</x:v>
      </x:c>
      <x:c r="R269" s="2" t="str">
        <x:v>none</x:v>
      </x:c>
      <x:c r="S269" s="2" t="str">
        <x:v>nominal Q4 source model estimate</x:v>
      </x:c>
      <x:c r="T269" s="2" t="str">
        <x:v>nominal Q4 source model estimate</x:v>
      </x:c>
      <x:c r="U269" s="2" t="str">
        <x:v>GFA growth versus source physical quantity growth; constant conversion required for equality</x:v>
      </x:c>
      <x:c r="V269" s="2" t="str">
        <x:v>2020 level is the model anchor; 2023 comparator unused by v16 fit but shares conversion/upstream lineage</x:v>
      </x:c>
      <x:c r="W269" s="2" t="str">
        <x:v>https://arxiv.org/abs/2511.12104</x:v>
      </x:c>
    </x:row>
    <x:row r="270" ht="23" customHeight="1">
      <x:c r="A270" s="2" t="str">
        <x:v>GNQ</x:v>
      </x:c>
      <x:c r="B270" s="2" t="str">
        <x:v>Equatorial Guinea (Republic of)</x:v>
      </x:c>
      <x:c r="C270" s="2" t="str">
        <x:v>TEMPO_FOOTPRINT</x:v>
      </x:c>
      <x:c r="D270" s="2" t="n">
        <x:v>2020</x:v>
      </x:c>
      <x:c r="E270" s="2" t="n">
        <x:v>2023</x:v>
      </x:c>
      <x:c r="F270" s="17" t="n">
        <x:v>34102626.51999995</x:v>
      </x:c>
      <x:c r="G270" s="17" t="n">
        <x:v>38613248.31957669</x:v>
      </x:c>
      <x:c r="H270" s="17" t="n">
        <x:v>34102626.52</x:v>
      </x:c>
      <x:c r="I270" s="17" t="n">
        <x:v>35119830.56</x:v>
      </x:c>
      <x:c r="J270" s="2" t="str">
        <x:v>m2</x:v>
      </x:c>
      <x:c r="K270" s="15" t="n">
        <x:f>IF(AND(ISNUMBER(F270),ISNUMBER(G270),F270&gt;0),G270/F270-1,"n.a.")</x:f>
        <x:v>0.13226611143664901</x:v>
      </x:c>
      <x:c r="L270" s="15" t="n">
        <x:f>IF(AND(N270,ISNUMBER(H270),ISNUMBER(I270),H270&gt;0),I270/H270-1,"n.a.")</x:f>
        <x:v>0.02982773304582409</x:v>
      </x:c>
      <x:c r="M270" s="20" t="n">
        <x:f>IF(AND(ISNUMBER(K270),ISNUMBER(L270)),100*(K270-L270),"n.a.")</x:f>
        <x:v>10.243837839082492</x:v>
      </x:c>
      <x:c r="N270" s="13" t="b">
        <x:v>1</x:v>
      </x:c>
      <x:c r="O270" s="13" t="b">
        <x:v>1</x:v>
      </x:c>
      <x:c r="P270" s="13" t="b">
        <x:v>0</x:v>
      </x:c>
      <x:c r="Q270" s="2" t="str">
        <x:v>none</x:v>
      </x:c>
      <x:c r="R270" s="2" t="str">
        <x:v>none</x:v>
      </x:c>
      <x:c r="S270" s="2" t="str">
        <x:v>nominal Q4 source model estimate</x:v>
      </x:c>
      <x:c r="T270" s="2" t="str">
        <x:v>nominal Q4 source model estimate</x:v>
      </x:c>
      <x:c r="U270" s="2" t="str">
        <x:v>GFA growth versus source physical quantity growth; constant conversion required for equality</x:v>
      </x:c>
      <x:c r="V270" s="2" t="str">
        <x:v>2020 level is the model anchor; 2023 comparator unused by v16 fit but shares conversion/upstream lineage</x:v>
      </x:c>
      <x:c r="W270" s="2" t="str">
        <x:v>https://arxiv.org/abs/2511.12104</x:v>
      </x:c>
    </x:row>
    <x:row r="271" ht="23" customHeight="1">
      <x:c r="A271" s="2" t="str">
        <x:v>GRC</x:v>
      </x:c>
      <x:c r="B271" s="2" t="str">
        <x:v>Greece (Hellenic Republic)</x:v>
      </x:c>
      <x:c r="C271" s="2" t="str">
        <x:v>TEMPO_FOOTPRINT</x:v>
      </x:c>
      <x:c r="D271" s="2" t="n">
        <x:v>2020</x:v>
      </x:c>
      <x:c r="E271" s="2" t="n">
        <x:v>2023</x:v>
      </x:c>
      <x:c r="F271" s="17" t="n">
        <x:v>853851739.6700008</x:v>
      </x:c>
      <x:c r="G271" s="17" t="n">
        <x:v>878991889.6218495</x:v>
      </x:c>
      <x:c r="H271" s="17" t="n">
        <x:v>853851739.67</x:v>
      </x:c>
      <x:c r="I271" s="17" t="n">
        <x:v>890023645.48</x:v>
      </x:c>
      <x:c r="J271" s="2" t="str">
        <x:v>m2</x:v>
      </x:c>
      <x:c r="K271" s="15" t="n">
        <x:f>IF(AND(ISNUMBER(F271),ISNUMBER(G271),F271&gt;0),G271/F271-1,"n.a.")</x:f>
        <x:v>0.029443226246239185</x:v>
      </x:c>
      <x:c r="L271" s="15" t="n">
        <x:f>IF(AND(N271,ISNUMBER(H271),ISNUMBER(I271),H271&gt;0),I271/H271-1,"n.a.")</x:f>
        <x:v>0.042363216152701</x:v>
      </x:c>
      <x:c r="M271" s="20" t="n">
        <x:f>IF(AND(ISNUMBER(K271),ISNUMBER(L271)),100*(K271-L271),"n.a.")</x:f>
        <x:v>-1.2919989906461815</x:v>
      </x:c>
      <x:c r="N271" s="13" t="b">
        <x:v>1</x:v>
      </x:c>
      <x:c r="O271" s="13" t="b">
        <x:v>1</x:v>
      </x:c>
      <x:c r="P271" s="13" t="b">
        <x:v>0</x:v>
      </x:c>
      <x:c r="Q271" s="2" t="str">
        <x:v>none</x:v>
      </x:c>
      <x:c r="R271" s="2" t="str">
        <x:v>none</x:v>
      </x:c>
      <x:c r="S271" s="2" t="str">
        <x:v>nominal Q4 source model estimate</x:v>
      </x:c>
      <x:c r="T271" s="2" t="str">
        <x:v>nominal Q4 source model estimate</x:v>
      </x:c>
      <x:c r="U271" s="2" t="str">
        <x:v>GFA growth versus source physical quantity growth; constant conversion required for equality</x:v>
      </x:c>
      <x:c r="V271" s="2" t="str">
        <x:v>2020 level is the model anchor; 2023 comparator unused by v16 fit but shares conversion/upstream lineage</x:v>
      </x:c>
      <x:c r="W271" s="2" t="str">
        <x:v>https://arxiv.org/abs/2511.12104</x:v>
      </x:c>
    </x:row>
    <x:row r="272" ht="23" customHeight="1">
      <x:c r="A272" s="2" t="str">
        <x:v>GRD</x:v>
      </x:c>
      <x:c r="B272" s="2" t="str">
        <x:v>Grenada</x:v>
      </x:c>
      <x:c r="C272" s="2" t="str">
        <x:v>TEMPO_FOOTPRINT</x:v>
      </x:c>
      <x:c r="D272" s="2" t="n">
        <x:v>2020</x:v>
      </x:c>
      <x:c r="E272" s="2" t="n">
        <x:v>2023</x:v>
      </x:c>
      <x:c r="F272" s="17" t="n">
        <x:v>6904998.419999993</x:v>
      </x:c>
      <x:c r="G272" s="17" t="n">
        <x:v>7180368.844334662</x:v>
      </x:c>
      <x:c r="H272" s="17" t="n">
        <x:v>6904998.42</x:v>
      </x:c>
      <x:c r="I272" s="17" t="n">
        <x:v>7250430.92</x:v>
      </x:c>
      <x:c r="J272" s="2" t="str">
        <x:v>m2</x:v>
      </x:c>
      <x:c r="K272" s="15" t="n">
        <x:f>IF(AND(ISNUMBER(F272),ISNUMBER(G272),F272&gt;0),G272/F272-1,"n.a.")</x:f>
        <x:v>0.03987986782691677</x:v>
      </x:c>
      <x:c r="L272" s="15" t="n">
        <x:f>IF(AND(N272,ISNUMBER(H272),ISNUMBER(I272),H272&gt;0),I272/H272-1,"n.a.")</x:f>
        <x:v>0.05002644157013436</x:v>
      </x:c>
      <x:c r="M272" s="20" t="n">
        <x:f>IF(AND(ISNUMBER(K272),ISNUMBER(L272)),100*(K272-L272),"n.a.")</x:f>
        <x:v>-1.014657374321759</x:v>
      </x:c>
      <x:c r="N272" s="13" t="b">
        <x:v>1</x:v>
      </x:c>
      <x:c r="O272" s="13" t="b">
        <x:v>1</x:v>
      </x:c>
      <x:c r="P272" s="13" t="b">
        <x:v>0</x:v>
      </x:c>
      <x:c r="Q272" s="2" t="str">
        <x:v>none</x:v>
      </x:c>
      <x:c r="R272" s="2" t="str">
        <x:v>none</x:v>
      </x:c>
      <x:c r="S272" s="2" t="str">
        <x:v>nominal Q4 source model estimate</x:v>
      </x:c>
      <x:c r="T272" s="2" t="str">
        <x:v>nominal Q4 source model estimate</x:v>
      </x:c>
      <x:c r="U272" s="2" t="str">
        <x:v>GFA growth versus source physical quantity growth; constant conversion required for equality</x:v>
      </x:c>
      <x:c r="V272" s="2" t="str">
        <x:v>2020 level is the model anchor; 2023 comparator unused by v16 fit but shares conversion/upstream lineage</x:v>
      </x:c>
      <x:c r="W272" s="2" t="str">
        <x:v>https://arxiv.org/abs/2511.12104</x:v>
      </x:c>
    </x:row>
    <x:row r="273" ht="23" customHeight="1">
      <x:c r="A273" s="2" t="str">
        <x:v>GTM</x:v>
      </x:c>
      <x:c r="B273" s="2" t="str">
        <x:v>Guatemala (Republic of)</x:v>
      </x:c>
      <x:c r="C273" s="2" t="str">
        <x:v>TEMPO_FOOTPRINT</x:v>
      </x:c>
      <x:c r="D273" s="2" t="n">
        <x:v>2020</x:v>
      </x:c>
      <x:c r="E273" s="2" t="n">
        <x:v>2023</x:v>
      </x:c>
      <x:c r="F273" s="17" t="n">
        <x:v>599114028.8099989</x:v>
      </x:c>
      <x:c r="G273" s="17" t="n">
        <x:v>647754969.24808</x:v>
      </x:c>
      <x:c r="H273" s="17" t="n">
        <x:v>599114028.81</x:v>
      </x:c>
      <x:c r="I273" s="17" t="n">
        <x:v>655326350.78</x:v>
      </x:c>
      <x:c r="J273" s="2" t="str">
        <x:v>m2</x:v>
      </x:c>
      <x:c r="K273" s="15" t="n">
        <x:f>IF(AND(ISNUMBER(F273),ISNUMBER(G273),F273&gt;0),G273/F273-1,"n.a.")</x:f>
        <x:v>0.08118811795259595</x:v>
      </x:c>
      <x:c r="L273" s="15" t="n">
        <x:f>IF(AND(N273,ISNUMBER(H273),ISNUMBER(I273),H273&gt;0),I273/H273-1,"n.a.")</x:f>
        <x:v>0.09382574813287659</x:v>
      </x:c>
      <x:c r="M273" s="20" t="n">
        <x:f>IF(AND(ISNUMBER(K273),ISNUMBER(L273)),100*(K273-L273),"n.a.")</x:f>
        <x:v>-1.2637630180280635</x:v>
      </x:c>
      <x:c r="N273" s="13" t="b">
        <x:v>1</x:v>
      </x:c>
      <x:c r="O273" s="13" t="b">
        <x:v>1</x:v>
      </x:c>
      <x:c r="P273" s="13" t="b">
        <x:v>0</x:v>
      </x:c>
      <x:c r="Q273" s="2" t="str">
        <x:v>none</x:v>
      </x:c>
      <x:c r="R273" s="2" t="str">
        <x:v>none</x:v>
      </x:c>
      <x:c r="S273" s="2" t="str">
        <x:v>nominal Q4 source model estimate</x:v>
      </x:c>
      <x:c r="T273" s="2" t="str">
        <x:v>nominal Q4 source model estimate</x:v>
      </x:c>
      <x:c r="U273" s="2" t="str">
        <x:v>GFA growth versus source physical quantity growth; constant conversion required for equality</x:v>
      </x:c>
      <x:c r="V273" s="2" t="str">
        <x:v>2020 level is the model anchor; 2023 comparator unused by v16 fit but shares conversion/upstream lineage</x:v>
      </x:c>
      <x:c r="W273" s="2" t="str">
        <x:v>https://arxiv.org/abs/2511.12104</x:v>
      </x:c>
    </x:row>
    <x:row r="274" ht="23" customHeight="1">
      <x:c r="A274" s="2" t="str">
        <x:v>GUY</x:v>
      </x:c>
      <x:c r="B274" s="2" t="str">
        <x:v>Guyana (Co-operative Republic of)</x:v>
      </x:c>
      <x:c r="C274" s="2" t="str">
        <x:v>TEMPO_FOOTPRINT</x:v>
      </x:c>
      <x:c r="D274" s="2" t="n">
        <x:v>2020</x:v>
      </x:c>
      <x:c r="E274" s="2" t="n">
        <x:v>2023</x:v>
      </x:c>
      <x:c r="F274" s="17" t="n">
        <x:v>46462035.66000002</x:v>
      </x:c>
      <x:c r="G274" s="17" t="n">
        <x:v>49798430.03803689</x:v>
      </x:c>
      <x:c r="H274" s="17" t="n">
        <x:v>46462035.66</x:v>
      </x:c>
      <x:c r="I274" s="17" t="n">
        <x:v>49163715.5</x:v>
      </x:c>
      <x:c r="J274" s="2" t="str">
        <x:v>m2</x:v>
      </x:c>
      <x:c r="K274" s="15" t="n">
        <x:f>IF(AND(ISNUMBER(F274),ISNUMBER(G274),F274&gt;0),G274/F274-1,"n.a.")</x:f>
        <x:v>0.07180904432280899</x:v>
      </x:c>
      <x:c r="L274" s="15" t="n">
        <x:f>IF(AND(N274,ISNUMBER(H274),ISNUMBER(I274),H274&gt;0),I274/H274-1,"n.a.")</x:f>
        <x:v>0.05814811601821246</x:v>
      </x:c>
      <x:c r="M274" s="20" t="n">
        <x:f>IF(AND(ISNUMBER(K274),ISNUMBER(L274)),100*(K274-L274),"n.a.")</x:f>
        <x:v>1.3660928304596531</x:v>
      </x:c>
      <x:c r="N274" s="13" t="b">
        <x:v>1</x:v>
      </x:c>
      <x:c r="O274" s="13" t="b">
        <x:v>1</x:v>
      </x:c>
      <x:c r="P274" s="13" t="b">
        <x:v>0</x:v>
      </x:c>
      <x:c r="Q274" s="2" t="str">
        <x:v>none</x:v>
      </x:c>
      <x:c r="R274" s="2" t="str">
        <x:v>none</x:v>
      </x:c>
      <x:c r="S274" s="2" t="str">
        <x:v>nominal Q4 source model estimate</x:v>
      </x:c>
      <x:c r="T274" s="2" t="str">
        <x:v>nominal Q4 source model estimate</x:v>
      </x:c>
      <x:c r="U274" s="2" t="str">
        <x:v>GFA growth versus source physical quantity growth; constant conversion required for equality</x:v>
      </x:c>
      <x:c r="V274" s="2" t="str">
        <x:v>2020 level is the model anchor; 2023 comparator unused by v16 fit but shares conversion/upstream lineage</x:v>
      </x:c>
      <x:c r="W274" s="2" t="str">
        <x:v>https://arxiv.org/abs/2511.12104</x:v>
      </x:c>
    </x:row>
    <x:row r="275" ht="23" customHeight="1">
      <x:c r="A275" s="2" t="str">
        <x:v>HND</x:v>
      </x:c>
      <x:c r="B275" s="2" t="str">
        <x:v>Honduras (Republic of)</x:v>
      </x:c>
      <x:c r="C275" s="2" t="str">
        <x:v>TEMPO_FOOTPRINT</x:v>
      </x:c>
      <x:c r="D275" s="2" t="n">
        <x:v>2020</x:v>
      </x:c>
      <x:c r="E275" s="2" t="n">
        <x:v>2023</x:v>
      </x:c>
      <x:c r="F275" s="17" t="n">
        <x:v>335660713.2700002</x:v>
      </x:c>
      <x:c r="G275" s="17" t="n">
        <x:v>364439508.79973423</x:v>
      </x:c>
      <x:c r="H275" s="17" t="n">
        <x:v>335660713.27</x:v>
      </x:c>
      <x:c r="I275" s="17" t="n">
        <x:v>364417328.07</x:v>
      </x:c>
      <x:c r="J275" s="2" t="str">
        <x:v>m2</x:v>
      </x:c>
      <x:c r="K275" s="15" t="n">
        <x:f>IF(AND(ISNUMBER(F275),ISNUMBER(G275),F275&gt;0),G275/F275-1,"n.a.")</x:f>
        <x:v>0.0857377536065258</x:v>
      </x:c>
      <x:c r="L275" s="15" t="n">
        <x:f>IF(AND(N275,ISNUMBER(H275),ISNUMBER(I275),H275&gt;0),I275/H275-1,"n.a.")</x:f>
        <x:v>0.08567167280273469</x:v>
      </x:c>
      <x:c r="M275" s="20" t="n">
        <x:f>IF(AND(ISNUMBER(K275),ISNUMBER(L275)),100*(K275-L275),"n.a.")</x:f>
        <x:v>0.006608080379111314</x:v>
      </x:c>
      <x:c r="N275" s="13" t="b">
        <x:v>1</x:v>
      </x:c>
      <x:c r="O275" s="13" t="b">
        <x:v>1</x:v>
      </x:c>
      <x:c r="P275" s="13" t="b">
        <x:v>0</x:v>
      </x:c>
      <x:c r="Q275" s="2" t="str">
        <x:v>none</x:v>
      </x:c>
      <x:c r="R275" s="2" t="str">
        <x:v>none</x:v>
      </x:c>
      <x:c r="S275" s="2" t="str">
        <x:v>nominal Q4 source model estimate</x:v>
      </x:c>
      <x:c r="T275" s="2" t="str">
        <x:v>nominal Q4 source model estimate</x:v>
      </x:c>
      <x:c r="U275" s="2" t="str">
        <x:v>GFA growth versus source physical quantity growth; constant conversion required for equality</x:v>
      </x:c>
      <x:c r="V275" s="2" t="str">
        <x:v>2020 level is the model anchor; 2023 comparator unused by v16 fit but shares conversion/upstream lineage</x:v>
      </x:c>
      <x:c r="W275" s="2" t="str">
        <x:v>https://arxiv.org/abs/2511.12104</x:v>
      </x:c>
    </x:row>
    <x:row r="276" ht="23" customHeight="1">
      <x:c r="A276" s="2" t="str">
        <x:v>HRV</x:v>
      </x:c>
      <x:c r="B276" s="2" t="str">
        <x:v>Croatia (Republic of)</x:v>
      </x:c>
      <x:c r="C276" s="2" t="str">
        <x:v>TEMPO_FOOTPRINT</x:v>
      </x:c>
      <x:c r="D276" s="2" t="n">
        <x:v>2020</x:v>
      </x:c>
      <x:c r="E276" s="2" t="n">
        <x:v>2023</x:v>
      </x:c>
      <x:c r="F276" s="17" t="n">
        <x:v>361520718.4299994</x:v>
      </x:c>
      <x:c r="G276" s="17" t="n">
        <x:v>369349142.65656567</x:v>
      </x:c>
      <x:c r="H276" s="17" t="n">
        <x:v>361520718.43</x:v>
      </x:c>
      <x:c r="I276" s="17" t="n">
        <x:v>380643014.24</x:v>
      </x:c>
      <x:c r="J276" s="2" t="str">
        <x:v>m2</x:v>
      </x:c>
      <x:c r="K276" s="15" t="n">
        <x:f>IF(AND(ISNUMBER(F276),ISNUMBER(G276),F276&gt;0),G276/F276-1,"n.a.")</x:f>
        <x:v>0.02165415100015089</x:v>
      </x:c>
      <x:c r="L276" s="15" t="n">
        <x:f>IF(AND(N276,ISNUMBER(H276),ISNUMBER(I276),H276&gt;0),I276/H276-1,"n.a.")</x:f>
        <x:v>0.0528940523603838</x:v>
      </x:c>
      <x:c r="M276" s="20" t="n">
        <x:f>IF(AND(ISNUMBER(K276),ISNUMBER(L276)),100*(K276-L276),"n.a.")</x:f>
        <x:v>-3.1239901360232913</x:v>
      </x:c>
      <x:c r="N276" s="13" t="b">
        <x:v>1</x:v>
      </x:c>
      <x:c r="O276" s="13" t="b">
        <x:v>1</x:v>
      </x:c>
      <x:c r="P276" s="13" t="b">
        <x:v>0</x:v>
      </x:c>
      <x:c r="Q276" s="2" t="str">
        <x:v>none</x:v>
      </x:c>
      <x:c r="R276" s="2" t="str">
        <x:v>none</x:v>
      </x:c>
      <x:c r="S276" s="2" t="str">
        <x:v>nominal Q4 source model estimate</x:v>
      </x:c>
      <x:c r="T276" s="2" t="str">
        <x:v>nominal Q4 source model estimate</x:v>
      </x:c>
      <x:c r="U276" s="2" t="str">
        <x:v>GFA growth versus source physical quantity growth; constant conversion required for equality</x:v>
      </x:c>
      <x:c r="V276" s="2" t="str">
        <x:v>2020 level is the model anchor; 2023 comparator unused by v16 fit but shares conversion/upstream lineage</x:v>
      </x:c>
      <x:c r="W276" s="2" t="str">
        <x:v>https://arxiv.org/abs/2511.12104</x:v>
      </x:c>
    </x:row>
    <x:row r="277" ht="23" customHeight="1">
      <x:c r="A277" s="2" t="str">
        <x:v>HTI</x:v>
      </x:c>
      <x:c r="B277" s="2" t="str">
        <x:v>Haiti (Republic of)</x:v>
      </x:c>
      <x:c r="C277" s="2" t="str">
        <x:v>TEMPO_FOOTPRINT</x:v>
      </x:c>
      <x:c r="D277" s="2" t="n">
        <x:v>2020</x:v>
      </x:c>
      <x:c r="E277" s="2" t="n">
        <x:v>2023</x:v>
      </x:c>
      <x:c r="F277" s="17" t="n">
        <x:v>189002396.5400002</x:v>
      </x:c>
      <x:c r="G277" s="17" t="n">
        <x:v>209148379.48343772</x:v>
      </x:c>
      <x:c r="H277" s="17" t="n">
        <x:v>189002396.54</x:v>
      </x:c>
      <x:c r="I277" s="17" t="n">
        <x:v>199836091.86</x:v>
      </x:c>
      <x:c r="J277" s="2" t="str">
        <x:v>m2</x:v>
      </x:c>
      <x:c r="K277" s="15" t="n">
        <x:f>IF(AND(ISNUMBER(F277),ISNUMBER(G277),F277&gt;0),G277/F277-1,"n.a.")</x:f>
        <x:v>0.10659115075915904</x:v>
      </x:c>
      <x:c r="L277" s="15" t="n">
        <x:f>IF(AND(N277,ISNUMBER(H277),ISNUMBER(I277),H277&gt;0),I277/H277-1,"n.a.")</x:f>
        <x:v>0.05732041243036412</x:v>
      </x:c>
      <x:c r="M277" s="20" t="n">
        <x:f>IF(AND(ISNUMBER(K277),ISNUMBER(L277)),100*(K277-L277),"n.a.")</x:f>
        <x:v>4.927073832879492</x:v>
      </x:c>
      <x:c r="N277" s="13" t="b">
        <x:v>1</x:v>
      </x:c>
      <x:c r="O277" s="13" t="b">
        <x:v>1</x:v>
      </x:c>
      <x:c r="P277" s="13" t="b">
        <x:v>0</x:v>
      </x:c>
      <x:c r="Q277" s="2" t="str">
        <x:v>none</x:v>
      </x:c>
      <x:c r="R277" s="2" t="str">
        <x:v>none</x:v>
      </x:c>
      <x:c r="S277" s="2" t="str">
        <x:v>nominal Q4 source model estimate</x:v>
      </x:c>
      <x:c r="T277" s="2" t="str">
        <x:v>nominal Q4 source model estimate</x:v>
      </x:c>
      <x:c r="U277" s="2" t="str">
        <x:v>GFA growth versus source physical quantity growth; constant conversion required for equality</x:v>
      </x:c>
      <x:c r="V277" s="2" t="str">
        <x:v>2020 level is the model anchor; 2023 comparator unused by v16 fit but shares conversion/upstream lineage</x:v>
      </x:c>
      <x:c r="W277" s="2" t="str">
        <x:v>https://arxiv.org/abs/2511.12104</x:v>
      </x:c>
    </x:row>
    <x:row r="278" ht="23" customHeight="1">
      <x:c r="A278" s="2" t="str">
        <x:v>HUN</x:v>
      </x:c>
      <x:c r="B278" s="2" t="str">
        <x:v>Hungary</x:v>
      </x:c>
      <x:c r="C278" s="2" t="str">
        <x:v>TEMPO_FOOTPRINT</x:v>
      </x:c>
      <x:c r="D278" s="2" t="n">
        <x:v>2020</x:v>
      </x:c>
      <x:c r="E278" s="2" t="n">
        <x:v>2023</x:v>
      </x:c>
      <x:c r="F278" s="17" t="n">
        <x:v>853072780.5300013</x:v>
      </x:c>
      <x:c r="G278" s="17" t="n">
        <x:v>883797573.1256319</x:v>
      </x:c>
      <x:c r="H278" s="17" t="n">
        <x:v>853072780.53</x:v>
      </x:c>
      <x:c r="I278" s="17" t="n">
        <x:v>903090760.9</x:v>
      </x:c>
      <x:c r="J278" s="2" t="str">
        <x:v>m2</x:v>
      </x:c>
      <x:c r="K278" s="15" t="n">
        <x:f>IF(AND(ISNUMBER(F278),ISNUMBER(G278),F278&gt;0),G278/F278-1,"n.a.")</x:f>
        <x:v>0.03601661346707341</x:v>
      </x:c>
      <x:c r="L278" s="15" t="n">
        <x:f>IF(AND(N278,ISNUMBER(H278),ISNUMBER(I278),H278&gt;0),I278/H278-1,"n.a.")</x:f>
        <x:v>0.058632723387241015</x:v>
      </x:c>
      <x:c r="M278" s="20" t="n">
        <x:f>IF(AND(ISNUMBER(K278),ISNUMBER(L278)),100*(K278-L278),"n.a.")</x:f>
        <x:v>-2.2616109920167604</x:v>
      </x:c>
      <x:c r="N278" s="13" t="b">
        <x:v>1</x:v>
      </x:c>
      <x:c r="O278" s="13" t="b">
        <x:v>1</x:v>
      </x:c>
      <x:c r="P278" s="13" t="b">
        <x:v>0</x:v>
      </x:c>
      <x:c r="Q278" s="2" t="str">
        <x:v>none</x:v>
      </x:c>
      <x:c r="R278" s="2" t="str">
        <x:v>none</x:v>
      </x:c>
      <x:c r="S278" s="2" t="str">
        <x:v>nominal Q4 source model estimate</x:v>
      </x:c>
      <x:c r="T278" s="2" t="str">
        <x:v>nominal Q4 source model estimate</x:v>
      </x:c>
      <x:c r="U278" s="2" t="str">
        <x:v>GFA growth versus source physical quantity growth; constant conversion required for equality</x:v>
      </x:c>
      <x:c r="V278" s="2" t="str">
        <x:v>2020 level is the model anchor; 2023 comparator unused by v16 fit but shares conversion/upstream lineage</x:v>
      </x:c>
      <x:c r="W278" s="2" t="str">
        <x:v>https://arxiv.org/abs/2511.12104</x:v>
      </x:c>
    </x:row>
    <x:row r="279" ht="23" customHeight="1">
      <x:c r="A279" s="2" t="str">
        <x:v>IDN</x:v>
      </x:c>
      <x:c r="B279" s="2" t="str">
        <x:v>Indonesia (Republic of)</x:v>
      </x:c>
      <x:c r="C279" s="2" t="str">
        <x:v>TEMPO_FOOTPRINT</x:v>
      </x:c>
      <x:c r="D279" s="2" t="n">
        <x:v>2020</x:v>
      </x:c>
      <x:c r="E279" s="2" t="n">
        <x:v>2023</x:v>
      </x:c>
      <x:c r="F279" s="17" t="n">
        <x:v>10794355074.089985</x:v>
      </x:c>
      <x:c r="G279" s="17" t="n">
        <x:v>11646095553.226633</x:v>
      </x:c>
      <x:c r="H279" s="17" t="n">
        <x:v>10794355074.09</x:v>
      </x:c>
      <x:c r="I279" s="17" t="n">
        <x:v>11473877386.57</x:v>
      </x:c>
      <x:c r="J279" s="2" t="str">
        <x:v>m2</x:v>
      </x:c>
      <x:c r="K279" s="15" t="n">
        <x:f>IF(AND(ISNUMBER(F279),ISNUMBER(G279),F279&gt;0),G279/F279-1,"n.a.")</x:f>
        <x:v>0.07890610168838208</x:v>
      </x:c>
      <x:c r="L279" s="15" t="n">
        <x:f>IF(AND(N279,ISNUMBER(H279),ISNUMBER(I279),H279&gt;0),I279/H279-1,"n.a.")</x:f>
        <x:v>0.06295163609274601</x:v>
      </x:c>
      <x:c r="M279" s="20" t="n">
        <x:f>IF(AND(ISNUMBER(K279),ISNUMBER(L279)),100*(K279-L279),"n.a.")</x:f>
        <x:v>1.595446559563607</x:v>
      </x:c>
      <x:c r="N279" s="13" t="b">
        <x:v>1</x:v>
      </x:c>
      <x:c r="O279" s="13" t="b">
        <x:v>1</x:v>
      </x:c>
      <x:c r="P279" s="13" t="b">
        <x:v>0</x:v>
      </x:c>
      <x:c r="Q279" s="2" t="str">
        <x:v>none</x:v>
      </x:c>
      <x:c r="R279" s="2" t="str">
        <x:v>none</x:v>
      </x:c>
      <x:c r="S279" s="2" t="str">
        <x:v>nominal Q4 source model estimate</x:v>
      </x:c>
      <x:c r="T279" s="2" t="str">
        <x:v>nominal Q4 source model estimate</x:v>
      </x:c>
      <x:c r="U279" s="2" t="str">
        <x:v>GFA growth versus source physical quantity growth; constant conversion required for equality</x:v>
      </x:c>
      <x:c r="V279" s="2" t="str">
        <x:v>2020 level is the model anchor; 2023 comparator unused by v16 fit but shares conversion/upstream lineage</x:v>
      </x:c>
      <x:c r="W279" s="2" t="str">
        <x:v>https://arxiv.org/abs/2511.12104</x:v>
      </x:c>
    </x:row>
    <x:row r="280" ht="23" customHeight="1">
      <x:c r="A280" s="2" t="str">
        <x:v>IND</x:v>
      </x:c>
      <x:c r="B280" s="2" t="str">
        <x:v>India (Republic of)</x:v>
      </x:c>
      <x:c r="C280" s="2" t="str">
        <x:v>TEMPO_FOOTPRINT</x:v>
      </x:c>
      <x:c r="D280" s="2" t="n">
        <x:v>2020</x:v>
      </x:c>
      <x:c r="E280" s="2" t="n">
        <x:v>2023</x:v>
      </x:c>
      <x:c r="F280" s="17" t="n">
        <x:v>27853638424.040043</x:v>
      </x:c>
      <x:c r="G280" s="17" t="n">
        <x:v>30710239600.452385</x:v>
      </x:c>
      <x:c r="H280" s="17" t="n">
        <x:v>27853638424.04</x:v>
      </x:c>
      <x:c r="I280" s="17" t="n">
        <x:v>29243910723.05</x:v>
      </x:c>
      <x:c r="J280" s="2" t="str">
        <x:v>m2</x:v>
      </x:c>
      <x:c r="K280" s="15" t="n">
        <x:f>IF(AND(ISNUMBER(F280),ISNUMBER(G280),F280&gt;0),G280/F280-1,"n.a.")</x:f>
        <x:v>0.1025575593724537</x:v>
      </x:c>
      <x:c r="L280" s="15" t="n">
        <x:f>IF(AND(N280,ISNUMBER(H280),ISNUMBER(I280),H280&gt;0),I280/H280-1,"n.a.")</x:f>
        <x:v>0.04991348985883581</x:v>
      </x:c>
      <x:c r="M280" s="20" t="n">
        <x:f>IF(AND(ISNUMBER(K280),ISNUMBER(L280)),100*(K280-L280),"n.a.")</x:f>
        <x:v>5.264406951361789</x:v>
      </x:c>
      <x:c r="N280" s="13" t="b">
        <x:v>1</x:v>
      </x:c>
      <x:c r="O280" s="13" t="b">
        <x:v>1</x:v>
      </x:c>
      <x:c r="P280" s="13" t="b">
        <x:v>0</x:v>
      </x:c>
      <x:c r="Q280" s="2" t="str">
        <x:v>none</x:v>
      </x:c>
      <x:c r="R280" s="2" t="str">
        <x:v>none</x:v>
      </x:c>
      <x:c r="S280" s="2" t="str">
        <x:v>nominal Q4 source model estimate</x:v>
      </x:c>
      <x:c r="T280" s="2" t="str">
        <x:v>nominal Q4 source model estimate</x:v>
      </x:c>
      <x:c r="U280" s="2" t="str">
        <x:v>GFA growth versus source physical quantity growth; constant conversion required for equality</x:v>
      </x:c>
      <x:c r="V280" s="2" t="str">
        <x:v>2020 level is the model anchor; 2023 comparator unused by v16 fit but shares conversion/upstream lineage</x:v>
      </x:c>
      <x:c r="W280" s="2" t="str">
        <x:v>https://arxiv.org/abs/2511.12104</x:v>
      </x:c>
    </x:row>
    <x:row r="281" ht="23" customHeight="1">
      <x:c r="A281" s="2" t="str">
        <x:v>IRL</x:v>
      </x:c>
      <x:c r="B281" s="2" t="str">
        <x:v>Ireland</x:v>
      </x:c>
      <x:c r="C281" s="2" t="str">
        <x:v>TEMPO_FOOTPRINT</x:v>
      </x:c>
      <x:c r="D281" s="2" t="n">
        <x:v>2020</x:v>
      </x:c>
      <x:c r="E281" s="2" t="n">
        <x:v>2023</x:v>
      </x:c>
      <x:c r="F281" s="17" t="n">
        <x:v>426553619.39999974</x:v>
      </x:c>
      <x:c r="G281" s="17" t="n">
        <x:v>453550056.5667838</x:v>
      </x:c>
      <x:c r="H281" s="17" t="n">
        <x:v>426553619.4</x:v>
      </x:c>
      <x:c r="I281" s="17" t="n">
        <x:v>449407443.08</x:v>
      </x:c>
      <x:c r="J281" s="2" t="str">
        <x:v>m2</x:v>
      </x:c>
      <x:c r="K281" s="15" t="n">
        <x:f>IF(AND(ISNUMBER(F281),ISNUMBER(G281),F281&gt;0),G281/F281-1,"n.a.")</x:f>
        <x:v>0.0632896684940989</x:v>
      </x:c>
      <x:c r="L281" s="15" t="n">
        <x:f>IF(AND(N281,ISNUMBER(H281),ISNUMBER(I281),H281&gt;0),I281/H281-1,"n.a.")</x:f>
        <x:v>0.05357784494279216</x:v>
      </x:c>
      <x:c r="M281" s="20" t="n">
        <x:f>IF(AND(ISNUMBER(K281),ISNUMBER(L281)),100*(K281-L281),"n.a.")</x:f>
        <x:v>0.9711823551306731</x:v>
      </x:c>
      <x:c r="N281" s="13" t="b">
        <x:v>1</x:v>
      </x:c>
      <x:c r="O281" s="13" t="b">
        <x:v>1</x:v>
      </x:c>
      <x:c r="P281" s="13" t="b">
        <x:v>0</x:v>
      </x:c>
      <x:c r="Q281" s="2" t="str">
        <x:v>none</x:v>
      </x:c>
      <x:c r="R281" s="2" t="str">
        <x:v>none</x:v>
      </x:c>
      <x:c r="S281" s="2" t="str">
        <x:v>nominal Q4 source model estimate</x:v>
      </x:c>
      <x:c r="T281" s="2" t="str">
        <x:v>nominal Q4 source model estimate</x:v>
      </x:c>
      <x:c r="U281" s="2" t="str">
        <x:v>GFA growth versus source physical quantity growth; constant conversion required for equality</x:v>
      </x:c>
      <x:c r="V281" s="2" t="str">
        <x:v>2020 level is the model anchor; 2023 comparator unused by v16 fit but shares conversion/upstream lineage</x:v>
      </x:c>
      <x:c r="W281" s="2" t="str">
        <x:v>https://arxiv.org/abs/2511.12104</x:v>
      </x:c>
    </x:row>
    <x:row r="282" ht="23" customHeight="1">
      <x:c r="A282" s="2" t="str">
        <x:v>IRN</x:v>
      </x:c>
      <x:c r="B282" s="2" t="str">
        <x:v>Iran (Islamic Republic of)</x:v>
      </x:c>
      <x:c r="C282" s="2" t="str">
        <x:v>TEMPO_FOOTPRINT</x:v>
      </x:c>
      <x:c r="D282" s="2" t="n">
        <x:v>2020</x:v>
      </x:c>
      <x:c r="E282" s="2" t="n">
        <x:v>2023</x:v>
      </x:c>
      <x:c r="F282" s="17" t="n">
        <x:v>3753827768.770001</x:v>
      </x:c>
      <x:c r="G282" s="17" t="n">
        <x:v>4092887896.004569</x:v>
      </x:c>
      <x:c r="H282" s="17" t="n">
        <x:v>3695850551.99</x:v>
      </x:c>
      <x:c r="I282" s="17" t="n">
        <x:v>4002194084.17</x:v>
      </x:c>
      <x:c r="J282" s="2" t="str">
        <x:v>m2</x:v>
      </x:c>
      <x:c r="K282" s="15" t="n">
        <x:f>IF(AND(ISNUMBER(F282),ISNUMBER(G282),F282&gt;0),G282/F282-1,"n.a.")</x:f>
        <x:v>0.09032383692597223</x:v>
      </x:c>
      <x:c r="L282" s="15" t="n">
        <x:f>IF(AND(N282,ISNUMBER(H282),ISNUMBER(I282),H282&gt;0),I282/H282-1,"n.a.")</x:f>
        <x:v>0.08288850641296963</x:v>
      </x:c>
      <x:c r="M282" s="20" t="n">
        <x:f>IF(AND(ISNUMBER(K282),ISNUMBER(L282)),100*(K282-L282),"n.a.")</x:f>
        <x:v>0.7435330513002603</x:v>
      </x:c>
      <x:c r="N282" s="13" t="b">
        <x:v>1</x:v>
      </x:c>
      <x:c r="O282" s="13" t="b">
        <x:v>1</x:v>
      </x:c>
      <x:c r="P282" s="13" t="b">
        <x:v>0</x:v>
      </x:c>
      <x:c r="Q282" s="2" t="str">
        <x:v>none</x:v>
      </x:c>
      <x:c r="R282" s="2" t="str">
        <x:v>none</x:v>
      </x:c>
      <x:c r="S282" s="2" t="str">
        <x:v>nominal Q4 source model estimate</x:v>
      </x:c>
      <x:c r="T282" s="2" t="str">
        <x:v>nominal Q4 source model estimate</x:v>
      </x:c>
      <x:c r="U282" s="2" t="str">
        <x:v>GFA growth versus source physical quantity growth; constant conversion required for equality</x:v>
      </x:c>
      <x:c r="V282" s="2" t="str">
        <x:v>2020 level is the model anchor; 2023 comparator unused by v16 fit but shares conversion/upstream lineage</x:v>
      </x:c>
      <x:c r="W282" s="2" t="str">
        <x:v>https://arxiv.org/abs/2511.12104</x:v>
      </x:c>
    </x:row>
    <x:row r="283" ht="23" customHeight="1">
      <x:c r="A283" s="2" t="str">
        <x:v>IRQ</x:v>
      </x:c>
      <x:c r="B283" s="2" t="str">
        <x:v>Iraq (Republic of)</x:v>
      </x:c>
      <x:c r="C283" s="2" t="str">
        <x:v>TEMPO_FOOTPRINT</x:v>
      </x:c>
      <x:c r="D283" s="2" t="n">
        <x:v>2020</x:v>
      </x:c>
      <x:c r="E283" s="2" t="n">
        <x:v>2023</x:v>
      </x:c>
      <x:c r="F283" s="17" t="n">
        <x:v>1226955244.870001</x:v>
      </x:c>
      <x:c r="G283" s="17" t="n">
        <x:v>1368221797.4819076</x:v>
      </x:c>
      <x:c r="H283" s="17" t="n">
        <x:v>1226955244.87</x:v>
      </x:c>
      <x:c r="I283" s="17" t="n">
        <x:v>1387601146.59</x:v>
      </x:c>
      <x:c r="J283" s="2" t="str">
        <x:v>m2</x:v>
      </x:c>
      <x:c r="K283" s="15" t="n">
        <x:f>IF(AND(ISNUMBER(F283),ISNUMBER(G283),F283&gt;0),G283/F283-1,"n.a.")</x:f>
        <x:v>0.1151358643296514</x:v>
      </x:c>
      <x:c r="L283" s="15" t="n">
        <x:f>IF(AND(N283,ISNUMBER(H283),ISNUMBER(I283),H283&gt;0),I283/H283-1,"n.a.")</x:f>
        <x:v>0.13093053099668772</x:v>
      </x:c>
      <x:c r="M283" s="20" t="n">
        <x:f>IF(AND(ISNUMBER(K283),ISNUMBER(L283)),100*(K283-L283),"n.a.")</x:f>
        <x:v>-1.5794666667036328</x:v>
      </x:c>
      <x:c r="N283" s="13" t="b">
        <x:v>1</x:v>
      </x:c>
      <x:c r="O283" s="13" t="b">
        <x:v>1</x:v>
      </x:c>
      <x:c r="P283" s="13" t="b">
        <x:v>0</x:v>
      </x:c>
      <x:c r="Q283" s="2" t="str">
        <x:v>none</x:v>
      </x:c>
      <x:c r="R283" s="2" t="str">
        <x:v>none</x:v>
      </x:c>
      <x:c r="S283" s="2" t="str">
        <x:v>nominal Q4 source model estimate</x:v>
      </x:c>
      <x:c r="T283" s="2" t="str">
        <x:v>nominal Q4 source model estimate</x:v>
      </x:c>
      <x:c r="U283" s="2" t="str">
        <x:v>GFA growth versus source physical quantity growth; constant conversion required for equality</x:v>
      </x:c>
      <x:c r="V283" s="2" t="str">
        <x:v>2020 level is the model anchor; 2023 comparator unused by v16 fit but shares conversion/upstream lineage</x:v>
      </x:c>
      <x:c r="W283" s="2" t="str">
        <x:v>https://arxiv.org/abs/2511.12104</x:v>
      </x:c>
    </x:row>
    <x:row r="284" ht="23" customHeight="1">
      <x:c r="A284" s="2" t="str">
        <x:v>ISL</x:v>
      </x:c>
      <x:c r="B284" s="2" t="str">
        <x:v>Iceland</x:v>
      </x:c>
      <x:c r="C284" s="2" t="str">
        <x:v>TEMPO_FOOTPRINT</x:v>
      </x:c>
      <x:c r="D284" s="2" t="n">
        <x:v>2020</x:v>
      </x:c>
      <x:c r="E284" s="2" t="n">
        <x:v>2023</x:v>
      </x:c>
      <x:c r="F284" s="17" t="n">
        <x:v>26377629.56999999</x:v>
      </x:c>
      <x:c r="G284" s="17" t="n">
        <x:v>29802140.79216753</x:v>
      </x:c>
      <x:c r="H284" s="17" t="n">
        <x:v>24141007.67</x:v>
      </x:c>
      <x:c r="I284" s="17" t="n">
        <x:v>24750039.07</x:v>
      </x:c>
      <x:c r="J284" s="2" t="str">
        <x:v>m2</x:v>
      </x:c>
      <x:c r="K284" s="15" t="n">
        <x:f>IF(AND(ISNUMBER(F284),ISNUMBER(G284),F284&gt;0),G284/F284-1,"n.a.")</x:f>
        <x:v>0.12982634444386654</x:v>
      </x:c>
      <x:c r="L284" s="15" t="n">
        <x:f>IF(AND(N284,ISNUMBER(H284),ISNUMBER(I284),H284&gt;0),I284/H284-1,"n.a.")</x:f>
        <x:v>0.02522808526989695</x:v>
      </x:c>
      <x:c r="M284" s="20" t="n">
        <x:f>IF(AND(ISNUMBER(K284),ISNUMBER(L284)),100*(K284-L284),"n.a.")</x:f>
        <x:v>10.459825917396959</x:v>
      </x:c>
      <x:c r="N284" s="13" t="b">
        <x:v>1</x:v>
      </x:c>
      <x:c r="O284" s="13" t="b">
        <x:v>1</x:v>
      </x:c>
      <x:c r="P284" s="13" t="b">
        <x:v>0</x:v>
      </x:c>
      <x:c r="Q284" s="2" t="str">
        <x:v>none</x:v>
      </x:c>
      <x:c r="R284" s="2" t="str">
        <x:v>none</x:v>
      </x:c>
      <x:c r="S284" s="2" t="str">
        <x:v>nominal Q4 source model estimate</x:v>
      </x:c>
      <x:c r="T284" s="2" t="str">
        <x:v>nominal Q4 source model estimate</x:v>
      </x:c>
      <x:c r="U284" s="2" t="str">
        <x:v>GFA growth versus source physical quantity growth; constant conversion required for equality</x:v>
      </x:c>
      <x:c r="V284" s="2" t="str">
        <x:v>2020 level is the model anchor; 2023 comparator unused by v16 fit but shares conversion/upstream lineage</x:v>
      </x:c>
      <x:c r="W284" s="2" t="str">
        <x:v>https://arxiv.org/abs/2511.12104</x:v>
      </x:c>
    </x:row>
    <x:row r="285" ht="23" customHeight="1">
      <x:c r="A285" s="2" t="str">
        <x:v>ISR</x:v>
      </x:c>
      <x:c r="B285" s="2" t="str">
        <x:v>Israel (State of)</x:v>
      </x:c>
      <x:c r="C285" s="2" t="str">
        <x:v>TEMPO_FOOTPRINT</x:v>
      </x:c>
      <x:c r="D285" s="2" t="n">
        <x:v>2020</x:v>
      </x:c>
      <x:c r="E285" s="2" t="n">
        <x:v>2023</x:v>
      </x:c>
      <x:c r="F285" s="17" t="n">
        <x:v>372353983.1399999</x:v>
      </x:c>
      <x:c r="G285" s="17" t="n">
        <x:v>409812102.4425136</x:v>
      </x:c>
      <x:c r="H285" s="17" t="n">
        <x:v>357032950.94</x:v>
      </x:c>
      <x:c r="I285" s="17" t="n">
        <x:v>371189456.32</x:v>
      </x:c>
      <x:c r="J285" s="2" t="str">
        <x:v>m2</x:v>
      </x:c>
      <x:c r="K285" s="15" t="n">
        <x:f>IF(AND(ISNUMBER(F285),ISNUMBER(G285),F285&gt;0),G285/F285-1,"n.a.")</x:f>
        <x:v>0.1005981431610734</x:v>
      </x:c>
      <x:c r="L285" s="15" t="n">
        <x:f>IF(AND(N285,ISNUMBER(H285),ISNUMBER(I285),H285&gt;0),I285/H285-1,"n.a.")</x:f>
        <x:v>0.0396504169789611</x:v>
      </x:c>
      <x:c r="M285" s="20" t="n">
        <x:f>IF(AND(ISNUMBER(K285),ISNUMBER(L285)),100*(K285-L285),"n.a.")</x:f>
        <x:v>6.0947726182112305</x:v>
      </x:c>
      <x:c r="N285" s="13" t="b">
        <x:v>1</x:v>
      </x:c>
      <x:c r="O285" s="13" t="b">
        <x:v>1</x:v>
      </x:c>
      <x:c r="P285" s="13" t="b">
        <x:v>0</x:v>
      </x:c>
      <x:c r="Q285" s="2" t="str">
        <x:v>none</x:v>
      </x:c>
      <x:c r="R285" s="2" t="str">
        <x:v>none</x:v>
      </x:c>
      <x:c r="S285" s="2" t="str">
        <x:v>nominal Q4 source model estimate</x:v>
      </x:c>
      <x:c r="T285" s="2" t="str">
        <x:v>nominal Q4 source model estimate</x:v>
      </x:c>
      <x:c r="U285" s="2" t="str">
        <x:v>GFA growth versus source physical quantity growth; constant conversion required for equality</x:v>
      </x:c>
      <x:c r="V285" s="2" t="str">
        <x:v>2020 level is the model anchor; 2023 comparator unused by v16 fit but shares conversion/upstream lineage</x:v>
      </x:c>
      <x:c r="W285" s="2" t="str">
        <x:v>https://arxiv.org/abs/2511.12104</x:v>
      </x:c>
    </x:row>
    <x:row r="286" ht="23" customHeight="1">
      <x:c r="A286" s="2" t="str">
        <x:v>ITA</x:v>
      </x:c>
      <x:c r="B286" s="2" t="str">
        <x:v>Italy (Italian Republic)</x:v>
      </x:c>
      <x:c r="C286" s="2" t="str">
        <x:v>TEMPO_FOOTPRINT</x:v>
      </x:c>
      <x:c r="D286" s="2" t="n">
        <x:v>2020</x:v>
      </x:c>
      <x:c r="E286" s="2" t="n">
        <x:v>2023</x:v>
      </x:c>
      <x:c r="F286" s="17" t="n">
        <x:v>5000634293.290002</x:v>
      </x:c>
      <x:c r="G286" s="17" t="n">
        <x:v>5351931681.161436</x:v>
      </x:c>
      <x:c r="H286" s="17" t="n">
        <x:v>4711304092.61</x:v>
      </x:c>
      <x:c r="I286" s="17" t="n">
        <x:v>4839220082.25</x:v>
      </x:c>
      <x:c r="J286" s="2" t="str">
        <x:v>m2</x:v>
      </x:c>
      <x:c r="K286" s="15" t="n">
        <x:f>IF(AND(ISNUMBER(F286),ISNUMBER(G286),F286&gt;0),G286/F286-1,"n.a.")</x:f>
        <x:v>0.07025056568180066</x:v>
      </x:c>
      <x:c r="L286" s="15" t="n">
        <x:f>IF(AND(N286,ISNUMBER(H286),ISNUMBER(I286),H286&gt;0),I286/H286-1,"n.a.")</x:f>
        <x:v>0.027150866750597746</x:v>
      </x:c>
      <x:c r="M286" s="20" t="n">
        <x:f>IF(AND(ISNUMBER(K286),ISNUMBER(L286)),100*(K286-L286),"n.a.")</x:f>
        <x:v>4.309969893120291</x:v>
      </x:c>
      <x:c r="N286" s="13" t="b">
        <x:v>1</x:v>
      </x:c>
      <x:c r="O286" s="13" t="b">
        <x:v>1</x:v>
      </x:c>
      <x:c r="P286" s="13" t="b">
        <x:v>0</x:v>
      </x:c>
      <x:c r="Q286" s="2" t="str">
        <x:v>none</x:v>
      </x:c>
      <x:c r="R286" s="2" t="str">
        <x:v>none</x:v>
      </x:c>
      <x:c r="S286" s="2" t="str">
        <x:v>nominal Q4 source model estimate</x:v>
      </x:c>
      <x:c r="T286" s="2" t="str">
        <x:v>nominal Q4 source model estimate</x:v>
      </x:c>
      <x:c r="U286" s="2" t="str">
        <x:v>GFA growth versus source physical quantity growth; constant conversion required for equality</x:v>
      </x:c>
      <x:c r="V286" s="2" t="str">
        <x:v>2020 level is the model anchor; 2023 comparator unused by v16 fit but shares conversion/upstream lineage</x:v>
      </x:c>
      <x:c r="W286" s="2" t="str">
        <x:v>https://arxiv.org/abs/2511.12104</x:v>
      </x:c>
    </x:row>
    <x:row r="287" ht="23" customHeight="1">
      <x:c r="A287" s="2" t="str">
        <x:v>JAM</x:v>
      </x:c>
      <x:c r="B287" s="2" t="str">
        <x:v>Jamaica</x:v>
      </x:c>
      <x:c r="C287" s="2" t="str">
        <x:v>TEMPO_FOOTPRINT</x:v>
      </x:c>
      <x:c r="D287" s="2" t="n">
        <x:v>2020</x:v>
      </x:c>
      <x:c r="E287" s="2" t="n">
        <x:v>2023</x:v>
      </x:c>
      <x:c r="F287" s="17" t="n">
        <x:v>133338245.18999992</x:v>
      </x:c>
      <x:c r="G287" s="17" t="n">
        <x:v>138645959.96013302</x:v>
      </x:c>
      <x:c r="H287" s="17" t="n">
        <x:v>133338245.19</x:v>
      </x:c>
      <x:c r="I287" s="17" t="n">
        <x:v>139540116.51</x:v>
      </x:c>
      <x:c r="J287" s="2" t="str">
        <x:v>m2</x:v>
      </x:c>
      <x:c r="K287" s="15" t="n">
        <x:f>IF(AND(ISNUMBER(F287),ISNUMBER(G287),F287&gt;0),G287/F287-1,"n.a.")</x:f>
        <x:v>0.03980639435122213</x:v>
      </x:c>
      <x:c r="L287" s="15" t="n">
        <x:f>IF(AND(N287,ISNUMBER(H287),ISNUMBER(I287),H287&gt;0),I287/H287-1,"n.a.")</x:f>
        <x:v>0.046512321436078974</x:v>
      </x:c>
      <x:c r="M287" s="20" t="n">
        <x:f>IF(AND(ISNUMBER(K287),ISNUMBER(L287)),100*(K287-L287),"n.a.")</x:f>
        <x:v>-0.6705927084856844</x:v>
      </x:c>
      <x:c r="N287" s="13" t="b">
        <x:v>1</x:v>
      </x:c>
      <x:c r="O287" s="13" t="b">
        <x:v>1</x:v>
      </x:c>
      <x:c r="P287" s="13" t="b">
        <x:v>0</x:v>
      </x:c>
      <x:c r="Q287" s="2" t="str">
        <x:v>none</x:v>
      </x:c>
      <x:c r="R287" s="2" t="str">
        <x:v>none</x:v>
      </x:c>
      <x:c r="S287" s="2" t="str">
        <x:v>nominal Q4 source model estimate</x:v>
      </x:c>
      <x:c r="T287" s="2" t="str">
        <x:v>nominal Q4 source model estimate</x:v>
      </x:c>
      <x:c r="U287" s="2" t="str">
        <x:v>GFA growth versus source physical quantity growth; constant conversion required for equality</x:v>
      </x:c>
      <x:c r="V287" s="2" t="str">
        <x:v>2020 level is the model anchor; 2023 comparator unused by v16 fit but shares conversion/upstream lineage</x:v>
      </x:c>
      <x:c r="W287" s="2" t="str">
        <x:v>https://arxiv.org/abs/2511.12104</x:v>
      </x:c>
    </x:row>
    <x:row r="288" ht="23" customHeight="1">
      <x:c r="A288" s="2" t="str">
        <x:v>JOR</x:v>
      </x:c>
      <x:c r="B288" s="2" t="str">
        <x:v>Jordan (Hashemite Kingdom of)</x:v>
      </x:c>
      <x:c r="C288" s="2" t="str">
        <x:v>TEMPO_FOOTPRINT</x:v>
      </x:c>
      <x:c r="D288" s="2" t="n">
        <x:v>2020</x:v>
      </x:c>
      <x:c r="E288" s="2" t="n">
        <x:v>2023</x:v>
      </x:c>
      <x:c r="F288" s="17" t="n">
        <x:v>279172690.0000002</x:v>
      </x:c>
      <x:c r="G288" s="17" t="n">
        <x:v>311291115.8472091</x:v>
      </x:c>
      <x:c r="H288" s="17" t="n">
        <x:v>275983857.16</x:v>
      </x:c>
      <x:c r="I288" s="17" t="n">
        <x:v>294586270.26</x:v>
      </x:c>
      <x:c r="J288" s="2" t="str">
        <x:v>m2</x:v>
      </x:c>
      <x:c r="K288" s="15" t="n">
        <x:f>IF(AND(ISNUMBER(F288),ISNUMBER(G288),F288&gt;0),G288/F288-1,"n.a.")</x:f>
        <x:v>0.11504859535941314</x:v>
      </x:c>
      <x:c r="L288" s="15" t="n">
        <x:f>IF(AND(N288,ISNUMBER(H288),ISNUMBER(I288),H288&gt;0),I288/H288-1,"n.a.")</x:f>
        <x:v>0.06740398982544593</x:v>
      </x:c>
      <x:c r="M288" s="20" t="n">
        <x:f>IF(AND(ISNUMBER(K288),ISNUMBER(L288)),100*(K288-L288),"n.a.")</x:f>
        <x:v>4.764460553396721</x:v>
      </x:c>
      <x:c r="N288" s="13" t="b">
        <x:v>1</x:v>
      </x:c>
      <x:c r="O288" s="13" t="b">
        <x:v>1</x:v>
      </x:c>
      <x:c r="P288" s="13" t="b">
        <x:v>0</x:v>
      </x:c>
      <x:c r="Q288" s="2" t="str">
        <x:v>none</x:v>
      </x:c>
      <x:c r="R288" s="2" t="str">
        <x:v>none</x:v>
      </x:c>
      <x:c r="S288" s="2" t="str">
        <x:v>nominal Q4 source model estimate</x:v>
      </x:c>
      <x:c r="T288" s="2" t="str">
        <x:v>nominal Q4 source model estimate</x:v>
      </x:c>
      <x:c r="U288" s="2" t="str">
        <x:v>GFA growth versus source physical quantity growth; constant conversion required for equality</x:v>
      </x:c>
      <x:c r="V288" s="2" t="str">
        <x:v>2020 level is the model anchor; 2023 comparator unused by v16 fit but shares conversion/upstream lineage</x:v>
      </x:c>
      <x:c r="W288" s="2" t="str">
        <x:v>https://arxiv.org/abs/2511.12104</x:v>
      </x:c>
    </x:row>
    <x:row r="289" ht="23" customHeight="1">
      <x:c r="A289" s="2" t="str">
        <x:v>JPN</x:v>
      </x:c>
      <x:c r="B289" s="2" t="str">
        <x:v>Japan</x:v>
      </x:c>
      <x:c r="C289" s="2" t="str">
        <x:v>TEMPO_FOOTPRINT</x:v>
      </x:c>
      <x:c r="D289" s="2" t="n">
        <x:v>2020</x:v>
      </x:c>
      <x:c r="E289" s="2" t="n">
        <x:v>2023</x:v>
      </x:c>
      <x:c r="F289" s="17" t="n">
        <x:v>8341228241.779989</x:v>
      </x:c>
      <x:c r="G289" s="17" t="n">
        <x:v>8538031893.713573</x:v>
      </x:c>
      <x:c r="H289" s="17" t="n">
        <x:v>8076054059.79</x:v>
      </x:c>
      <x:c r="I289" s="17" t="n">
        <x:v>8288206941.58</x:v>
      </x:c>
      <x:c r="J289" s="2" t="str">
        <x:v>m2</x:v>
      </x:c>
      <x:c r="K289" s="15" t="n">
        <x:f>IF(AND(ISNUMBER(F289),ISNUMBER(G289),F289&gt;0),G289/F289-1,"n.a.")</x:f>
        <x:v>0.023594085454684333</x:v>
      </x:c>
      <x:c r="L289" s="15" t="n">
        <x:f>IF(AND(N289,ISNUMBER(H289),ISNUMBER(I289),H289&gt;0),I289/H289-1,"n.a.")</x:f>
        <x:v>0.026269373659382866</x:v>
      </x:c>
      <x:c r="M289" s="20" t="n">
        <x:f>IF(AND(ISNUMBER(K289),ISNUMBER(L289)),100*(K289-L289),"n.a.")</x:f>
        <x:v>-0.2675288204698534</x:v>
      </x:c>
      <x:c r="N289" s="13" t="b">
        <x:v>1</x:v>
      </x:c>
      <x:c r="O289" s="13" t="b">
        <x:v>1</x:v>
      </x:c>
      <x:c r="P289" s="13" t="b">
        <x:v>0</x:v>
      </x:c>
      <x:c r="Q289" s="2" t="str">
        <x:v>none</x:v>
      </x:c>
      <x:c r="R289" s="2" t="str">
        <x:v>none</x:v>
      </x:c>
      <x:c r="S289" s="2" t="str">
        <x:v>nominal Q4 source model estimate</x:v>
      </x:c>
      <x:c r="T289" s="2" t="str">
        <x:v>nominal Q4 source model estimate</x:v>
      </x:c>
      <x:c r="U289" s="2" t="str">
        <x:v>GFA growth versus source physical quantity growth; constant conversion required for equality</x:v>
      </x:c>
      <x:c r="V289" s="2" t="str">
        <x:v>2020 level is the model anchor; 2023 comparator unused by v16 fit but shares conversion/upstream lineage</x:v>
      </x:c>
      <x:c r="W289" s="2" t="str">
        <x:v>https://arxiv.org/abs/2511.12104</x:v>
      </x:c>
    </x:row>
    <x:row r="290" ht="23" customHeight="1">
      <x:c r="A290" s="2" t="str">
        <x:v>KAZ</x:v>
      </x:c>
      <x:c r="B290" s="2" t="str">
        <x:v>Kazakhstan (Republic of)</x:v>
      </x:c>
      <x:c r="C290" s="2" t="str">
        <x:v>TEMPO_FOOTPRINT</x:v>
      </x:c>
      <x:c r="D290" s="2" t="n">
        <x:v>2020</x:v>
      </x:c>
      <x:c r="E290" s="2" t="n">
        <x:v>2023</x:v>
      </x:c>
      <x:c r="F290" s="17" t="n">
        <x:v>1009034692.9700016</x:v>
      </x:c>
      <x:c r="G290" s="17" t="n">
        <x:v>1066734433.6354417</x:v>
      </x:c>
      <x:c r="H290" s="17" t="n">
        <x:v>1009034692.97</x:v>
      </x:c>
      <x:c r="I290" s="17" t="n">
        <x:v>1106837370.56</x:v>
      </x:c>
      <x:c r="J290" s="2" t="str">
        <x:v>m2</x:v>
      </x:c>
      <x:c r="K290" s="15" t="n">
        <x:f>IF(AND(ISNUMBER(F290),ISNUMBER(G290),F290&gt;0),G290/F290-1,"n.a.")</x:f>
        <x:v>0.0571831088340542</x:v>
      </x:c>
      <x:c r="L290" s="15" t="n">
        <x:f>IF(AND(N290,ISNUMBER(H290),ISNUMBER(I290),H290&gt;0),I290/H290-1,"n.a.")</x:f>
        <x:v>0.09692697215605817</x:v>
      </x:c>
      <x:c r="M290" s="20" t="n">
        <x:f>IF(AND(ISNUMBER(K290),ISNUMBER(L290)),100*(K290-L290),"n.a.")</x:f>
        <x:v>-3.974386332200397</x:v>
      </x:c>
      <x:c r="N290" s="13" t="b">
        <x:v>1</x:v>
      </x:c>
      <x:c r="O290" s="13" t="b">
        <x:v>1</x:v>
      </x:c>
      <x:c r="P290" s="13" t="b">
        <x:v>0</x:v>
      </x:c>
      <x:c r="Q290" s="2" t="str">
        <x:v>none</x:v>
      </x:c>
      <x:c r="R290" s="2" t="str">
        <x:v>none</x:v>
      </x:c>
      <x:c r="S290" s="2" t="str">
        <x:v>nominal Q4 source model estimate</x:v>
      </x:c>
      <x:c r="T290" s="2" t="str">
        <x:v>nominal Q4 source model estimate</x:v>
      </x:c>
      <x:c r="U290" s="2" t="str">
        <x:v>GFA growth versus source physical quantity growth; constant conversion required for equality</x:v>
      </x:c>
      <x:c r="V290" s="2" t="str">
        <x:v>2020 level is the model anchor; 2023 comparator unused by v16 fit but shares conversion/upstream lineage</x:v>
      </x:c>
      <x:c r="W290" s="2" t="str">
        <x:v>https://arxiv.org/abs/2511.12104</x:v>
      </x:c>
    </x:row>
    <x:row r="291" ht="23" customHeight="1">
      <x:c r="A291" s="2" t="str">
        <x:v>KEN</x:v>
      </x:c>
      <x:c r="B291" s="2" t="str">
        <x:v>Kenya (Republic of)</x:v>
      </x:c>
      <x:c r="C291" s="2" t="str">
        <x:v>TEMPO_FOOTPRINT</x:v>
      </x:c>
      <x:c r="D291" s="2" t="n">
        <x:v>2020</x:v>
      </x:c>
      <x:c r="E291" s="2" t="n">
        <x:v>2023</x:v>
      </x:c>
      <x:c r="F291" s="17" t="n">
        <x:v>1180050447.52</x:v>
      </x:c>
      <x:c r="G291" s="17" t="n">
        <x:v>1279332476.0834823</x:v>
      </x:c>
      <x:c r="H291" s="17" t="n">
        <x:v>1180050447.52</x:v>
      </x:c>
      <x:c r="I291" s="17" t="n">
        <x:v>1295570584.12</x:v>
      </x:c>
      <x:c r="J291" s="2" t="str">
        <x:v>m2</x:v>
      </x:c>
      <x:c r="K291" s="15" t="n">
        <x:f>IF(AND(ISNUMBER(F291),ISNUMBER(G291),F291&gt;0),G291/F291-1,"n.a.")</x:f>
        <x:v>0.08413371544592341</x:v>
      </x:c>
      <x:c r="L291" s="15" t="n">
        <x:f>IF(AND(N291,ISNUMBER(H291),ISNUMBER(I291),H291&gt;0),I291/H291-1,"n.a.")</x:f>
        <x:v>0.09789423565982092</x:v>
      </x:c>
      <x:c r="M291" s="20" t="n">
        <x:f>IF(AND(ISNUMBER(K291),ISNUMBER(L291)),100*(K291-L291),"n.a.")</x:f>
        <x:v>-1.376052021389751</x:v>
      </x:c>
      <x:c r="N291" s="13" t="b">
        <x:v>1</x:v>
      </x:c>
      <x:c r="O291" s="13" t="b">
        <x:v>1</x:v>
      </x:c>
      <x:c r="P291" s="13" t="b">
        <x:v>0</x:v>
      </x:c>
      <x:c r="Q291" s="2" t="str">
        <x:v>none</x:v>
      </x:c>
      <x:c r="R291" s="2" t="str">
        <x:v>none</x:v>
      </x:c>
      <x:c r="S291" s="2" t="str">
        <x:v>nominal Q4 source model estimate</x:v>
      </x:c>
      <x:c r="T291" s="2" t="str">
        <x:v>nominal Q4 source model estimate</x:v>
      </x:c>
      <x:c r="U291" s="2" t="str">
        <x:v>GFA growth versus source physical quantity growth; constant conversion required for equality</x:v>
      </x:c>
      <x:c r="V291" s="2" t="str">
        <x:v>2020 level is the model anchor; 2023 comparator unused by v16 fit but shares conversion/upstream lineage</x:v>
      </x:c>
      <x:c r="W291" s="2" t="str">
        <x:v>https://arxiv.org/abs/2511.12104</x:v>
      </x:c>
    </x:row>
    <x:row r="292" ht="23" customHeight="1">
      <x:c r="A292" s="2" t="str">
        <x:v>KGZ</x:v>
      </x:c>
      <x:c r="B292" s="2" t="str">
        <x:v>Kyrgyzstan (Kyrgyz Republic)</x:v>
      </x:c>
      <x:c r="C292" s="2" t="str">
        <x:v>TEMPO_FOOTPRINT</x:v>
      </x:c>
      <x:c r="D292" s="2" t="n">
        <x:v>2020</x:v>
      </x:c>
      <x:c r="E292" s="2" t="n">
        <x:v>2023</x:v>
      </x:c>
      <x:c r="F292" s="17" t="n">
        <x:v>332236534.37000054</x:v>
      </x:c>
      <x:c r="G292" s="17" t="n">
        <x:v>352616082.1877337</x:v>
      </x:c>
      <x:c r="H292" s="17" t="n">
        <x:v>332236534.37</x:v>
      </x:c>
      <x:c r="I292" s="17" t="n">
        <x:v>366574260.6</x:v>
      </x:c>
      <x:c r="J292" s="2" t="str">
        <x:v>m2</x:v>
      </x:c>
      <x:c r="K292" s="15" t="n">
        <x:f>IF(AND(ISNUMBER(F292),ISNUMBER(G292),F292&gt;0),G292/F292-1,"n.a.")</x:f>
        <x:v>0.061340477971146834</x:v>
      </x:c>
      <x:c r="L292" s="15" t="n">
        <x:f>IF(AND(N292,ISNUMBER(H292),ISNUMBER(I292),H292&gt;0),I292/H292-1,"n.a.")</x:f>
        <x:v>0.10335325190865174</x:v>
      </x:c>
      <x:c r="M292" s="20" t="n">
        <x:f>IF(AND(ISNUMBER(K292),ISNUMBER(L292)),100*(K292-L292),"n.a.")</x:f>
        <x:v>-4.201277393750491</x:v>
      </x:c>
      <x:c r="N292" s="13" t="b">
        <x:v>1</x:v>
      </x:c>
      <x:c r="O292" s="13" t="b">
        <x:v>1</x:v>
      </x:c>
      <x:c r="P292" s="13" t="b">
        <x:v>0</x:v>
      </x:c>
      <x:c r="Q292" s="2" t="str">
        <x:v>none</x:v>
      </x:c>
      <x:c r="R292" s="2" t="str">
        <x:v>none</x:v>
      </x:c>
      <x:c r="S292" s="2" t="str">
        <x:v>nominal Q4 source model estimate</x:v>
      </x:c>
      <x:c r="T292" s="2" t="str">
        <x:v>nominal Q4 source model estimate</x:v>
      </x:c>
      <x:c r="U292" s="2" t="str">
        <x:v>GFA growth versus source physical quantity growth; constant conversion required for equality</x:v>
      </x:c>
      <x:c r="V292" s="2" t="str">
        <x:v>2020 level is the model anchor; 2023 comparator unused by v16 fit but shares conversion/upstream lineage</x:v>
      </x:c>
      <x:c r="W292" s="2" t="str">
        <x:v>https://arxiv.org/abs/2511.12104</x:v>
      </x:c>
    </x:row>
    <x:row r="293" ht="23" customHeight="1">
      <x:c r="A293" s="2" t="str">
        <x:v>KHM</x:v>
      </x:c>
      <x:c r="B293" s="2" t="str">
        <x:v>Cambodia (Kingdom of)</x:v>
      </x:c>
      <x:c r="C293" s="2" t="str">
        <x:v>TEMPO_FOOTPRINT</x:v>
      </x:c>
      <x:c r="D293" s="2" t="n">
        <x:v>2020</x:v>
      </x:c>
      <x:c r="E293" s="2" t="n">
        <x:v>2023</x:v>
      </x:c>
      <x:c r="F293" s="17" t="n">
        <x:v>672933221.830001</x:v>
      </x:c>
      <x:c r="G293" s="17" t="n">
        <x:v>729563330.9318277</x:v>
      </x:c>
      <x:c r="H293" s="17" t="n">
        <x:v>672933221.83</x:v>
      </x:c>
      <x:c r="I293" s="17" t="n">
        <x:v>785745718.18</x:v>
      </x:c>
      <x:c r="J293" s="2" t="str">
        <x:v>m2</x:v>
      </x:c>
      <x:c r="K293" s="15" t="n">
        <x:f>IF(AND(ISNUMBER(F293),ISNUMBER(G293),F293&gt;0),G293/F293-1,"n.a.")</x:f>
        <x:v>0.08415412891612717</x:v>
      </x:c>
      <x:c r="L293" s="15" t="n">
        <x:f>IF(AND(N293,ISNUMBER(H293),ISNUMBER(I293),H293&gt;0),I293/H293-1,"n.a.")</x:f>
        <x:v>0.16764292903122446</x:v>
      </x:c>
      <x:c r="M293" s="20" t="n">
        <x:f>IF(AND(ISNUMBER(K293),ISNUMBER(L293)),100*(K293-L293),"n.a.")</x:f>
        <x:v>-8.34888001150973</x:v>
      </x:c>
      <x:c r="N293" s="13" t="b">
        <x:v>1</x:v>
      </x:c>
      <x:c r="O293" s="13" t="b">
        <x:v>1</x:v>
      </x:c>
      <x:c r="P293" s="13" t="b">
        <x:v>0</x:v>
      </x:c>
      <x:c r="Q293" s="2" t="str">
        <x:v>none</x:v>
      </x:c>
      <x:c r="R293" s="2" t="str">
        <x:v>none</x:v>
      </x:c>
      <x:c r="S293" s="2" t="str">
        <x:v>nominal Q4 source model estimate</x:v>
      </x:c>
      <x:c r="T293" s="2" t="str">
        <x:v>nominal Q4 source model estimate</x:v>
      </x:c>
      <x:c r="U293" s="2" t="str">
        <x:v>GFA growth versus source physical quantity growth; constant conversion required for equality</x:v>
      </x:c>
      <x:c r="V293" s="2" t="str">
        <x:v>2020 level is the model anchor; 2023 comparator unused by v16 fit but shares conversion/upstream lineage</x:v>
      </x:c>
      <x:c r="W293" s="2" t="str">
        <x:v>https://arxiv.org/abs/2511.12104</x:v>
      </x:c>
    </x:row>
    <x:row r="294" ht="23" customHeight="1">
      <x:c r="A294" s="2" t="str">
        <x:v>KIR</x:v>
      </x:c>
      <x:c r="B294" s="2" t="str">
        <x:v>Kiribati (Republic of)</x:v>
      </x:c>
      <x:c r="C294" s="2" t="str">
        <x:v>TEMPO_FOOTPRINT</x:v>
      </x:c>
      <x:c r="D294" s="2" t="n">
        <x:v>2020</x:v>
      </x:c>
      <x:c r="E294" s="2" t="n">
        <x:v>2023</x:v>
      </x:c>
      <x:c r="F294" s="17" t="n">
        <x:v>1721739.6700000002</x:v>
      </x:c>
      <x:c r="G294" s="17" t="n">
        <x:v>2021045.8833142433</x:v>
      </x:c>
      <x:c r="H294" s="17" t="n">
        <x:v>1721739.67</x:v>
      </x:c>
      <x:c r="I294" s="17" t="n">
        <x:v>1863230.46</x:v>
      </x:c>
      <x:c r="J294" s="2" t="str">
        <x:v>m2</x:v>
      </x:c>
      <x:c r="K294" s="15" t="n">
        <x:f>IF(AND(ISNUMBER(F294),ISNUMBER(G294),F294&gt;0),G294/F294-1,"n.a.")</x:f>
        <x:v>0.17383941285051718</x:v>
      </x:c>
      <x:c r="L294" s="15" t="n">
        <x:f>IF(AND(N294,ISNUMBER(H294),ISNUMBER(I294),H294&gt;0),I294/H294-1,"n.a.")</x:f>
        <x:v>0.0821789684383587</x:v>
      </x:c>
      <x:c r="M294" s="20" t="n">
        <x:f>IF(AND(ISNUMBER(K294),ISNUMBER(L294)),100*(K294-L294),"n.a.")</x:f>
        <x:v>9.166044441215849</x:v>
      </x:c>
      <x:c r="N294" s="13" t="b">
        <x:v>1</x:v>
      </x:c>
      <x:c r="O294" s="13" t="b">
        <x:v>1</x:v>
      </x:c>
      <x:c r="P294" s="13" t="b">
        <x:v>0</x:v>
      </x:c>
      <x:c r="Q294" s="2" t="str">
        <x:v>none</x:v>
      </x:c>
      <x:c r="R294" s="2" t="str">
        <x:v>none</x:v>
      </x:c>
      <x:c r="S294" s="2" t="str">
        <x:v>nominal Q4 source model estimate</x:v>
      </x:c>
      <x:c r="T294" s="2" t="str">
        <x:v>nominal Q4 source model estimate</x:v>
      </x:c>
      <x:c r="U294" s="2" t="str">
        <x:v>GFA growth versus source physical quantity growth; constant conversion required for equality</x:v>
      </x:c>
      <x:c r="V294" s="2" t="str">
        <x:v>2020 level is the model anchor; 2023 comparator unused by v16 fit but shares conversion/upstream lineage</x:v>
      </x:c>
      <x:c r="W294" s="2" t="str">
        <x:v>https://arxiv.org/abs/2511.12104</x:v>
      </x:c>
    </x:row>
    <x:row r="295" ht="23" customHeight="1">
      <x:c r="A295" s="2" t="str">
        <x:v>KNA</x:v>
      </x:c>
      <x:c r="B295" s="2" t="str">
        <x:v>Saint Kitts and Nevis (Federation of)</x:v>
      </x:c>
      <x:c r="C295" s="2" t="str">
        <x:v>TEMPO_FOOTPRINT</x:v>
      </x:c>
      <x:c r="D295" s="2" t="n">
        <x:v>2020</x:v>
      </x:c>
      <x:c r="E295" s="2" t="n">
        <x:v>2023</x:v>
      </x:c>
      <x:c r="F295" s="17" t="n">
        <x:v>4523960.760000001</x:v>
      </x:c>
      <x:c r="G295" s="17" t="n">
        <x:v>4662472.850554909</x:v>
      </x:c>
      <x:c r="H295" s="17" t="n">
        <x:v>4523960.76</x:v>
      </x:c>
      <x:c r="I295" s="17" t="n">
        <x:v>4708557.36</x:v>
      </x:c>
      <x:c r="J295" s="2" t="str">
        <x:v>m2</x:v>
      </x:c>
      <x:c r="K295" s="15" t="n">
        <x:f>IF(AND(ISNUMBER(F295),ISNUMBER(G295),F295&gt;0),G295/F295-1,"n.a.")</x:f>
        <x:v>0.030617438546241438</x:v>
      </x:c>
      <x:c r="L295" s="15" t="n">
        <x:f>IF(AND(N295,ISNUMBER(H295),ISNUMBER(I295),H295&gt;0),I295/H295-1,"n.a.")</x:f>
        <x:v>0.04080420007887087</x:v>
      </x:c>
      <x:c r="M295" s="20" t="n">
        <x:f>IF(AND(ISNUMBER(K295),ISNUMBER(L295)),100*(K295-L295),"n.a.")</x:f>
        <x:v>-1.018676153262943</x:v>
      </x:c>
      <x:c r="N295" s="13" t="b">
        <x:v>1</x:v>
      </x:c>
      <x:c r="O295" s="13" t="b">
        <x:v>1</x:v>
      </x:c>
      <x:c r="P295" s="13" t="b">
        <x:v>0</x:v>
      </x:c>
      <x:c r="Q295" s="2" t="str">
        <x:v>none</x:v>
      </x:c>
      <x:c r="R295" s="2" t="str">
        <x:v>none</x:v>
      </x:c>
      <x:c r="S295" s="2" t="str">
        <x:v>nominal Q4 source model estimate</x:v>
      </x:c>
      <x:c r="T295" s="2" t="str">
        <x:v>nominal Q4 source model estimate</x:v>
      </x:c>
      <x:c r="U295" s="2" t="str">
        <x:v>GFA growth versus source physical quantity growth; constant conversion required for equality</x:v>
      </x:c>
      <x:c r="V295" s="2" t="str">
        <x:v>2020 level is the model anchor; 2023 comparator unused by v16 fit but shares conversion/upstream lineage</x:v>
      </x:c>
      <x:c r="W295" s="2" t="str">
        <x:v>https://arxiv.org/abs/2511.12104</x:v>
      </x:c>
    </x:row>
    <x:row r="296" ht="23" customHeight="1">
      <x:c r="A296" s="2" t="str">
        <x:v>KOR</x:v>
      </x:c>
      <x:c r="B296" s="2" t="str">
        <x:v>Korea (Republic of)</x:v>
      </x:c>
      <x:c r="C296" s="2" t="str">
        <x:v>TEMPO_FOOTPRINT</x:v>
      </x:c>
      <x:c r="D296" s="2" t="n">
        <x:v>2020</x:v>
      </x:c>
      <x:c r="E296" s="2" t="n">
        <x:v>2023</x:v>
      </x:c>
      <x:c r="F296" s="17" t="n">
        <x:v>2947698717.329997</x:v>
      </x:c>
      <x:c r="G296" s="17" t="n">
        <x:v>3096484602.971078</x:v>
      </x:c>
      <x:c r="H296" s="17" t="n">
        <x:v>2559028811.37</x:v>
      </x:c>
      <x:c r="I296" s="17" t="n">
        <x:v>2644566841.88</x:v>
      </x:c>
      <x:c r="J296" s="2" t="str">
        <x:v>m2</x:v>
      </x:c>
      <x:c r="K296" s="15" t="n">
        <x:f>IF(AND(ISNUMBER(F296),ISNUMBER(G296),F296&gt;0),G296/F296-1,"n.a.")</x:f>
        <x:v>0.05047526898401955</x:v>
      </x:c>
      <x:c r="L296" s="15" t="n">
        <x:f>IF(AND(N296,ISNUMBER(H296),ISNUMBER(I296),H296&gt;0),I296/H296-1,"n.a.")</x:f>
        <x:v>0.0334259739983962</x:v>
      </x:c>
      <x:c r="M296" s="20" t="n">
        <x:f>IF(AND(ISNUMBER(K296),ISNUMBER(L296)),100*(K296-L296),"n.a.")</x:f>
        <x:v>1.7049294985623353</x:v>
      </x:c>
      <x:c r="N296" s="13" t="b">
        <x:v>1</x:v>
      </x:c>
      <x:c r="O296" s="13" t="b">
        <x:v>1</x:v>
      </x:c>
      <x:c r="P296" s="13" t="b">
        <x:v>0</x:v>
      </x:c>
      <x:c r="Q296" s="2" t="str">
        <x:v>none</x:v>
      </x:c>
      <x:c r="R296" s="2" t="str">
        <x:v>none</x:v>
      </x:c>
      <x:c r="S296" s="2" t="str">
        <x:v>nominal Q4 source model estimate</x:v>
      </x:c>
      <x:c r="T296" s="2" t="str">
        <x:v>nominal Q4 source model estimate</x:v>
      </x:c>
      <x:c r="U296" s="2" t="str">
        <x:v>GFA growth versus source physical quantity growth; constant conversion required for equality</x:v>
      </x:c>
      <x:c r="V296" s="2" t="str">
        <x:v>2020 level is the model anchor; 2023 comparator unused by v16 fit but shares conversion/upstream lineage</x:v>
      </x:c>
      <x:c r="W296" s="2" t="str">
        <x:v>https://arxiv.org/abs/2511.12104</x:v>
      </x:c>
    </x:row>
    <x:row r="297" ht="23" customHeight="1">
      <x:c r="A297" s="2" t="str">
        <x:v>KWT</x:v>
      </x:c>
      <x:c r="B297" s="2" t="str">
        <x:v>Kuwait (State of)</x:v>
      </x:c>
      <x:c r="C297" s="2" t="str">
        <x:v>TEMPO_FOOTPRINT</x:v>
      </x:c>
      <x:c r="D297" s="2" t="n">
        <x:v>2020</x:v>
      </x:c>
      <x:c r="E297" s="2" t="n">
        <x:v>2023</x:v>
      </x:c>
      <x:c r="F297" s="17" t="n">
        <x:v>155594647.5199998</x:v>
      </x:c>
      <x:c r="G297" s="17" t="n">
        <x:v>172890363.84898752</x:v>
      </x:c>
      <x:c r="H297" s="17" t="n">
        <x:v>143367071.73</x:v>
      </x:c>
      <x:c r="I297" s="17" t="n">
        <x:v>167393111.1</x:v>
      </x:c>
      <x:c r="J297" s="2" t="str">
        <x:v>m2</x:v>
      </x:c>
      <x:c r="K297" s="15" t="n">
        <x:f>IF(AND(ISNUMBER(F297),ISNUMBER(G297),F297&gt;0),G297/F297-1,"n.a.")</x:f>
        <x:v>0.11115881300971209</x:v>
      </x:c>
      <x:c r="L297" s="15" t="n">
        <x:f>IF(AND(N297,ISNUMBER(H297),ISNUMBER(I297),H297&gt;0),I297/H297-1,"n.a.")</x:f>
        <x:v>0.1675840838490983</x:v>
      </x:c>
      <x:c r="M297" s="20" t="n">
        <x:f>IF(AND(ISNUMBER(K297),ISNUMBER(L297)),100*(K297-L297),"n.a.")</x:f>
        <x:v>-5.64252708393862</x:v>
      </x:c>
      <x:c r="N297" s="13" t="b">
        <x:v>1</x:v>
      </x:c>
      <x:c r="O297" s="13" t="b">
        <x:v>1</x:v>
      </x:c>
      <x:c r="P297" s="13" t="b">
        <x:v>0</x:v>
      </x:c>
      <x:c r="Q297" s="2" t="str">
        <x:v>none</x:v>
      </x:c>
      <x:c r="R297" s="2" t="str">
        <x:v>none</x:v>
      </x:c>
      <x:c r="S297" s="2" t="str">
        <x:v>nominal Q4 source model estimate</x:v>
      </x:c>
      <x:c r="T297" s="2" t="str">
        <x:v>nominal Q4 source model estimate</x:v>
      </x:c>
      <x:c r="U297" s="2" t="str">
        <x:v>GFA growth versus source physical quantity growth; constant conversion required for equality</x:v>
      </x:c>
      <x:c r="V297" s="2" t="str">
        <x:v>2020 level is the model anchor; 2023 comparator unused by v16 fit but shares conversion/upstream lineage</x:v>
      </x:c>
      <x:c r="W297" s="2" t="str">
        <x:v>https://arxiv.org/abs/2511.12104</x:v>
      </x:c>
    </x:row>
    <x:row r="298" ht="23" customHeight="1">
      <x:c r="A298" s="2" t="str">
        <x:v>LAO</x:v>
      </x:c>
      <x:c r="B298" s="2" t="str">
        <x:v>Lao People's Democratic Republic</x:v>
      </x:c>
      <x:c r="C298" s="2" t="str">
        <x:v>TEMPO_FOOTPRINT</x:v>
      </x:c>
      <x:c r="D298" s="2" t="n">
        <x:v>2020</x:v>
      </x:c>
      <x:c r="E298" s="2" t="n">
        <x:v>2023</x:v>
      </x:c>
      <x:c r="F298" s="17" t="n">
        <x:v>333393295.1899998</x:v>
      </x:c>
      <x:c r="G298" s="17" t="n">
        <x:v>364322978.36261857</x:v>
      </x:c>
      <x:c r="H298" s="17" t="n">
        <x:v>333393295.19</x:v>
      </x:c>
      <x:c r="I298" s="17" t="n">
        <x:v>365029982.26</x:v>
      </x:c>
      <x:c r="J298" s="2" t="str">
        <x:v>m2</x:v>
      </x:c>
      <x:c r="K298" s="15" t="n">
        <x:f>IF(AND(ISNUMBER(F298),ISNUMBER(G298),F298&gt;0),G298/F298-1,"n.a.")</x:f>
        <x:v>0.09277236110879805</x:v>
      </x:c>
      <x:c r="L298" s="15" t="n">
        <x:f>IF(AND(N298,ISNUMBER(H298),ISNUMBER(I298),H298&gt;0),I298/H298-1,"n.a.")</x:f>
        <x:v>0.09489299133016549</x:v>
      </x:c>
      <x:c r="M298" s="20" t="n">
        <x:f>IF(AND(ISNUMBER(K298),ISNUMBER(L298)),100*(K298-L298),"n.a.")</x:f>
        <x:v>-0.21206302213674366</x:v>
      </x:c>
      <x:c r="N298" s="13" t="b">
        <x:v>1</x:v>
      </x:c>
      <x:c r="O298" s="13" t="b">
        <x:v>1</x:v>
      </x:c>
      <x:c r="P298" s="13" t="b">
        <x:v>0</x:v>
      </x:c>
      <x:c r="Q298" s="2" t="str">
        <x:v>none</x:v>
      </x:c>
      <x:c r="R298" s="2" t="str">
        <x:v>none</x:v>
      </x:c>
      <x:c r="S298" s="2" t="str">
        <x:v>nominal Q4 source model estimate</x:v>
      </x:c>
      <x:c r="T298" s="2" t="str">
        <x:v>nominal Q4 source model estimate</x:v>
      </x:c>
      <x:c r="U298" s="2" t="str">
        <x:v>GFA growth versus source physical quantity growth; constant conversion required for equality</x:v>
      </x:c>
      <x:c r="V298" s="2" t="str">
        <x:v>2020 level is the model anchor; 2023 comparator unused by v16 fit but shares conversion/upstream lineage</x:v>
      </x:c>
      <x:c r="W298" s="2" t="str">
        <x:v>https://arxiv.org/abs/2511.12104</x:v>
      </x:c>
    </x:row>
    <x:row r="299" ht="23" customHeight="1">
      <x:c r="A299" s="2" t="str">
        <x:v>LBN</x:v>
      </x:c>
      <x:c r="B299" s="2" t="str">
        <x:v>Lebanon (Lebanese Republic)</x:v>
      </x:c>
      <x:c r="C299" s="2" t="str">
        <x:v>TEMPO_FOOTPRINT</x:v>
      </x:c>
      <x:c r="D299" s="2" t="n">
        <x:v>2020</x:v>
      </x:c>
      <x:c r="E299" s="2" t="n">
        <x:v>2023</x:v>
      </x:c>
      <x:c r="F299" s="17" t="n">
        <x:v>226725070.95000017</x:v>
      </x:c>
      <x:c r="G299" s="17" t="n">
        <x:v>241600565.7920856</x:v>
      </x:c>
      <x:c r="H299" s="17" t="n">
        <x:v>222783609.45</x:v>
      </x:c>
      <x:c r="I299" s="17" t="n">
        <x:v>228314448.38</x:v>
      </x:c>
      <x:c r="J299" s="2" t="str">
        <x:v>m2</x:v>
      </x:c>
      <x:c r="K299" s="15" t="n">
        <x:f>IF(AND(ISNUMBER(F299),ISNUMBER(G299),F299&gt;0),G299/F299-1,"n.a.")</x:f>
        <x:v>0.06561027759195603</x:v>
      </x:c>
      <x:c r="L299" s="15" t="n">
        <x:f>IF(AND(N299,ISNUMBER(H299),ISNUMBER(I299),H299&gt;0),I299/H299-1,"n.a.")</x:f>
        <x:v>0.0248260585401876</x:v>
      </x:c>
      <x:c r="M299" s="20" t="n">
        <x:f>IF(AND(ISNUMBER(K299),ISNUMBER(L299)),100*(K299-L299),"n.a.")</x:f>
        <x:v>4.078421905176843</x:v>
      </x:c>
      <x:c r="N299" s="13" t="b">
        <x:v>1</x:v>
      </x:c>
      <x:c r="O299" s="13" t="b">
        <x:v>1</x:v>
      </x:c>
      <x:c r="P299" s="13" t="b">
        <x:v>0</x:v>
      </x:c>
      <x:c r="Q299" s="2" t="str">
        <x:v>none</x:v>
      </x:c>
      <x:c r="R299" s="2" t="str">
        <x:v>none</x:v>
      </x:c>
      <x:c r="S299" s="2" t="str">
        <x:v>nominal Q4 source model estimate</x:v>
      </x:c>
      <x:c r="T299" s="2" t="str">
        <x:v>nominal Q4 source model estimate</x:v>
      </x:c>
      <x:c r="U299" s="2" t="str">
        <x:v>GFA growth versus source physical quantity growth; constant conversion required for equality</x:v>
      </x:c>
      <x:c r="V299" s="2" t="str">
        <x:v>2020 level is the model anchor; 2023 comparator unused by v16 fit but shares conversion/upstream lineage</x:v>
      </x:c>
      <x:c r="W299" s="2" t="str">
        <x:v>https://arxiv.org/abs/2511.12104</x:v>
      </x:c>
    </x:row>
    <x:row r="300" ht="23" customHeight="1">
      <x:c r="A300" s="2" t="str">
        <x:v>LBR</x:v>
      </x:c>
      <x:c r="B300" s="2" t="str">
        <x:v>Liberia (Republic of)</x:v>
      </x:c>
      <x:c r="C300" s="2" t="str">
        <x:v>TEMPO_FOOTPRINT</x:v>
      </x:c>
      <x:c r="D300" s="2" t="n">
        <x:v>2020</x:v>
      </x:c>
      <x:c r="E300" s="2" t="n">
        <x:v>2023</x:v>
      </x:c>
      <x:c r="F300" s="17" t="n">
        <x:v>93713430.84000014</x:v>
      </x:c>
      <x:c r="G300" s="17" t="n">
        <x:v>104559516.7608036</x:v>
      </x:c>
      <x:c r="H300" s="17" t="n">
        <x:v>93713430.84</x:v>
      </x:c>
      <x:c r="I300" s="17" t="n">
        <x:v>101961024.16</x:v>
      </x:c>
      <x:c r="J300" s="2" t="str">
        <x:v>m2</x:v>
      </x:c>
      <x:c r="K300" s="15" t="n">
        <x:f>IF(AND(ISNUMBER(F300),ISNUMBER(G300),F300&gt;0),G300/F300-1,"n.a.")</x:f>
        <x:v>0.11573672870136753</x:v>
      </x:c>
      <x:c r="L300" s="15" t="n">
        <x:f>IF(AND(N300,ISNUMBER(H300),ISNUMBER(I300),H300&gt;0),I300/H300-1,"n.a.")</x:f>
        <x:v>0.08800865837556815</x:v>
      </x:c>
      <x:c r="M300" s="20" t="n">
        <x:f>IF(AND(ISNUMBER(K300),ISNUMBER(L300)),100*(K300-L300),"n.a.")</x:f>
        <x:v>2.772807032579938</x:v>
      </x:c>
      <x:c r="N300" s="13" t="b">
        <x:v>1</x:v>
      </x:c>
      <x:c r="O300" s="13" t="b">
        <x:v>1</x:v>
      </x:c>
      <x:c r="P300" s="13" t="b">
        <x:v>0</x:v>
      </x:c>
      <x:c r="Q300" s="2" t="str">
        <x:v>none</x:v>
      </x:c>
      <x:c r="R300" s="2" t="str">
        <x:v>none</x:v>
      </x:c>
      <x:c r="S300" s="2" t="str">
        <x:v>nominal Q4 source model estimate</x:v>
      </x:c>
      <x:c r="T300" s="2" t="str">
        <x:v>nominal Q4 source model estimate</x:v>
      </x:c>
      <x:c r="U300" s="2" t="str">
        <x:v>GFA growth versus source physical quantity growth; constant conversion required for equality</x:v>
      </x:c>
      <x:c r="V300" s="2" t="str">
        <x:v>2020 level is the model anchor; 2023 comparator unused by v16 fit but shares conversion/upstream lineage</x:v>
      </x:c>
      <x:c r="W300" s="2" t="str">
        <x:v>https://arxiv.org/abs/2511.12104</x:v>
      </x:c>
    </x:row>
    <x:row r="301" ht="23" customHeight="1">
      <x:c r="A301" s="2" t="str">
        <x:v>LBY</x:v>
      </x:c>
      <x:c r="B301" s="2" t="str">
        <x:v>Libya (State of)</x:v>
      </x:c>
      <x:c r="C301" s="2" t="str">
        <x:v>TEMPO_FOOTPRINT</x:v>
      </x:c>
      <x:c r="D301" s="2" t="n">
        <x:v>2020</x:v>
      </x:c>
      <x:c r="E301" s="2" t="n">
        <x:v>2023</x:v>
      </x:c>
      <x:c r="F301" s="17" t="n">
        <x:v>523048577.3000005</x:v>
      </x:c>
      <x:c r="G301" s="17" t="n">
        <x:v>544069120.243073</x:v>
      </x:c>
      <x:c r="H301" s="17" t="n">
        <x:v>523048577.3</x:v>
      </x:c>
      <x:c r="I301" s="17" t="n">
        <x:v>562082814.83</x:v>
      </x:c>
      <x:c r="J301" s="2" t="str">
        <x:v>m2</x:v>
      </x:c>
      <x:c r="K301" s="15" t="n">
        <x:f>IF(AND(ISNUMBER(F301),ISNUMBER(G301),F301&gt;0),G301/F301-1,"n.a.")</x:f>
        <x:v>0.04018850993072465</x:v>
      </x:c>
      <x:c r="L301" s="15" t="n">
        <x:f>IF(AND(N301,ISNUMBER(H301),ISNUMBER(I301),H301&gt;0),I301/H301-1,"n.a.")</x:f>
        <x:v>0.07462832177366097</x:v>
      </x:c>
      <x:c r="M301" s="20" t="n">
        <x:f>IF(AND(ISNUMBER(K301),ISNUMBER(L301)),100*(K301-L301),"n.a.")</x:f>
        <x:v>-3.443981184293632</x:v>
      </x:c>
      <x:c r="N301" s="13" t="b">
        <x:v>1</x:v>
      </x:c>
      <x:c r="O301" s="13" t="b">
        <x:v>1</x:v>
      </x:c>
      <x:c r="P301" s="13" t="b">
        <x:v>0</x:v>
      </x:c>
      <x:c r="Q301" s="2" t="str">
        <x:v>none</x:v>
      </x:c>
      <x:c r="R301" s="2" t="str">
        <x:v>none</x:v>
      </x:c>
      <x:c r="S301" s="2" t="str">
        <x:v>nominal Q4 source model estimate</x:v>
      </x:c>
      <x:c r="T301" s="2" t="str">
        <x:v>nominal Q4 source model estimate</x:v>
      </x:c>
      <x:c r="U301" s="2" t="str">
        <x:v>GFA growth versus source physical quantity growth; constant conversion required for equality</x:v>
      </x:c>
      <x:c r="V301" s="2" t="str">
        <x:v>2020 level is the model anchor; 2023 comparator unused by v16 fit but shares conversion/upstream lineage</x:v>
      </x:c>
      <x:c r="W301" s="2" t="str">
        <x:v>https://arxiv.org/abs/2511.12104</x:v>
      </x:c>
    </x:row>
    <x:row r="302" ht="23" customHeight="1">
      <x:c r="A302" s="2" t="str">
        <x:v>LCA</x:v>
      </x:c>
      <x:c r="B302" s="2" t="str">
        <x:v>Saint Lucia</x:v>
      </x:c>
      <x:c r="C302" s="2" t="str">
        <x:v>TEMPO_FOOTPRINT</x:v>
      </x:c>
      <x:c r="D302" s="2" t="n">
        <x:v>2020</x:v>
      </x:c>
      <x:c r="E302" s="2" t="n">
        <x:v>2023</x:v>
      </x:c>
      <x:c r="F302" s="17" t="n">
        <x:v>10226894.600000018</x:v>
      </x:c>
      <x:c r="G302" s="17" t="n">
        <x:v>10772946.39498207</x:v>
      </x:c>
      <x:c r="H302" s="17" t="n">
        <x:v>10226894.6</x:v>
      </x:c>
      <x:c r="I302" s="17" t="n">
        <x:v>10636385.01</x:v>
      </x:c>
      <x:c r="J302" s="2" t="str">
        <x:v>m2</x:v>
      </x:c>
      <x:c r="K302" s="15" t="n">
        <x:f>IF(AND(ISNUMBER(F302),ISNUMBER(G302),F302&gt;0),G302/F302-1,"n.a.")</x:f>
        <x:v>0.053393705160709404</x:v>
      </x:c>
      <x:c r="L302" s="15" t="n">
        <x:f>IF(AND(N302,ISNUMBER(H302),ISNUMBER(I302),H302&gt;0),I302/H302-1,"n.a.")</x:f>
        <x:v>0.040040542707851845</x:v>
      </x:c>
      <x:c r="M302" s="20" t="n">
        <x:f>IF(AND(ISNUMBER(K302),ISNUMBER(L302)),100*(K302-L302),"n.a.")</x:f>
        <x:v>1.3353162452857559</x:v>
      </x:c>
      <x:c r="N302" s="13" t="b">
        <x:v>1</x:v>
      </x:c>
      <x:c r="O302" s="13" t="b">
        <x:v>1</x:v>
      </x:c>
      <x:c r="P302" s="13" t="b">
        <x:v>0</x:v>
      </x:c>
      <x:c r="Q302" s="2" t="str">
        <x:v>none</x:v>
      </x:c>
      <x:c r="R302" s="2" t="str">
        <x:v>none</x:v>
      </x:c>
      <x:c r="S302" s="2" t="str">
        <x:v>nominal Q4 source model estimate</x:v>
      </x:c>
      <x:c r="T302" s="2" t="str">
        <x:v>nominal Q4 source model estimate</x:v>
      </x:c>
      <x:c r="U302" s="2" t="str">
        <x:v>GFA growth versus source physical quantity growth; constant conversion required for equality</x:v>
      </x:c>
      <x:c r="V302" s="2" t="str">
        <x:v>2020 level is the model anchor; 2023 comparator unused by v16 fit but shares conversion/upstream lineage</x:v>
      </x:c>
      <x:c r="W302" s="2" t="str">
        <x:v>https://arxiv.org/abs/2511.12104</x:v>
      </x:c>
    </x:row>
    <x:row r="303" ht="23" customHeight="1">
      <x:c r="A303" s="2" t="str">
        <x:v>LIE</x:v>
      </x:c>
      <x:c r="B303" s="2" t="str">
        <x:v>Liechtenstein (Principality of)</x:v>
      </x:c>
      <x:c r="C303" s="2" t="str">
        <x:v>TEMPO_FOOTPRINT</x:v>
      </x:c>
      <x:c r="D303" s="2" t="n">
        <x:v>2020</x:v>
      </x:c>
      <x:c r="E303" s="2" t="n">
        <x:v>2023</x:v>
      </x:c>
      <x:c r="F303" s="17" t="n">
        <x:v>3628695.830000003</x:v>
      </x:c>
      <x:c r="G303" s="17" t="n">
        <x:v>3982510.1732081324</x:v>
      </x:c>
      <x:c r="H303" s="17" t="n">
        <x:v>3519854.45</x:v>
      </x:c>
      <x:c r="I303" s="17" t="n">
        <x:v>3626223.72</x:v>
      </x:c>
      <x:c r="J303" s="2" t="str">
        <x:v>m2</x:v>
      </x:c>
      <x:c r="K303" s="15" t="n">
        <x:f>IF(AND(ISNUMBER(F303),ISNUMBER(G303),F303&gt;0),G303/F303-1,"n.a.")</x:f>
        <x:v>0.09750454702843725</x:v>
      </x:c>
      <x:c r="L303" s="15" t="n">
        <x:f>IF(AND(N303,ISNUMBER(H303),ISNUMBER(I303),H303&gt;0),I303/H303-1,"n.a.")</x:f>
        <x:v>0.030219792184872807</x:v>
      </x:c>
      <x:c r="M303" s="20" t="n">
        <x:f>IF(AND(ISNUMBER(K303),ISNUMBER(L303)),100*(K303-L303),"n.a.")</x:f>
        <x:v>6.728475484356444</x:v>
      </x:c>
      <x:c r="N303" s="13" t="b">
        <x:v>1</x:v>
      </x:c>
      <x:c r="O303" s="13" t="b">
        <x:v>1</x:v>
      </x:c>
      <x:c r="P303" s="13" t="b">
        <x:v>0</x:v>
      </x:c>
      <x:c r="Q303" s="2" t="str">
        <x:v>none</x:v>
      </x:c>
      <x:c r="R303" s="2" t="str">
        <x:v>none</x:v>
      </x:c>
      <x:c r="S303" s="2" t="str">
        <x:v>nominal Q4 source model estimate</x:v>
      </x:c>
      <x:c r="T303" s="2" t="str">
        <x:v>nominal Q4 source model estimate</x:v>
      </x:c>
      <x:c r="U303" s="2" t="str">
        <x:v>GFA growth versus source physical quantity growth; constant conversion required for equality</x:v>
      </x:c>
      <x:c r="V303" s="2" t="str">
        <x:v>2020 level is the model anchor; 2023 comparator unused by v16 fit but shares conversion/upstream lineage</x:v>
      </x:c>
      <x:c r="W303" s="2" t="str">
        <x:v>https://arxiv.org/abs/2511.12104</x:v>
      </x:c>
    </x:row>
    <x:row r="304" ht="23" customHeight="1">
      <x:c r="A304" s="2" t="str">
        <x:v>LKA</x:v>
      </x:c>
      <x:c r="B304" s="2" t="str">
        <x:v>Sri Lanka (Democratic Socialist Republic of)</x:v>
      </x:c>
      <x:c r="C304" s="2" t="str">
        <x:v>TEMPO_FOOTPRINT</x:v>
      </x:c>
      <x:c r="D304" s="2" t="n">
        <x:v>2020</x:v>
      </x:c>
      <x:c r="E304" s="2" t="n">
        <x:v>2023</x:v>
      </x:c>
      <x:c r="F304" s="17" t="n">
        <x:v>899293602.2900008</x:v>
      </x:c>
      <x:c r="G304" s="17" t="n">
        <x:v>963113965.8763132</x:v>
      </x:c>
      <x:c r="H304" s="17" t="n">
        <x:v>899293602.29</x:v>
      </x:c>
      <x:c r="I304" s="17" t="n">
        <x:v>920328044.91</x:v>
      </x:c>
      <x:c r="J304" s="2" t="str">
        <x:v>m2</x:v>
      </x:c>
      <x:c r="K304" s="15" t="n">
        <x:f>IF(AND(ISNUMBER(F304),ISNUMBER(G304),F304&gt;0),G304/F304-1,"n.a.")</x:f>
        <x:v>0.07096721629487579</x:v>
      </x:c>
      <x:c r="L304" s="15" t="n">
        <x:f>IF(AND(N304,ISNUMBER(H304),ISNUMBER(I304),H304&gt;0),I304/H304-1,"n.a.")</x:f>
        <x:v>0.023389961372389356</x:v>
      </x:c>
      <x:c r="M304" s="20" t="n">
        <x:f>IF(AND(ISNUMBER(K304),ISNUMBER(L304)),100*(K304-L304),"n.a.")</x:f>
        <x:v>4.757725492248643</x:v>
      </x:c>
      <x:c r="N304" s="13" t="b">
        <x:v>1</x:v>
      </x:c>
      <x:c r="O304" s="13" t="b">
        <x:v>1</x:v>
      </x:c>
      <x:c r="P304" s="13" t="b">
        <x:v>0</x:v>
      </x:c>
      <x:c r="Q304" s="2" t="str">
        <x:v>none</x:v>
      </x:c>
      <x:c r="R304" s="2" t="str">
        <x:v>none</x:v>
      </x:c>
      <x:c r="S304" s="2" t="str">
        <x:v>nominal Q4 source model estimate</x:v>
      </x:c>
      <x:c r="T304" s="2" t="str">
        <x:v>nominal Q4 source model estimate</x:v>
      </x:c>
      <x:c r="U304" s="2" t="str">
        <x:v>GFA growth versus source physical quantity growth; constant conversion required for equality</x:v>
      </x:c>
      <x:c r="V304" s="2" t="str">
        <x:v>2020 level is the model anchor; 2023 comparator unused by v16 fit but shares conversion/upstream lineage</x:v>
      </x:c>
      <x:c r="W304" s="2" t="str">
        <x:v>https://arxiv.org/abs/2511.12104</x:v>
      </x:c>
    </x:row>
    <x:row r="305" ht="23" customHeight="1">
      <x:c r="A305" s="2" t="str">
        <x:v>LSO</x:v>
      </x:c>
      <x:c r="B305" s="2" t="str">
        <x:v>Lesotho (Kingdom of)</x:v>
      </x:c>
      <x:c r="C305" s="2" t="str">
        <x:v>TEMPO_FOOTPRINT</x:v>
      </x:c>
      <x:c r="D305" s="2" t="n">
        <x:v>2020</x:v>
      </x:c>
      <x:c r="E305" s="2" t="n">
        <x:v>2023</x:v>
      </x:c>
      <x:c r="F305" s="17" t="n">
        <x:v>60655167.15000007</x:v>
      </x:c>
      <x:c r="G305" s="17" t="n">
        <x:v>64000772.9998195</x:v>
      </x:c>
      <x:c r="H305" s="17" t="n">
        <x:v>60655167.15</x:v>
      </x:c>
      <x:c r="I305" s="17" t="n">
        <x:v>65893565.87</x:v>
      </x:c>
      <x:c r="J305" s="2" t="str">
        <x:v>m2</x:v>
      </x:c>
      <x:c r="K305" s="15" t="n">
        <x:f>IF(AND(ISNUMBER(F305),ISNUMBER(G305),F305&gt;0),G305/F305-1,"n.a.")</x:f>
        <x:v>0.05515780447106433</x:v>
      </x:c>
      <x:c r="L305" s="15" t="n">
        <x:f>IF(AND(N305,ISNUMBER(H305),ISNUMBER(I305),H305&gt;0),I305/H305-1,"n.a.")</x:f>
        <x:v>0.0863636020826628</x:v>
      </x:c>
      <x:c r="M305" s="20" t="n">
        <x:f>IF(AND(ISNUMBER(K305),ISNUMBER(L305)),100*(K305-L305),"n.a.")</x:f>
        <x:v>-3.1205797611598474</x:v>
      </x:c>
      <x:c r="N305" s="13" t="b">
        <x:v>1</x:v>
      </x:c>
      <x:c r="O305" s="13" t="b">
        <x:v>1</x:v>
      </x:c>
      <x:c r="P305" s="13" t="b">
        <x:v>0</x:v>
      </x:c>
      <x:c r="Q305" s="2" t="str">
        <x:v>none</x:v>
      </x:c>
      <x:c r="R305" s="2" t="str">
        <x:v>none</x:v>
      </x:c>
      <x:c r="S305" s="2" t="str">
        <x:v>nominal Q4 source model estimate</x:v>
      </x:c>
      <x:c r="T305" s="2" t="str">
        <x:v>nominal Q4 source model estimate</x:v>
      </x:c>
      <x:c r="U305" s="2" t="str">
        <x:v>GFA growth versus source physical quantity growth; constant conversion required for equality</x:v>
      </x:c>
      <x:c r="V305" s="2" t="str">
        <x:v>2020 level is the model anchor; 2023 comparator unused by v16 fit but shares conversion/upstream lineage</x:v>
      </x:c>
      <x:c r="W305" s="2" t="str">
        <x:v>https://arxiv.org/abs/2511.12104</x:v>
      </x:c>
    </x:row>
    <x:row r="306" ht="23" customHeight="1">
      <x:c r="A306" s="2" t="str">
        <x:v>LTU</x:v>
      </x:c>
      <x:c r="B306" s="2" t="str">
        <x:v>Lithuania (Republic of)</x:v>
      </x:c>
      <x:c r="C306" s="2" t="str">
        <x:v>TEMPO_FOOTPRINT</x:v>
      </x:c>
      <x:c r="D306" s="2" t="n">
        <x:v>2020</x:v>
      </x:c>
      <x:c r="E306" s="2" t="n">
        <x:v>2023</x:v>
      </x:c>
      <x:c r="F306" s="17" t="n">
        <x:v>269070067.6199997</x:v>
      </x:c>
      <x:c r="G306" s="17" t="n">
        <x:v>278050523.1056788</x:v>
      </x:c>
      <x:c r="H306" s="17" t="n">
        <x:v>269070067.62</x:v>
      </x:c>
      <x:c r="I306" s="17" t="n">
        <x:v>283025479.77</x:v>
      </x:c>
      <x:c r="J306" s="2" t="str">
        <x:v>m2</x:v>
      </x:c>
      <x:c r="K306" s="15" t="n">
        <x:f>IF(AND(ISNUMBER(F306),ISNUMBER(G306),F306&gt;0),G306/F306-1,"n.a.")</x:f>
        <x:v>0.03337589931542273</x:v>
      </x:c>
      <x:c r="L306" s="15" t="n">
        <x:f>IF(AND(N306,ISNUMBER(H306),ISNUMBER(I306),H306&gt;0),I306/H306-1,"n.a.")</x:f>
        <x:v>0.051865345980099065</x:v>
      </x:c>
      <x:c r="M306" s="20" t="n">
        <x:f>IF(AND(ISNUMBER(K306),ISNUMBER(L306)),100*(K306-L306),"n.a.")</x:f>
        <x:v>-1.8489446664676334</x:v>
      </x:c>
      <x:c r="N306" s="13" t="b">
        <x:v>1</x:v>
      </x:c>
      <x:c r="O306" s="13" t="b">
        <x:v>1</x:v>
      </x:c>
      <x:c r="P306" s="13" t="b">
        <x:v>0</x:v>
      </x:c>
      <x:c r="Q306" s="2" t="str">
        <x:v>none</x:v>
      </x:c>
      <x:c r="R306" s="2" t="str">
        <x:v>none</x:v>
      </x:c>
      <x:c r="S306" s="2" t="str">
        <x:v>nominal Q4 source model estimate</x:v>
      </x:c>
      <x:c r="T306" s="2" t="str">
        <x:v>nominal Q4 source model estimate</x:v>
      </x:c>
      <x:c r="U306" s="2" t="str">
        <x:v>GFA growth versus source physical quantity growth; constant conversion required for equality</x:v>
      </x:c>
      <x:c r="V306" s="2" t="str">
        <x:v>2020 level is the model anchor; 2023 comparator unused by v16 fit but shares conversion/upstream lineage</x:v>
      </x:c>
      <x:c r="W306" s="2" t="str">
        <x:v>https://arxiv.org/abs/2511.12104</x:v>
      </x:c>
    </x:row>
    <x:row r="307" ht="23" customHeight="1">
      <x:c r="A307" s="2" t="str">
        <x:v>LUX</x:v>
      </x:c>
      <x:c r="B307" s="2" t="str">
        <x:v>Luxembourg (Grand Duchy of)</x:v>
      </x:c>
      <x:c r="C307" s="2" t="str">
        <x:v>TEMPO_FOOTPRINT</x:v>
      </x:c>
      <x:c r="D307" s="2" t="n">
        <x:v>2020</x:v>
      </x:c>
      <x:c r="E307" s="2" t="n">
        <x:v>2023</x:v>
      </x:c>
      <x:c r="F307" s="17" t="n">
        <x:v>49053600.56000002</x:v>
      </x:c>
      <x:c r="G307" s="17" t="n">
        <x:v>55006643.51753835</x:v>
      </x:c>
      <x:c r="H307" s="17" t="n">
        <x:v>43297332.17</x:v>
      </x:c>
      <x:c r="I307" s="17" t="n">
        <x:v>45402059.64</x:v>
      </x:c>
      <x:c r="J307" s="2" t="str">
        <x:v>m2</x:v>
      </x:c>
      <x:c r="K307" s="15" t="n">
        <x:f>IF(AND(ISNUMBER(F307),ISNUMBER(G307),F307&gt;0),G307/F307-1,"n.a.")</x:f>
        <x:v>0.12135792051098981</x:v>
      </x:c>
      <x:c r="L307" s="15" t="n">
        <x:f>IF(AND(N307,ISNUMBER(H307),ISNUMBER(I307),H307&gt;0),I307/H307-1,"n.a.")</x:f>
        <x:v>0.048611019767595076</x:v>
      </x:c>
      <x:c r="M307" s="20" t="n">
        <x:f>IF(AND(ISNUMBER(K307),ISNUMBER(L307)),100*(K307-L307),"n.a.")</x:f>
        <x:v>7.274690074339474</x:v>
      </x:c>
      <x:c r="N307" s="13" t="b">
        <x:v>1</x:v>
      </x:c>
      <x:c r="O307" s="13" t="b">
        <x:v>1</x:v>
      </x:c>
      <x:c r="P307" s="13" t="b">
        <x:v>0</x:v>
      </x:c>
      <x:c r="Q307" s="2" t="str">
        <x:v>none</x:v>
      </x:c>
      <x:c r="R307" s="2" t="str">
        <x:v>none</x:v>
      </x:c>
      <x:c r="S307" s="2" t="str">
        <x:v>nominal Q4 source model estimate</x:v>
      </x:c>
      <x:c r="T307" s="2" t="str">
        <x:v>nominal Q4 source model estimate</x:v>
      </x:c>
      <x:c r="U307" s="2" t="str">
        <x:v>GFA growth versus source physical quantity growth; constant conversion required for equality</x:v>
      </x:c>
      <x:c r="V307" s="2" t="str">
        <x:v>2020 level is the model anchor; 2023 comparator unused by v16 fit but shares conversion/upstream lineage</x:v>
      </x:c>
      <x:c r="W307" s="2" t="str">
        <x:v>https://arxiv.org/abs/2511.12104</x:v>
      </x:c>
    </x:row>
    <x:row r="308" ht="23" customHeight="1">
      <x:c r="A308" s="2" t="str">
        <x:v>LVA</x:v>
      </x:c>
      <x:c r="B308" s="2" t="str">
        <x:v>Latvia (Republic of)</x:v>
      </x:c>
      <x:c r="C308" s="2" t="str">
        <x:v>TEMPO_FOOTPRINT</x:v>
      </x:c>
      <x:c r="D308" s="2" t="n">
        <x:v>2020</x:v>
      </x:c>
      <x:c r="E308" s="2" t="n">
        <x:v>2023</x:v>
      </x:c>
      <x:c r="F308" s="17" t="n">
        <x:v>145154805.1899999</x:v>
      </x:c>
      <x:c r="G308" s="17" t="n">
        <x:v>151004680.80462965</x:v>
      </x:c>
      <x:c r="H308" s="17" t="n">
        <x:v>145154805.19</x:v>
      </x:c>
      <x:c r="I308" s="17" t="n">
        <x:v>151349432.85</x:v>
      </x:c>
      <x:c r="J308" s="2" t="str">
        <x:v>m2</x:v>
      </x:c>
      <x:c r="K308" s="15" t="n">
        <x:f>IF(AND(ISNUMBER(F308),ISNUMBER(G308),F308&gt;0),G308/F308-1,"n.a.")</x:f>
        <x:v>0.04030094358207825</x:v>
      </x:c>
      <x:c r="L308" s="15" t="n">
        <x:f>IF(AND(N308,ISNUMBER(H308),ISNUMBER(I308),H308&gt;0),I308/H308-1,"n.a.")</x:f>
        <x:v>0.042676008223713646</x:v>
      </x:c>
      <x:c r="M308" s="20" t="n">
        <x:f>IF(AND(ISNUMBER(K308),ISNUMBER(L308)),100*(K308-L308),"n.a.")</x:f>
        <x:v>-0.23750646416353938</x:v>
      </x:c>
      <x:c r="N308" s="13" t="b">
        <x:v>1</x:v>
      </x:c>
      <x:c r="O308" s="13" t="b">
        <x:v>1</x:v>
      </x:c>
      <x:c r="P308" s="13" t="b">
        <x:v>0</x:v>
      </x:c>
      <x:c r="Q308" s="2" t="str">
        <x:v>none</x:v>
      </x:c>
      <x:c r="R308" s="2" t="str">
        <x:v>none</x:v>
      </x:c>
      <x:c r="S308" s="2" t="str">
        <x:v>nominal Q4 source model estimate</x:v>
      </x:c>
      <x:c r="T308" s="2" t="str">
        <x:v>nominal Q4 source model estimate</x:v>
      </x:c>
      <x:c r="U308" s="2" t="str">
        <x:v>GFA growth versus source physical quantity growth; constant conversion required for equality</x:v>
      </x:c>
      <x:c r="V308" s="2" t="str">
        <x:v>2020 level is the model anchor; 2023 comparator unused by v16 fit but shares conversion/upstream lineage</x:v>
      </x:c>
      <x:c r="W308" s="2" t="str">
        <x:v>https://arxiv.org/abs/2511.12104</x:v>
      </x:c>
    </x:row>
    <x:row r="309" ht="23" customHeight="1">
      <x:c r="A309" s="2" t="str">
        <x:v>MAR</x:v>
      </x:c>
      <x:c r="B309" s="2" t="str">
        <x:v>Morocco (Kingdom of)</x:v>
      </x:c>
      <x:c r="C309" s="2" t="str">
        <x:v>TEMPO_FOOTPRINT</x:v>
      </x:c>
      <x:c r="D309" s="2" t="n">
        <x:v>2020</x:v>
      </x:c>
      <x:c r="E309" s="2" t="n">
        <x:v>2023</x:v>
      </x:c>
      <x:c r="F309" s="17" t="n">
        <x:v>1247018524.7000012</x:v>
      </x:c>
      <x:c r="G309" s="17" t="n">
        <x:v>1413637538.0337749</x:v>
      </x:c>
      <x:c r="H309" s="17" t="n">
        <x:v>1189658461.93</x:v>
      </x:c>
      <x:c r="I309" s="17" t="n">
        <x:v>1260293394.5</x:v>
      </x:c>
      <x:c r="J309" s="2" t="str">
        <x:v>m2</x:v>
      </x:c>
      <x:c r="K309" s="15" t="n">
        <x:f>IF(AND(ISNUMBER(F309),ISNUMBER(G309),F309&gt;0),G309/F309-1,"n.a.")</x:f>
        <x:v>0.13361390391041517</x:v>
      </x:c>
      <x:c r="L309" s="15" t="n">
        <x:f>IF(AND(N309,ISNUMBER(H309),ISNUMBER(I309),H309&gt;0),I309/H309-1,"n.a.")</x:f>
        <x:v>0.05937412697036404</x:v>
      </x:c>
      <x:c r="M309" s="20" t="n">
        <x:f>IF(AND(ISNUMBER(K309),ISNUMBER(L309)),100*(K309-L309),"n.a.")</x:f>
        <x:v>7.423977694005113</x:v>
      </x:c>
      <x:c r="N309" s="13" t="b">
        <x:v>1</x:v>
      </x:c>
      <x:c r="O309" s="13" t="b">
        <x:v>1</x:v>
      </x:c>
      <x:c r="P309" s="13" t="b">
        <x:v>0</x:v>
      </x:c>
      <x:c r="Q309" s="2" t="str">
        <x:v>none</x:v>
      </x:c>
      <x:c r="R309" s="2" t="str">
        <x:v>none</x:v>
      </x:c>
      <x:c r="S309" s="2" t="str">
        <x:v>nominal Q4 source model estimate</x:v>
      </x:c>
      <x:c r="T309" s="2" t="str">
        <x:v>nominal Q4 source model estimate</x:v>
      </x:c>
      <x:c r="U309" s="2" t="str">
        <x:v>GFA growth versus source physical quantity growth; constant conversion required for equality</x:v>
      </x:c>
      <x:c r="V309" s="2" t="str">
        <x:v>2020 level is the model anchor; 2023 comparator unused by v16 fit but shares conversion/upstream lineage</x:v>
      </x:c>
      <x:c r="W309" s="2" t="str">
        <x:v>https://arxiv.org/abs/2511.12104</x:v>
      </x:c>
    </x:row>
    <x:row r="310" ht="23" customHeight="1">
      <x:c r="A310" s="2" t="str">
        <x:v>MCO</x:v>
      </x:c>
      <x:c r="B310" s="2" t="str">
        <x:v>Monaco (Principality of)</x:v>
      </x:c>
      <x:c r="C310" s="2" t="str">
        <x:v>TEMPO_FOOTPRINT</x:v>
      </x:c>
      <x:c r="D310" s="2" t="n">
        <x:v>2020</x:v>
      </x:c>
      <x:c r="E310" s="2" t="n">
        <x:v>2023</x:v>
      </x:c>
      <x:c r="F310" s="17" t="n">
        <x:v>1563267.7900000005</x:v>
      </x:c>
      <x:c r="G310" s="17" t="n">
        <x:v>1704411.190059275</x:v>
      </x:c>
      <x:c r="H310" s="17" t="n">
        <x:v>555169</x:v>
      </x:c>
      <x:c r="I310" s="17" t="n">
        <x:v>554125.69</x:v>
      </x:c>
      <x:c r="J310" s="2" t="str">
        <x:v>m2</x:v>
      </x:c>
      <x:c r="K310" s="15" t="n">
        <x:f>IF(AND(ISNUMBER(F310),ISNUMBER(G310),F310&gt;0),G310/F310-1,"n.a.")</x:f>
        <x:v>0.09028741010474883</x:v>
      </x:c>
      <x:c r="L310" s="15" t="n">
        <x:f>IF(AND(N310,ISNUMBER(H310),ISNUMBER(I310),H310&gt;0),I310/H310-1,"n.a.")</x:f>
        <x:v>-0.0018792655929996682</x:v>
      </x:c>
      <x:c r="M310" s="20" t="n">
        <x:f>IF(AND(ISNUMBER(K310),ISNUMBER(L310)),100*(K310-L310),"n.a.")</x:f>
        <x:v>9.21666756977485</x:v>
      </x:c>
      <x:c r="N310" s="13" t="b">
        <x:v>1</x:v>
      </x:c>
      <x:c r="O310" s="13" t="b">
        <x:v>1</x:v>
      </x:c>
      <x:c r="P310" s="13" t="b">
        <x:v>0</x:v>
      </x:c>
      <x:c r="Q310" s="2" t="str">
        <x:v>none</x:v>
      </x:c>
      <x:c r="R310" s="2" t="str">
        <x:v>none</x:v>
      </x:c>
      <x:c r="S310" s="2" t="str">
        <x:v>nominal Q4 source model estimate</x:v>
      </x:c>
      <x:c r="T310" s="2" t="str">
        <x:v>nominal Q4 source model estimate</x:v>
      </x:c>
      <x:c r="U310" s="2" t="str">
        <x:v>GFA growth versus source physical quantity growth; constant conversion required for equality</x:v>
      </x:c>
      <x:c r="V310" s="2" t="str">
        <x:v>2020 level is the model anchor; 2023 comparator unused by v16 fit but shares conversion/upstream lineage</x:v>
      </x:c>
      <x:c r="W310" s="2" t="str">
        <x:v>https://arxiv.org/abs/2511.12104</x:v>
      </x:c>
    </x:row>
    <x:row r="311" ht="23" customHeight="1">
      <x:c r="A311" s="2" t="str">
        <x:v>MDA</x:v>
      </x:c>
      <x:c r="B311" s="2" t="str">
        <x:v>Moldova (Republic of)</x:v>
      </x:c>
      <x:c r="C311" s="2" t="str">
        <x:v>TEMPO_FOOTPRINT</x:v>
      </x:c>
      <x:c r="D311" s="2" t="n">
        <x:v>2020</x:v>
      </x:c>
      <x:c r="E311" s="2" t="n">
        <x:v>2023</x:v>
      </x:c>
      <x:c r="F311" s="17" t="n">
        <x:v>254566854.8299996</x:v>
      </x:c>
      <x:c r="G311" s="17" t="n">
        <x:v>256986634.83789924</x:v>
      </x:c>
      <x:c r="H311" s="17" t="n">
        <x:v>254566854.83</x:v>
      </x:c>
      <x:c r="I311" s="17" t="n">
        <x:v>263817968.88</x:v>
      </x:c>
      <x:c r="J311" s="2" t="str">
        <x:v>m2</x:v>
      </x:c>
      <x:c r="K311" s="15" t="n">
        <x:f>IF(AND(ISNUMBER(F311),ISNUMBER(G311),F311&gt;0),G311/F311-1,"n.a.")</x:f>
        <x:v>0.009505479452600385</x:v>
      </x:c>
      <x:c r="L311" s="15" t="n">
        <x:f>IF(AND(N311,ISNUMBER(H311),ISNUMBER(I311),H311&gt;0),I311/H311-1,"n.a.")</x:f>
        <x:v>0.03634060709190856</x:v>
      </x:c>
      <x:c r="M311" s="20" t="n">
        <x:f>IF(AND(ISNUMBER(K311),ISNUMBER(L311)),100*(K311-L311),"n.a.")</x:f>
        <x:v>-2.6835127639308176</x:v>
      </x:c>
      <x:c r="N311" s="13" t="b">
        <x:v>1</x:v>
      </x:c>
      <x:c r="O311" s="13" t="b">
        <x:v>1</x:v>
      </x:c>
      <x:c r="P311" s="13" t="b">
        <x:v>0</x:v>
      </x:c>
      <x:c r="Q311" s="2" t="str">
        <x:v>none</x:v>
      </x:c>
      <x:c r="R311" s="2" t="str">
        <x:v>none</x:v>
      </x:c>
      <x:c r="S311" s="2" t="str">
        <x:v>nominal Q4 source model estimate</x:v>
      </x:c>
      <x:c r="T311" s="2" t="str">
        <x:v>nominal Q4 source model estimate</x:v>
      </x:c>
      <x:c r="U311" s="2" t="str">
        <x:v>GFA growth versus source physical quantity growth; constant conversion required for equality</x:v>
      </x:c>
      <x:c r="V311" s="2" t="str">
        <x:v>2020 level is the model anchor; 2023 comparator unused by v16 fit but shares conversion/upstream lineage</x:v>
      </x:c>
      <x:c r="W311" s="2" t="str">
        <x:v>https://arxiv.org/abs/2511.12104</x:v>
      </x:c>
    </x:row>
    <x:row r="312" ht="23" customHeight="1">
      <x:c r="A312" s="2" t="str">
        <x:v>MDG</x:v>
      </x:c>
      <x:c r="B312" s="2" t="str">
        <x:v>Madagascar (Republic of)</x:v>
      </x:c>
      <x:c r="C312" s="2" t="str">
        <x:v>TEMPO_FOOTPRINT</x:v>
      </x:c>
      <x:c r="D312" s="2" t="n">
        <x:v>2020</x:v>
      </x:c>
      <x:c r="E312" s="2" t="n">
        <x:v>2023</x:v>
      </x:c>
      <x:c r="F312" s="17" t="n">
        <x:v>360823089.7999994</x:v>
      </x:c>
      <x:c r="G312" s="17" t="n">
        <x:v>409780281.06508857</x:v>
      </x:c>
      <x:c r="H312" s="17" t="n">
        <x:v>360823089.8</x:v>
      </x:c>
      <x:c r="I312" s="17" t="n">
        <x:v>378018463.01</x:v>
      </x:c>
      <x:c r="J312" s="2" t="str">
        <x:v>m2</x:v>
      </x:c>
      <x:c r="K312" s="15" t="n">
        <x:f>IF(AND(ISNUMBER(F312),ISNUMBER(G312),F312&gt;0),G312/F312-1,"n.a.")</x:f>
        <x:v>0.1356819800313378</x:v>
      </x:c>
      <x:c r="L312" s="15" t="n">
        <x:f>IF(AND(N312,ISNUMBER(H312),ISNUMBER(I312),H312&gt;0),I312/H312-1,"n.a.")</x:f>
        <x:v>0.04765596686046658</x:v>
      </x:c>
      <x:c r="M312" s="20" t="n">
        <x:f>IF(AND(ISNUMBER(K312),ISNUMBER(L312)),100*(K312-L312),"n.a.")</x:f>
        <x:v>8.802601317087122</x:v>
      </x:c>
      <x:c r="N312" s="13" t="b">
        <x:v>1</x:v>
      </x:c>
      <x:c r="O312" s="13" t="b">
        <x:v>1</x:v>
      </x:c>
      <x:c r="P312" s="13" t="b">
        <x:v>0</x:v>
      </x:c>
      <x:c r="Q312" s="2" t="str">
        <x:v>none</x:v>
      </x:c>
      <x:c r="R312" s="2" t="str">
        <x:v>none</x:v>
      </x:c>
      <x:c r="S312" s="2" t="str">
        <x:v>nominal Q4 source model estimate</x:v>
      </x:c>
      <x:c r="T312" s="2" t="str">
        <x:v>nominal Q4 source model estimate</x:v>
      </x:c>
      <x:c r="U312" s="2" t="str">
        <x:v>GFA growth versus source physical quantity growth; constant conversion required for equality</x:v>
      </x:c>
      <x:c r="V312" s="2" t="str">
        <x:v>2020 level is the model anchor; 2023 comparator unused by v16 fit but shares conversion/upstream lineage</x:v>
      </x:c>
      <x:c r="W312" s="2" t="str">
        <x:v>https://arxiv.org/abs/2511.12104</x:v>
      </x:c>
    </x:row>
    <x:row r="313" ht="23" customHeight="1">
      <x:c r="A313" s="2" t="str">
        <x:v>MDV</x:v>
      </x:c>
      <x:c r="B313" s="2" t="str">
        <x:v>Maldives (Republic of)</x:v>
      </x:c>
      <x:c r="C313" s="2" t="str">
        <x:v>TEMPO_FOOTPRINT</x:v>
      </x:c>
      <x:c r="D313" s="2" t="n">
        <x:v>2020</x:v>
      </x:c>
      <x:c r="E313" s="2" t="n">
        <x:v>2023</x:v>
      </x:c>
      <x:c r="F313" s="17" t="n">
        <x:v>2206666.830000001</x:v>
      </x:c>
      <x:c r="G313" s="17" t="n">
        <x:v>2547252.166048249</x:v>
      </x:c>
      <x:c r="H313" s="17" t="n">
        <x:v>2206666.83</x:v>
      </x:c>
      <x:c r="I313" s="17" t="n">
        <x:v>2297643.44</x:v>
      </x:c>
      <x:c r="J313" s="2" t="str">
        <x:v>m2</x:v>
      </x:c>
      <x:c r="K313" s="15" t="n">
        <x:f>IF(AND(ISNUMBER(F313),ISNUMBER(G313),F313&gt;0),G313/F313-1,"n.a.")</x:f>
        <x:v>0.15434379645261087</x:v>
      </x:c>
      <x:c r="L313" s="15" t="n">
        <x:f>IF(AND(N313,ISNUMBER(H313),ISNUMBER(I313),H313&gt;0),I313/H313-1,"n.a.")</x:f>
        <x:v>0.041228067945354496</x:v>
      </x:c>
      <x:c r="M313" s="20" t="n">
        <x:f>IF(AND(ISNUMBER(K313),ISNUMBER(L313)),100*(K313-L313),"n.a.")</x:f>
        <x:v>11.311572850725637</x:v>
      </x:c>
      <x:c r="N313" s="13" t="b">
        <x:v>1</x:v>
      </x:c>
      <x:c r="O313" s="13" t="b">
        <x:v>1</x:v>
      </x:c>
      <x:c r="P313" s="13" t="b">
        <x:v>0</x:v>
      </x:c>
      <x:c r="Q313" s="2" t="str">
        <x:v>none</x:v>
      </x:c>
      <x:c r="R313" s="2" t="str">
        <x:v>none</x:v>
      </x:c>
      <x:c r="S313" s="2" t="str">
        <x:v>nominal Q4 source model estimate</x:v>
      </x:c>
      <x:c r="T313" s="2" t="str">
        <x:v>nominal Q4 source model estimate</x:v>
      </x:c>
      <x:c r="U313" s="2" t="str">
        <x:v>GFA growth versus source physical quantity growth; constant conversion required for equality</x:v>
      </x:c>
      <x:c r="V313" s="2" t="str">
        <x:v>2020 level is the model anchor; 2023 comparator unused by v16 fit but shares conversion/upstream lineage</x:v>
      </x:c>
      <x:c r="W313" s="2" t="str">
        <x:v>https://arxiv.org/abs/2511.12104</x:v>
      </x:c>
    </x:row>
    <x:row r="314" ht="23" customHeight="1">
      <x:c r="A314" s="2" t="str">
        <x:v>MEX</x:v>
      </x:c>
      <x:c r="B314" s="2" t="str">
        <x:v>Mexico (United Mexican States)</x:v>
      </x:c>
      <x:c r="C314" s="2" t="str">
        <x:v>TEMPO_FOOTPRINT</x:v>
      </x:c>
      <x:c r="D314" s="2" t="n">
        <x:v>2020</x:v>
      </x:c>
      <x:c r="E314" s="2" t="n">
        <x:v>2023</x:v>
      </x:c>
      <x:c r="F314" s="17" t="n">
        <x:v>6345872319.039995</x:v>
      </x:c>
      <x:c r="G314" s="17" t="n">
        <x:v>6748020920.092563</x:v>
      </x:c>
      <x:c r="H314" s="17" t="n">
        <x:v>6345872319.04</x:v>
      </x:c>
      <x:c r="I314" s="17" t="n">
        <x:v>6761919820.05</x:v>
      </x:c>
      <x:c r="J314" s="2" t="str">
        <x:v>m2</x:v>
      </x:c>
      <x:c r="K314" s="15" t="n">
        <x:f>IF(AND(ISNUMBER(F314),ISNUMBER(G314),F314&gt;0),G314/F314-1,"n.a.")</x:f>
        <x:v>0.06337168175381835</x:v>
      </x:c>
      <x:c r="L314" s="15" t="n">
        <x:f>IF(AND(N314,ISNUMBER(H314),ISNUMBER(I314),H314&gt;0),I314/H314-1,"n.a.")</x:f>
        <x:v>0.06556190860659172</x:v>
      </x:c>
      <x:c r="M314" s="20" t="n">
        <x:f>IF(AND(ISNUMBER(K314),ISNUMBER(L314)),100*(K314-L314),"n.a.")</x:f>
        <x:v>-0.21902268527733693</x:v>
      </x:c>
      <x:c r="N314" s="13" t="b">
        <x:v>1</x:v>
      </x:c>
      <x:c r="O314" s="13" t="b">
        <x:v>1</x:v>
      </x:c>
      <x:c r="P314" s="13" t="b">
        <x:v>0</x:v>
      </x:c>
      <x:c r="Q314" s="2" t="str">
        <x:v>none</x:v>
      </x:c>
      <x:c r="R314" s="2" t="str">
        <x:v>none</x:v>
      </x:c>
      <x:c r="S314" s="2" t="str">
        <x:v>nominal Q4 source model estimate</x:v>
      </x:c>
      <x:c r="T314" s="2" t="str">
        <x:v>nominal Q4 source model estimate</x:v>
      </x:c>
      <x:c r="U314" s="2" t="str">
        <x:v>GFA growth versus source physical quantity growth; constant conversion required for equality</x:v>
      </x:c>
      <x:c r="V314" s="2" t="str">
        <x:v>2020 level is the model anchor; 2023 comparator unused by v16 fit but shares conversion/upstream lineage</x:v>
      </x:c>
      <x:c r="W314" s="2" t="str">
        <x:v>https://arxiv.org/abs/2511.12104</x:v>
      </x:c>
    </x:row>
    <x:row r="315" ht="23" customHeight="1">
      <x:c r="A315" s="2" t="str">
        <x:v>MHL</x:v>
      </x:c>
      <x:c r="B315" s="2" t="str">
        <x:v>Marshall Islands (Republic of the)</x:v>
      </x:c>
      <x:c r="C315" s="2" t="str">
        <x:v>TEMPO_FOOTPRINT</x:v>
      </x:c>
      <x:c r="D315" s="2" t="n">
        <x:v>2020</x:v>
      </x:c>
      <x:c r="E315" s="2" t="n">
        <x:v>2023</x:v>
      </x:c>
      <x:c r="F315" s="17" t="n">
        <x:v>198896.74</x:v>
      </x:c>
      <x:c r="G315" s="17" t="n">
        <x:v>200822.6318928674</x:v>
      </x:c>
      <x:c r="H315" s="17" t="n">
        <x:v>198896.74</x:v>
      </x:c>
      <x:c r="I315" s="17" t="n">
        <x:v>198378.32</x:v>
      </x:c>
      <x:c r="J315" s="2" t="str">
        <x:v>m2</x:v>
      </x:c>
      <x:c r="K315" s="15" t="n">
        <x:f>IF(AND(ISNUMBER(F315),ISNUMBER(G315),F315&gt;0),G315/F315-1,"n.a.")</x:f>
        <x:v>0.00968287309720317</x:v>
      </x:c>
      <x:c r="L315" s="15" t="n">
        <x:f>IF(AND(N315,ISNUMBER(H315),ISNUMBER(I315),H315&gt;0),I315/H315-1,"n.a.")</x:f>
        <x:v>-0.0026064781152269623</x:v>
      </x:c>
      <x:c r="M315" s="20" t="n">
        <x:f>IF(AND(ISNUMBER(K315),ISNUMBER(L315)),100*(K315-L315),"n.a.")</x:f>
        <x:v>1.2289351212430133</x:v>
      </x:c>
      <x:c r="N315" s="13" t="b">
        <x:v>1</x:v>
      </x:c>
      <x:c r="O315" s="13" t="b">
        <x:v>1</x:v>
      </x:c>
      <x:c r="P315" s="13" t="b">
        <x:v>0</x:v>
      </x:c>
      <x:c r="Q315" s="2" t="str">
        <x:v>none</x:v>
      </x:c>
      <x:c r="R315" s="2" t="str">
        <x:v>none</x:v>
      </x:c>
      <x:c r="S315" s="2" t="str">
        <x:v>nominal Q4 source model estimate</x:v>
      </x:c>
      <x:c r="T315" s="2" t="str">
        <x:v>nominal Q4 source model estimate</x:v>
      </x:c>
      <x:c r="U315" s="2" t="str">
        <x:v>GFA growth versus source physical quantity growth; constant conversion required for equality</x:v>
      </x:c>
      <x:c r="V315" s="2" t="str">
        <x:v>2020 level is the model anchor; 2023 comparator unused by v16 fit but shares conversion/upstream lineage</x:v>
      </x:c>
      <x:c r="W315" s="2" t="str">
        <x:v>https://arxiv.org/abs/2511.12104</x:v>
      </x:c>
    </x:row>
    <x:row r="316" ht="23" customHeight="1">
      <x:c r="A316" s="2" t="str">
        <x:v>MKD</x:v>
      </x:c>
      <x:c r="B316" s="2" t="str">
        <x:v>North Macedonia (Republic of)</x:v>
      </x:c>
      <x:c r="C316" s="2" t="str">
        <x:v>TEMPO_FOOTPRINT</x:v>
      </x:c>
      <x:c r="D316" s="2" t="n">
        <x:v>2020</x:v>
      </x:c>
      <x:c r="E316" s="2" t="n">
        <x:v>2023</x:v>
      </x:c>
      <x:c r="F316" s="17" t="n">
        <x:v>122189801.58999982</x:v>
      </x:c>
      <x:c r="G316" s="17" t="n">
        <x:v>125152275.58989622</x:v>
      </x:c>
      <x:c r="H316" s="17" t="n">
        <x:v>122189801.59</x:v>
      </x:c>
      <x:c r="I316" s="17" t="n">
        <x:v>129543726.26</x:v>
      </x:c>
      <x:c r="J316" s="2" t="str">
        <x:v>m2</x:v>
      </x:c>
      <x:c r="K316" s="15" t="n">
        <x:f>IF(AND(ISNUMBER(F316),ISNUMBER(G316),F316&gt;0),G316/F316-1,"n.a.")</x:f>
        <x:v>0.024244854818872508</x:v>
      </x:c>
      <x:c r="L316" s="15" t="n">
        <x:f>IF(AND(N316,ISNUMBER(H316),ISNUMBER(I316),H316&gt;0),I316/H316-1,"n.a.")</x:f>
        <x:v>0.060184439080076535</x:v>
      </x:c>
      <x:c r="M316" s="20" t="n">
        <x:f>IF(AND(ISNUMBER(K316),ISNUMBER(L316)),100*(K316-L316),"n.a.")</x:f>
        <x:v>-3.5939584261204027</x:v>
      </x:c>
      <x:c r="N316" s="13" t="b">
        <x:v>1</x:v>
      </x:c>
      <x:c r="O316" s="13" t="b">
        <x:v>1</x:v>
      </x:c>
      <x:c r="P316" s="13" t="b">
        <x:v>0</x:v>
      </x:c>
      <x:c r="Q316" s="2" t="str">
        <x:v>none</x:v>
      </x:c>
      <x:c r="R316" s="2" t="str">
        <x:v>none</x:v>
      </x:c>
      <x:c r="S316" s="2" t="str">
        <x:v>nominal Q4 source model estimate</x:v>
      </x:c>
      <x:c r="T316" s="2" t="str">
        <x:v>nominal Q4 source model estimate</x:v>
      </x:c>
      <x:c r="U316" s="2" t="str">
        <x:v>GFA growth versus source physical quantity growth; constant conversion required for equality</x:v>
      </x:c>
      <x:c r="V316" s="2" t="str">
        <x:v>2020 level is the model anchor; 2023 comparator unused by v16 fit but shares conversion/upstream lineage</x:v>
      </x:c>
      <x:c r="W316" s="2" t="str">
        <x:v>https://arxiv.org/abs/2511.12104</x:v>
      </x:c>
    </x:row>
    <x:row r="317" ht="23" customHeight="1">
      <x:c r="A317" s="2" t="str">
        <x:v>MLI</x:v>
      </x:c>
      <x:c r="B317" s="2" t="str">
        <x:v>Mali (Republic of)</x:v>
      </x:c>
      <x:c r="C317" s="2" t="str">
        <x:v>TEMPO_FOOTPRINT</x:v>
      </x:c>
      <x:c r="D317" s="2" t="n">
        <x:v>2020</x:v>
      </x:c>
      <x:c r="E317" s="2" t="n">
        <x:v>2023</x:v>
      </x:c>
      <x:c r="F317" s="17" t="n">
        <x:v>323707340.7500005</x:v>
      </x:c>
      <x:c r="G317" s="17" t="n">
        <x:v>360443344.9314102</x:v>
      </x:c>
      <x:c r="H317" s="17" t="n">
        <x:v>323707340.75</x:v>
      </x:c>
      <x:c r="I317" s="17" t="n">
        <x:v>362765496.2</x:v>
      </x:c>
      <x:c r="J317" s="2" t="str">
        <x:v>m2</x:v>
      </x:c>
      <x:c r="K317" s="15" t="n">
        <x:f>IF(AND(ISNUMBER(F317),ISNUMBER(G317),F317&gt;0),G317/F317-1,"n.a.")</x:f>
        <x:v>0.11348523668414723</x:v>
      </x:c>
      <x:c r="L317" s="15" t="n">
        <x:f>IF(AND(N317,ISNUMBER(H317),ISNUMBER(I317),H317&gt;0),I317/H317-1,"n.a.")</x:f>
        <x:v>0.12065884993372666</x:v>
      </x:c>
      <x:c r="M317" s="20" t="n">
        <x:f>IF(AND(ISNUMBER(K317),ISNUMBER(L317)),100*(K317-L317),"n.a.")</x:f>
        <x:v>-0.7173613249579436</x:v>
      </x:c>
      <x:c r="N317" s="13" t="b">
        <x:v>1</x:v>
      </x:c>
      <x:c r="O317" s="13" t="b">
        <x:v>1</x:v>
      </x:c>
      <x:c r="P317" s="13" t="b">
        <x:v>0</x:v>
      </x:c>
      <x:c r="Q317" s="2" t="str">
        <x:v>none</x:v>
      </x:c>
      <x:c r="R317" s="2" t="str">
        <x:v>none</x:v>
      </x:c>
      <x:c r="S317" s="2" t="str">
        <x:v>nominal Q4 source model estimate</x:v>
      </x:c>
      <x:c r="T317" s="2" t="str">
        <x:v>nominal Q4 source model estimate</x:v>
      </x:c>
      <x:c r="U317" s="2" t="str">
        <x:v>GFA growth versus source physical quantity growth; constant conversion required for equality</x:v>
      </x:c>
      <x:c r="V317" s="2" t="str">
        <x:v>2020 level is the model anchor; 2023 comparator unused by v16 fit but shares conversion/upstream lineage</x:v>
      </x:c>
      <x:c r="W317" s="2" t="str">
        <x:v>https://arxiv.org/abs/2511.12104</x:v>
      </x:c>
    </x:row>
    <x:row r="318" ht="23" customHeight="1">
      <x:c r="A318" s="2" t="str">
        <x:v>MLT</x:v>
      </x:c>
      <x:c r="B318" s="2" t="str">
        <x:v>Malta (Republic of)</x:v>
      </x:c>
      <x:c r="C318" s="2" t="str">
        <x:v>TEMPO_FOOTPRINT</x:v>
      </x:c>
      <x:c r="D318" s="2" t="n">
        <x:v>2020</x:v>
      </x:c>
      <x:c r="E318" s="2" t="n">
        <x:v>2023</x:v>
      </x:c>
      <x:c r="F318" s="17" t="n">
        <x:v>35087387.829999976</x:v>
      </x:c>
      <x:c r="G318" s="17" t="n">
        <x:v>38205817.79602839</x:v>
      </x:c>
      <x:c r="H318" s="17" t="n">
        <x:v>26330050.25</x:v>
      </x:c>
      <x:c r="I318" s="17" t="n">
        <x:v>26500786.87</x:v>
      </x:c>
      <x:c r="J318" s="2" t="str">
        <x:v>m2</x:v>
      </x:c>
      <x:c r="K318" s="15" t="n">
        <x:f>IF(AND(ISNUMBER(F318),ISNUMBER(G318),F318&gt;0),G318/F318-1,"n.a.")</x:f>
        <x:v>0.08887609363049065</x:v>
      </x:c>
      <x:c r="L318" s="15" t="n">
        <x:f>IF(AND(N318,ISNUMBER(H318),ISNUMBER(I318),H318&gt;0),I318/H318-1,"n.a.")</x:f>
        <x:v>0.006484477560007695</x:v>
      </x:c>
      <x:c r="M318" s="20" t="n">
        <x:f>IF(AND(ISNUMBER(K318),ISNUMBER(L318)),100*(K318-L318),"n.a.")</x:f>
        <x:v>8.239161607048295</x:v>
      </x:c>
      <x:c r="N318" s="13" t="b">
        <x:v>1</x:v>
      </x:c>
      <x:c r="O318" s="13" t="b">
        <x:v>1</x:v>
      </x:c>
      <x:c r="P318" s="13" t="b">
        <x:v>0</x:v>
      </x:c>
      <x:c r="Q318" s="2" t="str">
        <x:v>none</x:v>
      </x:c>
      <x:c r="R318" s="2" t="str">
        <x:v>none</x:v>
      </x:c>
      <x:c r="S318" s="2" t="str">
        <x:v>nominal Q4 source model estimate</x:v>
      </x:c>
      <x:c r="T318" s="2" t="str">
        <x:v>nominal Q4 source model estimate</x:v>
      </x:c>
      <x:c r="U318" s="2" t="str">
        <x:v>GFA growth versus source physical quantity growth; constant conversion required for equality</x:v>
      </x:c>
      <x:c r="V318" s="2" t="str">
        <x:v>2020 level is the model anchor; 2023 comparator unused by v16 fit but shares conversion/upstream lineage</x:v>
      </x:c>
      <x:c r="W318" s="2" t="str">
        <x:v>https://arxiv.org/abs/2511.12104</x:v>
      </x:c>
    </x:row>
    <x:row r="319" ht="23" customHeight="1">
      <x:c r="A319" s="2" t="str">
        <x:v>MMR</x:v>
      </x:c>
      <x:c r="B319" s="2" t="str">
        <x:v>Myanmar (Republic of the Union of)</x:v>
      </x:c>
      <x:c r="C319" s="2" t="str">
        <x:v>TEMPO_FOOTPRINT</x:v>
      </x:c>
      <x:c r="D319" s="2" t="n">
        <x:v>2020</x:v>
      </x:c>
      <x:c r="E319" s="2" t="n">
        <x:v>2023</x:v>
      </x:c>
      <x:c r="F319" s="17" t="n">
        <x:v>1377164281.6799977</x:v>
      </x:c>
      <x:c r="G319" s="17" t="n">
        <x:v>1519827384.5030234</x:v>
      </x:c>
      <x:c r="H319" s="17" t="n">
        <x:v>1377164281.68</x:v>
      </x:c>
      <x:c r="I319" s="17" t="n">
        <x:v>1522255806.33</x:v>
      </x:c>
      <x:c r="J319" s="2" t="str">
        <x:v>m2</x:v>
      </x:c>
      <x:c r="K319" s="15" t="n">
        <x:f>IF(AND(ISNUMBER(F319),ISNUMBER(G319),F319&gt;0),G319/F319-1,"n.a.")</x:f>
        <x:v>0.10359192779019177</x:v>
      </x:c>
      <x:c r="L319" s="15" t="n">
        <x:f>IF(AND(N319,ISNUMBER(H319),ISNUMBER(I319),H319&gt;0),I319/H319-1,"n.a.")</x:f>
        <x:v>0.10535527720266091</x:v>
      </x:c>
      <x:c r="M319" s="20" t="n">
        <x:f>IF(AND(ISNUMBER(K319),ISNUMBER(L319)),100*(K319-L319),"n.a.")</x:f>
        <x:v>-0.17633494124691396</x:v>
      </x:c>
      <x:c r="N319" s="13" t="b">
        <x:v>1</x:v>
      </x:c>
      <x:c r="O319" s="13" t="b">
        <x:v>1</x:v>
      </x:c>
      <x:c r="P319" s="13" t="b">
        <x:v>0</x:v>
      </x:c>
      <x:c r="Q319" s="2" t="str">
        <x:v>none</x:v>
      </x:c>
      <x:c r="R319" s="2" t="str">
        <x:v>none</x:v>
      </x:c>
      <x:c r="S319" s="2" t="str">
        <x:v>nominal Q4 source model estimate</x:v>
      </x:c>
      <x:c r="T319" s="2" t="str">
        <x:v>nominal Q4 source model estimate</x:v>
      </x:c>
      <x:c r="U319" s="2" t="str">
        <x:v>GFA growth versus source physical quantity growth; constant conversion required for equality</x:v>
      </x:c>
      <x:c r="V319" s="2" t="str">
        <x:v>2020 level is the model anchor; 2023 comparator unused by v16 fit but shares conversion/upstream lineage</x:v>
      </x:c>
      <x:c r="W319" s="2" t="str">
        <x:v>https://arxiv.org/abs/2511.12104</x:v>
      </x:c>
    </x:row>
    <x:row r="320" ht="23" customHeight="1">
      <x:c r="A320" s="2" t="str">
        <x:v>MNE</x:v>
      </x:c>
      <x:c r="B320" s="2" t="str">
        <x:v>Montenegro</x:v>
      </x:c>
      <x:c r="C320" s="2" t="str">
        <x:v>TEMPO_FOOTPRINT</x:v>
      </x:c>
      <x:c r="D320" s="2" t="n">
        <x:v>2020</x:v>
      </x:c>
      <x:c r="E320" s="2" t="n">
        <x:v>2023</x:v>
      </x:c>
      <x:c r="F320" s="17" t="n">
        <x:v>39447648.85999995</x:v>
      </x:c>
      <x:c r="G320" s="17" t="n">
        <x:v>42427910.89336175</x:v>
      </x:c>
      <x:c r="H320" s="17" t="n">
        <x:v>39447648.86</x:v>
      </x:c>
      <x:c r="I320" s="17" t="n">
        <x:v>42323390.44</x:v>
      </x:c>
      <x:c r="J320" s="2" t="str">
        <x:v>m2</x:v>
      </x:c>
      <x:c r="K320" s="15" t="n">
        <x:f>IF(AND(ISNUMBER(F320),ISNUMBER(G320),F320&gt;0),G320/F320-1,"n.a.")</x:f>
        <x:v>0.07554980130599875</x:v>
      </x:c>
      <x:c r="L320" s="15" t="n">
        <x:f>IF(AND(N320,ISNUMBER(H320),ISNUMBER(I320),H320&gt;0),I320/H320-1,"n.a.")</x:f>
        <x:v>0.07290020224541216</x:v>
      </x:c>
      <x:c r="M320" s="20" t="n">
        <x:f>IF(AND(ISNUMBER(K320),ISNUMBER(L320)),100*(K320-L320),"n.a.")</x:f>
        <x:v>0.2649599060586594</x:v>
      </x:c>
      <x:c r="N320" s="13" t="b">
        <x:v>1</x:v>
      </x:c>
      <x:c r="O320" s="13" t="b">
        <x:v>1</x:v>
      </x:c>
      <x:c r="P320" s="13" t="b">
        <x:v>0</x:v>
      </x:c>
      <x:c r="Q320" s="2" t="str">
        <x:v>none</x:v>
      </x:c>
      <x:c r="R320" s="2" t="str">
        <x:v>none</x:v>
      </x:c>
      <x:c r="S320" s="2" t="str">
        <x:v>nominal Q4 source model estimate</x:v>
      </x:c>
      <x:c r="T320" s="2" t="str">
        <x:v>nominal Q4 source model estimate</x:v>
      </x:c>
      <x:c r="U320" s="2" t="str">
        <x:v>GFA growth versus source physical quantity growth; constant conversion required for equality</x:v>
      </x:c>
      <x:c r="V320" s="2" t="str">
        <x:v>2020 level is the model anchor; 2023 comparator unused by v16 fit but shares conversion/upstream lineage</x:v>
      </x:c>
      <x:c r="W320" s="2" t="str">
        <x:v>https://arxiv.org/abs/2511.12104</x:v>
      </x:c>
    </x:row>
    <x:row r="321" ht="23" customHeight="1">
      <x:c r="A321" s="2" t="str">
        <x:v>MNG</x:v>
      </x:c>
      <x:c r="B321" s="2" t="str">
        <x:v>Mongolia</x:v>
      </x:c>
      <x:c r="C321" s="2" t="str">
        <x:v>TEMPO_FOOTPRINT</x:v>
      </x:c>
      <x:c r="D321" s="2" t="n">
        <x:v>2020</x:v>
      </x:c>
      <x:c r="E321" s="2" t="n">
        <x:v>2023</x:v>
      </x:c>
      <x:c r="F321" s="17" t="n">
        <x:v>83342838.68000013</x:v>
      </x:c>
      <x:c r="G321" s="17" t="n">
        <x:v>90292994.45228642</x:v>
      </x:c>
      <x:c r="H321" s="17" t="n">
        <x:v>83111291.45</x:v>
      </x:c>
      <x:c r="I321" s="17" t="n">
        <x:v>95911952.62</x:v>
      </x:c>
      <x:c r="J321" s="2" t="str">
        <x:v>m2</x:v>
      </x:c>
      <x:c r="K321" s="15" t="n">
        <x:f>IF(AND(ISNUMBER(F321),ISNUMBER(G321),F321&gt;0),G321/F321-1,"n.a.")</x:f>
        <x:v>0.08339235718826243</x:v>
      </x:c>
      <x:c r="L321" s="15" t="n">
        <x:f>IF(AND(N321,ISNUMBER(H321),ISNUMBER(I321),H321&gt;0),I321/H321-1,"n.a.")</x:f>
        <x:v>0.15401831624408002</x:v>
      </x:c>
      <x:c r="M321" s="20" t="n">
        <x:f>IF(AND(ISNUMBER(K321),ISNUMBER(L321)),100*(K321-L321),"n.a.")</x:f>
        <x:v>-7.062595905581759</x:v>
      </x:c>
      <x:c r="N321" s="13" t="b">
        <x:v>1</x:v>
      </x:c>
      <x:c r="O321" s="13" t="b">
        <x:v>1</x:v>
      </x:c>
      <x:c r="P321" s="13" t="b">
        <x:v>0</x:v>
      </x:c>
      <x:c r="Q321" s="2" t="str">
        <x:v>none</x:v>
      </x:c>
      <x:c r="R321" s="2" t="str">
        <x:v>none</x:v>
      </x:c>
      <x:c r="S321" s="2" t="str">
        <x:v>nominal Q4 source model estimate</x:v>
      </x:c>
      <x:c r="T321" s="2" t="str">
        <x:v>nominal Q4 source model estimate</x:v>
      </x:c>
      <x:c r="U321" s="2" t="str">
        <x:v>GFA growth versus source physical quantity growth; constant conversion required for equality</x:v>
      </x:c>
      <x:c r="V321" s="2" t="str">
        <x:v>2020 level is the model anchor; 2023 comparator unused by v16 fit but shares conversion/upstream lineage</x:v>
      </x:c>
      <x:c r="W321" s="2" t="str">
        <x:v>https://arxiv.org/abs/2511.12104</x:v>
      </x:c>
    </x:row>
    <x:row r="322" ht="23" customHeight="1">
      <x:c r="A322" s="2" t="str">
        <x:v>MOZ</x:v>
      </x:c>
      <x:c r="B322" s="2" t="str">
        <x:v>Mozambique (Republic of)</x:v>
      </x:c>
      <x:c r="C322" s="2" t="str">
        <x:v>TEMPO_FOOTPRINT</x:v>
      </x:c>
      <x:c r="D322" s="2" t="n">
        <x:v>2020</x:v>
      </x:c>
      <x:c r="E322" s="2" t="n">
        <x:v>2023</x:v>
      </x:c>
      <x:c r="F322" s="17" t="n">
        <x:v>540811235.5300008</x:v>
      </x:c>
      <x:c r="G322" s="17" t="n">
        <x:v>593659095.3970346</x:v>
      </x:c>
      <x:c r="H322" s="17" t="n">
        <x:v>540811235.53</x:v>
      </x:c>
      <x:c r="I322" s="17" t="n">
        <x:v>565747554.16</x:v>
      </x:c>
      <x:c r="J322" s="2" t="str">
        <x:v>m2</x:v>
      </x:c>
      <x:c r="K322" s="15" t="n">
        <x:f>IF(AND(ISNUMBER(F322),ISNUMBER(G322),F322&gt;0),G322/F322-1,"n.a.")</x:f>
        <x:v>0.09771960417065362</x:v>
      </x:c>
      <x:c r="L322" s="15" t="n">
        <x:f>IF(AND(N322,ISNUMBER(H322),ISNUMBER(I322),H322&gt;0),I322/H322-1,"n.a.")</x:f>
        <x:v>0.04610909868683133</x:v>
      </x:c>
      <x:c r="M322" s="20" t="n">
        <x:f>IF(AND(ISNUMBER(K322),ISNUMBER(L322)),100*(K322-L322),"n.a.")</x:f>
        <x:v>5.161050548382229</x:v>
      </x:c>
      <x:c r="N322" s="13" t="b">
        <x:v>1</x:v>
      </x:c>
      <x:c r="O322" s="13" t="b">
        <x:v>1</x:v>
      </x:c>
      <x:c r="P322" s="13" t="b">
        <x:v>0</x:v>
      </x:c>
      <x:c r="Q322" s="2" t="str">
        <x:v>none</x:v>
      </x:c>
      <x:c r="R322" s="2" t="str">
        <x:v>none</x:v>
      </x:c>
      <x:c r="S322" s="2" t="str">
        <x:v>nominal Q4 source model estimate</x:v>
      </x:c>
      <x:c r="T322" s="2" t="str">
        <x:v>nominal Q4 source model estimate</x:v>
      </x:c>
      <x:c r="U322" s="2" t="str">
        <x:v>GFA growth versus source physical quantity growth; constant conversion required for equality</x:v>
      </x:c>
      <x:c r="V322" s="2" t="str">
        <x:v>2020 level is the model anchor; 2023 comparator unused by v16 fit but shares conversion/upstream lineage</x:v>
      </x:c>
      <x:c r="W322" s="2" t="str">
        <x:v>https://arxiv.org/abs/2511.12104</x:v>
      </x:c>
    </x:row>
    <x:row r="323" ht="23" customHeight="1">
      <x:c r="A323" s="2" t="str">
        <x:v>MRT</x:v>
      </x:c>
      <x:c r="B323" s="2" t="str">
        <x:v>Mauritania (Islamic Republic of)</x:v>
      </x:c>
      <x:c r="C323" s="2" t="str">
        <x:v>TEMPO_FOOTPRINT</x:v>
      </x:c>
      <x:c r="D323" s="2" t="n">
        <x:v>2020</x:v>
      </x:c>
      <x:c r="E323" s="2" t="n">
        <x:v>2023</x:v>
      </x:c>
      <x:c r="F323" s="17" t="n">
        <x:v>97384454.07000008</x:v>
      </x:c>
      <x:c r="G323" s="17" t="n">
        <x:v>108768070.37373576</x:v>
      </x:c>
      <x:c r="H323" s="17" t="n">
        <x:v>97384454.07</x:v>
      </x:c>
      <x:c r="I323" s="17" t="n">
        <x:v>109421965.67</x:v>
      </x:c>
      <x:c r="J323" s="2" t="str">
        <x:v>m2</x:v>
      </x:c>
      <x:c r="K323" s="15" t="n">
        <x:f>IF(AND(ISNUMBER(F323),ISNUMBER(G323),F323&gt;0),G323/F323-1,"n.a.")</x:f>
        <x:v>0.11689356799754824</x:v>
      </x:c>
      <x:c r="L323" s="15" t="n">
        <x:f>IF(AND(N323,ISNUMBER(H323),ISNUMBER(I323),H323&gt;0),I323/H323-1,"n.a.")</x:f>
        <x:v>0.12360814377361962</x:v>
      </x:c>
      <x:c r="M323" s="20" t="n">
        <x:f>IF(AND(ISNUMBER(K323),ISNUMBER(L323)),100*(K323-L323),"n.a.")</x:f>
        <x:v>-0.6714575776071374</x:v>
      </x:c>
      <x:c r="N323" s="13" t="b">
        <x:v>1</x:v>
      </x:c>
      <x:c r="O323" s="13" t="b">
        <x:v>1</x:v>
      </x:c>
      <x:c r="P323" s="13" t="b">
        <x:v>0</x:v>
      </x:c>
      <x:c r="Q323" s="2" t="str">
        <x:v>none</x:v>
      </x:c>
      <x:c r="R323" s="2" t="str">
        <x:v>none</x:v>
      </x:c>
      <x:c r="S323" s="2" t="str">
        <x:v>nominal Q4 source model estimate</x:v>
      </x:c>
      <x:c r="T323" s="2" t="str">
        <x:v>nominal Q4 source model estimate</x:v>
      </x:c>
      <x:c r="U323" s="2" t="str">
        <x:v>GFA growth versus source physical quantity growth; constant conversion required for equality</x:v>
      </x:c>
      <x:c r="V323" s="2" t="str">
        <x:v>2020 level is the model anchor; 2023 comparator unused by v16 fit but shares conversion/upstream lineage</x:v>
      </x:c>
      <x:c r="W323" s="2" t="str">
        <x:v>https://arxiv.org/abs/2511.12104</x:v>
      </x:c>
    </x:row>
    <x:row r="324" ht="23" customHeight="1">
      <x:c r="A324" s="2" t="str">
        <x:v>MUS</x:v>
      </x:c>
      <x:c r="B324" s="2" t="str">
        <x:v>Mauritius (Republic of)</x:v>
      </x:c>
      <x:c r="C324" s="2" t="str">
        <x:v>TEMPO_FOOTPRINT</x:v>
      </x:c>
      <x:c r="D324" s="2" t="n">
        <x:v>2020</x:v>
      </x:c>
      <x:c r="E324" s="2" t="n">
        <x:v>2023</x:v>
      </x:c>
      <x:c r="F324" s="17" t="n">
        <x:v>65152566.7100001</x:v>
      </x:c>
      <x:c r="G324" s="17" t="n">
        <x:v>68085283.2917745</x:v>
      </x:c>
      <x:c r="H324" s="17" t="n">
        <x:v>64765689.96</x:v>
      </x:c>
      <x:c r="I324" s="17" t="n">
        <x:v>67601899.3</x:v>
      </x:c>
      <x:c r="J324" s="2" t="str">
        <x:v>m2</x:v>
      </x:c>
      <x:c r="K324" s="15" t="n">
        <x:f>IF(AND(ISNUMBER(F324),ISNUMBER(G324),F324&gt;0),G324/F324-1,"n.a.")</x:f>
        <x:v>0.045013062874839305</x:v>
      </x:c>
      <x:c r="L324" s="15" t="n">
        <x:f>IF(AND(N324,ISNUMBER(H324),ISNUMBER(I324),H324&gt;0),I324/H324-1,"n.a.")</x:f>
        <x:v>0.04379184938432168</x:v>
      </x:c>
      <x:c r="M324" s="20" t="n">
        <x:f>IF(AND(ISNUMBER(K324),ISNUMBER(L324)),100*(K324-L324),"n.a.")</x:f>
        <x:v>0.12212134905176253</x:v>
      </x:c>
      <x:c r="N324" s="13" t="b">
        <x:v>1</x:v>
      </x:c>
      <x:c r="O324" s="13" t="b">
        <x:v>1</x:v>
      </x:c>
      <x:c r="P324" s="13" t="b">
        <x:v>0</x:v>
      </x:c>
      <x:c r="Q324" s="2" t="str">
        <x:v>none</x:v>
      </x:c>
      <x:c r="R324" s="2" t="str">
        <x:v>none</x:v>
      </x:c>
      <x:c r="S324" s="2" t="str">
        <x:v>nominal Q4 source model estimate</x:v>
      </x:c>
      <x:c r="T324" s="2" t="str">
        <x:v>nominal Q4 source model estimate</x:v>
      </x:c>
      <x:c r="U324" s="2" t="str">
        <x:v>GFA growth versus source physical quantity growth; constant conversion required for equality</x:v>
      </x:c>
      <x:c r="V324" s="2" t="str">
        <x:v>2020 level is the model anchor; 2023 comparator unused by v16 fit but shares conversion/upstream lineage</x:v>
      </x:c>
      <x:c r="W324" s="2" t="str">
        <x:v>https://arxiv.org/abs/2511.12104</x:v>
      </x:c>
    </x:row>
    <x:row r="325" ht="23" customHeight="1">
      <x:c r="A325" s="2" t="str">
        <x:v>MWI</x:v>
      </x:c>
      <x:c r="B325" s="2" t="str">
        <x:v>Malawi (Republic of)</x:v>
      </x:c>
      <x:c r="C325" s="2" t="str">
        <x:v>TEMPO_FOOTPRINT</x:v>
      </x:c>
      <x:c r="D325" s="2" t="n">
        <x:v>2020</x:v>
      </x:c>
      <x:c r="E325" s="2" t="n">
        <x:v>2023</x:v>
      </x:c>
      <x:c r="F325" s="17" t="n">
        <x:v>330771641.01999974</x:v>
      </x:c>
      <x:c r="G325" s="17" t="n">
        <x:v>361927943.7362978</x:v>
      </x:c>
      <x:c r="H325" s="17" t="n">
        <x:v>330771641.02</x:v>
      </x:c>
      <x:c r="I325" s="17" t="n">
        <x:v>362398367.11</x:v>
      </x:c>
      <x:c r="J325" s="2" t="str">
        <x:v>m2</x:v>
      </x:c>
      <x:c r="K325" s="15" t="n">
        <x:f>IF(AND(ISNUMBER(F325),ISNUMBER(G325),F325&gt;0),G325/F325-1,"n.a.")</x:f>
        <x:v>0.09419278696390476</x:v>
      </x:c>
      <x:c r="L325" s="15" t="n">
        <x:f>IF(AND(N325,ISNUMBER(H325),ISNUMBER(I325),H325&gt;0),I325/H325-1,"n.a.")</x:f>
        <x:v>0.09561498680017655</x:v>
      </x:c>
      <x:c r="M325" s="20" t="n">
        <x:f>IF(AND(ISNUMBER(K325),ISNUMBER(L325)),100*(K325-L325),"n.a.")</x:f>
        <x:v>-0.1422199836271787</x:v>
      </x:c>
      <x:c r="N325" s="13" t="b">
        <x:v>1</x:v>
      </x:c>
      <x:c r="O325" s="13" t="b">
        <x:v>1</x:v>
      </x:c>
      <x:c r="P325" s="13" t="b">
        <x:v>0</x:v>
      </x:c>
      <x:c r="Q325" s="2" t="str">
        <x:v>none</x:v>
      </x:c>
      <x:c r="R325" s="2" t="str">
        <x:v>none</x:v>
      </x:c>
      <x:c r="S325" s="2" t="str">
        <x:v>nominal Q4 source model estimate</x:v>
      </x:c>
      <x:c r="T325" s="2" t="str">
        <x:v>nominal Q4 source model estimate</x:v>
      </x:c>
      <x:c r="U325" s="2" t="str">
        <x:v>GFA growth versus source physical quantity growth; constant conversion required for equality</x:v>
      </x:c>
      <x:c r="V325" s="2" t="str">
        <x:v>2020 level is the model anchor; 2023 comparator unused by v16 fit but shares conversion/upstream lineage</x:v>
      </x:c>
      <x:c r="W325" s="2" t="str">
        <x:v>https://arxiv.org/abs/2511.12104</x:v>
      </x:c>
    </x:row>
    <x:row r="326" ht="23" customHeight="1">
      <x:c r="A326" s="2" t="str">
        <x:v>MYS</x:v>
      </x:c>
      <x:c r="B326" s="2" t="str">
        <x:v>Malaysia</x:v>
      </x:c>
      <x:c r="C326" s="2" t="str">
        <x:v>TEMPO_FOOTPRINT</x:v>
      </x:c>
      <x:c r="D326" s="2" t="n">
        <x:v>2020</x:v>
      </x:c>
      <x:c r="E326" s="2" t="n">
        <x:v>2023</x:v>
      </x:c>
      <x:c r="F326" s="17" t="n">
        <x:v>2041076673.6399992</x:v>
      </x:c>
      <x:c r="G326" s="17" t="n">
        <x:v>2240286852.648412</x:v>
      </x:c>
      <x:c r="H326" s="17" t="n">
        <x:v>1923172736.52</x:v>
      </x:c>
      <x:c r="I326" s="17" t="n">
        <x:v>2038178783.17</x:v>
      </x:c>
      <x:c r="J326" s="2" t="str">
        <x:v>m2</x:v>
      </x:c>
      <x:c r="K326" s="15" t="n">
        <x:f>IF(AND(ISNUMBER(F326),ISNUMBER(G326),F326&gt;0),G326/F326-1,"n.a.")</x:f>
        <x:v>0.09760053680548286</x:v>
      </x:c>
      <x:c r="L326" s="15" t="n">
        <x:f>IF(AND(N326,ISNUMBER(H326),ISNUMBER(I326),H326&gt;0),I326/H326-1,"n.a.")</x:f>
        <x:v>0.05980016483496153</x:v>
      </x:c>
      <x:c r="M326" s="20" t="n">
        <x:f>IF(AND(ISNUMBER(K326),ISNUMBER(L326)),100*(K326-L326),"n.a.")</x:f>
        <x:v>3.780037197052133</x:v>
      </x:c>
      <x:c r="N326" s="13" t="b">
        <x:v>1</x:v>
      </x:c>
      <x:c r="O326" s="13" t="b">
        <x:v>1</x:v>
      </x:c>
      <x:c r="P326" s="13" t="b">
        <x:v>0</x:v>
      </x:c>
      <x:c r="Q326" s="2" t="str">
        <x:v>none</x:v>
      </x:c>
      <x:c r="R326" s="2" t="str">
        <x:v>none</x:v>
      </x:c>
      <x:c r="S326" s="2" t="str">
        <x:v>nominal Q4 source model estimate</x:v>
      </x:c>
      <x:c r="T326" s="2" t="str">
        <x:v>nominal Q4 source model estimate</x:v>
      </x:c>
      <x:c r="U326" s="2" t="str">
        <x:v>GFA growth versus source physical quantity growth; constant conversion required for equality</x:v>
      </x:c>
      <x:c r="V326" s="2" t="str">
        <x:v>2020 level is the model anchor; 2023 comparator unused by v16 fit but shares conversion/upstream lineage</x:v>
      </x:c>
      <x:c r="W326" s="2" t="str">
        <x:v>https://arxiv.org/abs/2511.12104</x:v>
      </x:c>
    </x:row>
    <x:row r="327" ht="23" customHeight="1">
      <x:c r="A327" s="2" t="str">
        <x:v>NAM</x:v>
      </x:c>
      <x:c r="B327" s="2" t="str">
        <x:v>Namibia (Republic of)</x:v>
      </x:c>
      <x:c r="C327" s="2" t="str">
        <x:v>TEMPO_FOOTPRINT</x:v>
      </x:c>
      <x:c r="D327" s="2" t="n">
        <x:v>2020</x:v>
      </x:c>
      <x:c r="E327" s="2" t="n">
        <x:v>2023</x:v>
      </x:c>
      <x:c r="F327" s="17" t="n">
        <x:v>112405609.30999991</x:v>
      </x:c>
      <x:c r="G327" s="17" t="n">
        <x:v>121245506.01639862</x:v>
      </x:c>
      <x:c r="H327" s="17" t="n">
        <x:v>112405609.31</x:v>
      </x:c>
      <x:c r="I327" s="17" t="n">
        <x:v>120928610.42</x:v>
      </x:c>
      <x:c r="J327" s="2" t="str">
        <x:v>m2</x:v>
      </x:c>
      <x:c r="K327" s="15" t="n">
        <x:f>IF(AND(ISNUMBER(F327),ISNUMBER(G327),F327&gt;0),G327/F327-1,"n.a.")</x:f>
        <x:v>0.07864284318782921</x:v>
      </x:c>
      <x:c r="L327" s="15" t="n">
        <x:f>IF(AND(N327,ISNUMBER(H327),ISNUMBER(I327),H327&gt;0),I327/H327-1,"n.a.")</x:f>
        <x:v>0.07582362804061393</x:v>
      </x:c>
      <x:c r="M327" s="20" t="n">
        <x:f>IF(AND(ISNUMBER(K327),ISNUMBER(L327)),100*(K327-L327),"n.a.")</x:f>
        <x:v>0.28192151472152815</x:v>
      </x:c>
      <x:c r="N327" s="13" t="b">
        <x:v>1</x:v>
      </x:c>
      <x:c r="O327" s="13" t="b">
        <x:v>1</x:v>
      </x:c>
      <x:c r="P327" s="13" t="b">
        <x:v>0</x:v>
      </x:c>
      <x:c r="Q327" s="2" t="str">
        <x:v>none</x:v>
      </x:c>
      <x:c r="R327" s="2" t="str">
        <x:v>none</x:v>
      </x:c>
      <x:c r="S327" s="2" t="str">
        <x:v>nominal Q4 source model estimate</x:v>
      </x:c>
      <x:c r="T327" s="2" t="str">
        <x:v>nominal Q4 source model estimate</x:v>
      </x:c>
      <x:c r="U327" s="2" t="str">
        <x:v>GFA growth versus source physical quantity growth; constant conversion required for equality</x:v>
      </x:c>
      <x:c r="V327" s="2" t="str">
        <x:v>2020 level is the model anchor; 2023 comparator unused by v16 fit but shares conversion/upstream lineage</x:v>
      </x:c>
      <x:c r="W327" s="2" t="str">
        <x:v>https://arxiv.org/abs/2511.12104</x:v>
      </x:c>
    </x:row>
    <x:row r="328" ht="23" customHeight="1">
      <x:c r="A328" s="2" t="str">
        <x:v>NER</x:v>
      </x:c>
      <x:c r="B328" s="2" t="str">
        <x:v>Niger (Republic of the)</x:v>
      </x:c>
      <x:c r="C328" s="2" t="str">
        <x:v>TEMPO_FOOTPRINT</x:v>
      </x:c>
      <x:c r="D328" s="2" t="n">
        <x:v>2020</x:v>
      </x:c>
      <x:c r="E328" s="2" t="n">
        <x:v>2023</x:v>
      </x:c>
      <x:c r="F328" s="17" t="n">
        <x:v>203236516.4300003</x:v>
      </x:c>
      <x:c r="G328" s="17" t="n">
        <x:v>231892758.99673218</x:v>
      </x:c>
      <x:c r="H328" s="17" t="n">
        <x:v>203236516.43</x:v>
      </x:c>
      <x:c r="I328" s="17" t="n">
        <x:v>212813754.93</x:v>
      </x:c>
      <x:c r="J328" s="2" t="str">
        <x:v>m2</x:v>
      </x:c>
      <x:c r="K328" s="15" t="n">
        <x:f>IF(AND(ISNUMBER(F328),ISNUMBER(G328),F328&gt;0),G328/F328-1,"n.a.")</x:f>
        <x:v>0.14099947721059158</x:v>
      </x:c>
      <x:c r="L328" s="15" t="n">
        <x:f>IF(AND(N328,ISNUMBER(H328),ISNUMBER(I328),H328&gt;0),I328/H328-1,"n.a.")</x:f>
        <x:v>0.047123610797071835</x:v>
      </x:c>
      <x:c r="M328" s="20" t="n">
        <x:f>IF(AND(ISNUMBER(K328),ISNUMBER(L328)),100*(K328-L328),"n.a.")</x:f>
        <x:v>9.387586641351975</x:v>
      </x:c>
      <x:c r="N328" s="13" t="b">
        <x:v>1</x:v>
      </x:c>
      <x:c r="O328" s="13" t="b">
        <x:v>1</x:v>
      </x:c>
      <x:c r="P328" s="13" t="b">
        <x:v>0</x:v>
      </x:c>
      <x:c r="Q328" s="2" t="str">
        <x:v>none</x:v>
      </x:c>
      <x:c r="R328" s="2" t="str">
        <x:v>none</x:v>
      </x:c>
      <x:c r="S328" s="2" t="str">
        <x:v>nominal Q4 source model estimate</x:v>
      </x:c>
      <x:c r="T328" s="2" t="str">
        <x:v>nominal Q4 source model estimate</x:v>
      </x:c>
      <x:c r="U328" s="2" t="str">
        <x:v>GFA growth versus source physical quantity growth; constant conversion required for equality</x:v>
      </x:c>
      <x:c r="V328" s="2" t="str">
        <x:v>2020 level is the model anchor; 2023 comparator unused by v16 fit but shares conversion/upstream lineage</x:v>
      </x:c>
      <x:c r="W328" s="2" t="str">
        <x:v>https://arxiv.org/abs/2511.12104</x:v>
      </x:c>
    </x:row>
    <x:row r="329" ht="23" customHeight="1">
      <x:c r="A329" s="2" t="str">
        <x:v>NGA</x:v>
      </x:c>
      <x:c r="B329" s="2" t="str">
        <x:v>Nigeria (Federal Republic of)</x:v>
      </x:c>
      <x:c r="C329" s="2" t="str">
        <x:v>TEMPO_FOOTPRINT</x:v>
      </x:c>
      <x:c r="D329" s="2" t="n">
        <x:v>2020</x:v>
      </x:c>
      <x:c r="E329" s="2" t="n">
        <x:v>2023</x:v>
      </x:c>
      <x:c r="F329" s="17" t="n">
        <x:v>4102804870.2700024</x:v>
      </x:c>
      <x:c r="G329" s="17" t="n">
        <x:v>4529091058.902534</x:v>
      </x:c>
      <x:c r="H329" s="17" t="n">
        <x:v>4102804870.27</x:v>
      </x:c>
      <x:c r="I329" s="17" t="n">
        <x:v>4405456725.82</x:v>
      </x:c>
      <x:c r="J329" s="2" t="str">
        <x:v>m2</x:v>
      </x:c>
      <x:c r="K329" s="15" t="n">
        <x:f>IF(AND(ISNUMBER(F329),ISNUMBER(G329),F329&gt;0),G329/F329-1,"n.a.")</x:f>
        <x:v>0.1039011608184226</x:v>
      </x:c>
      <x:c r="L329" s="15" t="n">
        <x:f>IF(AND(N329,ISNUMBER(H329),ISNUMBER(I329),H329&gt;0),I329/H329-1,"n.a.")</x:f>
        <x:v>0.07376706061336091</x:v>
      </x:c>
      <x:c r="M329" s="20" t="n">
        <x:f>IF(AND(ISNUMBER(K329),ISNUMBER(L329)),100*(K329-L329),"n.a.")</x:f>
        <x:v>3.0134100205061687</x:v>
      </x:c>
      <x:c r="N329" s="13" t="b">
        <x:v>1</x:v>
      </x:c>
      <x:c r="O329" s="13" t="b">
        <x:v>1</x:v>
      </x:c>
      <x:c r="P329" s="13" t="b">
        <x:v>0</x:v>
      </x:c>
      <x:c r="Q329" s="2" t="str">
        <x:v>none</x:v>
      </x:c>
      <x:c r="R329" s="2" t="str">
        <x:v>none</x:v>
      </x:c>
      <x:c r="S329" s="2" t="str">
        <x:v>nominal Q4 source model estimate</x:v>
      </x:c>
      <x:c r="T329" s="2" t="str">
        <x:v>nominal Q4 source model estimate</x:v>
      </x:c>
      <x:c r="U329" s="2" t="str">
        <x:v>GFA growth versus source physical quantity growth; constant conversion required for equality</x:v>
      </x:c>
      <x:c r="V329" s="2" t="str">
        <x:v>2020 level is the model anchor; 2023 comparator unused by v16 fit but shares conversion/upstream lineage</x:v>
      </x:c>
      <x:c r="W329" s="2" t="str">
        <x:v>https://arxiv.org/abs/2511.12104</x:v>
      </x:c>
    </x:row>
    <x:row r="330" ht="23" customHeight="1">
      <x:c r="A330" s="2" t="str">
        <x:v>NIC</x:v>
      </x:c>
      <x:c r="B330" s="2" t="str">
        <x:v>Nicaragua (Republic of)</x:v>
      </x:c>
      <x:c r="C330" s="2" t="str">
        <x:v>TEMPO_FOOTPRINT</x:v>
      </x:c>
      <x:c r="D330" s="2" t="n">
        <x:v>2020</x:v>
      </x:c>
      <x:c r="E330" s="2" t="n">
        <x:v>2023</x:v>
      </x:c>
      <x:c r="F330" s="17" t="n">
        <x:v>201940338.64999992</x:v>
      </x:c>
      <x:c r="G330" s="17" t="n">
        <x:v>220275456.25770077</x:v>
      </x:c>
      <x:c r="H330" s="17" t="n">
        <x:v>201940338.65</x:v>
      </x:c>
      <x:c r="I330" s="17" t="n">
        <x:v>217312926.14</x:v>
      </x:c>
      <x:c r="J330" s="2" t="str">
        <x:v>m2</x:v>
      </x:c>
      <x:c r="K330" s="15" t="n">
        <x:f>IF(AND(ISNUMBER(F330),ISNUMBER(G330),F330&gt;0),G330/F330-1,"n.a.")</x:f>
        <x:v>0.090794725463341</x:v>
      </x:c>
      <x:c r="L330" s="15" t="n">
        <x:f>IF(AND(N330,ISNUMBER(H330),ISNUMBER(I330),H330&gt;0),I330/H330-1,"n.a.")</x:f>
        <x:v>0.07612440185436897</x:v>
      </x:c>
      <x:c r="M330" s="20" t="n">
        <x:f>IF(AND(ISNUMBER(K330),ISNUMBER(L330)),100*(K330-L330),"n.a.")</x:f>
        <x:v>1.4670323608972025</x:v>
      </x:c>
      <x:c r="N330" s="13" t="b">
        <x:v>1</x:v>
      </x:c>
      <x:c r="O330" s="13" t="b">
        <x:v>1</x:v>
      </x:c>
      <x:c r="P330" s="13" t="b">
        <x:v>0</x:v>
      </x:c>
      <x:c r="Q330" s="2" t="str">
        <x:v>none</x:v>
      </x:c>
      <x:c r="R330" s="2" t="str">
        <x:v>none</x:v>
      </x:c>
      <x:c r="S330" s="2" t="str">
        <x:v>nominal Q4 source model estimate</x:v>
      </x:c>
      <x:c r="T330" s="2" t="str">
        <x:v>nominal Q4 source model estimate</x:v>
      </x:c>
      <x:c r="U330" s="2" t="str">
        <x:v>GFA growth versus source physical quantity growth; constant conversion required for equality</x:v>
      </x:c>
      <x:c r="V330" s="2" t="str">
        <x:v>2020 level is the model anchor; 2023 comparator unused by v16 fit but shares conversion/upstream lineage</x:v>
      </x:c>
      <x:c r="W330" s="2" t="str">
        <x:v>https://arxiv.org/abs/2511.12104</x:v>
      </x:c>
    </x:row>
    <x:row r="331" ht="23" customHeight="1">
      <x:c r="A331" s="2" t="str">
        <x:v>NLD</x:v>
      </x:c>
      <x:c r="B331" s="2" t="str">
        <x:v>Netherlands (Kingdom of the)</x:v>
      </x:c>
      <x:c r="C331" s="2" t="str">
        <x:v>TEMPO_FOOTPRINT</x:v>
      </x:c>
      <x:c r="D331" s="2" t="n">
        <x:v>2020</x:v>
      </x:c>
      <x:c r="E331" s="2" t="n">
        <x:v>2023</x:v>
      </x:c>
      <x:c r="F331" s="17" t="n">
        <x:v>1464947836.6400025</x:v>
      </x:c>
      <x:c r="G331" s="17" t="n">
        <x:v>1617809345.5752683</x:v>
      </x:c>
      <x:c r="H331" s="17" t="n">
        <x:v>1263819429.15</x:v>
      </x:c>
      <x:c r="I331" s="17" t="n">
        <x:v>1314859110.94</x:v>
      </x:c>
      <x:c r="J331" s="2" t="str">
        <x:v>m2</x:v>
      </x:c>
      <x:c r="K331" s="15" t="n">
        <x:f>IF(AND(ISNUMBER(F331),ISNUMBER(G331),F331&gt;0),G331/F331-1,"n.a.")</x:f>
        <x:v>0.10434604230405098</x:v>
      </x:c>
      <x:c r="L331" s="15" t="n">
        <x:f>IF(AND(N331,ISNUMBER(H331),ISNUMBER(I331),H331&gt;0),I331/H331-1,"n.a.")</x:f>
        <x:v>0.04038526439202439</x:v>
      </x:c>
      <x:c r="M331" s="20" t="n">
        <x:f>IF(AND(ISNUMBER(K331),ISNUMBER(L331)),100*(K331-L331),"n.a.")</x:f>
        <x:v>6.396077791202659</x:v>
      </x:c>
      <x:c r="N331" s="13" t="b">
        <x:v>1</x:v>
      </x:c>
      <x:c r="O331" s="13" t="b">
        <x:v>1</x:v>
      </x:c>
      <x:c r="P331" s="13" t="b">
        <x:v>0</x:v>
      </x:c>
      <x:c r="Q331" s="2" t="str">
        <x:v>none</x:v>
      </x:c>
      <x:c r="R331" s="2" t="str">
        <x:v>none</x:v>
      </x:c>
      <x:c r="S331" s="2" t="str">
        <x:v>nominal Q4 source model estimate</x:v>
      </x:c>
      <x:c r="T331" s="2" t="str">
        <x:v>nominal Q4 source model estimate</x:v>
      </x:c>
      <x:c r="U331" s="2" t="str">
        <x:v>GFA growth versus source physical quantity growth; constant conversion required for equality</x:v>
      </x:c>
      <x:c r="V331" s="2" t="str">
        <x:v>2020 level is the model anchor; 2023 comparator unused by v16 fit but shares conversion/upstream lineage</x:v>
      </x:c>
      <x:c r="W331" s="2" t="str">
        <x:v>https://arxiv.org/abs/2511.12104</x:v>
      </x:c>
    </x:row>
    <x:row r="332" ht="23" customHeight="1">
      <x:c r="A332" s="2" t="str">
        <x:v>NOR</x:v>
      </x:c>
      <x:c r="B332" s="2" t="str">
        <x:v>Norway (Kingdom of)</x:v>
      </x:c>
      <x:c r="C332" s="2" t="str">
        <x:v>TEMPO_FOOTPRINT</x:v>
      </x:c>
      <x:c r="D332" s="2" t="n">
        <x:v>2020</x:v>
      </x:c>
      <x:c r="E332" s="2" t="n">
        <x:v>2023</x:v>
      </x:c>
      <x:c r="F332" s="17" t="n">
        <x:v>478516256.6100005</x:v>
      </x:c>
      <x:c r="G332" s="17" t="n">
        <x:v>542319411.7409029</x:v>
      </x:c>
      <x:c r="H332" s="17" t="n">
        <x:v>478516256.61</x:v>
      </x:c>
      <x:c r="I332" s="17" t="n">
        <x:v>492089896.15</x:v>
      </x:c>
      <x:c r="J332" s="2" t="str">
        <x:v>m2</x:v>
      </x:c>
      <x:c r="K332" s="15" t="n">
        <x:f>IF(AND(ISNUMBER(F332),ISNUMBER(G332),F332&gt;0),G332/F332-1,"n.a.")</x:f>
        <x:v>0.13333539717732745</x:v>
      </x:c>
      <x:c r="L332" s="15" t="n">
        <x:f>IF(AND(N332,ISNUMBER(H332),ISNUMBER(I332),H332&gt;0),I332/H332-1,"n.a.")</x:f>
        <x:v>0.02836609906664611</x:v>
      </x:c>
      <x:c r="M332" s="20" t="n">
        <x:f>IF(AND(ISNUMBER(K332),ISNUMBER(L332)),100*(K332-L332),"n.a.")</x:f>
        <x:v>10.496929811068135</x:v>
      </x:c>
      <x:c r="N332" s="13" t="b">
        <x:v>1</x:v>
      </x:c>
      <x:c r="O332" s="13" t="b">
        <x:v>1</x:v>
      </x:c>
      <x:c r="P332" s="13" t="b">
        <x:v>0</x:v>
      </x:c>
      <x:c r="Q332" s="2" t="str">
        <x:v>none</x:v>
      </x:c>
      <x:c r="R332" s="2" t="str">
        <x:v>none</x:v>
      </x:c>
      <x:c r="S332" s="2" t="str">
        <x:v>nominal Q4 source model estimate</x:v>
      </x:c>
      <x:c r="T332" s="2" t="str">
        <x:v>nominal Q4 source model estimate</x:v>
      </x:c>
      <x:c r="U332" s="2" t="str">
        <x:v>GFA growth versus source physical quantity growth; constant conversion required for equality</x:v>
      </x:c>
      <x:c r="V332" s="2" t="str">
        <x:v>2020 level is the model anchor; 2023 comparator unused by v16 fit but shares conversion/upstream lineage</x:v>
      </x:c>
      <x:c r="W332" s="2" t="str">
        <x:v>https://arxiv.org/abs/2511.12104</x:v>
      </x:c>
    </x:row>
    <x:row r="333" ht="23" customHeight="1">
      <x:c r="A333" s="2" t="str">
        <x:v>NPL</x:v>
      </x:c>
      <x:c r="B333" s="2" t="str">
        <x:v>Nepal (Federal Democratic Republic of)</x:v>
      </x:c>
      <x:c r="C333" s="2" t="str">
        <x:v>TEMPO_FOOTPRINT</x:v>
      </x:c>
      <x:c r="D333" s="2" t="n">
        <x:v>2020</x:v>
      </x:c>
      <x:c r="E333" s="2" t="n">
        <x:v>2023</x:v>
      </x:c>
      <x:c r="F333" s="17" t="n">
        <x:v>656084354.4999993</x:v>
      </x:c>
      <x:c r="G333" s="17" t="n">
        <x:v>707802184.0028585</x:v>
      </x:c>
      <x:c r="H333" s="17" t="n">
        <x:v>656084354.5</x:v>
      </x:c>
      <x:c r="I333" s="17" t="n">
        <x:v>720562916.9</x:v>
      </x:c>
      <x:c r="J333" s="2" t="str">
        <x:v>m2</x:v>
      </x:c>
      <x:c r="K333" s="15" t="n">
        <x:f>IF(AND(ISNUMBER(F333),ISNUMBER(G333),F333&gt;0),G333/F333-1,"n.a.")</x:f>
        <x:v>0.07882801829998409</x:v>
      </x:c>
      <x:c r="L333" s="15" t="n">
        <x:f>IF(AND(N333,ISNUMBER(H333),ISNUMBER(I333),H333&gt;0),I333/H333-1,"n.a.")</x:f>
        <x:v>0.09827785399506883</x:v>
      </x:c>
      <x:c r="M333" s="20" t="n">
        <x:f>IF(AND(ISNUMBER(K333),ISNUMBER(L333)),100*(K333-L333),"n.a.")</x:f>
        <x:v>-1.9449835695084738</x:v>
      </x:c>
      <x:c r="N333" s="13" t="b">
        <x:v>1</x:v>
      </x:c>
      <x:c r="O333" s="13" t="b">
        <x:v>1</x:v>
      </x:c>
      <x:c r="P333" s="13" t="b">
        <x:v>0</x:v>
      </x:c>
      <x:c r="Q333" s="2" t="str">
        <x:v>none</x:v>
      </x:c>
      <x:c r="R333" s="2" t="str">
        <x:v>none</x:v>
      </x:c>
      <x:c r="S333" s="2" t="str">
        <x:v>nominal Q4 source model estimate</x:v>
      </x:c>
      <x:c r="T333" s="2" t="str">
        <x:v>nominal Q4 source model estimate</x:v>
      </x:c>
      <x:c r="U333" s="2" t="str">
        <x:v>GFA growth versus source physical quantity growth; constant conversion required for equality</x:v>
      </x:c>
      <x:c r="V333" s="2" t="str">
        <x:v>2020 level is the model anchor; 2023 comparator unused by v16 fit but shares conversion/upstream lineage</x:v>
      </x:c>
      <x:c r="W333" s="2" t="str">
        <x:v>https://arxiv.org/abs/2511.12104</x:v>
      </x:c>
    </x:row>
    <x:row r="334" ht="23" customHeight="1">
      <x:c r="A334" s="2" t="str">
        <x:v>NRU</x:v>
      </x:c>
      <x:c r="B334" s="2" t="str">
        <x:v>Nauru (Republic of)</x:v>
      </x:c>
      <x:c r="C334" s="2" t="str">
        <x:v>TEMPO_FOOTPRINT</x:v>
      </x:c>
      <x:c r="D334" s="2" t="n">
        <x:v>2020</x:v>
      </x:c>
      <x:c r="E334" s="2" t="n">
        <x:v>2023</x:v>
      </x:c>
      <x:c r="F334" s="17" t="n">
        <x:v>405989.38000000024</x:v>
      </x:c>
      <x:c r="G334" s="17" t="n">
        <x:v>445868.28140939225</x:v>
      </x:c>
      <x:c r="H334" s="17" t="n">
        <x:v>405989.38</x:v>
      </x:c>
      <x:c r="I334" s="17" t="n">
        <x:v>440908.5</x:v>
      </x:c>
      <x:c r="J334" s="2" t="str">
        <x:v>m2</x:v>
      </x:c>
      <x:c r="K334" s="15" t="n">
        <x:f>IF(AND(ISNUMBER(F334),ISNUMBER(G334),F334&gt;0),G334/F334-1,"n.a.")</x:f>
        <x:v>0.09822646446907557</x:v>
      </x:c>
      <x:c r="L334" s="15" t="n">
        <x:f>IF(AND(N334,ISNUMBER(H334),ISNUMBER(I334),H334&gt;0),I334/H334-1,"n.a.")</x:f>
        <x:v>0.08600993454557848</x:v>
      </x:c>
      <x:c r="M334" s="20" t="n">
        <x:f>IF(AND(ISNUMBER(K334),ISNUMBER(L334)),100*(K334-L334),"n.a.")</x:f>
        <x:v>1.2216529923497088</x:v>
      </x:c>
      <x:c r="N334" s="13" t="b">
        <x:v>1</x:v>
      </x:c>
      <x:c r="O334" s="13" t="b">
        <x:v>1</x:v>
      </x:c>
      <x:c r="P334" s="13" t="b">
        <x:v>0</x:v>
      </x:c>
      <x:c r="Q334" s="2" t="str">
        <x:v>none</x:v>
      </x:c>
      <x:c r="R334" s="2" t="str">
        <x:v>none</x:v>
      </x:c>
      <x:c r="S334" s="2" t="str">
        <x:v>nominal Q4 source model estimate</x:v>
      </x:c>
      <x:c r="T334" s="2" t="str">
        <x:v>nominal Q4 source model estimate</x:v>
      </x:c>
      <x:c r="U334" s="2" t="str">
        <x:v>GFA growth versus source physical quantity growth; constant conversion required for equality</x:v>
      </x:c>
      <x:c r="V334" s="2" t="str">
        <x:v>2020 level is the model anchor; 2023 comparator unused by v16 fit but shares conversion/upstream lineage</x:v>
      </x:c>
      <x:c r="W334" s="2" t="str">
        <x:v>https://arxiv.org/abs/2511.12104</x:v>
      </x:c>
    </x:row>
    <x:row r="335" ht="23" customHeight="1">
      <x:c r="A335" s="2" t="str">
        <x:v>NZL</x:v>
      </x:c>
      <x:c r="B335" s="2" t="str">
        <x:v>New Zealand</x:v>
      </x:c>
      <x:c r="C335" s="2" t="str">
        <x:v>TEMPO_FOOTPRINT</x:v>
      </x:c>
      <x:c r="D335" s="2" t="n">
        <x:v>2020</x:v>
      </x:c>
      <x:c r="E335" s="2" t="n">
        <x:v>2023</x:v>
      </x:c>
      <x:c r="F335" s="17" t="n">
        <x:v>553529463.7899991</x:v>
      </x:c>
      <x:c r="G335" s="17" t="n">
        <x:v>569428738.7998221</x:v>
      </x:c>
      <x:c r="H335" s="17" t="n">
        <x:v>553529463.79</x:v>
      </x:c>
      <x:c r="I335" s="17" t="n">
        <x:v>586222189.09</x:v>
      </x:c>
      <x:c r="J335" s="2" t="str">
        <x:v>m2</x:v>
      </x:c>
      <x:c r="K335" s="15" t="n">
        <x:f>IF(AND(ISNUMBER(F335),ISNUMBER(G335),F335&gt;0),G335/F335-1,"n.a.")</x:f>
        <x:v>0.028723448433911836</x:v>
      </x:c>
      <x:c r="L335" s="15" t="n">
        <x:f>IF(AND(N335,ISNUMBER(H335),ISNUMBER(I335),H335&gt;0),I335/H335-1,"n.a.")</x:f>
        <x:v>0.059062303704944474</x:v>
      </x:c>
      <x:c r="M335" s="20" t="n">
        <x:f>IF(AND(ISNUMBER(K335),ISNUMBER(L335)),100*(K335-L335),"n.a.")</x:f>
        <x:v>-3.033885527103264</x:v>
      </x:c>
      <x:c r="N335" s="13" t="b">
        <x:v>1</x:v>
      </x:c>
      <x:c r="O335" s="13" t="b">
        <x:v>1</x:v>
      </x:c>
      <x:c r="P335" s="13" t="b">
        <x:v>0</x:v>
      </x:c>
      <x:c r="Q335" s="2" t="str">
        <x:v>none</x:v>
      </x:c>
      <x:c r="R335" s="2" t="str">
        <x:v>none</x:v>
      </x:c>
      <x:c r="S335" s="2" t="str">
        <x:v>nominal Q4 source model estimate</x:v>
      </x:c>
      <x:c r="T335" s="2" t="str">
        <x:v>nominal Q4 source model estimate</x:v>
      </x:c>
      <x:c r="U335" s="2" t="str">
        <x:v>GFA growth versus source physical quantity growth; constant conversion required for equality</x:v>
      </x:c>
      <x:c r="V335" s="2" t="str">
        <x:v>2020 level is the model anchor; 2023 comparator unused by v16 fit but shares conversion/upstream lineage</x:v>
      </x:c>
      <x:c r="W335" s="2" t="str">
        <x:v>https://arxiv.org/abs/2511.12104</x:v>
      </x:c>
    </x:row>
    <x:row r="336" ht="23" customHeight="1">
      <x:c r="A336" s="2" t="str">
        <x:v>OMN</x:v>
      </x:c>
      <x:c r="B336" s="2" t="str">
        <x:v>Oman (Sultanate of)</x:v>
      </x:c>
      <x:c r="C336" s="2" t="str">
        <x:v>TEMPO_FOOTPRINT</x:v>
      </x:c>
      <x:c r="D336" s="2" t="n">
        <x:v>2020</x:v>
      </x:c>
      <x:c r="E336" s="2" t="n">
        <x:v>2023</x:v>
      </x:c>
      <x:c r="F336" s="17" t="n">
        <x:v>262659820.8500002</x:v>
      </x:c>
      <x:c r="G336" s="17" t="n">
        <x:v>286550123.99235415</x:v>
      </x:c>
      <x:c r="H336" s="17" t="n">
        <x:v>262659820.85</x:v>
      </x:c>
      <x:c r="I336" s="17" t="n">
        <x:v>298636482.92</x:v>
      </x:c>
      <x:c r="J336" s="2" t="str">
        <x:v>m2</x:v>
      </x:c>
      <x:c r="K336" s="15" t="n">
        <x:f>IF(AND(ISNUMBER(F336),ISNUMBER(G336),F336&gt;0),G336/F336-1,"n.a.")</x:f>
        <x:v>0.09095530129062723</x:v>
      </x:c>
      <x:c r="L336" s="15" t="n">
        <x:f>IF(AND(N336,ISNUMBER(H336),ISNUMBER(I336),H336&gt;0),I336/H336-1,"n.a.")</x:f>
        <x:v>0.13697055740605868</x:v>
      </x:c>
      <x:c r="M336" s="20" t="n">
        <x:f>IF(AND(ISNUMBER(K336),ISNUMBER(L336)),100*(K336-L336),"n.a.")</x:f>
        <x:v>-4.601525611543145</x:v>
      </x:c>
      <x:c r="N336" s="13" t="b">
        <x:v>1</x:v>
      </x:c>
      <x:c r="O336" s="13" t="b">
        <x:v>1</x:v>
      </x:c>
      <x:c r="P336" s="13" t="b">
        <x:v>0</x:v>
      </x:c>
      <x:c r="Q336" s="2" t="str">
        <x:v>none</x:v>
      </x:c>
      <x:c r="R336" s="2" t="str">
        <x:v>none</x:v>
      </x:c>
      <x:c r="S336" s="2" t="str">
        <x:v>nominal Q4 source model estimate</x:v>
      </x:c>
      <x:c r="T336" s="2" t="str">
        <x:v>nominal Q4 source model estimate</x:v>
      </x:c>
      <x:c r="U336" s="2" t="str">
        <x:v>GFA growth versus source physical quantity growth; constant conversion required for equality</x:v>
      </x:c>
      <x:c r="V336" s="2" t="str">
        <x:v>2020 level is the model anchor; 2023 comparator unused by v16 fit but shares conversion/upstream lineage</x:v>
      </x:c>
      <x:c r="W336" s="2" t="str">
        <x:v>https://arxiv.org/abs/2511.12104</x:v>
      </x:c>
    </x:row>
    <x:row r="337" ht="23" customHeight="1">
      <x:c r="A337" s="2" t="str">
        <x:v>PAK</x:v>
      </x:c>
      <x:c r="B337" s="2" t="str">
        <x:v>Pakistan (Islamic Republic of)</x:v>
      </x:c>
      <x:c r="C337" s="2" t="str">
        <x:v>TEMPO_FOOTPRINT</x:v>
      </x:c>
      <x:c r="D337" s="2" t="n">
        <x:v>2020</x:v>
      </x:c>
      <x:c r="E337" s="2" t="n">
        <x:v>2023</x:v>
      </x:c>
      <x:c r="F337" s="17" t="n">
        <x:v>4301390083.520005</x:v>
      </x:c>
      <x:c r="G337" s="17" t="n">
        <x:v>4785996828.103547</x:v>
      </x:c>
      <x:c r="H337" s="17" t="n">
        <x:v>4301390083.52</x:v>
      </x:c>
      <x:c r="I337" s="17" t="n">
        <x:v>4562318910.21</x:v>
      </x:c>
      <x:c r="J337" s="2" t="str">
        <x:v>m2</x:v>
      </x:c>
      <x:c r="K337" s="15" t="n">
        <x:f>IF(AND(ISNUMBER(F337),ISNUMBER(G337),F337&gt;0),G337/F337-1,"n.a.")</x:f>
        <x:v>0.11266282182595444</x:v>
      </x:c>
      <x:c r="L337" s="15" t="n">
        <x:f>IF(AND(N337,ISNUMBER(H337),ISNUMBER(I337),H337&gt;0),I337/H337-1,"n.a.")</x:f>
        <x:v>0.06066151212132587</x:v>
      </x:c>
      <x:c r="M337" s="20" t="n">
        <x:f>IF(AND(ISNUMBER(K337),ISNUMBER(L337)),100*(K337-L337),"n.a.")</x:f>
        <x:v>5.200130970462857</x:v>
      </x:c>
      <x:c r="N337" s="13" t="b">
        <x:v>1</x:v>
      </x:c>
      <x:c r="O337" s="13" t="b">
        <x:v>1</x:v>
      </x:c>
      <x:c r="P337" s="13" t="b">
        <x:v>0</x:v>
      </x:c>
      <x:c r="Q337" s="2" t="str">
        <x:v>none</x:v>
      </x:c>
      <x:c r="R337" s="2" t="str">
        <x:v>none</x:v>
      </x:c>
      <x:c r="S337" s="2" t="str">
        <x:v>nominal Q4 source model estimate</x:v>
      </x:c>
      <x:c r="T337" s="2" t="str">
        <x:v>nominal Q4 source model estimate</x:v>
      </x:c>
      <x:c r="U337" s="2" t="str">
        <x:v>GFA growth versus source physical quantity growth; constant conversion required for equality</x:v>
      </x:c>
      <x:c r="V337" s="2" t="str">
        <x:v>2020 level is the model anchor; 2023 comparator unused by v16 fit but shares conversion/upstream lineage</x:v>
      </x:c>
      <x:c r="W337" s="2" t="str">
        <x:v>https://arxiv.org/abs/2511.12104</x:v>
      </x:c>
    </x:row>
    <x:row r="338" ht="23" customHeight="1">
      <x:c r="A338" s="2" t="str">
        <x:v>PAN</x:v>
      </x:c>
      <x:c r="B338" s="2" t="str">
        <x:v>Panama (Republic of)</x:v>
      </x:c>
      <x:c r="C338" s="2" t="str">
        <x:v>TEMPO_FOOTPRINT</x:v>
      </x:c>
      <x:c r="D338" s="2" t="n">
        <x:v>2020</x:v>
      </x:c>
      <x:c r="E338" s="2" t="n">
        <x:v>2023</x:v>
      </x:c>
      <x:c r="F338" s="17" t="n">
        <x:v>209722829.7800001</x:v>
      </x:c>
      <x:c r="G338" s="17" t="n">
        <x:v>226443992.67294908</x:v>
      </x:c>
      <x:c r="H338" s="17" t="n">
        <x:v>209722829.78</x:v>
      </x:c>
      <x:c r="I338" s="17" t="n">
        <x:v>222615540.57</x:v>
      </x:c>
      <x:c r="J338" s="2" t="str">
        <x:v>m2</x:v>
      </x:c>
      <x:c r="K338" s="15" t="n">
        <x:f>IF(AND(ISNUMBER(F338),ISNUMBER(G338),F338&gt;0),G338/F338-1,"n.a.")</x:f>
        <x:v>0.07972981725685058</x:v>
      </x:c>
      <x:c r="L338" s="15" t="n">
        <x:f>IF(AND(N338,ISNUMBER(H338),ISNUMBER(I338),H338&gt;0),I338/H338-1,"n.a.")</x:f>
        <x:v>0.0614749991859469</x:v>
      </x:c>
      <x:c r="M338" s="20" t="n">
        <x:f>IF(AND(ISNUMBER(K338),ISNUMBER(L338)),100*(K338-L338),"n.a.")</x:f>
        <x:v>1.8254818070903678</x:v>
      </x:c>
      <x:c r="N338" s="13" t="b">
        <x:v>1</x:v>
      </x:c>
      <x:c r="O338" s="13" t="b">
        <x:v>1</x:v>
      </x:c>
      <x:c r="P338" s="13" t="b">
        <x:v>0</x:v>
      </x:c>
      <x:c r="Q338" s="2" t="str">
        <x:v>none</x:v>
      </x:c>
      <x:c r="R338" s="2" t="str">
        <x:v>none</x:v>
      </x:c>
      <x:c r="S338" s="2" t="str">
        <x:v>nominal Q4 source model estimate</x:v>
      </x:c>
      <x:c r="T338" s="2" t="str">
        <x:v>nominal Q4 source model estimate</x:v>
      </x:c>
      <x:c r="U338" s="2" t="str">
        <x:v>GFA growth versus source physical quantity growth; constant conversion required for equality</x:v>
      </x:c>
      <x:c r="V338" s="2" t="str">
        <x:v>2020 level is the model anchor; 2023 comparator unused by v16 fit but shares conversion/upstream lineage</x:v>
      </x:c>
      <x:c r="W338" s="2" t="str">
        <x:v>https://arxiv.org/abs/2511.12104</x:v>
      </x:c>
    </x:row>
    <x:row r="339" ht="23" customHeight="1">
      <x:c r="A339" s="2" t="str">
        <x:v>PER</x:v>
      </x:c>
      <x:c r="B339" s="2" t="str">
        <x:v>Peru (Republic of)</x:v>
      </x:c>
      <x:c r="C339" s="2" t="str">
        <x:v>TEMPO_FOOTPRINT</x:v>
      </x:c>
      <x:c r="D339" s="2" t="n">
        <x:v>2020</x:v>
      </x:c>
      <x:c r="E339" s="2" t="n">
        <x:v>2023</x:v>
      </x:c>
      <x:c r="F339" s="17" t="n">
        <x:v>1228349086.860001</x:v>
      </x:c>
      <x:c r="G339" s="17" t="n">
        <x:v>1339638115.2916863</x:v>
      </x:c>
      <x:c r="H339" s="17" t="n">
        <x:v>1228349086.86</x:v>
      </x:c>
      <x:c r="I339" s="17" t="n">
        <x:v>1316509778.75</x:v>
      </x:c>
      <x:c r="J339" s="2" t="str">
        <x:v>m2</x:v>
      </x:c>
      <x:c r="K339" s="15" t="n">
        <x:f>IF(AND(ISNUMBER(F339),ISNUMBER(G339),F339&gt;0),G339/F339-1,"n.a.")</x:f>
        <x:v>0.09060048940661547</x:v>
      </x:c>
      <x:c r="L339" s="15" t="n">
        <x:f>IF(AND(N339,ISNUMBER(H339),ISNUMBER(I339),H339&gt;0),I339/H339-1,"n.a.")</x:f>
        <x:v>0.07177169164130959</x:v>
      </x:c>
      <x:c r="M339" s="20" t="n">
        <x:f>IF(AND(ISNUMBER(K339),ISNUMBER(L339)),100*(K339-L339),"n.a.")</x:f>
        <x:v>1.8828797765305882</x:v>
      </x:c>
      <x:c r="N339" s="13" t="b">
        <x:v>1</x:v>
      </x:c>
      <x:c r="O339" s="13" t="b">
        <x:v>1</x:v>
      </x:c>
      <x:c r="P339" s="13" t="b">
        <x:v>0</x:v>
      </x:c>
      <x:c r="Q339" s="2" t="str">
        <x:v>none</x:v>
      </x:c>
      <x:c r="R339" s="2" t="str">
        <x:v>none</x:v>
      </x:c>
      <x:c r="S339" s="2" t="str">
        <x:v>nominal Q4 source model estimate</x:v>
      </x:c>
      <x:c r="T339" s="2" t="str">
        <x:v>nominal Q4 source model estimate</x:v>
      </x:c>
      <x:c r="U339" s="2" t="str">
        <x:v>GFA growth versus source physical quantity growth; constant conversion required for equality</x:v>
      </x:c>
      <x:c r="V339" s="2" t="str">
        <x:v>2020 level is the model anchor; 2023 comparator unused by v16 fit but shares conversion/upstream lineage</x:v>
      </x:c>
      <x:c r="W339" s="2" t="str">
        <x:v>https://arxiv.org/abs/2511.12104</x:v>
      </x:c>
    </x:row>
    <x:row r="340" ht="23" customHeight="1">
      <x:c r="A340" s="2" t="str">
        <x:v>PHL</x:v>
      </x:c>
      <x:c r="B340" s="2" t="str">
        <x:v>Philippines (Republic of the)</x:v>
      </x:c>
      <x:c r="C340" s="2" t="str">
        <x:v>TEMPO_FOOTPRINT</x:v>
      </x:c>
      <x:c r="D340" s="2" t="n">
        <x:v>2020</x:v>
      </x:c>
      <x:c r="E340" s="2" t="n">
        <x:v>2023</x:v>
      </x:c>
      <x:c r="F340" s="17" t="n">
        <x:v>2290609295.400001</x:v>
      </x:c>
      <x:c r="G340" s="17" t="n">
        <x:v>2571747623.808842</x:v>
      </x:c>
      <x:c r="H340" s="17" t="n">
        <x:v>2290609295.4</x:v>
      </x:c>
      <x:c r="I340" s="17" t="n">
        <x:v>2486971631</x:v>
      </x:c>
      <x:c r="J340" s="2" t="str">
        <x:v>m2</x:v>
      </x:c>
      <x:c r="K340" s="15" t="n">
        <x:f>IF(AND(ISNUMBER(F340),ISNUMBER(G340),F340&gt;0),G340/F340-1,"n.a.")</x:f>
        <x:v>0.12273517311460447</x:v>
      </x:c>
      <x:c r="L340" s="15" t="n">
        <x:f>IF(AND(N340,ISNUMBER(H340),ISNUMBER(I340),H340&gt;0),I340/H340-1,"n.a.")</x:f>
        <x:v>0.08572493615316001</x:v>
      </x:c>
      <x:c r="M340" s="20" t="n">
        <x:f>IF(AND(ISNUMBER(K340),ISNUMBER(L340)),100*(K340-L340),"n.a.")</x:f>
        <x:v>3.7010236961444454</x:v>
      </x:c>
      <x:c r="N340" s="13" t="b">
        <x:v>1</x:v>
      </x:c>
      <x:c r="O340" s="13" t="b">
        <x:v>1</x:v>
      </x:c>
      <x:c r="P340" s="13" t="b">
        <x:v>0</x:v>
      </x:c>
      <x:c r="Q340" s="2" t="str">
        <x:v>none</x:v>
      </x:c>
      <x:c r="R340" s="2" t="str">
        <x:v>none</x:v>
      </x:c>
      <x:c r="S340" s="2" t="str">
        <x:v>nominal Q4 source model estimate</x:v>
      </x:c>
      <x:c r="T340" s="2" t="str">
        <x:v>nominal Q4 source model estimate</x:v>
      </x:c>
      <x:c r="U340" s="2" t="str">
        <x:v>GFA growth versus source physical quantity growth; constant conversion required for equality</x:v>
      </x:c>
      <x:c r="V340" s="2" t="str">
        <x:v>2020 level is the model anchor; 2023 comparator unused by v16 fit but shares conversion/upstream lineage</x:v>
      </x:c>
      <x:c r="W340" s="2" t="str">
        <x:v>https://arxiv.org/abs/2511.12104</x:v>
      </x:c>
    </x:row>
    <x:row r="341" ht="23" customHeight="1">
      <x:c r="A341" s="2" t="str">
        <x:v>PLW</x:v>
      </x:c>
      <x:c r="B341" s="2" t="str">
        <x:v>Palau (Republic of)</x:v>
      </x:c>
      <x:c r="C341" s="2" t="str">
        <x:v>TEMPO_FOOTPRINT</x:v>
      </x:c>
      <x:c r="D341" s="2" t="n">
        <x:v>2020</x:v>
      </x:c>
      <x:c r="E341" s="2" t="n">
        <x:v>2023</x:v>
      </x:c>
      <x:c r="F341" s="17" t="n">
        <x:v>1152226.26</x:v>
      </x:c>
      <x:c r="G341" s="17" t="n">
        <x:v>1195201.2782398385</x:v>
      </x:c>
      <x:c r="H341" s="17" t="n">
        <x:v>1152226.26</x:v>
      </x:c>
      <x:c r="I341" s="17" t="n">
        <x:v>1223947.84</x:v>
      </x:c>
      <x:c r="J341" s="2" t="str">
        <x:v>m2</x:v>
      </x:c>
      <x:c r="K341" s="15" t="n">
        <x:f>IF(AND(ISNUMBER(F341),ISNUMBER(G341),F341&gt;0),G341/F341-1,"n.a.")</x:f>
        <x:v>0.03729737789506604</x:v>
      </x:c>
      <x:c r="L341" s="15" t="n">
        <x:f>IF(AND(N341,ISNUMBER(H341),ISNUMBER(I341),H341&gt;0),I341/H341-1,"n.a.")</x:f>
        <x:v>0.06224609045101959</x:v>
      </x:c>
      <x:c r="M341" s="20" t="n">
        <x:f>IF(AND(ISNUMBER(K341),ISNUMBER(L341)),100*(K341-L341),"n.a.")</x:f>
        <x:v>-2.4948712555953545</x:v>
      </x:c>
      <x:c r="N341" s="13" t="b">
        <x:v>1</x:v>
      </x:c>
      <x:c r="O341" s="13" t="b">
        <x:v>1</x:v>
      </x:c>
      <x:c r="P341" s="13" t="b">
        <x:v>0</x:v>
      </x:c>
      <x:c r="Q341" s="2" t="str">
        <x:v>none</x:v>
      </x:c>
      <x:c r="R341" s="2" t="str">
        <x:v>none</x:v>
      </x:c>
      <x:c r="S341" s="2" t="str">
        <x:v>nominal Q4 source model estimate</x:v>
      </x:c>
      <x:c r="T341" s="2" t="str">
        <x:v>nominal Q4 source model estimate</x:v>
      </x:c>
      <x:c r="U341" s="2" t="str">
        <x:v>GFA growth versus source physical quantity growth; constant conversion required for equality</x:v>
      </x:c>
      <x:c r="V341" s="2" t="str">
        <x:v>2020 level is the model anchor; 2023 comparator unused by v16 fit but shares conversion/upstream lineage</x:v>
      </x:c>
      <x:c r="W341" s="2" t="str">
        <x:v>https://arxiv.org/abs/2511.12104</x:v>
      </x:c>
    </x:row>
    <x:row r="342" ht="23" customHeight="1">
      <x:c r="A342" s="2" t="str">
        <x:v>PNG</x:v>
      </x:c>
      <x:c r="B342" s="2" t="str">
        <x:v>Papua New Guinea (Independent State of)</x:v>
      </x:c>
      <x:c r="C342" s="2" t="str">
        <x:v>TEMPO_FOOTPRINT</x:v>
      </x:c>
      <x:c r="D342" s="2" t="n">
        <x:v>2020</x:v>
      </x:c>
      <x:c r="E342" s="2" t="n">
        <x:v>2023</x:v>
      </x:c>
      <x:c r="F342" s="17" t="n">
        <x:v>111325792.03000018</x:v>
      </x:c>
      <x:c r="G342" s="17" t="n">
        <x:v>127622114.45234741</x:v>
      </x:c>
      <x:c r="H342" s="17" t="n">
        <x:v>111325792.03</x:v>
      </x:c>
      <x:c r="I342" s="17" t="n">
        <x:v>111337527.52</x:v>
      </x:c>
      <x:c r="J342" s="2" t="str">
        <x:v>m2</x:v>
      </x:c>
      <x:c r="K342" s="15" t="n">
        <x:f>IF(AND(ISNUMBER(F342),ISNUMBER(G342),F342&gt;0),G342/F342-1,"n.a.")</x:f>
        <x:v>0.1463840690031264</x:v>
      </x:c>
      <x:c r="L342" s="15" t="n">
        <x:f>IF(AND(N342,ISNUMBER(H342),ISNUMBER(I342),H342&gt;0),I342/H342-1,"n.a.")</x:f>
        <x:v>0.0001054157332815997</x:v>
      </x:c>
      <x:c r="M342" s="20" t="n">
        <x:f>IF(AND(ISNUMBER(K342),ISNUMBER(L342)),100*(K342-L342),"n.a.")</x:f>
        <x:v>14.62786532698448</x:v>
      </x:c>
      <x:c r="N342" s="13" t="b">
        <x:v>1</x:v>
      </x:c>
      <x:c r="O342" s="13" t="b">
        <x:v>1</x:v>
      </x:c>
      <x:c r="P342" s="13" t="b">
        <x:v>0</x:v>
      </x:c>
      <x:c r="Q342" s="2" t="str">
        <x:v>none</x:v>
      </x:c>
      <x:c r="R342" s="2" t="str">
        <x:v>none</x:v>
      </x:c>
      <x:c r="S342" s="2" t="str">
        <x:v>nominal Q4 source model estimate</x:v>
      </x:c>
      <x:c r="T342" s="2" t="str">
        <x:v>nominal Q4 source model estimate</x:v>
      </x:c>
      <x:c r="U342" s="2" t="str">
        <x:v>GFA growth versus source physical quantity growth; constant conversion required for equality</x:v>
      </x:c>
      <x:c r="V342" s="2" t="str">
        <x:v>2020 level is the model anchor; 2023 comparator unused by v16 fit but shares conversion/upstream lineage</x:v>
      </x:c>
      <x:c r="W342" s="2" t="str">
        <x:v>https://arxiv.org/abs/2511.12104</x:v>
      </x:c>
    </x:row>
    <x:row r="343" ht="23" customHeight="1">
      <x:c r="A343" s="2" t="str">
        <x:v>POL</x:v>
      </x:c>
      <x:c r="B343" s="2" t="str">
        <x:v>Poland (Republic of)</x:v>
      </x:c>
      <x:c r="C343" s="2" t="str">
        <x:v>TEMPO_FOOTPRINT</x:v>
      </x:c>
      <x:c r="D343" s="2" t="n">
        <x:v>2020</x:v>
      </x:c>
      <x:c r="E343" s="2" t="n">
        <x:v>2023</x:v>
      </x:c>
      <x:c r="F343" s="17" t="n">
        <x:v>2573023573.5300016</x:v>
      </x:c>
      <x:c r="G343" s="17" t="n">
        <x:v>2700645539.672737</x:v>
      </x:c>
      <x:c r="H343" s="17" t="n">
        <x:v>2573023573.53</x:v>
      </x:c>
      <x:c r="I343" s="17" t="n">
        <x:v>2780706970.7</x:v>
      </x:c>
      <x:c r="J343" s="2" t="str">
        <x:v>m2</x:v>
      </x:c>
      <x:c r="K343" s="15" t="n">
        <x:f>IF(AND(ISNUMBER(F343),ISNUMBER(G343),F343&gt;0),G343/F343-1,"n.a.")</x:f>
        <x:v>0.04959999879350008</x:v>
      </x:c>
      <x:c r="L343" s="15" t="n">
        <x:f>IF(AND(N343,ISNUMBER(H343),ISNUMBER(I343),H343&gt;0),I343/H343-1,"n.a.")</x:f>
        <x:v>0.08071569934552647</x:v>
      </x:c>
      <x:c r="M343" s="20" t="n">
        <x:f>IF(AND(ISNUMBER(K343),ISNUMBER(L343)),100*(K343-L343),"n.a.")</x:f>
        <x:v>-3.1115700552026393</x:v>
      </x:c>
      <x:c r="N343" s="13" t="b">
        <x:v>1</x:v>
      </x:c>
      <x:c r="O343" s="13" t="b">
        <x:v>1</x:v>
      </x:c>
      <x:c r="P343" s="13" t="b">
        <x:v>0</x:v>
      </x:c>
      <x:c r="Q343" s="2" t="str">
        <x:v>none</x:v>
      </x:c>
      <x:c r="R343" s="2" t="str">
        <x:v>none</x:v>
      </x:c>
      <x:c r="S343" s="2" t="str">
        <x:v>nominal Q4 source model estimate</x:v>
      </x:c>
      <x:c r="T343" s="2" t="str">
        <x:v>nominal Q4 source model estimate</x:v>
      </x:c>
      <x:c r="U343" s="2" t="str">
        <x:v>GFA growth versus source physical quantity growth; constant conversion required for equality</x:v>
      </x:c>
      <x:c r="V343" s="2" t="str">
        <x:v>2020 level is the model anchor; 2023 comparator unused by v16 fit but shares conversion/upstream lineage</x:v>
      </x:c>
      <x:c r="W343" s="2" t="str">
        <x:v>https://arxiv.org/abs/2511.12104</x:v>
      </x:c>
    </x:row>
    <x:row r="344" ht="23" customHeight="1">
      <x:c r="A344" s="2" t="str">
        <x:v>PRK</x:v>
      </x:c>
      <x:c r="B344" s="2" t="str">
        <x:v>Korea (Democratic People's Republic of)</x:v>
      </x:c>
      <x:c r="C344" s="2" t="str">
        <x:v>TEMPO_FOOTPRINT</x:v>
      </x:c>
      <x:c r="D344" s="2" t="n">
        <x:v>2020</x:v>
      </x:c>
      <x:c r="E344" s="2" t="n">
        <x:v>2023</x:v>
      </x:c>
      <x:c r="F344" s="17" t="n">
        <x:v>469713807.49000067</x:v>
      </x:c>
      <x:c r="G344" s="17" t="n">
        <x:v>533888370.4753465</x:v>
      </x:c>
      <x:c r="H344" s="17" t="n">
        <x:v>463540849.51</x:v>
      </x:c>
      <x:c r="I344" s="17" t="n">
        <x:v>474106186.52</x:v>
      </x:c>
      <x:c r="J344" s="2" t="str">
        <x:v>m2</x:v>
      </x:c>
      <x:c r="K344" s="15" t="n">
        <x:f>IF(AND(ISNUMBER(F344),ISNUMBER(G344),F344&gt;0),G344/F344-1,"n.a.")</x:f>
        <x:v>0.13662481698861284</x:v>
      </x:c>
      <x:c r="L344" s="15" t="n">
        <x:f>IF(AND(N344,ISNUMBER(H344),ISNUMBER(I344),H344&gt;0),I344/H344-1,"n.a.")</x:f>
        <x:v>0.022792677325349953</x:v>
      </x:c>
      <x:c r="M344" s="20" t="n">
        <x:f>IF(AND(ISNUMBER(K344),ISNUMBER(L344)),100*(K344-L344),"n.a.")</x:f>
        <x:v>11.383213966326288</x:v>
      </x:c>
      <x:c r="N344" s="13" t="b">
        <x:v>1</x:v>
      </x:c>
      <x:c r="O344" s="13" t="b">
        <x:v>1</x:v>
      </x:c>
      <x:c r="P344" s="13" t="b">
        <x:v>0</x:v>
      </x:c>
      <x:c r="Q344" s="2" t="str">
        <x:v>none</x:v>
      </x:c>
      <x:c r="R344" s="2" t="str">
        <x:v>none</x:v>
      </x:c>
      <x:c r="S344" s="2" t="str">
        <x:v>nominal Q4 source model estimate</x:v>
      </x:c>
      <x:c r="T344" s="2" t="str">
        <x:v>nominal Q4 source model estimate</x:v>
      </x:c>
      <x:c r="U344" s="2" t="str">
        <x:v>GFA growth versus source physical quantity growth; constant conversion required for equality</x:v>
      </x:c>
      <x:c r="V344" s="2" t="str">
        <x:v>2020 level is the model anchor; 2023 comparator unused by v16 fit but shares conversion/upstream lineage</x:v>
      </x:c>
      <x:c r="W344" s="2" t="str">
        <x:v>https://arxiv.org/abs/2511.12104</x:v>
      </x:c>
    </x:row>
    <x:row r="345" ht="23" customHeight="1">
      <x:c r="A345" s="2" t="str">
        <x:v>PRT</x:v>
      </x:c>
      <x:c r="B345" s="2" t="str">
        <x:v>Portugal (Portuguese Republic)</x:v>
      </x:c>
      <x:c r="C345" s="2" t="str">
        <x:v>TEMPO_FOOTPRINT</x:v>
      </x:c>
      <x:c r="D345" s="2" t="n">
        <x:v>2020</x:v>
      </x:c>
      <x:c r="E345" s="2" t="n">
        <x:v>2023</x:v>
      </x:c>
      <x:c r="F345" s="17" t="n">
        <x:v>1019333626.31</x:v>
      </x:c>
      <x:c r="G345" s="17" t="n">
        <x:v>1067142948.5214574</x:v>
      </x:c>
      <x:c r="H345" s="17" t="n">
        <x:v>1019333626.31</x:v>
      </x:c>
      <x:c r="I345" s="17" t="n">
        <x:v>1065083013.16</x:v>
      </x:c>
      <x:c r="J345" s="2" t="str">
        <x:v>m2</x:v>
      </x:c>
      <x:c r="K345" s="15" t="n">
        <x:f>IF(AND(ISNUMBER(F345),ISNUMBER(G345),F345&gt;0),G345/F345-1,"n.a.")</x:f>
        <x:v>0.04690252629507352</x:v>
      </x:c>
      <x:c r="L345" s="15" t="n">
        <x:f>IF(AND(N345,ISNUMBER(H345),ISNUMBER(I345),H345&gt;0),I345/H345-1,"n.a.")</x:f>
        <x:v>0.04488166157690032</x:v>
      </x:c>
      <x:c r="M345" s="20" t="n">
        <x:f>IF(AND(ISNUMBER(K345),ISNUMBER(L345)),100*(K345-L345),"n.a.")</x:f>
        <x:v>0.20208647181731987</x:v>
      </x:c>
      <x:c r="N345" s="13" t="b">
        <x:v>1</x:v>
      </x:c>
      <x:c r="O345" s="13" t="b">
        <x:v>1</x:v>
      </x:c>
      <x:c r="P345" s="13" t="b">
        <x:v>0</x:v>
      </x:c>
      <x:c r="Q345" s="2" t="str">
        <x:v>none</x:v>
      </x:c>
      <x:c r="R345" s="2" t="str">
        <x:v>none</x:v>
      </x:c>
      <x:c r="S345" s="2" t="str">
        <x:v>nominal Q4 source model estimate</x:v>
      </x:c>
      <x:c r="T345" s="2" t="str">
        <x:v>nominal Q4 source model estimate</x:v>
      </x:c>
      <x:c r="U345" s="2" t="str">
        <x:v>GFA growth versus source physical quantity growth; constant conversion required for equality</x:v>
      </x:c>
      <x:c r="V345" s="2" t="str">
        <x:v>2020 level is the model anchor; 2023 comparator unused by v16 fit but shares conversion/upstream lineage</x:v>
      </x:c>
      <x:c r="W345" s="2" t="str">
        <x:v>https://arxiv.org/abs/2511.12104</x:v>
      </x:c>
    </x:row>
    <x:row r="346" ht="23" customHeight="1">
      <x:c r="A346" s="2" t="str">
        <x:v>PRY</x:v>
      </x:c>
      <x:c r="B346" s="2" t="str">
        <x:v>Paraguay (Republic of)</x:v>
      </x:c>
      <x:c r="C346" s="2" t="str">
        <x:v>TEMPO_FOOTPRINT</x:v>
      </x:c>
      <x:c r="D346" s="2" t="n">
        <x:v>2020</x:v>
      </x:c>
      <x:c r="E346" s="2" t="n">
        <x:v>2023</x:v>
      </x:c>
      <x:c r="F346" s="17" t="n">
        <x:v>336793873.4500005</x:v>
      </x:c>
      <x:c r="G346" s="17" t="n">
        <x:v>360037428.418509</x:v>
      </x:c>
      <x:c r="H346" s="17" t="n">
        <x:v>336793873.45</x:v>
      </x:c>
      <x:c r="I346" s="17" t="n">
        <x:v>370085965.65</x:v>
      </x:c>
      <x:c r="J346" s="2" t="str">
        <x:v>m2</x:v>
      </x:c>
      <x:c r="K346" s="15" t="n">
        <x:f>IF(AND(ISNUMBER(F346),ISNUMBER(G346),F346&gt;0),G346/F346-1,"n.a.")</x:f>
        <x:v>0.06901418582947927</x:v>
      </x:c>
      <x:c r="L346" s="15" t="n">
        <x:f>IF(AND(N346,ISNUMBER(H346),ISNUMBER(I346),H346&gt;0),I346/H346-1,"n.a.")</x:f>
        <x:v>0.09885005287942827</x:v>
      </x:c>
      <x:c r="M346" s="20" t="n">
        <x:f>IF(AND(ISNUMBER(K346),ISNUMBER(L346)),100*(K346-L346),"n.a.")</x:f>
        <x:v>-2.9835867049949005</x:v>
      </x:c>
      <x:c r="N346" s="13" t="b">
        <x:v>1</x:v>
      </x:c>
      <x:c r="O346" s="13" t="b">
        <x:v>1</x:v>
      </x:c>
      <x:c r="P346" s="13" t="b">
        <x:v>0</x:v>
      </x:c>
      <x:c r="Q346" s="2" t="str">
        <x:v>none</x:v>
      </x:c>
      <x:c r="R346" s="2" t="str">
        <x:v>none</x:v>
      </x:c>
      <x:c r="S346" s="2" t="str">
        <x:v>nominal Q4 source model estimate</x:v>
      </x:c>
      <x:c r="T346" s="2" t="str">
        <x:v>nominal Q4 source model estimate</x:v>
      </x:c>
      <x:c r="U346" s="2" t="str">
        <x:v>GFA growth versus source physical quantity growth; constant conversion required for equality</x:v>
      </x:c>
      <x:c r="V346" s="2" t="str">
        <x:v>2020 level is the model anchor; 2023 comparator unused by v16 fit but shares conversion/upstream lineage</x:v>
      </x:c>
      <x:c r="W346" s="2" t="str">
        <x:v>https://arxiv.org/abs/2511.12104</x:v>
      </x:c>
    </x:row>
    <x:row r="347" ht="23" customHeight="1">
      <x:c r="A347" s="2" t="str">
        <x:v>PSE</x:v>
      </x:c>
      <x:c r="B347" s="2" t="str">
        <x:v>State of Palestine</x:v>
      </x:c>
      <x:c r="C347" s="2" t="str">
        <x:v>TEMPO_FOOTPRINT</x:v>
      </x:c>
      <x:c r="D347" s="2" t="n">
        <x:v>2020</x:v>
      </x:c>
      <x:c r="E347" s="2" t="n">
        <x:v>2023</x:v>
      </x:c>
      <x:c r="F347" s="17" t="n">
        <x:v>239938472.63190365</x:v>
      </x:c>
      <x:c r="G347" s="17" t="n">
        <x:v>262431110.64627308</x:v>
      </x:c>
      <x:c r="H347" s="17"/>
      <x:c r="I347" s="17"/>
      <x:c r="J347" s="2" t="str">
        <x:v>m2</x:v>
      </x:c>
      <x:c r="K347" s="15" t="n">
        <x:f>IF(AND(ISNUMBER(F347),ISNUMBER(G347),F347&gt;0),G347/F347-1,"n.a.")</x:f>
        <x:v>0.0937433574851334</x:v>
      </x:c>
      <x:c r="L347" s="15" t="str">
        <x:f>IF(AND(N347,ISNUMBER(H347),ISNUMBER(I347),H347&gt;0),I347/H347-1,"n.a.")</x:f>
        <x:v>n.a.</x:v>
      </x:c>
      <x:c r="M347" s="20" t="str">
        <x:f>IF(AND(ISNUMBER(K347),ISNUMBER(L347)),100*(K347-L347),"n.a.")</x:f>
        <x:v>n.a.</x:v>
      </x:c>
      <x:c r="N347" s="13" t="b">
        <x:v>0</x:v>
      </x:c>
      <x:c r="O347" s="13" t="b">
        <x:v>0</x:v>
      </x:c>
      <x:c r="P347" s="13" t="b">
        <x:v>1</x:v>
      </x:c>
      <x:c r="Q347" s="2" t="str">
        <x:v>source row absent</x:v>
      </x:c>
      <x:c r="R347" s="2" t="str">
        <x:v>source row absent</x:v>
      </x:c>
      <x:c r="S347" s="2" t="str">
        <x:v>nominal Q4 source model estimate</x:v>
      </x:c>
      <x:c r="T347" s="2" t="str">
        <x:v>nominal Q4 source model estimate</x:v>
      </x:c>
      <x:c r="U347" s="2" t="str">
        <x:v>GFA growth versus source physical quantity growth; constant conversion required for equality</x:v>
      </x:c>
      <x:c r="V347" s="2" t="str">
        <x:v>2020 level is the model anchor; 2023 comparator unused by v16 fit but shares conversion/upstream lineage</x:v>
      </x:c>
      <x:c r="W347" s="2" t="str">
        <x:v>https://arxiv.org/abs/2511.12104</x:v>
      </x:c>
    </x:row>
    <x:row r="348" ht="23" customHeight="1">
      <x:c r="A348" s="2" t="str">
        <x:v>QAT</x:v>
      </x:c>
      <x:c r="B348" s="2" t="str">
        <x:v>Qatar (State of)</x:v>
      </x:c>
      <x:c r="C348" s="2" t="str">
        <x:v>TEMPO_FOOTPRINT</x:v>
      </x:c>
      <x:c r="D348" s="2" t="n">
        <x:v>2020</x:v>
      </x:c>
      <x:c r="E348" s="2" t="n">
        <x:v>2023</x:v>
      </x:c>
      <x:c r="F348" s="17" t="n">
        <x:v>137316242.80000022</x:v>
      </x:c>
      <x:c r="G348" s="17" t="n">
        <x:v>152620233.5404953</x:v>
      </x:c>
      <x:c r="H348" s="17" t="n">
        <x:v>123398530.18</x:v>
      </x:c>
      <x:c r="I348" s="17" t="n">
        <x:v>137347353.8</x:v>
      </x:c>
      <x:c r="J348" s="2" t="str">
        <x:v>m2</x:v>
      </x:c>
      <x:c r="K348" s="15" t="n">
        <x:f>IF(AND(ISNUMBER(F348),ISNUMBER(G348),F348&gt;0),G348/F348-1,"n.a.")</x:f>
        <x:v>0.11145069533241747</x:v>
      </x:c>
      <x:c r="L348" s="15" t="n">
        <x:f>IF(AND(N348,ISNUMBER(H348),ISNUMBER(I348),H348&gt;0),I348/H348-1,"n.a.")</x:f>
        <x:v>0.11303881496524326</x:v>
      </x:c>
      <x:c r="M348" s="20" t="n">
        <x:f>IF(AND(ISNUMBER(K348),ISNUMBER(L348)),100*(K348-L348),"n.a.")</x:f>
        <x:v>-0.15881196328257907</x:v>
      </x:c>
      <x:c r="N348" s="13" t="b">
        <x:v>1</x:v>
      </x:c>
      <x:c r="O348" s="13" t="b">
        <x:v>1</x:v>
      </x:c>
      <x:c r="P348" s="13" t="b">
        <x:v>0</x:v>
      </x:c>
      <x:c r="Q348" s="2" t="str">
        <x:v>none</x:v>
      </x:c>
      <x:c r="R348" s="2" t="str">
        <x:v>none</x:v>
      </x:c>
      <x:c r="S348" s="2" t="str">
        <x:v>nominal Q4 source model estimate</x:v>
      </x:c>
      <x:c r="T348" s="2" t="str">
        <x:v>nominal Q4 source model estimate</x:v>
      </x:c>
      <x:c r="U348" s="2" t="str">
        <x:v>GFA growth versus source physical quantity growth; constant conversion required for equality</x:v>
      </x:c>
      <x:c r="V348" s="2" t="str">
        <x:v>2020 level is the model anchor; 2023 comparator unused by v16 fit but shares conversion/upstream lineage</x:v>
      </x:c>
      <x:c r="W348" s="2" t="str">
        <x:v>https://arxiv.org/abs/2511.12104</x:v>
      </x:c>
    </x:row>
    <x:row r="349" ht="23" customHeight="1">
      <x:c r="A349" s="2" t="str">
        <x:v>ROU</x:v>
      </x:c>
      <x:c r="B349" s="2" t="str">
        <x:v>Romania</x:v>
      </x:c>
      <x:c r="C349" s="2" t="str">
        <x:v>TEMPO_FOOTPRINT</x:v>
      </x:c>
      <x:c r="D349" s="2" t="n">
        <x:v>2020</x:v>
      </x:c>
      <x:c r="E349" s="2" t="n">
        <x:v>2023</x:v>
      </x:c>
      <x:c r="F349" s="17" t="n">
        <x:v>1451492077.9900024</x:v>
      </x:c>
      <x:c r="G349" s="17" t="n">
        <x:v>1483847699.1618993</x:v>
      </x:c>
      <x:c r="H349" s="17" t="n">
        <x:v>1451492077.99</x:v>
      </x:c>
      <x:c r="I349" s="17" t="n">
        <x:v>1553477966.83</x:v>
      </x:c>
      <x:c r="J349" s="2" t="str">
        <x:v>m2</x:v>
      </x:c>
      <x:c r="K349" s="15" t="n">
        <x:f>IF(AND(ISNUMBER(F349),ISNUMBER(G349),F349&gt;0),G349/F349-1,"n.a.")</x:f>
        <x:v>0.022291283337007473</x:v>
      </x:c>
      <x:c r="L349" s="15" t="n">
        <x:f>IF(AND(N349,ISNUMBER(H349),ISNUMBER(I349),H349&gt;0),I349/H349-1,"n.a.")</x:f>
        <x:v>0.07026279398040414</x:v>
      </x:c>
      <x:c r="M349" s="20" t="n">
        <x:f>IF(AND(ISNUMBER(K349),ISNUMBER(L349)),100*(K349-L349),"n.a.")</x:f>
        <x:v>-4.797151064339666</x:v>
      </x:c>
      <x:c r="N349" s="13" t="b">
        <x:v>1</x:v>
      </x:c>
      <x:c r="O349" s="13" t="b">
        <x:v>1</x:v>
      </x:c>
      <x:c r="P349" s="13" t="b">
        <x:v>0</x:v>
      </x:c>
      <x:c r="Q349" s="2" t="str">
        <x:v>none</x:v>
      </x:c>
      <x:c r="R349" s="2" t="str">
        <x:v>none</x:v>
      </x:c>
      <x:c r="S349" s="2" t="str">
        <x:v>nominal Q4 source model estimate</x:v>
      </x:c>
      <x:c r="T349" s="2" t="str">
        <x:v>nominal Q4 source model estimate</x:v>
      </x:c>
      <x:c r="U349" s="2" t="str">
        <x:v>GFA growth versus source physical quantity growth; constant conversion required for equality</x:v>
      </x:c>
      <x:c r="V349" s="2" t="str">
        <x:v>2020 level is the model anchor; 2023 comparator unused by v16 fit but shares conversion/upstream lineage</x:v>
      </x:c>
      <x:c r="W349" s="2" t="str">
        <x:v>https://arxiv.org/abs/2511.12104</x:v>
      </x:c>
    </x:row>
    <x:row r="350" ht="23" customHeight="1">
      <x:c r="A350" s="2" t="str">
        <x:v>RUS</x:v>
      </x:c>
      <x:c r="B350" s="2" t="str">
        <x:v>Russian Federation</x:v>
      </x:c>
      <x:c r="C350" s="2" t="str">
        <x:v>TEMPO_FOOTPRINT</x:v>
      </x:c>
      <x:c r="D350" s="2" t="n">
        <x:v>2020</x:v>
      </x:c>
      <x:c r="E350" s="2" t="n">
        <x:v>2023</x:v>
      </x:c>
      <x:c r="F350" s="17" t="n">
        <x:v>7767687345.91001</x:v>
      </x:c>
      <x:c r="G350" s="17" t="n">
        <x:v>8172232946.716192</x:v>
      </x:c>
      <x:c r="H350" s="17" t="n">
        <x:v>7742883032.41</x:v>
      </x:c>
      <x:c r="I350" s="17" t="n">
        <x:v>8204705909.66</x:v>
      </x:c>
      <x:c r="J350" s="2" t="str">
        <x:v>m2</x:v>
      </x:c>
      <x:c r="K350" s="15" t="n">
        <x:f>IF(AND(ISNUMBER(F350),ISNUMBER(G350),F350&gt;0),G350/F350-1,"n.a.")</x:f>
        <x:v>0.05208057209192263</x:v>
      </x:c>
      <x:c r="L350" s="15" t="n">
        <x:f>IF(AND(N350,ISNUMBER(H350),ISNUMBER(I350),H350&gt;0),I350/H350-1,"n.a.")</x:f>
        <x:v>0.0596448216144958</x:v>
      </x:c>
      <x:c r="M350" s="20" t="n">
        <x:f>IF(AND(ISNUMBER(K350),ISNUMBER(L350)),100*(K350-L350),"n.a.")</x:f>
        <x:v>-0.7564249522573174</x:v>
      </x:c>
      <x:c r="N350" s="13" t="b">
        <x:v>1</x:v>
      </x:c>
      <x:c r="O350" s="13" t="b">
        <x:v>1</x:v>
      </x:c>
      <x:c r="P350" s="13" t="b">
        <x:v>0</x:v>
      </x:c>
      <x:c r="Q350" s="2" t="str">
        <x:v>none</x:v>
      </x:c>
      <x:c r="R350" s="2" t="str">
        <x:v>none</x:v>
      </x:c>
      <x:c r="S350" s="2" t="str">
        <x:v>nominal Q4 source model estimate</x:v>
      </x:c>
      <x:c r="T350" s="2" t="str">
        <x:v>nominal Q4 source model estimate</x:v>
      </x:c>
      <x:c r="U350" s="2" t="str">
        <x:v>GFA growth versus source physical quantity growth; constant conversion required for equality</x:v>
      </x:c>
      <x:c r="V350" s="2" t="str">
        <x:v>2020 level is the model anchor; 2023 comparator unused by v16 fit but shares conversion/upstream lineage</x:v>
      </x:c>
      <x:c r="W350" s="2" t="str">
        <x:v>https://arxiv.org/abs/2511.12104</x:v>
      </x:c>
    </x:row>
    <x:row r="351" ht="23" customHeight="1">
      <x:c r="A351" s="2" t="str">
        <x:v>RWA</x:v>
      </x:c>
      <x:c r="B351" s="2" t="str">
        <x:v>Rwanda (Republic of)</x:v>
      </x:c>
      <x:c r="C351" s="2" t="str">
        <x:v>TEMPO_FOOTPRINT</x:v>
      </x:c>
      <x:c r="D351" s="2" t="n">
        <x:v>2020</x:v>
      </x:c>
      <x:c r="E351" s="2" t="n">
        <x:v>2023</x:v>
      </x:c>
      <x:c r="F351" s="17" t="n">
        <x:v>244877324.63000005</x:v>
      </x:c>
      <x:c r="G351" s="17" t="n">
        <x:v>266219888.1864959</x:v>
      </x:c>
      <x:c r="H351" s="17" t="n">
        <x:v>244877324.63</x:v>
      </x:c>
      <x:c r="I351" s="17" t="n">
        <x:v>277734072.08</x:v>
      </x:c>
      <x:c r="J351" s="2" t="str">
        <x:v>m2</x:v>
      </x:c>
      <x:c r="K351" s="15" t="n">
        <x:f>IF(AND(ISNUMBER(F351),ISNUMBER(G351),F351&gt;0),G351/F351-1,"n.a.")</x:f>
        <x:v>0.08715614477062594</x:v>
      </x:c>
      <x:c r="L351" s="15" t="n">
        <x:f>IF(AND(N351,ISNUMBER(H351),ISNUMBER(I351),H351&gt;0),I351/H351-1,"n.a.")</x:f>
        <x:v>0.13417635748693857</x:v>
      </x:c>
      <x:c r="M351" s="20" t="n">
        <x:f>IF(AND(ISNUMBER(K351),ISNUMBER(L351)),100*(K351-L351),"n.a.")</x:f>
        <x:v>-4.702021271631263</x:v>
      </x:c>
      <x:c r="N351" s="13" t="b">
        <x:v>1</x:v>
      </x:c>
      <x:c r="O351" s="13" t="b">
        <x:v>1</x:v>
      </x:c>
      <x:c r="P351" s="13" t="b">
        <x:v>0</x:v>
      </x:c>
      <x:c r="Q351" s="2" t="str">
        <x:v>none</x:v>
      </x:c>
      <x:c r="R351" s="2" t="str">
        <x:v>none</x:v>
      </x:c>
      <x:c r="S351" s="2" t="str">
        <x:v>nominal Q4 source model estimate</x:v>
      </x:c>
      <x:c r="T351" s="2" t="str">
        <x:v>nominal Q4 source model estimate</x:v>
      </x:c>
      <x:c r="U351" s="2" t="str">
        <x:v>GFA growth versus source physical quantity growth; constant conversion required for equality</x:v>
      </x:c>
      <x:c r="V351" s="2" t="str">
        <x:v>2020 level is the model anchor; 2023 comparator unused by v16 fit but shares conversion/upstream lineage</x:v>
      </x:c>
      <x:c r="W351" s="2" t="str">
        <x:v>https://arxiv.org/abs/2511.12104</x:v>
      </x:c>
    </x:row>
    <x:row r="352" ht="23" customHeight="1">
      <x:c r="A352" s="2" t="str">
        <x:v>SAU</x:v>
      </x:c>
      <x:c r="B352" s="2" t="str">
        <x:v>Saudi Arabia (Kingdom of)</x:v>
      </x:c>
      <x:c r="C352" s="2" t="str">
        <x:v>TEMPO_FOOTPRINT</x:v>
      </x:c>
      <x:c r="D352" s="2" t="n">
        <x:v>2020</x:v>
      </x:c>
      <x:c r="E352" s="2" t="n">
        <x:v>2023</x:v>
      </x:c>
      <x:c r="F352" s="17" t="n">
        <x:v>1911722272.930002</x:v>
      </x:c>
      <x:c r="G352" s="17" t="n">
        <x:v>2067839009.467918</x:v>
      </x:c>
      <x:c r="H352" s="17" t="n">
        <x:v>1860856502.16</x:v>
      </x:c>
      <x:c r="I352" s="17" t="n">
        <x:v>2045380369.23</x:v>
      </x:c>
      <x:c r="J352" s="2" t="str">
        <x:v>m2</x:v>
      </x:c>
      <x:c r="K352" s="15" t="n">
        <x:f>IF(AND(ISNUMBER(F352),ISNUMBER(G352),F352&gt;0),G352/F352-1,"n.a.")</x:f>
        <x:v>0.08166287475358214</x:v>
      </x:c>
      <x:c r="L352" s="15" t="n">
        <x:f>IF(AND(N352,ISNUMBER(H352),ISNUMBER(I352),H352&gt;0),I352/H352-1,"n.a.")</x:f>
        <x:v>0.09916071811867955</x:v>
      </x:c>
      <x:c r="M352" s="20" t="n">
        <x:f>IF(AND(ISNUMBER(K352),ISNUMBER(L352)),100*(K352-L352),"n.a.")</x:f>
        <x:v>-1.749784336509741</x:v>
      </x:c>
      <x:c r="N352" s="13" t="b">
        <x:v>1</x:v>
      </x:c>
      <x:c r="O352" s="13" t="b">
        <x:v>1</x:v>
      </x:c>
      <x:c r="P352" s="13" t="b">
        <x:v>0</x:v>
      </x:c>
      <x:c r="Q352" s="2" t="str">
        <x:v>none</x:v>
      </x:c>
      <x:c r="R352" s="2" t="str">
        <x:v>none</x:v>
      </x:c>
      <x:c r="S352" s="2" t="str">
        <x:v>nominal Q4 source model estimate</x:v>
      </x:c>
      <x:c r="T352" s="2" t="str">
        <x:v>nominal Q4 source model estimate</x:v>
      </x:c>
      <x:c r="U352" s="2" t="str">
        <x:v>GFA growth versus source physical quantity growth; constant conversion required for equality</x:v>
      </x:c>
      <x:c r="V352" s="2" t="str">
        <x:v>2020 level is the model anchor; 2023 comparator unused by v16 fit but shares conversion/upstream lineage</x:v>
      </x:c>
      <x:c r="W352" s="2" t="str">
        <x:v>https://arxiv.org/abs/2511.12104</x:v>
      </x:c>
    </x:row>
    <x:row r="353" ht="23" customHeight="1">
      <x:c r="A353" s="2" t="str">
        <x:v>SDN</x:v>
      </x:c>
      <x:c r="B353" s="2" t="str">
        <x:v>Sudan (Republic of the)</x:v>
      </x:c>
      <x:c r="C353" s="2" t="str">
        <x:v>TEMPO_FOOTPRINT</x:v>
      </x:c>
      <x:c r="D353" s="2" t="n">
        <x:v>2020</x:v>
      </x:c>
      <x:c r="E353" s="2" t="n">
        <x:v>2023</x:v>
      </x:c>
      <x:c r="F353" s="17" t="n">
        <x:v>751311239.6000005</x:v>
      </x:c>
      <x:c r="G353" s="17" t="n">
        <x:v>835961184.5150774</x:v>
      </x:c>
      <x:c r="H353" s="17" t="n">
        <x:v>751311239.6</x:v>
      </x:c>
      <x:c r="I353" s="17" t="n">
        <x:v>780315352.63</x:v>
      </x:c>
      <x:c r="J353" s="2" t="str">
        <x:v>m2</x:v>
      </x:c>
      <x:c r="K353" s="15" t="n">
        <x:f>IF(AND(ISNUMBER(F353),ISNUMBER(G353),F353&gt;0),G353/F353-1,"n.a.")</x:f>
        <x:v>0.11266961074633275</x:v>
      </x:c>
      <x:c r="L353" s="15" t="n">
        <x:f>IF(AND(N353,ISNUMBER(H353),ISNUMBER(I353),H353&gt;0),I353/H353-1,"n.a.")</x:f>
        <x:v>0.03860465743257335</x:v>
      </x:c>
      <x:c r="M353" s="20" t="n">
        <x:f>IF(AND(ISNUMBER(K353),ISNUMBER(L353)),100*(K353-L353),"n.a.")</x:f>
        <x:v>7.40649533137594</x:v>
      </x:c>
      <x:c r="N353" s="13" t="b">
        <x:v>1</x:v>
      </x:c>
      <x:c r="O353" s="13" t="b">
        <x:v>1</x:v>
      </x:c>
      <x:c r="P353" s="13" t="b">
        <x:v>0</x:v>
      </x:c>
      <x:c r="Q353" s="2" t="str">
        <x:v>none</x:v>
      </x:c>
      <x:c r="R353" s="2" t="str">
        <x:v>none</x:v>
      </x:c>
      <x:c r="S353" s="2" t="str">
        <x:v>nominal Q4 source model estimate</x:v>
      </x:c>
      <x:c r="T353" s="2" t="str">
        <x:v>nominal Q4 source model estimate</x:v>
      </x:c>
      <x:c r="U353" s="2" t="str">
        <x:v>GFA growth versus source physical quantity growth; constant conversion required for equality</x:v>
      </x:c>
      <x:c r="V353" s="2" t="str">
        <x:v>2020 level is the model anchor; 2023 comparator unused by v16 fit but shares conversion/upstream lineage</x:v>
      </x:c>
      <x:c r="W353" s="2" t="str">
        <x:v>https://arxiv.org/abs/2511.12104</x:v>
      </x:c>
    </x:row>
    <x:row r="354" ht="23" customHeight="1">
      <x:c r="A354" s="2" t="str">
        <x:v>SEN</x:v>
      </x:c>
      <x:c r="B354" s="2" t="str">
        <x:v>Senegal (Republic of)</x:v>
      </x:c>
      <x:c r="C354" s="2" t="str">
        <x:v>TEMPO_FOOTPRINT</x:v>
      </x:c>
      <x:c r="D354" s="2" t="n">
        <x:v>2020</x:v>
      </x:c>
      <x:c r="E354" s="2" t="n">
        <x:v>2023</x:v>
      </x:c>
      <x:c r="F354" s="17" t="n">
        <x:v>305052833.6899998</x:v>
      </x:c>
      <x:c r="G354" s="17" t="n">
        <x:v>338137959.6472059</x:v>
      </x:c>
      <x:c r="H354" s="17" t="n">
        <x:v>305052833.69</x:v>
      </x:c>
      <x:c r="I354" s="17" t="n">
        <x:v>335964506.02</x:v>
      </x:c>
      <x:c r="J354" s="2" t="str">
        <x:v>m2</x:v>
      </x:c>
      <x:c r="K354" s="15" t="n">
        <x:f>IF(AND(ISNUMBER(F354),ISNUMBER(G354),F354&gt;0),G354/F354-1,"n.a.")</x:f>
        <x:v>0.10845703531745521</x:v>
      </x:c>
      <x:c r="L354" s="15" t="n">
        <x:f>IF(AND(N354,ISNUMBER(H354),ISNUMBER(I354),H354&gt;0),I354/H354-1,"n.a.")</x:f>
        <x:v>0.10133219205369826</x:v>
      </x:c>
      <x:c r="M354" s="20" t="n">
        <x:f>IF(AND(ISNUMBER(K354),ISNUMBER(L354)),100*(K354-L354),"n.a.")</x:f>
        <x:v>0.7124843263756953</x:v>
      </x:c>
      <x:c r="N354" s="13" t="b">
        <x:v>1</x:v>
      </x:c>
      <x:c r="O354" s="13" t="b">
        <x:v>1</x:v>
      </x:c>
      <x:c r="P354" s="13" t="b">
        <x:v>0</x:v>
      </x:c>
      <x:c r="Q354" s="2" t="str">
        <x:v>none</x:v>
      </x:c>
      <x:c r="R354" s="2" t="str">
        <x:v>none</x:v>
      </x:c>
      <x:c r="S354" s="2" t="str">
        <x:v>nominal Q4 source model estimate</x:v>
      </x:c>
      <x:c r="T354" s="2" t="str">
        <x:v>nominal Q4 source model estimate</x:v>
      </x:c>
      <x:c r="U354" s="2" t="str">
        <x:v>GFA growth versus source physical quantity growth; constant conversion required for equality</x:v>
      </x:c>
      <x:c r="V354" s="2" t="str">
        <x:v>2020 level is the model anchor; 2023 comparator unused by v16 fit but shares conversion/upstream lineage</x:v>
      </x:c>
      <x:c r="W354" s="2" t="str">
        <x:v>https://arxiv.org/abs/2511.12104</x:v>
      </x:c>
    </x:row>
    <x:row r="355" ht="23" customHeight="1">
      <x:c r="A355" s="2" t="str">
        <x:v>SGP</x:v>
      </x:c>
      <x:c r="B355" s="2" t="str">
        <x:v>Singapore (Republic of)</x:v>
      </x:c>
      <x:c r="C355" s="2" t="str">
        <x:v>TEMPO_FOOTPRINT</x:v>
      </x:c>
      <x:c r="D355" s="2" t="n">
        <x:v>2020</x:v>
      </x:c>
      <x:c r="E355" s="2" t="n">
        <x:v>2023</x:v>
      </x:c>
      <x:c r="F355" s="17" t="n">
        <x:v>194662203.04</x:v>
      </x:c>
      <x:c r="G355" s="17" t="n">
        <x:v>226441430.31132615</x:v>
      </x:c>
      <x:c r="H355" s="17" t="n">
        <x:v>85878181.9</x:v>
      </x:c>
      <x:c r="I355" s="17" t="n">
        <x:v>87807181.6</x:v>
      </x:c>
      <x:c r="J355" s="2" t="str">
        <x:v>m2</x:v>
      </x:c>
      <x:c r="K355" s="15" t="n">
        <x:f>IF(AND(ISNUMBER(F355),ISNUMBER(G355),F355&gt;0),G355/F355-1,"n.a.")</x:f>
        <x:v>0.163253198489673</x:v>
      </x:c>
      <x:c r="L355" s="15" t="n">
        <x:f>IF(AND(N355,ISNUMBER(H355),ISNUMBER(I355),H355&gt;0),I355/H355-1,"n.a.")</x:f>
        <x:v>0.022462046323316276</x:v>
      </x:c>
      <x:c r="M355" s="20" t="n">
        <x:f>IF(AND(ISNUMBER(K355),ISNUMBER(L355)),100*(K355-L355),"n.a.")</x:f>
        <x:v>14.079115216635675</x:v>
      </x:c>
      <x:c r="N355" s="13" t="b">
        <x:v>1</x:v>
      </x:c>
      <x:c r="O355" s="13" t="b">
        <x:v>1</x:v>
      </x:c>
      <x:c r="P355" s="13" t="b">
        <x:v>0</x:v>
      </x:c>
      <x:c r="Q355" s="2" t="str">
        <x:v>none</x:v>
      </x:c>
      <x:c r="R355" s="2" t="str">
        <x:v>none</x:v>
      </x:c>
      <x:c r="S355" s="2" t="str">
        <x:v>nominal Q4 source model estimate</x:v>
      </x:c>
      <x:c r="T355" s="2" t="str">
        <x:v>nominal Q4 source model estimate</x:v>
      </x:c>
      <x:c r="U355" s="2" t="str">
        <x:v>GFA growth versus source physical quantity growth; constant conversion required for equality</x:v>
      </x:c>
      <x:c r="V355" s="2" t="str">
        <x:v>2020 level is the model anchor; 2023 comparator unused by v16 fit but shares conversion/upstream lineage</x:v>
      </x:c>
      <x:c r="W355" s="2" t="str">
        <x:v>https://arxiv.org/abs/2511.12104</x:v>
      </x:c>
    </x:row>
    <x:row r="356" ht="23" customHeight="1">
      <x:c r="A356" s="2" t="str">
        <x:v>SLB</x:v>
      </x:c>
      <x:c r="B356" s="2" t="str">
        <x:v>Solomon Islands</x:v>
      </x:c>
      <x:c r="C356" s="2" t="str">
        <x:v>TEMPO_FOOTPRINT</x:v>
      </x:c>
      <x:c r="D356" s="2" t="n">
        <x:v>2020</x:v>
      </x:c>
      <x:c r="E356" s="2" t="n">
        <x:v>2023</x:v>
      </x:c>
      <x:c r="F356" s="17" t="n">
        <x:v>14438629.189999975</x:v>
      </x:c>
      <x:c r="G356" s="17" t="n">
        <x:v>16306252.212643614</x:v>
      </x:c>
      <x:c r="H356" s="17" t="n">
        <x:v>14438629.19</x:v>
      </x:c>
      <x:c r="I356" s="17" t="n">
        <x:v>14566828.58</x:v>
      </x:c>
      <x:c r="J356" s="2" t="str">
        <x:v>m2</x:v>
      </x:c>
      <x:c r="K356" s="15" t="n">
        <x:f>IF(AND(ISNUMBER(F356),ISNUMBER(G356),F356&gt;0),G356/F356-1,"n.a.")</x:f>
        <x:v>0.12934905371329375</x:v>
      </x:c>
      <x:c r="L356" s="15" t="n">
        <x:f>IF(AND(N356,ISNUMBER(H356),ISNUMBER(I356),H356&gt;0),I356/H356-1,"n.a.")</x:f>
        <x:v>0.008878916988102281</x:v>
      </x:c>
      <x:c r="M356" s="20" t="n">
        <x:f>IF(AND(ISNUMBER(K356),ISNUMBER(L356)),100*(K356-L356),"n.a.")</x:f>
        <x:v>12.047013672519146</x:v>
      </x:c>
      <x:c r="N356" s="13" t="b">
        <x:v>1</x:v>
      </x:c>
      <x:c r="O356" s="13" t="b">
        <x:v>1</x:v>
      </x:c>
      <x:c r="P356" s="13" t="b">
        <x:v>0</x:v>
      </x:c>
      <x:c r="Q356" s="2" t="str">
        <x:v>none</x:v>
      </x:c>
      <x:c r="R356" s="2" t="str">
        <x:v>none</x:v>
      </x:c>
      <x:c r="S356" s="2" t="str">
        <x:v>nominal Q4 source model estimate</x:v>
      </x:c>
      <x:c r="T356" s="2" t="str">
        <x:v>nominal Q4 source model estimate</x:v>
      </x:c>
      <x:c r="U356" s="2" t="str">
        <x:v>GFA growth versus source physical quantity growth; constant conversion required for equality</x:v>
      </x:c>
      <x:c r="V356" s="2" t="str">
        <x:v>2020 level is the model anchor; 2023 comparator unused by v16 fit but shares conversion/upstream lineage</x:v>
      </x:c>
      <x:c r="W356" s="2" t="str">
        <x:v>https://arxiv.org/abs/2511.12104</x:v>
      </x:c>
    </x:row>
    <x:row r="357" ht="23" customHeight="1">
      <x:c r="A357" s="2" t="str">
        <x:v>SLE</x:v>
      </x:c>
      <x:c r="B357" s="2" t="str">
        <x:v>Sierra Leone (Republic of)</x:v>
      </x:c>
      <x:c r="C357" s="2" t="str">
        <x:v>TEMPO_FOOTPRINT</x:v>
      </x:c>
      <x:c r="D357" s="2" t="n">
        <x:v>2020</x:v>
      </x:c>
      <x:c r="E357" s="2" t="n">
        <x:v>2023</x:v>
      </x:c>
      <x:c r="F357" s="17" t="n">
        <x:v>115259924.94999996</x:v>
      </x:c>
      <x:c r="G357" s="17" t="n">
        <x:v>129856241.15136361</x:v>
      </x:c>
      <x:c r="H357" s="17" t="n">
        <x:v>115259924.95</x:v>
      </x:c>
      <x:c r="I357" s="17" t="n">
        <x:v>120733489.63</x:v>
      </x:c>
      <x:c r="J357" s="2" t="str">
        <x:v>m2</x:v>
      </x:c>
      <x:c r="K357" s="15" t="n">
        <x:f>IF(AND(ISNUMBER(F357),ISNUMBER(G357),F357&gt;0),G357/F357-1,"n.a.")</x:f>
        <x:v>0.12663825876769885</x:v>
      </x:c>
      <x:c r="L357" s="15" t="n">
        <x:f>IF(AND(N357,ISNUMBER(H357),ISNUMBER(I357),H357&gt;0),I357/H357-1,"n.a.")</x:f>
        <x:v>0.04748887943814317</x:v>
      </x:c>
      <x:c r="M357" s="20" t="n">
        <x:f>IF(AND(ISNUMBER(K357),ISNUMBER(L357)),100*(K357-L357),"n.a.")</x:f>
        <x:v>7.914937932955568</x:v>
      </x:c>
      <x:c r="N357" s="13" t="b">
        <x:v>1</x:v>
      </x:c>
      <x:c r="O357" s="13" t="b">
        <x:v>1</x:v>
      </x:c>
      <x:c r="P357" s="13" t="b">
        <x:v>0</x:v>
      </x:c>
      <x:c r="Q357" s="2" t="str">
        <x:v>none</x:v>
      </x:c>
      <x:c r="R357" s="2" t="str">
        <x:v>none</x:v>
      </x:c>
      <x:c r="S357" s="2" t="str">
        <x:v>nominal Q4 source model estimate</x:v>
      </x:c>
      <x:c r="T357" s="2" t="str">
        <x:v>nominal Q4 source model estimate</x:v>
      </x:c>
      <x:c r="U357" s="2" t="str">
        <x:v>GFA growth versus source physical quantity growth; constant conversion required for equality</x:v>
      </x:c>
      <x:c r="V357" s="2" t="str">
        <x:v>2020 level is the model anchor; 2023 comparator unused by v16 fit but shares conversion/upstream lineage</x:v>
      </x:c>
      <x:c r="W357" s="2" t="str">
        <x:v>https://arxiv.org/abs/2511.12104</x:v>
      </x:c>
    </x:row>
    <x:row r="358" ht="23" customHeight="1">
      <x:c r="A358" s="2" t="str">
        <x:v>SLV</x:v>
      </x:c>
      <x:c r="B358" s="2" t="str">
        <x:v>El Salvador (Republic of)</x:v>
      </x:c>
      <x:c r="C358" s="2" t="str">
        <x:v>TEMPO_FOOTPRINT</x:v>
      </x:c>
      <x:c r="D358" s="2" t="n">
        <x:v>2020</x:v>
      </x:c>
      <x:c r="E358" s="2" t="n">
        <x:v>2023</x:v>
      </x:c>
      <x:c r="F358" s="17" t="n">
        <x:v>245414047.01000017</x:v>
      </x:c>
      <x:c r="G358" s="17" t="n">
        <x:v>261024429.91522917</x:v>
      </x:c>
      <x:c r="H358" s="17" t="n">
        <x:v>245414047.01</x:v>
      </x:c>
      <x:c r="I358" s="17" t="n">
        <x:v>261944365.07</x:v>
      </x:c>
      <x:c r="J358" s="2" t="str">
        <x:v>m2</x:v>
      </x:c>
      <x:c r="K358" s="15" t="n">
        <x:f>IF(AND(ISNUMBER(F358),ISNUMBER(G358),F358&gt;0),G358/F358-1,"n.a.")</x:f>
        <x:v>0.0636083512554313</x:v>
      </x:c>
      <x:c r="L358" s="15" t="n">
        <x:f>IF(AND(N358,ISNUMBER(H358),ISNUMBER(I358),H358&gt;0),I358/H358-1,"n.a.")</x:f>
        <x:v>0.0673568536984619</x:v>
      </x:c>
      <x:c r="M358" s="20" t="n">
        <x:f>IF(AND(ISNUMBER(K358),ISNUMBER(L358)),100*(K358-L358),"n.a.")</x:f>
        <x:v>-0.3748502443030599</x:v>
      </x:c>
      <x:c r="N358" s="13" t="b">
        <x:v>1</x:v>
      </x:c>
      <x:c r="O358" s="13" t="b">
        <x:v>1</x:v>
      </x:c>
      <x:c r="P358" s="13" t="b">
        <x:v>0</x:v>
      </x:c>
      <x:c r="Q358" s="2" t="str">
        <x:v>none</x:v>
      </x:c>
      <x:c r="R358" s="2" t="str">
        <x:v>none</x:v>
      </x:c>
      <x:c r="S358" s="2" t="str">
        <x:v>nominal Q4 source model estimate</x:v>
      </x:c>
      <x:c r="T358" s="2" t="str">
        <x:v>nominal Q4 source model estimate</x:v>
      </x:c>
      <x:c r="U358" s="2" t="str">
        <x:v>GFA growth versus source physical quantity growth; constant conversion required for equality</x:v>
      </x:c>
      <x:c r="V358" s="2" t="str">
        <x:v>2020 level is the model anchor; 2023 comparator unused by v16 fit but shares conversion/upstream lineage</x:v>
      </x:c>
      <x:c r="W358" s="2" t="str">
        <x:v>https://arxiv.org/abs/2511.12104</x:v>
      </x:c>
    </x:row>
    <x:row r="359" ht="23" customHeight="1">
      <x:c r="A359" s="2" t="str">
        <x:v>SMR</x:v>
      </x:c>
      <x:c r="B359" s="2" t="str">
        <x:v>San Marino (Republic of)</x:v>
      </x:c>
      <x:c r="C359" s="2" t="str">
        <x:v>TEMPO_FOOTPRINT</x:v>
      </x:c>
      <x:c r="D359" s="2" t="n">
        <x:v>2020</x:v>
      </x:c>
      <x:c r="E359" s="2" t="n">
        <x:v>2023</x:v>
      </x:c>
      <x:c r="F359" s="17" t="n">
        <x:v>3030681.630000002</x:v>
      </x:c>
      <x:c r="G359" s="17" t="n">
        <x:v>3250655.826220989</x:v>
      </x:c>
      <x:c r="H359" s="17" t="n">
        <x:v>2695532.72</x:v>
      </x:c>
      <x:c r="I359" s="17" t="n">
        <x:v>2770250.16</x:v>
      </x:c>
      <x:c r="J359" s="2" t="str">
        <x:v>m2</x:v>
      </x:c>
      <x:c r="K359" s="15" t="n">
        <x:f>IF(AND(ISNUMBER(F359),ISNUMBER(G359),F359&gt;0),G359/F359-1,"n.a.")</x:f>
        <x:v>0.07258241645823649</x:v>
      </x:c>
      <x:c r="L359" s="15" t="n">
        <x:f>IF(AND(N359,ISNUMBER(H359),ISNUMBER(I359),H359&gt;0),I359/H359-1,"n.a.")</x:f>
        <x:v>0.027718988326730365</x:v>
      </x:c>
      <x:c r="M359" s="20" t="n">
        <x:f>IF(AND(ISNUMBER(K359),ISNUMBER(L359)),100*(K359-L359),"n.a.")</x:f>
        <x:v>4.486342813150612</x:v>
      </x:c>
      <x:c r="N359" s="13" t="b">
        <x:v>1</x:v>
      </x:c>
      <x:c r="O359" s="13" t="b">
        <x:v>1</x:v>
      </x:c>
      <x:c r="P359" s="13" t="b">
        <x:v>0</x:v>
      </x:c>
      <x:c r="Q359" s="2" t="str">
        <x:v>none</x:v>
      </x:c>
      <x:c r="R359" s="2" t="str">
        <x:v>none</x:v>
      </x:c>
      <x:c r="S359" s="2" t="str">
        <x:v>nominal Q4 source model estimate</x:v>
      </x:c>
      <x:c r="T359" s="2" t="str">
        <x:v>nominal Q4 source model estimate</x:v>
      </x:c>
      <x:c r="U359" s="2" t="str">
        <x:v>GFA growth versus source physical quantity growth; constant conversion required for equality</x:v>
      </x:c>
      <x:c r="V359" s="2" t="str">
        <x:v>2020 level is the model anchor; 2023 comparator unused by v16 fit but shares conversion/upstream lineage</x:v>
      </x:c>
      <x:c r="W359" s="2" t="str">
        <x:v>https://arxiv.org/abs/2511.12104</x:v>
      </x:c>
    </x:row>
    <x:row r="360" ht="23" customHeight="1">
      <x:c r="A360" s="2" t="str">
        <x:v>SOM</x:v>
      </x:c>
      <x:c r="B360" s="2" t="str">
        <x:v>Somalia (Federal Republic of)</x:v>
      </x:c>
      <x:c r="C360" s="2" t="str">
        <x:v>TEMPO_FOOTPRINT</x:v>
      </x:c>
      <x:c r="D360" s="2" t="n">
        <x:v>2020</x:v>
      </x:c>
      <x:c r="E360" s="2" t="n">
        <x:v>2023</x:v>
      </x:c>
      <x:c r="F360" s="17" t="n">
        <x:v>134848326.33000013</x:v>
      </x:c>
      <x:c r="G360" s="17" t="n">
        <x:v>159520140.05612206</x:v>
      </x:c>
      <x:c r="H360" s="17" t="n">
        <x:v>134848326.33</x:v>
      </x:c>
      <x:c r="I360" s="17" t="n">
        <x:v>150313667.33</x:v>
      </x:c>
      <x:c r="J360" s="2" t="str">
        <x:v>m2</x:v>
      </x:c>
      <x:c r="K360" s="15" t="n">
        <x:f>IF(AND(ISNUMBER(F360),ISNUMBER(G360),F360&gt;0),G360/F360-1,"n.a.")</x:f>
        <x:v>0.18295973259427178</x:v>
      </x:c>
      <x:c r="L360" s="15" t="n">
        <x:f>IF(AND(N360,ISNUMBER(H360),ISNUMBER(I360),H360&gt;0),I360/H360-1,"n.a.")</x:f>
        <x:v>0.11468693324493562</x:v>
      </x:c>
      <x:c r="M360" s="20" t="n">
        <x:f>IF(AND(ISNUMBER(K360),ISNUMBER(L360)),100*(K360-L360),"n.a.")</x:f>
        <x:v>6.827279934933617</x:v>
      </x:c>
      <x:c r="N360" s="13" t="b">
        <x:v>1</x:v>
      </x:c>
      <x:c r="O360" s="13" t="b">
        <x:v>1</x:v>
      </x:c>
      <x:c r="P360" s="13" t="b">
        <x:v>0</x:v>
      </x:c>
      <x:c r="Q360" s="2" t="str">
        <x:v>none</x:v>
      </x:c>
      <x:c r="R360" s="2" t="str">
        <x:v>none</x:v>
      </x:c>
      <x:c r="S360" s="2" t="str">
        <x:v>nominal Q4 source model estimate</x:v>
      </x:c>
      <x:c r="T360" s="2" t="str">
        <x:v>nominal Q4 source model estimate</x:v>
      </x:c>
      <x:c r="U360" s="2" t="str">
        <x:v>GFA growth versus source physical quantity growth; constant conversion required for equality</x:v>
      </x:c>
      <x:c r="V360" s="2" t="str">
        <x:v>2020 level is the model anchor; 2023 comparator unused by v16 fit but shares conversion/upstream lineage</x:v>
      </x:c>
      <x:c r="W360" s="2" t="str">
        <x:v>https://arxiv.org/abs/2511.12104</x:v>
      </x:c>
    </x:row>
    <x:row r="361" ht="23" customHeight="1">
      <x:c r="A361" s="2" t="str">
        <x:v>SRB</x:v>
      </x:c>
      <x:c r="B361" s="2" t="str">
        <x:v>Serbia (Republic of)</x:v>
      </x:c>
      <x:c r="C361" s="2" t="str">
        <x:v>TEMPO_FOOTPRINT</x:v>
      </x:c>
      <x:c r="D361" s="2" t="n">
        <x:v>2020</x:v>
      </x:c>
      <x:c r="E361" s="2" t="n">
        <x:v>2023</x:v>
      </x:c>
      <x:c r="F361" s="17" t="n">
        <x:v>584520286.2100008</x:v>
      </x:c>
      <x:c r="G361" s="17" t="n">
        <x:v>594802444.5711257</x:v>
      </x:c>
      <x:c r="H361" s="17" t="n">
        <x:v>584520286.21</x:v>
      </x:c>
      <x:c r="I361" s="17" t="n">
        <x:v>605430808.53</x:v>
      </x:c>
      <x:c r="J361" s="2" t="str">
        <x:v>m2</x:v>
      </x:c>
      <x:c r="K361" s="15" t="n">
        <x:f>IF(AND(ISNUMBER(F361),ISNUMBER(G361),F361&gt;0),G361/F361-1,"n.a.")</x:f>
        <x:v>0.017590763919921315</x:v>
      </x:c>
      <x:c r="L361" s="15" t="n">
        <x:f>IF(AND(N361,ISNUMBER(H361),ISNUMBER(I361),H361&gt;0),I361/H361-1,"n.a.")</x:f>
        <x:v>0.035773817972311495</x:v>
      </x:c>
      <x:c r="M361" s="20" t="n">
        <x:f>IF(AND(ISNUMBER(K361),ISNUMBER(L361)),100*(K361-L361),"n.a.")</x:f>
        <x:v>-1.818305405239018</x:v>
      </x:c>
      <x:c r="N361" s="13" t="b">
        <x:v>1</x:v>
      </x:c>
      <x:c r="O361" s="13" t="b">
        <x:v>1</x:v>
      </x:c>
      <x:c r="P361" s="13" t="b">
        <x:v>0</x:v>
      </x:c>
      <x:c r="Q361" s="2" t="str">
        <x:v>none</x:v>
      </x:c>
      <x:c r="R361" s="2" t="str">
        <x:v>none</x:v>
      </x:c>
      <x:c r="S361" s="2" t="str">
        <x:v>nominal Q4 source model estimate</x:v>
      </x:c>
      <x:c r="T361" s="2" t="str">
        <x:v>nominal Q4 source model estimate</x:v>
      </x:c>
      <x:c r="U361" s="2" t="str">
        <x:v>GFA growth versus source physical quantity growth; constant conversion required for equality</x:v>
      </x:c>
      <x:c r="V361" s="2" t="str">
        <x:v>2020 level is the model anchor; 2023 comparator unused by v16 fit but shares conversion/upstream lineage</x:v>
      </x:c>
      <x:c r="W361" s="2" t="str">
        <x:v>https://arxiv.org/abs/2511.12104</x:v>
      </x:c>
    </x:row>
    <x:row r="362" ht="23" customHeight="1">
      <x:c r="A362" s="2" t="str">
        <x:v>SSD</x:v>
      </x:c>
      <x:c r="B362" s="2" t="str">
        <x:v>South Sudan (Republic of)</x:v>
      </x:c>
      <x:c r="C362" s="2" t="str">
        <x:v>TEMPO_FOOTPRINT</x:v>
      </x:c>
      <x:c r="D362" s="2" t="n">
        <x:v>2020</x:v>
      </x:c>
      <x:c r="E362" s="2" t="n">
        <x:v>2023</x:v>
      </x:c>
      <x:c r="F362" s="17" t="n">
        <x:v>82483216.59000005</x:v>
      </x:c>
      <x:c r="G362" s="17" t="n">
        <x:v>92690983.58884174</x:v>
      </x:c>
      <x:c r="H362" s="17" t="n">
        <x:v>82483216.59</x:v>
      </x:c>
      <x:c r="I362" s="17" t="n">
        <x:v>87971259.95</x:v>
      </x:c>
      <x:c r="J362" s="2" t="str">
        <x:v>m2</x:v>
      </x:c>
      <x:c r="K362" s="15" t="n">
        <x:f>IF(AND(ISNUMBER(F362),ISNUMBER(G362),F362&gt;0),G362/F362-1,"n.a.")</x:f>
        <x:v>0.12375568534846937</x:v>
      </x:c>
      <x:c r="L362" s="15" t="n">
        <x:f>IF(AND(N362,ISNUMBER(H362),ISNUMBER(I362),H362&gt;0),I362/H362-1,"n.a.")</x:f>
        <x:v>0.06653527331844322</x:v>
      </x:c>
      <x:c r="M362" s="20" t="n">
        <x:f>IF(AND(ISNUMBER(K362),ISNUMBER(L362)),100*(K362-L362),"n.a.")</x:f>
        <x:v>5.722041203002615</x:v>
      </x:c>
      <x:c r="N362" s="13" t="b">
        <x:v>1</x:v>
      </x:c>
      <x:c r="O362" s="13" t="b">
        <x:v>1</x:v>
      </x:c>
      <x:c r="P362" s="13" t="b">
        <x:v>0</x:v>
      </x:c>
      <x:c r="Q362" s="2" t="str">
        <x:v>none</x:v>
      </x:c>
      <x:c r="R362" s="2" t="str">
        <x:v>none</x:v>
      </x:c>
      <x:c r="S362" s="2" t="str">
        <x:v>nominal Q4 source model estimate</x:v>
      </x:c>
      <x:c r="T362" s="2" t="str">
        <x:v>nominal Q4 source model estimate</x:v>
      </x:c>
      <x:c r="U362" s="2" t="str">
        <x:v>GFA growth versus source physical quantity growth; constant conversion required for equality</x:v>
      </x:c>
      <x:c r="V362" s="2" t="str">
        <x:v>2020 level is the model anchor; 2023 comparator unused by v16 fit but shares conversion/upstream lineage</x:v>
      </x:c>
      <x:c r="W362" s="2" t="str">
        <x:v>https://arxiv.org/abs/2511.12104</x:v>
      </x:c>
    </x:row>
    <x:row r="363" ht="23" customHeight="1">
      <x:c r="A363" s="2" t="str">
        <x:v>STP</x:v>
      </x:c>
      <x:c r="B363" s="2" t="str">
        <x:v>Sao Tome and Principe (Democratic Republic of)</x:v>
      </x:c>
      <x:c r="C363" s="2" t="str">
        <x:v>TEMPO_FOOTPRINT</x:v>
      </x:c>
      <x:c r="D363" s="2" t="n">
        <x:v>2020</x:v>
      </x:c>
      <x:c r="E363" s="2" t="n">
        <x:v>2023</x:v>
      </x:c>
      <x:c r="F363" s="17" t="n">
        <x:v>6153544.550000003</x:v>
      </x:c>
      <x:c r="G363" s="17" t="n">
        <x:v>6818483.323616166</x:v>
      </x:c>
      <x:c r="H363" s="17" t="n">
        <x:v>6153544.55</x:v>
      </x:c>
      <x:c r="I363" s="17" t="n">
        <x:v>6216233.54</x:v>
      </x:c>
      <x:c r="J363" s="2" t="str">
        <x:v>m2</x:v>
      </x:c>
      <x:c r="K363" s="15" t="n">
        <x:f>IF(AND(ISNUMBER(F363),ISNUMBER(G363),F363&gt;0),G363/F363-1,"n.a.")</x:f>
        <x:v>0.10805784669522911</x:v>
      </x:c>
      <x:c r="L363" s="15" t="n">
        <x:f>IF(AND(N363,ISNUMBER(H363),ISNUMBER(I363),H363&gt;0),I363/H363-1,"n.a.")</x:f>
        <x:v>0.01018746016879013</x:v>
      </x:c>
      <x:c r="M363" s="20" t="n">
        <x:f>IF(AND(ISNUMBER(K363),ISNUMBER(L363)),100*(K363-L363),"n.a.")</x:f>
        <x:v>9.787038652643897</x:v>
      </x:c>
      <x:c r="N363" s="13" t="b">
        <x:v>1</x:v>
      </x:c>
      <x:c r="O363" s="13" t="b">
        <x:v>1</x:v>
      </x:c>
      <x:c r="P363" s="13" t="b">
        <x:v>0</x:v>
      </x:c>
      <x:c r="Q363" s="2" t="str">
        <x:v>none</x:v>
      </x:c>
      <x:c r="R363" s="2" t="str">
        <x:v>none</x:v>
      </x:c>
      <x:c r="S363" s="2" t="str">
        <x:v>nominal Q4 source model estimate</x:v>
      </x:c>
      <x:c r="T363" s="2" t="str">
        <x:v>nominal Q4 source model estimate</x:v>
      </x:c>
      <x:c r="U363" s="2" t="str">
        <x:v>GFA growth versus source physical quantity growth; constant conversion required for equality</x:v>
      </x:c>
      <x:c r="V363" s="2" t="str">
        <x:v>2020 level is the model anchor; 2023 comparator unused by v16 fit but shares conversion/upstream lineage</x:v>
      </x:c>
      <x:c r="W363" s="2" t="str">
        <x:v>https://arxiv.org/abs/2511.12104</x:v>
      </x:c>
    </x:row>
    <x:row r="364" ht="23" customHeight="1">
      <x:c r="A364" s="2" t="str">
        <x:v>SUR</x:v>
      </x:c>
      <x:c r="B364" s="2" t="str">
        <x:v>Suriname (Republic of)</x:v>
      </x:c>
      <x:c r="C364" s="2" t="str">
        <x:v>TEMPO_FOOTPRINT</x:v>
      </x:c>
      <x:c r="D364" s="2" t="n">
        <x:v>2020</x:v>
      </x:c>
      <x:c r="E364" s="2" t="n">
        <x:v>2023</x:v>
      </x:c>
      <x:c r="F364" s="17" t="n">
        <x:v>50598825.22000002</x:v>
      </x:c>
      <x:c r="G364" s="17" t="n">
        <x:v>53172347.76025656</x:v>
      </x:c>
      <x:c r="H364" s="17" t="n">
        <x:v>50598825.22</x:v>
      </x:c>
      <x:c r="I364" s="17" t="n">
        <x:v>51982456.44</x:v>
      </x:c>
      <x:c r="J364" s="2" t="str">
        <x:v>m2</x:v>
      </x:c>
      <x:c r="K364" s="15" t="n">
        <x:f>IF(AND(ISNUMBER(F364),ISNUMBER(G364),F364&gt;0),G364/F364-1,"n.a.")</x:f>
        <x:v>0.050861310100917434</x:v>
      </x:c>
      <x:c r="L364" s="15" t="n">
        <x:f>IF(AND(N364,ISNUMBER(H364),ISNUMBER(I364),H364&gt;0),I364/H364-1,"n.a.")</x:f>
        <x:v>0.027345125385501934</x:v>
      </x:c>
      <x:c r="M364" s="20" t="n">
        <x:f>IF(AND(ISNUMBER(K364),ISNUMBER(L364)),100*(K364-L364),"n.a.")</x:f>
        <x:v>2.35161847154155</x:v>
      </x:c>
      <x:c r="N364" s="13" t="b">
        <x:v>1</x:v>
      </x:c>
      <x:c r="O364" s="13" t="b">
        <x:v>1</x:v>
      </x:c>
      <x:c r="P364" s="13" t="b">
        <x:v>0</x:v>
      </x:c>
      <x:c r="Q364" s="2" t="str">
        <x:v>none</x:v>
      </x:c>
      <x:c r="R364" s="2" t="str">
        <x:v>none</x:v>
      </x:c>
      <x:c r="S364" s="2" t="str">
        <x:v>nominal Q4 source model estimate</x:v>
      </x:c>
      <x:c r="T364" s="2" t="str">
        <x:v>nominal Q4 source model estimate</x:v>
      </x:c>
      <x:c r="U364" s="2" t="str">
        <x:v>GFA growth versus source physical quantity growth; constant conversion required for equality</x:v>
      </x:c>
      <x:c r="V364" s="2" t="str">
        <x:v>2020 level is the model anchor; 2023 comparator unused by v16 fit but shares conversion/upstream lineage</x:v>
      </x:c>
      <x:c r="W364" s="2" t="str">
        <x:v>https://arxiv.org/abs/2511.12104</x:v>
      </x:c>
    </x:row>
    <x:row r="365" ht="23" customHeight="1">
      <x:c r="A365" s="2" t="str">
        <x:v>SVK</x:v>
      </x:c>
      <x:c r="B365" s="2" t="str">
        <x:v>Slovakia (Slovak Republic)</x:v>
      </x:c>
      <x:c r="C365" s="2" t="str">
        <x:v>TEMPO_FOOTPRINT</x:v>
      </x:c>
      <x:c r="D365" s="2" t="n">
        <x:v>2020</x:v>
      </x:c>
      <x:c r="E365" s="2" t="n">
        <x:v>2023</x:v>
      </x:c>
      <x:c r="F365" s="17" t="n">
        <x:v>391189188.0500002</x:v>
      </x:c>
      <x:c r="G365" s="17" t="n">
        <x:v>412340398.81688684</x:v>
      </x:c>
      <x:c r="H365" s="17" t="n">
        <x:v>387594933.19</x:v>
      </x:c>
      <x:c r="I365" s="17" t="n">
        <x:v>416091115.38</x:v>
      </x:c>
      <x:c r="J365" s="2" t="str">
        <x:v>m2</x:v>
      </x:c>
      <x:c r="K365" s="15" t="n">
        <x:f>IF(AND(ISNUMBER(F365),ISNUMBER(G365),F365&gt;0),G365/F365-1,"n.a.")</x:f>
        <x:v>0.05406900653957547</x:v>
      </x:c>
      <x:c r="L365" s="15" t="n">
        <x:f>IF(AND(N365,ISNUMBER(H365),ISNUMBER(I365),H365&gt;0),I365/H365-1,"n.a.")</x:f>
        <x:v>0.07352052297348033</x:v>
      </x:c>
      <x:c r="M365" s="20" t="n">
        <x:f>IF(AND(ISNUMBER(K365),ISNUMBER(L365)),100*(K365-L365),"n.a.")</x:f>
        <x:v>-1.9451516433904859</x:v>
      </x:c>
      <x:c r="N365" s="13" t="b">
        <x:v>1</x:v>
      </x:c>
      <x:c r="O365" s="13" t="b">
        <x:v>1</x:v>
      </x:c>
      <x:c r="P365" s="13" t="b">
        <x:v>0</x:v>
      </x:c>
      <x:c r="Q365" s="2" t="str">
        <x:v>none</x:v>
      </x:c>
      <x:c r="R365" s="2" t="str">
        <x:v>none</x:v>
      </x:c>
      <x:c r="S365" s="2" t="str">
        <x:v>nominal Q4 source model estimate</x:v>
      </x:c>
      <x:c r="T365" s="2" t="str">
        <x:v>nominal Q4 source model estimate</x:v>
      </x:c>
      <x:c r="U365" s="2" t="str">
        <x:v>GFA growth versus source physical quantity growth; constant conversion required for equality</x:v>
      </x:c>
      <x:c r="V365" s="2" t="str">
        <x:v>2020 level is the model anchor; 2023 comparator unused by v16 fit but shares conversion/upstream lineage</x:v>
      </x:c>
      <x:c r="W365" s="2" t="str">
        <x:v>https://arxiv.org/abs/2511.12104</x:v>
      </x:c>
    </x:row>
    <x:row r="366" ht="23" customHeight="1">
      <x:c r="A366" s="2" t="str">
        <x:v>SVN</x:v>
      </x:c>
      <x:c r="B366" s="2" t="str">
        <x:v>Slovenia (Republic of)</x:v>
      </x:c>
      <x:c r="C366" s="2" t="str">
        <x:v>TEMPO_FOOTPRINT</x:v>
      </x:c>
      <x:c r="D366" s="2" t="n">
        <x:v>2020</x:v>
      </x:c>
      <x:c r="E366" s="2" t="n">
        <x:v>2023</x:v>
      </x:c>
      <x:c r="F366" s="17" t="n">
        <x:v>188783306.59000015</x:v>
      </x:c>
      <x:c r="G366" s="17" t="n">
        <x:v>199590518.4316829</x:v>
      </x:c>
      <x:c r="H366" s="17" t="n">
        <x:v>188783306.59</x:v>
      </x:c>
      <x:c r="I366" s="17" t="n">
        <x:v>198142046.73</x:v>
      </x:c>
      <x:c r="J366" s="2" t="str">
        <x:v>m2</x:v>
      </x:c>
      <x:c r="K366" s="15" t="n">
        <x:f>IF(AND(ISNUMBER(F366),ISNUMBER(G366),F366&gt;0),G366/F366-1,"n.a.")</x:f>
        <x:v>0.05724664980656313</x:v>
      </x:c>
      <x:c r="L366" s="15" t="n">
        <x:f>IF(AND(N366,ISNUMBER(H366),ISNUMBER(I366),H366&gt;0),I366/H366-1,"n.a.")</x:f>
        <x:v>0.04957398145549652</x:v>
      </x:c>
      <x:c r="M366" s="20" t="n">
        <x:f>IF(AND(ISNUMBER(K366),ISNUMBER(L366)),100*(K366-L366),"n.a.")</x:f>
        <x:v>0.7672668351066614</x:v>
      </x:c>
      <x:c r="N366" s="13" t="b">
        <x:v>1</x:v>
      </x:c>
      <x:c r="O366" s="13" t="b">
        <x:v>1</x:v>
      </x:c>
      <x:c r="P366" s="13" t="b">
        <x:v>0</x:v>
      </x:c>
      <x:c r="Q366" s="2" t="str">
        <x:v>none</x:v>
      </x:c>
      <x:c r="R366" s="2" t="str">
        <x:v>none</x:v>
      </x:c>
      <x:c r="S366" s="2" t="str">
        <x:v>nominal Q4 source model estimate</x:v>
      </x:c>
      <x:c r="T366" s="2" t="str">
        <x:v>nominal Q4 source model estimate</x:v>
      </x:c>
      <x:c r="U366" s="2" t="str">
        <x:v>GFA growth versus source physical quantity growth; constant conversion required for equality</x:v>
      </x:c>
      <x:c r="V366" s="2" t="str">
        <x:v>2020 level is the model anchor; 2023 comparator unused by v16 fit but shares conversion/upstream lineage</x:v>
      </x:c>
      <x:c r="W366" s="2" t="str">
        <x:v>https://arxiv.org/abs/2511.12104</x:v>
      </x:c>
    </x:row>
    <x:row r="367" ht="23" customHeight="1">
      <x:c r="A367" s="2" t="str">
        <x:v>SWE</x:v>
      </x:c>
      <x:c r="B367" s="2" t="str">
        <x:v>Sweden (Kingdom of)</x:v>
      </x:c>
      <x:c r="C367" s="2" t="str">
        <x:v>TEMPO_FOOTPRINT</x:v>
      </x:c>
      <x:c r="D367" s="2" t="n">
        <x:v>2020</x:v>
      </x:c>
      <x:c r="E367" s="2" t="n">
        <x:v>2023</x:v>
      </x:c>
      <x:c r="F367" s="17" t="n">
        <x:v>860750073.0500002</x:v>
      </x:c>
      <x:c r="G367" s="17" t="n">
        <x:v>964341597.2007422</x:v>
      </x:c>
      <x:c r="H367" s="17" t="n">
        <x:v>853123931.52</x:v>
      </x:c>
      <x:c r="I367" s="17" t="n">
        <x:v>904965518.54</x:v>
      </x:c>
      <x:c r="J367" s="2" t="str">
        <x:v>m2</x:v>
      </x:c>
      <x:c r="K367" s="15" t="n">
        <x:f>IF(AND(ISNUMBER(F367),ISNUMBER(G367),F367&gt;0),G367/F367-1,"n.a.")</x:f>
        <x:v>0.12035029376607964</x:v>
      </x:c>
      <x:c r="L367" s="15" t="n">
        <x:f>IF(AND(N367,ISNUMBER(H367),ISNUMBER(I367),H367&gt;0),I367/H367-1,"n.a.")</x:f>
        <x:v>0.06076677151423304</x:v>
      </x:c>
      <x:c r="M367" s="20" t="n">
        <x:f>IF(AND(ISNUMBER(K367),ISNUMBER(L367)),100*(K367-L367),"n.a.")</x:f>
        <x:v>5.95835222518466</x:v>
      </x:c>
      <x:c r="N367" s="13" t="b">
        <x:v>1</x:v>
      </x:c>
      <x:c r="O367" s="13" t="b">
        <x:v>1</x:v>
      </x:c>
      <x:c r="P367" s="13" t="b">
        <x:v>0</x:v>
      </x:c>
      <x:c r="Q367" s="2" t="str">
        <x:v>none</x:v>
      </x:c>
      <x:c r="R367" s="2" t="str">
        <x:v>none</x:v>
      </x:c>
      <x:c r="S367" s="2" t="str">
        <x:v>nominal Q4 source model estimate</x:v>
      </x:c>
      <x:c r="T367" s="2" t="str">
        <x:v>nominal Q4 source model estimate</x:v>
      </x:c>
      <x:c r="U367" s="2" t="str">
        <x:v>GFA growth versus source physical quantity growth; constant conversion required for equality</x:v>
      </x:c>
      <x:c r="V367" s="2" t="str">
        <x:v>2020 level is the model anchor; 2023 comparator unused by v16 fit but shares conversion/upstream lineage</x:v>
      </x:c>
      <x:c r="W367" s="2" t="str">
        <x:v>https://arxiv.org/abs/2511.12104</x:v>
      </x:c>
    </x:row>
    <x:row r="368" ht="23" customHeight="1">
      <x:c r="A368" s="2" t="str">
        <x:v>SWZ</x:v>
      </x:c>
      <x:c r="B368" s="2" t="str">
        <x:v>Eswatini (Kingdom of)</x:v>
      </x:c>
      <x:c r="C368" s="2" t="str">
        <x:v>TEMPO_FOOTPRINT</x:v>
      </x:c>
      <x:c r="D368" s="2" t="n">
        <x:v>2020</x:v>
      </x:c>
      <x:c r="E368" s="2" t="n">
        <x:v>2023</x:v>
      </x:c>
      <x:c r="F368" s="17" t="n">
        <x:v>51228621.629999995</x:v>
      </x:c>
      <x:c r="G368" s="17" t="n">
        <x:v>53055083.172159255</x:v>
      </x:c>
      <x:c r="H368" s="17" t="n">
        <x:v>51228621.63</x:v>
      </x:c>
      <x:c r="I368" s="17" t="n">
        <x:v>54818020.65</x:v>
      </x:c>
      <x:c r="J368" s="2" t="str">
        <x:v>m2</x:v>
      </x:c>
      <x:c r="K368" s="15" t="n">
        <x:f>IF(AND(ISNUMBER(F368),ISNUMBER(G368),F368&gt;0),G368/F368-1,"n.a.")</x:f>
        <x:v>0.03565314630854055</x:v>
      </x:c>
      <x:c r="L368" s="15" t="n">
        <x:f>IF(AND(N368,ISNUMBER(H368),ISNUMBER(I368),H368&gt;0),I368/H368-1,"n.a.")</x:f>
        <x:v>0.07006628142221971</x:v>
      </x:c>
      <x:c r="M368" s="20" t="n">
        <x:f>IF(AND(ISNUMBER(K368),ISNUMBER(L368)),100*(K368-L368),"n.a.")</x:f>
        <x:v>-3.441313511367916</x:v>
      </x:c>
      <x:c r="N368" s="13" t="b">
        <x:v>1</x:v>
      </x:c>
      <x:c r="O368" s="13" t="b">
        <x:v>1</x:v>
      </x:c>
      <x:c r="P368" s="13" t="b">
        <x:v>0</x:v>
      </x:c>
      <x:c r="Q368" s="2" t="str">
        <x:v>none</x:v>
      </x:c>
      <x:c r="R368" s="2" t="str">
        <x:v>none</x:v>
      </x:c>
      <x:c r="S368" s="2" t="str">
        <x:v>nominal Q4 source model estimate</x:v>
      </x:c>
      <x:c r="T368" s="2" t="str">
        <x:v>nominal Q4 source model estimate</x:v>
      </x:c>
      <x:c r="U368" s="2" t="str">
        <x:v>GFA growth versus source physical quantity growth; constant conversion required for equality</x:v>
      </x:c>
      <x:c r="V368" s="2" t="str">
        <x:v>2020 level is the model anchor; 2023 comparator unused by v16 fit but shares conversion/upstream lineage</x:v>
      </x:c>
      <x:c r="W368" s="2" t="str">
        <x:v>https://arxiv.org/abs/2511.12104</x:v>
      </x:c>
    </x:row>
    <x:row r="369" ht="23" customHeight="1">
      <x:c r="A369" s="2" t="str">
        <x:v>SYC</x:v>
      </x:c>
      <x:c r="B369" s="2" t="str">
        <x:v>Seychelles (Republic of)</x:v>
      </x:c>
      <x:c r="C369" s="2" t="str">
        <x:v>TEMPO_FOOTPRINT</x:v>
      </x:c>
      <x:c r="D369" s="2" t="n">
        <x:v>2020</x:v>
      </x:c>
      <x:c r="E369" s="2" t="n">
        <x:v>2023</x:v>
      </x:c>
      <x:c r="F369" s="17" t="n">
        <x:v>7317572.880000001</x:v>
      </x:c>
      <x:c r="G369" s="17" t="n">
        <x:v>8032324.393538225</x:v>
      </x:c>
      <x:c r="H369" s="17" t="n">
        <x:v>7317572.88</x:v>
      </x:c>
      <x:c r="I369" s="17" t="n">
        <x:v>7673242.18</x:v>
      </x:c>
      <x:c r="J369" s="2" t="str">
        <x:v>m2</x:v>
      </x:c>
      <x:c r="K369" s="15" t="n">
        <x:f>IF(AND(ISNUMBER(F369),ISNUMBER(G369),F369&gt;0),G369/F369-1,"n.a.")</x:f>
        <x:v>0.0976760362020781</x:v>
      </x:c>
      <x:c r="L369" s="15" t="n">
        <x:f>IF(AND(N369,ISNUMBER(H369),ISNUMBER(I369),H369&gt;0),I369/H369-1,"n.a.")</x:f>
        <x:v>0.04860481826864982</x:v>
      </x:c>
      <x:c r="M369" s="20" t="n">
        <x:f>IF(AND(ISNUMBER(K369),ISNUMBER(L369)),100*(K369-L369),"n.a.")</x:f>
        <x:v>4.907121793342828</x:v>
      </x:c>
      <x:c r="N369" s="13" t="b">
        <x:v>1</x:v>
      </x:c>
      <x:c r="O369" s="13" t="b">
        <x:v>1</x:v>
      </x:c>
      <x:c r="P369" s="13" t="b">
        <x:v>0</x:v>
      </x:c>
      <x:c r="Q369" s="2" t="str">
        <x:v>none</x:v>
      </x:c>
      <x:c r="R369" s="2" t="str">
        <x:v>none</x:v>
      </x:c>
      <x:c r="S369" s="2" t="str">
        <x:v>nominal Q4 source model estimate</x:v>
      </x:c>
      <x:c r="T369" s="2" t="str">
        <x:v>nominal Q4 source model estimate</x:v>
      </x:c>
      <x:c r="U369" s="2" t="str">
        <x:v>GFA growth versus source physical quantity growth; constant conversion required for equality</x:v>
      </x:c>
      <x:c r="V369" s="2" t="str">
        <x:v>2020 level is the model anchor; 2023 comparator unused by v16 fit but shares conversion/upstream lineage</x:v>
      </x:c>
      <x:c r="W369" s="2" t="str">
        <x:v>https://arxiv.org/abs/2511.12104</x:v>
      </x:c>
    </x:row>
    <x:row r="370" ht="23" customHeight="1">
      <x:c r="A370" s="2" t="str">
        <x:v>SYR</x:v>
      </x:c>
      <x:c r="B370" s="2" t="str">
        <x:v>Syrian Arab Republic</x:v>
      </x:c>
      <x:c r="C370" s="2" t="str">
        <x:v>TEMPO_FOOTPRINT</x:v>
      </x:c>
      <x:c r="D370" s="2" t="n">
        <x:v>2020</x:v>
      </x:c>
      <x:c r="E370" s="2" t="n">
        <x:v>2023</x:v>
      </x:c>
      <x:c r="F370" s="17" t="n">
        <x:v>795482211.65</x:v>
      </x:c>
      <x:c r="G370" s="17" t="n">
        <x:v>894113829.7998247</x:v>
      </x:c>
      <x:c r="H370" s="17" t="n">
        <x:v>784392266.01</x:v>
      </x:c>
      <x:c r="I370" s="17" t="n">
        <x:v>814549085.43</x:v>
      </x:c>
      <x:c r="J370" s="2" t="str">
        <x:v>m2</x:v>
      </x:c>
      <x:c r="K370" s="15" t="n">
        <x:f>IF(AND(ISNUMBER(F370),ISNUMBER(G370),F370&gt;0),G370/F370-1,"n.a.")</x:f>
        <x:v>0.12398972183833212</x:v>
      </x:c>
      <x:c r="L370" s="15" t="n">
        <x:f>IF(AND(N370,ISNUMBER(H370),ISNUMBER(I370),H370&gt;0),I370/H370-1,"n.a.")</x:f>
        <x:v>0.03844609480075567</x:v>
      </x:c>
      <x:c r="M370" s="20" t="n">
        <x:f>IF(AND(ISNUMBER(K370),ISNUMBER(L370)),100*(K370-L370),"n.a.")</x:f>
        <x:v>8.554362703757645</x:v>
      </x:c>
      <x:c r="N370" s="13" t="b">
        <x:v>1</x:v>
      </x:c>
      <x:c r="O370" s="13" t="b">
        <x:v>1</x:v>
      </x:c>
      <x:c r="P370" s="13" t="b">
        <x:v>0</x:v>
      </x:c>
      <x:c r="Q370" s="2" t="str">
        <x:v>none</x:v>
      </x:c>
      <x:c r="R370" s="2" t="str">
        <x:v>none</x:v>
      </x:c>
      <x:c r="S370" s="2" t="str">
        <x:v>nominal Q4 source model estimate</x:v>
      </x:c>
      <x:c r="T370" s="2" t="str">
        <x:v>nominal Q4 source model estimate</x:v>
      </x:c>
      <x:c r="U370" s="2" t="str">
        <x:v>GFA growth versus source physical quantity growth; constant conversion required for equality</x:v>
      </x:c>
      <x:c r="V370" s="2" t="str">
        <x:v>2020 level is the model anchor; 2023 comparator unused by v16 fit but shares conversion/upstream lineage</x:v>
      </x:c>
      <x:c r="W370" s="2" t="str">
        <x:v>https://arxiv.org/abs/2511.12104</x:v>
      </x:c>
    </x:row>
    <x:row r="371" ht="23" customHeight="1">
      <x:c r="A371" s="2" t="str">
        <x:v>TCD</x:v>
      </x:c>
      <x:c r="B371" s="2" t="str">
        <x:v>Chad (Republic of)</x:v>
      </x:c>
      <x:c r="C371" s="2" t="str">
        <x:v>TEMPO_FOOTPRINT</x:v>
      </x:c>
      <x:c r="D371" s="2" t="n">
        <x:v>2020</x:v>
      </x:c>
      <x:c r="E371" s="2" t="n">
        <x:v>2023</x:v>
      </x:c>
      <x:c r="F371" s="17" t="n">
        <x:v>126450494.21999988</x:v>
      </x:c>
      <x:c r="G371" s="17" t="n">
        <x:v>144627097.09096757</x:v>
      </x:c>
      <x:c r="H371" s="17" t="n">
        <x:v>126450494.22</x:v>
      </x:c>
      <x:c r="I371" s="17" t="n">
        <x:v>139916047.9</x:v>
      </x:c>
      <x:c r="J371" s="2" t="str">
        <x:v>m2</x:v>
      </x:c>
      <x:c r="K371" s="15" t="n">
        <x:f>IF(AND(ISNUMBER(F371),ISNUMBER(G371),F371&gt;0),G371/F371-1,"n.a.")</x:f>
        <x:v>0.14374481478375123</x:v>
      </x:c>
      <x:c r="L371" s="15" t="n">
        <x:f>IF(AND(N371,ISNUMBER(H371),ISNUMBER(I371),H371&gt;0),I371/H371-1,"n.a.")</x:f>
        <x:v>0.10648873903626255</x:v>
      </x:c>
      <x:c r="M371" s="20" t="n">
        <x:f>IF(AND(ISNUMBER(K371),ISNUMBER(L371)),100*(K371-L371),"n.a.")</x:f>
        <x:v>3.725607574748868</x:v>
      </x:c>
      <x:c r="N371" s="13" t="b">
        <x:v>1</x:v>
      </x:c>
      <x:c r="O371" s="13" t="b">
        <x:v>1</x:v>
      </x:c>
      <x:c r="P371" s="13" t="b">
        <x:v>0</x:v>
      </x:c>
      <x:c r="Q371" s="2" t="str">
        <x:v>none</x:v>
      </x:c>
      <x:c r="R371" s="2" t="str">
        <x:v>none</x:v>
      </x:c>
      <x:c r="S371" s="2" t="str">
        <x:v>nominal Q4 source model estimate</x:v>
      </x:c>
      <x:c r="T371" s="2" t="str">
        <x:v>nominal Q4 source model estimate</x:v>
      </x:c>
      <x:c r="U371" s="2" t="str">
        <x:v>GFA growth versus source physical quantity growth; constant conversion required for equality</x:v>
      </x:c>
      <x:c r="V371" s="2" t="str">
        <x:v>2020 level is the model anchor; 2023 comparator unused by v16 fit but shares conversion/upstream lineage</x:v>
      </x:c>
      <x:c r="W371" s="2" t="str">
        <x:v>https://arxiv.org/abs/2511.12104</x:v>
      </x:c>
    </x:row>
    <x:row r="372" ht="23" customHeight="1">
      <x:c r="A372" s="2" t="str">
        <x:v>TGO</x:v>
      </x:c>
      <x:c r="B372" s="2" t="str">
        <x:v>Togo (Togolese Republic)</x:v>
      </x:c>
      <x:c r="C372" s="2" t="str">
        <x:v>TEMPO_FOOTPRINT</x:v>
      </x:c>
      <x:c r="D372" s="2" t="n">
        <x:v>2020</x:v>
      </x:c>
      <x:c r="E372" s="2" t="n">
        <x:v>2023</x:v>
      </x:c>
      <x:c r="F372" s="17" t="n">
        <x:v>185693532.7300002</x:v>
      </x:c>
      <x:c r="G372" s="17" t="n">
        <x:v>202627737.73450005</x:v>
      </x:c>
      <x:c r="H372" s="17" t="n">
        <x:v>185693532.73</x:v>
      </x:c>
      <x:c r="I372" s="17" t="n">
        <x:v>209305536.68</x:v>
      </x:c>
      <x:c r="J372" s="2" t="str">
        <x:v>m2</x:v>
      </x:c>
      <x:c r="K372" s="15" t="n">
        <x:f>IF(AND(ISNUMBER(F372),ISNUMBER(G372),F372&gt;0),G372/F372-1,"n.a.")</x:f>
        <x:v>0.0911943714761585</x:v>
      </x:c>
      <x:c r="L372" s="15" t="n">
        <x:f>IF(AND(N372,ISNUMBER(H372),ISNUMBER(I372),H372&gt;0),I372/H372-1,"n.a.")</x:f>
        <x:v>0.12715576898594572</x:v>
      </x:c>
      <x:c r="M372" s="20" t="n">
        <x:f>IF(AND(ISNUMBER(K372),ISNUMBER(L372)),100*(K372-L372),"n.a.")</x:f>
        <x:v>-3.596139750978722</x:v>
      </x:c>
      <x:c r="N372" s="13" t="b">
        <x:v>1</x:v>
      </x:c>
      <x:c r="O372" s="13" t="b">
        <x:v>1</x:v>
      </x:c>
      <x:c r="P372" s="13" t="b">
        <x:v>0</x:v>
      </x:c>
      <x:c r="Q372" s="2" t="str">
        <x:v>none</x:v>
      </x:c>
      <x:c r="R372" s="2" t="str">
        <x:v>none</x:v>
      </x:c>
      <x:c r="S372" s="2" t="str">
        <x:v>nominal Q4 source model estimate</x:v>
      </x:c>
      <x:c r="T372" s="2" t="str">
        <x:v>nominal Q4 source model estimate</x:v>
      </x:c>
      <x:c r="U372" s="2" t="str">
        <x:v>GFA growth versus source physical quantity growth; constant conversion required for equality</x:v>
      </x:c>
      <x:c r="V372" s="2" t="str">
        <x:v>2020 level is the model anchor; 2023 comparator unused by v16 fit but shares conversion/upstream lineage</x:v>
      </x:c>
      <x:c r="W372" s="2" t="str">
        <x:v>https://arxiv.org/abs/2511.12104</x:v>
      </x:c>
    </x:row>
    <x:row r="373" ht="23" customHeight="1">
      <x:c r="A373" s="2" t="str">
        <x:v>THA</x:v>
      </x:c>
      <x:c r="B373" s="2" t="str">
        <x:v>Thailand (Kingdom of)</x:v>
      </x:c>
      <x:c r="C373" s="2" t="str">
        <x:v>TEMPO_FOOTPRINT</x:v>
      </x:c>
      <x:c r="D373" s="2" t="n">
        <x:v>2020</x:v>
      </x:c>
      <x:c r="E373" s="2" t="n">
        <x:v>2023</x:v>
      </x:c>
      <x:c r="F373" s="17" t="n">
        <x:v>5229846890.149993</x:v>
      </x:c>
      <x:c r="G373" s="17" t="n">
        <x:v>5408286735.094725</x:v>
      </x:c>
      <x:c r="H373" s="17" t="n">
        <x:v>5229846890.15</x:v>
      </x:c>
      <x:c r="I373" s="17" t="n">
        <x:v>5667036516.15</x:v>
      </x:c>
      <x:c r="J373" s="2" t="str">
        <x:v>m2</x:v>
      </x:c>
      <x:c r="K373" s="15" t="n">
        <x:f>IF(AND(ISNUMBER(F373),ISNUMBER(G373),F373&gt;0),G373/F373-1,"n.a.")</x:f>
        <x:v>0.03411951605711616</x:v>
      </x:c>
      <x:c r="L373" s="15" t="n">
        <x:f>IF(AND(N373,ISNUMBER(H373),ISNUMBER(I373),H373&gt;0),I373/H373-1,"n.a.")</x:f>
        <x:v>0.08359510998752406</x:v>
      </x:c>
      <x:c r="M373" s="20" t="n">
        <x:f>IF(AND(ISNUMBER(K373),ISNUMBER(L373)),100*(K373-L373),"n.a.")</x:f>
        <x:v>-4.94755939304079</x:v>
      </x:c>
      <x:c r="N373" s="13" t="b">
        <x:v>1</x:v>
      </x:c>
      <x:c r="O373" s="13" t="b">
        <x:v>1</x:v>
      </x:c>
      <x:c r="P373" s="13" t="b">
        <x:v>0</x:v>
      </x:c>
      <x:c r="Q373" s="2" t="str">
        <x:v>none</x:v>
      </x:c>
      <x:c r="R373" s="2" t="str">
        <x:v>none</x:v>
      </x:c>
      <x:c r="S373" s="2" t="str">
        <x:v>nominal Q4 source model estimate</x:v>
      </x:c>
      <x:c r="T373" s="2" t="str">
        <x:v>nominal Q4 source model estimate</x:v>
      </x:c>
      <x:c r="U373" s="2" t="str">
        <x:v>GFA growth versus source physical quantity growth; constant conversion required for equality</x:v>
      </x:c>
      <x:c r="V373" s="2" t="str">
        <x:v>2020 level is the model anchor; 2023 comparator unused by v16 fit but shares conversion/upstream lineage</x:v>
      </x:c>
      <x:c r="W373" s="2" t="str">
        <x:v>https://arxiv.org/abs/2511.12104</x:v>
      </x:c>
    </x:row>
    <x:row r="374" ht="23" customHeight="1">
      <x:c r="A374" s="2" t="str">
        <x:v>TJK</x:v>
      </x:c>
      <x:c r="B374" s="2" t="str">
        <x:v>Tajikistan (Republic of)</x:v>
      </x:c>
      <x:c r="C374" s="2" t="str">
        <x:v>TEMPO_FOOTPRINT</x:v>
      </x:c>
      <x:c r="D374" s="2" t="n">
        <x:v>2020</x:v>
      </x:c>
      <x:c r="E374" s="2" t="n">
        <x:v>2023</x:v>
      </x:c>
      <x:c r="F374" s="17" t="n">
        <x:v>392955797.9200004</x:v>
      </x:c>
      <x:c r="G374" s="17" t="n">
        <x:v>421817980.74880624</x:v>
      </x:c>
      <x:c r="H374" s="17" t="n">
        <x:v>392955797.92</x:v>
      </x:c>
      <x:c r="I374" s="17" t="n">
        <x:v>429052966.63</x:v>
      </x:c>
      <x:c r="J374" s="2" t="str">
        <x:v>m2</x:v>
      </x:c>
      <x:c r="K374" s="15" t="n">
        <x:f>IF(AND(ISNUMBER(F374),ISNUMBER(G374),F374&gt;0),G374/F374-1,"n.a.")</x:f>
        <x:v>0.07344892983276896</x:v>
      </x:c>
      <x:c r="L374" s="15" t="n">
        <x:f>IF(AND(N374,ISNUMBER(H374),ISNUMBER(I374),H374&gt;0),I374/H374-1,"n.a.")</x:f>
        <x:v>0.09186063394679533</x:v>
      </x:c>
      <x:c r="M374" s="20" t="n">
        <x:f>IF(AND(ISNUMBER(K374),ISNUMBER(L374)),100*(K374-L374),"n.a.")</x:f>
        <x:v>-1.8411704114026373</x:v>
      </x:c>
      <x:c r="N374" s="13" t="b">
        <x:v>1</x:v>
      </x:c>
      <x:c r="O374" s="13" t="b">
        <x:v>1</x:v>
      </x:c>
      <x:c r="P374" s="13" t="b">
        <x:v>0</x:v>
      </x:c>
      <x:c r="Q374" s="2" t="str">
        <x:v>none</x:v>
      </x:c>
      <x:c r="R374" s="2" t="str">
        <x:v>none</x:v>
      </x:c>
      <x:c r="S374" s="2" t="str">
        <x:v>nominal Q4 source model estimate</x:v>
      </x:c>
      <x:c r="T374" s="2" t="str">
        <x:v>nominal Q4 source model estimate</x:v>
      </x:c>
      <x:c r="U374" s="2" t="str">
        <x:v>GFA growth versus source physical quantity growth; constant conversion required for equality</x:v>
      </x:c>
      <x:c r="V374" s="2" t="str">
        <x:v>2020 level is the model anchor; 2023 comparator unused by v16 fit but shares conversion/upstream lineage</x:v>
      </x:c>
      <x:c r="W374" s="2" t="str">
        <x:v>https://arxiv.org/abs/2511.12104</x:v>
      </x:c>
    </x:row>
    <x:row r="375" ht="23" customHeight="1">
      <x:c r="A375" s="2" t="str">
        <x:v>TKM</x:v>
      </x:c>
      <x:c r="B375" s="2" t="str">
        <x:v>Turkmenistan</x:v>
      </x:c>
      <x:c r="C375" s="2" t="str">
        <x:v>TEMPO_FOOTPRINT</x:v>
      </x:c>
      <x:c r="D375" s="2" t="n">
        <x:v>2020</x:v>
      </x:c>
      <x:c r="E375" s="2" t="n">
        <x:v>2023</x:v>
      </x:c>
      <x:c r="F375" s="17" t="n">
        <x:v>359976676.1500005</x:v>
      </x:c>
      <x:c r="G375" s="17" t="n">
        <x:v>380873674.62837243</x:v>
      </x:c>
      <x:c r="H375" s="17" t="n">
        <x:v>359976676.15</x:v>
      </x:c>
      <x:c r="I375" s="17" t="n">
        <x:v>394619540.28</x:v>
      </x:c>
      <x:c r="J375" s="2" t="str">
        <x:v>m2</x:v>
      </x:c>
      <x:c r="K375" s="15" t="n">
        <x:f>IF(AND(ISNUMBER(F375),ISNUMBER(G375),F375&gt;0),G375/F375-1,"n.a.")</x:f>
        <x:v>0.058050979029719896</x:v>
      </x:c>
      <x:c r="L375" s="15" t="n">
        <x:f>IF(AND(N375,ISNUMBER(H375),ISNUMBER(I375),H375&gt;0),I375/H375-1,"n.a.")</x:f>
        <x:v>0.09623641314906894</x:v>
      </x:c>
      <x:c r="M375" s="20" t="n">
        <x:f>IF(AND(ISNUMBER(K375),ISNUMBER(L375)),100*(K375-L375),"n.a.")</x:f>
        <x:v>-3.818543411934905</x:v>
      </x:c>
      <x:c r="N375" s="13" t="b">
        <x:v>1</x:v>
      </x:c>
      <x:c r="O375" s="13" t="b">
        <x:v>1</x:v>
      </x:c>
      <x:c r="P375" s="13" t="b">
        <x:v>0</x:v>
      </x:c>
      <x:c r="Q375" s="2" t="str">
        <x:v>none</x:v>
      </x:c>
      <x:c r="R375" s="2" t="str">
        <x:v>none</x:v>
      </x:c>
      <x:c r="S375" s="2" t="str">
        <x:v>nominal Q4 source model estimate</x:v>
      </x:c>
      <x:c r="T375" s="2" t="str">
        <x:v>nominal Q4 source model estimate</x:v>
      </x:c>
      <x:c r="U375" s="2" t="str">
        <x:v>GFA growth versus source physical quantity growth; constant conversion required for equality</x:v>
      </x:c>
      <x:c r="V375" s="2" t="str">
        <x:v>2020 level is the model anchor; 2023 comparator unused by v16 fit but shares conversion/upstream lineage</x:v>
      </x:c>
      <x:c r="W375" s="2" t="str">
        <x:v>https://arxiv.org/abs/2511.12104</x:v>
      </x:c>
    </x:row>
    <x:row r="376" ht="23" customHeight="1">
      <x:c r="A376" s="2" t="str">
        <x:v>TLS</x:v>
      </x:c>
      <x:c r="B376" s="2" t="str">
        <x:v>Timor-Leste (Democratic Republic of)</x:v>
      </x:c>
      <x:c r="C376" s="2" t="str">
        <x:v>TEMPO_FOOTPRINT</x:v>
      </x:c>
      <x:c r="D376" s="2" t="n">
        <x:v>2020</x:v>
      </x:c>
      <x:c r="E376" s="2" t="n">
        <x:v>2023</x:v>
      </x:c>
      <x:c r="F376" s="17" t="n">
        <x:v>41213693.90000002</x:v>
      </x:c>
      <x:c r="G376" s="17" t="n">
        <x:v>45360163.36270319</x:v>
      </x:c>
      <x:c r="H376" s="17" t="n">
        <x:v>41213693.9</x:v>
      </x:c>
      <x:c r="I376" s="17" t="n">
        <x:v>44023426.68</x:v>
      </x:c>
      <x:c r="J376" s="2" t="str">
        <x:v>m2</x:v>
      </x:c>
      <x:c r="K376" s="15" t="n">
        <x:f>IF(AND(ISNUMBER(F376),ISNUMBER(G376),F376&gt;0),G376/F376-1,"n.a.")</x:f>
        <x:v>0.10060902264097149</x:v>
      </x:c>
      <x:c r="L376" s="15" t="n">
        <x:f>IF(AND(N376,ISNUMBER(H376),ISNUMBER(I376),H376&gt;0),I376/H376-1,"n.a.")</x:f>
        <x:v>0.06817473791156581</x:v>
      </x:c>
      <x:c r="M376" s="20" t="n">
        <x:f>IF(AND(ISNUMBER(K376),ISNUMBER(L376)),100*(K376-L376),"n.a.")</x:f>
        <x:v>3.2434284729405682</x:v>
      </x:c>
      <x:c r="N376" s="13" t="b">
        <x:v>1</x:v>
      </x:c>
      <x:c r="O376" s="13" t="b">
        <x:v>1</x:v>
      </x:c>
      <x:c r="P376" s="13" t="b">
        <x:v>0</x:v>
      </x:c>
      <x:c r="Q376" s="2" t="str">
        <x:v>none</x:v>
      </x:c>
      <x:c r="R376" s="2" t="str">
        <x:v>none</x:v>
      </x:c>
      <x:c r="S376" s="2" t="str">
        <x:v>nominal Q4 source model estimate</x:v>
      </x:c>
      <x:c r="T376" s="2" t="str">
        <x:v>nominal Q4 source model estimate</x:v>
      </x:c>
      <x:c r="U376" s="2" t="str">
        <x:v>GFA growth versus source physical quantity growth; constant conversion required for equality</x:v>
      </x:c>
      <x:c r="V376" s="2" t="str">
        <x:v>2020 level is the model anchor; 2023 comparator unused by v16 fit but shares conversion/upstream lineage</x:v>
      </x:c>
      <x:c r="W376" s="2" t="str">
        <x:v>https://arxiv.org/abs/2511.12104</x:v>
      </x:c>
    </x:row>
    <x:row r="377" ht="23" customHeight="1">
      <x:c r="A377" s="2" t="str">
        <x:v>TON</x:v>
      </x:c>
      <x:c r="B377" s="2" t="str">
        <x:v>Tonga (Kingdom of)</x:v>
      </x:c>
      <x:c r="C377" s="2" t="str">
        <x:v>TEMPO_FOOTPRINT</x:v>
      </x:c>
      <x:c r="D377" s="2" t="n">
        <x:v>2020</x:v>
      </x:c>
      <x:c r="E377" s="2" t="n">
        <x:v>2023</x:v>
      </x:c>
      <x:c r="F377" s="17" t="n">
        <x:v>4719083.849999997</x:v>
      </x:c>
      <x:c r="G377" s="17" t="n">
        <x:v>4799653.787733948</x:v>
      </x:c>
      <x:c r="H377" s="17" t="n">
        <x:v>4719083.85</x:v>
      </x:c>
      <x:c r="I377" s="17" t="n">
        <x:v>4976616.78</x:v>
      </x:c>
      <x:c r="J377" s="2" t="str">
        <x:v>m2</x:v>
      </x:c>
      <x:c r="K377" s="15" t="n">
        <x:f>IF(AND(ISNUMBER(F377),ISNUMBER(G377),F377&gt;0),G377/F377-1,"n.a.")</x:f>
        <x:v>0.017073215966262323</x:v>
      </x:c>
      <x:c r="L377" s="15" t="n">
        <x:f>IF(AND(N377,ISNUMBER(H377),ISNUMBER(I377),H377&gt;0),I377/H377-1,"n.a.")</x:f>
        <x:v>0.05457265396968958</x:v>
      </x:c>
      <x:c r="M377" s="20" t="n">
        <x:f>IF(AND(ISNUMBER(K377),ISNUMBER(L377)),100*(K377-L377),"n.a.")</x:f>
        <x:v>-3.7499438003427255</x:v>
      </x:c>
      <x:c r="N377" s="13" t="b">
        <x:v>1</x:v>
      </x:c>
      <x:c r="O377" s="13" t="b">
        <x:v>1</x:v>
      </x:c>
      <x:c r="P377" s="13" t="b">
        <x:v>0</x:v>
      </x:c>
      <x:c r="Q377" s="2" t="str">
        <x:v>none</x:v>
      </x:c>
      <x:c r="R377" s="2" t="str">
        <x:v>none</x:v>
      </x:c>
      <x:c r="S377" s="2" t="str">
        <x:v>nominal Q4 source model estimate</x:v>
      </x:c>
      <x:c r="T377" s="2" t="str">
        <x:v>nominal Q4 source model estimate</x:v>
      </x:c>
      <x:c r="U377" s="2" t="str">
        <x:v>GFA growth versus source physical quantity growth; constant conversion required for equality</x:v>
      </x:c>
      <x:c r="V377" s="2" t="str">
        <x:v>2020 level is the model anchor; 2023 comparator unused by v16 fit but shares conversion/upstream lineage</x:v>
      </x:c>
      <x:c r="W377" s="2" t="str">
        <x:v>https://arxiv.org/abs/2511.12104</x:v>
      </x:c>
    </x:row>
    <x:row r="378" ht="23" customHeight="1">
      <x:c r="A378" s="2" t="str">
        <x:v>TTO</x:v>
      </x:c>
      <x:c r="B378" s="2" t="str">
        <x:v>Trinidad and Tobago (Republic of)</x:v>
      </x:c>
      <x:c r="C378" s="2" t="str">
        <x:v>TEMPO_FOOTPRINT</x:v>
      </x:c>
      <x:c r="D378" s="2" t="n">
        <x:v>2020</x:v>
      </x:c>
      <x:c r="E378" s="2" t="n">
        <x:v>2023</x:v>
      </x:c>
      <x:c r="F378" s="17" t="n">
        <x:v>100480869.27000004</x:v>
      </x:c>
      <x:c r="G378" s="17" t="n">
        <x:v>104987205.95667483</x:v>
      </x:c>
      <x:c r="H378" s="17" t="n">
        <x:v>100480869.27</x:v>
      </x:c>
      <x:c r="I378" s="17" t="n">
        <x:v>104234034.7</x:v>
      </x:c>
      <x:c r="J378" s="2" t="str">
        <x:v>m2</x:v>
      </x:c>
      <x:c r="K378" s="15" t="n">
        <x:f>IF(AND(ISNUMBER(F378),ISNUMBER(G378),F378&gt;0),G378/F378-1,"n.a.")</x:f>
        <x:v>0.04484770802057758</x:v>
      </x:c>
      <x:c r="L378" s="15" t="n">
        <x:f>IF(AND(N378,ISNUMBER(H378),ISNUMBER(I378),H378&gt;0),I378/H378-1,"n.a.")</x:f>
        <x:v>0.037352039818793425</x:v>
      </x:c>
      <x:c r="M378" s="20" t="n">
        <x:f>IF(AND(ISNUMBER(K378),ISNUMBER(L378)),100*(K378-L378),"n.a.")</x:f>
        <x:v>0.7495668201784156</x:v>
      </x:c>
      <x:c r="N378" s="13" t="b">
        <x:v>1</x:v>
      </x:c>
      <x:c r="O378" s="13" t="b">
        <x:v>1</x:v>
      </x:c>
      <x:c r="P378" s="13" t="b">
        <x:v>0</x:v>
      </x:c>
      <x:c r="Q378" s="2" t="str">
        <x:v>none</x:v>
      </x:c>
      <x:c r="R378" s="2" t="str">
        <x:v>none</x:v>
      </x:c>
      <x:c r="S378" s="2" t="str">
        <x:v>nominal Q4 source model estimate</x:v>
      </x:c>
      <x:c r="T378" s="2" t="str">
        <x:v>nominal Q4 source model estimate</x:v>
      </x:c>
      <x:c r="U378" s="2" t="str">
        <x:v>GFA growth versus source physical quantity growth; constant conversion required for equality</x:v>
      </x:c>
      <x:c r="V378" s="2" t="str">
        <x:v>2020 level is the model anchor; 2023 comparator unused by v16 fit but shares conversion/upstream lineage</x:v>
      </x:c>
      <x:c r="W378" s="2" t="str">
        <x:v>https://arxiv.org/abs/2511.12104</x:v>
      </x:c>
    </x:row>
    <x:row r="379" ht="23" customHeight="1">
      <x:c r="A379" s="2" t="str">
        <x:v>TUN</x:v>
      </x:c>
      <x:c r="B379" s="2" t="str">
        <x:v>Tunisia (Republic of)</x:v>
      </x:c>
      <x:c r="C379" s="2" t="str">
        <x:v>TEMPO_FOOTPRINT</x:v>
      </x:c>
      <x:c r="D379" s="2" t="n">
        <x:v>2020</x:v>
      </x:c>
      <x:c r="E379" s="2" t="n">
        <x:v>2023</x:v>
      </x:c>
      <x:c r="F379" s="17" t="n">
        <x:v>649171642.779999</x:v>
      </x:c>
      <x:c r="G379" s="17" t="n">
        <x:v>679743209.9745548</x:v>
      </x:c>
      <x:c r="H379" s="17" t="n">
        <x:v>640256278.63</x:v>
      </x:c>
      <x:c r="I379" s="17" t="n">
        <x:v>661113356.94</x:v>
      </x:c>
      <x:c r="J379" s="2" t="str">
        <x:v>m2</x:v>
      </x:c>
      <x:c r="K379" s="15" t="n">
        <x:f>IF(AND(ISNUMBER(F379),ISNUMBER(G379),F379&gt;0),G379/F379-1,"n.a.")</x:f>
        <x:v>0.047093195666459975</x:v>
      </x:c>
      <x:c r="L379" s="15" t="n">
        <x:f>IF(AND(N379,ISNUMBER(H379),ISNUMBER(I379),H379&gt;0),I379/H379-1,"n.a.")</x:f>
        <x:v>0.03257614022095856</x:v>
      </x:c>
      <x:c r="M379" s="20" t="n">
        <x:f>IF(AND(ISNUMBER(K379),ISNUMBER(L379)),100*(K379-L379),"n.a.")</x:f>
        <x:v>1.4517055445501414</x:v>
      </x:c>
      <x:c r="N379" s="13" t="b">
        <x:v>1</x:v>
      </x:c>
      <x:c r="O379" s="13" t="b">
        <x:v>1</x:v>
      </x:c>
      <x:c r="P379" s="13" t="b">
        <x:v>0</x:v>
      </x:c>
      <x:c r="Q379" s="2" t="str">
        <x:v>none</x:v>
      </x:c>
      <x:c r="R379" s="2" t="str">
        <x:v>none</x:v>
      </x:c>
      <x:c r="S379" s="2" t="str">
        <x:v>nominal Q4 source model estimate</x:v>
      </x:c>
      <x:c r="T379" s="2" t="str">
        <x:v>nominal Q4 source model estimate</x:v>
      </x:c>
      <x:c r="U379" s="2" t="str">
        <x:v>GFA growth versus source physical quantity growth; constant conversion required for equality</x:v>
      </x:c>
      <x:c r="V379" s="2" t="str">
        <x:v>2020 level is the model anchor; 2023 comparator unused by v16 fit but shares conversion/upstream lineage</x:v>
      </x:c>
      <x:c r="W379" s="2" t="str">
        <x:v>https://arxiv.org/abs/2511.12104</x:v>
      </x:c>
    </x:row>
    <x:row r="380" ht="23" customHeight="1">
      <x:c r="A380" s="2" t="str">
        <x:v>TUR</x:v>
      </x:c>
      <x:c r="B380" s="2" t="str">
        <x:v>Türkiye (Republic of)</x:v>
      </x:c>
      <x:c r="C380" s="2" t="str">
        <x:v>TEMPO_FOOTPRINT</x:v>
      </x:c>
      <x:c r="D380" s="2" t="n">
        <x:v>2020</x:v>
      </x:c>
      <x:c r="E380" s="2" t="n">
        <x:v>2023</x:v>
      </x:c>
      <x:c r="F380" s="17" t="n">
        <x:v>3957897873.260005</x:v>
      </x:c>
      <x:c r="G380" s="17" t="n">
        <x:v>4384411975.076062</x:v>
      </x:c>
      <x:c r="H380" s="17" t="n">
        <x:v>3724845529.66</x:v>
      </x:c>
      <x:c r="I380" s="17" t="n">
        <x:v>4090569033.22</x:v>
      </x:c>
      <x:c r="J380" s="2" t="str">
        <x:v>m2</x:v>
      </x:c>
      <x:c r="K380" s="15" t="n">
        <x:f>IF(AND(ISNUMBER(F380),ISNUMBER(G380),F380&gt;0),G380/F380-1,"n.a.")</x:f>
        <x:v>0.1077627860732926</x:v>
      </x:c>
      <x:c r="L380" s="15" t="n">
        <x:f>IF(AND(N380,ISNUMBER(H380),ISNUMBER(I380),H380&gt;0),I380/H380-1,"n.a.")</x:f>
        <x:v>0.09818487790912034</x:v>
      </x:c>
      <x:c r="M380" s="20" t="n">
        <x:f>IF(AND(ISNUMBER(K380),ISNUMBER(L380)),100*(K380-L380),"n.a.")</x:f>
        <x:v>0.9577908164172255</x:v>
      </x:c>
      <x:c r="N380" s="13" t="b">
        <x:v>1</x:v>
      </x:c>
      <x:c r="O380" s="13" t="b">
        <x:v>1</x:v>
      </x:c>
      <x:c r="P380" s="13" t="b">
        <x:v>0</x:v>
      </x:c>
      <x:c r="Q380" s="2" t="str">
        <x:v>none</x:v>
      </x:c>
      <x:c r="R380" s="2" t="str">
        <x:v>none</x:v>
      </x:c>
      <x:c r="S380" s="2" t="str">
        <x:v>nominal Q4 source model estimate</x:v>
      </x:c>
      <x:c r="T380" s="2" t="str">
        <x:v>nominal Q4 source model estimate</x:v>
      </x:c>
      <x:c r="U380" s="2" t="str">
        <x:v>GFA growth versus source physical quantity growth; constant conversion required for equality</x:v>
      </x:c>
      <x:c r="V380" s="2" t="str">
        <x:v>2020 level is the model anchor; 2023 comparator unused by v16 fit but shares conversion/upstream lineage</x:v>
      </x:c>
      <x:c r="W380" s="2" t="str">
        <x:v>https://arxiv.org/abs/2511.12104</x:v>
      </x:c>
    </x:row>
    <x:row r="381" ht="23" customHeight="1">
      <x:c r="A381" s="2" t="str">
        <x:v>TUV</x:v>
      </x:c>
      <x:c r="B381" s="2" t="str">
        <x:v>Tuvalu</x:v>
      </x:c>
      <x:c r="C381" s="2" t="str">
        <x:v>TEMPO_FOOTPRINT</x:v>
      </x:c>
      <x:c r="D381" s="2" t="n">
        <x:v>2020</x:v>
      </x:c>
      <x:c r="E381" s="2" t="n">
        <x:v>2023</x:v>
      </x:c>
      <x:c r="F381" s="17" t="n">
        <x:v>19394.80999999999</x:v>
      </x:c>
      <x:c r="G381" s="17" t="n">
        <x:v>19384.52304712556</x:v>
      </x:c>
      <x:c r="H381" s="17" t="n">
        <x:v>19394.81</x:v>
      </x:c>
      <x:c r="I381" s="17" t="n">
        <x:v>20204.93</x:v>
      </x:c>
      <x:c r="J381" s="2" t="str">
        <x:v>m2</x:v>
      </x:c>
      <x:c r="K381" s="15" t="n">
        <x:f>IF(AND(ISNUMBER(F381),ISNUMBER(G381),F381&gt;0),G381/F381-1,"n.a.")</x:f>
        <x:v>-0.0005303971977260735</x:v>
      </x:c>
      <x:c r="L381" s="15" t="n">
        <x:f>IF(AND(N381,ISNUMBER(H381),ISNUMBER(I381),H381&gt;0),I381/H381-1,"n.a.")</x:f>
        <x:v>0.04176993742140289</x:v>
      </x:c>
      <x:c r="M381" s="20" t="n">
        <x:f>IF(AND(ISNUMBER(K381),ISNUMBER(L381)),100*(K381-L381),"n.a.")</x:f>
        <x:v>-4.230033461912896</x:v>
      </x:c>
      <x:c r="N381" s="13" t="b">
        <x:v>1</x:v>
      </x:c>
      <x:c r="O381" s="13" t="b">
        <x:v>1</x:v>
      </x:c>
      <x:c r="P381" s="13" t="b">
        <x:v>0</x:v>
      </x:c>
      <x:c r="Q381" s="2" t="str">
        <x:v>none</x:v>
      </x:c>
      <x:c r="R381" s="2" t="str">
        <x:v>none</x:v>
      </x:c>
      <x:c r="S381" s="2" t="str">
        <x:v>nominal Q4 source model estimate</x:v>
      </x:c>
      <x:c r="T381" s="2" t="str">
        <x:v>nominal Q4 source model estimate</x:v>
      </x:c>
      <x:c r="U381" s="2" t="str">
        <x:v>GFA growth versus source physical quantity growth; constant conversion required for equality</x:v>
      </x:c>
      <x:c r="V381" s="2" t="str">
        <x:v>2020 level is the model anchor; 2023 comparator unused by v16 fit but shares conversion/upstream lineage</x:v>
      </x:c>
      <x:c r="W381" s="2" t="str">
        <x:v>https://arxiv.org/abs/2511.12104</x:v>
      </x:c>
    </x:row>
    <x:row r="382" ht="23" customHeight="1">
      <x:c r="A382" s="2" t="str">
        <x:v>TZA</x:v>
      </x:c>
      <x:c r="B382" s="2" t="str">
        <x:v>Tanzania (United Republic of)</x:v>
      </x:c>
      <x:c r="C382" s="2" t="str">
        <x:v>TEMPO_FOOTPRINT</x:v>
      </x:c>
      <x:c r="D382" s="2" t="n">
        <x:v>2020</x:v>
      </x:c>
      <x:c r="E382" s="2" t="n">
        <x:v>2023</x:v>
      </x:c>
      <x:c r="F382" s="17" t="n">
        <x:v>1174486408.8199985</x:v>
      </x:c>
      <x:c r="G382" s="17" t="n">
        <x:v>1281481057.4010613</x:v>
      </x:c>
      <x:c r="H382" s="17" t="n">
        <x:v>1174486408.82</x:v>
      </x:c>
      <x:c r="I382" s="17" t="n">
        <x:v>1294453255.68</x:v>
      </x:c>
      <x:c r="J382" s="2" t="str">
        <x:v>m2</x:v>
      </x:c>
      <x:c r="K382" s="15" t="n">
        <x:f>IF(AND(ISNUMBER(F382),ISNUMBER(G382),F382&gt;0),G382/F382-1,"n.a.")</x:f>
        <x:v>0.09109909470009092</x:v>
      </x:c>
      <x:c r="L382" s="15" t="n">
        <x:f>IF(AND(N382,ISNUMBER(H382),ISNUMBER(I382),H382&gt;0),I382/H382-1,"n.a.")</x:f>
        <x:v>0.1021440912036864</x:v>
      </x:c>
      <x:c r="M382" s="20" t="n">
        <x:f>IF(AND(ISNUMBER(K382),ISNUMBER(L382)),100*(K382-L382),"n.a.")</x:f>
        <x:v>-1.1044996503595472</x:v>
      </x:c>
      <x:c r="N382" s="13" t="b">
        <x:v>1</x:v>
      </x:c>
      <x:c r="O382" s="13" t="b">
        <x:v>1</x:v>
      </x:c>
      <x:c r="P382" s="13" t="b">
        <x:v>0</x:v>
      </x:c>
      <x:c r="Q382" s="2" t="str">
        <x:v>none</x:v>
      </x:c>
      <x:c r="R382" s="2" t="str">
        <x:v>none</x:v>
      </x:c>
      <x:c r="S382" s="2" t="str">
        <x:v>nominal Q4 source model estimate</x:v>
      </x:c>
      <x:c r="T382" s="2" t="str">
        <x:v>nominal Q4 source model estimate</x:v>
      </x:c>
      <x:c r="U382" s="2" t="str">
        <x:v>GFA growth versus source physical quantity growth; constant conversion required for equality</x:v>
      </x:c>
      <x:c r="V382" s="2" t="str">
        <x:v>2020 level is the model anchor; 2023 comparator unused by v16 fit but shares conversion/upstream lineage</x:v>
      </x:c>
      <x:c r="W382" s="2" t="str">
        <x:v>https://arxiv.org/abs/2511.12104</x:v>
      </x:c>
    </x:row>
    <x:row r="383" ht="23" customHeight="1">
      <x:c r="A383" s="2" t="str">
        <x:v>UGA</x:v>
      </x:c>
      <x:c r="B383" s="2" t="str">
        <x:v>Uganda (Republic of)</x:v>
      </x:c>
      <x:c r="C383" s="2" t="str">
        <x:v>TEMPO_FOOTPRINT</x:v>
      </x:c>
      <x:c r="D383" s="2" t="n">
        <x:v>2020</x:v>
      </x:c>
      <x:c r="E383" s="2" t="n">
        <x:v>2023</x:v>
      </x:c>
      <x:c r="F383" s="17" t="n">
        <x:v>765891927.1500008</x:v>
      </x:c>
      <x:c r="G383" s="17" t="n">
        <x:v>835864813.7925357</x:v>
      </x:c>
      <x:c r="H383" s="17" t="n">
        <x:v>765891927.15</x:v>
      </x:c>
      <x:c r="I383" s="17" t="n">
        <x:v>843272425.23</x:v>
      </x:c>
      <x:c r="J383" s="2" t="str">
        <x:v>m2</x:v>
      </x:c>
      <x:c r="K383" s="15" t="n">
        <x:f>IF(AND(ISNUMBER(F383),ISNUMBER(G383),F383&gt;0),G383/F383-1,"n.a.")</x:f>
        <x:v>0.09136130589979508</x:v>
      </x:c>
      <x:c r="L383" s="15" t="n">
        <x:f>IF(AND(N383,ISNUMBER(H383),ISNUMBER(I383),H383&gt;0),I383/H383-1,"n.a.")</x:f>
        <x:v>0.10103318149330098</x:v>
      </x:c>
      <x:c r="M383" s="20" t="n">
        <x:f>IF(AND(ISNUMBER(K383),ISNUMBER(L383)),100*(K383-L383),"n.a.")</x:f>
        <x:v>-0.9671875593505908</x:v>
      </x:c>
      <x:c r="N383" s="13" t="b">
        <x:v>1</x:v>
      </x:c>
      <x:c r="O383" s="13" t="b">
        <x:v>1</x:v>
      </x:c>
      <x:c r="P383" s="13" t="b">
        <x:v>0</x:v>
      </x:c>
      <x:c r="Q383" s="2" t="str">
        <x:v>none</x:v>
      </x:c>
      <x:c r="R383" s="2" t="str">
        <x:v>none</x:v>
      </x:c>
      <x:c r="S383" s="2" t="str">
        <x:v>nominal Q4 source model estimate</x:v>
      </x:c>
      <x:c r="T383" s="2" t="str">
        <x:v>nominal Q4 source model estimate</x:v>
      </x:c>
      <x:c r="U383" s="2" t="str">
        <x:v>GFA growth versus source physical quantity growth; constant conversion required for equality</x:v>
      </x:c>
      <x:c r="V383" s="2" t="str">
        <x:v>2020 level is the model anchor; 2023 comparator unused by v16 fit but shares conversion/upstream lineage</x:v>
      </x:c>
      <x:c r="W383" s="2" t="str">
        <x:v>https://arxiv.org/abs/2511.12104</x:v>
      </x:c>
    </x:row>
    <x:row r="384" ht="23" customHeight="1">
      <x:c r="A384" s="2" t="str">
        <x:v>UKR</x:v>
      </x:c>
      <x:c r="B384" s="2" t="str">
        <x:v>Ukraine</x:v>
      </x:c>
      <x:c r="C384" s="2" t="str">
        <x:v>TEMPO_FOOTPRINT</x:v>
      </x:c>
      <x:c r="D384" s="2" t="n">
        <x:v>2020</x:v>
      </x:c>
      <x:c r="E384" s="2" t="n">
        <x:v>2023</x:v>
      </x:c>
      <x:c r="F384" s="17" t="n">
        <x:v>2808807029.8199997</x:v>
      </x:c>
      <x:c r="G384" s="17" t="n">
        <x:v>2885404740.5009565</x:v>
      </x:c>
      <x:c r="H384" s="17" t="n">
        <x:v>2808807029.82</x:v>
      </x:c>
      <x:c r="I384" s="17" t="n">
        <x:v>2900922302.88</x:v>
      </x:c>
      <x:c r="J384" s="2" t="str">
        <x:v>m2</x:v>
      </x:c>
      <x:c r="K384" s="15" t="n">
        <x:f>IF(AND(ISNUMBER(F384),ISNUMBER(G384),F384&gt;0),G384/F384-1,"n.a.")</x:f>
        <x:v>0.027270549335625116</x:v>
      </x:c>
      <x:c r="L384" s="15" t="n">
        <x:f>IF(AND(N384,ISNUMBER(H384),ISNUMBER(I384),H384&gt;0),I384/H384-1,"n.a.")</x:f>
        <x:v>0.0327951589703559</x:v>
      </x:c>
      <x:c r="M384" s="20" t="n">
        <x:f>IF(AND(ISNUMBER(K384),ISNUMBER(L384)),100*(K384-L384),"n.a.")</x:f>
        <x:v>-0.5524609634730782</x:v>
      </x:c>
      <x:c r="N384" s="13" t="b">
        <x:v>1</x:v>
      </x:c>
      <x:c r="O384" s="13" t="b">
        <x:v>1</x:v>
      </x:c>
      <x:c r="P384" s="13" t="b">
        <x:v>0</x:v>
      </x:c>
      <x:c r="Q384" s="2" t="str">
        <x:v>none</x:v>
      </x:c>
      <x:c r="R384" s="2" t="str">
        <x:v>none</x:v>
      </x:c>
      <x:c r="S384" s="2" t="str">
        <x:v>nominal Q4 source model estimate</x:v>
      </x:c>
      <x:c r="T384" s="2" t="str">
        <x:v>nominal Q4 source model estimate</x:v>
      </x:c>
      <x:c r="U384" s="2" t="str">
        <x:v>GFA growth versus source physical quantity growth; constant conversion required for equality</x:v>
      </x:c>
      <x:c r="V384" s="2" t="str">
        <x:v>2020 level is the model anchor; 2023 comparator unused by v16 fit but shares conversion/upstream lineage</x:v>
      </x:c>
      <x:c r="W384" s="2" t="str">
        <x:v>https://arxiv.org/abs/2511.12104</x:v>
      </x:c>
    </x:row>
    <x:row r="385" ht="23" customHeight="1">
      <x:c r="A385" s="2" t="str">
        <x:v>URY</x:v>
      </x:c>
      <x:c r="B385" s="2" t="str">
        <x:v>Uruguay (Oriental Republic of)</x:v>
      </x:c>
      <x:c r="C385" s="2" t="str">
        <x:v>TEMPO_FOOTPRINT</x:v>
      </x:c>
      <x:c r="D385" s="2" t="n">
        <x:v>2020</x:v>
      </x:c>
      <x:c r="E385" s="2" t="n">
        <x:v>2023</x:v>
      </x:c>
      <x:c r="F385" s="17" t="n">
        <x:v>209727833.2899997</x:v>
      </x:c>
      <x:c r="G385" s="17" t="n">
        <x:v>216779212.07105872</x:v>
      </x:c>
      <x:c r="H385" s="17" t="n">
        <x:v>209727833.29</x:v>
      </x:c>
      <x:c r="I385" s="17" t="n">
        <x:v>224167211.87</x:v>
      </x:c>
      <x:c r="J385" s="2" t="str">
        <x:v>m2</x:v>
      </x:c>
      <x:c r="K385" s="15" t="n">
        <x:f>IF(AND(ISNUMBER(F385),ISNUMBER(G385),F385&gt;0),G385/F385-1,"n.a.")</x:f>
        <x:v>0.033621568823003045</x:v>
      </x:c>
      <x:c r="L385" s="15" t="n">
        <x:f>IF(AND(N385,ISNUMBER(H385),ISNUMBER(I385),H385&gt;0),I385/H385-1,"n.a.")</x:f>
        <x:v>0.0688481750537806</x:v>
      </x:c>
      <x:c r="M385" s="20" t="n">
        <x:f>IF(AND(ISNUMBER(K385),ISNUMBER(L385)),100*(K385-L385),"n.a.")</x:f>
        <x:v>-3.5226606230777557</x:v>
      </x:c>
      <x:c r="N385" s="13" t="b">
        <x:v>1</x:v>
      </x:c>
      <x:c r="O385" s="13" t="b">
        <x:v>1</x:v>
      </x:c>
      <x:c r="P385" s="13" t="b">
        <x:v>0</x:v>
      </x:c>
      <x:c r="Q385" s="2" t="str">
        <x:v>none</x:v>
      </x:c>
      <x:c r="R385" s="2" t="str">
        <x:v>none</x:v>
      </x:c>
      <x:c r="S385" s="2" t="str">
        <x:v>nominal Q4 source model estimate</x:v>
      </x:c>
      <x:c r="T385" s="2" t="str">
        <x:v>nominal Q4 source model estimate</x:v>
      </x:c>
      <x:c r="U385" s="2" t="str">
        <x:v>GFA growth versus source physical quantity growth; constant conversion required for equality</x:v>
      </x:c>
      <x:c r="V385" s="2" t="str">
        <x:v>2020 level is the model anchor; 2023 comparator unused by v16 fit but shares conversion/upstream lineage</x:v>
      </x:c>
      <x:c r="W385" s="2" t="str">
        <x:v>https://arxiv.org/abs/2511.12104</x:v>
      </x:c>
    </x:row>
    <x:row r="386" ht="23" customHeight="1">
      <x:c r="A386" s="2" t="str">
        <x:v>USA</x:v>
      </x:c>
      <x:c r="B386" s="2" t="str">
        <x:v>United States of America</x:v>
      </x:c>
      <x:c r="C386" s="2" t="str">
        <x:v>TEMPO_FOOTPRINT</x:v>
      </x:c>
      <x:c r="D386" s="2" t="n">
        <x:v>2020</x:v>
      </x:c>
      <x:c r="E386" s="2" t="n">
        <x:v>2023</x:v>
      </x:c>
      <x:c r="F386" s="17" t="n">
        <x:v>35932980078.68004</x:v>
      </x:c>
      <x:c r="G386" s="17" t="n">
        <x:v>37685943602.101105</x:v>
      </x:c>
      <x:c r="H386" s="17" t="n">
        <x:v>35932980078.68</x:v>
      </x:c>
      <x:c r="I386" s="17" t="n">
        <x:v>38124566298.64</x:v>
      </x:c>
      <x:c r="J386" s="2" t="str">
        <x:v>m2</x:v>
      </x:c>
      <x:c r="K386" s="15" t="n">
        <x:f>IF(AND(ISNUMBER(F386),ISNUMBER(G386),F386&gt;0),G386/F386-1,"n.a.")</x:f>
        <x:v>0.04878425111367668</x:v>
      </x:c>
      <x:c r="L386" s="15" t="n">
        <x:f>IF(AND(N386,ISNUMBER(H386),ISNUMBER(I386),H386&gt;0),I386/H386-1,"n.a.")</x:f>
        <x:v>0.06099093966493263</x:v>
      </x:c>
      <x:c r="M386" s="20" t="n">
        <x:f>IF(AND(ISNUMBER(K386),ISNUMBER(L386)),100*(K386-L386),"n.a.")</x:f>
        <x:v>-1.220668855125595</x:v>
      </x:c>
      <x:c r="N386" s="13" t="b">
        <x:v>1</x:v>
      </x:c>
      <x:c r="O386" s="13" t="b">
        <x:v>1</x:v>
      </x:c>
      <x:c r="P386" s="13" t="b">
        <x:v>0</x:v>
      </x:c>
      <x:c r="Q386" s="2" t="str">
        <x:v>none</x:v>
      </x:c>
      <x:c r="R386" s="2" t="str">
        <x:v>none</x:v>
      </x:c>
      <x:c r="S386" s="2" t="str">
        <x:v>nominal Q4 source model estimate</x:v>
      </x:c>
      <x:c r="T386" s="2" t="str">
        <x:v>nominal Q4 source model estimate</x:v>
      </x:c>
      <x:c r="U386" s="2" t="str">
        <x:v>GFA growth versus source physical quantity growth; constant conversion required for equality</x:v>
      </x:c>
      <x:c r="V386" s="2" t="str">
        <x:v>2020 level is the model anchor; 2023 comparator unused by v16 fit but shares conversion/upstream lineage</x:v>
      </x:c>
      <x:c r="W386" s="2" t="str">
        <x:v>https://arxiv.org/abs/2511.12104</x:v>
      </x:c>
    </x:row>
    <x:row r="387" ht="23" customHeight="1">
      <x:c r="A387" s="2" t="str">
        <x:v>UZB</x:v>
      </x:c>
      <x:c r="B387" s="2" t="str">
        <x:v>Uzbekistan (Republic of)</x:v>
      </x:c>
      <x:c r="C387" s="2" t="str">
        <x:v>TEMPO_FOOTPRINT</x:v>
      </x:c>
      <x:c r="D387" s="2" t="n">
        <x:v>2020</x:v>
      </x:c>
      <x:c r="E387" s="2" t="n">
        <x:v>2023</x:v>
      </x:c>
      <x:c r="F387" s="17" t="n">
        <x:v>1997042653.6300015</x:v>
      </x:c>
      <x:c r="G387" s="17" t="n">
        <x:v>2099392260.7105381</x:v>
      </x:c>
      <x:c r="H387" s="17" t="n">
        <x:v>1997042653.63</x:v>
      </x:c>
      <x:c r="I387" s="17" t="n">
        <x:v>2180969221.83</x:v>
      </x:c>
      <x:c r="J387" s="2" t="str">
        <x:v>m2</x:v>
      </x:c>
      <x:c r="K387" s="15" t="n">
        <x:f>IF(AND(ISNUMBER(F387),ISNUMBER(G387),F387&gt;0),G387/F387-1,"n.a.")</x:f>
        <x:v>0.051250586408105425</x:v>
      </x:c>
      <x:c r="L387" s="15" t="n">
        <x:f>IF(AND(N387,ISNUMBER(H387),ISNUMBER(I387),H387&gt;0),I387/H387-1,"n.a.")</x:f>
        <x:v>0.0920994691153334</x:v>
      </x:c>
      <x:c r="M387" s="20" t="n">
        <x:f>IF(AND(ISNUMBER(K387),ISNUMBER(L387)),100*(K387-L387),"n.a.")</x:f>
        <x:v>-4.084888270722797</x:v>
      </x:c>
      <x:c r="N387" s="13" t="b">
        <x:v>1</x:v>
      </x:c>
      <x:c r="O387" s="13" t="b">
        <x:v>1</x:v>
      </x:c>
      <x:c r="P387" s="13" t="b">
        <x:v>0</x:v>
      </x:c>
      <x:c r="Q387" s="2" t="str">
        <x:v>none</x:v>
      </x:c>
      <x:c r="R387" s="2" t="str">
        <x:v>none</x:v>
      </x:c>
      <x:c r="S387" s="2" t="str">
        <x:v>nominal Q4 source model estimate</x:v>
      </x:c>
      <x:c r="T387" s="2" t="str">
        <x:v>nominal Q4 source model estimate</x:v>
      </x:c>
      <x:c r="U387" s="2" t="str">
        <x:v>GFA growth versus source physical quantity growth; constant conversion required for equality</x:v>
      </x:c>
      <x:c r="V387" s="2" t="str">
        <x:v>2020 level is the model anchor; 2023 comparator unused by v16 fit but shares conversion/upstream lineage</x:v>
      </x:c>
      <x:c r="W387" s="2" t="str">
        <x:v>https://arxiv.org/abs/2511.12104</x:v>
      </x:c>
    </x:row>
    <x:row r="388" ht="23" customHeight="1">
      <x:c r="A388" s="2" t="str">
        <x:v>VAT</x:v>
      </x:c>
      <x:c r="B388" s="2" t="str">
        <x:v>Holy See (State of the Vatican City)</x:v>
      </x:c>
      <x:c r="C388" s="2" t="str">
        <x:v>TEMPO_FOOTPRINT</x:v>
      </x:c>
      <x:c r="D388" s="2" t="n">
        <x:v>2020</x:v>
      </x:c>
      <x:c r="E388" s="2" t="n">
        <x:v>2023</x:v>
      </x:c>
      <x:c r="F388" s="17" t="n">
        <x:v>318924.24</x:v>
      </x:c>
      <x:c r="G388" s="17" t="n">
        <x:v>319246.38469032873</x:v>
      </x:c>
      <x:c r="H388" s="17" t="n">
        <x:v>118080.97</x:v>
      </x:c>
      <x:c r="I388" s="17" t="n">
        <x:v>116184.44</x:v>
      </x:c>
      <x:c r="J388" s="2" t="str">
        <x:v>m2</x:v>
      </x:c>
      <x:c r="K388" s="15" t="n">
        <x:f>IF(AND(ISNUMBER(F388),ISNUMBER(G388),F388&gt;0),G388/F388-1,"n.a.")</x:f>
        <x:v>0.0010100978537370686</x:v>
      </x:c>
      <x:c r="L388" s="15" t="n">
        <x:f>IF(AND(N388,ISNUMBER(H388),ISNUMBER(I388),H388&gt;0),I388/H388-1,"n.a.")</x:f>
        <x:v>-0.01606126711188094</x:v>
      </x:c>
      <x:c r="M388" s="20" t="n">
        <x:f>IF(AND(ISNUMBER(K388),ISNUMBER(L388)),100*(K388-L388),"n.a.")</x:f>
        <x:v>1.7071364965618008</x:v>
      </x:c>
      <x:c r="N388" s="13" t="b">
        <x:v>1</x:v>
      </x:c>
      <x:c r="O388" s="13" t="b">
        <x:v>1</x:v>
      </x:c>
      <x:c r="P388" s="13" t="b">
        <x:v>0</x:v>
      </x:c>
      <x:c r="Q388" s="2" t="str">
        <x:v>none</x:v>
      </x:c>
      <x:c r="R388" s="2" t="str">
        <x:v>none</x:v>
      </x:c>
      <x:c r="S388" s="2" t="str">
        <x:v>nominal Q4 source model estimate</x:v>
      </x:c>
      <x:c r="T388" s="2" t="str">
        <x:v>nominal Q4 source model estimate</x:v>
      </x:c>
      <x:c r="U388" s="2" t="str">
        <x:v>GFA growth versus source physical quantity growth; constant conversion required for equality</x:v>
      </x:c>
      <x:c r="V388" s="2" t="str">
        <x:v>2020 level is the model anchor; 2023 comparator unused by v16 fit but shares conversion/upstream lineage</x:v>
      </x:c>
      <x:c r="W388" s="2" t="str">
        <x:v>https://arxiv.org/abs/2511.12104</x:v>
      </x:c>
    </x:row>
    <x:row r="389" ht="23" customHeight="1">
      <x:c r="A389" s="2" t="str">
        <x:v>VCT</x:v>
      </x:c>
      <x:c r="B389" s="2" t="str">
        <x:v>Saint Vincent and the Grenadines</x:v>
      </x:c>
      <x:c r="C389" s="2" t="str">
        <x:v>TEMPO_FOOTPRINT</x:v>
      </x:c>
      <x:c r="D389" s="2" t="n">
        <x:v>2020</x:v>
      </x:c>
      <x:c r="E389" s="2" t="n">
        <x:v>2023</x:v>
      </x:c>
      <x:c r="F389" s="17" t="n">
        <x:v>6194383.570000002</x:v>
      </x:c>
      <x:c r="G389" s="17" t="n">
        <x:v>6242837.645069028</x:v>
      </x:c>
      <x:c r="H389" s="17" t="n">
        <x:v>6194383.57</x:v>
      </x:c>
      <x:c r="I389" s="17" t="n">
        <x:v>6463658.26</x:v>
      </x:c>
      <x:c r="J389" s="2" t="str">
        <x:v>m2</x:v>
      </x:c>
      <x:c r="K389" s="15" t="n">
        <x:f>IF(AND(ISNUMBER(F389),ISNUMBER(G389),F389&gt;0),G389/F389-1,"n.a.")</x:f>
        <x:v>0.007822259393766684</x:v>
      </x:c>
      <x:c r="L389" s="15" t="n">
        <x:f>IF(AND(N389,ISNUMBER(H389),ISNUMBER(I389),H389&gt;0),I389/H389-1,"n.a.")</x:f>
        <x:v>0.04347078074146449</x:v>
      </x:c>
      <x:c r="M389" s="20" t="n">
        <x:f>IF(AND(ISNUMBER(K389),ISNUMBER(L389)),100*(K389-L389),"n.a.")</x:f>
        <x:v>-3.5648521347697804</x:v>
      </x:c>
      <x:c r="N389" s="13" t="b">
        <x:v>1</x:v>
      </x:c>
      <x:c r="O389" s="13" t="b">
        <x:v>1</x:v>
      </x:c>
      <x:c r="P389" s="13" t="b">
        <x:v>0</x:v>
      </x:c>
      <x:c r="Q389" s="2" t="str">
        <x:v>none</x:v>
      </x:c>
      <x:c r="R389" s="2" t="str">
        <x:v>none</x:v>
      </x:c>
      <x:c r="S389" s="2" t="str">
        <x:v>nominal Q4 source model estimate</x:v>
      </x:c>
      <x:c r="T389" s="2" t="str">
        <x:v>nominal Q4 source model estimate</x:v>
      </x:c>
      <x:c r="U389" s="2" t="str">
        <x:v>GFA growth versus source physical quantity growth; constant conversion required for equality</x:v>
      </x:c>
      <x:c r="V389" s="2" t="str">
        <x:v>2020 level is the model anchor; 2023 comparator unused by v16 fit but shares conversion/upstream lineage</x:v>
      </x:c>
      <x:c r="W389" s="2" t="str">
        <x:v>https://arxiv.org/abs/2511.12104</x:v>
      </x:c>
    </x:row>
    <x:row r="390" ht="23" customHeight="1">
      <x:c r="A390" s="2" t="str">
        <x:v>VEN</x:v>
      </x:c>
      <x:c r="B390" s="2" t="str">
        <x:v>Venezuela (Bolivarian Republic of)</x:v>
      </x:c>
      <x:c r="C390" s="2" t="str">
        <x:v>TEMPO_FOOTPRINT</x:v>
      </x:c>
      <x:c r="D390" s="2" t="n">
        <x:v>2020</x:v>
      </x:c>
      <x:c r="E390" s="2" t="n">
        <x:v>2023</x:v>
      </x:c>
      <x:c r="F390" s="17" t="n">
        <x:v>1159546607.6500015</x:v>
      </x:c>
      <x:c r="G390" s="17" t="n">
        <x:v>1244165585.1265662</x:v>
      </x:c>
      <x:c r="H390" s="17" t="n">
        <x:v>1159546607.65</x:v>
      </x:c>
      <x:c r="I390" s="17" t="n">
        <x:v>1171051056.07</x:v>
      </x:c>
      <x:c r="J390" s="2" t="str">
        <x:v>m2</x:v>
      </x:c>
      <x:c r="K390" s="15" t="n">
        <x:f>IF(AND(ISNUMBER(F390),ISNUMBER(G390),F390&gt;0),G390/F390-1,"n.a.")</x:f>
        <x:v>0.0729759174131499</x:v>
      </x:c>
      <x:c r="L390" s="15" t="n">
        <x:f>IF(AND(N390,ISNUMBER(H390),ISNUMBER(I390),H390&gt;0),I390/H390-1,"n.a.")</x:f>
        <x:v>0.009921505823138332</x:v>
      </x:c>
      <x:c r="M390" s="20" t="n">
        <x:f>IF(AND(ISNUMBER(K390),ISNUMBER(L390)),100*(K390-L390),"n.a.")</x:f>
        <x:v>6.305441159001157</x:v>
      </x:c>
      <x:c r="N390" s="13" t="b">
        <x:v>1</x:v>
      </x:c>
      <x:c r="O390" s="13" t="b">
        <x:v>1</x:v>
      </x:c>
      <x:c r="P390" s="13" t="b">
        <x:v>0</x:v>
      </x:c>
      <x:c r="Q390" s="2" t="str">
        <x:v>none</x:v>
      </x:c>
      <x:c r="R390" s="2" t="str">
        <x:v>none</x:v>
      </x:c>
      <x:c r="S390" s="2" t="str">
        <x:v>nominal Q4 source model estimate</x:v>
      </x:c>
      <x:c r="T390" s="2" t="str">
        <x:v>nominal Q4 source model estimate</x:v>
      </x:c>
      <x:c r="U390" s="2" t="str">
        <x:v>GFA growth versus source physical quantity growth; constant conversion required for equality</x:v>
      </x:c>
      <x:c r="V390" s="2" t="str">
        <x:v>2020 level is the model anchor; 2023 comparator unused by v16 fit but shares conversion/upstream lineage</x:v>
      </x:c>
      <x:c r="W390" s="2" t="str">
        <x:v>https://arxiv.org/abs/2511.12104</x:v>
      </x:c>
    </x:row>
    <x:row r="391" ht="23" customHeight="1">
      <x:c r="A391" s="2" t="str">
        <x:v>VNM</x:v>
      </x:c>
      <x:c r="B391" s="2" t="str">
        <x:v>Viet Nam (Socialist Republic of)</x:v>
      </x:c>
      <x:c r="C391" s="2" t="str">
        <x:v>TEMPO_FOOTPRINT</x:v>
      </x:c>
      <x:c r="D391" s="2" t="n">
        <x:v>2020</x:v>
      </x:c>
      <x:c r="E391" s="2" t="n">
        <x:v>2023</x:v>
      </x:c>
      <x:c r="F391" s="17" t="n">
        <x:v>4861867508.520002</x:v>
      </x:c>
      <x:c r="G391" s="17" t="n">
        <x:v>5196458095.274765</x:v>
      </x:c>
      <x:c r="H391" s="17" t="n">
        <x:v>4775308196.86</x:v>
      </x:c>
      <x:c r="I391" s="17" t="n">
        <x:v>5244644479.32</x:v>
      </x:c>
      <x:c r="J391" s="2" t="str">
        <x:v>m2</x:v>
      </x:c>
      <x:c r="K391" s="15" t="n">
        <x:f>IF(AND(ISNUMBER(F391),ISNUMBER(G391),F391&gt;0),G391/F391-1,"n.a.")</x:f>
        <x:v>0.06881935514869997</x:v>
      </x:c>
      <x:c r="L391" s="15" t="n">
        <x:f>IF(AND(N391,ISNUMBER(H391),ISNUMBER(I391),H391&gt;0),I391/H391-1,"n.a.")</x:f>
        <x:v>0.09828397730823157</x:v>
      </x:c>
      <x:c r="M391" s="20" t="n">
        <x:f>IF(AND(ISNUMBER(K391),ISNUMBER(L391)),100*(K391-L391),"n.a.")</x:f>
        <x:v>-2.9464622159531606</x:v>
      </x:c>
      <x:c r="N391" s="13" t="b">
        <x:v>1</x:v>
      </x:c>
      <x:c r="O391" s="13" t="b">
        <x:v>1</x:v>
      </x:c>
      <x:c r="P391" s="13" t="b">
        <x:v>0</x:v>
      </x:c>
      <x:c r="Q391" s="2" t="str">
        <x:v>none</x:v>
      </x:c>
      <x:c r="R391" s="2" t="str">
        <x:v>none</x:v>
      </x:c>
      <x:c r="S391" s="2" t="str">
        <x:v>nominal Q4 source model estimate</x:v>
      </x:c>
      <x:c r="T391" s="2" t="str">
        <x:v>nominal Q4 source model estimate</x:v>
      </x:c>
      <x:c r="U391" s="2" t="str">
        <x:v>GFA growth versus source physical quantity growth; constant conversion required for equality</x:v>
      </x:c>
      <x:c r="V391" s="2" t="str">
        <x:v>2020 level is the model anchor; 2023 comparator unused by v16 fit but shares conversion/upstream lineage</x:v>
      </x:c>
      <x:c r="W391" s="2" t="str">
        <x:v>https://arxiv.org/abs/2511.12104</x:v>
      </x:c>
    </x:row>
    <x:row r="392" ht="23" customHeight="1">
      <x:c r="A392" s="2" t="str">
        <x:v>VUT</x:v>
      </x:c>
      <x:c r="B392" s="2" t="str">
        <x:v>Vanuatu (Republic of)</x:v>
      </x:c>
      <x:c r="C392" s="2" t="str">
        <x:v>TEMPO_FOOTPRINT</x:v>
      </x:c>
      <x:c r="D392" s="2" t="n">
        <x:v>2020</x:v>
      </x:c>
      <x:c r="E392" s="2" t="n">
        <x:v>2023</x:v>
      </x:c>
      <x:c r="F392" s="17" t="n">
        <x:v>8193524.700000004</x:v>
      </x:c>
      <x:c r="G392" s="17" t="n">
        <x:v>9110750.156144958</x:v>
      </x:c>
      <x:c r="H392" s="17" t="n">
        <x:v>8193524.7</x:v>
      </x:c>
      <x:c r="I392" s="17" t="n">
        <x:v>8711962.64</x:v>
      </x:c>
      <x:c r="J392" s="2" t="str">
        <x:v>m2</x:v>
      </x:c>
      <x:c r="K392" s="15" t="n">
        <x:f>IF(AND(ISNUMBER(F392),ISNUMBER(G392),F392&gt;0),G392/F392-1,"n.a.")</x:f>
        <x:v>0.11194516276309674</x:v>
      </x:c>
      <x:c r="L392" s="15" t="n">
        <x:f>IF(AND(N392,ISNUMBER(H392),ISNUMBER(I392),H392&gt;0),I392/H392-1,"n.a.")</x:f>
        <x:v>0.06327410473297301</x:v>
      </x:c>
      <x:c r="M392" s="20" t="n">
        <x:f>IF(AND(ISNUMBER(K392),ISNUMBER(L392)),100*(K392-L392),"n.a.")</x:f>
        <x:v>4.867105803012373</x:v>
      </x:c>
      <x:c r="N392" s="13" t="b">
        <x:v>1</x:v>
      </x:c>
      <x:c r="O392" s="13" t="b">
        <x:v>1</x:v>
      </x:c>
      <x:c r="P392" s="13" t="b">
        <x:v>0</x:v>
      </x:c>
      <x:c r="Q392" s="2" t="str">
        <x:v>none</x:v>
      </x:c>
      <x:c r="R392" s="2" t="str">
        <x:v>none</x:v>
      </x:c>
      <x:c r="S392" s="2" t="str">
        <x:v>nominal Q4 source model estimate</x:v>
      </x:c>
      <x:c r="T392" s="2" t="str">
        <x:v>nominal Q4 source model estimate</x:v>
      </x:c>
      <x:c r="U392" s="2" t="str">
        <x:v>GFA growth versus source physical quantity growth; constant conversion required for equality</x:v>
      </x:c>
      <x:c r="V392" s="2" t="str">
        <x:v>2020 level is the model anchor; 2023 comparator unused by v16 fit but shares conversion/upstream lineage</x:v>
      </x:c>
      <x:c r="W392" s="2" t="str">
        <x:v>https://arxiv.org/abs/2511.12104</x:v>
      </x:c>
    </x:row>
    <x:row r="393" ht="23" customHeight="1">
      <x:c r="A393" s="2" t="str">
        <x:v>WSM</x:v>
      </x:c>
      <x:c r="B393" s="2" t="str">
        <x:v>Samoa (Independent State of)</x:v>
      </x:c>
      <x:c r="C393" s="2" t="str">
        <x:v>TEMPO_FOOTPRINT</x:v>
      </x:c>
      <x:c r="D393" s="2" t="n">
        <x:v>2020</x:v>
      </x:c>
      <x:c r="E393" s="2" t="n">
        <x:v>2023</x:v>
      </x:c>
      <x:c r="F393" s="17" t="n">
        <x:v>8105266.000000001</x:v>
      </x:c>
      <x:c r="G393" s="17" t="n">
        <x:v>8552439.935047252</x:v>
      </x:c>
      <x:c r="H393" s="17" t="n">
        <x:v>8105266</x:v>
      </x:c>
      <x:c r="I393" s="17" t="n">
        <x:v>9166225.33</x:v>
      </x:c>
      <x:c r="J393" s="2" t="str">
        <x:v>m2</x:v>
      </x:c>
      <x:c r="K393" s="15" t="n">
        <x:f>IF(AND(ISNUMBER(F393),ISNUMBER(G393),F393&gt;0),G393/F393-1,"n.a.")</x:f>
        <x:v>0.055170790822565374</x:v>
      </x:c>
      <x:c r="L393" s="15" t="n">
        <x:f>IF(AND(N393,ISNUMBER(H393),ISNUMBER(I393),H393&gt;0),I393/H393-1,"n.a.")</x:f>
        <x:v>0.1308975337761895</x:v>
      </x:c>
      <x:c r="M393" s="20" t="n">
        <x:f>IF(AND(ISNUMBER(K393),ISNUMBER(L393)),100*(K393-L393),"n.a.")</x:f>
        <x:v>-7.572674295362414</x:v>
      </x:c>
      <x:c r="N393" s="13" t="b">
        <x:v>1</x:v>
      </x:c>
      <x:c r="O393" s="13" t="b">
        <x:v>1</x:v>
      </x:c>
      <x:c r="P393" s="13" t="b">
        <x:v>0</x:v>
      </x:c>
      <x:c r="Q393" s="2" t="str">
        <x:v>none</x:v>
      </x:c>
      <x:c r="R393" s="2" t="str">
        <x:v>none</x:v>
      </x:c>
      <x:c r="S393" s="2" t="str">
        <x:v>nominal Q4 source model estimate</x:v>
      </x:c>
      <x:c r="T393" s="2" t="str">
        <x:v>nominal Q4 source model estimate</x:v>
      </x:c>
      <x:c r="U393" s="2" t="str">
        <x:v>GFA growth versus source physical quantity growth; constant conversion required for equality</x:v>
      </x:c>
      <x:c r="V393" s="2" t="str">
        <x:v>2020 level is the model anchor; 2023 comparator unused by v16 fit but shares conversion/upstream lineage</x:v>
      </x:c>
      <x:c r="W393" s="2" t="str">
        <x:v>https://arxiv.org/abs/2511.12104</x:v>
      </x:c>
    </x:row>
    <x:row r="394" ht="23" customHeight="1">
      <x:c r="A394" s="2" t="str">
        <x:v>YEM</x:v>
      </x:c>
      <x:c r="B394" s="2" t="str">
        <x:v>Yemen (Republic of)</x:v>
      </x:c>
      <x:c r="C394" s="2" t="str">
        <x:v>TEMPO_FOOTPRINT</x:v>
      </x:c>
      <x:c r="D394" s="2" t="n">
        <x:v>2020</x:v>
      </x:c>
      <x:c r="E394" s="2" t="n">
        <x:v>2023</x:v>
      </x:c>
      <x:c r="F394" s="17" t="n">
        <x:v>454480387.6899993</x:v>
      </x:c>
      <x:c r="G394" s="17" t="n">
        <x:v>554270837.8402537</x:v>
      </x:c>
      <x:c r="H394" s="17" t="n">
        <x:v>454480387.69</x:v>
      </x:c>
      <x:c r="I394" s="17" t="n">
        <x:v>497021869.96</x:v>
      </x:c>
      <x:c r="J394" s="2" t="str">
        <x:v>m2</x:v>
      </x:c>
      <x:c r="K394" s="15" t="n">
        <x:f>IF(AND(ISNUMBER(F394),ISNUMBER(G394),F394&gt;0),G394/F394-1,"n.a.")</x:f>
        <x:v>0.21957042119564774</x:v>
      </x:c>
      <x:c r="L394" s="15" t="n">
        <x:f>IF(AND(N394,ISNUMBER(H394),ISNUMBER(I394),H394&gt;0),I394/H394-1,"n.a.")</x:f>
        <x:v>0.0936046602279732</x:v>
      </x:c>
      <x:c r="M394" s="20" t="n">
        <x:f>IF(AND(ISNUMBER(K394),ISNUMBER(L394)),100*(K394-L394),"n.a.")</x:f>
        <x:v>12.596576096767453</x:v>
      </x:c>
      <x:c r="N394" s="13" t="b">
        <x:v>1</x:v>
      </x:c>
      <x:c r="O394" s="13" t="b">
        <x:v>1</x:v>
      </x:c>
      <x:c r="P394" s="13" t="b">
        <x:v>0</x:v>
      </x:c>
      <x:c r="Q394" s="2" t="str">
        <x:v>none</x:v>
      </x:c>
      <x:c r="R394" s="2" t="str">
        <x:v>none</x:v>
      </x:c>
      <x:c r="S394" s="2" t="str">
        <x:v>nominal Q4 source model estimate</x:v>
      </x:c>
      <x:c r="T394" s="2" t="str">
        <x:v>nominal Q4 source model estimate</x:v>
      </x:c>
      <x:c r="U394" s="2" t="str">
        <x:v>GFA growth versus source physical quantity growth; constant conversion required for equality</x:v>
      </x:c>
      <x:c r="V394" s="2" t="str">
        <x:v>2020 level is the model anchor; 2023 comparator unused by v16 fit but shares conversion/upstream lineage</x:v>
      </x:c>
      <x:c r="W394" s="2" t="str">
        <x:v>https://arxiv.org/abs/2511.12104</x:v>
      </x:c>
    </x:row>
    <x:row r="395" ht="23" customHeight="1">
      <x:c r="A395" s="2" t="str">
        <x:v>ZAF</x:v>
      </x:c>
      <x:c r="B395" s="2" t="str">
        <x:v>South Africa (Republic of)</x:v>
      </x:c>
      <x:c r="C395" s="2" t="str">
        <x:v>TEMPO_FOOTPRINT</x:v>
      </x:c>
      <x:c r="D395" s="2" t="n">
        <x:v>2020</x:v>
      </x:c>
      <x:c r="E395" s="2" t="n">
        <x:v>2023</x:v>
      </x:c>
      <x:c r="F395" s="17" t="n">
        <x:v>2711325840.6099963</x:v>
      </x:c>
      <x:c r="G395" s="17" t="n">
        <x:v>2851993951.5264945</x:v>
      </x:c>
      <x:c r="H395" s="17" t="n">
        <x:v>2711325840.61</x:v>
      </x:c>
      <x:c r="I395" s="17" t="n">
        <x:v>2889099648.76</x:v>
      </x:c>
      <x:c r="J395" s="2" t="str">
        <x:v>m2</x:v>
      </x:c>
      <x:c r="K395" s="15" t="n">
        <x:f>IF(AND(ISNUMBER(F395),ISNUMBER(G395),F395&gt;0),G395/F395-1,"n.a.")</x:f>
        <x:v>0.05188166940674699</x:v>
      </x:c>
      <x:c r="L395" s="15" t="n">
        <x:f>IF(AND(N395,ISNUMBER(H395),ISNUMBER(I395),H395&gt;0),I395/H395-1,"n.a.")</x:f>
        <x:v>0.06556711313974861</x:v>
      </x:c>
      <x:c r="M395" s="20" t="n">
        <x:f>IF(AND(ISNUMBER(K395),ISNUMBER(L395)),100*(K395-L395),"n.a.")</x:f>
        <x:v>-1.3685443733001623</x:v>
      </x:c>
      <x:c r="N395" s="13" t="b">
        <x:v>1</x:v>
      </x:c>
      <x:c r="O395" s="13" t="b">
        <x:v>1</x:v>
      </x:c>
      <x:c r="P395" s="13" t="b">
        <x:v>0</x:v>
      </x:c>
      <x:c r="Q395" s="2" t="str">
        <x:v>none</x:v>
      </x:c>
      <x:c r="R395" s="2" t="str">
        <x:v>none</x:v>
      </x:c>
      <x:c r="S395" s="2" t="str">
        <x:v>nominal Q4 source model estimate</x:v>
      </x:c>
      <x:c r="T395" s="2" t="str">
        <x:v>nominal Q4 source model estimate</x:v>
      </x:c>
      <x:c r="U395" s="2" t="str">
        <x:v>GFA growth versus source physical quantity growth; constant conversion required for equality</x:v>
      </x:c>
      <x:c r="V395" s="2" t="str">
        <x:v>2020 level is the model anchor; 2023 comparator unused by v16 fit but shares conversion/upstream lineage</x:v>
      </x:c>
      <x:c r="W395" s="2" t="str">
        <x:v>https://arxiv.org/abs/2511.12104</x:v>
      </x:c>
    </x:row>
    <x:row r="396" ht="23" customHeight="1">
      <x:c r="A396" s="2" t="str">
        <x:v>ZMB</x:v>
      </x:c>
      <x:c r="B396" s="2" t="str">
        <x:v>Zambia (Republic of)</x:v>
      </x:c>
      <x:c r="C396" s="2" t="str">
        <x:v>TEMPO_FOOTPRINT</x:v>
      </x:c>
      <x:c r="D396" s="2" t="n">
        <x:v>2020</x:v>
      </x:c>
      <x:c r="E396" s="2" t="n">
        <x:v>2023</x:v>
      </x:c>
      <x:c r="F396" s="17" t="n">
        <x:v>396696842.49999976</x:v>
      </x:c>
      <x:c r="G396" s="17" t="n">
        <x:v>433758719.9772798</x:v>
      </x:c>
      <x:c r="H396" s="17" t="n">
        <x:v>396696842.5</x:v>
      </x:c>
      <x:c r="I396" s="17" t="n">
        <x:v>437281444.48</x:v>
      </x:c>
      <x:c r="J396" s="2" t="str">
        <x:v>m2</x:v>
      </x:c>
      <x:c r="K396" s="15" t="n">
        <x:f>IF(AND(ISNUMBER(F396),ISNUMBER(G396),F396&gt;0),G396/F396-1,"n.a.")</x:f>
        <x:v>0.09342619730400314</x:v>
      </x:c>
      <x:c r="L396" s="15" t="n">
        <x:f>IF(AND(N396,ISNUMBER(H396),ISNUMBER(I396),H396&gt;0),I396/H396-1,"n.a.")</x:f>
        <x:v>0.10230633983430315</x:v>
      </x:c>
      <x:c r="M396" s="20" t="n">
        <x:f>IF(AND(ISNUMBER(K396),ISNUMBER(L396)),100*(K396-L396),"n.a.")</x:f>
        <x:v>-0.8880142530300006</x:v>
      </x:c>
      <x:c r="N396" s="13" t="b">
        <x:v>1</x:v>
      </x:c>
      <x:c r="O396" s="13" t="b">
        <x:v>1</x:v>
      </x:c>
      <x:c r="P396" s="13" t="b">
        <x:v>0</x:v>
      </x:c>
      <x:c r="Q396" s="2" t="str">
        <x:v>none</x:v>
      </x:c>
      <x:c r="R396" s="2" t="str">
        <x:v>none</x:v>
      </x:c>
      <x:c r="S396" s="2" t="str">
        <x:v>nominal Q4 source model estimate</x:v>
      </x:c>
      <x:c r="T396" s="2" t="str">
        <x:v>nominal Q4 source model estimate</x:v>
      </x:c>
      <x:c r="U396" s="2" t="str">
        <x:v>GFA growth versus source physical quantity growth; constant conversion required for equality</x:v>
      </x:c>
      <x:c r="V396" s="2" t="str">
        <x:v>2020 level is the model anchor; 2023 comparator unused by v16 fit but shares conversion/upstream lineage</x:v>
      </x:c>
      <x:c r="W396" s="2" t="str">
        <x:v>https://arxiv.org/abs/2511.12104</x:v>
      </x:c>
    </x:row>
    <x:row r="397" ht="23" customHeight="1">
      <x:c r="A397" s="2" t="str">
        <x:v>ZWE</x:v>
      </x:c>
      <x:c r="B397" s="2" t="str">
        <x:v>Zimbabwe (Republic of)</x:v>
      </x:c>
      <x:c r="C397" s="2" t="str">
        <x:v>TEMPO_FOOTPRINT</x:v>
      </x:c>
      <x:c r="D397" s="2" t="n">
        <x:v>2020</x:v>
      </x:c>
      <x:c r="E397" s="2" t="n">
        <x:v>2023</x:v>
      </x:c>
      <x:c r="F397" s="17" t="n">
        <x:v>420425813.9799996</x:v>
      </x:c>
      <x:c r="G397" s="17" t="n">
        <x:v>450582162.9465908</x:v>
      </x:c>
      <x:c r="H397" s="17" t="n">
        <x:v>420425813.98</x:v>
      </x:c>
      <x:c r="I397" s="17" t="n">
        <x:v>459465466.59</x:v>
      </x:c>
      <x:c r="J397" s="2" t="str">
        <x:v>m2</x:v>
      </x:c>
      <x:c r="K397" s="15" t="n">
        <x:f>IF(AND(ISNUMBER(F397),ISNUMBER(G397),F397&gt;0),G397/F397-1,"n.a.")</x:f>
        <x:v>0.07172810984442979</x:v>
      </x:c>
      <x:c r="L397" s="15" t="n">
        <x:f>IF(AND(N397,ISNUMBER(H397),ISNUMBER(I397),H397&gt;0),I397/H397-1,"n.a.")</x:f>
        <x:v>0.09285741101486478</x:v>
      </x:c>
      <x:c r="M397" s="20" t="n">
        <x:f>IF(AND(ISNUMBER(K397),ISNUMBER(L397)),100*(K397-L397),"n.a.")</x:f>
        <x:v>-2.112930117043499</x:v>
      </x:c>
      <x:c r="N397" s="13" t="b">
        <x:v>1</x:v>
      </x:c>
      <x:c r="O397" s="13" t="b">
        <x:v>1</x:v>
      </x:c>
      <x:c r="P397" s="13" t="b">
        <x:v>0</x:v>
      </x:c>
      <x:c r="Q397" s="2" t="str">
        <x:v>none</x:v>
      </x:c>
      <x:c r="R397" s="2" t="str">
        <x:v>none</x:v>
      </x:c>
      <x:c r="S397" s="2" t="str">
        <x:v>nominal Q4 source model estimate</x:v>
      </x:c>
      <x:c r="T397" s="2" t="str">
        <x:v>nominal Q4 source model estimate</x:v>
      </x:c>
      <x:c r="U397" s="2" t="str">
        <x:v>GFA growth versus source physical quantity growth; constant conversion required for equality</x:v>
      </x:c>
      <x:c r="V397" s="2" t="str">
        <x:v>2020 level is the model anchor; 2023 comparator unused by v16 fit but shares conversion/upstream lineage</x:v>
      </x:c>
      <x:c r="W397" s="2" t="str">
        <x:v>https://arxiv.org/abs/2511.12104</x:v>
      </x:c>
    </x:row>
    <x:row r="398" ht="23" customHeight="1">
      <x:c r="A398" s="2" t="str">
        <x:v>AFG</x:v>
      </x:c>
      <x:c r="B398" s="2" t="str">
        <x:v>Afghanistan (Islamic Republic of)</x:v>
      </x:c>
      <x:c r="C398" s="2" t="str">
        <x:v>TEMPO_VOLUME</x:v>
      </x:c>
      <x:c r="D398" s="2" t="n">
        <x:v>2020</x:v>
      </x:c>
      <x:c r="E398" s="2" t="n">
        <x:v>2023</x:v>
      </x:c>
      <x:c r="F398" s="17" t="n">
        <x:v>853208432.4500008</x:v>
      </x:c>
      <x:c r="G398" s="17" t="n">
        <x:v>996044473.5381728</x:v>
      </x:c>
      <x:c r="H398" s="17" t="n">
        <x:v>1907783364.98</x:v>
      </x:c>
      <x:c r="I398" s="17" t="n">
        <x:v>2000340885.49</x:v>
      </x:c>
      <x:c r="J398" s="2" t="str">
        <x:v>m3</x:v>
      </x:c>
      <x:c r="K398" s="15" t="n">
        <x:f>IF(AND(ISNUMBER(F398),ISNUMBER(G398),F398&gt;0),G398/F398-1,"n.a.")</x:f>
        <x:v>0.16741048922596358</x:v>
      </x:c>
      <x:c r="L398" s="15" t="n">
        <x:f>IF(AND(N398,ISNUMBER(H398),ISNUMBER(I398),H398&gt;0),I398/H398-1,"n.a.")</x:f>
        <x:v>0.048515739370109445</x:v>
      </x:c>
      <x:c r="M398" s="20" t="n">
        <x:f>IF(AND(ISNUMBER(K398),ISNUMBER(L398)),100*(K398-L398),"n.a.")</x:f>
        <x:v>11.889474985585412</x:v>
      </x:c>
      <x:c r="N398" s="13" t="b">
        <x:v>1</x:v>
      </x:c>
      <x:c r="O398" s="13" t="b">
        <x:v>1</x:v>
      </x:c>
      <x:c r="P398" s="13" t="b">
        <x:v>0</x:v>
      </x:c>
      <x:c r="Q398" s="2" t="str">
        <x:v>none</x:v>
      </x:c>
      <x:c r="R398" s="2" t="str">
        <x:v>none</x:v>
      </x:c>
      <x:c r="S398" s="2" t="str">
        <x:v>nominal Q4 source model estimate</x:v>
      </x:c>
      <x:c r="T398" s="2" t="str">
        <x:v>nominal Q4 source model estimate</x:v>
      </x:c>
      <x:c r="U398" s="2" t="str">
        <x:v>GFA growth versus source physical quantity growth; constant conversion required for equality</x:v>
      </x:c>
      <x:c r="V398" s="2" t="str">
        <x:v>2020 level is the model anchor; 2023 comparator unused by v16 fit but shares conversion/upstream lineage</x:v>
      </x:c>
      <x:c r="W398" s="2" t="str">
        <x:v>https://arxiv.org/abs/2511.12104</x:v>
      </x:c>
    </x:row>
    <x:row r="399" ht="23" customHeight="1">
      <x:c r="A399" s="2" t="str">
        <x:v>AGO</x:v>
      </x:c>
      <x:c r="B399" s="2" t="str">
        <x:v>Angola (Republic of)</x:v>
      </x:c>
      <x:c r="C399" s="2" t="str">
        <x:v>TEMPO_VOLUME</x:v>
      </x:c>
      <x:c r="D399" s="2" t="n">
        <x:v>2020</x:v>
      </x:c>
      <x:c r="E399" s="2" t="n">
        <x:v>2023</x:v>
      </x:c>
      <x:c r="F399" s="17" t="n">
        <x:v>512504617.85999936</x:v>
      </x:c>
      <x:c r="G399" s="17" t="n">
        <x:v>577098188.7830937</x:v>
      </x:c>
      <x:c r="H399" s="17" t="n">
        <x:v>1250700306.27</x:v>
      </x:c>
      <x:c r="I399" s="17" t="n">
        <x:v>1236436178.98</x:v>
      </x:c>
      <x:c r="J399" s="2" t="str">
        <x:v>m3</x:v>
      </x:c>
      <x:c r="K399" s="15" t="n">
        <x:f>IF(AND(ISNUMBER(F399),ISNUMBER(G399),F399&gt;0),G399/F399-1,"n.a.")</x:f>
        <x:v>0.12603510031345566</x:v>
      </x:c>
      <x:c r="L399" s="15" t="n">
        <x:f>IF(AND(N399,ISNUMBER(H399),ISNUMBER(I399),H399&gt;0),I399/H399-1,"n.a.")</x:f>
        <x:v>-0.01140491228673346</x:v>
      </x:c>
      <x:c r="M399" s="20" t="n">
        <x:f>IF(AND(ISNUMBER(K399),ISNUMBER(L399)),100*(K399-L399),"n.a.")</x:f>
        <x:v>13.744001260018912</x:v>
      </x:c>
      <x:c r="N399" s="13" t="b">
        <x:v>1</x:v>
      </x:c>
      <x:c r="O399" s="13" t="b">
        <x:v>1</x:v>
      </x:c>
      <x:c r="P399" s="13" t="b">
        <x:v>0</x:v>
      </x:c>
      <x:c r="Q399" s="2" t="str">
        <x:v>none</x:v>
      </x:c>
      <x:c r="R399" s="2" t="str">
        <x:v>none</x:v>
      </x:c>
      <x:c r="S399" s="2" t="str">
        <x:v>nominal Q4 source model estimate</x:v>
      </x:c>
      <x:c r="T399" s="2" t="str">
        <x:v>nominal Q4 source model estimate</x:v>
      </x:c>
      <x:c r="U399" s="2" t="str">
        <x:v>GFA growth versus source physical quantity growth; constant conversion required for equality</x:v>
      </x:c>
      <x:c r="V399" s="2" t="str">
        <x:v>2020 level is the model anchor; 2023 comparator unused by v16 fit but shares conversion/upstream lineage</x:v>
      </x:c>
      <x:c r="W399" s="2" t="str">
        <x:v>https://arxiv.org/abs/2511.12104</x:v>
      </x:c>
    </x:row>
    <x:row r="400" ht="23" customHeight="1">
      <x:c r="A400" s="2" t="str">
        <x:v>ALB</x:v>
      </x:c>
      <x:c r="B400" s="2" t="str">
        <x:v>Albania (Republic of)</x:v>
      </x:c>
      <x:c r="C400" s="2" t="str">
        <x:v>TEMPO_VOLUME</x:v>
      </x:c>
      <x:c r="D400" s="2" t="n">
        <x:v>2020</x:v>
      </x:c>
      <x:c r="E400" s="2" t="n">
        <x:v>2023</x:v>
      </x:c>
      <x:c r="F400" s="17" t="n">
        <x:v>161276383.52000022</x:v>
      </x:c>
      <x:c r="G400" s="17" t="n">
        <x:v>163084599.75188568</x:v>
      </x:c>
      <x:c r="H400" s="17" t="n">
        <x:v>460338375.08</x:v>
      </x:c>
      <x:c r="I400" s="17" t="n">
        <x:v>488627926.67</x:v>
      </x:c>
      <x:c r="J400" s="2" t="str">
        <x:v>m3</x:v>
      </x:c>
      <x:c r="K400" s="15" t="n">
        <x:f>IF(AND(ISNUMBER(F400),ISNUMBER(G400),F400&gt;0),G400/F400-1,"n.a.")</x:f>
        <x:v>0.011211909595314262</x:v>
      </x:c>
      <x:c r="L400" s="15" t="n">
        <x:f>IF(AND(N400,ISNUMBER(H400),ISNUMBER(I400),H400&gt;0),I400/H400-1,"n.a.")</x:f>
        <x:v>0.06145381988864984</x:v>
      </x:c>
      <x:c r="M400" s="20" t="n">
        <x:f>IF(AND(ISNUMBER(K400),ISNUMBER(L400)),100*(K400-L400),"n.a.")</x:f>
        <x:v>-5.024191029333558</x:v>
      </x:c>
      <x:c r="N400" s="13" t="b">
        <x:v>1</x:v>
      </x:c>
      <x:c r="O400" s="13" t="b">
        <x:v>1</x:v>
      </x:c>
      <x:c r="P400" s="13" t="b">
        <x:v>0</x:v>
      </x:c>
      <x:c r="Q400" s="2" t="str">
        <x:v>none</x:v>
      </x:c>
      <x:c r="R400" s="2" t="str">
        <x:v>none</x:v>
      </x:c>
      <x:c r="S400" s="2" t="str">
        <x:v>nominal Q4 source model estimate</x:v>
      </x:c>
      <x:c r="T400" s="2" t="str">
        <x:v>nominal Q4 source model estimate</x:v>
      </x:c>
      <x:c r="U400" s="2" t="str">
        <x:v>GFA growth versus source physical quantity growth; constant conversion required for equality</x:v>
      </x:c>
      <x:c r="V400" s="2" t="str">
        <x:v>2020 level is the model anchor; 2023 comparator unused by v16 fit but shares conversion/upstream lineage</x:v>
      </x:c>
      <x:c r="W400" s="2" t="str">
        <x:v>https://arxiv.org/abs/2511.12104</x:v>
      </x:c>
    </x:row>
    <x:row r="401" ht="23" customHeight="1">
      <x:c r="A401" s="2" t="str">
        <x:v>AND</x:v>
      </x:c>
      <x:c r="B401" s="2" t="str">
        <x:v>Andorra (Principality of)</x:v>
      </x:c>
      <x:c r="C401" s="2" t="str">
        <x:v>TEMPO_VOLUME</x:v>
      </x:c>
      <x:c r="D401" s="2" t="n">
        <x:v>2020</x:v>
      </x:c>
      <x:c r="E401" s="2" t="n">
        <x:v>2023</x:v>
      </x:c>
      <x:c r="F401" s="17" t="n">
        <x:v>2995448.5899999994</x:v>
      </x:c>
      <x:c r="G401" s="17" t="n">
        <x:v>3326486.5028189747</x:v>
      </x:c>
      <x:c r="H401" s="17" t="n">
        <x:v>11386387.31</x:v>
      </x:c>
      <x:c r="I401" s="17" t="n">
        <x:v>12261144.29</x:v>
      </x:c>
      <x:c r="J401" s="2" t="str">
        <x:v>m3</x:v>
      </x:c>
      <x:c r="K401" s="15" t="n">
        <x:f>IF(AND(ISNUMBER(F401),ISNUMBER(G401),F401&gt;0),G401/F401-1,"n.a.")</x:f>
        <x:v>0.11051363522782931</x:v>
      </x:c>
      <x:c r="L401" s="15" t="n">
        <x:f>IF(AND(N401,ISNUMBER(H401),ISNUMBER(I401),H401&gt;0),I401/H401-1,"n.a.")</x:f>
        <x:v>0.07682480458325447</x:v>
      </x:c>
      <x:c r="M401" s="20" t="n">
        <x:f>IF(AND(ISNUMBER(K401),ISNUMBER(L401)),100*(K401-L401),"n.a.")</x:f>
        <x:v>3.368883064457484</x:v>
      </x:c>
      <x:c r="N401" s="13" t="b">
        <x:v>1</x:v>
      </x:c>
      <x:c r="O401" s="13" t="b">
        <x:v>1</x:v>
      </x:c>
      <x:c r="P401" s="13" t="b">
        <x:v>0</x:v>
      </x:c>
      <x:c r="Q401" s="2" t="str">
        <x:v>none</x:v>
      </x:c>
      <x:c r="R401" s="2" t="str">
        <x:v>none</x:v>
      </x:c>
      <x:c r="S401" s="2" t="str">
        <x:v>nominal Q4 source model estimate</x:v>
      </x:c>
      <x:c r="T401" s="2" t="str">
        <x:v>nominal Q4 source model estimate</x:v>
      </x:c>
      <x:c r="U401" s="2" t="str">
        <x:v>GFA growth versus source physical quantity growth; constant conversion required for equality</x:v>
      </x:c>
      <x:c r="V401" s="2" t="str">
        <x:v>2020 level is the model anchor; 2023 comparator unused by v16 fit but shares conversion/upstream lineage</x:v>
      </x:c>
      <x:c r="W401" s="2" t="str">
        <x:v>https://arxiv.org/abs/2511.12104</x:v>
      </x:c>
    </x:row>
    <x:row r="402" ht="23" customHeight="1">
      <x:c r="A402" s="2" t="str">
        <x:v>ARE</x:v>
      </x:c>
      <x:c r="B402" s="2" t="str">
        <x:v>United Arab Emirates</x:v>
      </x:c>
      <x:c r="C402" s="2" t="str">
        <x:v>TEMPO_VOLUME</x:v>
      </x:c>
      <x:c r="D402" s="2" t="n">
        <x:v>2020</x:v>
      </x:c>
      <x:c r="E402" s="2" t="n">
        <x:v>2023</x:v>
      </x:c>
      <x:c r="F402" s="17" t="n">
        <x:v>511804054.8699995</x:v>
      </x:c>
      <x:c r="G402" s="17" t="n">
        <x:v>576740560.1188428</x:v>
      </x:c>
      <x:c r="H402" s="17" t="n">
        <x:v>1818070625.75</x:v>
      </x:c>
      <x:c r="I402" s="17" t="n">
        <x:v>1942584952.4</x:v>
      </x:c>
      <x:c r="J402" s="2" t="str">
        <x:v>m3</x:v>
      </x:c>
      <x:c r="K402" s="15" t="n">
        <x:f>IF(AND(ISNUMBER(F402),ISNUMBER(G402),F402&gt;0),G402/F402-1,"n.a.")</x:f>
        <x:v>0.1268776685744264</x:v>
      </x:c>
      <x:c r="L402" s="15" t="n">
        <x:f>IF(AND(N402,ISNUMBER(H402),ISNUMBER(I402),H402&gt;0),I402/H402-1,"n.a.")</x:f>
        <x:v>0.06848706804150395</x:v>
      </x:c>
      <x:c r="M402" s="20" t="n">
        <x:f>IF(AND(ISNUMBER(K402),ISNUMBER(L402)),100*(K402-L402),"n.a.")</x:f>
        <x:v>5.839060053292244</x:v>
      </x:c>
      <x:c r="N402" s="13" t="b">
        <x:v>1</x:v>
      </x:c>
      <x:c r="O402" s="13" t="b">
        <x:v>1</x:v>
      </x:c>
      <x:c r="P402" s="13" t="b">
        <x:v>0</x:v>
      </x:c>
      <x:c r="Q402" s="2" t="str">
        <x:v>none</x:v>
      </x:c>
      <x:c r="R402" s="2" t="str">
        <x:v>none</x:v>
      </x:c>
      <x:c r="S402" s="2" t="str">
        <x:v>nominal Q4 source model estimate</x:v>
      </x:c>
      <x:c r="T402" s="2" t="str">
        <x:v>nominal Q4 source model estimate</x:v>
      </x:c>
      <x:c r="U402" s="2" t="str">
        <x:v>GFA growth versus source physical quantity growth; constant conversion required for equality</x:v>
      </x:c>
      <x:c r="V402" s="2" t="str">
        <x:v>2020 level is the model anchor; 2023 comparator unused by v16 fit but shares conversion/upstream lineage</x:v>
      </x:c>
      <x:c r="W402" s="2" t="str">
        <x:v>https://arxiv.org/abs/2511.12104</x:v>
      </x:c>
    </x:row>
    <x:row r="403" ht="23" customHeight="1">
      <x:c r="A403" s="2" t="str">
        <x:v>ARG</x:v>
      </x:c>
      <x:c r="B403" s="2" t="str">
        <x:v>Argentina (Argentine Republic)</x:v>
      </x:c>
      <x:c r="C403" s="2" t="str">
        <x:v>TEMPO_VOLUME</x:v>
      </x:c>
      <x:c r="D403" s="2" t="n">
        <x:v>2020</x:v>
      </x:c>
      <x:c r="E403" s="2" t="n">
        <x:v>2023</x:v>
      </x:c>
      <x:c r="F403" s="17" t="n">
        <x:v>2382940448.399998</x:v>
      </x:c>
      <x:c r="G403" s="17" t="n">
        <x:v>2512039170.750072</x:v>
      </x:c>
      <x:c r="H403" s="17" t="n">
        <x:v>6929595705.3</x:v>
      </x:c>
      <x:c r="I403" s="17" t="n">
        <x:v>7436976543.81</x:v>
      </x:c>
      <x:c r="J403" s="2" t="str">
        <x:v>m3</x:v>
      </x:c>
      <x:c r="K403" s="15" t="n">
        <x:f>IF(AND(ISNUMBER(F403),ISNUMBER(G403),F403&gt;0),G403/F403-1,"n.a.")</x:f>
        <x:v>0.0541762268699395</x:v>
      </x:c>
      <x:c r="L403" s="15" t="n">
        <x:f>IF(AND(N403,ISNUMBER(H403),ISNUMBER(I403),H403&gt;0),I403/H403-1,"n.a.")</x:f>
        <x:v>0.07321939981605818</x:v>
      </x:c>
      <x:c r="M403" s="20" t="n">
        <x:f>IF(AND(ISNUMBER(K403),ISNUMBER(L403)),100*(K403-L403),"n.a.")</x:f>
        <x:v>-1.904317294611868</x:v>
      </x:c>
      <x:c r="N403" s="13" t="b">
        <x:v>1</x:v>
      </x:c>
      <x:c r="O403" s="13" t="b">
        <x:v>1</x:v>
      </x:c>
      <x:c r="P403" s="13" t="b">
        <x:v>0</x:v>
      </x:c>
      <x:c r="Q403" s="2" t="str">
        <x:v>none</x:v>
      </x:c>
      <x:c r="R403" s="2" t="str">
        <x:v>none</x:v>
      </x:c>
      <x:c r="S403" s="2" t="str">
        <x:v>nominal Q4 source model estimate</x:v>
      </x:c>
      <x:c r="T403" s="2" t="str">
        <x:v>nominal Q4 source model estimate</x:v>
      </x:c>
      <x:c r="U403" s="2" t="str">
        <x:v>GFA growth versus source physical quantity growth; constant conversion required for equality</x:v>
      </x:c>
      <x:c r="V403" s="2" t="str">
        <x:v>2020 level is the model anchor; 2023 comparator unused by v16 fit but shares conversion/upstream lineage</x:v>
      </x:c>
      <x:c r="W403" s="2" t="str">
        <x:v>https://arxiv.org/abs/2511.12104</x:v>
      </x:c>
    </x:row>
    <x:row r="404" ht="23" customHeight="1">
      <x:c r="A404" s="2" t="str">
        <x:v>ARM</x:v>
      </x:c>
      <x:c r="B404" s="2" t="str">
        <x:v>Armenia (Republic of)</x:v>
      </x:c>
      <x:c r="C404" s="2" t="str">
        <x:v>TEMPO_VOLUME</x:v>
      </x:c>
      <x:c r="D404" s="2" t="n">
        <x:v>2020</x:v>
      </x:c>
      <x:c r="E404" s="2" t="n">
        <x:v>2023</x:v>
      </x:c>
      <x:c r="F404" s="17" t="n">
        <x:v>142786500.21000025</x:v>
      </x:c>
      <x:c r="G404" s="17" t="n">
        <x:v>148794351.70823196</x:v>
      </x:c>
      <x:c r="H404" s="17" t="n">
        <x:v>413298166.32</x:v>
      </x:c>
      <x:c r="I404" s="17" t="n">
        <x:v>447695096.05</x:v>
      </x:c>
      <x:c r="J404" s="2" t="str">
        <x:v>m3</x:v>
      </x:c>
      <x:c r="K404" s="15" t="n">
        <x:f>IF(AND(ISNUMBER(F404),ISNUMBER(G404),F404&gt;0),G404/F404-1,"n.a.")</x:f>
        <x:v>0.04207576689249892</x:v>
      </x:c>
      <x:c r="L404" s="15" t="n">
        <x:f>IF(AND(N404,ISNUMBER(H404),ISNUMBER(I404),H404&gt;0),I404/H404-1,"n.a.")</x:f>
        <x:v>0.08322545932460756</x:v>
      </x:c>
      <x:c r="M404" s="20" t="n">
        <x:f>IF(AND(ISNUMBER(K404),ISNUMBER(L404)),100*(K404-L404),"n.a.")</x:f>
        <x:v>-4.114969243210864</x:v>
      </x:c>
      <x:c r="N404" s="13" t="b">
        <x:v>1</x:v>
      </x:c>
      <x:c r="O404" s="13" t="b">
        <x:v>1</x:v>
      </x:c>
      <x:c r="P404" s="13" t="b">
        <x:v>0</x:v>
      </x:c>
      <x:c r="Q404" s="2" t="str">
        <x:v>none</x:v>
      </x:c>
      <x:c r="R404" s="2" t="str">
        <x:v>none</x:v>
      </x:c>
      <x:c r="S404" s="2" t="str">
        <x:v>nominal Q4 source model estimate</x:v>
      </x:c>
      <x:c r="T404" s="2" t="str">
        <x:v>nominal Q4 source model estimate</x:v>
      </x:c>
      <x:c r="U404" s="2" t="str">
        <x:v>GFA growth versus source physical quantity growth; constant conversion required for equality</x:v>
      </x:c>
      <x:c r="V404" s="2" t="str">
        <x:v>2020 level is the model anchor; 2023 comparator unused by v16 fit but shares conversion/upstream lineage</x:v>
      </x:c>
      <x:c r="W404" s="2" t="str">
        <x:v>https://arxiv.org/abs/2511.12104</x:v>
      </x:c>
    </x:row>
    <x:row r="405" ht="23" customHeight="1">
      <x:c r="A405" s="2" t="str">
        <x:v>ATG</x:v>
      </x:c>
      <x:c r="B405" s="2" t="str">
        <x:v>Antigua and Barbuda</x:v>
      </x:c>
      <x:c r="C405" s="2" t="str">
        <x:v>TEMPO_VOLUME</x:v>
      </x:c>
      <x:c r="D405" s="2" t="n">
        <x:v>2020</x:v>
      </x:c>
      <x:c r="E405" s="2" t="n">
        <x:v>2023</x:v>
      </x:c>
      <x:c r="F405" s="17" t="n">
        <x:v>7437404.659999999</x:v>
      </x:c>
      <x:c r="G405" s="17" t="n">
        <x:v>7604119.701437739</x:v>
      </x:c>
      <x:c r="H405" s="17" t="n">
        <x:v>17285834.35</x:v>
      </x:c>
      <x:c r="I405" s="17" t="n">
        <x:v>18149415.66</x:v>
      </x:c>
      <x:c r="J405" s="2" t="str">
        <x:v>m3</x:v>
      </x:c>
      <x:c r="K405" s="15" t="n">
        <x:f>IF(AND(ISNUMBER(F405),ISNUMBER(G405),F405&gt;0),G405/F405-1,"n.a.")</x:f>
        <x:v>0.022415755099943535</x:v>
      </x:c>
      <x:c r="L405" s="15" t="n">
        <x:f>IF(AND(N405,ISNUMBER(H405),ISNUMBER(I405),H405&gt;0),I405/H405-1,"n.a.")</x:f>
        <x:v>0.04995890233091349</x:v>
      </x:c>
      <x:c r="M405" s="20" t="n">
        <x:f>IF(AND(ISNUMBER(K405),ISNUMBER(L405)),100*(K405-L405),"n.a.")</x:f>
        <x:v>-2.7543147230969955</x:v>
      </x:c>
      <x:c r="N405" s="13" t="b">
        <x:v>1</x:v>
      </x:c>
      <x:c r="O405" s="13" t="b">
        <x:v>1</x:v>
      </x:c>
      <x:c r="P405" s="13" t="b">
        <x:v>0</x:v>
      </x:c>
      <x:c r="Q405" s="2" t="str">
        <x:v>none</x:v>
      </x:c>
      <x:c r="R405" s="2" t="str">
        <x:v>none</x:v>
      </x:c>
      <x:c r="S405" s="2" t="str">
        <x:v>nominal Q4 source model estimate</x:v>
      </x:c>
      <x:c r="T405" s="2" t="str">
        <x:v>nominal Q4 source model estimate</x:v>
      </x:c>
      <x:c r="U405" s="2" t="str">
        <x:v>GFA growth versus source physical quantity growth; constant conversion required for equality</x:v>
      </x:c>
      <x:c r="V405" s="2" t="str">
        <x:v>2020 level is the model anchor; 2023 comparator unused by v16 fit but shares conversion/upstream lineage</x:v>
      </x:c>
      <x:c r="W405" s="2" t="str">
        <x:v>https://arxiv.org/abs/2511.12104</x:v>
      </x:c>
    </x:row>
    <x:row r="406" ht="23" customHeight="1">
      <x:c r="A406" s="2" t="str">
        <x:v>AUS</x:v>
      </x:c>
      <x:c r="B406" s="2" t="str">
        <x:v>Australia (Commonwealth of)</x:v>
      </x:c>
      <x:c r="C406" s="2" t="str">
        <x:v>TEMPO_VOLUME</x:v>
      </x:c>
      <x:c r="D406" s="2" t="n">
        <x:v>2020</x:v>
      </x:c>
      <x:c r="E406" s="2" t="n">
        <x:v>2023</x:v>
      </x:c>
      <x:c r="F406" s="17" t="n">
        <x:v>3011161094.8599973</x:v>
      </x:c>
      <x:c r="G406" s="17" t="n">
        <x:v>3150002772.636592</x:v>
      </x:c>
      <x:c r="H406" s="17" t="n">
        <x:v>8570367979.23</x:v>
      </x:c>
      <x:c r="I406" s="17" t="n">
        <x:v>9350930230.32</x:v>
      </x:c>
      <x:c r="J406" s="2" t="str">
        <x:v>m3</x:v>
      </x:c>
      <x:c r="K406" s="15" t="n">
        <x:f>IF(AND(ISNUMBER(F406),ISNUMBER(G406),F406&gt;0),G406/F406-1,"n.a.")</x:f>
        <x:v>0.046109016888400634</x:v>
      </x:c>
      <x:c r="L406" s="15" t="n">
        <x:f>IF(AND(N406,ISNUMBER(H406),ISNUMBER(I406),H406&gt;0),I406/H406-1,"n.a.")</x:f>
        <x:v>0.0910768654253431</x:v>
      </x:c>
      <x:c r="M406" s="20" t="n">
        <x:f>IF(AND(ISNUMBER(K406),ISNUMBER(L406)),100*(K406-L406),"n.a.")</x:f>
        <x:v>-4.496784853694247</x:v>
      </x:c>
      <x:c r="N406" s="13" t="b">
        <x:v>1</x:v>
      </x:c>
      <x:c r="O406" s="13" t="b">
        <x:v>1</x:v>
      </x:c>
      <x:c r="P406" s="13" t="b">
        <x:v>0</x:v>
      </x:c>
      <x:c r="Q406" s="2" t="str">
        <x:v>none</x:v>
      </x:c>
      <x:c r="R406" s="2" t="str">
        <x:v>none</x:v>
      </x:c>
      <x:c r="S406" s="2" t="str">
        <x:v>nominal Q4 source model estimate</x:v>
      </x:c>
      <x:c r="T406" s="2" t="str">
        <x:v>nominal Q4 source model estimate</x:v>
      </x:c>
      <x:c r="U406" s="2" t="str">
        <x:v>GFA growth versus source physical quantity growth; constant conversion required for equality</x:v>
      </x:c>
      <x:c r="V406" s="2" t="str">
        <x:v>2020 level is the model anchor; 2023 comparator unused by v16 fit but shares conversion/upstream lineage</x:v>
      </x:c>
      <x:c r="W406" s="2" t="str">
        <x:v>https://arxiv.org/abs/2511.12104</x:v>
      </x:c>
    </x:row>
    <x:row r="407" ht="23" customHeight="1">
      <x:c r="A407" s="2" t="str">
        <x:v>AUT</x:v>
      </x:c>
      <x:c r="B407" s="2" t="str">
        <x:v>Austria (Republic of)</x:v>
      </x:c>
      <x:c r="C407" s="2" t="str">
        <x:v>TEMPO_VOLUME</x:v>
      </x:c>
      <x:c r="D407" s="2" t="n">
        <x:v>2020</x:v>
      </x:c>
      <x:c r="E407" s="2" t="n">
        <x:v>2023</x:v>
      </x:c>
      <x:c r="F407" s="17" t="n">
        <x:v>865496536.0700006</x:v>
      </x:c>
      <x:c r="G407" s="17" t="n">
        <x:v>921470012.8599453</x:v>
      </x:c>
      <x:c r="H407" s="17" t="n">
        <x:v>2938619208.31</x:v>
      </x:c>
      <x:c r="I407" s="17" t="n">
        <x:v>3046102652.82</x:v>
      </x:c>
      <x:c r="J407" s="2" t="str">
        <x:v>m3</x:v>
      </x:c>
      <x:c r="K407" s="15" t="n">
        <x:f>IF(AND(ISNUMBER(F407),ISNUMBER(G407),F407&gt;0),G407/F407-1,"n.a.")</x:f>
        <x:v>0.06467209798909868</x:v>
      </x:c>
      <x:c r="L407" s="15" t="n">
        <x:f>IF(AND(N407,ISNUMBER(H407),ISNUMBER(I407),H407&gt;0),I407/H407-1,"n.a.")</x:f>
        <x:v>0.03657617298833826</x:v>
      </x:c>
      <x:c r="M407" s="20" t="n">
        <x:f>IF(AND(ISNUMBER(K407),ISNUMBER(L407)),100*(K407-L407),"n.a.")</x:f>
        <x:v>2.8095925000760413</x:v>
      </x:c>
      <x:c r="N407" s="13" t="b">
        <x:v>1</x:v>
      </x:c>
      <x:c r="O407" s="13" t="b">
        <x:v>1</x:v>
      </x:c>
      <x:c r="P407" s="13" t="b">
        <x:v>0</x:v>
      </x:c>
      <x:c r="Q407" s="2" t="str">
        <x:v>none</x:v>
      </x:c>
      <x:c r="R407" s="2" t="str">
        <x:v>none</x:v>
      </x:c>
      <x:c r="S407" s="2" t="str">
        <x:v>nominal Q4 source model estimate</x:v>
      </x:c>
      <x:c r="T407" s="2" t="str">
        <x:v>nominal Q4 source model estimate</x:v>
      </x:c>
      <x:c r="U407" s="2" t="str">
        <x:v>GFA growth versus source physical quantity growth; constant conversion required for equality</x:v>
      </x:c>
      <x:c r="V407" s="2" t="str">
        <x:v>2020 level is the model anchor; 2023 comparator unused by v16 fit but shares conversion/upstream lineage</x:v>
      </x:c>
      <x:c r="W407" s="2" t="str">
        <x:v>https://arxiv.org/abs/2511.12104</x:v>
      </x:c>
    </x:row>
    <x:row r="408" ht="23" customHeight="1">
      <x:c r="A408" s="2" t="str">
        <x:v>AZE</x:v>
      </x:c>
      <x:c r="B408" s="2" t="str">
        <x:v>Azerbaijan (Republic of)</x:v>
      </x:c>
      <x:c r="C408" s="2" t="str">
        <x:v>TEMPO_VOLUME</x:v>
      </x:c>
      <x:c r="D408" s="2" t="n">
        <x:v>2020</x:v>
      </x:c>
      <x:c r="E408" s="2" t="n">
        <x:v>2023</x:v>
      </x:c>
      <x:c r="F408" s="17" t="n">
        <x:v>507953272.9000006</x:v>
      </x:c>
      <x:c r="G408" s="17" t="n">
        <x:v>533450484.5210403</x:v>
      </x:c>
      <x:c r="H408" s="17" t="n">
        <x:v>1416846279.23</x:v>
      </x:c>
      <x:c r="I408" s="17" t="n">
        <x:v>1534148756.82</x:v>
      </x:c>
      <x:c r="J408" s="2" t="str">
        <x:v>m3</x:v>
      </x:c>
      <x:c r="K408" s="15" t="n">
        <x:f>IF(AND(ISNUMBER(F408),ISNUMBER(G408),F408&gt;0),G408/F408-1,"n.a.")</x:f>
        <x:v>0.050195978609353986</x:v>
      </x:c>
      <x:c r="L408" s="15" t="n">
        <x:f>IF(AND(N408,ISNUMBER(H408),ISNUMBER(I408),H408&gt;0),I408/H408-1,"n.a.")</x:f>
        <x:v>0.08279125217010086</x:v>
      </x:c>
      <x:c r="M408" s="20" t="n">
        <x:f>IF(AND(ISNUMBER(K408),ISNUMBER(L408)),100*(K408-L408),"n.a.")</x:f>
        <x:v>-3.2595273560746874</x:v>
      </x:c>
      <x:c r="N408" s="13" t="b">
        <x:v>1</x:v>
      </x:c>
      <x:c r="O408" s="13" t="b">
        <x:v>1</x:v>
      </x:c>
      <x:c r="P408" s="13" t="b">
        <x:v>0</x:v>
      </x:c>
      <x:c r="Q408" s="2" t="str">
        <x:v>none</x:v>
      </x:c>
      <x:c r="R408" s="2" t="str">
        <x:v>none</x:v>
      </x:c>
      <x:c r="S408" s="2" t="str">
        <x:v>nominal Q4 source model estimate</x:v>
      </x:c>
      <x:c r="T408" s="2" t="str">
        <x:v>nominal Q4 source model estimate</x:v>
      </x:c>
      <x:c r="U408" s="2" t="str">
        <x:v>GFA growth versus source physical quantity growth; constant conversion required for equality</x:v>
      </x:c>
      <x:c r="V408" s="2" t="str">
        <x:v>2020 level is the model anchor; 2023 comparator unused by v16 fit but shares conversion/upstream lineage</x:v>
      </x:c>
      <x:c r="W408" s="2" t="str">
        <x:v>https://arxiv.org/abs/2511.12104</x:v>
      </x:c>
    </x:row>
    <x:row r="409" ht="23" customHeight="1">
      <x:c r="A409" s="2" t="str">
        <x:v>BDI</x:v>
      </x:c>
      <x:c r="B409" s="2" t="str">
        <x:v>Burundi (Republic of)</x:v>
      </x:c>
      <x:c r="C409" s="2" t="str">
        <x:v>TEMPO_VOLUME</x:v>
      </x:c>
      <x:c r="D409" s="2" t="n">
        <x:v>2020</x:v>
      </x:c>
      <x:c r="E409" s="2" t="n">
        <x:v>2023</x:v>
      </x:c>
      <x:c r="F409" s="17" t="n">
        <x:v>147710691.6100001</x:v>
      </x:c>
      <x:c r="G409" s="17" t="n">
        <x:v>164848816.54997876</x:v>
      </x:c>
      <x:c r="H409" s="17" t="n">
        <x:v>282280957.67</x:v>
      </x:c>
      <x:c r="I409" s="17" t="n">
        <x:v>318997635.16</x:v>
      </x:c>
      <x:c r="J409" s="2" t="str">
        <x:v>m3</x:v>
      </x:c>
      <x:c r="K409" s="15" t="n">
        <x:f>IF(AND(ISNUMBER(F409),ISNUMBER(G409),F409&gt;0),G409/F409-1,"n.a.")</x:f>
        <x:v>0.11602494547401054</x:v>
      </x:c>
      <x:c r="L409" s="15" t="n">
        <x:f>IF(AND(N409,ISNUMBER(H409),ISNUMBER(I409),H409&gt;0),I409/H409-1,"n.a.")</x:f>
        <x:v>0.13007139338433005</x:v>
      </x:c>
      <x:c r="M409" s="20" t="n">
        <x:f>IF(AND(ISNUMBER(K409),ISNUMBER(L409)),100*(K409-L409),"n.a.")</x:f>
        <x:v>-1.4046447910319504</x:v>
      </x:c>
      <x:c r="N409" s="13" t="b">
        <x:v>1</x:v>
      </x:c>
      <x:c r="O409" s="13" t="b">
        <x:v>1</x:v>
      </x:c>
      <x:c r="P409" s="13" t="b">
        <x:v>0</x:v>
      </x:c>
      <x:c r="Q409" s="2" t="str">
        <x:v>none</x:v>
      </x:c>
      <x:c r="R409" s="2" t="str">
        <x:v>none</x:v>
      </x:c>
      <x:c r="S409" s="2" t="str">
        <x:v>nominal Q4 source model estimate</x:v>
      </x:c>
      <x:c r="T409" s="2" t="str">
        <x:v>nominal Q4 source model estimate</x:v>
      </x:c>
      <x:c r="U409" s="2" t="str">
        <x:v>GFA growth versus source physical quantity growth; constant conversion required for equality</x:v>
      </x:c>
      <x:c r="V409" s="2" t="str">
        <x:v>2020 level is the model anchor; 2023 comparator unused by v16 fit but shares conversion/upstream lineage</x:v>
      </x:c>
      <x:c r="W409" s="2" t="str">
        <x:v>https://arxiv.org/abs/2511.12104</x:v>
      </x:c>
    </x:row>
    <x:row r="410" ht="23" customHeight="1">
      <x:c r="A410" s="2" t="str">
        <x:v>BEL</x:v>
      </x:c>
      <x:c r="B410" s="2" t="str">
        <x:v>Belgium (Kingdom of)</x:v>
      </x:c>
      <x:c r="C410" s="2" t="str">
        <x:v>TEMPO_VOLUME</x:v>
      </x:c>
      <x:c r="D410" s="2" t="n">
        <x:v>2020</x:v>
      </x:c>
      <x:c r="E410" s="2" t="n">
        <x:v>2023</x:v>
      </x:c>
      <x:c r="F410" s="17" t="n">
        <x:v>1079109698.0100002</x:v>
      </x:c>
      <x:c r="G410" s="17" t="n">
        <x:v>1164575889.6617367</x:v>
      </x:c>
      <x:c r="H410" s="17" t="n">
        <x:v>3854664222.08</x:v>
      </x:c>
      <x:c r="I410" s="17" t="n">
        <x:v>3960979691.92</x:v>
      </x:c>
      <x:c r="J410" s="2" t="str">
        <x:v>m3</x:v>
      </x:c>
      <x:c r="K410" s="15" t="n">
        <x:f>IF(AND(ISNUMBER(F410),ISNUMBER(G410),F410&gt;0),G410/F410-1,"n.a.")</x:f>
        <x:v>0.07920065199056747</x:v>
      </x:c>
      <x:c r="L410" s="15" t="n">
        <x:f>IF(AND(N410,ISNUMBER(H410),ISNUMBER(I410),H410&gt;0),I410/H410-1,"n.a.")</x:f>
        <x:v>0.027580993755827565</x:v>
      </x:c>
      <x:c r="M410" s="20" t="n">
        <x:f>IF(AND(ISNUMBER(K410),ISNUMBER(L410)),100*(K410-L410),"n.a.")</x:f>
        <x:v>5.161965823473991</x:v>
      </x:c>
      <x:c r="N410" s="13" t="b">
        <x:v>1</x:v>
      </x:c>
      <x:c r="O410" s="13" t="b">
        <x:v>1</x:v>
      </x:c>
      <x:c r="P410" s="13" t="b">
        <x:v>0</x:v>
      </x:c>
      <x:c r="Q410" s="2" t="str">
        <x:v>none</x:v>
      </x:c>
      <x:c r="R410" s="2" t="str">
        <x:v>none</x:v>
      </x:c>
      <x:c r="S410" s="2" t="str">
        <x:v>nominal Q4 source model estimate</x:v>
      </x:c>
      <x:c r="T410" s="2" t="str">
        <x:v>nominal Q4 source model estimate</x:v>
      </x:c>
      <x:c r="U410" s="2" t="str">
        <x:v>GFA growth versus source physical quantity growth; constant conversion required for equality</x:v>
      </x:c>
      <x:c r="V410" s="2" t="str">
        <x:v>2020 level is the model anchor; 2023 comparator unused by v16 fit but shares conversion/upstream lineage</x:v>
      </x:c>
      <x:c r="W410" s="2" t="str">
        <x:v>https://arxiv.org/abs/2511.12104</x:v>
      </x:c>
    </x:row>
    <x:row r="411" ht="23" customHeight="1">
      <x:c r="A411" s="2" t="str">
        <x:v>BEN</x:v>
      </x:c>
      <x:c r="B411" s="2" t="str">
        <x:v>Benin (Republic of)</x:v>
      </x:c>
      <x:c r="C411" s="2" t="str">
        <x:v>TEMPO_VOLUME</x:v>
      </x:c>
      <x:c r="D411" s="2" t="n">
        <x:v>2020</x:v>
      </x:c>
      <x:c r="E411" s="2" t="n">
        <x:v>2023</x:v>
      </x:c>
      <x:c r="F411" s="17" t="n">
        <x:v>302038367.25</x:v>
      </x:c>
      <x:c r="G411" s="17" t="n">
        <x:v>330354836.0723422</x:v>
      </x:c>
      <x:c r="H411" s="17" t="n">
        <x:v>680866675.25</x:v>
      </x:c>
      <x:c r="I411" s="17" t="n">
        <x:v>739439837.04</x:v>
      </x:c>
      <x:c r="J411" s="2" t="str">
        <x:v>m3</x:v>
      </x:c>
      <x:c r="K411" s="15" t="n">
        <x:f>IF(AND(ISNUMBER(F411),ISNUMBER(G411),F411&gt;0),G411/F411-1,"n.a.")</x:f>
        <x:v>0.09375123127620544</x:v>
      </x:c>
      <x:c r="L411" s="15" t="n">
        <x:f>IF(AND(N411,ISNUMBER(H411),ISNUMBER(I411),H411&gt;0),I411/H411-1,"n.a.")</x:f>
        <x:v>0.08602735883422863</x:v>
      </x:c>
      <x:c r="M411" s="20" t="n">
        <x:f>IF(AND(ISNUMBER(K411),ISNUMBER(L411)),100*(K411-L411),"n.a.")</x:f>
        <x:v>0.7723872441976809</x:v>
      </x:c>
      <x:c r="N411" s="13" t="b">
        <x:v>1</x:v>
      </x:c>
      <x:c r="O411" s="13" t="b">
        <x:v>1</x:v>
      </x:c>
      <x:c r="P411" s="13" t="b">
        <x:v>0</x:v>
      </x:c>
      <x:c r="Q411" s="2" t="str">
        <x:v>none</x:v>
      </x:c>
      <x:c r="R411" s="2" t="str">
        <x:v>none</x:v>
      </x:c>
      <x:c r="S411" s="2" t="str">
        <x:v>nominal Q4 source model estimate</x:v>
      </x:c>
      <x:c r="T411" s="2" t="str">
        <x:v>nominal Q4 source model estimate</x:v>
      </x:c>
      <x:c r="U411" s="2" t="str">
        <x:v>GFA growth versus source physical quantity growth; constant conversion required for equality</x:v>
      </x:c>
      <x:c r="V411" s="2" t="str">
        <x:v>2020 level is the model anchor; 2023 comparator unused by v16 fit but shares conversion/upstream lineage</x:v>
      </x:c>
      <x:c r="W411" s="2" t="str">
        <x:v>https://arxiv.org/abs/2511.12104</x:v>
      </x:c>
    </x:row>
    <x:row r="412" ht="23" customHeight="1">
      <x:c r="A412" s="2" t="str">
        <x:v>BFA</x:v>
      </x:c>
      <x:c r="B412" s="2" t="str">
        <x:v>Burkina Faso</x:v>
      </x:c>
      <x:c r="C412" s="2" t="str">
        <x:v>TEMPO_VOLUME</x:v>
      </x:c>
      <x:c r="D412" s="2" t="n">
        <x:v>2020</x:v>
      </x:c>
      <x:c r="E412" s="2" t="n">
        <x:v>2023</x:v>
      </x:c>
      <x:c r="F412" s="17" t="n">
        <x:v>359180891.3500002</x:v>
      </x:c>
      <x:c r="G412" s="17" t="n">
        <x:v>391497281.1057063</x:v>
      </x:c>
      <x:c r="H412" s="17" t="n">
        <x:v>720655403.9</x:v>
      </x:c>
      <x:c r="I412" s="17" t="n">
        <x:v>815039714.61</x:v>
      </x:c>
      <x:c r="J412" s="2" t="str">
        <x:v>m3</x:v>
      </x:c>
      <x:c r="K412" s="15" t="n">
        <x:f>IF(AND(ISNUMBER(F412),ISNUMBER(G412),F412&gt;0),G412/F412-1,"n.a.")</x:f>
        <x:v>0.08997246383081015</x:v>
      </x:c>
      <x:c r="L412" s="15" t="n">
        <x:f>IF(AND(N412,ISNUMBER(H412),ISNUMBER(I412),H412&gt;0),I412/H412-1,"n.a.")</x:f>
        <x:v>0.13097010054905112</x:v>
      </x:c>
      <x:c r="M412" s="20" t="n">
        <x:f>IF(AND(ISNUMBER(K412),ISNUMBER(L412)),100*(K412-L412),"n.a.")</x:f>
        <x:v>-4.099763671824097</x:v>
      </x:c>
      <x:c r="N412" s="13" t="b">
        <x:v>1</x:v>
      </x:c>
      <x:c r="O412" s="13" t="b">
        <x:v>1</x:v>
      </x:c>
      <x:c r="P412" s="13" t="b">
        <x:v>0</x:v>
      </x:c>
      <x:c r="Q412" s="2" t="str">
        <x:v>none</x:v>
      </x:c>
      <x:c r="R412" s="2" t="str">
        <x:v>none</x:v>
      </x:c>
      <x:c r="S412" s="2" t="str">
        <x:v>nominal Q4 source model estimate</x:v>
      </x:c>
      <x:c r="T412" s="2" t="str">
        <x:v>nominal Q4 source model estimate</x:v>
      </x:c>
      <x:c r="U412" s="2" t="str">
        <x:v>GFA growth versus source physical quantity growth; constant conversion required for equality</x:v>
      </x:c>
      <x:c r="V412" s="2" t="str">
        <x:v>2020 level is the model anchor; 2023 comparator unused by v16 fit but shares conversion/upstream lineage</x:v>
      </x:c>
      <x:c r="W412" s="2" t="str">
        <x:v>https://arxiv.org/abs/2511.12104</x:v>
      </x:c>
    </x:row>
    <x:row r="413" ht="23" customHeight="1">
      <x:c r="A413" s="2" t="str">
        <x:v>BGD</x:v>
      </x:c>
      <x:c r="B413" s="2" t="str">
        <x:v>Bangladesh (People's Republic of)</x:v>
      </x:c>
      <x:c r="C413" s="2" t="str">
        <x:v>TEMPO_VOLUME</x:v>
      </x:c>
      <x:c r="D413" s="2" t="n">
        <x:v>2020</x:v>
      </x:c>
      <x:c r="E413" s="2" t="n">
        <x:v>2023</x:v>
      </x:c>
      <x:c r="F413" s="17" t="n">
        <x:v>2430930564.5499988</x:v>
      </x:c>
      <x:c r="G413" s="17" t="n">
        <x:v>2740038058.4835844</x:v>
      </x:c>
      <x:c r="H413" s="17" t="n">
        <x:v>5829804164.63</x:v>
      </x:c>
      <x:c r="I413" s="17" t="n">
        <x:v>6236186807.75</x:v>
      </x:c>
      <x:c r="J413" s="2" t="str">
        <x:v>m3</x:v>
      </x:c>
      <x:c r="K413" s="15" t="n">
        <x:f>IF(AND(ISNUMBER(F413),ISNUMBER(G413),F413&gt;0),G413/F413-1,"n.a.")</x:f>
        <x:v>0.1271560358165993</x:v>
      </x:c>
      <x:c r="L413" s="15" t="n">
        <x:f>IF(AND(N413,ISNUMBER(H413),ISNUMBER(I413),H413&gt;0),I413/H413-1,"n.a.")</x:f>
        <x:v>0.06970776918812538</x:v>
      </x:c>
      <x:c r="M413" s="20" t="n">
        <x:f>IF(AND(ISNUMBER(K413),ISNUMBER(L413)),100*(K413-L413),"n.a.")</x:f>
        <x:v>5.744826662847391</x:v>
      </x:c>
      <x:c r="N413" s="13" t="b">
        <x:v>1</x:v>
      </x:c>
      <x:c r="O413" s="13" t="b">
        <x:v>1</x:v>
      </x:c>
      <x:c r="P413" s="13" t="b">
        <x:v>0</x:v>
      </x:c>
      <x:c r="Q413" s="2" t="str">
        <x:v>none</x:v>
      </x:c>
      <x:c r="R413" s="2" t="str">
        <x:v>none</x:v>
      </x:c>
      <x:c r="S413" s="2" t="str">
        <x:v>nominal Q4 source model estimate</x:v>
      </x:c>
      <x:c r="T413" s="2" t="str">
        <x:v>nominal Q4 source model estimate</x:v>
      </x:c>
      <x:c r="U413" s="2" t="str">
        <x:v>GFA growth versus source physical quantity growth; constant conversion required for equality</x:v>
      </x:c>
      <x:c r="V413" s="2" t="str">
        <x:v>2020 level is the model anchor; 2023 comparator unused by v16 fit but shares conversion/upstream lineage</x:v>
      </x:c>
      <x:c r="W413" s="2" t="str">
        <x:v>https://arxiv.org/abs/2511.12104</x:v>
      </x:c>
    </x:row>
    <x:row r="414" ht="23" customHeight="1">
      <x:c r="A414" s="2" t="str">
        <x:v>BGR</x:v>
      </x:c>
      <x:c r="B414" s="2" t="str">
        <x:v>Bulgaria (Republic of)</x:v>
      </x:c>
      <x:c r="C414" s="2" t="str">
        <x:v>TEMPO_VOLUME</x:v>
      </x:c>
      <x:c r="D414" s="2" t="n">
        <x:v>2020</x:v>
      </x:c>
      <x:c r="E414" s="2" t="n">
        <x:v>2023</x:v>
      </x:c>
      <x:c r="F414" s="17" t="n">
        <x:v>543020803.5700008</x:v>
      </x:c>
      <x:c r="G414" s="17" t="n">
        <x:v>563290439.3726661</x:v>
      </x:c>
      <x:c r="H414" s="17" t="n">
        <x:v>1674219775.43</x:v>
      </x:c>
      <x:c r="I414" s="17" t="n">
        <x:v>1771939274.31</x:v>
      </x:c>
      <x:c r="J414" s="2" t="str">
        <x:v>m3</x:v>
      </x:c>
      <x:c r="K414" s="15" t="n">
        <x:f>IF(AND(ISNUMBER(F414),ISNUMBER(G414),F414&gt;0),G414/F414-1,"n.a.")</x:f>
        <x:v>0.03732754927510329</x:v>
      </x:c>
      <x:c r="L414" s="15" t="n">
        <x:f>IF(AND(N414,ISNUMBER(H414),ISNUMBER(I414),H414&gt;0),I414/H414-1,"n.a.")</x:f>
        <x:v>0.05836718710057176</x:v>
      </x:c>
      <x:c r="M414" s="20" t="n">
        <x:f>IF(AND(ISNUMBER(K414),ISNUMBER(L414)),100*(K414-L414),"n.a.")</x:f>
        <x:v>-2.103963782546847</x:v>
      </x:c>
      <x:c r="N414" s="13" t="b">
        <x:v>1</x:v>
      </x:c>
      <x:c r="O414" s="13" t="b">
        <x:v>1</x:v>
      </x:c>
      <x:c r="P414" s="13" t="b">
        <x:v>0</x:v>
      </x:c>
      <x:c r="Q414" s="2" t="str">
        <x:v>none</x:v>
      </x:c>
      <x:c r="R414" s="2" t="str">
        <x:v>none</x:v>
      </x:c>
      <x:c r="S414" s="2" t="str">
        <x:v>nominal Q4 source model estimate</x:v>
      </x:c>
      <x:c r="T414" s="2" t="str">
        <x:v>nominal Q4 source model estimate</x:v>
      </x:c>
      <x:c r="U414" s="2" t="str">
        <x:v>GFA growth versus source physical quantity growth; constant conversion required for equality</x:v>
      </x:c>
      <x:c r="V414" s="2" t="str">
        <x:v>2020 level is the model anchor; 2023 comparator unused by v16 fit but shares conversion/upstream lineage</x:v>
      </x:c>
      <x:c r="W414" s="2" t="str">
        <x:v>https://arxiv.org/abs/2511.12104</x:v>
      </x:c>
    </x:row>
    <x:row r="415" ht="23" customHeight="1">
      <x:c r="A415" s="2" t="str">
        <x:v>BHR</x:v>
      </x:c>
      <x:c r="B415" s="2" t="str">
        <x:v>Bahrain (Kingdom of)</x:v>
      </x:c>
      <x:c r="C415" s="2" t="str">
        <x:v>TEMPO_VOLUME</x:v>
      </x:c>
      <x:c r="D415" s="2" t="n">
        <x:v>2020</x:v>
      </x:c>
      <x:c r="E415" s="2" t="n">
        <x:v>2023</x:v>
      </x:c>
      <x:c r="F415" s="17" t="n">
        <x:v>63702858.11000008</x:v>
      </x:c>
      <x:c r="G415" s="17" t="n">
        <x:v>69508549.57617551</x:v>
      </x:c>
      <x:c r="H415" s="17" t="n">
        <x:v>233079427.45</x:v>
      </x:c>
      <x:c r="I415" s="17" t="n">
        <x:v>260617950.04</x:v>
      </x:c>
      <x:c r="J415" s="2" t="str">
        <x:v>m3</x:v>
      </x:c>
      <x:c r="K415" s="15" t="n">
        <x:f>IF(AND(ISNUMBER(F415),ISNUMBER(G415),F415&gt;0),G415/F415-1,"n.a.")</x:f>
        <x:v>0.09113706415103606</x:v>
      </x:c>
      <x:c r="L415" s="15" t="n">
        <x:f>IF(AND(N415,ISNUMBER(H415),ISNUMBER(I415),H415&gt;0),I415/H415-1,"n.a.")</x:f>
        <x:v>0.11815080760788099</x:v>
      </x:c>
      <x:c r="M415" s="20" t="n">
        <x:f>IF(AND(ISNUMBER(K415),ISNUMBER(L415)),100*(K415-L415),"n.a.")</x:f>
        <x:v>-2.701374345684493</x:v>
      </x:c>
      <x:c r="N415" s="13" t="b">
        <x:v>1</x:v>
      </x:c>
      <x:c r="O415" s="13" t="b">
        <x:v>1</x:v>
      </x:c>
      <x:c r="P415" s="13" t="b">
        <x:v>0</x:v>
      </x:c>
      <x:c r="Q415" s="2" t="str">
        <x:v>none</x:v>
      </x:c>
      <x:c r="R415" s="2" t="str">
        <x:v>none</x:v>
      </x:c>
      <x:c r="S415" s="2" t="str">
        <x:v>nominal Q4 source model estimate</x:v>
      </x:c>
      <x:c r="T415" s="2" t="str">
        <x:v>nominal Q4 source model estimate</x:v>
      </x:c>
      <x:c r="U415" s="2" t="str">
        <x:v>GFA growth versus source physical quantity growth; constant conversion required for equality</x:v>
      </x:c>
      <x:c r="V415" s="2" t="str">
        <x:v>2020 level is the model anchor; 2023 comparator unused by v16 fit but shares conversion/upstream lineage</x:v>
      </x:c>
      <x:c r="W415" s="2" t="str">
        <x:v>https://arxiv.org/abs/2511.12104</x:v>
      </x:c>
    </x:row>
    <x:row r="416" ht="23" customHeight="1">
      <x:c r="A416" s="2" t="str">
        <x:v>BHS</x:v>
      </x:c>
      <x:c r="B416" s="2" t="str">
        <x:v>Bahamas (Commonwealth of the)</x:v>
      </x:c>
      <x:c r="C416" s="2" t="str">
        <x:v>TEMPO_VOLUME</x:v>
      </x:c>
      <x:c r="D416" s="2" t="n">
        <x:v>2020</x:v>
      </x:c>
      <x:c r="E416" s="2" t="n">
        <x:v>2023</x:v>
      </x:c>
      <x:c r="F416" s="17" t="n">
        <x:v>29184660.44999999</x:v>
      </x:c>
      <x:c r="G416" s="17" t="n">
        <x:v>30727373.649168283</x:v>
      </x:c>
      <x:c r="H416" s="17" t="n">
        <x:v>73579036.69</x:v>
      </x:c>
      <x:c r="I416" s="17" t="n">
        <x:v>77041836.94</x:v>
      </x:c>
      <x:c r="J416" s="2" t="str">
        <x:v>m3</x:v>
      </x:c>
      <x:c r="K416" s="15" t="n">
        <x:f>IF(AND(ISNUMBER(F416),ISNUMBER(G416),F416&gt;0),G416/F416-1,"n.a.")</x:f>
        <x:v>0.05286041281211107</x:v>
      </x:c>
      <x:c r="L416" s="15" t="n">
        <x:f>IF(AND(N416,ISNUMBER(H416),ISNUMBER(I416),H416&gt;0),I416/H416-1,"n.a.")</x:f>
        <x:v>0.04706232108731356</x:v>
      </x:c>
      <x:c r="M416" s="20" t="n">
        <x:f>IF(AND(ISNUMBER(K416),ISNUMBER(L416)),100*(K416-L416),"n.a.")</x:f>
        <x:v>0.5798091724797505</x:v>
      </x:c>
      <x:c r="N416" s="13" t="b">
        <x:v>1</x:v>
      </x:c>
      <x:c r="O416" s="13" t="b">
        <x:v>1</x:v>
      </x:c>
      <x:c r="P416" s="13" t="b">
        <x:v>0</x:v>
      </x:c>
      <x:c r="Q416" s="2" t="str">
        <x:v>none</x:v>
      </x:c>
      <x:c r="R416" s="2" t="str">
        <x:v>none</x:v>
      </x:c>
      <x:c r="S416" s="2" t="str">
        <x:v>nominal Q4 source model estimate</x:v>
      </x:c>
      <x:c r="T416" s="2" t="str">
        <x:v>nominal Q4 source model estimate</x:v>
      </x:c>
      <x:c r="U416" s="2" t="str">
        <x:v>GFA growth versus source physical quantity growth; constant conversion required for equality</x:v>
      </x:c>
      <x:c r="V416" s="2" t="str">
        <x:v>2020 level is the model anchor; 2023 comparator unused by v16 fit but shares conversion/upstream lineage</x:v>
      </x:c>
      <x:c r="W416" s="2" t="str">
        <x:v>https://arxiv.org/abs/2511.12104</x:v>
      </x:c>
    </x:row>
    <x:row r="417" ht="23" customHeight="1">
      <x:c r="A417" s="2" t="str">
        <x:v>BIH</x:v>
      </x:c>
      <x:c r="B417" s="2" t="str">
        <x:v>Bosnia and Herzegovina</x:v>
      </x:c>
      <x:c r="C417" s="2" t="str">
        <x:v>TEMPO_VOLUME</x:v>
      </x:c>
      <x:c r="D417" s="2" t="n">
        <x:v>2020</x:v>
      </x:c>
      <x:c r="E417" s="2" t="n">
        <x:v>2023</x:v>
      </x:c>
      <x:c r="F417" s="17" t="n">
        <x:v>247114206.72000027</x:v>
      </x:c>
      <x:c r="G417" s="17" t="n">
        <x:v>251211896.28119755</x:v>
      </x:c>
      <x:c r="H417" s="17" t="n">
        <x:v>627629014.89</x:v>
      </x:c>
      <x:c r="I417" s="17" t="n">
        <x:v>669645713.19</x:v>
      </x:c>
      <x:c r="J417" s="2" t="str">
        <x:v>m3</x:v>
      </x:c>
      <x:c r="K417" s="15" t="n">
        <x:f>IF(AND(ISNUMBER(F417),ISNUMBER(G417),F417&gt;0),G417/F417-1,"n.a.")</x:f>
        <x:v>0.01658216909333854</x:v>
      </x:c>
      <x:c r="L417" s="15" t="n">
        <x:f>IF(AND(N417,ISNUMBER(H417),ISNUMBER(I417),H417&gt;0),I417/H417-1,"n.a.")</x:f>
        <x:v>0.06694511774183032</x:v>
      </x:c>
      <x:c r="M417" s="20" t="n">
        <x:f>IF(AND(ISNUMBER(K417),ISNUMBER(L417)),100*(K417-L417),"n.a.")</x:f>
        <x:v>-5.036294864849178</x:v>
      </x:c>
      <x:c r="N417" s="13" t="b">
        <x:v>1</x:v>
      </x:c>
      <x:c r="O417" s="13" t="b">
        <x:v>1</x:v>
      </x:c>
      <x:c r="P417" s="13" t="b">
        <x:v>0</x:v>
      </x:c>
      <x:c r="Q417" s="2" t="str">
        <x:v>none</x:v>
      </x:c>
      <x:c r="R417" s="2" t="str">
        <x:v>none</x:v>
      </x:c>
      <x:c r="S417" s="2" t="str">
        <x:v>nominal Q4 source model estimate</x:v>
      </x:c>
      <x:c r="T417" s="2" t="str">
        <x:v>nominal Q4 source model estimate</x:v>
      </x:c>
      <x:c r="U417" s="2" t="str">
        <x:v>GFA growth versus source physical quantity growth; constant conversion required for equality</x:v>
      </x:c>
      <x:c r="V417" s="2" t="str">
        <x:v>2020 level is the model anchor; 2023 comparator unused by v16 fit but shares conversion/upstream lineage</x:v>
      </x:c>
      <x:c r="W417" s="2" t="str">
        <x:v>https://arxiv.org/abs/2511.12104</x:v>
      </x:c>
    </x:row>
    <x:row r="418" ht="23" customHeight="1">
      <x:c r="A418" s="2" t="str">
        <x:v>BLR</x:v>
      </x:c>
      <x:c r="B418" s="2" t="str">
        <x:v>Belarus (Republic of)</x:v>
      </x:c>
      <x:c r="C418" s="2" t="str">
        <x:v>TEMPO_VOLUME</x:v>
      </x:c>
      <x:c r="D418" s="2" t="n">
        <x:v>2020</x:v>
      </x:c>
      <x:c r="E418" s="2" t="n">
        <x:v>2023</x:v>
      </x:c>
      <x:c r="F418" s="17" t="n">
        <x:v>672205246.4400003</x:v>
      </x:c>
      <x:c r="G418" s="17" t="n">
        <x:v>699202895.6286968</x:v>
      </x:c>
      <x:c r="H418" s="17" t="n">
        <x:v>2094811037.29</x:v>
      </x:c>
      <x:c r="I418" s="17" t="n">
        <x:v>2241844115.72</x:v>
      </x:c>
      <x:c r="J418" s="2" t="str">
        <x:v>m3</x:v>
      </x:c>
      <x:c r="K418" s="15" t="n">
        <x:f>IF(AND(ISNUMBER(F418),ISNUMBER(G418),F418&gt;0),G418/F418-1,"n.a.")</x:f>
        <x:v>0.04016280642211001</x:v>
      </x:c>
      <x:c r="L418" s="15" t="n">
        <x:f>IF(AND(N418,ISNUMBER(H418),ISNUMBER(I418),H418&gt;0),I418/H418-1,"n.a.")</x:f>
        <x:v>0.07018918451957967</x:v>
      </x:c>
      <x:c r="M418" s="20" t="n">
        <x:f>IF(AND(ISNUMBER(K418),ISNUMBER(L418)),100*(K418-L418),"n.a.")</x:f>
        <x:v>-3.0026378097469664</x:v>
      </x:c>
      <x:c r="N418" s="13" t="b">
        <x:v>1</x:v>
      </x:c>
      <x:c r="O418" s="13" t="b">
        <x:v>1</x:v>
      </x:c>
      <x:c r="P418" s="13" t="b">
        <x:v>0</x:v>
      </x:c>
      <x:c r="Q418" s="2" t="str">
        <x:v>none</x:v>
      </x:c>
      <x:c r="R418" s="2" t="str">
        <x:v>none</x:v>
      </x:c>
      <x:c r="S418" s="2" t="str">
        <x:v>nominal Q4 source model estimate</x:v>
      </x:c>
      <x:c r="T418" s="2" t="str">
        <x:v>nominal Q4 source model estimate</x:v>
      </x:c>
      <x:c r="U418" s="2" t="str">
        <x:v>GFA growth versus source physical quantity growth; constant conversion required for equality</x:v>
      </x:c>
      <x:c r="V418" s="2" t="str">
        <x:v>2020 level is the model anchor; 2023 comparator unused by v16 fit but shares conversion/upstream lineage</x:v>
      </x:c>
      <x:c r="W418" s="2" t="str">
        <x:v>https://arxiv.org/abs/2511.12104</x:v>
      </x:c>
    </x:row>
    <x:row r="419" ht="23" customHeight="1">
      <x:c r="A419" s="2" t="str">
        <x:v>BLZ</x:v>
      </x:c>
      <x:c r="B419" s="2" t="str">
        <x:v>Belize</x:v>
      </x:c>
      <x:c r="C419" s="2" t="str">
        <x:v>TEMPO_VOLUME</x:v>
      </x:c>
      <x:c r="D419" s="2" t="n">
        <x:v>2020</x:v>
      </x:c>
      <x:c r="E419" s="2" t="n">
        <x:v>2023</x:v>
      </x:c>
      <x:c r="F419" s="17" t="n">
        <x:v>21867714.339999966</x:v>
      </x:c>
      <x:c r="G419" s="17" t="n">
        <x:v>23115627.76110608</x:v>
      </x:c>
      <x:c r="H419" s="17" t="n">
        <x:v>47743072.84</x:v>
      </x:c>
      <x:c r="I419" s="17" t="n">
        <x:v>51490246.29</x:v>
      </x:c>
      <x:c r="J419" s="2" t="str">
        <x:v>m3</x:v>
      </x:c>
      <x:c r="K419" s="15" t="n">
        <x:f>IF(AND(ISNUMBER(F419),ISNUMBER(G419),F419&gt;0),G419/F419-1,"n.a.")</x:f>
        <x:v>0.05706647716828184</x:v>
      </x:c>
      <x:c r="L419" s="15" t="n">
        <x:f>IF(AND(N419,ISNUMBER(H419),ISNUMBER(I419),H419&gt;0),I419/H419-1,"n.a.")</x:f>
        <x:v>0.07848622275649886</x:v>
      </x:c>
      <x:c r="M419" s="20" t="n">
        <x:f>IF(AND(ISNUMBER(K419),ISNUMBER(L419)),100*(K419-L419),"n.a.")</x:f>
        <x:v>-2.141974558821702</x:v>
      </x:c>
      <x:c r="N419" s="13" t="b">
        <x:v>1</x:v>
      </x:c>
      <x:c r="O419" s="13" t="b">
        <x:v>1</x:v>
      </x:c>
      <x:c r="P419" s="13" t="b">
        <x:v>0</x:v>
      </x:c>
      <x:c r="Q419" s="2" t="str">
        <x:v>none</x:v>
      </x:c>
      <x:c r="R419" s="2" t="str">
        <x:v>none</x:v>
      </x:c>
      <x:c r="S419" s="2" t="str">
        <x:v>nominal Q4 source model estimate</x:v>
      </x:c>
      <x:c r="T419" s="2" t="str">
        <x:v>nominal Q4 source model estimate</x:v>
      </x:c>
      <x:c r="U419" s="2" t="str">
        <x:v>GFA growth versus source physical quantity growth; constant conversion required for equality</x:v>
      </x:c>
      <x:c r="V419" s="2" t="str">
        <x:v>2020 level is the model anchor; 2023 comparator unused by v16 fit but shares conversion/upstream lineage</x:v>
      </x:c>
      <x:c r="W419" s="2" t="str">
        <x:v>https://arxiv.org/abs/2511.12104</x:v>
      </x:c>
    </x:row>
    <x:row r="420" ht="23" customHeight="1">
      <x:c r="A420" s="2" t="str">
        <x:v>BOL</x:v>
      </x:c>
      <x:c r="B420" s="2" t="str">
        <x:v>Bolivia (Plurinational State of)</x:v>
      </x:c>
      <x:c r="C420" s="2" t="str">
        <x:v>TEMPO_VOLUME</x:v>
      </x:c>
      <x:c r="D420" s="2" t="n">
        <x:v>2020</x:v>
      </x:c>
      <x:c r="E420" s="2" t="n">
        <x:v>2023</x:v>
      </x:c>
      <x:c r="F420" s="17" t="n">
        <x:v>496419008.9399992</x:v>
      </x:c>
      <x:c r="G420" s="17" t="n">
        <x:v>539024897.6683519</x:v>
      </x:c>
      <x:c r="H420" s="17" t="n">
        <x:v>1276348098.54</x:v>
      </x:c>
      <x:c r="I420" s="17" t="n">
        <x:v>1374530263.62</x:v>
      </x:c>
      <x:c r="J420" s="2" t="str">
        <x:v>m3</x:v>
      </x:c>
      <x:c r="K420" s="15" t="n">
        <x:f>IF(AND(ISNUMBER(F420),ISNUMBER(G420),F420&gt;0),G420/F420-1,"n.a.")</x:f>
        <x:v>0.0858264650649232</x:v>
      </x:c>
      <x:c r="L420" s="15" t="n">
        <x:f>IF(AND(N420,ISNUMBER(H420),ISNUMBER(I420),H420&gt;0),I420/H420-1,"n.a.")</x:f>
        <x:v>0.07692428514784444</x:v>
      </x:c>
      <x:c r="M420" s="20" t="n">
        <x:f>IF(AND(ISNUMBER(K420),ISNUMBER(L420)),100*(K420-L420),"n.a.")</x:f>
        <x:v>0.8902179917078756</x:v>
      </x:c>
      <x:c r="N420" s="13" t="b">
        <x:v>1</x:v>
      </x:c>
      <x:c r="O420" s="13" t="b">
        <x:v>1</x:v>
      </x:c>
      <x:c r="P420" s="13" t="b">
        <x:v>0</x:v>
      </x:c>
      <x:c r="Q420" s="2" t="str">
        <x:v>none</x:v>
      </x:c>
      <x:c r="R420" s="2" t="str">
        <x:v>none</x:v>
      </x:c>
      <x:c r="S420" s="2" t="str">
        <x:v>nominal Q4 source model estimate</x:v>
      </x:c>
      <x:c r="T420" s="2" t="str">
        <x:v>nominal Q4 source model estimate</x:v>
      </x:c>
      <x:c r="U420" s="2" t="str">
        <x:v>GFA growth versus source physical quantity growth; constant conversion required for equality</x:v>
      </x:c>
      <x:c r="V420" s="2" t="str">
        <x:v>2020 level is the model anchor; 2023 comparator unused by v16 fit but shares conversion/upstream lineage</x:v>
      </x:c>
      <x:c r="W420" s="2" t="str">
        <x:v>https://arxiv.org/abs/2511.12104</x:v>
      </x:c>
    </x:row>
    <x:row r="421" ht="23" customHeight="1">
      <x:c r="A421" s="2" t="str">
        <x:v>BRA</x:v>
      </x:c>
      <x:c r="B421" s="2" t="str">
        <x:v>Brazil (Federative Republic of)</x:v>
      </x:c>
      <x:c r="C421" s="2" t="str">
        <x:v>TEMPO_VOLUME</x:v>
      </x:c>
      <x:c r="D421" s="2" t="n">
        <x:v>2020</x:v>
      </x:c>
      <x:c r="E421" s="2" t="n">
        <x:v>2023</x:v>
      </x:c>
      <x:c r="F421" s="17" t="n">
        <x:v>12112839681.859997</x:v>
      </x:c>
      <x:c r="G421" s="17" t="n">
        <x:v>12777477492.222046</x:v>
      </x:c>
      <x:c r="H421" s="17" t="n">
        <x:v>35548429912.6</x:v>
      </x:c>
      <x:c r="I421" s="17" t="n">
        <x:v>38150126449.42</x:v>
      </x:c>
      <x:c r="J421" s="2" t="str">
        <x:v>m3</x:v>
      </x:c>
      <x:c r="K421" s="15" t="n">
        <x:f>IF(AND(ISNUMBER(F421),ISNUMBER(G421),F421&gt;0),G421/F421-1,"n.a.")</x:f>
        <x:v>0.05487051986310032</x:v>
      </x:c>
      <x:c r="L421" s="15" t="n">
        <x:f>IF(AND(N421,ISNUMBER(H421),ISNUMBER(I421),H421&gt;0),I421/H421-1,"n.a.")</x:f>
        <x:v>0.07318738248683765</x:v>
      </x:c>
      <x:c r="M421" s="20" t="n">
        <x:f>IF(AND(ISNUMBER(K421),ISNUMBER(L421)),100*(K421-L421),"n.a.")</x:f>
        <x:v>-1.8316862623737329</x:v>
      </x:c>
      <x:c r="N421" s="13" t="b">
        <x:v>1</x:v>
      </x:c>
      <x:c r="O421" s="13" t="b">
        <x:v>1</x:v>
      </x:c>
      <x:c r="P421" s="13" t="b">
        <x:v>0</x:v>
      </x:c>
      <x:c r="Q421" s="2" t="str">
        <x:v>none</x:v>
      </x:c>
      <x:c r="R421" s="2" t="str">
        <x:v>none</x:v>
      </x:c>
      <x:c r="S421" s="2" t="str">
        <x:v>nominal Q4 source model estimate</x:v>
      </x:c>
      <x:c r="T421" s="2" t="str">
        <x:v>nominal Q4 source model estimate</x:v>
      </x:c>
      <x:c r="U421" s="2" t="str">
        <x:v>GFA growth versus source physical quantity growth; constant conversion required for equality</x:v>
      </x:c>
      <x:c r="V421" s="2" t="str">
        <x:v>2020 level is the model anchor; 2023 comparator unused by v16 fit but shares conversion/upstream lineage</x:v>
      </x:c>
      <x:c r="W421" s="2" t="str">
        <x:v>https://arxiv.org/abs/2511.12104</x:v>
      </x:c>
    </x:row>
    <x:row r="422" ht="23" customHeight="1">
      <x:c r="A422" s="2" t="str">
        <x:v>BRB</x:v>
      </x:c>
      <x:c r="B422" s="2" t="str">
        <x:v>Barbados</x:v>
      </x:c>
      <x:c r="C422" s="2" t="str">
        <x:v>TEMPO_VOLUME</x:v>
      </x:c>
      <x:c r="D422" s="2" t="n">
        <x:v>2020</x:v>
      </x:c>
      <x:c r="E422" s="2" t="n">
        <x:v>2023</x:v>
      </x:c>
      <x:c r="F422" s="17" t="n">
        <x:v>23684585.840000004</x:v>
      </x:c>
      <x:c r="G422" s="17" t="n">
        <x:v>24170733.972350426</x:v>
      </x:c>
      <x:c r="H422" s="17" t="n">
        <x:v>59020792.31</x:v>
      </x:c>
      <x:c r="I422" s="17" t="n">
        <x:v>60996130.38</x:v>
      </x:c>
      <x:c r="J422" s="2" t="str">
        <x:v>m3</x:v>
      </x:c>
      <x:c r="K422" s="15" t="n">
        <x:f>IF(AND(ISNUMBER(F422),ISNUMBER(G422),F422&gt;0),G422/F422-1,"n.a.")</x:f>
        <x:v>0.020525929211284044</x:v>
      </x:c>
      <x:c r="L422" s="15" t="n">
        <x:f>IF(AND(N422,ISNUMBER(H422),ISNUMBER(I422),H422&gt;0),I422/H422-1,"n.a.")</x:f>
        <x:v>0.03346851156495423</x:v>
      </x:c>
      <x:c r="M422" s="20" t="n">
        <x:f>IF(AND(ISNUMBER(K422),ISNUMBER(L422)),100*(K422-L422),"n.a.")</x:f>
        <x:v>-1.2942582353670185</x:v>
      </x:c>
      <x:c r="N422" s="13" t="b">
        <x:v>1</x:v>
      </x:c>
      <x:c r="O422" s="13" t="b">
        <x:v>1</x:v>
      </x:c>
      <x:c r="P422" s="13" t="b">
        <x:v>0</x:v>
      </x:c>
      <x:c r="Q422" s="2" t="str">
        <x:v>none</x:v>
      </x:c>
      <x:c r="R422" s="2" t="str">
        <x:v>none</x:v>
      </x:c>
      <x:c r="S422" s="2" t="str">
        <x:v>nominal Q4 source model estimate</x:v>
      </x:c>
      <x:c r="T422" s="2" t="str">
        <x:v>nominal Q4 source model estimate</x:v>
      </x:c>
      <x:c r="U422" s="2" t="str">
        <x:v>GFA growth versus source physical quantity growth; constant conversion required for equality</x:v>
      </x:c>
      <x:c r="V422" s="2" t="str">
        <x:v>2020 level is the model anchor; 2023 comparator unused by v16 fit but shares conversion/upstream lineage</x:v>
      </x:c>
      <x:c r="W422" s="2" t="str">
        <x:v>https://arxiv.org/abs/2511.12104</x:v>
      </x:c>
    </x:row>
    <x:row r="423" ht="23" customHeight="1">
      <x:c r="A423" s="2" t="str">
        <x:v>BRN</x:v>
      </x:c>
      <x:c r="B423" s="2" t="str">
        <x:v>Brunei Darussalam</x:v>
      </x:c>
      <x:c r="C423" s="2" t="str">
        <x:v>TEMPO_VOLUME</x:v>
      </x:c>
      <x:c r="D423" s="2" t="n">
        <x:v>2020</x:v>
      </x:c>
      <x:c r="E423" s="2" t="n">
        <x:v>2023</x:v>
      </x:c>
      <x:c r="F423" s="17" t="n">
        <x:v>37849769.86000001</x:v>
      </x:c>
      <x:c r="G423" s="17" t="n">
        <x:v>40249225.03655419</x:v>
      </x:c>
      <x:c r="H423" s="17" t="n">
        <x:v>105104800.1</x:v>
      </x:c>
      <x:c r="I423" s="17" t="n">
        <x:v>112239302.66</x:v>
      </x:c>
      <x:c r="J423" s="2" t="str">
        <x:v>m3</x:v>
      </x:c>
      <x:c r="K423" s="15" t="n">
        <x:f>IF(AND(ISNUMBER(F423),ISNUMBER(G423),F423&gt;0),G423/F423-1,"n.a.")</x:f>
        <x:v>0.06339418140267084</x:v>
      </x:c>
      <x:c r="L423" s="15" t="n">
        <x:f>IF(AND(N423,ISNUMBER(H423),ISNUMBER(I423),H423&gt;0),I423/H423-1,"n.a.")</x:f>
        <x:v>0.06787989276619166</x:v>
      </x:c>
      <x:c r="M423" s="20" t="n">
        <x:f>IF(AND(ISNUMBER(K423),ISNUMBER(L423)),100*(K423-L423),"n.a.")</x:f>
        <x:v>-0.4485711363520828</x:v>
      </x:c>
      <x:c r="N423" s="13" t="b">
        <x:v>1</x:v>
      </x:c>
      <x:c r="O423" s="13" t="b">
        <x:v>1</x:v>
      </x:c>
      <x:c r="P423" s="13" t="b">
        <x:v>0</x:v>
      </x:c>
      <x:c r="Q423" s="2" t="str">
        <x:v>none</x:v>
      </x:c>
      <x:c r="R423" s="2" t="str">
        <x:v>none</x:v>
      </x:c>
      <x:c r="S423" s="2" t="str">
        <x:v>nominal Q4 source model estimate</x:v>
      </x:c>
      <x:c r="T423" s="2" t="str">
        <x:v>nominal Q4 source model estimate</x:v>
      </x:c>
      <x:c r="U423" s="2" t="str">
        <x:v>GFA growth versus source physical quantity growth; constant conversion required for equality</x:v>
      </x:c>
      <x:c r="V423" s="2" t="str">
        <x:v>2020 level is the model anchor; 2023 comparator unused by v16 fit but shares conversion/upstream lineage</x:v>
      </x:c>
      <x:c r="W423" s="2" t="str">
        <x:v>https://arxiv.org/abs/2511.12104</x:v>
      </x:c>
    </x:row>
    <x:row r="424" ht="23" customHeight="1">
      <x:c r="A424" s="2" t="str">
        <x:v>BTN</x:v>
      </x:c>
      <x:c r="B424" s="2" t="str">
        <x:v>Bhutan (Kingdom of)</x:v>
      </x:c>
      <x:c r="C424" s="2" t="str">
        <x:v>TEMPO_VOLUME</x:v>
      </x:c>
      <x:c r="D424" s="2" t="n">
        <x:v>2020</x:v>
      </x:c>
      <x:c r="E424" s="2" t="n">
        <x:v>2023</x:v>
      </x:c>
      <x:c r="F424" s="17" t="n">
        <x:v>27177544.510000043</x:v>
      </x:c>
      <x:c r="G424" s="17" t="n">
        <x:v>29650984.242419805</x:v>
      </x:c>
      <x:c r="H424" s="17" t="n">
        <x:v>54511683.95</x:v>
      </x:c>
      <x:c r="I424" s="17" t="n">
        <x:v>64464449.24</x:v>
      </x:c>
      <x:c r="J424" s="2" t="str">
        <x:v>m3</x:v>
      </x:c>
      <x:c r="K424" s="15" t="n">
        <x:f>IF(AND(ISNUMBER(F424),ISNUMBER(G424),F424&gt;0),G424/F424-1,"n.a.")</x:f>
        <x:v>0.09101041970549084</x:v>
      </x:c>
      <x:c r="L424" s="15" t="n">
        <x:f>IF(AND(N424,ISNUMBER(H424),ISNUMBER(I424),H424&gt;0),I424/H424-1,"n.a.")</x:f>
        <x:v>0.18258040421442523</x:v>
      </x:c>
      <x:c r="M424" s="20" t="n">
        <x:f>IF(AND(ISNUMBER(K424),ISNUMBER(L424)),100*(K424-L424),"n.a.")</x:f>
        <x:v>-9.15699845089344</x:v>
      </x:c>
      <x:c r="N424" s="13" t="b">
        <x:v>1</x:v>
      </x:c>
      <x:c r="O424" s="13" t="b">
        <x:v>1</x:v>
      </x:c>
      <x:c r="P424" s="13" t="b">
        <x:v>0</x:v>
      </x:c>
      <x:c r="Q424" s="2" t="str">
        <x:v>none</x:v>
      </x:c>
      <x:c r="R424" s="2" t="str">
        <x:v>none</x:v>
      </x:c>
      <x:c r="S424" s="2" t="str">
        <x:v>nominal Q4 source model estimate</x:v>
      </x:c>
      <x:c r="T424" s="2" t="str">
        <x:v>nominal Q4 source model estimate</x:v>
      </x:c>
      <x:c r="U424" s="2" t="str">
        <x:v>GFA growth versus source physical quantity growth; constant conversion required for equality</x:v>
      </x:c>
      <x:c r="V424" s="2" t="str">
        <x:v>2020 level is the model anchor; 2023 comparator unused by v16 fit but shares conversion/upstream lineage</x:v>
      </x:c>
      <x:c r="W424" s="2" t="str">
        <x:v>https://arxiv.org/abs/2511.12104</x:v>
      </x:c>
    </x:row>
    <x:row r="425" ht="23" customHeight="1">
      <x:c r="A425" s="2" t="str">
        <x:v>BWA</x:v>
      </x:c>
      <x:c r="B425" s="2" t="str">
        <x:v>Botswana (Republic of)</x:v>
      </x:c>
      <x:c r="C425" s="2" t="str">
        <x:v>TEMPO_VOLUME</x:v>
      </x:c>
      <x:c r="D425" s="2" t="n">
        <x:v>2020</x:v>
      </x:c>
      <x:c r="E425" s="2" t="n">
        <x:v>2023</x:v>
      </x:c>
      <x:c r="F425" s="17" t="n">
        <x:v>118564613.02000009</x:v>
      </x:c>
      <x:c r="G425" s="17" t="n">
        <x:v>122713658.58198829</x:v>
      </x:c>
      <x:c r="H425" s="17" t="n">
        <x:v>256485858.63</x:v>
      </x:c>
      <x:c r="I425" s="17" t="n">
        <x:v>285908217.03</x:v>
      </x:c>
      <x:c r="J425" s="2" t="str">
        <x:v>m3</x:v>
      </x:c>
      <x:c r="K425" s="15" t="n">
        <x:f>IF(AND(ISNUMBER(F425),ISNUMBER(G425),F425&gt;0),G425/F425-1,"n.a.")</x:f>
        <x:v>0.034993961995121836</x:v>
      </x:c>
      <x:c r="L425" s="15" t="n">
        <x:f>IF(AND(N425,ISNUMBER(H425),ISNUMBER(I425),H425&gt;0),I425/H425-1,"n.a.")</x:f>
        <x:v>0.11471337467553688</x:v>
      </x:c>
      <x:c r="M425" s="20" t="n">
        <x:f>IF(AND(ISNUMBER(K425),ISNUMBER(L425)),100*(K425-L425),"n.a.")</x:f>
        <x:v>-7.971941268041505</x:v>
      </x:c>
      <x:c r="N425" s="13" t="b">
        <x:v>1</x:v>
      </x:c>
      <x:c r="O425" s="13" t="b">
        <x:v>1</x:v>
      </x:c>
      <x:c r="P425" s="13" t="b">
        <x:v>0</x:v>
      </x:c>
      <x:c r="Q425" s="2" t="str">
        <x:v>none</x:v>
      </x:c>
      <x:c r="R425" s="2" t="str">
        <x:v>none</x:v>
      </x:c>
      <x:c r="S425" s="2" t="str">
        <x:v>nominal Q4 source model estimate</x:v>
      </x:c>
      <x:c r="T425" s="2" t="str">
        <x:v>nominal Q4 source model estimate</x:v>
      </x:c>
      <x:c r="U425" s="2" t="str">
        <x:v>GFA growth versus source physical quantity growth; constant conversion required for equality</x:v>
      </x:c>
      <x:c r="V425" s="2" t="str">
        <x:v>2020 level is the model anchor; 2023 comparator unused by v16 fit but shares conversion/upstream lineage</x:v>
      </x:c>
      <x:c r="W425" s="2" t="str">
        <x:v>https://arxiv.org/abs/2511.12104</x:v>
      </x:c>
    </x:row>
    <x:row r="426" ht="23" customHeight="1">
      <x:c r="A426" s="2" t="str">
        <x:v>CAF</x:v>
      </x:c>
      <x:c r="B426" s="2" t="str">
        <x:v>Central African Republic</x:v>
      </x:c>
      <x:c r="C426" s="2" t="str">
        <x:v>TEMPO_VOLUME</x:v>
      </x:c>
      <x:c r="D426" s="2" t="n">
        <x:v>2020</x:v>
      </x:c>
      <x:c r="E426" s="2" t="n">
        <x:v>2023</x:v>
      </x:c>
      <x:c r="F426" s="17" t="n">
        <x:v>66989106.04000005</x:v>
      </x:c>
      <x:c r="G426" s="17" t="n">
        <x:v>74971085.86685422</x:v>
      </x:c>
      <x:c r="H426" s="17" t="n">
        <x:v>145133910.52</x:v>
      </x:c>
      <x:c r="I426" s="17" t="n">
        <x:v>158320539.49</x:v>
      </x:c>
      <x:c r="J426" s="2" t="str">
        <x:v>m3</x:v>
      </x:c>
      <x:c r="K426" s="15" t="n">
        <x:f>IF(AND(ISNUMBER(F426),ISNUMBER(G426),F426&gt;0),G426/F426-1,"n.a.")</x:f>
        <x:v>0.11915340118269424</x:v>
      </x:c>
      <x:c r="L426" s="15" t="n">
        <x:f>IF(AND(N426,ISNUMBER(H426),ISNUMBER(I426),H426&gt;0),I426/H426-1,"n.a.")</x:f>
        <x:v>0.09085835917156548</x:v>
      </x:c>
      <x:c r="M426" s="20" t="n">
        <x:f>IF(AND(ISNUMBER(K426),ISNUMBER(L426)),100*(K426-L426),"n.a.")</x:f>
        <x:v>2.8295042011128757</x:v>
      </x:c>
      <x:c r="N426" s="13" t="b">
        <x:v>1</x:v>
      </x:c>
      <x:c r="O426" s="13" t="b">
        <x:v>1</x:v>
      </x:c>
      <x:c r="P426" s="13" t="b">
        <x:v>0</x:v>
      </x:c>
      <x:c r="Q426" s="2" t="str">
        <x:v>none</x:v>
      </x:c>
      <x:c r="R426" s="2" t="str">
        <x:v>none</x:v>
      </x:c>
      <x:c r="S426" s="2" t="str">
        <x:v>nominal Q4 source model estimate</x:v>
      </x:c>
      <x:c r="T426" s="2" t="str">
        <x:v>nominal Q4 source model estimate</x:v>
      </x:c>
      <x:c r="U426" s="2" t="str">
        <x:v>GFA growth versus source physical quantity growth; constant conversion required for equality</x:v>
      </x:c>
      <x:c r="V426" s="2" t="str">
        <x:v>2020 level is the model anchor; 2023 comparator unused by v16 fit but shares conversion/upstream lineage</x:v>
      </x:c>
      <x:c r="W426" s="2" t="str">
        <x:v>https://arxiv.org/abs/2511.12104</x:v>
      </x:c>
    </x:row>
    <x:row r="427" ht="23" customHeight="1">
      <x:c r="A427" s="2" t="str">
        <x:v>CAN</x:v>
      </x:c>
      <x:c r="B427" s="2" t="str">
        <x:v>Canada</x:v>
      </x:c>
      <x:c r="C427" s="2" t="str">
        <x:v>TEMPO_VOLUME</x:v>
      </x:c>
      <x:c r="D427" s="2" t="n">
        <x:v>2020</x:v>
      </x:c>
      <x:c r="E427" s="2" t="n">
        <x:v>2023</x:v>
      </x:c>
      <x:c r="F427" s="17" t="n">
        <x:v>2941628265.260001</x:v>
      </x:c>
      <x:c r="G427" s="17" t="n">
        <x:v>3187920876.377938</x:v>
      </x:c>
      <x:c r="H427" s="17" t="n">
        <x:v>8910828189.5</x:v>
      </x:c>
      <x:c r="I427" s="17" t="n">
        <x:v>9643886872.92</x:v>
      </x:c>
      <x:c r="J427" s="2" t="str">
        <x:v>m3</x:v>
      </x:c>
      <x:c r="K427" s="15" t="n">
        <x:f>IF(AND(ISNUMBER(F427),ISNUMBER(G427),F427&gt;0),G427/F427-1,"n.a.")</x:f>
        <x:v>0.08372662651722496</x:v>
      </x:c>
      <x:c r="L427" s="15" t="n">
        <x:f>IF(AND(N427,ISNUMBER(H427),ISNUMBER(I427),H427&gt;0),I427/H427-1,"n.a.")</x:f>
        <x:v>0.08226605516688035</x:v>
      </x:c>
      <x:c r="M427" s="20" t="n">
        <x:f>IF(AND(ISNUMBER(K427),ISNUMBER(L427)),100*(K427-L427),"n.a.")</x:f>
        <x:v>0.14605713503446083</x:v>
      </x:c>
      <x:c r="N427" s="13" t="b">
        <x:v>1</x:v>
      </x:c>
      <x:c r="O427" s="13" t="b">
        <x:v>1</x:v>
      </x:c>
      <x:c r="P427" s="13" t="b">
        <x:v>0</x:v>
      </x:c>
      <x:c r="Q427" s="2" t="str">
        <x:v>none</x:v>
      </x:c>
      <x:c r="R427" s="2" t="str">
        <x:v>none</x:v>
      </x:c>
      <x:c r="S427" s="2" t="str">
        <x:v>nominal Q4 source model estimate</x:v>
      </x:c>
      <x:c r="T427" s="2" t="str">
        <x:v>nominal Q4 source model estimate</x:v>
      </x:c>
      <x:c r="U427" s="2" t="str">
        <x:v>GFA growth versus source physical quantity growth; constant conversion required for equality</x:v>
      </x:c>
      <x:c r="V427" s="2" t="str">
        <x:v>2020 level is the model anchor; 2023 comparator unused by v16 fit but shares conversion/upstream lineage</x:v>
      </x:c>
      <x:c r="W427" s="2" t="str">
        <x:v>https://arxiv.org/abs/2511.12104</x:v>
      </x:c>
    </x:row>
    <x:row r="428" ht="23" customHeight="1">
      <x:c r="A428" s="2" t="str">
        <x:v>CHE</x:v>
      </x:c>
      <x:c r="B428" s="2" t="str">
        <x:v>Switzerland (Swiss Confederation)</x:v>
      </x:c>
      <x:c r="C428" s="2" t="str">
        <x:v>TEMPO_VOLUME</x:v>
      </x:c>
      <x:c r="D428" s="2" t="n">
        <x:v>2020</x:v>
      </x:c>
      <x:c r="E428" s="2" t="n">
        <x:v>2023</x:v>
      </x:c>
      <x:c r="F428" s="17" t="n">
        <x:v>554094959.2900008</x:v>
      </x:c>
      <x:c r="G428" s="17" t="n">
        <x:v>599198878.0750616</x:v>
      </x:c>
      <x:c r="H428" s="17" t="n">
        <x:v>1881753387.57</x:v>
      </x:c>
      <x:c r="I428" s="17" t="n">
        <x:v>1934451864.96</x:v>
      </x:c>
      <x:c r="J428" s="2" t="str">
        <x:v>m3</x:v>
      </x:c>
      <x:c r="K428" s="15" t="n">
        <x:f>IF(AND(ISNUMBER(F428),ISNUMBER(G428),F428&gt;0),G428/F428-1,"n.a.")</x:f>
        <x:v>0.08140106317309836</x:v>
      </x:c>
      <x:c r="L428" s="15" t="n">
        <x:f>IF(AND(N428,ISNUMBER(H428),ISNUMBER(I428),H428&gt;0),I428/H428-1,"n.a.")</x:f>
        <x:v>0.028004986061458403</x:v>
      </x:c>
      <x:c r="M428" s="20" t="n">
        <x:f>IF(AND(ISNUMBER(K428),ISNUMBER(L428)),100*(K428-L428),"n.a.")</x:f>
        <x:v>5.339607711163996</x:v>
      </x:c>
      <x:c r="N428" s="13" t="b">
        <x:v>1</x:v>
      </x:c>
      <x:c r="O428" s="13" t="b">
        <x:v>1</x:v>
      </x:c>
      <x:c r="P428" s="13" t="b">
        <x:v>0</x:v>
      </x:c>
      <x:c r="Q428" s="2" t="str">
        <x:v>none</x:v>
      </x:c>
      <x:c r="R428" s="2" t="str">
        <x:v>none</x:v>
      </x:c>
      <x:c r="S428" s="2" t="str">
        <x:v>nominal Q4 source model estimate</x:v>
      </x:c>
      <x:c r="T428" s="2" t="str">
        <x:v>nominal Q4 source model estimate</x:v>
      </x:c>
      <x:c r="U428" s="2" t="str">
        <x:v>GFA growth versus source physical quantity growth; constant conversion required for equality</x:v>
      </x:c>
      <x:c r="V428" s="2" t="str">
        <x:v>2020 level is the model anchor; 2023 comparator unused by v16 fit but shares conversion/upstream lineage</x:v>
      </x:c>
      <x:c r="W428" s="2" t="str">
        <x:v>https://arxiv.org/abs/2511.12104</x:v>
      </x:c>
    </x:row>
    <x:row r="429" ht="23" customHeight="1">
      <x:c r="A429" s="2" t="str">
        <x:v>CHL</x:v>
      </x:c>
      <x:c r="B429" s="2" t="str">
        <x:v>Chile (Republic of)</x:v>
      </x:c>
      <x:c r="C429" s="2" t="str">
        <x:v>TEMPO_VOLUME</x:v>
      </x:c>
      <x:c r="D429" s="2" t="n">
        <x:v>2020</x:v>
      </x:c>
      <x:c r="E429" s="2" t="n">
        <x:v>2023</x:v>
      </x:c>
      <x:c r="F429" s="17" t="n">
        <x:v>986436316.0700014</x:v>
      </x:c>
      <x:c r="G429" s="17" t="n">
        <x:v>1055630735.2526693</x:v>
      </x:c>
      <x:c r="H429" s="17" t="n">
        <x:v>2931309348.39</x:v>
      </x:c>
      <x:c r="I429" s="17" t="n">
        <x:v>3177999009.28</x:v>
      </x:c>
      <x:c r="J429" s="2" t="str">
        <x:v>m3</x:v>
      </x:c>
      <x:c r="K429" s="15" t="n">
        <x:f>IF(AND(ISNUMBER(F429),ISNUMBER(G429),F429&gt;0),G429/F429-1,"n.a.")</x:f>
        <x:v>0.07014585539423468</x:v>
      </x:c>
      <x:c r="L429" s="15" t="n">
        <x:f>IF(AND(N429,ISNUMBER(H429),ISNUMBER(I429),H429&gt;0),I429/H429-1,"n.a.")</x:f>
        <x:v>0.08415681580161194</x:v>
      </x:c>
      <x:c r="M429" s="20" t="n">
        <x:f>IF(AND(ISNUMBER(K429),ISNUMBER(L429)),100*(K429-L429),"n.a.")</x:f>
        <x:v>-1.401096040737726</x:v>
      </x:c>
      <x:c r="N429" s="13" t="b">
        <x:v>1</x:v>
      </x:c>
      <x:c r="O429" s="13" t="b">
        <x:v>1</x:v>
      </x:c>
      <x:c r="P429" s="13" t="b">
        <x:v>0</x:v>
      </x:c>
      <x:c r="Q429" s="2" t="str">
        <x:v>none</x:v>
      </x:c>
      <x:c r="R429" s="2" t="str">
        <x:v>none</x:v>
      </x:c>
      <x:c r="S429" s="2" t="str">
        <x:v>nominal Q4 source model estimate</x:v>
      </x:c>
      <x:c r="T429" s="2" t="str">
        <x:v>nominal Q4 source model estimate</x:v>
      </x:c>
      <x:c r="U429" s="2" t="str">
        <x:v>GFA growth versus source physical quantity growth; constant conversion required for equality</x:v>
      </x:c>
      <x:c r="V429" s="2" t="str">
        <x:v>2020 level is the model anchor; 2023 comparator unused by v16 fit but shares conversion/upstream lineage</x:v>
      </x:c>
      <x:c r="W429" s="2" t="str">
        <x:v>https://arxiv.org/abs/2511.12104</x:v>
      </x:c>
    </x:row>
    <x:row r="430" ht="23" customHeight="1">
      <x:c r="A430" s="2" t="str">
        <x:v>CHN</x:v>
      </x:c>
      <x:c r="B430" s="2" t="str">
        <x:v>China (People's Republic of)</x:v>
      </x:c>
      <x:c r="C430" s="2" t="str">
        <x:v>TEMPO_VOLUME</x:v>
      </x:c>
      <x:c r="D430" s="2" t="n">
        <x:v>2020</x:v>
      </x:c>
      <x:c r="E430" s="2" t="n">
        <x:v>2023</x:v>
      </x:c>
      <x:c r="F430" s="17" t="n">
        <x:v>86144650012.34993</x:v>
      </x:c>
      <x:c r="G430" s="17" t="n">
        <x:v>90625662469.73807</x:v>
      </x:c>
      <x:c r="H430" s="17" t="n">
        <x:v>294573212122.84</x:v>
      </x:c>
      <x:c r="I430" s="17" t="n">
        <x:v>337980749516.1</x:v>
      </x:c>
      <x:c r="J430" s="2" t="str">
        <x:v>m3</x:v>
      </x:c>
      <x:c r="K430" s="15" t="n">
        <x:f>IF(AND(ISNUMBER(F430),ISNUMBER(G430),F430&gt;0),G430/F430-1,"n.a.")</x:f>
        <x:v>0.05201730411285821</x:v>
      </x:c>
      <x:c r="L430" s="15" t="n">
        <x:f>IF(AND(N430,ISNUMBER(H430),ISNUMBER(I430),H430&gt;0),I430/H430-1,"n.a.")</x:f>
        <x:v>0.14735738216127592</x:v>
      </x:c>
      <x:c r="M430" s="20" t="n">
        <x:f>IF(AND(ISNUMBER(K430),ISNUMBER(L430)),100*(K430-L430),"n.a.")</x:f>
        <x:v>-9.534007804841771</x:v>
      </x:c>
      <x:c r="N430" s="13" t="b">
        <x:v>1</x:v>
      </x:c>
      <x:c r="O430" s="13" t="b">
        <x:v>1</x:v>
      </x:c>
      <x:c r="P430" s="13" t="b">
        <x:v>0</x:v>
      </x:c>
      <x:c r="Q430" s="2" t="str">
        <x:v>none</x:v>
      </x:c>
      <x:c r="R430" s="2" t="str">
        <x:v>none</x:v>
      </x:c>
      <x:c r="S430" s="2" t="str">
        <x:v>nominal Q4 source model estimate</x:v>
      </x:c>
      <x:c r="T430" s="2" t="str">
        <x:v>nominal Q4 source model estimate</x:v>
      </x:c>
      <x:c r="U430" s="2" t="str">
        <x:v>GFA growth versus source physical quantity growth; constant conversion required for equality</x:v>
      </x:c>
      <x:c r="V430" s="2" t="str">
        <x:v>2020 level is the model anchor; 2023 comparator unused by v16 fit but shares conversion/upstream lineage</x:v>
      </x:c>
      <x:c r="W430" s="2" t="str">
        <x:v>https://arxiv.org/abs/2511.12104</x:v>
      </x:c>
    </x:row>
    <x:row r="431" ht="23" customHeight="1">
      <x:c r="A431" s="2" t="str">
        <x:v>CIV</x:v>
      </x:c>
      <x:c r="B431" s="2" t="str">
        <x:v>Côte d'Ivoire (Republic of)</x:v>
      </x:c>
      <x:c r="C431" s="2" t="str">
        <x:v>TEMPO_VOLUME</x:v>
      </x:c>
      <x:c r="D431" s="2" t="n">
        <x:v>2020</x:v>
      </x:c>
      <x:c r="E431" s="2" t="n">
        <x:v>2023</x:v>
      </x:c>
      <x:c r="F431" s="17" t="n">
        <x:v>602828854.8199993</x:v>
      </x:c>
      <x:c r="G431" s="17" t="n">
        <x:v>668470983.6666439</x:v>
      </x:c>
      <x:c r="H431" s="17" t="n">
        <x:v>1475346058.37</x:v>
      </x:c>
      <x:c r="I431" s="17" t="n">
        <x:v>1640711271.3</x:v>
      </x:c>
      <x:c r="J431" s="2" t="str">
        <x:v>m3</x:v>
      </x:c>
      <x:c r="K431" s="15" t="n">
        <x:f>IF(AND(ISNUMBER(F431),ISNUMBER(G431),F431&gt;0),G431/F431-1,"n.a.")</x:f>
        <x:v>0.10889015733370089</x:v>
      </x:c>
      <x:c r="L431" s="15" t="n">
        <x:f>IF(AND(N431,ISNUMBER(H431),ISNUMBER(I431),H431&gt;0),I431/H431-1,"n.a.")</x:f>
        <x:v>0.11208571168224757</x:v>
      </x:c>
      <x:c r="M431" s="20" t="n">
        <x:f>IF(AND(ISNUMBER(K431),ISNUMBER(L431)),100*(K431-L431),"n.a.")</x:f>
        <x:v>-0.3195554348546681</x:v>
      </x:c>
      <x:c r="N431" s="13" t="b">
        <x:v>1</x:v>
      </x:c>
      <x:c r="O431" s="13" t="b">
        <x:v>1</x:v>
      </x:c>
      <x:c r="P431" s="13" t="b">
        <x:v>0</x:v>
      </x:c>
      <x:c r="Q431" s="2" t="str">
        <x:v>none</x:v>
      </x:c>
      <x:c r="R431" s="2" t="str">
        <x:v>none</x:v>
      </x:c>
      <x:c r="S431" s="2" t="str">
        <x:v>nominal Q4 source model estimate</x:v>
      </x:c>
      <x:c r="T431" s="2" t="str">
        <x:v>nominal Q4 source model estimate</x:v>
      </x:c>
      <x:c r="U431" s="2" t="str">
        <x:v>GFA growth versus source physical quantity growth; constant conversion required for equality</x:v>
      </x:c>
      <x:c r="V431" s="2" t="str">
        <x:v>2020 level is the model anchor; 2023 comparator unused by v16 fit but shares conversion/upstream lineage</x:v>
      </x:c>
      <x:c r="W431" s="2" t="str">
        <x:v>https://arxiv.org/abs/2511.12104</x:v>
      </x:c>
    </x:row>
    <x:row r="432" ht="23" customHeight="1">
      <x:c r="A432" s="2" t="str">
        <x:v>CMR</x:v>
      </x:c>
      <x:c r="B432" s="2" t="str">
        <x:v>Cameroon (Republic of)</x:v>
      </x:c>
      <x:c r="C432" s="2" t="str">
        <x:v>TEMPO_VOLUME</x:v>
      </x:c>
      <x:c r="D432" s="2" t="n">
        <x:v>2020</x:v>
      </x:c>
      <x:c r="E432" s="2" t="n">
        <x:v>2023</x:v>
      </x:c>
      <x:c r="F432" s="17" t="n">
        <x:v>577057207.8100005</x:v>
      </x:c>
      <x:c r="G432" s="17" t="n">
        <x:v>636209041.5204653</x:v>
      </x:c>
      <x:c r="H432" s="17" t="n">
        <x:v>1306842249.94</x:v>
      </x:c>
      <x:c r="I432" s="17" t="n">
        <x:v>1401313528.34</x:v>
      </x:c>
      <x:c r="J432" s="2" t="str">
        <x:v>m3</x:v>
      </x:c>
      <x:c r="K432" s="15" t="n">
        <x:f>IF(AND(ISNUMBER(F432),ISNUMBER(G432),F432&gt;0),G432/F432-1,"n.a.")</x:f>
        <x:v>0.10250601311255236</x:v>
      </x:c>
      <x:c r="L432" s="15" t="n">
        <x:f>IF(AND(N432,ISNUMBER(H432),ISNUMBER(I432),H432&gt;0),I432/H432-1,"n.a.")</x:f>
        <x:v>0.07228973382543846</x:v>
      </x:c>
      <x:c r="M432" s="20" t="n">
        <x:f>IF(AND(ISNUMBER(K432),ISNUMBER(L432)),100*(K432-L432),"n.a.")</x:f>
        <x:v>3.02162792871139</x:v>
      </x:c>
      <x:c r="N432" s="13" t="b">
        <x:v>1</x:v>
      </x:c>
      <x:c r="O432" s="13" t="b">
        <x:v>1</x:v>
      </x:c>
      <x:c r="P432" s="13" t="b">
        <x:v>0</x:v>
      </x:c>
      <x:c r="Q432" s="2" t="str">
        <x:v>none</x:v>
      </x:c>
      <x:c r="R432" s="2" t="str">
        <x:v>none</x:v>
      </x:c>
      <x:c r="S432" s="2" t="str">
        <x:v>nominal Q4 source model estimate</x:v>
      </x:c>
      <x:c r="T432" s="2" t="str">
        <x:v>nominal Q4 source model estimate</x:v>
      </x:c>
      <x:c r="U432" s="2" t="str">
        <x:v>GFA growth versus source physical quantity growth; constant conversion required for equality</x:v>
      </x:c>
      <x:c r="V432" s="2" t="str">
        <x:v>2020 level is the model anchor; 2023 comparator unused by v16 fit but shares conversion/upstream lineage</x:v>
      </x:c>
      <x:c r="W432" s="2" t="str">
        <x:v>https://arxiv.org/abs/2511.12104</x:v>
      </x:c>
    </x:row>
    <x:row r="433" ht="23" customHeight="1">
      <x:c r="A433" s="2" t="str">
        <x:v>COD</x:v>
      </x:c>
      <x:c r="B433" s="2" t="str">
        <x:v>Congo (Democratic Republic of the)</x:v>
      </x:c>
      <x:c r="C433" s="2" t="str">
        <x:v>TEMPO_VOLUME</x:v>
      </x:c>
      <x:c r="D433" s="2" t="n">
        <x:v>2020</x:v>
      </x:c>
      <x:c r="E433" s="2" t="n">
        <x:v>2023</x:v>
      </x:c>
      <x:c r="F433" s="17" t="n">
        <x:v>941825698.8399988</x:v>
      </x:c>
      <x:c r="G433" s="17" t="n">
        <x:v>1077139696.3216643</x:v>
      </x:c>
      <x:c r="H433" s="17" t="n">
        <x:v>2095322526.52</x:v>
      </x:c>
      <x:c r="I433" s="17" t="n">
        <x:v>2181302031.07</x:v>
      </x:c>
      <x:c r="J433" s="2" t="str">
        <x:v>m3</x:v>
      </x:c>
      <x:c r="K433" s="15" t="n">
        <x:f>IF(AND(ISNUMBER(F433),ISNUMBER(G433),F433&gt;0),G433/F433-1,"n.a.")</x:f>
        <x:v>0.1436720166463128</x:v>
      </x:c>
      <x:c r="L433" s="15" t="n">
        <x:f>IF(AND(N433,ISNUMBER(H433),ISNUMBER(I433),H433&gt;0),I433/H433-1,"n.a.")</x:f>
        <x:v>0.04103401908860227</x:v>
      </x:c>
      <x:c r="M433" s="20" t="n">
        <x:f>IF(AND(ISNUMBER(K433),ISNUMBER(L433)),100*(K433-L433),"n.a.")</x:f>
        <x:v>10.263799755771053</x:v>
      </x:c>
      <x:c r="N433" s="13" t="b">
        <x:v>1</x:v>
      </x:c>
      <x:c r="O433" s="13" t="b">
        <x:v>1</x:v>
      </x:c>
      <x:c r="P433" s="13" t="b">
        <x:v>0</x:v>
      </x:c>
      <x:c r="Q433" s="2" t="str">
        <x:v>none</x:v>
      </x:c>
      <x:c r="R433" s="2" t="str">
        <x:v>none</x:v>
      </x:c>
      <x:c r="S433" s="2" t="str">
        <x:v>nominal Q4 source model estimate</x:v>
      </x:c>
      <x:c r="T433" s="2" t="str">
        <x:v>nominal Q4 source model estimate</x:v>
      </x:c>
      <x:c r="U433" s="2" t="str">
        <x:v>GFA growth versus source physical quantity growth; constant conversion required for equality</x:v>
      </x:c>
      <x:c r="V433" s="2" t="str">
        <x:v>2020 level is the model anchor; 2023 comparator unused by v16 fit but shares conversion/upstream lineage</x:v>
      </x:c>
      <x:c r="W433" s="2" t="str">
        <x:v>https://arxiv.org/abs/2511.12104</x:v>
      </x:c>
    </x:row>
    <x:row r="434" ht="23" customHeight="1">
      <x:c r="A434" s="2" t="str">
        <x:v>COG</x:v>
      </x:c>
      <x:c r="B434" s="2" t="str">
        <x:v>Congo (Republic of the)</x:v>
      </x:c>
      <x:c r="C434" s="2" t="str">
        <x:v>TEMPO_VOLUME</x:v>
      </x:c>
      <x:c r="D434" s="2" t="n">
        <x:v>2020</x:v>
      </x:c>
      <x:c r="E434" s="2" t="n">
        <x:v>2023</x:v>
      </x:c>
      <x:c r="F434" s="17" t="n">
        <x:v>110620071.65000013</x:v>
      </x:c>
      <x:c r="G434" s="17" t="n">
        <x:v>123040849.17188968</x:v>
      </x:c>
      <x:c r="H434" s="17" t="n">
        <x:v>284819662.07</x:v>
      </x:c>
      <x:c r="I434" s="17" t="n">
        <x:v>299184045.13</x:v>
      </x:c>
      <x:c r="J434" s="2" t="str">
        <x:v>m3</x:v>
      </x:c>
      <x:c r="K434" s="15" t="n">
        <x:f>IF(AND(ISNUMBER(F434),ISNUMBER(G434),F434&gt;0),G434/F434-1,"n.a.")</x:f>
        <x:v>0.11228321711080302</x:v>
      </x:c>
      <x:c r="L434" s="15" t="n">
        <x:f>IF(AND(N434,ISNUMBER(H434),ISNUMBER(I434),H434&gt;0),I434/H434-1,"n.a.")</x:f>
        <x:v>0.05043325645288377</x:v>
      </x:c>
      <x:c r="M434" s="20" t="n">
        <x:f>IF(AND(ISNUMBER(K434),ISNUMBER(L434)),100*(K434-L434),"n.a.")</x:f>
        <x:v>6.184996065791926</x:v>
      </x:c>
      <x:c r="N434" s="13" t="b">
        <x:v>1</x:v>
      </x:c>
      <x:c r="O434" s="13" t="b">
        <x:v>1</x:v>
      </x:c>
      <x:c r="P434" s="13" t="b">
        <x:v>0</x:v>
      </x:c>
      <x:c r="Q434" s="2" t="str">
        <x:v>none</x:v>
      </x:c>
      <x:c r="R434" s="2" t="str">
        <x:v>none</x:v>
      </x:c>
      <x:c r="S434" s="2" t="str">
        <x:v>nominal Q4 source model estimate</x:v>
      </x:c>
      <x:c r="T434" s="2" t="str">
        <x:v>nominal Q4 source model estimate</x:v>
      </x:c>
      <x:c r="U434" s="2" t="str">
        <x:v>GFA growth versus source physical quantity growth; constant conversion required for equality</x:v>
      </x:c>
      <x:c r="V434" s="2" t="str">
        <x:v>2020 level is the model anchor; 2023 comparator unused by v16 fit but shares conversion/upstream lineage</x:v>
      </x:c>
      <x:c r="W434" s="2" t="str">
        <x:v>https://arxiv.org/abs/2511.12104</x:v>
      </x:c>
    </x:row>
    <x:row r="435" ht="23" customHeight="1">
      <x:c r="A435" s="2" t="str">
        <x:v>COL</x:v>
      </x:c>
      <x:c r="B435" s="2" t="str">
        <x:v>Colombia (Republic of)</x:v>
      </x:c>
      <x:c r="C435" s="2" t="str">
        <x:v>TEMPO_VOLUME</x:v>
      </x:c>
      <x:c r="D435" s="2" t="n">
        <x:v>2020</x:v>
      </x:c>
      <x:c r="E435" s="2" t="n">
        <x:v>2023</x:v>
      </x:c>
      <x:c r="F435" s="17" t="n">
        <x:v>1505534156.3100014</x:v>
      </x:c>
      <x:c r="G435" s="17" t="n">
        <x:v>1675730324.963179</x:v>
      </x:c>
      <x:c r="H435" s="17" t="n">
        <x:v>4507158850.32</x:v>
      </x:c>
      <x:c r="I435" s="17" t="n">
        <x:v>4758981139.79</x:v>
      </x:c>
      <x:c r="J435" s="2" t="str">
        <x:v>m3</x:v>
      </x:c>
      <x:c r="K435" s="15" t="n">
        <x:f>IF(AND(ISNUMBER(F435),ISNUMBER(G435),F435&gt;0),G435/F435-1,"n.a.")</x:f>
        <x:v>0.11304703247007097</x:v>
      </x:c>
      <x:c r="L435" s="15" t="n">
        <x:f>IF(AND(N435,ISNUMBER(H435),ISNUMBER(I435),H435&gt;0),I435/H435-1,"n.a.")</x:f>
        <x:v>0.055871625081978404</x:v>
      </x:c>
      <x:c r="M435" s="20" t="n">
        <x:f>IF(AND(ISNUMBER(K435),ISNUMBER(L435)),100*(K435-L435),"n.a.")</x:f>
        <x:v>5.717540738809257</x:v>
      </x:c>
      <x:c r="N435" s="13" t="b">
        <x:v>1</x:v>
      </x:c>
      <x:c r="O435" s="13" t="b">
        <x:v>1</x:v>
      </x:c>
      <x:c r="P435" s="13" t="b">
        <x:v>0</x:v>
      </x:c>
      <x:c r="Q435" s="2" t="str">
        <x:v>none</x:v>
      </x:c>
      <x:c r="R435" s="2" t="str">
        <x:v>none</x:v>
      </x:c>
      <x:c r="S435" s="2" t="str">
        <x:v>nominal Q4 source model estimate</x:v>
      </x:c>
      <x:c r="T435" s="2" t="str">
        <x:v>nominal Q4 source model estimate</x:v>
      </x:c>
      <x:c r="U435" s="2" t="str">
        <x:v>GFA growth versus source physical quantity growth; constant conversion required for equality</x:v>
      </x:c>
      <x:c r="V435" s="2" t="str">
        <x:v>2020 level is the model anchor; 2023 comparator unused by v16 fit but shares conversion/upstream lineage</x:v>
      </x:c>
      <x:c r="W435" s="2" t="str">
        <x:v>https://arxiv.org/abs/2511.12104</x:v>
      </x:c>
    </x:row>
    <x:row r="436" ht="23" customHeight="1">
      <x:c r="A436" s="2" t="str">
        <x:v>COM</x:v>
      </x:c>
      <x:c r="B436" s="2" t="str">
        <x:v>Comoros (Union of the)</x:v>
      </x:c>
      <x:c r="C436" s="2" t="str">
        <x:v>TEMPO_VOLUME</x:v>
      </x:c>
      <x:c r="D436" s="2" t="n">
        <x:v>2020</x:v>
      </x:c>
      <x:c r="E436" s="2" t="n">
        <x:v>2023</x:v>
      </x:c>
      <x:c r="F436" s="17" t="n">
        <x:v>18035090.40999997</x:v>
      </x:c>
      <x:c r="G436" s="17" t="n">
        <x:v>19978277.467180517</x:v>
      </x:c>
      <x:c r="H436" s="17" t="n">
        <x:v>47134266.27</x:v>
      </x:c>
      <x:c r="I436" s="17" t="n">
        <x:v>51833566.88</x:v>
      </x:c>
      <x:c r="J436" s="2" t="str">
        <x:v>m3</x:v>
      </x:c>
      <x:c r="K436" s="15" t="n">
        <x:f>IF(AND(ISNUMBER(F436),ISNUMBER(G436),F436&gt;0),G436/F436-1,"n.a.")</x:f>
        <x:v>0.10774479157049877</x:v>
      </x:c>
      <x:c r="L436" s="15" t="n">
        <x:f>IF(AND(N436,ISNUMBER(H436),ISNUMBER(I436),H436&gt;0),I436/H436-1,"n.a.")</x:f>
        <x:v>0.09970030260110385</x:v>
      </x:c>
      <x:c r="M436" s="20" t="n">
        <x:f>IF(AND(ISNUMBER(K436),ISNUMBER(L436)),100*(K436-L436),"n.a.")</x:f>
        <x:v>0.8044488969394914</x:v>
      </x:c>
      <x:c r="N436" s="13" t="b">
        <x:v>1</x:v>
      </x:c>
      <x:c r="O436" s="13" t="b">
        <x:v>1</x:v>
      </x:c>
      <x:c r="P436" s="13" t="b">
        <x:v>0</x:v>
      </x:c>
      <x:c r="Q436" s="2" t="str">
        <x:v>none</x:v>
      </x:c>
      <x:c r="R436" s="2" t="str">
        <x:v>none</x:v>
      </x:c>
      <x:c r="S436" s="2" t="str">
        <x:v>nominal Q4 source model estimate</x:v>
      </x:c>
      <x:c r="T436" s="2" t="str">
        <x:v>nominal Q4 source model estimate</x:v>
      </x:c>
      <x:c r="U436" s="2" t="str">
        <x:v>GFA growth versus source physical quantity growth; constant conversion required for equality</x:v>
      </x:c>
      <x:c r="V436" s="2" t="str">
        <x:v>2020 level is the model anchor; 2023 comparator unused by v16 fit but shares conversion/upstream lineage</x:v>
      </x:c>
      <x:c r="W436" s="2" t="str">
        <x:v>https://arxiv.org/abs/2511.12104</x:v>
      </x:c>
    </x:row>
    <x:row r="437" ht="23" customHeight="1">
      <x:c r="A437" s="2" t="str">
        <x:v>CPV</x:v>
      </x:c>
      <x:c r="B437" s="2" t="str">
        <x:v>Cabo Verde (Republic of)</x:v>
      </x:c>
      <x:c r="C437" s="2" t="str">
        <x:v>TEMPO_VOLUME</x:v>
      </x:c>
      <x:c r="D437" s="2" t="n">
        <x:v>2020</x:v>
      </x:c>
      <x:c r="E437" s="2" t="n">
        <x:v>2023</x:v>
      </x:c>
      <x:c r="F437" s="17" t="n">
        <x:v>21833832.63999998</x:v>
      </x:c>
      <x:c r="G437" s="17" t="n">
        <x:v>23551926.182221353</x:v>
      </x:c>
      <x:c r="H437" s="17" t="n">
        <x:v>64544419.93</x:v>
      </x:c>
      <x:c r="I437" s="17" t="n">
        <x:v>64621691.09</x:v>
      </x:c>
      <x:c r="J437" s="2" t="str">
        <x:v>m3</x:v>
      </x:c>
      <x:c r="K437" s="15" t="n">
        <x:f>IF(AND(ISNUMBER(F437),ISNUMBER(G437),F437&gt;0),G437/F437-1,"n.a.")</x:f>
        <x:v>0.07868950772636207</x:v>
      </x:c>
      <x:c r="L437" s="15" t="n">
        <x:f>IF(AND(N437,ISNUMBER(H437),ISNUMBER(I437),H437&gt;0),I437/H437-1,"n.a.")</x:f>
        <x:v>0.0011971780067712157</x:v>
      </x:c>
      <x:c r="M437" s="20" t="n">
        <x:f>IF(AND(ISNUMBER(K437),ISNUMBER(L437)),100*(K437-L437),"n.a.")</x:f>
        <x:v>7.749232971959086</x:v>
      </x:c>
      <x:c r="N437" s="13" t="b">
        <x:v>1</x:v>
      </x:c>
      <x:c r="O437" s="13" t="b">
        <x:v>1</x:v>
      </x:c>
      <x:c r="P437" s="13" t="b">
        <x:v>0</x:v>
      </x:c>
      <x:c r="Q437" s="2" t="str">
        <x:v>none</x:v>
      </x:c>
      <x:c r="R437" s="2" t="str">
        <x:v>none</x:v>
      </x:c>
      <x:c r="S437" s="2" t="str">
        <x:v>nominal Q4 source model estimate</x:v>
      </x:c>
      <x:c r="T437" s="2" t="str">
        <x:v>nominal Q4 source model estimate</x:v>
      </x:c>
      <x:c r="U437" s="2" t="str">
        <x:v>GFA growth versus source physical quantity growth; constant conversion required for equality</x:v>
      </x:c>
      <x:c r="V437" s="2" t="str">
        <x:v>2020 level is the model anchor; 2023 comparator unused by v16 fit but shares conversion/upstream lineage</x:v>
      </x:c>
      <x:c r="W437" s="2" t="str">
        <x:v>https://arxiv.org/abs/2511.12104</x:v>
      </x:c>
    </x:row>
    <x:row r="438" ht="23" customHeight="1">
      <x:c r="A438" s="2" t="str">
        <x:v>CRI</x:v>
      </x:c>
      <x:c r="B438" s="2" t="str">
        <x:v>Costa Rica (Republic of)</x:v>
      </x:c>
      <x:c r="C438" s="2" t="str">
        <x:v>TEMPO_VOLUME</x:v>
      </x:c>
      <x:c r="D438" s="2" t="n">
        <x:v>2020</x:v>
      </x:c>
      <x:c r="E438" s="2" t="n">
        <x:v>2023</x:v>
      </x:c>
      <x:c r="F438" s="17" t="n">
        <x:v>284786315.38999987</x:v>
      </x:c>
      <x:c r="G438" s="17" t="n">
        <x:v>302776512.56543505</x:v>
      </x:c>
      <x:c r="H438" s="17" t="n">
        <x:v>753150522.26</x:v>
      </x:c>
      <x:c r="I438" s="17" t="n">
        <x:v>783811507.82</x:v>
      </x:c>
      <x:c r="J438" s="2" t="str">
        <x:v>m3</x:v>
      </x:c>
      <x:c r="K438" s="15" t="n">
        <x:f>IF(AND(ISNUMBER(F438),ISNUMBER(G438),F438&gt;0),G438/F438-1,"n.a.")</x:f>
        <x:v>0.06317086251422777</x:v>
      </x:c>
      <x:c r="L438" s="15" t="n">
        <x:f>IF(AND(N438,ISNUMBER(H438),ISNUMBER(I438),H438&gt;0),I438/H438-1,"n.a.")</x:f>
        <x:v>0.04071030246117968</x:v>
      </x:c>
      <x:c r="M438" s="20" t="n">
        <x:f>IF(AND(ISNUMBER(K438),ISNUMBER(L438)),100*(K438-L438),"n.a.")</x:f>
        <x:v>2.2460560053048084</x:v>
      </x:c>
      <x:c r="N438" s="13" t="b">
        <x:v>1</x:v>
      </x:c>
      <x:c r="O438" s="13" t="b">
        <x:v>1</x:v>
      </x:c>
      <x:c r="P438" s="13" t="b">
        <x:v>0</x:v>
      </x:c>
      <x:c r="Q438" s="2" t="str">
        <x:v>none</x:v>
      </x:c>
      <x:c r="R438" s="2" t="str">
        <x:v>none</x:v>
      </x:c>
      <x:c r="S438" s="2" t="str">
        <x:v>nominal Q4 source model estimate</x:v>
      </x:c>
      <x:c r="T438" s="2" t="str">
        <x:v>nominal Q4 source model estimate</x:v>
      </x:c>
      <x:c r="U438" s="2" t="str">
        <x:v>GFA growth versus source physical quantity growth; constant conversion required for equality</x:v>
      </x:c>
      <x:c r="V438" s="2" t="str">
        <x:v>2020 level is the model anchor; 2023 comparator unused by v16 fit but shares conversion/upstream lineage</x:v>
      </x:c>
      <x:c r="W438" s="2" t="str">
        <x:v>https://arxiv.org/abs/2511.12104</x:v>
      </x:c>
    </x:row>
    <x:row r="439" ht="23" customHeight="1">
      <x:c r="A439" s="2" t="str">
        <x:v>CUB</x:v>
      </x:c>
      <x:c r="B439" s="2" t="str">
        <x:v>Cuba (Republic of)</x:v>
      </x:c>
      <x:c r="C439" s="2" t="str">
        <x:v>TEMPO_VOLUME</x:v>
      </x:c>
      <x:c r="D439" s="2" t="n">
        <x:v>2020</x:v>
      </x:c>
      <x:c r="E439" s="2" t="n">
        <x:v>2023</x:v>
      </x:c>
      <x:c r="F439" s="17" t="n">
        <x:v>360088927.4199998</x:v>
      </x:c>
      <x:c r="G439" s="17" t="n">
        <x:v>391491907.2637088</x:v>
      </x:c>
      <x:c r="H439" s="17" t="n">
        <x:v>934386713.42</x:v>
      </x:c>
      <x:c r="I439" s="17" t="n">
        <x:v>932515651.89</x:v>
      </x:c>
      <x:c r="J439" s="2" t="str">
        <x:v>m3</x:v>
      </x:c>
      <x:c r="K439" s="15" t="n">
        <x:f>IF(AND(ISNUMBER(F439),ISNUMBER(G439),F439&gt;0),G439/F439-1,"n.a.")</x:f>
        <x:v>0.08720895715596733</x:v>
      </x:c>
      <x:c r="L439" s="15" t="n">
        <x:f>IF(AND(N439,ISNUMBER(H439),ISNUMBER(I439),H439&gt;0),I439/H439-1,"n.a.")</x:f>
        <x:v>-0.002002448775359378</x:v>
      </x:c>
      <x:c r="M439" s="20" t="n">
        <x:f>IF(AND(ISNUMBER(K439),ISNUMBER(L439)),100*(K439-L439),"n.a.")</x:f>
        <x:v>8.92114059313267</x:v>
      </x:c>
      <x:c r="N439" s="13" t="b">
        <x:v>1</x:v>
      </x:c>
      <x:c r="O439" s="13" t="b">
        <x:v>1</x:v>
      </x:c>
      <x:c r="P439" s="13" t="b">
        <x:v>0</x:v>
      </x:c>
      <x:c r="Q439" s="2" t="str">
        <x:v>none</x:v>
      </x:c>
      <x:c r="R439" s="2" t="str">
        <x:v>none</x:v>
      </x:c>
      <x:c r="S439" s="2" t="str">
        <x:v>nominal Q4 source model estimate</x:v>
      </x:c>
      <x:c r="T439" s="2" t="str">
        <x:v>nominal Q4 source model estimate</x:v>
      </x:c>
      <x:c r="U439" s="2" t="str">
        <x:v>GFA growth versus source physical quantity growth; constant conversion required for equality</x:v>
      </x:c>
      <x:c r="V439" s="2" t="str">
        <x:v>2020 level is the model anchor; 2023 comparator unused by v16 fit but shares conversion/upstream lineage</x:v>
      </x:c>
      <x:c r="W439" s="2" t="str">
        <x:v>https://arxiv.org/abs/2511.12104</x:v>
      </x:c>
    </x:row>
    <x:row r="440" ht="23" customHeight="1">
      <x:c r="A440" s="2" t="str">
        <x:v>CYP</x:v>
      </x:c>
      <x:c r="B440" s="2" t="str">
        <x:v>Cyprus (Republic of)</x:v>
      </x:c>
      <x:c r="C440" s="2" t="str">
        <x:v>TEMPO_VOLUME</x:v>
      </x:c>
      <x:c r="D440" s="2" t="n">
        <x:v>2020</x:v>
      </x:c>
      <x:c r="E440" s="2" t="n">
        <x:v>2023</x:v>
      </x:c>
      <x:c r="F440" s="17" t="n">
        <x:v>124124771.75000016</x:v>
      </x:c>
      <x:c r="G440" s="17" t="n">
        <x:v>132644927.09533326</x:v>
      </x:c>
      <x:c r="H440" s="17" t="n">
        <x:v>354750518.03</x:v>
      </x:c>
      <x:c r="I440" s="17" t="n">
        <x:v>363982991.6</x:v>
      </x:c>
      <x:c r="J440" s="2" t="str">
        <x:v>m3</x:v>
      </x:c>
      <x:c r="K440" s="15" t="n">
        <x:f>IF(AND(ISNUMBER(F440),ISNUMBER(G440),F440&gt;0),G440/F440-1,"n.a.")</x:f>
        <x:v>0.06864186113061743</x:v>
      </x:c>
      <x:c r="L440" s="15" t="n">
        <x:f>IF(AND(N440,ISNUMBER(H440),ISNUMBER(I440),H440&gt;0),I440/H440-1,"n.a.")</x:f>
        <x:v>0.026025257471842034</x:v>
      </x:c>
      <x:c r="M440" s="20" t="n">
        <x:f>IF(AND(ISNUMBER(K440),ISNUMBER(L440)),100*(K440-L440),"n.a.")</x:f>
        <x:v>4.26166036587754</x:v>
      </x:c>
      <x:c r="N440" s="13" t="b">
        <x:v>1</x:v>
      </x:c>
      <x:c r="O440" s="13" t="b">
        <x:v>1</x:v>
      </x:c>
      <x:c r="P440" s="13" t="b">
        <x:v>0</x:v>
      </x:c>
      <x:c r="Q440" s="2" t="str">
        <x:v>none</x:v>
      </x:c>
      <x:c r="R440" s="2" t="str">
        <x:v>none</x:v>
      </x:c>
      <x:c r="S440" s="2" t="str">
        <x:v>nominal Q4 source model estimate</x:v>
      </x:c>
      <x:c r="T440" s="2" t="str">
        <x:v>nominal Q4 source model estimate</x:v>
      </x:c>
      <x:c r="U440" s="2" t="str">
        <x:v>GFA growth versus source physical quantity growth; constant conversion required for equality</x:v>
      </x:c>
      <x:c r="V440" s="2" t="str">
        <x:v>2020 level is the model anchor; 2023 comparator unused by v16 fit but shares conversion/upstream lineage</x:v>
      </x:c>
      <x:c r="W440" s="2" t="str">
        <x:v>https://arxiv.org/abs/2511.12104</x:v>
      </x:c>
    </x:row>
    <x:row r="441" ht="23" customHeight="1">
      <x:c r="A441" s="2" t="str">
        <x:v>CZE</x:v>
      </x:c>
      <x:c r="B441" s="2" t="str">
        <x:v>Czechia (Czech Republic)</x:v>
      </x:c>
      <x:c r="C441" s="2" t="str">
        <x:v>TEMPO_VOLUME</x:v>
      </x:c>
      <x:c r="D441" s="2" t="n">
        <x:v>2020</x:v>
      </x:c>
      <x:c r="E441" s="2" t="n">
        <x:v>2023</x:v>
      </x:c>
      <x:c r="F441" s="17" t="n">
        <x:v>853858176.0500003</x:v>
      </x:c>
      <x:c r="G441" s="17" t="n">
        <x:v>925269232.9123237</x:v>
      </x:c>
      <x:c r="H441" s="17" t="n">
        <x:v>2923786140.39</x:v>
      </x:c>
      <x:c r="I441" s="17" t="n">
        <x:v>3141865852.22</x:v>
      </x:c>
      <x:c r="J441" s="2" t="str">
        <x:v>m3</x:v>
      </x:c>
      <x:c r="K441" s="15" t="n">
        <x:f>IF(AND(ISNUMBER(F441),ISNUMBER(G441),F441&gt;0),G441/F441-1,"n.a.")</x:f>
        <x:v>0.08363339353693999</x:v>
      </x:c>
      <x:c r="L441" s="15" t="n">
        <x:f>IF(AND(N441,ISNUMBER(H441),ISNUMBER(I441),H441&gt;0),I441/H441-1,"n.a.")</x:f>
        <x:v>0.07458812011500626</x:v>
      </x:c>
      <x:c r="M441" s="20" t="n">
        <x:f>IF(AND(ISNUMBER(K441),ISNUMBER(L441)),100*(K441-L441),"n.a.")</x:f>
        <x:v>0.904527342193373</x:v>
      </x:c>
      <x:c r="N441" s="13" t="b">
        <x:v>1</x:v>
      </x:c>
      <x:c r="O441" s="13" t="b">
        <x:v>1</x:v>
      </x:c>
      <x:c r="P441" s="13" t="b">
        <x:v>0</x:v>
      </x:c>
      <x:c r="Q441" s="2" t="str">
        <x:v>none</x:v>
      </x:c>
      <x:c r="R441" s="2" t="str">
        <x:v>none</x:v>
      </x:c>
      <x:c r="S441" s="2" t="str">
        <x:v>nominal Q4 source model estimate</x:v>
      </x:c>
      <x:c r="T441" s="2" t="str">
        <x:v>nominal Q4 source model estimate</x:v>
      </x:c>
      <x:c r="U441" s="2" t="str">
        <x:v>GFA growth versus source physical quantity growth; constant conversion required for equality</x:v>
      </x:c>
      <x:c r="V441" s="2" t="str">
        <x:v>2020 level is the model anchor; 2023 comparator unused by v16 fit but shares conversion/upstream lineage</x:v>
      </x:c>
      <x:c r="W441" s="2" t="str">
        <x:v>https://arxiv.org/abs/2511.12104</x:v>
      </x:c>
    </x:row>
    <x:row r="442" ht="23" customHeight="1">
      <x:c r="A442" s="2" t="str">
        <x:v>DEU</x:v>
      </x:c>
      <x:c r="B442" s="2" t="str">
        <x:v>Germany (Federal Republic of)</x:v>
      </x:c>
      <x:c r="C442" s="2" t="str">
        <x:v>TEMPO_VOLUME</x:v>
      </x:c>
      <x:c r="D442" s="2" t="n">
        <x:v>2020</x:v>
      </x:c>
      <x:c r="E442" s="2" t="n">
        <x:v>2023</x:v>
      </x:c>
      <x:c r="F442" s="17" t="n">
        <x:v>6611215465.220001</x:v>
      </x:c>
      <x:c r="G442" s="17" t="n">
        <x:v>7106088633.453205</x:v>
      </x:c>
      <x:c r="H442" s="17" t="n">
        <x:v>23042163121.21</x:v>
      </x:c>
      <x:c r="I442" s="17" t="n">
        <x:v>24113006452.61</x:v>
      </x:c>
      <x:c r="J442" s="2" t="str">
        <x:v>m3</x:v>
      </x:c>
      <x:c r="K442" s="15" t="n">
        <x:f>IF(AND(ISNUMBER(F442),ISNUMBER(G442),F442&gt;0),G442/F442-1,"n.a.")</x:f>
        <x:v>0.0748535834048385</x:v>
      </x:c>
      <x:c r="L442" s="15" t="n">
        <x:f>IF(AND(N442,ISNUMBER(H442),ISNUMBER(I442),H442&gt;0),I442/H442-1,"n.a.")</x:f>
        <x:v>0.0464732119882576</x:v>
      </x:c>
      <x:c r="M442" s="20" t="n">
        <x:f>IF(AND(ISNUMBER(K442),ISNUMBER(L442)),100*(K442-L442),"n.a.")</x:f>
        <x:v>2.8380371416580896</x:v>
      </x:c>
      <x:c r="N442" s="13" t="b">
        <x:v>1</x:v>
      </x:c>
      <x:c r="O442" s="13" t="b">
        <x:v>1</x:v>
      </x:c>
      <x:c r="P442" s="13" t="b">
        <x:v>0</x:v>
      </x:c>
      <x:c r="Q442" s="2" t="str">
        <x:v>none</x:v>
      </x:c>
      <x:c r="R442" s="2" t="str">
        <x:v>none</x:v>
      </x:c>
      <x:c r="S442" s="2" t="str">
        <x:v>nominal Q4 source model estimate</x:v>
      </x:c>
      <x:c r="T442" s="2" t="str">
        <x:v>nominal Q4 source model estimate</x:v>
      </x:c>
      <x:c r="U442" s="2" t="str">
        <x:v>GFA growth versus source physical quantity growth; constant conversion required for equality</x:v>
      </x:c>
      <x:c r="V442" s="2" t="str">
        <x:v>2020 level is the model anchor; 2023 comparator unused by v16 fit but shares conversion/upstream lineage</x:v>
      </x:c>
      <x:c r="W442" s="2" t="str">
        <x:v>https://arxiv.org/abs/2511.12104</x:v>
      </x:c>
    </x:row>
    <x:row r="443" ht="23" customHeight="1">
      <x:c r="A443" s="2" t="str">
        <x:v>DJI</x:v>
      </x:c>
      <x:c r="B443" s="2" t="str">
        <x:v>Djibouti (Republic of)</x:v>
      </x:c>
      <x:c r="C443" s="2" t="str">
        <x:v>TEMPO_VOLUME</x:v>
      </x:c>
      <x:c r="D443" s="2" t="n">
        <x:v>2020</x:v>
      </x:c>
      <x:c r="E443" s="2" t="n">
        <x:v>2023</x:v>
      </x:c>
      <x:c r="F443" s="17" t="n">
        <x:v>12588327.629999984</x:v>
      </x:c>
      <x:c r="G443" s="17" t="n">
        <x:v>14536951.663955854</x:v>
      </x:c>
      <x:c r="H443" s="17" t="n">
        <x:v>37085097.63</x:v>
      </x:c>
      <x:c r="I443" s="17" t="n">
        <x:v>39576043.75</x:v>
      </x:c>
      <x:c r="J443" s="2" t="str">
        <x:v>m3</x:v>
      </x:c>
      <x:c r="K443" s="15" t="n">
        <x:f>IF(AND(ISNUMBER(F443),ISNUMBER(G443),F443&gt;0),G443/F443-1,"n.a.")</x:f>
        <x:v>0.154796100898422</x:v>
      </x:c>
      <x:c r="L443" s="15" t="n">
        <x:f>IF(AND(N443,ISNUMBER(H443),ISNUMBER(I443),H443&gt;0),I443/H443-1,"n.a.")</x:f>
        <x:v>0.06716838512472845</x:v>
      </x:c>
      <x:c r="M443" s="20" t="n">
        <x:f>IF(AND(ISNUMBER(K443),ISNUMBER(L443)),100*(K443-L443),"n.a.")</x:f>
        <x:v>8.762771577369355</x:v>
      </x:c>
      <x:c r="N443" s="13" t="b">
        <x:v>1</x:v>
      </x:c>
      <x:c r="O443" s="13" t="b">
        <x:v>1</x:v>
      </x:c>
      <x:c r="P443" s="13" t="b">
        <x:v>0</x:v>
      </x:c>
      <x:c r="Q443" s="2" t="str">
        <x:v>none</x:v>
      </x:c>
      <x:c r="R443" s="2" t="str">
        <x:v>none</x:v>
      </x:c>
      <x:c r="S443" s="2" t="str">
        <x:v>nominal Q4 source model estimate</x:v>
      </x:c>
      <x:c r="T443" s="2" t="str">
        <x:v>nominal Q4 source model estimate</x:v>
      </x:c>
      <x:c r="U443" s="2" t="str">
        <x:v>GFA growth versus source physical quantity growth; constant conversion required for equality</x:v>
      </x:c>
      <x:c r="V443" s="2" t="str">
        <x:v>2020 level is the model anchor; 2023 comparator unused by v16 fit but shares conversion/upstream lineage</x:v>
      </x:c>
      <x:c r="W443" s="2" t="str">
        <x:v>https://arxiv.org/abs/2511.12104</x:v>
      </x:c>
    </x:row>
    <x:row r="444" ht="23" customHeight="1">
      <x:c r="A444" s="2" t="str">
        <x:v>DMA</x:v>
      </x:c>
      <x:c r="B444" s="2" t="str">
        <x:v>Dominica (Commonwealth of)</x:v>
      </x:c>
      <x:c r="C444" s="2" t="str">
        <x:v>TEMPO_VOLUME</x:v>
      </x:c>
      <x:c r="D444" s="2" t="n">
        <x:v>2020</x:v>
      </x:c>
      <x:c r="E444" s="2" t="n">
        <x:v>2023</x:v>
      </x:c>
      <x:c r="F444" s="17" t="n">
        <x:v>3947192.6899999985</x:v>
      </x:c>
      <x:c r="G444" s="17" t="n">
        <x:v>4019366.182434599</x:v>
      </x:c>
      <x:c r="H444" s="17" t="n">
        <x:v>9453298.65</x:v>
      </x:c>
      <x:c r="I444" s="17" t="n">
        <x:v>9534390.54</x:v>
      </x:c>
      <x:c r="J444" s="2" t="str">
        <x:v>m3</x:v>
      </x:c>
      <x:c r="K444" s="15" t="n">
        <x:f>IF(AND(ISNUMBER(F444),ISNUMBER(G444),F444&gt;0),G444/F444-1,"n.a.")</x:f>
        <x:v>0.01828476542770452</x:v>
      </x:c>
      <x:c r="L444" s="15" t="n">
        <x:f>IF(AND(N444,ISNUMBER(H444),ISNUMBER(I444),H444&gt;0),I444/H444-1,"n.a.")</x:f>
        <x:v>0.008578158059144636</x:v>
      </x:c>
      <x:c r="M444" s="20" t="n">
        <x:f>IF(AND(ISNUMBER(K444),ISNUMBER(L444)),100*(K444-L444),"n.a.")</x:f>
        <x:v>0.9706607368559883</x:v>
      </x:c>
      <x:c r="N444" s="13" t="b">
        <x:v>1</x:v>
      </x:c>
      <x:c r="O444" s="13" t="b">
        <x:v>1</x:v>
      </x:c>
      <x:c r="P444" s="13" t="b">
        <x:v>0</x:v>
      </x:c>
      <x:c r="Q444" s="2" t="str">
        <x:v>none</x:v>
      </x:c>
      <x:c r="R444" s="2" t="str">
        <x:v>none</x:v>
      </x:c>
      <x:c r="S444" s="2" t="str">
        <x:v>nominal Q4 source model estimate</x:v>
      </x:c>
      <x:c r="T444" s="2" t="str">
        <x:v>nominal Q4 source model estimate</x:v>
      </x:c>
      <x:c r="U444" s="2" t="str">
        <x:v>GFA growth versus source physical quantity growth; constant conversion required for equality</x:v>
      </x:c>
      <x:c r="V444" s="2" t="str">
        <x:v>2020 level is the model anchor; 2023 comparator unused by v16 fit but shares conversion/upstream lineage</x:v>
      </x:c>
      <x:c r="W444" s="2" t="str">
        <x:v>https://arxiv.org/abs/2511.12104</x:v>
      </x:c>
    </x:row>
    <x:row r="445" ht="23" customHeight="1">
      <x:c r="A445" s="2" t="str">
        <x:v>DNK</x:v>
      </x:c>
      <x:c r="B445" s="2" t="str">
        <x:v>Denmark (Kingdom of)</x:v>
      </x:c>
      <x:c r="C445" s="2" t="str">
        <x:v>TEMPO_VOLUME</x:v>
      </x:c>
      <x:c r="D445" s="2" t="n">
        <x:v>2020</x:v>
      </x:c>
      <x:c r="E445" s="2" t="n">
        <x:v>2023</x:v>
      </x:c>
      <x:c r="F445" s="17" t="n">
        <x:v>665059716.8900009</x:v>
      </x:c>
      <x:c r="G445" s="17" t="n">
        <x:v>719708341.7903874</x:v>
      </x:c>
      <x:c r="H445" s="17" t="n">
        <x:v>2223763225.87</x:v>
      </x:c>
      <x:c r="I445" s="17" t="n">
        <x:v>2381908612.11</x:v>
      </x:c>
      <x:c r="J445" s="2" t="str">
        <x:v>m3</x:v>
      </x:c>
      <x:c r="K445" s="15" t="n">
        <x:f>IF(AND(ISNUMBER(F445),ISNUMBER(G445),F445&gt;0),G445/F445-1,"n.a.")</x:f>
        <x:v>0.0821710043662518</x:v>
      </x:c>
      <x:c r="L445" s="15" t="n">
        <x:f>IF(AND(N445,ISNUMBER(H445),ISNUMBER(I445),H445&gt;0),I445/H445-1,"n.a.")</x:f>
        <x:v>0.07111610822601366</x:v>
      </x:c>
      <x:c r="M445" s="20" t="n">
        <x:f>IF(AND(ISNUMBER(K445),ISNUMBER(L445)),100*(K445-L445),"n.a.")</x:f>
        <x:v>1.1054896140238135</x:v>
      </x:c>
      <x:c r="N445" s="13" t="b">
        <x:v>1</x:v>
      </x:c>
      <x:c r="O445" s="13" t="b">
        <x:v>1</x:v>
      </x:c>
      <x:c r="P445" s="13" t="b">
        <x:v>0</x:v>
      </x:c>
      <x:c r="Q445" s="2" t="str">
        <x:v>none</x:v>
      </x:c>
      <x:c r="R445" s="2" t="str">
        <x:v>none</x:v>
      </x:c>
      <x:c r="S445" s="2" t="str">
        <x:v>nominal Q4 source model estimate</x:v>
      </x:c>
      <x:c r="T445" s="2" t="str">
        <x:v>nominal Q4 source model estimate</x:v>
      </x:c>
      <x:c r="U445" s="2" t="str">
        <x:v>GFA growth versus source physical quantity growth; constant conversion required for equality</x:v>
      </x:c>
      <x:c r="V445" s="2" t="str">
        <x:v>2020 level is the model anchor; 2023 comparator unused by v16 fit but shares conversion/upstream lineage</x:v>
      </x:c>
      <x:c r="W445" s="2" t="str">
        <x:v>https://arxiv.org/abs/2511.12104</x:v>
      </x:c>
    </x:row>
    <x:row r="446" ht="23" customHeight="1">
      <x:c r="A446" s="2" t="str">
        <x:v>DOM</x:v>
      </x:c>
      <x:c r="B446" s="2" t="str">
        <x:v>Dominican Republic</x:v>
      </x:c>
      <x:c r="C446" s="2" t="str">
        <x:v>TEMPO_VOLUME</x:v>
      </x:c>
      <x:c r="D446" s="2" t="n">
        <x:v>2020</x:v>
      </x:c>
      <x:c r="E446" s="2" t="n">
        <x:v>2023</x:v>
      </x:c>
      <x:c r="F446" s="17" t="n">
        <x:v>336248050.8900004</x:v>
      </x:c>
      <x:c r="G446" s="17" t="n">
        <x:v>362266793.65343577</x:v>
      </x:c>
      <x:c r="H446" s="17" t="n">
        <x:v>900377033.27</x:v>
      </x:c>
      <x:c r="I446" s="17" t="n">
        <x:v>953292992.27</x:v>
      </x:c>
      <x:c r="J446" s="2" t="str">
        <x:v>m3</x:v>
      </x:c>
      <x:c r="K446" s="15" t="n">
        <x:f>IF(AND(ISNUMBER(F446),ISNUMBER(G446),F446&gt;0),G446/F446-1,"n.a.")</x:f>
        <x:v>0.07737960917414233</x:v>
      </x:c>
      <x:c r="L446" s="15" t="n">
        <x:f>IF(AND(N446,ISNUMBER(H446),ISNUMBER(I446),H446&gt;0),I446/H446-1,"n.a.")</x:f>
        <x:v>0.05877088935489527</x:v>
      </x:c>
      <x:c r="M446" s="20" t="n">
        <x:f>IF(AND(ISNUMBER(K446),ISNUMBER(L446)),100*(K446-L446),"n.a.")</x:f>
        <x:v>1.8608719819247055</x:v>
      </x:c>
      <x:c r="N446" s="13" t="b">
        <x:v>1</x:v>
      </x:c>
      <x:c r="O446" s="13" t="b">
        <x:v>1</x:v>
      </x:c>
      <x:c r="P446" s="13" t="b">
        <x:v>0</x:v>
      </x:c>
      <x:c r="Q446" s="2" t="str">
        <x:v>none</x:v>
      </x:c>
      <x:c r="R446" s="2" t="str">
        <x:v>none</x:v>
      </x:c>
      <x:c r="S446" s="2" t="str">
        <x:v>nominal Q4 source model estimate</x:v>
      </x:c>
      <x:c r="T446" s="2" t="str">
        <x:v>nominal Q4 source model estimate</x:v>
      </x:c>
      <x:c r="U446" s="2" t="str">
        <x:v>GFA growth versus source physical quantity growth; constant conversion required for equality</x:v>
      </x:c>
      <x:c r="V446" s="2" t="str">
        <x:v>2020 level is the model anchor; 2023 comparator unused by v16 fit but shares conversion/upstream lineage</x:v>
      </x:c>
      <x:c r="W446" s="2" t="str">
        <x:v>https://arxiv.org/abs/2511.12104</x:v>
      </x:c>
    </x:row>
    <x:row r="447" ht="23" customHeight="1">
      <x:c r="A447" s="2" t="str">
        <x:v>DZA</x:v>
      </x:c>
      <x:c r="B447" s="2" t="str">
        <x:v>Algeria (People's Democratic Republic of)</x:v>
      </x:c>
      <x:c r="C447" s="2" t="str">
        <x:v>TEMPO_VOLUME</x:v>
      </x:c>
      <x:c r="D447" s="2" t="n">
        <x:v>2020</x:v>
      </x:c>
      <x:c r="E447" s="2" t="n">
        <x:v>2023</x:v>
      </x:c>
      <x:c r="F447" s="17" t="n">
        <x:v>1607752786.8799975</x:v>
      </x:c>
      <x:c r="G447" s="17" t="n">
        <x:v>1753398705.6282687</x:v>
      </x:c>
      <x:c r="H447" s="17" t="n">
        <x:v>4829692175.3</x:v>
      </x:c>
      <x:c r="I447" s="17" t="n">
        <x:v>5077973947.91</x:v>
      </x:c>
      <x:c r="J447" s="2" t="str">
        <x:v>m3</x:v>
      </x:c>
      <x:c r="K447" s="15" t="n">
        <x:f>IF(AND(ISNUMBER(F447),ISNUMBER(G447),F447&gt;0),G447/F447-1,"n.a.")</x:f>
        <x:v>0.09058974733977077</x:v>
      </x:c>
      <x:c r="L447" s="15" t="n">
        <x:f>IF(AND(N447,ISNUMBER(H447),ISNUMBER(I447),H447&gt;0),I447/H447-1,"n.a.")</x:f>
        <x:v>0.051407369993425656</x:v>
      </x:c>
      <x:c r="M447" s="20" t="n">
        <x:f>IF(AND(ISNUMBER(K447),ISNUMBER(L447)),100*(K447-L447),"n.a.")</x:f>
        <x:v>3.918237734634511</x:v>
      </x:c>
      <x:c r="N447" s="13" t="b">
        <x:v>1</x:v>
      </x:c>
      <x:c r="O447" s="13" t="b">
        <x:v>1</x:v>
      </x:c>
      <x:c r="P447" s="13" t="b">
        <x:v>0</x:v>
      </x:c>
      <x:c r="Q447" s="2" t="str">
        <x:v>none</x:v>
      </x:c>
      <x:c r="R447" s="2" t="str">
        <x:v>none</x:v>
      </x:c>
      <x:c r="S447" s="2" t="str">
        <x:v>nominal Q4 source model estimate</x:v>
      </x:c>
      <x:c r="T447" s="2" t="str">
        <x:v>nominal Q4 source model estimate</x:v>
      </x:c>
      <x:c r="U447" s="2" t="str">
        <x:v>GFA growth versus source physical quantity growth; constant conversion required for equality</x:v>
      </x:c>
      <x:c r="V447" s="2" t="str">
        <x:v>2020 level is the model anchor; 2023 comparator unused by v16 fit but shares conversion/upstream lineage</x:v>
      </x:c>
      <x:c r="W447" s="2" t="str">
        <x:v>https://arxiv.org/abs/2511.12104</x:v>
      </x:c>
    </x:row>
    <x:row r="448" ht="23" customHeight="1">
      <x:c r="A448" s="2" t="str">
        <x:v>ECU</x:v>
      </x:c>
      <x:c r="B448" s="2" t="str">
        <x:v>Ecuador (Republic of)</x:v>
      </x:c>
      <x:c r="C448" s="2" t="str">
        <x:v>TEMPO_VOLUME</x:v>
      </x:c>
      <x:c r="D448" s="2" t="n">
        <x:v>2020</x:v>
      </x:c>
      <x:c r="E448" s="2" t="n">
        <x:v>2023</x:v>
      </x:c>
      <x:c r="F448" s="17" t="n">
        <x:v>734538215.0500003</x:v>
      </x:c>
      <x:c r="G448" s="17" t="n">
        <x:v>794619772.2105788</x:v>
      </x:c>
      <x:c r="H448" s="17" t="n">
        <x:v>1992145415.03</x:v>
      </x:c>
      <x:c r="I448" s="17" t="n">
        <x:v>2180723531.61</x:v>
      </x:c>
      <x:c r="J448" s="2" t="str">
        <x:v>m3</x:v>
      </x:c>
      <x:c r="K448" s="15" t="n">
        <x:f>IF(AND(ISNUMBER(F448),ISNUMBER(G448),F448&gt;0),G448/F448-1,"n.a.")</x:f>
        <x:v>0.08179500525576966</x:v>
      </x:c>
      <x:c r="L448" s="15" t="n">
        <x:f>IF(AND(N448,ISNUMBER(H448),ISNUMBER(I448),H448&gt;0),I448/H448-1,"n.a.")</x:f>
        <x:v>0.09466081901313439</x:v>
      </x:c>
      <x:c r="M448" s="20" t="n">
        <x:f>IF(AND(ISNUMBER(K448),ISNUMBER(L448)),100*(K448-L448),"n.a.")</x:f>
        <x:v>-1.286581375736473</x:v>
      </x:c>
      <x:c r="N448" s="13" t="b">
        <x:v>1</x:v>
      </x:c>
      <x:c r="O448" s="13" t="b">
        <x:v>1</x:v>
      </x:c>
      <x:c r="P448" s="13" t="b">
        <x:v>0</x:v>
      </x:c>
      <x:c r="Q448" s="2" t="str">
        <x:v>none</x:v>
      </x:c>
      <x:c r="R448" s="2" t="str">
        <x:v>none</x:v>
      </x:c>
      <x:c r="S448" s="2" t="str">
        <x:v>nominal Q4 source model estimate</x:v>
      </x:c>
      <x:c r="T448" s="2" t="str">
        <x:v>nominal Q4 source model estimate</x:v>
      </x:c>
      <x:c r="U448" s="2" t="str">
        <x:v>GFA growth versus source physical quantity growth; constant conversion required for equality</x:v>
      </x:c>
      <x:c r="V448" s="2" t="str">
        <x:v>2020 level is the model anchor; 2023 comparator unused by v16 fit but shares conversion/upstream lineage</x:v>
      </x:c>
      <x:c r="W448" s="2" t="str">
        <x:v>https://arxiv.org/abs/2511.12104</x:v>
      </x:c>
    </x:row>
    <x:row r="449" ht="23" customHeight="1">
      <x:c r="A449" s="2" t="str">
        <x:v>EGY</x:v>
      </x:c>
      <x:c r="B449" s="2" t="str">
        <x:v>Egypt (Arab Republic of)</x:v>
      </x:c>
      <x:c r="C449" s="2" t="str">
        <x:v>TEMPO_VOLUME</x:v>
      </x:c>
      <x:c r="D449" s="2" t="n">
        <x:v>2020</x:v>
      </x:c>
      <x:c r="E449" s="2" t="n">
        <x:v>2023</x:v>
      </x:c>
      <x:c r="F449" s="17" t="n">
        <x:v>2954306535.6</x:v>
      </x:c>
      <x:c r="G449" s="17" t="n">
        <x:v>3297128281.7812448</x:v>
      </x:c>
      <x:c r="H449" s="17" t="n">
        <x:v>10038549346.27</x:v>
      </x:c>
      <x:c r="I449" s="17" t="n">
        <x:v>10541641866.49</x:v>
      </x:c>
      <x:c r="J449" s="2" t="str">
        <x:v>m3</x:v>
      </x:c>
      <x:c r="K449" s="15" t="n">
        <x:f>IF(AND(ISNUMBER(F449),ISNUMBER(G449),F449&gt;0),G449/F449-1,"n.a.")</x:f>
        <x:v>0.11604135930045589</x:v>
      </x:c>
      <x:c r="L449" s="15" t="n">
        <x:f>IF(AND(N449,ISNUMBER(H449),ISNUMBER(I449),H449&gt;0),I449/H449-1,"n.a.")</x:f>
        <x:v>0.05011605789505147</x:v>
      </x:c>
      <x:c r="M449" s="20" t="n">
        <x:f>IF(AND(ISNUMBER(K449),ISNUMBER(L449)),100*(K449-L449),"n.a.")</x:f>
        <x:v>6.592530140540442</x:v>
      </x:c>
      <x:c r="N449" s="13" t="b">
        <x:v>1</x:v>
      </x:c>
      <x:c r="O449" s="13" t="b">
        <x:v>1</x:v>
      </x:c>
      <x:c r="P449" s="13" t="b">
        <x:v>0</x:v>
      </x:c>
      <x:c r="Q449" s="2" t="str">
        <x:v>none</x:v>
      </x:c>
      <x:c r="R449" s="2" t="str">
        <x:v>none</x:v>
      </x:c>
      <x:c r="S449" s="2" t="str">
        <x:v>nominal Q4 source model estimate</x:v>
      </x:c>
      <x:c r="T449" s="2" t="str">
        <x:v>nominal Q4 source model estimate</x:v>
      </x:c>
      <x:c r="U449" s="2" t="str">
        <x:v>GFA growth versus source physical quantity growth; constant conversion required for equality</x:v>
      </x:c>
      <x:c r="V449" s="2" t="str">
        <x:v>2020 level is the model anchor; 2023 comparator unused by v16 fit but shares conversion/upstream lineage</x:v>
      </x:c>
      <x:c r="W449" s="2" t="str">
        <x:v>https://arxiv.org/abs/2511.12104</x:v>
      </x:c>
    </x:row>
    <x:row r="450" ht="23" customHeight="1">
      <x:c r="A450" s="2" t="str">
        <x:v>ERI</x:v>
      </x:c>
      <x:c r="B450" s="2" t="str">
        <x:v>Eritrea (State of)</x:v>
      </x:c>
      <x:c r="C450" s="2" t="str">
        <x:v>TEMPO_VOLUME</x:v>
      </x:c>
      <x:c r="D450" s="2" t="n">
        <x:v>2020</x:v>
      </x:c>
      <x:c r="E450" s="2" t="n">
        <x:v>2023</x:v>
      </x:c>
      <x:c r="F450" s="17" t="n">
        <x:v>45298098.329999976</x:v>
      </x:c>
      <x:c r="G450" s="17" t="n">
        <x:v>50844198.12792341</x:v>
      </x:c>
      <x:c r="H450" s="17" t="n">
        <x:v>98121664.95</x:v>
      </x:c>
      <x:c r="I450" s="17" t="n">
        <x:v>99978133.58</x:v>
      </x:c>
      <x:c r="J450" s="2" t="str">
        <x:v>m3</x:v>
      </x:c>
      <x:c r="K450" s="15" t="n">
        <x:f>IF(AND(ISNUMBER(F450),ISNUMBER(G450),F450&gt;0),G450/F450-1,"n.a.")</x:f>
        <x:v>0.12243559889688282</x:v>
      </x:c>
      <x:c r="L450" s="15" t="n">
        <x:f>IF(AND(N450,ISNUMBER(H450),ISNUMBER(I450),H450&gt;0),I450/H450-1,"n.a.")</x:f>
        <x:v>0.018920068579614924</x:v>
      </x:c>
      <x:c r="M450" s="20" t="n">
        <x:f>IF(AND(ISNUMBER(K450),ISNUMBER(L450)),100*(K450-L450),"n.a.")</x:f>
        <x:v>10.351553031726791</x:v>
      </x:c>
      <x:c r="N450" s="13" t="b">
        <x:v>1</x:v>
      </x:c>
      <x:c r="O450" s="13" t="b">
        <x:v>1</x:v>
      </x:c>
      <x:c r="P450" s="13" t="b">
        <x:v>0</x:v>
      </x:c>
      <x:c r="Q450" s="2" t="str">
        <x:v>none</x:v>
      </x:c>
      <x:c r="R450" s="2" t="str">
        <x:v>none</x:v>
      </x:c>
      <x:c r="S450" s="2" t="str">
        <x:v>nominal Q4 source model estimate</x:v>
      </x:c>
      <x:c r="T450" s="2" t="str">
        <x:v>nominal Q4 source model estimate</x:v>
      </x:c>
      <x:c r="U450" s="2" t="str">
        <x:v>GFA growth versus source physical quantity growth; constant conversion required for equality</x:v>
      </x:c>
      <x:c r="V450" s="2" t="str">
        <x:v>2020 level is the model anchor; 2023 comparator unused by v16 fit but shares conversion/upstream lineage</x:v>
      </x:c>
      <x:c r="W450" s="2" t="str">
        <x:v>https://arxiv.org/abs/2511.12104</x:v>
      </x:c>
    </x:row>
    <x:row r="451" ht="23" customHeight="1">
      <x:c r="A451" s="2" t="str">
        <x:v>ESP</x:v>
      </x:c>
      <x:c r="B451" s="2" t="str">
        <x:v>Spain (Kingdom of)</x:v>
      </x:c>
      <x:c r="C451" s="2" t="str">
        <x:v>TEMPO_VOLUME</x:v>
      </x:c>
      <x:c r="D451" s="2" t="n">
        <x:v>2020</x:v>
      </x:c>
      <x:c r="E451" s="2" t="n">
        <x:v>2023</x:v>
      </x:c>
      <x:c r="F451" s="17" t="n">
        <x:v>3693503432.029994</x:v>
      </x:c>
      <x:c r="G451" s="17" t="n">
        <x:v>4025358106.323323</x:v>
      </x:c>
      <x:c r="H451" s="17" t="n">
        <x:v>13585671020.88</x:v>
      </x:c>
      <x:c r="I451" s="17" t="n">
        <x:v>13803323402.55</x:v>
      </x:c>
      <x:c r="J451" s="2" t="str">
        <x:v>m3</x:v>
      </x:c>
      <x:c r="K451" s="15" t="n">
        <x:f>IF(AND(ISNUMBER(F451),ISNUMBER(G451),F451&gt;0),G451/F451-1,"n.a.")</x:f>
        <x:v>0.08984821062178838</x:v>
      </x:c>
      <x:c r="L451" s="15" t="n">
        <x:f>IF(AND(N451,ISNUMBER(H451),ISNUMBER(I451),H451&gt;0),I451/H451-1,"n.a.")</x:f>
        <x:v>0.016020731058148385</x:v>
      </x:c>
      <x:c r="M451" s="20" t="n">
        <x:f>IF(AND(ISNUMBER(K451),ISNUMBER(L451)),100*(K451-L451),"n.a.")</x:f>
        <x:v>7.382747956364</x:v>
      </x:c>
      <x:c r="N451" s="13" t="b">
        <x:v>1</x:v>
      </x:c>
      <x:c r="O451" s="13" t="b">
        <x:v>1</x:v>
      </x:c>
      <x:c r="P451" s="13" t="b">
        <x:v>0</x:v>
      </x:c>
      <x:c r="Q451" s="2" t="str">
        <x:v>none</x:v>
      </x:c>
      <x:c r="R451" s="2" t="str">
        <x:v>none</x:v>
      </x:c>
      <x:c r="S451" s="2" t="str">
        <x:v>nominal Q4 source model estimate</x:v>
      </x:c>
      <x:c r="T451" s="2" t="str">
        <x:v>nominal Q4 source model estimate</x:v>
      </x:c>
      <x:c r="U451" s="2" t="str">
        <x:v>GFA growth versus source physical quantity growth; constant conversion required for equality</x:v>
      </x:c>
      <x:c r="V451" s="2" t="str">
        <x:v>2020 level is the model anchor; 2023 comparator unused by v16 fit but shares conversion/upstream lineage</x:v>
      </x:c>
      <x:c r="W451" s="2" t="str">
        <x:v>https://arxiv.org/abs/2511.12104</x:v>
      </x:c>
    </x:row>
    <x:row r="452" ht="23" customHeight="1">
      <x:c r="A452" s="2" t="str">
        <x:v>EST</x:v>
      </x:c>
      <x:c r="B452" s="2" t="str">
        <x:v>Estonia (Republic of)</x:v>
      </x:c>
      <x:c r="C452" s="2" t="str">
        <x:v>TEMPO_VOLUME</x:v>
      </x:c>
      <x:c r="D452" s="2" t="n">
        <x:v>2020</x:v>
      </x:c>
      <x:c r="E452" s="2" t="n">
        <x:v>2023</x:v>
      </x:c>
      <x:c r="F452" s="17" t="n">
        <x:v>113094705.3700001</x:v>
      </x:c>
      <x:c r="G452" s="17" t="n">
        <x:v>119990211.53416616</x:v>
      </x:c>
      <x:c r="H452" s="17" t="n">
        <x:v>364531196.27</x:v>
      </x:c>
      <x:c r="I452" s="17" t="n">
        <x:v>400009971.45</x:v>
      </x:c>
      <x:c r="J452" s="2" t="str">
        <x:v>m3</x:v>
      </x:c>
      <x:c r="K452" s="15" t="n">
        <x:f>IF(AND(ISNUMBER(F452),ISNUMBER(G452),F452&gt;0),G452/F452-1,"n.a.")</x:f>
        <x:v>0.06097107854524886</x:v>
      </x:c>
      <x:c r="L452" s="15" t="n">
        <x:f>IF(AND(N452,ISNUMBER(H452),ISNUMBER(I452),H452&gt;0),I452/H452-1,"n.a.")</x:f>
        <x:v>0.09732713014148087</x:v>
      </x:c>
      <x:c r="M452" s="20" t="n">
        <x:f>IF(AND(ISNUMBER(K452),ISNUMBER(L452)),100*(K452-L452),"n.a.")</x:f>
        <x:v>-3.635605159623201</x:v>
      </x:c>
      <x:c r="N452" s="13" t="b">
        <x:v>1</x:v>
      </x:c>
      <x:c r="O452" s="13" t="b">
        <x:v>1</x:v>
      </x:c>
      <x:c r="P452" s="13" t="b">
        <x:v>0</x:v>
      </x:c>
      <x:c r="Q452" s="2" t="str">
        <x:v>none</x:v>
      </x:c>
      <x:c r="R452" s="2" t="str">
        <x:v>none</x:v>
      </x:c>
      <x:c r="S452" s="2" t="str">
        <x:v>nominal Q4 source model estimate</x:v>
      </x:c>
      <x:c r="T452" s="2" t="str">
        <x:v>nominal Q4 source model estimate</x:v>
      </x:c>
      <x:c r="U452" s="2" t="str">
        <x:v>GFA growth versus source physical quantity growth; constant conversion required for equality</x:v>
      </x:c>
      <x:c r="V452" s="2" t="str">
        <x:v>2020 level is the model anchor; 2023 comparator unused by v16 fit but shares conversion/upstream lineage</x:v>
      </x:c>
      <x:c r="W452" s="2" t="str">
        <x:v>https://arxiv.org/abs/2511.12104</x:v>
      </x:c>
    </x:row>
    <x:row r="453" ht="23" customHeight="1">
      <x:c r="A453" s="2" t="str">
        <x:v>ETH</x:v>
      </x:c>
      <x:c r="B453" s="2" t="str">
        <x:v>Ethiopia (Federal Democratic Republic of)</x:v>
      </x:c>
      <x:c r="C453" s="2" t="str">
        <x:v>TEMPO_VOLUME</x:v>
      </x:c>
      <x:c r="D453" s="2" t="n">
        <x:v>2020</x:v>
      </x:c>
      <x:c r="E453" s="2" t="n">
        <x:v>2023</x:v>
      </x:c>
      <x:c r="F453" s="17" t="n">
        <x:v>1660821510.7100024</x:v>
      </x:c>
      <x:c r="G453" s="17" t="n">
        <x:v>1902459385.037186</x:v>
      </x:c>
      <x:c r="H453" s="17" t="n">
        <x:v>3219274539.19</x:v>
      </x:c>
      <x:c r="I453" s="17" t="n">
        <x:v>3575221389.02</x:v>
      </x:c>
      <x:c r="J453" s="2" t="str">
        <x:v>m3</x:v>
      </x:c>
      <x:c r="K453" s="15" t="n">
        <x:f>IF(AND(ISNUMBER(F453),ISNUMBER(G453),F453&gt;0),G453/F453-1,"n.a.")</x:f>
        <x:v>0.14549298209889105</x:v>
      </x:c>
      <x:c r="L453" s="15" t="n">
        <x:f>IF(AND(N453,ISNUMBER(H453),ISNUMBER(I453),H453&gt;0),I453/H453-1,"n.a.")</x:f>
        <x:v>0.11056741060660191</x:v>
      </x:c>
      <x:c r="M453" s="20" t="n">
        <x:f>IF(AND(ISNUMBER(K453),ISNUMBER(L453)),100*(K453-L453),"n.a.")</x:f>
        <x:v>3.4925571492289142</x:v>
      </x:c>
      <x:c r="N453" s="13" t="b">
        <x:v>1</x:v>
      </x:c>
      <x:c r="O453" s="13" t="b">
        <x:v>1</x:v>
      </x:c>
      <x:c r="P453" s="13" t="b">
        <x:v>0</x:v>
      </x:c>
      <x:c r="Q453" s="2" t="str">
        <x:v>none</x:v>
      </x:c>
      <x:c r="R453" s="2" t="str">
        <x:v>none</x:v>
      </x:c>
      <x:c r="S453" s="2" t="str">
        <x:v>nominal Q4 source model estimate</x:v>
      </x:c>
      <x:c r="T453" s="2" t="str">
        <x:v>nominal Q4 source model estimate</x:v>
      </x:c>
      <x:c r="U453" s="2" t="str">
        <x:v>GFA growth versus source physical quantity growth; constant conversion required for equality</x:v>
      </x:c>
      <x:c r="V453" s="2" t="str">
        <x:v>2020 level is the model anchor; 2023 comparator unused by v16 fit but shares conversion/upstream lineage</x:v>
      </x:c>
      <x:c r="W453" s="2" t="str">
        <x:v>https://arxiv.org/abs/2511.12104</x:v>
      </x:c>
    </x:row>
    <x:row r="454" ht="23" customHeight="1">
      <x:c r="A454" s="2" t="str">
        <x:v>FIN</x:v>
      </x:c>
      <x:c r="B454" s="2" t="str">
        <x:v>Finland (Republic of)</x:v>
      </x:c>
      <x:c r="C454" s="2" t="str">
        <x:v>TEMPO_VOLUME</x:v>
      </x:c>
      <x:c r="D454" s="2" t="n">
        <x:v>2020</x:v>
      </x:c>
      <x:c r="E454" s="2" t="n">
        <x:v>2023</x:v>
      </x:c>
      <x:c r="F454" s="17" t="n">
        <x:v>615866742.3399993</x:v>
      </x:c>
      <x:c r="G454" s="17" t="n">
        <x:v>688966113.4488864</x:v>
      </x:c>
      <x:c r="H454" s="17" t="n">
        <x:v>1882245837.63</x:v>
      </x:c>
      <x:c r="I454" s="17" t="n">
        <x:v>2023375325.71</x:v>
      </x:c>
      <x:c r="J454" s="2" t="str">
        <x:v>m3</x:v>
      </x:c>
      <x:c r="K454" s="15" t="n">
        <x:f>IF(AND(ISNUMBER(F454),ISNUMBER(G454),F454&gt;0),G454/F454-1,"n.a.")</x:f>
        <x:v>0.11869348689157078</x:v>
      </x:c>
      <x:c r="L454" s="15" t="n">
        <x:f>IF(AND(N454,ISNUMBER(H454),ISNUMBER(I454),H454&gt;0),I454/H454-1,"n.a.")</x:f>
        <x:v>0.07497930677201059</x:v>
      </x:c>
      <x:c r="M454" s="20" t="n">
        <x:f>IF(AND(ISNUMBER(K454),ISNUMBER(L454)),100*(K454-L454),"n.a.")</x:f>
        <x:v>4.371418011956019</x:v>
      </x:c>
      <x:c r="N454" s="13" t="b">
        <x:v>1</x:v>
      </x:c>
      <x:c r="O454" s="13" t="b">
        <x:v>1</x:v>
      </x:c>
      <x:c r="P454" s="13" t="b">
        <x:v>0</x:v>
      </x:c>
      <x:c r="Q454" s="2" t="str">
        <x:v>none</x:v>
      </x:c>
      <x:c r="R454" s="2" t="str">
        <x:v>none</x:v>
      </x:c>
      <x:c r="S454" s="2" t="str">
        <x:v>nominal Q4 source model estimate</x:v>
      </x:c>
      <x:c r="T454" s="2" t="str">
        <x:v>nominal Q4 source model estimate</x:v>
      </x:c>
      <x:c r="U454" s="2" t="str">
        <x:v>GFA growth versus source physical quantity growth; constant conversion required for equality</x:v>
      </x:c>
      <x:c r="V454" s="2" t="str">
        <x:v>2020 level is the model anchor; 2023 comparator unused by v16 fit but shares conversion/upstream lineage</x:v>
      </x:c>
      <x:c r="W454" s="2" t="str">
        <x:v>https://arxiv.org/abs/2511.12104</x:v>
      </x:c>
    </x:row>
    <x:row r="455" ht="23" customHeight="1">
      <x:c r="A455" s="2" t="str">
        <x:v>FJI</x:v>
      </x:c>
      <x:c r="B455" s="2" t="str">
        <x:v>Fiji (Republic of)</x:v>
      </x:c>
      <x:c r="C455" s="2" t="str">
        <x:v>TEMPO_VOLUME</x:v>
      </x:c>
      <x:c r="D455" s="2" t="n">
        <x:v>2020</x:v>
      </x:c>
      <x:c r="E455" s="2" t="n">
        <x:v>2023</x:v>
      </x:c>
      <x:c r="F455" s="17" t="n">
        <x:v>37460168.12</x:v>
      </x:c>
      <x:c r="G455" s="17" t="n">
        <x:v>39148436.010481395</x:v>
      </x:c>
      <x:c r="H455" s="17" t="n">
        <x:v>81724716.17</x:v>
      </x:c>
      <x:c r="I455" s="17" t="n">
        <x:v>84385309.34</x:v>
      </x:c>
      <x:c r="J455" s="2" t="str">
        <x:v>m3</x:v>
      </x:c>
      <x:c r="K455" s="15" t="n">
        <x:f>IF(AND(ISNUMBER(F455),ISNUMBER(G455),F455&gt;0),G455/F455-1,"n.a.")</x:f>
        <x:v>0.04506834793354897</x:v>
      </x:c>
      <x:c r="L455" s="15" t="n">
        <x:f>IF(AND(N455,ISNUMBER(H455),ISNUMBER(I455),H455&gt;0),I455/H455-1,"n.a.")</x:f>
        <x:v>0.03255555105833041</x:v>
      </x:c>
      <x:c r="M455" s="20" t="n">
        <x:f>IF(AND(ISNUMBER(K455),ISNUMBER(L455)),100*(K455-L455),"n.a.")</x:f>
        <x:v>1.2512796875218557</x:v>
      </x:c>
      <x:c r="N455" s="13" t="b">
        <x:v>1</x:v>
      </x:c>
      <x:c r="O455" s="13" t="b">
        <x:v>1</x:v>
      </x:c>
      <x:c r="P455" s="13" t="b">
        <x:v>0</x:v>
      </x:c>
      <x:c r="Q455" s="2" t="str">
        <x:v>none</x:v>
      </x:c>
      <x:c r="R455" s="2" t="str">
        <x:v>none</x:v>
      </x:c>
      <x:c r="S455" s="2" t="str">
        <x:v>nominal Q4 source model estimate</x:v>
      </x:c>
      <x:c r="T455" s="2" t="str">
        <x:v>nominal Q4 source model estimate</x:v>
      </x:c>
      <x:c r="U455" s="2" t="str">
        <x:v>GFA growth versus source physical quantity growth; constant conversion required for equality</x:v>
      </x:c>
      <x:c r="V455" s="2" t="str">
        <x:v>2020 level is the model anchor; 2023 comparator unused by v16 fit but shares conversion/upstream lineage</x:v>
      </x:c>
      <x:c r="W455" s="2" t="str">
        <x:v>https://arxiv.org/abs/2511.12104</x:v>
      </x:c>
    </x:row>
    <x:row r="456" ht="23" customHeight="1">
      <x:c r="A456" s="2" t="str">
        <x:v>FRA</x:v>
      </x:c>
      <x:c r="B456" s="2" t="str">
        <x:v>France (French Republic)</x:v>
      </x:c>
      <x:c r="C456" s="2" t="str">
        <x:v>TEMPO_VOLUME</x:v>
      </x:c>
      <x:c r="D456" s="2" t="n">
        <x:v>2020</x:v>
      </x:c>
      <x:c r="E456" s="2" t="n">
        <x:v>2023</x:v>
      </x:c>
      <x:c r="F456" s="17" t="n">
        <x:v>6074526882.680001</x:v>
      </x:c>
      <x:c r="G456" s="17" t="n">
        <x:v>6389564730.251554</x:v>
      </x:c>
      <x:c r="H456" s="17" t="n">
        <x:v>19173133587.38</x:v>
      </x:c>
      <x:c r="I456" s="17" t="n">
        <x:v>20076102227.12</x:v>
      </x:c>
      <x:c r="J456" s="2" t="str">
        <x:v>m3</x:v>
      </x:c>
      <x:c r="K456" s="15" t="n">
        <x:f>IF(AND(ISNUMBER(F456),ISNUMBER(G456),F456&gt;0),G456/F456-1,"n.a.")</x:f>
        <x:v>0.05186212089534159</x:v>
      </x:c>
      <x:c r="L456" s="15" t="n">
        <x:f>IF(AND(N456,ISNUMBER(H456),ISNUMBER(I456),H456&gt;0),I456/H456-1,"n.a.")</x:f>
        <x:v>0.0470955170486238</x:v>
      </x:c>
      <x:c r="M456" s="20" t="n">
        <x:f>IF(AND(ISNUMBER(K456),ISNUMBER(L456)),100*(K456-L456),"n.a.")</x:f>
        <x:v>0.47666038467177874</x:v>
      </x:c>
      <x:c r="N456" s="13" t="b">
        <x:v>1</x:v>
      </x:c>
      <x:c r="O456" s="13" t="b">
        <x:v>1</x:v>
      </x:c>
      <x:c r="P456" s="13" t="b">
        <x:v>0</x:v>
      </x:c>
      <x:c r="Q456" s="2" t="str">
        <x:v>none</x:v>
      </x:c>
      <x:c r="R456" s="2" t="str">
        <x:v>none</x:v>
      </x:c>
      <x:c r="S456" s="2" t="str">
        <x:v>nominal Q4 source model estimate</x:v>
      </x:c>
      <x:c r="T456" s="2" t="str">
        <x:v>nominal Q4 source model estimate</x:v>
      </x:c>
      <x:c r="U456" s="2" t="str">
        <x:v>GFA growth versus source physical quantity growth; constant conversion required for equality</x:v>
      </x:c>
      <x:c r="V456" s="2" t="str">
        <x:v>2020 level is the model anchor; 2023 comparator unused by v16 fit but shares conversion/upstream lineage</x:v>
      </x:c>
      <x:c r="W456" s="2" t="str">
        <x:v>https://arxiv.org/abs/2511.12104</x:v>
      </x:c>
    </x:row>
    <x:row r="457" ht="23" customHeight="1">
      <x:c r="A457" s="2" t="str">
        <x:v>FSM</x:v>
      </x:c>
      <x:c r="B457" s="2" t="str">
        <x:v>Micronesia (Federated States of)</x:v>
      </x:c>
      <x:c r="C457" s="2" t="str">
        <x:v>TEMPO_VOLUME</x:v>
      </x:c>
      <x:c r="D457" s="2" t="n">
        <x:v>2020</x:v>
      </x:c>
      <x:c r="E457" s="2" t="n">
        <x:v>2023</x:v>
      </x:c>
      <x:c r="F457" s="17" t="n">
        <x:v>2177822.609999999</x:v>
      </x:c>
      <x:c r="G457" s="17" t="n">
        <x:v>2327474.040135418</x:v>
      </x:c>
      <x:c r="H457" s="17" t="n">
        <x:v>4457897.24</x:v>
      </x:c>
      <x:c r="I457" s="17" t="n">
        <x:v>4551959.92</x:v>
      </x:c>
      <x:c r="J457" s="2" t="str">
        <x:v>m3</x:v>
      </x:c>
      <x:c r="K457" s="15" t="n">
        <x:f>IF(AND(ISNUMBER(F457),ISNUMBER(G457),F457&gt;0),G457/F457-1,"n.a.")</x:f>
        <x:v>0.06871607882490438</x:v>
      </x:c>
      <x:c r="L457" s="15" t="n">
        <x:f>IF(AND(N457,ISNUMBER(H457),ISNUMBER(I457),H457&gt;0),I457/H457-1,"n.a.")</x:f>
        <x:v>0.021100235141355395</x:v>
      </x:c>
      <x:c r="M457" s="20" t="n">
        <x:f>IF(AND(ISNUMBER(K457),ISNUMBER(L457)),100*(K457-L457),"n.a.")</x:f>
        <x:v>4.761584368354899</x:v>
      </x:c>
      <x:c r="N457" s="13" t="b">
        <x:v>1</x:v>
      </x:c>
      <x:c r="O457" s="13" t="b">
        <x:v>1</x:v>
      </x:c>
      <x:c r="P457" s="13" t="b">
        <x:v>0</x:v>
      </x:c>
      <x:c r="Q457" s="2" t="str">
        <x:v>none</x:v>
      </x:c>
      <x:c r="R457" s="2" t="str">
        <x:v>none</x:v>
      </x:c>
      <x:c r="S457" s="2" t="str">
        <x:v>nominal Q4 source model estimate</x:v>
      </x:c>
      <x:c r="T457" s="2" t="str">
        <x:v>nominal Q4 source model estimate</x:v>
      </x:c>
      <x:c r="U457" s="2" t="str">
        <x:v>GFA growth versus source physical quantity growth; constant conversion required for equality</x:v>
      </x:c>
      <x:c r="V457" s="2" t="str">
        <x:v>2020 level is the model anchor; 2023 comparator unused by v16 fit but shares conversion/upstream lineage</x:v>
      </x:c>
      <x:c r="W457" s="2" t="str">
        <x:v>https://arxiv.org/abs/2511.12104</x:v>
      </x:c>
    </x:row>
    <x:row r="458" ht="23" customHeight="1">
      <x:c r="A458" s="2" t="str">
        <x:v>GAB</x:v>
      </x:c>
      <x:c r="B458" s="2" t="str">
        <x:v>Gabon (Gabonese Republic)</x:v>
      </x:c>
      <x:c r="C458" s="2" t="str">
        <x:v>TEMPO_VOLUME</x:v>
      </x:c>
      <x:c r="D458" s="2" t="n">
        <x:v>2020</x:v>
      </x:c>
      <x:c r="E458" s="2" t="n">
        <x:v>2023</x:v>
      </x:c>
      <x:c r="F458" s="17" t="n">
        <x:v>73743642.55999996</x:v>
      </x:c>
      <x:c r="G458" s="17" t="n">
        <x:v>80472687.08876044</x:v>
      </x:c>
      <x:c r="H458" s="17" t="n">
        <x:v>190513524.89</x:v>
      </x:c>
      <x:c r="I458" s="17" t="n">
        <x:v>201396422.61</x:v>
      </x:c>
      <x:c r="J458" s="2" t="str">
        <x:v>m3</x:v>
      </x:c>
      <x:c r="K458" s="15" t="n">
        <x:f>IF(AND(ISNUMBER(F458),ISNUMBER(G458),F458&gt;0),G458/F458-1,"n.a.")</x:f>
        <x:v>0.09124914765751546</x:v>
      </x:c>
      <x:c r="L458" s="15" t="n">
        <x:f>IF(AND(N458,ISNUMBER(H458),ISNUMBER(I458),H458&gt;0),I458/H458-1,"n.a.")</x:f>
        <x:v>0.05712401639875009</x:v>
      </x:c>
      <x:c r="M458" s="20" t="n">
        <x:f>IF(AND(ISNUMBER(K458),ISNUMBER(L458)),100*(K458-L458),"n.a.")</x:f>
        <x:v>3.4125131258765373</x:v>
      </x:c>
      <x:c r="N458" s="13" t="b">
        <x:v>1</x:v>
      </x:c>
      <x:c r="O458" s="13" t="b">
        <x:v>1</x:v>
      </x:c>
      <x:c r="P458" s="13" t="b">
        <x:v>0</x:v>
      </x:c>
      <x:c r="Q458" s="2" t="str">
        <x:v>none</x:v>
      </x:c>
      <x:c r="R458" s="2" t="str">
        <x:v>none</x:v>
      </x:c>
      <x:c r="S458" s="2" t="str">
        <x:v>nominal Q4 source model estimate</x:v>
      </x:c>
      <x:c r="T458" s="2" t="str">
        <x:v>nominal Q4 source model estimate</x:v>
      </x:c>
      <x:c r="U458" s="2" t="str">
        <x:v>GFA growth versus source physical quantity growth; constant conversion required for equality</x:v>
      </x:c>
      <x:c r="V458" s="2" t="str">
        <x:v>2020 level is the model anchor; 2023 comparator unused by v16 fit but shares conversion/upstream lineage</x:v>
      </x:c>
      <x:c r="W458" s="2" t="str">
        <x:v>https://arxiv.org/abs/2511.12104</x:v>
      </x:c>
    </x:row>
    <x:row r="459" ht="23" customHeight="1">
      <x:c r="A459" s="2" t="str">
        <x:v>GBR</x:v>
      </x:c>
      <x:c r="B459" s="2" t="str">
        <x:v>United Kingdom of Great Britain and Northern Ireland</x:v>
      </x:c>
      <x:c r="C459" s="2" t="str">
        <x:v>TEMPO_VOLUME</x:v>
      </x:c>
      <x:c r="D459" s="2" t="n">
        <x:v>2020</x:v>
      </x:c>
      <x:c r="E459" s="2" t="n">
        <x:v>2023</x:v>
      </x:c>
      <x:c r="F459" s="17" t="n">
        <x:v>3418464510.0900006</x:v>
      </x:c>
      <x:c r="G459" s="17" t="n">
        <x:v>3712529416.016612</x:v>
      </x:c>
      <x:c r="H459" s="17" t="n">
        <x:v>11380700056.36</x:v>
      </x:c>
      <x:c r="I459" s="17" t="n">
        <x:v>12166430324.61</x:v>
      </x:c>
      <x:c r="J459" s="2" t="str">
        <x:v>m3</x:v>
      </x:c>
      <x:c r="K459" s="15" t="n">
        <x:f>IF(AND(ISNUMBER(F459),ISNUMBER(G459),F459&gt;0),G459/F459-1,"n.a.")</x:f>
        <x:v>0.08602251246389847</x:v>
      </x:c>
      <x:c r="L459" s="15" t="n">
        <x:f>IF(AND(N459,ISNUMBER(H459),ISNUMBER(I459),H459&gt;0),I459/H459-1,"n.a.")</x:f>
        <x:v>0.0690405919107675</x:v>
      </x:c>
      <x:c r="M459" s="20" t="n">
        <x:f>IF(AND(ISNUMBER(K459),ISNUMBER(L459)),100*(K459-L459),"n.a.")</x:f>
        <x:v>1.698192055313097</x:v>
      </x:c>
      <x:c r="N459" s="13" t="b">
        <x:v>1</x:v>
      </x:c>
      <x:c r="O459" s="13" t="b">
        <x:v>1</x:v>
      </x:c>
      <x:c r="P459" s="13" t="b">
        <x:v>0</x:v>
      </x:c>
      <x:c r="Q459" s="2" t="str">
        <x:v>none</x:v>
      </x:c>
      <x:c r="R459" s="2" t="str">
        <x:v>none</x:v>
      </x:c>
      <x:c r="S459" s="2" t="str">
        <x:v>nominal Q4 source model estimate</x:v>
      </x:c>
      <x:c r="T459" s="2" t="str">
        <x:v>nominal Q4 source model estimate</x:v>
      </x:c>
      <x:c r="U459" s="2" t="str">
        <x:v>GFA growth versus source physical quantity growth; constant conversion required for equality</x:v>
      </x:c>
      <x:c r="V459" s="2" t="str">
        <x:v>2020 level is the model anchor; 2023 comparator unused by v16 fit but shares conversion/upstream lineage</x:v>
      </x:c>
      <x:c r="W459" s="2" t="str">
        <x:v>https://arxiv.org/abs/2511.12104</x:v>
      </x:c>
    </x:row>
    <x:row r="460" ht="23" customHeight="1">
      <x:c r="A460" s="2" t="str">
        <x:v>GEO</x:v>
      </x:c>
      <x:c r="B460" s="2" t="str">
        <x:v>Georgia</x:v>
      </x:c>
      <x:c r="C460" s="2" t="str">
        <x:v>TEMPO_VOLUME</x:v>
      </x:c>
      <x:c r="D460" s="2" t="n">
        <x:v>2020</x:v>
      </x:c>
      <x:c r="E460" s="2" t="n">
        <x:v>2023</x:v>
      </x:c>
      <x:c r="F460" s="17" t="n">
        <x:v>242256071.04000017</x:v>
      </x:c>
      <x:c r="G460" s="17" t="n">
        <x:v>247964997.94667792</x:v>
      </x:c>
      <x:c r="H460" s="17" t="n">
        <x:v>645902078.1</x:v>
      </x:c>
      <x:c r="I460" s="17" t="n">
        <x:v>702913184.82</x:v>
      </x:c>
      <x:c r="J460" s="2" t="str">
        <x:v>m3</x:v>
      </x:c>
      <x:c r="K460" s="15" t="n">
        <x:f>IF(AND(ISNUMBER(F460),ISNUMBER(G460),F460&gt;0),G460/F460-1,"n.a.")</x:f>
        <x:v>0.02356567116014663</x:v>
      </x:c>
      <x:c r="L460" s="15" t="n">
        <x:f>IF(AND(N460,ISNUMBER(H460),ISNUMBER(I460),H460&gt;0),I460/H460-1,"n.a.")</x:f>
        <x:v>0.08826586668942937</x:v>
      </x:c>
      <x:c r="M460" s="20" t="n">
        <x:f>IF(AND(ISNUMBER(K460),ISNUMBER(L460)),100*(K460-L460),"n.a.")</x:f>
        <x:v>-6.4700195529282745</x:v>
      </x:c>
      <x:c r="N460" s="13" t="b">
        <x:v>1</x:v>
      </x:c>
      <x:c r="O460" s="13" t="b">
        <x:v>1</x:v>
      </x:c>
      <x:c r="P460" s="13" t="b">
        <x:v>0</x:v>
      </x:c>
      <x:c r="Q460" s="2" t="str">
        <x:v>none</x:v>
      </x:c>
      <x:c r="R460" s="2" t="str">
        <x:v>none</x:v>
      </x:c>
      <x:c r="S460" s="2" t="str">
        <x:v>nominal Q4 source model estimate</x:v>
      </x:c>
      <x:c r="T460" s="2" t="str">
        <x:v>nominal Q4 source model estimate</x:v>
      </x:c>
      <x:c r="U460" s="2" t="str">
        <x:v>GFA growth versus source physical quantity growth; constant conversion required for equality</x:v>
      </x:c>
      <x:c r="V460" s="2" t="str">
        <x:v>2020 level is the model anchor; 2023 comparator unused by v16 fit but shares conversion/upstream lineage</x:v>
      </x:c>
      <x:c r="W460" s="2" t="str">
        <x:v>https://arxiv.org/abs/2511.12104</x:v>
      </x:c>
    </x:row>
    <x:row r="461" ht="23" customHeight="1">
      <x:c r="A461" s="2" t="str">
        <x:v>GHA</x:v>
      </x:c>
      <x:c r="B461" s="2" t="str">
        <x:v>Ghana (Republic of)</x:v>
      </x:c>
      <x:c r="C461" s="2" t="str">
        <x:v>TEMPO_VOLUME</x:v>
      </x:c>
      <x:c r="D461" s="2" t="n">
        <x:v>2020</x:v>
      </x:c>
      <x:c r="E461" s="2" t="n">
        <x:v>2023</x:v>
      </x:c>
      <x:c r="F461" s="17" t="n">
        <x:v>958424622.62</x:v>
      </x:c>
      <x:c r="G461" s="17" t="n">
        <x:v>1034825318.9084021</x:v>
      </x:c>
      <x:c r="H461" s="17" t="n">
        <x:v>2306843747.68</x:v>
      </x:c>
      <x:c r="I461" s="17" t="n">
        <x:v>2562077549.74</x:v>
      </x:c>
      <x:c r="J461" s="2" t="str">
        <x:v>m3</x:v>
      </x:c>
      <x:c r="K461" s="15" t="n">
        <x:f>IF(AND(ISNUMBER(F461),ISNUMBER(G461),F461&gt;0),G461/F461-1,"n.a.")</x:f>
        <x:v>0.07971487218217455</x:v>
      </x:c>
      <x:c r="L461" s="15" t="n">
        <x:f>IF(AND(N461,ISNUMBER(H461),ISNUMBER(I461),H461&gt;0),I461/H461-1,"n.a.")</x:f>
        <x:v>0.1106419983220317</x:v>
      </x:c>
      <x:c r="M461" s="20" t="n">
        <x:f>IF(AND(ISNUMBER(K461),ISNUMBER(L461)),100*(K461-L461),"n.a.")</x:f>
        <x:v>-3.0927126139857153</x:v>
      </x:c>
      <x:c r="N461" s="13" t="b">
        <x:v>1</x:v>
      </x:c>
      <x:c r="O461" s="13" t="b">
        <x:v>1</x:v>
      </x:c>
      <x:c r="P461" s="13" t="b">
        <x:v>0</x:v>
      </x:c>
      <x:c r="Q461" s="2" t="str">
        <x:v>none</x:v>
      </x:c>
      <x:c r="R461" s="2" t="str">
        <x:v>none</x:v>
      </x:c>
      <x:c r="S461" s="2" t="str">
        <x:v>nominal Q4 source model estimate</x:v>
      </x:c>
      <x:c r="T461" s="2" t="str">
        <x:v>nominal Q4 source model estimate</x:v>
      </x:c>
      <x:c r="U461" s="2" t="str">
        <x:v>GFA growth versus source physical quantity growth; constant conversion required for equality</x:v>
      </x:c>
      <x:c r="V461" s="2" t="str">
        <x:v>2020 level is the model anchor; 2023 comparator unused by v16 fit but shares conversion/upstream lineage</x:v>
      </x:c>
      <x:c r="W461" s="2" t="str">
        <x:v>https://arxiv.org/abs/2511.12104</x:v>
      </x:c>
    </x:row>
    <x:row r="462" ht="23" customHeight="1">
      <x:c r="A462" s="2" t="str">
        <x:v>GIN</x:v>
      </x:c>
      <x:c r="B462" s="2" t="str">
        <x:v>Guinea (Republic of)</x:v>
      </x:c>
      <x:c r="C462" s="2" t="str">
        <x:v>TEMPO_VOLUME</x:v>
      </x:c>
      <x:c r="D462" s="2" t="n">
        <x:v>2020</x:v>
      </x:c>
      <x:c r="E462" s="2" t="n">
        <x:v>2023</x:v>
      </x:c>
      <x:c r="F462" s="17" t="n">
        <x:v>277637578.22999954</x:v>
      </x:c>
      <x:c r="G462" s="17" t="n">
        <x:v>306365619.5322375</x:v>
      </x:c>
      <x:c r="H462" s="17" t="n">
        <x:v>631267172.04</x:v>
      </x:c>
      <x:c r="I462" s="17" t="n">
        <x:v>683051534.32</x:v>
      </x:c>
      <x:c r="J462" s="2" t="str">
        <x:v>m3</x:v>
      </x:c>
      <x:c r="K462" s="15" t="n">
        <x:f>IF(AND(ISNUMBER(F462),ISNUMBER(G462),F462&gt;0),G462/F462-1,"n.a.")</x:f>
        <x:v>0.1034731734997314</x:v>
      </x:c>
      <x:c r="L462" s="15" t="n">
        <x:f>IF(AND(N462,ISNUMBER(H462),ISNUMBER(I462),H462&gt;0),I462/H462-1,"n.a.")</x:f>
        <x:v>0.08203240176842086</x:v>
      </x:c>
      <x:c r="M462" s="20" t="n">
        <x:f>IF(AND(ISNUMBER(K462),ISNUMBER(L462)),100*(K462-L462),"n.a.")</x:f>
        <x:v>2.1440771731310537</x:v>
      </x:c>
      <x:c r="N462" s="13" t="b">
        <x:v>1</x:v>
      </x:c>
      <x:c r="O462" s="13" t="b">
        <x:v>1</x:v>
      </x:c>
      <x:c r="P462" s="13" t="b">
        <x:v>0</x:v>
      </x:c>
      <x:c r="Q462" s="2" t="str">
        <x:v>none</x:v>
      </x:c>
      <x:c r="R462" s="2" t="str">
        <x:v>none</x:v>
      </x:c>
      <x:c r="S462" s="2" t="str">
        <x:v>nominal Q4 source model estimate</x:v>
      </x:c>
      <x:c r="T462" s="2" t="str">
        <x:v>nominal Q4 source model estimate</x:v>
      </x:c>
      <x:c r="U462" s="2" t="str">
        <x:v>GFA growth versus source physical quantity growth; constant conversion required for equality</x:v>
      </x:c>
      <x:c r="V462" s="2" t="str">
        <x:v>2020 level is the model anchor; 2023 comparator unused by v16 fit but shares conversion/upstream lineage</x:v>
      </x:c>
      <x:c r="W462" s="2" t="str">
        <x:v>https://arxiv.org/abs/2511.12104</x:v>
      </x:c>
    </x:row>
    <x:row r="463" ht="23" customHeight="1">
      <x:c r="A463" s="2" t="str">
        <x:v>GMB</x:v>
      </x:c>
      <x:c r="B463" s="2" t="str">
        <x:v>Gambia (Republic of the)</x:v>
      </x:c>
      <x:c r="C463" s="2" t="str">
        <x:v>TEMPO_VOLUME</x:v>
      </x:c>
      <x:c r="D463" s="2" t="n">
        <x:v>2020</x:v>
      </x:c>
      <x:c r="E463" s="2" t="n">
        <x:v>2023</x:v>
      </x:c>
      <x:c r="F463" s="17" t="n">
        <x:v>56875154.52999992</x:v>
      </x:c>
      <x:c r="G463" s="17" t="n">
        <x:v>62520713.49145536</x:v>
      </x:c>
      <x:c r="H463" s="17" t="n">
        <x:v>134066864.69</x:v>
      </x:c>
      <x:c r="I463" s="17" t="n">
        <x:v>145779045.13</x:v>
      </x:c>
      <x:c r="J463" s="2" t="str">
        <x:v>m3</x:v>
      </x:c>
      <x:c r="K463" s="15" t="n">
        <x:f>IF(AND(ISNUMBER(F463),ISNUMBER(G463),F463&gt;0),G463/F463-1,"n.a.")</x:f>
        <x:v>0.09926230544969483</x:v>
      </x:c>
      <x:c r="L463" s="15" t="n">
        <x:f>IF(AND(N463,ISNUMBER(H463),ISNUMBER(I463),H463&gt;0),I463/H463-1,"n.a.")</x:f>
        <x:v>0.08736073948683609</x:v>
      </x:c>
      <x:c r="M463" s="20" t="n">
        <x:f>IF(AND(ISNUMBER(K463),ISNUMBER(L463)),100*(K463-L463),"n.a.")</x:f>
        <x:v>1.190156596285874</x:v>
      </x:c>
      <x:c r="N463" s="13" t="b">
        <x:v>1</x:v>
      </x:c>
      <x:c r="O463" s="13" t="b">
        <x:v>1</x:v>
      </x:c>
      <x:c r="P463" s="13" t="b">
        <x:v>0</x:v>
      </x:c>
      <x:c r="Q463" s="2" t="str">
        <x:v>none</x:v>
      </x:c>
      <x:c r="R463" s="2" t="str">
        <x:v>none</x:v>
      </x:c>
      <x:c r="S463" s="2" t="str">
        <x:v>nominal Q4 source model estimate</x:v>
      </x:c>
      <x:c r="T463" s="2" t="str">
        <x:v>nominal Q4 source model estimate</x:v>
      </x:c>
      <x:c r="U463" s="2" t="str">
        <x:v>GFA growth versus source physical quantity growth; constant conversion required for equality</x:v>
      </x:c>
      <x:c r="V463" s="2" t="str">
        <x:v>2020 level is the model anchor; 2023 comparator unused by v16 fit but shares conversion/upstream lineage</x:v>
      </x:c>
      <x:c r="W463" s="2" t="str">
        <x:v>https://arxiv.org/abs/2511.12104</x:v>
      </x:c>
    </x:row>
    <x:row r="464" ht="23" customHeight="1">
      <x:c r="A464" s="2" t="str">
        <x:v>GNB</x:v>
      </x:c>
      <x:c r="B464" s="2" t="str">
        <x:v>Guinea-Bissau (Republic of)</x:v>
      </x:c>
      <x:c r="C464" s="2" t="str">
        <x:v>TEMPO_VOLUME</x:v>
      </x:c>
      <x:c r="D464" s="2" t="n">
        <x:v>2020</x:v>
      </x:c>
      <x:c r="E464" s="2" t="n">
        <x:v>2023</x:v>
      </x:c>
      <x:c r="F464" s="17" t="n">
        <x:v>48952674.499999925</x:v>
      </x:c>
      <x:c r="G464" s="17" t="n">
        <x:v>53947655.779188216</x:v>
      </x:c>
      <x:c r="H464" s="17" t="n">
        <x:v>106351519.14</x:v>
      </x:c>
      <x:c r="I464" s="17" t="n">
        <x:v>108240875.02</x:v>
      </x:c>
      <x:c r="J464" s="2" t="str">
        <x:v>m3</x:v>
      </x:c>
      <x:c r="K464" s="15" t="n">
        <x:f>IF(AND(ISNUMBER(F464),ISNUMBER(G464),F464&gt;0),G464/F464-1,"n.a.")</x:f>
        <x:v>0.10203694343989933</x:v>
      </x:c>
      <x:c r="L464" s="15" t="n">
        <x:f>IF(AND(N464,ISNUMBER(H464),ISNUMBER(I464),H464&gt;0),I464/H464-1,"n.a.")</x:f>
        <x:v>0.017765198798080695</x:v>
      </x:c>
      <x:c r="M464" s="20" t="n">
        <x:f>IF(AND(ISNUMBER(K464),ISNUMBER(L464)),100*(K464-L464),"n.a.")</x:f>
        <x:v>8.427174464181864</x:v>
      </x:c>
      <x:c r="N464" s="13" t="b">
        <x:v>1</x:v>
      </x:c>
      <x:c r="O464" s="13" t="b">
        <x:v>1</x:v>
      </x:c>
      <x:c r="P464" s="13" t="b">
        <x:v>0</x:v>
      </x:c>
      <x:c r="Q464" s="2" t="str">
        <x:v>none</x:v>
      </x:c>
      <x:c r="R464" s="2" t="str">
        <x:v>none</x:v>
      </x:c>
      <x:c r="S464" s="2" t="str">
        <x:v>nominal Q4 source model estimate</x:v>
      </x:c>
      <x:c r="T464" s="2" t="str">
        <x:v>nominal Q4 source model estimate</x:v>
      </x:c>
      <x:c r="U464" s="2" t="str">
        <x:v>GFA growth versus source physical quantity growth; constant conversion required for equality</x:v>
      </x:c>
      <x:c r="V464" s="2" t="str">
        <x:v>2020 level is the model anchor; 2023 comparator unused by v16 fit but shares conversion/upstream lineage</x:v>
      </x:c>
      <x:c r="W464" s="2" t="str">
        <x:v>https://arxiv.org/abs/2511.12104</x:v>
      </x:c>
    </x:row>
    <x:row r="465" ht="23" customHeight="1">
      <x:c r="A465" s="2" t="str">
        <x:v>GNQ</x:v>
      </x:c>
      <x:c r="B465" s="2" t="str">
        <x:v>Equatorial Guinea (Republic of)</x:v>
      </x:c>
      <x:c r="C465" s="2" t="str">
        <x:v>TEMPO_VOLUME</x:v>
      </x:c>
      <x:c r="D465" s="2" t="n">
        <x:v>2020</x:v>
      </x:c>
      <x:c r="E465" s="2" t="n">
        <x:v>2023</x:v>
      </x:c>
      <x:c r="F465" s="17" t="n">
        <x:v>34102626.51999995</x:v>
      </x:c>
      <x:c r="G465" s="17" t="n">
        <x:v>38613248.31957669</x:v>
      </x:c>
      <x:c r="H465" s="17" t="n">
        <x:v>89884942.06</x:v>
      </x:c>
      <x:c r="I465" s="17" t="n">
        <x:v>90901207.78</x:v>
      </x:c>
      <x:c r="J465" s="2" t="str">
        <x:v>m3</x:v>
      </x:c>
      <x:c r="K465" s="15" t="n">
        <x:f>IF(AND(ISNUMBER(F465),ISNUMBER(G465),F465&gt;0),G465/F465-1,"n.a.")</x:f>
        <x:v>0.13226611143664901</x:v>
      </x:c>
      <x:c r="L465" s="15" t="n">
        <x:f>IF(AND(N465,ISNUMBER(H465),ISNUMBER(I465),H465&gt;0),I465/H465-1,"n.a.")</x:f>
        <x:v>0.01130629554527185</x:v>
      </x:c>
      <x:c r="M465" s="20" t="n">
        <x:f>IF(AND(ISNUMBER(K465),ISNUMBER(L465)),100*(K465-L465),"n.a.")</x:f>
        <x:v>12.095981589137716</x:v>
      </x:c>
      <x:c r="N465" s="13" t="b">
        <x:v>1</x:v>
      </x:c>
      <x:c r="O465" s="13" t="b">
        <x:v>1</x:v>
      </x:c>
      <x:c r="P465" s="13" t="b">
        <x:v>0</x:v>
      </x:c>
      <x:c r="Q465" s="2" t="str">
        <x:v>none</x:v>
      </x:c>
      <x:c r="R465" s="2" t="str">
        <x:v>none</x:v>
      </x:c>
      <x:c r="S465" s="2" t="str">
        <x:v>nominal Q4 source model estimate</x:v>
      </x:c>
      <x:c r="T465" s="2" t="str">
        <x:v>nominal Q4 source model estimate</x:v>
      </x:c>
      <x:c r="U465" s="2" t="str">
        <x:v>GFA growth versus source physical quantity growth; constant conversion required for equality</x:v>
      </x:c>
      <x:c r="V465" s="2" t="str">
        <x:v>2020 level is the model anchor; 2023 comparator unused by v16 fit but shares conversion/upstream lineage</x:v>
      </x:c>
      <x:c r="W465" s="2" t="str">
        <x:v>https://arxiv.org/abs/2511.12104</x:v>
      </x:c>
    </x:row>
    <x:row r="466" ht="23" customHeight="1">
      <x:c r="A466" s="2" t="str">
        <x:v>GRC</x:v>
      </x:c>
      <x:c r="B466" s="2" t="str">
        <x:v>Greece (Hellenic Republic)</x:v>
      </x:c>
      <x:c r="C466" s="2" t="str">
        <x:v>TEMPO_VOLUME</x:v>
      </x:c>
      <x:c r="D466" s="2" t="n">
        <x:v>2020</x:v>
      </x:c>
      <x:c r="E466" s="2" t="n">
        <x:v>2023</x:v>
      </x:c>
      <x:c r="F466" s="17" t="n">
        <x:v>853851739.6700008</x:v>
      </x:c>
      <x:c r="G466" s="17" t="n">
        <x:v>878991889.6218495</x:v>
      </x:c>
      <x:c r="H466" s="17" t="n">
        <x:v>2649309337.71</x:v>
      </x:c>
      <x:c r="I466" s="17" t="n">
        <x:v>2718955947.82</x:v>
      </x:c>
      <x:c r="J466" s="2" t="str">
        <x:v>m3</x:v>
      </x:c>
      <x:c r="K466" s="15" t="n">
        <x:f>IF(AND(ISNUMBER(F466),ISNUMBER(G466),F466&gt;0),G466/F466-1,"n.a.")</x:f>
        <x:v>0.029443226246239185</x:v>
      </x:c>
      <x:c r="L466" s="15" t="n">
        <x:f>IF(AND(N466,ISNUMBER(H466),ISNUMBER(I466),H466&gt;0),I466/H466-1,"n.a.")</x:f>
        <x:v>0.026288591188147636</x:v>
      </x:c>
      <x:c r="M466" s="20" t="n">
        <x:f>IF(AND(ISNUMBER(K466),ISNUMBER(L466)),100*(K466-L466),"n.a.")</x:f>
        <x:v>0.31546350580915483</x:v>
      </x:c>
      <x:c r="N466" s="13" t="b">
        <x:v>1</x:v>
      </x:c>
      <x:c r="O466" s="13" t="b">
        <x:v>1</x:v>
      </x:c>
      <x:c r="P466" s="13" t="b">
        <x:v>0</x:v>
      </x:c>
      <x:c r="Q466" s="2" t="str">
        <x:v>none</x:v>
      </x:c>
      <x:c r="R466" s="2" t="str">
        <x:v>none</x:v>
      </x:c>
      <x:c r="S466" s="2" t="str">
        <x:v>nominal Q4 source model estimate</x:v>
      </x:c>
      <x:c r="T466" s="2" t="str">
        <x:v>nominal Q4 source model estimate</x:v>
      </x:c>
      <x:c r="U466" s="2" t="str">
        <x:v>GFA growth versus source physical quantity growth; constant conversion required for equality</x:v>
      </x:c>
      <x:c r="V466" s="2" t="str">
        <x:v>2020 level is the model anchor; 2023 comparator unused by v16 fit but shares conversion/upstream lineage</x:v>
      </x:c>
      <x:c r="W466" s="2" t="str">
        <x:v>https://arxiv.org/abs/2511.12104</x:v>
      </x:c>
    </x:row>
    <x:row r="467" ht="23" customHeight="1">
      <x:c r="A467" s="2" t="str">
        <x:v>GRD</x:v>
      </x:c>
      <x:c r="B467" s="2" t="str">
        <x:v>Grenada</x:v>
      </x:c>
      <x:c r="C467" s="2" t="str">
        <x:v>TEMPO_VOLUME</x:v>
      </x:c>
      <x:c r="D467" s="2" t="n">
        <x:v>2020</x:v>
      </x:c>
      <x:c r="E467" s="2" t="n">
        <x:v>2023</x:v>
      </x:c>
      <x:c r="F467" s="17" t="n">
        <x:v>6904998.419999993</x:v>
      </x:c>
      <x:c r="G467" s="17" t="n">
        <x:v>7180368.844334662</x:v>
      </x:c>
      <x:c r="H467" s="17" t="n">
        <x:v>15160841.72</x:v>
      </x:c>
      <x:c r="I467" s="17" t="n">
        <x:v>15988041.06</x:v>
      </x:c>
      <x:c r="J467" s="2" t="str">
        <x:v>m3</x:v>
      </x:c>
      <x:c r="K467" s="15" t="n">
        <x:f>IF(AND(ISNUMBER(F467),ISNUMBER(G467),F467&gt;0),G467/F467-1,"n.a.")</x:f>
        <x:v>0.03987986782691677</x:v>
      </x:c>
      <x:c r="L467" s="15" t="n">
        <x:f>IF(AND(N467,ISNUMBER(H467),ISNUMBER(I467),H467&gt;0),I467/H467-1,"n.a.")</x:f>
        <x:v>0.05456157087299229</x:v>
      </x:c>
      <x:c r="M467" s="20" t="n">
        <x:f>IF(AND(ISNUMBER(K467),ISNUMBER(L467)),100*(K467-L467),"n.a.")</x:f>
        <x:v>-1.4681703046075523</x:v>
      </x:c>
      <x:c r="N467" s="13" t="b">
        <x:v>1</x:v>
      </x:c>
      <x:c r="O467" s="13" t="b">
        <x:v>1</x:v>
      </x:c>
      <x:c r="P467" s="13" t="b">
        <x:v>0</x:v>
      </x:c>
      <x:c r="Q467" s="2" t="str">
        <x:v>none</x:v>
      </x:c>
      <x:c r="R467" s="2" t="str">
        <x:v>none</x:v>
      </x:c>
      <x:c r="S467" s="2" t="str">
        <x:v>nominal Q4 source model estimate</x:v>
      </x:c>
      <x:c r="T467" s="2" t="str">
        <x:v>nominal Q4 source model estimate</x:v>
      </x:c>
      <x:c r="U467" s="2" t="str">
        <x:v>GFA growth versus source physical quantity growth; constant conversion required for equality</x:v>
      </x:c>
      <x:c r="V467" s="2" t="str">
        <x:v>2020 level is the model anchor; 2023 comparator unused by v16 fit but shares conversion/upstream lineage</x:v>
      </x:c>
      <x:c r="W467" s="2" t="str">
        <x:v>https://arxiv.org/abs/2511.12104</x:v>
      </x:c>
    </x:row>
    <x:row r="468" ht="23" customHeight="1">
      <x:c r="A468" s="2" t="str">
        <x:v>GTM</x:v>
      </x:c>
      <x:c r="B468" s="2" t="str">
        <x:v>Guatemala (Republic of)</x:v>
      </x:c>
      <x:c r="C468" s="2" t="str">
        <x:v>TEMPO_VOLUME</x:v>
      </x:c>
      <x:c r="D468" s="2" t="n">
        <x:v>2020</x:v>
      </x:c>
      <x:c r="E468" s="2" t="n">
        <x:v>2023</x:v>
      </x:c>
      <x:c r="F468" s="17" t="n">
        <x:v>599114028.8099989</x:v>
      </x:c>
      <x:c r="G468" s="17" t="n">
        <x:v>647754969.24808</x:v>
      </x:c>
      <x:c r="H468" s="17" t="n">
        <x:v>1485854767.08</x:v>
      </x:c>
      <x:c r="I468" s="17" t="n">
        <x:v>1607002337.7</x:v>
      </x:c>
      <x:c r="J468" s="2" t="str">
        <x:v>m3</x:v>
      </x:c>
      <x:c r="K468" s="15" t="n">
        <x:f>IF(AND(ISNUMBER(F468),ISNUMBER(G468),F468&gt;0),G468/F468-1,"n.a.")</x:f>
        <x:v>0.08118811795259595</x:v>
      </x:c>
      <x:c r="L468" s="15" t="n">
        <x:f>IF(AND(N468,ISNUMBER(H468),ISNUMBER(I468),H468&gt;0),I468/H468-1,"n.a.")</x:f>
        <x:v>0.08153392465003773</x:v>
      </x:c>
      <x:c r="M468" s="20" t="n">
        <x:f>IF(AND(ISNUMBER(K468),ISNUMBER(L468)),100*(K468-L468),"n.a.")</x:f>
        <x:v>-0.034580669744177506</x:v>
      </x:c>
      <x:c r="N468" s="13" t="b">
        <x:v>1</x:v>
      </x:c>
      <x:c r="O468" s="13" t="b">
        <x:v>1</x:v>
      </x:c>
      <x:c r="P468" s="13" t="b">
        <x:v>0</x:v>
      </x:c>
      <x:c r="Q468" s="2" t="str">
        <x:v>none</x:v>
      </x:c>
      <x:c r="R468" s="2" t="str">
        <x:v>none</x:v>
      </x:c>
      <x:c r="S468" s="2" t="str">
        <x:v>nominal Q4 source model estimate</x:v>
      </x:c>
      <x:c r="T468" s="2" t="str">
        <x:v>nominal Q4 source model estimate</x:v>
      </x:c>
      <x:c r="U468" s="2" t="str">
        <x:v>GFA growth versus source physical quantity growth; constant conversion required for equality</x:v>
      </x:c>
      <x:c r="V468" s="2" t="str">
        <x:v>2020 level is the model anchor; 2023 comparator unused by v16 fit but shares conversion/upstream lineage</x:v>
      </x:c>
      <x:c r="W468" s="2" t="str">
        <x:v>https://arxiv.org/abs/2511.12104</x:v>
      </x:c>
    </x:row>
    <x:row r="469" ht="23" customHeight="1">
      <x:c r="A469" s="2" t="str">
        <x:v>GUY</x:v>
      </x:c>
      <x:c r="B469" s="2" t="str">
        <x:v>Guyana (Co-operative Republic of)</x:v>
      </x:c>
      <x:c r="C469" s="2" t="str">
        <x:v>TEMPO_VOLUME</x:v>
      </x:c>
      <x:c r="D469" s="2" t="n">
        <x:v>2020</x:v>
      </x:c>
      <x:c r="E469" s="2" t="n">
        <x:v>2023</x:v>
      </x:c>
      <x:c r="F469" s="17" t="n">
        <x:v>46462035.66000002</x:v>
      </x:c>
      <x:c r="G469" s="17" t="n">
        <x:v>49798430.03803689</x:v>
      </x:c>
      <x:c r="H469" s="17" t="n">
        <x:v>113535675.21</x:v>
      </x:c>
      <x:c r="I469" s="17" t="n">
        <x:v>120546005.77</x:v>
      </x:c>
      <x:c r="J469" s="2" t="str">
        <x:v>m3</x:v>
      </x:c>
      <x:c r="K469" s="15" t="n">
        <x:f>IF(AND(ISNUMBER(F469),ISNUMBER(G469),F469&gt;0),G469/F469-1,"n.a.")</x:f>
        <x:v>0.07180904432280899</x:v>
      </x:c>
      <x:c r="L469" s="15" t="n">
        <x:f>IF(AND(N469,ISNUMBER(H469),ISNUMBER(I469),H469&gt;0),I469/H469-1,"n.a.")</x:f>
        <x:v>0.06174561913718679</x:v>
      </x:c>
      <x:c r="M469" s="20" t="n">
        <x:f>IF(AND(ISNUMBER(K469),ISNUMBER(L469)),100*(K469-L469),"n.a.")</x:f>
        <x:v>1.00634251856222</x:v>
      </x:c>
      <x:c r="N469" s="13" t="b">
        <x:v>1</x:v>
      </x:c>
      <x:c r="O469" s="13" t="b">
        <x:v>1</x:v>
      </x:c>
      <x:c r="P469" s="13" t="b">
        <x:v>0</x:v>
      </x:c>
      <x:c r="Q469" s="2" t="str">
        <x:v>none</x:v>
      </x:c>
      <x:c r="R469" s="2" t="str">
        <x:v>none</x:v>
      </x:c>
      <x:c r="S469" s="2" t="str">
        <x:v>nominal Q4 source model estimate</x:v>
      </x:c>
      <x:c r="T469" s="2" t="str">
        <x:v>nominal Q4 source model estimate</x:v>
      </x:c>
      <x:c r="U469" s="2" t="str">
        <x:v>GFA growth versus source physical quantity growth; constant conversion required for equality</x:v>
      </x:c>
      <x:c r="V469" s="2" t="str">
        <x:v>2020 level is the model anchor; 2023 comparator unused by v16 fit but shares conversion/upstream lineage</x:v>
      </x:c>
      <x:c r="W469" s="2" t="str">
        <x:v>https://arxiv.org/abs/2511.12104</x:v>
      </x:c>
    </x:row>
    <x:row r="470" ht="23" customHeight="1">
      <x:c r="A470" s="2" t="str">
        <x:v>HND</x:v>
      </x:c>
      <x:c r="B470" s="2" t="str">
        <x:v>Honduras (Republic of)</x:v>
      </x:c>
      <x:c r="C470" s="2" t="str">
        <x:v>TEMPO_VOLUME</x:v>
      </x:c>
      <x:c r="D470" s="2" t="n">
        <x:v>2020</x:v>
      </x:c>
      <x:c r="E470" s="2" t="n">
        <x:v>2023</x:v>
      </x:c>
      <x:c r="F470" s="17" t="n">
        <x:v>335660713.2700002</x:v>
      </x:c>
      <x:c r="G470" s="17" t="n">
        <x:v>364439508.79973423</x:v>
      </x:c>
      <x:c r="H470" s="17" t="n">
        <x:v>790387597.05</x:v>
      </x:c>
      <x:c r="I470" s="17" t="n">
        <x:v>851683555.3</x:v>
      </x:c>
      <x:c r="J470" s="2" t="str">
        <x:v>m3</x:v>
      </x:c>
      <x:c r="K470" s="15" t="n">
        <x:f>IF(AND(ISNUMBER(F470),ISNUMBER(G470),F470&gt;0),G470/F470-1,"n.a.")</x:f>
        <x:v>0.0857377536065258</x:v>
      </x:c>
      <x:c r="L470" s="15" t="n">
        <x:f>IF(AND(N470,ISNUMBER(H470),ISNUMBER(I470),H470&gt;0),I470/H470-1,"n.a.")</x:f>
        <x:v>0.07755177140782288</x:v>
      </x:c>
      <x:c r="M470" s="20" t="n">
        <x:f>IF(AND(ISNUMBER(K470),ISNUMBER(L470)),100*(K470-L470),"n.a.")</x:f>
        <x:v>0.8185982198702924</x:v>
      </x:c>
      <x:c r="N470" s="13" t="b">
        <x:v>1</x:v>
      </x:c>
      <x:c r="O470" s="13" t="b">
        <x:v>1</x:v>
      </x:c>
      <x:c r="P470" s="13" t="b">
        <x:v>0</x:v>
      </x:c>
      <x:c r="Q470" s="2" t="str">
        <x:v>none</x:v>
      </x:c>
      <x:c r="R470" s="2" t="str">
        <x:v>none</x:v>
      </x:c>
      <x:c r="S470" s="2" t="str">
        <x:v>nominal Q4 source model estimate</x:v>
      </x:c>
      <x:c r="T470" s="2" t="str">
        <x:v>nominal Q4 source model estimate</x:v>
      </x:c>
      <x:c r="U470" s="2" t="str">
        <x:v>GFA growth versus source physical quantity growth; constant conversion required for equality</x:v>
      </x:c>
      <x:c r="V470" s="2" t="str">
        <x:v>2020 level is the model anchor; 2023 comparator unused by v16 fit but shares conversion/upstream lineage</x:v>
      </x:c>
      <x:c r="W470" s="2" t="str">
        <x:v>https://arxiv.org/abs/2511.12104</x:v>
      </x:c>
    </x:row>
    <x:row r="471" ht="23" customHeight="1">
      <x:c r="A471" s="2" t="str">
        <x:v>HRV</x:v>
      </x:c>
      <x:c r="B471" s="2" t="str">
        <x:v>Croatia (Republic of)</x:v>
      </x:c>
      <x:c r="C471" s="2" t="str">
        <x:v>TEMPO_VOLUME</x:v>
      </x:c>
      <x:c r="D471" s="2" t="n">
        <x:v>2020</x:v>
      </x:c>
      <x:c r="E471" s="2" t="n">
        <x:v>2023</x:v>
      </x:c>
      <x:c r="F471" s="17" t="n">
        <x:v>361520718.4299994</x:v>
      </x:c>
      <x:c r="G471" s="17" t="n">
        <x:v>369349142.65656567</x:v>
      </x:c>
      <x:c r="H471" s="17" t="n">
        <x:v>1011990991.35</x:v>
      </x:c>
      <x:c r="I471" s="17" t="n">
        <x:v>1062972034.43</x:v>
      </x:c>
      <x:c r="J471" s="2" t="str">
        <x:v>m3</x:v>
      </x:c>
      <x:c r="K471" s="15" t="n">
        <x:f>IF(AND(ISNUMBER(F471),ISNUMBER(G471),F471&gt;0),G471/F471-1,"n.a.")</x:f>
        <x:v>0.02165415100015089</x:v>
      </x:c>
      <x:c r="L471" s="15" t="n">
        <x:f>IF(AND(N471,ISNUMBER(H471),ISNUMBER(I471),H471&gt;0),I471/H471-1,"n.a.")</x:f>
        <x:v>0.050376973229762756</x:v>
      </x:c>
      <x:c r="M471" s="20" t="n">
        <x:f>IF(AND(ISNUMBER(K471),ISNUMBER(L471)),100*(K471-L471),"n.a.")</x:f>
        <x:v>-2.8722822229611866</x:v>
      </x:c>
      <x:c r="N471" s="13" t="b">
        <x:v>1</x:v>
      </x:c>
      <x:c r="O471" s="13" t="b">
        <x:v>1</x:v>
      </x:c>
      <x:c r="P471" s="13" t="b">
        <x:v>0</x:v>
      </x:c>
      <x:c r="Q471" s="2" t="str">
        <x:v>none</x:v>
      </x:c>
      <x:c r="R471" s="2" t="str">
        <x:v>none</x:v>
      </x:c>
      <x:c r="S471" s="2" t="str">
        <x:v>nominal Q4 source model estimate</x:v>
      </x:c>
      <x:c r="T471" s="2" t="str">
        <x:v>nominal Q4 source model estimate</x:v>
      </x:c>
      <x:c r="U471" s="2" t="str">
        <x:v>GFA growth versus source physical quantity growth; constant conversion required for equality</x:v>
      </x:c>
      <x:c r="V471" s="2" t="str">
        <x:v>2020 level is the model anchor; 2023 comparator unused by v16 fit but shares conversion/upstream lineage</x:v>
      </x:c>
      <x:c r="W471" s="2" t="str">
        <x:v>https://arxiv.org/abs/2511.12104</x:v>
      </x:c>
    </x:row>
    <x:row r="472" ht="23" customHeight="1">
      <x:c r="A472" s="2" t="str">
        <x:v>HTI</x:v>
      </x:c>
      <x:c r="B472" s="2" t="str">
        <x:v>Haiti (Republic of)</x:v>
      </x:c>
      <x:c r="C472" s="2" t="str">
        <x:v>TEMPO_VOLUME</x:v>
      </x:c>
      <x:c r="D472" s="2" t="n">
        <x:v>2020</x:v>
      </x:c>
      <x:c r="E472" s="2" t="n">
        <x:v>2023</x:v>
      </x:c>
      <x:c r="F472" s="17" t="n">
        <x:v>189002396.5400002</x:v>
      </x:c>
      <x:c r="G472" s="17" t="n">
        <x:v>209148379.48343772</x:v>
      </x:c>
      <x:c r="H472" s="17" t="n">
        <x:v>428385998.41</x:v>
      </x:c>
      <x:c r="I472" s="17" t="n">
        <x:v>443182823.94</x:v>
      </x:c>
      <x:c r="J472" s="2" t="str">
        <x:v>m3</x:v>
      </x:c>
      <x:c r="K472" s="15" t="n">
        <x:f>IF(AND(ISNUMBER(F472),ISNUMBER(G472),F472&gt;0),G472/F472-1,"n.a.")</x:f>
        <x:v>0.10659115075915904</x:v>
      </x:c>
      <x:c r="L472" s="15" t="n">
        <x:f>IF(AND(N472,ISNUMBER(H472),ISNUMBER(I472),H472&gt;0),I472/H472-1,"n.a.")</x:f>
        <x:v>0.03454087104835346</x:v>
      </x:c>
      <x:c r="M472" s="20" t="n">
        <x:f>IF(AND(ISNUMBER(K472),ISNUMBER(L472)),100*(K472-L472),"n.a.")</x:f>
        <x:v>7.205027971080558</x:v>
      </x:c>
      <x:c r="N472" s="13" t="b">
        <x:v>1</x:v>
      </x:c>
      <x:c r="O472" s="13" t="b">
        <x:v>1</x:v>
      </x:c>
      <x:c r="P472" s="13" t="b">
        <x:v>0</x:v>
      </x:c>
      <x:c r="Q472" s="2" t="str">
        <x:v>none</x:v>
      </x:c>
      <x:c r="R472" s="2" t="str">
        <x:v>none</x:v>
      </x:c>
      <x:c r="S472" s="2" t="str">
        <x:v>nominal Q4 source model estimate</x:v>
      </x:c>
      <x:c r="T472" s="2" t="str">
        <x:v>nominal Q4 source model estimate</x:v>
      </x:c>
      <x:c r="U472" s="2" t="str">
        <x:v>GFA growth versus source physical quantity growth; constant conversion required for equality</x:v>
      </x:c>
      <x:c r="V472" s="2" t="str">
        <x:v>2020 level is the model anchor; 2023 comparator unused by v16 fit but shares conversion/upstream lineage</x:v>
      </x:c>
      <x:c r="W472" s="2" t="str">
        <x:v>https://arxiv.org/abs/2511.12104</x:v>
      </x:c>
    </x:row>
    <x:row r="473" ht="23" customHeight="1">
      <x:c r="A473" s="2" t="str">
        <x:v>HUN</x:v>
      </x:c>
      <x:c r="B473" s="2" t="str">
        <x:v>Hungary</x:v>
      </x:c>
      <x:c r="C473" s="2" t="str">
        <x:v>TEMPO_VOLUME</x:v>
      </x:c>
      <x:c r="D473" s="2" t="n">
        <x:v>2020</x:v>
      </x:c>
      <x:c r="E473" s="2" t="n">
        <x:v>2023</x:v>
      </x:c>
      <x:c r="F473" s="17" t="n">
        <x:v>853072780.5300013</x:v>
      </x:c>
      <x:c r="G473" s="17" t="n">
        <x:v>883797573.1256319</x:v>
      </x:c>
      <x:c r="H473" s="17" t="n">
        <x:v>2603669443.89</x:v>
      </x:c>
      <x:c r="I473" s="17" t="n">
        <x:v>2784579248.91</x:v>
      </x:c>
      <x:c r="J473" s="2" t="str">
        <x:v>m3</x:v>
      </x:c>
      <x:c r="K473" s="15" t="n">
        <x:f>IF(AND(ISNUMBER(F473),ISNUMBER(G473),F473&gt;0),G473/F473-1,"n.a.")</x:f>
        <x:v>0.03601661346707341</x:v>
      </x:c>
      <x:c r="L473" s="15" t="n">
        <x:f>IF(AND(N473,ISNUMBER(H473),ISNUMBER(I473),H473&gt;0),I473/H473-1,"n.a.")</x:f>
        <x:v>0.06948263169295132</x:v>
      </x:c>
      <x:c r="M473" s="20" t="n">
        <x:f>IF(AND(ISNUMBER(K473),ISNUMBER(L473)),100*(K473-L473),"n.a.")</x:f>
        <x:v>-3.3466018225877914</x:v>
      </x:c>
      <x:c r="N473" s="13" t="b">
        <x:v>1</x:v>
      </x:c>
      <x:c r="O473" s="13" t="b">
        <x:v>1</x:v>
      </x:c>
      <x:c r="P473" s="13" t="b">
        <x:v>0</x:v>
      </x:c>
      <x:c r="Q473" s="2" t="str">
        <x:v>none</x:v>
      </x:c>
      <x:c r="R473" s="2" t="str">
        <x:v>none</x:v>
      </x:c>
      <x:c r="S473" s="2" t="str">
        <x:v>nominal Q4 source model estimate</x:v>
      </x:c>
      <x:c r="T473" s="2" t="str">
        <x:v>nominal Q4 source model estimate</x:v>
      </x:c>
      <x:c r="U473" s="2" t="str">
        <x:v>GFA growth versus source physical quantity growth; constant conversion required for equality</x:v>
      </x:c>
      <x:c r="V473" s="2" t="str">
        <x:v>2020 level is the model anchor; 2023 comparator unused by v16 fit but shares conversion/upstream lineage</x:v>
      </x:c>
      <x:c r="W473" s="2" t="str">
        <x:v>https://arxiv.org/abs/2511.12104</x:v>
      </x:c>
    </x:row>
    <x:row r="474" ht="23" customHeight="1">
      <x:c r="A474" s="2" t="str">
        <x:v>IDN</x:v>
      </x:c>
      <x:c r="B474" s="2" t="str">
        <x:v>Indonesia (Republic of)</x:v>
      </x:c>
      <x:c r="C474" s="2" t="str">
        <x:v>TEMPO_VOLUME</x:v>
      </x:c>
      <x:c r="D474" s="2" t="n">
        <x:v>2020</x:v>
      </x:c>
      <x:c r="E474" s="2" t="n">
        <x:v>2023</x:v>
      </x:c>
      <x:c r="F474" s="17" t="n">
        <x:v>10794355074.089985</x:v>
      </x:c>
      <x:c r="G474" s="17" t="n">
        <x:v>11646095553.226633</x:v>
      </x:c>
      <x:c r="H474" s="17" t="n">
        <x:v>30638069975.65</x:v>
      </x:c>
      <x:c r="I474" s="17" t="n">
        <x:v>32461788685.29</x:v>
      </x:c>
      <x:c r="J474" s="2" t="str">
        <x:v>m3</x:v>
      </x:c>
      <x:c r="K474" s="15" t="n">
        <x:f>IF(AND(ISNUMBER(F474),ISNUMBER(G474),F474&gt;0),G474/F474-1,"n.a.")</x:f>
        <x:v>0.07890610168838208</x:v>
      </x:c>
      <x:c r="L474" s="15" t="n">
        <x:f>IF(AND(N474,ISNUMBER(H474),ISNUMBER(I474),H474&gt;0),I474/H474-1,"n.a.")</x:f>
        <x:v>0.0595245950900114</x:v>
      </x:c>
      <x:c r="M474" s="20" t="n">
        <x:f>IF(AND(ISNUMBER(K474),ISNUMBER(L474)),100*(K474-L474),"n.a.")</x:f>
        <x:v>1.938150659837068</x:v>
      </x:c>
      <x:c r="N474" s="13" t="b">
        <x:v>1</x:v>
      </x:c>
      <x:c r="O474" s="13" t="b">
        <x:v>1</x:v>
      </x:c>
      <x:c r="P474" s="13" t="b">
        <x:v>0</x:v>
      </x:c>
      <x:c r="Q474" s="2" t="str">
        <x:v>none</x:v>
      </x:c>
      <x:c r="R474" s="2" t="str">
        <x:v>none</x:v>
      </x:c>
      <x:c r="S474" s="2" t="str">
        <x:v>nominal Q4 source model estimate</x:v>
      </x:c>
      <x:c r="T474" s="2" t="str">
        <x:v>nominal Q4 source model estimate</x:v>
      </x:c>
      <x:c r="U474" s="2" t="str">
        <x:v>GFA growth versus source physical quantity growth; constant conversion required for equality</x:v>
      </x:c>
      <x:c r="V474" s="2" t="str">
        <x:v>2020 level is the model anchor; 2023 comparator unused by v16 fit but shares conversion/upstream lineage</x:v>
      </x:c>
      <x:c r="W474" s="2" t="str">
        <x:v>https://arxiv.org/abs/2511.12104</x:v>
      </x:c>
    </x:row>
    <x:row r="475" ht="23" customHeight="1">
      <x:c r="A475" s="2" t="str">
        <x:v>IND</x:v>
      </x:c>
      <x:c r="B475" s="2" t="str">
        <x:v>India (Republic of)</x:v>
      </x:c>
      <x:c r="C475" s="2" t="str">
        <x:v>TEMPO_VOLUME</x:v>
      </x:c>
      <x:c r="D475" s="2" t="n">
        <x:v>2020</x:v>
      </x:c>
      <x:c r="E475" s="2" t="n">
        <x:v>2023</x:v>
      </x:c>
      <x:c r="F475" s="17" t="n">
        <x:v>27853638424.040043</x:v>
      </x:c>
      <x:c r="G475" s="17" t="n">
        <x:v>30710239600.452385</x:v>
      </x:c>
      <x:c r="H475" s="17" t="n">
        <x:v>73626732402.42</x:v>
      </x:c>
      <x:c r="I475" s="17" t="n">
        <x:v>75226948157.98</x:v>
      </x:c>
      <x:c r="J475" s="2" t="str">
        <x:v>m3</x:v>
      </x:c>
      <x:c r="K475" s="15" t="n">
        <x:f>IF(AND(ISNUMBER(F475),ISNUMBER(G475),F475&gt;0),G475/F475-1,"n.a.")</x:f>
        <x:v>0.1025575593724537</x:v>
      </x:c>
      <x:c r="L475" s="15" t="n">
        <x:f>IF(AND(N475,ISNUMBER(H475),ISNUMBER(I475),H475&gt;0),I475/H475-1,"n.a.")</x:f>
        <x:v>0.021734167785876002</x:v>
      </x:c>
      <x:c r="M475" s="20" t="n">
        <x:f>IF(AND(ISNUMBER(K475),ISNUMBER(L475)),100*(K475-L475),"n.a.")</x:f>
        <x:v>8.08233915865777</x:v>
      </x:c>
      <x:c r="N475" s="13" t="b">
        <x:v>1</x:v>
      </x:c>
      <x:c r="O475" s="13" t="b">
        <x:v>1</x:v>
      </x:c>
      <x:c r="P475" s="13" t="b">
        <x:v>0</x:v>
      </x:c>
      <x:c r="Q475" s="2" t="str">
        <x:v>none</x:v>
      </x:c>
      <x:c r="R475" s="2" t="str">
        <x:v>none</x:v>
      </x:c>
      <x:c r="S475" s="2" t="str">
        <x:v>nominal Q4 source model estimate</x:v>
      </x:c>
      <x:c r="T475" s="2" t="str">
        <x:v>nominal Q4 source model estimate</x:v>
      </x:c>
      <x:c r="U475" s="2" t="str">
        <x:v>GFA growth versus source physical quantity growth; constant conversion required for equality</x:v>
      </x:c>
      <x:c r="V475" s="2" t="str">
        <x:v>2020 level is the model anchor; 2023 comparator unused by v16 fit but shares conversion/upstream lineage</x:v>
      </x:c>
      <x:c r="W475" s="2" t="str">
        <x:v>https://arxiv.org/abs/2511.12104</x:v>
      </x:c>
    </x:row>
    <x:row r="476" ht="23" customHeight="1">
      <x:c r="A476" s="2" t="str">
        <x:v>IRL</x:v>
      </x:c>
      <x:c r="B476" s="2" t="str">
        <x:v>Ireland</x:v>
      </x:c>
      <x:c r="C476" s="2" t="str">
        <x:v>TEMPO_VOLUME</x:v>
      </x:c>
      <x:c r="D476" s="2" t="n">
        <x:v>2020</x:v>
      </x:c>
      <x:c r="E476" s="2" t="n">
        <x:v>2023</x:v>
      </x:c>
      <x:c r="F476" s="17" t="n">
        <x:v>426553619.39999974</x:v>
      </x:c>
      <x:c r="G476" s="17" t="n">
        <x:v>453550056.5667838</x:v>
      </x:c>
      <x:c r="H476" s="17" t="n">
        <x:v>1175016849.13</x:v>
      </x:c>
      <x:c r="I476" s="17" t="n">
        <x:v>1275685624.49</x:v>
      </x:c>
      <x:c r="J476" s="2" t="str">
        <x:v>m3</x:v>
      </x:c>
      <x:c r="K476" s="15" t="n">
        <x:f>IF(AND(ISNUMBER(F476),ISNUMBER(G476),F476&gt;0),G476/F476-1,"n.a.")</x:f>
        <x:v>0.0632896684940989</x:v>
      </x:c>
      <x:c r="L476" s="15" t="n">
        <x:f>IF(AND(N476,ISNUMBER(H476),ISNUMBER(I476),H476&gt;0),I476/H476-1,"n.a.")</x:f>
        <x:v>0.08567432495503069</x:v>
      </x:c>
      <x:c r="M476" s="20" t="n">
        <x:f>IF(AND(ISNUMBER(K476),ISNUMBER(L476)),100*(K476-L476),"n.a.")</x:f>
        <x:v>-2.2384656460931796</x:v>
      </x:c>
      <x:c r="N476" s="13" t="b">
        <x:v>1</x:v>
      </x:c>
      <x:c r="O476" s="13" t="b">
        <x:v>1</x:v>
      </x:c>
      <x:c r="P476" s="13" t="b">
        <x:v>0</x:v>
      </x:c>
      <x:c r="Q476" s="2" t="str">
        <x:v>none</x:v>
      </x:c>
      <x:c r="R476" s="2" t="str">
        <x:v>none</x:v>
      </x:c>
      <x:c r="S476" s="2" t="str">
        <x:v>nominal Q4 source model estimate</x:v>
      </x:c>
      <x:c r="T476" s="2" t="str">
        <x:v>nominal Q4 source model estimate</x:v>
      </x:c>
      <x:c r="U476" s="2" t="str">
        <x:v>GFA growth versus source physical quantity growth; constant conversion required for equality</x:v>
      </x:c>
      <x:c r="V476" s="2" t="str">
        <x:v>2020 level is the model anchor; 2023 comparator unused by v16 fit but shares conversion/upstream lineage</x:v>
      </x:c>
      <x:c r="W476" s="2" t="str">
        <x:v>https://arxiv.org/abs/2511.12104</x:v>
      </x:c>
    </x:row>
    <x:row r="477" ht="23" customHeight="1">
      <x:c r="A477" s="2" t="str">
        <x:v>IRN</x:v>
      </x:c>
      <x:c r="B477" s="2" t="str">
        <x:v>Iran (Islamic Republic of)</x:v>
      </x:c>
      <x:c r="C477" s="2" t="str">
        <x:v>TEMPO_VOLUME</x:v>
      </x:c>
      <x:c r="D477" s="2" t="n">
        <x:v>2020</x:v>
      </x:c>
      <x:c r="E477" s="2" t="n">
        <x:v>2023</x:v>
      </x:c>
      <x:c r="F477" s="17" t="n">
        <x:v>3753827768.770001</x:v>
      </x:c>
      <x:c r="G477" s="17" t="n">
        <x:v>4092887896.004569</x:v>
      </x:c>
      <x:c r="H477" s="17" t="n">
        <x:v>11996342355.59</x:v>
      </x:c>
      <x:c r="I477" s="17" t="n">
        <x:v>13001691784.98</x:v>
      </x:c>
      <x:c r="J477" s="2" t="str">
        <x:v>m3</x:v>
      </x:c>
      <x:c r="K477" s="15" t="n">
        <x:f>IF(AND(ISNUMBER(F477),ISNUMBER(G477),F477&gt;0),G477/F477-1,"n.a.")</x:f>
        <x:v>0.09032383692597223</x:v>
      </x:c>
      <x:c r="L477" s="15" t="n">
        <x:f>IF(AND(N477,ISNUMBER(H477),ISNUMBER(I477),H477&gt;0),I477/H477-1,"n.a.")</x:f>
        <x:v>0.08380466308728929</x:v>
      </x:c>
      <x:c r="M477" s="20" t="n">
        <x:f>IF(AND(ISNUMBER(K477),ISNUMBER(L477)),100*(K477-L477),"n.a.")</x:f>
        <x:v>0.6519173838682946</x:v>
      </x:c>
      <x:c r="N477" s="13" t="b">
        <x:v>1</x:v>
      </x:c>
      <x:c r="O477" s="13" t="b">
        <x:v>1</x:v>
      </x:c>
      <x:c r="P477" s="13" t="b">
        <x:v>0</x:v>
      </x:c>
      <x:c r="Q477" s="2" t="str">
        <x:v>none</x:v>
      </x:c>
      <x:c r="R477" s="2" t="str">
        <x:v>none</x:v>
      </x:c>
      <x:c r="S477" s="2" t="str">
        <x:v>nominal Q4 source model estimate</x:v>
      </x:c>
      <x:c r="T477" s="2" t="str">
        <x:v>nominal Q4 source model estimate</x:v>
      </x:c>
      <x:c r="U477" s="2" t="str">
        <x:v>GFA growth versus source physical quantity growth; constant conversion required for equality</x:v>
      </x:c>
      <x:c r="V477" s="2" t="str">
        <x:v>2020 level is the model anchor; 2023 comparator unused by v16 fit but shares conversion/upstream lineage</x:v>
      </x:c>
      <x:c r="W477" s="2" t="str">
        <x:v>https://arxiv.org/abs/2511.12104</x:v>
      </x:c>
    </x:row>
    <x:row r="478" ht="23" customHeight="1">
      <x:c r="A478" s="2" t="str">
        <x:v>IRQ</x:v>
      </x:c>
      <x:c r="B478" s="2" t="str">
        <x:v>Iraq (Republic of)</x:v>
      </x:c>
      <x:c r="C478" s="2" t="str">
        <x:v>TEMPO_VOLUME</x:v>
      </x:c>
      <x:c r="D478" s="2" t="n">
        <x:v>2020</x:v>
      </x:c>
      <x:c r="E478" s="2" t="n">
        <x:v>2023</x:v>
      </x:c>
      <x:c r="F478" s="17" t="n">
        <x:v>1226955244.870001</x:v>
      </x:c>
      <x:c r="G478" s="17" t="n">
        <x:v>1368221797.4819076</x:v>
      </x:c>
      <x:c r="H478" s="17" t="n">
        <x:v>3508223180.22</x:v>
      </x:c>
      <x:c r="I478" s="17" t="n">
        <x:v>4069411044.19</x:v>
      </x:c>
      <x:c r="J478" s="2" t="str">
        <x:v>m3</x:v>
      </x:c>
      <x:c r="K478" s="15" t="n">
        <x:f>IF(AND(ISNUMBER(F478),ISNUMBER(G478),F478&gt;0),G478/F478-1,"n.a.")</x:f>
        <x:v>0.1151358643296514</x:v>
      </x:c>
      <x:c r="L478" s="15" t="n">
        <x:f>IF(AND(N478,ISNUMBER(H478),ISNUMBER(I478),H478&gt;0),I478/H478-1,"n.a.")</x:f>
        <x:v>0.15996355851420163</x:v>
      </x:c>
      <x:c r="M478" s="20" t="n">
        <x:f>IF(AND(ISNUMBER(K478),ISNUMBER(L478)),100*(K478-L478),"n.a.")</x:f>
        <x:v>-4.482769418455024</x:v>
      </x:c>
      <x:c r="N478" s="13" t="b">
        <x:v>1</x:v>
      </x:c>
      <x:c r="O478" s="13" t="b">
        <x:v>1</x:v>
      </x:c>
      <x:c r="P478" s="13" t="b">
        <x:v>0</x:v>
      </x:c>
      <x:c r="Q478" s="2" t="str">
        <x:v>none</x:v>
      </x:c>
      <x:c r="R478" s="2" t="str">
        <x:v>none</x:v>
      </x:c>
      <x:c r="S478" s="2" t="str">
        <x:v>nominal Q4 source model estimate</x:v>
      </x:c>
      <x:c r="T478" s="2" t="str">
        <x:v>nominal Q4 source model estimate</x:v>
      </x:c>
      <x:c r="U478" s="2" t="str">
        <x:v>GFA growth versus source physical quantity growth; constant conversion required for equality</x:v>
      </x:c>
      <x:c r="V478" s="2" t="str">
        <x:v>2020 level is the model anchor; 2023 comparator unused by v16 fit but shares conversion/upstream lineage</x:v>
      </x:c>
      <x:c r="W478" s="2" t="str">
        <x:v>https://arxiv.org/abs/2511.12104</x:v>
      </x:c>
    </x:row>
    <x:row r="479" ht="23" customHeight="1">
      <x:c r="A479" s="2" t="str">
        <x:v>ISL</x:v>
      </x:c>
      <x:c r="B479" s="2" t="str">
        <x:v>Iceland</x:v>
      </x:c>
      <x:c r="C479" s="2" t="str">
        <x:v>TEMPO_VOLUME</x:v>
      </x:c>
      <x:c r="D479" s="2" t="n">
        <x:v>2020</x:v>
      </x:c>
      <x:c r="E479" s="2" t="n">
        <x:v>2023</x:v>
      </x:c>
      <x:c r="F479" s="17" t="n">
        <x:v>26377629.56999999</x:v>
      </x:c>
      <x:c r="G479" s="17" t="n">
        <x:v>29802140.79216753</x:v>
      </x:c>
      <x:c r="H479" s="17" t="n">
        <x:v>94926985.96</x:v>
      </x:c>
      <x:c r="I479" s="17" t="n">
        <x:v>97786625.66</x:v>
      </x:c>
      <x:c r="J479" s="2" t="str">
        <x:v>m3</x:v>
      </x:c>
      <x:c r="K479" s="15" t="n">
        <x:f>IF(AND(ISNUMBER(F479),ISNUMBER(G479),F479&gt;0),G479/F479-1,"n.a.")</x:f>
        <x:v>0.12982634444386654</x:v>
      </x:c>
      <x:c r="L479" s="15" t="n">
        <x:f>IF(AND(N479,ISNUMBER(H479),ISNUMBER(I479),H479&gt;0),I479/H479-1,"n.a.")</x:f>
        <x:v>0.030124623373220638</x:v>
      </x:c>
      <x:c r="M479" s="20" t="n">
        <x:f>IF(AND(ISNUMBER(K479),ISNUMBER(L479)),100*(K479-L479),"n.a.")</x:f>
        <x:v>9.97017210706459</x:v>
      </x:c>
      <x:c r="N479" s="13" t="b">
        <x:v>1</x:v>
      </x:c>
      <x:c r="O479" s="13" t="b">
        <x:v>1</x:v>
      </x:c>
      <x:c r="P479" s="13" t="b">
        <x:v>0</x:v>
      </x:c>
      <x:c r="Q479" s="2" t="str">
        <x:v>none</x:v>
      </x:c>
      <x:c r="R479" s="2" t="str">
        <x:v>none</x:v>
      </x:c>
      <x:c r="S479" s="2" t="str">
        <x:v>nominal Q4 source model estimate</x:v>
      </x:c>
      <x:c r="T479" s="2" t="str">
        <x:v>nominal Q4 source model estimate</x:v>
      </x:c>
      <x:c r="U479" s="2" t="str">
        <x:v>GFA growth versus source physical quantity growth; constant conversion required for equality</x:v>
      </x:c>
      <x:c r="V479" s="2" t="str">
        <x:v>2020 level is the model anchor; 2023 comparator unused by v16 fit but shares conversion/upstream lineage</x:v>
      </x:c>
      <x:c r="W479" s="2" t="str">
        <x:v>https://arxiv.org/abs/2511.12104</x:v>
      </x:c>
    </x:row>
    <x:row r="480" ht="23" customHeight="1">
      <x:c r="A480" s="2" t="str">
        <x:v>ISR</x:v>
      </x:c>
      <x:c r="B480" s="2" t="str">
        <x:v>Israel (State of)</x:v>
      </x:c>
      <x:c r="C480" s="2" t="str">
        <x:v>TEMPO_VOLUME</x:v>
      </x:c>
      <x:c r="D480" s="2" t="n">
        <x:v>2020</x:v>
      </x:c>
      <x:c r="E480" s="2" t="n">
        <x:v>2023</x:v>
      </x:c>
      <x:c r="F480" s="17" t="n">
        <x:v>372353983.1399999</x:v>
      </x:c>
      <x:c r="G480" s="17" t="n">
        <x:v>409812102.4425136</x:v>
      </x:c>
      <x:c r="H480" s="17" t="n">
        <x:v>1257234675.08</x:v>
      </x:c>
      <x:c r="I480" s="17" t="n">
        <x:v>1286545744.91</x:v>
      </x:c>
      <x:c r="J480" s="2" t="str">
        <x:v>m3</x:v>
      </x:c>
      <x:c r="K480" s="15" t="n">
        <x:f>IF(AND(ISNUMBER(F480),ISNUMBER(G480),F480&gt;0),G480/F480-1,"n.a.")</x:f>
        <x:v>0.1005981431610734</x:v>
      </x:c>
      <x:c r="L480" s="15" t="n">
        <x:f>IF(AND(N480,ISNUMBER(H480),ISNUMBER(I480),H480&gt;0),I480/H480-1,"n.a.")</x:f>
        <x:v>0.023313920949670885</x:v>
      </x:c>
      <x:c r="M480" s="20" t="n">
        <x:f>IF(AND(ISNUMBER(K480),ISNUMBER(L480)),100*(K480-L480),"n.a.")</x:f>
        <x:v>7.728422221140252</x:v>
      </x:c>
      <x:c r="N480" s="13" t="b">
        <x:v>1</x:v>
      </x:c>
      <x:c r="O480" s="13" t="b">
        <x:v>1</x:v>
      </x:c>
      <x:c r="P480" s="13" t="b">
        <x:v>0</x:v>
      </x:c>
      <x:c r="Q480" s="2" t="str">
        <x:v>none</x:v>
      </x:c>
      <x:c r="R480" s="2" t="str">
        <x:v>none</x:v>
      </x:c>
      <x:c r="S480" s="2" t="str">
        <x:v>nominal Q4 source model estimate</x:v>
      </x:c>
      <x:c r="T480" s="2" t="str">
        <x:v>nominal Q4 source model estimate</x:v>
      </x:c>
      <x:c r="U480" s="2" t="str">
        <x:v>GFA growth versus source physical quantity growth; constant conversion required for equality</x:v>
      </x:c>
      <x:c r="V480" s="2" t="str">
        <x:v>2020 level is the model anchor; 2023 comparator unused by v16 fit but shares conversion/upstream lineage</x:v>
      </x:c>
      <x:c r="W480" s="2" t="str">
        <x:v>https://arxiv.org/abs/2511.12104</x:v>
      </x:c>
    </x:row>
    <x:row r="481" ht="23" customHeight="1">
      <x:c r="A481" s="2" t="str">
        <x:v>ITA</x:v>
      </x:c>
      <x:c r="B481" s="2" t="str">
        <x:v>Italy (Italian Republic)</x:v>
      </x:c>
      <x:c r="C481" s="2" t="str">
        <x:v>TEMPO_VOLUME</x:v>
      </x:c>
      <x:c r="D481" s="2" t="n">
        <x:v>2020</x:v>
      </x:c>
      <x:c r="E481" s="2" t="n">
        <x:v>2023</x:v>
      </x:c>
      <x:c r="F481" s="17" t="n">
        <x:v>5000634293.290002</x:v>
      </x:c>
      <x:c r="G481" s="17" t="n">
        <x:v>5351931681.161436</x:v>
      </x:c>
      <x:c r="H481" s="17" t="n">
        <x:v>17604473968.7</x:v>
      </x:c>
      <x:c r="I481" s="17" t="n">
        <x:v>18013079583.89</x:v>
      </x:c>
      <x:c r="J481" s="2" t="str">
        <x:v>m3</x:v>
      </x:c>
      <x:c r="K481" s="15" t="n">
        <x:f>IF(AND(ISNUMBER(F481),ISNUMBER(G481),F481&gt;0),G481/F481-1,"n.a.")</x:f>
        <x:v>0.07025056568180066</x:v>
      </x:c>
      <x:c r="L481" s="15" t="n">
        <x:f>IF(AND(N481,ISNUMBER(H481),ISNUMBER(I481),H481&gt;0),I481/H481-1,"n.a.")</x:f>
        <x:v>0.02321032800619216</x:v>
      </x:c>
      <x:c r="M481" s="20" t="n">
        <x:f>IF(AND(ISNUMBER(K481),ISNUMBER(L481)),100*(K481-L481),"n.a.")</x:f>
        <x:v>4.70402376756085</x:v>
      </x:c>
      <x:c r="N481" s="13" t="b">
        <x:v>1</x:v>
      </x:c>
      <x:c r="O481" s="13" t="b">
        <x:v>1</x:v>
      </x:c>
      <x:c r="P481" s="13" t="b">
        <x:v>0</x:v>
      </x:c>
      <x:c r="Q481" s="2" t="str">
        <x:v>none</x:v>
      </x:c>
      <x:c r="R481" s="2" t="str">
        <x:v>none</x:v>
      </x:c>
      <x:c r="S481" s="2" t="str">
        <x:v>nominal Q4 source model estimate</x:v>
      </x:c>
      <x:c r="T481" s="2" t="str">
        <x:v>nominal Q4 source model estimate</x:v>
      </x:c>
      <x:c r="U481" s="2" t="str">
        <x:v>GFA growth versus source physical quantity growth; constant conversion required for equality</x:v>
      </x:c>
      <x:c r="V481" s="2" t="str">
        <x:v>2020 level is the model anchor; 2023 comparator unused by v16 fit but shares conversion/upstream lineage</x:v>
      </x:c>
      <x:c r="W481" s="2" t="str">
        <x:v>https://arxiv.org/abs/2511.12104</x:v>
      </x:c>
    </x:row>
    <x:row r="482" ht="23" customHeight="1">
      <x:c r="A482" s="2" t="str">
        <x:v>JAM</x:v>
      </x:c>
      <x:c r="B482" s="2" t="str">
        <x:v>Jamaica</x:v>
      </x:c>
      <x:c r="C482" s="2" t="str">
        <x:v>TEMPO_VOLUME</x:v>
      </x:c>
      <x:c r="D482" s="2" t="n">
        <x:v>2020</x:v>
      </x:c>
      <x:c r="E482" s="2" t="n">
        <x:v>2023</x:v>
      </x:c>
      <x:c r="F482" s="17" t="n">
        <x:v>133338245.18999992</x:v>
      </x:c>
      <x:c r="G482" s="17" t="n">
        <x:v>138645959.96013302</x:v>
      </x:c>
      <x:c r="H482" s="17" t="n">
        <x:v>310385505.64</x:v>
      </x:c>
      <x:c r="I482" s="17" t="n">
        <x:v>322892578.43</x:v>
      </x:c>
      <x:c r="J482" s="2" t="str">
        <x:v>m3</x:v>
      </x:c>
      <x:c r="K482" s="15" t="n">
        <x:f>IF(AND(ISNUMBER(F482),ISNUMBER(G482),F482&gt;0),G482/F482-1,"n.a.")</x:f>
        <x:v>0.03980639435122213</x:v>
      </x:c>
      <x:c r="L482" s="15" t="n">
        <x:f>IF(AND(N482,ISNUMBER(H482),ISNUMBER(I482),H482&gt;0),I482/H482-1,"n.a.")</x:f>
        <x:v>0.04029528622546685</x:v>
      </x:c>
      <x:c r="M482" s="20" t="n">
        <x:f>IF(AND(ISNUMBER(K482),ISNUMBER(L482)),100*(K482-L482),"n.a.")</x:f>
        <x:v>-0.04888918742447235</x:v>
      </x:c>
      <x:c r="N482" s="13" t="b">
        <x:v>1</x:v>
      </x:c>
      <x:c r="O482" s="13" t="b">
        <x:v>1</x:v>
      </x:c>
      <x:c r="P482" s="13" t="b">
        <x:v>0</x:v>
      </x:c>
      <x:c r="Q482" s="2" t="str">
        <x:v>none</x:v>
      </x:c>
      <x:c r="R482" s="2" t="str">
        <x:v>none</x:v>
      </x:c>
      <x:c r="S482" s="2" t="str">
        <x:v>nominal Q4 source model estimate</x:v>
      </x:c>
      <x:c r="T482" s="2" t="str">
        <x:v>nominal Q4 source model estimate</x:v>
      </x:c>
      <x:c r="U482" s="2" t="str">
        <x:v>GFA growth versus source physical quantity growth; constant conversion required for equality</x:v>
      </x:c>
      <x:c r="V482" s="2" t="str">
        <x:v>2020 level is the model anchor; 2023 comparator unused by v16 fit but shares conversion/upstream lineage</x:v>
      </x:c>
      <x:c r="W482" s="2" t="str">
        <x:v>https://arxiv.org/abs/2511.12104</x:v>
      </x:c>
    </x:row>
    <x:row r="483" ht="23" customHeight="1">
      <x:c r="A483" s="2" t="str">
        <x:v>JOR</x:v>
      </x:c>
      <x:c r="B483" s="2" t="str">
        <x:v>Jordan (Hashemite Kingdom of)</x:v>
      </x:c>
      <x:c r="C483" s="2" t="str">
        <x:v>TEMPO_VOLUME</x:v>
      </x:c>
      <x:c r="D483" s="2" t="n">
        <x:v>2020</x:v>
      </x:c>
      <x:c r="E483" s="2" t="n">
        <x:v>2023</x:v>
      </x:c>
      <x:c r="F483" s="17" t="n">
        <x:v>279172690.0000002</x:v>
      </x:c>
      <x:c r="G483" s="17" t="n">
        <x:v>311291115.8472091</x:v>
      </x:c>
      <x:c r="H483" s="17" t="n">
        <x:v>820143957.85</x:v>
      </x:c>
      <x:c r="I483" s="17" t="n">
        <x:v>852252849.95</x:v>
      </x:c>
      <x:c r="J483" s="2" t="str">
        <x:v>m3</x:v>
      </x:c>
      <x:c r="K483" s="15" t="n">
        <x:f>IF(AND(ISNUMBER(F483),ISNUMBER(G483),F483&gt;0),G483/F483-1,"n.a.")</x:f>
        <x:v>0.11504859535941314</x:v>
      </x:c>
      <x:c r="L483" s="15" t="n">
        <x:f>IF(AND(N483,ISNUMBER(H483),ISNUMBER(I483),H483&gt;0),I483/H483-1,"n.a.")</x:f>
        <x:v>0.03915031232342825</x:v>
      </x:c>
      <x:c r="M483" s="20" t="n">
        <x:f>IF(AND(ISNUMBER(K483),ISNUMBER(L483)),100*(K483-L483),"n.a.")</x:f>
        <x:v>7.589828303598489</x:v>
      </x:c>
      <x:c r="N483" s="13" t="b">
        <x:v>1</x:v>
      </x:c>
      <x:c r="O483" s="13" t="b">
        <x:v>1</x:v>
      </x:c>
      <x:c r="P483" s="13" t="b">
        <x:v>0</x:v>
      </x:c>
      <x:c r="Q483" s="2" t="str">
        <x:v>none</x:v>
      </x:c>
      <x:c r="R483" s="2" t="str">
        <x:v>none</x:v>
      </x:c>
      <x:c r="S483" s="2" t="str">
        <x:v>nominal Q4 source model estimate</x:v>
      </x:c>
      <x:c r="T483" s="2" t="str">
        <x:v>nominal Q4 source model estimate</x:v>
      </x:c>
      <x:c r="U483" s="2" t="str">
        <x:v>GFA growth versus source physical quantity growth; constant conversion required for equality</x:v>
      </x:c>
      <x:c r="V483" s="2" t="str">
        <x:v>2020 level is the model anchor; 2023 comparator unused by v16 fit but shares conversion/upstream lineage</x:v>
      </x:c>
      <x:c r="W483" s="2" t="str">
        <x:v>https://arxiv.org/abs/2511.12104</x:v>
      </x:c>
    </x:row>
    <x:row r="484" ht="23" customHeight="1">
      <x:c r="A484" s="2" t="str">
        <x:v>JPN</x:v>
      </x:c>
      <x:c r="B484" s="2" t="str">
        <x:v>Japan</x:v>
      </x:c>
      <x:c r="C484" s="2" t="str">
        <x:v>TEMPO_VOLUME</x:v>
      </x:c>
      <x:c r="D484" s="2" t="n">
        <x:v>2020</x:v>
      </x:c>
      <x:c r="E484" s="2" t="n">
        <x:v>2023</x:v>
      </x:c>
      <x:c r="F484" s="17" t="n">
        <x:v>8341228241.779989</x:v>
      </x:c>
      <x:c r="G484" s="17" t="n">
        <x:v>8538031893.713573</x:v>
      </x:c>
      <x:c r="H484" s="17" t="n">
        <x:v>27944106649.18</x:v>
      </x:c>
      <x:c r="I484" s="17" t="n">
        <x:v>28342415151.6</x:v>
      </x:c>
      <x:c r="J484" s="2" t="str">
        <x:v>m3</x:v>
      </x:c>
      <x:c r="K484" s="15" t="n">
        <x:f>IF(AND(ISNUMBER(F484),ISNUMBER(G484),F484&gt;0),G484/F484-1,"n.a.")</x:f>
        <x:v>0.023594085454684333</x:v>
      </x:c>
      <x:c r="L484" s="15" t="n">
        <x:f>IF(AND(N484,ISNUMBER(H484),ISNUMBER(I484),H484&gt;0),I484/H484-1,"n.a.")</x:f>
        <x:v>0.014253756880493684</x:v>
      </x:c>
      <x:c r="M484" s="20" t="n">
        <x:f>IF(AND(ISNUMBER(K484),ISNUMBER(L484)),100*(K484-L484),"n.a.")</x:f>
        <x:v>0.9340328574190648</x:v>
      </x:c>
      <x:c r="N484" s="13" t="b">
        <x:v>1</x:v>
      </x:c>
      <x:c r="O484" s="13" t="b">
        <x:v>1</x:v>
      </x:c>
      <x:c r="P484" s="13" t="b">
        <x:v>0</x:v>
      </x:c>
      <x:c r="Q484" s="2" t="str">
        <x:v>none</x:v>
      </x:c>
      <x:c r="R484" s="2" t="str">
        <x:v>none</x:v>
      </x:c>
      <x:c r="S484" s="2" t="str">
        <x:v>nominal Q4 source model estimate</x:v>
      </x:c>
      <x:c r="T484" s="2" t="str">
        <x:v>nominal Q4 source model estimate</x:v>
      </x:c>
      <x:c r="U484" s="2" t="str">
        <x:v>GFA growth versus source physical quantity growth; constant conversion required for equality</x:v>
      </x:c>
      <x:c r="V484" s="2" t="str">
        <x:v>2020 level is the model anchor; 2023 comparator unused by v16 fit but shares conversion/upstream lineage</x:v>
      </x:c>
      <x:c r="W484" s="2" t="str">
        <x:v>https://arxiv.org/abs/2511.12104</x:v>
      </x:c>
    </x:row>
    <x:row r="485" ht="23" customHeight="1">
      <x:c r="A485" s="2" t="str">
        <x:v>KAZ</x:v>
      </x:c>
      <x:c r="B485" s="2" t="str">
        <x:v>Kazakhstan (Republic of)</x:v>
      </x:c>
      <x:c r="C485" s="2" t="str">
        <x:v>TEMPO_VOLUME</x:v>
      </x:c>
      <x:c r="D485" s="2" t="n">
        <x:v>2020</x:v>
      </x:c>
      <x:c r="E485" s="2" t="n">
        <x:v>2023</x:v>
      </x:c>
      <x:c r="F485" s="17" t="n">
        <x:v>1009034692.9700016</x:v>
      </x:c>
      <x:c r="G485" s="17" t="n">
        <x:v>1066734433.6354417</x:v>
      </x:c>
      <x:c r="H485" s="17" t="n">
        <x:v>2943667375.07</x:v>
      </x:c>
      <x:c r="I485" s="17" t="n">
        <x:v>3329030219.19</x:v>
      </x:c>
      <x:c r="J485" s="2" t="str">
        <x:v>m3</x:v>
      </x:c>
      <x:c r="K485" s="15" t="n">
        <x:f>IF(AND(ISNUMBER(F485),ISNUMBER(G485),F485&gt;0),G485/F485-1,"n.a.")</x:f>
        <x:v>0.0571831088340542</x:v>
      </x:c>
      <x:c r="L485" s="15" t="n">
        <x:f>IF(AND(N485,ISNUMBER(H485),ISNUMBER(I485),H485&gt;0),I485/H485-1,"n.a.")</x:f>
        <x:v>0.13091249622278944</x:v>
      </x:c>
      <x:c r="M485" s="20" t="n">
        <x:f>IF(AND(ISNUMBER(K485),ISNUMBER(L485)),100*(K485-L485),"n.a.")</x:f>
        <x:v>-7.372938738873525</x:v>
      </x:c>
      <x:c r="N485" s="13" t="b">
        <x:v>1</x:v>
      </x:c>
      <x:c r="O485" s="13" t="b">
        <x:v>1</x:v>
      </x:c>
      <x:c r="P485" s="13" t="b">
        <x:v>0</x:v>
      </x:c>
      <x:c r="Q485" s="2" t="str">
        <x:v>none</x:v>
      </x:c>
      <x:c r="R485" s="2" t="str">
        <x:v>none</x:v>
      </x:c>
      <x:c r="S485" s="2" t="str">
        <x:v>nominal Q4 source model estimate</x:v>
      </x:c>
      <x:c r="T485" s="2" t="str">
        <x:v>nominal Q4 source model estimate</x:v>
      </x:c>
      <x:c r="U485" s="2" t="str">
        <x:v>GFA growth versus source physical quantity growth; constant conversion required for equality</x:v>
      </x:c>
      <x:c r="V485" s="2" t="str">
        <x:v>2020 level is the model anchor; 2023 comparator unused by v16 fit but shares conversion/upstream lineage</x:v>
      </x:c>
      <x:c r="W485" s="2" t="str">
        <x:v>https://arxiv.org/abs/2511.12104</x:v>
      </x:c>
    </x:row>
    <x:row r="486" ht="23" customHeight="1">
      <x:c r="A486" s="2" t="str">
        <x:v>KEN</x:v>
      </x:c>
      <x:c r="B486" s="2" t="str">
        <x:v>Kenya (Republic of)</x:v>
      </x:c>
      <x:c r="C486" s="2" t="str">
        <x:v>TEMPO_VOLUME</x:v>
      </x:c>
      <x:c r="D486" s="2" t="n">
        <x:v>2020</x:v>
      </x:c>
      <x:c r="E486" s="2" t="n">
        <x:v>2023</x:v>
      </x:c>
      <x:c r="F486" s="17" t="n">
        <x:v>1180050447.52</x:v>
      </x:c>
      <x:c r="G486" s="17" t="n">
        <x:v>1279332476.0834823</x:v>
      </x:c>
      <x:c r="H486" s="17" t="n">
        <x:v>2460424318.71</x:v>
      </x:c>
      <x:c r="I486" s="17" t="n">
        <x:v>2718495775.89</x:v>
      </x:c>
      <x:c r="J486" s="2" t="str">
        <x:v>m3</x:v>
      </x:c>
      <x:c r="K486" s="15" t="n">
        <x:f>IF(AND(ISNUMBER(F486),ISNUMBER(G486),F486&gt;0),G486/F486-1,"n.a.")</x:f>
        <x:v>0.08413371544592341</x:v>
      </x:c>
      <x:c r="L486" s="15" t="n">
        <x:f>IF(AND(N486,ISNUMBER(H486),ISNUMBER(I486),H486&gt;0),I486/H486-1,"n.a.")</x:f>
        <x:v>0.10488900439551285</x:v>
      </x:c>
      <x:c r="M486" s="20" t="n">
        <x:f>IF(AND(ISNUMBER(K486),ISNUMBER(L486)),100*(K486-L486),"n.a.")</x:f>
        <x:v>-2.0755288949589445</x:v>
      </x:c>
      <x:c r="N486" s="13" t="b">
        <x:v>1</x:v>
      </x:c>
      <x:c r="O486" s="13" t="b">
        <x:v>1</x:v>
      </x:c>
      <x:c r="P486" s="13" t="b">
        <x:v>0</x:v>
      </x:c>
      <x:c r="Q486" s="2" t="str">
        <x:v>none</x:v>
      </x:c>
      <x:c r="R486" s="2" t="str">
        <x:v>none</x:v>
      </x:c>
      <x:c r="S486" s="2" t="str">
        <x:v>nominal Q4 source model estimate</x:v>
      </x:c>
      <x:c r="T486" s="2" t="str">
        <x:v>nominal Q4 source model estimate</x:v>
      </x:c>
      <x:c r="U486" s="2" t="str">
        <x:v>GFA growth versus source physical quantity growth; constant conversion required for equality</x:v>
      </x:c>
      <x:c r="V486" s="2" t="str">
        <x:v>2020 level is the model anchor; 2023 comparator unused by v16 fit but shares conversion/upstream lineage</x:v>
      </x:c>
      <x:c r="W486" s="2" t="str">
        <x:v>https://arxiv.org/abs/2511.12104</x:v>
      </x:c>
    </x:row>
    <x:row r="487" ht="23" customHeight="1">
      <x:c r="A487" s="2" t="str">
        <x:v>KGZ</x:v>
      </x:c>
      <x:c r="B487" s="2" t="str">
        <x:v>Kyrgyzstan (Kyrgyz Republic)</x:v>
      </x:c>
      <x:c r="C487" s="2" t="str">
        <x:v>TEMPO_VOLUME</x:v>
      </x:c>
      <x:c r="D487" s="2" t="n">
        <x:v>2020</x:v>
      </x:c>
      <x:c r="E487" s="2" t="n">
        <x:v>2023</x:v>
      </x:c>
      <x:c r="F487" s="17" t="n">
        <x:v>332236534.37000054</x:v>
      </x:c>
      <x:c r="G487" s="17" t="n">
        <x:v>352616082.1877337</x:v>
      </x:c>
      <x:c r="H487" s="17" t="n">
        <x:v>826212058.11</x:v>
      </x:c>
      <x:c r="I487" s="17" t="n">
        <x:v>916295017.15</x:v>
      </x:c>
      <x:c r="J487" s="2" t="str">
        <x:v>m3</x:v>
      </x:c>
      <x:c r="K487" s="15" t="n">
        <x:f>IF(AND(ISNUMBER(F487),ISNUMBER(G487),F487&gt;0),G487/F487-1,"n.a.")</x:f>
        <x:v>0.061340477971146834</x:v>
      </x:c>
      <x:c r="L487" s="15" t="n">
        <x:f>IF(AND(N487,ISNUMBER(H487),ISNUMBER(I487),H487&gt;0),I487/H487-1,"n.a.")</x:f>
        <x:v>0.10903128095959902</x:v>
      </x:c>
      <x:c r="M487" s="20" t="n">
        <x:f>IF(AND(ISNUMBER(K487),ISNUMBER(L487)),100*(K487-L487),"n.a.")</x:f>
        <x:v>-4.769080298845219</x:v>
      </x:c>
      <x:c r="N487" s="13" t="b">
        <x:v>1</x:v>
      </x:c>
      <x:c r="O487" s="13" t="b">
        <x:v>1</x:v>
      </x:c>
      <x:c r="P487" s="13" t="b">
        <x:v>0</x:v>
      </x:c>
      <x:c r="Q487" s="2" t="str">
        <x:v>none</x:v>
      </x:c>
      <x:c r="R487" s="2" t="str">
        <x:v>none</x:v>
      </x:c>
      <x:c r="S487" s="2" t="str">
        <x:v>nominal Q4 source model estimate</x:v>
      </x:c>
      <x:c r="T487" s="2" t="str">
        <x:v>nominal Q4 source model estimate</x:v>
      </x:c>
      <x:c r="U487" s="2" t="str">
        <x:v>GFA growth versus source physical quantity growth; constant conversion required for equality</x:v>
      </x:c>
      <x:c r="V487" s="2" t="str">
        <x:v>2020 level is the model anchor; 2023 comparator unused by v16 fit but shares conversion/upstream lineage</x:v>
      </x:c>
      <x:c r="W487" s="2" t="str">
        <x:v>https://arxiv.org/abs/2511.12104</x:v>
      </x:c>
    </x:row>
    <x:row r="488" ht="23" customHeight="1">
      <x:c r="A488" s="2" t="str">
        <x:v>KHM</x:v>
      </x:c>
      <x:c r="B488" s="2" t="str">
        <x:v>Cambodia (Kingdom of)</x:v>
      </x:c>
      <x:c r="C488" s="2" t="str">
        <x:v>TEMPO_VOLUME</x:v>
      </x:c>
      <x:c r="D488" s="2" t="n">
        <x:v>2020</x:v>
      </x:c>
      <x:c r="E488" s="2" t="n">
        <x:v>2023</x:v>
      </x:c>
      <x:c r="F488" s="17" t="n">
        <x:v>672933221.830001</x:v>
      </x:c>
      <x:c r="G488" s="17" t="n">
        <x:v>729563330.9318277</x:v>
      </x:c>
      <x:c r="H488" s="17" t="n">
        <x:v>1795847634.11</x:v>
      </x:c>
      <x:c r="I488" s="17" t="n">
        <x:v>2100941299.25</x:v>
      </x:c>
      <x:c r="J488" s="2" t="str">
        <x:v>m3</x:v>
      </x:c>
      <x:c r="K488" s="15" t="n">
        <x:f>IF(AND(ISNUMBER(F488),ISNUMBER(G488),F488&gt;0),G488/F488-1,"n.a.")</x:f>
        <x:v>0.08415412891612717</x:v>
      </x:c>
      <x:c r="L488" s="15" t="n">
        <x:f>IF(AND(N488,ISNUMBER(H488),ISNUMBER(I488),H488&gt;0),I488/H488-1,"n.a.")</x:f>
        <x:v>0.16988839105562592</x:v>
      </x:c>
      <x:c r="M488" s="20" t="n">
        <x:f>IF(AND(ISNUMBER(K488),ISNUMBER(L488)),100*(K488-L488),"n.a.")</x:f>
        <x:v>-8.573426213949876</x:v>
      </x:c>
      <x:c r="N488" s="13" t="b">
        <x:v>1</x:v>
      </x:c>
      <x:c r="O488" s="13" t="b">
        <x:v>1</x:v>
      </x:c>
      <x:c r="P488" s="13" t="b">
        <x:v>0</x:v>
      </x:c>
      <x:c r="Q488" s="2" t="str">
        <x:v>none</x:v>
      </x:c>
      <x:c r="R488" s="2" t="str">
        <x:v>none</x:v>
      </x:c>
      <x:c r="S488" s="2" t="str">
        <x:v>nominal Q4 source model estimate</x:v>
      </x:c>
      <x:c r="T488" s="2" t="str">
        <x:v>nominal Q4 source model estimate</x:v>
      </x:c>
      <x:c r="U488" s="2" t="str">
        <x:v>GFA growth versus source physical quantity growth; constant conversion required for equality</x:v>
      </x:c>
      <x:c r="V488" s="2" t="str">
        <x:v>2020 level is the model anchor; 2023 comparator unused by v16 fit but shares conversion/upstream lineage</x:v>
      </x:c>
      <x:c r="W488" s="2" t="str">
        <x:v>https://arxiv.org/abs/2511.12104</x:v>
      </x:c>
    </x:row>
    <x:row r="489" ht="23" customHeight="1">
      <x:c r="A489" s="2" t="str">
        <x:v>KIR</x:v>
      </x:c>
      <x:c r="B489" s="2" t="str">
        <x:v>Kiribati (Republic of)</x:v>
      </x:c>
      <x:c r="C489" s="2" t="str">
        <x:v>TEMPO_VOLUME</x:v>
      </x:c>
      <x:c r="D489" s="2" t="n">
        <x:v>2020</x:v>
      </x:c>
      <x:c r="E489" s="2" t="n">
        <x:v>2023</x:v>
      </x:c>
      <x:c r="F489" s="17" t="n">
        <x:v>1721739.6700000002</x:v>
      </x:c>
      <x:c r="G489" s="17" t="n">
        <x:v>2021045.8833142433</x:v>
      </x:c>
      <x:c r="H489" s="17" t="n">
        <x:v>4356830.95</x:v>
      </x:c>
      <x:c r="I489" s="17" t="n">
        <x:v>4715098.77</x:v>
      </x:c>
      <x:c r="J489" s="2" t="str">
        <x:v>m3</x:v>
      </x:c>
      <x:c r="K489" s="15" t="n">
        <x:f>IF(AND(ISNUMBER(F489),ISNUMBER(G489),F489&gt;0),G489/F489-1,"n.a.")</x:f>
        <x:v>0.17383941285051718</x:v>
      </x:c>
      <x:c r="L489" s="15" t="n">
        <x:f>IF(AND(N489,ISNUMBER(H489),ISNUMBER(I489),H489&gt;0),I489/H489-1,"n.a.")</x:f>
        <x:v>0.08223128785843747</x:v>
      </x:c>
      <x:c r="M489" s="20" t="n">
        <x:f>IF(AND(ISNUMBER(K489),ISNUMBER(L489)),100*(K489-L489),"n.a.")</x:f>
        <x:v>9.160812499207971</x:v>
      </x:c>
      <x:c r="N489" s="13" t="b">
        <x:v>1</x:v>
      </x:c>
      <x:c r="O489" s="13" t="b">
        <x:v>1</x:v>
      </x:c>
      <x:c r="P489" s="13" t="b">
        <x:v>0</x:v>
      </x:c>
      <x:c r="Q489" s="2" t="str">
        <x:v>none</x:v>
      </x:c>
      <x:c r="R489" s="2" t="str">
        <x:v>none</x:v>
      </x:c>
      <x:c r="S489" s="2" t="str">
        <x:v>nominal Q4 source model estimate</x:v>
      </x:c>
      <x:c r="T489" s="2" t="str">
        <x:v>nominal Q4 source model estimate</x:v>
      </x:c>
      <x:c r="U489" s="2" t="str">
        <x:v>GFA growth versus source physical quantity growth; constant conversion required for equality</x:v>
      </x:c>
      <x:c r="V489" s="2" t="str">
        <x:v>2020 level is the model anchor; 2023 comparator unused by v16 fit but shares conversion/upstream lineage</x:v>
      </x:c>
      <x:c r="W489" s="2" t="str">
        <x:v>https://arxiv.org/abs/2511.12104</x:v>
      </x:c>
    </x:row>
    <x:row r="490" ht="23" customHeight="1">
      <x:c r="A490" s="2" t="str">
        <x:v>KNA</x:v>
      </x:c>
      <x:c r="B490" s="2" t="str">
        <x:v>Saint Kitts and Nevis (Federation of)</x:v>
      </x:c>
      <x:c r="C490" s="2" t="str">
        <x:v>TEMPO_VOLUME</x:v>
      </x:c>
      <x:c r="D490" s="2" t="n">
        <x:v>2020</x:v>
      </x:c>
      <x:c r="E490" s="2" t="n">
        <x:v>2023</x:v>
      </x:c>
      <x:c r="F490" s="17" t="n">
        <x:v>4523960.760000001</x:v>
      </x:c>
      <x:c r="G490" s="17" t="n">
        <x:v>4662472.850554909</x:v>
      </x:c>
      <x:c r="H490" s="17" t="n">
        <x:v>10545293.66</x:v>
      </x:c>
      <x:c r="I490" s="17" t="n">
        <x:v>10977832.06</x:v>
      </x:c>
      <x:c r="J490" s="2" t="str">
        <x:v>m3</x:v>
      </x:c>
      <x:c r="K490" s="15" t="n">
        <x:f>IF(AND(ISNUMBER(F490),ISNUMBER(G490),F490&gt;0),G490/F490-1,"n.a.")</x:f>
        <x:v>0.030617438546241438</x:v>
      </x:c>
      <x:c r="L490" s="15" t="n">
        <x:f>IF(AND(N490,ISNUMBER(H490),ISNUMBER(I490),H490&gt;0),I490/H490-1,"n.a.")</x:f>
        <x:v>0.04101719818772698</x:v>
      </x:c>
      <x:c r="M490" s="20" t="n">
        <x:f>IF(AND(ISNUMBER(K490),ISNUMBER(L490)),100*(K490-L490),"n.a.")</x:f>
        <x:v>-1.039975964148554</x:v>
      </x:c>
      <x:c r="N490" s="13" t="b">
        <x:v>1</x:v>
      </x:c>
      <x:c r="O490" s="13" t="b">
        <x:v>1</x:v>
      </x:c>
      <x:c r="P490" s="13" t="b">
        <x:v>0</x:v>
      </x:c>
      <x:c r="Q490" s="2" t="str">
        <x:v>none</x:v>
      </x:c>
      <x:c r="R490" s="2" t="str">
        <x:v>none</x:v>
      </x:c>
      <x:c r="S490" s="2" t="str">
        <x:v>nominal Q4 source model estimate</x:v>
      </x:c>
      <x:c r="T490" s="2" t="str">
        <x:v>nominal Q4 source model estimate</x:v>
      </x:c>
      <x:c r="U490" s="2" t="str">
        <x:v>GFA growth versus source physical quantity growth; constant conversion required for equality</x:v>
      </x:c>
      <x:c r="V490" s="2" t="str">
        <x:v>2020 level is the model anchor; 2023 comparator unused by v16 fit but shares conversion/upstream lineage</x:v>
      </x:c>
      <x:c r="W490" s="2" t="str">
        <x:v>https://arxiv.org/abs/2511.12104</x:v>
      </x:c>
    </x:row>
    <x:row r="491" ht="23" customHeight="1">
      <x:c r="A491" s="2" t="str">
        <x:v>KOR</x:v>
      </x:c>
      <x:c r="B491" s="2" t="str">
        <x:v>Korea (Republic of)</x:v>
      </x:c>
      <x:c r="C491" s="2" t="str">
        <x:v>TEMPO_VOLUME</x:v>
      </x:c>
      <x:c r="D491" s="2" t="n">
        <x:v>2020</x:v>
      </x:c>
      <x:c r="E491" s="2" t="n">
        <x:v>2023</x:v>
      </x:c>
      <x:c r="F491" s="17" t="n">
        <x:v>2947698717.329997</x:v>
      </x:c>
      <x:c r="G491" s="17" t="n">
        <x:v>3096484602.971078</x:v>
      </x:c>
      <x:c r="H491" s="17" t="n">
        <x:v>10708925714</x:v>
      </x:c>
      <x:c r="I491" s="17" t="n">
        <x:v>10976702212.11</x:v>
      </x:c>
      <x:c r="J491" s="2" t="str">
        <x:v>m3</x:v>
      </x:c>
      <x:c r="K491" s="15" t="n">
        <x:f>IF(AND(ISNUMBER(F491),ISNUMBER(G491),F491&gt;0),G491/F491-1,"n.a.")</x:f>
        <x:v>0.05047526898401955</x:v>
      </x:c>
      <x:c r="L491" s="15" t="n">
        <x:f>IF(AND(N491,ISNUMBER(H491),ISNUMBER(I491),H491&gt;0),I491/H491-1,"n.a.")</x:f>
        <x:v>0.025004982316753743</x:v>
      </x:c>
      <x:c r="M491" s="20" t="n">
        <x:f>IF(AND(ISNUMBER(K491),ISNUMBER(L491)),100*(K491-L491),"n.a.")</x:f>
        <x:v>2.5470286667265807</x:v>
      </x:c>
      <x:c r="N491" s="13" t="b">
        <x:v>1</x:v>
      </x:c>
      <x:c r="O491" s="13" t="b">
        <x:v>1</x:v>
      </x:c>
      <x:c r="P491" s="13" t="b">
        <x:v>0</x:v>
      </x:c>
      <x:c r="Q491" s="2" t="str">
        <x:v>none</x:v>
      </x:c>
      <x:c r="R491" s="2" t="str">
        <x:v>none</x:v>
      </x:c>
      <x:c r="S491" s="2" t="str">
        <x:v>nominal Q4 source model estimate</x:v>
      </x:c>
      <x:c r="T491" s="2" t="str">
        <x:v>nominal Q4 source model estimate</x:v>
      </x:c>
      <x:c r="U491" s="2" t="str">
        <x:v>GFA growth versus source physical quantity growth; constant conversion required for equality</x:v>
      </x:c>
      <x:c r="V491" s="2" t="str">
        <x:v>2020 level is the model anchor; 2023 comparator unused by v16 fit but shares conversion/upstream lineage</x:v>
      </x:c>
      <x:c r="W491" s="2" t="str">
        <x:v>https://arxiv.org/abs/2511.12104</x:v>
      </x:c>
    </x:row>
    <x:row r="492" ht="23" customHeight="1">
      <x:c r="A492" s="2" t="str">
        <x:v>KWT</x:v>
      </x:c>
      <x:c r="B492" s="2" t="str">
        <x:v>Kuwait (State of)</x:v>
      </x:c>
      <x:c r="C492" s="2" t="str">
        <x:v>TEMPO_VOLUME</x:v>
      </x:c>
      <x:c r="D492" s="2" t="n">
        <x:v>2020</x:v>
      </x:c>
      <x:c r="E492" s="2" t="n">
        <x:v>2023</x:v>
      </x:c>
      <x:c r="F492" s="17" t="n">
        <x:v>155594647.5199998</x:v>
      </x:c>
      <x:c r="G492" s="17" t="n">
        <x:v>172890363.84898752</x:v>
      </x:c>
      <x:c r="H492" s="17" t="n">
        <x:v>541789120.14</x:v>
      </x:c>
      <x:c r="I492" s="17" t="n">
        <x:v>621841019.82</x:v>
      </x:c>
      <x:c r="J492" s="2" t="str">
        <x:v>m3</x:v>
      </x:c>
      <x:c r="K492" s="15" t="n">
        <x:f>IF(AND(ISNUMBER(F492),ISNUMBER(G492),F492&gt;0),G492/F492-1,"n.a.")</x:f>
        <x:v>0.11115881300971209</x:v>
      </x:c>
      <x:c r="L492" s="15" t="n">
        <x:f>IF(AND(N492,ISNUMBER(H492),ISNUMBER(I492),H492&gt;0),I492/H492-1,"n.a.")</x:f>
        <x:v>0.14775471987941424</x:v>
      </x:c>
      <x:c r="M492" s="20" t="n">
        <x:f>IF(AND(ISNUMBER(K492),ISNUMBER(L492)),100*(K492-L492),"n.a.")</x:f>
        <x:v>-3.6595906869702155</x:v>
      </x:c>
      <x:c r="N492" s="13" t="b">
        <x:v>1</x:v>
      </x:c>
      <x:c r="O492" s="13" t="b">
        <x:v>1</x:v>
      </x:c>
      <x:c r="P492" s="13" t="b">
        <x:v>0</x:v>
      </x:c>
      <x:c r="Q492" s="2" t="str">
        <x:v>none</x:v>
      </x:c>
      <x:c r="R492" s="2" t="str">
        <x:v>none</x:v>
      </x:c>
      <x:c r="S492" s="2" t="str">
        <x:v>nominal Q4 source model estimate</x:v>
      </x:c>
      <x:c r="T492" s="2" t="str">
        <x:v>nominal Q4 source model estimate</x:v>
      </x:c>
      <x:c r="U492" s="2" t="str">
        <x:v>GFA growth versus source physical quantity growth; constant conversion required for equality</x:v>
      </x:c>
      <x:c r="V492" s="2" t="str">
        <x:v>2020 level is the model anchor; 2023 comparator unused by v16 fit but shares conversion/upstream lineage</x:v>
      </x:c>
      <x:c r="W492" s="2" t="str">
        <x:v>https://arxiv.org/abs/2511.12104</x:v>
      </x:c>
    </x:row>
    <x:row r="493" ht="23" customHeight="1">
      <x:c r="A493" s="2" t="str">
        <x:v>LAO</x:v>
      </x:c>
      <x:c r="B493" s="2" t="str">
        <x:v>Lao People's Democratic Republic</x:v>
      </x:c>
      <x:c r="C493" s="2" t="str">
        <x:v>TEMPO_VOLUME</x:v>
      </x:c>
      <x:c r="D493" s="2" t="n">
        <x:v>2020</x:v>
      </x:c>
      <x:c r="E493" s="2" t="n">
        <x:v>2023</x:v>
      </x:c>
      <x:c r="F493" s="17" t="n">
        <x:v>333393295.1899998</x:v>
      </x:c>
      <x:c r="G493" s="17" t="n">
        <x:v>364322978.36261857</x:v>
      </x:c>
      <x:c r="H493" s="17" t="n">
        <x:v>788818980.78</x:v>
      </x:c>
      <x:c r="I493" s="17" t="n">
        <x:v>859886572.53</x:v>
      </x:c>
      <x:c r="J493" s="2" t="str">
        <x:v>m3</x:v>
      </x:c>
      <x:c r="K493" s="15" t="n">
        <x:f>IF(AND(ISNUMBER(F493),ISNUMBER(G493),F493&gt;0),G493/F493-1,"n.a.")</x:f>
        <x:v>0.09277236110879805</x:v>
      </x:c>
      <x:c r="L493" s="15" t="n">
        <x:f>IF(AND(N493,ISNUMBER(H493),ISNUMBER(I493),H493&gt;0),I493/H493-1,"n.a.")</x:f>
        <x:v>0.09009366341530844</x:v>
      </x:c>
      <x:c r="M493" s="20" t="n">
        <x:f>IF(AND(ISNUMBER(K493),ISNUMBER(L493)),100*(K493-L493),"n.a.")</x:f>
        <x:v>0.2678697693489607</x:v>
      </x:c>
      <x:c r="N493" s="13" t="b">
        <x:v>1</x:v>
      </x:c>
      <x:c r="O493" s="13" t="b">
        <x:v>1</x:v>
      </x:c>
      <x:c r="P493" s="13" t="b">
        <x:v>0</x:v>
      </x:c>
      <x:c r="Q493" s="2" t="str">
        <x:v>none</x:v>
      </x:c>
      <x:c r="R493" s="2" t="str">
        <x:v>none</x:v>
      </x:c>
      <x:c r="S493" s="2" t="str">
        <x:v>nominal Q4 source model estimate</x:v>
      </x:c>
      <x:c r="T493" s="2" t="str">
        <x:v>nominal Q4 source model estimate</x:v>
      </x:c>
      <x:c r="U493" s="2" t="str">
        <x:v>GFA growth versus source physical quantity growth; constant conversion required for equality</x:v>
      </x:c>
      <x:c r="V493" s="2" t="str">
        <x:v>2020 level is the model anchor; 2023 comparator unused by v16 fit but shares conversion/upstream lineage</x:v>
      </x:c>
      <x:c r="W493" s="2" t="str">
        <x:v>https://arxiv.org/abs/2511.12104</x:v>
      </x:c>
    </x:row>
    <x:row r="494" ht="23" customHeight="1">
      <x:c r="A494" s="2" t="str">
        <x:v>LBN</x:v>
      </x:c>
      <x:c r="B494" s="2" t="str">
        <x:v>Lebanon (Lebanese Republic)</x:v>
      </x:c>
      <x:c r="C494" s="2" t="str">
        <x:v>TEMPO_VOLUME</x:v>
      </x:c>
      <x:c r="D494" s="2" t="n">
        <x:v>2020</x:v>
      </x:c>
      <x:c r="E494" s="2" t="n">
        <x:v>2023</x:v>
      </x:c>
      <x:c r="F494" s="17" t="n">
        <x:v>226725070.95000017</x:v>
      </x:c>
      <x:c r="G494" s="17" t="n">
        <x:v>241600565.7920856</x:v>
      </x:c>
      <x:c r="H494" s="17" t="n">
        <x:v>675090272.06</x:v>
      </x:c>
      <x:c r="I494" s="17" t="n">
        <x:v>686540096.3</x:v>
      </x:c>
      <x:c r="J494" s="2" t="str">
        <x:v>m3</x:v>
      </x:c>
      <x:c r="K494" s="15" t="n">
        <x:f>IF(AND(ISNUMBER(F494),ISNUMBER(G494),F494&gt;0),G494/F494-1,"n.a.")</x:f>
        <x:v>0.06561027759195603</x:v>
      </x:c>
      <x:c r="L494" s="15" t="n">
        <x:f>IF(AND(N494,ISNUMBER(H494),ISNUMBER(I494),H494&gt;0),I494/H494-1,"n.a.")</x:f>
        <x:v>0.016960434350596465</x:v>
      </x:c>
      <x:c r="M494" s="20" t="n">
        <x:f>IF(AND(ISNUMBER(K494),ISNUMBER(L494)),100*(K494-L494),"n.a.")</x:f>
        <x:v>4.864984324135957</x:v>
      </x:c>
      <x:c r="N494" s="13" t="b">
        <x:v>1</x:v>
      </x:c>
      <x:c r="O494" s="13" t="b">
        <x:v>1</x:v>
      </x:c>
      <x:c r="P494" s="13" t="b">
        <x:v>0</x:v>
      </x:c>
      <x:c r="Q494" s="2" t="str">
        <x:v>none</x:v>
      </x:c>
      <x:c r="R494" s="2" t="str">
        <x:v>none</x:v>
      </x:c>
      <x:c r="S494" s="2" t="str">
        <x:v>nominal Q4 source model estimate</x:v>
      </x:c>
      <x:c r="T494" s="2" t="str">
        <x:v>nominal Q4 source model estimate</x:v>
      </x:c>
      <x:c r="U494" s="2" t="str">
        <x:v>GFA growth versus source physical quantity growth; constant conversion required for equality</x:v>
      </x:c>
      <x:c r="V494" s="2" t="str">
        <x:v>2020 level is the model anchor; 2023 comparator unused by v16 fit but shares conversion/upstream lineage</x:v>
      </x:c>
      <x:c r="W494" s="2" t="str">
        <x:v>https://arxiv.org/abs/2511.12104</x:v>
      </x:c>
    </x:row>
    <x:row r="495" ht="23" customHeight="1">
      <x:c r="A495" s="2" t="str">
        <x:v>LBR</x:v>
      </x:c>
      <x:c r="B495" s="2" t="str">
        <x:v>Liberia (Republic of)</x:v>
      </x:c>
      <x:c r="C495" s="2" t="str">
        <x:v>TEMPO_VOLUME</x:v>
      </x:c>
      <x:c r="D495" s="2" t="n">
        <x:v>2020</x:v>
      </x:c>
      <x:c r="E495" s="2" t="n">
        <x:v>2023</x:v>
      </x:c>
      <x:c r="F495" s="17" t="n">
        <x:v>93713430.84000014</x:v>
      </x:c>
      <x:c r="G495" s="17" t="n">
        <x:v>104559516.7608036</x:v>
      </x:c>
      <x:c r="H495" s="17" t="n">
        <x:v>218647420.43</x:v>
      </x:c>
      <x:c r="I495" s="17" t="n">
        <x:v>237051056.34</x:v>
      </x:c>
      <x:c r="J495" s="2" t="str">
        <x:v>m3</x:v>
      </x:c>
      <x:c r="K495" s="15" t="n">
        <x:f>IF(AND(ISNUMBER(F495),ISNUMBER(G495),F495&gt;0),G495/F495-1,"n.a.")</x:f>
        <x:v>0.11573672870136753</x:v>
      </x:c>
      <x:c r="L495" s="15" t="n">
        <x:f>IF(AND(N495,ISNUMBER(H495),ISNUMBER(I495),H495&gt;0),I495/H495-1,"n.a.")</x:f>
        <x:v>0.08417037746801093</x:v>
      </x:c>
      <x:c r="M495" s="20" t="n">
        <x:f>IF(AND(ISNUMBER(K495),ISNUMBER(L495)),100*(K495-L495),"n.a.")</x:f>
        <x:v>3.1566351233356604</x:v>
      </x:c>
      <x:c r="N495" s="13" t="b">
        <x:v>1</x:v>
      </x:c>
      <x:c r="O495" s="13" t="b">
        <x:v>1</x:v>
      </x:c>
      <x:c r="P495" s="13" t="b">
        <x:v>0</x:v>
      </x:c>
      <x:c r="Q495" s="2" t="str">
        <x:v>none</x:v>
      </x:c>
      <x:c r="R495" s="2" t="str">
        <x:v>none</x:v>
      </x:c>
      <x:c r="S495" s="2" t="str">
        <x:v>nominal Q4 source model estimate</x:v>
      </x:c>
      <x:c r="T495" s="2" t="str">
        <x:v>nominal Q4 source model estimate</x:v>
      </x:c>
      <x:c r="U495" s="2" t="str">
        <x:v>GFA growth versus source physical quantity growth; constant conversion required for equality</x:v>
      </x:c>
      <x:c r="V495" s="2" t="str">
        <x:v>2020 level is the model anchor; 2023 comparator unused by v16 fit but shares conversion/upstream lineage</x:v>
      </x:c>
      <x:c r="W495" s="2" t="str">
        <x:v>https://arxiv.org/abs/2511.12104</x:v>
      </x:c>
    </x:row>
    <x:row r="496" ht="23" customHeight="1">
      <x:c r="A496" s="2" t="str">
        <x:v>LBY</x:v>
      </x:c>
      <x:c r="B496" s="2" t="str">
        <x:v>Libya (State of)</x:v>
      </x:c>
      <x:c r="C496" s="2" t="str">
        <x:v>TEMPO_VOLUME</x:v>
      </x:c>
      <x:c r="D496" s="2" t="n">
        <x:v>2020</x:v>
      </x:c>
      <x:c r="E496" s="2" t="n">
        <x:v>2023</x:v>
      </x:c>
      <x:c r="F496" s="17" t="n">
        <x:v>523048577.3000005</x:v>
      </x:c>
      <x:c r="G496" s="17" t="n">
        <x:v>544069120.243073</x:v>
      </x:c>
      <x:c r="H496" s="17" t="n">
        <x:v>1332173491.45</x:v>
      </x:c>
      <x:c r="I496" s="17" t="n">
        <x:v>1420728491.06</x:v>
      </x:c>
      <x:c r="J496" s="2" t="str">
        <x:v>m3</x:v>
      </x:c>
      <x:c r="K496" s="15" t="n">
        <x:f>IF(AND(ISNUMBER(F496),ISNUMBER(G496),F496&gt;0),G496/F496-1,"n.a.")</x:f>
        <x:v>0.04018850993072465</x:v>
      </x:c>
      <x:c r="L496" s="15" t="n">
        <x:f>IF(AND(N496,ISNUMBER(H496),ISNUMBER(I496),H496&gt;0),I496/H496-1,"n.a.")</x:f>
        <x:v>0.06647407426911967</x:v>
      </x:c>
      <x:c r="M496" s="20" t="n">
        <x:f>IF(AND(ISNUMBER(K496),ISNUMBER(L496)),100*(K496-L496),"n.a.")</x:f>
        <x:v>-2.6285564338395018</x:v>
      </x:c>
      <x:c r="N496" s="13" t="b">
        <x:v>1</x:v>
      </x:c>
      <x:c r="O496" s="13" t="b">
        <x:v>1</x:v>
      </x:c>
      <x:c r="P496" s="13" t="b">
        <x:v>0</x:v>
      </x:c>
      <x:c r="Q496" s="2" t="str">
        <x:v>none</x:v>
      </x:c>
      <x:c r="R496" s="2" t="str">
        <x:v>none</x:v>
      </x:c>
      <x:c r="S496" s="2" t="str">
        <x:v>nominal Q4 source model estimate</x:v>
      </x:c>
      <x:c r="T496" s="2" t="str">
        <x:v>nominal Q4 source model estimate</x:v>
      </x:c>
      <x:c r="U496" s="2" t="str">
        <x:v>GFA growth versus source physical quantity growth; constant conversion required for equality</x:v>
      </x:c>
      <x:c r="V496" s="2" t="str">
        <x:v>2020 level is the model anchor; 2023 comparator unused by v16 fit but shares conversion/upstream lineage</x:v>
      </x:c>
      <x:c r="W496" s="2" t="str">
        <x:v>https://arxiv.org/abs/2511.12104</x:v>
      </x:c>
    </x:row>
    <x:row r="497" ht="23" customHeight="1">
      <x:c r="A497" s="2" t="str">
        <x:v>LCA</x:v>
      </x:c>
      <x:c r="B497" s="2" t="str">
        <x:v>Saint Lucia</x:v>
      </x:c>
      <x:c r="C497" s="2" t="str">
        <x:v>TEMPO_VOLUME</x:v>
      </x:c>
      <x:c r="D497" s="2" t="n">
        <x:v>2020</x:v>
      </x:c>
      <x:c r="E497" s="2" t="n">
        <x:v>2023</x:v>
      </x:c>
      <x:c r="F497" s="17" t="n">
        <x:v>10226894.600000018</x:v>
      </x:c>
      <x:c r="G497" s="17" t="n">
        <x:v>10772946.39498207</x:v>
      </x:c>
      <x:c r="H497" s="17" t="n">
        <x:v>24035532.56</x:v>
      </x:c>
      <x:c r="I497" s="17" t="n">
        <x:v>25013322.9</x:v>
      </x:c>
      <x:c r="J497" s="2" t="str">
        <x:v>m3</x:v>
      </x:c>
      <x:c r="K497" s="15" t="n">
        <x:f>IF(AND(ISNUMBER(F497),ISNUMBER(G497),F497&gt;0),G497/F497-1,"n.a.")</x:f>
        <x:v>0.053393705160709404</x:v>
      </x:c>
      <x:c r="L497" s="15" t="n">
        <x:f>IF(AND(N497,ISNUMBER(H497),ISNUMBER(I497),H497&gt;0),I497/H497-1,"n.a.")</x:f>
        <x:v>0.04068103494520603</x:v>
      </x:c>
      <x:c r="M497" s="20" t="n">
        <x:f>IF(AND(ISNUMBER(K497),ISNUMBER(L497)),100*(K497-L497),"n.a.")</x:f>
        <x:v>1.2712670215503374</x:v>
      </x:c>
      <x:c r="N497" s="13" t="b">
        <x:v>1</x:v>
      </x:c>
      <x:c r="O497" s="13" t="b">
        <x:v>1</x:v>
      </x:c>
      <x:c r="P497" s="13" t="b">
        <x:v>0</x:v>
      </x:c>
      <x:c r="Q497" s="2" t="str">
        <x:v>none</x:v>
      </x:c>
      <x:c r="R497" s="2" t="str">
        <x:v>none</x:v>
      </x:c>
      <x:c r="S497" s="2" t="str">
        <x:v>nominal Q4 source model estimate</x:v>
      </x:c>
      <x:c r="T497" s="2" t="str">
        <x:v>nominal Q4 source model estimate</x:v>
      </x:c>
      <x:c r="U497" s="2" t="str">
        <x:v>GFA growth versus source physical quantity growth; constant conversion required for equality</x:v>
      </x:c>
      <x:c r="V497" s="2" t="str">
        <x:v>2020 level is the model anchor; 2023 comparator unused by v16 fit but shares conversion/upstream lineage</x:v>
      </x:c>
      <x:c r="W497" s="2" t="str">
        <x:v>https://arxiv.org/abs/2511.12104</x:v>
      </x:c>
    </x:row>
    <x:row r="498" ht="23" customHeight="1">
      <x:c r="A498" s="2" t="str">
        <x:v>LIE</x:v>
      </x:c>
      <x:c r="B498" s="2" t="str">
        <x:v>Liechtenstein (Principality of)</x:v>
      </x:c>
      <x:c r="C498" s="2" t="str">
        <x:v>TEMPO_VOLUME</x:v>
      </x:c>
      <x:c r="D498" s="2" t="n">
        <x:v>2020</x:v>
      </x:c>
      <x:c r="E498" s="2" t="n">
        <x:v>2023</x:v>
      </x:c>
      <x:c r="F498" s="17" t="n">
        <x:v>3628695.830000003</x:v>
      </x:c>
      <x:c r="G498" s="17" t="n">
        <x:v>3982510.1732081324</x:v>
      </x:c>
      <x:c r="H498" s="17" t="n">
        <x:v>12481399.11</x:v>
      </x:c>
      <x:c r="I498" s="17" t="n">
        <x:v>12724629.72</x:v>
      </x:c>
      <x:c r="J498" s="2" t="str">
        <x:v>m3</x:v>
      </x:c>
      <x:c r="K498" s="15" t="n">
        <x:f>IF(AND(ISNUMBER(F498),ISNUMBER(G498),F498&gt;0),G498/F498-1,"n.a.")</x:f>
        <x:v>0.09750454702843725</x:v>
      </x:c>
      <x:c r="L498" s="15" t="n">
        <x:f>IF(AND(N498,ISNUMBER(H498),ISNUMBER(I498),H498&gt;0),I498/H498-1,"n.a.")</x:f>
        <x:v>0.019487447509400457</x:v>
      </x:c>
      <x:c r="M498" s="20" t="n">
        <x:f>IF(AND(ISNUMBER(K498),ISNUMBER(L498)),100*(K498-L498),"n.a.")</x:f>
        <x:v>7.801709951903679</x:v>
      </x:c>
      <x:c r="N498" s="13" t="b">
        <x:v>1</x:v>
      </x:c>
      <x:c r="O498" s="13" t="b">
        <x:v>1</x:v>
      </x:c>
      <x:c r="P498" s="13" t="b">
        <x:v>0</x:v>
      </x:c>
      <x:c r="Q498" s="2" t="str">
        <x:v>none</x:v>
      </x:c>
      <x:c r="R498" s="2" t="str">
        <x:v>none</x:v>
      </x:c>
      <x:c r="S498" s="2" t="str">
        <x:v>nominal Q4 source model estimate</x:v>
      </x:c>
      <x:c r="T498" s="2" t="str">
        <x:v>nominal Q4 source model estimate</x:v>
      </x:c>
      <x:c r="U498" s="2" t="str">
        <x:v>GFA growth versus source physical quantity growth; constant conversion required for equality</x:v>
      </x:c>
      <x:c r="V498" s="2" t="str">
        <x:v>2020 level is the model anchor; 2023 comparator unused by v16 fit but shares conversion/upstream lineage</x:v>
      </x:c>
      <x:c r="W498" s="2" t="str">
        <x:v>https://arxiv.org/abs/2511.12104</x:v>
      </x:c>
    </x:row>
    <x:row r="499" ht="23" customHeight="1">
      <x:c r="A499" s="2" t="str">
        <x:v>LKA</x:v>
      </x:c>
      <x:c r="B499" s="2" t="str">
        <x:v>Sri Lanka (Democratic Socialist Republic of)</x:v>
      </x:c>
      <x:c r="C499" s="2" t="str">
        <x:v>TEMPO_VOLUME</x:v>
      </x:c>
      <x:c r="D499" s="2" t="n">
        <x:v>2020</x:v>
      </x:c>
      <x:c r="E499" s="2" t="n">
        <x:v>2023</x:v>
      </x:c>
      <x:c r="F499" s="17" t="n">
        <x:v>899293602.2900008</x:v>
      </x:c>
      <x:c r="G499" s="17" t="n">
        <x:v>963113965.8763132</x:v>
      </x:c>
      <x:c r="H499" s="17" t="n">
        <x:v>2069343446.58</x:v>
      </x:c>
      <x:c r="I499" s="17" t="n">
        <x:v>2101434820.42</x:v>
      </x:c>
      <x:c r="J499" s="2" t="str">
        <x:v>m3</x:v>
      </x:c>
      <x:c r="K499" s="15" t="n">
        <x:f>IF(AND(ISNUMBER(F499),ISNUMBER(G499),F499&gt;0),G499/F499-1,"n.a.")</x:f>
        <x:v>0.07096721629487579</x:v>
      </x:c>
      <x:c r="L499" s="15" t="n">
        <x:f>IF(AND(N499,ISNUMBER(H499),ISNUMBER(I499),H499&gt;0),I499/H499-1,"n.a.")</x:f>
        <x:v>0.015507997907760362</x:v>
      </x:c>
      <x:c r="M499" s="20" t="n">
        <x:f>IF(AND(ISNUMBER(K499),ISNUMBER(L499)),100*(K499-L499),"n.a.")</x:f>
        <x:v>5.545921838711543</x:v>
      </x:c>
      <x:c r="N499" s="13" t="b">
        <x:v>1</x:v>
      </x:c>
      <x:c r="O499" s="13" t="b">
        <x:v>1</x:v>
      </x:c>
      <x:c r="P499" s="13" t="b">
        <x:v>0</x:v>
      </x:c>
      <x:c r="Q499" s="2" t="str">
        <x:v>none</x:v>
      </x:c>
      <x:c r="R499" s="2" t="str">
        <x:v>none</x:v>
      </x:c>
      <x:c r="S499" s="2" t="str">
        <x:v>nominal Q4 source model estimate</x:v>
      </x:c>
      <x:c r="T499" s="2" t="str">
        <x:v>nominal Q4 source model estimate</x:v>
      </x:c>
      <x:c r="U499" s="2" t="str">
        <x:v>GFA growth versus source physical quantity growth; constant conversion required for equality</x:v>
      </x:c>
      <x:c r="V499" s="2" t="str">
        <x:v>2020 level is the model anchor; 2023 comparator unused by v16 fit but shares conversion/upstream lineage</x:v>
      </x:c>
      <x:c r="W499" s="2" t="str">
        <x:v>https://arxiv.org/abs/2511.12104</x:v>
      </x:c>
    </x:row>
    <x:row r="500" ht="23" customHeight="1">
      <x:c r="A500" s="2" t="str">
        <x:v>LSO</x:v>
      </x:c>
      <x:c r="B500" s="2" t="str">
        <x:v>Lesotho (Kingdom of)</x:v>
      </x:c>
      <x:c r="C500" s="2" t="str">
        <x:v>TEMPO_VOLUME</x:v>
      </x:c>
      <x:c r="D500" s="2" t="n">
        <x:v>2020</x:v>
      </x:c>
      <x:c r="E500" s="2" t="n">
        <x:v>2023</x:v>
      </x:c>
      <x:c r="F500" s="17" t="n">
        <x:v>60655167.15000007</x:v>
      </x:c>
      <x:c r="G500" s="17" t="n">
        <x:v>64000772.9998195</x:v>
      </x:c>
      <x:c r="H500" s="17" t="n">
        <x:v>122054816.46</x:v>
      </x:c>
      <x:c r="I500" s="17" t="n">
        <x:v>133927476.28</x:v>
      </x:c>
      <x:c r="J500" s="2" t="str">
        <x:v>m3</x:v>
      </x:c>
      <x:c r="K500" s="15" t="n">
        <x:f>IF(AND(ISNUMBER(F500),ISNUMBER(G500),F500&gt;0),G500/F500-1,"n.a.")</x:f>
        <x:v>0.05515780447106433</x:v>
      </x:c>
      <x:c r="L500" s="15" t="n">
        <x:f>IF(AND(N500,ISNUMBER(H500),ISNUMBER(I500),H500&gt;0),I500/H500-1,"n.a.")</x:f>
        <x:v>0.09727317744884689</x:v>
      </x:c>
      <x:c r="M500" s="20" t="n">
        <x:f>IF(AND(ISNUMBER(K500),ISNUMBER(L500)),100*(K500-L500),"n.a.")</x:f>
        <x:v>-4.211537297778256</x:v>
      </x:c>
      <x:c r="N500" s="13" t="b">
        <x:v>1</x:v>
      </x:c>
      <x:c r="O500" s="13" t="b">
        <x:v>1</x:v>
      </x:c>
      <x:c r="P500" s="13" t="b">
        <x:v>0</x:v>
      </x:c>
      <x:c r="Q500" s="2" t="str">
        <x:v>none</x:v>
      </x:c>
      <x:c r="R500" s="2" t="str">
        <x:v>none</x:v>
      </x:c>
      <x:c r="S500" s="2" t="str">
        <x:v>nominal Q4 source model estimate</x:v>
      </x:c>
      <x:c r="T500" s="2" t="str">
        <x:v>nominal Q4 source model estimate</x:v>
      </x:c>
      <x:c r="U500" s="2" t="str">
        <x:v>GFA growth versus source physical quantity growth; constant conversion required for equality</x:v>
      </x:c>
      <x:c r="V500" s="2" t="str">
        <x:v>2020 level is the model anchor; 2023 comparator unused by v16 fit but shares conversion/upstream lineage</x:v>
      </x:c>
      <x:c r="W500" s="2" t="str">
        <x:v>https://arxiv.org/abs/2511.12104</x:v>
      </x:c>
    </x:row>
    <x:row r="501" ht="23" customHeight="1">
      <x:c r="A501" s="2" t="str">
        <x:v>LTU</x:v>
      </x:c>
      <x:c r="B501" s="2" t="str">
        <x:v>Lithuania (Republic of)</x:v>
      </x:c>
      <x:c r="C501" s="2" t="str">
        <x:v>TEMPO_VOLUME</x:v>
      </x:c>
      <x:c r="D501" s="2" t="n">
        <x:v>2020</x:v>
      </x:c>
      <x:c r="E501" s="2" t="n">
        <x:v>2023</x:v>
      </x:c>
      <x:c r="F501" s="17" t="n">
        <x:v>269070067.6199997</x:v>
      </x:c>
      <x:c r="G501" s="17" t="n">
        <x:v>278050523.1056788</x:v>
      </x:c>
      <x:c r="H501" s="17" t="n">
        <x:v>797387203.33</x:v>
      </x:c>
      <x:c r="I501" s="17" t="n">
        <x:v>860808542.07</x:v>
      </x:c>
      <x:c r="J501" s="2" t="str">
        <x:v>m3</x:v>
      </x:c>
      <x:c r="K501" s="15" t="n">
        <x:f>IF(AND(ISNUMBER(F501),ISNUMBER(G501),F501&gt;0),G501/F501-1,"n.a.")</x:f>
        <x:v>0.03337589931542273</x:v>
      </x:c>
      <x:c r="L501" s="15" t="n">
        <x:f>IF(AND(N501,ISNUMBER(H501),ISNUMBER(I501),H501&gt;0),I501/H501-1,"n.a.")</x:f>
        <x:v>0.0795364391040434</x:v>
      </x:c>
      <x:c r="M501" s="20" t="n">
        <x:f>IF(AND(ISNUMBER(K501),ISNUMBER(L501)),100*(K501-L501),"n.a.")</x:f>
        <x:v>-4.616053978862067</x:v>
      </x:c>
      <x:c r="N501" s="13" t="b">
        <x:v>1</x:v>
      </x:c>
      <x:c r="O501" s="13" t="b">
        <x:v>1</x:v>
      </x:c>
      <x:c r="P501" s="13" t="b">
        <x:v>0</x:v>
      </x:c>
      <x:c r="Q501" s="2" t="str">
        <x:v>none</x:v>
      </x:c>
      <x:c r="R501" s="2" t="str">
        <x:v>none</x:v>
      </x:c>
      <x:c r="S501" s="2" t="str">
        <x:v>nominal Q4 source model estimate</x:v>
      </x:c>
      <x:c r="T501" s="2" t="str">
        <x:v>nominal Q4 source model estimate</x:v>
      </x:c>
      <x:c r="U501" s="2" t="str">
        <x:v>GFA growth versus source physical quantity growth; constant conversion required for equality</x:v>
      </x:c>
      <x:c r="V501" s="2" t="str">
        <x:v>2020 level is the model anchor; 2023 comparator unused by v16 fit but shares conversion/upstream lineage</x:v>
      </x:c>
      <x:c r="W501" s="2" t="str">
        <x:v>https://arxiv.org/abs/2511.12104</x:v>
      </x:c>
    </x:row>
    <x:row r="502" ht="23" customHeight="1">
      <x:c r="A502" s="2" t="str">
        <x:v>LUX</x:v>
      </x:c>
      <x:c r="B502" s="2" t="str">
        <x:v>Luxembourg (Grand Duchy of)</x:v>
      </x:c>
      <x:c r="C502" s="2" t="str">
        <x:v>TEMPO_VOLUME</x:v>
      </x:c>
      <x:c r="D502" s="2" t="n">
        <x:v>2020</x:v>
      </x:c>
      <x:c r="E502" s="2" t="n">
        <x:v>2023</x:v>
      </x:c>
      <x:c r="F502" s="17" t="n">
        <x:v>49053600.56000002</x:v>
      </x:c>
      <x:c r="G502" s="17" t="n">
        <x:v>55006643.51753835</x:v>
      </x:c>
      <x:c r="H502" s="17" t="n">
        <x:v>181190130.19</x:v>
      </x:c>
      <x:c r="I502" s="17" t="n">
        <x:v>193406272.79</x:v>
      </x:c>
      <x:c r="J502" s="2" t="str">
        <x:v>m3</x:v>
      </x:c>
      <x:c r="K502" s="15" t="n">
        <x:f>IF(AND(ISNUMBER(F502),ISNUMBER(G502),F502&gt;0),G502/F502-1,"n.a.")</x:f>
        <x:v>0.12135792051098981</x:v>
      </x:c>
      <x:c r="L502" s="15" t="n">
        <x:f>IF(AND(N502,ISNUMBER(H502),ISNUMBER(I502),H502&gt;0),I502/H502-1,"n.a.")</x:f>
        <x:v>0.067421677920259</x:v>
      </x:c>
      <x:c r="M502" s="20" t="n">
        <x:f>IF(AND(ISNUMBER(K502),ISNUMBER(L502)),100*(K502-L502),"n.a.")</x:f>
        <x:v>5.393624259073082</x:v>
      </x:c>
      <x:c r="N502" s="13" t="b">
        <x:v>1</x:v>
      </x:c>
      <x:c r="O502" s="13" t="b">
        <x:v>1</x:v>
      </x:c>
      <x:c r="P502" s="13" t="b">
        <x:v>0</x:v>
      </x:c>
      <x:c r="Q502" s="2" t="str">
        <x:v>none</x:v>
      </x:c>
      <x:c r="R502" s="2" t="str">
        <x:v>none</x:v>
      </x:c>
      <x:c r="S502" s="2" t="str">
        <x:v>nominal Q4 source model estimate</x:v>
      </x:c>
      <x:c r="T502" s="2" t="str">
        <x:v>nominal Q4 source model estimate</x:v>
      </x:c>
      <x:c r="U502" s="2" t="str">
        <x:v>GFA growth versus source physical quantity growth; constant conversion required for equality</x:v>
      </x:c>
      <x:c r="V502" s="2" t="str">
        <x:v>2020 level is the model anchor; 2023 comparator unused by v16 fit but shares conversion/upstream lineage</x:v>
      </x:c>
      <x:c r="W502" s="2" t="str">
        <x:v>https://arxiv.org/abs/2511.12104</x:v>
      </x:c>
    </x:row>
    <x:row r="503" ht="23" customHeight="1">
      <x:c r="A503" s="2" t="str">
        <x:v>LVA</x:v>
      </x:c>
      <x:c r="B503" s="2" t="str">
        <x:v>Latvia (Republic of)</x:v>
      </x:c>
      <x:c r="C503" s="2" t="str">
        <x:v>TEMPO_VOLUME</x:v>
      </x:c>
      <x:c r="D503" s="2" t="n">
        <x:v>2020</x:v>
      </x:c>
      <x:c r="E503" s="2" t="n">
        <x:v>2023</x:v>
      </x:c>
      <x:c r="F503" s="17" t="n">
        <x:v>145154805.1899999</x:v>
      </x:c>
      <x:c r="G503" s="17" t="n">
        <x:v>151004680.80462965</x:v>
      </x:c>
      <x:c r="H503" s="17" t="n">
        <x:v>449369069.54</x:v>
      </x:c>
      <x:c r="I503" s="17" t="n">
        <x:v>486918325.33</x:v>
      </x:c>
      <x:c r="J503" s="2" t="str">
        <x:v>m3</x:v>
      </x:c>
      <x:c r="K503" s="15" t="n">
        <x:f>IF(AND(ISNUMBER(F503),ISNUMBER(G503),F503&gt;0),G503/F503-1,"n.a.")</x:f>
        <x:v>0.04030094358207825</x:v>
      </x:c>
      <x:c r="L503" s="15" t="n">
        <x:f>IF(AND(N503,ISNUMBER(H503),ISNUMBER(I503),H503&gt;0),I503/H503-1,"n.a.")</x:f>
        <x:v>0.08355994734670436</x:v>
      </x:c>
      <x:c r="M503" s="20" t="n">
        <x:f>IF(AND(ISNUMBER(K503),ISNUMBER(L503)),100*(K503-L503),"n.a.")</x:f>
        <x:v>-4.32590037646261</x:v>
      </x:c>
      <x:c r="N503" s="13" t="b">
        <x:v>1</x:v>
      </x:c>
      <x:c r="O503" s="13" t="b">
        <x:v>1</x:v>
      </x:c>
      <x:c r="P503" s="13" t="b">
        <x:v>0</x:v>
      </x:c>
      <x:c r="Q503" s="2" t="str">
        <x:v>none</x:v>
      </x:c>
      <x:c r="R503" s="2" t="str">
        <x:v>none</x:v>
      </x:c>
      <x:c r="S503" s="2" t="str">
        <x:v>nominal Q4 source model estimate</x:v>
      </x:c>
      <x:c r="T503" s="2" t="str">
        <x:v>nominal Q4 source model estimate</x:v>
      </x:c>
      <x:c r="U503" s="2" t="str">
        <x:v>GFA growth versus source physical quantity growth; constant conversion required for equality</x:v>
      </x:c>
      <x:c r="V503" s="2" t="str">
        <x:v>2020 level is the model anchor; 2023 comparator unused by v16 fit but shares conversion/upstream lineage</x:v>
      </x:c>
      <x:c r="W503" s="2" t="str">
        <x:v>https://arxiv.org/abs/2511.12104</x:v>
      </x:c>
    </x:row>
    <x:row r="504" ht="23" customHeight="1">
      <x:c r="A504" s="2" t="str">
        <x:v>MAR</x:v>
      </x:c>
      <x:c r="B504" s="2" t="str">
        <x:v>Morocco (Kingdom of)</x:v>
      </x:c>
      <x:c r="C504" s="2" t="str">
        <x:v>TEMPO_VOLUME</x:v>
      </x:c>
      <x:c r="D504" s="2" t="n">
        <x:v>2020</x:v>
      </x:c>
      <x:c r="E504" s="2" t="n">
        <x:v>2023</x:v>
      </x:c>
      <x:c r="F504" s="17" t="n">
        <x:v>1247018524.7000012</x:v>
      </x:c>
      <x:c r="G504" s="17" t="n">
        <x:v>1413637538.0337749</x:v>
      </x:c>
      <x:c r="H504" s="17" t="n">
        <x:v>3747650433.53</x:v>
      </x:c>
      <x:c r="I504" s="17" t="n">
        <x:v>3896718476.88</x:v>
      </x:c>
      <x:c r="J504" s="2" t="str">
        <x:v>m3</x:v>
      </x:c>
      <x:c r="K504" s="15" t="n">
        <x:f>IF(AND(ISNUMBER(F504),ISNUMBER(G504),F504&gt;0),G504/F504-1,"n.a.")</x:f>
        <x:v>0.13361390391041517</x:v>
      </x:c>
      <x:c r="L504" s="15" t="n">
        <x:f>IF(AND(N504,ISNUMBER(H504),ISNUMBER(I504),H504&gt;0),I504/H504-1,"n.a.")</x:f>
        <x:v>0.03977640017230444</x:v>
      </x:c>
      <x:c r="M504" s="20" t="n">
        <x:f>IF(AND(ISNUMBER(K504),ISNUMBER(L504)),100*(K504-L504),"n.a.")</x:f>
        <x:v>9.383750373811072</x:v>
      </x:c>
      <x:c r="N504" s="13" t="b">
        <x:v>1</x:v>
      </x:c>
      <x:c r="O504" s="13" t="b">
        <x:v>1</x:v>
      </x:c>
      <x:c r="P504" s="13" t="b">
        <x:v>0</x:v>
      </x:c>
      <x:c r="Q504" s="2" t="str">
        <x:v>none</x:v>
      </x:c>
      <x:c r="R504" s="2" t="str">
        <x:v>none</x:v>
      </x:c>
      <x:c r="S504" s="2" t="str">
        <x:v>nominal Q4 source model estimate</x:v>
      </x:c>
      <x:c r="T504" s="2" t="str">
        <x:v>nominal Q4 source model estimate</x:v>
      </x:c>
      <x:c r="U504" s="2" t="str">
        <x:v>GFA growth versus source physical quantity growth; constant conversion required for equality</x:v>
      </x:c>
      <x:c r="V504" s="2" t="str">
        <x:v>2020 level is the model anchor; 2023 comparator unused by v16 fit but shares conversion/upstream lineage</x:v>
      </x:c>
      <x:c r="W504" s="2" t="str">
        <x:v>https://arxiv.org/abs/2511.12104</x:v>
      </x:c>
    </x:row>
    <x:row r="505" ht="23" customHeight="1">
      <x:c r="A505" s="2" t="str">
        <x:v>MCO</x:v>
      </x:c>
      <x:c r="B505" s="2" t="str">
        <x:v>Monaco (Principality of)</x:v>
      </x:c>
      <x:c r="C505" s="2" t="str">
        <x:v>TEMPO_VOLUME</x:v>
      </x:c>
      <x:c r="D505" s="2" t="n">
        <x:v>2020</x:v>
      </x:c>
      <x:c r="E505" s="2" t="n">
        <x:v>2023</x:v>
      </x:c>
      <x:c r="F505" s="17" t="n">
        <x:v>1563267.7900000005</x:v>
      </x:c>
      <x:c r="G505" s="17" t="n">
        <x:v>1704411.190059275</x:v>
      </x:c>
      <x:c r="H505" s="17" t="n">
        <x:v>5726967.5</x:v>
      </x:c>
      <x:c r="I505" s="17" t="n">
        <x:v>6144000</x:v>
      </x:c>
      <x:c r="J505" s="2" t="str">
        <x:v>m3</x:v>
      </x:c>
      <x:c r="K505" s="15" t="n">
        <x:f>IF(AND(ISNUMBER(F505),ISNUMBER(G505),F505&gt;0),G505/F505-1,"n.a.")</x:f>
        <x:v>0.09028741010474883</x:v>
      </x:c>
      <x:c r="L505" s="15" t="n">
        <x:f>IF(AND(N505,ISNUMBER(H505),ISNUMBER(I505),H505&gt;0),I505/H505-1,"n.a.")</x:f>
        <x:v>0.0728190792072767</x:v>
      </x:c>
      <x:c r="M505" s="20" t="n">
        <x:f>IF(AND(ISNUMBER(K505),ISNUMBER(L505)),100*(K505-L505),"n.a.")</x:f>
        <x:v>1.7468330897472129</x:v>
      </x:c>
      <x:c r="N505" s="13" t="b">
        <x:v>1</x:v>
      </x:c>
      <x:c r="O505" s="13" t="b">
        <x:v>1</x:v>
      </x:c>
      <x:c r="P505" s="13" t="b">
        <x:v>0</x:v>
      </x:c>
      <x:c r="Q505" s="2" t="str">
        <x:v>none</x:v>
      </x:c>
      <x:c r="R505" s="2" t="str">
        <x:v>none</x:v>
      </x:c>
      <x:c r="S505" s="2" t="str">
        <x:v>nominal Q4 source model estimate</x:v>
      </x:c>
      <x:c r="T505" s="2" t="str">
        <x:v>nominal Q4 source model estimate</x:v>
      </x:c>
      <x:c r="U505" s="2" t="str">
        <x:v>GFA growth versus source physical quantity growth; constant conversion required for equality</x:v>
      </x:c>
      <x:c r="V505" s="2" t="str">
        <x:v>2020 level is the model anchor; 2023 comparator unused by v16 fit but shares conversion/upstream lineage</x:v>
      </x:c>
      <x:c r="W505" s="2" t="str">
        <x:v>https://arxiv.org/abs/2511.12104</x:v>
      </x:c>
    </x:row>
    <x:row r="506" ht="23" customHeight="1">
      <x:c r="A506" s="2" t="str">
        <x:v>MDA</x:v>
      </x:c>
      <x:c r="B506" s="2" t="str">
        <x:v>Moldova (Republic of)</x:v>
      </x:c>
      <x:c r="C506" s="2" t="str">
        <x:v>TEMPO_VOLUME</x:v>
      </x:c>
      <x:c r="D506" s="2" t="n">
        <x:v>2020</x:v>
      </x:c>
      <x:c r="E506" s="2" t="n">
        <x:v>2023</x:v>
      </x:c>
      <x:c r="F506" s="17" t="n">
        <x:v>254566854.8299996</x:v>
      </x:c>
      <x:c r="G506" s="17" t="n">
        <x:v>256986634.83789924</x:v>
      </x:c>
      <x:c r="H506" s="17" t="n">
        <x:v>664609574.56</x:v>
      </x:c>
      <x:c r="I506" s="17" t="n">
        <x:v>704269608.32</x:v>
      </x:c>
      <x:c r="J506" s="2" t="str">
        <x:v>m3</x:v>
      </x:c>
      <x:c r="K506" s="15" t="n">
        <x:f>IF(AND(ISNUMBER(F506),ISNUMBER(G506),F506&gt;0),G506/F506-1,"n.a.")</x:f>
        <x:v>0.009505479452600385</x:v>
      </x:c>
      <x:c r="L506" s="15" t="n">
        <x:f>IF(AND(N506,ISNUMBER(H506),ISNUMBER(I506),H506&gt;0),I506/H506-1,"n.a.")</x:f>
        <x:v>0.05967418357801524</x:v>
      </x:c>
      <x:c r="M506" s="20" t="n">
        <x:f>IF(AND(ISNUMBER(K506),ISNUMBER(L506)),100*(K506-L506),"n.a.")</x:f>
        <x:v>-5.016870412541485</x:v>
      </x:c>
      <x:c r="N506" s="13" t="b">
        <x:v>1</x:v>
      </x:c>
      <x:c r="O506" s="13" t="b">
        <x:v>1</x:v>
      </x:c>
      <x:c r="P506" s="13" t="b">
        <x:v>0</x:v>
      </x:c>
      <x:c r="Q506" s="2" t="str">
        <x:v>none</x:v>
      </x:c>
      <x:c r="R506" s="2" t="str">
        <x:v>none</x:v>
      </x:c>
      <x:c r="S506" s="2" t="str">
        <x:v>nominal Q4 source model estimate</x:v>
      </x:c>
      <x:c r="T506" s="2" t="str">
        <x:v>nominal Q4 source model estimate</x:v>
      </x:c>
      <x:c r="U506" s="2" t="str">
        <x:v>GFA growth versus source physical quantity growth; constant conversion required for equality</x:v>
      </x:c>
      <x:c r="V506" s="2" t="str">
        <x:v>2020 level is the model anchor; 2023 comparator unused by v16 fit but shares conversion/upstream lineage</x:v>
      </x:c>
      <x:c r="W506" s="2" t="str">
        <x:v>https://arxiv.org/abs/2511.12104</x:v>
      </x:c>
    </x:row>
    <x:row r="507" ht="23" customHeight="1">
      <x:c r="A507" s="2" t="str">
        <x:v>MDG</x:v>
      </x:c>
      <x:c r="B507" s="2" t="str">
        <x:v>Madagascar (Republic of)</x:v>
      </x:c>
      <x:c r="C507" s="2" t="str">
        <x:v>TEMPO_VOLUME</x:v>
      </x:c>
      <x:c r="D507" s="2" t="n">
        <x:v>2020</x:v>
      </x:c>
      <x:c r="E507" s="2" t="n">
        <x:v>2023</x:v>
      </x:c>
      <x:c r="F507" s="17" t="n">
        <x:v>360823089.7999994</x:v>
      </x:c>
      <x:c r="G507" s="17" t="n">
        <x:v>409780281.06508857</x:v>
      </x:c>
      <x:c r="H507" s="17" t="n">
        <x:v>734099654.72</x:v>
      </x:c>
      <x:c r="I507" s="17" t="n">
        <x:v>776572159.6</x:v>
      </x:c>
      <x:c r="J507" s="2" t="str">
        <x:v>m3</x:v>
      </x:c>
      <x:c r="K507" s="15" t="n">
        <x:f>IF(AND(ISNUMBER(F507),ISNUMBER(G507),F507&gt;0),G507/F507-1,"n.a.")</x:f>
        <x:v>0.1356819800313378</x:v>
      </x:c>
      <x:c r="L507" s="15" t="n">
        <x:f>IF(AND(N507,ISNUMBER(H507),ISNUMBER(I507),H507&gt;0),I507/H507-1,"n.a.")</x:f>
        <x:v>0.057856592912034266</x:v>
      </x:c>
      <x:c r="M507" s="20" t="n">
        <x:f>IF(AND(ISNUMBER(K507),ISNUMBER(L507)),100*(K507-L507),"n.a.")</x:f>
        <x:v>7.7825387119303535</x:v>
      </x:c>
      <x:c r="N507" s="13" t="b">
        <x:v>1</x:v>
      </x:c>
      <x:c r="O507" s="13" t="b">
        <x:v>1</x:v>
      </x:c>
      <x:c r="P507" s="13" t="b">
        <x:v>0</x:v>
      </x:c>
      <x:c r="Q507" s="2" t="str">
        <x:v>none</x:v>
      </x:c>
      <x:c r="R507" s="2" t="str">
        <x:v>none</x:v>
      </x:c>
      <x:c r="S507" s="2" t="str">
        <x:v>nominal Q4 source model estimate</x:v>
      </x:c>
      <x:c r="T507" s="2" t="str">
        <x:v>nominal Q4 source model estimate</x:v>
      </x:c>
      <x:c r="U507" s="2" t="str">
        <x:v>GFA growth versus source physical quantity growth; constant conversion required for equality</x:v>
      </x:c>
      <x:c r="V507" s="2" t="str">
        <x:v>2020 level is the model anchor; 2023 comparator unused by v16 fit but shares conversion/upstream lineage</x:v>
      </x:c>
      <x:c r="W507" s="2" t="str">
        <x:v>https://arxiv.org/abs/2511.12104</x:v>
      </x:c>
    </x:row>
    <x:row r="508" ht="23" customHeight="1">
      <x:c r="A508" s="2" t="str">
        <x:v>MDV</x:v>
      </x:c>
      <x:c r="B508" s="2" t="str">
        <x:v>Maldives (Republic of)</x:v>
      </x:c>
      <x:c r="C508" s="2" t="str">
        <x:v>TEMPO_VOLUME</x:v>
      </x:c>
      <x:c r="D508" s="2" t="n">
        <x:v>2020</x:v>
      </x:c>
      <x:c r="E508" s="2" t="n">
        <x:v>2023</x:v>
      </x:c>
      <x:c r="F508" s="17" t="n">
        <x:v>2206666.830000001</x:v>
      </x:c>
      <x:c r="G508" s="17" t="n">
        <x:v>2547252.166048249</x:v>
      </x:c>
      <x:c r="H508" s="17" t="n">
        <x:v>5643521.43</x:v>
      </x:c>
      <x:c r="I508" s="17" t="n">
        <x:v>5796395.24</x:v>
      </x:c>
      <x:c r="J508" s="2" t="str">
        <x:v>m3</x:v>
      </x:c>
      <x:c r="K508" s="15" t="n">
        <x:f>IF(AND(ISNUMBER(F508),ISNUMBER(G508),F508&gt;0),G508/F508-1,"n.a.")</x:f>
        <x:v>0.15434379645261087</x:v>
      </x:c>
      <x:c r="L508" s="15" t="n">
        <x:f>IF(AND(N508,ISNUMBER(H508),ISNUMBER(I508),H508&gt;0),I508/H508-1,"n.a.")</x:f>
        <x:v>0.02708837237462225</x:v>
      </x:c>
      <x:c r="M508" s="20" t="n">
        <x:f>IF(AND(ISNUMBER(K508),ISNUMBER(L508)),100*(K508-L508),"n.a.")</x:f>
        <x:v>12.725542407798862</x:v>
      </x:c>
      <x:c r="N508" s="13" t="b">
        <x:v>1</x:v>
      </x:c>
      <x:c r="O508" s="13" t="b">
        <x:v>1</x:v>
      </x:c>
      <x:c r="P508" s="13" t="b">
        <x:v>0</x:v>
      </x:c>
      <x:c r="Q508" s="2" t="str">
        <x:v>none</x:v>
      </x:c>
      <x:c r="R508" s="2" t="str">
        <x:v>none</x:v>
      </x:c>
      <x:c r="S508" s="2" t="str">
        <x:v>nominal Q4 source model estimate</x:v>
      </x:c>
      <x:c r="T508" s="2" t="str">
        <x:v>nominal Q4 source model estimate</x:v>
      </x:c>
      <x:c r="U508" s="2" t="str">
        <x:v>GFA growth versus source physical quantity growth; constant conversion required for equality</x:v>
      </x:c>
      <x:c r="V508" s="2" t="str">
        <x:v>2020 level is the model anchor; 2023 comparator unused by v16 fit but shares conversion/upstream lineage</x:v>
      </x:c>
      <x:c r="W508" s="2" t="str">
        <x:v>https://arxiv.org/abs/2511.12104</x:v>
      </x:c>
    </x:row>
    <x:row r="509" ht="23" customHeight="1">
      <x:c r="A509" s="2" t="str">
        <x:v>MEX</x:v>
      </x:c>
      <x:c r="B509" s="2" t="str">
        <x:v>Mexico (United Mexican States)</x:v>
      </x:c>
      <x:c r="C509" s="2" t="str">
        <x:v>TEMPO_VOLUME</x:v>
      </x:c>
      <x:c r="D509" s="2" t="n">
        <x:v>2020</x:v>
      </x:c>
      <x:c r="E509" s="2" t="n">
        <x:v>2023</x:v>
      </x:c>
      <x:c r="F509" s="17" t="n">
        <x:v>6345872319.039995</x:v>
      </x:c>
      <x:c r="G509" s="17" t="n">
        <x:v>6748020920.092563</x:v>
      </x:c>
      <x:c r="H509" s="17" t="n">
        <x:v>18019194526.75</x:v>
      </x:c>
      <x:c r="I509" s="17" t="n">
        <x:v>18950646029.39</x:v>
      </x:c>
      <x:c r="J509" s="2" t="str">
        <x:v>m3</x:v>
      </x:c>
      <x:c r="K509" s="15" t="n">
        <x:f>IF(AND(ISNUMBER(F509),ISNUMBER(G509),F509&gt;0),G509/F509-1,"n.a.")</x:f>
        <x:v>0.06337168175381835</x:v>
      </x:c>
      <x:c r="L509" s="15" t="n">
        <x:f>IF(AND(N509,ISNUMBER(H509),ISNUMBER(I509),H509&gt;0),I509/H509-1,"n.a.")</x:f>
        <x:v>0.051692183091604615</x:v>
      </x:c>
      <x:c r="M509" s="20" t="n">
        <x:f>IF(AND(ISNUMBER(K509),ISNUMBER(L509)),100*(K509-L509),"n.a.")</x:f>
        <x:v>1.1679498662213739</x:v>
      </x:c>
      <x:c r="N509" s="13" t="b">
        <x:v>1</x:v>
      </x:c>
      <x:c r="O509" s="13" t="b">
        <x:v>1</x:v>
      </x:c>
      <x:c r="P509" s="13" t="b">
        <x:v>0</x:v>
      </x:c>
      <x:c r="Q509" s="2" t="str">
        <x:v>none</x:v>
      </x:c>
      <x:c r="R509" s="2" t="str">
        <x:v>none</x:v>
      </x:c>
      <x:c r="S509" s="2" t="str">
        <x:v>nominal Q4 source model estimate</x:v>
      </x:c>
      <x:c r="T509" s="2" t="str">
        <x:v>nominal Q4 source model estimate</x:v>
      </x:c>
      <x:c r="U509" s="2" t="str">
        <x:v>GFA growth versus source physical quantity growth; constant conversion required for equality</x:v>
      </x:c>
      <x:c r="V509" s="2" t="str">
        <x:v>2020 level is the model anchor; 2023 comparator unused by v16 fit but shares conversion/upstream lineage</x:v>
      </x:c>
      <x:c r="W509" s="2" t="str">
        <x:v>https://arxiv.org/abs/2511.12104</x:v>
      </x:c>
    </x:row>
    <x:row r="510" ht="23" customHeight="1">
      <x:c r="A510" s="2" t="str">
        <x:v>MHL</x:v>
      </x:c>
      <x:c r="B510" s="2" t="str">
        <x:v>Marshall Islands (Republic of the)</x:v>
      </x:c>
      <x:c r="C510" s="2" t="str">
        <x:v>TEMPO_VOLUME</x:v>
      </x:c>
      <x:c r="D510" s="2" t="n">
        <x:v>2020</x:v>
      </x:c>
      <x:c r="E510" s="2" t="n">
        <x:v>2023</x:v>
      </x:c>
      <x:c r="F510" s="17" t="n">
        <x:v>198896.74</x:v>
      </x:c>
      <x:c r="G510" s="17" t="n">
        <x:v>200822.6318928674</x:v>
      </x:c>
      <x:c r="H510" s="17" t="n">
        <x:v>523585.21</x:v>
      </x:c>
      <x:c r="I510" s="17" t="n">
        <x:v>518344.67</x:v>
      </x:c>
      <x:c r="J510" s="2" t="str">
        <x:v>m3</x:v>
      </x:c>
      <x:c r="K510" s="15" t="n">
        <x:f>IF(AND(ISNUMBER(F510),ISNUMBER(G510),F510&gt;0),G510/F510-1,"n.a.")</x:f>
        <x:v>0.00968287309720317</x:v>
      </x:c>
      <x:c r="L510" s="15" t="n">
        <x:f>IF(AND(N510,ISNUMBER(H510),ISNUMBER(I510),H510&gt;0),I510/H510-1,"n.a.")</x:f>
        <x:v>-0.010008953461462466</x:v>
      </x:c>
      <x:c r="M510" s="20" t="n">
        <x:f>IF(AND(ISNUMBER(K510),ISNUMBER(L510)),100*(K510-L510),"n.a.")</x:f>
        <x:v>1.9691826558665637</x:v>
      </x:c>
      <x:c r="N510" s="13" t="b">
        <x:v>1</x:v>
      </x:c>
      <x:c r="O510" s="13" t="b">
        <x:v>1</x:v>
      </x:c>
      <x:c r="P510" s="13" t="b">
        <x:v>0</x:v>
      </x:c>
      <x:c r="Q510" s="2" t="str">
        <x:v>none</x:v>
      </x:c>
      <x:c r="R510" s="2" t="str">
        <x:v>none</x:v>
      </x:c>
      <x:c r="S510" s="2" t="str">
        <x:v>nominal Q4 source model estimate</x:v>
      </x:c>
      <x:c r="T510" s="2" t="str">
        <x:v>nominal Q4 source model estimate</x:v>
      </x:c>
      <x:c r="U510" s="2" t="str">
        <x:v>GFA growth versus source physical quantity growth; constant conversion required for equality</x:v>
      </x:c>
      <x:c r="V510" s="2" t="str">
        <x:v>2020 level is the model anchor; 2023 comparator unused by v16 fit but shares conversion/upstream lineage</x:v>
      </x:c>
      <x:c r="W510" s="2" t="str">
        <x:v>https://arxiv.org/abs/2511.12104</x:v>
      </x:c>
    </x:row>
    <x:row r="511" ht="23" customHeight="1">
      <x:c r="A511" s="2" t="str">
        <x:v>MKD</x:v>
      </x:c>
      <x:c r="B511" s="2" t="str">
        <x:v>North Macedonia (Republic of)</x:v>
      </x:c>
      <x:c r="C511" s="2" t="str">
        <x:v>TEMPO_VOLUME</x:v>
      </x:c>
      <x:c r="D511" s="2" t="n">
        <x:v>2020</x:v>
      </x:c>
      <x:c r="E511" s="2" t="n">
        <x:v>2023</x:v>
      </x:c>
      <x:c r="F511" s="17" t="n">
        <x:v>122189801.58999982</x:v>
      </x:c>
      <x:c r="G511" s="17" t="n">
        <x:v>125152275.58989622</x:v>
      </x:c>
      <x:c r="H511" s="17" t="n">
        <x:v>375858818.67</x:v>
      </x:c>
      <x:c r="I511" s="17" t="n">
        <x:v>391966123.71</x:v>
      </x:c>
      <x:c r="J511" s="2" t="str">
        <x:v>m3</x:v>
      </x:c>
      <x:c r="K511" s="15" t="n">
        <x:f>IF(AND(ISNUMBER(F511),ISNUMBER(G511),F511&gt;0),G511/F511-1,"n.a.")</x:f>
        <x:v>0.024244854818872508</x:v>
      </x:c>
      <x:c r="L511" s="15" t="n">
        <x:f>IF(AND(N511,ISNUMBER(H511),ISNUMBER(I511),H511&gt;0),I511/H511-1,"n.a.")</x:f>
        <x:v>0.042854668401812956</x:v>
      </x:c>
      <x:c r="M511" s="20" t="n">
        <x:f>IF(AND(ISNUMBER(K511),ISNUMBER(L511)),100*(K511-L511),"n.a.")</x:f>
        <x:v>-1.8609813582940449</x:v>
      </x:c>
      <x:c r="N511" s="13" t="b">
        <x:v>1</x:v>
      </x:c>
      <x:c r="O511" s="13" t="b">
        <x:v>1</x:v>
      </x:c>
      <x:c r="P511" s="13" t="b">
        <x:v>0</x:v>
      </x:c>
      <x:c r="Q511" s="2" t="str">
        <x:v>none</x:v>
      </x:c>
      <x:c r="R511" s="2" t="str">
        <x:v>none</x:v>
      </x:c>
      <x:c r="S511" s="2" t="str">
        <x:v>nominal Q4 source model estimate</x:v>
      </x:c>
      <x:c r="T511" s="2" t="str">
        <x:v>nominal Q4 source model estimate</x:v>
      </x:c>
      <x:c r="U511" s="2" t="str">
        <x:v>GFA growth versus source physical quantity growth; constant conversion required for equality</x:v>
      </x:c>
      <x:c r="V511" s="2" t="str">
        <x:v>2020 level is the model anchor; 2023 comparator unused by v16 fit but shares conversion/upstream lineage</x:v>
      </x:c>
      <x:c r="W511" s="2" t="str">
        <x:v>https://arxiv.org/abs/2511.12104</x:v>
      </x:c>
    </x:row>
    <x:row r="512" ht="23" customHeight="1">
      <x:c r="A512" s="2" t="str">
        <x:v>MLI</x:v>
      </x:c>
      <x:c r="B512" s="2" t="str">
        <x:v>Mali (Republic of)</x:v>
      </x:c>
      <x:c r="C512" s="2" t="str">
        <x:v>TEMPO_VOLUME</x:v>
      </x:c>
      <x:c r="D512" s="2" t="n">
        <x:v>2020</x:v>
      </x:c>
      <x:c r="E512" s="2" t="n">
        <x:v>2023</x:v>
      </x:c>
      <x:c r="F512" s="17" t="n">
        <x:v>323707340.7500005</x:v>
      </x:c>
      <x:c r="G512" s="17" t="n">
        <x:v>360443344.9314102</x:v>
      </x:c>
      <x:c r="H512" s="17" t="n">
        <x:v>736488951.99</x:v>
      </x:c>
      <x:c r="I512" s="17" t="n">
        <x:v>822568617.94</x:v>
      </x:c>
      <x:c r="J512" s="2" t="str">
        <x:v>m3</x:v>
      </x:c>
      <x:c r="K512" s="15" t="n">
        <x:f>IF(AND(ISNUMBER(F512),ISNUMBER(G512),F512&gt;0),G512/F512-1,"n.a.")</x:f>
        <x:v>0.11348523668414723</x:v>
      </x:c>
      <x:c r="L512" s="15" t="n">
        <x:f>IF(AND(N512,ISNUMBER(H512),ISNUMBER(I512),H512&gt;0),I512/H512-1,"n.a.")</x:f>
        <x:v>0.11687842121380365</x:v>
      </x:c>
      <x:c r="M512" s="20" t="n">
        <x:f>IF(AND(ISNUMBER(K512),ISNUMBER(L512)),100*(K512-L512),"n.a.")</x:f>
        <x:v>-0.33931845296564234</x:v>
      </x:c>
      <x:c r="N512" s="13" t="b">
        <x:v>1</x:v>
      </x:c>
      <x:c r="O512" s="13" t="b">
        <x:v>1</x:v>
      </x:c>
      <x:c r="P512" s="13" t="b">
        <x:v>0</x:v>
      </x:c>
      <x:c r="Q512" s="2" t="str">
        <x:v>none</x:v>
      </x:c>
      <x:c r="R512" s="2" t="str">
        <x:v>none</x:v>
      </x:c>
      <x:c r="S512" s="2" t="str">
        <x:v>nominal Q4 source model estimate</x:v>
      </x:c>
      <x:c r="T512" s="2" t="str">
        <x:v>nominal Q4 source model estimate</x:v>
      </x:c>
      <x:c r="U512" s="2" t="str">
        <x:v>GFA growth versus source physical quantity growth; constant conversion required for equality</x:v>
      </x:c>
      <x:c r="V512" s="2" t="str">
        <x:v>2020 level is the model anchor; 2023 comparator unused by v16 fit but shares conversion/upstream lineage</x:v>
      </x:c>
      <x:c r="W512" s="2" t="str">
        <x:v>https://arxiv.org/abs/2511.12104</x:v>
      </x:c>
    </x:row>
    <x:row r="513" ht="23" customHeight="1">
      <x:c r="A513" s="2" t="str">
        <x:v>MLT</x:v>
      </x:c>
      <x:c r="B513" s="2" t="str">
        <x:v>Malta (Republic of)</x:v>
      </x:c>
      <x:c r="C513" s="2" t="str">
        <x:v>TEMPO_VOLUME</x:v>
      </x:c>
      <x:c r="D513" s="2" t="n">
        <x:v>2020</x:v>
      </x:c>
      <x:c r="E513" s="2" t="n">
        <x:v>2023</x:v>
      </x:c>
      <x:c r="F513" s="17" t="n">
        <x:v>35087387.829999976</x:v>
      </x:c>
      <x:c r="G513" s="17" t="n">
        <x:v>38205817.79602839</x:v>
      </x:c>
      <x:c r="H513" s="17" t="n">
        <x:v>133548779.75</x:v>
      </x:c>
      <x:c r="I513" s="17" t="n">
        <x:v>126242941.78</x:v>
      </x:c>
      <x:c r="J513" s="2" t="str">
        <x:v>m3</x:v>
      </x:c>
      <x:c r="K513" s="15" t="n">
        <x:f>IF(AND(ISNUMBER(F513),ISNUMBER(G513),F513&gt;0),G513/F513-1,"n.a.")</x:f>
        <x:v>0.08887609363049065</x:v>
      </x:c>
      <x:c r="L513" s="15" t="n">
        <x:f>IF(AND(N513,ISNUMBER(H513),ISNUMBER(I513),H513&gt;0),I513/H513-1,"n.a.")</x:f>
        <x:v>-0.05470538917447498</x:v>
      </x:c>
      <x:c r="M513" s="20" t="n">
        <x:f>IF(AND(ISNUMBER(K513),ISNUMBER(L513)),100*(K513-L513),"n.a.")</x:f>
        <x:v>14.358148280496563</x:v>
      </x:c>
      <x:c r="N513" s="13" t="b">
        <x:v>1</x:v>
      </x:c>
      <x:c r="O513" s="13" t="b">
        <x:v>1</x:v>
      </x:c>
      <x:c r="P513" s="13" t="b">
        <x:v>0</x:v>
      </x:c>
      <x:c r="Q513" s="2" t="str">
        <x:v>none</x:v>
      </x:c>
      <x:c r="R513" s="2" t="str">
        <x:v>none</x:v>
      </x:c>
      <x:c r="S513" s="2" t="str">
        <x:v>nominal Q4 source model estimate</x:v>
      </x:c>
      <x:c r="T513" s="2" t="str">
        <x:v>nominal Q4 source model estimate</x:v>
      </x:c>
      <x:c r="U513" s="2" t="str">
        <x:v>GFA growth versus source physical quantity growth; constant conversion required for equality</x:v>
      </x:c>
      <x:c r="V513" s="2" t="str">
        <x:v>2020 level is the model anchor; 2023 comparator unused by v16 fit but shares conversion/upstream lineage</x:v>
      </x:c>
      <x:c r="W513" s="2" t="str">
        <x:v>https://arxiv.org/abs/2511.12104</x:v>
      </x:c>
    </x:row>
    <x:row r="514" ht="23" customHeight="1">
      <x:c r="A514" s="2" t="str">
        <x:v>MMR</x:v>
      </x:c>
      <x:c r="B514" s="2" t="str">
        <x:v>Myanmar (Republic of the Union of)</x:v>
      </x:c>
      <x:c r="C514" s="2" t="str">
        <x:v>TEMPO_VOLUME</x:v>
      </x:c>
      <x:c r="D514" s="2" t="n">
        <x:v>2020</x:v>
      </x:c>
      <x:c r="E514" s="2" t="n">
        <x:v>2023</x:v>
      </x:c>
      <x:c r="F514" s="17" t="n">
        <x:v>1377164281.6799977</x:v>
      </x:c>
      <x:c r="G514" s="17" t="n">
        <x:v>1519827384.5030234</x:v>
      </x:c>
      <x:c r="H514" s="17" t="n">
        <x:v>3369578170.41</x:v>
      </x:c>
      <x:c r="I514" s="17" t="n">
        <x:v>3696441058.46</x:v>
      </x:c>
      <x:c r="J514" s="2" t="str">
        <x:v>m3</x:v>
      </x:c>
      <x:c r="K514" s="15" t="n">
        <x:f>IF(AND(ISNUMBER(F514),ISNUMBER(G514),F514&gt;0),G514/F514-1,"n.a.")</x:f>
        <x:v>0.10359192779019177</x:v>
      </x:c>
      <x:c r="L514" s="15" t="n">
        <x:f>IF(AND(N514,ISNUMBER(H514),ISNUMBER(I514),H514&gt;0),I514/H514-1,"n.a.")</x:f>
        <x:v>0.09700409710638302</x:v>
      </x:c>
      <x:c r="M514" s="20" t="n">
        <x:f>IF(AND(ISNUMBER(K514),ISNUMBER(L514)),100*(K514-L514),"n.a.")</x:f>
        <x:v>0.6587830683808749</x:v>
      </x:c>
      <x:c r="N514" s="13" t="b">
        <x:v>1</x:v>
      </x:c>
      <x:c r="O514" s="13" t="b">
        <x:v>1</x:v>
      </x:c>
      <x:c r="P514" s="13" t="b">
        <x:v>0</x:v>
      </x:c>
      <x:c r="Q514" s="2" t="str">
        <x:v>none</x:v>
      </x:c>
      <x:c r="R514" s="2" t="str">
        <x:v>none</x:v>
      </x:c>
      <x:c r="S514" s="2" t="str">
        <x:v>nominal Q4 source model estimate</x:v>
      </x:c>
      <x:c r="T514" s="2" t="str">
        <x:v>nominal Q4 source model estimate</x:v>
      </x:c>
      <x:c r="U514" s="2" t="str">
        <x:v>GFA growth versus source physical quantity growth; constant conversion required for equality</x:v>
      </x:c>
      <x:c r="V514" s="2" t="str">
        <x:v>2020 level is the model anchor; 2023 comparator unused by v16 fit but shares conversion/upstream lineage</x:v>
      </x:c>
      <x:c r="W514" s="2" t="str">
        <x:v>https://arxiv.org/abs/2511.12104</x:v>
      </x:c>
    </x:row>
    <x:row r="515" ht="23" customHeight="1">
      <x:c r="A515" s="2" t="str">
        <x:v>MNE</x:v>
      </x:c>
      <x:c r="B515" s="2" t="str">
        <x:v>Montenegro</x:v>
      </x:c>
      <x:c r="C515" s="2" t="str">
        <x:v>TEMPO_VOLUME</x:v>
      </x:c>
      <x:c r="D515" s="2" t="n">
        <x:v>2020</x:v>
      </x:c>
      <x:c r="E515" s="2" t="n">
        <x:v>2023</x:v>
      </x:c>
      <x:c r="F515" s="17" t="n">
        <x:v>39447648.85999995</x:v>
      </x:c>
      <x:c r="G515" s="17" t="n">
        <x:v>42427910.89336175</x:v>
      </x:c>
      <x:c r="H515" s="17" t="n">
        <x:v>102701774.08</x:v>
      </x:c>
      <x:c r="I515" s="17" t="n">
        <x:v>112650592.57</x:v>
      </x:c>
      <x:c r="J515" s="2" t="str">
        <x:v>m3</x:v>
      </x:c>
      <x:c r="K515" s="15" t="n">
        <x:f>IF(AND(ISNUMBER(F515),ISNUMBER(G515),F515&gt;0),G515/F515-1,"n.a.")</x:f>
        <x:v>0.07554980130599875</x:v>
      </x:c>
      <x:c r="L515" s="15" t="n">
        <x:f>IF(AND(N515,ISNUMBER(H515),ISNUMBER(I515),H515&gt;0),I515/H515-1,"n.a.")</x:f>
        <x:v>0.09687095066391271</x:v>
      </x:c>
      <x:c r="M515" s="20" t="n">
        <x:f>IF(AND(ISNUMBER(K515),ISNUMBER(L515)),100*(K515-L515),"n.a.")</x:f>
        <x:v>-2.132114935791396</x:v>
      </x:c>
      <x:c r="N515" s="13" t="b">
        <x:v>1</x:v>
      </x:c>
      <x:c r="O515" s="13" t="b">
        <x:v>1</x:v>
      </x:c>
      <x:c r="P515" s="13" t="b">
        <x:v>0</x:v>
      </x:c>
      <x:c r="Q515" s="2" t="str">
        <x:v>none</x:v>
      </x:c>
      <x:c r="R515" s="2" t="str">
        <x:v>none</x:v>
      </x:c>
      <x:c r="S515" s="2" t="str">
        <x:v>nominal Q4 source model estimate</x:v>
      </x:c>
      <x:c r="T515" s="2" t="str">
        <x:v>nominal Q4 source model estimate</x:v>
      </x:c>
      <x:c r="U515" s="2" t="str">
        <x:v>GFA growth versus source physical quantity growth; constant conversion required for equality</x:v>
      </x:c>
      <x:c r="V515" s="2" t="str">
        <x:v>2020 level is the model anchor; 2023 comparator unused by v16 fit but shares conversion/upstream lineage</x:v>
      </x:c>
      <x:c r="W515" s="2" t="str">
        <x:v>https://arxiv.org/abs/2511.12104</x:v>
      </x:c>
    </x:row>
    <x:row r="516" ht="23" customHeight="1">
      <x:c r="A516" s="2" t="str">
        <x:v>MNG</x:v>
      </x:c>
      <x:c r="B516" s="2" t="str">
        <x:v>Mongolia</x:v>
      </x:c>
      <x:c r="C516" s="2" t="str">
        <x:v>TEMPO_VOLUME</x:v>
      </x:c>
      <x:c r="D516" s="2" t="n">
        <x:v>2020</x:v>
      </x:c>
      <x:c r="E516" s="2" t="n">
        <x:v>2023</x:v>
      </x:c>
      <x:c r="F516" s="17" t="n">
        <x:v>83342838.68000013</x:v>
      </x:c>
      <x:c r="G516" s="17" t="n">
        <x:v>90292994.45228642</x:v>
      </x:c>
      <x:c r="H516" s="17" t="n">
        <x:v>258745858.2</x:v>
      </x:c>
      <x:c r="I516" s="17" t="n">
        <x:v>316444042.88</x:v>
      </x:c>
      <x:c r="J516" s="2" t="str">
        <x:v>m3</x:v>
      </x:c>
      <x:c r="K516" s="15" t="n">
        <x:f>IF(AND(ISNUMBER(F516),ISNUMBER(G516),F516&gt;0),G516/F516-1,"n.a.")</x:f>
        <x:v>0.08339235718826243</x:v>
      </x:c>
      <x:c r="L516" s="15" t="n">
        <x:f>IF(AND(N516,ISNUMBER(H516),ISNUMBER(I516),H516&gt;0),I516/H516-1,"n.a.")</x:f>
        <x:v>0.22299172277146817</x:v>
      </x:c>
      <x:c r="M516" s="20" t="n">
        <x:f>IF(AND(ISNUMBER(K516),ISNUMBER(L516)),100*(K516-L516),"n.a.")</x:f>
        <x:v>-13.959936558320575</x:v>
      </x:c>
      <x:c r="N516" s="13" t="b">
        <x:v>1</x:v>
      </x:c>
      <x:c r="O516" s="13" t="b">
        <x:v>1</x:v>
      </x:c>
      <x:c r="P516" s="13" t="b">
        <x:v>0</x:v>
      </x:c>
      <x:c r="Q516" s="2" t="str">
        <x:v>none</x:v>
      </x:c>
      <x:c r="R516" s="2" t="str">
        <x:v>none</x:v>
      </x:c>
      <x:c r="S516" s="2" t="str">
        <x:v>nominal Q4 source model estimate</x:v>
      </x:c>
      <x:c r="T516" s="2" t="str">
        <x:v>nominal Q4 source model estimate</x:v>
      </x:c>
      <x:c r="U516" s="2" t="str">
        <x:v>GFA growth versus source physical quantity growth; constant conversion required for equality</x:v>
      </x:c>
      <x:c r="V516" s="2" t="str">
        <x:v>2020 level is the model anchor; 2023 comparator unused by v16 fit but shares conversion/upstream lineage</x:v>
      </x:c>
      <x:c r="W516" s="2" t="str">
        <x:v>https://arxiv.org/abs/2511.12104</x:v>
      </x:c>
    </x:row>
    <x:row r="517" ht="23" customHeight="1">
      <x:c r="A517" s="2" t="str">
        <x:v>MOZ</x:v>
      </x:c>
      <x:c r="B517" s="2" t="str">
        <x:v>Mozambique (Republic of)</x:v>
      </x:c>
      <x:c r="C517" s="2" t="str">
        <x:v>TEMPO_VOLUME</x:v>
      </x:c>
      <x:c r="D517" s="2" t="n">
        <x:v>2020</x:v>
      </x:c>
      <x:c r="E517" s="2" t="n">
        <x:v>2023</x:v>
      </x:c>
      <x:c r="F517" s="17" t="n">
        <x:v>540811235.5300008</x:v>
      </x:c>
      <x:c r="G517" s="17" t="n">
        <x:v>593659095.3970346</x:v>
      </x:c>
      <x:c r="H517" s="17" t="n">
        <x:v>1093908126.41</x:v>
      </x:c>
      <x:c r="I517" s="17" t="n">
        <x:v>1167823854.85</x:v>
      </x:c>
      <x:c r="J517" s="2" t="str">
        <x:v>m3</x:v>
      </x:c>
      <x:c r="K517" s="15" t="n">
        <x:f>IF(AND(ISNUMBER(F517),ISNUMBER(G517),F517&gt;0),G517/F517-1,"n.a.")</x:f>
        <x:v>0.09771960417065362</x:v>
      </x:c>
      <x:c r="L517" s="15" t="n">
        <x:f>IF(AND(N517,ISNUMBER(H517),ISNUMBER(I517),H517&gt;0),I517/H517-1,"n.a.")</x:f>
        <x:v>0.06757032574808397</x:v>
      </x:c>
      <x:c r="M517" s="20" t="n">
        <x:f>IF(AND(ISNUMBER(K517),ISNUMBER(L517)),100*(K517-L517),"n.a.")</x:f>
        <x:v>3.0149278422569648</x:v>
      </x:c>
      <x:c r="N517" s="13" t="b">
        <x:v>1</x:v>
      </x:c>
      <x:c r="O517" s="13" t="b">
        <x:v>1</x:v>
      </x:c>
      <x:c r="P517" s="13" t="b">
        <x:v>0</x:v>
      </x:c>
      <x:c r="Q517" s="2" t="str">
        <x:v>none</x:v>
      </x:c>
      <x:c r="R517" s="2" t="str">
        <x:v>none</x:v>
      </x:c>
      <x:c r="S517" s="2" t="str">
        <x:v>nominal Q4 source model estimate</x:v>
      </x:c>
      <x:c r="T517" s="2" t="str">
        <x:v>nominal Q4 source model estimate</x:v>
      </x:c>
      <x:c r="U517" s="2" t="str">
        <x:v>GFA growth versus source physical quantity growth; constant conversion required for equality</x:v>
      </x:c>
      <x:c r="V517" s="2" t="str">
        <x:v>2020 level is the model anchor; 2023 comparator unused by v16 fit but shares conversion/upstream lineage</x:v>
      </x:c>
      <x:c r="W517" s="2" t="str">
        <x:v>https://arxiv.org/abs/2511.12104</x:v>
      </x:c>
    </x:row>
    <x:row r="518" ht="23" customHeight="1">
      <x:c r="A518" s="2" t="str">
        <x:v>MRT</x:v>
      </x:c>
      <x:c r="B518" s="2" t="str">
        <x:v>Mauritania (Islamic Republic of)</x:v>
      </x:c>
      <x:c r="C518" s="2" t="str">
        <x:v>TEMPO_VOLUME</x:v>
      </x:c>
      <x:c r="D518" s="2" t="n">
        <x:v>2020</x:v>
      </x:c>
      <x:c r="E518" s="2" t="n">
        <x:v>2023</x:v>
      </x:c>
      <x:c r="F518" s="17" t="n">
        <x:v>97384454.07000008</x:v>
      </x:c>
      <x:c r="G518" s="17" t="n">
        <x:v>108768070.37373576</x:v>
      </x:c>
      <x:c r="H518" s="17" t="n">
        <x:v>231122160.53</x:v>
      </x:c>
      <x:c r="I518" s="17" t="n">
        <x:v>254451980.96</x:v>
      </x:c>
      <x:c r="J518" s="2" t="str">
        <x:v>m3</x:v>
      </x:c>
      <x:c r="K518" s="15" t="n">
        <x:f>IF(AND(ISNUMBER(F518),ISNUMBER(G518),F518&gt;0),G518/F518-1,"n.a.")</x:f>
        <x:v>0.11689356799754824</x:v>
      </x:c>
      <x:c r="L518" s="15" t="n">
        <x:f>IF(AND(N518,ISNUMBER(H518),ISNUMBER(I518),H518&gt;0),I518/H518-1,"n.a.")</x:f>
        <x:v>0.10094151238678717</x:v>
      </x:c>
      <x:c r="M518" s="20" t="n">
        <x:f>IF(AND(ISNUMBER(K518),ISNUMBER(L518)),100*(K518-L518),"n.a.")</x:f>
        <x:v>1.5952055610761073</x:v>
      </x:c>
      <x:c r="N518" s="13" t="b">
        <x:v>1</x:v>
      </x:c>
      <x:c r="O518" s="13" t="b">
        <x:v>1</x:v>
      </x:c>
      <x:c r="P518" s="13" t="b">
        <x:v>0</x:v>
      </x:c>
      <x:c r="Q518" s="2" t="str">
        <x:v>none</x:v>
      </x:c>
      <x:c r="R518" s="2" t="str">
        <x:v>none</x:v>
      </x:c>
      <x:c r="S518" s="2" t="str">
        <x:v>nominal Q4 source model estimate</x:v>
      </x:c>
      <x:c r="T518" s="2" t="str">
        <x:v>nominal Q4 source model estimate</x:v>
      </x:c>
      <x:c r="U518" s="2" t="str">
        <x:v>GFA growth versus source physical quantity growth; constant conversion required for equality</x:v>
      </x:c>
      <x:c r="V518" s="2" t="str">
        <x:v>2020 level is the model anchor; 2023 comparator unused by v16 fit but shares conversion/upstream lineage</x:v>
      </x:c>
      <x:c r="W518" s="2" t="str">
        <x:v>https://arxiv.org/abs/2511.12104</x:v>
      </x:c>
    </x:row>
    <x:row r="519" ht="23" customHeight="1">
      <x:c r="A519" s="2" t="str">
        <x:v>MUS</x:v>
      </x:c>
      <x:c r="B519" s="2" t="str">
        <x:v>Mauritius (Republic of)</x:v>
      </x:c>
      <x:c r="C519" s="2" t="str">
        <x:v>TEMPO_VOLUME</x:v>
      </x:c>
      <x:c r="D519" s="2" t="n">
        <x:v>2020</x:v>
      </x:c>
      <x:c r="E519" s="2" t="n">
        <x:v>2023</x:v>
      </x:c>
      <x:c r="F519" s="17" t="n">
        <x:v>65152566.7100001</x:v>
      </x:c>
      <x:c r="G519" s="17" t="n">
        <x:v>68085283.2917745</x:v>
      </x:c>
      <x:c r="H519" s="17" t="n">
        <x:v>193251324.58</x:v>
      </x:c>
      <x:c r="I519" s="17" t="n">
        <x:v>197233287.8</x:v>
      </x:c>
      <x:c r="J519" s="2" t="str">
        <x:v>m3</x:v>
      </x:c>
      <x:c r="K519" s="15" t="n">
        <x:f>IF(AND(ISNUMBER(F519),ISNUMBER(G519),F519&gt;0),G519/F519-1,"n.a.")</x:f>
        <x:v>0.045013062874839305</x:v>
      </x:c>
      <x:c r="L519" s="15" t="n">
        <x:f>IF(AND(N519,ISNUMBER(H519),ISNUMBER(I519),H519&gt;0),I519/H519-1,"n.a.")</x:f>
        <x:v>0.02060510182092745</x:v>
      </x:c>
      <x:c r="M519" s="20" t="n">
        <x:f>IF(AND(ISNUMBER(K519),ISNUMBER(L519)),100*(K519-L519),"n.a.")</x:f>
        <x:v>2.4407961053911853</x:v>
      </x:c>
      <x:c r="N519" s="13" t="b">
        <x:v>1</x:v>
      </x:c>
      <x:c r="O519" s="13" t="b">
        <x:v>1</x:v>
      </x:c>
      <x:c r="P519" s="13" t="b">
        <x:v>0</x:v>
      </x:c>
      <x:c r="Q519" s="2" t="str">
        <x:v>none</x:v>
      </x:c>
      <x:c r="R519" s="2" t="str">
        <x:v>none</x:v>
      </x:c>
      <x:c r="S519" s="2" t="str">
        <x:v>nominal Q4 source model estimate</x:v>
      </x:c>
      <x:c r="T519" s="2" t="str">
        <x:v>nominal Q4 source model estimate</x:v>
      </x:c>
      <x:c r="U519" s="2" t="str">
        <x:v>GFA growth versus source physical quantity growth; constant conversion required for equality</x:v>
      </x:c>
      <x:c r="V519" s="2" t="str">
        <x:v>2020 level is the model anchor; 2023 comparator unused by v16 fit but shares conversion/upstream lineage</x:v>
      </x:c>
      <x:c r="W519" s="2" t="str">
        <x:v>https://arxiv.org/abs/2511.12104</x:v>
      </x:c>
    </x:row>
    <x:row r="520" ht="23" customHeight="1">
      <x:c r="A520" s="2" t="str">
        <x:v>MWI</x:v>
      </x:c>
      <x:c r="B520" s="2" t="str">
        <x:v>Malawi (Republic of)</x:v>
      </x:c>
      <x:c r="C520" s="2" t="str">
        <x:v>TEMPO_VOLUME</x:v>
      </x:c>
      <x:c r="D520" s="2" t="n">
        <x:v>2020</x:v>
      </x:c>
      <x:c r="E520" s="2" t="n">
        <x:v>2023</x:v>
      </x:c>
      <x:c r="F520" s="17" t="n">
        <x:v>330771641.01999974</x:v>
      </x:c>
      <x:c r="G520" s="17" t="n">
        <x:v>361927943.7362978</x:v>
      </x:c>
      <x:c r="H520" s="17" t="n">
        <x:v>645214789.74</x:v>
      </x:c>
      <x:c r="I520" s="17" t="n">
        <x:v>713122019.85</x:v>
      </x:c>
      <x:c r="J520" s="2" t="str">
        <x:v>m3</x:v>
      </x:c>
      <x:c r="K520" s="15" t="n">
        <x:f>IF(AND(ISNUMBER(F520),ISNUMBER(G520),F520&gt;0),G520/F520-1,"n.a.")</x:f>
        <x:v>0.09419278696390476</x:v>
      </x:c>
      <x:c r="L520" s="15" t="n">
        <x:f>IF(AND(N520,ISNUMBER(H520),ISNUMBER(I520),H520&gt;0),I520/H520-1,"n.a.")</x:f>
        <x:v>0.10524747911833265</x:v>
      </x:c>
      <x:c r="M520" s="20" t="n">
        <x:f>IF(AND(ISNUMBER(K520),ISNUMBER(L520)),100*(K520-L520),"n.a.")</x:f>
        <x:v>-1.1054692154427892</x:v>
      </x:c>
      <x:c r="N520" s="13" t="b">
        <x:v>1</x:v>
      </x:c>
      <x:c r="O520" s="13" t="b">
        <x:v>1</x:v>
      </x:c>
      <x:c r="P520" s="13" t="b">
        <x:v>0</x:v>
      </x:c>
      <x:c r="Q520" s="2" t="str">
        <x:v>none</x:v>
      </x:c>
      <x:c r="R520" s="2" t="str">
        <x:v>none</x:v>
      </x:c>
      <x:c r="S520" s="2" t="str">
        <x:v>nominal Q4 source model estimate</x:v>
      </x:c>
      <x:c r="T520" s="2" t="str">
        <x:v>nominal Q4 source model estimate</x:v>
      </x:c>
      <x:c r="U520" s="2" t="str">
        <x:v>GFA growth versus source physical quantity growth; constant conversion required for equality</x:v>
      </x:c>
      <x:c r="V520" s="2" t="str">
        <x:v>2020 level is the model anchor; 2023 comparator unused by v16 fit but shares conversion/upstream lineage</x:v>
      </x:c>
      <x:c r="W520" s="2" t="str">
        <x:v>https://arxiv.org/abs/2511.12104</x:v>
      </x:c>
    </x:row>
    <x:row r="521" ht="23" customHeight="1">
      <x:c r="A521" s="2" t="str">
        <x:v>MYS</x:v>
      </x:c>
      <x:c r="B521" s="2" t="str">
        <x:v>Malaysia</x:v>
      </x:c>
      <x:c r="C521" s="2" t="str">
        <x:v>TEMPO_VOLUME</x:v>
      </x:c>
      <x:c r="D521" s="2" t="n">
        <x:v>2020</x:v>
      </x:c>
      <x:c r="E521" s="2" t="n">
        <x:v>2023</x:v>
      </x:c>
      <x:c r="F521" s="17" t="n">
        <x:v>2041076673.6399992</x:v>
      </x:c>
      <x:c r="G521" s="17" t="n">
        <x:v>2240286852.648412</x:v>
      </x:c>
      <x:c r="H521" s="17" t="n">
        <x:v>6783668146.53</x:v>
      </x:c>
      <x:c r="I521" s="17" t="n">
        <x:v>7067745166.99</x:v>
      </x:c>
      <x:c r="J521" s="2" t="str">
        <x:v>m3</x:v>
      </x:c>
      <x:c r="K521" s="15" t="n">
        <x:f>IF(AND(ISNUMBER(F521),ISNUMBER(G521),F521&gt;0),G521/F521-1,"n.a.")</x:f>
        <x:v>0.09760053680548286</x:v>
      </x:c>
      <x:c r="L521" s="15" t="n">
        <x:f>IF(AND(N521,ISNUMBER(H521),ISNUMBER(I521),H521&gt;0),I521/H521-1,"n.a.")</x:f>
        <x:v>0.04187660928038062</x:v>
      </x:c>
      <x:c r="M521" s="20" t="n">
        <x:f>IF(AND(ISNUMBER(K521),ISNUMBER(L521)),100*(K521-L521),"n.a.")</x:f>
        <x:v>5.572392752510225</x:v>
      </x:c>
      <x:c r="N521" s="13" t="b">
        <x:v>1</x:v>
      </x:c>
      <x:c r="O521" s="13" t="b">
        <x:v>1</x:v>
      </x:c>
      <x:c r="P521" s="13" t="b">
        <x:v>0</x:v>
      </x:c>
      <x:c r="Q521" s="2" t="str">
        <x:v>none</x:v>
      </x:c>
      <x:c r="R521" s="2" t="str">
        <x:v>none</x:v>
      </x:c>
      <x:c r="S521" s="2" t="str">
        <x:v>nominal Q4 source model estimate</x:v>
      </x:c>
      <x:c r="T521" s="2" t="str">
        <x:v>nominal Q4 source model estimate</x:v>
      </x:c>
      <x:c r="U521" s="2" t="str">
        <x:v>GFA growth versus source physical quantity growth; constant conversion required for equality</x:v>
      </x:c>
      <x:c r="V521" s="2" t="str">
        <x:v>2020 level is the model anchor; 2023 comparator unused by v16 fit but shares conversion/upstream lineage</x:v>
      </x:c>
      <x:c r="W521" s="2" t="str">
        <x:v>https://arxiv.org/abs/2511.12104</x:v>
      </x:c>
    </x:row>
    <x:row r="522" ht="23" customHeight="1">
      <x:c r="A522" s="2" t="str">
        <x:v>NAM</x:v>
      </x:c>
      <x:c r="B522" s="2" t="str">
        <x:v>Namibia (Republic of)</x:v>
      </x:c>
      <x:c r="C522" s="2" t="str">
        <x:v>TEMPO_VOLUME</x:v>
      </x:c>
      <x:c r="D522" s="2" t="n">
        <x:v>2020</x:v>
      </x:c>
      <x:c r="E522" s="2" t="n">
        <x:v>2023</x:v>
      </x:c>
      <x:c r="F522" s="17" t="n">
        <x:v>112405609.30999991</x:v>
      </x:c>
      <x:c r="G522" s="17" t="n">
        <x:v>121245506.01639862</x:v>
      </x:c>
      <x:c r="H522" s="17" t="n">
        <x:v>235986427.19</x:v>
      </x:c>
      <x:c r="I522" s="17" t="n">
        <x:v>255000306.86</x:v>
      </x:c>
      <x:c r="J522" s="2" t="str">
        <x:v>m3</x:v>
      </x:c>
      <x:c r="K522" s="15" t="n">
        <x:f>IF(AND(ISNUMBER(F522),ISNUMBER(G522),F522&gt;0),G522/F522-1,"n.a.")</x:f>
        <x:v>0.07864284318782921</x:v>
      </x:c>
      <x:c r="L522" s="15" t="n">
        <x:f>IF(AND(N522,ISNUMBER(H522),ISNUMBER(I522),H522&gt;0),I522/H522-1,"n.a.")</x:f>
        <x:v>0.08057192058207385</x:v>
      </x:c>
      <x:c r="M522" s="20" t="n">
        <x:f>IF(AND(ISNUMBER(K522),ISNUMBER(L522)),100*(K522-L522),"n.a.")</x:f>
        <x:v>-0.19290773942446382</x:v>
      </x:c>
      <x:c r="N522" s="13" t="b">
        <x:v>1</x:v>
      </x:c>
      <x:c r="O522" s="13" t="b">
        <x:v>1</x:v>
      </x:c>
      <x:c r="P522" s="13" t="b">
        <x:v>0</x:v>
      </x:c>
      <x:c r="Q522" s="2" t="str">
        <x:v>none</x:v>
      </x:c>
      <x:c r="R522" s="2" t="str">
        <x:v>none</x:v>
      </x:c>
      <x:c r="S522" s="2" t="str">
        <x:v>nominal Q4 source model estimate</x:v>
      </x:c>
      <x:c r="T522" s="2" t="str">
        <x:v>nominal Q4 source model estimate</x:v>
      </x:c>
      <x:c r="U522" s="2" t="str">
        <x:v>GFA growth versus source physical quantity growth; constant conversion required for equality</x:v>
      </x:c>
      <x:c r="V522" s="2" t="str">
        <x:v>2020 level is the model anchor; 2023 comparator unused by v16 fit but shares conversion/upstream lineage</x:v>
      </x:c>
      <x:c r="W522" s="2" t="str">
        <x:v>https://arxiv.org/abs/2511.12104</x:v>
      </x:c>
    </x:row>
    <x:row r="523" ht="23" customHeight="1">
      <x:c r="A523" s="2" t="str">
        <x:v>NER</x:v>
      </x:c>
      <x:c r="B523" s="2" t="str">
        <x:v>Niger (Republic of the)</x:v>
      </x:c>
      <x:c r="C523" s="2" t="str">
        <x:v>TEMPO_VOLUME</x:v>
      </x:c>
      <x:c r="D523" s="2" t="n">
        <x:v>2020</x:v>
      </x:c>
      <x:c r="E523" s="2" t="n">
        <x:v>2023</x:v>
      </x:c>
      <x:c r="F523" s="17" t="n">
        <x:v>203236516.4300003</x:v>
      </x:c>
      <x:c r="G523" s="17" t="n">
        <x:v>231892758.99673218</x:v>
      </x:c>
      <x:c r="H523" s="17" t="n">
        <x:v>433348333.47</x:v>
      </x:c>
      <x:c r="I523" s="17" t="n">
        <x:v>456063562.09</x:v>
      </x:c>
      <x:c r="J523" s="2" t="str">
        <x:v>m3</x:v>
      </x:c>
      <x:c r="K523" s="15" t="n">
        <x:f>IF(AND(ISNUMBER(F523),ISNUMBER(G523),F523&gt;0),G523/F523-1,"n.a.")</x:f>
        <x:v>0.14099947721059158</x:v>
      </x:c>
      <x:c r="L523" s="15" t="n">
        <x:f>IF(AND(N523,ISNUMBER(H523),ISNUMBER(I523),H523&gt;0),I523/H523-1,"n.a.")</x:f>
        <x:v>0.052417943870026296</x:v>
      </x:c>
      <x:c r="M523" s="20" t="n">
        <x:f>IF(AND(ISNUMBER(K523),ISNUMBER(L523)),100*(K523-L523),"n.a.")</x:f>
        <x:v>8.858153334056528</x:v>
      </x:c>
      <x:c r="N523" s="13" t="b">
        <x:v>1</x:v>
      </x:c>
      <x:c r="O523" s="13" t="b">
        <x:v>1</x:v>
      </x:c>
      <x:c r="P523" s="13" t="b">
        <x:v>0</x:v>
      </x:c>
      <x:c r="Q523" s="2" t="str">
        <x:v>none</x:v>
      </x:c>
      <x:c r="R523" s="2" t="str">
        <x:v>none</x:v>
      </x:c>
      <x:c r="S523" s="2" t="str">
        <x:v>nominal Q4 source model estimate</x:v>
      </x:c>
      <x:c r="T523" s="2" t="str">
        <x:v>nominal Q4 source model estimate</x:v>
      </x:c>
      <x:c r="U523" s="2" t="str">
        <x:v>GFA growth versus source physical quantity growth; constant conversion required for equality</x:v>
      </x:c>
      <x:c r="V523" s="2" t="str">
        <x:v>2020 level is the model anchor; 2023 comparator unused by v16 fit but shares conversion/upstream lineage</x:v>
      </x:c>
      <x:c r="W523" s="2" t="str">
        <x:v>https://arxiv.org/abs/2511.12104</x:v>
      </x:c>
    </x:row>
    <x:row r="524" ht="23" customHeight="1">
      <x:c r="A524" s="2" t="str">
        <x:v>NGA</x:v>
      </x:c>
      <x:c r="B524" s="2" t="str">
        <x:v>Nigeria (Federal Republic of)</x:v>
      </x:c>
      <x:c r="C524" s="2" t="str">
        <x:v>TEMPO_VOLUME</x:v>
      </x:c>
      <x:c r="D524" s="2" t="n">
        <x:v>2020</x:v>
      </x:c>
      <x:c r="E524" s="2" t="n">
        <x:v>2023</x:v>
      </x:c>
      <x:c r="F524" s="17" t="n">
        <x:v>4102804870.2700024</x:v>
      </x:c>
      <x:c r="G524" s="17" t="n">
        <x:v>4529091058.902534</x:v>
      </x:c>
      <x:c r="H524" s="17" t="n">
        <x:v>9942554261.29</x:v>
      </x:c>
      <x:c r="I524" s="17" t="n">
        <x:v>10613847172.58</x:v>
      </x:c>
      <x:c r="J524" s="2" t="str">
        <x:v>m3</x:v>
      </x:c>
      <x:c r="K524" s="15" t="n">
        <x:f>IF(AND(ISNUMBER(F524),ISNUMBER(G524),F524&gt;0),G524/F524-1,"n.a.")</x:f>
        <x:v>0.1039011608184226</x:v>
      </x:c>
      <x:c r="L524" s="15" t="n">
        <x:f>IF(AND(N524,ISNUMBER(H524),ISNUMBER(I524),H524&gt;0),I524/H524-1,"n.a.")</x:f>
        <x:v>0.06751714837540157</x:v>
      </x:c>
      <x:c r="M524" s="20" t="n">
        <x:f>IF(AND(ISNUMBER(K524),ISNUMBER(L524)),100*(K524-L524),"n.a.")</x:f>
        <x:v>3.638401244302103</x:v>
      </x:c>
      <x:c r="N524" s="13" t="b">
        <x:v>1</x:v>
      </x:c>
      <x:c r="O524" s="13" t="b">
        <x:v>1</x:v>
      </x:c>
      <x:c r="P524" s="13" t="b">
        <x:v>0</x:v>
      </x:c>
      <x:c r="Q524" s="2" t="str">
        <x:v>none</x:v>
      </x:c>
      <x:c r="R524" s="2" t="str">
        <x:v>none</x:v>
      </x:c>
      <x:c r="S524" s="2" t="str">
        <x:v>nominal Q4 source model estimate</x:v>
      </x:c>
      <x:c r="T524" s="2" t="str">
        <x:v>nominal Q4 source model estimate</x:v>
      </x:c>
      <x:c r="U524" s="2" t="str">
        <x:v>GFA growth versus source physical quantity growth; constant conversion required for equality</x:v>
      </x:c>
      <x:c r="V524" s="2" t="str">
        <x:v>2020 level is the model anchor; 2023 comparator unused by v16 fit but shares conversion/upstream lineage</x:v>
      </x:c>
      <x:c r="W524" s="2" t="str">
        <x:v>https://arxiv.org/abs/2511.12104</x:v>
      </x:c>
    </x:row>
    <x:row r="525" ht="23" customHeight="1">
      <x:c r="A525" s="2" t="str">
        <x:v>NIC</x:v>
      </x:c>
      <x:c r="B525" s="2" t="str">
        <x:v>Nicaragua (Republic of)</x:v>
      </x:c>
      <x:c r="C525" s="2" t="str">
        <x:v>TEMPO_VOLUME</x:v>
      </x:c>
      <x:c r="D525" s="2" t="n">
        <x:v>2020</x:v>
      </x:c>
      <x:c r="E525" s="2" t="n">
        <x:v>2023</x:v>
      </x:c>
      <x:c r="F525" s="17" t="n">
        <x:v>201940338.64999992</x:v>
      </x:c>
      <x:c r="G525" s="17" t="n">
        <x:v>220275456.25770077</x:v>
      </x:c>
      <x:c r="H525" s="17" t="n">
        <x:v>459459771.32</x:v>
      </x:c>
      <x:c r="I525" s="17" t="n">
        <x:v>494028199.02</x:v>
      </x:c>
      <x:c r="J525" s="2" t="str">
        <x:v>m3</x:v>
      </x:c>
      <x:c r="K525" s="15" t="n">
        <x:f>IF(AND(ISNUMBER(F525),ISNUMBER(G525),F525&gt;0),G525/F525-1,"n.a.")</x:f>
        <x:v>0.090794725463341</x:v>
      </x:c>
      <x:c r="L525" s="15" t="n">
        <x:f>IF(AND(N525,ISNUMBER(H525),ISNUMBER(I525),H525&gt;0),I525/H525-1,"n.a.")</x:f>
        <x:v>0.07523711510299802</x:v>
      </x:c>
      <x:c r="M525" s="20" t="n">
        <x:f>IF(AND(ISNUMBER(K525),ISNUMBER(L525)),100*(K525-L525),"n.a.")</x:f>
        <x:v>1.5557610360342977</x:v>
      </x:c>
      <x:c r="N525" s="13" t="b">
        <x:v>1</x:v>
      </x:c>
      <x:c r="O525" s="13" t="b">
        <x:v>1</x:v>
      </x:c>
      <x:c r="P525" s="13" t="b">
        <x:v>0</x:v>
      </x:c>
      <x:c r="Q525" s="2" t="str">
        <x:v>none</x:v>
      </x:c>
      <x:c r="R525" s="2" t="str">
        <x:v>none</x:v>
      </x:c>
      <x:c r="S525" s="2" t="str">
        <x:v>nominal Q4 source model estimate</x:v>
      </x:c>
      <x:c r="T525" s="2" t="str">
        <x:v>nominal Q4 source model estimate</x:v>
      </x:c>
      <x:c r="U525" s="2" t="str">
        <x:v>GFA growth versus source physical quantity growth; constant conversion required for equality</x:v>
      </x:c>
      <x:c r="V525" s="2" t="str">
        <x:v>2020 level is the model anchor; 2023 comparator unused by v16 fit but shares conversion/upstream lineage</x:v>
      </x:c>
      <x:c r="W525" s="2" t="str">
        <x:v>https://arxiv.org/abs/2511.12104</x:v>
      </x:c>
    </x:row>
    <x:row r="526" ht="23" customHeight="1">
      <x:c r="A526" s="2" t="str">
        <x:v>NLD</x:v>
      </x:c>
      <x:c r="B526" s="2" t="str">
        <x:v>Netherlands (Kingdom of the)</x:v>
      </x:c>
      <x:c r="C526" s="2" t="str">
        <x:v>TEMPO_VOLUME</x:v>
      </x:c>
      <x:c r="D526" s="2" t="n">
        <x:v>2020</x:v>
      </x:c>
      <x:c r="E526" s="2" t="n">
        <x:v>2023</x:v>
      </x:c>
      <x:c r="F526" s="17" t="n">
        <x:v>1464947836.6400025</x:v>
      </x:c>
      <x:c r="G526" s="17" t="n">
        <x:v>1617809345.5752683</x:v>
      </x:c>
      <x:c r="H526" s="17" t="n">
        <x:v>5496567009.09</x:v>
      </x:c>
      <x:c r="I526" s="17" t="n">
        <x:v>5759067515.7</x:v>
      </x:c>
      <x:c r="J526" s="2" t="str">
        <x:v>m3</x:v>
      </x:c>
      <x:c r="K526" s="15" t="n">
        <x:f>IF(AND(ISNUMBER(F526),ISNUMBER(G526),F526&gt;0),G526/F526-1,"n.a.")</x:f>
        <x:v>0.10434604230405098</x:v>
      </x:c>
      <x:c r="L526" s="15" t="n">
        <x:f>IF(AND(N526,ISNUMBER(H526),ISNUMBER(I526),H526&gt;0),I526/H526-1,"n.a.")</x:f>
        <x:v>0.0477571739189</x:v>
      </x:c>
      <x:c r="M526" s="20" t="n">
        <x:f>IF(AND(ISNUMBER(K526),ISNUMBER(L526)),100*(K526-L526),"n.a.")</x:f>
        <x:v>5.658886838515098</x:v>
      </x:c>
      <x:c r="N526" s="13" t="b">
        <x:v>1</x:v>
      </x:c>
      <x:c r="O526" s="13" t="b">
        <x:v>1</x:v>
      </x:c>
      <x:c r="P526" s="13" t="b">
        <x:v>0</x:v>
      </x:c>
      <x:c r="Q526" s="2" t="str">
        <x:v>none</x:v>
      </x:c>
      <x:c r="R526" s="2" t="str">
        <x:v>none</x:v>
      </x:c>
      <x:c r="S526" s="2" t="str">
        <x:v>nominal Q4 source model estimate</x:v>
      </x:c>
      <x:c r="T526" s="2" t="str">
        <x:v>nominal Q4 source model estimate</x:v>
      </x:c>
      <x:c r="U526" s="2" t="str">
        <x:v>GFA growth versus source physical quantity growth; constant conversion required for equality</x:v>
      </x:c>
      <x:c r="V526" s="2" t="str">
        <x:v>2020 level is the model anchor; 2023 comparator unused by v16 fit but shares conversion/upstream lineage</x:v>
      </x:c>
      <x:c r="W526" s="2" t="str">
        <x:v>https://arxiv.org/abs/2511.12104</x:v>
      </x:c>
    </x:row>
    <x:row r="527" ht="23" customHeight="1">
      <x:c r="A527" s="2" t="str">
        <x:v>NOR</x:v>
      </x:c>
      <x:c r="B527" s="2" t="str">
        <x:v>Norway (Kingdom of)</x:v>
      </x:c>
      <x:c r="C527" s="2" t="str">
        <x:v>TEMPO_VOLUME</x:v>
      </x:c>
      <x:c r="D527" s="2" t="n">
        <x:v>2020</x:v>
      </x:c>
      <x:c r="E527" s="2" t="n">
        <x:v>2023</x:v>
      </x:c>
      <x:c r="F527" s="17" t="n">
        <x:v>478516256.6100005</x:v>
      </x:c>
      <x:c r="G527" s="17" t="n">
        <x:v>542319411.7409029</x:v>
      </x:c>
      <x:c r="H527" s="17" t="n">
        <x:v>1542720229.19</x:v>
      </x:c>
      <x:c r="I527" s="17" t="n">
        <x:v>1628176027.13</x:v>
      </x:c>
      <x:c r="J527" s="2" t="str">
        <x:v>m3</x:v>
      </x:c>
      <x:c r="K527" s="15" t="n">
        <x:f>IF(AND(ISNUMBER(F527),ISNUMBER(G527),F527&gt;0),G527/F527-1,"n.a.")</x:f>
        <x:v>0.13333539717732745</x:v>
      </x:c>
      <x:c r="L527" s="15" t="n">
        <x:f>IF(AND(N527,ISNUMBER(H527),ISNUMBER(I527),H527&gt;0),I527/H527-1,"n.a.")</x:f>
        <x:v>0.05539293277101076</x:v>
      </x:c>
      <x:c r="M527" s="20" t="n">
        <x:f>IF(AND(ISNUMBER(K527),ISNUMBER(L527)),100*(K527-L527),"n.a.")</x:f>
        <x:v>7.794246440631669</x:v>
      </x:c>
      <x:c r="N527" s="13" t="b">
        <x:v>1</x:v>
      </x:c>
      <x:c r="O527" s="13" t="b">
        <x:v>1</x:v>
      </x:c>
      <x:c r="P527" s="13" t="b">
        <x:v>0</x:v>
      </x:c>
      <x:c r="Q527" s="2" t="str">
        <x:v>none</x:v>
      </x:c>
      <x:c r="R527" s="2" t="str">
        <x:v>none</x:v>
      </x:c>
      <x:c r="S527" s="2" t="str">
        <x:v>nominal Q4 source model estimate</x:v>
      </x:c>
      <x:c r="T527" s="2" t="str">
        <x:v>nominal Q4 source model estimate</x:v>
      </x:c>
      <x:c r="U527" s="2" t="str">
        <x:v>GFA growth versus source physical quantity growth; constant conversion required for equality</x:v>
      </x:c>
      <x:c r="V527" s="2" t="str">
        <x:v>2020 level is the model anchor; 2023 comparator unused by v16 fit but shares conversion/upstream lineage</x:v>
      </x:c>
      <x:c r="W527" s="2" t="str">
        <x:v>https://arxiv.org/abs/2511.12104</x:v>
      </x:c>
    </x:row>
    <x:row r="528" ht="23" customHeight="1">
      <x:c r="A528" s="2" t="str">
        <x:v>NPL</x:v>
      </x:c>
      <x:c r="B528" s="2" t="str">
        <x:v>Nepal (Federal Democratic Republic of)</x:v>
      </x:c>
      <x:c r="C528" s="2" t="str">
        <x:v>TEMPO_VOLUME</x:v>
      </x:c>
      <x:c r="D528" s="2" t="n">
        <x:v>2020</x:v>
      </x:c>
      <x:c r="E528" s="2" t="n">
        <x:v>2023</x:v>
      </x:c>
      <x:c r="F528" s="17" t="n">
        <x:v>656084354.4999993</x:v>
      </x:c>
      <x:c r="G528" s="17" t="n">
        <x:v>707802184.0028585</x:v>
      </x:c>
      <x:c r="H528" s="17" t="n">
        <x:v>1424099511.51</x:v>
      </x:c>
      <x:c r="I528" s="17" t="n">
        <x:v>1562691070.46</x:v>
      </x:c>
      <x:c r="J528" s="2" t="str">
        <x:v>m3</x:v>
      </x:c>
      <x:c r="K528" s="15" t="n">
        <x:f>IF(AND(ISNUMBER(F528),ISNUMBER(G528),F528&gt;0),G528/F528-1,"n.a.")</x:f>
        <x:v>0.07882801829998409</x:v>
      </x:c>
      <x:c r="L528" s="15" t="n">
        <x:f>IF(AND(N528,ISNUMBER(H528),ISNUMBER(I528),H528&gt;0),I528/H528-1,"n.a.")</x:f>
        <x:v>0.09731873217416442</x:v>
      </x:c>
      <x:c r="M528" s="20" t="n">
        <x:f>IF(AND(ISNUMBER(K528),ISNUMBER(L528)),100*(K528-L528),"n.a.")</x:f>
        <x:v>-1.8490713874180331</x:v>
      </x:c>
      <x:c r="N528" s="13" t="b">
        <x:v>1</x:v>
      </x:c>
      <x:c r="O528" s="13" t="b">
        <x:v>1</x:v>
      </x:c>
      <x:c r="P528" s="13" t="b">
        <x:v>0</x:v>
      </x:c>
      <x:c r="Q528" s="2" t="str">
        <x:v>none</x:v>
      </x:c>
      <x:c r="R528" s="2" t="str">
        <x:v>none</x:v>
      </x:c>
      <x:c r="S528" s="2" t="str">
        <x:v>nominal Q4 source model estimate</x:v>
      </x:c>
      <x:c r="T528" s="2" t="str">
        <x:v>nominal Q4 source model estimate</x:v>
      </x:c>
      <x:c r="U528" s="2" t="str">
        <x:v>GFA growth versus source physical quantity growth; constant conversion required for equality</x:v>
      </x:c>
      <x:c r="V528" s="2" t="str">
        <x:v>2020 level is the model anchor; 2023 comparator unused by v16 fit but shares conversion/upstream lineage</x:v>
      </x:c>
      <x:c r="W528" s="2" t="str">
        <x:v>https://arxiv.org/abs/2511.12104</x:v>
      </x:c>
    </x:row>
    <x:row r="529" ht="23" customHeight="1">
      <x:c r="A529" s="2" t="str">
        <x:v>NRU</x:v>
      </x:c>
      <x:c r="B529" s="2" t="str">
        <x:v>Nauru (Republic of)</x:v>
      </x:c>
      <x:c r="C529" s="2" t="str">
        <x:v>TEMPO_VOLUME</x:v>
      </x:c>
      <x:c r="D529" s="2" t="n">
        <x:v>2020</x:v>
      </x:c>
      <x:c r="E529" s="2" t="n">
        <x:v>2023</x:v>
      </x:c>
      <x:c r="F529" s="17" t="n">
        <x:v>405989.38000000024</x:v>
      </x:c>
      <x:c r="G529" s="17" t="n">
        <x:v>445868.28140939225</x:v>
      </x:c>
      <x:c r="H529" s="17" t="n">
        <x:v>1092672.69</x:v>
      </x:c>
      <x:c r="I529" s="17" t="n">
        <x:v>1154328.66</x:v>
      </x:c>
      <x:c r="J529" s="2" t="str">
        <x:v>m3</x:v>
      </x:c>
      <x:c r="K529" s="15" t="n">
        <x:f>IF(AND(ISNUMBER(F529),ISNUMBER(G529),F529&gt;0),G529/F529-1,"n.a.")</x:f>
        <x:v>0.09822646446907557</x:v>
      </x:c>
      <x:c r="L529" s="15" t="n">
        <x:f>IF(AND(N529,ISNUMBER(H529),ISNUMBER(I529),H529&gt;0),I529/H529-1,"n.a.")</x:f>
        <x:v>0.056426751180172596</x:v>
      </x:c>
      <x:c r="M529" s="20" t="n">
        <x:f>IF(AND(ISNUMBER(K529),ISNUMBER(L529)),100*(K529-L529),"n.a.")</x:f>
        <x:v>4.179971328890297</x:v>
      </x:c>
      <x:c r="N529" s="13" t="b">
        <x:v>1</x:v>
      </x:c>
      <x:c r="O529" s="13" t="b">
        <x:v>1</x:v>
      </x:c>
      <x:c r="P529" s="13" t="b">
        <x:v>0</x:v>
      </x:c>
      <x:c r="Q529" s="2" t="str">
        <x:v>none</x:v>
      </x:c>
      <x:c r="R529" s="2" t="str">
        <x:v>none</x:v>
      </x:c>
      <x:c r="S529" s="2" t="str">
        <x:v>nominal Q4 source model estimate</x:v>
      </x:c>
      <x:c r="T529" s="2" t="str">
        <x:v>nominal Q4 source model estimate</x:v>
      </x:c>
      <x:c r="U529" s="2" t="str">
        <x:v>GFA growth versus source physical quantity growth; constant conversion required for equality</x:v>
      </x:c>
      <x:c r="V529" s="2" t="str">
        <x:v>2020 level is the model anchor; 2023 comparator unused by v16 fit but shares conversion/upstream lineage</x:v>
      </x:c>
      <x:c r="W529" s="2" t="str">
        <x:v>https://arxiv.org/abs/2511.12104</x:v>
      </x:c>
    </x:row>
    <x:row r="530" ht="23" customHeight="1">
      <x:c r="A530" s="2" t="str">
        <x:v>NZL</x:v>
      </x:c>
      <x:c r="B530" s="2" t="str">
        <x:v>New Zealand</x:v>
      </x:c>
      <x:c r="C530" s="2" t="str">
        <x:v>TEMPO_VOLUME</x:v>
      </x:c>
      <x:c r="D530" s="2" t="n">
        <x:v>2020</x:v>
      </x:c>
      <x:c r="E530" s="2" t="n">
        <x:v>2023</x:v>
      </x:c>
      <x:c r="F530" s="17" t="n">
        <x:v>553529463.7899991</x:v>
      </x:c>
      <x:c r="G530" s="17" t="n">
        <x:v>569428738.7998221</x:v>
      </x:c>
      <x:c r="H530" s="17" t="n">
        <x:v>1517032261.4</x:v>
      </x:c>
      <x:c r="I530" s="17" t="n">
        <x:v>1658870391.45</x:v>
      </x:c>
      <x:c r="J530" s="2" t="str">
        <x:v>m3</x:v>
      </x:c>
      <x:c r="K530" s="15" t="n">
        <x:f>IF(AND(ISNUMBER(F530),ISNUMBER(G530),F530&gt;0),G530/F530-1,"n.a.")</x:f>
        <x:v>0.028723448433911836</x:v>
      </x:c>
      <x:c r="L530" s="15" t="n">
        <x:f>IF(AND(N530,ISNUMBER(H530),ISNUMBER(I530),H530&gt;0),I530/H530-1,"n.a.")</x:f>
        <x:v>0.09349710857111493</x:v>
      </x:c>
      <x:c r="M530" s="20" t="n">
        <x:f>IF(AND(ISNUMBER(K530),ISNUMBER(L530)),100*(K530-L530),"n.a.")</x:f>
        <x:v>-6.477366013720309</x:v>
      </x:c>
      <x:c r="N530" s="13" t="b">
        <x:v>1</x:v>
      </x:c>
      <x:c r="O530" s="13" t="b">
        <x:v>1</x:v>
      </x:c>
      <x:c r="P530" s="13" t="b">
        <x:v>0</x:v>
      </x:c>
      <x:c r="Q530" s="2" t="str">
        <x:v>none</x:v>
      </x:c>
      <x:c r="R530" s="2" t="str">
        <x:v>none</x:v>
      </x:c>
      <x:c r="S530" s="2" t="str">
        <x:v>nominal Q4 source model estimate</x:v>
      </x:c>
      <x:c r="T530" s="2" t="str">
        <x:v>nominal Q4 source model estimate</x:v>
      </x:c>
      <x:c r="U530" s="2" t="str">
        <x:v>GFA growth versus source physical quantity growth; constant conversion required for equality</x:v>
      </x:c>
      <x:c r="V530" s="2" t="str">
        <x:v>2020 level is the model anchor; 2023 comparator unused by v16 fit but shares conversion/upstream lineage</x:v>
      </x:c>
      <x:c r="W530" s="2" t="str">
        <x:v>https://arxiv.org/abs/2511.12104</x:v>
      </x:c>
    </x:row>
    <x:row r="531" ht="23" customHeight="1">
      <x:c r="A531" s="2" t="str">
        <x:v>OMN</x:v>
      </x:c>
      <x:c r="B531" s="2" t="str">
        <x:v>Oman (Sultanate of)</x:v>
      </x:c>
      <x:c r="C531" s="2" t="str">
        <x:v>TEMPO_VOLUME</x:v>
      </x:c>
      <x:c r="D531" s="2" t="n">
        <x:v>2020</x:v>
      </x:c>
      <x:c r="E531" s="2" t="n">
        <x:v>2023</x:v>
      </x:c>
      <x:c r="F531" s="17" t="n">
        <x:v>262659820.8500002</x:v>
      </x:c>
      <x:c r="G531" s="17" t="n">
        <x:v>286550123.99235415</x:v>
      </x:c>
      <x:c r="H531" s="17" t="n">
        <x:v>730176923.74</x:v>
      </x:c>
      <x:c r="I531" s="17" t="n">
        <x:v>828665414.46</x:v>
      </x:c>
      <x:c r="J531" s="2" t="str">
        <x:v>m3</x:v>
      </x:c>
      <x:c r="K531" s="15" t="n">
        <x:f>IF(AND(ISNUMBER(F531),ISNUMBER(G531),F531&gt;0),G531/F531-1,"n.a.")</x:f>
        <x:v>0.09095530129062723</x:v>
      </x:c>
      <x:c r="L531" s="15" t="n">
        <x:f>IF(AND(N531,ISNUMBER(H531),ISNUMBER(I531),H531&gt;0),I531/H531-1,"n.a.")</x:f>
        <x:v>0.1348830502825773</x:v>
      </x:c>
      <x:c r="M531" s="20" t="n">
        <x:f>IF(AND(ISNUMBER(K531),ISNUMBER(L531)),100*(K531-L531),"n.a.")</x:f>
        <x:v>-4.392774899195007</x:v>
      </x:c>
      <x:c r="N531" s="13" t="b">
        <x:v>1</x:v>
      </x:c>
      <x:c r="O531" s="13" t="b">
        <x:v>1</x:v>
      </x:c>
      <x:c r="P531" s="13" t="b">
        <x:v>0</x:v>
      </x:c>
      <x:c r="Q531" s="2" t="str">
        <x:v>none</x:v>
      </x:c>
      <x:c r="R531" s="2" t="str">
        <x:v>none</x:v>
      </x:c>
      <x:c r="S531" s="2" t="str">
        <x:v>nominal Q4 source model estimate</x:v>
      </x:c>
      <x:c r="T531" s="2" t="str">
        <x:v>nominal Q4 source model estimate</x:v>
      </x:c>
      <x:c r="U531" s="2" t="str">
        <x:v>GFA growth versus source physical quantity growth; constant conversion required for equality</x:v>
      </x:c>
      <x:c r="V531" s="2" t="str">
        <x:v>2020 level is the model anchor; 2023 comparator unused by v16 fit but shares conversion/upstream lineage</x:v>
      </x:c>
      <x:c r="W531" s="2" t="str">
        <x:v>https://arxiv.org/abs/2511.12104</x:v>
      </x:c>
    </x:row>
    <x:row r="532" ht="23" customHeight="1">
      <x:c r="A532" s="2" t="str">
        <x:v>PAK</x:v>
      </x:c>
      <x:c r="B532" s="2" t="str">
        <x:v>Pakistan (Islamic Republic of)</x:v>
      </x:c>
      <x:c r="C532" s="2" t="str">
        <x:v>TEMPO_VOLUME</x:v>
      </x:c>
      <x:c r="D532" s="2" t="n">
        <x:v>2020</x:v>
      </x:c>
      <x:c r="E532" s="2" t="n">
        <x:v>2023</x:v>
      </x:c>
      <x:c r="F532" s="17" t="n">
        <x:v>4301390083.520005</x:v>
      </x:c>
      <x:c r="G532" s="17" t="n">
        <x:v>4785996828.103547</x:v>
      </x:c>
      <x:c r="H532" s="17" t="n">
        <x:v>11536929090.5</x:v>
      </x:c>
      <x:c r="I532" s="17" t="n">
        <x:v>11908079283.3</x:v>
      </x:c>
      <x:c r="J532" s="2" t="str">
        <x:v>m3</x:v>
      </x:c>
      <x:c r="K532" s="15" t="n">
        <x:f>IF(AND(ISNUMBER(F532),ISNUMBER(G532),F532&gt;0),G532/F532-1,"n.a.")</x:f>
        <x:v>0.11266282182595444</x:v>
      </x:c>
      <x:c r="L532" s="15" t="n">
        <x:f>IF(AND(N532,ISNUMBER(H532),ISNUMBER(I532),H532&gt;0),I532/H532-1,"n.a.")</x:f>
        <x:v>0.03217062269244764</x:v>
      </x:c>
      <x:c r="M532" s="20" t="n">
        <x:f>IF(AND(ISNUMBER(K532),ISNUMBER(L532)),100*(K532-L532),"n.a.")</x:f>
        <x:v>8.04921991335068</x:v>
      </x:c>
      <x:c r="N532" s="13" t="b">
        <x:v>1</x:v>
      </x:c>
      <x:c r="O532" s="13" t="b">
        <x:v>1</x:v>
      </x:c>
      <x:c r="P532" s="13" t="b">
        <x:v>0</x:v>
      </x:c>
      <x:c r="Q532" s="2" t="str">
        <x:v>none</x:v>
      </x:c>
      <x:c r="R532" s="2" t="str">
        <x:v>none</x:v>
      </x:c>
      <x:c r="S532" s="2" t="str">
        <x:v>nominal Q4 source model estimate</x:v>
      </x:c>
      <x:c r="T532" s="2" t="str">
        <x:v>nominal Q4 source model estimate</x:v>
      </x:c>
      <x:c r="U532" s="2" t="str">
        <x:v>GFA growth versus source physical quantity growth; constant conversion required for equality</x:v>
      </x:c>
      <x:c r="V532" s="2" t="str">
        <x:v>2020 level is the model anchor; 2023 comparator unused by v16 fit but shares conversion/upstream lineage</x:v>
      </x:c>
      <x:c r="W532" s="2" t="str">
        <x:v>https://arxiv.org/abs/2511.12104</x:v>
      </x:c>
    </x:row>
    <x:row r="533" ht="23" customHeight="1">
      <x:c r="A533" s="2" t="str">
        <x:v>PAN</x:v>
      </x:c>
      <x:c r="B533" s="2" t="str">
        <x:v>Panama (Republic of)</x:v>
      </x:c>
      <x:c r="C533" s="2" t="str">
        <x:v>TEMPO_VOLUME</x:v>
      </x:c>
      <x:c r="D533" s="2" t="n">
        <x:v>2020</x:v>
      </x:c>
      <x:c r="E533" s="2" t="n">
        <x:v>2023</x:v>
      </x:c>
      <x:c r="F533" s="17" t="n">
        <x:v>209722829.7800001</x:v>
      </x:c>
      <x:c r="G533" s="17" t="n">
        <x:v>226443992.67294908</x:v>
      </x:c>
      <x:c r="H533" s="17" t="n">
        <x:v>600051648.5</x:v>
      </x:c>
      <x:c r="I533" s="17" t="n">
        <x:v>618117538.79</x:v>
      </x:c>
      <x:c r="J533" s="2" t="str">
        <x:v>m3</x:v>
      </x:c>
      <x:c r="K533" s="15" t="n">
        <x:f>IF(AND(ISNUMBER(F533),ISNUMBER(G533),F533&gt;0),G533/F533-1,"n.a.")</x:f>
        <x:v>0.07972981725685058</x:v>
      </x:c>
      <x:c r="L533" s="15" t="n">
        <x:f>IF(AND(N533,ISNUMBER(H533),ISNUMBER(I533),H533&gt;0),I533/H533-1,"n.a.")</x:f>
        <x:v>0.030107225494939938</x:v>
      </x:c>
      <x:c r="M533" s="20" t="n">
        <x:f>IF(AND(ISNUMBER(K533),ISNUMBER(L533)),100*(K533-L533),"n.a.")</x:f>
        <x:v>4.962259176191064</x:v>
      </x:c>
      <x:c r="N533" s="13" t="b">
        <x:v>1</x:v>
      </x:c>
      <x:c r="O533" s="13" t="b">
        <x:v>1</x:v>
      </x:c>
      <x:c r="P533" s="13" t="b">
        <x:v>0</x:v>
      </x:c>
      <x:c r="Q533" s="2" t="str">
        <x:v>none</x:v>
      </x:c>
      <x:c r="R533" s="2" t="str">
        <x:v>none</x:v>
      </x:c>
      <x:c r="S533" s="2" t="str">
        <x:v>nominal Q4 source model estimate</x:v>
      </x:c>
      <x:c r="T533" s="2" t="str">
        <x:v>nominal Q4 source model estimate</x:v>
      </x:c>
      <x:c r="U533" s="2" t="str">
        <x:v>GFA growth versus source physical quantity growth; constant conversion required for equality</x:v>
      </x:c>
      <x:c r="V533" s="2" t="str">
        <x:v>2020 level is the model anchor; 2023 comparator unused by v16 fit but shares conversion/upstream lineage</x:v>
      </x:c>
      <x:c r="W533" s="2" t="str">
        <x:v>https://arxiv.org/abs/2511.12104</x:v>
      </x:c>
    </x:row>
    <x:row r="534" ht="23" customHeight="1">
      <x:c r="A534" s="2" t="str">
        <x:v>PER</x:v>
      </x:c>
      <x:c r="B534" s="2" t="str">
        <x:v>Peru (Republic of)</x:v>
      </x:c>
      <x:c r="C534" s="2" t="str">
        <x:v>TEMPO_VOLUME</x:v>
      </x:c>
      <x:c r="D534" s="2" t="n">
        <x:v>2020</x:v>
      </x:c>
      <x:c r="E534" s="2" t="n">
        <x:v>2023</x:v>
      </x:c>
      <x:c r="F534" s="17" t="n">
        <x:v>1228349086.860001</x:v>
      </x:c>
      <x:c r="G534" s="17" t="n">
        <x:v>1339638115.2916863</x:v>
      </x:c>
      <x:c r="H534" s="17" t="n">
        <x:v>3516375732.47</x:v>
      </x:c>
      <x:c r="I534" s="17" t="n">
        <x:v>3548216160.84</x:v>
      </x:c>
      <x:c r="J534" s="2" t="str">
        <x:v>m3</x:v>
      </x:c>
      <x:c r="K534" s="15" t="n">
        <x:f>IF(AND(ISNUMBER(F534),ISNUMBER(G534),F534&gt;0),G534/F534-1,"n.a.")</x:f>
        <x:v>0.09060048940661547</x:v>
      </x:c>
      <x:c r="L534" s="15" t="n">
        <x:f>IF(AND(N534,ISNUMBER(H534),ISNUMBER(I534),H534&gt;0),I534/H534-1,"n.a.")</x:f>
        <x:v>0.009054899360153135</x:v>
      </x:c>
      <x:c r="M534" s="20" t="n">
        <x:f>IF(AND(ISNUMBER(K534),ISNUMBER(L534)),100*(K534-L534),"n.a.")</x:f>
        <x:v>8.154559004646234</x:v>
      </x:c>
      <x:c r="N534" s="13" t="b">
        <x:v>1</x:v>
      </x:c>
      <x:c r="O534" s="13" t="b">
        <x:v>1</x:v>
      </x:c>
      <x:c r="P534" s="13" t="b">
        <x:v>0</x:v>
      </x:c>
      <x:c r="Q534" s="2" t="str">
        <x:v>none</x:v>
      </x:c>
      <x:c r="R534" s="2" t="str">
        <x:v>none</x:v>
      </x:c>
      <x:c r="S534" s="2" t="str">
        <x:v>nominal Q4 source model estimate</x:v>
      </x:c>
      <x:c r="T534" s="2" t="str">
        <x:v>nominal Q4 source model estimate</x:v>
      </x:c>
      <x:c r="U534" s="2" t="str">
        <x:v>GFA growth versus source physical quantity growth; constant conversion required for equality</x:v>
      </x:c>
      <x:c r="V534" s="2" t="str">
        <x:v>2020 level is the model anchor; 2023 comparator unused by v16 fit but shares conversion/upstream lineage</x:v>
      </x:c>
      <x:c r="W534" s="2" t="str">
        <x:v>https://arxiv.org/abs/2511.12104</x:v>
      </x:c>
    </x:row>
    <x:row r="535" ht="23" customHeight="1">
      <x:c r="A535" s="2" t="str">
        <x:v>PHL</x:v>
      </x:c>
      <x:c r="B535" s="2" t="str">
        <x:v>Philippines (Republic of the)</x:v>
      </x:c>
      <x:c r="C535" s="2" t="str">
        <x:v>TEMPO_VOLUME</x:v>
      </x:c>
      <x:c r="D535" s="2" t="n">
        <x:v>2020</x:v>
      </x:c>
      <x:c r="E535" s="2" t="n">
        <x:v>2023</x:v>
      </x:c>
      <x:c r="F535" s="17" t="n">
        <x:v>2290609295.400001</x:v>
      </x:c>
      <x:c r="G535" s="17" t="n">
        <x:v>2571747623.808842</x:v>
      </x:c>
      <x:c r="H535" s="17" t="n">
        <x:v>6306091848.97</x:v>
      </x:c>
      <x:c r="I535" s="17" t="n">
        <x:v>6718254529.88</x:v>
      </x:c>
      <x:c r="J535" s="2" t="str">
        <x:v>m3</x:v>
      </x:c>
      <x:c r="K535" s="15" t="n">
        <x:f>IF(AND(ISNUMBER(F535),ISNUMBER(G535),F535&gt;0),G535/F535-1,"n.a.")</x:f>
        <x:v>0.12273517311460447</x:v>
      </x:c>
      <x:c r="L535" s="15" t="n">
        <x:f>IF(AND(N535,ISNUMBER(H535),ISNUMBER(I535),H535&gt;0),I535/H535-1,"n.a.")</x:f>
        <x:v>0.06535944778180158</x:v>
      </x:c>
      <x:c r="M535" s="20" t="n">
        <x:f>IF(AND(ISNUMBER(K535),ISNUMBER(L535)),100*(K535-L535),"n.a.")</x:f>
        <x:v>5.7375725332802885</x:v>
      </x:c>
      <x:c r="N535" s="13" t="b">
        <x:v>1</x:v>
      </x:c>
      <x:c r="O535" s="13" t="b">
        <x:v>1</x:v>
      </x:c>
      <x:c r="P535" s="13" t="b">
        <x:v>0</x:v>
      </x:c>
      <x:c r="Q535" s="2" t="str">
        <x:v>none</x:v>
      </x:c>
      <x:c r="R535" s="2" t="str">
        <x:v>none</x:v>
      </x:c>
      <x:c r="S535" s="2" t="str">
        <x:v>nominal Q4 source model estimate</x:v>
      </x:c>
      <x:c r="T535" s="2" t="str">
        <x:v>nominal Q4 source model estimate</x:v>
      </x:c>
      <x:c r="U535" s="2" t="str">
        <x:v>GFA growth versus source physical quantity growth; constant conversion required for equality</x:v>
      </x:c>
      <x:c r="V535" s="2" t="str">
        <x:v>2020 level is the model anchor; 2023 comparator unused by v16 fit but shares conversion/upstream lineage</x:v>
      </x:c>
      <x:c r="W535" s="2" t="str">
        <x:v>https://arxiv.org/abs/2511.12104</x:v>
      </x:c>
    </x:row>
    <x:row r="536" ht="23" customHeight="1">
      <x:c r="A536" s="2" t="str">
        <x:v>PLW</x:v>
      </x:c>
      <x:c r="B536" s="2" t="str">
        <x:v>Palau (Republic of)</x:v>
      </x:c>
      <x:c r="C536" s="2" t="str">
        <x:v>TEMPO_VOLUME</x:v>
      </x:c>
      <x:c r="D536" s="2" t="n">
        <x:v>2020</x:v>
      </x:c>
      <x:c r="E536" s="2" t="n">
        <x:v>2023</x:v>
      </x:c>
      <x:c r="F536" s="17" t="n">
        <x:v>1152226.26</x:v>
      </x:c>
      <x:c r="G536" s="17" t="n">
        <x:v>1195201.2782398385</x:v>
      </x:c>
      <x:c r="H536" s="17" t="n">
        <x:v>2767544.44</x:v>
      </x:c>
      <x:c r="I536" s="17" t="n">
        <x:v>2919832.38</x:v>
      </x:c>
      <x:c r="J536" s="2" t="str">
        <x:v>m3</x:v>
      </x:c>
      <x:c r="K536" s="15" t="n">
        <x:f>IF(AND(ISNUMBER(F536),ISNUMBER(G536),F536&gt;0),G536/F536-1,"n.a.")</x:f>
        <x:v>0.03729737789506604</x:v>
      </x:c>
      <x:c r="L536" s="15" t="n">
        <x:f>IF(AND(N536,ISNUMBER(H536),ISNUMBER(I536),H536&gt;0),I536/H536-1,"n.a.")</x:f>
        <x:v>0.055026375655958804</x:v>
      </x:c>
      <x:c r="M536" s="20" t="n">
        <x:f>IF(AND(ISNUMBER(K536),ISNUMBER(L536)),100*(K536-L536),"n.a.")</x:f>
        <x:v>-1.7728997760892762</x:v>
      </x:c>
      <x:c r="N536" s="13" t="b">
        <x:v>1</x:v>
      </x:c>
      <x:c r="O536" s="13" t="b">
        <x:v>1</x:v>
      </x:c>
      <x:c r="P536" s="13" t="b">
        <x:v>0</x:v>
      </x:c>
      <x:c r="Q536" s="2" t="str">
        <x:v>none</x:v>
      </x:c>
      <x:c r="R536" s="2" t="str">
        <x:v>none</x:v>
      </x:c>
      <x:c r="S536" s="2" t="str">
        <x:v>nominal Q4 source model estimate</x:v>
      </x:c>
      <x:c r="T536" s="2" t="str">
        <x:v>nominal Q4 source model estimate</x:v>
      </x:c>
      <x:c r="U536" s="2" t="str">
        <x:v>GFA growth versus source physical quantity growth; constant conversion required for equality</x:v>
      </x:c>
      <x:c r="V536" s="2" t="str">
        <x:v>2020 level is the model anchor; 2023 comparator unused by v16 fit but shares conversion/upstream lineage</x:v>
      </x:c>
      <x:c r="W536" s="2" t="str">
        <x:v>https://arxiv.org/abs/2511.12104</x:v>
      </x:c>
    </x:row>
    <x:row r="537" ht="23" customHeight="1">
      <x:c r="A537" s="2" t="str">
        <x:v>PNG</x:v>
      </x:c>
      <x:c r="B537" s="2" t="str">
        <x:v>Papua New Guinea (Independent State of)</x:v>
      </x:c>
      <x:c r="C537" s="2" t="str">
        <x:v>TEMPO_VOLUME</x:v>
      </x:c>
      <x:c r="D537" s="2" t="n">
        <x:v>2020</x:v>
      </x:c>
      <x:c r="E537" s="2" t="n">
        <x:v>2023</x:v>
      </x:c>
      <x:c r="F537" s="17" t="n">
        <x:v>111325792.03000018</x:v>
      </x:c>
      <x:c r="G537" s="17" t="n">
        <x:v>127622114.45234741</x:v>
      </x:c>
      <x:c r="H537" s="17" t="n">
        <x:v>231401727.62</x:v>
      </x:c>
      <x:c r="I537" s="17" t="n">
        <x:v>231628282.57</x:v>
      </x:c>
      <x:c r="J537" s="2" t="str">
        <x:v>m3</x:v>
      </x:c>
      <x:c r="K537" s="15" t="n">
        <x:f>IF(AND(ISNUMBER(F537),ISNUMBER(G537),F537&gt;0),G537/F537-1,"n.a.")</x:f>
        <x:v>0.1463840690031264</x:v>
      </x:c>
      <x:c r="L537" s="15" t="n">
        <x:f>IF(AND(N537,ISNUMBER(H537),ISNUMBER(I537),H537&gt;0),I537/H537-1,"n.a.")</x:f>
        <x:v>0.0009790547042589637</x:v>
      </x:c>
      <x:c r="M537" s="20" t="n">
        <x:f>IF(AND(ISNUMBER(K537),ISNUMBER(L537)),100*(K537-L537),"n.a.")</x:f>
        <x:v>14.540501429886742</x:v>
      </x:c>
      <x:c r="N537" s="13" t="b">
        <x:v>1</x:v>
      </x:c>
      <x:c r="O537" s="13" t="b">
        <x:v>1</x:v>
      </x:c>
      <x:c r="P537" s="13" t="b">
        <x:v>0</x:v>
      </x:c>
      <x:c r="Q537" s="2" t="str">
        <x:v>none</x:v>
      </x:c>
      <x:c r="R537" s="2" t="str">
        <x:v>none</x:v>
      </x:c>
      <x:c r="S537" s="2" t="str">
        <x:v>nominal Q4 source model estimate</x:v>
      </x:c>
      <x:c r="T537" s="2" t="str">
        <x:v>nominal Q4 source model estimate</x:v>
      </x:c>
      <x:c r="U537" s="2" t="str">
        <x:v>GFA growth versus source physical quantity growth; constant conversion required for equality</x:v>
      </x:c>
      <x:c r="V537" s="2" t="str">
        <x:v>2020 level is the model anchor; 2023 comparator unused by v16 fit but shares conversion/upstream lineage</x:v>
      </x:c>
      <x:c r="W537" s="2" t="str">
        <x:v>https://arxiv.org/abs/2511.12104</x:v>
      </x:c>
    </x:row>
    <x:row r="538" ht="23" customHeight="1">
      <x:c r="A538" s="2" t="str">
        <x:v>POL</x:v>
      </x:c>
      <x:c r="B538" s="2" t="str">
        <x:v>Poland (Republic of)</x:v>
      </x:c>
      <x:c r="C538" s="2" t="str">
        <x:v>TEMPO_VOLUME</x:v>
      </x:c>
      <x:c r="D538" s="2" t="n">
        <x:v>2020</x:v>
      </x:c>
      <x:c r="E538" s="2" t="n">
        <x:v>2023</x:v>
      </x:c>
      <x:c r="F538" s="17" t="n">
        <x:v>2573023573.5300016</x:v>
      </x:c>
      <x:c r="G538" s="17" t="n">
        <x:v>2700645539.672737</x:v>
      </x:c>
      <x:c r="H538" s="17" t="n">
        <x:v>7661856703.95</x:v>
      </x:c>
      <x:c r="I538" s="17" t="n">
        <x:v>8518062112.1</x:v>
      </x:c>
      <x:c r="J538" s="2" t="str">
        <x:v>m3</x:v>
      </x:c>
      <x:c r="K538" s="15" t="n">
        <x:f>IF(AND(ISNUMBER(F538),ISNUMBER(G538),F538&gt;0),G538/F538-1,"n.a.")</x:f>
        <x:v>0.04959999879350008</x:v>
      </x:c>
      <x:c r="L538" s="15" t="n">
        <x:f>IF(AND(N538,ISNUMBER(H538),ISNUMBER(I538),H538&gt;0),I538/H538-1,"n.a.")</x:f>
        <x:v>0.11174907613563057</x:v>
      </x:c>
      <x:c r="M538" s="20" t="n">
        <x:f>IF(AND(ISNUMBER(K538),ISNUMBER(L538)),100*(K538-L538),"n.a.")</x:f>
        <x:v>-6.214907734213049</x:v>
      </x:c>
      <x:c r="N538" s="13" t="b">
        <x:v>1</x:v>
      </x:c>
      <x:c r="O538" s="13" t="b">
        <x:v>1</x:v>
      </x:c>
      <x:c r="P538" s="13" t="b">
        <x:v>0</x:v>
      </x:c>
      <x:c r="Q538" s="2" t="str">
        <x:v>none</x:v>
      </x:c>
      <x:c r="R538" s="2" t="str">
        <x:v>none</x:v>
      </x:c>
      <x:c r="S538" s="2" t="str">
        <x:v>nominal Q4 source model estimate</x:v>
      </x:c>
      <x:c r="T538" s="2" t="str">
        <x:v>nominal Q4 source model estimate</x:v>
      </x:c>
      <x:c r="U538" s="2" t="str">
        <x:v>GFA growth versus source physical quantity growth; constant conversion required for equality</x:v>
      </x:c>
      <x:c r="V538" s="2" t="str">
        <x:v>2020 level is the model anchor; 2023 comparator unused by v16 fit but shares conversion/upstream lineage</x:v>
      </x:c>
      <x:c r="W538" s="2" t="str">
        <x:v>https://arxiv.org/abs/2511.12104</x:v>
      </x:c>
    </x:row>
    <x:row r="539" ht="23" customHeight="1">
      <x:c r="A539" s="2" t="str">
        <x:v>PRK</x:v>
      </x:c>
      <x:c r="B539" s="2" t="str">
        <x:v>Korea (Democratic People's Republic of)</x:v>
      </x:c>
      <x:c r="C539" s="2" t="str">
        <x:v>TEMPO_VOLUME</x:v>
      </x:c>
      <x:c r="D539" s="2" t="n">
        <x:v>2020</x:v>
      </x:c>
      <x:c r="E539" s="2" t="n">
        <x:v>2023</x:v>
      </x:c>
      <x:c r="F539" s="17" t="n">
        <x:v>469713807.49000067</x:v>
      </x:c>
      <x:c r="G539" s="17" t="n">
        <x:v>533888370.4753465</x:v>
      </x:c>
      <x:c r="H539" s="17" t="n">
        <x:v>1314862793.51</x:v>
      </x:c>
      <x:c r="I539" s="17" t="n">
        <x:v>1336929835.12</x:v>
      </x:c>
      <x:c r="J539" s="2" t="str">
        <x:v>m3</x:v>
      </x:c>
      <x:c r="K539" s="15" t="n">
        <x:f>IF(AND(ISNUMBER(F539),ISNUMBER(G539),F539&gt;0),G539/F539-1,"n.a.")</x:f>
        <x:v>0.13662481698861284</x:v>
      </x:c>
      <x:c r="L539" s="15" t="n">
        <x:f>IF(AND(N539,ISNUMBER(H539),ISNUMBER(I539),H539&gt;0),I539/H539-1,"n.a.")</x:f>
        <x:v>0.016782771342318092</x:v>
      </x:c>
      <x:c r="M539" s="20" t="n">
        <x:f>IF(AND(ISNUMBER(K539),ISNUMBER(L539)),100*(K539-L539),"n.a.")</x:f>
        <x:v>11.984204564629476</x:v>
      </x:c>
      <x:c r="N539" s="13" t="b">
        <x:v>1</x:v>
      </x:c>
      <x:c r="O539" s="13" t="b">
        <x:v>1</x:v>
      </x:c>
      <x:c r="P539" s="13" t="b">
        <x:v>0</x:v>
      </x:c>
      <x:c r="Q539" s="2" t="str">
        <x:v>none</x:v>
      </x:c>
      <x:c r="R539" s="2" t="str">
        <x:v>none</x:v>
      </x:c>
      <x:c r="S539" s="2" t="str">
        <x:v>nominal Q4 source model estimate</x:v>
      </x:c>
      <x:c r="T539" s="2" t="str">
        <x:v>nominal Q4 source model estimate</x:v>
      </x:c>
      <x:c r="U539" s="2" t="str">
        <x:v>GFA growth versus source physical quantity growth; constant conversion required for equality</x:v>
      </x:c>
      <x:c r="V539" s="2" t="str">
        <x:v>2020 level is the model anchor; 2023 comparator unused by v16 fit but shares conversion/upstream lineage</x:v>
      </x:c>
      <x:c r="W539" s="2" t="str">
        <x:v>https://arxiv.org/abs/2511.12104</x:v>
      </x:c>
    </x:row>
    <x:row r="540" ht="23" customHeight="1">
      <x:c r="A540" s="2" t="str">
        <x:v>PRT</x:v>
      </x:c>
      <x:c r="B540" s="2" t="str">
        <x:v>Portugal (Portuguese Republic)</x:v>
      </x:c>
      <x:c r="C540" s="2" t="str">
        <x:v>TEMPO_VOLUME</x:v>
      </x:c>
      <x:c r="D540" s="2" t="n">
        <x:v>2020</x:v>
      </x:c>
      <x:c r="E540" s="2" t="n">
        <x:v>2023</x:v>
      </x:c>
      <x:c r="F540" s="17" t="n">
        <x:v>1019333626.31</x:v>
      </x:c>
      <x:c r="G540" s="17" t="n">
        <x:v>1067142948.5214574</x:v>
      </x:c>
      <x:c r="H540" s="17" t="n">
        <x:v>3280431979.36</x:v>
      </x:c>
      <x:c r="I540" s="17" t="n">
        <x:v>3426136109.97</x:v>
      </x:c>
      <x:c r="J540" s="2" t="str">
        <x:v>m3</x:v>
      </x:c>
      <x:c r="K540" s="15" t="n">
        <x:f>IF(AND(ISNUMBER(F540),ISNUMBER(G540),F540&gt;0),G540/F540-1,"n.a.")</x:f>
        <x:v>0.04690252629507352</x:v>
      </x:c>
      <x:c r="L540" s="15" t="n">
        <x:f>IF(AND(N540,ISNUMBER(H540),ISNUMBER(I540),H540&gt;0),I540/H540-1,"n.a.")</x:f>
        <x:v>0.044416141388313735</x:v>
      </x:c>
      <x:c r="M540" s="20" t="n">
        <x:f>IF(AND(ISNUMBER(K540),ISNUMBER(L540)),100*(K540-L540),"n.a.")</x:f>
        <x:v>0.24863849067597865</x:v>
      </x:c>
      <x:c r="N540" s="13" t="b">
        <x:v>1</x:v>
      </x:c>
      <x:c r="O540" s="13" t="b">
        <x:v>1</x:v>
      </x:c>
      <x:c r="P540" s="13" t="b">
        <x:v>0</x:v>
      </x:c>
      <x:c r="Q540" s="2" t="str">
        <x:v>none</x:v>
      </x:c>
      <x:c r="R540" s="2" t="str">
        <x:v>none</x:v>
      </x:c>
      <x:c r="S540" s="2" t="str">
        <x:v>nominal Q4 source model estimate</x:v>
      </x:c>
      <x:c r="T540" s="2" t="str">
        <x:v>nominal Q4 source model estimate</x:v>
      </x:c>
      <x:c r="U540" s="2" t="str">
        <x:v>GFA growth versus source physical quantity growth; constant conversion required for equality</x:v>
      </x:c>
      <x:c r="V540" s="2" t="str">
        <x:v>2020 level is the model anchor; 2023 comparator unused by v16 fit but shares conversion/upstream lineage</x:v>
      </x:c>
      <x:c r="W540" s="2" t="str">
        <x:v>https://arxiv.org/abs/2511.12104</x:v>
      </x:c>
    </x:row>
    <x:row r="541" ht="23" customHeight="1">
      <x:c r="A541" s="2" t="str">
        <x:v>PRY</x:v>
      </x:c>
      <x:c r="B541" s="2" t="str">
        <x:v>Paraguay (Republic of)</x:v>
      </x:c>
      <x:c r="C541" s="2" t="str">
        <x:v>TEMPO_VOLUME</x:v>
      </x:c>
      <x:c r="D541" s="2" t="n">
        <x:v>2020</x:v>
      </x:c>
      <x:c r="E541" s="2" t="n">
        <x:v>2023</x:v>
      </x:c>
      <x:c r="F541" s="17" t="n">
        <x:v>336793873.4500005</x:v>
      </x:c>
      <x:c r="G541" s="17" t="n">
        <x:v>360037428.418509</x:v>
      </x:c>
      <x:c r="H541" s="17" t="n">
        <x:v>788822067.97</x:v>
      </x:c>
      <x:c r="I541" s="17" t="n">
        <x:v>883293923.75</x:v>
      </x:c>
      <x:c r="J541" s="2" t="str">
        <x:v>m3</x:v>
      </x:c>
      <x:c r="K541" s="15" t="n">
        <x:f>IF(AND(ISNUMBER(F541),ISNUMBER(G541),F541&gt;0),G541/F541-1,"n.a.")</x:f>
        <x:v>0.06901418582947927</x:v>
      </x:c>
      <x:c r="L541" s="15" t="n">
        <x:f>IF(AND(N541,ISNUMBER(H541),ISNUMBER(I541),H541&gt;0),I541/H541-1,"n.a.")</x:f>
        <x:v>0.11976320087382852</x:v>
      </x:c>
      <x:c r="M541" s="20" t="n">
        <x:f>IF(AND(ISNUMBER(K541),ISNUMBER(L541)),100*(K541-L541),"n.a.")</x:f>
        <x:v>-5.0749015044349255</x:v>
      </x:c>
      <x:c r="N541" s="13" t="b">
        <x:v>1</x:v>
      </x:c>
      <x:c r="O541" s="13" t="b">
        <x:v>1</x:v>
      </x:c>
      <x:c r="P541" s="13" t="b">
        <x:v>0</x:v>
      </x:c>
      <x:c r="Q541" s="2" t="str">
        <x:v>none</x:v>
      </x:c>
      <x:c r="R541" s="2" t="str">
        <x:v>none</x:v>
      </x:c>
      <x:c r="S541" s="2" t="str">
        <x:v>nominal Q4 source model estimate</x:v>
      </x:c>
      <x:c r="T541" s="2" t="str">
        <x:v>nominal Q4 source model estimate</x:v>
      </x:c>
      <x:c r="U541" s="2" t="str">
        <x:v>GFA growth versus source physical quantity growth; constant conversion required for equality</x:v>
      </x:c>
      <x:c r="V541" s="2" t="str">
        <x:v>2020 level is the model anchor; 2023 comparator unused by v16 fit but shares conversion/upstream lineage</x:v>
      </x:c>
      <x:c r="W541" s="2" t="str">
        <x:v>https://arxiv.org/abs/2511.12104</x:v>
      </x:c>
    </x:row>
    <x:row r="542" ht="23" customHeight="1">
      <x:c r="A542" s="2" t="str">
        <x:v>PSE</x:v>
      </x:c>
      <x:c r="B542" s="2" t="str">
        <x:v>State of Palestine</x:v>
      </x:c>
      <x:c r="C542" s="2" t="str">
        <x:v>TEMPO_VOLUME</x:v>
      </x:c>
      <x:c r="D542" s="2" t="n">
        <x:v>2020</x:v>
      </x:c>
      <x:c r="E542" s="2" t="n">
        <x:v>2023</x:v>
      </x:c>
      <x:c r="F542" s="17" t="n">
        <x:v>239938472.63190365</x:v>
      </x:c>
      <x:c r="G542" s="17" t="n">
        <x:v>262431110.64627308</x:v>
      </x:c>
      <x:c r="H542" s="17"/>
      <x:c r="I542" s="17"/>
      <x:c r="J542" s="2" t="str">
        <x:v>m3</x:v>
      </x:c>
      <x:c r="K542" s="15" t="n">
        <x:f>IF(AND(ISNUMBER(F542),ISNUMBER(G542),F542&gt;0),G542/F542-1,"n.a.")</x:f>
        <x:v>0.0937433574851334</x:v>
      </x:c>
      <x:c r="L542" s="15" t="str">
        <x:f>IF(AND(N542,ISNUMBER(H542),ISNUMBER(I542),H542&gt;0),I542/H542-1,"n.a.")</x:f>
        <x:v>n.a.</x:v>
      </x:c>
      <x:c r="M542" s="20" t="str">
        <x:f>IF(AND(ISNUMBER(K542),ISNUMBER(L542)),100*(K542-L542),"n.a.")</x:f>
        <x:v>n.a.</x:v>
      </x:c>
      <x:c r="N542" s="13" t="b">
        <x:v>0</x:v>
      </x:c>
      <x:c r="O542" s="13" t="b">
        <x:v>0</x:v>
      </x:c>
      <x:c r="P542" s="13" t="b">
        <x:v>1</x:v>
      </x:c>
      <x:c r="Q542" s="2" t="str">
        <x:v>source row absent</x:v>
      </x:c>
      <x:c r="R542" s="2" t="str">
        <x:v>source row absent</x:v>
      </x:c>
      <x:c r="S542" s="2" t="str">
        <x:v>nominal Q4 source model estimate</x:v>
      </x:c>
      <x:c r="T542" s="2" t="str">
        <x:v>nominal Q4 source model estimate</x:v>
      </x:c>
      <x:c r="U542" s="2" t="str">
        <x:v>GFA growth versus source physical quantity growth; constant conversion required for equality</x:v>
      </x:c>
      <x:c r="V542" s="2" t="str">
        <x:v>2020 level is the model anchor; 2023 comparator unused by v16 fit but shares conversion/upstream lineage</x:v>
      </x:c>
      <x:c r="W542" s="2" t="str">
        <x:v>https://arxiv.org/abs/2511.12104</x:v>
      </x:c>
    </x:row>
    <x:row r="543" ht="23" customHeight="1">
      <x:c r="A543" s="2" t="str">
        <x:v>QAT</x:v>
      </x:c>
      <x:c r="B543" s="2" t="str">
        <x:v>Qatar (State of)</x:v>
      </x:c>
      <x:c r="C543" s="2" t="str">
        <x:v>TEMPO_VOLUME</x:v>
      </x:c>
      <x:c r="D543" s="2" t="n">
        <x:v>2020</x:v>
      </x:c>
      <x:c r="E543" s="2" t="n">
        <x:v>2023</x:v>
      </x:c>
      <x:c r="F543" s="17" t="n">
        <x:v>137316242.80000022</x:v>
      </x:c>
      <x:c r="G543" s="17" t="n">
        <x:v>152620233.5404953</x:v>
      </x:c>
      <x:c r="H543" s="17" t="n">
        <x:v>486987373.31</x:v>
      </x:c>
      <x:c r="I543" s="17" t="n">
        <x:v>545230282.13</x:v>
      </x:c>
      <x:c r="J543" s="2" t="str">
        <x:v>m3</x:v>
      </x:c>
      <x:c r="K543" s="15" t="n">
        <x:f>IF(AND(ISNUMBER(F543),ISNUMBER(G543),F543&gt;0),G543/F543-1,"n.a.")</x:f>
        <x:v>0.11145069533241747</x:v>
      </x:c>
      <x:c r="L543" s="15" t="n">
        <x:f>IF(AND(N543,ISNUMBER(H543),ISNUMBER(I543),H543&gt;0),I543/H543-1,"n.a.")</x:f>
        <x:v>0.11959839620507884</x:v>
      </x:c>
      <x:c r="M543" s="20" t="n">
        <x:f>IF(AND(ISNUMBER(K543),ISNUMBER(L543)),100*(K543-L543),"n.a.")</x:f>
        <x:v>-0.8147700872661368</x:v>
      </x:c>
      <x:c r="N543" s="13" t="b">
        <x:v>1</x:v>
      </x:c>
      <x:c r="O543" s="13" t="b">
        <x:v>1</x:v>
      </x:c>
      <x:c r="P543" s="13" t="b">
        <x:v>0</x:v>
      </x:c>
      <x:c r="Q543" s="2" t="str">
        <x:v>none</x:v>
      </x:c>
      <x:c r="R543" s="2" t="str">
        <x:v>none</x:v>
      </x:c>
      <x:c r="S543" s="2" t="str">
        <x:v>nominal Q4 source model estimate</x:v>
      </x:c>
      <x:c r="T543" s="2" t="str">
        <x:v>nominal Q4 source model estimate</x:v>
      </x:c>
      <x:c r="U543" s="2" t="str">
        <x:v>GFA growth versus source physical quantity growth; constant conversion required for equality</x:v>
      </x:c>
      <x:c r="V543" s="2" t="str">
        <x:v>2020 level is the model anchor; 2023 comparator unused by v16 fit but shares conversion/upstream lineage</x:v>
      </x:c>
      <x:c r="W543" s="2" t="str">
        <x:v>https://arxiv.org/abs/2511.12104</x:v>
      </x:c>
    </x:row>
    <x:row r="544" ht="23" customHeight="1">
      <x:c r="A544" s="2" t="str">
        <x:v>ROU</x:v>
      </x:c>
      <x:c r="B544" s="2" t="str">
        <x:v>Romania</x:v>
      </x:c>
      <x:c r="C544" s="2" t="str">
        <x:v>TEMPO_VOLUME</x:v>
      </x:c>
      <x:c r="D544" s="2" t="n">
        <x:v>2020</x:v>
      </x:c>
      <x:c r="E544" s="2" t="n">
        <x:v>2023</x:v>
      </x:c>
      <x:c r="F544" s="17" t="n">
        <x:v>1451492077.9900024</x:v>
      </x:c>
      <x:c r="G544" s="17" t="n">
        <x:v>1483847699.1618993</x:v>
      </x:c>
      <x:c r="H544" s="17" t="n">
        <x:v>4224835877.28</x:v>
      </x:c>
      <x:c r="I544" s="17" t="n">
        <x:v>4552091662.02</x:v>
      </x:c>
      <x:c r="J544" s="2" t="str">
        <x:v>m3</x:v>
      </x:c>
      <x:c r="K544" s="15" t="n">
        <x:f>IF(AND(ISNUMBER(F544),ISNUMBER(G544),F544&gt;0),G544/F544-1,"n.a.")</x:f>
        <x:v>0.022291283337007473</x:v>
      </x:c>
      <x:c r="L544" s="15" t="n">
        <x:f>IF(AND(N544,ISNUMBER(H544),ISNUMBER(I544),H544&gt;0),I544/H544-1,"n.a.")</x:f>
        <x:v>0.07745999945226067</x:v>
      </x:c>
      <x:c r="M544" s="20" t="n">
        <x:f>IF(AND(ISNUMBER(K544),ISNUMBER(L544)),100*(K544-L544),"n.a.")</x:f>
        <x:v>-5.51687161152532</x:v>
      </x:c>
      <x:c r="N544" s="13" t="b">
        <x:v>1</x:v>
      </x:c>
      <x:c r="O544" s="13" t="b">
        <x:v>1</x:v>
      </x:c>
      <x:c r="P544" s="13" t="b">
        <x:v>0</x:v>
      </x:c>
      <x:c r="Q544" s="2" t="str">
        <x:v>none</x:v>
      </x:c>
      <x:c r="R544" s="2" t="str">
        <x:v>none</x:v>
      </x:c>
      <x:c r="S544" s="2" t="str">
        <x:v>nominal Q4 source model estimate</x:v>
      </x:c>
      <x:c r="T544" s="2" t="str">
        <x:v>nominal Q4 source model estimate</x:v>
      </x:c>
      <x:c r="U544" s="2" t="str">
        <x:v>GFA growth versus source physical quantity growth; constant conversion required for equality</x:v>
      </x:c>
      <x:c r="V544" s="2" t="str">
        <x:v>2020 level is the model anchor; 2023 comparator unused by v16 fit but shares conversion/upstream lineage</x:v>
      </x:c>
      <x:c r="W544" s="2" t="str">
        <x:v>https://arxiv.org/abs/2511.12104</x:v>
      </x:c>
    </x:row>
    <x:row r="545" ht="23" customHeight="1">
      <x:c r="A545" s="2" t="str">
        <x:v>RUS</x:v>
      </x:c>
      <x:c r="B545" s="2" t="str">
        <x:v>Russian Federation</x:v>
      </x:c>
      <x:c r="C545" s="2" t="str">
        <x:v>TEMPO_VOLUME</x:v>
      </x:c>
      <x:c r="D545" s="2" t="n">
        <x:v>2020</x:v>
      </x:c>
      <x:c r="E545" s="2" t="n">
        <x:v>2023</x:v>
      </x:c>
      <x:c r="F545" s="17" t="n">
        <x:v>7767687345.91001</x:v>
      </x:c>
      <x:c r="G545" s="17" t="n">
        <x:v>8172232946.716192</x:v>
      </x:c>
      <x:c r="H545" s="17" t="n">
        <x:v>25701753824.48</x:v>
      </x:c>
      <x:c r="I545" s="17" t="n">
        <x:v>27891402962.17</x:v>
      </x:c>
      <x:c r="J545" s="2" t="str">
        <x:v>m3</x:v>
      </x:c>
      <x:c r="K545" s="15" t="n">
        <x:f>IF(AND(ISNUMBER(F545),ISNUMBER(G545),F545&gt;0),G545/F545-1,"n.a.")</x:f>
        <x:v>0.05208057209192263</x:v>
      </x:c>
      <x:c r="L545" s="15" t="n">
        <x:f>IF(AND(N545,ISNUMBER(H545),ISNUMBER(I545),H545&gt;0),I545/H545-1,"n.a.")</x:f>
        <x:v>0.085194541689386</x:v>
      </x:c>
      <x:c r="M545" s="20" t="n">
        <x:f>IF(AND(ISNUMBER(K545),ISNUMBER(L545)),100*(K545-L545),"n.a.")</x:f>
        <x:v>-3.3113969597463377</x:v>
      </x:c>
      <x:c r="N545" s="13" t="b">
        <x:v>1</x:v>
      </x:c>
      <x:c r="O545" s="13" t="b">
        <x:v>1</x:v>
      </x:c>
      <x:c r="P545" s="13" t="b">
        <x:v>0</x:v>
      </x:c>
      <x:c r="Q545" s="2" t="str">
        <x:v>none</x:v>
      </x:c>
      <x:c r="R545" s="2" t="str">
        <x:v>none</x:v>
      </x:c>
      <x:c r="S545" s="2" t="str">
        <x:v>nominal Q4 source model estimate</x:v>
      </x:c>
      <x:c r="T545" s="2" t="str">
        <x:v>nominal Q4 source model estimate</x:v>
      </x:c>
      <x:c r="U545" s="2" t="str">
        <x:v>GFA growth versus source physical quantity growth; constant conversion required for equality</x:v>
      </x:c>
      <x:c r="V545" s="2" t="str">
        <x:v>2020 level is the model anchor; 2023 comparator unused by v16 fit but shares conversion/upstream lineage</x:v>
      </x:c>
      <x:c r="W545" s="2" t="str">
        <x:v>https://arxiv.org/abs/2511.12104</x:v>
      </x:c>
    </x:row>
    <x:row r="546" ht="23" customHeight="1">
      <x:c r="A546" s="2" t="str">
        <x:v>RWA</x:v>
      </x:c>
      <x:c r="B546" s="2" t="str">
        <x:v>Rwanda (Republic of)</x:v>
      </x:c>
      <x:c r="C546" s="2" t="str">
        <x:v>TEMPO_VOLUME</x:v>
      </x:c>
      <x:c r="D546" s="2" t="n">
        <x:v>2020</x:v>
      </x:c>
      <x:c r="E546" s="2" t="n">
        <x:v>2023</x:v>
      </x:c>
      <x:c r="F546" s="17" t="n">
        <x:v>244877324.63000005</x:v>
      </x:c>
      <x:c r="G546" s="17" t="n">
        <x:v>266219888.1864959</x:v>
      </x:c>
      <x:c r="H546" s="17" t="n">
        <x:v>495070944.77</x:v>
      </x:c>
      <x:c r="I546" s="17" t="n">
        <x:v>570191038.49</x:v>
      </x:c>
      <x:c r="J546" s="2" t="str">
        <x:v>m3</x:v>
      </x:c>
      <x:c r="K546" s="15" t="n">
        <x:f>IF(AND(ISNUMBER(F546),ISNUMBER(G546),F546&gt;0),G546/F546-1,"n.a.")</x:f>
        <x:v>0.08715614477062594</x:v>
      </x:c>
      <x:c r="L546" s="15" t="n">
        <x:f>IF(AND(N546,ISNUMBER(H546),ISNUMBER(I546),H546&gt;0),I546/H546-1,"n.a.")</x:f>
        <x:v>0.15173601786487256</x:v>
      </x:c>
      <x:c r="M546" s="20" t="n">
        <x:f>IF(AND(ISNUMBER(K546),ISNUMBER(L546)),100*(K546-L546),"n.a.")</x:f>
        <x:v>-6.457987309424662</x:v>
      </x:c>
      <x:c r="N546" s="13" t="b">
        <x:v>1</x:v>
      </x:c>
      <x:c r="O546" s="13" t="b">
        <x:v>1</x:v>
      </x:c>
      <x:c r="P546" s="13" t="b">
        <x:v>0</x:v>
      </x:c>
      <x:c r="Q546" s="2" t="str">
        <x:v>none</x:v>
      </x:c>
      <x:c r="R546" s="2" t="str">
        <x:v>none</x:v>
      </x:c>
      <x:c r="S546" s="2" t="str">
        <x:v>nominal Q4 source model estimate</x:v>
      </x:c>
      <x:c r="T546" s="2" t="str">
        <x:v>nominal Q4 source model estimate</x:v>
      </x:c>
      <x:c r="U546" s="2" t="str">
        <x:v>GFA growth versus source physical quantity growth; constant conversion required for equality</x:v>
      </x:c>
      <x:c r="V546" s="2" t="str">
        <x:v>2020 level is the model anchor; 2023 comparator unused by v16 fit but shares conversion/upstream lineage</x:v>
      </x:c>
      <x:c r="W546" s="2" t="str">
        <x:v>https://arxiv.org/abs/2511.12104</x:v>
      </x:c>
    </x:row>
    <x:row r="547" ht="23" customHeight="1">
      <x:c r="A547" s="2" t="str">
        <x:v>SAU</x:v>
      </x:c>
      <x:c r="B547" s="2" t="str">
        <x:v>Saudi Arabia (Kingdom of)</x:v>
      </x:c>
      <x:c r="C547" s="2" t="str">
        <x:v>TEMPO_VOLUME</x:v>
      </x:c>
      <x:c r="D547" s="2" t="n">
        <x:v>2020</x:v>
      </x:c>
      <x:c r="E547" s="2" t="n">
        <x:v>2023</x:v>
      </x:c>
      <x:c r="F547" s="17" t="n">
        <x:v>1911722272.930002</x:v>
      </x:c>
      <x:c r="G547" s="17" t="n">
        <x:v>2067839009.467918</x:v>
      </x:c>
      <x:c r="H547" s="17" t="n">
        <x:v>6376625840.02</x:v>
      </x:c>
      <x:c r="I547" s="17" t="n">
        <x:v>7029691227.2</x:v>
      </x:c>
      <x:c r="J547" s="2" t="str">
        <x:v>m3</x:v>
      </x:c>
      <x:c r="K547" s="15" t="n">
        <x:f>IF(AND(ISNUMBER(F547),ISNUMBER(G547),F547&gt;0),G547/F547-1,"n.a.")</x:f>
        <x:v>0.08166287475358214</x:v>
      </x:c>
      <x:c r="L547" s="15" t="n">
        <x:f>IF(AND(N547,ISNUMBER(H547),ISNUMBER(I547),H547&gt;0),I547/H547-1,"n.a.")</x:f>
        <x:v>0.10241550995219617</x:v>
      </x:c>
      <x:c r="M547" s="20" t="n">
        <x:f>IF(AND(ISNUMBER(K547),ISNUMBER(L547)),100*(K547-L547),"n.a.")</x:f>
        <x:v>-2.0752635198614033</x:v>
      </x:c>
      <x:c r="N547" s="13" t="b">
        <x:v>1</x:v>
      </x:c>
      <x:c r="O547" s="13" t="b">
        <x:v>1</x:v>
      </x:c>
      <x:c r="P547" s="13" t="b">
        <x:v>0</x:v>
      </x:c>
      <x:c r="Q547" s="2" t="str">
        <x:v>none</x:v>
      </x:c>
      <x:c r="R547" s="2" t="str">
        <x:v>none</x:v>
      </x:c>
      <x:c r="S547" s="2" t="str">
        <x:v>nominal Q4 source model estimate</x:v>
      </x:c>
      <x:c r="T547" s="2" t="str">
        <x:v>nominal Q4 source model estimate</x:v>
      </x:c>
      <x:c r="U547" s="2" t="str">
        <x:v>GFA growth versus source physical quantity growth; constant conversion required for equality</x:v>
      </x:c>
      <x:c r="V547" s="2" t="str">
        <x:v>2020 level is the model anchor; 2023 comparator unused by v16 fit but shares conversion/upstream lineage</x:v>
      </x:c>
      <x:c r="W547" s="2" t="str">
        <x:v>https://arxiv.org/abs/2511.12104</x:v>
      </x:c>
    </x:row>
    <x:row r="548" ht="23" customHeight="1">
      <x:c r="A548" s="2" t="str">
        <x:v>SDN</x:v>
      </x:c>
      <x:c r="B548" s="2" t="str">
        <x:v>Sudan (Republic of the)</x:v>
      </x:c>
      <x:c r="C548" s="2" t="str">
        <x:v>TEMPO_VOLUME</x:v>
      </x:c>
      <x:c r="D548" s="2" t="n">
        <x:v>2020</x:v>
      </x:c>
      <x:c r="E548" s="2" t="n">
        <x:v>2023</x:v>
      </x:c>
      <x:c r="F548" s="17" t="n">
        <x:v>751311239.6000005</x:v>
      </x:c>
      <x:c r="G548" s="17" t="n">
        <x:v>835961184.5150774</x:v>
      </x:c>
      <x:c r="H548" s="17" t="n">
        <x:v>1773781071.22</x:v>
      </x:c>
      <x:c r="I548" s="17" t="n">
        <x:v>1849206241.58</x:v>
      </x:c>
      <x:c r="J548" s="2" t="str">
        <x:v>m3</x:v>
      </x:c>
      <x:c r="K548" s="15" t="n">
        <x:f>IF(AND(ISNUMBER(F548),ISNUMBER(G548),F548&gt;0),G548/F548-1,"n.a.")</x:f>
        <x:v>0.11266961074633275</x:v>
      </x:c>
      <x:c r="L548" s="15" t="n">
        <x:f>IF(AND(N548,ISNUMBER(H548),ISNUMBER(I548),H548&gt;0),I548/H548-1,"n.a.")</x:f>
        <x:v>0.04252225462532566</x:v>
      </x:c>
      <x:c r="M548" s="20" t="n">
        <x:f>IF(AND(ISNUMBER(K548),ISNUMBER(L548)),100*(K548-L548),"n.a.")</x:f>
        <x:v>7.014735612100709</x:v>
      </x:c>
      <x:c r="N548" s="13" t="b">
        <x:v>1</x:v>
      </x:c>
      <x:c r="O548" s="13" t="b">
        <x:v>1</x:v>
      </x:c>
      <x:c r="P548" s="13" t="b">
        <x:v>0</x:v>
      </x:c>
      <x:c r="Q548" s="2" t="str">
        <x:v>none</x:v>
      </x:c>
      <x:c r="R548" s="2" t="str">
        <x:v>none</x:v>
      </x:c>
      <x:c r="S548" s="2" t="str">
        <x:v>nominal Q4 source model estimate</x:v>
      </x:c>
      <x:c r="T548" s="2" t="str">
        <x:v>nominal Q4 source model estimate</x:v>
      </x:c>
      <x:c r="U548" s="2" t="str">
        <x:v>GFA growth versus source physical quantity growth; constant conversion required for equality</x:v>
      </x:c>
      <x:c r="V548" s="2" t="str">
        <x:v>2020 level is the model anchor; 2023 comparator unused by v16 fit but shares conversion/upstream lineage</x:v>
      </x:c>
      <x:c r="W548" s="2" t="str">
        <x:v>https://arxiv.org/abs/2511.12104</x:v>
      </x:c>
    </x:row>
    <x:row r="549" ht="23" customHeight="1">
      <x:c r="A549" s="2" t="str">
        <x:v>SEN</x:v>
      </x:c>
      <x:c r="B549" s="2" t="str">
        <x:v>Senegal (Republic of)</x:v>
      </x:c>
      <x:c r="C549" s="2" t="str">
        <x:v>TEMPO_VOLUME</x:v>
      </x:c>
      <x:c r="D549" s="2" t="n">
        <x:v>2020</x:v>
      </x:c>
      <x:c r="E549" s="2" t="n">
        <x:v>2023</x:v>
      </x:c>
      <x:c r="F549" s="17" t="n">
        <x:v>305052833.6899998</x:v>
      </x:c>
      <x:c r="G549" s="17" t="n">
        <x:v>338137959.6472059</x:v>
      </x:c>
      <x:c r="H549" s="17" t="n">
        <x:v>774798269.1</x:v>
      </x:c>
      <x:c r="I549" s="17" t="n">
        <x:v>835934463.52</x:v>
      </x:c>
      <x:c r="J549" s="2" t="str">
        <x:v>m3</x:v>
      </x:c>
      <x:c r="K549" s="15" t="n">
        <x:f>IF(AND(ISNUMBER(F549),ISNUMBER(G549),F549&gt;0),G549/F549-1,"n.a.")</x:f>
        <x:v>0.10845703531745521</x:v>
      </x:c>
      <x:c r="L549" s="15" t="n">
        <x:f>IF(AND(N549,ISNUMBER(H549),ISNUMBER(I549),H549&gt;0),I549/H549-1,"n.a.")</x:f>
        <x:v>0.07890595121103638</x:v>
      </x:c>
      <x:c r="M549" s="20" t="n">
        <x:f>IF(AND(ISNUMBER(K549),ISNUMBER(L549)),100*(K549-L549),"n.a.")</x:f>
        <x:v>2.9551084106418823</x:v>
      </x:c>
      <x:c r="N549" s="13" t="b">
        <x:v>1</x:v>
      </x:c>
      <x:c r="O549" s="13" t="b">
        <x:v>1</x:v>
      </x:c>
      <x:c r="P549" s="13" t="b">
        <x:v>0</x:v>
      </x:c>
      <x:c r="Q549" s="2" t="str">
        <x:v>none</x:v>
      </x:c>
      <x:c r="R549" s="2" t="str">
        <x:v>none</x:v>
      </x:c>
      <x:c r="S549" s="2" t="str">
        <x:v>nominal Q4 source model estimate</x:v>
      </x:c>
      <x:c r="T549" s="2" t="str">
        <x:v>nominal Q4 source model estimate</x:v>
      </x:c>
      <x:c r="U549" s="2" t="str">
        <x:v>GFA growth versus source physical quantity growth; constant conversion required for equality</x:v>
      </x:c>
      <x:c r="V549" s="2" t="str">
        <x:v>2020 level is the model anchor; 2023 comparator unused by v16 fit but shares conversion/upstream lineage</x:v>
      </x:c>
      <x:c r="W549" s="2" t="str">
        <x:v>https://arxiv.org/abs/2511.12104</x:v>
      </x:c>
    </x:row>
    <x:row r="550" ht="23" customHeight="1">
      <x:c r="A550" s="2" t="str">
        <x:v>SGP</x:v>
      </x:c>
      <x:c r="B550" s="2" t="str">
        <x:v>Singapore (Republic of)</x:v>
      </x:c>
      <x:c r="C550" s="2" t="str">
        <x:v>TEMPO_VOLUME</x:v>
      </x:c>
      <x:c r="D550" s="2" t="n">
        <x:v>2020</x:v>
      </x:c>
      <x:c r="E550" s="2" t="n">
        <x:v>2023</x:v>
      </x:c>
      <x:c r="F550" s="17" t="n">
        <x:v>194662203.04</x:v>
      </x:c>
      <x:c r="G550" s="17" t="n">
        <x:v>226441430.31132615</x:v>
      </x:c>
      <x:c r="H550" s="17" t="n">
        <x:v>703977699.01</x:v>
      </x:c>
      <x:c r="I550" s="17" t="n">
        <x:v>768243181.83</x:v>
      </x:c>
      <x:c r="J550" s="2" t="str">
        <x:v>m3</x:v>
      </x:c>
      <x:c r="K550" s="15" t="n">
        <x:f>IF(AND(ISNUMBER(F550),ISNUMBER(G550),F550&gt;0),G550/F550-1,"n.a.")</x:f>
        <x:v>0.163253198489673</x:v>
      </x:c>
      <x:c r="L550" s="15" t="n">
        <x:f>IF(AND(N550,ISNUMBER(H550),ISNUMBER(I550),H550&gt;0),I550/H550-1,"n.a.")</x:f>
        <x:v>0.091289089001507</x:v>
      </x:c>
      <x:c r="M550" s="20" t="n">
        <x:f>IF(AND(ISNUMBER(K550),ISNUMBER(L550)),100*(K550-L550),"n.a.")</x:f>
        <x:v>7.196410948816601</x:v>
      </x:c>
      <x:c r="N550" s="13" t="b">
        <x:v>1</x:v>
      </x:c>
      <x:c r="O550" s="13" t="b">
        <x:v>1</x:v>
      </x:c>
      <x:c r="P550" s="13" t="b">
        <x:v>0</x:v>
      </x:c>
      <x:c r="Q550" s="2" t="str">
        <x:v>none</x:v>
      </x:c>
      <x:c r="R550" s="2" t="str">
        <x:v>none</x:v>
      </x:c>
      <x:c r="S550" s="2" t="str">
        <x:v>nominal Q4 source model estimate</x:v>
      </x:c>
      <x:c r="T550" s="2" t="str">
        <x:v>nominal Q4 source model estimate</x:v>
      </x:c>
      <x:c r="U550" s="2" t="str">
        <x:v>GFA growth versus source physical quantity growth; constant conversion required for equality</x:v>
      </x:c>
      <x:c r="V550" s="2" t="str">
        <x:v>2020 level is the model anchor; 2023 comparator unused by v16 fit but shares conversion/upstream lineage</x:v>
      </x:c>
      <x:c r="W550" s="2" t="str">
        <x:v>https://arxiv.org/abs/2511.12104</x:v>
      </x:c>
    </x:row>
    <x:row r="551" ht="23" customHeight="1">
      <x:c r="A551" s="2" t="str">
        <x:v>SLB</x:v>
      </x:c>
      <x:c r="B551" s="2" t="str">
        <x:v>Solomon Islands</x:v>
      </x:c>
      <x:c r="C551" s="2" t="str">
        <x:v>TEMPO_VOLUME</x:v>
      </x:c>
      <x:c r="D551" s="2" t="n">
        <x:v>2020</x:v>
      </x:c>
      <x:c r="E551" s="2" t="n">
        <x:v>2023</x:v>
      </x:c>
      <x:c r="F551" s="17" t="n">
        <x:v>14438629.189999975</x:v>
      </x:c>
      <x:c r="G551" s="17" t="n">
        <x:v>16306252.212643614</x:v>
      </x:c>
      <x:c r="H551" s="17" t="n">
        <x:v>31183494.28</x:v>
      </x:c>
      <x:c r="I551" s="17" t="n">
        <x:v>31539985.23</x:v>
      </x:c>
      <x:c r="J551" s="2" t="str">
        <x:v>m3</x:v>
      </x:c>
      <x:c r="K551" s="15" t="n">
        <x:f>IF(AND(ISNUMBER(F551),ISNUMBER(G551),F551&gt;0),G551/F551-1,"n.a.")</x:f>
        <x:v>0.12934905371329375</x:v>
      </x:c>
      <x:c r="L551" s="15" t="n">
        <x:f>IF(AND(N551,ISNUMBER(H551),ISNUMBER(I551),H551&gt;0),I551/H551-1,"n.a.")</x:f>
        <x:v>0.011432039873371158</x:v>
      </x:c>
      <x:c r="M551" s="20" t="n">
        <x:f>IF(AND(ISNUMBER(K551),ISNUMBER(L551)),100*(K551-L551),"n.a.")</x:f>
        <x:v>11.791701383992258</x:v>
      </x:c>
      <x:c r="N551" s="13" t="b">
        <x:v>1</x:v>
      </x:c>
      <x:c r="O551" s="13" t="b">
        <x:v>1</x:v>
      </x:c>
      <x:c r="P551" s="13" t="b">
        <x:v>0</x:v>
      </x:c>
      <x:c r="Q551" s="2" t="str">
        <x:v>none</x:v>
      </x:c>
      <x:c r="R551" s="2" t="str">
        <x:v>none</x:v>
      </x:c>
      <x:c r="S551" s="2" t="str">
        <x:v>nominal Q4 source model estimate</x:v>
      </x:c>
      <x:c r="T551" s="2" t="str">
        <x:v>nominal Q4 source model estimate</x:v>
      </x:c>
      <x:c r="U551" s="2" t="str">
        <x:v>GFA growth versus source physical quantity growth; constant conversion required for equality</x:v>
      </x:c>
      <x:c r="V551" s="2" t="str">
        <x:v>2020 level is the model anchor; 2023 comparator unused by v16 fit but shares conversion/upstream lineage</x:v>
      </x:c>
      <x:c r="W551" s="2" t="str">
        <x:v>https://arxiv.org/abs/2511.12104</x:v>
      </x:c>
    </x:row>
    <x:row r="552" ht="23" customHeight="1">
      <x:c r="A552" s="2" t="str">
        <x:v>SLE</x:v>
      </x:c>
      <x:c r="B552" s="2" t="str">
        <x:v>Sierra Leone (Republic of)</x:v>
      </x:c>
      <x:c r="C552" s="2" t="str">
        <x:v>TEMPO_VOLUME</x:v>
      </x:c>
      <x:c r="D552" s="2" t="n">
        <x:v>2020</x:v>
      </x:c>
      <x:c r="E552" s="2" t="n">
        <x:v>2023</x:v>
      </x:c>
      <x:c r="F552" s="17" t="n">
        <x:v>115259924.94999996</x:v>
      </x:c>
      <x:c r="G552" s="17" t="n">
        <x:v>129856241.15136361</x:v>
      </x:c>
      <x:c r="H552" s="17" t="n">
        <x:v>263814967.69</x:v>
      </x:c>
      <x:c r="I552" s="17" t="n">
        <x:v>275133546.77</x:v>
      </x:c>
      <x:c r="J552" s="2" t="str">
        <x:v>m3</x:v>
      </x:c>
      <x:c r="K552" s="15" t="n">
        <x:f>IF(AND(ISNUMBER(F552),ISNUMBER(G552),F552&gt;0),G552/F552-1,"n.a.")</x:f>
        <x:v>0.12663825876769885</x:v>
      </x:c>
      <x:c r="L552" s="15" t="n">
        <x:f>IF(AND(N552,ISNUMBER(H552),ISNUMBER(I552),H552&gt;0),I552/H552-1,"n.a.")</x:f>
        <x:v>0.04290347579254883</x:v>
      </x:c>
      <x:c r="M552" s="20" t="n">
        <x:f>IF(AND(ISNUMBER(K552),ISNUMBER(L552)),100*(K552-L552),"n.a.")</x:f>
        <x:v>8.373478297515003</x:v>
      </x:c>
      <x:c r="N552" s="13" t="b">
        <x:v>1</x:v>
      </x:c>
      <x:c r="O552" s="13" t="b">
        <x:v>1</x:v>
      </x:c>
      <x:c r="P552" s="13" t="b">
        <x:v>0</x:v>
      </x:c>
      <x:c r="Q552" s="2" t="str">
        <x:v>none</x:v>
      </x:c>
      <x:c r="R552" s="2" t="str">
        <x:v>none</x:v>
      </x:c>
      <x:c r="S552" s="2" t="str">
        <x:v>nominal Q4 source model estimate</x:v>
      </x:c>
      <x:c r="T552" s="2" t="str">
        <x:v>nominal Q4 source model estimate</x:v>
      </x:c>
      <x:c r="U552" s="2" t="str">
        <x:v>GFA growth versus source physical quantity growth; constant conversion required for equality</x:v>
      </x:c>
      <x:c r="V552" s="2" t="str">
        <x:v>2020 level is the model anchor; 2023 comparator unused by v16 fit but shares conversion/upstream lineage</x:v>
      </x:c>
      <x:c r="W552" s="2" t="str">
        <x:v>https://arxiv.org/abs/2511.12104</x:v>
      </x:c>
    </x:row>
    <x:row r="553" ht="23" customHeight="1">
      <x:c r="A553" s="2" t="str">
        <x:v>SLV</x:v>
      </x:c>
      <x:c r="B553" s="2" t="str">
        <x:v>El Salvador (Republic of)</x:v>
      </x:c>
      <x:c r="C553" s="2" t="str">
        <x:v>TEMPO_VOLUME</x:v>
      </x:c>
      <x:c r="D553" s="2" t="n">
        <x:v>2020</x:v>
      </x:c>
      <x:c r="E553" s="2" t="n">
        <x:v>2023</x:v>
      </x:c>
      <x:c r="F553" s="17" t="n">
        <x:v>245414047.01000017</x:v>
      </x:c>
      <x:c r="G553" s="17" t="n">
        <x:v>261024429.91522917</x:v>
      </x:c>
      <x:c r="H553" s="17" t="n">
        <x:v>631828141.43</x:v>
      </x:c>
      <x:c r="I553" s="17" t="n">
        <x:v>664245881.51</x:v>
      </x:c>
      <x:c r="J553" s="2" t="str">
        <x:v>m3</x:v>
      </x:c>
      <x:c r="K553" s="15" t="n">
        <x:f>IF(AND(ISNUMBER(F553),ISNUMBER(G553),F553&gt;0),G553/F553-1,"n.a.")</x:f>
        <x:v>0.0636083512554313</x:v>
      </x:c>
      <x:c r="L553" s="15" t="n">
        <x:f>IF(AND(N553,ISNUMBER(H553),ISNUMBER(I553),H553&gt;0),I553/H553-1,"n.a.")</x:f>
        <x:v>0.05130784457721349</x:v>
      </x:c>
      <x:c r="M553" s="20" t="n">
        <x:f>IF(AND(ISNUMBER(K553),ISNUMBER(L553)),100*(K553-L553),"n.a.")</x:f>
        <x:v>1.2300506678217804</x:v>
      </x:c>
      <x:c r="N553" s="13" t="b">
        <x:v>1</x:v>
      </x:c>
      <x:c r="O553" s="13" t="b">
        <x:v>1</x:v>
      </x:c>
      <x:c r="P553" s="13" t="b">
        <x:v>0</x:v>
      </x:c>
      <x:c r="Q553" s="2" t="str">
        <x:v>none</x:v>
      </x:c>
      <x:c r="R553" s="2" t="str">
        <x:v>none</x:v>
      </x:c>
      <x:c r="S553" s="2" t="str">
        <x:v>nominal Q4 source model estimate</x:v>
      </x:c>
      <x:c r="T553" s="2" t="str">
        <x:v>nominal Q4 source model estimate</x:v>
      </x:c>
      <x:c r="U553" s="2" t="str">
        <x:v>GFA growth versus source physical quantity growth; constant conversion required for equality</x:v>
      </x:c>
      <x:c r="V553" s="2" t="str">
        <x:v>2020 level is the model anchor; 2023 comparator unused by v16 fit but shares conversion/upstream lineage</x:v>
      </x:c>
      <x:c r="W553" s="2" t="str">
        <x:v>https://arxiv.org/abs/2511.12104</x:v>
      </x:c>
    </x:row>
    <x:row r="554" ht="23" customHeight="1">
      <x:c r="A554" s="2" t="str">
        <x:v>SMR</x:v>
      </x:c>
      <x:c r="B554" s="2" t="str">
        <x:v>San Marino (Republic of)</x:v>
      </x:c>
      <x:c r="C554" s="2" t="str">
        <x:v>TEMPO_VOLUME</x:v>
      </x:c>
      <x:c r="D554" s="2" t="n">
        <x:v>2020</x:v>
      </x:c>
      <x:c r="E554" s="2" t="n">
        <x:v>2023</x:v>
      </x:c>
      <x:c r="F554" s="17" t="n">
        <x:v>3030681.630000002</x:v>
      </x:c>
      <x:c r="G554" s="17" t="n">
        <x:v>3250655.826220989</x:v>
      </x:c>
      <x:c r="H554" s="17" t="n">
        <x:v>11134636.62</x:v>
      </x:c>
      <x:c r="I554" s="17" t="n">
        <x:v>11790305.88</x:v>
      </x:c>
      <x:c r="J554" s="2" t="str">
        <x:v>m3</x:v>
      </x:c>
      <x:c r="K554" s="15" t="n">
        <x:f>IF(AND(ISNUMBER(F554),ISNUMBER(G554),F554&gt;0),G554/F554-1,"n.a.")</x:f>
        <x:v>0.07258241645823649</x:v>
      </x:c>
      <x:c r="L554" s="15" t="n">
        <x:f>IF(AND(N554,ISNUMBER(H554),ISNUMBER(I554),H554&gt;0),I554/H554-1,"n.a.")</x:f>
        <x:v>0.05888555526116512</x:v>
      </x:c>
      <x:c r="M554" s="20" t="n">
        <x:f>IF(AND(ISNUMBER(K554),ISNUMBER(L554)),100*(K554-L554),"n.a.")</x:f>
        <x:v>1.3696861197071364</x:v>
      </x:c>
      <x:c r="N554" s="13" t="b">
        <x:v>1</x:v>
      </x:c>
      <x:c r="O554" s="13" t="b">
        <x:v>1</x:v>
      </x:c>
      <x:c r="P554" s="13" t="b">
        <x:v>0</x:v>
      </x:c>
      <x:c r="Q554" s="2" t="str">
        <x:v>none</x:v>
      </x:c>
      <x:c r="R554" s="2" t="str">
        <x:v>none</x:v>
      </x:c>
      <x:c r="S554" s="2" t="str">
        <x:v>nominal Q4 source model estimate</x:v>
      </x:c>
      <x:c r="T554" s="2" t="str">
        <x:v>nominal Q4 source model estimate</x:v>
      </x:c>
      <x:c r="U554" s="2" t="str">
        <x:v>GFA growth versus source physical quantity growth; constant conversion required for equality</x:v>
      </x:c>
      <x:c r="V554" s="2" t="str">
        <x:v>2020 level is the model anchor; 2023 comparator unused by v16 fit but shares conversion/upstream lineage</x:v>
      </x:c>
      <x:c r="W554" s="2" t="str">
        <x:v>https://arxiv.org/abs/2511.12104</x:v>
      </x:c>
    </x:row>
    <x:row r="555" ht="23" customHeight="1">
      <x:c r="A555" s="2" t="str">
        <x:v>SOM</x:v>
      </x:c>
      <x:c r="B555" s="2" t="str">
        <x:v>Somalia (Federal Republic of)</x:v>
      </x:c>
      <x:c r="C555" s="2" t="str">
        <x:v>TEMPO_VOLUME</x:v>
      </x:c>
      <x:c r="D555" s="2" t="n">
        <x:v>2020</x:v>
      </x:c>
      <x:c r="E555" s="2" t="n">
        <x:v>2023</x:v>
      </x:c>
      <x:c r="F555" s="17" t="n">
        <x:v>134848326.33000013</x:v>
      </x:c>
      <x:c r="G555" s="17" t="n">
        <x:v>159520140.05612206</x:v>
      </x:c>
      <x:c r="H555" s="17" t="n">
        <x:v>331358808.1</x:v>
      </x:c>
      <x:c r="I555" s="17" t="n">
        <x:v>362935785.08</x:v>
      </x:c>
      <x:c r="J555" s="2" t="str">
        <x:v>m3</x:v>
      </x:c>
      <x:c r="K555" s="15" t="n">
        <x:f>IF(AND(ISNUMBER(F555),ISNUMBER(G555),F555&gt;0),G555/F555-1,"n.a.")</x:f>
        <x:v>0.18295973259427178</x:v>
      </x:c>
      <x:c r="L555" s="15" t="n">
        <x:f>IF(AND(N555,ISNUMBER(H555),ISNUMBER(I555),H555&gt;0),I555/H555-1,"n.a.")</x:f>
        <x:v>0.09529542057765505</x:v>
      </x:c>
      <x:c r="M555" s="20" t="n">
        <x:f>IF(AND(ISNUMBER(K555),ISNUMBER(L555)),100*(K555-L555),"n.a.")</x:f>
        <x:v>8.766431201661673</x:v>
      </x:c>
      <x:c r="N555" s="13" t="b">
        <x:v>1</x:v>
      </x:c>
      <x:c r="O555" s="13" t="b">
        <x:v>1</x:v>
      </x:c>
      <x:c r="P555" s="13" t="b">
        <x:v>0</x:v>
      </x:c>
      <x:c r="Q555" s="2" t="str">
        <x:v>none</x:v>
      </x:c>
      <x:c r="R555" s="2" t="str">
        <x:v>none</x:v>
      </x:c>
      <x:c r="S555" s="2" t="str">
        <x:v>nominal Q4 source model estimate</x:v>
      </x:c>
      <x:c r="T555" s="2" t="str">
        <x:v>nominal Q4 source model estimate</x:v>
      </x:c>
      <x:c r="U555" s="2" t="str">
        <x:v>GFA growth versus source physical quantity growth; constant conversion required for equality</x:v>
      </x:c>
      <x:c r="V555" s="2" t="str">
        <x:v>2020 level is the model anchor; 2023 comparator unused by v16 fit but shares conversion/upstream lineage</x:v>
      </x:c>
      <x:c r="W555" s="2" t="str">
        <x:v>https://arxiv.org/abs/2511.12104</x:v>
      </x:c>
    </x:row>
    <x:row r="556" ht="23" customHeight="1">
      <x:c r="A556" s="2" t="str">
        <x:v>SRB</x:v>
      </x:c>
      <x:c r="B556" s="2" t="str">
        <x:v>Serbia (Republic of)</x:v>
      </x:c>
      <x:c r="C556" s="2" t="str">
        <x:v>TEMPO_VOLUME</x:v>
      </x:c>
      <x:c r="D556" s="2" t="n">
        <x:v>2020</x:v>
      </x:c>
      <x:c r="E556" s="2" t="n">
        <x:v>2023</x:v>
      </x:c>
      <x:c r="F556" s="17" t="n">
        <x:v>584520286.2100008</x:v>
      </x:c>
      <x:c r="G556" s="17" t="n">
        <x:v>594802444.5711257</x:v>
      </x:c>
      <x:c r="H556" s="17" t="n">
        <x:v>1624429543.81</x:v>
      </x:c>
      <x:c r="I556" s="17" t="n">
        <x:v>1696921782.24</x:v>
      </x:c>
      <x:c r="J556" s="2" t="str">
        <x:v>m3</x:v>
      </x:c>
      <x:c r="K556" s="15" t="n">
        <x:f>IF(AND(ISNUMBER(F556),ISNUMBER(G556),F556&gt;0),G556/F556-1,"n.a.")</x:f>
        <x:v>0.017590763919921315</x:v>
      </x:c>
      <x:c r="L556" s="15" t="n">
        <x:f>IF(AND(N556,ISNUMBER(H556),ISNUMBER(I556),H556&gt;0),I556/H556-1,"n.a.")</x:f>
        <x:v>0.04462627431656663</x:v>
      </x:c>
      <x:c r="M556" s="20" t="n">
        <x:f>IF(AND(ISNUMBER(K556),ISNUMBER(L556)),100*(K556-L556),"n.a.")</x:f>
        <x:v>-2.7035510396645313</x:v>
      </x:c>
      <x:c r="N556" s="13" t="b">
        <x:v>1</x:v>
      </x:c>
      <x:c r="O556" s="13" t="b">
        <x:v>1</x:v>
      </x:c>
      <x:c r="P556" s="13" t="b">
        <x:v>0</x:v>
      </x:c>
      <x:c r="Q556" s="2" t="str">
        <x:v>none</x:v>
      </x:c>
      <x:c r="R556" s="2" t="str">
        <x:v>none</x:v>
      </x:c>
      <x:c r="S556" s="2" t="str">
        <x:v>nominal Q4 source model estimate</x:v>
      </x:c>
      <x:c r="T556" s="2" t="str">
        <x:v>nominal Q4 source model estimate</x:v>
      </x:c>
      <x:c r="U556" s="2" t="str">
        <x:v>GFA growth versus source physical quantity growth; constant conversion required for equality</x:v>
      </x:c>
      <x:c r="V556" s="2" t="str">
        <x:v>2020 level is the model anchor; 2023 comparator unused by v16 fit but shares conversion/upstream lineage</x:v>
      </x:c>
      <x:c r="W556" s="2" t="str">
        <x:v>https://arxiv.org/abs/2511.12104</x:v>
      </x:c>
    </x:row>
    <x:row r="557" ht="23" customHeight="1">
      <x:c r="A557" s="2" t="str">
        <x:v>SSD</x:v>
      </x:c>
      <x:c r="B557" s="2" t="str">
        <x:v>South Sudan (Republic of)</x:v>
      </x:c>
      <x:c r="C557" s="2" t="str">
        <x:v>TEMPO_VOLUME</x:v>
      </x:c>
      <x:c r="D557" s="2" t="n">
        <x:v>2020</x:v>
      </x:c>
      <x:c r="E557" s="2" t="n">
        <x:v>2023</x:v>
      </x:c>
      <x:c r="F557" s="17" t="n">
        <x:v>82483216.59000005</x:v>
      </x:c>
      <x:c r="G557" s="17" t="n">
        <x:v>92690983.58884174</x:v>
      </x:c>
      <x:c r="H557" s="17" t="n">
        <x:v>148470921.36</x:v>
      </x:c>
      <x:c r="I557" s="17" t="n">
        <x:v>163016137.47</x:v>
      </x:c>
      <x:c r="J557" s="2" t="str">
        <x:v>m3</x:v>
      </x:c>
      <x:c r="K557" s="15" t="n">
        <x:f>IF(AND(ISNUMBER(F557),ISNUMBER(G557),F557&gt;0),G557/F557-1,"n.a.")</x:f>
        <x:v>0.12375568534846937</x:v>
      </x:c>
      <x:c r="L557" s="15" t="n">
        <x:f>IF(AND(N557,ISNUMBER(H557),ISNUMBER(I557),H557&gt;0),I557/H557-1,"n.a.")</x:f>
        <x:v>0.09796676666895565</x:v>
      </x:c>
      <x:c r="M557" s="20" t="n">
        <x:f>IF(AND(ISNUMBER(K557),ISNUMBER(L557)),100*(K557-L557),"n.a.")</x:f>
        <x:v>2.5788918679513717</x:v>
      </x:c>
      <x:c r="N557" s="13" t="b">
        <x:v>1</x:v>
      </x:c>
      <x:c r="O557" s="13" t="b">
        <x:v>1</x:v>
      </x:c>
      <x:c r="P557" s="13" t="b">
        <x:v>0</x:v>
      </x:c>
      <x:c r="Q557" s="2" t="str">
        <x:v>none</x:v>
      </x:c>
      <x:c r="R557" s="2" t="str">
        <x:v>none</x:v>
      </x:c>
      <x:c r="S557" s="2" t="str">
        <x:v>nominal Q4 source model estimate</x:v>
      </x:c>
      <x:c r="T557" s="2" t="str">
        <x:v>nominal Q4 source model estimate</x:v>
      </x:c>
      <x:c r="U557" s="2" t="str">
        <x:v>GFA growth versus source physical quantity growth; constant conversion required for equality</x:v>
      </x:c>
      <x:c r="V557" s="2" t="str">
        <x:v>2020 level is the model anchor; 2023 comparator unused by v16 fit but shares conversion/upstream lineage</x:v>
      </x:c>
      <x:c r="W557" s="2" t="str">
        <x:v>https://arxiv.org/abs/2511.12104</x:v>
      </x:c>
    </x:row>
    <x:row r="558" ht="23" customHeight="1">
      <x:c r="A558" s="2" t="str">
        <x:v>STP</x:v>
      </x:c>
      <x:c r="B558" s="2" t="str">
        <x:v>Sao Tome and Principe (Democratic Republic of)</x:v>
      </x:c>
      <x:c r="C558" s="2" t="str">
        <x:v>TEMPO_VOLUME</x:v>
      </x:c>
      <x:c r="D558" s="2" t="n">
        <x:v>2020</x:v>
      </x:c>
      <x:c r="E558" s="2" t="n">
        <x:v>2023</x:v>
      </x:c>
      <x:c r="F558" s="17" t="n">
        <x:v>6153544.550000003</x:v>
      </x:c>
      <x:c r="G558" s="17" t="n">
        <x:v>6818483.323616166</x:v>
      </x:c>
      <x:c r="H558" s="17" t="n">
        <x:v>14559413.82</x:v>
      </x:c>
      <x:c r="I558" s="17" t="n">
        <x:v>14343747.77</x:v>
      </x:c>
      <x:c r="J558" s="2" t="str">
        <x:v>m3</x:v>
      </x:c>
      <x:c r="K558" s="15" t="n">
        <x:f>IF(AND(ISNUMBER(F558),ISNUMBER(G558),F558&gt;0),G558/F558-1,"n.a.")</x:f>
        <x:v>0.10805784669522911</x:v>
      </x:c>
      <x:c r="L558" s="15" t="n">
        <x:f>IF(AND(N558,ISNUMBER(H558),ISNUMBER(I558),H558&gt;0),I558/H558-1,"n.a.")</x:f>
        <x:v>-0.014812825067431201</x:v>
      </x:c>
      <x:c r="M558" s="20" t="n">
        <x:f>IF(AND(ISNUMBER(K558),ISNUMBER(L558)),100*(K558-L558),"n.a.")</x:f>
        <x:v>12.287067176266032</x:v>
      </x:c>
      <x:c r="N558" s="13" t="b">
        <x:v>1</x:v>
      </x:c>
      <x:c r="O558" s="13" t="b">
        <x:v>1</x:v>
      </x:c>
      <x:c r="P558" s="13" t="b">
        <x:v>0</x:v>
      </x:c>
      <x:c r="Q558" s="2" t="str">
        <x:v>none</x:v>
      </x:c>
      <x:c r="R558" s="2" t="str">
        <x:v>none</x:v>
      </x:c>
      <x:c r="S558" s="2" t="str">
        <x:v>nominal Q4 source model estimate</x:v>
      </x:c>
      <x:c r="T558" s="2" t="str">
        <x:v>nominal Q4 source model estimate</x:v>
      </x:c>
      <x:c r="U558" s="2" t="str">
        <x:v>GFA growth versus source physical quantity growth; constant conversion required for equality</x:v>
      </x:c>
      <x:c r="V558" s="2" t="str">
        <x:v>2020 level is the model anchor; 2023 comparator unused by v16 fit but shares conversion/upstream lineage</x:v>
      </x:c>
      <x:c r="W558" s="2" t="str">
        <x:v>https://arxiv.org/abs/2511.12104</x:v>
      </x:c>
    </x:row>
    <x:row r="559" ht="23" customHeight="1">
      <x:c r="A559" s="2" t="str">
        <x:v>SUR</x:v>
      </x:c>
      <x:c r="B559" s="2" t="str">
        <x:v>Suriname (Republic of)</x:v>
      </x:c>
      <x:c r="C559" s="2" t="str">
        <x:v>TEMPO_VOLUME</x:v>
      </x:c>
      <x:c r="D559" s="2" t="n">
        <x:v>2020</x:v>
      </x:c>
      <x:c r="E559" s="2" t="n">
        <x:v>2023</x:v>
      </x:c>
      <x:c r="F559" s="17" t="n">
        <x:v>50598825.22000002</x:v>
      </x:c>
      <x:c r="G559" s="17" t="n">
        <x:v>53172347.76025656</x:v>
      </x:c>
      <x:c r="H559" s="17" t="n">
        <x:v>123470788.4</x:v>
      </x:c>
      <x:c r="I559" s="17" t="n">
        <x:v>126195352.21</x:v>
      </x:c>
      <x:c r="J559" s="2" t="str">
        <x:v>m3</x:v>
      </x:c>
      <x:c r="K559" s="15" t="n">
        <x:f>IF(AND(ISNUMBER(F559),ISNUMBER(G559),F559&gt;0),G559/F559-1,"n.a.")</x:f>
        <x:v>0.050861310100917434</x:v>
      </x:c>
      <x:c r="L559" s="15" t="n">
        <x:f>IF(AND(N559,ISNUMBER(H559),ISNUMBER(I559),H559&gt;0),I559/H559-1,"n.a.")</x:f>
        <x:v>0.02206646483193575</x:v>
      </x:c>
      <x:c r="M559" s="20" t="n">
        <x:f>IF(AND(ISNUMBER(K559),ISNUMBER(L559)),100*(K559-L559),"n.a.")</x:f>
        <x:v>2.8794845268981684</x:v>
      </x:c>
      <x:c r="N559" s="13" t="b">
        <x:v>1</x:v>
      </x:c>
      <x:c r="O559" s="13" t="b">
        <x:v>1</x:v>
      </x:c>
      <x:c r="P559" s="13" t="b">
        <x:v>0</x:v>
      </x:c>
      <x:c r="Q559" s="2" t="str">
        <x:v>none</x:v>
      </x:c>
      <x:c r="R559" s="2" t="str">
        <x:v>none</x:v>
      </x:c>
      <x:c r="S559" s="2" t="str">
        <x:v>nominal Q4 source model estimate</x:v>
      </x:c>
      <x:c r="T559" s="2" t="str">
        <x:v>nominal Q4 source model estimate</x:v>
      </x:c>
      <x:c r="U559" s="2" t="str">
        <x:v>GFA growth versus source physical quantity growth; constant conversion required for equality</x:v>
      </x:c>
      <x:c r="V559" s="2" t="str">
        <x:v>2020 level is the model anchor; 2023 comparator unused by v16 fit but shares conversion/upstream lineage</x:v>
      </x:c>
      <x:c r="W559" s="2" t="str">
        <x:v>https://arxiv.org/abs/2511.12104</x:v>
      </x:c>
    </x:row>
    <x:row r="560" ht="23" customHeight="1">
      <x:c r="A560" s="2" t="str">
        <x:v>SVK</x:v>
      </x:c>
      <x:c r="B560" s="2" t="str">
        <x:v>Slovakia (Slovak Republic)</x:v>
      </x:c>
      <x:c r="C560" s="2" t="str">
        <x:v>TEMPO_VOLUME</x:v>
      </x:c>
      <x:c r="D560" s="2" t="n">
        <x:v>2020</x:v>
      </x:c>
      <x:c r="E560" s="2" t="n">
        <x:v>2023</x:v>
      </x:c>
      <x:c r="F560" s="17" t="n">
        <x:v>391189188.0500002</x:v>
      </x:c>
      <x:c r="G560" s="17" t="n">
        <x:v>412340398.81688684</x:v>
      </x:c>
      <x:c r="H560" s="17" t="n">
        <x:v>1319069234.46</x:v>
      </x:c>
      <x:c r="I560" s="17" t="n">
        <x:v>1430406326.74</x:v>
      </x:c>
      <x:c r="J560" s="2" t="str">
        <x:v>m3</x:v>
      </x:c>
      <x:c r="K560" s="15" t="n">
        <x:f>IF(AND(ISNUMBER(F560),ISNUMBER(G560),F560&gt;0),G560/F560-1,"n.a.")</x:f>
        <x:v>0.05406900653957547</x:v>
      </x:c>
      <x:c r="L560" s="15" t="n">
        <x:f>IF(AND(N560,ISNUMBER(H560),ISNUMBER(I560),H560&gt;0),I560/H560-1,"n.a.")</x:f>
        <x:v>0.08440579870364351</x:v>
      </x:c>
      <x:c r="M560" s="20" t="n">
        <x:f>IF(AND(ISNUMBER(K560),ISNUMBER(L560)),100*(K560-L560),"n.a.")</x:f>
        <x:v>-3.033679216406804</x:v>
      </x:c>
      <x:c r="N560" s="13" t="b">
        <x:v>1</x:v>
      </x:c>
      <x:c r="O560" s="13" t="b">
        <x:v>1</x:v>
      </x:c>
      <x:c r="P560" s="13" t="b">
        <x:v>0</x:v>
      </x:c>
      <x:c r="Q560" s="2" t="str">
        <x:v>none</x:v>
      </x:c>
      <x:c r="R560" s="2" t="str">
        <x:v>none</x:v>
      </x:c>
      <x:c r="S560" s="2" t="str">
        <x:v>nominal Q4 source model estimate</x:v>
      </x:c>
      <x:c r="T560" s="2" t="str">
        <x:v>nominal Q4 source model estimate</x:v>
      </x:c>
      <x:c r="U560" s="2" t="str">
        <x:v>GFA growth versus source physical quantity growth; constant conversion required for equality</x:v>
      </x:c>
      <x:c r="V560" s="2" t="str">
        <x:v>2020 level is the model anchor; 2023 comparator unused by v16 fit but shares conversion/upstream lineage</x:v>
      </x:c>
      <x:c r="W560" s="2" t="str">
        <x:v>https://arxiv.org/abs/2511.12104</x:v>
      </x:c>
    </x:row>
    <x:row r="561" ht="23" customHeight="1">
      <x:c r="A561" s="2" t="str">
        <x:v>SVN</x:v>
      </x:c>
      <x:c r="B561" s="2" t="str">
        <x:v>Slovenia (Republic of)</x:v>
      </x:c>
      <x:c r="C561" s="2" t="str">
        <x:v>TEMPO_VOLUME</x:v>
      </x:c>
      <x:c r="D561" s="2" t="n">
        <x:v>2020</x:v>
      </x:c>
      <x:c r="E561" s="2" t="n">
        <x:v>2023</x:v>
      </x:c>
      <x:c r="F561" s="17" t="n">
        <x:v>188783306.59000015</x:v>
      </x:c>
      <x:c r="G561" s="17" t="n">
        <x:v>199590518.4316829</x:v>
      </x:c>
      <x:c r="H561" s="17" t="n">
        <x:v>574124262.4</x:v>
      </x:c>
      <x:c r="I561" s="17" t="n">
        <x:v>597215474.91</x:v>
      </x:c>
      <x:c r="J561" s="2" t="str">
        <x:v>m3</x:v>
      </x:c>
      <x:c r="K561" s="15" t="n">
        <x:f>IF(AND(ISNUMBER(F561),ISNUMBER(G561),F561&gt;0),G561/F561-1,"n.a.")</x:f>
        <x:v>0.05724664980656313</x:v>
      </x:c>
      <x:c r="L561" s="15" t="n">
        <x:f>IF(AND(N561,ISNUMBER(H561),ISNUMBER(I561),H561&gt;0),I561/H561-1,"n.a.")</x:f>
        <x:v>0.04021988622022743</x:v>
      </x:c>
      <x:c r="M561" s="20" t="n">
        <x:f>IF(AND(ISNUMBER(K561),ISNUMBER(L561)),100*(K561-L561),"n.a.")</x:f>
        <x:v>1.7026763586335703</x:v>
      </x:c>
      <x:c r="N561" s="13" t="b">
        <x:v>1</x:v>
      </x:c>
      <x:c r="O561" s="13" t="b">
        <x:v>1</x:v>
      </x:c>
      <x:c r="P561" s="13" t="b">
        <x:v>0</x:v>
      </x:c>
      <x:c r="Q561" s="2" t="str">
        <x:v>none</x:v>
      </x:c>
      <x:c r="R561" s="2" t="str">
        <x:v>none</x:v>
      </x:c>
      <x:c r="S561" s="2" t="str">
        <x:v>nominal Q4 source model estimate</x:v>
      </x:c>
      <x:c r="T561" s="2" t="str">
        <x:v>nominal Q4 source model estimate</x:v>
      </x:c>
      <x:c r="U561" s="2" t="str">
        <x:v>GFA growth versus source physical quantity growth; constant conversion required for equality</x:v>
      </x:c>
      <x:c r="V561" s="2" t="str">
        <x:v>2020 level is the model anchor; 2023 comparator unused by v16 fit but shares conversion/upstream lineage</x:v>
      </x:c>
      <x:c r="W561" s="2" t="str">
        <x:v>https://arxiv.org/abs/2511.12104</x:v>
      </x:c>
    </x:row>
    <x:row r="562" ht="23" customHeight="1">
      <x:c r="A562" s="2" t="str">
        <x:v>SWE</x:v>
      </x:c>
      <x:c r="B562" s="2" t="str">
        <x:v>Sweden (Kingdom of)</x:v>
      </x:c>
      <x:c r="C562" s="2" t="str">
        <x:v>TEMPO_VOLUME</x:v>
      </x:c>
      <x:c r="D562" s="2" t="n">
        <x:v>2020</x:v>
      </x:c>
      <x:c r="E562" s="2" t="n">
        <x:v>2023</x:v>
      </x:c>
      <x:c r="F562" s="17" t="n">
        <x:v>860750073.0500002</x:v>
      </x:c>
      <x:c r="G562" s="17" t="n">
        <x:v>964341597.2007422</x:v>
      </x:c>
      <x:c r="H562" s="17" t="n">
        <x:v>2899426313.02</x:v>
      </x:c>
      <x:c r="I562" s="17" t="n">
        <x:v>3181071352.55</x:v>
      </x:c>
      <x:c r="J562" s="2" t="str">
        <x:v>m3</x:v>
      </x:c>
      <x:c r="K562" s="15" t="n">
        <x:f>IF(AND(ISNUMBER(F562),ISNUMBER(G562),F562&gt;0),G562/F562-1,"n.a.")</x:f>
        <x:v>0.12035029376607964</x:v>
      </x:c>
      <x:c r="L562" s="15" t="n">
        <x:f>IF(AND(N562,ISNUMBER(H562),ISNUMBER(I562),H562&gt;0),I562/H562-1,"n.a.")</x:f>
        <x:v>0.09713819532686885</x:v>
      </x:c>
      <x:c r="M562" s="20" t="n">
        <x:f>IF(AND(ISNUMBER(K562),ISNUMBER(L562)),100*(K562-L562),"n.a.")</x:f>
        <x:v>2.3212098439210793</x:v>
      </x:c>
      <x:c r="N562" s="13" t="b">
        <x:v>1</x:v>
      </x:c>
      <x:c r="O562" s="13" t="b">
        <x:v>1</x:v>
      </x:c>
      <x:c r="P562" s="13" t="b">
        <x:v>0</x:v>
      </x:c>
      <x:c r="Q562" s="2" t="str">
        <x:v>none</x:v>
      </x:c>
      <x:c r="R562" s="2" t="str">
        <x:v>none</x:v>
      </x:c>
      <x:c r="S562" s="2" t="str">
        <x:v>nominal Q4 source model estimate</x:v>
      </x:c>
      <x:c r="T562" s="2" t="str">
        <x:v>nominal Q4 source model estimate</x:v>
      </x:c>
      <x:c r="U562" s="2" t="str">
        <x:v>GFA growth versus source physical quantity growth; constant conversion required for equality</x:v>
      </x:c>
      <x:c r="V562" s="2" t="str">
        <x:v>2020 level is the model anchor; 2023 comparator unused by v16 fit but shares conversion/upstream lineage</x:v>
      </x:c>
      <x:c r="W562" s="2" t="str">
        <x:v>https://arxiv.org/abs/2511.12104</x:v>
      </x:c>
    </x:row>
    <x:row r="563" ht="23" customHeight="1">
      <x:c r="A563" s="2" t="str">
        <x:v>SWZ</x:v>
      </x:c>
      <x:c r="B563" s="2" t="str">
        <x:v>Eswatini (Kingdom of)</x:v>
      </x:c>
      <x:c r="C563" s="2" t="str">
        <x:v>TEMPO_VOLUME</x:v>
      </x:c>
      <x:c r="D563" s="2" t="n">
        <x:v>2020</x:v>
      </x:c>
      <x:c r="E563" s="2" t="n">
        <x:v>2023</x:v>
      </x:c>
      <x:c r="F563" s="17" t="n">
        <x:v>51228621.629999995</x:v>
      </x:c>
      <x:c r="G563" s="17" t="n">
        <x:v>53055083.172159255</x:v>
      </x:c>
      <x:c r="H563" s="17" t="n">
        <x:v>93162362.79</x:v>
      </x:c>
      <x:c r="I563" s="17" t="n">
        <x:v>101326298.04</x:v>
      </x:c>
      <x:c r="J563" s="2" t="str">
        <x:v>m3</x:v>
      </x:c>
      <x:c r="K563" s="15" t="n">
        <x:f>IF(AND(ISNUMBER(F563),ISNUMBER(G563),F563&gt;0),G563/F563-1,"n.a.")</x:f>
        <x:v>0.03565314630854055</x:v>
      </x:c>
      <x:c r="L563" s="15" t="n">
        <x:f>IF(AND(N563,ISNUMBER(H563),ISNUMBER(I563),H563&gt;0),I563/H563-1,"n.a.")</x:f>
        <x:v>0.0876312601517264</x:v>
      </x:c>
      <x:c r="M563" s="20" t="n">
        <x:f>IF(AND(ISNUMBER(K563),ISNUMBER(L563)),100*(K563-L563),"n.a.")</x:f>
        <x:v>-5.197811384318585</x:v>
      </x:c>
      <x:c r="N563" s="13" t="b">
        <x:v>1</x:v>
      </x:c>
      <x:c r="O563" s="13" t="b">
        <x:v>1</x:v>
      </x:c>
      <x:c r="P563" s="13" t="b">
        <x:v>0</x:v>
      </x:c>
      <x:c r="Q563" s="2" t="str">
        <x:v>none</x:v>
      </x:c>
      <x:c r="R563" s="2" t="str">
        <x:v>none</x:v>
      </x:c>
      <x:c r="S563" s="2" t="str">
        <x:v>nominal Q4 source model estimate</x:v>
      </x:c>
      <x:c r="T563" s="2" t="str">
        <x:v>nominal Q4 source model estimate</x:v>
      </x:c>
      <x:c r="U563" s="2" t="str">
        <x:v>GFA growth versus source physical quantity growth; constant conversion required for equality</x:v>
      </x:c>
      <x:c r="V563" s="2" t="str">
        <x:v>2020 level is the model anchor; 2023 comparator unused by v16 fit but shares conversion/upstream lineage</x:v>
      </x:c>
      <x:c r="W563" s="2" t="str">
        <x:v>https://arxiv.org/abs/2511.12104</x:v>
      </x:c>
    </x:row>
    <x:row r="564" ht="23" customHeight="1">
      <x:c r="A564" s="2" t="str">
        <x:v>SYC</x:v>
      </x:c>
      <x:c r="B564" s="2" t="str">
        <x:v>Seychelles (Republic of)</x:v>
      </x:c>
      <x:c r="C564" s="2" t="str">
        <x:v>TEMPO_VOLUME</x:v>
      </x:c>
      <x:c r="D564" s="2" t="n">
        <x:v>2020</x:v>
      </x:c>
      <x:c r="E564" s="2" t="n">
        <x:v>2023</x:v>
      </x:c>
      <x:c r="F564" s="17" t="n">
        <x:v>7317572.880000001</x:v>
      </x:c>
      <x:c r="G564" s="17" t="n">
        <x:v>8032324.393538225</x:v>
      </x:c>
      <x:c r="H564" s="17" t="n">
        <x:v>19512555.16</x:v>
      </x:c>
      <x:c r="I564" s="17" t="n">
        <x:v>19871470.3</x:v>
      </x:c>
      <x:c r="J564" s="2" t="str">
        <x:v>m3</x:v>
      </x:c>
      <x:c r="K564" s="15" t="n">
        <x:f>IF(AND(ISNUMBER(F564),ISNUMBER(G564),F564&gt;0),G564/F564-1,"n.a.")</x:f>
        <x:v>0.0976760362020781</x:v>
      </x:c>
      <x:c r="L564" s="15" t="n">
        <x:f>IF(AND(N564,ISNUMBER(H564),ISNUMBER(I564),H564&gt;0),I564/H564-1,"n.a.")</x:f>
        <x:v>0.018394061518696603</x:v>
      </x:c>
      <x:c r="M564" s="20" t="n">
        <x:f>IF(AND(ISNUMBER(K564),ISNUMBER(L564)),100*(K564-L564),"n.a.")</x:f>
        <x:v>7.9281974683381495</x:v>
      </x:c>
      <x:c r="N564" s="13" t="b">
        <x:v>1</x:v>
      </x:c>
      <x:c r="O564" s="13" t="b">
        <x:v>1</x:v>
      </x:c>
      <x:c r="P564" s="13" t="b">
        <x:v>0</x:v>
      </x:c>
      <x:c r="Q564" s="2" t="str">
        <x:v>none</x:v>
      </x:c>
      <x:c r="R564" s="2" t="str">
        <x:v>none</x:v>
      </x:c>
      <x:c r="S564" s="2" t="str">
        <x:v>nominal Q4 source model estimate</x:v>
      </x:c>
      <x:c r="T564" s="2" t="str">
        <x:v>nominal Q4 source model estimate</x:v>
      </x:c>
      <x:c r="U564" s="2" t="str">
        <x:v>GFA growth versus source physical quantity growth; constant conversion required for equality</x:v>
      </x:c>
      <x:c r="V564" s="2" t="str">
        <x:v>2020 level is the model anchor; 2023 comparator unused by v16 fit but shares conversion/upstream lineage</x:v>
      </x:c>
      <x:c r="W564" s="2" t="str">
        <x:v>https://arxiv.org/abs/2511.12104</x:v>
      </x:c>
    </x:row>
    <x:row r="565" ht="23" customHeight="1">
      <x:c r="A565" s="2" t="str">
        <x:v>SYR</x:v>
      </x:c>
      <x:c r="B565" s="2" t="str">
        <x:v>Syrian Arab Republic</x:v>
      </x:c>
      <x:c r="C565" s="2" t="str">
        <x:v>TEMPO_VOLUME</x:v>
      </x:c>
      <x:c r="D565" s="2" t="n">
        <x:v>2020</x:v>
      </x:c>
      <x:c r="E565" s="2" t="n">
        <x:v>2023</x:v>
      </x:c>
      <x:c r="F565" s="17" t="n">
        <x:v>795482211.65</x:v>
      </x:c>
      <x:c r="G565" s="17" t="n">
        <x:v>894113829.7998247</x:v>
      </x:c>
      <x:c r="H565" s="17" t="n">
        <x:v>2230810368.99</x:v>
      </x:c>
      <x:c r="I565" s="17" t="n">
        <x:v>2303909108.72</x:v>
      </x:c>
      <x:c r="J565" s="2" t="str">
        <x:v>m3</x:v>
      </x:c>
      <x:c r="K565" s="15" t="n">
        <x:f>IF(AND(ISNUMBER(F565),ISNUMBER(G565),F565&gt;0),G565/F565-1,"n.a.")</x:f>
        <x:v>0.12398972183833212</x:v>
      </x:c>
      <x:c r="L565" s="15" t="n">
        <x:f>IF(AND(N565,ISNUMBER(H565),ISNUMBER(I565),H565&gt;0),I565/H565-1,"n.a.")</x:f>
        <x:v>0.03276779628879689</x:v>
      </x:c>
      <x:c r="M565" s="20" t="n">
        <x:f>IF(AND(ISNUMBER(K565),ISNUMBER(L565)),100*(K565-L565),"n.a.")</x:f>
        <x:v>9.122192554953523</x:v>
      </x:c>
      <x:c r="N565" s="13" t="b">
        <x:v>1</x:v>
      </x:c>
      <x:c r="O565" s="13" t="b">
        <x:v>1</x:v>
      </x:c>
      <x:c r="P565" s="13" t="b">
        <x:v>0</x:v>
      </x:c>
      <x:c r="Q565" s="2" t="str">
        <x:v>none</x:v>
      </x:c>
      <x:c r="R565" s="2" t="str">
        <x:v>none</x:v>
      </x:c>
      <x:c r="S565" s="2" t="str">
        <x:v>nominal Q4 source model estimate</x:v>
      </x:c>
      <x:c r="T565" s="2" t="str">
        <x:v>nominal Q4 source model estimate</x:v>
      </x:c>
      <x:c r="U565" s="2" t="str">
        <x:v>GFA growth versus source physical quantity growth; constant conversion required for equality</x:v>
      </x:c>
      <x:c r="V565" s="2" t="str">
        <x:v>2020 level is the model anchor; 2023 comparator unused by v16 fit but shares conversion/upstream lineage</x:v>
      </x:c>
      <x:c r="W565" s="2" t="str">
        <x:v>https://arxiv.org/abs/2511.12104</x:v>
      </x:c>
    </x:row>
    <x:row r="566" ht="23" customHeight="1">
      <x:c r="A566" s="2" t="str">
        <x:v>TCD</x:v>
      </x:c>
      <x:c r="B566" s="2" t="str">
        <x:v>Chad (Republic of)</x:v>
      </x:c>
      <x:c r="C566" s="2" t="str">
        <x:v>TEMPO_VOLUME</x:v>
      </x:c>
      <x:c r="D566" s="2" t="n">
        <x:v>2020</x:v>
      </x:c>
      <x:c r="E566" s="2" t="n">
        <x:v>2023</x:v>
      </x:c>
      <x:c r="F566" s="17" t="n">
        <x:v>126450494.21999988</x:v>
      </x:c>
      <x:c r="G566" s="17" t="n">
        <x:v>144627097.09096757</x:v>
      </x:c>
      <x:c r="H566" s="17" t="n">
        <x:v>252413480.81</x:v>
      </x:c>
      <x:c r="I566" s="17" t="n">
        <x:v>282914402.74</x:v>
      </x:c>
      <x:c r="J566" s="2" t="str">
        <x:v>m3</x:v>
      </x:c>
      <x:c r="K566" s="15" t="n">
        <x:f>IF(AND(ISNUMBER(F566),ISNUMBER(G566),F566&gt;0),G566/F566-1,"n.a.")</x:f>
        <x:v>0.14374481478375123</x:v>
      </x:c>
      <x:c r="L566" s="15" t="n">
        <x:f>IF(AND(N566,ISNUMBER(H566),ISNUMBER(I566),H566&gt;0),I566/H566-1,"n.a.")</x:f>
        <x:v>0.12083713529135576</x:v>
      </x:c>
      <x:c r="M566" s="20" t="n">
        <x:f>IF(AND(ISNUMBER(K566),ISNUMBER(L566)),100*(K566-L566),"n.a.")</x:f>
        <x:v>2.290767949239547</x:v>
      </x:c>
      <x:c r="N566" s="13" t="b">
        <x:v>1</x:v>
      </x:c>
      <x:c r="O566" s="13" t="b">
        <x:v>1</x:v>
      </x:c>
      <x:c r="P566" s="13" t="b">
        <x:v>0</x:v>
      </x:c>
      <x:c r="Q566" s="2" t="str">
        <x:v>none</x:v>
      </x:c>
      <x:c r="R566" s="2" t="str">
        <x:v>none</x:v>
      </x:c>
      <x:c r="S566" s="2" t="str">
        <x:v>nominal Q4 source model estimate</x:v>
      </x:c>
      <x:c r="T566" s="2" t="str">
        <x:v>nominal Q4 source model estimate</x:v>
      </x:c>
      <x:c r="U566" s="2" t="str">
        <x:v>GFA growth versus source physical quantity growth; constant conversion required for equality</x:v>
      </x:c>
      <x:c r="V566" s="2" t="str">
        <x:v>2020 level is the model anchor; 2023 comparator unused by v16 fit but shares conversion/upstream lineage</x:v>
      </x:c>
      <x:c r="W566" s="2" t="str">
        <x:v>https://arxiv.org/abs/2511.12104</x:v>
      </x:c>
    </x:row>
    <x:row r="567" ht="23" customHeight="1">
      <x:c r="A567" s="2" t="str">
        <x:v>TGO</x:v>
      </x:c>
      <x:c r="B567" s="2" t="str">
        <x:v>Togo (Togolese Republic)</x:v>
      </x:c>
      <x:c r="C567" s="2" t="str">
        <x:v>TEMPO_VOLUME</x:v>
      </x:c>
      <x:c r="D567" s="2" t="n">
        <x:v>2020</x:v>
      </x:c>
      <x:c r="E567" s="2" t="n">
        <x:v>2023</x:v>
      </x:c>
      <x:c r="F567" s="17" t="n">
        <x:v>185693532.7300002</x:v>
      </x:c>
      <x:c r="G567" s="17" t="n">
        <x:v>202627737.73450005</x:v>
      </x:c>
      <x:c r="H567" s="17" t="n">
        <x:v>414282847.76</x:v>
      </x:c>
      <x:c r="I567" s="17" t="n">
        <x:v>467288912.13</x:v>
      </x:c>
      <x:c r="J567" s="2" t="str">
        <x:v>m3</x:v>
      </x:c>
      <x:c r="K567" s="15" t="n">
        <x:f>IF(AND(ISNUMBER(F567),ISNUMBER(G567),F567&gt;0),G567/F567-1,"n.a.")</x:f>
        <x:v>0.0911943714761585</x:v>
      </x:c>
      <x:c r="L567" s="15" t="n">
        <x:f>IF(AND(N567,ISNUMBER(H567),ISNUMBER(I567),H567&gt;0),I567/H567-1,"n.a.")</x:f>
        <x:v>0.12794655790506493</x:v>
      </x:c>
      <x:c r="M567" s="20" t="n">
        <x:f>IF(AND(ISNUMBER(K567),ISNUMBER(L567)),100*(K567-L567),"n.a.")</x:f>
        <x:v>-3.675218642890643</x:v>
      </x:c>
      <x:c r="N567" s="13" t="b">
        <x:v>1</x:v>
      </x:c>
      <x:c r="O567" s="13" t="b">
        <x:v>1</x:v>
      </x:c>
      <x:c r="P567" s="13" t="b">
        <x:v>0</x:v>
      </x:c>
      <x:c r="Q567" s="2" t="str">
        <x:v>none</x:v>
      </x:c>
      <x:c r="R567" s="2" t="str">
        <x:v>none</x:v>
      </x:c>
      <x:c r="S567" s="2" t="str">
        <x:v>nominal Q4 source model estimate</x:v>
      </x:c>
      <x:c r="T567" s="2" t="str">
        <x:v>nominal Q4 source model estimate</x:v>
      </x:c>
      <x:c r="U567" s="2" t="str">
        <x:v>GFA growth versus source physical quantity growth; constant conversion required for equality</x:v>
      </x:c>
      <x:c r="V567" s="2" t="str">
        <x:v>2020 level is the model anchor; 2023 comparator unused by v16 fit but shares conversion/upstream lineage</x:v>
      </x:c>
      <x:c r="W567" s="2" t="str">
        <x:v>https://arxiv.org/abs/2511.12104</x:v>
      </x:c>
    </x:row>
    <x:row r="568" ht="23" customHeight="1">
      <x:c r="A568" s="2" t="str">
        <x:v>THA</x:v>
      </x:c>
      <x:c r="B568" s="2" t="str">
        <x:v>Thailand (Kingdom of)</x:v>
      </x:c>
      <x:c r="C568" s="2" t="str">
        <x:v>TEMPO_VOLUME</x:v>
      </x:c>
      <x:c r="D568" s="2" t="n">
        <x:v>2020</x:v>
      </x:c>
      <x:c r="E568" s="2" t="n">
        <x:v>2023</x:v>
      </x:c>
      <x:c r="F568" s="17" t="n">
        <x:v>5229846890.149993</x:v>
      </x:c>
      <x:c r="G568" s="17" t="n">
        <x:v>5408286735.094725</x:v>
      </x:c>
      <x:c r="H568" s="17" t="n">
        <x:v>14897053539.07</x:v>
      </x:c>
      <x:c r="I568" s="17" t="n">
        <x:v>15764855927.39</x:v>
      </x:c>
      <x:c r="J568" s="2" t="str">
        <x:v>m3</x:v>
      </x:c>
      <x:c r="K568" s="15" t="n">
        <x:f>IF(AND(ISNUMBER(F568),ISNUMBER(G568),F568&gt;0),G568/F568-1,"n.a.")</x:f>
        <x:v>0.03411951605711616</x:v>
      </x:c>
      <x:c r="L568" s="15" t="n">
        <x:f>IF(AND(N568,ISNUMBER(H568),ISNUMBER(I568),H568&gt;0),I568/H568-1,"n.a.")</x:f>
        <x:v>0.05825329056138817</x:v>
      </x:c>
      <x:c r="M568" s="20" t="n">
        <x:f>IF(AND(ISNUMBER(K568),ISNUMBER(L568)),100*(K568-L568),"n.a.")</x:f>
        <x:v>-2.413377450427201</x:v>
      </x:c>
      <x:c r="N568" s="13" t="b">
        <x:v>1</x:v>
      </x:c>
      <x:c r="O568" s="13" t="b">
        <x:v>1</x:v>
      </x:c>
      <x:c r="P568" s="13" t="b">
        <x:v>0</x:v>
      </x:c>
      <x:c r="Q568" s="2" t="str">
        <x:v>none</x:v>
      </x:c>
      <x:c r="R568" s="2" t="str">
        <x:v>none</x:v>
      </x:c>
      <x:c r="S568" s="2" t="str">
        <x:v>nominal Q4 source model estimate</x:v>
      </x:c>
      <x:c r="T568" s="2" t="str">
        <x:v>nominal Q4 source model estimate</x:v>
      </x:c>
      <x:c r="U568" s="2" t="str">
        <x:v>GFA growth versus source physical quantity growth; constant conversion required for equality</x:v>
      </x:c>
      <x:c r="V568" s="2" t="str">
        <x:v>2020 level is the model anchor; 2023 comparator unused by v16 fit but shares conversion/upstream lineage</x:v>
      </x:c>
      <x:c r="W568" s="2" t="str">
        <x:v>https://arxiv.org/abs/2511.12104</x:v>
      </x:c>
    </x:row>
    <x:row r="569" ht="23" customHeight="1">
      <x:c r="A569" s="2" t="str">
        <x:v>TJK</x:v>
      </x:c>
      <x:c r="B569" s="2" t="str">
        <x:v>Tajikistan (Republic of)</x:v>
      </x:c>
      <x:c r="C569" s="2" t="str">
        <x:v>TEMPO_VOLUME</x:v>
      </x:c>
      <x:c r="D569" s="2" t="n">
        <x:v>2020</x:v>
      </x:c>
      <x:c r="E569" s="2" t="n">
        <x:v>2023</x:v>
      </x:c>
      <x:c r="F569" s="17" t="n">
        <x:v>392955797.9200004</x:v>
      </x:c>
      <x:c r="G569" s="17" t="n">
        <x:v>421817980.74880624</x:v>
      </x:c>
      <x:c r="H569" s="17" t="n">
        <x:v>970081598.17</x:v>
      </x:c>
      <x:c r="I569" s="17" t="n">
        <x:v>1064919557.58</x:v>
      </x:c>
      <x:c r="J569" s="2" t="str">
        <x:v>m3</x:v>
      </x:c>
      <x:c r="K569" s="15" t="n">
        <x:f>IF(AND(ISNUMBER(F569),ISNUMBER(G569),F569&gt;0),G569/F569-1,"n.a.")</x:f>
        <x:v>0.07344892983276896</x:v>
      </x:c>
      <x:c r="L569" s="15" t="n">
        <x:f>IF(AND(N569,ISNUMBER(H569),ISNUMBER(I569),H569&gt;0),I569/H569-1,"n.a.")</x:f>
        <x:v>0.09776286818439406</x:v>
      </x:c>
      <x:c r="M569" s="20" t="n">
        <x:f>IF(AND(ISNUMBER(K569),ISNUMBER(L569)),100*(K569-L569),"n.a.")</x:f>
        <x:v>-2.4313938351625097</x:v>
      </x:c>
      <x:c r="N569" s="13" t="b">
        <x:v>1</x:v>
      </x:c>
      <x:c r="O569" s="13" t="b">
        <x:v>1</x:v>
      </x:c>
      <x:c r="P569" s="13" t="b">
        <x:v>0</x:v>
      </x:c>
      <x:c r="Q569" s="2" t="str">
        <x:v>none</x:v>
      </x:c>
      <x:c r="R569" s="2" t="str">
        <x:v>none</x:v>
      </x:c>
      <x:c r="S569" s="2" t="str">
        <x:v>nominal Q4 source model estimate</x:v>
      </x:c>
      <x:c r="T569" s="2" t="str">
        <x:v>nominal Q4 source model estimate</x:v>
      </x:c>
      <x:c r="U569" s="2" t="str">
        <x:v>GFA growth versus source physical quantity growth; constant conversion required for equality</x:v>
      </x:c>
      <x:c r="V569" s="2" t="str">
        <x:v>2020 level is the model anchor; 2023 comparator unused by v16 fit but shares conversion/upstream lineage</x:v>
      </x:c>
      <x:c r="W569" s="2" t="str">
        <x:v>https://arxiv.org/abs/2511.12104</x:v>
      </x:c>
    </x:row>
    <x:row r="570" ht="23" customHeight="1">
      <x:c r="A570" s="2" t="str">
        <x:v>TKM</x:v>
      </x:c>
      <x:c r="B570" s="2" t="str">
        <x:v>Turkmenistan</x:v>
      </x:c>
      <x:c r="C570" s="2" t="str">
        <x:v>TEMPO_VOLUME</x:v>
      </x:c>
      <x:c r="D570" s="2" t="n">
        <x:v>2020</x:v>
      </x:c>
      <x:c r="E570" s="2" t="n">
        <x:v>2023</x:v>
      </x:c>
      <x:c r="F570" s="17" t="n">
        <x:v>359976676.1500005</x:v>
      </x:c>
      <x:c r="G570" s="17" t="n">
        <x:v>380873674.62837243</x:v>
      </x:c>
      <x:c r="H570" s="17" t="n">
        <x:v>932335371.04</x:v>
      </x:c>
      <x:c r="I570" s="17" t="n">
        <x:v>1064617136.87</x:v>
      </x:c>
      <x:c r="J570" s="2" t="str">
        <x:v>m3</x:v>
      </x:c>
      <x:c r="K570" s="15" t="n">
        <x:f>IF(AND(ISNUMBER(F570),ISNUMBER(G570),F570&gt;0),G570/F570-1,"n.a.")</x:f>
        <x:v>0.058050979029719896</x:v>
      </x:c>
      <x:c r="L570" s="15" t="n">
        <x:f>IF(AND(N570,ISNUMBER(H570),ISNUMBER(I570),H570&gt;0),I570/H570-1,"n.a.")</x:f>
        <x:v>0.14188217023499017</x:v>
      </x:c>
      <x:c r="M570" s="20" t="n">
        <x:f>IF(AND(ISNUMBER(K570),ISNUMBER(L570)),100*(K570-L570),"n.a.")</x:f>
        <x:v>-8.383119120527027</x:v>
      </x:c>
      <x:c r="N570" s="13" t="b">
        <x:v>1</x:v>
      </x:c>
      <x:c r="O570" s="13" t="b">
        <x:v>1</x:v>
      </x:c>
      <x:c r="P570" s="13" t="b">
        <x:v>0</x:v>
      </x:c>
      <x:c r="Q570" s="2" t="str">
        <x:v>none</x:v>
      </x:c>
      <x:c r="R570" s="2" t="str">
        <x:v>none</x:v>
      </x:c>
      <x:c r="S570" s="2" t="str">
        <x:v>nominal Q4 source model estimate</x:v>
      </x:c>
      <x:c r="T570" s="2" t="str">
        <x:v>nominal Q4 source model estimate</x:v>
      </x:c>
      <x:c r="U570" s="2" t="str">
        <x:v>GFA growth versus source physical quantity growth; constant conversion required for equality</x:v>
      </x:c>
      <x:c r="V570" s="2" t="str">
        <x:v>2020 level is the model anchor; 2023 comparator unused by v16 fit but shares conversion/upstream lineage</x:v>
      </x:c>
      <x:c r="W570" s="2" t="str">
        <x:v>https://arxiv.org/abs/2511.12104</x:v>
      </x:c>
    </x:row>
    <x:row r="571" ht="23" customHeight="1">
      <x:c r="A571" s="2" t="str">
        <x:v>TLS</x:v>
      </x:c>
      <x:c r="B571" s="2" t="str">
        <x:v>Timor-Leste (Democratic Republic of)</x:v>
      </x:c>
      <x:c r="C571" s="2" t="str">
        <x:v>TEMPO_VOLUME</x:v>
      </x:c>
      <x:c r="D571" s="2" t="n">
        <x:v>2020</x:v>
      </x:c>
      <x:c r="E571" s="2" t="n">
        <x:v>2023</x:v>
      </x:c>
      <x:c r="F571" s="17" t="n">
        <x:v>41213693.90000002</x:v>
      </x:c>
      <x:c r="G571" s="17" t="n">
        <x:v>45360163.36270319</x:v>
      </x:c>
      <x:c r="H571" s="17" t="n">
        <x:v>88774360.59</x:v>
      </x:c>
      <x:c r="I571" s="17" t="n">
        <x:v>93685992.97</x:v>
      </x:c>
      <x:c r="J571" s="2" t="str">
        <x:v>m3</x:v>
      </x:c>
      <x:c r="K571" s="15" t="n">
        <x:f>IF(AND(ISNUMBER(F571),ISNUMBER(G571),F571&gt;0),G571/F571-1,"n.a.")</x:f>
        <x:v>0.10060902264097149</x:v>
      </x:c>
      <x:c r="L571" s="15" t="n">
        <x:f>IF(AND(N571,ISNUMBER(H571),ISNUMBER(I571),H571&gt;0),I571/H571-1,"n.a.")</x:f>
        <x:v>0.055327150174408146</x:v>
      </x:c>
      <x:c r="M571" s="20" t="n">
        <x:f>IF(AND(ISNUMBER(K571),ISNUMBER(L571)),100*(K571-L571),"n.a.")</x:f>
        <x:v>4.528187246656334</x:v>
      </x:c>
      <x:c r="N571" s="13" t="b">
        <x:v>1</x:v>
      </x:c>
      <x:c r="O571" s="13" t="b">
        <x:v>1</x:v>
      </x:c>
      <x:c r="P571" s="13" t="b">
        <x:v>0</x:v>
      </x:c>
      <x:c r="Q571" s="2" t="str">
        <x:v>none</x:v>
      </x:c>
      <x:c r="R571" s="2" t="str">
        <x:v>none</x:v>
      </x:c>
      <x:c r="S571" s="2" t="str">
        <x:v>nominal Q4 source model estimate</x:v>
      </x:c>
      <x:c r="T571" s="2" t="str">
        <x:v>nominal Q4 source model estimate</x:v>
      </x:c>
      <x:c r="U571" s="2" t="str">
        <x:v>GFA growth versus source physical quantity growth; constant conversion required for equality</x:v>
      </x:c>
      <x:c r="V571" s="2" t="str">
        <x:v>2020 level is the model anchor; 2023 comparator unused by v16 fit but shares conversion/upstream lineage</x:v>
      </x:c>
      <x:c r="W571" s="2" t="str">
        <x:v>https://arxiv.org/abs/2511.12104</x:v>
      </x:c>
    </x:row>
    <x:row r="572" ht="23" customHeight="1">
      <x:c r="A572" s="2" t="str">
        <x:v>TON</x:v>
      </x:c>
      <x:c r="B572" s="2" t="str">
        <x:v>Tonga (Kingdom of)</x:v>
      </x:c>
      <x:c r="C572" s="2" t="str">
        <x:v>TEMPO_VOLUME</x:v>
      </x:c>
      <x:c r="D572" s="2" t="n">
        <x:v>2020</x:v>
      </x:c>
      <x:c r="E572" s="2" t="n">
        <x:v>2023</x:v>
      </x:c>
      <x:c r="F572" s="17" t="n">
        <x:v>4719083.849999997</x:v>
      </x:c>
      <x:c r="G572" s="17" t="n">
        <x:v>4799653.787733948</x:v>
      </x:c>
      <x:c r="H572" s="17" t="n">
        <x:v>10644020.01</x:v>
      </x:c>
      <x:c r="I572" s="17" t="n">
        <x:v>11326297.56</x:v>
      </x:c>
      <x:c r="J572" s="2" t="str">
        <x:v>m3</x:v>
      </x:c>
      <x:c r="K572" s="15" t="n">
        <x:f>IF(AND(ISNUMBER(F572),ISNUMBER(G572),F572&gt;0),G572/F572-1,"n.a.")</x:f>
        <x:v>0.017073215966262323</x:v>
      </x:c>
      <x:c r="L572" s="15" t="n">
        <x:f>IF(AND(N572,ISNUMBER(H572),ISNUMBER(I572),H572&gt;0),I572/H572-1,"n.a.")</x:f>
        <x:v>0.06409961174058343</x:v>
      </x:c>
      <x:c r="M572" s="20" t="n">
        <x:f>IF(AND(ISNUMBER(K572),ISNUMBER(L572)),100*(K572-L572),"n.a.")</x:f>
        <x:v>-4.702639577432111</x:v>
      </x:c>
      <x:c r="N572" s="13" t="b">
        <x:v>1</x:v>
      </x:c>
      <x:c r="O572" s="13" t="b">
        <x:v>1</x:v>
      </x:c>
      <x:c r="P572" s="13" t="b">
        <x:v>0</x:v>
      </x:c>
      <x:c r="Q572" s="2" t="str">
        <x:v>none</x:v>
      </x:c>
      <x:c r="R572" s="2" t="str">
        <x:v>none</x:v>
      </x:c>
      <x:c r="S572" s="2" t="str">
        <x:v>nominal Q4 source model estimate</x:v>
      </x:c>
      <x:c r="T572" s="2" t="str">
        <x:v>nominal Q4 source model estimate</x:v>
      </x:c>
      <x:c r="U572" s="2" t="str">
        <x:v>GFA growth versus source physical quantity growth; constant conversion required for equality</x:v>
      </x:c>
      <x:c r="V572" s="2" t="str">
        <x:v>2020 level is the model anchor; 2023 comparator unused by v16 fit but shares conversion/upstream lineage</x:v>
      </x:c>
      <x:c r="W572" s="2" t="str">
        <x:v>https://arxiv.org/abs/2511.12104</x:v>
      </x:c>
    </x:row>
    <x:row r="573" ht="23" customHeight="1">
      <x:c r="A573" s="2" t="str">
        <x:v>TTO</x:v>
      </x:c>
      <x:c r="B573" s="2" t="str">
        <x:v>Trinidad and Tobago (Republic of)</x:v>
      </x:c>
      <x:c r="C573" s="2" t="str">
        <x:v>TEMPO_VOLUME</x:v>
      </x:c>
      <x:c r="D573" s="2" t="n">
        <x:v>2020</x:v>
      </x:c>
      <x:c r="E573" s="2" t="n">
        <x:v>2023</x:v>
      </x:c>
      <x:c r="F573" s="17" t="n">
        <x:v>100480869.27000004</x:v>
      </x:c>
      <x:c r="G573" s="17" t="n">
        <x:v>104987205.95667483</x:v>
      </x:c>
      <x:c r="H573" s="17" t="n">
        <x:v>265209532.67</x:v>
      </x:c>
      <x:c r="I573" s="17" t="n">
        <x:v>271059221.83</x:v>
      </x:c>
      <x:c r="J573" s="2" t="str">
        <x:v>m3</x:v>
      </x:c>
      <x:c r="K573" s="15" t="n">
        <x:f>IF(AND(ISNUMBER(F573),ISNUMBER(G573),F573&gt;0),G573/F573-1,"n.a.")</x:f>
        <x:v>0.04484770802057758</x:v>
      </x:c>
      <x:c r="L573" s="15" t="n">
        <x:f>IF(AND(N573,ISNUMBER(H573),ISNUMBER(I573),H573&gt;0),I573/H573-1,"n.a.")</x:f>
        <x:v>0.022056858594441175</x:v>
      </x:c>
      <x:c r="M573" s="20" t="n">
        <x:f>IF(AND(ISNUMBER(K573),ISNUMBER(L573)),100*(K573-L573),"n.a.")</x:f>
        <x:v>2.2790849426136406</x:v>
      </x:c>
      <x:c r="N573" s="13" t="b">
        <x:v>1</x:v>
      </x:c>
      <x:c r="O573" s="13" t="b">
        <x:v>1</x:v>
      </x:c>
      <x:c r="P573" s="13" t="b">
        <x:v>0</x:v>
      </x:c>
      <x:c r="Q573" s="2" t="str">
        <x:v>none</x:v>
      </x:c>
      <x:c r="R573" s="2" t="str">
        <x:v>none</x:v>
      </x:c>
      <x:c r="S573" s="2" t="str">
        <x:v>nominal Q4 source model estimate</x:v>
      </x:c>
      <x:c r="T573" s="2" t="str">
        <x:v>nominal Q4 source model estimate</x:v>
      </x:c>
      <x:c r="U573" s="2" t="str">
        <x:v>GFA growth versus source physical quantity growth; constant conversion required for equality</x:v>
      </x:c>
      <x:c r="V573" s="2" t="str">
        <x:v>2020 level is the model anchor; 2023 comparator unused by v16 fit but shares conversion/upstream lineage</x:v>
      </x:c>
      <x:c r="W573" s="2" t="str">
        <x:v>https://arxiv.org/abs/2511.12104</x:v>
      </x:c>
    </x:row>
    <x:row r="574" ht="23" customHeight="1">
      <x:c r="A574" s="2" t="str">
        <x:v>TUN</x:v>
      </x:c>
      <x:c r="B574" s="2" t="str">
        <x:v>Tunisia (Republic of)</x:v>
      </x:c>
      <x:c r="C574" s="2" t="str">
        <x:v>TEMPO_VOLUME</x:v>
      </x:c>
      <x:c r="D574" s="2" t="n">
        <x:v>2020</x:v>
      </x:c>
      <x:c r="E574" s="2" t="n">
        <x:v>2023</x:v>
      </x:c>
      <x:c r="F574" s="17" t="n">
        <x:v>649171642.779999</x:v>
      </x:c>
      <x:c r="G574" s="17" t="n">
        <x:v>679743209.9745548</x:v>
      </x:c>
      <x:c r="H574" s="17" t="n">
        <x:v>1818309867.9</x:v>
      </x:c>
      <x:c r="I574" s="17" t="n">
        <x:v>1863322247.02</x:v>
      </x:c>
      <x:c r="J574" s="2" t="str">
        <x:v>m3</x:v>
      </x:c>
      <x:c r="K574" s="15" t="n">
        <x:f>IF(AND(ISNUMBER(F574),ISNUMBER(G574),F574&gt;0),G574/F574-1,"n.a.")</x:f>
        <x:v>0.047093195666459975</x:v>
      </x:c>
      <x:c r="L574" s="15" t="n">
        <x:f>IF(AND(N574,ISNUMBER(H574),ISNUMBER(I574),H574&gt;0),I574/H574-1,"n.a.")</x:f>
        <x:v>0.024755065082490813</x:v>
      </x:c>
      <x:c r="M574" s="20" t="n">
        <x:f>IF(AND(ISNUMBER(K574),ISNUMBER(L574)),100*(K574-L574),"n.a.")</x:f>
        <x:v>2.2338130583969162</x:v>
      </x:c>
      <x:c r="N574" s="13" t="b">
        <x:v>1</x:v>
      </x:c>
      <x:c r="O574" s="13" t="b">
        <x:v>1</x:v>
      </x:c>
      <x:c r="P574" s="13" t="b">
        <x:v>0</x:v>
      </x:c>
      <x:c r="Q574" s="2" t="str">
        <x:v>none</x:v>
      </x:c>
      <x:c r="R574" s="2" t="str">
        <x:v>none</x:v>
      </x:c>
      <x:c r="S574" s="2" t="str">
        <x:v>nominal Q4 source model estimate</x:v>
      </x:c>
      <x:c r="T574" s="2" t="str">
        <x:v>nominal Q4 source model estimate</x:v>
      </x:c>
      <x:c r="U574" s="2" t="str">
        <x:v>GFA growth versus source physical quantity growth; constant conversion required for equality</x:v>
      </x:c>
      <x:c r="V574" s="2" t="str">
        <x:v>2020 level is the model anchor; 2023 comparator unused by v16 fit but shares conversion/upstream lineage</x:v>
      </x:c>
      <x:c r="W574" s="2" t="str">
        <x:v>https://arxiv.org/abs/2511.12104</x:v>
      </x:c>
    </x:row>
    <x:row r="575" ht="23" customHeight="1">
      <x:c r="A575" s="2" t="str">
        <x:v>TUR</x:v>
      </x:c>
      <x:c r="B575" s="2" t="str">
        <x:v>Türkiye (Republic of)</x:v>
      </x:c>
      <x:c r="C575" s="2" t="str">
        <x:v>TEMPO_VOLUME</x:v>
      </x:c>
      <x:c r="D575" s="2" t="n">
        <x:v>2020</x:v>
      </x:c>
      <x:c r="E575" s="2" t="n">
        <x:v>2023</x:v>
      </x:c>
      <x:c r="F575" s="17" t="n">
        <x:v>3957897873.260005</x:v>
      </x:c>
      <x:c r="G575" s="17" t="n">
        <x:v>4384411975.076062</x:v>
      </x:c>
      <x:c r="H575" s="17" t="n">
        <x:v>13166454645.85</x:v>
      </x:c>
      <x:c r="I575" s="17" t="n">
        <x:v>14607852766.53</x:v>
      </x:c>
      <x:c r="J575" s="2" t="str">
        <x:v>m3</x:v>
      </x:c>
      <x:c r="K575" s="15" t="n">
        <x:f>IF(AND(ISNUMBER(F575),ISNUMBER(G575),F575&gt;0),G575/F575-1,"n.a.")</x:f>
        <x:v>0.1077627860732926</x:v>
      </x:c>
      <x:c r="L575" s="15" t="n">
        <x:f>IF(AND(N575,ISNUMBER(H575),ISNUMBER(I575),H575&gt;0),I575/H575-1,"n.a.")</x:f>
        <x:v>0.10947503784812129</x:v>
      </x:c>
      <x:c r="M575" s="20" t="n">
        <x:f>IF(AND(ISNUMBER(K575),ISNUMBER(L575)),100*(K575-L575),"n.a.")</x:f>
        <x:v>-0.17122517748286992</x:v>
      </x:c>
      <x:c r="N575" s="13" t="b">
        <x:v>1</x:v>
      </x:c>
      <x:c r="O575" s="13" t="b">
        <x:v>1</x:v>
      </x:c>
      <x:c r="P575" s="13" t="b">
        <x:v>0</x:v>
      </x:c>
      <x:c r="Q575" s="2" t="str">
        <x:v>none</x:v>
      </x:c>
      <x:c r="R575" s="2" t="str">
        <x:v>none</x:v>
      </x:c>
      <x:c r="S575" s="2" t="str">
        <x:v>nominal Q4 source model estimate</x:v>
      </x:c>
      <x:c r="T575" s="2" t="str">
        <x:v>nominal Q4 source model estimate</x:v>
      </x:c>
      <x:c r="U575" s="2" t="str">
        <x:v>GFA growth versus source physical quantity growth; constant conversion required for equality</x:v>
      </x:c>
      <x:c r="V575" s="2" t="str">
        <x:v>2020 level is the model anchor; 2023 comparator unused by v16 fit but shares conversion/upstream lineage</x:v>
      </x:c>
      <x:c r="W575" s="2" t="str">
        <x:v>https://arxiv.org/abs/2511.12104</x:v>
      </x:c>
    </x:row>
    <x:row r="576" ht="23" customHeight="1">
      <x:c r="A576" s="2" t="str">
        <x:v>TUV</x:v>
      </x:c>
      <x:c r="B576" s="2" t="str">
        <x:v>Tuvalu</x:v>
      </x:c>
      <x:c r="C576" s="2" t="str">
        <x:v>TEMPO_VOLUME</x:v>
      </x:c>
      <x:c r="D576" s="2" t="n">
        <x:v>2020</x:v>
      </x:c>
      <x:c r="E576" s="2" t="n">
        <x:v>2023</x:v>
      </x:c>
      <x:c r="F576" s="17" t="n">
        <x:v>19394.80999999999</x:v>
      </x:c>
      <x:c r="G576" s="17" t="n">
        <x:v>19384.52304712556</x:v>
      </x:c>
      <x:c r="H576" s="17" t="n">
        <x:v>45934.54</x:v>
      </x:c>
      <x:c r="I576" s="17" t="n">
        <x:v>48850.78</x:v>
      </x:c>
      <x:c r="J576" s="2" t="str">
        <x:v>m3</x:v>
      </x:c>
      <x:c r="K576" s="15" t="n">
        <x:f>IF(AND(ISNUMBER(F576),ISNUMBER(G576),F576&gt;0),G576/F576-1,"n.a.")</x:f>
        <x:v>-0.0005303971977260735</x:v>
      </x:c>
      <x:c r="L576" s="15" t="n">
        <x:f>IF(AND(N576,ISNUMBER(H576),ISNUMBER(I576),H576&gt;0),I576/H576-1,"n.a.")</x:f>
        <x:v>0.0634868663101884</x:v>
      </x:c>
      <x:c r="M576" s="20" t="n">
        <x:f>IF(AND(ISNUMBER(K576),ISNUMBER(L576)),100*(K576-L576),"n.a.")</x:f>
        <x:v>-6.4017263507914475</x:v>
      </x:c>
      <x:c r="N576" s="13" t="b">
        <x:v>1</x:v>
      </x:c>
      <x:c r="O576" s="13" t="b">
        <x:v>1</x:v>
      </x:c>
      <x:c r="P576" s="13" t="b">
        <x:v>0</x:v>
      </x:c>
      <x:c r="Q576" s="2" t="str">
        <x:v>none</x:v>
      </x:c>
      <x:c r="R576" s="2" t="str">
        <x:v>none</x:v>
      </x:c>
      <x:c r="S576" s="2" t="str">
        <x:v>nominal Q4 source model estimate</x:v>
      </x:c>
      <x:c r="T576" s="2" t="str">
        <x:v>nominal Q4 source model estimate</x:v>
      </x:c>
      <x:c r="U576" s="2" t="str">
        <x:v>GFA growth versus source physical quantity growth; constant conversion required for equality</x:v>
      </x:c>
      <x:c r="V576" s="2" t="str">
        <x:v>2020 level is the model anchor; 2023 comparator unused by v16 fit but shares conversion/upstream lineage</x:v>
      </x:c>
      <x:c r="W576" s="2" t="str">
        <x:v>https://arxiv.org/abs/2511.12104</x:v>
      </x:c>
    </x:row>
    <x:row r="577" ht="23" customHeight="1">
      <x:c r="A577" s="2" t="str">
        <x:v>TZA</x:v>
      </x:c>
      <x:c r="B577" s="2" t="str">
        <x:v>Tanzania (United Republic of)</x:v>
      </x:c>
      <x:c r="C577" s="2" t="str">
        <x:v>TEMPO_VOLUME</x:v>
      </x:c>
      <x:c r="D577" s="2" t="n">
        <x:v>2020</x:v>
      </x:c>
      <x:c r="E577" s="2" t="n">
        <x:v>2023</x:v>
      </x:c>
      <x:c r="F577" s="17" t="n">
        <x:v>1174486408.8199985</x:v>
      </x:c>
      <x:c r="G577" s="17" t="n">
        <x:v>1281481057.4010613</x:v>
      </x:c>
      <x:c r="H577" s="17" t="n">
        <x:v>2401211110.99</x:v>
      </x:c>
      <x:c r="I577" s="17" t="n">
        <x:v>2673147826.18</x:v>
      </x:c>
      <x:c r="J577" s="2" t="str">
        <x:v>m3</x:v>
      </x:c>
      <x:c r="K577" s="15" t="n">
        <x:f>IF(AND(ISNUMBER(F577),ISNUMBER(G577),F577&gt;0),G577/F577-1,"n.a.")</x:f>
        <x:v>0.09109909470009092</x:v>
      </x:c>
      <x:c r="L577" s="15" t="n">
        <x:f>IF(AND(N577,ISNUMBER(H577),ISNUMBER(I577),H577&gt;0),I577/H577-1,"n.a.")</x:f>
        <x:v>0.11324981545578594</x:v>
      </x:c>
      <x:c r="M577" s="20" t="n">
        <x:f>IF(AND(ISNUMBER(K577),ISNUMBER(L577)),100*(K577-L577),"n.a.")</x:f>
        <x:v>-2.215072075569502</x:v>
      </x:c>
      <x:c r="N577" s="13" t="b">
        <x:v>1</x:v>
      </x:c>
      <x:c r="O577" s="13" t="b">
        <x:v>1</x:v>
      </x:c>
      <x:c r="P577" s="13" t="b">
        <x:v>0</x:v>
      </x:c>
      <x:c r="Q577" s="2" t="str">
        <x:v>none</x:v>
      </x:c>
      <x:c r="R577" s="2" t="str">
        <x:v>none</x:v>
      </x:c>
      <x:c r="S577" s="2" t="str">
        <x:v>nominal Q4 source model estimate</x:v>
      </x:c>
      <x:c r="T577" s="2" t="str">
        <x:v>nominal Q4 source model estimate</x:v>
      </x:c>
      <x:c r="U577" s="2" t="str">
        <x:v>GFA growth versus source physical quantity growth; constant conversion required for equality</x:v>
      </x:c>
      <x:c r="V577" s="2" t="str">
        <x:v>2020 level is the model anchor; 2023 comparator unused by v16 fit but shares conversion/upstream lineage</x:v>
      </x:c>
      <x:c r="W577" s="2" t="str">
        <x:v>https://arxiv.org/abs/2511.12104</x:v>
      </x:c>
    </x:row>
    <x:row r="578" ht="23" customHeight="1">
      <x:c r="A578" s="2" t="str">
        <x:v>UGA</x:v>
      </x:c>
      <x:c r="B578" s="2" t="str">
        <x:v>Uganda (Republic of)</x:v>
      </x:c>
      <x:c r="C578" s="2" t="str">
        <x:v>TEMPO_VOLUME</x:v>
      </x:c>
      <x:c r="D578" s="2" t="n">
        <x:v>2020</x:v>
      </x:c>
      <x:c r="E578" s="2" t="n">
        <x:v>2023</x:v>
      </x:c>
      <x:c r="F578" s="17" t="n">
        <x:v>765891927.1500008</x:v>
      </x:c>
      <x:c r="G578" s="17" t="n">
        <x:v>835864813.7925357</x:v>
      </x:c>
      <x:c r="H578" s="17" t="n">
        <x:v>1457932649.66</x:v>
      </x:c>
      <x:c r="I578" s="17" t="n">
        <x:v>1616771799.35</x:v>
      </x:c>
      <x:c r="J578" s="2" t="str">
        <x:v>m3</x:v>
      </x:c>
      <x:c r="K578" s="15" t="n">
        <x:f>IF(AND(ISNUMBER(F578),ISNUMBER(G578),F578&gt;0),G578/F578-1,"n.a.")</x:f>
        <x:v>0.09136130589979508</x:v>
      </x:c>
      <x:c r="L578" s="15" t="n">
        <x:f>IF(AND(N578,ISNUMBER(H578),ISNUMBER(I578),H578&gt;0),I578/H578-1,"n.a.")</x:f>
        <x:v>0.10894820808563566</x:v>
      </x:c>
      <x:c r="M578" s="20" t="n">
        <x:f>IF(AND(ISNUMBER(K578),ISNUMBER(L578)),100*(K578-L578),"n.a.")</x:f>
        <x:v>-1.758690218584058</x:v>
      </x:c>
      <x:c r="N578" s="13" t="b">
        <x:v>1</x:v>
      </x:c>
      <x:c r="O578" s="13" t="b">
        <x:v>1</x:v>
      </x:c>
      <x:c r="P578" s="13" t="b">
        <x:v>0</x:v>
      </x:c>
      <x:c r="Q578" s="2" t="str">
        <x:v>none</x:v>
      </x:c>
      <x:c r="R578" s="2" t="str">
        <x:v>none</x:v>
      </x:c>
      <x:c r="S578" s="2" t="str">
        <x:v>nominal Q4 source model estimate</x:v>
      </x:c>
      <x:c r="T578" s="2" t="str">
        <x:v>nominal Q4 source model estimate</x:v>
      </x:c>
      <x:c r="U578" s="2" t="str">
        <x:v>GFA growth versus source physical quantity growth; constant conversion required for equality</x:v>
      </x:c>
      <x:c r="V578" s="2" t="str">
        <x:v>2020 level is the model anchor; 2023 comparator unused by v16 fit but shares conversion/upstream lineage</x:v>
      </x:c>
      <x:c r="W578" s="2" t="str">
        <x:v>https://arxiv.org/abs/2511.12104</x:v>
      </x:c>
    </x:row>
    <x:row r="579" ht="23" customHeight="1">
      <x:c r="A579" s="2" t="str">
        <x:v>UKR</x:v>
      </x:c>
      <x:c r="B579" s="2" t="str">
        <x:v>Ukraine</x:v>
      </x:c>
      <x:c r="C579" s="2" t="str">
        <x:v>TEMPO_VOLUME</x:v>
      </x:c>
      <x:c r="D579" s="2" t="n">
        <x:v>2020</x:v>
      </x:c>
      <x:c r="E579" s="2" t="n">
        <x:v>2023</x:v>
      </x:c>
      <x:c r="F579" s="17" t="n">
        <x:v>2808807029.8199997</x:v>
      </x:c>
      <x:c r="G579" s="17" t="n">
        <x:v>2885404740.5009565</x:v>
      </x:c>
      <x:c r="H579" s="17" t="n">
        <x:v>8032843898.35</x:v>
      </x:c>
      <x:c r="I579" s="17" t="n">
        <x:v>8527079073.57</x:v>
      </x:c>
      <x:c r="J579" s="2" t="str">
        <x:v>m3</x:v>
      </x:c>
      <x:c r="K579" s="15" t="n">
        <x:f>IF(AND(ISNUMBER(F579),ISNUMBER(G579),F579&gt;0),G579/F579-1,"n.a.")</x:f>
        <x:v>0.027270549335625116</x:v>
      </x:c>
      <x:c r="L579" s="15" t="n">
        <x:f>IF(AND(N579,ISNUMBER(H579),ISNUMBER(I579),H579&gt;0),I579/H579-1,"n.a.")</x:f>
        <x:v>0.06152679940929984</x:v>
      </x:c>
      <x:c r="M579" s="20" t="n">
        <x:f>IF(AND(ISNUMBER(K579),ISNUMBER(L579)),100*(K579-L579),"n.a.")</x:f>
        <x:v>-3.425625007367472</x:v>
      </x:c>
      <x:c r="N579" s="13" t="b">
        <x:v>1</x:v>
      </x:c>
      <x:c r="O579" s="13" t="b">
        <x:v>1</x:v>
      </x:c>
      <x:c r="P579" s="13" t="b">
        <x:v>0</x:v>
      </x:c>
      <x:c r="Q579" s="2" t="str">
        <x:v>none</x:v>
      </x:c>
      <x:c r="R579" s="2" t="str">
        <x:v>none</x:v>
      </x:c>
      <x:c r="S579" s="2" t="str">
        <x:v>nominal Q4 source model estimate</x:v>
      </x:c>
      <x:c r="T579" s="2" t="str">
        <x:v>nominal Q4 source model estimate</x:v>
      </x:c>
      <x:c r="U579" s="2" t="str">
        <x:v>GFA growth versus source physical quantity growth; constant conversion required for equality</x:v>
      </x:c>
      <x:c r="V579" s="2" t="str">
        <x:v>2020 level is the model anchor; 2023 comparator unused by v16 fit but shares conversion/upstream lineage</x:v>
      </x:c>
      <x:c r="W579" s="2" t="str">
        <x:v>https://arxiv.org/abs/2511.12104</x:v>
      </x:c>
    </x:row>
    <x:row r="580" ht="23" customHeight="1">
      <x:c r="A580" s="2" t="str">
        <x:v>URY</x:v>
      </x:c>
      <x:c r="B580" s="2" t="str">
        <x:v>Uruguay (Oriental Republic of)</x:v>
      </x:c>
      <x:c r="C580" s="2" t="str">
        <x:v>TEMPO_VOLUME</x:v>
      </x:c>
      <x:c r="D580" s="2" t="n">
        <x:v>2020</x:v>
      </x:c>
      <x:c r="E580" s="2" t="n">
        <x:v>2023</x:v>
      </x:c>
      <x:c r="F580" s="17" t="n">
        <x:v>209727833.2899997</x:v>
      </x:c>
      <x:c r="G580" s="17" t="n">
        <x:v>216779212.07105872</x:v>
      </x:c>
      <x:c r="H580" s="17" t="n">
        <x:v>584197986.37</x:v>
      </x:c>
      <x:c r="I580" s="17" t="n">
        <x:v>643023908.88</x:v>
      </x:c>
      <x:c r="J580" s="2" t="str">
        <x:v>m3</x:v>
      </x:c>
      <x:c r="K580" s="15" t="n">
        <x:f>IF(AND(ISNUMBER(F580),ISNUMBER(G580),F580&gt;0),G580/F580-1,"n.a.")</x:f>
        <x:v>0.033621568823003045</x:v>
      </x:c>
      <x:c r="L580" s="15" t="n">
        <x:f>IF(AND(N580,ISNUMBER(H580),ISNUMBER(I580),H580&gt;0),I580/H580-1,"n.a.")</x:f>
        <x:v>0.10069518191174098</x:v>
      </x:c>
      <x:c r="M580" s="20" t="n">
        <x:f>IF(AND(ISNUMBER(K580),ISNUMBER(L580)),100*(K580-L580),"n.a.")</x:f>
        <x:v>-6.707361308873794</x:v>
      </x:c>
      <x:c r="N580" s="13" t="b">
        <x:v>1</x:v>
      </x:c>
      <x:c r="O580" s="13" t="b">
        <x:v>1</x:v>
      </x:c>
      <x:c r="P580" s="13" t="b">
        <x:v>0</x:v>
      </x:c>
      <x:c r="Q580" s="2" t="str">
        <x:v>none</x:v>
      </x:c>
      <x:c r="R580" s="2" t="str">
        <x:v>none</x:v>
      </x:c>
      <x:c r="S580" s="2" t="str">
        <x:v>nominal Q4 source model estimate</x:v>
      </x:c>
      <x:c r="T580" s="2" t="str">
        <x:v>nominal Q4 source model estimate</x:v>
      </x:c>
      <x:c r="U580" s="2" t="str">
        <x:v>GFA growth versus source physical quantity growth; constant conversion required for equality</x:v>
      </x:c>
      <x:c r="V580" s="2" t="str">
        <x:v>2020 level is the model anchor; 2023 comparator unused by v16 fit but shares conversion/upstream lineage</x:v>
      </x:c>
      <x:c r="W580" s="2" t="str">
        <x:v>https://arxiv.org/abs/2511.12104</x:v>
      </x:c>
    </x:row>
    <x:row r="581" ht="23" customHeight="1">
      <x:c r="A581" s="2" t="str">
        <x:v>USA</x:v>
      </x:c>
      <x:c r="B581" s="2" t="str">
        <x:v>United States of America</x:v>
      </x:c>
      <x:c r="C581" s="2" t="str">
        <x:v>TEMPO_VOLUME</x:v>
      </x:c>
      <x:c r="D581" s="2" t="n">
        <x:v>2020</x:v>
      </x:c>
      <x:c r="E581" s="2" t="n">
        <x:v>2023</x:v>
      </x:c>
      <x:c r="F581" s="17" t="n">
        <x:v>35932980078.68004</x:v>
      </x:c>
      <x:c r="G581" s="17" t="n">
        <x:v>37685943602.101105</x:v>
      </x:c>
      <x:c r="H581" s="17" t="n">
        <x:v>98610675090.34</x:v>
      </x:c>
      <x:c r="I581" s="17" t="n">
        <x:v>106136670566.39</x:v>
      </x:c>
      <x:c r="J581" s="2" t="str">
        <x:v>m3</x:v>
      </x:c>
      <x:c r="K581" s="15" t="n">
        <x:f>IF(AND(ISNUMBER(F581),ISNUMBER(G581),F581&gt;0),G581/F581-1,"n.a.")</x:f>
        <x:v>0.04878425111367668</x:v>
      </x:c>
      <x:c r="L581" s="15" t="n">
        <x:f>IF(AND(N581,ISNUMBER(H581),ISNUMBER(I581),H581&gt;0),I581/H581-1,"n.a.")</x:f>
        <x:v>0.07632029158258202</x:v>
      </x:c>
      <x:c r="M581" s="20" t="n">
        <x:f>IF(AND(ISNUMBER(K581),ISNUMBER(L581)),100*(K581-L581),"n.a.")</x:f>
        <x:v>-2.7536040468905343</x:v>
      </x:c>
      <x:c r="N581" s="13" t="b">
        <x:v>1</x:v>
      </x:c>
      <x:c r="O581" s="13" t="b">
        <x:v>1</x:v>
      </x:c>
      <x:c r="P581" s="13" t="b">
        <x:v>0</x:v>
      </x:c>
      <x:c r="Q581" s="2" t="str">
        <x:v>none</x:v>
      </x:c>
      <x:c r="R581" s="2" t="str">
        <x:v>none</x:v>
      </x:c>
      <x:c r="S581" s="2" t="str">
        <x:v>nominal Q4 source model estimate</x:v>
      </x:c>
      <x:c r="T581" s="2" t="str">
        <x:v>nominal Q4 source model estimate</x:v>
      </x:c>
      <x:c r="U581" s="2" t="str">
        <x:v>GFA growth versus source physical quantity growth; constant conversion required for equality</x:v>
      </x:c>
      <x:c r="V581" s="2" t="str">
        <x:v>2020 level is the model anchor; 2023 comparator unused by v16 fit but shares conversion/upstream lineage</x:v>
      </x:c>
      <x:c r="W581" s="2" t="str">
        <x:v>https://arxiv.org/abs/2511.12104</x:v>
      </x:c>
    </x:row>
    <x:row r="582" ht="23" customHeight="1">
      <x:c r="A582" s="2" t="str">
        <x:v>UZB</x:v>
      </x:c>
      <x:c r="B582" s="2" t="str">
        <x:v>Uzbekistan (Republic of)</x:v>
      </x:c>
      <x:c r="C582" s="2" t="str">
        <x:v>TEMPO_VOLUME</x:v>
      </x:c>
      <x:c r="D582" s="2" t="n">
        <x:v>2020</x:v>
      </x:c>
      <x:c r="E582" s="2" t="n">
        <x:v>2023</x:v>
      </x:c>
      <x:c r="F582" s="17" t="n">
        <x:v>1997042653.6300015</x:v>
      </x:c>
      <x:c r="G582" s="17" t="n">
        <x:v>2099392260.7105381</x:v>
      </x:c>
      <x:c r="H582" s="17" t="n">
        <x:v>5303920108.56</x:v>
      </x:c>
      <x:c r="I582" s="17" t="n">
        <x:v>5929103446.11</x:v>
      </x:c>
      <x:c r="J582" s="2" t="str">
        <x:v>m3</x:v>
      </x:c>
      <x:c r="K582" s="15" t="n">
        <x:f>IF(AND(ISNUMBER(F582),ISNUMBER(G582),F582&gt;0),G582/F582-1,"n.a.")</x:f>
        <x:v>0.051250586408105425</x:v>
      </x:c>
      <x:c r="L582" s="15" t="n">
        <x:f>IF(AND(N582,ISNUMBER(H582),ISNUMBER(I582),H582&gt;0),I582/H582-1,"n.a.")</x:f>
        <x:v>0.11787193712458355</x:v>
      </x:c>
      <x:c r="M582" s="20" t="n">
        <x:f>IF(AND(ISNUMBER(K582),ISNUMBER(L582)),100*(K582-L582),"n.a.")</x:f>
        <x:v>-6.662135071647812</x:v>
      </x:c>
      <x:c r="N582" s="13" t="b">
        <x:v>1</x:v>
      </x:c>
      <x:c r="O582" s="13" t="b">
        <x:v>1</x:v>
      </x:c>
      <x:c r="P582" s="13" t="b">
        <x:v>0</x:v>
      </x:c>
      <x:c r="Q582" s="2" t="str">
        <x:v>none</x:v>
      </x:c>
      <x:c r="R582" s="2" t="str">
        <x:v>none</x:v>
      </x:c>
      <x:c r="S582" s="2" t="str">
        <x:v>nominal Q4 source model estimate</x:v>
      </x:c>
      <x:c r="T582" s="2" t="str">
        <x:v>nominal Q4 source model estimate</x:v>
      </x:c>
      <x:c r="U582" s="2" t="str">
        <x:v>GFA growth versus source physical quantity growth; constant conversion required for equality</x:v>
      </x:c>
      <x:c r="V582" s="2" t="str">
        <x:v>2020 level is the model anchor; 2023 comparator unused by v16 fit but shares conversion/upstream lineage</x:v>
      </x:c>
      <x:c r="W582" s="2" t="str">
        <x:v>https://arxiv.org/abs/2511.12104</x:v>
      </x:c>
    </x:row>
    <x:row r="583" ht="23" customHeight="1">
      <x:c r="A583" s="2" t="str">
        <x:v>VAT</x:v>
      </x:c>
      <x:c r="B583" s="2" t="str">
        <x:v>Holy See (State of the Vatican City)</x:v>
      </x:c>
      <x:c r="C583" s="2" t="str">
        <x:v>TEMPO_VOLUME</x:v>
      </x:c>
      <x:c r="D583" s="2" t="n">
        <x:v>2020</x:v>
      </x:c>
      <x:c r="E583" s="2" t="n">
        <x:v>2023</x:v>
      </x:c>
      <x:c r="F583" s="17" t="n">
        <x:v>318924.24</x:v>
      </x:c>
      <x:c r="G583" s="17" t="n">
        <x:v>319246.38469032873</x:v>
      </x:c>
      <x:c r="H583" s="17" t="n">
        <x:v>1169933.28</x:v>
      </x:c>
      <x:c r="I583" s="17" t="n">
        <x:v>1144432.88</x:v>
      </x:c>
      <x:c r="J583" s="2" t="str">
        <x:v>m3</x:v>
      </x:c>
      <x:c r="K583" s="15" t="n">
        <x:f>IF(AND(ISNUMBER(F583),ISNUMBER(G583),F583&gt;0),G583/F583-1,"n.a.")</x:f>
        <x:v>0.0010100978537370686</x:v>
      </x:c>
      <x:c r="L583" s="15" t="n">
        <x:f>IF(AND(N583,ISNUMBER(H583),ISNUMBER(I583),H583&gt;0),I583/H583-1,"n.a.")</x:f>
        <x:v>-0.02179645663212537</x:v>
      </x:c>
      <x:c r="M583" s="20" t="n">
        <x:f>IF(AND(ISNUMBER(K583),ISNUMBER(L583)),100*(K583-L583),"n.a.")</x:f>
        <x:v>2.280655448586244</x:v>
      </x:c>
      <x:c r="N583" s="13" t="b">
        <x:v>1</x:v>
      </x:c>
      <x:c r="O583" s="13" t="b">
        <x:v>1</x:v>
      </x:c>
      <x:c r="P583" s="13" t="b">
        <x:v>0</x:v>
      </x:c>
      <x:c r="Q583" s="2" t="str">
        <x:v>none</x:v>
      </x:c>
      <x:c r="R583" s="2" t="str">
        <x:v>none</x:v>
      </x:c>
      <x:c r="S583" s="2" t="str">
        <x:v>nominal Q4 source model estimate</x:v>
      </x:c>
      <x:c r="T583" s="2" t="str">
        <x:v>nominal Q4 source model estimate</x:v>
      </x:c>
      <x:c r="U583" s="2" t="str">
        <x:v>GFA growth versus source physical quantity growth; constant conversion required for equality</x:v>
      </x:c>
      <x:c r="V583" s="2" t="str">
        <x:v>2020 level is the model anchor; 2023 comparator unused by v16 fit but shares conversion/upstream lineage</x:v>
      </x:c>
      <x:c r="W583" s="2" t="str">
        <x:v>https://arxiv.org/abs/2511.12104</x:v>
      </x:c>
    </x:row>
    <x:row r="584" ht="23" customHeight="1">
      <x:c r="A584" s="2" t="str">
        <x:v>VCT</x:v>
      </x:c>
      <x:c r="B584" s="2" t="str">
        <x:v>Saint Vincent and the Grenadines</x:v>
      </x:c>
      <x:c r="C584" s="2" t="str">
        <x:v>TEMPO_VOLUME</x:v>
      </x:c>
      <x:c r="D584" s="2" t="n">
        <x:v>2020</x:v>
      </x:c>
      <x:c r="E584" s="2" t="n">
        <x:v>2023</x:v>
      </x:c>
      <x:c r="F584" s="17" t="n">
        <x:v>6194383.570000002</x:v>
      </x:c>
      <x:c r="G584" s="17" t="n">
        <x:v>6242837.645069028</x:v>
      </x:c>
      <x:c r="H584" s="17" t="n">
        <x:v>14313847.75</x:v>
      </x:c>
      <x:c r="I584" s="17" t="n">
        <x:v>15020656.92</x:v>
      </x:c>
      <x:c r="J584" s="2" t="str">
        <x:v>m3</x:v>
      </x:c>
      <x:c r="K584" s="15" t="n">
        <x:f>IF(AND(ISNUMBER(F584),ISNUMBER(G584),F584&gt;0),G584/F584-1,"n.a.")</x:f>
        <x:v>0.007822259393766684</x:v>
      </x:c>
      <x:c r="L584" s="15" t="n">
        <x:f>IF(AND(N584,ISNUMBER(H584),ISNUMBER(I584),H584&gt;0),I584/H584-1,"n.a.")</x:f>
        <x:v>0.049379396954952304</x:v>
      </x:c>
      <x:c r="M584" s="20" t="n">
        <x:f>IF(AND(ISNUMBER(K584),ISNUMBER(L584)),100*(K584-L584),"n.a.")</x:f>
        <x:v>-4.155713756118562</x:v>
      </x:c>
      <x:c r="N584" s="13" t="b">
        <x:v>1</x:v>
      </x:c>
      <x:c r="O584" s="13" t="b">
        <x:v>1</x:v>
      </x:c>
      <x:c r="P584" s="13" t="b">
        <x:v>0</x:v>
      </x:c>
      <x:c r="Q584" s="2" t="str">
        <x:v>none</x:v>
      </x:c>
      <x:c r="R584" s="2" t="str">
        <x:v>none</x:v>
      </x:c>
      <x:c r="S584" s="2" t="str">
        <x:v>nominal Q4 source model estimate</x:v>
      </x:c>
      <x:c r="T584" s="2" t="str">
        <x:v>nominal Q4 source model estimate</x:v>
      </x:c>
      <x:c r="U584" s="2" t="str">
        <x:v>GFA growth versus source physical quantity growth; constant conversion required for equality</x:v>
      </x:c>
      <x:c r="V584" s="2" t="str">
        <x:v>2020 level is the model anchor; 2023 comparator unused by v16 fit but shares conversion/upstream lineage</x:v>
      </x:c>
      <x:c r="W584" s="2" t="str">
        <x:v>https://arxiv.org/abs/2511.12104</x:v>
      </x:c>
    </x:row>
    <x:row r="585" ht="23" customHeight="1">
      <x:c r="A585" s="2" t="str">
        <x:v>VEN</x:v>
      </x:c>
      <x:c r="B585" s="2" t="str">
        <x:v>Venezuela (Bolivarian Republic of)</x:v>
      </x:c>
      <x:c r="C585" s="2" t="str">
        <x:v>TEMPO_VOLUME</x:v>
      </x:c>
      <x:c r="D585" s="2" t="n">
        <x:v>2020</x:v>
      </x:c>
      <x:c r="E585" s="2" t="n">
        <x:v>2023</x:v>
      </x:c>
      <x:c r="F585" s="17" t="n">
        <x:v>1159546607.6500015</x:v>
      </x:c>
      <x:c r="G585" s="17" t="n">
        <x:v>1244165585.1265662</x:v>
      </x:c>
      <x:c r="H585" s="17" t="n">
        <x:v>3248249123.14</x:v>
      </x:c>
      <x:c r="I585" s="17" t="n">
        <x:v>3205911192.21</x:v>
      </x:c>
      <x:c r="J585" s="2" t="str">
        <x:v>m3</x:v>
      </x:c>
      <x:c r="K585" s="15" t="n">
        <x:f>IF(AND(ISNUMBER(F585),ISNUMBER(G585),F585&gt;0),G585/F585-1,"n.a.")</x:f>
        <x:v>0.0729759174131499</x:v>
      </x:c>
      <x:c r="L585" s="15" t="n">
        <x:f>IF(AND(N585,ISNUMBER(H585),ISNUMBER(I585),H585&gt;0),I585/H585-1,"n.a.")</x:f>
        <x:v>-0.013034077536846267</x:v>
      </x:c>
      <x:c r="M585" s="20" t="n">
        <x:f>IF(AND(ISNUMBER(K585),ISNUMBER(L585)),100*(K585-L585),"n.a.")</x:f>
        <x:v>8.600999494999616</x:v>
      </x:c>
      <x:c r="N585" s="13" t="b">
        <x:v>1</x:v>
      </x:c>
      <x:c r="O585" s="13" t="b">
        <x:v>1</x:v>
      </x:c>
      <x:c r="P585" s="13" t="b">
        <x:v>0</x:v>
      </x:c>
      <x:c r="Q585" s="2" t="str">
        <x:v>none</x:v>
      </x:c>
      <x:c r="R585" s="2" t="str">
        <x:v>none</x:v>
      </x:c>
      <x:c r="S585" s="2" t="str">
        <x:v>nominal Q4 source model estimate</x:v>
      </x:c>
      <x:c r="T585" s="2" t="str">
        <x:v>nominal Q4 source model estimate</x:v>
      </x:c>
      <x:c r="U585" s="2" t="str">
        <x:v>GFA growth versus source physical quantity growth; constant conversion required for equality</x:v>
      </x:c>
      <x:c r="V585" s="2" t="str">
        <x:v>2020 level is the model anchor; 2023 comparator unused by v16 fit but shares conversion/upstream lineage</x:v>
      </x:c>
      <x:c r="W585" s="2" t="str">
        <x:v>https://arxiv.org/abs/2511.12104</x:v>
      </x:c>
    </x:row>
    <x:row r="586" ht="23" customHeight="1">
      <x:c r="A586" s="2" t="str">
        <x:v>VNM</x:v>
      </x:c>
      <x:c r="B586" s="2" t="str">
        <x:v>Viet Nam (Socialist Republic of)</x:v>
      </x:c>
      <x:c r="C586" s="2" t="str">
        <x:v>TEMPO_VOLUME</x:v>
      </x:c>
      <x:c r="D586" s="2" t="n">
        <x:v>2020</x:v>
      </x:c>
      <x:c r="E586" s="2" t="n">
        <x:v>2023</x:v>
      </x:c>
      <x:c r="F586" s="17" t="n">
        <x:v>4861867508.520002</x:v>
      </x:c>
      <x:c r="G586" s="17" t="n">
        <x:v>5196458095.274765</x:v>
      </x:c>
      <x:c r="H586" s="17" t="n">
        <x:v>14490175973.06</x:v>
      </x:c>
      <x:c r="I586" s="17" t="n">
        <x:v>15557596980.13</x:v>
      </x:c>
      <x:c r="J586" s="2" t="str">
        <x:v>m3</x:v>
      </x:c>
      <x:c r="K586" s="15" t="n">
        <x:f>IF(AND(ISNUMBER(F586),ISNUMBER(G586),F586&gt;0),G586/F586-1,"n.a.")</x:f>
        <x:v>0.06881935514869997</x:v>
      </x:c>
      <x:c r="L586" s="15" t="n">
        <x:f>IF(AND(N586,ISNUMBER(H586),ISNUMBER(I586),H586&gt;0),I586/H586-1,"n.a.")</x:f>
        <x:v>0.07366515141393304</x:v>
      </x:c>
      <x:c r="M586" s="20" t="n">
        <x:f>IF(AND(ISNUMBER(K586),ISNUMBER(L586)),100*(K586-L586),"n.a.")</x:f>
        <x:v>-0.4845796265233071</x:v>
      </x:c>
      <x:c r="N586" s="13" t="b">
        <x:v>1</x:v>
      </x:c>
      <x:c r="O586" s="13" t="b">
        <x:v>1</x:v>
      </x:c>
      <x:c r="P586" s="13" t="b">
        <x:v>0</x:v>
      </x:c>
      <x:c r="Q586" s="2" t="str">
        <x:v>none</x:v>
      </x:c>
      <x:c r="R586" s="2" t="str">
        <x:v>none</x:v>
      </x:c>
      <x:c r="S586" s="2" t="str">
        <x:v>nominal Q4 source model estimate</x:v>
      </x:c>
      <x:c r="T586" s="2" t="str">
        <x:v>nominal Q4 source model estimate</x:v>
      </x:c>
      <x:c r="U586" s="2" t="str">
        <x:v>GFA growth versus source physical quantity growth; constant conversion required for equality</x:v>
      </x:c>
      <x:c r="V586" s="2" t="str">
        <x:v>2020 level is the model anchor; 2023 comparator unused by v16 fit but shares conversion/upstream lineage</x:v>
      </x:c>
      <x:c r="W586" s="2" t="str">
        <x:v>https://arxiv.org/abs/2511.12104</x:v>
      </x:c>
    </x:row>
    <x:row r="587" ht="23" customHeight="1">
      <x:c r="A587" s="2" t="str">
        <x:v>VUT</x:v>
      </x:c>
      <x:c r="B587" s="2" t="str">
        <x:v>Vanuatu (Republic of)</x:v>
      </x:c>
      <x:c r="C587" s="2" t="str">
        <x:v>TEMPO_VOLUME</x:v>
      </x:c>
      <x:c r="D587" s="2" t="n">
        <x:v>2020</x:v>
      </x:c>
      <x:c r="E587" s="2" t="n">
        <x:v>2023</x:v>
      </x:c>
      <x:c r="F587" s="17" t="n">
        <x:v>8193524.700000004</x:v>
      </x:c>
      <x:c r="G587" s="17" t="n">
        <x:v>9110750.156144958</x:v>
      </x:c>
      <x:c r="H587" s="17" t="n">
        <x:v>16288659.46</x:v>
      </x:c>
      <x:c r="I587" s="17" t="n">
        <x:v>17629456.36</x:v>
      </x:c>
      <x:c r="J587" s="2" t="str">
        <x:v>m3</x:v>
      </x:c>
      <x:c r="K587" s="15" t="n">
        <x:f>IF(AND(ISNUMBER(F587),ISNUMBER(G587),F587&gt;0),G587/F587-1,"n.a.")</x:f>
        <x:v>0.11194516276309674</x:v>
      </x:c>
      <x:c r="L587" s="15" t="n">
        <x:f>IF(AND(N587,ISNUMBER(H587),ISNUMBER(I587),H587&gt;0),I587/H587-1,"n.a.")</x:f>
        <x:v>0.08231474807933625</x:v>
      </x:c>
      <x:c r="M587" s="20" t="n">
        <x:f>IF(AND(ISNUMBER(K587),ISNUMBER(L587)),100*(K587-L587),"n.a.")</x:f>
        <x:v>2.9630414683760486</x:v>
      </x:c>
      <x:c r="N587" s="13" t="b">
        <x:v>1</x:v>
      </x:c>
      <x:c r="O587" s="13" t="b">
        <x:v>1</x:v>
      </x:c>
      <x:c r="P587" s="13" t="b">
        <x:v>0</x:v>
      </x:c>
      <x:c r="Q587" s="2" t="str">
        <x:v>none</x:v>
      </x:c>
      <x:c r="R587" s="2" t="str">
        <x:v>none</x:v>
      </x:c>
      <x:c r="S587" s="2" t="str">
        <x:v>nominal Q4 source model estimate</x:v>
      </x:c>
      <x:c r="T587" s="2" t="str">
        <x:v>nominal Q4 source model estimate</x:v>
      </x:c>
      <x:c r="U587" s="2" t="str">
        <x:v>GFA growth versus source physical quantity growth; constant conversion required for equality</x:v>
      </x:c>
      <x:c r="V587" s="2" t="str">
        <x:v>2020 level is the model anchor; 2023 comparator unused by v16 fit but shares conversion/upstream lineage</x:v>
      </x:c>
      <x:c r="W587" s="2" t="str">
        <x:v>https://arxiv.org/abs/2511.12104</x:v>
      </x:c>
    </x:row>
    <x:row r="588" ht="23" customHeight="1">
      <x:c r="A588" s="2" t="str">
        <x:v>WSM</x:v>
      </x:c>
      <x:c r="B588" s="2" t="str">
        <x:v>Samoa (Independent State of)</x:v>
      </x:c>
      <x:c r="C588" s="2" t="str">
        <x:v>TEMPO_VOLUME</x:v>
      </x:c>
      <x:c r="D588" s="2" t="n">
        <x:v>2020</x:v>
      </x:c>
      <x:c r="E588" s="2" t="n">
        <x:v>2023</x:v>
      </x:c>
      <x:c r="F588" s="17" t="n">
        <x:v>8105266.000000001</x:v>
      </x:c>
      <x:c r="G588" s="17" t="n">
        <x:v>8552439.935047252</x:v>
      </x:c>
      <x:c r="H588" s="17" t="n">
        <x:v>18082688.33</x:v>
      </x:c>
      <x:c r="I588" s="17" t="n">
        <x:v>20416452.31</x:v>
      </x:c>
      <x:c r="J588" s="2" t="str">
        <x:v>m3</x:v>
      </x:c>
      <x:c r="K588" s="15" t="n">
        <x:f>IF(AND(ISNUMBER(F588),ISNUMBER(G588),F588&gt;0),G588/F588-1,"n.a.")</x:f>
        <x:v>0.055170790822565374</x:v>
      </x:c>
      <x:c r="L588" s="15" t="n">
        <x:f>IF(AND(N588,ISNUMBER(H588),ISNUMBER(I588),H588&gt;0),I588/H588-1,"n.a.")</x:f>
        <x:v>0.12906067601287918</x:v>
      </x:c>
      <x:c r="M588" s="20" t="n">
        <x:f>IF(AND(ISNUMBER(K588),ISNUMBER(L588)),100*(K588-L588),"n.a.")</x:f>
        <x:v>-7.388988519031381</x:v>
      </x:c>
      <x:c r="N588" s="13" t="b">
        <x:v>1</x:v>
      </x:c>
      <x:c r="O588" s="13" t="b">
        <x:v>1</x:v>
      </x:c>
      <x:c r="P588" s="13" t="b">
        <x:v>0</x:v>
      </x:c>
      <x:c r="Q588" s="2" t="str">
        <x:v>none</x:v>
      </x:c>
      <x:c r="R588" s="2" t="str">
        <x:v>none</x:v>
      </x:c>
      <x:c r="S588" s="2" t="str">
        <x:v>nominal Q4 source model estimate</x:v>
      </x:c>
      <x:c r="T588" s="2" t="str">
        <x:v>nominal Q4 source model estimate</x:v>
      </x:c>
      <x:c r="U588" s="2" t="str">
        <x:v>GFA growth versus source physical quantity growth; constant conversion required for equality</x:v>
      </x:c>
      <x:c r="V588" s="2" t="str">
        <x:v>2020 level is the model anchor; 2023 comparator unused by v16 fit but shares conversion/upstream lineage</x:v>
      </x:c>
      <x:c r="W588" s="2" t="str">
        <x:v>https://arxiv.org/abs/2511.12104</x:v>
      </x:c>
    </x:row>
    <x:row r="589" ht="23" customHeight="1">
      <x:c r="A589" s="2" t="str">
        <x:v>YEM</x:v>
      </x:c>
      <x:c r="B589" s="2" t="str">
        <x:v>Yemen (Republic of)</x:v>
      </x:c>
      <x:c r="C589" s="2" t="str">
        <x:v>TEMPO_VOLUME</x:v>
      </x:c>
      <x:c r="D589" s="2" t="n">
        <x:v>2020</x:v>
      </x:c>
      <x:c r="E589" s="2" t="n">
        <x:v>2023</x:v>
      </x:c>
      <x:c r="F589" s="17" t="n">
        <x:v>454480387.6899993</x:v>
      </x:c>
      <x:c r="G589" s="17" t="n">
        <x:v>554270837.8402537</x:v>
      </x:c>
      <x:c r="H589" s="17" t="n">
        <x:v>1080524379.68</x:v>
      </x:c>
      <x:c r="I589" s="17" t="n">
        <x:v>1183181349.93</x:v>
      </x:c>
      <x:c r="J589" s="2" t="str">
        <x:v>m3</x:v>
      </x:c>
      <x:c r="K589" s="15" t="n">
        <x:f>IF(AND(ISNUMBER(F589),ISNUMBER(G589),F589&gt;0),G589/F589-1,"n.a.")</x:f>
        <x:v>0.21957042119564774</x:v>
      </x:c>
      <x:c r="L589" s="15" t="n">
        <x:f>IF(AND(N589,ISNUMBER(H589),ISNUMBER(I589),H589&gt;0),I589/H589-1,"n.a.")</x:f>
        <x:v>0.0950066210263596</x:v>
      </x:c>
      <x:c r="M589" s="20" t="n">
        <x:f>IF(AND(ISNUMBER(K589),ISNUMBER(L589)),100*(K589-L589),"n.a.")</x:f>
        <x:v>12.456380016928815</x:v>
      </x:c>
      <x:c r="N589" s="13" t="b">
        <x:v>1</x:v>
      </x:c>
      <x:c r="O589" s="13" t="b">
        <x:v>1</x:v>
      </x:c>
      <x:c r="P589" s="13" t="b">
        <x:v>0</x:v>
      </x:c>
      <x:c r="Q589" s="2" t="str">
        <x:v>none</x:v>
      </x:c>
      <x:c r="R589" s="2" t="str">
        <x:v>none</x:v>
      </x:c>
      <x:c r="S589" s="2" t="str">
        <x:v>nominal Q4 source model estimate</x:v>
      </x:c>
      <x:c r="T589" s="2" t="str">
        <x:v>nominal Q4 source model estimate</x:v>
      </x:c>
      <x:c r="U589" s="2" t="str">
        <x:v>GFA growth versus source physical quantity growth; constant conversion required for equality</x:v>
      </x:c>
      <x:c r="V589" s="2" t="str">
        <x:v>2020 level is the model anchor; 2023 comparator unused by v16 fit but shares conversion/upstream lineage</x:v>
      </x:c>
      <x:c r="W589" s="2" t="str">
        <x:v>https://arxiv.org/abs/2511.12104</x:v>
      </x:c>
    </x:row>
    <x:row r="590" ht="23" customHeight="1">
      <x:c r="A590" s="2" t="str">
        <x:v>ZAF</x:v>
      </x:c>
      <x:c r="B590" s="2" t="str">
        <x:v>South Africa (Republic of)</x:v>
      </x:c>
      <x:c r="C590" s="2" t="str">
        <x:v>TEMPO_VOLUME</x:v>
      </x:c>
      <x:c r="D590" s="2" t="n">
        <x:v>2020</x:v>
      </x:c>
      <x:c r="E590" s="2" t="n">
        <x:v>2023</x:v>
      </x:c>
      <x:c r="F590" s="17" t="n">
        <x:v>2711325840.6099963</x:v>
      </x:c>
      <x:c r="G590" s="17" t="n">
        <x:v>2851993951.5264945</x:v>
      </x:c>
      <x:c r="H590" s="17" t="n">
        <x:v>7002529150.44</x:v>
      </x:c>
      <x:c r="I590" s="17" t="n">
        <x:v>7525122824.82</x:v>
      </x:c>
      <x:c r="J590" s="2" t="str">
        <x:v>m3</x:v>
      </x:c>
      <x:c r="K590" s="15" t="n">
        <x:f>IF(AND(ISNUMBER(F590),ISNUMBER(G590),F590&gt;0),G590/F590-1,"n.a.")</x:f>
        <x:v>0.05188166940674699</x:v>
      </x:c>
      <x:c r="L590" s="15" t="n">
        <x:f>IF(AND(N590,ISNUMBER(H590),ISNUMBER(I590),H590&gt;0),I590/H590-1,"n.a.")</x:f>
        <x:v>0.07462927510229123</x:v>
      </x:c>
      <x:c r="M590" s="20" t="n">
        <x:f>IF(AND(ISNUMBER(K590),ISNUMBER(L590)),100*(K590-L590),"n.a.")</x:f>
        <x:v>-2.2747605695544237</x:v>
      </x:c>
      <x:c r="N590" s="13" t="b">
        <x:v>1</x:v>
      </x:c>
      <x:c r="O590" s="13" t="b">
        <x:v>1</x:v>
      </x:c>
      <x:c r="P590" s="13" t="b">
        <x:v>0</x:v>
      </x:c>
      <x:c r="Q590" s="2" t="str">
        <x:v>none</x:v>
      </x:c>
      <x:c r="R590" s="2" t="str">
        <x:v>none</x:v>
      </x:c>
      <x:c r="S590" s="2" t="str">
        <x:v>nominal Q4 source model estimate</x:v>
      </x:c>
      <x:c r="T590" s="2" t="str">
        <x:v>nominal Q4 source model estimate</x:v>
      </x:c>
      <x:c r="U590" s="2" t="str">
        <x:v>GFA growth versus source physical quantity growth; constant conversion required for equality</x:v>
      </x:c>
      <x:c r="V590" s="2" t="str">
        <x:v>2020 level is the model anchor; 2023 comparator unused by v16 fit but shares conversion/upstream lineage</x:v>
      </x:c>
      <x:c r="W590" s="2" t="str">
        <x:v>https://arxiv.org/abs/2511.12104</x:v>
      </x:c>
    </x:row>
    <x:row r="591" ht="23" customHeight="1">
      <x:c r="A591" s="2" t="str">
        <x:v>ZMB</x:v>
      </x:c>
      <x:c r="B591" s="2" t="str">
        <x:v>Zambia (Republic of)</x:v>
      </x:c>
      <x:c r="C591" s="2" t="str">
        <x:v>TEMPO_VOLUME</x:v>
      </x:c>
      <x:c r="D591" s="2" t="n">
        <x:v>2020</x:v>
      </x:c>
      <x:c r="E591" s="2" t="n">
        <x:v>2023</x:v>
      </x:c>
      <x:c r="F591" s="17" t="n">
        <x:v>396696842.49999976</x:v>
      </x:c>
      <x:c r="G591" s="17" t="n">
        <x:v>433758719.9772798</x:v>
      </x:c>
      <x:c r="H591" s="17" t="n">
        <x:v>817672593.02</x:v>
      </x:c>
      <x:c r="I591" s="17" t="n">
        <x:v>910113730.44</x:v>
      </x:c>
      <x:c r="J591" s="2" t="str">
        <x:v>m3</x:v>
      </x:c>
      <x:c r="K591" s="15" t="n">
        <x:f>IF(AND(ISNUMBER(F591),ISNUMBER(G591),F591&gt;0),G591/F591-1,"n.a.")</x:f>
        <x:v>0.09342619730400314</x:v>
      </x:c>
      <x:c r="L591" s="15" t="n">
        <x:f>IF(AND(N591,ISNUMBER(H591),ISNUMBER(I591),H591&gt;0),I591/H591-1,"n.a.")</x:f>
        <x:v>0.11305397564883157</x:v>
      </x:c>
      <x:c r="M591" s="20" t="n">
        <x:f>IF(AND(ISNUMBER(K591),ISNUMBER(L591)),100*(K591-L591),"n.a.")</x:f>
        <x:v>-1.9627778344828428</x:v>
      </x:c>
      <x:c r="N591" s="13" t="b">
        <x:v>1</x:v>
      </x:c>
      <x:c r="O591" s="13" t="b">
        <x:v>1</x:v>
      </x:c>
      <x:c r="P591" s="13" t="b">
        <x:v>0</x:v>
      </x:c>
      <x:c r="Q591" s="2" t="str">
        <x:v>none</x:v>
      </x:c>
      <x:c r="R591" s="2" t="str">
        <x:v>none</x:v>
      </x:c>
      <x:c r="S591" s="2" t="str">
        <x:v>nominal Q4 source model estimate</x:v>
      </x:c>
      <x:c r="T591" s="2" t="str">
        <x:v>nominal Q4 source model estimate</x:v>
      </x:c>
      <x:c r="U591" s="2" t="str">
        <x:v>GFA growth versus source physical quantity growth; constant conversion required for equality</x:v>
      </x:c>
      <x:c r="V591" s="2" t="str">
        <x:v>2020 level is the model anchor; 2023 comparator unused by v16 fit but shares conversion/upstream lineage</x:v>
      </x:c>
      <x:c r="W591" s="2" t="str">
        <x:v>https://arxiv.org/abs/2511.12104</x:v>
      </x:c>
    </x:row>
    <x:row r="592" ht="23" customHeight="1">
      <x:c r="A592" s="2" t="str">
        <x:v>ZWE</x:v>
      </x:c>
      <x:c r="B592" s="2" t="str">
        <x:v>Zimbabwe (Republic of)</x:v>
      </x:c>
      <x:c r="C592" s="2" t="str">
        <x:v>TEMPO_VOLUME</x:v>
      </x:c>
      <x:c r="D592" s="2" t="n">
        <x:v>2020</x:v>
      </x:c>
      <x:c r="E592" s="2" t="n">
        <x:v>2023</x:v>
      </x:c>
      <x:c r="F592" s="17" t="n">
        <x:v>420425813.9799996</x:v>
      </x:c>
      <x:c r="G592" s="17" t="n">
        <x:v>450582162.9465908</x:v>
      </x:c>
      <x:c r="H592" s="17" t="n">
        <x:v>773528571.44</x:v>
      </x:c>
      <x:c r="I592" s="17" t="n">
        <x:v>850305731.44</x:v>
      </x:c>
      <x:c r="J592" s="2" t="str">
        <x:v>m3</x:v>
      </x:c>
      <x:c r="K592" s="15" t="n">
        <x:f>IF(AND(ISNUMBER(F592),ISNUMBER(G592),F592&gt;0),G592/F592-1,"n.a.")</x:f>
        <x:v>0.07172810984442979</x:v>
      </x:c>
      <x:c r="L592" s="15" t="n">
        <x:f>IF(AND(N592,ISNUMBER(H592),ISNUMBER(I592),H592&gt;0),I592/H592-1,"n.a.")</x:f>
        <x:v>0.09925575193308211</x:v>
      </x:c>
      <x:c r="M592" s="20" t="n">
        <x:f>IF(AND(ISNUMBER(K592),ISNUMBER(L592)),100*(K592-L592),"n.a.")</x:f>
        <x:v>-2.7527642088652327</x:v>
      </x:c>
      <x:c r="N592" s="13" t="b">
        <x:v>1</x:v>
      </x:c>
      <x:c r="O592" s="13" t="b">
        <x:v>1</x:v>
      </x:c>
      <x:c r="P592" s="13" t="b">
        <x:v>0</x:v>
      </x:c>
      <x:c r="Q592" s="2" t="str">
        <x:v>none</x:v>
      </x:c>
      <x:c r="R592" s="2" t="str">
        <x:v>none</x:v>
      </x:c>
      <x:c r="S592" s="2" t="str">
        <x:v>nominal Q4 source model estimate</x:v>
      </x:c>
      <x:c r="T592" s="2" t="str">
        <x:v>nominal Q4 source model estimate</x:v>
      </x:c>
      <x:c r="U592" s="2" t="str">
        <x:v>GFA growth versus source physical quantity growth; constant conversion required for equality</x:v>
      </x:c>
      <x:c r="V592" s="2" t="str">
        <x:v>2020 level is the model anchor; 2023 comparator unused by v16 fit but shares conversion/upstream lineage</x:v>
      </x:c>
      <x:c r="W592" s="2" t="str">
        <x:v>https://arxiv.org/abs/2511.12104</x:v>
      </x:c>
    </x:row>
    <x:row r="593" ht="23" customHeight="1">
      <x:c r="A593" s="2" t="str">
        <x:v>AFG</x:v>
      </x:c>
      <x:c r="B593" s="2" t="str">
        <x:v>Afghanistan (Islamic Republic of)</x:v>
      </x:c>
      <x:c r="C593" s="2" t="str">
        <x:v>GHSL_SURFACE</x:v>
      </x:c>
      <x:c r="D593" s="2" t="n">
        <x:v>2015</x:v>
      </x:c>
      <x:c r="E593" s="2" t="n">
        <x:v>2020</x:v>
      </x:c>
      <x:c r="F593" s="17" t="n">
        <x:v>723941377.8198509</x:v>
      </x:c>
      <x:c r="G593" s="17" t="n">
        <x:v>853208432.4500008</x:v>
      </x:c>
      <x:c r="H593" s="17" t="n">
        <x:v>515386676</x:v>
      </x:c>
      <x:c r="I593" s="17" t="n">
        <x:v>601824958</x:v>
      </x:c>
      <x:c r="J593" s="2" t="str">
        <x:v>m2</x:v>
      </x:c>
      <x:c r="K593" s="15" t="n">
        <x:f>IF(AND(ISNUMBER(F593),ISNUMBER(G593),F593&gt;0),G593/F593-1,"n.a.")</x:f>
        <x:v>0.1785601135542736</x:v>
      </x:c>
      <x:c r="L593" s="15" t="n">
        <x:f>IF(AND(N593,ISNUMBER(H593),ISNUMBER(I593),H593&gt;0),I593/H593-1,"n.a.")</x:f>
        <x:v>0.16771539899102872</x:v>
      </x:c>
      <x:c r="M593" s="20" t="n">
        <x:f>IF(AND(ISNUMBER(K593),ISNUMBER(L593)),100*(K593-L593),"n.a.")</x:f>
        <x:v>1.0844714563244873</x:v>
      </x:c>
      <x:c r="N593" s="13" t="b">
        <x:v>1</x:v>
      </x:c>
      <x:c r="O593" s="13" t="b">
        <x:v>1</x:v>
      </x:c>
      <x:c r="P593" s="13" t="b">
        <x:v>0</x:v>
      </x:c>
      <x:c r="Q593" s="2" t="str">
        <x:v>legacy epoch_status=observed; not exact acquisition proof</x:v>
      </x:c>
      <x:c r="R593" s="2" t="str">
        <x:v>legacy epoch_status=observed; not exact acquisition proof</x:v>
      </x:c>
      <x:c r="S593" s="2" t="str">
        <x:v>historical source estimate</x:v>
      </x:c>
      <x:c r="T593" s="2" t="str">
        <x:v>historical source estimate</x:v>
      </x:c>
      <x:c r="U593" s="2" t="str">
        <x:v>GFA growth versus source physical quantity growth; constant conversion required for equality</x:v>
      </x:c>
      <x:c r="V593" s="2" t="str">
        <x:v>Historical horizontal endpoint trend already used by v16</x:v>
      </x:c>
      <x:c r="W593" s="2" t="str">
        <x:v>https://human-settlement.emergency.copernicus.eu/ghs_buS2023.php</x:v>
      </x:c>
    </x:row>
    <x:row r="594" ht="23" customHeight="1">
      <x:c r="A594" s="2" t="str">
        <x:v>AGO</x:v>
      </x:c>
      <x:c r="B594" s="2" t="str">
        <x:v>Angola (Republic of)</x:v>
      </x:c>
      <x:c r="C594" s="2" t="str">
        <x:v>GHSL_SURFACE</x:v>
      </x:c>
      <x:c r="D594" s="2" t="n">
        <x:v>2015</x:v>
      </x:c>
      <x:c r="E594" s="2" t="n">
        <x:v>2020</x:v>
      </x:c>
      <x:c r="F594" s="17" t="n">
        <x:v>402759467.7748718</x:v>
      </x:c>
      <x:c r="G594" s="17" t="n">
        <x:v>512504617.85999936</x:v>
      </x:c>
      <x:c r="H594" s="17" t="n">
        <x:v>1012341954</x:v>
      </x:c>
      <x:c r="I594" s="17" t="n">
        <x:v>1281466302</x:v>
      </x:c>
      <x:c r="J594" s="2" t="str">
        <x:v>m2</x:v>
      </x:c>
      <x:c r="K594" s="15" t="n">
        <x:f>IF(AND(ISNUMBER(F594),ISNUMBER(G594),F594&gt;0),G594/F594-1,"n.a.")</x:f>
        <x:v>0.2724831043487006</x:v>
      </x:c>
      <x:c r="L594" s="15" t="n">
        <x:f>IF(AND(N594,ISNUMBER(H594),ISNUMBER(I594),H594&gt;0),I594/H594-1,"n.a.")</x:f>
        <x:v>0.2658433219492946</x:v>
      </x:c>
      <x:c r="M594" s="20" t="n">
        <x:f>IF(AND(ISNUMBER(K594),ISNUMBER(L594)),100*(K594-L594),"n.a.")</x:f>
        <x:v>0.6639782399405991</x:v>
      </x:c>
      <x:c r="N594" s="13" t="b">
        <x:v>1</x:v>
      </x:c>
      <x:c r="O594" s="13" t="b">
        <x:v>1</x:v>
      </x:c>
      <x:c r="P594" s="13" t="b">
        <x:v>0</x:v>
      </x:c>
      <x:c r="Q594" s="2" t="str">
        <x:v>legacy epoch_status=observed; not exact acquisition proof</x:v>
      </x:c>
      <x:c r="R594" s="2" t="str">
        <x:v>legacy epoch_status=observed; not exact acquisition proof</x:v>
      </x:c>
      <x:c r="S594" s="2" t="str">
        <x:v>historical source estimate</x:v>
      </x:c>
      <x:c r="T594" s="2" t="str">
        <x:v>historical source estimate</x:v>
      </x:c>
      <x:c r="U594" s="2" t="str">
        <x:v>GFA growth versus source physical quantity growth; constant conversion required for equality</x:v>
      </x:c>
      <x:c r="V594" s="2" t="str">
        <x:v>Historical horizontal endpoint trend already used by v16</x:v>
      </x:c>
      <x:c r="W594" s="2" t="str">
        <x:v>https://human-settlement.emergency.copernicus.eu/ghs_buS2023.php</x:v>
      </x:c>
    </x:row>
    <x:row r="595" ht="23" customHeight="1">
      <x:c r="A595" s="2" t="str">
        <x:v>ALB</x:v>
      </x:c>
      <x:c r="B595" s="2" t="str">
        <x:v>Albania (Republic of)</x:v>
      </x:c>
      <x:c r="C595" s="2" t="str">
        <x:v>GHSL_SURFACE</x:v>
      </x:c>
      <x:c r="D595" s="2" t="n">
        <x:v>2015</x:v>
      </x:c>
      <x:c r="E595" s="2" t="n">
        <x:v>2020</x:v>
      </x:c>
      <x:c r="F595" s="17" t="n">
        <x:v>152591911.14729556</x:v>
      </x:c>
      <x:c r="G595" s="17" t="n">
        <x:v>161276383.52000022</x:v>
      </x:c>
      <x:c r="H595" s="17" t="n">
        <x:v>225092571</x:v>
      </x:c>
      <x:c r="I595" s="17" t="n">
        <x:v>237955692</x:v>
      </x:c>
      <x:c r="J595" s="2" t="str">
        <x:v>m2</x:v>
      </x:c>
      <x:c r="K595" s="15" t="n">
        <x:f>IF(AND(ISNUMBER(F595),ISNUMBER(G595),F595&gt;0),G595/F595-1,"n.a.")</x:f>
        <x:v>0.05691305854555817</x:v>
      </x:c>
      <x:c r="L595" s="15" t="n">
        <x:f>IF(AND(N595,ISNUMBER(H595),ISNUMBER(I595),H595&gt;0),I595/H595-1,"n.a.")</x:f>
        <x:v>0.05714591531321567</x:v>
      </x:c>
      <x:c r="M595" s="20" t="n">
        <x:f>IF(AND(ISNUMBER(K595),ISNUMBER(L595)),100*(K595-L595),"n.a.")</x:f>
        <x:v>-0.023285676765749663</x:v>
      </x:c>
      <x:c r="N595" s="13" t="b">
        <x:v>1</x:v>
      </x:c>
      <x:c r="O595" s="13" t="b">
        <x:v>1</x:v>
      </x:c>
      <x:c r="P595" s="13" t="b">
        <x:v>0</x:v>
      </x:c>
      <x:c r="Q595" s="2" t="str">
        <x:v>legacy epoch_status=observed; not exact acquisition proof</x:v>
      </x:c>
      <x:c r="R595" s="2" t="str">
        <x:v>legacy epoch_status=observed; not exact acquisition proof</x:v>
      </x:c>
      <x:c r="S595" s="2" t="str">
        <x:v>historical source estimate</x:v>
      </x:c>
      <x:c r="T595" s="2" t="str">
        <x:v>historical source estimate</x:v>
      </x:c>
      <x:c r="U595" s="2" t="str">
        <x:v>GFA growth versus source physical quantity growth; constant conversion required for equality</x:v>
      </x:c>
      <x:c r="V595" s="2" t="str">
        <x:v>Historical horizontal endpoint trend already used by v16</x:v>
      </x:c>
      <x:c r="W595" s="2" t="str">
        <x:v>https://human-settlement.emergency.copernicus.eu/ghs_buS2023.php</x:v>
      </x:c>
    </x:row>
    <x:row r="596" ht="23" customHeight="1">
      <x:c r="A596" s="2" t="str">
        <x:v>AND</x:v>
      </x:c>
      <x:c r="B596" s="2" t="str">
        <x:v>Andorra (Principality of)</x:v>
      </x:c>
      <x:c r="C596" s="2" t="str">
        <x:v>GHSL_SURFACE</x:v>
      </x:c>
      <x:c r="D596" s="2" t="n">
        <x:v>2015</x:v>
      </x:c>
      <x:c r="E596" s="2" t="n">
        <x:v>2020</x:v>
      </x:c>
      <x:c r="F596" s="17" t="n">
        <x:v>2845560.5783106415</x:v>
      </x:c>
      <x:c r="G596" s="17" t="n">
        <x:v>2995448.5899999994</x:v>
      </x:c>
      <x:c r="H596" s="17" t="n">
        <x:v>2130600</x:v>
      </x:c>
      <x:c r="I596" s="17" t="n">
        <x:v>2225731</x:v>
      </x:c>
      <x:c r="J596" s="2" t="str">
        <x:v>m2</x:v>
      </x:c>
      <x:c r="K596" s="15" t="n">
        <x:f>IF(AND(ISNUMBER(F596),ISNUMBER(G596),F596&gt;0),G596/F596-1,"n.a.")</x:f>
        <x:v>0.052674335184367704</x:v>
      </x:c>
      <x:c r="L596" s="15" t="n">
        <x:f>IF(AND(N596,ISNUMBER(H596),ISNUMBER(I596),H596&gt;0),I596/H596-1,"n.a.")</x:f>
        <x:v>0.044649863888106545</x:v>
      </x:c>
      <x:c r="M596" s="20" t="n">
        <x:f>IF(AND(ISNUMBER(K596),ISNUMBER(L596)),100*(K596-L596),"n.a.")</x:f>
        <x:v>0.802447129626116</x:v>
      </x:c>
      <x:c r="N596" s="13" t="b">
        <x:v>1</x:v>
      </x:c>
      <x:c r="O596" s="13" t="b">
        <x:v>1</x:v>
      </x:c>
      <x:c r="P596" s="13" t="b">
        <x:v>0</x:v>
      </x:c>
      <x:c r="Q596" s="2" t="str">
        <x:v>legacy epoch_status=observed; not exact acquisition proof</x:v>
      </x:c>
      <x:c r="R596" s="2" t="str">
        <x:v>legacy epoch_status=observed; not exact acquisition proof</x:v>
      </x:c>
      <x:c r="S596" s="2" t="str">
        <x:v>historical source estimate</x:v>
      </x:c>
      <x:c r="T596" s="2" t="str">
        <x:v>historical source estimate</x:v>
      </x:c>
      <x:c r="U596" s="2" t="str">
        <x:v>GFA growth versus source physical quantity growth; constant conversion required for equality</x:v>
      </x:c>
      <x:c r="V596" s="2" t="str">
        <x:v>Historical horizontal endpoint trend already used by v16</x:v>
      </x:c>
      <x:c r="W596" s="2" t="str">
        <x:v>https://human-settlement.emergency.copernicus.eu/ghs_buS2023.php</x:v>
      </x:c>
    </x:row>
    <x:row r="597" ht="23" customHeight="1">
      <x:c r="A597" s="2" t="str">
        <x:v>ARE</x:v>
      </x:c>
      <x:c r="B597" s="2" t="str">
        <x:v>United Arab Emirates</x:v>
      </x:c>
      <x:c r="C597" s="2" t="str">
        <x:v>GHSL_SURFACE</x:v>
      </x:c>
      <x:c r="D597" s="2" t="n">
        <x:v>2015</x:v>
      </x:c>
      <x:c r="E597" s="2" t="n">
        <x:v>2020</x:v>
      </x:c>
      <x:c r="F597" s="17" t="n">
        <x:v>432363221.29956406</x:v>
      </x:c>
      <x:c r="G597" s="17" t="n">
        <x:v>511804054.8699995</x:v>
      </x:c>
      <x:c r="H597" s="17" t="n">
        <x:v>528736539</x:v>
      </x:c>
      <x:c r="I597" s="17" t="n">
        <x:v>620014254</x:v>
      </x:c>
      <x:c r="J597" s="2" t="str">
        <x:v>m2</x:v>
      </x:c>
      <x:c r="K597" s="15" t="n">
        <x:f>IF(AND(ISNUMBER(F597),ISNUMBER(G597),F597&gt;0),G597/F597-1,"n.a.")</x:f>
        <x:v>0.18373633476885098</x:v>
      </x:c>
      <x:c r="L597" s="15" t="n">
        <x:f>IF(AND(N597,ISNUMBER(H597),ISNUMBER(I597),H597&gt;0),I597/H597-1,"n.a.")</x:f>
        <x:v>0.1726336431611737</x:v>
      </x:c>
      <x:c r="M597" s="20" t="n">
        <x:f>IF(AND(ISNUMBER(K597),ISNUMBER(L597)),100*(K597-L597),"n.a.")</x:f>
        <x:v>1.1102691607677295</x:v>
      </x:c>
      <x:c r="N597" s="13" t="b">
        <x:v>1</x:v>
      </x:c>
      <x:c r="O597" s="13" t="b">
        <x:v>1</x:v>
      </x:c>
      <x:c r="P597" s="13" t="b">
        <x:v>0</x:v>
      </x:c>
      <x:c r="Q597" s="2" t="str">
        <x:v>legacy epoch_status=observed; not exact acquisition proof</x:v>
      </x:c>
      <x:c r="R597" s="2" t="str">
        <x:v>legacy epoch_status=observed; not exact acquisition proof</x:v>
      </x:c>
      <x:c r="S597" s="2" t="str">
        <x:v>historical source estimate</x:v>
      </x:c>
      <x:c r="T597" s="2" t="str">
        <x:v>historical source estimate</x:v>
      </x:c>
      <x:c r="U597" s="2" t="str">
        <x:v>GFA growth versus source physical quantity growth; constant conversion required for equality</x:v>
      </x:c>
      <x:c r="V597" s="2" t="str">
        <x:v>Historical horizontal endpoint trend already used by v16</x:v>
      </x:c>
      <x:c r="W597" s="2" t="str">
        <x:v>https://human-settlement.emergency.copernicus.eu/ghs_buS2023.php</x:v>
      </x:c>
    </x:row>
    <x:row r="598" ht="23" customHeight="1">
      <x:c r="A598" s="2" t="str">
        <x:v>ARG</x:v>
      </x:c>
      <x:c r="B598" s="2" t="str">
        <x:v>Argentina (Argentine Republic)</x:v>
      </x:c>
      <x:c r="C598" s="2" t="str">
        <x:v>GHSL_SURFACE</x:v>
      </x:c>
      <x:c r="D598" s="2" t="n">
        <x:v>2015</x:v>
      </x:c>
      <x:c r="E598" s="2" t="n">
        <x:v>2020</x:v>
      </x:c>
      <x:c r="F598" s="17" t="n">
        <x:v>2281407992.298051</x:v>
      </x:c>
      <x:c r="G598" s="17" t="n">
        <x:v>2382940448.399998</x:v>
      </x:c>
      <x:c r="H598" s="17" t="n">
        <x:v>3768980079</x:v>
      </x:c>
      <x:c r="I598" s="17" t="n">
        <x:v>3922202527</x:v>
      </x:c>
      <x:c r="J598" s="2" t="str">
        <x:v>m2</x:v>
      </x:c>
      <x:c r="K598" s="15" t="n">
        <x:f>IF(AND(ISNUMBER(F598),ISNUMBER(G598),F598&gt;0),G598/F598-1,"n.a.")</x:f>
        <x:v>0.04450429578782811</x:v>
      </x:c>
      <x:c r="L598" s="15" t="n">
        <x:f>IF(AND(N598,ISNUMBER(H598),ISNUMBER(I598),H598&gt;0),I598/H598-1,"n.a.")</x:f>
        <x:v>0.04065355740501908</x:v>
      </x:c>
      <x:c r="M598" s="20" t="n">
        <x:f>IF(AND(ISNUMBER(K598),ISNUMBER(L598)),100*(K598-L598),"n.a.")</x:f>
        <x:v>0.3850738382809027</x:v>
      </x:c>
      <x:c r="N598" s="13" t="b">
        <x:v>1</x:v>
      </x:c>
      <x:c r="O598" s="13" t="b">
        <x:v>1</x:v>
      </x:c>
      <x:c r="P598" s="13" t="b">
        <x:v>0</x:v>
      </x:c>
      <x:c r="Q598" s="2" t="str">
        <x:v>legacy epoch_status=observed; not exact acquisition proof</x:v>
      </x:c>
      <x:c r="R598" s="2" t="str">
        <x:v>legacy epoch_status=observed; not exact acquisition proof</x:v>
      </x:c>
      <x:c r="S598" s="2" t="str">
        <x:v>historical source estimate</x:v>
      </x:c>
      <x:c r="T598" s="2" t="str">
        <x:v>historical source estimate</x:v>
      </x:c>
      <x:c r="U598" s="2" t="str">
        <x:v>GFA growth versus source physical quantity growth; constant conversion required for equality</x:v>
      </x:c>
      <x:c r="V598" s="2" t="str">
        <x:v>Historical horizontal endpoint trend already used by v16</x:v>
      </x:c>
      <x:c r="W598" s="2" t="str">
        <x:v>https://human-settlement.emergency.copernicus.eu/ghs_buS2023.php</x:v>
      </x:c>
    </x:row>
    <x:row r="599" ht="23" customHeight="1">
      <x:c r="A599" s="2" t="str">
        <x:v>ARM</x:v>
      </x:c>
      <x:c r="B599" s="2" t="str">
        <x:v>Armenia (Republic of)</x:v>
      </x:c>
      <x:c r="C599" s="2" t="str">
        <x:v>GHSL_SURFACE</x:v>
      </x:c>
      <x:c r="D599" s="2" t="n">
        <x:v>2015</x:v>
      </x:c>
      <x:c r="E599" s="2" t="n">
        <x:v>2020</x:v>
      </x:c>
      <x:c r="F599" s="17" t="n">
        <x:v>138576247.47924888</x:v>
      </x:c>
      <x:c r="G599" s="17" t="n">
        <x:v>142786500.21000025</x:v>
      </x:c>
      <x:c r="H599" s="17" t="n">
        <x:v>216047546</x:v>
      </x:c>
      <x:c r="I599" s="17" t="n">
        <x:v>222493806</x:v>
      </x:c>
      <x:c r="J599" s="2" t="str">
        <x:v>m2</x:v>
      </x:c>
      <x:c r="K599" s="15" t="n">
        <x:f>IF(AND(ISNUMBER(F599),ISNUMBER(G599),F599&gt;0),G599/F599-1,"n.a.")</x:f>
        <x:v>0.0303822105688194</x:v>
      </x:c>
      <x:c r="L599" s="15" t="n">
        <x:f>IF(AND(N599,ISNUMBER(H599),ISNUMBER(I599),H599&gt;0),I599/H599-1,"n.a.")</x:f>
        <x:v>0.029837228514504766</x:v>
      </x:c>
      <x:c r="M599" s="20" t="n">
        <x:f>IF(AND(ISNUMBER(K599),ISNUMBER(L599)),100*(K599-L599),"n.a.")</x:f>
        <x:v>0.05449820543146355</x:v>
      </x:c>
      <x:c r="N599" s="13" t="b">
        <x:v>1</x:v>
      </x:c>
      <x:c r="O599" s="13" t="b">
        <x:v>1</x:v>
      </x:c>
      <x:c r="P599" s="13" t="b">
        <x:v>0</x:v>
      </x:c>
      <x:c r="Q599" s="2" t="str">
        <x:v>legacy epoch_status=observed; not exact acquisition proof</x:v>
      </x:c>
      <x:c r="R599" s="2" t="str">
        <x:v>legacy epoch_status=observed; not exact acquisition proof</x:v>
      </x:c>
      <x:c r="S599" s="2" t="str">
        <x:v>historical source estimate</x:v>
      </x:c>
      <x:c r="T599" s="2" t="str">
        <x:v>historical source estimate</x:v>
      </x:c>
      <x:c r="U599" s="2" t="str">
        <x:v>GFA growth versus source physical quantity growth; constant conversion required for equality</x:v>
      </x:c>
      <x:c r="V599" s="2" t="str">
        <x:v>Historical horizontal endpoint trend already used by v16</x:v>
      </x:c>
      <x:c r="W599" s="2" t="str">
        <x:v>https://human-settlement.emergency.copernicus.eu/ghs_buS2023.php</x:v>
      </x:c>
    </x:row>
    <x:row r="600" ht="23" customHeight="1">
      <x:c r="A600" s="2" t="str">
        <x:v>ATG</x:v>
      </x:c>
      <x:c r="B600" s="2" t="str">
        <x:v>Antigua and Barbuda</x:v>
      </x:c>
      <x:c r="C600" s="2" t="str">
        <x:v>GHSL_SURFACE</x:v>
      </x:c>
      <x:c r="D600" s="2" t="n">
        <x:v>2015</x:v>
      </x:c>
      <x:c r="E600" s="2" t="n">
        <x:v>2020</x:v>
      </x:c>
      <x:c r="F600" s="17" t="n">
        <x:v>6409689.412213599</x:v>
      </x:c>
      <x:c r="G600" s="17" t="n">
        <x:v>7437404.659999999</x:v>
      </x:c>
      <x:c r="H600" s="17" t="n">
        <x:v>11904866</x:v>
      </x:c>
      <x:c r="I600" s="17" t="n">
        <x:v>13752045</x:v>
      </x:c>
      <x:c r="J600" s="2" t="str">
        <x:v>m2</x:v>
      </x:c>
      <x:c r="K600" s="15" t="n">
        <x:f>IF(AND(ISNUMBER(F600),ISNUMBER(G600),F600&gt;0),G600/F600-1,"n.a.")</x:f>
        <x:v>0.16033776080134232</x:v>
      </x:c>
      <x:c r="L600" s="15" t="n">
        <x:f>IF(AND(N600,ISNUMBER(H600),ISNUMBER(I600),H600&gt;0),I600/H600-1,"n.a.")</x:f>
        <x:v>0.15516167926627644</x:v>
      </x:c>
      <x:c r="M600" s="20" t="n">
        <x:f>IF(AND(ISNUMBER(K600),ISNUMBER(L600)),100*(K600-L600),"n.a.")</x:f>
        <x:v>0.517608153506588</x:v>
      </x:c>
      <x:c r="N600" s="13" t="b">
        <x:v>1</x:v>
      </x:c>
      <x:c r="O600" s="13" t="b">
        <x:v>1</x:v>
      </x:c>
      <x:c r="P600" s="13" t="b">
        <x:v>0</x:v>
      </x:c>
      <x:c r="Q600" s="2" t="str">
        <x:v>legacy epoch_status=observed; not exact acquisition proof</x:v>
      </x:c>
      <x:c r="R600" s="2" t="str">
        <x:v>legacy epoch_status=observed; not exact acquisition proof</x:v>
      </x:c>
      <x:c r="S600" s="2" t="str">
        <x:v>historical source estimate</x:v>
      </x:c>
      <x:c r="T600" s="2" t="str">
        <x:v>historical source estimate</x:v>
      </x:c>
      <x:c r="U600" s="2" t="str">
        <x:v>GFA growth versus source physical quantity growth; constant conversion required for equality</x:v>
      </x:c>
      <x:c r="V600" s="2" t="str">
        <x:v>Historical horizontal endpoint trend already used by v16</x:v>
      </x:c>
      <x:c r="W600" s="2" t="str">
        <x:v>https://human-settlement.emergency.copernicus.eu/ghs_buS2023.php</x:v>
      </x:c>
    </x:row>
    <x:row r="601" ht="23" customHeight="1">
      <x:c r="A601" s="2" t="str">
        <x:v>AUS</x:v>
      </x:c>
      <x:c r="B601" s="2" t="str">
        <x:v>Australia (Commonwealth of)</x:v>
      </x:c>
      <x:c r="C601" s="2" t="str">
        <x:v>GHSL_SURFACE</x:v>
      </x:c>
      <x:c r="D601" s="2" t="n">
        <x:v>2015</x:v>
      </x:c>
      <x:c r="E601" s="2" t="n">
        <x:v>2020</x:v>
      </x:c>
      <x:c r="F601" s="17" t="n">
        <x:v>2689879598.545835</x:v>
      </x:c>
      <x:c r="G601" s="17" t="n">
        <x:v>3011161094.8599973</x:v>
      </x:c>
      <x:c r="H601" s="17" t="n">
        <x:v>4546242046</x:v>
      </x:c>
      <x:c r="I601" s="17" t="n">
        <x:v>5035897826</x:v>
      </x:c>
      <x:c r="J601" s="2" t="str">
        <x:v>m2</x:v>
      </x:c>
      <x:c r="K601" s="15" t="n">
        <x:f>IF(AND(ISNUMBER(F601),ISNUMBER(G601),F601&gt;0),G601/F601-1,"n.a.")</x:f>
        <x:v>0.11944084653002651</x:v>
      </x:c>
      <x:c r="L601" s="15" t="n">
        <x:f>IF(AND(N601,ISNUMBER(H601),ISNUMBER(I601),H601&gt;0),I601/H601-1,"n.a.")</x:f>
        <x:v>0.10770561158986736</x:v>
      </x:c>
      <x:c r="M601" s="20" t="n">
        <x:f>IF(AND(ISNUMBER(K601),ISNUMBER(L601)),100*(K601-L601),"n.a.")</x:f>
        <x:v>1.1735234940159156</x:v>
      </x:c>
      <x:c r="N601" s="13" t="b">
        <x:v>1</x:v>
      </x:c>
      <x:c r="O601" s="13" t="b">
        <x:v>1</x:v>
      </x:c>
      <x:c r="P601" s="13" t="b">
        <x:v>0</x:v>
      </x:c>
      <x:c r="Q601" s="2" t="str">
        <x:v>legacy epoch_status=observed; not exact acquisition proof</x:v>
      </x:c>
      <x:c r="R601" s="2" t="str">
        <x:v>legacy epoch_status=observed; not exact acquisition proof</x:v>
      </x:c>
      <x:c r="S601" s="2" t="str">
        <x:v>historical source estimate</x:v>
      </x:c>
      <x:c r="T601" s="2" t="str">
        <x:v>historical source estimate</x:v>
      </x:c>
      <x:c r="U601" s="2" t="str">
        <x:v>GFA growth versus source physical quantity growth; constant conversion required for equality</x:v>
      </x:c>
      <x:c r="V601" s="2" t="str">
        <x:v>Historical horizontal endpoint trend already used by v16</x:v>
      </x:c>
      <x:c r="W601" s="2" t="str">
        <x:v>https://human-settlement.emergency.copernicus.eu/ghs_buS2023.php</x:v>
      </x:c>
    </x:row>
    <x:row r="602" ht="23" customHeight="1">
      <x:c r="A602" s="2" t="str">
        <x:v>AUT</x:v>
      </x:c>
      <x:c r="B602" s="2" t="str">
        <x:v>Austria (Republic of)</x:v>
      </x:c>
      <x:c r="C602" s="2" t="str">
        <x:v>GHSL_SURFACE</x:v>
      </x:c>
      <x:c r="D602" s="2" t="n">
        <x:v>2015</x:v>
      </x:c>
      <x:c r="E602" s="2" t="n">
        <x:v>2020</x:v>
      </x:c>
      <x:c r="F602" s="17" t="n">
        <x:v>818030285.5067213</x:v>
      </x:c>
      <x:c r="G602" s="17" t="n">
        <x:v>865496536.0700006</x:v>
      </x:c>
      <x:c r="H602" s="17" t="n">
        <x:v>1084646819</x:v>
      </x:c>
      <x:c r="I602" s="17" t="n">
        <x:v>1140281128</x:v>
      </x:c>
      <x:c r="J602" s="2" t="str">
        <x:v>m2</x:v>
      </x:c>
      <x:c r="K602" s="15" t="n">
        <x:f>IF(AND(ISNUMBER(F602),ISNUMBER(G602),F602&gt;0),G602/F602-1,"n.a.")</x:f>
        <x:v>0.0580250528669326</x:v>
      </x:c>
      <x:c r="L602" s="15" t="n">
        <x:f>IF(AND(N602,ISNUMBER(H602),ISNUMBER(I602),H602&gt;0),I602/H602-1,"n.a.")</x:f>
        <x:v>0.05129255719506243</x:v>
      </x:c>
      <x:c r="M602" s="20" t="n">
        <x:f>IF(AND(ISNUMBER(K602),ISNUMBER(L602)),100*(K602-L602),"n.a.")</x:f>
        <x:v>0.6732495671870176</x:v>
      </x:c>
      <x:c r="N602" s="13" t="b">
        <x:v>1</x:v>
      </x:c>
      <x:c r="O602" s="13" t="b">
        <x:v>1</x:v>
      </x:c>
      <x:c r="P602" s="13" t="b">
        <x:v>0</x:v>
      </x:c>
      <x:c r="Q602" s="2" t="str">
        <x:v>legacy epoch_status=observed; not exact acquisition proof</x:v>
      </x:c>
      <x:c r="R602" s="2" t="str">
        <x:v>legacy epoch_status=observed; not exact acquisition proof</x:v>
      </x:c>
      <x:c r="S602" s="2" t="str">
        <x:v>historical source estimate</x:v>
      </x:c>
      <x:c r="T602" s="2" t="str">
        <x:v>historical source estimate</x:v>
      </x:c>
      <x:c r="U602" s="2" t="str">
        <x:v>GFA growth versus source physical quantity growth; constant conversion required for equality</x:v>
      </x:c>
      <x:c r="V602" s="2" t="str">
        <x:v>Historical horizontal endpoint trend already used by v16</x:v>
      </x:c>
      <x:c r="W602" s="2" t="str">
        <x:v>https://human-settlement.emergency.copernicus.eu/ghs_buS2023.php</x:v>
      </x:c>
    </x:row>
    <x:row r="603" ht="23" customHeight="1">
      <x:c r="A603" s="2" t="str">
        <x:v>AZE</x:v>
      </x:c>
      <x:c r="B603" s="2" t="str">
        <x:v>Azerbaijan (Republic of)</x:v>
      </x:c>
      <x:c r="C603" s="2" t="str">
        <x:v>GHSL_SURFACE</x:v>
      </x:c>
      <x:c r="D603" s="2" t="n">
        <x:v>2015</x:v>
      </x:c>
      <x:c r="E603" s="2" t="n">
        <x:v>2020</x:v>
      </x:c>
      <x:c r="F603" s="17" t="n">
        <x:v>469894353.8704014</x:v>
      </x:c>
      <x:c r="G603" s="17" t="n">
        <x:v>507953272.9000006</x:v>
      </x:c>
      <x:c r="H603" s="17" t="n">
        <x:v>779000841</x:v>
      </x:c>
      <x:c r="I603" s="17" t="n">
        <x:v>837638041</x:v>
      </x:c>
      <x:c r="J603" s="2" t="str">
        <x:v>m2</x:v>
      </x:c>
      <x:c r="K603" s="15" t="n">
        <x:f>IF(AND(ISNUMBER(F603),ISNUMBER(G603),F603&gt;0),G603/F603-1,"n.a.")</x:f>
        <x:v>0.08099462935895585</x:v>
      </x:c>
      <x:c r="L603" s="15" t="n">
        <x:f>IF(AND(N603,ISNUMBER(H603),ISNUMBER(I603),H603&gt;0),I603/H603-1,"n.a.")</x:f>
        <x:v>0.07527231925029465</x:v>
      </x:c>
      <x:c r="M603" s="20" t="n">
        <x:f>IF(AND(ISNUMBER(K603),ISNUMBER(L603)),100*(K603-L603),"n.a.")</x:f>
        <x:v>0.5722310108661199</x:v>
      </x:c>
      <x:c r="N603" s="13" t="b">
        <x:v>1</x:v>
      </x:c>
      <x:c r="O603" s="13" t="b">
        <x:v>1</x:v>
      </x:c>
      <x:c r="P603" s="13" t="b">
        <x:v>0</x:v>
      </x:c>
      <x:c r="Q603" s="2" t="str">
        <x:v>legacy epoch_status=observed; not exact acquisition proof</x:v>
      </x:c>
      <x:c r="R603" s="2" t="str">
        <x:v>legacy epoch_status=observed; not exact acquisition proof</x:v>
      </x:c>
      <x:c r="S603" s="2" t="str">
        <x:v>historical source estimate</x:v>
      </x:c>
      <x:c r="T603" s="2" t="str">
        <x:v>historical source estimate</x:v>
      </x:c>
      <x:c r="U603" s="2" t="str">
        <x:v>GFA growth versus source physical quantity growth; constant conversion required for equality</x:v>
      </x:c>
      <x:c r="V603" s="2" t="str">
        <x:v>Historical horizontal endpoint trend already used by v16</x:v>
      </x:c>
      <x:c r="W603" s="2" t="str">
        <x:v>https://human-settlement.emergency.copernicus.eu/ghs_buS2023.php</x:v>
      </x:c>
    </x:row>
    <x:row r="604" ht="23" customHeight="1">
      <x:c r="A604" s="2" t="str">
        <x:v>BDI</x:v>
      </x:c>
      <x:c r="B604" s="2" t="str">
        <x:v>Burundi (Republic of)</x:v>
      </x:c>
      <x:c r="C604" s="2" t="str">
        <x:v>GHSL_SURFACE</x:v>
      </x:c>
      <x:c r="D604" s="2" t="n">
        <x:v>2015</x:v>
      </x:c>
      <x:c r="E604" s="2" t="n">
        <x:v>2020</x:v>
      </x:c>
      <x:c r="F604" s="17" t="n">
        <x:v>107174310.50762644</x:v>
      </x:c>
      <x:c r="G604" s="17" t="n">
        <x:v>147710691.6100001</x:v>
      </x:c>
      <x:c r="H604" s="17" t="n">
        <x:v>308520206</x:v>
      </x:c>
      <x:c r="I604" s="17" t="n">
        <x:v>422744368</x:v>
      </x:c>
      <x:c r="J604" s="2" t="str">
        <x:v>m2</x:v>
      </x:c>
      <x:c r="K604" s="15" t="n">
        <x:f>IF(AND(ISNUMBER(F604),ISNUMBER(G604),F604&gt;0),G604/F604-1,"n.a.")</x:f>
        <x:v>0.3782285223984634</x:v>
      </x:c>
      <x:c r="L604" s="15" t="n">
        <x:f>IF(AND(N604,ISNUMBER(H604),ISNUMBER(I604),H604&gt;0),I604/H604-1,"n.a.")</x:f>
        <x:v>0.3702323535982599</x:v>
      </x:c>
      <x:c r="M604" s="20" t="n">
        <x:f>IF(AND(ISNUMBER(K604),ISNUMBER(L604)),100*(K604-L604),"n.a.")</x:f>
        <x:v>0.7996168800203485</x:v>
      </x:c>
      <x:c r="N604" s="13" t="b">
        <x:v>1</x:v>
      </x:c>
      <x:c r="O604" s="13" t="b">
        <x:v>1</x:v>
      </x:c>
      <x:c r="P604" s="13" t="b">
        <x:v>0</x:v>
      </x:c>
      <x:c r="Q604" s="2" t="str">
        <x:v>legacy epoch_status=observed; not exact acquisition proof</x:v>
      </x:c>
      <x:c r="R604" s="2" t="str">
        <x:v>legacy epoch_status=observed; not exact acquisition proof</x:v>
      </x:c>
      <x:c r="S604" s="2" t="str">
        <x:v>historical source estimate</x:v>
      </x:c>
      <x:c r="T604" s="2" t="str">
        <x:v>historical source estimate</x:v>
      </x:c>
      <x:c r="U604" s="2" t="str">
        <x:v>GFA growth versus source physical quantity growth; constant conversion required for equality</x:v>
      </x:c>
      <x:c r="V604" s="2" t="str">
        <x:v>Historical horizontal endpoint trend already used by v16</x:v>
      </x:c>
      <x:c r="W604" s="2" t="str">
        <x:v>https://human-settlement.emergency.copernicus.eu/ghs_buS2023.php</x:v>
      </x:c>
    </x:row>
    <x:row r="605" ht="23" customHeight="1">
      <x:c r="A605" s="2" t="str">
        <x:v>BEL</x:v>
      </x:c>
      <x:c r="B605" s="2" t="str">
        <x:v>Belgium (Kingdom of)</x:v>
      </x:c>
      <x:c r="C605" s="2" t="str">
        <x:v>GHSL_SURFACE</x:v>
      </x:c>
      <x:c r="D605" s="2" t="n">
        <x:v>2015</x:v>
      </x:c>
      <x:c r="E605" s="2" t="n">
        <x:v>2020</x:v>
      </x:c>
      <x:c r="F605" s="17" t="n">
        <x:v>1030499520.953178</x:v>
      </x:c>
      <x:c r="G605" s="17" t="n">
        <x:v>1079109698.0100002</x:v>
      </x:c>
      <x:c r="H605" s="17" t="n">
        <x:v>1452683781</x:v>
      </x:c>
      <x:c r="I605" s="17" t="n">
        <x:v>1512873677</x:v>
      </x:c>
      <x:c r="J605" s="2" t="str">
        <x:v>m2</x:v>
      </x:c>
      <x:c r="K605" s="15" t="n">
        <x:f>IF(AND(ISNUMBER(F605),ISNUMBER(G605),F605&gt;0),G605/F605-1,"n.a.")</x:f>
        <x:v>0.04717146982451714</x:v>
      </x:c>
      <x:c r="L605" s="15" t="n">
        <x:f>IF(AND(N605,ISNUMBER(H605),ISNUMBER(I605),H605&gt;0),I605/H605-1,"n.a.")</x:f>
        <x:v>0.04143358436793898</x:v>
      </x:c>
      <x:c r="M605" s="20" t="n">
        <x:f>IF(AND(ISNUMBER(K605),ISNUMBER(L605)),100*(K605-L605),"n.a.")</x:f>
        <x:v>0.5737885456578162</x:v>
      </x:c>
      <x:c r="N605" s="13" t="b">
        <x:v>1</x:v>
      </x:c>
      <x:c r="O605" s="13" t="b">
        <x:v>1</x:v>
      </x:c>
      <x:c r="P605" s="13" t="b">
        <x:v>0</x:v>
      </x:c>
      <x:c r="Q605" s="2" t="str">
        <x:v>legacy epoch_status=observed; not exact acquisition proof</x:v>
      </x:c>
      <x:c r="R605" s="2" t="str">
        <x:v>legacy epoch_status=observed; not exact acquisition proof</x:v>
      </x:c>
      <x:c r="S605" s="2" t="str">
        <x:v>historical source estimate</x:v>
      </x:c>
      <x:c r="T605" s="2" t="str">
        <x:v>historical source estimate</x:v>
      </x:c>
      <x:c r="U605" s="2" t="str">
        <x:v>GFA growth versus source physical quantity growth; constant conversion required for equality</x:v>
      </x:c>
      <x:c r="V605" s="2" t="str">
        <x:v>Historical horizontal endpoint trend already used by v16</x:v>
      </x:c>
      <x:c r="W605" s="2" t="str">
        <x:v>https://human-settlement.emergency.copernicus.eu/ghs_buS2023.php</x:v>
      </x:c>
    </x:row>
    <x:row r="606" ht="23" customHeight="1">
      <x:c r="A606" s="2" t="str">
        <x:v>BEN</x:v>
      </x:c>
      <x:c r="B606" s="2" t="str">
        <x:v>Benin (Republic of)</x:v>
      </x:c>
      <x:c r="C606" s="2" t="str">
        <x:v>GHSL_SURFACE</x:v>
      </x:c>
      <x:c r="D606" s="2" t="n">
        <x:v>2015</x:v>
      </x:c>
      <x:c r="E606" s="2" t="n">
        <x:v>2020</x:v>
      </x:c>
      <x:c r="F606" s="17" t="n">
        <x:v>272547821.67471457</x:v>
      </x:c>
      <x:c r="G606" s="17" t="n">
        <x:v>302038367.25</x:v>
      </x:c>
      <x:c r="H606" s="17" t="n">
        <x:v>665956138</x:v>
      </x:c>
      <x:c r="I606" s="17" t="n">
        <x:v>732731145</x:v>
      </x:c>
      <x:c r="J606" s="2" t="str">
        <x:v>m2</x:v>
      </x:c>
      <x:c r="K606" s="15" t="n">
        <x:f>IF(AND(ISNUMBER(F606),ISNUMBER(G606),F606&gt;0),G606/F606-1,"n.a.")</x:f>
        <x:v>0.10820319676039225</x:v>
      </x:c>
      <x:c r="L606" s="15" t="n">
        <x:f>IF(AND(N606,ISNUMBER(H606),ISNUMBER(I606),H606&gt;0),I606/H606-1,"n.a.")</x:f>
        <x:v>0.10026937690001447</x:v>
      </x:c>
      <x:c r="M606" s="20" t="n">
        <x:f>IF(AND(ISNUMBER(K606),ISNUMBER(L606)),100*(K606-L606),"n.a.")</x:f>
        <x:v>0.7933819860377778</x:v>
      </x:c>
      <x:c r="N606" s="13" t="b">
        <x:v>1</x:v>
      </x:c>
      <x:c r="O606" s="13" t="b">
        <x:v>1</x:v>
      </x:c>
      <x:c r="P606" s="13" t="b">
        <x:v>0</x:v>
      </x:c>
      <x:c r="Q606" s="2" t="str">
        <x:v>legacy epoch_status=observed; not exact acquisition proof</x:v>
      </x:c>
      <x:c r="R606" s="2" t="str">
        <x:v>legacy epoch_status=observed; not exact acquisition proof</x:v>
      </x:c>
      <x:c r="S606" s="2" t="str">
        <x:v>historical source estimate</x:v>
      </x:c>
      <x:c r="T606" s="2" t="str">
        <x:v>historical source estimate</x:v>
      </x:c>
      <x:c r="U606" s="2" t="str">
        <x:v>GFA growth versus source physical quantity growth; constant conversion required for equality</x:v>
      </x:c>
      <x:c r="V606" s="2" t="str">
        <x:v>Historical horizontal endpoint trend already used by v16</x:v>
      </x:c>
      <x:c r="W606" s="2" t="str">
        <x:v>https://human-settlement.emergency.copernicus.eu/ghs_buS2023.php</x:v>
      </x:c>
    </x:row>
    <x:row r="607" ht="23" customHeight="1">
      <x:c r="A607" s="2" t="str">
        <x:v>BFA</x:v>
      </x:c>
      <x:c r="B607" s="2" t="str">
        <x:v>Burkina Faso</x:v>
      </x:c>
      <x:c r="C607" s="2" t="str">
        <x:v>GHSL_SURFACE</x:v>
      </x:c>
      <x:c r="D607" s="2" t="n">
        <x:v>2015</x:v>
      </x:c>
      <x:c r="E607" s="2" t="n">
        <x:v>2020</x:v>
      </x:c>
      <x:c r="F607" s="17" t="n">
        <x:v>275678764.0195087</x:v>
      </x:c>
      <x:c r="G607" s="17" t="n">
        <x:v>359180891.3500002</x:v>
      </x:c>
      <x:c r="H607" s="17" t="n">
        <x:v>964196099</x:v>
      </x:c>
      <x:c r="I607" s="17" t="n">
        <x:v>1249648002</x:v>
      </x:c>
      <x:c r="J607" s="2" t="str">
        <x:v>m2</x:v>
      </x:c>
      <x:c r="K607" s="15" t="n">
        <x:f>IF(AND(ISNUMBER(F607),ISNUMBER(G607),F607&gt;0),G607/F607-1,"n.a.")</x:f>
        <x:v>0.30289648035632655</x:v>
      </x:c>
      <x:c r="L607" s="15" t="n">
        <x:f>IF(AND(N607,ISNUMBER(H607),ISNUMBER(I607),H607&gt;0),I607/H607-1,"n.a.")</x:f>
        <x:v>0.2960517090828845</x:v>
      </x:c>
      <x:c r="M607" s="20" t="n">
        <x:f>IF(AND(ISNUMBER(K607),ISNUMBER(L607)),100*(K607-L607),"n.a.")</x:f>
        <x:v>0.6844771273442074</x:v>
      </x:c>
      <x:c r="N607" s="13" t="b">
        <x:v>1</x:v>
      </x:c>
      <x:c r="O607" s="13" t="b">
        <x:v>1</x:v>
      </x:c>
      <x:c r="P607" s="13" t="b">
        <x:v>0</x:v>
      </x:c>
      <x:c r="Q607" s="2" t="str">
        <x:v>legacy epoch_status=observed; not exact acquisition proof</x:v>
      </x:c>
      <x:c r="R607" s="2" t="str">
        <x:v>legacy epoch_status=observed; not exact acquisition proof</x:v>
      </x:c>
      <x:c r="S607" s="2" t="str">
        <x:v>historical source estimate</x:v>
      </x:c>
      <x:c r="T607" s="2" t="str">
        <x:v>historical source estimate</x:v>
      </x:c>
      <x:c r="U607" s="2" t="str">
        <x:v>GFA growth versus source physical quantity growth; constant conversion required for equality</x:v>
      </x:c>
      <x:c r="V607" s="2" t="str">
        <x:v>Historical horizontal endpoint trend already used by v16</x:v>
      </x:c>
      <x:c r="W607" s="2" t="str">
        <x:v>https://human-settlement.emergency.copernicus.eu/ghs_buS2023.php</x:v>
      </x:c>
    </x:row>
    <x:row r="608" ht="23" customHeight="1">
      <x:c r="A608" s="2" t="str">
        <x:v>BGD</x:v>
      </x:c>
      <x:c r="B608" s="2" t="str">
        <x:v>Bangladesh (People's Republic of)</x:v>
      </x:c>
      <x:c r="C608" s="2" t="str">
        <x:v>GHSL_SURFACE</x:v>
      </x:c>
      <x:c r="D608" s="2" t="n">
        <x:v>2015</x:v>
      </x:c>
      <x:c r="E608" s="2" t="n">
        <x:v>2020</x:v>
      </x:c>
      <x:c r="F608" s="17" t="n">
        <x:v>2168931873.230832</x:v>
      </x:c>
      <x:c r="G608" s="17" t="n">
        <x:v>2430930564.5499988</x:v>
      </x:c>
      <x:c r="H608" s="17" t="n">
        <x:v>2407728725</x:v>
      </x:c>
      <x:c r="I608" s="17" t="n">
        <x:v>2677880900</x:v>
      </x:c>
      <x:c r="J608" s="2" t="str">
        <x:v>m2</x:v>
      </x:c>
      <x:c r="K608" s="15" t="n">
        <x:f>IF(AND(ISNUMBER(F608),ISNUMBER(G608),F608&gt;0),G608/F608-1,"n.a.")</x:f>
        <x:v>0.12079618292892458</x:v>
      </x:c>
      <x:c r="L608" s="15" t="n">
        <x:f>IF(AND(N608,ISNUMBER(H608),ISNUMBER(I608),H608&gt;0),I608/H608-1,"n.a.")</x:f>
        <x:v>0.1122020816526994</x:v>
      </x:c>
      <x:c r="M608" s="20" t="n">
        <x:f>IF(AND(ISNUMBER(K608),ISNUMBER(L608)),100*(K608-L608),"n.a.")</x:f>
        <x:v>0.8594101276225175</x:v>
      </x:c>
      <x:c r="N608" s="13" t="b">
        <x:v>1</x:v>
      </x:c>
      <x:c r="O608" s="13" t="b">
        <x:v>1</x:v>
      </x:c>
      <x:c r="P608" s="13" t="b">
        <x:v>0</x:v>
      </x:c>
      <x:c r="Q608" s="2" t="str">
        <x:v>legacy epoch_status=observed; not exact acquisition proof</x:v>
      </x:c>
      <x:c r="R608" s="2" t="str">
        <x:v>legacy epoch_status=observed; not exact acquisition proof</x:v>
      </x:c>
      <x:c r="S608" s="2" t="str">
        <x:v>historical source estimate</x:v>
      </x:c>
      <x:c r="T608" s="2" t="str">
        <x:v>historical source estimate</x:v>
      </x:c>
      <x:c r="U608" s="2" t="str">
        <x:v>GFA growth versus source physical quantity growth; constant conversion required for equality</x:v>
      </x:c>
      <x:c r="V608" s="2" t="str">
        <x:v>Historical horizontal endpoint trend already used by v16</x:v>
      </x:c>
      <x:c r="W608" s="2" t="str">
        <x:v>https://human-settlement.emergency.copernicus.eu/ghs_buS2023.php</x:v>
      </x:c>
    </x:row>
    <x:row r="609" ht="23" customHeight="1">
      <x:c r="A609" s="2" t="str">
        <x:v>BGR</x:v>
      </x:c>
      <x:c r="B609" s="2" t="str">
        <x:v>Bulgaria (Republic of)</x:v>
      </x:c>
      <x:c r="C609" s="2" t="str">
        <x:v>GHSL_SURFACE</x:v>
      </x:c>
      <x:c r="D609" s="2" t="n">
        <x:v>2015</x:v>
      </x:c>
      <x:c r="E609" s="2" t="n">
        <x:v>2020</x:v>
      </x:c>
      <x:c r="F609" s="17" t="n">
        <x:v>515270007.50160265</x:v>
      </x:c>
      <x:c r="G609" s="17" t="n">
        <x:v>543020803.5700008</x:v>
      </x:c>
      <x:c r="H609" s="17" t="n">
        <x:v>818208262</x:v>
      </x:c>
      <x:c r="I609" s="17" t="n">
        <x:v>861728773</x:v>
      </x:c>
      <x:c r="J609" s="2" t="str">
        <x:v>m2</x:v>
      </x:c>
      <x:c r="K609" s="15" t="n">
        <x:f>IF(AND(ISNUMBER(F609),ISNUMBER(G609),F609&gt;0),G609/F609-1,"n.a.")</x:f>
        <x:v>0.0538568045187684</x:v>
      </x:c>
      <x:c r="L609" s="15" t="n">
        <x:f>IF(AND(N609,ISNUMBER(H609),ISNUMBER(I609),H609&gt;0),I609/H609-1,"n.a.")</x:f>
        <x:v>0.05319001655351174</x:v>
      </x:c>
      <x:c r="M609" s="20" t="n">
        <x:f>IF(AND(ISNUMBER(K609),ISNUMBER(L609)),100*(K609-L609),"n.a.")</x:f>
        <x:v>0.06667879652566544</x:v>
      </x:c>
      <x:c r="N609" s="13" t="b">
        <x:v>1</x:v>
      </x:c>
      <x:c r="O609" s="13" t="b">
        <x:v>1</x:v>
      </x:c>
      <x:c r="P609" s="13" t="b">
        <x:v>0</x:v>
      </x:c>
      <x:c r="Q609" s="2" t="str">
        <x:v>legacy epoch_status=observed; not exact acquisition proof</x:v>
      </x:c>
      <x:c r="R609" s="2" t="str">
        <x:v>legacy epoch_status=observed; not exact acquisition proof</x:v>
      </x:c>
      <x:c r="S609" s="2" t="str">
        <x:v>historical source estimate</x:v>
      </x:c>
      <x:c r="T609" s="2" t="str">
        <x:v>historical source estimate</x:v>
      </x:c>
      <x:c r="U609" s="2" t="str">
        <x:v>GFA growth versus source physical quantity growth; constant conversion required for equality</x:v>
      </x:c>
      <x:c r="V609" s="2" t="str">
        <x:v>Historical horizontal endpoint trend already used by v16</x:v>
      </x:c>
      <x:c r="W609" s="2" t="str">
        <x:v>https://human-settlement.emergency.copernicus.eu/ghs_buS2023.php</x:v>
      </x:c>
    </x:row>
    <x:row r="610" ht="23" customHeight="1">
      <x:c r="A610" s="2" t="str">
        <x:v>BHR</x:v>
      </x:c>
      <x:c r="B610" s="2" t="str">
        <x:v>Bahrain (Kingdom of)</x:v>
      </x:c>
      <x:c r="C610" s="2" t="str">
        <x:v>GHSL_SURFACE</x:v>
      </x:c>
      <x:c r="D610" s="2" t="n">
        <x:v>2015</x:v>
      </x:c>
      <x:c r="E610" s="2" t="n">
        <x:v>2020</x:v>
      </x:c>
      <x:c r="F610" s="17" t="n">
        <x:v>55998295.60212009</x:v>
      </x:c>
      <x:c r="G610" s="17" t="n">
        <x:v>63702858.11000008</x:v>
      </x:c>
      <x:c r="H610" s="17" t="n">
        <x:v>69502186</x:v>
      </x:c>
      <x:c r="I610" s="17" t="n">
        <x:v>78478685</x:v>
      </x:c>
      <x:c r="J610" s="2" t="str">
        <x:v>m2</x:v>
      </x:c>
      <x:c r="K610" s="15" t="n">
        <x:f>IF(AND(ISNUMBER(F610),ISNUMBER(G610),F610&gt;0),G610/F610-1,"n.a.")</x:f>
        <x:v>0.1375856608676551</x:v>
      </x:c>
      <x:c r="L610" s="15" t="n">
        <x:f>IF(AND(N610,ISNUMBER(H610),ISNUMBER(I610),H610&gt;0),I610/H610-1,"n.a.")</x:f>
        <x:v>0.12915419667519523</x:v>
      </x:c>
      <x:c r="M610" s="20" t="n">
        <x:f>IF(AND(ISNUMBER(K610),ISNUMBER(L610)),100*(K610-L610),"n.a.")</x:f>
        <x:v>0.8431464192459881</x:v>
      </x:c>
      <x:c r="N610" s="13" t="b">
        <x:v>1</x:v>
      </x:c>
      <x:c r="O610" s="13" t="b">
        <x:v>1</x:v>
      </x:c>
      <x:c r="P610" s="13" t="b">
        <x:v>0</x:v>
      </x:c>
      <x:c r="Q610" s="2" t="str">
        <x:v>legacy epoch_status=observed; not exact acquisition proof</x:v>
      </x:c>
      <x:c r="R610" s="2" t="str">
        <x:v>legacy epoch_status=observed; not exact acquisition proof</x:v>
      </x:c>
      <x:c r="S610" s="2" t="str">
        <x:v>historical source estimate</x:v>
      </x:c>
      <x:c r="T610" s="2" t="str">
        <x:v>historical source estimate</x:v>
      </x:c>
      <x:c r="U610" s="2" t="str">
        <x:v>GFA growth versus source physical quantity growth; constant conversion required for equality</x:v>
      </x:c>
      <x:c r="V610" s="2" t="str">
        <x:v>Historical horizontal endpoint trend already used by v16</x:v>
      </x:c>
      <x:c r="W610" s="2" t="str">
        <x:v>https://human-settlement.emergency.copernicus.eu/ghs_buS2023.php</x:v>
      </x:c>
    </x:row>
    <x:row r="611" ht="23" customHeight="1">
      <x:c r="A611" s="2" t="str">
        <x:v>BHS</x:v>
      </x:c>
      <x:c r="B611" s="2" t="str">
        <x:v>Bahamas (Commonwealth of the)</x:v>
      </x:c>
      <x:c r="C611" s="2" t="str">
        <x:v>GHSL_SURFACE</x:v>
      </x:c>
      <x:c r="D611" s="2" t="n">
        <x:v>2015</x:v>
      </x:c>
      <x:c r="E611" s="2" t="n">
        <x:v>2020</x:v>
      </x:c>
      <x:c r="F611" s="17" t="n">
        <x:v>27680989.498857055</x:v>
      </x:c>
      <x:c r="G611" s="17" t="n">
        <x:v>29184660.44999999</x:v>
      </x:c>
      <x:c r="H611" s="17" t="n">
        <x:v>37974715</x:v>
      </x:c>
      <x:c r="I611" s="17" t="n">
        <x:v>39878684</x:v>
      </x:c>
      <x:c r="J611" s="2" t="str">
        <x:v>m2</x:v>
      </x:c>
      <x:c r="K611" s="15" t="n">
        <x:f>IF(AND(ISNUMBER(F611),ISNUMBER(G611),F611&gt;0),G611/F611-1,"n.a.")</x:f>
        <x:v>0.054321430641235624</x:v>
      </x:c>
      <x:c r="L611" s="15" t="n">
        <x:f>IF(AND(N611,ISNUMBER(H611),ISNUMBER(I611),H611&gt;0),I611/H611-1,"n.a.")</x:f>
        <x:v>0.05013780880251506</x:v>
      </x:c>
      <x:c r="M611" s="20" t="n">
        <x:f>IF(AND(ISNUMBER(K611),ISNUMBER(L611)),100*(K611-L611),"n.a.")</x:f>
        <x:v>0.41836218387205637</x:v>
      </x:c>
      <x:c r="N611" s="13" t="b">
        <x:v>1</x:v>
      </x:c>
      <x:c r="O611" s="13" t="b">
        <x:v>1</x:v>
      </x:c>
      <x:c r="P611" s="13" t="b">
        <x:v>0</x:v>
      </x:c>
      <x:c r="Q611" s="2" t="str">
        <x:v>legacy epoch_status=observed; not exact acquisition proof</x:v>
      </x:c>
      <x:c r="R611" s="2" t="str">
        <x:v>legacy epoch_status=observed; not exact acquisition proof</x:v>
      </x:c>
      <x:c r="S611" s="2" t="str">
        <x:v>historical source estimate</x:v>
      </x:c>
      <x:c r="T611" s="2" t="str">
        <x:v>historical source estimate</x:v>
      </x:c>
      <x:c r="U611" s="2" t="str">
        <x:v>GFA growth versus source physical quantity growth; constant conversion required for equality</x:v>
      </x:c>
      <x:c r="V611" s="2" t="str">
        <x:v>Historical horizontal endpoint trend already used by v16</x:v>
      </x:c>
      <x:c r="W611" s="2" t="str">
        <x:v>https://human-settlement.emergency.copernicus.eu/ghs_buS2023.php</x:v>
      </x:c>
    </x:row>
    <x:row r="612" ht="23" customHeight="1">
      <x:c r="A612" s="2" t="str">
        <x:v>BIH</x:v>
      </x:c>
      <x:c r="B612" s="2" t="str">
        <x:v>Bosnia and Herzegovina</x:v>
      </x:c>
      <x:c r="C612" s="2" t="str">
        <x:v>GHSL_SURFACE</x:v>
      </x:c>
      <x:c r="D612" s="2" t="n">
        <x:v>2015</x:v>
      </x:c>
      <x:c r="E612" s="2" t="n">
        <x:v>2020</x:v>
      </x:c>
      <x:c r="F612" s="17" t="n">
        <x:v>233894193.35508087</x:v>
      </x:c>
      <x:c r="G612" s="17" t="n">
        <x:v>247114206.72000027</x:v>
      </x:c>
      <x:c r="H612" s="17" t="n">
        <x:v>339829823</x:v>
      </x:c>
      <x:c r="I612" s="17" t="n">
        <x:v>359276461</x:v>
      </x:c>
      <x:c r="J612" s="2" t="str">
        <x:v>m2</x:v>
      </x:c>
      <x:c r="K612" s="15" t="n">
        <x:f>IF(AND(ISNUMBER(F612),ISNUMBER(G612),F612&gt;0),G612/F612-1,"n.a.")</x:f>
        <x:v>0.05652134059116953</x:v>
      </x:c>
      <x:c r="L612" s="15" t="n">
        <x:f>IF(AND(N612,ISNUMBER(H612),ISNUMBER(I612),H612&gt;0),I612/H612-1,"n.a.")</x:f>
        <x:v>0.05722463622623253</x:v>
      </x:c>
      <x:c r="M612" s="20" t="n">
        <x:f>IF(AND(ISNUMBER(K612),ISNUMBER(L612)),100*(K612-L612),"n.a.")</x:f>
        <x:v>-0.07032956350629949</x:v>
      </x:c>
      <x:c r="N612" s="13" t="b">
        <x:v>1</x:v>
      </x:c>
      <x:c r="O612" s="13" t="b">
        <x:v>1</x:v>
      </x:c>
      <x:c r="P612" s="13" t="b">
        <x:v>0</x:v>
      </x:c>
      <x:c r="Q612" s="2" t="str">
        <x:v>legacy epoch_status=observed; not exact acquisition proof</x:v>
      </x:c>
      <x:c r="R612" s="2" t="str">
        <x:v>legacy epoch_status=observed; not exact acquisition proof</x:v>
      </x:c>
      <x:c r="S612" s="2" t="str">
        <x:v>historical source estimate</x:v>
      </x:c>
      <x:c r="T612" s="2" t="str">
        <x:v>historical source estimate</x:v>
      </x:c>
      <x:c r="U612" s="2" t="str">
        <x:v>GFA growth versus source physical quantity growth; constant conversion required for equality</x:v>
      </x:c>
      <x:c r="V612" s="2" t="str">
        <x:v>Historical horizontal endpoint trend already used by v16</x:v>
      </x:c>
      <x:c r="W612" s="2" t="str">
        <x:v>https://human-settlement.emergency.copernicus.eu/ghs_buS2023.php</x:v>
      </x:c>
    </x:row>
    <x:row r="613" ht="23" customHeight="1">
      <x:c r="A613" s="2" t="str">
        <x:v>BLR</x:v>
      </x:c>
      <x:c r="B613" s="2" t="str">
        <x:v>Belarus (Republic of)</x:v>
      </x:c>
      <x:c r="C613" s="2" t="str">
        <x:v>GHSL_SURFACE</x:v>
      </x:c>
      <x:c r="D613" s="2" t="n">
        <x:v>2015</x:v>
      </x:c>
      <x:c r="E613" s="2" t="n">
        <x:v>2020</x:v>
      </x:c>
      <x:c r="F613" s="17" t="n">
        <x:v>642607051.7109698</x:v>
      </x:c>
      <x:c r="G613" s="17" t="n">
        <x:v>672205246.4400003</x:v>
      </x:c>
      <x:c r="H613" s="17" t="n">
        <x:v>1192990079</x:v>
      </x:c>
      <x:c r="I613" s="17" t="n">
        <x:v>1244637191</x:v>
      </x:c>
      <x:c r="J613" s="2" t="str">
        <x:v>m2</x:v>
      </x:c>
      <x:c r="K613" s="15" t="n">
        <x:f>IF(AND(ISNUMBER(F613),ISNUMBER(G613),F613&gt;0),G613/F613-1,"n.a.")</x:f>
        <x:v>0.04605955482471602</x:v>
      </x:c>
      <x:c r="L613" s="15" t="n">
        <x:f>IF(AND(N613,ISNUMBER(H613),ISNUMBER(I613),H613&gt;0),I613/H613-1,"n.a.")</x:f>
        <x:v>0.043292155491596596</x:v>
      </x:c>
      <x:c r="M613" s="20" t="n">
        <x:f>IF(AND(ISNUMBER(K613),ISNUMBER(L613)),100*(K613-L613),"n.a.")</x:f>
        <x:v>0.27673993331194247</x:v>
      </x:c>
      <x:c r="N613" s="13" t="b">
        <x:v>1</x:v>
      </x:c>
      <x:c r="O613" s="13" t="b">
        <x:v>1</x:v>
      </x:c>
      <x:c r="P613" s="13" t="b">
        <x:v>0</x:v>
      </x:c>
      <x:c r="Q613" s="2" t="str">
        <x:v>legacy epoch_status=observed; not exact acquisition proof</x:v>
      </x:c>
      <x:c r="R613" s="2" t="str">
        <x:v>legacy epoch_status=observed; not exact acquisition proof</x:v>
      </x:c>
      <x:c r="S613" s="2" t="str">
        <x:v>historical source estimate</x:v>
      </x:c>
      <x:c r="T613" s="2" t="str">
        <x:v>historical source estimate</x:v>
      </x:c>
      <x:c r="U613" s="2" t="str">
        <x:v>GFA growth versus source physical quantity growth; constant conversion required for equality</x:v>
      </x:c>
      <x:c r="V613" s="2" t="str">
        <x:v>Historical horizontal endpoint trend already used by v16</x:v>
      </x:c>
      <x:c r="W613" s="2" t="str">
        <x:v>https://human-settlement.emergency.copernicus.eu/ghs_buS2023.php</x:v>
      </x:c>
    </x:row>
    <x:row r="614" ht="23" customHeight="1">
      <x:c r="A614" s="2" t="str">
        <x:v>BLZ</x:v>
      </x:c>
      <x:c r="B614" s="2" t="str">
        <x:v>Belize</x:v>
      </x:c>
      <x:c r="C614" s="2" t="str">
        <x:v>GHSL_SURFACE</x:v>
      </x:c>
      <x:c r="D614" s="2" t="n">
        <x:v>2015</x:v>
      </x:c>
      <x:c r="E614" s="2" t="n">
        <x:v>2020</x:v>
      </x:c>
      <x:c r="F614" s="17" t="n">
        <x:v>16540709.810359346</x:v>
      </x:c>
      <x:c r="G614" s="17" t="n">
        <x:v>21867714.339999966</x:v>
      </x:c>
      <x:c r="H614" s="17" t="n">
        <x:v>37753407</x:v>
      </x:c>
      <x:c r="I614" s="17" t="n">
        <x:v>49519969</x:v>
      </x:c>
      <x:c r="J614" s="2" t="str">
        <x:v>m2</x:v>
      </x:c>
      <x:c r="K614" s="15" t="n">
        <x:f>IF(AND(ISNUMBER(F614),ISNUMBER(G614),F614&gt;0),G614/F614-1,"n.a.")</x:f>
        <x:v>0.3220541676092008</x:v>
      </x:c>
      <x:c r="L614" s="15" t="n">
        <x:f>IF(AND(N614,ISNUMBER(H614),ISNUMBER(I614),H614&gt;0),I614/H614-1,"n.a.")</x:f>
        <x:v>0.3116688779902699</x:v>
      </x:c>
      <x:c r="M614" s="20" t="n">
        <x:f>IF(AND(ISNUMBER(K614),ISNUMBER(L614)),100*(K614-L614),"n.a.")</x:f>
        <x:v>1.0385289618930926</x:v>
      </x:c>
      <x:c r="N614" s="13" t="b">
        <x:v>1</x:v>
      </x:c>
      <x:c r="O614" s="13" t="b">
        <x:v>1</x:v>
      </x:c>
      <x:c r="P614" s="13" t="b">
        <x:v>0</x:v>
      </x:c>
      <x:c r="Q614" s="2" t="str">
        <x:v>legacy epoch_status=observed; not exact acquisition proof</x:v>
      </x:c>
      <x:c r="R614" s="2" t="str">
        <x:v>legacy epoch_status=observed; not exact acquisition proof</x:v>
      </x:c>
      <x:c r="S614" s="2" t="str">
        <x:v>historical source estimate</x:v>
      </x:c>
      <x:c r="T614" s="2" t="str">
        <x:v>historical source estimate</x:v>
      </x:c>
      <x:c r="U614" s="2" t="str">
        <x:v>GFA growth versus source physical quantity growth; constant conversion required for equality</x:v>
      </x:c>
      <x:c r="V614" s="2" t="str">
        <x:v>Historical horizontal endpoint trend already used by v16</x:v>
      </x:c>
      <x:c r="W614" s="2" t="str">
        <x:v>https://human-settlement.emergency.copernicus.eu/ghs_buS2023.php</x:v>
      </x:c>
    </x:row>
    <x:row r="615" ht="23" customHeight="1">
      <x:c r="A615" s="2" t="str">
        <x:v>BOL</x:v>
      </x:c>
      <x:c r="B615" s="2" t="str">
        <x:v>Bolivia (Plurinational State of)</x:v>
      </x:c>
      <x:c r="C615" s="2" t="str">
        <x:v>GHSL_SURFACE</x:v>
      </x:c>
      <x:c r="D615" s="2" t="n">
        <x:v>2015</x:v>
      </x:c>
      <x:c r="E615" s="2" t="n">
        <x:v>2020</x:v>
      </x:c>
      <x:c r="F615" s="17" t="n">
        <x:v>459985037.8168253</x:v>
      </x:c>
      <x:c r="G615" s="17" t="n">
        <x:v>496419008.9399992</x:v>
      </x:c>
      <x:c r="H615" s="17" t="n">
        <x:v>668203976</x:v>
      </x:c>
      <x:c r="I615" s="17" t="n">
        <x:v>715677141</x:v>
      </x:c>
      <x:c r="J615" s="2" t="str">
        <x:v>m2</x:v>
      </x:c>
      <x:c r="K615" s="15" t="n">
        <x:f>IF(AND(ISNUMBER(F615),ISNUMBER(G615),F615&gt;0),G615/F615-1,"n.a.")</x:f>
        <x:v>0.07920686137117938</x:v>
      </x:c>
      <x:c r="L615" s="15" t="n">
        <x:f>IF(AND(N615,ISNUMBER(H615),ISNUMBER(I615),H615&gt;0),I615/H615-1,"n.a.")</x:f>
        <x:v>0.07104591817035222</x:v>
      </x:c>
      <x:c r="M615" s="20" t="n">
        <x:f>IF(AND(ISNUMBER(K615),ISNUMBER(L615)),100*(K615-L615),"n.a.")</x:f>
        <x:v>0.8160943200827164</x:v>
      </x:c>
      <x:c r="N615" s="13" t="b">
        <x:v>1</x:v>
      </x:c>
      <x:c r="O615" s="13" t="b">
        <x:v>1</x:v>
      </x:c>
      <x:c r="P615" s="13" t="b">
        <x:v>0</x:v>
      </x:c>
      <x:c r="Q615" s="2" t="str">
        <x:v>legacy epoch_status=observed; not exact acquisition proof</x:v>
      </x:c>
      <x:c r="R615" s="2" t="str">
        <x:v>legacy epoch_status=observed; not exact acquisition proof</x:v>
      </x:c>
      <x:c r="S615" s="2" t="str">
        <x:v>historical source estimate</x:v>
      </x:c>
      <x:c r="T615" s="2" t="str">
        <x:v>historical source estimate</x:v>
      </x:c>
      <x:c r="U615" s="2" t="str">
        <x:v>GFA growth versus source physical quantity growth; constant conversion required for equality</x:v>
      </x:c>
      <x:c r="V615" s="2" t="str">
        <x:v>Historical horizontal endpoint trend already used by v16</x:v>
      </x:c>
      <x:c r="W615" s="2" t="str">
        <x:v>https://human-settlement.emergency.copernicus.eu/ghs_buS2023.php</x:v>
      </x:c>
    </x:row>
    <x:row r="616" ht="23" customHeight="1">
      <x:c r="A616" s="2" t="str">
        <x:v>BRA</x:v>
      </x:c>
      <x:c r="B616" s="2" t="str">
        <x:v>Brazil (Federative Republic of)</x:v>
      </x:c>
      <x:c r="C616" s="2" t="str">
        <x:v>GHSL_SURFACE</x:v>
      </x:c>
      <x:c r="D616" s="2" t="n">
        <x:v>2015</x:v>
      </x:c>
      <x:c r="E616" s="2" t="n">
        <x:v>2020</x:v>
      </x:c>
      <x:c r="F616" s="17" t="n">
        <x:v>11501843459.570875</x:v>
      </x:c>
      <x:c r="G616" s="17" t="n">
        <x:v>12112839681.859997</x:v>
      </x:c>
      <x:c r="H616" s="17" t="n">
        <x:v>14998023561</x:v>
      </x:c>
      <x:c r="I616" s="17" t="n">
        <x:v>15705841034</x:v>
      </x:c>
      <x:c r="J616" s="2" t="str">
        <x:v>m2</x:v>
      </x:c>
      <x:c r="K616" s="15" t="n">
        <x:f>IF(AND(ISNUMBER(F616),ISNUMBER(G616),F616&gt;0),G616/F616-1,"n.a.")</x:f>
        <x:v>0.053121590850786715</x:v>
      </x:c>
      <x:c r="L616" s="15" t="n">
        <x:f>IF(AND(N616,ISNUMBER(H616),ISNUMBER(I616),H616&gt;0),I616/H616-1,"n.a.")</x:f>
        <x:v>0.0471940499440584</x:v>
      </x:c>
      <x:c r="M616" s="20" t="n">
        <x:f>IF(AND(ISNUMBER(K616),ISNUMBER(L616)),100*(K616-L616),"n.a.")</x:f>
        <x:v>0.5927540906728312</x:v>
      </x:c>
      <x:c r="N616" s="13" t="b">
        <x:v>1</x:v>
      </x:c>
      <x:c r="O616" s="13" t="b">
        <x:v>1</x:v>
      </x:c>
      <x:c r="P616" s="13" t="b">
        <x:v>0</x:v>
      </x:c>
      <x:c r="Q616" s="2" t="str">
        <x:v>legacy epoch_status=observed; not exact acquisition proof</x:v>
      </x:c>
      <x:c r="R616" s="2" t="str">
        <x:v>legacy epoch_status=observed; not exact acquisition proof</x:v>
      </x:c>
      <x:c r="S616" s="2" t="str">
        <x:v>historical source estimate</x:v>
      </x:c>
      <x:c r="T616" s="2" t="str">
        <x:v>historical source estimate</x:v>
      </x:c>
      <x:c r="U616" s="2" t="str">
        <x:v>GFA growth versus source physical quantity growth; constant conversion required for equality</x:v>
      </x:c>
      <x:c r="V616" s="2" t="str">
        <x:v>Historical horizontal endpoint trend already used by v16</x:v>
      </x:c>
      <x:c r="W616" s="2" t="str">
        <x:v>https://human-settlement.emergency.copernicus.eu/ghs_buS2023.php</x:v>
      </x:c>
    </x:row>
    <x:row r="617" ht="23" customHeight="1">
      <x:c r="A617" s="2" t="str">
        <x:v>BRB</x:v>
      </x:c>
      <x:c r="B617" s="2" t="str">
        <x:v>Barbados</x:v>
      </x:c>
      <x:c r="C617" s="2" t="str">
        <x:v>GHSL_SURFACE</x:v>
      </x:c>
      <x:c r="D617" s="2" t="n">
        <x:v>2015</x:v>
      </x:c>
      <x:c r="E617" s="2" t="n">
        <x:v>2020</x:v>
      </x:c>
      <x:c r="F617" s="17" t="n">
        <x:v>17895946.814018443</x:v>
      </x:c>
      <x:c r="G617" s="17" t="n">
        <x:v>23684585.840000004</x:v>
      </x:c>
      <x:c r="H617" s="17" t="n">
        <x:v>29413485</x:v>
      </x:c>
      <x:c r="I617" s="17" t="n">
        <x:v>38829977</x:v>
      </x:c>
      <x:c r="J617" s="2" t="str">
        <x:v>m2</x:v>
      </x:c>
      <x:c r="K617" s="15" t="n">
        <x:f>IF(AND(ISNUMBER(F617),ISNUMBER(G617),F617&gt;0),G617/F617-1,"n.a.")</x:f>
        <x:v>0.32346089794182564</x:v>
      </x:c>
      <x:c r="L617" s="15" t="n">
        <x:f>IF(AND(N617,ISNUMBER(H617),ISNUMBER(I617),H617&gt;0),I617/H617-1,"n.a.")</x:f>
        <x:v>0.32014200289425077</x:v>
      </x:c>
      <x:c r="M617" s="20" t="n">
        <x:f>IF(AND(ISNUMBER(K617),ISNUMBER(L617)),100*(K617-L617),"n.a.")</x:f>
        <x:v>0.3318895047574877</x:v>
      </x:c>
      <x:c r="N617" s="13" t="b">
        <x:v>1</x:v>
      </x:c>
      <x:c r="O617" s="13" t="b">
        <x:v>1</x:v>
      </x:c>
      <x:c r="P617" s="13" t="b">
        <x:v>0</x:v>
      </x:c>
      <x:c r="Q617" s="2" t="str">
        <x:v>legacy epoch_status=observed; not exact acquisition proof</x:v>
      </x:c>
      <x:c r="R617" s="2" t="str">
        <x:v>legacy epoch_status=observed; not exact acquisition proof</x:v>
      </x:c>
      <x:c r="S617" s="2" t="str">
        <x:v>historical source estimate</x:v>
      </x:c>
      <x:c r="T617" s="2" t="str">
        <x:v>historical source estimate</x:v>
      </x:c>
      <x:c r="U617" s="2" t="str">
        <x:v>GFA growth versus source physical quantity growth; constant conversion required for equality</x:v>
      </x:c>
      <x:c r="V617" s="2" t="str">
        <x:v>Historical horizontal endpoint trend already used by v16</x:v>
      </x:c>
      <x:c r="W617" s="2" t="str">
        <x:v>https://human-settlement.emergency.copernicus.eu/ghs_buS2023.php</x:v>
      </x:c>
    </x:row>
    <x:row r="618" ht="23" customHeight="1">
      <x:c r="A618" s="2" t="str">
        <x:v>BRN</x:v>
      </x:c>
      <x:c r="B618" s="2" t="str">
        <x:v>Brunei Darussalam</x:v>
      </x:c>
      <x:c r="C618" s="2" t="str">
        <x:v>GHSL_SURFACE</x:v>
      </x:c>
      <x:c r="D618" s="2" t="n">
        <x:v>2015</x:v>
      </x:c>
      <x:c r="E618" s="2" t="n">
        <x:v>2020</x:v>
      </x:c>
      <x:c r="F618" s="17" t="n">
        <x:v>34359495.97534139</x:v>
      </x:c>
      <x:c r="G618" s="17" t="n">
        <x:v>37849769.86000001</x:v>
      </x:c>
      <x:c r="H618" s="17" t="n">
        <x:v>47656450</x:v>
      </x:c>
      <x:c r="I618" s="17" t="n">
        <x:v>52067814</x:v>
      </x:c>
      <x:c r="J618" s="2" t="str">
        <x:v>m2</x:v>
      </x:c>
      <x:c r="K618" s="15" t="n">
        <x:f>IF(AND(ISNUMBER(F618),ISNUMBER(G618),F618&gt;0),G618/F618-1,"n.a.")</x:f>
        <x:v>0.10158105599580014</x:v>
      </x:c>
      <x:c r="L618" s="15" t="n">
        <x:f>IF(AND(N618,ISNUMBER(H618),ISNUMBER(I618),H618&gt;0),I618/H618-1,"n.a.")</x:f>
        <x:v>0.09256593808393188</x:v>
      </x:c>
      <x:c r="M618" s="20" t="n">
        <x:f>IF(AND(ISNUMBER(K618),ISNUMBER(L618)),100*(K618-L618),"n.a.")</x:f>
        <x:v>0.9015117911868264</x:v>
      </x:c>
      <x:c r="N618" s="13" t="b">
        <x:v>1</x:v>
      </x:c>
      <x:c r="O618" s="13" t="b">
        <x:v>1</x:v>
      </x:c>
      <x:c r="P618" s="13" t="b">
        <x:v>0</x:v>
      </x:c>
      <x:c r="Q618" s="2" t="str">
        <x:v>legacy epoch_status=observed; not exact acquisition proof</x:v>
      </x:c>
      <x:c r="R618" s="2" t="str">
        <x:v>legacy epoch_status=observed; not exact acquisition proof</x:v>
      </x:c>
      <x:c r="S618" s="2" t="str">
        <x:v>historical source estimate</x:v>
      </x:c>
      <x:c r="T618" s="2" t="str">
        <x:v>historical source estimate</x:v>
      </x:c>
      <x:c r="U618" s="2" t="str">
        <x:v>GFA growth versus source physical quantity growth; constant conversion required for equality</x:v>
      </x:c>
      <x:c r="V618" s="2" t="str">
        <x:v>Historical horizontal endpoint trend already used by v16</x:v>
      </x:c>
      <x:c r="W618" s="2" t="str">
        <x:v>https://human-settlement.emergency.copernicus.eu/ghs_buS2023.php</x:v>
      </x:c>
    </x:row>
    <x:row r="619" ht="23" customHeight="1">
      <x:c r="A619" s="2" t="str">
        <x:v>BTN</x:v>
      </x:c>
      <x:c r="B619" s="2" t="str">
        <x:v>Bhutan (Kingdom of)</x:v>
      </x:c>
      <x:c r="C619" s="2" t="str">
        <x:v>GHSL_SURFACE</x:v>
      </x:c>
      <x:c r="D619" s="2" t="n">
        <x:v>2015</x:v>
      </x:c>
      <x:c r="E619" s="2" t="n">
        <x:v>2020</x:v>
      </x:c>
      <x:c r="F619" s="17" t="n">
        <x:v>21797976.569607902</x:v>
      </x:c>
      <x:c r="G619" s="17" t="n">
        <x:v>27177544.510000043</x:v>
      </x:c>
      <x:c r="H619" s="17" t="n">
        <x:v>25376089</x:v>
      </x:c>
      <x:c r="I619" s="17" t="n">
        <x:v>31407011</x:v>
      </x:c>
      <x:c r="J619" s="2" t="str">
        <x:v>m2</x:v>
      </x:c>
      <x:c r="K619" s="15" t="n">
        <x:f>IF(AND(ISNUMBER(F619),ISNUMBER(G619),F619&gt;0),G619/F619-1,"n.a.")</x:f>
        <x:v>0.2467920783020141</x:v>
      </x:c>
      <x:c r="L619" s="15" t="n">
        <x:f>IF(AND(N619,ISNUMBER(H619),ISNUMBER(I619),H619&gt;0),I619/H619-1,"n.a.")</x:f>
        <x:v>0.23766160340941433</x:v>
      </x:c>
      <x:c r="M619" s="20" t="n">
        <x:f>IF(AND(ISNUMBER(K619),ISNUMBER(L619)),100*(K619-L619),"n.a.")</x:f>
        <x:v>0.9130474892599771</x:v>
      </x:c>
      <x:c r="N619" s="13" t="b">
        <x:v>1</x:v>
      </x:c>
      <x:c r="O619" s="13" t="b">
        <x:v>1</x:v>
      </x:c>
      <x:c r="P619" s="13" t="b">
        <x:v>0</x:v>
      </x:c>
      <x:c r="Q619" s="2" t="str">
        <x:v>legacy epoch_status=observed; not exact acquisition proof</x:v>
      </x:c>
      <x:c r="R619" s="2" t="str">
        <x:v>legacy epoch_status=observed; not exact acquisition proof</x:v>
      </x:c>
      <x:c r="S619" s="2" t="str">
        <x:v>historical source estimate</x:v>
      </x:c>
      <x:c r="T619" s="2" t="str">
        <x:v>historical source estimate</x:v>
      </x:c>
      <x:c r="U619" s="2" t="str">
        <x:v>GFA growth versus source physical quantity growth; constant conversion required for equality</x:v>
      </x:c>
      <x:c r="V619" s="2" t="str">
        <x:v>Historical horizontal endpoint trend already used by v16</x:v>
      </x:c>
      <x:c r="W619" s="2" t="str">
        <x:v>https://human-settlement.emergency.copernicus.eu/ghs_buS2023.php</x:v>
      </x:c>
    </x:row>
    <x:row r="620" ht="23" customHeight="1">
      <x:c r="A620" s="2" t="str">
        <x:v>BWA</x:v>
      </x:c>
      <x:c r="B620" s="2" t="str">
        <x:v>Botswana (Republic of)</x:v>
      </x:c>
      <x:c r="C620" s="2" t="str">
        <x:v>GHSL_SURFACE</x:v>
      </x:c>
      <x:c r="D620" s="2" t="n">
        <x:v>2015</x:v>
      </x:c>
      <x:c r="E620" s="2" t="n">
        <x:v>2020</x:v>
      </x:c>
      <x:c r="F620" s="17" t="n">
        <x:v>111331344.3203508</x:v>
      </x:c>
      <x:c r="G620" s="17" t="n">
        <x:v>118564613.02000009</x:v>
      </x:c>
      <x:c r="H620" s="17" t="n">
        <x:v>453301359</x:v>
      </x:c>
      <x:c r="I620" s="17" t="n">
        <x:v>479268825</x:v>
      </x:c>
      <x:c r="J620" s="2" t="str">
        <x:v>m2</x:v>
      </x:c>
      <x:c r="K620" s="15" t="n">
        <x:f>IF(AND(ISNUMBER(F620),ISNUMBER(G620),F620&gt;0),G620/F620-1,"n.a.")</x:f>
        <x:v>0.06497064006373532</x:v>
      </x:c>
      <x:c r="L620" s="15" t="n">
        <x:f>IF(AND(N620,ISNUMBER(H620),ISNUMBER(I620),H620&gt;0),I620/H620-1,"n.a.")</x:f>
        <x:v>0.05728521541891074</x:v>
      </x:c>
      <x:c r="M620" s="20" t="n">
        <x:f>IF(AND(ISNUMBER(K620),ISNUMBER(L620)),100*(K620-L620),"n.a.")</x:f>
        <x:v>0.7685424644824579</x:v>
      </x:c>
      <x:c r="N620" s="13" t="b">
        <x:v>1</x:v>
      </x:c>
      <x:c r="O620" s="13" t="b">
        <x:v>1</x:v>
      </x:c>
      <x:c r="P620" s="13" t="b">
        <x:v>0</x:v>
      </x:c>
      <x:c r="Q620" s="2" t="str">
        <x:v>legacy epoch_status=observed; not exact acquisition proof</x:v>
      </x:c>
      <x:c r="R620" s="2" t="str">
        <x:v>legacy epoch_status=observed; not exact acquisition proof</x:v>
      </x:c>
      <x:c r="S620" s="2" t="str">
        <x:v>historical source estimate</x:v>
      </x:c>
      <x:c r="T620" s="2" t="str">
        <x:v>historical source estimate</x:v>
      </x:c>
      <x:c r="U620" s="2" t="str">
        <x:v>GFA growth versus source physical quantity growth; constant conversion required for equality</x:v>
      </x:c>
      <x:c r="V620" s="2" t="str">
        <x:v>Historical horizontal endpoint trend already used by v16</x:v>
      </x:c>
      <x:c r="W620" s="2" t="str">
        <x:v>https://human-settlement.emergency.copernicus.eu/ghs_buS2023.php</x:v>
      </x:c>
    </x:row>
    <x:row r="621" ht="23" customHeight="1">
      <x:c r="A621" s="2" t="str">
        <x:v>CAF</x:v>
      </x:c>
      <x:c r="B621" s="2" t="str">
        <x:v>Central African Republic</x:v>
      </x:c>
      <x:c r="C621" s="2" t="str">
        <x:v>GHSL_SURFACE</x:v>
      </x:c>
      <x:c r="D621" s="2" t="n">
        <x:v>2015</x:v>
      </x:c>
      <x:c r="E621" s="2" t="n">
        <x:v>2020</x:v>
      </x:c>
      <x:c r="F621" s="17" t="n">
        <x:v>62024265.65545923</x:v>
      </x:c>
      <x:c r="G621" s="17" t="n">
        <x:v>66989106.04000005</x:v>
      </x:c>
      <x:c r="H621" s="17" t="n">
        <x:v>190253774</x:v>
      </x:c>
      <x:c r="I621" s="17" t="n">
        <x:v>203562278</x:v>
      </x:c>
      <x:c r="J621" s="2" t="str">
        <x:v>m2</x:v>
      </x:c>
      <x:c r="K621" s="15" t="n">
        <x:f>IF(AND(ISNUMBER(F621),ISNUMBER(G621),F621&gt;0),G621/F621-1,"n.a.")</x:f>
        <x:v>0.08004674190130978</x:v>
      </x:c>
      <x:c r="L621" s="15" t="n">
        <x:f>IF(AND(N621,ISNUMBER(H621),ISNUMBER(I621),H621&gt;0),I621/H621-1,"n.a.")</x:f>
        <x:v>0.06995132722045239</x:v>
      </x:c>
      <x:c r="M621" s="20" t="n">
        <x:f>IF(AND(ISNUMBER(K621),ISNUMBER(L621)),100*(K621-L621),"n.a.")</x:f>
        <x:v>1.0095414680857395</x:v>
      </x:c>
      <x:c r="N621" s="13" t="b">
        <x:v>1</x:v>
      </x:c>
      <x:c r="O621" s="13" t="b">
        <x:v>1</x:v>
      </x:c>
      <x:c r="P621" s="13" t="b">
        <x:v>0</x:v>
      </x:c>
      <x:c r="Q621" s="2" t="str">
        <x:v>legacy epoch_status=observed; not exact acquisition proof</x:v>
      </x:c>
      <x:c r="R621" s="2" t="str">
        <x:v>legacy epoch_status=observed; not exact acquisition proof</x:v>
      </x:c>
      <x:c r="S621" s="2" t="str">
        <x:v>historical source estimate</x:v>
      </x:c>
      <x:c r="T621" s="2" t="str">
        <x:v>historical source estimate</x:v>
      </x:c>
      <x:c r="U621" s="2" t="str">
        <x:v>GFA growth versus source physical quantity growth; constant conversion required for equality</x:v>
      </x:c>
      <x:c r="V621" s="2" t="str">
        <x:v>Historical horizontal endpoint trend already used by v16</x:v>
      </x:c>
      <x:c r="W621" s="2" t="str">
        <x:v>https://human-settlement.emergency.copernicus.eu/ghs_buS2023.php</x:v>
      </x:c>
    </x:row>
    <x:row r="622" ht="23" customHeight="1">
      <x:c r="A622" s="2" t="str">
        <x:v>CAN</x:v>
      </x:c>
      <x:c r="B622" s="2" t="str">
        <x:v>Canada</x:v>
      </x:c>
      <x:c r="C622" s="2" t="str">
        <x:v>GHSL_SURFACE</x:v>
      </x:c>
      <x:c r="D622" s="2" t="n">
        <x:v>2015</x:v>
      </x:c>
      <x:c r="E622" s="2" t="n">
        <x:v>2020</x:v>
      </x:c>
      <x:c r="F622" s="17" t="n">
        <x:v>2816886264.1935463</x:v>
      </x:c>
      <x:c r="G622" s="17" t="n">
        <x:v>2941628265.260001</x:v>
      </x:c>
      <x:c r="H622" s="17" t="n">
        <x:v>4756580372</x:v>
      </x:c>
      <x:c r="I622" s="17" t="n">
        <x:v>4923374604</x:v>
      </x:c>
      <x:c r="J622" s="2" t="str">
        <x:v>m2</x:v>
      </x:c>
      <x:c r="K622" s="15" t="n">
        <x:f>IF(AND(ISNUMBER(F622),ISNUMBER(G622),F622&gt;0),G622/F622-1,"n.a.")</x:f>
        <x:v>0.044283648456842295</x:v>
      </x:c>
      <x:c r="L622" s="15" t="n">
        <x:f>IF(AND(N622,ISNUMBER(H622),ISNUMBER(I622),H622&gt;0),I622/H622-1,"n.a.")</x:f>
        <x:v>0.03506599677824185</x:v>
      </x:c>
      <x:c r="M622" s="20" t="n">
        <x:f>IF(AND(ISNUMBER(K622),ISNUMBER(L622)),100*(K622-L622),"n.a.")</x:f>
        <x:v>0.9217651678600447</x:v>
      </x:c>
      <x:c r="N622" s="13" t="b">
        <x:v>1</x:v>
      </x:c>
      <x:c r="O622" s="13" t="b">
        <x:v>1</x:v>
      </x:c>
      <x:c r="P622" s="13" t="b">
        <x:v>0</x:v>
      </x:c>
      <x:c r="Q622" s="2" t="str">
        <x:v>legacy epoch_status=observed; not exact acquisition proof</x:v>
      </x:c>
      <x:c r="R622" s="2" t="str">
        <x:v>legacy epoch_status=observed; not exact acquisition proof</x:v>
      </x:c>
      <x:c r="S622" s="2" t="str">
        <x:v>historical source estimate</x:v>
      </x:c>
      <x:c r="T622" s="2" t="str">
        <x:v>historical source estimate</x:v>
      </x:c>
      <x:c r="U622" s="2" t="str">
        <x:v>GFA growth versus source physical quantity growth; constant conversion required for equality</x:v>
      </x:c>
      <x:c r="V622" s="2" t="str">
        <x:v>Historical horizontal endpoint trend already used by v16</x:v>
      </x:c>
      <x:c r="W622" s="2" t="str">
        <x:v>https://human-settlement.emergency.copernicus.eu/ghs_buS2023.php</x:v>
      </x:c>
    </x:row>
    <x:row r="623" ht="23" customHeight="1">
      <x:c r="A623" s="2" t="str">
        <x:v>CHE</x:v>
      </x:c>
      <x:c r="B623" s="2" t="str">
        <x:v>Switzerland (Swiss Confederation)</x:v>
      </x:c>
      <x:c r="C623" s="2" t="str">
        <x:v>GHSL_SURFACE</x:v>
      </x:c>
      <x:c r="D623" s="2" t="n">
        <x:v>2015</x:v>
      </x:c>
      <x:c r="E623" s="2" t="n">
        <x:v>2020</x:v>
      </x:c>
      <x:c r="F623" s="17" t="n">
        <x:v>523761622.51901233</x:v>
      </x:c>
      <x:c r="G623" s="17" t="n">
        <x:v>554094959.2900008</x:v>
      </x:c>
      <x:c r="H623" s="17" t="n">
        <x:v>744885695</x:v>
      </x:c>
      <x:c r="I623" s="17" t="n">
        <x:v>781101154</x:v>
      </x:c>
      <x:c r="J623" s="2" t="str">
        <x:v>m2</x:v>
      </x:c>
      <x:c r="K623" s="15" t="n">
        <x:f>IF(AND(ISNUMBER(F623),ISNUMBER(G623),F623&gt;0),G623/F623-1,"n.a.")</x:f>
        <x:v>0.05791439362262052</x:v>
      </x:c>
      <x:c r="L623" s="15" t="n">
        <x:f>IF(AND(N623,ISNUMBER(H623),ISNUMBER(I623),H623&gt;0),I623/H623-1,"n.a.")</x:f>
        <x:v>0.048618813924195425</x:v>
      </x:c>
      <x:c r="M623" s="20" t="n">
        <x:f>IF(AND(ISNUMBER(K623),ISNUMBER(L623)),100*(K623-L623),"n.a.")</x:f>
        <x:v>0.9295579698425094</x:v>
      </x:c>
      <x:c r="N623" s="13" t="b">
        <x:v>1</x:v>
      </x:c>
      <x:c r="O623" s="13" t="b">
        <x:v>1</x:v>
      </x:c>
      <x:c r="P623" s="13" t="b">
        <x:v>0</x:v>
      </x:c>
      <x:c r="Q623" s="2" t="str">
        <x:v>legacy epoch_status=observed; not exact acquisition proof</x:v>
      </x:c>
      <x:c r="R623" s="2" t="str">
        <x:v>legacy epoch_status=observed; not exact acquisition proof</x:v>
      </x:c>
      <x:c r="S623" s="2" t="str">
        <x:v>historical source estimate</x:v>
      </x:c>
      <x:c r="T623" s="2" t="str">
        <x:v>historical source estimate</x:v>
      </x:c>
      <x:c r="U623" s="2" t="str">
        <x:v>GFA growth versus source physical quantity growth; constant conversion required for equality</x:v>
      </x:c>
      <x:c r="V623" s="2" t="str">
        <x:v>Historical horizontal endpoint trend already used by v16</x:v>
      </x:c>
      <x:c r="W623" s="2" t="str">
        <x:v>https://human-settlement.emergency.copernicus.eu/ghs_buS2023.php</x:v>
      </x:c>
    </x:row>
    <x:row r="624" ht="23" customHeight="1">
      <x:c r="A624" s="2" t="str">
        <x:v>CHL</x:v>
      </x:c>
      <x:c r="B624" s="2" t="str">
        <x:v>Chile (Republic of)</x:v>
      </x:c>
      <x:c r="C624" s="2" t="str">
        <x:v>GHSL_SURFACE</x:v>
      </x:c>
      <x:c r="D624" s="2" t="n">
        <x:v>2015</x:v>
      </x:c>
      <x:c r="E624" s="2" t="n">
        <x:v>2020</x:v>
      </x:c>
      <x:c r="F624" s="17" t="n">
        <x:v>948297662.3062444</x:v>
      </x:c>
      <x:c r="G624" s="17" t="n">
        <x:v>986436316.0700014</x:v>
      </x:c>
      <x:c r="H624" s="17" t="n">
        <x:v>1274781074</x:v>
      </x:c>
      <x:c r="I624" s="17" t="n">
        <x:v>1313803378</x:v>
      </x:c>
      <x:c r="J624" s="2" t="str">
        <x:v>m2</x:v>
      </x:c>
      <x:c r="K624" s="15" t="n">
        <x:f>IF(AND(ISNUMBER(F624),ISNUMBER(G624),F624&gt;0),G624/F624-1,"n.a.")</x:f>
        <x:v>0.04021801938328573</x:v>
      </x:c>
      <x:c r="L624" s="15" t="n">
        <x:f>IF(AND(N624,ISNUMBER(H624),ISNUMBER(I624),H624&gt;0),I624/H624-1,"n.a.")</x:f>
        <x:v>0.030610984737603708</x:v>
      </x:c>
      <x:c r="M624" s="20" t="n">
        <x:f>IF(AND(ISNUMBER(K624),ISNUMBER(L624)),100*(K624-L624),"n.a.")</x:f>
        <x:v>0.9607034645682022</x:v>
      </x:c>
      <x:c r="N624" s="13" t="b">
        <x:v>1</x:v>
      </x:c>
      <x:c r="O624" s="13" t="b">
        <x:v>1</x:v>
      </x:c>
      <x:c r="P624" s="13" t="b">
        <x:v>0</x:v>
      </x:c>
      <x:c r="Q624" s="2" t="str">
        <x:v>legacy epoch_status=observed; not exact acquisition proof</x:v>
      </x:c>
      <x:c r="R624" s="2" t="str">
        <x:v>legacy epoch_status=observed; not exact acquisition proof</x:v>
      </x:c>
      <x:c r="S624" s="2" t="str">
        <x:v>historical source estimate</x:v>
      </x:c>
      <x:c r="T624" s="2" t="str">
        <x:v>historical source estimate</x:v>
      </x:c>
      <x:c r="U624" s="2" t="str">
        <x:v>GFA growth versus source physical quantity growth; constant conversion required for equality</x:v>
      </x:c>
      <x:c r="V624" s="2" t="str">
        <x:v>Historical horizontal endpoint trend already used by v16</x:v>
      </x:c>
      <x:c r="W624" s="2" t="str">
        <x:v>https://human-settlement.emergency.copernicus.eu/ghs_buS2023.php</x:v>
      </x:c>
    </x:row>
    <x:row r="625" ht="23" customHeight="1">
      <x:c r="A625" s="2" t="str">
        <x:v>CHN</x:v>
      </x:c>
      <x:c r="B625" s="2" t="str">
        <x:v>China (People's Republic of)</x:v>
      </x:c>
      <x:c r="C625" s="2" t="str">
        <x:v>GHSL_SURFACE</x:v>
      </x:c>
      <x:c r="D625" s="2" t="n">
        <x:v>2015</x:v>
      </x:c>
      <x:c r="E625" s="2" t="n">
        <x:v>2020</x:v>
      </x:c>
      <x:c r="F625" s="17" t="n">
        <x:v>76119805856.33177</x:v>
      </x:c>
      <x:c r="G625" s="17" t="n">
        <x:v>86144650012.34993</x:v>
      </x:c>
      <x:c r="H625" s="17" t="n">
        <x:v>72388954047</x:v>
      </x:c>
      <x:c r="I625" s="17" t="n">
        <x:v>81421638765</x:v>
      </x:c>
      <x:c r="J625" s="2" t="str">
        <x:v>m2</x:v>
      </x:c>
      <x:c r="K625" s="15" t="n">
        <x:f>IF(AND(ISNUMBER(F625),ISNUMBER(G625),F625&gt;0),G625/F625-1,"n.a.")</x:f>
        <x:v>0.13169823600100883</x:v>
      </x:c>
      <x:c r="L625" s="15" t="n">
        <x:f>IF(AND(N625,ISNUMBER(H625),ISNUMBER(I625),H625&gt;0),I625/H625-1,"n.a.")</x:f>
        <x:v>0.1247798761139074</x:v>
      </x:c>
      <x:c r="M625" s="20" t="n">
        <x:f>IF(AND(ISNUMBER(K625),ISNUMBER(L625)),100*(K625-L625),"n.a.")</x:f>
        <x:v>0.6918359887101433</x:v>
      </x:c>
      <x:c r="N625" s="13" t="b">
        <x:v>1</x:v>
      </x:c>
      <x:c r="O625" s="13" t="b">
        <x:v>1</x:v>
      </x:c>
      <x:c r="P625" s="13" t="b">
        <x:v>0</x:v>
      </x:c>
      <x:c r="Q625" s="2" t="str">
        <x:v>legacy epoch_status=observed; not exact acquisition proof</x:v>
      </x:c>
      <x:c r="R625" s="2" t="str">
        <x:v>legacy epoch_status=observed; not exact acquisition proof</x:v>
      </x:c>
      <x:c r="S625" s="2" t="str">
        <x:v>historical source estimate</x:v>
      </x:c>
      <x:c r="T625" s="2" t="str">
        <x:v>historical source estimate</x:v>
      </x:c>
      <x:c r="U625" s="2" t="str">
        <x:v>GFA growth versus source physical quantity growth; constant conversion required for equality</x:v>
      </x:c>
      <x:c r="V625" s="2" t="str">
        <x:v>Historical horizontal endpoint trend already used by v16</x:v>
      </x:c>
      <x:c r="W625" s="2" t="str">
        <x:v>https://human-settlement.emergency.copernicus.eu/ghs_buS2023.php</x:v>
      </x:c>
    </x:row>
    <x:row r="626" ht="23" customHeight="1">
      <x:c r="A626" s="2" t="str">
        <x:v>CIV</x:v>
      </x:c>
      <x:c r="B626" s="2" t="str">
        <x:v>Côte d'Ivoire (Republic of)</x:v>
      </x:c>
      <x:c r="C626" s="2" t="str">
        <x:v>GHSL_SURFACE</x:v>
      </x:c>
      <x:c r="D626" s="2" t="n">
        <x:v>2015</x:v>
      </x:c>
      <x:c r="E626" s="2" t="n">
        <x:v>2020</x:v>
      </x:c>
      <x:c r="F626" s="17" t="n">
        <x:v>535082766.1071231</x:v>
      </x:c>
      <x:c r="G626" s="17" t="n">
        <x:v>602828854.8199993</x:v>
      </x:c>
      <x:c r="H626" s="17" t="n">
        <x:v>1126309523</x:v>
      </x:c>
      <x:c r="I626" s="17" t="n">
        <x:v>1260792972</x:v>
      </x:c>
      <x:c r="J626" s="2" t="str">
        <x:v>m2</x:v>
      </x:c>
      <x:c r="K626" s="15" t="n">
        <x:f>IF(AND(ISNUMBER(F626),ISNUMBER(G626),F626&gt;0),G626/F626-1,"n.a.")</x:f>
        <x:v>0.12660861646834198</x:v>
      </x:c>
      <x:c r="L626" s="15" t="n">
        <x:f>IF(AND(N626,ISNUMBER(H626),ISNUMBER(I626),H626&gt;0),I626/H626-1,"n.a.")</x:f>
        <x:v>0.11940185735249265</x:v>
      </x:c>
      <x:c r="M626" s="20" t="n">
        <x:f>IF(AND(ISNUMBER(K626),ISNUMBER(L626)),100*(K626-L626),"n.a.")</x:f>
        <x:v>0.7206759115849337</x:v>
      </x:c>
      <x:c r="N626" s="13" t="b">
        <x:v>1</x:v>
      </x:c>
      <x:c r="O626" s="13" t="b">
        <x:v>1</x:v>
      </x:c>
      <x:c r="P626" s="13" t="b">
        <x:v>0</x:v>
      </x:c>
      <x:c r="Q626" s="2" t="str">
        <x:v>legacy epoch_status=observed; not exact acquisition proof</x:v>
      </x:c>
      <x:c r="R626" s="2" t="str">
        <x:v>legacy epoch_status=observed; not exact acquisition proof</x:v>
      </x:c>
      <x:c r="S626" s="2" t="str">
        <x:v>historical source estimate</x:v>
      </x:c>
      <x:c r="T626" s="2" t="str">
        <x:v>historical source estimate</x:v>
      </x:c>
      <x:c r="U626" s="2" t="str">
        <x:v>GFA growth versus source physical quantity growth; constant conversion required for equality</x:v>
      </x:c>
      <x:c r="V626" s="2" t="str">
        <x:v>Historical horizontal endpoint trend already used by v16</x:v>
      </x:c>
      <x:c r="W626" s="2" t="str">
        <x:v>https://human-settlement.emergency.copernicus.eu/ghs_buS2023.php</x:v>
      </x:c>
    </x:row>
    <x:row r="627" ht="23" customHeight="1">
      <x:c r="A627" s="2" t="str">
        <x:v>CMR</x:v>
      </x:c>
      <x:c r="B627" s="2" t="str">
        <x:v>Cameroon (Republic of)</x:v>
      </x:c>
      <x:c r="C627" s="2" t="str">
        <x:v>GHSL_SURFACE</x:v>
      </x:c>
      <x:c r="D627" s="2" t="n">
        <x:v>2015</x:v>
      </x:c>
      <x:c r="E627" s="2" t="n">
        <x:v>2020</x:v>
      </x:c>
      <x:c r="F627" s="17" t="n">
        <x:v>500876494.0247831</x:v>
      </x:c>
      <x:c r="G627" s="17" t="n">
        <x:v>577057207.8100005</x:v>
      </x:c>
      <x:c r="H627" s="17" t="n">
        <x:v>1069847817</x:v>
      </x:c>
      <x:c r="I627" s="17" t="n">
        <x:v>1223755693</x:v>
      </x:c>
      <x:c r="J627" s="2" t="str">
        <x:v>m2</x:v>
      </x:c>
      <x:c r="K627" s="15" t="n">
        <x:f>IF(AND(ISNUMBER(F627),ISNUMBER(G627),F627&gt;0),G627/F627-1,"n.a.")</x:f>
        <x:v>0.15209480719102797</x:v>
      </x:c>
      <x:c r="L627" s="15" t="n">
        <x:f>IF(AND(N627,ISNUMBER(H627),ISNUMBER(I627),H627&gt;0),I627/H627-1,"n.a.")</x:f>
        <x:v>0.14385959718231578</x:v>
      </x:c>
      <x:c r="M627" s="20" t="n">
        <x:f>IF(AND(ISNUMBER(K627),ISNUMBER(L627)),100*(K627-L627),"n.a.")</x:f>
        <x:v>0.823521000871219</x:v>
      </x:c>
      <x:c r="N627" s="13" t="b">
        <x:v>1</x:v>
      </x:c>
      <x:c r="O627" s="13" t="b">
        <x:v>1</x:v>
      </x:c>
      <x:c r="P627" s="13" t="b">
        <x:v>0</x:v>
      </x:c>
      <x:c r="Q627" s="2" t="str">
        <x:v>legacy epoch_status=observed; not exact acquisition proof</x:v>
      </x:c>
      <x:c r="R627" s="2" t="str">
        <x:v>legacy epoch_status=observed; not exact acquisition proof</x:v>
      </x:c>
      <x:c r="S627" s="2" t="str">
        <x:v>historical source estimate</x:v>
      </x:c>
      <x:c r="T627" s="2" t="str">
        <x:v>historical source estimate</x:v>
      </x:c>
      <x:c r="U627" s="2" t="str">
        <x:v>GFA growth versus source physical quantity growth; constant conversion required for equality</x:v>
      </x:c>
      <x:c r="V627" s="2" t="str">
        <x:v>Historical horizontal endpoint trend already used by v16</x:v>
      </x:c>
      <x:c r="W627" s="2" t="str">
        <x:v>https://human-settlement.emergency.copernicus.eu/ghs_buS2023.php</x:v>
      </x:c>
    </x:row>
    <x:row r="628" ht="23" customHeight="1">
      <x:c r="A628" s="2" t="str">
        <x:v>COD</x:v>
      </x:c>
      <x:c r="B628" s="2" t="str">
        <x:v>Congo (Democratic Republic of the)</x:v>
      </x:c>
      <x:c r="C628" s="2" t="str">
        <x:v>GHSL_SURFACE</x:v>
      </x:c>
      <x:c r="D628" s="2" t="n">
        <x:v>2015</x:v>
      </x:c>
      <x:c r="E628" s="2" t="n">
        <x:v>2020</x:v>
      </x:c>
      <x:c r="F628" s="17" t="n">
        <x:v>771777552.5431249</x:v>
      </x:c>
      <x:c r="G628" s="17" t="n">
        <x:v>941825698.8399988</x:v>
      </x:c>
      <x:c r="H628" s="17" t="n">
        <x:v>2289609039</x:v>
      </x:c>
      <x:c r="I628" s="17" t="n">
        <x:v>2769375283</x:v>
      </x:c>
      <x:c r="J628" s="2" t="str">
        <x:v>m2</x:v>
      </x:c>
      <x:c r="K628" s="15" t="n">
        <x:f>IF(AND(ISNUMBER(F628),ISNUMBER(G628),F628&gt;0),G628/F628-1,"n.a.")</x:f>
        <x:v>0.22033310730085276</x:v>
      </x:c>
      <x:c r="L628" s="15" t="n">
        <x:f>IF(AND(N628,ISNUMBER(H628),ISNUMBER(I628),H628&gt;0),I628/H628-1,"n.a.")</x:f>
        <x:v>0.20954068394556158</x:v>
      </x:c>
      <x:c r="M628" s="20" t="n">
        <x:f>IF(AND(ISNUMBER(K628),ISNUMBER(L628)),100*(K628-L628),"n.a.")</x:f>
        <x:v>1.079242335529118</x:v>
      </x:c>
      <x:c r="N628" s="13" t="b">
        <x:v>1</x:v>
      </x:c>
      <x:c r="O628" s="13" t="b">
        <x:v>1</x:v>
      </x:c>
      <x:c r="P628" s="13" t="b">
        <x:v>0</x:v>
      </x:c>
      <x:c r="Q628" s="2" t="str">
        <x:v>legacy epoch_status=observed; not exact acquisition proof</x:v>
      </x:c>
      <x:c r="R628" s="2" t="str">
        <x:v>legacy epoch_status=observed; not exact acquisition proof</x:v>
      </x:c>
      <x:c r="S628" s="2" t="str">
        <x:v>historical source estimate</x:v>
      </x:c>
      <x:c r="T628" s="2" t="str">
        <x:v>historical source estimate</x:v>
      </x:c>
      <x:c r="U628" s="2" t="str">
        <x:v>GFA growth versus source physical quantity growth; constant conversion required for equality</x:v>
      </x:c>
      <x:c r="V628" s="2" t="str">
        <x:v>Historical horizontal endpoint trend already used by v16</x:v>
      </x:c>
      <x:c r="W628" s="2" t="str">
        <x:v>https://human-settlement.emergency.copernicus.eu/ghs_buS2023.php</x:v>
      </x:c>
    </x:row>
    <x:row r="629" ht="23" customHeight="1">
      <x:c r="A629" s="2" t="str">
        <x:v>COG</x:v>
      </x:c>
      <x:c r="B629" s="2" t="str">
        <x:v>Congo (Republic of the)</x:v>
      </x:c>
      <x:c r="C629" s="2" t="str">
        <x:v>GHSL_SURFACE</x:v>
      </x:c>
      <x:c r="D629" s="2" t="n">
        <x:v>2015</x:v>
      </x:c>
      <x:c r="E629" s="2" t="n">
        <x:v>2020</x:v>
      </x:c>
      <x:c r="F629" s="17" t="n">
        <x:v>91893894.47278675</x:v>
      </x:c>
      <x:c r="G629" s="17" t="n">
        <x:v>110620071.65000013</x:v>
      </x:c>
      <x:c r="H629" s="17" t="n">
        <x:v>201362467</x:v>
      </x:c>
      <x:c r="I629" s="17" t="n">
        <x:v>241420781</x:v>
      </x:c>
      <x:c r="J629" s="2" t="str">
        <x:v>m2</x:v>
      </x:c>
      <x:c r="K629" s="15" t="n">
        <x:f>IF(AND(ISNUMBER(F629),ISNUMBER(G629),F629&gt;0),G629/F629-1,"n.a.")</x:f>
        <x:v>0.20378042833693266</x:v>
      </x:c>
      <x:c r="L629" s="15" t="n">
        <x:f>IF(AND(N629,ISNUMBER(H629),ISNUMBER(I629),H629&gt;0),I629/H629-1,"n.a.")</x:f>
        <x:v>0.19893634894729417</x:v>
      </x:c>
      <x:c r="M629" s="20" t="n">
        <x:f>IF(AND(ISNUMBER(K629),ISNUMBER(L629)),100*(K629-L629),"n.a.")</x:f>
        <x:v>0.4844079389638489</x:v>
      </x:c>
      <x:c r="N629" s="13" t="b">
        <x:v>1</x:v>
      </x:c>
      <x:c r="O629" s="13" t="b">
        <x:v>1</x:v>
      </x:c>
      <x:c r="P629" s="13" t="b">
        <x:v>0</x:v>
      </x:c>
      <x:c r="Q629" s="2" t="str">
        <x:v>legacy epoch_status=observed; not exact acquisition proof</x:v>
      </x:c>
      <x:c r="R629" s="2" t="str">
        <x:v>legacy epoch_status=observed; not exact acquisition proof</x:v>
      </x:c>
      <x:c r="S629" s="2" t="str">
        <x:v>historical source estimate</x:v>
      </x:c>
      <x:c r="T629" s="2" t="str">
        <x:v>historical source estimate</x:v>
      </x:c>
      <x:c r="U629" s="2" t="str">
        <x:v>GFA growth versus source physical quantity growth; constant conversion required for equality</x:v>
      </x:c>
      <x:c r="V629" s="2" t="str">
        <x:v>Historical horizontal endpoint trend already used by v16</x:v>
      </x:c>
      <x:c r="W629" s="2" t="str">
        <x:v>https://human-settlement.emergency.copernicus.eu/ghs_buS2023.php</x:v>
      </x:c>
    </x:row>
    <x:row r="630" ht="23" customHeight="1">
      <x:c r="A630" s="2" t="str">
        <x:v>COL</x:v>
      </x:c>
      <x:c r="B630" s="2" t="str">
        <x:v>Colombia (Republic of)</x:v>
      </x:c>
      <x:c r="C630" s="2" t="str">
        <x:v>GHSL_SURFACE</x:v>
      </x:c>
      <x:c r="D630" s="2" t="n">
        <x:v>2015</x:v>
      </x:c>
      <x:c r="E630" s="2" t="n">
        <x:v>2020</x:v>
      </x:c>
      <x:c r="F630" s="17" t="n">
        <x:v>1430230197.3322928</x:v>
      </x:c>
      <x:c r="G630" s="17" t="n">
        <x:v>1505534156.3100014</x:v>
      </x:c>
      <x:c r="H630" s="17" t="n">
        <x:v>1487471636</x:v>
      </x:c>
      <x:c r="I630" s="17" t="n">
        <x:v>1554621979</x:v>
      </x:c>
      <x:c r="J630" s="2" t="str">
        <x:v>m2</x:v>
      </x:c>
      <x:c r="K630" s="15" t="n">
        <x:f>IF(AND(ISNUMBER(F630),ISNUMBER(G630),F630&gt;0),G630/F630-1,"n.a.")</x:f>
        <x:v>0.05265163546271623</x:v>
      </x:c>
      <x:c r="L630" s="15" t="n">
        <x:f>IF(AND(N630,ISNUMBER(H630),ISNUMBER(I630),H630&gt;0),I630/H630-1,"n.a.")</x:f>
        <x:v>0.04514394854652548</x:v>
      </x:c>
      <x:c r="M630" s="20" t="n">
        <x:f>IF(AND(ISNUMBER(K630),ISNUMBER(L630)),100*(K630-L630),"n.a.")</x:f>
        <x:v>0.7507686916190748</x:v>
      </x:c>
      <x:c r="N630" s="13" t="b">
        <x:v>1</x:v>
      </x:c>
      <x:c r="O630" s="13" t="b">
        <x:v>1</x:v>
      </x:c>
      <x:c r="P630" s="13" t="b">
        <x:v>0</x:v>
      </x:c>
      <x:c r="Q630" s="2" t="str">
        <x:v>legacy epoch_status=observed; not exact acquisition proof</x:v>
      </x:c>
      <x:c r="R630" s="2" t="str">
        <x:v>legacy epoch_status=observed; not exact acquisition proof</x:v>
      </x:c>
      <x:c r="S630" s="2" t="str">
        <x:v>historical source estimate</x:v>
      </x:c>
      <x:c r="T630" s="2" t="str">
        <x:v>historical source estimate</x:v>
      </x:c>
      <x:c r="U630" s="2" t="str">
        <x:v>GFA growth versus source physical quantity growth; constant conversion required for equality</x:v>
      </x:c>
      <x:c r="V630" s="2" t="str">
        <x:v>Historical horizontal endpoint trend already used by v16</x:v>
      </x:c>
      <x:c r="W630" s="2" t="str">
        <x:v>https://human-settlement.emergency.copernicus.eu/ghs_buS2023.php</x:v>
      </x:c>
    </x:row>
    <x:row r="631" ht="23" customHeight="1">
      <x:c r="A631" s="2" t="str">
        <x:v>COM</x:v>
      </x:c>
      <x:c r="B631" s="2" t="str">
        <x:v>Comoros (Union of the)</x:v>
      </x:c>
      <x:c r="C631" s="2" t="str">
        <x:v>GHSL_SURFACE</x:v>
      </x:c>
      <x:c r="D631" s="2" t="n">
        <x:v>2015</x:v>
      </x:c>
      <x:c r="E631" s="2" t="n">
        <x:v>2020</x:v>
      </x:c>
      <x:c r="F631" s="17" t="n">
        <x:v>17623145.13508351</x:v>
      </x:c>
      <x:c r="G631" s="17" t="n">
        <x:v>18035090.40999997</x:v>
      </x:c>
      <x:c r="H631" s="17" t="n">
        <x:v>23829495</x:v>
      </x:c>
      <x:c r="I631" s="17" t="n">
        <x:v>24199666</x:v>
      </x:c>
      <x:c r="J631" s="2" t="str">
        <x:v>m2</x:v>
      </x:c>
      <x:c r="K631" s="15" t="n">
        <x:f>IF(AND(ISNUMBER(F631),ISNUMBER(G631),F631&gt;0),G631/F631-1,"n.a.")</x:f>
        <x:v>0.0233752415791193</x:v>
      </x:c>
      <x:c r="L631" s="15" t="n">
        <x:f>IF(AND(N631,ISNUMBER(H631),ISNUMBER(I631),H631&gt;0),I631/H631-1,"n.a.")</x:f>
        <x:v>0.015534152108552801</x:v>
      </x:c>
      <x:c r="M631" s="20" t="n">
        <x:f>IF(AND(ISNUMBER(K631),ISNUMBER(L631)),100*(K631-L631),"n.a.")</x:f>
        <x:v>0.7841089470566498</x:v>
      </x:c>
      <x:c r="N631" s="13" t="b">
        <x:v>1</x:v>
      </x:c>
      <x:c r="O631" s="13" t="b">
        <x:v>1</x:v>
      </x:c>
      <x:c r="P631" s="13" t="b">
        <x:v>0</x:v>
      </x:c>
      <x:c r="Q631" s="2" t="str">
        <x:v>legacy epoch_status=observed; not exact acquisition proof</x:v>
      </x:c>
      <x:c r="R631" s="2" t="str">
        <x:v>legacy epoch_status=observed; not exact acquisition proof</x:v>
      </x:c>
      <x:c r="S631" s="2" t="str">
        <x:v>historical source estimate</x:v>
      </x:c>
      <x:c r="T631" s="2" t="str">
        <x:v>historical source estimate</x:v>
      </x:c>
      <x:c r="U631" s="2" t="str">
        <x:v>GFA growth versus source physical quantity growth; constant conversion required for equality</x:v>
      </x:c>
      <x:c r="V631" s="2" t="str">
        <x:v>Historical horizontal endpoint trend already used by v16</x:v>
      </x:c>
      <x:c r="W631" s="2" t="str">
        <x:v>https://human-settlement.emergency.copernicus.eu/ghs_buS2023.php</x:v>
      </x:c>
    </x:row>
    <x:row r="632" ht="23" customHeight="1">
      <x:c r="A632" s="2" t="str">
        <x:v>CPV</x:v>
      </x:c>
      <x:c r="B632" s="2" t="str">
        <x:v>Cabo Verde (Republic of)</x:v>
      </x:c>
      <x:c r="C632" s="2" t="str">
        <x:v>GHSL_SURFACE</x:v>
      </x:c>
      <x:c r="D632" s="2" t="n">
        <x:v>2015</x:v>
      </x:c>
      <x:c r="E632" s="2" t="n">
        <x:v>2020</x:v>
      </x:c>
      <x:c r="F632" s="17" t="n">
        <x:v>19695500.817529745</x:v>
      </x:c>
      <x:c r="G632" s="17" t="n">
        <x:v>21833832.63999998</x:v>
      </x:c>
      <x:c r="H632" s="17" t="n">
        <x:v>20165854</x:v>
      </x:c>
      <x:c r="I632" s="17" t="n">
        <x:v>22272899</x:v>
      </x:c>
      <x:c r="J632" s="2" t="str">
        <x:v>m2</x:v>
      </x:c>
      <x:c r="K632" s="15" t="n">
        <x:f>IF(AND(ISNUMBER(F632),ISNUMBER(G632),F632&gt;0),G632/F632-1,"n.a.")</x:f>
        <x:v>0.10856955820930625</x:v>
      </x:c>
      <x:c r="L632" s="15" t="n">
        <x:f>IF(AND(N632,ISNUMBER(H632),ISNUMBER(I632),H632&gt;0),I632/H632-1,"n.a.")</x:f>
        <x:v>0.10448578076584303</x:v>
      </x:c>
      <x:c r="M632" s="20" t="n">
        <x:f>IF(AND(ISNUMBER(K632),ISNUMBER(L632)),100*(K632-L632),"n.a.")</x:f>
        <x:v>0.4083777443463221</x:v>
      </x:c>
      <x:c r="N632" s="13" t="b">
        <x:v>1</x:v>
      </x:c>
      <x:c r="O632" s="13" t="b">
        <x:v>1</x:v>
      </x:c>
      <x:c r="P632" s="13" t="b">
        <x:v>0</x:v>
      </x:c>
      <x:c r="Q632" s="2" t="str">
        <x:v>legacy epoch_status=observed; not exact acquisition proof</x:v>
      </x:c>
      <x:c r="R632" s="2" t="str">
        <x:v>legacy epoch_status=observed; not exact acquisition proof</x:v>
      </x:c>
      <x:c r="S632" s="2" t="str">
        <x:v>historical source estimate</x:v>
      </x:c>
      <x:c r="T632" s="2" t="str">
        <x:v>historical source estimate</x:v>
      </x:c>
      <x:c r="U632" s="2" t="str">
        <x:v>GFA growth versus source physical quantity growth; constant conversion required for equality</x:v>
      </x:c>
      <x:c r="V632" s="2" t="str">
        <x:v>Historical horizontal endpoint trend already used by v16</x:v>
      </x:c>
      <x:c r="W632" s="2" t="str">
        <x:v>https://human-settlement.emergency.copernicus.eu/ghs_buS2023.php</x:v>
      </x:c>
    </x:row>
    <x:row r="633" ht="23" customHeight="1">
      <x:c r="A633" s="2" t="str">
        <x:v>CRI</x:v>
      </x:c>
      <x:c r="B633" s="2" t="str">
        <x:v>Costa Rica (Republic of)</x:v>
      </x:c>
      <x:c r="C633" s="2" t="str">
        <x:v>GHSL_SURFACE</x:v>
      </x:c>
      <x:c r="D633" s="2" t="n">
        <x:v>2015</x:v>
      </x:c>
      <x:c r="E633" s="2" t="n">
        <x:v>2020</x:v>
      </x:c>
      <x:c r="F633" s="17" t="n">
        <x:v>251814595.18811685</x:v>
      </x:c>
      <x:c r="G633" s="17" t="n">
        <x:v>284786315.38999987</x:v>
      </x:c>
      <x:c r="H633" s="17" t="n">
        <x:v>326279230</x:v>
      </x:c>
      <x:c r="I633" s="17" t="n">
        <x:v>365803979</x:v>
      </x:c>
      <x:c r="J633" s="2" t="str">
        <x:v>m2</x:v>
      </x:c>
      <x:c r="K633" s="15" t="n">
        <x:f>IF(AND(ISNUMBER(F633),ISNUMBER(G633),F633&gt;0),G633/F633-1,"n.a.")</x:f>
        <x:v>0.13093649388055395</x:v>
      </x:c>
      <x:c r="L633" s="15" t="n">
        <x:f>IF(AND(N633,ISNUMBER(H633),ISNUMBER(I633),H633&gt;0),I633/H633-1,"n.a.")</x:f>
        <x:v>0.12113780273417962</x:v>
      </x:c>
      <x:c r="M633" s="20" t="n">
        <x:f>IF(AND(ISNUMBER(K633),ISNUMBER(L633)),100*(K633-L633),"n.a.")</x:f>
        <x:v>0.9798691146374328</x:v>
      </x:c>
      <x:c r="N633" s="13" t="b">
        <x:v>1</x:v>
      </x:c>
      <x:c r="O633" s="13" t="b">
        <x:v>1</x:v>
      </x:c>
      <x:c r="P633" s="13" t="b">
        <x:v>0</x:v>
      </x:c>
      <x:c r="Q633" s="2" t="str">
        <x:v>legacy epoch_status=observed; not exact acquisition proof</x:v>
      </x:c>
      <x:c r="R633" s="2" t="str">
        <x:v>legacy epoch_status=observed; not exact acquisition proof</x:v>
      </x:c>
      <x:c r="S633" s="2" t="str">
        <x:v>historical source estimate</x:v>
      </x:c>
      <x:c r="T633" s="2" t="str">
        <x:v>historical source estimate</x:v>
      </x:c>
      <x:c r="U633" s="2" t="str">
        <x:v>GFA growth versus source physical quantity growth; constant conversion required for equality</x:v>
      </x:c>
      <x:c r="V633" s="2" t="str">
        <x:v>Historical horizontal endpoint trend already used by v16</x:v>
      </x:c>
      <x:c r="W633" s="2" t="str">
        <x:v>https://human-settlement.emergency.copernicus.eu/ghs_buS2023.php</x:v>
      </x:c>
    </x:row>
    <x:row r="634" ht="23" customHeight="1">
      <x:c r="A634" s="2" t="str">
        <x:v>CUB</x:v>
      </x:c>
      <x:c r="B634" s="2" t="str">
        <x:v>Cuba (Republic of)</x:v>
      </x:c>
      <x:c r="C634" s="2" t="str">
        <x:v>GHSL_SURFACE</x:v>
      </x:c>
      <x:c r="D634" s="2" t="n">
        <x:v>2015</x:v>
      </x:c>
      <x:c r="E634" s="2" t="n">
        <x:v>2020</x:v>
      </x:c>
      <x:c r="F634" s="17" t="n">
        <x:v>333742028.5469901</x:v>
      </x:c>
      <x:c r="G634" s="17" t="n">
        <x:v>360088927.4199998</x:v>
      </x:c>
      <x:c r="H634" s="17" t="n">
        <x:v>359417783</x:v>
      </x:c>
      <x:c r="I634" s="17" t="n">
        <x:v>387153054</x:v>
      </x:c>
      <x:c r="J634" s="2" t="str">
        <x:v>m2</x:v>
      </x:c>
      <x:c r="K634" s="15" t="n">
        <x:f>IF(AND(ISNUMBER(F634),ISNUMBER(G634),F634&gt;0),G634/F634-1,"n.a.")</x:f>
        <x:v>0.07894390463111867</x:v>
      </x:c>
      <x:c r="L634" s="15" t="n">
        <x:f>IF(AND(N634,ISNUMBER(H634),ISNUMBER(I634),H634&gt;0),I634/H634-1,"n.a.")</x:f>
        <x:v>0.07716721963086615</x:v>
      </x:c>
      <x:c r="M634" s="20" t="n">
        <x:f>IF(AND(ISNUMBER(K634),ISNUMBER(L634)),100*(K634-L634),"n.a.")</x:f>
        <x:v>0.17766850002525203</x:v>
      </x:c>
      <x:c r="N634" s="13" t="b">
        <x:v>1</x:v>
      </x:c>
      <x:c r="O634" s="13" t="b">
        <x:v>1</x:v>
      </x:c>
      <x:c r="P634" s="13" t="b">
        <x:v>0</x:v>
      </x:c>
      <x:c r="Q634" s="2" t="str">
        <x:v>legacy epoch_status=observed; not exact acquisition proof</x:v>
      </x:c>
      <x:c r="R634" s="2" t="str">
        <x:v>legacy epoch_status=observed; not exact acquisition proof</x:v>
      </x:c>
      <x:c r="S634" s="2" t="str">
        <x:v>historical source estimate</x:v>
      </x:c>
      <x:c r="T634" s="2" t="str">
        <x:v>historical source estimate</x:v>
      </x:c>
      <x:c r="U634" s="2" t="str">
        <x:v>GFA growth versus source physical quantity growth; constant conversion required for equality</x:v>
      </x:c>
      <x:c r="V634" s="2" t="str">
        <x:v>Historical horizontal endpoint trend already used by v16</x:v>
      </x:c>
      <x:c r="W634" s="2" t="str">
        <x:v>https://human-settlement.emergency.copernicus.eu/ghs_buS2023.php</x:v>
      </x:c>
    </x:row>
    <x:row r="635" ht="23" customHeight="1">
      <x:c r="A635" s="2" t="str">
        <x:v>CYP</x:v>
      </x:c>
      <x:c r="B635" s="2" t="str">
        <x:v>Cyprus (Republic of)</x:v>
      </x:c>
      <x:c r="C635" s="2" t="str">
        <x:v>GHSL_SURFACE</x:v>
      </x:c>
      <x:c r="D635" s="2" t="n">
        <x:v>2015</x:v>
      </x:c>
      <x:c r="E635" s="2" t="n">
        <x:v>2020</x:v>
      </x:c>
      <x:c r="F635" s="17" t="n">
        <x:v>118707748.12306449</x:v>
      </x:c>
      <x:c r="G635" s="17" t="n">
        <x:v>124124771.75000016</x:v>
      </x:c>
      <x:c r="H635" s="17" t="n">
        <x:v>136842434</x:v>
      </x:c>
      <x:c r="I635" s="17" t="n">
        <x:v>141665206</x:v>
      </x:c>
      <x:c r="J635" s="2" t="str">
        <x:v>m2</x:v>
      </x:c>
      <x:c r="K635" s="15" t="n">
        <x:f>IF(AND(ISNUMBER(F635),ISNUMBER(G635),F635&gt;0),G635/F635-1,"n.a.")</x:f>
        <x:v>0.045633277630031666</x:v>
      </x:c>
      <x:c r="L635" s="15" t="n">
        <x:f>IF(AND(N635,ISNUMBER(H635),ISNUMBER(I635),H635&gt;0),I635/H635-1,"n.a.")</x:f>
        <x:v>0.03524324918102528</x:v>
      </x:c>
      <x:c r="M635" s="20" t="n">
        <x:f>IF(AND(ISNUMBER(K635),ISNUMBER(L635)),100*(K635-L635),"n.a.")</x:f>
        <x:v>1.0390028449006383</x:v>
      </x:c>
      <x:c r="N635" s="13" t="b">
        <x:v>1</x:v>
      </x:c>
      <x:c r="O635" s="13" t="b">
        <x:v>1</x:v>
      </x:c>
      <x:c r="P635" s="13" t="b">
        <x:v>0</x:v>
      </x:c>
      <x:c r="Q635" s="2" t="str">
        <x:v>legacy epoch_status=observed; not exact acquisition proof</x:v>
      </x:c>
      <x:c r="R635" s="2" t="str">
        <x:v>legacy epoch_status=observed; not exact acquisition proof</x:v>
      </x:c>
      <x:c r="S635" s="2" t="str">
        <x:v>historical source estimate</x:v>
      </x:c>
      <x:c r="T635" s="2" t="str">
        <x:v>historical source estimate</x:v>
      </x:c>
      <x:c r="U635" s="2" t="str">
        <x:v>GFA growth versus source physical quantity growth; constant conversion required for equality</x:v>
      </x:c>
      <x:c r="V635" s="2" t="str">
        <x:v>Historical horizontal endpoint trend already used by v16</x:v>
      </x:c>
      <x:c r="W635" s="2" t="str">
        <x:v>https://human-settlement.emergency.copernicus.eu/ghs_buS2023.php</x:v>
      </x:c>
    </x:row>
    <x:row r="636" ht="23" customHeight="1">
      <x:c r="A636" s="2" t="str">
        <x:v>CZE</x:v>
      </x:c>
      <x:c r="B636" s="2" t="str">
        <x:v>Czechia (Czech Republic)</x:v>
      </x:c>
      <x:c r="C636" s="2" t="str">
        <x:v>GHSL_SURFACE</x:v>
      </x:c>
      <x:c r="D636" s="2" t="n">
        <x:v>2015</x:v>
      </x:c>
      <x:c r="E636" s="2" t="n">
        <x:v>2020</x:v>
      </x:c>
      <x:c r="F636" s="17" t="n">
        <x:v>802655135.3985859</x:v>
      </x:c>
      <x:c r="G636" s="17" t="n">
        <x:v>853858176.0500003</x:v>
      </x:c>
      <x:c r="H636" s="17" t="n">
        <x:v>1286421061</x:v>
      </x:c>
      <x:c r="I636" s="17" t="n">
        <x:v>1361688970</x:v>
      </x:c>
      <x:c r="J636" s="2" t="str">
        <x:v>m2</x:v>
      </x:c>
      <x:c r="K636" s="15" t="n">
        <x:f>IF(AND(ISNUMBER(F636),ISNUMBER(G636),F636&gt;0),G636/F636-1,"n.a.")</x:f>
        <x:v>0.06379208005189896</x:v>
      </x:c>
      <x:c r="L636" s="15" t="n">
        <x:f>IF(AND(N636,ISNUMBER(H636),ISNUMBER(I636),H636&gt;0),I636/H636-1,"n.a.")</x:f>
        <x:v>0.058509543478315384</x:v>
      </x:c>
      <x:c r="M636" s="20" t="n">
        <x:f>IF(AND(ISNUMBER(K636),ISNUMBER(L636)),100*(K636-L636),"n.a.")</x:f>
        <x:v>0.5282536573583574</x:v>
      </x:c>
      <x:c r="N636" s="13" t="b">
        <x:v>1</x:v>
      </x:c>
      <x:c r="O636" s="13" t="b">
        <x:v>1</x:v>
      </x:c>
      <x:c r="P636" s="13" t="b">
        <x:v>0</x:v>
      </x:c>
      <x:c r="Q636" s="2" t="str">
        <x:v>legacy epoch_status=observed; not exact acquisition proof</x:v>
      </x:c>
      <x:c r="R636" s="2" t="str">
        <x:v>legacy epoch_status=observed; not exact acquisition proof</x:v>
      </x:c>
      <x:c r="S636" s="2" t="str">
        <x:v>historical source estimate</x:v>
      </x:c>
      <x:c r="T636" s="2" t="str">
        <x:v>historical source estimate</x:v>
      </x:c>
      <x:c r="U636" s="2" t="str">
        <x:v>GFA growth versus source physical quantity growth; constant conversion required for equality</x:v>
      </x:c>
      <x:c r="V636" s="2" t="str">
        <x:v>Historical horizontal endpoint trend already used by v16</x:v>
      </x:c>
      <x:c r="W636" s="2" t="str">
        <x:v>https://human-settlement.emergency.copernicus.eu/ghs_buS2023.php</x:v>
      </x:c>
    </x:row>
    <x:row r="637" ht="23" customHeight="1">
      <x:c r="A637" s="2" t="str">
        <x:v>DEU</x:v>
      </x:c>
      <x:c r="B637" s="2" t="str">
        <x:v>Germany (Federal Republic of)</x:v>
      </x:c>
      <x:c r="C637" s="2" t="str">
        <x:v>GHSL_SURFACE</x:v>
      </x:c>
      <x:c r="D637" s="2" t="n">
        <x:v>2015</x:v>
      </x:c>
      <x:c r="E637" s="2" t="n">
        <x:v>2020</x:v>
      </x:c>
      <x:c r="F637" s="17" t="n">
        <x:v>6295283925.7990055</x:v>
      </x:c>
      <x:c r="G637" s="17" t="n">
        <x:v>6611215465.220001</x:v>
      </x:c>
      <x:c r="H637" s="17" t="n">
        <x:v>9142997206</x:v>
      </x:c>
      <x:c r="I637" s="17" t="n">
        <x:v>9548020066</x:v>
      </x:c>
      <x:c r="J637" s="2" t="str">
        <x:v>m2</x:v>
      </x:c>
      <x:c r="K637" s="15" t="n">
        <x:f>IF(AND(ISNUMBER(F637),ISNUMBER(G637),F637&gt;0),G637/F637-1,"n.a.")</x:f>
        <x:v>0.05018543137129394</x:v>
      </x:c>
      <x:c r="L637" s="15" t="n">
        <x:f>IF(AND(N637,ISNUMBER(H637),ISNUMBER(I637),H637&gt;0),I637/H637-1,"n.a.")</x:f>
        <x:v>0.0442986966827692</x:v>
      </x:c>
      <x:c r="M637" s="20" t="n">
        <x:f>IF(AND(ISNUMBER(K637),ISNUMBER(L637)),100*(K637-L637),"n.a.")</x:f>
        <x:v>0.5886734688524742</x:v>
      </x:c>
      <x:c r="N637" s="13" t="b">
        <x:v>1</x:v>
      </x:c>
      <x:c r="O637" s="13" t="b">
        <x:v>1</x:v>
      </x:c>
      <x:c r="P637" s="13" t="b">
        <x:v>0</x:v>
      </x:c>
      <x:c r="Q637" s="2" t="str">
        <x:v>legacy epoch_status=observed; not exact acquisition proof</x:v>
      </x:c>
      <x:c r="R637" s="2" t="str">
        <x:v>legacy epoch_status=observed; not exact acquisition proof</x:v>
      </x:c>
      <x:c r="S637" s="2" t="str">
        <x:v>historical source estimate</x:v>
      </x:c>
      <x:c r="T637" s="2" t="str">
        <x:v>historical source estimate</x:v>
      </x:c>
      <x:c r="U637" s="2" t="str">
        <x:v>GFA growth versus source physical quantity growth; constant conversion required for equality</x:v>
      </x:c>
      <x:c r="V637" s="2" t="str">
        <x:v>Historical horizontal endpoint trend already used by v16</x:v>
      </x:c>
      <x:c r="W637" s="2" t="str">
        <x:v>https://human-settlement.emergency.copernicus.eu/ghs_buS2023.php</x:v>
      </x:c>
    </x:row>
    <x:row r="638" ht="23" customHeight="1">
      <x:c r="A638" s="2" t="str">
        <x:v>DJI</x:v>
      </x:c>
      <x:c r="B638" s="2" t="str">
        <x:v>Djibouti (Republic of)</x:v>
      </x:c>
      <x:c r="C638" s="2" t="str">
        <x:v>GHSL_SURFACE</x:v>
      </x:c>
      <x:c r="D638" s="2" t="n">
        <x:v>2015</x:v>
      </x:c>
      <x:c r="E638" s="2" t="n">
        <x:v>2020</x:v>
      </x:c>
      <x:c r="F638" s="17" t="n">
        <x:v>11226600.057405254</x:v>
      </x:c>
      <x:c r="G638" s="17" t="n">
        <x:v>12588327.629999984</x:v>
      </x:c>
      <x:c r="H638" s="17" t="n">
        <x:v>17208624</x:v>
      </x:c>
      <x:c r="I638" s="17" t="n">
        <x:v>19092795</x:v>
      </x:c>
      <x:c r="J638" s="2" t="str">
        <x:v>m2</x:v>
      </x:c>
      <x:c r="K638" s="15" t="n">
        <x:f>IF(AND(ISNUMBER(F638),ISNUMBER(G638),F638&gt;0),G638/F638-1,"n.a.")</x:f>
        <x:v>0.1212947433445366</x:v>
      </x:c>
      <x:c r="L638" s="15" t="n">
        <x:f>IF(AND(N638,ISNUMBER(H638),ISNUMBER(I638),H638&gt;0),I638/H638-1,"n.a.")</x:f>
        <x:v>0.10948992784083145</x:v>
      </x:c>
      <x:c r="M638" s="20" t="n">
        <x:f>IF(AND(ISNUMBER(K638),ISNUMBER(L638)),100*(K638-L638),"n.a.")</x:f>
        <x:v>1.1804815503705157</x:v>
      </x:c>
      <x:c r="N638" s="13" t="b">
        <x:v>1</x:v>
      </x:c>
      <x:c r="O638" s="13" t="b">
        <x:v>1</x:v>
      </x:c>
      <x:c r="P638" s="13" t="b">
        <x:v>0</x:v>
      </x:c>
      <x:c r="Q638" s="2" t="str">
        <x:v>legacy epoch_status=observed; not exact acquisition proof</x:v>
      </x:c>
      <x:c r="R638" s="2" t="str">
        <x:v>legacy epoch_status=observed; not exact acquisition proof</x:v>
      </x:c>
      <x:c r="S638" s="2" t="str">
        <x:v>historical source estimate</x:v>
      </x:c>
      <x:c r="T638" s="2" t="str">
        <x:v>historical source estimate</x:v>
      </x:c>
      <x:c r="U638" s="2" t="str">
        <x:v>GFA growth versus source physical quantity growth; constant conversion required for equality</x:v>
      </x:c>
      <x:c r="V638" s="2" t="str">
        <x:v>Historical horizontal endpoint trend already used by v16</x:v>
      </x:c>
      <x:c r="W638" s="2" t="str">
        <x:v>https://human-settlement.emergency.copernicus.eu/ghs_buS2023.php</x:v>
      </x:c>
    </x:row>
    <x:row r="639" ht="23" customHeight="1">
      <x:c r="A639" s="2" t="str">
        <x:v>DMA</x:v>
      </x:c>
      <x:c r="B639" s="2" t="str">
        <x:v>Dominica (Commonwealth of)</x:v>
      </x:c>
      <x:c r="C639" s="2" t="str">
        <x:v>GHSL_SURFACE</x:v>
      </x:c>
      <x:c r="D639" s="2" t="n">
        <x:v>2015</x:v>
      </x:c>
      <x:c r="E639" s="2" t="n">
        <x:v>2020</x:v>
      </x:c>
      <x:c r="F639" s="17" t="n">
        <x:v>3486495.3852494587</x:v>
      </x:c>
      <x:c r="G639" s="17" t="n">
        <x:v>3947192.6899999985</x:v>
      </x:c>
      <x:c r="H639" s="17" t="n">
        <x:v>4168827</x:v>
      </x:c>
      <x:c r="I639" s="17" t="n">
        <x:v>4721715</x:v>
      </x:c>
      <x:c r="J639" s="2" t="str">
        <x:v>m2</x:v>
      </x:c>
      <x:c r="K639" s="15" t="n">
        <x:f>IF(AND(ISNUMBER(F639),ISNUMBER(G639),F639&gt;0),G639/F639-1,"n.a.")</x:f>
        <x:v>0.13213764937124006</x:v>
      </x:c>
      <x:c r="L639" s="15" t="n">
        <x:f>IF(AND(N639,ISNUMBER(H639),ISNUMBER(I639),H639&gt;0),I639/H639-1,"n.a.")</x:f>
        <x:v>0.13262435692342245</x:v>
      </x:c>
      <x:c r="M639" s="20" t="n">
        <x:f>IF(AND(ISNUMBER(K639),ISNUMBER(L639)),100*(K639-L639),"n.a.")</x:f>
        <x:v>-0.048670755218238604</x:v>
      </x:c>
      <x:c r="N639" s="13" t="b">
        <x:v>1</x:v>
      </x:c>
      <x:c r="O639" s="13" t="b">
        <x:v>1</x:v>
      </x:c>
      <x:c r="P639" s="13" t="b">
        <x:v>0</x:v>
      </x:c>
      <x:c r="Q639" s="2" t="str">
        <x:v>legacy epoch_status=observed; not exact acquisition proof</x:v>
      </x:c>
      <x:c r="R639" s="2" t="str">
        <x:v>legacy epoch_status=observed; not exact acquisition proof</x:v>
      </x:c>
      <x:c r="S639" s="2" t="str">
        <x:v>historical source estimate</x:v>
      </x:c>
      <x:c r="T639" s="2" t="str">
        <x:v>historical source estimate</x:v>
      </x:c>
      <x:c r="U639" s="2" t="str">
        <x:v>GFA growth versus source physical quantity growth; constant conversion required for equality</x:v>
      </x:c>
      <x:c r="V639" s="2" t="str">
        <x:v>Historical horizontal endpoint trend already used by v16</x:v>
      </x:c>
      <x:c r="W639" s="2" t="str">
        <x:v>https://human-settlement.emergency.copernicus.eu/ghs_buS2023.php</x:v>
      </x:c>
    </x:row>
    <x:row r="640" ht="23" customHeight="1">
      <x:c r="A640" s="2" t="str">
        <x:v>DNK</x:v>
      </x:c>
      <x:c r="B640" s="2" t="str">
        <x:v>Denmark (Kingdom of)</x:v>
      </x:c>
      <x:c r="C640" s="2" t="str">
        <x:v>GHSL_SURFACE</x:v>
      </x:c>
      <x:c r="D640" s="2" t="n">
        <x:v>2015</x:v>
      </x:c>
      <x:c r="E640" s="2" t="n">
        <x:v>2020</x:v>
      </x:c>
      <x:c r="F640" s="17" t="n">
        <x:v>637662032.609485</x:v>
      </x:c>
      <x:c r="G640" s="17" t="n">
        <x:v>665059716.8900009</x:v>
      </x:c>
      <x:c r="H640" s="17" t="n">
        <x:v>767939417</x:v>
      </x:c>
      <x:c r="I640" s="17" t="n">
        <x:v>796295710</x:v>
      </x:c>
      <x:c r="J640" s="2" t="str">
        <x:v>m2</x:v>
      </x:c>
      <x:c r="K640" s="15" t="n">
        <x:f>IF(AND(ISNUMBER(F640),ISNUMBER(G640),F640&gt;0),G640/F640-1,"n.a.")</x:f>
        <x:v>0.04296583907998608</x:v>
      </x:c>
      <x:c r="L640" s="15" t="n">
        <x:f>IF(AND(N640,ISNUMBER(H640),ISNUMBER(I640),H640&gt;0),I640/H640-1,"n.a.")</x:f>
        <x:v>0.036925169319704354</x:v>
      </x:c>
      <x:c r="M640" s="20" t="n">
        <x:f>IF(AND(ISNUMBER(K640),ISNUMBER(L640)),100*(K640-L640),"n.a.")</x:f>
        <x:v>0.6040669760281725</x:v>
      </x:c>
      <x:c r="N640" s="13" t="b">
        <x:v>1</x:v>
      </x:c>
      <x:c r="O640" s="13" t="b">
        <x:v>1</x:v>
      </x:c>
      <x:c r="P640" s="13" t="b">
        <x:v>0</x:v>
      </x:c>
      <x:c r="Q640" s="2" t="str">
        <x:v>legacy epoch_status=observed; not exact acquisition proof</x:v>
      </x:c>
      <x:c r="R640" s="2" t="str">
        <x:v>legacy epoch_status=observed; not exact acquisition proof</x:v>
      </x:c>
      <x:c r="S640" s="2" t="str">
        <x:v>historical source estimate</x:v>
      </x:c>
      <x:c r="T640" s="2" t="str">
        <x:v>historical source estimate</x:v>
      </x:c>
      <x:c r="U640" s="2" t="str">
        <x:v>GFA growth versus source physical quantity growth; constant conversion required for equality</x:v>
      </x:c>
      <x:c r="V640" s="2" t="str">
        <x:v>Historical horizontal endpoint trend already used by v16</x:v>
      </x:c>
      <x:c r="W640" s="2" t="str">
        <x:v>https://human-settlement.emergency.copernicus.eu/ghs_buS2023.php</x:v>
      </x:c>
    </x:row>
    <x:row r="641" ht="23" customHeight="1">
      <x:c r="A641" s="2" t="str">
        <x:v>DOM</x:v>
      </x:c>
      <x:c r="B641" s="2" t="str">
        <x:v>Dominican Republic</x:v>
      </x:c>
      <x:c r="C641" s="2" t="str">
        <x:v>GHSL_SURFACE</x:v>
      </x:c>
      <x:c r="D641" s="2" t="n">
        <x:v>2015</x:v>
      </x:c>
      <x:c r="E641" s="2" t="n">
        <x:v>2020</x:v>
      </x:c>
      <x:c r="F641" s="17" t="n">
        <x:v>247208125.3674467</x:v>
      </x:c>
      <x:c r="G641" s="17" t="n">
        <x:v>336248050.8900004</x:v>
      </x:c>
      <x:c r="H641" s="17" t="n">
        <x:v>371337010</x:v>
      </x:c>
      <x:c r="I641" s="17" t="n">
        <x:v>501777002</x:v>
      </x:c>
      <x:c r="J641" s="2" t="str">
        <x:v>m2</x:v>
      </x:c>
      <x:c r="K641" s="15" t="n">
        <x:f>IF(AND(ISNUMBER(F641),ISNUMBER(G641),F641&gt;0),G641/F641-1,"n.a.")</x:f>
        <x:v>0.3601820344303248</x:v>
      </x:c>
      <x:c r="L641" s="15" t="n">
        <x:f>IF(AND(N641,ISNUMBER(H641),ISNUMBER(I641),H641&gt;0),I641/H641-1,"n.a.")</x:f>
        <x:v>0.3512711862466926</x:v>
      </x:c>
      <x:c r="M641" s="20" t="n">
        <x:f>IF(AND(ISNUMBER(K641),ISNUMBER(L641)),100*(K641-L641),"n.a.")</x:f>
        <x:v>0.8910848183632192</x:v>
      </x:c>
      <x:c r="N641" s="13" t="b">
        <x:v>1</x:v>
      </x:c>
      <x:c r="O641" s="13" t="b">
        <x:v>1</x:v>
      </x:c>
      <x:c r="P641" s="13" t="b">
        <x:v>0</x:v>
      </x:c>
      <x:c r="Q641" s="2" t="str">
        <x:v>legacy epoch_status=observed; not exact acquisition proof</x:v>
      </x:c>
      <x:c r="R641" s="2" t="str">
        <x:v>legacy epoch_status=observed; not exact acquisition proof</x:v>
      </x:c>
      <x:c r="S641" s="2" t="str">
        <x:v>historical source estimate</x:v>
      </x:c>
      <x:c r="T641" s="2" t="str">
        <x:v>historical source estimate</x:v>
      </x:c>
      <x:c r="U641" s="2" t="str">
        <x:v>GFA growth versus source physical quantity growth; constant conversion required for equality</x:v>
      </x:c>
      <x:c r="V641" s="2" t="str">
        <x:v>Historical horizontal endpoint trend already used by v16</x:v>
      </x:c>
      <x:c r="W641" s="2" t="str">
        <x:v>https://human-settlement.emergency.copernicus.eu/ghs_buS2023.php</x:v>
      </x:c>
    </x:row>
    <x:row r="642" ht="23" customHeight="1">
      <x:c r="A642" s="2" t="str">
        <x:v>DZA</x:v>
      </x:c>
      <x:c r="B642" s="2" t="str">
        <x:v>Algeria (People's Democratic Republic of)</x:v>
      </x:c>
      <x:c r="C642" s="2" t="str">
        <x:v>GHSL_SURFACE</x:v>
      </x:c>
      <x:c r="D642" s="2" t="n">
        <x:v>2015</x:v>
      </x:c>
      <x:c r="E642" s="2" t="n">
        <x:v>2020</x:v>
      </x:c>
      <x:c r="F642" s="17" t="n">
        <x:v>1502138846.737166</x:v>
      </x:c>
      <x:c r="G642" s="17" t="n">
        <x:v>1607752786.8799975</x:v>
      </x:c>
      <x:c r="H642" s="17" t="n">
        <x:v>2108183468</x:v>
      </x:c>
      <x:c r="I642" s="17" t="n">
        <x:v>2238737907</x:v>
      </x:c>
      <x:c r="J642" s="2" t="str">
        <x:v>m2</x:v>
      </x:c>
      <x:c r="K642" s="15" t="n">
        <x:f>IF(AND(ISNUMBER(F642),ISNUMBER(G642),F642&gt;0),G642/F642-1,"n.a.")</x:f>
        <x:v>0.07030903992146809</x:v>
      </x:c>
      <x:c r="L642" s="15" t="n">
        <x:f>IF(AND(N642,ISNUMBER(H642),ISNUMBER(I642),H642&gt;0),I642/H642-1,"n.a.")</x:f>
        <x:v>0.06192745602158389</x:v>
      </x:c>
      <x:c r="M642" s="20" t="n">
        <x:f>IF(AND(ISNUMBER(K642),ISNUMBER(L642)),100*(K642-L642),"n.a.")</x:f>
        <x:v>0.8381583899884193</x:v>
      </x:c>
      <x:c r="N642" s="13" t="b">
        <x:v>1</x:v>
      </x:c>
      <x:c r="O642" s="13" t="b">
        <x:v>1</x:v>
      </x:c>
      <x:c r="P642" s="13" t="b">
        <x:v>0</x:v>
      </x:c>
      <x:c r="Q642" s="2" t="str">
        <x:v>legacy epoch_status=observed; not exact acquisition proof</x:v>
      </x:c>
      <x:c r="R642" s="2" t="str">
        <x:v>legacy epoch_status=observed; not exact acquisition proof</x:v>
      </x:c>
      <x:c r="S642" s="2" t="str">
        <x:v>historical source estimate</x:v>
      </x:c>
      <x:c r="T642" s="2" t="str">
        <x:v>historical source estimate</x:v>
      </x:c>
      <x:c r="U642" s="2" t="str">
        <x:v>GFA growth versus source physical quantity growth; constant conversion required for equality</x:v>
      </x:c>
      <x:c r="V642" s="2" t="str">
        <x:v>Historical horizontal endpoint trend already used by v16</x:v>
      </x:c>
      <x:c r="W642" s="2" t="str">
        <x:v>https://human-settlement.emergency.copernicus.eu/ghs_buS2023.php</x:v>
      </x:c>
    </x:row>
    <x:row r="643" ht="23" customHeight="1">
      <x:c r="A643" s="2" t="str">
        <x:v>ECU</x:v>
      </x:c>
      <x:c r="B643" s="2" t="str">
        <x:v>Ecuador (Republic of)</x:v>
      </x:c>
      <x:c r="C643" s="2" t="str">
        <x:v>GHSL_SURFACE</x:v>
      </x:c>
      <x:c r="D643" s="2" t="n">
        <x:v>2015</x:v>
      </x:c>
      <x:c r="E643" s="2" t="n">
        <x:v>2020</x:v>
      </x:c>
      <x:c r="F643" s="17" t="n">
        <x:v>703386333.4302019</x:v>
      </x:c>
      <x:c r="G643" s="17" t="n">
        <x:v>734538215.0500003</x:v>
      </x:c>
      <x:c r="H643" s="17" t="n">
        <x:v>886162318</x:v>
      </x:c>
      <x:c r="I643" s="17" t="n">
        <x:v>919672837</x:v>
      </x:c>
      <x:c r="J643" s="2" t="str">
        <x:v>m2</x:v>
      </x:c>
      <x:c r="K643" s="15" t="n">
        <x:f>IF(AND(ISNUMBER(F643),ISNUMBER(G643),F643&gt;0),G643/F643-1,"n.a.")</x:f>
        <x:v>0.04428843743363653</x:v>
      </x:c>
      <x:c r="L643" s="15" t="n">
        <x:f>IF(AND(N643,ISNUMBER(H643),ISNUMBER(I643),H643&gt;0),I643/H643-1,"n.a.")</x:f>
        <x:v>0.03781532832001999</x:v>
      </x:c>
      <x:c r="M643" s="20" t="n">
        <x:f>IF(AND(ISNUMBER(K643),ISNUMBER(L643)),100*(K643-L643),"n.a.")</x:f>
        <x:v>0.6473109113616538</x:v>
      </x:c>
      <x:c r="N643" s="13" t="b">
        <x:v>1</x:v>
      </x:c>
      <x:c r="O643" s="13" t="b">
        <x:v>1</x:v>
      </x:c>
      <x:c r="P643" s="13" t="b">
        <x:v>0</x:v>
      </x:c>
      <x:c r="Q643" s="2" t="str">
        <x:v>legacy epoch_status=observed; not exact acquisition proof</x:v>
      </x:c>
      <x:c r="R643" s="2" t="str">
        <x:v>legacy epoch_status=observed; not exact acquisition proof</x:v>
      </x:c>
      <x:c r="S643" s="2" t="str">
        <x:v>historical source estimate</x:v>
      </x:c>
      <x:c r="T643" s="2" t="str">
        <x:v>historical source estimate</x:v>
      </x:c>
      <x:c r="U643" s="2" t="str">
        <x:v>GFA growth versus source physical quantity growth; constant conversion required for equality</x:v>
      </x:c>
      <x:c r="V643" s="2" t="str">
        <x:v>Historical horizontal endpoint trend already used by v16</x:v>
      </x:c>
      <x:c r="W643" s="2" t="str">
        <x:v>https://human-settlement.emergency.copernicus.eu/ghs_buS2023.php</x:v>
      </x:c>
    </x:row>
    <x:row r="644" ht="23" customHeight="1">
      <x:c r="A644" s="2" t="str">
        <x:v>EGY</x:v>
      </x:c>
      <x:c r="B644" s="2" t="str">
        <x:v>Egypt (Arab Republic of)</x:v>
      </x:c>
      <x:c r="C644" s="2" t="str">
        <x:v>GHSL_SURFACE</x:v>
      </x:c>
      <x:c r="D644" s="2" t="n">
        <x:v>2015</x:v>
      </x:c>
      <x:c r="E644" s="2" t="n">
        <x:v>2020</x:v>
      </x:c>
      <x:c r="F644" s="17" t="n">
        <x:v>2430072384.0124</x:v>
      </x:c>
      <x:c r="G644" s="17" t="n">
        <x:v>2954306535.6</x:v>
      </x:c>
      <x:c r="H644" s="17" t="n">
        <x:v>2583295127</x:v>
      </x:c>
      <x:c r="I644" s="17" t="n">
        <x:v>3109010360</x:v>
      </x:c>
      <x:c r="J644" s="2" t="str">
        <x:v>m2</x:v>
      </x:c>
      <x:c r="K644" s="15" t="n">
        <x:f>IF(AND(ISNUMBER(F644),ISNUMBER(G644),F644&gt;0),G644/F644-1,"n.a.")</x:f>
        <x:v>0.21572779273431086</x:v>
      </x:c>
      <x:c r="L644" s="15" t="n">
        <x:f>IF(AND(N644,ISNUMBER(H644),ISNUMBER(I644),H644&gt;0),I644/H644-1,"n.a.")</x:f>
        <x:v>0.20350568059581997</x:v>
      </x:c>
      <x:c r="M644" s="20" t="n">
        <x:f>IF(AND(ISNUMBER(K644),ISNUMBER(L644)),100*(K644-L644),"n.a.")</x:f>
        <x:v>1.2222112138490893</x:v>
      </x:c>
      <x:c r="N644" s="13" t="b">
        <x:v>1</x:v>
      </x:c>
      <x:c r="O644" s="13" t="b">
        <x:v>1</x:v>
      </x:c>
      <x:c r="P644" s="13" t="b">
        <x:v>0</x:v>
      </x:c>
      <x:c r="Q644" s="2" t="str">
        <x:v>legacy epoch_status=observed; not exact acquisition proof</x:v>
      </x:c>
      <x:c r="R644" s="2" t="str">
        <x:v>legacy epoch_status=observed; not exact acquisition proof</x:v>
      </x:c>
      <x:c r="S644" s="2" t="str">
        <x:v>historical source estimate</x:v>
      </x:c>
      <x:c r="T644" s="2" t="str">
        <x:v>historical source estimate</x:v>
      </x:c>
      <x:c r="U644" s="2" t="str">
        <x:v>GFA growth versus source physical quantity growth; constant conversion required for equality</x:v>
      </x:c>
      <x:c r="V644" s="2" t="str">
        <x:v>Historical horizontal endpoint trend already used by v16</x:v>
      </x:c>
      <x:c r="W644" s="2" t="str">
        <x:v>https://human-settlement.emergency.copernicus.eu/ghs_buS2023.php</x:v>
      </x:c>
    </x:row>
    <x:row r="645" ht="23" customHeight="1">
      <x:c r="A645" s="2" t="str">
        <x:v>ERI</x:v>
      </x:c>
      <x:c r="B645" s="2" t="str">
        <x:v>Eritrea (State of)</x:v>
      </x:c>
      <x:c r="C645" s="2" t="str">
        <x:v>GHSL_SURFACE</x:v>
      </x:c>
      <x:c r="D645" s="2" t="n">
        <x:v>2015</x:v>
      </x:c>
      <x:c r="E645" s="2" t="n">
        <x:v>2020</x:v>
      </x:c>
      <x:c r="F645" s="17" t="n">
        <x:v>31760779.71501907</x:v>
      </x:c>
      <x:c r="G645" s="17" t="n">
        <x:v>45298098.329999976</x:v>
      </x:c>
      <x:c r="H645" s="17" t="n">
        <x:v>74332798</x:v>
      </x:c>
      <x:c r="I645" s="17" t="n">
        <x:v>105456246</x:v>
      </x:c>
      <x:c r="J645" s="2" t="str">
        <x:v>m2</x:v>
      </x:c>
      <x:c r="K645" s="15" t="n">
        <x:f>IF(AND(ISNUMBER(F645),ISNUMBER(G645),F645&gt;0),G645/F645-1,"n.a.")</x:f>
        <x:v>0.4262275276755678</x:v>
      </x:c>
      <x:c r="L645" s="15" t="n">
        <x:f>IF(AND(N645,ISNUMBER(H645),ISNUMBER(I645),H645&gt;0),I645/H645-1,"n.a.")</x:f>
        <x:v>0.4187041095910313</x:v>
      </x:c>
      <x:c r="M645" s="20" t="n">
        <x:f>IF(AND(ISNUMBER(K645),ISNUMBER(L645)),100*(K645-L645),"n.a.")</x:f>
        <x:v>0.7523418084536493</x:v>
      </x:c>
      <x:c r="N645" s="13" t="b">
        <x:v>1</x:v>
      </x:c>
      <x:c r="O645" s="13" t="b">
        <x:v>1</x:v>
      </x:c>
      <x:c r="P645" s="13" t="b">
        <x:v>0</x:v>
      </x:c>
      <x:c r="Q645" s="2" t="str">
        <x:v>legacy epoch_status=observed; not exact acquisition proof</x:v>
      </x:c>
      <x:c r="R645" s="2" t="str">
        <x:v>legacy epoch_status=observed; not exact acquisition proof</x:v>
      </x:c>
      <x:c r="S645" s="2" t="str">
        <x:v>historical source estimate</x:v>
      </x:c>
      <x:c r="T645" s="2" t="str">
        <x:v>historical source estimate</x:v>
      </x:c>
      <x:c r="U645" s="2" t="str">
        <x:v>GFA growth versus source physical quantity growth; constant conversion required for equality</x:v>
      </x:c>
      <x:c r="V645" s="2" t="str">
        <x:v>Historical horizontal endpoint trend already used by v16</x:v>
      </x:c>
      <x:c r="W645" s="2" t="str">
        <x:v>https://human-settlement.emergency.copernicus.eu/ghs_buS2023.php</x:v>
      </x:c>
    </x:row>
    <x:row r="646" ht="23" customHeight="1">
      <x:c r="A646" s="2" t="str">
        <x:v>ESP</x:v>
      </x:c>
      <x:c r="B646" s="2" t="str">
        <x:v>Spain (Kingdom of)</x:v>
      </x:c>
      <x:c r="C646" s="2" t="str">
        <x:v>GHSL_SURFACE</x:v>
      </x:c>
      <x:c r="D646" s="2" t="n">
        <x:v>2015</x:v>
      </x:c>
      <x:c r="E646" s="2" t="n">
        <x:v>2020</x:v>
      </x:c>
      <x:c r="F646" s="17" t="n">
        <x:v>3537491129.653378</x:v>
      </x:c>
      <x:c r="G646" s="17" t="n">
        <x:v>3693503432.029994</x:v>
      </x:c>
      <x:c r="H646" s="17" t="n">
        <x:v>4215107755</x:v>
      </x:c>
      <x:c r="I646" s="17" t="n">
        <x:v>4372211992</x:v>
      </x:c>
      <x:c r="J646" s="2" t="str">
        <x:v>m2</x:v>
      </x:c>
      <x:c r="K646" s="15" t="n">
        <x:f>IF(AND(ISNUMBER(F646),ISNUMBER(G646),F646&gt;0),G646/F646-1,"n.a.")</x:f>
        <x:v>0.04410252822087024</x:v>
      </x:c>
      <x:c r="L646" s="15" t="n">
        <x:f>IF(AND(N646,ISNUMBER(H646),ISNUMBER(I646),H646&gt;0),I646/H646-1,"n.a.")</x:f>
        <x:v>0.037271701254526945</x:v>
      </x:c>
      <x:c r="M646" s="20" t="n">
        <x:f>IF(AND(ISNUMBER(K646),ISNUMBER(L646)),100*(K646-L646),"n.a.")</x:f>
        <x:v>0.6830826966343295</x:v>
      </x:c>
      <x:c r="N646" s="13" t="b">
        <x:v>1</x:v>
      </x:c>
      <x:c r="O646" s="13" t="b">
        <x:v>1</x:v>
      </x:c>
      <x:c r="P646" s="13" t="b">
        <x:v>0</x:v>
      </x:c>
      <x:c r="Q646" s="2" t="str">
        <x:v>legacy epoch_status=observed; not exact acquisition proof</x:v>
      </x:c>
      <x:c r="R646" s="2" t="str">
        <x:v>legacy epoch_status=observed; not exact acquisition proof</x:v>
      </x:c>
      <x:c r="S646" s="2" t="str">
        <x:v>historical source estimate</x:v>
      </x:c>
      <x:c r="T646" s="2" t="str">
        <x:v>historical source estimate</x:v>
      </x:c>
      <x:c r="U646" s="2" t="str">
        <x:v>GFA growth versus source physical quantity growth; constant conversion required for equality</x:v>
      </x:c>
      <x:c r="V646" s="2" t="str">
        <x:v>Historical horizontal endpoint trend already used by v16</x:v>
      </x:c>
      <x:c r="W646" s="2" t="str">
        <x:v>https://human-settlement.emergency.copernicus.eu/ghs_buS2023.php</x:v>
      </x:c>
    </x:row>
    <x:row r="647" ht="23" customHeight="1">
      <x:c r="A647" s="2" t="str">
        <x:v>EST</x:v>
      </x:c>
      <x:c r="B647" s="2" t="str">
        <x:v>Estonia (Republic of)</x:v>
      </x:c>
      <x:c r="C647" s="2" t="str">
        <x:v>GHSL_SURFACE</x:v>
      </x:c>
      <x:c r="D647" s="2" t="n">
        <x:v>2015</x:v>
      </x:c>
      <x:c r="E647" s="2" t="n">
        <x:v>2020</x:v>
      </x:c>
      <x:c r="F647" s="17" t="n">
        <x:v>107839154.44477116</x:v>
      </x:c>
      <x:c r="G647" s="17" t="n">
        <x:v>113094705.3700001</x:v>
      </x:c>
      <x:c r="H647" s="17" t="n">
        <x:v>181866495</x:v>
      </x:c>
      <x:c r="I647" s="17" t="n">
        <x:v>189816777</x:v>
      </x:c>
      <x:c r="J647" s="2" t="str">
        <x:v>m2</x:v>
      </x:c>
      <x:c r="K647" s="15" t="n">
        <x:f>IF(AND(ISNUMBER(F647),ISNUMBER(G647),F647&gt;0),G647/F647-1,"n.a.")</x:f>
        <x:v>0.048735090258154035</x:v>
      </x:c>
      <x:c r="L647" s="15" t="n">
        <x:f>IF(AND(N647,ISNUMBER(H647),ISNUMBER(I647),H647&gt;0),I647/H647-1,"n.a.")</x:f>
        <x:v>0.04371493495819556</x:v>
      </x:c>
      <x:c r="M647" s="20" t="n">
        <x:f>IF(AND(ISNUMBER(K647),ISNUMBER(L647)),100*(K647-L647),"n.a.")</x:f>
        <x:v>0.5020155299958473</x:v>
      </x:c>
      <x:c r="N647" s="13" t="b">
        <x:v>1</x:v>
      </x:c>
      <x:c r="O647" s="13" t="b">
        <x:v>1</x:v>
      </x:c>
      <x:c r="P647" s="13" t="b">
        <x:v>0</x:v>
      </x:c>
      <x:c r="Q647" s="2" t="str">
        <x:v>legacy epoch_status=observed; not exact acquisition proof</x:v>
      </x:c>
      <x:c r="R647" s="2" t="str">
        <x:v>legacy epoch_status=observed; not exact acquisition proof</x:v>
      </x:c>
      <x:c r="S647" s="2" t="str">
        <x:v>historical source estimate</x:v>
      </x:c>
      <x:c r="T647" s="2" t="str">
        <x:v>historical source estimate</x:v>
      </x:c>
      <x:c r="U647" s="2" t="str">
        <x:v>GFA growth versus source physical quantity growth; constant conversion required for equality</x:v>
      </x:c>
      <x:c r="V647" s="2" t="str">
        <x:v>Historical horizontal endpoint trend already used by v16</x:v>
      </x:c>
      <x:c r="W647" s="2" t="str">
        <x:v>https://human-settlement.emergency.copernicus.eu/ghs_buS2023.php</x:v>
      </x:c>
    </x:row>
    <x:row r="648" ht="23" customHeight="1">
      <x:c r="A648" s="2" t="str">
        <x:v>ETH</x:v>
      </x:c>
      <x:c r="B648" s="2" t="str">
        <x:v>Ethiopia (Federal Democratic Republic of)</x:v>
      </x:c>
      <x:c r="C648" s="2" t="str">
        <x:v>GHSL_SURFACE</x:v>
      </x:c>
      <x:c r="D648" s="2" t="n">
        <x:v>2015</x:v>
      </x:c>
      <x:c r="E648" s="2" t="n">
        <x:v>2020</x:v>
      </x:c>
      <x:c r="F648" s="17" t="n">
        <x:v>975794014.8213218</x:v>
      </x:c>
      <x:c r="G648" s="17" t="n">
        <x:v>1660821510.7100024</x:v>
      </x:c>
      <x:c r="H648" s="17" t="n">
        <x:v>1504067475</x:v>
      </x:c>
      <x:c r="I648" s="17" t="n">
        <x:v>2544076331</x:v>
      </x:c>
      <x:c r="J648" s="2" t="str">
        <x:v>m2</x:v>
      </x:c>
      <x:c r="K648" s="15" t="n">
        <x:f>IF(AND(ISNUMBER(F648),ISNUMBER(G648),F648&gt;0),G648/F648-1,"n.a.")</x:f>
        <x:v>0.7020205960313421</x:v>
      </x:c>
      <x:c r="L648" s="15" t="n">
        <x:f>IF(AND(N648,ISNUMBER(H648),ISNUMBER(I648),H648&gt;0),I648/H648-1,"n.a.")</x:f>
        <x:v>0.6914642283585051</x:v>
      </x:c>
      <x:c r="M648" s="20" t="n">
        <x:f>IF(AND(ISNUMBER(K648),ISNUMBER(L648)),100*(K648-L648),"n.a.")</x:f>
        <x:v>1.0556367672837075</x:v>
      </x:c>
      <x:c r="N648" s="13" t="b">
        <x:v>1</x:v>
      </x:c>
      <x:c r="O648" s="13" t="b">
        <x:v>1</x:v>
      </x:c>
      <x:c r="P648" s="13" t="b">
        <x:v>0</x:v>
      </x:c>
      <x:c r="Q648" s="2" t="str">
        <x:v>legacy epoch_status=observed; not exact acquisition proof</x:v>
      </x:c>
      <x:c r="R648" s="2" t="str">
        <x:v>legacy epoch_status=observed; not exact acquisition proof</x:v>
      </x:c>
      <x:c r="S648" s="2" t="str">
        <x:v>historical source estimate</x:v>
      </x:c>
      <x:c r="T648" s="2" t="str">
        <x:v>historical source estimate</x:v>
      </x:c>
      <x:c r="U648" s="2" t="str">
        <x:v>GFA growth versus source physical quantity growth; constant conversion required for equality</x:v>
      </x:c>
      <x:c r="V648" s="2" t="str">
        <x:v>Historical horizontal endpoint trend already used by v16</x:v>
      </x:c>
      <x:c r="W648" s="2" t="str">
        <x:v>https://human-settlement.emergency.copernicus.eu/ghs_buS2023.php</x:v>
      </x:c>
    </x:row>
    <x:row r="649" ht="23" customHeight="1">
      <x:c r="A649" s="2" t="str">
        <x:v>FIN</x:v>
      </x:c>
      <x:c r="B649" s="2" t="str">
        <x:v>Finland (Republic of)</x:v>
      </x:c>
      <x:c r="C649" s="2" t="str">
        <x:v>GHSL_SURFACE</x:v>
      </x:c>
      <x:c r="D649" s="2" t="n">
        <x:v>2015</x:v>
      </x:c>
      <x:c r="E649" s="2" t="n">
        <x:v>2020</x:v>
      </x:c>
      <x:c r="F649" s="17" t="n">
        <x:v>584197324.5432632</x:v>
      </x:c>
      <x:c r="G649" s="17" t="n">
        <x:v>615866742.3399993</x:v>
      </x:c>
      <x:c r="H649" s="17" t="n">
        <x:v>501495849</x:v>
      </x:c>
      <x:c r="I649" s="17" t="n">
        <x:v>525804615</x:v>
      </x:c>
      <x:c r="J649" s="2" t="str">
        <x:v>m2</x:v>
      </x:c>
      <x:c r="K649" s="15" t="n">
        <x:f>IF(AND(ISNUMBER(F649),ISNUMBER(G649),F649&gt;0),G649/F649-1,"n.a.")</x:f>
        <x:v>0.054210138366340255</x:v>
      </x:c>
      <x:c r="L649" s="15" t="n">
        <x:f>IF(AND(N649,ISNUMBER(H649),ISNUMBER(I649),H649&gt;0),I649/H649-1,"n.a.")</x:f>
        <x:v>0.048472516868230286</x:v>
      </x:c>
      <x:c r="M649" s="20" t="n">
        <x:f>IF(AND(ISNUMBER(K649),ISNUMBER(L649)),100*(K649-L649),"n.a.")</x:f>
        <x:v>0.5737621498109968</x:v>
      </x:c>
      <x:c r="N649" s="13" t="b">
        <x:v>1</x:v>
      </x:c>
      <x:c r="O649" s="13" t="b">
        <x:v>1</x:v>
      </x:c>
      <x:c r="P649" s="13" t="b">
        <x:v>0</x:v>
      </x:c>
      <x:c r="Q649" s="2" t="str">
        <x:v>legacy epoch_status=observed; not exact acquisition proof</x:v>
      </x:c>
      <x:c r="R649" s="2" t="str">
        <x:v>legacy epoch_status=observed; not exact acquisition proof</x:v>
      </x:c>
      <x:c r="S649" s="2" t="str">
        <x:v>historical source estimate</x:v>
      </x:c>
      <x:c r="T649" s="2" t="str">
        <x:v>historical source estimate</x:v>
      </x:c>
      <x:c r="U649" s="2" t="str">
        <x:v>GFA growth versus source physical quantity growth; constant conversion required for equality</x:v>
      </x:c>
      <x:c r="V649" s="2" t="str">
        <x:v>Historical horizontal endpoint trend already used by v16</x:v>
      </x:c>
      <x:c r="W649" s="2" t="str">
        <x:v>https://human-settlement.emergency.copernicus.eu/ghs_buS2023.php</x:v>
      </x:c>
    </x:row>
    <x:row r="650" ht="23" customHeight="1">
      <x:c r="A650" s="2" t="str">
        <x:v>FJI</x:v>
      </x:c>
      <x:c r="B650" s="2" t="str">
        <x:v>Fiji (Republic of)</x:v>
      </x:c>
      <x:c r="C650" s="2" t="str">
        <x:v>GHSL_SURFACE</x:v>
      </x:c>
      <x:c r="D650" s="2" t="n">
        <x:v>2015</x:v>
      </x:c>
      <x:c r="E650" s="2" t="n">
        <x:v>2020</x:v>
      </x:c>
      <x:c r="F650" s="17" t="n">
        <x:v>33411339.28812197</x:v>
      </x:c>
      <x:c r="G650" s="17" t="n">
        <x:v>37460168.12</x:v>
      </x:c>
      <x:c r="H650" s="17" t="n">
        <x:v>70158980</x:v>
      </x:c>
      <x:c r="I650" s="17" t="n">
        <x:v>78515030</x:v>
      </x:c>
      <x:c r="J650" s="2" t="str">
        <x:v>m2</x:v>
      </x:c>
      <x:c r="K650" s="15" t="n">
        <x:f>IF(AND(ISNUMBER(F650),ISNUMBER(G650),F650&gt;0),G650/F650-1,"n.a.")</x:f>
        <x:v>0.1211812791149447</x:v>
      </x:c>
      <x:c r="L650" s="15" t="n">
        <x:f>IF(AND(N650,ISNUMBER(H650),ISNUMBER(I650),H650&gt;0),I650/H650-1,"n.a.")</x:f>
        <x:v>0.11910164600454576</x:v>
      </x:c>
      <x:c r="M650" s="20" t="n">
        <x:f>IF(AND(ISNUMBER(K650),ISNUMBER(L650)),100*(K650-L650),"n.a.")</x:f>
        <x:v>0.20796331103989374</x:v>
      </x:c>
      <x:c r="N650" s="13" t="b">
        <x:v>1</x:v>
      </x:c>
      <x:c r="O650" s="13" t="b">
        <x:v>1</x:v>
      </x:c>
      <x:c r="P650" s="13" t="b">
        <x:v>0</x:v>
      </x:c>
      <x:c r="Q650" s="2" t="str">
        <x:v>legacy epoch_status=observed; not exact acquisition proof</x:v>
      </x:c>
      <x:c r="R650" s="2" t="str">
        <x:v>legacy epoch_status=observed; not exact acquisition proof</x:v>
      </x:c>
      <x:c r="S650" s="2" t="str">
        <x:v>historical source estimate</x:v>
      </x:c>
      <x:c r="T650" s="2" t="str">
        <x:v>historical source estimate</x:v>
      </x:c>
      <x:c r="U650" s="2" t="str">
        <x:v>GFA growth versus source physical quantity growth; constant conversion required for equality</x:v>
      </x:c>
      <x:c r="V650" s="2" t="str">
        <x:v>Historical horizontal endpoint trend already used by v16</x:v>
      </x:c>
      <x:c r="W650" s="2" t="str">
        <x:v>https://human-settlement.emergency.copernicus.eu/ghs_buS2023.php</x:v>
      </x:c>
    </x:row>
    <x:row r="651" ht="23" customHeight="1">
      <x:c r="A651" s="2" t="str">
        <x:v>FRA</x:v>
      </x:c>
      <x:c r="B651" s="2" t="str">
        <x:v>France (French Republic)</x:v>
      </x:c>
      <x:c r="C651" s="2" t="str">
        <x:v>GHSL_SURFACE</x:v>
      </x:c>
      <x:c r="D651" s="2" t="n">
        <x:v>2015</x:v>
      </x:c>
      <x:c r="E651" s="2" t="n">
        <x:v>2020</x:v>
      </x:c>
      <x:c r="F651" s="17" t="n">
        <x:v>5782378618.188952</x:v>
      </x:c>
      <x:c r="G651" s="17" t="n">
        <x:v>6074526882.680001</x:v>
      </x:c>
      <x:c r="H651" s="17" t="n">
        <x:v>9710465287</x:v>
      </x:c>
      <x:c r="I651" s="17" t="n">
        <x:v>10148800483</x:v>
      </x:c>
      <x:c r="J651" s="2" t="str">
        <x:v>m2</x:v>
      </x:c>
      <x:c r="K651" s="15" t="n">
        <x:f>IF(AND(ISNUMBER(F651),ISNUMBER(G651),F651&gt;0),G651/F651-1,"n.a.")</x:f>
        <x:v>0.05052389056158857</x:v>
      </x:c>
      <x:c r="L651" s="15" t="n">
        <x:f>IF(AND(N651,ISNUMBER(H651),ISNUMBER(I651),H651&gt;0),I651/H651-1,"n.a.")</x:f>
        <x:v>0.045140493585495545</x:v>
      </x:c>
      <x:c r="M651" s="20" t="n">
        <x:f>IF(AND(ISNUMBER(K651),ISNUMBER(L651)),100*(K651-L651),"n.a.")</x:f>
        <x:v>0.5383396976093024</x:v>
      </x:c>
      <x:c r="N651" s="13" t="b">
        <x:v>1</x:v>
      </x:c>
      <x:c r="O651" s="13" t="b">
        <x:v>1</x:v>
      </x:c>
      <x:c r="P651" s="13" t="b">
        <x:v>0</x:v>
      </x:c>
      <x:c r="Q651" s="2" t="str">
        <x:v>legacy epoch_status=observed; not exact acquisition proof</x:v>
      </x:c>
      <x:c r="R651" s="2" t="str">
        <x:v>legacy epoch_status=observed; not exact acquisition proof</x:v>
      </x:c>
      <x:c r="S651" s="2" t="str">
        <x:v>historical source estimate</x:v>
      </x:c>
      <x:c r="T651" s="2" t="str">
        <x:v>historical source estimate</x:v>
      </x:c>
      <x:c r="U651" s="2" t="str">
        <x:v>GFA growth versus source physical quantity growth; constant conversion required for equality</x:v>
      </x:c>
      <x:c r="V651" s="2" t="str">
        <x:v>Historical horizontal endpoint trend already used by v16</x:v>
      </x:c>
      <x:c r="W651" s="2" t="str">
        <x:v>https://human-settlement.emergency.copernicus.eu/ghs_buS2023.php</x:v>
      </x:c>
    </x:row>
    <x:row r="652" ht="23" customHeight="1">
      <x:c r="A652" s="2" t="str">
        <x:v>FSM</x:v>
      </x:c>
      <x:c r="B652" s="2" t="str">
        <x:v>Micronesia (Federated States of)</x:v>
      </x:c>
      <x:c r="C652" s="2" t="str">
        <x:v>GHSL_SURFACE</x:v>
      </x:c>
      <x:c r="D652" s="2" t="n">
        <x:v>2015</x:v>
      </x:c>
      <x:c r="E652" s="2" t="n">
        <x:v>2020</x:v>
      </x:c>
      <x:c r="F652" s="17" t="n">
        <x:v>2128005.492623716</x:v>
      </x:c>
      <x:c r="G652" s="17" t="n">
        <x:v>2177822.609999999</x:v>
      </x:c>
      <x:c r="H652" s="17" t="n">
        <x:v>3318712</x:v>
      </x:c>
      <x:c r="I652" s="17" t="n">
        <x:v>3384044</x:v>
      </x:c>
      <x:c r="J652" s="2" t="str">
        <x:v>m2</x:v>
      </x:c>
      <x:c r="K652" s="15" t="n">
        <x:f>IF(AND(ISNUMBER(F652),ISNUMBER(G652),F652&gt;0),G652/F652-1,"n.a.")</x:f>
        <x:v>0.02341023909428963</x:v>
      </x:c>
      <x:c r="L652" s="15" t="n">
        <x:f>IF(AND(N652,ISNUMBER(H652),ISNUMBER(I652),H652&gt;0),I652/H652-1,"n.a.")</x:f>
        <x:v>0.019685950453067314</x:v>
      </x:c>
      <x:c r="M652" s="20" t="n">
        <x:f>IF(AND(ISNUMBER(K652),ISNUMBER(L652)),100*(K652-L652),"n.a.")</x:f>
        <x:v>0.37242886412223175</x:v>
      </x:c>
      <x:c r="N652" s="13" t="b">
        <x:v>1</x:v>
      </x:c>
      <x:c r="O652" s="13" t="b">
        <x:v>1</x:v>
      </x:c>
      <x:c r="P652" s="13" t="b">
        <x:v>0</x:v>
      </x:c>
      <x:c r="Q652" s="2" t="str">
        <x:v>legacy epoch_status=observed; not exact acquisition proof</x:v>
      </x:c>
      <x:c r="R652" s="2" t="str">
        <x:v>legacy epoch_status=observed; not exact acquisition proof</x:v>
      </x:c>
      <x:c r="S652" s="2" t="str">
        <x:v>historical source estimate</x:v>
      </x:c>
      <x:c r="T652" s="2" t="str">
        <x:v>historical source estimate</x:v>
      </x:c>
      <x:c r="U652" s="2" t="str">
        <x:v>GFA growth versus source physical quantity growth; constant conversion required for equality</x:v>
      </x:c>
      <x:c r="V652" s="2" t="str">
        <x:v>Historical horizontal endpoint trend already used by v16</x:v>
      </x:c>
      <x:c r="W652" s="2" t="str">
        <x:v>https://human-settlement.emergency.copernicus.eu/ghs_buS2023.php</x:v>
      </x:c>
    </x:row>
    <x:row r="653" ht="23" customHeight="1">
      <x:c r="A653" s="2" t="str">
        <x:v>GAB</x:v>
      </x:c>
      <x:c r="B653" s="2" t="str">
        <x:v>Gabon (Gabonese Republic)</x:v>
      </x:c>
      <x:c r="C653" s="2" t="str">
        <x:v>GHSL_SURFACE</x:v>
      </x:c>
      <x:c r="D653" s="2" t="n">
        <x:v>2015</x:v>
      </x:c>
      <x:c r="E653" s="2" t="n">
        <x:v>2020</x:v>
      </x:c>
      <x:c r="F653" s="17" t="n">
        <x:v>66275060.77817436</x:v>
      </x:c>
      <x:c r="G653" s="17" t="n">
        <x:v>73743642.55999996</x:v>
      </x:c>
      <x:c r="H653" s="17" t="n">
        <x:v>130427375</x:v>
      </x:c>
      <x:c r="I653" s="17" t="n">
        <x:v>143914060</x:v>
      </x:c>
      <x:c r="J653" s="2" t="str">
        <x:v>m2</x:v>
      </x:c>
      <x:c r="K653" s="15" t="n">
        <x:f>IF(AND(ISNUMBER(F653),ISNUMBER(G653),F653&gt;0),G653/F653-1,"n.a.")</x:f>
        <x:v>0.11269068174563102</x:v>
      </x:c>
      <x:c r="L653" s="15" t="n">
        <x:f>IF(AND(N653,ISNUMBER(H653),ISNUMBER(I653),H653&gt;0),I653/H653-1,"n.a.")</x:f>
        <x:v>0.10340379080695294</x:v>
      </x:c>
      <x:c r="M653" s="20" t="n">
        <x:f>IF(AND(ISNUMBER(K653),ISNUMBER(L653)),100*(K653-L653),"n.a.")</x:f>
        <x:v>0.9286890938678072</x:v>
      </x:c>
      <x:c r="N653" s="13" t="b">
        <x:v>1</x:v>
      </x:c>
      <x:c r="O653" s="13" t="b">
        <x:v>1</x:v>
      </x:c>
      <x:c r="P653" s="13" t="b">
        <x:v>0</x:v>
      </x:c>
      <x:c r="Q653" s="2" t="str">
        <x:v>legacy epoch_status=observed; not exact acquisition proof</x:v>
      </x:c>
      <x:c r="R653" s="2" t="str">
        <x:v>legacy epoch_status=observed; not exact acquisition proof</x:v>
      </x:c>
      <x:c r="S653" s="2" t="str">
        <x:v>historical source estimate</x:v>
      </x:c>
      <x:c r="T653" s="2" t="str">
        <x:v>historical source estimate</x:v>
      </x:c>
      <x:c r="U653" s="2" t="str">
        <x:v>GFA growth versus source physical quantity growth; constant conversion required for equality</x:v>
      </x:c>
      <x:c r="V653" s="2" t="str">
        <x:v>Historical horizontal endpoint trend already used by v16</x:v>
      </x:c>
      <x:c r="W653" s="2" t="str">
        <x:v>https://human-settlement.emergency.copernicus.eu/ghs_buS2023.php</x:v>
      </x:c>
    </x:row>
    <x:row r="654" ht="23" customHeight="1">
      <x:c r="A654" s="2" t="str">
        <x:v>GBR</x:v>
      </x:c>
      <x:c r="B654" s="2" t="str">
        <x:v>United Kingdom of Great Britain and Northern Ireland</x:v>
      </x:c>
      <x:c r="C654" s="2" t="str">
        <x:v>GHSL_SURFACE</x:v>
      </x:c>
      <x:c r="D654" s="2" t="n">
        <x:v>2015</x:v>
      </x:c>
      <x:c r="E654" s="2" t="n">
        <x:v>2020</x:v>
      </x:c>
      <x:c r="F654" s="17" t="n">
        <x:v>3281370012.838597</x:v>
      </x:c>
      <x:c r="G654" s="17" t="n">
        <x:v>3418464510.0900006</x:v>
      </x:c>
      <x:c r="H654" s="17" t="n">
        <x:v>5389817688</x:v>
      </x:c>
      <x:c r="I654" s="17" t="n">
        <x:v>5578108570</x:v>
      </x:c>
      <x:c r="J654" s="2" t="str">
        <x:v>m2</x:v>
      </x:c>
      <x:c r="K654" s="15" t="n">
        <x:f>IF(AND(ISNUMBER(F654),ISNUMBER(G654),F654&gt;0),G654/F654-1,"n.a.")</x:f>
        <x:v>0.04177965200968248</x:v>
      </x:c>
      <x:c r="L654" s="15" t="n">
        <x:f>IF(AND(N654,ISNUMBER(H654),ISNUMBER(I654),H654&gt;0),I654/H654-1,"n.a.")</x:f>
        <x:v>0.03493455491439246</x:v>
      </x:c>
      <x:c r="M654" s="20" t="n">
        <x:f>IF(AND(ISNUMBER(K654),ISNUMBER(L654)),100*(K654-L654),"n.a.")</x:f>
        <x:v>0.684509709529002</x:v>
      </x:c>
      <x:c r="N654" s="13" t="b">
        <x:v>1</x:v>
      </x:c>
      <x:c r="O654" s="13" t="b">
        <x:v>1</x:v>
      </x:c>
      <x:c r="P654" s="13" t="b">
        <x:v>0</x:v>
      </x:c>
      <x:c r="Q654" s="2" t="str">
        <x:v>legacy epoch_status=observed; not exact acquisition proof</x:v>
      </x:c>
      <x:c r="R654" s="2" t="str">
        <x:v>legacy epoch_status=observed; not exact acquisition proof</x:v>
      </x:c>
      <x:c r="S654" s="2" t="str">
        <x:v>historical source estimate</x:v>
      </x:c>
      <x:c r="T654" s="2" t="str">
        <x:v>historical source estimate</x:v>
      </x:c>
      <x:c r="U654" s="2" t="str">
        <x:v>GFA growth versus source physical quantity growth; constant conversion required for equality</x:v>
      </x:c>
      <x:c r="V654" s="2" t="str">
        <x:v>Historical horizontal endpoint trend already used by v16</x:v>
      </x:c>
      <x:c r="W654" s="2" t="str">
        <x:v>https://human-settlement.emergency.copernicus.eu/ghs_buS2023.php</x:v>
      </x:c>
    </x:row>
    <x:row r="655" ht="23" customHeight="1">
      <x:c r="A655" s="2" t="str">
        <x:v>GEO</x:v>
      </x:c>
      <x:c r="B655" s="2" t="str">
        <x:v>Georgia</x:v>
      </x:c>
      <x:c r="C655" s="2" t="str">
        <x:v>GHSL_SURFACE</x:v>
      </x:c>
      <x:c r="D655" s="2" t="n">
        <x:v>2015</x:v>
      </x:c>
      <x:c r="E655" s="2" t="n">
        <x:v>2020</x:v>
      </x:c>
      <x:c r="F655" s="17" t="n">
        <x:v>231517997.01246288</x:v>
      </x:c>
      <x:c r="G655" s="17" t="n">
        <x:v>242256071.04000017</x:v>
      </x:c>
      <x:c r="H655" s="17" t="n">
        <x:v>470152504</x:v>
      </x:c>
      <x:c r="I655" s="17" t="n">
        <x:v>490303136</x:v>
      </x:c>
      <x:c r="J655" s="2" t="str">
        <x:v>m2</x:v>
      </x:c>
      <x:c r="K655" s="15" t="n">
        <x:f>IF(AND(ISNUMBER(F655),ISNUMBER(G655),F655&gt;0),G655/F655-1,"n.a.")</x:f>
        <x:v>0.04638116330524067</x:v>
      </x:c>
      <x:c r="L655" s="15" t="n">
        <x:f>IF(AND(N655,ISNUMBER(H655),ISNUMBER(I655),H655&gt;0),I655/H655-1,"n.a.")</x:f>
        <x:v>0.042859778111487</x:v>
      </x:c>
      <x:c r="M655" s="20" t="n">
        <x:f>IF(AND(ISNUMBER(K655),ISNUMBER(L655)),100*(K655-L655),"n.a.")</x:f>
        <x:v>0.3521385193753668</x:v>
      </x:c>
      <x:c r="N655" s="13" t="b">
        <x:v>1</x:v>
      </x:c>
      <x:c r="O655" s="13" t="b">
        <x:v>1</x:v>
      </x:c>
      <x:c r="P655" s="13" t="b">
        <x:v>0</x:v>
      </x:c>
      <x:c r="Q655" s="2" t="str">
        <x:v>legacy epoch_status=observed; not exact acquisition proof</x:v>
      </x:c>
      <x:c r="R655" s="2" t="str">
        <x:v>legacy epoch_status=observed; not exact acquisition proof</x:v>
      </x:c>
      <x:c r="S655" s="2" t="str">
        <x:v>historical source estimate</x:v>
      </x:c>
      <x:c r="T655" s="2" t="str">
        <x:v>historical source estimate</x:v>
      </x:c>
      <x:c r="U655" s="2" t="str">
        <x:v>GFA growth versus source physical quantity growth; constant conversion required for equality</x:v>
      </x:c>
      <x:c r="V655" s="2" t="str">
        <x:v>Historical horizontal endpoint trend already used by v16</x:v>
      </x:c>
      <x:c r="W655" s="2" t="str">
        <x:v>https://human-settlement.emergency.copernicus.eu/ghs_buS2023.php</x:v>
      </x:c>
    </x:row>
    <x:row r="656" ht="23" customHeight="1">
      <x:c r="A656" s="2" t="str">
        <x:v>GHA</x:v>
      </x:c>
      <x:c r="B656" s="2" t="str">
        <x:v>Ghana (Republic of)</x:v>
      </x:c>
      <x:c r="C656" s="2" t="str">
        <x:v>GHSL_SURFACE</x:v>
      </x:c>
      <x:c r="D656" s="2" t="n">
        <x:v>2015</x:v>
      </x:c>
      <x:c r="E656" s="2" t="n">
        <x:v>2020</x:v>
      </x:c>
      <x:c r="F656" s="17" t="n">
        <x:v>867754316.8806722</x:v>
      </x:c>
      <x:c r="G656" s="17" t="n">
        <x:v>958424622.62</x:v>
      </x:c>
      <x:c r="H656" s="17" t="n">
        <x:v>1754027641</x:v>
      </x:c>
      <x:c r="I656" s="17" t="n">
        <x:v>1922849541</x:v>
      </x:c>
      <x:c r="J656" s="2" t="str">
        <x:v>m2</x:v>
      </x:c>
      <x:c r="K656" s="15" t="n">
        <x:f>IF(AND(ISNUMBER(F656),ISNUMBER(G656),F656&gt;0),G656/F656-1,"n.a.")</x:f>
        <x:v>0.10448845252105632</x:v>
      </x:c>
      <x:c r="L656" s="15" t="n">
        <x:f>IF(AND(N656,ISNUMBER(H656),ISNUMBER(I656),H656&gt;0),I656/H656-1,"n.a.")</x:f>
        <x:v>0.09624814116598057</x:v>
      </x:c>
      <x:c r="M656" s="20" t="n">
        <x:f>IF(AND(ISNUMBER(K656),ISNUMBER(L656)),100*(K656-L656),"n.a.")</x:f>
        <x:v>0.8240311355075747</x:v>
      </x:c>
      <x:c r="N656" s="13" t="b">
        <x:v>1</x:v>
      </x:c>
      <x:c r="O656" s="13" t="b">
        <x:v>1</x:v>
      </x:c>
      <x:c r="P656" s="13" t="b">
        <x:v>0</x:v>
      </x:c>
      <x:c r="Q656" s="2" t="str">
        <x:v>legacy epoch_status=observed; not exact acquisition proof</x:v>
      </x:c>
      <x:c r="R656" s="2" t="str">
        <x:v>legacy epoch_status=observed; not exact acquisition proof</x:v>
      </x:c>
      <x:c r="S656" s="2" t="str">
        <x:v>historical source estimate</x:v>
      </x:c>
      <x:c r="T656" s="2" t="str">
        <x:v>historical source estimate</x:v>
      </x:c>
      <x:c r="U656" s="2" t="str">
        <x:v>GFA growth versus source physical quantity growth; constant conversion required for equality</x:v>
      </x:c>
      <x:c r="V656" s="2" t="str">
        <x:v>Historical horizontal endpoint trend already used by v16</x:v>
      </x:c>
      <x:c r="W656" s="2" t="str">
        <x:v>https://human-settlement.emergency.copernicus.eu/ghs_buS2023.php</x:v>
      </x:c>
    </x:row>
    <x:row r="657" ht="23" customHeight="1">
      <x:c r="A657" s="2" t="str">
        <x:v>GIN</x:v>
      </x:c>
      <x:c r="B657" s="2" t="str">
        <x:v>Guinea (Republic of)</x:v>
      </x:c>
      <x:c r="C657" s="2" t="str">
        <x:v>GHSL_SURFACE</x:v>
      </x:c>
      <x:c r="D657" s="2" t="n">
        <x:v>2015</x:v>
      </x:c>
      <x:c r="E657" s="2" t="n">
        <x:v>2020</x:v>
      </x:c>
      <x:c r="F657" s="17" t="n">
        <x:v>253265001.86701941</x:v>
      </x:c>
      <x:c r="G657" s="17" t="n">
        <x:v>277637578.22999954</x:v>
      </x:c>
      <x:c r="H657" s="17" t="n">
        <x:v>595957053</x:v>
      </x:c>
      <x:c r="I657" s="17" t="n">
        <x:v>647376380</x:v>
      </x:c>
      <x:c r="J657" s="2" t="str">
        <x:v>m2</x:v>
      </x:c>
      <x:c r="K657" s="15" t="n">
        <x:f>IF(AND(ISNUMBER(F657),ISNUMBER(G657),F657&gt;0),G657/F657-1,"n.a.")</x:f>
        <x:v>0.09623349528482161</x:v>
      </x:c>
      <x:c r="L657" s="15" t="n">
        <x:f>IF(AND(N657,ISNUMBER(H657),ISNUMBER(I657),H657&gt;0),I657/H657-1,"n.a.")</x:f>
        <x:v>0.08628025583581778</x:v>
      </x:c>
      <x:c r="M657" s="20" t="n">
        <x:f>IF(AND(ISNUMBER(K657),ISNUMBER(L657)),100*(K657-L657),"n.a.")</x:f>
        <x:v>0.9953239449003837</x:v>
      </x:c>
      <x:c r="N657" s="13" t="b">
        <x:v>1</x:v>
      </x:c>
      <x:c r="O657" s="13" t="b">
        <x:v>1</x:v>
      </x:c>
      <x:c r="P657" s="13" t="b">
        <x:v>0</x:v>
      </x:c>
      <x:c r="Q657" s="2" t="str">
        <x:v>legacy epoch_status=observed; not exact acquisition proof</x:v>
      </x:c>
      <x:c r="R657" s="2" t="str">
        <x:v>legacy epoch_status=observed; not exact acquisition proof</x:v>
      </x:c>
      <x:c r="S657" s="2" t="str">
        <x:v>historical source estimate</x:v>
      </x:c>
      <x:c r="T657" s="2" t="str">
        <x:v>historical source estimate</x:v>
      </x:c>
      <x:c r="U657" s="2" t="str">
        <x:v>GFA growth versus source physical quantity growth; constant conversion required for equality</x:v>
      </x:c>
      <x:c r="V657" s="2" t="str">
        <x:v>Historical horizontal endpoint trend already used by v16</x:v>
      </x:c>
      <x:c r="W657" s="2" t="str">
        <x:v>https://human-settlement.emergency.copernicus.eu/ghs_buS2023.php</x:v>
      </x:c>
    </x:row>
    <x:row r="658" ht="23" customHeight="1">
      <x:c r="A658" s="2" t="str">
        <x:v>GMB</x:v>
      </x:c>
      <x:c r="B658" s="2" t="str">
        <x:v>Gambia (Republic of the)</x:v>
      </x:c>
      <x:c r="C658" s="2" t="str">
        <x:v>GHSL_SURFACE</x:v>
      </x:c>
      <x:c r="D658" s="2" t="n">
        <x:v>2015</x:v>
      </x:c>
      <x:c r="E658" s="2" t="n">
        <x:v>2020</x:v>
      </x:c>
      <x:c r="F658" s="17" t="n">
        <x:v>54523887.232732646</x:v>
      </x:c>
      <x:c r="G658" s="17" t="n">
        <x:v>56875154.52999992</x:v>
      </x:c>
      <x:c r="H658" s="17" t="n">
        <x:v>107830294</x:v>
      </x:c>
      <x:c r="I658" s="17" t="n">
        <x:v>111621938</x:v>
      </x:c>
      <x:c r="J658" s="2" t="str">
        <x:v>m2</x:v>
      </x:c>
      <x:c r="K658" s="15" t="n">
        <x:f>IF(AND(ISNUMBER(F658),ISNUMBER(G658),F658&gt;0),G658/F658-1,"n.a.")</x:f>
        <x:v>0.043123618226833305</x:v>
      </x:c>
      <x:c r="L658" s="15" t="n">
        <x:f>IF(AND(N658,ISNUMBER(H658),ISNUMBER(I658),H658&gt;0),I658/H658-1,"n.a.")</x:f>
        <x:v>0.03516306836741068</x:v>
      </x:c>
      <x:c r="M658" s="20" t="n">
        <x:f>IF(AND(ISNUMBER(K658),ISNUMBER(L658)),100*(K658-L658),"n.a.")</x:f>
        <x:v>0.7960549859422628</x:v>
      </x:c>
      <x:c r="N658" s="13" t="b">
        <x:v>1</x:v>
      </x:c>
      <x:c r="O658" s="13" t="b">
        <x:v>1</x:v>
      </x:c>
      <x:c r="P658" s="13" t="b">
        <x:v>0</x:v>
      </x:c>
      <x:c r="Q658" s="2" t="str">
        <x:v>legacy epoch_status=observed; not exact acquisition proof</x:v>
      </x:c>
      <x:c r="R658" s="2" t="str">
        <x:v>legacy epoch_status=observed; not exact acquisition proof</x:v>
      </x:c>
      <x:c r="S658" s="2" t="str">
        <x:v>historical source estimate</x:v>
      </x:c>
      <x:c r="T658" s="2" t="str">
        <x:v>historical source estimate</x:v>
      </x:c>
      <x:c r="U658" s="2" t="str">
        <x:v>GFA growth versus source physical quantity growth; constant conversion required for equality</x:v>
      </x:c>
      <x:c r="V658" s="2" t="str">
        <x:v>Historical horizontal endpoint trend already used by v16</x:v>
      </x:c>
      <x:c r="W658" s="2" t="str">
        <x:v>https://human-settlement.emergency.copernicus.eu/ghs_buS2023.php</x:v>
      </x:c>
    </x:row>
    <x:row r="659" ht="23" customHeight="1">
      <x:c r="A659" s="2" t="str">
        <x:v>GNB</x:v>
      </x:c>
      <x:c r="B659" s="2" t="str">
        <x:v>Guinea-Bissau (Republic of)</x:v>
      </x:c>
      <x:c r="C659" s="2" t="str">
        <x:v>GHSL_SURFACE</x:v>
      </x:c>
      <x:c r="D659" s="2" t="n">
        <x:v>2015</x:v>
      </x:c>
      <x:c r="E659" s="2" t="n">
        <x:v>2020</x:v>
      </x:c>
      <x:c r="F659" s="17" t="n">
        <x:v>46182866.527540356</x:v>
      </x:c>
      <x:c r="G659" s="17" t="n">
        <x:v>48952674.499999925</x:v>
      </x:c>
      <x:c r="H659" s="17" t="n">
        <x:v>92134520</x:v>
      </x:c>
      <x:c r="I659" s="17" t="n">
        <x:v>96752102</x:v>
      </x:c>
      <x:c r="J659" s="2" t="str">
        <x:v>m2</x:v>
      </x:c>
      <x:c r="K659" s="15" t="n">
        <x:f>IF(AND(ISNUMBER(F659),ISNUMBER(G659),F659&gt;0),G659/F659-1,"n.a.")</x:f>
        <x:v>0.05997479543215101</x:v>
      </x:c>
      <x:c r="L659" s="15" t="n">
        <x:f>IF(AND(N659,ISNUMBER(H659),ISNUMBER(I659),H659&gt;0),I659/H659-1,"n.a.")</x:f>
        <x:v>0.05011782771538842</x:v>
      </x:c>
      <x:c r="M659" s="20" t="n">
        <x:f>IF(AND(ISNUMBER(K659),ISNUMBER(L659)),100*(K659-L659),"n.a.")</x:f>
        <x:v>0.9856967716762588</x:v>
      </x:c>
      <x:c r="N659" s="13" t="b">
        <x:v>1</x:v>
      </x:c>
      <x:c r="O659" s="13" t="b">
        <x:v>1</x:v>
      </x:c>
      <x:c r="P659" s="13" t="b">
        <x:v>0</x:v>
      </x:c>
      <x:c r="Q659" s="2" t="str">
        <x:v>legacy epoch_status=observed; not exact acquisition proof</x:v>
      </x:c>
      <x:c r="R659" s="2" t="str">
        <x:v>legacy epoch_status=observed; not exact acquisition proof</x:v>
      </x:c>
      <x:c r="S659" s="2" t="str">
        <x:v>historical source estimate</x:v>
      </x:c>
      <x:c r="T659" s="2" t="str">
        <x:v>historical source estimate</x:v>
      </x:c>
      <x:c r="U659" s="2" t="str">
        <x:v>GFA growth versus source physical quantity growth; constant conversion required for equality</x:v>
      </x:c>
      <x:c r="V659" s="2" t="str">
        <x:v>Historical horizontal endpoint trend already used by v16</x:v>
      </x:c>
      <x:c r="W659" s="2" t="str">
        <x:v>https://human-settlement.emergency.copernicus.eu/ghs_buS2023.php</x:v>
      </x:c>
    </x:row>
    <x:row r="660" ht="23" customHeight="1">
      <x:c r="A660" s="2" t="str">
        <x:v>GNQ</x:v>
      </x:c>
      <x:c r="B660" s="2" t="str">
        <x:v>Equatorial Guinea (Republic of)</x:v>
      </x:c>
      <x:c r="C660" s="2" t="str">
        <x:v>GHSL_SURFACE</x:v>
      </x:c>
      <x:c r="D660" s="2" t="n">
        <x:v>2015</x:v>
      </x:c>
      <x:c r="E660" s="2" t="n">
        <x:v>2020</x:v>
      </x:c>
      <x:c r="F660" s="17" t="n">
        <x:v>30500131.86462052</x:v>
      </x:c>
      <x:c r="G660" s="17" t="n">
        <x:v>34102626.51999995</x:v>
      </x:c>
      <x:c r="H660" s="17" t="n">
        <x:v>49953732</x:v>
      </x:c>
      <x:c r="I660" s="17" t="n">
        <x:v>55615981</x:v>
      </x:c>
      <x:c r="J660" s="2" t="str">
        <x:v>m2</x:v>
      </x:c>
      <x:c r="K660" s="15" t="n">
        <x:f>IF(AND(ISNUMBER(F660),ISNUMBER(G660),F660&gt;0),G660/F660-1,"n.a.")</x:f>
        <x:v>0.11811406820697212</x:v>
      </x:c>
      <x:c r="L660" s="15" t="n">
        <x:f>IF(AND(N660,ISNUMBER(H660),ISNUMBER(I660),H660&gt;0),I660/H660-1,"n.a.")</x:f>
        <x:v>0.11334986943518044</x:v>
      </x:c>
      <x:c r="M660" s="20" t="n">
        <x:f>IF(AND(ISNUMBER(K660),ISNUMBER(L660)),100*(K660-L660),"n.a.")</x:f>
        <x:v>0.47641987717916834</x:v>
      </x:c>
      <x:c r="N660" s="13" t="b">
        <x:v>1</x:v>
      </x:c>
      <x:c r="O660" s="13" t="b">
        <x:v>1</x:v>
      </x:c>
      <x:c r="P660" s="13" t="b">
        <x:v>0</x:v>
      </x:c>
      <x:c r="Q660" s="2" t="str">
        <x:v>legacy epoch_status=observed; not exact acquisition proof</x:v>
      </x:c>
      <x:c r="R660" s="2" t="str">
        <x:v>legacy epoch_status=observed; not exact acquisition proof</x:v>
      </x:c>
      <x:c r="S660" s="2" t="str">
        <x:v>historical source estimate</x:v>
      </x:c>
      <x:c r="T660" s="2" t="str">
        <x:v>historical source estimate</x:v>
      </x:c>
      <x:c r="U660" s="2" t="str">
        <x:v>GFA growth versus source physical quantity growth; constant conversion required for equality</x:v>
      </x:c>
      <x:c r="V660" s="2" t="str">
        <x:v>Historical horizontal endpoint trend already used by v16</x:v>
      </x:c>
      <x:c r="W660" s="2" t="str">
        <x:v>https://human-settlement.emergency.copernicus.eu/ghs_buS2023.php</x:v>
      </x:c>
    </x:row>
    <x:row r="661" ht="23" customHeight="1">
      <x:c r="A661" s="2" t="str">
        <x:v>GRC</x:v>
      </x:c>
      <x:c r="B661" s="2" t="str">
        <x:v>Greece (Hellenic Republic)</x:v>
      </x:c>
      <x:c r="C661" s="2" t="str">
        <x:v>GHSL_SURFACE</x:v>
      </x:c>
      <x:c r="D661" s="2" t="n">
        <x:v>2015</x:v>
      </x:c>
      <x:c r="E661" s="2" t="n">
        <x:v>2020</x:v>
      </x:c>
      <x:c r="F661" s="17" t="n">
        <x:v>826514330.7150826</x:v>
      </x:c>
      <x:c r="G661" s="17" t="n">
        <x:v>853851739.6700008</x:v>
      </x:c>
      <x:c r="H661" s="17" t="n">
        <x:v>1121279550</x:v>
      </x:c>
      <x:c r="I661" s="17" t="n">
        <x:v>1154682167</x:v>
      </x:c>
      <x:c r="J661" s="2" t="str">
        <x:v>m2</x:v>
      </x:c>
      <x:c r="K661" s="15" t="n">
        <x:f>IF(AND(ISNUMBER(F661),ISNUMBER(G661),F661&gt;0),G661/F661-1,"n.a.")</x:f>
        <x:v>0.03307554138990709</x:v>
      </x:c>
      <x:c r="L661" s="15" t="n">
        <x:f>IF(AND(N661,ISNUMBER(H661),ISNUMBER(I661),H661&gt;0),I661/H661-1,"n.a.")</x:f>
        <x:v>0.02978973173995736</x:v>
      </x:c>
      <x:c r="M661" s="20" t="n">
        <x:f>IF(AND(ISNUMBER(K661),ISNUMBER(L661)),100*(K661-L661),"n.a.")</x:f>
        <x:v>0.32858096499497336</x:v>
      </x:c>
      <x:c r="N661" s="13" t="b">
        <x:v>1</x:v>
      </x:c>
      <x:c r="O661" s="13" t="b">
        <x:v>1</x:v>
      </x:c>
      <x:c r="P661" s="13" t="b">
        <x:v>0</x:v>
      </x:c>
      <x:c r="Q661" s="2" t="str">
        <x:v>legacy epoch_status=observed; not exact acquisition proof</x:v>
      </x:c>
      <x:c r="R661" s="2" t="str">
        <x:v>legacy epoch_status=observed; not exact acquisition proof</x:v>
      </x:c>
      <x:c r="S661" s="2" t="str">
        <x:v>historical source estimate</x:v>
      </x:c>
      <x:c r="T661" s="2" t="str">
        <x:v>historical source estimate</x:v>
      </x:c>
      <x:c r="U661" s="2" t="str">
        <x:v>GFA growth versus source physical quantity growth; constant conversion required for equality</x:v>
      </x:c>
      <x:c r="V661" s="2" t="str">
        <x:v>Historical horizontal endpoint trend already used by v16</x:v>
      </x:c>
      <x:c r="W661" s="2" t="str">
        <x:v>https://human-settlement.emergency.copernicus.eu/ghs_buS2023.php</x:v>
      </x:c>
    </x:row>
    <x:row r="662" ht="23" customHeight="1">
      <x:c r="A662" s="2" t="str">
        <x:v>GRD</x:v>
      </x:c>
      <x:c r="B662" s="2" t="str">
        <x:v>Grenada</x:v>
      </x:c>
      <x:c r="C662" s="2" t="str">
        <x:v>GHSL_SURFACE</x:v>
      </x:c>
      <x:c r="D662" s="2" t="n">
        <x:v>2015</x:v>
      </x:c>
      <x:c r="E662" s="2" t="n">
        <x:v>2020</x:v>
      </x:c>
      <x:c r="F662" s="17" t="n">
        <x:v>5896774.169807444</x:v>
      </x:c>
      <x:c r="G662" s="17" t="n">
        <x:v>6904998.419999993</x:v>
      </x:c>
      <x:c r="H662" s="17" t="n">
        <x:v>7653375</x:v>
      </x:c>
      <x:c r="I662" s="17" t="n">
        <x:v>8921675</x:v>
      </x:c>
      <x:c r="J662" s="2" t="str">
        <x:v>m2</x:v>
      </x:c>
      <x:c r="K662" s="15" t="n">
        <x:f>IF(AND(ISNUMBER(F662),ISNUMBER(G662),F662&gt;0),G662/F662-1,"n.a.")</x:f>
        <x:v>0.1709789490251874</x:v>
      </x:c>
      <x:c r="L662" s="15" t="n">
        <x:f>IF(AND(N662,ISNUMBER(H662),ISNUMBER(I662),H662&gt;0),I662/H662-1,"n.a.")</x:f>
        <x:v>0.16571773890603825</x:v>
      </x:c>
      <x:c r="M662" s="20" t="n">
        <x:f>IF(AND(ISNUMBER(K662),ISNUMBER(L662)),100*(K662-L662),"n.a.")</x:f>
        <x:v>0.5261210119149151</x:v>
      </x:c>
      <x:c r="N662" s="13" t="b">
        <x:v>1</x:v>
      </x:c>
      <x:c r="O662" s="13" t="b">
        <x:v>1</x:v>
      </x:c>
      <x:c r="P662" s="13" t="b">
        <x:v>0</x:v>
      </x:c>
      <x:c r="Q662" s="2" t="str">
        <x:v>legacy epoch_status=observed; not exact acquisition proof</x:v>
      </x:c>
      <x:c r="R662" s="2" t="str">
        <x:v>legacy epoch_status=observed; not exact acquisition proof</x:v>
      </x:c>
      <x:c r="S662" s="2" t="str">
        <x:v>historical source estimate</x:v>
      </x:c>
      <x:c r="T662" s="2" t="str">
        <x:v>historical source estimate</x:v>
      </x:c>
      <x:c r="U662" s="2" t="str">
        <x:v>GFA growth versus source physical quantity growth; constant conversion required for equality</x:v>
      </x:c>
      <x:c r="V662" s="2" t="str">
        <x:v>Historical horizontal endpoint trend already used by v16</x:v>
      </x:c>
      <x:c r="W662" s="2" t="str">
        <x:v>https://human-settlement.emergency.copernicus.eu/ghs_buS2023.php</x:v>
      </x:c>
    </x:row>
    <x:row r="663" ht="23" customHeight="1">
      <x:c r="A663" s="2" t="str">
        <x:v>GTM</x:v>
      </x:c>
      <x:c r="B663" s="2" t="str">
        <x:v>Guatemala (Republic of)</x:v>
      </x:c>
      <x:c r="C663" s="2" t="str">
        <x:v>GHSL_SURFACE</x:v>
      </x:c>
      <x:c r="D663" s="2" t="n">
        <x:v>2015</x:v>
      </x:c>
      <x:c r="E663" s="2" t="n">
        <x:v>2020</x:v>
      </x:c>
      <x:c r="F663" s="17" t="n">
        <x:v>499576793.66361964</x:v>
      </x:c>
      <x:c r="G663" s="17" t="n">
        <x:v>599114028.8099989</x:v>
      </x:c>
      <x:c r="H663" s="17" t="n">
        <x:v>783572028</x:v>
      </x:c>
      <x:c r="I663" s="17" t="n">
        <x:v>932538652</x:v>
      </x:c>
      <x:c r="J663" s="2" t="str">
        <x:v>m2</x:v>
      </x:c>
      <x:c r="K663" s="15" t="n">
        <x:f>IF(AND(ISNUMBER(F663),ISNUMBER(G663),F663&gt;0),G663/F663-1,"n.a.")</x:f>
        <x:v>0.1992431121878746</x:v>
      </x:c>
      <x:c r="L663" s="15" t="n">
        <x:f>IF(AND(N663,ISNUMBER(H663),ISNUMBER(I663),H663&gt;0),I663/H663-1,"n.a.")</x:f>
        <x:v>0.19011222794696292</x:v>
      </x:c>
      <x:c r="M663" s="20" t="n">
        <x:f>IF(AND(ISNUMBER(K663),ISNUMBER(L663)),100*(K663-L663),"n.a.")</x:f>
        <x:v>0.9130884240911685</x:v>
      </x:c>
      <x:c r="N663" s="13" t="b">
        <x:v>1</x:v>
      </x:c>
      <x:c r="O663" s="13" t="b">
        <x:v>1</x:v>
      </x:c>
      <x:c r="P663" s="13" t="b">
        <x:v>0</x:v>
      </x:c>
      <x:c r="Q663" s="2" t="str">
        <x:v>legacy epoch_status=observed; not exact acquisition proof</x:v>
      </x:c>
      <x:c r="R663" s="2" t="str">
        <x:v>legacy epoch_status=observed; not exact acquisition proof</x:v>
      </x:c>
      <x:c r="S663" s="2" t="str">
        <x:v>historical source estimate</x:v>
      </x:c>
      <x:c r="T663" s="2" t="str">
        <x:v>historical source estimate</x:v>
      </x:c>
      <x:c r="U663" s="2" t="str">
        <x:v>GFA growth versus source physical quantity growth; constant conversion required for equality</x:v>
      </x:c>
      <x:c r="V663" s="2" t="str">
        <x:v>Historical horizontal endpoint trend already used by v16</x:v>
      </x:c>
      <x:c r="W663" s="2" t="str">
        <x:v>https://human-settlement.emergency.copernicus.eu/ghs_buS2023.php</x:v>
      </x:c>
    </x:row>
    <x:row r="664" ht="23" customHeight="1">
      <x:c r="A664" s="2" t="str">
        <x:v>GUY</x:v>
      </x:c>
      <x:c r="B664" s="2" t="str">
        <x:v>Guyana (Co-operative Republic of)</x:v>
      </x:c>
      <x:c r="C664" s="2" t="str">
        <x:v>GHSL_SURFACE</x:v>
      </x:c>
      <x:c r="D664" s="2" t="n">
        <x:v>2015</x:v>
      </x:c>
      <x:c r="E664" s="2" t="n">
        <x:v>2020</x:v>
      </x:c>
      <x:c r="F664" s="17" t="n">
        <x:v>44014828.67558784</x:v>
      </x:c>
      <x:c r="G664" s="17" t="n">
        <x:v>46462035.66000002</x:v>
      </x:c>
      <x:c r="H664" s="17" t="n">
        <x:v>52877886</x:v>
      </x:c>
      <x:c r="I664" s="17" t="n">
        <x:v>55299179</x:v>
      </x:c>
      <x:c r="J664" s="2" t="str">
        <x:v>m2</x:v>
      </x:c>
      <x:c r="K664" s="15" t="n">
        <x:f>IF(AND(ISNUMBER(F664),ISNUMBER(G664),F664&gt;0),G664/F664-1,"n.a.")</x:f>
        <x:v>0.05559960263504293</x:v>
      </x:c>
      <x:c r="L664" s="15" t="n">
        <x:f>IF(AND(N664,ISNUMBER(H664),ISNUMBER(I664),H664&gt;0),I664/H664-1,"n.a.")</x:f>
        <x:v>0.045790276108995664</x:v>
      </x:c>
      <x:c r="M664" s="20" t="n">
        <x:f>IF(AND(ISNUMBER(K664),ISNUMBER(L664)),100*(K664-L664),"n.a.")</x:f>
        <x:v>0.9809326526047268</x:v>
      </x:c>
      <x:c r="N664" s="13" t="b">
        <x:v>1</x:v>
      </x:c>
      <x:c r="O664" s="13" t="b">
        <x:v>1</x:v>
      </x:c>
      <x:c r="P664" s="13" t="b">
        <x:v>0</x:v>
      </x:c>
      <x:c r="Q664" s="2" t="str">
        <x:v>legacy epoch_status=observed; not exact acquisition proof</x:v>
      </x:c>
      <x:c r="R664" s="2" t="str">
        <x:v>legacy epoch_status=observed; not exact acquisition proof</x:v>
      </x:c>
      <x:c r="S664" s="2" t="str">
        <x:v>historical source estimate</x:v>
      </x:c>
      <x:c r="T664" s="2" t="str">
        <x:v>historical source estimate</x:v>
      </x:c>
      <x:c r="U664" s="2" t="str">
        <x:v>GFA growth versus source physical quantity growth; constant conversion required for equality</x:v>
      </x:c>
      <x:c r="V664" s="2" t="str">
        <x:v>Historical horizontal endpoint trend already used by v16</x:v>
      </x:c>
      <x:c r="W664" s="2" t="str">
        <x:v>https://human-settlement.emergency.copernicus.eu/ghs_buS2023.php</x:v>
      </x:c>
    </x:row>
    <x:row r="665" ht="23" customHeight="1">
      <x:c r="A665" s="2" t="str">
        <x:v>HND</x:v>
      </x:c>
      <x:c r="B665" s="2" t="str">
        <x:v>Honduras (Republic of)</x:v>
      </x:c>
      <x:c r="C665" s="2" t="str">
        <x:v>GHSL_SURFACE</x:v>
      </x:c>
      <x:c r="D665" s="2" t="n">
        <x:v>2015</x:v>
      </x:c>
      <x:c r="E665" s="2" t="n">
        <x:v>2020</x:v>
      </x:c>
      <x:c r="F665" s="17" t="n">
        <x:v>261857176.83585</x:v>
      </x:c>
      <x:c r="G665" s="17" t="n">
        <x:v>335660713.2700002</x:v>
      </x:c>
      <x:c r="H665" s="17" t="n">
        <x:v>443743086</x:v>
      </x:c>
      <x:c r="I665" s="17" t="n">
        <x:v>563718026</x:v>
      </x:c>
      <x:c r="J665" s="2" t="str">
        <x:v>m2</x:v>
      </x:c>
      <x:c r="K665" s="15" t="n">
        <x:f>IF(AND(ISNUMBER(F665),ISNUMBER(G665),F665&gt;0),G665/F665-1,"n.a.")</x:f>
        <x:v>0.2818465291879906</x:v>
      </x:c>
      <x:c r="L665" s="15" t="n">
        <x:f>IF(AND(N665,ISNUMBER(H665),ISNUMBER(I665),H665&gt;0),I665/H665-1,"n.a.")</x:f>
        <x:v>0.2703702745691907</x:v>
      </x:c>
      <x:c r="M665" s="20" t="n">
        <x:f>IF(AND(ISNUMBER(K665),ISNUMBER(L665)),100*(K665-L665),"n.a.")</x:f>
        <x:v>1.1476254618799864</x:v>
      </x:c>
      <x:c r="N665" s="13" t="b">
        <x:v>1</x:v>
      </x:c>
      <x:c r="O665" s="13" t="b">
        <x:v>1</x:v>
      </x:c>
      <x:c r="P665" s="13" t="b">
        <x:v>0</x:v>
      </x:c>
      <x:c r="Q665" s="2" t="str">
        <x:v>legacy epoch_status=observed; not exact acquisition proof</x:v>
      </x:c>
      <x:c r="R665" s="2" t="str">
        <x:v>legacy epoch_status=observed; not exact acquisition proof</x:v>
      </x:c>
      <x:c r="S665" s="2" t="str">
        <x:v>historical source estimate</x:v>
      </x:c>
      <x:c r="T665" s="2" t="str">
        <x:v>historical source estimate</x:v>
      </x:c>
      <x:c r="U665" s="2" t="str">
        <x:v>GFA growth versus source physical quantity growth; constant conversion required for equality</x:v>
      </x:c>
      <x:c r="V665" s="2" t="str">
        <x:v>Historical horizontal endpoint trend already used by v16</x:v>
      </x:c>
      <x:c r="W665" s="2" t="str">
        <x:v>https://human-settlement.emergency.copernicus.eu/ghs_buS2023.php</x:v>
      </x:c>
    </x:row>
    <x:row r="666" ht="23" customHeight="1">
      <x:c r="A666" s="2" t="str">
        <x:v>HRV</x:v>
      </x:c>
      <x:c r="B666" s="2" t="str">
        <x:v>Croatia (Republic of)</x:v>
      </x:c>
      <x:c r="C666" s="2" t="str">
        <x:v>GHSL_SURFACE</x:v>
      </x:c>
      <x:c r="D666" s="2" t="n">
        <x:v>2015</x:v>
      </x:c>
      <x:c r="E666" s="2" t="n">
        <x:v>2020</x:v>
      </x:c>
      <x:c r="F666" s="17" t="n">
        <x:v>344650373.6507369</x:v>
      </x:c>
      <x:c r="G666" s="17" t="n">
        <x:v>361520718.4299994</x:v>
      </x:c>
      <x:c r="H666" s="17" t="n">
        <x:v>474561906</x:v>
      </x:c>
      <x:c r="I666" s="17" t="n">
        <x:v>498223280</x:v>
      </x:c>
      <x:c r="J666" s="2" t="str">
        <x:v>m2</x:v>
      </x:c>
      <x:c r="K666" s="15" t="n">
        <x:f>IF(AND(ISNUMBER(F666),ISNUMBER(G666),F666&gt;0),G666/F666-1,"n.a.")</x:f>
        <x:v>0.04894915563433755</x:v>
      </x:c>
      <x:c r="L666" s="15" t="n">
        <x:f>IF(AND(N666,ISNUMBER(H666),ISNUMBER(I666),H666&gt;0),I666/H666-1,"n.a.")</x:f>
        <x:v>0.04985940443352832</x:v>
      </x:c>
      <x:c r="M666" s="20" t="n">
        <x:f>IF(AND(ISNUMBER(K666),ISNUMBER(L666)),100*(K666-L666),"n.a.")</x:f>
        <x:v>-0.09102487991907715</x:v>
      </x:c>
      <x:c r="N666" s="13" t="b">
        <x:v>1</x:v>
      </x:c>
      <x:c r="O666" s="13" t="b">
        <x:v>1</x:v>
      </x:c>
      <x:c r="P666" s="13" t="b">
        <x:v>0</x:v>
      </x:c>
      <x:c r="Q666" s="2" t="str">
        <x:v>legacy epoch_status=observed; not exact acquisition proof</x:v>
      </x:c>
      <x:c r="R666" s="2" t="str">
        <x:v>legacy epoch_status=observed; not exact acquisition proof</x:v>
      </x:c>
      <x:c r="S666" s="2" t="str">
        <x:v>historical source estimate</x:v>
      </x:c>
      <x:c r="T666" s="2" t="str">
        <x:v>historical source estimate</x:v>
      </x:c>
      <x:c r="U666" s="2" t="str">
        <x:v>GFA growth versus source physical quantity growth; constant conversion required for equality</x:v>
      </x:c>
      <x:c r="V666" s="2" t="str">
        <x:v>Historical horizontal endpoint trend already used by v16</x:v>
      </x:c>
      <x:c r="W666" s="2" t="str">
        <x:v>https://human-settlement.emergency.copernicus.eu/ghs_buS2023.php</x:v>
      </x:c>
    </x:row>
    <x:row r="667" ht="23" customHeight="1">
      <x:c r="A667" s="2" t="str">
        <x:v>HTI</x:v>
      </x:c>
      <x:c r="B667" s="2" t="str">
        <x:v>Haiti (Republic of)</x:v>
      </x:c>
      <x:c r="C667" s="2" t="str">
        <x:v>GHSL_SURFACE</x:v>
      </x:c>
      <x:c r="D667" s="2" t="n">
        <x:v>2015</x:v>
      </x:c>
      <x:c r="E667" s="2" t="n">
        <x:v>2020</x:v>
      </x:c>
      <x:c r="F667" s="17" t="n">
        <x:v>157168330.99131426</x:v>
      </x:c>
      <x:c r="G667" s="17" t="n">
        <x:v>189002396.5400002</x:v>
      </x:c>
      <x:c r="H667" s="17" t="n">
        <x:v>240531060</x:v>
      </x:c>
      <x:c r="I667" s="17" t="n">
        <x:v>286862502</x:v>
      </x:c>
      <x:c r="J667" s="2" t="str">
        <x:v>m2</x:v>
      </x:c>
      <x:c r="K667" s="15" t="n">
        <x:f>IF(AND(ISNUMBER(F667),ISNUMBER(G667),F667&gt;0),G667/F667-1,"n.a.")</x:f>
        <x:v>0.20254758288707175</x:v>
      </x:c>
      <x:c r="L667" s="15" t="n">
        <x:f>IF(AND(N667,ISNUMBER(H667),ISNUMBER(I667),H667&gt;0),I667/H667-1,"n.a.")</x:f>
        <x:v>0.19262145188234725</x:v>
      </x:c>
      <x:c r="M667" s="20" t="n">
        <x:f>IF(AND(ISNUMBER(K667),ISNUMBER(L667)),100*(K667-L667),"n.a.")</x:f>
        <x:v>0.9926131004724503</x:v>
      </x:c>
      <x:c r="N667" s="13" t="b">
        <x:v>1</x:v>
      </x:c>
      <x:c r="O667" s="13" t="b">
        <x:v>1</x:v>
      </x:c>
      <x:c r="P667" s="13" t="b">
        <x:v>0</x:v>
      </x:c>
      <x:c r="Q667" s="2" t="str">
        <x:v>legacy epoch_status=observed; not exact acquisition proof</x:v>
      </x:c>
      <x:c r="R667" s="2" t="str">
        <x:v>legacy epoch_status=observed; not exact acquisition proof</x:v>
      </x:c>
      <x:c r="S667" s="2" t="str">
        <x:v>historical source estimate</x:v>
      </x:c>
      <x:c r="T667" s="2" t="str">
        <x:v>historical source estimate</x:v>
      </x:c>
      <x:c r="U667" s="2" t="str">
        <x:v>GFA growth versus source physical quantity growth; constant conversion required for equality</x:v>
      </x:c>
      <x:c r="V667" s="2" t="str">
        <x:v>Historical horizontal endpoint trend already used by v16</x:v>
      </x:c>
      <x:c r="W667" s="2" t="str">
        <x:v>https://human-settlement.emergency.copernicus.eu/ghs_buS2023.php</x:v>
      </x:c>
    </x:row>
    <x:row r="668" ht="23" customHeight="1">
      <x:c r="A668" s="2" t="str">
        <x:v>HUN</x:v>
      </x:c>
      <x:c r="B668" s="2" t="str">
        <x:v>Hungary</x:v>
      </x:c>
      <x:c r="C668" s="2" t="str">
        <x:v>GHSL_SURFACE</x:v>
      </x:c>
      <x:c r="D668" s="2" t="n">
        <x:v>2015</x:v>
      </x:c>
      <x:c r="E668" s="2" t="n">
        <x:v>2020</x:v>
      </x:c>
      <x:c r="F668" s="17" t="n">
        <x:v>820761043.9030477</x:v>
      </x:c>
      <x:c r="G668" s="17" t="n">
        <x:v>853072780.5300013</x:v>
      </x:c>
      <x:c r="H668" s="17" t="n">
        <x:v>1250386594</x:v>
      </x:c>
      <x:c r="I668" s="17" t="n">
        <x:v>1296608423</x:v>
      </x:c>
      <x:c r="J668" s="2" t="str">
        <x:v>m2</x:v>
      </x:c>
      <x:c r="K668" s="15" t="n">
        <x:f>IF(AND(ISNUMBER(F668),ISNUMBER(G668),F668&gt;0),G668/F668-1,"n.a.")</x:f>
        <x:v>0.03936801931205003</x:v>
      </x:c>
      <x:c r="L668" s="15" t="n">
        <x:f>IF(AND(N668,ISNUMBER(H668),ISNUMBER(I668),H668&gt;0),I668/H668-1,"n.a.")</x:f>
        <x:v>0.03696603052351666</x:v>
      </x:c>
      <x:c r="M668" s="20" t="n">
        <x:f>IF(AND(ISNUMBER(K668),ISNUMBER(L668)),100*(K668-L668),"n.a.")</x:f>
        <x:v>0.24019887885333713</x:v>
      </x:c>
      <x:c r="N668" s="13" t="b">
        <x:v>1</x:v>
      </x:c>
      <x:c r="O668" s="13" t="b">
        <x:v>1</x:v>
      </x:c>
      <x:c r="P668" s="13" t="b">
        <x:v>0</x:v>
      </x:c>
      <x:c r="Q668" s="2" t="str">
        <x:v>legacy epoch_status=observed; not exact acquisition proof</x:v>
      </x:c>
      <x:c r="R668" s="2" t="str">
        <x:v>legacy epoch_status=observed; not exact acquisition proof</x:v>
      </x:c>
      <x:c r="S668" s="2" t="str">
        <x:v>historical source estimate</x:v>
      </x:c>
      <x:c r="T668" s="2" t="str">
        <x:v>historical source estimate</x:v>
      </x:c>
      <x:c r="U668" s="2" t="str">
        <x:v>GFA growth versus source physical quantity growth; constant conversion required for equality</x:v>
      </x:c>
      <x:c r="V668" s="2" t="str">
        <x:v>Historical horizontal endpoint trend already used by v16</x:v>
      </x:c>
      <x:c r="W668" s="2" t="str">
        <x:v>https://human-settlement.emergency.copernicus.eu/ghs_buS2023.php</x:v>
      </x:c>
    </x:row>
    <x:row r="669" ht="23" customHeight="1">
      <x:c r="A669" s="2" t="str">
        <x:v>IDN</x:v>
      </x:c>
      <x:c r="B669" s="2" t="str">
        <x:v>Indonesia (Republic of)</x:v>
      </x:c>
      <x:c r="C669" s="2" t="str">
        <x:v>GHSL_SURFACE</x:v>
      </x:c>
      <x:c r="D669" s="2" t="n">
        <x:v>2015</x:v>
      </x:c>
      <x:c r="E669" s="2" t="n">
        <x:v>2020</x:v>
      </x:c>
      <x:c r="F669" s="17" t="n">
        <x:v>10348556797.890797</x:v>
      </x:c>
      <x:c r="G669" s="17" t="n">
        <x:v>10794355074.089985</x:v>
      </x:c>
      <x:c r="H669" s="17" t="n">
        <x:v>10024456953</x:v>
      </x:c>
      <x:c r="I669" s="17" t="n">
        <x:v>10374602922</x:v>
      </x:c>
      <x:c r="J669" s="2" t="str">
        <x:v>m2</x:v>
      </x:c>
      <x:c r="K669" s="15" t="n">
        <x:f>IF(AND(ISNUMBER(F669),ISNUMBER(G669),F669&gt;0),G669/F669-1,"n.a.")</x:f>
        <x:v>0.04307830404815949</x:v>
      </x:c>
      <x:c r="L669" s="15" t="n">
        <x:f>IF(AND(N669,ISNUMBER(H669),ISNUMBER(I669),H669&gt;0),I669/H669-1,"n.a.")</x:f>
        <x:v>0.0349291707911632</x:v>
      </x:c>
      <x:c r="M669" s="20" t="n">
        <x:f>IF(AND(ISNUMBER(K669),ISNUMBER(L669)),100*(K669-L669),"n.a.")</x:f>
        <x:v>0.8149133256996288</x:v>
      </x:c>
      <x:c r="N669" s="13" t="b">
        <x:v>1</x:v>
      </x:c>
      <x:c r="O669" s="13" t="b">
        <x:v>1</x:v>
      </x:c>
      <x:c r="P669" s="13" t="b">
        <x:v>0</x:v>
      </x:c>
      <x:c r="Q669" s="2" t="str">
        <x:v>legacy epoch_status=observed; not exact acquisition proof</x:v>
      </x:c>
      <x:c r="R669" s="2" t="str">
        <x:v>legacy epoch_status=observed; not exact acquisition proof</x:v>
      </x:c>
      <x:c r="S669" s="2" t="str">
        <x:v>historical source estimate</x:v>
      </x:c>
      <x:c r="T669" s="2" t="str">
        <x:v>historical source estimate</x:v>
      </x:c>
      <x:c r="U669" s="2" t="str">
        <x:v>GFA growth versus source physical quantity growth; constant conversion required for equality</x:v>
      </x:c>
      <x:c r="V669" s="2" t="str">
        <x:v>Historical horizontal endpoint trend already used by v16</x:v>
      </x:c>
      <x:c r="W669" s="2" t="str">
        <x:v>https://human-settlement.emergency.copernicus.eu/ghs_buS2023.php</x:v>
      </x:c>
    </x:row>
    <x:row r="670" ht="23" customHeight="1">
      <x:c r="A670" s="2" t="str">
        <x:v>IND</x:v>
      </x:c>
      <x:c r="B670" s="2" t="str">
        <x:v>India (Republic of)</x:v>
      </x:c>
      <x:c r="C670" s="2" t="str">
        <x:v>GHSL_SURFACE</x:v>
      </x:c>
      <x:c r="D670" s="2" t="n">
        <x:v>2015</x:v>
      </x:c>
      <x:c r="E670" s="2" t="n">
        <x:v>2020</x:v>
      </x:c>
      <x:c r="F670" s="17" t="n">
        <x:v>23332628208.733402</x:v>
      </x:c>
      <x:c r="G670" s="17" t="n">
        <x:v>27853638424.040043</x:v>
      </x:c>
      <x:c r="H670" s="17" t="n">
        <x:v>32342152980</x:v>
      </x:c>
      <x:c r="I670" s="17" t="n">
        <x:v>38219711194</x:v>
      </x:c>
      <x:c r="J670" s="2" t="str">
        <x:v>m2</x:v>
      </x:c>
      <x:c r="K670" s="15" t="n">
        <x:f>IF(AND(ISNUMBER(F670),ISNUMBER(G670),F670&gt;0),G670/F670-1,"n.a.")</x:f>
        <x:v>0.19376343611451485</x:v>
      </x:c>
      <x:c r="L670" s="15" t="n">
        <x:f>IF(AND(N670,ISNUMBER(H670),ISNUMBER(I670),H670&gt;0),I670/H670-1,"n.a.")</x:f>
        <x:v>0.18173057982981566</x:v>
      </x:c>
      <x:c r="M670" s="20" t="n">
        <x:f>IF(AND(ISNUMBER(K670),ISNUMBER(L670)),100*(K670-L670),"n.a.")</x:f>
        <x:v>1.203285628469919</x:v>
      </x:c>
      <x:c r="N670" s="13" t="b">
        <x:v>1</x:v>
      </x:c>
      <x:c r="O670" s="13" t="b">
        <x:v>1</x:v>
      </x:c>
      <x:c r="P670" s="13" t="b">
        <x:v>0</x:v>
      </x:c>
      <x:c r="Q670" s="2" t="str">
        <x:v>legacy epoch_status=observed; not exact acquisition proof</x:v>
      </x:c>
      <x:c r="R670" s="2" t="str">
        <x:v>legacy epoch_status=observed; not exact acquisition proof</x:v>
      </x:c>
      <x:c r="S670" s="2" t="str">
        <x:v>historical source estimate</x:v>
      </x:c>
      <x:c r="T670" s="2" t="str">
        <x:v>historical source estimate</x:v>
      </x:c>
      <x:c r="U670" s="2" t="str">
        <x:v>GFA growth versus source physical quantity growth; constant conversion required for equality</x:v>
      </x:c>
      <x:c r="V670" s="2" t="str">
        <x:v>Historical horizontal endpoint trend already used by v16</x:v>
      </x:c>
      <x:c r="W670" s="2" t="str">
        <x:v>https://human-settlement.emergency.copernicus.eu/ghs_buS2023.php</x:v>
      </x:c>
    </x:row>
    <x:row r="671" ht="23" customHeight="1">
      <x:c r="A671" s="2" t="str">
        <x:v>IRL</x:v>
      </x:c>
      <x:c r="B671" s="2" t="str">
        <x:v>Ireland</x:v>
      </x:c>
      <x:c r="C671" s="2" t="str">
        <x:v>GHSL_SURFACE</x:v>
      </x:c>
      <x:c r="D671" s="2" t="n">
        <x:v>2015</x:v>
      </x:c>
      <x:c r="E671" s="2" t="n">
        <x:v>2020</x:v>
      </x:c>
      <x:c r="F671" s="17" t="n">
        <x:v>405777737.91803694</x:v>
      </x:c>
      <x:c r="G671" s="17" t="n">
        <x:v>426553619.39999974</x:v>
      </x:c>
      <x:c r="H671" s="17" t="n">
        <x:v>695426839</x:v>
      </x:c>
      <x:c r="I671" s="17" t="n">
        <x:v>724222995</x:v>
      </x:c>
      <x:c r="J671" s="2" t="str">
        <x:v>m2</x:v>
      </x:c>
      <x:c r="K671" s="15" t="n">
        <x:f>IF(AND(ISNUMBER(F671),ISNUMBER(G671),F671&gt;0),G671/F671-1,"n.a.")</x:f>
        <x:v>0.0512001510693012</x:v>
      </x:c>
      <x:c r="L671" s="15" t="n">
        <x:f>IF(AND(N671,ISNUMBER(H671),ISNUMBER(I671),H671&gt;0),I671/H671-1,"n.a.")</x:f>
        <x:v>0.04140788704877707</x:v>
      </x:c>
      <x:c r="M671" s="20" t="n">
        <x:f>IF(AND(ISNUMBER(K671),ISNUMBER(L671)),100*(K671-L671),"n.a.")</x:f>
        <x:v>0.9792264020524133</x:v>
      </x:c>
      <x:c r="N671" s="13" t="b">
        <x:v>1</x:v>
      </x:c>
      <x:c r="O671" s="13" t="b">
        <x:v>1</x:v>
      </x:c>
      <x:c r="P671" s="13" t="b">
        <x:v>0</x:v>
      </x:c>
      <x:c r="Q671" s="2" t="str">
        <x:v>legacy epoch_status=observed; not exact acquisition proof</x:v>
      </x:c>
      <x:c r="R671" s="2" t="str">
        <x:v>legacy epoch_status=observed; not exact acquisition proof</x:v>
      </x:c>
      <x:c r="S671" s="2" t="str">
        <x:v>historical source estimate</x:v>
      </x:c>
      <x:c r="T671" s="2" t="str">
        <x:v>historical source estimate</x:v>
      </x:c>
      <x:c r="U671" s="2" t="str">
        <x:v>GFA growth versus source physical quantity growth; constant conversion required for equality</x:v>
      </x:c>
      <x:c r="V671" s="2" t="str">
        <x:v>Historical horizontal endpoint trend already used by v16</x:v>
      </x:c>
      <x:c r="W671" s="2" t="str">
        <x:v>https://human-settlement.emergency.copernicus.eu/ghs_buS2023.php</x:v>
      </x:c>
    </x:row>
    <x:row r="672" ht="23" customHeight="1">
      <x:c r="A672" s="2" t="str">
        <x:v>IRN</x:v>
      </x:c>
      <x:c r="B672" s="2" t="str">
        <x:v>Iran (Islamic Republic of)</x:v>
      </x:c>
      <x:c r="C672" s="2" t="str">
        <x:v>GHSL_SURFACE</x:v>
      </x:c>
      <x:c r="D672" s="2" t="n">
        <x:v>2015</x:v>
      </x:c>
      <x:c r="E672" s="2" t="n">
        <x:v>2020</x:v>
      </x:c>
      <x:c r="F672" s="17" t="n">
        <x:v>3491042780.907833</x:v>
      </x:c>
      <x:c r="G672" s="17" t="n">
        <x:v>3753827768.770001</x:v>
      </x:c>
      <x:c r="H672" s="17" t="n">
        <x:v>3930203368</x:v>
      </x:c>
      <x:c r="I672" s="17" t="n">
        <x:v>4192699745</x:v>
      </x:c>
      <x:c r="J672" s="2" t="str">
        <x:v>m2</x:v>
      </x:c>
      <x:c r="K672" s="15" t="n">
        <x:f>IF(AND(ISNUMBER(F672),ISNUMBER(G672),F672&gt;0),G672/F672-1,"n.a.")</x:f>
        <x:v>0.0752740669061156</x:v>
      </x:c>
      <x:c r="L672" s="15" t="n">
        <x:f>IF(AND(N672,ISNUMBER(H672),ISNUMBER(I672),H672&gt;0),I672/H672-1,"n.a.")</x:f>
        <x:v>0.06678951505086594</x:v>
      </x:c>
      <x:c r="M672" s="20" t="n">
        <x:f>IF(AND(ISNUMBER(K672),ISNUMBER(L672)),100*(K672-L672),"n.a.")</x:f>
        <x:v>0.8484551855249656</x:v>
      </x:c>
      <x:c r="N672" s="13" t="b">
        <x:v>1</x:v>
      </x:c>
      <x:c r="O672" s="13" t="b">
        <x:v>1</x:v>
      </x:c>
      <x:c r="P672" s="13" t="b">
        <x:v>0</x:v>
      </x:c>
      <x:c r="Q672" s="2" t="str">
        <x:v>legacy epoch_status=observed; not exact acquisition proof</x:v>
      </x:c>
      <x:c r="R672" s="2" t="str">
        <x:v>legacy epoch_status=observed; not exact acquisition proof</x:v>
      </x:c>
      <x:c r="S672" s="2" t="str">
        <x:v>historical source estimate</x:v>
      </x:c>
      <x:c r="T672" s="2" t="str">
        <x:v>historical source estimate</x:v>
      </x:c>
      <x:c r="U672" s="2" t="str">
        <x:v>GFA growth versus source physical quantity growth; constant conversion required for equality</x:v>
      </x:c>
      <x:c r="V672" s="2" t="str">
        <x:v>Historical horizontal endpoint trend already used by v16</x:v>
      </x:c>
      <x:c r="W672" s="2" t="str">
        <x:v>https://human-settlement.emergency.copernicus.eu/ghs_buS2023.php</x:v>
      </x:c>
    </x:row>
    <x:row r="673" ht="23" customHeight="1">
      <x:c r="A673" s="2" t="str">
        <x:v>IRQ</x:v>
      </x:c>
      <x:c r="B673" s="2" t="str">
        <x:v>Iraq (Republic of)</x:v>
      </x:c>
      <x:c r="C673" s="2" t="str">
        <x:v>GHSL_SURFACE</x:v>
      </x:c>
      <x:c r="D673" s="2" t="n">
        <x:v>2015</x:v>
      </x:c>
      <x:c r="E673" s="2" t="n">
        <x:v>2020</x:v>
      </x:c>
      <x:c r="F673" s="17" t="n">
        <x:v>1135556484.5551572</x:v>
      </x:c>
      <x:c r="G673" s="17" t="n">
        <x:v>1226955244.870001</x:v>
      </x:c>
      <x:c r="H673" s="17" t="n">
        <x:v>1472942574</x:v>
      </x:c>
      <x:c r="I673" s="17" t="n">
        <x:v>1578256496</x:v>
      </x:c>
      <x:c r="J673" s="2" t="str">
        <x:v>m2</x:v>
      </x:c>
      <x:c r="K673" s="15" t="n">
        <x:f>IF(AND(ISNUMBER(F673),ISNUMBER(G673),F673&gt;0),G673/F673-1,"n.a.")</x:f>
        <x:v>0.08048807924393864</x:v>
      </x:c>
      <x:c r="L673" s="15" t="n">
        <x:f>IF(AND(N673,ISNUMBER(H673),ISNUMBER(I673),H673&gt;0),I673/H673-1,"n.a.")</x:f>
        <x:v>0.07149900061209036</x:v>
      </x:c>
      <x:c r="M673" s="20" t="n">
        <x:f>IF(AND(ISNUMBER(K673),ISNUMBER(L673)),100*(K673-L673),"n.a.")</x:f>
        <x:v>0.898907863184828</x:v>
      </x:c>
      <x:c r="N673" s="13" t="b">
        <x:v>1</x:v>
      </x:c>
      <x:c r="O673" s="13" t="b">
        <x:v>1</x:v>
      </x:c>
      <x:c r="P673" s="13" t="b">
        <x:v>0</x:v>
      </x:c>
      <x:c r="Q673" s="2" t="str">
        <x:v>legacy epoch_status=observed; not exact acquisition proof</x:v>
      </x:c>
      <x:c r="R673" s="2" t="str">
        <x:v>legacy epoch_status=observed; not exact acquisition proof</x:v>
      </x:c>
      <x:c r="S673" s="2" t="str">
        <x:v>historical source estimate</x:v>
      </x:c>
      <x:c r="T673" s="2" t="str">
        <x:v>historical source estimate</x:v>
      </x:c>
      <x:c r="U673" s="2" t="str">
        <x:v>GFA growth versus source physical quantity growth; constant conversion required for equality</x:v>
      </x:c>
      <x:c r="V673" s="2" t="str">
        <x:v>Historical horizontal endpoint trend already used by v16</x:v>
      </x:c>
      <x:c r="W673" s="2" t="str">
        <x:v>https://human-settlement.emergency.copernicus.eu/ghs_buS2023.php</x:v>
      </x:c>
    </x:row>
    <x:row r="674" ht="23" customHeight="1">
      <x:c r="A674" s="2" t="str">
        <x:v>ISL</x:v>
      </x:c>
      <x:c r="B674" s="2" t="str">
        <x:v>Iceland</x:v>
      </x:c>
      <x:c r="C674" s="2" t="str">
        <x:v>GHSL_SURFACE</x:v>
      </x:c>
      <x:c r="D674" s="2" t="n">
        <x:v>2015</x:v>
      </x:c>
      <x:c r="E674" s="2" t="n">
        <x:v>2020</x:v>
      </x:c>
      <x:c r="F674" s="17" t="n">
        <x:v>25861968.358574174</x:v>
      </x:c>
      <x:c r="G674" s="17" t="n">
        <x:v>26377629.56999999</x:v>
      </x:c>
      <x:c r="H674" s="17" t="n">
        <x:v>28701623</x:v>
      </x:c>
      <x:c r="I674" s="17" t="n">
        <x:v>29008173</x:v>
      </x:c>
      <x:c r="J674" s="2" t="str">
        <x:v>m2</x:v>
      </x:c>
      <x:c r="K674" s="15" t="n">
        <x:f>IF(AND(ISNUMBER(F674),ISNUMBER(G674),F674&gt;0),G674/F674-1,"n.a.")</x:f>
        <x:v>0.019938977740449282</x:v>
      </x:c>
      <x:c r="L674" s="15" t="n">
        <x:f>IF(AND(N674,ISNUMBER(H674),ISNUMBER(I674),H674&gt;0),I674/H674-1,"n.a.")</x:f>
        <x:v>0.010680580676570184</x:v>
      </x:c>
      <x:c r="M674" s="20" t="n">
        <x:f>IF(AND(ISNUMBER(K674),ISNUMBER(L674)),100*(K674-L674),"n.a.")</x:f>
        <x:v>0.9258397063879098</x:v>
      </x:c>
      <x:c r="N674" s="13" t="b">
        <x:v>1</x:v>
      </x:c>
      <x:c r="O674" s="13" t="b">
        <x:v>1</x:v>
      </x:c>
      <x:c r="P674" s="13" t="b">
        <x:v>0</x:v>
      </x:c>
      <x:c r="Q674" s="2" t="str">
        <x:v>legacy epoch_status=observed; not exact acquisition proof</x:v>
      </x:c>
      <x:c r="R674" s="2" t="str">
        <x:v>legacy epoch_status=observed; not exact acquisition proof</x:v>
      </x:c>
      <x:c r="S674" s="2" t="str">
        <x:v>historical source estimate</x:v>
      </x:c>
      <x:c r="T674" s="2" t="str">
        <x:v>historical source estimate</x:v>
      </x:c>
      <x:c r="U674" s="2" t="str">
        <x:v>GFA growth versus source physical quantity growth; constant conversion required for equality</x:v>
      </x:c>
      <x:c r="V674" s="2" t="str">
        <x:v>Historical horizontal endpoint trend already used by v16</x:v>
      </x:c>
      <x:c r="W674" s="2" t="str">
        <x:v>https://human-settlement.emergency.copernicus.eu/ghs_buS2023.php</x:v>
      </x:c>
    </x:row>
    <x:row r="675" ht="23" customHeight="1">
      <x:c r="A675" s="2" t="str">
        <x:v>ISR</x:v>
      </x:c>
      <x:c r="B675" s="2" t="str">
        <x:v>Israel (State of)</x:v>
      </x:c>
      <x:c r="C675" s="2" t="str">
        <x:v>GHSL_SURFACE</x:v>
      </x:c>
      <x:c r="D675" s="2" t="n">
        <x:v>2015</x:v>
      </x:c>
      <x:c r="E675" s="2" t="n">
        <x:v>2020</x:v>
      </x:c>
      <x:c r="F675" s="17" t="n">
        <x:v>349771256.8497736</x:v>
      </x:c>
      <x:c r="G675" s="17" t="n">
        <x:v>372353983.1399999</x:v>
      </x:c>
      <x:c r="H675" s="17" t="n">
        <x:v>436462394</x:v>
      </x:c>
      <x:c r="I675" s="17" t="n">
        <x:v>460133516</x:v>
      </x:c>
      <x:c r="J675" s="2" t="str">
        <x:v>m2</x:v>
      </x:c>
      <x:c r="K675" s="15" t="n">
        <x:f>IF(AND(ISNUMBER(F675),ISNUMBER(G675),F675&gt;0),G675/F675-1,"n.a.")</x:f>
        <x:v>0.06456427121433128</x:v>
      </x:c>
      <x:c r="L675" s="15" t="n">
        <x:f>IF(AND(N675,ISNUMBER(H675),ISNUMBER(I675),H675&gt;0),I675/H675-1,"n.a.")</x:f>
        <x:v>0.05423404702307533</x:v>
      </x:c>
      <x:c r="M675" s="20" t="n">
        <x:f>IF(AND(ISNUMBER(K675),ISNUMBER(L675)),100*(K675-L675),"n.a.")</x:f>
        <x:v>1.0330224191255954</x:v>
      </x:c>
      <x:c r="N675" s="13" t="b">
        <x:v>1</x:v>
      </x:c>
      <x:c r="O675" s="13" t="b">
        <x:v>1</x:v>
      </x:c>
      <x:c r="P675" s="13" t="b">
        <x:v>0</x:v>
      </x:c>
      <x:c r="Q675" s="2" t="str">
        <x:v>legacy epoch_status=observed; not exact acquisition proof</x:v>
      </x:c>
      <x:c r="R675" s="2" t="str">
        <x:v>legacy epoch_status=observed; not exact acquisition proof</x:v>
      </x:c>
      <x:c r="S675" s="2" t="str">
        <x:v>historical source estimate</x:v>
      </x:c>
      <x:c r="T675" s="2" t="str">
        <x:v>historical source estimate</x:v>
      </x:c>
      <x:c r="U675" s="2" t="str">
        <x:v>GFA growth versus source physical quantity growth; constant conversion required for equality</x:v>
      </x:c>
      <x:c r="V675" s="2" t="str">
        <x:v>Historical horizontal endpoint trend already used by v16</x:v>
      </x:c>
      <x:c r="W675" s="2" t="str">
        <x:v>https://human-settlement.emergency.copernicus.eu/ghs_buS2023.php</x:v>
      </x:c>
    </x:row>
    <x:row r="676" ht="23" customHeight="1">
      <x:c r="A676" s="2" t="str">
        <x:v>ITA</x:v>
      </x:c>
      <x:c r="B676" s="2" t="str">
        <x:v>Italy (Italian Republic)</x:v>
      </x:c>
      <x:c r="C676" s="2" t="str">
        <x:v>GHSL_SURFACE</x:v>
      </x:c>
      <x:c r="D676" s="2" t="n">
        <x:v>2015</x:v>
      </x:c>
      <x:c r="E676" s="2" t="n">
        <x:v>2020</x:v>
      </x:c>
      <x:c r="F676" s="17" t="n">
        <x:v>4823889767.431577</x:v>
      </x:c>
      <x:c r="G676" s="17" t="n">
        <x:v>5000634293.290002</x:v>
      </x:c>
      <x:c r="H676" s="17" t="n">
        <x:v>6629294616</x:v>
      </x:c>
      <x:c r="I676" s="17" t="n">
        <x:v>6852988629</x:v>
      </x:c>
      <x:c r="J676" s="2" t="str">
        <x:v>m2</x:v>
      </x:c>
      <x:c r="K676" s="15" t="n">
        <x:f>IF(AND(ISNUMBER(F676),ISNUMBER(G676),F676&gt;0),G676/F676-1,"n.a.")</x:f>
        <x:v>0.0366394205464049</x:v>
      </x:c>
      <x:c r="L676" s="15" t="n">
        <x:f>IF(AND(N676,ISNUMBER(H676),ISNUMBER(I676),H676&gt;0),I676/H676-1,"n.a.")</x:f>
        <x:v>0.033743260174334155</x:v>
      </x:c>
      <x:c r="M676" s="20" t="n">
        <x:f>IF(AND(ISNUMBER(K676),ISNUMBER(L676)),100*(K676-L676),"n.a.")</x:f>
        <x:v>0.2896160372070744</x:v>
      </x:c>
      <x:c r="N676" s="13" t="b">
        <x:v>1</x:v>
      </x:c>
      <x:c r="O676" s="13" t="b">
        <x:v>1</x:v>
      </x:c>
      <x:c r="P676" s="13" t="b">
        <x:v>0</x:v>
      </x:c>
      <x:c r="Q676" s="2" t="str">
        <x:v>legacy epoch_status=observed; not exact acquisition proof</x:v>
      </x:c>
      <x:c r="R676" s="2" t="str">
        <x:v>legacy epoch_status=observed; not exact acquisition proof</x:v>
      </x:c>
      <x:c r="S676" s="2" t="str">
        <x:v>historical source estimate</x:v>
      </x:c>
      <x:c r="T676" s="2" t="str">
        <x:v>historical source estimate</x:v>
      </x:c>
      <x:c r="U676" s="2" t="str">
        <x:v>GFA growth versus source physical quantity growth; constant conversion required for equality</x:v>
      </x:c>
      <x:c r="V676" s="2" t="str">
        <x:v>Historical horizontal endpoint trend already used by v16</x:v>
      </x:c>
      <x:c r="W676" s="2" t="str">
        <x:v>https://human-settlement.emergency.copernicus.eu/ghs_buS2023.php</x:v>
      </x:c>
    </x:row>
    <x:row r="677" ht="23" customHeight="1">
      <x:c r="A677" s="2" t="str">
        <x:v>JAM</x:v>
      </x:c>
      <x:c r="B677" s="2" t="str">
        <x:v>Jamaica</x:v>
      </x:c>
      <x:c r="C677" s="2" t="str">
        <x:v>GHSL_SURFACE</x:v>
      </x:c>
      <x:c r="D677" s="2" t="n">
        <x:v>2015</x:v>
      </x:c>
      <x:c r="E677" s="2" t="n">
        <x:v>2020</x:v>
      </x:c>
      <x:c r="F677" s="17" t="n">
        <x:v>118767913.59415096</x:v>
      </x:c>
      <x:c r="G677" s="17" t="n">
        <x:v>133338245.18999992</x:v>
      </x:c>
      <x:c r="H677" s="17" t="n">
        <x:v>195910673</x:v>
      </x:c>
      <x:c r="I677" s="17" t="n">
        <x:v>218536791</x:v>
      </x:c>
      <x:c r="J677" s="2" t="str">
        <x:v>m2</x:v>
      </x:c>
      <x:c r="K677" s="15" t="n">
        <x:f>IF(AND(ISNUMBER(F677),ISNUMBER(G677),F677&gt;0),G677/F677-1,"n.a.")</x:f>
        <x:v>0.12267902293575794</x:v>
      </x:c>
      <x:c r="L677" s="15" t="n">
        <x:f>IF(AND(N677,ISNUMBER(H677),ISNUMBER(I677),H677&gt;0),I677/H677-1,"n.a.")</x:f>
        <x:v>0.11549201303596157</x:v>
      </x:c>
      <x:c r="M677" s="20" t="n">
        <x:f>IF(AND(ISNUMBER(K677),ISNUMBER(L677)),100*(K677-L677),"n.a.")</x:f>
        <x:v>0.718700989979637</x:v>
      </x:c>
      <x:c r="N677" s="13" t="b">
        <x:v>1</x:v>
      </x:c>
      <x:c r="O677" s="13" t="b">
        <x:v>1</x:v>
      </x:c>
      <x:c r="P677" s="13" t="b">
        <x:v>0</x:v>
      </x:c>
      <x:c r="Q677" s="2" t="str">
        <x:v>legacy epoch_status=observed; not exact acquisition proof</x:v>
      </x:c>
      <x:c r="R677" s="2" t="str">
        <x:v>legacy epoch_status=observed; not exact acquisition proof</x:v>
      </x:c>
      <x:c r="S677" s="2" t="str">
        <x:v>historical source estimate</x:v>
      </x:c>
      <x:c r="T677" s="2" t="str">
        <x:v>historical source estimate</x:v>
      </x:c>
      <x:c r="U677" s="2" t="str">
        <x:v>GFA growth versus source physical quantity growth; constant conversion required for equality</x:v>
      </x:c>
      <x:c r="V677" s="2" t="str">
        <x:v>Historical horizontal endpoint trend already used by v16</x:v>
      </x:c>
      <x:c r="W677" s="2" t="str">
        <x:v>https://human-settlement.emergency.copernicus.eu/ghs_buS2023.php</x:v>
      </x:c>
    </x:row>
    <x:row r="678" ht="23" customHeight="1">
      <x:c r="A678" s="2" t="str">
        <x:v>JOR</x:v>
      </x:c>
      <x:c r="B678" s="2" t="str">
        <x:v>Jordan (Hashemite Kingdom of)</x:v>
      </x:c>
      <x:c r="C678" s="2" t="str">
        <x:v>GHSL_SURFACE</x:v>
      </x:c>
      <x:c r="D678" s="2" t="n">
        <x:v>2015</x:v>
      </x:c>
      <x:c r="E678" s="2" t="n">
        <x:v>2020</x:v>
      </x:c>
      <x:c r="F678" s="17" t="n">
        <x:v>256921049.6360146</x:v>
      </x:c>
      <x:c r="G678" s="17" t="n">
        <x:v>279172690.0000002</x:v>
      </x:c>
      <x:c r="H678" s="17" t="n">
        <x:v>303094438</x:v>
      </x:c>
      <x:c r="I678" s="17" t="n">
        <x:v>326632032</x:v>
      </x:c>
      <x:c r="J678" s="2" t="str">
        <x:v>m2</x:v>
      </x:c>
      <x:c r="K678" s="15" t="n">
        <x:f>IF(AND(ISNUMBER(F678),ISNUMBER(G678),F678&gt;0),G678/F678-1,"n.a.")</x:f>
        <x:v>0.08660886445664895</x:v>
      </x:c>
      <x:c r="L678" s="15" t="n">
        <x:f>IF(AND(N678,ISNUMBER(H678),ISNUMBER(I678),H678&gt;0),I678/H678-1,"n.a.")</x:f>
        <x:v>0.07765762432103762</x:v>
      </x:c>
      <x:c r="M678" s="20" t="n">
        <x:f>IF(AND(ISNUMBER(K678),ISNUMBER(L678)),100*(K678-L678),"n.a.")</x:f>
        <x:v>0.8951240135611327</x:v>
      </x:c>
      <x:c r="N678" s="13" t="b">
        <x:v>1</x:v>
      </x:c>
      <x:c r="O678" s="13" t="b">
        <x:v>1</x:v>
      </x:c>
      <x:c r="P678" s="13" t="b">
        <x:v>0</x:v>
      </x:c>
      <x:c r="Q678" s="2" t="str">
        <x:v>legacy epoch_status=observed; not exact acquisition proof</x:v>
      </x:c>
      <x:c r="R678" s="2" t="str">
        <x:v>legacy epoch_status=observed; not exact acquisition proof</x:v>
      </x:c>
      <x:c r="S678" s="2" t="str">
        <x:v>historical source estimate</x:v>
      </x:c>
      <x:c r="T678" s="2" t="str">
        <x:v>historical source estimate</x:v>
      </x:c>
      <x:c r="U678" s="2" t="str">
        <x:v>GFA growth versus source physical quantity growth; constant conversion required for equality</x:v>
      </x:c>
      <x:c r="V678" s="2" t="str">
        <x:v>Historical horizontal endpoint trend already used by v16</x:v>
      </x:c>
      <x:c r="W678" s="2" t="str">
        <x:v>https://human-settlement.emergency.copernicus.eu/ghs_buS2023.php</x:v>
      </x:c>
    </x:row>
    <x:row r="679" ht="23" customHeight="1">
      <x:c r="A679" s="2" t="str">
        <x:v>JPN</x:v>
      </x:c>
      <x:c r="B679" s="2" t="str">
        <x:v>Japan</x:v>
      </x:c>
      <x:c r="C679" s="2" t="str">
        <x:v>GHSL_SURFACE</x:v>
      </x:c>
      <x:c r="D679" s="2" t="n">
        <x:v>2015</x:v>
      </x:c>
      <x:c r="E679" s="2" t="n">
        <x:v>2020</x:v>
      </x:c>
      <x:c r="F679" s="17" t="n">
        <x:v>8023790686.244393</x:v>
      </x:c>
      <x:c r="G679" s="17" t="n">
        <x:v>8341228241.779989</x:v>
      </x:c>
      <x:c r="H679" s="17" t="n">
        <x:v>12113397135</x:v>
      </x:c>
      <x:c r="I679" s="17" t="n">
        <x:v>12557834219</x:v>
      </x:c>
      <x:c r="J679" s="2" t="str">
        <x:v>m2</x:v>
      </x:c>
      <x:c r="K679" s="15" t="n">
        <x:f>IF(AND(ISNUMBER(F679),ISNUMBER(G679),F679&gt;0),G679/F679-1,"n.a.")</x:f>
        <x:v>0.03956204342167058</x:v>
      </x:c>
      <x:c r="L679" s="15" t="n">
        <x:f>IF(AND(N679,ISNUMBER(H679),ISNUMBER(I679),H679&gt;0),I679/H679-1,"n.a.")</x:f>
        <x:v>0.036689714623147296</x:v>
      </x:c>
      <x:c r="M679" s="20" t="n">
        <x:f>IF(AND(ISNUMBER(K679),ISNUMBER(L679)),100*(K679-L679),"n.a.")</x:f>
        <x:v>0.28723287985232826</x:v>
      </x:c>
      <x:c r="N679" s="13" t="b">
        <x:v>1</x:v>
      </x:c>
      <x:c r="O679" s="13" t="b">
        <x:v>1</x:v>
      </x:c>
      <x:c r="P679" s="13" t="b">
        <x:v>0</x:v>
      </x:c>
      <x:c r="Q679" s="2" t="str">
        <x:v>legacy epoch_status=observed; not exact acquisition proof</x:v>
      </x:c>
      <x:c r="R679" s="2" t="str">
        <x:v>legacy epoch_status=observed; not exact acquisition proof</x:v>
      </x:c>
      <x:c r="S679" s="2" t="str">
        <x:v>historical source estimate</x:v>
      </x:c>
      <x:c r="T679" s="2" t="str">
        <x:v>historical source estimate</x:v>
      </x:c>
      <x:c r="U679" s="2" t="str">
        <x:v>GFA growth versus source physical quantity growth; constant conversion required for equality</x:v>
      </x:c>
      <x:c r="V679" s="2" t="str">
        <x:v>Historical horizontal endpoint trend already used by v16</x:v>
      </x:c>
      <x:c r="W679" s="2" t="str">
        <x:v>https://human-settlement.emergency.copernicus.eu/ghs_buS2023.php</x:v>
      </x:c>
    </x:row>
    <x:row r="680" ht="23" customHeight="1">
      <x:c r="A680" s="2" t="str">
        <x:v>KAZ</x:v>
      </x:c>
      <x:c r="B680" s="2" t="str">
        <x:v>Kazakhstan (Republic of)</x:v>
      </x:c>
      <x:c r="C680" s="2" t="str">
        <x:v>GHSL_SURFACE</x:v>
      </x:c>
      <x:c r="D680" s="2" t="n">
        <x:v>2015</x:v>
      </x:c>
      <x:c r="E680" s="2" t="n">
        <x:v>2020</x:v>
      </x:c>
      <x:c r="F680" s="17" t="n">
        <x:v>937035930.5887325</x:v>
      </x:c>
      <x:c r="G680" s="17" t="n">
        <x:v>1009034692.9700016</x:v>
      </x:c>
      <x:c r="H680" s="17" t="n">
        <x:v>2166145994</x:v>
      </x:c>
      <x:c r="I680" s="17" t="n">
        <x:v>2312894884</x:v>
      </x:c>
      <x:c r="J680" s="2" t="str">
        <x:v>m2</x:v>
      </x:c>
      <x:c r="K680" s="15" t="n">
        <x:f>IF(AND(ISNUMBER(F680),ISNUMBER(G680),F680&gt;0),G680/F680-1,"n.a.")</x:f>
        <x:v>0.07683671461352914</x:v>
      </x:c>
      <x:c r="L680" s="15" t="n">
        <x:f>IF(AND(N680,ISNUMBER(H680),ISNUMBER(I680),H680&gt;0),I680/H680-1,"n.a.")</x:f>
        <x:v>0.06774653712468104</x:v>
      </x:c>
      <x:c r="M680" s="20" t="n">
        <x:f>IF(AND(ISNUMBER(K680),ISNUMBER(L680)),100*(K680-L680),"n.a.")</x:f>
        <x:v>0.9090177488848106</x:v>
      </x:c>
      <x:c r="N680" s="13" t="b">
        <x:v>1</x:v>
      </x:c>
      <x:c r="O680" s="13" t="b">
        <x:v>1</x:v>
      </x:c>
      <x:c r="P680" s="13" t="b">
        <x:v>0</x:v>
      </x:c>
      <x:c r="Q680" s="2" t="str">
        <x:v>legacy epoch_status=observed; not exact acquisition proof</x:v>
      </x:c>
      <x:c r="R680" s="2" t="str">
        <x:v>legacy epoch_status=observed; not exact acquisition proof</x:v>
      </x:c>
      <x:c r="S680" s="2" t="str">
        <x:v>historical source estimate</x:v>
      </x:c>
      <x:c r="T680" s="2" t="str">
        <x:v>historical source estimate</x:v>
      </x:c>
      <x:c r="U680" s="2" t="str">
        <x:v>GFA growth versus source physical quantity growth; constant conversion required for equality</x:v>
      </x:c>
      <x:c r="V680" s="2" t="str">
        <x:v>Historical horizontal endpoint trend already used by v16</x:v>
      </x:c>
      <x:c r="W680" s="2" t="str">
        <x:v>https://human-settlement.emergency.copernicus.eu/ghs_buS2023.php</x:v>
      </x:c>
    </x:row>
    <x:row r="681" ht="23" customHeight="1">
      <x:c r="A681" s="2" t="str">
        <x:v>KEN</x:v>
      </x:c>
      <x:c r="B681" s="2" t="str">
        <x:v>Kenya (Republic of)</x:v>
      </x:c>
      <x:c r="C681" s="2" t="str">
        <x:v>GHSL_SURFACE</x:v>
      </x:c>
      <x:c r="D681" s="2" t="n">
        <x:v>2015</x:v>
      </x:c>
      <x:c r="E681" s="2" t="n">
        <x:v>2020</x:v>
      </x:c>
      <x:c r="F681" s="17" t="n">
        <x:v>795387215.5234706</x:v>
      </x:c>
      <x:c r="G681" s="17" t="n">
        <x:v>1180050447.52</x:v>
      </x:c>
      <x:c r="H681" s="17" t="n">
        <x:v>2076727473</x:v>
      </x:c>
      <x:c r="I681" s="17" t="n">
        <x:v>3054216229</x:v>
      </x:c>
      <x:c r="J681" s="2" t="str">
        <x:v>m2</x:v>
      </x:c>
      <x:c r="K681" s="15" t="n">
        <x:f>IF(AND(ISNUMBER(F681),ISNUMBER(G681),F681&gt;0),G681/F681-1,"n.a.")</x:f>
        <x:v>0.4836175695172191</x:v>
      </x:c>
      <x:c r="L681" s="15" t="n">
        <x:f>IF(AND(N681,ISNUMBER(H681),ISNUMBER(I681),H681&gt;0),I681/H681-1,"n.a.")</x:f>
        <x:v>0.4706870635211171</x:v>
      </x:c>
      <x:c r="M681" s="20" t="n">
        <x:f>IF(AND(ISNUMBER(K681),ISNUMBER(L681)),100*(K681-L681),"n.a.")</x:f>
        <x:v>1.2930505996102015</x:v>
      </x:c>
      <x:c r="N681" s="13" t="b">
        <x:v>1</x:v>
      </x:c>
      <x:c r="O681" s="13" t="b">
        <x:v>1</x:v>
      </x:c>
      <x:c r="P681" s="13" t="b">
        <x:v>0</x:v>
      </x:c>
      <x:c r="Q681" s="2" t="str">
        <x:v>legacy epoch_status=observed; not exact acquisition proof</x:v>
      </x:c>
      <x:c r="R681" s="2" t="str">
        <x:v>legacy epoch_status=observed; not exact acquisition proof</x:v>
      </x:c>
      <x:c r="S681" s="2" t="str">
        <x:v>historical source estimate</x:v>
      </x:c>
      <x:c r="T681" s="2" t="str">
        <x:v>historical source estimate</x:v>
      </x:c>
      <x:c r="U681" s="2" t="str">
        <x:v>GFA growth versus source physical quantity growth; constant conversion required for equality</x:v>
      </x:c>
      <x:c r="V681" s="2" t="str">
        <x:v>Historical horizontal endpoint trend already used by v16</x:v>
      </x:c>
      <x:c r="W681" s="2" t="str">
        <x:v>https://human-settlement.emergency.copernicus.eu/ghs_buS2023.php</x:v>
      </x:c>
    </x:row>
    <x:row r="682" ht="23" customHeight="1">
      <x:c r="A682" s="2" t="str">
        <x:v>KGZ</x:v>
      </x:c>
      <x:c r="B682" s="2" t="str">
        <x:v>Kyrgyzstan (Kyrgyz Republic)</x:v>
      </x:c>
      <x:c r="C682" s="2" t="str">
        <x:v>GHSL_SURFACE</x:v>
      </x:c>
      <x:c r="D682" s="2" t="n">
        <x:v>2015</x:v>
      </x:c>
      <x:c r="E682" s="2" t="n">
        <x:v>2020</x:v>
      </x:c>
      <x:c r="F682" s="17" t="n">
        <x:v>303607959.0383275</x:v>
      </x:c>
      <x:c r="G682" s="17" t="n">
        <x:v>332236534.37000054</x:v>
      </x:c>
      <x:c r="H682" s="17" t="n">
        <x:v>623773476</x:v>
      </x:c>
      <x:c r="I682" s="17" t="n">
        <x:v>677417918</x:v>
      </x:c>
      <x:c r="J682" s="2" t="str">
        <x:v>m2</x:v>
      </x:c>
      <x:c r="K682" s="15" t="n">
        <x:f>IF(AND(ISNUMBER(F682),ISNUMBER(G682),F682&gt;0),G682/F682-1,"n.a.")</x:f>
        <x:v>0.0942945482139319</x:v>
      </x:c>
      <x:c r="L682" s="15" t="n">
        <x:f>IF(AND(N682,ISNUMBER(H682),ISNUMBER(I682),H682&gt;0),I682/H682-1,"n.a.")</x:f>
        <x:v>0.08599987666035358</x:v>
      </x:c>
      <x:c r="M682" s="20" t="n">
        <x:f>IF(AND(ISNUMBER(K682),ISNUMBER(L682)),100*(K682-L682),"n.a.")</x:f>
        <x:v>0.8294671553578326</x:v>
      </x:c>
      <x:c r="N682" s="13" t="b">
        <x:v>1</x:v>
      </x:c>
      <x:c r="O682" s="13" t="b">
        <x:v>1</x:v>
      </x:c>
      <x:c r="P682" s="13" t="b">
        <x:v>0</x:v>
      </x:c>
      <x:c r="Q682" s="2" t="str">
        <x:v>legacy epoch_status=observed; not exact acquisition proof</x:v>
      </x:c>
      <x:c r="R682" s="2" t="str">
        <x:v>legacy epoch_status=observed; not exact acquisition proof</x:v>
      </x:c>
      <x:c r="S682" s="2" t="str">
        <x:v>historical source estimate</x:v>
      </x:c>
      <x:c r="T682" s="2" t="str">
        <x:v>historical source estimate</x:v>
      </x:c>
      <x:c r="U682" s="2" t="str">
        <x:v>GFA growth versus source physical quantity growth; constant conversion required for equality</x:v>
      </x:c>
      <x:c r="V682" s="2" t="str">
        <x:v>Historical horizontal endpoint trend already used by v16</x:v>
      </x:c>
      <x:c r="W682" s="2" t="str">
        <x:v>https://human-settlement.emergency.copernicus.eu/ghs_buS2023.php</x:v>
      </x:c>
    </x:row>
    <x:row r="683" ht="23" customHeight="1">
      <x:c r="A683" s="2" t="str">
        <x:v>KHM</x:v>
      </x:c>
      <x:c r="B683" s="2" t="str">
        <x:v>Cambodia (Kingdom of)</x:v>
      </x:c>
      <x:c r="C683" s="2" t="str">
        <x:v>GHSL_SURFACE</x:v>
      </x:c>
      <x:c r="D683" s="2" t="n">
        <x:v>2015</x:v>
      </x:c>
      <x:c r="E683" s="2" t="n">
        <x:v>2020</x:v>
      </x:c>
      <x:c r="F683" s="17" t="n">
        <x:v>598581339.8071607</x:v>
      </x:c>
      <x:c r="G683" s="17" t="n">
        <x:v>672933221.830001</x:v>
      </x:c>
      <x:c r="H683" s="17" t="n">
        <x:v>725276085</x:v>
      </x:c>
      <x:c r="I683" s="17" t="n">
        <x:v>810917690</x:v>
      </x:c>
      <x:c r="J683" s="2" t="str">
        <x:v>m2</x:v>
      </x:c>
      <x:c r="K683" s="15" t="n">
        <x:f>IF(AND(ISNUMBER(F683),ISNUMBER(G683),F683&gt;0),G683/F683-1,"n.a.")</x:f>
        <x:v>0.12421349794631675</x:v>
      </x:c>
      <x:c r="L683" s="15" t="n">
        <x:f>IF(AND(N683,ISNUMBER(H683),ISNUMBER(I683),H683&gt;0),I683/H683-1,"n.a.")</x:f>
        <x:v>0.11808138551817815</x:v>
      </x:c>
      <x:c r="M683" s="20" t="n">
        <x:f>IF(AND(ISNUMBER(K683),ISNUMBER(L683)),100*(K683-L683),"n.a.")</x:f>
        <x:v>0.6132112428138603</x:v>
      </x:c>
      <x:c r="N683" s="13" t="b">
        <x:v>1</x:v>
      </x:c>
      <x:c r="O683" s="13" t="b">
        <x:v>1</x:v>
      </x:c>
      <x:c r="P683" s="13" t="b">
        <x:v>0</x:v>
      </x:c>
      <x:c r="Q683" s="2" t="str">
        <x:v>legacy epoch_status=observed; not exact acquisition proof</x:v>
      </x:c>
      <x:c r="R683" s="2" t="str">
        <x:v>legacy epoch_status=observed; not exact acquisition proof</x:v>
      </x:c>
      <x:c r="S683" s="2" t="str">
        <x:v>historical source estimate</x:v>
      </x:c>
      <x:c r="T683" s="2" t="str">
        <x:v>historical source estimate</x:v>
      </x:c>
      <x:c r="U683" s="2" t="str">
        <x:v>GFA growth versus source physical quantity growth; constant conversion required for equality</x:v>
      </x:c>
      <x:c r="V683" s="2" t="str">
        <x:v>Historical horizontal endpoint trend already used by v16</x:v>
      </x:c>
      <x:c r="W683" s="2" t="str">
        <x:v>https://human-settlement.emergency.copernicus.eu/ghs_buS2023.php</x:v>
      </x:c>
    </x:row>
    <x:row r="684" ht="23" customHeight="1">
      <x:c r="A684" s="2" t="str">
        <x:v>KIR</x:v>
      </x:c>
      <x:c r="B684" s="2" t="str">
        <x:v>Kiribati (Republic of)</x:v>
      </x:c>
      <x:c r="C684" s="2" t="str">
        <x:v>GHSL_SURFACE</x:v>
      </x:c>
      <x:c r="D684" s="2" t="n">
        <x:v>2015</x:v>
      </x:c>
      <x:c r="E684" s="2" t="n">
        <x:v>2020</x:v>
      </x:c>
      <x:c r="F684" s="17" t="n">
        <x:v>1691624.8246794736</x:v>
      </x:c>
      <x:c r="G684" s="17" t="n">
        <x:v>1721739.6700000002</x:v>
      </x:c>
      <x:c r="H684" s="17" t="n">
        <x:v>543815</x:v>
      </x:c>
      <x:c r="I684" s="17" t="n">
        <x:v>550127</x:v>
      </x:c>
      <x:c r="J684" s="2" t="str">
        <x:v>m2</x:v>
      </x:c>
      <x:c r="K684" s="15" t="n">
        <x:f>IF(AND(ISNUMBER(F684),ISNUMBER(G684),F684&gt;0),G684/F684-1,"n.a.")</x:f>
        <x:v>0.01780231933297194</x:v>
      </x:c>
      <x:c r="L684" s="15" t="n">
        <x:f>IF(AND(N684,ISNUMBER(H684),ISNUMBER(I684),H684&gt;0),I684/H684-1,"n.a.")</x:f>
        <x:v>0.011606888371964663</x:v>
      </x:c>
      <x:c r="M684" s="20" t="n">
        <x:f>IF(AND(ISNUMBER(K684),ISNUMBER(L684)),100*(K684-L684),"n.a.")</x:f>
        <x:v>0.6195430961007276</x:v>
      </x:c>
      <x:c r="N684" s="13" t="b">
        <x:v>1</x:v>
      </x:c>
      <x:c r="O684" s="13" t="b">
        <x:v>1</x:v>
      </x:c>
      <x:c r="P684" s="13" t="b">
        <x:v>0</x:v>
      </x:c>
      <x:c r="Q684" s="2" t="str">
        <x:v>legacy epoch_status=observed; not exact acquisition proof</x:v>
      </x:c>
      <x:c r="R684" s="2" t="str">
        <x:v>legacy epoch_status=observed; not exact acquisition proof</x:v>
      </x:c>
      <x:c r="S684" s="2" t="str">
        <x:v>historical source estimate</x:v>
      </x:c>
      <x:c r="T684" s="2" t="str">
        <x:v>historical source estimate</x:v>
      </x:c>
      <x:c r="U684" s="2" t="str">
        <x:v>GFA growth versus source physical quantity growth; constant conversion required for equality</x:v>
      </x:c>
      <x:c r="V684" s="2" t="str">
        <x:v>Historical horizontal endpoint trend already used by v16</x:v>
      </x:c>
      <x:c r="W684" s="2" t="str">
        <x:v>https://human-settlement.emergency.copernicus.eu/ghs_buS2023.php</x:v>
      </x:c>
    </x:row>
    <x:row r="685" ht="23" customHeight="1">
      <x:c r="A685" s="2" t="str">
        <x:v>KNA</x:v>
      </x:c>
      <x:c r="B685" s="2" t="str">
        <x:v>Saint Kitts and Nevis (Federation of)</x:v>
      </x:c>
      <x:c r="C685" s="2" t="str">
        <x:v>GHSL_SURFACE</x:v>
      </x:c>
      <x:c r="D685" s="2" t="n">
        <x:v>2015</x:v>
      </x:c>
      <x:c r="E685" s="2" t="n">
        <x:v>2020</x:v>
      </x:c>
      <x:c r="F685" s="17" t="n">
        <x:v>4061235.1620539096</x:v>
      </x:c>
      <x:c r="G685" s="17" t="n">
        <x:v>4523960.760000001</x:v>
      </x:c>
      <x:c r="H685" s="17" t="n">
        <x:v>6649106</x:v>
      </x:c>
      <x:c r="I685" s="17" t="n">
        <x:v>7398831</x:v>
      </x:c>
      <x:c r="J685" s="2" t="str">
        <x:v>m2</x:v>
      </x:c>
      <x:c r="K685" s="15" t="n">
        <x:f>IF(AND(ISNUMBER(F685),ISNUMBER(G685),F685&gt;0),G685/F685-1,"n.a.")</x:f>
        <x:v>0.11393715938184545</x:v>
      </x:c>
      <x:c r="L685" s="15" t="n">
        <x:f>IF(AND(N685,ISNUMBER(H685),ISNUMBER(I685),H685&gt;0),I685/H685-1,"n.a.")</x:f>
        <x:v>0.11275575994727705</x:v>
      </x:c>
      <x:c r="M685" s="20" t="n">
        <x:f>IF(AND(ISNUMBER(K685),ISNUMBER(L685)),100*(K685-L685),"n.a.")</x:f>
        <x:v>0.11813994345684087</x:v>
      </x:c>
      <x:c r="N685" s="13" t="b">
        <x:v>1</x:v>
      </x:c>
      <x:c r="O685" s="13" t="b">
        <x:v>1</x:v>
      </x:c>
      <x:c r="P685" s="13" t="b">
        <x:v>0</x:v>
      </x:c>
      <x:c r="Q685" s="2" t="str">
        <x:v>legacy epoch_status=observed; not exact acquisition proof</x:v>
      </x:c>
      <x:c r="R685" s="2" t="str">
        <x:v>legacy epoch_status=observed; not exact acquisition proof</x:v>
      </x:c>
      <x:c r="S685" s="2" t="str">
        <x:v>historical source estimate</x:v>
      </x:c>
      <x:c r="T685" s="2" t="str">
        <x:v>historical source estimate</x:v>
      </x:c>
      <x:c r="U685" s="2" t="str">
        <x:v>GFA growth versus source physical quantity growth; constant conversion required for equality</x:v>
      </x:c>
      <x:c r="V685" s="2" t="str">
        <x:v>Historical horizontal endpoint trend already used by v16</x:v>
      </x:c>
      <x:c r="W685" s="2" t="str">
        <x:v>https://human-settlement.emergency.copernicus.eu/ghs_buS2023.php</x:v>
      </x:c>
    </x:row>
    <x:row r="686" ht="23" customHeight="1">
      <x:c r="A686" s="2" t="str">
        <x:v>KOR</x:v>
      </x:c>
      <x:c r="B686" s="2" t="str">
        <x:v>Korea (Republic of)</x:v>
      </x:c>
      <x:c r="C686" s="2" t="str">
        <x:v>GHSL_SURFACE</x:v>
      </x:c>
      <x:c r="D686" s="2" t="n">
        <x:v>2015</x:v>
      </x:c>
      <x:c r="E686" s="2" t="n">
        <x:v>2020</x:v>
      </x:c>
      <x:c r="F686" s="17" t="n">
        <x:v>2658803650.6668043</x:v>
      </x:c>
      <x:c r="G686" s="17" t="n">
        <x:v>2947698717.329997</x:v>
      </x:c>
      <x:c r="H686" s="17" t="n">
        <x:v>3153906847</x:v>
      </x:c>
      <x:c r="I686" s="17" t="n">
        <x:v>3476969930</x:v>
      </x:c>
      <x:c r="J686" s="2" t="str">
        <x:v>m2</x:v>
      </x:c>
      <x:c r="K686" s="15" t="n">
        <x:f>IF(AND(ISNUMBER(F686),ISNUMBER(G686),F686&gt;0),G686/F686-1,"n.a.")</x:f>
        <x:v>0.10865603655641909</x:v>
      </x:c>
      <x:c r="L686" s="15" t="n">
        <x:f>IF(AND(N686,ISNUMBER(H686),ISNUMBER(I686),H686&gt;0),I686/H686-1,"n.a.")</x:f>
        <x:v>0.10243266484147995</x:v>
      </x:c>
      <x:c r="M686" s="20" t="n">
        <x:f>IF(AND(ISNUMBER(K686),ISNUMBER(L686)),100*(K686-L686),"n.a.")</x:f>
        <x:v>0.6223371714939141</x:v>
      </x:c>
      <x:c r="N686" s="13" t="b">
        <x:v>1</x:v>
      </x:c>
      <x:c r="O686" s="13" t="b">
        <x:v>1</x:v>
      </x:c>
      <x:c r="P686" s="13" t="b">
        <x:v>0</x:v>
      </x:c>
      <x:c r="Q686" s="2" t="str">
        <x:v>legacy epoch_status=observed; not exact acquisition proof</x:v>
      </x:c>
      <x:c r="R686" s="2" t="str">
        <x:v>legacy epoch_status=observed; not exact acquisition proof</x:v>
      </x:c>
      <x:c r="S686" s="2" t="str">
        <x:v>historical source estimate</x:v>
      </x:c>
      <x:c r="T686" s="2" t="str">
        <x:v>historical source estimate</x:v>
      </x:c>
      <x:c r="U686" s="2" t="str">
        <x:v>GFA growth versus source physical quantity growth; constant conversion required for equality</x:v>
      </x:c>
      <x:c r="V686" s="2" t="str">
        <x:v>Historical horizontal endpoint trend already used by v16</x:v>
      </x:c>
      <x:c r="W686" s="2" t="str">
        <x:v>https://human-settlement.emergency.copernicus.eu/ghs_buS2023.php</x:v>
      </x:c>
    </x:row>
    <x:row r="687" ht="23" customHeight="1">
      <x:c r="A687" s="2" t="str">
        <x:v>KWT</x:v>
      </x:c>
      <x:c r="B687" s="2" t="str">
        <x:v>Kuwait (State of)</x:v>
      </x:c>
      <x:c r="C687" s="2" t="str">
        <x:v>GHSL_SURFACE</x:v>
      </x:c>
      <x:c r="D687" s="2" t="n">
        <x:v>2015</x:v>
      </x:c>
      <x:c r="E687" s="2" t="n">
        <x:v>2020</x:v>
      </x:c>
      <x:c r="F687" s="17" t="n">
        <x:v>137379674.9540703</x:v>
      </x:c>
      <x:c r="G687" s="17" t="n">
        <x:v>155594647.5199998</x:v>
      </x:c>
      <x:c r="H687" s="17" t="n">
        <x:v>190593916</x:v>
      </x:c>
      <x:c r="I687" s="17" t="n">
        <x:v>213971234</x:v>
      </x:c>
      <x:c r="J687" s="2" t="str">
        <x:v>m2</x:v>
      </x:c>
      <x:c r="K687" s="15" t="n">
        <x:f>IF(AND(ISNUMBER(F687),ISNUMBER(G687),F687&gt;0),G687/F687-1,"n.a.")</x:f>
        <x:v>0.1325885548354897</x:v>
      </x:c>
      <x:c r="L687" s="15" t="n">
        <x:f>IF(AND(N687,ISNUMBER(H687),ISNUMBER(I687),H687&gt;0),I687/H687-1,"n.a.")</x:f>
        <x:v>0.12265511140450047</x:v>
      </x:c>
      <x:c r="M687" s="20" t="n">
        <x:f>IF(AND(ISNUMBER(K687),ISNUMBER(L687)),100*(K687-L687),"n.a.")</x:f>
        <x:v>0.993344343098923</x:v>
      </x:c>
      <x:c r="N687" s="13" t="b">
        <x:v>1</x:v>
      </x:c>
      <x:c r="O687" s="13" t="b">
        <x:v>1</x:v>
      </x:c>
      <x:c r="P687" s="13" t="b">
        <x:v>0</x:v>
      </x:c>
      <x:c r="Q687" s="2" t="str">
        <x:v>legacy epoch_status=observed; not exact acquisition proof</x:v>
      </x:c>
      <x:c r="R687" s="2" t="str">
        <x:v>legacy epoch_status=observed; not exact acquisition proof</x:v>
      </x:c>
      <x:c r="S687" s="2" t="str">
        <x:v>historical source estimate</x:v>
      </x:c>
      <x:c r="T687" s="2" t="str">
        <x:v>historical source estimate</x:v>
      </x:c>
      <x:c r="U687" s="2" t="str">
        <x:v>GFA growth versus source physical quantity growth; constant conversion required for equality</x:v>
      </x:c>
      <x:c r="V687" s="2" t="str">
        <x:v>Historical horizontal endpoint trend already used by v16</x:v>
      </x:c>
      <x:c r="W687" s="2" t="str">
        <x:v>https://human-settlement.emergency.copernicus.eu/ghs_buS2023.php</x:v>
      </x:c>
    </x:row>
    <x:row r="688" ht="23" customHeight="1">
      <x:c r="A688" s="2" t="str">
        <x:v>LAO</x:v>
      </x:c>
      <x:c r="B688" s="2" t="str">
        <x:v>Lao People's Democratic Republic</x:v>
      </x:c>
      <x:c r="C688" s="2" t="str">
        <x:v>GHSL_SURFACE</x:v>
      </x:c>
      <x:c r="D688" s="2" t="n">
        <x:v>2015</x:v>
      </x:c>
      <x:c r="E688" s="2" t="n">
        <x:v>2020</x:v>
      </x:c>
      <x:c r="F688" s="17" t="n">
        <x:v>290579669.68239933</x:v>
      </x:c>
      <x:c r="G688" s="17" t="n">
        <x:v>333393295.1899998</x:v>
      </x:c>
      <x:c r="H688" s="17" t="n">
        <x:v>298571803</x:v>
      </x:c>
      <x:c r="I688" s="17" t="n">
        <x:v>340316418</x:v>
      </x:c>
      <x:c r="J688" s="2" t="str">
        <x:v>m2</x:v>
      </x:c>
      <x:c r="K688" s="15" t="n">
        <x:f>IF(AND(ISNUMBER(F688),ISNUMBER(G688),F688&gt;0),G688/F688-1,"n.a.")</x:f>
        <x:v>0.14733868186441046</x:v>
      </x:c>
      <x:c r="L688" s="15" t="n">
        <x:f>IF(AND(N688,ISNUMBER(H688),ISNUMBER(I688),H688&gt;0),I688/H688-1,"n.a.")</x:f>
        <x:v>0.13981432466347132</x:v>
      </x:c>
      <x:c r="M688" s="20" t="n">
        <x:f>IF(AND(ISNUMBER(K688),ISNUMBER(L688)),100*(K688-L688),"n.a.")</x:f>
        <x:v>0.7524357200939136</x:v>
      </x:c>
      <x:c r="N688" s="13" t="b">
        <x:v>1</x:v>
      </x:c>
      <x:c r="O688" s="13" t="b">
        <x:v>1</x:v>
      </x:c>
      <x:c r="P688" s="13" t="b">
        <x:v>0</x:v>
      </x:c>
      <x:c r="Q688" s="2" t="str">
        <x:v>legacy epoch_status=observed; not exact acquisition proof</x:v>
      </x:c>
      <x:c r="R688" s="2" t="str">
        <x:v>legacy epoch_status=observed; not exact acquisition proof</x:v>
      </x:c>
      <x:c r="S688" s="2" t="str">
        <x:v>historical source estimate</x:v>
      </x:c>
      <x:c r="T688" s="2" t="str">
        <x:v>historical source estimate</x:v>
      </x:c>
      <x:c r="U688" s="2" t="str">
        <x:v>GFA growth versus source physical quantity growth; constant conversion required for equality</x:v>
      </x:c>
      <x:c r="V688" s="2" t="str">
        <x:v>Historical horizontal endpoint trend already used by v16</x:v>
      </x:c>
      <x:c r="W688" s="2" t="str">
        <x:v>https://human-settlement.emergency.copernicus.eu/ghs_buS2023.php</x:v>
      </x:c>
    </x:row>
    <x:row r="689" ht="23" customHeight="1">
      <x:c r="A689" s="2" t="str">
        <x:v>LBN</x:v>
      </x:c>
      <x:c r="B689" s="2" t="str">
        <x:v>Lebanon (Lebanese Republic)</x:v>
      </x:c>
      <x:c r="C689" s="2" t="str">
        <x:v>GHSL_SURFACE</x:v>
      </x:c>
      <x:c r="D689" s="2" t="n">
        <x:v>2015</x:v>
      </x:c>
      <x:c r="E689" s="2" t="n">
        <x:v>2020</x:v>
      </x:c>
      <x:c r="F689" s="17" t="n">
        <x:v>216766434.49609855</x:v>
      </x:c>
      <x:c r="G689" s="17" t="n">
        <x:v>226725070.95000017</x:v>
      </x:c>
      <x:c r="H689" s="17" t="n">
        <x:v>273112424</x:v>
      </x:c>
      <x:c r="I689" s="17" t="n">
        <x:v>285815139</x:v>
      </x:c>
      <x:c r="J689" s="2" t="str">
        <x:v>m2</x:v>
      </x:c>
      <x:c r="K689" s="15" t="n">
        <x:f>IF(AND(ISNUMBER(F689),ISNUMBER(G689),F689&gt;0),G689/F689-1,"n.a.")</x:f>
        <x:v>0.04594178280900252</x:v>
      </x:c>
      <x:c r="L689" s="15" t="n">
        <x:f>IF(AND(N689,ISNUMBER(H689),ISNUMBER(I689),H689&gt;0),I689/H689-1,"n.a.")</x:f>
        <x:v>0.04651093792789163</x:v>
      </x:c>
      <x:c r="M689" s="20" t="n">
        <x:f>IF(AND(ISNUMBER(K689),ISNUMBER(L689)),100*(K689-L689),"n.a.")</x:f>
        <x:v>-0.056915511888910864</x:v>
      </x:c>
      <x:c r="N689" s="13" t="b">
        <x:v>1</x:v>
      </x:c>
      <x:c r="O689" s="13" t="b">
        <x:v>1</x:v>
      </x:c>
      <x:c r="P689" s="13" t="b">
        <x:v>0</x:v>
      </x:c>
      <x:c r="Q689" s="2" t="str">
        <x:v>legacy epoch_status=observed; not exact acquisition proof</x:v>
      </x:c>
      <x:c r="R689" s="2" t="str">
        <x:v>legacy epoch_status=observed; not exact acquisition proof</x:v>
      </x:c>
      <x:c r="S689" s="2" t="str">
        <x:v>historical source estimate</x:v>
      </x:c>
      <x:c r="T689" s="2" t="str">
        <x:v>historical source estimate</x:v>
      </x:c>
      <x:c r="U689" s="2" t="str">
        <x:v>GFA growth versus source physical quantity growth; constant conversion required for equality</x:v>
      </x:c>
      <x:c r="V689" s="2" t="str">
        <x:v>Historical horizontal endpoint trend already used by v16</x:v>
      </x:c>
      <x:c r="W689" s="2" t="str">
        <x:v>https://human-settlement.emergency.copernicus.eu/ghs_buS2023.php</x:v>
      </x:c>
    </x:row>
    <x:row r="690" ht="23" customHeight="1">
      <x:c r="A690" s="2" t="str">
        <x:v>LBR</x:v>
      </x:c>
      <x:c r="B690" s="2" t="str">
        <x:v>Liberia (Republic of)</x:v>
      </x:c>
      <x:c r="C690" s="2" t="str">
        <x:v>GHSL_SURFACE</x:v>
      </x:c>
      <x:c r="D690" s="2" t="n">
        <x:v>2015</x:v>
      </x:c>
      <x:c r="E690" s="2" t="n">
        <x:v>2020</x:v>
      </x:c>
      <x:c r="F690" s="17" t="n">
        <x:v>87042901.95199455</x:v>
      </x:c>
      <x:c r="G690" s="17" t="n">
        <x:v>93713430.84000014</x:v>
      </x:c>
      <x:c r="H690" s="17" t="n">
        <x:v>184864885</x:v>
      </x:c>
      <x:c r="I690" s="17" t="n">
        <x:v>197494951</x:v>
      </x:c>
      <x:c r="J690" s="2" t="str">
        <x:v>m2</x:v>
      </x:c>
      <x:c r="K690" s="15" t="n">
        <x:f>IF(AND(ISNUMBER(F690),ISNUMBER(G690),F690&gt;0),G690/F690-1,"n.a.")</x:f>
        <x:v>0.07663495515906038</x:v>
      </x:c>
      <x:c r="L690" s="15" t="n">
        <x:f>IF(AND(N690,ISNUMBER(H690),ISNUMBER(I690),H690&gt;0),I690/H690-1,"n.a.")</x:f>
        <x:v>0.06832052501479668</x:v>
      </x:c>
      <x:c r="M690" s="20" t="n">
        <x:f>IF(AND(ISNUMBER(K690),ISNUMBER(L690)),100*(K690-L690),"n.a.")</x:f>
        <x:v>0.8314430144263696</x:v>
      </x:c>
      <x:c r="N690" s="13" t="b">
        <x:v>1</x:v>
      </x:c>
      <x:c r="O690" s="13" t="b">
        <x:v>1</x:v>
      </x:c>
      <x:c r="P690" s="13" t="b">
        <x:v>0</x:v>
      </x:c>
      <x:c r="Q690" s="2" t="str">
        <x:v>legacy epoch_status=observed; not exact acquisition proof</x:v>
      </x:c>
      <x:c r="R690" s="2" t="str">
        <x:v>legacy epoch_status=observed; not exact acquisition proof</x:v>
      </x:c>
      <x:c r="S690" s="2" t="str">
        <x:v>historical source estimate</x:v>
      </x:c>
      <x:c r="T690" s="2" t="str">
        <x:v>historical source estimate</x:v>
      </x:c>
      <x:c r="U690" s="2" t="str">
        <x:v>GFA growth versus source physical quantity growth; constant conversion required for equality</x:v>
      </x:c>
      <x:c r="V690" s="2" t="str">
        <x:v>Historical horizontal endpoint trend already used by v16</x:v>
      </x:c>
      <x:c r="W690" s="2" t="str">
        <x:v>https://human-settlement.emergency.copernicus.eu/ghs_buS2023.php</x:v>
      </x:c>
    </x:row>
    <x:row r="691" ht="23" customHeight="1">
      <x:c r="A691" s="2" t="str">
        <x:v>LBY</x:v>
      </x:c>
      <x:c r="B691" s="2" t="str">
        <x:v>Libya (State of)</x:v>
      </x:c>
      <x:c r="C691" s="2" t="str">
        <x:v>GHSL_SURFACE</x:v>
      </x:c>
      <x:c r="D691" s="2" t="n">
        <x:v>2015</x:v>
      </x:c>
      <x:c r="E691" s="2" t="n">
        <x:v>2020</x:v>
      </x:c>
      <x:c r="F691" s="17" t="n">
        <x:v>451050058.3672139</x:v>
      </x:c>
      <x:c r="G691" s="17" t="n">
        <x:v>523048577.3000005</x:v>
      </x:c>
      <x:c r="H691" s="17" t="n">
        <x:v>865080797</x:v>
      </x:c>
      <x:c r="I691" s="17" t="n">
        <x:v>998710141</x:v>
      </x:c>
      <x:c r="J691" s="2" t="str">
        <x:v>m2</x:v>
      </x:c>
      <x:c r="K691" s="15" t="n">
        <x:f>IF(AND(ISNUMBER(F691),ISNUMBER(G691),F691&gt;0),G691/F691-1,"n.a.")</x:f>
        <x:v>0.1596242314953218</x:v>
      </x:c>
      <x:c r="L691" s="15" t="n">
        <x:f>IF(AND(N691,ISNUMBER(H691),ISNUMBER(I691),H691&gt;0),I691/H691-1,"n.a.")</x:f>
        <x:v>0.1544703621481498</x:v>
      </x:c>
      <x:c r="M691" s="20" t="n">
        <x:f>IF(AND(ISNUMBER(K691),ISNUMBER(L691)),100*(K691-L691),"n.a.")</x:f>
        <x:v>0.5153869347171991</x:v>
      </x:c>
      <x:c r="N691" s="13" t="b">
        <x:v>1</x:v>
      </x:c>
      <x:c r="O691" s="13" t="b">
        <x:v>1</x:v>
      </x:c>
      <x:c r="P691" s="13" t="b">
        <x:v>0</x:v>
      </x:c>
      <x:c r="Q691" s="2" t="str">
        <x:v>legacy epoch_status=observed; not exact acquisition proof</x:v>
      </x:c>
      <x:c r="R691" s="2" t="str">
        <x:v>legacy epoch_status=observed; not exact acquisition proof</x:v>
      </x:c>
      <x:c r="S691" s="2" t="str">
        <x:v>historical source estimate</x:v>
      </x:c>
      <x:c r="T691" s="2" t="str">
        <x:v>historical source estimate</x:v>
      </x:c>
      <x:c r="U691" s="2" t="str">
        <x:v>GFA growth versus source physical quantity growth; constant conversion required for equality</x:v>
      </x:c>
      <x:c r="V691" s="2" t="str">
        <x:v>Historical horizontal endpoint trend already used by v16</x:v>
      </x:c>
      <x:c r="W691" s="2" t="str">
        <x:v>https://human-settlement.emergency.copernicus.eu/ghs_buS2023.php</x:v>
      </x:c>
    </x:row>
    <x:row r="692" ht="23" customHeight="1">
      <x:c r="A692" s="2" t="str">
        <x:v>LCA</x:v>
      </x:c>
      <x:c r="B692" s="2" t="str">
        <x:v>Saint Lucia</x:v>
      </x:c>
      <x:c r="C692" s="2" t="str">
        <x:v>GHSL_SURFACE</x:v>
      </x:c>
      <x:c r="D692" s="2" t="n">
        <x:v>2015</x:v>
      </x:c>
      <x:c r="E692" s="2" t="n">
        <x:v>2020</x:v>
      </x:c>
      <x:c r="F692" s="17" t="n">
        <x:v>8882463.634134484</x:v>
      </x:c>
      <x:c r="G692" s="17" t="n">
        <x:v>10226894.600000018</x:v>
      </x:c>
      <x:c r="H692" s="17" t="n">
        <x:v>12918932</x:v>
      </x:c>
      <x:c r="I692" s="17" t="n">
        <x:v>14791926</x:v>
      </x:c>
      <x:c r="J692" s="2" t="str">
        <x:v>m2</x:v>
      </x:c>
      <x:c r="K692" s="15" t="n">
        <x:f>IF(AND(ISNUMBER(F692),ISNUMBER(G692),F692&gt;0),G692/F692-1,"n.a.")</x:f>
        <x:v>0.15135789137362865</x:v>
      </x:c>
      <x:c r="L692" s="15" t="n">
        <x:f>IF(AND(N692,ISNUMBER(H692),ISNUMBER(I692),H692&gt;0),I692/H692-1,"n.a.")</x:f>
        <x:v>0.14498056031257067</x:v>
      </x:c>
      <x:c r="M692" s="20" t="n">
        <x:f>IF(AND(ISNUMBER(K692),ISNUMBER(L692)),100*(K692-L692),"n.a.")</x:f>
        <x:v>0.6377331061057978</x:v>
      </x:c>
      <x:c r="N692" s="13" t="b">
        <x:v>1</x:v>
      </x:c>
      <x:c r="O692" s="13" t="b">
        <x:v>1</x:v>
      </x:c>
      <x:c r="P692" s="13" t="b">
        <x:v>0</x:v>
      </x:c>
      <x:c r="Q692" s="2" t="str">
        <x:v>legacy epoch_status=observed; not exact acquisition proof</x:v>
      </x:c>
      <x:c r="R692" s="2" t="str">
        <x:v>legacy epoch_status=observed; not exact acquisition proof</x:v>
      </x:c>
      <x:c r="S692" s="2" t="str">
        <x:v>historical source estimate</x:v>
      </x:c>
      <x:c r="T692" s="2" t="str">
        <x:v>historical source estimate</x:v>
      </x:c>
      <x:c r="U692" s="2" t="str">
        <x:v>GFA growth versus source physical quantity growth; constant conversion required for equality</x:v>
      </x:c>
      <x:c r="V692" s="2" t="str">
        <x:v>Historical horizontal endpoint trend already used by v16</x:v>
      </x:c>
      <x:c r="W692" s="2" t="str">
        <x:v>https://human-settlement.emergency.copernicus.eu/ghs_buS2023.php</x:v>
      </x:c>
    </x:row>
    <x:row r="693" ht="23" customHeight="1">
      <x:c r="A693" s="2" t="str">
        <x:v>LIE</x:v>
      </x:c>
      <x:c r="B693" s="2" t="str">
        <x:v>Liechtenstein (Principality of)</x:v>
      </x:c>
      <x:c r="C693" s="2" t="str">
        <x:v>GHSL_SURFACE</x:v>
      </x:c>
      <x:c r="D693" s="2" t="n">
        <x:v>2015</x:v>
      </x:c>
      <x:c r="E693" s="2" t="n">
        <x:v>2020</x:v>
      </x:c>
      <x:c r="F693" s="17" t="n">
        <x:v>3201232.1963177915</x:v>
      </x:c>
      <x:c r="G693" s="17" t="n">
        <x:v>3628695.830000003</x:v>
      </x:c>
      <x:c r="H693" s="17" t="n">
        <x:v>4523788</x:v>
      </x:c>
      <x:c r="I693" s="17" t="n">
        <x:v>5091949</x:v>
      </x:c>
      <x:c r="J693" s="2" t="str">
        <x:v>m2</x:v>
      </x:c>
      <x:c r="K693" s="15" t="n">
        <x:f>IF(AND(ISNUMBER(F693),ISNUMBER(G693),F693&gt;0),G693/F693-1,"n.a.")</x:f>
        <x:v>0.1335309679110126</x:v>
      </x:c>
      <x:c r="L693" s="15" t="n">
        <x:f>IF(AND(N693,ISNUMBER(H693),ISNUMBER(I693),H693&gt;0),I693/H693-1,"n.a.")</x:f>
        <x:v>0.12559408177394693</x:v>
      </x:c>
      <x:c r="M693" s="20" t="n">
        <x:f>IF(AND(ISNUMBER(K693),ISNUMBER(L693)),100*(K693-L693),"n.a.")</x:f>
        <x:v>0.7936886137065668</x:v>
      </x:c>
      <x:c r="N693" s="13" t="b">
        <x:v>1</x:v>
      </x:c>
      <x:c r="O693" s="13" t="b">
        <x:v>1</x:v>
      </x:c>
      <x:c r="P693" s="13" t="b">
        <x:v>0</x:v>
      </x:c>
      <x:c r="Q693" s="2" t="str">
        <x:v>legacy epoch_status=observed; not exact acquisition proof</x:v>
      </x:c>
      <x:c r="R693" s="2" t="str">
        <x:v>legacy epoch_status=observed; not exact acquisition proof</x:v>
      </x:c>
      <x:c r="S693" s="2" t="str">
        <x:v>historical source estimate</x:v>
      </x:c>
      <x:c r="T693" s="2" t="str">
        <x:v>historical source estimate</x:v>
      </x:c>
      <x:c r="U693" s="2" t="str">
        <x:v>GFA growth versus source physical quantity growth; constant conversion required for equality</x:v>
      </x:c>
      <x:c r="V693" s="2" t="str">
        <x:v>Historical horizontal endpoint trend already used by v16</x:v>
      </x:c>
      <x:c r="W693" s="2" t="str">
        <x:v>https://human-settlement.emergency.copernicus.eu/ghs_buS2023.php</x:v>
      </x:c>
    </x:row>
    <x:row r="694" ht="23" customHeight="1">
      <x:c r="A694" s="2" t="str">
        <x:v>LKA</x:v>
      </x:c>
      <x:c r="B694" s="2" t="str">
        <x:v>Sri Lanka (Democratic Socialist Republic of)</x:v>
      </x:c>
      <x:c r="C694" s="2" t="str">
        <x:v>GHSL_SURFACE</x:v>
      </x:c>
      <x:c r="D694" s="2" t="n">
        <x:v>2015</x:v>
      </x:c>
      <x:c r="E694" s="2" t="n">
        <x:v>2020</x:v>
      </x:c>
      <x:c r="F694" s="17" t="n">
        <x:v>724754528.0104082</x:v>
      </x:c>
      <x:c r="G694" s="17" t="n">
        <x:v>899293602.2900008</x:v>
      </x:c>
      <x:c r="H694" s="17" t="n">
        <x:v>787383522</x:v>
      </x:c>
      <x:c r="I694" s="17" t="n">
        <x:v>970761407</x:v>
      </x:c>
      <x:c r="J694" s="2" t="str">
        <x:v>m2</x:v>
      </x:c>
      <x:c r="K694" s="15" t="n">
        <x:f>IF(AND(ISNUMBER(F694),ISNUMBER(G694),F694&gt;0),G694/F694-1,"n.a.")</x:f>
        <x:v>0.24082508978417327</x:v>
      </x:c>
      <x:c r="L694" s="15" t="n">
        <x:f>IF(AND(N694,ISNUMBER(H694),ISNUMBER(I694),H694&gt;0),I694/H694-1,"n.a.")</x:f>
        <x:v>0.23289525355345186</x:v>
      </x:c>
      <x:c r="M694" s="20" t="n">
        <x:f>IF(AND(ISNUMBER(K694),ISNUMBER(L694)),100*(K694-L694),"n.a.")</x:f>
        <x:v>0.792983623072141</x:v>
      </x:c>
      <x:c r="N694" s="13" t="b">
        <x:v>1</x:v>
      </x:c>
      <x:c r="O694" s="13" t="b">
        <x:v>1</x:v>
      </x:c>
      <x:c r="P694" s="13" t="b">
        <x:v>0</x:v>
      </x:c>
      <x:c r="Q694" s="2" t="str">
        <x:v>legacy epoch_status=observed; not exact acquisition proof</x:v>
      </x:c>
      <x:c r="R694" s="2" t="str">
        <x:v>legacy epoch_status=observed; not exact acquisition proof</x:v>
      </x:c>
      <x:c r="S694" s="2" t="str">
        <x:v>historical source estimate</x:v>
      </x:c>
      <x:c r="T694" s="2" t="str">
        <x:v>historical source estimate</x:v>
      </x:c>
      <x:c r="U694" s="2" t="str">
        <x:v>GFA growth versus source physical quantity growth; constant conversion required for equality</x:v>
      </x:c>
      <x:c r="V694" s="2" t="str">
        <x:v>Historical horizontal endpoint trend already used by v16</x:v>
      </x:c>
      <x:c r="W694" s="2" t="str">
        <x:v>https://human-settlement.emergency.copernicus.eu/ghs_buS2023.php</x:v>
      </x:c>
    </x:row>
    <x:row r="695" ht="23" customHeight="1">
      <x:c r="A695" s="2" t="str">
        <x:v>LSO</x:v>
      </x:c>
      <x:c r="B695" s="2" t="str">
        <x:v>Lesotho (Kingdom of)</x:v>
      </x:c>
      <x:c r="C695" s="2" t="str">
        <x:v>GHSL_SURFACE</x:v>
      </x:c>
      <x:c r="D695" s="2" t="n">
        <x:v>2015</x:v>
      </x:c>
      <x:c r="E695" s="2" t="n">
        <x:v>2020</x:v>
      </x:c>
      <x:c r="F695" s="17" t="n">
        <x:v>50326429.45555801</x:v>
      </x:c>
      <x:c r="G695" s="17" t="n">
        <x:v>60655167.15000007</x:v>
      </x:c>
      <x:c r="H695" s="17" t="n">
        <x:v>175313067</x:v>
      </x:c>
      <x:c r="I695" s="17" t="n">
        <x:v>209647362</x:v>
      </x:c>
      <x:c r="J695" s="2" t="str">
        <x:v>m2</x:v>
      </x:c>
      <x:c r="K695" s="15" t="n">
        <x:f>IF(AND(ISNUMBER(F695),ISNUMBER(G695),F695&gt;0),G695/F695-1,"n.a.")</x:f>
        <x:v>0.2052348598178042</x:v>
      </x:c>
      <x:c r="L695" s="15" t="n">
        <x:f>IF(AND(N695,ISNUMBER(H695),ISNUMBER(I695),H695&gt;0),I695/H695-1,"n.a.")</x:f>
        <x:v>0.19584561258060695</x:v>
      </x:c>
      <x:c r="M695" s="20" t="n">
        <x:f>IF(AND(ISNUMBER(K695),ISNUMBER(L695)),100*(K695-L695),"n.a.")</x:f>
        <x:v>0.9389247237197251</x:v>
      </x:c>
      <x:c r="N695" s="13" t="b">
        <x:v>1</x:v>
      </x:c>
      <x:c r="O695" s="13" t="b">
        <x:v>1</x:v>
      </x:c>
      <x:c r="P695" s="13" t="b">
        <x:v>0</x:v>
      </x:c>
      <x:c r="Q695" s="2" t="str">
        <x:v>legacy epoch_status=observed; not exact acquisition proof</x:v>
      </x:c>
      <x:c r="R695" s="2" t="str">
        <x:v>legacy epoch_status=observed; not exact acquisition proof</x:v>
      </x:c>
      <x:c r="S695" s="2" t="str">
        <x:v>historical source estimate</x:v>
      </x:c>
      <x:c r="T695" s="2" t="str">
        <x:v>historical source estimate</x:v>
      </x:c>
      <x:c r="U695" s="2" t="str">
        <x:v>GFA growth versus source physical quantity growth; constant conversion required for equality</x:v>
      </x:c>
      <x:c r="V695" s="2" t="str">
        <x:v>Historical horizontal endpoint trend already used by v16</x:v>
      </x:c>
      <x:c r="W695" s="2" t="str">
        <x:v>https://human-settlement.emergency.copernicus.eu/ghs_buS2023.php</x:v>
      </x:c>
    </x:row>
    <x:row r="696" ht="23" customHeight="1">
      <x:c r="A696" s="2" t="str">
        <x:v>LTU</x:v>
      </x:c>
      <x:c r="B696" s="2" t="str">
        <x:v>Lithuania (Republic of)</x:v>
      </x:c>
      <x:c r="C696" s="2" t="str">
        <x:v>GHSL_SURFACE</x:v>
      </x:c>
      <x:c r="D696" s="2" t="n">
        <x:v>2015</x:v>
      </x:c>
      <x:c r="E696" s="2" t="n">
        <x:v>2020</x:v>
      </x:c>
      <x:c r="F696" s="17" t="n">
        <x:v>256994964.96758032</x:v>
      </x:c>
      <x:c r="G696" s="17" t="n">
        <x:v>269070067.6199997</x:v>
      </x:c>
      <x:c r="H696" s="17" t="n">
        <x:v>454888218</x:v>
      </x:c>
      <x:c r="I696" s="17" t="n">
        <x:v>476242331</x:v>
      </x:c>
      <x:c r="J696" s="2" t="str">
        <x:v>m2</x:v>
      </x:c>
      <x:c r="K696" s="15" t="n">
        <x:f>IF(AND(ISNUMBER(F696),ISNUMBER(G696),F696&gt;0),G696/F696-1,"n.a.")</x:f>
        <x:v>0.04698575574794872</x:v>
      </x:c>
      <x:c r="L696" s="15" t="n">
        <x:f>IF(AND(N696,ISNUMBER(H696),ISNUMBER(I696),H696&gt;0),I696/H696-1,"n.a.")</x:f>
        <x:v>0.04694364935167439</x:v>
      </x:c>
      <x:c r="M696" s="20" t="n">
        <x:f>IF(AND(ISNUMBER(K696),ISNUMBER(L696)),100*(K696-L696),"n.a.")</x:f>
        <x:v>0.004210639627433288</x:v>
      </x:c>
      <x:c r="N696" s="13" t="b">
        <x:v>1</x:v>
      </x:c>
      <x:c r="O696" s="13" t="b">
        <x:v>1</x:v>
      </x:c>
      <x:c r="P696" s="13" t="b">
        <x:v>0</x:v>
      </x:c>
      <x:c r="Q696" s="2" t="str">
        <x:v>legacy epoch_status=observed; not exact acquisition proof</x:v>
      </x:c>
      <x:c r="R696" s="2" t="str">
        <x:v>legacy epoch_status=observed; not exact acquisition proof</x:v>
      </x:c>
      <x:c r="S696" s="2" t="str">
        <x:v>historical source estimate</x:v>
      </x:c>
      <x:c r="T696" s="2" t="str">
        <x:v>historical source estimate</x:v>
      </x:c>
      <x:c r="U696" s="2" t="str">
        <x:v>GFA growth versus source physical quantity growth; constant conversion required for equality</x:v>
      </x:c>
      <x:c r="V696" s="2" t="str">
        <x:v>Historical horizontal endpoint trend already used by v16</x:v>
      </x:c>
      <x:c r="W696" s="2" t="str">
        <x:v>https://human-settlement.emergency.copernicus.eu/ghs_buS2023.php</x:v>
      </x:c>
    </x:row>
    <x:row r="697" ht="23" customHeight="1">
      <x:c r="A697" s="2" t="str">
        <x:v>LUX</x:v>
      </x:c>
      <x:c r="B697" s="2" t="str">
        <x:v>Luxembourg (Grand Duchy of)</x:v>
      </x:c>
      <x:c r="C697" s="2" t="str">
        <x:v>GHSL_SURFACE</x:v>
      </x:c>
      <x:c r="D697" s="2" t="n">
        <x:v>2015</x:v>
      </x:c>
      <x:c r="E697" s="2" t="n">
        <x:v>2020</x:v>
      </x:c>
      <x:c r="F697" s="17" t="n">
        <x:v>45518478.90477848</x:v>
      </x:c>
      <x:c r="G697" s="17" t="n">
        <x:v>49053600.56000002</x:v>
      </x:c>
      <x:c r="H697" s="17" t="n">
        <x:v>63202814</x:v>
      </x:c>
      <x:c r="I697" s="17" t="n">
        <x:v>67500481</x:v>
      </x:c>
      <x:c r="J697" s="2" t="str">
        <x:v>m2</x:v>
      </x:c>
      <x:c r="K697" s="15" t="n">
        <x:f>IF(AND(ISNUMBER(F697),ISNUMBER(G697),F697&gt;0),G697/F697-1,"n.a.")</x:f>
        <x:v>0.07766343999800096</x:v>
      </x:c>
      <x:c r="L697" s="15" t="n">
        <x:f>IF(AND(N697,ISNUMBER(H697),ISNUMBER(I697),H697&gt;0),I697/H697-1,"n.a.")</x:f>
        <x:v>0.06799803249266723</x:v>
      </x:c>
      <x:c r="M697" s="20" t="n">
        <x:f>IF(AND(ISNUMBER(K697),ISNUMBER(L697)),100*(K697-L697),"n.a.")</x:f>
        <x:v>0.9665407505333734</x:v>
      </x:c>
      <x:c r="N697" s="13" t="b">
        <x:v>1</x:v>
      </x:c>
      <x:c r="O697" s="13" t="b">
        <x:v>1</x:v>
      </x:c>
      <x:c r="P697" s="13" t="b">
        <x:v>0</x:v>
      </x:c>
      <x:c r="Q697" s="2" t="str">
        <x:v>legacy epoch_status=observed; not exact acquisition proof</x:v>
      </x:c>
      <x:c r="R697" s="2" t="str">
        <x:v>legacy epoch_status=observed; not exact acquisition proof</x:v>
      </x:c>
      <x:c r="S697" s="2" t="str">
        <x:v>historical source estimate</x:v>
      </x:c>
      <x:c r="T697" s="2" t="str">
        <x:v>historical source estimate</x:v>
      </x:c>
      <x:c r="U697" s="2" t="str">
        <x:v>GFA growth versus source physical quantity growth; constant conversion required for equality</x:v>
      </x:c>
      <x:c r="V697" s="2" t="str">
        <x:v>Historical horizontal endpoint trend already used by v16</x:v>
      </x:c>
      <x:c r="W697" s="2" t="str">
        <x:v>https://human-settlement.emergency.copernicus.eu/ghs_buS2023.php</x:v>
      </x:c>
    </x:row>
    <x:row r="698" ht="23" customHeight="1">
      <x:c r="A698" s="2" t="str">
        <x:v>LVA</x:v>
      </x:c>
      <x:c r="B698" s="2" t="str">
        <x:v>Latvia (Republic of)</x:v>
      </x:c>
      <x:c r="C698" s="2" t="str">
        <x:v>GHSL_SURFACE</x:v>
      </x:c>
      <x:c r="D698" s="2" t="n">
        <x:v>2015</x:v>
      </x:c>
      <x:c r="E698" s="2" t="n">
        <x:v>2020</x:v>
      </x:c>
      <x:c r="F698" s="17" t="n">
        <x:v>140683330.01405793</x:v>
      </x:c>
      <x:c r="G698" s="17" t="n">
        <x:v>145154805.1899999</x:v>
      </x:c>
      <x:c r="H698" s="17" t="n">
        <x:v>246085727</x:v>
      </x:c>
      <x:c r="I698" s="17" t="n">
        <x:v>254085901</x:v>
      </x:c>
      <x:c r="J698" s="2" t="str">
        <x:v>m2</x:v>
      </x:c>
      <x:c r="K698" s="15" t="n">
        <x:f>IF(AND(ISNUMBER(F698),ISNUMBER(G698),F698&gt;0),G698/F698-1,"n.a.")</x:f>
        <x:v>0.031783973094005935</x:v>
      </x:c>
      <x:c r="L698" s="15" t="n">
        <x:f>IF(AND(N698,ISNUMBER(H698),ISNUMBER(I698),H698&gt;0),I698/H698-1,"n.a.")</x:f>
        <x:v>0.03250970341729742</x:v>
      </x:c>
      <x:c r="M698" s="20" t="n">
        <x:f>IF(AND(ISNUMBER(K698),ISNUMBER(L698)),100*(K698-L698),"n.a.")</x:f>
        <x:v>-0.07257303232914847</x:v>
      </x:c>
      <x:c r="N698" s="13" t="b">
        <x:v>1</x:v>
      </x:c>
      <x:c r="O698" s="13" t="b">
        <x:v>1</x:v>
      </x:c>
      <x:c r="P698" s="13" t="b">
        <x:v>0</x:v>
      </x:c>
      <x:c r="Q698" s="2" t="str">
        <x:v>legacy epoch_status=observed; not exact acquisition proof</x:v>
      </x:c>
      <x:c r="R698" s="2" t="str">
        <x:v>legacy epoch_status=observed; not exact acquisition proof</x:v>
      </x:c>
      <x:c r="S698" s="2" t="str">
        <x:v>historical source estimate</x:v>
      </x:c>
      <x:c r="T698" s="2" t="str">
        <x:v>historical source estimate</x:v>
      </x:c>
      <x:c r="U698" s="2" t="str">
        <x:v>GFA growth versus source physical quantity growth; constant conversion required for equality</x:v>
      </x:c>
      <x:c r="V698" s="2" t="str">
        <x:v>Historical horizontal endpoint trend already used by v16</x:v>
      </x:c>
      <x:c r="W698" s="2" t="str">
        <x:v>https://human-settlement.emergency.copernicus.eu/ghs_buS2023.php</x:v>
      </x:c>
    </x:row>
    <x:row r="699" ht="23" customHeight="1">
      <x:c r="A699" s="2" t="str">
        <x:v>MAR</x:v>
      </x:c>
      <x:c r="B699" s="2" t="str">
        <x:v>Morocco (Kingdom of)</x:v>
      </x:c>
      <x:c r="C699" s="2" t="str">
        <x:v>GHSL_SURFACE</x:v>
      </x:c>
      <x:c r="D699" s="2" t="n">
        <x:v>2015</x:v>
      </x:c>
      <x:c r="E699" s="2" t="n">
        <x:v>2020</x:v>
      </x:c>
      <x:c r="F699" s="17" t="n">
        <x:v>1142910844.8265724</x:v>
      </x:c>
      <x:c r="G699" s="17" t="n">
        <x:v>1247018524.7000012</x:v>
      </x:c>
      <x:c r="H699" s="17" t="n">
        <x:v>761367955</x:v>
      </x:c>
      <x:c r="I699" s="17" t="n">
        <x:v>824943110</x:v>
      </x:c>
      <x:c r="J699" s="2" t="str">
        <x:v>m2</x:v>
      </x:c>
      <x:c r="K699" s="15" t="n">
        <x:f>IF(AND(ISNUMBER(F699),ISNUMBER(G699),F699&gt;0),G699/F699-1,"n.a.")</x:f>
        <x:v>0.09108993964374035</x:v>
      </x:c>
      <x:c r="L699" s="15" t="n">
        <x:f>IF(AND(N699,ISNUMBER(H699),ISNUMBER(I699),H699&gt;0),I699/H699-1,"n.a.")</x:f>
        <x:v>0.08350122248052849</x:v>
      </x:c>
      <x:c r="M699" s="20" t="n">
        <x:f>IF(AND(ISNUMBER(K699),ISNUMBER(L699)),100*(K699-L699),"n.a.")</x:f>
        <x:v>0.7588717163211856</x:v>
      </x:c>
      <x:c r="N699" s="13" t="b">
        <x:v>1</x:v>
      </x:c>
      <x:c r="O699" s="13" t="b">
        <x:v>1</x:v>
      </x:c>
      <x:c r="P699" s="13" t="b">
        <x:v>0</x:v>
      </x:c>
      <x:c r="Q699" s="2" t="str">
        <x:v>legacy epoch_status=observed; not exact acquisition proof</x:v>
      </x:c>
      <x:c r="R699" s="2" t="str">
        <x:v>legacy epoch_status=observed; not exact acquisition proof</x:v>
      </x:c>
      <x:c r="S699" s="2" t="str">
        <x:v>historical source estimate</x:v>
      </x:c>
      <x:c r="T699" s="2" t="str">
        <x:v>historical source estimate</x:v>
      </x:c>
      <x:c r="U699" s="2" t="str">
        <x:v>GFA growth versus source physical quantity growth; constant conversion required for equality</x:v>
      </x:c>
      <x:c r="V699" s="2" t="str">
        <x:v>Historical horizontal endpoint trend already used by v16</x:v>
      </x:c>
      <x:c r="W699" s="2" t="str">
        <x:v>https://human-settlement.emergency.copernicus.eu/ghs_buS2023.php</x:v>
      </x:c>
    </x:row>
    <x:row r="700" ht="23" customHeight="1">
      <x:c r="A700" s="2" t="str">
        <x:v>MCO</x:v>
      </x:c>
      <x:c r="B700" s="2" t="str">
        <x:v>Monaco (Principality of)</x:v>
      </x:c>
      <x:c r="C700" s="2" t="str">
        <x:v>GHSL_SURFACE</x:v>
      </x:c>
      <x:c r="D700" s="2" t="n">
        <x:v>2015</x:v>
      </x:c>
      <x:c r="E700" s="2" t="n">
        <x:v>2020</x:v>
      </x:c>
      <x:c r="F700" s="17" t="n">
        <x:v>1552878.5574787627</x:v>
      </x:c>
      <x:c r="G700" s="17" t="n">
        <x:v>1563267.7900000005</x:v>
      </x:c>
      <x:c r="H700" s="17" t="n">
        <x:v>496183</x:v>
      </x:c>
      <x:c r="I700" s="17" t="n">
        <x:v>496930</x:v>
      </x:c>
      <x:c r="J700" s="2" t="str">
        <x:v>m2</x:v>
      </x:c>
      <x:c r="K700" s="15" t="n">
        <x:f>IF(AND(ISNUMBER(F700),ISNUMBER(G700),F700&gt;0),G700/F700-1,"n.a.")</x:f>
        <x:v>0.006690305865325152</x:v>
      </x:c>
      <x:c r="L700" s="15" t="n">
        <x:f>IF(AND(N700,ISNUMBER(H700),ISNUMBER(I700),H700&gt;0),I700/H700-1,"n.a.")</x:f>
        <x:v>0.0015054929330509115</x:v>
      </x:c>
      <x:c r="M700" s="20" t="n">
        <x:f>IF(AND(ISNUMBER(K700),ISNUMBER(L700)),100*(K700-L700),"n.a.")</x:f>
        <x:v>0.5184812932274241</x:v>
      </x:c>
      <x:c r="N700" s="13" t="b">
        <x:v>1</x:v>
      </x:c>
      <x:c r="O700" s="13" t="b">
        <x:v>1</x:v>
      </x:c>
      <x:c r="P700" s="13" t="b">
        <x:v>0</x:v>
      </x:c>
      <x:c r="Q700" s="2" t="str">
        <x:v>legacy epoch_status=observed; not exact acquisition proof</x:v>
      </x:c>
      <x:c r="R700" s="2" t="str">
        <x:v>legacy epoch_status=observed; not exact acquisition proof</x:v>
      </x:c>
      <x:c r="S700" s="2" t="str">
        <x:v>historical source estimate</x:v>
      </x:c>
      <x:c r="T700" s="2" t="str">
        <x:v>historical source estimate</x:v>
      </x:c>
      <x:c r="U700" s="2" t="str">
        <x:v>GFA growth versus source physical quantity growth; constant conversion required for equality</x:v>
      </x:c>
      <x:c r="V700" s="2" t="str">
        <x:v>Historical horizontal endpoint trend already used by v16</x:v>
      </x:c>
      <x:c r="W700" s="2" t="str">
        <x:v>https://human-settlement.emergency.copernicus.eu/ghs_buS2023.php</x:v>
      </x:c>
    </x:row>
    <x:row r="701" ht="23" customHeight="1">
      <x:c r="A701" s="2" t="str">
        <x:v>MDA</x:v>
      </x:c>
      <x:c r="B701" s="2" t="str">
        <x:v>Moldova (Republic of)</x:v>
      </x:c>
      <x:c r="C701" s="2" t="str">
        <x:v>GHSL_SURFACE</x:v>
      </x:c>
      <x:c r="D701" s="2" t="n">
        <x:v>2015</x:v>
      </x:c>
      <x:c r="E701" s="2" t="n">
        <x:v>2020</x:v>
      </x:c>
      <x:c r="F701" s="17" t="n">
        <x:v>247909213.73238635</x:v>
      </x:c>
      <x:c r="G701" s="17" t="n">
        <x:v>254566854.8299996</x:v>
      </x:c>
      <x:c r="H701" s="17" t="n">
        <x:v>475021563</x:v>
      </x:c>
      <x:c r="I701" s="17" t="n">
        <x:v>488101078</x:v>
      </x:c>
      <x:c r="J701" s="2" t="str">
        <x:v>m2</x:v>
      </x:c>
      <x:c r="K701" s="15" t="n">
        <x:f>IF(AND(ISNUMBER(F701),ISNUMBER(G701),F701&gt;0),G701/F701-1,"n.a.")</x:f>
        <x:v>0.026855157972466737</x:v>
      </x:c>
      <x:c r="L701" s="15" t="n">
        <x:f>IF(AND(N701,ISNUMBER(H701),ISNUMBER(I701),H701&gt;0),I701/H701-1,"n.a.")</x:f>
        <x:v>0.027534571099038674</x:v>
      </x:c>
      <x:c r="M701" s="20" t="n">
        <x:f>IF(AND(ISNUMBER(K701),ISNUMBER(L701)),100*(K701-L701),"n.a.")</x:f>
        <x:v>-0.06794131265719372</x:v>
      </x:c>
      <x:c r="N701" s="13" t="b">
        <x:v>1</x:v>
      </x:c>
      <x:c r="O701" s="13" t="b">
        <x:v>1</x:v>
      </x:c>
      <x:c r="P701" s="13" t="b">
        <x:v>0</x:v>
      </x:c>
      <x:c r="Q701" s="2" t="str">
        <x:v>legacy epoch_status=observed; not exact acquisition proof</x:v>
      </x:c>
      <x:c r="R701" s="2" t="str">
        <x:v>legacy epoch_status=observed; not exact acquisition proof</x:v>
      </x:c>
      <x:c r="S701" s="2" t="str">
        <x:v>historical source estimate</x:v>
      </x:c>
      <x:c r="T701" s="2" t="str">
        <x:v>historical source estimate</x:v>
      </x:c>
      <x:c r="U701" s="2" t="str">
        <x:v>GFA growth versus source physical quantity growth; constant conversion required for equality</x:v>
      </x:c>
      <x:c r="V701" s="2" t="str">
        <x:v>Historical horizontal endpoint trend already used by v16</x:v>
      </x:c>
      <x:c r="W701" s="2" t="str">
        <x:v>https://human-settlement.emergency.copernicus.eu/ghs_buS2023.php</x:v>
      </x:c>
    </x:row>
    <x:row r="702" ht="23" customHeight="1">
      <x:c r="A702" s="2" t="str">
        <x:v>MDG</x:v>
      </x:c>
      <x:c r="B702" s="2" t="str">
        <x:v>Madagascar (Republic of)</x:v>
      </x:c>
      <x:c r="C702" s="2" t="str">
        <x:v>GHSL_SURFACE</x:v>
      </x:c>
      <x:c r="D702" s="2" t="n">
        <x:v>2015</x:v>
      </x:c>
      <x:c r="E702" s="2" t="n">
        <x:v>2020</x:v>
      </x:c>
      <x:c r="F702" s="17" t="n">
        <x:v>317984451.7483883</x:v>
      </x:c>
      <x:c r="G702" s="17" t="n">
        <x:v>360823089.7999994</x:v>
      </x:c>
      <x:c r="H702" s="17" t="n">
        <x:v>711857481</x:v>
      </x:c>
      <x:c r="I702" s="17" t="n">
        <x:v>801040226</x:v>
      </x:c>
      <x:c r="J702" s="2" t="str">
        <x:v>m2</x:v>
      </x:c>
      <x:c r="K702" s="15" t="n">
        <x:f>IF(AND(ISNUMBER(F702),ISNUMBER(G702),F702&gt;0),G702/F702-1,"n.a.")</x:f>
        <x:v>0.13471928522312804</x:v>
      </x:c>
      <x:c r="L702" s="15" t="n">
        <x:f>IF(AND(N702,ISNUMBER(H702),ISNUMBER(I702),H702&gt;0),I702/H702-1,"n.a.")</x:f>
        <x:v>0.125281741613108</x:v>
      </x:c>
      <x:c r="M702" s="20" t="n">
        <x:f>IF(AND(ISNUMBER(K702),ISNUMBER(L702)),100*(K702-L702),"n.a.")</x:f>
        <x:v>0.9437543610020027</x:v>
      </x:c>
      <x:c r="N702" s="13" t="b">
        <x:v>1</x:v>
      </x:c>
      <x:c r="O702" s="13" t="b">
        <x:v>1</x:v>
      </x:c>
      <x:c r="P702" s="13" t="b">
        <x:v>0</x:v>
      </x:c>
      <x:c r="Q702" s="2" t="str">
        <x:v>legacy epoch_status=observed; not exact acquisition proof</x:v>
      </x:c>
      <x:c r="R702" s="2" t="str">
        <x:v>legacy epoch_status=observed; not exact acquisition proof</x:v>
      </x:c>
      <x:c r="S702" s="2" t="str">
        <x:v>historical source estimate</x:v>
      </x:c>
      <x:c r="T702" s="2" t="str">
        <x:v>historical source estimate</x:v>
      </x:c>
      <x:c r="U702" s="2" t="str">
        <x:v>GFA growth versus source physical quantity growth; constant conversion required for equality</x:v>
      </x:c>
      <x:c r="V702" s="2" t="str">
        <x:v>Historical horizontal endpoint trend already used by v16</x:v>
      </x:c>
      <x:c r="W702" s="2" t="str">
        <x:v>https://human-settlement.emergency.copernicus.eu/ghs_buS2023.php</x:v>
      </x:c>
    </x:row>
    <x:row r="703" ht="23" customHeight="1">
      <x:c r="A703" s="2" t="str">
        <x:v>MDV</x:v>
      </x:c>
      <x:c r="B703" s="2" t="str">
        <x:v>Maldives (Republic of)</x:v>
      </x:c>
      <x:c r="C703" s="2" t="str">
        <x:v>GHSL_SURFACE</x:v>
      </x:c>
      <x:c r="D703" s="2" t="n">
        <x:v>2015</x:v>
      </x:c>
      <x:c r="E703" s="2" t="n">
        <x:v>2020</x:v>
      </x:c>
      <x:c r="F703" s="17" t="n">
        <x:v>2180948.3287212565</x:v>
      </x:c>
      <x:c r="G703" s="17" t="n">
        <x:v>2206666.830000001</x:v>
      </x:c>
      <x:c r="H703" s="17" t="n">
        <x:v>956184</x:v>
      </x:c>
      <x:c r="I703" s="17" t="n">
        <x:v>958826</x:v>
      </x:c>
      <x:c r="J703" s="2" t="str">
        <x:v>m2</x:v>
      </x:c>
      <x:c r="K703" s="15" t="n">
        <x:f>IF(AND(ISNUMBER(F703),ISNUMBER(G703),F703&gt;0),G703/F703-1,"n.a.")</x:f>
        <x:v>0.011792347824133964</x:v>
      </x:c>
      <x:c r="L703" s="15" t="n">
        <x:f>IF(AND(N703,ISNUMBER(H703),ISNUMBER(I703),H703&gt;0),I703/H703-1,"n.a.")</x:f>
        <x:v>0.0027630665227613704</x:v>
      </x:c>
      <x:c r="M703" s="20" t="n">
        <x:f>IF(AND(ISNUMBER(K703),ISNUMBER(L703)),100*(K703-L703),"n.a.")</x:f>
        <x:v>0.9029281301372594</x:v>
      </x:c>
      <x:c r="N703" s="13" t="b">
        <x:v>1</x:v>
      </x:c>
      <x:c r="O703" s="13" t="b">
        <x:v>1</x:v>
      </x:c>
      <x:c r="P703" s="13" t="b">
        <x:v>0</x:v>
      </x:c>
      <x:c r="Q703" s="2" t="str">
        <x:v>legacy epoch_status=observed; not exact acquisition proof</x:v>
      </x:c>
      <x:c r="R703" s="2" t="str">
        <x:v>legacy epoch_status=observed; not exact acquisition proof</x:v>
      </x:c>
      <x:c r="S703" s="2" t="str">
        <x:v>historical source estimate</x:v>
      </x:c>
      <x:c r="T703" s="2" t="str">
        <x:v>historical source estimate</x:v>
      </x:c>
      <x:c r="U703" s="2" t="str">
        <x:v>GFA growth versus source physical quantity growth; constant conversion required for equality</x:v>
      </x:c>
      <x:c r="V703" s="2" t="str">
        <x:v>Historical horizontal endpoint trend already used by v16</x:v>
      </x:c>
      <x:c r="W703" s="2" t="str">
        <x:v>https://human-settlement.emergency.copernicus.eu/ghs_buS2023.php</x:v>
      </x:c>
    </x:row>
    <x:row r="704" ht="23" customHeight="1">
      <x:c r="A704" s="2" t="str">
        <x:v>MEX</x:v>
      </x:c>
      <x:c r="B704" s="2" t="str">
        <x:v>Mexico (United Mexican States)</x:v>
      </x:c>
      <x:c r="C704" s="2" t="str">
        <x:v>GHSL_SURFACE</x:v>
      </x:c>
      <x:c r="D704" s="2" t="n">
        <x:v>2015</x:v>
      </x:c>
      <x:c r="E704" s="2" t="n">
        <x:v>2020</x:v>
      </x:c>
      <x:c r="F704" s="17" t="n">
        <x:v>5563232285.719894</x:v>
      </x:c>
      <x:c r="G704" s="17" t="n">
        <x:v>6345872319.039995</x:v>
      </x:c>
      <x:c r="H704" s="17" t="n">
        <x:v>8588573761</x:v>
      </x:c>
      <x:c r="I704" s="17" t="n">
        <x:v>9735626157</x:v>
      </x:c>
      <x:c r="J704" s="2" t="str">
        <x:v>m2</x:v>
      </x:c>
      <x:c r="K704" s="15" t="n">
        <x:f>IF(AND(ISNUMBER(F704),ISNUMBER(G704),F704&gt;0),G704/F704-1,"n.a.")</x:f>
        <x:v>0.14068081164416557</x:v>
      </x:c>
      <x:c r="L704" s="15" t="n">
        <x:f>IF(AND(N704,ISNUMBER(H704),ISNUMBER(I704),H704&gt;0),I704/H704-1,"n.a.")</x:f>
        <x:v>0.13355563192676634</x:v>
      </x:c>
      <x:c r="M704" s="20" t="n">
        <x:f>IF(AND(ISNUMBER(K704),ISNUMBER(L704)),100*(K704-L704),"n.a.")</x:f>
        <x:v>0.7125179717399233</x:v>
      </x:c>
      <x:c r="N704" s="13" t="b">
        <x:v>1</x:v>
      </x:c>
      <x:c r="O704" s="13" t="b">
        <x:v>1</x:v>
      </x:c>
      <x:c r="P704" s="13" t="b">
        <x:v>0</x:v>
      </x:c>
      <x:c r="Q704" s="2" t="str">
        <x:v>legacy epoch_status=observed; not exact acquisition proof</x:v>
      </x:c>
      <x:c r="R704" s="2" t="str">
        <x:v>legacy epoch_status=observed; not exact acquisition proof</x:v>
      </x:c>
      <x:c r="S704" s="2" t="str">
        <x:v>historical source estimate</x:v>
      </x:c>
      <x:c r="T704" s="2" t="str">
        <x:v>historical source estimate</x:v>
      </x:c>
      <x:c r="U704" s="2" t="str">
        <x:v>GFA growth versus source physical quantity growth; constant conversion required for equality</x:v>
      </x:c>
      <x:c r="V704" s="2" t="str">
        <x:v>Historical horizontal endpoint trend already used by v16</x:v>
      </x:c>
      <x:c r="W704" s="2" t="str">
        <x:v>https://human-settlement.emergency.copernicus.eu/ghs_buS2023.php</x:v>
      </x:c>
    </x:row>
    <x:row r="705" ht="23" customHeight="1">
      <x:c r="A705" s="2" t="str">
        <x:v>MHL</x:v>
      </x:c>
      <x:c r="B705" s="2" t="str">
        <x:v>Marshall Islands (Republic of the)</x:v>
      </x:c>
      <x:c r="C705" s="2" t="str">
        <x:v>GHSL_SURFACE</x:v>
      </x:c>
      <x:c r="D705" s="2" t="n">
        <x:v>2015</x:v>
      </x:c>
      <x:c r="E705" s="2" t="n">
        <x:v>2020</x:v>
      </x:c>
      <x:c r="F705" s="17" t="n">
        <x:v>195648.419756377</x:v>
      </x:c>
      <x:c r="G705" s="17" t="n">
        <x:v>198896.74</x:v>
      </x:c>
      <x:c r="H705" s="17" t="n">
        <x:v>465793</x:v>
      </x:c>
      <x:c r="I705" s="17" t="n">
        <x:v>474231</x:v>
      </x:c>
      <x:c r="J705" s="2" t="str">
        <x:v>m2</x:v>
      </x:c>
      <x:c r="K705" s="15" t="n">
        <x:f>IF(AND(ISNUMBER(F705),ISNUMBER(G705),F705&gt;0),G705/F705-1,"n.a.")</x:f>
        <x:v>0.01660284426354086</x:v>
      </x:c>
      <x:c r="L705" s="15" t="n">
        <x:f>IF(AND(N705,ISNUMBER(H705),ISNUMBER(I705),H705&gt;0),I705/H705-1,"n.a.")</x:f>
        <x:v>0.018115343081583468</x:v>
      </x:c>
      <x:c r="M705" s="20" t="n">
        <x:f>IF(AND(ISNUMBER(K705),ISNUMBER(L705)),100*(K705-L705),"n.a.")</x:f>
        <x:v>-0.1512498818042607</x:v>
      </x:c>
      <x:c r="N705" s="13" t="b">
        <x:v>1</x:v>
      </x:c>
      <x:c r="O705" s="13" t="b">
        <x:v>1</x:v>
      </x:c>
      <x:c r="P705" s="13" t="b">
        <x:v>0</x:v>
      </x:c>
      <x:c r="Q705" s="2" t="str">
        <x:v>legacy epoch_status=observed; not exact acquisition proof</x:v>
      </x:c>
      <x:c r="R705" s="2" t="str">
        <x:v>legacy epoch_status=observed; not exact acquisition proof</x:v>
      </x:c>
      <x:c r="S705" s="2" t="str">
        <x:v>historical source estimate</x:v>
      </x:c>
      <x:c r="T705" s="2" t="str">
        <x:v>historical source estimate</x:v>
      </x:c>
      <x:c r="U705" s="2" t="str">
        <x:v>GFA growth versus source physical quantity growth; constant conversion required for equality</x:v>
      </x:c>
      <x:c r="V705" s="2" t="str">
        <x:v>Historical horizontal endpoint trend already used by v16</x:v>
      </x:c>
      <x:c r="W705" s="2" t="str">
        <x:v>https://human-settlement.emergency.copernicus.eu/ghs_buS2023.php</x:v>
      </x:c>
    </x:row>
    <x:row r="706" ht="23" customHeight="1">
      <x:c r="A706" s="2" t="str">
        <x:v>MKD</x:v>
      </x:c>
      <x:c r="B706" s="2" t="str">
        <x:v>North Macedonia (Republic of)</x:v>
      </x:c>
      <x:c r="C706" s="2" t="str">
        <x:v>GHSL_SURFACE</x:v>
      </x:c>
      <x:c r="D706" s="2" t="n">
        <x:v>2015</x:v>
      </x:c>
      <x:c r="E706" s="2" t="n">
        <x:v>2020</x:v>
      </x:c>
      <x:c r="F706" s="17" t="n">
        <x:v>114316435.8808353</x:v>
      </x:c>
      <x:c r="G706" s="17" t="n">
        <x:v>122189801.58999982</x:v>
      </x:c>
      <x:c r="H706" s="17" t="n">
        <x:v>165039080</x:v>
      </x:c>
      <x:c r="I706" s="17" t="n">
        <x:v>176181016</x:v>
      </x:c>
      <x:c r="J706" s="2" t="str">
        <x:v>m2</x:v>
      </x:c>
      <x:c r="K706" s="15" t="n">
        <x:f>IF(AND(ISNUMBER(F706),ISNUMBER(G706),F706&gt;0),G706/F706-1,"n.a.")</x:f>
        <x:v>0.06887343581435501</x:v>
      </x:c>
      <x:c r="L706" s="15" t="n">
        <x:f>IF(AND(N706,ISNUMBER(H706),ISNUMBER(I706),H706&gt;0),I706/H706-1,"n.a.")</x:f>
        <x:v>0.0675108949952945</x:v>
      </x:c>
      <x:c r="M706" s="20" t="n">
        <x:f>IF(AND(ISNUMBER(K706),ISNUMBER(L706)),100*(K706-L706),"n.a.")</x:f>
        <x:v>0.13625408190605093</x:v>
      </x:c>
      <x:c r="N706" s="13" t="b">
        <x:v>1</x:v>
      </x:c>
      <x:c r="O706" s="13" t="b">
        <x:v>1</x:v>
      </x:c>
      <x:c r="P706" s="13" t="b">
        <x:v>0</x:v>
      </x:c>
      <x:c r="Q706" s="2" t="str">
        <x:v>legacy epoch_status=observed; not exact acquisition proof</x:v>
      </x:c>
      <x:c r="R706" s="2" t="str">
        <x:v>legacy epoch_status=observed; not exact acquisition proof</x:v>
      </x:c>
      <x:c r="S706" s="2" t="str">
        <x:v>historical source estimate</x:v>
      </x:c>
      <x:c r="T706" s="2" t="str">
        <x:v>historical source estimate</x:v>
      </x:c>
      <x:c r="U706" s="2" t="str">
        <x:v>GFA growth versus source physical quantity growth; constant conversion required for equality</x:v>
      </x:c>
      <x:c r="V706" s="2" t="str">
        <x:v>Historical horizontal endpoint trend already used by v16</x:v>
      </x:c>
      <x:c r="W706" s="2" t="str">
        <x:v>https://human-settlement.emergency.copernicus.eu/ghs_buS2023.php</x:v>
      </x:c>
    </x:row>
    <x:row r="707" ht="23" customHeight="1">
      <x:c r="A707" s="2" t="str">
        <x:v>MLI</x:v>
      </x:c>
      <x:c r="B707" s="2" t="str">
        <x:v>Mali (Republic of)</x:v>
      </x:c>
      <x:c r="C707" s="2" t="str">
        <x:v>GHSL_SURFACE</x:v>
      </x:c>
      <x:c r="D707" s="2" t="n">
        <x:v>2015</x:v>
      </x:c>
      <x:c r="E707" s="2" t="n">
        <x:v>2020</x:v>
      </x:c>
      <x:c r="F707" s="17" t="n">
        <x:v>292905544.7978866</x:v>
      </x:c>
      <x:c r="G707" s="17" t="n">
        <x:v>323707340.7500005</x:v>
      </x:c>
      <x:c r="H707" s="17" t="n">
        <x:v>940612250</x:v>
      </x:c>
      <x:c r="I707" s="17" t="n">
        <x:v>1032871210</x:v>
      </x:c>
      <x:c r="J707" s="2" t="str">
        <x:v>m2</x:v>
      </x:c>
      <x:c r="K707" s="15" t="n">
        <x:f>IF(AND(ISNUMBER(F707),ISNUMBER(G707),F707&gt;0),G707/F707-1,"n.a.")</x:f>
        <x:v>0.10515948400146535</x:v>
      </x:c>
      <x:c r="L707" s="15" t="n">
        <x:f>IF(AND(N707,ISNUMBER(H707),ISNUMBER(I707),H707&gt;0),I707/H707-1,"n.a.")</x:f>
        <x:v>0.0980839447923414</x:v>
      </x:c>
      <x:c r="M707" s="20" t="n">
        <x:f>IF(AND(ISNUMBER(K707),ISNUMBER(L707)),100*(K707-L707),"n.a.")</x:f>
        <x:v>0.707553920912396</x:v>
      </x:c>
      <x:c r="N707" s="13" t="b">
        <x:v>1</x:v>
      </x:c>
      <x:c r="O707" s="13" t="b">
        <x:v>1</x:v>
      </x:c>
      <x:c r="P707" s="13" t="b">
        <x:v>0</x:v>
      </x:c>
      <x:c r="Q707" s="2" t="str">
        <x:v>legacy epoch_status=observed; not exact acquisition proof</x:v>
      </x:c>
      <x:c r="R707" s="2" t="str">
        <x:v>legacy epoch_status=observed; not exact acquisition proof</x:v>
      </x:c>
      <x:c r="S707" s="2" t="str">
        <x:v>historical source estimate</x:v>
      </x:c>
      <x:c r="T707" s="2" t="str">
        <x:v>historical source estimate</x:v>
      </x:c>
      <x:c r="U707" s="2" t="str">
        <x:v>GFA growth versus source physical quantity growth; constant conversion required for equality</x:v>
      </x:c>
      <x:c r="V707" s="2" t="str">
        <x:v>Historical horizontal endpoint trend already used by v16</x:v>
      </x:c>
      <x:c r="W707" s="2" t="str">
        <x:v>https://human-settlement.emergency.copernicus.eu/ghs_buS2023.php</x:v>
      </x:c>
    </x:row>
    <x:row r="708" ht="23" customHeight="1">
      <x:c r="A708" s="2" t="str">
        <x:v>MLT</x:v>
      </x:c>
      <x:c r="B708" s="2" t="str">
        <x:v>Malta (Republic of)</x:v>
      </x:c>
      <x:c r="C708" s="2" t="str">
        <x:v>GHSL_SURFACE</x:v>
      </x:c>
      <x:c r="D708" s="2" t="n">
        <x:v>2015</x:v>
      </x:c>
      <x:c r="E708" s="2" t="n">
        <x:v>2020</x:v>
      </x:c>
      <x:c r="F708" s="17" t="n">
        <x:v>33156469.088490263</x:v>
      </x:c>
      <x:c r="G708" s="17" t="n">
        <x:v>35087387.829999976</x:v>
      </x:c>
      <x:c r="H708" s="17" t="n">
        <x:v>31782608</x:v>
      </x:c>
      <x:c r="I708" s="17" t="n">
        <x:v>33314899</x:v>
      </x:c>
      <x:c r="J708" s="2" t="str">
        <x:v>m2</x:v>
      </x:c>
      <x:c r="K708" s="15" t="n">
        <x:f>IF(AND(ISNUMBER(F708),ISNUMBER(G708),F708&gt;0),G708/F708-1,"n.a.")</x:f>
        <x:v>0.058236561207900106</x:v>
      </x:c>
      <x:c r="L708" s="15" t="n">
        <x:f>IF(AND(N708,ISNUMBER(H708),ISNUMBER(I708),H708&gt;0),I708/H708-1,"n.a.")</x:f>
        <x:v>0.04821161938630092</x:v>
      </x:c>
      <x:c r="M708" s="20" t="n">
        <x:f>IF(AND(ISNUMBER(K708),ISNUMBER(L708)),100*(K708-L708),"n.a.")</x:f>
        <x:v>1.0024941821599187</x:v>
      </x:c>
      <x:c r="N708" s="13" t="b">
        <x:v>1</x:v>
      </x:c>
      <x:c r="O708" s="13" t="b">
        <x:v>1</x:v>
      </x:c>
      <x:c r="P708" s="13" t="b">
        <x:v>0</x:v>
      </x:c>
      <x:c r="Q708" s="2" t="str">
        <x:v>legacy epoch_status=observed; not exact acquisition proof</x:v>
      </x:c>
      <x:c r="R708" s="2" t="str">
        <x:v>legacy epoch_status=observed; not exact acquisition proof</x:v>
      </x:c>
      <x:c r="S708" s="2" t="str">
        <x:v>historical source estimate</x:v>
      </x:c>
      <x:c r="T708" s="2" t="str">
        <x:v>historical source estimate</x:v>
      </x:c>
      <x:c r="U708" s="2" t="str">
        <x:v>GFA growth versus source physical quantity growth; constant conversion required for equality</x:v>
      </x:c>
      <x:c r="V708" s="2" t="str">
        <x:v>Historical horizontal endpoint trend already used by v16</x:v>
      </x:c>
      <x:c r="W708" s="2" t="str">
        <x:v>https://human-settlement.emergency.copernicus.eu/ghs_buS2023.php</x:v>
      </x:c>
    </x:row>
    <x:row r="709" ht="23" customHeight="1">
      <x:c r="A709" s="2" t="str">
        <x:v>MMR</x:v>
      </x:c>
      <x:c r="B709" s="2" t="str">
        <x:v>Myanmar (Republic of the Union of)</x:v>
      </x:c>
      <x:c r="C709" s="2" t="str">
        <x:v>GHSL_SURFACE</x:v>
      </x:c>
      <x:c r="D709" s="2" t="n">
        <x:v>2015</x:v>
      </x:c>
      <x:c r="E709" s="2" t="n">
        <x:v>2020</x:v>
      </x:c>
      <x:c r="F709" s="17" t="n">
        <x:v>1286938747.3309321</x:v>
      </x:c>
      <x:c r="G709" s="17" t="n">
        <x:v>1377164281.6799977</x:v>
      </x:c>
      <x:c r="H709" s="17" t="n">
        <x:v>1145389933</x:v>
      </x:c>
      <x:c r="I709" s="17" t="n">
        <x:v>1218116234</x:v>
      </x:c>
      <x:c r="J709" s="2" t="str">
        <x:v>m2</x:v>
      </x:c>
      <x:c r="K709" s="15" t="n">
        <x:f>IF(AND(ISNUMBER(F709),ISNUMBER(G709),F709&gt;0),G709/F709-1,"n.a.")</x:f>
        <x:v>0.0701086470014134</x:v>
      </x:c>
      <x:c r="L709" s="15" t="n">
        <x:f>IF(AND(N709,ISNUMBER(H709),ISNUMBER(I709),H709&gt;0),I709/H709-1,"n.a.")</x:f>
        <x:v>0.06349479675407621</x:v>
      </x:c>
      <x:c r="M709" s="20" t="n">
        <x:f>IF(AND(ISNUMBER(K709),ISNUMBER(L709)),100*(K709-L709),"n.a.")</x:f>
        <x:v>0.6613850247337183</x:v>
      </x:c>
      <x:c r="N709" s="13" t="b">
        <x:v>1</x:v>
      </x:c>
      <x:c r="O709" s="13" t="b">
        <x:v>1</x:v>
      </x:c>
      <x:c r="P709" s="13" t="b">
        <x:v>0</x:v>
      </x:c>
      <x:c r="Q709" s="2" t="str">
        <x:v>legacy epoch_status=observed; not exact acquisition proof</x:v>
      </x:c>
      <x:c r="R709" s="2" t="str">
        <x:v>legacy epoch_status=observed; not exact acquisition proof</x:v>
      </x:c>
      <x:c r="S709" s="2" t="str">
        <x:v>historical source estimate</x:v>
      </x:c>
      <x:c r="T709" s="2" t="str">
        <x:v>historical source estimate</x:v>
      </x:c>
      <x:c r="U709" s="2" t="str">
        <x:v>GFA growth versus source physical quantity growth; constant conversion required for equality</x:v>
      </x:c>
      <x:c r="V709" s="2" t="str">
        <x:v>Historical horizontal endpoint trend already used by v16</x:v>
      </x:c>
      <x:c r="W709" s="2" t="str">
        <x:v>https://human-settlement.emergency.copernicus.eu/ghs_buS2023.php</x:v>
      </x:c>
    </x:row>
    <x:row r="710" ht="23" customHeight="1">
      <x:c r="A710" s="2" t="str">
        <x:v>MNE</x:v>
      </x:c>
      <x:c r="B710" s="2" t="str">
        <x:v>Montenegro</x:v>
      </x:c>
      <x:c r="C710" s="2" t="str">
        <x:v>GHSL_SURFACE</x:v>
      </x:c>
      <x:c r="D710" s="2" t="n">
        <x:v>2015</x:v>
      </x:c>
      <x:c r="E710" s="2" t="n">
        <x:v>2020</x:v>
      </x:c>
      <x:c r="F710" s="17" t="n">
        <x:v>36534168.559464976</x:v>
      </x:c>
      <x:c r="G710" s="17" t="n">
        <x:v>39447648.85999995</x:v>
      </x:c>
      <x:c r="H710" s="17" t="n">
        <x:v>36538625</x:v>
      </x:c>
      <x:c r="I710" s="17" t="n">
        <x:v>39408936</x:v>
      </x:c>
      <x:c r="J710" s="2" t="str">
        <x:v>m2</x:v>
      </x:c>
      <x:c r="K710" s="15" t="n">
        <x:f>IF(AND(ISNUMBER(F710),ISNUMBER(G710),F710&gt;0),G710/F710-1,"n.a.")</x:f>
        <x:v>0.07974672520035142</x:v>
      </x:c>
      <x:c r="L710" s="15" t="n">
        <x:f>IF(AND(N710,ISNUMBER(H710),ISNUMBER(I710),H710&gt;0),I710/H710-1,"n.a.")</x:f>
        <x:v>0.07855552856737225</x:v>
      </x:c>
      <x:c r="M710" s="20" t="n">
        <x:f>IF(AND(ISNUMBER(K710),ISNUMBER(L710)),100*(K710-L710),"n.a.")</x:f>
        <x:v>0.11911966329791746</x:v>
      </x:c>
      <x:c r="N710" s="13" t="b">
        <x:v>1</x:v>
      </x:c>
      <x:c r="O710" s="13" t="b">
        <x:v>1</x:v>
      </x:c>
      <x:c r="P710" s="13" t="b">
        <x:v>0</x:v>
      </x:c>
      <x:c r="Q710" s="2" t="str">
        <x:v>legacy epoch_status=observed; not exact acquisition proof</x:v>
      </x:c>
      <x:c r="R710" s="2" t="str">
        <x:v>legacy epoch_status=observed; not exact acquisition proof</x:v>
      </x:c>
      <x:c r="S710" s="2" t="str">
        <x:v>historical source estimate</x:v>
      </x:c>
      <x:c r="T710" s="2" t="str">
        <x:v>historical source estimate</x:v>
      </x:c>
      <x:c r="U710" s="2" t="str">
        <x:v>GFA growth versus source physical quantity growth; constant conversion required for equality</x:v>
      </x:c>
      <x:c r="V710" s="2" t="str">
        <x:v>Historical horizontal endpoint trend already used by v16</x:v>
      </x:c>
      <x:c r="W710" s="2" t="str">
        <x:v>https://human-settlement.emergency.copernicus.eu/ghs_buS2023.php</x:v>
      </x:c>
    </x:row>
    <x:row r="711" ht="23" customHeight="1">
      <x:c r="A711" s="2" t="str">
        <x:v>MNG</x:v>
      </x:c>
      <x:c r="B711" s="2" t="str">
        <x:v>Mongolia</x:v>
      </x:c>
      <x:c r="C711" s="2" t="str">
        <x:v>GHSL_SURFACE</x:v>
      </x:c>
      <x:c r="D711" s="2" t="n">
        <x:v>2015</x:v>
      </x:c>
      <x:c r="E711" s="2" t="n">
        <x:v>2020</x:v>
      </x:c>
      <x:c r="F711" s="17" t="n">
        <x:v>80989306.79948433</x:v>
      </x:c>
      <x:c r="G711" s="17" t="n">
        <x:v>83342838.68000013</x:v>
      </x:c>
      <x:c r="H711" s="17" t="n">
        <x:v>157496310</x:v>
      </x:c>
      <x:c r="I711" s="17" t="n">
        <x:v>160908341</x:v>
      </x:c>
      <x:c r="J711" s="2" t="str">
        <x:v>m2</x:v>
      </x:c>
      <x:c r="K711" s="15" t="n">
        <x:f>IF(AND(ISNUMBER(F711),ISNUMBER(G711),F711&gt;0),G711/F711-1,"n.a.")</x:f>
        <x:v>0.029059785464552013</x:v>
      </x:c>
      <x:c r="L711" s="15" t="n">
        <x:f>IF(AND(N711,ISNUMBER(H711),ISNUMBER(I711),H711&gt;0),I711/H711-1,"n.a.")</x:f>
        <x:v>0.02166419645006279</x:v>
      </x:c>
      <x:c r="M711" s="20" t="n">
        <x:f>IF(AND(ISNUMBER(K711),ISNUMBER(L711)),100*(K711-L711),"n.a.")</x:f>
        <x:v>0.7395589014489223</x:v>
      </x:c>
      <x:c r="N711" s="13" t="b">
        <x:v>1</x:v>
      </x:c>
      <x:c r="O711" s="13" t="b">
        <x:v>1</x:v>
      </x:c>
      <x:c r="P711" s="13" t="b">
        <x:v>0</x:v>
      </x:c>
      <x:c r="Q711" s="2" t="str">
        <x:v>legacy epoch_status=observed; not exact acquisition proof</x:v>
      </x:c>
      <x:c r="R711" s="2" t="str">
        <x:v>legacy epoch_status=observed; not exact acquisition proof</x:v>
      </x:c>
      <x:c r="S711" s="2" t="str">
        <x:v>historical source estimate</x:v>
      </x:c>
      <x:c r="T711" s="2" t="str">
        <x:v>historical source estimate</x:v>
      </x:c>
      <x:c r="U711" s="2" t="str">
        <x:v>GFA growth versus source physical quantity growth; constant conversion required for equality</x:v>
      </x:c>
      <x:c r="V711" s="2" t="str">
        <x:v>Historical horizontal endpoint trend already used by v16</x:v>
      </x:c>
      <x:c r="W711" s="2" t="str">
        <x:v>https://human-settlement.emergency.copernicus.eu/ghs_buS2023.php</x:v>
      </x:c>
    </x:row>
    <x:row r="712" ht="23" customHeight="1">
      <x:c r="A712" s="2" t="str">
        <x:v>MOZ</x:v>
      </x:c>
      <x:c r="B712" s="2" t="str">
        <x:v>Mozambique (Republic of)</x:v>
      </x:c>
      <x:c r="C712" s="2" t="str">
        <x:v>GHSL_SURFACE</x:v>
      </x:c>
      <x:c r="D712" s="2" t="n">
        <x:v>2015</x:v>
      </x:c>
      <x:c r="E712" s="2" t="n">
        <x:v>2020</x:v>
      </x:c>
      <x:c r="F712" s="17" t="n">
        <x:v>435532536.29439145</x:v>
      </x:c>
      <x:c r="G712" s="17" t="n">
        <x:v>540811235.5300008</x:v>
      </x:c>
      <x:c r="H712" s="17" t="n">
        <x:v>1572057713</x:v>
      </x:c>
      <x:c r="I712" s="17" t="n">
        <x:v>1936571810</x:v>
      </x:c>
      <x:c r="J712" s="2" t="str">
        <x:v>m2</x:v>
      </x:c>
      <x:c r="K712" s="15" t="n">
        <x:f>IF(AND(ISNUMBER(F712),ISNUMBER(G712),F712&gt;0),G712/F712-1,"n.a.")</x:f>
        <x:v>0.24172407446604138</x:v>
      </x:c>
      <x:c r="L712" s="15" t="n">
        <x:f>IF(AND(N712,ISNUMBER(H712),ISNUMBER(I712),H712&gt;0),I712/H712-1,"n.a.")</x:f>
        <x:v>0.23187068387227838</x:v>
      </x:c>
      <x:c r="M712" s="20" t="n">
        <x:f>IF(AND(ISNUMBER(K712),ISNUMBER(L712)),100*(K712-L712),"n.a.")</x:f>
        <x:v>0.9853390593763001</x:v>
      </x:c>
      <x:c r="N712" s="13" t="b">
        <x:v>1</x:v>
      </x:c>
      <x:c r="O712" s="13" t="b">
        <x:v>1</x:v>
      </x:c>
      <x:c r="P712" s="13" t="b">
        <x:v>0</x:v>
      </x:c>
      <x:c r="Q712" s="2" t="str">
        <x:v>legacy epoch_status=observed; not exact acquisition proof</x:v>
      </x:c>
      <x:c r="R712" s="2" t="str">
        <x:v>legacy epoch_status=observed; not exact acquisition proof</x:v>
      </x:c>
      <x:c r="S712" s="2" t="str">
        <x:v>historical source estimate</x:v>
      </x:c>
      <x:c r="T712" s="2" t="str">
        <x:v>historical source estimate</x:v>
      </x:c>
      <x:c r="U712" s="2" t="str">
        <x:v>GFA growth versus source physical quantity growth; constant conversion required for equality</x:v>
      </x:c>
      <x:c r="V712" s="2" t="str">
        <x:v>Historical horizontal endpoint trend already used by v16</x:v>
      </x:c>
      <x:c r="W712" s="2" t="str">
        <x:v>https://human-settlement.emergency.copernicus.eu/ghs_buS2023.php</x:v>
      </x:c>
    </x:row>
    <x:row r="713" ht="23" customHeight="1">
      <x:c r="A713" s="2" t="str">
        <x:v>MRT</x:v>
      </x:c>
      <x:c r="B713" s="2" t="str">
        <x:v>Mauritania (Islamic Republic of)</x:v>
      </x:c>
      <x:c r="C713" s="2" t="str">
        <x:v>GHSL_SURFACE</x:v>
      </x:c>
      <x:c r="D713" s="2" t="n">
        <x:v>2015</x:v>
      </x:c>
      <x:c r="E713" s="2" t="n">
        <x:v>2020</x:v>
      </x:c>
      <x:c r="F713" s="17" t="n">
        <x:v>72013775.59625307</x:v>
      </x:c>
      <x:c r="G713" s="17" t="n">
        <x:v>97384454.07000008</x:v>
      </x:c>
      <x:c r="H713" s="17" t="n">
        <x:v>167646468</x:v>
      </x:c>
      <x:c r="I713" s="17" t="n">
        <x:v>225032380</x:v>
      </x:c>
      <x:c r="J713" s="2" t="str">
        <x:v>m2</x:v>
      </x:c>
      <x:c r="K713" s="15" t="n">
        <x:f>IF(AND(ISNUMBER(F713),ISNUMBER(G713),F713&gt;0),G713/F713-1,"n.a.")</x:f>
        <x:v>0.35230312900115557</x:v>
      </x:c>
      <x:c r="L713" s="15" t="n">
        <x:f>IF(AND(N713,ISNUMBER(H713),ISNUMBER(I713),H713&gt;0),I713/H713-1,"n.a.")</x:f>
        <x:v>0.34230313757639075</x:v>
      </x:c>
      <x:c r="M713" s="20" t="n">
        <x:f>IF(AND(ISNUMBER(K713),ISNUMBER(L713)),100*(K713-L713),"n.a.")</x:f>
        <x:v>0.999999142476482</x:v>
      </x:c>
      <x:c r="N713" s="13" t="b">
        <x:v>1</x:v>
      </x:c>
      <x:c r="O713" s="13" t="b">
        <x:v>1</x:v>
      </x:c>
      <x:c r="P713" s="13" t="b">
        <x:v>0</x:v>
      </x:c>
      <x:c r="Q713" s="2" t="str">
        <x:v>legacy epoch_status=observed; not exact acquisition proof</x:v>
      </x:c>
      <x:c r="R713" s="2" t="str">
        <x:v>legacy epoch_status=observed; not exact acquisition proof</x:v>
      </x:c>
      <x:c r="S713" s="2" t="str">
        <x:v>historical source estimate</x:v>
      </x:c>
      <x:c r="T713" s="2" t="str">
        <x:v>historical source estimate</x:v>
      </x:c>
      <x:c r="U713" s="2" t="str">
        <x:v>GFA growth versus source physical quantity growth; constant conversion required for equality</x:v>
      </x:c>
      <x:c r="V713" s="2" t="str">
        <x:v>Historical horizontal endpoint trend already used by v16</x:v>
      </x:c>
      <x:c r="W713" s="2" t="str">
        <x:v>https://human-settlement.emergency.copernicus.eu/ghs_buS2023.php</x:v>
      </x:c>
    </x:row>
    <x:row r="714" ht="23" customHeight="1">
      <x:c r="A714" s="2" t="str">
        <x:v>MUS</x:v>
      </x:c>
      <x:c r="B714" s="2" t="str">
        <x:v>Mauritius (Republic of)</x:v>
      </x:c>
      <x:c r="C714" s="2" t="str">
        <x:v>GHSL_SURFACE</x:v>
      </x:c>
      <x:c r="D714" s="2" t="n">
        <x:v>2015</x:v>
      </x:c>
      <x:c r="E714" s="2" t="n">
        <x:v>2020</x:v>
      </x:c>
      <x:c r="F714" s="17" t="n">
        <x:v>62566806.81444254</x:v>
      </x:c>
      <x:c r="G714" s="17" t="n">
        <x:v>65152566.7100001</x:v>
      </x:c>
      <x:c r="H714" s="17" t="n">
        <x:v>67816634</x:v>
      </x:c>
      <x:c r="I714" s="17" t="n">
        <x:v>70472235</x:v>
      </x:c>
      <x:c r="J714" s="2" t="str">
        <x:v>m2</x:v>
      </x:c>
      <x:c r="K714" s="15" t="n">
        <x:f>IF(AND(ISNUMBER(F714),ISNUMBER(G714),F714&gt;0),G714/F714-1,"n.a.")</x:f>
        <x:v>0.04132798247521685</x:v>
      </x:c>
      <x:c r="L714" s="15" t="n">
        <x:f>IF(AND(N714,ISNUMBER(H714),ISNUMBER(I714),H714&gt;0),I714/H714-1,"n.a.")</x:f>
        <x:v>0.039158549213751837</x:v>
      </x:c>
      <x:c r="M714" s="20" t="n">
        <x:f>IF(AND(ISNUMBER(K714),ISNUMBER(L714)),100*(K714-L714),"n.a.")</x:f>
        <x:v>0.21694332614650147</x:v>
      </x:c>
      <x:c r="N714" s="13" t="b">
        <x:v>1</x:v>
      </x:c>
      <x:c r="O714" s="13" t="b">
        <x:v>1</x:v>
      </x:c>
      <x:c r="P714" s="13" t="b">
        <x:v>0</x:v>
      </x:c>
      <x:c r="Q714" s="2" t="str">
        <x:v>legacy epoch_status=observed; not exact acquisition proof</x:v>
      </x:c>
      <x:c r="R714" s="2" t="str">
        <x:v>legacy epoch_status=observed; not exact acquisition proof</x:v>
      </x:c>
      <x:c r="S714" s="2" t="str">
        <x:v>historical source estimate</x:v>
      </x:c>
      <x:c r="T714" s="2" t="str">
        <x:v>historical source estimate</x:v>
      </x:c>
      <x:c r="U714" s="2" t="str">
        <x:v>GFA growth versus source physical quantity growth; constant conversion required for equality</x:v>
      </x:c>
      <x:c r="V714" s="2" t="str">
        <x:v>Historical horizontal endpoint trend already used by v16</x:v>
      </x:c>
      <x:c r="W714" s="2" t="str">
        <x:v>https://human-settlement.emergency.copernicus.eu/ghs_buS2023.php</x:v>
      </x:c>
    </x:row>
    <x:row r="715" ht="23" customHeight="1">
      <x:c r="A715" s="2" t="str">
        <x:v>MWI</x:v>
      </x:c>
      <x:c r="B715" s="2" t="str">
        <x:v>Malawi (Republic of)</x:v>
      </x:c>
      <x:c r="C715" s="2" t="str">
        <x:v>GHSL_SURFACE</x:v>
      </x:c>
      <x:c r="D715" s="2" t="n">
        <x:v>2015</x:v>
      </x:c>
      <x:c r="E715" s="2" t="n">
        <x:v>2020</x:v>
      </x:c>
      <x:c r="F715" s="17" t="n">
        <x:v>275589507.2350312</x:v>
      </x:c>
      <x:c r="G715" s="17" t="n">
        <x:v>330771641.01999974</x:v>
      </x:c>
      <x:c r="H715" s="17" t="n">
        <x:v>922228982</x:v>
      </x:c>
      <x:c r="I715" s="17" t="n">
        <x:v>1096174712</x:v>
      </x:c>
      <x:c r="J715" s="2" t="str">
        <x:v>m2</x:v>
      </x:c>
      <x:c r="K715" s="15" t="n">
        <x:f>IF(AND(ISNUMBER(F715),ISNUMBER(G715),F715&gt;0),G715/F715-1,"n.a.")</x:f>
        <x:v>0.20023307250920674</x:v>
      </x:c>
      <x:c r="L715" s="15" t="n">
        <x:f>IF(AND(N715,ISNUMBER(H715),ISNUMBER(I715),H715&gt;0),I715/H715-1,"n.a.")</x:f>
        <x:v>0.18861446928589376</x:v>
      </x:c>
      <x:c r="M715" s="20" t="n">
        <x:f>IF(AND(ISNUMBER(K715),ISNUMBER(L715)),100*(K715-L715),"n.a.")</x:f>
        <x:v>1.1618603223312984</x:v>
      </x:c>
      <x:c r="N715" s="13" t="b">
        <x:v>1</x:v>
      </x:c>
      <x:c r="O715" s="13" t="b">
        <x:v>1</x:v>
      </x:c>
      <x:c r="P715" s="13" t="b">
        <x:v>0</x:v>
      </x:c>
      <x:c r="Q715" s="2" t="str">
        <x:v>legacy epoch_status=observed; not exact acquisition proof</x:v>
      </x:c>
      <x:c r="R715" s="2" t="str">
        <x:v>legacy epoch_status=observed; not exact acquisition proof</x:v>
      </x:c>
      <x:c r="S715" s="2" t="str">
        <x:v>historical source estimate</x:v>
      </x:c>
      <x:c r="T715" s="2" t="str">
        <x:v>historical source estimate</x:v>
      </x:c>
      <x:c r="U715" s="2" t="str">
        <x:v>GFA growth versus source physical quantity growth; constant conversion required for equality</x:v>
      </x:c>
      <x:c r="V715" s="2" t="str">
        <x:v>Historical horizontal endpoint trend already used by v16</x:v>
      </x:c>
      <x:c r="W715" s="2" t="str">
        <x:v>https://human-settlement.emergency.copernicus.eu/ghs_buS2023.php</x:v>
      </x:c>
    </x:row>
    <x:row r="716" ht="23" customHeight="1">
      <x:c r="A716" s="2" t="str">
        <x:v>MYS</x:v>
      </x:c>
      <x:c r="B716" s="2" t="str">
        <x:v>Malaysia</x:v>
      </x:c>
      <x:c r="C716" s="2" t="str">
        <x:v>GHSL_SURFACE</x:v>
      </x:c>
      <x:c r="D716" s="2" t="n">
        <x:v>2015</x:v>
      </x:c>
      <x:c r="E716" s="2" t="n">
        <x:v>2020</x:v>
      </x:c>
      <x:c r="F716" s="17" t="n">
        <x:v>1864992782.9575677</x:v>
      </x:c>
      <x:c r="G716" s="17" t="n">
        <x:v>2041076673.6399992</x:v>
      </x:c>
      <x:c r="H716" s="17" t="n">
        <x:v>1864983456</x:v>
      </x:c>
      <x:c r="I716" s="17" t="n">
        <x:v>2020918803</x:v>
      </x:c>
      <x:c r="J716" s="2" t="str">
        <x:v>m2</x:v>
      </x:c>
      <x:c r="K716" s="15" t="n">
        <x:f>IF(AND(ISNUMBER(F716),ISNUMBER(G716),F716&gt;0),G716/F716-1,"n.a.")</x:f>
        <x:v>0.09441532015110088</x:v>
      </x:c>
      <x:c r="L716" s="15" t="n">
        <x:f>IF(AND(N716,ISNUMBER(H716),ISNUMBER(I716),H716&gt;0),I716/H716-1,"n.a.")</x:f>
        <x:v>0.08361218781771318</x:v>
      </x:c>
      <x:c r="M716" s="20" t="n">
        <x:f>IF(AND(ISNUMBER(K716),ISNUMBER(L716)),100*(K716-L716),"n.a.")</x:f>
        <x:v>1.08031323333877</x:v>
      </x:c>
      <x:c r="N716" s="13" t="b">
        <x:v>1</x:v>
      </x:c>
      <x:c r="O716" s="13" t="b">
        <x:v>1</x:v>
      </x:c>
      <x:c r="P716" s="13" t="b">
        <x:v>0</x:v>
      </x:c>
      <x:c r="Q716" s="2" t="str">
        <x:v>legacy epoch_status=observed; not exact acquisition proof</x:v>
      </x:c>
      <x:c r="R716" s="2" t="str">
        <x:v>legacy epoch_status=observed; not exact acquisition proof</x:v>
      </x:c>
      <x:c r="S716" s="2" t="str">
        <x:v>historical source estimate</x:v>
      </x:c>
      <x:c r="T716" s="2" t="str">
        <x:v>historical source estimate</x:v>
      </x:c>
      <x:c r="U716" s="2" t="str">
        <x:v>GFA growth versus source physical quantity growth; constant conversion required for equality</x:v>
      </x:c>
      <x:c r="V716" s="2" t="str">
        <x:v>Historical horizontal endpoint trend already used by v16</x:v>
      </x:c>
      <x:c r="W716" s="2" t="str">
        <x:v>https://human-settlement.emergency.copernicus.eu/ghs_buS2023.php</x:v>
      </x:c>
    </x:row>
    <x:row r="717" ht="23" customHeight="1">
      <x:c r="A717" s="2" t="str">
        <x:v>NAM</x:v>
      </x:c>
      <x:c r="B717" s="2" t="str">
        <x:v>Namibia (Republic of)</x:v>
      </x:c>
      <x:c r="C717" s="2" t="str">
        <x:v>GHSL_SURFACE</x:v>
      </x:c>
      <x:c r="D717" s="2" t="n">
        <x:v>2015</x:v>
      </x:c>
      <x:c r="E717" s="2" t="n">
        <x:v>2020</x:v>
      </x:c>
      <x:c r="F717" s="17" t="n">
        <x:v>89132702.8848472</x:v>
      </x:c>
      <x:c r="G717" s="17" t="n">
        <x:v>112405609.30999991</x:v>
      </x:c>
      <x:c r="H717" s="17" t="n">
        <x:v>240180895</x:v>
      </x:c>
      <x:c r="I717" s="17" t="n">
        <x:v>299797231</x:v>
      </x:c>
      <x:c r="J717" s="2" t="str">
        <x:v>m2</x:v>
      </x:c>
      <x:c r="K717" s="15" t="n">
        <x:f>IF(AND(ISNUMBER(F717),ISNUMBER(G717),F717&gt;0),G717/F717-1,"n.a.")</x:f>
        <x:v>0.2611040131389215</x:v>
      </x:c>
      <x:c r="L717" s="15" t="n">
        <x:f>IF(AND(N717,ISNUMBER(H717),ISNUMBER(I717),H717&gt;0),I717/H717-1,"n.a.")</x:f>
        <x:v>0.24821431363223123</x:v>
      </x:c>
      <x:c r="M717" s="20" t="n">
        <x:f>IF(AND(ISNUMBER(K717),ISNUMBER(L717)),100*(K717-L717),"n.a.")</x:f>
        <x:v>1.2889699506690278</x:v>
      </x:c>
      <x:c r="N717" s="13" t="b">
        <x:v>1</x:v>
      </x:c>
      <x:c r="O717" s="13" t="b">
        <x:v>1</x:v>
      </x:c>
      <x:c r="P717" s="13" t="b">
        <x:v>0</x:v>
      </x:c>
      <x:c r="Q717" s="2" t="str">
        <x:v>legacy epoch_status=observed; not exact acquisition proof</x:v>
      </x:c>
      <x:c r="R717" s="2" t="str">
        <x:v>legacy epoch_status=observed; not exact acquisition proof</x:v>
      </x:c>
      <x:c r="S717" s="2" t="str">
        <x:v>historical source estimate</x:v>
      </x:c>
      <x:c r="T717" s="2" t="str">
        <x:v>historical source estimate</x:v>
      </x:c>
      <x:c r="U717" s="2" t="str">
        <x:v>GFA growth versus source physical quantity growth; constant conversion required for equality</x:v>
      </x:c>
      <x:c r="V717" s="2" t="str">
        <x:v>Historical horizontal endpoint trend already used by v16</x:v>
      </x:c>
      <x:c r="W717" s="2" t="str">
        <x:v>https://human-settlement.emergency.copernicus.eu/ghs_buS2023.php</x:v>
      </x:c>
    </x:row>
    <x:row r="718" ht="23" customHeight="1">
      <x:c r="A718" s="2" t="str">
        <x:v>NER</x:v>
      </x:c>
      <x:c r="B718" s="2" t="str">
        <x:v>Niger (Republic of the)</x:v>
      </x:c>
      <x:c r="C718" s="2" t="str">
        <x:v>GHSL_SURFACE</x:v>
      </x:c>
      <x:c r="D718" s="2" t="n">
        <x:v>2015</x:v>
      </x:c>
      <x:c r="E718" s="2" t="n">
        <x:v>2020</x:v>
      </x:c>
      <x:c r="F718" s="17" t="n">
        <x:v>150823337.09848765</x:v>
      </x:c>
      <x:c r="G718" s="17" t="n">
        <x:v>203236516.4300003</x:v>
      </x:c>
      <x:c r="H718" s="17" t="n">
        <x:v>540242638</x:v>
      </x:c>
      <x:c r="I718" s="17" t="n">
        <x:v>724358609</x:v>
      </x:c>
      <x:c r="J718" s="2" t="str">
        <x:v>m2</x:v>
      </x:c>
      <x:c r="K718" s="15" t="n">
        <x:f>IF(AND(ISNUMBER(F718),ISNUMBER(G718),F718&gt;0),G718/F718-1,"n.a.")</x:f>
        <x:v>0.34751372260969693</x:v>
      </x:c>
      <x:c r="L718" s="15" t="n">
        <x:f>IF(AND(N718,ISNUMBER(H718),ISNUMBER(I718),H718&gt;0),I718/H718-1,"n.a.")</x:f>
        <x:v>0.34080236924950014</x:v>
      </x:c>
      <x:c r="M718" s="20" t="n">
        <x:f>IF(AND(ISNUMBER(K718),ISNUMBER(L718)),100*(K718-L718),"n.a.")</x:f>
        <x:v>0.6711353360196792</x:v>
      </x:c>
      <x:c r="N718" s="13" t="b">
        <x:v>1</x:v>
      </x:c>
      <x:c r="O718" s="13" t="b">
        <x:v>1</x:v>
      </x:c>
      <x:c r="P718" s="13" t="b">
        <x:v>0</x:v>
      </x:c>
      <x:c r="Q718" s="2" t="str">
        <x:v>legacy epoch_status=observed; not exact acquisition proof</x:v>
      </x:c>
      <x:c r="R718" s="2" t="str">
        <x:v>legacy epoch_status=observed; not exact acquisition proof</x:v>
      </x:c>
      <x:c r="S718" s="2" t="str">
        <x:v>historical source estimate</x:v>
      </x:c>
      <x:c r="T718" s="2" t="str">
        <x:v>historical source estimate</x:v>
      </x:c>
      <x:c r="U718" s="2" t="str">
        <x:v>GFA growth versus source physical quantity growth; constant conversion required for equality</x:v>
      </x:c>
      <x:c r="V718" s="2" t="str">
        <x:v>Historical horizontal endpoint trend already used by v16</x:v>
      </x:c>
      <x:c r="W718" s="2" t="str">
        <x:v>https://human-settlement.emergency.copernicus.eu/ghs_buS2023.php</x:v>
      </x:c>
    </x:row>
    <x:row r="719" ht="23" customHeight="1">
      <x:c r="A719" s="2" t="str">
        <x:v>NGA</x:v>
      </x:c>
      <x:c r="B719" s="2" t="str">
        <x:v>Nigeria (Federal Republic of)</x:v>
      </x:c>
      <x:c r="C719" s="2" t="str">
        <x:v>GHSL_SURFACE</x:v>
      </x:c>
      <x:c r="D719" s="2" t="n">
        <x:v>2015</x:v>
      </x:c>
      <x:c r="E719" s="2" t="n">
        <x:v>2020</x:v>
      </x:c>
      <x:c r="F719" s="17" t="n">
        <x:v>3643539830.5807</x:v>
      </x:c>
      <x:c r="G719" s="17" t="n">
        <x:v>4102804870.2700024</x:v>
      </x:c>
      <x:c r="H719" s="17" t="n">
        <x:v>7331482973</x:v>
      </x:c>
      <x:c r="I719" s="17" t="n">
        <x:v>8179421162</x:v>
      </x:c>
      <x:c r="J719" s="2" t="str">
        <x:v>m2</x:v>
      </x:c>
      <x:c r="K719" s="15" t="n">
        <x:f>IF(AND(ISNUMBER(F719),ISNUMBER(G719),F719&gt;0),G719/F719-1,"n.a.")</x:f>
        <x:v>0.1260491338216292</x:v>
      </x:c>
      <x:c r="L719" s="15" t="n">
        <x:f>IF(AND(N719,ISNUMBER(H719),ISNUMBER(I719),H719&gt;0),I719/H719-1,"n.a.")</x:f>
        <x:v>0.11565711768311293</x:v>
      </x:c>
      <x:c r="M719" s="20" t="n">
        <x:f>IF(AND(ISNUMBER(K719),ISNUMBER(L719)),100*(K719-L719),"n.a.")</x:f>
        <x:v>1.0392016138516258</x:v>
      </x:c>
      <x:c r="N719" s="13" t="b">
        <x:v>1</x:v>
      </x:c>
      <x:c r="O719" s="13" t="b">
        <x:v>1</x:v>
      </x:c>
      <x:c r="P719" s="13" t="b">
        <x:v>0</x:v>
      </x:c>
      <x:c r="Q719" s="2" t="str">
        <x:v>legacy epoch_status=observed; not exact acquisition proof</x:v>
      </x:c>
      <x:c r="R719" s="2" t="str">
        <x:v>legacy epoch_status=observed; not exact acquisition proof</x:v>
      </x:c>
      <x:c r="S719" s="2" t="str">
        <x:v>historical source estimate</x:v>
      </x:c>
      <x:c r="T719" s="2" t="str">
        <x:v>historical source estimate</x:v>
      </x:c>
      <x:c r="U719" s="2" t="str">
        <x:v>GFA growth versus source physical quantity growth; constant conversion required for equality</x:v>
      </x:c>
      <x:c r="V719" s="2" t="str">
        <x:v>Historical horizontal endpoint trend already used by v16</x:v>
      </x:c>
      <x:c r="W719" s="2" t="str">
        <x:v>https://human-settlement.emergency.copernicus.eu/ghs_buS2023.php</x:v>
      </x:c>
    </x:row>
    <x:row r="720" ht="23" customHeight="1">
      <x:c r="A720" s="2" t="str">
        <x:v>NIC</x:v>
      </x:c>
      <x:c r="B720" s="2" t="str">
        <x:v>Nicaragua (Republic of)</x:v>
      </x:c>
      <x:c r="C720" s="2" t="str">
        <x:v>GHSL_SURFACE</x:v>
      </x:c>
      <x:c r="D720" s="2" t="n">
        <x:v>2015</x:v>
      </x:c>
      <x:c r="E720" s="2" t="n">
        <x:v>2020</x:v>
      </x:c>
      <x:c r="F720" s="17" t="n">
        <x:v>175735308.9370167</x:v>
      </x:c>
      <x:c r="G720" s="17" t="n">
        <x:v>201940338.64999992</x:v>
      </x:c>
      <x:c r="H720" s="17" t="n">
        <x:v>257383669</x:v>
      </x:c>
      <x:c r="I720" s="17" t="n">
        <x:v>294619476</x:v>
      </x:c>
      <x:c r="J720" s="2" t="str">
        <x:v>m2</x:v>
      </x:c>
      <x:c r="K720" s="15" t="n">
        <x:f>IF(AND(ISNUMBER(F720),ISNUMBER(G720),F720&gt;0),G720/F720-1,"n.a.")</x:f>
        <x:v>0.14911647449503196</x:v>
      </x:c>
      <x:c r="L720" s="15" t="n">
        <x:f>IF(AND(N720,ISNUMBER(H720),ISNUMBER(I720),H720&gt;0),I720/H720-1,"n.a.")</x:f>
        <x:v>0.14467043361636134</x:v>
      </x:c>
      <x:c r="M720" s="20" t="n">
        <x:f>IF(AND(ISNUMBER(K720),ISNUMBER(L720)),100*(K720-L720),"n.a.")</x:f>
        <x:v>0.44460408786706207</x:v>
      </x:c>
      <x:c r="N720" s="13" t="b">
        <x:v>1</x:v>
      </x:c>
      <x:c r="O720" s="13" t="b">
        <x:v>1</x:v>
      </x:c>
      <x:c r="P720" s="13" t="b">
        <x:v>0</x:v>
      </x:c>
      <x:c r="Q720" s="2" t="str">
        <x:v>legacy epoch_status=observed; not exact acquisition proof</x:v>
      </x:c>
      <x:c r="R720" s="2" t="str">
        <x:v>legacy epoch_status=observed; not exact acquisition proof</x:v>
      </x:c>
      <x:c r="S720" s="2" t="str">
        <x:v>historical source estimate</x:v>
      </x:c>
      <x:c r="T720" s="2" t="str">
        <x:v>historical source estimate</x:v>
      </x:c>
      <x:c r="U720" s="2" t="str">
        <x:v>GFA growth versus source physical quantity growth; constant conversion required for equality</x:v>
      </x:c>
      <x:c r="V720" s="2" t="str">
        <x:v>Historical horizontal endpoint trend already used by v16</x:v>
      </x:c>
      <x:c r="W720" s="2" t="str">
        <x:v>https://human-settlement.emergency.copernicus.eu/ghs_buS2023.php</x:v>
      </x:c>
    </x:row>
    <x:row r="721" ht="23" customHeight="1">
      <x:c r="A721" s="2" t="str">
        <x:v>NLD</x:v>
      </x:c>
      <x:c r="B721" s="2" t="str">
        <x:v>Netherlands (Kingdom of the)</x:v>
      </x:c>
      <x:c r="C721" s="2" t="str">
        <x:v>GHSL_SURFACE</x:v>
      </x:c>
      <x:c r="D721" s="2" t="n">
        <x:v>2015</x:v>
      </x:c>
      <x:c r="E721" s="2" t="n">
        <x:v>2020</x:v>
      </x:c>
      <x:c r="F721" s="17" t="n">
        <x:v>1398821482.4145422</x:v>
      </x:c>
      <x:c r="G721" s="17" t="n">
        <x:v>1464947836.6400025</x:v>
      </x:c>
      <x:c r="H721" s="17" t="n">
        <x:v>1882584916</x:v>
      </x:c>
      <x:c r="I721" s="17" t="n">
        <x:v>1958304344</x:v>
      </x:c>
      <x:c r="J721" s="2" t="str">
        <x:v>m2</x:v>
      </x:c>
      <x:c r="K721" s="15" t="n">
        <x:f>IF(AND(ISNUMBER(F721),ISNUMBER(G721),F721&gt;0),G721/F721-1,"n.a.")</x:f>
        <x:v>0.047272904410445404</x:v>
      </x:c>
      <x:c r="L721" s="15" t="n">
        <x:f>IF(AND(N721,ISNUMBER(H721),ISNUMBER(I721),H721&gt;0),I721/H721-1,"n.a.")</x:f>
        <x:v>0.040220989426009046</x:v>
      </x:c>
      <x:c r="M721" s="20" t="n">
        <x:f>IF(AND(ISNUMBER(K721),ISNUMBER(L721)),100*(K721-L721),"n.a.")</x:f>
        <x:v>0.7051914984436358</x:v>
      </x:c>
      <x:c r="N721" s="13" t="b">
        <x:v>1</x:v>
      </x:c>
      <x:c r="O721" s="13" t="b">
        <x:v>1</x:v>
      </x:c>
      <x:c r="P721" s="13" t="b">
        <x:v>0</x:v>
      </x:c>
      <x:c r="Q721" s="2" t="str">
        <x:v>legacy epoch_status=observed; not exact acquisition proof</x:v>
      </x:c>
      <x:c r="R721" s="2" t="str">
        <x:v>legacy epoch_status=observed; not exact acquisition proof</x:v>
      </x:c>
      <x:c r="S721" s="2" t="str">
        <x:v>historical source estimate</x:v>
      </x:c>
      <x:c r="T721" s="2" t="str">
        <x:v>historical source estimate</x:v>
      </x:c>
      <x:c r="U721" s="2" t="str">
        <x:v>GFA growth versus source physical quantity growth; constant conversion required for equality</x:v>
      </x:c>
      <x:c r="V721" s="2" t="str">
        <x:v>Historical horizontal endpoint trend already used by v16</x:v>
      </x:c>
      <x:c r="W721" s="2" t="str">
        <x:v>https://human-settlement.emergency.copernicus.eu/ghs_buS2023.php</x:v>
      </x:c>
    </x:row>
    <x:row r="722" ht="23" customHeight="1">
      <x:c r="A722" s="2" t="str">
        <x:v>NOR</x:v>
      </x:c>
      <x:c r="B722" s="2" t="str">
        <x:v>Norway (Kingdom of)</x:v>
      </x:c>
      <x:c r="C722" s="2" t="str">
        <x:v>GHSL_SURFACE</x:v>
      </x:c>
      <x:c r="D722" s="2" t="n">
        <x:v>2015</x:v>
      </x:c>
      <x:c r="E722" s="2" t="n">
        <x:v>2020</x:v>
      </x:c>
      <x:c r="F722" s="17" t="n">
        <x:v>444569121.96455026</x:v>
      </x:c>
      <x:c r="G722" s="17" t="n">
        <x:v>478516256.6100005</x:v>
      </x:c>
      <x:c r="H722" s="17" t="n">
        <x:v>343390511</x:v>
      </x:c>
      <x:c r="I722" s="17" t="n">
        <x:v>366859395</x:v>
      </x:c>
      <x:c r="J722" s="2" t="str">
        <x:v>m2</x:v>
      </x:c>
      <x:c r="K722" s="15" t="n">
        <x:f>IF(AND(ISNUMBER(F722),ISNUMBER(G722),F722&gt;0),G722/F722-1,"n.a.")</x:f>
        <x:v>0.07635963221070763</x:v>
      </x:c>
      <x:c r="L722" s="15" t="n">
        <x:f>IF(AND(N722,ISNUMBER(H722),ISNUMBER(I722),H722&gt;0),I722/H722-1,"n.a.")</x:f>
        <x:v>0.06834459091969491</x:v>
      </x:c>
      <x:c r="M722" s="20" t="n">
        <x:f>IF(AND(ISNUMBER(K722),ISNUMBER(L722)),100*(K722-L722),"n.a.")</x:f>
        <x:v>0.8015041291012714</x:v>
      </x:c>
      <x:c r="N722" s="13" t="b">
        <x:v>1</x:v>
      </x:c>
      <x:c r="O722" s="13" t="b">
        <x:v>1</x:v>
      </x:c>
      <x:c r="P722" s="13" t="b">
        <x:v>0</x:v>
      </x:c>
      <x:c r="Q722" s="2" t="str">
        <x:v>legacy epoch_status=observed; not exact acquisition proof</x:v>
      </x:c>
      <x:c r="R722" s="2" t="str">
        <x:v>legacy epoch_status=observed; not exact acquisition proof</x:v>
      </x:c>
      <x:c r="S722" s="2" t="str">
        <x:v>historical source estimate</x:v>
      </x:c>
      <x:c r="T722" s="2" t="str">
        <x:v>historical source estimate</x:v>
      </x:c>
      <x:c r="U722" s="2" t="str">
        <x:v>GFA growth versus source physical quantity growth; constant conversion required for equality</x:v>
      </x:c>
      <x:c r="V722" s="2" t="str">
        <x:v>Historical horizontal endpoint trend already used by v16</x:v>
      </x:c>
      <x:c r="W722" s="2" t="str">
        <x:v>https://human-settlement.emergency.copernicus.eu/ghs_buS2023.php</x:v>
      </x:c>
    </x:row>
    <x:row r="723" ht="23" customHeight="1">
      <x:c r="A723" s="2" t="str">
        <x:v>NPL</x:v>
      </x:c>
      <x:c r="B723" s="2" t="str">
        <x:v>Nepal (Federal Democratic Republic of)</x:v>
      </x:c>
      <x:c r="C723" s="2" t="str">
        <x:v>GHSL_SURFACE</x:v>
      </x:c>
      <x:c r="D723" s="2" t="n">
        <x:v>2015</x:v>
      </x:c>
      <x:c r="E723" s="2" t="n">
        <x:v>2020</x:v>
      </x:c>
      <x:c r="F723" s="17" t="n">
        <x:v>540535876.2611996</x:v>
      </x:c>
      <x:c r="G723" s="17" t="n">
        <x:v>656084354.4999993</x:v>
      </x:c>
      <x:c r="H723" s="17" t="n">
        <x:v>912184564</x:v>
      </x:c>
      <x:c r="I723" s="17" t="n">
        <x:v>1102008802</x:v>
      </x:c>
      <x:c r="J723" s="2" t="str">
        <x:v>m2</x:v>
      </x:c>
      <x:c r="K723" s="15" t="n">
        <x:f>IF(AND(ISNUMBER(F723),ISNUMBER(G723),F723&gt;0),G723/F723-1,"n.a.")</x:f>
        <x:v>0.21376652931537143</x:v>
      </x:c>
      <x:c r="L723" s="15" t="n">
        <x:f>IF(AND(N723,ISNUMBER(H723),ISNUMBER(I723),H723&gt;0),I723/H723-1,"n.a.")</x:f>
        <x:v>0.20809849836485506</x:v>
      </x:c>
      <x:c r="M723" s="20" t="n">
        <x:f>IF(AND(ISNUMBER(K723),ISNUMBER(L723)),100*(K723-L723),"n.a.")</x:f>
        <x:v>0.5668030950516378</x:v>
      </x:c>
      <x:c r="N723" s="13" t="b">
        <x:v>1</x:v>
      </x:c>
      <x:c r="O723" s="13" t="b">
        <x:v>1</x:v>
      </x:c>
      <x:c r="P723" s="13" t="b">
        <x:v>0</x:v>
      </x:c>
      <x:c r="Q723" s="2" t="str">
        <x:v>legacy epoch_status=observed; not exact acquisition proof</x:v>
      </x:c>
      <x:c r="R723" s="2" t="str">
        <x:v>legacy epoch_status=observed; not exact acquisition proof</x:v>
      </x:c>
      <x:c r="S723" s="2" t="str">
        <x:v>historical source estimate</x:v>
      </x:c>
      <x:c r="T723" s="2" t="str">
        <x:v>historical source estimate</x:v>
      </x:c>
      <x:c r="U723" s="2" t="str">
        <x:v>GFA growth versus source physical quantity growth; constant conversion required for equality</x:v>
      </x:c>
      <x:c r="V723" s="2" t="str">
        <x:v>Historical horizontal endpoint trend already used by v16</x:v>
      </x:c>
      <x:c r="W723" s="2" t="str">
        <x:v>https://human-settlement.emergency.copernicus.eu/ghs_buS2023.php</x:v>
      </x:c>
    </x:row>
    <x:row r="724" ht="23" customHeight="1">
      <x:c r="A724" s="2" t="str">
        <x:v>NRU</x:v>
      </x:c>
      <x:c r="B724" s="2" t="str">
        <x:v>Nauru (Republic of)</x:v>
      </x:c>
      <x:c r="C724" s="2" t="str">
        <x:v>GHSL_SURFACE</x:v>
      </x:c>
      <x:c r="D724" s="2" t="n">
        <x:v>2015</x:v>
      </x:c>
      <x:c r="E724" s="2" t="n">
        <x:v>2020</x:v>
      </x:c>
      <x:c r="F724" s="17" t="n">
        <x:v>400075.14321742795</x:v>
      </x:c>
      <x:c r="G724" s="17" t="n">
        <x:v>405989.38000000024</x:v>
      </x:c>
      <x:c r="H724" s="17" t="n">
        <x:v>457077</x:v>
      </x:c>
      <x:c r="I724" s="17" t="n">
        <x:v>462272</x:v>
      </x:c>
      <x:c r="J724" s="2" t="str">
        <x:v>m2</x:v>
      </x:c>
      <x:c r="K724" s="15" t="n">
        <x:f>IF(AND(ISNUMBER(F724),ISNUMBER(G724),F724&gt;0),G724/F724-1,"n.a.")</x:f>
        <x:v>0.014782814885747841</x:v>
      </x:c>
      <x:c r="L724" s="15" t="n">
        <x:f>IF(AND(N724,ISNUMBER(H724),ISNUMBER(I724),H724&gt;0),I724/H724-1,"n.a.")</x:f>
        <x:v>0.01136569987113778</x:v>
      </x:c>
      <x:c r="M724" s="20" t="n">
        <x:f>IF(AND(ISNUMBER(K724),ISNUMBER(L724)),100*(K724-L724),"n.a.")</x:f>
        <x:v>0.34171150146100615</x:v>
      </x:c>
      <x:c r="N724" s="13" t="b">
        <x:v>1</x:v>
      </x:c>
      <x:c r="O724" s="13" t="b">
        <x:v>1</x:v>
      </x:c>
      <x:c r="P724" s="13" t="b">
        <x:v>0</x:v>
      </x:c>
      <x:c r="Q724" s="2" t="str">
        <x:v>legacy epoch_status=observed; not exact acquisition proof</x:v>
      </x:c>
      <x:c r="R724" s="2" t="str">
        <x:v>legacy epoch_status=observed; not exact acquisition proof</x:v>
      </x:c>
      <x:c r="S724" s="2" t="str">
        <x:v>historical source estimate</x:v>
      </x:c>
      <x:c r="T724" s="2" t="str">
        <x:v>historical source estimate</x:v>
      </x:c>
      <x:c r="U724" s="2" t="str">
        <x:v>GFA growth versus source physical quantity growth; constant conversion required for equality</x:v>
      </x:c>
      <x:c r="V724" s="2" t="str">
        <x:v>Historical horizontal endpoint trend already used by v16</x:v>
      </x:c>
      <x:c r="W724" s="2" t="str">
        <x:v>https://human-settlement.emergency.copernicus.eu/ghs_buS2023.php</x:v>
      </x:c>
    </x:row>
    <x:row r="725" ht="23" customHeight="1">
      <x:c r="A725" s="2" t="str">
        <x:v>NZL</x:v>
      </x:c>
      <x:c r="B725" s="2" t="str">
        <x:v>New Zealand</x:v>
      </x:c>
      <x:c r="C725" s="2" t="str">
        <x:v>GHSL_SURFACE</x:v>
      </x:c>
      <x:c r="D725" s="2" t="n">
        <x:v>2015</x:v>
      </x:c>
      <x:c r="E725" s="2" t="n">
        <x:v>2020</x:v>
      </x:c>
      <x:c r="F725" s="17" t="n">
        <x:v>480029552.55422294</x:v>
      </x:c>
      <x:c r="G725" s="17" t="n">
        <x:v>553529463.7899991</x:v>
      </x:c>
      <x:c r="H725" s="17" t="n">
        <x:v>818399498</x:v>
      </x:c>
      <x:c r="I725" s="17" t="n">
        <x:v>933984431</x:v>
      </x:c>
      <x:c r="J725" s="2" t="str">
        <x:v>m2</x:v>
      </x:c>
      <x:c r="K725" s="15" t="n">
        <x:f>IF(AND(ISNUMBER(F725),ISNUMBER(G725),F725&gt;0),G725/F725-1,"n.a.")</x:f>
        <x:v>0.15311538809368153</x:v>
      </x:c>
      <x:c r="L725" s="15" t="n">
        <x:f>IF(AND(N725,ISNUMBER(H725),ISNUMBER(I725),H725&gt;0),I725/H725-1,"n.a.")</x:f>
        <x:v>0.1412328982147053</x:v>
      </x:c>
      <x:c r="M725" s="20" t="n">
        <x:f>IF(AND(ISNUMBER(K725),ISNUMBER(L725)),100*(K725-L725),"n.a.")</x:f>
        <x:v>1.1882489878976221</x:v>
      </x:c>
      <x:c r="N725" s="13" t="b">
        <x:v>1</x:v>
      </x:c>
      <x:c r="O725" s="13" t="b">
        <x:v>1</x:v>
      </x:c>
      <x:c r="P725" s="13" t="b">
        <x:v>0</x:v>
      </x:c>
      <x:c r="Q725" s="2" t="str">
        <x:v>legacy epoch_status=observed; not exact acquisition proof</x:v>
      </x:c>
      <x:c r="R725" s="2" t="str">
        <x:v>legacy epoch_status=observed; not exact acquisition proof</x:v>
      </x:c>
      <x:c r="S725" s="2" t="str">
        <x:v>historical source estimate</x:v>
      </x:c>
      <x:c r="T725" s="2" t="str">
        <x:v>historical source estimate</x:v>
      </x:c>
      <x:c r="U725" s="2" t="str">
        <x:v>GFA growth versus source physical quantity growth; constant conversion required for equality</x:v>
      </x:c>
      <x:c r="V725" s="2" t="str">
        <x:v>Historical horizontal endpoint trend already used by v16</x:v>
      </x:c>
      <x:c r="W725" s="2" t="str">
        <x:v>https://human-settlement.emergency.copernicus.eu/ghs_buS2023.php</x:v>
      </x:c>
    </x:row>
    <x:row r="726" ht="23" customHeight="1">
      <x:c r="A726" s="2" t="str">
        <x:v>OMN</x:v>
      </x:c>
      <x:c r="B726" s="2" t="str">
        <x:v>Oman (Sultanate of)</x:v>
      </x:c>
      <x:c r="C726" s="2" t="str">
        <x:v>GHSL_SURFACE</x:v>
      </x:c>
      <x:c r="D726" s="2" t="n">
        <x:v>2015</x:v>
      </x:c>
      <x:c r="E726" s="2" t="n">
        <x:v>2020</x:v>
      </x:c>
      <x:c r="F726" s="17" t="n">
        <x:v>222748482.34837043</x:v>
      </x:c>
      <x:c r="G726" s="17" t="n">
        <x:v>262659820.8500002</x:v>
      </x:c>
      <x:c r="H726" s="17" t="n">
        <x:v>364967872</x:v>
      </x:c>
      <x:c r="I726" s="17" t="n">
        <x:v>427916040</x:v>
      </x:c>
      <x:c r="J726" s="2" t="str">
        <x:v>m2</x:v>
      </x:c>
      <x:c r="K726" s="15" t="n">
        <x:f>IF(AND(ISNUMBER(F726),ISNUMBER(G726),F726&gt;0),G726/F726-1,"n.a.")</x:f>
        <x:v>0.17917670226461935</x:v>
      </x:c>
      <x:c r="L726" s="15" t="n">
        <x:f>IF(AND(N726,ISNUMBER(H726),ISNUMBER(I726),H726&gt;0),I726/H726-1,"n.a.")</x:f>
        <x:v>0.17247591590746936</x:v>
      </x:c>
      <x:c r="M726" s="20" t="n">
        <x:f>IF(AND(ISNUMBER(K726),ISNUMBER(L726)),100*(K726-L726),"n.a.")</x:f>
        <x:v>0.670078635714999</x:v>
      </x:c>
      <x:c r="N726" s="13" t="b">
        <x:v>1</x:v>
      </x:c>
      <x:c r="O726" s="13" t="b">
        <x:v>1</x:v>
      </x:c>
      <x:c r="P726" s="13" t="b">
        <x:v>0</x:v>
      </x:c>
      <x:c r="Q726" s="2" t="str">
        <x:v>legacy epoch_status=observed; not exact acquisition proof</x:v>
      </x:c>
      <x:c r="R726" s="2" t="str">
        <x:v>legacy epoch_status=observed; not exact acquisition proof</x:v>
      </x:c>
      <x:c r="S726" s="2" t="str">
        <x:v>historical source estimate</x:v>
      </x:c>
      <x:c r="T726" s="2" t="str">
        <x:v>historical source estimate</x:v>
      </x:c>
      <x:c r="U726" s="2" t="str">
        <x:v>GFA growth versus source physical quantity growth; constant conversion required for equality</x:v>
      </x:c>
      <x:c r="V726" s="2" t="str">
        <x:v>Historical horizontal endpoint trend already used by v16</x:v>
      </x:c>
      <x:c r="W726" s="2" t="str">
        <x:v>https://human-settlement.emergency.copernicus.eu/ghs_buS2023.php</x:v>
      </x:c>
    </x:row>
    <x:row r="727" ht="23" customHeight="1">
      <x:c r="A727" s="2" t="str">
        <x:v>PAK</x:v>
      </x:c>
      <x:c r="B727" s="2" t="str">
        <x:v>Pakistan (Islamic Republic of)</x:v>
      </x:c>
      <x:c r="C727" s="2" t="str">
        <x:v>GHSL_SURFACE</x:v>
      </x:c>
      <x:c r="D727" s="2" t="n">
        <x:v>2015</x:v>
      </x:c>
      <x:c r="E727" s="2" t="n">
        <x:v>2020</x:v>
      </x:c>
      <x:c r="F727" s="17" t="n">
        <x:v>3517876725.135339</x:v>
      </x:c>
      <x:c r="G727" s="17" t="n">
        <x:v>4301390083.520005</x:v>
      </x:c>
      <x:c r="H727" s="17" t="n">
        <x:v>5149019681</x:v>
      </x:c>
      <x:c r="I727" s="17" t="n">
        <x:v>6256084711</x:v>
      </x:c>
      <x:c r="J727" s="2" t="str">
        <x:v>m2</x:v>
      </x:c>
      <x:c r="K727" s="15" t="n">
        <x:f>IF(AND(ISNUMBER(F727),ISNUMBER(G727),F727&gt;0),G727/F727-1,"n.a.")</x:f>
        <x:v>0.22272336969241668</x:v>
      </x:c>
      <x:c r="L727" s="15" t="n">
        <x:f>IF(AND(N727,ISNUMBER(H727),ISNUMBER(I727),H727&gt;0),I727/H727-1,"n.a.")</x:f>
        <x:v>0.2150050103877239</x:v>
      </x:c>
      <x:c r="M727" s="20" t="n">
        <x:f>IF(AND(ISNUMBER(K727),ISNUMBER(L727)),100*(K727-L727),"n.a.")</x:f>
        <x:v>0.7718359304692779</x:v>
      </x:c>
      <x:c r="N727" s="13" t="b">
        <x:v>1</x:v>
      </x:c>
      <x:c r="O727" s="13" t="b">
        <x:v>1</x:v>
      </x:c>
      <x:c r="P727" s="13" t="b">
        <x:v>0</x:v>
      </x:c>
      <x:c r="Q727" s="2" t="str">
        <x:v>legacy epoch_status=observed; not exact acquisition proof</x:v>
      </x:c>
      <x:c r="R727" s="2" t="str">
        <x:v>legacy epoch_status=observed; not exact acquisition proof</x:v>
      </x:c>
      <x:c r="S727" s="2" t="str">
        <x:v>historical source estimate</x:v>
      </x:c>
      <x:c r="T727" s="2" t="str">
        <x:v>historical source estimate</x:v>
      </x:c>
      <x:c r="U727" s="2" t="str">
        <x:v>GFA growth versus source physical quantity growth; constant conversion required for equality</x:v>
      </x:c>
      <x:c r="V727" s="2" t="str">
        <x:v>Historical horizontal endpoint trend already used by v16</x:v>
      </x:c>
      <x:c r="W727" s="2" t="str">
        <x:v>https://human-settlement.emergency.copernicus.eu/ghs_buS2023.php</x:v>
      </x:c>
    </x:row>
    <x:row r="728" ht="23" customHeight="1">
      <x:c r="A728" s="2" t="str">
        <x:v>PAN</x:v>
      </x:c>
      <x:c r="B728" s="2" t="str">
        <x:v>Panama (Republic of)</x:v>
      </x:c>
      <x:c r="C728" s="2" t="str">
        <x:v>GHSL_SURFACE</x:v>
      </x:c>
      <x:c r="D728" s="2" t="n">
        <x:v>2015</x:v>
      </x:c>
      <x:c r="E728" s="2" t="n">
        <x:v>2020</x:v>
      </x:c>
      <x:c r="F728" s="17" t="n">
        <x:v>181431559.5106657</x:v>
      </x:c>
      <x:c r="G728" s="17" t="n">
        <x:v>209722829.7800001</x:v>
      </x:c>
      <x:c r="H728" s="17" t="n">
        <x:v>249902285</x:v>
      </x:c>
      <x:c r="I728" s="17" t="n">
        <x:v>286803553</x:v>
      </x:c>
      <x:c r="J728" s="2" t="str">
        <x:v>m2</x:v>
      </x:c>
      <x:c r="K728" s="15" t="n">
        <x:f>IF(AND(ISNUMBER(F728),ISNUMBER(G728),F728&gt;0),G728/F728-1,"n.a.")</x:f>
        <x:v>0.1559335671568829</x:v>
      </x:c>
      <x:c r="L728" s="15" t="n">
        <x:f>IF(AND(N728,ISNUMBER(H728),ISNUMBER(I728),H728&gt;0),I728/H728-1,"n.a.")</x:f>
        <x:v>0.14766278747711326</x:v>
      </x:c>
      <x:c r="M728" s="20" t="n">
        <x:f>IF(AND(ISNUMBER(K728),ISNUMBER(L728)),100*(K728-L728),"n.a.")</x:f>
        <x:v>0.8270779679769635</x:v>
      </x:c>
      <x:c r="N728" s="13" t="b">
        <x:v>1</x:v>
      </x:c>
      <x:c r="O728" s="13" t="b">
        <x:v>1</x:v>
      </x:c>
      <x:c r="P728" s="13" t="b">
        <x:v>0</x:v>
      </x:c>
      <x:c r="Q728" s="2" t="str">
        <x:v>legacy epoch_status=observed; not exact acquisition proof</x:v>
      </x:c>
      <x:c r="R728" s="2" t="str">
        <x:v>legacy epoch_status=observed; not exact acquisition proof</x:v>
      </x:c>
      <x:c r="S728" s="2" t="str">
        <x:v>historical source estimate</x:v>
      </x:c>
      <x:c r="T728" s="2" t="str">
        <x:v>historical source estimate</x:v>
      </x:c>
      <x:c r="U728" s="2" t="str">
        <x:v>GFA growth versus source physical quantity growth; constant conversion required for equality</x:v>
      </x:c>
      <x:c r="V728" s="2" t="str">
        <x:v>Historical horizontal endpoint trend already used by v16</x:v>
      </x:c>
      <x:c r="W728" s="2" t="str">
        <x:v>https://human-settlement.emergency.copernicus.eu/ghs_buS2023.php</x:v>
      </x:c>
    </x:row>
    <x:row r="729" ht="23" customHeight="1">
      <x:c r="A729" s="2" t="str">
        <x:v>PER</x:v>
      </x:c>
      <x:c r="B729" s="2" t="str">
        <x:v>Peru (Republic of)</x:v>
      </x:c>
      <x:c r="C729" s="2" t="str">
        <x:v>GHSL_SURFACE</x:v>
      </x:c>
      <x:c r="D729" s="2" t="n">
        <x:v>2015</x:v>
      </x:c>
      <x:c r="E729" s="2" t="n">
        <x:v>2020</x:v>
      </x:c>
      <x:c r="F729" s="17" t="n">
        <x:v>1167948144.3467624</x:v>
      </x:c>
      <x:c r="G729" s="17" t="n">
        <x:v>1228349086.860001</x:v>
      </x:c>
      <x:c r="H729" s="17" t="n">
        <x:v>1407683979</x:v>
      </x:c>
      <x:c r="I729" s="17" t="n">
        <x:v>1466079228</x:v>
      </x:c>
      <x:c r="J729" s="2" t="str">
        <x:v>m2</x:v>
      </x:c>
      <x:c r="K729" s="15" t="n">
        <x:f>IF(AND(ISNUMBER(F729),ISNUMBER(G729),F729&gt;0),G729/F729-1,"n.a.")</x:f>
        <x:v>0.051715431721518046</x:v>
      </x:c>
      <x:c r="L729" s="15" t="n">
        <x:f>IF(AND(N729,ISNUMBER(H729),ISNUMBER(I729),H729&gt;0),I729/H729-1,"n.a.")</x:f>
        <x:v>0.041483209208279304</x:v>
      </x:c>
      <x:c r="M729" s="20" t="n">
        <x:f>IF(AND(ISNUMBER(K729),ISNUMBER(L729)),100*(K729-L729),"n.a.")</x:f>
        <x:v>1.0232222513238742</x:v>
      </x:c>
      <x:c r="N729" s="13" t="b">
        <x:v>1</x:v>
      </x:c>
      <x:c r="O729" s="13" t="b">
        <x:v>1</x:v>
      </x:c>
      <x:c r="P729" s="13" t="b">
        <x:v>0</x:v>
      </x:c>
      <x:c r="Q729" s="2" t="str">
        <x:v>legacy epoch_status=observed; not exact acquisition proof</x:v>
      </x:c>
      <x:c r="R729" s="2" t="str">
        <x:v>legacy epoch_status=observed; not exact acquisition proof</x:v>
      </x:c>
      <x:c r="S729" s="2" t="str">
        <x:v>historical source estimate</x:v>
      </x:c>
      <x:c r="T729" s="2" t="str">
        <x:v>historical source estimate</x:v>
      </x:c>
      <x:c r="U729" s="2" t="str">
        <x:v>GFA growth versus source physical quantity growth; constant conversion required for equality</x:v>
      </x:c>
      <x:c r="V729" s="2" t="str">
        <x:v>Historical horizontal endpoint trend already used by v16</x:v>
      </x:c>
      <x:c r="W729" s="2" t="str">
        <x:v>https://human-settlement.emergency.copernicus.eu/ghs_buS2023.php</x:v>
      </x:c>
    </x:row>
    <x:row r="730" ht="23" customHeight="1">
      <x:c r="A730" s="2" t="str">
        <x:v>PHL</x:v>
      </x:c>
      <x:c r="B730" s="2" t="str">
        <x:v>Philippines (Republic of the)</x:v>
      </x:c>
      <x:c r="C730" s="2" t="str">
        <x:v>GHSL_SURFACE</x:v>
      </x:c>
      <x:c r="D730" s="2" t="n">
        <x:v>2015</x:v>
      </x:c>
      <x:c r="E730" s="2" t="n">
        <x:v>2020</x:v>
      </x:c>
      <x:c r="F730" s="17" t="n">
        <x:v>2119006423.4482572</x:v>
      </x:c>
      <x:c r="G730" s="17" t="n">
        <x:v>2290609295.400001</x:v>
      </x:c>
      <x:c r="H730" s="17" t="n">
        <x:v>2161151512</x:v>
      </x:c>
      <x:c r="I730" s="17" t="n">
        <x:v>2318969682</x:v>
      </x:c>
      <x:c r="J730" s="2" t="str">
        <x:v>m2</x:v>
      </x:c>
      <x:c r="K730" s="15" t="n">
        <x:f>IF(AND(ISNUMBER(F730),ISNUMBER(G730),F730&gt;0),G730/F730-1,"n.a.")</x:f>
        <x:v>0.08098270493795612</x:v>
      </x:c>
      <x:c r="L730" s="15" t="n">
        <x:f>IF(AND(N730,ISNUMBER(H730),ISNUMBER(I730),H730&gt;0),I730/H730-1,"n.a.")</x:f>
        <x:v>0.07302503740422628</x:v>
      </x:c>
      <x:c r="M730" s="20" t="n">
        <x:f>IF(AND(ISNUMBER(K730),ISNUMBER(L730)),100*(K730-L730),"n.a.")</x:f>
        <x:v>0.795766753372984</x:v>
      </x:c>
      <x:c r="N730" s="13" t="b">
        <x:v>1</x:v>
      </x:c>
      <x:c r="O730" s="13" t="b">
        <x:v>1</x:v>
      </x:c>
      <x:c r="P730" s="13" t="b">
        <x:v>0</x:v>
      </x:c>
      <x:c r="Q730" s="2" t="str">
        <x:v>legacy epoch_status=observed; not exact acquisition proof</x:v>
      </x:c>
      <x:c r="R730" s="2" t="str">
        <x:v>legacy epoch_status=observed; not exact acquisition proof</x:v>
      </x:c>
      <x:c r="S730" s="2" t="str">
        <x:v>historical source estimate</x:v>
      </x:c>
      <x:c r="T730" s="2" t="str">
        <x:v>historical source estimate</x:v>
      </x:c>
      <x:c r="U730" s="2" t="str">
        <x:v>GFA growth versus source physical quantity growth; constant conversion required for equality</x:v>
      </x:c>
      <x:c r="V730" s="2" t="str">
        <x:v>Historical horizontal endpoint trend already used by v16</x:v>
      </x:c>
      <x:c r="W730" s="2" t="str">
        <x:v>https://human-settlement.emergency.copernicus.eu/ghs_buS2023.php</x:v>
      </x:c>
    </x:row>
    <x:row r="731" ht="23" customHeight="1">
      <x:c r="A731" s="2" t="str">
        <x:v>PLW</x:v>
      </x:c>
      <x:c r="B731" s="2" t="str">
        <x:v>Palau (Republic of)</x:v>
      </x:c>
      <x:c r="C731" s="2" t="str">
        <x:v>GHSL_SURFACE</x:v>
      </x:c>
      <x:c r="D731" s="2" t="n">
        <x:v>2015</x:v>
      </x:c>
      <x:c r="E731" s="2" t="n">
        <x:v>2020</x:v>
      </x:c>
      <x:c r="F731" s="17" t="n">
        <x:v>1134148.4645909867</x:v>
      </x:c>
      <x:c r="G731" s="17" t="n">
        <x:v>1152226.26</x:v>
      </x:c>
      <x:c r="H731" s="17" t="n">
        <x:v>1020348</x:v>
      </x:c>
      <x:c r="I731" s="17" t="n">
        <x:v>1035553</x:v>
      </x:c>
      <x:c r="J731" s="2" t="str">
        <x:v>m2</x:v>
      </x:c>
      <x:c r="K731" s="15" t="n">
        <x:f>IF(AND(ISNUMBER(F731),ISNUMBER(G731),F731&gt;0),G731/F731-1,"n.a.")</x:f>
        <x:v>0.01593953170454876</x:v>
      </x:c>
      <x:c r="L731" s="15" t="n">
        <x:f>IF(AND(N731,ISNUMBER(H731),ISNUMBER(I731),H731&gt;0),I731/H731-1,"n.a.")</x:f>
        <x:v>0.014901778608866767</x:v>
      </x:c>
      <x:c r="M731" s="20" t="n">
        <x:f>IF(AND(ISNUMBER(K731),ISNUMBER(L731)),100*(K731-L731),"n.a.")</x:f>
        <x:v>0.10377530956819925</x:v>
      </x:c>
      <x:c r="N731" s="13" t="b">
        <x:v>1</x:v>
      </x:c>
      <x:c r="O731" s="13" t="b">
        <x:v>1</x:v>
      </x:c>
      <x:c r="P731" s="13" t="b">
        <x:v>0</x:v>
      </x:c>
      <x:c r="Q731" s="2" t="str">
        <x:v>legacy epoch_status=observed; not exact acquisition proof</x:v>
      </x:c>
      <x:c r="R731" s="2" t="str">
        <x:v>legacy epoch_status=observed; not exact acquisition proof</x:v>
      </x:c>
      <x:c r="S731" s="2" t="str">
        <x:v>historical source estimate</x:v>
      </x:c>
      <x:c r="T731" s="2" t="str">
        <x:v>historical source estimate</x:v>
      </x:c>
      <x:c r="U731" s="2" t="str">
        <x:v>GFA growth versus source physical quantity growth; constant conversion required for equality</x:v>
      </x:c>
      <x:c r="V731" s="2" t="str">
        <x:v>Historical horizontal endpoint trend already used by v16</x:v>
      </x:c>
      <x:c r="W731" s="2" t="str">
        <x:v>https://human-settlement.emergency.copernicus.eu/ghs_buS2023.php</x:v>
      </x:c>
    </x:row>
    <x:row r="732" ht="23" customHeight="1">
      <x:c r="A732" s="2" t="str">
        <x:v>PNG</x:v>
      </x:c>
      <x:c r="B732" s="2" t="str">
        <x:v>Papua New Guinea (Independent State of)</x:v>
      </x:c>
      <x:c r="C732" s="2" t="str">
        <x:v>GHSL_SURFACE</x:v>
      </x:c>
      <x:c r="D732" s="2" t="n">
        <x:v>2015</x:v>
      </x:c>
      <x:c r="E732" s="2" t="n">
        <x:v>2020</x:v>
      </x:c>
      <x:c r="F732" s="17" t="n">
        <x:v>101313150.79228555</x:v>
      </x:c>
      <x:c r="G732" s="17" t="n">
        <x:v>111325792.03000018</x:v>
      </x:c>
      <x:c r="H732" s="17" t="n">
        <x:v>160488539</x:v>
      </x:c>
      <x:c r="I732" s="17" t="n">
        <x:v>174457095</x:v>
      </x:c>
      <x:c r="J732" s="2" t="str">
        <x:v>m2</x:v>
      </x:c>
      <x:c r="K732" s="15" t="n">
        <x:f>IF(AND(ISNUMBER(F732),ISNUMBER(G732),F732&gt;0),G732/F732-1,"n.a.")</x:f>
        <x:v>0.09882864326510554</x:v>
      </x:c>
      <x:c r="L732" s="15" t="n">
        <x:f>IF(AND(N732,ISNUMBER(H732),ISNUMBER(I732),H732&gt;0),I732/H732-1,"n.a.")</x:f>
        <x:v>0.08703771675558714</x:v>
      </x:c>
      <x:c r="M732" s="20" t="n">
        <x:f>IF(AND(ISNUMBER(K732),ISNUMBER(L732)),100*(K732-L732),"n.a.")</x:f>
        <x:v>1.1790926509518407</x:v>
      </x:c>
      <x:c r="N732" s="13" t="b">
        <x:v>1</x:v>
      </x:c>
      <x:c r="O732" s="13" t="b">
        <x:v>1</x:v>
      </x:c>
      <x:c r="P732" s="13" t="b">
        <x:v>0</x:v>
      </x:c>
      <x:c r="Q732" s="2" t="str">
        <x:v>legacy epoch_status=observed; not exact acquisition proof</x:v>
      </x:c>
      <x:c r="R732" s="2" t="str">
        <x:v>legacy epoch_status=observed; not exact acquisition proof</x:v>
      </x:c>
      <x:c r="S732" s="2" t="str">
        <x:v>historical source estimate</x:v>
      </x:c>
      <x:c r="T732" s="2" t="str">
        <x:v>historical source estimate</x:v>
      </x:c>
      <x:c r="U732" s="2" t="str">
        <x:v>GFA growth versus source physical quantity growth; constant conversion required for equality</x:v>
      </x:c>
      <x:c r="V732" s="2" t="str">
        <x:v>Historical horizontal endpoint trend already used by v16</x:v>
      </x:c>
      <x:c r="W732" s="2" t="str">
        <x:v>https://human-settlement.emergency.copernicus.eu/ghs_buS2023.php</x:v>
      </x:c>
    </x:row>
    <x:row r="733" ht="23" customHeight="1">
      <x:c r="A733" s="2" t="str">
        <x:v>POL</x:v>
      </x:c>
      <x:c r="B733" s="2" t="str">
        <x:v>Poland (Republic of)</x:v>
      </x:c>
      <x:c r="C733" s="2" t="str">
        <x:v>GHSL_SURFACE</x:v>
      </x:c>
      <x:c r="D733" s="2" t="n">
        <x:v>2015</x:v>
      </x:c>
      <x:c r="E733" s="2" t="n">
        <x:v>2020</x:v>
      </x:c>
      <x:c r="F733" s="17" t="n">
        <x:v>2405618895.24534</x:v>
      </x:c>
      <x:c r="G733" s="17" t="n">
        <x:v>2573023573.5300016</x:v>
      </x:c>
      <x:c r="H733" s="17" t="n">
        <x:v>4256296763</x:v>
      </x:c>
      <x:c r="I733" s="17" t="n">
        <x:v>4543610074</x:v>
      </x:c>
      <x:c r="J733" s="2" t="str">
        <x:v>m2</x:v>
      </x:c>
      <x:c r="K733" s="15" t="n">
        <x:f>IF(AND(ISNUMBER(F733),ISNUMBER(G733),F733&gt;0),G733/F733-1,"n.a.")</x:f>
        <x:v>0.06958902701318737</x:v>
      </x:c>
      <x:c r="L733" s="15" t="n">
        <x:f>IF(AND(N733,ISNUMBER(H733),ISNUMBER(I733),H733&gt;0),I733/H733-1,"n.a.")</x:f>
        <x:v>0.06750311996513392</x:v>
      </x:c>
      <x:c r="M733" s="20" t="n">
        <x:f>IF(AND(ISNUMBER(K733),ISNUMBER(L733)),100*(K733-L733),"n.a.")</x:f>
        <x:v>0.2085907048053448</x:v>
      </x:c>
      <x:c r="N733" s="13" t="b">
        <x:v>1</x:v>
      </x:c>
      <x:c r="O733" s="13" t="b">
        <x:v>1</x:v>
      </x:c>
      <x:c r="P733" s="13" t="b">
        <x:v>0</x:v>
      </x:c>
      <x:c r="Q733" s="2" t="str">
        <x:v>legacy epoch_status=observed; not exact acquisition proof</x:v>
      </x:c>
      <x:c r="R733" s="2" t="str">
        <x:v>legacy epoch_status=observed; not exact acquisition proof</x:v>
      </x:c>
      <x:c r="S733" s="2" t="str">
        <x:v>historical source estimate</x:v>
      </x:c>
      <x:c r="T733" s="2" t="str">
        <x:v>historical source estimate</x:v>
      </x:c>
      <x:c r="U733" s="2" t="str">
        <x:v>GFA growth versus source physical quantity growth; constant conversion required for equality</x:v>
      </x:c>
      <x:c r="V733" s="2" t="str">
        <x:v>Historical horizontal endpoint trend already used by v16</x:v>
      </x:c>
      <x:c r="W733" s="2" t="str">
        <x:v>https://human-settlement.emergency.copernicus.eu/ghs_buS2023.php</x:v>
      </x:c>
    </x:row>
    <x:row r="734" ht="23" customHeight="1">
      <x:c r="A734" s="2" t="str">
        <x:v>PRK</x:v>
      </x:c>
      <x:c r="B734" s="2" t="str">
        <x:v>Korea (Democratic People's Republic of)</x:v>
      </x:c>
      <x:c r="C734" s="2" t="str">
        <x:v>GHSL_SURFACE</x:v>
      </x:c>
      <x:c r="D734" s="2" t="n">
        <x:v>2015</x:v>
      </x:c>
      <x:c r="E734" s="2" t="n">
        <x:v>2020</x:v>
      </x:c>
      <x:c r="F734" s="17" t="n">
        <x:v>399529994.4119029</x:v>
      </x:c>
      <x:c r="G734" s="17" t="n">
        <x:v>469713807.49000067</x:v>
      </x:c>
      <x:c r="H734" s="17" t="n">
        <x:v>316814149</x:v>
      </x:c>
      <x:c r="I734" s="17" t="n">
        <x:v>370290380</x:v>
      </x:c>
      <x:c r="J734" s="2" t="str">
        <x:v>m2</x:v>
      </x:c>
      <x:c r="K734" s="15" t="n">
        <x:f>IF(AND(ISNUMBER(F734),ISNUMBER(G734),F734&gt;0),G734/F734-1,"n.a.")</x:f>
        <x:v>0.1756659426319327</x:v>
      </x:c>
      <x:c r="L734" s="15" t="n">
        <x:f>IF(AND(N734,ISNUMBER(H734),ISNUMBER(I734),H734&gt;0),I734/H734-1,"n.a.")</x:f>
        <x:v>0.1687936955113707</x:v>
      </x:c>
      <x:c r="M734" s="20" t="n">
        <x:f>IF(AND(ISNUMBER(K734),ISNUMBER(L734)),100*(K734-L734),"n.a.")</x:f>
        <x:v>0.6872247120562003</x:v>
      </x:c>
      <x:c r="N734" s="13" t="b">
        <x:v>1</x:v>
      </x:c>
      <x:c r="O734" s="13" t="b">
        <x:v>1</x:v>
      </x:c>
      <x:c r="P734" s="13" t="b">
        <x:v>0</x:v>
      </x:c>
      <x:c r="Q734" s="2" t="str">
        <x:v>legacy epoch_status=observed; not exact acquisition proof</x:v>
      </x:c>
      <x:c r="R734" s="2" t="str">
        <x:v>legacy epoch_status=observed; not exact acquisition proof</x:v>
      </x:c>
      <x:c r="S734" s="2" t="str">
        <x:v>historical source estimate</x:v>
      </x:c>
      <x:c r="T734" s="2" t="str">
        <x:v>historical source estimate</x:v>
      </x:c>
      <x:c r="U734" s="2" t="str">
        <x:v>GFA growth versus source physical quantity growth; constant conversion required for equality</x:v>
      </x:c>
      <x:c r="V734" s="2" t="str">
        <x:v>Historical horizontal endpoint trend already used by v16</x:v>
      </x:c>
      <x:c r="W734" s="2" t="str">
        <x:v>https://human-settlement.emergency.copernicus.eu/ghs_buS2023.php</x:v>
      </x:c>
    </x:row>
    <x:row r="735" ht="23" customHeight="1">
      <x:c r="A735" s="2" t="str">
        <x:v>PRT</x:v>
      </x:c>
      <x:c r="B735" s="2" t="str">
        <x:v>Portugal (Portuguese Republic)</x:v>
      </x:c>
      <x:c r="C735" s="2" t="str">
        <x:v>GHSL_SURFACE</x:v>
      </x:c>
      <x:c r="D735" s="2" t="n">
        <x:v>2015</x:v>
      </x:c>
      <x:c r="E735" s="2" t="n">
        <x:v>2020</x:v>
      </x:c>
      <x:c r="F735" s="17" t="n">
        <x:v>971474702.6920972</x:v>
      </x:c>
      <x:c r="G735" s="17" t="n">
        <x:v>1019333626.31</x:v>
      </x:c>
      <x:c r="H735" s="17" t="n">
        <x:v>1306436027</x:v>
      </x:c>
      <x:c r="I735" s="17" t="n">
        <x:v>1365564489</x:v>
      </x:c>
      <x:c r="J735" s="2" t="str">
        <x:v>m2</x:v>
      </x:c>
      <x:c r="K735" s="15" t="n">
        <x:f>IF(AND(ISNUMBER(F735),ISNUMBER(G735),F735&gt;0),G735/F735-1,"n.a.")</x:f>
        <x:v>0.0492641995568992</x:v>
      </x:c>
      <x:c r="L735" s="15" t="n">
        <x:f>IF(AND(N735,ISNUMBER(H735),ISNUMBER(I735),H735&gt;0),I735/H735-1,"n.a.")</x:f>
        <x:v>0.04525936270739406</x:v>
      </x:c>
      <x:c r="M735" s="20" t="n">
        <x:f>IF(AND(ISNUMBER(K735),ISNUMBER(L735)),100*(K735-L735),"n.a.")</x:f>
        <x:v>0.40048368495051445</x:v>
      </x:c>
      <x:c r="N735" s="13" t="b">
        <x:v>1</x:v>
      </x:c>
      <x:c r="O735" s="13" t="b">
        <x:v>1</x:v>
      </x:c>
      <x:c r="P735" s="13" t="b">
        <x:v>0</x:v>
      </x:c>
      <x:c r="Q735" s="2" t="str">
        <x:v>legacy epoch_status=observed; not exact acquisition proof</x:v>
      </x:c>
      <x:c r="R735" s="2" t="str">
        <x:v>legacy epoch_status=observed; not exact acquisition proof</x:v>
      </x:c>
      <x:c r="S735" s="2" t="str">
        <x:v>historical source estimate</x:v>
      </x:c>
      <x:c r="T735" s="2" t="str">
        <x:v>historical source estimate</x:v>
      </x:c>
      <x:c r="U735" s="2" t="str">
        <x:v>GFA growth versus source physical quantity growth; constant conversion required for equality</x:v>
      </x:c>
      <x:c r="V735" s="2" t="str">
        <x:v>Historical horizontal endpoint trend already used by v16</x:v>
      </x:c>
      <x:c r="W735" s="2" t="str">
        <x:v>https://human-settlement.emergency.copernicus.eu/ghs_buS2023.php</x:v>
      </x:c>
    </x:row>
    <x:row r="736" ht="23" customHeight="1">
      <x:c r="A736" s="2" t="str">
        <x:v>PRY</x:v>
      </x:c>
      <x:c r="B736" s="2" t="str">
        <x:v>Paraguay (Republic of)</x:v>
      </x:c>
      <x:c r="C736" s="2" t="str">
        <x:v>GHSL_SURFACE</x:v>
      </x:c>
      <x:c r="D736" s="2" t="n">
        <x:v>2015</x:v>
      </x:c>
      <x:c r="E736" s="2" t="n">
        <x:v>2020</x:v>
      </x:c>
      <x:c r="F736" s="17" t="n">
        <x:v>320713958.5472337</x:v>
      </x:c>
      <x:c r="G736" s="17" t="n">
        <x:v>336793873.4500005</x:v>
      </x:c>
      <x:c r="H736" s="17" t="n">
        <x:v>539441957</x:v>
      </x:c>
      <x:c r="I736" s="17" t="n">
        <x:v>562623032</x:v>
      </x:c>
      <x:c r="J736" s="2" t="str">
        <x:v>m2</x:v>
      </x:c>
      <x:c r="K736" s="15" t="n">
        <x:f>IF(AND(ISNUMBER(F736),ISNUMBER(G736),F736&gt;0),G736/F736-1,"n.a.")</x:f>
        <x:v>0.050137870442575894</x:v>
      </x:c>
      <x:c r="L736" s="15" t="n">
        <x:f>IF(AND(N736,ISNUMBER(H736),ISNUMBER(I736),H736&gt;0),I736/H736-1,"n.a.")</x:f>
        <x:v>0.04297232482418867</x:v>
      </x:c>
      <x:c r="M736" s="20" t="n">
        <x:f>IF(AND(ISNUMBER(K736),ISNUMBER(L736)),100*(K736-L736),"n.a.")</x:f>
        <x:v>0.7165545618387226</x:v>
      </x:c>
      <x:c r="N736" s="13" t="b">
        <x:v>1</x:v>
      </x:c>
      <x:c r="O736" s="13" t="b">
        <x:v>1</x:v>
      </x:c>
      <x:c r="P736" s="13" t="b">
        <x:v>0</x:v>
      </x:c>
      <x:c r="Q736" s="2" t="str">
        <x:v>legacy epoch_status=observed; not exact acquisition proof</x:v>
      </x:c>
      <x:c r="R736" s="2" t="str">
        <x:v>legacy epoch_status=observed; not exact acquisition proof</x:v>
      </x:c>
      <x:c r="S736" s="2" t="str">
        <x:v>historical source estimate</x:v>
      </x:c>
      <x:c r="T736" s="2" t="str">
        <x:v>historical source estimate</x:v>
      </x:c>
      <x:c r="U736" s="2" t="str">
        <x:v>GFA growth versus source physical quantity growth; constant conversion required for equality</x:v>
      </x:c>
      <x:c r="V736" s="2" t="str">
        <x:v>Historical horizontal endpoint trend already used by v16</x:v>
      </x:c>
      <x:c r="W736" s="2" t="str">
        <x:v>https://human-settlement.emergency.copernicus.eu/ghs_buS2023.php</x:v>
      </x:c>
    </x:row>
    <x:row r="737" ht="23" customHeight="1">
      <x:c r="A737" s="2" t="str">
        <x:v>PSE</x:v>
      </x:c>
      <x:c r="B737" s="2" t="str">
        <x:v>State of Palestine</x:v>
      </x:c>
      <x:c r="C737" s="2" t="str">
        <x:v>GHSL_SURFACE</x:v>
      </x:c>
      <x:c r="D737" s="2" t="n">
        <x:v>2015</x:v>
      </x:c>
      <x:c r="E737" s="2" t="n">
        <x:v>2020</x:v>
      </x:c>
      <x:c r="F737" s="17" t="n">
        <x:v>227721164.33217236</x:v>
      </x:c>
      <x:c r="G737" s="17" t="n">
        <x:v>239938472.63190365</x:v>
      </x:c>
      <x:c r="H737" s="17"/>
      <x:c r="I737" s="17"/>
      <x:c r="J737" s="2" t="str">
        <x:v>m2</x:v>
      </x:c>
      <x:c r="K737" s="15" t="n">
        <x:f>IF(AND(ISNUMBER(F737),ISNUMBER(G737),F737&gt;0),G737/F737-1,"n.a.")</x:f>
        <x:v>0.05365029787881359</x:v>
      </x:c>
      <x:c r="L737" s="15" t="str">
        <x:f>IF(AND(N737,ISNUMBER(H737),ISNUMBER(I737),H737&gt;0),I737/H737-1,"n.a.")</x:f>
        <x:v>n.a.</x:v>
      </x:c>
      <x:c r="M737" s="20" t="str">
        <x:f>IF(AND(ISNUMBER(K737),ISNUMBER(L737)),100*(K737-L737),"n.a.")</x:f>
        <x:v>n.a.</x:v>
      </x:c>
      <x:c r="N737" s="13" t="b">
        <x:v>0</x:v>
      </x:c>
      <x:c r="O737" s="13" t="b">
        <x:v>0</x:v>
      </x:c>
      <x:c r="P737" s="13" t="b">
        <x:v>1</x:v>
      </x:c>
      <x:c r="Q737" s="2" t="str">
        <x:v>legacy epoch_status=missing; not exact acquisition proof</x:v>
      </x:c>
      <x:c r="R737" s="2" t="str">
        <x:v>legacy epoch_status=missing; not exact acquisition proof</x:v>
      </x:c>
      <x:c r="S737" s="2" t="str">
        <x:v>historical source estimate</x:v>
      </x:c>
      <x:c r="T737" s="2" t="str">
        <x:v>historical source estimate</x:v>
      </x:c>
      <x:c r="U737" s="2" t="str">
        <x:v>GFA growth versus source physical quantity growth; constant conversion required for equality</x:v>
      </x:c>
      <x:c r="V737" s="2" t="str">
        <x:v>Historical horizontal endpoint trend already used by v16</x:v>
      </x:c>
      <x:c r="W737" s="2" t="str">
        <x:v>https://human-settlement.emergency.copernicus.eu/ghs_buS2023.php</x:v>
      </x:c>
    </x:row>
    <x:row r="738" ht="23" customHeight="1">
      <x:c r="A738" s="2" t="str">
        <x:v>QAT</x:v>
      </x:c>
      <x:c r="B738" s="2" t="str">
        <x:v>Qatar (State of)</x:v>
      </x:c>
      <x:c r="C738" s="2" t="str">
        <x:v>GHSL_SURFACE</x:v>
      </x:c>
      <x:c r="D738" s="2" t="n">
        <x:v>2015</x:v>
      </x:c>
      <x:c r="E738" s="2" t="n">
        <x:v>2020</x:v>
      </x:c>
      <x:c r="F738" s="17" t="n">
        <x:v>105013579.42282487</x:v>
      </x:c>
      <x:c r="G738" s="17" t="n">
        <x:v>137316242.80000022</x:v>
      </x:c>
      <x:c r="H738" s="17" t="n">
        <x:v>164481495</x:v>
      </x:c>
      <x:c r="I738" s="17" t="n">
        <x:v>213763441</x:v>
      </x:c>
      <x:c r="J738" s="2" t="str">
        <x:v>m2</x:v>
      </x:c>
      <x:c r="K738" s="15" t="n">
        <x:f>IF(AND(ISNUMBER(F738),ISNUMBER(G738),F738&gt;0),G738/F738-1,"n.a.")</x:f>
        <x:v>0.307604631274518</x:v>
      </x:c>
      <x:c r="L738" s="15" t="n">
        <x:f>IF(AND(N738,ISNUMBER(H738),ISNUMBER(I738),H738&gt;0),I738/H738-1,"n.a.")</x:f>
        <x:v>0.29962000284591284</x:v>
      </x:c>
      <x:c r="M738" s="20" t="n">
        <x:f>IF(AND(ISNUMBER(K738),ISNUMBER(L738)),100*(K738-L738),"n.a.")</x:f>
        <x:v>0.7984628428605145</x:v>
      </x:c>
      <x:c r="N738" s="13" t="b">
        <x:v>1</x:v>
      </x:c>
      <x:c r="O738" s="13" t="b">
        <x:v>1</x:v>
      </x:c>
      <x:c r="P738" s="13" t="b">
        <x:v>0</x:v>
      </x:c>
      <x:c r="Q738" s="2" t="str">
        <x:v>legacy epoch_status=observed; not exact acquisition proof</x:v>
      </x:c>
      <x:c r="R738" s="2" t="str">
        <x:v>legacy epoch_status=observed; not exact acquisition proof</x:v>
      </x:c>
      <x:c r="S738" s="2" t="str">
        <x:v>historical source estimate</x:v>
      </x:c>
      <x:c r="T738" s="2" t="str">
        <x:v>historical source estimate</x:v>
      </x:c>
      <x:c r="U738" s="2" t="str">
        <x:v>GFA growth versus source physical quantity growth; constant conversion required for equality</x:v>
      </x:c>
      <x:c r="V738" s="2" t="str">
        <x:v>Historical horizontal endpoint trend already used by v16</x:v>
      </x:c>
      <x:c r="W738" s="2" t="str">
        <x:v>https://human-settlement.emergency.copernicus.eu/ghs_buS2023.php</x:v>
      </x:c>
    </x:row>
    <x:row r="739" ht="23" customHeight="1">
      <x:c r="A739" s="2" t="str">
        <x:v>ROU</x:v>
      </x:c>
      <x:c r="B739" s="2" t="str">
        <x:v>Romania</x:v>
      </x:c>
      <x:c r="C739" s="2" t="str">
        <x:v>GHSL_SURFACE</x:v>
      </x:c>
      <x:c r="D739" s="2" t="n">
        <x:v>2015</x:v>
      </x:c>
      <x:c r="E739" s="2" t="n">
        <x:v>2020</x:v>
      </x:c>
      <x:c r="F739" s="17" t="n">
        <x:v>1361197456.7154684</x:v>
      </x:c>
      <x:c r="G739" s="17" t="n">
        <x:v>1451492077.9900024</x:v>
      </x:c>
      <x:c r="H739" s="17" t="n">
        <x:v>2141213984</x:v>
      </x:c>
      <x:c r="I739" s="17" t="n">
        <x:v>2283253218</x:v>
      </x:c>
      <x:c r="J739" s="2" t="str">
        <x:v>m2</x:v>
      </x:c>
      <x:c r="K739" s="15" t="n">
        <x:f>IF(AND(ISNUMBER(F739),ISNUMBER(G739),F739&gt;0),G739/F739-1,"n.a.")</x:f>
        <x:v>0.06633469731306452</x:v>
      </x:c>
      <x:c r="L739" s="15" t="n">
        <x:f>IF(AND(N739,ISNUMBER(H739),ISNUMBER(I739),H739&gt;0),I739/H739-1,"n.a.")</x:f>
        <x:v>0.06633584268614601</x:v>
      </x:c>
      <x:c r="M739" s="20" t="n">
        <x:f>IF(AND(ISNUMBER(K739),ISNUMBER(L739)),100*(K739-L739),"n.a.")</x:f>
        <x:v>-0.00011453730814903196</x:v>
      </x:c>
      <x:c r="N739" s="13" t="b">
        <x:v>1</x:v>
      </x:c>
      <x:c r="O739" s="13" t="b">
        <x:v>1</x:v>
      </x:c>
      <x:c r="P739" s="13" t="b">
        <x:v>0</x:v>
      </x:c>
      <x:c r="Q739" s="2" t="str">
        <x:v>legacy epoch_status=observed; not exact acquisition proof</x:v>
      </x:c>
      <x:c r="R739" s="2" t="str">
        <x:v>legacy epoch_status=observed; not exact acquisition proof</x:v>
      </x:c>
      <x:c r="S739" s="2" t="str">
        <x:v>historical source estimate</x:v>
      </x:c>
      <x:c r="T739" s="2" t="str">
        <x:v>historical source estimate</x:v>
      </x:c>
      <x:c r="U739" s="2" t="str">
        <x:v>GFA growth versus source physical quantity growth; constant conversion required for equality</x:v>
      </x:c>
      <x:c r="V739" s="2" t="str">
        <x:v>Historical horizontal endpoint trend already used by v16</x:v>
      </x:c>
      <x:c r="W739" s="2" t="str">
        <x:v>https://human-settlement.emergency.copernicus.eu/ghs_buS2023.php</x:v>
      </x:c>
    </x:row>
    <x:row r="740" ht="23" customHeight="1">
      <x:c r="A740" s="2" t="str">
        <x:v>RUS</x:v>
      </x:c>
      <x:c r="B740" s="2" t="str">
        <x:v>Russian Federation</x:v>
      </x:c>
      <x:c r="C740" s="2" t="str">
        <x:v>GHSL_SURFACE</x:v>
      </x:c>
      <x:c r="D740" s="2" t="n">
        <x:v>2015</x:v>
      </x:c>
      <x:c r="E740" s="2" t="n">
        <x:v>2020</x:v>
      </x:c>
      <x:c r="F740" s="17" t="n">
        <x:v>7329903918.534828</x:v>
      </x:c>
      <x:c r="G740" s="17" t="n">
        <x:v>7767687345.91001</x:v>
      </x:c>
      <x:c r="H740" s="17" t="n">
        <x:v>11918512180</x:v>
      </x:c>
      <x:c r="I740" s="17" t="n">
        <x:v>12575889656</x:v>
      </x:c>
      <x:c r="J740" s="2" t="str">
        <x:v>m2</x:v>
      </x:c>
      <x:c r="K740" s="15" t="n">
        <x:f>IF(AND(ISNUMBER(F740),ISNUMBER(G740),F740&gt;0),G740/F740-1,"n.a.")</x:f>
        <x:v>0.059725670655542684</x:v>
      </x:c>
      <x:c r="L740" s="15" t="n">
        <x:f>IF(AND(N740,ISNUMBER(H740),ISNUMBER(I740),H740&gt;0),I740/H740-1,"n.a.")</x:f>
        <x:v>0.0551560015270296</x:v>
      </x:c>
      <x:c r="M740" s="20" t="n">
        <x:f>IF(AND(ISNUMBER(K740),ISNUMBER(L740)),100*(K740-L740),"n.a.")</x:f>
        <x:v>0.45696691285130875</x:v>
      </x:c>
      <x:c r="N740" s="13" t="b">
        <x:v>1</x:v>
      </x:c>
      <x:c r="O740" s="13" t="b">
        <x:v>1</x:v>
      </x:c>
      <x:c r="P740" s="13" t="b">
        <x:v>0</x:v>
      </x:c>
      <x:c r="Q740" s="2" t="str">
        <x:v>legacy epoch_status=observed; not exact acquisition proof</x:v>
      </x:c>
      <x:c r="R740" s="2" t="str">
        <x:v>legacy epoch_status=observed; not exact acquisition proof</x:v>
      </x:c>
      <x:c r="S740" s="2" t="str">
        <x:v>historical source estimate</x:v>
      </x:c>
      <x:c r="T740" s="2" t="str">
        <x:v>historical source estimate</x:v>
      </x:c>
      <x:c r="U740" s="2" t="str">
        <x:v>GFA growth versus source physical quantity growth; constant conversion required for equality</x:v>
      </x:c>
      <x:c r="V740" s="2" t="str">
        <x:v>Historical horizontal endpoint trend already used by v16</x:v>
      </x:c>
      <x:c r="W740" s="2" t="str">
        <x:v>https://human-settlement.emergency.copernicus.eu/ghs_buS2023.php</x:v>
      </x:c>
    </x:row>
    <x:row r="741" ht="23" customHeight="1">
      <x:c r="A741" s="2" t="str">
        <x:v>RWA</x:v>
      </x:c>
      <x:c r="B741" s="2" t="str">
        <x:v>Rwanda (Republic of)</x:v>
      </x:c>
      <x:c r="C741" s="2" t="str">
        <x:v>GHSL_SURFACE</x:v>
      </x:c>
      <x:c r="D741" s="2" t="n">
        <x:v>2015</x:v>
      </x:c>
      <x:c r="E741" s="2" t="n">
        <x:v>2020</x:v>
      </x:c>
      <x:c r="F741" s="17" t="n">
        <x:v>190675524.79529798</x:v>
      </x:c>
      <x:c r="G741" s="17" t="n">
        <x:v>244877324.63000005</x:v>
      </x:c>
      <x:c r="H741" s="17" t="n">
        <x:v>531507465</x:v>
      </x:c>
      <x:c r="I741" s="17" t="n">
        <x:v>676279394</x:v>
      </x:c>
      <x:c r="J741" s="2" t="str">
        <x:v>m2</x:v>
      </x:c>
      <x:c r="K741" s="15" t="n">
        <x:f>IF(AND(ISNUMBER(F741),ISNUMBER(G741),F741&gt;0),G741/F741-1,"n.a.")</x:f>
        <x:v>0.28426196751203947</x:v>
      </x:c>
      <x:c r="L741" s="15" t="n">
        <x:f>IF(AND(N741,ISNUMBER(H741),ISNUMBER(I741),H741&gt;0),I741/H741-1,"n.a.")</x:f>
        <x:v>0.2723798601775047</x:v>
      </x:c>
      <x:c r="M741" s="20" t="n">
        <x:f>IF(AND(ISNUMBER(K741),ISNUMBER(L741)),100*(K741-L741),"n.a.")</x:f>
        <x:v>1.1882107334534764</x:v>
      </x:c>
      <x:c r="N741" s="13" t="b">
        <x:v>1</x:v>
      </x:c>
      <x:c r="O741" s="13" t="b">
        <x:v>1</x:v>
      </x:c>
      <x:c r="P741" s="13" t="b">
        <x:v>0</x:v>
      </x:c>
      <x:c r="Q741" s="2" t="str">
        <x:v>legacy epoch_status=observed; not exact acquisition proof</x:v>
      </x:c>
      <x:c r="R741" s="2" t="str">
        <x:v>legacy epoch_status=observed; not exact acquisition proof</x:v>
      </x:c>
      <x:c r="S741" s="2" t="str">
        <x:v>historical source estimate</x:v>
      </x:c>
      <x:c r="T741" s="2" t="str">
        <x:v>historical source estimate</x:v>
      </x:c>
      <x:c r="U741" s="2" t="str">
        <x:v>GFA growth versus source physical quantity growth; constant conversion required for equality</x:v>
      </x:c>
      <x:c r="V741" s="2" t="str">
        <x:v>Historical horizontal endpoint trend already used by v16</x:v>
      </x:c>
      <x:c r="W741" s="2" t="str">
        <x:v>https://human-settlement.emergency.copernicus.eu/ghs_buS2023.php</x:v>
      </x:c>
    </x:row>
    <x:row r="742" ht="23" customHeight="1">
      <x:c r="A742" s="2" t="str">
        <x:v>SAU</x:v>
      </x:c>
      <x:c r="B742" s="2" t="str">
        <x:v>Saudi Arabia (Kingdom of)</x:v>
      </x:c>
      <x:c r="C742" s="2" t="str">
        <x:v>GHSL_SURFACE</x:v>
      </x:c>
      <x:c r="D742" s="2" t="n">
        <x:v>2015</x:v>
      </x:c>
      <x:c r="E742" s="2" t="n">
        <x:v>2020</x:v>
      </x:c>
      <x:c r="F742" s="17" t="n">
        <x:v>1566644512.76466</x:v>
      </x:c>
      <x:c r="G742" s="17" t="n">
        <x:v>1911722272.930002</x:v>
      </x:c>
      <x:c r="H742" s="17" t="n">
        <x:v>2300309035</x:v>
      </x:c>
      <x:c r="I742" s="17" t="n">
        <x:v>2788803471</x:v>
      </x:c>
      <x:c r="J742" s="2" t="str">
        <x:v>m2</x:v>
      </x:c>
      <x:c r="K742" s="15" t="n">
        <x:f>IF(AND(ISNUMBER(F742),ISNUMBER(G742),F742&gt;0),G742/F742-1,"n.a.")</x:f>
        <x:v>0.2202655148335999</x:v>
      </x:c>
      <x:c r="L742" s="15" t="n">
        <x:f>IF(AND(N742,ISNUMBER(H742),ISNUMBER(I742),H742&gt;0),I742/H742-1,"n.a.")</x:f>
        <x:v>0.21236035183420476</x:v>
      </x:c>
      <x:c r="M742" s="20" t="n">
        <x:f>IF(AND(ISNUMBER(K742),ISNUMBER(L742)),100*(K742-L742),"n.a.")</x:f>
        <x:v>0.7905162999395143</x:v>
      </x:c>
      <x:c r="N742" s="13" t="b">
        <x:v>1</x:v>
      </x:c>
      <x:c r="O742" s="13" t="b">
        <x:v>1</x:v>
      </x:c>
      <x:c r="P742" s="13" t="b">
        <x:v>0</x:v>
      </x:c>
      <x:c r="Q742" s="2" t="str">
        <x:v>legacy epoch_status=observed; not exact acquisition proof</x:v>
      </x:c>
      <x:c r="R742" s="2" t="str">
        <x:v>legacy epoch_status=observed; not exact acquisition proof</x:v>
      </x:c>
      <x:c r="S742" s="2" t="str">
        <x:v>historical source estimate</x:v>
      </x:c>
      <x:c r="T742" s="2" t="str">
        <x:v>historical source estimate</x:v>
      </x:c>
      <x:c r="U742" s="2" t="str">
        <x:v>GFA growth versus source physical quantity growth; constant conversion required for equality</x:v>
      </x:c>
      <x:c r="V742" s="2" t="str">
        <x:v>Historical horizontal endpoint trend already used by v16</x:v>
      </x:c>
      <x:c r="W742" s="2" t="str">
        <x:v>https://human-settlement.emergency.copernicus.eu/ghs_buS2023.php</x:v>
      </x:c>
    </x:row>
    <x:row r="743" ht="23" customHeight="1">
      <x:c r="A743" s="2" t="str">
        <x:v>SDN</x:v>
      </x:c>
      <x:c r="B743" s="2" t="str">
        <x:v>Sudan (Republic of the)</x:v>
      </x:c>
      <x:c r="C743" s="2" t="str">
        <x:v>GHSL_SURFACE</x:v>
      </x:c>
      <x:c r="D743" s="2" t="n">
        <x:v>2015</x:v>
      </x:c>
      <x:c r="E743" s="2" t="n">
        <x:v>2020</x:v>
      </x:c>
      <x:c r="F743" s="17" t="n">
        <x:v>556895482.4611582</x:v>
      </x:c>
      <x:c r="G743" s="17" t="n">
        <x:v>751311239.6000005</x:v>
      </x:c>
      <x:c r="H743" s="17" t="n">
        <x:v>1218644590</x:v>
      </x:c>
      <x:c r="I743" s="17" t="n">
        <x:v>1633884999</x:v>
      </x:c>
      <x:c r="J743" s="2" t="str">
        <x:v>m2</x:v>
      </x:c>
      <x:c r="K743" s="15" t="n">
        <x:f>IF(AND(ISNUMBER(F743),ISNUMBER(G743),F743&gt;0),G743/F743-1,"n.a.")</x:f>
        <x:v>0.34910636423128505</x:v>
      </x:c>
      <x:c r="L743" s="15" t="n">
        <x:f>IF(AND(N743,ISNUMBER(H743),ISNUMBER(I743),H743&gt;0),I743/H743-1,"n.a.")</x:f>
        <x:v>0.34073954983052124</x:v>
      </x:c>
      <x:c r="M743" s="20" t="n">
        <x:f>IF(AND(ISNUMBER(K743),ISNUMBER(L743)),100*(K743-L743),"n.a.")</x:f>
        <x:v>0.8366814400763811</x:v>
      </x:c>
      <x:c r="N743" s="13" t="b">
        <x:v>1</x:v>
      </x:c>
      <x:c r="O743" s="13" t="b">
        <x:v>1</x:v>
      </x:c>
      <x:c r="P743" s="13" t="b">
        <x:v>0</x:v>
      </x:c>
      <x:c r="Q743" s="2" t="str">
        <x:v>legacy epoch_status=observed; not exact acquisition proof</x:v>
      </x:c>
      <x:c r="R743" s="2" t="str">
        <x:v>legacy epoch_status=observed; not exact acquisition proof</x:v>
      </x:c>
      <x:c r="S743" s="2" t="str">
        <x:v>historical source estimate</x:v>
      </x:c>
      <x:c r="T743" s="2" t="str">
        <x:v>historical source estimate</x:v>
      </x:c>
      <x:c r="U743" s="2" t="str">
        <x:v>GFA growth versus source physical quantity growth; constant conversion required for equality</x:v>
      </x:c>
      <x:c r="V743" s="2" t="str">
        <x:v>Historical horizontal endpoint trend already used by v16</x:v>
      </x:c>
      <x:c r="W743" s="2" t="str">
        <x:v>https://human-settlement.emergency.copernicus.eu/ghs_buS2023.php</x:v>
      </x:c>
    </x:row>
    <x:row r="744" ht="23" customHeight="1">
      <x:c r="A744" s="2" t="str">
        <x:v>SEN</x:v>
      </x:c>
      <x:c r="B744" s="2" t="str">
        <x:v>Senegal (Republic of)</x:v>
      </x:c>
      <x:c r="C744" s="2" t="str">
        <x:v>GHSL_SURFACE</x:v>
      </x:c>
      <x:c r="D744" s="2" t="n">
        <x:v>2015</x:v>
      </x:c>
      <x:c r="E744" s="2" t="n">
        <x:v>2020</x:v>
      </x:c>
      <x:c r="F744" s="17" t="n">
        <x:v>264389994.98968568</x:v>
      </x:c>
      <x:c r="G744" s="17" t="n">
        <x:v>305052833.6899998</x:v>
      </x:c>
      <x:c r="H744" s="17" t="n">
        <x:v>609220230</x:v>
      </x:c>
      <x:c r="I744" s="17" t="n">
        <x:v>698769296</x:v>
      </x:c>
      <x:c r="J744" s="2" t="str">
        <x:v>m2</x:v>
      </x:c>
      <x:c r="K744" s="15" t="n">
        <x:f>IF(AND(ISNUMBER(F744),ISNUMBER(G744),F744&gt;0),G744/F744-1,"n.a.")</x:f>
        <x:v>0.1537987044551381</x:v>
      </x:c>
      <x:c r="L744" s="15" t="n">
        <x:f>IF(AND(N744,ISNUMBER(H744),ISNUMBER(I744),H744&gt;0),I744/H744-1,"n.a.")</x:f>
        <x:v>0.14698964609234988</x:v>
      </x:c>
      <x:c r="M744" s="20" t="n">
        <x:f>IF(AND(ISNUMBER(K744),ISNUMBER(L744)),100*(K744-L744),"n.a.")</x:f>
        <x:v>0.6809058362788223</x:v>
      </x:c>
      <x:c r="N744" s="13" t="b">
        <x:v>1</x:v>
      </x:c>
      <x:c r="O744" s="13" t="b">
        <x:v>1</x:v>
      </x:c>
      <x:c r="P744" s="13" t="b">
        <x:v>0</x:v>
      </x:c>
      <x:c r="Q744" s="2" t="str">
        <x:v>legacy epoch_status=observed; not exact acquisition proof</x:v>
      </x:c>
      <x:c r="R744" s="2" t="str">
        <x:v>legacy epoch_status=observed; not exact acquisition proof</x:v>
      </x:c>
      <x:c r="S744" s="2" t="str">
        <x:v>historical source estimate</x:v>
      </x:c>
      <x:c r="T744" s="2" t="str">
        <x:v>historical source estimate</x:v>
      </x:c>
      <x:c r="U744" s="2" t="str">
        <x:v>GFA growth versus source physical quantity growth; constant conversion required for equality</x:v>
      </x:c>
      <x:c r="V744" s="2" t="str">
        <x:v>Historical horizontal endpoint trend already used by v16</x:v>
      </x:c>
      <x:c r="W744" s="2" t="str">
        <x:v>https://human-settlement.emergency.copernicus.eu/ghs_buS2023.php</x:v>
      </x:c>
    </x:row>
    <x:row r="745" ht="23" customHeight="1">
      <x:c r="A745" s="2" t="str">
        <x:v>SGP</x:v>
      </x:c>
      <x:c r="B745" s="2" t="str">
        <x:v>Singapore (Republic of)</x:v>
      </x:c>
      <x:c r="C745" s="2" t="str">
        <x:v>GHSL_SURFACE</x:v>
      </x:c>
      <x:c r="D745" s="2" t="n">
        <x:v>2015</x:v>
      </x:c>
      <x:c r="E745" s="2" t="n">
        <x:v>2020</x:v>
      </x:c>
      <x:c r="F745" s="17" t="n">
        <x:v>187575286.78208792</x:v>
      </x:c>
      <x:c r="G745" s="17" t="n">
        <x:v>194662203.04</x:v>
      </x:c>
      <x:c r="H745" s="17" t="n">
        <x:v>103959360</x:v>
      </x:c>
      <x:c r="I745" s="17" t="n">
        <x:v>107391783</x:v>
      </x:c>
      <x:c r="J745" s="2" t="str">
        <x:v>m2</x:v>
      </x:c>
      <x:c r="K745" s="15" t="n">
        <x:f>IF(AND(ISNUMBER(F745),ISNUMBER(G745),F745&gt;0),G745/F745-1,"n.a.")</x:f>
        <x:v>0.03778171623506643</x:v>
      </x:c>
      <x:c r="L745" s="15" t="n">
        <x:f>IF(AND(N745,ISNUMBER(H745),ISNUMBER(I745),H745&gt;0),I745/H745-1,"n.a.")</x:f>
        <x:v>0.03301696932339704</x:v>
      </x:c>
      <x:c r="M745" s="20" t="n">
        <x:f>IF(AND(ISNUMBER(K745),ISNUMBER(L745)),100*(K745-L745),"n.a.")</x:f>
        <x:v>0.4764746911669393</x:v>
      </x:c>
      <x:c r="N745" s="13" t="b">
        <x:v>1</x:v>
      </x:c>
      <x:c r="O745" s="13" t="b">
        <x:v>1</x:v>
      </x:c>
      <x:c r="P745" s="13" t="b">
        <x:v>0</x:v>
      </x:c>
      <x:c r="Q745" s="2" t="str">
        <x:v>legacy epoch_status=observed; not exact acquisition proof</x:v>
      </x:c>
      <x:c r="R745" s="2" t="str">
        <x:v>legacy epoch_status=observed; not exact acquisition proof</x:v>
      </x:c>
      <x:c r="S745" s="2" t="str">
        <x:v>historical source estimate</x:v>
      </x:c>
      <x:c r="T745" s="2" t="str">
        <x:v>historical source estimate</x:v>
      </x:c>
      <x:c r="U745" s="2" t="str">
        <x:v>GFA growth versus source physical quantity growth; constant conversion required for equality</x:v>
      </x:c>
      <x:c r="V745" s="2" t="str">
        <x:v>Historical horizontal endpoint trend already used by v16</x:v>
      </x:c>
      <x:c r="W745" s="2" t="str">
        <x:v>https://human-settlement.emergency.copernicus.eu/ghs_buS2023.php</x:v>
      </x:c>
    </x:row>
    <x:row r="746" ht="23" customHeight="1">
      <x:c r="A746" s="2" t="str">
        <x:v>SLB</x:v>
      </x:c>
      <x:c r="B746" s="2" t="str">
        <x:v>Solomon Islands</x:v>
      </x:c>
      <x:c r="C746" s="2" t="str">
        <x:v>GHSL_SURFACE</x:v>
      </x:c>
      <x:c r="D746" s="2" t="n">
        <x:v>2015</x:v>
      </x:c>
      <x:c r="E746" s="2" t="n">
        <x:v>2020</x:v>
      </x:c>
      <x:c r="F746" s="17" t="n">
        <x:v>13834538.346259255</x:v>
      </x:c>
      <x:c r="G746" s="17" t="n">
        <x:v>14438629.189999975</x:v>
      </x:c>
      <x:c r="H746" s="17" t="n">
        <x:v>21306784</x:v>
      </x:c>
      <x:c r="I746" s="17" t="n">
        <x:v>22068396</x:v>
      </x:c>
      <x:c r="J746" s="2" t="str">
        <x:v>m2</x:v>
      </x:c>
      <x:c r="K746" s="15" t="n">
        <x:f>IF(AND(ISNUMBER(F746),ISNUMBER(G746),F746&gt;0),G746/F746-1,"n.a.")</x:f>
        <x:v>0.04366541395319201</x:v>
      </x:c>
      <x:c r="L746" s="15" t="n">
        <x:f>IF(AND(N746,ISNUMBER(H746),ISNUMBER(I746),H746&gt;0),I746/H746-1,"n.a.")</x:f>
        <x:v>0.03574504721125438</x:v>
      </x:c>
      <x:c r="M746" s="20" t="n">
        <x:f>IF(AND(ISNUMBER(K746),ISNUMBER(L746)),100*(K746-L746),"n.a.")</x:f>
        <x:v>0.7920366741937634</x:v>
      </x:c>
      <x:c r="N746" s="13" t="b">
        <x:v>1</x:v>
      </x:c>
      <x:c r="O746" s="13" t="b">
        <x:v>1</x:v>
      </x:c>
      <x:c r="P746" s="13" t="b">
        <x:v>0</x:v>
      </x:c>
      <x:c r="Q746" s="2" t="str">
        <x:v>legacy epoch_status=observed; not exact acquisition proof</x:v>
      </x:c>
      <x:c r="R746" s="2" t="str">
        <x:v>legacy epoch_status=observed; not exact acquisition proof</x:v>
      </x:c>
      <x:c r="S746" s="2" t="str">
        <x:v>historical source estimate</x:v>
      </x:c>
      <x:c r="T746" s="2" t="str">
        <x:v>historical source estimate</x:v>
      </x:c>
      <x:c r="U746" s="2" t="str">
        <x:v>GFA growth versus source physical quantity growth; constant conversion required for equality</x:v>
      </x:c>
      <x:c r="V746" s="2" t="str">
        <x:v>Historical horizontal endpoint trend already used by v16</x:v>
      </x:c>
      <x:c r="W746" s="2" t="str">
        <x:v>https://human-settlement.emergency.copernicus.eu/ghs_buS2023.php</x:v>
      </x:c>
    </x:row>
    <x:row r="747" ht="23" customHeight="1">
      <x:c r="A747" s="2" t="str">
        <x:v>SLE</x:v>
      </x:c>
      <x:c r="B747" s="2" t="str">
        <x:v>Sierra Leone (Republic of)</x:v>
      </x:c>
      <x:c r="C747" s="2" t="str">
        <x:v>GHSL_SURFACE</x:v>
      </x:c>
      <x:c r="D747" s="2" t="n">
        <x:v>2015</x:v>
      </x:c>
      <x:c r="E747" s="2" t="n">
        <x:v>2020</x:v>
      </x:c>
      <x:c r="F747" s="17" t="n">
        <x:v>109212964.25369625</x:v>
      </x:c>
      <x:c r="G747" s="17" t="n">
        <x:v>115259924.94999996</x:v>
      </x:c>
      <x:c r="H747" s="17" t="n">
        <x:v>211971004</x:v>
      </x:c>
      <x:c r="I747" s="17" t="n">
        <x:v>221509991</x:v>
      </x:c>
      <x:c r="J747" s="2" t="str">
        <x:v>m2</x:v>
      </x:c>
      <x:c r="K747" s="15" t="n">
        <x:f>IF(AND(ISNUMBER(F747),ISNUMBER(G747),F747&gt;0),G747/F747-1,"n.a.")</x:f>
        <x:v>0.05536852458520336</x:v>
      </x:c>
      <x:c r="L747" s="15" t="n">
        <x:f>IF(AND(N747,ISNUMBER(H747),ISNUMBER(I747),H747&gt;0),I747/H747-1,"n.a.")</x:f>
        <x:v>0.045001376697729745</x:v>
      </x:c>
      <x:c r="M747" s="20" t="n">
        <x:f>IF(AND(ISNUMBER(K747),ISNUMBER(L747)),100*(K747-L747),"n.a.")</x:f>
        <x:v>1.0367147887473616</x:v>
      </x:c>
      <x:c r="N747" s="13" t="b">
        <x:v>1</x:v>
      </x:c>
      <x:c r="O747" s="13" t="b">
        <x:v>1</x:v>
      </x:c>
      <x:c r="P747" s="13" t="b">
        <x:v>0</x:v>
      </x:c>
      <x:c r="Q747" s="2" t="str">
        <x:v>legacy epoch_status=observed; not exact acquisition proof</x:v>
      </x:c>
      <x:c r="R747" s="2" t="str">
        <x:v>legacy epoch_status=observed; not exact acquisition proof</x:v>
      </x:c>
      <x:c r="S747" s="2" t="str">
        <x:v>historical source estimate</x:v>
      </x:c>
      <x:c r="T747" s="2" t="str">
        <x:v>historical source estimate</x:v>
      </x:c>
      <x:c r="U747" s="2" t="str">
        <x:v>GFA growth versus source physical quantity growth; constant conversion required for equality</x:v>
      </x:c>
      <x:c r="V747" s="2" t="str">
        <x:v>Historical horizontal endpoint trend already used by v16</x:v>
      </x:c>
      <x:c r="W747" s="2" t="str">
        <x:v>https://human-settlement.emergency.copernicus.eu/ghs_buS2023.php</x:v>
      </x:c>
    </x:row>
    <x:row r="748" ht="23" customHeight="1">
      <x:c r="A748" s="2" t="str">
        <x:v>SLV</x:v>
      </x:c>
      <x:c r="B748" s="2" t="str">
        <x:v>El Salvador (Republic of)</x:v>
      </x:c>
      <x:c r="C748" s="2" t="str">
        <x:v>GHSL_SURFACE</x:v>
      </x:c>
      <x:c r="D748" s="2" t="n">
        <x:v>2015</x:v>
      </x:c>
      <x:c r="E748" s="2" t="n">
        <x:v>2020</x:v>
      </x:c>
      <x:c r="F748" s="17" t="n">
        <x:v>216811219.0565358</x:v>
      </x:c>
      <x:c r="G748" s="17" t="n">
        <x:v>245414047.01000017</x:v>
      </x:c>
      <x:c r="H748" s="17" t="n">
        <x:v>301388446</x:v>
      </x:c>
      <x:c r="I748" s="17" t="n">
        <x:v>339386096</x:v>
      </x:c>
      <x:c r="J748" s="2" t="str">
        <x:v>m2</x:v>
      </x:c>
      <x:c r="K748" s="15" t="n">
        <x:f>IF(AND(ISNUMBER(F748),ISNUMBER(G748),F748&gt;0),G748/F748-1,"n.a.")</x:f>
        <x:v>0.13192503634235764</x:v>
      </x:c>
      <x:c r="L748" s="15" t="n">
        <x:f>IF(AND(N748,ISNUMBER(H748),ISNUMBER(I748),H748&gt;0),I748/H748-1,"n.a.")</x:f>
        <x:v>0.12607533734056942</x:v>
      </x:c>
      <x:c r="M748" s="20" t="n">
        <x:f>IF(AND(ISNUMBER(K748),ISNUMBER(L748)),100*(K748-L748),"n.a.")</x:f>
        <x:v>0.5849699001788222</x:v>
      </x:c>
      <x:c r="N748" s="13" t="b">
        <x:v>1</x:v>
      </x:c>
      <x:c r="O748" s="13" t="b">
        <x:v>1</x:v>
      </x:c>
      <x:c r="P748" s="13" t="b">
        <x:v>0</x:v>
      </x:c>
      <x:c r="Q748" s="2" t="str">
        <x:v>legacy epoch_status=observed; not exact acquisition proof</x:v>
      </x:c>
      <x:c r="R748" s="2" t="str">
        <x:v>legacy epoch_status=observed; not exact acquisition proof</x:v>
      </x:c>
      <x:c r="S748" s="2" t="str">
        <x:v>historical source estimate</x:v>
      </x:c>
      <x:c r="T748" s="2" t="str">
        <x:v>historical source estimate</x:v>
      </x:c>
      <x:c r="U748" s="2" t="str">
        <x:v>GFA growth versus source physical quantity growth; constant conversion required for equality</x:v>
      </x:c>
      <x:c r="V748" s="2" t="str">
        <x:v>Historical horizontal endpoint trend already used by v16</x:v>
      </x:c>
      <x:c r="W748" s="2" t="str">
        <x:v>https://human-settlement.emergency.copernicus.eu/ghs_buS2023.php</x:v>
      </x:c>
    </x:row>
    <x:row r="749" ht="23" customHeight="1">
      <x:c r="A749" s="2" t="str">
        <x:v>SMR</x:v>
      </x:c>
      <x:c r="B749" s="2" t="str">
        <x:v>San Marino (Republic of)</x:v>
      </x:c>
      <x:c r="C749" s="2" t="str">
        <x:v>GHSL_SURFACE</x:v>
      </x:c>
      <x:c r="D749" s="2" t="n">
        <x:v>2015</x:v>
      </x:c>
      <x:c r="E749" s="2" t="n">
        <x:v>2020</x:v>
      </x:c>
      <x:c r="F749" s="17" t="n">
        <x:v>2893084.9931119457</x:v>
      </x:c>
      <x:c r="G749" s="17" t="n">
        <x:v>3030681.630000002</x:v>
      </x:c>
      <x:c r="H749" s="17" t="n">
        <x:v>3787064</x:v>
      </x:c>
      <x:c r="I749" s="17" t="n">
        <x:v>3935876</x:v>
      </x:c>
      <x:c r="J749" s="2" t="str">
        <x:v>m2</x:v>
      </x:c>
      <x:c r="K749" s="15" t="n">
        <x:f>IF(AND(ISNUMBER(F749),ISNUMBER(G749),F749&gt;0),G749/F749-1,"n.a.")</x:f>
        <x:v>0.047560523529607934</x:v>
      </x:c>
      <x:c r="L749" s="15" t="n">
        <x:f>IF(AND(N749,ISNUMBER(H749),ISNUMBER(I749),H749&gt;0),I749/H749-1,"n.a.")</x:f>
        <x:v>0.039294820473062986</x:v>
      </x:c>
      <x:c r="M749" s="20" t="n">
        <x:f>IF(AND(ISNUMBER(K749),ISNUMBER(L749)),100*(K749-L749),"n.a.")</x:f>
        <x:v>0.8265703056544949</x:v>
      </x:c>
      <x:c r="N749" s="13" t="b">
        <x:v>1</x:v>
      </x:c>
      <x:c r="O749" s="13" t="b">
        <x:v>1</x:v>
      </x:c>
      <x:c r="P749" s="13" t="b">
        <x:v>0</x:v>
      </x:c>
      <x:c r="Q749" s="2" t="str">
        <x:v>legacy epoch_status=observed; not exact acquisition proof</x:v>
      </x:c>
      <x:c r="R749" s="2" t="str">
        <x:v>legacy epoch_status=observed; not exact acquisition proof</x:v>
      </x:c>
      <x:c r="S749" s="2" t="str">
        <x:v>historical source estimate</x:v>
      </x:c>
      <x:c r="T749" s="2" t="str">
        <x:v>historical source estimate</x:v>
      </x:c>
      <x:c r="U749" s="2" t="str">
        <x:v>GFA growth versus source physical quantity growth; constant conversion required for equality</x:v>
      </x:c>
      <x:c r="V749" s="2" t="str">
        <x:v>Historical horizontal endpoint trend already used by v16</x:v>
      </x:c>
      <x:c r="W749" s="2" t="str">
        <x:v>https://human-settlement.emergency.copernicus.eu/ghs_buS2023.php</x:v>
      </x:c>
    </x:row>
    <x:row r="750" ht="23" customHeight="1">
      <x:c r="A750" s="2" t="str">
        <x:v>SOM</x:v>
      </x:c>
      <x:c r="B750" s="2" t="str">
        <x:v>Somalia (Federal Republic of)</x:v>
      </x:c>
      <x:c r="C750" s="2" t="str">
        <x:v>GHSL_SURFACE</x:v>
      </x:c>
      <x:c r="D750" s="2" t="n">
        <x:v>2015</x:v>
      </x:c>
      <x:c r="E750" s="2" t="n">
        <x:v>2020</x:v>
      </x:c>
      <x:c r="F750" s="17" t="n">
        <x:v>105330761.59132184</x:v>
      </x:c>
      <x:c r="G750" s="17" t="n">
        <x:v>134848326.33000013</x:v>
      </x:c>
      <x:c r="H750" s="17" t="n">
        <x:v>183760849</x:v>
      </x:c>
      <x:c r="I750" s="17" t="n">
        <x:v>234315715</x:v>
      </x:c>
      <x:c r="J750" s="2" t="str">
        <x:v>m2</x:v>
      </x:c>
      <x:c r="K750" s="15" t="n">
        <x:f>IF(AND(ISNUMBER(F750),ISNUMBER(G750),F750&gt;0),G750/F750-1,"n.a.")</x:f>
        <x:v>0.28023688704734706</x:v>
      </x:c>
      <x:c r="L750" s="15" t="n">
        <x:f>IF(AND(N750,ISNUMBER(H750),ISNUMBER(I750),H750&gt;0),I750/H750-1,"n.a.")</x:f>
        <x:v>0.27511227922113046</x:v>
      </x:c>
      <x:c r="M750" s="20" t="n">
        <x:f>IF(AND(ISNUMBER(K750),ISNUMBER(L750)),100*(K750-L750),"n.a.")</x:f>
        <x:v>0.5124607826216598</x:v>
      </x:c>
      <x:c r="N750" s="13" t="b">
        <x:v>1</x:v>
      </x:c>
      <x:c r="O750" s="13" t="b">
        <x:v>1</x:v>
      </x:c>
      <x:c r="P750" s="13" t="b">
        <x:v>0</x:v>
      </x:c>
      <x:c r="Q750" s="2" t="str">
        <x:v>legacy epoch_status=observed; not exact acquisition proof</x:v>
      </x:c>
      <x:c r="R750" s="2" t="str">
        <x:v>legacy epoch_status=observed; not exact acquisition proof</x:v>
      </x:c>
      <x:c r="S750" s="2" t="str">
        <x:v>historical source estimate</x:v>
      </x:c>
      <x:c r="T750" s="2" t="str">
        <x:v>historical source estimate</x:v>
      </x:c>
      <x:c r="U750" s="2" t="str">
        <x:v>GFA growth versus source physical quantity growth; constant conversion required for equality</x:v>
      </x:c>
      <x:c r="V750" s="2" t="str">
        <x:v>Historical horizontal endpoint trend already used by v16</x:v>
      </x:c>
      <x:c r="W750" s="2" t="str">
        <x:v>https://human-settlement.emergency.copernicus.eu/ghs_buS2023.php</x:v>
      </x:c>
    </x:row>
    <x:row r="751" ht="23" customHeight="1">
      <x:c r="A751" s="2" t="str">
        <x:v>SRB</x:v>
      </x:c>
      <x:c r="B751" s="2" t="str">
        <x:v>Serbia (Republic of)</x:v>
      </x:c>
      <x:c r="C751" s="2" t="str">
        <x:v>GHSL_SURFACE</x:v>
      </x:c>
      <x:c r="D751" s="2" t="n">
        <x:v>2015</x:v>
      </x:c>
      <x:c r="E751" s="2" t="n">
        <x:v>2020</x:v>
      </x:c>
      <x:c r="F751" s="17" t="n">
        <x:v>557424319.8298955</x:v>
      </x:c>
      <x:c r="G751" s="17" t="n">
        <x:v>584520286.2100008</x:v>
      </x:c>
      <x:c r="H751" s="17" t="n">
        <x:v>771317932</x:v>
      </x:c>
      <x:c r="I751" s="17" t="n">
        <x:v>808806773</x:v>
      </x:c>
      <x:c r="J751" s="2" t="str">
        <x:v>m2</x:v>
      </x:c>
      <x:c r="K751" s="15" t="n">
        <x:f>IF(AND(ISNUMBER(F751),ISNUMBER(G751),F751&gt;0),G751/F751-1,"n.a.")</x:f>
        <x:v>0.04860922894138153</x:v>
      </x:c>
      <x:c r="L751" s="15" t="n">
        <x:f>IF(AND(N751,ISNUMBER(H751),ISNUMBER(I751),H751&gt;0),I751/H751-1,"n.a.")</x:f>
        <x:v>0.048603616543430705</x:v>
      </x:c>
      <x:c r="M751" s="20" t="n">
        <x:f>IF(AND(ISNUMBER(K751),ISNUMBER(L751)),100*(K751-L751),"n.a.")</x:f>
        <x:v>0.000561239795082713</x:v>
      </x:c>
      <x:c r="N751" s="13" t="b">
        <x:v>1</x:v>
      </x:c>
      <x:c r="O751" s="13" t="b">
        <x:v>1</x:v>
      </x:c>
      <x:c r="P751" s="13" t="b">
        <x:v>0</x:v>
      </x:c>
      <x:c r="Q751" s="2" t="str">
        <x:v>legacy epoch_status=observed; not exact acquisition proof</x:v>
      </x:c>
      <x:c r="R751" s="2" t="str">
        <x:v>legacy epoch_status=observed; not exact acquisition proof</x:v>
      </x:c>
      <x:c r="S751" s="2" t="str">
        <x:v>historical source estimate</x:v>
      </x:c>
      <x:c r="T751" s="2" t="str">
        <x:v>historical source estimate</x:v>
      </x:c>
      <x:c r="U751" s="2" t="str">
        <x:v>GFA growth versus source physical quantity growth; constant conversion required for equality</x:v>
      </x:c>
      <x:c r="V751" s="2" t="str">
        <x:v>Historical horizontal endpoint trend already used by v16</x:v>
      </x:c>
      <x:c r="W751" s="2" t="str">
        <x:v>https://human-settlement.emergency.copernicus.eu/ghs_buS2023.php</x:v>
      </x:c>
    </x:row>
    <x:row r="752" ht="23" customHeight="1">
      <x:c r="A752" s="2" t="str">
        <x:v>SSD</x:v>
      </x:c>
      <x:c r="B752" s="2" t="str">
        <x:v>South Sudan (Republic of)</x:v>
      </x:c>
      <x:c r="C752" s="2" t="str">
        <x:v>GHSL_SURFACE</x:v>
      </x:c>
      <x:c r="D752" s="2" t="n">
        <x:v>2015</x:v>
      </x:c>
      <x:c r="E752" s="2" t="n">
        <x:v>2020</x:v>
      </x:c>
      <x:c r="F752" s="17" t="n">
        <x:v>48697573.65751788</x:v>
      </x:c>
      <x:c r="G752" s="17" t="n">
        <x:v>82483216.59000005</x:v>
      </x:c>
      <x:c r="H752" s="17" t="n">
        <x:v>114351287</x:v>
      </x:c>
      <x:c r="I752" s="17" t="n">
        <x:v>193596976</x:v>
      </x:c>
      <x:c r="J752" s="2" t="str">
        <x:v>m2</x:v>
      </x:c>
      <x:c r="K752" s="15" t="n">
        <x:f>IF(AND(ISNUMBER(F752),ISNUMBER(G752),F752&gt;0),G752/F752-1,"n.a.")</x:f>
        <x:v>0.6937849341343185</x:v>
      </x:c>
      <x:c r="L752" s="15" t="n">
        <x:f>IF(AND(N752,ISNUMBER(H752),ISNUMBER(I752),H752&gt;0),I752/H752-1,"n.a.")</x:f>
        <x:v>0.6930021609638726</x:v>
      </x:c>
      <x:c r="M752" s="20" t="n">
        <x:f>IF(AND(ISNUMBER(K752),ISNUMBER(L752)),100*(K752-L752),"n.a.")</x:f>
        <x:v>0.07827731704459495</x:v>
      </x:c>
      <x:c r="N752" s="13" t="b">
        <x:v>1</x:v>
      </x:c>
      <x:c r="O752" s="13" t="b">
        <x:v>1</x:v>
      </x:c>
      <x:c r="P752" s="13" t="b">
        <x:v>0</x:v>
      </x:c>
      <x:c r="Q752" s="2" t="str">
        <x:v>legacy epoch_status=observed; not exact acquisition proof</x:v>
      </x:c>
      <x:c r="R752" s="2" t="str">
        <x:v>legacy epoch_status=observed; not exact acquisition proof</x:v>
      </x:c>
      <x:c r="S752" s="2" t="str">
        <x:v>historical source estimate</x:v>
      </x:c>
      <x:c r="T752" s="2" t="str">
        <x:v>historical source estimate</x:v>
      </x:c>
      <x:c r="U752" s="2" t="str">
        <x:v>GFA growth versus source physical quantity growth; constant conversion required for equality</x:v>
      </x:c>
      <x:c r="V752" s="2" t="str">
        <x:v>Historical horizontal endpoint trend already used by v16</x:v>
      </x:c>
      <x:c r="W752" s="2" t="str">
        <x:v>https://human-settlement.emergency.copernicus.eu/ghs_buS2023.php</x:v>
      </x:c>
    </x:row>
    <x:row r="753" ht="23" customHeight="1">
      <x:c r="A753" s="2" t="str">
        <x:v>STP</x:v>
      </x:c>
      <x:c r="B753" s="2" t="str">
        <x:v>Sao Tome and Principe (Democratic Republic of)</x:v>
      </x:c>
      <x:c r="C753" s="2" t="str">
        <x:v>GHSL_SURFACE</x:v>
      </x:c>
      <x:c r="D753" s="2" t="n">
        <x:v>2015</x:v>
      </x:c>
      <x:c r="E753" s="2" t="n">
        <x:v>2020</x:v>
      </x:c>
      <x:c r="F753" s="17" t="n">
        <x:v>6006619.554736206</x:v>
      </x:c>
      <x:c r="G753" s="17" t="n">
        <x:v>6153544.550000003</x:v>
      </x:c>
      <x:c r="H753" s="17" t="n">
        <x:v>6928731</x:v>
      </x:c>
      <x:c r="I753" s="17" t="n">
        <x:v>7042445</x:v>
      </x:c>
      <x:c r="J753" s="2" t="str">
        <x:v>m2</x:v>
      </x:c>
      <x:c r="K753" s="15" t="n">
        <x:f>IF(AND(ISNUMBER(F753),ISNUMBER(G753),F753&gt;0),G753/F753-1,"n.a.")</x:f>
        <x:v>0.024460512926600453</x:v>
      </x:c>
      <x:c r="L753" s="15" t="n">
        <x:f>IF(AND(N753,ISNUMBER(H753),ISNUMBER(I753),H753&gt;0),I753/H753-1,"n.a.")</x:f>
        <x:v>0.016411951914427014</x:v>
      </x:c>
      <x:c r="M753" s="20" t="n">
        <x:f>IF(AND(ISNUMBER(K753),ISNUMBER(L753)),100*(K753-L753),"n.a.")</x:f>
        <x:v>0.8048561012173439</x:v>
      </x:c>
      <x:c r="N753" s="13" t="b">
        <x:v>1</x:v>
      </x:c>
      <x:c r="O753" s="13" t="b">
        <x:v>1</x:v>
      </x:c>
      <x:c r="P753" s="13" t="b">
        <x:v>0</x:v>
      </x:c>
      <x:c r="Q753" s="2" t="str">
        <x:v>legacy epoch_status=observed; not exact acquisition proof</x:v>
      </x:c>
      <x:c r="R753" s="2" t="str">
        <x:v>legacy epoch_status=observed; not exact acquisition proof</x:v>
      </x:c>
      <x:c r="S753" s="2" t="str">
        <x:v>historical source estimate</x:v>
      </x:c>
      <x:c r="T753" s="2" t="str">
        <x:v>historical source estimate</x:v>
      </x:c>
      <x:c r="U753" s="2" t="str">
        <x:v>GFA growth versus source physical quantity growth; constant conversion required for equality</x:v>
      </x:c>
      <x:c r="V753" s="2" t="str">
        <x:v>Historical horizontal endpoint trend already used by v16</x:v>
      </x:c>
      <x:c r="W753" s="2" t="str">
        <x:v>https://human-settlement.emergency.copernicus.eu/ghs_buS2023.php</x:v>
      </x:c>
    </x:row>
    <x:row r="754" ht="23" customHeight="1">
      <x:c r="A754" s="2" t="str">
        <x:v>SUR</x:v>
      </x:c>
      <x:c r="B754" s="2" t="str">
        <x:v>Suriname (Republic of)</x:v>
      </x:c>
      <x:c r="C754" s="2" t="str">
        <x:v>GHSL_SURFACE</x:v>
      </x:c>
      <x:c r="D754" s="2" t="n">
        <x:v>2015</x:v>
      </x:c>
      <x:c r="E754" s="2" t="n">
        <x:v>2020</x:v>
      </x:c>
      <x:c r="F754" s="17" t="n">
        <x:v>49112414.35196055</x:v>
      </x:c>
      <x:c r="G754" s="17" t="n">
        <x:v>50598825.22000002</x:v>
      </x:c>
      <x:c r="H754" s="17" t="n">
        <x:v>66114934</x:v>
      </x:c>
      <x:c r="I754" s="17" t="n">
        <x:v>67839211</x:v>
      </x:c>
      <x:c r="J754" s="2" t="str">
        <x:v>m2</x:v>
      </x:c>
      <x:c r="K754" s="15" t="n">
        <x:f>IF(AND(ISNUMBER(F754),ISNUMBER(G754),F754&gt;0),G754/F754-1,"n.a.")</x:f>
        <x:v>0.03026548150101549</x:v>
      </x:c>
      <x:c r="L754" s="15" t="n">
        <x:f>IF(AND(N754,ISNUMBER(H754),ISNUMBER(I754),H754&gt;0),I754/H754-1,"n.a.")</x:f>
        <x:v>0.02607999275927586</x:v>
      </x:c>
      <x:c r="M754" s="20" t="n">
        <x:f>IF(AND(ISNUMBER(K754),ISNUMBER(L754)),100*(K754-L754),"n.a.")</x:f>
        <x:v>0.4185488741739629</x:v>
      </x:c>
      <x:c r="N754" s="13" t="b">
        <x:v>1</x:v>
      </x:c>
      <x:c r="O754" s="13" t="b">
        <x:v>1</x:v>
      </x:c>
      <x:c r="P754" s="13" t="b">
        <x:v>0</x:v>
      </x:c>
      <x:c r="Q754" s="2" t="str">
        <x:v>legacy epoch_status=observed; not exact acquisition proof</x:v>
      </x:c>
      <x:c r="R754" s="2" t="str">
        <x:v>legacy epoch_status=observed; not exact acquisition proof</x:v>
      </x:c>
      <x:c r="S754" s="2" t="str">
        <x:v>historical source estimate</x:v>
      </x:c>
      <x:c r="T754" s="2" t="str">
        <x:v>historical source estimate</x:v>
      </x:c>
      <x:c r="U754" s="2" t="str">
        <x:v>GFA growth versus source physical quantity growth; constant conversion required for equality</x:v>
      </x:c>
      <x:c r="V754" s="2" t="str">
        <x:v>Historical horizontal endpoint trend already used by v16</x:v>
      </x:c>
      <x:c r="W754" s="2" t="str">
        <x:v>https://human-settlement.emergency.copernicus.eu/ghs_buS2023.php</x:v>
      </x:c>
    </x:row>
    <x:row r="755" ht="23" customHeight="1">
      <x:c r="A755" s="2" t="str">
        <x:v>SVK</x:v>
      </x:c>
      <x:c r="B755" s="2" t="str">
        <x:v>Slovakia (Slovak Republic)</x:v>
      </x:c>
      <x:c r="C755" s="2" t="str">
        <x:v>GHSL_SURFACE</x:v>
      </x:c>
      <x:c r="D755" s="2" t="n">
        <x:v>2015</x:v>
      </x:c>
      <x:c r="E755" s="2" t="n">
        <x:v>2020</x:v>
      </x:c>
      <x:c r="F755" s="17" t="n">
        <x:v>365029895.774204</x:v>
      </x:c>
      <x:c r="G755" s="17" t="n">
        <x:v>391189188.0500002</x:v>
      </x:c>
      <x:c r="H755" s="17" t="n">
        <x:v>632888418</x:v>
      </x:c>
      <x:c r="I755" s="17" t="n">
        <x:v>675522198</x:v>
      </x:c>
      <x:c r="J755" s="2" t="str">
        <x:v>m2</x:v>
      </x:c>
      <x:c r="K755" s="15" t="n">
        <x:f>IF(AND(ISNUMBER(F755),ISNUMBER(G755),F755&gt;0),G755/F755-1,"n.a.")</x:f>
        <x:v>0.07166342422533378</x:v>
      </x:c>
      <x:c r="L755" s="15" t="n">
        <x:f>IF(AND(N755,ISNUMBER(H755),ISNUMBER(I755),H755&gt;0),I755/H755-1,"n.a.")</x:f>
        <x:v>0.06736381767694155</x:v>
      </x:c>
      <x:c r="M755" s="20" t="n">
        <x:f>IF(AND(ISNUMBER(K755),ISNUMBER(L755)),100*(K755-L755),"n.a.")</x:f>
        <x:v>0.4299606548392232</x:v>
      </x:c>
      <x:c r="N755" s="13" t="b">
        <x:v>1</x:v>
      </x:c>
      <x:c r="O755" s="13" t="b">
        <x:v>1</x:v>
      </x:c>
      <x:c r="P755" s="13" t="b">
        <x:v>0</x:v>
      </x:c>
      <x:c r="Q755" s="2" t="str">
        <x:v>legacy epoch_status=observed; not exact acquisition proof</x:v>
      </x:c>
      <x:c r="R755" s="2" t="str">
        <x:v>legacy epoch_status=observed; not exact acquisition proof</x:v>
      </x:c>
      <x:c r="S755" s="2" t="str">
        <x:v>historical source estimate</x:v>
      </x:c>
      <x:c r="T755" s="2" t="str">
        <x:v>historical source estimate</x:v>
      </x:c>
      <x:c r="U755" s="2" t="str">
        <x:v>GFA growth versus source physical quantity growth; constant conversion required for equality</x:v>
      </x:c>
      <x:c r="V755" s="2" t="str">
        <x:v>Historical horizontal endpoint trend already used by v16</x:v>
      </x:c>
      <x:c r="W755" s="2" t="str">
        <x:v>https://human-settlement.emergency.copernicus.eu/ghs_buS2023.php</x:v>
      </x:c>
    </x:row>
    <x:row r="756" ht="23" customHeight="1">
      <x:c r="A756" s="2" t="str">
        <x:v>SVN</x:v>
      </x:c>
      <x:c r="B756" s="2" t="str">
        <x:v>Slovenia (Republic of)</x:v>
      </x:c>
      <x:c r="C756" s="2" t="str">
        <x:v>GHSL_SURFACE</x:v>
      </x:c>
      <x:c r="D756" s="2" t="n">
        <x:v>2015</x:v>
      </x:c>
      <x:c r="E756" s="2" t="n">
        <x:v>2020</x:v>
      </x:c>
      <x:c r="F756" s="17" t="n">
        <x:v>180123963.30761537</x:v>
      </x:c>
      <x:c r="G756" s="17" t="n">
        <x:v>188783306.59000015</x:v>
      </x:c>
      <x:c r="H756" s="17" t="n">
        <x:v>244530576</x:v>
      </x:c>
      <x:c r="I756" s="17" t="n">
        <x:v>254790018</x:v>
      </x:c>
      <x:c r="J756" s="2" t="str">
        <x:v>m2</x:v>
      </x:c>
      <x:c r="K756" s="15" t="n">
        <x:f>IF(AND(ISNUMBER(F756),ISNUMBER(G756),F756&gt;0),G756/F756-1,"n.a.")</x:f>
        <x:v>0.048074354590990076</x:v>
      </x:c>
      <x:c r="L756" s="15" t="n">
        <x:f>IF(AND(N756,ISNUMBER(H756),ISNUMBER(I756),H756&gt;0),I756/H756-1,"n.a.")</x:f>
        <x:v>0.041955661201239725</x:v>
      </x:c>
      <x:c r="M756" s="20" t="n">
        <x:f>IF(AND(ISNUMBER(K756),ISNUMBER(L756)),100*(K756-L756),"n.a.")</x:f>
        <x:v>0.6118693389750351</x:v>
      </x:c>
      <x:c r="N756" s="13" t="b">
        <x:v>1</x:v>
      </x:c>
      <x:c r="O756" s="13" t="b">
        <x:v>1</x:v>
      </x:c>
      <x:c r="P756" s="13" t="b">
        <x:v>0</x:v>
      </x:c>
      <x:c r="Q756" s="2" t="str">
        <x:v>legacy epoch_status=observed; not exact acquisition proof</x:v>
      </x:c>
      <x:c r="R756" s="2" t="str">
        <x:v>legacy epoch_status=observed; not exact acquisition proof</x:v>
      </x:c>
      <x:c r="S756" s="2" t="str">
        <x:v>historical source estimate</x:v>
      </x:c>
      <x:c r="T756" s="2" t="str">
        <x:v>historical source estimate</x:v>
      </x:c>
      <x:c r="U756" s="2" t="str">
        <x:v>GFA growth versus source physical quantity growth; constant conversion required for equality</x:v>
      </x:c>
      <x:c r="V756" s="2" t="str">
        <x:v>Historical horizontal endpoint trend already used by v16</x:v>
      </x:c>
      <x:c r="W756" s="2" t="str">
        <x:v>https://human-settlement.emergency.copernicus.eu/ghs_buS2023.php</x:v>
      </x:c>
    </x:row>
    <x:row r="757" ht="23" customHeight="1">
      <x:c r="A757" s="2" t="str">
        <x:v>SWE</x:v>
      </x:c>
      <x:c r="B757" s="2" t="str">
        <x:v>Sweden (Kingdom of)</x:v>
      </x:c>
      <x:c r="C757" s="2" t="str">
        <x:v>GHSL_SURFACE</x:v>
      </x:c>
      <x:c r="D757" s="2" t="n">
        <x:v>2015</x:v>
      </x:c>
      <x:c r="E757" s="2" t="n">
        <x:v>2020</x:v>
      </x:c>
      <x:c r="F757" s="17" t="n">
        <x:v>808375078.7663457</x:v>
      </x:c>
      <x:c r="G757" s="17" t="n">
        <x:v>860750073.0500002</x:v>
      </x:c>
      <x:c r="H757" s="17" t="n">
        <x:v>848958860</x:v>
      </x:c>
      <x:c r="I757" s="17" t="n">
        <x:v>896337955</x:v>
      </x:c>
      <x:c r="J757" s="2" t="str">
        <x:v>m2</x:v>
      </x:c>
      <x:c r="K757" s="15" t="n">
        <x:f>IF(AND(ISNUMBER(F757),ISNUMBER(G757),F757&gt;0),G757/F757-1,"n.a.")</x:f>
        <x:v>0.06479046133334965</x:v>
      </x:c>
      <x:c r="L757" s="15" t="n">
        <x:f>IF(AND(N757,ISNUMBER(H757),ISNUMBER(I757),H757&gt;0),I757/H757-1,"n.a.")</x:f>
        <x:v>0.05580846991808297</x:v>
      </x:c>
      <x:c r="M757" s="20" t="n">
        <x:f>IF(AND(ISNUMBER(K757),ISNUMBER(L757)),100*(K757-L757),"n.a.")</x:f>
        <x:v>0.8981991415266677</x:v>
      </x:c>
      <x:c r="N757" s="13" t="b">
        <x:v>1</x:v>
      </x:c>
      <x:c r="O757" s="13" t="b">
        <x:v>1</x:v>
      </x:c>
      <x:c r="P757" s="13" t="b">
        <x:v>0</x:v>
      </x:c>
      <x:c r="Q757" s="2" t="str">
        <x:v>legacy epoch_status=observed; not exact acquisition proof</x:v>
      </x:c>
      <x:c r="R757" s="2" t="str">
        <x:v>legacy epoch_status=observed; not exact acquisition proof</x:v>
      </x:c>
      <x:c r="S757" s="2" t="str">
        <x:v>historical source estimate</x:v>
      </x:c>
      <x:c r="T757" s="2" t="str">
        <x:v>historical source estimate</x:v>
      </x:c>
      <x:c r="U757" s="2" t="str">
        <x:v>GFA growth versus source physical quantity growth; constant conversion required for equality</x:v>
      </x:c>
      <x:c r="V757" s="2" t="str">
        <x:v>Historical horizontal endpoint trend already used by v16</x:v>
      </x:c>
      <x:c r="W757" s="2" t="str">
        <x:v>https://human-settlement.emergency.copernicus.eu/ghs_buS2023.php</x:v>
      </x:c>
    </x:row>
    <x:row r="758" ht="23" customHeight="1">
      <x:c r="A758" s="2" t="str">
        <x:v>SWZ</x:v>
      </x:c>
      <x:c r="B758" s="2" t="str">
        <x:v>Eswatini (Kingdom of)</x:v>
      </x:c>
      <x:c r="C758" s="2" t="str">
        <x:v>GHSL_SURFACE</x:v>
      </x:c>
      <x:c r="D758" s="2" t="n">
        <x:v>2015</x:v>
      </x:c>
      <x:c r="E758" s="2" t="n">
        <x:v>2020</x:v>
      </x:c>
      <x:c r="F758" s="17" t="n">
        <x:v>33675400.7123071</x:v>
      </x:c>
      <x:c r="G758" s="17" t="n">
        <x:v>51228621.629999995</x:v>
      </x:c>
      <x:c r="H758" s="17" t="n">
        <x:v>105950536</x:v>
      </x:c>
      <x:c r="I758" s="17" t="n">
        <x:v>159842879</x:v>
      </x:c>
      <x:c r="J758" s="2" t="str">
        <x:v>m2</x:v>
      </x:c>
      <x:c r="K758" s="15" t="n">
        <x:f>IF(AND(ISNUMBER(F758),ISNUMBER(G758),F758&gt;0),G758/F758-1,"n.a.")</x:f>
        <x:v>0.5212475737899043</x:v>
      </x:c>
      <x:c r="L758" s="15" t="n">
        <x:f>IF(AND(N758,ISNUMBER(H758),ISNUMBER(I758),H758&gt;0),I758/H758-1,"n.a.")</x:f>
        <x:v>0.5086556900476653</x:v>
      </x:c>
      <x:c r="M758" s="20" t="n">
        <x:f>IF(AND(ISNUMBER(K758),ISNUMBER(L758)),100*(K758-L758),"n.a.")</x:f>
        <x:v>1.2591883742238963</x:v>
      </x:c>
      <x:c r="N758" s="13" t="b">
        <x:v>1</x:v>
      </x:c>
      <x:c r="O758" s="13" t="b">
        <x:v>1</x:v>
      </x:c>
      <x:c r="P758" s="13" t="b">
        <x:v>0</x:v>
      </x:c>
      <x:c r="Q758" s="2" t="str">
        <x:v>legacy epoch_status=observed; not exact acquisition proof</x:v>
      </x:c>
      <x:c r="R758" s="2" t="str">
        <x:v>legacy epoch_status=observed; not exact acquisition proof</x:v>
      </x:c>
      <x:c r="S758" s="2" t="str">
        <x:v>historical source estimate</x:v>
      </x:c>
      <x:c r="T758" s="2" t="str">
        <x:v>historical source estimate</x:v>
      </x:c>
      <x:c r="U758" s="2" t="str">
        <x:v>GFA growth versus source physical quantity growth; constant conversion required for equality</x:v>
      </x:c>
      <x:c r="V758" s="2" t="str">
        <x:v>Historical horizontal endpoint trend already used by v16</x:v>
      </x:c>
      <x:c r="W758" s="2" t="str">
        <x:v>https://human-settlement.emergency.copernicus.eu/ghs_buS2023.php</x:v>
      </x:c>
    </x:row>
    <x:row r="759" ht="23" customHeight="1">
      <x:c r="A759" s="2" t="str">
        <x:v>SYC</x:v>
      </x:c>
      <x:c r="B759" s="2" t="str">
        <x:v>Seychelles (Republic of)</x:v>
      </x:c>
      <x:c r="C759" s="2" t="str">
        <x:v>GHSL_SURFACE</x:v>
      </x:c>
      <x:c r="D759" s="2" t="n">
        <x:v>2015</x:v>
      </x:c>
      <x:c r="E759" s="2" t="n">
        <x:v>2020</x:v>
      </x:c>
      <x:c r="F759" s="17" t="n">
        <x:v>7079080.10364114</x:v>
      </x:c>
      <x:c r="G759" s="17" t="n">
        <x:v>7317572.880000001</x:v>
      </x:c>
      <x:c r="H759" s="17" t="n">
        <x:v>4270859</x:v>
      </x:c>
      <x:c r="I759" s="17" t="n">
        <x:v>4373119</x:v>
      </x:c>
      <x:c r="J759" s="2" t="str">
        <x:v>m2</x:v>
      </x:c>
      <x:c r="K759" s="15" t="n">
        <x:f>IF(AND(ISNUMBER(F759),ISNUMBER(G759),F759&gt;0),G759/F759-1,"n.a.")</x:f>
        <x:v>0.03368979766681712</x:v>
      </x:c>
      <x:c r="L759" s="15" t="n">
        <x:f>IF(AND(N759,ISNUMBER(H759),ISNUMBER(I759),H759&gt;0),I759/H759-1,"n.a.")</x:f>
        <x:v>0.023943660982486126</x:v>
      </x:c>
      <x:c r="M759" s="20" t="n">
        <x:f>IF(AND(ISNUMBER(K759),ISNUMBER(L759)),100*(K759-L759),"n.a.")</x:f>
        <x:v>0.9746136684330997</x:v>
      </x:c>
      <x:c r="N759" s="13" t="b">
        <x:v>1</x:v>
      </x:c>
      <x:c r="O759" s="13" t="b">
        <x:v>1</x:v>
      </x:c>
      <x:c r="P759" s="13" t="b">
        <x:v>0</x:v>
      </x:c>
      <x:c r="Q759" s="2" t="str">
        <x:v>legacy epoch_status=observed; not exact acquisition proof</x:v>
      </x:c>
      <x:c r="R759" s="2" t="str">
        <x:v>legacy epoch_status=observed; not exact acquisition proof</x:v>
      </x:c>
      <x:c r="S759" s="2" t="str">
        <x:v>historical source estimate</x:v>
      </x:c>
      <x:c r="T759" s="2" t="str">
        <x:v>historical source estimate</x:v>
      </x:c>
      <x:c r="U759" s="2" t="str">
        <x:v>GFA growth versus source physical quantity growth; constant conversion required for equality</x:v>
      </x:c>
      <x:c r="V759" s="2" t="str">
        <x:v>Historical horizontal endpoint trend already used by v16</x:v>
      </x:c>
      <x:c r="W759" s="2" t="str">
        <x:v>https://human-settlement.emergency.copernicus.eu/ghs_buS2023.php</x:v>
      </x:c>
    </x:row>
    <x:row r="760" ht="23" customHeight="1">
      <x:c r="A760" s="2" t="str">
        <x:v>SYR</x:v>
      </x:c>
      <x:c r="B760" s="2" t="str">
        <x:v>Syrian Arab Republic</x:v>
      </x:c>
      <x:c r="C760" s="2" t="str">
        <x:v>GHSL_SURFACE</x:v>
      </x:c>
      <x:c r="D760" s="2" t="n">
        <x:v>2015</x:v>
      </x:c>
      <x:c r="E760" s="2" t="n">
        <x:v>2020</x:v>
      </x:c>
      <x:c r="F760" s="17" t="n">
        <x:v>760444963.635695</x:v>
      </x:c>
      <x:c r="G760" s="17" t="n">
        <x:v>795482211.65</x:v>
      </x:c>
      <x:c r="H760" s="17" t="n">
        <x:v>929617492</x:v>
      </x:c>
      <x:c r="I760" s="17" t="n">
        <x:v>965574253</x:v>
      </x:c>
      <x:c r="J760" s="2" t="str">
        <x:v>m2</x:v>
      </x:c>
      <x:c r="K760" s="15" t="n">
        <x:f>IF(AND(ISNUMBER(F760),ISNUMBER(G760),F760&gt;0),G760/F760-1,"n.a.")</x:f>
        <x:v>0.04607466639898772</x:v>
      </x:c>
      <x:c r="L760" s="15" t="n">
        <x:f>IF(AND(N760,ISNUMBER(H760),ISNUMBER(I760),H760&gt;0),I760/H760-1,"n.a.")</x:f>
        <x:v>0.038679092540139015</x:v>
      </x:c>
      <x:c r="M760" s="20" t="n">
        <x:f>IF(AND(ISNUMBER(K760),ISNUMBER(L760)),100*(K760-L760),"n.a.")</x:f>
        <x:v>0.7395573858848703</x:v>
      </x:c>
      <x:c r="N760" s="13" t="b">
        <x:v>1</x:v>
      </x:c>
      <x:c r="O760" s="13" t="b">
        <x:v>1</x:v>
      </x:c>
      <x:c r="P760" s="13" t="b">
        <x:v>0</x:v>
      </x:c>
      <x:c r="Q760" s="2" t="str">
        <x:v>legacy epoch_status=observed; not exact acquisition proof</x:v>
      </x:c>
      <x:c r="R760" s="2" t="str">
        <x:v>legacy epoch_status=observed; not exact acquisition proof</x:v>
      </x:c>
      <x:c r="S760" s="2" t="str">
        <x:v>historical source estimate</x:v>
      </x:c>
      <x:c r="T760" s="2" t="str">
        <x:v>historical source estimate</x:v>
      </x:c>
      <x:c r="U760" s="2" t="str">
        <x:v>GFA growth versus source physical quantity growth; constant conversion required for equality</x:v>
      </x:c>
      <x:c r="V760" s="2" t="str">
        <x:v>Historical horizontal endpoint trend already used by v16</x:v>
      </x:c>
      <x:c r="W760" s="2" t="str">
        <x:v>https://human-settlement.emergency.copernicus.eu/ghs_buS2023.php</x:v>
      </x:c>
    </x:row>
    <x:row r="761" ht="23" customHeight="1">
      <x:c r="A761" s="2" t="str">
        <x:v>TCD</x:v>
      </x:c>
      <x:c r="B761" s="2" t="str">
        <x:v>Chad (Republic of)</x:v>
      </x:c>
      <x:c r="C761" s="2" t="str">
        <x:v>GHSL_SURFACE</x:v>
      </x:c>
      <x:c r="D761" s="2" t="n">
        <x:v>2015</x:v>
      </x:c>
      <x:c r="E761" s="2" t="n">
        <x:v>2020</x:v>
      </x:c>
      <x:c r="F761" s="17" t="n">
        <x:v>100386445.63678944</x:v>
      </x:c>
      <x:c r="G761" s="17" t="n">
        <x:v>126450494.21999988</x:v>
      </x:c>
      <x:c r="H761" s="17" t="n">
        <x:v>445204945</x:v>
      </x:c>
      <x:c r="I761" s="17" t="n">
        <x:v>555299723</x:v>
      </x:c>
      <x:c r="J761" s="2" t="str">
        <x:v>m2</x:v>
      </x:c>
      <x:c r="K761" s="15" t="n">
        <x:f>IF(AND(ISNUMBER(F761),ISNUMBER(G761),F761&gt;0),G761/F761-1,"n.a.")</x:f>
        <x:v>0.2596371294737676</x:v>
      </x:c>
      <x:c r="L761" s="15" t="n">
        <x:f>IF(AND(N761,ISNUMBER(H761),ISNUMBER(I761),H761&gt;0),I761/H761-1,"n.a.")</x:f>
        <x:v>0.24729010590841494</x:v>
      </x:c>
      <x:c r="M761" s="20" t="n">
        <x:f>IF(AND(ISNUMBER(K761),ISNUMBER(L761)),100*(K761-L761),"n.a.")</x:f>
        <x:v>1.2347023565352666</x:v>
      </x:c>
      <x:c r="N761" s="13" t="b">
        <x:v>1</x:v>
      </x:c>
      <x:c r="O761" s="13" t="b">
        <x:v>1</x:v>
      </x:c>
      <x:c r="P761" s="13" t="b">
        <x:v>0</x:v>
      </x:c>
      <x:c r="Q761" s="2" t="str">
        <x:v>legacy epoch_status=observed; not exact acquisition proof</x:v>
      </x:c>
      <x:c r="R761" s="2" t="str">
        <x:v>legacy epoch_status=observed; not exact acquisition proof</x:v>
      </x:c>
      <x:c r="S761" s="2" t="str">
        <x:v>historical source estimate</x:v>
      </x:c>
      <x:c r="T761" s="2" t="str">
        <x:v>historical source estimate</x:v>
      </x:c>
      <x:c r="U761" s="2" t="str">
        <x:v>GFA growth versus source physical quantity growth; constant conversion required for equality</x:v>
      </x:c>
      <x:c r="V761" s="2" t="str">
        <x:v>Historical horizontal endpoint trend already used by v16</x:v>
      </x:c>
      <x:c r="W761" s="2" t="str">
        <x:v>https://human-settlement.emergency.copernicus.eu/ghs_buS2023.php</x:v>
      </x:c>
    </x:row>
    <x:row r="762" ht="23" customHeight="1">
      <x:c r="A762" s="2" t="str">
        <x:v>TGO</x:v>
      </x:c>
      <x:c r="B762" s="2" t="str">
        <x:v>Togo (Togolese Republic)</x:v>
      </x:c>
      <x:c r="C762" s="2" t="str">
        <x:v>GHSL_SURFACE</x:v>
      </x:c>
      <x:c r="D762" s="2" t="n">
        <x:v>2015</x:v>
      </x:c>
      <x:c r="E762" s="2" t="n">
        <x:v>2020</x:v>
      </x:c>
      <x:c r="F762" s="17" t="n">
        <x:v>157342554.75317118</x:v>
      </x:c>
      <x:c r="G762" s="17" t="n">
        <x:v>185693532.7300002</x:v>
      </x:c>
      <x:c r="H762" s="17" t="n">
        <x:v>399585615</x:v>
      </x:c>
      <x:c r="I762" s="17" t="n">
        <x:v>468331079</x:v>
      </x:c>
      <x:c r="J762" s="2" t="str">
        <x:v>m2</x:v>
      </x:c>
      <x:c r="K762" s="15" t="n">
        <x:f>IF(AND(ISNUMBER(F762),ISNUMBER(G762),F762&gt;0),G762/F762-1,"n.a.")</x:f>
        <x:v>0.1801863330699327</x:v>
      </x:c>
      <x:c r="L762" s="15" t="n">
        <x:f>IF(AND(N762,ISNUMBER(H762),ISNUMBER(I762),H762&gt;0),I762/H762-1,"n.a.")</x:f>
        <x:v>0.17204188894537653</x:v>
      </x:c>
      <x:c r="M762" s="20" t="n">
        <x:f>IF(AND(ISNUMBER(K762),ISNUMBER(L762)),100*(K762-L762),"n.a.")</x:f>
        <x:v>0.8144444124556172</x:v>
      </x:c>
      <x:c r="N762" s="13" t="b">
        <x:v>1</x:v>
      </x:c>
      <x:c r="O762" s="13" t="b">
        <x:v>1</x:v>
      </x:c>
      <x:c r="P762" s="13" t="b">
        <x:v>0</x:v>
      </x:c>
      <x:c r="Q762" s="2" t="str">
        <x:v>legacy epoch_status=observed; not exact acquisition proof</x:v>
      </x:c>
      <x:c r="R762" s="2" t="str">
        <x:v>legacy epoch_status=observed; not exact acquisition proof</x:v>
      </x:c>
      <x:c r="S762" s="2" t="str">
        <x:v>historical source estimate</x:v>
      </x:c>
      <x:c r="T762" s="2" t="str">
        <x:v>historical source estimate</x:v>
      </x:c>
      <x:c r="U762" s="2" t="str">
        <x:v>GFA growth versus source physical quantity growth; constant conversion required for equality</x:v>
      </x:c>
      <x:c r="V762" s="2" t="str">
        <x:v>Historical horizontal endpoint trend already used by v16</x:v>
      </x:c>
      <x:c r="W762" s="2" t="str">
        <x:v>https://human-settlement.emergency.copernicus.eu/ghs_buS2023.php</x:v>
      </x:c>
    </x:row>
    <x:row r="763" ht="23" customHeight="1">
      <x:c r="A763" s="2" t="str">
        <x:v>THA</x:v>
      </x:c>
      <x:c r="B763" s="2" t="str">
        <x:v>Thailand (Kingdom of)</x:v>
      </x:c>
      <x:c r="C763" s="2" t="str">
        <x:v>GHSL_SURFACE</x:v>
      </x:c>
      <x:c r="D763" s="2" t="n">
        <x:v>2015</x:v>
      </x:c>
      <x:c r="E763" s="2" t="n">
        <x:v>2020</x:v>
      </x:c>
      <x:c r="F763" s="17" t="n">
        <x:v>4865280220.416097</x:v>
      </x:c>
      <x:c r="G763" s="17" t="n">
        <x:v>5229846890.149993</x:v>
      </x:c>
      <x:c r="H763" s="17" t="n">
        <x:v>6258871920</x:v>
      </x:c>
      <x:c r="I763" s="17" t="n">
        <x:v>6682044283</x:v>
      </x:c>
      <x:c r="J763" s="2" t="str">
        <x:v>m2</x:v>
      </x:c>
      <x:c r="K763" s="15" t="n">
        <x:f>IF(AND(ISNUMBER(F763),ISNUMBER(G763),F763&gt;0),G763/F763-1,"n.a.")</x:f>
        <x:v>0.07493230671566886</x:v>
      </x:c>
      <x:c r="L763" s="15" t="n">
        <x:f>IF(AND(N763,ISNUMBER(H763),ISNUMBER(I763),H763&gt;0),I763/H763-1,"n.a.")</x:f>
        <x:v>0.06761160292284751</x:v>
      </x:c>
      <x:c r="M763" s="20" t="n">
        <x:f>IF(AND(ISNUMBER(K763),ISNUMBER(L763)),100*(K763-L763),"n.a.")</x:f>
        <x:v>0.7320703792821348</x:v>
      </x:c>
      <x:c r="N763" s="13" t="b">
        <x:v>1</x:v>
      </x:c>
      <x:c r="O763" s="13" t="b">
        <x:v>1</x:v>
      </x:c>
      <x:c r="P763" s="13" t="b">
        <x:v>0</x:v>
      </x:c>
      <x:c r="Q763" s="2" t="str">
        <x:v>legacy epoch_status=observed; not exact acquisition proof</x:v>
      </x:c>
      <x:c r="R763" s="2" t="str">
        <x:v>legacy epoch_status=observed; not exact acquisition proof</x:v>
      </x:c>
      <x:c r="S763" s="2" t="str">
        <x:v>historical source estimate</x:v>
      </x:c>
      <x:c r="T763" s="2" t="str">
        <x:v>historical source estimate</x:v>
      </x:c>
      <x:c r="U763" s="2" t="str">
        <x:v>GFA growth versus source physical quantity growth; constant conversion required for equality</x:v>
      </x:c>
      <x:c r="V763" s="2" t="str">
        <x:v>Historical horizontal endpoint trend already used by v16</x:v>
      </x:c>
      <x:c r="W763" s="2" t="str">
        <x:v>https://human-settlement.emergency.copernicus.eu/ghs_buS2023.php</x:v>
      </x:c>
    </x:row>
    <x:row r="764" ht="23" customHeight="1">
      <x:c r="A764" s="2" t="str">
        <x:v>TJK</x:v>
      </x:c>
      <x:c r="B764" s="2" t="str">
        <x:v>Tajikistan (Republic of)</x:v>
      </x:c>
      <x:c r="C764" s="2" t="str">
        <x:v>GHSL_SURFACE</x:v>
      </x:c>
      <x:c r="D764" s="2" t="n">
        <x:v>2015</x:v>
      </x:c>
      <x:c r="E764" s="2" t="n">
        <x:v>2020</x:v>
      </x:c>
      <x:c r="F764" s="17" t="n">
        <x:v>361846922.0538689</x:v>
      </x:c>
      <x:c r="G764" s="17" t="n">
        <x:v>392955797.9200004</x:v>
      </x:c>
      <x:c r="H764" s="17" t="n">
        <x:v>677950813</x:v>
      </x:c>
      <x:c r="I764" s="17" t="n">
        <x:v>729509384</x:v>
      </x:c>
      <x:c r="J764" s="2" t="str">
        <x:v>m2</x:v>
      </x:c>
      <x:c r="K764" s="15" t="n">
        <x:f>IF(AND(ISNUMBER(F764),ISNUMBER(G764),F764&gt;0),G764/F764-1,"n.a.")</x:f>
        <x:v>0.08597247612209968</x:v>
      </x:c>
      <x:c r="L764" s="15" t="n">
        <x:f>IF(AND(N764,ISNUMBER(H764),ISNUMBER(I764),H764&gt;0),I764/H764-1,"n.a.")</x:f>
        <x:v>0.07605060722893486</x:v>
      </x:c>
      <x:c r="M764" s="20" t="n">
        <x:f>IF(AND(ISNUMBER(K764),ISNUMBER(L764)),100*(K764-L764),"n.a.")</x:f>
        <x:v>0.992186889316482</x:v>
      </x:c>
      <x:c r="N764" s="13" t="b">
        <x:v>1</x:v>
      </x:c>
      <x:c r="O764" s="13" t="b">
        <x:v>1</x:v>
      </x:c>
      <x:c r="P764" s="13" t="b">
        <x:v>0</x:v>
      </x:c>
      <x:c r="Q764" s="2" t="str">
        <x:v>legacy epoch_status=observed; not exact acquisition proof</x:v>
      </x:c>
      <x:c r="R764" s="2" t="str">
        <x:v>legacy epoch_status=observed; not exact acquisition proof</x:v>
      </x:c>
      <x:c r="S764" s="2" t="str">
        <x:v>historical source estimate</x:v>
      </x:c>
      <x:c r="T764" s="2" t="str">
        <x:v>historical source estimate</x:v>
      </x:c>
      <x:c r="U764" s="2" t="str">
        <x:v>GFA growth versus source physical quantity growth; constant conversion required for equality</x:v>
      </x:c>
      <x:c r="V764" s="2" t="str">
        <x:v>Historical horizontal endpoint trend already used by v16</x:v>
      </x:c>
      <x:c r="W764" s="2" t="str">
        <x:v>https://human-settlement.emergency.copernicus.eu/ghs_buS2023.php</x:v>
      </x:c>
    </x:row>
    <x:row r="765" ht="23" customHeight="1">
      <x:c r="A765" s="2" t="str">
        <x:v>TKM</x:v>
      </x:c>
      <x:c r="B765" s="2" t="str">
        <x:v>Turkmenistan</x:v>
      </x:c>
      <x:c r="C765" s="2" t="str">
        <x:v>GHSL_SURFACE</x:v>
      </x:c>
      <x:c r="D765" s="2" t="n">
        <x:v>2015</x:v>
      </x:c>
      <x:c r="E765" s="2" t="n">
        <x:v>2020</x:v>
      </x:c>
      <x:c r="F765" s="17" t="n">
        <x:v>327928169.32018465</x:v>
      </x:c>
      <x:c r="G765" s="17" t="n">
        <x:v>359976676.1500005</x:v>
      </x:c>
      <x:c r="H765" s="17" t="n">
        <x:v>696769830</x:v>
      </x:c>
      <x:c r="I765" s="17" t="n">
        <x:v>755791419</x:v>
      </x:c>
      <x:c r="J765" s="2" t="str">
        <x:v>m2</x:v>
      </x:c>
      <x:c r="K765" s="15" t="n">
        <x:f>IF(AND(ISNUMBER(F765),ISNUMBER(G765),F765&gt;0),G765/F765-1,"n.a.")</x:f>
        <x:v>0.09773026482065994</x:v>
      </x:c>
      <x:c r="L765" s="15" t="n">
        <x:f>IF(AND(N765,ISNUMBER(H765),ISNUMBER(I765),H765&gt;0),I765/H765-1,"n.a.")</x:f>
        <x:v>0.08470744061923585</x:v>
      </x:c>
      <x:c r="M765" s="20" t="n">
        <x:f>IF(AND(ISNUMBER(K765),ISNUMBER(L765)),100*(K765-L765),"n.a.")</x:f>
        <x:v>1.3022824201424088</x:v>
      </x:c>
      <x:c r="N765" s="13" t="b">
        <x:v>1</x:v>
      </x:c>
      <x:c r="O765" s="13" t="b">
        <x:v>1</x:v>
      </x:c>
      <x:c r="P765" s="13" t="b">
        <x:v>0</x:v>
      </x:c>
      <x:c r="Q765" s="2" t="str">
        <x:v>legacy epoch_status=observed; not exact acquisition proof</x:v>
      </x:c>
      <x:c r="R765" s="2" t="str">
        <x:v>legacy epoch_status=observed; not exact acquisition proof</x:v>
      </x:c>
      <x:c r="S765" s="2" t="str">
        <x:v>historical source estimate</x:v>
      </x:c>
      <x:c r="T765" s="2" t="str">
        <x:v>historical source estimate</x:v>
      </x:c>
      <x:c r="U765" s="2" t="str">
        <x:v>GFA growth versus source physical quantity growth; constant conversion required for equality</x:v>
      </x:c>
      <x:c r="V765" s="2" t="str">
        <x:v>Historical horizontal endpoint trend already used by v16</x:v>
      </x:c>
      <x:c r="W765" s="2" t="str">
        <x:v>https://human-settlement.emergency.copernicus.eu/ghs_buS2023.php</x:v>
      </x:c>
    </x:row>
    <x:row r="766" ht="23" customHeight="1">
      <x:c r="A766" s="2" t="str">
        <x:v>TLS</x:v>
      </x:c>
      <x:c r="B766" s="2" t="str">
        <x:v>Timor-Leste (Democratic Republic of)</x:v>
      </x:c>
      <x:c r="C766" s="2" t="str">
        <x:v>GHSL_SURFACE</x:v>
      </x:c>
      <x:c r="D766" s="2" t="n">
        <x:v>2015</x:v>
      </x:c>
      <x:c r="E766" s="2" t="n">
        <x:v>2020</x:v>
      </x:c>
      <x:c r="F766" s="17" t="n">
        <x:v>36994624.25613674</x:v>
      </x:c>
      <x:c r="G766" s="17" t="n">
        <x:v>41213693.90000002</x:v>
      </x:c>
      <x:c r="H766" s="17" t="n">
        <x:v>44682381</x:v>
      </x:c>
      <x:c r="I766" s="17" t="n">
        <x:v>49386692</x:v>
      </x:c>
      <x:c r="J766" s="2" t="str">
        <x:v>m2</x:v>
      </x:c>
      <x:c r="K766" s="15" t="n">
        <x:f>IF(AND(ISNUMBER(F766),ISNUMBER(G766),F766&gt;0),G766/F766-1,"n.a.")</x:f>
        <x:v>0.11404547900397755</x:v>
      </x:c>
      <x:c r="L766" s="15" t="n">
        <x:f>IF(AND(N766,ISNUMBER(H766),ISNUMBER(I766),H766&gt;0),I766/H766-1,"n.a.")</x:f>
        <x:v>0.10528335542369605</x:v>
      </x:c>
      <x:c r="M766" s="20" t="n">
        <x:f>IF(AND(ISNUMBER(K766),ISNUMBER(L766)),100*(K766-L766),"n.a.")</x:f>
        <x:v>0.87621235802815</x:v>
      </x:c>
      <x:c r="N766" s="13" t="b">
        <x:v>1</x:v>
      </x:c>
      <x:c r="O766" s="13" t="b">
        <x:v>1</x:v>
      </x:c>
      <x:c r="P766" s="13" t="b">
        <x:v>0</x:v>
      </x:c>
      <x:c r="Q766" s="2" t="str">
        <x:v>legacy epoch_status=observed; not exact acquisition proof</x:v>
      </x:c>
      <x:c r="R766" s="2" t="str">
        <x:v>legacy epoch_status=observed; not exact acquisition proof</x:v>
      </x:c>
      <x:c r="S766" s="2" t="str">
        <x:v>historical source estimate</x:v>
      </x:c>
      <x:c r="T766" s="2" t="str">
        <x:v>historical source estimate</x:v>
      </x:c>
      <x:c r="U766" s="2" t="str">
        <x:v>GFA growth versus source physical quantity growth; constant conversion required for equality</x:v>
      </x:c>
      <x:c r="V766" s="2" t="str">
        <x:v>Historical horizontal endpoint trend already used by v16</x:v>
      </x:c>
      <x:c r="W766" s="2" t="str">
        <x:v>https://human-settlement.emergency.copernicus.eu/ghs_buS2023.php</x:v>
      </x:c>
    </x:row>
    <x:row r="767" ht="23" customHeight="1">
      <x:c r="A767" s="2" t="str">
        <x:v>TON</x:v>
      </x:c>
      <x:c r="B767" s="2" t="str">
        <x:v>Tonga (Kingdom of)</x:v>
      </x:c>
      <x:c r="C767" s="2" t="str">
        <x:v>GHSL_SURFACE</x:v>
      </x:c>
      <x:c r="D767" s="2" t="n">
        <x:v>2015</x:v>
      </x:c>
      <x:c r="E767" s="2" t="n">
        <x:v>2020</x:v>
      </x:c>
      <x:c r="F767" s="17" t="n">
        <x:v>4632378.310123438</x:v>
      </x:c>
      <x:c r="G767" s="17" t="n">
        <x:v>4719083.849999997</x:v>
      </x:c>
      <x:c r="H767" s="17" t="n">
        <x:v>6369795</x:v>
      </x:c>
      <x:c r="I767" s="17" t="n">
        <x:v>6477644</x:v>
      </x:c>
      <x:c r="J767" s="2" t="str">
        <x:v>m2</x:v>
      </x:c>
      <x:c r="K767" s="15" t="n">
        <x:f>IF(AND(ISNUMBER(F767),ISNUMBER(G767),F767&gt;0),G767/F767-1,"n.a.")</x:f>
        <x:v>0.018717283881386715</x:v>
      </x:c>
      <x:c r="L767" s="15" t="n">
        <x:f>IF(AND(N767,ISNUMBER(H767),ISNUMBER(I767),H767&gt;0),I767/H767-1,"n.a.")</x:f>
        <x:v>0.016931314116074292</x:v>
      </x:c>
      <x:c r="M767" s="20" t="n">
        <x:f>IF(AND(ISNUMBER(K767),ISNUMBER(L767)),100*(K767-L767),"n.a.")</x:f>
        <x:v>0.1785969765312423</x:v>
      </x:c>
      <x:c r="N767" s="13" t="b">
        <x:v>1</x:v>
      </x:c>
      <x:c r="O767" s="13" t="b">
        <x:v>1</x:v>
      </x:c>
      <x:c r="P767" s="13" t="b">
        <x:v>0</x:v>
      </x:c>
      <x:c r="Q767" s="2" t="str">
        <x:v>legacy epoch_status=observed; not exact acquisition proof</x:v>
      </x:c>
      <x:c r="R767" s="2" t="str">
        <x:v>legacy epoch_status=observed; not exact acquisition proof</x:v>
      </x:c>
      <x:c r="S767" s="2" t="str">
        <x:v>historical source estimate</x:v>
      </x:c>
      <x:c r="T767" s="2" t="str">
        <x:v>historical source estimate</x:v>
      </x:c>
      <x:c r="U767" s="2" t="str">
        <x:v>GFA growth versus source physical quantity growth; constant conversion required for equality</x:v>
      </x:c>
      <x:c r="V767" s="2" t="str">
        <x:v>Historical horizontal endpoint trend already used by v16</x:v>
      </x:c>
      <x:c r="W767" s="2" t="str">
        <x:v>https://human-settlement.emergency.copernicus.eu/ghs_buS2023.php</x:v>
      </x:c>
    </x:row>
    <x:row r="768" ht="23" customHeight="1">
      <x:c r="A768" s="2" t="str">
        <x:v>TTO</x:v>
      </x:c>
      <x:c r="B768" s="2" t="str">
        <x:v>Trinidad and Tobago (Republic of)</x:v>
      </x:c>
      <x:c r="C768" s="2" t="str">
        <x:v>GHSL_SURFACE</x:v>
      </x:c>
      <x:c r="D768" s="2" t="n">
        <x:v>2015</x:v>
      </x:c>
      <x:c r="E768" s="2" t="n">
        <x:v>2020</x:v>
      </x:c>
      <x:c r="F768" s="17" t="n">
        <x:v>92150385.27447325</x:v>
      </x:c>
      <x:c r="G768" s="17" t="n">
        <x:v>100480869.27000004</x:v>
      </x:c>
      <x:c r="H768" s="17" t="n">
        <x:v>150157138</x:v>
      </x:c>
      <x:c r="I768" s="17" t="n">
        <x:v>163068221</x:v>
      </x:c>
      <x:c r="J768" s="2" t="str">
        <x:v>m2</x:v>
      </x:c>
      <x:c r="K768" s="15" t="n">
        <x:f>IF(AND(ISNUMBER(F768),ISNUMBER(G768),F768&gt;0),G768/F768-1,"n.a.")</x:f>
        <x:v>0.09040096762172123</x:v>
      </x:c>
      <x:c r="L768" s="15" t="n">
        <x:f>IF(AND(N768,ISNUMBER(H768),ISNUMBER(I768),H768&gt;0),I768/H768-1,"n.a.")</x:f>
        <x:v>0.08598381117253306</x:v>
      </x:c>
      <x:c r="M768" s="20" t="n">
        <x:f>IF(AND(ISNUMBER(K768),ISNUMBER(L768)),100*(K768-L768),"n.a.")</x:f>
        <x:v>0.44171564491881643</x:v>
      </x:c>
      <x:c r="N768" s="13" t="b">
        <x:v>1</x:v>
      </x:c>
      <x:c r="O768" s="13" t="b">
        <x:v>1</x:v>
      </x:c>
      <x:c r="P768" s="13" t="b">
        <x:v>0</x:v>
      </x:c>
      <x:c r="Q768" s="2" t="str">
        <x:v>legacy epoch_status=observed; not exact acquisition proof</x:v>
      </x:c>
      <x:c r="R768" s="2" t="str">
        <x:v>legacy epoch_status=observed; not exact acquisition proof</x:v>
      </x:c>
      <x:c r="S768" s="2" t="str">
        <x:v>historical source estimate</x:v>
      </x:c>
      <x:c r="T768" s="2" t="str">
        <x:v>historical source estimate</x:v>
      </x:c>
      <x:c r="U768" s="2" t="str">
        <x:v>GFA growth versus source physical quantity growth; constant conversion required for equality</x:v>
      </x:c>
      <x:c r="V768" s="2" t="str">
        <x:v>Historical horizontal endpoint trend already used by v16</x:v>
      </x:c>
      <x:c r="W768" s="2" t="str">
        <x:v>https://human-settlement.emergency.copernicus.eu/ghs_buS2023.php</x:v>
      </x:c>
    </x:row>
    <x:row r="769" ht="23" customHeight="1">
      <x:c r="A769" s="2" t="str">
        <x:v>TUN</x:v>
      </x:c>
      <x:c r="B769" s="2" t="str">
        <x:v>Tunisia (Republic of)</x:v>
      </x:c>
      <x:c r="C769" s="2" t="str">
        <x:v>GHSL_SURFACE</x:v>
      </x:c>
      <x:c r="D769" s="2" t="n">
        <x:v>2015</x:v>
      </x:c>
      <x:c r="E769" s="2" t="n">
        <x:v>2020</x:v>
      </x:c>
      <x:c r="F769" s="17" t="n">
        <x:v>613930514.3647048</x:v>
      </x:c>
      <x:c r="G769" s="17" t="n">
        <x:v>649171642.779999</x:v>
      </x:c>
      <x:c r="H769" s="17" t="n">
        <x:v>1072113334</x:v>
      </x:c>
      <x:c r="I769" s="17" t="n">
        <x:v>1125705502</x:v>
      </x:c>
      <x:c r="J769" s="2" t="str">
        <x:v>m2</x:v>
      </x:c>
      <x:c r="K769" s="15" t="n">
        <x:f>IF(AND(ISNUMBER(F769),ISNUMBER(G769),F769&gt;0),G769/F769-1,"n.a.")</x:f>
        <x:v>0.05740247078573968</x:v>
      </x:c>
      <x:c r="L769" s="15" t="n">
        <x:f>IF(AND(N769,ISNUMBER(H769),ISNUMBER(I769),H769&gt;0),I769/H769-1,"n.a.")</x:f>
        <x:v>0.049987409260222826</x:v>
      </x:c>
      <x:c r="M769" s="20" t="n">
        <x:f>IF(AND(ISNUMBER(K769),ISNUMBER(L769)),100*(K769-L769),"n.a.")</x:f>
        <x:v>0.7415061525516853</x:v>
      </x:c>
      <x:c r="N769" s="13" t="b">
        <x:v>1</x:v>
      </x:c>
      <x:c r="O769" s="13" t="b">
        <x:v>1</x:v>
      </x:c>
      <x:c r="P769" s="13" t="b">
        <x:v>0</x:v>
      </x:c>
      <x:c r="Q769" s="2" t="str">
        <x:v>legacy epoch_status=observed; not exact acquisition proof</x:v>
      </x:c>
      <x:c r="R769" s="2" t="str">
        <x:v>legacy epoch_status=observed; not exact acquisition proof</x:v>
      </x:c>
      <x:c r="S769" s="2" t="str">
        <x:v>historical source estimate</x:v>
      </x:c>
      <x:c r="T769" s="2" t="str">
        <x:v>historical source estimate</x:v>
      </x:c>
      <x:c r="U769" s="2" t="str">
        <x:v>GFA growth versus source physical quantity growth; constant conversion required for equality</x:v>
      </x:c>
      <x:c r="V769" s="2" t="str">
        <x:v>Historical horizontal endpoint trend already used by v16</x:v>
      </x:c>
      <x:c r="W769" s="2" t="str">
        <x:v>https://human-settlement.emergency.copernicus.eu/ghs_buS2023.php</x:v>
      </x:c>
    </x:row>
    <x:row r="770" ht="23" customHeight="1">
      <x:c r="A770" s="2" t="str">
        <x:v>TUR</x:v>
      </x:c>
      <x:c r="B770" s="2" t="str">
        <x:v>Türkiye (Republic of)</x:v>
      </x:c>
      <x:c r="C770" s="2" t="str">
        <x:v>GHSL_SURFACE</x:v>
      </x:c>
      <x:c r="D770" s="2" t="n">
        <x:v>2015</x:v>
      </x:c>
      <x:c r="E770" s="2" t="n">
        <x:v>2020</x:v>
      </x:c>
      <x:c r="F770" s="17" t="n">
        <x:v>3665140556.485112</x:v>
      </x:c>
      <x:c r="G770" s="17" t="n">
        <x:v>3957897873.260005</x:v>
      </x:c>
      <x:c r="H770" s="17" t="n">
        <x:v>3178315429</x:v>
      </x:c>
      <x:c r="I770" s="17" t="n">
        <x:v>3397689619</x:v>
      </x:c>
      <x:c r="J770" s="2" t="str">
        <x:v>m2</x:v>
      </x:c>
      <x:c r="K770" s="15" t="n">
        <x:f>IF(AND(ISNUMBER(F770),ISNUMBER(G770),F770&gt;0),G770/F770-1,"n.a.")</x:f>
        <x:v>0.07987614997653703</x:v>
      </x:c>
      <x:c r="L770" s="15" t="n">
        <x:f>IF(AND(N770,ISNUMBER(H770),ISNUMBER(I770),H770&gt;0),I770/H770-1,"n.a.")</x:f>
        <x:v>0.06902215808989798</x:v>
      </x:c>
      <x:c r="M770" s="20" t="n">
        <x:f>IF(AND(ISNUMBER(K770),ISNUMBER(L770)),100*(K770-L770),"n.a.")</x:f>
        <x:v>1.0853991886639047</x:v>
      </x:c>
      <x:c r="N770" s="13" t="b">
        <x:v>1</x:v>
      </x:c>
      <x:c r="O770" s="13" t="b">
        <x:v>1</x:v>
      </x:c>
      <x:c r="P770" s="13" t="b">
        <x:v>0</x:v>
      </x:c>
      <x:c r="Q770" s="2" t="str">
        <x:v>legacy epoch_status=observed; not exact acquisition proof</x:v>
      </x:c>
      <x:c r="R770" s="2" t="str">
        <x:v>legacy epoch_status=observed; not exact acquisition proof</x:v>
      </x:c>
      <x:c r="S770" s="2" t="str">
        <x:v>historical source estimate</x:v>
      </x:c>
      <x:c r="T770" s="2" t="str">
        <x:v>historical source estimate</x:v>
      </x:c>
      <x:c r="U770" s="2" t="str">
        <x:v>GFA growth versus source physical quantity growth; constant conversion required for equality</x:v>
      </x:c>
      <x:c r="V770" s="2" t="str">
        <x:v>Historical horizontal endpoint trend already used by v16</x:v>
      </x:c>
      <x:c r="W770" s="2" t="str">
        <x:v>https://human-settlement.emergency.copernicus.eu/ghs_buS2023.php</x:v>
      </x:c>
    </x:row>
    <x:row r="771" ht="23" customHeight="1">
      <x:c r="A771" s="2" t="str">
        <x:v>TUV</x:v>
      </x:c>
      <x:c r="B771" s="2" t="str">
        <x:v>Tuvalu</x:v>
      </x:c>
      <x:c r="C771" s="2" t="str">
        <x:v>GHSL_SURFACE</x:v>
      </x:c>
      <x:c r="D771" s="2" t="n">
        <x:v>2015</x:v>
      </x:c>
      <x:c r="E771" s="2" t="n">
        <x:v>2020</x:v>
      </x:c>
      <x:c r="F771" s="17" t="n">
        <x:v>18938.49476458106</x:v>
      </x:c>
      <x:c r="G771" s="17" t="n">
        <x:v>19394.80999999999</x:v>
      </x:c>
      <x:c r="H771" s="17" t="n">
        <x:v>7574</x:v>
      </x:c>
      <x:c r="I771" s="17" t="n">
        <x:v>7758</x:v>
      </x:c>
      <x:c r="J771" s="2" t="str">
        <x:v>m2</x:v>
      </x:c>
      <x:c r="K771" s="15" t="n">
        <x:f>IF(AND(ISNUMBER(F771),ISNUMBER(G771),F771&gt;0),G771/F771-1,"n.a.")</x:f>
        <x:v>0.024094588355159763</x:v>
      </x:c>
      <x:c r="L771" s="15" t="n">
        <x:f>IF(AND(N771,ISNUMBER(H771),ISNUMBER(I771),H771&gt;0),I771/H771-1,"n.a.")</x:f>
        <x:v>0.024293636123580598</x:v>
      </x:c>
      <x:c r="M771" s="20" t="n">
        <x:f>IF(AND(ISNUMBER(K771),ISNUMBER(L771)),100*(K771-L771),"n.a.")</x:f>
        <x:v>-0.01990477684208347</x:v>
      </x:c>
      <x:c r="N771" s="13" t="b">
        <x:v>1</x:v>
      </x:c>
      <x:c r="O771" s="13" t="b">
        <x:v>1</x:v>
      </x:c>
      <x:c r="P771" s="13" t="b">
        <x:v>0</x:v>
      </x:c>
      <x:c r="Q771" s="2" t="str">
        <x:v>legacy epoch_status=observed; not exact acquisition proof</x:v>
      </x:c>
      <x:c r="R771" s="2" t="str">
        <x:v>legacy epoch_status=observed; not exact acquisition proof</x:v>
      </x:c>
      <x:c r="S771" s="2" t="str">
        <x:v>historical source estimate</x:v>
      </x:c>
      <x:c r="T771" s="2" t="str">
        <x:v>historical source estimate</x:v>
      </x:c>
      <x:c r="U771" s="2" t="str">
        <x:v>GFA growth versus source physical quantity growth; constant conversion required for equality</x:v>
      </x:c>
      <x:c r="V771" s="2" t="str">
        <x:v>Historical horizontal endpoint trend already used by v16</x:v>
      </x:c>
      <x:c r="W771" s="2" t="str">
        <x:v>https://human-settlement.emergency.copernicus.eu/ghs_buS2023.php</x:v>
      </x:c>
    </x:row>
    <x:row r="772" ht="23" customHeight="1">
      <x:c r="A772" s="2" t="str">
        <x:v>TZA</x:v>
      </x:c>
      <x:c r="B772" s="2" t="str">
        <x:v>Tanzania (United Republic of)</x:v>
      </x:c>
      <x:c r="C772" s="2" t="str">
        <x:v>GHSL_SURFACE</x:v>
      </x:c>
      <x:c r="D772" s="2" t="n">
        <x:v>2015</x:v>
      </x:c>
      <x:c r="E772" s="2" t="n">
        <x:v>2020</x:v>
      </x:c>
      <x:c r="F772" s="17" t="n">
        <x:v>919308974.8738804</x:v>
      </x:c>
      <x:c r="G772" s="17" t="n">
        <x:v>1174486408.8199985</x:v>
      </x:c>
      <x:c r="H772" s="17" t="n">
        <x:v>3241671305</x:v>
      </x:c>
      <x:c r="I772" s="17" t="n">
        <x:v>4108005048</x:v>
      </x:c>
      <x:c r="J772" s="2" t="str">
        <x:v>m2</x:v>
      </x:c>
      <x:c r="K772" s="15" t="n">
        <x:f>IF(AND(ISNUMBER(F772),ISNUMBER(G772),F772&gt;0),G772/F772-1,"n.a.")</x:f>
        <x:v>0.2775752667715725</x:v>
      </x:c>
      <x:c r="L772" s="15" t="n">
        <x:f>IF(AND(N772,ISNUMBER(H772),ISNUMBER(I772),H772&gt;0),I772/H772-1,"n.a.")</x:f>
        <x:v>0.26724910130886936</x:v>
      </x:c>
      <x:c r="M772" s="20" t="n">
        <x:f>IF(AND(ISNUMBER(K772),ISNUMBER(L772)),100*(K772-L772),"n.a.")</x:f>
        <x:v>1.0326165462703152</x:v>
      </x:c>
      <x:c r="N772" s="13" t="b">
        <x:v>1</x:v>
      </x:c>
      <x:c r="O772" s="13" t="b">
        <x:v>1</x:v>
      </x:c>
      <x:c r="P772" s="13" t="b">
        <x:v>0</x:v>
      </x:c>
      <x:c r="Q772" s="2" t="str">
        <x:v>legacy epoch_status=observed; not exact acquisition proof</x:v>
      </x:c>
      <x:c r="R772" s="2" t="str">
        <x:v>legacy epoch_status=observed; not exact acquisition proof</x:v>
      </x:c>
      <x:c r="S772" s="2" t="str">
        <x:v>historical source estimate</x:v>
      </x:c>
      <x:c r="T772" s="2" t="str">
        <x:v>historical source estimate</x:v>
      </x:c>
      <x:c r="U772" s="2" t="str">
        <x:v>GFA growth versus source physical quantity growth; constant conversion required for equality</x:v>
      </x:c>
      <x:c r="V772" s="2" t="str">
        <x:v>Historical horizontal endpoint trend already used by v16</x:v>
      </x:c>
      <x:c r="W772" s="2" t="str">
        <x:v>https://human-settlement.emergency.copernicus.eu/ghs_buS2023.php</x:v>
      </x:c>
    </x:row>
    <x:row r="773" ht="23" customHeight="1">
      <x:c r="A773" s="2" t="str">
        <x:v>UGA</x:v>
      </x:c>
      <x:c r="B773" s="2" t="str">
        <x:v>Uganda (Republic of)</x:v>
      </x:c>
      <x:c r="C773" s="2" t="str">
        <x:v>GHSL_SURFACE</x:v>
      </x:c>
      <x:c r="D773" s="2" t="n">
        <x:v>2015</x:v>
      </x:c>
      <x:c r="E773" s="2" t="n">
        <x:v>2020</x:v>
      </x:c>
      <x:c r="F773" s="17" t="n">
        <x:v>575984024.6654693</x:v>
      </x:c>
      <x:c r="G773" s="17" t="n">
        <x:v>765891927.1500008</x:v>
      </x:c>
      <x:c r="H773" s="17" t="n">
        <x:v>1998412883</x:v>
      </x:c>
      <x:c r="I773" s="17" t="n">
        <x:v>2641631116</x:v>
      </x:c>
      <x:c r="J773" s="2" t="str">
        <x:v>m2</x:v>
      </x:c>
      <x:c r="K773" s="15" t="n">
        <x:f>IF(AND(ISNUMBER(F773),ISNUMBER(G773),F773&gt;0),G773/F773-1,"n.a.")</x:f>
        <x:v>0.3297103640935697</x:v>
      </x:c>
      <x:c r="L773" s="15" t="n">
        <x:f>IF(AND(N773,ISNUMBER(H773),ISNUMBER(I773),H773&gt;0),I773/H773-1,"n.a.")</x:f>
        <x:v>0.3218645348374689</x:v>
      </x:c>
      <x:c r="M773" s="20" t="n">
        <x:f>IF(AND(ISNUMBER(K773),ISNUMBER(L773)),100*(K773-L773),"n.a.")</x:f>
        <x:v>0.7845829256100778</x:v>
      </x:c>
      <x:c r="N773" s="13" t="b">
        <x:v>1</x:v>
      </x:c>
      <x:c r="O773" s="13" t="b">
        <x:v>1</x:v>
      </x:c>
      <x:c r="P773" s="13" t="b">
        <x:v>0</x:v>
      </x:c>
      <x:c r="Q773" s="2" t="str">
        <x:v>legacy epoch_status=observed; not exact acquisition proof</x:v>
      </x:c>
      <x:c r="R773" s="2" t="str">
        <x:v>legacy epoch_status=observed; not exact acquisition proof</x:v>
      </x:c>
      <x:c r="S773" s="2" t="str">
        <x:v>historical source estimate</x:v>
      </x:c>
      <x:c r="T773" s="2" t="str">
        <x:v>historical source estimate</x:v>
      </x:c>
      <x:c r="U773" s="2" t="str">
        <x:v>GFA growth versus source physical quantity growth; constant conversion required for equality</x:v>
      </x:c>
      <x:c r="V773" s="2" t="str">
        <x:v>Historical horizontal endpoint trend already used by v16</x:v>
      </x:c>
      <x:c r="W773" s="2" t="str">
        <x:v>https://human-settlement.emergency.copernicus.eu/ghs_buS2023.php</x:v>
      </x:c>
    </x:row>
    <x:row r="774" ht="23" customHeight="1">
      <x:c r="A774" s="2" t="str">
        <x:v>UKR</x:v>
      </x:c>
      <x:c r="B774" s="2" t="str">
        <x:v>Ukraine</x:v>
      </x:c>
      <x:c r="C774" s="2" t="str">
        <x:v>GHSL_SURFACE</x:v>
      </x:c>
      <x:c r="D774" s="2" t="n">
        <x:v>2015</x:v>
      </x:c>
      <x:c r="E774" s="2" t="n">
        <x:v>2020</x:v>
      </x:c>
      <x:c r="F774" s="17" t="n">
        <x:v>2687631859.9002776</x:v>
      </x:c>
      <x:c r="G774" s="17" t="n">
        <x:v>2808807029.8199997</x:v>
      </x:c>
      <x:c r="H774" s="17" t="n">
        <x:v>4125073406</x:v>
      </x:c>
      <x:c r="I774" s="17" t="n">
        <x:v>4301915405</x:v>
      </x:c>
      <x:c r="J774" s="2" t="str">
        <x:v>m2</x:v>
      </x:c>
      <x:c r="K774" s="15" t="n">
        <x:f>IF(AND(ISNUMBER(F774),ISNUMBER(G774),F774&gt;0),G774/F774-1,"n.a.")</x:f>
        <x:v>0.045086223201796116</x:v>
      </x:c>
      <x:c r="L774" s="15" t="n">
        <x:f>IF(AND(N774,ISNUMBER(H774),ISNUMBER(I774),H774&gt;0),I774/H774-1,"n.a.")</x:f>
        <x:v>0.042870024747384994</x:v>
      </x:c>
      <x:c r="M774" s="20" t="n">
        <x:f>IF(AND(ISNUMBER(K774),ISNUMBER(L774)),100*(K774-L774),"n.a.")</x:f>
        <x:v>0.22161984544111224</x:v>
      </x:c>
      <x:c r="N774" s="13" t="b">
        <x:v>1</x:v>
      </x:c>
      <x:c r="O774" s="13" t="b">
        <x:v>1</x:v>
      </x:c>
      <x:c r="P774" s="13" t="b">
        <x:v>0</x:v>
      </x:c>
      <x:c r="Q774" s="2" t="str">
        <x:v>legacy epoch_status=observed; not exact acquisition proof</x:v>
      </x:c>
      <x:c r="R774" s="2" t="str">
        <x:v>legacy epoch_status=observed; not exact acquisition proof</x:v>
      </x:c>
      <x:c r="S774" s="2" t="str">
        <x:v>historical source estimate</x:v>
      </x:c>
      <x:c r="T774" s="2" t="str">
        <x:v>historical source estimate</x:v>
      </x:c>
      <x:c r="U774" s="2" t="str">
        <x:v>GFA growth versus source physical quantity growth; constant conversion required for equality</x:v>
      </x:c>
      <x:c r="V774" s="2" t="str">
        <x:v>Historical horizontal endpoint trend already used by v16</x:v>
      </x:c>
      <x:c r="W774" s="2" t="str">
        <x:v>https://human-settlement.emergency.copernicus.eu/ghs_buS2023.php</x:v>
      </x:c>
    </x:row>
    <x:row r="775" ht="23" customHeight="1">
      <x:c r="A775" s="2" t="str">
        <x:v>URY</x:v>
      </x:c>
      <x:c r="B775" s="2" t="str">
        <x:v>Uruguay (Oriental Republic of)</x:v>
      </x:c>
      <x:c r="C775" s="2" t="str">
        <x:v>GHSL_SURFACE</x:v>
      </x:c>
      <x:c r="D775" s="2" t="n">
        <x:v>2015</x:v>
      </x:c>
      <x:c r="E775" s="2" t="n">
        <x:v>2020</x:v>
      </x:c>
      <x:c r="F775" s="17" t="n">
        <x:v>201359785.87738177</x:v>
      </x:c>
      <x:c r="G775" s="17" t="n">
        <x:v>209727833.2899997</x:v>
      </x:c>
      <x:c r="H775" s="17" t="n">
        <x:v>364059607</x:v>
      </x:c>
      <x:c r="I775" s="17" t="n">
        <x:v>377811413</x:v>
      </x:c>
      <x:c r="J775" s="2" t="str">
        <x:v>m2</x:v>
      </x:c>
      <x:c r="K775" s="15" t="n">
        <x:f>IF(AND(ISNUMBER(F775),ISNUMBER(G775),F775&gt;0),G775/F775-1,"n.a.")</x:f>
        <x:v>0.041557689268271636</x:v>
      </x:c>
      <x:c r="L775" s="15" t="n">
        <x:f>IF(AND(N775,ISNUMBER(H775),ISNUMBER(I775),H775&gt;0),I775/H775-1,"n.a.")</x:f>
        <x:v>0.03777350119481948</x:v>
      </x:c>
      <x:c r="M775" s="20" t="n">
        <x:f>IF(AND(ISNUMBER(K775),ISNUMBER(L775)),100*(K775-L775),"n.a.")</x:f>
        <x:v>0.3784188073452155</x:v>
      </x:c>
      <x:c r="N775" s="13" t="b">
        <x:v>1</x:v>
      </x:c>
      <x:c r="O775" s="13" t="b">
        <x:v>1</x:v>
      </x:c>
      <x:c r="P775" s="13" t="b">
        <x:v>0</x:v>
      </x:c>
      <x:c r="Q775" s="2" t="str">
        <x:v>legacy epoch_status=observed; not exact acquisition proof</x:v>
      </x:c>
      <x:c r="R775" s="2" t="str">
        <x:v>legacy epoch_status=observed; not exact acquisition proof</x:v>
      </x:c>
      <x:c r="S775" s="2" t="str">
        <x:v>historical source estimate</x:v>
      </x:c>
      <x:c r="T775" s="2" t="str">
        <x:v>historical source estimate</x:v>
      </x:c>
      <x:c r="U775" s="2" t="str">
        <x:v>GFA growth versus source physical quantity growth; constant conversion required for equality</x:v>
      </x:c>
      <x:c r="V775" s="2" t="str">
        <x:v>Historical horizontal endpoint trend already used by v16</x:v>
      </x:c>
      <x:c r="W775" s="2" t="str">
        <x:v>https://human-settlement.emergency.copernicus.eu/ghs_buS2023.php</x:v>
      </x:c>
    </x:row>
    <x:row r="776" ht="23" customHeight="1">
      <x:c r="A776" s="2" t="str">
        <x:v>USA</x:v>
      </x:c>
      <x:c r="B776" s="2" t="str">
        <x:v>United States of America</x:v>
      </x:c>
      <x:c r="C776" s="2" t="str">
        <x:v>GHSL_SURFACE</x:v>
      </x:c>
      <x:c r="D776" s="2" t="n">
        <x:v>2015</x:v>
      </x:c>
      <x:c r="E776" s="2" t="n">
        <x:v>2020</x:v>
      </x:c>
      <x:c r="F776" s="17" t="n">
        <x:v>34465397434.22212</x:v>
      </x:c>
      <x:c r="G776" s="17" t="n">
        <x:v>35932980078.68004</x:v>
      </x:c>
      <x:c r="H776" s="17" t="n">
        <x:v>58405119977</x:v>
      </x:c>
      <x:c r="I776" s="17" t="n">
        <x:v>60491887152</x:v>
      </x:c>
      <x:c r="J776" s="2" t="str">
        <x:v>m2</x:v>
      </x:c>
      <x:c r="K776" s="15" t="n">
        <x:f>IF(AND(ISNUMBER(F776),ISNUMBER(G776),F776&gt;0),G776/F776-1,"n.a.")</x:f>
        <x:v>0.042581335301843826</x:v>
      </x:c>
      <x:c r="L776" s="15" t="n">
        <x:f>IF(AND(N776,ISNUMBER(H776),ISNUMBER(I776),H776&gt;0),I776/H776-1,"n.a.")</x:f>
        <x:v>0.035729182233026346</x:v>
      </x:c>
      <x:c r="M776" s="20" t="n">
        <x:f>IF(AND(ISNUMBER(K776),ISNUMBER(L776)),100*(K776-L776),"n.a.")</x:f>
        <x:v>0.6852153068817479</x:v>
      </x:c>
      <x:c r="N776" s="13" t="b">
        <x:v>1</x:v>
      </x:c>
      <x:c r="O776" s="13" t="b">
        <x:v>1</x:v>
      </x:c>
      <x:c r="P776" s="13" t="b">
        <x:v>0</x:v>
      </x:c>
      <x:c r="Q776" s="2" t="str">
        <x:v>legacy epoch_status=observed; not exact acquisition proof</x:v>
      </x:c>
      <x:c r="R776" s="2" t="str">
        <x:v>legacy epoch_status=observed; not exact acquisition proof</x:v>
      </x:c>
      <x:c r="S776" s="2" t="str">
        <x:v>historical source estimate</x:v>
      </x:c>
      <x:c r="T776" s="2" t="str">
        <x:v>historical source estimate</x:v>
      </x:c>
      <x:c r="U776" s="2" t="str">
        <x:v>GFA growth versus source physical quantity growth; constant conversion required for equality</x:v>
      </x:c>
      <x:c r="V776" s="2" t="str">
        <x:v>Historical horizontal endpoint trend already used by v16</x:v>
      </x:c>
      <x:c r="W776" s="2" t="str">
        <x:v>https://human-settlement.emergency.copernicus.eu/ghs_buS2023.php</x:v>
      </x:c>
    </x:row>
    <x:row r="777" ht="23" customHeight="1">
      <x:c r="A777" s="2" t="str">
        <x:v>UZB</x:v>
      </x:c>
      <x:c r="B777" s="2" t="str">
        <x:v>Uzbekistan (Republic of)</x:v>
      </x:c>
      <x:c r="C777" s="2" t="str">
        <x:v>GHSL_SURFACE</x:v>
      </x:c>
      <x:c r="D777" s="2" t="n">
        <x:v>2015</x:v>
      </x:c>
      <x:c r="E777" s="2" t="n">
        <x:v>2020</x:v>
      </x:c>
      <x:c r="F777" s="17" t="n">
        <x:v>1826840510.7491636</x:v>
      </x:c>
      <x:c r="G777" s="17" t="n">
        <x:v>1997042653.6300015</x:v>
      </x:c>
      <x:c r="H777" s="17" t="n">
        <x:v>3493154279</x:v>
      </x:c>
      <x:c r="I777" s="17" t="n">
        <x:v>3791926639</x:v>
      </x:c>
      <x:c r="J777" s="2" t="str">
        <x:v>m2</x:v>
      </x:c>
      <x:c r="K777" s="15" t="n">
        <x:f>IF(AND(ISNUMBER(F777),ISNUMBER(G777),F777&gt;0),G777/F777-1,"n.a.")</x:f>
        <x:v>0.09316748883077941</x:v>
      </x:c>
      <x:c r="L777" s="15" t="n">
        <x:f>IF(AND(N777,ISNUMBER(H777),ISNUMBER(I777),H777&gt;0),I777/H777-1,"n.a.")</x:f>
        <x:v>0.0855308229001357</x:v>
      </x:c>
      <x:c r="M777" s="20" t="n">
        <x:f>IF(AND(ISNUMBER(K777),ISNUMBER(L777)),100*(K777-L777),"n.a.")</x:f>
        <x:v>0.7636665930643716</x:v>
      </x:c>
      <x:c r="N777" s="13" t="b">
        <x:v>1</x:v>
      </x:c>
      <x:c r="O777" s="13" t="b">
        <x:v>1</x:v>
      </x:c>
      <x:c r="P777" s="13" t="b">
        <x:v>0</x:v>
      </x:c>
      <x:c r="Q777" s="2" t="str">
        <x:v>legacy epoch_status=observed; not exact acquisition proof</x:v>
      </x:c>
      <x:c r="R777" s="2" t="str">
        <x:v>legacy epoch_status=observed; not exact acquisition proof</x:v>
      </x:c>
      <x:c r="S777" s="2" t="str">
        <x:v>historical source estimate</x:v>
      </x:c>
      <x:c r="T777" s="2" t="str">
        <x:v>historical source estimate</x:v>
      </x:c>
      <x:c r="U777" s="2" t="str">
        <x:v>GFA growth versus source physical quantity growth; constant conversion required for equality</x:v>
      </x:c>
      <x:c r="V777" s="2" t="str">
        <x:v>Historical horizontal endpoint trend already used by v16</x:v>
      </x:c>
      <x:c r="W777" s="2" t="str">
        <x:v>https://human-settlement.emergency.copernicus.eu/ghs_buS2023.php</x:v>
      </x:c>
    </x:row>
    <x:row r="778" ht="23" customHeight="1">
      <x:c r="A778" s="2" t="str">
        <x:v>VAT</x:v>
      </x:c>
      <x:c r="B778" s="2" t="str">
        <x:v>Holy See (State of the Vatican City)</x:v>
      </x:c>
      <x:c r="C778" s="2" t="str">
        <x:v>GHSL_SURFACE</x:v>
      </x:c>
      <x:c r="D778" s="2" t="n">
        <x:v>2015</x:v>
      </x:c>
      <x:c r="E778" s="2" t="n">
        <x:v>2020</x:v>
      </x:c>
      <x:c r="F778" s="17" t="n">
        <x:v>318151.8700189071</x:v>
      </x:c>
      <x:c r="G778" s="17" t="n">
        <x:v>318924.24</x:v>
      </x:c>
      <x:c r="H778" s="17" t="n">
        <x:v>0</x:v>
      </x:c>
      <x:c r="I778" s="17" t="n">
        <x:v>0</x:v>
      </x:c>
      <x:c r="J778" s="2" t="str">
        <x:v>m2</x:v>
      </x:c>
      <x:c r="K778" s="15" t="n">
        <x:f>IF(AND(ISNUMBER(F778),ISNUMBER(G778),F778&gt;0),G778/F778-1,"n.a.")</x:f>
        <x:v>0.002427677011758389</x:v>
      </x:c>
      <x:c r="L778" s="15" t="str">
        <x:f>IF(AND(N778,ISNUMBER(H778),ISNUMBER(I778),H778&gt;0),I778/H778-1,"n.a.")</x:f>
        <x:v>n.a.</x:v>
      </x:c>
      <x:c r="M778" s="20" t="str">
        <x:f>IF(AND(ISNUMBER(K778),ISNUMBER(L778)),100*(K778-L778),"n.a.")</x:f>
        <x:v>n.a.</x:v>
      </x:c>
      <x:c r="N778" s="13" t="b">
        <x:v>0</x:v>
      </x:c>
      <x:c r="O778" s="13" t="b">
        <x:v>1</x:v>
      </x:c>
      <x:c r="P778" s="13" t="b">
        <x:v>0</x:v>
      </x:c>
      <x:c r="Q778" s="2" t="str">
        <x:v>legacy epoch_status=observed; not exact acquisition proof</x:v>
      </x:c>
      <x:c r="R778" s="2" t="str">
        <x:v>legacy epoch_status=observed; not exact acquisition proof</x:v>
      </x:c>
      <x:c r="S778" s="2" t="str">
        <x:v>historical source estimate</x:v>
      </x:c>
      <x:c r="T778" s="2" t="str">
        <x:v>historical source estimate</x:v>
      </x:c>
      <x:c r="U778" s="2" t="str">
        <x:v>GFA growth versus source physical quantity growth; constant conversion required for equality</x:v>
      </x:c>
      <x:c r="V778" s="2" t="str">
        <x:v>Historical horizontal endpoint trend already used by v16</x:v>
      </x:c>
      <x:c r="W778" s="2" t="str">
        <x:v>https://human-settlement.emergency.copernicus.eu/ghs_buS2023.php</x:v>
      </x:c>
    </x:row>
    <x:row r="779" ht="23" customHeight="1">
      <x:c r="A779" s="2" t="str">
        <x:v>VCT</x:v>
      </x:c>
      <x:c r="B779" s="2" t="str">
        <x:v>Saint Vincent and the Grenadines</x:v>
      </x:c>
      <x:c r="C779" s="2" t="str">
        <x:v>GHSL_SURFACE</x:v>
      </x:c>
      <x:c r="D779" s="2" t="n">
        <x:v>2015</x:v>
      </x:c>
      <x:c r="E779" s="2" t="n">
        <x:v>2020</x:v>
      </x:c>
      <x:c r="F779" s="17" t="n">
        <x:v>5437525.574394897</x:v>
      </x:c>
      <x:c r="G779" s="17" t="n">
        <x:v>6194383.570000002</x:v>
      </x:c>
      <x:c r="H779" s="17" t="n">
        <x:v>7850333</x:v>
      </x:c>
      <x:c r="I779" s="17" t="n">
        <x:v>8928921</x:v>
      </x:c>
      <x:c r="J779" s="2" t="str">
        <x:v>m2</x:v>
      </x:c>
      <x:c r="K779" s="15" t="n">
        <x:f>IF(AND(ISNUMBER(F779),ISNUMBER(G779),F779&gt;0),G779/F779-1,"n.a.")</x:f>
        <x:v>0.13919162038871535</x:v>
      </x:c>
      <x:c r="L779" s="15" t="n">
        <x:f>IF(AND(N779,ISNUMBER(H779),ISNUMBER(I779),H779&gt;0),I779/H779-1,"n.a.")</x:f>
        <x:v>0.13739391692046699</x:v>
      </x:c>
      <x:c r="M779" s="20" t="n">
        <x:f>IF(AND(ISNUMBER(K779),ISNUMBER(L779)),100*(K779-L779),"n.a.")</x:f>
        <x:v>0.17977034682483684</x:v>
      </x:c>
      <x:c r="N779" s="13" t="b">
        <x:v>1</x:v>
      </x:c>
      <x:c r="O779" s="13" t="b">
        <x:v>1</x:v>
      </x:c>
      <x:c r="P779" s="13" t="b">
        <x:v>0</x:v>
      </x:c>
      <x:c r="Q779" s="2" t="str">
        <x:v>legacy epoch_status=observed; not exact acquisition proof</x:v>
      </x:c>
      <x:c r="R779" s="2" t="str">
        <x:v>legacy epoch_status=observed; not exact acquisition proof</x:v>
      </x:c>
      <x:c r="S779" s="2" t="str">
        <x:v>historical source estimate</x:v>
      </x:c>
      <x:c r="T779" s="2" t="str">
        <x:v>historical source estimate</x:v>
      </x:c>
      <x:c r="U779" s="2" t="str">
        <x:v>GFA growth versus source physical quantity growth; constant conversion required for equality</x:v>
      </x:c>
      <x:c r="V779" s="2" t="str">
        <x:v>Historical horizontal endpoint trend already used by v16</x:v>
      </x:c>
      <x:c r="W779" s="2" t="str">
        <x:v>https://human-settlement.emergency.copernicus.eu/ghs_buS2023.php</x:v>
      </x:c>
    </x:row>
    <x:row r="780" ht="23" customHeight="1">
      <x:c r="A780" s="2" t="str">
        <x:v>VEN</x:v>
      </x:c>
      <x:c r="B780" s="2" t="str">
        <x:v>Venezuela (Bolivarian Republic of)</x:v>
      </x:c>
      <x:c r="C780" s="2" t="str">
        <x:v>GHSL_SURFACE</x:v>
      </x:c>
      <x:c r="D780" s="2" t="n">
        <x:v>2015</x:v>
      </x:c>
      <x:c r="E780" s="2" t="n">
        <x:v>2020</x:v>
      </x:c>
      <x:c r="F780" s="17" t="n">
        <x:v>1114583415.3745449</x:v>
      </x:c>
      <x:c r="G780" s="17" t="n">
        <x:v>1159546607.6500015</x:v>
      </x:c>
      <x:c r="H780" s="17" t="n">
        <x:v>1411722005</x:v>
      </x:c>
      <x:c r="I780" s="17" t="n">
        <x:v>1468777487</x:v>
      </x:c>
      <x:c r="J780" s="2" t="str">
        <x:v>m2</x:v>
      </x:c>
      <x:c r="K780" s="15" t="n">
        <x:f>IF(AND(ISNUMBER(F780),ISNUMBER(G780),F780&gt;0),G780/F780-1,"n.a.")</x:f>
        <x:v>0.04034080505347126</x:v>
      </x:c>
      <x:c r="L780" s="15" t="n">
        <x:f>IF(AND(N780,ISNUMBER(H780),ISNUMBER(I780),H780&gt;0),I780/H780-1,"n.a.")</x:f>
        <x:v>0.04041552217640754</x:v>
      </x:c>
      <x:c r="M780" s="20" t="n">
        <x:f>IF(AND(ISNUMBER(K780),ISNUMBER(L780)),100*(K780-L780),"n.a.")</x:f>
        <x:v>-0.007471712293627419</x:v>
      </x:c>
      <x:c r="N780" s="13" t="b">
        <x:v>1</x:v>
      </x:c>
      <x:c r="O780" s="13" t="b">
        <x:v>1</x:v>
      </x:c>
      <x:c r="P780" s="13" t="b">
        <x:v>0</x:v>
      </x:c>
      <x:c r="Q780" s="2" t="str">
        <x:v>legacy epoch_status=observed; not exact acquisition proof</x:v>
      </x:c>
      <x:c r="R780" s="2" t="str">
        <x:v>legacy epoch_status=observed; not exact acquisition proof</x:v>
      </x:c>
      <x:c r="S780" s="2" t="str">
        <x:v>historical source estimate</x:v>
      </x:c>
      <x:c r="T780" s="2" t="str">
        <x:v>historical source estimate</x:v>
      </x:c>
      <x:c r="U780" s="2" t="str">
        <x:v>GFA growth versus source physical quantity growth; constant conversion required for equality</x:v>
      </x:c>
      <x:c r="V780" s="2" t="str">
        <x:v>Historical horizontal endpoint trend already used by v16</x:v>
      </x:c>
      <x:c r="W780" s="2" t="str">
        <x:v>https://human-settlement.emergency.copernicus.eu/ghs_buS2023.php</x:v>
      </x:c>
    </x:row>
    <x:row r="781" ht="23" customHeight="1">
      <x:c r="A781" s="2" t="str">
        <x:v>VNM</x:v>
      </x:c>
      <x:c r="B781" s="2" t="str">
        <x:v>Viet Nam (Socialist Republic of)</x:v>
      </x:c>
      <x:c r="C781" s="2" t="str">
        <x:v>GHSL_SURFACE</x:v>
      </x:c>
      <x:c r="D781" s="2" t="n">
        <x:v>2015</x:v>
      </x:c>
      <x:c r="E781" s="2" t="n">
        <x:v>2020</x:v>
      </x:c>
      <x:c r="F781" s="17" t="n">
        <x:v>4452886125.717495</x:v>
      </x:c>
      <x:c r="G781" s="17" t="n">
        <x:v>4861867508.520002</x:v>
      </x:c>
      <x:c r="H781" s="17" t="n">
        <x:v>4641805472</x:v>
      </x:c>
      <x:c r="I781" s="17" t="n">
        <x:v>5026264760</x:v>
      </x:c>
      <x:c r="J781" s="2" t="str">
        <x:v>m2</x:v>
      </x:c>
      <x:c r="K781" s="15" t="n">
        <x:f>IF(AND(ISNUMBER(F781),ISNUMBER(G781),F781&gt;0),G781/F781-1,"n.a.")</x:f>
        <x:v>0.09184636014841008</x:v>
      </x:c>
      <x:c r="L781" s="15" t="n">
        <x:f>IF(AND(N781,ISNUMBER(H781),ISNUMBER(I781),H781&gt;0),I781/H781-1,"n.a.")</x:f>
        <x:v>0.08282537696142378</x:v>
      </x:c>
      <x:c r="M781" s="20" t="n">
        <x:f>IF(AND(ISNUMBER(K781),ISNUMBER(L781)),100*(K781-L781),"n.a.")</x:f>
        <x:v>0.9020983186986298</x:v>
      </x:c>
      <x:c r="N781" s="13" t="b">
        <x:v>1</x:v>
      </x:c>
      <x:c r="O781" s="13" t="b">
        <x:v>1</x:v>
      </x:c>
      <x:c r="P781" s="13" t="b">
        <x:v>0</x:v>
      </x:c>
      <x:c r="Q781" s="2" t="str">
        <x:v>legacy epoch_status=observed; not exact acquisition proof</x:v>
      </x:c>
      <x:c r="R781" s="2" t="str">
        <x:v>legacy epoch_status=observed; not exact acquisition proof</x:v>
      </x:c>
      <x:c r="S781" s="2" t="str">
        <x:v>historical source estimate</x:v>
      </x:c>
      <x:c r="T781" s="2" t="str">
        <x:v>historical source estimate</x:v>
      </x:c>
      <x:c r="U781" s="2" t="str">
        <x:v>GFA growth versus source physical quantity growth; constant conversion required for equality</x:v>
      </x:c>
      <x:c r="V781" s="2" t="str">
        <x:v>Historical horizontal endpoint trend already used by v16</x:v>
      </x:c>
      <x:c r="W781" s="2" t="str">
        <x:v>https://human-settlement.emergency.copernicus.eu/ghs_buS2023.php</x:v>
      </x:c>
    </x:row>
    <x:row r="782" ht="23" customHeight="1">
      <x:c r="A782" s="2" t="str">
        <x:v>VUT</x:v>
      </x:c>
      <x:c r="B782" s="2" t="str">
        <x:v>Vanuatu (Republic of)</x:v>
      </x:c>
      <x:c r="C782" s="2" t="str">
        <x:v>GHSL_SURFACE</x:v>
      </x:c>
      <x:c r="D782" s="2" t="n">
        <x:v>2015</x:v>
      </x:c>
      <x:c r="E782" s="2" t="n">
        <x:v>2020</x:v>
      </x:c>
      <x:c r="F782" s="17" t="n">
        <x:v>7978040.337147347</x:v>
      </x:c>
      <x:c r="G782" s="17" t="n">
        <x:v>8193524.700000004</x:v>
      </x:c>
      <x:c r="H782" s="17" t="n">
        <x:v>10140909</x:v>
      </x:c>
      <x:c r="I782" s="17" t="n">
        <x:v>10341804</x:v>
      </x:c>
      <x:c r="J782" s="2" t="str">
        <x:v>m2</x:v>
      </x:c>
      <x:c r="K782" s="15" t="n">
        <x:f>IF(AND(ISNUMBER(F782),ISNUMBER(G782),F782&gt;0),G782/F782-1,"n.a.")</x:f>
        <x:v>0.027009685805838624</x:v>
      </x:c>
      <x:c r="L782" s="15" t="n">
        <x:f>IF(AND(N782,ISNUMBER(H782),ISNUMBER(I782),H782&gt;0),I782/H782-1,"n.a.")</x:f>
        <x:v>0.019810354278891662</x:v>
      </x:c>
      <x:c r="M782" s="20" t="n">
        <x:f>IF(AND(ISNUMBER(K782),ISNUMBER(L782)),100*(K782-L782),"n.a.")</x:f>
        <x:v>0.7199331526946962</x:v>
      </x:c>
      <x:c r="N782" s="13" t="b">
        <x:v>1</x:v>
      </x:c>
      <x:c r="O782" s="13" t="b">
        <x:v>1</x:v>
      </x:c>
      <x:c r="P782" s="13" t="b">
        <x:v>0</x:v>
      </x:c>
      <x:c r="Q782" s="2" t="str">
        <x:v>legacy epoch_status=observed; not exact acquisition proof</x:v>
      </x:c>
      <x:c r="R782" s="2" t="str">
        <x:v>legacy epoch_status=observed; not exact acquisition proof</x:v>
      </x:c>
      <x:c r="S782" s="2" t="str">
        <x:v>historical source estimate</x:v>
      </x:c>
      <x:c r="T782" s="2" t="str">
        <x:v>historical source estimate</x:v>
      </x:c>
      <x:c r="U782" s="2" t="str">
        <x:v>GFA growth versus source physical quantity growth; constant conversion required for equality</x:v>
      </x:c>
      <x:c r="V782" s="2" t="str">
        <x:v>Historical horizontal endpoint trend already used by v16</x:v>
      </x:c>
      <x:c r="W782" s="2" t="str">
        <x:v>https://human-settlement.emergency.copernicus.eu/ghs_buS2023.php</x:v>
      </x:c>
    </x:row>
    <x:row r="783" ht="23" customHeight="1">
      <x:c r="A783" s="2" t="str">
        <x:v>WSM</x:v>
      </x:c>
      <x:c r="B783" s="2" t="str">
        <x:v>Samoa (Independent State of)</x:v>
      </x:c>
      <x:c r="C783" s="2" t="str">
        <x:v>GHSL_SURFACE</x:v>
      </x:c>
      <x:c r="D783" s="2" t="n">
        <x:v>2015</x:v>
      </x:c>
      <x:c r="E783" s="2" t="n">
        <x:v>2020</x:v>
      </x:c>
      <x:c r="F783" s="17" t="n">
        <x:v>7908634.666206749</x:v>
      </x:c>
      <x:c r="G783" s="17" t="n">
        <x:v>8105266.000000001</x:v>
      </x:c>
      <x:c r="H783" s="17" t="n">
        <x:v>12177776</x:v>
      </x:c>
      <x:c r="I783" s="17" t="n">
        <x:v>12412460</x:v>
      </x:c>
      <x:c r="J783" s="2" t="str">
        <x:v>m2</x:v>
      </x:c>
      <x:c r="K783" s="15" t="n">
        <x:f>IF(AND(ISNUMBER(F783),ISNUMBER(G783),F783&gt;0),G783/F783-1,"n.a.")</x:f>
        <x:v>0.02486286724476594</x:v>
      </x:c>
      <x:c r="L783" s="15" t="n">
        <x:f>IF(AND(N783,ISNUMBER(H783),ISNUMBER(I783),H783&gt;0),I783/H783-1,"n.a.")</x:f>
        <x:v>0.019271499163722616</x:v>
      </x:c>
      <x:c r="M783" s="20" t="n">
        <x:f>IF(AND(ISNUMBER(K783),ISNUMBER(L783)),100*(K783-L783),"n.a.")</x:f>
        <x:v>0.5591368081043324</x:v>
      </x:c>
      <x:c r="N783" s="13" t="b">
        <x:v>1</x:v>
      </x:c>
      <x:c r="O783" s="13" t="b">
        <x:v>1</x:v>
      </x:c>
      <x:c r="P783" s="13" t="b">
        <x:v>0</x:v>
      </x:c>
      <x:c r="Q783" s="2" t="str">
        <x:v>legacy epoch_status=observed; not exact acquisition proof</x:v>
      </x:c>
      <x:c r="R783" s="2" t="str">
        <x:v>legacy epoch_status=observed; not exact acquisition proof</x:v>
      </x:c>
      <x:c r="S783" s="2" t="str">
        <x:v>historical source estimate</x:v>
      </x:c>
      <x:c r="T783" s="2" t="str">
        <x:v>historical source estimate</x:v>
      </x:c>
      <x:c r="U783" s="2" t="str">
        <x:v>GFA growth versus source physical quantity growth; constant conversion required for equality</x:v>
      </x:c>
      <x:c r="V783" s="2" t="str">
        <x:v>Historical horizontal endpoint trend already used by v16</x:v>
      </x:c>
      <x:c r="W783" s="2" t="str">
        <x:v>https://human-settlement.emergency.copernicus.eu/ghs_buS2023.php</x:v>
      </x:c>
    </x:row>
    <x:row r="784" ht="23" customHeight="1">
      <x:c r="A784" s="2" t="str">
        <x:v>YEM</x:v>
      </x:c>
      <x:c r="B784" s="2" t="str">
        <x:v>Yemen (Republic of)</x:v>
      </x:c>
      <x:c r="C784" s="2" t="str">
        <x:v>GHSL_SURFACE</x:v>
      </x:c>
      <x:c r="D784" s="2" t="n">
        <x:v>2015</x:v>
      </x:c>
      <x:c r="E784" s="2" t="n">
        <x:v>2020</x:v>
      </x:c>
      <x:c r="F784" s="17" t="n">
        <x:v>401216202.1769533</x:v>
      </x:c>
      <x:c r="G784" s="17" t="n">
        <x:v>454480387.6899993</x:v>
      </x:c>
      <x:c r="H784" s="17" t="n">
        <x:v>231964352</x:v>
      </x:c>
      <x:c r="I784" s="17" t="n">
        <x:v>260274946</x:v>
      </x:c>
      <x:c r="J784" s="2" t="str">
        <x:v>m2</x:v>
      </x:c>
      <x:c r="K784" s="15" t="n">
        <x:f>IF(AND(ISNUMBER(F784),ISNUMBER(G784),F784&gt;0),G784/F784-1,"n.a.")</x:f>
        <x:v>0.1327568159611714</x:v>
      </x:c>
      <x:c r="L784" s="15" t="n">
        <x:f>IF(AND(N784,ISNUMBER(H784),ISNUMBER(I784),H784&gt;0),I784/H784-1,"n.a.")</x:f>
        <x:v>0.12204717559360145</x:v>
      </x:c>
      <x:c r="M784" s="20" t="n">
        <x:f>IF(AND(ISNUMBER(K784),ISNUMBER(L784)),100*(K784-L784),"n.a.")</x:f>
        <x:v>1.070964036756994</x:v>
      </x:c>
      <x:c r="N784" s="13" t="b">
        <x:v>1</x:v>
      </x:c>
      <x:c r="O784" s="13" t="b">
        <x:v>1</x:v>
      </x:c>
      <x:c r="P784" s="13" t="b">
        <x:v>0</x:v>
      </x:c>
      <x:c r="Q784" s="2" t="str">
        <x:v>legacy epoch_status=observed; not exact acquisition proof</x:v>
      </x:c>
      <x:c r="R784" s="2" t="str">
        <x:v>legacy epoch_status=observed; not exact acquisition proof</x:v>
      </x:c>
      <x:c r="S784" s="2" t="str">
        <x:v>historical source estimate</x:v>
      </x:c>
      <x:c r="T784" s="2" t="str">
        <x:v>historical source estimate</x:v>
      </x:c>
      <x:c r="U784" s="2" t="str">
        <x:v>GFA growth versus source physical quantity growth; constant conversion required for equality</x:v>
      </x:c>
      <x:c r="V784" s="2" t="str">
        <x:v>Historical horizontal endpoint trend already used by v16</x:v>
      </x:c>
      <x:c r="W784" s="2" t="str">
        <x:v>https://human-settlement.emergency.copernicus.eu/ghs_buS2023.php</x:v>
      </x:c>
    </x:row>
    <x:row r="785" ht="23" customHeight="1">
      <x:c r="A785" s="2" t="str">
        <x:v>ZAF</x:v>
      </x:c>
      <x:c r="B785" s="2" t="str">
        <x:v>South Africa (Republic of)</x:v>
      </x:c>
      <x:c r="C785" s="2" t="str">
        <x:v>GHSL_SURFACE</x:v>
      </x:c>
      <x:c r="D785" s="2" t="n">
        <x:v>2015</x:v>
      </x:c>
      <x:c r="E785" s="2" t="n">
        <x:v>2020</x:v>
      </x:c>
      <x:c r="F785" s="17" t="n">
        <x:v>2389932427.550691</x:v>
      </x:c>
      <x:c r="G785" s="17" t="n">
        <x:v>2711325840.6099963</x:v>
      </x:c>
      <x:c r="H785" s="17" t="n">
        <x:v>5618851633</x:v>
      </x:c>
      <x:c r="I785" s="17" t="n">
        <x:v>6330801326</x:v>
      </x:c>
      <x:c r="J785" s="2" t="str">
        <x:v>m2</x:v>
      </x:c>
      <x:c r="K785" s="15" t="n">
        <x:f>IF(AND(ISNUMBER(F785),ISNUMBER(G785),F785&gt;0),G785/F785-1,"n.a.")</x:f>
        <x:v>0.13447803350184406</x:v>
      </x:c>
      <x:c r="L785" s="15" t="n">
        <x:f>IF(AND(N785,ISNUMBER(H785),ISNUMBER(I785),H785&gt;0),I785/H785-1,"n.a.")</x:f>
        <x:v>0.12670733087498842</x:v>
      </x:c>
      <x:c r="M785" s="20" t="n">
        <x:f>IF(AND(ISNUMBER(K785),ISNUMBER(L785)),100*(K785-L785),"n.a.")</x:f>
        <x:v>0.7770702626855641</x:v>
      </x:c>
      <x:c r="N785" s="13" t="b">
        <x:v>1</x:v>
      </x:c>
      <x:c r="O785" s="13" t="b">
        <x:v>1</x:v>
      </x:c>
      <x:c r="P785" s="13" t="b">
        <x:v>0</x:v>
      </x:c>
      <x:c r="Q785" s="2" t="str">
        <x:v>legacy epoch_status=observed; not exact acquisition proof</x:v>
      </x:c>
      <x:c r="R785" s="2" t="str">
        <x:v>legacy epoch_status=observed; not exact acquisition proof</x:v>
      </x:c>
      <x:c r="S785" s="2" t="str">
        <x:v>historical source estimate</x:v>
      </x:c>
      <x:c r="T785" s="2" t="str">
        <x:v>historical source estimate</x:v>
      </x:c>
      <x:c r="U785" s="2" t="str">
        <x:v>GFA growth versus source physical quantity growth; constant conversion required for equality</x:v>
      </x:c>
      <x:c r="V785" s="2" t="str">
        <x:v>Historical horizontal endpoint trend already used by v16</x:v>
      </x:c>
      <x:c r="W785" s="2" t="str">
        <x:v>https://human-settlement.emergency.copernicus.eu/ghs_buS2023.php</x:v>
      </x:c>
    </x:row>
    <x:row r="786" ht="23" customHeight="1">
      <x:c r="A786" s="2" t="str">
        <x:v>ZMB</x:v>
      </x:c>
      <x:c r="B786" s="2" t="str">
        <x:v>Zambia (Republic of)</x:v>
      </x:c>
      <x:c r="C786" s="2" t="str">
        <x:v>GHSL_SURFACE</x:v>
      </x:c>
      <x:c r="D786" s="2" t="n">
        <x:v>2015</x:v>
      </x:c>
      <x:c r="E786" s="2" t="n">
        <x:v>2020</x:v>
      </x:c>
      <x:c r="F786" s="17" t="n">
        <x:v>347701586.48264974</x:v>
      </x:c>
      <x:c r="G786" s="17" t="n">
        <x:v>396696842.49999976</x:v>
      </x:c>
      <x:c r="H786" s="17" t="n">
        <x:v>1211334104</x:v>
      </x:c>
      <x:c r="I786" s="17" t="n">
        <x:v>1372179148</x:v>
      </x:c>
      <x:c r="J786" s="2" t="str">
        <x:v>m2</x:v>
      </x:c>
      <x:c r="K786" s="15" t="n">
        <x:f>IF(AND(ISNUMBER(F786),ISNUMBER(G786),F786&gt;0),G786/F786-1,"n.a.")</x:f>
        <x:v>0.14091179885886107</x:v>
      </x:c>
      <x:c r="L786" s="15" t="n">
        <x:f>IF(AND(N786,ISNUMBER(H786),ISNUMBER(I786),H786&gt;0),I786/H786-1,"n.a.")</x:f>
        <x:v>0.13278338607727336</x:v>
      </x:c>
      <x:c r="M786" s="20" t="n">
        <x:f>IF(AND(ISNUMBER(K786),ISNUMBER(L786)),100*(K786-L786),"n.a.")</x:f>
        <x:v>0.8128412781587713</x:v>
      </x:c>
      <x:c r="N786" s="13" t="b">
        <x:v>1</x:v>
      </x:c>
      <x:c r="O786" s="13" t="b">
        <x:v>1</x:v>
      </x:c>
      <x:c r="P786" s="13" t="b">
        <x:v>0</x:v>
      </x:c>
      <x:c r="Q786" s="2" t="str">
        <x:v>legacy epoch_status=observed; not exact acquisition proof</x:v>
      </x:c>
      <x:c r="R786" s="2" t="str">
        <x:v>legacy epoch_status=observed; not exact acquisition proof</x:v>
      </x:c>
      <x:c r="S786" s="2" t="str">
        <x:v>historical source estimate</x:v>
      </x:c>
      <x:c r="T786" s="2" t="str">
        <x:v>historical source estimate</x:v>
      </x:c>
      <x:c r="U786" s="2" t="str">
        <x:v>GFA growth versus source physical quantity growth; constant conversion required for equality</x:v>
      </x:c>
      <x:c r="V786" s="2" t="str">
        <x:v>Historical horizontal endpoint trend already used by v16</x:v>
      </x:c>
      <x:c r="W786" s="2" t="str">
        <x:v>https://human-settlement.emergency.copernicus.eu/ghs_buS2023.php</x:v>
      </x:c>
    </x:row>
    <x:row r="787" ht="23" customHeight="1">
      <x:c r="A787" s="2" t="str">
        <x:v>ZWE</x:v>
      </x:c>
      <x:c r="B787" s="2" t="str">
        <x:v>Zimbabwe (Republic of)</x:v>
      </x:c>
      <x:c r="C787" s="2" t="str">
        <x:v>GHSL_SURFACE</x:v>
      </x:c>
      <x:c r="D787" s="2" t="n">
        <x:v>2015</x:v>
      </x:c>
      <x:c r="E787" s="2" t="n">
        <x:v>2020</x:v>
      </x:c>
      <x:c r="F787" s="17" t="n">
        <x:v>286327064.77887195</x:v>
      </x:c>
      <x:c r="G787" s="17" t="n">
        <x:v>420425813.9799996</x:v>
      </x:c>
      <x:c r="H787" s="17" t="n">
        <x:v>910730488</x:v>
      </x:c>
      <x:c r="I787" s="17" t="n">
        <x:v>1327037943</x:v>
      </x:c>
      <x:c r="J787" s="2" t="str">
        <x:v>m2</x:v>
      </x:c>
      <x:c r="K787" s="15" t="n">
        <x:f>IF(AND(ISNUMBER(F787),ISNUMBER(G787),F787&gt;0),G787/F787-1,"n.a.")</x:f>
        <x:v>0.46834115840460644</x:v>
      </x:c>
      <x:c r="L787" s="15" t="n">
        <x:f>IF(AND(N787,ISNUMBER(H787),ISNUMBER(I787),H787&gt;0),I787/H787-1,"n.a.")</x:f>
        <x:v>0.45711377897782635</x:v>
      </x:c>
      <x:c r="M787" s="20" t="n">
        <x:f>IF(AND(ISNUMBER(K787),ISNUMBER(L787)),100*(K787-L787),"n.a.")</x:f>
        <x:v>1.1227379426780093</x:v>
      </x:c>
      <x:c r="N787" s="13" t="b">
        <x:v>1</x:v>
      </x:c>
      <x:c r="O787" s="13" t="b">
        <x:v>1</x:v>
      </x:c>
      <x:c r="P787" s="13" t="b">
        <x:v>0</x:v>
      </x:c>
      <x:c r="Q787" s="2" t="str">
        <x:v>legacy epoch_status=observed; not exact acquisition proof</x:v>
      </x:c>
      <x:c r="R787" s="2" t="str">
        <x:v>legacy epoch_status=observed; not exact acquisition proof</x:v>
      </x:c>
      <x:c r="S787" s="2" t="str">
        <x:v>historical source estimate</x:v>
      </x:c>
      <x:c r="T787" s="2" t="str">
        <x:v>historical source estimate</x:v>
      </x:c>
      <x:c r="U787" s="2" t="str">
        <x:v>GFA growth versus source physical quantity growth; constant conversion required for equality</x:v>
      </x:c>
      <x:c r="V787" s="2" t="str">
        <x:v>Historical horizontal endpoint trend already used by v16</x:v>
      </x:c>
      <x:c r="W787" s="2" t="str">
        <x:v>https://human-settlement.emergency.copernicus.eu/ghs_buS2023.php</x:v>
      </x:c>
    </x:row>
    <x:row r="788" ht="23" customHeight="1">
      <x:c r="A788" s="2" t="str">
        <x:v>AFG</x:v>
      </x:c>
      <x:c r="B788" s="2" t="str">
        <x:v>Afghanistan (Islamic Republic of)</x:v>
      </x:c>
      <x:c r="C788" s="2" t="str">
        <x:v>GHSL_VOLUME</x:v>
      </x:c>
      <x:c r="D788" s="2" t="n">
        <x:v>2015</x:v>
      </x:c>
      <x:c r="E788" s="2" t="n">
        <x:v>2020</x:v>
      </x:c>
      <x:c r="F788" s="17" t="n">
        <x:v>723941377.8198509</x:v>
      </x:c>
      <x:c r="G788" s="17" t="n">
        <x:v>853208432.4500008</x:v>
      </x:c>
      <x:c r="H788" s="17" t="n">
        <x:v>2163834616.5529413</x:v>
      </x:c>
      <x:c r="I788" s="17" t="n">
        <x:v>2429155175.9137254</x:v>
      </x:c>
      <x:c r="J788" s="2" t="str">
        <x:v>m3</x:v>
      </x:c>
      <x:c r="K788" s="15" t="n">
        <x:f>IF(AND(ISNUMBER(F788),ISNUMBER(G788),F788&gt;0),G788/F788-1,"n.a.")</x:f>
        <x:v>0.1785601135542736</x:v>
      </x:c>
      <x:c r="L788" s="15" t="n">
        <x:f>IF(AND(N788,ISNUMBER(H788),ISNUMBER(I788),H788&gt;0),I788/H788-1,"n.a.")</x:f>
        <x:v>0.1226159140495906</x:v>
      </x:c>
      <x:c r="M788" s="20" t="n">
        <x:f>IF(AND(ISNUMBER(K788),ISNUMBER(L788)),100*(K788-L788),"n.a.")</x:f>
        <x:v>5.594419950468299</x:v>
      </x:c>
      <x:c r="N788" s="13" t="b">
        <x:v>1</x:v>
      </x:c>
      <x:c r="O788" s="13" t="b">
        <x:v>1</x:v>
      </x:c>
      <x:c r="P788" s="13" t="b">
        <x:v>0</x:v>
      </x:c>
      <x:c r="Q788" s="2" t="str">
        <x:v>qualified_paired_native_source_frame</x:v>
      </x:c>
      <x:c r="R788" s="2" t="str">
        <x:v>qualified_paired_native_source_frame</x:v>
      </x:c>
      <x:c r="S788" s="2" t="str">
        <x:v>modeled_epoch_volume_with_fixed2018_height_and_predominant_use</x:v>
      </x:c>
      <x:c r="T788" s="2" t="str">
        <x:v>modeled_epoch_volume_with_fixed2018_height_and_predominant_use</x:v>
      </x:c>
      <x:c r="U788" s="2" t="str">
        <x:v>GFA growth versus source physical quantity growth; constant conversion required for equality</x:v>
      </x:c>
      <x:c r="V788" s="2" t="str">
        <x:v>Model sector composition uses this source family; fixed2018-height modeled epochs</x:v>
      </x:c>
      <x:c r="W788" s="2" t="str">
        <x:v>https://human-settlement.emergency.copernicus.eu/ghs_buV2023.php</x:v>
      </x:c>
    </x:row>
    <x:row r="789" ht="23" customHeight="1">
      <x:c r="A789" s="2" t="str">
        <x:v>AGO</x:v>
      </x:c>
      <x:c r="B789" s="2" t="str">
        <x:v>Angola (Republic of)</x:v>
      </x:c>
      <x:c r="C789" s="2" t="str">
        <x:v>GHSL_VOLUME</x:v>
      </x:c>
      <x:c r="D789" s="2" t="n">
        <x:v>2015</x:v>
      </x:c>
      <x:c r="E789" s="2" t="n">
        <x:v>2020</x:v>
      </x:c>
      <x:c r="F789" s="17" t="n">
        <x:v>402759467.7748718</x:v>
      </x:c>
      <x:c r="G789" s="17" t="n">
        <x:v>512504617.85999936</x:v>
      </x:c>
      <x:c r="H789" s="17" t="n">
        <x:v>5252025248.603921</x:v>
      </x:c>
      <x:c r="I789" s="17" t="n">
        <x:v>6250586665.427452</x:v>
      </x:c>
      <x:c r="J789" s="2" t="str">
        <x:v>m3</x:v>
      </x:c>
      <x:c r="K789" s="15" t="n">
        <x:f>IF(AND(ISNUMBER(F789),ISNUMBER(G789),F789&gt;0),G789/F789-1,"n.a.")</x:f>
        <x:v>0.2724831043487006</x:v>
      </x:c>
      <x:c r="L789" s="15" t="n">
        <x:f>IF(AND(N789,ISNUMBER(H789),ISNUMBER(I789),H789&gt;0),I789/H789-1,"n.a.")</x:f>
        <x:v>0.19012883022391525</x:v>
      </x:c>
      <x:c r="M789" s="20" t="n">
        <x:f>IF(AND(ISNUMBER(K789),ISNUMBER(L789)),100*(K789-L789),"n.a.")</x:f>
        <x:v>8.235427412478536</x:v>
      </x:c>
      <x:c r="N789" s="13" t="b">
        <x:v>1</x:v>
      </x:c>
      <x:c r="O789" s="13" t="b">
        <x:v>1</x:v>
      </x:c>
      <x:c r="P789" s="13" t="b">
        <x:v>0</x:v>
      </x:c>
      <x:c r="Q789" s="2" t="str">
        <x:v>qualified_paired_native_source_frame</x:v>
      </x:c>
      <x:c r="R789" s="2" t="str">
        <x:v>qualified_paired_native_source_frame</x:v>
      </x:c>
      <x:c r="S789" s="2" t="str">
        <x:v>modeled_epoch_volume_with_fixed2018_height_and_predominant_use</x:v>
      </x:c>
      <x:c r="T789" s="2" t="str">
        <x:v>modeled_epoch_volume_with_fixed2018_height_and_predominant_use</x:v>
      </x:c>
      <x:c r="U789" s="2" t="str">
        <x:v>GFA growth versus source physical quantity growth; constant conversion required for equality</x:v>
      </x:c>
      <x:c r="V789" s="2" t="str">
        <x:v>Model sector composition uses this source family; fixed2018-height modeled epochs</x:v>
      </x:c>
      <x:c r="W789" s="2" t="str">
        <x:v>https://human-settlement.emergency.copernicus.eu/ghs_buV2023.php</x:v>
      </x:c>
    </x:row>
    <x:row r="790" ht="23" customHeight="1">
      <x:c r="A790" s="2" t="str">
        <x:v>ALB</x:v>
      </x:c>
      <x:c r="B790" s="2" t="str">
        <x:v>Albania (Republic of)</x:v>
      </x:c>
      <x:c r="C790" s="2" t="str">
        <x:v>GHSL_VOLUME</x:v>
      </x:c>
      <x:c r="D790" s="2" t="n">
        <x:v>2015</x:v>
      </x:c>
      <x:c r="E790" s="2" t="n">
        <x:v>2020</x:v>
      </x:c>
      <x:c r="F790" s="17" t="n">
        <x:v>152591911.14729556</x:v>
      </x:c>
      <x:c r="G790" s="17" t="n">
        <x:v>161276383.52000022</x:v>
      </x:c>
      <x:c r="H790" s="17" t="n">
        <x:v>958250352.2862743</x:v>
      </x:c>
      <x:c r="I790" s="17" t="n">
        <x:v>1003808049.2549018</x:v>
      </x:c>
      <x:c r="J790" s="2" t="str">
        <x:v>m3</x:v>
      </x:c>
      <x:c r="K790" s="15" t="n">
        <x:f>IF(AND(ISNUMBER(F790),ISNUMBER(G790),F790&gt;0),G790/F790-1,"n.a.")</x:f>
        <x:v>0.05691305854555817</x:v>
      </x:c>
      <x:c r="L790" s="15" t="n">
        <x:f>IF(AND(N790,ISNUMBER(H790),ISNUMBER(I790),H790&gt;0),I790/H790-1,"n.a.")</x:f>
        <x:v>0.047542583062904153</x:v>
      </x:c>
      <x:c r="M790" s="20" t="n">
        <x:f>IF(AND(ISNUMBER(K790),ISNUMBER(L790)),100*(K790-L790),"n.a.")</x:f>
        <x:v>0.9370475482654017</x:v>
      </x:c>
      <x:c r="N790" s="13" t="b">
        <x:v>1</x:v>
      </x:c>
      <x:c r="O790" s="13" t="b">
        <x:v>1</x:v>
      </x:c>
      <x:c r="P790" s="13" t="b">
        <x:v>0</x:v>
      </x:c>
      <x:c r="Q790" s="2" t="str">
        <x:v>qualified_paired_native_source_frame</x:v>
      </x:c>
      <x:c r="R790" s="2" t="str">
        <x:v>qualified_paired_native_source_frame</x:v>
      </x:c>
      <x:c r="S790" s="2" t="str">
        <x:v>modeled_epoch_volume_with_fixed2018_height_and_predominant_use</x:v>
      </x:c>
      <x:c r="T790" s="2" t="str">
        <x:v>modeled_epoch_volume_with_fixed2018_height_and_predominant_use</x:v>
      </x:c>
      <x:c r="U790" s="2" t="str">
        <x:v>GFA growth versus source physical quantity growth; constant conversion required for equality</x:v>
      </x:c>
      <x:c r="V790" s="2" t="str">
        <x:v>Model sector composition uses this source family; fixed2018-height modeled epochs</x:v>
      </x:c>
      <x:c r="W790" s="2" t="str">
        <x:v>https://human-settlement.emergency.copernicus.eu/ghs_buV2023.php</x:v>
      </x:c>
    </x:row>
    <x:row r="791" ht="23" customHeight="1">
      <x:c r="A791" s="2" t="str">
        <x:v>AND</x:v>
      </x:c>
      <x:c r="B791" s="2" t="str">
        <x:v>Andorra (Principality of)</x:v>
      </x:c>
      <x:c r="C791" s="2" t="str">
        <x:v>GHSL_VOLUME</x:v>
      </x:c>
      <x:c r="D791" s="2" t="n">
        <x:v>2015</x:v>
      </x:c>
      <x:c r="E791" s="2" t="n">
        <x:v>2020</x:v>
      </x:c>
      <x:c r="F791" s="17" t="n">
        <x:v>2845560.5783106415</x:v>
      </x:c>
      <x:c r="G791" s="17" t="n">
        <x:v>2995448.5899999994</x:v>
      </x:c>
      <x:c r="H791" s="17" t="n">
        <x:v>9506199.494117647</x:v>
      </x:c>
      <x:c r="I791" s="17" t="n">
        <x:v>9953581.564705884</x:v>
      </x:c>
      <x:c r="J791" s="2" t="str">
        <x:v>m3</x:v>
      </x:c>
      <x:c r="K791" s="15" t="n">
        <x:f>IF(AND(ISNUMBER(F791),ISNUMBER(G791),F791&gt;0),G791/F791-1,"n.a.")</x:f>
        <x:v>0.052674335184367704</x:v>
      </x:c>
      <x:c r="L791" s="15" t="n">
        <x:f>IF(AND(N791,ISNUMBER(H791),ISNUMBER(I791),H791&gt;0),I791/H791-1,"n.a.")</x:f>
        <x:v>0.047062137804395165</x:v>
      </x:c>
      <x:c r="M791" s="20" t="n">
        <x:f>IF(AND(ISNUMBER(K791),ISNUMBER(L791)),100*(K791-L791),"n.a.")</x:f>
        <x:v>0.5612197379972539</x:v>
      </x:c>
      <x:c r="N791" s="13" t="b">
        <x:v>1</x:v>
      </x:c>
      <x:c r="O791" s="13" t="b">
        <x:v>1</x:v>
      </x:c>
      <x:c r="P791" s="13" t="b">
        <x:v>0</x:v>
      </x:c>
      <x:c r="Q791" s="2" t="str">
        <x:v>qualified_paired_native_source_frame</x:v>
      </x:c>
      <x:c r="R791" s="2" t="str">
        <x:v>qualified_paired_native_source_frame</x:v>
      </x:c>
      <x:c r="S791" s="2" t="str">
        <x:v>modeled_epoch_volume_with_fixed2018_height_and_predominant_use</x:v>
      </x:c>
      <x:c r="T791" s="2" t="str">
        <x:v>modeled_epoch_volume_with_fixed2018_height_and_predominant_use</x:v>
      </x:c>
      <x:c r="U791" s="2" t="str">
        <x:v>GFA growth versus source physical quantity growth; constant conversion required for equality</x:v>
      </x:c>
      <x:c r="V791" s="2" t="str">
        <x:v>Model sector composition uses this source family; fixed2018-height modeled epochs</x:v>
      </x:c>
      <x:c r="W791" s="2" t="str">
        <x:v>https://human-settlement.emergency.copernicus.eu/ghs_buV2023.php</x:v>
      </x:c>
    </x:row>
    <x:row r="792" ht="23" customHeight="1">
      <x:c r="A792" s="2" t="str">
        <x:v>ARE</x:v>
      </x:c>
      <x:c r="B792" s="2" t="str">
        <x:v>United Arab Emirates</x:v>
      </x:c>
      <x:c r="C792" s="2" t="str">
        <x:v>GHSL_VOLUME</x:v>
      </x:c>
      <x:c r="D792" s="2" t="n">
        <x:v>2015</x:v>
      </x:c>
      <x:c r="E792" s="2" t="n">
        <x:v>2020</x:v>
      </x:c>
      <x:c r="F792" s="17" t="n">
        <x:v>432363221.29956406</x:v>
      </x:c>
      <x:c r="G792" s="17" t="n">
        <x:v>511804054.8699995</x:v>
      </x:c>
      <x:c r="H792" s="17" t="n">
        <x:v>4410561392.541177</x:v>
      </x:c>
      <x:c r="I792" s="17" t="n">
        <x:v>4807064616.082353</x:v>
      </x:c>
      <x:c r="J792" s="2" t="str">
        <x:v>m3</x:v>
      </x:c>
      <x:c r="K792" s="15" t="n">
        <x:f>IF(AND(ISNUMBER(F792),ISNUMBER(G792),F792&gt;0),G792/F792-1,"n.a.")</x:f>
        <x:v>0.18373633476885098</x:v>
      </x:c>
      <x:c r="L792" s="15" t="n">
        <x:f>IF(AND(N792,ISNUMBER(H792),ISNUMBER(I792),H792&gt;0),I792/H792-1,"n.a.")</x:f>
        <x:v>0.08989858393349048</x:v>
      </x:c>
      <x:c r="M792" s="20" t="n">
        <x:f>IF(AND(ISNUMBER(K792),ISNUMBER(L792)),100*(K792-L792),"n.a.")</x:f>
        <x:v>9.383775083536051</x:v>
      </x:c>
      <x:c r="N792" s="13" t="b">
        <x:v>1</x:v>
      </x:c>
      <x:c r="O792" s="13" t="b">
        <x:v>1</x:v>
      </x:c>
      <x:c r="P792" s="13" t="b">
        <x:v>0</x:v>
      </x:c>
      <x:c r="Q792" s="2" t="str">
        <x:v>qualified_paired_native_source_frame</x:v>
      </x:c>
      <x:c r="R792" s="2" t="str">
        <x:v>qualified_paired_native_source_frame</x:v>
      </x:c>
      <x:c r="S792" s="2" t="str">
        <x:v>modeled_epoch_volume_with_fixed2018_height_and_predominant_use</x:v>
      </x:c>
      <x:c r="T792" s="2" t="str">
        <x:v>modeled_epoch_volume_with_fixed2018_height_and_predominant_use</x:v>
      </x:c>
      <x:c r="U792" s="2" t="str">
        <x:v>GFA growth versus source physical quantity growth; constant conversion required for equality</x:v>
      </x:c>
      <x:c r="V792" s="2" t="str">
        <x:v>Model sector composition uses this source family; fixed2018-height modeled epochs</x:v>
      </x:c>
      <x:c r="W792" s="2" t="str">
        <x:v>https://human-settlement.emergency.copernicus.eu/ghs_buV2023.php</x:v>
      </x:c>
    </x:row>
    <x:row r="793" ht="23" customHeight="1">
      <x:c r="A793" s="2" t="str">
        <x:v>ARG</x:v>
      </x:c>
      <x:c r="B793" s="2" t="str">
        <x:v>Argentina (Argentine Republic)</x:v>
      </x:c>
      <x:c r="C793" s="2" t="str">
        <x:v>GHSL_VOLUME</x:v>
      </x:c>
      <x:c r="D793" s="2" t="n">
        <x:v>2015</x:v>
      </x:c>
      <x:c r="E793" s="2" t="n">
        <x:v>2020</x:v>
      </x:c>
      <x:c r="F793" s="17" t="n">
        <x:v>2281407992.298051</x:v>
      </x:c>
      <x:c r="G793" s="17" t="n">
        <x:v>2382940448.399998</x:v>
      </x:c>
      <x:c r="H793" s="17" t="n">
        <x:v>22295159127.75294</x:v>
      </x:c>
      <x:c r="I793" s="17" t="n">
        <x:v>23067963593.600002</x:v>
      </x:c>
      <x:c r="J793" s="2" t="str">
        <x:v>m3</x:v>
      </x:c>
      <x:c r="K793" s="15" t="n">
        <x:f>IF(AND(ISNUMBER(F793),ISNUMBER(G793),F793&gt;0),G793/F793-1,"n.a.")</x:f>
        <x:v>0.04450429578782811</x:v>
      </x:c>
      <x:c r="L793" s="15" t="n">
        <x:f>IF(AND(N793,ISNUMBER(H793),ISNUMBER(I793),H793&gt;0),I793/H793-1,"n.a.")</x:f>
        <x:v>0.034662433285128635</x:v>
      </x:c>
      <x:c r="M793" s="20" t="n">
        <x:f>IF(AND(ISNUMBER(K793),ISNUMBER(L793)),100*(K793-L793),"n.a.")</x:f>
        <x:v>0.9841862502699472</x:v>
      </x:c>
      <x:c r="N793" s="13" t="b">
        <x:v>1</x:v>
      </x:c>
      <x:c r="O793" s="13" t="b">
        <x:v>1</x:v>
      </x:c>
      <x:c r="P793" s="13" t="b">
        <x:v>0</x:v>
      </x:c>
      <x:c r="Q793" s="2" t="str">
        <x:v>qualified_paired_native_source_frame</x:v>
      </x:c>
      <x:c r="R793" s="2" t="str">
        <x:v>qualified_paired_native_source_frame</x:v>
      </x:c>
      <x:c r="S793" s="2" t="str">
        <x:v>modeled_epoch_volume_with_fixed2018_height_and_predominant_use</x:v>
      </x:c>
      <x:c r="T793" s="2" t="str">
        <x:v>modeled_epoch_volume_with_fixed2018_height_and_predominant_use</x:v>
      </x:c>
      <x:c r="U793" s="2" t="str">
        <x:v>GFA growth versus source physical quantity growth; constant conversion required for equality</x:v>
      </x:c>
      <x:c r="V793" s="2" t="str">
        <x:v>Model sector composition uses this source family; fixed2018-height modeled epochs</x:v>
      </x:c>
      <x:c r="W793" s="2" t="str">
        <x:v>https://human-settlement.emergency.copernicus.eu/ghs_buV2023.php</x:v>
      </x:c>
    </x:row>
    <x:row r="794" ht="23" customHeight="1">
      <x:c r="A794" s="2" t="str">
        <x:v>ARM</x:v>
      </x:c>
      <x:c r="B794" s="2" t="str">
        <x:v>Armenia (Republic of)</x:v>
      </x:c>
      <x:c r="C794" s="2" t="str">
        <x:v>GHSL_VOLUME</x:v>
      </x:c>
      <x:c r="D794" s="2" t="n">
        <x:v>2015</x:v>
      </x:c>
      <x:c r="E794" s="2" t="n">
        <x:v>2020</x:v>
      </x:c>
      <x:c r="F794" s="17" t="n">
        <x:v>138576247.47924888</x:v>
      </x:c>
      <x:c r="G794" s="17" t="n">
        <x:v>142786500.21000025</x:v>
      </x:c>
      <x:c r="H794" s="17" t="n">
        <x:v>1425573023.2039218</x:v>
      </x:c>
      <x:c r="I794" s="17" t="n">
        <x:v>1458584860.482353</x:v>
      </x:c>
      <x:c r="J794" s="2" t="str">
        <x:v>m3</x:v>
      </x:c>
      <x:c r="K794" s="15" t="n">
        <x:f>IF(AND(ISNUMBER(F794),ISNUMBER(G794),F794&gt;0),G794/F794-1,"n.a.")</x:f>
        <x:v>0.0303822105688194</x:v>
      </x:c>
      <x:c r="L794" s="15" t="n">
        <x:f>IF(AND(N794,ISNUMBER(H794),ISNUMBER(I794),H794&gt;0),I794/H794-1,"n.a.")</x:f>
        <x:v>0.0231568897145924</x:v>
      </x:c>
      <x:c r="M794" s="20" t="n">
        <x:f>IF(AND(ISNUMBER(K794),ISNUMBER(L794)),100*(K794-L794),"n.a.")</x:f>
        <x:v>0.7225320854227002</x:v>
      </x:c>
      <x:c r="N794" s="13" t="b">
        <x:v>1</x:v>
      </x:c>
      <x:c r="O794" s="13" t="b">
        <x:v>1</x:v>
      </x:c>
      <x:c r="P794" s="13" t="b">
        <x:v>0</x:v>
      </x:c>
      <x:c r="Q794" s="2" t="str">
        <x:v>qualified_paired_native_source_frame</x:v>
      </x:c>
      <x:c r="R794" s="2" t="str">
        <x:v>qualified_paired_native_source_frame</x:v>
      </x:c>
      <x:c r="S794" s="2" t="str">
        <x:v>modeled_epoch_volume_with_fixed2018_height_and_predominant_use</x:v>
      </x:c>
      <x:c r="T794" s="2" t="str">
        <x:v>modeled_epoch_volume_with_fixed2018_height_and_predominant_use</x:v>
      </x:c>
      <x:c r="U794" s="2" t="str">
        <x:v>GFA growth versus source physical quantity growth; constant conversion required for equality</x:v>
      </x:c>
      <x:c r="V794" s="2" t="str">
        <x:v>Model sector composition uses this source family; fixed2018-height modeled epochs</x:v>
      </x:c>
      <x:c r="W794" s="2" t="str">
        <x:v>https://human-settlement.emergency.copernicus.eu/ghs_buV2023.php</x:v>
      </x:c>
    </x:row>
    <x:row r="795" ht="23" customHeight="1">
      <x:c r="A795" s="2" t="str">
        <x:v>ATG</x:v>
      </x:c>
      <x:c r="B795" s="2" t="str">
        <x:v>Antigua and Barbuda</x:v>
      </x:c>
      <x:c r="C795" s="2" t="str">
        <x:v>GHSL_VOLUME</x:v>
      </x:c>
      <x:c r="D795" s="2" t="n">
        <x:v>2015</x:v>
      </x:c>
      <x:c r="E795" s="2" t="n">
        <x:v>2020</x:v>
      </x:c>
      <x:c r="F795" s="17" t="n">
        <x:v>6409689.412213599</x:v>
      </x:c>
      <x:c r="G795" s="17" t="n">
        <x:v>7437404.659999999</x:v>
      </x:c>
      <x:c r="H795" s="17" t="n">
        <x:v>52874498.9019608</x:v>
      </x:c>
      <x:c r="I795" s="17" t="n">
        <x:v>60308483.89803922</x:v>
      </x:c>
      <x:c r="J795" s="2" t="str">
        <x:v>m3</x:v>
      </x:c>
      <x:c r="K795" s="15" t="n">
        <x:f>IF(AND(ISNUMBER(F795),ISNUMBER(G795),F795&gt;0),G795/F795-1,"n.a.")</x:f>
        <x:v>0.16033776080134232</x:v>
      </x:c>
      <x:c r="L795" s="15" t="n">
        <x:f>IF(AND(N795,ISNUMBER(H795),ISNUMBER(I795),H795&gt;0),I795/H795-1,"n.a.")</x:f>
        <x:v>0.14059679335897668</x:v>
      </x:c>
      <x:c r="M795" s="20" t="n">
        <x:f>IF(AND(ISNUMBER(K795),ISNUMBER(L795)),100*(K795-L795),"n.a.")</x:f>
        <x:v>1.9740967442365642</x:v>
      </x:c>
      <x:c r="N795" s="13" t="b">
        <x:v>1</x:v>
      </x:c>
      <x:c r="O795" s="13" t="b">
        <x:v>1</x:v>
      </x:c>
      <x:c r="P795" s="13" t="b">
        <x:v>0</x:v>
      </x:c>
      <x:c r="Q795" s="2" t="str">
        <x:v>qualified_paired_native_source_frame</x:v>
      </x:c>
      <x:c r="R795" s="2" t="str">
        <x:v>qualified_paired_native_source_frame</x:v>
      </x:c>
      <x:c r="S795" s="2" t="str">
        <x:v>modeled_epoch_volume_with_fixed2018_height_and_predominant_use</x:v>
      </x:c>
      <x:c r="T795" s="2" t="str">
        <x:v>modeled_epoch_volume_with_fixed2018_height_and_predominant_use</x:v>
      </x:c>
      <x:c r="U795" s="2" t="str">
        <x:v>GFA growth versus source physical quantity growth; constant conversion required for equality</x:v>
      </x:c>
      <x:c r="V795" s="2" t="str">
        <x:v>Model sector composition uses this source family; fixed2018-height modeled epochs</x:v>
      </x:c>
      <x:c r="W795" s="2" t="str">
        <x:v>https://human-settlement.emergency.copernicus.eu/ghs_buV2023.php</x:v>
      </x:c>
    </x:row>
    <x:row r="796" ht="23" customHeight="1">
      <x:c r="A796" s="2" t="str">
        <x:v>AUS</x:v>
      </x:c>
      <x:c r="B796" s="2" t="str">
        <x:v>Australia (Commonwealth of)</x:v>
      </x:c>
      <x:c r="C796" s="2" t="str">
        <x:v>GHSL_VOLUME</x:v>
      </x:c>
      <x:c r="D796" s="2" t="n">
        <x:v>2015</x:v>
      </x:c>
      <x:c r="E796" s="2" t="n">
        <x:v>2020</x:v>
      </x:c>
      <x:c r="F796" s="17" t="n">
        <x:v>2689879598.545835</x:v>
      </x:c>
      <x:c r="G796" s="17" t="n">
        <x:v>3011161094.8599973</x:v>
      </x:c>
      <x:c r="H796" s="17" t="n">
        <x:v>27507689199.564705</x:v>
      </x:c>
      <x:c r="I796" s="17" t="n">
        <x:v>29330885053.58039</x:v>
      </x:c>
      <x:c r="J796" s="2" t="str">
        <x:v>m3</x:v>
      </x:c>
      <x:c r="K796" s="15" t="n">
        <x:f>IF(AND(ISNUMBER(F796),ISNUMBER(G796),F796&gt;0),G796/F796-1,"n.a.")</x:f>
        <x:v>0.11944084653002651</x:v>
      </x:c>
      <x:c r="L796" s="15" t="n">
        <x:f>IF(AND(N796,ISNUMBER(H796),ISNUMBER(I796),H796&gt;0),I796/H796-1,"n.a.")</x:f>
        <x:v>0.0662794988262605</x:v>
      </x:c>
      <x:c r="M796" s="20" t="n">
        <x:f>IF(AND(ISNUMBER(K796),ISNUMBER(L796)),100*(K796-L796),"n.a.")</x:f>
        <x:v>5.3161347703766015</x:v>
      </x:c>
      <x:c r="N796" s="13" t="b">
        <x:v>1</x:v>
      </x:c>
      <x:c r="O796" s="13" t="b">
        <x:v>1</x:v>
      </x:c>
      <x:c r="P796" s="13" t="b">
        <x:v>0</x:v>
      </x:c>
      <x:c r="Q796" s="2" t="str">
        <x:v>qualified_paired_native_source_frame</x:v>
      </x:c>
      <x:c r="R796" s="2" t="str">
        <x:v>qualified_paired_native_source_frame</x:v>
      </x:c>
      <x:c r="S796" s="2" t="str">
        <x:v>modeled_epoch_volume_with_fixed2018_height_and_predominant_use</x:v>
      </x:c>
      <x:c r="T796" s="2" t="str">
        <x:v>modeled_epoch_volume_with_fixed2018_height_and_predominant_use</x:v>
      </x:c>
      <x:c r="U796" s="2" t="str">
        <x:v>GFA growth versus source physical quantity growth; constant conversion required for equality</x:v>
      </x:c>
      <x:c r="V796" s="2" t="str">
        <x:v>Model sector composition uses this source family; fixed2018-height modeled epochs</x:v>
      </x:c>
      <x:c r="W796" s="2" t="str">
        <x:v>https://human-settlement.emergency.copernicus.eu/ghs_buV2023.php</x:v>
      </x:c>
    </x:row>
    <x:row r="797" ht="23" customHeight="1">
      <x:c r="A797" s="2" t="str">
        <x:v>AUT</x:v>
      </x:c>
      <x:c r="B797" s="2" t="str">
        <x:v>Austria (Republic of)</x:v>
      </x:c>
      <x:c r="C797" s="2" t="str">
        <x:v>GHSL_VOLUME</x:v>
      </x:c>
      <x:c r="D797" s="2" t="n">
        <x:v>2015</x:v>
      </x:c>
      <x:c r="E797" s="2" t="n">
        <x:v>2020</x:v>
      </x:c>
      <x:c r="F797" s="17" t="n">
        <x:v>818030285.5067213</x:v>
      </x:c>
      <x:c r="G797" s="17" t="n">
        <x:v>865496536.0700006</x:v>
      </x:c>
      <x:c r="H797" s="17" t="n">
        <x:v>4830612164.439215</x:v>
      </x:c>
      <x:c r="I797" s="17" t="n">
        <x:v>5026438294.247058</x:v>
      </x:c>
      <x:c r="J797" s="2" t="str">
        <x:v>m3</x:v>
      </x:c>
      <x:c r="K797" s="15" t="n">
        <x:f>IF(AND(ISNUMBER(F797),ISNUMBER(G797),F797&gt;0),G797/F797-1,"n.a.")</x:f>
        <x:v>0.0580250528669326</x:v>
      </x:c>
      <x:c r="L797" s="15" t="n">
        <x:f>IF(AND(N797,ISNUMBER(H797),ISNUMBER(I797),H797&gt;0),I797/H797-1,"n.a.")</x:f>
        <x:v>0.040538574230700286</x:v>
      </x:c>
      <x:c r="M797" s="20" t="n">
        <x:f>IF(AND(ISNUMBER(K797),ISNUMBER(L797)),100*(K797-L797),"n.a.")</x:f>
        <x:v>1.7486478636232317</x:v>
      </x:c>
      <x:c r="N797" s="13" t="b">
        <x:v>1</x:v>
      </x:c>
      <x:c r="O797" s="13" t="b">
        <x:v>1</x:v>
      </x:c>
      <x:c r="P797" s="13" t="b">
        <x:v>0</x:v>
      </x:c>
      <x:c r="Q797" s="2" t="str">
        <x:v>qualified_paired_native_source_frame</x:v>
      </x:c>
      <x:c r="R797" s="2" t="str">
        <x:v>qualified_paired_native_source_frame</x:v>
      </x:c>
      <x:c r="S797" s="2" t="str">
        <x:v>modeled_epoch_volume_with_fixed2018_height_and_predominant_use</x:v>
      </x:c>
      <x:c r="T797" s="2" t="str">
        <x:v>modeled_epoch_volume_with_fixed2018_height_and_predominant_use</x:v>
      </x:c>
      <x:c r="U797" s="2" t="str">
        <x:v>GFA growth versus source physical quantity growth; constant conversion required for equality</x:v>
      </x:c>
      <x:c r="V797" s="2" t="str">
        <x:v>Model sector composition uses this source family; fixed2018-height modeled epochs</x:v>
      </x:c>
      <x:c r="W797" s="2" t="str">
        <x:v>https://human-settlement.emergency.copernicus.eu/ghs_buV2023.php</x:v>
      </x:c>
    </x:row>
    <x:row r="798" ht="23" customHeight="1">
      <x:c r="A798" s="2" t="str">
        <x:v>AZE</x:v>
      </x:c>
      <x:c r="B798" s="2" t="str">
        <x:v>Azerbaijan (Republic of)</x:v>
      </x:c>
      <x:c r="C798" s="2" t="str">
        <x:v>GHSL_VOLUME</x:v>
      </x:c>
      <x:c r="D798" s="2" t="n">
        <x:v>2015</x:v>
      </x:c>
      <x:c r="E798" s="2" t="n">
        <x:v>2020</x:v>
      </x:c>
      <x:c r="F798" s="17" t="n">
        <x:v>469894353.8704014</x:v>
      </x:c>
      <x:c r="G798" s="17" t="n">
        <x:v>507953272.9000006</x:v>
      </x:c>
      <x:c r="H798" s="17" t="n">
        <x:v>4239668834.443137</x:v>
      </x:c>
      <x:c r="I798" s="17" t="n">
        <x:v>4537719466.929411</x:v>
      </x:c>
      <x:c r="J798" s="2" t="str">
        <x:v>m3</x:v>
      </x:c>
      <x:c r="K798" s="15" t="n">
        <x:f>IF(AND(ISNUMBER(F798),ISNUMBER(G798),F798&gt;0),G798/F798-1,"n.a.")</x:f>
        <x:v>0.08099462935895585</x:v>
      </x:c>
      <x:c r="L798" s="15" t="n">
        <x:f>IF(AND(N798,ISNUMBER(H798),ISNUMBER(I798),H798&gt;0),I798/H798-1,"n.a.")</x:f>
        <x:v>0.07030045131471252</x:v>
      </x:c>
      <x:c r="M798" s="20" t="n">
        <x:f>IF(AND(ISNUMBER(K798),ISNUMBER(L798)),100*(K798-L798),"n.a.")</x:f>
        <x:v>1.069417804424333</x:v>
      </x:c>
      <x:c r="N798" s="13" t="b">
        <x:v>1</x:v>
      </x:c>
      <x:c r="O798" s="13" t="b">
        <x:v>1</x:v>
      </x:c>
      <x:c r="P798" s="13" t="b">
        <x:v>0</x:v>
      </x:c>
      <x:c r="Q798" s="2" t="str">
        <x:v>qualified_paired_native_source_frame</x:v>
      </x:c>
      <x:c r="R798" s="2" t="str">
        <x:v>qualified_paired_native_source_frame</x:v>
      </x:c>
      <x:c r="S798" s="2" t="str">
        <x:v>modeled_epoch_volume_with_fixed2018_height_and_predominant_use</x:v>
      </x:c>
      <x:c r="T798" s="2" t="str">
        <x:v>modeled_epoch_volume_with_fixed2018_height_and_predominant_use</x:v>
      </x:c>
      <x:c r="U798" s="2" t="str">
        <x:v>GFA growth versus source physical quantity growth; constant conversion required for equality</x:v>
      </x:c>
      <x:c r="V798" s="2" t="str">
        <x:v>Model sector composition uses this source family; fixed2018-height modeled epochs</x:v>
      </x:c>
      <x:c r="W798" s="2" t="str">
        <x:v>https://human-settlement.emergency.copernicus.eu/ghs_buV2023.php</x:v>
      </x:c>
    </x:row>
    <x:row r="799" ht="23" customHeight="1">
      <x:c r="A799" s="2" t="str">
        <x:v>BDI</x:v>
      </x:c>
      <x:c r="B799" s="2" t="str">
        <x:v>Burundi (Republic of)</x:v>
      </x:c>
      <x:c r="C799" s="2" t="str">
        <x:v>GHSL_VOLUME</x:v>
      </x:c>
      <x:c r="D799" s="2" t="n">
        <x:v>2015</x:v>
      </x:c>
      <x:c r="E799" s="2" t="n">
        <x:v>2020</x:v>
      </x:c>
      <x:c r="F799" s="17" t="n">
        <x:v>107174310.50762644</x:v>
      </x:c>
      <x:c r="G799" s="17" t="n">
        <x:v>147710691.6100001</x:v>
      </x:c>
      <x:c r="H799" s="17" t="n">
        <x:v>1173933676.9058824</x:v>
      </x:c>
      <x:c r="I799" s="17" t="n">
        <x:v>1471076104.1999998</x:v>
      </x:c>
      <x:c r="J799" s="2" t="str">
        <x:v>m3</x:v>
      </x:c>
      <x:c r="K799" s="15" t="n">
        <x:f>IF(AND(ISNUMBER(F799),ISNUMBER(G799),F799&gt;0),G799/F799-1,"n.a.")</x:f>
        <x:v>0.3782285223984634</x:v>
      </x:c>
      <x:c r="L799" s="15" t="n">
        <x:f>IF(AND(N799,ISNUMBER(H799),ISNUMBER(I799),H799&gt;0),I799/H799-1,"n.a.")</x:f>
        <x:v>0.2531168780141744</x:v>
      </x:c>
      <x:c r="M799" s="20" t="n">
        <x:f>IF(AND(ISNUMBER(K799),ISNUMBER(L799)),100*(K799-L799),"n.a.")</x:f>
        <x:v>12.511164438428901</x:v>
      </x:c>
      <x:c r="N799" s="13" t="b">
        <x:v>1</x:v>
      </x:c>
      <x:c r="O799" s="13" t="b">
        <x:v>1</x:v>
      </x:c>
      <x:c r="P799" s="13" t="b">
        <x:v>0</x:v>
      </x:c>
      <x:c r="Q799" s="2" t="str">
        <x:v>qualified_paired_native_source_frame</x:v>
      </x:c>
      <x:c r="R799" s="2" t="str">
        <x:v>qualified_paired_native_source_frame</x:v>
      </x:c>
      <x:c r="S799" s="2" t="str">
        <x:v>modeled_epoch_volume_with_fixed2018_height_and_predominant_use</x:v>
      </x:c>
      <x:c r="T799" s="2" t="str">
        <x:v>modeled_epoch_volume_with_fixed2018_height_and_predominant_use</x:v>
      </x:c>
      <x:c r="U799" s="2" t="str">
        <x:v>GFA growth versus source physical quantity growth; constant conversion required for equality</x:v>
      </x:c>
      <x:c r="V799" s="2" t="str">
        <x:v>Model sector composition uses this source family; fixed2018-height modeled epochs</x:v>
      </x:c>
      <x:c r="W799" s="2" t="str">
        <x:v>https://human-settlement.emergency.copernicus.eu/ghs_buV2023.php</x:v>
      </x:c>
    </x:row>
    <x:row r="800" ht="23" customHeight="1">
      <x:c r="A800" s="2" t="str">
        <x:v>BEL</x:v>
      </x:c>
      <x:c r="B800" s="2" t="str">
        <x:v>Belgium (Kingdom of)</x:v>
      </x:c>
      <x:c r="C800" s="2" t="str">
        <x:v>GHSL_VOLUME</x:v>
      </x:c>
      <x:c r="D800" s="2" t="n">
        <x:v>2015</x:v>
      </x:c>
      <x:c r="E800" s="2" t="n">
        <x:v>2020</x:v>
      </x:c>
      <x:c r="F800" s="17" t="n">
        <x:v>1030499520.953178</x:v>
      </x:c>
      <x:c r="G800" s="17" t="n">
        <x:v>1079109698.0100002</x:v>
      </x:c>
      <x:c r="H800" s="17" t="n">
        <x:v>8434437490.466666</x:v>
      </x:c>
      <x:c r="I800" s="17" t="n">
        <x:v>8706097543.313723</x:v>
      </x:c>
      <x:c r="J800" s="2" t="str">
        <x:v>m3</x:v>
      </x:c>
      <x:c r="K800" s="15" t="n">
        <x:f>IF(AND(ISNUMBER(F800),ISNUMBER(G800),F800&gt;0),G800/F800-1,"n.a.")</x:f>
        <x:v>0.04717146982451714</x:v>
      </x:c>
      <x:c r="L800" s="15" t="n">
        <x:f>IF(AND(N800,ISNUMBER(H800),ISNUMBER(I800),H800&gt;0),I800/H800-1,"n.a.")</x:f>
        <x:v>0.03220843751039837</x:v>
      </x:c>
      <x:c r="M800" s="20" t="n">
        <x:f>IF(AND(ISNUMBER(K800),ISNUMBER(L800)),100*(K800-L800),"n.a.")</x:f>
        <x:v>1.4963032314118774</x:v>
      </x:c>
      <x:c r="N800" s="13" t="b">
        <x:v>1</x:v>
      </x:c>
      <x:c r="O800" s="13" t="b">
        <x:v>1</x:v>
      </x:c>
      <x:c r="P800" s="13" t="b">
        <x:v>0</x:v>
      </x:c>
      <x:c r="Q800" s="2" t="str">
        <x:v>qualified_paired_native_source_frame</x:v>
      </x:c>
      <x:c r="R800" s="2" t="str">
        <x:v>qualified_paired_native_source_frame</x:v>
      </x:c>
      <x:c r="S800" s="2" t="str">
        <x:v>modeled_epoch_volume_with_fixed2018_height_and_predominant_use</x:v>
      </x:c>
      <x:c r="T800" s="2" t="str">
        <x:v>modeled_epoch_volume_with_fixed2018_height_and_predominant_use</x:v>
      </x:c>
      <x:c r="U800" s="2" t="str">
        <x:v>GFA growth versus source physical quantity growth; constant conversion required for equality</x:v>
      </x:c>
      <x:c r="V800" s="2" t="str">
        <x:v>Model sector composition uses this source family; fixed2018-height modeled epochs</x:v>
      </x:c>
      <x:c r="W800" s="2" t="str">
        <x:v>https://human-settlement.emergency.copernicus.eu/ghs_buV2023.php</x:v>
      </x:c>
    </x:row>
    <x:row r="801" ht="23" customHeight="1">
      <x:c r="A801" s="2" t="str">
        <x:v>BEN</x:v>
      </x:c>
      <x:c r="B801" s="2" t="str">
        <x:v>Benin (Republic of)</x:v>
      </x:c>
      <x:c r="C801" s="2" t="str">
        <x:v>GHSL_VOLUME</x:v>
      </x:c>
      <x:c r="D801" s="2" t="n">
        <x:v>2015</x:v>
      </x:c>
      <x:c r="E801" s="2" t="n">
        <x:v>2020</x:v>
      </x:c>
      <x:c r="F801" s="17" t="n">
        <x:v>272547821.67471457</x:v>
      </x:c>
      <x:c r="G801" s="17" t="n">
        <x:v>302038367.25</x:v>
      </x:c>
      <x:c r="H801" s="17" t="n">
        <x:v>3329727523.0078425</x:v>
      </x:c>
      <x:c r="I801" s="17" t="n">
        <x:v>3517665215.501961</x:v>
      </x:c>
      <x:c r="J801" s="2" t="str">
        <x:v>m3</x:v>
      </x:c>
      <x:c r="K801" s="15" t="n">
        <x:f>IF(AND(ISNUMBER(F801),ISNUMBER(G801),F801&gt;0),G801/F801-1,"n.a.")</x:f>
        <x:v>0.10820319676039225</x:v>
      </x:c>
      <x:c r="L801" s="15" t="n">
        <x:f>IF(AND(N801,ISNUMBER(H801),ISNUMBER(I801),H801&gt;0),I801/H801-1,"n.a.")</x:f>
        <x:v>0.05644236388578405</x:v>
      </x:c>
      <x:c r="M801" s="20" t="n">
        <x:f>IF(AND(ISNUMBER(K801),ISNUMBER(L801)),100*(K801-L801),"n.a.")</x:f>
        <x:v>5.17608328746082</x:v>
      </x:c>
      <x:c r="N801" s="13" t="b">
        <x:v>1</x:v>
      </x:c>
      <x:c r="O801" s="13" t="b">
        <x:v>1</x:v>
      </x:c>
      <x:c r="P801" s="13" t="b">
        <x:v>0</x:v>
      </x:c>
      <x:c r="Q801" s="2" t="str">
        <x:v>qualified_paired_native_source_frame</x:v>
      </x:c>
      <x:c r="R801" s="2" t="str">
        <x:v>qualified_paired_native_source_frame</x:v>
      </x:c>
      <x:c r="S801" s="2" t="str">
        <x:v>modeled_epoch_volume_with_fixed2018_height_and_predominant_use</x:v>
      </x:c>
      <x:c r="T801" s="2" t="str">
        <x:v>modeled_epoch_volume_with_fixed2018_height_and_predominant_use</x:v>
      </x:c>
      <x:c r="U801" s="2" t="str">
        <x:v>GFA growth versus source physical quantity growth; constant conversion required for equality</x:v>
      </x:c>
      <x:c r="V801" s="2" t="str">
        <x:v>Model sector composition uses this source family; fixed2018-height modeled epochs</x:v>
      </x:c>
      <x:c r="W801" s="2" t="str">
        <x:v>https://human-settlement.emergency.copernicus.eu/ghs_buV2023.php</x:v>
      </x:c>
    </x:row>
    <x:row r="802" ht="23" customHeight="1">
      <x:c r="A802" s="2" t="str">
        <x:v>BFA</x:v>
      </x:c>
      <x:c r="B802" s="2" t="str">
        <x:v>Burkina Faso</x:v>
      </x:c>
      <x:c r="C802" s="2" t="str">
        <x:v>GHSL_VOLUME</x:v>
      </x:c>
      <x:c r="D802" s="2" t="n">
        <x:v>2015</x:v>
      </x:c>
      <x:c r="E802" s="2" t="n">
        <x:v>2020</x:v>
      </x:c>
      <x:c r="F802" s="17" t="n">
        <x:v>275678764.0195087</x:v>
      </x:c>
      <x:c r="G802" s="17" t="n">
        <x:v>359180891.3500002</x:v>
      </x:c>
      <x:c r="H802" s="17" t="n">
        <x:v>3923509687.517646</x:v>
      </x:c>
      <x:c r="I802" s="17" t="n">
        <x:v>4680031727.552941</x:v>
      </x:c>
      <x:c r="J802" s="2" t="str">
        <x:v>m3</x:v>
      </x:c>
      <x:c r="K802" s="15" t="n">
        <x:f>IF(AND(ISNUMBER(F802),ISNUMBER(G802),F802&gt;0),G802/F802-1,"n.a.")</x:f>
        <x:v>0.30289648035632655</x:v>
      </x:c>
      <x:c r="L802" s="15" t="n">
        <x:f>IF(AND(N802,ISNUMBER(H802),ISNUMBER(I802),H802&gt;0),I802/H802-1,"n.a.")</x:f>
        <x:v>0.19281768118022335</x:v>
      </x:c>
      <x:c r="M802" s="20" t="n">
        <x:f>IF(AND(ISNUMBER(K802),ISNUMBER(L802)),100*(K802-L802),"n.a.")</x:f>
        <x:v>11.00787991761032</x:v>
      </x:c>
      <x:c r="N802" s="13" t="b">
        <x:v>1</x:v>
      </x:c>
      <x:c r="O802" s="13" t="b">
        <x:v>1</x:v>
      </x:c>
      <x:c r="P802" s="13" t="b">
        <x:v>0</x:v>
      </x:c>
      <x:c r="Q802" s="2" t="str">
        <x:v>qualified_paired_native_source_frame</x:v>
      </x:c>
      <x:c r="R802" s="2" t="str">
        <x:v>qualified_paired_native_source_frame</x:v>
      </x:c>
      <x:c r="S802" s="2" t="str">
        <x:v>modeled_epoch_volume_with_fixed2018_height_and_predominant_use</x:v>
      </x:c>
      <x:c r="T802" s="2" t="str">
        <x:v>modeled_epoch_volume_with_fixed2018_height_and_predominant_use</x:v>
      </x:c>
      <x:c r="U802" s="2" t="str">
        <x:v>GFA growth versus source physical quantity growth; constant conversion required for equality</x:v>
      </x:c>
      <x:c r="V802" s="2" t="str">
        <x:v>Model sector composition uses this source family; fixed2018-height modeled epochs</x:v>
      </x:c>
      <x:c r="W802" s="2" t="str">
        <x:v>https://human-settlement.emergency.copernicus.eu/ghs_buV2023.php</x:v>
      </x:c>
    </x:row>
    <x:row r="803" ht="23" customHeight="1">
      <x:c r="A803" s="2" t="str">
        <x:v>BGD</x:v>
      </x:c>
      <x:c r="B803" s="2" t="str">
        <x:v>Bangladesh (People's Republic of)</x:v>
      </x:c>
      <x:c r="C803" s="2" t="str">
        <x:v>GHSL_VOLUME</x:v>
      </x:c>
      <x:c r="D803" s="2" t="n">
        <x:v>2015</x:v>
      </x:c>
      <x:c r="E803" s="2" t="n">
        <x:v>2020</x:v>
      </x:c>
      <x:c r="F803" s="17" t="n">
        <x:v>2168931873.230832</x:v>
      </x:c>
      <x:c r="G803" s="17" t="n">
        <x:v>2430930564.5499988</x:v>
      </x:c>
      <x:c r="H803" s="17" t="n">
        <x:v>8851533947.04314</x:v>
      </x:c>
      <x:c r="I803" s="17" t="n">
        <x:v>9557537104.458824</x:v>
      </x:c>
      <x:c r="J803" s="2" t="str">
        <x:v>m3</x:v>
      </x:c>
      <x:c r="K803" s="15" t="n">
        <x:f>IF(AND(ISNUMBER(F803),ISNUMBER(G803),F803&gt;0),G803/F803-1,"n.a.")</x:f>
        <x:v>0.12079618292892458</x:v>
      </x:c>
      <x:c r="L803" s="15" t="n">
        <x:f>IF(AND(N803,ISNUMBER(H803),ISNUMBER(I803),H803&gt;0),I803/H803-1,"n.a.")</x:f>
        <x:v>0.07976054338598848</x:v>
      </x:c>
      <x:c r="M803" s="20" t="n">
        <x:f>IF(AND(ISNUMBER(K803),ISNUMBER(L803)),100*(K803-L803),"n.a.")</x:f>
        <x:v>4.10356395429361</x:v>
      </x:c>
      <x:c r="N803" s="13" t="b">
        <x:v>1</x:v>
      </x:c>
      <x:c r="O803" s="13" t="b">
        <x:v>1</x:v>
      </x:c>
      <x:c r="P803" s="13" t="b">
        <x:v>0</x:v>
      </x:c>
      <x:c r="Q803" s="2" t="str">
        <x:v>qualified_paired_native_source_frame</x:v>
      </x:c>
      <x:c r="R803" s="2" t="str">
        <x:v>qualified_paired_native_source_frame</x:v>
      </x:c>
      <x:c r="S803" s="2" t="str">
        <x:v>modeled_epoch_volume_with_fixed2018_height_and_predominant_use</x:v>
      </x:c>
      <x:c r="T803" s="2" t="str">
        <x:v>modeled_epoch_volume_with_fixed2018_height_and_predominant_use</x:v>
      </x:c>
      <x:c r="U803" s="2" t="str">
        <x:v>GFA growth versus source physical quantity growth; constant conversion required for equality</x:v>
      </x:c>
      <x:c r="V803" s="2" t="str">
        <x:v>Model sector composition uses this source family; fixed2018-height modeled epochs</x:v>
      </x:c>
      <x:c r="W803" s="2" t="str">
        <x:v>https://human-settlement.emergency.copernicus.eu/ghs_buV2023.php</x:v>
      </x:c>
    </x:row>
    <x:row r="804" ht="23" customHeight="1">
      <x:c r="A804" s="2" t="str">
        <x:v>BGR</x:v>
      </x:c>
      <x:c r="B804" s="2" t="str">
        <x:v>Bulgaria (Republic of)</x:v>
      </x:c>
      <x:c r="C804" s="2" t="str">
        <x:v>GHSL_VOLUME</x:v>
      </x:c>
      <x:c r="D804" s="2" t="n">
        <x:v>2015</x:v>
      </x:c>
      <x:c r="E804" s="2" t="n">
        <x:v>2020</x:v>
      </x:c>
      <x:c r="F804" s="17" t="n">
        <x:v>515270007.50160265</x:v>
      </x:c>
      <x:c r="G804" s="17" t="n">
        <x:v>543020803.5700008</x:v>
      </x:c>
      <x:c r="H804" s="17" t="n">
        <x:v>3783219118.1843123</x:v>
      </x:c>
      <x:c r="I804" s="17" t="n">
        <x:v>3936383210.7137256</x:v>
      </x:c>
      <x:c r="J804" s="2" t="str">
        <x:v>m3</x:v>
      </x:c>
      <x:c r="K804" s="15" t="n">
        <x:f>IF(AND(ISNUMBER(F804),ISNUMBER(G804),F804&gt;0),G804/F804-1,"n.a.")</x:f>
        <x:v>0.0538568045187684</x:v>
      </x:c>
      <x:c r="L804" s="15" t="n">
        <x:f>IF(AND(N804,ISNUMBER(H804),ISNUMBER(I804),H804&gt;0),I804/H804-1,"n.a.")</x:f>
        <x:v>0.040485123315543436</x:v>
      </x:c>
      <x:c r="M804" s="20" t="n">
        <x:f>IF(AND(ISNUMBER(K804),ISNUMBER(L804)),100*(K804-L804),"n.a.")</x:f>
        <x:v>1.337168120322496</x:v>
      </x:c>
      <x:c r="N804" s="13" t="b">
        <x:v>1</x:v>
      </x:c>
      <x:c r="O804" s="13" t="b">
        <x:v>1</x:v>
      </x:c>
      <x:c r="P804" s="13" t="b">
        <x:v>0</x:v>
      </x:c>
      <x:c r="Q804" s="2" t="str">
        <x:v>qualified_paired_native_source_frame</x:v>
      </x:c>
      <x:c r="R804" s="2" t="str">
        <x:v>qualified_paired_native_source_frame</x:v>
      </x:c>
      <x:c r="S804" s="2" t="str">
        <x:v>modeled_epoch_volume_with_fixed2018_height_and_predominant_use</x:v>
      </x:c>
      <x:c r="T804" s="2" t="str">
        <x:v>modeled_epoch_volume_with_fixed2018_height_and_predominant_use</x:v>
      </x:c>
      <x:c r="U804" s="2" t="str">
        <x:v>GFA growth versus source physical quantity growth; constant conversion required for equality</x:v>
      </x:c>
      <x:c r="V804" s="2" t="str">
        <x:v>Model sector composition uses this source family; fixed2018-height modeled epochs</x:v>
      </x:c>
      <x:c r="W804" s="2" t="str">
        <x:v>https://human-settlement.emergency.copernicus.eu/ghs_buV2023.php</x:v>
      </x:c>
    </x:row>
    <x:row r="805" ht="23" customHeight="1">
      <x:c r="A805" s="2" t="str">
        <x:v>BHR</x:v>
      </x:c>
      <x:c r="B805" s="2" t="str">
        <x:v>Bahrain (Kingdom of)</x:v>
      </x:c>
      <x:c r="C805" s="2" t="str">
        <x:v>GHSL_VOLUME</x:v>
      </x:c>
      <x:c r="D805" s="2" t="n">
        <x:v>2015</x:v>
      </x:c>
      <x:c r="E805" s="2" t="n">
        <x:v>2020</x:v>
      </x:c>
      <x:c r="F805" s="17" t="n">
        <x:v>55998295.60212009</x:v>
      </x:c>
      <x:c r="G805" s="17" t="n">
        <x:v>63702858.11000008</x:v>
      </x:c>
      <x:c r="H805" s="17" t="n">
        <x:v>589550199.8901963</x:v>
      </x:c>
      <x:c r="I805" s="17" t="n">
        <x:v>638464925.5529416</x:v>
      </x:c>
      <x:c r="J805" s="2" t="str">
        <x:v>m3</x:v>
      </x:c>
      <x:c r="K805" s="15" t="n">
        <x:f>IF(AND(ISNUMBER(F805),ISNUMBER(G805),F805&gt;0),G805/F805-1,"n.a.")</x:f>
        <x:v>0.1375856608676551</x:v>
      </x:c>
      <x:c r="L805" s="15" t="n">
        <x:f>IF(AND(N805,ISNUMBER(H805),ISNUMBER(I805),H805&gt;0),I805/H805-1,"n.a.")</x:f>
        <x:v>0.08296956844702219</x:v>
      </x:c>
      <x:c r="M805" s="20" t="n">
        <x:f>IF(AND(ISNUMBER(K805),ISNUMBER(L805)),100*(K805-L805),"n.a.")</x:f>
        <x:v>5.461609242063292</x:v>
      </x:c>
      <x:c r="N805" s="13" t="b">
        <x:v>1</x:v>
      </x:c>
      <x:c r="O805" s="13" t="b">
        <x:v>1</x:v>
      </x:c>
      <x:c r="P805" s="13" t="b">
        <x:v>0</x:v>
      </x:c>
      <x:c r="Q805" s="2" t="str">
        <x:v>qualified_paired_native_source_frame</x:v>
      </x:c>
      <x:c r="R805" s="2" t="str">
        <x:v>qualified_paired_native_source_frame</x:v>
      </x:c>
      <x:c r="S805" s="2" t="str">
        <x:v>modeled_epoch_volume_with_fixed2018_height_and_predominant_use</x:v>
      </x:c>
      <x:c r="T805" s="2" t="str">
        <x:v>modeled_epoch_volume_with_fixed2018_height_and_predominant_use</x:v>
      </x:c>
      <x:c r="U805" s="2" t="str">
        <x:v>GFA growth versus source physical quantity growth; constant conversion required for equality</x:v>
      </x:c>
      <x:c r="V805" s="2" t="str">
        <x:v>Model sector composition uses this source family; fixed2018-height modeled epochs</x:v>
      </x:c>
      <x:c r="W805" s="2" t="str">
        <x:v>https://human-settlement.emergency.copernicus.eu/ghs_buV2023.php</x:v>
      </x:c>
    </x:row>
    <x:row r="806" ht="23" customHeight="1">
      <x:c r="A806" s="2" t="str">
        <x:v>BHS</x:v>
      </x:c>
      <x:c r="B806" s="2" t="str">
        <x:v>Bahamas (Commonwealth of the)</x:v>
      </x:c>
      <x:c r="C806" s="2" t="str">
        <x:v>GHSL_VOLUME</x:v>
      </x:c>
      <x:c r="D806" s="2" t="n">
        <x:v>2015</x:v>
      </x:c>
      <x:c r="E806" s="2" t="n">
        <x:v>2020</x:v>
      </x:c>
      <x:c r="F806" s="17" t="n">
        <x:v>27680989.498857055</x:v>
      </x:c>
      <x:c r="G806" s="17" t="n">
        <x:v>29184660.44999999</x:v>
      </x:c>
      <x:c r="H806" s="17" t="n">
        <x:v>189067499.4745098</x:v>
      </x:c>
      <x:c r="I806" s="17" t="n">
        <x:v>196027043.40392154</x:v>
      </x:c>
      <x:c r="J806" s="2" t="str">
        <x:v>m3</x:v>
      </x:c>
      <x:c r="K806" s="15" t="n">
        <x:f>IF(AND(ISNUMBER(F806),ISNUMBER(G806),F806&gt;0),G806/F806-1,"n.a.")</x:f>
        <x:v>0.054321430641235624</x:v>
      </x:c>
      <x:c r="L806" s="15" t="n">
        <x:f>IF(AND(N806,ISNUMBER(H806),ISNUMBER(I806),H806&gt;0),I806/H806-1,"n.a.")</x:f>
        <x:v>0.036809837485315855</x:v>
      </x:c>
      <x:c r="M806" s="20" t="n">
        <x:f>IF(AND(ISNUMBER(K806),ISNUMBER(L806)),100*(K806-L806),"n.a.")</x:f>
        <x:v>1.751159315591977</x:v>
      </x:c>
      <x:c r="N806" s="13" t="b">
        <x:v>1</x:v>
      </x:c>
      <x:c r="O806" s="13" t="b">
        <x:v>1</x:v>
      </x:c>
      <x:c r="P806" s="13" t="b">
        <x:v>0</x:v>
      </x:c>
      <x:c r="Q806" s="2" t="str">
        <x:v>qualified_paired_native_source_frame</x:v>
      </x:c>
      <x:c r="R806" s="2" t="str">
        <x:v>qualified_paired_native_source_frame</x:v>
      </x:c>
      <x:c r="S806" s="2" t="str">
        <x:v>modeled_epoch_volume_with_fixed2018_height_and_predominant_use</x:v>
      </x:c>
      <x:c r="T806" s="2" t="str">
        <x:v>modeled_epoch_volume_with_fixed2018_height_and_predominant_use</x:v>
      </x:c>
      <x:c r="U806" s="2" t="str">
        <x:v>GFA growth versus source physical quantity growth; constant conversion required for equality</x:v>
      </x:c>
      <x:c r="V806" s="2" t="str">
        <x:v>Model sector composition uses this source family; fixed2018-height modeled epochs</x:v>
      </x:c>
      <x:c r="W806" s="2" t="str">
        <x:v>https://human-settlement.emergency.copernicus.eu/ghs_buV2023.php</x:v>
      </x:c>
    </x:row>
    <x:row r="807" ht="23" customHeight="1">
      <x:c r="A807" s="2" t="str">
        <x:v>BIH</x:v>
      </x:c>
      <x:c r="B807" s="2" t="str">
        <x:v>Bosnia and Herzegovina</x:v>
      </x:c>
      <x:c r="C807" s="2" t="str">
        <x:v>GHSL_VOLUME</x:v>
      </x:c>
      <x:c r="D807" s="2" t="n">
        <x:v>2015</x:v>
      </x:c>
      <x:c r="E807" s="2" t="n">
        <x:v>2020</x:v>
      </x:c>
      <x:c r="F807" s="17" t="n">
        <x:v>233894193.35508087</x:v>
      </x:c>
      <x:c r="G807" s="17" t="n">
        <x:v>247114206.72000027</x:v>
      </x:c>
      <x:c r="H807" s="17" t="n">
        <x:v>1243100010.6274512</x:v>
      </x:c>
      <x:c r="I807" s="17" t="n">
        <x:v>1309228516.3960783</x:v>
      </x:c>
      <x:c r="J807" s="2" t="str">
        <x:v>m3</x:v>
      </x:c>
      <x:c r="K807" s="15" t="n">
        <x:f>IF(AND(ISNUMBER(F807),ISNUMBER(G807),F807&gt;0),G807/F807-1,"n.a.")</x:f>
        <x:v>0.05652134059116953</x:v>
      </x:c>
      <x:c r="L807" s="15" t="n">
        <x:f>IF(AND(N807,ISNUMBER(H807),ISNUMBER(I807),H807&gt;0),I807/H807-1,"n.a.")</x:f>
        <x:v>0.05319644855867156</x:v>
      </x:c>
      <x:c r="M807" s="20" t="n">
        <x:f>IF(AND(ISNUMBER(K807),ISNUMBER(L807)),100*(K807-L807),"n.a.")</x:f>
        <x:v>0.33248920324979725</x:v>
      </x:c>
      <x:c r="N807" s="13" t="b">
        <x:v>1</x:v>
      </x:c>
      <x:c r="O807" s="13" t="b">
        <x:v>1</x:v>
      </x:c>
      <x:c r="P807" s="13" t="b">
        <x:v>0</x:v>
      </x:c>
      <x:c r="Q807" s="2" t="str">
        <x:v>qualified_paired_native_source_frame</x:v>
      </x:c>
      <x:c r="R807" s="2" t="str">
        <x:v>qualified_paired_native_source_frame</x:v>
      </x:c>
      <x:c r="S807" s="2" t="str">
        <x:v>modeled_epoch_volume_with_fixed2018_height_and_predominant_use</x:v>
      </x:c>
      <x:c r="T807" s="2" t="str">
        <x:v>modeled_epoch_volume_with_fixed2018_height_and_predominant_use</x:v>
      </x:c>
      <x:c r="U807" s="2" t="str">
        <x:v>GFA growth versus source physical quantity growth; constant conversion required for equality</x:v>
      </x:c>
      <x:c r="V807" s="2" t="str">
        <x:v>Model sector composition uses this source family; fixed2018-height modeled epochs</x:v>
      </x:c>
      <x:c r="W807" s="2" t="str">
        <x:v>https://human-settlement.emergency.copernicus.eu/ghs_buV2023.php</x:v>
      </x:c>
    </x:row>
    <x:row r="808" ht="23" customHeight="1">
      <x:c r="A808" s="2" t="str">
        <x:v>BLR</x:v>
      </x:c>
      <x:c r="B808" s="2" t="str">
        <x:v>Belarus (Republic of)</x:v>
      </x:c>
      <x:c r="C808" s="2" t="str">
        <x:v>GHSL_VOLUME</x:v>
      </x:c>
      <x:c r="D808" s="2" t="n">
        <x:v>2015</x:v>
      </x:c>
      <x:c r="E808" s="2" t="n">
        <x:v>2020</x:v>
      </x:c>
      <x:c r="F808" s="17" t="n">
        <x:v>642607051.7109698</x:v>
      </x:c>
      <x:c r="G808" s="17" t="n">
        <x:v>672205246.4400003</x:v>
      </x:c>
      <x:c r="H808" s="17" t="n">
        <x:v>5870683006.694118</x:v>
      </x:c>
      <x:c r="I808" s="17" t="n">
        <x:v>6086745199.847059</x:v>
      </x:c>
      <x:c r="J808" s="2" t="str">
        <x:v>m3</x:v>
      </x:c>
      <x:c r="K808" s="15" t="n">
        <x:f>IF(AND(ISNUMBER(F808),ISNUMBER(G808),F808&gt;0),G808/F808-1,"n.a.")</x:f>
        <x:v>0.04605955482471602</x:v>
      </x:c>
      <x:c r="L808" s="15" t="n">
        <x:f>IF(AND(N808,ISNUMBER(H808),ISNUMBER(I808),H808&gt;0),I808/H808-1,"n.a.")</x:f>
        <x:v>0.03680358706245501</x:v>
      </x:c>
      <x:c r="M808" s="20" t="n">
        <x:f>IF(AND(ISNUMBER(K808),ISNUMBER(L808)),100*(K808-L808),"n.a.")</x:f>
        <x:v>0.9255967762261008</x:v>
      </x:c>
      <x:c r="N808" s="13" t="b">
        <x:v>1</x:v>
      </x:c>
      <x:c r="O808" s="13" t="b">
        <x:v>1</x:v>
      </x:c>
      <x:c r="P808" s="13" t="b">
        <x:v>0</x:v>
      </x:c>
      <x:c r="Q808" s="2" t="str">
        <x:v>qualified_paired_native_source_frame</x:v>
      </x:c>
      <x:c r="R808" s="2" t="str">
        <x:v>qualified_paired_native_source_frame</x:v>
      </x:c>
      <x:c r="S808" s="2" t="str">
        <x:v>modeled_epoch_volume_with_fixed2018_height_and_predominant_use</x:v>
      </x:c>
      <x:c r="T808" s="2" t="str">
        <x:v>modeled_epoch_volume_with_fixed2018_height_and_predominant_use</x:v>
      </x:c>
      <x:c r="U808" s="2" t="str">
        <x:v>GFA growth versus source physical quantity growth; constant conversion required for equality</x:v>
      </x:c>
      <x:c r="V808" s="2" t="str">
        <x:v>Model sector composition uses this source family; fixed2018-height modeled epochs</x:v>
      </x:c>
      <x:c r="W808" s="2" t="str">
        <x:v>https://human-settlement.emergency.copernicus.eu/ghs_buV2023.php</x:v>
      </x:c>
    </x:row>
    <x:row r="809" ht="23" customHeight="1">
      <x:c r="A809" s="2" t="str">
        <x:v>BLZ</x:v>
      </x:c>
      <x:c r="B809" s="2" t="str">
        <x:v>Belize</x:v>
      </x:c>
      <x:c r="C809" s="2" t="str">
        <x:v>GHSL_VOLUME</x:v>
      </x:c>
      <x:c r="D809" s="2" t="n">
        <x:v>2015</x:v>
      </x:c>
      <x:c r="E809" s="2" t="n">
        <x:v>2020</x:v>
      </x:c>
      <x:c r="F809" s="17" t="n">
        <x:v>16540709.810359346</x:v>
      </x:c>
      <x:c r="G809" s="17" t="n">
        <x:v>21867714.339999966</x:v>
      </x:c>
      <x:c r="H809" s="17" t="n">
        <x:v>151995085.85098034</x:v>
      </x:c>
      <x:c r="I809" s="17" t="n">
        <x:v>186923982.63137254</x:v>
      </x:c>
      <x:c r="J809" s="2" t="str">
        <x:v>m3</x:v>
      </x:c>
      <x:c r="K809" s="15" t="n">
        <x:f>IF(AND(ISNUMBER(F809),ISNUMBER(G809),F809&gt;0),G809/F809-1,"n.a.")</x:f>
        <x:v>0.3220541676092008</x:v>
      </x:c>
      <x:c r="L809" s="15" t="n">
        <x:f>IF(AND(N809,ISNUMBER(H809),ISNUMBER(I809),H809&gt;0),I809/H809-1,"n.a.")</x:f>
        <x:v>0.2298028030632342</x:v>
      </x:c>
      <x:c r="M809" s="20" t="n">
        <x:f>IF(AND(ISNUMBER(K809),ISNUMBER(L809)),100*(K809-L809),"n.a.")</x:f>
        <x:v>9.225136454596662</x:v>
      </x:c>
      <x:c r="N809" s="13" t="b">
        <x:v>1</x:v>
      </x:c>
      <x:c r="O809" s="13" t="b">
        <x:v>1</x:v>
      </x:c>
      <x:c r="P809" s="13" t="b">
        <x:v>0</x:v>
      </x:c>
      <x:c r="Q809" s="2" t="str">
        <x:v>qualified_paired_native_source_frame</x:v>
      </x:c>
      <x:c r="R809" s="2" t="str">
        <x:v>qualified_paired_native_source_frame</x:v>
      </x:c>
      <x:c r="S809" s="2" t="str">
        <x:v>modeled_epoch_volume_with_fixed2018_height_and_predominant_use</x:v>
      </x:c>
      <x:c r="T809" s="2" t="str">
        <x:v>modeled_epoch_volume_with_fixed2018_height_and_predominant_use</x:v>
      </x:c>
      <x:c r="U809" s="2" t="str">
        <x:v>GFA growth versus source physical quantity growth; constant conversion required for equality</x:v>
      </x:c>
      <x:c r="V809" s="2" t="str">
        <x:v>Model sector composition uses this source family; fixed2018-height modeled epochs</x:v>
      </x:c>
      <x:c r="W809" s="2" t="str">
        <x:v>https://human-settlement.emergency.copernicus.eu/ghs_buV2023.php</x:v>
      </x:c>
    </x:row>
    <x:row r="810" ht="23" customHeight="1">
      <x:c r="A810" s="2" t="str">
        <x:v>BOL</x:v>
      </x:c>
      <x:c r="B810" s="2" t="str">
        <x:v>Bolivia (Plurinational State of)</x:v>
      </x:c>
      <x:c r="C810" s="2" t="str">
        <x:v>GHSL_VOLUME</x:v>
      </x:c>
      <x:c r="D810" s="2" t="n">
        <x:v>2015</x:v>
      </x:c>
      <x:c r="E810" s="2" t="n">
        <x:v>2020</x:v>
      </x:c>
      <x:c r="F810" s="17" t="n">
        <x:v>459985037.8168253</x:v>
      </x:c>
      <x:c r="G810" s="17" t="n">
        <x:v>496419008.9399992</x:v>
      </x:c>
      <x:c r="H810" s="17" t="n">
        <x:v>3712280405.0862746</x:v>
      </x:c>
      <x:c r="I810" s="17" t="n">
        <x:v>3911087262.1294117</x:v>
      </x:c>
      <x:c r="J810" s="2" t="str">
        <x:v>m3</x:v>
      </x:c>
      <x:c r="K810" s="15" t="n">
        <x:f>IF(AND(ISNUMBER(F810),ISNUMBER(G810),F810&gt;0),G810/F810-1,"n.a.")</x:f>
        <x:v>0.07920686137117938</x:v>
      </x:c>
      <x:c r="L810" s="15" t="n">
        <x:f>IF(AND(N810,ISNUMBER(H810),ISNUMBER(I810),H810&gt;0),I810/H810-1,"n.a.")</x:f>
        <x:v>0.053553836280995304</x:v>
      </x:c>
      <x:c r="M810" s="20" t="n">
        <x:f>IF(AND(ISNUMBER(K810),ISNUMBER(L810)),100*(K810-L810),"n.a.")</x:f>
        <x:v>2.565302509018408</x:v>
      </x:c>
      <x:c r="N810" s="13" t="b">
        <x:v>1</x:v>
      </x:c>
      <x:c r="O810" s="13" t="b">
        <x:v>1</x:v>
      </x:c>
      <x:c r="P810" s="13" t="b">
        <x:v>0</x:v>
      </x:c>
      <x:c r="Q810" s="2" t="str">
        <x:v>qualified_paired_native_source_frame</x:v>
      </x:c>
      <x:c r="R810" s="2" t="str">
        <x:v>qualified_paired_native_source_frame</x:v>
      </x:c>
      <x:c r="S810" s="2" t="str">
        <x:v>modeled_epoch_volume_with_fixed2018_height_and_predominant_use</x:v>
      </x:c>
      <x:c r="T810" s="2" t="str">
        <x:v>modeled_epoch_volume_with_fixed2018_height_and_predominant_use</x:v>
      </x:c>
      <x:c r="U810" s="2" t="str">
        <x:v>GFA growth versus source physical quantity growth; constant conversion required for equality</x:v>
      </x:c>
      <x:c r="V810" s="2" t="str">
        <x:v>Model sector composition uses this source family; fixed2018-height modeled epochs</x:v>
      </x:c>
      <x:c r="W810" s="2" t="str">
        <x:v>https://human-settlement.emergency.copernicus.eu/ghs_buV2023.php</x:v>
      </x:c>
    </x:row>
    <x:row r="811" ht="23" customHeight="1">
      <x:c r="A811" s="2" t="str">
        <x:v>BRA</x:v>
      </x:c>
      <x:c r="B811" s="2" t="str">
        <x:v>Brazil (Federative Republic of)</x:v>
      </x:c>
      <x:c r="C811" s="2" t="str">
        <x:v>GHSL_VOLUME</x:v>
      </x:c>
      <x:c r="D811" s="2" t="n">
        <x:v>2015</x:v>
      </x:c>
      <x:c r="E811" s="2" t="n">
        <x:v>2020</x:v>
      </x:c>
      <x:c r="F811" s="17" t="n">
        <x:v>11501843459.570875</x:v>
      </x:c>
      <x:c r="G811" s="17" t="n">
        <x:v>12112839681.859997</x:v>
      </x:c>
      <x:c r="H811" s="17" t="n">
        <x:v>92694805239.99608</x:v>
      </x:c>
      <x:c r="I811" s="17" t="n">
        <x:v>96088937632.91373</x:v>
      </x:c>
      <x:c r="J811" s="2" t="str">
        <x:v>m3</x:v>
      </x:c>
      <x:c r="K811" s="15" t="n">
        <x:f>IF(AND(ISNUMBER(F811),ISNUMBER(G811),F811&gt;0),G811/F811-1,"n.a.")</x:f>
        <x:v>0.053121590850786715</x:v>
      </x:c>
      <x:c r="L811" s="15" t="n">
        <x:f>IF(AND(N811,ISNUMBER(H811),ISNUMBER(I811),H811&gt;0),I811/H811-1,"n.a.")</x:f>
        <x:v>0.036616209334815464</x:v>
      </x:c>
      <x:c r="M811" s="20" t="n">
        <x:f>IF(AND(ISNUMBER(K811),ISNUMBER(L811)),100*(K811-L811),"n.a.")</x:f>
        <x:v>1.6505381515971251</x:v>
      </x:c>
      <x:c r="N811" s="13" t="b">
        <x:v>1</x:v>
      </x:c>
      <x:c r="O811" s="13" t="b">
        <x:v>1</x:v>
      </x:c>
      <x:c r="P811" s="13" t="b">
        <x:v>0</x:v>
      </x:c>
      <x:c r="Q811" s="2" t="str">
        <x:v>qualified_paired_native_source_frame</x:v>
      </x:c>
      <x:c r="R811" s="2" t="str">
        <x:v>qualified_paired_native_source_frame</x:v>
      </x:c>
      <x:c r="S811" s="2" t="str">
        <x:v>modeled_epoch_volume_with_fixed2018_height_and_predominant_use</x:v>
      </x:c>
      <x:c r="T811" s="2" t="str">
        <x:v>modeled_epoch_volume_with_fixed2018_height_and_predominant_use</x:v>
      </x:c>
      <x:c r="U811" s="2" t="str">
        <x:v>GFA growth versus source physical quantity growth; constant conversion required for equality</x:v>
      </x:c>
      <x:c r="V811" s="2" t="str">
        <x:v>Model sector composition uses this source family; fixed2018-height modeled epochs</x:v>
      </x:c>
      <x:c r="W811" s="2" t="str">
        <x:v>https://human-settlement.emergency.copernicus.eu/ghs_buV2023.php</x:v>
      </x:c>
    </x:row>
    <x:row r="812" ht="23" customHeight="1">
      <x:c r="A812" s="2" t="str">
        <x:v>BRB</x:v>
      </x:c>
      <x:c r="B812" s="2" t="str">
        <x:v>Barbados</x:v>
      </x:c>
      <x:c r="C812" s="2" t="str">
        <x:v>GHSL_VOLUME</x:v>
      </x:c>
      <x:c r="D812" s="2" t="n">
        <x:v>2015</x:v>
      </x:c>
      <x:c r="E812" s="2" t="n">
        <x:v>2020</x:v>
      </x:c>
      <x:c r="F812" s="17" t="n">
        <x:v>17895946.814018443</x:v>
      </x:c>
      <x:c r="G812" s="17" t="n">
        <x:v>23684585.840000004</x:v>
      </x:c>
      <x:c r="H812" s="17" t="n">
        <x:v>182089645.5215686</x:v>
      </x:c>
      <x:c r="I812" s="17" t="n">
        <x:v>217525236.10980397</x:v>
      </x:c>
      <x:c r="J812" s="2" t="str">
        <x:v>m3</x:v>
      </x:c>
      <x:c r="K812" s="15" t="n">
        <x:f>IF(AND(ISNUMBER(F812),ISNUMBER(G812),F812&gt;0),G812/F812-1,"n.a.")</x:f>
        <x:v>0.32346089794182564</x:v>
      </x:c>
      <x:c r="L812" s="15" t="n">
        <x:f>IF(AND(N812,ISNUMBER(H812),ISNUMBER(I812),H812&gt;0),I812/H812-1,"n.a.")</x:f>
        <x:v>0.19460519288032785</x:v>
      </x:c>
      <x:c r="M812" s="20" t="n">
        <x:f>IF(AND(ISNUMBER(K812),ISNUMBER(L812)),100*(K812-L812),"n.a.")</x:f>
        <x:v>12.88557050614978</x:v>
      </x:c>
      <x:c r="N812" s="13" t="b">
        <x:v>1</x:v>
      </x:c>
      <x:c r="O812" s="13" t="b">
        <x:v>1</x:v>
      </x:c>
      <x:c r="P812" s="13" t="b">
        <x:v>0</x:v>
      </x:c>
      <x:c r="Q812" s="2" t="str">
        <x:v>qualified_paired_native_source_frame</x:v>
      </x:c>
      <x:c r="R812" s="2" t="str">
        <x:v>qualified_paired_native_source_frame</x:v>
      </x:c>
      <x:c r="S812" s="2" t="str">
        <x:v>modeled_epoch_volume_with_fixed2018_height_and_predominant_use</x:v>
      </x:c>
      <x:c r="T812" s="2" t="str">
        <x:v>modeled_epoch_volume_with_fixed2018_height_and_predominant_use</x:v>
      </x:c>
      <x:c r="U812" s="2" t="str">
        <x:v>GFA growth versus source physical quantity growth; constant conversion required for equality</x:v>
      </x:c>
      <x:c r="V812" s="2" t="str">
        <x:v>Model sector composition uses this source family; fixed2018-height modeled epochs</x:v>
      </x:c>
      <x:c r="W812" s="2" t="str">
        <x:v>https://human-settlement.emergency.copernicus.eu/ghs_buV2023.php</x:v>
      </x:c>
    </x:row>
    <x:row r="813" ht="23" customHeight="1">
      <x:c r="A813" s="2" t="str">
        <x:v>BRN</x:v>
      </x:c>
      <x:c r="B813" s="2" t="str">
        <x:v>Brunei Darussalam</x:v>
      </x:c>
      <x:c r="C813" s="2" t="str">
        <x:v>GHSL_VOLUME</x:v>
      </x:c>
      <x:c r="D813" s="2" t="n">
        <x:v>2015</x:v>
      </x:c>
      <x:c r="E813" s="2" t="n">
        <x:v>2020</x:v>
      </x:c>
      <x:c r="F813" s="17" t="n">
        <x:v>34359495.97534139</x:v>
      </x:c>
      <x:c r="G813" s="17" t="n">
        <x:v>37849769.86000001</x:v>
      </x:c>
      <x:c r="H813" s="17" t="n">
        <x:v>253496601.1647059</x:v>
      </x:c>
      <x:c r="I813" s="17" t="n">
        <x:v>272351381.4784314</x:v>
      </x:c>
      <x:c r="J813" s="2" t="str">
        <x:v>m3</x:v>
      </x:c>
      <x:c r="K813" s="15" t="n">
        <x:f>IF(AND(ISNUMBER(F813),ISNUMBER(G813),F813&gt;0),G813/F813-1,"n.a.")</x:f>
        <x:v>0.10158105599580014</x:v>
      </x:c>
      <x:c r="L813" s="15" t="n">
        <x:f>IF(AND(N813,ISNUMBER(H813),ISNUMBER(I813),H813&gt;0),I813/H813-1,"n.a.")</x:f>
        <x:v>0.07437882885646618</x:v>
      </x:c>
      <x:c r="M813" s="20" t="n">
        <x:f>IF(AND(ISNUMBER(K813),ISNUMBER(L813)),100*(K813-L813),"n.a.")</x:f>
        <x:v>2.7202227139333957</x:v>
      </x:c>
      <x:c r="N813" s="13" t="b">
        <x:v>1</x:v>
      </x:c>
      <x:c r="O813" s="13" t="b">
        <x:v>1</x:v>
      </x:c>
      <x:c r="P813" s="13" t="b">
        <x:v>0</x:v>
      </x:c>
      <x:c r="Q813" s="2" t="str">
        <x:v>qualified_paired_native_source_frame</x:v>
      </x:c>
      <x:c r="R813" s="2" t="str">
        <x:v>qualified_paired_native_source_frame</x:v>
      </x:c>
      <x:c r="S813" s="2" t="str">
        <x:v>modeled_epoch_volume_with_fixed2018_height_and_predominant_use</x:v>
      </x:c>
      <x:c r="T813" s="2" t="str">
        <x:v>modeled_epoch_volume_with_fixed2018_height_and_predominant_use</x:v>
      </x:c>
      <x:c r="U813" s="2" t="str">
        <x:v>GFA growth versus source physical quantity growth; constant conversion required for equality</x:v>
      </x:c>
      <x:c r="V813" s="2" t="str">
        <x:v>Model sector composition uses this source family; fixed2018-height modeled epochs</x:v>
      </x:c>
      <x:c r="W813" s="2" t="str">
        <x:v>https://human-settlement.emergency.copernicus.eu/ghs_buV2023.php</x:v>
      </x:c>
    </x:row>
    <x:row r="814" ht="23" customHeight="1">
      <x:c r="A814" s="2" t="str">
        <x:v>BTN</x:v>
      </x:c>
      <x:c r="B814" s="2" t="str">
        <x:v>Bhutan (Kingdom of)</x:v>
      </x:c>
      <x:c r="C814" s="2" t="str">
        <x:v>GHSL_VOLUME</x:v>
      </x:c>
      <x:c r="D814" s="2" t="n">
        <x:v>2015</x:v>
      </x:c>
      <x:c r="E814" s="2" t="n">
        <x:v>2020</x:v>
      </x:c>
      <x:c r="F814" s="17" t="n">
        <x:v>21797976.569607902</x:v>
      </x:c>
      <x:c r="G814" s="17" t="n">
        <x:v>27177544.510000043</x:v>
      </x:c>
      <x:c r="H814" s="17" t="n">
        <x:v>79314201.65098038</x:v>
      </x:c>
      <x:c r="I814" s="17" t="n">
        <x:v>95242345.76862743</x:v>
      </x:c>
      <x:c r="J814" s="2" t="str">
        <x:v>m3</x:v>
      </x:c>
      <x:c r="K814" s="15" t="n">
        <x:f>IF(AND(ISNUMBER(F814),ISNUMBER(G814),F814&gt;0),G814/F814-1,"n.a.")</x:f>
        <x:v>0.2467920783020141</x:v>
      </x:c>
      <x:c r="L814" s="15" t="n">
        <x:f>IF(AND(N814,ISNUMBER(H814),ISNUMBER(I814),H814&gt;0),I814/H814-1,"n.a.")</x:f>
        <x:v>0.20082335554152508</x:v>
      </x:c>
      <x:c r="M814" s="20" t="n">
        <x:f>IF(AND(ISNUMBER(K814),ISNUMBER(L814)),100*(K814-L814),"n.a.")</x:f>
        <x:v>4.596872276048902</x:v>
      </x:c>
      <x:c r="N814" s="13" t="b">
        <x:v>1</x:v>
      </x:c>
      <x:c r="O814" s="13" t="b">
        <x:v>1</x:v>
      </x:c>
      <x:c r="P814" s="13" t="b">
        <x:v>0</x:v>
      </x:c>
      <x:c r="Q814" s="2" t="str">
        <x:v>qualified_paired_native_source_frame</x:v>
      </x:c>
      <x:c r="R814" s="2" t="str">
        <x:v>qualified_paired_native_source_frame</x:v>
      </x:c>
      <x:c r="S814" s="2" t="str">
        <x:v>modeled_epoch_volume_with_fixed2018_height_and_predominant_use</x:v>
      </x:c>
      <x:c r="T814" s="2" t="str">
        <x:v>modeled_epoch_volume_with_fixed2018_height_and_predominant_use</x:v>
      </x:c>
      <x:c r="U814" s="2" t="str">
        <x:v>GFA growth versus source physical quantity growth; constant conversion required for equality</x:v>
      </x:c>
      <x:c r="V814" s="2" t="str">
        <x:v>Model sector composition uses this source family; fixed2018-height modeled epochs</x:v>
      </x:c>
      <x:c r="W814" s="2" t="str">
        <x:v>https://human-settlement.emergency.copernicus.eu/ghs_buV2023.php</x:v>
      </x:c>
    </x:row>
    <x:row r="815" ht="23" customHeight="1">
      <x:c r="A815" s="2" t="str">
        <x:v>BWA</x:v>
      </x:c>
      <x:c r="B815" s="2" t="str">
        <x:v>Botswana (Republic of)</x:v>
      </x:c>
      <x:c r="C815" s="2" t="str">
        <x:v>GHSL_VOLUME</x:v>
      </x:c>
      <x:c r="D815" s="2" t="n">
        <x:v>2015</x:v>
      </x:c>
      <x:c r="E815" s="2" t="n">
        <x:v>2020</x:v>
      </x:c>
      <x:c r="F815" s="17" t="n">
        <x:v>111331344.3203508</x:v>
      </x:c>
      <x:c r="G815" s="17" t="n">
        <x:v>118564613.02000009</x:v>
      </x:c>
      <x:c r="H815" s="17" t="n">
        <x:v>2068965024.6941178</x:v>
      </x:c>
      <x:c r="I815" s="17" t="n">
        <x:v>2139965390.5058825</x:v>
      </x:c>
      <x:c r="J815" s="2" t="str">
        <x:v>m3</x:v>
      </x:c>
      <x:c r="K815" s="15" t="n">
        <x:f>IF(AND(ISNUMBER(F815),ISNUMBER(G815),F815&gt;0),G815/F815-1,"n.a.")</x:f>
        <x:v>0.06497064006373532</x:v>
      </x:c>
      <x:c r="L815" s="15" t="n">
        <x:f>IF(AND(N815,ISNUMBER(H815),ISNUMBER(I815),H815&gt;0),I815/H815-1,"n.a.")</x:f>
        <x:v>0.03431685164531073</x:v>
      </x:c>
      <x:c r="M815" s="20" t="n">
        <x:f>IF(AND(ISNUMBER(K815),ISNUMBER(L815)),100*(K815-L815),"n.a.")</x:f>
        <x:v>3.065378841842459</x:v>
      </x:c>
      <x:c r="N815" s="13" t="b">
        <x:v>1</x:v>
      </x:c>
      <x:c r="O815" s="13" t="b">
        <x:v>1</x:v>
      </x:c>
      <x:c r="P815" s="13" t="b">
        <x:v>0</x:v>
      </x:c>
      <x:c r="Q815" s="2" t="str">
        <x:v>qualified_paired_native_source_frame</x:v>
      </x:c>
      <x:c r="R815" s="2" t="str">
        <x:v>qualified_paired_native_source_frame</x:v>
      </x:c>
      <x:c r="S815" s="2" t="str">
        <x:v>modeled_epoch_volume_with_fixed2018_height_and_predominant_use</x:v>
      </x:c>
      <x:c r="T815" s="2" t="str">
        <x:v>modeled_epoch_volume_with_fixed2018_height_and_predominant_use</x:v>
      </x:c>
      <x:c r="U815" s="2" t="str">
        <x:v>GFA growth versus source physical quantity growth; constant conversion required for equality</x:v>
      </x:c>
      <x:c r="V815" s="2" t="str">
        <x:v>Model sector composition uses this source family; fixed2018-height modeled epochs</x:v>
      </x:c>
      <x:c r="W815" s="2" t="str">
        <x:v>https://human-settlement.emergency.copernicus.eu/ghs_buV2023.php</x:v>
      </x:c>
    </x:row>
    <x:row r="816" ht="23" customHeight="1">
      <x:c r="A816" s="2" t="str">
        <x:v>CAF</x:v>
      </x:c>
      <x:c r="B816" s="2" t="str">
        <x:v>Central African Republic</x:v>
      </x:c>
      <x:c r="C816" s="2" t="str">
        <x:v>GHSL_VOLUME</x:v>
      </x:c>
      <x:c r="D816" s="2" t="n">
        <x:v>2015</x:v>
      </x:c>
      <x:c r="E816" s="2" t="n">
        <x:v>2020</x:v>
      </x:c>
      <x:c r="F816" s="17" t="n">
        <x:v>62024265.65545923</x:v>
      </x:c>
      <x:c r="G816" s="17" t="n">
        <x:v>66989106.04000005</x:v>
      </x:c>
      <x:c r="H816" s="17" t="n">
        <x:v>820209011.1843138</x:v>
      </x:c>
      <x:c r="I816" s="17" t="n">
        <x:v>864769603.0941176</x:v>
      </x:c>
      <x:c r="J816" s="2" t="str">
        <x:v>m3</x:v>
      </x:c>
      <x:c r="K816" s="15" t="n">
        <x:f>IF(AND(ISNUMBER(F816),ISNUMBER(G816),F816&gt;0),G816/F816-1,"n.a.")</x:f>
        <x:v>0.08004674190130978</x:v>
      </x:c>
      <x:c r="L816" s="15" t="n">
        <x:f>IF(AND(N816,ISNUMBER(H816),ISNUMBER(I816),H816&gt;0),I816/H816-1,"n.a.")</x:f>
        <x:v>0.0543283374142185</x:v>
      </x:c>
      <x:c r="M816" s="20" t="n">
        <x:f>IF(AND(ISNUMBER(K816),ISNUMBER(L816)),100*(K816-L816),"n.a.")</x:f>
        <x:v>2.5718404487091284</x:v>
      </x:c>
      <x:c r="N816" s="13" t="b">
        <x:v>1</x:v>
      </x:c>
      <x:c r="O816" s="13" t="b">
        <x:v>1</x:v>
      </x:c>
      <x:c r="P816" s="13" t="b">
        <x:v>0</x:v>
      </x:c>
      <x:c r="Q816" s="2" t="str">
        <x:v>qualified_paired_native_source_frame</x:v>
      </x:c>
      <x:c r="R816" s="2" t="str">
        <x:v>qualified_paired_native_source_frame</x:v>
      </x:c>
      <x:c r="S816" s="2" t="str">
        <x:v>modeled_epoch_volume_with_fixed2018_height_and_predominant_use</x:v>
      </x:c>
      <x:c r="T816" s="2" t="str">
        <x:v>modeled_epoch_volume_with_fixed2018_height_and_predominant_use</x:v>
      </x:c>
      <x:c r="U816" s="2" t="str">
        <x:v>GFA growth versus source physical quantity growth; constant conversion required for equality</x:v>
      </x:c>
      <x:c r="V816" s="2" t="str">
        <x:v>Model sector composition uses this source family; fixed2018-height modeled epochs</x:v>
      </x:c>
      <x:c r="W816" s="2" t="str">
        <x:v>https://human-settlement.emergency.copernicus.eu/ghs_buV2023.php</x:v>
      </x:c>
    </x:row>
    <x:row r="817" ht="23" customHeight="1">
      <x:c r="A817" s="2" t="str">
        <x:v>CAN</x:v>
      </x:c>
      <x:c r="B817" s="2" t="str">
        <x:v>Canada</x:v>
      </x:c>
      <x:c r="C817" s="2" t="str">
        <x:v>GHSL_VOLUME</x:v>
      </x:c>
      <x:c r="D817" s="2" t="n">
        <x:v>2015</x:v>
      </x:c>
      <x:c r="E817" s="2" t="n">
        <x:v>2020</x:v>
      </x:c>
      <x:c r="F817" s="17" t="n">
        <x:v>2816886264.1935463</x:v>
      </x:c>
      <x:c r="G817" s="17" t="n">
        <x:v>2941628265.260001</x:v>
      </x:c>
      <x:c r="H817" s="17" t="n">
        <x:v>27011162947.074512</x:v>
      </x:c>
      <x:c r="I817" s="17" t="n">
        <x:v>27711309978.321568</x:v>
      </x:c>
      <x:c r="J817" s="2" t="str">
        <x:v>m3</x:v>
      </x:c>
      <x:c r="K817" s="15" t="n">
        <x:f>IF(AND(ISNUMBER(F817),ISNUMBER(G817),F817&gt;0),G817/F817-1,"n.a.")</x:f>
        <x:v>0.044283648456842295</x:v>
      </x:c>
      <x:c r="L817" s="15" t="str">
        <x:f>IF(AND(N817,ISNUMBER(H817),ISNUMBER(I817),H817&gt;0),I817/H817-1,"n.a.")</x:f>
        <x:v>n.a.</x:v>
      </x:c>
      <x:c r="M817" s="20" t="str">
        <x:f>IF(AND(ISNUMBER(K817),ISNUMBER(L817)),100*(K817-L817),"n.a.")</x:f>
        <x:v>n.a.</x:v>
      </x:c>
      <x:c r="N817" s="13" t="b">
        <x:v>0</x:v>
      </x:c>
      <x:c r="O817" s="13" t="b">
        <x:v>1</x:v>
      </x:c>
      <x:c r="P817" s="13" t="b">
        <x:v>0</x:v>
      </x:c>
      <x:c r="Q817" s="2" t="str">
        <x:v>source_support_or_logical_consistency_failed</x:v>
      </x:c>
      <x:c r="R817" s="2" t="str">
        <x:v>source_support_or_logical_consistency_failed</x:v>
      </x:c>
      <x:c r="S817" s="2" t="str">
        <x:v>modeled_epoch_volume_with_fixed2018_height_and_predominant_use</x:v>
      </x:c>
      <x:c r="T817" s="2" t="str">
        <x:v>modeled_epoch_volume_with_fixed2018_height_and_predominant_use</x:v>
      </x:c>
      <x:c r="U817" s="2" t="str">
        <x:v>GFA growth versus source physical quantity growth; constant conversion required for equality</x:v>
      </x:c>
      <x:c r="V817" s="2" t="str">
        <x:v>Model sector composition uses this source family; fixed2018-height modeled epochs</x:v>
      </x:c>
      <x:c r="W817" s="2" t="str">
        <x:v>https://human-settlement.emergency.copernicus.eu/ghs_buV2023.php</x:v>
      </x:c>
    </x:row>
    <x:row r="818" ht="23" customHeight="1">
      <x:c r="A818" s="2" t="str">
        <x:v>CHE</x:v>
      </x:c>
      <x:c r="B818" s="2" t="str">
        <x:v>Switzerland (Swiss Confederation)</x:v>
      </x:c>
      <x:c r="C818" s="2" t="str">
        <x:v>GHSL_VOLUME</x:v>
      </x:c>
      <x:c r="D818" s="2" t="n">
        <x:v>2015</x:v>
      </x:c>
      <x:c r="E818" s="2" t="n">
        <x:v>2020</x:v>
      </x:c>
      <x:c r="F818" s="17" t="n">
        <x:v>523761622.51901233</x:v>
      </x:c>
      <x:c r="G818" s="17" t="n">
        <x:v>554094959.2900008</x:v>
      </x:c>
      <x:c r="H818" s="17" t="n">
        <x:v>4266558501.9137263</x:v>
      </x:c>
      <x:c r="I818" s="17" t="n">
        <x:v>4435282669.780392</x:v>
      </x:c>
      <x:c r="J818" s="2" t="str">
        <x:v>m3</x:v>
      </x:c>
      <x:c r="K818" s="15" t="n">
        <x:f>IF(AND(ISNUMBER(F818),ISNUMBER(G818),F818&gt;0),G818/F818-1,"n.a.")</x:f>
        <x:v>0.05791439362262052</x:v>
      </x:c>
      <x:c r="L818" s="15" t="n">
        <x:f>IF(AND(N818,ISNUMBER(H818),ISNUMBER(I818),H818&gt;0),I818/H818-1,"n.a.")</x:f>
        <x:v>0.03954572937204204</x:v>
      </x:c>
      <x:c r="M818" s="20" t="n">
        <x:f>IF(AND(ISNUMBER(K818),ISNUMBER(L818)),100*(K818-L818),"n.a.")</x:f>
        <x:v>1.8368664250578481</x:v>
      </x:c>
      <x:c r="N818" s="13" t="b">
        <x:v>1</x:v>
      </x:c>
      <x:c r="O818" s="13" t="b">
        <x:v>1</x:v>
      </x:c>
      <x:c r="P818" s="13" t="b">
        <x:v>0</x:v>
      </x:c>
      <x:c r="Q818" s="2" t="str">
        <x:v>qualified_paired_native_source_frame</x:v>
      </x:c>
      <x:c r="R818" s="2" t="str">
        <x:v>qualified_paired_native_source_frame</x:v>
      </x:c>
      <x:c r="S818" s="2" t="str">
        <x:v>modeled_epoch_volume_with_fixed2018_height_and_predominant_use</x:v>
      </x:c>
      <x:c r="T818" s="2" t="str">
        <x:v>modeled_epoch_volume_with_fixed2018_height_and_predominant_use</x:v>
      </x:c>
      <x:c r="U818" s="2" t="str">
        <x:v>GFA growth versus source physical quantity growth; constant conversion required for equality</x:v>
      </x:c>
      <x:c r="V818" s="2" t="str">
        <x:v>Model sector composition uses this source family; fixed2018-height modeled epochs</x:v>
      </x:c>
      <x:c r="W818" s="2" t="str">
        <x:v>https://human-settlement.emergency.copernicus.eu/ghs_buV2023.php</x:v>
      </x:c>
    </x:row>
    <x:row r="819" ht="23" customHeight="1">
      <x:c r="A819" s="2" t="str">
        <x:v>CHL</x:v>
      </x:c>
      <x:c r="B819" s="2" t="str">
        <x:v>Chile (Republic of)</x:v>
      </x:c>
      <x:c r="C819" s="2" t="str">
        <x:v>GHSL_VOLUME</x:v>
      </x:c>
      <x:c r="D819" s="2" t="n">
        <x:v>2015</x:v>
      </x:c>
      <x:c r="E819" s="2" t="n">
        <x:v>2020</x:v>
      </x:c>
      <x:c r="F819" s="17" t="n">
        <x:v>948297662.3062444</x:v>
      </x:c>
      <x:c r="G819" s="17" t="n">
        <x:v>986436316.0700014</x:v>
      </x:c>
      <x:c r="H819" s="17" t="n">
        <x:v>6660602808.760785</x:v>
      </x:c>
      <x:c r="I819" s="17" t="n">
        <x:v>6854307501.894117</x:v>
      </x:c>
      <x:c r="J819" s="2" t="str">
        <x:v>m3</x:v>
      </x:c>
      <x:c r="K819" s="15" t="n">
        <x:f>IF(AND(ISNUMBER(F819),ISNUMBER(G819),F819&gt;0),G819/F819-1,"n.a.")</x:f>
        <x:v>0.04021801938328573</x:v>
      </x:c>
      <x:c r="L819" s="15" t="n">
        <x:f>IF(AND(N819,ISNUMBER(H819),ISNUMBER(I819),H819&gt;0),I819/H819-1,"n.a.")</x:f>
        <x:v>0.02908215647967327</x:v>
      </x:c>
      <x:c r="M819" s="20" t="n">
        <x:f>IF(AND(ISNUMBER(K819),ISNUMBER(L819)),100*(K819-L819),"n.a.")</x:f>
        <x:v>1.113586290361246</x:v>
      </x:c>
      <x:c r="N819" s="13" t="b">
        <x:v>1</x:v>
      </x:c>
      <x:c r="O819" s="13" t="b">
        <x:v>1</x:v>
      </x:c>
      <x:c r="P819" s="13" t="b">
        <x:v>0</x:v>
      </x:c>
      <x:c r="Q819" s="2" t="str">
        <x:v>qualified_paired_native_source_frame</x:v>
      </x:c>
      <x:c r="R819" s="2" t="str">
        <x:v>qualified_paired_native_source_frame</x:v>
      </x:c>
      <x:c r="S819" s="2" t="str">
        <x:v>modeled_epoch_volume_with_fixed2018_height_and_predominant_use</x:v>
      </x:c>
      <x:c r="T819" s="2" t="str">
        <x:v>modeled_epoch_volume_with_fixed2018_height_and_predominant_use</x:v>
      </x:c>
      <x:c r="U819" s="2" t="str">
        <x:v>GFA growth versus source physical quantity growth; constant conversion required for equality</x:v>
      </x:c>
      <x:c r="V819" s="2" t="str">
        <x:v>Model sector composition uses this source family; fixed2018-height modeled epochs</x:v>
      </x:c>
      <x:c r="W819" s="2" t="str">
        <x:v>https://human-settlement.emergency.copernicus.eu/ghs_buV2023.php</x:v>
      </x:c>
    </x:row>
    <x:row r="820" ht="23" customHeight="1">
      <x:c r="A820" s="2" t="str">
        <x:v>CHN</x:v>
      </x:c>
      <x:c r="B820" s="2" t="str">
        <x:v>China (People's Republic of)</x:v>
      </x:c>
      <x:c r="C820" s="2" t="str">
        <x:v>GHSL_VOLUME</x:v>
      </x:c>
      <x:c r="D820" s="2" t="n">
        <x:v>2015</x:v>
      </x:c>
      <x:c r="E820" s="2" t="n">
        <x:v>2020</x:v>
      </x:c>
      <x:c r="F820" s="17" t="n">
        <x:v>76119805856.33177</x:v>
      </x:c>
      <x:c r="G820" s="17" t="n">
        <x:v>86144650012.34993</x:v>
      </x:c>
      <x:c r="H820" s="17" t="n">
        <x:v>482256534909.45886</x:v>
      </x:c>
      <x:c r="I820" s="17" t="n">
        <x:v>521226017294.9059</x:v>
      </x:c>
      <x:c r="J820" s="2" t="str">
        <x:v>m3</x:v>
      </x:c>
      <x:c r="K820" s="15" t="n">
        <x:f>IF(AND(ISNUMBER(F820),ISNUMBER(G820),F820&gt;0),G820/F820-1,"n.a.")</x:f>
        <x:v>0.13169823600100883</x:v>
      </x:c>
      <x:c r="L820" s="15" t="n">
        <x:f>IF(AND(N820,ISNUMBER(H820),ISNUMBER(I820),H820&gt;0),I820/H820-1,"n.a.")</x:f>
        <x:v>0.08080654084399974</x:v>
      </x:c>
      <x:c r="M820" s="20" t="n">
        <x:f>IF(AND(ISNUMBER(K820),ISNUMBER(L820)),100*(K820-L820),"n.a.")</x:f>
        <x:v>5.089169515700909</x:v>
      </x:c>
      <x:c r="N820" s="13" t="b">
        <x:v>1</x:v>
      </x:c>
      <x:c r="O820" s="13" t="b">
        <x:v>1</x:v>
      </x:c>
      <x:c r="P820" s="13" t="b">
        <x:v>0</x:v>
      </x:c>
      <x:c r="Q820" s="2" t="str">
        <x:v>qualified_paired_native_source_frame</x:v>
      </x:c>
      <x:c r="R820" s="2" t="str">
        <x:v>qualified_paired_native_source_frame</x:v>
      </x:c>
      <x:c r="S820" s="2" t="str">
        <x:v>modeled_epoch_volume_with_fixed2018_height_and_predominant_use</x:v>
      </x:c>
      <x:c r="T820" s="2" t="str">
        <x:v>modeled_epoch_volume_with_fixed2018_height_and_predominant_use</x:v>
      </x:c>
      <x:c r="U820" s="2" t="str">
        <x:v>GFA growth versus source physical quantity growth; constant conversion required for equality</x:v>
      </x:c>
      <x:c r="V820" s="2" t="str">
        <x:v>Model sector composition uses this source family; fixed2018-height modeled epochs</x:v>
      </x:c>
      <x:c r="W820" s="2" t="str">
        <x:v>https://human-settlement.emergency.copernicus.eu/ghs_buV2023.php</x:v>
      </x:c>
    </x:row>
    <x:row r="821" ht="23" customHeight="1">
      <x:c r="A821" s="2" t="str">
        <x:v>CIV</x:v>
      </x:c>
      <x:c r="B821" s="2" t="str">
        <x:v>Côte d'Ivoire (Republic of)</x:v>
      </x:c>
      <x:c r="C821" s="2" t="str">
        <x:v>GHSL_VOLUME</x:v>
      </x:c>
      <x:c r="D821" s="2" t="n">
        <x:v>2015</x:v>
      </x:c>
      <x:c r="E821" s="2" t="n">
        <x:v>2020</x:v>
      </x:c>
      <x:c r="F821" s="17" t="n">
        <x:v>535082766.1071231</x:v>
      </x:c>
      <x:c r="G821" s="17" t="n">
        <x:v>602828854.8199993</x:v>
      </x:c>
      <x:c r="H821" s="17" t="n">
        <x:v>5958515522.678431</x:v>
      </x:c>
      <x:c r="I821" s="17" t="n">
        <x:v>6443917536.313725</x:v>
      </x:c>
      <x:c r="J821" s="2" t="str">
        <x:v>m3</x:v>
      </x:c>
      <x:c r="K821" s="15" t="n">
        <x:f>IF(AND(ISNUMBER(F821),ISNUMBER(G821),F821&gt;0),G821/F821-1,"n.a.")</x:f>
        <x:v>0.12660861646834198</x:v>
      </x:c>
      <x:c r="L821" s="15" t="n">
        <x:f>IF(AND(N821,ISNUMBER(H821),ISNUMBER(I821),H821&gt;0),I821/H821-1,"n.a.")</x:f>
        <x:v>0.08146358128762587</x:v>
      </x:c>
      <x:c r="M821" s="20" t="n">
        <x:f>IF(AND(ISNUMBER(K821),ISNUMBER(L821)),100*(K821-L821),"n.a.")</x:f>
        <x:v>4.514503518071611</x:v>
      </x:c>
      <x:c r="N821" s="13" t="b">
        <x:v>1</x:v>
      </x:c>
      <x:c r="O821" s="13" t="b">
        <x:v>1</x:v>
      </x:c>
      <x:c r="P821" s="13" t="b">
        <x:v>0</x:v>
      </x:c>
      <x:c r="Q821" s="2" t="str">
        <x:v>qualified_paired_native_source_frame</x:v>
      </x:c>
      <x:c r="R821" s="2" t="str">
        <x:v>qualified_paired_native_source_frame</x:v>
      </x:c>
      <x:c r="S821" s="2" t="str">
        <x:v>modeled_epoch_volume_with_fixed2018_height_and_predominant_use</x:v>
      </x:c>
      <x:c r="T821" s="2" t="str">
        <x:v>modeled_epoch_volume_with_fixed2018_height_and_predominant_use</x:v>
      </x:c>
      <x:c r="U821" s="2" t="str">
        <x:v>GFA growth versus source physical quantity growth; constant conversion required for equality</x:v>
      </x:c>
      <x:c r="V821" s="2" t="str">
        <x:v>Model sector composition uses this source family; fixed2018-height modeled epochs</x:v>
      </x:c>
      <x:c r="W821" s="2" t="str">
        <x:v>https://human-settlement.emergency.copernicus.eu/ghs_buV2023.php</x:v>
      </x:c>
    </x:row>
    <x:row r="822" ht="23" customHeight="1">
      <x:c r="A822" s="2" t="str">
        <x:v>CMR</x:v>
      </x:c>
      <x:c r="B822" s="2" t="str">
        <x:v>Cameroon (Republic of)</x:v>
      </x:c>
      <x:c r="C822" s="2" t="str">
        <x:v>GHSL_VOLUME</x:v>
      </x:c>
      <x:c r="D822" s="2" t="n">
        <x:v>2015</x:v>
      </x:c>
      <x:c r="E822" s="2" t="n">
        <x:v>2020</x:v>
      </x:c>
      <x:c r="F822" s="17" t="n">
        <x:v>500876494.0247831</x:v>
      </x:c>
      <x:c r="G822" s="17" t="n">
        <x:v>577057207.8100005</x:v>
      </x:c>
      <x:c r="H822" s="17" t="n">
        <x:v>5571210425.274509</x:v>
      </x:c>
      <x:c r="I822" s="17" t="n">
        <x:v>6071964103.368628</x:v>
      </x:c>
      <x:c r="J822" s="2" t="str">
        <x:v>m3</x:v>
      </x:c>
      <x:c r="K822" s="15" t="n">
        <x:f>IF(AND(ISNUMBER(F822),ISNUMBER(G822),F822&gt;0),G822/F822-1,"n.a.")</x:f>
        <x:v>0.15209480719102797</x:v>
      </x:c>
      <x:c r="L822" s="15" t="n">
        <x:f>IF(AND(N822,ISNUMBER(H822),ISNUMBER(I822),H822&gt;0),I822/H822-1,"n.a.")</x:f>
        <x:v>0.08988238459319087</x:v>
      </x:c>
      <x:c r="M822" s="20" t="n">
        <x:f>IF(AND(ISNUMBER(K822),ISNUMBER(L822)),100*(K822-L822),"n.a.")</x:f>
        <x:v>6.22124225978371</x:v>
      </x:c>
      <x:c r="N822" s="13" t="b">
        <x:v>1</x:v>
      </x:c>
      <x:c r="O822" s="13" t="b">
        <x:v>1</x:v>
      </x:c>
      <x:c r="P822" s="13" t="b">
        <x:v>0</x:v>
      </x:c>
      <x:c r="Q822" s="2" t="str">
        <x:v>qualified_paired_native_source_frame</x:v>
      </x:c>
      <x:c r="R822" s="2" t="str">
        <x:v>qualified_paired_native_source_frame</x:v>
      </x:c>
      <x:c r="S822" s="2" t="str">
        <x:v>modeled_epoch_volume_with_fixed2018_height_and_predominant_use</x:v>
      </x:c>
      <x:c r="T822" s="2" t="str">
        <x:v>modeled_epoch_volume_with_fixed2018_height_and_predominant_use</x:v>
      </x:c>
      <x:c r="U822" s="2" t="str">
        <x:v>GFA growth versus source physical quantity growth; constant conversion required for equality</x:v>
      </x:c>
      <x:c r="V822" s="2" t="str">
        <x:v>Model sector composition uses this source family; fixed2018-height modeled epochs</x:v>
      </x:c>
      <x:c r="W822" s="2" t="str">
        <x:v>https://human-settlement.emergency.copernicus.eu/ghs_buV2023.php</x:v>
      </x:c>
    </x:row>
    <x:row r="823" ht="23" customHeight="1">
      <x:c r="A823" s="2" t="str">
        <x:v>COD</x:v>
      </x:c>
      <x:c r="B823" s="2" t="str">
        <x:v>Congo (Democratic Republic of the)</x:v>
      </x:c>
      <x:c r="C823" s="2" t="str">
        <x:v>GHSL_VOLUME</x:v>
      </x:c>
      <x:c r="D823" s="2" t="n">
        <x:v>2015</x:v>
      </x:c>
      <x:c r="E823" s="2" t="n">
        <x:v>2020</x:v>
      </x:c>
      <x:c r="F823" s="17" t="n">
        <x:v>771777552.5431249</x:v>
      </x:c>
      <x:c r="G823" s="17" t="n">
        <x:v>941825698.8399988</x:v>
      </x:c>
      <x:c r="H823" s="17" t="n">
        <x:v>10893602243.298038</x:v>
      </x:c>
      <x:c r="I823" s="17" t="n">
        <x:v>12601329216.572548</x:v>
      </x:c>
      <x:c r="J823" s="2" t="str">
        <x:v>m3</x:v>
      </x:c>
      <x:c r="K823" s="15" t="n">
        <x:f>IF(AND(ISNUMBER(F823),ISNUMBER(G823),F823&gt;0),G823/F823-1,"n.a.")</x:f>
        <x:v>0.22033310730085276</x:v>
      </x:c>
      <x:c r="L823" s="15" t="n">
        <x:f>IF(AND(N823,ISNUMBER(H823),ISNUMBER(I823),H823&gt;0),I823/H823-1,"n.a.")</x:f>
        <x:v>0.15676421216178849</x:v>
      </x:c>
      <x:c r="M823" s="20" t="n">
        <x:f>IF(AND(ISNUMBER(K823),ISNUMBER(L823)),100*(K823-L823),"n.a.")</x:f>
        <x:v>6.356889513906427</x:v>
      </x:c>
      <x:c r="N823" s="13" t="b">
        <x:v>1</x:v>
      </x:c>
      <x:c r="O823" s="13" t="b">
        <x:v>1</x:v>
      </x:c>
      <x:c r="P823" s="13" t="b">
        <x:v>0</x:v>
      </x:c>
      <x:c r="Q823" s="2" t="str">
        <x:v>qualified_paired_native_source_frame</x:v>
      </x:c>
      <x:c r="R823" s="2" t="str">
        <x:v>qualified_paired_native_source_frame</x:v>
      </x:c>
      <x:c r="S823" s="2" t="str">
        <x:v>modeled_epoch_volume_with_fixed2018_height_and_predominant_use</x:v>
      </x:c>
      <x:c r="T823" s="2" t="str">
        <x:v>modeled_epoch_volume_with_fixed2018_height_and_predominant_use</x:v>
      </x:c>
      <x:c r="U823" s="2" t="str">
        <x:v>GFA growth versus source physical quantity growth; constant conversion required for equality</x:v>
      </x:c>
      <x:c r="V823" s="2" t="str">
        <x:v>Model sector composition uses this source family; fixed2018-height modeled epochs</x:v>
      </x:c>
      <x:c r="W823" s="2" t="str">
        <x:v>https://human-settlement.emergency.copernicus.eu/ghs_buV2023.php</x:v>
      </x:c>
    </x:row>
    <x:row r="824" ht="23" customHeight="1">
      <x:c r="A824" s="2" t="str">
        <x:v>COG</x:v>
      </x:c>
      <x:c r="B824" s="2" t="str">
        <x:v>Congo (Republic of the)</x:v>
      </x:c>
      <x:c r="C824" s="2" t="str">
        <x:v>GHSL_VOLUME</x:v>
      </x:c>
      <x:c r="D824" s="2" t="n">
        <x:v>2015</x:v>
      </x:c>
      <x:c r="E824" s="2" t="n">
        <x:v>2020</x:v>
      </x:c>
      <x:c r="F824" s="17" t="n">
        <x:v>91893894.47278675</x:v>
      </x:c>
      <x:c r="G824" s="17" t="n">
        <x:v>110620071.65000013</x:v>
      </x:c>
      <x:c r="H824" s="17" t="n">
        <x:v>1191339017.6156864</x:v>
      </x:c>
      <x:c r="I824" s="17" t="n">
        <x:v>1356832453.8352942</x:v>
      </x:c>
      <x:c r="J824" s="2" t="str">
        <x:v>m3</x:v>
      </x:c>
      <x:c r="K824" s="15" t="n">
        <x:f>IF(AND(ISNUMBER(F824),ISNUMBER(G824),F824&gt;0),G824/F824-1,"n.a.")</x:f>
        <x:v>0.20378042833693266</x:v>
      </x:c>
      <x:c r="L824" s="15" t="n">
        <x:f>IF(AND(N824,ISNUMBER(H824),ISNUMBER(I824),H824&gt;0),I824/H824-1,"n.a.")</x:f>
        <x:v>0.13891380519948204</x:v>
      </x:c>
      <x:c r="M824" s="20" t="n">
        <x:f>IF(AND(ISNUMBER(K824),ISNUMBER(L824)),100*(K824-L824),"n.a.")</x:f>
        <x:v>6.486662313745062</x:v>
      </x:c>
      <x:c r="N824" s="13" t="b">
        <x:v>1</x:v>
      </x:c>
      <x:c r="O824" s="13" t="b">
        <x:v>1</x:v>
      </x:c>
      <x:c r="P824" s="13" t="b">
        <x:v>0</x:v>
      </x:c>
      <x:c r="Q824" s="2" t="str">
        <x:v>qualified_paired_native_source_frame</x:v>
      </x:c>
      <x:c r="R824" s="2" t="str">
        <x:v>qualified_paired_native_source_frame</x:v>
      </x:c>
      <x:c r="S824" s="2" t="str">
        <x:v>modeled_epoch_volume_with_fixed2018_height_and_predominant_use</x:v>
      </x:c>
      <x:c r="T824" s="2" t="str">
        <x:v>modeled_epoch_volume_with_fixed2018_height_and_predominant_use</x:v>
      </x:c>
      <x:c r="U824" s="2" t="str">
        <x:v>GFA growth versus source physical quantity growth; constant conversion required for equality</x:v>
      </x:c>
      <x:c r="V824" s="2" t="str">
        <x:v>Model sector composition uses this source family; fixed2018-height modeled epochs</x:v>
      </x:c>
      <x:c r="W824" s="2" t="str">
        <x:v>https://human-settlement.emergency.copernicus.eu/ghs_buV2023.php</x:v>
      </x:c>
    </x:row>
    <x:row r="825" ht="23" customHeight="1">
      <x:c r="A825" s="2" t="str">
        <x:v>COL</x:v>
      </x:c>
      <x:c r="B825" s="2" t="str">
        <x:v>Colombia (Republic of)</x:v>
      </x:c>
      <x:c r="C825" s="2" t="str">
        <x:v>GHSL_VOLUME</x:v>
      </x:c>
      <x:c r="D825" s="2" t="n">
        <x:v>2015</x:v>
      </x:c>
      <x:c r="E825" s="2" t="n">
        <x:v>2020</x:v>
      </x:c>
      <x:c r="F825" s="17" t="n">
        <x:v>1430230197.3322928</x:v>
      </x:c>
      <x:c r="G825" s="17" t="n">
        <x:v>1505534156.3100014</x:v>
      </x:c>
      <x:c r="H825" s="17" t="n">
        <x:v>9535088068.635294</x:v>
      </x:c>
      <x:c r="I825" s="17" t="n">
        <x:v>9929835615.784313</x:v>
      </x:c>
      <x:c r="J825" s="2" t="str">
        <x:v>m3</x:v>
      </x:c>
      <x:c r="K825" s="15" t="n">
        <x:f>IF(AND(ISNUMBER(F825),ISNUMBER(G825),F825&gt;0),G825/F825-1,"n.a.")</x:f>
        <x:v>0.05265163546271623</x:v>
      </x:c>
      <x:c r="L825" s="15" t="n">
        <x:f>IF(AND(N825,ISNUMBER(H825),ISNUMBER(I825),H825&gt;0),I825/H825-1,"n.a.")</x:f>
        <x:v>0.04139946524956617</x:v>
      </x:c>
      <x:c r="M825" s="20" t="n">
        <x:f>IF(AND(ISNUMBER(K825),ISNUMBER(L825)),100*(K825-L825),"n.a.")</x:f>
        <x:v>1.125217021315006</x:v>
      </x:c>
      <x:c r="N825" s="13" t="b">
        <x:v>1</x:v>
      </x:c>
      <x:c r="O825" s="13" t="b">
        <x:v>1</x:v>
      </x:c>
      <x:c r="P825" s="13" t="b">
        <x:v>0</x:v>
      </x:c>
      <x:c r="Q825" s="2" t="str">
        <x:v>qualified_paired_native_source_frame</x:v>
      </x:c>
      <x:c r="R825" s="2" t="str">
        <x:v>qualified_paired_native_source_frame</x:v>
      </x:c>
      <x:c r="S825" s="2" t="str">
        <x:v>modeled_epoch_volume_with_fixed2018_height_and_predominant_use</x:v>
      </x:c>
      <x:c r="T825" s="2" t="str">
        <x:v>modeled_epoch_volume_with_fixed2018_height_and_predominant_use</x:v>
      </x:c>
      <x:c r="U825" s="2" t="str">
        <x:v>GFA growth versus source physical quantity growth; constant conversion required for equality</x:v>
      </x:c>
      <x:c r="V825" s="2" t="str">
        <x:v>Model sector composition uses this source family; fixed2018-height modeled epochs</x:v>
      </x:c>
      <x:c r="W825" s="2" t="str">
        <x:v>https://human-settlement.emergency.copernicus.eu/ghs_buV2023.php</x:v>
      </x:c>
    </x:row>
    <x:row r="826" ht="23" customHeight="1">
      <x:c r="A826" s="2" t="str">
        <x:v>COM</x:v>
      </x:c>
      <x:c r="B826" s="2" t="str">
        <x:v>Comoros (Union of the)</x:v>
      </x:c>
      <x:c r="C826" s="2" t="str">
        <x:v>GHSL_VOLUME</x:v>
      </x:c>
      <x:c r="D826" s="2" t="n">
        <x:v>2015</x:v>
      </x:c>
      <x:c r="E826" s="2" t="n">
        <x:v>2020</x:v>
      </x:c>
      <x:c r="F826" s="17" t="n">
        <x:v>17623145.13508351</x:v>
      </x:c>
      <x:c r="G826" s="17" t="n">
        <x:v>18035090.40999997</x:v>
      </x:c>
      <x:c r="H826" s="17" t="n">
        <x:v>133786240.56862745</x:v>
      </x:c>
      <x:c r="I826" s="17" t="n">
        <x:v>135192764.73725492</x:v>
      </x:c>
      <x:c r="J826" s="2" t="str">
        <x:v>m3</x:v>
      </x:c>
      <x:c r="K826" s="15" t="n">
        <x:f>IF(AND(ISNUMBER(F826),ISNUMBER(G826),F826&gt;0),G826/F826-1,"n.a.")</x:f>
        <x:v>0.0233752415791193</x:v>
      </x:c>
      <x:c r="L826" s="15" t="n">
        <x:f>IF(AND(N826,ISNUMBER(H826),ISNUMBER(I826),H826&gt;0),I826/H826-1,"n.a.")</x:f>
        <x:v>0.010513219914464855</x:v>
      </x:c>
      <x:c r="M826" s="20" t="n">
        <x:f>IF(AND(ISNUMBER(K826),ISNUMBER(L826)),100*(K826-L826),"n.a.")</x:f>
        <x:v>1.2862021664654444</x:v>
      </x:c>
      <x:c r="N826" s="13" t="b">
        <x:v>1</x:v>
      </x:c>
      <x:c r="O826" s="13" t="b">
        <x:v>1</x:v>
      </x:c>
      <x:c r="P826" s="13" t="b">
        <x:v>0</x:v>
      </x:c>
      <x:c r="Q826" s="2" t="str">
        <x:v>qualified_paired_native_source_frame</x:v>
      </x:c>
      <x:c r="R826" s="2" t="str">
        <x:v>qualified_paired_native_source_frame</x:v>
      </x:c>
      <x:c r="S826" s="2" t="str">
        <x:v>modeled_epoch_volume_with_fixed2018_height_and_predominant_use</x:v>
      </x:c>
      <x:c r="T826" s="2" t="str">
        <x:v>modeled_epoch_volume_with_fixed2018_height_and_predominant_use</x:v>
      </x:c>
      <x:c r="U826" s="2" t="str">
        <x:v>GFA growth versus source physical quantity growth; constant conversion required for equality</x:v>
      </x:c>
      <x:c r="V826" s="2" t="str">
        <x:v>Model sector composition uses this source family; fixed2018-height modeled epochs</x:v>
      </x:c>
      <x:c r="W826" s="2" t="str">
        <x:v>https://human-settlement.emergency.copernicus.eu/ghs_buV2023.php</x:v>
      </x:c>
    </x:row>
    <x:row r="827" ht="23" customHeight="1">
      <x:c r="A827" s="2" t="str">
        <x:v>CPV</x:v>
      </x:c>
      <x:c r="B827" s="2" t="str">
        <x:v>Cabo Verde (Republic of)</x:v>
      </x:c>
      <x:c r="C827" s="2" t="str">
        <x:v>GHSL_VOLUME</x:v>
      </x:c>
      <x:c r="D827" s="2" t="n">
        <x:v>2015</x:v>
      </x:c>
      <x:c r="E827" s="2" t="n">
        <x:v>2020</x:v>
      </x:c>
      <x:c r="F827" s="17" t="n">
        <x:v>19695500.817529745</x:v>
      </x:c>
      <x:c r="G827" s="17" t="n">
        <x:v>21833832.63999998</x:v>
      </x:c>
      <x:c r="H827" s="17" t="n">
        <x:v>124996148.69803919</x:v>
      </x:c>
      <x:c r="I827" s="17" t="n">
        <x:v>130584032.545098</x:v>
      </x:c>
      <x:c r="J827" s="2" t="str">
        <x:v>m3</x:v>
      </x:c>
      <x:c r="K827" s="15" t="n">
        <x:f>IF(AND(ISNUMBER(F827),ISNUMBER(G827),F827&gt;0),G827/F827-1,"n.a.")</x:f>
        <x:v>0.10856955820930625</x:v>
      </x:c>
      <x:c r="L827" s="15" t="n">
        <x:f>IF(AND(N827,ISNUMBER(H827),ISNUMBER(I827),H827&gt;0),I827/H827-1,"n.a.")</x:f>
        <x:v>0.044704448139100794</x:v>
      </x:c>
      <x:c r="M827" s="20" t="n">
        <x:f>IF(AND(ISNUMBER(K827),ISNUMBER(L827)),100*(K827-L827),"n.a.")</x:f>
        <x:v>6.3865110070205455</x:v>
      </x:c>
      <x:c r="N827" s="13" t="b">
        <x:v>1</x:v>
      </x:c>
      <x:c r="O827" s="13" t="b">
        <x:v>1</x:v>
      </x:c>
      <x:c r="P827" s="13" t="b">
        <x:v>0</x:v>
      </x:c>
      <x:c r="Q827" s="2" t="str">
        <x:v>qualified_paired_native_source_frame</x:v>
      </x:c>
      <x:c r="R827" s="2" t="str">
        <x:v>qualified_paired_native_source_frame</x:v>
      </x:c>
      <x:c r="S827" s="2" t="str">
        <x:v>modeled_epoch_volume_with_fixed2018_height_and_predominant_use</x:v>
      </x:c>
      <x:c r="T827" s="2" t="str">
        <x:v>modeled_epoch_volume_with_fixed2018_height_and_predominant_use</x:v>
      </x:c>
      <x:c r="U827" s="2" t="str">
        <x:v>GFA growth versus source physical quantity growth; constant conversion required for equality</x:v>
      </x:c>
      <x:c r="V827" s="2" t="str">
        <x:v>Model sector composition uses this source family; fixed2018-height modeled epochs</x:v>
      </x:c>
      <x:c r="W827" s="2" t="str">
        <x:v>https://human-settlement.emergency.copernicus.eu/ghs_buV2023.php</x:v>
      </x:c>
    </x:row>
    <x:row r="828" ht="23" customHeight="1">
      <x:c r="A828" s="2" t="str">
        <x:v>CRI</x:v>
      </x:c>
      <x:c r="B828" s="2" t="str">
        <x:v>Costa Rica (Republic of)</x:v>
      </x:c>
      <x:c r="C828" s="2" t="str">
        <x:v>GHSL_VOLUME</x:v>
      </x:c>
      <x:c r="D828" s="2" t="n">
        <x:v>2015</x:v>
      </x:c>
      <x:c r="E828" s="2" t="n">
        <x:v>2020</x:v>
      </x:c>
      <x:c r="F828" s="17" t="n">
        <x:v>251814595.18811685</x:v>
      </x:c>
      <x:c r="G828" s="17" t="n">
        <x:v>284786315.38999987</x:v>
      </x:c>
      <x:c r="H828" s="17" t="n">
        <x:v>1772484124.0901964</x:v>
      </x:c>
      <x:c r="I828" s="17" t="n">
        <x:v>1895073761.6784313</x:v>
      </x:c>
      <x:c r="J828" s="2" t="str">
        <x:v>m3</x:v>
      </x:c>
      <x:c r="K828" s="15" t="n">
        <x:f>IF(AND(ISNUMBER(F828),ISNUMBER(G828),F828&gt;0),G828/F828-1,"n.a.")</x:f>
        <x:v>0.13093649388055395</x:v>
      </x:c>
      <x:c r="L828" s="15" t="n">
        <x:f>IF(AND(N828,ISNUMBER(H828),ISNUMBER(I828),H828&gt;0),I828/H828-1,"n.a.")</x:f>
        <x:v>0.06916261529347079</x:v>
      </x:c>
      <x:c r="M828" s="20" t="n">
        <x:f>IF(AND(ISNUMBER(K828),ISNUMBER(L828)),100*(K828-L828),"n.a.")</x:f>
        <x:v>6.177387858708316</x:v>
      </x:c>
      <x:c r="N828" s="13" t="b">
        <x:v>1</x:v>
      </x:c>
      <x:c r="O828" s="13" t="b">
        <x:v>1</x:v>
      </x:c>
      <x:c r="P828" s="13" t="b">
        <x:v>0</x:v>
      </x:c>
      <x:c r="Q828" s="2" t="str">
        <x:v>qualified_paired_native_source_frame</x:v>
      </x:c>
      <x:c r="R828" s="2" t="str">
        <x:v>qualified_paired_native_source_frame</x:v>
      </x:c>
      <x:c r="S828" s="2" t="str">
        <x:v>modeled_epoch_volume_with_fixed2018_height_and_predominant_use</x:v>
      </x:c>
      <x:c r="T828" s="2" t="str">
        <x:v>modeled_epoch_volume_with_fixed2018_height_and_predominant_use</x:v>
      </x:c>
      <x:c r="U828" s="2" t="str">
        <x:v>GFA growth versus source physical quantity growth; constant conversion required for equality</x:v>
      </x:c>
      <x:c r="V828" s="2" t="str">
        <x:v>Model sector composition uses this source family; fixed2018-height modeled epochs</x:v>
      </x:c>
      <x:c r="W828" s="2" t="str">
        <x:v>https://human-settlement.emergency.copernicus.eu/ghs_buV2023.php</x:v>
      </x:c>
    </x:row>
    <x:row r="829" ht="23" customHeight="1">
      <x:c r="A829" s="2" t="str">
        <x:v>CUB</x:v>
      </x:c>
      <x:c r="B829" s="2" t="str">
        <x:v>Cuba (Republic of)</x:v>
      </x:c>
      <x:c r="C829" s="2" t="str">
        <x:v>GHSL_VOLUME</x:v>
      </x:c>
      <x:c r="D829" s="2" t="n">
        <x:v>2015</x:v>
      </x:c>
      <x:c r="E829" s="2" t="n">
        <x:v>2020</x:v>
      </x:c>
      <x:c r="F829" s="17" t="n">
        <x:v>333742028.5469901</x:v>
      </x:c>
      <x:c r="G829" s="17" t="n">
        <x:v>360088927.4199998</x:v>
      </x:c>
      <x:c r="H829" s="17" t="n">
        <x:v>1951807568.3803926</x:v>
      </x:c>
      <x:c r="I829" s="17" t="n">
        <x:v>2052274926.6549013</x:v>
      </x:c>
      <x:c r="J829" s="2" t="str">
        <x:v>m3</x:v>
      </x:c>
      <x:c r="K829" s="15" t="n">
        <x:f>IF(AND(ISNUMBER(F829),ISNUMBER(G829),F829&gt;0),G829/F829-1,"n.a.")</x:f>
        <x:v>0.07894390463111867</x:v>
      </x:c>
      <x:c r="L829" s="15" t="n">
        <x:f>IF(AND(N829,ISNUMBER(H829),ISNUMBER(I829),H829&gt;0),I829/H829-1,"n.a.")</x:f>
        <x:v>0.05147400794120105</x:v>
      </x:c>
      <x:c r="M829" s="20" t="n">
        <x:f>IF(AND(ISNUMBER(K829),ISNUMBER(L829)),100*(K829-L829),"n.a.")</x:f>
        <x:v>2.7469896689917617</x:v>
      </x:c>
      <x:c r="N829" s="13" t="b">
        <x:v>1</x:v>
      </x:c>
      <x:c r="O829" s="13" t="b">
        <x:v>1</x:v>
      </x:c>
      <x:c r="P829" s="13" t="b">
        <x:v>0</x:v>
      </x:c>
      <x:c r="Q829" s="2" t="str">
        <x:v>qualified_paired_native_source_frame</x:v>
      </x:c>
      <x:c r="R829" s="2" t="str">
        <x:v>qualified_paired_native_source_frame</x:v>
      </x:c>
      <x:c r="S829" s="2" t="str">
        <x:v>modeled_epoch_volume_with_fixed2018_height_and_predominant_use</x:v>
      </x:c>
      <x:c r="T829" s="2" t="str">
        <x:v>modeled_epoch_volume_with_fixed2018_height_and_predominant_use</x:v>
      </x:c>
      <x:c r="U829" s="2" t="str">
        <x:v>GFA growth versus source physical quantity growth; constant conversion required for equality</x:v>
      </x:c>
      <x:c r="V829" s="2" t="str">
        <x:v>Model sector composition uses this source family; fixed2018-height modeled epochs</x:v>
      </x:c>
      <x:c r="W829" s="2" t="str">
        <x:v>https://human-settlement.emergency.copernicus.eu/ghs_buV2023.php</x:v>
      </x:c>
    </x:row>
    <x:row r="830" ht="23" customHeight="1">
      <x:c r="A830" s="2" t="str">
        <x:v>CYP</x:v>
      </x:c>
      <x:c r="B830" s="2" t="str">
        <x:v>Cyprus (Republic of)</x:v>
      </x:c>
      <x:c r="C830" s="2" t="str">
        <x:v>GHSL_VOLUME</x:v>
      </x:c>
      <x:c r="D830" s="2" t="n">
        <x:v>2015</x:v>
      </x:c>
      <x:c r="E830" s="2" t="n">
        <x:v>2020</x:v>
      </x:c>
      <x:c r="F830" s="17" t="n">
        <x:v>118707748.12306449</x:v>
      </x:c>
      <x:c r="G830" s="17" t="n">
        <x:v>124124771.75000016</x:v>
      </x:c>
      <x:c r="H830" s="17" t="n">
        <x:v>815098462.270588</x:v>
      </x:c>
      <x:c r="I830" s="17" t="n">
        <x:v>835513154.8901961</x:v>
      </x:c>
      <x:c r="J830" s="2" t="str">
        <x:v>m3</x:v>
      </x:c>
      <x:c r="K830" s="15" t="n">
        <x:f>IF(AND(ISNUMBER(F830),ISNUMBER(G830),F830&gt;0),G830/F830-1,"n.a.")</x:f>
        <x:v>0.045633277630031666</x:v>
      </x:c>
      <x:c r="L830" s="15" t="n">
        <x:f>IF(AND(N830,ISNUMBER(H830),ISNUMBER(I830),H830&gt;0),I830/H830-1,"n.a.")</x:f>
        <x:v>0.02504567676736813</x:v>
      </x:c>
      <x:c r="M830" s="20" t="n">
        <x:f>IF(AND(ISNUMBER(K830),ISNUMBER(L830)),100*(K830-L830),"n.a.")</x:f>
        <x:v>2.0587600862663535</x:v>
      </x:c>
      <x:c r="N830" s="13" t="b">
        <x:v>1</x:v>
      </x:c>
      <x:c r="O830" s="13" t="b">
        <x:v>1</x:v>
      </x:c>
      <x:c r="P830" s="13" t="b">
        <x:v>0</x:v>
      </x:c>
      <x:c r="Q830" s="2" t="str">
        <x:v>qualified_paired_native_source_frame</x:v>
      </x:c>
      <x:c r="R830" s="2" t="str">
        <x:v>qualified_paired_native_source_frame</x:v>
      </x:c>
      <x:c r="S830" s="2" t="str">
        <x:v>modeled_epoch_volume_with_fixed2018_height_and_predominant_use</x:v>
      </x:c>
      <x:c r="T830" s="2" t="str">
        <x:v>modeled_epoch_volume_with_fixed2018_height_and_predominant_use</x:v>
      </x:c>
      <x:c r="U830" s="2" t="str">
        <x:v>GFA growth versus source physical quantity growth; constant conversion required for equality</x:v>
      </x:c>
      <x:c r="V830" s="2" t="str">
        <x:v>Model sector composition uses this source family; fixed2018-height modeled epochs</x:v>
      </x:c>
      <x:c r="W830" s="2" t="str">
        <x:v>https://human-settlement.emergency.copernicus.eu/ghs_buV2023.php</x:v>
      </x:c>
    </x:row>
    <x:row r="831" ht="23" customHeight="1">
      <x:c r="A831" s="2" t="str">
        <x:v>CZE</x:v>
      </x:c>
      <x:c r="B831" s="2" t="str">
        <x:v>Czechia (Czech Republic)</x:v>
      </x:c>
      <x:c r="C831" s="2" t="str">
        <x:v>GHSL_VOLUME</x:v>
      </x:c>
      <x:c r="D831" s="2" t="n">
        <x:v>2015</x:v>
      </x:c>
      <x:c r="E831" s="2" t="n">
        <x:v>2020</x:v>
      </x:c>
      <x:c r="F831" s="17" t="n">
        <x:v>802655135.3985859</x:v>
      </x:c>
      <x:c r="G831" s="17" t="n">
        <x:v>853858176.0500003</x:v>
      </x:c>
      <x:c r="H831" s="17" t="n">
        <x:v>5662941033.254902</x:v>
      </x:c>
      <x:c r="I831" s="17" t="n">
        <x:v>5915070621.741177</x:v>
      </x:c>
      <x:c r="J831" s="2" t="str">
        <x:v>m3</x:v>
      </x:c>
      <x:c r="K831" s="15" t="n">
        <x:f>IF(AND(ISNUMBER(F831),ISNUMBER(G831),F831&gt;0),G831/F831-1,"n.a.")</x:f>
        <x:v>0.06379208005189896</x:v>
      </x:c>
      <x:c r="L831" s="15" t="n">
        <x:f>IF(AND(N831,ISNUMBER(H831),ISNUMBER(I831),H831&gt;0),I831/H831-1,"n.a.")</x:f>
        <x:v>0.04452272891518305</x:v>
      </x:c>
      <x:c r="M831" s="20" t="n">
        <x:f>IF(AND(ISNUMBER(K831),ISNUMBER(L831)),100*(K831-L831),"n.a.")</x:f>
        <x:v>1.9269351136715906</x:v>
      </x:c>
      <x:c r="N831" s="13" t="b">
        <x:v>1</x:v>
      </x:c>
      <x:c r="O831" s="13" t="b">
        <x:v>1</x:v>
      </x:c>
      <x:c r="P831" s="13" t="b">
        <x:v>0</x:v>
      </x:c>
      <x:c r="Q831" s="2" t="str">
        <x:v>qualified_paired_native_source_frame</x:v>
      </x:c>
      <x:c r="R831" s="2" t="str">
        <x:v>qualified_paired_native_source_frame</x:v>
      </x:c>
      <x:c r="S831" s="2" t="str">
        <x:v>modeled_epoch_volume_with_fixed2018_height_and_predominant_use</x:v>
      </x:c>
      <x:c r="T831" s="2" t="str">
        <x:v>modeled_epoch_volume_with_fixed2018_height_and_predominant_use</x:v>
      </x:c>
      <x:c r="U831" s="2" t="str">
        <x:v>GFA growth versus source physical quantity growth; constant conversion required for equality</x:v>
      </x:c>
      <x:c r="V831" s="2" t="str">
        <x:v>Model sector composition uses this source family; fixed2018-height modeled epochs</x:v>
      </x:c>
      <x:c r="W831" s="2" t="str">
        <x:v>https://human-settlement.emergency.copernicus.eu/ghs_buV2023.php</x:v>
      </x:c>
    </x:row>
    <x:row r="832" ht="23" customHeight="1">
      <x:c r="A832" s="2" t="str">
        <x:v>DEU</x:v>
      </x:c>
      <x:c r="B832" s="2" t="str">
        <x:v>Germany (Federal Republic of)</x:v>
      </x:c>
      <x:c r="C832" s="2" t="str">
        <x:v>GHSL_VOLUME</x:v>
      </x:c>
      <x:c r="D832" s="2" t="n">
        <x:v>2015</x:v>
      </x:c>
      <x:c r="E832" s="2" t="n">
        <x:v>2020</x:v>
      </x:c>
      <x:c r="F832" s="17" t="n">
        <x:v>6295283925.7990055</x:v>
      </x:c>
      <x:c r="G832" s="17" t="n">
        <x:v>6611215465.220001</x:v>
      </x:c>
      <x:c r="H832" s="17" t="n">
        <x:v>51404782243.65489</x:v>
      </x:c>
      <x:c r="I832" s="17" t="n">
        <x:v>53095142788.298035</x:v>
      </x:c>
      <x:c r="J832" s="2" t="str">
        <x:v>m3</x:v>
      </x:c>
      <x:c r="K832" s="15" t="n">
        <x:f>IF(AND(ISNUMBER(F832),ISNUMBER(G832),F832&gt;0),G832/F832-1,"n.a.")</x:f>
        <x:v>0.05018543137129394</x:v>
      </x:c>
      <x:c r="L832" s="15" t="n">
        <x:f>IF(AND(N832,ISNUMBER(H832),ISNUMBER(I832),H832&gt;0),I832/H832-1,"n.a.")</x:f>
        <x:v>0.032883332461772774</x:v>
      </x:c>
      <x:c r="M832" s="20" t="n">
        <x:f>IF(AND(ISNUMBER(K832),ISNUMBER(L832)),100*(K832-L832),"n.a.")</x:f>
        <x:v>1.7302098909521169</x:v>
      </x:c>
      <x:c r="N832" s="13" t="b">
        <x:v>1</x:v>
      </x:c>
      <x:c r="O832" s="13" t="b">
        <x:v>1</x:v>
      </x:c>
      <x:c r="P832" s="13" t="b">
        <x:v>0</x:v>
      </x:c>
      <x:c r="Q832" s="2" t="str">
        <x:v>qualified_paired_native_source_frame</x:v>
      </x:c>
      <x:c r="R832" s="2" t="str">
        <x:v>qualified_paired_native_source_frame</x:v>
      </x:c>
      <x:c r="S832" s="2" t="str">
        <x:v>modeled_epoch_volume_with_fixed2018_height_and_predominant_use</x:v>
      </x:c>
      <x:c r="T832" s="2" t="str">
        <x:v>modeled_epoch_volume_with_fixed2018_height_and_predominant_use</x:v>
      </x:c>
      <x:c r="U832" s="2" t="str">
        <x:v>GFA growth versus source physical quantity growth; constant conversion required for equality</x:v>
      </x:c>
      <x:c r="V832" s="2" t="str">
        <x:v>Model sector composition uses this source family; fixed2018-height modeled epochs</x:v>
      </x:c>
      <x:c r="W832" s="2" t="str">
        <x:v>https://human-settlement.emergency.copernicus.eu/ghs_buV2023.php</x:v>
      </x:c>
    </x:row>
    <x:row r="833" ht="23" customHeight="1">
      <x:c r="A833" s="2" t="str">
        <x:v>DJI</x:v>
      </x:c>
      <x:c r="B833" s="2" t="str">
        <x:v>Djibouti (Republic of)</x:v>
      </x:c>
      <x:c r="C833" s="2" t="str">
        <x:v>GHSL_VOLUME</x:v>
      </x:c>
      <x:c r="D833" s="2" t="n">
        <x:v>2015</x:v>
      </x:c>
      <x:c r="E833" s="2" t="n">
        <x:v>2020</x:v>
      </x:c>
      <x:c r="F833" s="17" t="n">
        <x:v>11226600.057405254</x:v>
      </x:c>
      <x:c r="G833" s="17" t="n">
        <x:v>12588327.629999984</x:v>
      </x:c>
      <x:c r="H833" s="17" t="n">
        <x:v>137821280.91372553</x:v>
      </x:c>
      <x:c r="I833" s="17" t="n">
        <x:v>143146615.06274512</x:v>
      </x:c>
      <x:c r="J833" s="2" t="str">
        <x:v>m3</x:v>
      </x:c>
      <x:c r="K833" s="15" t="n">
        <x:f>IF(AND(ISNUMBER(F833),ISNUMBER(G833),F833&gt;0),G833/F833-1,"n.a.")</x:f>
        <x:v>0.1212947433445366</x:v>
      </x:c>
      <x:c r="L833" s="15" t="n">
        <x:f>IF(AND(N833,ISNUMBER(H833),ISNUMBER(I833),H833&gt;0),I833/H833-1,"n.a.")</x:f>
        <x:v>0.038639418482499854</x:v>
      </x:c>
      <x:c r="M833" s="20" t="n">
        <x:f>IF(AND(ISNUMBER(K833),ISNUMBER(L833)),100*(K833-L833),"n.a.")</x:f>
        <x:v>8.265532486203675</x:v>
      </x:c>
      <x:c r="N833" s="13" t="b">
        <x:v>1</x:v>
      </x:c>
      <x:c r="O833" s="13" t="b">
        <x:v>1</x:v>
      </x:c>
      <x:c r="P833" s="13" t="b">
        <x:v>0</x:v>
      </x:c>
      <x:c r="Q833" s="2" t="str">
        <x:v>qualified_paired_native_source_frame</x:v>
      </x:c>
      <x:c r="R833" s="2" t="str">
        <x:v>qualified_paired_native_source_frame</x:v>
      </x:c>
      <x:c r="S833" s="2" t="str">
        <x:v>modeled_epoch_volume_with_fixed2018_height_and_predominant_use</x:v>
      </x:c>
      <x:c r="T833" s="2" t="str">
        <x:v>modeled_epoch_volume_with_fixed2018_height_and_predominant_use</x:v>
      </x:c>
      <x:c r="U833" s="2" t="str">
        <x:v>GFA growth versus source physical quantity growth; constant conversion required for equality</x:v>
      </x:c>
      <x:c r="V833" s="2" t="str">
        <x:v>Model sector composition uses this source family; fixed2018-height modeled epochs</x:v>
      </x:c>
      <x:c r="W833" s="2" t="str">
        <x:v>https://human-settlement.emergency.copernicus.eu/ghs_buV2023.php</x:v>
      </x:c>
    </x:row>
    <x:row r="834" ht="23" customHeight="1">
      <x:c r="A834" s="2" t="str">
        <x:v>DMA</x:v>
      </x:c>
      <x:c r="B834" s="2" t="str">
        <x:v>Dominica (Commonwealth of)</x:v>
      </x:c>
      <x:c r="C834" s="2" t="str">
        <x:v>GHSL_VOLUME</x:v>
      </x:c>
      <x:c r="D834" s="2" t="n">
        <x:v>2015</x:v>
      </x:c>
      <x:c r="E834" s="2" t="n">
        <x:v>2020</x:v>
      </x:c>
      <x:c r="F834" s="17" t="n">
        <x:v>3486495.3852494587</x:v>
      </x:c>
      <x:c r="G834" s="17" t="n">
        <x:v>3947192.6899999985</x:v>
      </x:c>
      <x:c r="H834" s="17" t="n">
        <x:v>18429198.435294114</x:v>
      </x:c>
      <x:c r="I834" s="17" t="n">
        <x:v>19920845.07058823</x:v>
      </x:c>
      <x:c r="J834" s="2" t="str">
        <x:v>m3</x:v>
      </x:c>
      <x:c r="K834" s="15" t="n">
        <x:f>IF(AND(ISNUMBER(F834),ISNUMBER(G834),F834&gt;0),G834/F834-1,"n.a.")</x:f>
        <x:v>0.13213764937124006</x:v>
      </x:c>
      <x:c r="L834" s="15" t="n">
        <x:f>IF(AND(N834,ISNUMBER(H834),ISNUMBER(I834),H834&gt;0),I834/H834-1,"n.a.")</x:f>
        <x:v>0.08093931163264467</x:v>
      </x:c>
      <x:c r="M834" s="20" t="n">
        <x:f>IF(AND(ISNUMBER(K834),ISNUMBER(L834)),100*(K834-L834),"n.a.")</x:f>
        <x:v>5.119833773859539</x:v>
      </x:c>
      <x:c r="N834" s="13" t="b">
        <x:v>1</x:v>
      </x:c>
      <x:c r="O834" s="13" t="b">
        <x:v>1</x:v>
      </x:c>
      <x:c r="P834" s="13" t="b">
        <x:v>0</x:v>
      </x:c>
      <x:c r="Q834" s="2" t="str">
        <x:v>qualified_paired_native_source_frame</x:v>
      </x:c>
      <x:c r="R834" s="2" t="str">
        <x:v>qualified_paired_native_source_frame</x:v>
      </x:c>
      <x:c r="S834" s="2" t="str">
        <x:v>modeled_epoch_volume_with_fixed2018_height_and_predominant_use</x:v>
      </x:c>
      <x:c r="T834" s="2" t="str">
        <x:v>modeled_epoch_volume_with_fixed2018_height_and_predominant_use</x:v>
      </x:c>
      <x:c r="U834" s="2" t="str">
        <x:v>GFA growth versus source physical quantity growth; constant conversion required for equality</x:v>
      </x:c>
      <x:c r="V834" s="2" t="str">
        <x:v>Model sector composition uses this source family; fixed2018-height modeled epochs</x:v>
      </x:c>
      <x:c r="W834" s="2" t="str">
        <x:v>https://human-settlement.emergency.copernicus.eu/ghs_buV2023.php</x:v>
      </x:c>
    </x:row>
    <x:row r="835" ht="23" customHeight="1">
      <x:c r="A835" s="2" t="str">
        <x:v>DNK</x:v>
      </x:c>
      <x:c r="B835" s="2" t="str">
        <x:v>Denmark (Kingdom of)</x:v>
      </x:c>
      <x:c r="C835" s="2" t="str">
        <x:v>GHSL_VOLUME</x:v>
      </x:c>
      <x:c r="D835" s="2" t="n">
        <x:v>2015</x:v>
      </x:c>
      <x:c r="E835" s="2" t="n">
        <x:v>2020</x:v>
      </x:c>
      <x:c r="F835" s="17" t="n">
        <x:v>637662032.609485</x:v>
      </x:c>
      <x:c r="G835" s="17" t="n">
        <x:v>665059716.8900009</x:v>
      </x:c>
      <x:c r="H835" s="17" t="n">
        <x:v>3640441663.8352942</x:v>
      </x:c>
      <x:c r="I835" s="17" t="n">
        <x:v>3743423894.384314</x:v>
      </x:c>
      <x:c r="J835" s="2" t="str">
        <x:v>m3</x:v>
      </x:c>
      <x:c r="K835" s="15" t="n">
        <x:f>IF(AND(ISNUMBER(F835),ISNUMBER(G835),F835&gt;0),G835/F835-1,"n.a.")</x:f>
        <x:v>0.04296583907998608</x:v>
      </x:c>
      <x:c r="L835" s="15" t="n">
        <x:f>IF(AND(N835,ISNUMBER(H835),ISNUMBER(I835),H835&gt;0),I835/H835-1,"n.a.")</x:f>
        <x:v>0.02828838917323173</x:v>
      </x:c>
      <x:c r="M835" s="20" t="n">
        <x:f>IF(AND(ISNUMBER(K835),ISNUMBER(L835)),100*(K835-L835),"n.a.")</x:f>
        <x:v>1.4677449906754347</x:v>
      </x:c>
      <x:c r="N835" s="13" t="b">
        <x:v>1</x:v>
      </x:c>
      <x:c r="O835" s="13" t="b">
        <x:v>1</x:v>
      </x:c>
      <x:c r="P835" s="13" t="b">
        <x:v>0</x:v>
      </x:c>
      <x:c r="Q835" s="2" t="str">
        <x:v>qualified_paired_native_source_frame</x:v>
      </x:c>
      <x:c r="R835" s="2" t="str">
        <x:v>qualified_paired_native_source_frame</x:v>
      </x:c>
      <x:c r="S835" s="2" t="str">
        <x:v>modeled_epoch_volume_with_fixed2018_height_and_predominant_use</x:v>
      </x:c>
      <x:c r="T835" s="2" t="str">
        <x:v>modeled_epoch_volume_with_fixed2018_height_and_predominant_use</x:v>
      </x:c>
      <x:c r="U835" s="2" t="str">
        <x:v>GFA growth versus source physical quantity growth; constant conversion required for equality</x:v>
      </x:c>
      <x:c r="V835" s="2" t="str">
        <x:v>Model sector composition uses this source family; fixed2018-height modeled epochs</x:v>
      </x:c>
      <x:c r="W835" s="2" t="str">
        <x:v>https://human-settlement.emergency.copernicus.eu/ghs_buV2023.php</x:v>
      </x:c>
    </x:row>
    <x:row r="836" ht="23" customHeight="1">
      <x:c r="A836" s="2" t="str">
        <x:v>DOM</x:v>
      </x:c>
      <x:c r="B836" s="2" t="str">
        <x:v>Dominican Republic</x:v>
      </x:c>
      <x:c r="C836" s="2" t="str">
        <x:v>GHSL_VOLUME</x:v>
      </x:c>
      <x:c r="D836" s="2" t="n">
        <x:v>2015</x:v>
      </x:c>
      <x:c r="E836" s="2" t="n">
        <x:v>2020</x:v>
      </x:c>
      <x:c r="F836" s="17" t="n">
        <x:v>247208125.3674467</x:v>
      </x:c>
      <x:c r="G836" s="17" t="n">
        <x:v>336248050.8900004</x:v>
      </x:c>
      <x:c r="H836" s="17" t="n">
        <x:v>2256736230.082353</x:v>
      </x:c>
      <x:c r="I836" s="17" t="n">
        <x:v>2672179103.945099</x:v>
      </x:c>
      <x:c r="J836" s="2" t="str">
        <x:v>m3</x:v>
      </x:c>
      <x:c r="K836" s="15" t="n">
        <x:f>IF(AND(ISNUMBER(F836),ISNUMBER(G836),F836&gt;0),G836/F836-1,"n.a.")</x:f>
        <x:v>0.3601820344303248</x:v>
      </x:c>
      <x:c r="L836" s="15" t="n">
        <x:f>IF(AND(N836,ISNUMBER(H836),ISNUMBER(I836),H836&gt;0),I836/H836-1,"n.a.")</x:f>
        <x:v>0.18409013349672043</x:v>
      </x:c>
      <x:c r="M836" s="20" t="n">
        <x:f>IF(AND(ISNUMBER(K836),ISNUMBER(L836)),100*(K836-L836),"n.a.")</x:f>
        <x:v>17.60919009336044</x:v>
      </x:c>
      <x:c r="N836" s="13" t="b">
        <x:v>1</x:v>
      </x:c>
      <x:c r="O836" s="13" t="b">
        <x:v>1</x:v>
      </x:c>
      <x:c r="P836" s="13" t="b">
        <x:v>0</x:v>
      </x:c>
      <x:c r="Q836" s="2" t="str">
        <x:v>qualified_paired_native_source_frame</x:v>
      </x:c>
      <x:c r="R836" s="2" t="str">
        <x:v>qualified_paired_native_source_frame</x:v>
      </x:c>
      <x:c r="S836" s="2" t="str">
        <x:v>modeled_epoch_volume_with_fixed2018_height_and_predominant_use</x:v>
      </x:c>
      <x:c r="T836" s="2" t="str">
        <x:v>modeled_epoch_volume_with_fixed2018_height_and_predominant_use</x:v>
      </x:c>
      <x:c r="U836" s="2" t="str">
        <x:v>GFA growth versus source physical quantity growth; constant conversion required for equality</x:v>
      </x:c>
      <x:c r="V836" s="2" t="str">
        <x:v>Model sector composition uses this source family; fixed2018-height modeled epochs</x:v>
      </x:c>
      <x:c r="W836" s="2" t="str">
        <x:v>https://human-settlement.emergency.copernicus.eu/ghs_buV2023.php</x:v>
      </x:c>
    </x:row>
    <x:row r="837" ht="23" customHeight="1">
      <x:c r="A837" s="2" t="str">
        <x:v>DZA</x:v>
      </x:c>
      <x:c r="B837" s="2" t="str">
        <x:v>Algeria (People's Democratic Republic of)</x:v>
      </x:c>
      <x:c r="C837" s="2" t="str">
        <x:v>GHSL_VOLUME</x:v>
      </x:c>
      <x:c r="D837" s="2" t="n">
        <x:v>2015</x:v>
      </x:c>
      <x:c r="E837" s="2" t="n">
        <x:v>2020</x:v>
      </x:c>
      <x:c r="F837" s="17" t="n">
        <x:v>1502138846.737166</x:v>
      </x:c>
      <x:c r="G837" s="17" t="n">
        <x:v>1607752786.8799975</x:v>
      </x:c>
      <x:c r="H837" s="17" t="n">
        <x:v>11261748745.94902</x:v>
      </x:c>
      <x:c r="I837" s="17" t="n">
        <x:v>11885445058.078432</x:v>
      </x:c>
      <x:c r="J837" s="2" t="str">
        <x:v>m3</x:v>
      </x:c>
      <x:c r="K837" s="15" t="n">
        <x:f>IF(AND(ISNUMBER(F837),ISNUMBER(G837),F837&gt;0),G837/F837-1,"n.a.")</x:f>
        <x:v>0.07030903992146809</x:v>
      </x:c>
      <x:c r="L837" s="15" t="n">
        <x:f>IF(AND(N837,ISNUMBER(H837),ISNUMBER(I837),H837&gt;0),I837/H837-1,"n.a.")</x:f>
        <x:v>0.05538183511275396</x:v>
      </x:c>
      <x:c r="M837" s="20" t="n">
        <x:f>IF(AND(ISNUMBER(K837),ISNUMBER(L837)),100*(K837-L837),"n.a.")</x:f>
        <x:v>1.4927204808714123</x:v>
      </x:c>
      <x:c r="N837" s="13" t="b">
        <x:v>1</x:v>
      </x:c>
      <x:c r="O837" s="13" t="b">
        <x:v>1</x:v>
      </x:c>
      <x:c r="P837" s="13" t="b">
        <x:v>0</x:v>
      </x:c>
      <x:c r="Q837" s="2" t="str">
        <x:v>qualified_paired_native_source_frame</x:v>
      </x:c>
      <x:c r="R837" s="2" t="str">
        <x:v>qualified_paired_native_source_frame</x:v>
      </x:c>
      <x:c r="S837" s="2" t="str">
        <x:v>modeled_epoch_volume_with_fixed2018_height_and_predominant_use</x:v>
      </x:c>
      <x:c r="T837" s="2" t="str">
        <x:v>modeled_epoch_volume_with_fixed2018_height_and_predominant_use</x:v>
      </x:c>
      <x:c r="U837" s="2" t="str">
        <x:v>GFA growth versus source physical quantity growth; constant conversion required for equality</x:v>
      </x:c>
      <x:c r="V837" s="2" t="str">
        <x:v>Model sector composition uses this source family; fixed2018-height modeled epochs</x:v>
      </x:c>
      <x:c r="W837" s="2" t="str">
        <x:v>https://human-settlement.emergency.copernicus.eu/ghs_buV2023.php</x:v>
      </x:c>
    </x:row>
    <x:row r="838" ht="23" customHeight="1">
      <x:c r="A838" s="2" t="str">
        <x:v>ECU</x:v>
      </x:c>
      <x:c r="B838" s="2" t="str">
        <x:v>Ecuador (Republic of)</x:v>
      </x:c>
      <x:c r="C838" s="2" t="str">
        <x:v>GHSL_VOLUME</x:v>
      </x:c>
      <x:c r="D838" s="2" t="n">
        <x:v>2015</x:v>
      </x:c>
      <x:c r="E838" s="2" t="n">
        <x:v>2020</x:v>
      </x:c>
      <x:c r="F838" s="17" t="n">
        <x:v>703386333.4302019</x:v>
      </x:c>
      <x:c r="G838" s="17" t="n">
        <x:v>734538215.0500003</x:v>
      </x:c>
      <x:c r="H838" s="17" t="n">
        <x:v>5860845387.419608</x:v>
      </x:c>
      <x:c r="I838" s="17" t="n">
        <x:v>6087232839.368628</x:v>
      </x:c>
      <x:c r="J838" s="2" t="str">
        <x:v>m3</x:v>
      </x:c>
      <x:c r="K838" s="15" t="n">
        <x:f>IF(AND(ISNUMBER(F838),ISNUMBER(G838),F838&gt;0),G838/F838-1,"n.a.")</x:f>
        <x:v>0.04428843743363653</x:v>
      </x:c>
      <x:c r="L838" s="15" t="n">
        <x:f>IF(AND(N838,ISNUMBER(H838),ISNUMBER(I838),H838&gt;0),I838/H838-1,"n.a.")</x:f>
        <x:v>0.03862709847882417</x:v>
      </x:c>
      <x:c r="M838" s="20" t="n">
        <x:f>IF(AND(ISNUMBER(K838),ISNUMBER(L838)),100*(K838-L838),"n.a.")</x:f>
        <x:v>0.5661338954812356</x:v>
      </x:c>
      <x:c r="N838" s="13" t="b">
        <x:v>1</x:v>
      </x:c>
      <x:c r="O838" s="13" t="b">
        <x:v>1</x:v>
      </x:c>
      <x:c r="P838" s="13" t="b">
        <x:v>0</x:v>
      </x:c>
      <x:c r="Q838" s="2" t="str">
        <x:v>qualified_paired_native_source_frame</x:v>
      </x:c>
      <x:c r="R838" s="2" t="str">
        <x:v>qualified_paired_native_source_frame</x:v>
      </x:c>
      <x:c r="S838" s="2" t="str">
        <x:v>modeled_epoch_volume_with_fixed2018_height_and_predominant_use</x:v>
      </x:c>
      <x:c r="T838" s="2" t="str">
        <x:v>modeled_epoch_volume_with_fixed2018_height_and_predominant_use</x:v>
      </x:c>
      <x:c r="U838" s="2" t="str">
        <x:v>GFA growth versus source physical quantity growth; constant conversion required for equality</x:v>
      </x:c>
      <x:c r="V838" s="2" t="str">
        <x:v>Model sector composition uses this source family; fixed2018-height modeled epochs</x:v>
      </x:c>
      <x:c r="W838" s="2" t="str">
        <x:v>https://human-settlement.emergency.copernicus.eu/ghs_buV2023.php</x:v>
      </x:c>
    </x:row>
    <x:row r="839" ht="23" customHeight="1">
      <x:c r="A839" s="2" t="str">
        <x:v>EGY</x:v>
      </x:c>
      <x:c r="B839" s="2" t="str">
        <x:v>Egypt (Arab Republic of)</x:v>
      </x:c>
      <x:c r="C839" s="2" t="str">
        <x:v>GHSL_VOLUME</x:v>
      </x:c>
      <x:c r="D839" s="2" t="n">
        <x:v>2015</x:v>
      </x:c>
      <x:c r="E839" s="2" t="n">
        <x:v>2020</x:v>
      </x:c>
      <x:c r="F839" s="17" t="n">
        <x:v>2430072384.0124</x:v>
      </x:c>
      <x:c r="G839" s="17" t="n">
        <x:v>2954306535.6</x:v>
      </x:c>
      <x:c r="H839" s="17" t="n">
        <x:v>19556454906.784313</x:v>
      </x:c>
      <x:c r="I839" s="17" t="n">
        <x:v>21790590167.894115</x:v>
      </x:c>
      <x:c r="J839" s="2" t="str">
        <x:v>m3</x:v>
      </x:c>
      <x:c r="K839" s="15" t="n">
        <x:f>IF(AND(ISNUMBER(F839),ISNUMBER(G839),F839&gt;0),G839/F839-1,"n.a.")</x:f>
        <x:v>0.21572779273431086</x:v>
      </x:c>
      <x:c r="L839" s="15" t="n">
        <x:f>IF(AND(N839,ISNUMBER(H839),ISNUMBER(I839),H839&gt;0),I839/H839-1,"n.a.")</x:f>
        <x:v>0.11424029926480994</x:v>
      </x:c>
      <x:c r="M839" s="20" t="n">
        <x:f>IF(AND(ISNUMBER(K839),ISNUMBER(L839)),100*(K839-L839),"n.a.")</x:f>
        <x:v>10.148749346950092</x:v>
      </x:c>
      <x:c r="N839" s="13" t="b">
        <x:v>1</x:v>
      </x:c>
      <x:c r="O839" s="13" t="b">
        <x:v>1</x:v>
      </x:c>
      <x:c r="P839" s="13" t="b">
        <x:v>0</x:v>
      </x:c>
      <x:c r="Q839" s="2" t="str">
        <x:v>qualified_paired_native_source_frame</x:v>
      </x:c>
      <x:c r="R839" s="2" t="str">
        <x:v>qualified_paired_native_source_frame</x:v>
      </x:c>
      <x:c r="S839" s="2" t="str">
        <x:v>modeled_epoch_volume_with_fixed2018_height_and_predominant_use</x:v>
      </x:c>
      <x:c r="T839" s="2" t="str">
        <x:v>modeled_epoch_volume_with_fixed2018_height_and_predominant_use</x:v>
      </x:c>
      <x:c r="U839" s="2" t="str">
        <x:v>GFA growth versus source physical quantity growth; constant conversion required for equality</x:v>
      </x:c>
      <x:c r="V839" s="2" t="str">
        <x:v>Model sector composition uses this source family; fixed2018-height modeled epochs</x:v>
      </x:c>
      <x:c r="W839" s="2" t="str">
        <x:v>https://human-settlement.emergency.copernicus.eu/ghs_buV2023.php</x:v>
      </x:c>
    </x:row>
    <x:row r="840" ht="23" customHeight="1">
      <x:c r="A840" s="2" t="str">
        <x:v>ERI</x:v>
      </x:c>
      <x:c r="B840" s="2" t="str">
        <x:v>Eritrea (State of)</x:v>
      </x:c>
      <x:c r="C840" s="2" t="str">
        <x:v>GHSL_VOLUME</x:v>
      </x:c>
      <x:c r="D840" s="2" t="n">
        <x:v>2015</x:v>
      </x:c>
      <x:c r="E840" s="2" t="n">
        <x:v>2020</x:v>
      </x:c>
      <x:c r="F840" s="17" t="n">
        <x:v>31760779.71501907</x:v>
      </x:c>
      <x:c r="G840" s="17" t="n">
        <x:v>45298098.329999976</x:v>
      </x:c>
      <x:c r="H840" s="17" t="n">
        <x:v>336985707.13333327</x:v>
      </x:c>
      <x:c r="I840" s="17" t="n">
        <x:v>418841113.0549018</x:v>
      </x:c>
      <x:c r="J840" s="2" t="str">
        <x:v>m3</x:v>
      </x:c>
      <x:c r="K840" s="15" t="n">
        <x:f>IF(AND(ISNUMBER(F840),ISNUMBER(G840),F840&gt;0),G840/F840-1,"n.a.")</x:f>
        <x:v>0.4262275276755678</x:v>
      </x:c>
      <x:c r="L840" s="15" t="n">
        <x:f>IF(AND(N840,ISNUMBER(H840),ISNUMBER(I840),H840&gt;0),I840/H840-1,"n.a.")</x:f>
        <x:v>0.24290468167892132</x:v>
      </x:c>
      <x:c r="M840" s="20" t="n">
        <x:f>IF(AND(ISNUMBER(K840),ISNUMBER(L840)),100*(K840-L840),"n.a.")</x:f>
        <x:v>18.33228459966465</x:v>
      </x:c>
      <x:c r="N840" s="13" t="b">
        <x:v>1</x:v>
      </x:c>
      <x:c r="O840" s="13" t="b">
        <x:v>1</x:v>
      </x:c>
      <x:c r="P840" s="13" t="b">
        <x:v>0</x:v>
      </x:c>
      <x:c r="Q840" s="2" t="str">
        <x:v>qualified_paired_native_source_frame</x:v>
      </x:c>
      <x:c r="R840" s="2" t="str">
        <x:v>qualified_paired_native_source_frame</x:v>
      </x:c>
      <x:c r="S840" s="2" t="str">
        <x:v>modeled_epoch_volume_with_fixed2018_height_and_predominant_use</x:v>
      </x:c>
      <x:c r="T840" s="2" t="str">
        <x:v>modeled_epoch_volume_with_fixed2018_height_and_predominant_use</x:v>
      </x:c>
      <x:c r="U840" s="2" t="str">
        <x:v>GFA growth versus source physical quantity growth; constant conversion required for equality</x:v>
      </x:c>
      <x:c r="V840" s="2" t="str">
        <x:v>Model sector composition uses this source family; fixed2018-height modeled epochs</x:v>
      </x:c>
      <x:c r="W840" s="2" t="str">
        <x:v>https://human-settlement.emergency.copernicus.eu/ghs_buV2023.php</x:v>
      </x:c>
    </x:row>
    <x:row r="841" ht="23" customHeight="1">
      <x:c r="A841" s="2" t="str">
        <x:v>ESP</x:v>
      </x:c>
      <x:c r="B841" s="2" t="str">
        <x:v>Spain (Kingdom of)</x:v>
      </x:c>
      <x:c r="C841" s="2" t="str">
        <x:v>GHSL_VOLUME</x:v>
      </x:c>
      <x:c r="D841" s="2" t="n">
        <x:v>2015</x:v>
      </x:c>
      <x:c r="E841" s="2" t="n">
        <x:v>2020</x:v>
      </x:c>
      <x:c r="F841" s="17" t="n">
        <x:v>3537491129.653378</x:v>
      </x:c>
      <x:c r="G841" s="17" t="n">
        <x:v>3693503432.029994</x:v>
      </x:c>
      <x:c r="H841" s="17" t="n">
        <x:v>26684670980.02745</x:v>
      </x:c>
      <x:c r="I841" s="17" t="n">
        <x:v>27401460446.48628</x:v>
      </x:c>
      <x:c r="J841" s="2" t="str">
        <x:v>m3</x:v>
      </x:c>
      <x:c r="K841" s="15" t="n">
        <x:f>IF(AND(ISNUMBER(F841),ISNUMBER(G841),F841&gt;0),G841/F841-1,"n.a.")</x:f>
        <x:v>0.04410252822087024</x:v>
      </x:c>
      <x:c r="L841" s="15" t="n">
        <x:f>IF(AND(N841,ISNUMBER(H841),ISNUMBER(I841),H841&gt;0),I841/H841-1,"n.a.")</x:f>
        <x:v>0.02686146915565568</x:v>
      </x:c>
      <x:c r="M841" s="20" t="n">
        <x:f>IF(AND(ISNUMBER(K841),ISNUMBER(L841)),100*(K841-L841),"n.a.")</x:f>
        <x:v>1.724105906521456</x:v>
      </x:c>
      <x:c r="N841" s="13" t="b">
        <x:v>1</x:v>
      </x:c>
      <x:c r="O841" s="13" t="b">
        <x:v>1</x:v>
      </x:c>
      <x:c r="P841" s="13" t="b">
        <x:v>0</x:v>
      </x:c>
      <x:c r="Q841" s="2" t="str">
        <x:v>qualified_paired_native_source_frame</x:v>
      </x:c>
      <x:c r="R841" s="2" t="str">
        <x:v>qualified_paired_native_source_frame</x:v>
      </x:c>
      <x:c r="S841" s="2" t="str">
        <x:v>modeled_epoch_volume_with_fixed2018_height_and_predominant_use</x:v>
      </x:c>
      <x:c r="T841" s="2" t="str">
        <x:v>modeled_epoch_volume_with_fixed2018_height_and_predominant_use</x:v>
      </x:c>
      <x:c r="U841" s="2" t="str">
        <x:v>GFA growth versus source physical quantity growth; constant conversion required for equality</x:v>
      </x:c>
      <x:c r="V841" s="2" t="str">
        <x:v>Model sector composition uses this source family; fixed2018-height modeled epochs</x:v>
      </x:c>
      <x:c r="W841" s="2" t="str">
        <x:v>https://human-settlement.emergency.copernicus.eu/ghs_buV2023.php</x:v>
      </x:c>
    </x:row>
    <x:row r="842" ht="23" customHeight="1">
      <x:c r="A842" s="2" t="str">
        <x:v>EST</x:v>
      </x:c>
      <x:c r="B842" s="2" t="str">
        <x:v>Estonia (Republic of)</x:v>
      </x:c>
      <x:c r="C842" s="2" t="str">
        <x:v>GHSL_VOLUME</x:v>
      </x:c>
      <x:c r="D842" s="2" t="n">
        <x:v>2015</x:v>
      </x:c>
      <x:c r="E842" s="2" t="n">
        <x:v>2020</x:v>
      </x:c>
      <x:c r="F842" s="17" t="n">
        <x:v>107839154.44477116</x:v>
      </x:c>
      <x:c r="G842" s="17" t="n">
        <x:v>113094705.3700001</x:v>
      </x:c>
      <x:c r="H842" s="17" t="n">
        <x:v>718579453.262745</x:v>
      </x:c>
      <x:c r="I842" s="17" t="n">
        <x:v>746205633.7764707</x:v>
      </x:c>
      <x:c r="J842" s="2" t="str">
        <x:v>m3</x:v>
      </x:c>
      <x:c r="K842" s="15" t="n">
        <x:f>IF(AND(ISNUMBER(F842),ISNUMBER(G842),F842&gt;0),G842/F842-1,"n.a.")</x:f>
        <x:v>0.048735090258154035</x:v>
      </x:c>
      <x:c r="L842" s="15" t="n">
        <x:f>IF(AND(N842,ISNUMBER(H842),ISNUMBER(I842),H842&gt;0),I842/H842-1,"n.a.")</x:f>
        <x:v>0.038445547515014056</x:v>
      </x:c>
      <x:c r="M842" s="20" t="n">
        <x:f>IF(AND(ISNUMBER(K842),ISNUMBER(L842)),100*(K842-L842),"n.a.")</x:f>
        <x:v>1.0289542743139979</x:v>
      </x:c>
      <x:c r="N842" s="13" t="b">
        <x:v>1</x:v>
      </x:c>
      <x:c r="O842" s="13" t="b">
        <x:v>1</x:v>
      </x:c>
      <x:c r="P842" s="13" t="b">
        <x:v>0</x:v>
      </x:c>
      <x:c r="Q842" s="2" t="str">
        <x:v>qualified_paired_native_source_frame</x:v>
      </x:c>
      <x:c r="R842" s="2" t="str">
        <x:v>qualified_paired_native_source_frame</x:v>
      </x:c>
      <x:c r="S842" s="2" t="str">
        <x:v>modeled_epoch_volume_with_fixed2018_height_and_predominant_use</x:v>
      </x:c>
      <x:c r="T842" s="2" t="str">
        <x:v>modeled_epoch_volume_with_fixed2018_height_and_predominant_use</x:v>
      </x:c>
      <x:c r="U842" s="2" t="str">
        <x:v>GFA growth versus source physical quantity growth; constant conversion required for equality</x:v>
      </x:c>
      <x:c r="V842" s="2" t="str">
        <x:v>Model sector composition uses this source family; fixed2018-height modeled epochs</x:v>
      </x:c>
      <x:c r="W842" s="2" t="str">
        <x:v>https://human-settlement.emergency.copernicus.eu/ghs_buV2023.php</x:v>
      </x:c>
    </x:row>
    <x:row r="843" ht="23" customHeight="1">
      <x:c r="A843" s="2" t="str">
        <x:v>ETH</x:v>
      </x:c>
      <x:c r="B843" s="2" t="str">
        <x:v>Ethiopia (Federal Democratic Republic of)</x:v>
      </x:c>
      <x:c r="C843" s="2" t="str">
        <x:v>GHSL_VOLUME</x:v>
      </x:c>
      <x:c r="D843" s="2" t="n">
        <x:v>2015</x:v>
      </x:c>
      <x:c r="E843" s="2" t="n">
        <x:v>2020</x:v>
      </x:c>
      <x:c r="F843" s="17" t="n">
        <x:v>975794014.8213218</x:v>
      </x:c>
      <x:c r="G843" s="17" t="n">
        <x:v>1660821510.7100024</x:v>
      </x:c>
      <x:c r="H843" s="17" t="n">
        <x:v>6461719471.482353</x:v>
      </x:c>
      <x:c r="I843" s="17" t="n">
        <x:v>9232488217.717646</x:v>
      </x:c>
      <x:c r="J843" s="2" t="str">
        <x:v>m3</x:v>
      </x:c>
      <x:c r="K843" s="15" t="n">
        <x:f>IF(AND(ISNUMBER(F843),ISNUMBER(G843),F843&gt;0),G843/F843-1,"n.a.")</x:f>
        <x:v>0.7020205960313421</x:v>
      </x:c>
      <x:c r="L843" s="15" t="n">
        <x:f>IF(AND(N843,ISNUMBER(H843),ISNUMBER(I843),H843&gt;0),I843/H843-1,"n.a.")</x:f>
        <x:v>0.42879743672927706</x:v>
      </x:c>
      <x:c r="M843" s="20" t="n">
        <x:f>IF(AND(ISNUMBER(K843),ISNUMBER(L843)),100*(K843-L843),"n.a.")</x:f>
        <x:v>27.322315930206507</x:v>
      </x:c>
      <x:c r="N843" s="13" t="b">
        <x:v>1</x:v>
      </x:c>
      <x:c r="O843" s="13" t="b">
        <x:v>1</x:v>
      </x:c>
      <x:c r="P843" s="13" t="b">
        <x:v>0</x:v>
      </x:c>
      <x:c r="Q843" s="2" t="str">
        <x:v>qualified_paired_native_source_frame</x:v>
      </x:c>
      <x:c r="R843" s="2" t="str">
        <x:v>qualified_paired_native_source_frame</x:v>
      </x:c>
      <x:c r="S843" s="2" t="str">
        <x:v>modeled_epoch_volume_with_fixed2018_height_and_predominant_use</x:v>
      </x:c>
      <x:c r="T843" s="2" t="str">
        <x:v>modeled_epoch_volume_with_fixed2018_height_and_predominant_use</x:v>
      </x:c>
      <x:c r="U843" s="2" t="str">
        <x:v>GFA growth versus source physical quantity growth; constant conversion required for equality</x:v>
      </x:c>
      <x:c r="V843" s="2" t="str">
        <x:v>Model sector composition uses this source family; fixed2018-height modeled epochs</x:v>
      </x:c>
      <x:c r="W843" s="2" t="str">
        <x:v>https://human-settlement.emergency.copernicus.eu/ghs_buV2023.php</x:v>
      </x:c>
    </x:row>
    <x:row r="844" ht="23" customHeight="1">
      <x:c r="A844" s="2" t="str">
        <x:v>FIN</x:v>
      </x:c>
      <x:c r="B844" s="2" t="str">
        <x:v>Finland (Republic of)</x:v>
      </x:c>
      <x:c r="C844" s="2" t="str">
        <x:v>GHSL_VOLUME</x:v>
      </x:c>
      <x:c r="D844" s="2" t="n">
        <x:v>2015</x:v>
      </x:c>
      <x:c r="E844" s="2" t="n">
        <x:v>2020</x:v>
      </x:c>
      <x:c r="F844" s="17" t="n">
        <x:v>584197324.5432632</x:v>
      </x:c>
      <x:c r="G844" s="17" t="n">
        <x:v>615866742.3399993</x:v>
      </x:c>
      <x:c r="H844" s="17" t="n">
        <x:v>2056362000.9137256</x:v>
      </x:c>
      <x:c r="I844" s="17" t="n">
        <x:v>2142727942.5921571</x:v>
      </x:c>
      <x:c r="J844" s="2" t="str">
        <x:v>m3</x:v>
      </x:c>
      <x:c r="K844" s="15" t="n">
        <x:f>IF(AND(ISNUMBER(F844),ISNUMBER(G844),F844&gt;0),G844/F844-1,"n.a.")</x:f>
        <x:v>0.054210138366340255</x:v>
      </x:c>
      <x:c r="L844" s="15" t="n">
        <x:f>IF(AND(N844,ISNUMBER(H844),ISNUMBER(I844),H844&gt;0),I844/H844-1,"n.a.")</x:f>
        <x:v>0.04199938611978604</x:v>
      </x:c>
      <x:c r="M844" s="20" t="n">
        <x:f>IF(AND(ISNUMBER(K844),ISNUMBER(L844)),100*(K844-L844),"n.a.")</x:f>
        <x:v>1.2210752246554213</x:v>
      </x:c>
      <x:c r="N844" s="13" t="b">
        <x:v>1</x:v>
      </x:c>
      <x:c r="O844" s="13" t="b">
        <x:v>1</x:v>
      </x:c>
      <x:c r="P844" s="13" t="b">
        <x:v>0</x:v>
      </x:c>
      <x:c r="Q844" s="2" t="str">
        <x:v>qualified_paired_native_source_frame</x:v>
      </x:c>
      <x:c r="R844" s="2" t="str">
        <x:v>qualified_paired_native_source_frame</x:v>
      </x:c>
      <x:c r="S844" s="2" t="str">
        <x:v>modeled_epoch_volume_with_fixed2018_height_and_predominant_use</x:v>
      </x:c>
      <x:c r="T844" s="2" t="str">
        <x:v>modeled_epoch_volume_with_fixed2018_height_and_predominant_use</x:v>
      </x:c>
      <x:c r="U844" s="2" t="str">
        <x:v>GFA growth versus source physical quantity growth; constant conversion required for equality</x:v>
      </x:c>
      <x:c r="V844" s="2" t="str">
        <x:v>Model sector composition uses this source family; fixed2018-height modeled epochs</x:v>
      </x:c>
      <x:c r="W844" s="2" t="str">
        <x:v>https://human-settlement.emergency.copernicus.eu/ghs_buV2023.php</x:v>
      </x:c>
    </x:row>
    <x:row r="845" ht="23" customHeight="1">
      <x:c r="A845" s="2" t="str">
        <x:v>FJI</x:v>
      </x:c>
      <x:c r="B845" s="2" t="str">
        <x:v>Fiji (Republic of)</x:v>
      </x:c>
      <x:c r="C845" s="2" t="str">
        <x:v>GHSL_VOLUME</x:v>
      </x:c>
      <x:c r="D845" s="2" t="n">
        <x:v>2015</x:v>
      </x:c>
      <x:c r="E845" s="2" t="n">
        <x:v>2020</x:v>
      </x:c>
      <x:c r="F845" s="17" t="n">
        <x:v>33411339.28812197</x:v>
      </x:c>
      <x:c r="G845" s="17" t="n">
        <x:v>37460168.12</x:v>
      </x:c>
      <x:c r="H845" s="17" t="n">
        <x:v>451600319.1490195</x:v>
      </x:c>
      <x:c r="I845" s="17" t="n">
        <x:v>482364465.59607846</x:v>
      </x:c>
      <x:c r="J845" s="2" t="str">
        <x:v>m3</x:v>
      </x:c>
      <x:c r="K845" s="15" t="n">
        <x:f>IF(AND(ISNUMBER(F845),ISNUMBER(G845),F845&gt;0),G845/F845-1,"n.a.")</x:f>
        <x:v>0.1211812791149447</x:v>
      </x:c>
      <x:c r="L845" s="15" t="n">
        <x:f>IF(AND(N845,ISNUMBER(H845),ISNUMBER(I845),H845&gt;0),I845/H845-1,"n.a.")</x:f>
        <x:v>0.06812250820599486</x:v>
      </x:c>
      <x:c r="M845" s="20" t="n">
        <x:f>IF(AND(ISNUMBER(K845),ISNUMBER(L845)),100*(K845-L845),"n.a.")</x:f>
        <x:v>5.305877090894984</x:v>
      </x:c>
      <x:c r="N845" s="13" t="b">
        <x:v>1</x:v>
      </x:c>
      <x:c r="O845" s="13" t="b">
        <x:v>1</x:v>
      </x:c>
      <x:c r="P845" s="13" t="b">
        <x:v>0</x:v>
      </x:c>
      <x:c r="Q845" s="2" t="str">
        <x:v>qualified_paired_native_source_frame</x:v>
      </x:c>
      <x:c r="R845" s="2" t="str">
        <x:v>qualified_paired_native_source_frame</x:v>
      </x:c>
      <x:c r="S845" s="2" t="str">
        <x:v>modeled_epoch_volume_with_fixed2018_height_and_predominant_use</x:v>
      </x:c>
      <x:c r="T845" s="2" t="str">
        <x:v>modeled_epoch_volume_with_fixed2018_height_and_predominant_use</x:v>
      </x:c>
      <x:c r="U845" s="2" t="str">
        <x:v>GFA growth versus source physical quantity growth; constant conversion required for equality</x:v>
      </x:c>
      <x:c r="V845" s="2" t="str">
        <x:v>Model sector composition uses this source family; fixed2018-height modeled epochs</x:v>
      </x:c>
      <x:c r="W845" s="2" t="str">
        <x:v>https://human-settlement.emergency.copernicus.eu/ghs_buV2023.php</x:v>
      </x:c>
    </x:row>
    <x:row r="846" ht="23" customHeight="1">
      <x:c r="A846" s="2" t="str">
        <x:v>FRA</x:v>
      </x:c>
      <x:c r="B846" s="2" t="str">
        <x:v>France (French Republic)</x:v>
      </x:c>
      <x:c r="C846" s="2" t="str">
        <x:v>GHSL_VOLUME</x:v>
      </x:c>
      <x:c r="D846" s="2" t="n">
        <x:v>2015</x:v>
      </x:c>
      <x:c r="E846" s="2" t="n">
        <x:v>2020</x:v>
      </x:c>
      <x:c r="F846" s="17" t="n">
        <x:v>5782378618.188952</x:v>
      </x:c>
      <x:c r="G846" s="17" t="n">
        <x:v>6074526882.680001</x:v>
      </x:c>
      <x:c r="H846" s="17" t="n">
        <x:v>48579869764.00392</x:v>
      </x:c>
      <x:c r="I846" s="17" t="n">
        <x:v>50237820416.36079</x:v>
      </x:c>
      <x:c r="J846" s="2" t="str">
        <x:v>m3</x:v>
      </x:c>
      <x:c r="K846" s="15" t="n">
        <x:f>IF(AND(ISNUMBER(F846),ISNUMBER(G846),F846&gt;0),G846/F846-1,"n.a.")</x:f>
        <x:v>0.05052389056158857</x:v>
      </x:c>
      <x:c r="L846" s="15" t="n">
        <x:f>IF(AND(N846,ISNUMBER(H846),ISNUMBER(I846),H846&gt;0),I846/H846-1,"n.a.")</x:f>
        <x:v>0.0341283469966267</x:v>
      </x:c>
      <x:c r="M846" s="20" t="n">
        <x:f>IF(AND(ISNUMBER(K846),ISNUMBER(L846)),100*(K846-L846),"n.a.")</x:f>
        <x:v>1.6395543564961867</x:v>
      </x:c>
      <x:c r="N846" s="13" t="b">
        <x:v>1</x:v>
      </x:c>
      <x:c r="O846" s="13" t="b">
        <x:v>1</x:v>
      </x:c>
      <x:c r="P846" s="13" t="b">
        <x:v>0</x:v>
      </x:c>
      <x:c r="Q846" s="2" t="str">
        <x:v>qualified_paired_native_source_frame</x:v>
      </x:c>
      <x:c r="R846" s="2" t="str">
        <x:v>qualified_paired_native_source_frame</x:v>
      </x:c>
      <x:c r="S846" s="2" t="str">
        <x:v>modeled_epoch_volume_with_fixed2018_height_and_predominant_use</x:v>
      </x:c>
      <x:c r="T846" s="2" t="str">
        <x:v>modeled_epoch_volume_with_fixed2018_height_and_predominant_use</x:v>
      </x:c>
      <x:c r="U846" s="2" t="str">
        <x:v>GFA growth versus source physical quantity growth; constant conversion required for equality</x:v>
      </x:c>
      <x:c r="V846" s="2" t="str">
        <x:v>Model sector composition uses this source family; fixed2018-height modeled epochs</x:v>
      </x:c>
      <x:c r="W846" s="2" t="str">
        <x:v>https://human-settlement.emergency.copernicus.eu/ghs_buV2023.php</x:v>
      </x:c>
    </x:row>
    <x:row r="847" ht="23" customHeight="1">
      <x:c r="A847" s="2" t="str">
        <x:v>FSM</x:v>
      </x:c>
      <x:c r="B847" s="2" t="str">
        <x:v>Micronesia (Federated States of)</x:v>
      </x:c>
      <x:c r="C847" s="2" t="str">
        <x:v>GHSL_VOLUME</x:v>
      </x:c>
      <x:c r="D847" s="2" t="n">
        <x:v>2015</x:v>
      </x:c>
      <x:c r="E847" s="2" t="n">
        <x:v>2020</x:v>
      </x:c>
      <x:c r="F847" s="17" t="n">
        <x:v>2128005.492623716</x:v>
      </x:c>
      <x:c r="G847" s="17" t="n">
        <x:v>2177822.609999999</x:v>
      </x:c>
      <x:c r="H847" s="17" t="n">
        <x:v>12189791.69019608</x:v>
      </x:c>
      <x:c r="I847" s="17" t="n">
        <x:v>12409515.890196078</x:v>
      </x:c>
      <x:c r="J847" s="2" t="str">
        <x:v>m3</x:v>
      </x:c>
      <x:c r="K847" s="15" t="n">
        <x:f>IF(AND(ISNUMBER(F847),ISNUMBER(G847),F847&gt;0),G847/F847-1,"n.a.")</x:f>
        <x:v>0.02341023909428963</x:v>
      </x:c>
      <x:c r="L847" s="15" t="n">
        <x:f>IF(AND(N847,ISNUMBER(H847),ISNUMBER(I847),H847&gt;0),I847/H847-1,"n.a.")</x:f>
        <x:v>0.018025262907217288</x:v>
      </x:c>
      <x:c r="M847" s="20" t="n">
        <x:f>IF(AND(ISNUMBER(K847),ISNUMBER(L847)),100*(K847-L847),"n.a.")</x:f>
        <x:v>0.5384976187072343</x:v>
      </x:c>
      <x:c r="N847" s="13" t="b">
        <x:v>1</x:v>
      </x:c>
      <x:c r="O847" s="13" t="b">
        <x:v>1</x:v>
      </x:c>
      <x:c r="P847" s="13" t="b">
        <x:v>0</x:v>
      </x:c>
      <x:c r="Q847" s="2" t="str">
        <x:v>qualified_paired_native_source_frame</x:v>
      </x:c>
      <x:c r="R847" s="2" t="str">
        <x:v>qualified_paired_native_source_frame</x:v>
      </x:c>
      <x:c r="S847" s="2" t="str">
        <x:v>modeled_epoch_volume_with_fixed2018_height_and_predominant_use</x:v>
      </x:c>
      <x:c r="T847" s="2" t="str">
        <x:v>modeled_epoch_volume_with_fixed2018_height_and_predominant_use</x:v>
      </x:c>
      <x:c r="U847" s="2" t="str">
        <x:v>GFA growth versus source physical quantity growth; constant conversion required for equality</x:v>
      </x:c>
      <x:c r="V847" s="2" t="str">
        <x:v>Model sector composition uses this source family; fixed2018-height modeled epochs</x:v>
      </x:c>
      <x:c r="W847" s="2" t="str">
        <x:v>https://human-settlement.emergency.copernicus.eu/ghs_buV2023.php</x:v>
      </x:c>
    </x:row>
    <x:row r="848" ht="23" customHeight="1">
      <x:c r="A848" s="2" t="str">
        <x:v>GAB</x:v>
      </x:c>
      <x:c r="B848" s="2" t="str">
        <x:v>Gabon (Gabonese Republic)</x:v>
      </x:c>
      <x:c r="C848" s="2" t="str">
        <x:v>GHSL_VOLUME</x:v>
      </x:c>
      <x:c r="D848" s="2" t="n">
        <x:v>2015</x:v>
      </x:c>
      <x:c r="E848" s="2" t="n">
        <x:v>2020</x:v>
      </x:c>
      <x:c r="F848" s="17" t="n">
        <x:v>66275060.77817436</x:v>
      </x:c>
      <x:c r="G848" s="17" t="n">
        <x:v>73743642.55999996</x:v>
      </x:c>
      <x:c r="H848" s="17" t="n">
        <x:v>907067747.4588231</x:v>
      </x:c>
      <x:c r="I848" s="17" t="n">
        <x:v>963791612.9607841</x:v>
      </x:c>
      <x:c r="J848" s="2" t="str">
        <x:v>m3</x:v>
      </x:c>
      <x:c r="K848" s="15" t="n">
        <x:f>IF(AND(ISNUMBER(F848),ISNUMBER(G848),F848&gt;0),G848/F848-1,"n.a.")</x:f>
        <x:v>0.11269068174563102</x:v>
      </x:c>
      <x:c r="L848" s="15" t="n">
        <x:f>IF(AND(N848,ISNUMBER(H848),ISNUMBER(I848),H848&gt;0),I848/H848-1,"n.a.")</x:f>
        <x:v>0.06253542324801487</x:v>
      </x:c>
      <x:c r="M848" s="20" t="n">
        <x:f>IF(AND(ISNUMBER(K848),ISNUMBER(L848)),100*(K848-L848),"n.a.")</x:f>
        <x:v>5.015525849761615</x:v>
      </x:c>
      <x:c r="N848" s="13" t="b">
        <x:v>1</x:v>
      </x:c>
      <x:c r="O848" s="13" t="b">
        <x:v>1</x:v>
      </x:c>
      <x:c r="P848" s="13" t="b">
        <x:v>0</x:v>
      </x:c>
      <x:c r="Q848" s="2" t="str">
        <x:v>qualified_paired_native_source_frame</x:v>
      </x:c>
      <x:c r="R848" s="2" t="str">
        <x:v>qualified_paired_native_source_frame</x:v>
      </x:c>
      <x:c r="S848" s="2" t="str">
        <x:v>modeled_epoch_volume_with_fixed2018_height_and_predominant_use</x:v>
      </x:c>
      <x:c r="T848" s="2" t="str">
        <x:v>modeled_epoch_volume_with_fixed2018_height_and_predominant_use</x:v>
      </x:c>
      <x:c r="U848" s="2" t="str">
        <x:v>GFA growth versus source physical quantity growth; constant conversion required for equality</x:v>
      </x:c>
      <x:c r="V848" s="2" t="str">
        <x:v>Model sector composition uses this source family; fixed2018-height modeled epochs</x:v>
      </x:c>
      <x:c r="W848" s="2" t="str">
        <x:v>https://human-settlement.emergency.copernicus.eu/ghs_buV2023.php</x:v>
      </x:c>
    </x:row>
    <x:row r="849" ht="23" customHeight="1">
      <x:c r="A849" s="2" t="str">
        <x:v>GBR</x:v>
      </x:c>
      <x:c r="B849" s="2" t="str">
        <x:v>United Kingdom of Great Britain and Northern Ireland</x:v>
      </x:c>
      <x:c r="C849" s="2" t="str">
        <x:v>GHSL_VOLUME</x:v>
      </x:c>
      <x:c r="D849" s="2" t="n">
        <x:v>2015</x:v>
      </x:c>
      <x:c r="E849" s="2" t="n">
        <x:v>2020</x:v>
      </x:c>
      <x:c r="F849" s="17" t="n">
        <x:v>3281370012.838597</x:v>
      </x:c>
      <x:c r="G849" s="17" t="n">
        <x:v>3418464510.0900006</x:v>
      </x:c>
      <x:c r="H849" s="17" t="n">
        <x:v>30631432887.101963</x:v>
      </x:c>
      <x:c r="I849" s="17" t="n">
        <x:v>31396506672.20784</x:v>
      </x:c>
      <x:c r="J849" s="2" t="str">
        <x:v>m3</x:v>
      </x:c>
      <x:c r="K849" s="15" t="n">
        <x:f>IF(AND(ISNUMBER(F849),ISNUMBER(G849),F849&gt;0),G849/F849-1,"n.a.")</x:f>
        <x:v>0.04177965200968248</x:v>
      </x:c>
      <x:c r="L849" s="15" t="n">
        <x:f>IF(AND(N849,ISNUMBER(H849),ISNUMBER(I849),H849&gt;0),I849/H849-1,"n.a.")</x:f>
        <x:v>0.024976754692661807</x:v>
      </x:c>
      <x:c r="M849" s="20" t="n">
        <x:f>IF(AND(ISNUMBER(K849),ISNUMBER(L849)),100*(K849-L849),"n.a.")</x:f>
        <x:v>1.680289731702067</x:v>
      </x:c>
      <x:c r="N849" s="13" t="b">
        <x:v>1</x:v>
      </x:c>
      <x:c r="O849" s="13" t="b">
        <x:v>1</x:v>
      </x:c>
      <x:c r="P849" s="13" t="b">
        <x:v>0</x:v>
      </x:c>
      <x:c r="Q849" s="2" t="str">
        <x:v>qualified_paired_native_source_frame</x:v>
      </x:c>
      <x:c r="R849" s="2" t="str">
        <x:v>qualified_paired_native_source_frame</x:v>
      </x:c>
      <x:c r="S849" s="2" t="str">
        <x:v>modeled_epoch_volume_with_fixed2018_height_and_predominant_use</x:v>
      </x:c>
      <x:c r="T849" s="2" t="str">
        <x:v>modeled_epoch_volume_with_fixed2018_height_and_predominant_use</x:v>
      </x:c>
      <x:c r="U849" s="2" t="str">
        <x:v>GFA growth versus source physical quantity growth; constant conversion required for equality</x:v>
      </x:c>
      <x:c r="V849" s="2" t="str">
        <x:v>Model sector composition uses this source family; fixed2018-height modeled epochs</x:v>
      </x:c>
      <x:c r="W849" s="2" t="str">
        <x:v>https://human-settlement.emergency.copernicus.eu/ghs_buV2023.php</x:v>
      </x:c>
    </x:row>
    <x:row r="850" ht="23" customHeight="1">
      <x:c r="A850" s="2" t="str">
        <x:v>GEO</x:v>
      </x:c>
      <x:c r="B850" s="2" t="str">
        <x:v>Georgia</x:v>
      </x:c>
      <x:c r="C850" s="2" t="str">
        <x:v>GHSL_VOLUME</x:v>
      </x:c>
      <x:c r="D850" s="2" t="n">
        <x:v>2015</x:v>
      </x:c>
      <x:c r="E850" s="2" t="n">
        <x:v>2020</x:v>
      </x:c>
      <x:c r="F850" s="17" t="n">
        <x:v>231517997.01246288</x:v>
      </x:c>
      <x:c r="G850" s="17" t="n">
        <x:v>242256071.04000017</x:v>
      </x:c>
      <x:c r="H850" s="17" t="n">
        <x:v>2317319571.7921567</x:v>
      </x:c>
      <x:c r="I850" s="17" t="n">
        <x:v>2403015595.5607843</x:v>
      </x:c>
      <x:c r="J850" s="2" t="str">
        <x:v>m3</x:v>
      </x:c>
      <x:c r="K850" s="15" t="n">
        <x:f>IF(AND(ISNUMBER(F850),ISNUMBER(G850),F850&gt;0),G850/F850-1,"n.a.")</x:f>
        <x:v>0.04638116330524067</x:v>
      </x:c>
      <x:c r="L850" s="15" t="n">
        <x:f>IF(AND(N850,ISNUMBER(H850),ISNUMBER(I850),H850&gt;0),I850/H850-1,"n.a.")</x:f>
        <x:v>0.036980667151726765</x:v>
      </x:c>
      <x:c r="M850" s="20" t="n">
        <x:f>IF(AND(ISNUMBER(K850),ISNUMBER(L850)),100*(K850-L850),"n.a.")</x:f>
        <x:v>0.9400496153513904</x:v>
      </x:c>
      <x:c r="N850" s="13" t="b">
        <x:v>1</x:v>
      </x:c>
      <x:c r="O850" s="13" t="b">
        <x:v>1</x:v>
      </x:c>
      <x:c r="P850" s="13" t="b">
        <x:v>0</x:v>
      </x:c>
      <x:c r="Q850" s="2" t="str">
        <x:v>qualified_paired_native_source_frame</x:v>
      </x:c>
      <x:c r="R850" s="2" t="str">
        <x:v>qualified_paired_native_source_frame</x:v>
      </x:c>
      <x:c r="S850" s="2" t="str">
        <x:v>modeled_epoch_volume_with_fixed2018_height_and_predominant_use</x:v>
      </x:c>
      <x:c r="T850" s="2" t="str">
        <x:v>modeled_epoch_volume_with_fixed2018_height_and_predominant_use</x:v>
      </x:c>
      <x:c r="U850" s="2" t="str">
        <x:v>GFA growth versus source physical quantity growth; constant conversion required for equality</x:v>
      </x:c>
      <x:c r="V850" s="2" t="str">
        <x:v>Model sector composition uses this source family; fixed2018-height modeled epochs</x:v>
      </x:c>
      <x:c r="W850" s="2" t="str">
        <x:v>https://human-settlement.emergency.copernicus.eu/ghs_buV2023.php</x:v>
      </x:c>
    </x:row>
    <x:row r="851" ht="23" customHeight="1">
      <x:c r="A851" s="2" t="str">
        <x:v>GHA</x:v>
      </x:c>
      <x:c r="B851" s="2" t="str">
        <x:v>Ghana (Republic of)</x:v>
      </x:c>
      <x:c r="C851" s="2" t="str">
        <x:v>GHSL_VOLUME</x:v>
      </x:c>
      <x:c r="D851" s="2" t="n">
        <x:v>2015</x:v>
      </x:c>
      <x:c r="E851" s="2" t="n">
        <x:v>2020</x:v>
      </x:c>
      <x:c r="F851" s="17" t="n">
        <x:v>867754316.8806722</x:v>
      </x:c>
      <x:c r="G851" s="17" t="n">
        <x:v>958424622.62</x:v>
      </x:c>
      <x:c r="H851" s="17" t="n">
        <x:v>10306731220.01176</x:v>
      </x:c>
      <x:c r="I851" s="17" t="n">
        <x:v>10837199511.337263</x:v>
      </x:c>
      <x:c r="J851" s="2" t="str">
        <x:v>m3</x:v>
      </x:c>
      <x:c r="K851" s="15" t="n">
        <x:f>IF(AND(ISNUMBER(F851),ISNUMBER(G851),F851&gt;0),G851/F851-1,"n.a.")</x:f>
        <x:v>0.10448845252105632</x:v>
      </x:c>
      <x:c r="L851" s="15" t="n">
        <x:f>IF(AND(N851,ISNUMBER(H851),ISNUMBER(I851),H851&gt;0),I851/H851-1,"n.a.")</x:f>
        <x:v>0.05146814057744464</x:v>
      </x:c>
      <x:c r="M851" s="20" t="n">
        <x:f>IF(AND(ISNUMBER(K851),ISNUMBER(L851)),100*(K851-L851),"n.a.")</x:f>
        <x:v>5.3020311943611675</x:v>
      </x:c>
      <x:c r="N851" s="13" t="b">
        <x:v>1</x:v>
      </x:c>
      <x:c r="O851" s="13" t="b">
        <x:v>1</x:v>
      </x:c>
      <x:c r="P851" s="13" t="b">
        <x:v>0</x:v>
      </x:c>
      <x:c r="Q851" s="2" t="str">
        <x:v>qualified_paired_native_source_frame</x:v>
      </x:c>
      <x:c r="R851" s="2" t="str">
        <x:v>qualified_paired_native_source_frame</x:v>
      </x:c>
      <x:c r="S851" s="2" t="str">
        <x:v>modeled_epoch_volume_with_fixed2018_height_and_predominant_use</x:v>
      </x:c>
      <x:c r="T851" s="2" t="str">
        <x:v>modeled_epoch_volume_with_fixed2018_height_and_predominant_use</x:v>
      </x:c>
      <x:c r="U851" s="2" t="str">
        <x:v>GFA growth versus source physical quantity growth; constant conversion required for equality</x:v>
      </x:c>
      <x:c r="V851" s="2" t="str">
        <x:v>Model sector composition uses this source family; fixed2018-height modeled epochs</x:v>
      </x:c>
      <x:c r="W851" s="2" t="str">
        <x:v>https://human-settlement.emergency.copernicus.eu/ghs_buV2023.php</x:v>
      </x:c>
    </x:row>
    <x:row r="852" ht="23" customHeight="1">
      <x:c r="A852" s="2" t="str">
        <x:v>GIN</x:v>
      </x:c>
      <x:c r="B852" s="2" t="str">
        <x:v>Guinea (Republic of)</x:v>
      </x:c>
      <x:c r="C852" s="2" t="str">
        <x:v>GHSL_VOLUME</x:v>
      </x:c>
      <x:c r="D852" s="2" t="n">
        <x:v>2015</x:v>
      </x:c>
      <x:c r="E852" s="2" t="n">
        <x:v>2020</x:v>
      </x:c>
      <x:c r="F852" s="17" t="n">
        <x:v>253265001.86701941</x:v>
      </x:c>
      <x:c r="G852" s="17" t="n">
        <x:v>277637578.22999954</x:v>
      </x:c>
      <x:c r="H852" s="17" t="n">
        <x:v>2694086306.921568</x:v>
      </x:c>
      <x:c r="I852" s="17" t="n">
        <x:v>2846272979.317646</x:v>
      </x:c>
      <x:c r="J852" s="2" t="str">
        <x:v>m3</x:v>
      </x:c>
      <x:c r="K852" s="15" t="n">
        <x:f>IF(AND(ISNUMBER(F852),ISNUMBER(G852),F852&gt;0),G852/F852-1,"n.a.")</x:f>
        <x:v>0.09623349528482161</x:v>
      </x:c>
      <x:c r="L852" s="15" t="n">
        <x:f>IF(AND(N852,ISNUMBER(H852),ISNUMBER(I852),H852&gt;0),I852/H852-1,"n.a.")</x:f>
        <x:v>0.056489159981654824</x:v>
      </x:c>
      <x:c r="M852" s="20" t="n">
        <x:f>IF(AND(ISNUMBER(K852),ISNUMBER(L852)),100*(K852-L852),"n.a.")</x:f>
        <x:v>3.974433530316679</x:v>
      </x:c>
      <x:c r="N852" s="13" t="b">
        <x:v>1</x:v>
      </x:c>
      <x:c r="O852" s="13" t="b">
        <x:v>1</x:v>
      </x:c>
      <x:c r="P852" s="13" t="b">
        <x:v>0</x:v>
      </x:c>
      <x:c r="Q852" s="2" t="str">
        <x:v>qualified_paired_native_source_frame</x:v>
      </x:c>
      <x:c r="R852" s="2" t="str">
        <x:v>qualified_paired_native_source_frame</x:v>
      </x:c>
      <x:c r="S852" s="2" t="str">
        <x:v>modeled_epoch_volume_with_fixed2018_height_and_predominant_use</x:v>
      </x:c>
      <x:c r="T852" s="2" t="str">
        <x:v>modeled_epoch_volume_with_fixed2018_height_and_predominant_use</x:v>
      </x:c>
      <x:c r="U852" s="2" t="str">
        <x:v>GFA growth versus source physical quantity growth; constant conversion required for equality</x:v>
      </x:c>
      <x:c r="V852" s="2" t="str">
        <x:v>Model sector composition uses this source family; fixed2018-height modeled epochs</x:v>
      </x:c>
      <x:c r="W852" s="2" t="str">
        <x:v>https://human-settlement.emergency.copernicus.eu/ghs_buV2023.php</x:v>
      </x:c>
    </x:row>
    <x:row r="853" ht="23" customHeight="1">
      <x:c r="A853" s="2" t="str">
        <x:v>GMB</x:v>
      </x:c>
      <x:c r="B853" s="2" t="str">
        <x:v>Gambia (Republic of the)</x:v>
      </x:c>
      <x:c r="C853" s="2" t="str">
        <x:v>GHSL_VOLUME</x:v>
      </x:c>
      <x:c r="D853" s="2" t="n">
        <x:v>2015</x:v>
      </x:c>
      <x:c r="E853" s="2" t="n">
        <x:v>2020</x:v>
      </x:c>
      <x:c r="F853" s="17" t="n">
        <x:v>54523887.232732646</x:v>
      </x:c>
      <x:c r="G853" s="17" t="n">
        <x:v>56875154.52999992</x:v>
      </x:c>
      <x:c r="H853" s="17" t="n">
        <x:v>550740409.7019608</x:v>
      </x:c>
      <x:c r="I853" s="17" t="n">
        <x:v>563051374.572549</x:v>
      </x:c>
      <x:c r="J853" s="2" t="str">
        <x:v>m3</x:v>
      </x:c>
      <x:c r="K853" s="15" t="n">
        <x:f>IF(AND(ISNUMBER(F853),ISNUMBER(G853),F853&gt;0),G853/F853-1,"n.a.")</x:f>
        <x:v>0.043123618226833305</x:v>
      </x:c>
      <x:c r="L853" s="15" t="n">
        <x:f>IF(AND(N853,ISNUMBER(H853),ISNUMBER(I853),H853&gt;0),I853/H853-1,"n.a.")</x:f>
        <x:v>0.02235348024898043</x:v>
      </x:c>
      <x:c r="M853" s="20" t="n">
        <x:f>IF(AND(ISNUMBER(K853),ISNUMBER(L853)),100*(K853-L853),"n.a.")</x:f>
        <x:v>2.0770137977852876</x:v>
      </x:c>
      <x:c r="N853" s="13" t="b">
        <x:v>1</x:v>
      </x:c>
      <x:c r="O853" s="13" t="b">
        <x:v>1</x:v>
      </x:c>
      <x:c r="P853" s="13" t="b">
        <x:v>0</x:v>
      </x:c>
      <x:c r="Q853" s="2" t="str">
        <x:v>qualified_paired_native_source_frame</x:v>
      </x:c>
      <x:c r="R853" s="2" t="str">
        <x:v>qualified_paired_native_source_frame</x:v>
      </x:c>
      <x:c r="S853" s="2" t="str">
        <x:v>modeled_epoch_volume_with_fixed2018_height_and_predominant_use</x:v>
      </x:c>
      <x:c r="T853" s="2" t="str">
        <x:v>modeled_epoch_volume_with_fixed2018_height_and_predominant_use</x:v>
      </x:c>
      <x:c r="U853" s="2" t="str">
        <x:v>GFA growth versus source physical quantity growth; constant conversion required for equality</x:v>
      </x:c>
      <x:c r="V853" s="2" t="str">
        <x:v>Model sector composition uses this source family; fixed2018-height modeled epochs</x:v>
      </x:c>
      <x:c r="W853" s="2" t="str">
        <x:v>https://human-settlement.emergency.copernicus.eu/ghs_buV2023.php</x:v>
      </x:c>
    </x:row>
    <x:row r="854" ht="23" customHeight="1">
      <x:c r="A854" s="2" t="str">
        <x:v>GNB</x:v>
      </x:c>
      <x:c r="B854" s="2" t="str">
        <x:v>Guinea-Bissau (Republic of)</x:v>
      </x:c>
      <x:c r="C854" s="2" t="str">
        <x:v>GHSL_VOLUME</x:v>
      </x:c>
      <x:c r="D854" s="2" t="n">
        <x:v>2015</x:v>
      </x:c>
      <x:c r="E854" s="2" t="n">
        <x:v>2020</x:v>
      </x:c>
      <x:c r="F854" s="17" t="n">
        <x:v>46182866.527540356</x:v>
      </x:c>
      <x:c r="G854" s="17" t="n">
        <x:v>48952674.499999925</x:v>
      </x:c>
      <x:c r="H854" s="17" t="n">
        <x:v>378196587.8196078</x:v>
      </x:c>
      <x:c r="I854" s="17" t="n">
        <x:v>392074388.8549019</x:v>
      </x:c>
      <x:c r="J854" s="2" t="str">
        <x:v>m3</x:v>
      </x:c>
      <x:c r="K854" s="15" t="n">
        <x:f>IF(AND(ISNUMBER(F854),ISNUMBER(G854),F854&gt;0),G854/F854-1,"n.a.")</x:f>
        <x:v>0.05997479543215101</x:v>
      </x:c>
      <x:c r="L854" s="15" t="n">
        <x:f>IF(AND(N854,ISNUMBER(H854),ISNUMBER(I854),H854&gt;0),I854/H854-1,"n.a.")</x:f>
        <x:v>0.03669467542079885</x:v>
      </x:c>
      <x:c r="M854" s="20" t="n">
        <x:f>IF(AND(ISNUMBER(K854),ISNUMBER(L854)),100*(K854-L854),"n.a.")</x:f>
        <x:v>2.3280120011352157</x:v>
      </x:c>
      <x:c r="N854" s="13" t="b">
        <x:v>1</x:v>
      </x:c>
      <x:c r="O854" s="13" t="b">
        <x:v>1</x:v>
      </x:c>
      <x:c r="P854" s="13" t="b">
        <x:v>0</x:v>
      </x:c>
      <x:c r="Q854" s="2" t="str">
        <x:v>qualified_paired_native_source_frame</x:v>
      </x:c>
      <x:c r="R854" s="2" t="str">
        <x:v>qualified_paired_native_source_frame</x:v>
      </x:c>
      <x:c r="S854" s="2" t="str">
        <x:v>modeled_epoch_volume_with_fixed2018_height_and_predominant_use</x:v>
      </x:c>
      <x:c r="T854" s="2" t="str">
        <x:v>modeled_epoch_volume_with_fixed2018_height_and_predominant_use</x:v>
      </x:c>
      <x:c r="U854" s="2" t="str">
        <x:v>GFA growth versus source physical quantity growth; constant conversion required for equality</x:v>
      </x:c>
      <x:c r="V854" s="2" t="str">
        <x:v>Model sector composition uses this source family; fixed2018-height modeled epochs</x:v>
      </x:c>
      <x:c r="W854" s="2" t="str">
        <x:v>https://human-settlement.emergency.copernicus.eu/ghs_buV2023.php</x:v>
      </x:c>
    </x:row>
    <x:row r="855" ht="23" customHeight="1">
      <x:c r="A855" s="2" t="str">
        <x:v>GNQ</x:v>
      </x:c>
      <x:c r="B855" s="2" t="str">
        <x:v>Equatorial Guinea (Republic of)</x:v>
      </x:c>
      <x:c r="C855" s="2" t="str">
        <x:v>GHSL_VOLUME</x:v>
      </x:c>
      <x:c r="D855" s="2" t="n">
        <x:v>2015</x:v>
      </x:c>
      <x:c r="E855" s="2" t="n">
        <x:v>2020</x:v>
      </x:c>
      <x:c r="F855" s="17" t="n">
        <x:v>30500131.86462052</x:v>
      </x:c>
      <x:c r="G855" s="17" t="n">
        <x:v>34102626.51999995</x:v>
      </x:c>
      <x:c r="H855" s="17" t="n">
        <x:v>323095061.0039215</x:v>
      </x:c>
      <x:c r="I855" s="17" t="n">
        <x:v>348002215.5098039</x:v>
      </x:c>
      <x:c r="J855" s="2" t="str">
        <x:v>m3</x:v>
      </x:c>
      <x:c r="K855" s="15" t="n">
        <x:f>IF(AND(ISNUMBER(F855),ISNUMBER(G855),F855&gt;0),G855/F855-1,"n.a.")</x:f>
        <x:v>0.11811406820697212</x:v>
      </x:c>
      <x:c r="L855" s="15" t="n">
        <x:f>IF(AND(N855,ISNUMBER(H855),ISNUMBER(I855),H855&gt;0),I855/H855-1,"n.a.")</x:f>
        <x:v>0.07708924558763242</x:v>
      </x:c>
      <x:c r="M855" s="20" t="n">
        <x:f>IF(AND(ISNUMBER(K855),ISNUMBER(L855)),100*(K855-L855),"n.a.")</x:f>
        <x:v>4.102482261933971</x:v>
      </x:c>
      <x:c r="N855" s="13" t="b">
        <x:v>1</x:v>
      </x:c>
      <x:c r="O855" s="13" t="b">
        <x:v>1</x:v>
      </x:c>
      <x:c r="P855" s="13" t="b">
        <x:v>0</x:v>
      </x:c>
      <x:c r="Q855" s="2" t="str">
        <x:v>qualified_paired_native_source_frame</x:v>
      </x:c>
      <x:c r="R855" s="2" t="str">
        <x:v>qualified_paired_native_source_frame</x:v>
      </x:c>
      <x:c r="S855" s="2" t="str">
        <x:v>modeled_epoch_volume_with_fixed2018_height_and_predominant_use</x:v>
      </x:c>
      <x:c r="T855" s="2" t="str">
        <x:v>modeled_epoch_volume_with_fixed2018_height_and_predominant_use</x:v>
      </x:c>
      <x:c r="U855" s="2" t="str">
        <x:v>GFA growth versus source physical quantity growth; constant conversion required for equality</x:v>
      </x:c>
      <x:c r="V855" s="2" t="str">
        <x:v>Model sector composition uses this source family; fixed2018-height modeled epochs</x:v>
      </x:c>
      <x:c r="W855" s="2" t="str">
        <x:v>https://human-settlement.emergency.copernicus.eu/ghs_buV2023.php</x:v>
      </x:c>
    </x:row>
    <x:row r="856" ht="23" customHeight="1">
      <x:c r="A856" s="2" t="str">
        <x:v>GRC</x:v>
      </x:c>
      <x:c r="B856" s="2" t="str">
        <x:v>Greece (Hellenic Republic)</x:v>
      </x:c>
      <x:c r="C856" s="2" t="str">
        <x:v>GHSL_VOLUME</x:v>
      </x:c>
      <x:c r="D856" s="2" t="n">
        <x:v>2015</x:v>
      </x:c>
      <x:c r="E856" s="2" t="n">
        <x:v>2020</x:v>
      </x:c>
      <x:c r="F856" s="17" t="n">
        <x:v>826514330.7150826</x:v>
      </x:c>
      <x:c r="G856" s="17" t="n">
        <x:v>853851739.6700008</x:v>
      </x:c>
      <x:c r="H856" s="17" t="n">
        <x:v>5811357558.152945</x:v>
      </x:c>
      <x:c r="I856" s="17" t="n">
        <x:v>5923909455.254904</x:v>
      </x:c>
      <x:c r="J856" s="2" t="str">
        <x:v>m3</x:v>
      </x:c>
      <x:c r="K856" s="15" t="n">
        <x:f>IF(AND(ISNUMBER(F856),ISNUMBER(G856),F856&gt;0),G856/F856-1,"n.a.")</x:f>
        <x:v>0.03307554138990709</x:v>
      </x:c>
      <x:c r="L856" s="15" t="n">
        <x:f>IF(AND(N856,ISNUMBER(H856),ISNUMBER(I856),H856&gt;0),I856/H856-1,"n.a.")</x:f>
        <x:v>0.01936757392324906</x:v>
      </x:c>
      <x:c r="M856" s="20" t="n">
        <x:f>IF(AND(ISNUMBER(K856),ISNUMBER(L856)),100*(K856-L856),"n.a.")</x:f>
        <x:v>1.3707967466658033</x:v>
      </x:c>
      <x:c r="N856" s="13" t="b">
        <x:v>1</x:v>
      </x:c>
      <x:c r="O856" s="13" t="b">
        <x:v>1</x:v>
      </x:c>
      <x:c r="P856" s="13" t="b">
        <x:v>0</x:v>
      </x:c>
      <x:c r="Q856" s="2" t="str">
        <x:v>qualified_paired_native_source_frame</x:v>
      </x:c>
      <x:c r="R856" s="2" t="str">
        <x:v>qualified_paired_native_source_frame</x:v>
      </x:c>
      <x:c r="S856" s="2" t="str">
        <x:v>modeled_epoch_volume_with_fixed2018_height_and_predominant_use</x:v>
      </x:c>
      <x:c r="T856" s="2" t="str">
        <x:v>modeled_epoch_volume_with_fixed2018_height_and_predominant_use</x:v>
      </x:c>
      <x:c r="U856" s="2" t="str">
        <x:v>GFA growth versus source physical quantity growth; constant conversion required for equality</x:v>
      </x:c>
      <x:c r="V856" s="2" t="str">
        <x:v>Model sector composition uses this source family; fixed2018-height modeled epochs</x:v>
      </x:c>
      <x:c r="W856" s="2" t="str">
        <x:v>https://human-settlement.emergency.copernicus.eu/ghs_buV2023.php</x:v>
      </x:c>
    </x:row>
    <x:row r="857" ht="23" customHeight="1">
      <x:c r="A857" s="2" t="str">
        <x:v>GRD</x:v>
      </x:c>
      <x:c r="B857" s="2" t="str">
        <x:v>Grenada</x:v>
      </x:c>
      <x:c r="C857" s="2" t="str">
        <x:v>GHSL_VOLUME</x:v>
      </x:c>
      <x:c r="D857" s="2" t="n">
        <x:v>2015</x:v>
      </x:c>
      <x:c r="E857" s="2" t="n">
        <x:v>2020</x:v>
      </x:c>
      <x:c r="F857" s="17" t="n">
        <x:v>5896774.169807444</x:v>
      </x:c>
      <x:c r="G857" s="17" t="n">
        <x:v>6904998.419999993</x:v>
      </x:c>
      <x:c r="H857" s="17" t="n">
        <x:v>29864537.24705883</x:v>
      </x:c>
      <x:c r="I857" s="17" t="n">
        <x:v>34566534.78039217</x:v>
      </x:c>
      <x:c r="J857" s="2" t="str">
        <x:v>m3</x:v>
      </x:c>
      <x:c r="K857" s="15" t="n">
        <x:f>IF(AND(ISNUMBER(F857),ISNUMBER(G857),F857&gt;0),G857/F857-1,"n.a.")</x:f>
        <x:v>0.1709789490251874</x:v>
      </x:c>
      <x:c r="L857" s="15" t="n">
        <x:f>IF(AND(N857,ISNUMBER(H857),ISNUMBER(I857),H857&gt;0),I857/H857-1,"n.a.")</x:f>
        <x:v>0.15744417850627856</x:v>
      </x:c>
      <x:c r="M857" s="20" t="n">
        <x:f>IF(AND(ISNUMBER(K857),ISNUMBER(L857)),100*(K857-L857),"n.a.")</x:f>
        <x:v>1.3534770518908834</x:v>
      </x:c>
      <x:c r="N857" s="13" t="b">
        <x:v>1</x:v>
      </x:c>
      <x:c r="O857" s="13" t="b">
        <x:v>1</x:v>
      </x:c>
      <x:c r="P857" s="13" t="b">
        <x:v>0</x:v>
      </x:c>
      <x:c r="Q857" s="2" t="str">
        <x:v>qualified_paired_native_source_frame</x:v>
      </x:c>
      <x:c r="R857" s="2" t="str">
        <x:v>qualified_paired_native_source_frame</x:v>
      </x:c>
      <x:c r="S857" s="2" t="str">
        <x:v>modeled_epoch_volume_with_fixed2018_height_and_predominant_use</x:v>
      </x:c>
      <x:c r="T857" s="2" t="str">
        <x:v>modeled_epoch_volume_with_fixed2018_height_and_predominant_use</x:v>
      </x:c>
      <x:c r="U857" s="2" t="str">
        <x:v>GFA growth versus source physical quantity growth; constant conversion required for equality</x:v>
      </x:c>
      <x:c r="V857" s="2" t="str">
        <x:v>Model sector composition uses this source family; fixed2018-height modeled epochs</x:v>
      </x:c>
      <x:c r="W857" s="2" t="str">
        <x:v>https://human-settlement.emergency.copernicus.eu/ghs_buV2023.php</x:v>
      </x:c>
    </x:row>
    <x:row r="858" ht="23" customHeight="1">
      <x:c r="A858" s="2" t="str">
        <x:v>GTM</x:v>
      </x:c>
      <x:c r="B858" s="2" t="str">
        <x:v>Guatemala (Republic of)</x:v>
      </x:c>
      <x:c r="C858" s="2" t="str">
        <x:v>GHSL_VOLUME</x:v>
      </x:c>
      <x:c r="D858" s="2" t="n">
        <x:v>2015</x:v>
      </x:c>
      <x:c r="E858" s="2" t="n">
        <x:v>2020</x:v>
      </x:c>
      <x:c r="F858" s="17" t="n">
        <x:v>499576793.66361964</x:v>
      </x:c>
      <x:c r="G858" s="17" t="n">
        <x:v>599114028.8099989</x:v>
      </x:c>
      <x:c r="H858" s="17" t="n">
        <x:v>4047933791.713725</x:v>
      </x:c>
      <x:c r="I858" s="17" t="n">
        <x:v>4509374949.678432</x:v>
      </x:c>
      <x:c r="J858" s="2" t="str">
        <x:v>m3</x:v>
      </x:c>
      <x:c r="K858" s="15" t="n">
        <x:f>IF(AND(ISNUMBER(F858),ISNUMBER(G858),F858&gt;0),G858/F858-1,"n.a.")</x:f>
        <x:v>0.1992431121878746</x:v>
      </x:c>
      <x:c r="L858" s="15" t="n">
        <x:f>IF(AND(N858,ISNUMBER(H858),ISNUMBER(I858),H858&gt;0),I858/H858-1,"n.a.")</x:f>
        <x:v>0.11399424538743563</x:v>
      </x:c>
      <x:c r="M858" s="20" t="n">
        <x:f>IF(AND(ISNUMBER(K858),ISNUMBER(L858)),100*(K858-L858),"n.a.")</x:f>
        <x:v>8.524886680043897</x:v>
      </x:c>
      <x:c r="N858" s="13" t="b">
        <x:v>1</x:v>
      </x:c>
      <x:c r="O858" s="13" t="b">
        <x:v>1</x:v>
      </x:c>
      <x:c r="P858" s="13" t="b">
        <x:v>0</x:v>
      </x:c>
      <x:c r="Q858" s="2" t="str">
        <x:v>qualified_paired_native_source_frame</x:v>
      </x:c>
      <x:c r="R858" s="2" t="str">
        <x:v>qualified_paired_native_source_frame</x:v>
      </x:c>
      <x:c r="S858" s="2" t="str">
        <x:v>modeled_epoch_volume_with_fixed2018_height_and_predominant_use</x:v>
      </x:c>
      <x:c r="T858" s="2" t="str">
        <x:v>modeled_epoch_volume_with_fixed2018_height_and_predominant_use</x:v>
      </x:c>
      <x:c r="U858" s="2" t="str">
        <x:v>GFA growth versus source physical quantity growth; constant conversion required for equality</x:v>
      </x:c>
      <x:c r="V858" s="2" t="str">
        <x:v>Model sector composition uses this source family; fixed2018-height modeled epochs</x:v>
      </x:c>
      <x:c r="W858" s="2" t="str">
        <x:v>https://human-settlement.emergency.copernicus.eu/ghs_buV2023.php</x:v>
      </x:c>
    </x:row>
    <x:row r="859" ht="23" customHeight="1">
      <x:c r="A859" s="2" t="str">
        <x:v>GUY</x:v>
      </x:c>
      <x:c r="B859" s="2" t="str">
        <x:v>Guyana (Co-operative Republic of)</x:v>
      </x:c>
      <x:c r="C859" s="2" t="str">
        <x:v>GHSL_VOLUME</x:v>
      </x:c>
      <x:c r="D859" s="2" t="n">
        <x:v>2015</x:v>
      </x:c>
      <x:c r="E859" s="2" t="n">
        <x:v>2020</x:v>
      </x:c>
      <x:c r="F859" s="17" t="n">
        <x:v>44014828.67558784</x:v>
      </x:c>
      <x:c r="G859" s="17" t="n">
        <x:v>46462035.66000002</x:v>
      </x:c>
      <x:c r="H859" s="17" t="n">
        <x:v>230599108.01960784</x:v>
      </x:c>
      <x:c r="I859" s="17" t="n">
        <x:v>240155610.63529414</x:v>
      </x:c>
      <x:c r="J859" s="2" t="str">
        <x:v>m3</x:v>
      </x:c>
      <x:c r="K859" s="15" t="n">
        <x:f>IF(AND(ISNUMBER(F859),ISNUMBER(G859),F859&gt;0),G859/F859-1,"n.a.")</x:f>
        <x:v>0.05559960263504293</x:v>
      </x:c>
      <x:c r="L859" s="15" t="n">
        <x:f>IF(AND(N859,ISNUMBER(H859),ISNUMBER(I859),H859&gt;0),I859/H859-1,"n.a.")</x:f>
        <x:v>0.0414420623642382</x:v>
      </x:c>
      <x:c r="M859" s="20" t="n">
        <x:f>IF(AND(ISNUMBER(K859),ISNUMBER(L859)),100*(K859-L859),"n.a.")</x:f>
        <x:v>1.4157540270804736</x:v>
      </x:c>
      <x:c r="N859" s="13" t="b">
        <x:v>1</x:v>
      </x:c>
      <x:c r="O859" s="13" t="b">
        <x:v>1</x:v>
      </x:c>
      <x:c r="P859" s="13" t="b">
        <x:v>0</x:v>
      </x:c>
      <x:c r="Q859" s="2" t="str">
        <x:v>qualified_paired_native_source_frame</x:v>
      </x:c>
      <x:c r="R859" s="2" t="str">
        <x:v>qualified_paired_native_source_frame</x:v>
      </x:c>
      <x:c r="S859" s="2" t="str">
        <x:v>modeled_epoch_volume_with_fixed2018_height_and_predominant_use</x:v>
      </x:c>
      <x:c r="T859" s="2" t="str">
        <x:v>modeled_epoch_volume_with_fixed2018_height_and_predominant_use</x:v>
      </x:c>
      <x:c r="U859" s="2" t="str">
        <x:v>GFA growth versus source physical quantity growth; constant conversion required for equality</x:v>
      </x:c>
      <x:c r="V859" s="2" t="str">
        <x:v>Model sector composition uses this source family; fixed2018-height modeled epochs</x:v>
      </x:c>
      <x:c r="W859" s="2" t="str">
        <x:v>https://human-settlement.emergency.copernicus.eu/ghs_buV2023.php</x:v>
      </x:c>
    </x:row>
    <x:row r="860" ht="23" customHeight="1">
      <x:c r="A860" s="2" t="str">
        <x:v>HND</x:v>
      </x:c>
      <x:c r="B860" s="2" t="str">
        <x:v>Honduras (Republic of)</x:v>
      </x:c>
      <x:c r="C860" s="2" t="str">
        <x:v>GHSL_VOLUME</x:v>
      </x:c>
      <x:c r="D860" s="2" t="n">
        <x:v>2015</x:v>
      </x:c>
      <x:c r="E860" s="2" t="n">
        <x:v>2020</x:v>
      </x:c>
      <x:c r="F860" s="17" t="n">
        <x:v>261857176.83585</x:v>
      </x:c>
      <x:c r="G860" s="17" t="n">
        <x:v>335660713.2700002</x:v>
      </x:c>
      <x:c r="H860" s="17" t="n">
        <x:v>2259245126</x:v>
      </x:c>
      <x:c r="I860" s="17" t="n">
        <x:v>2634107241.478431</x:v>
      </x:c>
      <x:c r="J860" s="2" t="str">
        <x:v>m3</x:v>
      </x:c>
      <x:c r="K860" s="15" t="n">
        <x:f>IF(AND(ISNUMBER(F860),ISNUMBER(G860),F860&gt;0),G860/F860-1,"n.a.")</x:f>
        <x:v>0.2818465291879906</x:v>
      </x:c>
      <x:c r="L860" s="15" t="n">
        <x:f>IF(AND(N860,ISNUMBER(H860),ISNUMBER(I860),H860&gt;0),I860/H860-1,"n.a.")</x:f>
        <x:v>0.165923613672734</x:v>
      </x:c>
      <x:c r="M860" s="20" t="n">
        <x:f>IF(AND(ISNUMBER(K860),ISNUMBER(L860)),100*(K860-L860),"n.a.")</x:f>
        <x:v>11.592291551525658</x:v>
      </x:c>
      <x:c r="N860" s="13" t="b">
        <x:v>1</x:v>
      </x:c>
      <x:c r="O860" s="13" t="b">
        <x:v>1</x:v>
      </x:c>
      <x:c r="P860" s="13" t="b">
        <x:v>0</x:v>
      </x:c>
      <x:c r="Q860" s="2" t="str">
        <x:v>qualified_paired_native_source_frame</x:v>
      </x:c>
      <x:c r="R860" s="2" t="str">
        <x:v>qualified_paired_native_source_frame</x:v>
      </x:c>
      <x:c r="S860" s="2" t="str">
        <x:v>modeled_epoch_volume_with_fixed2018_height_and_predominant_use</x:v>
      </x:c>
      <x:c r="T860" s="2" t="str">
        <x:v>modeled_epoch_volume_with_fixed2018_height_and_predominant_use</x:v>
      </x:c>
      <x:c r="U860" s="2" t="str">
        <x:v>GFA growth versus source physical quantity growth; constant conversion required for equality</x:v>
      </x:c>
      <x:c r="V860" s="2" t="str">
        <x:v>Model sector composition uses this source family; fixed2018-height modeled epochs</x:v>
      </x:c>
      <x:c r="W860" s="2" t="str">
        <x:v>https://human-settlement.emergency.copernicus.eu/ghs_buV2023.php</x:v>
      </x:c>
    </x:row>
    <x:row r="861" ht="23" customHeight="1">
      <x:c r="A861" s="2" t="str">
        <x:v>HRV</x:v>
      </x:c>
      <x:c r="B861" s="2" t="str">
        <x:v>Croatia (Republic of)</x:v>
      </x:c>
      <x:c r="C861" s="2" t="str">
        <x:v>GHSL_VOLUME</x:v>
      </x:c>
      <x:c r="D861" s="2" t="n">
        <x:v>2015</x:v>
      </x:c>
      <x:c r="E861" s="2" t="n">
        <x:v>2020</x:v>
      </x:c>
      <x:c r="F861" s="17" t="n">
        <x:v>344650373.6507369</x:v>
      </x:c>
      <x:c r="G861" s="17" t="n">
        <x:v>361520718.4299994</x:v>
      </x:c>
      <x:c r="H861" s="17" t="n">
        <x:v>1943518120.5176482</x:v>
      </x:c>
      <x:c r="I861" s="17" t="n">
        <x:v>2020311566.6823537</x:v>
      </x:c>
      <x:c r="J861" s="2" t="str">
        <x:v>m3</x:v>
      </x:c>
      <x:c r="K861" s="15" t="n">
        <x:f>IF(AND(ISNUMBER(F861),ISNUMBER(G861),F861&gt;0),G861/F861-1,"n.a.")</x:f>
        <x:v>0.04894915563433755</x:v>
      </x:c>
      <x:c r="L861" s="15" t="n">
        <x:f>IF(AND(N861,ISNUMBER(H861),ISNUMBER(I861),H861&gt;0),I861/H861-1,"n.a.")</x:f>
        <x:v>0.03951259592282663</x:v>
      </x:c>
      <x:c r="M861" s="20" t="n">
        <x:f>IF(AND(ISNUMBER(K861),ISNUMBER(L861)),100*(K861-L861),"n.a.")</x:f>
        <x:v>0.9436559711510917</x:v>
      </x:c>
      <x:c r="N861" s="13" t="b">
        <x:v>1</x:v>
      </x:c>
      <x:c r="O861" s="13" t="b">
        <x:v>1</x:v>
      </x:c>
      <x:c r="P861" s="13" t="b">
        <x:v>0</x:v>
      </x:c>
      <x:c r="Q861" s="2" t="str">
        <x:v>qualified_paired_native_source_frame</x:v>
      </x:c>
      <x:c r="R861" s="2" t="str">
        <x:v>qualified_paired_native_source_frame</x:v>
      </x:c>
      <x:c r="S861" s="2" t="str">
        <x:v>modeled_epoch_volume_with_fixed2018_height_and_predominant_use</x:v>
      </x:c>
      <x:c r="T861" s="2" t="str">
        <x:v>modeled_epoch_volume_with_fixed2018_height_and_predominant_use</x:v>
      </x:c>
      <x:c r="U861" s="2" t="str">
        <x:v>GFA growth versus source physical quantity growth; constant conversion required for equality</x:v>
      </x:c>
      <x:c r="V861" s="2" t="str">
        <x:v>Model sector composition uses this source family; fixed2018-height modeled epochs</x:v>
      </x:c>
      <x:c r="W861" s="2" t="str">
        <x:v>https://human-settlement.emergency.copernicus.eu/ghs_buV2023.php</x:v>
      </x:c>
    </x:row>
    <x:row r="862" ht="23" customHeight="1">
      <x:c r="A862" s="2" t="str">
        <x:v>HTI</x:v>
      </x:c>
      <x:c r="B862" s="2" t="str">
        <x:v>Haiti (Republic of)</x:v>
      </x:c>
      <x:c r="C862" s="2" t="str">
        <x:v>GHSL_VOLUME</x:v>
      </x:c>
      <x:c r="D862" s="2" t="n">
        <x:v>2015</x:v>
      </x:c>
      <x:c r="E862" s="2" t="n">
        <x:v>2020</x:v>
      </x:c>
      <x:c r="F862" s="17" t="n">
        <x:v>157168330.99131426</x:v>
      </x:c>
      <x:c r="G862" s="17" t="n">
        <x:v>189002396.5400002</x:v>
      </x:c>
      <x:c r="H862" s="17" t="n">
        <x:v>1302703210.0352943</x:v>
      </x:c>
      <x:c r="I862" s="17" t="n">
        <x:v>1476339102.4431372</x:v>
      </x:c>
      <x:c r="J862" s="2" t="str">
        <x:v>m3</x:v>
      </x:c>
      <x:c r="K862" s="15" t="n">
        <x:f>IF(AND(ISNUMBER(F862),ISNUMBER(G862),F862&gt;0),G862/F862-1,"n.a.")</x:f>
        <x:v>0.20254758288707175</x:v>
      </x:c>
      <x:c r="L862" s="15" t="n">
        <x:f>IF(AND(N862,ISNUMBER(H862),ISNUMBER(I862),H862&gt;0),I862/H862-1,"n.a.")</x:f>
        <x:v>0.1332889111428064</x:v>
      </x:c>
      <x:c r="M862" s="20" t="n">
        <x:f>IF(AND(ISNUMBER(K862),ISNUMBER(L862)),100*(K862-L862),"n.a.")</x:f>
        <x:v>6.9258671744265365</x:v>
      </x:c>
      <x:c r="N862" s="13" t="b">
        <x:v>1</x:v>
      </x:c>
      <x:c r="O862" s="13" t="b">
        <x:v>1</x:v>
      </x:c>
      <x:c r="P862" s="13" t="b">
        <x:v>0</x:v>
      </x:c>
      <x:c r="Q862" s="2" t="str">
        <x:v>qualified_paired_native_source_frame</x:v>
      </x:c>
      <x:c r="R862" s="2" t="str">
        <x:v>qualified_paired_native_source_frame</x:v>
      </x:c>
      <x:c r="S862" s="2" t="str">
        <x:v>modeled_epoch_volume_with_fixed2018_height_and_predominant_use</x:v>
      </x:c>
      <x:c r="T862" s="2" t="str">
        <x:v>modeled_epoch_volume_with_fixed2018_height_and_predominant_use</x:v>
      </x:c>
      <x:c r="U862" s="2" t="str">
        <x:v>GFA growth versus source physical quantity growth; constant conversion required for equality</x:v>
      </x:c>
      <x:c r="V862" s="2" t="str">
        <x:v>Model sector composition uses this source family; fixed2018-height modeled epochs</x:v>
      </x:c>
      <x:c r="W862" s="2" t="str">
        <x:v>https://human-settlement.emergency.copernicus.eu/ghs_buV2023.php</x:v>
      </x:c>
    </x:row>
    <x:row r="863" ht="23" customHeight="1">
      <x:c r="A863" s="2" t="str">
        <x:v>HUN</x:v>
      </x:c>
      <x:c r="B863" s="2" t="str">
        <x:v>Hungary</x:v>
      </x:c>
      <x:c r="C863" s="2" t="str">
        <x:v>GHSL_VOLUME</x:v>
      </x:c>
      <x:c r="D863" s="2" t="n">
        <x:v>2015</x:v>
      </x:c>
      <x:c r="E863" s="2" t="n">
        <x:v>2020</x:v>
      </x:c>
      <x:c r="F863" s="17" t="n">
        <x:v>820761043.9030477</x:v>
      </x:c>
      <x:c r="G863" s="17" t="n">
        <x:v>853072780.5300013</x:v>
      </x:c>
      <x:c r="H863" s="17" t="n">
        <x:v>5767742031.180393</x:v>
      </x:c>
      <x:c r="I863" s="17" t="n">
        <x:v>5932102712.309803</x:v>
      </x:c>
      <x:c r="J863" s="2" t="str">
        <x:v>m3</x:v>
      </x:c>
      <x:c r="K863" s="15" t="n">
        <x:f>IF(AND(ISNUMBER(F863),ISNUMBER(G863),F863&gt;0),G863/F863-1,"n.a.")</x:f>
        <x:v>0.03936801931205003</x:v>
      </x:c>
      <x:c r="L863" s="15" t="n">
        <x:f>IF(AND(N863,ISNUMBER(H863),ISNUMBER(I863),H863&gt;0),I863/H863-1,"n.a.")</x:f>
        <x:v>0.028496538201756794</x:v>
      </x:c>
      <x:c r="M863" s="20" t="n">
        <x:f>IF(AND(ISNUMBER(K863),ISNUMBER(L863)),100*(K863-L863),"n.a.")</x:f>
        <x:v>1.0871481110293235</x:v>
      </x:c>
      <x:c r="N863" s="13" t="b">
        <x:v>1</x:v>
      </x:c>
      <x:c r="O863" s="13" t="b">
        <x:v>1</x:v>
      </x:c>
      <x:c r="P863" s="13" t="b">
        <x:v>0</x:v>
      </x:c>
      <x:c r="Q863" s="2" t="str">
        <x:v>qualified_paired_native_source_frame</x:v>
      </x:c>
      <x:c r="R863" s="2" t="str">
        <x:v>qualified_paired_native_source_frame</x:v>
      </x:c>
      <x:c r="S863" s="2" t="str">
        <x:v>modeled_epoch_volume_with_fixed2018_height_and_predominant_use</x:v>
      </x:c>
      <x:c r="T863" s="2" t="str">
        <x:v>modeled_epoch_volume_with_fixed2018_height_and_predominant_use</x:v>
      </x:c>
      <x:c r="U863" s="2" t="str">
        <x:v>GFA growth versus source physical quantity growth; constant conversion required for equality</x:v>
      </x:c>
      <x:c r="V863" s="2" t="str">
        <x:v>Model sector composition uses this source family; fixed2018-height modeled epochs</x:v>
      </x:c>
      <x:c r="W863" s="2" t="str">
        <x:v>https://human-settlement.emergency.copernicus.eu/ghs_buV2023.php</x:v>
      </x:c>
    </x:row>
    <x:row r="864" ht="23" customHeight="1">
      <x:c r="A864" s="2" t="str">
        <x:v>IDN</x:v>
      </x:c>
      <x:c r="B864" s="2" t="str">
        <x:v>Indonesia (Republic of)</x:v>
      </x:c>
      <x:c r="C864" s="2" t="str">
        <x:v>GHSL_VOLUME</x:v>
      </x:c>
      <x:c r="D864" s="2" t="n">
        <x:v>2015</x:v>
      </x:c>
      <x:c r="E864" s="2" t="n">
        <x:v>2020</x:v>
      </x:c>
      <x:c r="F864" s="17" t="n">
        <x:v>10348556797.890797</x:v>
      </x:c>
      <x:c r="G864" s="17" t="n">
        <x:v>10794355074.089985</x:v>
      </x:c>
      <x:c r="H864" s="17" t="n">
        <x:v>47550614133.745094</x:v>
      </x:c>
      <x:c r="I864" s="17" t="n">
        <x:v>48550579909.35294</x:v>
      </x:c>
      <x:c r="J864" s="2" t="str">
        <x:v>m3</x:v>
      </x:c>
      <x:c r="K864" s="15" t="n">
        <x:f>IF(AND(ISNUMBER(F864),ISNUMBER(G864),F864&gt;0),G864/F864-1,"n.a.")</x:f>
        <x:v>0.04307830404815949</x:v>
      </x:c>
      <x:c r="L864" s="15" t="n">
        <x:f>IF(AND(N864,ISNUMBER(H864),ISNUMBER(I864),H864&gt;0),I864/H864-1,"n.a.")</x:f>
        <x:v>0.021029502853427973</x:v>
      </x:c>
      <x:c r="M864" s="20" t="n">
        <x:f>IF(AND(ISNUMBER(K864),ISNUMBER(L864)),100*(K864-L864),"n.a.")</x:f>
        <x:v>2.2048801194731515</x:v>
      </x:c>
      <x:c r="N864" s="13" t="b">
        <x:v>1</x:v>
      </x:c>
      <x:c r="O864" s="13" t="b">
        <x:v>1</x:v>
      </x:c>
      <x:c r="P864" s="13" t="b">
        <x:v>0</x:v>
      </x:c>
      <x:c r="Q864" s="2" t="str">
        <x:v>qualified_paired_native_source_frame</x:v>
      </x:c>
      <x:c r="R864" s="2" t="str">
        <x:v>qualified_paired_native_source_frame</x:v>
      </x:c>
      <x:c r="S864" s="2" t="str">
        <x:v>modeled_epoch_volume_with_fixed2018_height_and_predominant_use</x:v>
      </x:c>
      <x:c r="T864" s="2" t="str">
        <x:v>modeled_epoch_volume_with_fixed2018_height_and_predominant_use</x:v>
      </x:c>
      <x:c r="U864" s="2" t="str">
        <x:v>GFA growth versus source physical quantity growth; constant conversion required for equality</x:v>
      </x:c>
      <x:c r="V864" s="2" t="str">
        <x:v>Model sector composition uses this source family; fixed2018-height modeled epochs</x:v>
      </x:c>
      <x:c r="W864" s="2" t="str">
        <x:v>https://human-settlement.emergency.copernicus.eu/ghs_buV2023.php</x:v>
      </x:c>
    </x:row>
    <x:row r="865" ht="23" customHeight="1">
      <x:c r="A865" s="2" t="str">
        <x:v>IND</x:v>
      </x:c>
      <x:c r="B865" s="2" t="str">
        <x:v>India (Republic of)</x:v>
      </x:c>
      <x:c r="C865" s="2" t="str">
        <x:v>GHSL_VOLUME</x:v>
      </x:c>
      <x:c r="D865" s="2" t="n">
        <x:v>2015</x:v>
      </x:c>
      <x:c r="E865" s="2" t="n">
        <x:v>2020</x:v>
      </x:c>
      <x:c r="F865" s="17" t="n">
        <x:v>23332628208.733402</x:v>
      </x:c>
      <x:c r="G865" s="17" t="n">
        <x:v>27853638424.040043</x:v>
      </x:c>
      <x:c r="H865" s="17" t="n">
        <x:v>145453017966.17648</x:v>
      </x:c>
      <x:c r="I865" s="17" t="n">
        <x:v>161595015820.28235</x:v>
      </x:c>
      <x:c r="J865" s="2" t="str">
        <x:v>m3</x:v>
      </x:c>
      <x:c r="K865" s="15" t="n">
        <x:f>IF(AND(ISNUMBER(F865),ISNUMBER(G865),F865&gt;0),G865/F865-1,"n.a.")</x:f>
        <x:v>0.19376343611451485</x:v>
      </x:c>
      <x:c r="L865" s="15" t="n">
        <x:f>IF(AND(N865,ISNUMBER(H865),ISNUMBER(I865),H865&gt;0),I865/H865-1,"n.a.")</x:f>
        <x:v>0.11097740067421302</x:v>
      </x:c>
      <x:c r="M865" s="20" t="n">
        <x:f>IF(AND(ISNUMBER(K865),ISNUMBER(L865)),100*(K865-L865),"n.a.")</x:f>
        <x:v>8.278603544030183</x:v>
      </x:c>
      <x:c r="N865" s="13" t="b">
        <x:v>1</x:v>
      </x:c>
      <x:c r="O865" s="13" t="b">
        <x:v>1</x:v>
      </x:c>
      <x:c r="P865" s="13" t="b">
        <x:v>0</x:v>
      </x:c>
      <x:c r="Q865" s="2" t="str">
        <x:v>qualified_paired_native_source_frame</x:v>
      </x:c>
      <x:c r="R865" s="2" t="str">
        <x:v>qualified_paired_native_source_frame</x:v>
      </x:c>
      <x:c r="S865" s="2" t="str">
        <x:v>modeled_epoch_volume_with_fixed2018_height_and_predominant_use</x:v>
      </x:c>
      <x:c r="T865" s="2" t="str">
        <x:v>modeled_epoch_volume_with_fixed2018_height_and_predominant_use</x:v>
      </x:c>
      <x:c r="U865" s="2" t="str">
        <x:v>GFA growth versus source physical quantity growth; constant conversion required for equality</x:v>
      </x:c>
      <x:c r="V865" s="2" t="str">
        <x:v>Model sector composition uses this source family; fixed2018-height modeled epochs</x:v>
      </x:c>
      <x:c r="W865" s="2" t="str">
        <x:v>https://human-settlement.emergency.copernicus.eu/ghs_buV2023.php</x:v>
      </x:c>
    </x:row>
    <x:row r="866" ht="23" customHeight="1">
      <x:c r="A866" s="2" t="str">
        <x:v>IRL</x:v>
      </x:c>
      <x:c r="B866" s="2" t="str">
        <x:v>Ireland</x:v>
      </x:c>
      <x:c r="C866" s="2" t="str">
        <x:v>GHSL_VOLUME</x:v>
      </x:c>
      <x:c r="D866" s="2" t="n">
        <x:v>2015</x:v>
      </x:c>
      <x:c r="E866" s="2" t="n">
        <x:v>2020</x:v>
      </x:c>
      <x:c r="F866" s="17" t="n">
        <x:v>405777737.91803694</x:v>
      </x:c>
      <x:c r="G866" s="17" t="n">
        <x:v>426553619.39999974</x:v>
      </x:c>
      <x:c r="H866" s="17" t="n">
        <x:v>2606404596.8313704</x:v>
      </x:c>
      <x:c r="I866" s="17" t="n">
        <x:v>2701122744.631371</x:v>
      </x:c>
      <x:c r="J866" s="2" t="str">
        <x:v>m3</x:v>
      </x:c>
      <x:c r="K866" s="15" t="n">
        <x:f>IF(AND(ISNUMBER(F866),ISNUMBER(G866),F866&gt;0),G866/F866-1,"n.a.")</x:f>
        <x:v>0.0512001510693012</x:v>
      </x:c>
      <x:c r="L866" s="15" t="n">
        <x:f>IF(AND(N866,ISNUMBER(H866),ISNUMBER(I866),H866&gt;0),I866/H866-1,"n.a.")</x:f>
        <x:v>0.036340538961276536</x:v>
      </x:c>
      <x:c r="M866" s="20" t="n">
        <x:f>IF(AND(ISNUMBER(K866),ISNUMBER(L866)),100*(K866-L866),"n.a.")</x:f>
        <x:v>1.4859612108024667</x:v>
      </x:c>
      <x:c r="N866" s="13" t="b">
        <x:v>1</x:v>
      </x:c>
      <x:c r="O866" s="13" t="b">
        <x:v>1</x:v>
      </x:c>
      <x:c r="P866" s="13" t="b">
        <x:v>0</x:v>
      </x:c>
      <x:c r="Q866" s="2" t="str">
        <x:v>qualified_paired_native_source_frame</x:v>
      </x:c>
      <x:c r="R866" s="2" t="str">
        <x:v>qualified_paired_native_source_frame</x:v>
      </x:c>
      <x:c r="S866" s="2" t="str">
        <x:v>modeled_epoch_volume_with_fixed2018_height_and_predominant_use</x:v>
      </x:c>
      <x:c r="T866" s="2" t="str">
        <x:v>modeled_epoch_volume_with_fixed2018_height_and_predominant_use</x:v>
      </x:c>
      <x:c r="U866" s="2" t="str">
        <x:v>GFA growth versus source physical quantity growth; constant conversion required for equality</x:v>
      </x:c>
      <x:c r="V866" s="2" t="str">
        <x:v>Model sector composition uses this source family; fixed2018-height modeled epochs</x:v>
      </x:c>
      <x:c r="W866" s="2" t="str">
        <x:v>https://human-settlement.emergency.copernicus.eu/ghs_buV2023.php</x:v>
      </x:c>
    </x:row>
    <x:row r="867" ht="23" customHeight="1">
      <x:c r="A867" s="2" t="str">
        <x:v>IRN</x:v>
      </x:c>
      <x:c r="B867" s="2" t="str">
        <x:v>Iran (Islamic Republic of)</x:v>
      </x:c>
      <x:c r="C867" s="2" t="str">
        <x:v>GHSL_VOLUME</x:v>
      </x:c>
      <x:c r="D867" s="2" t="n">
        <x:v>2015</x:v>
      </x:c>
      <x:c r="E867" s="2" t="n">
        <x:v>2020</x:v>
      </x:c>
      <x:c r="F867" s="17" t="n">
        <x:v>3491042780.907833</x:v>
      </x:c>
      <x:c r="G867" s="17" t="n">
        <x:v>3753827768.770001</x:v>
      </x:c>
      <x:c r="H867" s="17" t="n">
        <x:v>24187970995.7451</x:v>
      </x:c>
      <x:c r="I867" s="17" t="n">
        <x:v>25583927984.129414</x:v>
      </x:c>
      <x:c r="J867" s="2" t="str">
        <x:v>m3</x:v>
      </x:c>
      <x:c r="K867" s="15" t="n">
        <x:f>IF(AND(ISNUMBER(F867),ISNUMBER(G867),F867&gt;0),G867/F867-1,"n.a.")</x:f>
        <x:v>0.0752740669061156</x:v>
      </x:c>
      <x:c r="L867" s="15" t="n">
        <x:f>IF(AND(N867,ISNUMBER(H867),ISNUMBER(I867),H867&gt;0),I867/H867-1,"n.a.")</x:f>
        <x:v>0.05771286019112054</x:v>
      </x:c>
      <x:c r="M867" s="20" t="n">
        <x:f>IF(AND(ISNUMBER(K867),ISNUMBER(L867)),100*(K867-L867),"n.a.")</x:f>
        <x:v>1.756120671499506</x:v>
      </x:c>
      <x:c r="N867" s="13" t="b">
        <x:v>1</x:v>
      </x:c>
      <x:c r="O867" s="13" t="b">
        <x:v>1</x:v>
      </x:c>
      <x:c r="P867" s="13" t="b">
        <x:v>0</x:v>
      </x:c>
      <x:c r="Q867" s="2" t="str">
        <x:v>qualified_paired_native_source_frame</x:v>
      </x:c>
      <x:c r="R867" s="2" t="str">
        <x:v>qualified_paired_native_source_frame</x:v>
      </x:c>
      <x:c r="S867" s="2" t="str">
        <x:v>modeled_epoch_volume_with_fixed2018_height_and_predominant_use</x:v>
      </x:c>
      <x:c r="T867" s="2" t="str">
        <x:v>modeled_epoch_volume_with_fixed2018_height_and_predominant_use</x:v>
      </x:c>
      <x:c r="U867" s="2" t="str">
        <x:v>GFA growth versus source physical quantity growth; constant conversion required for equality</x:v>
      </x:c>
      <x:c r="V867" s="2" t="str">
        <x:v>Model sector composition uses this source family; fixed2018-height modeled epochs</x:v>
      </x:c>
      <x:c r="W867" s="2" t="str">
        <x:v>https://human-settlement.emergency.copernicus.eu/ghs_buV2023.php</x:v>
      </x:c>
    </x:row>
    <x:row r="868" ht="23" customHeight="1">
      <x:c r="A868" s="2" t="str">
        <x:v>IRQ</x:v>
      </x:c>
      <x:c r="B868" s="2" t="str">
        <x:v>Iraq (Republic of)</x:v>
      </x:c>
      <x:c r="C868" s="2" t="str">
        <x:v>GHSL_VOLUME</x:v>
      </x:c>
      <x:c r="D868" s="2" t="n">
        <x:v>2015</x:v>
      </x:c>
      <x:c r="E868" s="2" t="n">
        <x:v>2020</x:v>
      </x:c>
      <x:c r="F868" s="17" t="n">
        <x:v>1135556484.5551572</x:v>
      </x:c>
      <x:c r="G868" s="17" t="n">
        <x:v>1226955244.870001</x:v>
      </x:c>
      <x:c r="H868" s="17" t="n">
        <x:v>7671666815.525491</x:v>
      </x:c>
      <x:c r="I868" s="17" t="n">
        <x:v>8192264661.447058</x:v>
      </x:c>
      <x:c r="J868" s="2" t="str">
        <x:v>m3</x:v>
      </x:c>
      <x:c r="K868" s="15" t="n">
        <x:f>IF(AND(ISNUMBER(F868),ISNUMBER(G868),F868&gt;0),G868/F868-1,"n.a.")</x:f>
        <x:v>0.08048807924393864</x:v>
      </x:c>
      <x:c r="L868" s="15" t="n">
        <x:f>IF(AND(N868,ISNUMBER(H868),ISNUMBER(I868),H868&gt;0),I868/H868-1,"n.a.")</x:f>
        <x:v>0.06785980914447554</x:v>
      </x:c>
      <x:c r="M868" s="20" t="n">
        <x:f>IF(AND(ISNUMBER(K868),ISNUMBER(L868)),100*(K868-L868),"n.a.")</x:f>
        <x:v>1.2628270099463101</x:v>
      </x:c>
      <x:c r="N868" s="13" t="b">
        <x:v>1</x:v>
      </x:c>
      <x:c r="O868" s="13" t="b">
        <x:v>1</x:v>
      </x:c>
      <x:c r="P868" s="13" t="b">
        <x:v>0</x:v>
      </x:c>
      <x:c r="Q868" s="2" t="str">
        <x:v>qualified_paired_native_source_frame</x:v>
      </x:c>
      <x:c r="R868" s="2" t="str">
        <x:v>qualified_paired_native_source_frame</x:v>
      </x:c>
      <x:c r="S868" s="2" t="str">
        <x:v>modeled_epoch_volume_with_fixed2018_height_and_predominant_use</x:v>
      </x:c>
      <x:c r="T868" s="2" t="str">
        <x:v>modeled_epoch_volume_with_fixed2018_height_and_predominant_use</x:v>
      </x:c>
      <x:c r="U868" s="2" t="str">
        <x:v>GFA growth versus source physical quantity growth; constant conversion required for equality</x:v>
      </x:c>
      <x:c r="V868" s="2" t="str">
        <x:v>Model sector composition uses this source family; fixed2018-height modeled epochs</x:v>
      </x:c>
      <x:c r="W868" s="2" t="str">
        <x:v>https://human-settlement.emergency.copernicus.eu/ghs_buV2023.php</x:v>
      </x:c>
    </x:row>
    <x:row r="869" ht="23" customHeight="1">
      <x:c r="A869" s="2" t="str">
        <x:v>ISL</x:v>
      </x:c>
      <x:c r="B869" s="2" t="str">
        <x:v>Iceland</x:v>
      </x:c>
      <x:c r="C869" s="2" t="str">
        <x:v>GHSL_VOLUME</x:v>
      </x:c>
      <x:c r="D869" s="2" t="n">
        <x:v>2015</x:v>
      </x:c>
      <x:c r="E869" s="2" t="n">
        <x:v>2020</x:v>
      </x:c>
      <x:c r="F869" s="17" t="n">
        <x:v>25861968.358574174</x:v>
      </x:c>
      <x:c r="G869" s="17" t="n">
        <x:v>26377629.56999999</x:v>
      </x:c>
      <x:c r="H869" s="17" t="n">
        <x:v>136632783.07450974</x:v>
      </x:c>
      <x:c r="I869" s="17" t="n">
        <x:v>137569166.74509808</x:v>
      </x:c>
      <x:c r="J869" s="2" t="str">
        <x:v>m3</x:v>
      </x:c>
      <x:c r="K869" s="15" t="n">
        <x:f>IF(AND(ISNUMBER(F869),ISNUMBER(G869),F869&gt;0),G869/F869-1,"n.a.")</x:f>
        <x:v>0.019938977740449282</x:v>
      </x:c>
      <x:c r="L869" s="15" t="n">
        <x:f>IF(AND(N869,ISNUMBER(H869),ISNUMBER(I869),H869&gt;0),I869/H869-1,"n.a.")</x:f>
        <x:v>0.006853286960258442</x:v>
      </x:c>
      <x:c r="M869" s="20" t="n">
        <x:f>IF(AND(ISNUMBER(K869),ISNUMBER(L869)),100*(K869-L869),"n.a.")</x:f>
        <x:v>1.308569078019084</x:v>
      </x:c>
      <x:c r="N869" s="13" t="b">
        <x:v>1</x:v>
      </x:c>
      <x:c r="O869" s="13" t="b">
        <x:v>1</x:v>
      </x:c>
      <x:c r="P869" s="13" t="b">
        <x:v>0</x:v>
      </x:c>
      <x:c r="Q869" s="2" t="str">
        <x:v>qualified_paired_native_source_frame</x:v>
      </x:c>
      <x:c r="R869" s="2" t="str">
        <x:v>qualified_paired_native_source_frame</x:v>
      </x:c>
      <x:c r="S869" s="2" t="str">
        <x:v>modeled_epoch_volume_with_fixed2018_height_and_predominant_use</x:v>
      </x:c>
      <x:c r="T869" s="2" t="str">
        <x:v>modeled_epoch_volume_with_fixed2018_height_and_predominant_use</x:v>
      </x:c>
      <x:c r="U869" s="2" t="str">
        <x:v>GFA growth versus source physical quantity growth; constant conversion required for equality</x:v>
      </x:c>
      <x:c r="V869" s="2" t="str">
        <x:v>Model sector composition uses this source family; fixed2018-height modeled epochs</x:v>
      </x:c>
      <x:c r="W869" s="2" t="str">
        <x:v>https://human-settlement.emergency.copernicus.eu/ghs_buV2023.php</x:v>
      </x:c>
    </x:row>
    <x:row r="870" ht="23" customHeight="1">
      <x:c r="A870" s="2" t="str">
        <x:v>ISR</x:v>
      </x:c>
      <x:c r="B870" s="2" t="str">
        <x:v>Israel (State of)</x:v>
      </x:c>
      <x:c r="C870" s="2" t="str">
        <x:v>GHSL_VOLUME</x:v>
      </x:c>
      <x:c r="D870" s="2" t="n">
        <x:v>2015</x:v>
      </x:c>
      <x:c r="E870" s="2" t="n">
        <x:v>2020</x:v>
      </x:c>
      <x:c r="F870" s="17" t="n">
        <x:v>349771256.8497736</x:v>
      </x:c>
      <x:c r="G870" s="17" t="n">
        <x:v>372353983.1399999</x:v>
      </x:c>
      <x:c r="H870" s="17" t="n">
        <x:v>3585659455.105883</x:v>
      </x:c>
      <x:c r="I870" s="17" t="n">
        <x:v>3731540885.7450967</x:v>
      </x:c>
      <x:c r="J870" s="2" t="str">
        <x:v>m3</x:v>
      </x:c>
      <x:c r="K870" s="15" t="n">
        <x:f>IF(AND(ISNUMBER(F870),ISNUMBER(G870),F870&gt;0),G870/F870-1,"n.a.")</x:f>
        <x:v>0.06456427121433128</x:v>
      </x:c>
      <x:c r="L870" s="15" t="n">
        <x:f>IF(AND(N870,ISNUMBER(H870),ISNUMBER(I870),H870&gt;0),I870/H870-1,"n.a.")</x:f>
        <x:v>0.04068468644769996</x:v>
      </x:c>
      <x:c r="M870" s="20" t="n">
        <x:f>IF(AND(ISNUMBER(K870),ISNUMBER(L870)),100*(K870-L870),"n.a.")</x:f>
        <x:v>2.3879584766631323</x:v>
      </x:c>
      <x:c r="N870" s="13" t="b">
        <x:v>1</x:v>
      </x:c>
      <x:c r="O870" s="13" t="b">
        <x:v>1</x:v>
      </x:c>
      <x:c r="P870" s="13" t="b">
        <x:v>0</x:v>
      </x:c>
      <x:c r="Q870" s="2" t="str">
        <x:v>qualified_paired_native_source_frame</x:v>
      </x:c>
      <x:c r="R870" s="2" t="str">
        <x:v>qualified_paired_native_source_frame</x:v>
      </x:c>
      <x:c r="S870" s="2" t="str">
        <x:v>modeled_epoch_volume_with_fixed2018_height_and_predominant_use</x:v>
      </x:c>
      <x:c r="T870" s="2" t="str">
        <x:v>modeled_epoch_volume_with_fixed2018_height_and_predominant_use</x:v>
      </x:c>
      <x:c r="U870" s="2" t="str">
        <x:v>GFA growth versus source physical quantity growth; constant conversion required for equality</x:v>
      </x:c>
      <x:c r="V870" s="2" t="str">
        <x:v>Model sector composition uses this source family; fixed2018-height modeled epochs</x:v>
      </x:c>
      <x:c r="W870" s="2" t="str">
        <x:v>https://human-settlement.emergency.copernicus.eu/ghs_buV2023.php</x:v>
      </x:c>
    </x:row>
    <x:row r="871" ht="23" customHeight="1">
      <x:c r="A871" s="2" t="str">
        <x:v>ITA</x:v>
      </x:c>
      <x:c r="B871" s="2" t="str">
        <x:v>Italy (Italian Republic)</x:v>
      </x:c>
      <x:c r="C871" s="2" t="str">
        <x:v>GHSL_VOLUME</x:v>
      </x:c>
      <x:c r="D871" s="2" t="n">
        <x:v>2015</x:v>
      </x:c>
      <x:c r="E871" s="2" t="n">
        <x:v>2020</x:v>
      </x:c>
      <x:c r="F871" s="17" t="n">
        <x:v>4823889767.431577</x:v>
      </x:c>
      <x:c r="G871" s="17" t="n">
        <x:v>5000634293.290002</x:v>
      </x:c>
      <x:c r="H871" s="17" t="n">
        <x:v>38717645195.827446</x:v>
      </x:c>
      <x:c r="I871" s="17" t="n">
        <x:v>39629821274.29804</x:v>
      </x:c>
      <x:c r="J871" s="2" t="str">
        <x:v>m3</x:v>
      </x:c>
      <x:c r="K871" s="15" t="n">
        <x:f>IF(AND(ISNUMBER(F871),ISNUMBER(G871),F871&gt;0),G871/F871-1,"n.a.")</x:f>
        <x:v>0.0366394205464049</x:v>
      </x:c>
      <x:c r="L871" s="15" t="n">
        <x:f>IF(AND(N871,ISNUMBER(H871),ISNUMBER(I871),H871&gt;0),I871/H871-1,"n.a.")</x:f>
        <x:v>0.023559699301364034</x:v>
      </x:c>
      <x:c r="M871" s="20" t="n">
        <x:f>IF(AND(ISNUMBER(K871),ISNUMBER(L871)),100*(K871-L871),"n.a.")</x:f>
        <x:v>1.3079721245040865</x:v>
      </x:c>
      <x:c r="N871" s="13" t="b">
        <x:v>1</x:v>
      </x:c>
      <x:c r="O871" s="13" t="b">
        <x:v>1</x:v>
      </x:c>
      <x:c r="P871" s="13" t="b">
        <x:v>0</x:v>
      </x:c>
      <x:c r="Q871" s="2" t="str">
        <x:v>qualified_paired_native_source_frame</x:v>
      </x:c>
      <x:c r="R871" s="2" t="str">
        <x:v>qualified_paired_native_source_frame</x:v>
      </x:c>
      <x:c r="S871" s="2" t="str">
        <x:v>modeled_epoch_volume_with_fixed2018_height_and_predominant_use</x:v>
      </x:c>
      <x:c r="T871" s="2" t="str">
        <x:v>modeled_epoch_volume_with_fixed2018_height_and_predominant_use</x:v>
      </x:c>
      <x:c r="U871" s="2" t="str">
        <x:v>GFA growth versus source physical quantity growth; constant conversion required for equality</x:v>
      </x:c>
      <x:c r="V871" s="2" t="str">
        <x:v>Model sector composition uses this source family; fixed2018-height modeled epochs</x:v>
      </x:c>
      <x:c r="W871" s="2" t="str">
        <x:v>https://human-settlement.emergency.copernicus.eu/ghs_buV2023.php</x:v>
      </x:c>
    </x:row>
    <x:row r="872" ht="23" customHeight="1">
      <x:c r="A872" s="2" t="str">
        <x:v>JAM</x:v>
      </x:c>
      <x:c r="B872" s="2" t="str">
        <x:v>Jamaica</x:v>
      </x:c>
      <x:c r="C872" s="2" t="str">
        <x:v>GHSL_VOLUME</x:v>
      </x:c>
      <x:c r="D872" s="2" t="n">
        <x:v>2015</x:v>
      </x:c>
      <x:c r="E872" s="2" t="n">
        <x:v>2020</x:v>
      </x:c>
      <x:c r="F872" s="17" t="n">
        <x:v>118767913.59415096</x:v>
      </x:c>
      <x:c r="G872" s="17" t="n">
        <x:v>133338245.18999992</x:v>
      </x:c>
      <x:c r="H872" s="17" t="n">
        <x:v>929958765.5607843</x:v>
      </x:c>
      <x:c r="I872" s="17" t="n">
        <x:v>1000446002.5607845</x:v>
      </x:c>
      <x:c r="J872" s="2" t="str">
        <x:v>m3</x:v>
      </x:c>
      <x:c r="K872" s="15" t="n">
        <x:f>IF(AND(ISNUMBER(F872),ISNUMBER(G872),F872&gt;0),G872/F872-1,"n.a.")</x:f>
        <x:v>0.12267902293575794</x:v>
      </x:c>
      <x:c r="L872" s="15" t="n">
        <x:f>IF(AND(N872,ISNUMBER(H872),ISNUMBER(I872),H872&gt;0),I872/H872-1,"n.a.")</x:f>
        <x:v>0.07579608861205256</x:v>
      </x:c>
      <x:c r="M872" s="20" t="n">
        <x:f>IF(AND(ISNUMBER(K872),ISNUMBER(L872)),100*(K872-L872),"n.a.")</x:f>
        <x:v>4.688293432370538</x:v>
      </x:c>
      <x:c r="N872" s="13" t="b">
        <x:v>1</x:v>
      </x:c>
      <x:c r="O872" s="13" t="b">
        <x:v>1</x:v>
      </x:c>
      <x:c r="P872" s="13" t="b">
        <x:v>0</x:v>
      </x:c>
      <x:c r="Q872" s="2" t="str">
        <x:v>qualified_paired_native_source_frame</x:v>
      </x:c>
      <x:c r="R872" s="2" t="str">
        <x:v>qualified_paired_native_source_frame</x:v>
      </x:c>
      <x:c r="S872" s="2" t="str">
        <x:v>modeled_epoch_volume_with_fixed2018_height_and_predominant_use</x:v>
      </x:c>
      <x:c r="T872" s="2" t="str">
        <x:v>modeled_epoch_volume_with_fixed2018_height_and_predominant_use</x:v>
      </x:c>
      <x:c r="U872" s="2" t="str">
        <x:v>GFA growth versus source physical quantity growth; constant conversion required for equality</x:v>
      </x:c>
      <x:c r="V872" s="2" t="str">
        <x:v>Model sector composition uses this source family; fixed2018-height modeled epochs</x:v>
      </x:c>
      <x:c r="W872" s="2" t="str">
        <x:v>https://human-settlement.emergency.copernicus.eu/ghs_buV2023.php</x:v>
      </x:c>
    </x:row>
    <x:row r="873" ht="23" customHeight="1">
      <x:c r="A873" s="2" t="str">
        <x:v>JOR</x:v>
      </x:c>
      <x:c r="B873" s="2" t="str">
        <x:v>Jordan (Hashemite Kingdom of)</x:v>
      </x:c>
      <x:c r="C873" s="2" t="str">
        <x:v>GHSL_VOLUME</x:v>
      </x:c>
      <x:c r="D873" s="2" t="n">
        <x:v>2015</x:v>
      </x:c>
      <x:c r="E873" s="2" t="n">
        <x:v>2020</x:v>
      </x:c>
      <x:c r="F873" s="17" t="n">
        <x:v>256921049.6360146</x:v>
      </x:c>
      <x:c r="G873" s="17" t="n">
        <x:v>279172690.0000002</x:v>
      </x:c>
      <x:c r="H873" s="17" t="n">
        <x:v>2377075172.7529407</x:v>
      </x:c>
      <x:c r="I873" s="17" t="n">
        <x:v>2539702030.560784</x:v>
      </x:c>
      <x:c r="J873" s="2" t="str">
        <x:v>m3</x:v>
      </x:c>
      <x:c r="K873" s="15" t="n">
        <x:f>IF(AND(ISNUMBER(F873),ISNUMBER(G873),F873&gt;0),G873/F873-1,"n.a.")</x:f>
        <x:v>0.08660886445664895</x:v>
      </x:c>
      <x:c r="L873" s="15" t="n">
        <x:f>IF(AND(N873,ISNUMBER(H873),ISNUMBER(I873),H873&gt;0),I873/H873-1,"n.a.")</x:f>
        <x:v>0.06841468863582545</x:v>
      </x:c>
      <x:c r="M873" s="20" t="n">
        <x:f>IF(AND(ISNUMBER(K873),ISNUMBER(L873)),100*(K873-L873),"n.a.")</x:f>
        <x:v>1.81941758208235</x:v>
      </x:c>
      <x:c r="N873" s="13" t="b">
        <x:v>1</x:v>
      </x:c>
      <x:c r="O873" s="13" t="b">
        <x:v>1</x:v>
      </x:c>
      <x:c r="P873" s="13" t="b">
        <x:v>0</x:v>
      </x:c>
      <x:c r="Q873" s="2" t="str">
        <x:v>qualified_paired_native_source_frame</x:v>
      </x:c>
      <x:c r="R873" s="2" t="str">
        <x:v>qualified_paired_native_source_frame</x:v>
      </x:c>
      <x:c r="S873" s="2" t="str">
        <x:v>modeled_epoch_volume_with_fixed2018_height_and_predominant_use</x:v>
      </x:c>
      <x:c r="T873" s="2" t="str">
        <x:v>modeled_epoch_volume_with_fixed2018_height_and_predominant_use</x:v>
      </x:c>
      <x:c r="U873" s="2" t="str">
        <x:v>GFA growth versus source physical quantity growth; constant conversion required for equality</x:v>
      </x:c>
      <x:c r="V873" s="2" t="str">
        <x:v>Model sector composition uses this source family; fixed2018-height modeled epochs</x:v>
      </x:c>
      <x:c r="W873" s="2" t="str">
        <x:v>https://human-settlement.emergency.copernicus.eu/ghs_buV2023.php</x:v>
      </x:c>
    </x:row>
    <x:row r="874" ht="23" customHeight="1">
      <x:c r="A874" s="2" t="str">
        <x:v>JPN</x:v>
      </x:c>
      <x:c r="B874" s="2" t="str">
        <x:v>Japan</x:v>
      </x:c>
      <x:c r="C874" s="2" t="str">
        <x:v>GHSL_VOLUME</x:v>
      </x:c>
      <x:c r="D874" s="2" t="n">
        <x:v>2015</x:v>
      </x:c>
      <x:c r="E874" s="2" t="n">
        <x:v>2020</x:v>
      </x:c>
      <x:c r="F874" s="17" t="n">
        <x:v>8023790686.244393</x:v>
      </x:c>
      <x:c r="G874" s="17" t="n">
        <x:v>8341228241.779989</x:v>
      </x:c>
      <x:c r="H874" s="17" t="n">
        <x:v>104239214241.68234</x:v>
      </x:c>
      <x:c r="I874" s="17" t="n">
        <x:v>107019852231.9451</x:v>
      </x:c>
      <x:c r="J874" s="2" t="str">
        <x:v>m3</x:v>
      </x:c>
      <x:c r="K874" s="15" t="n">
        <x:f>IF(AND(ISNUMBER(F874),ISNUMBER(G874),F874&gt;0),G874/F874-1,"n.a.")</x:f>
        <x:v>0.03956204342167058</x:v>
      </x:c>
      <x:c r="L874" s="15" t="n">
        <x:f>IF(AND(N874,ISNUMBER(H874),ISNUMBER(I874),H874&gt;0),I874/H874-1,"n.a.")</x:f>
        <x:v>0.026675546343008172</x:v>
      </x:c>
      <x:c r="M874" s="20" t="n">
        <x:f>IF(AND(ISNUMBER(K874),ISNUMBER(L874)),100*(K874-L874),"n.a.")</x:f>
        <x:v>1.2886497078662407</x:v>
      </x:c>
      <x:c r="N874" s="13" t="b">
        <x:v>1</x:v>
      </x:c>
      <x:c r="O874" s="13" t="b">
        <x:v>1</x:v>
      </x:c>
      <x:c r="P874" s="13" t="b">
        <x:v>0</x:v>
      </x:c>
      <x:c r="Q874" s="2" t="str">
        <x:v>qualified_paired_native_source_frame</x:v>
      </x:c>
      <x:c r="R874" s="2" t="str">
        <x:v>qualified_paired_native_source_frame</x:v>
      </x:c>
      <x:c r="S874" s="2" t="str">
        <x:v>modeled_epoch_volume_with_fixed2018_height_and_predominant_use</x:v>
      </x:c>
      <x:c r="T874" s="2" t="str">
        <x:v>modeled_epoch_volume_with_fixed2018_height_and_predominant_use</x:v>
      </x:c>
      <x:c r="U874" s="2" t="str">
        <x:v>GFA growth versus source physical quantity growth; constant conversion required for equality</x:v>
      </x:c>
      <x:c r="V874" s="2" t="str">
        <x:v>Model sector composition uses this source family; fixed2018-height modeled epochs</x:v>
      </x:c>
      <x:c r="W874" s="2" t="str">
        <x:v>https://human-settlement.emergency.copernicus.eu/ghs_buV2023.php</x:v>
      </x:c>
    </x:row>
    <x:row r="875" ht="23" customHeight="1">
      <x:c r="A875" s="2" t="str">
        <x:v>KAZ</x:v>
      </x:c>
      <x:c r="B875" s="2" t="str">
        <x:v>Kazakhstan (Republic of)</x:v>
      </x:c>
      <x:c r="C875" s="2" t="str">
        <x:v>GHSL_VOLUME</x:v>
      </x:c>
      <x:c r="D875" s="2" t="n">
        <x:v>2015</x:v>
      </x:c>
      <x:c r="E875" s="2" t="n">
        <x:v>2020</x:v>
      </x:c>
      <x:c r="F875" s="17" t="n">
        <x:v>937035930.5887325</x:v>
      </x:c>
      <x:c r="G875" s="17" t="n">
        <x:v>1009034692.9700016</x:v>
      </x:c>
      <x:c r="H875" s="17" t="n">
        <x:v>11490456917.898039</x:v>
      </x:c>
      <x:c r="I875" s="17" t="n">
        <x:v>12128641312.317646</x:v>
      </x:c>
      <x:c r="J875" s="2" t="str">
        <x:v>m3</x:v>
      </x:c>
      <x:c r="K875" s="15" t="n">
        <x:f>IF(AND(ISNUMBER(F875),ISNUMBER(G875),F875&gt;0),G875/F875-1,"n.a.")</x:f>
        <x:v>0.07683671461352914</x:v>
      </x:c>
      <x:c r="L875" s="15" t="n">
        <x:f>IF(AND(N875,ISNUMBER(H875),ISNUMBER(I875),H875&gt;0),I875/H875-1,"n.a.")</x:f>
        <x:v>0.05554038442331599</x:v>
      </x:c>
      <x:c r="M875" s="20" t="n">
        <x:f>IF(AND(ISNUMBER(K875),ISNUMBER(L875)),100*(K875-L875),"n.a.")</x:f>
        <x:v>2.1296330190213153</x:v>
      </x:c>
      <x:c r="N875" s="13" t="b">
        <x:v>1</x:v>
      </x:c>
      <x:c r="O875" s="13" t="b">
        <x:v>1</x:v>
      </x:c>
      <x:c r="P875" s="13" t="b">
        <x:v>0</x:v>
      </x:c>
      <x:c r="Q875" s="2" t="str">
        <x:v>qualified_paired_native_source_frame</x:v>
      </x:c>
      <x:c r="R875" s="2" t="str">
        <x:v>qualified_paired_native_source_frame</x:v>
      </x:c>
      <x:c r="S875" s="2" t="str">
        <x:v>modeled_epoch_volume_with_fixed2018_height_and_predominant_use</x:v>
      </x:c>
      <x:c r="T875" s="2" t="str">
        <x:v>modeled_epoch_volume_with_fixed2018_height_and_predominant_use</x:v>
      </x:c>
      <x:c r="U875" s="2" t="str">
        <x:v>GFA growth versus source physical quantity growth; constant conversion required for equality</x:v>
      </x:c>
      <x:c r="V875" s="2" t="str">
        <x:v>Model sector composition uses this source family; fixed2018-height modeled epochs</x:v>
      </x:c>
      <x:c r="W875" s="2" t="str">
        <x:v>https://human-settlement.emergency.copernicus.eu/ghs_buV2023.php</x:v>
      </x:c>
    </x:row>
    <x:row r="876" ht="23" customHeight="1">
      <x:c r="A876" s="2" t="str">
        <x:v>KEN</x:v>
      </x:c>
      <x:c r="B876" s="2" t="str">
        <x:v>Kenya (Republic of)</x:v>
      </x:c>
      <x:c r="C876" s="2" t="str">
        <x:v>GHSL_VOLUME</x:v>
      </x:c>
      <x:c r="D876" s="2" t="n">
        <x:v>2015</x:v>
      </x:c>
      <x:c r="E876" s="2" t="n">
        <x:v>2020</x:v>
      </x:c>
      <x:c r="F876" s="17" t="n">
        <x:v>795387215.5234706</x:v>
      </x:c>
      <x:c r="G876" s="17" t="n">
        <x:v>1180050447.52</x:v>
      </x:c>
      <x:c r="H876" s="17" t="n">
        <x:v>7472493032.533334</x:v>
      </x:c>
      <x:c r="I876" s="17" t="n">
        <x:v>10000453818.984314</x:v>
      </x:c>
      <x:c r="J876" s="2" t="str">
        <x:v>m3</x:v>
      </x:c>
      <x:c r="K876" s="15" t="n">
        <x:f>IF(AND(ISNUMBER(F876),ISNUMBER(G876),F876&gt;0),G876/F876-1,"n.a.")</x:f>
        <x:v>0.4836175695172191</x:v>
      </x:c>
      <x:c r="L876" s="15" t="n">
        <x:f>IF(AND(N876,ISNUMBER(H876),ISNUMBER(I876),H876&gt;0),I876/H876-1,"n.a.")</x:f>
        <x:v>0.33830219385215643</x:v>
      </x:c>
      <x:c r="M876" s="20" t="n">
        <x:f>IF(AND(ISNUMBER(K876),ISNUMBER(L876)),100*(K876-L876),"n.a.")</x:f>
        <x:v>14.53153756650627</x:v>
      </x:c>
      <x:c r="N876" s="13" t="b">
        <x:v>1</x:v>
      </x:c>
      <x:c r="O876" s="13" t="b">
        <x:v>1</x:v>
      </x:c>
      <x:c r="P876" s="13" t="b">
        <x:v>0</x:v>
      </x:c>
      <x:c r="Q876" s="2" t="str">
        <x:v>qualified_paired_native_source_frame</x:v>
      </x:c>
      <x:c r="R876" s="2" t="str">
        <x:v>qualified_paired_native_source_frame</x:v>
      </x:c>
      <x:c r="S876" s="2" t="str">
        <x:v>modeled_epoch_volume_with_fixed2018_height_and_predominant_use</x:v>
      </x:c>
      <x:c r="T876" s="2" t="str">
        <x:v>modeled_epoch_volume_with_fixed2018_height_and_predominant_use</x:v>
      </x:c>
      <x:c r="U876" s="2" t="str">
        <x:v>GFA growth versus source physical quantity growth; constant conversion required for equality</x:v>
      </x:c>
      <x:c r="V876" s="2" t="str">
        <x:v>Model sector composition uses this source family; fixed2018-height modeled epochs</x:v>
      </x:c>
      <x:c r="W876" s="2" t="str">
        <x:v>https://human-settlement.emergency.copernicus.eu/ghs_buV2023.php</x:v>
      </x:c>
    </x:row>
    <x:row r="877" ht="23" customHeight="1">
      <x:c r="A877" s="2" t="str">
        <x:v>KGZ</x:v>
      </x:c>
      <x:c r="B877" s="2" t="str">
        <x:v>Kyrgyzstan (Kyrgyz Republic)</x:v>
      </x:c>
      <x:c r="C877" s="2" t="str">
        <x:v>GHSL_VOLUME</x:v>
      </x:c>
      <x:c r="D877" s="2" t="n">
        <x:v>2015</x:v>
      </x:c>
      <x:c r="E877" s="2" t="n">
        <x:v>2020</x:v>
      </x:c>
      <x:c r="F877" s="17" t="n">
        <x:v>303607959.0383275</x:v>
      </x:c>
      <x:c r="G877" s="17" t="n">
        <x:v>332236534.37000054</x:v>
      </x:c>
      <x:c r="H877" s="17" t="n">
        <x:v>3062491729.5529404</x:v>
      </x:c>
      <x:c r="I877" s="17" t="n">
        <x:v>3227143967.247059</x:v>
      </x:c>
      <x:c r="J877" s="2" t="str">
        <x:v>m3</x:v>
      </x:c>
      <x:c r="K877" s="15" t="n">
        <x:f>IF(AND(ISNUMBER(F877),ISNUMBER(G877),F877&gt;0),G877/F877-1,"n.a.")</x:f>
        <x:v>0.0942945482139319</x:v>
      </x:c>
      <x:c r="L877" s="15" t="n">
        <x:f>IF(AND(N877,ISNUMBER(H877),ISNUMBER(I877),H877&gt;0),I877/H877-1,"n.a.")</x:f>
        <x:v>0.053764141174727165</x:v>
      </x:c>
      <x:c r="M877" s="20" t="n">
        <x:f>IF(AND(ISNUMBER(K877),ISNUMBER(L877)),100*(K877-L877),"n.a.")</x:f>
        <x:v>4.053040703920474</x:v>
      </x:c>
      <x:c r="N877" s="13" t="b">
        <x:v>1</x:v>
      </x:c>
      <x:c r="O877" s="13" t="b">
        <x:v>1</x:v>
      </x:c>
      <x:c r="P877" s="13" t="b">
        <x:v>0</x:v>
      </x:c>
      <x:c r="Q877" s="2" t="str">
        <x:v>qualified_paired_native_source_frame</x:v>
      </x:c>
      <x:c r="R877" s="2" t="str">
        <x:v>qualified_paired_native_source_frame</x:v>
      </x:c>
      <x:c r="S877" s="2" t="str">
        <x:v>modeled_epoch_volume_with_fixed2018_height_and_predominant_use</x:v>
      </x:c>
      <x:c r="T877" s="2" t="str">
        <x:v>modeled_epoch_volume_with_fixed2018_height_and_predominant_use</x:v>
      </x:c>
      <x:c r="U877" s="2" t="str">
        <x:v>GFA growth versus source physical quantity growth; constant conversion required for equality</x:v>
      </x:c>
      <x:c r="V877" s="2" t="str">
        <x:v>Model sector composition uses this source family; fixed2018-height modeled epochs</x:v>
      </x:c>
      <x:c r="W877" s="2" t="str">
        <x:v>https://human-settlement.emergency.copernicus.eu/ghs_buV2023.php</x:v>
      </x:c>
    </x:row>
    <x:row r="878" ht="23" customHeight="1">
      <x:c r="A878" s="2" t="str">
        <x:v>KHM</x:v>
      </x:c>
      <x:c r="B878" s="2" t="str">
        <x:v>Cambodia (Kingdom of)</x:v>
      </x:c>
      <x:c r="C878" s="2" t="str">
        <x:v>GHSL_VOLUME</x:v>
      </x:c>
      <x:c r="D878" s="2" t="n">
        <x:v>2015</x:v>
      </x:c>
      <x:c r="E878" s="2" t="n">
        <x:v>2020</x:v>
      </x:c>
      <x:c r="F878" s="17" t="n">
        <x:v>598581339.8071607</x:v>
      </x:c>
      <x:c r="G878" s="17" t="n">
        <x:v>672933221.830001</x:v>
      </x:c>
      <x:c r="H878" s="17" t="n">
        <x:v>2631745587.9882345</x:v>
      </x:c>
      <x:c r="I878" s="17" t="n">
        <x:v>2874208465.1176476</x:v>
      </x:c>
      <x:c r="J878" s="2" t="str">
        <x:v>m3</x:v>
      </x:c>
      <x:c r="K878" s="15" t="n">
        <x:f>IF(AND(ISNUMBER(F878),ISNUMBER(G878),F878&gt;0),G878/F878-1,"n.a.")</x:f>
        <x:v>0.12421349794631675</x:v>
      </x:c>
      <x:c r="L878" s="15" t="n">
        <x:f>IF(AND(N878,ISNUMBER(H878),ISNUMBER(I878),H878&gt;0),I878/H878-1,"n.a.")</x:f>
        <x:v>0.09213005931730556</x:v>
      </x:c>
      <x:c r="M878" s="20" t="n">
        <x:f>IF(AND(ISNUMBER(K878),ISNUMBER(L878)),100*(K878-L878),"n.a.")</x:f>
        <x:v>3.2083438629011196</x:v>
      </x:c>
      <x:c r="N878" s="13" t="b">
        <x:v>1</x:v>
      </x:c>
      <x:c r="O878" s="13" t="b">
        <x:v>1</x:v>
      </x:c>
      <x:c r="P878" s="13" t="b">
        <x:v>0</x:v>
      </x:c>
      <x:c r="Q878" s="2" t="str">
        <x:v>qualified_paired_native_source_frame</x:v>
      </x:c>
      <x:c r="R878" s="2" t="str">
        <x:v>qualified_paired_native_source_frame</x:v>
      </x:c>
      <x:c r="S878" s="2" t="str">
        <x:v>modeled_epoch_volume_with_fixed2018_height_and_predominant_use</x:v>
      </x:c>
      <x:c r="T878" s="2" t="str">
        <x:v>modeled_epoch_volume_with_fixed2018_height_and_predominant_use</x:v>
      </x:c>
      <x:c r="U878" s="2" t="str">
        <x:v>GFA growth versus source physical quantity growth; constant conversion required for equality</x:v>
      </x:c>
      <x:c r="V878" s="2" t="str">
        <x:v>Model sector composition uses this source family; fixed2018-height modeled epochs</x:v>
      </x:c>
      <x:c r="W878" s="2" t="str">
        <x:v>https://human-settlement.emergency.copernicus.eu/ghs_buV2023.php</x:v>
      </x:c>
    </x:row>
    <x:row r="879" ht="23" customHeight="1">
      <x:c r="A879" s="2" t="str">
        <x:v>KIR</x:v>
      </x:c>
      <x:c r="B879" s="2" t="str">
        <x:v>Kiribati (Republic of)</x:v>
      </x:c>
      <x:c r="C879" s="2" t="str">
        <x:v>GHSL_VOLUME</x:v>
      </x:c>
      <x:c r="D879" s="2" t="n">
        <x:v>2015</x:v>
      </x:c>
      <x:c r="E879" s="2" t="n">
        <x:v>2020</x:v>
      </x:c>
      <x:c r="F879" s="17" t="n">
        <x:v>1691624.8246794736</x:v>
      </x:c>
      <x:c r="G879" s="17" t="n">
        <x:v>1721739.6700000002</x:v>
      </x:c>
      <x:c r="H879" s="17" t="n">
        <x:v>1951371.2745098036</x:v>
      </x:c>
      <x:c r="I879" s="17" t="n">
        <x:v>1977085.5843137254</x:v>
      </x:c>
      <x:c r="J879" s="2" t="str">
        <x:v>m3</x:v>
      </x:c>
      <x:c r="K879" s="15" t="n">
        <x:f>IF(AND(ISNUMBER(F879),ISNUMBER(G879),F879&gt;0),G879/F879-1,"n.a.")</x:f>
        <x:v>0.01780231933297194</x:v>
      </x:c>
      <x:c r="L879" s="15" t="n">
        <x:f>IF(AND(N879,ISNUMBER(H879),ISNUMBER(I879),H879&gt;0),I879/H879-1,"n.a.")</x:f>
        <x:v>0.013177558847883075</x:v>
      </x:c>
      <x:c r="M879" s="20" t="n">
        <x:f>IF(AND(ISNUMBER(K879),ISNUMBER(L879)),100*(K879-L879),"n.a.")</x:f>
        <x:v>0.46247604850888635</x:v>
      </x:c>
      <x:c r="N879" s="13" t="b">
        <x:v>1</x:v>
      </x:c>
      <x:c r="O879" s="13" t="b">
        <x:v>1</x:v>
      </x:c>
      <x:c r="P879" s="13" t="b">
        <x:v>0</x:v>
      </x:c>
      <x:c r="Q879" s="2" t="str">
        <x:v>qualified_paired_native_source_frame</x:v>
      </x:c>
      <x:c r="R879" s="2" t="str">
        <x:v>qualified_paired_native_source_frame</x:v>
      </x:c>
      <x:c r="S879" s="2" t="str">
        <x:v>modeled_epoch_volume_with_fixed2018_height_and_predominant_use</x:v>
      </x:c>
      <x:c r="T879" s="2" t="str">
        <x:v>modeled_epoch_volume_with_fixed2018_height_and_predominant_use</x:v>
      </x:c>
      <x:c r="U879" s="2" t="str">
        <x:v>GFA growth versus source physical quantity growth; constant conversion required for equality</x:v>
      </x:c>
      <x:c r="V879" s="2" t="str">
        <x:v>Model sector composition uses this source family; fixed2018-height modeled epochs</x:v>
      </x:c>
      <x:c r="W879" s="2" t="str">
        <x:v>https://human-settlement.emergency.copernicus.eu/ghs_buV2023.php</x:v>
      </x:c>
    </x:row>
    <x:row r="880" ht="23" customHeight="1">
      <x:c r="A880" s="2" t="str">
        <x:v>KNA</x:v>
      </x:c>
      <x:c r="B880" s="2" t="str">
        <x:v>Saint Kitts and Nevis (Federation of)</x:v>
      </x:c>
      <x:c r="C880" s="2" t="str">
        <x:v>GHSL_VOLUME</x:v>
      </x:c>
      <x:c r="D880" s="2" t="n">
        <x:v>2015</x:v>
      </x:c>
      <x:c r="E880" s="2" t="n">
        <x:v>2020</x:v>
      </x:c>
      <x:c r="F880" s="17" t="n">
        <x:v>4061235.1620539096</x:v>
      </x:c>
      <x:c r="G880" s="17" t="n">
        <x:v>4523960.760000001</x:v>
      </x:c>
      <x:c r="H880" s="17" t="n">
        <x:v>28242561.094117656</x:v>
      </x:c>
      <x:c r="I880" s="17" t="n">
        <x:v>31303976.972549014</x:v>
      </x:c>
      <x:c r="J880" s="2" t="str">
        <x:v>m3</x:v>
      </x:c>
      <x:c r="K880" s="15" t="n">
        <x:f>IF(AND(ISNUMBER(F880),ISNUMBER(G880),F880&gt;0),G880/F880-1,"n.a.")</x:f>
        <x:v>0.11393715938184545</x:v>
      </x:c>
      <x:c r="L880" s="15" t="n">
        <x:f>IF(AND(N880,ISNUMBER(H880),ISNUMBER(I880),H880&gt;0),I880/H880-1,"n.a.")</x:f>
        <x:v>0.10839724726908662</x:v>
      </x:c>
      <x:c r="M880" s="20" t="n">
        <x:f>IF(AND(ISNUMBER(K880),ISNUMBER(L880)),100*(K880-L880),"n.a.")</x:f>
        <x:v>0.5539912112758838</x:v>
      </x:c>
      <x:c r="N880" s="13" t="b">
        <x:v>1</x:v>
      </x:c>
      <x:c r="O880" s="13" t="b">
        <x:v>1</x:v>
      </x:c>
      <x:c r="P880" s="13" t="b">
        <x:v>0</x:v>
      </x:c>
      <x:c r="Q880" s="2" t="str">
        <x:v>qualified_paired_native_source_frame</x:v>
      </x:c>
      <x:c r="R880" s="2" t="str">
        <x:v>qualified_paired_native_source_frame</x:v>
      </x:c>
      <x:c r="S880" s="2" t="str">
        <x:v>modeled_epoch_volume_with_fixed2018_height_and_predominant_use</x:v>
      </x:c>
      <x:c r="T880" s="2" t="str">
        <x:v>modeled_epoch_volume_with_fixed2018_height_and_predominant_use</x:v>
      </x:c>
      <x:c r="U880" s="2" t="str">
        <x:v>GFA growth versus source physical quantity growth; constant conversion required for equality</x:v>
      </x:c>
      <x:c r="V880" s="2" t="str">
        <x:v>Model sector composition uses this source family; fixed2018-height modeled epochs</x:v>
      </x:c>
      <x:c r="W880" s="2" t="str">
        <x:v>https://human-settlement.emergency.copernicus.eu/ghs_buV2023.php</x:v>
      </x:c>
    </x:row>
    <x:row r="881" ht="23" customHeight="1">
      <x:c r="A881" s="2" t="str">
        <x:v>KOR</x:v>
      </x:c>
      <x:c r="B881" s="2" t="str">
        <x:v>Korea (Republic of)</x:v>
      </x:c>
      <x:c r="C881" s="2" t="str">
        <x:v>GHSL_VOLUME</x:v>
      </x:c>
      <x:c r="D881" s="2" t="n">
        <x:v>2015</x:v>
      </x:c>
      <x:c r="E881" s="2" t="n">
        <x:v>2020</x:v>
      </x:c>
      <x:c r="F881" s="17" t="n">
        <x:v>2658803650.6668043</x:v>
      </x:c>
      <x:c r="G881" s="17" t="n">
        <x:v>2947698717.329997</x:v>
      </x:c>
      <x:c r="H881" s="17" t="n">
        <x:v>28364481162.643127</x:v>
      </x:c>
      <x:c r="I881" s="17" t="n">
        <x:v>29964723167.796074</x:v>
      </x:c>
      <x:c r="J881" s="2" t="str">
        <x:v>m3</x:v>
      </x:c>
      <x:c r="K881" s="15" t="n">
        <x:f>IF(AND(ISNUMBER(F881),ISNUMBER(G881),F881&gt;0),G881/F881-1,"n.a.")</x:f>
        <x:v>0.10865603655641909</x:v>
      </x:c>
      <x:c r="L881" s="15" t="n">
        <x:f>IF(AND(N881,ISNUMBER(H881),ISNUMBER(I881),H881&gt;0),I881/H881-1,"n.a.")</x:f>
        <x:v>0.05641710828331714</x:v>
      </x:c>
      <x:c r="M881" s="20" t="n">
        <x:f>IF(AND(ISNUMBER(K881),ISNUMBER(L881)),100*(K881-L881),"n.a.")</x:f>
        <x:v>5.223892827310195</x:v>
      </x:c>
      <x:c r="N881" s="13" t="b">
        <x:v>1</x:v>
      </x:c>
      <x:c r="O881" s="13" t="b">
        <x:v>1</x:v>
      </x:c>
      <x:c r="P881" s="13" t="b">
        <x:v>0</x:v>
      </x:c>
      <x:c r="Q881" s="2" t="str">
        <x:v>qualified_paired_native_source_frame</x:v>
      </x:c>
      <x:c r="R881" s="2" t="str">
        <x:v>qualified_paired_native_source_frame</x:v>
      </x:c>
      <x:c r="S881" s="2" t="str">
        <x:v>modeled_epoch_volume_with_fixed2018_height_and_predominant_use</x:v>
      </x:c>
      <x:c r="T881" s="2" t="str">
        <x:v>modeled_epoch_volume_with_fixed2018_height_and_predominant_use</x:v>
      </x:c>
      <x:c r="U881" s="2" t="str">
        <x:v>GFA growth versus source physical quantity growth; constant conversion required for equality</x:v>
      </x:c>
      <x:c r="V881" s="2" t="str">
        <x:v>Model sector composition uses this source family; fixed2018-height modeled epochs</x:v>
      </x:c>
      <x:c r="W881" s="2" t="str">
        <x:v>https://human-settlement.emergency.copernicus.eu/ghs_buV2023.php</x:v>
      </x:c>
    </x:row>
    <x:row r="882" ht="23" customHeight="1">
      <x:c r="A882" s="2" t="str">
        <x:v>KWT</x:v>
      </x:c>
      <x:c r="B882" s="2" t="str">
        <x:v>Kuwait (State of)</x:v>
      </x:c>
      <x:c r="C882" s="2" t="str">
        <x:v>GHSL_VOLUME</x:v>
      </x:c>
      <x:c r="D882" s="2" t="n">
        <x:v>2015</x:v>
      </x:c>
      <x:c r="E882" s="2" t="n">
        <x:v>2020</x:v>
      </x:c>
      <x:c r="F882" s="17" t="n">
        <x:v>137379674.9540703</x:v>
      </x:c>
      <x:c r="G882" s="17" t="n">
        <x:v>155594647.5199998</x:v>
      </x:c>
      <x:c r="H882" s="17" t="n">
        <x:v>2033337782.5960786</x:v>
      </x:c>
      <x:c r="I882" s="17" t="n">
        <x:v>2152158781.9529405</x:v>
      </x:c>
      <x:c r="J882" s="2" t="str">
        <x:v>m3</x:v>
      </x:c>
      <x:c r="K882" s="15" t="n">
        <x:f>IF(AND(ISNUMBER(F882),ISNUMBER(G882),F882&gt;0),G882/F882-1,"n.a.")</x:f>
        <x:v>0.1325885548354897</x:v>
      </x:c>
      <x:c r="L882" s="15" t="n">
        <x:f>IF(AND(N882,ISNUMBER(H882),ISNUMBER(I882),H882&gt;0),I882/H882-1,"n.a.")</x:f>
        <x:v>0.05843642919237757</x:v>
      </x:c>
      <x:c r="M882" s="20" t="n">
        <x:f>IF(AND(ISNUMBER(K882),ISNUMBER(L882)),100*(K882-L882),"n.a.")</x:f>
        <x:v>7.415212564311213</x:v>
      </x:c>
      <x:c r="N882" s="13" t="b">
        <x:v>1</x:v>
      </x:c>
      <x:c r="O882" s="13" t="b">
        <x:v>1</x:v>
      </x:c>
      <x:c r="P882" s="13" t="b">
        <x:v>0</x:v>
      </x:c>
      <x:c r="Q882" s="2" t="str">
        <x:v>qualified_paired_native_source_frame</x:v>
      </x:c>
      <x:c r="R882" s="2" t="str">
        <x:v>qualified_paired_native_source_frame</x:v>
      </x:c>
      <x:c r="S882" s="2" t="str">
        <x:v>modeled_epoch_volume_with_fixed2018_height_and_predominant_use</x:v>
      </x:c>
      <x:c r="T882" s="2" t="str">
        <x:v>modeled_epoch_volume_with_fixed2018_height_and_predominant_use</x:v>
      </x:c>
      <x:c r="U882" s="2" t="str">
        <x:v>GFA growth versus source physical quantity growth; constant conversion required for equality</x:v>
      </x:c>
      <x:c r="V882" s="2" t="str">
        <x:v>Model sector composition uses this source family; fixed2018-height modeled epochs</x:v>
      </x:c>
      <x:c r="W882" s="2" t="str">
        <x:v>https://human-settlement.emergency.copernicus.eu/ghs_buV2023.php</x:v>
      </x:c>
    </x:row>
    <x:row r="883" ht="23" customHeight="1">
      <x:c r="A883" s="2" t="str">
        <x:v>LAO</x:v>
      </x:c>
      <x:c r="B883" s="2" t="str">
        <x:v>Lao People's Democratic Republic</x:v>
      </x:c>
      <x:c r="C883" s="2" t="str">
        <x:v>GHSL_VOLUME</x:v>
      </x:c>
      <x:c r="D883" s="2" t="n">
        <x:v>2015</x:v>
      </x:c>
      <x:c r="E883" s="2" t="n">
        <x:v>2020</x:v>
      </x:c>
      <x:c r="F883" s="17" t="n">
        <x:v>290579669.68239933</x:v>
      </x:c>
      <x:c r="G883" s="17" t="n">
        <x:v>333393295.1899998</x:v>
      </x:c>
      <x:c r="H883" s="17" t="n">
        <x:v>1029010627.5921571</x:v>
      </x:c>
      <x:c r="I883" s="17" t="n">
        <x:v>1140783450.741176</x:v>
      </x:c>
      <x:c r="J883" s="2" t="str">
        <x:v>m3</x:v>
      </x:c>
      <x:c r="K883" s="15" t="n">
        <x:f>IF(AND(ISNUMBER(F883),ISNUMBER(G883),F883&gt;0),G883/F883-1,"n.a.")</x:f>
        <x:v>0.14733868186441046</x:v>
      </x:c>
      <x:c r="L883" s="15" t="n">
        <x:f>IF(AND(N883,ISNUMBER(H883),ISNUMBER(I883),H883&gt;0),I883/H883-1,"n.a.")</x:f>
        <x:v>0.10862164116862671</x:v>
      </x:c>
      <x:c r="M883" s="20" t="n">
        <x:f>IF(AND(ISNUMBER(K883),ISNUMBER(L883)),100*(K883-L883),"n.a.")</x:f>
        <x:v>3.8717040695783744</x:v>
      </x:c>
      <x:c r="N883" s="13" t="b">
        <x:v>1</x:v>
      </x:c>
      <x:c r="O883" s="13" t="b">
        <x:v>1</x:v>
      </x:c>
      <x:c r="P883" s="13" t="b">
        <x:v>0</x:v>
      </x:c>
      <x:c r="Q883" s="2" t="str">
        <x:v>qualified_paired_native_source_frame</x:v>
      </x:c>
      <x:c r="R883" s="2" t="str">
        <x:v>qualified_paired_native_source_frame</x:v>
      </x:c>
      <x:c r="S883" s="2" t="str">
        <x:v>modeled_epoch_volume_with_fixed2018_height_and_predominant_use</x:v>
      </x:c>
      <x:c r="T883" s="2" t="str">
        <x:v>modeled_epoch_volume_with_fixed2018_height_and_predominant_use</x:v>
      </x:c>
      <x:c r="U883" s="2" t="str">
        <x:v>GFA growth versus source physical quantity growth; constant conversion required for equality</x:v>
      </x:c>
      <x:c r="V883" s="2" t="str">
        <x:v>Model sector composition uses this source family; fixed2018-height modeled epochs</x:v>
      </x:c>
      <x:c r="W883" s="2" t="str">
        <x:v>https://human-settlement.emergency.copernicus.eu/ghs_buV2023.php</x:v>
      </x:c>
    </x:row>
    <x:row r="884" ht="23" customHeight="1">
      <x:c r="A884" s="2" t="str">
        <x:v>LBN</x:v>
      </x:c>
      <x:c r="B884" s="2" t="str">
        <x:v>Lebanon (Lebanese Republic)</x:v>
      </x:c>
      <x:c r="C884" s="2" t="str">
        <x:v>GHSL_VOLUME</x:v>
      </x:c>
      <x:c r="D884" s="2" t="n">
        <x:v>2015</x:v>
      </x:c>
      <x:c r="E884" s="2" t="n">
        <x:v>2020</x:v>
      </x:c>
      <x:c r="F884" s="17" t="n">
        <x:v>216766434.49609855</x:v>
      </x:c>
      <x:c r="G884" s="17" t="n">
        <x:v>226725070.95000017</x:v>
      </x:c>
      <x:c r="H884" s="17" t="n">
        <x:v>1922156268.4627457</x:v>
      </x:c>
      <x:c r="I884" s="17" t="n">
        <x:v>2006600134.4823532</x:v>
      </x:c>
      <x:c r="J884" s="2" t="str">
        <x:v>m3</x:v>
      </x:c>
      <x:c r="K884" s="15" t="n">
        <x:f>IF(AND(ISNUMBER(F884),ISNUMBER(G884),F884&gt;0),G884/F884-1,"n.a.")</x:f>
        <x:v>0.04594178280900252</x:v>
      </x:c>
      <x:c r="L884" s="15" t="n">
        <x:f>IF(AND(N884,ISNUMBER(H884),ISNUMBER(I884),H884&gt;0),I884/H884-1,"n.a.")</x:f>
        <x:v>0.043931842277913136</x:v>
      </x:c>
      <x:c r="M884" s="20" t="n">
        <x:f>IF(AND(ISNUMBER(K884),ISNUMBER(L884)),100*(K884-L884),"n.a.")</x:f>
        <x:v>0.20099405310893825</x:v>
      </x:c>
      <x:c r="N884" s="13" t="b">
        <x:v>1</x:v>
      </x:c>
      <x:c r="O884" s="13" t="b">
        <x:v>1</x:v>
      </x:c>
      <x:c r="P884" s="13" t="b">
        <x:v>0</x:v>
      </x:c>
      <x:c r="Q884" s="2" t="str">
        <x:v>qualified_paired_native_source_frame</x:v>
      </x:c>
      <x:c r="R884" s="2" t="str">
        <x:v>qualified_paired_native_source_frame</x:v>
      </x:c>
      <x:c r="S884" s="2" t="str">
        <x:v>modeled_epoch_volume_with_fixed2018_height_and_predominant_use</x:v>
      </x:c>
      <x:c r="T884" s="2" t="str">
        <x:v>modeled_epoch_volume_with_fixed2018_height_and_predominant_use</x:v>
      </x:c>
      <x:c r="U884" s="2" t="str">
        <x:v>GFA growth versus source physical quantity growth; constant conversion required for equality</x:v>
      </x:c>
      <x:c r="V884" s="2" t="str">
        <x:v>Model sector composition uses this source family; fixed2018-height modeled epochs</x:v>
      </x:c>
      <x:c r="W884" s="2" t="str">
        <x:v>https://human-settlement.emergency.copernicus.eu/ghs_buV2023.php</x:v>
      </x:c>
    </x:row>
    <x:row r="885" ht="23" customHeight="1">
      <x:c r="A885" s="2" t="str">
        <x:v>LBR</x:v>
      </x:c>
      <x:c r="B885" s="2" t="str">
        <x:v>Liberia (Republic of)</x:v>
      </x:c>
      <x:c r="C885" s="2" t="str">
        <x:v>GHSL_VOLUME</x:v>
      </x:c>
      <x:c r="D885" s="2" t="n">
        <x:v>2015</x:v>
      </x:c>
      <x:c r="E885" s="2" t="n">
        <x:v>2020</x:v>
      </x:c>
      <x:c r="F885" s="17" t="n">
        <x:v>87042901.95199455</x:v>
      </x:c>
      <x:c r="G885" s="17" t="n">
        <x:v>93713430.84000014</x:v>
      </x:c>
      <x:c r="H885" s="17" t="n">
        <x:v>964132035.5333334</x:v>
      </x:c>
      <x:c r="I885" s="17" t="n">
        <x:v>1006785539.07451</x:v>
      </x:c>
      <x:c r="J885" s="2" t="str">
        <x:v>m3</x:v>
      </x:c>
      <x:c r="K885" s="15" t="n">
        <x:f>IF(AND(ISNUMBER(F885),ISNUMBER(G885),F885&gt;0),G885/F885-1,"n.a.")</x:f>
        <x:v>0.07663495515906038</x:v>
      </x:c>
      <x:c r="L885" s="15" t="n">
        <x:f>IF(AND(N885,ISNUMBER(H885),ISNUMBER(I885),H885&gt;0),I885/H885-1,"n.a.")</x:f>
        <x:v>0.04424031353504576</x:v>
      </x:c>
      <x:c r="M885" s="20" t="n">
        <x:f>IF(AND(ISNUMBER(K885),ISNUMBER(L885)),100*(K885-L885),"n.a.")</x:f>
        <x:v>3.239464162401462</x:v>
      </x:c>
      <x:c r="N885" s="13" t="b">
        <x:v>1</x:v>
      </x:c>
      <x:c r="O885" s="13" t="b">
        <x:v>1</x:v>
      </x:c>
      <x:c r="P885" s="13" t="b">
        <x:v>0</x:v>
      </x:c>
      <x:c r="Q885" s="2" t="str">
        <x:v>qualified_paired_native_source_frame</x:v>
      </x:c>
      <x:c r="R885" s="2" t="str">
        <x:v>qualified_paired_native_source_frame</x:v>
      </x:c>
      <x:c r="S885" s="2" t="str">
        <x:v>modeled_epoch_volume_with_fixed2018_height_and_predominant_use</x:v>
      </x:c>
      <x:c r="T885" s="2" t="str">
        <x:v>modeled_epoch_volume_with_fixed2018_height_and_predominant_use</x:v>
      </x:c>
      <x:c r="U885" s="2" t="str">
        <x:v>GFA growth versus source physical quantity growth; constant conversion required for equality</x:v>
      </x:c>
      <x:c r="V885" s="2" t="str">
        <x:v>Model sector composition uses this source family; fixed2018-height modeled epochs</x:v>
      </x:c>
      <x:c r="W885" s="2" t="str">
        <x:v>https://human-settlement.emergency.copernicus.eu/ghs_buV2023.php</x:v>
      </x:c>
    </x:row>
    <x:row r="886" ht="23" customHeight="1">
      <x:c r="A886" s="2" t="str">
        <x:v>LBY</x:v>
      </x:c>
      <x:c r="B886" s="2" t="str">
        <x:v>Libya (State of)</x:v>
      </x:c>
      <x:c r="C886" s="2" t="str">
        <x:v>GHSL_VOLUME</x:v>
      </x:c>
      <x:c r="D886" s="2" t="n">
        <x:v>2015</x:v>
      </x:c>
      <x:c r="E886" s="2" t="n">
        <x:v>2020</x:v>
      </x:c>
      <x:c r="F886" s="17" t="n">
        <x:v>451050058.3672139</x:v>
      </x:c>
      <x:c r="G886" s="17" t="n">
        <x:v>523048577.3000005</x:v>
      </x:c>
      <x:c r="H886" s="17" t="n">
        <x:v>4522393455.34902</x:v>
      </x:c>
      <x:c r="I886" s="17" t="n">
        <x:v>5124368234.729412</x:v>
      </x:c>
      <x:c r="J886" s="2" t="str">
        <x:v>m3</x:v>
      </x:c>
      <x:c r="K886" s="15" t="n">
        <x:f>IF(AND(ISNUMBER(F886),ISNUMBER(G886),F886&gt;0),G886/F886-1,"n.a.")</x:f>
        <x:v>0.1596242314953218</x:v>
      </x:c>
      <x:c r="L886" s="15" t="n">
        <x:f>IF(AND(N886,ISNUMBER(H886),ISNUMBER(I886),H886&gt;0),I886/H886-1,"n.a.")</x:f>
        <x:v>0.13310977590160467</x:v>
      </x:c>
      <x:c r="M886" s="20" t="n">
        <x:f>IF(AND(ISNUMBER(K886),ISNUMBER(L886)),100*(K886-L886),"n.a.")</x:f>
        <x:v>2.6514455593717123</x:v>
      </x:c>
      <x:c r="N886" s="13" t="b">
        <x:v>1</x:v>
      </x:c>
      <x:c r="O886" s="13" t="b">
        <x:v>1</x:v>
      </x:c>
      <x:c r="P886" s="13" t="b">
        <x:v>0</x:v>
      </x:c>
      <x:c r="Q886" s="2" t="str">
        <x:v>qualified_paired_native_source_frame</x:v>
      </x:c>
      <x:c r="R886" s="2" t="str">
        <x:v>qualified_paired_native_source_frame</x:v>
      </x:c>
      <x:c r="S886" s="2" t="str">
        <x:v>modeled_epoch_volume_with_fixed2018_height_and_predominant_use</x:v>
      </x:c>
      <x:c r="T886" s="2" t="str">
        <x:v>modeled_epoch_volume_with_fixed2018_height_and_predominant_use</x:v>
      </x:c>
      <x:c r="U886" s="2" t="str">
        <x:v>GFA growth versus source physical quantity growth; constant conversion required for equality</x:v>
      </x:c>
      <x:c r="V886" s="2" t="str">
        <x:v>Model sector composition uses this source family; fixed2018-height modeled epochs</x:v>
      </x:c>
      <x:c r="W886" s="2" t="str">
        <x:v>https://human-settlement.emergency.copernicus.eu/ghs_buV2023.php</x:v>
      </x:c>
    </x:row>
    <x:row r="887" ht="23" customHeight="1">
      <x:c r="A887" s="2" t="str">
        <x:v>LCA</x:v>
      </x:c>
      <x:c r="B887" s="2" t="str">
        <x:v>Saint Lucia</x:v>
      </x:c>
      <x:c r="C887" s="2" t="str">
        <x:v>GHSL_VOLUME</x:v>
      </x:c>
      <x:c r="D887" s="2" t="n">
        <x:v>2015</x:v>
      </x:c>
      <x:c r="E887" s="2" t="n">
        <x:v>2020</x:v>
      </x:c>
      <x:c r="F887" s="17" t="n">
        <x:v>8882463.634134484</x:v>
      </x:c>
      <x:c r="G887" s="17" t="n">
        <x:v>10226894.600000018</x:v>
      </x:c>
      <x:c r="H887" s="17" t="n">
        <x:v>60363848.0392157</x:v>
      </x:c>
      <x:c r="I887" s="17" t="n">
        <x:v>67117230.12156862</x:v>
      </x:c>
      <x:c r="J887" s="2" t="str">
        <x:v>m3</x:v>
      </x:c>
      <x:c r="K887" s="15" t="n">
        <x:f>IF(AND(ISNUMBER(F887),ISNUMBER(G887),F887&gt;0),G887/F887-1,"n.a.")</x:f>
        <x:v>0.15135789137362865</x:v>
      </x:c>
      <x:c r="L887" s="15" t="n">
        <x:f>IF(AND(N887,ISNUMBER(H887),ISNUMBER(I887),H887&gt;0),I887/H887-1,"n.a.")</x:f>
        <x:v>0.11187792530995622</x:v>
      </x:c>
      <x:c r="M887" s="20" t="n">
        <x:f>IF(AND(ISNUMBER(K887),ISNUMBER(L887)),100*(K887-L887),"n.a.")</x:f>
        <x:v>3.9479966063672434</x:v>
      </x:c>
      <x:c r="N887" s="13" t="b">
        <x:v>1</x:v>
      </x:c>
      <x:c r="O887" s="13" t="b">
        <x:v>1</x:v>
      </x:c>
      <x:c r="P887" s="13" t="b">
        <x:v>0</x:v>
      </x:c>
      <x:c r="Q887" s="2" t="str">
        <x:v>qualified_paired_native_source_frame</x:v>
      </x:c>
      <x:c r="R887" s="2" t="str">
        <x:v>qualified_paired_native_source_frame</x:v>
      </x:c>
      <x:c r="S887" s="2" t="str">
        <x:v>modeled_epoch_volume_with_fixed2018_height_and_predominant_use</x:v>
      </x:c>
      <x:c r="T887" s="2" t="str">
        <x:v>modeled_epoch_volume_with_fixed2018_height_and_predominant_use</x:v>
      </x:c>
      <x:c r="U887" s="2" t="str">
        <x:v>GFA growth versus source physical quantity growth; constant conversion required for equality</x:v>
      </x:c>
      <x:c r="V887" s="2" t="str">
        <x:v>Model sector composition uses this source family; fixed2018-height modeled epochs</x:v>
      </x:c>
      <x:c r="W887" s="2" t="str">
        <x:v>https://human-settlement.emergency.copernicus.eu/ghs_buV2023.php</x:v>
      </x:c>
    </x:row>
    <x:row r="888" ht="23" customHeight="1">
      <x:c r="A888" s="2" t="str">
        <x:v>LIE</x:v>
      </x:c>
      <x:c r="B888" s="2" t="str">
        <x:v>Liechtenstein (Principality of)</x:v>
      </x:c>
      <x:c r="C888" s="2" t="str">
        <x:v>GHSL_VOLUME</x:v>
      </x:c>
      <x:c r="D888" s="2" t="n">
        <x:v>2015</x:v>
      </x:c>
      <x:c r="E888" s="2" t="n">
        <x:v>2020</x:v>
      </x:c>
      <x:c r="F888" s="17" t="n">
        <x:v>3201232.1963177915</x:v>
      </x:c>
      <x:c r="G888" s="17" t="n">
        <x:v>3628695.830000003</x:v>
      </x:c>
      <x:c r="H888" s="17" t="n">
        <x:v>25984499.403921567</x:v>
      </x:c>
      <x:c r="I888" s="17" t="n">
        <x:v>28839352.23921569</x:v>
      </x:c>
      <x:c r="J888" s="2" t="str">
        <x:v>m3</x:v>
      </x:c>
      <x:c r="K888" s="15" t="n">
        <x:f>IF(AND(ISNUMBER(F888),ISNUMBER(G888),F888&gt;0),G888/F888-1,"n.a.")</x:f>
        <x:v>0.1335309679110126</x:v>
      </x:c>
      <x:c r="L888" s="15" t="n">
        <x:f>IF(AND(N888,ISNUMBER(H888),ISNUMBER(I888),H888&gt;0),I888/H888-1,"n.a.")</x:f>
        <x:v>0.10986753259765591</x:v>
      </x:c>
      <x:c r="M888" s="20" t="n">
        <x:f>IF(AND(ISNUMBER(K888),ISNUMBER(L888)),100*(K888-L888),"n.a.")</x:f>
        <x:v>2.3663435313356684</x:v>
      </x:c>
      <x:c r="N888" s="13" t="b">
        <x:v>1</x:v>
      </x:c>
      <x:c r="O888" s="13" t="b">
        <x:v>1</x:v>
      </x:c>
      <x:c r="P888" s="13" t="b">
        <x:v>0</x:v>
      </x:c>
      <x:c r="Q888" s="2" t="str">
        <x:v>qualified_paired_native_source_frame</x:v>
      </x:c>
      <x:c r="R888" s="2" t="str">
        <x:v>qualified_paired_native_source_frame</x:v>
      </x:c>
      <x:c r="S888" s="2" t="str">
        <x:v>modeled_epoch_volume_with_fixed2018_height_and_predominant_use</x:v>
      </x:c>
      <x:c r="T888" s="2" t="str">
        <x:v>modeled_epoch_volume_with_fixed2018_height_and_predominant_use</x:v>
      </x:c>
      <x:c r="U888" s="2" t="str">
        <x:v>GFA growth versus source physical quantity growth; constant conversion required for equality</x:v>
      </x:c>
      <x:c r="V888" s="2" t="str">
        <x:v>Model sector composition uses this source family; fixed2018-height modeled epochs</x:v>
      </x:c>
      <x:c r="W888" s="2" t="str">
        <x:v>https://human-settlement.emergency.copernicus.eu/ghs_buV2023.php</x:v>
      </x:c>
    </x:row>
    <x:row r="889" ht="23" customHeight="1">
      <x:c r="A889" s="2" t="str">
        <x:v>LKA</x:v>
      </x:c>
      <x:c r="B889" s="2" t="str">
        <x:v>Sri Lanka (Democratic Socialist Republic of)</x:v>
      </x:c>
      <x:c r="C889" s="2" t="str">
        <x:v>GHSL_VOLUME</x:v>
      </x:c>
      <x:c r="D889" s="2" t="n">
        <x:v>2015</x:v>
      </x:c>
      <x:c r="E889" s="2" t="n">
        <x:v>2020</x:v>
      </x:c>
      <x:c r="F889" s="17" t="n">
        <x:v>724754528.0104082</x:v>
      </x:c>
      <x:c r="G889" s="17" t="n">
        <x:v>899293602.2900008</x:v>
      </x:c>
      <x:c r="H889" s="17" t="n">
        <x:v>3625330077.2745104</x:v>
      </x:c>
      <x:c r="I889" s="17" t="n">
        <x:v>4198596273.537255</x:v>
      </x:c>
      <x:c r="J889" s="2" t="str">
        <x:v>m3</x:v>
      </x:c>
      <x:c r="K889" s="15" t="n">
        <x:f>IF(AND(ISNUMBER(F889),ISNUMBER(G889),F889&gt;0),G889/F889-1,"n.a.")</x:f>
        <x:v>0.24082508978417327</x:v>
      </x:c>
      <x:c r="L889" s="15" t="n">
        <x:f>IF(AND(N889,ISNUMBER(H889),ISNUMBER(I889),H889&gt;0),I889/H889-1,"n.a.")</x:f>
        <x:v>0.15812800049746656</x:v>
      </x:c>
      <x:c r="M889" s="20" t="n">
        <x:f>IF(AND(ISNUMBER(K889),ISNUMBER(L889)),100*(K889-L889),"n.a.")</x:f>
        <x:v>8.26970892867067</x:v>
      </x:c>
      <x:c r="N889" s="13" t="b">
        <x:v>1</x:v>
      </x:c>
      <x:c r="O889" s="13" t="b">
        <x:v>1</x:v>
      </x:c>
      <x:c r="P889" s="13" t="b">
        <x:v>0</x:v>
      </x:c>
      <x:c r="Q889" s="2" t="str">
        <x:v>qualified_paired_native_source_frame</x:v>
      </x:c>
      <x:c r="R889" s="2" t="str">
        <x:v>qualified_paired_native_source_frame</x:v>
      </x:c>
      <x:c r="S889" s="2" t="str">
        <x:v>modeled_epoch_volume_with_fixed2018_height_and_predominant_use</x:v>
      </x:c>
      <x:c r="T889" s="2" t="str">
        <x:v>modeled_epoch_volume_with_fixed2018_height_and_predominant_use</x:v>
      </x:c>
      <x:c r="U889" s="2" t="str">
        <x:v>GFA growth versus source physical quantity growth; constant conversion required for equality</x:v>
      </x:c>
      <x:c r="V889" s="2" t="str">
        <x:v>Model sector composition uses this source family; fixed2018-height modeled epochs</x:v>
      </x:c>
      <x:c r="W889" s="2" t="str">
        <x:v>https://human-settlement.emergency.copernicus.eu/ghs_buV2023.php</x:v>
      </x:c>
    </x:row>
    <x:row r="890" ht="23" customHeight="1">
      <x:c r="A890" s="2" t="str">
        <x:v>LSO</x:v>
      </x:c>
      <x:c r="B890" s="2" t="str">
        <x:v>Lesotho (Kingdom of)</x:v>
      </x:c>
      <x:c r="C890" s="2" t="str">
        <x:v>GHSL_VOLUME</x:v>
      </x:c>
      <x:c r="D890" s="2" t="n">
        <x:v>2015</x:v>
      </x:c>
      <x:c r="E890" s="2" t="n">
        <x:v>2020</x:v>
      </x:c>
      <x:c r="F890" s="17" t="n">
        <x:v>50326429.45555801</x:v>
      </x:c>
      <x:c r="G890" s="17" t="n">
        <x:v>60655167.15000007</x:v>
      </x:c>
      <x:c r="H890" s="17" t="n">
        <x:v>687616622.52549</x:v>
      </x:c>
      <x:c r="I890" s="17" t="n">
        <x:v>784105539.8705884</x:v>
      </x:c>
      <x:c r="J890" s="2" t="str">
        <x:v>m3</x:v>
      </x:c>
      <x:c r="K890" s="15" t="n">
        <x:f>IF(AND(ISNUMBER(F890),ISNUMBER(G890),F890&gt;0),G890/F890-1,"n.a.")</x:f>
        <x:v>0.2052348598178042</x:v>
      </x:c>
      <x:c r="L890" s="15" t="n">
        <x:f>IF(AND(N890,ISNUMBER(H890),ISNUMBER(I890),H890&gt;0),I890/H890-1,"n.a.")</x:f>
        <x:v>0.1403237126390462</x:v>
      </x:c>
      <x:c r="M890" s="20" t="n">
        <x:f>IF(AND(ISNUMBER(K890),ISNUMBER(L890)),100*(K890-L890),"n.a.")</x:f>
        <x:v>6.491114717875801</x:v>
      </x:c>
      <x:c r="N890" s="13" t="b">
        <x:v>1</x:v>
      </x:c>
      <x:c r="O890" s="13" t="b">
        <x:v>1</x:v>
      </x:c>
      <x:c r="P890" s="13" t="b">
        <x:v>0</x:v>
      </x:c>
      <x:c r="Q890" s="2" t="str">
        <x:v>qualified_paired_native_source_frame</x:v>
      </x:c>
      <x:c r="R890" s="2" t="str">
        <x:v>qualified_paired_native_source_frame</x:v>
      </x:c>
      <x:c r="S890" s="2" t="str">
        <x:v>modeled_epoch_volume_with_fixed2018_height_and_predominant_use</x:v>
      </x:c>
      <x:c r="T890" s="2" t="str">
        <x:v>modeled_epoch_volume_with_fixed2018_height_and_predominant_use</x:v>
      </x:c>
      <x:c r="U890" s="2" t="str">
        <x:v>GFA growth versus source physical quantity growth; constant conversion required for equality</x:v>
      </x:c>
      <x:c r="V890" s="2" t="str">
        <x:v>Model sector composition uses this source family; fixed2018-height modeled epochs</x:v>
      </x:c>
      <x:c r="W890" s="2" t="str">
        <x:v>https://human-settlement.emergency.copernicus.eu/ghs_buV2023.php</x:v>
      </x:c>
    </x:row>
    <x:row r="891" ht="23" customHeight="1">
      <x:c r="A891" s="2" t="str">
        <x:v>LTU</x:v>
      </x:c>
      <x:c r="B891" s="2" t="str">
        <x:v>Lithuania (Republic of)</x:v>
      </x:c>
      <x:c r="C891" s="2" t="str">
        <x:v>GHSL_VOLUME</x:v>
      </x:c>
      <x:c r="D891" s="2" t="n">
        <x:v>2015</x:v>
      </x:c>
      <x:c r="E891" s="2" t="n">
        <x:v>2020</x:v>
      </x:c>
      <x:c r="F891" s="17" t="n">
        <x:v>256994964.96758032</x:v>
      </x:c>
      <x:c r="G891" s="17" t="n">
        <x:v>269070067.6199997</x:v>
      </x:c>
      <x:c r="H891" s="17" t="n">
        <x:v>2033342854.662746</x:v>
      </x:c>
      <x:c r="I891" s="17" t="n">
        <x:v>2111333745.760785</x:v>
      </x:c>
      <x:c r="J891" s="2" t="str">
        <x:v>m3</x:v>
      </x:c>
      <x:c r="K891" s="15" t="n">
        <x:f>IF(AND(ISNUMBER(F891),ISNUMBER(G891),F891&gt;0),G891/F891-1,"n.a.")</x:f>
        <x:v>0.04698575574794872</x:v>
      </x:c>
      <x:c r="L891" s="15" t="n">
        <x:f>IF(AND(N891,ISNUMBER(H891),ISNUMBER(I891),H891&gt;0),I891/H891-1,"n.a.")</x:f>
        <x:v>0.03835599634326048</x:v>
      </x:c>
      <x:c r="M891" s="20" t="n">
        <x:f>IF(AND(ISNUMBER(K891),ISNUMBER(L891)),100*(K891-L891),"n.a.")</x:f>
        <x:v>0.8629759404688242</x:v>
      </x:c>
      <x:c r="N891" s="13" t="b">
        <x:v>1</x:v>
      </x:c>
      <x:c r="O891" s="13" t="b">
        <x:v>1</x:v>
      </x:c>
      <x:c r="P891" s="13" t="b">
        <x:v>0</x:v>
      </x:c>
      <x:c r="Q891" s="2" t="str">
        <x:v>qualified_paired_native_source_frame</x:v>
      </x:c>
      <x:c r="R891" s="2" t="str">
        <x:v>qualified_paired_native_source_frame</x:v>
      </x:c>
      <x:c r="S891" s="2" t="str">
        <x:v>modeled_epoch_volume_with_fixed2018_height_and_predominant_use</x:v>
      </x:c>
      <x:c r="T891" s="2" t="str">
        <x:v>modeled_epoch_volume_with_fixed2018_height_and_predominant_use</x:v>
      </x:c>
      <x:c r="U891" s="2" t="str">
        <x:v>GFA growth versus source physical quantity growth; constant conversion required for equality</x:v>
      </x:c>
      <x:c r="V891" s="2" t="str">
        <x:v>Model sector composition uses this source family; fixed2018-height modeled epochs</x:v>
      </x:c>
      <x:c r="W891" s="2" t="str">
        <x:v>https://human-settlement.emergency.copernicus.eu/ghs_buV2023.php</x:v>
      </x:c>
    </x:row>
    <x:row r="892" ht="23" customHeight="1">
      <x:c r="A892" s="2" t="str">
        <x:v>LUX</x:v>
      </x:c>
      <x:c r="B892" s="2" t="str">
        <x:v>Luxembourg (Grand Duchy of)</x:v>
      </x:c>
      <x:c r="C892" s="2" t="str">
        <x:v>GHSL_VOLUME</x:v>
      </x:c>
      <x:c r="D892" s="2" t="n">
        <x:v>2015</x:v>
      </x:c>
      <x:c r="E892" s="2" t="n">
        <x:v>2020</x:v>
      </x:c>
      <x:c r="F892" s="17" t="n">
        <x:v>45518478.90477848</x:v>
      </x:c>
      <x:c r="G892" s="17" t="n">
        <x:v>49053600.56000002</x:v>
      </x:c>
      <x:c r="H892" s="17" t="n">
        <x:v>360903969.89411765</x:v>
      </x:c>
      <x:c r="I892" s="17" t="n">
        <x:v>381515774.6941179</x:v>
      </x:c>
      <x:c r="J892" s="2" t="str">
        <x:v>m3</x:v>
      </x:c>
      <x:c r="K892" s="15" t="n">
        <x:f>IF(AND(ISNUMBER(F892),ISNUMBER(G892),F892&gt;0),G892/F892-1,"n.a.")</x:f>
        <x:v>0.07766343999800096</x:v>
      </x:c>
      <x:c r="L892" s="15" t="n">
        <x:f>IF(AND(N892,ISNUMBER(H892),ISNUMBER(I892),H892&gt;0),I892/H892-1,"n.a.")</x:f>
        <x:v>0.057111604524736403</x:v>
      </x:c>
      <x:c r="M892" s="20" t="n">
        <x:f>IF(AND(ISNUMBER(K892),ISNUMBER(L892)),100*(K892-L892),"n.a.")</x:f>
        <x:v>2.0551835473264557</x:v>
      </x:c>
      <x:c r="N892" s="13" t="b">
        <x:v>1</x:v>
      </x:c>
      <x:c r="O892" s="13" t="b">
        <x:v>1</x:v>
      </x:c>
      <x:c r="P892" s="13" t="b">
        <x:v>0</x:v>
      </x:c>
      <x:c r="Q892" s="2" t="str">
        <x:v>qualified_paired_native_source_frame</x:v>
      </x:c>
      <x:c r="R892" s="2" t="str">
        <x:v>qualified_paired_native_source_frame</x:v>
      </x:c>
      <x:c r="S892" s="2" t="str">
        <x:v>modeled_epoch_volume_with_fixed2018_height_and_predominant_use</x:v>
      </x:c>
      <x:c r="T892" s="2" t="str">
        <x:v>modeled_epoch_volume_with_fixed2018_height_and_predominant_use</x:v>
      </x:c>
      <x:c r="U892" s="2" t="str">
        <x:v>GFA growth versus source physical quantity growth; constant conversion required for equality</x:v>
      </x:c>
      <x:c r="V892" s="2" t="str">
        <x:v>Model sector composition uses this source family; fixed2018-height modeled epochs</x:v>
      </x:c>
      <x:c r="W892" s="2" t="str">
        <x:v>https://human-settlement.emergency.copernicus.eu/ghs_buV2023.php</x:v>
      </x:c>
    </x:row>
    <x:row r="893" ht="23" customHeight="1">
      <x:c r="A893" s="2" t="str">
        <x:v>LVA</x:v>
      </x:c>
      <x:c r="B893" s="2" t="str">
        <x:v>Latvia (Republic of)</x:v>
      </x:c>
      <x:c r="C893" s="2" t="str">
        <x:v>GHSL_VOLUME</x:v>
      </x:c>
      <x:c r="D893" s="2" t="n">
        <x:v>2015</x:v>
      </x:c>
      <x:c r="E893" s="2" t="n">
        <x:v>2020</x:v>
      </x:c>
      <x:c r="F893" s="17" t="n">
        <x:v>140683330.01405793</x:v>
      </x:c>
      <x:c r="G893" s="17" t="n">
        <x:v>145154805.1899999</x:v>
      </x:c>
      <x:c r="H893" s="17" t="n">
        <x:v>956455105.5450983</x:v>
      </x:c>
      <x:c r="I893" s="17" t="n">
        <x:v>982301463.2196082</x:v>
      </x:c>
      <x:c r="J893" s="2" t="str">
        <x:v>m3</x:v>
      </x:c>
      <x:c r="K893" s="15" t="n">
        <x:f>IF(AND(ISNUMBER(F893),ISNUMBER(G893),F893&gt;0),G893/F893-1,"n.a.")</x:f>
        <x:v>0.031783973094005935</x:v>
      </x:c>
      <x:c r="L893" s="15" t="n">
        <x:f>IF(AND(N893,ISNUMBER(H893),ISNUMBER(I893),H893&gt;0),I893/H893-1,"n.a.")</x:f>
        <x:v>0.027023074606078445</x:v>
      </x:c>
      <x:c r="M893" s="20" t="n">
        <x:f>IF(AND(ISNUMBER(K893),ISNUMBER(L893)),100*(K893-L893),"n.a.")</x:f>
        <x:v>0.47608984879274896</x:v>
      </x:c>
      <x:c r="N893" s="13" t="b">
        <x:v>1</x:v>
      </x:c>
      <x:c r="O893" s="13" t="b">
        <x:v>1</x:v>
      </x:c>
      <x:c r="P893" s="13" t="b">
        <x:v>0</x:v>
      </x:c>
      <x:c r="Q893" s="2" t="str">
        <x:v>qualified_paired_native_source_frame</x:v>
      </x:c>
      <x:c r="R893" s="2" t="str">
        <x:v>qualified_paired_native_source_frame</x:v>
      </x:c>
      <x:c r="S893" s="2" t="str">
        <x:v>modeled_epoch_volume_with_fixed2018_height_and_predominant_use</x:v>
      </x:c>
      <x:c r="T893" s="2" t="str">
        <x:v>modeled_epoch_volume_with_fixed2018_height_and_predominant_use</x:v>
      </x:c>
      <x:c r="U893" s="2" t="str">
        <x:v>GFA growth versus source physical quantity growth; constant conversion required for equality</x:v>
      </x:c>
      <x:c r="V893" s="2" t="str">
        <x:v>Model sector composition uses this source family; fixed2018-height modeled epochs</x:v>
      </x:c>
      <x:c r="W893" s="2" t="str">
        <x:v>https://human-settlement.emergency.copernicus.eu/ghs_buV2023.php</x:v>
      </x:c>
    </x:row>
    <x:row r="894" ht="23" customHeight="1">
      <x:c r="A894" s="2" t="str">
        <x:v>MAR</x:v>
      </x:c>
      <x:c r="B894" s="2" t="str">
        <x:v>Morocco (Kingdom of)</x:v>
      </x:c>
      <x:c r="C894" s="2" t="str">
        <x:v>GHSL_VOLUME</x:v>
      </x:c>
      <x:c r="D894" s="2" t="n">
        <x:v>2015</x:v>
      </x:c>
      <x:c r="E894" s="2" t="n">
        <x:v>2020</x:v>
      </x:c>
      <x:c r="F894" s="17" t="n">
        <x:v>1142910844.8265724</x:v>
      </x:c>
      <x:c r="G894" s="17" t="n">
        <x:v>1247018524.7000012</x:v>
      </x:c>
      <x:c r="H894" s="17" t="n">
        <x:v>4516850915.831373</x:v>
      </x:c>
      <x:c r="I894" s="17" t="n">
        <x:v>4816701556.478432</x:v>
      </x:c>
      <x:c r="J894" s="2" t="str">
        <x:v>m3</x:v>
      </x:c>
      <x:c r="K894" s="15" t="n">
        <x:f>IF(AND(ISNUMBER(F894),ISNUMBER(G894),F894&gt;0),G894/F894-1,"n.a.")</x:f>
        <x:v>0.09108993964374035</x:v>
      </x:c>
      <x:c r="L894" s="15" t="n">
        <x:f>IF(AND(N894,ISNUMBER(H894),ISNUMBER(I894),H894&gt;0),I894/H894-1,"n.a.")</x:f>
        <x:v>0.06638488766500905</x:v>
      </x:c>
      <x:c r="M894" s="20" t="n">
        <x:f>IF(AND(ISNUMBER(K894),ISNUMBER(L894)),100*(K894-L894),"n.a.")</x:f>
        <x:v>2.4705051978731296</x:v>
      </x:c>
      <x:c r="N894" s="13" t="b">
        <x:v>1</x:v>
      </x:c>
      <x:c r="O894" s="13" t="b">
        <x:v>1</x:v>
      </x:c>
      <x:c r="P894" s="13" t="b">
        <x:v>0</x:v>
      </x:c>
      <x:c r="Q894" s="2" t="str">
        <x:v>qualified_paired_native_source_frame</x:v>
      </x:c>
      <x:c r="R894" s="2" t="str">
        <x:v>qualified_paired_native_source_frame</x:v>
      </x:c>
      <x:c r="S894" s="2" t="str">
        <x:v>modeled_epoch_volume_with_fixed2018_height_and_predominant_use</x:v>
      </x:c>
      <x:c r="T894" s="2" t="str">
        <x:v>modeled_epoch_volume_with_fixed2018_height_and_predominant_use</x:v>
      </x:c>
      <x:c r="U894" s="2" t="str">
        <x:v>GFA growth versus source physical quantity growth; constant conversion required for equality</x:v>
      </x:c>
      <x:c r="V894" s="2" t="str">
        <x:v>Model sector composition uses this source family; fixed2018-height modeled epochs</x:v>
      </x:c>
      <x:c r="W894" s="2" t="str">
        <x:v>https://human-settlement.emergency.copernicus.eu/ghs_buV2023.php</x:v>
      </x:c>
    </x:row>
    <x:row r="895" ht="23" customHeight="1">
      <x:c r="A895" s="2" t="str">
        <x:v>MCO</x:v>
      </x:c>
      <x:c r="B895" s="2" t="str">
        <x:v>Monaco (Principality of)</x:v>
      </x:c>
      <x:c r="C895" s="2" t="str">
        <x:v>GHSL_VOLUME</x:v>
      </x:c>
      <x:c r="D895" s="2" t="n">
        <x:v>2015</x:v>
      </x:c>
      <x:c r="E895" s="2" t="n">
        <x:v>2020</x:v>
      </x:c>
      <x:c r="F895" s="17" t="n">
        <x:v>1552878.5574787627</x:v>
      </x:c>
      <x:c r="G895" s="17" t="n">
        <x:v>1563267.7900000005</x:v>
      </x:c>
      <x:c r="H895" s="17" t="n">
        <x:v>13842311.505882349</x:v>
      </x:c>
      <x:c r="I895" s="17" t="n">
        <x:v>13854693.341176467</x:v>
      </x:c>
      <x:c r="J895" s="2" t="str">
        <x:v>m3</x:v>
      </x:c>
      <x:c r="K895" s="15" t="n">
        <x:f>IF(AND(ISNUMBER(F895),ISNUMBER(G895),F895&gt;0),G895/F895-1,"n.a.")</x:f>
        <x:v>0.006690305865325152</x:v>
      </x:c>
      <x:c r="L895" s="15" t="n">
        <x:f>IF(AND(N895,ISNUMBER(H895),ISNUMBER(I895),H895&gt;0),I895/H895-1,"n.a.")</x:f>
        <x:v>0.0008944918837332505</x:v>
      </x:c>
      <x:c r="M895" s="20" t="n">
        <x:f>IF(AND(ISNUMBER(K895),ISNUMBER(L895)),100*(K895-L895),"n.a.")</x:f>
        <x:v>0.5795813981591902</x:v>
      </x:c>
      <x:c r="N895" s="13" t="b">
        <x:v>1</x:v>
      </x:c>
      <x:c r="O895" s="13" t="b">
        <x:v>1</x:v>
      </x:c>
      <x:c r="P895" s="13" t="b">
        <x:v>0</x:v>
      </x:c>
      <x:c r="Q895" s="2" t="str">
        <x:v>qualified_paired_native_source_frame</x:v>
      </x:c>
      <x:c r="R895" s="2" t="str">
        <x:v>qualified_paired_native_source_frame</x:v>
      </x:c>
      <x:c r="S895" s="2" t="str">
        <x:v>modeled_epoch_volume_with_fixed2018_height_and_predominant_use</x:v>
      </x:c>
      <x:c r="T895" s="2" t="str">
        <x:v>modeled_epoch_volume_with_fixed2018_height_and_predominant_use</x:v>
      </x:c>
      <x:c r="U895" s="2" t="str">
        <x:v>GFA growth versus source physical quantity growth; constant conversion required for equality</x:v>
      </x:c>
      <x:c r="V895" s="2" t="str">
        <x:v>Model sector composition uses this source family; fixed2018-height modeled epochs</x:v>
      </x:c>
      <x:c r="W895" s="2" t="str">
        <x:v>https://human-settlement.emergency.copernicus.eu/ghs_buV2023.php</x:v>
      </x:c>
    </x:row>
    <x:row r="896" ht="23" customHeight="1">
      <x:c r="A896" s="2" t="str">
        <x:v>MDA</x:v>
      </x:c>
      <x:c r="B896" s="2" t="str">
        <x:v>Moldova (Republic of)</x:v>
      </x:c>
      <x:c r="C896" s="2" t="str">
        <x:v>GHSL_VOLUME</x:v>
      </x:c>
      <x:c r="D896" s="2" t="n">
        <x:v>2015</x:v>
      </x:c>
      <x:c r="E896" s="2" t="n">
        <x:v>2020</x:v>
      </x:c>
      <x:c r="F896" s="17" t="n">
        <x:v>247909213.73238635</x:v>
      </x:c>
      <x:c r="G896" s="17" t="n">
        <x:v>254566854.8299996</x:v>
      </x:c>
      <x:c r="H896" s="17" t="n">
        <x:v>2111439589.972549</x:v>
      </x:c>
      <x:c r="I896" s="17" t="n">
        <x:v>2158516672.9960785</x:v>
      </x:c>
      <x:c r="J896" s="2" t="str">
        <x:v>m3</x:v>
      </x:c>
      <x:c r="K896" s="15" t="n">
        <x:f>IF(AND(ISNUMBER(F896),ISNUMBER(G896),F896&gt;0),G896/F896-1,"n.a.")</x:f>
        <x:v>0.026855157972466737</x:v>
      </x:c>
      <x:c r="L896" s="15" t="n">
        <x:f>IF(AND(N896,ISNUMBER(H896),ISNUMBER(I896),H896&gt;0),I896/H896-1,"n.a.")</x:f>
        <x:v>0.022296201722797893</x:v>
      </x:c>
      <x:c r="M896" s="20" t="n">
        <x:f>IF(AND(ISNUMBER(K896),ISNUMBER(L896)),100*(K896-L896),"n.a.")</x:f>
        <x:v>0.4558956249668844</x:v>
      </x:c>
      <x:c r="N896" s="13" t="b">
        <x:v>1</x:v>
      </x:c>
      <x:c r="O896" s="13" t="b">
        <x:v>1</x:v>
      </x:c>
      <x:c r="P896" s="13" t="b">
        <x:v>0</x:v>
      </x:c>
      <x:c r="Q896" s="2" t="str">
        <x:v>qualified_paired_native_source_frame</x:v>
      </x:c>
      <x:c r="R896" s="2" t="str">
        <x:v>qualified_paired_native_source_frame</x:v>
      </x:c>
      <x:c r="S896" s="2" t="str">
        <x:v>modeled_epoch_volume_with_fixed2018_height_and_predominant_use</x:v>
      </x:c>
      <x:c r="T896" s="2" t="str">
        <x:v>modeled_epoch_volume_with_fixed2018_height_and_predominant_use</x:v>
      </x:c>
      <x:c r="U896" s="2" t="str">
        <x:v>GFA growth versus source physical quantity growth; constant conversion required for equality</x:v>
      </x:c>
      <x:c r="V896" s="2" t="str">
        <x:v>Model sector composition uses this source family; fixed2018-height modeled epochs</x:v>
      </x:c>
      <x:c r="W896" s="2" t="str">
        <x:v>https://human-settlement.emergency.copernicus.eu/ghs_buV2023.php</x:v>
      </x:c>
    </x:row>
    <x:row r="897" ht="23" customHeight="1">
      <x:c r="A897" s="2" t="str">
        <x:v>MDG</x:v>
      </x:c>
      <x:c r="B897" s="2" t="str">
        <x:v>Madagascar (Republic of)</x:v>
      </x:c>
      <x:c r="C897" s="2" t="str">
        <x:v>GHSL_VOLUME</x:v>
      </x:c>
      <x:c r="D897" s="2" t="n">
        <x:v>2015</x:v>
      </x:c>
      <x:c r="E897" s="2" t="n">
        <x:v>2020</x:v>
      </x:c>
      <x:c r="F897" s="17" t="n">
        <x:v>317984451.7483883</x:v>
      </x:c>
      <x:c r="G897" s="17" t="n">
        <x:v>360823089.7999994</x:v>
      </x:c>
      <x:c r="H897" s="17" t="n">
        <x:v>2602208465.8117647</x:v>
      </x:c>
      <x:c r="I897" s="17" t="n">
        <x:v>2828785083.3960786</x:v>
      </x:c>
      <x:c r="J897" s="2" t="str">
        <x:v>m3</x:v>
      </x:c>
      <x:c r="K897" s="15" t="n">
        <x:f>IF(AND(ISNUMBER(F897),ISNUMBER(G897),F897&gt;0),G897/F897-1,"n.a.")</x:f>
        <x:v>0.13471928522312804</x:v>
      </x:c>
      <x:c r="L897" s="15" t="n">
        <x:f>IF(AND(N897,ISNUMBER(H897),ISNUMBER(I897),H897&gt;0),I897/H897-1,"n.a.")</x:f>
        <x:v>0.08707089403524515</x:v>
      </x:c>
      <x:c r="M897" s="20" t="n">
        <x:f>IF(AND(ISNUMBER(K897),ISNUMBER(L897)),100*(K897-L897),"n.a.")</x:f>
        <x:v>4.764839118788289</x:v>
      </x:c>
      <x:c r="N897" s="13" t="b">
        <x:v>1</x:v>
      </x:c>
      <x:c r="O897" s="13" t="b">
        <x:v>1</x:v>
      </x:c>
      <x:c r="P897" s="13" t="b">
        <x:v>0</x:v>
      </x:c>
      <x:c r="Q897" s="2" t="str">
        <x:v>qualified_paired_native_source_frame</x:v>
      </x:c>
      <x:c r="R897" s="2" t="str">
        <x:v>qualified_paired_native_source_frame</x:v>
      </x:c>
      <x:c r="S897" s="2" t="str">
        <x:v>modeled_epoch_volume_with_fixed2018_height_and_predominant_use</x:v>
      </x:c>
      <x:c r="T897" s="2" t="str">
        <x:v>modeled_epoch_volume_with_fixed2018_height_and_predominant_use</x:v>
      </x:c>
      <x:c r="U897" s="2" t="str">
        <x:v>GFA growth versus source physical quantity growth; constant conversion required for equality</x:v>
      </x:c>
      <x:c r="V897" s="2" t="str">
        <x:v>Model sector composition uses this source family; fixed2018-height modeled epochs</x:v>
      </x:c>
      <x:c r="W897" s="2" t="str">
        <x:v>https://human-settlement.emergency.copernicus.eu/ghs_buV2023.php</x:v>
      </x:c>
    </x:row>
    <x:row r="898" ht="23" customHeight="1">
      <x:c r="A898" s="2" t="str">
        <x:v>MDV</x:v>
      </x:c>
      <x:c r="B898" s="2" t="str">
        <x:v>Maldives (Republic of)</x:v>
      </x:c>
      <x:c r="C898" s="2" t="str">
        <x:v>GHSL_VOLUME</x:v>
      </x:c>
      <x:c r="D898" s="2" t="n">
        <x:v>2015</x:v>
      </x:c>
      <x:c r="E898" s="2" t="n">
        <x:v>2020</x:v>
      </x:c>
      <x:c r="F898" s="17" t="n">
        <x:v>2180948.3287212565</x:v>
      </x:c>
      <x:c r="G898" s="17" t="n">
        <x:v>2206666.830000001</x:v>
      </x:c>
      <x:c r="H898" s="17" t="n">
        <x:v>6803611.419607839</x:v>
      </x:c>
      <x:c r="I898" s="17" t="n">
        <x:v>6810866.768627446</x:v>
      </x:c>
      <x:c r="J898" s="2" t="str">
        <x:v>m3</x:v>
      </x:c>
      <x:c r="K898" s="15" t="n">
        <x:f>IF(AND(ISNUMBER(F898),ISNUMBER(G898),F898&gt;0),G898/F898-1,"n.a.")</x:f>
        <x:v>0.011792347824133964</x:v>
      </x:c>
      <x:c r="L898" s="15" t="n">
        <x:f>IF(AND(N898,ISNUMBER(H898),ISNUMBER(I898),H898&gt;0),I898/H898-1,"n.a.")</x:f>
        <x:v>0.0010663967372823713</x:v>
      </x:c>
      <x:c r="M898" s="20" t="n">
        <x:f>IF(AND(ISNUMBER(K898),ISNUMBER(L898)),100*(K898-L898),"n.a.")</x:f>
        <x:v>1.0725951086851593</x:v>
      </x:c>
      <x:c r="N898" s="13" t="b">
        <x:v>1</x:v>
      </x:c>
      <x:c r="O898" s="13" t="b">
        <x:v>1</x:v>
      </x:c>
      <x:c r="P898" s="13" t="b">
        <x:v>0</x:v>
      </x:c>
      <x:c r="Q898" s="2" t="str">
        <x:v>qualified_paired_native_source_frame</x:v>
      </x:c>
      <x:c r="R898" s="2" t="str">
        <x:v>qualified_paired_native_source_frame</x:v>
      </x:c>
      <x:c r="S898" s="2" t="str">
        <x:v>modeled_epoch_volume_with_fixed2018_height_and_predominant_use</x:v>
      </x:c>
      <x:c r="T898" s="2" t="str">
        <x:v>modeled_epoch_volume_with_fixed2018_height_and_predominant_use</x:v>
      </x:c>
      <x:c r="U898" s="2" t="str">
        <x:v>GFA growth versus source physical quantity growth; constant conversion required for equality</x:v>
      </x:c>
      <x:c r="V898" s="2" t="str">
        <x:v>Model sector composition uses this source family; fixed2018-height modeled epochs</x:v>
      </x:c>
      <x:c r="W898" s="2" t="str">
        <x:v>https://human-settlement.emergency.copernicus.eu/ghs_buV2023.php</x:v>
      </x:c>
    </x:row>
    <x:row r="899" ht="23" customHeight="1">
      <x:c r="A899" s="2" t="str">
        <x:v>MEX</x:v>
      </x:c>
      <x:c r="B899" s="2" t="str">
        <x:v>Mexico (United Mexican States)</x:v>
      </x:c>
      <x:c r="C899" s="2" t="str">
        <x:v>GHSL_VOLUME</x:v>
      </x:c>
      <x:c r="D899" s="2" t="n">
        <x:v>2015</x:v>
      </x:c>
      <x:c r="E899" s="2" t="n">
        <x:v>2020</x:v>
      </x:c>
      <x:c r="F899" s="17" t="n">
        <x:v>5563232285.719894</x:v>
      </x:c>
      <x:c r="G899" s="17" t="n">
        <x:v>6345872319.039995</x:v>
      </x:c>
      <x:c r="H899" s="17" t="n">
        <x:v>52065929794.12941</x:v>
      </x:c>
      <x:c r="I899" s="17" t="n">
        <x:v>56099921449.399994</x:v>
      </x:c>
      <x:c r="J899" s="2" t="str">
        <x:v>m3</x:v>
      </x:c>
      <x:c r="K899" s="15" t="n">
        <x:f>IF(AND(ISNUMBER(F899),ISNUMBER(G899),F899&gt;0),G899/F899-1,"n.a.")</x:f>
        <x:v>0.14068081164416557</x:v>
      </x:c>
      <x:c r="L899" s="15" t="n">
        <x:f>IF(AND(N899,ISNUMBER(H899),ISNUMBER(I899),H899&gt;0),I899/H899-1,"n.a.")</x:f>
        <x:v>0.0774785290730644</x:v>
      </x:c>
      <x:c r="M899" s="20" t="n">
        <x:f>IF(AND(ISNUMBER(K899),ISNUMBER(L899)),100*(K899-L899),"n.a.")</x:f>
        <x:v>6.3202282571101165</x:v>
      </x:c>
      <x:c r="N899" s="13" t="b">
        <x:v>1</x:v>
      </x:c>
      <x:c r="O899" s="13" t="b">
        <x:v>1</x:v>
      </x:c>
      <x:c r="P899" s="13" t="b">
        <x:v>0</x:v>
      </x:c>
      <x:c r="Q899" s="2" t="str">
        <x:v>qualified_paired_native_source_frame</x:v>
      </x:c>
      <x:c r="R899" s="2" t="str">
        <x:v>qualified_paired_native_source_frame</x:v>
      </x:c>
      <x:c r="S899" s="2" t="str">
        <x:v>modeled_epoch_volume_with_fixed2018_height_and_predominant_use</x:v>
      </x:c>
      <x:c r="T899" s="2" t="str">
        <x:v>modeled_epoch_volume_with_fixed2018_height_and_predominant_use</x:v>
      </x:c>
      <x:c r="U899" s="2" t="str">
        <x:v>GFA growth versus source physical quantity growth; constant conversion required for equality</x:v>
      </x:c>
      <x:c r="V899" s="2" t="str">
        <x:v>Model sector composition uses this source family; fixed2018-height modeled epochs</x:v>
      </x:c>
      <x:c r="W899" s="2" t="str">
        <x:v>https://human-settlement.emergency.copernicus.eu/ghs_buV2023.php</x:v>
      </x:c>
    </x:row>
    <x:row r="900" ht="23" customHeight="1">
      <x:c r="A900" s="2" t="str">
        <x:v>MHL</x:v>
      </x:c>
      <x:c r="B900" s="2" t="str">
        <x:v>Marshall Islands (Republic of the)</x:v>
      </x:c>
      <x:c r="C900" s="2" t="str">
        <x:v>GHSL_VOLUME</x:v>
      </x:c>
      <x:c r="D900" s="2" t="n">
        <x:v>2015</x:v>
      </x:c>
      <x:c r="E900" s="2" t="n">
        <x:v>2020</x:v>
      </x:c>
      <x:c r="F900" s="17" t="n">
        <x:v>195648.419756377</x:v>
      </x:c>
      <x:c r="G900" s="17" t="n">
        <x:v>198896.74</x:v>
      </x:c>
      <x:c r="H900" s="17" t="n">
        <x:v>1446778.9215686275</x:v>
      </x:c>
      <x:c r="I900" s="17" t="n">
        <x:v>1494834.788235294</x:v>
      </x:c>
      <x:c r="J900" s="2" t="str">
        <x:v>m3</x:v>
      </x:c>
      <x:c r="K900" s="15" t="n">
        <x:f>IF(AND(ISNUMBER(F900),ISNUMBER(G900),F900&gt;0),G900/F900-1,"n.a.")</x:f>
        <x:v>0.01660284426354086</x:v>
      </x:c>
      <x:c r="L900" s="15" t="n">
        <x:f>IF(AND(N900,ISNUMBER(H900),ISNUMBER(I900),H900&gt;0),I900/H900-1,"n.a.")</x:f>
        <x:v>0.03321576361823353</x:v>
      </x:c>
      <x:c r="M900" s="20" t="n">
        <x:f>IF(AND(ISNUMBER(K900),ISNUMBER(L900)),100*(K900-L900),"n.a.")</x:f>
        <x:v>-1.6612919354692668</x:v>
      </x:c>
      <x:c r="N900" s="13" t="b">
        <x:v>1</x:v>
      </x:c>
      <x:c r="O900" s="13" t="b">
        <x:v>1</x:v>
      </x:c>
      <x:c r="P900" s="13" t="b">
        <x:v>0</x:v>
      </x:c>
      <x:c r="Q900" s="2" t="str">
        <x:v>qualified_paired_native_source_frame</x:v>
      </x:c>
      <x:c r="R900" s="2" t="str">
        <x:v>qualified_paired_native_source_frame</x:v>
      </x:c>
      <x:c r="S900" s="2" t="str">
        <x:v>modeled_epoch_volume_with_fixed2018_height_and_predominant_use</x:v>
      </x:c>
      <x:c r="T900" s="2" t="str">
        <x:v>modeled_epoch_volume_with_fixed2018_height_and_predominant_use</x:v>
      </x:c>
      <x:c r="U900" s="2" t="str">
        <x:v>GFA growth versus source physical quantity growth; constant conversion required for equality</x:v>
      </x:c>
      <x:c r="V900" s="2" t="str">
        <x:v>Model sector composition uses this source family; fixed2018-height modeled epochs</x:v>
      </x:c>
      <x:c r="W900" s="2" t="str">
        <x:v>https://human-settlement.emergency.copernicus.eu/ghs_buV2023.php</x:v>
      </x:c>
    </x:row>
    <x:row r="901" ht="23" customHeight="1">
      <x:c r="A901" s="2" t="str">
        <x:v>MKD</x:v>
      </x:c>
      <x:c r="B901" s="2" t="str">
        <x:v>North Macedonia (Republic of)</x:v>
      </x:c>
      <x:c r="C901" s="2" t="str">
        <x:v>GHSL_VOLUME</x:v>
      </x:c>
      <x:c r="D901" s="2" t="n">
        <x:v>2015</x:v>
      </x:c>
      <x:c r="E901" s="2" t="n">
        <x:v>2020</x:v>
      </x:c>
      <x:c r="F901" s="17" t="n">
        <x:v>114316435.8808353</x:v>
      </x:c>
      <x:c r="G901" s="17" t="n">
        <x:v>122189801.58999982</x:v>
      </x:c>
      <x:c r="H901" s="17" t="n">
        <x:v>746281425.3882352</x:v>
      </x:c>
      <x:c r="I901" s="17" t="n">
        <x:v>786945288.0117646</x:v>
      </x:c>
      <x:c r="J901" s="2" t="str">
        <x:v>m3</x:v>
      </x:c>
      <x:c r="K901" s="15" t="n">
        <x:f>IF(AND(ISNUMBER(F901),ISNUMBER(G901),F901&gt;0),G901/F901-1,"n.a.")</x:f>
        <x:v>0.06887343581435501</x:v>
      </x:c>
      <x:c r="L901" s="15" t="n">
        <x:f>IF(AND(N901,ISNUMBER(H901),ISNUMBER(I901),H901&gt;0),I901/H901-1,"n.a.")</x:f>
        <x:v>0.05448864361373462</x:v>
      </x:c>
      <x:c r="M901" s="20" t="n">
        <x:f>IF(AND(ISNUMBER(K901),ISNUMBER(L901)),100*(K901-L901),"n.a.")</x:f>
        <x:v>1.4384792200620389</x:v>
      </x:c>
      <x:c r="N901" s="13" t="b">
        <x:v>1</x:v>
      </x:c>
      <x:c r="O901" s="13" t="b">
        <x:v>1</x:v>
      </x:c>
      <x:c r="P901" s="13" t="b">
        <x:v>0</x:v>
      </x:c>
      <x:c r="Q901" s="2" t="str">
        <x:v>qualified_paired_native_source_frame</x:v>
      </x:c>
      <x:c r="R901" s="2" t="str">
        <x:v>qualified_paired_native_source_frame</x:v>
      </x:c>
      <x:c r="S901" s="2" t="str">
        <x:v>modeled_epoch_volume_with_fixed2018_height_and_predominant_use</x:v>
      </x:c>
      <x:c r="T901" s="2" t="str">
        <x:v>modeled_epoch_volume_with_fixed2018_height_and_predominant_use</x:v>
      </x:c>
      <x:c r="U901" s="2" t="str">
        <x:v>GFA growth versus source physical quantity growth; constant conversion required for equality</x:v>
      </x:c>
      <x:c r="V901" s="2" t="str">
        <x:v>Model sector composition uses this source family; fixed2018-height modeled epochs</x:v>
      </x:c>
      <x:c r="W901" s="2" t="str">
        <x:v>https://human-settlement.emergency.copernicus.eu/ghs_buV2023.php</x:v>
      </x:c>
    </x:row>
    <x:row r="902" ht="23" customHeight="1">
      <x:c r="A902" s="2" t="str">
        <x:v>MLI</x:v>
      </x:c>
      <x:c r="B902" s="2" t="str">
        <x:v>Mali (Republic of)</x:v>
      </x:c>
      <x:c r="C902" s="2" t="str">
        <x:v>GHSL_VOLUME</x:v>
      </x:c>
      <x:c r="D902" s="2" t="n">
        <x:v>2015</x:v>
      </x:c>
      <x:c r="E902" s="2" t="n">
        <x:v>2020</x:v>
      </x:c>
      <x:c r="F902" s="17" t="n">
        <x:v>292905544.7978866</x:v>
      </x:c>
      <x:c r="G902" s="17" t="n">
        <x:v>323707340.7500005</x:v>
      </x:c>
      <x:c r="H902" s="17" t="n">
        <x:v>3915538250.596079</x:v>
      </x:c>
      <x:c r="I902" s="17" t="n">
        <x:v>4180136921.654903</x:v>
      </x:c>
      <x:c r="J902" s="2" t="str">
        <x:v>m3</x:v>
      </x:c>
      <x:c r="K902" s="15" t="n">
        <x:f>IF(AND(ISNUMBER(F902),ISNUMBER(G902),F902&gt;0),G902/F902-1,"n.a.")</x:f>
        <x:v>0.10515948400146535</x:v>
      </x:c>
      <x:c r="L902" s="15" t="n">
        <x:f>IF(AND(N902,ISNUMBER(H902),ISNUMBER(I902),H902&gt;0),I902/H902-1,"n.a.")</x:f>
        <x:v>0.06757657673719386</x:v>
      </x:c>
      <x:c r="M902" s="20" t="n">
        <x:f>IF(AND(ISNUMBER(K902),ISNUMBER(L902)),100*(K902-L902),"n.a.")</x:f>
        <x:v>3.7582907264271492</x:v>
      </x:c>
      <x:c r="N902" s="13" t="b">
        <x:v>1</x:v>
      </x:c>
      <x:c r="O902" s="13" t="b">
        <x:v>1</x:v>
      </x:c>
      <x:c r="P902" s="13" t="b">
        <x:v>0</x:v>
      </x:c>
      <x:c r="Q902" s="2" t="str">
        <x:v>qualified_paired_native_source_frame</x:v>
      </x:c>
      <x:c r="R902" s="2" t="str">
        <x:v>qualified_paired_native_source_frame</x:v>
      </x:c>
      <x:c r="S902" s="2" t="str">
        <x:v>modeled_epoch_volume_with_fixed2018_height_and_predominant_use</x:v>
      </x:c>
      <x:c r="T902" s="2" t="str">
        <x:v>modeled_epoch_volume_with_fixed2018_height_and_predominant_use</x:v>
      </x:c>
      <x:c r="U902" s="2" t="str">
        <x:v>GFA growth versus source physical quantity growth; constant conversion required for equality</x:v>
      </x:c>
      <x:c r="V902" s="2" t="str">
        <x:v>Model sector composition uses this source family; fixed2018-height modeled epochs</x:v>
      </x:c>
      <x:c r="W902" s="2" t="str">
        <x:v>https://human-settlement.emergency.copernicus.eu/ghs_buV2023.php</x:v>
      </x:c>
    </x:row>
    <x:row r="903" ht="23" customHeight="1">
      <x:c r="A903" s="2" t="str">
        <x:v>MLT</x:v>
      </x:c>
      <x:c r="B903" s="2" t="str">
        <x:v>Malta (Republic of)</x:v>
      </x:c>
      <x:c r="C903" s="2" t="str">
        <x:v>GHSL_VOLUME</x:v>
      </x:c>
      <x:c r="D903" s="2" t="n">
        <x:v>2015</x:v>
      </x:c>
      <x:c r="E903" s="2" t="n">
        <x:v>2020</x:v>
      </x:c>
      <x:c r="F903" s="17" t="n">
        <x:v>33156469.088490263</x:v>
      </x:c>
      <x:c r="G903" s="17" t="n">
        <x:v>35087387.829999976</x:v>
      </x:c>
      <x:c r="H903" s="17" t="n">
        <x:v>257944259.91372555</x:v>
      </x:c>
      <x:c r="I903" s="17" t="n">
        <x:v>266446635.57647055</x:v>
      </x:c>
      <x:c r="J903" s="2" t="str">
        <x:v>m3</x:v>
      </x:c>
      <x:c r="K903" s="15" t="n">
        <x:f>IF(AND(ISNUMBER(F903),ISNUMBER(G903),F903&gt;0),G903/F903-1,"n.a.")</x:f>
        <x:v>0.058236561207900106</x:v>
      </x:c>
      <x:c r="L903" s="15" t="n">
        <x:f>IF(AND(N903,ISNUMBER(H903),ISNUMBER(I903),H903&gt;0),I903/H903-1,"n.a.")</x:f>
        <x:v>0.032962065779594374</x:v>
      </x:c>
      <x:c r="M903" s="20" t="n">
        <x:f>IF(AND(ISNUMBER(K903),ISNUMBER(L903)),100*(K903-L903),"n.a.")</x:f>
        <x:v>2.527449542830573</x:v>
      </x:c>
      <x:c r="N903" s="13" t="b">
        <x:v>1</x:v>
      </x:c>
      <x:c r="O903" s="13" t="b">
        <x:v>1</x:v>
      </x:c>
      <x:c r="P903" s="13" t="b">
        <x:v>0</x:v>
      </x:c>
      <x:c r="Q903" s="2" t="str">
        <x:v>qualified_paired_native_source_frame</x:v>
      </x:c>
      <x:c r="R903" s="2" t="str">
        <x:v>qualified_paired_native_source_frame</x:v>
      </x:c>
      <x:c r="S903" s="2" t="str">
        <x:v>modeled_epoch_volume_with_fixed2018_height_and_predominant_use</x:v>
      </x:c>
      <x:c r="T903" s="2" t="str">
        <x:v>modeled_epoch_volume_with_fixed2018_height_and_predominant_use</x:v>
      </x:c>
      <x:c r="U903" s="2" t="str">
        <x:v>GFA growth versus source physical quantity growth; constant conversion required for equality</x:v>
      </x:c>
      <x:c r="V903" s="2" t="str">
        <x:v>Model sector composition uses this source family; fixed2018-height modeled epochs</x:v>
      </x:c>
      <x:c r="W903" s="2" t="str">
        <x:v>https://human-settlement.emergency.copernicus.eu/ghs_buV2023.php</x:v>
      </x:c>
    </x:row>
    <x:row r="904" ht="23" customHeight="1">
      <x:c r="A904" s="2" t="str">
        <x:v>MMR</x:v>
      </x:c>
      <x:c r="B904" s="2" t="str">
        <x:v>Myanmar (Republic of the Union of)</x:v>
      </x:c>
      <x:c r="C904" s="2" t="str">
        <x:v>GHSL_VOLUME</x:v>
      </x:c>
      <x:c r="D904" s="2" t="n">
        <x:v>2015</x:v>
      </x:c>
      <x:c r="E904" s="2" t="n">
        <x:v>2020</x:v>
      </x:c>
      <x:c r="F904" s="17" t="n">
        <x:v>1286938747.3309321</x:v>
      </x:c>
      <x:c r="G904" s="17" t="n">
        <x:v>1377164281.6799977</x:v>
      </x:c>
      <x:c r="H904" s="17" t="n">
        <x:v>4909759777.050981</x:v>
      </x:c>
      <x:c r="I904" s="17" t="n">
        <x:v>5115336260.396078</x:v>
      </x:c>
      <x:c r="J904" s="2" t="str">
        <x:v>m3</x:v>
      </x:c>
      <x:c r="K904" s="15" t="n">
        <x:f>IF(AND(ISNUMBER(F904),ISNUMBER(G904),F904&gt;0),G904/F904-1,"n.a.")</x:f>
        <x:v>0.0701086470014134</x:v>
      </x:c>
      <x:c r="L904" s="15" t="n">
        <x:f>IF(AND(N904,ISNUMBER(H904),ISNUMBER(I904),H904&gt;0),I904/H904-1,"n.a.")</x:f>
        <x:v>0.04187098609304596</x:v>
      </x:c>
      <x:c r="M904" s="20" t="n">
        <x:f>IF(AND(ISNUMBER(K904),ISNUMBER(L904)),100*(K904-L904),"n.a.")</x:f>
        <x:v>2.8237660908367435</x:v>
      </x:c>
      <x:c r="N904" s="13" t="b">
        <x:v>1</x:v>
      </x:c>
      <x:c r="O904" s="13" t="b">
        <x:v>1</x:v>
      </x:c>
      <x:c r="P904" s="13" t="b">
        <x:v>0</x:v>
      </x:c>
      <x:c r="Q904" s="2" t="str">
        <x:v>qualified_paired_native_source_frame</x:v>
      </x:c>
      <x:c r="R904" s="2" t="str">
        <x:v>qualified_paired_native_source_frame</x:v>
      </x:c>
      <x:c r="S904" s="2" t="str">
        <x:v>modeled_epoch_volume_with_fixed2018_height_and_predominant_use</x:v>
      </x:c>
      <x:c r="T904" s="2" t="str">
        <x:v>modeled_epoch_volume_with_fixed2018_height_and_predominant_use</x:v>
      </x:c>
      <x:c r="U904" s="2" t="str">
        <x:v>GFA growth versus source physical quantity growth; constant conversion required for equality</x:v>
      </x:c>
      <x:c r="V904" s="2" t="str">
        <x:v>Model sector composition uses this source family; fixed2018-height modeled epochs</x:v>
      </x:c>
      <x:c r="W904" s="2" t="str">
        <x:v>https://human-settlement.emergency.copernicus.eu/ghs_buV2023.php</x:v>
      </x:c>
    </x:row>
    <x:row r="905" ht="23" customHeight="1">
      <x:c r="A905" s="2" t="str">
        <x:v>MNE</x:v>
      </x:c>
      <x:c r="B905" s="2" t="str">
        <x:v>Montenegro</x:v>
      </x:c>
      <x:c r="C905" s="2" t="str">
        <x:v>GHSL_VOLUME</x:v>
      </x:c>
      <x:c r="D905" s="2" t="n">
        <x:v>2015</x:v>
      </x:c>
      <x:c r="E905" s="2" t="n">
        <x:v>2020</x:v>
      </x:c>
      <x:c r="F905" s="17" t="n">
        <x:v>36534168.559464976</x:v>
      </x:c>
      <x:c r="G905" s="17" t="n">
        <x:v>39447648.85999995</x:v>
      </x:c>
      <x:c r="H905" s="17" t="n">
        <x:v>190071678.44313726</x:v>
      </x:c>
      <x:c r="I905" s="17" t="n">
        <x:v>201731258.0745098</x:v>
      </x:c>
      <x:c r="J905" s="2" t="str">
        <x:v>m3</x:v>
      </x:c>
      <x:c r="K905" s="15" t="n">
        <x:f>IF(AND(ISNUMBER(F905),ISNUMBER(G905),F905&gt;0),G905/F905-1,"n.a.")</x:f>
        <x:v>0.07974672520035142</x:v>
      </x:c>
      <x:c r="L905" s="15" t="n">
        <x:f>IF(AND(N905,ISNUMBER(H905),ISNUMBER(I905),H905&gt;0),I905/H905-1,"n.a.")</x:f>
        <x:v>0.06134306660979316</x:v>
      </x:c>
      <x:c r="M905" s="20" t="n">
        <x:f>IF(AND(ISNUMBER(K905),ISNUMBER(L905)),100*(K905-L905),"n.a.")</x:f>
        <x:v>1.8403658590558258</x:v>
      </x:c>
      <x:c r="N905" s="13" t="b">
        <x:v>1</x:v>
      </x:c>
      <x:c r="O905" s="13" t="b">
        <x:v>1</x:v>
      </x:c>
      <x:c r="P905" s="13" t="b">
        <x:v>0</x:v>
      </x:c>
      <x:c r="Q905" s="2" t="str">
        <x:v>qualified_paired_native_source_frame</x:v>
      </x:c>
      <x:c r="R905" s="2" t="str">
        <x:v>qualified_paired_native_source_frame</x:v>
      </x:c>
      <x:c r="S905" s="2" t="str">
        <x:v>modeled_epoch_volume_with_fixed2018_height_and_predominant_use</x:v>
      </x:c>
      <x:c r="T905" s="2" t="str">
        <x:v>modeled_epoch_volume_with_fixed2018_height_and_predominant_use</x:v>
      </x:c>
      <x:c r="U905" s="2" t="str">
        <x:v>GFA growth versus source physical quantity growth; constant conversion required for equality</x:v>
      </x:c>
      <x:c r="V905" s="2" t="str">
        <x:v>Model sector composition uses this source family; fixed2018-height modeled epochs</x:v>
      </x:c>
      <x:c r="W905" s="2" t="str">
        <x:v>https://human-settlement.emergency.copernicus.eu/ghs_buV2023.php</x:v>
      </x:c>
    </x:row>
    <x:row r="906" ht="23" customHeight="1">
      <x:c r="A906" s="2" t="str">
        <x:v>MNG</x:v>
      </x:c>
      <x:c r="B906" s="2" t="str">
        <x:v>Mongolia</x:v>
      </x:c>
      <x:c r="C906" s="2" t="str">
        <x:v>GHSL_VOLUME</x:v>
      </x:c>
      <x:c r="D906" s="2" t="n">
        <x:v>2015</x:v>
      </x:c>
      <x:c r="E906" s="2" t="n">
        <x:v>2020</x:v>
      </x:c>
      <x:c r="F906" s="17" t="n">
        <x:v>80989306.79948433</x:v>
      </x:c>
      <x:c r="G906" s="17" t="n">
        <x:v>83342838.68000013</x:v>
      </x:c>
      <x:c r="H906" s="17" t="n">
        <x:v>951959532.6823529</x:v>
      </x:c>
      <x:c r="I906" s="17" t="n">
        <x:v>968244966.7450981</x:v>
      </x:c>
      <x:c r="J906" s="2" t="str">
        <x:v>m3</x:v>
      </x:c>
      <x:c r="K906" s="15" t="n">
        <x:f>IF(AND(ISNUMBER(F906),ISNUMBER(G906),F906&gt;0),G906/F906-1,"n.a.")</x:f>
        <x:v>0.029059785464552013</x:v>
      </x:c>
      <x:c r="L906" s="15" t="n">
        <x:f>IF(AND(N906,ISNUMBER(H906),ISNUMBER(I906),H906&gt;0),I906/H906-1,"n.a.")</x:f>
        <x:v>0.01710727557594538</x:v>
      </x:c>
      <x:c r="M906" s="20" t="n">
        <x:f>IF(AND(ISNUMBER(K906),ISNUMBER(L906)),100*(K906-L906),"n.a.")</x:f>
        <x:v>1.1952509888606633</x:v>
      </x:c>
      <x:c r="N906" s="13" t="b">
        <x:v>1</x:v>
      </x:c>
      <x:c r="O906" s="13" t="b">
        <x:v>1</x:v>
      </x:c>
      <x:c r="P906" s="13" t="b">
        <x:v>0</x:v>
      </x:c>
      <x:c r="Q906" s="2" t="str">
        <x:v>qualified_paired_native_source_frame</x:v>
      </x:c>
      <x:c r="R906" s="2" t="str">
        <x:v>qualified_paired_native_source_frame</x:v>
      </x:c>
      <x:c r="S906" s="2" t="str">
        <x:v>modeled_epoch_volume_with_fixed2018_height_and_predominant_use</x:v>
      </x:c>
      <x:c r="T906" s="2" t="str">
        <x:v>modeled_epoch_volume_with_fixed2018_height_and_predominant_use</x:v>
      </x:c>
      <x:c r="U906" s="2" t="str">
        <x:v>GFA growth versus source physical quantity growth; constant conversion required for equality</x:v>
      </x:c>
      <x:c r="V906" s="2" t="str">
        <x:v>Model sector composition uses this source family; fixed2018-height modeled epochs</x:v>
      </x:c>
      <x:c r="W906" s="2" t="str">
        <x:v>https://human-settlement.emergency.copernicus.eu/ghs_buV2023.php</x:v>
      </x:c>
    </x:row>
    <x:row r="907" ht="23" customHeight="1">
      <x:c r="A907" s="2" t="str">
        <x:v>MOZ</x:v>
      </x:c>
      <x:c r="B907" s="2" t="str">
        <x:v>Mozambique (Republic of)</x:v>
      </x:c>
      <x:c r="C907" s="2" t="str">
        <x:v>GHSL_VOLUME</x:v>
      </x:c>
      <x:c r="D907" s="2" t="n">
        <x:v>2015</x:v>
      </x:c>
      <x:c r="E907" s="2" t="n">
        <x:v>2020</x:v>
      </x:c>
      <x:c r="F907" s="17" t="n">
        <x:v>435532536.29439145</x:v>
      </x:c>
      <x:c r="G907" s="17" t="n">
        <x:v>540811235.5300008</x:v>
      </x:c>
      <x:c r="H907" s="17" t="n">
        <x:v>6222209889.486275</x:v>
      </x:c>
      <x:c r="I907" s="17" t="n">
        <x:v>7192469617.32549</x:v>
      </x:c>
      <x:c r="J907" s="2" t="str">
        <x:v>m3</x:v>
      </x:c>
      <x:c r="K907" s="15" t="n">
        <x:f>IF(AND(ISNUMBER(F907),ISNUMBER(G907),F907&gt;0),G907/F907-1,"n.a.")</x:f>
        <x:v>0.24172407446604138</x:v>
      </x:c>
      <x:c r="L907" s="15" t="n">
        <x:f>IF(AND(N907,ISNUMBER(H907),ISNUMBER(I907),H907&gt;0),I907/H907-1,"n.a.")</x:f>
        <x:v>0.15593490818731004</x:v>
      </x:c>
      <x:c r="M907" s="20" t="n">
        <x:f>IF(AND(ISNUMBER(K907),ISNUMBER(L907)),100*(K907-L907),"n.a.")</x:f>
        <x:v>8.578916627873134</x:v>
      </x:c>
      <x:c r="N907" s="13" t="b">
        <x:v>1</x:v>
      </x:c>
      <x:c r="O907" s="13" t="b">
        <x:v>1</x:v>
      </x:c>
      <x:c r="P907" s="13" t="b">
        <x:v>0</x:v>
      </x:c>
      <x:c r="Q907" s="2" t="str">
        <x:v>qualified_paired_native_source_frame</x:v>
      </x:c>
      <x:c r="R907" s="2" t="str">
        <x:v>qualified_paired_native_source_frame</x:v>
      </x:c>
      <x:c r="S907" s="2" t="str">
        <x:v>modeled_epoch_volume_with_fixed2018_height_and_predominant_use</x:v>
      </x:c>
      <x:c r="T907" s="2" t="str">
        <x:v>modeled_epoch_volume_with_fixed2018_height_and_predominant_use</x:v>
      </x:c>
      <x:c r="U907" s="2" t="str">
        <x:v>GFA growth versus source physical quantity growth; constant conversion required for equality</x:v>
      </x:c>
      <x:c r="V907" s="2" t="str">
        <x:v>Model sector composition uses this source family; fixed2018-height modeled epochs</x:v>
      </x:c>
      <x:c r="W907" s="2" t="str">
        <x:v>https://human-settlement.emergency.copernicus.eu/ghs_buV2023.php</x:v>
      </x:c>
    </x:row>
    <x:row r="908" ht="23" customHeight="1">
      <x:c r="A908" s="2" t="str">
        <x:v>MRT</x:v>
      </x:c>
      <x:c r="B908" s="2" t="str">
        <x:v>Mauritania (Islamic Republic of)</x:v>
      </x:c>
      <x:c r="C908" s="2" t="str">
        <x:v>GHSL_VOLUME</x:v>
      </x:c>
      <x:c r="D908" s="2" t="n">
        <x:v>2015</x:v>
      </x:c>
      <x:c r="E908" s="2" t="n">
        <x:v>2020</x:v>
      </x:c>
      <x:c r="F908" s="17" t="n">
        <x:v>72013775.59625307</x:v>
      </x:c>
      <x:c r="G908" s="17" t="n">
        <x:v>97384454.07000008</x:v>
      </x:c>
      <x:c r="H908" s="17" t="n">
        <x:v>829577989.309804</x:v>
      </x:c>
      <x:c r="I908" s="17" t="n">
        <x:v>1006337609.137255</x:v>
      </x:c>
      <x:c r="J908" s="2" t="str">
        <x:v>m3</x:v>
      </x:c>
      <x:c r="K908" s="15" t="n">
        <x:f>IF(AND(ISNUMBER(F908),ISNUMBER(G908),F908&gt;0),G908/F908-1,"n.a.")</x:f>
        <x:v>0.35230312900115557</x:v>
      </x:c>
      <x:c r="L908" s="15" t="n">
        <x:f>IF(AND(N908,ISNUMBER(H908),ISNUMBER(I908),H908&gt;0),I908/H908-1,"n.a.")</x:f>
        <x:v>0.21307173298379367</x:v>
      </x:c>
      <x:c r="M908" s="20" t="n">
        <x:f>IF(AND(ISNUMBER(K908),ISNUMBER(L908)),100*(K908-L908),"n.a.")</x:f>
        <x:v>13.923139601736189</x:v>
      </x:c>
      <x:c r="N908" s="13" t="b">
        <x:v>1</x:v>
      </x:c>
      <x:c r="O908" s="13" t="b">
        <x:v>1</x:v>
      </x:c>
      <x:c r="P908" s="13" t="b">
        <x:v>0</x:v>
      </x:c>
      <x:c r="Q908" s="2" t="str">
        <x:v>qualified_paired_native_source_frame</x:v>
      </x:c>
      <x:c r="R908" s="2" t="str">
        <x:v>qualified_paired_native_source_frame</x:v>
      </x:c>
      <x:c r="S908" s="2" t="str">
        <x:v>modeled_epoch_volume_with_fixed2018_height_and_predominant_use</x:v>
      </x:c>
      <x:c r="T908" s="2" t="str">
        <x:v>modeled_epoch_volume_with_fixed2018_height_and_predominant_use</x:v>
      </x:c>
      <x:c r="U908" s="2" t="str">
        <x:v>GFA growth versus source physical quantity growth; constant conversion required for equality</x:v>
      </x:c>
      <x:c r="V908" s="2" t="str">
        <x:v>Model sector composition uses this source family; fixed2018-height modeled epochs</x:v>
      </x:c>
      <x:c r="W908" s="2" t="str">
        <x:v>https://human-settlement.emergency.copernicus.eu/ghs_buV2023.php</x:v>
      </x:c>
    </x:row>
    <x:row r="909" ht="23" customHeight="1">
      <x:c r="A909" s="2" t="str">
        <x:v>MUS</x:v>
      </x:c>
      <x:c r="B909" s="2" t="str">
        <x:v>Mauritius (Republic of)</x:v>
      </x:c>
      <x:c r="C909" s="2" t="str">
        <x:v>GHSL_VOLUME</x:v>
      </x:c>
      <x:c r="D909" s="2" t="n">
        <x:v>2015</x:v>
      </x:c>
      <x:c r="E909" s="2" t="n">
        <x:v>2020</x:v>
      </x:c>
      <x:c r="F909" s="17" t="n">
        <x:v>62566806.81444254</x:v>
      </x:c>
      <x:c r="G909" s="17" t="n">
        <x:v>65152566.7100001</x:v>
      </x:c>
      <x:c r="H909" s="17" t="n">
        <x:v>387913544.2156864</x:v>
      </x:c>
      <x:c r="I909" s="17" t="n">
        <x:v>396525595.7215688</x:v>
      </x:c>
      <x:c r="J909" s="2" t="str">
        <x:v>m3</x:v>
      </x:c>
      <x:c r="K909" s="15" t="n">
        <x:f>IF(AND(ISNUMBER(F909),ISNUMBER(G909),F909&gt;0),G909/F909-1,"n.a.")</x:f>
        <x:v>0.04132798247521685</x:v>
      </x:c>
      <x:c r="L909" s="15" t="n">
        <x:f>IF(AND(N909,ISNUMBER(H909),ISNUMBER(I909),H909&gt;0),I909/H909-1,"n.a.")</x:f>
        <x:v>0.0222009559457248</x:v>
      </x:c>
      <x:c r="M909" s="20" t="n">
        <x:f>IF(AND(ISNUMBER(K909),ISNUMBER(L909)),100*(K909-L909),"n.a.")</x:f>
        <x:v>1.9127026529492053</x:v>
      </x:c>
      <x:c r="N909" s="13" t="b">
        <x:v>1</x:v>
      </x:c>
      <x:c r="O909" s="13" t="b">
        <x:v>1</x:v>
      </x:c>
      <x:c r="P909" s="13" t="b">
        <x:v>0</x:v>
      </x:c>
      <x:c r="Q909" s="2" t="str">
        <x:v>qualified_paired_native_source_frame</x:v>
      </x:c>
      <x:c r="R909" s="2" t="str">
        <x:v>qualified_paired_native_source_frame</x:v>
      </x:c>
      <x:c r="S909" s="2" t="str">
        <x:v>modeled_epoch_volume_with_fixed2018_height_and_predominant_use</x:v>
      </x:c>
      <x:c r="T909" s="2" t="str">
        <x:v>modeled_epoch_volume_with_fixed2018_height_and_predominant_use</x:v>
      </x:c>
      <x:c r="U909" s="2" t="str">
        <x:v>GFA growth versus source physical quantity growth; constant conversion required for equality</x:v>
      </x:c>
      <x:c r="V909" s="2" t="str">
        <x:v>Model sector composition uses this source family; fixed2018-height modeled epochs</x:v>
      </x:c>
      <x:c r="W909" s="2" t="str">
        <x:v>https://human-settlement.emergency.copernicus.eu/ghs_buV2023.php</x:v>
      </x:c>
    </x:row>
    <x:row r="910" ht="23" customHeight="1">
      <x:c r="A910" s="2" t="str">
        <x:v>MWI</x:v>
      </x:c>
      <x:c r="B910" s="2" t="str">
        <x:v>Malawi (Republic of)</x:v>
      </x:c>
      <x:c r="C910" s="2" t="str">
        <x:v>GHSL_VOLUME</x:v>
      </x:c>
      <x:c r="D910" s="2" t="n">
        <x:v>2015</x:v>
      </x:c>
      <x:c r="E910" s="2" t="n">
        <x:v>2020</x:v>
      </x:c>
      <x:c r="F910" s="17" t="n">
        <x:v>275589507.2350312</x:v>
      </x:c>
      <x:c r="G910" s="17" t="n">
        <x:v>330771641.01999974</x:v>
      </x:c>
      <x:c r="H910" s="17" t="n">
        <x:v>3007928410.7843122</x:v>
      </x:c>
      <x:c r="I910" s="17" t="n">
        <x:v>3456304028.066667</x:v>
      </x:c>
      <x:c r="J910" s="2" t="str">
        <x:v>m3</x:v>
      </x:c>
      <x:c r="K910" s="15" t="n">
        <x:f>IF(AND(ISNUMBER(F910),ISNUMBER(G910),F910&gt;0),G910/F910-1,"n.a.")</x:f>
        <x:v>0.20023307250920674</x:v>
      </x:c>
      <x:c r="L910" s="15" t="n">
        <x:f>IF(AND(N910,ISNUMBER(H910),ISNUMBER(I910),H910&gt;0),I910/H910-1,"n.a.")</x:f>
        <x:v>0.1490645906580741</x:v>
      </x:c>
      <x:c r="M910" s="20" t="n">
        <x:f>IF(AND(ISNUMBER(K910),ISNUMBER(L910)),100*(K910-L910),"n.a.")</x:f>
        <x:v>5.116848185113265</x:v>
      </x:c>
      <x:c r="N910" s="13" t="b">
        <x:v>1</x:v>
      </x:c>
      <x:c r="O910" s="13" t="b">
        <x:v>1</x:v>
      </x:c>
      <x:c r="P910" s="13" t="b">
        <x:v>0</x:v>
      </x:c>
      <x:c r="Q910" s="2" t="str">
        <x:v>qualified_paired_native_source_frame</x:v>
      </x:c>
      <x:c r="R910" s="2" t="str">
        <x:v>qualified_paired_native_source_frame</x:v>
      </x:c>
      <x:c r="S910" s="2" t="str">
        <x:v>modeled_epoch_volume_with_fixed2018_height_and_predominant_use</x:v>
      </x:c>
      <x:c r="T910" s="2" t="str">
        <x:v>modeled_epoch_volume_with_fixed2018_height_and_predominant_use</x:v>
      </x:c>
      <x:c r="U910" s="2" t="str">
        <x:v>GFA growth versus source physical quantity growth; constant conversion required for equality</x:v>
      </x:c>
      <x:c r="V910" s="2" t="str">
        <x:v>Model sector composition uses this source family; fixed2018-height modeled epochs</x:v>
      </x:c>
      <x:c r="W910" s="2" t="str">
        <x:v>https://human-settlement.emergency.copernicus.eu/ghs_buV2023.php</x:v>
      </x:c>
    </x:row>
    <x:row r="911" ht="23" customHeight="1">
      <x:c r="A911" s="2" t="str">
        <x:v>MYS</x:v>
      </x:c>
      <x:c r="B911" s="2" t="str">
        <x:v>Malaysia</x:v>
      </x:c>
      <x:c r="C911" s="2" t="str">
        <x:v>GHSL_VOLUME</x:v>
      </x:c>
      <x:c r="D911" s="2" t="n">
        <x:v>2015</x:v>
      </x:c>
      <x:c r="E911" s="2" t="n">
        <x:v>2020</x:v>
      </x:c>
      <x:c r="F911" s="17" t="n">
        <x:v>1864992782.9575677</x:v>
      </x:c>
      <x:c r="G911" s="17" t="n">
        <x:v>2041076673.6399992</x:v>
      </x:c>
      <x:c r="H911" s="17" t="n">
        <x:v>12086710907.521568</x:v>
      </x:c>
      <x:c r="I911" s="17" t="n">
        <x:v>12735489004.72157</x:v>
      </x:c>
      <x:c r="J911" s="2" t="str">
        <x:v>m3</x:v>
      </x:c>
      <x:c r="K911" s="15" t="n">
        <x:f>IF(AND(ISNUMBER(F911),ISNUMBER(G911),F911&gt;0),G911/F911-1,"n.a.")</x:f>
        <x:v>0.09441532015110088</x:v>
      </x:c>
      <x:c r="L911" s="15" t="n">
        <x:f>IF(AND(N911,ISNUMBER(H911),ISNUMBER(I911),H911&gt;0),I911/H911-1,"n.a.")</x:f>
        <x:v>0.05367697648797631</x:v>
      </x:c>
      <x:c r="M911" s="20" t="n">
        <x:f>IF(AND(ISNUMBER(K911),ISNUMBER(L911)),100*(K911-L911),"n.a.")</x:f>
        <x:v>4.0738343663124565</x:v>
      </x:c>
      <x:c r="N911" s="13" t="b">
        <x:v>1</x:v>
      </x:c>
      <x:c r="O911" s="13" t="b">
        <x:v>1</x:v>
      </x:c>
      <x:c r="P911" s="13" t="b">
        <x:v>0</x:v>
      </x:c>
      <x:c r="Q911" s="2" t="str">
        <x:v>qualified_paired_native_source_frame</x:v>
      </x:c>
      <x:c r="R911" s="2" t="str">
        <x:v>qualified_paired_native_source_frame</x:v>
      </x:c>
      <x:c r="S911" s="2" t="str">
        <x:v>modeled_epoch_volume_with_fixed2018_height_and_predominant_use</x:v>
      </x:c>
      <x:c r="T911" s="2" t="str">
        <x:v>modeled_epoch_volume_with_fixed2018_height_and_predominant_use</x:v>
      </x:c>
      <x:c r="U911" s="2" t="str">
        <x:v>GFA growth versus source physical quantity growth; constant conversion required for equality</x:v>
      </x:c>
      <x:c r="V911" s="2" t="str">
        <x:v>Model sector composition uses this source family; fixed2018-height modeled epochs</x:v>
      </x:c>
      <x:c r="W911" s="2" t="str">
        <x:v>https://human-settlement.emergency.copernicus.eu/ghs_buV2023.php</x:v>
      </x:c>
    </x:row>
    <x:row r="912" ht="23" customHeight="1">
      <x:c r="A912" s="2" t="str">
        <x:v>NAM</x:v>
      </x:c>
      <x:c r="B912" s="2" t="str">
        <x:v>Namibia (Republic of)</x:v>
      </x:c>
      <x:c r="C912" s="2" t="str">
        <x:v>GHSL_VOLUME</x:v>
      </x:c>
      <x:c r="D912" s="2" t="n">
        <x:v>2015</x:v>
      </x:c>
      <x:c r="E912" s="2" t="n">
        <x:v>2020</x:v>
      </x:c>
      <x:c r="F912" s="17" t="n">
        <x:v>89132702.8848472</x:v>
      </x:c>
      <x:c r="G912" s="17" t="n">
        <x:v>112405609.30999991</x:v>
      </x:c>
      <x:c r="H912" s="17" t="n">
        <x:v>1045118652.5490196</x:v>
      </x:c>
      <x:c r="I912" s="17" t="n">
        <x:v>1214918567.654902</x:v>
      </x:c>
      <x:c r="J912" s="2" t="str">
        <x:v>m3</x:v>
      </x:c>
      <x:c r="K912" s="15" t="n">
        <x:f>IF(AND(ISNUMBER(F912),ISNUMBER(G912),F912&gt;0),G912/F912-1,"n.a.")</x:f>
        <x:v>0.2611040131389215</x:v>
      </x:c>
      <x:c r="L912" s="15" t="n">
        <x:f>IF(AND(N912,ISNUMBER(H912),ISNUMBER(I912),H912&gt;0),I912/H912-1,"n.a.")</x:f>
        <x:v>0.16246950974584995</x:v>
      </x:c>
      <x:c r="M912" s="20" t="n">
        <x:f>IF(AND(ISNUMBER(K912),ISNUMBER(L912)),100*(K912-L912),"n.a.")</x:f>
        <x:v>9.863450339307157</x:v>
      </x:c>
      <x:c r="N912" s="13" t="b">
        <x:v>1</x:v>
      </x:c>
      <x:c r="O912" s="13" t="b">
        <x:v>1</x:v>
      </x:c>
      <x:c r="P912" s="13" t="b">
        <x:v>0</x:v>
      </x:c>
      <x:c r="Q912" s="2" t="str">
        <x:v>qualified_paired_native_source_frame</x:v>
      </x:c>
      <x:c r="R912" s="2" t="str">
        <x:v>qualified_paired_native_source_frame</x:v>
      </x:c>
      <x:c r="S912" s="2" t="str">
        <x:v>modeled_epoch_volume_with_fixed2018_height_and_predominant_use</x:v>
      </x:c>
      <x:c r="T912" s="2" t="str">
        <x:v>modeled_epoch_volume_with_fixed2018_height_and_predominant_use</x:v>
      </x:c>
      <x:c r="U912" s="2" t="str">
        <x:v>GFA growth versus source physical quantity growth; constant conversion required for equality</x:v>
      </x:c>
      <x:c r="V912" s="2" t="str">
        <x:v>Model sector composition uses this source family; fixed2018-height modeled epochs</x:v>
      </x:c>
      <x:c r="W912" s="2" t="str">
        <x:v>https://human-settlement.emergency.copernicus.eu/ghs_buV2023.php</x:v>
      </x:c>
    </x:row>
    <x:row r="913" ht="23" customHeight="1">
      <x:c r="A913" s="2" t="str">
        <x:v>NER</x:v>
      </x:c>
      <x:c r="B913" s="2" t="str">
        <x:v>Niger (Republic of the)</x:v>
      </x:c>
      <x:c r="C913" s="2" t="str">
        <x:v>GHSL_VOLUME</x:v>
      </x:c>
      <x:c r="D913" s="2" t="n">
        <x:v>2015</x:v>
      </x:c>
      <x:c r="E913" s="2" t="n">
        <x:v>2020</x:v>
      </x:c>
      <x:c r="F913" s="17" t="n">
        <x:v>150823337.09848765</x:v>
      </x:c>
      <x:c r="G913" s="17" t="n">
        <x:v>203236516.4300003</x:v>
      </x:c>
      <x:c r="H913" s="17" t="n">
        <x:v>2080135835.6313725</x:v>
      </x:c>
      <x:c r="I913" s="17" t="n">
        <x:v>2600456942.7490196</x:v>
      </x:c>
      <x:c r="J913" s="2" t="str">
        <x:v>m3</x:v>
      </x:c>
      <x:c r="K913" s="15" t="n">
        <x:f>IF(AND(ISNUMBER(F913),ISNUMBER(G913),F913&gt;0),G913/F913-1,"n.a.")</x:f>
        <x:v>0.34751372260969693</x:v>
      </x:c>
      <x:c r="L913" s="15" t="n">
        <x:f>IF(AND(N913,ISNUMBER(H913),ISNUMBER(I913),H913&gt;0),I913/H913-1,"n.a.")</x:f>
        <x:v>0.2501380430089639</x:v>
      </x:c>
      <x:c r="M913" s="20" t="n">
        <x:f>IF(AND(ISNUMBER(K913),ISNUMBER(L913)),100*(K913-L913),"n.a.")</x:f>
        <x:v>9.737567960073301</x:v>
      </x:c>
      <x:c r="N913" s="13" t="b">
        <x:v>1</x:v>
      </x:c>
      <x:c r="O913" s="13" t="b">
        <x:v>1</x:v>
      </x:c>
      <x:c r="P913" s="13" t="b">
        <x:v>0</x:v>
      </x:c>
      <x:c r="Q913" s="2" t="str">
        <x:v>qualified_paired_native_source_frame</x:v>
      </x:c>
      <x:c r="R913" s="2" t="str">
        <x:v>qualified_paired_native_source_frame</x:v>
      </x:c>
      <x:c r="S913" s="2" t="str">
        <x:v>modeled_epoch_volume_with_fixed2018_height_and_predominant_use</x:v>
      </x:c>
      <x:c r="T913" s="2" t="str">
        <x:v>modeled_epoch_volume_with_fixed2018_height_and_predominant_use</x:v>
      </x:c>
      <x:c r="U913" s="2" t="str">
        <x:v>GFA growth versus source physical quantity growth; constant conversion required for equality</x:v>
      </x:c>
      <x:c r="V913" s="2" t="str">
        <x:v>Model sector composition uses this source family; fixed2018-height modeled epochs</x:v>
      </x:c>
      <x:c r="W913" s="2" t="str">
        <x:v>https://human-settlement.emergency.copernicus.eu/ghs_buV2023.php</x:v>
      </x:c>
    </x:row>
    <x:row r="914" ht="23" customHeight="1">
      <x:c r="A914" s="2" t="str">
        <x:v>NGA</x:v>
      </x:c>
      <x:c r="B914" s="2" t="str">
        <x:v>Nigeria (Federal Republic of)</x:v>
      </x:c>
      <x:c r="C914" s="2" t="str">
        <x:v>GHSL_VOLUME</x:v>
      </x:c>
      <x:c r="D914" s="2" t="n">
        <x:v>2015</x:v>
      </x:c>
      <x:c r="E914" s="2" t="n">
        <x:v>2020</x:v>
      </x:c>
      <x:c r="F914" s="17" t="n">
        <x:v>3643539830.5807</x:v>
      </x:c>
      <x:c r="G914" s="17" t="n">
        <x:v>4102804870.2700024</x:v>
      </x:c>
      <x:c r="H914" s="17" t="n">
        <x:v>41316745166.780396</x:v>
      </x:c>
      <x:c r="I914" s="17" t="n">
        <x:v>43931254772.96863</x:v>
      </x:c>
      <x:c r="J914" s="2" t="str">
        <x:v>m3</x:v>
      </x:c>
      <x:c r="K914" s="15" t="n">
        <x:f>IF(AND(ISNUMBER(F914),ISNUMBER(G914),F914&gt;0),G914/F914-1,"n.a.")</x:f>
        <x:v>0.1260491338216292</x:v>
      </x:c>
      <x:c r="L914" s="15" t="n">
        <x:f>IF(AND(N914,ISNUMBER(H914),ISNUMBER(I914),H914&gt;0),I914/H914-1,"n.a.")</x:f>
        <x:v>0.06327966047747524</x:v>
      </x:c>
      <x:c r="M914" s="20" t="n">
        <x:f>IF(AND(ISNUMBER(K914),ISNUMBER(L914)),100*(K914-L914),"n.a.")</x:f>
        <x:v>6.276947334415395</x:v>
      </x:c>
      <x:c r="N914" s="13" t="b">
        <x:v>1</x:v>
      </x:c>
      <x:c r="O914" s="13" t="b">
        <x:v>1</x:v>
      </x:c>
      <x:c r="P914" s="13" t="b">
        <x:v>0</x:v>
      </x:c>
      <x:c r="Q914" s="2" t="str">
        <x:v>qualified_paired_native_source_frame</x:v>
      </x:c>
      <x:c r="R914" s="2" t="str">
        <x:v>qualified_paired_native_source_frame</x:v>
      </x:c>
      <x:c r="S914" s="2" t="str">
        <x:v>modeled_epoch_volume_with_fixed2018_height_and_predominant_use</x:v>
      </x:c>
      <x:c r="T914" s="2" t="str">
        <x:v>modeled_epoch_volume_with_fixed2018_height_and_predominant_use</x:v>
      </x:c>
      <x:c r="U914" s="2" t="str">
        <x:v>GFA growth versus source physical quantity growth; constant conversion required for equality</x:v>
      </x:c>
      <x:c r="V914" s="2" t="str">
        <x:v>Model sector composition uses this source family; fixed2018-height modeled epochs</x:v>
      </x:c>
      <x:c r="W914" s="2" t="str">
        <x:v>https://human-settlement.emergency.copernicus.eu/ghs_buV2023.php</x:v>
      </x:c>
    </x:row>
    <x:row r="915" ht="23" customHeight="1">
      <x:c r="A915" s="2" t="str">
        <x:v>NIC</x:v>
      </x:c>
      <x:c r="B915" s="2" t="str">
        <x:v>Nicaragua (Republic of)</x:v>
      </x:c>
      <x:c r="C915" s="2" t="str">
        <x:v>GHSL_VOLUME</x:v>
      </x:c>
      <x:c r="D915" s="2" t="n">
        <x:v>2015</x:v>
      </x:c>
      <x:c r="E915" s="2" t="n">
        <x:v>2020</x:v>
      </x:c>
      <x:c r="F915" s="17" t="n">
        <x:v>175735308.9370167</x:v>
      </x:c>
      <x:c r="G915" s="17" t="n">
        <x:v>201940338.64999992</x:v>
      </x:c>
      <x:c r="H915" s="17" t="n">
        <x:v>1247178885.8431373</x:v>
      </x:c>
      <x:c r="I915" s="17" t="n">
        <x:v>1359702935.5294118</x:v>
      </x:c>
      <x:c r="J915" s="2" t="str">
        <x:v>m3</x:v>
      </x:c>
      <x:c r="K915" s="15" t="n">
        <x:f>IF(AND(ISNUMBER(F915),ISNUMBER(G915),F915&gt;0),G915/F915-1,"n.a.")</x:f>
        <x:v>0.14911647449503196</x:v>
      </x:c>
      <x:c r="L915" s="15" t="n">
        <x:f>IF(AND(N915,ISNUMBER(H915),ISNUMBER(I915),H915&gt;0),I915/H915-1,"n.a.")</x:f>
        <x:v>0.09022286294576287</x:v>
      </x:c>
      <x:c r="M915" s="20" t="n">
        <x:f>IF(AND(ISNUMBER(K915),ISNUMBER(L915)),100*(K915-L915),"n.a.")</x:f>
        <x:v>5.889361154926909</x:v>
      </x:c>
      <x:c r="N915" s="13" t="b">
        <x:v>1</x:v>
      </x:c>
      <x:c r="O915" s="13" t="b">
        <x:v>1</x:v>
      </x:c>
      <x:c r="P915" s="13" t="b">
        <x:v>0</x:v>
      </x:c>
      <x:c r="Q915" s="2" t="str">
        <x:v>qualified_paired_native_source_frame</x:v>
      </x:c>
      <x:c r="R915" s="2" t="str">
        <x:v>qualified_paired_native_source_frame</x:v>
      </x:c>
      <x:c r="S915" s="2" t="str">
        <x:v>modeled_epoch_volume_with_fixed2018_height_and_predominant_use</x:v>
      </x:c>
      <x:c r="T915" s="2" t="str">
        <x:v>modeled_epoch_volume_with_fixed2018_height_and_predominant_use</x:v>
      </x:c>
      <x:c r="U915" s="2" t="str">
        <x:v>GFA growth versus source physical quantity growth; constant conversion required for equality</x:v>
      </x:c>
      <x:c r="V915" s="2" t="str">
        <x:v>Model sector composition uses this source family; fixed2018-height modeled epochs</x:v>
      </x:c>
      <x:c r="W915" s="2" t="str">
        <x:v>https://human-settlement.emergency.copernicus.eu/ghs_buV2023.php</x:v>
      </x:c>
    </x:row>
    <x:row r="916" ht="23" customHeight="1">
      <x:c r="A916" s="2" t="str">
        <x:v>NLD</x:v>
      </x:c>
      <x:c r="B916" s="2" t="str">
        <x:v>Netherlands (Kingdom of the)</x:v>
      </x:c>
      <x:c r="C916" s="2" t="str">
        <x:v>GHSL_VOLUME</x:v>
      </x:c>
      <x:c r="D916" s="2" t="n">
        <x:v>2015</x:v>
      </x:c>
      <x:c r="E916" s="2" t="n">
        <x:v>2020</x:v>
      </x:c>
      <x:c r="F916" s="17" t="n">
        <x:v>1398821482.4145422</x:v>
      </x:c>
      <x:c r="G916" s="17" t="n">
        <x:v>1464947836.6400025</x:v>
      </x:c>
      <x:c r="H916" s="17" t="n">
        <x:v>12226015726.247059</x:v>
      </x:c>
      <x:c r="I916" s="17" t="n">
        <x:v>12634360284.631369</x:v>
      </x:c>
      <x:c r="J916" s="2" t="str">
        <x:v>m3</x:v>
      </x:c>
      <x:c r="K916" s="15" t="n">
        <x:f>IF(AND(ISNUMBER(F916),ISNUMBER(G916),F916&gt;0),G916/F916-1,"n.a.")</x:f>
        <x:v>0.047272904410445404</x:v>
      </x:c>
      <x:c r="L916" s="15" t="n">
        <x:f>IF(AND(N916,ISNUMBER(H916),ISNUMBER(I916),H916&gt;0),I916/H916-1,"n.a.")</x:f>
        <x:v>0.03339964282130503</x:v>
      </x:c>
      <x:c r="M916" s="20" t="n">
        <x:f>IF(AND(ISNUMBER(K916),ISNUMBER(L916)),100*(K916-L916),"n.a.")</x:f>
        <x:v>1.3873261589140373</x:v>
      </x:c>
      <x:c r="N916" s="13" t="b">
        <x:v>1</x:v>
      </x:c>
      <x:c r="O916" s="13" t="b">
        <x:v>1</x:v>
      </x:c>
      <x:c r="P916" s="13" t="b">
        <x:v>0</x:v>
      </x:c>
      <x:c r="Q916" s="2" t="str">
        <x:v>qualified_paired_native_source_frame</x:v>
      </x:c>
      <x:c r="R916" s="2" t="str">
        <x:v>qualified_paired_native_source_frame</x:v>
      </x:c>
      <x:c r="S916" s="2" t="str">
        <x:v>modeled_epoch_volume_with_fixed2018_height_and_predominant_use</x:v>
      </x:c>
      <x:c r="T916" s="2" t="str">
        <x:v>modeled_epoch_volume_with_fixed2018_height_and_predominant_use</x:v>
      </x:c>
      <x:c r="U916" s="2" t="str">
        <x:v>GFA growth versus source physical quantity growth; constant conversion required for equality</x:v>
      </x:c>
      <x:c r="V916" s="2" t="str">
        <x:v>Model sector composition uses this source family; fixed2018-height modeled epochs</x:v>
      </x:c>
      <x:c r="W916" s="2" t="str">
        <x:v>https://human-settlement.emergency.copernicus.eu/ghs_buV2023.php</x:v>
      </x:c>
    </x:row>
    <x:row r="917" ht="23" customHeight="1">
      <x:c r="A917" s="2" t="str">
        <x:v>NOR</x:v>
      </x:c>
      <x:c r="B917" s="2" t="str">
        <x:v>Norway (Kingdom of)</x:v>
      </x:c>
      <x:c r="C917" s="2" t="str">
        <x:v>GHSL_VOLUME</x:v>
      </x:c>
      <x:c r="D917" s="2" t="n">
        <x:v>2015</x:v>
      </x:c>
      <x:c r="E917" s="2" t="n">
        <x:v>2020</x:v>
      </x:c>
      <x:c r="F917" s="17" t="n">
        <x:v>444569121.96455026</x:v>
      </x:c>
      <x:c r="G917" s="17" t="n">
        <x:v>478516256.6100005</x:v>
      </x:c>
      <x:c r="H917" s="17" t="n">
        <x:v>1576986361.988235</x:v>
      </x:c>
      <x:c r="I917" s="17" t="n">
        <x:v>1668560407.2784312</x:v>
      </x:c>
      <x:c r="J917" s="2" t="str">
        <x:v>m3</x:v>
      </x:c>
      <x:c r="K917" s="15" t="n">
        <x:f>IF(AND(ISNUMBER(F917),ISNUMBER(G917),F917&gt;0),G917/F917-1,"n.a.")</x:f>
        <x:v>0.07635963221070763</x:v>
      </x:c>
      <x:c r="L917" s="15" t="n">
        <x:f>IF(AND(N917,ISNUMBER(H917),ISNUMBER(I917),H917&gt;0),I917/H917-1,"n.a.")</x:f>
        <x:v>0.05806901536849152</x:v>
      </x:c>
      <x:c r="M917" s="20" t="n">
        <x:f>IF(AND(ISNUMBER(K917),ISNUMBER(L917)),100*(K917-L917),"n.a.")</x:f>
        <x:v>1.8290616842216112</x:v>
      </x:c>
      <x:c r="N917" s="13" t="b">
        <x:v>1</x:v>
      </x:c>
      <x:c r="O917" s="13" t="b">
        <x:v>1</x:v>
      </x:c>
      <x:c r="P917" s="13" t="b">
        <x:v>0</x:v>
      </x:c>
      <x:c r="Q917" s="2" t="str">
        <x:v>qualified_paired_native_source_frame</x:v>
      </x:c>
      <x:c r="R917" s="2" t="str">
        <x:v>qualified_paired_native_source_frame</x:v>
      </x:c>
      <x:c r="S917" s="2" t="str">
        <x:v>modeled_epoch_volume_with_fixed2018_height_and_predominant_use</x:v>
      </x:c>
      <x:c r="T917" s="2" t="str">
        <x:v>modeled_epoch_volume_with_fixed2018_height_and_predominant_use</x:v>
      </x:c>
      <x:c r="U917" s="2" t="str">
        <x:v>GFA growth versus source physical quantity growth; constant conversion required for equality</x:v>
      </x:c>
      <x:c r="V917" s="2" t="str">
        <x:v>Model sector composition uses this source family; fixed2018-height modeled epochs</x:v>
      </x:c>
      <x:c r="W917" s="2" t="str">
        <x:v>https://human-settlement.emergency.copernicus.eu/ghs_buV2023.php</x:v>
      </x:c>
    </x:row>
    <x:row r="918" ht="23" customHeight="1">
      <x:c r="A918" s="2" t="str">
        <x:v>NPL</x:v>
      </x:c>
      <x:c r="B918" s="2" t="str">
        <x:v>Nepal (Federal Democratic Republic of)</x:v>
      </x:c>
      <x:c r="C918" s="2" t="str">
        <x:v>GHSL_VOLUME</x:v>
      </x:c>
      <x:c r="D918" s="2" t="n">
        <x:v>2015</x:v>
      </x:c>
      <x:c r="E918" s="2" t="n">
        <x:v>2020</x:v>
      </x:c>
      <x:c r="F918" s="17" t="n">
        <x:v>540535876.2611996</x:v>
      </x:c>
      <x:c r="G918" s="17" t="n">
        <x:v>656084354.4999993</x:v>
      </x:c>
      <x:c r="H918" s="17" t="n">
        <x:v>3260277258.843138</x:v>
      </x:c>
      <x:c r="I918" s="17" t="n">
        <x:v>3754178646.8980393</x:v>
      </x:c>
      <x:c r="J918" s="2" t="str">
        <x:v>m3</x:v>
      </x:c>
      <x:c r="K918" s="15" t="n">
        <x:f>IF(AND(ISNUMBER(F918),ISNUMBER(G918),F918&gt;0),G918/F918-1,"n.a.")</x:f>
        <x:v>0.21376652931537143</x:v>
      </x:c>
      <x:c r="L918" s="15" t="n">
        <x:f>IF(AND(N918,ISNUMBER(H918),ISNUMBER(I918),H918&gt;0),I918/H918-1,"n.a.")</x:f>
        <x:v>0.1514906091852306</x:v>
      </x:c>
      <x:c r="M918" s="20" t="n">
        <x:f>IF(AND(ISNUMBER(K918),ISNUMBER(L918)),100*(K918-L918),"n.a.")</x:f>
        <x:v>6.227592013014083</x:v>
      </x:c>
      <x:c r="N918" s="13" t="b">
        <x:v>1</x:v>
      </x:c>
      <x:c r="O918" s="13" t="b">
        <x:v>1</x:v>
      </x:c>
      <x:c r="P918" s="13" t="b">
        <x:v>0</x:v>
      </x:c>
      <x:c r="Q918" s="2" t="str">
        <x:v>qualified_paired_native_source_frame</x:v>
      </x:c>
      <x:c r="R918" s="2" t="str">
        <x:v>qualified_paired_native_source_frame</x:v>
      </x:c>
      <x:c r="S918" s="2" t="str">
        <x:v>modeled_epoch_volume_with_fixed2018_height_and_predominant_use</x:v>
      </x:c>
      <x:c r="T918" s="2" t="str">
        <x:v>modeled_epoch_volume_with_fixed2018_height_and_predominant_use</x:v>
      </x:c>
      <x:c r="U918" s="2" t="str">
        <x:v>GFA growth versus source physical quantity growth; constant conversion required for equality</x:v>
      </x:c>
      <x:c r="V918" s="2" t="str">
        <x:v>Model sector composition uses this source family; fixed2018-height modeled epochs</x:v>
      </x:c>
      <x:c r="W918" s="2" t="str">
        <x:v>https://human-settlement.emergency.copernicus.eu/ghs_buV2023.php</x:v>
      </x:c>
    </x:row>
    <x:row r="919" ht="23" customHeight="1">
      <x:c r="A919" s="2" t="str">
        <x:v>NRU</x:v>
      </x:c>
      <x:c r="B919" s="2" t="str">
        <x:v>Nauru (Republic of)</x:v>
      </x:c>
      <x:c r="C919" s="2" t="str">
        <x:v>GHSL_VOLUME</x:v>
      </x:c>
      <x:c r="D919" s="2" t="n">
        <x:v>2015</x:v>
      </x:c>
      <x:c r="E919" s="2" t="n">
        <x:v>2020</x:v>
      </x:c>
      <x:c r="F919" s="17" t="n">
        <x:v>400075.14321742795</x:v>
      </x:c>
      <x:c r="G919" s="17" t="n">
        <x:v>405989.38000000024</x:v>
      </x:c>
      <x:c r="H919" s="17" t="n">
        <x:v>1981727.552941176</x:v>
      </x:c>
      <x:c r="I919" s="17" t="n">
        <x:v>2003283.4</x:v>
      </x:c>
      <x:c r="J919" s="2" t="str">
        <x:v>m3</x:v>
      </x:c>
      <x:c r="K919" s="15" t="n">
        <x:f>IF(AND(ISNUMBER(F919),ISNUMBER(G919),F919&gt;0),G919/F919-1,"n.a.")</x:f>
        <x:v>0.014782814885747841</x:v>
      </x:c>
      <x:c r="L919" s="15" t="n">
        <x:f>IF(AND(N919,ISNUMBER(H919),ISNUMBER(I919),H919&gt;0),I919/H919-1,"n.a.")</x:f>
        <x:v>0.010877300982585547</x:v>
      </x:c>
      <x:c r="M919" s="20" t="n">
        <x:f>IF(AND(ISNUMBER(K919),ISNUMBER(L919)),100*(K919-L919),"n.a.")</x:f>
        <x:v>0.39055139031622943</x:v>
      </x:c>
      <x:c r="N919" s="13" t="b">
        <x:v>1</x:v>
      </x:c>
      <x:c r="O919" s="13" t="b">
        <x:v>1</x:v>
      </x:c>
      <x:c r="P919" s="13" t="b">
        <x:v>0</x:v>
      </x:c>
      <x:c r="Q919" s="2" t="str">
        <x:v>qualified_paired_native_source_frame</x:v>
      </x:c>
      <x:c r="R919" s="2" t="str">
        <x:v>qualified_paired_native_source_frame</x:v>
      </x:c>
      <x:c r="S919" s="2" t="str">
        <x:v>modeled_epoch_volume_with_fixed2018_height_and_predominant_use</x:v>
      </x:c>
      <x:c r="T919" s="2" t="str">
        <x:v>modeled_epoch_volume_with_fixed2018_height_and_predominant_use</x:v>
      </x:c>
      <x:c r="U919" s="2" t="str">
        <x:v>GFA growth versus source physical quantity growth; constant conversion required for equality</x:v>
      </x:c>
      <x:c r="V919" s="2" t="str">
        <x:v>Model sector composition uses this source family; fixed2018-height modeled epochs</x:v>
      </x:c>
      <x:c r="W919" s="2" t="str">
        <x:v>https://human-settlement.emergency.copernicus.eu/ghs_buV2023.php</x:v>
      </x:c>
    </x:row>
    <x:row r="920" ht="23" customHeight="1">
      <x:c r="A920" s="2" t="str">
        <x:v>NZL</x:v>
      </x:c>
      <x:c r="B920" s="2" t="str">
        <x:v>New Zealand</x:v>
      </x:c>
      <x:c r="C920" s="2" t="str">
        <x:v>GHSL_VOLUME</x:v>
      </x:c>
      <x:c r="D920" s="2" t="n">
        <x:v>2015</x:v>
      </x:c>
      <x:c r="E920" s="2" t="n">
        <x:v>2020</x:v>
      </x:c>
      <x:c r="F920" s="17" t="n">
        <x:v>480029552.55422294</x:v>
      </x:c>
      <x:c r="G920" s="17" t="n">
        <x:v>553529463.7899991</x:v>
      </x:c>
      <x:c r="H920" s="17" t="n">
        <x:v>6224501767.7647085</x:v>
      </x:c>
      <x:c r="I920" s="17" t="n">
        <x:v>6861220666.105884</x:v>
      </x:c>
      <x:c r="J920" s="2" t="str">
        <x:v>m3</x:v>
      </x:c>
      <x:c r="K920" s="15" t="n">
        <x:f>IF(AND(ISNUMBER(F920),ISNUMBER(G920),F920&gt;0),G920/F920-1,"n.a.")</x:f>
        <x:v>0.15311538809368153</x:v>
      </x:c>
      <x:c r="L920" s="15" t="n">
        <x:f>IF(AND(N920,ISNUMBER(H920),ISNUMBER(I920),H920&gt;0),I920/H920-1,"n.a.")</x:f>
        <x:v>0.10229234758010652</x:v>
      </x:c>
      <x:c r="M920" s="20" t="n">
        <x:f>IF(AND(ISNUMBER(K920),ISNUMBER(L920)),100*(K920-L920),"n.a.")</x:f>
        <x:v>5.0823040513575</x:v>
      </x:c>
      <x:c r="N920" s="13" t="b">
        <x:v>1</x:v>
      </x:c>
      <x:c r="O920" s="13" t="b">
        <x:v>1</x:v>
      </x:c>
      <x:c r="P920" s="13" t="b">
        <x:v>0</x:v>
      </x:c>
      <x:c r="Q920" s="2" t="str">
        <x:v>qualified_paired_native_source_frame</x:v>
      </x:c>
      <x:c r="R920" s="2" t="str">
        <x:v>qualified_paired_native_source_frame</x:v>
      </x:c>
      <x:c r="S920" s="2" t="str">
        <x:v>modeled_epoch_volume_with_fixed2018_height_and_predominant_use</x:v>
      </x:c>
      <x:c r="T920" s="2" t="str">
        <x:v>modeled_epoch_volume_with_fixed2018_height_and_predominant_use</x:v>
      </x:c>
      <x:c r="U920" s="2" t="str">
        <x:v>GFA growth versus source physical quantity growth; constant conversion required for equality</x:v>
      </x:c>
      <x:c r="V920" s="2" t="str">
        <x:v>Model sector composition uses this source family; fixed2018-height modeled epochs</x:v>
      </x:c>
      <x:c r="W920" s="2" t="str">
        <x:v>https://human-settlement.emergency.copernicus.eu/ghs_buV2023.php</x:v>
      </x:c>
    </x:row>
    <x:row r="921" ht="23" customHeight="1">
      <x:c r="A921" s="2" t="str">
        <x:v>OMN</x:v>
      </x:c>
      <x:c r="B921" s="2" t="str">
        <x:v>Oman (Sultanate of)</x:v>
      </x:c>
      <x:c r="C921" s="2" t="str">
        <x:v>GHSL_VOLUME</x:v>
      </x:c>
      <x:c r="D921" s="2" t="n">
        <x:v>2015</x:v>
      </x:c>
      <x:c r="E921" s="2" t="n">
        <x:v>2020</x:v>
      </x:c>
      <x:c r="F921" s="17" t="n">
        <x:v>222748482.34837043</x:v>
      </x:c>
      <x:c r="G921" s="17" t="n">
        <x:v>262659820.8500002</x:v>
      </x:c>
      <x:c r="H921" s="17" t="n">
        <x:v>1955714303.2039218</x:v>
      </x:c>
      <x:c r="I921" s="17" t="n">
        <x:v>2169521245.7450976</x:v>
      </x:c>
      <x:c r="J921" s="2" t="str">
        <x:v>m3</x:v>
      </x:c>
      <x:c r="K921" s="15" t="n">
        <x:f>IF(AND(ISNUMBER(F921),ISNUMBER(G921),F921&gt;0),G921/F921-1,"n.a.")</x:f>
        <x:v>0.17917670226461935</x:v>
      </x:c>
      <x:c r="L921" s="15" t="n">
        <x:f>IF(AND(N921,ISNUMBER(H921),ISNUMBER(I921),H921&gt;0),I921/H921-1,"n.a.")</x:f>
        <x:v>0.10932422092066796</x:v>
      </x:c>
      <x:c r="M921" s="20" t="n">
        <x:f>IF(AND(ISNUMBER(K921),ISNUMBER(L921)),100*(K921-L921),"n.a.")</x:f>
        <x:v>6.985248134395139</x:v>
      </x:c>
      <x:c r="N921" s="13" t="b">
        <x:v>1</x:v>
      </x:c>
      <x:c r="O921" s="13" t="b">
        <x:v>1</x:v>
      </x:c>
      <x:c r="P921" s="13" t="b">
        <x:v>0</x:v>
      </x:c>
      <x:c r="Q921" s="2" t="str">
        <x:v>qualified_paired_native_source_frame</x:v>
      </x:c>
      <x:c r="R921" s="2" t="str">
        <x:v>qualified_paired_native_source_frame</x:v>
      </x:c>
      <x:c r="S921" s="2" t="str">
        <x:v>modeled_epoch_volume_with_fixed2018_height_and_predominant_use</x:v>
      </x:c>
      <x:c r="T921" s="2" t="str">
        <x:v>modeled_epoch_volume_with_fixed2018_height_and_predominant_use</x:v>
      </x:c>
      <x:c r="U921" s="2" t="str">
        <x:v>GFA growth versus source physical quantity growth; constant conversion required for equality</x:v>
      </x:c>
      <x:c r="V921" s="2" t="str">
        <x:v>Model sector composition uses this source family; fixed2018-height modeled epochs</x:v>
      </x:c>
      <x:c r="W921" s="2" t="str">
        <x:v>https://human-settlement.emergency.copernicus.eu/ghs_buV2023.php</x:v>
      </x:c>
    </x:row>
    <x:row r="922" ht="23" customHeight="1">
      <x:c r="A922" s="2" t="str">
        <x:v>PAK</x:v>
      </x:c>
      <x:c r="B922" s="2" t="str">
        <x:v>Pakistan (Islamic Republic of)</x:v>
      </x:c>
      <x:c r="C922" s="2" t="str">
        <x:v>GHSL_VOLUME</x:v>
      </x:c>
      <x:c r="D922" s="2" t="n">
        <x:v>2015</x:v>
      </x:c>
      <x:c r="E922" s="2" t="n">
        <x:v>2020</x:v>
      </x:c>
      <x:c r="F922" s="17" t="n">
        <x:v>3517876725.135339</x:v>
      </x:c>
      <x:c r="G922" s="17" t="n">
        <x:v>4301390083.520005</x:v>
      </x:c>
      <x:c r="H922" s="17" t="n">
        <x:v>23218031178.886276</x:v>
      </x:c>
      <x:c r="I922" s="17" t="n">
        <x:v>26394675492.44706</x:v>
      </x:c>
      <x:c r="J922" s="2" t="str">
        <x:v>m3</x:v>
      </x:c>
      <x:c r="K922" s="15" t="n">
        <x:f>IF(AND(ISNUMBER(F922),ISNUMBER(G922),F922&gt;0),G922/F922-1,"n.a.")</x:f>
        <x:v>0.22272336969241668</x:v>
      </x:c>
      <x:c r="L922" s="15" t="str">
        <x:f>IF(AND(N922,ISNUMBER(H922),ISNUMBER(I922),H922&gt;0),I922/H922-1,"n.a.")</x:f>
        <x:v>n.a.</x:v>
      </x:c>
      <x:c r="M922" s="20" t="str">
        <x:f>IF(AND(ISNUMBER(K922),ISNUMBER(L922)),100*(K922-L922),"n.a.")</x:f>
        <x:v>n.a.</x:v>
      </x:c>
      <x:c r="N922" s="13" t="b">
        <x:v>0</x:v>
      </x:c>
      <x:c r="O922" s="13" t="b">
        <x:v>1</x:v>
      </x:c>
      <x:c r="P922" s="13" t="b">
        <x:v>0</x:v>
      </x:c>
      <x:c r="Q922" s="2" t="str">
        <x:v>source_support_or_logical_consistency_failed</x:v>
      </x:c>
      <x:c r="R922" s="2" t="str">
        <x:v>source_support_or_logical_consistency_failed</x:v>
      </x:c>
      <x:c r="S922" s="2" t="str">
        <x:v>modeled_epoch_volume_with_fixed2018_height_and_predominant_use</x:v>
      </x:c>
      <x:c r="T922" s="2" t="str">
        <x:v>modeled_epoch_volume_with_fixed2018_height_and_predominant_use</x:v>
      </x:c>
      <x:c r="U922" s="2" t="str">
        <x:v>GFA growth versus source physical quantity growth; constant conversion required for equality</x:v>
      </x:c>
      <x:c r="V922" s="2" t="str">
        <x:v>Model sector composition uses this source family; fixed2018-height modeled epochs</x:v>
      </x:c>
      <x:c r="W922" s="2" t="str">
        <x:v>https://human-settlement.emergency.copernicus.eu/ghs_buV2023.php</x:v>
      </x:c>
    </x:row>
    <x:row r="923" ht="23" customHeight="1">
      <x:c r="A923" s="2" t="str">
        <x:v>PAN</x:v>
      </x:c>
      <x:c r="B923" s="2" t="str">
        <x:v>Panama (Republic of)</x:v>
      </x:c>
      <x:c r="C923" s="2" t="str">
        <x:v>GHSL_VOLUME</x:v>
      </x:c>
      <x:c r="D923" s="2" t="n">
        <x:v>2015</x:v>
      </x:c>
      <x:c r="E923" s="2" t="n">
        <x:v>2020</x:v>
      </x:c>
      <x:c r="F923" s="17" t="n">
        <x:v>181431559.5106657</x:v>
      </x:c>
      <x:c r="G923" s="17" t="n">
        <x:v>209722829.7800001</x:v>
      </x:c>
      <x:c r="H923" s="17" t="n">
        <x:v>1429209615.2274513</x:v>
      </x:c>
      <x:c r="I923" s="17" t="n">
        <x:v>1562660833.0549016</x:v>
      </x:c>
      <x:c r="J923" s="2" t="str">
        <x:v>m3</x:v>
      </x:c>
      <x:c r="K923" s="15" t="n">
        <x:f>IF(AND(ISNUMBER(F923),ISNUMBER(G923),F923&gt;0),G923/F923-1,"n.a.")</x:f>
        <x:v>0.1559335671568829</x:v>
      </x:c>
      <x:c r="L923" s="15" t="n">
        <x:f>IF(AND(N923,ISNUMBER(H923),ISNUMBER(I923),H923&gt;0),I923/H923-1,"n.a.")</x:f>
        <x:v>0.09337413938837247</x:v>
      </x:c>
      <x:c r="M923" s="20" t="n">
        <x:f>IF(AND(ISNUMBER(K923),ISNUMBER(L923)),100*(K923-L923),"n.a.")</x:f>
        <x:v>6.255942776851042</x:v>
      </x:c>
      <x:c r="N923" s="13" t="b">
        <x:v>1</x:v>
      </x:c>
      <x:c r="O923" s="13" t="b">
        <x:v>1</x:v>
      </x:c>
      <x:c r="P923" s="13" t="b">
        <x:v>0</x:v>
      </x:c>
      <x:c r="Q923" s="2" t="str">
        <x:v>qualified_paired_native_source_frame</x:v>
      </x:c>
      <x:c r="R923" s="2" t="str">
        <x:v>qualified_paired_native_source_frame</x:v>
      </x:c>
      <x:c r="S923" s="2" t="str">
        <x:v>modeled_epoch_volume_with_fixed2018_height_and_predominant_use</x:v>
      </x:c>
      <x:c r="T923" s="2" t="str">
        <x:v>modeled_epoch_volume_with_fixed2018_height_and_predominant_use</x:v>
      </x:c>
      <x:c r="U923" s="2" t="str">
        <x:v>GFA growth versus source physical quantity growth; constant conversion required for equality</x:v>
      </x:c>
      <x:c r="V923" s="2" t="str">
        <x:v>Model sector composition uses this source family; fixed2018-height modeled epochs</x:v>
      </x:c>
      <x:c r="W923" s="2" t="str">
        <x:v>https://human-settlement.emergency.copernicus.eu/ghs_buV2023.php</x:v>
      </x:c>
    </x:row>
    <x:row r="924" ht="23" customHeight="1">
      <x:c r="A924" s="2" t="str">
        <x:v>PER</x:v>
      </x:c>
      <x:c r="B924" s="2" t="str">
        <x:v>Peru (Republic of)</x:v>
      </x:c>
      <x:c r="C924" s="2" t="str">
        <x:v>GHSL_VOLUME</x:v>
      </x:c>
      <x:c r="D924" s="2" t="n">
        <x:v>2015</x:v>
      </x:c>
      <x:c r="E924" s="2" t="n">
        <x:v>2020</x:v>
      </x:c>
      <x:c r="F924" s="17" t="n">
        <x:v>1167948144.3467624</x:v>
      </x:c>
      <x:c r="G924" s="17" t="n">
        <x:v>1228349086.860001</x:v>
      </x:c>
      <x:c r="H924" s="17" t="n">
        <x:v>7618468312.580393</x:v>
      </x:c>
      <x:c r="I924" s="17" t="n">
        <x:v>7921014560.070589</x:v>
      </x:c>
      <x:c r="J924" s="2" t="str">
        <x:v>m3</x:v>
      </x:c>
      <x:c r="K924" s="15" t="n">
        <x:f>IF(AND(ISNUMBER(F924),ISNUMBER(G924),F924&gt;0),G924/F924-1,"n.a.")</x:f>
        <x:v>0.051715431721518046</x:v>
      </x:c>
      <x:c r="L924" s="15" t="n">
        <x:f>IF(AND(N924,ISNUMBER(H924),ISNUMBER(I924),H924&gt;0),I924/H924-1,"n.a.")</x:f>
        <x:v>0.039712214460563056</x:v>
      </x:c>
      <x:c r="M924" s="20" t="n">
        <x:f>IF(AND(ISNUMBER(K924),ISNUMBER(L924)),100*(K924-L924),"n.a.")</x:f>
        <x:v>1.200321726095499</x:v>
      </x:c>
      <x:c r="N924" s="13" t="b">
        <x:v>1</x:v>
      </x:c>
      <x:c r="O924" s="13" t="b">
        <x:v>1</x:v>
      </x:c>
      <x:c r="P924" s="13" t="b">
        <x:v>0</x:v>
      </x:c>
      <x:c r="Q924" s="2" t="str">
        <x:v>qualified_paired_native_source_frame</x:v>
      </x:c>
      <x:c r="R924" s="2" t="str">
        <x:v>qualified_paired_native_source_frame</x:v>
      </x:c>
      <x:c r="S924" s="2" t="str">
        <x:v>modeled_epoch_volume_with_fixed2018_height_and_predominant_use</x:v>
      </x:c>
      <x:c r="T924" s="2" t="str">
        <x:v>modeled_epoch_volume_with_fixed2018_height_and_predominant_use</x:v>
      </x:c>
      <x:c r="U924" s="2" t="str">
        <x:v>GFA growth versus source physical quantity growth; constant conversion required for equality</x:v>
      </x:c>
      <x:c r="V924" s="2" t="str">
        <x:v>Model sector composition uses this source family; fixed2018-height modeled epochs</x:v>
      </x:c>
      <x:c r="W924" s="2" t="str">
        <x:v>https://human-settlement.emergency.copernicus.eu/ghs_buV2023.php</x:v>
      </x:c>
    </x:row>
    <x:row r="925" ht="23" customHeight="1">
      <x:c r="A925" s="2" t="str">
        <x:v>PHL</x:v>
      </x:c>
      <x:c r="B925" s="2" t="str">
        <x:v>Philippines (Republic of the)</x:v>
      </x:c>
      <x:c r="C925" s="2" t="str">
        <x:v>GHSL_VOLUME</x:v>
      </x:c>
      <x:c r="D925" s="2" t="n">
        <x:v>2015</x:v>
      </x:c>
      <x:c r="E925" s="2" t="n">
        <x:v>2020</x:v>
      </x:c>
      <x:c r="F925" s="17" t="n">
        <x:v>2119006423.4482572</x:v>
      </x:c>
      <x:c r="G925" s="17" t="n">
        <x:v>2290609295.400001</x:v>
      </x:c>
      <x:c r="H925" s="17" t="n">
        <x:v>10531072282.199997</x:v>
      </x:c>
      <x:c r="I925" s="17" t="n">
        <x:v>10968252840.474512</x:v>
      </x:c>
      <x:c r="J925" s="2" t="str">
        <x:v>m3</x:v>
      </x:c>
      <x:c r="K925" s="15" t="n">
        <x:f>IF(AND(ISNUMBER(F925),ISNUMBER(G925),F925&gt;0),G925/F925-1,"n.a.")</x:f>
        <x:v>0.08098270493795612</x:v>
      </x:c>
      <x:c r="L925" s="15" t="n">
        <x:f>IF(AND(N925,ISNUMBER(H925),ISNUMBER(I925),H925&gt;0),I925/H925-1,"n.a.")</x:f>
        <x:v>0.04151339451097047</x:v>
      </x:c>
      <x:c r="M925" s="20" t="n">
        <x:f>IF(AND(ISNUMBER(K925),ISNUMBER(L925)),100*(K925-L925),"n.a.")</x:f>
        <x:v>3.946931042698565</x:v>
      </x:c>
      <x:c r="N925" s="13" t="b">
        <x:v>1</x:v>
      </x:c>
      <x:c r="O925" s="13" t="b">
        <x:v>1</x:v>
      </x:c>
      <x:c r="P925" s="13" t="b">
        <x:v>0</x:v>
      </x:c>
      <x:c r="Q925" s="2" t="str">
        <x:v>qualified_paired_native_source_frame</x:v>
      </x:c>
      <x:c r="R925" s="2" t="str">
        <x:v>qualified_paired_native_source_frame</x:v>
      </x:c>
      <x:c r="S925" s="2" t="str">
        <x:v>modeled_epoch_volume_with_fixed2018_height_and_predominant_use</x:v>
      </x:c>
      <x:c r="T925" s="2" t="str">
        <x:v>modeled_epoch_volume_with_fixed2018_height_and_predominant_use</x:v>
      </x:c>
      <x:c r="U925" s="2" t="str">
        <x:v>GFA growth versus source physical quantity growth; constant conversion required for equality</x:v>
      </x:c>
      <x:c r="V925" s="2" t="str">
        <x:v>Model sector composition uses this source family; fixed2018-height modeled epochs</x:v>
      </x:c>
      <x:c r="W925" s="2" t="str">
        <x:v>https://human-settlement.emergency.copernicus.eu/ghs_buV2023.php</x:v>
      </x:c>
    </x:row>
    <x:row r="926" ht="23" customHeight="1">
      <x:c r="A926" s="2" t="str">
        <x:v>PLW</x:v>
      </x:c>
      <x:c r="B926" s="2" t="str">
        <x:v>Palau (Republic of)</x:v>
      </x:c>
      <x:c r="C926" s="2" t="str">
        <x:v>GHSL_VOLUME</x:v>
      </x:c>
      <x:c r="D926" s="2" t="n">
        <x:v>2015</x:v>
      </x:c>
      <x:c r="E926" s="2" t="n">
        <x:v>2020</x:v>
      </x:c>
      <x:c r="F926" s="17" t="n">
        <x:v>1134148.4645909867</x:v>
      </x:c>
      <x:c r="G926" s="17" t="n">
        <x:v>1152226.26</x:v>
      </x:c>
      <x:c r="H926" s="17" t="n">
        <x:v>3366322.780392157</x:v>
      </x:c>
      <x:c r="I926" s="17" t="n">
        <x:v>3410397.6196078435</x:v>
      </x:c>
      <x:c r="J926" s="2" t="str">
        <x:v>m3</x:v>
      </x:c>
      <x:c r="K926" s="15" t="n">
        <x:f>IF(AND(ISNUMBER(F926),ISNUMBER(G926),F926&gt;0),G926/F926-1,"n.a.")</x:f>
        <x:v>0.01593953170454876</x:v>
      </x:c>
      <x:c r="L926" s="15" t="n">
        <x:f>IF(AND(N926,ISNUMBER(H926),ISNUMBER(I926),H926&gt;0),I926/H926-1,"n.a.")</x:f>
        <x:v>0.013092873764931179</x:v>
      </x:c>
      <x:c r="M926" s="20" t="n">
        <x:f>IF(AND(ISNUMBER(K926),ISNUMBER(L926)),100*(K926-L926),"n.a.")</x:f>
        <x:v>0.28466579396175806</x:v>
      </x:c>
      <x:c r="N926" s="13" t="b">
        <x:v>1</x:v>
      </x:c>
      <x:c r="O926" s="13" t="b">
        <x:v>1</x:v>
      </x:c>
      <x:c r="P926" s="13" t="b">
        <x:v>0</x:v>
      </x:c>
      <x:c r="Q926" s="2" t="str">
        <x:v>qualified_paired_native_source_frame</x:v>
      </x:c>
      <x:c r="R926" s="2" t="str">
        <x:v>qualified_paired_native_source_frame</x:v>
      </x:c>
      <x:c r="S926" s="2" t="str">
        <x:v>modeled_epoch_volume_with_fixed2018_height_and_predominant_use</x:v>
      </x:c>
      <x:c r="T926" s="2" t="str">
        <x:v>modeled_epoch_volume_with_fixed2018_height_and_predominant_use</x:v>
      </x:c>
      <x:c r="U926" s="2" t="str">
        <x:v>GFA growth versus source physical quantity growth; constant conversion required for equality</x:v>
      </x:c>
      <x:c r="V926" s="2" t="str">
        <x:v>Model sector composition uses this source family; fixed2018-height modeled epochs</x:v>
      </x:c>
      <x:c r="W926" s="2" t="str">
        <x:v>https://human-settlement.emergency.copernicus.eu/ghs_buV2023.php</x:v>
      </x:c>
    </x:row>
    <x:row r="927" ht="23" customHeight="1">
      <x:c r="A927" s="2" t="str">
        <x:v>PNG</x:v>
      </x:c>
      <x:c r="B927" s="2" t="str">
        <x:v>Papua New Guinea (Independent State of)</x:v>
      </x:c>
      <x:c r="C927" s="2" t="str">
        <x:v>GHSL_VOLUME</x:v>
      </x:c>
      <x:c r="D927" s="2" t="n">
        <x:v>2015</x:v>
      </x:c>
      <x:c r="E927" s="2" t="n">
        <x:v>2020</x:v>
      </x:c>
      <x:c r="F927" s="17" t="n">
        <x:v>101313150.79228555</x:v>
      </x:c>
      <x:c r="G927" s="17" t="n">
        <x:v>111325792.03000018</x:v>
      </x:c>
      <x:c r="H927" s="17" t="n">
        <x:v>514927917.1176471</x:v>
      </x:c>
      <x:c r="I927" s="17" t="n">
        <x:v>550412275.1490197</x:v>
      </x:c>
      <x:c r="J927" s="2" t="str">
        <x:v>m3</x:v>
      </x:c>
      <x:c r="K927" s="15" t="n">
        <x:f>IF(AND(ISNUMBER(F927),ISNUMBER(G927),F927&gt;0),G927/F927-1,"n.a.")</x:f>
        <x:v>0.09882864326510554</x:v>
      </x:c>
      <x:c r="L927" s="15" t="n">
        <x:f>IF(AND(N927,ISNUMBER(H927),ISNUMBER(I927),H927&gt;0),I927/H927-1,"n.a.")</x:f>
        <x:v>0.06891131137344297</x:v>
      </x:c>
      <x:c r="M927" s="20" t="n">
        <x:f>IF(AND(ISNUMBER(K927),ISNUMBER(L927)),100*(K927-L927),"n.a.")</x:f>
        <x:v>2.991733189166257</x:v>
      </x:c>
      <x:c r="N927" s="13" t="b">
        <x:v>1</x:v>
      </x:c>
      <x:c r="O927" s="13" t="b">
        <x:v>1</x:v>
      </x:c>
      <x:c r="P927" s="13" t="b">
        <x:v>0</x:v>
      </x:c>
      <x:c r="Q927" s="2" t="str">
        <x:v>qualified_paired_native_source_frame</x:v>
      </x:c>
      <x:c r="R927" s="2" t="str">
        <x:v>qualified_paired_native_source_frame</x:v>
      </x:c>
      <x:c r="S927" s="2" t="str">
        <x:v>modeled_epoch_volume_with_fixed2018_height_and_predominant_use</x:v>
      </x:c>
      <x:c r="T927" s="2" t="str">
        <x:v>modeled_epoch_volume_with_fixed2018_height_and_predominant_use</x:v>
      </x:c>
      <x:c r="U927" s="2" t="str">
        <x:v>GFA growth versus source physical quantity growth; constant conversion required for equality</x:v>
      </x:c>
      <x:c r="V927" s="2" t="str">
        <x:v>Model sector composition uses this source family; fixed2018-height modeled epochs</x:v>
      </x:c>
      <x:c r="W927" s="2" t="str">
        <x:v>https://human-settlement.emergency.copernicus.eu/ghs_buV2023.php</x:v>
      </x:c>
    </x:row>
    <x:row r="928" ht="23" customHeight="1">
      <x:c r="A928" s="2" t="str">
        <x:v>POL</x:v>
      </x:c>
      <x:c r="B928" s="2" t="str">
        <x:v>Poland (Republic of)</x:v>
      </x:c>
      <x:c r="C928" s="2" t="str">
        <x:v>GHSL_VOLUME</x:v>
      </x:c>
      <x:c r="D928" s="2" t="n">
        <x:v>2015</x:v>
      </x:c>
      <x:c r="E928" s="2" t="n">
        <x:v>2020</x:v>
      </x:c>
      <x:c r="F928" s="17" t="n">
        <x:v>2405618895.24534</x:v>
      </x:c>
      <x:c r="G928" s="17" t="n">
        <x:v>2573023573.5300016</x:v>
      </x:c>
      <x:c r="H928" s="17" t="n">
        <x:v>18125841304.788242</x:v>
      </x:c>
      <x:c r="I928" s="17" t="n">
        <x:v>19150152906.380394</x:v>
      </x:c>
      <x:c r="J928" s="2" t="str">
        <x:v>m3</x:v>
      </x:c>
      <x:c r="K928" s="15" t="n">
        <x:f>IF(AND(ISNUMBER(F928),ISNUMBER(G928),F928&gt;0),G928/F928-1,"n.a.")</x:f>
        <x:v>0.06958902701318737</x:v>
      </x:c>
      <x:c r="L928" s="15" t="n">
        <x:f>IF(AND(N928,ISNUMBER(H928),ISNUMBER(I928),H928&gt;0),I928/H928-1,"n.a.")</x:f>
        <x:v>0.05651112046984341</x:v>
      </x:c>
      <x:c r="M928" s="20" t="n">
        <x:f>IF(AND(ISNUMBER(K928),ISNUMBER(L928)),100*(K928-L928),"n.a.")</x:f>
        <x:v>1.3077906543343953</x:v>
      </x:c>
      <x:c r="N928" s="13" t="b">
        <x:v>1</x:v>
      </x:c>
      <x:c r="O928" s="13" t="b">
        <x:v>1</x:v>
      </x:c>
      <x:c r="P928" s="13" t="b">
        <x:v>0</x:v>
      </x:c>
      <x:c r="Q928" s="2" t="str">
        <x:v>qualified_paired_native_source_frame</x:v>
      </x:c>
      <x:c r="R928" s="2" t="str">
        <x:v>qualified_paired_native_source_frame</x:v>
      </x:c>
      <x:c r="S928" s="2" t="str">
        <x:v>modeled_epoch_volume_with_fixed2018_height_and_predominant_use</x:v>
      </x:c>
      <x:c r="T928" s="2" t="str">
        <x:v>modeled_epoch_volume_with_fixed2018_height_and_predominant_use</x:v>
      </x:c>
      <x:c r="U928" s="2" t="str">
        <x:v>GFA growth versus source physical quantity growth; constant conversion required for equality</x:v>
      </x:c>
      <x:c r="V928" s="2" t="str">
        <x:v>Model sector composition uses this source family; fixed2018-height modeled epochs</x:v>
      </x:c>
      <x:c r="W928" s="2" t="str">
        <x:v>https://human-settlement.emergency.copernicus.eu/ghs_buV2023.php</x:v>
      </x:c>
    </x:row>
    <x:row r="929" ht="23" customHeight="1">
      <x:c r="A929" s="2" t="str">
        <x:v>PRK</x:v>
      </x:c>
      <x:c r="B929" s="2" t="str">
        <x:v>Korea (Democratic People's Republic of)</x:v>
      </x:c>
      <x:c r="C929" s="2" t="str">
        <x:v>GHSL_VOLUME</x:v>
      </x:c>
      <x:c r="D929" s="2" t="n">
        <x:v>2015</x:v>
      </x:c>
      <x:c r="E929" s="2" t="n">
        <x:v>2020</x:v>
      </x:c>
      <x:c r="F929" s="17" t="n">
        <x:v>399529994.4119029</x:v>
      </x:c>
      <x:c r="G929" s="17" t="n">
        <x:v>469713807.49000067</x:v>
      </x:c>
      <x:c r="H929" s="17" t="n">
        <x:v>2218448291.2078433</x:v>
      </x:c>
      <x:c r="I929" s="17" t="n">
        <x:v>2466553665.145099</x:v>
      </x:c>
      <x:c r="J929" s="2" t="str">
        <x:v>m3</x:v>
      </x:c>
      <x:c r="K929" s="15" t="n">
        <x:f>IF(AND(ISNUMBER(F929),ISNUMBER(G929),F929&gt;0),G929/F929-1,"n.a.")</x:f>
        <x:v>0.1756659426319327</x:v>
      </x:c>
      <x:c r="L929" s="15" t="n">
        <x:f>IF(AND(N929,ISNUMBER(H929),ISNUMBER(I929),H929&gt;0),I929/H929-1,"n.a.")</x:f>
        <x:v>0.11183734816833346</x:v>
      </x:c>
      <x:c r="M929" s="20" t="n">
        <x:f>IF(AND(ISNUMBER(K929),ISNUMBER(L929)),100*(K929-L929),"n.a.")</x:f>
        <x:v>6.382859446359923</x:v>
      </x:c>
      <x:c r="N929" s="13" t="b">
        <x:v>1</x:v>
      </x:c>
      <x:c r="O929" s="13" t="b">
        <x:v>1</x:v>
      </x:c>
      <x:c r="P929" s="13" t="b">
        <x:v>0</x:v>
      </x:c>
      <x:c r="Q929" s="2" t="str">
        <x:v>qualified_paired_native_source_frame</x:v>
      </x:c>
      <x:c r="R929" s="2" t="str">
        <x:v>qualified_paired_native_source_frame</x:v>
      </x:c>
      <x:c r="S929" s="2" t="str">
        <x:v>modeled_epoch_volume_with_fixed2018_height_and_predominant_use</x:v>
      </x:c>
      <x:c r="T929" s="2" t="str">
        <x:v>modeled_epoch_volume_with_fixed2018_height_and_predominant_use</x:v>
      </x:c>
      <x:c r="U929" s="2" t="str">
        <x:v>GFA growth versus source physical quantity growth; constant conversion required for equality</x:v>
      </x:c>
      <x:c r="V929" s="2" t="str">
        <x:v>Model sector composition uses this source family; fixed2018-height modeled epochs</x:v>
      </x:c>
      <x:c r="W929" s="2" t="str">
        <x:v>https://human-settlement.emergency.copernicus.eu/ghs_buV2023.php</x:v>
      </x:c>
    </x:row>
    <x:row r="930" ht="23" customHeight="1">
      <x:c r="A930" s="2" t="str">
        <x:v>PRT</x:v>
      </x:c>
      <x:c r="B930" s="2" t="str">
        <x:v>Portugal (Portuguese Republic)</x:v>
      </x:c>
      <x:c r="C930" s="2" t="str">
        <x:v>GHSL_VOLUME</x:v>
      </x:c>
      <x:c r="D930" s="2" t="n">
        <x:v>2015</x:v>
      </x:c>
      <x:c r="E930" s="2" t="n">
        <x:v>2020</x:v>
      </x:c>
      <x:c r="F930" s="17" t="n">
        <x:v>971474702.6920972</x:v>
      </x:c>
      <x:c r="G930" s="17" t="n">
        <x:v>1019333626.31</x:v>
      </x:c>
      <x:c r="H930" s="17" t="n">
        <x:v>6620970338.650981</x:v>
      </x:c>
      <x:c r="I930" s="17" t="n">
        <x:v>6860024831.145095</x:v>
      </x:c>
      <x:c r="J930" s="2" t="str">
        <x:v>m3</x:v>
      </x:c>
      <x:c r="K930" s="15" t="n">
        <x:f>IF(AND(ISNUMBER(F930),ISNUMBER(G930),F930&gt;0),G930/F930-1,"n.a.")</x:f>
        <x:v>0.0492641995568992</x:v>
      </x:c>
      <x:c r="L930" s="15" t="n">
        <x:f>IF(AND(N930,ISNUMBER(H930),ISNUMBER(I930),H930&gt;0),I930/H930-1,"n.a.")</x:f>
        <x:v>0.036105658274678376</x:v>
      </x:c>
      <x:c r="M930" s="20" t="n">
        <x:f>IF(AND(ISNUMBER(K930),ISNUMBER(L930)),100*(K930-L930),"n.a.")</x:f>
        <x:v>1.3158541282220826</x:v>
      </x:c>
      <x:c r="N930" s="13" t="b">
        <x:v>1</x:v>
      </x:c>
      <x:c r="O930" s="13" t="b">
        <x:v>1</x:v>
      </x:c>
      <x:c r="P930" s="13" t="b">
        <x:v>0</x:v>
      </x:c>
      <x:c r="Q930" s="2" t="str">
        <x:v>qualified_paired_native_source_frame</x:v>
      </x:c>
      <x:c r="R930" s="2" t="str">
        <x:v>qualified_paired_native_source_frame</x:v>
      </x:c>
      <x:c r="S930" s="2" t="str">
        <x:v>modeled_epoch_volume_with_fixed2018_height_and_predominant_use</x:v>
      </x:c>
      <x:c r="T930" s="2" t="str">
        <x:v>modeled_epoch_volume_with_fixed2018_height_and_predominant_use</x:v>
      </x:c>
      <x:c r="U930" s="2" t="str">
        <x:v>GFA growth versus source physical quantity growth; constant conversion required for equality</x:v>
      </x:c>
      <x:c r="V930" s="2" t="str">
        <x:v>Model sector composition uses this source family; fixed2018-height modeled epochs</x:v>
      </x:c>
      <x:c r="W930" s="2" t="str">
        <x:v>https://human-settlement.emergency.copernicus.eu/ghs_buV2023.php</x:v>
      </x:c>
    </x:row>
    <x:row r="931" ht="23" customHeight="1">
      <x:c r="A931" s="2" t="str">
        <x:v>PRY</x:v>
      </x:c>
      <x:c r="B931" s="2" t="str">
        <x:v>Paraguay (Republic of)</x:v>
      </x:c>
      <x:c r="C931" s="2" t="str">
        <x:v>GHSL_VOLUME</x:v>
      </x:c>
      <x:c r="D931" s="2" t="n">
        <x:v>2015</x:v>
      </x:c>
      <x:c r="E931" s="2" t="n">
        <x:v>2020</x:v>
      </x:c>
      <x:c r="F931" s="17" t="n">
        <x:v>320713958.5472337</x:v>
      </x:c>
      <x:c r="G931" s="17" t="n">
        <x:v>336793873.4500005</x:v>
      </x:c>
      <x:c r="H931" s="17" t="n">
        <x:v>2455109406.5490193</x:v>
      </x:c>
      <x:c r="I931" s="17" t="n">
        <x:v>2556784041.752941</x:v>
      </x:c>
      <x:c r="J931" s="2" t="str">
        <x:v>m3</x:v>
      </x:c>
      <x:c r="K931" s="15" t="n">
        <x:f>IF(AND(ISNUMBER(F931),ISNUMBER(G931),F931&gt;0),G931/F931-1,"n.a.")</x:f>
        <x:v>0.050137870442575894</x:v>
      </x:c>
      <x:c r="L931" s="15" t="n">
        <x:f>IF(AND(N931,ISNUMBER(H931),ISNUMBER(I931),H931&gt;0),I931/H931-1,"n.a.")</x:f>
        <x:v>0.041413484438902914</x:v>
      </x:c>
      <x:c r="M931" s="20" t="n">
        <x:f>IF(AND(ISNUMBER(K931),ISNUMBER(L931)),100*(K931-L931),"n.a.")</x:f>
        <x:v>0.8724386003672979</x:v>
      </x:c>
      <x:c r="N931" s="13" t="b">
        <x:v>1</x:v>
      </x:c>
      <x:c r="O931" s="13" t="b">
        <x:v>1</x:v>
      </x:c>
      <x:c r="P931" s="13" t="b">
        <x:v>0</x:v>
      </x:c>
      <x:c r="Q931" s="2" t="str">
        <x:v>qualified_paired_native_source_frame</x:v>
      </x:c>
      <x:c r="R931" s="2" t="str">
        <x:v>qualified_paired_native_source_frame</x:v>
      </x:c>
      <x:c r="S931" s="2" t="str">
        <x:v>modeled_epoch_volume_with_fixed2018_height_and_predominant_use</x:v>
      </x:c>
      <x:c r="T931" s="2" t="str">
        <x:v>modeled_epoch_volume_with_fixed2018_height_and_predominant_use</x:v>
      </x:c>
      <x:c r="U931" s="2" t="str">
        <x:v>GFA growth versus source physical quantity growth; constant conversion required for equality</x:v>
      </x:c>
      <x:c r="V931" s="2" t="str">
        <x:v>Model sector composition uses this source family; fixed2018-height modeled epochs</x:v>
      </x:c>
      <x:c r="W931" s="2" t="str">
        <x:v>https://human-settlement.emergency.copernicus.eu/ghs_buV2023.php</x:v>
      </x:c>
    </x:row>
    <x:row r="932" ht="23" customHeight="1">
      <x:c r="A932" s="2" t="str">
        <x:v>PSE</x:v>
      </x:c>
      <x:c r="B932" s="2" t="str">
        <x:v>State of Palestine</x:v>
      </x:c>
      <x:c r="C932" s="2" t="str">
        <x:v>GHSL_VOLUME</x:v>
      </x:c>
      <x:c r="D932" s="2" t="n">
        <x:v>2015</x:v>
      </x:c>
      <x:c r="E932" s="2" t="n">
        <x:v>2020</x:v>
      </x:c>
      <x:c r="F932" s="17" t="n">
        <x:v>227721164.33217236</x:v>
      </x:c>
      <x:c r="G932" s="17" t="n">
        <x:v>239938472.63190365</x:v>
      </x:c>
      <x:c r="H932" s="17"/>
      <x:c r="I932" s="17"/>
      <x:c r="J932" s="2" t="str">
        <x:v>m3</x:v>
      </x:c>
      <x:c r="K932" s="15" t="n">
        <x:f>IF(AND(ISNUMBER(F932),ISNUMBER(G932),F932&gt;0),G932/F932-1,"n.a.")</x:f>
        <x:v>0.05365029787881359</x:v>
      </x:c>
      <x:c r="L932" s="15" t="str">
        <x:f>IF(AND(N932,ISNUMBER(H932),ISNUMBER(I932),H932&gt;0),I932/H932-1,"n.a.")</x:f>
        <x:v>n.a.</x:v>
      </x:c>
      <x:c r="M932" s="20" t="str">
        <x:f>IF(AND(ISNUMBER(K932),ISNUMBER(L932)),100*(K932-L932),"n.a.")</x:f>
        <x:v>n.a.</x:v>
      </x:c>
      <x:c r="N932" s="13" t="b">
        <x:v>0</x:v>
      </x:c>
      <x:c r="O932" s="13" t="b">
        <x:v>0</x:v>
      </x:c>
      <x:c r="P932" s="13" t="b">
        <x:v>1</x:v>
      </x:c>
      <x:c r="Q932" s="2" t="str">
        <x:v>boundary_unmapped</x:v>
      </x:c>
      <x:c r="R932" s="2" t="str">
        <x:v>boundary_unmapped</x:v>
      </x:c>
      <x:c r="S932" s="2" t="str">
        <x:v>modeled_epoch_volume_with_fixed2018_height_and_predominant_use</x:v>
      </x:c>
      <x:c r="T932" s="2" t="str">
        <x:v>modeled_epoch_volume_with_fixed2018_height_and_predominant_use</x:v>
      </x:c>
      <x:c r="U932" s="2" t="str">
        <x:v>GFA growth versus source physical quantity growth; constant conversion required for equality</x:v>
      </x:c>
      <x:c r="V932" s="2" t="str">
        <x:v>Model sector composition uses this source family; fixed2018-height modeled epochs</x:v>
      </x:c>
      <x:c r="W932" s="2" t="str">
        <x:v>https://human-settlement.emergency.copernicus.eu/ghs_buV2023.php</x:v>
      </x:c>
    </x:row>
    <x:row r="933" ht="23" customHeight="1">
      <x:c r="A933" s="2" t="str">
        <x:v>QAT</x:v>
      </x:c>
      <x:c r="B933" s="2" t="str">
        <x:v>Qatar (State of)</x:v>
      </x:c>
      <x:c r="C933" s="2" t="str">
        <x:v>GHSL_VOLUME</x:v>
      </x:c>
      <x:c r="D933" s="2" t="n">
        <x:v>2015</x:v>
      </x:c>
      <x:c r="E933" s="2" t="n">
        <x:v>2020</x:v>
      </x:c>
      <x:c r="F933" s="17" t="n">
        <x:v>105013579.42282487</x:v>
      </x:c>
      <x:c r="G933" s="17" t="n">
        <x:v>137316242.80000022</x:v>
      </x:c>
      <x:c r="H933" s="17" t="n">
        <x:v>1322496102.8509805</x:v>
      </x:c>
      <x:c r="I933" s="17" t="n">
        <x:v>1534321666.937255</x:v>
      </x:c>
      <x:c r="J933" s="2" t="str">
        <x:v>m3</x:v>
      </x:c>
      <x:c r="K933" s="15" t="n">
        <x:f>IF(AND(ISNUMBER(F933),ISNUMBER(G933),F933&gt;0),G933/F933-1,"n.a.")</x:f>
        <x:v>0.307604631274518</x:v>
      </x:c>
      <x:c r="L933" s="15" t="n">
        <x:f>IF(AND(N933,ISNUMBER(H933),ISNUMBER(I933),H933&gt;0),I933/H933-1,"n.a.")</x:f>
        <x:v>0.16017103084812878</x:v>
      </x:c>
      <x:c r="M933" s="20" t="n">
        <x:f>IF(AND(ISNUMBER(K933),ISNUMBER(L933)),100*(K933-L933),"n.a.")</x:f>
        <x:v>14.743360042638919</x:v>
      </x:c>
      <x:c r="N933" s="13" t="b">
        <x:v>1</x:v>
      </x:c>
      <x:c r="O933" s="13" t="b">
        <x:v>1</x:v>
      </x:c>
      <x:c r="P933" s="13" t="b">
        <x:v>0</x:v>
      </x:c>
      <x:c r="Q933" s="2" t="str">
        <x:v>qualified_paired_native_source_frame</x:v>
      </x:c>
      <x:c r="R933" s="2" t="str">
        <x:v>qualified_paired_native_source_frame</x:v>
      </x:c>
      <x:c r="S933" s="2" t="str">
        <x:v>modeled_epoch_volume_with_fixed2018_height_and_predominant_use</x:v>
      </x:c>
      <x:c r="T933" s="2" t="str">
        <x:v>modeled_epoch_volume_with_fixed2018_height_and_predominant_use</x:v>
      </x:c>
      <x:c r="U933" s="2" t="str">
        <x:v>GFA growth versus source physical quantity growth; constant conversion required for equality</x:v>
      </x:c>
      <x:c r="V933" s="2" t="str">
        <x:v>Model sector composition uses this source family; fixed2018-height modeled epochs</x:v>
      </x:c>
      <x:c r="W933" s="2" t="str">
        <x:v>https://human-settlement.emergency.copernicus.eu/ghs_buV2023.php</x:v>
      </x:c>
    </x:row>
    <x:row r="934" ht="23" customHeight="1">
      <x:c r="A934" s="2" t="str">
        <x:v>ROU</x:v>
      </x:c>
      <x:c r="B934" s="2" t="str">
        <x:v>Romania</x:v>
      </x:c>
      <x:c r="C934" s="2" t="str">
        <x:v>GHSL_VOLUME</x:v>
      </x:c>
      <x:c r="D934" s="2" t="n">
        <x:v>2015</x:v>
      </x:c>
      <x:c r="E934" s="2" t="n">
        <x:v>2020</x:v>
      </x:c>
      <x:c r="F934" s="17" t="n">
        <x:v>1361197456.7154684</x:v>
      </x:c>
      <x:c r="G934" s="17" t="n">
        <x:v>1451492077.9900024</x:v>
      </x:c>
      <x:c r="H934" s="17" t="n">
        <x:v>8816258061.509802</x:v>
      </x:c>
      <x:c r="I934" s="17" t="n">
        <x:v>9268314944.701962</x:v>
      </x:c>
      <x:c r="J934" s="2" t="str">
        <x:v>m3</x:v>
      </x:c>
      <x:c r="K934" s="15" t="n">
        <x:f>IF(AND(ISNUMBER(F934),ISNUMBER(G934),F934&gt;0),G934/F934-1,"n.a.")</x:f>
        <x:v>0.06633469731306452</x:v>
      </x:c>
      <x:c r="L934" s="15" t="n">
        <x:f>IF(AND(N934,ISNUMBER(H934),ISNUMBER(I934),H934&gt;0),I934/H934-1,"n.a.")</x:f>
        <x:v>0.05127536876055827</x:v>
      </x:c>
      <x:c r="M934" s="20" t="n">
        <x:f>IF(AND(ISNUMBER(K934),ISNUMBER(L934)),100*(K934-L934),"n.a.")</x:f>
        <x:v>1.5059328552506246</x:v>
      </x:c>
      <x:c r="N934" s="13" t="b">
        <x:v>1</x:v>
      </x:c>
      <x:c r="O934" s="13" t="b">
        <x:v>1</x:v>
      </x:c>
      <x:c r="P934" s="13" t="b">
        <x:v>0</x:v>
      </x:c>
      <x:c r="Q934" s="2" t="str">
        <x:v>qualified_paired_native_source_frame</x:v>
      </x:c>
      <x:c r="R934" s="2" t="str">
        <x:v>qualified_paired_native_source_frame</x:v>
      </x:c>
      <x:c r="S934" s="2" t="str">
        <x:v>modeled_epoch_volume_with_fixed2018_height_and_predominant_use</x:v>
      </x:c>
      <x:c r="T934" s="2" t="str">
        <x:v>modeled_epoch_volume_with_fixed2018_height_and_predominant_use</x:v>
      </x:c>
      <x:c r="U934" s="2" t="str">
        <x:v>GFA growth versus source physical quantity growth; constant conversion required for equality</x:v>
      </x:c>
      <x:c r="V934" s="2" t="str">
        <x:v>Model sector composition uses this source family; fixed2018-height modeled epochs</x:v>
      </x:c>
      <x:c r="W934" s="2" t="str">
        <x:v>https://human-settlement.emergency.copernicus.eu/ghs_buV2023.php</x:v>
      </x:c>
    </x:row>
    <x:row r="935" ht="23" customHeight="1">
      <x:c r="A935" s="2" t="str">
        <x:v>RUS</x:v>
      </x:c>
      <x:c r="B935" s="2" t="str">
        <x:v>Russian Federation</x:v>
      </x:c>
      <x:c r="C935" s="2" t="str">
        <x:v>GHSL_VOLUME</x:v>
      </x:c>
      <x:c r="D935" s="2" t="n">
        <x:v>2015</x:v>
      </x:c>
      <x:c r="E935" s="2" t="n">
        <x:v>2020</x:v>
      </x:c>
      <x:c r="F935" s="17" t="n">
        <x:v>7329903918.534828</x:v>
      </x:c>
      <x:c r="G935" s="17" t="n">
        <x:v>7767687345.91001</x:v>
      </x:c>
      <x:c r="H935" s="17" t="n">
        <x:v>68211515567.89804</x:v>
      </x:c>
      <x:c r="I935" s="17" t="n">
        <x:v>71141190449.59216</x:v>
      </x:c>
      <x:c r="J935" s="2" t="str">
        <x:v>m3</x:v>
      </x:c>
      <x:c r="K935" s="15" t="n">
        <x:f>IF(AND(ISNUMBER(F935),ISNUMBER(G935),F935&gt;0),G935/F935-1,"n.a.")</x:f>
        <x:v>0.059725670655542684</x:v>
      </x:c>
      <x:c r="L935" s="15" t="n">
        <x:f>IF(AND(N935,ISNUMBER(H935),ISNUMBER(I935),H935&gt;0),I935/H935-1,"n.a.")</x:f>
        <x:v>0.042949857620124376</x:v>
      </x:c>
      <x:c r="M935" s="20" t="n">
        <x:f>IF(AND(ISNUMBER(K935),ISNUMBER(L935)),100*(K935-L935),"n.a.")</x:f>
        <x:v>1.6775813035418308</x:v>
      </x:c>
      <x:c r="N935" s="13" t="b">
        <x:v>1</x:v>
      </x:c>
      <x:c r="O935" s="13" t="b">
        <x:v>1</x:v>
      </x:c>
      <x:c r="P935" s="13" t="b">
        <x:v>0</x:v>
      </x:c>
      <x:c r="Q935" s="2" t="str">
        <x:v>qualified_paired_native_source_frame</x:v>
      </x:c>
      <x:c r="R935" s="2" t="str">
        <x:v>qualified_paired_native_source_frame</x:v>
      </x:c>
      <x:c r="S935" s="2" t="str">
        <x:v>modeled_epoch_volume_with_fixed2018_height_and_predominant_use</x:v>
      </x:c>
      <x:c r="T935" s="2" t="str">
        <x:v>modeled_epoch_volume_with_fixed2018_height_and_predominant_use</x:v>
      </x:c>
      <x:c r="U935" s="2" t="str">
        <x:v>GFA growth versus source physical quantity growth; constant conversion required for equality</x:v>
      </x:c>
      <x:c r="V935" s="2" t="str">
        <x:v>Model sector composition uses this source family; fixed2018-height modeled epochs</x:v>
      </x:c>
      <x:c r="W935" s="2" t="str">
        <x:v>https://human-settlement.emergency.copernicus.eu/ghs_buV2023.php</x:v>
      </x:c>
    </x:row>
    <x:row r="936" ht="23" customHeight="1">
      <x:c r="A936" s="2" t="str">
        <x:v>RWA</x:v>
      </x:c>
      <x:c r="B936" s="2" t="str">
        <x:v>Rwanda (Republic of)</x:v>
      </x:c>
      <x:c r="C936" s="2" t="str">
        <x:v>GHSL_VOLUME</x:v>
      </x:c>
      <x:c r="D936" s="2" t="n">
        <x:v>2015</x:v>
      </x:c>
      <x:c r="E936" s="2" t="n">
        <x:v>2020</x:v>
      </x:c>
      <x:c r="F936" s="17" t="n">
        <x:v>190675524.79529798</x:v>
      </x:c>
      <x:c r="G936" s="17" t="n">
        <x:v>244877324.63000005</x:v>
      </x:c>
      <x:c r="H936" s="17" t="n">
        <x:v>1928013922.9803922</x:v>
      </x:c>
      <x:c r="I936" s="17" t="n">
        <x:v>2327337431.490196</x:v>
      </x:c>
      <x:c r="J936" s="2" t="str">
        <x:v>m3</x:v>
      </x:c>
      <x:c r="K936" s="15" t="n">
        <x:f>IF(AND(ISNUMBER(F936),ISNUMBER(G936),F936&gt;0),G936/F936-1,"n.a.")</x:f>
        <x:v>0.28426196751203947</x:v>
      </x:c>
      <x:c r="L936" s="15" t="n">
        <x:f>IF(AND(N936,ISNUMBER(H936),ISNUMBER(I936),H936&gt;0),I936/H936-1,"n.a.")</x:f>
        <x:v>0.20711650665494963</x:v>
      </x:c>
      <x:c r="M936" s="20" t="n">
        <x:f>IF(AND(ISNUMBER(K936),ISNUMBER(L936)),100*(K936-L936),"n.a.")</x:f>
        <x:v>7.714546085708984</x:v>
      </x:c>
      <x:c r="N936" s="13" t="b">
        <x:v>1</x:v>
      </x:c>
      <x:c r="O936" s="13" t="b">
        <x:v>1</x:v>
      </x:c>
      <x:c r="P936" s="13" t="b">
        <x:v>0</x:v>
      </x:c>
      <x:c r="Q936" s="2" t="str">
        <x:v>qualified_paired_native_source_frame</x:v>
      </x:c>
      <x:c r="R936" s="2" t="str">
        <x:v>qualified_paired_native_source_frame</x:v>
      </x:c>
      <x:c r="S936" s="2" t="str">
        <x:v>modeled_epoch_volume_with_fixed2018_height_and_predominant_use</x:v>
      </x:c>
      <x:c r="T936" s="2" t="str">
        <x:v>modeled_epoch_volume_with_fixed2018_height_and_predominant_use</x:v>
      </x:c>
      <x:c r="U936" s="2" t="str">
        <x:v>GFA growth versus source physical quantity growth; constant conversion required for equality</x:v>
      </x:c>
      <x:c r="V936" s="2" t="str">
        <x:v>Model sector composition uses this source family; fixed2018-height modeled epochs</x:v>
      </x:c>
      <x:c r="W936" s="2" t="str">
        <x:v>https://human-settlement.emergency.copernicus.eu/ghs_buV2023.php</x:v>
      </x:c>
    </x:row>
    <x:row r="937" ht="23" customHeight="1">
      <x:c r="A937" s="2" t="str">
        <x:v>SAU</x:v>
      </x:c>
      <x:c r="B937" s="2" t="str">
        <x:v>Saudi Arabia (Kingdom of)</x:v>
      </x:c>
      <x:c r="C937" s="2" t="str">
        <x:v>GHSL_VOLUME</x:v>
      </x:c>
      <x:c r="D937" s="2" t="n">
        <x:v>2015</x:v>
      </x:c>
      <x:c r="E937" s="2" t="n">
        <x:v>2020</x:v>
      </x:c>
      <x:c r="F937" s="17" t="n">
        <x:v>1566644512.76466</x:v>
      </x:c>
      <x:c r="G937" s="17" t="n">
        <x:v>1911722272.930002</x:v>
      </x:c>
      <x:c r="H937" s="17" t="n">
        <x:v>16279839650.756863</x:v>
      </x:c>
      <x:c r="I937" s="17" t="n">
        <x:v>18609628037.7451</x:v>
      </x:c>
      <x:c r="J937" s="2" t="str">
        <x:v>m3</x:v>
      </x:c>
      <x:c r="K937" s="15" t="n">
        <x:f>IF(AND(ISNUMBER(F937),ISNUMBER(G937),F937&gt;0),G937/F937-1,"n.a.")</x:f>
        <x:v>0.2202655148335999</x:v>
      </x:c>
      <x:c r="L937" s="15" t="n">
        <x:f>IF(AND(N937,ISNUMBER(H937),ISNUMBER(I937),H937&gt;0),I937/H937-1,"n.a.")</x:f>
        <x:v>0.14310880432289275</x:v>
      </x:c>
      <x:c r="M937" s="20" t="n">
        <x:f>IF(AND(ISNUMBER(K937),ISNUMBER(L937)),100*(K937-L937),"n.a.")</x:f>
        <x:v>7.715671051070716</x:v>
      </x:c>
      <x:c r="N937" s="13" t="b">
        <x:v>1</x:v>
      </x:c>
      <x:c r="O937" s="13" t="b">
        <x:v>1</x:v>
      </x:c>
      <x:c r="P937" s="13" t="b">
        <x:v>0</x:v>
      </x:c>
      <x:c r="Q937" s="2" t="str">
        <x:v>qualified_paired_native_source_frame</x:v>
      </x:c>
      <x:c r="R937" s="2" t="str">
        <x:v>qualified_paired_native_source_frame</x:v>
      </x:c>
      <x:c r="S937" s="2" t="str">
        <x:v>modeled_epoch_volume_with_fixed2018_height_and_predominant_use</x:v>
      </x:c>
      <x:c r="T937" s="2" t="str">
        <x:v>modeled_epoch_volume_with_fixed2018_height_and_predominant_use</x:v>
      </x:c>
      <x:c r="U937" s="2" t="str">
        <x:v>GFA growth versus source physical quantity growth; constant conversion required for equality</x:v>
      </x:c>
      <x:c r="V937" s="2" t="str">
        <x:v>Model sector composition uses this source family; fixed2018-height modeled epochs</x:v>
      </x:c>
      <x:c r="W937" s="2" t="str">
        <x:v>https://human-settlement.emergency.copernicus.eu/ghs_buV2023.php</x:v>
      </x:c>
    </x:row>
    <x:row r="938" ht="23" customHeight="1">
      <x:c r="A938" s="2" t="str">
        <x:v>SDN</x:v>
      </x:c>
      <x:c r="B938" s="2" t="str">
        <x:v>Sudan (Republic of the)</x:v>
      </x:c>
      <x:c r="C938" s="2" t="str">
        <x:v>GHSL_VOLUME</x:v>
      </x:c>
      <x:c r="D938" s="2" t="n">
        <x:v>2015</x:v>
      </x:c>
      <x:c r="E938" s="2" t="n">
        <x:v>2020</x:v>
      </x:c>
      <x:c r="F938" s="17" t="n">
        <x:v>556895482.4611582</x:v>
      </x:c>
      <x:c r="G938" s="17" t="n">
        <x:v>751311239.6000005</x:v>
      </x:c>
      <x:c r="H938" s="17" t="n">
        <x:v>6416171095.384314</x:v>
      </x:c>
      <x:c r="I938" s="17" t="n">
        <x:v>7687931605.160784</x:v>
      </x:c>
      <x:c r="J938" s="2" t="str">
        <x:v>m3</x:v>
      </x:c>
      <x:c r="K938" s="15" t="n">
        <x:f>IF(AND(ISNUMBER(F938),ISNUMBER(G938),F938&gt;0),G938/F938-1,"n.a.")</x:f>
        <x:v>0.34910636423128505</x:v>
      </x:c>
      <x:c r="L938" s="15" t="n">
        <x:f>IF(AND(N938,ISNUMBER(H938),ISNUMBER(I938),H938&gt;0),I938/H938-1,"n.a.")</x:f>
        <x:v>0.19821175134985936</x:v>
      </x:c>
      <x:c r="M938" s="20" t="n">
        <x:f>IF(AND(ISNUMBER(K938),ISNUMBER(L938)),100*(K938-L938),"n.a.")</x:f>
        <x:v>15.08946128814257</x:v>
      </x:c>
      <x:c r="N938" s="13" t="b">
        <x:v>1</x:v>
      </x:c>
      <x:c r="O938" s="13" t="b">
        <x:v>1</x:v>
      </x:c>
      <x:c r="P938" s="13" t="b">
        <x:v>0</x:v>
      </x:c>
      <x:c r="Q938" s="2" t="str">
        <x:v>qualified_paired_native_source_frame</x:v>
      </x:c>
      <x:c r="R938" s="2" t="str">
        <x:v>qualified_paired_native_source_frame</x:v>
      </x:c>
      <x:c r="S938" s="2" t="str">
        <x:v>modeled_epoch_volume_with_fixed2018_height_and_predominant_use</x:v>
      </x:c>
      <x:c r="T938" s="2" t="str">
        <x:v>modeled_epoch_volume_with_fixed2018_height_and_predominant_use</x:v>
      </x:c>
      <x:c r="U938" s="2" t="str">
        <x:v>GFA growth versus source physical quantity growth; constant conversion required for equality</x:v>
      </x:c>
      <x:c r="V938" s="2" t="str">
        <x:v>Model sector composition uses this source family; fixed2018-height modeled epochs</x:v>
      </x:c>
      <x:c r="W938" s="2" t="str">
        <x:v>https://human-settlement.emergency.copernicus.eu/ghs_buV2023.php</x:v>
      </x:c>
    </x:row>
    <x:row r="939" ht="23" customHeight="1">
      <x:c r="A939" s="2" t="str">
        <x:v>SEN</x:v>
      </x:c>
      <x:c r="B939" s="2" t="str">
        <x:v>Senegal (Republic of)</x:v>
      </x:c>
      <x:c r="C939" s="2" t="str">
        <x:v>GHSL_VOLUME</x:v>
      </x:c>
      <x:c r="D939" s="2" t="n">
        <x:v>2015</x:v>
      </x:c>
      <x:c r="E939" s="2" t="n">
        <x:v>2020</x:v>
      </x:c>
      <x:c r="F939" s="17" t="n">
        <x:v>264389994.98968568</x:v>
      </x:c>
      <x:c r="G939" s="17" t="n">
        <x:v>305052833.6899998</x:v>
      </x:c>
      <x:c r="H939" s="17" t="n">
        <x:v>2943123499.592157</x:v>
      </x:c>
      <x:c r="I939" s="17" t="n">
        <x:v>3230521085.2901964</x:v>
      </x:c>
      <x:c r="J939" s="2" t="str">
        <x:v>m3</x:v>
      </x:c>
      <x:c r="K939" s="15" t="n">
        <x:f>IF(AND(ISNUMBER(F939),ISNUMBER(G939),F939&gt;0),G939/F939-1,"n.a.")</x:f>
        <x:v>0.1537987044551381</x:v>
      </x:c>
      <x:c r="L939" s="15" t="n">
        <x:f>IF(AND(N939,ISNUMBER(H939),ISNUMBER(I939),H939&gt;0),I939/H939-1,"n.a.")</x:f>
        <x:v>0.0976505354728967</x:v>
      </x:c>
      <x:c r="M939" s="20" t="n">
        <x:f>IF(AND(ISNUMBER(K939),ISNUMBER(L939)),100*(K939-L939),"n.a.")</x:f>
        <x:v>5.61481689822414</x:v>
      </x:c>
      <x:c r="N939" s="13" t="b">
        <x:v>1</x:v>
      </x:c>
      <x:c r="O939" s="13" t="b">
        <x:v>1</x:v>
      </x:c>
      <x:c r="P939" s="13" t="b">
        <x:v>0</x:v>
      </x:c>
      <x:c r="Q939" s="2" t="str">
        <x:v>qualified_paired_native_source_frame</x:v>
      </x:c>
      <x:c r="R939" s="2" t="str">
        <x:v>qualified_paired_native_source_frame</x:v>
      </x:c>
      <x:c r="S939" s="2" t="str">
        <x:v>modeled_epoch_volume_with_fixed2018_height_and_predominant_use</x:v>
      </x:c>
      <x:c r="T939" s="2" t="str">
        <x:v>modeled_epoch_volume_with_fixed2018_height_and_predominant_use</x:v>
      </x:c>
      <x:c r="U939" s="2" t="str">
        <x:v>GFA growth versus source physical quantity growth; constant conversion required for equality</x:v>
      </x:c>
      <x:c r="V939" s="2" t="str">
        <x:v>Model sector composition uses this source family; fixed2018-height modeled epochs</x:v>
      </x:c>
      <x:c r="W939" s="2" t="str">
        <x:v>https://human-settlement.emergency.copernicus.eu/ghs_buV2023.php</x:v>
      </x:c>
    </x:row>
    <x:row r="940" ht="23" customHeight="1">
      <x:c r="A940" s="2" t="str">
        <x:v>SGP</x:v>
      </x:c>
      <x:c r="B940" s="2" t="str">
        <x:v>Singapore (Republic of)</x:v>
      </x:c>
      <x:c r="C940" s="2" t="str">
        <x:v>GHSL_VOLUME</x:v>
      </x:c>
      <x:c r="D940" s="2" t="n">
        <x:v>2015</x:v>
      </x:c>
      <x:c r="E940" s="2" t="n">
        <x:v>2020</x:v>
      </x:c>
      <x:c r="F940" s="17" t="n">
        <x:v>187575286.78208792</x:v>
      </x:c>
      <x:c r="G940" s="17" t="n">
        <x:v>194662203.04</x:v>
      </x:c>
      <x:c r="H940" s="17" t="n">
        <x:v>1656587281.4392176</x:v>
      </x:c>
      <x:c r="I940" s="17" t="n">
        <x:v>1693185304.6196074</x:v>
      </x:c>
      <x:c r="J940" s="2" t="str">
        <x:v>m3</x:v>
      </x:c>
      <x:c r="K940" s="15" t="n">
        <x:f>IF(AND(ISNUMBER(F940),ISNUMBER(G940),F940&gt;0),G940/F940-1,"n.a.")</x:f>
        <x:v>0.03778171623506643</x:v>
      </x:c>
      <x:c r="L940" s="15" t="n">
        <x:f>IF(AND(N940,ISNUMBER(H940),ISNUMBER(I940),H940&gt;0),I940/H940-1,"n.a.")</x:f>
        <x:v>0.022092420719658223</x:v>
      </x:c>
      <x:c r="M940" s="20" t="n">
        <x:f>IF(AND(ISNUMBER(K940),ISNUMBER(L940)),100*(K940-L940),"n.a.")</x:f>
        <x:v>1.5689295515408208</x:v>
      </x:c>
      <x:c r="N940" s="13" t="b">
        <x:v>1</x:v>
      </x:c>
      <x:c r="O940" s="13" t="b">
        <x:v>1</x:v>
      </x:c>
      <x:c r="P940" s="13" t="b">
        <x:v>0</x:v>
      </x:c>
      <x:c r="Q940" s="2" t="str">
        <x:v>qualified_paired_native_source_frame</x:v>
      </x:c>
      <x:c r="R940" s="2" t="str">
        <x:v>qualified_paired_native_source_frame</x:v>
      </x:c>
      <x:c r="S940" s="2" t="str">
        <x:v>modeled_epoch_volume_with_fixed2018_height_and_predominant_use</x:v>
      </x:c>
      <x:c r="T940" s="2" t="str">
        <x:v>modeled_epoch_volume_with_fixed2018_height_and_predominant_use</x:v>
      </x:c>
      <x:c r="U940" s="2" t="str">
        <x:v>GFA growth versus source physical quantity growth; constant conversion required for equality</x:v>
      </x:c>
      <x:c r="V940" s="2" t="str">
        <x:v>Model sector composition uses this source family; fixed2018-height modeled epochs</x:v>
      </x:c>
      <x:c r="W940" s="2" t="str">
        <x:v>https://human-settlement.emergency.copernicus.eu/ghs_buV2023.php</x:v>
      </x:c>
    </x:row>
    <x:row r="941" ht="23" customHeight="1">
      <x:c r="A941" s="2" t="str">
        <x:v>SLB</x:v>
      </x:c>
      <x:c r="B941" s="2" t="str">
        <x:v>Solomon Islands</x:v>
      </x:c>
      <x:c r="C941" s="2" t="str">
        <x:v>GHSL_VOLUME</x:v>
      </x:c>
      <x:c r="D941" s="2" t="n">
        <x:v>2015</x:v>
      </x:c>
      <x:c r="E941" s="2" t="n">
        <x:v>2020</x:v>
      </x:c>
      <x:c r="F941" s="17" t="n">
        <x:v>13834538.346259255</x:v>
      </x:c>
      <x:c r="G941" s="17" t="n">
        <x:v>14438629.189999975</x:v>
      </x:c>
      <x:c r="H941" s="17" t="n">
        <x:v>122403984.5019608</x:v>
      </x:c>
      <x:c r="I941" s="17" t="n">
        <x:v>124442315.32941177</x:v>
      </x:c>
      <x:c r="J941" s="2" t="str">
        <x:v>m3</x:v>
      </x:c>
      <x:c r="K941" s="15" t="n">
        <x:f>IF(AND(ISNUMBER(F941),ISNUMBER(G941),F941&gt;0),G941/F941-1,"n.a.")</x:f>
        <x:v>0.04366541395319201</x:v>
      </x:c>
      <x:c r="L941" s="15" t="n">
        <x:f>IF(AND(N941,ISNUMBER(H941),ISNUMBER(I941),H941&gt;0),I941/H941-1,"n.a.")</x:f>
        <x:v>0.016652487545602</x:v>
      </x:c>
      <x:c r="M941" s="20" t="n">
        <x:f>IF(AND(ISNUMBER(K941),ISNUMBER(L941)),100*(K941-L941),"n.a.")</x:f>
        <x:v>2.701292640759001</x:v>
      </x:c>
      <x:c r="N941" s="13" t="b">
        <x:v>1</x:v>
      </x:c>
      <x:c r="O941" s="13" t="b">
        <x:v>1</x:v>
      </x:c>
      <x:c r="P941" s="13" t="b">
        <x:v>0</x:v>
      </x:c>
      <x:c r="Q941" s="2" t="str">
        <x:v>qualified_paired_native_source_frame</x:v>
      </x:c>
      <x:c r="R941" s="2" t="str">
        <x:v>qualified_paired_native_source_frame</x:v>
      </x:c>
      <x:c r="S941" s="2" t="str">
        <x:v>modeled_epoch_volume_with_fixed2018_height_and_predominant_use</x:v>
      </x:c>
      <x:c r="T941" s="2" t="str">
        <x:v>modeled_epoch_volume_with_fixed2018_height_and_predominant_use</x:v>
      </x:c>
      <x:c r="U941" s="2" t="str">
        <x:v>GFA growth versus source physical quantity growth; constant conversion required for equality</x:v>
      </x:c>
      <x:c r="V941" s="2" t="str">
        <x:v>Model sector composition uses this source family; fixed2018-height modeled epochs</x:v>
      </x:c>
      <x:c r="W941" s="2" t="str">
        <x:v>https://human-settlement.emergency.copernicus.eu/ghs_buV2023.php</x:v>
      </x:c>
    </x:row>
    <x:row r="942" ht="23" customHeight="1">
      <x:c r="A942" s="2" t="str">
        <x:v>SLE</x:v>
      </x:c>
      <x:c r="B942" s="2" t="str">
        <x:v>Sierra Leone (Republic of)</x:v>
      </x:c>
      <x:c r="C942" s="2" t="str">
        <x:v>GHSL_VOLUME</x:v>
      </x:c>
      <x:c r="D942" s="2" t="n">
        <x:v>2015</x:v>
      </x:c>
      <x:c r="E942" s="2" t="n">
        <x:v>2020</x:v>
      </x:c>
      <x:c r="F942" s="17" t="n">
        <x:v>109212964.25369625</x:v>
      </x:c>
      <x:c r="G942" s="17" t="n">
        <x:v>115259924.94999996</x:v>
      </x:c>
      <x:c r="H942" s="17" t="n">
        <x:v>1187162322.752941</x:v>
      </x:c>
      <x:c r="I942" s="17" t="n">
        <x:v>1223139206.9450984</x:v>
      </x:c>
      <x:c r="J942" s="2" t="str">
        <x:v>m3</x:v>
      </x:c>
      <x:c r="K942" s="15" t="n">
        <x:f>IF(AND(ISNUMBER(F942),ISNUMBER(G942),F942&gt;0),G942/F942-1,"n.a.")</x:f>
        <x:v>0.05536852458520336</x:v>
      </x:c>
      <x:c r="L942" s="15" t="n">
        <x:f>IF(AND(N942,ISNUMBER(H942),ISNUMBER(I942),H942&gt;0),I942/H942-1,"n.a.")</x:f>
        <x:v>0.030304941036816135</x:v>
      </x:c>
      <x:c r="M942" s="20" t="n">
        <x:f>IF(AND(ISNUMBER(K942),ISNUMBER(L942)),100*(K942-L942),"n.a.")</x:f>
        <x:v>2.5063583548387225</x:v>
      </x:c>
      <x:c r="N942" s="13" t="b">
        <x:v>1</x:v>
      </x:c>
      <x:c r="O942" s="13" t="b">
        <x:v>1</x:v>
      </x:c>
      <x:c r="P942" s="13" t="b">
        <x:v>0</x:v>
      </x:c>
      <x:c r="Q942" s="2" t="str">
        <x:v>qualified_paired_native_source_frame</x:v>
      </x:c>
      <x:c r="R942" s="2" t="str">
        <x:v>qualified_paired_native_source_frame</x:v>
      </x:c>
      <x:c r="S942" s="2" t="str">
        <x:v>modeled_epoch_volume_with_fixed2018_height_and_predominant_use</x:v>
      </x:c>
      <x:c r="T942" s="2" t="str">
        <x:v>modeled_epoch_volume_with_fixed2018_height_and_predominant_use</x:v>
      </x:c>
      <x:c r="U942" s="2" t="str">
        <x:v>GFA growth versus source physical quantity growth; constant conversion required for equality</x:v>
      </x:c>
      <x:c r="V942" s="2" t="str">
        <x:v>Model sector composition uses this source family; fixed2018-height modeled epochs</x:v>
      </x:c>
      <x:c r="W942" s="2" t="str">
        <x:v>https://human-settlement.emergency.copernicus.eu/ghs_buV2023.php</x:v>
      </x:c>
    </x:row>
    <x:row r="943" ht="23" customHeight="1">
      <x:c r="A943" s="2" t="str">
        <x:v>SLV</x:v>
      </x:c>
      <x:c r="B943" s="2" t="str">
        <x:v>El Salvador (Republic of)</x:v>
      </x:c>
      <x:c r="C943" s="2" t="str">
        <x:v>GHSL_VOLUME</x:v>
      </x:c>
      <x:c r="D943" s="2" t="n">
        <x:v>2015</x:v>
      </x:c>
      <x:c r="E943" s="2" t="n">
        <x:v>2020</x:v>
      </x:c>
      <x:c r="F943" s="17" t="n">
        <x:v>216811219.0565358</x:v>
      </x:c>
      <x:c r="G943" s="17" t="n">
        <x:v>245414047.01000017</x:v>
      </x:c>
      <x:c r="H943" s="17" t="n">
        <x:v>1673178697.7607844</x:v>
      </x:c>
      <x:c r="I943" s="17" t="n">
        <x:v>1791543948.807843</x:v>
      </x:c>
      <x:c r="J943" s="2" t="str">
        <x:v>m3</x:v>
      </x:c>
      <x:c r="K943" s="15" t="n">
        <x:f>IF(AND(ISNUMBER(F943),ISNUMBER(G943),F943&gt;0),G943/F943-1,"n.a.")</x:f>
        <x:v>0.13192503634235764</x:v>
      </x:c>
      <x:c r="L943" s="15" t="n">
        <x:f>IF(AND(N943,ISNUMBER(H943),ISNUMBER(I943),H943&gt;0),I943/H943-1,"n.a.")</x:f>
        <x:v>0.07074274326195207</x:v>
      </x:c>
      <x:c r="M943" s="20" t="n">
        <x:f>IF(AND(ISNUMBER(K943),ISNUMBER(L943)),100*(K943-L943),"n.a.")</x:f>
        <x:v>6.118229308040557</x:v>
      </x:c>
      <x:c r="N943" s="13" t="b">
        <x:v>1</x:v>
      </x:c>
      <x:c r="O943" s="13" t="b">
        <x:v>1</x:v>
      </x:c>
      <x:c r="P943" s="13" t="b">
        <x:v>0</x:v>
      </x:c>
      <x:c r="Q943" s="2" t="str">
        <x:v>qualified_paired_native_source_frame</x:v>
      </x:c>
      <x:c r="R943" s="2" t="str">
        <x:v>qualified_paired_native_source_frame</x:v>
      </x:c>
      <x:c r="S943" s="2" t="str">
        <x:v>modeled_epoch_volume_with_fixed2018_height_and_predominant_use</x:v>
      </x:c>
      <x:c r="T943" s="2" t="str">
        <x:v>modeled_epoch_volume_with_fixed2018_height_and_predominant_use</x:v>
      </x:c>
      <x:c r="U943" s="2" t="str">
        <x:v>GFA growth versus source physical quantity growth; constant conversion required for equality</x:v>
      </x:c>
      <x:c r="V943" s="2" t="str">
        <x:v>Model sector composition uses this source family; fixed2018-height modeled epochs</x:v>
      </x:c>
      <x:c r="W943" s="2" t="str">
        <x:v>https://human-settlement.emergency.copernicus.eu/ghs_buV2023.php</x:v>
      </x:c>
    </x:row>
    <x:row r="944" ht="23" customHeight="1">
      <x:c r="A944" s="2" t="str">
        <x:v>SMR</x:v>
      </x:c>
      <x:c r="B944" s="2" t="str">
        <x:v>San Marino (Republic of)</x:v>
      </x:c>
      <x:c r="C944" s="2" t="str">
        <x:v>GHSL_VOLUME</x:v>
      </x:c>
      <x:c r="D944" s="2" t="n">
        <x:v>2015</x:v>
      </x:c>
      <x:c r="E944" s="2" t="n">
        <x:v>2020</x:v>
      </x:c>
      <x:c r="F944" s="17" t="n">
        <x:v>2893084.9931119457</x:v>
      </x:c>
      <x:c r="G944" s="17" t="n">
        <x:v>3030681.630000002</x:v>
      </x:c>
      <x:c r="H944" s="17" t="n">
        <x:v>27458113.69411765</x:v>
      </x:c>
      <x:c r="I944" s="17" t="n">
        <x:v>28179522.211764704</x:v>
      </x:c>
      <x:c r="J944" s="2" t="str">
        <x:v>m3</x:v>
      </x:c>
      <x:c r="K944" s="15" t="n">
        <x:f>IF(AND(ISNUMBER(F944),ISNUMBER(G944),F944&gt;0),G944/F944-1,"n.a.")</x:f>
        <x:v>0.047560523529607934</x:v>
      </x:c>
      <x:c r="L944" s="15" t="n">
        <x:f>IF(AND(N944,ISNUMBER(H944),ISNUMBER(I944),H944&gt;0),I944/H944-1,"n.a.")</x:f>
        <x:v>0.026273054503434423</x:v>
      </x:c>
      <x:c r="M944" s="20" t="n">
        <x:f>IF(AND(ISNUMBER(K944),ISNUMBER(L944)),100*(K944-L944),"n.a.")</x:f>
        <x:v>2.128746902617351</x:v>
      </x:c>
      <x:c r="N944" s="13" t="b">
        <x:v>1</x:v>
      </x:c>
      <x:c r="O944" s="13" t="b">
        <x:v>1</x:v>
      </x:c>
      <x:c r="P944" s="13" t="b">
        <x:v>0</x:v>
      </x:c>
      <x:c r="Q944" s="2" t="str">
        <x:v>qualified_paired_native_source_frame</x:v>
      </x:c>
      <x:c r="R944" s="2" t="str">
        <x:v>qualified_paired_native_source_frame</x:v>
      </x:c>
      <x:c r="S944" s="2" t="str">
        <x:v>modeled_epoch_volume_with_fixed2018_height_and_predominant_use</x:v>
      </x:c>
      <x:c r="T944" s="2" t="str">
        <x:v>modeled_epoch_volume_with_fixed2018_height_and_predominant_use</x:v>
      </x:c>
      <x:c r="U944" s="2" t="str">
        <x:v>GFA growth versus source physical quantity growth; constant conversion required for equality</x:v>
      </x:c>
      <x:c r="V944" s="2" t="str">
        <x:v>Model sector composition uses this source family; fixed2018-height modeled epochs</x:v>
      </x:c>
      <x:c r="W944" s="2" t="str">
        <x:v>https://human-settlement.emergency.copernicus.eu/ghs_buV2023.php</x:v>
      </x:c>
    </x:row>
    <x:row r="945" ht="23" customHeight="1">
      <x:c r="A945" s="2" t="str">
        <x:v>SOM</x:v>
      </x:c>
      <x:c r="B945" s="2" t="str">
        <x:v>Somalia (Federal Republic of)</x:v>
      </x:c>
      <x:c r="C945" s="2" t="str">
        <x:v>GHSL_VOLUME</x:v>
      </x:c>
      <x:c r="D945" s="2" t="n">
        <x:v>2015</x:v>
      </x:c>
      <x:c r="E945" s="2" t="n">
        <x:v>2020</x:v>
      </x:c>
      <x:c r="F945" s="17" t="n">
        <x:v>105330761.59132184</x:v>
      </x:c>
      <x:c r="G945" s="17" t="n">
        <x:v>134848326.33000013</x:v>
      </x:c>
      <x:c r="H945" s="17" t="n">
        <x:v>1047009055.9764707</x:v>
      </x:c>
      <x:c r="I945" s="17" t="n">
        <x:v>1200258211.9529412</x:v>
      </x:c>
      <x:c r="J945" s="2" t="str">
        <x:v>m3</x:v>
      </x:c>
      <x:c r="K945" s="15" t="n">
        <x:f>IF(AND(ISNUMBER(F945),ISNUMBER(G945),F945&gt;0),G945/F945-1,"n.a.")</x:f>
        <x:v>0.28023688704734706</x:v>
      </x:c>
      <x:c r="L945" s="15" t="n">
        <x:f>IF(AND(N945,ISNUMBER(H945),ISNUMBER(I945),H945&gt;0),I945/H945-1,"n.a.")</x:f>
        <x:v>0.14636851047438726</x:v>
      </x:c>
      <x:c r="M945" s="20" t="n">
        <x:f>IF(AND(ISNUMBER(K945),ISNUMBER(L945)),100*(K945-L945),"n.a.")</x:f>
        <x:v>13.386837657295981</x:v>
      </x:c>
      <x:c r="N945" s="13" t="b">
        <x:v>1</x:v>
      </x:c>
      <x:c r="O945" s="13" t="b">
        <x:v>1</x:v>
      </x:c>
      <x:c r="P945" s="13" t="b">
        <x:v>0</x:v>
      </x:c>
      <x:c r="Q945" s="2" t="str">
        <x:v>qualified_paired_native_source_frame</x:v>
      </x:c>
      <x:c r="R945" s="2" t="str">
        <x:v>qualified_paired_native_source_frame</x:v>
      </x:c>
      <x:c r="S945" s="2" t="str">
        <x:v>modeled_epoch_volume_with_fixed2018_height_and_predominant_use</x:v>
      </x:c>
      <x:c r="T945" s="2" t="str">
        <x:v>modeled_epoch_volume_with_fixed2018_height_and_predominant_use</x:v>
      </x:c>
      <x:c r="U945" s="2" t="str">
        <x:v>GFA growth versus source physical quantity growth; constant conversion required for equality</x:v>
      </x:c>
      <x:c r="V945" s="2" t="str">
        <x:v>Model sector composition uses this source family; fixed2018-height modeled epochs</x:v>
      </x:c>
      <x:c r="W945" s="2" t="str">
        <x:v>https://human-settlement.emergency.copernicus.eu/ghs_buV2023.php</x:v>
      </x:c>
    </x:row>
    <x:row r="946" ht="23" customHeight="1">
      <x:c r="A946" s="2" t="str">
        <x:v>SRB</x:v>
      </x:c>
      <x:c r="B946" s="2" t="str">
        <x:v>Serbia (Republic of)</x:v>
      </x:c>
      <x:c r="C946" s="2" t="str">
        <x:v>GHSL_VOLUME</x:v>
      </x:c>
      <x:c r="D946" s="2" t="n">
        <x:v>2015</x:v>
      </x:c>
      <x:c r="E946" s="2" t="n">
        <x:v>2020</x:v>
      </x:c>
      <x:c r="F946" s="17" t="n">
        <x:v>557424319.8298955</x:v>
      </x:c>
      <x:c r="G946" s="17" t="n">
        <x:v>584520286.2100008</x:v>
      </x:c>
      <x:c r="H946" s="17" t="n">
        <x:v>3307805234.0901957</x:v>
      </x:c>
      <x:c r="I946" s="17" t="n">
        <x:v>3438481444.1450973</x:v>
      </x:c>
      <x:c r="J946" s="2" t="str">
        <x:v>m3</x:v>
      </x:c>
      <x:c r="K946" s="15" t="n">
        <x:f>IF(AND(ISNUMBER(F946),ISNUMBER(G946),F946&gt;0),G946/F946-1,"n.a.")</x:f>
        <x:v>0.04860922894138153</x:v>
      </x:c>
      <x:c r="L946" s="15" t="n">
        <x:f>IF(AND(N946,ISNUMBER(H946),ISNUMBER(I946),H946&gt;0),I946/H946-1,"n.a.")</x:f>
        <x:v>0.03950541244331873</x:v>
      </x:c>
      <x:c r="M946" s="20" t="n">
        <x:f>IF(AND(ISNUMBER(K946),ISNUMBER(L946)),100*(K946-L946),"n.a.")</x:f>
        <x:v>0.91038164980628</x:v>
      </x:c>
      <x:c r="N946" s="13" t="b">
        <x:v>1</x:v>
      </x:c>
      <x:c r="O946" s="13" t="b">
        <x:v>1</x:v>
      </x:c>
      <x:c r="P946" s="13" t="b">
        <x:v>0</x:v>
      </x:c>
      <x:c r="Q946" s="2" t="str">
        <x:v>qualified_paired_native_source_frame</x:v>
      </x:c>
      <x:c r="R946" s="2" t="str">
        <x:v>qualified_paired_native_source_frame</x:v>
      </x:c>
      <x:c r="S946" s="2" t="str">
        <x:v>modeled_epoch_volume_with_fixed2018_height_and_predominant_use</x:v>
      </x:c>
      <x:c r="T946" s="2" t="str">
        <x:v>modeled_epoch_volume_with_fixed2018_height_and_predominant_use</x:v>
      </x:c>
      <x:c r="U946" s="2" t="str">
        <x:v>GFA growth versus source physical quantity growth; constant conversion required for equality</x:v>
      </x:c>
      <x:c r="V946" s="2" t="str">
        <x:v>Model sector composition uses this source family; fixed2018-height modeled epochs</x:v>
      </x:c>
      <x:c r="W946" s="2" t="str">
        <x:v>https://human-settlement.emergency.copernicus.eu/ghs_buV2023.php</x:v>
      </x:c>
    </x:row>
    <x:row r="947" ht="23" customHeight="1">
      <x:c r="A947" s="2" t="str">
        <x:v>SSD</x:v>
      </x:c>
      <x:c r="B947" s="2" t="str">
        <x:v>South Sudan (Republic of)</x:v>
      </x:c>
      <x:c r="C947" s="2" t="str">
        <x:v>GHSL_VOLUME</x:v>
      </x:c>
      <x:c r="D947" s="2" t="n">
        <x:v>2015</x:v>
      </x:c>
      <x:c r="E947" s="2" t="n">
        <x:v>2020</x:v>
      </x:c>
      <x:c r="F947" s="17" t="n">
        <x:v>48697573.65751788</x:v>
      </x:c>
      <x:c r="G947" s="17" t="n">
        <x:v>82483216.59000005</x:v>
      </x:c>
      <x:c r="H947" s="17" t="n">
        <x:v>514284103.72156864</x:v>
      </x:c>
      <x:c r="I947" s="17" t="n">
        <x:v>740382831.1921568</x:v>
      </x:c>
      <x:c r="J947" s="2" t="str">
        <x:v>m3</x:v>
      </x:c>
      <x:c r="K947" s="15" t="n">
        <x:f>IF(AND(ISNUMBER(F947),ISNUMBER(G947),F947&gt;0),G947/F947-1,"n.a.")</x:f>
        <x:v>0.6937849341343185</x:v>
      </x:c>
      <x:c r="L947" s="15" t="n">
        <x:f>IF(AND(N947,ISNUMBER(H947),ISNUMBER(I947),H947&gt;0),I947/H947-1,"n.a.")</x:f>
        <x:v>0.4396377913189342</x:v>
      </x:c>
      <x:c r="M947" s="20" t="n">
        <x:f>IF(AND(ISNUMBER(K947),ISNUMBER(L947)),100*(K947-L947),"n.a.")</x:f>
        <x:v>25.41471428153843</x:v>
      </x:c>
      <x:c r="N947" s="13" t="b">
        <x:v>1</x:v>
      </x:c>
      <x:c r="O947" s="13" t="b">
        <x:v>1</x:v>
      </x:c>
      <x:c r="P947" s="13" t="b">
        <x:v>0</x:v>
      </x:c>
      <x:c r="Q947" s="2" t="str">
        <x:v>qualified_paired_native_source_frame</x:v>
      </x:c>
      <x:c r="R947" s="2" t="str">
        <x:v>qualified_paired_native_source_frame</x:v>
      </x:c>
      <x:c r="S947" s="2" t="str">
        <x:v>modeled_epoch_volume_with_fixed2018_height_and_predominant_use</x:v>
      </x:c>
      <x:c r="T947" s="2" t="str">
        <x:v>modeled_epoch_volume_with_fixed2018_height_and_predominant_use</x:v>
      </x:c>
      <x:c r="U947" s="2" t="str">
        <x:v>GFA growth versus source physical quantity growth; constant conversion required for equality</x:v>
      </x:c>
      <x:c r="V947" s="2" t="str">
        <x:v>Model sector composition uses this source family; fixed2018-height modeled epochs</x:v>
      </x:c>
      <x:c r="W947" s="2" t="str">
        <x:v>https://human-settlement.emergency.copernicus.eu/ghs_buV2023.php</x:v>
      </x:c>
    </x:row>
    <x:row r="948" ht="23" customHeight="1">
      <x:c r="A948" s="2" t="str">
        <x:v>STP</x:v>
      </x:c>
      <x:c r="B948" s="2" t="str">
        <x:v>Sao Tome and Principe (Democratic Republic of)</x:v>
      </x:c>
      <x:c r="C948" s="2" t="str">
        <x:v>GHSL_VOLUME</x:v>
      </x:c>
      <x:c r="D948" s="2" t="n">
        <x:v>2015</x:v>
      </x:c>
      <x:c r="E948" s="2" t="n">
        <x:v>2020</x:v>
      </x:c>
      <x:c r="F948" s="17" t="n">
        <x:v>6006619.554736206</x:v>
      </x:c>
      <x:c r="G948" s="17" t="n">
        <x:v>6153544.550000003</x:v>
      </x:c>
      <x:c r="H948" s="17" t="n">
        <x:v>32002691.745098047</x:v>
      </x:c>
      <x:c r="I948" s="17" t="n">
        <x:v>32356269.101960786</x:v>
      </x:c>
      <x:c r="J948" s="2" t="str">
        <x:v>m3</x:v>
      </x:c>
      <x:c r="K948" s="15" t="n">
        <x:f>IF(AND(ISNUMBER(F948),ISNUMBER(G948),F948&gt;0),G948/F948-1,"n.a.")</x:f>
        <x:v>0.024460512926600453</x:v>
      </x:c>
      <x:c r="L948" s="15" t="n">
        <x:f>IF(AND(N948,ISNUMBER(H948),ISNUMBER(I948),H948&gt;0),I948/H948-1,"n.a.")</x:f>
        <x:v>0.01104836304642709</x:v>
      </x:c>
      <x:c r="M948" s="20" t="n">
        <x:f>IF(AND(ISNUMBER(K948),ISNUMBER(L948)),100*(K948-L948),"n.a.")</x:f>
        <x:v>1.3412149880173363</x:v>
      </x:c>
      <x:c r="N948" s="13" t="b">
        <x:v>1</x:v>
      </x:c>
      <x:c r="O948" s="13" t="b">
        <x:v>1</x:v>
      </x:c>
      <x:c r="P948" s="13" t="b">
        <x:v>0</x:v>
      </x:c>
      <x:c r="Q948" s="2" t="str">
        <x:v>qualified_paired_native_source_frame</x:v>
      </x:c>
      <x:c r="R948" s="2" t="str">
        <x:v>qualified_paired_native_source_frame</x:v>
      </x:c>
      <x:c r="S948" s="2" t="str">
        <x:v>modeled_epoch_volume_with_fixed2018_height_and_predominant_use</x:v>
      </x:c>
      <x:c r="T948" s="2" t="str">
        <x:v>modeled_epoch_volume_with_fixed2018_height_and_predominant_use</x:v>
      </x:c>
      <x:c r="U948" s="2" t="str">
        <x:v>GFA growth versus source physical quantity growth; constant conversion required for equality</x:v>
      </x:c>
      <x:c r="V948" s="2" t="str">
        <x:v>Model sector composition uses this source family; fixed2018-height modeled epochs</x:v>
      </x:c>
      <x:c r="W948" s="2" t="str">
        <x:v>https://human-settlement.emergency.copernicus.eu/ghs_buV2023.php</x:v>
      </x:c>
    </x:row>
    <x:row r="949" ht="23" customHeight="1">
      <x:c r="A949" s="2" t="str">
        <x:v>SUR</x:v>
      </x:c>
      <x:c r="B949" s="2" t="str">
        <x:v>Suriname (Republic of)</x:v>
      </x:c>
      <x:c r="C949" s="2" t="str">
        <x:v>GHSL_VOLUME</x:v>
      </x:c>
      <x:c r="D949" s="2" t="n">
        <x:v>2015</x:v>
      </x:c>
      <x:c r="E949" s="2" t="n">
        <x:v>2020</x:v>
      </x:c>
      <x:c r="F949" s="17" t="n">
        <x:v>49112414.35196055</x:v>
      </x:c>
      <x:c r="G949" s="17" t="n">
        <x:v>50598825.22000002</x:v>
      </x:c>
      <x:c r="H949" s="17" t="n">
        <x:v>315353021.2392157</x:v>
      </x:c>
      <x:c r="I949" s="17" t="n">
        <x:v>322278803.44705886</x:v>
      </x:c>
      <x:c r="J949" s="2" t="str">
        <x:v>m3</x:v>
      </x:c>
      <x:c r="K949" s="15" t="n">
        <x:f>IF(AND(ISNUMBER(F949),ISNUMBER(G949),F949&gt;0),G949/F949-1,"n.a.")</x:f>
        <x:v>0.03026548150101549</x:v>
      </x:c>
      <x:c r="L949" s="15" t="n">
        <x:f>IF(AND(N949,ISNUMBER(H949),ISNUMBER(I949),H949&gt;0),I949/H949-1,"n.a.")</x:f>
        <x:v>0.02196199732169224</x:v>
      </x:c>
      <x:c r="M949" s="20" t="n">
        <x:f>IF(AND(ISNUMBER(K949),ISNUMBER(L949)),100*(K949-L949),"n.a.")</x:f>
        <x:v>0.8303484179323251</x:v>
      </x:c>
      <x:c r="N949" s="13" t="b">
        <x:v>1</x:v>
      </x:c>
      <x:c r="O949" s="13" t="b">
        <x:v>1</x:v>
      </x:c>
      <x:c r="P949" s="13" t="b">
        <x:v>0</x:v>
      </x:c>
      <x:c r="Q949" s="2" t="str">
        <x:v>qualified_paired_native_source_frame</x:v>
      </x:c>
      <x:c r="R949" s="2" t="str">
        <x:v>qualified_paired_native_source_frame</x:v>
      </x:c>
      <x:c r="S949" s="2" t="str">
        <x:v>modeled_epoch_volume_with_fixed2018_height_and_predominant_use</x:v>
      </x:c>
      <x:c r="T949" s="2" t="str">
        <x:v>modeled_epoch_volume_with_fixed2018_height_and_predominant_use</x:v>
      </x:c>
      <x:c r="U949" s="2" t="str">
        <x:v>GFA growth versus source physical quantity growth; constant conversion required for equality</x:v>
      </x:c>
      <x:c r="V949" s="2" t="str">
        <x:v>Model sector composition uses this source family; fixed2018-height modeled epochs</x:v>
      </x:c>
      <x:c r="W949" s="2" t="str">
        <x:v>https://human-settlement.emergency.copernicus.eu/ghs_buV2023.php</x:v>
      </x:c>
    </x:row>
    <x:row r="950" ht="23" customHeight="1">
      <x:c r="A950" s="2" t="str">
        <x:v>SVK</x:v>
      </x:c>
      <x:c r="B950" s="2" t="str">
        <x:v>Slovakia (Slovak Republic)</x:v>
      </x:c>
      <x:c r="C950" s="2" t="str">
        <x:v>GHSL_VOLUME</x:v>
      </x:c>
      <x:c r="D950" s="2" t="n">
        <x:v>2015</x:v>
      </x:c>
      <x:c r="E950" s="2" t="n">
        <x:v>2020</x:v>
      </x:c>
      <x:c r="F950" s="17" t="n">
        <x:v>365029895.774204</x:v>
      </x:c>
      <x:c r="G950" s="17" t="n">
        <x:v>391189188.0500002</x:v>
      </x:c>
      <x:c r="H950" s="17" t="n">
        <x:v>2813575180.8156867</x:v>
      </x:c>
      <x:c r="I950" s="17" t="n">
        <x:v>2961009534.372549</x:v>
      </x:c>
      <x:c r="J950" s="2" t="str">
        <x:v>m3</x:v>
      </x:c>
      <x:c r="K950" s="15" t="n">
        <x:f>IF(AND(ISNUMBER(F950),ISNUMBER(G950),F950&gt;0),G950/F950-1,"n.a.")</x:f>
        <x:v>0.07166342422533378</x:v>
      </x:c>
      <x:c r="L950" s="15" t="n">
        <x:f>IF(AND(N950,ISNUMBER(H950),ISNUMBER(I950),H950&gt;0),I950/H950-1,"n.a.")</x:f>
        <x:v>0.052401071264112975</x:v>
      </x:c>
      <x:c r="M950" s="20" t="n">
        <x:f>IF(AND(ISNUMBER(K950),ISNUMBER(L950)),100*(K950-L950),"n.a.")</x:f>
        <x:v>1.9262352961220808</x:v>
      </x:c>
      <x:c r="N950" s="13" t="b">
        <x:v>1</x:v>
      </x:c>
      <x:c r="O950" s="13" t="b">
        <x:v>1</x:v>
      </x:c>
      <x:c r="P950" s="13" t="b">
        <x:v>0</x:v>
      </x:c>
      <x:c r="Q950" s="2" t="str">
        <x:v>qualified_paired_native_source_frame</x:v>
      </x:c>
      <x:c r="R950" s="2" t="str">
        <x:v>qualified_paired_native_source_frame</x:v>
      </x:c>
      <x:c r="S950" s="2" t="str">
        <x:v>modeled_epoch_volume_with_fixed2018_height_and_predominant_use</x:v>
      </x:c>
      <x:c r="T950" s="2" t="str">
        <x:v>modeled_epoch_volume_with_fixed2018_height_and_predominant_use</x:v>
      </x:c>
      <x:c r="U950" s="2" t="str">
        <x:v>GFA growth versus source physical quantity growth; constant conversion required for equality</x:v>
      </x:c>
      <x:c r="V950" s="2" t="str">
        <x:v>Model sector composition uses this source family; fixed2018-height modeled epochs</x:v>
      </x:c>
      <x:c r="W950" s="2" t="str">
        <x:v>https://human-settlement.emergency.copernicus.eu/ghs_buV2023.php</x:v>
      </x:c>
    </x:row>
    <x:row r="951" ht="23" customHeight="1">
      <x:c r="A951" s="2" t="str">
        <x:v>SVN</x:v>
      </x:c>
      <x:c r="B951" s="2" t="str">
        <x:v>Slovenia (Republic of)</x:v>
      </x:c>
      <x:c r="C951" s="2" t="str">
        <x:v>GHSL_VOLUME</x:v>
      </x:c>
      <x:c r="D951" s="2" t="n">
        <x:v>2015</x:v>
      </x:c>
      <x:c r="E951" s="2" t="n">
        <x:v>2020</x:v>
      </x:c>
      <x:c r="F951" s="17" t="n">
        <x:v>180123963.30761537</x:v>
      </x:c>
      <x:c r="G951" s="17" t="n">
        <x:v>188783306.59000015</x:v>
      </x:c>
      <x:c r="H951" s="17" t="n">
        <x:v>943473364.5568628</x:v>
      </x:c>
      <x:c r="I951" s="17" t="n">
        <x:v>976659571.1058824</x:v>
      </x:c>
      <x:c r="J951" s="2" t="str">
        <x:v>m3</x:v>
      </x:c>
      <x:c r="K951" s="15" t="n">
        <x:f>IF(AND(ISNUMBER(F951),ISNUMBER(G951),F951&gt;0),G951/F951-1,"n.a.")</x:f>
        <x:v>0.048074354590990076</x:v>
      </x:c>
      <x:c r="L951" s="15" t="n">
        <x:f>IF(AND(N951,ISNUMBER(H951),ISNUMBER(I951),H951&gt;0),I951/H951-1,"n.a.")</x:f>
        <x:v>0.03517450284842605</x:v>
      </x:c>
      <x:c r="M951" s="20" t="n">
        <x:f>IF(AND(ISNUMBER(K951),ISNUMBER(L951)),100*(K951-L951),"n.a.")</x:f>
        <x:v>1.2899851742564028</x:v>
      </x:c>
      <x:c r="N951" s="13" t="b">
        <x:v>1</x:v>
      </x:c>
      <x:c r="O951" s="13" t="b">
        <x:v>1</x:v>
      </x:c>
      <x:c r="P951" s="13" t="b">
        <x:v>0</x:v>
      </x:c>
      <x:c r="Q951" s="2" t="str">
        <x:v>qualified_paired_native_source_frame</x:v>
      </x:c>
      <x:c r="R951" s="2" t="str">
        <x:v>qualified_paired_native_source_frame</x:v>
      </x:c>
      <x:c r="S951" s="2" t="str">
        <x:v>modeled_epoch_volume_with_fixed2018_height_and_predominant_use</x:v>
      </x:c>
      <x:c r="T951" s="2" t="str">
        <x:v>modeled_epoch_volume_with_fixed2018_height_and_predominant_use</x:v>
      </x:c>
      <x:c r="U951" s="2" t="str">
        <x:v>GFA growth versus source physical quantity growth; constant conversion required for equality</x:v>
      </x:c>
      <x:c r="V951" s="2" t="str">
        <x:v>Model sector composition uses this source family; fixed2018-height modeled epochs</x:v>
      </x:c>
      <x:c r="W951" s="2" t="str">
        <x:v>https://human-settlement.emergency.copernicus.eu/ghs_buV2023.php</x:v>
      </x:c>
    </x:row>
    <x:row r="952" ht="23" customHeight="1">
      <x:c r="A952" s="2" t="str">
        <x:v>SWE</x:v>
      </x:c>
      <x:c r="B952" s="2" t="str">
        <x:v>Sweden (Kingdom of)</x:v>
      </x:c>
      <x:c r="C952" s="2" t="str">
        <x:v>GHSL_VOLUME</x:v>
      </x:c>
      <x:c r="D952" s="2" t="n">
        <x:v>2015</x:v>
      </x:c>
      <x:c r="E952" s="2" t="n">
        <x:v>2020</x:v>
      </x:c>
      <x:c r="F952" s="17" t="n">
        <x:v>808375078.7663457</x:v>
      </x:c>
      <x:c r="G952" s="17" t="n">
        <x:v>860750073.0500002</x:v>
      </x:c>
      <x:c r="H952" s="17" t="n">
        <x:v>4425461149.427451</x:v>
      </x:c>
      <x:c r="I952" s="17" t="n">
        <x:v>4620415714.145098</x:v>
      </x:c>
      <x:c r="J952" s="2" t="str">
        <x:v>m3</x:v>
      </x:c>
      <x:c r="K952" s="15" t="n">
        <x:f>IF(AND(ISNUMBER(F952),ISNUMBER(G952),F952&gt;0),G952/F952-1,"n.a.")</x:f>
        <x:v>0.06479046133334965</x:v>
      </x:c>
      <x:c r="L952" s="15" t="n">
        <x:f>IF(AND(N952,ISNUMBER(H952),ISNUMBER(I952),H952&gt;0),I952/H952-1,"n.a.")</x:f>
        <x:v>0.04405293779222741</x:v>
      </x:c>
      <x:c r="M952" s="20" t="n">
        <x:f>IF(AND(ISNUMBER(K952),ISNUMBER(L952)),100*(K952-L952),"n.a.")</x:f>
        <x:v>2.073752354112224</x:v>
      </x:c>
      <x:c r="N952" s="13" t="b">
        <x:v>1</x:v>
      </x:c>
      <x:c r="O952" s="13" t="b">
        <x:v>1</x:v>
      </x:c>
      <x:c r="P952" s="13" t="b">
        <x:v>0</x:v>
      </x:c>
      <x:c r="Q952" s="2" t="str">
        <x:v>qualified_paired_native_source_frame</x:v>
      </x:c>
      <x:c r="R952" s="2" t="str">
        <x:v>qualified_paired_native_source_frame</x:v>
      </x:c>
      <x:c r="S952" s="2" t="str">
        <x:v>modeled_epoch_volume_with_fixed2018_height_and_predominant_use</x:v>
      </x:c>
      <x:c r="T952" s="2" t="str">
        <x:v>modeled_epoch_volume_with_fixed2018_height_and_predominant_use</x:v>
      </x:c>
      <x:c r="U952" s="2" t="str">
        <x:v>GFA growth versus source physical quantity growth; constant conversion required for equality</x:v>
      </x:c>
      <x:c r="V952" s="2" t="str">
        <x:v>Model sector composition uses this source family; fixed2018-height modeled epochs</x:v>
      </x:c>
      <x:c r="W952" s="2" t="str">
        <x:v>https://human-settlement.emergency.copernicus.eu/ghs_buV2023.php</x:v>
      </x:c>
    </x:row>
    <x:row r="953" ht="23" customHeight="1">
      <x:c r="A953" s="2" t="str">
        <x:v>SWZ</x:v>
      </x:c>
      <x:c r="B953" s="2" t="str">
        <x:v>Eswatini (Kingdom of)</x:v>
      </x:c>
      <x:c r="C953" s="2" t="str">
        <x:v>GHSL_VOLUME</x:v>
      </x:c>
      <x:c r="D953" s="2" t="n">
        <x:v>2015</x:v>
      </x:c>
      <x:c r="E953" s="2" t="n">
        <x:v>2020</x:v>
      </x:c>
      <x:c r="F953" s="17" t="n">
        <x:v>33675400.7123071</x:v>
      </x:c>
      <x:c r="G953" s="17" t="n">
        <x:v>51228621.629999995</x:v>
      </x:c>
      <x:c r="H953" s="17" t="n">
        <x:v>350674663.18039215</x:v>
      </x:c>
      <x:c r="I953" s="17" t="n">
        <x:v>487785832.5137254</x:v>
      </x:c>
      <x:c r="J953" s="2" t="str">
        <x:v>m3</x:v>
      </x:c>
      <x:c r="K953" s="15" t="n">
        <x:f>IF(AND(ISNUMBER(F953),ISNUMBER(G953),F953&gt;0),G953/F953-1,"n.a.")</x:f>
        <x:v>0.5212475737899043</x:v>
      </x:c>
      <x:c r="L953" s="15" t="n">
        <x:f>IF(AND(N953,ISNUMBER(H953),ISNUMBER(I953),H953&gt;0),I953/H953-1,"n.a.")</x:f>
        <x:v>0.39099251736587903</x:v>
      </x:c>
      <x:c r="M953" s="20" t="n">
        <x:f>IF(AND(ISNUMBER(K953),ISNUMBER(L953)),100*(K953-L953),"n.a.")</x:f>
        <x:v>13.025505642402525</x:v>
      </x:c>
      <x:c r="N953" s="13" t="b">
        <x:v>1</x:v>
      </x:c>
      <x:c r="O953" s="13" t="b">
        <x:v>1</x:v>
      </x:c>
      <x:c r="P953" s="13" t="b">
        <x:v>0</x:v>
      </x:c>
      <x:c r="Q953" s="2" t="str">
        <x:v>qualified_paired_native_source_frame</x:v>
      </x:c>
      <x:c r="R953" s="2" t="str">
        <x:v>qualified_paired_native_source_frame</x:v>
      </x:c>
      <x:c r="S953" s="2" t="str">
        <x:v>modeled_epoch_volume_with_fixed2018_height_and_predominant_use</x:v>
      </x:c>
      <x:c r="T953" s="2" t="str">
        <x:v>modeled_epoch_volume_with_fixed2018_height_and_predominant_use</x:v>
      </x:c>
      <x:c r="U953" s="2" t="str">
        <x:v>GFA growth versus source physical quantity growth; constant conversion required for equality</x:v>
      </x:c>
      <x:c r="V953" s="2" t="str">
        <x:v>Model sector composition uses this source family; fixed2018-height modeled epochs</x:v>
      </x:c>
      <x:c r="W953" s="2" t="str">
        <x:v>https://human-settlement.emergency.copernicus.eu/ghs_buV2023.php</x:v>
      </x:c>
    </x:row>
    <x:row r="954" ht="23" customHeight="1">
      <x:c r="A954" s="2" t="str">
        <x:v>SYC</x:v>
      </x:c>
      <x:c r="B954" s="2" t="str">
        <x:v>Seychelles (Republic of)</x:v>
      </x:c>
      <x:c r="C954" s="2" t="str">
        <x:v>GHSL_VOLUME</x:v>
      </x:c>
      <x:c r="D954" s="2" t="n">
        <x:v>2015</x:v>
      </x:c>
      <x:c r="E954" s="2" t="n">
        <x:v>2020</x:v>
      </x:c>
      <x:c r="F954" s="17" t="n">
        <x:v>7079080.10364114</x:v>
      </x:c>
      <x:c r="G954" s="17" t="n">
        <x:v>7317572.880000001</x:v>
      </x:c>
      <x:c r="H954" s="17" t="n">
        <x:v>19092704.3137255</x:v>
      </x:c>
      <x:c r="I954" s="17" t="n">
        <x:v>19518052.290196083</x:v>
      </x:c>
      <x:c r="J954" s="2" t="str">
        <x:v>m3</x:v>
      </x:c>
      <x:c r="K954" s="15" t="n">
        <x:f>IF(AND(ISNUMBER(F954),ISNUMBER(G954),F954&gt;0),G954/F954-1,"n.a.")</x:f>
        <x:v>0.03368979766681712</x:v>
      </x:c>
      <x:c r="L954" s="15" t="n">
        <x:f>IF(AND(N954,ISNUMBER(H954),ISNUMBER(I954),H954&gt;0),I954/H954-1,"n.a.")</x:f>
        <x:v>0.02227803717490162</x:v>
      </x:c>
      <x:c r="M954" s="20" t="n">
        <x:f>IF(AND(ISNUMBER(K954),ISNUMBER(L954)),100*(K954-L954),"n.a.")</x:f>
        <x:v>1.1411760491915501</x:v>
      </x:c>
      <x:c r="N954" s="13" t="b">
        <x:v>1</x:v>
      </x:c>
      <x:c r="O954" s="13" t="b">
        <x:v>1</x:v>
      </x:c>
      <x:c r="P954" s="13" t="b">
        <x:v>0</x:v>
      </x:c>
      <x:c r="Q954" s="2" t="str">
        <x:v>qualified_paired_native_source_frame</x:v>
      </x:c>
      <x:c r="R954" s="2" t="str">
        <x:v>qualified_paired_native_source_frame</x:v>
      </x:c>
      <x:c r="S954" s="2" t="str">
        <x:v>modeled_epoch_volume_with_fixed2018_height_and_predominant_use</x:v>
      </x:c>
      <x:c r="T954" s="2" t="str">
        <x:v>modeled_epoch_volume_with_fixed2018_height_and_predominant_use</x:v>
      </x:c>
      <x:c r="U954" s="2" t="str">
        <x:v>GFA growth versus source physical quantity growth; constant conversion required for equality</x:v>
      </x:c>
      <x:c r="V954" s="2" t="str">
        <x:v>Model sector composition uses this source family; fixed2018-height modeled epochs</x:v>
      </x:c>
      <x:c r="W954" s="2" t="str">
        <x:v>https://human-settlement.emergency.copernicus.eu/ghs_buV2023.php</x:v>
      </x:c>
    </x:row>
    <x:row r="955" ht="23" customHeight="1">
      <x:c r="A955" s="2" t="str">
        <x:v>SYR</x:v>
      </x:c>
      <x:c r="B955" s="2" t="str">
        <x:v>Syrian Arab Republic</x:v>
      </x:c>
      <x:c r="C955" s="2" t="str">
        <x:v>GHSL_VOLUME</x:v>
      </x:c>
      <x:c r="D955" s="2" t="n">
        <x:v>2015</x:v>
      </x:c>
      <x:c r="E955" s="2" t="n">
        <x:v>2020</x:v>
      </x:c>
      <x:c r="F955" s="17" t="n">
        <x:v>760444963.635695</x:v>
      </x:c>
      <x:c r="G955" s="17" t="n">
        <x:v>795482211.65</x:v>
      </x:c>
      <x:c r="H955" s="17" t="n">
        <x:v>5096167210.717648</x:v>
      </x:c>
      <x:c r="I955" s="17" t="n">
        <x:v>5261929580.094119</x:v>
      </x:c>
      <x:c r="J955" s="2" t="str">
        <x:v>m3</x:v>
      </x:c>
      <x:c r="K955" s="15" t="n">
        <x:f>IF(AND(ISNUMBER(F955),ISNUMBER(G955),F955&gt;0),G955/F955-1,"n.a.")</x:f>
        <x:v>0.04607466639898772</x:v>
      </x:c>
      <x:c r="L955" s="15" t="n">
        <x:f>IF(AND(N955,ISNUMBER(H955),ISNUMBER(I955),H955&gt;0),I955/H955-1,"n.a.")</x:f>
        <x:v>0.03252687019920786</x:v>
      </x:c>
      <x:c r="M955" s="20" t="n">
        <x:f>IF(AND(ISNUMBER(K955),ISNUMBER(L955)),100*(K955-L955),"n.a.")</x:f>
        <x:v>1.354779619977986</x:v>
      </x:c>
      <x:c r="N955" s="13" t="b">
        <x:v>1</x:v>
      </x:c>
      <x:c r="O955" s="13" t="b">
        <x:v>1</x:v>
      </x:c>
      <x:c r="P955" s="13" t="b">
        <x:v>0</x:v>
      </x:c>
      <x:c r="Q955" s="2" t="str">
        <x:v>qualified_paired_native_source_frame</x:v>
      </x:c>
      <x:c r="R955" s="2" t="str">
        <x:v>qualified_paired_native_source_frame</x:v>
      </x:c>
      <x:c r="S955" s="2" t="str">
        <x:v>modeled_epoch_volume_with_fixed2018_height_and_predominant_use</x:v>
      </x:c>
      <x:c r="T955" s="2" t="str">
        <x:v>modeled_epoch_volume_with_fixed2018_height_and_predominant_use</x:v>
      </x:c>
      <x:c r="U955" s="2" t="str">
        <x:v>GFA growth versus source physical quantity growth; constant conversion required for equality</x:v>
      </x:c>
      <x:c r="V955" s="2" t="str">
        <x:v>Model sector composition uses this source family; fixed2018-height modeled epochs</x:v>
      </x:c>
      <x:c r="W955" s="2" t="str">
        <x:v>https://human-settlement.emergency.copernicus.eu/ghs_buV2023.php</x:v>
      </x:c>
    </x:row>
    <x:row r="956" ht="23" customHeight="1">
      <x:c r="A956" s="2" t="str">
        <x:v>TCD</x:v>
      </x:c>
      <x:c r="B956" s="2" t="str">
        <x:v>Chad (Republic of)</x:v>
      </x:c>
      <x:c r="C956" s="2" t="str">
        <x:v>GHSL_VOLUME</x:v>
      </x:c>
      <x:c r="D956" s="2" t="n">
        <x:v>2015</x:v>
      </x:c>
      <x:c r="E956" s="2" t="n">
        <x:v>2020</x:v>
      </x:c>
      <x:c r="F956" s="17" t="n">
        <x:v>100386445.63678944</x:v>
      </x:c>
      <x:c r="G956" s="17" t="n">
        <x:v>126450494.21999988</x:v>
      </x:c>
      <x:c r="H956" s="17" t="n">
        <x:v>1706803881.5490193</x:v>
      </x:c>
      <x:c r="I956" s="17" t="n">
        <x:v>2012029178.980392</x:v>
      </x:c>
      <x:c r="J956" s="2" t="str">
        <x:v>m3</x:v>
      </x:c>
      <x:c r="K956" s="15" t="n">
        <x:f>IF(AND(ISNUMBER(F956),ISNUMBER(G956),F956&gt;0),G956/F956-1,"n.a.")</x:f>
        <x:v>0.2596371294737676</x:v>
      </x:c>
      <x:c r="L956" s="15" t="n">
        <x:f>IF(AND(N956,ISNUMBER(H956),ISNUMBER(I956),H956&gt;0),I956/H956-1,"n.a.")</x:f>
        <x:v>0.1788285700137755</x:v>
      </x:c>
      <x:c r="M956" s="20" t="n">
        <x:f>IF(AND(ISNUMBER(K956),ISNUMBER(L956)),100*(K956-L956),"n.a.")</x:f>
        <x:v>8.080855945999211</x:v>
      </x:c>
      <x:c r="N956" s="13" t="b">
        <x:v>1</x:v>
      </x:c>
      <x:c r="O956" s="13" t="b">
        <x:v>1</x:v>
      </x:c>
      <x:c r="P956" s="13" t="b">
        <x:v>0</x:v>
      </x:c>
      <x:c r="Q956" s="2" t="str">
        <x:v>qualified_paired_native_source_frame</x:v>
      </x:c>
      <x:c r="R956" s="2" t="str">
        <x:v>qualified_paired_native_source_frame</x:v>
      </x:c>
      <x:c r="S956" s="2" t="str">
        <x:v>modeled_epoch_volume_with_fixed2018_height_and_predominant_use</x:v>
      </x:c>
      <x:c r="T956" s="2" t="str">
        <x:v>modeled_epoch_volume_with_fixed2018_height_and_predominant_use</x:v>
      </x:c>
      <x:c r="U956" s="2" t="str">
        <x:v>GFA growth versus source physical quantity growth; constant conversion required for equality</x:v>
      </x:c>
      <x:c r="V956" s="2" t="str">
        <x:v>Model sector composition uses this source family; fixed2018-height modeled epochs</x:v>
      </x:c>
      <x:c r="W956" s="2" t="str">
        <x:v>https://human-settlement.emergency.copernicus.eu/ghs_buV2023.php</x:v>
      </x:c>
    </x:row>
    <x:row r="957" ht="23" customHeight="1">
      <x:c r="A957" s="2" t="str">
        <x:v>TGO</x:v>
      </x:c>
      <x:c r="B957" s="2" t="str">
        <x:v>Togo (Togolese Republic)</x:v>
      </x:c>
      <x:c r="C957" s="2" t="str">
        <x:v>GHSL_VOLUME</x:v>
      </x:c>
      <x:c r="D957" s="2" t="n">
        <x:v>2015</x:v>
      </x:c>
      <x:c r="E957" s="2" t="n">
        <x:v>2020</x:v>
      </x:c>
      <x:c r="F957" s="17" t="n">
        <x:v>157342554.75317118</x:v>
      </x:c>
      <x:c r="G957" s="17" t="n">
        <x:v>185693532.7300002</x:v>
      </x:c>
      <x:c r="H957" s="17" t="n">
        <x:v>2388249239.4196086</x:v>
      </x:c>
      <x:c r="I957" s="17" t="n">
        <x:v>2629419440.6588235</x:v>
      </x:c>
      <x:c r="J957" s="2" t="str">
        <x:v>m3</x:v>
      </x:c>
      <x:c r="K957" s="15" t="n">
        <x:f>IF(AND(ISNUMBER(F957),ISNUMBER(G957),F957&gt;0),G957/F957-1,"n.a.")</x:f>
        <x:v>0.1801863330699327</x:v>
      </x:c>
      <x:c r="L957" s="15" t="n">
        <x:f>IF(AND(N957,ISNUMBER(H957),ISNUMBER(I957),H957&gt;0),I957/H957-1,"n.a.")</x:f>
        <x:v>0.10098200692731041</x:v>
      </x:c>
      <x:c r="M957" s="20" t="n">
        <x:f>IF(AND(ISNUMBER(K957),ISNUMBER(L957)),100*(K957-L957),"n.a.")</x:f>
        <x:v>7.920432614262229</x:v>
      </x:c>
      <x:c r="N957" s="13" t="b">
        <x:v>1</x:v>
      </x:c>
      <x:c r="O957" s="13" t="b">
        <x:v>1</x:v>
      </x:c>
      <x:c r="P957" s="13" t="b">
        <x:v>0</x:v>
      </x:c>
      <x:c r="Q957" s="2" t="str">
        <x:v>qualified_paired_native_source_frame</x:v>
      </x:c>
      <x:c r="R957" s="2" t="str">
        <x:v>qualified_paired_native_source_frame</x:v>
      </x:c>
      <x:c r="S957" s="2" t="str">
        <x:v>modeled_epoch_volume_with_fixed2018_height_and_predominant_use</x:v>
      </x:c>
      <x:c r="T957" s="2" t="str">
        <x:v>modeled_epoch_volume_with_fixed2018_height_and_predominant_use</x:v>
      </x:c>
      <x:c r="U957" s="2" t="str">
        <x:v>GFA growth versus source physical quantity growth; constant conversion required for equality</x:v>
      </x:c>
      <x:c r="V957" s="2" t="str">
        <x:v>Model sector composition uses this source family; fixed2018-height modeled epochs</x:v>
      </x:c>
      <x:c r="W957" s="2" t="str">
        <x:v>https://human-settlement.emergency.copernicus.eu/ghs_buV2023.php</x:v>
      </x:c>
    </x:row>
    <x:row r="958" ht="23" customHeight="1">
      <x:c r="A958" s="2" t="str">
        <x:v>THA</x:v>
      </x:c>
      <x:c r="B958" s="2" t="str">
        <x:v>Thailand (Kingdom of)</x:v>
      </x:c>
      <x:c r="C958" s="2" t="str">
        <x:v>GHSL_VOLUME</x:v>
      </x:c>
      <x:c r="D958" s="2" t="n">
        <x:v>2015</x:v>
      </x:c>
      <x:c r="E958" s="2" t="n">
        <x:v>2020</x:v>
      </x:c>
      <x:c r="F958" s="17" t="n">
        <x:v>4865280220.416097</x:v>
      </x:c>
      <x:c r="G958" s="17" t="n">
        <x:v>5229846890.149993</x:v>
      </x:c>
      <x:c r="H958" s="17" t="n">
        <x:v>27318953036.839214</x:v>
      </x:c>
      <x:c r="I958" s="17" t="n">
        <x:v>28528264104.050983</x:v>
      </x:c>
      <x:c r="J958" s="2" t="str">
        <x:v>m3</x:v>
      </x:c>
      <x:c r="K958" s="15" t="n">
        <x:f>IF(AND(ISNUMBER(F958),ISNUMBER(G958),F958&gt;0),G958/F958-1,"n.a.")</x:f>
        <x:v>0.07493230671566886</x:v>
      </x:c>
      <x:c r="L958" s="15" t="n">
        <x:f>IF(AND(N958,ISNUMBER(H958),ISNUMBER(I958),H958&gt;0),I958/H958-1,"n.a.")</x:f>
        <x:v>0.044266376737828406</x:v>
      </x:c>
      <x:c r="M958" s="20" t="n">
        <x:f>IF(AND(ISNUMBER(K958),ISNUMBER(L958)),100*(K958-L958),"n.a.")</x:f>
        <x:v>3.0665929977840456</x:v>
      </x:c>
      <x:c r="N958" s="13" t="b">
        <x:v>1</x:v>
      </x:c>
      <x:c r="O958" s="13" t="b">
        <x:v>1</x:v>
      </x:c>
      <x:c r="P958" s="13" t="b">
        <x:v>0</x:v>
      </x:c>
      <x:c r="Q958" s="2" t="str">
        <x:v>qualified_paired_native_source_frame</x:v>
      </x:c>
      <x:c r="R958" s="2" t="str">
        <x:v>qualified_paired_native_source_frame</x:v>
      </x:c>
      <x:c r="S958" s="2" t="str">
        <x:v>modeled_epoch_volume_with_fixed2018_height_and_predominant_use</x:v>
      </x:c>
      <x:c r="T958" s="2" t="str">
        <x:v>modeled_epoch_volume_with_fixed2018_height_and_predominant_use</x:v>
      </x:c>
      <x:c r="U958" s="2" t="str">
        <x:v>GFA growth versus source physical quantity growth; constant conversion required for equality</x:v>
      </x:c>
      <x:c r="V958" s="2" t="str">
        <x:v>Model sector composition uses this source family; fixed2018-height modeled epochs</x:v>
      </x:c>
      <x:c r="W958" s="2" t="str">
        <x:v>https://human-settlement.emergency.copernicus.eu/ghs_buV2023.php</x:v>
      </x:c>
    </x:row>
    <x:row r="959" ht="23" customHeight="1">
      <x:c r="A959" s="2" t="str">
        <x:v>TJK</x:v>
      </x:c>
      <x:c r="B959" s="2" t="str">
        <x:v>Tajikistan (Republic of)</x:v>
      </x:c>
      <x:c r="C959" s="2" t="str">
        <x:v>GHSL_VOLUME</x:v>
      </x:c>
      <x:c r="D959" s="2" t="n">
        <x:v>2015</x:v>
      </x:c>
      <x:c r="E959" s="2" t="n">
        <x:v>2020</x:v>
      </x:c>
      <x:c r="F959" s="17" t="n">
        <x:v>361846922.0538689</x:v>
      </x:c>
      <x:c r="G959" s="17" t="n">
        <x:v>392955797.9200004</x:v>
      </x:c>
      <x:c r="H959" s="17" t="n">
        <x:v>3430294336.384313</x:v>
      </x:c>
      <x:c r="I959" s="17" t="n">
        <x:v>3582743642.435294</x:v>
      </x:c>
      <x:c r="J959" s="2" t="str">
        <x:v>m3</x:v>
      </x:c>
      <x:c r="K959" s="15" t="n">
        <x:f>IF(AND(ISNUMBER(F959),ISNUMBER(G959),F959&gt;0),G959/F959-1,"n.a.")</x:f>
        <x:v>0.08597247612209968</x:v>
      </x:c>
      <x:c r="L959" s="15" t="n">
        <x:f>IF(AND(N959,ISNUMBER(H959),ISNUMBER(I959),H959&gt;0),I959/H959-1,"n.a.")</x:f>
        <x:v>0.044442048145544755</x:v>
      </x:c>
      <x:c r="M959" s="20" t="n">
        <x:f>IF(AND(ISNUMBER(K959),ISNUMBER(L959)),100*(K959-L959),"n.a.")</x:f>
        <x:v>4.153042797655493</x:v>
      </x:c>
      <x:c r="N959" s="13" t="b">
        <x:v>1</x:v>
      </x:c>
      <x:c r="O959" s="13" t="b">
        <x:v>1</x:v>
      </x:c>
      <x:c r="P959" s="13" t="b">
        <x:v>0</x:v>
      </x:c>
      <x:c r="Q959" s="2" t="str">
        <x:v>qualified_paired_native_source_frame</x:v>
      </x:c>
      <x:c r="R959" s="2" t="str">
        <x:v>qualified_paired_native_source_frame</x:v>
      </x:c>
      <x:c r="S959" s="2" t="str">
        <x:v>modeled_epoch_volume_with_fixed2018_height_and_predominant_use</x:v>
      </x:c>
      <x:c r="T959" s="2" t="str">
        <x:v>modeled_epoch_volume_with_fixed2018_height_and_predominant_use</x:v>
      </x:c>
      <x:c r="U959" s="2" t="str">
        <x:v>GFA growth versus source physical quantity growth; constant conversion required for equality</x:v>
      </x:c>
      <x:c r="V959" s="2" t="str">
        <x:v>Model sector composition uses this source family; fixed2018-height modeled epochs</x:v>
      </x:c>
      <x:c r="W959" s="2" t="str">
        <x:v>https://human-settlement.emergency.copernicus.eu/ghs_buV2023.php</x:v>
      </x:c>
    </x:row>
    <x:row r="960" ht="23" customHeight="1">
      <x:c r="A960" s="2" t="str">
        <x:v>TKM</x:v>
      </x:c>
      <x:c r="B960" s="2" t="str">
        <x:v>Turkmenistan</x:v>
      </x:c>
      <x:c r="C960" s="2" t="str">
        <x:v>GHSL_VOLUME</x:v>
      </x:c>
      <x:c r="D960" s="2" t="n">
        <x:v>2015</x:v>
      </x:c>
      <x:c r="E960" s="2" t="n">
        <x:v>2020</x:v>
      </x:c>
      <x:c r="F960" s="17" t="n">
        <x:v>327928169.32018465</x:v>
      </x:c>
      <x:c r="G960" s="17" t="n">
        <x:v>359976676.1500005</x:v>
      </x:c>
      <x:c r="H960" s="17" t="n">
        <x:v>3293865884.8235297</x:v>
      </x:c>
      <x:c r="I960" s="17" t="n">
        <x:v>3518767210.7921567</x:v>
      </x:c>
      <x:c r="J960" s="2" t="str">
        <x:v>m3</x:v>
      </x:c>
      <x:c r="K960" s="15" t="n">
        <x:f>IF(AND(ISNUMBER(F960),ISNUMBER(G960),F960&gt;0),G960/F960-1,"n.a.")</x:f>
        <x:v>0.09773026482065994</x:v>
      </x:c>
      <x:c r="L960" s="15" t="n">
        <x:f>IF(AND(N960,ISNUMBER(H960),ISNUMBER(I960),H960&gt;0),I960/H960-1,"n.a.")</x:f>
        <x:v>0.06827883521452982</x:v>
      </x:c>
      <x:c r="M960" s="20" t="n">
        <x:f>IF(AND(ISNUMBER(K960),ISNUMBER(L960)),100*(K960-L960),"n.a.")</x:f>
        <x:v>2.945142960613012</x:v>
      </x:c>
      <x:c r="N960" s="13" t="b">
        <x:v>1</x:v>
      </x:c>
      <x:c r="O960" s="13" t="b">
        <x:v>1</x:v>
      </x:c>
      <x:c r="P960" s="13" t="b">
        <x:v>0</x:v>
      </x:c>
      <x:c r="Q960" s="2" t="str">
        <x:v>qualified_paired_native_source_frame</x:v>
      </x:c>
      <x:c r="R960" s="2" t="str">
        <x:v>qualified_paired_native_source_frame</x:v>
      </x:c>
      <x:c r="S960" s="2" t="str">
        <x:v>modeled_epoch_volume_with_fixed2018_height_and_predominant_use</x:v>
      </x:c>
      <x:c r="T960" s="2" t="str">
        <x:v>modeled_epoch_volume_with_fixed2018_height_and_predominant_use</x:v>
      </x:c>
      <x:c r="U960" s="2" t="str">
        <x:v>GFA growth versus source physical quantity growth; constant conversion required for equality</x:v>
      </x:c>
      <x:c r="V960" s="2" t="str">
        <x:v>Model sector composition uses this source family; fixed2018-height modeled epochs</x:v>
      </x:c>
      <x:c r="W960" s="2" t="str">
        <x:v>https://human-settlement.emergency.copernicus.eu/ghs_buV2023.php</x:v>
      </x:c>
    </x:row>
    <x:row r="961" ht="23" customHeight="1">
      <x:c r="A961" s="2" t="str">
        <x:v>TLS</x:v>
      </x:c>
      <x:c r="B961" s="2" t="str">
        <x:v>Timor-Leste (Democratic Republic of)</x:v>
      </x:c>
      <x:c r="C961" s="2" t="str">
        <x:v>GHSL_VOLUME</x:v>
      </x:c>
      <x:c r="D961" s="2" t="n">
        <x:v>2015</x:v>
      </x:c>
      <x:c r="E961" s="2" t="n">
        <x:v>2020</x:v>
      </x:c>
      <x:c r="F961" s="17" t="n">
        <x:v>36994624.25613674</x:v>
      </x:c>
      <x:c r="G961" s="17" t="n">
        <x:v>41213693.90000002</x:v>
      </x:c>
      <x:c r="H961" s="17" t="n">
        <x:v>162605375.2470588</x:v>
      </x:c>
      <x:c r="I961" s="17" t="n">
        <x:v>174973392.37254897</x:v>
      </x:c>
      <x:c r="J961" s="2" t="str">
        <x:v>m3</x:v>
      </x:c>
      <x:c r="K961" s="15" t="n">
        <x:f>IF(AND(ISNUMBER(F961),ISNUMBER(G961),F961&gt;0),G961/F961-1,"n.a.")</x:f>
        <x:v>0.11404547900397755</x:v>
      </x:c>
      <x:c r="L961" s="15" t="n">
        <x:f>IF(AND(N961,ISNUMBER(H961),ISNUMBER(I961),H961&gt;0),I961/H961-1,"n.a.")</x:f>
        <x:v>0.07606155151204863</x:v>
      </x:c>
      <x:c r="M961" s="20" t="n">
        <x:f>IF(AND(ISNUMBER(K961),ISNUMBER(L961)),100*(K961-L961),"n.a.")</x:f>
        <x:v>3.7983927491928915</x:v>
      </x:c>
      <x:c r="N961" s="13" t="b">
        <x:v>1</x:v>
      </x:c>
      <x:c r="O961" s="13" t="b">
        <x:v>1</x:v>
      </x:c>
      <x:c r="P961" s="13" t="b">
        <x:v>0</x:v>
      </x:c>
      <x:c r="Q961" s="2" t="str">
        <x:v>qualified_paired_native_source_frame</x:v>
      </x:c>
      <x:c r="R961" s="2" t="str">
        <x:v>qualified_paired_native_source_frame</x:v>
      </x:c>
      <x:c r="S961" s="2" t="str">
        <x:v>modeled_epoch_volume_with_fixed2018_height_and_predominant_use</x:v>
      </x:c>
      <x:c r="T961" s="2" t="str">
        <x:v>modeled_epoch_volume_with_fixed2018_height_and_predominant_use</x:v>
      </x:c>
      <x:c r="U961" s="2" t="str">
        <x:v>GFA growth versus source physical quantity growth; constant conversion required for equality</x:v>
      </x:c>
      <x:c r="V961" s="2" t="str">
        <x:v>Model sector composition uses this source family; fixed2018-height modeled epochs</x:v>
      </x:c>
      <x:c r="W961" s="2" t="str">
        <x:v>https://human-settlement.emergency.copernicus.eu/ghs_buV2023.php</x:v>
      </x:c>
    </x:row>
    <x:row r="962" ht="23" customHeight="1">
      <x:c r="A962" s="2" t="str">
        <x:v>TON</x:v>
      </x:c>
      <x:c r="B962" s="2" t="str">
        <x:v>Tonga (Kingdom of)</x:v>
      </x:c>
      <x:c r="C962" s="2" t="str">
        <x:v>GHSL_VOLUME</x:v>
      </x:c>
      <x:c r="D962" s="2" t="n">
        <x:v>2015</x:v>
      </x:c>
      <x:c r="E962" s="2" t="n">
        <x:v>2020</x:v>
      </x:c>
      <x:c r="F962" s="17" t="n">
        <x:v>4632378.310123438</x:v>
      </x:c>
      <x:c r="G962" s="17" t="n">
        <x:v>4719083.849999997</x:v>
      </x:c>
      <x:c r="H962" s="17" t="n">
        <x:v>22386126.976470586</x:v>
      </x:c>
      <x:c r="I962" s="17" t="n">
        <x:v>22728732.141176466</x:v>
      </x:c>
      <x:c r="J962" s="2" t="str">
        <x:v>m3</x:v>
      </x:c>
      <x:c r="K962" s="15" t="n">
        <x:f>IF(AND(ISNUMBER(F962),ISNUMBER(G962),F962&gt;0),G962/F962-1,"n.a.")</x:f>
        <x:v>0.018717283881386715</x:v>
      </x:c>
      <x:c r="L962" s="15" t="n">
        <x:f>IF(AND(N962,ISNUMBER(H962),ISNUMBER(I962),H962&gt;0),I962/H962-1,"n.a.")</x:f>
        <x:v>0.015304351890167656</x:v>
      </x:c>
      <x:c r="M962" s="20" t="n">
        <x:f>IF(AND(ISNUMBER(K962),ISNUMBER(L962)),100*(K962-L962),"n.a.")</x:f>
        <x:v>0.3412931991219059</x:v>
      </x:c>
      <x:c r="N962" s="13" t="b">
        <x:v>1</x:v>
      </x:c>
      <x:c r="O962" s="13" t="b">
        <x:v>1</x:v>
      </x:c>
      <x:c r="P962" s="13" t="b">
        <x:v>0</x:v>
      </x:c>
      <x:c r="Q962" s="2" t="str">
        <x:v>qualified_paired_native_source_frame</x:v>
      </x:c>
      <x:c r="R962" s="2" t="str">
        <x:v>qualified_paired_native_source_frame</x:v>
      </x:c>
      <x:c r="S962" s="2" t="str">
        <x:v>modeled_epoch_volume_with_fixed2018_height_and_predominant_use</x:v>
      </x:c>
      <x:c r="T962" s="2" t="str">
        <x:v>modeled_epoch_volume_with_fixed2018_height_and_predominant_use</x:v>
      </x:c>
      <x:c r="U962" s="2" t="str">
        <x:v>GFA growth versus source physical quantity growth; constant conversion required for equality</x:v>
      </x:c>
      <x:c r="V962" s="2" t="str">
        <x:v>Model sector composition uses this source family; fixed2018-height modeled epochs</x:v>
      </x:c>
      <x:c r="W962" s="2" t="str">
        <x:v>https://human-settlement.emergency.copernicus.eu/ghs_buV2023.php</x:v>
      </x:c>
    </x:row>
    <x:row r="963" ht="23" customHeight="1">
      <x:c r="A963" s="2" t="str">
        <x:v>TTO</x:v>
      </x:c>
      <x:c r="B963" s="2" t="str">
        <x:v>Trinidad and Tobago (Republic of)</x:v>
      </x:c>
      <x:c r="C963" s="2" t="str">
        <x:v>GHSL_VOLUME</x:v>
      </x:c>
      <x:c r="D963" s="2" t="n">
        <x:v>2015</x:v>
      </x:c>
      <x:c r="E963" s="2" t="n">
        <x:v>2020</x:v>
      </x:c>
      <x:c r="F963" s="17" t="n">
        <x:v>92150385.27447325</x:v>
      </x:c>
      <x:c r="G963" s="17" t="n">
        <x:v>100480869.27000004</x:v>
      </x:c>
      <x:c r="H963" s="17" t="n">
        <x:v>969700618.2078432</x:v>
      </x:c>
      <x:c r="I963" s="17" t="n">
        <x:v>1014233667.5137254</x:v>
      </x:c>
      <x:c r="J963" s="2" t="str">
        <x:v>m3</x:v>
      </x:c>
      <x:c r="K963" s="15" t="n">
        <x:f>IF(AND(ISNUMBER(F963),ISNUMBER(G963),F963&gt;0),G963/F963-1,"n.a.")</x:f>
        <x:v>0.09040096762172123</x:v>
      </x:c>
      <x:c r="L963" s="15" t="n">
        <x:f>IF(AND(N963,ISNUMBER(H963),ISNUMBER(I963),H963&gt;0),I963/H963-1,"n.a.")</x:f>
        <x:v>0.045924534304398135</x:v>
      </x:c>
      <x:c r="M963" s="20" t="n">
        <x:f>IF(AND(ISNUMBER(K963),ISNUMBER(L963)),100*(K963-L963),"n.a.")</x:f>
        <x:v>4.447643331732309</x:v>
      </x:c>
      <x:c r="N963" s="13" t="b">
        <x:v>1</x:v>
      </x:c>
      <x:c r="O963" s="13" t="b">
        <x:v>1</x:v>
      </x:c>
      <x:c r="P963" s="13" t="b">
        <x:v>0</x:v>
      </x:c>
      <x:c r="Q963" s="2" t="str">
        <x:v>qualified_paired_native_source_frame</x:v>
      </x:c>
      <x:c r="R963" s="2" t="str">
        <x:v>qualified_paired_native_source_frame</x:v>
      </x:c>
      <x:c r="S963" s="2" t="str">
        <x:v>modeled_epoch_volume_with_fixed2018_height_and_predominant_use</x:v>
      </x:c>
      <x:c r="T963" s="2" t="str">
        <x:v>modeled_epoch_volume_with_fixed2018_height_and_predominant_use</x:v>
      </x:c>
      <x:c r="U963" s="2" t="str">
        <x:v>GFA growth versus source physical quantity growth; constant conversion required for equality</x:v>
      </x:c>
      <x:c r="V963" s="2" t="str">
        <x:v>Model sector composition uses this source family; fixed2018-height modeled epochs</x:v>
      </x:c>
      <x:c r="W963" s="2" t="str">
        <x:v>https://human-settlement.emergency.copernicus.eu/ghs_buV2023.php</x:v>
      </x:c>
    </x:row>
    <x:row r="964" ht="23" customHeight="1">
      <x:c r="A964" s="2" t="str">
        <x:v>TUN</x:v>
      </x:c>
      <x:c r="B964" s="2" t="str">
        <x:v>Tunisia (Republic of)</x:v>
      </x:c>
      <x:c r="C964" s="2" t="str">
        <x:v>GHSL_VOLUME</x:v>
      </x:c>
      <x:c r="D964" s="2" t="n">
        <x:v>2015</x:v>
      </x:c>
      <x:c r="E964" s="2" t="n">
        <x:v>2020</x:v>
      </x:c>
      <x:c r="F964" s="17" t="n">
        <x:v>613930514.3647048</x:v>
      </x:c>
      <x:c r="G964" s="17" t="n">
        <x:v>649171642.779999</x:v>
      </x:c>
      <x:c r="H964" s="17" t="n">
        <x:v>5246031394.113727</x:v>
      </x:c>
      <x:c r="I964" s="17" t="n">
        <x:v>5481838990.57647</x:v>
      </x:c>
      <x:c r="J964" s="2" t="str">
        <x:v>m3</x:v>
      </x:c>
      <x:c r="K964" s="15" t="n">
        <x:f>IF(AND(ISNUMBER(F964),ISNUMBER(G964),F964&gt;0),G964/F964-1,"n.a.")</x:f>
        <x:v>0.05740247078573968</x:v>
      </x:c>
      <x:c r="L964" s="15" t="n">
        <x:f>IF(AND(N964,ISNUMBER(H964),ISNUMBER(I964),H964&gt;0),I964/H964-1,"n.a.")</x:f>
        <x:v>0.04494971126694547</x:v>
      </x:c>
      <x:c r="M964" s="20" t="n">
        <x:f>IF(AND(ISNUMBER(K964),ISNUMBER(L964)),100*(K964-L964),"n.a.")</x:f>
        <x:v>1.245275951879421</x:v>
      </x:c>
      <x:c r="N964" s="13" t="b">
        <x:v>1</x:v>
      </x:c>
      <x:c r="O964" s="13" t="b">
        <x:v>1</x:v>
      </x:c>
      <x:c r="P964" s="13" t="b">
        <x:v>0</x:v>
      </x:c>
      <x:c r="Q964" s="2" t="str">
        <x:v>qualified_paired_native_source_frame</x:v>
      </x:c>
      <x:c r="R964" s="2" t="str">
        <x:v>qualified_paired_native_source_frame</x:v>
      </x:c>
      <x:c r="S964" s="2" t="str">
        <x:v>modeled_epoch_volume_with_fixed2018_height_and_predominant_use</x:v>
      </x:c>
      <x:c r="T964" s="2" t="str">
        <x:v>modeled_epoch_volume_with_fixed2018_height_and_predominant_use</x:v>
      </x:c>
      <x:c r="U964" s="2" t="str">
        <x:v>GFA growth versus source physical quantity growth; constant conversion required for equality</x:v>
      </x:c>
      <x:c r="V964" s="2" t="str">
        <x:v>Model sector composition uses this source family; fixed2018-height modeled epochs</x:v>
      </x:c>
      <x:c r="W964" s="2" t="str">
        <x:v>https://human-settlement.emergency.copernicus.eu/ghs_buV2023.php</x:v>
      </x:c>
    </x:row>
    <x:row r="965" ht="23" customHeight="1">
      <x:c r="A965" s="2" t="str">
        <x:v>TUR</x:v>
      </x:c>
      <x:c r="B965" s="2" t="str">
        <x:v>Türkiye (Republic of)</x:v>
      </x:c>
      <x:c r="C965" s="2" t="str">
        <x:v>GHSL_VOLUME</x:v>
      </x:c>
      <x:c r="D965" s="2" t="n">
        <x:v>2015</x:v>
      </x:c>
      <x:c r="E965" s="2" t="n">
        <x:v>2020</x:v>
      </x:c>
      <x:c r="F965" s="17" t="n">
        <x:v>3665140556.485112</x:v>
      </x:c>
      <x:c r="G965" s="17" t="n">
        <x:v>3957897873.260005</x:v>
      </x:c>
      <x:c r="H965" s="17" t="n">
        <x:v>20400623645.36863</x:v>
      </x:c>
      <x:c r="I965" s="17" t="n">
        <x:v>21575776805.24706</x:v>
      </x:c>
      <x:c r="J965" s="2" t="str">
        <x:v>m3</x:v>
      </x:c>
      <x:c r="K965" s="15" t="n">
        <x:f>IF(AND(ISNUMBER(F965),ISNUMBER(G965),F965&gt;0),G965/F965-1,"n.a.")</x:f>
        <x:v>0.07987614997653703</x:v>
      </x:c>
      <x:c r="L965" s="15" t="n">
        <x:f>IF(AND(N965,ISNUMBER(H965),ISNUMBER(I965),H965&gt;0),I965/H965-1,"n.a.")</x:f>
        <x:v>0.0576037860560803</x:v>
      </x:c>
      <x:c r="M965" s="20" t="n">
        <x:f>IF(AND(ISNUMBER(K965),ISNUMBER(L965)),100*(K965-L965),"n.a.")</x:f>
        <x:v>2.227236392045673</x:v>
      </x:c>
      <x:c r="N965" s="13" t="b">
        <x:v>1</x:v>
      </x:c>
      <x:c r="O965" s="13" t="b">
        <x:v>1</x:v>
      </x:c>
      <x:c r="P965" s="13" t="b">
        <x:v>0</x:v>
      </x:c>
      <x:c r="Q965" s="2" t="str">
        <x:v>qualified_paired_native_source_frame</x:v>
      </x:c>
      <x:c r="R965" s="2" t="str">
        <x:v>qualified_paired_native_source_frame</x:v>
      </x:c>
      <x:c r="S965" s="2" t="str">
        <x:v>modeled_epoch_volume_with_fixed2018_height_and_predominant_use</x:v>
      </x:c>
      <x:c r="T965" s="2" t="str">
        <x:v>modeled_epoch_volume_with_fixed2018_height_and_predominant_use</x:v>
      </x:c>
      <x:c r="U965" s="2" t="str">
        <x:v>GFA growth versus source physical quantity growth; constant conversion required for equality</x:v>
      </x:c>
      <x:c r="V965" s="2" t="str">
        <x:v>Model sector composition uses this source family; fixed2018-height modeled epochs</x:v>
      </x:c>
      <x:c r="W965" s="2" t="str">
        <x:v>https://human-settlement.emergency.copernicus.eu/ghs_buV2023.php</x:v>
      </x:c>
    </x:row>
    <x:row r="966" ht="23" customHeight="1">
      <x:c r="A966" s="2" t="str">
        <x:v>TUV</x:v>
      </x:c>
      <x:c r="B966" s="2" t="str">
        <x:v>Tuvalu</x:v>
      </x:c>
      <x:c r="C966" s="2" t="str">
        <x:v>GHSL_VOLUME</x:v>
      </x:c>
      <x:c r="D966" s="2" t="n">
        <x:v>2015</x:v>
      </x:c>
      <x:c r="E966" s="2" t="n">
        <x:v>2020</x:v>
      </x:c>
      <x:c r="F966" s="17" t="n">
        <x:v>18938.49476458106</x:v>
      </x:c>
      <x:c r="G966" s="17" t="n">
        <x:v>19394.80999999999</x:v>
      </x:c>
      <x:c r="H966" s="17" t="n">
        <x:v>70166.70196078431</x:v>
      </x:c>
      <x:c r="I966" s="17" t="n">
        <x:v>71460.90980392156</x:v>
      </x:c>
      <x:c r="J966" s="2" t="str">
        <x:v>m3</x:v>
      </x:c>
      <x:c r="K966" s="15" t="n">
        <x:f>IF(AND(ISNUMBER(F966),ISNUMBER(G966),F966&gt;0),G966/F966-1,"n.a.")</x:f>
        <x:v>0.024094588355159763</x:v>
      </x:c>
      <x:c r="L966" s="15" t="str">
        <x:f>IF(AND(N966,ISNUMBER(H966),ISNUMBER(I966),H966&gt;0),I966/H966-1,"n.a.")</x:f>
        <x:v>n.a.</x:v>
      </x:c>
      <x:c r="M966" s="20" t="str">
        <x:f>IF(AND(ISNUMBER(K966),ISNUMBER(L966)),100*(K966-L966),"n.a.")</x:f>
        <x:v>n.a.</x:v>
      </x:c>
      <x:c r="N966" s="13" t="b">
        <x:v>0</x:v>
      </x:c>
      <x:c r="O966" s="13" t="b">
        <x:v>1</x:v>
      </x:c>
      <x:c r="P966" s="13" t="b">
        <x:v>0</x:v>
      </x:c>
      <x:c r="Q966" s="2" t="str">
        <x:v>source_support_or_logical_consistency_failed</x:v>
      </x:c>
      <x:c r="R966" s="2" t="str">
        <x:v>source_support_or_logical_consistency_failed</x:v>
      </x:c>
      <x:c r="S966" s="2" t="str">
        <x:v>modeled_epoch_volume_with_fixed2018_height_and_predominant_use</x:v>
      </x:c>
      <x:c r="T966" s="2" t="str">
        <x:v>modeled_epoch_volume_with_fixed2018_height_and_predominant_use</x:v>
      </x:c>
      <x:c r="U966" s="2" t="str">
        <x:v>GFA growth versus source physical quantity growth; constant conversion required for equality</x:v>
      </x:c>
      <x:c r="V966" s="2" t="str">
        <x:v>Model sector composition uses this source family; fixed2018-height modeled epochs</x:v>
      </x:c>
      <x:c r="W966" s="2" t="str">
        <x:v>https://human-settlement.emergency.copernicus.eu/ghs_buV2023.php</x:v>
      </x:c>
    </x:row>
    <x:row r="967" ht="23" customHeight="1">
      <x:c r="A967" s="2" t="str">
        <x:v>TZA</x:v>
      </x:c>
      <x:c r="B967" s="2" t="str">
        <x:v>Tanzania (United Republic of)</x:v>
      </x:c>
      <x:c r="C967" s="2" t="str">
        <x:v>GHSL_VOLUME</x:v>
      </x:c>
      <x:c r="D967" s="2" t="n">
        <x:v>2015</x:v>
      </x:c>
      <x:c r="E967" s="2" t="n">
        <x:v>2020</x:v>
      </x:c>
      <x:c r="F967" s="17" t="n">
        <x:v>919308974.8738804</x:v>
      </x:c>
      <x:c r="G967" s="17" t="n">
        <x:v>1174486408.8199985</x:v>
      </x:c>
      <x:c r="H967" s="17" t="n">
        <x:v>12048247064.827452</x:v>
      </x:c>
      <x:c r="I967" s="17" t="n">
        <x:v>14330506564.121569</x:v>
      </x:c>
      <x:c r="J967" s="2" t="str">
        <x:v>m3</x:v>
      </x:c>
      <x:c r="K967" s="15" t="n">
        <x:f>IF(AND(ISNUMBER(F967),ISNUMBER(G967),F967&gt;0),G967/F967-1,"n.a.")</x:f>
        <x:v>0.2775752667715725</x:v>
      </x:c>
      <x:c r="L967" s="15" t="n">
        <x:f>IF(AND(N967,ISNUMBER(H967),ISNUMBER(I967),H967&gt;0),I967/H967-1,"n.a.")</x:f>
        <x:v>0.18942668481265934</x:v>
      </x:c>
      <x:c r="M967" s="20" t="n">
        <x:f>IF(AND(ISNUMBER(K967),ISNUMBER(L967)),100*(K967-L967),"n.a.")</x:f>
        <x:v>8.814858195891318</x:v>
      </x:c>
      <x:c r="N967" s="13" t="b">
        <x:v>1</x:v>
      </x:c>
      <x:c r="O967" s="13" t="b">
        <x:v>1</x:v>
      </x:c>
      <x:c r="P967" s="13" t="b">
        <x:v>0</x:v>
      </x:c>
      <x:c r="Q967" s="2" t="str">
        <x:v>qualified_paired_native_source_frame</x:v>
      </x:c>
      <x:c r="R967" s="2" t="str">
        <x:v>qualified_paired_native_source_frame</x:v>
      </x:c>
      <x:c r="S967" s="2" t="str">
        <x:v>modeled_epoch_volume_with_fixed2018_height_and_predominant_use</x:v>
      </x:c>
      <x:c r="T967" s="2" t="str">
        <x:v>modeled_epoch_volume_with_fixed2018_height_and_predominant_use</x:v>
      </x:c>
      <x:c r="U967" s="2" t="str">
        <x:v>GFA growth versus source physical quantity growth; constant conversion required for equality</x:v>
      </x:c>
      <x:c r="V967" s="2" t="str">
        <x:v>Model sector composition uses this source family; fixed2018-height modeled epochs</x:v>
      </x:c>
      <x:c r="W967" s="2" t="str">
        <x:v>https://human-settlement.emergency.copernicus.eu/ghs_buV2023.php</x:v>
      </x:c>
    </x:row>
    <x:row r="968" ht="23" customHeight="1">
      <x:c r="A968" s="2" t="str">
        <x:v>UGA</x:v>
      </x:c>
      <x:c r="B968" s="2" t="str">
        <x:v>Uganda (Republic of)</x:v>
      </x:c>
      <x:c r="C968" s="2" t="str">
        <x:v>GHSL_VOLUME</x:v>
      </x:c>
      <x:c r="D968" s="2" t="n">
        <x:v>2015</x:v>
      </x:c>
      <x:c r="E968" s="2" t="n">
        <x:v>2020</x:v>
      </x:c>
      <x:c r="F968" s="17" t="n">
        <x:v>575984024.6654693</x:v>
      </x:c>
      <x:c r="G968" s="17" t="n">
        <x:v>765891927.1500008</x:v>
      </x:c>
      <x:c r="H968" s="17" t="n">
        <x:v>6327649705.705882</x:v>
      </x:c>
      <x:c r="I968" s="17" t="n">
        <x:v>7961624052.580395</x:v>
      </x:c>
      <x:c r="J968" s="2" t="str">
        <x:v>m3</x:v>
      </x:c>
      <x:c r="K968" s="15" t="n">
        <x:f>IF(AND(ISNUMBER(F968),ISNUMBER(G968),F968&gt;0),G968/F968-1,"n.a.")</x:f>
        <x:v>0.3297103640935697</x:v>
      </x:c>
      <x:c r="L968" s="15" t="n">
        <x:f>IF(AND(N968,ISNUMBER(H968),ISNUMBER(I968),H968&gt;0),I968/H968-1,"n.a.")</x:f>
        <x:v>0.2582276868773403</x:v>
      </x:c>
      <x:c r="M968" s="20" t="n">
        <x:f>IF(AND(ISNUMBER(K968),ISNUMBER(L968)),100*(K968-L968),"n.a.")</x:f>
        <x:v>7.148267721622936</x:v>
      </x:c>
      <x:c r="N968" s="13" t="b">
        <x:v>1</x:v>
      </x:c>
      <x:c r="O968" s="13" t="b">
        <x:v>1</x:v>
      </x:c>
      <x:c r="P968" s="13" t="b">
        <x:v>0</x:v>
      </x:c>
      <x:c r="Q968" s="2" t="str">
        <x:v>qualified_paired_native_source_frame</x:v>
      </x:c>
      <x:c r="R968" s="2" t="str">
        <x:v>qualified_paired_native_source_frame</x:v>
      </x:c>
      <x:c r="S968" s="2" t="str">
        <x:v>modeled_epoch_volume_with_fixed2018_height_and_predominant_use</x:v>
      </x:c>
      <x:c r="T968" s="2" t="str">
        <x:v>modeled_epoch_volume_with_fixed2018_height_and_predominant_use</x:v>
      </x:c>
      <x:c r="U968" s="2" t="str">
        <x:v>GFA growth versus source physical quantity growth; constant conversion required for equality</x:v>
      </x:c>
      <x:c r="V968" s="2" t="str">
        <x:v>Model sector composition uses this source family; fixed2018-height modeled epochs</x:v>
      </x:c>
      <x:c r="W968" s="2" t="str">
        <x:v>https://human-settlement.emergency.copernicus.eu/ghs_buV2023.php</x:v>
      </x:c>
    </x:row>
    <x:row r="969" ht="23" customHeight="1">
      <x:c r="A969" s="2" t="str">
        <x:v>UKR</x:v>
      </x:c>
      <x:c r="B969" s="2" t="str">
        <x:v>Ukraine</x:v>
      </x:c>
      <x:c r="C969" s="2" t="str">
        <x:v>GHSL_VOLUME</x:v>
      </x:c>
      <x:c r="D969" s="2" t="n">
        <x:v>2015</x:v>
      </x:c>
      <x:c r="E969" s="2" t="n">
        <x:v>2020</x:v>
      </x:c>
      <x:c r="F969" s="17" t="n">
        <x:v>2687631859.9002776</x:v>
      </x:c>
      <x:c r="G969" s="17" t="n">
        <x:v>2808807029.8199997</x:v>
      </x:c>
      <x:c r="H969" s="17" t="n">
        <x:v>21265412501.568623</x:v>
      </x:c>
      <x:c r="I969" s="17" t="n">
        <x:v>21935793705.47843</x:v>
      </x:c>
      <x:c r="J969" s="2" t="str">
        <x:v>m3</x:v>
      </x:c>
      <x:c r="K969" s="15" t="n">
        <x:f>IF(AND(ISNUMBER(F969),ISNUMBER(G969),F969&gt;0),G969/F969-1,"n.a.")</x:f>
        <x:v>0.045086223201796116</x:v>
      </x:c>
      <x:c r="L969" s="15" t="n">
        <x:f>IF(AND(N969,ISNUMBER(H969),ISNUMBER(I969),H969&gt;0),I969/H969-1,"n.a.")</x:f>
        <x:v>0.03152448624546356</x:v>
      </x:c>
      <x:c r="M969" s="20" t="n">
        <x:f>IF(AND(ISNUMBER(K969),ISNUMBER(L969)),100*(K969-L969),"n.a.")</x:f>
        <x:v>1.356173695633256</x:v>
      </x:c>
      <x:c r="N969" s="13" t="b">
        <x:v>1</x:v>
      </x:c>
      <x:c r="O969" s="13" t="b">
        <x:v>1</x:v>
      </x:c>
      <x:c r="P969" s="13" t="b">
        <x:v>0</x:v>
      </x:c>
      <x:c r="Q969" s="2" t="str">
        <x:v>qualified_paired_native_source_frame</x:v>
      </x:c>
      <x:c r="R969" s="2" t="str">
        <x:v>qualified_paired_native_source_frame</x:v>
      </x:c>
      <x:c r="S969" s="2" t="str">
        <x:v>modeled_epoch_volume_with_fixed2018_height_and_predominant_use</x:v>
      </x:c>
      <x:c r="T969" s="2" t="str">
        <x:v>modeled_epoch_volume_with_fixed2018_height_and_predominant_use</x:v>
      </x:c>
      <x:c r="U969" s="2" t="str">
        <x:v>GFA growth versus source physical quantity growth; constant conversion required for equality</x:v>
      </x:c>
      <x:c r="V969" s="2" t="str">
        <x:v>Model sector composition uses this source family; fixed2018-height modeled epochs</x:v>
      </x:c>
      <x:c r="W969" s="2" t="str">
        <x:v>https://human-settlement.emergency.copernicus.eu/ghs_buV2023.php</x:v>
      </x:c>
    </x:row>
    <x:row r="970" ht="23" customHeight="1">
      <x:c r="A970" s="2" t="str">
        <x:v>URY</x:v>
      </x:c>
      <x:c r="B970" s="2" t="str">
        <x:v>Uruguay (Oriental Republic of)</x:v>
      </x:c>
      <x:c r="C970" s="2" t="str">
        <x:v>GHSL_VOLUME</x:v>
      </x:c>
      <x:c r="D970" s="2" t="n">
        <x:v>2015</x:v>
      </x:c>
      <x:c r="E970" s="2" t="n">
        <x:v>2020</x:v>
      </x:c>
      <x:c r="F970" s="17" t="n">
        <x:v>201359785.87738177</x:v>
      </x:c>
      <x:c r="G970" s="17" t="n">
        <x:v>209727833.2899997</x:v>
      </x:c>
      <x:c r="H970" s="17" t="n">
        <x:v>2135430994.5764704</x:v>
      </x:c>
      <x:c r="I970" s="17" t="n">
        <x:v>2195551911.1372547</x:v>
      </x:c>
      <x:c r="J970" s="2" t="str">
        <x:v>m3</x:v>
      </x:c>
      <x:c r="K970" s="15" t="n">
        <x:f>IF(AND(ISNUMBER(F970),ISNUMBER(G970),F970&gt;0),G970/F970-1,"n.a.")</x:f>
        <x:v>0.041557689268271636</x:v>
      </x:c>
      <x:c r="L970" s="15" t="n">
        <x:f>IF(AND(N970,ISNUMBER(H970),ISNUMBER(I970),H970&gt;0),I970/H970-1,"n.a.")</x:f>
        <x:v>0.02815399641265781</x:v>
      </x:c>
      <x:c r="M970" s="20" t="n">
        <x:f>IF(AND(ISNUMBER(K970),ISNUMBER(L970)),100*(K970-L970),"n.a.")</x:f>
        <x:v>1.3403692855613825</x:v>
      </x:c>
      <x:c r="N970" s="13" t="b">
        <x:v>1</x:v>
      </x:c>
      <x:c r="O970" s="13" t="b">
        <x:v>1</x:v>
      </x:c>
      <x:c r="P970" s="13" t="b">
        <x:v>0</x:v>
      </x:c>
      <x:c r="Q970" s="2" t="str">
        <x:v>qualified_paired_native_source_frame</x:v>
      </x:c>
      <x:c r="R970" s="2" t="str">
        <x:v>qualified_paired_native_source_frame</x:v>
      </x:c>
      <x:c r="S970" s="2" t="str">
        <x:v>modeled_epoch_volume_with_fixed2018_height_and_predominant_use</x:v>
      </x:c>
      <x:c r="T970" s="2" t="str">
        <x:v>modeled_epoch_volume_with_fixed2018_height_and_predominant_use</x:v>
      </x:c>
      <x:c r="U970" s="2" t="str">
        <x:v>GFA growth versus source physical quantity growth; constant conversion required for equality</x:v>
      </x:c>
      <x:c r="V970" s="2" t="str">
        <x:v>Model sector composition uses this source family; fixed2018-height modeled epochs</x:v>
      </x:c>
      <x:c r="W970" s="2" t="str">
        <x:v>https://human-settlement.emergency.copernicus.eu/ghs_buV2023.php</x:v>
      </x:c>
    </x:row>
    <x:row r="971" ht="23" customHeight="1">
      <x:c r="A971" s="2" t="str">
        <x:v>USA</x:v>
      </x:c>
      <x:c r="B971" s="2" t="str">
        <x:v>United States of America</x:v>
      </x:c>
      <x:c r="C971" s="2" t="str">
        <x:v>GHSL_VOLUME</x:v>
      </x:c>
      <x:c r="D971" s="2" t="n">
        <x:v>2015</x:v>
      </x:c>
      <x:c r="E971" s="2" t="n">
        <x:v>2020</x:v>
      </x:c>
      <x:c r="F971" s="17" t="n">
        <x:v>34465397434.22212</x:v>
      </x:c>
      <x:c r="G971" s="17" t="n">
        <x:v>35932980078.68004</x:v>
      </x:c>
      <x:c r="H971" s="17" t="n">
        <x:v>319455889029.749</x:v>
      </x:c>
      <x:c r="I971" s="17" t="n">
        <x:v>328431959761.06274</x:v>
      </x:c>
      <x:c r="J971" s="2" t="str">
        <x:v>m3</x:v>
      </x:c>
      <x:c r="K971" s="15" t="n">
        <x:f>IF(AND(ISNUMBER(F971),ISNUMBER(G971),F971&gt;0),G971/F971-1,"n.a.")</x:f>
        <x:v>0.042581335301843826</x:v>
      </x:c>
      <x:c r="L971" s="15" t="str">
        <x:f>IF(AND(N971,ISNUMBER(H971),ISNUMBER(I971),H971&gt;0),I971/H971-1,"n.a.")</x:f>
        <x:v>n.a.</x:v>
      </x:c>
      <x:c r="M971" s="20" t="str">
        <x:f>IF(AND(ISNUMBER(K971),ISNUMBER(L971)),100*(K971-L971),"n.a.")</x:f>
        <x:v>n.a.</x:v>
      </x:c>
      <x:c r="N971" s="13" t="b">
        <x:v>0</x:v>
      </x:c>
      <x:c r="O971" s="13" t="b">
        <x:v>1</x:v>
      </x:c>
      <x:c r="P971" s="13" t="b">
        <x:v>0</x:v>
      </x:c>
      <x:c r="Q971" s="2" t="str">
        <x:v>source_support_or_logical_consistency_failed</x:v>
      </x:c>
      <x:c r="R971" s="2" t="str">
        <x:v>source_support_or_logical_consistency_failed</x:v>
      </x:c>
      <x:c r="S971" s="2" t="str">
        <x:v>modeled_epoch_volume_with_fixed2018_height_and_predominant_use</x:v>
      </x:c>
      <x:c r="T971" s="2" t="str">
        <x:v>modeled_epoch_volume_with_fixed2018_height_and_predominant_use</x:v>
      </x:c>
      <x:c r="U971" s="2" t="str">
        <x:v>GFA growth versus source physical quantity growth; constant conversion required for equality</x:v>
      </x:c>
      <x:c r="V971" s="2" t="str">
        <x:v>Model sector composition uses this source family; fixed2018-height modeled epochs</x:v>
      </x:c>
      <x:c r="W971" s="2" t="str">
        <x:v>https://human-settlement.emergency.copernicus.eu/ghs_buV2023.php</x:v>
      </x:c>
    </x:row>
    <x:row r="972" ht="23" customHeight="1">
      <x:c r="A972" s="2" t="str">
        <x:v>UZB</x:v>
      </x:c>
      <x:c r="B972" s="2" t="str">
        <x:v>Uzbekistan (Republic of)</x:v>
      </x:c>
      <x:c r="C972" s="2" t="str">
        <x:v>GHSL_VOLUME</x:v>
      </x:c>
      <x:c r="D972" s="2" t="n">
        <x:v>2015</x:v>
      </x:c>
      <x:c r="E972" s="2" t="n">
        <x:v>2020</x:v>
      </x:c>
      <x:c r="F972" s="17" t="n">
        <x:v>1826840510.7491636</x:v>
      </x:c>
      <x:c r="G972" s="17" t="n">
        <x:v>1997042653.6300015</x:v>
      </x:c>
      <x:c r="H972" s="17" t="n">
        <x:v>18264849777.474514</x:v>
      </x:c>
      <x:c r="I972" s="17" t="n">
        <x:v>19303676225.713726</x:v>
      </x:c>
      <x:c r="J972" s="2" t="str">
        <x:v>m3</x:v>
      </x:c>
      <x:c r="K972" s="15" t="n">
        <x:f>IF(AND(ISNUMBER(F972),ISNUMBER(G972),F972&gt;0),G972/F972-1,"n.a.")</x:f>
        <x:v>0.09316748883077941</x:v>
      </x:c>
      <x:c r="L972" s="15" t="n">
        <x:f>IF(AND(N972,ISNUMBER(H972),ISNUMBER(I972),H972&gt;0),I972/H972-1,"n.a.")</x:f>
        <x:v>0.05687571816333059</x:v>
      </x:c>
      <x:c r="M972" s="20" t="n">
        <x:f>IF(AND(ISNUMBER(K972),ISNUMBER(L972)),100*(K972-L972),"n.a.")</x:f>
        <x:v>3.629177066744882</x:v>
      </x:c>
      <x:c r="N972" s="13" t="b">
        <x:v>1</x:v>
      </x:c>
      <x:c r="O972" s="13" t="b">
        <x:v>1</x:v>
      </x:c>
      <x:c r="P972" s="13" t="b">
        <x:v>0</x:v>
      </x:c>
      <x:c r="Q972" s="2" t="str">
        <x:v>qualified_paired_native_source_frame</x:v>
      </x:c>
      <x:c r="R972" s="2" t="str">
        <x:v>qualified_paired_native_source_frame</x:v>
      </x:c>
      <x:c r="S972" s="2" t="str">
        <x:v>modeled_epoch_volume_with_fixed2018_height_and_predominant_use</x:v>
      </x:c>
      <x:c r="T972" s="2" t="str">
        <x:v>modeled_epoch_volume_with_fixed2018_height_and_predominant_use</x:v>
      </x:c>
      <x:c r="U972" s="2" t="str">
        <x:v>GFA growth versus source physical quantity growth; constant conversion required for equality</x:v>
      </x:c>
      <x:c r="V972" s="2" t="str">
        <x:v>Model sector composition uses this source family; fixed2018-height modeled epochs</x:v>
      </x:c>
      <x:c r="W972" s="2" t="str">
        <x:v>https://human-settlement.emergency.copernicus.eu/ghs_buV2023.php</x:v>
      </x:c>
    </x:row>
    <x:row r="973" ht="23" customHeight="1">
      <x:c r="A973" s="2" t="str">
        <x:v>VAT</x:v>
      </x:c>
      <x:c r="B973" s="2" t="str">
        <x:v>Holy See (State of the Vatican City)</x:v>
      </x:c>
      <x:c r="C973" s="2" t="str">
        <x:v>GHSL_VOLUME</x:v>
      </x:c>
      <x:c r="D973" s="2" t="n">
        <x:v>2015</x:v>
      </x:c>
      <x:c r="E973" s="2" t="n">
        <x:v>2020</x:v>
      </x:c>
      <x:c r="F973" s="17" t="n">
        <x:v>318151.8700189071</x:v>
      </x:c>
      <x:c r="G973" s="17" t="n">
        <x:v>318924.24</x:v>
      </x:c>
      <x:c r="H973" s="17" t="n">
        <x:v>2138840.1294117654</x:v>
      </x:c>
      <x:c r="I973" s="17" t="n">
        <x:v>2146743.878431373</x:v>
      </x:c>
      <x:c r="J973" s="2" t="str">
        <x:v>m3</x:v>
      </x:c>
      <x:c r="K973" s="15" t="n">
        <x:f>IF(AND(ISNUMBER(F973),ISNUMBER(G973),F973&gt;0),G973/F973-1,"n.a.")</x:f>
        <x:v>0.002427677011758389</x:v>
      </x:c>
      <x:c r="L973" s="15" t="n">
        <x:f>IF(AND(N973,ISNUMBER(H973),ISNUMBER(I973),H973&gt;0),I973/H973-1,"n.a.")</x:f>
        <x:v>0.003695343523305361</x:v>
      </x:c>
      <x:c r="M973" s="20" t="n">
        <x:f>IF(AND(ISNUMBER(K973),ISNUMBER(L973)),100*(K973-L973),"n.a.")</x:f>
        <x:v>-0.1267666511546972</x:v>
      </x:c>
      <x:c r="N973" s="13" t="b">
        <x:v>1</x:v>
      </x:c>
      <x:c r="O973" s="13" t="b">
        <x:v>1</x:v>
      </x:c>
      <x:c r="P973" s="13" t="b">
        <x:v>0</x:v>
      </x:c>
      <x:c r="Q973" s="2" t="str">
        <x:v>qualified_paired_native_source_frame</x:v>
      </x:c>
      <x:c r="R973" s="2" t="str">
        <x:v>qualified_paired_native_source_frame</x:v>
      </x:c>
      <x:c r="S973" s="2" t="str">
        <x:v>modeled_epoch_volume_with_fixed2018_height_and_predominant_use</x:v>
      </x:c>
      <x:c r="T973" s="2" t="str">
        <x:v>modeled_epoch_volume_with_fixed2018_height_and_predominant_use</x:v>
      </x:c>
      <x:c r="U973" s="2" t="str">
        <x:v>GFA growth versus source physical quantity growth; constant conversion required for equality</x:v>
      </x:c>
      <x:c r="V973" s="2" t="str">
        <x:v>Model sector composition uses this source family; fixed2018-height modeled epochs</x:v>
      </x:c>
      <x:c r="W973" s="2" t="str">
        <x:v>https://human-settlement.emergency.copernicus.eu/ghs_buV2023.php</x:v>
      </x:c>
    </x:row>
    <x:row r="974" ht="23" customHeight="1">
      <x:c r="A974" s="2" t="str">
        <x:v>VCT</x:v>
      </x:c>
      <x:c r="B974" s="2" t="str">
        <x:v>Saint Vincent and the Grenadines</x:v>
      </x:c>
      <x:c r="C974" s="2" t="str">
        <x:v>GHSL_VOLUME</x:v>
      </x:c>
      <x:c r="D974" s="2" t="n">
        <x:v>2015</x:v>
      </x:c>
      <x:c r="E974" s="2" t="n">
        <x:v>2020</x:v>
      </x:c>
      <x:c r="F974" s="17" t="n">
        <x:v>5437525.574394897</x:v>
      </x:c>
      <x:c r="G974" s="17" t="n">
        <x:v>6194383.570000002</x:v>
      </x:c>
      <x:c r="H974" s="17" t="n">
        <x:v>47316748.15686274</x:v>
      </x:c>
      <x:c r="I974" s="17" t="n">
        <x:v>51878321.83137253</x:v>
      </x:c>
      <x:c r="J974" s="2" t="str">
        <x:v>m3</x:v>
      </x:c>
      <x:c r="K974" s="15" t="n">
        <x:f>IF(AND(ISNUMBER(F974),ISNUMBER(G974),F974&gt;0),G974/F974-1,"n.a.")</x:f>
        <x:v>0.13919162038871535</x:v>
      </x:c>
      <x:c r="L974" s="15" t="n">
        <x:f>IF(AND(N974,ISNUMBER(H974),ISNUMBER(I974),H974&gt;0),I974/H974-1,"n.a.")</x:f>
        <x:v>0.09640505428199386</x:v>
      </x:c>
      <x:c r="M974" s="20" t="n">
        <x:f>IF(AND(ISNUMBER(K974),ISNUMBER(L974)),100*(K974-L974),"n.a.")</x:f>
        <x:v>4.278656610672149</x:v>
      </x:c>
      <x:c r="N974" s="13" t="b">
        <x:v>1</x:v>
      </x:c>
      <x:c r="O974" s="13" t="b">
        <x:v>1</x:v>
      </x:c>
      <x:c r="P974" s="13" t="b">
        <x:v>0</x:v>
      </x:c>
      <x:c r="Q974" s="2" t="str">
        <x:v>qualified_paired_native_source_frame</x:v>
      </x:c>
      <x:c r="R974" s="2" t="str">
        <x:v>qualified_paired_native_source_frame</x:v>
      </x:c>
      <x:c r="S974" s="2" t="str">
        <x:v>modeled_epoch_volume_with_fixed2018_height_and_predominant_use</x:v>
      </x:c>
      <x:c r="T974" s="2" t="str">
        <x:v>modeled_epoch_volume_with_fixed2018_height_and_predominant_use</x:v>
      </x:c>
      <x:c r="U974" s="2" t="str">
        <x:v>GFA growth versus source physical quantity growth; constant conversion required for equality</x:v>
      </x:c>
      <x:c r="V974" s="2" t="str">
        <x:v>Model sector composition uses this source family; fixed2018-height modeled epochs</x:v>
      </x:c>
      <x:c r="W974" s="2" t="str">
        <x:v>https://human-settlement.emergency.copernicus.eu/ghs_buV2023.php</x:v>
      </x:c>
    </x:row>
    <x:row r="975" ht="23" customHeight="1">
      <x:c r="A975" s="2" t="str">
        <x:v>VEN</x:v>
      </x:c>
      <x:c r="B975" s="2" t="str">
        <x:v>Venezuela (Bolivarian Republic of)</x:v>
      </x:c>
      <x:c r="C975" s="2" t="str">
        <x:v>GHSL_VOLUME</x:v>
      </x:c>
      <x:c r="D975" s="2" t="n">
        <x:v>2015</x:v>
      </x:c>
      <x:c r="E975" s="2" t="n">
        <x:v>2020</x:v>
      </x:c>
      <x:c r="F975" s="17" t="n">
        <x:v>1114583415.3745449</x:v>
      </x:c>
      <x:c r="G975" s="17" t="n">
        <x:v>1159546607.6500015</x:v>
      </x:c>
      <x:c r="H975" s="17" t="n">
        <x:v>10150859273.568626</x:v>
      </x:c>
      <x:c r="I975" s="17" t="n">
        <x:v>10470250451.4549</x:v>
      </x:c>
      <x:c r="J975" s="2" t="str">
        <x:v>m3</x:v>
      </x:c>
      <x:c r="K975" s="15" t="n">
        <x:f>IF(AND(ISNUMBER(F975),ISNUMBER(G975),F975&gt;0),G975/F975-1,"n.a.")</x:f>
        <x:v>0.04034080505347126</x:v>
      </x:c>
      <x:c r="L975" s="15" t="n">
        <x:f>IF(AND(N975,ISNUMBER(H975),ISNUMBER(I975),H975&gt;0),I975/H975-1,"n.a.")</x:f>
        <x:v>0.03146444742051768</x:v>
      </x:c>
      <x:c r="M975" s="20" t="n">
        <x:f>IF(AND(ISNUMBER(K975),ISNUMBER(L975)),100*(K975-L975),"n.a.")</x:f>
        <x:v>0.887635763295358</x:v>
      </x:c>
      <x:c r="N975" s="13" t="b">
        <x:v>1</x:v>
      </x:c>
      <x:c r="O975" s="13" t="b">
        <x:v>1</x:v>
      </x:c>
      <x:c r="P975" s="13" t="b">
        <x:v>0</x:v>
      </x:c>
      <x:c r="Q975" s="2" t="str">
        <x:v>qualified_paired_native_source_frame</x:v>
      </x:c>
      <x:c r="R975" s="2" t="str">
        <x:v>qualified_paired_native_source_frame</x:v>
      </x:c>
      <x:c r="S975" s="2" t="str">
        <x:v>modeled_epoch_volume_with_fixed2018_height_and_predominant_use</x:v>
      </x:c>
      <x:c r="T975" s="2" t="str">
        <x:v>modeled_epoch_volume_with_fixed2018_height_and_predominant_use</x:v>
      </x:c>
      <x:c r="U975" s="2" t="str">
        <x:v>GFA growth versus source physical quantity growth; constant conversion required for equality</x:v>
      </x:c>
      <x:c r="V975" s="2" t="str">
        <x:v>Model sector composition uses this source family; fixed2018-height modeled epochs</x:v>
      </x:c>
      <x:c r="W975" s="2" t="str">
        <x:v>https://human-settlement.emergency.copernicus.eu/ghs_buV2023.php</x:v>
      </x:c>
    </x:row>
    <x:row r="976" ht="23" customHeight="1">
      <x:c r="A976" s="2" t="str">
        <x:v>VNM</x:v>
      </x:c>
      <x:c r="B976" s="2" t="str">
        <x:v>Viet Nam (Socialist Republic of)</x:v>
      </x:c>
      <x:c r="C976" s="2" t="str">
        <x:v>GHSL_VOLUME</x:v>
      </x:c>
      <x:c r="D976" s="2" t="n">
        <x:v>2015</x:v>
      </x:c>
      <x:c r="E976" s="2" t="n">
        <x:v>2020</x:v>
      </x:c>
      <x:c r="F976" s="17" t="n">
        <x:v>4452886125.717495</x:v>
      </x:c>
      <x:c r="G976" s="17" t="n">
        <x:v>4861867508.520002</x:v>
      </x:c>
      <x:c r="H976" s="17" t="n">
        <x:v>20862458459.188236</x:v>
      </x:c>
      <x:c r="I976" s="17" t="n">
        <x:v>22045374036.254898</x:v>
      </x:c>
      <x:c r="J976" s="2" t="str">
        <x:v>m3</x:v>
      </x:c>
      <x:c r="K976" s="15" t="n">
        <x:f>IF(AND(ISNUMBER(F976),ISNUMBER(G976),F976&gt;0),G976/F976-1,"n.a.")</x:f>
        <x:v>0.09184636014841008</x:v>
      </x:c>
      <x:c r="L976" s="15" t="n">
        <x:f>IF(AND(N976,ISNUMBER(H976),ISNUMBER(I976),H976&gt;0),I976/H976-1,"n.a.")</x:f>
        <x:v>0.05670067980629967</x:v>
      </x:c>
      <x:c r="M976" s="20" t="n">
        <x:f>IF(AND(ISNUMBER(K976),ISNUMBER(L976)),100*(K976-L976),"n.a.")</x:f>
        <x:v>3.514568034211041</x:v>
      </x:c>
      <x:c r="N976" s="13" t="b">
        <x:v>1</x:v>
      </x:c>
      <x:c r="O976" s="13" t="b">
        <x:v>1</x:v>
      </x:c>
      <x:c r="P976" s="13" t="b">
        <x:v>0</x:v>
      </x:c>
      <x:c r="Q976" s="2" t="str">
        <x:v>qualified_paired_native_source_frame</x:v>
      </x:c>
      <x:c r="R976" s="2" t="str">
        <x:v>qualified_paired_native_source_frame</x:v>
      </x:c>
      <x:c r="S976" s="2" t="str">
        <x:v>modeled_epoch_volume_with_fixed2018_height_and_predominant_use</x:v>
      </x:c>
      <x:c r="T976" s="2" t="str">
        <x:v>modeled_epoch_volume_with_fixed2018_height_and_predominant_use</x:v>
      </x:c>
      <x:c r="U976" s="2" t="str">
        <x:v>GFA growth versus source physical quantity growth; constant conversion required for equality</x:v>
      </x:c>
      <x:c r="V976" s="2" t="str">
        <x:v>Model sector composition uses this source family; fixed2018-height modeled epochs</x:v>
      </x:c>
      <x:c r="W976" s="2" t="str">
        <x:v>https://human-settlement.emergency.copernicus.eu/ghs_buV2023.php</x:v>
      </x:c>
    </x:row>
    <x:row r="977" ht="23" customHeight="1">
      <x:c r="A977" s="2" t="str">
        <x:v>VUT</x:v>
      </x:c>
      <x:c r="B977" s="2" t="str">
        <x:v>Vanuatu (Republic of)</x:v>
      </x:c>
      <x:c r="C977" s="2" t="str">
        <x:v>GHSL_VOLUME</x:v>
      </x:c>
      <x:c r="D977" s="2" t="n">
        <x:v>2015</x:v>
      </x:c>
      <x:c r="E977" s="2" t="n">
        <x:v>2020</x:v>
      </x:c>
      <x:c r="F977" s="17" t="n">
        <x:v>7978040.337147347</x:v>
      </x:c>
      <x:c r="G977" s="17" t="n">
        <x:v>8193524.700000004</x:v>
      </x:c>
      <x:c r="H977" s="17" t="n">
        <x:v>46348245.47058823</x:v>
      </x:c>
      <x:c r="I977" s="17" t="n">
        <x:v>47115855.02352942</x:v>
      </x:c>
      <x:c r="J977" s="2" t="str">
        <x:v>m3</x:v>
      </x:c>
      <x:c r="K977" s="15" t="n">
        <x:f>IF(AND(ISNUMBER(F977),ISNUMBER(G977),F977&gt;0),G977/F977-1,"n.a.")</x:f>
        <x:v>0.027009685805838624</x:v>
      </x:c>
      <x:c r="L977" s="15" t="n">
        <x:f>IF(AND(N977,ISNUMBER(H977),ISNUMBER(I977),H977&gt;0),I977/H977-1,"n.a.")</x:f>
        <x:v>0.016561782331723895</x:v>
      </x:c>
      <x:c r="M977" s="20" t="n">
        <x:f>IF(AND(ISNUMBER(K977),ISNUMBER(L977)),100*(K977-L977),"n.a.")</x:f>
        <x:v>1.0447903474114728</x:v>
      </x:c>
      <x:c r="N977" s="13" t="b">
        <x:v>1</x:v>
      </x:c>
      <x:c r="O977" s="13" t="b">
        <x:v>1</x:v>
      </x:c>
      <x:c r="P977" s="13" t="b">
        <x:v>0</x:v>
      </x:c>
      <x:c r="Q977" s="2" t="str">
        <x:v>qualified_paired_native_source_frame</x:v>
      </x:c>
      <x:c r="R977" s="2" t="str">
        <x:v>qualified_paired_native_source_frame</x:v>
      </x:c>
      <x:c r="S977" s="2" t="str">
        <x:v>modeled_epoch_volume_with_fixed2018_height_and_predominant_use</x:v>
      </x:c>
      <x:c r="T977" s="2" t="str">
        <x:v>modeled_epoch_volume_with_fixed2018_height_and_predominant_use</x:v>
      </x:c>
      <x:c r="U977" s="2" t="str">
        <x:v>GFA growth versus source physical quantity growth; constant conversion required for equality</x:v>
      </x:c>
      <x:c r="V977" s="2" t="str">
        <x:v>Model sector composition uses this source family; fixed2018-height modeled epochs</x:v>
      </x:c>
      <x:c r="W977" s="2" t="str">
        <x:v>https://human-settlement.emergency.copernicus.eu/ghs_buV2023.php</x:v>
      </x:c>
    </x:row>
    <x:row r="978" ht="23" customHeight="1">
      <x:c r="A978" s="2" t="str">
        <x:v>WSM</x:v>
      </x:c>
      <x:c r="B978" s="2" t="str">
        <x:v>Samoa (Independent State of)</x:v>
      </x:c>
      <x:c r="C978" s="2" t="str">
        <x:v>GHSL_VOLUME</x:v>
      </x:c>
      <x:c r="D978" s="2" t="n">
        <x:v>2015</x:v>
      </x:c>
      <x:c r="E978" s="2" t="n">
        <x:v>2020</x:v>
      </x:c>
      <x:c r="F978" s="17" t="n">
        <x:v>7908634.666206749</x:v>
      </x:c>
      <x:c r="G978" s="17" t="n">
        <x:v>8105266.000000001</x:v>
      </x:c>
      <x:c r="H978" s="17" t="n">
        <x:v>41396278.019607835</x:v>
      </x:c>
      <x:c r="I978" s="17" t="n">
        <x:v>42099494.21568628</x:v>
      </x:c>
      <x:c r="J978" s="2" t="str">
        <x:v>m3</x:v>
      </x:c>
      <x:c r="K978" s="15" t="n">
        <x:f>IF(AND(ISNUMBER(F978),ISNUMBER(G978),F978&gt;0),G978/F978-1,"n.a.")</x:f>
        <x:v>0.02486286724476594</x:v>
      </x:c>
      <x:c r="L978" s="15" t="n">
        <x:f>IF(AND(N978,ISNUMBER(H978),ISNUMBER(I978),H978&gt;0),I978/H978-1,"n.a.")</x:f>
        <x:v>0.016987425674968915</x:v>
      </x:c>
      <x:c r="M978" s="20" t="n">
        <x:f>IF(AND(ISNUMBER(K978),ISNUMBER(L978)),100*(K978-L978),"n.a.")</x:f>
        <x:v>0.7875441569797026</x:v>
      </x:c>
      <x:c r="N978" s="13" t="b">
        <x:v>1</x:v>
      </x:c>
      <x:c r="O978" s="13" t="b">
        <x:v>1</x:v>
      </x:c>
      <x:c r="P978" s="13" t="b">
        <x:v>0</x:v>
      </x:c>
      <x:c r="Q978" s="2" t="str">
        <x:v>qualified_paired_native_source_frame</x:v>
      </x:c>
      <x:c r="R978" s="2" t="str">
        <x:v>qualified_paired_native_source_frame</x:v>
      </x:c>
      <x:c r="S978" s="2" t="str">
        <x:v>modeled_epoch_volume_with_fixed2018_height_and_predominant_use</x:v>
      </x:c>
      <x:c r="T978" s="2" t="str">
        <x:v>modeled_epoch_volume_with_fixed2018_height_and_predominant_use</x:v>
      </x:c>
      <x:c r="U978" s="2" t="str">
        <x:v>GFA growth versus source physical quantity growth; constant conversion required for equality</x:v>
      </x:c>
      <x:c r="V978" s="2" t="str">
        <x:v>Model sector composition uses this source family; fixed2018-height modeled epochs</x:v>
      </x:c>
      <x:c r="W978" s="2" t="str">
        <x:v>https://human-settlement.emergency.copernicus.eu/ghs_buV2023.php</x:v>
      </x:c>
    </x:row>
    <x:row r="979" ht="23" customHeight="1">
      <x:c r="A979" s="2" t="str">
        <x:v>YEM</x:v>
      </x:c>
      <x:c r="B979" s="2" t="str">
        <x:v>Yemen (Republic of)</x:v>
      </x:c>
      <x:c r="C979" s="2" t="str">
        <x:v>GHSL_VOLUME</x:v>
      </x:c>
      <x:c r="D979" s="2" t="n">
        <x:v>2015</x:v>
      </x:c>
      <x:c r="E979" s="2" t="n">
        <x:v>2020</x:v>
      </x:c>
      <x:c r="F979" s="17" t="n">
        <x:v>401216202.1769533</x:v>
      </x:c>
      <x:c r="G979" s="17" t="n">
        <x:v>454480387.6899993</x:v>
      </x:c>
      <x:c r="H979" s="17" t="n">
        <x:v>1421700316.2313726</x:v>
      </x:c>
      <x:c r="I979" s="17" t="n">
        <x:v>1512402913.4745097</x:v>
      </x:c>
      <x:c r="J979" s="2" t="str">
        <x:v>m3</x:v>
      </x:c>
      <x:c r="K979" s="15" t="n">
        <x:f>IF(AND(ISNUMBER(F979),ISNUMBER(G979),F979&gt;0),G979/F979-1,"n.a.")</x:f>
        <x:v>0.1327568159611714</x:v>
      </x:c>
      <x:c r="L979" s="15" t="n">
        <x:f>IF(AND(N979,ISNUMBER(H979),ISNUMBER(I979),H979&gt;0),I979/H979-1,"n.a.")</x:f>
        <x:v>0.06379867557712204</x:v>
      </x:c>
      <x:c r="M979" s="20" t="n">
        <x:f>IF(AND(ISNUMBER(K979),ISNUMBER(L979)),100*(K979-L979),"n.a.")</x:f>
        <x:v>6.895814038404935</x:v>
      </x:c>
      <x:c r="N979" s="13" t="b">
        <x:v>1</x:v>
      </x:c>
      <x:c r="O979" s="13" t="b">
        <x:v>1</x:v>
      </x:c>
      <x:c r="P979" s="13" t="b">
        <x:v>0</x:v>
      </x:c>
      <x:c r="Q979" s="2" t="str">
        <x:v>qualified_paired_native_source_frame</x:v>
      </x:c>
      <x:c r="R979" s="2" t="str">
        <x:v>qualified_paired_native_source_frame</x:v>
      </x:c>
      <x:c r="S979" s="2" t="str">
        <x:v>modeled_epoch_volume_with_fixed2018_height_and_predominant_use</x:v>
      </x:c>
      <x:c r="T979" s="2" t="str">
        <x:v>modeled_epoch_volume_with_fixed2018_height_and_predominant_use</x:v>
      </x:c>
      <x:c r="U979" s="2" t="str">
        <x:v>GFA growth versus source physical quantity growth; constant conversion required for equality</x:v>
      </x:c>
      <x:c r="V979" s="2" t="str">
        <x:v>Model sector composition uses this source family; fixed2018-height modeled epochs</x:v>
      </x:c>
      <x:c r="W979" s="2" t="str">
        <x:v>https://human-settlement.emergency.copernicus.eu/ghs_buV2023.php</x:v>
      </x:c>
    </x:row>
    <x:row r="980" ht="23" customHeight="1">
      <x:c r="A980" s="2" t="str">
        <x:v>ZAF</x:v>
      </x:c>
      <x:c r="B980" s="2" t="str">
        <x:v>South Africa (Republic of)</x:v>
      </x:c>
      <x:c r="C980" s="2" t="str">
        <x:v>GHSL_VOLUME</x:v>
      </x:c>
      <x:c r="D980" s="2" t="n">
        <x:v>2015</x:v>
      </x:c>
      <x:c r="E980" s="2" t="n">
        <x:v>2020</x:v>
      </x:c>
      <x:c r="F980" s="17" t="n">
        <x:v>2389932427.550691</x:v>
      </x:c>
      <x:c r="G980" s="17" t="n">
        <x:v>2711325840.6099963</x:v>
      </x:c>
      <x:c r="H980" s="17" t="n">
        <x:v>29464682878.192154</x:v>
      </x:c>
      <x:c r="I980" s="17" t="n">
        <x:v>31719061610.768627</x:v>
      </x:c>
      <x:c r="J980" s="2" t="str">
        <x:v>m3</x:v>
      </x:c>
      <x:c r="K980" s="15" t="n">
        <x:f>IF(AND(ISNUMBER(F980),ISNUMBER(G980),F980&gt;0),G980/F980-1,"n.a.")</x:f>
        <x:v>0.13447803350184406</x:v>
      </x:c>
      <x:c r="L980" s="15" t="n">
        <x:f>IF(AND(N980,ISNUMBER(H980),ISNUMBER(I980),H980&gt;0),I980/H980-1,"n.a.")</x:f>
        <x:v>0.07651121656038651</x:v>
      </x:c>
      <x:c r="M980" s="20" t="n">
        <x:f>IF(AND(ISNUMBER(K980),ISNUMBER(L980)),100*(K980-L980),"n.a.")</x:f>
        <x:v>5.7966816941457555</x:v>
      </x:c>
      <x:c r="N980" s="13" t="b">
        <x:v>1</x:v>
      </x:c>
      <x:c r="O980" s="13" t="b">
        <x:v>1</x:v>
      </x:c>
      <x:c r="P980" s="13" t="b">
        <x:v>0</x:v>
      </x:c>
      <x:c r="Q980" s="2" t="str">
        <x:v>qualified_paired_native_source_frame</x:v>
      </x:c>
      <x:c r="R980" s="2" t="str">
        <x:v>qualified_paired_native_source_frame</x:v>
      </x:c>
      <x:c r="S980" s="2" t="str">
        <x:v>modeled_epoch_volume_with_fixed2018_height_and_predominant_use</x:v>
      </x:c>
      <x:c r="T980" s="2" t="str">
        <x:v>modeled_epoch_volume_with_fixed2018_height_and_predominant_use</x:v>
      </x:c>
      <x:c r="U980" s="2" t="str">
        <x:v>GFA growth versus source physical quantity growth; constant conversion required for equality</x:v>
      </x:c>
      <x:c r="V980" s="2" t="str">
        <x:v>Model sector composition uses this source family; fixed2018-height modeled epochs</x:v>
      </x:c>
      <x:c r="W980" s="2" t="str">
        <x:v>https://human-settlement.emergency.copernicus.eu/ghs_buV2023.php</x:v>
      </x:c>
    </x:row>
    <x:row r="981" ht="23" customHeight="1">
      <x:c r="A981" s="2" t="str">
        <x:v>ZMB</x:v>
      </x:c>
      <x:c r="B981" s="2" t="str">
        <x:v>Zambia (Republic of)</x:v>
      </x:c>
      <x:c r="C981" s="2" t="str">
        <x:v>GHSL_VOLUME</x:v>
      </x:c>
      <x:c r="D981" s="2" t="n">
        <x:v>2015</x:v>
      </x:c>
      <x:c r="E981" s="2" t="n">
        <x:v>2020</x:v>
      </x:c>
      <x:c r="F981" s="17" t="n">
        <x:v>347701586.48264974</x:v>
      </x:c>
      <x:c r="G981" s="17" t="n">
        <x:v>396696842.49999976</x:v>
      </x:c>
      <x:c r="H981" s="17" t="n">
        <x:v>4633291765.701961</x:v>
      </x:c>
      <x:c r="I981" s="17" t="n">
        <x:v>5051943890.513725</x:v>
      </x:c>
      <x:c r="J981" s="2" t="str">
        <x:v>m3</x:v>
      </x:c>
      <x:c r="K981" s="15" t="n">
        <x:f>IF(AND(ISNUMBER(F981),ISNUMBER(G981),F981&gt;0),G981/F981-1,"n.a.")</x:f>
        <x:v>0.14091179885886107</x:v>
      </x:c>
      <x:c r="L981" s="15" t="n">
        <x:f>IF(AND(N981,ISNUMBER(H981),ISNUMBER(I981),H981&gt;0),I981/H981-1,"n.a.")</x:f>
        <x:v>0.0903573843354406</x:v>
      </x:c>
      <x:c r="M981" s="20" t="n">
        <x:f>IF(AND(ISNUMBER(K981),ISNUMBER(L981)),100*(K981-L981),"n.a.")</x:f>
        <x:v>5.055441452342047</x:v>
      </x:c>
      <x:c r="N981" s="13" t="b">
        <x:v>1</x:v>
      </x:c>
      <x:c r="O981" s="13" t="b">
        <x:v>1</x:v>
      </x:c>
      <x:c r="P981" s="13" t="b">
        <x:v>0</x:v>
      </x:c>
      <x:c r="Q981" s="2" t="str">
        <x:v>qualified_paired_native_source_frame</x:v>
      </x:c>
      <x:c r="R981" s="2" t="str">
        <x:v>qualified_paired_native_source_frame</x:v>
      </x:c>
      <x:c r="S981" s="2" t="str">
        <x:v>modeled_epoch_volume_with_fixed2018_height_and_predominant_use</x:v>
      </x:c>
      <x:c r="T981" s="2" t="str">
        <x:v>modeled_epoch_volume_with_fixed2018_height_and_predominant_use</x:v>
      </x:c>
      <x:c r="U981" s="2" t="str">
        <x:v>GFA growth versus source physical quantity growth; constant conversion required for equality</x:v>
      </x:c>
      <x:c r="V981" s="2" t="str">
        <x:v>Model sector composition uses this source family; fixed2018-height modeled epochs</x:v>
      </x:c>
      <x:c r="W981" s="2" t="str">
        <x:v>https://human-settlement.emergency.copernicus.eu/ghs_buV2023.php</x:v>
      </x:c>
    </x:row>
    <x:row r="982" ht="23" customHeight="1">
      <x:c r="A982" s="2" t="str">
        <x:v>ZWE</x:v>
      </x:c>
      <x:c r="B982" s="2" t="str">
        <x:v>Zimbabwe (Republic of)</x:v>
      </x:c>
      <x:c r="C982" s="2" t="str">
        <x:v>GHSL_VOLUME</x:v>
      </x:c>
      <x:c r="D982" s="2" t="n">
        <x:v>2015</x:v>
      </x:c>
      <x:c r="E982" s="2" t="n">
        <x:v>2020</x:v>
      </x:c>
      <x:c r="F982" s="17" t="n">
        <x:v>286327064.77887195</x:v>
      </x:c>
      <x:c r="G982" s="17" t="n">
        <x:v>420425813.9799996</x:v>
      </x:c>
      <x:c r="H982" s="17" t="n">
        <x:v>3115893654.8392153</x:v>
      </x:c>
      <x:c r="I982" s="17" t="n">
        <x:v>4223310742.5254903</x:v>
      </x:c>
      <x:c r="J982" s="2" t="str">
        <x:v>m3</x:v>
      </x:c>
      <x:c r="K982" s="15" t="n">
        <x:f>IF(AND(ISNUMBER(F982),ISNUMBER(G982),F982&gt;0),G982/F982-1,"n.a.")</x:f>
        <x:v>0.46834115840460644</x:v>
      </x:c>
      <x:c r="L982" s="15" t="n">
        <x:f>IF(AND(N982,ISNUMBER(H982),ISNUMBER(I982),H982&gt;0),I982/H982-1,"n.a.")</x:f>
        <x:v>0.3554091411195546</x:v>
      </x:c>
      <x:c r="M982" s="20" t="n">
        <x:f>IF(AND(ISNUMBER(K982),ISNUMBER(L982)),100*(K982-L982),"n.a.")</x:f>
        <x:v>11.293201728505187</x:v>
      </x:c>
      <x:c r="N982" s="13" t="b">
        <x:v>1</x:v>
      </x:c>
      <x:c r="O982" s="13" t="b">
        <x:v>1</x:v>
      </x:c>
      <x:c r="P982" s="13" t="b">
        <x:v>0</x:v>
      </x:c>
      <x:c r="Q982" s="2" t="str">
        <x:v>qualified_paired_native_source_frame</x:v>
      </x:c>
      <x:c r="R982" s="2" t="str">
        <x:v>qualified_paired_native_source_frame</x:v>
      </x:c>
      <x:c r="S982" s="2" t="str">
        <x:v>modeled_epoch_volume_with_fixed2018_height_and_predominant_use</x:v>
      </x:c>
      <x:c r="T982" s="2" t="str">
        <x:v>modeled_epoch_volume_with_fixed2018_height_and_predominant_use</x:v>
      </x:c>
      <x:c r="U982" s="2" t="str">
        <x:v>GFA growth versus source physical quantity growth; constant conversion required for equality</x:v>
      </x:c>
      <x:c r="V982" s="2" t="str">
        <x:v>Model sector composition uses this source family; fixed2018-height modeled epochs</x:v>
      </x:c>
      <x:c r="W982" s="2" t="str">
        <x:v>https://human-settlement.emergency.copernicus.eu/ghs_buV2023.php</x:v>
      </x:c>
    </x:row>
    <x:row r="983" ht="23" customHeight="1">
      <x:c r="A983" s="2" t="str">
        <x:v>AFG</x:v>
      </x:c>
      <x:c r="B983" s="2" t="str">
        <x:v>Afghanistan (Islamic Republic of)</x:v>
      </x:c>
      <x:c r="C983" s="2" t="str">
        <x:v>WUP_SURFACE</x:v>
      </x:c>
      <x:c r="D983" s="2" t="n">
        <x:v>2015</x:v>
      </x:c>
      <x:c r="E983" s="2" t="n">
        <x:v>2020</x:v>
      </x:c>
      <x:c r="F983" s="17" t="n">
        <x:v>723941377.8198509</x:v>
      </x:c>
      <x:c r="G983" s="17" t="n">
        <x:v>853208432.4500008</x:v>
      </x:c>
      <x:c r="H983" s="17" t="n">
        <x:v>515409737.9606477</x:v>
      </x:c>
      <x:c r="I983" s="17" t="n">
        <x:v>601855988.0311444</x:v>
      </x:c>
      <x:c r="J983" s="2" t="str">
        <x:v>m2</x:v>
      </x:c>
      <x:c r="K983" s="15" t="n">
        <x:f>IF(AND(ISNUMBER(F983),ISNUMBER(G983),F983&gt;0),G983/F983-1,"n.a.")</x:f>
        <x:v>0.1785601135542736</x:v>
      </x:c>
      <x:c r="L983" s="15" t="n">
        <x:f>IF(AND(N983,ISNUMBER(H983),ISNUMBER(I983),H983&gt;0),I983/H983-1,"n.a.")</x:f>
        <x:v>0.16772335426285045</x:v>
      </x:c>
      <x:c r="M983" s="20" t="n">
        <x:f>IF(AND(ISNUMBER(K983),ISNUMBER(L983)),100*(K983-L983),"n.a.")</x:f>
        <x:v>1.0836759291423137</x:v>
      </x:c>
      <x:c r="N983" s="13" t="b">
        <x:v>1</x:v>
      </x:c>
      <x:c r="O983" s="13" t="b">
        <x:v>1</x:v>
      </x:c>
      <x:c r="P983" s="13" t="b">
        <x:v>0</x:v>
      </x:c>
      <x:c r="Q983" s="2" t="str">
        <x:v>L1_numeric_partition_qualified_not_national_completeness</x:v>
      </x:c>
      <x:c r="R983" s="2" t="str">
        <x:v>L1_numeric_partition_qualified_not_national_completeness</x:v>
      </x:c>
      <x:c r="S983" s="2" t="str">
        <x:v>historical_GHSL_BU_estimate</x:v>
      </x:c>
      <x:c r="T983" s="2" t="str">
        <x:v>historical_GHSL_BU_estimate</x:v>
      </x:c>
      <x:c r="U983" s="2" t="str">
        <x:v>GFA growth versus source physical quantity growth; constant conversion required for equality</x:v>
      </x:c>
      <x:c r="V983" s="2" t="str">
        <x:v>Future horizontal path is already a v16 driver; WUP historical surface derives from GHSL</x:v>
      </x:c>
      <x:c r="W983" s="2" t="str">
        <x:v>https://human-settlement.emergency.copernicus.eu/datasets.php</x:v>
      </x:c>
    </x:row>
    <x:row r="984" ht="23" customHeight="1">
      <x:c r="A984" s="2" t="str">
        <x:v>AGO</x:v>
      </x:c>
      <x:c r="B984" s="2" t="str">
        <x:v>Angola (Republic of)</x:v>
      </x:c>
      <x:c r="C984" s="2" t="str">
        <x:v>WUP_SURFACE</x:v>
      </x:c>
      <x:c r="D984" s="2" t="n">
        <x:v>2015</x:v>
      </x:c>
      <x:c r="E984" s="2" t="n">
        <x:v>2020</x:v>
      </x:c>
      <x:c r="F984" s="17" t="n">
        <x:v>402759467.7748718</x:v>
      </x:c>
      <x:c r="G984" s="17" t="n">
        <x:v>512504617.85999936</x:v>
      </x:c>
      <x:c r="H984" s="17" t="n">
        <x:v>1019376166.0719556</x:v>
      </x:c>
      <x:c r="I984" s="17" t="n">
        <x:v>1289840103.655108</x:v>
      </x:c>
      <x:c r="J984" s="2" t="str">
        <x:v>m2</x:v>
      </x:c>
      <x:c r="K984" s="15" t="n">
        <x:f>IF(AND(ISNUMBER(F984),ISNUMBER(G984),F984&gt;0),G984/F984-1,"n.a.")</x:f>
        <x:v>0.2724831043487006</x:v>
      </x:c>
      <x:c r="L984" s="15" t="n">
        <x:f>IF(AND(N984,ISNUMBER(H984),ISNUMBER(I984),H984&gt;0),I984/H984-1,"n.a.")</x:f>
        <x:v>0.26532299516610536</x:v>
      </x:c>
      <x:c r="M984" s="20" t="n">
        <x:f>IF(AND(ISNUMBER(K984),ISNUMBER(L984)),100*(K984-L984),"n.a.")</x:f>
        <x:v>0.7160109182595242</x:v>
      </x:c>
      <x:c r="N984" s="13" t="b">
        <x:v>1</x:v>
      </x:c>
      <x:c r="O984" s="13" t="b">
        <x:v>1</x:v>
      </x:c>
      <x:c r="P984" s="13" t="b">
        <x:v>0</x:v>
      </x:c>
      <x:c r="Q984" s="2" t="str">
        <x:v>L1_numeric_partition_qualified_not_national_completeness</x:v>
      </x:c>
      <x:c r="R984" s="2" t="str">
        <x:v>L1_numeric_partition_qualified_not_national_completeness</x:v>
      </x:c>
      <x:c r="S984" s="2" t="str">
        <x:v>historical_GHSL_BU_estimate</x:v>
      </x:c>
      <x:c r="T984" s="2" t="str">
        <x:v>historical_GHSL_BU_estimate</x:v>
      </x:c>
      <x:c r="U984" s="2" t="str">
        <x:v>GFA growth versus source physical quantity growth; constant conversion required for equality</x:v>
      </x:c>
      <x:c r="V984" s="2" t="str">
        <x:v>Future horizontal path is already a v16 driver; WUP historical surface derives from GHSL</x:v>
      </x:c>
      <x:c r="W984" s="2" t="str">
        <x:v>https://human-settlement.emergency.copernicus.eu/datasets.php</x:v>
      </x:c>
    </x:row>
    <x:row r="985" ht="23" customHeight="1">
      <x:c r="A985" s="2" t="str">
        <x:v>ALB</x:v>
      </x:c>
      <x:c r="B985" s="2" t="str">
        <x:v>Albania (Republic of)</x:v>
      </x:c>
      <x:c r="C985" s="2" t="str">
        <x:v>WUP_SURFACE</x:v>
      </x:c>
      <x:c r="D985" s="2" t="n">
        <x:v>2015</x:v>
      </x:c>
      <x:c r="E985" s="2" t="n">
        <x:v>2020</x:v>
      </x:c>
      <x:c r="F985" s="17" t="n">
        <x:v>152591911.14729556</x:v>
      </x:c>
      <x:c r="G985" s="17" t="n">
        <x:v>161276383.52000022</x:v>
      </x:c>
      <x:c r="H985" s="17" t="n">
        <x:v>226470687.05026448</x:v>
      </x:c>
      <x:c r="I985" s="17" t="n">
        <x:v>239435354.92663443</x:v>
      </x:c>
      <x:c r="J985" s="2" t="str">
        <x:v>m2</x:v>
      </x:c>
      <x:c r="K985" s="15" t="n">
        <x:f>IF(AND(ISNUMBER(F985),ISNUMBER(G985),F985&gt;0),G985/F985-1,"n.a.")</x:f>
        <x:v>0.05691305854555817</x:v>
      </x:c>
      <x:c r="L985" s="15" t="n">
        <x:f>IF(AND(N985,ISNUMBER(H985),ISNUMBER(I985),H985&gt;0),I985/H985-1,"n.a.")</x:f>
        <x:v>0.05724656044997323</x:v>
      </x:c>
      <x:c r="M985" s="20" t="n">
        <x:f>IF(AND(ISNUMBER(K985),ISNUMBER(L985)),100*(K985-L985),"n.a.")</x:f>
        <x:v>-0.03335019044150567</x:v>
      </x:c>
      <x:c r="N985" s="13" t="b">
        <x:v>1</x:v>
      </x:c>
      <x:c r="O985" s="13" t="b">
        <x:v>1</x:v>
      </x:c>
      <x:c r="P985" s="13" t="b">
        <x:v>0</x:v>
      </x:c>
      <x:c r="Q985" s="2" t="str">
        <x:v>L1_numeric_partition_qualified_not_national_completeness</x:v>
      </x:c>
      <x:c r="R985" s="2" t="str">
        <x:v>L1_numeric_partition_qualified_not_national_completeness</x:v>
      </x:c>
      <x:c r="S985" s="2" t="str">
        <x:v>historical_GHSL_BU_estimate</x:v>
      </x:c>
      <x:c r="T985" s="2" t="str">
        <x:v>historical_GHSL_BU_estimate</x:v>
      </x:c>
      <x:c r="U985" s="2" t="str">
        <x:v>GFA growth versus source physical quantity growth; constant conversion required for equality</x:v>
      </x:c>
      <x:c r="V985" s="2" t="str">
        <x:v>Future horizontal path is already a v16 driver; WUP historical surface derives from GHSL</x:v>
      </x:c>
      <x:c r="W985" s="2" t="str">
        <x:v>https://human-settlement.emergency.copernicus.eu/datasets.php</x:v>
      </x:c>
    </x:row>
    <x:row r="986" ht="23" customHeight="1">
      <x:c r="A986" s="2" t="str">
        <x:v>AND</x:v>
      </x:c>
      <x:c r="B986" s="2" t="str">
        <x:v>Andorra (Principality of)</x:v>
      </x:c>
      <x:c r="C986" s="2" t="str">
        <x:v>WUP_SURFACE</x:v>
      </x:c>
      <x:c r="D986" s="2" t="n">
        <x:v>2015</x:v>
      </x:c>
      <x:c r="E986" s="2" t="n">
        <x:v>2020</x:v>
      </x:c>
      <x:c r="F986" s="17" t="n">
        <x:v>2845560.5783106415</x:v>
      </x:c>
      <x:c r="G986" s="17" t="n">
        <x:v>2995448.5899999994</x:v>
      </x:c>
      <x:c r="H986" s="17" t="n">
        <x:v>2142555.9980475553</x:v>
      </x:c>
      <x:c r="I986" s="17" t="n">
        <x:v>2238287.009914984</x:v>
      </x:c>
      <x:c r="J986" s="2" t="str">
        <x:v>m2</x:v>
      </x:c>
      <x:c r="K986" s="15" t="n">
        <x:f>IF(AND(ISNUMBER(F986),ISNUMBER(G986),F986&gt;0),G986/F986-1,"n.a.")</x:f>
        <x:v>0.052674335184367704</x:v>
      </x:c>
      <x:c r="L986" s="15" t="n">
        <x:f>IF(AND(N986,ISNUMBER(H986),ISNUMBER(I986),H986&gt;0),I986/H986-1,"n.a.")</x:f>
        <x:v>0.04468075138043792</x:v>
      </x:c>
      <x:c r="M986" s="20" t="n">
        <x:f>IF(AND(ISNUMBER(K986),ISNUMBER(L986)),100*(K986-L986),"n.a.")</x:f>
        <x:v>0.7993583803929782</x:v>
      </x:c>
      <x:c r="N986" s="13" t="b">
        <x:v>1</x:v>
      </x:c>
      <x:c r="O986" s="13" t="b">
        <x:v>1</x:v>
      </x:c>
      <x:c r="P986" s="13" t="b">
        <x:v>0</x:v>
      </x:c>
      <x:c r="Q986" s="2" t="str">
        <x:v>L1_numeric_partition_qualified_not_national_completeness</x:v>
      </x:c>
      <x:c r="R986" s="2" t="str">
        <x:v>L1_numeric_partition_qualified_not_national_completeness</x:v>
      </x:c>
      <x:c r="S986" s="2" t="str">
        <x:v>historical_GHSL_BU_estimate</x:v>
      </x:c>
      <x:c r="T986" s="2" t="str">
        <x:v>historical_GHSL_BU_estimate</x:v>
      </x:c>
      <x:c r="U986" s="2" t="str">
        <x:v>GFA growth versus source physical quantity growth; constant conversion required for equality</x:v>
      </x:c>
      <x:c r="V986" s="2" t="str">
        <x:v>Future horizontal path is already a v16 driver; WUP historical surface derives from GHSL</x:v>
      </x:c>
      <x:c r="W986" s="2" t="str">
        <x:v>https://human-settlement.emergency.copernicus.eu/datasets.php</x:v>
      </x:c>
    </x:row>
    <x:row r="987" ht="23" customHeight="1">
      <x:c r="A987" s="2" t="str">
        <x:v>ARE</x:v>
      </x:c>
      <x:c r="B987" s="2" t="str">
        <x:v>United Arab Emirates</x:v>
      </x:c>
      <x:c r="C987" s="2" t="str">
        <x:v>WUP_SURFACE</x:v>
      </x:c>
      <x:c r="D987" s="2" t="n">
        <x:v>2015</x:v>
      </x:c>
      <x:c r="E987" s="2" t="n">
        <x:v>2020</x:v>
      </x:c>
      <x:c r="F987" s="17" t="n">
        <x:v>432363221.29956406</x:v>
      </x:c>
      <x:c r="G987" s="17" t="n">
        <x:v>511804054.8699995</x:v>
      </x:c>
      <x:c r="H987" s="17" t="n">
        <x:v>543833223.6192317</x:v>
      </x:c>
      <x:c r="I987" s="17" t="n">
        <x:v>638456291.4414136</x:v>
      </x:c>
      <x:c r="J987" s="2" t="str">
        <x:v>m2</x:v>
      </x:c>
      <x:c r="K987" s="15" t="n">
        <x:f>IF(AND(ISNUMBER(F987),ISNUMBER(G987),F987&gt;0),G987/F987-1,"n.a.")</x:f>
        <x:v>0.18373633476885098</x:v>
      </x:c>
      <x:c r="L987" s="15" t="n">
        <x:f>IF(AND(N987,ISNUMBER(H987),ISNUMBER(I987),H987&gt;0),I987/H987-1,"n.a.")</x:f>
        <x:v>0.1739928046184116</x:v>
      </x:c>
      <x:c r="M987" s="20" t="n">
        <x:f>IF(AND(ISNUMBER(K987),ISNUMBER(L987)),100*(K987-L987),"n.a.")</x:f>
        <x:v>0.9743530150439383</x:v>
      </x:c>
      <x:c r="N987" s="13" t="b">
        <x:v>1</x:v>
      </x:c>
      <x:c r="O987" s="13" t="b">
        <x:v>1</x:v>
      </x:c>
      <x:c r="P987" s="13" t="b">
        <x:v>0</x:v>
      </x:c>
      <x:c r="Q987" s="2" t="str">
        <x:v>L1_numeric_partition_qualified_not_national_completeness</x:v>
      </x:c>
      <x:c r="R987" s="2" t="str">
        <x:v>L1_numeric_partition_qualified_not_national_completeness</x:v>
      </x:c>
      <x:c r="S987" s="2" t="str">
        <x:v>historical_GHSL_BU_estimate</x:v>
      </x:c>
      <x:c r="T987" s="2" t="str">
        <x:v>historical_GHSL_BU_estimate</x:v>
      </x:c>
      <x:c r="U987" s="2" t="str">
        <x:v>GFA growth versus source physical quantity growth; constant conversion required for equality</x:v>
      </x:c>
      <x:c r="V987" s="2" t="str">
        <x:v>Future horizontal path is already a v16 driver; WUP historical surface derives from GHSL</x:v>
      </x:c>
      <x:c r="W987" s="2" t="str">
        <x:v>https://human-settlement.emergency.copernicus.eu/datasets.php</x:v>
      </x:c>
    </x:row>
    <x:row r="988" ht="23" customHeight="1">
      <x:c r="A988" s="2" t="str">
        <x:v>ARG</x:v>
      </x:c>
      <x:c r="B988" s="2" t="str">
        <x:v>Argentina (Argentine Republic)</x:v>
      </x:c>
      <x:c r="C988" s="2" t="str">
        <x:v>WUP_SURFACE</x:v>
      </x:c>
      <x:c r="D988" s="2" t="n">
        <x:v>2015</x:v>
      </x:c>
      <x:c r="E988" s="2" t="n">
        <x:v>2020</x:v>
      </x:c>
      <x:c r="F988" s="17" t="n">
        <x:v>2281407992.298051</x:v>
      </x:c>
      <x:c r="G988" s="17" t="n">
        <x:v>2382940448.399998</x:v>
      </x:c>
      <x:c r="H988" s="17" t="n">
        <x:v>3789432398.3140397</x:v>
      </x:c>
      <x:c r="I988" s="17" t="n">
        <x:v>3943294133.4848666</x:v>
      </x:c>
      <x:c r="J988" s="2" t="str">
        <x:v>m2</x:v>
      </x:c>
      <x:c r="K988" s="15" t="n">
        <x:f>IF(AND(ISNUMBER(F988),ISNUMBER(G988),F988&gt;0),G988/F988-1,"n.a.")</x:f>
        <x:v>0.04450429578782811</x:v>
      </x:c>
      <x:c r="L988" s="15" t="n">
        <x:f>IF(AND(N988,ISNUMBER(H988),ISNUMBER(I988),H988&gt;0),I988/H988-1,"n.a.")</x:f>
        <x:v>0.04060284470024622</x:v>
      </x:c>
      <x:c r="M988" s="20" t="n">
        <x:f>IF(AND(ISNUMBER(K988),ISNUMBER(L988)),100*(K988-L988),"n.a.")</x:f>
        <x:v>0.39014510875818864</x:v>
      </x:c>
      <x:c r="N988" s="13" t="b">
        <x:v>1</x:v>
      </x:c>
      <x:c r="O988" s="13" t="b">
        <x:v>1</x:v>
      </x:c>
      <x:c r="P988" s="13" t="b">
        <x:v>0</x:v>
      </x:c>
      <x:c r="Q988" s="2" t="str">
        <x:v>L1_numeric_partition_qualified_not_national_completeness</x:v>
      </x:c>
      <x:c r="R988" s="2" t="str">
        <x:v>L1_numeric_partition_qualified_not_national_completeness</x:v>
      </x:c>
      <x:c r="S988" s="2" t="str">
        <x:v>historical_GHSL_BU_estimate</x:v>
      </x:c>
      <x:c r="T988" s="2" t="str">
        <x:v>historical_GHSL_BU_estimate</x:v>
      </x:c>
      <x:c r="U988" s="2" t="str">
        <x:v>GFA growth versus source physical quantity growth; constant conversion required for equality</x:v>
      </x:c>
      <x:c r="V988" s="2" t="str">
        <x:v>Future horizontal path is already a v16 driver; WUP historical surface derives from GHSL</x:v>
      </x:c>
      <x:c r="W988" s="2" t="str">
        <x:v>https://human-settlement.emergency.copernicus.eu/datasets.php</x:v>
      </x:c>
    </x:row>
    <x:row r="989" ht="23" customHeight="1">
      <x:c r="A989" s="2" t="str">
        <x:v>ARM</x:v>
      </x:c>
      <x:c r="B989" s="2" t="str">
        <x:v>Armenia (Republic of)</x:v>
      </x:c>
      <x:c r="C989" s="2" t="str">
        <x:v>WUP_SURFACE</x:v>
      </x:c>
      <x:c r="D989" s="2" t="n">
        <x:v>2015</x:v>
      </x:c>
      <x:c r="E989" s="2" t="n">
        <x:v>2020</x:v>
      </x:c>
      <x:c r="F989" s="17" t="n">
        <x:v>138576247.47924888</x:v>
      </x:c>
      <x:c r="G989" s="17" t="n">
        <x:v>142786500.21000025</x:v>
      </x:c>
      <x:c r="H989" s="17" t="n">
        <x:v>216037935.9826826</x:v>
      </x:c>
      <x:c r="I989" s="17" t="n">
        <x:v>222480262.7736285</x:v>
      </x:c>
      <x:c r="J989" s="2" t="str">
        <x:v>m2</x:v>
      </x:c>
      <x:c r="K989" s="15" t="n">
        <x:f>IF(AND(ISNUMBER(F989),ISNUMBER(G989),F989&gt;0),G989/F989-1,"n.a.")</x:f>
        <x:v>0.0303822105688194</x:v>
      </x:c>
      <x:c r="L989" s="15" t="n">
        <x:f>IF(AND(N989,ISNUMBER(H989),ISNUMBER(I989),H989&gt;0),I989/H989-1,"n.a.")</x:f>
        <x:v>0.029820349660544476</x:v>
      </x:c>
      <x:c r="M989" s="20" t="n">
        <x:f>IF(AND(ISNUMBER(K989),ISNUMBER(L989)),100*(K989-L989),"n.a.")</x:f>
        <x:v>0.056186090827492485</x:v>
      </x:c>
      <x:c r="N989" s="13" t="b">
        <x:v>1</x:v>
      </x:c>
      <x:c r="O989" s="13" t="b">
        <x:v>1</x:v>
      </x:c>
      <x:c r="P989" s="13" t="b">
        <x:v>0</x:v>
      </x:c>
      <x:c r="Q989" s="2" t="str">
        <x:v>L1_numeric_partition_qualified_not_national_completeness</x:v>
      </x:c>
      <x:c r="R989" s="2" t="str">
        <x:v>L1_numeric_partition_qualified_not_national_completeness</x:v>
      </x:c>
      <x:c r="S989" s="2" t="str">
        <x:v>historical_GHSL_BU_estimate</x:v>
      </x:c>
      <x:c r="T989" s="2" t="str">
        <x:v>historical_GHSL_BU_estimate</x:v>
      </x:c>
      <x:c r="U989" s="2" t="str">
        <x:v>GFA growth versus source physical quantity growth; constant conversion required for equality</x:v>
      </x:c>
      <x:c r="V989" s="2" t="str">
        <x:v>Future horizontal path is already a v16 driver; WUP historical surface derives from GHSL</x:v>
      </x:c>
      <x:c r="W989" s="2" t="str">
        <x:v>https://human-settlement.emergency.copernicus.eu/datasets.php</x:v>
      </x:c>
    </x:row>
    <x:row r="990" ht="23" customHeight="1">
      <x:c r="A990" s="2" t="str">
        <x:v>ATG</x:v>
      </x:c>
      <x:c r="B990" s="2" t="str">
        <x:v>Antigua and Barbuda</x:v>
      </x:c>
      <x:c r="C990" s="2" t="str">
        <x:v>WUP_SURFACE</x:v>
      </x:c>
      <x:c r="D990" s="2" t="n">
        <x:v>2015</x:v>
      </x:c>
      <x:c r="E990" s="2" t="n">
        <x:v>2020</x:v>
      </x:c>
      <x:c r="F990" s="17" t="n">
        <x:v>6409689.412213599</x:v>
      </x:c>
      <x:c r="G990" s="17" t="n">
        <x:v>7437404.659999999</x:v>
      </x:c>
      <x:c r="H990" s="17" t="n">
        <x:v>12621399.975482745</x:v>
      </x:c>
      <x:c r="I990" s="17" t="n">
        <x:v>14728033.99585814</x:v>
      </x:c>
      <x:c r="J990" s="2" t="str">
        <x:v>m2</x:v>
      </x:c>
      <x:c r="K990" s="15" t="n">
        <x:f>IF(AND(ISNUMBER(F990),ISNUMBER(G990),F990&gt;0),G990/F990-1,"n.a.")</x:f>
        <x:v>0.16033776080134232</x:v>
      </x:c>
      <x:c r="L990" s="15" t="n">
        <x:f>IF(AND(N990,ISNUMBER(H990),ISNUMBER(I990),H990&gt;0),I990/H990-1,"n.a.")</x:f>
        <x:v>0.1669096949995692</x:v>
      </x:c>
      <x:c r="M990" s="20" t="n">
        <x:f>IF(AND(ISNUMBER(K990),ISNUMBER(L990)),100*(K990-L990),"n.a.")</x:f>
        <x:v>-0.6571934198226881</x:v>
      </x:c>
      <x:c r="N990" s="13" t="b">
        <x:v>1</x:v>
      </x:c>
      <x:c r="O990" s="13" t="b">
        <x:v>1</x:v>
      </x:c>
      <x:c r="P990" s="13" t="b">
        <x:v>0</x:v>
      </x:c>
      <x:c r="Q990" s="2" t="str">
        <x:v>L1_numeric_partition_qualified_not_national_completeness</x:v>
      </x:c>
      <x:c r="R990" s="2" t="str">
        <x:v>L1_numeric_partition_qualified_not_national_completeness</x:v>
      </x:c>
      <x:c r="S990" s="2" t="str">
        <x:v>historical_GHSL_BU_estimate</x:v>
      </x:c>
      <x:c r="T990" s="2" t="str">
        <x:v>historical_GHSL_BU_estimate</x:v>
      </x:c>
      <x:c r="U990" s="2" t="str">
        <x:v>GFA growth versus source physical quantity growth; constant conversion required for equality</x:v>
      </x:c>
      <x:c r="V990" s="2" t="str">
        <x:v>Future horizontal path is already a v16 driver; WUP historical surface derives from GHSL</x:v>
      </x:c>
      <x:c r="W990" s="2" t="str">
        <x:v>https://human-settlement.emergency.copernicus.eu/datasets.php</x:v>
      </x:c>
    </x:row>
    <x:row r="991" ht="23" customHeight="1">
      <x:c r="A991" s="2" t="str">
        <x:v>AUS</x:v>
      </x:c>
      <x:c r="B991" s="2" t="str">
        <x:v>Australia (Commonwealth of)</x:v>
      </x:c>
      <x:c r="C991" s="2" t="str">
        <x:v>WUP_SURFACE</x:v>
      </x:c>
      <x:c r="D991" s="2" t="n">
        <x:v>2015</x:v>
      </x:c>
      <x:c r="E991" s="2" t="n">
        <x:v>2020</x:v>
      </x:c>
      <x:c r="F991" s="17" t="n">
        <x:v>2689879598.545835</x:v>
      </x:c>
      <x:c r="G991" s="17" t="n">
        <x:v>3011161094.8599973</x:v>
      </x:c>
      <x:c r="H991" s="17" t="n">
        <x:v>4612844291.573213</x:v>
      </x:c>
      <x:c r="I991" s="17" t="n">
        <x:v>5111320190.100877</x:v>
      </x:c>
      <x:c r="J991" s="2" t="str">
        <x:v>m2</x:v>
      </x:c>
      <x:c r="K991" s="15" t="n">
        <x:f>IF(AND(ISNUMBER(F991),ISNUMBER(G991),F991&gt;0),G991/F991-1,"n.a.")</x:f>
        <x:v>0.11944084653002651</x:v>
      </x:c>
      <x:c r="L991" s="15" t="n">
        <x:f>IF(AND(N991,ISNUMBER(H991),ISNUMBER(I991),H991&gt;0),I991/H991-1,"n.a.")</x:f>
        <x:v>0.1080625893742575</x:v>
      </x:c>
      <x:c r="M991" s="20" t="n">
        <x:f>IF(AND(ISNUMBER(K991),ISNUMBER(L991)),100*(K991-L991),"n.a.")</x:f>
        <x:v>1.1378257155769012</x:v>
      </x:c>
      <x:c r="N991" s="13" t="b">
        <x:v>1</x:v>
      </x:c>
      <x:c r="O991" s="13" t="b">
        <x:v>1</x:v>
      </x:c>
      <x:c r="P991" s="13" t="b">
        <x:v>0</x:v>
      </x:c>
      <x:c r="Q991" s="2" t="str">
        <x:v>L1_numeric_partition_qualified_not_national_completeness</x:v>
      </x:c>
      <x:c r="R991" s="2" t="str">
        <x:v>L1_numeric_partition_qualified_not_national_completeness</x:v>
      </x:c>
      <x:c r="S991" s="2" t="str">
        <x:v>historical_GHSL_BU_estimate</x:v>
      </x:c>
      <x:c r="T991" s="2" t="str">
        <x:v>historical_GHSL_BU_estimate</x:v>
      </x:c>
      <x:c r="U991" s="2" t="str">
        <x:v>GFA growth versus source physical quantity growth; constant conversion required for equality</x:v>
      </x:c>
      <x:c r="V991" s="2" t="str">
        <x:v>Future horizontal path is already a v16 driver; WUP historical surface derives from GHSL</x:v>
      </x:c>
      <x:c r="W991" s="2" t="str">
        <x:v>https://human-settlement.emergency.copernicus.eu/datasets.php</x:v>
      </x:c>
    </x:row>
    <x:row r="992" ht="23" customHeight="1">
      <x:c r="A992" s="2" t="str">
        <x:v>AUT</x:v>
      </x:c>
      <x:c r="B992" s="2" t="str">
        <x:v>Austria (Republic of)</x:v>
      </x:c>
      <x:c r="C992" s="2" t="str">
        <x:v>WUP_SURFACE</x:v>
      </x:c>
      <x:c r="D992" s="2" t="n">
        <x:v>2015</x:v>
      </x:c>
      <x:c r="E992" s="2" t="n">
        <x:v>2020</x:v>
      </x:c>
      <x:c r="F992" s="17" t="n">
        <x:v>818030285.5067213</x:v>
      </x:c>
      <x:c r="G992" s="17" t="n">
        <x:v>865496536.0700006</x:v>
      </x:c>
      <x:c r="H992" s="17" t="n">
        <x:v>1084953244.3163524</x:v>
      </x:c>
      <x:c r="I992" s="17" t="n">
        <x:v>1140614141.503219</x:v>
      </x:c>
      <x:c r="J992" s="2" t="str">
        <x:v>m2</x:v>
      </x:c>
      <x:c r="K992" s="15" t="n">
        <x:f>IF(AND(ISNUMBER(F992),ISNUMBER(G992),F992&gt;0),G992/F992-1,"n.a.")</x:f>
        <x:v>0.0580250528669326</x:v>
      </x:c>
      <x:c r="L992" s="15" t="n">
        <x:f>IF(AND(N992,ISNUMBER(H992),ISNUMBER(I992),H992&gt;0),I992/H992-1,"n.a.")</x:f>
        <x:v>0.05130257684232231</x:v>
      </x:c>
      <x:c r="M992" s="20" t="n">
        <x:f>IF(AND(ISNUMBER(K992),ISNUMBER(L992)),100*(K992-L992),"n.a.")</x:f>
        <x:v>0.6722476024610291</x:v>
      </x:c>
      <x:c r="N992" s="13" t="b">
        <x:v>1</x:v>
      </x:c>
      <x:c r="O992" s="13" t="b">
        <x:v>1</x:v>
      </x:c>
      <x:c r="P992" s="13" t="b">
        <x:v>0</x:v>
      </x:c>
      <x:c r="Q992" s="2" t="str">
        <x:v>L1_numeric_partition_qualified_not_national_completeness</x:v>
      </x:c>
      <x:c r="R992" s="2" t="str">
        <x:v>L1_numeric_partition_qualified_not_national_completeness</x:v>
      </x:c>
      <x:c r="S992" s="2" t="str">
        <x:v>historical_GHSL_BU_estimate</x:v>
      </x:c>
      <x:c r="T992" s="2" t="str">
        <x:v>historical_GHSL_BU_estimate</x:v>
      </x:c>
      <x:c r="U992" s="2" t="str">
        <x:v>GFA growth versus source physical quantity growth; constant conversion required for equality</x:v>
      </x:c>
      <x:c r="V992" s="2" t="str">
        <x:v>Future horizontal path is already a v16 driver; WUP historical surface derives from GHSL</x:v>
      </x:c>
      <x:c r="W992" s="2" t="str">
        <x:v>https://human-settlement.emergency.copernicus.eu/datasets.php</x:v>
      </x:c>
    </x:row>
    <x:row r="993" ht="23" customHeight="1">
      <x:c r="A993" s="2" t="str">
        <x:v>AZE</x:v>
      </x:c>
      <x:c r="B993" s="2" t="str">
        <x:v>Azerbaijan (Republic of)</x:v>
      </x:c>
      <x:c r="C993" s="2" t="str">
        <x:v>WUP_SURFACE</x:v>
      </x:c>
      <x:c r="D993" s="2" t="n">
        <x:v>2015</x:v>
      </x:c>
      <x:c r="E993" s="2" t="n">
        <x:v>2020</x:v>
      </x:c>
      <x:c r="F993" s="17" t="n">
        <x:v>469894353.8704014</x:v>
      </x:c>
      <x:c r="G993" s="17" t="n">
        <x:v>507953272.9000006</x:v>
      </x:c>
      <x:c r="H993" s="17" t="n">
        <x:v>787027361.8234645</x:v>
      </x:c>
      <x:c r="I993" s="17" t="n">
        <x:v>846314460.4218581</x:v>
      </x:c>
      <x:c r="J993" s="2" t="str">
        <x:v>m2</x:v>
      </x:c>
      <x:c r="K993" s="15" t="n">
        <x:f>IF(AND(ISNUMBER(F993),ISNUMBER(G993),F993&gt;0),G993/F993-1,"n.a.")</x:f>
        <x:v>0.08099462935895585</x:v>
      </x:c>
      <x:c r="L993" s="15" t="n">
        <x:f>IF(AND(N993,ISNUMBER(H993),ISNUMBER(I993),H993&gt;0),I993/H993-1,"n.a.")</x:f>
        <x:v>0.07533041603665613</x:v>
      </x:c>
      <x:c r="M993" s="20" t="n">
        <x:f>IF(AND(ISNUMBER(K993),ISNUMBER(L993)),100*(K993-L993),"n.a.")</x:f>
        <x:v>0.5664213322299716</x:v>
      </x:c>
      <x:c r="N993" s="13" t="b">
        <x:v>1</x:v>
      </x:c>
      <x:c r="O993" s="13" t="b">
        <x:v>1</x:v>
      </x:c>
      <x:c r="P993" s="13" t="b">
        <x:v>0</x:v>
      </x:c>
      <x:c r="Q993" s="2" t="str">
        <x:v>L1_numeric_partition_qualified_not_national_completeness</x:v>
      </x:c>
      <x:c r="R993" s="2" t="str">
        <x:v>L1_numeric_partition_qualified_not_national_completeness</x:v>
      </x:c>
      <x:c r="S993" s="2" t="str">
        <x:v>historical_GHSL_BU_estimate</x:v>
      </x:c>
      <x:c r="T993" s="2" t="str">
        <x:v>historical_GHSL_BU_estimate</x:v>
      </x:c>
      <x:c r="U993" s="2" t="str">
        <x:v>GFA growth versus source physical quantity growth; constant conversion required for equality</x:v>
      </x:c>
      <x:c r="V993" s="2" t="str">
        <x:v>Future horizontal path is already a v16 driver; WUP historical surface derives from GHSL</x:v>
      </x:c>
      <x:c r="W993" s="2" t="str">
        <x:v>https://human-settlement.emergency.copernicus.eu/datasets.php</x:v>
      </x:c>
    </x:row>
    <x:row r="994" ht="23" customHeight="1">
      <x:c r="A994" s="2" t="str">
        <x:v>BDI</x:v>
      </x:c>
      <x:c r="B994" s="2" t="str">
        <x:v>Burundi (Republic of)</x:v>
      </x:c>
      <x:c r="C994" s="2" t="str">
        <x:v>WUP_SURFACE</x:v>
      </x:c>
      <x:c r="D994" s="2" t="n">
        <x:v>2015</x:v>
      </x:c>
      <x:c r="E994" s="2" t="n">
        <x:v>2020</x:v>
      </x:c>
      <x:c r="F994" s="17" t="n">
        <x:v>107174310.50762644</x:v>
      </x:c>
      <x:c r="G994" s="17" t="n">
        <x:v>147710691.6100001</x:v>
      </x:c>
      <x:c r="H994" s="17" t="n">
        <x:v>308694814.9649025</x:v>
      </x:c>
      <x:c r="I994" s="17" t="n">
        <x:v>423016836.03304994</x:v>
      </x:c>
      <x:c r="J994" s="2" t="str">
        <x:v>m2</x:v>
      </x:c>
      <x:c r="K994" s="15" t="n">
        <x:f>IF(AND(ISNUMBER(F994),ISNUMBER(G994),F994&gt;0),G994/F994-1,"n.a.")</x:f>
        <x:v>0.3782285223984634</x:v>
      </x:c>
      <x:c r="L994" s="15" t="n">
        <x:f>IF(AND(N994,ISNUMBER(H994),ISNUMBER(I994),H994&gt;0),I994/H994-1,"n.a.")</x:f>
        <x:v>0.3703399458819723</x:v>
      </x:c>
      <x:c r="M994" s="20" t="n">
        <x:f>IF(AND(ISNUMBER(K994),ISNUMBER(L994)),100*(K994-L994),"n.a.")</x:f>
        <x:v>0.7888576516491108</x:v>
      </x:c>
      <x:c r="N994" s="13" t="b">
        <x:v>1</x:v>
      </x:c>
      <x:c r="O994" s="13" t="b">
        <x:v>1</x:v>
      </x:c>
      <x:c r="P994" s="13" t="b">
        <x:v>0</x:v>
      </x:c>
      <x:c r="Q994" s="2" t="str">
        <x:v>L1_numeric_partition_qualified_not_national_completeness</x:v>
      </x:c>
      <x:c r="R994" s="2" t="str">
        <x:v>L1_numeric_partition_qualified_not_national_completeness</x:v>
      </x:c>
      <x:c r="S994" s="2" t="str">
        <x:v>historical_GHSL_BU_estimate</x:v>
      </x:c>
      <x:c r="T994" s="2" t="str">
        <x:v>historical_GHSL_BU_estimate</x:v>
      </x:c>
      <x:c r="U994" s="2" t="str">
        <x:v>GFA growth versus source physical quantity growth; constant conversion required for equality</x:v>
      </x:c>
      <x:c r="V994" s="2" t="str">
        <x:v>Future horizontal path is already a v16 driver; WUP historical surface derives from GHSL</x:v>
      </x:c>
      <x:c r="W994" s="2" t="str">
        <x:v>https://human-settlement.emergency.copernicus.eu/datasets.php</x:v>
      </x:c>
    </x:row>
    <x:row r="995" ht="23" customHeight="1">
      <x:c r="A995" s="2" t="str">
        <x:v>BEL</x:v>
      </x:c>
      <x:c r="B995" s="2" t="str">
        <x:v>Belgium (Kingdom of)</x:v>
      </x:c>
      <x:c r="C995" s="2" t="str">
        <x:v>WUP_SURFACE</x:v>
      </x:c>
      <x:c r="D995" s="2" t="n">
        <x:v>2015</x:v>
      </x:c>
      <x:c r="E995" s="2" t="n">
        <x:v>2020</x:v>
      </x:c>
      <x:c r="F995" s="17" t="n">
        <x:v>1030499520.953178</x:v>
      </x:c>
      <x:c r="G995" s="17" t="n">
        <x:v>1079109698.0100002</x:v>
      </x:c>
      <x:c r="H995" s="17" t="n">
        <x:v>1454880311.702972</x:v>
      </x:c>
      <x:c r="I995" s="17" t="n">
        <x:v>1515116058.1065893</x:v>
      </x:c>
      <x:c r="J995" s="2" t="str">
        <x:v>m2</x:v>
      </x:c>
      <x:c r="K995" s="15" t="n">
        <x:f>IF(AND(ISNUMBER(F995),ISNUMBER(G995),F995&gt;0),G995/F995-1,"n.a.")</x:f>
        <x:v>0.04717146982451714</x:v>
      </x:c>
      <x:c r="L995" s="15" t="n">
        <x:f>IF(AND(N995,ISNUMBER(H995),ISNUMBER(I995),H995&gt;0),I995/H995-1,"n.a.")</x:f>
        <x:v>0.04140254419493106</x:v>
      </x:c>
      <x:c r="M995" s="20" t="n">
        <x:f>IF(AND(ISNUMBER(K995),ISNUMBER(L995)),100*(K995-L995),"n.a.")</x:f>
        <x:v>0.5768925629586086</x:v>
      </x:c>
      <x:c r="N995" s="13" t="b">
        <x:v>1</x:v>
      </x:c>
      <x:c r="O995" s="13" t="b">
        <x:v>1</x:v>
      </x:c>
      <x:c r="P995" s="13" t="b">
        <x:v>0</x:v>
      </x:c>
      <x:c r="Q995" s="2" t="str">
        <x:v>L1_numeric_partition_qualified_not_national_completeness</x:v>
      </x:c>
      <x:c r="R995" s="2" t="str">
        <x:v>L1_numeric_partition_qualified_not_national_completeness</x:v>
      </x:c>
      <x:c r="S995" s="2" t="str">
        <x:v>historical_GHSL_BU_estimate</x:v>
      </x:c>
      <x:c r="T995" s="2" t="str">
        <x:v>historical_GHSL_BU_estimate</x:v>
      </x:c>
      <x:c r="U995" s="2" t="str">
        <x:v>GFA growth versus source physical quantity growth; constant conversion required for equality</x:v>
      </x:c>
      <x:c r="V995" s="2" t="str">
        <x:v>Future horizontal path is already a v16 driver; WUP historical surface derives from GHSL</x:v>
      </x:c>
      <x:c r="W995" s="2" t="str">
        <x:v>https://human-settlement.emergency.copernicus.eu/datasets.php</x:v>
      </x:c>
    </x:row>
    <x:row r="996" ht="23" customHeight="1">
      <x:c r="A996" s="2" t="str">
        <x:v>BEN</x:v>
      </x:c>
      <x:c r="B996" s="2" t="str">
        <x:v>Benin (Republic of)</x:v>
      </x:c>
      <x:c r="C996" s="2" t="str">
        <x:v>WUP_SURFACE</x:v>
      </x:c>
      <x:c r="D996" s="2" t="n">
        <x:v>2015</x:v>
      </x:c>
      <x:c r="E996" s="2" t="n">
        <x:v>2020</x:v>
      </x:c>
      <x:c r="F996" s="17" t="n">
        <x:v>272547821.67471457</x:v>
      </x:c>
      <x:c r="G996" s="17" t="n">
        <x:v>302038367.25</x:v>
      </x:c>
      <x:c r="H996" s="17" t="n">
        <x:v>668482904.9183507</x:v>
      </x:c>
      <x:c r="I996" s="17" t="n">
        <x:v>735384103.9916569</x:v>
      </x:c>
      <x:c r="J996" s="2" t="str">
        <x:v>m2</x:v>
      </x:c>
      <x:c r="K996" s="15" t="n">
        <x:f>IF(AND(ISNUMBER(F996),ISNUMBER(G996),F996&gt;0),G996/F996-1,"n.a.")</x:f>
        <x:v>0.10820319676039225</x:v>
      </x:c>
      <x:c r="L996" s="15" t="n">
        <x:f>IF(AND(N996,ISNUMBER(H996),ISNUMBER(I996),H996&gt;0),I996/H996-1,"n.a.")</x:f>
        <x:v>0.10007914724682099</x:v>
      </x:c>
      <x:c r="M996" s="20" t="n">
        <x:f>IF(AND(ISNUMBER(K996),ISNUMBER(L996)),100*(K996-L996),"n.a.")</x:f>
        <x:v>0.8124049513571263</x:v>
      </x:c>
      <x:c r="N996" s="13" t="b">
        <x:v>1</x:v>
      </x:c>
      <x:c r="O996" s="13" t="b">
        <x:v>1</x:v>
      </x:c>
      <x:c r="P996" s="13" t="b">
        <x:v>0</x:v>
      </x:c>
      <x:c r="Q996" s="2" t="str">
        <x:v>L1_numeric_partition_qualified_not_national_completeness</x:v>
      </x:c>
      <x:c r="R996" s="2" t="str">
        <x:v>L1_numeric_partition_qualified_not_national_completeness</x:v>
      </x:c>
      <x:c r="S996" s="2" t="str">
        <x:v>historical_GHSL_BU_estimate</x:v>
      </x:c>
      <x:c r="T996" s="2" t="str">
        <x:v>historical_GHSL_BU_estimate</x:v>
      </x:c>
      <x:c r="U996" s="2" t="str">
        <x:v>GFA growth versus source physical quantity growth; constant conversion required for equality</x:v>
      </x:c>
      <x:c r="V996" s="2" t="str">
        <x:v>Future horizontal path is already a v16 driver; WUP historical surface derives from GHSL</x:v>
      </x:c>
      <x:c r="W996" s="2" t="str">
        <x:v>https://human-settlement.emergency.copernicus.eu/datasets.php</x:v>
      </x:c>
    </x:row>
    <x:row r="997" ht="23" customHeight="1">
      <x:c r="A997" s="2" t="str">
        <x:v>BFA</x:v>
      </x:c>
      <x:c r="B997" s="2" t="str">
        <x:v>Burkina Faso</x:v>
      </x:c>
      <x:c r="C997" s="2" t="str">
        <x:v>WUP_SURFACE</x:v>
      </x:c>
      <x:c r="D997" s="2" t="n">
        <x:v>2015</x:v>
      </x:c>
      <x:c r="E997" s="2" t="n">
        <x:v>2020</x:v>
      </x:c>
      <x:c r="F997" s="17" t="n">
        <x:v>275678764.0195087</x:v>
      </x:c>
      <x:c r="G997" s="17" t="n">
        <x:v>359180891.3500002</x:v>
      </x:c>
      <x:c r="H997" s="17" t="n">
        <x:v>963688347.786178</x:v>
      </x:c>
      <x:c r="I997" s="17" t="n">
        <x:v>1249029390.284681</x:v>
      </x:c>
      <x:c r="J997" s="2" t="str">
        <x:v>m2</x:v>
      </x:c>
      <x:c r="K997" s="15" t="n">
        <x:f>IF(AND(ISNUMBER(F997),ISNUMBER(G997),F997&gt;0),G997/F997-1,"n.a.")</x:f>
        <x:v>0.30289648035632655</x:v>
      </x:c>
      <x:c r="L997" s="15" t="n">
        <x:f>IF(AND(N997,ISNUMBER(H997),ISNUMBER(I997),H997&gt;0),I997/H997-1,"n.a.")</x:f>
        <x:v>0.2960926560479844</x:v>
      </x:c>
      <x:c r="M997" s="20" t="n">
        <x:f>IF(AND(ISNUMBER(K997),ISNUMBER(L997)),100*(K997-L997),"n.a.")</x:f>
        <x:v>0.6803824308342143</x:v>
      </x:c>
      <x:c r="N997" s="13" t="b">
        <x:v>1</x:v>
      </x:c>
      <x:c r="O997" s="13" t="b">
        <x:v>1</x:v>
      </x:c>
      <x:c r="P997" s="13" t="b">
        <x:v>0</x:v>
      </x:c>
      <x:c r="Q997" s="2" t="str">
        <x:v>L1_numeric_partition_qualified_not_national_completeness</x:v>
      </x:c>
      <x:c r="R997" s="2" t="str">
        <x:v>L1_numeric_partition_qualified_not_national_completeness</x:v>
      </x:c>
      <x:c r="S997" s="2" t="str">
        <x:v>historical_GHSL_BU_estimate</x:v>
      </x:c>
      <x:c r="T997" s="2" t="str">
        <x:v>historical_GHSL_BU_estimate</x:v>
      </x:c>
      <x:c r="U997" s="2" t="str">
        <x:v>GFA growth versus source physical quantity growth; constant conversion required for equality</x:v>
      </x:c>
      <x:c r="V997" s="2" t="str">
        <x:v>Future horizontal path is already a v16 driver; WUP historical surface derives from GHSL</x:v>
      </x:c>
      <x:c r="W997" s="2" t="str">
        <x:v>https://human-settlement.emergency.copernicus.eu/datasets.php</x:v>
      </x:c>
    </x:row>
    <x:row r="998" ht="23" customHeight="1">
      <x:c r="A998" s="2" t="str">
        <x:v>BGD</x:v>
      </x:c>
      <x:c r="B998" s="2" t="str">
        <x:v>Bangladesh (People's Republic of)</x:v>
      </x:c>
      <x:c r="C998" s="2" t="str">
        <x:v>WUP_SURFACE</x:v>
      </x:c>
      <x:c r="D998" s="2" t="n">
        <x:v>2015</x:v>
      </x:c>
      <x:c r="E998" s="2" t="n">
        <x:v>2020</x:v>
      </x:c>
      <x:c r="F998" s="17" t="n">
        <x:v>2168931873.230832</x:v>
      </x:c>
      <x:c r="G998" s="17" t="n">
        <x:v>2430930564.5499988</x:v>
      </x:c>
      <x:c r="H998" s="17" t="n">
        <x:v>2413249047.05858</x:v>
      </x:c>
      <x:c r="I998" s="17" t="n">
        <x:v>2684733057.8446093</x:v>
      </x:c>
      <x:c r="J998" s="2" t="str">
        <x:v>m2</x:v>
      </x:c>
      <x:c r="K998" s="15" t="n">
        <x:f>IF(AND(ISNUMBER(F998),ISNUMBER(G998),F998&gt;0),G998/F998-1,"n.a.")</x:f>
        <x:v>0.12079618292892458</x:v>
      </x:c>
      <x:c r="L998" s="15" t="n">
        <x:f>IF(AND(N998,ISNUMBER(H998),ISNUMBER(I998),H998&gt;0),I998/H998-1,"n.a.")</x:f>
        <x:v>0.11249730363177024</x:v>
      </x:c>
      <x:c r="M998" s="20" t="n">
        <x:f>IF(AND(ISNUMBER(K998),ISNUMBER(L998)),100*(K998-L998),"n.a.")</x:f>
        <x:v>0.8298879297154338</x:v>
      </x:c>
      <x:c r="N998" s="13" t="b">
        <x:v>1</x:v>
      </x:c>
      <x:c r="O998" s="13" t="b">
        <x:v>1</x:v>
      </x:c>
      <x:c r="P998" s="13" t="b">
        <x:v>0</x:v>
      </x:c>
      <x:c r="Q998" s="2" t="str">
        <x:v>L1_numeric_partition_qualified_not_national_completeness</x:v>
      </x:c>
      <x:c r="R998" s="2" t="str">
        <x:v>L1_numeric_partition_qualified_not_national_completeness</x:v>
      </x:c>
      <x:c r="S998" s="2" t="str">
        <x:v>historical_GHSL_BU_estimate</x:v>
      </x:c>
      <x:c r="T998" s="2" t="str">
        <x:v>historical_GHSL_BU_estimate</x:v>
      </x:c>
      <x:c r="U998" s="2" t="str">
        <x:v>GFA growth versus source physical quantity growth; constant conversion required for equality</x:v>
      </x:c>
      <x:c r="V998" s="2" t="str">
        <x:v>Future horizontal path is already a v16 driver; WUP historical surface derives from GHSL</x:v>
      </x:c>
      <x:c r="W998" s="2" t="str">
        <x:v>https://human-settlement.emergency.copernicus.eu/datasets.php</x:v>
      </x:c>
    </x:row>
    <x:row r="999" ht="23" customHeight="1">
      <x:c r="A999" s="2" t="str">
        <x:v>BGR</x:v>
      </x:c>
      <x:c r="B999" s="2" t="str">
        <x:v>Bulgaria (Republic of)</x:v>
      </x:c>
      <x:c r="C999" s="2" t="str">
        <x:v>WUP_SURFACE</x:v>
      </x:c>
      <x:c r="D999" s="2" t="n">
        <x:v>2015</x:v>
      </x:c>
      <x:c r="E999" s="2" t="n">
        <x:v>2020</x:v>
      </x:c>
      <x:c r="F999" s="17" t="n">
        <x:v>515270007.50160265</x:v>
      </x:c>
      <x:c r="G999" s="17" t="n">
        <x:v>543020803.5700008</x:v>
      </x:c>
      <x:c r="H999" s="17" t="n">
        <x:v>820952932.1974778</x:v>
      </x:c>
      <x:c r="I999" s="17" t="n">
        <x:v>864626173.1732111</x:v>
      </x:c>
      <x:c r="J999" s="2" t="str">
        <x:v>m2</x:v>
      </x:c>
      <x:c r="K999" s="15" t="n">
        <x:f>IF(AND(ISNUMBER(F999),ISNUMBER(G999),F999&gt;0),G999/F999-1,"n.a.")</x:f>
        <x:v>0.0538568045187684</x:v>
      </x:c>
      <x:c r="L999" s="15" t="n">
        <x:f>IF(AND(N999,ISNUMBER(H999),ISNUMBER(I999),H999&gt;0),I999/H999-1,"n.a.")</x:f>
        <x:v>0.053198227648485696</x:v>
      </x:c>
      <x:c r="M999" s="20" t="n">
        <x:f>IF(AND(ISNUMBER(K999),ISNUMBER(L999)),100*(K999-L999),"n.a.")</x:f>
        <x:v>0.0658576870282701</x:v>
      </x:c>
      <x:c r="N999" s="13" t="b">
        <x:v>1</x:v>
      </x:c>
      <x:c r="O999" s="13" t="b">
        <x:v>1</x:v>
      </x:c>
      <x:c r="P999" s="13" t="b">
        <x:v>0</x:v>
      </x:c>
      <x:c r="Q999" s="2" t="str">
        <x:v>L1_numeric_partition_qualified_not_national_completeness</x:v>
      </x:c>
      <x:c r="R999" s="2" t="str">
        <x:v>L1_numeric_partition_qualified_not_national_completeness</x:v>
      </x:c>
      <x:c r="S999" s="2" t="str">
        <x:v>historical_GHSL_BU_estimate</x:v>
      </x:c>
      <x:c r="T999" s="2" t="str">
        <x:v>historical_GHSL_BU_estimate</x:v>
      </x:c>
      <x:c r="U999" s="2" t="str">
        <x:v>GFA growth versus source physical quantity growth; constant conversion required for equality</x:v>
      </x:c>
      <x:c r="V999" s="2" t="str">
        <x:v>Future horizontal path is already a v16 driver; WUP historical surface derives from GHSL</x:v>
      </x:c>
      <x:c r="W999" s="2" t="str">
        <x:v>https://human-settlement.emergency.copernicus.eu/datasets.php</x:v>
      </x:c>
    </x:row>
    <x:row r="1000" ht="23" customHeight="1">
      <x:c r="A1000" s="2" t="str">
        <x:v>BHR</x:v>
      </x:c>
      <x:c r="B1000" s="2" t="str">
        <x:v>Bahrain (Kingdom of)</x:v>
      </x:c>
      <x:c r="C1000" s="2" t="str">
        <x:v>WUP_SURFACE</x:v>
      </x:c>
      <x:c r="D1000" s="2" t="n">
        <x:v>2015</x:v>
      </x:c>
      <x:c r="E1000" s="2" t="n">
        <x:v>2020</x:v>
      </x:c>
      <x:c r="F1000" s="17" t="n">
        <x:v>55998295.60212009</x:v>
      </x:c>
      <x:c r="G1000" s="17" t="n">
        <x:v>63702858.11000008</x:v>
      </x:c>
      <x:c r="H1000" s="17" t="n">
        <x:v>72761916.97409944</x:v>
      </x:c>
      <x:c r="I1000" s="17" t="n">
        <x:v>82288563.04807505</x:v>
      </x:c>
      <x:c r="J1000" s="2" t="str">
        <x:v>m2</x:v>
      </x:c>
      <x:c r="K1000" s="15" t="n">
        <x:f>IF(AND(ISNUMBER(F1000),ISNUMBER(G1000),F1000&gt;0),G1000/F1000-1,"n.a.")</x:f>
        <x:v>0.1375856608676551</x:v>
      </x:c>
      <x:c r="L1000" s="15" t="n">
        <x:f>IF(AND(N1000,ISNUMBER(H1000),ISNUMBER(I1000),H1000&gt;0),I1000/H1000-1,"n.a.")</x:f>
        <x:v>0.13092901438216287</x:v>
      </x:c>
      <x:c r="M1000" s="20" t="n">
        <x:f>IF(AND(ISNUMBER(K1000),ISNUMBER(L1000)),100*(K1000-L1000),"n.a.")</x:f>
        <x:v>0.6656646485492246</x:v>
      </x:c>
      <x:c r="N1000" s="13" t="b">
        <x:v>1</x:v>
      </x:c>
      <x:c r="O1000" s="13" t="b">
        <x:v>1</x:v>
      </x:c>
      <x:c r="P1000" s="13" t="b">
        <x:v>0</x:v>
      </x:c>
      <x:c r="Q1000" s="2" t="str">
        <x:v>L1_numeric_partition_qualified_not_national_completeness</x:v>
      </x:c>
      <x:c r="R1000" s="2" t="str">
        <x:v>L1_numeric_partition_qualified_not_national_completeness</x:v>
      </x:c>
      <x:c r="S1000" s="2" t="str">
        <x:v>historical_GHSL_BU_estimate</x:v>
      </x:c>
      <x:c r="T1000" s="2" t="str">
        <x:v>historical_GHSL_BU_estimate</x:v>
      </x:c>
      <x:c r="U1000" s="2" t="str">
        <x:v>GFA growth versus source physical quantity growth; constant conversion required for equality</x:v>
      </x:c>
      <x:c r="V1000" s="2" t="str">
        <x:v>Future horizontal path is already a v16 driver; WUP historical surface derives from GHSL</x:v>
      </x:c>
      <x:c r="W1000" s="2" t="str">
        <x:v>https://human-settlement.emergency.copernicus.eu/datasets.php</x:v>
      </x:c>
    </x:row>
    <x:row r="1001" ht="23" customHeight="1">
      <x:c r="A1001" s="2" t="str">
        <x:v>BHS</x:v>
      </x:c>
      <x:c r="B1001" s="2" t="str">
        <x:v>Bahamas (Commonwealth of the)</x:v>
      </x:c>
      <x:c r="C1001" s="2" t="str">
        <x:v>WUP_SURFACE</x:v>
      </x:c>
      <x:c r="D1001" s="2" t="n">
        <x:v>2015</x:v>
      </x:c>
      <x:c r="E1001" s="2" t="n">
        <x:v>2020</x:v>
      </x:c>
      <x:c r="F1001" s="17" t="n">
        <x:v>27680989.498857055</x:v>
      </x:c>
      <x:c r="G1001" s="17" t="n">
        <x:v>29184660.44999999</x:v>
      </x:c>
      <x:c r="H1001" s="17" t="n">
        <x:v>43535945.93845298</x:v>
      </x:c>
      <x:c r="I1001" s="17" t="n">
        <x:v>45793790.007442795</x:v>
      </x:c>
      <x:c r="J1001" s="2" t="str">
        <x:v>m2</x:v>
      </x:c>
      <x:c r="K1001" s="15" t="n">
        <x:f>IF(AND(ISNUMBER(F1001),ISNUMBER(G1001),F1001&gt;0),G1001/F1001-1,"n.a.")</x:f>
        <x:v>0.054321430641235624</x:v>
      </x:c>
      <x:c r="L1001" s="15" t="n">
        <x:f>IF(AND(N1001,ISNUMBER(H1001),ISNUMBER(I1001),H1001&gt;0),I1001/H1001-1,"n.a.")</x:f>
        <x:v>0.05186160585971278</x:v>
      </x:c>
      <x:c r="M1001" s="20" t="n">
        <x:f>IF(AND(ISNUMBER(K1001),ISNUMBER(L1001)),100*(K1001-L1001),"n.a.")</x:f>
        <x:v>0.24598247815228458</x:v>
      </x:c>
      <x:c r="N1001" s="13" t="b">
        <x:v>1</x:v>
      </x:c>
      <x:c r="O1001" s="13" t="b">
        <x:v>1</x:v>
      </x:c>
      <x:c r="P1001" s="13" t="b">
        <x:v>0</x:v>
      </x:c>
      <x:c r="Q1001" s="2" t="str">
        <x:v>L1_numeric_partition_qualified_not_national_completeness</x:v>
      </x:c>
      <x:c r="R1001" s="2" t="str">
        <x:v>L1_numeric_partition_qualified_not_national_completeness</x:v>
      </x:c>
      <x:c r="S1001" s="2" t="str">
        <x:v>historical_GHSL_BU_estimate</x:v>
      </x:c>
      <x:c r="T1001" s="2" t="str">
        <x:v>historical_GHSL_BU_estimate</x:v>
      </x:c>
      <x:c r="U1001" s="2" t="str">
        <x:v>GFA growth versus source physical quantity growth; constant conversion required for equality</x:v>
      </x:c>
      <x:c r="V1001" s="2" t="str">
        <x:v>Future horizontal path is already a v16 driver; WUP historical surface derives from GHSL</x:v>
      </x:c>
      <x:c r="W1001" s="2" t="str">
        <x:v>https://human-settlement.emergency.copernicus.eu/datasets.php</x:v>
      </x:c>
    </x:row>
    <x:row r="1002" ht="23" customHeight="1">
      <x:c r="A1002" s="2" t="str">
        <x:v>BIH</x:v>
      </x:c>
      <x:c r="B1002" s="2" t="str">
        <x:v>Bosnia and Herzegovina</x:v>
      </x:c>
      <x:c r="C1002" s="2" t="str">
        <x:v>WUP_SURFACE</x:v>
      </x:c>
      <x:c r="D1002" s="2" t="n">
        <x:v>2015</x:v>
      </x:c>
      <x:c r="E1002" s="2" t="n">
        <x:v>2020</x:v>
      </x:c>
      <x:c r="F1002" s="17" t="n">
        <x:v>233894193.35508087</x:v>
      </x:c>
      <x:c r="G1002" s="17" t="n">
        <x:v>247114206.72000027</x:v>
      </x:c>
      <x:c r="H1002" s="17" t="n">
        <x:v>339847173.98067915</x:v>
      </x:c>
      <x:c r="I1002" s="17" t="n">
        <x:v>359281659.1342707</x:v>
      </x:c>
      <x:c r="J1002" s="2" t="str">
        <x:v>m2</x:v>
      </x:c>
      <x:c r="K1002" s="15" t="n">
        <x:f>IF(AND(ISNUMBER(F1002),ISNUMBER(G1002),F1002&gt;0),G1002/F1002-1,"n.a.")</x:f>
        <x:v>0.05652134059116953</x:v>
      </x:c>
      <x:c r="L1002" s="15" t="n">
        <x:f>IF(AND(N1002,ISNUMBER(H1002),ISNUMBER(I1002),H1002&gt;0),I1002/H1002-1,"n.a.")</x:f>
        <x:v>0.0571859548689273</x:v>
      </x:c>
      <x:c r="M1002" s="20" t="n">
        <x:f>IF(AND(ISNUMBER(K1002),ISNUMBER(L1002)),100*(K1002-L1002),"n.a.")</x:f>
        <x:v>-0.0664614277757769</x:v>
      </x:c>
      <x:c r="N1002" s="13" t="b">
        <x:v>1</x:v>
      </x:c>
      <x:c r="O1002" s="13" t="b">
        <x:v>1</x:v>
      </x:c>
      <x:c r="P1002" s="13" t="b">
        <x:v>0</x:v>
      </x:c>
      <x:c r="Q1002" s="2" t="str">
        <x:v>L1_numeric_partition_qualified_not_national_completeness</x:v>
      </x:c>
      <x:c r="R1002" s="2" t="str">
        <x:v>L1_numeric_partition_qualified_not_national_completeness</x:v>
      </x:c>
      <x:c r="S1002" s="2" t="str">
        <x:v>historical_GHSL_BU_estimate</x:v>
      </x:c>
      <x:c r="T1002" s="2" t="str">
        <x:v>historical_GHSL_BU_estimate</x:v>
      </x:c>
      <x:c r="U1002" s="2" t="str">
        <x:v>GFA growth versus source physical quantity growth; constant conversion required for equality</x:v>
      </x:c>
      <x:c r="V1002" s="2" t="str">
        <x:v>Future horizontal path is already a v16 driver; WUP historical surface derives from GHSL</x:v>
      </x:c>
      <x:c r="W1002" s="2" t="str">
        <x:v>https://human-settlement.emergency.copernicus.eu/datasets.php</x:v>
      </x:c>
    </x:row>
    <x:row r="1003" ht="23" customHeight="1">
      <x:c r="A1003" s="2" t="str">
        <x:v>BLR</x:v>
      </x:c>
      <x:c r="B1003" s="2" t="str">
        <x:v>Belarus (Republic of)</x:v>
      </x:c>
      <x:c r="C1003" s="2" t="str">
        <x:v>WUP_SURFACE</x:v>
      </x:c>
      <x:c r="D1003" s="2" t="n">
        <x:v>2015</x:v>
      </x:c>
      <x:c r="E1003" s="2" t="n">
        <x:v>2020</x:v>
      </x:c>
      <x:c r="F1003" s="17" t="n">
        <x:v>642607051.7109698</x:v>
      </x:c>
      <x:c r="G1003" s="17" t="n">
        <x:v>672205246.4400003</x:v>
      </x:c>
      <x:c r="H1003" s="17" t="n">
        <x:v>1192992403.9129322</x:v>
      </x:c>
      <x:c r="I1003" s="17" t="n">
        <x:v>1244644795.4009273</x:v>
      </x:c>
      <x:c r="J1003" s="2" t="str">
        <x:v>m2</x:v>
      </x:c>
      <x:c r="K1003" s="15" t="n">
        <x:f>IF(AND(ISNUMBER(F1003),ISNUMBER(G1003),F1003&gt;0),G1003/F1003-1,"n.a.")</x:f>
        <x:v>0.04605955482471602</x:v>
      </x:c>
      <x:c r="L1003" s="15" t="n">
        <x:f>IF(AND(N1003,ISNUMBER(H1003),ISNUMBER(I1003),H1003&gt;0),I1003/H1003-1,"n.a.")</x:f>
        <x:v>0.043296496539775964</x:v>
      </x:c>
      <x:c r="M1003" s="20" t="n">
        <x:f>IF(AND(ISNUMBER(K1003),ISNUMBER(L1003)),100*(K1003-L1003),"n.a.")</x:f>
        <x:v>0.27630582849400565</x:v>
      </x:c>
      <x:c r="N1003" s="13" t="b">
        <x:v>1</x:v>
      </x:c>
      <x:c r="O1003" s="13" t="b">
        <x:v>1</x:v>
      </x:c>
      <x:c r="P1003" s="13" t="b">
        <x:v>0</x:v>
      </x:c>
      <x:c r="Q1003" s="2" t="str">
        <x:v>L1_numeric_partition_qualified_not_national_completeness</x:v>
      </x:c>
      <x:c r="R1003" s="2" t="str">
        <x:v>L1_numeric_partition_qualified_not_national_completeness</x:v>
      </x:c>
      <x:c r="S1003" s="2" t="str">
        <x:v>historical_GHSL_BU_estimate</x:v>
      </x:c>
      <x:c r="T1003" s="2" t="str">
        <x:v>historical_GHSL_BU_estimate</x:v>
      </x:c>
      <x:c r="U1003" s="2" t="str">
        <x:v>GFA growth versus source physical quantity growth; constant conversion required for equality</x:v>
      </x:c>
      <x:c r="V1003" s="2" t="str">
        <x:v>Future horizontal path is already a v16 driver; WUP historical surface derives from GHSL</x:v>
      </x:c>
      <x:c r="W1003" s="2" t="str">
        <x:v>https://human-settlement.emergency.copernicus.eu/datasets.php</x:v>
      </x:c>
    </x:row>
    <x:row r="1004" ht="23" customHeight="1">
      <x:c r="A1004" s="2" t="str">
        <x:v>BLZ</x:v>
      </x:c>
      <x:c r="B1004" s="2" t="str">
        <x:v>Belize</x:v>
      </x:c>
      <x:c r="C1004" s="2" t="str">
        <x:v>WUP_SURFACE</x:v>
      </x:c>
      <x:c r="D1004" s="2" t="n">
        <x:v>2015</x:v>
      </x:c>
      <x:c r="E1004" s="2" t="n">
        <x:v>2020</x:v>
      </x:c>
      <x:c r="F1004" s="17" t="n">
        <x:v>16540709.810359346</x:v>
      </x:c>
      <x:c r="G1004" s="17" t="n">
        <x:v>21867714.339999966</x:v>
      </x:c>
      <x:c r="H1004" s="17" t="n">
        <x:v>38755279.0130311</x:v>
      </x:c>
      <x:c r="I1004" s="17" t="n">
        <x:v>51048240.931582086</x:v>
      </x:c>
      <x:c r="J1004" s="2" t="str">
        <x:v>m2</x:v>
      </x:c>
      <x:c r="K1004" s="15" t="n">
        <x:f>IF(AND(ISNUMBER(F1004),ISNUMBER(G1004),F1004&gt;0),G1004/F1004-1,"n.a.")</x:f>
        <x:v>0.3220541676092008</x:v>
      </x:c>
      <x:c r="L1004" s="15" t="n">
        <x:f>IF(AND(N1004,ISNUMBER(H1004),ISNUMBER(I1004),H1004&gt;0),I1004/H1004-1,"n.a.")</x:f>
        <x:v>0.31719451469869653</x:v>
      </x:c>
      <x:c r="M1004" s="20" t="n">
        <x:f>IF(AND(ISNUMBER(K1004),ISNUMBER(L1004)),100*(K1004-L1004),"n.a.")</x:f>
        <x:v>0.4859652910504275</x:v>
      </x:c>
      <x:c r="N1004" s="13" t="b">
        <x:v>1</x:v>
      </x:c>
      <x:c r="O1004" s="13" t="b">
        <x:v>1</x:v>
      </x:c>
      <x:c r="P1004" s="13" t="b">
        <x:v>0</x:v>
      </x:c>
      <x:c r="Q1004" s="2" t="str">
        <x:v>L1_numeric_partition_qualified_not_national_completeness</x:v>
      </x:c>
      <x:c r="R1004" s="2" t="str">
        <x:v>L1_numeric_partition_qualified_not_national_completeness</x:v>
      </x:c>
      <x:c r="S1004" s="2" t="str">
        <x:v>historical_GHSL_BU_estimate</x:v>
      </x:c>
      <x:c r="T1004" s="2" t="str">
        <x:v>historical_GHSL_BU_estimate</x:v>
      </x:c>
      <x:c r="U1004" s="2" t="str">
        <x:v>GFA growth versus source physical quantity growth; constant conversion required for equality</x:v>
      </x:c>
      <x:c r="V1004" s="2" t="str">
        <x:v>Future horizontal path is already a v16 driver; WUP historical surface derives from GHSL</x:v>
      </x:c>
      <x:c r="W1004" s="2" t="str">
        <x:v>https://human-settlement.emergency.copernicus.eu/datasets.php</x:v>
      </x:c>
    </x:row>
    <x:row r="1005" ht="23" customHeight="1">
      <x:c r="A1005" s="2" t="str">
        <x:v>BOL</x:v>
      </x:c>
      <x:c r="B1005" s="2" t="str">
        <x:v>Bolivia (Plurinational State of)</x:v>
      </x:c>
      <x:c r="C1005" s="2" t="str">
        <x:v>WUP_SURFACE</x:v>
      </x:c>
      <x:c r="D1005" s="2" t="n">
        <x:v>2015</x:v>
      </x:c>
      <x:c r="E1005" s="2" t="n">
        <x:v>2020</x:v>
      </x:c>
      <x:c r="F1005" s="17" t="n">
        <x:v>459985037.8168253</x:v>
      </x:c>
      <x:c r="G1005" s="17" t="n">
        <x:v>496419008.9399992</x:v>
      </x:c>
      <x:c r="H1005" s="17" t="n">
        <x:v>665195272.3301151</x:v>
      </x:c>
      <x:c r="I1005" s="17" t="n">
        <x:v>712494665.0899172</x:v>
      </x:c>
      <x:c r="J1005" s="2" t="str">
        <x:v>m2</x:v>
      </x:c>
      <x:c r="K1005" s="15" t="n">
        <x:f>IF(AND(ISNUMBER(F1005),ISNUMBER(G1005),F1005&gt;0),G1005/F1005-1,"n.a.")</x:f>
        <x:v>0.07920686137117938</x:v>
      </x:c>
      <x:c r="L1005" s="15" t="n">
        <x:f>IF(AND(N1005,ISNUMBER(H1005),ISNUMBER(I1005),H1005&gt;0),I1005/H1005-1,"n.a.")</x:f>
        <x:v>0.07110602664705801</x:v>
      </x:c>
      <x:c r="M1005" s="20" t="n">
        <x:f>IF(AND(ISNUMBER(K1005),ISNUMBER(L1005)),100*(K1005-L1005),"n.a.")</x:f>
        <x:v>0.8100834724121375</x:v>
      </x:c>
      <x:c r="N1005" s="13" t="b">
        <x:v>1</x:v>
      </x:c>
      <x:c r="O1005" s="13" t="b">
        <x:v>1</x:v>
      </x:c>
      <x:c r="P1005" s="13" t="b">
        <x:v>0</x:v>
      </x:c>
      <x:c r="Q1005" s="2" t="str">
        <x:v>L1_numeric_partition_qualified_not_national_completeness</x:v>
      </x:c>
      <x:c r="R1005" s="2" t="str">
        <x:v>L1_numeric_partition_qualified_not_national_completeness</x:v>
      </x:c>
      <x:c r="S1005" s="2" t="str">
        <x:v>historical_GHSL_BU_estimate</x:v>
      </x:c>
      <x:c r="T1005" s="2" t="str">
        <x:v>historical_GHSL_BU_estimate</x:v>
      </x:c>
      <x:c r="U1005" s="2" t="str">
        <x:v>GFA growth versus source physical quantity growth; constant conversion required for equality</x:v>
      </x:c>
      <x:c r="V1005" s="2" t="str">
        <x:v>Future horizontal path is already a v16 driver; WUP historical surface derives from GHSL</x:v>
      </x:c>
      <x:c r="W1005" s="2" t="str">
        <x:v>https://human-settlement.emergency.copernicus.eu/datasets.php</x:v>
      </x:c>
    </x:row>
    <x:row r="1006" ht="23" customHeight="1">
      <x:c r="A1006" s="2" t="str">
        <x:v>BRA</x:v>
      </x:c>
      <x:c r="B1006" s="2" t="str">
        <x:v>Brazil (Federative Republic of)</x:v>
      </x:c>
      <x:c r="C1006" s="2" t="str">
        <x:v>WUP_SURFACE</x:v>
      </x:c>
      <x:c r="D1006" s="2" t="n">
        <x:v>2015</x:v>
      </x:c>
      <x:c r="E1006" s="2" t="n">
        <x:v>2020</x:v>
      </x:c>
      <x:c r="F1006" s="17" t="n">
        <x:v>11501843459.570875</x:v>
      </x:c>
      <x:c r="G1006" s="17" t="n">
        <x:v>12112839681.859997</x:v>
      </x:c>
      <x:c r="H1006" s="17" t="n">
        <x:v>15126796642.089466</x:v>
      </x:c>
      <x:c r="I1006" s="17" t="n">
        <x:v>15838096315.129276</x:v>
      </x:c>
      <x:c r="J1006" s="2" t="str">
        <x:v>m2</x:v>
      </x:c>
      <x:c r="K1006" s="15" t="n">
        <x:f>IF(AND(ISNUMBER(F1006),ISNUMBER(G1006),F1006&gt;0),G1006/F1006-1,"n.a.")</x:f>
        <x:v>0.053121590850786715</x:v>
      </x:c>
      <x:c r="L1006" s="15" t="n">
        <x:f>IF(AND(N1006,ISNUMBER(H1006),ISNUMBER(I1006),H1006&gt;0),I1006/H1006-1,"n.a.")</x:f>
        <x:v>0.04702249193068808</x:v>
      </x:c>
      <x:c r="M1006" s="20" t="n">
        <x:f>IF(AND(ISNUMBER(K1006),ISNUMBER(L1006)),100*(K1006-L1006),"n.a.")</x:f>
        <x:v>0.6099098920098633</x:v>
      </x:c>
      <x:c r="N1006" s="13" t="b">
        <x:v>1</x:v>
      </x:c>
      <x:c r="O1006" s="13" t="b">
        <x:v>1</x:v>
      </x:c>
      <x:c r="P1006" s="13" t="b">
        <x:v>0</x:v>
      </x:c>
      <x:c r="Q1006" s="2" t="str">
        <x:v>L1_numeric_partition_qualified_not_national_completeness</x:v>
      </x:c>
      <x:c r="R1006" s="2" t="str">
        <x:v>L1_numeric_partition_qualified_not_national_completeness</x:v>
      </x:c>
      <x:c r="S1006" s="2" t="str">
        <x:v>historical_GHSL_BU_estimate</x:v>
      </x:c>
      <x:c r="T1006" s="2" t="str">
        <x:v>historical_GHSL_BU_estimate</x:v>
      </x:c>
      <x:c r="U1006" s="2" t="str">
        <x:v>GFA growth versus source physical quantity growth; constant conversion required for equality</x:v>
      </x:c>
      <x:c r="V1006" s="2" t="str">
        <x:v>Future horizontal path is already a v16 driver; WUP historical surface derives from GHSL</x:v>
      </x:c>
      <x:c r="W1006" s="2" t="str">
        <x:v>https://human-settlement.emergency.copernicus.eu/datasets.php</x:v>
      </x:c>
    </x:row>
    <x:row r="1007" ht="23" customHeight="1">
      <x:c r="A1007" s="2" t="str">
        <x:v>BRB</x:v>
      </x:c>
      <x:c r="B1007" s="2" t="str">
        <x:v>Barbados</x:v>
      </x:c>
      <x:c r="C1007" s="2" t="str">
        <x:v>WUP_SURFACE</x:v>
      </x:c>
      <x:c r="D1007" s="2" t="n">
        <x:v>2015</x:v>
      </x:c>
      <x:c r="E1007" s="2" t="n">
        <x:v>2020</x:v>
      </x:c>
      <x:c r="F1007" s="17" t="n">
        <x:v>17895946.814018443</x:v>
      </x:c>
      <x:c r="G1007" s="17" t="n">
        <x:v>23684585.840000004</x:v>
      </x:c>
      <x:c r="H1007" s="17" t="n">
        <x:v>30322661.99265689</x:v>
      </x:c>
      <x:c r="I1007" s="17" t="n">
        <x:v>40156877.050634645</x:v>
      </x:c>
      <x:c r="J1007" s="2" t="str">
        <x:v>m2</x:v>
      </x:c>
      <x:c r="K1007" s="15" t="n">
        <x:f>IF(AND(ISNUMBER(F1007),ISNUMBER(G1007),F1007&gt;0),G1007/F1007-1,"n.a.")</x:f>
        <x:v>0.32346089794182564</x:v>
      </x:c>
      <x:c r="L1007" s="15" t="n">
        <x:f>IF(AND(N1007,ISNUMBER(H1007),ISNUMBER(I1007),H1007&gt;0),I1007/H1007-1,"n.a.")</x:f>
        <x:v>0.3243189882326052</x:v>
      </x:c>
      <x:c r="M1007" s="20" t="n">
        <x:f>IF(AND(ISNUMBER(K1007),ISNUMBER(L1007)),100*(K1007-L1007),"n.a.")</x:f>
        <x:v>-0.08580902907795451</x:v>
      </x:c>
      <x:c r="N1007" s="13" t="b">
        <x:v>1</x:v>
      </x:c>
      <x:c r="O1007" s="13" t="b">
        <x:v>1</x:v>
      </x:c>
      <x:c r="P1007" s="13" t="b">
        <x:v>0</x:v>
      </x:c>
      <x:c r="Q1007" s="2" t="str">
        <x:v>L1_numeric_partition_qualified_not_national_completeness</x:v>
      </x:c>
      <x:c r="R1007" s="2" t="str">
        <x:v>L1_numeric_partition_qualified_not_national_completeness</x:v>
      </x:c>
      <x:c r="S1007" s="2" t="str">
        <x:v>historical_GHSL_BU_estimate</x:v>
      </x:c>
      <x:c r="T1007" s="2" t="str">
        <x:v>historical_GHSL_BU_estimate</x:v>
      </x:c>
      <x:c r="U1007" s="2" t="str">
        <x:v>GFA growth versus source physical quantity growth; constant conversion required for equality</x:v>
      </x:c>
      <x:c r="V1007" s="2" t="str">
        <x:v>Future horizontal path is already a v16 driver; WUP historical surface derives from GHSL</x:v>
      </x:c>
      <x:c r="W1007" s="2" t="str">
        <x:v>https://human-settlement.emergency.copernicus.eu/datasets.php</x:v>
      </x:c>
    </x:row>
    <x:row r="1008" ht="23" customHeight="1">
      <x:c r="A1008" s="2" t="str">
        <x:v>BRN</x:v>
      </x:c>
      <x:c r="B1008" s="2" t="str">
        <x:v>Brunei Darussalam</x:v>
      </x:c>
      <x:c r="C1008" s="2" t="str">
        <x:v>WUP_SURFACE</x:v>
      </x:c>
      <x:c r="D1008" s="2" t="n">
        <x:v>2015</x:v>
      </x:c>
      <x:c r="E1008" s="2" t="n">
        <x:v>2020</x:v>
      </x:c>
      <x:c r="F1008" s="17" t="n">
        <x:v>34359495.97534139</x:v>
      </x:c>
      <x:c r="G1008" s="17" t="n">
        <x:v>37849769.86000001</x:v>
      </x:c>
      <x:c r="H1008" s="17" t="n">
        <x:v>48481080.043870635</x:v>
      </x:c>
      <x:c r="I1008" s="17" t="n">
        <x:v>53555230.01312929</x:v>
      </x:c>
      <x:c r="J1008" s="2" t="str">
        <x:v>m2</x:v>
      </x:c>
      <x:c r="K1008" s="15" t="n">
        <x:f>IF(AND(ISNUMBER(F1008),ISNUMBER(G1008),F1008&gt;0),G1008/F1008-1,"n.a.")</x:f>
        <x:v>0.10158105599580014</x:v>
      </x:c>
      <x:c r="L1008" s="15" t="n">
        <x:f>IF(AND(N1008,ISNUMBER(H1008),ISNUMBER(I1008),H1008&gt;0),I1008/H1008-1,"n.a.")</x:f>
        <x:v>0.1046624779123535</x:v>
      </x:c>
      <x:c r="M1008" s="20" t="n">
        <x:f>IF(AND(ISNUMBER(K1008),ISNUMBER(L1008)),100*(K1008-L1008),"n.a.")</x:f>
        <x:v>-0.3081421916553362</x:v>
      </x:c>
      <x:c r="N1008" s="13" t="b">
        <x:v>1</x:v>
      </x:c>
      <x:c r="O1008" s="13" t="b">
        <x:v>1</x:v>
      </x:c>
      <x:c r="P1008" s="13" t="b">
        <x:v>0</x:v>
      </x:c>
      <x:c r="Q1008" s="2" t="str">
        <x:v>L1_numeric_partition_qualified_not_national_completeness</x:v>
      </x:c>
      <x:c r="R1008" s="2" t="str">
        <x:v>L1_numeric_partition_qualified_not_national_completeness</x:v>
      </x:c>
      <x:c r="S1008" s="2" t="str">
        <x:v>historical_GHSL_BU_estimate</x:v>
      </x:c>
      <x:c r="T1008" s="2" t="str">
        <x:v>historical_GHSL_BU_estimate</x:v>
      </x:c>
      <x:c r="U1008" s="2" t="str">
        <x:v>GFA growth versus source physical quantity growth; constant conversion required for equality</x:v>
      </x:c>
      <x:c r="V1008" s="2" t="str">
        <x:v>Future horizontal path is already a v16 driver; WUP historical surface derives from GHSL</x:v>
      </x:c>
      <x:c r="W1008" s="2" t="str">
        <x:v>https://human-settlement.emergency.copernicus.eu/datasets.php</x:v>
      </x:c>
    </x:row>
    <x:row r="1009" ht="23" customHeight="1">
      <x:c r="A1009" s="2" t="str">
        <x:v>BTN</x:v>
      </x:c>
      <x:c r="B1009" s="2" t="str">
        <x:v>Bhutan (Kingdom of)</x:v>
      </x:c>
      <x:c r="C1009" s="2" t="str">
        <x:v>WUP_SURFACE</x:v>
      </x:c>
      <x:c r="D1009" s="2" t="n">
        <x:v>2015</x:v>
      </x:c>
      <x:c r="E1009" s="2" t="n">
        <x:v>2020</x:v>
      </x:c>
      <x:c r="F1009" s="17" t="n">
        <x:v>21797976.569607902</x:v>
      </x:c>
      <x:c r="G1009" s="17" t="n">
        <x:v>27177544.510000043</x:v>
      </x:c>
      <x:c r="H1009" s="17" t="n">
        <x:v>25134772.986944996</x:v>
      </x:c>
      <x:c r="I1009" s="17" t="n">
        <x:v>31148447.98729871</x:v>
      </x:c>
      <x:c r="J1009" s="2" t="str">
        <x:v>m2</x:v>
      </x:c>
      <x:c r="K1009" s="15" t="n">
        <x:f>IF(AND(ISNUMBER(F1009),ISNUMBER(G1009),F1009&gt;0),G1009/F1009-1,"n.a.")</x:f>
        <x:v>0.2467920783020141</x:v>
      </x:c>
      <x:c r="L1009" s="15" t="n">
        <x:f>IF(AND(N1009,ISNUMBER(H1009),ISNUMBER(I1009),H1009&gt;0),I1009/H1009-1,"n.a.")</x:f>
        <x:v>0.23925718380178784</x:v>
      </x:c>
      <x:c r="M1009" s="20" t="n">
        <x:f>IF(AND(ISNUMBER(K1009),ISNUMBER(L1009)),100*(K1009-L1009),"n.a.")</x:f>
        <x:v>0.7534894500226264</x:v>
      </x:c>
      <x:c r="N1009" s="13" t="b">
        <x:v>1</x:v>
      </x:c>
      <x:c r="O1009" s="13" t="b">
        <x:v>1</x:v>
      </x:c>
      <x:c r="P1009" s="13" t="b">
        <x:v>0</x:v>
      </x:c>
      <x:c r="Q1009" s="2" t="str">
        <x:v>L1_numeric_partition_qualified_not_national_completeness</x:v>
      </x:c>
      <x:c r="R1009" s="2" t="str">
        <x:v>L1_numeric_partition_qualified_not_national_completeness</x:v>
      </x:c>
      <x:c r="S1009" s="2" t="str">
        <x:v>historical_GHSL_BU_estimate</x:v>
      </x:c>
      <x:c r="T1009" s="2" t="str">
        <x:v>historical_GHSL_BU_estimate</x:v>
      </x:c>
      <x:c r="U1009" s="2" t="str">
        <x:v>GFA growth versus source physical quantity growth; constant conversion required for equality</x:v>
      </x:c>
      <x:c r="V1009" s="2" t="str">
        <x:v>Future horizontal path is already a v16 driver; WUP historical surface derives from GHSL</x:v>
      </x:c>
      <x:c r="W1009" s="2" t="str">
        <x:v>https://human-settlement.emergency.copernicus.eu/datasets.php</x:v>
      </x:c>
    </x:row>
    <x:row r="1010" ht="23" customHeight="1">
      <x:c r="A1010" s="2" t="str">
        <x:v>BWA</x:v>
      </x:c>
      <x:c r="B1010" s="2" t="str">
        <x:v>Botswana (Republic of)</x:v>
      </x:c>
      <x:c r="C1010" s="2" t="str">
        <x:v>WUP_SURFACE</x:v>
      </x:c>
      <x:c r="D1010" s="2" t="n">
        <x:v>2015</x:v>
      </x:c>
      <x:c r="E1010" s="2" t="n">
        <x:v>2020</x:v>
      </x:c>
      <x:c r="F1010" s="17" t="n">
        <x:v>111331344.3203508</x:v>
      </x:c>
      <x:c r="G1010" s="17" t="n">
        <x:v>118564613.02000009</x:v>
      </x:c>
      <x:c r="H1010" s="17" t="n">
        <x:v>453581156.1333147</x:v>
      </x:c>
      <x:c r="I1010" s="17" t="n">
        <x:v>479517869.1935612</x:v>
      </x:c>
      <x:c r="J1010" s="2" t="str">
        <x:v>m2</x:v>
      </x:c>
      <x:c r="K1010" s="15" t="n">
        <x:f>IF(AND(ISNUMBER(F1010),ISNUMBER(G1010),F1010&gt;0),G1010/F1010-1,"n.a.")</x:f>
        <x:v>0.06497064006373532</x:v>
      </x:c>
      <x:c r="L1010" s="15" t="n">
        <x:f>IF(AND(N1010,ISNUMBER(H1010),ISNUMBER(I1010),H1010&gt;0),I1010/H1010-1,"n.a.")</x:f>
        <x:v>0.0571820780240333</x:v>
      </x:c>
      <x:c r="M1010" s="20" t="n">
        <x:f>IF(AND(ISNUMBER(K1010),ISNUMBER(L1010)),100*(K1010-L1010),"n.a.")</x:f>
        <x:v>0.7788562039702018</x:v>
      </x:c>
      <x:c r="N1010" s="13" t="b">
        <x:v>1</x:v>
      </x:c>
      <x:c r="O1010" s="13" t="b">
        <x:v>1</x:v>
      </x:c>
      <x:c r="P1010" s="13" t="b">
        <x:v>0</x:v>
      </x:c>
      <x:c r="Q1010" s="2" t="str">
        <x:v>L1_numeric_partition_qualified_not_national_completeness</x:v>
      </x:c>
      <x:c r="R1010" s="2" t="str">
        <x:v>L1_numeric_partition_qualified_not_national_completeness</x:v>
      </x:c>
      <x:c r="S1010" s="2" t="str">
        <x:v>historical_GHSL_BU_estimate</x:v>
      </x:c>
      <x:c r="T1010" s="2" t="str">
        <x:v>historical_GHSL_BU_estimate</x:v>
      </x:c>
      <x:c r="U1010" s="2" t="str">
        <x:v>GFA growth versus source physical quantity growth; constant conversion required for equality</x:v>
      </x:c>
      <x:c r="V1010" s="2" t="str">
        <x:v>Future horizontal path is already a v16 driver; WUP historical surface derives from GHSL</x:v>
      </x:c>
      <x:c r="W1010" s="2" t="str">
        <x:v>https://human-settlement.emergency.copernicus.eu/datasets.php</x:v>
      </x:c>
    </x:row>
    <x:row r="1011" ht="23" customHeight="1">
      <x:c r="A1011" s="2" t="str">
        <x:v>CAF</x:v>
      </x:c>
      <x:c r="B1011" s="2" t="str">
        <x:v>Central African Republic</x:v>
      </x:c>
      <x:c r="C1011" s="2" t="str">
        <x:v>WUP_SURFACE</x:v>
      </x:c>
      <x:c r="D1011" s="2" t="n">
        <x:v>2015</x:v>
      </x:c>
      <x:c r="E1011" s="2" t="n">
        <x:v>2020</x:v>
      </x:c>
      <x:c r="F1011" s="17" t="n">
        <x:v>62024265.65545923</x:v>
      </x:c>
      <x:c r="G1011" s="17" t="n">
        <x:v>66989106.04000005</x:v>
      </x:c>
      <x:c r="H1011" s="17" t="n">
        <x:v>190416065.12734428</x:v>
      </x:c>
      <x:c r="I1011" s="17" t="n">
        <x:v>203735296.06993726</x:v>
      </x:c>
      <x:c r="J1011" s="2" t="str">
        <x:v>m2</x:v>
      </x:c>
      <x:c r="K1011" s="15" t="n">
        <x:f>IF(AND(ISNUMBER(F1011),ISNUMBER(G1011),F1011&gt;0),G1011/F1011-1,"n.a.")</x:f>
        <x:v>0.08004674190130978</x:v>
      </x:c>
      <x:c r="L1011" s="15" t="n">
        <x:f>IF(AND(N1011,ISNUMBER(H1011),ISNUMBER(I1011),H1011&gt;0),I1011/H1011-1,"n.a.")</x:f>
        <x:v>0.06994804211338734</x:v>
      </x:c>
      <x:c r="M1011" s="20" t="n">
        <x:f>IF(AND(ISNUMBER(K1011),ISNUMBER(L1011)),100*(K1011-L1011),"n.a.")</x:f>
        <x:v>1.0098699787922438</x:v>
      </x:c>
      <x:c r="N1011" s="13" t="b">
        <x:v>1</x:v>
      </x:c>
      <x:c r="O1011" s="13" t="b">
        <x:v>1</x:v>
      </x:c>
      <x:c r="P1011" s="13" t="b">
        <x:v>0</x:v>
      </x:c>
      <x:c r="Q1011" s="2" t="str">
        <x:v>L1_numeric_partition_qualified_not_national_completeness</x:v>
      </x:c>
      <x:c r="R1011" s="2" t="str">
        <x:v>L1_numeric_partition_qualified_not_national_completeness</x:v>
      </x:c>
      <x:c r="S1011" s="2" t="str">
        <x:v>historical_GHSL_BU_estimate</x:v>
      </x:c>
      <x:c r="T1011" s="2" t="str">
        <x:v>historical_GHSL_BU_estimate</x:v>
      </x:c>
      <x:c r="U1011" s="2" t="str">
        <x:v>GFA growth versus source physical quantity growth; constant conversion required for equality</x:v>
      </x:c>
      <x:c r="V1011" s="2" t="str">
        <x:v>Future horizontal path is already a v16 driver; WUP historical surface derives from GHSL</x:v>
      </x:c>
      <x:c r="W1011" s="2" t="str">
        <x:v>https://human-settlement.emergency.copernicus.eu/datasets.php</x:v>
      </x:c>
    </x:row>
    <x:row r="1012" ht="23" customHeight="1">
      <x:c r="A1012" s="2" t="str">
        <x:v>CAN</x:v>
      </x:c>
      <x:c r="B1012" s="2" t="str">
        <x:v>Canada</x:v>
      </x:c>
      <x:c r="C1012" s="2" t="str">
        <x:v>WUP_SURFACE</x:v>
      </x:c>
      <x:c r="D1012" s="2" t="n">
        <x:v>2015</x:v>
      </x:c>
      <x:c r="E1012" s="2" t="n">
        <x:v>2020</x:v>
      </x:c>
      <x:c r="F1012" s="17" t="n">
        <x:v>2816886264.1935463</x:v>
      </x:c>
      <x:c r="G1012" s="17" t="n">
        <x:v>2941628265.260001</x:v>
      </x:c>
      <x:c r="H1012" s="17" t="n">
        <x:v>4791913814.245493</x:v>
      </x:c>
      <x:c r="I1012" s="17" t="n">
        <x:v>4959638580.022324</x:v>
      </x:c>
      <x:c r="J1012" s="2" t="str">
        <x:v>m2</x:v>
      </x:c>
      <x:c r="K1012" s="15" t="n">
        <x:f>IF(AND(ISNUMBER(F1012),ISNUMBER(G1012),F1012&gt;0),G1012/F1012-1,"n.a.")</x:f>
        <x:v>0.044283648456842295</x:v>
      </x:c>
      <x:c r="L1012" s="15" t="n">
        <x:f>IF(AND(N1012,ISNUMBER(H1012),ISNUMBER(I1012),H1012&gt;0),I1012/H1012-1,"n.a.")</x:f>
        <x:v>0.03500162404386642</x:v>
      </x:c>
      <x:c r="M1012" s="20" t="n">
        <x:f>IF(AND(ISNUMBER(K1012),ISNUMBER(L1012)),100*(K1012-L1012),"n.a.")</x:f>
        <x:v>0.9282024412975876</x:v>
      </x:c>
      <x:c r="N1012" s="13" t="b">
        <x:v>1</x:v>
      </x:c>
      <x:c r="O1012" s="13" t="b">
        <x:v>1</x:v>
      </x:c>
      <x:c r="P1012" s="13" t="b">
        <x:v>0</x:v>
      </x:c>
      <x:c r="Q1012" s="2" t="str">
        <x:v>L1_numeric_partition_qualified_not_national_completeness</x:v>
      </x:c>
      <x:c r="R1012" s="2" t="str">
        <x:v>L1_numeric_partition_qualified_not_national_completeness</x:v>
      </x:c>
      <x:c r="S1012" s="2" t="str">
        <x:v>historical_GHSL_BU_estimate</x:v>
      </x:c>
      <x:c r="T1012" s="2" t="str">
        <x:v>historical_GHSL_BU_estimate</x:v>
      </x:c>
      <x:c r="U1012" s="2" t="str">
        <x:v>GFA growth versus source physical quantity growth; constant conversion required for equality</x:v>
      </x:c>
      <x:c r="V1012" s="2" t="str">
        <x:v>Future horizontal path is already a v16 driver; WUP historical surface derives from GHSL</x:v>
      </x:c>
      <x:c r="W1012" s="2" t="str">
        <x:v>https://human-settlement.emergency.copernicus.eu/datasets.php</x:v>
      </x:c>
    </x:row>
    <x:row r="1013" ht="23" customHeight="1">
      <x:c r="A1013" s="2" t="str">
        <x:v>CHE</x:v>
      </x:c>
      <x:c r="B1013" s="2" t="str">
        <x:v>Switzerland (Swiss Confederation)</x:v>
      </x:c>
      <x:c r="C1013" s="2" t="str">
        <x:v>WUP_SURFACE</x:v>
      </x:c>
      <x:c r="D1013" s="2" t="n">
        <x:v>2015</x:v>
      </x:c>
      <x:c r="E1013" s="2" t="n">
        <x:v>2020</x:v>
      </x:c>
      <x:c r="F1013" s="17" t="n">
        <x:v>523761622.51901233</x:v>
      </x:c>
      <x:c r="G1013" s="17" t="n">
        <x:v>554094959.2900008</x:v>
      </x:c>
      <x:c r="H1013" s="17" t="n">
        <x:v>744947862.3486121</x:v>
      </x:c>
      <x:c r="I1013" s="17" t="n">
        <x:v>781136767.810239</x:v>
      </x:c>
      <x:c r="J1013" s="2" t="str">
        <x:v>m2</x:v>
      </x:c>
      <x:c r="K1013" s="15" t="n">
        <x:f>IF(AND(ISNUMBER(F1013),ISNUMBER(G1013),F1013&gt;0),G1013/F1013-1,"n.a.")</x:f>
        <x:v>0.05791439362262052</x:v>
      </x:c>
      <x:c r="L1013" s="15" t="n">
        <x:f>IF(AND(N1013,ISNUMBER(H1013),ISNUMBER(I1013),H1013&gt;0),I1013/H1013-1,"n.a.")</x:f>
        <x:v>0.04857911176163854</x:v>
      </x:c>
      <x:c r="M1013" s="20" t="n">
        <x:f>IF(AND(ISNUMBER(K1013),ISNUMBER(L1013)),100*(K1013-L1013),"n.a.")</x:f>
        <x:v>0.9335281860981981</x:v>
      </x:c>
      <x:c r="N1013" s="13" t="b">
        <x:v>1</x:v>
      </x:c>
      <x:c r="O1013" s="13" t="b">
        <x:v>1</x:v>
      </x:c>
      <x:c r="P1013" s="13" t="b">
        <x:v>0</x:v>
      </x:c>
      <x:c r="Q1013" s="2" t="str">
        <x:v>L1_numeric_partition_qualified_not_national_completeness</x:v>
      </x:c>
      <x:c r="R1013" s="2" t="str">
        <x:v>L1_numeric_partition_qualified_not_national_completeness</x:v>
      </x:c>
      <x:c r="S1013" s="2" t="str">
        <x:v>historical_GHSL_BU_estimate</x:v>
      </x:c>
      <x:c r="T1013" s="2" t="str">
        <x:v>historical_GHSL_BU_estimate</x:v>
      </x:c>
      <x:c r="U1013" s="2" t="str">
        <x:v>GFA growth versus source physical quantity growth; constant conversion required for equality</x:v>
      </x:c>
      <x:c r="V1013" s="2" t="str">
        <x:v>Future horizontal path is already a v16 driver; WUP historical surface derives from GHSL</x:v>
      </x:c>
      <x:c r="W1013" s="2" t="str">
        <x:v>https://human-settlement.emergency.copernicus.eu/datasets.php</x:v>
      </x:c>
    </x:row>
    <x:row r="1014" ht="23" customHeight="1">
      <x:c r="A1014" s="2" t="str">
        <x:v>CHL</x:v>
      </x:c>
      <x:c r="B1014" s="2" t="str">
        <x:v>Chile (Republic of)</x:v>
      </x:c>
      <x:c r="C1014" s="2" t="str">
        <x:v>WUP_SURFACE</x:v>
      </x:c>
      <x:c r="D1014" s="2" t="n">
        <x:v>2015</x:v>
      </x:c>
      <x:c r="E1014" s="2" t="n">
        <x:v>2020</x:v>
      </x:c>
      <x:c r="F1014" s="17" t="n">
        <x:v>948297662.3062444</x:v>
      </x:c>
      <x:c r="G1014" s="17" t="n">
        <x:v>986436316.0700014</x:v>
      </x:c>
      <x:c r="H1014" s="17" t="n">
        <x:v>1288502522.5624878</x:v>
      </x:c>
      <x:c r="I1014" s="17" t="n">
        <x:v>1327922613.9074051</x:v>
      </x:c>
      <x:c r="J1014" s="2" t="str">
        <x:v>m2</x:v>
      </x:c>
      <x:c r="K1014" s="15" t="n">
        <x:f>IF(AND(ISNUMBER(F1014),ISNUMBER(G1014),F1014&gt;0),G1014/F1014-1,"n.a.")</x:f>
        <x:v>0.04021801938328573</x:v>
      </x:c>
      <x:c r="L1014" s="15" t="n">
        <x:f>IF(AND(N1014,ISNUMBER(H1014),ISNUMBER(I1014),H1014&gt;0),I1014/H1014-1,"n.a.")</x:f>
        <x:v>0.03059372461803278</x:v>
      </x:c>
      <x:c r="M1014" s="20" t="n">
        <x:f>IF(AND(ISNUMBER(K1014),ISNUMBER(L1014)),100*(K1014-L1014),"n.a.")</x:f>
        <x:v>0.962429476525295</x:v>
      </x:c>
      <x:c r="N1014" s="13" t="b">
        <x:v>1</x:v>
      </x:c>
      <x:c r="O1014" s="13" t="b">
        <x:v>1</x:v>
      </x:c>
      <x:c r="P1014" s="13" t="b">
        <x:v>0</x:v>
      </x:c>
      <x:c r="Q1014" s="2" t="str">
        <x:v>L1_numeric_partition_qualified_not_national_completeness</x:v>
      </x:c>
      <x:c r="R1014" s="2" t="str">
        <x:v>L1_numeric_partition_qualified_not_national_completeness</x:v>
      </x:c>
      <x:c r="S1014" s="2" t="str">
        <x:v>historical_GHSL_BU_estimate</x:v>
      </x:c>
      <x:c r="T1014" s="2" t="str">
        <x:v>historical_GHSL_BU_estimate</x:v>
      </x:c>
      <x:c r="U1014" s="2" t="str">
        <x:v>GFA growth versus source physical quantity growth; constant conversion required for equality</x:v>
      </x:c>
      <x:c r="V1014" s="2" t="str">
        <x:v>Future horizontal path is already a v16 driver; WUP historical surface derives from GHSL</x:v>
      </x:c>
      <x:c r="W1014" s="2" t="str">
        <x:v>https://human-settlement.emergency.copernicus.eu/datasets.php</x:v>
      </x:c>
    </x:row>
    <x:row r="1015" ht="23" customHeight="1">
      <x:c r="A1015" s="2" t="str">
        <x:v>CHN</x:v>
      </x:c>
      <x:c r="B1015" s="2" t="str">
        <x:v>China (People's Republic of)</x:v>
      </x:c>
      <x:c r="C1015" s="2" t="str">
        <x:v>WUP_SURFACE</x:v>
      </x:c>
      <x:c r="D1015" s="2" t="n">
        <x:v>2015</x:v>
      </x:c>
      <x:c r="E1015" s="2" t="n">
        <x:v>2020</x:v>
      </x:c>
      <x:c r="F1015" s="17" t="n">
        <x:v>76119805856.33177</x:v>
      </x:c>
      <x:c r="G1015" s="17" t="n">
        <x:v>86144650012.34993</x:v>
      </x:c>
      <x:c r="H1015" s="17" t="n">
        <x:v>72742101885.07967</x:v>
      </x:c>
      <x:c r="I1015" s="17" t="n">
        <x:v>81846582898.93993</x:v>
      </x:c>
      <x:c r="J1015" s="2" t="str">
        <x:v>m2</x:v>
      </x:c>
      <x:c r="K1015" s="15" t="n">
        <x:f>IF(AND(ISNUMBER(F1015),ISNUMBER(G1015),F1015&gt;0),G1015/F1015-1,"n.a.")</x:f>
        <x:v>0.13169823600100883</x:v>
      </x:c>
      <x:c r="L1015" s="15" t="n">
        <x:f>IF(AND(N1015,ISNUMBER(H1015),ISNUMBER(I1015),H1015&gt;0),I1015/H1015-1,"n.a.")</x:f>
        <x:v>0.12516109347848947</x:v>
      </x:c>
      <x:c r="M1015" s="20" t="n">
        <x:f>IF(AND(ISNUMBER(K1015),ISNUMBER(L1015)),100*(K1015-L1015),"n.a.")</x:f>
        <x:v>0.6537142522519357</x:v>
      </x:c>
      <x:c r="N1015" s="13" t="b">
        <x:v>1</x:v>
      </x:c>
      <x:c r="O1015" s="13" t="b">
        <x:v>1</x:v>
      </x:c>
      <x:c r="P1015" s="13" t="b">
        <x:v>0</x:v>
      </x:c>
      <x:c r="Q1015" s="2" t="str">
        <x:v>L1_numeric_partition_qualified_not_national_completeness</x:v>
      </x:c>
      <x:c r="R1015" s="2" t="str">
        <x:v>L1_numeric_partition_qualified_not_national_completeness</x:v>
      </x:c>
      <x:c r="S1015" s="2" t="str">
        <x:v>historical_GHSL_BU_estimate</x:v>
      </x:c>
      <x:c r="T1015" s="2" t="str">
        <x:v>historical_GHSL_BU_estimate</x:v>
      </x:c>
      <x:c r="U1015" s="2" t="str">
        <x:v>GFA growth versus source physical quantity growth; constant conversion required for equality</x:v>
      </x:c>
      <x:c r="V1015" s="2" t="str">
        <x:v>Future horizontal path is already a v16 driver; WUP historical surface derives from GHSL</x:v>
      </x:c>
      <x:c r="W1015" s="2" t="str">
        <x:v>https://human-settlement.emergency.copernicus.eu/datasets.php</x:v>
      </x:c>
    </x:row>
    <x:row r="1016" ht="23" customHeight="1">
      <x:c r="A1016" s="2" t="str">
        <x:v>CIV</x:v>
      </x:c>
      <x:c r="B1016" s="2" t="str">
        <x:v>Côte d'Ivoire (Republic of)</x:v>
      </x:c>
      <x:c r="C1016" s="2" t="str">
        <x:v>WUP_SURFACE</x:v>
      </x:c>
      <x:c r="D1016" s="2" t="n">
        <x:v>2015</x:v>
      </x:c>
      <x:c r="E1016" s="2" t="n">
        <x:v>2020</x:v>
      </x:c>
      <x:c r="F1016" s="17" t="n">
        <x:v>535082766.1071231</x:v>
      </x:c>
      <x:c r="G1016" s="17" t="n">
        <x:v>602828854.8199993</x:v>
      </x:c>
      <x:c r="H1016" s="17" t="n">
        <x:v>1127886680.5870824</x:v>
      </x:c>
      <x:c r="I1016" s="17" t="n">
        <x:v>1262654365.4642804</x:v>
      </x:c>
      <x:c r="J1016" s="2" t="str">
        <x:v>m2</x:v>
      </x:c>
      <x:c r="K1016" s="15" t="n">
        <x:f>IF(AND(ISNUMBER(F1016),ISNUMBER(G1016),F1016&gt;0),G1016/F1016-1,"n.a.")</x:f>
        <x:v>0.12660861646834198</x:v>
      </x:c>
      <x:c r="L1016" s="15" t="n">
        <x:f>IF(AND(N1016,ISNUMBER(H1016),ISNUMBER(I1016),H1016&gt;0),I1016/H1016-1,"n.a.")</x:f>
        <x:v>0.1194869016513691</x:v>
      </x:c>
      <x:c r="M1016" s="20" t="n">
        <x:f>IF(AND(ISNUMBER(K1016),ISNUMBER(L1016)),100*(K1016-L1016),"n.a.")</x:f>
        <x:v>0.712171481697288</x:v>
      </x:c>
      <x:c r="N1016" s="13" t="b">
        <x:v>1</x:v>
      </x:c>
      <x:c r="O1016" s="13" t="b">
        <x:v>1</x:v>
      </x:c>
      <x:c r="P1016" s="13" t="b">
        <x:v>0</x:v>
      </x:c>
      <x:c r="Q1016" s="2" t="str">
        <x:v>L1_numeric_partition_qualified_not_national_completeness</x:v>
      </x:c>
      <x:c r="R1016" s="2" t="str">
        <x:v>L1_numeric_partition_qualified_not_national_completeness</x:v>
      </x:c>
      <x:c r="S1016" s="2" t="str">
        <x:v>historical_GHSL_BU_estimate</x:v>
      </x:c>
      <x:c r="T1016" s="2" t="str">
        <x:v>historical_GHSL_BU_estimate</x:v>
      </x:c>
      <x:c r="U1016" s="2" t="str">
        <x:v>GFA growth versus source physical quantity growth; constant conversion required for equality</x:v>
      </x:c>
      <x:c r="V1016" s="2" t="str">
        <x:v>Future horizontal path is already a v16 driver; WUP historical surface derives from GHSL</x:v>
      </x:c>
      <x:c r="W1016" s="2" t="str">
        <x:v>https://human-settlement.emergency.copernicus.eu/datasets.php</x:v>
      </x:c>
    </x:row>
    <x:row r="1017" ht="23" customHeight="1">
      <x:c r="A1017" s="2" t="str">
        <x:v>CMR</x:v>
      </x:c>
      <x:c r="B1017" s="2" t="str">
        <x:v>Cameroon (Republic of)</x:v>
      </x:c>
      <x:c r="C1017" s="2" t="str">
        <x:v>WUP_SURFACE</x:v>
      </x:c>
      <x:c r="D1017" s="2" t="n">
        <x:v>2015</x:v>
      </x:c>
      <x:c r="E1017" s="2" t="n">
        <x:v>2020</x:v>
      </x:c>
      <x:c r="F1017" s="17" t="n">
        <x:v>500876494.0247831</x:v>
      </x:c>
      <x:c r="G1017" s="17" t="n">
        <x:v>577057207.8100005</x:v>
      </x:c>
      <x:c r="H1017" s="17" t="n">
        <x:v>1071942511.6175164</x:v>
      </x:c>
      <x:c r="I1017" s="17" t="n">
        <x:v>1225974917.8400168</x:v>
      </x:c>
      <x:c r="J1017" s="2" t="str">
        <x:v>m2</x:v>
      </x:c>
      <x:c r="K1017" s="15" t="n">
        <x:f>IF(AND(ISNUMBER(F1017),ISNUMBER(G1017),F1017&gt;0),G1017/F1017-1,"n.a.")</x:f>
        <x:v>0.15209480719102797</x:v>
      </x:c>
      <x:c r="L1017" s="15" t="n">
        <x:f>IF(AND(N1017,ISNUMBER(H1017),ISNUMBER(I1017),H1017&gt;0),I1017/H1017-1,"n.a.")</x:f>
        <x:v>0.14369465204815124</x:v>
      </x:c>
      <x:c r="M1017" s="20" t="n">
        <x:f>IF(AND(ISNUMBER(K1017),ISNUMBER(L1017)),100*(K1017-L1017),"n.a.")</x:f>
        <x:v>0.8400155142876731</x:v>
      </x:c>
      <x:c r="N1017" s="13" t="b">
        <x:v>1</x:v>
      </x:c>
      <x:c r="O1017" s="13" t="b">
        <x:v>1</x:v>
      </x:c>
      <x:c r="P1017" s="13" t="b">
        <x:v>0</x:v>
      </x:c>
      <x:c r="Q1017" s="2" t="str">
        <x:v>L1_numeric_partition_qualified_not_national_completeness</x:v>
      </x:c>
      <x:c r="R1017" s="2" t="str">
        <x:v>L1_numeric_partition_qualified_not_national_completeness</x:v>
      </x:c>
      <x:c r="S1017" s="2" t="str">
        <x:v>historical_GHSL_BU_estimate</x:v>
      </x:c>
      <x:c r="T1017" s="2" t="str">
        <x:v>historical_GHSL_BU_estimate</x:v>
      </x:c>
      <x:c r="U1017" s="2" t="str">
        <x:v>GFA growth versus source physical quantity growth; constant conversion required for equality</x:v>
      </x:c>
      <x:c r="V1017" s="2" t="str">
        <x:v>Future horizontal path is already a v16 driver; WUP historical surface derives from GHSL</x:v>
      </x:c>
      <x:c r="W1017" s="2" t="str">
        <x:v>https://human-settlement.emergency.copernicus.eu/datasets.php</x:v>
      </x:c>
    </x:row>
    <x:row r="1018" ht="23" customHeight="1">
      <x:c r="A1018" s="2" t="str">
        <x:v>COD</x:v>
      </x:c>
      <x:c r="B1018" s="2" t="str">
        <x:v>Congo (Democratic Republic of the)</x:v>
      </x:c>
      <x:c r="C1018" s="2" t="str">
        <x:v>WUP_SURFACE</x:v>
      </x:c>
      <x:c r="D1018" s="2" t="n">
        <x:v>2015</x:v>
      </x:c>
      <x:c r="E1018" s="2" t="n">
        <x:v>2020</x:v>
      </x:c>
      <x:c r="F1018" s="17" t="n">
        <x:v>771777552.5431249</x:v>
      </x:c>
      <x:c r="G1018" s="17" t="n">
        <x:v>941825698.8399988</x:v>
      </x:c>
      <x:c r="H1018" s="17" t="n">
        <x:v>2289181039.0932536</x:v>
      </x:c>
      <x:c r="I1018" s="17" t="n">
        <x:v>2768938805.1443105</x:v>
      </x:c>
      <x:c r="J1018" s="2" t="str">
        <x:v>m2</x:v>
      </x:c>
      <x:c r="K1018" s="15" t="n">
        <x:f>IF(AND(ISNUMBER(F1018),ISNUMBER(G1018),F1018&gt;0),G1018/F1018-1,"n.a.")</x:f>
        <x:v>0.22033310730085276</x:v>
      </x:c>
      <x:c r="L1018" s="15" t="n">
        <x:f>IF(AND(N1018,ISNUMBER(H1018),ISNUMBER(I1018),H1018&gt;0),I1018/H1018-1,"n.a.")</x:f>
        <x:v>0.20957615752447833</x:v>
      </x:c>
      <x:c r="M1018" s="20" t="n">
        <x:f>IF(AND(ISNUMBER(K1018),ISNUMBER(L1018)),100*(K1018-L1018),"n.a.")</x:f>
        <x:v>1.0756949776374425</x:v>
      </x:c>
      <x:c r="N1018" s="13" t="b">
        <x:v>1</x:v>
      </x:c>
      <x:c r="O1018" s="13" t="b">
        <x:v>1</x:v>
      </x:c>
      <x:c r="P1018" s="13" t="b">
        <x:v>0</x:v>
      </x:c>
      <x:c r="Q1018" s="2" t="str">
        <x:v>L1_numeric_partition_qualified_not_national_completeness</x:v>
      </x:c>
      <x:c r="R1018" s="2" t="str">
        <x:v>L1_numeric_partition_qualified_not_national_completeness</x:v>
      </x:c>
      <x:c r="S1018" s="2" t="str">
        <x:v>historical_GHSL_BU_estimate</x:v>
      </x:c>
      <x:c r="T1018" s="2" t="str">
        <x:v>historical_GHSL_BU_estimate</x:v>
      </x:c>
      <x:c r="U1018" s="2" t="str">
        <x:v>GFA growth versus source physical quantity growth; constant conversion required for equality</x:v>
      </x:c>
      <x:c r="V1018" s="2" t="str">
        <x:v>Future horizontal path is already a v16 driver; WUP historical surface derives from GHSL</x:v>
      </x:c>
      <x:c r="W1018" s="2" t="str">
        <x:v>https://human-settlement.emergency.copernicus.eu/datasets.php</x:v>
      </x:c>
    </x:row>
    <x:row r="1019" ht="23" customHeight="1">
      <x:c r="A1019" s="2" t="str">
        <x:v>COG</x:v>
      </x:c>
      <x:c r="B1019" s="2" t="str">
        <x:v>Congo (Republic of the)</x:v>
      </x:c>
      <x:c r="C1019" s="2" t="str">
        <x:v>WUP_SURFACE</x:v>
      </x:c>
      <x:c r="D1019" s="2" t="n">
        <x:v>2015</x:v>
      </x:c>
      <x:c r="E1019" s="2" t="n">
        <x:v>2020</x:v>
      </x:c>
      <x:c r="F1019" s="17" t="n">
        <x:v>91893894.47278675</x:v>
      </x:c>
      <x:c r="G1019" s="17" t="n">
        <x:v>110620071.65000013</x:v>
      </x:c>
      <x:c r="H1019" s="17" t="n">
        <x:v>200363548.93909824</x:v>
      </x:c>
      <x:c r="I1019" s="17" t="n">
        <x:v>240343102.9452585</x:v>
      </x:c>
      <x:c r="J1019" s="2" t="str">
        <x:v>m2</x:v>
      </x:c>
      <x:c r="K1019" s="15" t="n">
        <x:f>IF(AND(ISNUMBER(F1019),ISNUMBER(G1019),F1019&gt;0),G1019/F1019-1,"n.a.")</x:f>
        <x:v>0.20378042833693266</x:v>
      </x:c>
      <x:c r="L1019" s="15" t="n">
        <x:f>IF(AND(N1019,ISNUMBER(H1019),ISNUMBER(I1019),H1019&gt;0),I1019/H1019-1,"n.a.")</x:f>
        <x:v>0.19953506622261075</x:v>
      </x:c>
      <x:c r="M1019" s="20" t="n">
        <x:f>IF(AND(ISNUMBER(K1019),ISNUMBER(L1019)),100*(K1019-L1019),"n.a.")</x:f>
        <x:v>0.42453621143219156</x:v>
      </x:c>
      <x:c r="N1019" s="13" t="b">
        <x:v>1</x:v>
      </x:c>
      <x:c r="O1019" s="13" t="b">
        <x:v>1</x:v>
      </x:c>
      <x:c r="P1019" s="13" t="b">
        <x:v>0</x:v>
      </x:c>
      <x:c r="Q1019" s="2" t="str">
        <x:v>L1_numeric_partition_qualified_not_national_completeness</x:v>
      </x:c>
      <x:c r="R1019" s="2" t="str">
        <x:v>L1_numeric_partition_qualified_not_national_completeness</x:v>
      </x:c>
      <x:c r="S1019" s="2" t="str">
        <x:v>historical_GHSL_BU_estimate</x:v>
      </x:c>
      <x:c r="T1019" s="2" t="str">
        <x:v>historical_GHSL_BU_estimate</x:v>
      </x:c>
      <x:c r="U1019" s="2" t="str">
        <x:v>GFA growth versus source physical quantity growth; constant conversion required for equality</x:v>
      </x:c>
      <x:c r="V1019" s="2" t="str">
        <x:v>Future horizontal path is already a v16 driver; WUP historical surface derives from GHSL</x:v>
      </x:c>
      <x:c r="W1019" s="2" t="str">
        <x:v>https://human-settlement.emergency.copernicus.eu/datasets.php</x:v>
      </x:c>
    </x:row>
    <x:row r="1020" ht="23" customHeight="1">
      <x:c r="A1020" s="2" t="str">
        <x:v>COL</x:v>
      </x:c>
      <x:c r="B1020" s="2" t="str">
        <x:v>Colombia (Republic of)</x:v>
      </x:c>
      <x:c r="C1020" s="2" t="str">
        <x:v>WUP_SURFACE</x:v>
      </x:c>
      <x:c r="D1020" s="2" t="n">
        <x:v>2015</x:v>
      </x:c>
      <x:c r="E1020" s="2" t="n">
        <x:v>2020</x:v>
      </x:c>
      <x:c r="F1020" s="17" t="n">
        <x:v>1430230197.3322928</x:v>
      </x:c>
      <x:c r="G1020" s="17" t="n">
        <x:v>1505534156.3100014</x:v>
      </x:c>
      <x:c r="H1020" s="17" t="n">
        <x:v>1494725913.8807666</x:v>
      </x:c>
      <x:c r="I1020" s="17" t="n">
        <x:v>1562720271.636618</x:v>
      </x:c>
      <x:c r="J1020" s="2" t="str">
        <x:v>m2</x:v>
      </x:c>
      <x:c r="K1020" s="15" t="n">
        <x:f>IF(AND(ISNUMBER(F1020),ISNUMBER(G1020),F1020&gt;0),G1020/F1020-1,"n.a.")</x:f>
        <x:v>0.05265163546271623</x:v>
      </x:c>
      <x:c r="L1020" s="15" t="n">
        <x:f>IF(AND(N1020,ISNUMBER(H1020),ISNUMBER(I1020),H1020&gt;0),I1020/H1020-1,"n.a.")</x:f>
        <x:v>0.04548951558571512</x:v>
      </x:c>
      <x:c r="M1020" s="20" t="n">
        <x:f>IF(AND(ISNUMBER(K1020),ISNUMBER(L1020)),100*(K1020-L1020),"n.a.")</x:f>
        <x:v>0.7162119877001105</x:v>
      </x:c>
      <x:c r="N1020" s="13" t="b">
        <x:v>1</x:v>
      </x:c>
      <x:c r="O1020" s="13" t="b">
        <x:v>1</x:v>
      </x:c>
      <x:c r="P1020" s="13" t="b">
        <x:v>0</x:v>
      </x:c>
      <x:c r="Q1020" s="2" t="str">
        <x:v>L1_numeric_partition_qualified_not_national_completeness</x:v>
      </x:c>
      <x:c r="R1020" s="2" t="str">
        <x:v>L1_numeric_partition_qualified_not_national_completeness</x:v>
      </x:c>
      <x:c r="S1020" s="2" t="str">
        <x:v>historical_GHSL_BU_estimate</x:v>
      </x:c>
      <x:c r="T1020" s="2" t="str">
        <x:v>historical_GHSL_BU_estimate</x:v>
      </x:c>
      <x:c r="U1020" s="2" t="str">
        <x:v>GFA growth versus source physical quantity growth; constant conversion required for equality</x:v>
      </x:c>
      <x:c r="V1020" s="2" t="str">
        <x:v>Future horizontal path is already a v16 driver; WUP historical surface derives from GHSL</x:v>
      </x:c>
      <x:c r="W1020" s="2" t="str">
        <x:v>https://human-settlement.emergency.copernicus.eu/datasets.php</x:v>
      </x:c>
    </x:row>
    <x:row r="1021" ht="23" customHeight="1">
      <x:c r="A1021" s="2" t="str">
        <x:v>COM</x:v>
      </x:c>
      <x:c r="B1021" s="2" t="str">
        <x:v>Comoros (Union of the)</x:v>
      </x:c>
      <x:c r="C1021" s="2" t="str">
        <x:v>WUP_SURFACE</x:v>
      </x:c>
      <x:c r="D1021" s="2" t="n">
        <x:v>2015</x:v>
      </x:c>
      <x:c r="E1021" s="2" t="n">
        <x:v>2020</x:v>
      </x:c>
      <x:c r="F1021" s="17" t="n">
        <x:v>17623145.13508351</x:v>
      </x:c>
      <x:c r="G1021" s="17" t="n">
        <x:v>18035090.40999997</x:v>
      </x:c>
      <x:c r="H1021" s="17" t="n">
        <x:v>25772336.01051296</x:v>
      </x:c>
      <x:c r="I1021" s="17" t="n">
        <x:v>26193450.897957403</x:v>
      </x:c>
      <x:c r="J1021" s="2" t="str">
        <x:v>m2</x:v>
      </x:c>
      <x:c r="K1021" s="15" t="n">
        <x:f>IF(AND(ISNUMBER(F1021),ISNUMBER(G1021),F1021&gt;0),G1021/F1021-1,"n.a.")</x:f>
        <x:v>0.0233752415791193</x:v>
      </x:c>
      <x:c r="L1021" s="15" t="n">
        <x:f>IF(AND(N1021,ISNUMBER(H1021),ISNUMBER(I1021),H1021&gt;0),I1021/H1021-1,"n.a.")</x:f>
        <x:v>0.01633980277428737</x:v>
      </x:c>
      <x:c r="M1021" s="20" t="n">
        <x:f>IF(AND(ISNUMBER(K1021),ISNUMBER(L1021)),100*(K1021-L1021),"n.a.")</x:f>
        <x:v>0.7035438804831928</x:v>
      </x:c>
      <x:c r="N1021" s="13" t="b">
        <x:v>1</x:v>
      </x:c>
      <x:c r="O1021" s="13" t="b">
        <x:v>1</x:v>
      </x:c>
      <x:c r="P1021" s="13" t="b">
        <x:v>0</x:v>
      </x:c>
      <x:c r="Q1021" s="2" t="str">
        <x:v>L1_numeric_partition_qualified_not_national_completeness</x:v>
      </x:c>
      <x:c r="R1021" s="2" t="str">
        <x:v>L1_numeric_partition_qualified_not_national_completeness</x:v>
      </x:c>
      <x:c r="S1021" s="2" t="str">
        <x:v>historical_GHSL_BU_estimate</x:v>
      </x:c>
      <x:c r="T1021" s="2" t="str">
        <x:v>historical_GHSL_BU_estimate</x:v>
      </x:c>
      <x:c r="U1021" s="2" t="str">
        <x:v>GFA growth versus source physical quantity growth; constant conversion required for equality</x:v>
      </x:c>
      <x:c r="V1021" s="2" t="str">
        <x:v>Future horizontal path is already a v16 driver; WUP historical surface derives from GHSL</x:v>
      </x:c>
      <x:c r="W1021" s="2" t="str">
        <x:v>https://human-settlement.emergency.copernicus.eu/datasets.php</x:v>
      </x:c>
    </x:row>
    <x:row r="1022" ht="23" customHeight="1">
      <x:c r="A1022" s="2" t="str">
        <x:v>CPV</x:v>
      </x:c>
      <x:c r="B1022" s="2" t="str">
        <x:v>Cabo Verde (Republic of)</x:v>
      </x:c>
      <x:c r="C1022" s="2" t="str">
        <x:v>WUP_SURFACE</x:v>
      </x:c>
      <x:c r="D1022" s="2" t="n">
        <x:v>2015</x:v>
      </x:c>
      <x:c r="E1022" s="2" t="n">
        <x:v>2020</x:v>
      </x:c>
      <x:c r="F1022" s="17" t="n">
        <x:v>19695500.817529745</x:v>
      </x:c>
      <x:c r="G1022" s="17" t="n">
        <x:v>21833832.63999998</x:v>
      </x:c>
      <x:c r="H1022" s="17" t="n">
        <x:v>21471504.952013787</x:v>
      </x:c>
      <x:c r="I1022" s="17" t="n">
        <x:v>23623195.006221067</x:v>
      </x:c>
      <x:c r="J1022" s="2" t="str">
        <x:v>m2</x:v>
      </x:c>
      <x:c r="K1022" s="15" t="n">
        <x:f>IF(AND(ISNUMBER(F1022),ISNUMBER(G1022),F1022&gt;0),G1022/F1022-1,"n.a.")</x:f>
        <x:v>0.10856955820930625</x:v>
      </x:c>
      <x:c r="L1022" s="15" t="n">
        <x:f>IF(AND(N1022,ISNUMBER(H1022),ISNUMBER(I1022),H1022&gt;0),I1022/H1022-1,"n.a.")</x:f>
        <x:v>0.10021142248836523</x:v>
      </x:c>
      <x:c r="M1022" s="20" t="n">
        <x:f>IF(AND(ISNUMBER(K1022),ISNUMBER(L1022)),100*(K1022-L1022),"n.a.")</x:f>
        <x:v>0.8358135720941018</x:v>
      </x:c>
      <x:c r="N1022" s="13" t="b">
        <x:v>1</x:v>
      </x:c>
      <x:c r="O1022" s="13" t="b">
        <x:v>1</x:v>
      </x:c>
      <x:c r="P1022" s="13" t="b">
        <x:v>0</x:v>
      </x:c>
      <x:c r="Q1022" s="2" t="str">
        <x:v>L1_numeric_partition_qualified_not_national_completeness</x:v>
      </x:c>
      <x:c r="R1022" s="2" t="str">
        <x:v>L1_numeric_partition_qualified_not_national_completeness</x:v>
      </x:c>
      <x:c r="S1022" s="2" t="str">
        <x:v>historical_GHSL_BU_estimate</x:v>
      </x:c>
      <x:c r="T1022" s="2" t="str">
        <x:v>historical_GHSL_BU_estimate</x:v>
      </x:c>
      <x:c r="U1022" s="2" t="str">
        <x:v>GFA growth versus source physical quantity growth; constant conversion required for equality</x:v>
      </x:c>
      <x:c r="V1022" s="2" t="str">
        <x:v>Future horizontal path is already a v16 driver; WUP historical surface derives from GHSL</x:v>
      </x:c>
      <x:c r="W1022" s="2" t="str">
        <x:v>https://human-settlement.emergency.copernicus.eu/datasets.php</x:v>
      </x:c>
    </x:row>
    <x:row r="1023" ht="23" customHeight="1">
      <x:c r="A1023" s="2" t="str">
        <x:v>CRI</x:v>
      </x:c>
      <x:c r="B1023" s="2" t="str">
        <x:v>Costa Rica (Republic of)</x:v>
      </x:c>
      <x:c r="C1023" s="2" t="str">
        <x:v>WUP_SURFACE</x:v>
      </x:c>
      <x:c r="D1023" s="2" t="n">
        <x:v>2015</x:v>
      </x:c>
      <x:c r="E1023" s="2" t="n">
        <x:v>2020</x:v>
      </x:c>
      <x:c r="F1023" s="17" t="n">
        <x:v>251814595.18811685</x:v>
      </x:c>
      <x:c r="G1023" s="17" t="n">
        <x:v>284786315.38999987</x:v>
      </x:c>
      <x:c r="H1023" s="17" t="n">
        <x:v>327689846.77591866</x:v>
      </x:c>
      <x:c r="I1023" s="17" t="n">
        <x:v>367435856.8570776</x:v>
      </x:c>
      <x:c r="J1023" s="2" t="str">
        <x:v>m2</x:v>
      </x:c>
      <x:c r="K1023" s="15" t="n">
        <x:f>IF(AND(ISNUMBER(F1023),ISNUMBER(G1023),F1023&gt;0),G1023/F1023-1,"n.a.")</x:f>
        <x:v>0.13093649388055395</x:v>
      </x:c>
      <x:c r="L1023" s="15" t="n">
        <x:f>IF(AND(N1023,ISNUMBER(H1023),ISNUMBER(I1023),H1023&gt;0),I1023/H1023-1,"n.a.")</x:f>
        <x:v>0.12129155197273511</x:v>
      </x:c>
      <x:c r="M1023" s="20" t="n">
        <x:f>IF(AND(ISNUMBER(K1023),ISNUMBER(L1023)),100*(K1023-L1023),"n.a.")</x:f>
        <x:v>0.9644941907818838</x:v>
      </x:c>
      <x:c r="N1023" s="13" t="b">
        <x:v>1</x:v>
      </x:c>
      <x:c r="O1023" s="13" t="b">
        <x:v>1</x:v>
      </x:c>
      <x:c r="P1023" s="13" t="b">
        <x:v>0</x:v>
      </x:c>
      <x:c r="Q1023" s="2" t="str">
        <x:v>L1_numeric_partition_qualified_not_national_completeness</x:v>
      </x:c>
      <x:c r="R1023" s="2" t="str">
        <x:v>L1_numeric_partition_qualified_not_national_completeness</x:v>
      </x:c>
      <x:c r="S1023" s="2" t="str">
        <x:v>historical_GHSL_BU_estimate</x:v>
      </x:c>
      <x:c r="T1023" s="2" t="str">
        <x:v>historical_GHSL_BU_estimate</x:v>
      </x:c>
      <x:c r="U1023" s="2" t="str">
        <x:v>GFA growth versus source physical quantity growth; constant conversion required for equality</x:v>
      </x:c>
      <x:c r="V1023" s="2" t="str">
        <x:v>Future horizontal path is already a v16 driver; WUP historical surface derives from GHSL</x:v>
      </x:c>
      <x:c r="W1023" s="2" t="str">
        <x:v>https://human-settlement.emergency.copernicus.eu/datasets.php</x:v>
      </x:c>
    </x:row>
    <x:row r="1024" ht="23" customHeight="1">
      <x:c r="A1024" s="2" t="str">
        <x:v>CUB</x:v>
      </x:c>
      <x:c r="B1024" s="2" t="str">
        <x:v>Cuba (Republic of)</x:v>
      </x:c>
      <x:c r="C1024" s="2" t="str">
        <x:v>WUP_SURFACE</x:v>
      </x:c>
      <x:c r="D1024" s="2" t="n">
        <x:v>2015</x:v>
      </x:c>
      <x:c r="E1024" s="2" t="n">
        <x:v>2020</x:v>
      </x:c>
      <x:c r="F1024" s="17" t="n">
        <x:v>333742028.5469901</x:v>
      </x:c>
      <x:c r="G1024" s="17" t="n">
        <x:v>360088927.4199998</x:v>
      </x:c>
      <x:c r="H1024" s="17" t="n">
        <x:v>364307137.98075247</x:v>
      </x:c>
      <x:c r="I1024" s="17" t="n">
        <x:v>393093124.879059</x:v>
      </x:c>
      <x:c r="J1024" s="2" t="str">
        <x:v>m2</x:v>
      </x:c>
      <x:c r="K1024" s="15" t="n">
        <x:f>IF(AND(ISNUMBER(F1024),ISNUMBER(G1024),F1024&gt;0),G1024/F1024-1,"n.a.")</x:f>
        <x:v>0.07894390463111867</x:v>
      </x:c>
      <x:c r="L1024" s="15" t="n">
        <x:f>IF(AND(N1024,ISNUMBER(H1024),ISNUMBER(I1024),H1024&gt;0),I1024/H1024-1,"n.a.")</x:f>
        <x:v>0.07901570926624935</x:v>
      </x:c>
      <x:c r="M1024" s="20" t="n">
        <x:f>IF(AND(ISNUMBER(K1024),ISNUMBER(L1024)),100*(K1024-L1024),"n.a.")</x:f>
        <x:v>-0.007180463513067892</x:v>
      </x:c>
      <x:c r="N1024" s="13" t="b">
        <x:v>1</x:v>
      </x:c>
      <x:c r="O1024" s="13" t="b">
        <x:v>1</x:v>
      </x:c>
      <x:c r="P1024" s="13" t="b">
        <x:v>0</x:v>
      </x:c>
      <x:c r="Q1024" s="2" t="str">
        <x:v>L1_numeric_partition_qualified_not_national_completeness</x:v>
      </x:c>
      <x:c r="R1024" s="2" t="str">
        <x:v>L1_numeric_partition_qualified_not_national_completeness</x:v>
      </x:c>
      <x:c r="S1024" s="2" t="str">
        <x:v>historical_GHSL_BU_estimate</x:v>
      </x:c>
      <x:c r="T1024" s="2" t="str">
        <x:v>historical_GHSL_BU_estimate</x:v>
      </x:c>
      <x:c r="U1024" s="2" t="str">
        <x:v>GFA growth versus source physical quantity growth; constant conversion required for equality</x:v>
      </x:c>
      <x:c r="V1024" s="2" t="str">
        <x:v>Future horizontal path is already a v16 driver; WUP historical surface derives from GHSL</x:v>
      </x:c>
      <x:c r="W1024" s="2" t="str">
        <x:v>https://human-settlement.emergency.copernicus.eu/datasets.php</x:v>
      </x:c>
    </x:row>
    <x:row r="1025" ht="23" customHeight="1">
      <x:c r="A1025" s="2" t="str">
        <x:v>CYP</x:v>
      </x:c>
      <x:c r="B1025" s="2" t="str">
        <x:v>Cyprus (Republic of)</x:v>
      </x:c>
      <x:c r="C1025" s="2" t="str">
        <x:v>WUP_SURFACE</x:v>
      </x:c>
      <x:c r="D1025" s="2" t="n">
        <x:v>2015</x:v>
      </x:c>
      <x:c r="E1025" s="2" t="n">
        <x:v>2020</x:v>
      </x:c>
      <x:c r="F1025" s="17" t="n">
        <x:v>118707748.12306449</x:v>
      </x:c>
      <x:c r="G1025" s="17" t="n">
        <x:v>124124771.75000016</x:v>
      </x:c>
      <x:c r="H1025" s="17" t="n">
        <x:v>140173451.0174823</x:v>
      </x:c>
      <x:c r="I1025" s="17" t="n">
        <x:v>145137908.00039965</x:v>
      </x:c>
      <x:c r="J1025" s="2" t="str">
        <x:v>m2</x:v>
      </x:c>
      <x:c r="K1025" s="15" t="n">
        <x:f>IF(AND(ISNUMBER(F1025),ISNUMBER(G1025),F1025&gt;0),G1025/F1025-1,"n.a.")</x:f>
        <x:v>0.045633277630031666</x:v>
      </x:c>
      <x:c r="L1025" s="15" t="n">
        <x:f>IF(AND(N1025,ISNUMBER(H1025),ISNUMBER(I1025),H1025&gt;0),I1025/H1025-1,"n.a.")</x:f>
        <x:v>0.03541652821473429</x:v>
      </x:c>
      <x:c r="M1025" s="20" t="n">
        <x:f>IF(AND(ISNUMBER(K1025),ISNUMBER(L1025)),100*(K1025-L1025),"n.a.")</x:f>
        <x:v>1.0216749415297377</x:v>
      </x:c>
      <x:c r="N1025" s="13" t="b">
        <x:v>1</x:v>
      </x:c>
      <x:c r="O1025" s="13" t="b">
        <x:v>1</x:v>
      </x:c>
      <x:c r="P1025" s="13" t="b">
        <x:v>0</x:v>
      </x:c>
      <x:c r="Q1025" s="2" t="str">
        <x:v>L1_numeric_partition_qualified_not_national_completeness</x:v>
      </x:c>
      <x:c r="R1025" s="2" t="str">
        <x:v>L1_numeric_partition_qualified_not_national_completeness</x:v>
      </x:c>
      <x:c r="S1025" s="2" t="str">
        <x:v>historical_GHSL_BU_estimate</x:v>
      </x:c>
      <x:c r="T1025" s="2" t="str">
        <x:v>historical_GHSL_BU_estimate</x:v>
      </x:c>
      <x:c r="U1025" s="2" t="str">
        <x:v>GFA growth versus source physical quantity growth; constant conversion required for equality</x:v>
      </x:c>
      <x:c r="V1025" s="2" t="str">
        <x:v>Future horizontal path is already a v16 driver; WUP historical surface derives from GHSL</x:v>
      </x:c>
      <x:c r="W1025" s="2" t="str">
        <x:v>https://human-settlement.emergency.copernicus.eu/datasets.php</x:v>
      </x:c>
    </x:row>
    <x:row r="1026" ht="23" customHeight="1">
      <x:c r="A1026" s="2" t="str">
        <x:v>CZE</x:v>
      </x:c>
      <x:c r="B1026" s="2" t="str">
        <x:v>Czechia (Czech Republic)</x:v>
      </x:c>
      <x:c r="C1026" s="2" t="str">
        <x:v>WUP_SURFACE</x:v>
      </x:c>
      <x:c r="D1026" s="2" t="n">
        <x:v>2015</x:v>
      </x:c>
      <x:c r="E1026" s="2" t="n">
        <x:v>2020</x:v>
      </x:c>
      <x:c r="F1026" s="17" t="n">
        <x:v>802655135.3985859</x:v>
      </x:c>
      <x:c r="G1026" s="17" t="n">
        <x:v>853858176.0500003</x:v>
      </x:c>
      <x:c r="H1026" s="17" t="n">
        <x:v>1286230047.5211751</x:v>
      </x:c>
      <x:c r="I1026" s="17" t="n">
        <x:v>1361503641.673497</x:v>
      </x:c>
      <x:c r="J1026" s="2" t="str">
        <x:v>m2</x:v>
      </x:c>
      <x:c r="K1026" s="15" t="n">
        <x:f>IF(AND(ISNUMBER(F1026),ISNUMBER(G1026),F1026&gt;0),G1026/F1026-1,"n.a.")</x:f>
        <x:v>0.06379208005189896</x:v>
      </x:c>
      <x:c r="L1026" s="15" t="n">
        <x:f>IF(AND(N1026,ISNUMBER(H1026),ISNUMBER(I1026),H1026&gt;0),I1026/H1026-1,"n.a.")</x:f>
        <x:v>0.05852265253590461</x:v>
      </x:c>
      <x:c r="M1026" s="20" t="n">
        <x:f>IF(AND(ISNUMBER(K1026),ISNUMBER(L1026)),100*(K1026-L1026),"n.a.")</x:f>
        <x:v>0.5269427515994352</x:v>
      </x:c>
      <x:c r="N1026" s="13" t="b">
        <x:v>1</x:v>
      </x:c>
      <x:c r="O1026" s="13" t="b">
        <x:v>1</x:v>
      </x:c>
      <x:c r="P1026" s="13" t="b">
        <x:v>0</x:v>
      </x:c>
      <x:c r="Q1026" s="2" t="str">
        <x:v>L1_numeric_partition_qualified_not_national_completeness</x:v>
      </x:c>
      <x:c r="R1026" s="2" t="str">
        <x:v>L1_numeric_partition_qualified_not_national_completeness</x:v>
      </x:c>
      <x:c r="S1026" s="2" t="str">
        <x:v>historical_GHSL_BU_estimate</x:v>
      </x:c>
      <x:c r="T1026" s="2" t="str">
        <x:v>historical_GHSL_BU_estimate</x:v>
      </x:c>
      <x:c r="U1026" s="2" t="str">
        <x:v>GFA growth versus source physical quantity growth; constant conversion required for equality</x:v>
      </x:c>
      <x:c r="V1026" s="2" t="str">
        <x:v>Future horizontal path is already a v16 driver; WUP historical surface derives from GHSL</x:v>
      </x:c>
      <x:c r="W1026" s="2" t="str">
        <x:v>https://human-settlement.emergency.copernicus.eu/datasets.php</x:v>
      </x:c>
    </x:row>
    <x:row r="1027" ht="23" customHeight="1">
      <x:c r="A1027" s="2" t="str">
        <x:v>DEU</x:v>
      </x:c>
      <x:c r="B1027" s="2" t="str">
        <x:v>Germany (Federal Republic of)</x:v>
      </x:c>
      <x:c r="C1027" s="2" t="str">
        <x:v>WUP_SURFACE</x:v>
      </x:c>
      <x:c r="D1027" s="2" t="n">
        <x:v>2015</x:v>
      </x:c>
      <x:c r="E1027" s="2" t="n">
        <x:v>2020</x:v>
      </x:c>
      <x:c r="F1027" s="17" t="n">
        <x:v>6295283925.7990055</x:v>
      </x:c>
      <x:c r="G1027" s="17" t="n">
        <x:v>6611215465.220001</x:v>
      </x:c>
      <x:c r="H1027" s="17" t="n">
        <x:v>9152770467.493135</x:v>
      </x:c>
      <x:c r="I1027" s="17" t="n">
        <x:v>9558232652.439943</x:v>
      </x:c>
      <x:c r="J1027" s="2" t="str">
        <x:v>m2</x:v>
      </x:c>
      <x:c r="K1027" s="15" t="n">
        <x:f>IF(AND(ISNUMBER(F1027),ISNUMBER(G1027),F1027&gt;0),G1027/F1027-1,"n.a.")</x:f>
        <x:v>0.05018543137129394</x:v>
      </x:c>
      <x:c r="L1027" s="15" t="n">
        <x:f>IF(AND(N1027,ISNUMBER(H1027),ISNUMBER(I1027),H1027&gt;0),I1027/H1027-1,"n.a.")</x:f>
        <x:v>0.04429939397987126</x:v>
      </x:c>
      <x:c r="M1027" s="20" t="n">
        <x:f>IF(AND(ISNUMBER(K1027),ISNUMBER(L1027)),100*(K1027-L1027),"n.a.")</x:f>
        <x:v>0.5886037391422683</x:v>
      </x:c>
      <x:c r="N1027" s="13" t="b">
        <x:v>1</x:v>
      </x:c>
      <x:c r="O1027" s="13" t="b">
        <x:v>1</x:v>
      </x:c>
      <x:c r="P1027" s="13" t="b">
        <x:v>0</x:v>
      </x:c>
      <x:c r="Q1027" s="2" t="str">
        <x:v>L1_numeric_partition_qualified_not_national_completeness</x:v>
      </x:c>
      <x:c r="R1027" s="2" t="str">
        <x:v>L1_numeric_partition_qualified_not_national_completeness</x:v>
      </x:c>
      <x:c r="S1027" s="2" t="str">
        <x:v>historical_GHSL_BU_estimate</x:v>
      </x:c>
      <x:c r="T1027" s="2" t="str">
        <x:v>historical_GHSL_BU_estimate</x:v>
      </x:c>
      <x:c r="U1027" s="2" t="str">
        <x:v>GFA growth versus source physical quantity growth; constant conversion required for equality</x:v>
      </x:c>
      <x:c r="V1027" s="2" t="str">
        <x:v>Future horizontal path is already a v16 driver; WUP historical surface derives from GHSL</x:v>
      </x:c>
      <x:c r="W1027" s="2" t="str">
        <x:v>https://human-settlement.emergency.copernicus.eu/datasets.php</x:v>
      </x:c>
    </x:row>
    <x:row r="1028" ht="23" customHeight="1">
      <x:c r="A1028" s="2" t="str">
        <x:v>DJI</x:v>
      </x:c>
      <x:c r="B1028" s="2" t="str">
        <x:v>Djibouti (Republic of)</x:v>
      </x:c>
      <x:c r="C1028" s="2" t="str">
        <x:v>WUP_SURFACE</x:v>
      </x:c>
      <x:c r="D1028" s="2" t="n">
        <x:v>2015</x:v>
      </x:c>
      <x:c r="E1028" s="2" t="n">
        <x:v>2020</x:v>
      </x:c>
      <x:c r="F1028" s="17" t="n">
        <x:v>11226600.057405254</x:v>
      </x:c>
      <x:c r="G1028" s="17" t="n">
        <x:v>12588327.629999984</x:v>
      </x:c>
      <x:c r="H1028" s="17" t="n">
        <x:v>18324601.992004547</x:v>
      </x:c>
      <x:c r="I1028" s="17" t="n">
        <x:v>20249018.040496703</x:v>
      </x:c>
      <x:c r="J1028" s="2" t="str">
        <x:v>m2</x:v>
      </x:c>
      <x:c r="K1028" s="15" t="n">
        <x:f>IF(AND(ISNUMBER(F1028),ISNUMBER(G1028),F1028&gt;0),G1028/F1028-1,"n.a.")</x:f>
        <x:v>0.1212947433445366</x:v>
      </x:c>
      <x:c r="L1028" s="15" t="n">
        <x:f>IF(AND(N1028,ISNUMBER(H1028),ISNUMBER(I1028),H1028&gt;0),I1028/H1028-1,"n.a.")</x:f>
        <x:v>0.10501816352310533</x:v>
      </x:c>
      <x:c r="M1028" s="20" t="n">
        <x:f>IF(AND(ISNUMBER(K1028),ISNUMBER(L1028)),100*(K1028-L1028),"n.a.")</x:f>
        <x:v>1.627657982143127</x:v>
      </x:c>
      <x:c r="N1028" s="13" t="b">
        <x:v>1</x:v>
      </x:c>
      <x:c r="O1028" s="13" t="b">
        <x:v>1</x:v>
      </x:c>
      <x:c r="P1028" s="13" t="b">
        <x:v>0</x:v>
      </x:c>
      <x:c r="Q1028" s="2" t="str">
        <x:v>L1_numeric_partition_qualified_not_national_completeness</x:v>
      </x:c>
      <x:c r="R1028" s="2" t="str">
        <x:v>L1_numeric_partition_qualified_not_national_completeness</x:v>
      </x:c>
      <x:c r="S1028" s="2" t="str">
        <x:v>historical_GHSL_BU_estimate</x:v>
      </x:c>
      <x:c r="T1028" s="2" t="str">
        <x:v>historical_GHSL_BU_estimate</x:v>
      </x:c>
      <x:c r="U1028" s="2" t="str">
        <x:v>GFA growth versus source physical quantity growth; constant conversion required for equality</x:v>
      </x:c>
      <x:c r="V1028" s="2" t="str">
        <x:v>Future horizontal path is already a v16 driver; WUP historical surface derives from GHSL</x:v>
      </x:c>
      <x:c r="W1028" s="2" t="str">
        <x:v>https://human-settlement.emergency.copernicus.eu/datasets.php</x:v>
      </x:c>
    </x:row>
    <x:row r="1029" ht="23" customHeight="1">
      <x:c r="A1029" s="2" t="str">
        <x:v>DMA</x:v>
      </x:c>
      <x:c r="B1029" s="2" t="str">
        <x:v>Dominica (Commonwealth of)</x:v>
      </x:c>
      <x:c r="C1029" s="2" t="str">
        <x:v>WUP_SURFACE</x:v>
      </x:c>
      <x:c r="D1029" s="2" t="n">
        <x:v>2015</x:v>
      </x:c>
      <x:c r="E1029" s="2" t="n">
        <x:v>2020</x:v>
      </x:c>
      <x:c r="F1029" s="17" t="n">
        <x:v>3486495.3852494587</x:v>
      </x:c>
      <x:c r="G1029" s="17" t="n">
        <x:v>3947192.6899999985</x:v>
      </x:c>
      <x:c r="H1029" s="17" t="n">
        <x:v>4937473.032319304</x:v>
      </x:c>
      <x:c r="I1029" s="17" t="n">
        <x:v>5577641.011276227</x:v>
      </x:c>
      <x:c r="J1029" s="2" t="str">
        <x:v>m2</x:v>
      </x:c>
      <x:c r="K1029" s="15" t="n">
        <x:f>IF(AND(ISNUMBER(F1029),ISNUMBER(G1029),F1029&gt;0),G1029/F1029-1,"n.a.")</x:f>
        <x:v>0.13213764937124006</x:v>
      </x:c>
      <x:c r="L1029" s="15" t="n">
        <x:f>IF(AND(N1029,ISNUMBER(H1029),ISNUMBER(I1029),H1029&gt;0),I1029/H1029-1,"n.a.")</x:f>
        <x:v>0.12965498236984074</x:v>
      </x:c>
      <x:c r="M1029" s="20" t="n">
        <x:f>IF(AND(ISNUMBER(K1029),ISNUMBER(L1029)),100*(K1029-L1029),"n.a.")</x:f>
        <x:v>0.2482667001399319</x:v>
      </x:c>
      <x:c r="N1029" s="13" t="b">
        <x:v>1</x:v>
      </x:c>
      <x:c r="O1029" s="13" t="b">
        <x:v>1</x:v>
      </x:c>
      <x:c r="P1029" s="13" t="b">
        <x:v>0</x:v>
      </x:c>
      <x:c r="Q1029" s="2" t="str">
        <x:v>L1_numeric_partition_qualified_not_national_completeness</x:v>
      </x:c>
      <x:c r="R1029" s="2" t="str">
        <x:v>L1_numeric_partition_qualified_not_national_completeness</x:v>
      </x:c>
      <x:c r="S1029" s="2" t="str">
        <x:v>historical_GHSL_BU_estimate</x:v>
      </x:c>
      <x:c r="T1029" s="2" t="str">
        <x:v>historical_GHSL_BU_estimate</x:v>
      </x:c>
      <x:c r="U1029" s="2" t="str">
        <x:v>GFA growth versus source physical quantity growth; constant conversion required for equality</x:v>
      </x:c>
      <x:c r="V1029" s="2" t="str">
        <x:v>Future horizontal path is already a v16 driver; WUP historical surface derives from GHSL</x:v>
      </x:c>
      <x:c r="W1029" s="2" t="str">
        <x:v>https://human-settlement.emergency.copernicus.eu/datasets.php</x:v>
      </x:c>
    </x:row>
    <x:row r="1030" ht="23" customHeight="1">
      <x:c r="A1030" s="2" t="str">
        <x:v>DNK</x:v>
      </x:c>
      <x:c r="B1030" s="2" t="str">
        <x:v>Denmark (Kingdom of)</x:v>
      </x:c>
      <x:c r="C1030" s="2" t="str">
        <x:v>WUP_SURFACE</x:v>
      </x:c>
      <x:c r="D1030" s="2" t="n">
        <x:v>2015</x:v>
      </x:c>
      <x:c r="E1030" s="2" t="n">
        <x:v>2020</x:v>
      </x:c>
      <x:c r="F1030" s="17" t="n">
        <x:v>637662032.609485</x:v>
      </x:c>
      <x:c r="G1030" s="17" t="n">
        <x:v>665059716.8900009</x:v>
      </x:c>
      <x:c r="H1030" s="17" t="n">
        <x:v>789725531.4281603</x:v>
      </x:c>
      <x:c r="I1030" s="17" t="n">
        <x:v>819001256.3846583</x:v>
      </x:c>
      <x:c r="J1030" s="2" t="str">
        <x:v>m2</x:v>
      </x:c>
      <x:c r="K1030" s="15" t="n">
        <x:f>IF(AND(ISNUMBER(F1030),ISNUMBER(G1030),F1030&gt;0),G1030/F1030-1,"n.a.")</x:f>
        <x:v>0.04296583907998608</x:v>
      </x:c>
      <x:c r="L1030" s="15" t="n">
        <x:f>IF(AND(N1030,ISNUMBER(H1030),ISNUMBER(I1030),H1030&gt;0),I1030/H1030-1,"n.a.")</x:f>
        <x:v>0.03707075913267621</x:v>
      </x:c>
      <x:c r="M1030" s="20" t="n">
        <x:f>IF(AND(ISNUMBER(K1030),ISNUMBER(L1030)),100*(K1030-L1030),"n.a.")</x:f>
        <x:v>0.5895079947309867</x:v>
      </x:c>
      <x:c r="N1030" s="13" t="b">
        <x:v>1</x:v>
      </x:c>
      <x:c r="O1030" s="13" t="b">
        <x:v>1</x:v>
      </x:c>
      <x:c r="P1030" s="13" t="b">
        <x:v>0</x:v>
      </x:c>
      <x:c r="Q1030" s="2" t="str">
        <x:v>L1_numeric_partition_qualified_not_national_completeness</x:v>
      </x:c>
      <x:c r="R1030" s="2" t="str">
        <x:v>L1_numeric_partition_qualified_not_national_completeness</x:v>
      </x:c>
      <x:c r="S1030" s="2" t="str">
        <x:v>historical_GHSL_BU_estimate</x:v>
      </x:c>
      <x:c r="T1030" s="2" t="str">
        <x:v>historical_GHSL_BU_estimate</x:v>
      </x:c>
      <x:c r="U1030" s="2" t="str">
        <x:v>GFA growth versus source physical quantity growth; constant conversion required for equality</x:v>
      </x:c>
      <x:c r="V1030" s="2" t="str">
        <x:v>Future horizontal path is already a v16 driver; WUP historical surface derives from GHSL</x:v>
      </x:c>
      <x:c r="W1030" s="2" t="str">
        <x:v>https://human-settlement.emergency.copernicus.eu/datasets.php</x:v>
      </x:c>
    </x:row>
    <x:row r="1031" ht="23" customHeight="1">
      <x:c r="A1031" s="2" t="str">
        <x:v>DOM</x:v>
      </x:c>
      <x:c r="B1031" s="2" t="str">
        <x:v>Dominican Republic</x:v>
      </x:c>
      <x:c r="C1031" s="2" t="str">
        <x:v>WUP_SURFACE</x:v>
      </x:c>
      <x:c r="D1031" s="2" t="n">
        <x:v>2015</x:v>
      </x:c>
      <x:c r="E1031" s="2" t="n">
        <x:v>2020</x:v>
      </x:c>
      <x:c r="F1031" s="17" t="n">
        <x:v>247208125.3674467</x:v>
      </x:c>
      <x:c r="G1031" s="17" t="n">
        <x:v>336248050.8900004</x:v>
      </x:c>
      <x:c r="H1031" s="17" t="n">
        <x:v>374443755.2248538</x:v>
      </x:c>
      <x:c r="I1031" s="17" t="n">
        <x:v>505607053.0571373</x:v>
      </x:c>
      <x:c r="J1031" s="2" t="str">
        <x:v>m2</x:v>
      </x:c>
      <x:c r="K1031" s="15" t="n">
        <x:f>IF(AND(ISNUMBER(F1031),ISNUMBER(G1031),F1031&gt;0),G1031/F1031-1,"n.a.")</x:f>
        <x:v>0.3601820344303248</x:v>
      </x:c>
      <x:c r="L1031" s="15" t="n">
        <x:f>IF(AND(N1031,ISNUMBER(H1031),ISNUMBER(I1031),H1031&gt;0),I1031/H1031-1,"n.a.")</x:f>
        <x:v>0.350288383774807</x:v>
      </x:c>
      <x:c r="M1031" s="20" t="n">
        <x:f>IF(AND(ISNUMBER(K1031),ISNUMBER(L1031)),100*(K1031-L1031),"n.a.")</x:f>
        <x:v>0.9893650655517838</x:v>
      </x:c>
      <x:c r="N1031" s="13" t="b">
        <x:v>1</x:v>
      </x:c>
      <x:c r="O1031" s="13" t="b">
        <x:v>1</x:v>
      </x:c>
      <x:c r="P1031" s="13" t="b">
        <x:v>0</x:v>
      </x:c>
      <x:c r="Q1031" s="2" t="str">
        <x:v>L1_numeric_partition_qualified_not_national_completeness</x:v>
      </x:c>
      <x:c r="R1031" s="2" t="str">
        <x:v>L1_numeric_partition_qualified_not_national_completeness</x:v>
      </x:c>
      <x:c r="S1031" s="2" t="str">
        <x:v>historical_GHSL_BU_estimate</x:v>
      </x:c>
      <x:c r="T1031" s="2" t="str">
        <x:v>historical_GHSL_BU_estimate</x:v>
      </x:c>
      <x:c r="U1031" s="2" t="str">
        <x:v>GFA growth versus source physical quantity growth; constant conversion required for equality</x:v>
      </x:c>
      <x:c r="V1031" s="2" t="str">
        <x:v>Future horizontal path is already a v16 driver; WUP historical surface derives from GHSL</x:v>
      </x:c>
      <x:c r="W1031" s="2" t="str">
        <x:v>https://human-settlement.emergency.copernicus.eu/datasets.php</x:v>
      </x:c>
    </x:row>
    <x:row r="1032" ht="23" customHeight="1">
      <x:c r="A1032" s="2" t="str">
        <x:v>DZA</x:v>
      </x:c>
      <x:c r="B1032" s="2" t="str">
        <x:v>Algeria (People's Democratic Republic of)</x:v>
      </x:c>
      <x:c r="C1032" s="2" t="str">
        <x:v>WUP_SURFACE</x:v>
      </x:c>
      <x:c r="D1032" s="2" t="n">
        <x:v>2015</x:v>
      </x:c>
      <x:c r="E1032" s="2" t="n">
        <x:v>2020</x:v>
      </x:c>
      <x:c r="F1032" s="17" t="n">
        <x:v>1502138846.737166</x:v>
      </x:c>
      <x:c r="G1032" s="17" t="n">
        <x:v>1607752786.8799975</x:v>
      </x:c>
      <x:c r="H1032" s="17" t="n">
        <x:v>2120354794.052456</x:v>
      </x:c>
      <x:c r="I1032" s="17" t="n">
        <x:v>2251269484.417323</x:v>
      </x:c>
      <x:c r="J1032" s="2" t="str">
        <x:v>m2</x:v>
      </x:c>
      <x:c r="K1032" s="15" t="n">
        <x:f>IF(AND(ISNUMBER(F1032),ISNUMBER(G1032),F1032&gt;0),G1032/F1032-1,"n.a.")</x:f>
        <x:v>0.07030903992146809</x:v>
      </x:c>
      <x:c r="L1032" s="15" t="n">
        <x:f>IF(AND(N1032,ISNUMBER(H1032),ISNUMBER(I1032),H1032&gt;0),I1032/H1032-1,"n.a.")</x:f>
        <x:v>0.06174187958170019</x:v>
      </x:c>
      <x:c r="M1032" s="20" t="n">
        <x:f>IF(AND(ISNUMBER(K1032),ISNUMBER(L1032)),100*(K1032-L1032),"n.a.")</x:f>
        <x:v>0.8567160339767899</x:v>
      </x:c>
      <x:c r="N1032" s="13" t="b">
        <x:v>1</x:v>
      </x:c>
      <x:c r="O1032" s="13" t="b">
        <x:v>1</x:v>
      </x:c>
      <x:c r="P1032" s="13" t="b">
        <x:v>0</x:v>
      </x:c>
      <x:c r="Q1032" s="2" t="str">
        <x:v>L1_numeric_partition_qualified_not_national_completeness</x:v>
      </x:c>
      <x:c r="R1032" s="2" t="str">
        <x:v>L1_numeric_partition_qualified_not_national_completeness</x:v>
      </x:c>
      <x:c r="S1032" s="2" t="str">
        <x:v>historical_GHSL_BU_estimate</x:v>
      </x:c>
      <x:c r="T1032" s="2" t="str">
        <x:v>historical_GHSL_BU_estimate</x:v>
      </x:c>
      <x:c r="U1032" s="2" t="str">
        <x:v>GFA growth versus source physical quantity growth; constant conversion required for equality</x:v>
      </x:c>
      <x:c r="V1032" s="2" t="str">
        <x:v>Future horizontal path is already a v16 driver; WUP historical surface derives from GHSL</x:v>
      </x:c>
      <x:c r="W1032" s="2" t="str">
        <x:v>https://human-settlement.emergency.copernicus.eu/datasets.php</x:v>
      </x:c>
    </x:row>
    <x:row r="1033" ht="23" customHeight="1">
      <x:c r="A1033" s="2" t="str">
        <x:v>ECU</x:v>
      </x:c>
      <x:c r="B1033" s="2" t="str">
        <x:v>Ecuador (Republic of)</x:v>
      </x:c>
      <x:c r="C1033" s="2" t="str">
        <x:v>WUP_SURFACE</x:v>
      </x:c>
      <x:c r="D1033" s="2" t="n">
        <x:v>2015</x:v>
      </x:c>
      <x:c r="E1033" s="2" t="n">
        <x:v>2020</x:v>
      </x:c>
      <x:c r="F1033" s="17" t="n">
        <x:v>703386333.4302019</x:v>
      </x:c>
      <x:c r="G1033" s="17" t="n">
        <x:v>734538215.0500003</x:v>
      </x:c>
      <x:c r="H1033" s="17" t="n">
        <x:v>898380196.9271271</x:v>
      </x:c>
      <x:c r="I1033" s="17" t="n">
        <x:v>932396377.5527977</x:v>
      </x:c>
      <x:c r="J1033" s="2" t="str">
        <x:v>m2</x:v>
      </x:c>
      <x:c r="K1033" s="15" t="n">
        <x:f>IF(AND(ISNUMBER(F1033),ISNUMBER(G1033),F1033&gt;0),G1033/F1033-1,"n.a.")</x:f>
        <x:v>0.04428843743363653</x:v>
      </x:c>
      <x:c r="L1033" s="15" t="n">
        <x:f>IF(AND(N1033,ISNUMBER(H1033),ISNUMBER(I1033),H1033&gt;0),I1033/H1033-1,"n.a.")</x:f>
        <x:v>0.03786390299120734</x:v>
      </x:c>
      <x:c r="M1033" s="20" t="n">
        <x:f>IF(AND(ISNUMBER(K1033),ISNUMBER(L1033)),100*(K1033-L1033),"n.a.")</x:f>
        <x:v>0.6424534442429186</x:v>
      </x:c>
      <x:c r="N1033" s="13" t="b">
        <x:v>1</x:v>
      </x:c>
      <x:c r="O1033" s="13" t="b">
        <x:v>1</x:v>
      </x:c>
      <x:c r="P1033" s="13" t="b">
        <x:v>0</x:v>
      </x:c>
      <x:c r="Q1033" s="2" t="str">
        <x:v>L1_numeric_partition_qualified_not_national_completeness</x:v>
      </x:c>
      <x:c r="R1033" s="2" t="str">
        <x:v>L1_numeric_partition_qualified_not_national_completeness</x:v>
      </x:c>
      <x:c r="S1033" s="2" t="str">
        <x:v>historical_GHSL_BU_estimate</x:v>
      </x:c>
      <x:c r="T1033" s="2" t="str">
        <x:v>historical_GHSL_BU_estimate</x:v>
      </x:c>
      <x:c r="U1033" s="2" t="str">
        <x:v>GFA growth versus source physical quantity growth; constant conversion required for equality</x:v>
      </x:c>
      <x:c r="V1033" s="2" t="str">
        <x:v>Future horizontal path is already a v16 driver; WUP historical surface derives from GHSL</x:v>
      </x:c>
      <x:c r="W1033" s="2" t="str">
        <x:v>https://human-settlement.emergency.copernicus.eu/datasets.php</x:v>
      </x:c>
    </x:row>
    <x:row r="1034" ht="23" customHeight="1">
      <x:c r="A1034" s="2" t="str">
        <x:v>EGY</x:v>
      </x:c>
      <x:c r="B1034" s="2" t="str">
        <x:v>Egypt (Arab Republic of)</x:v>
      </x:c>
      <x:c r="C1034" s="2" t="str">
        <x:v>WUP_SURFACE</x:v>
      </x:c>
      <x:c r="D1034" s="2" t="n">
        <x:v>2015</x:v>
      </x:c>
      <x:c r="E1034" s="2" t="n">
        <x:v>2020</x:v>
      </x:c>
      <x:c r="F1034" s="17" t="n">
        <x:v>2430072384.0124</x:v>
      </x:c>
      <x:c r="G1034" s="17" t="n">
        <x:v>2954306535.6</x:v>
      </x:c>
      <x:c r="H1034" s="17" t="n">
        <x:v>2601589027.288066</x:v>
      </x:c>
      <x:c r="I1034" s="17" t="n">
        <x:v>3131484168.105507</x:v>
      </x:c>
      <x:c r="J1034" s="2" t="str">
        <x:v>m2</x:v>
      </x:c>
      <x:c r="K1034" s="15" t="n">
        <x:f>IF(AND(ISNUMBER(F1034),ISNUMBER(G1034),F1034&gt;0),G1034/F1034-1,"n.a.")</x:f>
        <x:v>0.21572779273431086</x:v>
      </x:c>
      <x:c r="L1034" s="15" t="n">
        <x:f>IF(AND(N1034,ISNUMBER(H1034),ISNUMBER(I1034),H1034&gt;0),I1034/H1034-1,"n.a.")</x:f>
        <x:v>0.2036813406188953</x:v>
      </x:c>
      <x:c r="M1034" s="20" t="n">
        <x:f>IF(AND(ISNUMBER(K1034),ISNUMBER(L1034)),100*(K1034-L1034),"n.a.")</x:f>
        <x:v>1.2046452115415551</x:v>
      </x:c>
      <x:c r="N1034" s="13" t="b">
        <x:v>1</x:v>
      </x:c>
      <x:c r="O1034" s="13" t="b">
        <x:v>1</x:v>
      </x:c>
      <x:c r="P1034" s="13" t="b">
        <x:v>0</x:v>
      </x:c>
      <x:c r="Q1034" s="2" t="str">
        <x:v>L1_numeric_partition_qualified_not_national_completeness</x:v>
      </x:c>
      <x:c r="R1034" s="2" t="str">
        <x:v>L1_numeric_partition_qualified_not_national_completeness</x:v>
      </x:c>
      <x:c r="S1034" s="2" t="str">
        <x:v>historical_GHSL_BU_estimate</x:v>
      </x:c>
      <x:c r="T1034" s="2" t="str">
        <x:v>historical_GHSL_BU_estimate</x:v>
      </x:c>
      <x:c r="U1034" s="2" t="str">
        <x:v>GFA growth versus source physical quantity growth; constant conversion required for equality</x:v>
      </x:c>
      <x:c r="V1034" s="2" t="str">
        <x:v>Future horizontal path is already a v16 driver; WUP historical surface derives from GHSL</x:v>
      </x:c>
      <x:c r="W1034" s="2" t="str">
        <x:v>https://human-settlement.emergency.copernicus.eu/datasets.php</x:v>
      </x:c>
    </x:row>
    <x:row r="1035" ht="23" customHeight="1">
      <x:c r="A1035" s="2" t="str">
        <x:v>ERI</x:v>
      </x:c>
      <x:c r="B1035" s="2" t="str">
        <x:v>Eritrea (State of)</x:v>
      </x:c>
      <x:c r="C1035" s="2" t="str">
        <x:v>WUP_SURFACE</x:v>
      </x:c>
      <x:c r="D1035" s="2" t="n">
        <x:v>2015</x:v>
      </x:c>
      <x:c r="E1035" s="2" t="n">
        <x:v>2020</x:v>
      </x:c>
      <x:c r="F1035" s="17" t="n">
        <x:v>31760779.71501907</x:v>
      </x:c>
      <x:c r="G1035" s="17" t="n">
        <x:v>45298098.329999976</x:v>
      </x:c>
      <x:c r="H1035" s="17" t="n">
        <x:v>74956856.9389586</x:v>
      </x:c>
      <x:c r="I1035" s="17" t="n">
        <x:v>106156469.93711676</x:v>
      </x:c>
      <x:c r="J1035" s="2" t="str">
        <x:v>m2</x:v>
      </x:c>
      <x:c r="K1035" s="15" t="n">
        <x:f>IF(AND(ISNUMBER(F1035),ISNUMBER(G1035),F1035&gt;0),G1035/F1035-1,"n.a.")</x:f>
        <x:v>0.4262275276755678</x:v>
      </x:c>
      <x:c r="L1035" s="15" t="n">
        <x:f>IF(AND(N1035,ISNUMBER(H1035),ISNUMBER(I1035),H1035&gt;0),I1035/H1035-1,"n.a.")</x:f>
        <x:v>0.4162342749185133</x:v>
      </x:c>
      <x:c r="M1035" s="20" t="n">
        <x:f>IF(AND(ISNUMBER(K1035),ISNUMBER(L1035)),100*(K1035-L1035),"n.a.")</x:f>
        <x:v>0.9993252757054538</x:v>
      </x:c>
      <x:c r="N1035" s="13" t="b">
        <x:v>1</x:v>
      </x:c>
      <x:c r="O1035" s="13" t="b">
        <x:v>1</x:v>
      </x:c>
      <x:c r="P1035" s="13" t="b">
        <x:v>0</x:v>
      </x:c>
      <x:c r="Q1035" s="2" t="str">
        <x:v>L1_numeric_partition_qualified_not_national_completeness</x:v>
      </x:c>
      <x:c r="R1035" s="2" t="str">
        <x:v>L1_numeric_partition_qualified_not_national_completeness</x:v>
      </x:c>
      <x:c r="S1035" s="2" t="str">
        <x:v>historical_GHSL_BU_estimate</x:v>
      </x:c>
      <x:c r="T1035" s="2" t="str">
        <x:v>historical_GHSL_BU_estimate</x:v>
      </x:c>
      <x:c r="U1035" s="2" t="str">
        <x:v>GFA growth versus source physical quantity growth; constant conversion required for equality</x:v>
      </x:c>
      <x:c r="V1035" s="2" t="str">
        <x:v>Future horizontal path is already a v16 driver; WUP historical surface derives from GHSL</x:v>
      </x:c>
      <x:c r="W1035" s="2" t="str">
        <x:v>https://human-settlement.emergency.copernicus.eu/datasets.php</x:v>
      </x:c>
    </x:row>
    <x:row r="1036" ht="23" customHeight="1">
      <x:c r="A1036" s="2" t="str">
        <x:v>ESP</x:v>
      </x:c>
      <x:c r="B1036" s="2" t="str">
        <x:v>Spain (Kingdom of)</x:v>
      </x:c>
      <x:c r="C1036" s="2" t="str">
        <x:v>WUP_SURFACE</x:v>
      </x:c>
      <x:c r="D1036" s="2" t="n">
        <x:v>2015</x:v>
      </x:c>
      <x:c r="E1036" s="2" t="n">
        <x:v>2020</x:v>
      </x:c>
      <x:c r="F1036" s="17" t="n">
        <x:v>3537491129.653378</x:v>
      </x:c>
      <x:c r="G1036" s="17" t="n">
        <x:v>3693503432.029994</x:v>
      </x:c>
      <x:c r="H1036" s="17" t="n">
        <x:v>4277927846.308356</x:v>
      </x:c>
      <x:c r="I1036" s="17" t="n">
        <x:v>4436720089.4513445</x:v>
      </x:c>
      <x:c r="J1036" s="2" t="str">
        <x:v>m2</x:v>
      </x:c>
      <x:c r="K1036" s="15" t="n">
        <x:f>IF(AND(ISNUMBER(F1036),ISNUMBER(G1036),F1036&gt;0),G1036/F1036-1,"n.a.")</x:f>
        <x:v>0.04410252822087024</x:v>
      </x:c>
      <x:c r="L1036" s="15" t="n">
        <x:f>IF(AND(N1036,ISNUMBER(H1036),ISNUMBER(I1036),H1036&gt;0),I1036/H1036-1,"n.a.")</x:f>
        <x:v>0.03711896246216928</x:v>
      </x:c>
      <x:c r="M1036" s="20" t="n">
        <x:f>IF(AND(ISNUMBER(K1036),ISNUMBER(L1036)),100*(K1036-L1036),"n.a.")</x:f>
        <x:v>0.698356575870096</x:v>
      </x:c>
      <x:c r="N1036" s="13" t="b">
        <x:v>1</x:v>
      </x:c>
      <x:c r="O1036" s="13" t="b">
        <x:v>1</x:v>
      </x:c>
      <x:c r="P1036" s="13" t="b">
        <x:v>0</x:v>
      </x:c>
      <x:c r="Q1036" s="2" t="str">
        <x:v>L1_numeric_partition_qualified_not_national_completeness</x:v>
      </x:c>
      <x:c r="R1036" s="2" t="str">
        <x:v>L1_numeric_partition_qualified_not_national_completeness</x:v>
      </x:c>
      <x:c r="S1036" s="2" t="str">
        <x:v>historical_GHSL_BU_estimate</x:v>
      </x:c>
      <x:c r="T1036" s="2" t="str">
        <x:v>historical_GHSL_BU_estimate</x:v>
      </x:c>
      <x:c r="U1036" s="2" t="str">
        <x:v>GFA growth versus source physical quantity growth; constant conversion required for equality</x:v>
      </x:c>
      <x:c r="V1036" s="2" t="str">
        <x:v>Future horizontal path is already a v16 driver; WUP historical surface derives from GHSL</x:v>
      </x:c>
      <x:c r="W1036" s="2" t="str">
        <x:v>https://human-settlement.emergency.copernicus.eu/datasets.php</x:v>
      </x:c>
    </x:row>
    <x:row r="1037" ht="23" customHeight="1">
      <x:c r="A1037" s="2" t="str">
        <x:v>EST</x:v>
      </x:c>
      <x:c r="B1037" s="2" t="str">
        <x:v>Estonia (Republic of)</x:v>
      </x:c>
      <x:c r="C1037" s="2" t="str">
        <x:v>WUP_SURFACE</x:v>
      </x:c>
      <x:c r="D1037" s="2" t="n">
        <x:v>2015</x:v>
      </x:c>
      <x:c r="E1037" s="2" t="n">
        <x:v>2020</x:v>
      </x:c>
      <x:c r="F1037" s="17" t="n">
        <x:v>107839154.44477116</x:v>
      </x:c>
      <x:c r="G1037" s="17" t="n">
        <x:v>113094705.3700001</x:v>
      </x:c>
      <x:c r="H1037" s="17" t="n">
        <x:v>184905052.25348032</x:v>
      </x:c>
      <x:c r="I1037" s="17" t="n">
        <x:v>192976209.96352896</x:v>
      </x:c>
      <x:c r="J1037" s="2" t="str">
        <x:v>m2</x:v>
      </x:c>
      <x:c r="K1037" s="15" t="n">
        <x:f>IF(AND(ISNUMBER(F1037),ISNUMBER(G1037),F1037&gt;0),G1037/F1037-1,"n.a.")</x:f>
        <x:v>0.048735090258154035</x:v>
      </x:c>
      <x:c r="L1037" s="15" t="n">
        <x:f>IF(AND(N1037,ISNUMBER(H1037),ISNUMBER(I1037),H1037&gt;0),I1037/H1037-1,"n.a.")</x:f>
        <x:v>0.04365028219447553</x:v>
      </x:c>
      <x:c r="M1037" s="20" t="n">
        <x:f>IF(AND(ISNUMBER(K1037),ISNUMBER(L1037)),100*(K1037-L1037),"n.a.")</x:f>
        <x:v>0.5084808063678503</x:v>
      </x:c>
      <x:c r="N1037" s="13" t="b">
        <x:v>1</x:v>
      </x:c>
      <x:c r="O1037" s="13" t="b">
        <x:v>1</x:v>
      </x:c>
      <x:c r="P1037" s="13" t="b">
        <x:v>0</x:v>
      </x:c>
      <x:c r="Q1037" s="2" t="str">
        <x:v>L1_numeric_partition_qualified_not_national_completeness</x:v>
      </x:c>
      <x:c r="R1037" s="2" t="str">
        <x:v>L1_numeric_partition_qualified_not_national_completeness</x:v>
      </x:c>
      <x:c r="S1037" s="2" t="str">
        <x:v>historical_GHSL_BU_estimate</x:v>
      </x:c>
      <x:c r="T1037" s="2" t="str">
        <x:v>historical_GHSL_BU_estimate</x:v>
      </x:c>
      <x:c r="U1037" s="2" t="str">
        <x:v>GFA growth versus source physical quantity growth; constant conversion required for equality</x:v>
      </x:c>
      <x:c r="V1037" s="2" t="str">
        <x:v>Future horizontal path is already a v16 driver; WUP historical surface derives from GHSL</x:v>
      </x:c>
      <x:c r="W1037" s="2" t="str">
        <x:v>https://human-settlement.emergency.copernicus.eu/datasets.php</x:v>
      </x:c>
    </x:row>
    <x:row r="1038" ht="23" customHeight="1">
      <x:c r="A1038" s="2" t="str">
        <x:v>ETH</x:v>
      </x:c>
      <x:c r="B1038" s="2" t="str">
        <x:v>Ethiopia (Federal Democratic Republic of)</x:v>
      </x:c>
      <x:c r="C1038" s="2" t="str">
        <x:v>WUP_SURFACE</x:v>
      </x:c>
      <x:c r="D1038" s="2" t="n">
        <x:v>2015</x:v>
      </x:c>
      <x:c r="E1038" s="2" t="n">
        <x:v>2020</x:v>
      </x:c>
      <x:c r="F1038" s="17" t="n">
        <x:v>975794014.8213218</x:v>
      </x:c>
      <x:c r="G1038" s="17" t="n">
        <x:v>1660821510.7100024</x:v>
      </x:c>
      <x:c r="H1038" s="17" t="n">
        <x:v>1504371445.1076348</x:v>
      </x:c>
      <x:c r="I1038" s="17" t="n">
        <x:v>2544618131.682302</x:v>
      </x:c>
      <x:c r="J1038" s="2" t="str">
        <x:v>m2</x:v>
      </x:c>
      <x:c r="K1038" s="15" t="n">
        <x:f>IF(AND(ISNUMBER(F1038),ISNUMBER(G1038),F1038&gt;0),G1038/F1038-1,"n.a.")</x:f>
        <x:v>0.7020205960313421</x:v>
      </x:c>
      <x:c r="L1038" s="15" t="n">
        <x:f>IF(AND(N1038,ISNUMBER(H1038),ISNUMBER(I1038),H1038&gt;0),I1038/H1038-1,"n.a.")</x:f>
        <x:v>0.6914826055477539</x:v>
      </x:c>
      <x:c r="M1038" s="20" t="n">
        <x:f>IF(AND(ISNUMBER(K1038),ISNUMBER(L1038)),100*(K1038-L1038),"n.a.")</x:f>
        <x:v>1.0537990483588278</x:v>
      </x:c>
      <x:c r="N1038" s="13" t="b">
        <x:v>1</x:v>
      </x:c>
      <x:c r="O1038" s="13" t="b">
        <x:v>1</x:v>
      </x:c>
      <x:c r="P1038" s="13" t="b">
        <x:v>0</x:v>
      </x:c>
      <x:c r="Q1038" s="2" t="str">
        <x:v>L1_numeric_partition_qualified_not_national_completeness</x:v>
      </x:c>
      <x:c r="R1038" s="2" t="str">
        <x:v>L1_numeric_partition_qualified_not_national_completeness</x:v>
      </x:c>
      <x:c r="S1038" s="2" t="str">
        <x:v>historical_GHSL_BU_estimate</x:v>
      </x:c>
      <x:c r="T1038" s="2" t="str">
        <x:v>historical_GHSL_BU_estimate</x:v>
      </x:c>
      <x:c r="U1038" s="2" t="str">
        <x:v>GFA growth versus source physical quantity growth; constant conversion required for equality</x:v>
      </x:c>
      <x:c r="V1038" s="2" t="str">
        <x:v>Future horizontal path is already a v16 driver; WUP historical surface derives from GHSL</x:v>
      </x:c>
      <x:c r="W1038" s="2" t="str">
        <x:v>https://human-settlement.emergency.copernicus.eu/datasets.php</x:v>
      </x:c>
    </x:row>
    <x:row r="1039" ht="23" customHeight="1">
      <x:c r="A1039" s="2" t="str">
        <x:v>FIN</x:v>
      </x:c>
      <x:c r="B1039" s="2" t="str">
        <x:v>Finland (Republic of)</x:v>
      </x:c>
      <x:c r="C1039" s="2" t="str">
        <x:v>WUP_SURFACE</x:v>
      </x:c>
      <x:c r="D1039" s="2" t="n">
        <x:v>2015</x:v>
      </x:c>
      <x:c r="E1039" s="2" t="n">
        <x:v>2020</x:v>
      </x:c>
      <x:c r="F1039" s="17" t="n">
        <x:v>584197324.5432632</x:v>
      </x:c>
      <x:c r="G1039" s="17" t="n">
        <x:v>615866742.3399993</x:v>
      </x:c>
      <x:c r="H1039" s="17" t="n">
        <x:v>517900443.1122039</x:v>
      </x:c>
      <x:c r="I1039" s="17" t="n">
        <x:v>542868462.1400499</x:v>
      </x:c>
      <x:c r="J1039" s="2" t="str">
        <x:v>m2</x:v>
      </x:c>
      <x:c r="K1039" s="15" t="n">
        <x:f>IF(AND(ISNUMBER(F1039),ISNUMBER(G1039),F1039&gt;0),G1039/F1039-1,"n.a.")</x:f>
        <x:v>0.054210138366340255</x:v>
      </x:c>
      <x:c r="L1039" s="15" t="n">
        <x:f>IF(AND(N1039,ISNUMBER(H1039),ISNUMBER(I1039),H1039&gt;0),I1039/H1039-1,"n.a.")</x:f>
        <x:v>0.04821007465799121</x:v>
      </x:c>
      <x:c r="M1039" s="20" t="n">
        <x:f>IF(AND(ISNUMBER(K1039),ISNUMBER(L1039)),100*(K1039-L1039),"n.a.")</x:f>
        <x:v>0.6000063708349046</x:v>
      </x:c>
      <x:c r="N1039" s="13" t="b">
        <x:v>1</x:v>
      </x:c>
      <x:c r="O1039" s="13" t="b">
        <x:v>1</x:v>
      </x:c>
      <x:c r="P1039" s="13" t="b">
        <x:v>0</x:v>
      </x:c>
      <x:c r="Q1039" s="2" t="str">
        <x:v>L1_numeric_partition_qualified_not_national_completeness</x:v>
      </x:c>
      <x:c r="R1039" s="2" t="str">
        <x:v>L1_numeric_partition_qualified_not_national_completeness</x:v>
      </x:c>
      <x:c r="S1039" s="2" t="str">
        <x:v>historical_GHSL_BU_estimate</x:v>
      </x:c>
      <x:c r="T1039" s="2" t="str">
        <x:v>historical_GHSL_BU_estimate</x:v>
      </x:c>
      <x:c r="U1039" s="2" t="str">
        <x:v>GFA growth versus source physical quantity growth; constant conversion required for equality</x:v>
      </x:c>
      <x:c r="V1039" s="2" t="str">
        <x:v>Future horizontal path is already a v16 driver; WUP historical surface derives from GHSL</x:v>
      </x:c>
      <x:c r="W1039" s="2" t="str">
        <x:v>https://human-settlement.emergency.copernicus.eu/datasets.php</x:v>
      </x:c>
    </x:row>
    <x:row r="1040" ht="23" customHeight="1">
      <x:c r="A1040" s="2" t="str">
        <x:v>FJI</x:v>
      </x:c>
      <x:c r="B1040" s="2" t="str">
        <x:v>Fiji (Republic of)</x:v>
      </x:c>
      <x:c r="C1040" s="2" t="str">
        <x:v>WUP_SURFACE</x:v>
      </x:c>
      <x:c r="D1040" s="2" t="n">
        <x:v>2015</x:v>
      </x:c>
      <x:c r="E1040" s="2" t="n">
        <x:v>2020</x:v>
      </x:c>
      <x:c r="F1040" s="17" t="n">
        <x:v>33411339.28812197</x:v>
      </x:c>
      <x:c r="G1040" s="17" t="n">
        <x:v>37460168.12</x:v>
      </x:c>
      <x:c r="H1040" s="17" t="n">
        <x:v>77566425.8002064</x:v>
      </x:c>
      <x:c r="I1040" s="17" t="n">
        <x:v>86259115.95521654</x:v>
      </x:c>
      <x:c r="J1040" s="2" t="str">
        <x:v>m2</x:v>
      </x:c>
      <x:c r="K1040" s="15" t="n">
        <x:f>IF(AND(ISNUMBER(F1040),ISNUMBER(G1040),F1040&gt;0),G1040/F1040-1,"n.a.")</x:f>
        <x:v>0.1211812791149447</x:v>
      </x:c>
      <x:c r="L1040" s="15" t="n">
        <x:f>IF(AND(N1040,ISNUMBER(H1040),ISNUMBER(I1040),H1040&gt;0),I1040/H1040-1,"n.a.")</x:f>
        <x:v>0.11206768992296423</x:v>
      </x:c>
      <x:c r="M1040" s="20" t="n">
        <x:f>IF(AND(ISNUMBER(K1040),ISNUMBER(L1040)),100*(K1040-L1040),"n.a.")</x:f>
        <x:v>0.9113589191980465</x:v>
      </x:c>
      <x:c r="N1040" s="13" t="b">
        <x:v>1</x:v>
      </x:c>
      <x:c r="O1040" s="13" t="b">
        <x:v>1</x:v>
      </x:c>
      <x:c r="P1040" s="13" t="b">
        <x:v>0</x:v>
      </x:c>
      <x:c r="Q1040" s="2" t="str">
        <x:v>L1_numeric_partition_qualified_not_national_completeness</x:v>
      </x:c>
      <x:c r="R1040" s="2" t="str">
        <x:v>L1_numeric_partition_qualified_not_national_completeness</x:v>
      </x:c>
      <x:c r="S1040" s="2" t="str">
        <x:v>historical_GHSL_BU_estimate</x:v>
      </x:c>
      <x:c r="T1040" s="2" t="str">
        <x:v>historical_GHSL_BU_estimate</x:v>
      </x:c>
      <x:c r="U1040" s="2" t="str">
        <x:v>GFA growth versus source physical quantity growth; constant conversion required for equality</x:v>
      </x:c>
      <x:c r="V1040" s="2" t="str">
        <x:v>Future horizontal path is already a v16 driver; WUP historical surface derives from GHSL</x:v>
      </x:c>
      <x:c r="W1040" s="2" t="str">
        <x:v>https://human-settlement.emergency.copernicus.eu/datasets.php</x:v>
      </x:c>
    </x:row>
    <x:row r="1041" ht="23" customHeight="1">
      <x:c r="A1041" s="2" t="str">
        <x:v>FRA</x:v>
      </x:c>
      <x:c r="B1041" s="2" t="str">
        <x:v>France (French Republic)</x:v>
      </x:c>
      <x:c r="C1041" s="2" t="str">
        <x:v>WUP_SURFACE</x:v>
      </x:c>
      <x:c r="D1041" s="2" t="n">
        <x:v>2015</x:v>
      </x:c>
      <x:c r="E1041" s="2" t="n">
        <x:v>2020</x:v>
      </x:c>
      <x:c r="F1041" s="17" t="n">
        <x:v>5782378618.188952</x:v>
      </x:c>
      <x:c r="G1041" s="17" t="n">
        <x:v>6074526882.680001</x:v>
      </x:c>
      <x:c r="H1041" s="17" t="n">
        <x:v>9483766205.840252</x:v>
      </x:c>
      <x:c r="I1041" s="17" t="n">
        <x:v>9914338336.45296</x:v>
      </x:c>
      <x:c r="J1041" s="2" t="str">
        <x:v>m2</x:v>
      </x:c>
      <x:c r="K1041" s="15" t="n">
        <x:f>IF(AND(ISNUMBER(F1041),ISNUMBER(G1041),F1041&gt;0),G1041/F1041-1,"n.a.")</x:f>
        <x:v>0.05052389056158857</x:v>
      </x:c>
      <x:c r="L1041" s="15" t="n">
        <x:f>IF(AND(N1041,ISNUMBER(H1041),ISNUMBER(I1041),H1041&gt;0),I1041/H1041-1,"n.a.")</x:f>
        <x:v>0.045400964265394306</x:v>
      </x:c>
      <x:c r="M1041" s="20" t="n">
        <x:f>IF(AND(ISNUMBER(K1041),ISNUMBER(L1041)),100*(K1041-L1041),"n.a.")</x:f>
        <x:v>0.5122926296194263</x:v>
      </x:c>
      <x:c r="N1041" s="13" t="b">
        <x:v>1</x:v>
      </x:c>
      <x:c r="O1041" s="13" t="b">
        <x:v>1</x:v>
      </x:c>
      <x:c r="P1041" s="13" t="b">
        <x:v>0</x:v>
      </x:c>
      <x:c r="Q1041" s="2" t="str">
        <x:v>L1_numeric_partition_qualified_not_national_completeness</x:v>
      </x:c>
      <x:c r="R1041" s="2" t="str">
        <x:v>L1_numeric_partition_qualified_not_national_completeness</x:v>
      </x:c>
      <x:c r="S1041" s="2" t="str">
        <x:v>historical_GHSL_BU_estimate</x:v>
      </x:c>
      <x:c r="T1041" s="2" t="str">
        <x:v>historical_GHSL_BU_estimate</x:v>
      </x:c>
      <x:c r="U1041" s="2" t="str">
        <x:v>GFA growth versus source physical quantity growth; constant conversion required for equality</x:v>
      </x:c>
      <x:c r="V1041" s="2" t="str">
        <x:v>Future horizontal path is already a v16 driver; WUP historical surface derives from GHSL</x:v>
      </x:c>
      <x:c r="W1041" s="2" t="str">
        <x:v>https://human-settlement.emergency.copernicus.eu/datasets.php</x:v>
      </x:c>
    </x:row>
    <x:row r="1042" ht="23" customHeight="1">
      <x:c r="A1042" s="2" t="str">
        <x:v>FSM</x:v>
      </x:c>
      <x:c r="B1042" s="2" t="str">
        <x:v>Micronesia (Federated States of)</x:v>
      </x:c>
      <x:c r="C1042" s="2" t="str">
        <x:v>WUP_SURFACE</x:v>
      </x:c>
      <x:c r="D1042" s="2" t="n">
        <x:v>2015</x:v>
      </x:c>
      <x:c r="E1042" s="2" t="n">
        <x:v>2020</x:v>
      </x:c>
      <x:c r="F1042" s="17" t="n">
        <x:v>2128005.492623716</x:v>
      </x:c>
      <x:c r="G1042" s="17" t="n">
        <x:v>2177822.609999999</x:v>
      </x:c>
      <x:c r="H1042" s="17" t="n">
        <x:v>5381451.976995095</x:v>
      </x:c>
      <x:c r="I1042" s="17" t="n">
        <x:v>5493713.999648435</x:v>
      </x:c>
      <x:c r="J1042" s="2" t="str">
        <x:v>m2</x:v>
      </x:c>
      <x:c r="K1042" s="15" t="n">
        <x:f>IF(AND(ISNUMBER(F1042),ISNUMBER(G1042),F1042&gt;0),G1042/F1042-1,"n.a.")</x:f>
        <x:v>0.02341023909428963</x:v>
      </x:c>
      <x:c r="L1042" s="15" t="n">
        <x:f>IF(AND(N1042,ISNUMBER(H1042),ISNUMBER(I1042),H1042&gt;0),I1042/H1042-1,"n.a.")</x:f>
        <x:v>0.020860916929714035</x:v>
      </x:c>
      <x:c r="M1042" s="20" t="n">
        <x:f>IF(AND(ISNUMBER(K1042),ISNUMBER(L1042)),100*(K1042-L1042),"n.a.")</x:f>
        <x:v>0.2549322164575596</x:v>
      </x:c>
      <x:c r="N1042" s="13" t="b">
        <x:v>1</x:v>
      </x:c>
      <x:c r="O1042" s="13" t="b">
        <x:v>1</x:v>
      </x:c>
      <x:c r="P1042" s="13" t="b">
        <x:v>0</x:v>
      </x:c>
      <x:c r="Q1042" s="2" t="str">
        <x:v>L1_numeric_partition_qualified_not_national_completeness</x:v>
      </x:c>
      <x:c r="R1042" s="2" t="str">
        <x:v>L1_numeric_partition_qualified_not_national_completeness</x:v>
      </x:c>
      <x:c r="S1042" s="2" t="str">
        <x:v>historical_GHSL_BU_estimate</x:v>
      </x:c>
      <x:c r="T1042" s="2" t="str">
        <x:v>historical_GHSL_BU_estimate</x:v>
      </x:c>
      <x:c r="U1042" s="2" t="str">
        <x:v>GFA growth versus source physical quantity growth; constant conversion required for equality</x:v>
      </x:c>
      <x:c r="V1042" s="2" t="str">
        <x:v>Future horizontal path is already a v16 driver; WUP historical surface derives from GHSL</x:v>
      </x:c>
      <x:c r="W1042" s="2" t="str">
        <x:v>https://human-settlement.emergency.copernicus.eu/datasets.php</x:v>
      </x:c>
    </x:row>
    <x:row r="1043" ht="23" customHeight="1">
      <x:c r="A1043" s="2" t="str">
        <x:v>GAB</x:v>
      </x:c>
      <x:c r="B1043" s="2" t="str">
        <x:v>Gabon (Gabonese Republic)</x:v>
      </x:c>
      <x:c r="C1043" s="2" t="str">
        <x:v>WUP_SURFACE</x:v>
      </x:c>
      <x:c r="D1043" s="2" t="n">
        <x:v>2015</x:v>
      </x:c>
      <x:c r="E1043" s="2" t="n">
        <x:v>2020</x:v>
      </x:c>
      <x:c r="F1043" s="17" t="n">
        <x:v>66275060.77817436</x:v>
      </x:c>
      <x:c r="G1043" s="17" t="n">
        <x:v>73743642.55999996</x:v>
      </x:c>
      <x:c r="H1043" s="17" t="n">
        <x:v>132086192.91750869</x:v>
      </x:c>
      <x:c r="I1043" s="17" t="n">
        <x:v>145734357.92939937</x:v>
      </x:c>
      <x:c r="J1043" s="2" t="str">
        <x:v>m2</x:v>
      </x:c>
      <x:c r="K1043" s="15" t="n">
        <x:f>IF(AND(ISNUMBER(F1043),ISNUMBER(G1043),F1043&gt;0),G1043/F1043-1,"n.a.")</x:f>
        <x:v>0.11269068174563102</x:v>
      </x:c>
      <x:c r="L1043" s="15" t="n">
        <x:f>IF(AND(N1043,ISNUMBER(H1043),ISNUMBER(I1043),H1043&gt;0),I1043/H1043-1,"n.a.")</x:f>
        <x:v>0.10332771889651116</x:v>
      </x:c>
      <x:c r="M1043" s="20" t="n">
        <x:f>IF(AND(ISNUMBER(K1043),ISNUMBER(L1043)),100*(K1043-L1043),"n.a.")</x:f>
        <x:v>0.936296284911986</x:v>
      </x:c>
      <x:c r="N1043" s="13" t="b">
        <x:v>1</x:v>
      </x:c>
      <x:c r="O1043" s="13" t="b">
        <x:v>1</x:v>
      </x:c>
      <x:c r="P1043" s="13" t="b">
        <x:v>0</x:v>
      </x:c>
      <x:c r="Q1043" s="2" t="str">
        <x:v>L1_numeric_partition_qualified_not_national_completeness</x:v>
      </x:c>
      <x:c r="R1043" s="2" t="str">
        <x:v>L1_numeric_partition_qualified_not_national_completeness</x:v>
      </x:c>
      <x:c r="S1043" s="2" t="str">
        <x:v>historical_GHSL_BU_estimate</x:v>
      </x:c>
      <x:c r="T1043" s="2" t="str">
        <x:v>historical_GHSL_BU_estimate</x:v>
      </x:c>
      <x:c r="U1043" s="2" t="str">
        <x:v>GFA growth versus source physical quantity growth; constant conversion required for equality</x:v>
      </x:c>
      <x:c r="V1043" s="2" t="str">
        <x:v>Future horizontal path is already a v16 driver; WUP historical surface derives from GHSL</x:v>
      </x:c>
      <x:c r="W1043" s="2" t="str">
        <x:v>https://human-settlement.emergency.copernicus.eu/datasets.php</x:v>
      </x:c>
    </x:row>
    <x:row r="1044" ht="23" customHeight="1">
      <x:c r="A1044" s="2" t="str">
        <x:v>GBR</x:v>
      </x:c>
      <x:c r="B1044" s="2" t="str">
        <x:v>United Kingdom of Great Britain and Northern Ireland</x:v>
      </x:c>
      <x:c r="C1044" s="2" t="str">
        <x:v>WUP_SURFACE</x:v>
      </x:c>
      <x:c r="D1044" s="2" t="n">
        <x:v>2015</x:v>
      </x:c>
      <x:c r="E1044" s="2" t="n">
        <x:v>2020</x:v>
      </x:c>
      <x:c r="F1044" s="17" t="n">
        <x:v>3281370012.838597</x:v>
      </x:c>
      <x:c r="G1044" s="17" t="n">
        <x:v>3418464510.0900006</x:v>
      </x:c>
      <x:c r="H1044" s="17" t="n">
        <x:v>5392601252.243634</x:v>
      </x:c>
      <x:c r="I1044" s="17" t="n">
        <x:v>5575801402.085568</x:v>
      </x:c>
      <x:c r="J1044" s="2" t="str">
        <x:v>m2</x:v>
      </x:c>
      <x:c r="K1044" s="15" t="n">
        <x:f>IF(AND(ISNUMBER(F1044),ISNUMBER(G1044),F1044&gt;0),G1044/F1044-1,"n.a.")</x:f>
        <x:v>0.04177965200968248</x:v>
      </x:c>
      <x:c r="L1044" s="15" t="n">
        <x:f>IF(AND(N1044,ISNUMBER(H1044),ISNUMBER(I1044),H1044&gt;0),I1044/H1044-1,"n.a.")</x:f>
        <x:v>0.03397250070468538</x:v>
      </x:c>
      <x:c r="M1044" s="20" t="n">
        <x:f>IF(AND(ISNUMBER(K1044),ISNUMBER(L1044)),100*(K1044-L1044),"n.a.")</x:f>
        <x:v>0.7807151304997095</x:v>
      </x:c>
      <x:c r="N1044" s="13" t="b">
        <x:v>1</x:v>
      </x:c>
      <x:c r="O1044" s="13" t="b">
        <x:v>1</x:v>
      </x:c>
      <x:c r="P1044" s="13" t="b">
        <x:v>0</x:v>
      </x:c>
      <x:c r="Q1044" s="2" t="str">
        <x:v>L1_numeric_partition_qualified_not_national_completeness</x:v>
      </x:c>
      <x:c r="R1044" s="2" t="str">
        <x:v>L1_numeric_partition_qualified_not_national_completeness</x:v>
      </x:c>
      <x:c r="S1044" s="2" t="str">
        <x:v>historical_GHSL_BU_estimate</x:v>
      </x:c>
      <x:c r="T1044" s="2" t="str">
        <x:v>historical_GHSL_BU_estimate</x:v>
      </x:c>
      <x:c r="U1044" s="2" t="str">
        <x:v>GFA growth versus source physical quantity growth; constant conversion required for equality</x:v>
      </x:c>
      <x:c r="V1044" s="2" t="str">
        <x:v>Future horizontal path is already a v16 driver; WUP historical surface derives from GHSL</x:v>
      </x:c>
      <x:c r="W1044" s="2" t="str">
        <x:v>https://human-settlement.emergency.copernicus.eu/datasets.php</x:v>
      </x:c>
    </x:row>
    <x:row r="1045" ht="23" customHeight="1">
      <x:c r="A1045" s="2" t="str">
        <x:v>GEO</x:v>
      </x:c>
      <x:c r="B1045" s="2" t="str">
        <x:v>Georgia</x:v>
      </x:c>
      <x:c r="C1045" s="2" t="str">
        <x:v>WUP_SURFACE</x:v>
      </x:c>
      <x:c r="D1045" s="2" t="n">
        <x:v>2015</x:v>
      </x:c>
      <x:c r="E1045" s="2" t="n">
        <x:v>2020</x:v>
      </x:c>
      <x:c r="F1045" s="17" t="n">
        <x:v>231517997.01246288</x:v>
      </x:c>
      <x:c r="G1045" s="17" t="n">
        <x:v>242256071.04000017</x:v>
      </x:c>
      <x:c r="H1045" s="17" t="n">
        <x:v>475010516.101784</x:v>
      </x:c>
      <x:c r="I1045" s="17" t="n">
        <x:v>495299797.9398166</x:v>
      </x:c>
      <x:c r="J1045" s="2" t="str">
        <x:v>m2</x:v>
      </x:c>
      <x:c r="K1045" s="15" t="n">
        <x:f>IF(AND(ISNUMBER(F1045),ISNUMBER(G1045),F1045&gt;0),G1045/F1045-1,"n.a.")</x:f>
        <x:v>0.04638116330524067</x:v>
      </x:c>
      <x:c r="L1045" s="15" t="n">
        <x:f>IF(AND(N1045,ISNUMBER(H1045),ISNUMBER(I1045),H1045&gt;0),I1045/H1045-1,"n.a.")</x:f>
        <x:v>0.042713331916392816</x:v>
      </x:c>
      <x:c r="M1045" s="20" t="n">
        <x:f>IF(AND(ISNUMBER(K1045),ISNUMBER(L1045)),100*(K1045-L1045),"n.a.")</x:f>
        <x:v>0.3667831388847853</x:v>
      </x:c>
      <x:c r="N1045" s="13" t="b">
        <x:v>1</x:v>
      </x:c>
      <x:c r="O1045" s="13" t="b">
        <x:v>1</x:v>
      </x:c>
      <x:c r="P1045" s="13" t="b">
        <x:v>0</x:v>
      </x:c>
      <x:c r="Q1045" s="2" t="str">
        <x:v>L1_numeric_partition_qualified_not_national_completeness</x:v>
      </x:c>
      <x:c r="R1045" s="2" t="str">
        <x:v>L1_numeric_partition_qualified_not_national_completeness</x:v>
      </x:c>
      <x:c r="S1045" s="2" t="str">
        <x:v>historical_GHSL_BU_estimate</x:v>
      </x:c>
      <x:c r="T1045" s="2" t="str">
        <x:v>historical_GHSL_BU_estimate</x:v>
      </x:c>
      <x:c r="U1045" s="2" t="str">
        <x:v>GFA growth versus source physical quantity growth; constant conversion required for equality</x:v>
      </x:c>
      <x:c r="V1045" s="2" t="str">
        <x:v>Future horizontal path is already a v16 driver; WUP historical surface derives from GHSL</x:v>
      </x:c>
      <x:c r="W1045" s="2" t="str">
        <x:v>https://human-settlement.emergency.copernicus.eu/datasets.php</x:v>
      </x:c>
    </x:row>
    <x:row r="1046" ht="23" customHeight="1">
      <x:c r="A1046" s="2" t="str">
        <x:v>GHA</x:v>
      </x:c>
      <x:c r="B1046" s="2" t="str">
        <x:v>Ghana (Republic of)</x:v>
      </x:c>
      <x:c r="C1046" s="2" t="str">
        <x:v>WUP_SURFACE</x:v>
      </x:c>
      <x:c r="D1046" s="2" t="n">
        <x:v>2015</x:v>
      </x:c>
      <x:c r="E1046" s="2" t="n">
        <x:v>2020</x:v>
      </x:c>
      <x:c r="F1046" s="17" t="n">
        <x:v>867754316.8806722</x:v>
      </x:c>
      <x:c r="G1046" s="17" t="n">
        <x:v>958424622.62</x:v>
      </x:c>
      <x:c r="H1046" s="17" t="n">
        <x:v>1761299812.7262204</x:v>
      </x:c>
      <x:c r="I1046" s="17" t="n">
        <x:v>1930651519.0645432</x:v>
      </x:c>
      <x:c r="J1046" s="2" t="str">
        <x:v>m2</x:v>
      </x:c>
      <x:c r="K1046" s="15" t="n">
        <x:f>IF(AND(ISNUMBER(F1046),ISNUMBER(G1046),F1046&gt;0),G1046/F1046-1,"n.a.")</x:f>
        <x:v>0.10448845252105632</x:v>
      </x:c>
      <x:c r="L1046" s="15" t="n">
        <x:f>IF(AND(N1046,ISNUMBER(H1046),ISNUMBER(I1046),H1046&gt;0),I1046/H1046-1,"n.a.")</x:f>
        <x:v>0.09615154961959171</x:v>
      </x:c>
      <x:c r="M1046" s="20" t="n">
        <x:f>IF(AND(ISNUMBER(K1046),ISNUMBER(L1046)),100*(K1046-L1046),"n.a.")</x:f>
        <x:v>0.8336902901464605</x:v>
      </x:c>
      <x:c r="N1046" s="13" t="b">
        <x:v>1</x:v>
      </x:c>
      <x:c r="O1046" s="13" t="b">
        <x:v>1</x:v>
      </x:c>
      <x:c r="P1046" s="13" t="b">
        <x:v>0</x:v>
      </x:c>
      <x:c r="Q1046" s="2" t="str">
        <x:v>L1_numeric_partition_qualified_not_national_completeness</x:v>
      </x:c>
      <x:c r="R1046" s="2" t="str">
        <x:v>L1_numeric_partition_qualified_not_national_completeness</x:v>
      </x:c>
      <x:c r="S1046" s="2" t="str">
        <x:v>historical_GHSL_BU_estimate</x:v>
      </x:c>
      <x:c r="T1046" s="2" t="str">
        <x:v>historical_GHSL_BU_estimate</x:v>
      </x:c>
      <x:c r="U1046" s="2" t="str">
        <x:v>GFA growth versus source physical quantity growth; constant conversion required for equality</x:v>
      </x:c>
      <x:c r="V1046" s="2" t="str">
        <x:v>Future horizontal path is already a v16 driver; WUP historical surface derives from GHSL</x:v>
      </x:c>
      <x:c r="W1046" s="2" t="str">
        <x:v>https://human-settlement.emergency.copernicus.eu/datasets.php</x:v>
      </x:c>
    </x:row>
    <x:row r="1047" ht="23" customHeight="1">
      <x:c r="A1047" s="2" t="str">
        <x:v>GIN</x:v>
      </x:c>
      <x:c r="B1047" s="2" t="str">
        <x:v>Guinea (Republic of)</x:v>
      </x:c>
      <x:c r="C1047" s="2" t="str">
        <x:v>WUP_SURFACE</x:v>
      </x:c>
      <x:c r="D1047" s="2" t="n">
        <x:v>2015</x:v>
      </x:c>
      <x:c r="E1047" s="2" t="n">
        <x:v>2020</x:v>
      </x:c>
      <x:c r="F1047" s="17" t="n">
        <x:v>253265001.86701941</x:v>
      </x:c>
      <x:c r="G1047" s="17" t="n">
        <x:v>277637578.22999954</x:v>
      </x:c>
      <x:c r="H1047" s="17" t="n">
        <x:v>598346823.009452</x:v>
      </x:c>
      <x:c r="I1047" s="17" t="n">
        <x:v>649763986.9718647</x:v>
      </x:c>
      <x:c r="J1047" s="2" t="str">
        <x:v>m2</x:v>
      </x:c>
      <x:c r="K1047" s="15" t="n">
        <x:f>IF(AND(ISNUMBER(F1047),ISNUMBER(G1047),F1047&gt;0),G1047/F1047-1,"n.a.")</x:f>
        <x:v>0.09623349528482161</x:v>
      </x:c>
      <x:c r="L1047" s="15" t="n">
        <x:f>IF(AND(N1047,ISNUMBER(H1047),ISNUMBER(I1047),H1047&gt;0),I1047/H1047-1,"n.a.")</x:f>
        <x:v>0.08593204139332489</x:v>
      </x:c>
      <x:c r="M1047" s="20" t="n">
        <x:f>IF(AND(ISNUMBER(K1047),ISNUMBER(L1047)),100*(K1047-L1047),"n.a.")</x:f>
        <x:v>1.0301453891496726</x:v>
      </x:c>
      <x:c r="N1047" s="13" t="b">
        <x:v>1</x:v>
      </x:c>
      <x:c r="O1047" s="13" t="b">
        <x:v>1</x:v>
      </x:c>
      <x:c r="P1047" s="13" t="b">
        <x:v>0</x:v>
      </x:c>
      <x:c r="Q1047" s="2" t="str">
        <x:v>L1_numeric_partition_qualified_not_national_completeness</x:v>
      </x:c>
      <x:c r="R1047" s="2" t="str">
        <x:v>L1_numeric_partition_qualified_not_national_completeness</x:v>
      </x:c>
      <x:c r="S1047" s="2" t="str">
        <x:v>historical_GHSL_BU_estimate</x:v>
      </x:c>
      <x:c r="T1047" s="2" t="str">
        <x:v>historical_GHSL_BU_estimate</x:v>
      </x:c>
      <x:c r="U1047" s="2" t="str">
        <x:v>GFA growth versus source physical quantity growth; constant conversion required for equality</x:v>
      </x:c>
      <x:c r="V1047" s="2" t="str">
        <x:v>Future horizontal path is already a v16 driver; WUP historical surface derives from GHSL</x:v>
      </x:c>
      <x:c r="W1047" s="2" t="str">
        <x:v>https://human-settlement.emergency.copernicus.eu/datasets.php</x:v>
      </x:c>
    </x:row>
    <x:row r="1048" ht="23" customHeight="1">
      <x:c r="A1048" s="2" t="str">
        <x:v>GMB</x:v>
      </x:c>
      <x:c r="B1048" s="2" t="str">
        <x:v>Gambia (Republic of the)</x:v>
      </x:c>
      <x:c r="C1048" s="2" t="str">
        <x:v>WUP_SURFACE</x:v>
      </x:c>
      <x:c r="D1048" s="2" t="n">
        <x:v>2015</x:v>
      </x:c>
      <x:c r="E1048" s="2" t="n">
        <x:v>2020</x:v>
      </x:c>
      <x:c r="F1048" s="17" t="n">
        <x:v>54523887.232732646</x:v>
      </x:c>
      <x:c r="G1048" s="17" t="n">
        <x:v>56875154.52999992</x:v>
      </x:c>
      <x:c r="H1048" s="17" t="n">
        <x:v>110668002.10494888</x:v>
      </x:c>
      <x:c r="I1048" s="17" t="n">
        <x:v>114650843.82510397</x:v>
      </x:c>
      <x:c r="J1048" s="2" t="str">
        <x:v>m2</x:v>
      </x:c>
      <x:c r="K1048" s="15" t="n">
        <x:f>IF(AND(ISNUMBER(F1048),ISNUMBER(G1048),F1048&gt;0),G1048/F1048-1,"n.a.")</x:f>
        <x:v>0.043123618226833305</x:v>
      </x:c>
      <x:c r="L1048" s="15" t="n">
        <x:f>IF(AND(N1048,ISNUMBER(H1048),ISNUMBER(I1048),H1048&gt;0),I1048/H1048-1,"n.a.")</x:f>
        <x:v>0.03598909932771788</x:v>
      </x:c>
      <x:c r="M1048" s="20" t="n">
        <x:f>IF(AND(ISNUMBER(K1048),ISNUMBER(L1048)),100*(K1048-L1048),"n.a.")</x:f>
        <x:v>0.7134518899115427</x:v>
      </x:c>
      <x:c r="N1048" s="13" t="b">
        <x:v>1</x:v>
      </x:c>
      <x:c r="O1048" s="13" t="b">
        <x:v>1</x:v>
      </x:c>
      <x:c r="P1048" s="13" t="b">
        <x:v>0</x:v>
      </x:c>
      <x:c r="Q1048" s="2" t="str">
        <x:v>L1_numeric_partition_qualified_not_national_completeness</x:v>
      </x:c>
      <x:c r="R1048" s="2" t="str">
        <x:v>L1_numeric_partition_qualified_not_national_completeness</x:v>
      </x:c>
      <x:c r="S1048" s="2" t="str">
        <x:v>historical_GHSL_BU_estimate</x:v>
      </x:c>
      <x:c r="T1048" s="2" t="str">
        <x:v>historical_GHSL_BU_estimate</x:v>
      </x:c>
      <x:c r="U1048" s="2" t="str">
        <x:v>GFA growth versus source physical quantity growth; constant conversion required for equality</x:v>
      </x:c>
      <x:c r="V1048" s="2" t="str">
        <x:v>Future horizontal path is already a v16 driver; WUP historical surface derives from GHSL</x:v>
      </x:c>
      <x:c r="W1048" s="2" t="str">
        <x:v>https://human-settlement.emergency.copernicus.eu/datasets.php</x:v>
      </x:c>
    </x:row>
    <x:row r="1049" ht="23" customHeight="1">
      <x:c r="A1049" s="2" t="str">
        <x:v>GNB</x:v>
      </x:c>
      <x:c r="B1049" s="2" t="str">
        <x:v>Guinea-Bissau (Republic of)</x:v>
      </x:c>
      <x:c r="C1049" s="2" t="str">
        <x:v>WUP_SURFACE</x:v>
      </x:c>
      <x:c r="D1049" s="2" t="n">
        <x:v>2015</x:v>
      </x:c>
      <x:c r="E1049" s="2" t="n">
        <x:v>2020</x:v>
      </x:c>
      <x:c r="F1049" s="17" t="n">
        <x:v>46182866.527540356</x:v>
      </x:c>
      <x:c r="G1049" s="17" t="n">
        <x:v>48952674.499999925</x:v>
      </x:c>
      <x:c r="H1049" s="17" t="n">
        <x:v>92300647.00349976</x:v>
      </x:c>
      <x:c r="I1049" s="17" t="n">
        <x:v>96952541.94673587</x:v>
      </x:c>
      <x:c r="J1049" s="2" t="str">
        <x:v>m2</x:v>
      </x:c>
      <x:c r="K1049" s="15" t="n">
        <x:f>IF(AND(ISNUMBER(F1049),ISNUMBER(G1049),F1049&gt;0),G1049/F1049-1,"n.a.")</x:f>
        <x:v>0.05997479543215101</x:v>
      </x:c>
      <x:c r="L1049" s="15" t="n">
        <x:f>IF(AND(N1049,ISNUMBER(H1049),ISNUMBER(I1049),H1049&gt;0),I1049/H1049-1,"n.a.")</x:f>
        <x:v>0.050399375240129496</x:v>
      </x:c>
      <x:c r="M1049" s="20" t="n">
        <x:f>IF(AND(ISNUMBER(K1049),ISNUMBER(L1049)),100*(K1049-L1049),"n.a.")</x:f>
        <x:v>0.9575420192021511</x:v>
      </x:c>
      <x:c r="N1049" s="13" t="b">
        <x:v>1</x:v>
      </x:c>
      <x:c r="O1049" s="13" t="b">
        <x:v>1</x:v>
      </x:c>
      <x:c r="P1049" s="13" t="b">
        <x:v>0</x:v>
      </x:c>
      <x:c r="Q1049" s="2" t="str">
        <x:v>L1_numeric_partition_qualified_not_national_completeness</x:v>
      </x:c>
      <x:c r="R1049" s="2" t="str">
        <x:v>L1_numeric_partition_qualified_not_national_completeness</x:v>
      </x:c>
      <x:c r="S1049" s="2" t="str">
        <x:v>historical_GHSL_BU_estimate</x:v>
      </x:c>
      <x:c r="T1049" s="2" t="str">
        <x:v>historical_GHSL_BU_estimate</x:v>
      </x:c>
      <x:c r="U1049" s="2" t="str">
        <x:v>GFA growth versus source physical quantity growth; constant conversion required for equality</x:v>
      </x:c>
      <x:c r="V1049" s="2" t="str">
        <x:v>Future horizontal path is already a v16 driver; WUP historical surface derives from GHSL</x:v>
      </x:c>
      <x:c r="W1049" s="2" t="str">
        <x:v>https://human-settlement.emergency.copernicus.eu/datasets.php</x:v>
      </x:c>
    </x:row>
    <x:row r="1050" ht="23" customHeight="1">
      <x:c r="A1050" s="2" t="str">
        <x:v>GNQ</x:v>
      </x:c>
      <x:c r="B1050" s="2" t="str">
        <x:v>Equatorial Guinea (Republic of)</x:v>
      </x:c>
      <x:c r="C1050" s="2" t="str">
        <x:v>WUP_SURFACE</x:v>
      </x:c>
      <x:c r="D1050" s="2" t="n">
        <x:v>2015</x:v>
      </x:c>
      <x:c r="E1050" s="2" t="n">
        <x:v>2020</x:v>
      </x:c>
      <x:c r="F1050" s="17" t="n">
        <x:v>30500131.86462052</x:v>
      </x:c>
      <x:c r="G1050" s="17" t="n">
        <x:v>34102626.51999995</x:v>
      </x:c>
      <x:c r="H1050" s="17" t="n">
        <x:v>51655227.01254758</x:v>
      </x:c>
      <x:c r="I1050" s="17" t="n">
        <x:v>57630347.0060426</x:v>
      </x:c>
      <x:c r="J1050" s="2" t="str">
        <x:v>m2</x:v>
      </x:c>
      <x:c r="K1050" s="15" t="n">
        <x:f>IF(AND(ISNUMBER(F1050),ISNUMBER(G1050),F1050&gt;0),G1050/F1050-1,"n.a.")</x:f>
        <x:v>0.11811406820697212</x:v>
      </x:c>
      <x:c r="L1050" s="15" t="n">
        <x:f>IF(AND(N1050,ISNUMBER(H1050),ISNUMBER(I1050),H1050&gt;0),I1050/H1050-1,"n.a.")</x:f>
        <x:v>0.11567309523281355</x:v>
      </x:c>
      <x:c r="M1050" s="20" t="n">
        <x:f>IF(AND(ISNUMBER(K1050),ISNUMBER(L1050)),100*(K1050-L1050),"n.a.")</x:f>
        <x:v>0.24409729741585728</x:v>
      </x:c>
      <x:c r="N1050" s="13" t="b">
        <x:v>1</x:v>
      </x:c>
      <x:c r="O1050" s="13" t="b">
        <x:v>1</x:v>
      </x:c>
      <x:c r="P1050" s="13" t="b">
        <x:v>0</x:v>
      </x:c>
      <x:c r="Q1050" s="2" t="str">
        <x:v>L1_numeric_partition_qualified_not_national_completeness</x:v>
      </x:c>
      <x:c r="R1050" s="2" t="str">
        <x:v>L1_numeric_partition_qualified_not_national_completeness</x:v>
      </x:c>
      <x:c r="S1050" s="2" t="str">
        <x:v>historical_GHSL_BU_estimate</x:v>
      </x:c>
      <x:c r="T1050" s="2" t="str">
        <x:v>historical_GHSL_BU_estimate</x:v>
      </x:c>
      <x:c r="U1050" s="2" t="str">
        <x:v>GFA growth versus source physical quantity growth; constant conversion required for equality</x:v>
      </x:c>
      <x:c r="V1050" s="2" t="str">
        <x:v>Future horizontal path is already a v16 driver; WUP historical surface derives from GHSL</x:v>
      </x:c>
      <x:c r="W1050" s="2" t="str">
        <x:v>https://human-settlement.emergency.copernicus.eu/datasets.php</x:v>
      </x:c>
    </x:row>
    <x:row r="1051" ht="23" customHeight="1">
      <x:c r="A1051" s="2" t="str">
        <x:v>GRC</x:v>
      </x:c>
      <x:c r="B1051" s="2" t="str">
        <x:v>Greece (Hellenic Republic)</x:v>
      </x:c>
      <x:c r="C1051" s="2" t="str">
        <x:v>WUP_SURFACE</x:v>
      </x:c>
      <x:c r="D1051" s="2" t="n">
        <x:v>2015</x:v>
      </x:c>
      <x:c r="E1051" s="2" t="n">
        <x:v>2020</x:v>
      </x:c>
      <x:c r="F1051" s="17" t="n">
        <x:v>826514330.7150826</x:v>
      </x:c>
      <x:c r="G1051" s="17" t="n">
        <x:v>853851739.6700008</x:v>
      </x:c>
      <x:c r="H1051" s="17" t="n">
        <x:v>1150186360.1088762</x:v>
      </x:c>
      <x:c r="I1051" s="17" t="n">
        <x:v>1184598146.8152592</x:v>
      </x:c>
      <x:c r="J1051" s="2" t="str">
        <x:v>m2</x:v>
      </x:c>
      <x:c r="K1051" s="15" t="n">
        <x:f>IF(AND(ISNUMBER(F1051),ISNUMBER(G1051),F1051&gt;0),G1051/F1051-1,"n.a.")</x:f>
        <x:v>0.03307554138990709</x:v>
      </x:c>
      <x:c r="L1051" s="15" t="n">
        <x:f>IF(AND(N1051,ISNUMBER(H1051),ISNUMBER(I1051),H1051&gt;0),I1051/H1051-1,"n.a.")</x:f>
        <x:v>0.0299184444363656</x:v>
      </x:c>
      <x:c r="M1051" s="20" t="n">
        <x:f>IF(AND(ISNUMBER(K1051),ISNUMBER(L1051)),100*(K1051-L1051),"n.a.")</x:f>
        <x:v>0.3157096953541494</x:v>
      </x:c>
      <x:c r="N1051" s="13" t="b">
        <x:v>1</x:v>
      </x:c>
      <x:c r="O1051" s="13" t="b">
        <x:v>1</x:v>
      </x:c>
      <x:c r="P1051" s="13" t="b">
        <x:v>0</x:v>
      </x:c>
      <x:c r="Q1051" s="2" t="str">
        <x:v>L1_numeric_partition_qualified_not_national_completeness</x:v>
      </x:c>
      <x:c r="R1051" s="2" t="str">
        <x:v>L1_numeric_partition_qualified_not_national_completeness</x:v>
      </x:c>
      <x:c r="S1051" s="2" t="str">
        <x:v>historical_GHSL_BU_estimate</x:v>
      </x:c>
      <x:c r="T1051" s="2" t="str">
        <x:v>historical_GHSL_BU_estimate</x:v>
      </x:c>
      <x:c r="U1051" s="2" t="str">
        <x:v>GFA growth versus source physical quantity growth; constant conversion required for equality</x:v>
      </x:c>
      <x:c r="V1051" s="2" t="str">
        <x:v>Future horizontal path is already a v16 driver; WUP historical surface derives from GHSL</x:v>
      </x:c>
      <x:c r="W1051" s="2" t="str">
        <x:v>https://human-settlement.emergency.copernicus.eu/datasets.php</x:v>
      </x:c>
    </x:row>
    <x:row r="1052" ht="23" customHeight="1">
      <x:c r="A1052" s="2" t="str">
        <x:v>GRD</x:v>
      </x:c>
      <x:c r="B1052" s="2" t="str">
        <x:v>Grenada</x:v>
      </x:c>
      <x:c r="C1052" s="2" t="str">
        <x:v>WUP_SURFACE</x:v>
      </x:c>
      <x:c r="D1052" s="2" t="n">
        <x:v>2015</x:v>
      </x:c>
      <x:c r="E1052" s="2" t="n">
        <x:v>2020</x:v>
      </x:c>
      <x:c r="F1052" s="17" t="n">
        <x:v>5896774.169807444</x:v>
      </x:c>
      <x:c r="G1052" s="17" t="n">
        <x:v>6904998.419999993</x:v>
      </x:c>
      <x:c r="H1052" s="17" t="n">
        <x:v>8270514.9920684565</x:v>
      </x:c>
      <x:c r="I1052" s="17" t="n">
        <x:v>9899280.970064864</x:v>
      </x:c>
      <x:c r="J1052" s="2" t="str">
        <x:v>m2</x:v>
      </x:c>
      <x:c r="K1052" s="15" t="n">
        <x:f>IF(AND(ISNUMBER(F1052),ISNUMBER(G1052),F1052&gt;0),G1052/F1052-1,"n.a.")</x:f>
        <x:v>0.1709789490251874</x:v>
      </x:c>
      <x:c r="L1052" s="15" t="n">
        <x:f>IF(AND(N1052,ISNUMBER(H1052),ISNUMBER(I1052),H1052&gt;0),I1052/H1052-1,"n.a.")</x:f>
        <x:v>0.19693646399993447</x:v>
      </x:c>
      <x:c r="M1052" s="20" t="n">
        <x:f>IF(AND(ISNUMBER(K1052),ISNUMBER(L1052)),100*(K1052-L1052),"n.a.")</x:f>
        <x:v>-2.5957514974747076</x:v>
      </x:c>
      <x:c r="N1052" s="13" t="b">
        <x:v>1</x:v>
      </x:c>
      <x:c r="O1052" s="13" t="b">
        <x:v>1</x:v>
      </x:c>
      <x:c r="P1052" s="13" t="b">
        <x:v>0</x:v>
      </x:c>
      <x:c r="Q1052" s="2" t="str">
        <x:v>L1_numeric_partition_qualified_not_national_completeness</x:v>
      </x:c>
      <x:c r="R1052" s="2" t="str">
        <x:v>L1_numeric_partition_qualified_not_national_completeness</x:v>
      </x:c>
      <x:c r="S1052" s="2" t="str">
        <x:v>historical_GHSL_BU_estimate</x:v>
      </x:c>
      <x:c r="T1052" s="2" t="str">
        <x:v>historical_GHSL_BU_estimate</x:v>
      </x:c>
      <x:c r="U1052" s="2" t="str">
        <x:v>GFA growth versus source physical quantity growth; constant conversion required for equality</x:v>
      </x:c>
      <x:c r="V1052" s="2" t="str">
        <x:v>Future horizontal path is already a v16 driver; WUP historical surface derives from GHSL</x:v>
      </x:c>
      <x:c r="W1052" s="2" t="str">
        <x:v>https://human-settlement.emergency.copernicus.eu/datasets.php</x:v>
      </x:c>
    </x:row>
    <x:row r="1053" ht="23" customHeight="1">
      <x:c r="A1053" s="2" t="str">
        <x:v>GTM</x:v>
      </x:c>
      <x:c r="B1053" s="2" t="str">
        <x:v>Guatemala (Republic of)</x:v>
      </x:c>
      <x:c r="C1053" s="2" t="str">
        <x:v>WUP_SURFACE</x:v>
      </x:c>
      <x:c r="D1053" s="2" t="n">
        <x:v>2015</x:v>
      </x:c>
      <x:c r="E1053" s="2" t="n">
        <x:v>2020</x:v>
      </x:c>
      <x:c r="F1053" s="17" t="n">
        <x:v>499576793.66361964</x:v>
      </x:c>
      <x:c r="G1053" s="17" t="n">
        <x:v>599114028.8099989</x:v>
      </x:c>
      <x:c r="H1053" s="17" t="n">
        <x:v>784416303.7992927</x:v>
      </x:c>
      <x:c r="I1053" s="17" t="n">
        <x:v>933677044.955574</x:v>
      </x:c>
      <x:c r="J1053" s="2" t="str">
        <x:v>m2</x:v>
      </x:c>
      <x:c r="K1053" s="15" t="n">
        <x:f>IF(AND(ISNUMBER(F1053),ISNUMBER(G1053),F1053&gt;0),G1053/F1053-1,"n.a.")</x:f>
        <x:v>0.1992431121878746</x:v>
      </x:c>
      <x:c r="L1053" s="15" t="n">
        <x:f>IF(AND(N1053,ISNUMBER(H1053),ISNUMBER(I1053),H1053&gt;0),I1053/H1053-1,"n.a.")</x:f>
        <x:v>0.19028255842381436</x:v>
      </x:c>
      <x:c r="M1053" s="20" t="n">
        <x:f>IF(AND(ISNUMBER(K1053),ISNUMBER(L1053)),100*(K1053-L1053),"n.a.")</x:f>
        <x:v>0.8960553764060242</x:v>
      </x:c>
      <x:c r="N1053" s="13" t="b">
        <x:v>1</x:v>
      </x:c>
      <x:c r="O1053" s="13" t="b">
        <x:v>1</x:v>
      </x:c>
      <x:c r="P1053" s="13" t="b">
        <x:v>0</x:v>
      </x:c>
      <x:c r="Q1053" s="2" t="str">
        <x:v>L1_numeric_partition_qualified_not_national_completeness</x:v>
      </x:c>
      <x:c r="R1053" s="2" t="str">
        <x:v>L1_numeric_partition_qualified_not_national_completeness</x:v>
      </x:c>
      <x:c r="S1053" s="2" t="str">
        <x:v>historical_GHSL_BU_estimate</x:v>
      </x:c>
      <x:c r="T1053" s="2" t="str">
        <x:v>historical_GHSL_BU_estimate</x:v>
      </x:c>
      <x:c r="U1053" s="2" t="str">
        <x:v>GFA growth versus source physical quantity growth; constant conversion required for equality</x:v>
      </x:c>
      <x:c r="V1053" s="2" t="str">
        <x:v>Future horizontal path is already a v16 driver; WUP historical surface derives from GHSL</x:v>
      </x:c>
      <x:c r="W1053" s="2" t="str">
        <x:v>https://human-settlement.emergency.copernicus.eu/datasets.php</x:v>
      </x:c>
    </x:row>
    <x:row r="1054" ht="23" customHeight="1">
      <x:c r="A1054" s="2" t="str">
        <x:v>GUY</x:v>
      </x:c>
      <x:c r="B1054" s="2" t="str">
        <x:v>Guyana (Co-operative Republic of)</x:v>
      </x:c>
      <x:c r="C1054" s="2" t="str">
        <x:v>WUP_SURFACE</x:v>
      </x:c>
      <x:c r="D1054" s="2" t="n">
        <x:v>2015</x:v>
      </x:c>
      <x:c r="E1054" s="2" t="n">
        <x:v>2020</x:v>
      </x:c>
      <x:c r="F1054" s="17" t="n">
        <x:v>44014828.67558784</x:v>
      </x:c>
      <x:c r="G1054" s="17" t="n">
        <x:v>46462035.66000002</x:v>
      </x:c>
      <x:c r="H1054" s="17" t="n">
        <x:v>56377560.000059806</x:v>
      </x:c>
      <x:c r="I1054" s="17" t="n">
        <x:v>58881835.14478123</x:v>
      </x:c>
      <x:c r="J1054" s="2" t="str">
        <x:v>m2</x:v>
      </x:c>
      <x:c r="K1054" s="15" t="n">
        <x:f>IF(AND(ISNUMBER(F1054),ISNUMBER(G1054),F1054&gt;0),G1054/F1054-1,"n.a.")</x:f>
        <x:v>0.05559960263504293</x:v>
      </x:c>
      <x:c r="L1054" s="15" t="n">
        <x:f>IF(AND(N1054,ISNUMBER(H1054),ISNUMBER(I1054),H1054&gt;0),I1054/H1054-1,"n.a.")</x:f>
        <x:v>0.044419714948975564</x:v>
      </x:c>
      <x:c r="M1054" s="20" t="n">
        <x:f>IF(AND(ISNUMBER(K1054),ISNUMBER(L1054)),100*(K1054-L1054),"n.a.")</x:f>
        <x:v>1.117988768606737</x:v>
      </x:c>
      <x:c r="N1054" s="13" t="b">
        <x:v>1</x:v>
      </x:c>
      <x:c r="O1054" s="13" t="b">
        <x:v>1</x:v>
      </x:c>
      <x:c r="P1054" s="13" t="b">
        <x:v>0</x:v>
      </x:c>
      <x:c r="Q1054" s="2" t="str">
        <x:v>L1_numeric_partition_qualified_not_national_completeness</x:v>
      </x:c>
      <x:c r="R1054" s="2" t="str">
        <x:v>L1_numeric_partition_qualified_not_national_completeness</x:v>
      </x:c>
      <x:c r="S1054" s="2" t="str">
        <x:v>historical_GHSL_BU_estimate</x:v>
      </x:c>
      <x:c r="T1054" s="2" t="str">
        <x:v>historical_GHSL_BU_estimate</x:v>
      </x:c>
      <x:c r="U1054" s="2" t="str">
        <x:v>GFA growth versus source physical quantity growth; constant conversion required for equality</x:v>
      </x:c>
      <x:c r="V1054" s="2" t="str">
        <x:v>Future horizontal path is already a v16 driver; WUP historical surface derives from GHSL</x:v>
      </x:c>
      <x:c r="W1054" s="2" t="str">
        <x:v>https://human-settlement.emergency.copernicus.eu/datasets.php</x:v>
      </x:c>
    </x:row>
    <x:row r="1055" ht="23" customHeight="1">
      <x:c r="A1055" s="2" t="str">
        <x:v>HND</x:v>
      </x:c>
      <x:c r="B1055" s="2" t="str">
        <x:v>Honduras (Republic of)</x:v>
      </x:c>
      <x:c r="C1055" s="2" t="str">
        <x:v>WUP_SURFACE</x:v>
      </x:c>
      <x:c r="D1055" s="2" t="n">
        <x:v>2015</x:v>
      </x:c>
      <x:c r="E1055" s="2" t="n">
        <x:v>2020</x:v>
      </x:c>
      <x:c r="F1055" s="17" t="n">
        <x:v>261857176.83585</x:v>
      </x:c>
      <x:c r="G1055" s="17" t="n">
        <x:v>335660713.2700002</x:v>
      </x:c>
      <x:c r="H1055" s="17" t="n">
        <x:v>445333492.0270918</x:v>
      </x:c>
      <x:c r="I1055" s="17" t="n">
        <x:v>565893835.2078419</x:v>
      </x:c>
      <x:c r="J1055" s="2" t="str">
        <x:v>m2</x:v>
      </x:c>
      <x:c r="K1055" s="15" t="n">
        <x:f>IF(AND(ISNUMBER(F1055),ISNUMBER(G1055),F1055&gt;0),G1055/F1055-1,"n.a.")</x:f>
        <x:v>0.2818465291879906</x:v>
      </x:c>
      <x:c r="L1055" s="15" t="n">
        <x:f>IF(AND(N1055,ISNUMBER(H1055),ISNUMBER(I1055),H1055&gt;0),I1055/H1055-1,"n.a.")</x:f>
        <x:v>0.27071923701937917</x:v>
      </x:c>
      <x:c r="M1055" s="20" t="n">
        <x:f>IF(AND(ISNUMBER(K1055),ISNUMBER(L1055)),100*(K1055-L1055),"n.a.")</x:f>
        <x:v>1.1127292168611413</x:v>
      </x:c>
      <x:c r="N1055" s="13" t="b">
        <x:v>1</x:v>
      </x:c>
      <x:c r="O1055" s="13" t="b">
        <x:v>1</x:v>
      </x:c>
      <x:c r="P1055" s="13" t="b">
        <x:v>0</x:v>
      </x:c>
      <x:c r="Q1055" s="2" t="str">
        <x:v>L1_numeric_partition_qualified_not_national_completeness</x:v>
      </x:c>
      <x:c r="R1055" s="2" t="str">
        <x:v>L1_numeric_partition_qualified_not_national_completeness</x:v>
      </x:c>
      <x:c r="S1055" s="2" t="str">
        <x:v>historical_GHSL_BU_estimate</x:v>
      </x:c>
      <x:c r="T1055" s="2" t="str">
        <x:v>historical_GHSL_BU_estimate</x:v>
      </x:c>
      <x:c r="U1055" s="2" t="str">
        <x:v>GFA growth versus source physical quantity growth; constant conversion required for equality</x:v>
      </x:c>
      <x:c r="V1055" s="2" t="str">
        <x:v>Future horizontal path is already a v16 driver; WUP historical surface derives from GHSL</x:v>
      </x:c>
      <x:c r="W1055" s="2" t="str">
        <x:v>https://human-settlement.emergency.copernicus.eu/datasets.php</x:v>
      </x:c>
    </x:row>
    <x:row r="1056" ht="23" customHeight="1">
      <x:c r="A1056" s="2" t="str">
        <x:v>HRV</x:v>
      </x:c>
      <x:c r="B1056" s="2" t="str">
        <x:v>Croatia (Republic of)</x:v>
      </x:c>
      <x:c r="C1056" s="2" t="str">
        <x:v>WUP_SURFACE</x:v>
      </x:c>
      <x:c r="D1056" s="2" t="n">
        <x:v>2015</x:v>
      </x:c>
      <x:c r="E1056" s="2" t="n">
        <x:v>2020</x:v>
      </x:c>
      <x:c r="F1056" s="17" t="n">
        <x:v>344650373.6507369</x:v>
      </x:c>
      <x:c r="G1056" s="17" t="n">
        <x:v>361520718.4299994</x:v>
      </x:c>
      <x:c r="H1056" s="17" t="n">
        <x:v>489479306.131469</x:v>
      </x:c>
      <x:c r="I1056" s="17" t="n">
        <x:v>513991735.8921723</x:v>
      </x:c>
      <x:c r="J1056" s="2" t="str">
        <x:v>m2</x:v>
      </x:c>
      <x:c r="K1056" s="15" t="n">
        <x:f>IF(AND(ISNUMBER(F1056),ISNUMBER(G1056),F1056&gt;0),G1056/F1056-1,"n.a.")</x:f>
        <x:v>0.04894915563433755</x:v>
      </x:c>
      <x:c r="L1056" s="15" t="n">
        <x:f>IF(AND(N1056,ISNUMBER(H1056),ISNUMBER(I1056),H1056&gt;0),I1056/H1056-1,"n.a.")</x:f>
        <x:v>0.050078582390814086</x:v>
      </x:c>
      <x:c r="M1056" s="20" t="n">
        <x:f>IF(AND(ISNUMBER(K1056),ISNUMBER(L1056)),100*(K1056-L1056),"n.a.")</x:f>
        <x:v>-0.1129426756476537</x:v>
      </x:c>
      <x:c r="N1056" s="13" t="b">
        <x:v>1</x:v>
      </x:c>
      <x:c r="O1056" s="13" t="b">
        <x:v>1</x:v>
      </x:c>
      <x:c r="P1056" s="13" t="b">
        <x:v>0</x:v>
      </x:c>
      <x:c r="Q1056" s="2" t="str">
        <x:v>L1_numeric_partition_qualified_not_national_completeness</x:v>
      </x:c>
      <x:c r="R1056" s="2" t="str">
        <x:v>L1_numeric_partition_qualified_not_national_completeness</x:v>
      </x:c>
      <x:c r="S1056" s="2" t="str">
        <x:v>historical_GHSL_BU_estimate</x:v>
      </x:c>
      <x:c r="T1056" s="2" t="str">
        <x:v>historical_GHSL_BU_estimate</x:v>
      </x:c>
      <x:c r="U1056" s="2" t="str">
        <x:v>GFA growth versus source physical quantity growth; constant conversion required for equality</x:v>
      </x:c>
      <x:c r="V1056" s="2" t="str">
        <x:v>Future horizontal path is already a v16 driver; WUP historical surface derives from GHSL</x:v>
      </x:c>
      <x:c r="W1056" s="2" t="str">
        <x:v>https://human-settlement.emergency.copernicus.eu/datasets.php</x:v>
      </x:c>
    </x:row>
    <x:row r="1057" ht="23" customHeight="1">
      <x:c r="A1057" s="2" t="str">
        <x:v>HTI</x:v>
      </x:c>
      <x:c r="B1057" s="2" t="str">
        <x:v>Haiti (Republic of)</x:v>
      </x:c>
      <x:c r="C1057" s="2" t="str">
        <x:v>WUP_SURFACE</x:v>
      </x:c>
      <x:c r="D1057" s="2" t="n">
        <x:v>2015</x:v>
      </x:c>
      <x:c r="E1057" s="2" t="n">
        <x:v>2020</x:v>
      </x:c>
      <x:c r="F1057" s="17" t="n">
        <x:v>157168330.99131426</x:v>
      </x:c>
      <x:c r="G1057" s="17" t="n">
        <x:v>189002396.5400002</x:v>
      </x:c>
      <x:c r="H1057" s="17" t="n">
        <x:v>245692830.03098154</x:v>
      </x:c>
      <x:c r="I1057" s="17" t="n">
        <x:v>292667027.0329865</x:v>
      </x:c>
      <x:c r="J1057" s="2" t="str">
        <x:v>m2</x:v>
      </x:c>
      <x:c r="K1057" s="15" t="n">
        <x:f>IF(AND(ISNUMBER(F1057),ISNUMBER(G1057),F1057&gt;0),G1057/F1057-1,"n.a.")</x:f>
        <x:v>0.20254758288707175</x:v>
      </x:c>
      <x:c r="L1057" s="15" t="n">
        <x:f>IF(AND(N1057,ISNUMBER(H1057),ISNUMBER(I1057),H1057&gt;0),I1057/H1057-1,"n.a.")</x:f>
        <x:v>0.19119075227421822</x:v>
      </x:c>
      <x:c r="M1057" s="20" t="n">
        <x:f>IF(AND(ISNUMBER(K1057),ISNUMBER(L1057)),100*(K1057-L1057),"n.a.")</x:f>
        <x:v>1.135683061285353</x:v>
      </x:c>
      <x:c r="N1057" s="13" t="b">
        <x:v>1</x:v>
      </x:c>
      <x:c r="O1057" s="13" t="b">
        <x:v>1</x:v>
      </x:c>
      <x:c r="P1057" s="13" t="b">
        <x:v>0</x:v>
      </x:c>
      <x:c r="Q1057" s="2" t="str">
        <x:v>L1_numeric_partition_qualified_not_national_completeness</x:v>
      </x:c>
      <x:c r="R1057" s="2" t="str">
        <x:v>L1_numeric_partition_qualified_not_national_completeness</x:v>
      </x:c>
      <x:c r="S1057" s="2" t="str">
        <x:v>historical_GHSL_BU_estimate</x:v>
      </x:c>
      <x:c r="T1057" s="2" t="str">
        <x:v>historical_GHSL_BU_estimate</x:v>
      </x:c>
      <x:c r="U1057" s="2" t="str">
        <x:v>GFA growth versus source physical quantity growth; constant conversion required for equality</x:v>
      </x:c>
      <x:c r="V1057" s="2" t="str">
        <x:v>Future horizontal path is already a v16 driver; WUP historical surface derives from GHSL</x:v>
      </x:c>
      <x:c r="W1057" s="2" t="str">
        <x:v>https://human-settlement.emergency.copernicus.eu/datasets.php</x:v>
      </x:c>
    </x:row>
    <x:row r="1058" ht="23" customHeight="1">
      <x:c r="A1058" s="2" t="str">
        <x:v>HUN</x:v>
      </x:c>
      <x:c r="B1058" s="2" t="str">
        <x:v>Hungary</x:v>
      </x:c>
      <x:c r="C1058" s="2" t="str">
        <x:v>WUP_SURFACE</x:v>
      </x:c>
      <x:c r="D1058" s="2" t="n">
        <x:v>2015</x:v>
      </x:c>
      <x:c r="E1058" s="2" t="n">
        <x:v>2020</x:v>
      </x:c>
      <x:c r="F1058" s="17" t="n">
        <x:v>820761043.9030477</x:v>
      </x:c>
      <x:c r="G1058" s="17" t="n">
        <x:v>853072780.5300013</x:v>
      </x:c>
      <x:c r="H1058" s="17" t="n">
        <x:v>1250548922.3993168</x:v>
      </x:c>
      <x:c r="I1058" s="17" t="n">
        <x:v>1296768067.9325144</x:v>
      </x:c>
      <x:c r="J1058" s="2" t="str">
        <x:v>m2</x:v>
      </x:c>
      <x:c r="K1058" s="15" t="n">
        <x:f>IF(AND(ISNUMBER(F1058),ISNUMBER(G1058),F1058&gt;0),G1058/F1058-1,"n.a.")</x:f>
        <x:v>0.03936801931205003</x:v>
      </x:c>
      <x:c r="L1058" s="15" t="n">
        <x:f>IF(AND(N1058,ISNUMBER(H1058),ISNUMBER(I1058),H1058&gt;0),I1058/H1058-1,"n.a.")</x:f>
        <x:v>0.03695908629029976</x:v>
      </x:c>
      <x:c r="M1058" s="20" t="n">
        <x:f>IF(AND(ISNUMBER(K1058),ISNUMBER(L1058)),100*(K1058-L1058),"n.a.")</x:f>
        <x:v>0.24089330217502702</x:v>
      </x:c>
      <x:c r="N1058" s="13" t="b">
        <x:v>1</x:v>
      </x:c>
      <x:c r="O1058" s="13" t="b">
        <x:v>1</x:v>
      </x:c>
      <x:c r="P1058" s="13" t="b">
        <x:v>0</x:v>
      </x:c>
      <x:c r="Q1058" s="2" t="str">
        <x:v>L1_numeric_partition_qualified_not_national_completeness</x:v>
      </x:c>
      <x:c r="R1058" s="2" t="str">
        <x:v>L1_numeric_partition_qualified_not_national_completeness</x:v>
      </x:c>
      <x:c r="S1058" s="2" t="str">
        <x:v>historical_GHSL_BU_estimate</x:v>
      </x:c>
      <x:c r="T1058" s="2" t="str">
        <x:v>historical_GHSL_BU_estimate</x:v>
      </x:c>
      <x:c r="U1058" s="2" t="str">
        <x:v>GFA growth versus source physical quantity growth; constant conversion required for equality</x:v>
      </x:c>
      <x:c r="V1058" s="2" t="str">
        <x:v>Future horizontal path is already a v16 driver; WUP historical surface derives from GHSL</x:v>
      </x:c>
      <x:c r="W1058" s="2" t="str">
        <x:v>https://human-settlement.emergency.copernicus.eu/datasets.php</x:v>
      </x:c>
    </x:row>
    <x:row r="1059" ht="23" customHeight="1">
      <x:c r="A1059" s="2" t="str">
        <x:v>IDN</x:v>
      </x:c>
      <x:c r="B1059" s="2" t="str">
        <x:v>Indonesia (Republic of)</x:v>
      </x:c>
      <x:c r="C1059" s="2" t="str">
        <x:v>WUP_SURFACE</x:v>
      </x:c>
      <x:c r="D1059" s="2" t="n">
        <x:v>2015</x:v>
      </x:c>
      <x:c r="E1059" s="2" t="n">
        <x:v>2020</x:v>
      </x:c>
      <x:c r="F1059" s="17" t="n">
        <x:v>10348556797.890797</x:v>
      </x:c>
      <x:c r="G1059" s="17" t="n">
        <x:v>10794355074.089985</x:v>
      </x:c>
      <x:c r="H1059" s="17" t="n">
        <x:v>10196626039.60327</x:v>
      </x:c>
      <x:c r="I1059" s="17" t="n">
        <x:v>10555709715.863432</x:v>
      </x:c>
      <x:c r="J1059" s="2" t="str">
        <x:v>m2</x:v>
      </x:c>
      <x:c r="K1059" s="15" t="n">
        <x:f>IF(AND(ISNUMBER(F1059),ISNUMBER(G1059),F1059&gt;0),G1059/F1059-1,"n.a.")</x:f>
        <x:v>0.04307830404815949</x:v>
      </x:c>
      <x:c r="L1059" s="15" t="n">
        <x:f>IF(AND(N1059,ISNUMBER(H1059),ISNUMBER(I1059),H1059&gt;0),I1059/H1059-1,"n.a.")</x:f>
        <x:v>0.035215930727036104</x:v>
      </x:c>
      <x:c r="M1059" s="20" t="n">
        <x:f>IF(AND(ISNUMBER(K1059),ISNUMBER(L1059)),100*(K1059-L1059),"n.a.")</x:f>
        <x:v>0.7862373321123384</x:v>
      </x:c>
      <x:c r="N1059" s="13" t="b">
        <x:v>1</x:v>
      </x:c>
      <x:c r="O1059" s="13" t="b">
        <x:v>1</x:v>
      </x:c>
      <x:c r="P1059" s="13" t="b">
        <x:v>0</x:v>
      </x:c>
      <x:c r="Q1059" s="2" t="str">
        <x:v>L1_numeric_partition_qualified_not_national_completeness</x:v>
      </x:c>
      <x:c r="R1059" s="2" t="str">
        <x:v>L1_numeric_partition_qualified_not_national_completeness</x:v>
      </x:c>
      <x:c r="S1059" s="2" t="str">
        <x:v>historical_GHSL_BU_estimate</x:v>
      </x:c>
      <x:c r="T1059" s="2" t="str">
        <x:v>historical_GHSL_BU_estimate</x:v>
      </x:c>
      <x:c r="U1059" s="2" t="str">
        <x:v>GFA growth versus source physical quantity growth; constant conversion required for equality</x:v>
      </x:c>
      <x:c r="V1059" s="2" t="str">
        <x:v>Future horizontal path is already a v16 driver; WUP historical surface derives from GHSL</x:v>
      </x:c>
      <x:c r="W1059" s="2" t="str">
        <x:v>https://human-settlement.emergency.copernicus.eu/datasets.php</x:v>
      </x:c>
    </x:row>
    <x:row r="1060" ht="23" customHeight="1">
      <x:c r="A1060" s="2" t="str">
        <x:v>IND</x:v>
      </x:c>
      <x:c r="B1060" s="2" t="str">
        <x:v>India (Republic of)</x:v>
      </x:c>
      <x:c r="C1060" s="2" t="str">
        <x:v>WUP_SURFACE</x:v>
      </x:c>
      <x:c r="D1060" s="2" t="n">
        <x:v>2015</x:v>
      </x:c>
      <x:c r="E1060" s="2" t="n">
        <x:v>2020</x:v>
      </x:c>
      <x:c r="F1060" s="17" t="n">
        <x:v>23332628208.733402</x:v>
      </x:c>
      <x:c r="G1060" s="17" t="n">
        <x:v>27853638424.040043</x:v>
      </x:c>
      <x:c r="H1060" s="17" t="n">
        <x:v>32379513085.24503</x:v>
      </x:c>
      <x:c r="I1060" s="17" t="n">
        <x:v>38257833490.03374</x:v>
      </x:c>
      <x:c r="J1060" s="2" t="str">
        <x:v>m2</x:v>
      </x:c>
      <x:c r="K1060" s="15" t="n">
        <x:f>IF(AND(ISNUMBER(F1060),ISNUMBER(G1060),F1060&gt;0),G1060/F1060-1,"n.a.")</x:f>
        <x:v>0.19376343611451485</x:v>
      </x:c>
      <x:c r="L1060" s="15" t="n">
        <x:f>IF(AND(N1060,ISNUMBER(H1060),ISNUMBER(I1060),H1060&gt;0),I1060/H1060-1,"n.a.")</x:f>
        <x:v>0.18154443488118388</x:v>
      </x:c>
      <x:c r="M1060" s="20" t="n">
        <x:f>IF(AND(ISNUMBER(K1060),ISNUMBER(L1060)),100*(K1060-L1060),"n.a.")</x:f>
        <x:v>1.2219001233330973</x:v>
      </x:c>
      <x:c r="N1060" s="13" t="b">
        <x:v>1</x:v>
      </x:c>
      <x:c r="O1060" s="13" t="b">
        <x:v>1</x:v>
      </x:c>
      <x:c r="P1060" s="13" t="b">
        <x:v>0</x:v>
      </x:c>
      <x:c r="Q1060" s="2" t="str">
        <x:v>L1_numeric_partition_qualified_not_national_completeness</x:v>
      </x:c>
      <x:c r="R1060" s="2" t="str">
        <x:v>L1_numeric_partition_qualified_not_national_completeness</x:v>
      </x:c>
      <x:c r="S1060" s="2" t="str">
        <x:v>historical_GHSL_BU_estimate</x:v>
      </x:c>
      <x:c r="T1060" s="2" t="str">
        <x:v>historical_GHSL_BU_estimate</x:v>
      </x:c>
      <x:c r="U1060" s="2" t="str">
        <x:v>GFA growth versus source physical quantity growth; constant conversion required for equality</x:v>
      </x:c>
      <x:c r="V1060" s="2" t="str">
        <x:v>Future horizontal path is already a v16 driver; WUP historical surface derives from GHSL</x:v>
      </x:c>
      <x:c r="W1060" s="2" t="str">
        <x:v>https://human-settlement.emergency.copernicus.eu/datasets.php</x:v>
      </x:c>
    </x:row>
    <x:row r="1061" ht="23" customHeight="1">
      <x:c r="A1061" s="2" t="str">
        <x:v>IRL</x:v>
      </x:c>
      <x:c r="B1061" s="2" t="str">
        <x:v>Ireland</x:v>
      </x:c>
      <x:c r="C1061" s="2" t="str">
        <x:v>WUP_SURFACE</x:v>
      </x:c>
      <x:c r="D1061" s="2" t="n">
        <x:v>2015</x:v>
      </x:c>
      <x:c r="E1061" s="2" t="n">
        <x:v>2020</x:v>
      </x:c>
      <x:c r="F1061" s="17" t="n">
        <x:v>405777737.91803694</x:v>
      </x:c>
      <x:c r="G1061" s="17" t="n">
        <x:v>426553619.39999974</x:v>
      </x:c>
      <x:c r="H1061" s="17" t="n">
        <x:v>704706728.9706872</x:v>
      </x:c>
      <x:c r="I1061" s="17" t="n">
        <x:v>733764827.0827649</x:v>
      </x:c>
      <x:c r="J1061" s="2" t="str">
        <x:v>m2</x:v>
      </x:c>
      <x:c r="K1061" s="15" t="n">
        <x:f>IF(AND(ISNUMBER(F1061),ISNUMBER(G1061),F1061&gt;0),G1061/F1061-1,"n.a.")</x:f>
        <x:v>0.0512001510693012</x:v>
      </x:c>
      <x:c r="L1061" s="15" t="n">
        <x:f>IF(AND(N1061,ISNUMBER(H1061),ISNUMBER(I1061),H1061&gt;0),I1061/H1061-1,"n.a.")</x:f>
        <x:v>0.041234313392353616</x:v>
      </x:c>
      <x:c r="M1061" s="20" t="n">
        <x:f>IF(AND(ISNUMBER(K1061),ISNUMBER(L1061)),100*(K1061-L1061),"n.a.")</x:f>
        <x:v>0.9965837676947586</x:v>
      </x:c>
      <x:c r="N1061" s="13" t="b">
        <x:v>1</x:v>
      </x:c>
      <x:c r="O1061" s="13" t="b">
        <x:v>1</x:v>
      </x:c>
      <x:c r="P1061" s="13" t="b">
        <x:v>0</x:v>
      </x:c>
      <x:c r="Q1061" s="2" t="str">
        <x:v>L1_numeric_partition_qualified_not_national_completeness</x:v>
      </x:c>
      <x:c r="R1061" s="2" t="str">
        <x:v>L1_numeric_partition_qualified_not_national_completeness</x:v>
      </x:c>
      <x:c r="S1061" s="2" t="str">
        <x:v>historical_GHSL_BU_estimate</x:v>
      </x:c>
      <x:c r="T1061" s="2" t="str">
        <x:v>historical_GHSL_BU_estimate</x:v>
      </x:c>
      <x:c r="U1061" s="2" t="str">
        <x:v>GFA growth versus source physical quantity growth; constant conversion required for equality</x:v>
      </x:c>
      <x:c r="V1061" s="2" t="str">
        <x:v>Future horizontal path is already a v16 driver; WUP historical surface derives from GHSL</x:v>
      </x:c>
      <x:c r="W1061" s="2" t="str">
        <x:v>https://human-settlement.emergency.copernicus.eu/datasets.php</x:v>
      </x:c>
    </x:row>
    <x:row r="1062" ht="23" customHeight="1">
      <x:c r="A1062" s="2" t="str">
        <x:v>IRN</x:v>
      </x:c>
      <x:c r="B1062" s="2" t="str">
        <x:v>Iran (Islamic Republic of)</x:v>
      </x:c>
      <x:c r="C1062" s="2" t="str">
        <x:v>WUP_SURFACE</x:v>
      </x:c>
      <x:c r="D1062" s="2" t="n">
        <x:v>2015</x:v>
      </x:c>
      <x:c r="E1062" s="2" t="n">
        <x:v>2020</x:v>
      </x:c>
      <x:c r="F1062" s="17" t="n">
        <x:v>3491042780.907833</x:v>
      </x:c>
      <x:c r="G1062" s="17" t="n">
        <x:v>3753827768.770001</x:v>
      </x:c>
      <x:c r="H1062" s="17" t="n">
        <x:v>3945880706.881346</x:v>
      </x:c>
      <x:c r="I1062" s="17" t="n">
        <x:v>4209778761.3319345</x:v>
      </x:c>
      <x:c r="J1062" s="2" t="str">
        <x:v>m2</x:v>
      </x:c>
      <x:c r="K1062" s="15" t="n">
        <x:f>IF(AND(ISNUMBER(F1062),ISNUMBER(G1062),F1062&gt;0),G1062/F1062-1,"n.a.")</x:f>
        <x:v>0.0752740669061156</x:v>
      </x:c>
      <x:c r="L1062" s="15" t="n">
        <x:f>IF(AND(N1062,ISNUMBER(H1062),ISNUMBER(I1062),H1062&gt;0),I1062/H1062-1,"n.a.")</x:f>
        <x:v>0.06687937980242742</x:v>
      </x:c>
      <x:c r="M1062" s="20" t="n">
        <x:f>IF(AND(ISNUMBER(K1062),ISNUMBER(L1062)),100*(K1062-L1062),"n.a.")</x:f>
        <x:v>0.8394687103688181</x:v>
      </x:c>
      <x:c r="N1062" s="13" t="b">
        <x:v>1</x:v>
      </x:c>
      <x:c r="O1062" s="13" t="b">
        <x:v>1</x:v>
      </x:c>
      <x:c r="P1062" s="13" t="b">
        <x:v>0</x:v>
      </x:c>
      <x:c r="Q1062" s="2" t="str">
        <x:v>L1_numeric_partition_qualified_not_national_completeness</x:v>
      </x:c>
      <x:c r="R1062" s="2" t="str">
        <x:v>L1_numeric_partition_qualified_not_national_completeness</x:v>
      </x:c>
      <x:c r="S1062" s="2" t="str">
        <x:v>historical_GHSL_BU_estimate</x:v>
      </x:c>
      <x:c r="T1062" s="2" t="str">
        <x:v>historical_GHSL_BU_estimate</x:v>
      </x:c>
      <x:c r="U1062" s="2" t="str">
        <x:v>GFA growth versus source physical quantity growth; constant conversion required for equality</x:v>
      </x:c>
      <x:c r="V1062" s="2" t="str">
        <x:v>Future horizontal path is already a v16 driver; WUP historical surface derives from GHSL</x:v>
      </x:c>
      <x:c r="W1062" s="2" t="str">
        <x:v>https://human-settlement.emergency.copernicus.eu/datasets.php</x:v>
      </x:c>
    </x:row>
    <x:row r="1063" ht="23" customHeight="1">
      <x:c r="A1063" s="2" t="str">
        <x:v>IRQ</x:v>
      </x:c>
      <x:c r="B1063" s="2" t="str">
        <x:v>Iraq (Republic of)</x:v>
      </x:c>
      <x:c r="C1063" s="2" t="str">
        <x:v>WUP_SURFACE</x:v>
      </x:c>
      <x:c r="D1063" s="2" t="n">
        <x:v>2015</x:v>
      </x:c>
      <x:c r="E1063" s="2" t="n">
        <x:v>2020</x:v>
      </x:c>
      <x:c r="F1063" s="17" t="n">
        <x:v>1135556484.5551572</x:v>
      </x:c>
      <x:c r="G1063" s="17" t="n">
        <x:v>1226955244.870001</x:v>
      </x:c>
      <x:c r="H1063" s="17" t="n">
        <x:v>1472933905.7674959</x:v>
      </x:c>
      <x:c r="I1063" s="17" t="n">
        <x:v>1578249706.0221016</x:v>
      </x:c>
      <x:c r="J1063" s="2" t="str">
        <x:v>m2</x:v>
      </x:c>
      <x:c r="K1063" s="15" t="n">
        <x:f>IF(AND(ISNUMBER(F1063),ISNUMBER(G1063),F1063&gt;0),G1063/F1063-1,"n.a.")</x:f>
        <x:v>0.08048807924393864</x:v>
      </x:c>
      <x:c r="L1063" s="15" t="n">
        <x:f>IF(AND(N1063,ISNUMBER(H1063),ISNUMBER(I1063),H1063&gt;0),I1063/H1063-1,"n.a.")</x:f>
        <x:v>0.0715006965636582</x:v>
      </x:c>
      <x:c r="M1063" s="20" t="n">
        <x:f>IF(AND(ISNUMBER(K1063),ISNUMBER(L1063)),100*(K1063-L1063),"n.a.")</x:f>
        <x:v>0.8987382680280431</x:v>
      </x:c>
      <x:c r="N1063" s="13" t="b">
        <x:v>1</x:v>
      </x:c>
      <x:c r="O1063" s="13" t="b">
        <x:v>1</x:v>
      </x:c>
      <x:c r="P1063" s="13" t="b">
        <x:v>0</x:v>
      </x:c>
      <x:c r="Q1063" s="2" t="str">
        <x:v>L1_numeric_partition_qualified_not_national_completeness</x:v>
      </x:c>
      <x:c r="R1063" s="2" t="str">
        <x:v>L1_numeric_partition_qualified_not_national_completeness</x:v>
      </x:c>
      <x:c r="S1063" s="2" t="str">
        <x:v>historical_GHSL_BU_estimate</x:v>
      </x:c>
      <x:c r="T1063" s="2" t="str">
        <x:v>historical_GHSL_BU_estimate</x:v>
      </x:c>
      <x:c r="U1063" s="2" t="str">
        <x:v>GFA growth versus source physical quantity growth; constant conversion required for equality</x:v>
      </x:c>
      <x:c r="V1063" s="2" t="str">
        <x:v>Future horizontal path is already a v16 driver; WUP historical surface derives from GHSL</x:v>
      </x:c>
      <x:c r="W1063" s="2" t="str">
        <x:v>https://human-settlement.emergency.copernicus.eu/datasets.php</x:v>
      </x:c>
    </x:row>
    <x:row r="1064" ht="23" customHeight="1">
      <x:c r="A1064" s="2" t="str">
        <x:v>ISL</x:v>
      </x:c>
      <x:c r="B1064" s="2" t="str">
        <x:v>Iceland</x:v>
      </x:c>
      <x:c r="C1064" s="2" t="str">
        <x:v>WUP_SURFACE</x:v>
      </x:c>
      <x:c r="D1064" s="2" t="n">
        <x:v>2015</x:v>
      </x:c>
      <x:c r="E1064" s="2" t="n">
        <x:v>2020</x:v>
      </x:c>
      <x:c r="F1064" s="17" t="n">
        <x:v>25861968.358574174</x:v>
      </x:c>
      <x:c r="G1064" s="17" t="n">
        <x:v>26377629.56999999</x:v>
      </x:c>
      <x:c r="H1064" s="17" t="n">
        <x:v>31732916.05043255</x:v>
      </x:c>
      <x:c r="I1064" s="17" t="n">
        <x:v>32077527.99264938</x:v>
      </x:c>
      <x:c r="J1064" s="2" t="str">
        <x:v>m2</x:v>
      </x:c>
      <x:c r="K1064" s="15" t="n">
        <x:f>IF(AND(ISNUMBER(F1064),ISNUMBER(G1064),F1064&gt;0),G1064/F1064-1,"n.a.")</x:f>
        <x:v>0.019938977740449282</x:v>
      </x:c>
      <x:c r="L1064" s="15" t="n">
        <x:f>IF(AND(N1064,ISNUMBER(H1064),ISNUMBER(I1064),H1064&gt;0),I1064/H1064-1,"n.a.")</x:f>
        <x:v>0.01085976283015233</x:v>
      </x:c>
      <x:c r="M1064" s="20" t="n">
        <x:f>IF(AND(ISNUMBER(K1064),ISNUMBER(L1064)),100*(K1064-L1064),"n.a.")</x:f>
        <x:v>0.9079214910296951</x:v>
      </x:c>
      <x:c r="N1064" s="13" t="b">
        <x:v>1</x:v>
      </x:c>
      <x:c r="O1064" s="13" t="b">
        <x:v>1</x:v>
      </x:c>
      <x:c r="P1064" s="13" t="b">
        <x:v>0</x:v>
      </x:c>
      <x:c r="Q1064" s="2" t="str">
        <x:v>L1_numeric_partition_qualified_not_national_completeness</x:v>
      </x:c>
      <x:c r="R1064" s="2" t="str">
        <x:v>L1_numeric_partition_qualified_not_national_completeness</x:v>
      </x:c>
      <x:c r="S1064" s="2" t="str">
        <x:v>historical_GHSL_BU_estimate</x:v>
      </x:c>
      <x:c r="T1064" s="2" t="str">
        <x:v>historical_GHSL_BU_estimate</x:v>
      </x:c>
      <x:c r="U1064" s="2" t="str">
        <x:v>GFA growth versus source physical quantity growth; constant conversion required for equality</x:v>
      </x:c>
      <x:c r="V1064" s="2" t="str">
        <x:v>Future horizontal path is already a v16 driver; WUP historical surface derives from GHSL</x:v>
      </x:c>
      <x:c r="W1064" s="2" t="str">
        <x:v>https://human-settlement.emergency.copernicus.eu/datasets.php</x:v>
      </x:c>
    </x:row>
    <x:row r="1065" ht="23" customHeight="1">
      <x:c r="A1065" s="2" t="str">
        <x:v>ISR</x:v>
      </x:c>
      <x:c r="B1065" s="2" t="str">
        <x:v>Israel (State of)</x:v>
      </x:c>
      <x:c r="C1065" s="2" t="str">
        <x:v>WUP_SURFACE</x:v>
      </x:c>
      <x:c r="D1065" s="2" t="n">
        <x:v>2015</x:v>
      </x:c>
      <x:c r="E1065" s="2" t="n">
        <x:v>2020</x:v>
      </x:c>
      <x:c r="F1065" s="17" t="n">
        <x:v>349771256.8497736</x:v>
      </x:c>
      <x:c r="G1065" s="17" t="n">
        <x:v>372353983.1399999</x:v>
      </x:c>
      <x:c r="H1065" s="17" t="n">
        <x:v>438546683.08748806</x:v>
      </x:c>
      <x:c r="I1065" s="17" t="n">
        <x:v>462391054.28538233</x:v>
      </x:c>
      <x:c r="J1065" s="2" t="str">
        <x:v>m2</x:v>
      </x:c>
      <x:c r="K1065" s="15" t="n">
        <x:f>IF(AND(ISNUMBER(F1065),ISNUMBER(G1065),F1065&gt;0),G1065/F1065-1,"n.a.")</x:f>
        <x:v>0.06456427121433128</x:v>
      </x:c>
      <x:c r="L1065" s="15" t="n">
        <x:f>IF(AND(N1065,ISNUMBER(H1065),ISNUMBER(I1065),H1065&gt;0),I1065/H1065-1,"n.a.")</x:f>
        <x:v>0.054371340879888486</x:v>
      </x:c>
      <x:c r="M1065" s="20" t="n">
        <x:f>IF(AND(ISNUMBER(K1065),ISNUMBER(L1065)),100*(K1065-L1065),"n.a.")</x:f>
        <x:v>1.0192930334442796</x:v>
      </x:c>
      <x:c r="N1065" s="13" t="b">
        <x:v>1</x:v>
      </x:c>
      <x:c r="O1065" s="13" t="b">
        <x:v>1</x:v>
      </x:c>
      <x:c r="P1065" s="13" t="b">
        <x:v>0</x:v>
      </x:c>
      <x:c r="Q1065" s="2" t="str">
        <x:v>L1_numeric_partition_qualified_not_national_completeness</x:v>
      </x:c>
      <x:c r="R1065" s="2" t="str">
        <x:v>L1_numeric_partition_qualified_not_national_completeness</x:v>
      </x:c>
      <x:c r="S1065" s="2" t="str">
        <x:v>historical_GHSL_BU_estimate</x:v>
      </x:c>
      <x:c r="T1065" s="2" t="str">
        <x:v>historical_GHSL_BU_estimate</x:v>
      </x:c>
      <x:c r="U1065" s="2" t="str">
        <x:v>GFA growth versus source physical quantity growth; constant conversion required for equality</x:v>
      </x:c>
      <x:c r="V1065" s="2" t="str">
        <x:v>Future horizontal path is already a v16 driver; WUP historical surface derives from GHSL</x:v>
      </x:c>
      <x:c r="W1065" s="2" t="str">
        <x:v>https://human-settlement.emergency.copernicus.eu/datasets.php</x:v>
      </x:c>
    </x:row>
    <x:row r="1066" ht="23" customHeight="1">
      <x:c r="A1066" s="2" t="str">
        <x:v>ITA</x:v>
      </x:c>
      <x:c r="B1066" s="2" t="str">
        <x:v>Italy (Italian Republic)</x:v>
      </x:c>
      <x:c r="C1066" s="2" t="str">
        <x:v>WUP_SURFACE</x:v>
      </x:c>
      <x:c r="D1066" s="2" t="n">
        <x:v>2015</x:v>
      </x:c>
      <x:c r="E1066" s="2" t="n">
        <x:v>2020</x:v>
      </x:c>
      <x:c r="F1066" s="17" t="n">
        <x:v>4823889767.431577</x:v>
      </x:c>
      <x:c r="G1066" s="17" t="n">
        <x:v>5000634293.290002</x:v>
      </x:c>
      <x:c r="H1066" s="17" t="n">
        <x:v>6701092088.443711</x:v>
      </x:c>
      <x:c r="I1066" s="17" t="n">
        <x:v>6926352828.687858</x:v>
      </x:c>
      <x:c r="J1066" s="2" t="str">
        <x:v>m2</x:v>
      </x:c>
      <x:c r="K1066" s="15" t="n">
        <x:f>IF(AND(ISNUMBER(F1066),ISNUMBER(G1066),F1066&gt;0),G1066/F1066-1,"n.a.")</x:f>
        <x:v>0.0366394205464049</x:v>
      </x:c>
      <x:c r="L1066" s="15" t="n">
        <x:f>IF(AND(N1066,ISNUMBER(H1066),ISNUMBER(I1066),H1066&gt;0),I1066/H1066-1,"n.a.")</x:f>
        <x:v>0.03361552673371215</x:v>
      </x:c>
      <x:c r="M1066" s="20" t="n">
        <x:f>IF(AND(ISNUMBER(K1066),ISNUMBER(L1066)),100*(K1066-L1066),"n.a.")</x:f>
        <x:v>0.3023893812692746</x:v>
      </x:c>
      <x:c r="N1066" s="13" t="b">
        <x:v>1</x:v>
      </x:c>
      <x:c r="O1066" s="13" t="b">
        <x:v>1</x:v>
      </x:c>
      <x:c r="P1066" s="13" t="b">
        <x:v>0</x:v>
      </x:c>
      <x:c r="Q1066" s="2" t="str">
        <x:v>L1_numeric_partition_qualified_not_national_completeness</x:v>
      </x:c>
      <x:c r="R1066" s="2" t="str">
        <x:v>L1_numeric_partition_qualified_not_national_completeness</x:v>
      </x:c>
      <x:c r="S1066" s="2" t="str">
        <x:v>historical_GHSL_BU_estimate</x:v>
      </x:c>
      <x:c r="T1066" s="2" t="str">
        <x:v>historical_GHSL_BU_estimate</x:v>
      </x:c>
      <x:c r="U1066" s="2" t="str">
        <x:v>GFA growth versus source physical quantity growth; constant conversion required for equality</x:v>
      </x:c>
      <x:c r="V1066" s="2" t="str">
        <x:v>Future horizontal path is already a v16 driver; WUP historical surface derives from GHSL</x:v>
      </x:c>
      <x:c r="W1066" s="2" t="str">
        <x:v>https://human-settlement.emergency.copernicus.eu/datasets.php</x:v>
      </x:c>
    </x:row>
    <x:row r="1067" ht="23" customHeight="1">
      <x:c r="A1067" s="2" t="str">
        <x:v>JAM</x:v>
      </x:c>
      <x:c r="B1067" s="2" t="str">
        <x:v>Jamaica</x:v>
      </x:c>
      <x:c r="C1067" s="2" t="str">
        <x:v>WUP_SURFACE</x:v>
      </x:c>
      <x:c r="D1067" s="2" t="n">
        <x:v>2015</x:v>
      </x:c>
      <x:c r="E1067" s="2" t="n">
        <x:v>2020</x:v>
      </x:c>
      <x:c r="F1067" s="17" t="n">
        <x:v>118767913.59415096</x:v>
      </x:c>
      <x:c r="G1067" s="17" t="n">
        <x:v>133338245.18999992</x:v>
      </x:c>
      <x:c r="H1067" s="17" t="n">
        <x:v>200288376.2191783</x:v>
      </x:c>
      <x:c r="I1067" s="17" t="n">
        <x:v>223762960.0370435</x:v>
      </x:c>
      <x:c r="J1067" s="2" t="str">
        <x:v>m2</x:v>
      </x:c>
      <x:c r="K1067" s="15" t="n">
        <x:f>IF(AND(ISNUMBER(F1067),ISNUMBER(G1067),F1067&gt;0),G1067/F1067-1,"n.a.")</x:f>
        <x:v>0.12267902293575794</x:v>
      </x:c>
      <x:c r="L1067" s="15" t="n">
        <x:f>IF(AND(N1067,ISNUMBER(H1067),ISNUMBER(I1067),H1067&gt;0),I1067/H1067-1,"n.a.")</x:f>
        <x:v>0.1172039249655541</x:v>
      </x:c>
      <x:c r="M1067" s="20" t="n">
        <x:f>IF(AND(ISNUMBER(K1067),ISNUMBER(L1067)),100*(K1067-L1067),"n.a.")</x:f>
        <x:v>0.5475097970203846</x:v>
      </x:c>
      <x:c r="N1067" s="13" t="b">
        <x:v>1</x:v>
      </x:c>
      <x:c r="O1067" s="13" t="b">
        <x:v>1</x:v>
      </x:c>
      <x:c r="P1067" s="13" t="b">
        <x:v>0</x:v>
      </x:c>
      <x:c r="Q1067" s="2" t="str">
        <x:v>L1_numeric_partition_qualified_not_national_completeness</x:v>
      </x:c>
      <x:c r="R1067" s="2" t="str">
        <x:v>L1_numeric_partition_qualified_not_national_completeness</x:v>
      </x:c>
      <x:c r="S1067" s="2" t="str">
        <x:v>historical_GHSL_BU_estimate</x:v>
      </x:c>
      <x:c r="T1067" s="2" t="str">
        <x:v>historical_GHSL_BU_estimate</x:v>
      </x:c>
      <x:c r="U1067" s="2" t="str">
        <x:v>GFA growth versus source physical quantity growth; constant conversion required for equality</x:v>
      </x:c>
      <x:c r="V1067" s="2" t="str">
        <x:v>Future horizontal path is already a v16 driver; WUP historical surface derives from GHSL</x:v>
      </x:c>
      <x:c r="W1067" s="2" t="str">
        <x:v>https://human-settlement.emergency.copernicus.eu/datasets.php</x:v>
      </x:c>
    </x:row>
    <x:row r="1068" ht="23" customHeight="1">
      <x:c r="A1068" s="2" t="str">
        <x:v>JOR</x:v>
      </x:c>
      <x:c r="B1068" s="2" t="str">
        <x:v>Jordan (Hashemite Kingdom of)</x:v>
      </x:c>
      <x:c r="C1068" s="2" t="str">
        <x:v>WUP_SURFACE</x:v>
      </x:c>
      <x:c r="D1068" s="2" t="n">
        <x:v>2015</x:v>
      </x:c>
      <x:c r="E1068" s="2" t="n">
        <x:v>2020</x:v>
      </x:c>
      <x:c r="F1068" s="17" t="n">
        <x:v>256921049.6360146</x:v>
      </x:c>
      <x:c r="G1068" s="17" t="n">
        <x:v>279172690.0000002</x:v>
      </x:c>
      <x:c r="H1068" s="17" t="n">
        <x:v>303398865.0278884</x:v>
      </x:c>
      <x:c r="I1068" s="17" t="n">
        <x:v>326961055.7409019</x:v>
      </x:c>
      <x:c r="J1068" s="2" t="str">
        <x:v>m2</x:v>
      </x:c>
      <x:c r="K1068" s="15" t="n">
        <x:f>IF(AND(ISNUMBER(F1068),ISNUMBER(G1068),F1068&gt;0),G1068/F1068-1,"n.a.")</x:f>
        <x:v>0.08660886445664895</x:v>
      </x:c>
      <x:c r="L1068" s="15" t="n">
        <x:f>IF(AND(N1068,ISNUMBER(H1068),ISNUMBER(I1068),H1068&gt;0),I1068/H1068-1,"n.a.")</x:f>
        <x:v>0.07766077407984917</x:v>
      </x:c>
      <x:c r="M1068" s="20" t="n">
        <x:f>IF(AND(ISNUMBER(K1068),ISNUMBER(L1068)),100*(K1068-L1068),"n.a.")</x:f>
        <x:v>0.8948090376799778</x:v>
      </x:c>
      <x:c r="N1068" s="13" t="b">
        <x:v>1</x:v>
      </x:c>
      <x:c r="O1068" s="13" t="b">
        <x:v>1</x:v>
      </x:c>
      <x:c r="P1068" s="13" t="b">
        <x:v>0</x:v>
      </x:c>
      <x:c r="Q1068" s="2" t="str">
        <x:v>L1_numeric_partition_qualified_not_national_completeness</x:v>
      </x:c>
      <x:c r="R1068" s="2" t="str">
        <x:v>L1_numeric_partition_qualified_not_national_completeness</x:v>
      </x:c>
      <x:c r="S1068" s="2" t="str">
        <x:v>historical_GHSL_BU_estimate</x:v>
      </x:c>
      <x:c r="T1068" s="2" t="str">
        <x:v>historical_GHSL_BU_estimate</x:v>
      </x:c>
      <x:c r="U1068" s="2" t="str">
        <x:v>GFA growth versus source physical quantity growth; constant conversion required for equality</x:v>
      </x:c>
      <x:c r="V1068" s="2" t="str">
        <x:v>Future horizontal path is already a v16 driver; WUP historical surface derives from GHSL</x:v>
      </x:c>
      <x:c r="W1068" s="2" t="str">
        <x:v>https://human-settlement.emergency.copernicus.eu/datasets.php</x:v>
      </x:c>
    </x:row>
    <x:row r="1069" ht="23" customHeight="1">
      <x:c r="A1069" s="2" t="str">
        <x:v>JPN</x:v>
      </x:c>
      <x:c r="B1069" s="2" t="str">
        <x:v>Japan</x:v>
      </x:c>
      <x:c r="C1069" s="2" t="str">
        <x:v>WUP_SURFACE</x:v>
      </x:c>
      <x:c r="D1069" s="2" t="n">
        <x:v>2015</x:v>
      </x:c>
      <x:c r="E1069" s="2" t="n">
        <x:v>2020</x:v>
      </x:c>
      <x:c r="F1069" s="17" t="n">
        <x:v>8023790686.244393</x:v>
      </x:c>
      <x:c r="G1069" s="17" t="n">
        <x:v>8341228241.779989</x:v>
      </x:c>
      <x:c r="H1069" s="17" t="n">
        <x:v>12461753837.080519</x:v>
      </x:c>
      <x:c r="I1069" s="17" t="n">
        <x:v>12914669529.300297</x:v>
      </x:c>
      <x:c r="J1069" s="2" t="str">
        <x:v>m2</x:v>
      </x:c>
      <x:c r="K1069" s="15" t="n">
        <x:f>IF(AND(ISNUMBER(F1069),ISNUMBER(G1069),F1069&gt;0),G1069/F1069-1,"n.a.")</x:f>
        <x:v>0.03956204342167058</x:v>
      </x:c>
      <x:c r="L1069" s="15" t="n">
        <x:f>IF(AND(N1069,ISNUMBER(H1069),ISNUMBER(I1069),H1069&gt;0),I1069/H1069-1,"n.a.")</x:f>
        <x:v>0.036344458263338986</x:v>
      </x:c>
      <x:c r="M1069" s="20" t="n">
        <x:f>IF(AND(ISNUMBER(K1069),ISNUMBER(L1069)),100*(K1069-L1069),"n.a.")</x:f>
        <x:v>0.3217585158331593</x:v>
      </x:c>
      <x:c r="N1069" s="13" t="b">
        <x:v>1</x:v>
      </x:c>
      <x:c r="O1069" s="13" t="b">
        <x:v>1</x:v>
      </x:c>
      <x:c r="P1069" s="13" t="b">
        <x:v>0</x:v>
      </x:c>
      <x:c r="Q1069" s="2" t="str">
        <x:v>L1_numeric_partition_qualified_not_national_completeness</x:v>
      </x:c>
      <x:c r="R1069" s="2" t="str">
        <x:v>L1_numeric_partition_qualified_not_national_completeness</x:v>
      </x:c>
      <x:c r="S1069" s="2" t="str">
        <x:v>historical_GHSL_BU_estimate</x:v>
      </x:c>
      <x:c r="T1069" s="2" t="str">
        <x:v>historical_GHSL_BU_estimate</x:v>
      </x:c>
      <x:c r="U1069" s="2" t="str">
        <x:v>GFA growth versus source physical quantity growth; constant conversion required for equality</x:v>
      </x:c>
      <x:c r="V1069" s="2" t="str">
        <x:v>Future horizontal path is already a v16 driver; WUP historical surface derives from GHSL</x:v>
      </x:c>
      <x:c r="W1069" s="2" t="str">
        <x:v>https://human-settlement.emergency.copernicus.eu/datasets.php</x:v>
      </x:c>
    </x:row>
    <x:row r="1070" ht="23" customHeight="1">
      <x:c r="A1070" s="2" t="str">
        <x:v>KAZ</x:v>
      </x:c>
      <x:c r="B1070" s="2" t="str">
        <x:v>Kazakhstan (Republic of)</x:v>
      </x:c>
      <x:c r="C1070" s="2" t="str">
        <x:v>WUP_SURFACE</x:v>
      </x:c>
      <x:c r="D1070" s="2" t="n">
        <x:v>2015</x:v>
      </x:c>
      <x:c r="E1070" s="2" t="n">
        <x:v>2020</x:v>
      </x:c>
      <x:c r="F1070" s="17" t="n">
        <x:v>937035930.5887325</x:v>
      </x:c>
      <x:c r="G1070" s="17" t="n">
        <x:v>1009034692.9700016</x:v>
      </x:c>
      <x:c r="H1070" s="17" t="n">
        <x:v>2166667326.1018195</x:v>
      </x:c>
      <x:c r="I1070" s="17" t="n">
        <x:v>2313486292.257429</x:v>
      </x:c>
      <x:c r="J1070" s="2" t="str">
        <x:v>m2</x:v>
      </x:c>
      <x:c r="K1070" s="15" t="n">
        <x:f>IF(AND(ISNUMBER(F1070),ISNUMBER(G1070),F1070&gt;0),G1070/F1070-1,"n.a.")</x:f>
        <x:v>0.07683671461352914</x:v>
      </x:c>
      <x:c r="L1070" s="15" t="n">
        <x:f>IF(AND(N1070,ISNUMBER(H1070),ISNUMBER(I1070),H1070&gt;0),I1070/H1070-1,"n.a.")</x:f>
        <x:v>0.06776257914026895</x:v>
      </x:c>
      <x:c r="M1070" s="20" t="n">
        <x:f>IF(AND(ISNUMBER(K1070),ISNUMBER(L1070)),100*(K1070-L1070),"n.a.")</x:f>
        <x:v>0.9074135473260192</x:v>
      </x:c>
      <x:c r="N1070" s="13" t="b">
        <x:v>1</x:v>
      </x:c>
      <x:c r="O1070" s="13" t="b">
        <x:v>1</x:v>
      </x:c>
      <x:c r="P1070" s="13" t="b">
        <x:v>0</x:v>
      </x:c>
      <x:c r="Q1070" s="2" t="str">
        <x:v>L1_numeric_partition_qualified_not_national_completeness</x:v>
      </x:c>
      <x:c r="R1070" s="2" t="str">
        <x:v>L1_numeric_partition_qualified_not_national_completeness</x:v>
      </x:c>
      <x:c r="S1070" s="2" t="str">
        <x:v>historical_GHSL_BU_estimate</x:v>
      </x:c>
      <x:c r="T1070" s="2" t="str">
        <x:v>historical_GHSL_BU_estimate</x:v>
      </x:c>
      <x:c r="U1070" s="2" t="str">
        <x:v>GFA growth versus source physical quantity growth; constant conversion required for equality</x:v>
      </x:c>
      <x:c r="V1070" s="2" t="str">
        <x:v>Future horizontal path is already a v16 driver; WUP historical surface derives from GHSL</x:v>
      </x:c>
      <x:c r="W1070" s="2" t="str">
        <x:v>https://human-settlement.emergency.copernicus.eu/datasets.php</x:v>
      </x:c>
    </x:row>
    <x:row r="1071" ht="23" customHeight="1">
      <x:c r="A1071" s="2" t="str">
        <x:v>KEN</x:v>
      </x:c>
      <x:c r="B1071" s="2" t="str">
        <x:v>Kenya (Republic of)</x:v>
      </x:c>
      <x:c r="C1071" s="2" t="str">
        <x:v>WUP_SURFACE</x:v>
      </x:c>
      <x:c r="D1071" s="2" t="n">
        <x:v>2015</x:v>
      </x:c>
      <x:c r="E1071" s="2" t="n">
        <x:v>2020</x:v>
      </x:c>
      <x:c r="F1071" s="17" t="n">
        <x:v>795387215.5234706</x:v>
      </x:c>
      <x:c r="G1071" s="17" t="n">
        <x:v>1180050447.52</x:v>
      </x:c>
      <x:c r="H1071" s="17" t="n">
        <x:v>2079308109.715309</x:v>
      </x:c>
      <x:c r="I1071" s="17" t="n">
        <x:v>3057429689.161173</x:v>
      </x:c>
      <x:c r="J1071" s="2" t="str">
        <x:v>m2</x:v>
      </x:c>
      <x:c r="K1071" s="15" t="n">
        <x:f>IF(AND(ISNUMBER(F1071),ISNUMBER(G1071),F1071&gt;0),G1071/F1071-1,"n.a.")</x:f>
        <x:v>0.4836175695172191</x:v>
      </x:c>
      <x:c r="L1071" s="15" t="n">
        <x:f>IF(AND(N1071,ISNUMBER(H1071),ISNUMBER(I1071),H1071&gt;0),I1071/H1071-1,"n.a.")</x:f>
        <x:v>0.4704072354047544</x:v>
      </x:c>
      <x:c r="M1071" s="20" t="n">
        <x:f>IF(AND(ISNUMBER(K1071),ISNUMBER(L1071)),100*(K1071-L1071),"n.a.")</x:f>
        <x:v>1.321033411246475</x:v>
      </x:c>
      <x:c r="N1071" s="13" t="b">
        <x:v>1</x:v>
      </x:c>
      <x:c r="O1071" s="13" t="b">
        <x:v>1</x:v>
      </x:c>
      <x:c r="P1071" s="13" t="b">
        <x:v>0</x:v>
      </x:c>
      <x:c r="Q1071" s="2" t="str">
        <x:v>L1_numeric_partition_qualified_not_national_completeness</x:v>
      </x:c>
      <x:c r="R1071" s="2" t="str">
        <x:v>L1_numeric_partition_qualified_not_national_completeness</x:v>
      </x:c>
      <x:c r="S1071" s="2" t="str">
        <x:v>historical_GHSL_BU_estimate</x:v>
      </x:c>
      <x:c r="T1071" s="2" t="str">
        <x:v>historical_GHSL_BU_estimate</x:v>
      </x:c>
      <x:c r="U1071" s="2" t="str">
        <x:v>GFA growth versus source physical quantity growth; constant conversion required for equality</x:v>
      </x:c>
      <x:c r="V1071" s="2" t="str">
        <x:v>Future horizontal path is already a v16 driver; WUP historical surface derives from GHSL</x:v>
      </x:c>
      <x:c r="W1071" s="2" t="str">
        <x:v>https://human-settlement.emergency.copernicus.eu/datasets.php</x:v>
      </x:c>
    </x:row>
    <x:row r="1072" ht="23" customHeight="1">
      <x:c r="A1072" s="2" t="str">
        <x:v>KGZ</x:v>
      </x:c>
      <x:c r="B1072" s="2" t="str">
        <x:v>Kyrgyzstan (Kyrgyz Republic)</x:v>
      </x:c>
      <x:c r="C1072" s="2" t="str">
        <x:v>WUP_SURFACE</x:v>
      </x:c>
      <x:c r="D1072" s="2" t="n">
        <x:v>2015</x:v>
      </x:c>
      <x:c r="E1072" s="2" t="n">
        <x:v>2020</x:v>
      </x:c>
      <x:c r="F1072" s="17" t="n">
        <x:v>303607959.0383275</x:v>
      </x:c>
      <x:c r="G1072" s="17" t="n">
        <x:v>332236534.37000054</x:v>
      </x:c>
      <x:c r="H1072" s="17" t="n">
        <x:v>622461707.9795376</x:v>
      </x:c>
      <x:c r="I1072" s="17" t="n">
        <x:v>676009971.9548508</x:v>
      </x:c>
      <x:c r="J1072" s="2" t="str">
        <x:v>m2</x:v>
      </x:c>
      <x:c r="K1072" s="15" t="n">
        <x:f>IF(AND(ISNUMBER(F1072),ISNUMBER(G1072),F1072&gt;0),G1072/F1072-1,"n.a.")</x:f>
        <x:v>0.0942945482139319</x:v>
      </x:c>
      <x:c r="L1072" s="15" t="n">
        <x:f>IF(AND(N1072,ISNUMBER(H1072),ISNUMBER(I1072),H1072&gt;0),I1072/H1072-1,"n.a.")</x:f>
        <x:v>0.08602659936966517</x:v>
      </x:c>
      <x:c r="M1072" s="20" t="n">
        <x:f>IF(AND(ISNUMBER(K1072),ISNUMBER(L1072)),100*(K1072-L1072),"n.a.")</x:f>
        <x:v>0.8267948844266737</x:v>
      </x:c>
      <x:c r="N1072" s="13" t="b">
        <x:v>1</x:v>
      </x:c>
      <x:c r="O1072" s="13" t="b">
        <x:v>1</x:v>
      </x:c>
      <x:c r="P1072" s="13" t="b">
        <x:v>0</x:v>
      </x:c>
      <x:c r="Q1072" s="2" t="str">
        <x:v>L1_numeric_partition_qualified_not_national_completeness</x:v>
      </x:c>
      <x:c r="R1072" s="2" t="str">
        <x:v>L1_numeric_partition_qualified_not_national_completeness</x:v>
      </x:c>
      <x:c r="S1072" s="2" t="str">
        <x:v>historical_GHSL_BU_estimate</x:v>
      </x:c>
      <x:c r="T1072" s="2" t="str">
        <x:v>historical_GHSL_BU_estimate</x:v>
      </x:c>
      <x:c r="U1072" s="2" t="str">
        <x:v>GFA growth versus source physical quantity growth; constant conversion required for equality</x:v>
      </x:c>
      <x:c r="V1072" s="2" t="str">
        <x:v>Future horizontal path is already a v16 driver; WUP historical surface derives from GHSL</x:v>
      </x:c>
      <x:c r="W1072" s="2" t="str">
        <x:v>https://human-settlement.emergency.copernicus.eu/datasets.php</x:v>
      </x:c>
    </x:row>
    <x:row r="1073" ht="23" customHeight="1">
      <x:c r="A1073" s="2" t="str">
        <x:v>KHM</x:v>
      </x:c>
      <x:c r="B1073" s="2" t="str">
        <x:v>Cambodia (Kingdom of)</x:v>
      </x:c>
      <x:c r="C1073" s="2" t="str">
        <x:v>WUP_SURFACE</x:v>
      </x:c>
      <x:c r="D1073" s="2" t="n">
        <x:v>2015</x:v>
      </x:c>
      <x:c r="E1073" s="2" t="n">
        <x:v>2020</x:v>
      </x:c>
      <x:c r="F1073" s="17" t="n">
        <x:v>598581339.8071607</x:v>
      </x:c>
      <x:c r="G1073" s="17" t="n">
        <x:v>672933221.830001</x:v>
      </x:c>
      <x:c r="H1073" s="17" t="n">
        <x:v>724034846.721357</x:v>
      </x:c>
      <x:c r="I1073" s="17" t="n">
        <x:v>809555987.1995302</x:v>
      </x:c>
      <x:c r="J1073" s="2" t="str">
        <x:v>m2</x:v>
      </x:c>
      <x:c r="K1073" s="15" t="n">
        <x:f>IF(AND(ISNUMBER(F1073),ISNUMBER(G1073),F1073&gt;0),G1073/F1073-1,"n.a.")</x:f>
        <x:v>0.12421349794631675</x:v>
      </x:c>
      <x:c r="L1073" s="15" t="n">
        <x:f>IF(AND(N1073,ISNUMBER(H1073),ISNUMBER(I1073),H1073&gt;0),I1073/H1073-1,"n.a.")</x:f>
        <x:v>0.11811743711706435</x:v>
      </x:c>
      <x:c r="M1073" s="20" t="n">
        <x:f>IF(AND(ISNUMBER(K1073),ISNUMBER(L1073)),100*(K1073-L1073),"n.a.")</x:f>
        <x:v>0.6096060829252403</x:v>
      </x:c>
      <x:c r="N1073" s="13" t="b">
        <x:v>1</x:v>
      </x:c>
      <x:c r="O1073" s="13" t="b">
        <x:v>1</x:v>
      </x:c>
      <x:c r="P1073" s="13" t="b">
        <x:v>0</x:v>
      </x:c>
      <x:c r="Q1073" s="2" t="str">
        <x:v>L1_numeric_partition_qualified_not_national_completeness</x:v>
      </x:c>
      <x:c r="R1073" s="2" t="str">
        <x:v>L1_numeric_partition_qualified_not_national_completeness</x:v>
      </x:c>
      <x:c r="S1073" s="2" t="str">
        <x:v>historical_GHSL_BU_estimate</x:v>
      </x:c>
      <x:c r="T1073" s="2" t="str">
        <x:v>historical_GHSL_BU_estimate</x:v>
      </x:c>
      <x:c r="U1073" s="2" t="str">
        <x:v>GFA growth versus source physical quantity growth; constant conversion required for equality</x:v>
      </x:c>
      <x:c r="V1073" s="2" t="str">
        <x:v>Future horizontal path is already a v16 driver; WUP historical surface derives from GHSL</x:v>
      </x:c>
      <x:c r="W1073" s="2" t="str">
        <x:v>https://human-settlement.emergency.copernicus.eu/datasets.php</x:v>
      </x:c>
    </x:row>
    <x:row r="1074" ht="23" customHeight="1">
      <x:c r="A1074" s="2" t="str">
        <x:v>KIR</x:v>
      </x:c>
      <x:c r="B1074" s="2" t="str">
        <x:v>Kiribati (Republic of)</x:v>
      </x:c>
      <x:c r="C1074" s="2" t="str">
        <x:v>WUP_SURFACE</x:v>
      </x:c>
      <x:c r="D1074" s="2" t="n">
        <x:v>2015</x:v>
      </x:c>
      <x:c r="E1074" s="2" t="n">
        <x:v>2020</x:v>
      </x:c>
      <x:c r="F1074" s="17" t="n">
        <x:v>1691624.8246794736</x:v>
      </x:c>
      <x:c r="G1074" s="17" t="n">
        <x:v>1721739.6700000002</x:v>
      </x:c>
      <x:c r="H1074" s="17" t="n">
        <x:v>1345869.008336649</x:v>
      </x:c>
      <x:c r="I1074" s="17" t="n">
        <x:v>1365486.0004487545</x:v>
      </x:c>
      <x:c r="J1074" s="2" t="str">
        <x:v>m2</x:v>
      </x:c>
      <x:c r="K1074" s="15" t="n">
        <x:f>IF(AND(ISNUMBER(F1074),ISNUMBER(G1074),F1074&gt;0),G1074/F1074-1,"n.a.")</x:f>
        <x:v>0.01780231933297194</x:v>
      </x:c>
      <x:c r="L1074" s="15" t="n">
        <x:f>IF(AND(N1074,ISNUMBER(H1074),ISNUMBER(I1074),H1074&gt;0),I1074/H1074-1,"n.a.")</x:f>
        <x:v>0.014575706841150948</x:v>
      </x:c>
      <x:c r="M1074" s="20" t="n">
        <x:f>IF(AND(ISNUMBER(K1074),ISNUMBER(L1074)),100*(K1074-L1074),"n.a.")</x:f>
        <x:v>0.32266124918209904</x:v>
      </x:c>
      <x:c r="N1074" s="13" t="b">
        <x:v>1</x:v>
      </x:c>
      <x:c r="O1074" s="13" t="b">
        <x:v>1</x:v>
      </x:c>
      <x:c r="P1074" s="13" t="b">
        <x:v>0</x:v>
      </x:c>
      <x:c r="Q1074" s="2" t="str">
        <x:v>L1_numeric_partition_qualified_not_national_completeness</x:v>
      </x:c>
      <x:c r="R1074" s="2" t="str">
        <x:v>L1_numeric_partition_qualified_not_national_completeness</x:v>
      </x:c>
      <x:c r="S1074" s="2" t="str">
        <x:v>historical_GHSL_BU_estimate</x:v>
      </x:c>
      <x:c r="T1074" s="2" t="str">
        <x:v>historical_GHSL_BU_estimate</x:v>
      </x:c>
      <x:c r="U1074" s="2" t="str">
        <x:v>GFA growth versus source physical quantity growth; constant conversion required for equality</x:v>
      </x:c>
      <x:c r="V1074" s="2" t="str">
        <x:v>Future horizontal path is already a v16 driver; WUP historical surface derives from GHSL</x:v>
      </x:c>
      <x:c r="W1074" s="2" t="str">
        <x:v>https://human-settlement.emergency.copernicus.eu/datasets.php</x:v>
      </x:c>
    </x:row>
    <x:row r="1075" ht="23" customHeight="1">
      <x:c r="A1075" s="2" t="str">
        <x:v>KNA</x:v>
      </x:c>
      <x:c r="B1075" s="2" t="str">
        <x:v>Saint Kitts and Nevis (Federation of)</x:v>
      </x:c>
      <x:c r="C1075" s="2" t="str">
        <x:v>WUP_SURFACE</x:v>
      </x:c>
      <x:c r="D1075" s="2" t="n">
        <x:v>2015</x:v>
      </x:c>
      <x:c r="E1075" s="2" t="n">
        <x:v>2020</x:v>
      </x:c>
      <x:c r="F1075" s="17" t="n">
        <x:v>4061235.1620539096</x:v>
      </x:c>
      <x:c r="G1075" s="17" t="n">
        <x:v>4523960.760000001</x:v>
      </x:c>
      <x:c r="H1075" s="17" t="n">
        <x:v>7358524.011677787</x:v>
      </x:c>
      <x:c r="I1075" s="17" t="n">
        <x:v>8302335.982883051</x:v>
      </x:c>
      <x:c r="J1075" s="2" t="str">
        <x:v>m2</x:v>
      </x:c>
      <x:c r="K1075" s="15" t="n">
        <x:f>IF(AND(ISNUMBER(F1075),ISNUMBER(G1075),F1075&gt;0),G1075/F1075-1,"n.a.")</x:f>
        <x:v>0.11393715938184545</x:v>
      </x:c>
      <x:c r="L1075" s="15" t="n">
        <x:f>IF(AND(N1075,ISNUMBER(H1075),ISNUMBER(I1075),H1075&gt;0),I1075/H1075-1,"n.a.")</x:f>
        <x:v>0.12826104388698867</x:v>
      </x:c>
      <x:c r="M1075" s="20" t="n">
        <x:f>IF(AND(ISNUMBER(K1075),ISNUMBER(L1075)),100*(K1075-L1075),"n.a.")</x:f>
        <x:v>-1.4323884505143214</x:v>
      </x:c>
      <x:c r="N1075" s="13" t="b">
        <x:v>1</x:v>
      </x:c>
      <x:c r="O1075" s="13" t="b">
        <x:v>1</x:v>
      </x:c>
      <x:c r="P1075" s="13" t="b">
        <x:v>0</x:v>
      </x:c>
      <x:c r="Q1075" s="2" t="str">
        <x:v>L1_numeric_partition_qualified_not_national_completeness</x:v>
      </x:c>
      <x:c r="R1075" s="2" t="str">
        <x:v>L1_numeric_partition_qualified_not_national_completeness</x:v>
      </x:c>
      <x:c r="S1075" s="2" t="str">
        <x:v>historical_GHSL_BU_estimate</x:v>
      </x:c>
      <x:c r="T1075" s="2" t="str">
        <x:v>historical_GHSL_BU_estimate</x:v>
      </x:c>
      <x:c r="U1075" s="2" t="str">
        <x:v>GFA growth versus source physical quantity growth; constant conversion required for equality</x:v>
      </x:c>
      <x:c r="V1075" s="2" t="str">
        <x:v>Future horizontal path is already a v16 driver; WUP historical surface derives from GHSL</x:v>
      </x:c>
      <x:c r="W1075" s="2" t="str">
        <x:v>https://human-settlement.emergency.copernicus.eu/datasets.php</x:v>
      </x:c>
    </x:row>
    <x:row r="1076" ht="23" customHeight="1">
      <x:c r="A1076" s="2" t="str">
        <x:v>KOR</x:v>
      </x:c>
      <x:c r="B1076" s="2" t="str">
        <x:v>Korea (Republic of)</x:v>
      </x:c>
      <x:c r="C1076" s="2" t="str">
        <x:v>WUP_SURFACE</x:v>
      </x:c>
      <x:c r="D1076" s="2" t="n">
        <x:v>2015</x:v>
      </x:c>
      <x:c r="E1076" s="2" t="n">
        <x:v>2020</x:v>
      </x:c>
      <x:c r="F1076" s="17" t="n">
        <x:v>2658803650.6668043</x:v>
      </x:c>
      <x:c r="G1076" s="17" t="n">
        <x:v>2947698717.329997</x:v>
      </x:c>
      <x:c r="H1076" s="17" t="n">
        <x:v>3247999433.8843513</x:v>
      </x:c>
      <x:c r="I1076" s="17" t="n">
        <x:v>3586617010.949781</x:v>
      </x:c>
      <x:c r="J1076" s="2" t="str">
        <x:v>m2</x:v>
      </x:c>
      <x:c r="K1076" s="15" t="n">
        <x:f>IF(AND(ISNUMBER(F1076),ISNUMBER(G1076),F1076&gt;0),G1076/F1076-1,"n.a.")</x:f>
        <x:v>0.10865603655641909</x:v>
      </x:c>
      <x:c r="L1076" s="15" t="n">
        <x:f>IF(AND(N1076,ISNUMBER(H1076),ISNUMBER(I1076),H1076&gt;0),I1076/H1076-1,"n.a.")</x:f>
        <x:v>0.10425419830214366</x:v>
      </x:c>
      <x:c r="M1076" s="20" t="n">
        <x:f>IF(AND(ISNUMBER(K1076),ISNUMBER(L1076)),100*(K1076-L1076),"n.a.")</x:f>
        <x:v>0.44018382542754253</x:v>
      </x:c>
      <x:c r="N1076" s="13" t="b">
        <x:v>1</x:v>
      </x:c>
      <x:c r="O1076" s="13" t="b">
        <x:v>1</x:v>
      </x:c>
      <x:c r="P1076" s="13" t="b">
        <x:v>0</x:v>
      </x:c>
      <x:c r="Q1076" s="2" t="str">
        <x:v>L1_numeric_partition_qualified_not_national_completeness</x:v>
      </x:c>
      <x:c r="R1076" s="2" t="str">
        <x:v>L1_numeric_partition_qualified_not_national_completeness</x:v>
      </x:c>
      <x:c r="S1076" s="2" t="str">
        <x:v>historical_GHSL_BU_estimate</x:v>
      </x:c>
      <x:c r="T1076" s="2" t="str">
        <x:v>historical_GHSL_BU_estimate</x:v>
      </x:c>
      <x:c r="U1076" s="2" t="str">
        <x:v>GFA growth versus source physical quantity growth; constant conversion required for equality</x:v>
      </x:c>
      <x:c r="V1076" s="2" t="str">
        <x:v>Future horizontal path is already a v16 driver; WUP historical surface derives from GHSL</x:v>
      </x:c>
      <x:c r="W1076" s="2" t="str">
        <x:v>https://human-settlement.emergency.copernicus.eu/datasets.php</x:v>
      </x:c>
    </x:row>
    <x:row r="1077" ht="23" customHeight="1">
      <x:c r="A1077" s="2" t="str">
        <x:v>KWT</x:v>
      </x:c>
      <x:c r="B1077" s="2" t="str">
        <x:v>Kuwait (State of)</x:v>
      </x:c>
      <x:c r="C1077" s="2" t="str">
        <x:v>WUP_SURFACE</x:v>
      </x:c>
      <x:c r="D1077" s="2" t="n">
        <x:v>2015</x:v>
      </x:c>
      <x:c r="E1077" s="2" t="n">
        <x:v>2020</x:v>
      </x:c>
      <x:c r="F1077" s="17" t="n">
        <x:v>137379674.9540703</x:v>
      </x:c>
      <x:c r="G1077" s="17" t="n">
        <x:v>155594647.5199998</x:v>
      </x:c>
      <x:c r="H1077" s="17" t="n">
        <x:v>193750118.40451863</x:v>
      </x:c>
      <x:c r="I1077" s="17" t="n">
        <x:v>217834423.23681584</x:v>
      </x:c>
      <x:c r="J1077" s="2" t="str">
        <x:v>m2</x:v>
      </x:c>
      <x:c r="K1077" s="15" t="n">
        <x:f>IF(AND(ISNUMBER(F1077),ISNUMBER(G1077),F1077&gt;0),G1077/F1077-1,"n.a.")</x:f>
        <x:v>0.1325885548354897</x:v>
      </x:c>
      <x:c r="L1077" s="15" t="n">
        <x:f>IF(AND(N1077,ISNUMBER(H1077),ISNUMBER(I1077),H1077&gt;0),I1077/H1077-1,"n.a.")</x:f>
        <x:v>0.12430601349111492</x:v>
      </x:c>
      <x:c r="M1077" s="20" t="n">
        <x:f>IF(AND(ISNUMBER(K1077),ISNUMBER(L1077)),100*(K1077-L1077),"n.a.")</x:f>
        <x:v>0.8282541344374783</x:v>
      </x:c>
      <x:c r="N1077" s="13" t="b">
        <x:v>1</x:v>
      </x:c>
      <x:c r="O1077" s="13" t="b">
        <x:v>1</x:v>
      </x:c>
      <x:c r="P1077" s="13" t="b">
        <x:v>0</x:v>
      </x:c>
      <x:c r="Q1077" s="2" t="str">
        <x:v>L1_numeric_partition_qualified_not_national_completeness</x:v>
      </x:c>
      <x:c r="R1077" s="2" t="str">
        <x:v>L1_numeric_partition_qualified_not_national_completeness</x:v>
      </x:c>
      <x:c r="S1077" s="2" t="str">
        <x:v>historical_GHSL_BU_estimate</x:v>
      </x:c>
      <x:c r="T1077" s="2" t="str">
        <x:v>historical_GHSL_BU_estimate</x:v>
      </x:c>
      <x:c r="U1077" s="2" t="str">
        <x:v>GFA growth versus source physical quantity growth; constant conversion required for equality</x:v>
      </x:c>
      <x:c r="V1077" s="2" t="str">
        <x:v>Future horizontal path is already a v16 driver; WUP historical surface derives from GHSL</x:v>
      </x:c>
      <x:c r="W1077" s="2" t="str">
        <x:v>https://human-settlement.emergency.copernicus.eu/datasets.php</x:v>
      </x:c>
    </x:row>
    <x:row r="1078" ht="23" customHeight="1">
      <x:c r="A1078" s="2" t="str">
        <x:v>LAO</x:v>
      </x:c>
      <x:c r="B1078" s="2" t="str">
        <x:v>Lao People's Democratic Republic</x:v>
      </x:c>
      <x:c r="C1078" s="2" t="str">
        <x:v>WUP_SURFACE</x:v>
      </x:c>
      <x:c r="D1078" s="2" t="n">
        <x:v>2015</x:v>
      </x:c>
      <x:c r="E1078" s="2" t="n">
        <x:v>2020</x:v>
      </x:c>
      <x:c r="F1078" s="17" t="n">
        <x:v>290579669.68239933</x:v>
      </x:c>
      <x:c r="G1078" s="17" t="n">
        <x:v>333393295.1899998</x:v>
      </x:c>
      <x:c r="H1078" s="17" t="n">
        <x:v>297915214.9996339</x:v>
      </x:c>
      <x:c r="I1078" s="17" t="n">
        <x:v>339745097.1179587</x:v>
      </x:c>
      <x:c r="J1078" s="2" t="str">
        <x:v>m2</x:v>
      </x:c>
      <x:c r="K1078" s="15" t="n">
        <x:f>IF(AND(ISNUMBER(F1078),ISNUMBER(G1078),F1078&gt;0),G1078/F1078-1,"n.a.")</x:f>
        <x:v>0.14733868186441046</x:v>
      </x:c>
      <x:c r="L1078" s="15" t="n">
        <x:f>IF(AND(N1078,ISNUMBER(H1078),ISNUMBER(I1078),H1078&gt;0),I1078/H1078-1,"n.a.")</x:f>
        <x:v>0.14040868009502705</x:v>
      </x:c>
      <x:c r="M1078" s="20" t="n">
        <x:f>IF(AND(ISNUMBER(K1078),ISNUMBER(L1078)),100*(K1078-L1078),"n.a.")</x:f>
        <x:v>0.6930001769383409</x:v>
      </x:c>
      <x:c r="N1078" s="13" t="b">
        <x:v>1</x:v>
      </x:c>
      <x:c r="O1078" s="13" t="b">
        <x:v>1</x:v>
      </x:c>
      <x:c r="P1078" s="13" t="b">
        <x:v>0</x:v>
      </x:c>
      <x:c r="Q1078" s="2" t="str">
        <x:v>L1_numeric_partition_qualified_not_national_completeness</x:v>
      </x:c>
      <x:c r="R1078" s="2" t="str">
        <x:v>L1_numeric_partition_qualified_not_national_completeness</x:v>
      </x:c>
      <x:c r="S1078" s="2" t="str">
        <x:v>historical_GHSL_BU_estimate</x:v>
      </x:c>
      <x:c r="T1078" s="2" t="str">
        <x:v>historical_GHSL_BU_estimate</x:v>
      </x:c>
      <x:c r="U1078" s="2" t="str">
        <x:v>GFA growth versus source physical quantity growth; constant conversion required for equality</x:v>
      </x:c>
      <x:c r="V1078" s="2" t="str">
        <x:v>Future horizontal path is already a v16 driver; WUP historical surface derives from GHSL</x:v>
      </x:c>
      <x:c r="W1078" s="2" t="str">
        <x:v>https://human-settlement.emergency.copernicus.eu/datasets.php</x:v>
      </x:c>
    </x:row>
    <x:row r="1079" ht="23" customHeight="1">
      <x:c r="A1079" s="2" t="str">
        <x:v>LBN</x:v>
      </x:c>
      <x:c r="B1079" s="2" t="str">
        <x:v>Lebanon (Lebanese Republic)</x:v>
      </x:c>
      <x:c r="C1079" s="2" t="str">
        <x:v>WUP_SURFACE</x:v>
      </x:c>
      <x:c r="D1079" s="2" t="n">
        <x:v>2015</x:v>
      </x:c>
      <x:c r="E1079" s="2" t="n">
        <x:v>2020</x:v>
      </x:c>
      <x:c r="F1079" s="17" t="n">
        <x:v>216766434.49609855</x:v>
      </x:c>
      <x:c r="G1079" s="17" t="n">
        <x:v>226725070.95000017</x:v>
      </x:c>
      <x:c r="H1079" s="17" t="n">
        <x:v>277407731.8405249</x:v>
      </x:c>
      <x:c r="I1079" s="17" t="n">
        <x:v>290312516.0537993</x:v>
      </x:c>
      <x:c r="J1079" s="2" t="str">
        <x:v>m2</x:v>
      </x:c>
      <x:c r="K1079" s="15" t="n">
        <x:f>IF(AND(ISNUMBER(F1079),ISNUMBER(G1079),F1079&gt;0),G1079/F1079-1,"n.a.")</x:f>
        <x:v>0.04594178280900252</x:v>
      </x:c>
      <x:c r="L1079" s="15" t="n">
        <x:f>IF(AND(N1079,ISNUMBER(H1079),ISNUMBER(I1079),H1079&gt;0),I1079/H1079-1,"n.a.")</x:f>
        <x:v>0.04651919442783603</x:v>
      </x:c>
      <x:c r="M1079" s="20" t="n">
        <x:f>IF(AND(ISNUMBER(K1079),ISNUMBER(L1079)),100*(K1079-L1079),"n.a.")</x:f>
        <x:v>-0.05774116188335121</x:v>
      </x:c>
      <x:c r="N1079" s="13" t="b">
        <x:v>1</x:v>
      </x:c>
      <x:c r="O1079" s="13" t="b">
        <x:v>1</x:v>
      </x:c>
      <x:c r="P1079" s="13" t="b">
        <x:v>0</x:v>
      </x:c>
      <x:c r="Q1079" s="2" t="str">
        <x:v>L1_numeric_partition_qualified_not_national_completeness</x:v>
      </x:c>
      <x:c r="R1079" s="2" t="str">
        <x:v>L1_numeric_partition_qualified_not_national_completeness</x:v>
      </x:c>
      <x:c r="S1079" s="2" t="str">
        <x:v>historical_GHSL_BU_estimate</x:v>
      </x:c>
      <x:c r="T1079" s="2" t="str">
        <x:v>historical_GHSL_BU_estimate</x:v>
      </x:c>
      <x:c r="U1079" s="2" t="str">
        <x:v>GFA growth versus source physical quantity growth; constant conversion required for equality</x:v>
      </x:c>
      <x:c r="V1079" s="2" t="str">
        <x:v>Future horizontal path is already a v16 driver; WUP historical surface derives from GHSL</x:v>
      </x:c>
      <x:c r="W1079" s="2" t="str">
        <x:v>https://human-settlement.emergency.copernicus.eu/datasets.php</x:v>
      </x:c>
    </x:row>
    <x:row r="1080" ht="23" customHeight="1">
      <x:c r="A1080" s="2" t="str">
        <x:v>LBR</x:v>
      </x:c>
      <x:c r="B1080" s="2" t="str">
        <x:v>Liberia (Republic of)</x:v>
      </x:c>
      <x:c r="C1080" s="2" t="str">
        <x:v>WUP_SURFACE</x:v>
      </x:c>
      <x:c r="D1080" s="2" t="n">
        <x:v>2015</x:v>
      </x:c>
      <x:c r="E1080" s="2" t="n">
        <x:v>2020</x:v>
      </x:c>
      <x:c r="F1080" s="17" t="n">
        <x:v>87042901.95199455</x:v>
      </x:c>
      <x:c r="G1080" s="17" t="n">
        <x:v>93713430.84000014</x:v>
      </x:c>
      <x:c r="H1080" s="17" t="n">
        <x:v>186949267.0909503</x:v>
      </x:c>
      <x:c r="I1080" s="17" t="n">
        <x:v>199718960.09603718</x:v>
      </x:c>
      <x:c r="J1080" s="2" t="str">
        <x:v>m2</x:v>
      </x:c>
      <x:c r="K1080" s="15" t="n">
        <x:f>IF(AND(ISNUMBER(F1080),ISNUMBER(G1080),F1080&gt;0),G1080/F1080-1,"n.a.")</x:f>
        <x:v>0.07663495515906038</x:v>
      </x:c>
      <x:c r="L1080" s="15" t="n">
        <x:f>IF(AND(N1080,ISNUMBER(H1080),ISNUMBER(I1080),H1080&gt;0),I1080/H1080-1,"n.a.")</x:f>
        <x:v>0.06830565962515611</x:v>
      </x:c>
      <x:c r="M1080" s="20" t="n">
        <x:f>IF(AND(ISNUMBER(K1080),ISNUMBER(L1080)),100*(K1080-L1080),"n.a.")</x:f>
        <x:v>0.8329295533904268</x:v>
      </x:c>
      <x:c r="N1080" s="13" t="b">
        <x:v>1</x:v>
      </x:c>
      <x:c r="O1080" s="13" t="b">
        <x:v>1</x:v>
      </x:c>
      <x:c r="P1080" s="13" t="b">
        <x:v>0</x:v>
      </x:c>
      <x:c r="Q1080" s="2" t="str">
        <x:v>L1_numeric_partition_qualified_not_national_completeness</x:v>
      </x:c>
      <x:c r="R1080" s="2" t="str">
        <x:v>L1_numeric_partition_qualified_not_national_completeness</x:v>
      </x:c>
      <x:c r="S1080" s="2" t="str">
        <x:v>historical_GHSL_BU_estimate</x:v>
      </x:c>
      <x:c r="T1080" s="2" t="str">
        <x:v>historical_GHSL_BU_estimate</x:v>
      </x:c>
      <x:c r="U1080" s="2" t="str">
        <x:v>GFA growth versus source physical quantity growth; constant conversion required for equality</x:v>
      </x:c>
      <x:c r="V1080" s="2" t="str">
        <x:v>Future horizontal path is already a v16 driver; WUP historical surface derives from GHSL</x:v>
      </x:c>
      <x:c r="W1080" s="2" t="str">
        <x:v>https://human-settlement.emergency.copernicus.eu/datasets.php</x:v>
      </x:c>
    </x:row>
    <x:row r="1081" ht="23" customHeight="1">
      <x:c r="A1081" s="2" t="str">
        <x:v>LBY</x:v>
      </x:c>
      <x:c r="B1081" s="2" t="str">
        <x:v>Libya (State of)</x:v>
      </x:c>
      <x:c r="C1081" s="2" t="str">
        <x:v>WUP_SURFACE</x:v>
      </x:c>
      <x:c r="D1081" s="2" t="n">
        <x:v>2015</x:v>
      </x:c>
      <x:c r="E1081" s="2" t="n">
        <x:v>2020</x:v>
      </x:c>
      <x:c r="F1081" s="17" t="n">
        <x:v>451050058.3672139</x:v>
      </x:c>
      <x:c r="G1081" s="17" t="n">
        <x:v>523048577.3000005</x:v>
      </x:c>
      <x:c r="H1081" s="17" t="n">
        <x:v>871136594.51271</x:v>
      </x:c>
      <x:c r="I1081" s="17" t="n">
        <x:v>1007615694.8703437</x:v>
      </x:c>
      <x:c r="J1081" s="2" t="str">
        <x:v>m2</x:v>
      </x:c>
      <x:c r="K1081" s="15" t="n">
        <x:f>IF(AND(ISNUMBER(F1081),ISNUMBER(G1081),F1081&gt;0),G1081/F1081-1,"n.a.")</x:f>
        <x:v>0.1596242314953218</x:v>
      </x:c>
      <x:c r="L1081" s="15" t="n">
        <x:f>IF(AND(N1081,ISNUMBER(H1081),ISNUMBER(I1081),H1081&gt;0),I1081/H1081-1,"n.a.")</x:f>
        <x:v>0.1566678534885524</x:v>
      </x:c>
      <x:c r="M1081" s="20" t="n">
        <x:f>IF(AND(ISNUMBER(K1081),ISNUMBER(L1081)),100*(K1081-L1081),"n.a.")</x:f>
        <x:v>0.29563780067694</x:v>
      </x:c>
      <x:c r="N1081" s="13" t="b">
        <x:v>1</x:v>
      </x:c>
      <x:c r="O1081" s="13" t="b">
        <x:v>1</x:v>
      </x:c>
      <x:c r="P1081" s="13" t="b">
        <x:v>0</x:v>
      </x:c>
      <x:c r="Q1081" s="2" t="str">
        <x:v>L1_numeric_partition_qualified_not_national_completeness</x:v>
      </x:c>
      <x:c r="R1081" s="2" t="str">
        <x:v>L1_numeric_partition_qualified_not_national_completeness</x:v>
      </x:c>
      <x:c r="S1081" s="2" t="str">
        <x:v>historical_GHSL_BU_estimate</x:v>
      </x:c>
      <x:c r="T1081" s="2" t="str">
        <x:v>historical_GHSL_BU_estimate</x:v>
      </x:c>
      <x:c r="U1081" s="2" t="str">
        <x:v>GFA growth versus source physical quantity growth; constant conversion required for equality</x:v>
      </x:c>
      <x:c r="V1081" s="2" t="str">
        <x:v>Future horizontal path is already a v16 driver; WUP historical surface derives from GHSL</x:v>
      </x:c>
      <x:c r="W1081" s="2" t="str">
        <x:v>https://human-settlement.emergency.copernicus.eu/datasets.php</x:v>
      </x:c>
    </x:row>
    <x:row r="1082" ht="23" customHeight="1">
      <x:c r="A1082" s="2" t="str">
        <x:v>LCA</x:v>
      </x:c>
      <x:c r="B1082" s="2" t="str">
        <x:v>Saint Lucia</x:v>
      </x:c>
      <x:c r="C1082" s="2" t="str">
        <x:v>WUP_SURFACE</x:v>
      </x:c>
      <x:c r="D1082" s="2" t="n">
        <x:v>2015</x:v>
      </x:c>
      <x:c r="E1082" s="2" t="n">
        <x:v>2020</x:v>
      </x:c>
      <x:c r="F1082" s="17" t="n">
        <x:v>8882463.634134484</x:v>
      </x:c>
      <x:c r="G1082" s="17" t="n">
        <x:v>10226894.600000018</x:v>
      </x:c>
      <x:c r="H1082" s="17" t="n">
        <x:v>13619913.994519152</x:v>
      </x:c>
      <x:c r="I1082" s="17" t="n">
        <x:v>15660153.983425064</x:v>
      </x:c>
      <x:c r="J1082" s="2" t="str">
        <x:v>m2</x:v>
      </x:c>
      <x:c r="K1082" s="15" t="n">
        <x:f>IF(AND(ISNUMBER(F1082),ISNUMBER(G1082),F1082&gt;0),G1082/F1082-1,"n.a.")</x:f>
        <x:v>0.15135789137362865</x:v>
      </x:c>
      <x:c r="L1082" s="15" t="n">
        <x:f>IF(AND(N1082,ISNUMBER(H1082),ISNUMBER(I1082),H1082&gt;0),I1082/H1082-1,"n.a.")</x:f>
        <x:v>0.14979830193692378</x:v>
      </x:c>
      <x:c r="M1082" s="20" t="n">
        <x:f>IF(AND(ISNUMBER(K1082),ISNUMBER(L1082)),100*(K1082-L1082),"n.a.")</x:f>
        <x:v>0.15595894367048668</x:v>
      </x:c>
      <x:c r="N1082" s="13" t="b">
        <x:v>1</x:v>
      </x:c>
      <x:c r="O1082" s="13" t="b">
        <x:v>1</x:v>
      </x:c>
      <x:c r="P1082" s="13" t="b">
        <x:v>0</x:v>
      </x:c>
      <x:c r="Q1082" s="2" t="str">
        <x:v>L1_numeric_partition_qualified_not_national_completeness</x:v>
      </x:c>
      <x:c r="R1082" s="2" t="str">
        <x:v>L1_numeric_partition_qualified_not_national_completeness</x:v>
      </x:c>
      <x:c r="S1082" s="2" t="str">
        <x:v>historical_GHSL_BU_estimate</x:v>
      </x:c>
      <x:c r="T1082" s="2" t="str">
        <x:v>historical_GHSL_BU_estimate</x:v>
      </x:c>
      <x:c r="U1082" s="2" t="str">
        <x:v>GFA growth versus source physical quantity growth; constant conversion required for equality</x:v>
      </x:c>
      <x:c r="V1082" s="2" t="str">
        <x:v>Future horizontal path is already a v16 driver; WUP historical surface derives from GHSL</x:v>
      </x:c>
      <x:c r="W1082" s="2" t="str">
        <x:v>https://human-settlement.emergency.copernicus.eu/datasets.php</x:v>
      </x:c>
    </x:row>
    <x:row r="1083" ht="23" customHeight="1">
      <x:c r="A1083" s="2" t="str">
        <x:v>LIE</x:v>
      </x:c>
      <x:c r="B1083" s="2" t="str">
        <x:v>Liechtenstein (Principality of)</x:v>
      </x:c>
      <x:c r="C1083" s="2" t="str">
        <x:v>WUP_SURFACE</x:v>
      </x:c>
      <x:c r="D1083" s="2" t="n">
        <x:v>2015</x:v>
      </x:c>
      <x:c r="E1083" s="2" t="n">
        <x:v>2020</x:v>
      </x:c>
      <x:c r="F1083" s="17" t="n">
        <x:v>3201232.1963177915</x:v>
      </x:c>
      <x:c r="G1083" s="17" t="n">
        <x:v>3628695.830000003</x:v>
      </x:c>
      <x:c r="H1083" s="17" t="n">
        <x:v>4554893.005731174</x:v>
      </x:c>
      <x:c r="I1083" s="17" t="n">
        <x:v>5124664.990694326</x:v>
      </x:c>
      <x:c r="J1083" s="2" t="str">
        <x:v>m2</x:v>
      </x:c>
      <x:c r="K1083" s="15" t="n">
        <x:f>IF(AND(ISNUMBER(F1083),ISNUMBER(G1083),F1083&gt;0),G1083/F1083-1,"n.a.")</x:f>
        <x:v>0.1335309679110126</x:v>
      </x:c>
      <x:c r="L1083" s="15" t="n">
        <x:f>IF(AND(N1083,ISNUMBER(H1083),ISNUMBER(I1083),H1083&gt;0),I1083/H1083-1,"n.a.")</x:f>
        <x:v>0.12509009196181764</x:v>
      </x:c>
      <x:c r="M1083" s="20" t="n">
        <x:f>IF(AND(ISNUMBER(K1083),ISNUMBER(L1083)),100*(K1083-L1083),"n.a.")</x:f>
        <x:v>0.8440875949194959</x:v>
      </x:c>
      <x:c r="N1083" s="13" t="b">
        <x:v>1</x:v>
      </x:c>
      <x:c r="O1083" s="13" t="b">
        <x:v>1</x:v>
      </x:c>
      <x:c r="P1083" s="13" t="b">
        <x:v>0</x:v>
      </x:c>
      <x:c r="Q1083" s="2" t="str">
        <x:v>L1_numeric_partition_qualified_not_national_completeness</x:v>
      </x:c>
      <x:c r="R1083" s="2" t="str">
        <x:v>L1_numeric_partition_qualified_not_national_completeness</x:v>
      </x:c>
      <x:c r="S1083" s="2" t="str">
        <x:v>historical_GHSL_BU_estimate</x:v>
      </x:c>
      <x:c r="T1083" s="2" t="str">
        <x:v>historical_GHSL_BU_estimate</x:v>
      </x:c>
      <x:c r="U1083" s="2" t="str">
        <x:v>GFA growth versus source physical quantity growth; constant conversion required for equality</x:v>
      </x:c>
      <x:c r="V1083" s="2" t="str">
        <x:v>Future horizontal path is already a v16 driver; WUP historical surface derives from GHSL</x:v>
      </x:c>
      <x:c r="W1083" s="2" t="str">
        <x:v>https://human-settlement.emergency.copernicus.eu/datasets.php</x:v>
      </x:c>
    </x:row>
    <x:row r="1084" ht="23" customHeight="1">
      <x:c r="A1084" s="2" t="str">
        <x:v>LKA</x:v>
      </x:c>
      <x:c r="B1084" s="2" t="str">
        <x:v>Sri Lanka (Democratic Socialist Republic of)</x:v>
      </x:c>
      <x:c r="C1084" s="2" t="str">
        <x:v>WUP_SURFACE</x:v>
      </x:c>
      <x:c r="D1084" s="2" t="n">
        <x:v>2015</x:v>
      </x:c>
      <x:c r="E1084" s="2" t="n">
        <x:v>2020</x:v>
      </x:c>
      <x:c r="F1084" s="17" t="n">
        <x:v>724754528.0104082</x:v>
      </x:c>
      <x:c r="G1084" s="17" t="n">
        <x:v>899293602.2900008</x:v>
      </x:c>
      <x:c r="H1084" s="17" t="n">
        <x:v>800464390.845608</x:v>
      </x:c>
      <x:c r="I1084" s="17" t="n">
        <x:v>984798909.2979468</x:v>
      </x:c>
      <x:c r="J1084" s="2" t="str">
        <x:v>m2</x:v>
      </x:c>
      <x:c r="K1084" s="15" t="n">
        <x:f>IF(AND(ISNUMBER(F1084),ISNUMBER(G1084),F1084&gt;0),G1084/F1084-1,"n.a.")</x:f>
        <x:v>0.24082508978417327</x:v>
      </x:c>
      <x:c r="L1084" s="15" t="n">
        <x:f>IF(AND(N1084,ISNUMBER(H1084),ISNUMBER(I1084),H1084&gt;0),I1084/H1084-1,"n.a.")</x:f>
        <x:v>0.23028447056540324</x:v>
      </x:c>
      <x:c r="M1084" s="20" t="n">
        <x:f>IF(AND(ISNUMBER(K1084),ISNUMBER(L1084)),100*(K1084-L1084),"n.a.")</x:f>
        <x:v>1.054061921877003</x:v>
      </x:c>
      <x:c r="N1084" s="13" t="b">
        <x:v>1</x:v>
      </x:c>
      <x:c r="O1084" s="13" t="b">
        <x:v>1</x:v>
      </x:c>
      <x:c r="P1084" s="13" t="b">
        <x:v>0</x:v>
      </x:c>
      <x:c r="Q1084" s="2" t="str">
        <x:v>L1_numeric_partition_qualified_not_national_completeness</x:v>
      </x:c>
      <x:c r="R1084" s="2" t="str">
        <x:v>L1_numeric_partition_qualified_not_national_completeness</x:v>
      </x:c>
      <x:c r="S1084" s="2" t="str">
        <x:v>historical_GHSL_BU_estimate</x:v>
      </x:c>
      <x:c r="T1084" s="2" t="str">
        <x:v>historical_GHSL_BU_estimate</x:v>
      </x:c>
      <x:c r="U1084" s="2" t="str">
        <x:v>GFA growth versus source physical quantity growth; constant conversion required for equality</x:v>
      </x:c>
      <x:c r="V1084" s="2" t="str">
        <x:v>Future horizontal path is already a v16 driver; WUP historical surface derives from GHSL</x:v>
      </x:c>
      <x:c r="W1084" s="2" t="str">
        <x:v>https://human-settlement.emergency.copernicus.eu/datasets.php</x:v>
      </x:c>
    </x:row>
    <x:row r="1085" ht="23" customHeight="1">
      <x:c r="A1085" s="2" t="str">
        <x:v>LSO</x:v>
      </x:c>
      <x:c r="B1085" s="2" t="str">
        <x:v>Lesotho (Kingdom of)</x:v>
      </x:c>
      <x:c r="C1085" s="2" t="str">
        <x:v>WUP_SURFACE</x:v>
      </x:c>
      <x:c r="D1085" s="2" t="n">
        <x:v>2015</x:v>
      </x:c>
      <x:c r="E1085" s="2" t="n">
        <x:v>2020</x:v>
      </x:c>
      <x:c r="F1085" s="17" t="n">
        <x:v>50326429.45555801</x:v>
      </x:c>
      <x:c r="G1085" s="17" t="n">
        <x:v>60655167.15000007</x:v>
      </x:c>
      <x:c r="H1085" s="17" t="n">
        <x:v>175783253.91132966</x:v>
      </x:c>
      <x:c r="I1085" s="17" t="n">
        <x:v>210188354.9035109</x:v>
      </x:c>
      <x:c r="J1085" s="2" t="str">
        <x:v>m2</x:v>
      </x:c>
      <x:c r="K1085" s="15" t="n">
        <x:f>IF(AND(ISNUMBER(F1085),ISNUMBER(G1085),F1085&gt;0),G1085/F1085-1,"n.a.")</x:f>
        <x:v>0.2052348598178042</x:v>
      </x:c>
      <x:c r="L1085" s="15" t="n">
        <x:f>IF(AND(N1085,ISNUMBER(H1085),ISNUMBER(I1085),H1085&gt;0),I1085/H1085-1,"n.a.")</x:f>
        <x:v>0.19572456548981743</x:v>
      </x:c>
      <x:c r="M1085" s="20" t="n">
        <x:f>IF(AND(ISNUMBER(K1085),ISNUMBER(L1085)),100*(K1085-L1085),"n.a.")</x:f>
        <x:v>0.9510294327986779</x:v>
      </x:c>
      <x:c r="N1085" s="13" t="b">
        <x:v>1</x:v>
      </x:c>
      <x:c r="O1085" s="13" t="b">
        <x:v>1</x:v>
      </x:c>
      <x:c r="P1085" s="13" t="b">
        <x:v>0</x:v>
      </x:c>
      <x:c r="Q1085" s="2" t="str">
        <x:v>L1_numeric_partition_qualified_not_national_completeness</x:v>
      </x:c>
      <x:c r="R1085" s="2" t="str">
        <x:v>L1_numeric_partition_qualified_not_national_completeness</x:v>
      </x:c>
      <x:c r="S1085" s="2" t="str">
        <x:v>historical_GHSL_BU_estimate</x:v>
      </x:c>
      <x:c r="T1085" s="2" t="str">
        <x:v>historical_GHSL_BU_estimate</x:v>
      </x:c>
      <x:c r="U1085" s="2" t="str">
        <x:v>GFA growth versus source physical quantity growth; constant conversion required for equality</x:v>
      </x:c>
      <x:c r="V1085" s="2" t="str">
        <x:v>Future horizontal path is already a v16 driver; WUP historical surface derives from GHSL</x:v>
      </x:c>
      <x:c r="W1085" s="2" t="str">
        <x:v>https://human-settlement.emergency.copernicus.eu/datasets.php</x:v>
      </x:c>
    </x:row>
    <x:row r="1086" ht="23" customHeight="1">
      <x:c r="A1086" s="2" t="str">
        <x:v>LTU</x:v>
      </x:c>
      <x:c r="B1086" s="2" t="str">
        <x:v>Lithuania (Republic of)</x:v>
      </x:c>
      <x:c r="C1086" s="2" t="str">
        <x:v>WUP_SURFACE</x:v>
      </x:c>
      <x:c r="D1086" s="2" t="n">
        <x:v>2015</x:v>
      </x:c>
      <x:c r="E1086" s="2" t="n">
        <x:v>2020</x:v>
      </x:c>
      <x:c r="F1086" s="17" t="n">
        <x:v>256994964.96758032</x:v>
      </x:c>
      <x:c r="G1086" s="17" t="n">
        <x:v>269070067.6199997</x:v>
      </x:c>
      <x:c r="H1086" s="17" t="n">
        <x:v>455710125.3224993</x:v>
      </x:c>
      <x:c r="I1086" s="17" t="n">
        <x:v>477086393.8024533</x:v>
      </x:c>
      <x:c r="J1086" s="2" t="str">
        <x:v>m2</x:v>
      </x:c>
      <x:c r="K1086" s="15" t="n">
        <x:f>IF(AND(ISNUMBER(F1086),ISNUMBER(G1086),F1086&gt;0),G1086/F1086-1,"n.a.")</x:f>
        <x:v>0.04698575574794872</x:v>
      </x:c>
      <x:c r="L1086" s="15" t="n">
        <x:f>IF(AND(N1086,ISNUMBER(H1086),ISNUMBER(I1086),H1086&gt;0),I1086/H1086-1,"n.a.")</x:f>
        <x:v>0.046907600450673215</x:v>
      </x:c>
      <x:c r="M1086" s="20" t="n">
        <x:f>IF(AND(ISNUMBER(K1086),ISNUMBER(L1086)),100*(K1086-L1086),"n.a.")</x:f>
        <x:v>0.007815529727550619</x:v>
      </x:c>
      <x:c r="N1086" s="13" t="b">
        <x:v>1</x:v>
      </x:c>
      <x:c r="O1086" s="13" t="b">
        <x:v>1</x:v>
      </x:c>
      <x:c r="P1086" s="13" t="b">
        <x:v>0</x:v>
      </x:c>
      <x:c r="Q1086" s="2" t="str">
        <x:v>L1_numeric_partition_qualified_not_national_completeness</x:v>
      </x:c>
      <x:c r="R1086" s="2" t="str">
        <x:v>L1_numeric_partition_qualified_not_national_completeness</x:v>
      </x:c>
      <x:c r="S1086" s="2" t="str">
        <x:v>historical_GHSL_BU_estimate</x:v>
      </x:c>
      <x:c r="T1086" s="2" t="str">
        <x:v>historical_GHSL_BU_estimate</x:v>
      </x:c>
      <x:c r="U1086" s="2" t="str">
        <x:v>GFA growth versus source physical quantity growth; constant conversion required for equality</x:v>
      </x:c>
      <x:c r="V1086" s="2" t="str">
        <x:v>Future horizontal path is already a v16 driver; WUP historical surface derives from GHSL</x:v>
      </x:c>
      <x:c r="W1086" s="2" t="str">
        <x:v>https://human-settlement.emergency.copernicus.eu/datasets.php</x:v>
      </x:c>
    </x:row>
    <x:row r="1087" ht="23" customHeight="1">
      <x:c r="A1087" s="2" t="str">
        <x:v>LUX</x:v>
      </x:c>
      <x:c r="B1087" s="2" t="str">
        <x:v>Luxembourg (Grand Duchy of)</x:v>
      </x:c>
      <x:c r="C1087" s="2" t="str">
        <x:v>WUP_SURFACE</x:v>
      </x:c>
      <x:c r="D1087" s="2" t="n">
        <x:v>2015</x:v>
      </x:c>
      <x:c r="E1087" s="2" t="n">
        <x:v>2020</x:v>
      </x:c>
      <x:c r="F1087" s="17" t="n">
        <x:v>45518478.90477848</x:v>
      </x:c>
      <x:c r="G1087" s="17" t="n">
        <x:v>49053600.56000002</x:v>
      </x:c>
      <x:c r="H1087" s="17" t="n">
        <x:v>63604390.979700044</x:v>
      </x:c>
      <x:c r="I1087" s="17" t="n">
        <x:v>67894942.03978768</x:v>
      </x:c>
      <x:c r="J1087" s="2" t="str">
        <x:v>m2</x:v>
      </x:c>
      <x:c r="K1087" s="15" t="n">
        <x:f>IF(AND(ISNUMBER(F1087),ISNUMBER(G1087),F1087&gt;0),G1087/F1087-1,"n.a.")</x:f>
        <x:v>0.07766343999800096</x:v>
      </x:c>
      <x:c r="L1087" s="15" t="n">
        <x:f>IF(AND(N1087,ISNUMBER(H1087),ISNUMBER(I1087),H1087&gt;0),I1087/H1087-1,"n.a.")</x:f>
        <x:v>0.06745683739754704</x:v>
      </x:c>
      <x:c r="M1087" s="20" t="n">
        <x:f>IF(AND(ISNUMBER(K1087),ISNUMBER(L1087)),100*(K1087-L1087),"n.a.")</x:f>
        <x:v>1.0206602600453918</x:v>
      </x:c>
      <x:c r="N1087" s="13" t="b">
        <x:v>1</x:v>
      </x:c>
      <x:c r="O1087" s="13" t="b">
        <x:v>1</x:v>
      </x:c>
      <x:c r="P1087" s="13" t="b">
        <x:v>0</x:v>
      </x:c>
      <x:c r="Q1087" s="2" t="str">
        <x:v>L1_numeric_partition_qualified_not_national_completeness</x:v>
      </x:c>
      <x:c r="R1087" s="2" t="str">
        <x:v>L1_numeric_partition_qualified_not_national_completeness</x:v>
      </x:c>
      <x:c r="S1087" s="2" t="str">
        <x:v>historical_GHSL_BU_estimate</x:v>
      </x:c>
      <x:c r="T1087" s="2" t="str">
        <x:v>historical_GHSL_BU_estimate</x:v>
      </x:c>
      <x:c r="U1087" s="2" t="str">
        <x:v>GFA growth versus source physical quantity growth; constant conversion required for equality</x:v>
      </x:c>
      <x:c r="V1087" s="2" t="str">
        <x:v>Future horizontal path is already a v16 driver; WUP historical surface derives from GHSL</x:v>
      </x:c>
      <x:c r="W1087" s="2" t="str">
        <x:v>https://human-settlement.emergency.copernicus.eu/datasets.php</x:v>
      </x:c>
    </x:row>
    <x:row r="1088" ht="23" customHeight="1">
      <x:c r="A1088" s="2" t="str">
        <x:v>LVA</x:v>
      </x:c>
      <x:c r="B1088" s="2" t="str">
        <x:v>Latvia (Republic of)</x:v>
      </x:c>
      <x:c r="C1088" s="2" t="str">
        <x:v>WUP_SURFACE</x:v>
      </x:c>
      <x:c r="D1088" s="2" t="n">
        <x:v>2015</x:v>
      </x:c>
      <x:c r="E1088" s="2" t="n">
        <x:v>2020</x:v>
      </x:c>
      <x:c r="F1088" s="17" t="n">
        <x:v>140683330.01405793</x:v>
      </x:c>
      <x:c r="G1088" s="17" t="n">
        <x:v>145154805.1899999</x:v>
      </x:c>
      <x:c r="H1088" s="17" t="n">
        <x:v>247464324.00691196</x:v>
      </x:c>
      <x:c r="I1088" s="17" t="n">
        <x:v>255494711.05248618</x:v>
      </x:c>
      <x:c r="J1088" s="2" t="str">
        <x:v>m2</x:v>
      </x:c>
      <x:c r="K1088" s="15" t="n">
        <x:f>IF(AND(ISNUMBER(F1088),ISNUMBER(G1088),F1088&gt;0),G1088/F1088-1,"n.a.")</x:f>
        <x:v>0.031783973094005935</x:v>
      </x:c>
      <x:c r="L1088" s="15" t="n">
        <x:f>IF(AND(N1088,ISNUMBER(H1088),ISNUMBER(I1088),H1088&gt;0),I1088/H1088-1,"n.a.")</x:f>
        <x:v>0.032450685882907004</x:v>
      </x:c>
      <x:c r="M1088" s="20" t="n">
        <x:f>IF(AND(ISNUMBER(K1088),ISNUMBER(L1088)),100*(K1088-L1088),"n.a.")</x:f>
        <x:v>-0.06667127889010693</x:v>
      </x:c>
      <x:c r="N1088" s="13" t="b">
        <x:v>1</x:v>
      </x:c>
      <x:c r="O1088" s="13" t="b">
        <x:v>1</x:v>
      </x:c>
      <x:c r="P1088" s="13" t="b">
        <x:v>0</x:v>
      </x:c>
      <x:c r="Q1088" s="2" t="str">
        <x:v>L1_numeric_partition_qualified_not_national_completeness</x:v>
      </x:c>
      <x:c r="R1088" s="2" t="str">
        <x:v>L1_numeric_partition_qualified_not_national_completeness</x:v>
      </x:c>
      <x:c r="S1088" s="2" t="str">
        <x:v>historical_GHSL_BU_estimate</x:v>
      </x:c>
      <x:c r="T1088" s="2" t="str">
        <x:v>historical_GHSL_BU_estimate</x:v>
      </x:c>
      <x:c r="U1088" s="2" t="str">
        <x:v>GFA growth versus source physical quantity growth; constant conversion required for equality</x:v>
      </x:c>
      <x:c r="V1088" s="2" t="str">
        <x:v>Future horizontal path is already a v16 driver; WUP historical surface derives from GHSL</x:v>
      </x:c>
      <x:c r="W1088" s="2" t="str">
        <x:v>https://human-settlement.emergency.copernicus.eu/datasets.php</x:v>
      </x:c>
    </x:row>
    <x:row r="1089" ht="23" customHeight="1">
      <x:c r="A1089" s="2" t="str">
        <x:v>MAR</x:v>
      </x:c>
      <x:c r="B1089" s="2" t="str">
        <x:v>Morocco (Kingdom of)</x:v>
      </x:c>
      <x:c r="C1089" s="2" t="str">
        <x:v>WUP_SURFACE</x:v>
      </x:c>
      <x:c r="D1089" s="2" t="n">
        <x:v>2015</x:v>
      </x:c>
      <x:c r="E1089" s="2" t="n">
        <x:v>2020</x:v>
      </x:c>
      <x:c r="F1089" s="17" t="n">
        <x:v>1142910844.8265724</x:v>
      </x:c>
      <x:c r="G1089" s="17" t="n">
        <x:v>1247018524.7000012</x:v>
      </x:c>
      <x:c r="H1089" s="17" t="n">
        <x:v>766938814.3791322</x:v>
      </x:c>
      <x:c r="I1089" s="17" t="n">
        <x:v>830940279.8591127</x:v>
      </x:c>
      <x:c r="J1089" s="2" t="str">
        <x:v>m2</x:v>
      </x:c>
      <x:c r="K1089" s="15" t="n">
        <x:f>IF(AND(ISNUMBER(F1089),ISNUMBER(G1089),F1089&gt;0),G1089/F1089-1,"n.a.")</x:f>
        <x:v>0.09108993964374035</x:v>
      </x:c>
      <x:c r="L1089" s="15" t="n">
        <x:f>IF(AND(N1089,ISNUMBER(H1089),ISNUMBER(I1089),H1089&gt;0),I1089/H1089-1,"n.a.")</x:f>
        <x:v>0.08345054948326269</x:v>
      </x:c>
      <x:c r="M1089" s="20" t="n">
        <x:f>IF(AND(ISNUMBER(K1089),ISNUMBER(L1089)),100*(K1089-L1089),"n.a.")</x:f>
        <x:v>0.7639390160477655</x:v>
      </x:c>
      <x:c r="N1089" s="13" t="b">
        <x:v>1</x:v>
      </x:c>
      <x:c r="O1089" s="13" t="b">
        <x:v>1</x:v>
      </x:c>
      <x:c r="P1089" s="13" t="b">
        <x:v>0</x:v>
      </x:c>
      <x:c r="Q1089" s="2" t="str">
        <x:v>L1_numeric_partition_qualified_not_national_completeness</x:v>
      </x:c>
      <x:c r="R1089" s="2" t="str">
        <x:v>L1_numeric_partition_qualified_not_national_completeness</x:v>
      </x:c>
      <x:c r="S1089" s="2" t="str">
        <x:v>historical_GHSL_BU_estimate</x:v>
      </x:c>
      <x:c r="T1089" s="2" t="str">
        <x:v>historical_GHSL_BU_estimate</x:v>
      </x:c>
      <x:c r="U1089" s="2" t="str">
        <x:v>GFA growth versus source physical quantity growth; constant conversion required for equality</x:v>
      </x:c>
      <x:c r="V1089" s="2" t="str">
        <x:v>Future horizontal path is already a v16 driver; WUP historical surface derives from GHSL</x:v>
      </x:c>
      <x:c r="W1089" s="2" t="str">
        <x:v>https://human-settlement.emergency.copernicus.eu/datasets.php</x:v>
      </x:c>
    </x:row>
    <x:row r="1090" ht="23" customHeight="1">
      <x:c r="A1090" s="2" t="str">
        <x:v>MCO</x:v>
      </x:c>
      <x:c r="B1090" s="2" t="str">
        <x:v>Monaco (Principality of)</x:v>
      </x:c>
      <x:c r="C1090" s="2" t="str">
        <x:v>WUP_SURFACE</x:v>
      </x:c>
      <x:c r="D1090" s="2" t="n">
        <x:v>2015</x:v>
      </x:c>
      <x:c r="E1090" s="2" t="n">
        <x:v>2020</x:v>
      </x:c>
      <x:c r="F1090" s="17" t="n">
        <x:v>1552878.5574787627</x:v>
      </x:c>
      <x:c r="G1090" s="17" t="n">
        <x:v>1563267.7900000005</x:v>
      </x:c>
      <x:c r="H1090" s="17" t="n">
        <x:v>748718.005081173</x:v>
      </x:c>
      <x:c r="I1090" s="17" t="n">
        <x:v>751268.0051731877</x:v>
      </x:c>
      <x:c r="J1090" s="2" t="str">
        <x:v>m2</x:v>
      </x:c>
      <x:c r="K1090" s="15" t="n">
        <x:f>IF(AND(ISNUMBER(F1090),ISNUMBER(G1090),F1090&gt;0),G1090/F1090-1,"n.a.")</x:f>
        <x:v>0.006690305865325152</x:v>
      </x:c>
      <x:c r="L1090" s="15" t="n">
        <x:f>IF(AND(N1090,ISNUMBER(H1090),ISNUMBER(I1090),H1090&gt;0),I1090/H1090-1,"n.a.")</x:f>
        <x:v>0.003405821784315366</x:v>
      </x:c>
      <x:c r="M1090" s="20" t="n">
        <x:f>IF(AND(ISNUMBER(K1090),ISNUMBER(L1090)),100*(K1090-L1090),"n.a.")</x:f>
        <x:v>0.32844840810097864</x:v>
      </x:c>
      <x:c r="N1090" s="13" t="b">
        <x:v>1</x:v>
      </x:c>
      <x:c r="O1090" s="13" t="b">
        <x:v>1</x:v>
      </x:c>
      <x:c r="P1090" s="13" t="b">
        <x:v>0</x:v>
      </x:c>
      <x:c r="Q1090" s="2" t="str">
        <x:v>L1_numeric_partition_qualified_not_national_completeness</x:v>
      </x:c>
      <x:c r="R1090" s="2" t="str">
        <x:v>L1_numeric_partition_qualified_not_national_completeness</x:v>
      </x:c>
      <x:c r="S1090" s="2" t="str">
        <x:v>historical_GHSL_BU_estimate</x:v>
      </x:c>
      <x:c r="T1090" s="2" t="str">
        <x:v>historical_GHSL_BU_estimate</x:v>
      </x:c>
      <x:c r="U1090" s="2" t="str">
        <x:v>GFA growth versus source physical quantity growth; constant conversion required for equality</x:v>
      </x:c>
      <x:c r="V1090" s="2" t="str">
        <x:v>Future horizontal path is already a v16 driver; WUP historical surface derives from GHSL</x:v>
      </x:c>
      <x:c r="W1090" s="2" t="str">
        <x:v>https://human-settlement.emergency.copernicus.eu/datasets.php</x:v>
      </x:c>
    </x:row>
    <x:row r="1091" ht="23" customHeight="1">
      <x:c r="A1091" s="2" t="str">
        <x:v>MDA</x:v>
      </x:c>
      <x:c r="B1091" s="2" t="str">
        <x:v>Moldova (Republic of)</x:v>
      </x:c>
      <x:c r="C1091" s="2" t="str">
        <x:v>WUP_SURFACE</x:v>
      </x:c>
      <x:c r="D1091" s="2" t="n">
        <x:v>2015</x:v>
      </x:c>
      <x:c r="E1091" s="2" t="n">
        <x:v>2020</x:v>
      </x:c>
      <x:c r="F1091" s="17" t="n">
        <x:v>247909213.73238635</x:v>
      </x:c>
      <x:c r="G1091" s="17" t="n">
        <x:v>254566854.8299996</x:v>
      </x:c>
      <x:c r="H1091" s="17" t="n">
        <x:v>475347978.0596576</x:v>
      </x:c>
      <x:c r="I1091" s="17" t="n">
        <x:v>488421133.9322726</x:v>
      </x:c>
      <x:c r="J1091" s="2" t="str">
        <x:v>m2</x:v>
      </x:c>
      <x:c r="K1091" s="15" t="n">
        <x:f>IF(AND(ISNUMBER(F1091),ISNUMBER(G1091),F1091&gt;0),G1091/F1091-1,"n.a.")</x:f>
        <x:v>0.026855157972466737</x:v>
      </x:c>
      <x:c r="L1091" s="15" t="n">
        <x:f>IF(AND(N1091,ISNUMBER(H1091),ISNUMBER(I1091),H1091&gt;0),I1091/H1091-1,"n.a.")</x:f>
        <x:v>0.02750228564341195</x:v>
      </x:c>
      <x:c r="M1091" s="20" t="n">
        <x:f>IF(AND(ISNUMBER(K1091),ISNUMBER(L1091)),100*(K1091-L1091),"n.a.")</x:f>
        <x:v>-0.06471276709452134</x:v>
      </x:c>
      <x:c r="N1091" s="13" t="b">
        <x:v>1</x:v>
      </x:c>
      <x:c r="O1091" s="13" t="b">
        <x:v>1</x:v>
      </x:c>
      <x:c r="P1091" s="13" t="b">
        <x:v>0</x:v>
      </x:c>
      <x:c r="Q1091" s="2" t="str">
        <x:v>L1_numeric_partition_qualified_not_national_completeness</x:v>
      </x:c>
      <x:c r="R1091" s="2" t="str">
        <x:v>L1_numeric_partition_qualified_not_national_completeness</x:v>
      </x:c>
      <x:c r="S1091" s="2" t="str">
        <x:v>historical_GHSL_BU_estimate</x:v>
      </x:c>
      <x:c r="T1091" s="2" t="str">
        <x:v>historical_GHSL_BU_estimate</x:v>
      </x:c>
      <x:c r="U1091" s="2" t="str">
        <x:v>GFA growth versus source physical quantity growth; constant conversion required for equality</x:v>
      </x:c>
      <x:c r="V1091" s="2" t="str">
        <x:v>Future horizontal path is already a v16 driver; WUP historical surface derives from GHSL</x:v>
      </x:c>
      <x:c r="W1091" s="2" t="str">
        <x:v>https://human-settlement.emergency.copernicus.eu/datasets.php</x:v>
      </x:c>
    </x:row>
    <x:row r="1092" ht="23" customHeight="1">
      <x:c r="A1092" s="2" t="str">
        <x:v>MDG</x:v>
      </x:c>
      <x:c r="B1092" s="2" t="str">
        <x:v>Madagascar (Republic of)</x:v>
      </x:c>
      <x:c r="C1092" s="2" t="str">
        <x:v>WUP_SURFACE</x:v>
      </x:c>
      <x:c r="D1092" s="2" t="n">
        <x:v>2015</x:v>
      </x:c>
      <x:c r="E1092" s="2" t="n">
        <x:v>2020</x:v>
      </x:c>
      <x:c r="F1092" s="17" t="n">
        <x:v>317984451.7483883</x:v>
      </x:c>
      <x:c r="G1092" s="17" t="n">
        <x:v>360823089.7999994</x:v>
      </x:c>
      <x:c r="H1092" s="17" t="n">
        <x:v>718290425.0582347</x:v>
      </x:c>
      <x:c r="I1092" s="17" t="n">
        <x:v>807916952.66796</x:v>
      </x:c>
      <x:c r="J1092" s="2" t="str">
        <x:v>m2</x:v>
      </x:c>
      <x:c r="K1092" s="15" t="n">
        <x:f>IF(AND(ISNUMBER(F1092),ISNUMBER(G1092),F1092&gt;0),G1092/F1092-1,"n.a.")</x:f>
        <x:v>0.13471928522312804</x:v>
      </x:c>
      <x:c r="L1092" s="15" t="n">
        <x:f>IF(AND(N1092,ISNUMBER(H1092),ISNUMBER(I1092),H1092&gt;0),I1092/H1092-1,"n.a.")</x:f>
        <x:v>0.12477756139163199</x:v>
      </x:c>
      <x:c r="M1092" s="20" t="n">
        <x:f>IF(AND(ISNUMBER(K1092),ISNUMBER(L1092)),100*(K1092-L1092),"n.a.")</x:f>
        <x:v>0.9941723831496052</x:v>
      </x:c>
      <x:c r="N1092" s="13" t="b">
        <x:v>1</x:v>
      </x:c>
      <x:c r="O1092" s="13" t="b">
        <x:v>1</x:v>
      </x:c>
      <x:c r="P1092" s="13" t="b">
        <x:v>0</x:v>
      </x:c>
      <x:c r="Q1092" s="2" t="str">
        <x:v>L1_numeric_partition_qualified_not_national_completeness</x:v>
      </x:c>
      <x:c r="R1092" s="2" t="str">
        <x:v>L1_numeric_partition_qualified_not_national_completeness</x:v>
      </x:c>
      <x:c r="S1092" s="2" t="str">
        <x:v>historical_GHSL_BU_estimate</x:v>
      </x:c>
      <x:c r="T1092" s="2" t="str">
        <x:v>historical_GHSL_BU_estimate</x:v>
      </x:c>
      <x:c r="U1092" s="2" t="str">
        <x:v>GFA growth versus source physical quantity growth; constant conversion required for equality</x:v>
      </x:c>
      <x:c r="V1092" s="2" t="str">
        <x:v>Future horizontal path is already a v16 driver; WUP historical surface derives from GHSL</x:v>
      </x:c>
      <x:c r="W1092" s="2" t="str">
        <x:v>https://human-settlement.emergency.copernicus.eu/datasets.php</x:v>
      </x:c>
    </x:row>
    <x:row r="1093" ht="23" customHeight="1">
      <x:c r="A1093" s="2" t="str">
        <x:v>MDV</x:v>
      </x:c>
      <x:c r="B1093" s="2" t="str">
        <x:v>Maldives (Republic of)</x:v>
      </x:c>
      <x:c r="C1093" s="2" t="str">
        <x:v>WUP_SURFACE</x:v>
      </x:c>
      <x:c r="D1093" s="2" t="n">
        <x:v>2015</x:v>
      </x:c>
      <x:c r="E1093" s="2" t="n">
        <x:v>2020</x:v>
      </x:c>
      <x:c r="F1093" s="17" t="n">
        <x:v>2180948.3287212565</x:v>
      </x:c>
      <x:c r="G1093" s="17" t="n">
        <x:v>2206666.830000001</x:v>
      </x:c>
      <x:c r="H1093" s="17" t="n">
        <x:v>6256418.00692074</x:v>
      </x:c>
      <x:c r="I1093" s="17" t="n">
        <x:v>6356477.007677995</x:v>
      </x:c>
      <x:c r="J1093" s="2" t="str">
        <x:v>m2</x:v>
      </x:c>
      <x:c r="K1093" s="15" t="n">
        <x:f>IF(AND(ISNUMBER(F1093),ISNUMBER(G1093),F1093&gt;0),G1093/F1093-1,"n.a.")</x:f>
        <x:v>0.011792347824133964</x:v>
      </x:c>
      <x:c r="L1093" s="15" t="n">
        <x:f>IF(AND(N1093,ISNUMBER(H1093),ISNUMBER(I1093),H1093&gt;0),I1093/H1093-1,"n.a.")</x:f>
        <x:v>0.015993017193955295</x:v>
      </x:c>
      <x:c r="M1093" s="20" t="n">
        <x:f>IF(AND(ISNUMBER(K1093),ISNUMBER(L1093)),100*(K1093-L1093),"n.a.")</x:f>
        <x:v>-0.42006693698213304</x:v>
      </x:c>
      <x:c r="N1093" s="13" t="b">
        <x:v>1</x:v>
      </x:c>
      <x:c r="O1093" s="13" t="b">
        <x:v>1</x:v>
      </x:c>
      <x:c r="P1093" s="13" t="b">
        <x:v>0</x:v>
      </x:c>
      <x:c r="Q1093" s="2" t="str">
        <x:v>L1_numeric_partition_qualified_not_national_completeness</x:v>
      </x:c>
      <x:c r="R1093" s="2" t="str">
        <x:v>L1_numeric_partition_qualified_not_national_completeness</x:v>
      </x:c>
      <x:c r="S1093" s="2" t="str">
        <x:v>historical_GHSL_BU_estimate</x:v>
      </x:c>
      <x:c r="T1093" s="2" t="str">
        <x:v>historical_GHSL_BU_estimate</x:v>
      </x:c>
      <x:c r="U1093" s="2" t="str">
        <x:v>GFA growth versus source physical quantity growth; constant conversion required for equality</x:v>
      </x:c>
      <x:c r="V1093" s="2" t="str">
        <x:v>Future horizontal path is already a v16 driver; WUP historical surface derives from GHSL</x:v>
      </x:c>
      <x:c r="W1093" s="2" t="str">
        <x:v>https://human-settlement.emergency.copernicus.eu/datasets.php</x:v>
      </x:c>
    </x:row>
    <x:row r="1094" ht="23" customHeight="1">
      <x:c r="A1094" s="2" t="str">
        <x:v>MEX</x:v>
      </x:c>
      <x:c r="B1094" s="2" t="str">
        <x:v>Mexico (United Mexican States)</x:v>
      </x:c>
      <x:c r="C1094" s="2" t="str">
        <x:v>WUP_SURFACE</x:v>
      </x:c>
      <x:c r="D1094" s="2" t="n">
        <x:v>2015</x:v>
      </x:c>
      <x:c r="E1094" s="2" t="n">
        <x:v>2020</x:v>
      </x:c>
      <x:c r="F1094" s="17" t="n">
        <x:v>5563232285.719894</x:v>
      </x:c>
      <x:c r="G1094" s="17" t="n">
        <x:v>6345872319.039995</x:v>
      </x:c>
      <x:c r="H1094" s="17" t="n">
        <x:v>8611598082.420708</x:v>
      </x:c>
      <x:c r="I1094" s="17" t="n">
        <x:v>9762805907.018768</x:v>
      </x:c>
      <x:c r="J1094" s="2" t="str">
        <x:v>m2</x:v>
      </x:c>
      <x:c r="K1094" s="15" t="n">
        <x:f>IF(AND(ISNUMBER(F1094),ISNUMBER(G1094),F1094&gt;0),G1094/F1094-1,"n.a.")</x:f>
        <x:v>0.14068081164416557</x:v>
      </x:c>
      <x:c r="L1094" s="15" t="n">
        <x:f>IF(AND(N1094,ISNUMBER(H1094),ISNUMBER(I1094),H1094&gt;0),I1094/H1094-1,"n.a.")</x:f>
        <x:v>0.1336810907313568</x:v>
      </x:c>
      <x:c r="M1094" s="20" t="n">
        <x:f>IF(AND(ISNUMBER(K1094),ISNUMBER(L1094)),100*(K1094-L1094),"n.a.")</x:f>
        <x:v>0.699972091280876</x:v>
      </x:c>
      <x:c r="N1094" s="13" t="b">
        <x:v>1</x:v>
      </x:c>
      <x:c r="O1094" s="13" t="b">
        <x:v>1</x:v>
      </x:c>
      <x:c r="P1094" s="13" t="b">
        <x:v>0</x:v>
      </x:c>
      <x:c r="Q1094" s="2" t="str">
        <x:v>L1_numeric_partition_qualified_not_national_completeness</x:v>
      </x:c>
      <x:c r="R1094" s="2" t="str">
        <x:v>L1_numeric_partition_qualified_not_national_completeness</x:v>
      </x:c>
      <x:c r="S1094" s="2" t="str">
        <x:v>historical_GHSL_BU_estimate</x:v>
      </x:c>
      <x:c r="T1094" s="2" t="str">
        <x:v>historical_GHSL_BU_estimate</x:v>
      </x:c>
      <x:c r="U1094" s="2" t="str">
        <x:v>GFA growth versus source physical quantity growth; constant conversion required for equality</x:v>
      </x:c>
      <x:c r="V1094" s="2" t="str">
        <x:v>Future horizontal path is already a v16 driver; WUP historical surface derives from GHSL</x:v>
      </x:c>
      <x:c r="W1094" s="2" t="str">
        <x:v>https://human-settlement.emergency.copernicus.eu/datasets.php</x:v>
      </x:c>
    </x:row>
    <x:row r="1095" ht="23" customHeight="1">
      <x:c r="A1095" s="2" t="str">
        <x:v>MHL</x:v>
      </x:c>
      <x:c r="B1095" s="2" t="str">
        <x:v>Marshall Islands (Republic of the)</x:v>
      </x:c>
      <x:c r="C1095" s="2" t="str">
        <x:v>WUP_SURFACE</x:v>
      </x:c>
      <x:c r="D1095" s="2" t="n">
        <x:v>2015</x:v>
      </x:c>
      <x:c r="E1095" s="2" t="n">
        <x:v>2020</x:v>
      </x:c>
      <x:c r="F1095" s="17" t="n">
        <x:v>195648.419756377</x:v>
      </x:c>
      <x:c r="G1095" s="17" t="n">
        <x:v>198896.74</x:v>
      </x:c>
      <x:c r="H1095" s="17" t="n">
        <x:v>2384917.9993865164</x:v>
      </x:c>
      <x:c r="I1095" s="17" t="n">
        <x:v>2419459.9983580927</x:v>
      </x:c>
      <x:c r="J1095" s="2" t="str">
        <x:v>m2</x:v>
      </x:c>
      <x:c r="K1095" s="15" t="n">
        <x:f>IF(AND(ISNUMBER(F1095),ISNUMBER(G1095),F1095&gt;0),G1095/F1095-1,"n.a.")</x:f>
        <x:v>0.01660284426354086</x:v>
      </x:c>
      <x:c r="L1095" s="15" t="n">
        <x:f>IF(AND(N1095,ISNUMBER(H1095),ISNUMBER(I1095),H1095&gt;0),I1095/H1095-1,"n.a.")</x:f>
        <x:v>0.014483516406208485</x:v>
      </x:c>
      <x:c r="M1095" s="20" t="n">
        <x:f>IF(AND(ISNUMBER(K1095),ISNUMBER(L1095)),100*(K1095-L1095),"n.a.")</x:f>
        <x:v>0.2119327857332376</x:v>
      </x:c>
      <x:c r="N1095" s="13" t="b">
        <x:v>1</x:v>
      </x:c>
      <x:c r="O1095" s="13" t="b">
        <x:v>1</x:v>
      </x:c>
      <x:c r="P1095" s="13" t="b">
        <x:v>0</x:v>
      </x:c>
      <x:c r="Q1095" s="2" t="str">
        <x:v>L1_numeric_partition_qualified_not_national_completeness</x:v>
      </x:c>
      <x:c r="R1095" s="2" t="str">
        <x:v>L1_numeric_partition_qualified_not_national_completeness</x:v>
      </x:c>
      <x:c r="S1095" s="2" t="str">
        <x:v>historical_GHSL_BU_estimate</x:v>
      </x:c>
      <x:c r="T1095" s="2" t="str">
        <x:v>historical_GHSL_BU_estimate</x:v>
      </x:c>
      <x:c r="U1095" s="2" t="str">
        <x:v>GFA growth versus source physical quantity growth; constant conversion required for equality</x:v>
      </x:c>
      <x:c r="V1095" s="2" t="str">
        <x:v>Future horizontal path is already a v16 driver; WUP historical surface derives from GHSL</x:v>
      </x:c>
      <x:c r="W1095" s="2" t="str">
        <x:v>https://human-settlement.emergency.copernicus.eu/datasets.php</x:v>
      </x:c>
    </x:row>
    <x:row r="1096" ht="23" customHeight="1">
      <x:c r="A1096" s="2" t="str">
        <x:v>MKD</x:v>
      </x:c>
      <x:c r="B1096" s="2" t="str">
        <x:v>North Macedonia (Republic of)</x:v>
      </x:c>
      <x:c r="C1096" s="2" t="str">
        <x:v>WUP_SURFACE</x:v>
      </x:c>
      <x:c r="D1096" s="2" t="n">
        <x:v>2015</x:v>
      </x:c>
      <x:c r="E1096" s="2" t="n">
        <x:v>2020</x:v>
      </x:c>
      <x:c r="F1096" s="17" t="n">
        <x:v>114316435.8808353</x:v>
      </x:c>
      <x:c r="G1096" s="17" t="n">
        <x:v>122189801.58999982</x:v>
      </x:c>
      <x:c r="H1096" s="17" t="n">
        <x:v>164993688.11892828</x:v>
      </x:c>
      <x:c r="I1096" s="17" t="n">
        <x:v>176132168.96862137</x:v>
      </x:c>
      <x:c r="J1096" s="2" t="str">
        <x:v>m2</x:v>
      </x:c>
      <x:c r="K1096" s="15" t="n">
        <x:f>IF(AND(ISNUMBER(F1096),ISNUMBER(G1096),F1096&gt;0),G1096/F1096-1,"n.a.")</x:f>
        <x:v>0.06887343581435501</x:v>
      </x:c>
      <x:c r="L1096" s="15" t="n">
        <x:f>IF(AND(N1096,ISNUMBER(H1096),ISNUMBER(I1096),H1096&gt;0),I1096/H1096-1,"n.a.")</x:f>
        <x:v>0.06750852700295074</x:v>
      </x:c>
      <x:c r="M1096" s="20" t="n">
        <x:f>IF(AND(ISNUMBER(K1096),ISNUMBER(L1096)),100*(K1096-L1096),"n.a.")</x:f>
        <x:v>0.1364908811404275</x:v>
      </x:c>
      <x:c r="N1096" s="13" t="b">
        <x:v>1</x:v>
      </x:c>
      <x:c r="O1096" s="13" t="b">
        <x:v>1</x:v>
      </x:c>
      <x:c r="P1096" s="13" t="b">
        <x:v>0</x:v>
      </x:c>
      <x:c r="Q1096" s="2" t="str">
        <x:v>L1_numeric_partition_qualified_not_national_completeness</x:v>
      </x:c>
      <x:c r="R1096" s="2" t="str">
        <x:v>L1_numeric_partition_qualified_not_national_completeness</x:v>
      </x:c>
      <x:c r="S1096" s="2" t="str">
        <x:v>historical_GHSL_BU_estimate</x:v>
      </x:c>
      <x:c r="T1096" s="2" t="str">
        <x:v>historical_GHSL_BU_estimate</x:v>
      </x:c>
      <x:c r="U1096" s="2" t="str">
        <x:v>GFA growth versus source physical quantity growth; constant conversion required for equality</x:v>
      </x:c>
      <x:c r="V1096" s="2" t="str">
        <x:v>Future horizontal path is already a v16 driver; WUP historical surface derives from GHSL</x:v>
      </x:c>
      <x:c r="W1096" s="2" t="str">
        <x:v>https://human-settlement.emergency.copernicus.eu/datasets.php</x:v>
      </x:c>
    </x:row>
    <x:row r="1097" ht="23" customHeight="1">
      <x:c r="A1097" s="2" t="str">
        <x:v>MLI</x:v>
      </x:c>
      <x:c r="B1097" s="2" t="str">
        <x:v>Mali (Republic of)</x:v>
      </x:c>
      <x:c r="C1097" s="2" t="str">
        <x:v>WUP_SURFACE</x:v>
      </x:c>
      <x:c r="D1097" s="2" t="n">
        <x:v>2015</x:v>
      </x:c>
      <x:c r="E1097" s="2" t="n">
        <x:v>2020</x:v>
      </x:c>
      <x:c r="F1097" s="17" t="n">
        <x:v>292905544.7978866</x:v>
      </x:c>
      <x:c r="G1097" s="17" t="n">
        <x:v>323707340.7500005</x:v>
      </x:c>
      <x:c r="H1097" s="17" t="n">
        <x:v>941149601.0803192</x:v>
      </x:c>
      <x:c r="I1097" s="17" t="n">
        <x:v>1033475440.1502903</x:v>
      </x:c>
      <x:c r="J1097" s="2" t="str">
        <x:v>m2</x:v>
      </x:c>
      <x:c r="K1097" s="15" t="n">
        <x:f>IF(AND(ISNUMBER(F1097),ISNUMBER(G1097),F1097&gt;0),G1097/F1097-1,"n.a.")</x:f>
        <x:v>0.10515948400146535</x:v>
      </x:c>
      <x:c r="L1097" s="15" t="n">
        <x:f>IF(AND(N1097,ISNUMBER(H1097),ISNUMBER(I1097),H1097&gt;0),I1097/H1097-1,"n.a.")</x:f>
        <x:v>0.09809900462582455</x:v>
      </x:c>
      <x:c r="M1097" s="20" t="n">
        <x:f>IF(AND(ISNUMBER(K1097),ISNUMBER(L1097)),100*(K1097-L1097),"n.a.")</x:f>
        <x:v>0.7060479375640805</x:v>
      </x:c>
      <x:c r="N1097" s="13" t="b">
        <x:v>1</x:v>
      </x:c>
      <x:c r="O1097" s="13" t="b">
        <x:v>1</x:v>
      </x:c>
      <x:c r="P1097" s="13" t="b">
        <x:v>0</x:v>
      </x:c>
      <x:c r="Q1097" s="2" t="str">
        <x:v>L1_numeric_partition_qualified_not_national_completeness</x:v>
      </x:c>
      <x:c r="R1097" s="2" t="str">
        <x:v>L1_numeric_partition_qualified_not_national_completeness</x:v>
      </x:c>
      <x:c r="S1097" s="2" t="str">
        <x:v>historical_GHSL_BU_estimate</x:v>
      </x:c>
      <x:c r="T1097" s="2" t="str">
        <x:v>historical_GHSL_BU_estimate</x:v>
      </x:c>
      <x:c r="U1097" s="2" t="str">
        <x:v>GFA growth versus source physical quantity growth; constant conversion required for equality</x:v>
      </x:c>
      <x:c r="V1097" s="2" t="str">
        <x:v>Future horizontal path is already a v16 driver; WUP historical surface derives from GHSL</x:v>
      </x:c>
      <x:c r="W1097" s="2" t="str">
        <x:v>https://human-settlement.emergency.copernicus.eu/datasets.php</x:v>
      </x:c>
    </x:row>
    <x:row r="1098" ht="23" customHeight="1">
      <x:c r="A1098" s="2" t="str">
        <x:v>MLT</x:v>
      </x:c>
      <x:c r="B1098" s="2" t="str">
        <x:v>Malta (Republic of)</x:v>
      </x:c>
      <x:c r="C1098" s="2" t="str">
        <x:v>WUP_SURFACE</x:v>
      </x:c>
      <x:c r="D1098" s="2" t="n">
        <x:v>2015</x:v>
      </x:c>
      <x:c r="E1098" s="2" t="n">
        <x:v>2020</x:v>
      </x:c>
      <x:c r="F1098" s="17" t="n">
        <x:v>33156469.088490263</x:v>
      </x:c>
      <x:c r="G1098" s="17" t="n">
        <x:v>35087387.829999976</x:v>
      </x:c>
      <x:c r="H1098" s="17" t="n">
        <x:v>33163623.955393177</x:v>
      </x:c>
      <x:c r="I1098" s="17" t="n">
        <x:v>34904095.010637775</x:v>
      </x:c>
      <x:c r="J1098" s="2" t="str">
        <x:v>m2</x:v>
      </x:c>
      <x:c r="K1098" s="15" t="n">
        <x:f>IF(AND(ISNUMBER(F1098),ISNUMBER(G1098),F1098&gt;0),G1098/F1098-1,"n.a.")</x:f>
        <x:v>0.058236561207900106</x:v>
      </x:c>
      <x:c r="L1098" s="15" t="n">
        <x:f>IF(AND(N1098,ISNUMBER(H1098),ISNUMBER(I1098),H1098&gt;0),I1098/H1098-1,"n.a.")</x:f>
        <x:v>0.052481328867605814</x:v>
      </x:c>
      <x:c r="M1098" s="20" t="n">
        <x:f>IF(AND(ISNUMBER(K1098),ISNUMBER(L1098)),100*(K1098-L1098),"n.a.")</x:f>
        <x:v>0.5755232340294292</x:v>
      </x:c>
      <x:c r="N1098" s="13" t="b">
        <x:v>1</x:v>
      </x:c>
      <x:c r="O1098" s="13" t="b">
        <x:v>1</x:v>
      </x:c>
      <x:c r="P1098" s="13" t="b">
        <x:v>0</x:v>
      </x:c>
      <x:c r="Q1098" s="2" t="str">
        <x:v>L1_numeric_partition_qualified_not_national_completeness</x:v>
      </x:c>
      <x:c r="R1098" s="2" t="str">
        <x:v>L1_numeric_partition_qualified_not_national_completeness</x:v>
      </x:c>
      <x:c r="S1098" s="2" t="str">
        <x:v>historical_GHSL_BU_estimate</x:v>
      </x:c>
      <x:c r="T1098" s="2" t="str">
        <x:v>historical_GHSL_BU_estimate</x:v>
      </x:c>
      <x:c r="U1098" s="2" t="str">
        <x:v>GFA growth versus source physical quantity growth; constant conversion required for equality</x:v>
      </x:c>
      <x:c r="V1098" s="2" t="str">
        <x:v>Future horizontal path is already a v16 driver; WUP historical surface derives from GHSL</x:v>
      </x:c>
      <x:c r="W1098" s="2" t="str">
        <x:v>https://human-settlement.emergency.copernicus.eu/datasets.php</x:v>
      </x:c>
    </x:row>
    <x:row r="1099" ht="23" customHeight="1">
      <x:c r="A1099" s="2" t="str">
        <x:v>MMR</x:v>
      </x:c>
      <x:c r="B1099" s="2" t="str">
        <x:v>Myanmar (Republic of the Union of)</x:v>
      </x:c>
      <x:c r="C1099" s="2" t="str">
        <x:v>WUP_SURFACE</x:v>
      </x:c>
      <x:c r="D1099" s="2" t="n">
        <x:v>2015</x:v>
      </x:c>
      <x:c r="E1099" s="2" t="n">
        <x:v>2020</x:v>
      </x:c>
      <x:c r="F1099" s="17" t="n">
        <x:v>1286938747.3309321</x:v>
      </x:c>
      <x:c r="G1099" s="17" t="n">
        <x:v>1377164281.6799977</x:v>
      </x:c>
      <x:c r="H1099" s="17" t="n">
        <x:v>1152074237.359281</x:v>
      </x:c>
      <x:c r="I1099" s="17" t="n">
        <x:v>1226236717.688602</x:v>
      </x:c>
      <x:c r="J1099" s="2" t="str">
        <x:v>m2</x:v>
      </x:c>
      <x:c r="K1099" s="15" t="n">
        <x:f>IF(AND(ISNUMBER(F1099),ISNUMBER(G1099),F1099&gt;0),G1099/F1099-1,"n.a.")</x:f>
        <x:v>0.0701086470014134</x:v>
      </x:c>
      <x:c r="L1099" s="15" t="n">
        <x:f>IF(AND(N1099,ISNUMBER(H1099),ISNUMBER(I1099),H1099&gt;0),I1099/H1099-1,"n.a.")</x:f>
        <x:v>0.06437300472868124</x:v>
      </x:c>
      <x:c r="M1099" s="20" t="n">
        <x:f>IF(AND(ISNUMBER(K1099),ISNUMBER(L1099)),100*(K1099-L1099),"n.a.")</x:f>
        <x:v>0.5735642272732155</x:v>
      </x:c>
      <x:c r="N1099" s="13" t="b">
        <x:v>1</x:v>
      </x:c>
      <x:c r="O1099" s="13" t="b">
        <x:v>1</x:v>
      </x:c>
      <x:c r="P1099" s="13" t="b">
        <x:v>0</x:v>
      </x:c>
      <x:c r="Q1099" s="2" t="str">
        <x:v>L1_numeric_partition_qualified_not_national_completeness</x:v>
      </x:c>
      <x:c r="R1099" s="2" t="str">
        <x:v>L1_numeric_partition_qualified_not_national_completeness</x:v>
      </x:c>
      <x:c r="S1099" s="2" t="str">
        <x:v>historical_GHSL_BU_estimate</x:v>
      </x:c>
      <x:c r="T1099" s="2" t="str">
        <x:v>historical_GHSL_BU_estimate</x:v>
      </x:c>
      <x:c r="U1099" s="2" t="str">
        <x:v>GFA growth versus source physical quantity growth; constant conversion required for equality</x:v>
      </x:c>
      <x:c r="V1099" s="2" t="str">
        <x:v>Future horizontal path is already a v16 driver; WUP historical surface derives from GHSL</x:v>
      </x:c>
      <x:c r="W1099" s="2" t="str">
        <x:v>https://human-settlement.emergency.copernicus.eu/datasets.php</x:v>
      </x:c>
    </x:row>
    <x:row r="1100" ht="23" customHeight="1">
      <x:c r="A1100" s="2" t="str">
        <x:v>MNE</x:v>
      </x:c>
      <x:c r="B1100" s="2" t="str">
        <x:v>Montenegro</x:v>
      </x:c>
      <x:c r="C1100" s="2" t="str">
        <x:v>WUP_SURFACE</x:v>
      </x:c>
      <x:c r="D1100" s="2" t="n">
        <x:v>2015</x:v>
      </x:c>
      <x:c r="E1100" s="2" t="n">
        <x:v>2020</x:v>
      </x:c>
      <x:c r="F1100" s="17" t="n">
        <x:v>36534168.559464976</x:v>
      </x:c>
      <x:c r="G1100" s="17" t="n">
        <x:v>39447648.85999995</x:v>
      </x:c>
      <x:c r="H1100" s="17" t="n">
        <x:v>37523918.00635417</x:v>
      </x:c>
      <x:c r="I1100" s="17" t="n">
        <x:v>40512506.12172407</x:v>
      </x:c>
      <x:c r="J1100" s="2" t="str">
        <x:v>m2</x:v>
      </x:c>
      <x:c r="K1100" s="15" t="n">
        <x:f>IF(AND(ISNUMBER(F1100),ISNUMBER(G1100),F1100&gt;0),G1100/F1100-1,"n.a.")</x:f>
        <x:v>0.07974672520035142</x:v>
      </x:c>
      <x:c r="L1100" s="15" t="n">
        <x:f>IF(AND(N1100,ISNUMBER(H1100),ISNUMBER(I1100),H1100&gt;0),I1100/H1100-1,"n.a.")</x:f>
        <x:v>0.07964488449377338</x:v>
      </x:c>
      <x:c r="M1100" s="20" t="n">
        <x:f>IF(AND(ISNUMBER(K1100),ISNUMBER(L1100)),100*(K1100-L1100),"n.a.")</x:f>
        <x:v>0.010184070657803801</x:v>
      </x:c>
      <x:c r="N1100" s="13" t="b">
        <x:v>1</x:v>
      </x:c>
      <x:c r="O1100" s="13" t="b">
        <x:v>1</x:v>
      </x:c>
      <x:c r="P1100" s="13" t="b">
        <x:v>0</x:v>
      </x:c>
      <x:c r="Q1100" s="2" t="str">
        <x:v>L1_numeric_partition_qualified_not_national_completeness</x:v>
      </x:c>
      <x:c r="R1100" s="2" t="str">
        <x:v>L1_numeric_partition_qualified_not_national_completeness</x:v>
      </x:c>
      <x:c r="S1100" s="2" t="str">
        <x:v>historical_GHSL_BU_estimate</x:v>
      </x:c>
      <x:c r="T1100" s="2" t="str">
        <x:v>historical_GHSL_BU_estimate</x:v>
      </x:c>
      <x:c r="U1100" s="2" t="str">
        <x:v>GFA growth versus source physical quantity growth; constant conversion required for equality</x:v>
      </x:c>
      <x:c r="V1100" s="2" t="str">
        <x:v>Future horizontal path is already a v16 driver; WUP historical surface derives from GHSL</x:v>
      </x:c>
      <x:c r="W1100" s="2" t="str">
        <x:v>https://human-settlement.emergency.copernicus.eu/datasets.php</x:v>
      </x:c>
    </x:row>
    <x:row r="1101" ht="23" customHeight="1">
      <x:c r="A1101" s="2" t="str">
        <x:v>MNG</x:v>
      </x:c>
      <x:c r="B1101" s="2" t="str">
        <x:v>Mongolia</x:v>
      </x:c>
      <x:c r="C1101" s="2" t="str">
        <x:v>WUP_SURFACE</x:v>
      </x:c>
      <x:c r="D1101" s="2" t="n">
        <x:v>2015</x:v>
      </x:c>
      <x:c r="E1101" s="2" t="n">
        <x:v>2020</x:v>
      </x:c>
      <x:c r="F1101" s="17" t="n">
        <x:v>80989306.79948433</x:v>
      </x:c>
      <x:c r="G1101" s="17" t="n">
        <x:v>83342838.68000013</x:v>
      </x:c>
      <x:c r="H1101" s="17" t="n">
        <x:v>157487542.0411804</x:v>
      </x:c>
      <x:c r="I1101" s="17" t="n">
        <x:v>160899892.81459567</x:v>
      </x:c>
      <x:c r="J1101" s="2" t="str">
        <x:v>m2</x:v>
      </x:c>
      <x:c r="K1101" s="15" t="n">
        <x:f>IF(AND(ISNUMBER(F1101),ISNUMBER(G1101),F1101&gt;0),G1101/F1101-1,"n.a.")</x:f>
        <x:v>0.029059785464552013</x:v>
      </x:c>
      <x:c r="L1101" s="15" t="n">
        <x:f>IF(AND(N1101,ISNUMBER(H1101),ISNUMBER(I1101),H1101&gt;0),I1101/H1101-1,"n.a.")</x:f>
        <x:v>0.021667433050183593</x:v>
      </x:c>
      <x:c r="M1101" s="20" t="n">
        <x:f>IF(AND(ISNUMBER(K1101),ISNUMBER(L1101)),100*(K1101-L1101),"n.a.")</x:f>
        <x:v>0.7392352414368419</x:v>
      </x:c>
      <x:c r="N1101" s="13" t="b">
        <x:v>1</x:v>
      </x:c>
      <x:c r="O1101" s="13" t="b">
        <x:v>1</x:v>
      </x:c>
      <x:c r="P1101" s="13" t="b">
        <x:v>0</x:v>
      </x:c>
      <x:c r="Q1101" s="2" t="str">
        <x:v>L1_numeric_partition_qualified_not_national_completeness</x:v>
      </x:c>
      <x:c r="R1101" s="2" t="str">
        <x:v>L1_numeric_partition_qualified_not_national_completeness</x:v>
      </x:c>
      <x:c r="S1101" s="2" t="str">
        <x:v>historical_GHSL_BU_estimate</x:v>
      </x:c>
      <x:c r="T1101" s="2" t="str">
        <x:v>historical_GHSL_BU_estimate</x:v>
      </x:c>
      <x:c r="U1101" s="2" t="str">
        <x:v>GFA growth versus source physical quantity growth; constant conversion required for equality</x:v>
      </x:c>
      <x:c r="V1101" s="2" t="str">
        <x:v>Future horizontal path is already a v16 driver; WUP historical surface derives from GHSL</x:v>
      </x:c>
      <x:c r="W1101" s="2" t="str">
        <x:v>https://human-settlement.emergency.copernicus.eu/datasets.php</x:v>
      </x:c>
    </x:row>
    <x:row r="1102" ht="23" customHeight="1">
      <x:c r="A1102" s="2" t="str">
        <x:v>MOZ</x:v>
      </x:c>
      <x:c r="B1102" s="2" t="str">
        <x:v>Mozambique (Republic of)</x:v>
      </x:c>
      <x:c r="C1102" s="2" t="str">
        <x:v>WUP_SURFACE</x:v>
      </x:c>
      <x:c r="D1102" s="2" t="n">
        <x:v>2015</x:v>
      </x:c>
      <x:c r="E1102" s="2" t="n">
        <x:v>2020</x:v>
      </x:c>
      <x:c r="F1102" s="17" t="n">
        <x:v>435532536.29439145</x:v>
      </x:c>
      <x:c r="G1102" s="17" t="n">
        <x:v>540811235.5300008</x:v>
      </x:c>
      <x:c r="H1102" s="17" t="n">
        <x:v>1579703911.9137602</x:v>
      </x:c>
      <x:c r="I1102" s="17" t="n">
        <x:v>1946079434.3725688</x:v>
      </x:c>
      <x:c r="J1102" s="2" t="str">
        <x:v>m2</x:v>
      </x:c>
      <x:c r="K1102" s="15" t="n">
        <x:f>IF(AND(ISNUMBER(F1102),ISNUMBER(G1102),F1102&gt;0),G1102/F1102-1,"n.a.")</x:f>
        <x:v>0.24172407446604138</x:v>
      </x:c>
      <x:c r="L1102" s="15" t="n">
        <x:f>IF(AND(N1102,ISNUMBER(H1102),ISNUMBER(I1102),H1102&gt;0),I1102/H1102-1,"n.a.")</x:f>
        <x:v>0.2319267045524731</x:v>
      </x:c>
      <x:c r="M1102" s="20" t="n">
        <x:f>IF(AND(ISNUMBER(K1102),ISNUMBER(L1102)),100*(K1102-L1102),"n.a.")</x:f>
        <x:v>0.9797369913568277</x:v>
      </x:c>
      <x:c r="N1102" s="13" t="b">
        <x:v>1</x:v>
      </x:c>
      <x:c r="O1102" s="13" t="b">
        <x:v>1</x:v>
      </x:c>
      <x:c r="P1102" s="13" t="b">
        <x:v>0</x:v>
      </x:c>
      <x:c r="Q1102" s="2" t="str">
        <x:v>L1_numeric_partition_qualified_not_national_completeness</x:v>
      </x:c>
      <x:c r="R1102" s="2" t="str">
        <x:v>L1_numeric_partition_qualified_not_national_completeness</x:v>
      </x:c>
      <x:c r="S1102" s="2" t="str">
        <x:v>historical_GHSL_BU_estimate</x:v>
      </x:c>
      <x:c r="T1102" s="2" t="str">
        <x:v>historical_GHSL_BU_estimate</x:v>
      </x:c>
      <x:c r="U1102" s="2" t="str">
        <x:v>GFA growth versus source physical quantity growth; constant conversion required for equality</x:v>
      </x:c>
      <x:c r="V1102" s="2" t="str">
        <x:v>Future horizontal path is already a v16 driver; WUP historical surface derives from GHSL</x:v>
      </x:c>
      <x:c r="W1102" s="2" t="str">
        <x:v>https://human-settlement.emergency.copernicus.eu/datasets.php</x:v>
      </x:c>
    </x:row>
    <x:row r="1103" ht="23" customHeight="1">
      <x:c r="A1103" s="2" t="str">
        <x:v>MRT</x:v>
      </x:c>
      <x:c r="B1103" s="2" t="str">
        <x:v>Mauritania (Islamic Republic of)</x:v>
      </x:c>
      <x:c r="C1103" s="2" t="str">
        <x:v>WUP_SURFACE</x:v>
      </x:c>
      <x:c r="D1103" s="2" t="n">
        <x:v>2015</x:v>
      </x:c>
      <x:c r="E1103" s="2" t="n">
        <x:v>2020</x:v>
      </x:c>
      <x:c r="F1103" s="17" t="n">
        <x:v>72013775.59625307</x:v>
      </x:c>
      <x:c r="G1103" s="17" t="n">
        <x:v>97384454.07000008</x:v>
      </x:c>
      <x:c r="H1103" s="17" t="n">
        <x:v>168185367.09510863</x:v>
      </x:c>
      <x:c r="I1103" s="17" t="n">
        <x:v>225713140.8755389</x:v>
      </x:c>
      <x:c r="J1103" s="2" t="str">
        <x:v>m2</x:v>
      </x:c>
      <x:c r="K1103" s="15" t="n">
        <x:f>IF(AND(ISNUMBER(F1103),ISNUMBER(G1103),F1103&gt;0),G1103/F1103-1,"n.a.")</x:f>
        <x:v>0.35230312900115557</x:v>
      </x:c>
      <x:c r="L1103" s="15" t="n">
        <x:f>IF(AND(N1103,ISNUMBER(H1103),ISNUMBER(I1103),H1103&gt;0),I1103/H1103-1,"n.a.")</x:f>
        <x:v>0.3420498154747218</x:v>
      </x:c>
      <x:c r="M1103" s="20" t="n">
        <x:f>IF(AND(ISNUMBER(K1103),ISNUMBER(L1103)),100*(K1103-L1103),"n.a.")</x:f>
        <x:v>1.0253313526433772</x:v>
      </x:c>
      <x:c r="N1103" s="13" t="b">
        <x:v>1</x:v>
      </x:c>
      <x:c r="O1103" s="13" t="b">
        <x:v>1</x:v>
      </x:c>
      <x:c r="P1103" s="13" t="b">
        <x:v>0</x:v>
      </x:c>
      <x:c r="Q1103" s="2" t="str">
        <x:v>L1_numeric_partition_qualified_not_national_completeness</x:v>
      </x:c>
      <x:c r="R1103" s="2" t="str">
        <x:v>L1_numeric_partition_qualified_not_national_completeness</x:v>
      </x:c>
      <x:c r="S1103" s="2" t="str">
        <x:v>historical_GHSL_BU_estimate</x:v>
      </x:c>
      <x:c r="T1103" s="2" t="str">
        <x:v>historical_GHSL_BU_estimate</x:v>
      </x:c>
      <x:c r="U1103" s="2" t="str">
        <x:v>GFA growth versus source physical quantity growth; constant conversion required for equality</x:v>
      </x:c>
      <x:c r="V1103" s="2" t="str">
        <x:v>Future horizontal path is already a v16 driver; WUP historical surface derives from GHSL</x:v>
      </x:c>
      <x:c r="W1103" s="2" t="str">
        <x:v>https://human-settlement.emergency.copernicus.eu/datasets.php</x:v>
      </x:c>
    </x:row>
    <x:row r="1104" ht="23" customHeight="1">
      <x:c r="A1104" s="2" t="str">
        <x:v>MUS</x:v>
      </x:c>
      <x:c r="B1104" s="2" t="str">
        <x:v>Mauritius (Republic of)</x:v>
      </x:c>
      <x:c r="C1104" s="2" t="str">
        <x:v>WUP_SURFACE</x:v>
      </x:c>
      <x:c r="D1104" s="2" t="n">
        <x:v>2015</x:v>
      </x:c>
      <x:c r="E1104" s="2" t="n">
        <x:v>2020</x:v>
      </x:c>
      <x:c r="F1104" s="17" t="n">
        <x:v>62566806.81444254</x:v>
      </x:c>
      <x:c r="G1104" s="17" t="n">
        <x:v>65152566.7100001</x:v>
      </x:c>
      <x:c r="H1104" s="17" t="n">
        <x:v>71326450.99880995</x:v>
      </x:c>
      <x:c r="I1104" s="17" t="n">
        <x:v>74043178.96130703</x:v>
      </x:c>
      <x:c r="J1104" s="2" t="str">
        <x:v>m2</x:v>
      </x:c>
      <x:c r="K1104" s="15" t="n">
        <x:f>IF(AND(ISNUMBER(F1104),ISNUMBER(G1104),F1104&gt;0),G1104/F1104-1,"n.a.")</x:f>
        <x:v>0.04132798247521685</x:v>
      </x:c>
      <x:c r="L1104" s="15" t="n">
        <x:f>IF(AND(N1104,ISNUMBER(H1104),ISNUMBER(I1104),H1104&gt;0),I1104/H1104-1,"n.a.")</x:f>
        <x:v>0.03808864627993924</x:v>
      </x:c>
      <x:c r="M1104" s="20" t="n">
        <x:f>IF(AND(ISNUMBER(K1104),ISNUMBER(L1104)),100*(K1104-L1104),"n.a.")</x:f>
        <x:v>0.3239336195277609</x:v>
      </x:c>
      <x:c r="N1104" s="13" t="b">
        <x:v>1</x:v>
      </x:c>
      <x:c r="O1104" s="13" t="b">
        <x:v>1</x:v>
      </x:c>
      <x:c r="P1104" s="13" t="b">
        <x:v>0</x:v>
      </x:c>
      <x:c r="Q1104" s="2" t="str">
        <x:v>L1_numeric_partition_qualified_not_national_completeness</x:v>
      </x:c>
      <x:c r="R1104" s="2" t="str">
        <x:v>L1_numeric_partition_qualified_not_national_completeness</x:v>
      </x:c>
      <x:c r="S1104" s="2" t="str">
        <x:v>historical_GHSL_BU_estimate</x:v>
      </x:c>
      <x:c r="T1104" s="2" t="str">
        <x:v>historical_GHSL_BU_estimate</x:v>
      </x:c>
      <x:c r="U1104" s="2" t="str">
        <x:v>GFA growth versus source physical quantity growth; constant conversion required for equality</x:v>
      </x:c>
      <x:c r="V1104" s="2" t="str">
        <x:v>Future horizontal path is already a v16 driver; WUP historical surface derives from GHSL</x:v>
      </x:c>
      <x:c r="W1104" s="2" t="str">
        <x:v>https://human-settlement.emergency.copernicus.eu/datasets.php</x:v>
      </x:c>
    </x:row>
    <x:row r="1105" ht="23" customHeight="1">
      <x:c r="A1105" s="2" t="str">
        <x:v>MWI</x:v>
      </x:c>
      <x:c r="B1105" s="2" t="str">
        <x:v>Malawi (Republic of)</x:v>
      </x:c>
      <x:c r="C1105" s="2" t="str">
        <x:v>WUP_SURFACE</x:v>
      </x:c>
      <x:c r="D1105" s="2" t="n">
        <x:v>2015</x:v>
      </x:c>
      <x:c r="E1105" s="2" t="n">
        <x:v>2020</x:v>
      </x:c>
      <x:c r="F1105" s="17" t="n">
        <x:v>275589507.2350312</x:v>
      </x:c>
      <x:c r="G1105" s="17" t="n">
        <x:v>330771641.01999974</x:v>
      </x:c>
      <x:c r="H1105" s="17" t="n">
        <x:v>922569011.0738764</x:v>
      </x:c>
      <x:c r="I1105" s="17" t="n">
        <x:v>1096645518.849963</x:v>
      </x:c>
      <x:c r="J1105" s="2" t="str">
        <x:v>m2</x:v>
      </x:c>
      <x:c r="K1105" s="15" t="n">
        <x:f>IF(AND(ISNUMBER(F1105),ISNUMBER(G1105),F1105&gt;0),G1105/F1105-1,"n.a.")</x:f>
        <x:v>0.20023307250920674</x:v>
      </x:c>
      <x:c r="L1105" s="15" t="n">
        <x:f>IF(AND(N1105,ISNUMBER(H1105),ISNUMBER(I1105),H1105&gt;0),I1105/H1105-1,"n.a.")</x:f>
        <x:v>0.18868670602046378</x:v>
      </x:c>
      <x:c r="M1105" s="20" t="n">
        <x:f>IF(AND(ISNUMBER(K1105),ISNUMBER(L1105)),100*(K1105-L1105),"n.a.")</x:f>
        <x:v>1.1546366488742965</x:v>
      </x:c>
      <x:c r="N1105" s="13" t="b">
        <x:v>1</x:v>
      </x:c>
      <x:c r="O1105" s="13" t="b">
        <x:v>1</x:v>
      </x:c>
      <x:c r="P1105" s="13" t="b">
        <x:v>0</x:v>
      </x:c>
      <x:c r="Q1105" s="2" t="str">
        <x:v>L1_numeric_partition_qualified_not_national_completeness</x:v>
      </x:c>
      <x:c r="R1105" s="2" t="str">
        <x:v>L1_numeric_partition_qualified_not_national_completeness</x:v>
      </x:c>
      <x:c r="S1105" s="2" t="str">
        <x:v>historical_GHSL_BU_estimate</x:v>
      </x:c>
      <x:c r="T1105" s="2" t="str">
        <x:v>historical_GHSL_BU_estimate</x:v>
      </x:c>
      <x:c r="U1105" s="2" t="str">
        <x:v>GFA growth versus source physical quantity growth; constant conversion required for equality</x:v>
      </x:c>
      <x:c r="V1105" s="2" t="str">
        <x:v>Future horizontal path is already a v16 driver; WUP historical surface derives from GHSL</x:v>
      </x:c>
      <x:c r="W1105" s="2" t="str">
        <x:v>https://human-settlement.emergency.copernicus.eu/datasets.php</x:v>
      </x:c>
    </x:row>
    <x:row r="1106" ht="23" customHeight="1">
      <x:c r="A1106" s="2" t="str">
        <x:v>MYS</x:v>
      </x:c>
      <x:c r="B1106" s="2" t="str">
        <x:v>Malaysia</x:v>
      </x:c>
      <x:c r="C1106" s="2" t="str">
        <x:v>WUP_SURFACE</x:v>
      </x:c>
      <x:c r="D1106" s="2" t="n">
        <x:v>2015</x:v>
      </x:c>
      <x:c r="E1106" s="2" t="n">
        <x:v>2020</x:v>
      </x:c>
      <x:c r="F1106" s="17" t="n">
        <x:v>1864992782.9575677</x:v>
      </x:c>
      <x:c r="G1106" s="17" t="n">
        <x:v>2041076673.6399992</x:v>
      </x:c>
      <x:c r="H1106" s="17" t="n">
        <x:v>1907692448.5408273</x:v>
      </x:c>
      <x:c r="I1106" s="17" t="n">
        <x:v>2067567185.869002</x:v>
      </x:c>
      <x:c r="J1106" s="2" t="str">
        <x:v>m2</x:v>
      </x:c>
      <x:c r="K1106" s="15" t="n">
        <x:f>IF(AND(ISNUMBER(F1106),ISNUMBER(G1106),F1106&gt;0),G1106/F1106-1,"n.a.")</x:f>
        <x:v>0.09441532015110088</x:v>
      </x:c>
      <x:c r="L1106" s="15" t="n">
        <x:f>IF(AND(N1106,ISNUMBER(H1106),ISNUMBER(I1106),H1106&gt;0),I1106/H1106-1,"n.a.")</x:f>
        <x:v>0.08380529967000783</x:v>
      </x:c>
      <x:c r="M1106" s="20" t="n">
        <x:f>IF(AND(ISNUMBER(K1106),ISNUMBER(L1106)),100*(K1106-L1106),"n.a.")</x:f>
        <x:v>1.0610020481093052</x:v>
      </x:c>
      <x:c r="N1106" s="13" t="b">
        <x:v>1</x:v>
      </x:c>
      <x:c r="O1106" s="13" t="b">
        <x:v>1</x:v>
      </x:c>
      <x:c r="P1106" s="13" t="b">
        <x:v>0</x:v>
      </x:c>
      <x:c r="Q1106" s="2" t="str">
        <x:v>L1_numeric_partition_qualified_not_national_completeness</x:v>
      </x:c>
      <x:c r="R1106" s="2" t="str">
        <x:v>L1_numeric_partition_qualified_not_national_completeness</x:v>
      </x:c>
      <x:c r="S1106" s="2" t="str">
        <x:v>historical_GHSL_BU_estimate</x:v>
      </x:c>
      <x:c r="T1106" s="2" t="str">
        <x:v>historical_GHSL_BU_estimate</x:v>
      </x:c>
      <x:c r="U1106" s="2" t="str">
        <x:v>GFA growth versus source physical quantity growth; constant conversion required for equality</x:v>
      </x:c>
      <x:c r="V1106" s="2" t="str">
        <x:v>Future horizontal path is already a v16 driver; WUP historical surface derives from GHSL</x:v>
      </x:c>
      <x:c r="W1106" s="2" t="str">
        <x:v>https://human-settlement.emergency.copernicus.eu/datasets.php</x:v>
      </x:c>
    </x:row>
    <x:row r="1107" ht="23" customHeight="1">
      <x:c r="A1107" s="2" t="str">
        <x:v>NAM</x:v>
      </x:c>
      <x:c r="B1107" s="2" t="str">
        <x:v>Namibia (Republic of)</x:v>
      </x:c>
      <x:c r="C1107" s="2" t="str">
        <x:v>WUP_SURFACE</x:v>
      </x:c>
      <x:c r="D1107" s="2" t="n">
        <x:v>2015</x:v>
      </x:c>
      <x:c r="E1107" s="2" t="n">
        <x:v>2020</x:v>
      </x:c>
      <x:c r="F1107" s="17" t="n">
        <x:v>89132702.8848472</x:v>
      </x:c>
      <x:c r="G1107" s="17" t="n">
        <x:v>112405609.30999991</x:v>
      </x:c>
      <x:c r="H1107" s="17" t="n">
        <x:v>241493657.19562957</x:v>
      </x:c>
      <x:c r="I1107" s="17" t="n">
        <x:v>301328274.969822</x:v>
      </x:c>
      <x:c r="J1107" s="2" t="str">
        <x:v>m2</x:v>
      </x:c>
      <x:c r="K1107" s="15" t="n">
        <x:f>IF(AND(ISNUMBER(F1107),ISNUMBER(G1107),F1107&gt;0),G1107/F1107-1,"n.a.")</x:f>
        <x:v>0.2611040131389215</x:v>
      </x:c>
      <x:c r="L1107" s="15" t="n">
        <x:f>IF(AND(N1107,ISNUMBER(H1107),ISNUMBER(I1107),H1107&gt;0),I1107/H1107-1,"n.a.")</x:f>
        <x:v>0.2477688998917329</x:v>
      </x:c>
      <x:c r="M1107" s="20" t="n">
        <x:f>IF(AND(ISNUMBER(K1107),ISNUMBER(L1107)),100*(K1107-L1107),"n.a.")</x:f>
        <x:v>1.3335113247188612</x:v>
      </x:c>
      <x:c r="N1107" s="13" t="b">
        <x:v>1</x:v>
      </x:c>
      <x:c r="O1107" s="13" t="b">
        <x:v>1</x:v>
      </x:c>
      <x:c r="P1107" s="13" t="b">
        <x:v>0</x:v>
      </x:c>
      <x:c r="Q1107" s="2" t="str">
        <x:v>L1_numeric_partition_qualified_not_national_completeness</x:v>
      </x:c>
      <x:c r="R1107" s="2" t="str">
        <x:v>L1_numeric_partition_qualified_not_national_completeness</x:v>
      </x:c>
      <x:c r="S1107" s="2" t="str">
        <x:v>historical_GHSL_BU_estimate</x:v>
      </x:c>
      <x:c r="T1107" s="2" t="str">
        <x:v>historical_GHSL_BU_estimate</x:v>
      </x:c>
      <x:c r="U1107" s="2" t="str">
        <x:v>GFA growth versus source physical quantity growth; constant conversion required for equality</x:v>
      </x:c>
      <x:c r="V1107" s="2" t="str">
        <x:v>Future horizontal path is already a v16 driver; WUP historical surface derives from GHSL</x:v>
      </x:c>
      <x:c r="W1107" s="2" t="str">
        <x:v>https://human-settlement.emergency.copernicus.eu/datasets.php</x:v>
      </x:c>
    </x:row>
    <x:row r="1108" ht="23" customHeight="1">
      <x:c r="A1108" s="2" t="str">
        <x:v>NER</x:v>
      </x:c>
      <x:c r="B1108" s="2" t="str">
        <x:v>Niger (Republic of the)</x:v>
      </x:c>
      <x:c r="C1108" s="2" t="str">
        <x:v>WUP_SURFACE</x:v>
      </x:c>
      <x:c r="D1108" s="2" t="n">
        <x:v>2015</x:v>
      </x:c>
      <x:c r="E1108" s="2" t="n">
        <x:v>2020</x:v>
      </x:c>
      <x:c r="F1108" s="17" t="n">
        <x:v>150823337.09848765</x:v>
      </x:c>
      <x:c r="G1108" s="17" t="n">
        <x:v>203236516.4300003</x:v>
      </x:c>
      <x:c r="H1108" s="17" t="n">
        <x:v>539449879.1163789</x:v>
      </x:c>
      <x:c r="I1108" s="17" t="n">
        <x:v>723520897.8383732</x:v>
      </x:c>
      <x:c r="J1108" s="2" t="str">
        <x:v>m2</x:v>
      </x:c>
      <x:c r="K1108" s="15" t="n">
        <x:f>IF(AND(ISNUMBER(F1108),ISNUMBER(G1108),F1108&gt;0),G1108/F1108-1,"n.a.")</x:f>
        <x:v>0.34751372260969693</x:v>
      </x:c>
      <x:c r="L1108" s="15" t="n">
        <x:f>IF(AND(N1108,ISNUMBER(H1108),ISNUMBER(I1108),H1108&gt;0),I1108/H1108-1,"n.a.")</x:f>
        <x:v>0.3412198720361257</x:v>
      </x:c>
      <x:c r="M1108" s="20" t="n">
        <x:f>IF(AND(ISNUMBER(K1108),ISNUMBER(L1108)),100*(K1108-L1108),"n.a.")</x:f>
        <x:v>0.6293850573571236</x:v>
      </x:c>
      <x:c r="N1108" s="13" t="b">
        <x:v>1</x:v>
      </x:c>
      <x:c r="O1108" s="13" t="b">
        <x:v>1</x:v>
      </x:c>
      <x:c r="P1108" s="13" t="b">
        <x:v>0</x:v>
      </x:c>
      <x:c r="Q1108" s="2" t="str">
        <x:v>L1_numeric_partition_qualified_not_national_completeness</x:v>
      </x:c>
      <x:c r="R1108" s="2" t="str">
        <x:v>L1_numeric_partition_qualified_not_national_completeness</x:v>
      </x:c>
      <x:c r="S1108" s="2" t="str">
        <x:v>historical_GHSL_BU_estimate</x:v>
      </x:c>
      <x:c r="T1108" s="2" t="str">
        <x:v>historical_GHSL_BU_estimate</x:v>
      </x:c>
      <x:c r="U1108" s="2" t="str">
        <x:v>GFA growth versus source physical quantity growth; constant conversion required for equality</x:v>
      </x:c>
      <x:c r="V1108" s="2" t="str">
        <x:v>Future horizontal path is already a v16 driver; WUP historical surface derives from GHSL</x:v>
      </x:c>
      <x:c r="W1108" s="2" t="str">
        <x:v>https://human-settlement.emergency.copernicus.eu/datasets.php</x:v>
      </x:c>
    </x:row>
    <x:row r="1109" ht="23" customHeight="1">
      <x:c r="A1109" s="2" t="str">
        <x:v>NGA</x:v>
      </x:c>
      <x:c r="B1109" s="2" t="str">
        <x:v>Nigeria (Federal Republic of)</x:v>
      </x:c>
      <x:c r="C1109" s="2" t="str">
        <x:v>WUP_SURFACE</x:v>
      </x:c>
      <x:c r="D1109" s="2" t="n">
        <x:v>2015</x:v>
      </x:c>
      <x:c r="E1109" s="2" t="n">
        <x:v>2020</x:v>
      </x:c>
      <x:c r="F1109" s="17" t="n">
        <x:v>3643539830.5807</x:v>
      </x:c>
      <x:c r="G1109" s="17" t="n">
        <x:v>4102804870.2700024</x:v>
      </x:c>
      <x:c r="H1109" s="17" t="n">
        <x:v>7342332928.254217</x:v>
      </x:c>
      <x:c r="I1109" s="17" t="n">
        <x:v>8191198036.130508</x:v>
      </x:c>
      <x:c r="J1109" s="2" t="str">
        <x:v>m2</x:v>
      </x:c>
      <x:c r="K1109" s="15" t="n">
        <x:f>IF(AND(ISNUMBER(F1109),ISNUMBER(G1109),F1109&gt;0),G1109/F1109-1,"n.a.")</x:f>
        <x:v>0.1260491338216292</x:v>
      </x:c>
      <x:c r="L1109" s="15" t="n">
        <x:f>IF(AND(N1109,ISNUMBER(H1109),ISNUMBER(I1109),H1109&gt;0),I1109/H1109-1,"n.a.")</x:f>
        <x:v>0.11561245127005226</x:v>
      </x:c>
      <x:c r="M1109" s="20" t="n">
        <x:f>IF(AND(ISNUMBER(K1109),ISNUMBER(L1109)),100*(K1109-L1109),"n.a.")</x:f>
        <x:v>1.0436682551576926</x:v>
      </x:c>
      <x:c r="N1109" s="13" t="b">
        <x:v>1</x:v>
      </x:c>
      <x:c r="O1109" s="13" t="b">
        <x:v>1</x:v>
      </x:c>
      <x:c r="P1109" s="13" t="b">
        <x:v>0</x:v>
      </x:c>
      <x:c r="Q1109" s="2" t="str">
        <x:v>L1_numeric_partition_qualified_not_national_completeness</x:v>
      </x:c>
      <x:c r="R1109" s="2" t="str">
        <x:v>L1_numeric_partition_qualified_not_national_completeness</x:v>
      </x:c>
      <x:c r="S1109" s="2" t="str">
        <x:v>historical_GHSL_BU_estimate</x:v>
      </x:c>
      <x:c r="T1109" s="2" t="str">
        <x:v>historical_GHSL_BU_estimate</x:v>
      </x:c>
      <x:c r="U1109" s="2" t="str">
        <x:v>GFA growth versus source physical quantity growth; constant conversion required for equality</x:v>
      </x:c>
      <x:c r="V1109" s="2" t="str">
        <x:v>Future horizontal path is already a v16 driver; WUP historical surface derives from GHSL</x:v>
      </x:c>
      <x:c r="W1109" s="2" t="str">
        <x:v>https://human-settlement.emergency.copernicus.eu/datasets.php</x:v>
      </x:c>
    </x:row>
    <x:row r="1110" ht="23" customHeight="1">
      <x:c r="A1110" s="2" t="str">
        <x:v>NIC</x:v>
      </x:c>
      <x:c r="B1110" s="2" t="str">
        <x:v>Nicaragua (Republic of)</x:v>
      </x:c>
      <x:c r="C1110" s="2" t="str">
        <x:v>WUP_SURFACE</x:v>
      </x:c>
      <x:c r="D1110" s="2" t="n">
        <x:v>2015</x:v>
      </x:c>
      <x:c r="E1110" s="2" t="n">
        <x:v>2020</x:v>
      </x:c>
      <x:c r="F1110" s="17" t="n">
        <x:v>175735308.9370167</x:v>
      </x:c>
      <x:c r="G1110" s="17" t="n">
        <x:v>201940338.64999992</x:v>
      </x:c>
      <x:c r="H1110" s="17" t="n">
        <x:v>260787878.8796662</x:v>
      </x:c>
      <x:c r="I1110" s="17" t="n">
        <x:v>298532468.20258904</x:v>
      </x:c>
      <x:c r="J1110" s="2" t="str">
        <x:v>m2</x:v>
      </x:c>
      <x:c r="K1110" s="15" t="n">
        <x:f>IF(AND(ISNUMBER(F1110),ISNUMBER(G1110),F1110&gt;0),G1110/F1110-1,"n.a.")</x:f>
        <x:v>0.14911647449503196</x:v>
      </x:c>
      <x:c r="L1110" s="15" t="n">
        <x:f>IF(AND(N1110,ISNUMBER(H1110),ISNUMBER(I1110),H1110&gt;0),I1110/H1110-1,"n.a.")</x:f>
        <x:v>0.14473291276063893</x:v>
      </x:c>
      <x:c r="M1110" s="20" t="n">
        <x:f>IF(AND(ISNUMBER(K1110),ISNUMBER(L1110)),100*(K1110-L1110),"n.a.")</x:f>
        <x:v>0.43835617343930267</x:v>
      </x:c>
      <x:c r="N1110" s="13" t="b">
        <x:v>1</x:v>
      </x:c>
      <x:c r="O1110" s="13" t="b">
        <x:v>1</x:v>
      </x:c>
      <x:c r="P1110" s="13" t="b">
        <x:v>0</x:v>
      </x:c>
      <x:c r="Q1110" s="2" t="str">
        <x:v>L1_numeric_partition_qualified_not_national_completeness</x:v>
      </x:c>
      <x:c r="R1110" s="2" t="str">
        <x:v>L1_numeric_partition_qualified_not_national_completeness</x:v>
      </x:c>
      <x:c r="S1110" s="2" t="str">
        <x:v>historical_GHSL_BU_estimate</x:v>
      </x:c>
      <x:c r="T1110" s="2" t="str">
        <x:v>historical_GHSL_BU_estimate</x:v>
      </x:c>
      <x:c r="U1110" s="2" t="str">
        <x:v>GFA growth versus source physical quantity growth; constant conversion required for equality</x:v>
      </x:c>
      <x:c r="V1110" s="2" t="str">
        <x:v>Future horizontal path is already a v16 driver; WUP historical surface derives from GHSL</x:v>
      </x:c>
      <x:c r="W1110" s="2" t="str">
        <x:v>https://human-settlement.emergency.copernicus.eu/datasets.php</x:v>
      </x:c>
    </x:row>
    <x:row r="1111" ht="23" customHeight="1">
      <x:c r="A1111" s="2" t="str">
        <x:v>NLD</x:v>
      </x:c>
      <x:c r="B1111" s="2" t="str">
        <x:v>Netherlands (Kingdom of the)</x:v>
      </x:c>
      <x:c r="C1111" s="2" t="str">
        <x:v>WUP_SURFACE</x:v>
      </x:c>
      <x:c r="D1111" s="2" t="n">
        <x:v>2015</x:v>
      </x:c>
      <x:c r="E1111" s="2" t="n">
        <x:v>2020</x:v>
      </x:c>
      <x:c r="F1111" s="17" t="n">
        <x:v>1398821482.4145422</x:v>
      </x:c>
      <x:c r="G1111" s="17" t="n">
        <x:v>1464947836.6400025</x:v>
      </x:c>
      <x:c r="H1111" s="17" t="n">
        <x:v>1840189544.9978771</x:v>
      </x:c>
      <x:c r="I1111" s="17" t="n">
        <x:v>1907111935.276258</x:v>
      </x:c>
      <x:c r="J1111" s="2" t="str">
        <x:v>m2</x:v>
      </x:c>
      <x:c r="K1111" s="15" t="n">
        <x:f>IF(AND(ISNUMBER(F1111),ISNUMBER(G1111),F1111&gt;0),G1111/F1111-1,"n.a.")</x:f>
        <x:v>0.047272904410445404</x:v>
      </x:c>
      <x:c r="L1111" s="15" t="n">
        <x:f>IF(AND(N1111,ISNUMBER(H1111),ISNUMBER(I1111),H1111&gt;0),I1111/H1111-1,"n.a.")</x:f>
        <x:v>0.03636711797450087</x:v>
      </x:c>
      <x:c r="M1111" s="20" t="n">
        <x:f>IF(AND(ISNUMBER(K1111),ISNUMBER(L1111)),100*(K1111-L1111),"n.a.")</x:f>
        <x:v>1.0905786435944531</x:v>
      </x:c>
      <x:c r="N1111" s="13" t="b">
        <x:v>1</x:v>
      </x:c>
      <x:c r="O1111" s="13" t="b">
        <x:v>1</x:v>
      </x:c>
      <x:c r="P1111" s="13" t="b">
        <x:v>0</x:v>
      </x:c>
      <x:c r="Q1111" s="2" t="str">
        <x:v>L1_numeric_partition_qualified_not_national_completeness</x:v>
      </x:c>
      <x:c r="R1111" s="2" t="str">
        <x:v>L1_numeric_partition_qualified_not_national_completeness</x:v>
      </x:c>
      <x:c r="S1111" s="2" t="str">
        <x:v>historical_GHSL_BU_estimate</x:v>
      </x:c>
      <x:c r="T1111" s="2" t="str">
        <x:v>historical_GHSL_BU_estimate</x:v>
      </x:c>
      <x:c r="U1111" s="2" t="str">
        <x:v>GFA growth versus source physical quantity growth; constant conversion required for equality</x:v>
      </x:c>
      <x:c r="V1111" s="2" t="str">
        <x:v>Future horizontal path is already a v16 driver; WUP historical surface derives from GHSL</x:v>
      </x:c>
      <x:c r="W1111" s="2" t="str">
        <x:v>https://human-settlement.emergency.copernicus.eu/datasets.php</x:v>
      </x:c>
    </x:row>
    <x:row r="1112" ht="23" customHeight="1">
      <x:c r="A1112" s="2" t="str">
        <x:v>NOR</x:v>
      </x:c>
      <x:c r="B1112" s="2" t="str">
        <x:v>Norway (Kingdom of)</x:v>
      </x:c>
      <x:c r="C1112" s="2" t="str">
        <x:v>WUP_SURFACE</x:v>
      </x:c>
      <x:c r="D1112" s="2" t="n">
        <x:v>2015</x:v>
      </x:c>
      <x:c r="E1112" s="2" t="n">
        <x:v>2020</x:v>
      </x:c>
      <x:c r="F1112" s="17" t="n">
        <x:v>444569121.96455026</x:v>
      </x:c>
      <x:c r="G1112" s="17" t="n">
        <x:v>478516256.6100005</x:v>
      </x:c>
      <x:c r="H1112" s="17" t="n">
        <x:v>376803493.82691747</x:v>
      </x:c>
      <x:c r="I1112" s="17" t="n">
        <x:v>402253104.2124926</x:v>
      </x:c>
      <x:c r="J1112" s="2" t="str">
        <x:v>m2</x:v>
      </x:c>
      <x:c r="K1112" s="15" t="n">
        <x:f>IF(AND(ISNUMBER(F1112),ISNUMBER(G1112),F1112&gt;0),G1112/F1112-1,"n.a.")</x:f>
        <x:v>0.07635963221070763</x:v>
      </x:c>
      <x:c r="L1112" s="15" t="n">
        <x:f>IF(AND(N1112,ISNUMBER(H1112),ISNUMBER(I1112),H1112&gt;0),I1112/H1112-1,"n.a.")</x:f>
        <x:v>0.06754080257351669</x:v>
      </x:c>
      <x:c r="M1112" s="20" t="n">
        <x:f>IF(AND(ISNUMBER(K1112),ISNUMBER(L1112)),100*(K1112-L1112),"n.a.")</x:f>
        <x:v>0.8818829637190939</x:v>
      </x:c>
      <x:c r="N1112" s="13" t="b">
        <x:v>1</x:v>
      </x:c>
      <x:c r="O1112" s="13" t="b">
        <x:v>1</x:v>
      </x:c>
      <x:c r="P1112" s="13" t="b">
        <x:v>0</x:v>
      </x:c>
      <x:c r="Q1112" s="2" t="str">
        <x:v>L1_numeric_partition_qualified_not_national_completeness</x:v>
      </x:c>
      <x:c r="R1112" s="2" t="str">
        <x:v>L1_numeric_partition_qualified_not_national_completeness</x:v>
      </x:c>
      <x:c r="S1112" s="2" t="str">
        <x:v>historical_GHSL_BU_estimate</x:v>
      </x:c>
      <x:c r="T1112" s="2" t="str">
        <x:v>historical_GHSL_BU_estimate</x:v>
      </x:c>
      <x:c r="U1112" s="2" t="str">
        <x:v>GFA growth versus source physical quantity growth; constant conversion required for equality</x:v>
      </x:c>
      <x:c r="V1112" s="2" t="str">
        <x:v>Future horizontal path is already a v16 driver; WUP historical surface derives from GHSL</x:v>
      </x:c>
      <x:c r="W1112" s="2" t="str">
        <x:v>https://human-settlement.emergency.copernicus.eu/datasets.php</x:v>
      </x:c>
    </x:row>
    <x:row r="1113" ht="23" customHeight="1">
      <x:c r="A1113" s="2" t="str">
        <x:v>NPL</x:v>
      </x:c>
      <x:c r="B1113" s="2" t="str">
        <x:v>Nepal (Federal Democratic Republic of)</x:v>
      </x:c>
      <x:c r="C1113" s="2" t="str">
        <x:v>WUP_SURFACE</x:v>
      </x:c>
      <x:c r="D1113" s="2" t="n">
        <x:v>2015</x:v>
      </x:c>
      <x:c r="E1113" s="2" t="n">
        <x:v>2020</x:v>
      </x:c>
      <x:c r="F1113" s="17" t="n">
        <x:v>540535876.2611996</x:v>
      </x:c>
      <x:c r="G1113" s="17" t="n">
        <x:v>656084354.4999993</x:v>
      </x:c>
      <x:c r="H1113" s="17" t="n">
        <x:v>912191279.195308</x:v>
      </x:c>
      <x:c r="I1113" s="17" t="n">
        <x:v>1101961973.0921273</x:v>
      </x:c>
      <x:c r="J1113" s="2" t="str">
        <x:v>m2</x:v>
      </x:c>
      <x:c r="K1113" s="15" t="n">
        <x:f>IF(AND(ISNUMBER(F1113),ISNUMBER(G1113),F1113&gt;0),G1113/F1113-1,"n.a.")</x:f>
        <x:v>0.21376652931537143</x:v>
      </x:c>
      <x:c r="L1113" s="15" t="n">
        <x:f>IF(AND(N1113,ISNUMBER(H1113),ISNUMBER(I1113),H1113&gt;0),I1113/H1113-1,"n.a.")</x:f>
        <x:v>0.20803826809682513</x:v>
      </x:c>
      <x:c r="M1113" s="20" t="n">
        <x:f>IF(AND(ISNUMBER(K1113),ISNUMBER(L1113)),100*(K1113-L1113),"n.a.")</x:f>
        <x:v>0.5728261218546304</x:v>
      </x:c>
      <x:c r="N1113" s="13" t="b">
        <x:v>1</x:v>
      </x:c>
      <x:c r="O1113" s="13" t="b">
        <x:v>1</x:v>
      </x:c>
      <x:c r="P1113" s="13" t="b">
        <x:v>0</x:v>
      </x:c>
      <x:c r="Q1113" s="2" t="str">
        <x:v>L1_numeric_partition_qualified_not_national_completeness</x:v>
      </x:c>
      <x:c r="R1113" s="2" t="str">
        <x:v>L1_numeric_partition_qualified_not_national_completeness</x:v>
      </x:c>
      <x:c r="S1113" s="2" t="str">
        <x:v>historical_GHSL_BU_estimate</x:v>
      </x:c>
      <x:c r="T1113" s="2" t="str">
        <x:v>historical_GHSL_BU_estimate</x:v>
      </x:c>
      <x:c r="U1113" s="2" t="str">
        <x:v>GFA growth versus source physical quantity growth; constant conversion required for equality</x:v>
      </x:c>
      <x:c r="V1113" s="2" t="str">
        <x:v>Future horizontal path is already a v16 driver; WUP historical surface derives from GHSL</x:v>
      </x:c>
      <x:c r="W1113" s="2" t="str">
        <x:v>https://human-settlement.emergency.copernicus.eu/datasets.php</x:v>
      </x:c>
    </x:row>
    <x:row r="1114" ht="23" customHeight="1">
      <x:c r="A1114" s="2" t="str">
        <x:v>NRU</x:v>
      </x:c>
      <x:c r="B1114" s="2" t="str">
        <x:v>Nauru (Republic of)</x:v>
      </x:c>
      <x:c r="C1114" s="2" t="str">
        <x:v>WUP_SURFACE</x:v>
      </x:c>
      <x:c r="D1114" s="2" t="n">
        <x:v>2015</x:v>
      </x:c>
      <x:c r="E1114" s="2" t="n">
        <x:v>2020</x:v>
      </x:c>
      <x:c r="F1114" s="17" t="n">
        <x:v>400075.14321742795</x:v>
      </x:c>
      <x:c r="G1114" s="17" t="n">
        <x:v>405989.38000000024</x:v>
      </x:c>
      <x:c r="H1114" s="17" t="n">
        <x:v>746270.0040778145</x:v>
      </x:c>
      <x:c r="I1114" s="17" t="n">
        <x:v>753905.9966875357</x:v>
      </x:c>
      <x:c r="J1114" s="2" t="str">
        <x:v>m2</x:v>
      </x:c>
      <x:c r="K1114" s="15" t="n">
        <x:f>IF(AND(ISNUMBER(F1114),ISNUMBER(G1114),F1114&gt;0),G1114/F1114-1,"n.a.")</x:f>
        <x:v>0.014782814885747841</x:v>
      </x:c>
      <x:c r="L1114" s="15" t="n">
        <x:f>IF(AND(N1114,ISNUMBER(H1114),ISNUMBER(I1114),H1114&gt;0),I1114/H1114-1,"n.a.")</x:f>
        <x:v>0.010232211623133924</x:v>
      </x:c>
      <x:c r="M1114" s="20" t="n">
        <x:f>IF(AND(ISNUMBER(K1114),ISNUMBER(L1114)),100*(K1114-L1114),"n.a.")</x:f>
        <x:v>0.4550603262613917</x:v>
      </x:c>
      <x:c r="N1114" s="13" t="b">
        <x:v>1</x:v>
      </x:c>
      <x:c r="O1114" s="13" t="b">
        <x:v>1</x:v>
      </x:c>
      <x:c r="P1114" s="13" t="b">
        <x:v>0</x:v>
      </x:c>
      <x:c r="Q1114" s="2" t="str">
        <x:v>L1_numeric_partition_qualified_not_national_completeness</x:v>
      </x:c>
      <x:c r="R1114" s="2" t="str">
        <x:v>L1_numeric_partition_qualified_not_national_completeness</x:v>
      </x:c>
      <x:c r="S1114" s="2" t="str">
        <x:v>historical_GHSL_BU_estimate</x:v>
      </x:c>
      <x:c r="T1114" s="2" t="str">
        <x:v>historical_GHSL_BU_estimate</x:v>
      </x:c>
      <x:c r="U1114" s="2" t="str">
        <x:v>GFA growth versus source physical quantity growth; constant conversion required for equality</x:v>
      </x:c>
      <x:c r="V1114" s="2" t="str">
        <x:v>Future horizontal path is already a v16 driver; WUP historical surface derives from GHSL</x:v>
      </x:c>
      <x:c r="W1114" s="2" t="str">
        <x:v>https://human-settlement.emergency.copernicus.eu/datasets.php</x:v>
      </x:c>
    </x:row>
    <x:row r="1115" ht="23" customHeight="1">
      <x:c r="A1115" s="2" t="str">
        <x:v>NZL</x:v>
      </x:c>
      <x:c r="B1115" s="2" t="str">
        <x:v>New Zealand</x:v>
      </x:c>
      <x:c r="C1115" s="2" t="str">
        <x:v>WUP_SURFACE</x:v>
      </x:c>
      <x:c r="D1115" s="2" t="n">
        <x:v>2015</x:v>
      </x:c>
      <x:c r="E1115" s="2" t="n">
        <x:v>2020</x:v>
      </x:c>
      <x:c r="F1115" s="17" t="n">
        <x:v>480029552.55422294</x:v>
      </x:c>
      <x:c r="G1115" s="17" t="n">
        <x:v>553529463.7899991</x:v>
      </x:c>
      <x:c r="H1115" s="17" t="n">
        <x:v>843053508.0741221</x:v>
      </x:c>
      <x:c r="I1115" s="17" t="n">
        <x:v>963823875.4474204</x:v>
      </x:c>
      <x:c r="J1115" s="2" t="str">
        <x:v>m2</x:v>
      </x:c>
      <x:c r="K1115" s="15" t="n">
        <x:f>IF(AND(ISNUMBER(F1115),ISNUMBER(G1115),F1115&gt;0),G1115/F1115-1,"n.a.")</x:f>
        <x:v>0.15311538809368153</x:v>
      </x:c>
      <x:c r="L1115" s="15" t="n">
        <x:f>IF(AND(N1115,ISNUMBER(H1115),ISNUMBER(I1115),H1115&gt;0),I1115/H1115-1,"n.a.")</x:f>
        <x:v>0.14325350196239262</x:v>
      </x:c>
      <x:c r="M1115" s="20" t="n">
        <x:f>IF(AND(ISNUMBER(K1115),ISNUMBER(L1115)),100*(K1115-L1115),"n.a.")</x:f>
        <x:v>0.9861886131288911</x:v>
      </x:c>
      <x:c r="N1115" s="13" t="b">
        <x:v>1</x:v>
      </x:c>
      <x:c r="O1115" s="13" t="b">
        <x:v>1</x:v>
      </x:c>
      <x:c r="P1115" s="13" t="b">
        <x:v>0</x:v>
      </x:c>
      <x:c r="Q1115" s="2" t="str">
        <x:v>L1_numeric_partition_qualified_not_national_completeness</x:v>
      </x:c>
      <x:c r="R1115" s="2" t="str">
        <x:v>L1_numeric_partition_qualified_not_national_completeness</x:v>
      </x:c>
      <x:c r="S1115" s="2" t="str">
        <x:v>historical_GHSL_BU_estimate</x:v>
      </x:c>
      <x:c r="T1115" s="2" t="str">
        <x:v>historical_GHSL_BU_estimate</x:v>
      </x:c>
      <x:c r="U1115" s="2" t="str">
        <x:v>GFA growth versus source physical quantity growth; constant conversion required for equality</x:v>
      </x:c>
      <x:c r="V1115" s="2" t="str">
        <x:v>Future horizontal path is already a v16 driver; WUP historical surface derives from GHSL</x:v>
      </x:c>
      <x:c r="W1115" s="2" t="str">
        <x:v>https://human-settlement.emergency.copernicus.eu/datasets.php</x:v>
      </x:c>
    </x:row>
    <x:row r="1116" ht="23" customHeight="1">
      <x:c r="A1116" s="2" t="str">
        <x:v>OMN</x:v>
      </x:c>
      <x:c r="B1116" s="2" t="str">
        <x:v>Oman (Sultanate of)</x:v>
      </x:c>
      <x:c r="C1116" s="2" t="str">
        <x:v>WUP_SURFACE</x:v>
      </x:c>
      <x:c r="D1116" s="2" t="n">
        <x:v>2015</x:v>
      </x:c>
      <x:c r="E1116" s="2" t="n">
        <x:v>2020</x:v>
      </x:c>
      <x:c r="F1116" s="17" t="n">
        <x:v>222748482.34837043</x:v>
      </x:c>
      <x:c r="G1116" s="17" t="n">
        <x:v>262659820.8500002</x:v>
      </x:c>
      <x:c r="H1116" s="17" t="n">
        <x:v>374120759.2988628</x:v>
      </x:c>
      <x:c r="I1116" s="17" t="n">
        <x:v>438211242.9416793</x:v>
      </x:c>
      <x:c r="J1116" s="2" t="str">
        <x:v>m2</x:v>
      </x:c>
      <x:c r="K1116" s="15" t="n">
        <x:f>IF(AND(ISNUMBER(F1116),ISNUMBER(G1116),F1116&gt;0),G1116/F1116-1,"n.a.")</x:f>
        <x:v>0.17917670226461935</x:v>
      </x:c>
      <x:c r="L1116" s="15" t="n">
        <x:f>IF(AND(N1116,ISNUMBER(H1116),ISNUMBER(I1116),H1116&gt;0),I1116/H1116-1,"n.a.")</x:f>
        <x:v>0.17130961607938588</x:v>
      </x:c>
      <x:c r="M1116" s="20" t="n">
        <x:f>IF(AND(ISNUMBER(K1116),ISNUMBER(L1116)),100*(K1116-L1116),"n.a.")</x:f>
        <x:v>0.7867086185233463</x:v>
      </x:c>
      <x:c r="N1116" s="13" t="b">
        <x:v>1</x:v>
      </x:c>
      <x:c r="O1116" s="13" t="b">
        <x:v>1</x:v>
      </x:c>
      <x:c r="P1116" s="13" t="b">
        <x:v>0</x:v>
      </x:c>
      <x:c r="Q1116" s="2" t="str">
        <x:v>L1_numeric_partition_qualified_not_national_completeness</x:v>
      </x:c>
      <x:c r="R1116" s="2" t="str">
        <x:v>L1_numeric_partition_qualified_not_national_completeness</x:v>
      </x:c>
      <x:c r="S1116" s="2" t="str">
        <x:v>historical_GHSL_BU_estimate</x:v>
      </x:c>
      <x:c r="T1116" s="2" t="str">
        <x:v>historical_GHSL_BU_estimate</x:v>
      </x:c>
      <x:c r="U1116" s="2" t="str">
        <x:v>GFA growth versus source physical quantity growth; constant conversion required for equality</x:v>
      </x:c>
      <x:c r="V1116" s="2" t="str">
        <x:v>Future horizontal path is already a v16 driver; WUP historical surface derives from GHSL</x:v>
      </x:c>
      <x:c r="W1116" s="2" t="str">
        <x:v>https://human-settlement.emergency.copernicus.eu/datasets.php</x:v>
      </x:c>
    </x:row>
    <x:row r="1117" ht="23" customHeight="1">
      <x:c r="A1117" s="2" t="str">
        <x:v>PAK</x:v>
      </x:c>
      <x:c r="B1117" s="2" t="str">
        <x:v>Pakistan (Islamic Republic of)</x:v>
      </x:c>
      <x:c r="C1117" s="2" t="str">
        <x:v>WUP_SURFACE</x:v>
      </x:c>
      <x:c r="D1117" s="2" t="n">
        <x:v>2015</x:v>
      </x:c>
      <x:c r="E1117" s="2" t="n">
        <x:v>2020</x:v>
      </x:c>
      <x:c r="F1117" s="17" t="n">
        <x:v>3517876725.135339</x:v>
      </x:c>
      <x:c r="G1117" s="17" t="n">
        <x:v>4301390083.520005</x:v>
      </x:c>
      <x:c r="H1117" s="17" t="n">
        <x:v>5149722423.5495</x:v>
      </x:c>
      <x:c r="I1117" s="17" t="n">
        <x:v>6256683450.581376</x:v>
      </x:c>
      <x:c r="J1117" s="2" t="str">
        <x:v>m2</x:v>
      </x:c>
      <x:c r="K1117" s="15" t="n">
        <x:f>IF(AND(ISNUMBER(F1117),ISNUMBER(G1117),F1117&gt;0),G1117/F1117-1,"n.a.")</x:f>
        <x:v>0.22272336969241668</x:v>
      </x:c>
      <x:c r="L1117" s="15" t="n">
        <x:f>IF(AND(N1117,ISNUMBER(H1117),ISNUMBER(I1117),H1117&gt;0),I1117/H1117-1,"n.a.")</x:f>
        <x:v>0.21495547448728147</x:v>
      </x:c>
      <x:c r="M1117" s="20" t="n">
        <x:f>IF(AND(ISNUMBER(K1117),ISNUMBER(L1117)),100*(K1117-L1117),"n.a.")</x:f>
        <x:v>0.7767895205135211</x:v>
      </x:c>
      <x:c r="N1117" s="13" t="b">
        <x:v>1</x:v>
      </x:c>
      <x:c r="O1117" s="13" t="b">
        <x:v>1</x:v>
      </x:c>
      <x:c r="P1117" s="13" t="b">
        <x:v>0</x:v>
      </x:c>
      <x:c r="Q1117" s="2" t="str">
        <x:v>L1_numeric_partition_qualified_not_national_completeness</x:v>
      </x:c>
      <x:c r="R1117" s="2" t="str">
        <x:v>L1_numeric_partition_qualified_not_national_completeness</x:v>
      </x:c>
      <x:c r="S1117" s="2" t="str">
        <x:v>historical_GHSL_BU_estimate</x:v>
      </x:c>
      <x:c r="T1117" s="2" t="str">
        <x:v>historical_GHSL_BU_estimate</x:v>
      </x:c>
      <x:c r="U1117" s="2" t="str">
        <x:v>GFA growth versus source physical quantity growth; constant conversion required for equality</x:v>
      </x:c>
      <x:c r="V1117" s="2" t="str">
        <x:v>Future horizontal path is already a v16 driver; WUP historical surface derives from GHSL</x:v>
      </x:c>
      <x:c r="W1117" s="2" t="str">
        <x:v>https://human-settlement.emergency.copernicus.eu/datasets.php</x:v>
      </x:c>
    </x:row>
    <x:row r="1118" ht="23" customHeight="1">
      <x:c r="A1118" s="2" t="str">
        <x:v>PAN</x:v>
      </x:c>
      <x:c r="B1118" s="2" t="str">
        <x:v>Panama (Republic of)</x:v>
      </x:c>
      <x:c r="C1118" s="2" t="str">
        <x:v>WUP_SURFACE</x:v>
      </x:c>
      <x:c r="D1118" s="2" t="n">
        <x:v>2015</x:v>
      </x:c>
      <x:c r="E1118" s="2" t="n">
        <x:v>2020</x:v>
      </x:c>
      <x:c r="F1118" s="17" t="n">
        <x:v>181431559.5106657</x:v>
      </x:c>
      <x:c r="G1118" s="17" t="n">
        <x:v>209722829.7800001</x:v>
      </x:c>
      <x:c r="H1118" s="17" t="n">
        <x:v>253607184.23140842</x:v>
      </x:c>
      <x:c r="I1118" s="17" t="n">
        <x:v>291288538.1392319</x:v>
      </x:c>
      <x:c r="J1118" s="2" t="str">
        <x:v>m2</x:v>
      </x:c>
      <x:c r="K1118" s="15" t="n">
        <x:f>IF(AND(ISNUMBER(F1118),ISNUMBER(G1118),F1118&gt;0),G1118/F1118-1,"n.a.")</x:f>
        <x:v>0.1559335671568829</x:v>
      </x:c>
      <x:c r="L1118" s="15" t="n">
        <x:f>IF(AND(N1118,ISNUMBER(H1118),ISNUMBER(I1118),H1118&gt;0),I1118/H1118-1,"n.a.")</x:f>
        <x:v>0.14858157122804716</x:v>
      </x:c>
      <x:c r="M1118" s="20" t="n">
        <x:f>IF(AND(ISNUMBER(K1118),ISNUMBER(L1118)),100*(K1118-L1118),"n.a.")</x:f>
        <x:v>0.7351995928835731</x:v>
      </x:c>
      <x:c r="N1118" s="13" t="b">
        <x:v>1</x:v>
      </x:c>
      <x:c r="O1118" s="13" t="b">
        <x:v>1</x:v>
      </x:c>
      <x:c r="P1118" s="13" t="b">
        <x:v>0</x:v>
      </x:c>
      <x:c r="Q1118" s="2" t="str">
        <x:v>L1_numeric_partition_qualified_not_national_completeness</x:v>
      </x:c>
      <x:c r="R1118" s="2" t="str">
        <x:v>L1_numeric_partition_qualified_not_national_completeness</x:v>
      </x:c>
      <x:c r="S1118" s="2" t="str">
        <x:v>historical_GHSL_BU_estimate</x:v>
      </x:c>
      <x:c r="T1118" s="2" t="str">
        <x:v>historical_GHSL_BU_estimate</x:v>
      </x:c>
      <x:c r="U1118" s="2" t="str">
        <x:v>GFA growth versus source physical quantity growth; constant conversion required for equality</x:v>
      </x:c>
      <x:c r="V1118" s="2" t="str">
        <x:v>Future horizontal path is already a v16 driver; WUP historical surface derives from GHSL</x:v>
      </x:c>
      <x:c r="W1118" s="2" t="str">
        <x:v>https://human-settlement.emergency.copernicus.eu/datasets.php</x:v>
      </x:c>
    </x:row>
    <x:row r="1119" ht="23" customHeight="1">
      <x:c r="A1119" s="2" t="str">
        <x:v>PER</x:v>
      </x:c>
      <x:c r="B1119" s="2" t="str">
        <x:v>Peru (Republic of)</x:v>
      </x:c>
      <x:c r="C1119" s="2" t="str">
        <x:v>WUP_SURFACE</x:v>
      </x:c>
      <x:c r="D1119" s="2" t="n">
        <x:v>2015</x:v>
      </x:c>
      <x:c r="E1119" s="2" t="n">
        <x:v>2020</x:v>
      </x:c>
      <x:c r="F1119" s="17" t="n">
        <x:v>1167948144.3467624</x:v>
      </x:c>
      <x:c r="G1119" s="17" t="n">
        <x:v>1228349086.860001</x:v>
      </x:c>
      <x:c r="H1119" s="17" t="n">
        <x:v>1410389813.3009048</x:v>
      </x:c>
      <x:c r="I1119" s="17" t="n">
        <x:v>1468922753.8804944</x:v>
      </x:c>
      <x:c r="J1119" s="2" t="str">
        <x:v>m2</x:v>
      </x:c>
      <x:c r="K1119" s="15" t="n">
        <x:f>IF(AND(ISNUMBER(F1119),ISNUMBER(G1119),F1119&gt;0),G1119/F1119-1,"n.a.")</x:f>
        <x:v>0.051715431721518046</x:v>
      </x:c>
      <x:c r="L1119" s="15" t="n">
        <x:f>IF(AND(N1119,ISNUMBER(H1119),ISNUMBER(I1119),H1119&gt;0),I1119/H1119-1,"n.a.")</x:f>
        <x:v>0.04150125024130591</x:v>
      </x:c>
      <x:c r="M1119" s="20" t="n">
        <x:f>IF(AND(ISNUMBER(K1119),ISNUMBER(L1119)),100*(K1119-L1119),"n.a.")</x:f>
        <x:v>1.0214181480212137</x:v>
      </x:c>
      <x:c r="N1119" s="13" t="b">
        <x:v>1</x:v>
      </x:c>
      <x:c r="O1119" s="13" t="b">
        <x:v>1</x:v>
      </x:c>
      <x:c r="P1119" s="13" t="b">
        <x:v>0</x:v>
      </x:c>
      <x:c r="Q1119" s="2" t="str">
        <x:v>L1_numeric_partition_qualified_not_national_completeness</x:v>
      </x:c>
      <x:c r="R1119" s="2" t="str">
        <x:v>L1_numeric_partition_qualified_not_national_completeness</x:v>
      </x:c>
      <x:c r="S1119" s="2" t="str">
        <x:v>historical_GHSL_BU_estimate</x:v>
      </x:c>
      <x:c r="T1119" s="2" t="str">
        <x:v>historical_GHSL_BU_estimate</x:v>
      </x:c>
      <x:c r="U1119" s="2" t="str">
        <x:v>GFA growth versus source physical quantity growth; constant conversion required for equality</x:v>
      </x:c>
      <x:c r="V1119" s="2" t="str">
        <x:v>Future horizontal path is already a v16 driver; WUP historical surface derives from GHSL</x:v>
      </x:c>
      <x:c r="W1119" s="2" t="str">
        <x:v>https://human-settlement.emergency.copernicus.eu/datasets.php</x:v>
      </x:c>
    </x:row>
    <x:row r="1120" ht="23" customHeight="1">
      <x:c r="A1120" s="2" t="str">
        <x:v>PHL</x:v>
      </x:c>
      <x:c r="B1120" s="2" t="str">
        <x:v>Philippines (Republic of the)</x:v>
      </x:c>
      <x:c r="C1120" s="2" t="str">
        <x:v>WUP_SURFACE</x:v>
      </x:c>
      <x:c r="D1120" s="2" t="n">
        <x:v>2015</x:v>
      </x:c>
      <x:c r="E1120" s="2" t="n">
        <x:v>2020</x:v>
      </x:c>
      <x:c r="F1120" s="17" t="n">
        <x:v>2119006423.4482572</x:v>
      </x:c>
      <x:c r="G1120" s="17" t="n">
        <x:v>2290609295.400001</x:v>
      </x:c>
      <x:c r="H1120" s="17" t="n">
        <x:v>2250645209.05172</x:v>
      </x:c>
      <x:c r="I1120" s="17" t="n">
        <x:v>2415345169.4013467</x:v>
      </x:c>
      <x:c r="J1120" s="2" t="str">
        <x:v>m2</x:v>
      </x:c>
      <x:c r="K1120" s="15" t="n">
        <x:f>IF(AND(ISNUMBER(F1120),ISNUMBER(G1120),F1120&gt;0),G1120/F1120-1,"n.a.")</x:f>
        <x:v>0.08098270493795612</x:v>
      </x:c>
      <x:c r="L1120" s="15" t="n">
        <x:f>IF(AND(N1120,ISNUMBER(H1120),ISNUMBER(I1120),H1120&gt;0),I1120/H1120-1,"n.a.")</x:f>
        <x:v>0.07317899759910218</x:v>
      </x:c>
      <x:c r="M1120" s="20" t="n">
        <x:f>IF(AND(ISNUMBER(K1120),ISNUMBER(L1120)),100*(K1120-L1120),"n.a.")</x:f>
        <x:v>0.7803707338853938</x:v>
      </x:c>
      <x:c r="N1120" s="13" t="b">
        <x:v>1</x:v>
      </x:c>
      <x:c r="O1120" s="13" t="b">
        <x:v>1</x:v>
      </x:c>
      <x:c r="P1120" s="13" t="b">
        <x:v>0</x:v>
      </x:c>
      <x:c r="Q1120" s="2" t="str">
        <x:v>L1_numeric_partition_qualified_not_national_completeness</x:v>
      </x:c>
      <x:c r="R1120" s="2" t="str">
        <x:v>L1_numeric_partition_qualified_not_national_completeness</x:v>
      </x:c>
      <x:c r="S1120" s="2" t="str">
        <x:v>historical_GHSL_BU_estimate</x:v>
      </x:c>
      <x:c r="T1120" s="2" t="str">
        <x:v>historical_GHSL_BU_estimate</x:v>
      </x:c>
      <x:c r="U1120" s="2" t="str">
        <x:v>GFA growth versus source physical quantity growth; constant conversion required for equality</x:v>
      </x:c>
      <x:c r="V1120" s="2" t="str">
        <x:v>Future horizontal path is already a v16 driver; WUP historical surface derives from GHSL</x:v>
      </x:c>
      <x:c r="W1120" s="2" t="str">
        <x:v>https://human-settlement.emergency.copernicus.eu/datasets.php</x:v>
      </x:c>
    </x:row>
    <x:row r="1121" ht="23" customHeight="1">
      <x:c r="A1121" s="2" t="str">
        <x:v>PLW</x:v>
      </x:c>
      <x:c r="B1121" s="2" t="str">
        <x:v>Palau (Republic of)</x:v>
      </x:c>
      <x:c r="C1121" s="2" t="str">
        <x:v>WUP_SURFACE</x:v>
      </x:c>
      <x:c r="D1121" s="2" t="n">
        <x:v>2015</x:v>
      </x:c>
      <x:c r="E1121" s="2" t="n">
        <x:v>2020</x:v>
      </x:c>
      <x:c r="F1121" s="17" t="n">
        <x:v>1134148.4645909867</x:v>
      </x:c>
      <x:c r="G1121" s="17" t="n">
        <x:v>1152226.26</x:v>
      </x:c>
      <x:c r="H1121" s="17" t="n">
        <x:v>1266565.0043958295</x:v>
      </x:c>
      <x:c r="I1121" s="17" t="n">
        <x:v>1284489.9999239487</x:v>
      </x:c>
      <x:c r="J1121" s="2" t="str">
        <x:v>m2</x:v>
      </x:c>
      <x:c r="K1121" s="15" t="n">
        <x:f>IF(AND(ISNUMBER(F1121),ISNUMBER(G1121),F1121&gt;0),G1121/F1121-1,"n.a.")</x:f>
        <x:v>0.01593953170454876</x:v>
      </x:c>
      <x:c r="L1121" s="15" t="n">
        <x:f>IF(AND(N1121,ISNUMBER(H1121),ISNUMBER(I1121),H1121&gt;0),I1121/H1121-1,"n.a.")</x:f>
        <x:v>0.014152448130105855</x:v>
      </x:c>
      <x:c r="M1121" s="20" t="n">
        <x:f>IF(AND(ISNUMBER(K1121),ISNUMBER(L1121)),100*(K1121-L1121),"n.a.")</x:f>
        <x:v>0.17870835744429048</x:v>
      </x:c>
      <x:c r="N1121" s="13" t="b">
        <x:v>1</x:v>
      </x:c>
      <x:c r="O1121" s="13" t="b">
        <x:v>1</x:v>
      </x:c>
      <x:c r="P1121" s="13" t="b">
        <x:v>0</x:v>
      </x:c>
      <x:c r="Q1121" s="2" t="str">
        <x:v>L1_numeric_partition_qualified_not_national_completeness</x:v>
      </x:c>
      <x:c r="R1121" s="2" t="str">
        <x:v>L1_numeric_partition_qualified_not_national_completeness</x:v>
      </x:c>
      <x:c r="S1121" s="2" t="str">
        <x:v>historical_GHSL_BU_estimate</x:v>
      </x:c>
      <x:c r="T1121" s="2" t="str">
        <x:v>historical_GHSL_BU_estimate</x:v>
      </x:c>
      <x:c r="U1121" s="2" t="str">
        <x:v>GFA growth versus source physical quantity growth; constant conversion required for equality</x:v>
      </x:c>
      <x:c r="V1121" s="2" t="str">
        <x:v>Future horizontal path is already a v16 driver; WUP historical surface derives from GHSL</x:v>
      </x:c>
      <x:c r="W1121" s="2" t="str">
        <x:v>https://human-settlement.emergency.copernicus.eu/datasets.php</x:v>
      </x:c>
    </x:row>
    <x:row r="1122" ht="23" customHeight="1">
      <x:c r="A1122" s="2" t="str">
        <x:v>PNG</x:v>
      </x:c>
      <x:c r="B1122" s="2" t="str">
        <x:v>Papua New Guinea (Independent State of)</x:v>
      </x:c>
      <x:c r="C1122" s="2" t="str">
        <x:v>WUP_SURFACE</x:v>
      </x:c>
      <x:c r="D1122" s="2" t="n">
        <x:v>2015</x:v>
      </x:c>
      <x:c r="E1122" s="2" t="n">
        <x:v>2020</x:v>
      </x:c>
      <x:c r="F1122" s="17" t="n">
        <x:v>101313150.79228555</x:v>
      </x:c>
      <x:c r="G1122" s="17" t="n">
        <x:v>111325792.03000018</x:v>
      </x:c>
      <x:c r="H1122" s="17" t="n">
        <x:v>174294724.09642574</x:v>
      </x:c>
      <x:c r="I1122" s="17" t="n">
        <x:v>188950877.017159</x:v>
      </x:c>
      <x:c r="J1122" s="2" t="str">
        <x:v>m2</x:v>
      </x:c>
      <x:c r="K1122" s="15" t="n">
        <x:f>IF(AND(ISNUMBER(F1122),ISNUMBER(G1122),F1122&gt;0),G1122/F1122-1,"n.a.")</x:f>
        <x:v>0.09882864326510554</x:v>
      </x:c>
      <x:c r="L1122" s="15" t="n">
        <x:f>IF(AND(N1122,ISNUMBER(H1122),ISNUMBER(I1122),H1122&gt;0),I1122/H1122-1,"n.a.")</x:f>
        <x:v>0.08408833369290614</x:v>
      </x:c>
      <x:c r="M1122" s="20" t="n">
        <x:f>IF(AND(ISNUMBER(K1122),ISNUMBER(L1122)),100*(K1122-L1122),"n.a.")</x:f>
        <x:v>1.4740309572199406</x:v>
      </x:c>
      <x:c r="N1122" s="13" t="b">
        <x:v>1</x:v>
      </x:c>
      <x:c r="O1122" s="13" t="b">
        <x:v>1</x:v>
      </x:c>
      <x:c r="P1122" s="13" t="b">
        <x:v>0</x:v>
      </x:c>
      <x:c r="Q1122" s="2" t="str">
        <x:v>L1_numeric_partition_qualified_not_national_completeness</x:v>
      </x:c>
      <x:c r="R1122" s="2" t="str">
        <x:v>L1_numeric_partition_qualified_not_national_completeness</x:v>
      </x:c>
      <x:c r="S1122" s="2" t="str">
        <x:v>historical_GHSL_BU_estimate</x:v>
      </x:c>
      <x:c r="T1122" s="2" t="str">
        <x:v>historical_GHSL_BU_estimate</x:v>
      </x:c>
      <x:c r="U1122" s="2" t="str">
        <x:v>GFA growth versus source physical quantity growth; constant conversion required for equality</x:v>
      </x:c>
      <x:c r="V1122" s="2" t="str">
        <x:v>Future horizontal path is already a v16 driver; WUP historical surface derives from GHSL</x:v>
      </x:c>
      <x:c r="W1122" s="2" t="str">
        <x:v>https://human-settlement.emergency.copernicus.eu/datasets.php</x:v>
      </x:c>
    </x:row>
    <x:row r="1123" ht="23" customHeight="1">
      <x:c r="A1123" s="2" t="str">
        <x:v>POL</x:v>
      </x:c>
      <x:c r="B1123" s="2" t="str">
        <x:v>Poland (Republic of)</x:v>
      </x:c>
      <x:c r="C1123" s="2" t="str">
        <x:v>WUP_SURFACE</x:v>
      </x:c>
      <x:c r="D1123" s="2" t="n">
        <x:v>2015</x:v>
      </x:c>
      <x:c r="E1123" s="2" t="n">
        <x:v>2020</x:v>
      </x:c>
      <x:c r="F1123" s="17" t="n">
        <x:v>2405618895.24534</x:v>
      </x:c>
      <x:c r="G1123" s="17" t="n">
        <x:v>2573023573.5300016</x:v>
      </x:c>
      <x:c r="H1123" s="17" t="n">
        <x:v>4259420079.141763</x:v>
      </x:c>
      <x:c r="I1123" s="17" t="n">
        <x:v>4546888793.225267</x:v>
      </x:c>
      <x:c r="J1123" s="2" t="str">
        <x:v>m2</x:v>
      </x:c>
      <x:c r="K1123" s="15" t="n">
        <x:f>IF(AND(ISNUMBER(F1123),ISNUMBER(G1123),F1123&gt;0),G1123/F1123-1,"n.a.")</x:f>
        <x:v>0.06958902701318737</x:v>
      </x:c>
      <x:c r="L1123" s="15" t="n">
        <x:f>IF(AND(N1123,ISNUMBER(H1123),ISNUMBER(I1123),H1123&gt;0),I1123/H1123-1,"n.a.")</x:f>
        <x:v>0.06749010633894237</x:v>
      </x:c>
      <x:c r="M1123" s="20" t="n">
        <x:f>IF(AND(ISNUMBER(K1123),ISNUMBER(L1123)),100*(K1123-L1123),"n.a.")</x:f>
        <x:v>0.20989206742449973</x:v>
      </x:c>
      <x:c r="N1123" s="13" t="b">
        <x:v>1</x:v>
      </x:c>
      <x:c r="O1123" s="13" t="b">
        <x:v>1</x:v>
      </x:c>
      <x:c r="P1123" s="13" t="b">
        <x:v>0</x:v>
      </x:c>
      <x:c r="Q1123" s="2" t="str">
        <x:v>L1_numeric_partition_qualified_not_national_completeness</x:v>
      </x:c>
      <x:c r="R1123" s="2" t="str">
        <x:v>L1_numeric_partition_qualified_not_national_completeness</x:v>
      </x:c>
      <x:c r="S1123" s="2" t="str">
        <x:v>historical_GHSL_BU_estimate</x:v>
      </x:c>
      <x:c r="T1123" s="2" t="str">
        <x:v>historical_GHSL_BU_estimate</x:v>
      </x:c>
      <x:c r="U1123" s="2" t="str">
        <x:v>GFA growth versus source physical quantity growth; constant conversion required for equality</x:v>
      </x:c>
      <x:c r="V1123" s="2" t="str">
        <x:v>Future horizontal path is already a v16 driver; WUP historical surface derives from GHSL</x:v>
      </x:c>
      <x:c r="W1123" s="2" t="str">
        <x:v>https://human-settlement.emergency.copernicus.eu/datasets.php</x:v>
      </x:c>
    </x:row>
    <x:row r="1124" ht="23" customHeight="1">
      <x:c r="A1124" s="2" t="str">
        <x:v>PRK</x:v>
      </x:c>
      <x:c r="B1124" s="2" t="str">
        <x:v>Korea (Democratic People's Republic of)</x:v>
      </x:c>
      <x:c r="C1124" s="2" t="str">
        <x:v>WUP_SURFACE</x:v>
      </x:c>
      <x:c r="D1124" s="2" t="n">
        <x:v>2015</x:v>
      </x:c>
      <x:c r="E1124" s="2" t="n">
        <x:v>2020</x:v>
      </x:c>
      <x:c r="F1124" s="17" t="n">
        <x:v>399529994.4119029</x:v>
      </x:c>
      <x:c r="G1124" s="17" t="n">
        <x:v>469713807.49000067</x:v>
      </x:c>
      <x:c r="H1124" s="17" t="n">
        <x:v>321992063.2079434</x:v>
      </x:c>
      <x:c r="I1124" s="17" t="n">
        <x:v>377674861.30029035</x:v>
      </x:c>
      <x:c r="J1124" s="2" t="str">
        <x:v>m2</x:v>
      </x:c>
      <x:c r="K1124" s="15" t="n">
        <x:f>IF(AND(ISNUMBER(F1124),ISNUMBER(G1124),F1124&gt;0),G1124/F1124-1,"n.a.")</x:f>
        <x:v>0.1756659426319327</x:v>
      </x:c>
      <x:c r="L1124" s="15" t="n">
        <x:f>IF(AND(N1124,ISNUMBER(H1124),ISNUMBER(I1124),H1124&gt;0),I1124/H1124-1,"n.a.")</x:f>
        <x:v>0.17293220689227629</x:v>
      </x:c>
      <x:c r="M1124" s="20" t="n">
        <x:f>IF(AND(ISNUMBER(K1124),ISNUMBER(L1124)),100*(K1124-L1124),"n.a.")</x:f>
        <x:v>0.27337357396564066</x:v>
      </x:c>
      <x:c r="N1124" s="13" t="b">
        <x:v>1</x:v>
      </x:c>
      <x:c r="O1124" s="13" t="b">
        <x:v>1</x:v>
      </x:c>
      <x:c r="P1124" s="13" t="b">
        <x:v>0</x:v>
      </x:c>
      <x:c r="Q1124" s="2" t="str">
        <x:v>L1_numeric_partition_qualified_not_national_completeness</x:v>
      </x:c>
      <x:c r="R1124" s="2" t="str">
        <x:v>L1_numeric_partition_qualified_not_national_completeness</x:v>
      </x:c>
      <x:c r="S1124" s="2" t="str">
        <x:v>historical_GHSL_BU_estimate</x:v>
      </x:c>
      <x:c r="T1124" s="2" t="str">
        <x:v>historical_GHSL_BU_estimate</x:v>
      </x:c>
      <x:c r="U1124" s="2" t="str">
        <x:v>GFA growth versus source physical quantity growth; constant conversion required for equality</x:v>
      </x:c>
      <x:c r="V1124" s="2" t="str">
        <x:v>Future horizontal path is already a v16 driver; WUP historical surface derives from GHSL</x:v>
      </x:c>
      <x:c r="W1124" s="2" t="str">
        <x:v>https://human-settlement.emergency.copernicus.eu/datasets.php</x:v>
      </x:c>
    </x:row>
    <x:row r="1125" ht="23" customHeight="1">
      <x:c r="A1125" s="2" t="str">
        <x:v>PRT</x:v>
      </x:c>
      <x:c r="B1125" s="2" t="str">
        <x:v>Portugal (Portuguese Republic)</x:v>
      </x:c>
      <x:c r="C1125" s="2" t="str">
        <x:v>WUP_SURFACE</x:v>
      </x:c>
      <x:c r="D1125" s="2" t="n">
        <x:v>2015</x:v>
      </x:c>
      <x:c r="E1125" s="2" t="n">
        <x:v>2020</x:v>
      </x:c>
      <x:c r="F1125" s="17" t="n">
        <x:v>971474702.6920972</x:v>
      </x:c>
      <x:c r="G1125" s="17" t="n">
        <x:v>1019333626.31</x:v>
      </x:c>
      <x:c r="H1125" s="17" t="n">
        <x:v>1315604322.0915318</x:v>
      </x:c>
      <x:c r="I1125" s="17" t="n">
        <x:v>1374860716.2609584</x:v>
      </x:c>
      <x:c r="J1125" s="2" t="str">
        <x:v>m2</x:v>
      </x:c>
      <x:c r="K1125" s="15" t="n">
        <x:f>IF(AND(ISNUMBER(F1125),ISNUMBER(G1125),F1125&gt;0),G1125/F1125-1,"n.a.")</x:f>
        <x:v>0.0492641995568992</x:v>
      </x:c>
      <x:c r="L1125" s="15" t="n">
        <x:f>IF(AND(N1125,ISNUMBER(H1125),ISNUMBER(I1125),H1125&gt;0),I1125/H1125-1,"n.a.")</x:f>
        <x:v>0.04504119755035596</x:v>
      </x:c>
      <x:c r="M1125" s="20" t="n">
        <x:f>IF(AND(ISNUMBER(K1125),ISNUMBER(L1125)),100*(K1125-L1125),"n.a.")</x:f>
        <x:v>0.42230020065432416</x:v>
      </x:c>
      <x:c r="N1125" s="13" t="b">
        <x:v>1</x:v>
      </x:c>
      <x:c r="O1125" s="13" t="b">
        <x:v>1</x:v>
      </x:c>
      <x:c r="P1125" s="13" t="b">
        <x:v>0</x:v>
      </x:c>
      <x:c r="Q1125" s="2" t="str">
        <x:v>L1_numeric_partition_qualified_not_national_completeness</x:v>
      </x:c>
      <x:c r="R1125" s="2" t="str">
        <x:v>L1_numeric_partition_qualified_not_national_completeness</x:v>
      </x:c>
      <x:c r="S1125" s="2" t="str">
        <x:v>historical_GHSL_BU_estimate</x:v>
      </x:c>
      <x:c r="T1125" s="2" t="str">
        <x:v>historical_GHSL_BU_estimate</x:v>
      </x:c>
      <x:c r="U1125" s="2" t="str">
        <x:v>GFA growth versus source physical quantity growth; constant conversion required for equality</x:v>
      </x:c>
      <x:c r="V1125" s="2" t="str">
        <x:v>Future horizontal path is already a v16 driver; WUP historical surface derives from GHSL</x:v>
      </x:c>
      <x:c r="W1125" s="2" t="str">
        <x:v>https://human-settlement.emergency.copernicus.eu/datasets.php</x:v>
      </x:c>
    </x:row>
    <x:row r="1126" ht="23" customHeight="1">
      <x:c r="A1126" s="2" t="str">
        <x:v>PRY</x:v>
      </x:c>
      <x:c r="B1126" s="2" t="str">
        <x:v>Paraguay (Republic of)</x:v>
      </x:c>
      <x:c r="C1126" s="2" t="str">
        <x:v>WUP_SURFACE</x:v>
      </x:c>
      <x:c r="D1126" s="2" t="n">
        <x:v>2015</x:v>
      </x:c>
      <x:c r="E1126" s="2" t="n">
        <x:v>2020</x:v>
      </x:c>
      <x:c r="F1126" s="17" t="n">
        <x:v>320713958.5472337</x:v>
      </x:c>
      <x:c r="G1126" s="17" t="n">
        <x:v>336793873.4500005</x:v>
      </x:c>
      <x:c r="H1126" s="17" t="n">
        <x:v>538942435.9417722</x:v>
      </x:c>
      <x:c r="I1126" s="17" t="n">
        <x:v>562101220.9652554</x:v>
      </x:c>
      <x:c r="J1126" s="2" t="str">
        <x:v>m2</x:v>
      </x:c>
      <x:c r="K1126" s="15" t="n">
        <x:f>IF(AND(ISNUMBER(F1126),ISNUMBER(G1126),F1126&gt;0),G1126/F1126-1,"n.a.")</x:f>
        <x:v>0.050137870442575894</x:v>
      </x:c>
      <x:c r="L1126" s="15" t="n">
        <x:f>IF(AND(N1126,ISNUMBER(H1126),ISNUMBER(I1126),H1126&gt;0),I1126/H1126-1,"n.a.")</x:f>
        <x:v>0.04297079517038682</x:v>
      </x:c>
      <x:c r="M1126" s="20" t="n">
        <x:f>IF(AND(ISNUMBER(K1126),ISNUMBER(L1126)),100*(K1126-L1126),"n.a.")</x:f>
        <x:v>0.7167075272189072</x:v>
      </x:c>
      <x:c r="N1126" s="13" t="b">
        <x:v>1</x:v>
      </x:c>
      <x:c r="O1126" s="13" t="b">
        <x:v>1</x:v>
      </x:c>
      <x:c r="P1126" s="13" t="b">
        <x:v>0</x:v>
      </x:c>
      <x:c r="Q1126" s="2" t="str">
        <x:v>L1_numeric_partition_qualified_not_national_completeness</x:v>
      </x:c>
      <x:c r="R1126" s="2" t="str">
        <x:v>L1_numeric_partition_qualified_not_national_completeness</x:v>
      </x:c>
      <x:c r="S1126" s="2" t="str">
        <x:v>historical_GHSL_BU_estimate</x:v>
      </x:c>
      <x:c r="T1126" s="2" t="str">
        <x:v>historical_GHSL_BU_estimate</x:v>
      </x:c>
      <x:c r="U1126" s="2" t="str">
        <x:v>GFA growth versus source physical quantity growth; constant conversion required for equality</x:v>
      </x:c>
      <x:c r="V1126" s="2" t="str">
        <x:v>Future horizontal path is already a v16 driver; WUP historical surface derives from GHSL</x:v>
      </x:c>
      <x:c r="W1126" s="2" t="str">
        <x:v>https://human-settlement.emergency.copernicus.eu/datasets.php</x:v>
      </x:c>
    </x:row>
    <x:row r="1127" ht="23" customHeight="1">
      <x:c r="A1127" s="2" t="str">
        <x:v>PSE</x:v>
      </x:c>
      <x:c r="B1127" s="2" t="str">
        <x:v>State of Palestine</x:v>
      </x:c>
      <x:c r="C1127" s="2" t="str">
        <x:v>WUP_SURFACE</x:v>
      </x:c>
      <x:c r="D1127" s="2" t="n">
        <x:v>2015</x:v>
      </x:c>
      <x:c r="E1127" s="2" t="n">
        <x:v>2020</x:v>
      </x:c>
      <x:c r="F1127" s="17" t="n">
        <x:v>227721164.33217236</x:v>
      </x:c>
      <x:c r="G1127" s="17" t="n">
        <x:v>239938472.63190365</x:v>
      </x:c>
      <x:c r="H1127" s="17" t="n">
        <x:v>213135198.93148407</x:v>
      </x:c>
      <x:c r="I1127" s="17" t="n">
        <x:v>223132983.0147804</x:v>
      </x:c>
      <x:c r="J1127" s="2" t="str">
        <x:v>m2</x:v>
      </x:c>
      <x:c r="K1127" s="15" t="n">
        <x:f>IF(AND(ISNUMBER(F1127),ISNUMBER(G1127),F1127&gt;0),G1127/F1127-1,"n.a.")</x:f>
        <x:v>0.05365029787881359</x:v>
      </x:c>
      <x:c r="L1127" s="15" t="n">
        <x:f>IF(AND(N1127,ISNUMBER(H1127),ISNUMBER(I1127),H1127&gt;0),I1127/H1127-1,"n.a.")</x:f>
        <x:v>0.04690817909673517</x:v>
      </x:c>
      <x:c r="M1127" s="20" t="n">
        <x:f>IF(AND(ISNUMBER(K1127),ISNUMBER(L1127)),100*(K1127-L1127),"n.a.")</x:f>
        <x:v>0.6742118782078421</x:v>
      </x:c>
      <x:c r="N1127" s="13" t="b">
        <x:v>1</x:v>
      </x:c>
      <x:c r="O1127" s="13" t="b">
        <x:v>0</x:v>
      </x:c>
      <x:c r="P1127" s="13" t="b">
        <x:v>1</x:v>
      </x:c>
      <x:c r="Q1127" s="2" t="str">
        <x:v>L1_numeric_partition_qualified_not_national_completeness</x:v>
      </x:c>
      <x:c r="R1127" s="2" t="str">
        <x:v>L1_numeric_partition_qualified_not_national_completeness</x:v>
      </x:c>
      <x:c r="S1127" s="2" t="str">
        <x:v>historical_GHSL_BU_estimate</x:v>
      </x:c>
      <x:c r="T1127" s="2" t="str">
        <x:v>historical_GHSL_BU_estimate</x:v>
      </x:c>
      <x:c r="U1127" s="2" t="str">
        <x:v>GFA growth versus source physical quantity growth; constant conversion required for equality</x:v>
      </x:c>
      <x:c r="V1127" s="2" t="str">
        <x:v>Future horizontal path is already a v16 driver; WUP historical surface derives from GHSL</x:v>
      </x:c>
      <x:c r="W1127" s="2" t="str">
        <x:v>https://human-settlement.emergency.copernicus.eu/datasets.php</x:v>
      </x:c>
    </x:row>
    <x:row r="1128" ht="23" customHeight="1">
      <x:c r="A1128" s="2" t="str">
        <x:v>QAT</x:v>
      </x:c>
      <x:c r="B1128" s="2" t="str">
        <x:v>Qatar (State of)</x:v>
      </x:c>
      <x:c r="C1128" s="2" t="str">
        <x:v>WUP_SURFACE</x:v>
      </x:c>
      <x:c r="D1128" s="2" t="n">
        <x:v>2015</x:v>
      </x:c>
      <x:c r="E1128" s="2" t="n">
        <x:v>2020</x:v>
      </x:c>
      <x:c r="F1128" s="17" t="n">
        <x:v>105013579.42282487</x:v>
      </x:c>
      <x:c r="G1128" s="17" t="n">
        <x:v>137316242.80000022</x:v>
      </x:c>
      <x:c r="H1128" s="17" t="n">
        <x:v>166462312.09106326</x:v>
      </x:c>
      <x:c r="I1128" s="17" t="n">
        <x:v>216448403.827633</x:v>
      </x:c>
      <x:c r="J1128" s="2" t="str">
        <x:v>m2</x:v>
      </x:c>
      <x:c r="K1128" s="15" t="n">
        <x:f>IF(AND(ISNUMBER(F1128),ISNUMBER(G1128),F1128&gt;0),G1128/F1128-1,"n.a.")</x:f>
        <x:v>0.307604631274518</x:v>
      </x:c>
      <x:c r="L1128" s="15" t="n">
        <x:f>IF(AND(N1128,ISNUMBER(H1128),ISNUMBER(I1128),H1128&gt;0),I1128/H1128-1,"n.a.")</x:f>
        <x:v>0.30028473778031395</x:v>
      </x:c>
      <x:c r="M1128" s="20" t="n">
        <x:f>IF(AND(ISNUMBER(K1128),ISNUMBER(L1128)),100*(K1128-L1128),"n.a.")</x:f>
        <x:v>0.7319893494204033</x:v>
      </x:c>
      <x:c r="N1128" s="13" t="b">
        <x:v>1</x:v>
      </x:c>
      <x:c r="O1128" s="13" t="b">
        <x:v>1</x:v>
      </x:c>
      <x:c r="P1128" s="13" t="b">
        <x:v>0</x:v>
      </x:c>
      <x:c r="Q1128" s="2" t="str">
        <x:v>L1_numeric_partition_qualified_not_national_completeness</x:v>
      </x:c>
      <x:c r="R1128" s="2" t="str">
        <x:v>L1_numeric_partition_qualified_not_national_completeness</x:v>
      </x:c>
      <x:c r="S1128" s="2" t="str">
        <x:v>historical_GHSL_BU_estimate</x:v>
      </x:c>
      <x:c r="T1128" s="2" t="str">
        <x:v>historical_GHSL_BU_estimate</x:v>
      </x:c>
      <x:c r="U1128" s="2" t="str">
        <x:v>GFA growth versus source physical quantity growth; constant conversion required for equality</x:v>
      </x:c>
      <x:c r="V1128" s="2" t="str">
        <x:v>Future horizontal path is already a v16 driver; WUP historical surface derives from GHSL</x:v>
      </x:c>
      <x:c r="W1128" s="2" t="str">
        <x:v>https://human-settlement.emergency.copernicus.eu/datasets.php</x:v>
      </x:c>
    </x:row>
    <x:row r="1129" ht="23" customHeight="1">
      <x:c r="A1129" s="2" t="str">
        <x:v>ROU</x:v>
      </x:c>
      <x:c r="B1129" s="2" t="str">
        <x:v>Romania</x:v>
      </x:c>
      <x:c r="C1129" s="2" t="str">
        <x:v>WUP_SURFACE</x:v>
      </x:c>
      <x:c r="D1129" s="2" t="n">
        <x:v>2015</x:v>
      </x:c>
      <x:c r="E1129" s="2" t="n">
        <x:v>2020</x:v>
      </x:c>
      <x:c r="F1129" s="17" t="n">
        <x:v>1361197456.7154684</x:v>
      </x:c>
      <x:c r="G1129" s="17" t="n">
        <x:v>1451492077.9900024</x:v>
      </x:c>
      <x:c r="H1129" s="17" t="n">
        <x:v>2143335528.5780635</x:v>
      </x:c>
      <x:c r="I1129" s="17" t="n">
        <x:v>2285419520.7995014</x:v>
      </x:c>
      <x:c r="J1129" s="2" t="str">
        <x:v>m2</x:v>
      </x:c>
      <x:c r="K1129" s="15" t="n">
        <x:f>IF(AND(ISNUMBER(F1129),ISNUMBER(G1129),F1129&gt;0),G1129/F1129-1,"n.a.")</x:f>
        <x:v>0.06633469731306452</x:v>
      </x:c>
      <x:c r="L1129" s="15" t="n">
        <x:f>IF(AND(N1129,ISNUMBER(H1129),ISNUMBER(I1129),H1129&gt;0),I1129/H1129-1,"n.a.")</x:f>
        <x:v>0.06629106377744765</x:v>
      </x:c>
      <x:c r="M1129" s="20" t="n">
        <x:f>IF(AND(ISNUMBER(K1129),ISNUMBER(L1129)),100*(K1129-L1129),"n.a.")</x:f>
        <x:v>0.0043633535616871555</x:v>
      </x:c>
      <x:c r="N1129" s="13" t="b">
        <x:v>1</x:v>
      </x:c>
      <x:c r="O1129" s="13" t="b">
        <x:v>1</x:v>
      </x:c>
      <x:c r="P1129" s="13" t="b">
        <x:v>0</x:v>
      </x:c>
      <x:c r="Q1129" s="2" t="str">
        <x:v>L1_numeric_partition_qualified_not_national_completeness</x:v>
      </x:c>
      <x:c r="R1129" s="2" t="str">
        <x:v>L1_numeric_partition_qualified_not_national_completeness</x:v>
      </x:c>
      <x:c r="S1129" s="2" t="str">
        <x:v>historical_GHSL_BU_estimate</x:v>
      </x:c>
      <x:c r="T1129" s="2" t="str">
        <x:v>historical_GHSL_BU_estimate</x:v>
      </x:c>
      <x:c r="U1129" s="2" t="str">
        <x:v>GFA growth versus source physical quantity growth; constant conversion required for equality</x:v>
      </x:c>
      <x:c r="V1129" s="2" t="str">
        <x:v>Future horizontal path is already a v16 driver; WUP historical surface derives from GHSL</x:v>
      </x:c>
      <x:c r="W1129" s="2" t="str">
        <x:v>https://human-settlement.emergency.copernicus.eu/datasets.php</x:v>
      </x:c>
    </x:row>
    <x:row r="1130" ht="23" customHeight="1">
      <x:c r="A1130" s="2" t="str">
        <x:v>RUS</x:v>
      </x:c>
      <x:c r="B1130" s="2" t="str">
        <x:v>Russian Federation</x:v>
      </x:c>
      <x:c r="C1130" s="2" t="str">
        <x:v>WUP_SURFACE</x:v>
      </x:c>
      <x:c r="D1130" s="2" t="n">
        <x:v>2015</x:v>
      </x:c>
      <x:c r="E1130" s="2" t="n">
        <x:v>2020</x:v>
      </x:c>
      <x:c r="F1130" s="17" t="n">
        <x:v>7329903918.534828</x:v>
      </x:c>
      <x:c r="G1130" s="17" t="n">
        <x:v>7767687345.91001</x:v>
      </x:c>
      <x:c r="H1130" s="17" t="n">
        <x:v>11959709824.025599</x:v>
      </x:c>
      <x:c r="I1130" s="17" t="n">
        <x:v>12620142866.166924</x:v>
      </x:c>
      <x:c r="J1130" s="2" t="str">
        <x:v>m2</x:v>
      </x:c>
      <x:c r="K1130" s="15" t="n">
        <x:f>IF(AND(ISNUMBER(F1130),ISNUMBER(G1130),F1130&gt;0),G1130/F1130-1,"n.a.")</x:f>
        <x:v>0.059725670655542684</x:v>
      </x:c>
      <x:c r="L1130" s="15" t="n">
        <x:f>IF(AND(N1130,ISNUMBER(H1130),ISNUMBER(I1130),H1130&gt;0),I1130/H1130-1,"n.a.")</x:f>
        <x:v>0.05522149382040986</x:v>
      </x:c>
      <x:c r="M1130" s="20" t="n">
        <x:f>IF(AND(ISNUMBER(K1130),ISNUMBER(L1130)),100*(K1130-L1130),"n.a.")</x:f>
        <x:v>0.45041768351328226</x:v>
      </x:c>
      <x:c r="N1130" s="13" t="b">
        <x:v>1</x:v>
      </x:c>
      <x:c r="O1130" s="13" t="b">
        <x:v>1</x:v>
      </x:c>
      <x:c r="P1130" s="13" t="b">
        <x:v>0</x:v>
      </x:c>
      <x:c r="Q1130" s="2" t="str">
        <x:v>L1_numeric_partition_qualified_not_national_completeness</x:v>
      </x:c>
      <x:c r="R1130" s="2" t="str">
        <x:v>L1_numeric_partition_qualified_not_national_completeness</x:v>
      </x:c>
      <x:c r="S1130" s="2" t="str">
        <x:v>historical_GHSL_BU_estimate</x:v>
      </x:c>
      <x:c r="T1130" s="2" t="str">
        <x:v>historical_GHSL_BU_estimate</x:v>
      </x:c>
      <x:c r="U1130" s="2" t="str">
        <x:v>GFA growth versus source physical quantity growth; constant conversion required for equality</x:v>
      </x:c>
      <x:c r="V1130" s="2" t="str">
        <x:v>Future horizontal path is already a v16 driver; WUP historical surface derives from GHSL</x:v>
      </x:c>
      <x:c r="W1130" s="2" t="str">
        <x:v>https://human-settlement.emergency.copernicus.eu/datasets.php</x:v>
      </x:c>
    </x:row>
    <x:row r="1131" ht="23" customHeight="1">
      <x:c r="A1131" s="2" t="str">
        <x:v>RWA</x:v>
      </x:c>
      <x:c r="B1131" s="2" t="str">
        <x:v>Rwanda (Republic of)</x:v>
      </x:c>
      <x:c r="C1131" s="2" t="str">
        <x:v>WUP_SURFACE</x:v>
      </x:c>
      <x:c r="D1131" s="2" t="n">
        <x:v>2015</x:v>
      </x:c>
      <x:c r="E1131" s="2" t="n">
        <x:v>2020</x:v>
      </x:c>
      <x:c r="F1131" s="17" t="n">
        <x:v>190675524.79529798</x:v>
      </x:c>
      <x:c r="G1131" s="17" t="n">
        <x:v>244877324.63000005</x:v>
      </x:c>
      <x:c r="H1131" s="17" t="n">
        <x:v>531452925.75362307</x:v>
      </x:c>
      <x:c r="I1131" s="17" t="n">
        <x:v>676222861.7570442</x:v>
      </x:c>
      <x:c r="J1131" s="2" t="str">
        <x:v>m2</x:v>
      </x:c>
      <x:c r="K1131" s="15" t="n">
        <x:f>IF(AND(ISNUMBER(F1131),ISNUMBER(G1131),F1131&gt;0),G1131/F1131-1,"n.a.")</x:f>
        <x:v>0.28426196751203947</x:v>
      </x:c>
      <x:c r="L1131" s="15" t="n">
        <x:f>IF(AND(N1131,ISNUMBER(H1131),ISNUMBER(I1131),H1131&gt;0),I1131/H1131-1,"n.a.")</x:f>
        <x:v>0.2724040625011728</x:v>
      </x:c>
      <x:c r="M1131" s="20" t="n">
        <x:f>IF(AND(ISNUMBER(K1131),ISNUMBER(L1131)),100*(K1131-L1131),"n.a.")</x:f>
        <x:v>1.1857905010866698</x:v>
      </x:c>
      <x:c r="N1131" s="13" t="b">
        <x:v>1</x:v>
      </x:c>
      <x:c r="O1131" s="13" t="b">
        <x:v>1</x:v>
      </x:c>
      <x:c r="P1131" s="13" t="b">
        <x:v>0</x:v>
      </x:c>
      <x:c r="Q1131" s="2" t="str">
        <x:v>L1_numeric_partition_qualified_not_national_completeness</x:v>
      </x:c>
      <x:c r="R1131" s="2" t="str">
        <x:v>L1_numeric_partition_qualified_not_national_completeness</x:v>
      </x:c>
      <x:c r="S1131" s="2" t="str">
        <x:v>historical_GHSL_BU_estimate</x:v>
      </x:c>
      <x:c r="T1131" s="2" t="str">
        <x:v>historical_GHSL_BU_estimate</x:v>
      </x:c>
      <x:c r="U1131" s="2" t="str">
        <x:v>GFA growth versus source physical quantity growth; constant conversion required for equality</x:v>
      </x:c>
      <x:c r="V1131" s="2" t="str">
        <x:v>Future horizontal path is already a v16 driver; WUP historical surface derives from GHSL</x:v>
      </x:c>
      <x:c r="W1131" s="2" t="str">
        <x:v>https://human-settlement.emergency.copernicus.eu/datasets.php</x:v>
      </x:c>
    </x:row>
    <x:row r="1132" ht="23" customHeight="1">
      <x:c r="A1132" s="2" t="str">
        <x:v>SAU</x:v>
      </x:c>
      <x:c r="B1132" s="2" t="str">
        <x:v>Saudi Arabia (Kingdom of)</x:v>
      </x:c>
      <x:c r="C1132" s="2" t="str">
        <x:v>WUP_SURFACE</x:v>
      </x:c>
      <x:c r="D1132" s="2" t="n">
        <x:v>2015</x:v>
      </x:c>
      <x:c r="E1132" s="2" t="n">
        <x:v>2020</x:v>
      </x:c>
      <x:c r="F1132" s="17" t="n">
        <x:v>1566644512.76466</x:v>
      </x:c>
      <x:c r="G1132" s="17" t="n">
        <x:v>1911722272.930002</x:v>
      </x:c>
      <x:c r="H1132" s="17" t="n">
        <x:v>2310102707.8765526</x:v>
      </x:c>
      <x:c r="I1132" s="17" t="n">
        <x:v>2801471153.0187106</x:v>
      </x:c>
      <x:c r="J1132" s="2" t="str">
        <x:v>m2</x:v>
      </x:c>
      <x:c r="K1132" s="15" t="n">
        <x:f>IF(AND(ISNUMBER(F1132),ISNUMBER(G1132),F1132&gt;0),G1132/F1132-1,"n.a.")</x:f>
        <x:v>0.2202655148335999</x:v>
      </x:c>
      <x:c r="L1132" s="15" t="n">
        <x:f>IF(AND(N1132,ISNUMBER(H1132),ISNUMBER(I1132),H1132&gt;0),I1132/H1132-1,"n.a.")</x:f>
        <x:v>0.21270415530304465</x:v>
      </x:c>
      <x:c r="M1132" s="20" t="n">
        <x:f>IF(AND(ISNUMBER(K1132),ISNUMBER(L1132)),100*(K1132-L1132),"n.a.")</x:f>
        <x:v>0.7561359530555256</x:v>
      </x:c>
      <x:c r="N1132" s="13" t="b">
        <x:v>1</x:v>
      </x:c>
      <x:c r="O1132" s="13" t="b">
        <x:v>1</x:v>
      </x:c>
      <x:c r="P1132" s="13" t="b">
        <x:v>0</x:v>
      </x:c>
      <x:c r="Q1132" s="2" t="str">
        <x:v>L1_numeric_partition_qualified_not_national_completeness</x:v>
      </x:c>
      <x:c r="R1132" s="2" t="str">
        <x:v>L1_numeric_partition_qualified_not_national_completeness</x:v>
      </x:c>
      <x:c r="S1132" s="2" t="str">
        <x:v>historical_GHSL_BU_estimate</x:v>
      </x:c>
      <x:c r="T1132" s="2" t="str">
        <x:v>historical_GHSL_BU_estimate</x:v>
      </x:c>
      <x:c r="U1132" s="2" t="str">
        <x:v>GFA growth versus source physical quantity growth; constant conversion required for equality</x:v>
      </x:c>
      <x:c r="V1132" s="2" t="str">
        <x:v>Future horizontal path is already a v16 driver; WUP historical surface derives from GHSL</x:v>
      </x:c>
      <x:c r="W1132" s="2" t="str">
        <x:v>https://human-settlement.emergency.copernicus.eu/datasets.php</x:v>
      </x:c>
    </x:row>
    <x:row r="1133" ht="23" customHeight="1">
      <x:c r="A1133" s="2" t="str">
        <x:v>SDN</x:v>
      </x:c>
      <x:c r="B1133" s="2" t="str">
        <x:v>Sudan (Republic of the)</x:v>
      </x:c>
      <x:c r="C1133" s="2" t="str">
        <x:v>WUP_SURFACE</x:v>
      </x:c>
      <x:c r="D1133" s="2" t="n">
        <x:v>2015</x:v>
      </x:c>
      <x:c r="E1133" s="2" t="n">
        <x:v>2020</x:v>
      </x:c>
      <x:c r="F1133" s="17" t="n">
        <x:v>556895482.4611582</x:v>
      </x:c>
      <x:c r="G1133" s="17" t="n">
        <x:v>751311239.6000005</x:v>
      </x:c>
      <x:c r="H1133" s="17" t="n">
        <x:v>1219038914.2027926</x:v>
      </x:c>
      <x:c r="I1133" s="17" t="n">
        <x:v>1634560565.2687297</x:v>
      </x:c>
      <x:c r="J1133" s="2" t="str">
        <x:v>m2</x:v>
      </x:c>
      <x:c r="K1133" s="15" t="n">
        <x:f>IF(AND(ISNUMBER(F1133),ISNUMBER(G1133),F1133&gt;0),G1133/F1133-1,"n.a.")</x:f>
        <x:v>0.34910636423128505</x:v>
      </x:c>
      <x:c r="L1133" s="15" t="n">
        <x:f>IF(AND(N1133,ISNUMBER(H1133),ISNUMBER(I1133),H1133&gt;0),I1133/H1133-1,"n.a.")</x:f>
        <x:v>0.3408600383669238</x:v>
      </x:c>
      <x:c r="M1133" s="20" t="n">
        <x:f>IF(AND(ISNUMBER(K1133),ISNUMBER(L1133)),100*(K1133-L1133),"n.a.")</x:f>
        <x:v>0.8246325864361248</x:v>
      </x:c>
      <x:c r="N1133" s="13" t="b">
        <x:v>1</x:v>
      </x:c>
      <x:c r="O1133" s="13" t="b">
        <x:v>1</x:v>
      </x:c>
      <x:c r="P1133" s="13" t="b">
        <x:v>0</x:v>
      </x:c>
      <x:c r="Q1133" s="2" t="str">
        <x:v>L1_numeric_partition_qualified_not_national_completeness</x:v>
      </x:c>
      <x:c r="R1133" s="2" t="str">
        <x:v>L1_numeric_partition_qualified_not_national_completeness</x:v>
      </x:c>
      <x:c r="S1133" s="2" t="str">
        <x:v>historical_GHSL_BU_estimate</x:v>
      </x:c>
      <x:c r="T1133" s="2" t="str">
        <x:v>historical_GHSL_BU_estimate</x:v>
      </x:c>
      <x:c r="U1133" s="2" t="str">
        <x:v>GFA growth versus source physical quantity growth; constant conversion required for equality</x:v>
      </x:c>
      <x:c r="V1133" s="2" t="str">
        <x:v>Future horizontal path is already a v16 driver; WUP historical surface derives from GHSL</x:v>
      </x:c>
      <x:c r="W1133" s="2" t="str">
        <x:v>https://human-settlement.emergency.copernicus.eu/datasets.php</x:v>
      </x:c>
    </x:row>
    <x:row r="1134" ht="23" customHeight="1">
      <x:c r="A1134" s="2" t="str">
        <x:v>SEN</x:v>
      </x:c>
      <x:c r="B1134" s="2" t="str">
        <x:v>Senegal (Republic of)</x:v>
      </x:c>
      <x:c r="C1134" s="2" t="str">
        <x:v>WUP_SURFACE</x:v>
      </x:c>
      <x:c r="D1134" s="2" t="n">
        <x:v>2015</x:v>
      </x:c>
      <x:c r="E1134" s="2" t="n">
        <x:v>2020</x:v>
      </x:c>
      <x:c r="F1134" s="17" t="n">
        <x:v>264389994.98968568</x:v>
      </x:c>
      <x:c r="G1134" s="17" t="n">
        <x:v>305052833.6899998</x:v>
      </x:c>
      <x:c r="H1134" s="17" t="n">
        <x:v>612626082.3385602</x:v>
      </x:c>
      <x:c r="I1134" s="17" t="n">
        <x:v>702358485.1448159</x:v>
      </x:c>
      <x:c r="J1134" s="2" t="str">
        <x:v>m2</x:v>
      </x:c>
      <x:c r="K1134" s="15" t="n">
        <x:f>IF(AND(ISNUMBER(F1134),ISNUMBER(G1134),F1134&gt;0),G1134/F1134-1,"n.a.")</x:f>
        <x:v>0.1537987044551381</x:v>
      </x:c>
      <x:c r="L1134" s="15" t="n">
        <x:f>IF(AND(N1134,ISNUMBER(H1134),ISNUMBER(I1134),H1134&gt;0),I1134/H1134-1,"n.a.")</x:f>
        <x:v>0.14647173111487954</x:v>
      </x:c>
      <x:c r="M1134" s="20" t="n">
        <x:f>IF(AND(ISNUMBER(K1134),ISNUMBER(L1134)),100*(K1134-L1134),"n.a.")</x:f>
        <x:v>0.7326973340258558</x:v>
      </x:c>
      <x:c r="N1134" s="13" t="b">
        <x:v>1</x:v>
      </x:c>
      <x:c r="O1134" s="13" t="b">
        <x:v>1</x:v>
      </x:c>
      <x:c r="P1134" s="13" t="b">
        <x:v>0</x:v>
      </x:c>
      <x:c r="Q1134" s="2" t="str">
        <x:v>L1_numeric_partition_qualified_not_national_completeness</x:v>
      </x:c>
      <x:c r="R1134" s="2" t="str">
        <x:v>L1_numeric_partition_qualified_not_national_completeness</x:v>
      </x:c>
      <x:c r="S1134" s="2" t="str">
        <x:v>historical_GHSL_BU_estimate</x:v>
      </x:c>
      <x:c r="T1134" s="2" t="str">
        <x:v>historical_GHSL_BU_estimate</x:v>
      </x:c>
      <x:c r="U1134" s="2" t="str">
        <x:v>GFA growth versus source physical quantity growth; constant conversion required for equality</x:v>
      </x:c>
      <x:c r="V1134" s="2" t="str">
        <x:v>Future horizontal path is already a v16 driver; WUP historical surface derives from GHSL</x:v>
      </x:c>
      <x:c r="W1134" s="2" t="str">
        <x:v>https://human-settlement.emergency.copernicus.eu/datasets.php</x:v>
      </x:c>
    </x:row>
    <x:row r="1135" ht="23" customHeight="1">
      <x:c r="A1135" s="2" t="str">
        <x:v>SGP</x:v>
      </x:c>
      <x:c r="B1135" s="2" t="str">
        <x:v>Singapore (Republic of)</x:v>
      </x:c>
      <x:c r="C1135" s="2" t="str">
        <x:v>WUP_SURFACE</x:v>
      </x:c>
      <x:c r="D1135" s="2" t="n">
        <x:v>2015</x:v>
      </x:c>
      <x:c r="E1135" s="2" t="n">
        <x:v>2020</x:v>
      </x:c>
      <x:c r="F1135" s="17" t="n">
        <x:v>187575286.78208792</x:v>
      </x:c>
      <x:c r="G1135" s="17" t="n">
        <x:v>194662203.04</x:v>
      </x:c>
      <x:c r="H1135" s="17" t="n">
        <x:v>108829018.13583532</x:v>
      </x:c>
      <x:c r="I1135" s="17" t="n">
        <x:v>112572526.7715635</x:v>
      </x:c>
      <x:c r="J1135" s="2" t="str">
        <x:v>m2</x:v>
      </x:c>
      <x:c r="K1135" s="15" t="n">
        <x:f>IF(AND(ISNUMBER(F1135),ISNUMBER(G1135),F1135&gt;0),G1135/F1135-1,"n.a.")</x:f>
        <x:v>0.03778171623506643</x:v>
      </x:c>
      <x:c r="L1135" s="15" t="n">
        <x:f>IF(AND(N1135,ISNUMBER(H1135),ISNUMBER(I1135),H1135&gt;0),I1135/H1135-1,"n.a.")</x:f>
        <x:v>0.034398074152021785</x:v>
      </x:c>
      <x:c r="M1135" s="20" t="n">
        <x:f>IF(AND(ISNUMBER(K1135),ISNUMBER(L1135)),100*(K1135-L1135),"n.a.")</x:f>
        <x:v>0.3383642083044647</x:v>
      </x:c>
      <x:c r="N1135" s="13" t="b">
        <x:v>1</x:v>
      </x:c>
      <x:c r="O1135" s="13" t="b">
        <x:v>1</x:v>
      </x:c>
      <x:c r="P1135" s="13" t="b">
        <x:v>0</x:v>
      </x:c>
      <x:c r="Q1135" s="2" t="str">
        <x:v>L1_numeric_partition_qualified_not_national_completeness</x:v>
      </x:c>
      <x:c r="R1135" s="2" t="str">
        <x:v>L1_numeric_partition_qualified_not_national_completeness</x:v>
      </x:c>
      <x:c r="S1135" s="2" t="str">
        <x:v>historical_GHSL_BU_estimate</x:v>
      </x:c>
      <x:c r="T1135" s="2" t="str">
        <x:v>historical_GHSL_BU_estimate</x:v>
      </x:c>
      <x:c r="U1135" s="2" t="str">
        <x:v>GFA growth versus source physical quantity growth; constant conversion required for equality</x:v>
      </x:c>
      <x:c r="V1135" s="2" t="str">
        <x:v>Future horizontal path is already a v16 driver; WUP historical surface derives from GHSL</x:v>
      </x:c>
      <x:c r="W1135" s="2" t="str">
        <x:v>https://human-settlement.emergency.copernicus.eu/datasets.php</x:v>
      </x:c>
    </x:row>
    <x:row r="1136" ht="23" customHeight="1">
      <x:c r="A1136" s="2" t="str">
        <x:v>SLB</x:v>
      </x:c>
      <x:c r="B1136" s="2" t="str">
        <x:v>Solomon Islands</x:v>
      </x:c>
      <x:c r="C1136" s="2" t="str">
        <x:v>WUP_SURFACE</x:v>
      </x:c>
      <x:c r="D1136" s="2" t="n">
        <x:v>2015</x:v>
      </x:c>
      <x:c r="E1136" s="2" t="n">
        <x:v>2020</x:v>
      </x:c>
      <x:c r="F1136" s="17" t="n">
        <x:v>13834538.346259255</x:v>
      </x:c>
      <x:c r="G1136" s="17" t="n">
        <x:v>14438629.189999975</x:v>
      </x:c>
      <x:c r="H1136" s="17" t="n">
        <x:v>25553642.02953524</x:v>
      </x:c>
      <x:c r="I1136" s="17" t="n">
        <x:v>26522994.034811523</x:v>
      </x:c>
      <x:c r="J1136" s="2" t="str">
        <x:v>m2</x:v>
      </x:c>
      <x:c r="K1136" s="15" t="n">
        <x:f>IF(AND(ISNUMBER(F1136),ISNUMBER(G1136),F1136&gt;0),G1136/F1136-1,"n.a.")</x:f>
        <x:v>0.04366541395319201</x:v>
      </x:c>
      <x:c r="L1136" s="15" t="n">
        <x:f>IF(AND(N1136,ISNUMBER(H1136),ISNUMBER(I1136),H1136&gt;0),I1136/H1136-1,"n.a.")</x:f>
        <x:v>0.037934005812396254</x:v>
      </x:c>
      <x:c r="M1136" s="20" t="n">
        <x:f>IF(AND(ISNUMBER(K1136),ISNUMBER(L1136)),100*(K1136-L1136),"n.a.")</x:f>
        <x:v>0.5731408140795757</x:v>
      </x:c>
      <x:c r="N1136" s="13" t="b">
        <x:v>1</x:v>
      </x:c>
      <x:c r="O1136" s="13" t="b">
        <x:v>1</x:v>
      </x:c>
      <x:c r="P1136" s="13" t="b">
        <x:v>0</x:v>
      </x:c>
      <x:c r="Q1136" s="2" t="str">
        <x:v>L1_numeric_partition_qualified_not_national_completeness</x:v>
      </x:c>
      <x:c r="R1136" s="2" t="str">
        <x:v>L1_numeric_partition_qualified_not_national_completeness</x:v>
      </x:c>
      <x:c r="S1136" s="2" t="str">
        <x:v>historical_GHSL_BU_estimate</x:v>
      </x:c>
      <x:c r="T1136" s="2" t="str">
        <x:v>historical_GHSL_BU_estimate</x:v>
      </x:c>
      <x:c r="U1136" s="2" t="str">
        <x:v>GFA growth versus source physical quantity growth; constant conversion required for equality</x:v>
      </x:c>
      <x:c r="V1136" s="2" t="str">
        <x:v>Future horizontal path is already a v16 driver; WUP historical surface derives from GHSL</x:v>
      </x:c>
      <x:c r="W1136" s="2" t="str">
        <x:v>https://human-settlement.emergency.copernicus.eu/datasets.php</x:v>
      </x:c>
    </x:row>
    <x:row r="1137" ht="23" customHeight="1">
      <x:c r="A1137" s="2" t="str">
        <x:v>SLE</x:v>
      </x:c>
      <x:c r="B1137" s="2" t="str">
        <x:v>Sierra Leone (Republic of)</x:v>
      </x:c>
      <x:c r="C1137" s="2" t="str">
        <x:v>WUP_SURFACE</x:v>
      </x:c>
      <x:c r="D1137" s="2" t="n">
        <x:v>2015</x:v>
      </x:c>
      <x:c r="E1137" s="2" t="n">
        <x:v>2020</x:v>
      </x:c>
      <x:c r="F1137" s="17" t="n">
        <x:v>109212964.25369625</x:v>
      </x:c>
      <x:c r="G1137" s="17" t="n">
        <x:v>115259924.94999996</x:v>
      </x:c>
      <x:c r="H1137" s="17" t="n">
        <x:v>214408822.0964784</x:v>
      </x:c>
      <x:c r="I1137" s="17" t="n">
        <x:v>224041914.19126338</x:v>
      </x:c>
      <x:c r="J1137" s="2" t="str">
        <x:v>m2</x:v>
      </x:c>
      <x:c r="K1137" s="15" t="n">
        <x:f>IF(AND(ISNUMBER(F1137),ISNUMBER(G1137),F1137&gt;0),G1137/F1137-1,"n.a.")</x:f>
        <x:v>0.05536852458520336</x:v>
      </x:c>
      <x:c r="L1137" s="15" t="n">
        <x:f>IF(AND(N1137,ISNUMBER(H1137),ISNUMBER(I1137),H1137&gt;0),I1137/H1137-1,"n.a.")</x:f>
        <x:v>0.04492861814450122</x:v>
      </x:c>
      <x:c r="M1137" s="20" t="n">
        <x:f>IF(AND(ISNUMBER(K1137),ISNUMBER(L1137)),100*(K1137-L1137),"n.a.")</x:f>
        <x:v>1.043990644070214</x:v>
      </x:c>
      <x:c r="N1137" s="13" t="b">
        <x:v>1</x:v>
      </x:c>
      <x:c r="O1137" s="13" t="b">
        <x:v>1</x:v>
      </x:c>
      <x:c r="P1137" s="13" t="b">
        <x:v>0</x:v>
      </x:c>
      <x:c r="Q1137" s="2" t="str">
        <x:v>L1_numeric_partition_qualified_not_national_completeness</x:v>
      </x:c>
      <x:c r="R1137" s="2" t="str">
        <x:v>L1_numeric_partition_qualified_not_national_completeness</x:v>
      </x:c>
      <x:c r="S1137" s="2" t="str">
        <x:v>historical_GHSL_BU_estimate</x:v>
      </x:c>
      <x:c r="T1137" s="2" t="str">
        <x:v>historical_GHSL_BU_estimate</x:v>
      </x:c>
      <x:c r="U1137" s="2" t="str">
        <x:v>GFA growth versus source physical quantity growth; constant conversion required for equality</x:v>
      </x:c>
      <x:c r="V1137" s="2" t="str">
        <x:v>Future horizontal path is already a v16 driver; WUP historical surface derives from GHSL</x:v>
      </x:c>
      <x:c r="W1137" s="2" t="str">
        <x:v>https://human-settlement.emergency.copernicus.eu/datasets.php</x:v>
      </x:c>
    </x:row>
    <x:row r="1138" ht="23" customHeight="1">
      <x:c r="A1138" s="2" t="str">
        <x:v>SLV</x:v>
      </x:c>
      <x:c r="B1138" s="2" t="str">
        <x:v>El Salvador (Republic of)</x:v>
      </x:c>
      <x:c r="C1138" s="2" t="str">
        <x:v>WUP_SURFACE</x:v>
      </x:c>
      <x:c r="D1138" s="2" t="n">
        <x:v>2015</x:v>
      </x:c>
      <x:c r="E1138" s="2" t="n">
        <x:v>2020</x:v>
      </x:c>
      <x:c r="F1138" s="17" t="n">
        <x:v>216811219.0565358</x:v>
      </x:c>
      <x:c r="G1138" s="17" t="n">
        <x:v>245414047.01000017</x:v>
      </x:c>
      <x:c r="H1138" s="17" t="n">
        <x:v>302837152.9024108</x:v>
      </x:c>
      <x:c r="I1138" s="17" t="n">
        <x:v>341042214.0468587</x:v>
      </x:c>
      <x:c r="J1138" s="2" t="str">
        <x:v>m2</x:v>
      </x:c>
      <x:c r="K1138" s="15" t="n">
        <x:f>IF(AND(ISNUMBER(F1138),ISNUMBER(G1138),F1138&gt;0),G1138/F1138-1,"n.a.")</x:f>
        <x:v>0.13192503634235764</x:v>
      </x:c>
      <x:c r="L1138" s="15" t="n">
        <x:f>IF(AND(N1138,ISNUMBER(H1138),ISNUMBER(I1138),H1138&gt;0),I1138/H1138-1,"n.a.")</x:f>
        <x:v>0.12615711374343652</x:v>
      </x:c>
      <x:c r="M1138" s="20" t="n">
        <x:f>IF(AND(ISNUMBER(K1138),ISNUMBER(L1138)),100*(K1138-L1138),"n.a.")</x:f>
        <x:v>0.5767922598921116</x:v>
      </x:c>
      <x:c r="N1138" s="13" t="b">
        <x:v>1</x:v>
      </x:c>
      <x:c r="O1138" s="13" t="b">
        <x:v>1</x:v>
      </x:c>
      <x:c r="P1138" s="13" t="b">
        <x:v>0</x:v>
      </x:c>
      <x:c r="Q1138" s="2" t="str">
        <x:v>L1_numeric_partition_qualified_not_national_completeness</x:v>
      </x:c>
      <x:c r="R1138" s="2" t="str">
        <x:v>L1_numeric_partition_qualified_not_national_completeness</x:v>
      </x:c>
      <x:c r="S1138" s="2" t="str">
        <x:v>historical_GHSL_BU_estimate</x:v>
      </x:c>
      <x:c r="T1138" s="2" t="str">
        <x:v>historical_GHSL_BU_estimate</x:v>
      </x:c>
      <x:c r="U1138" s="2" t="str">
        <x:v>GFA growth versus source physical quantity growth; constant conversion required for equality</x:v>
      </x:c>
      <x:c r="V1138" s="2" t="str">
        <x:v>Future horizontal path is already a v16 driver; WUP historical surface derives from GHSL</x:v>
      </x:c>
      <x:c r="W1138" s="2" t="str">
        <x:v>https://human-settlement.emergency.copernicus.eu/datasets.php</x:v>
      </x:c>
    </x:row>
    <x:row r="1139" ht="23" customHeight="1">
      <x:c r="A1139" s="2" t="str">
        <x:v>SMR</x:v>
      </x:c>
      <x:c r="B1139" s="2" t="str">
        <x:v>San Marino (Republic of)</x:v>
      </x:c>
      <x:c r="C1139" s="2" t="str">
        <x:v>WUP_SURFACE</x:v>
      </x:c>
      <x:c r="D1139" s="2" t="n">
        <x:v>2015</x:v>
      </x:c>
      <x:c r="E1139" s="2" t="n">
        <x:v>2020</x:v>
      </x:c>
      <x:c r="F1139" s="17" t="n">
        <x:v>2893084.9931119457</x:v>
      </x:c>
      <x:c r="G1139" s="17" t="n">
        <x:v>3030681.630000002</x:v>
      </x:c>
      <x:c r="H1139" s="17" t="n">
        <x:v>4518371.999729425</x:v>
      </x:c>
      <x:c r="I1139" s="17" t="n">
        <x:v>4682492.999825627</x:v>
      </x:c>
      <x:c r="J1139" s="2" t="str">
        <x:v>m2</x:v>
      </x:c>
      <x:c r="K1139" s="15" t="n">
        <x:f>IF(AND(ISNUMBER(F1139),ISNUMBER(G1139),F1139&gt;0),G1139/F1139-1,"n.a.")</x:f>
        <x:v>0.047560523529607934</x:v>
      </x:c>
      <x:c r="L1139" s="15" t="n">
        <x:f>IF(AND(N1139,ISNUMBER(H1139),ISNUMBER(I1139),H1139&gt;0),I1139/H1139-1,"n.a.")</x:f>
        <x:v>0.03632303849838614</x:v>
      </x:c>
      <x:c r="M1139" s="20" t="n">
        <x:f>IF(AND(ISNUMBER(K1139),ISNUMBER(L1139)),100*(K1139-L1139),"n.a.")</x:f>
        <x:v>1.1237485031221794</x:v>
      </x:c>
      <x:c r="N1139" s="13" t="b">
        <x:v>1</x:v>
      </x:c>
      <x:c r="O1139" s="13" t="b">
        <x:v>1</x:v>
      </x:c>
      <x:c r="P1139" s="13" t="b">
        <x:v>0</x:v>
      </x:c>
      <x:c r="Q1139" s="2" t="str">
        <x:v>L1_numeric_partition_qualified_not_national_completeness</x:v>
      </x:c>
      <x:c r="R1139" s="2" t="str">
        <x:v>L1_numeric_partition_qualified_not_national_completeness</x:v>
      </x:c>
      <x:c r="S1139" s="2" t="str">
        <x:v>historical_GHSL_BU_estimate</x:v>
      </x:c>
      <x:c r="T1139" s="2" t="str">
        <x:v>historical_GHSL_BU_estimate</x:v>
      </x:c>
      <x:c r="U1139" s="2" t="str">
        <x:v>GFA growth versus source physical quantity growth; constant conversion required for equality</x:v>
      </x:c>
      <x:c r="V1139" s="2" t="str">
        <x:v>Future horizontal path is already a v16 driver; WUP historical surface derives from GHSL</x:v>
      </x:c>
      <x:c r="W1139" s="2" t="str">
        <x:v>https://human-settlement.emergency.copernicus.eu/datasets.php</x:v>
      </x:c>
    </x:row>
    <x:row r="1140" ht="23" customHeight="1">
      <x:c r="A1140" s="2" t="str">
        <x:v>SOM</x:v>
      </x:c>
      <x:c r="B1140" s="2" t="str">
        <x:v>Somalia (Federal Republic of)</x:v>
      </x:c>
      <x:c r="C1140" s="2" t="str">
        <x:v>WUP_SURFACE</x:v>
      </x:c>
      <x:c r="D1140" s="2" t="n">
        <x:v>2015</x:v>
      </x:c>
      <x:c r="E1140" s="2" t="n">
        <x:v>2020</x:v>
      </x:c>
      <x:c r="F1140" s="17" t="n">
        <x:v>105330761.59132184</x:v>
      </x:c>
      <x:c r="G1140" s="17" t="n">
        <x:v>134848326.33000013</x:v>
      </x:c>
      <x:c r="H1140" s="17" t="n">
        <x:v>184947777.17180112</x:v>
      </x:c>
      <x:c r="I1140" s="17" t="n">
        <x:v>235423435.1938329</x:v>
      </x:c>
      <x:c r="J1140" s="2" t="str">
        <x:v>m2</x:v>
      </x:c>
      <x:c r="K1140" s="15" t="n">
        <x:f>IF(AND(ISNUMBER(F1140),ISNUMBER(G1140),F1140&gt;0),G1140/F1140-1,"n.a.")</x:f>
        <x:v>0.28023688704734706</x:v>
      </x:c>
      <x:c r="L1140" s="15" t="n">
        <x:f>IF(AND(N1140,ISNUMBER(H1140),ISNUMBER(I1140),H1140&gt;0),I1140/H1140-1,"n.a.")</x:f>
        <x:v>0.2729184356465344</x:v>
      </x:c>
      <x:c r="M1140" s="20" t="n">
        <x:f>IF(AND(ISNUMBER(K1140),ISNUMBER(L1140)),100*(K1140-L1140),"n.a.")</x:f>
        <x:v>0.7318451400812664</x:v>
      </x:c>
      <x:c r="N1140" s="13" t="b">
        <x:v>1</x:v>
      </x:c>
      <x:c r="O1140" s="13" t="b">
        <x:v>1</x:v>
      </x:c>
      <x:c r="P1140" s="13" t="b">
        <x:v>0</x:v>
      </x:c>
      <x:c r="Q1140" s="2" t="str">
        <x:v>L1_numeric_partition_qualified_not_national_completeness</x:v>
      </x:c>
      <x:c r="R1140" s="2" t="str">
        <x:v>L1_numeric_partition_qualified_not_national_completeness</x:v>
      </x:c>
      <x:c r="S1140" s="2" t="str">
        <x:v>historical_GHSL_BU_estimate</x:v>
      </x:c>
      <x:c r="T1140" s="2" t="str">
        <x:v>historical_GHSL_BU_estimate</x:v>
      </x:c>
      <x:c r="U1140" s="2" t="str">
        <x:v>GFA growth versus source physical quantity growth; constant conversion required for equality</x:v>
      </x:c>
      <x:c r="V1140" s="2" t="str">
        <x:v>Future horizontal path is already a v16 driver; WUP historical surface derives from GHSL</x:v>
      </x:c>
      <x:c r="W1140" s="2" t="str">
        <x:v>https://human-settlement.emergency.copernicus.eu/datasets.php</x:v>
      </x:c>
    </x:row>
    <x:row r="1141" ht="23" customHeight="1">
      <x:c r="A1141" s="2" t="str">
        <x:v>SRB</x:v>
      </x:c>
      <x:c r="B1141" s="2" t="str">
        <x:v>Serbia (Republic of)</x:v>
      </x:c>
      <x:c r="C1141" s="2" t="str">
        <x:v>WUP_SURFACE</x:v>
      </x:c>
      <x:c r="D1141" s="2" t="n">
        <x:v>2015</x:v>
      </x:c>
      <x:c r="E1141" s="2" t="n">
        <x:v>2020</x:v>
      </x:c>
      <x:c r="F1141" s="17" t="n">
        <x:v>557424319.8298955</x:v>
      </x:c>
      <x:c r="G1141" s="17" t="n">
        <x:v>584520286.2100008</x:v>
      </x:c>
      <x:c r="H1141" s="17" t="n">
        <x:v>771923530.1501997</x:v>
      </x:c>
      <x:c r="I1141" s="17" t="n">
        <x:v>809442328.1996503</x:v>
      </x:c>
      <x:c r="J1141" s="2" t="str">
        <x:v>m2</x:v>
      </x:c>
      <x:c r="K1141" s="15" t="n">
        <x:f>IF(AND(ISNUMBER(F1141),ISNUMBER(G1141),F1141&gt;0),G1141/F1141-1,"n.a.")</x:f>
        <x:v>0.04860922894138153</x:v>
      </x:c>
      <x:c r="L1141" s="15" t="n">
        <x:f>IF(AND(N1141,ISNUMBER(H1141),ISNUMBER(I1141),H1141&gt;0),I1141/H1141-1,"n.a.")</x:f>
        <x:v>0.04860429379857134</x:v>
      </x:c>
      <x:c r="M1141" s="20" t="n">
        <x:f>IF(AND(ISNUMBER(K1141),ISNUMBER(L1141)),100*(K1141-L1141),"n.a.")</x:f>
        <x:v>0.0004935142810191806</x:v>
      </x:c>
      <x:c r="N1141" s="13" t="b">
        <x:v>1</x:v>
      </x:c>
      <x:c r="O1141" s="13" t="b">
        <x:v>1</x:v>
      </x:c>
      <x:c r="P1141" s="13" t="b">
        <x:v>0</x:v>
      </x:c>
      <x:c r="Q1141" s="2" t="str">
        <x:v>L1_numeric_partition_qualified_not_national_completeness</x:v>
      </x:c>
      <x:c r="R1141" s="2" t="str">
        <x:v>L1_numeric_partition_qualified_not_national_completeness</x:v>
      </x:c>
      <x:c r="S1141" s="2" t="str">
        <x:v>historical_GHSL_BU_estimate</x:v>
      </x:c>
      <x:c r="T1141" s="2" t="str">
        <x:v>historical_GHSL_BU_estimate</x:v>
      </x:c>
      <x:c r="U1141" s="2" t="str">
        <x:v>GFA growth versus source physical quantity growth; constant conversion required for equality</x:v>
      </x:c>
      <x:c r="V1141" s="2" t="str">
        <x:v>Future horizontal path is already a v16 driver; WUP historical surface derives from GHSL</x:v>
      </x:c>
      <x:c r="W1141" s="2" t="str">
        <x:v>https://human-settlement.emergency.copernicus.eu/datasets.php</x:v>
      </x:c>
    </x:row>
    <x:row r="1142" ht="23" customHeight="1">
      <x:c r="A1142" s="2" t="str">
        <x:v>SSD</x:v>
      </x:c>
      <x:c r="B1142" s="2" t="str">
        <x:v>South Sudan (Republic of)</x:v>
      </x:c>
      <x:c r="C1142" s="2" t="str">
        <x:v>WUP_SURFACE</x:v>
      </x:c>
      <x:c r="D1142" s="2" t="n">
        <x:v>2015</x:v>
      </x:c>
      <x:c r="E1142" s="2" t="n">
        <x:v>2020</x:v>
      </x:c>
      <x:c r="F1142" s="17" t="n">
        <x:v>48697573.65751788</x:v>
      </x:c>
      <x:c r="G1142" s="17" t="n">
        <x:v>82483216.59000005</x:v>
      </x:c>
      <x:c r="H1142" s="17" t="n">
        <x:v>114381198.8786025</x:v>
      </x:c>
      <x:c r="I1142" s="17" t="n">
        <x:v>193501773.84508845</x:v>
      </x:c>
      <x:c r="J1142" s="2" t="str">
        <x:v>m2</x:v>
      </x:c>
      <x:c r="K1142" s="15" t="n">
        <x:f>IF(AND(ISNUMBER(F1142),ISNUMBER(G1142),F1142&gt;0),G1142/F1142-1,"n.a.")</x:f>
        <x:v>0.6937849341343185</x:v>
      </x:c>
      <x:c r="L1142" s="15" t="n">
        <x:f>IF(AND(N1142,ISNUMBER(H1142),ISNUMBER(I1142),H1142&gt;0),I1142/H1142-1,"n.a.")</x:f>
        <x:v>0.6917270997522931</x:v>
      </x:c>
      <x:c r="M1142" s="20" t="n">
        <x:f>IF(AND(ISNUMBER(K1142),ISNUMBER(L1142)),100*(K1142-L1142),"n.a.")</x:f>
        <x:v>0.20578343820254474</x:v>
      </x:c>
      <x:c r="N1142" s="13" t="b">
        <x:v>1</x:v>
      </x:c>
      <x:c r="O1142" s="13" t="b">
        <x:v>1</x:v>
      </x:c>
      <x:c r="P1142" s="13" t="b">
        <x:v>0</x:v>
      </x:c>
      <x:c r="Q1142" s="2" t="str">
        <x:v>L1_numeric_partition_qualified_not_national_completeness</x:v>
      </x:c>
      <x:c r="R1142" s="2" t="str">
        <x:v>L1_numeric_partition_qualified_not_national_completeness</x:v>
      </x:c>
      <x:c r="S1142" s="2" t="str">
        <x:v>historical_GHSL_BU_estimate</x:v>
      </x:c>
      <x:c r="T1142" s="2" t="str">
        <x:v>historical_GHSL_BU_estimate</x:v>
      </x:c>
      <x:c r="U1142" s="2" t="str">
        <x:v>GFA growth versus source physical quantity growth; constant conversion required for equality</x:v>
      </x:c>
      <x:c r="V1142" s="2" t="str">
        <x:v>Future horizontal path is already a v16 driver; WUP historical surface derives from GHSL</x:v>
      </x:c>
      <x:c r="W1142" s="2" t="str">
        <x:v>https://human-settlement.emergency.copernicus.eu/datasets.php</x:v>
      </x:c>
    </x:row>
    <x:row r="1143" ht="23" customHeight="1">
      <x:c r="A1143" s="2" t="str">
        <x:v>STP</x:v>
      </x:c>
      <x:c r="B1143" s="2" t="str">
        <x:v>Sao Tome and Principe (Democratic Republic of)</x:v>
      </x:c>
      <x:c r="C1143" s="2" t="str">
        <x:v>WUP_SURFACE</x:v>
      </x:c>
      <x:c r="D1143" s="2" t="n">
        <x:v>2015</x:v>
      </x:c>
      <x:c r="E1143" s="2" t="n">
        <x:v>2020</x:v>
      </x:c>
      <x:c r="F1143" s="17" t="n">
        <x:v>6006619.554736206</x:v>
      </x:c>
      <x:c r="G1143" s="17" t="n">
        <x:v>6153544.550000003</x:v>
      </x:c>
      <x:c r="H1143" s="17" t="n">
        <x:v>7797992.020274705</x:v>
      </x:c>
      <x:c r="I1143" s="17" t="n">
        <x:v>7954488.003631922</x:v>
      </x:c>
      <x:c r="J1143" s="2" t="str">
        <x:v>m2</x:v>
      </x:c>
      <x:c r="K1143" s="15" t="n">
        <x:f>IF(AND(ISNUMBER(F1143),ISNUMBER(G1143),F1143&gt;0),G1143/F1143-1,"n.a.")</x:f>
        <x:v>0.024460512926600453</x:v>
      </x:c>
      <x:c r="L1143" s="15" t="n">
        <x:f>IF(AND(N1143,ISNUMBER(H1143),ISNUMBER(I1143),H1143&gt;0),I1143/H1143-1,"n.a.")</x:f>
        <x:v>0.020068753975424514</x:v>
      </x:c>
      <x:c r="M1143" s="20" t="n">
        <x:f>IF(AND(ISNUMBER(K1143),ISNUMBER(L1143)),100*(K1143-L1143),"n.a.")</x:f>
        <x:v>0.4391758951175939</x:v>
      </x:c>
      <x:c r="N1143" s="13" t="b">
        <x:v>1</x:v>
      </x:c>
      <x:c r="O1143" s="13" t="b">
        <x:v>1</x:v>
      </x:c>
      <x:c r="P1143" s="13" t="b">
        <x:v>0</x:v>
      </x:c>
      <x:c r="Q1143" s="2" t="str">
        <x:v>L1_numeric_partition_qualified_not_national_completeness</x:v>
      </x:c>
      <x:c r="R1143" s="2" t="str">
        <x:v>L1_numeric_partition_qualified_not_national_completeness</x:v>
      </x:c>
      <x:c r="S1143" s="2" t="str">
        <x:v>historical_GHSL_BU_estimate</x:v>
      </x:c>
      <x:c r="T1143" s="2" t="str">
        <x:v>historical_GHSL_BU_estimate</x:v>
      </x:c>
      <x:c r="U1143" s="2" t="str">
        <x:v>GFA growth versus source physical quantity growth; constant conversion required for equality</x:v>
      </x:c>
      <x:c r="V1143" s="2" t="str">
        <x:v>Future horizontal path is already a v16 driver; WUP historical surface derives from GHSL</x:v>
      </x:c>
      <x:c r="W1143" s="2" t="str">
        <x:v>https://human-settlement.emergency.copernicus.eu/datasets.php</x:v>
      </x:c>
    </x:row>
    <x:row r="1144" ht="23" customHeight="1">
      <x:c r="A1144" s="2" t="str">
        <x:v>SUR</x:v>
      </x:c>
      <x:c r="B1144" s="2" t="str">
        <x:v>Suriname (Republic of)</x:v>
      </x:c>
      <x:c r="C1144" s="2" t="str">
        <x:v>WUP_SURFACE</x:v>
      </x:c>
      <x:c r="D1144" s="2" t="n">
        <x:v>2015</x:v>
      </x:c>
      <x:c r="E1144" s="2" t="n">
        <x:v>2020</x:v>
      </x:c>
      <x:c r="F1144" s="17" t="n">
        <x:v>49112414.35196055</x:v>
      </x:c>
      <x:c r="G1144" s="17" t="n">
        <x:v>50598825.22000002</x:v>
      </x:c>
      <x:c r="H1144" s="17" t="n">
        <x:v>69756905.98785366</x:v>
      </x:c>
      <x:c r="I1144" s="17" t="n">
        <x:v>71550729.04333702</x:v>
      </x:c>
      <x:c r="J1144" s="2" t="str">
        <x:v>m2</x:v>
      </x:c>
      <x:c r="K1144" s="15" t="n">
        <x:f>IF(AND(ISNUMBER(F1144),ISNUMBER(G1144),F1144&gt;0),G1144/F1144-1,"n.a.")</x:f>
        <x:v>0.03026548150101549</x:v>
      </x:c>
      <x:c r="L1144" s="15" t="n">
        <x:f>IF(AND(N1144,ISNUMBER(H1144),ISNUMBER(I1144),H1144&gt;0),I1144/H1144-1,"n.a.")</x:f>
        <x:v>0.02571534717717694</x:v>
      </x:c>
      <x:c r="M1144" s="20" t="n">
        <x:f>IF(AND(ISNUMBER(K1144),ISNUMBER(L1144)),100*(K1144-L1144),"n.a.")</x:f>
        <x:v>0.45501343238385505</x:v>
      </x:c>
      <x:c r="N1144" s="13" t="b">
        <x:v>1</x:v>
      </x:c>
      <x:c r="O1144" s="13" t="b">
        <x:v>1</x:v>
      </x:c>
      <x:c r="P1144" s="13" t="b">
        <x:v>0</x:v>
      </x:c>
      <x:c r="Q1144" s="2" t="str">
        <x:v>L1_numeric_partition_qualified_not_national_completeness</x:v>
      </x:c>
      <x:c r="R1144" s="2" t="str">
        <x:v>L1_numeric_partition_qualified_not_national_completeness</x:v>
      </x:c>
      <x:c r="S1144" s="2" t="str">
        <x:v>historical_GHSL_BU_estimate</x:v>
      </x:c>
      <x:c r="T1144" s="2" t="str">
        <x:v>historical_GHSL_BU_estimate</x:v>
      </x:c>
      <x:c r="U1144" s="2" t="str">
        <x:v>GFA growth versus source physical quantity growth; constant conversion required for equality</x:v>
      </x:c>
      <x:c r="V1144" s="2" t="str">
        <x:v>Future horizontal path is already a v16 driver; WUP historical surface derives from GHSL</x:v>
      </x:c>
      <x:c r="W1144" s="2" t="str">
        <x:v>https://human-settlement.emergency.copernicus.eu/datasets.php</x:v>
      </x:c>
    </x:row>
    <x:row r="1145" ht="23" customHeight="1">
      <x:c r="A1145" s="2" t="str">
        <x:v>SVK</x:v>
      </x:c>
      <x:c r="B1145" s="2" t="str">
        <x:v>Slovakia (Slovak Republic)</x:v>
      </x:c>
      <x:c r="C1145" s="2" t="str">
        <x:v>WUP_SURFACE</x:v>
      </x:c>
      <x:c r="D1145" s="2" t="n">
        <x:v>2015</x:v>
      </x:c>
      <x:c r="E1145" s="2" t="n">
        <x:v>2020</x:v>
      </x:c>
      <x:c r="F1145" s="17" t="n">
        <x:v>365029895.774204</x:v>
      </x:c>
      <x:c r="G1145" s="17" t="n">
        <x:v>391189188.0500002</x:v>
      </x:c>
      <x:c r="H1145" s="17" t="n">
        <x:v>632555662.8982234</x:v>
      </x:c>
      <x:c r="I1145" s="17" t="n">
        <x:v>675187190.6212317</x:v>
      </x:c>
      <x:c r="J1145" s="2" t="str">
        <x:v>m2</x:v>
      </x:c>
      <x:c r="K1145" s="15" t="n">
        <x:f>IF(AND(ISNUMBER(F1145),ISNUMBER(G1145),F1145&gt;0),G1145/F1145-1,"n.a.")</x:f>
        <x:v>0.07166342422533378</x:v>
      </x:c>
      <x:c r="L1145" s="15" t="n">
        <x:f>IF(AND(N1145,ISNUMBER(H1145),ISNUMBER(I1145),H1145&gt;0),I1145/H1145-1,"n.a.")</x:f>
        <x:v>0.0673956937286444</x:v>
      </x:c>
      <x:c r="M1145" s="20" t="n">
        <x:f>IF(AND(ISNUMBER(K1145),ISNUMBER(L1145)),100*(K1145-L1145),"n.a.")</x:f>
        <x:v>0.42677304966893814</x:v>
      </x:c>
      <x:c r="N1145" s="13" t="b">
        <x:v>1</x:v>
      </x:c>
      <x:c r="O1145" s="13" t="b">
        <x:v>1</x:v>
      </x:c>
      <x:c r="P1145" s="13" t="b">
        <x:v>0</x:v>
      </x:c>
      <x:c r="Q1145" s="2" t="str">
        <x:v>L1_numeric_partition_qualified_not_national_completeness</x:v>
      </x:c>
      <x:c r="R1145" s="2" t="str">
        <x:v>L1_numeric_partition_qualified_not_national_completeness</x:v>
      </x:c>
      <x:c r="S1145" s="2" t="str">
        <x:v>historical_GHSL_BU_estimate</x:v>
      </x:c>
      <x:c r="T1145" s="2" t="str">
        <x:v>historical_GHSL_BU_estimate</x:v>
      </x:c>
      <x:c r="U1145" s="2" t="str">
        <x:v>GFA growth versus source physical quantity growth; constant conversion required for equality</x:v>
      </x:c>
      <x:c r="V1145" s="2" t="str">
        <x:v>Future horizontal path is already a v16 driver; WUP historical surface derives from GHSL</x:v>
      </x:c>
      <x:c r="W1145" s="2" t="str">
        <x:v>https://human-settlement.emergency.copernicus.eu/datasets.php</x:v>
      </x:c>
    </x:row>
    <x:row r="1146" ht="23" customHeight="1">
      <x:c r="A1146" s="2" t="str">
        <x:v>SVN</x:v>
      </x:c>
      <x:c r="B1146" s="2" t="str">
        <x:v>Slovenia (Republic of)</x:v>
      </x:c>
      <x:c r="C1146" s="2" t="str">
        <x:v>WUP_SURFACE</x:v>
      </x:c>
      <x:c r="D1146" s="2" t="n">
        <x:v>2015</x:v>
      </x:c>
      <x:c r="E1146" s="2" t="n">
        <x:v>2020</x:v>
      </x:c>
      <x:c r="F1146" s="17" t="n">
        <x:v>180123963.30761537</x:v>
      </x:c>
      <x:c r="G1146" s="17" t="n">
        <x:v>188783306.59000015</x:v>
      </x:c>
      <x:c r="H1146" s="17" t="n">
        <x:v>246708344.0226205</x:v>
      </x:c>
      <x:c r="I1146" s="17" t="n">
        <x:v>257007811.99404934</x:v>
      </x:c>
      <x:c r="J1146" s="2" t="str">
        <x:v>m2</x:v>
      </x:c>
      <x:c r="K1146" s="15" t="n">
        <x:f>IF(AND(ISNUMBER(F1146),ISNUMBER(G1146),F1146&gt;0),G1146/F1146-1,"n.a.")</x:f>
        <x:v>0.048074354590990076</x:v>
      </x:c>
      <x:c r="L1146" s="15" t="n">
        <x:f>IF(AND(N1146,ISNUMBER(H1146),ISNUMBER(I1146),H1146&gt;0),I1146/H1146-1,"n.a.")</x:f>
        <x:v>0.04174754612468434</x:v>
      </x:c>
      <x:c r="M1146" s="20" t="n">
        <x:f>IF(AND(ISNUMBER(K1146),ISNUMBER(L1146)),100*(K1146-L1146),"n.a.")</x:f>
        <x:v>0.6326808466305733</x:v>
      </x:c>
      <x:c r="N1146" s="13" t="b">
        <x:v>1</x:v>
      </x:c>
      <x:c r="O1146" s="13" t="b">
        <x:v>1</x:v>
      </x:c>
      <x:c r="P1146" s="13" t="b">
        <x:v>0</x:v>
      </x:c>
      <x:c r="Q1146" s="2" t="str">
        <x:v>L1_numeric_partition_qualified_not_national_completeness</x:v>
      </x:c>
      <x:c r="R1146" s="2" t="str">
        <x:v>L1_numeric_partition_qualified_not_national_completeness</x:v>
      </x:c>
      <x:c r="S1146" s="2" t="str">
        <x:v>historical_GHSL_BU_estimate</x:v>
      </x:c>
      <x:c r="T1146" s="2" t="str">
        <x:v>historical_GHSL_BU_estimate</x:v>
      </x:c>
      <x:c r="U1146" s="2" t="str">
        <x:v>GFA growth versus source physical quantity growth; constant conversion required for equality</x:v>
      </x:c>
      <x:c r="V1146" s="2" t="str">
        <x:v>Future horizontal path is already a v16 driver; WUP historical surface derives from GHSL</x:v>
      </x:c>
      <x:c r="W1146" s="2" t="str">
        <x:v>https://human-settlement.emergency.copernicus.eu/datasets.php</x:v>
      </x:c>
    </x:row>
    <x:row r="1147" ht="23" customHeight="1">
      <x:c r="A1147" s="2" t="str">
        <x:v>SWE</x:v>
      </x:c>
      <x:c r="B1147" s="2" t="str">
        <x:v>Sweden (Kingdom of)</x:v>
      </x:c>
      <x:c r="C1147" s="2" t="str">
        <x:v>WUP_SURFACE</x:v>
      </x:c>
      <x:c r="D1147" s="2" t="n">
        <x:v>2015</x:v>
      </x:c>
      <x:c r="E1147" s="2" t="n">
        <x:v>2020</x:v>
      </x:c>
      <x:c r="F1147" s="17" t="n">
        <x:v>808375078.7663457</x:v>
      </x:c>
      <x:c r="G1147" s="17" t="n">
        <x:v>860750073.0500002</x:v>
      </x:c>
      <x:c r="H1147" s="17" t="n">
        <x:v>873564163.1539154</x:v>
      </x:c>
      <x:c r="I1147" s="17" t="n">
        <x:v>922063838.942528</x:v>
      </x:c>
      <x:c r="J1147" s="2" t="str">
        <x:v>m2</x:v>
      </x:c>
      <x:c r="K1147" s="15" t="n">
        <x:f>IF(AND(ISNUMBER(F1147),ISNUMBER(G1147),F1147&gt;0),G1147/F1147-1,"n.a.")</x:f>
        <x:v>0.06479046133334965</x:v>
      </x:c>
      <x:c r="L1147" s="15" t="n">
        <x:f>IF(AND(N1147,ISNUMBER(H1147),ISNUMBER(I1147),H1147&gt;0),I1147/H1147-1,"n.a.")</x:f>
        <x:v>0.055519305660971074</x:v>
      </x:c>
      <x:c r="M1147" s="20" t="n">
        <x:f>IF(AND(ISNUMBER(K1147),ISNUMBER(L1147)),100*(K1147-L1147),"n.a.")</x:f>
        <x:v>0.9271155672378573</x:v>
      </x:c>
      <x:c r="N1147" s="13" t="b">
        <x:v>1</x:v>
      </x:c>
      <x:c r="O1147" s="13" t="b">
        <x:v>1</x:v>
      </x:c>
      <x:c r="P1147" s="13" t="b">
        <x:v>0</x:v>
      </x:c>
      <x:c r="Q1147" s="2" t="str">
        <x:v>L1_numeric_partition_qualified_not_national_completeness</x:v>
      </x:c>
      <x:c r="R1147" s="2" t="str">
        <x:v>L1_numeric_partition_qualified_not_national_completeness</x:v>
      </x:c>
      <x:c r="S1147" s="2" t="str">
        <x:v>historical_GHSL_BU_estimate</x:v>
      </x:c>
      <x:c r="T1147" s="2" t="str">
        <x:v>historical_GHSL_BU_estimate</x:v>
      </x:c>
      <x:c r="U1147" s="2" t="str">
        <x:v>GFA growth versus source physical quantity growth; constant conversion required for equality</x:v>
      </x:c>
      <x:c r="V1147" s="2" t="str">
        <x:v>Future horizontal path is already a v16 driver; WUP historical surface derives from GHSL</x:v>
      </x:c>
      <x:c r="W1147" s="2" t="str">
        <x:v>https://human-settlement.emergency.copernicus.eu/datasets.php</x:v>
      </x:c>
    </x:row>
    <x:row r="1148" ht="23" customHeight="1">
      <x:c r="A1148" s="2" t="str">
        <x:v>SWZ</x:v>
      </x:c>
      <x:c r="B1148" s="2" t="str">
        <x:v>Eswatini (Kingdom of)</x:v>
      </x:c>
      <x:c r="C1148" s="2" t="str">
        <x:v>WUP_SURFACE</x:v>
      </x:c>
      <x:c r="D1148" s="2" t="n">
        <x:v>2015</x:v>
      </x:c>
      <x:c r="E1148" s="2" t="n">
        <x:v>2020</x:v>
      </x:c>
      <x:c r="F1148" s="17" t="n">
        <x:v>33675400.7123071</x:v>
      </x:c>
      <x:c r="G1148" s="17" t="n">
        <x:v>51228621.629999995</x:v>
      </x:c>
      <x:c r="H1148" s="17" t="n">
        <x:v>105990671.04498488</x:v>
      </x:c>
      <x:c r="I1148" s="17" t="n">
        <x:v>159921158.14358234</x:v>
      </x:c>
      <x:c r="J1148" s="2" t="str">
        <x:v>m2</x:v>
      </x:c>
      <x:c r="K1148" s="15" t="n">
        <x:f>IF(AND(ISNUMBER(F1148),ISNUMBER(G1148),F1148&gt;0),G1148/F1148-1,"n.a.")</x:f>
        <x:v>0.5212475737899043</x:v>
      </x:c>
      <x:c r="L1148" s="15" t="n">
        <x:f>IF(AND(N1148,ISNUMBER(H1148),ISNUMBER(I1148),H1148&gt;0),I1148/H1148-1,"n.a.")</x:f>
        <x:v>0.5088229611803112</x:v>
      </x:c>
      <x:c r="M1148" s="20" t="n">
        <x:f>IF(AND(ISNUMBER(K1148),ISNUMBER(L1148)),100*(K1148-L1148),"n.a.")</x:f>
        <x:v>1.2424612609593044</x:v>
      </x:c>
      <x:c r="N1148" s="13" t="b">
        <x:v>1</x:v>
      </x:c>
      <x:c r="O1148" s="13" t="b">
        <x:v>1</x:v>
      </x:c>
      <x:c r="P1148" s="13" t="b">
        <x:v>0</x:v>
      </x:c>
      <x:c r="Q1148" s="2" t="str">
        <x:v>L1_numeric_partition_qualified_not_national_completeness</x:v>
      </x:c>
      <x:c r="R1148" s="2" t="str">
        <x:v>L1_numeric_partition_qualified_not_national_completeness</x:v>
      </x:c>
      <x:c r="S1148" s="2" t="str">
        <x:v>historical_GHSL_BU_estimate</x:v>
      </x:c>
      <x:c r="T1148" s="2" t="str">
        <x:v>historical_GHSL_BU_estimate</x:v>
      </x:c>
      <x:c r="U1148" s="2" t="str">
        <x:v>GFA growth versus source physical quantity growth; constant conversion required for equality</x:v>
      </x:c>
      <x:c r="V1148" s="2" t="str">
        <x:v>Future horizontal path is already a v16 driver; WUP historical surface derives from GHSL</x:v>
      </x:c>
      <x:c r="W1148" s="2" t="str">
        <x:v>https://human-settlement.emergency.copernicus.eu/datasets.php</x:v>
      </x:c>
    </x:row>
    <x:row r="1149" ht="23" customHeight="1">
      <x:c r="A1149" s="2" t="str">
        <x:v>SYC</x:v>
      </x:c>
      <x:c r="B1149" s="2" t="str">
        <x:v>Seychelles (Republic of)</x:v>
      </x:c>
      <x:c r="C1149" s="2" t="str">
        <x:v>WUP_SURFACE</x:v>
      </x:c>
      <x:c r="D1149" s="2" t="n">
        <x:v>2015</x:v>
      </x:c>
      <x:c r="E1149" s="2" t="n">
        <x:v>2020</x:v>
      </x:c>
      <x:c r="F1149" s="17" t="n">
        <x:v>7079080.10364114</x:v>
      </x:c>
      <x:c r="G1149" s="17" t="n">
        <x:v>7317572.880000001</x:v>
      </x:c>
      <x:c r="H1149" s="17" t="n">
        <x:v>5383317.99815785</x:v>
      </x:c>
      <x:c r="I1149" s="17" t="n">
        <x:v>5511621.986451587</x:v>
      </x:c>
      <x:c r="J1149" s="2" t="str">
        <x:v>m2</x:v>
      </x:c>
      <x:c r="K1149" s="15" t="n">
        <x:f>IF(AND(ISNUMBER(F1149),ISNUMBER(G1149),F1149&gt;0),G1149/F1149-1,"n.a.")</x:f>
        <x:v>0.03368979766681712</x:v>
      </x:c>
      <x:c r="L1149" s="15" t="n">
        <x:f>IF(AND(N1149,ISNUMBER(H1149),ISNUMBER(I1149),H1149&gt;0),I1149/H1149-1,"n.a.")</x:f>
        <x:v>0.02383362609038553</x:v>
      </x:c>
      <x:c r="M1149" s="20" t="n">
        <x:f>IF(AND(ISNUMBER(K1149),ISNUMBER(L1149)),100*(K1149-L1149),"n.a.")</x:f>
        <x:v>0.9856171576431594</x:v>
      </x:c>
      <x:c r="N1149" s="13" t="b">
        <x:v>1</x:v>
      </x:c>
      <x:c r="O1149" s="13" t="b">
        <x:v>1</x:v>
      </x:c>
      <x:c r="P1149" s="13" t="b">
        <x:v>0</x:v>
      </x:c>
      <x:c r="Q1149" s="2" t="str">
        <x:v>L1_numeric_partition_qualified_not_national_completeness</x:v>
      </x:c>
      <x:c r="R1149" s="2" t="str">
        <x:v>L1_numeric_partition_qualified_not_national_completeness</x:v>
      </x:c>
      <x:c r="S1149" s="2" t="str">
        <x:v>historical_GHSL_BU_estimate</x:v>
      </x:c>
      <x:c r="T1149" s="2" t="str">
        <x:v>historical_GHSL_BU_estimate</x:v>
      </x:c>
      <x:c r="U1149" s="2" t="str">
        <x:v>GFA growth versus source physical quantity growth; constant conversion required for equality</x:v>
      </x:c>
      <x:c r="V1149" s="2" t="str">
        <x:v>Future horizontal path is already a v16 driver; WUP historical surface derives from GHSL</x:v>
      </x:c>
      <x:c r="W1149" s="2" t="str">
        <x:v>https://human-settlement.emergency.copernicus.eu/datasets.php</x:v>
      </x:c>
    </x:row>
    <x:row r="1150" ht="23" customHeight="1">
      <x:c r="A1150" s="2" t="str">
        <x:v>SYR</x:v>
      </x:c>
      <x:c r="B1150" s="2" t="str">
        <x:v>Syrian Arab Republic</x:v>
      </x:c>
      <x:c r="C1150" s="2" t="str">
        <x:v>WUP_SURFACE</x:v>
      </x:c>
      <x:c r="D1150" s="2" t="n">
        <x:v>2015</x:v>
      </x:c>
      <x:c r="E1150" s="2" t="n">
        <x:v>2020</x:v>
      </x:c>
      <x:c r="F1150" s="17" t="n">
        <x:v>760444963.635695</x:v>
      </x:c>
      <x:c r="G1150" s="17" t="n">
        <x:v>795482211.65</x:v>
      </x:c>
      <x:c r="H1150" s="17" t="n">
        <x:v>930716424.4302236</x:v>
      </x:c>
      <x:c r="I1150" s="17" t="n">
        <x:v>966625815.5891018</x:v>
      </x:c>
      <x:c r="J1150" s="2" t="str">
        <x:v>m2</x:v>
      </x:c>
      <x:c r="K1150" s="15" t="n">
        <x:f>IF(AND(ISNUMBER(F1150),ISNUMBER(G1150),F1150&gt;0),G1150/F1150-1,"n.a.")</x:f>
        <x:v>0.04607466639898772</x:v>
      </x:c>
      <x:c r="L1150" s="15" t="n">
        <x:f>IF(AND(N1150,ISNUMBER(H1150),ISNUMBER(I1150),H1150&gt;0),I1150/H1150-1,"n.a.")</x:f>
        <x:v>0.038582526552984886</x:v>
      </x:c>
      <x:c r="M1150" s="20" t="n">
        <x:f>IF(AND(ISNUMBER(K1150),ISNUMBER(L1150)),100*(K1150-L1150),"n.a.")</x:f>
        <x:v>0.7492139846002832</x:v>
      </x:c>
      <x:c r="N1150" s="13" t="b">
        <x:v>1</x:v>
      </x:c>
      <x:c r="O1150" s="13" t="b">
        <x:v>1</x:v>
      </x:c>
      <x:c r="P1150" s="13" t="b">
        <x:v>0</x:v>
      </x:c>
      <x:c r="Q1150" s="2" t="str">
        <x:v>L1_numeric_partition_qualified_not_national_completeness</x:v>
      </x:c>
      <x:c r="R1150" s="2" t="str">
        <x:v>L1_numeric_partition_qualified_not_national_completeness</x:v>
      </x:c>
      <x:c r="S1150" s="2" t="str">
        <x:v>historical_GHSL_BU_estimate</x:v>
      </x:c>
      <x:c r="T1150" s="2" t="str">
        <x:v>historical_GHSL_BU_estimate</x:v>
      </x:c>
      <x:c r="U1150" s="2" t="str">
        <x:v>GFA growth versus source physical quantity growth; constant conversion required for equality</x:v>
      </x:c>
      <x:c r="V1150" s="2" t="str">
        <x:v>Future horizontal path is already a v16 driver; WUP historical surface derives from GHSL</x:v>
      </x:c>
      <x:c r="W1150" s="2" t="str">
        <x:v>https://human-settlement.emergency.copernicus.eu/datasets.php</x:v>
      </x:c>
    </x:row>
    <x:row r="1151" ht="23" customHeight="1">
      <x:c r="A1151" s="2" t="str">
        <x:v>TCD</x:v>
      </x:c>
      <x:c r="B1151" s="2" t="str">
        <x:v>Chad (Republic of)</x:v>
      </x:c>
      <x:c r="C1151" s="2" t="str">
        <x:v>WUP_SURFACE</x:v>
      </x:c>
      <x:c r="D1151" s="2" t="n">
        <x:v>2015</x:v>
      </x:c>
      <x:c r="E1151" s="2" t="n">
        <x:v>2020</x:v>
      </x:c>
      <x:c r="F1151" s="17" t="n">
        <x:v>100386445.63678944</x:v>
      </x:c>
      <x:c r="G1151" s="17" t="n">
        <x:v>126450494.21999988</x:v>
      </x:c>
      <x:c r="H1151" s="17" t="n">
        <x:v>445134496.93931615</x:v>
      </x:c>
      <x:c r="I1151" s="17" t="n">
        <x:v>555204347.0216299</x:v>
      </x:c>
      <x:c r="J1151" s="2" t="str">
        <x:v>m2</x:v>
      </x:c>
      <x:c r="K1151" s="15" t="n">
        <x:f>IF(AND(ISNUMBER(F1151),ISNUMBER(G1151),F1151&gt;0),G1151/F1151-1,"n.a.")</x:f>
        <x:v>0.2596371294737676</x:v>
      </x:c>
      <x:c r="L1151" s="15" t="n">
        <x:f>IF(AND(N1151,ISNUMBER(H1151),ISNUMBER(I1151),H1151&gt;0),I1151/H1151-1,"n.a.")</x:f>
        <x:v>0.24727324177105792</x:v>
      </x:c>
      <x:c r="M1151" s="20" t="n">
        <x:f>IF(AND(ISNUMBER(K1151),ISNUMBER(L1151)),100*(K1151-L1151),"n.a.")</x:f>
        <x:v>1.2363887702709686</x:v>
      </x:c>
      <x:c r="N1151" s="13" t="b">
        <x:v>1</x:v>
      </x:c>
      <x:c r="O1151" s="13" t="b">
        <x:v>1</x:v>
      </x:c>
      <x:c r="P1151" s="13" t="b">
        <x:v>0</x:v>
      </x:c>
      <x:c r="Q1151" s="2" t="str">
        <x:v>L1_numeric_partition_qualified_not_national_completeness</x:v>
      </x:c>
      <x:c r="R1151" s="2" t="str">
        <x:v>L1_numeric_partition_qualified_not_national_completeness</x:v>
      </x:c>
      <x:c r="S1151" s="2" t="str">
        <x:v>historical_GHSL_BU_estimate</x:v>
      </x:c>
      <x:c r="T1151" s="2" t="str">
        <x:v>historical_GHSL_BU_estimate</x:v>
      </x:c>
      <x:c r="U1151" s="2" t="str">
        <x:v>GFA growth versus source physical quantity growth; constant conversion required for equality</x:v>
      </x:c>
      <x:c r="V1151" s="2" t="str">
        <x:v>Future horizontal path is already a v16 driver; WUP historical surface derives from GHSL</x:v>
      </x:c>
      <x:c r="W1151" s="2" t="str">
        <x:v>https://human-settlement.emergency.copernicus.eu/datasets.php</x:v>
      </x:c>
    </x:row>
    <x:row r="1152" ht="23" customHeight="1">
      <x:c r="A1152" s="2" t="str">
        <x:v>TGO</x:v>
      </x:c>
      <x:c r="B1152" s="2" t="str">
        <x:v>Togo (Togolese Republic)</x:v>
      </x:c>
      <x:c r="C1152" s="2" t="str">
        <x:v>WUP_SURFACE</x:v>
      </x:c>
      <x:c r="D1152" s="2" t="n">
        <x:v>2015</x:v>
      </x:c>
      <x:c r="E1152" s="2" t="n">
        <x:v>2020</x:v>
      </x:c>
      <x:c r="F1152" s="17" t="n">
        <x:v>157342554.75317118</x:v>
      </x:c>
      <x:c r="G1152" s="17" t="n">
        <x:v>185693532.7300002</x:v>
      </x:c>
      <x:c r="H1152" s="17" t="n">
        <x:v>401373663.8272797</x:v>
      </x:c>
      <x:c r="I1152" s="17" t="n">
        <x:v>470326535.96646696</x:v>
      </x:c>
      <x:c r="J1152" s="2" t="str">
        <x:v>m2</x:v>
      </x:c>
      <x:c r="K1152" s="15" t="n">
        <x:f>IF(AND(ISNUMBER(F1152),ISNUMBER(G1152),F1152&gt;0),G1152/F1152-1,"n.a.")</x:f>
        <x:v>0.1801863330699327</x:v>
      </x:c>
      <x:c r="L1152" s="15" t="n">
        <x:f>IF(AND(N1152,ISNUMBER(H1152),ISNUMBER(I1152),H1152&gt;0),I1152/H1152-1,"n.a.")</x:f>
        <x:v>0.17179221845721115</x:v>
      </x:c>
      <x:c r="M1152" s="20" t="n">
        <x:f>IF(AND(ISNUMBER(K1152),ISNUMBER(L1152)),100*(K1152-L1152),"n.a.")</x:f>
        <x:v>0.8394114612721548</x:v>
      </x:c>
      <x:c r="N1152" s="13" t="b">
        <x:v>1</x:v>
      </x:c>
      <x:c r="O1152" s="13" t="b">
        <x:v>1</x:v>
      </x:c>
      <x:c r="P1152" s="13" t="b">
        <x:v>0</x:v>
      </x:c>
      <x:c r="Q1152" s="2" t="str">
        <x:v>L1_numeric_partition_qualified_not_national_completeness</x:v>
      </x:c>
      <x:c r="R1152" s="2" t="str">
        <x:v>L1_numeric_partition_qualified_not_national_completeness</x:v>
      </x:c>
      <x:c r="S1152" s="2" t="str">
        <x:v>historical_GHSL_BU_estimate</x:v>
      </x:c>
      <x:c r="T1152" s="2" t="str">
        <x:v>historical_GHSL_BU_estimate</x:v>
      </x:c>
      <x:c r="U1152" s="2" t="str">
        <x:v>GFA growth versus source physical quantity growth; constant conversion required for equality</x:v>
      </x:c>
      <x:c r="V1152" s="2" t="str">
        <x:v>Future horizontal path is already a v16 driver; WUP historical surface derives from GHSL</x:v>
      </x:c>
      <x:c r="W1152" s="2" t="str">
        <x:v>https://human-settlement.emergency.copernicus.eu/datasets.php</x:v>
      </x:c>
    </x:row>
    <x:row r="1153" ht="23" customHeight="1">
      <x:c r="A1153" s="2" t="str">
        <x:v>THA</x:v>
      </x:c>
      <x:c r="B1153" s="2" t="str">
        <x:v>Thailand (Kingdom of)</x:v>
      </x:c>
      <x:c r="C1153" s="2" t="str">
        <x:v>WUP_SURFACE</x:v>
      </x:c>
      <x:c r="D1153" s="2" t="n">
        <x:v>2015</x:v>
      </x:c>
      <x:c r="E1153" s="2" t="n">
        <x:v>2020</x:v>
      </x:c>
      <x:c r="F1153" s="17" t="n">
        <x:v>4865280220.416097</x:v>
      </x:c>
      <x:c r="G1153" s="17" t="n">
        <x:v>5229846890.149993</x:v>
      </x:c>
      <x:c r="H1153" s="17" t="n">
        <x:v>6295015847.350743</x:v>
      </x:c>
      <x:c r="I1153" s="17" t="n">
        <x:v>6720698354.65762</x:v>
      </x:c>
      <x:c r="J1153" s="2" t="str">
        <x:v>m2</x:v>
      </x:c>
      <x:c r="K1153" s="15" t="n">
        <x:f>IF(AND(ISNUMBER(F1153),ISNUMBER(G1153),F1153&gt;0),G1153/F1153-1,"n.a.")</x:f>
        <x:v>0.07493230671566886</x:v>
      </x:c>
      <x:c r="L1153" s="15" t="n">
        <x:f>IF(AND(N1153,ISNUMBER(H1153),ISNUMBER(I1153),H1153&gt;0),I1153/H1153-1,"n.a.")</x:f>
        <x:v>0.06762215022636142</x:v>
      </x:c>
      <x:c r="M1153" s="20" t="n">
        <x:f>IF(AND(ISNUMBER(K1153),ISNUMBER(L1153)),100*(K1153-L1153),"n.a.")</x:f>
        <x:v>0.731015648930744</x:v>
      </x:c>
      <x:c r="N1153" s="13" t="b">
        <x:v>1</x:v>
      </x:c>
      <x:c r="O1153" s="13" t="b">
        <x:v>1</x:v>
      </x:c>
      <x:c r="P1153" s="13" t="b">
        <x:v>0</x:v>
      </x:c>
      <x:c r="Q1153" s="2" t="str">
        <x:v>L1_numeric_partition_qualified_not_national_completeness</x:v>
      </x:c>
      <x:c r="R1153" s="2" t="str">
        <x:v>L1_numeric_partition_qualified_not_national_completeness</x:v>
      </x:c>
      <x:c r="S1153" s="2" t="str">
        <x:v>historical_GHSL_BU_estimate</x:v>
      </x:c>
      <x:c r="T1153" s="2" t="str">
        <x:v>historical_GHSL_BU_estimate</x:v>
      </x:c>
      <x:c r="U1153" s="2" t="str">
        <x:v>GFA growth versus source physical quantity growth; constant conversion required for equality</x:v>
      </x:c>
      <x:c r="V1153" s="2" t="str">
        <x:v>Future horizontal path is already a v16 driver; WUP historical surface derives from GHSL</x:v>
      </x:c>
      <x:c r="W1153" s="2" t="str">
        <x:v>https://human-settlement.emergency.copernicus.eu/datasets.php</x:v>
      </x:c>
    </x:row>
    <x:row r="1154" ht="23" customHeight="1">
      <x:c r="A1154" s="2" t="str">
        <x:v>TJK</x:v>
      </x:c>
      <x:c r="B1154" s="2" t="str">
        <x:v>Tajikistan (Republic of)</x:v>
      </x:c>
      <x:c r="C1154" s="2" t="str">
        <x:v>WUP_SURFACE</x:v>
      </x:c>
      <x:c r="D1154" s="2" t="n">
        <x:v>2015</x:v>
      </x:c>
      <x:c r="E1154" s="2" t="n">
        <x:v>2020</x:v>
      </x:c>
      <x:c r="F1154" s="17" t="n">
        <x:v>361846922.0538689</x:v>
      </x:c>
      <x:c r="G1154" s="17" t="n">
        <x:v>392955797.9200004</x:v>
      </x:c>
      <x:c r="H1154" s="17" t="n">
        <x:v>677737358.0373217</x:v>
      </x:c>
      <x:c r="I1154" s="17" t="n">
        <x:v>729344216.843611</x:v>
      </x:c>
      <x:c r="J1154" s="2" t="str">
        <x:v>m2</x:v>
      </x:c>
      <x:c r="K1154" s="15" t="n">
        <x:f>IF(AND(ISNUMBER(F1154),ISNUMBER(G1154),F1154&gt;0),G1154/F1154-1,"n.a.")</x:f>
        <x:v>0.08597247612209968</x:v>
      </x:c>
      <x:c r="L1154" s="15" t="n">
        <x:f>IF(AND(N1154,ISNUMBER(H1154),ISNUMBER(I1154),H1154&gt;0),I1154/H1154-1,"n.a.")</x:f>
        <x:v>0.0761458080984927</x:v>
      </x:c>
      <x:c r="M1154" s="20" t="n">
        <x:f>IF(AND(ISNUMBER(K1154),ISNUMBER(L1154)),100*(K1154-L1154),"n.a.")</x:f>
        <x:v>0.9826668023606988</x:v>
      </x:c>
      <x:c r="N1154" s="13" t="b">
        <x:v>1</x:v>
      </x:c>
      <x:c r="O1154" s="13" t="b">
        <x:v>1</x:v>
      </x:c>
      <x:c r="P1154" s="13" t="b">
        <x:v>0</x:v>
      </x:c>
      <x:c r="Q1154" s="2" t="str">
        <x:v>L1_numeric_partition_qualified_not_national_completeness</x:v>
      </x:c>
      <x:c r="R1154" s="2" t="str">
        <x:v>L1_numeric_partition_qualified_not_national_completeness</x:v>
      </x:c>
      <x:c r="S1154" s="2" t="str">
        <x:v>historical_GHSL_BU_estimate</x:v>
      </x:c>
      <x:c r="T1154" s="2" t="str">
        <x:v>historical_GHSL_BU_estimate</x:v>
      </x:c>
      <x:c r="U1154" s="2" t="str">
        <x:v>GFA growth versus source physical quantity growth; constant conversion required for equality</x:v>
      </x:c>
      <x:c r="V1154" s="2" t="str">
        <x:v>Future horizontal path is already a v16 driver; WUP historical surface derives from GHSL</x:v>
      </x:c>
      <x:c r="W1154" s="2" t="str">
        <x:v>https://human-settlement.emergency.copernicus.eu/datasets.php</x:v>
      </x:c>
    </x:row>
    <x:row r="1155" ht="23" customHeight="1">
      <x:c r="A1155" s="2" t="str">
        <x:v>TKM</x:v>
      </x:c>
      <x:c r="B1155" s="2" t="str">
        <x:v>Turkmenistan</x:v>
      </x:c>
      <x:c r="C1155" s="2" t="str">
        <x:v>WUP_SURFACE</x:v>
      </x:c>
      <x:c r="D1155" s="2" t="n">
        <x:v>2015</x:v>
      </x:c>
      <x:c r="E1155" s="2" t="n">
        <x:v>2020</x:v>
      </x:c>
      <x:c r="F1155" s="17" t="n">
        <x:v>327928169.32018465</x:v>
      </x:c>
      <x:c r="G1155" s="17" t="n">
        <x:v>359976676.1500005</x:v>
      </x:c>
      <x:c r="H1155" s="17" t="n">
        <x:v>697450387.6795943</x:v>
      </x:c>
      <x:c r="I1155" s="17" t="n">
        <x:v>756506146.8044217</x:v>
      </x:c>
      <x:c r="J1155" s="2" t="str">
        <x:v>m2</x:v>
      </x:c>
      <x:c r="K1155" s="15" t="n">
        <x:f>IF(AND(ISNUMBER(F1155),ISNUMBER(G1155),F1155&gt;0),G1155/F1155-1,"n.a.")</x:f>
        <x:v>0.09773026482065994</x:v>
      </x:c>
      <x:c r="L1155" s="15" t="n">
        <x:f>IF(AND(N1155,ISNUMBER(H1155),ISNUMBER(I1155),H1155&gt;0),I1155/H1155-1,"n.a.")</x:f>
        <x:v>0.08467377775974128</x:v>
      </x:c>
      <x:c r="M1155" s="20" t="n">
        <x:f>IF(AND(ISNUMBER(K1155),ISNUMBER(L1155)),100*(K1155-L1155),"n.a.")</x:f>
        <x:v>1.3056487060918665</x:v>
      </x:c>
      <x:c r="N1155" s="13" t="b">
        <x:v>1</x:v>
      </x:c>
      <x:c r="O1155" s="13" t="b">
        <x:v>1</x:v>
      </x:c>
      <x:c r="P1155" s="13" t="b">
        <x:v>0</x:v>
      </x:c>
      <x:c r="Q1155" s="2" t="str">
        <x:v>L1_numeric_partition_qualified_not_national_completeness</x:v>
      </x:c>
      <x:c r="R1155" s="2" t="str">
        <x:v>L1_numeric_partition_qualified_not_national_completeness</x:v>
      </x:c>
      <x:c r="S1155" s="2" t="str">
        <x:v>historical_GHSL_BU_estimate</x:v>
      </x:c>
      <x:c r="T1155" s="2" t="str">
        <x:v>historical_GHSL_BU_estimate</x:v>
      </x:c>
      <x:c r="U1155" s="2" t="str">
        <x:v>GFA growth versus source physical quantity growth; constant conversion required for equality</x:v>
      </x:c>
      <x:c r="V1155" s="2" t="str">
        <x:v>Future horizontal path is already a v16 driver; WUP historical surface derives from GHSL</x:v>
      </x:c>
      <x:c r="W1155" s="2" t="str">
        <x:v>https://human-settlement.emergency.copernicus.eu/datasets.php</x:v>
      </x:c>
    </x:row>
    <x:row r="1156" ht="23" customHeight="1">
      <x:c r="A1156" s="2" t="str">
        <x:v>TLS</x:v>
      </x:c>
      <x:c r="B1156" s="2" t="str">
        <x:v>Timor-Leste (Democratic Republic of)</x:v>
      </x:c>
      <x:c r="C1156" s="2" t="str">
        <x:v>WUP_SURFACE</x:v>
      </x:c>
      <x:c r="D1156" s="2" t="n">
        <x:v>2015</x:v>
      </x:c>
      <x:c r="E1156" s="2" t="n">
        <x:v>2020</x:v>
      </x:c>
      <x:c r="F1156" s="17" t="n">
        <x:v>36994624.25613674</x:v>
      </x:c>
      <x:c r="G1156" s="17" t="n">
        <x:v>41213693.90000002</x:v>
      </x:c>
      <x:c r="H1156" s="17" t="n">
        <x:v>45248754.94172613</x:v>
      </x:c>
      <x:c r="I1156" s="17" t="n">
        <x:v>50043573.01595746</x:v>
      </x:c>
      <x:c r="J1156" s="2" t="str">
        <x:v>m2</x:v>
      </x:c>
      <x:c r="K1156" s="15" t="n">
        <x:f>IF(AND(ISNUMBER(F1156),ISNUMBER(G1156),F1156&gt;0),G1156/F1156-1,"n.a.")</x:f>
        <x:v>0.11404547900397755</x:v>
      </x:c>
      <x:c r="L1156" s="15" t="n">
        <x:f>IF(AND(N1156,ISNUMBER(H1156),ISNUMBER(I1156),H1156&gt;0),I1156/H1156-1,"n.a.")</x:f>
        <x:v>0.10596574602784892</x:v>
      </x:c>
      <x:c r="M1156" s="20" t="n">
        <x:f>IF(AND(ISNUMBER(K1156),ISNUMBER(L1156)),100*(K1156-L1156),"n.a.")</x:f>
        <x:v>0.8079732976128629</x:v>
      </x:c>
      <x:c r="N1156" s="13" t="b">
        <x:v>1</x:v>
      </x:c>
      <x:c r="O1156" s="13" t="b">
        <x:v>1</x:v>
      </x:c>
      <x:c r="P1156" s="13" t="b">
        <x:v>0</x:v>
      </x:c>
      <x:c r="Q1156" s="2" t="str">
        <x:v>L1_numeric_partition_qualified_not_national_completeness</x:v>
      </x:c>
      <x:c r="R1156" s="2" t="str">
        <x:v>L1_numeric_partition_qualified_not_national_completeness</x:v>
      </x:c>
      <x:c r="S1156" s="2" t="str">
        <x:v>historical_GHSL_BU_estimate</x:v>
      </x:c>
      <x:c r="T1156" s="2" t="str">
        <x:v>historical_GHSL_BU_estimate</x:v>
      </x:c>
      <x:c r="U1156" s="2" t="str">
        <x:v>GFA growth versus source physical quantity growth; constant conversion required for equality</x:v>
      </x:c>
      <x:c r="V1156" s="2" t="str">
        <x:v>Future horizontal path is already a v16 driver; WUP historical surface derives from GHSL</x:v>
      </x:c>
      <x:c r="W1156" s="2" t="str">
        <x:v>https://human-settlement.emergency.copernicus.eu/datasets.php</x:v>
      </x:c>
    </x:row>
    <x:row r="1157" ht="23" customHeight="1">
      <x:c r="A1157" s="2" t="str">
        <x:v>TON</x:v>
      </x:c>
      <x:c r="B1157" s="2" t="str">
        <x:v>Tonga (Kingdom of)</x:v>
      </x:c>
      <x:c r="C1157" s="2" t="str">
        <x:v>WUP_SURFACE</x:v>
      </x:c>
      <x:c r="D1157" s="2" t="n">
        <x:v>2015</x:v>
      </x:c>
      <x:c r="E1157" s="2" t="n">
        <x:v>2020</x:v>
      </x:c>
      <x:c r="F1157" s="17" t="n">
        <x:v>4632378.310123438</x:v>
      </x:c>
      <x:c r="G1157" s="17" t="n">
        <x:v>4719083.849999997</x:v>
      </x:c>
      <x:c r="H1157" s="17" t="n">
        <x:v>8444677.010784289</x:v>
      </x:c>
      <x:c r="I1157" s="17" t="n">
        <x:v>8585997.990630858</x:v>
      </x:c>
      <x:c r="J1157" s="2" t="str">
        <x:v>m2</x:v>
      </x:c>
      <x:c r="K1157" s="15" t="n">
        <x:f>IF(AND(ISNUMBER(F1157),ISNUMBER(G1157),F1157&gt;0),G1157/F1157-1,"n.a.")</x:f>
        <x:v>0.018717283881386715</x:v>
      </x:c>
      <x:c r="L1157" s="15" t="n">
        <x:f>IF(AND(N1157,ISNUMBER(H1157),ISNUMBER(I1157),H1157&gt;0),I1157/H1157-1,"n.a.")</x:f>
        <x:v>0.016734918300142843</x:v>
      </x:c>
      <x:c r="M1157" s="20" t="n">
        <x:f>IF(AND(ISNUMBER(K1157),ISNUMBER(L1157)),100*(K1157-L1157),"n.a.")</x:f>
        <x:v>0.19823655812438723</x:v>
      </x:c>
      <x:c r="N1157" s="13" t="b">
        <x:v>1</x:v>
      </x:c>
      <x:c r="O1157" s="13" t="b">
        <x:v>1</x:v>
      </x:c>
      <x:c r="P1157" s="13" t="b">
        <x:v>0</x:v>
      </x:c>
      <x:c r="Q1157" s="2" t="str">
        <x:v>L1_numeric_partition_qualified_not_national_completeness</x:v>
      </x:c>
      <x:c r="R1157" s="2" t="str">
        <x:v>L1_numeric_partition_qualified_not_national_completeness</x:v>
      </x:c>
      <x:c r="S1157" s="2" t="str">
        <x:v>historical_GHSL_BU_estimate</x:v>
      </x:c>
      <x:c r="T1157" s="2" t="str">
        <x:v>historical_GHSL_BU_estimate</x:v>
      </x:c>
      <x:c r="U1157" s="2" t="str">
        <x:v>GFA growth versus source physical quantity growth; constant conversion required for equality</x:v>
      </x:c>
      <x:c r="V1157" s="2" t="str">
        <x:v>Future horizontal path is already a v16 driver; WUP historical surface derives from GHSL</x:v>
      </x:c>
      <x:c r="W1157" s="2" t="str">
        <x:v>https://human-settlement.emergency.copernicus.eu/datasets.php</x:v>
      </x:c>
    </x:row>
    <x:row r="1158" ht="23" customHeight="1">
      <x:c r="A1158" s="2" t="str">
        <x:v>TTO</x:v>
      </x:c>
      <x:c r="B1158" s="2" t="str">
        <x:v>Trinidad and Tobago (Republic of)</x:v>
      </x:c>
      <x:c r="C1158" s="2" t="str">
        <x:v>WUP_SURFACE</x:v>
      </x:c>
      <x:c r="D1158" s="2" t="n">
        <x:v>2015</x:v>
      </x:c>
      <x:c r="E1158" s="2" t="n">
        <x:v>2020</x:v>
      </x:c>
      <x:c r="F1158" s="17" t="n">
        <x:v>92150385.27447325</x:v>
      </x:c>
      <x:c r="G1158" s="17" t="n">
        <x:v>100480869.27000004</x:v>
      </x:c>
      <x:c r="H1158" s="17" t="n">
        <x:v>152380143.00392753</x:v>
      </x:c>
      <x:c r="I1158" s="17" t="n">
        <x:v>165736139.07806897</x:v>
      </x:c>
      <x:c r="J1158" s="2" t="str">
        <x:v>m2</x:v>
      </x:c>
      <x:c r="K1158" s="15" t="n">
        <x:f>IF(AND(ISNUMBER(F1158),ISNUMBER(G1158),F1158&gt;0),G1158/F1158-1,"n.a.")</x:f>
        <x:v>0.09040096762172123</x:v>
      </x:c>
      <x:c r="L1158" s="15" t="n">
        <x:f>IF(AND(N1158,ISNUMBER(H1158),ISNUMBER(I1158),H1158&gt;0),I1158/H1158-1,"n.a.")</x:f>
        <x:v>0.08764918978844372</x:v>
      </x:c>
      <x:c r="M1158" s="20" t="n">
        <x:f>IF(AND(ISNUMBER(K1158),ISNUMBER(L1158)),100*(K1158-L1158),"n.a.")</x:f>
        <x:v>0.27517778332775134</x:v>
      </x:c>
      <x:c r="N1158" s="13" t="b">
        <x:v>1</x:v>
      </x:c>
      <x:c r="O1158" s="13" t="b">
        <x:v>1</x:v>
      </x:c>
      <x:c r="P1158" s="13" t="b">
        <x:v>0</x:v>
      </x:c>
      <x:c r="Q1158" s="2" t="str">
        <x:v>L1_numeric_partition_qualified_not_national_completeness</x:v>
      </x:c>
      <x:c r="R1158" s="2" t="str">
        <x:v>L1_numeric_partition_qualified_not_national_completeness</x:v>
      </x:c>
      <x:c r="S1158" s="2" t="str">
        <x:v>historical_GHSL_BU_estimate</x:v>
      </x:c>
      <x:c r="T1158" s="2" t="str">
        <x:v>historical_GHSL_BU_estimate</x:v>
      </x:c>
      <x:c r="U1158" s="2" t="str">
        <x:v>GFA growth versus source physical quantity growth; constant conversion required for equality</x:v>
      </x:c>
      <x:c r="V1158" s="2" t="str">
        <x:v>Future horizontal path is already a v16 driver; WUP historical surface derives from GHSL</x:v>
      </x:c>
      <x:c r="W1158" s="2" t="str">
        <x:v>https://human-settlement.emergency.copernicus.eu/datasets.php</x:v>
      </x:c>
    </x:row>
    <x:row r="1159" ht="23" customHeight="1">
      <x:c r="A1159" s="2" t="str">
        <x:v>TUN</x:v>
      </x:c>
      <x:c r="B1159" s="2" t="str">
        <x:v>Tunisia (Republic of)</x:v>
      </x:c>
      <x:c r="C1159" s="2" t="str">
        <x:v>WUP_SURFACE</x:v>
      </x:c>
      <x:c r="D1159" s="2" t="n">
        <x:v>2015</x:v>
      </x:c>
      <x:c r="E1159" s="2" t="n">
        <x:v>2020</x:v>
      </x:c>
      <x:c r="F1159" s="17" t="n">
        <x:v>613930514.3647048</x:v>
      </x:c>
      <x:c r="G1159" s="17" t="n">
        <x:v>649171642.779999</x:v>
      </x:c>
      <x:c r="H1159" s="17" t="n">
        <x:v>1084364651.2813952</x:v>
      </x:c>
      <x:c r="I1159" s="17" t="n">
        <x:v>1138292407.080182</x:v>
      </x:c>
      <x:c r="J1159" s="2" t="str">
        <x:v>m2</x:v>
      </x:c>
      <x:c r="K1159" s="15" t="n">
        <x:f>IF(AND(ISNUMBER(F1159),ISNUMBER(G1159),F1159&gt;0),G1159/F1159-1,"n.a.")</x:f>
        <x:v>0.05740247078573968</x:v>
      </x:c>
      <x:c r="L1159" s="15" t="n">
        <x:f>IF(AND(N1159,ISNUMBER(H1159),ISNUMBER(I1159),H1159&gt;0),I1159/H1159-1,"n.a.")</x:f>
        <x:v>0.04973212261674176</x:v>
      </x:c>
      <x:c r="M1159" s="20" t="n">
        <x:f>IF(AND(ISNUMBER(K1159),ISNUMBER(L1159)),100*(K1159-L1159),"n.a.")</x:f>
        <x:v>0.767034816899792</x:v>
      </x:c>
      <x:c r="N1159" s="13" t="b">
        <x:v>1</x:v>
      </x:c>
      <x:c r="O1159" s="13" t="b">
        <x:v>1</x:v>
      </x:c>
      <x:c r="P1159" s="13" t="b">
        <x:v>0</x:v>
      </x:c>
      <x:c r="Q1159" s="2" t="str">
        <x:v>L1_numeric_partition_qualified_not_national_completeness</x:v>
      </x:c>
      <x:c r="R1159" s="2" t="str">
        <x:v>L1_numeric_partition_qualified_not_national_completeness</x:v>
      </x:c>
      <x:c r="S1159" s="2" t="str">
        <x:v>historical_GHSL_BU_estimate</x:v>
      </x:c>
      <x:c r="T1159" s="2" t="str">
        <x:v>historical_GHSL_BU_estimate</x:v>
      </x:c>
      <x:c r="U1159" s="2" t="str">
        <x:v>GFA growth versus source physical quantity growth; constant conversion required for equality</x:v>
      </x:c>
      <x:c r="V1159" s="2" t="str">
        <x:v>Future horizontal path is already a v16 driver; WUP historical surface derives from GHSL</x:v>
      </x:c>
      <x:c r="W1159" s="2" t="str">
        <x:v>https://human-settlement.emergency.copernicus.eu/datasets.php</x:v>
      </x:c>
    </x:row>
    <x:row r="1160" ht="23" customHeight="1">
      <x:c r="A1160" s="2" t="str">
        <x:v>TUR</x:v>
      </x:c>
      <x:c r="B1160" s="2" t="str">
        <x:v>Türkiye (Republic of)</x:v>
      </x:c>
      <x:c r="C1160" s="2" t="str">
        <x:v>WUP_SURFACE</x:v>
      </x:c>
      <x:c r="D1160" s="2" t="n">
        <x:v>2015</x:v>
      </x:c>
      <x:c r="E1160" s="2" t="n">
        <x:v>2020</x:v>
      </x:c>
      <x:c r="F1160" s="17" t="n">
        <x:v>3665140556.485112</x:v>
      </x:c>
      <x:c r="G1160" s="17" t="n">
        <x:v>3957897873.260005</x:v>
      </x:c>
      <x:c r="H1160" s="17" t="n">
        <x:v>3215789358.8317237</x:v>
      </x:c>
      <x:c r="I1160" s="17" t="n">
        <x:v>3437235122.2279906</x:v>
      </x:c>
      <x:c r="J1160" s="2" t="str">
        <x:v>m2</x:v>
      </x:c>
      <x:c r="K1160" s="15" t="n">
        <x:f>IF(AND(ISNUMBER(F1160),ISNUMBER(G1160),F1160&gt;0),G1160/F1160-1,"n.a.")</x:f>
        <x:v>0.07987614997653703</x:v>
      </x:c>
      <x:c r="L1160" s="15" t="n">
        <x:f>IF(AND(N1160,ISNUMBER(H1160),ISNUMBER(I1160),H1160&gt;0),I1160/H1160-1,"n.a.")</x:f>
        <x:v>0.0688620238101405</x:v>
      </x:c>
      <x:c r="M1160" s="20" t="n">
        <x:f>IF(AND(ISNUMBER(K1160),ISNUMBER(L1160)),100*(K1160-L1160),"n.a.")</x:f>
        <x:v>1.101412616639652</x:v>
      </x:c>
      <x:c r="N1160" s="13" t="b">
        <x:v>1</x:v>
      </x:c>
      <x:c r="O1160" s="13" t="b">
        <x:v>1</x:v>
      </x:c>
      <x:c r="P1160" s="13" t="b">
        <x:v>0</x:v>
      </x:c>
      <x:c r="Q1160" s="2" t="str">
        <x:v>L1_numeric_partition_qualified_not_national_completeness</x:v>
      </x:c>
      <x:c r="R1160" s="2" t="str">
        <x:v>L1_numeric_partition_qualified_not_national_completeness</x:v>
      </x:c>
      <x:c r="S1160" s="2" t="str">
        <x:v>historical_GHSL_BU_estimate</x:v>
      </x:c>
      <x:c r="T1160" s="2" t="str">
        <x:v>historical_GHSL_BU_estimate</x:v>
      </x:c>
      <x:c r="U1160" s="2" t="str">
        <x:v>GFA growth versus source physical quantity growth; constant conversion required for equality</x:v>
      </x:c>
      <x:c r="V1160" s="2" t="str">
        <x:v>Future horizontal path is already a v16 driver; WUP historical surface derives from GHSL</x:v>
      </x:c>
      <x:c r="W1160" s="2" t="str">
        <x:v>https://human-settlement.emergency.copernicus.eu/datasets.php</x:v>
      </x:c>
    </x:row>
    <x:row r="1161" ht="23" customHeight="1">
      <x:c r="A1161" s="2" t="str">
        <x:v>TUV</x:v>
      </x:c>
      <x:c r="B1161" s="2" t="str">
        <x:v>Tuvalu</x:v>
      </x:c>
      <x:c r="C1161" s="2" t="str">
        <x:v>WUP_SURFACE</x:v>
      </x:c>
      <x:c r="D1161" s="2" t="n">
        <x:v>2015</x:v>
      </x:c>
      <x:c r="E1161" s="2" t="n">
        <x:v>2020</x:v>
      </x:c>
      <x:c r="F1161" s="17" t="n">
        <x:v>18938.49476458106</x:v>
      </x:c>
      <x:c r="G1161" s="17" t="n">
        <x:v>19394.80999999999</x:v>
      </x:c>
      <x:c r="H1161" s="17" t="n">
        <x:v>794024.0023017395</x:v>
      </x:c>
      <x:c r="I1161" s="17" t="n">
        <x:v>808146.0099492688</x:v>
      </x:c>
      <x:c r="J1161" s="2" t="str">
        <x:v>m2</x:v>
      </x:c>
      <x:c r="K1161" s="15" t="n">
        <x:f>IF(AND(ISNUMBER(F1161),ISNUMBER(G1161),F1161&gt;0),G1161/F1161-1,"n.a.")</x:f>
        <x:v>0.024094588355159763</x:v>
      </x:c>
      <x:c r="L1161" s="15" t="n">
        <x:f>IF(AND(N1161,ISNUMBER(H1161),ISNUMBER(I1161),H1161&gt;0),I1161/H1161-1,"n.a.")</x:f>
        <x:v>0.017785366193706853</x:v>
      </x:c>
      <x:c r="M1161" s="20" t="n">
        <x:f>IF(AND(ISNUMBER(K1161),ISNUMBER(L1161)),100*(K1161-L1161),"n.a.")</x:f>
        <x:v>0.630922216145291</x:v>
      </x:c>
      <x:c r="N1161" s="13" t="b">
        <x:v>1</x:v>
      </x:c>
      <x:c r="O1161" s="13" t="b">
        <x:v>1</x:v>
      </x:c>
      <x:c r="P1161" s="13" t="b">
        <x:v>0</x:v>
      </x:c>
      <x:c r="Q1161" s="2" t="str">
        <x:v>L1_numeric_partition_qualified_not_national_completeness</x:v>
      </x:c>
      <x:c r="R1161" s="2" t="str">
        <x:v>L1_numeric_partition_qualified_not_national_completeness</x:v>
      </x:c>
      <x:c r="S1161" s="2" t="str">
        <x:v>historical_GHSL_BU_estimate</x:v>
      </x:c>
      <x:c r="T1161" s="2" t="str">
        <x:v>historical_GHSL_BU_estimate</x:v>
      </x:c>
      <x:c r="U1161" s="2" t="str">
        <x:v>GFA growth versus source physical quantity growth; constant conversion required for equality</x:v>
      </x:c>
      <x:c r="V1161" s="2" t="str">
        <x:v>Future horizontal path is already a v16 driver; WUP historical surface derives from GHSL</x:v>
      </x:c>
      <x:c r="W1161" s="2" t="str">
        <x:v>https://human-settlement.emergency.copernicus.eu/datasets.php</x:v>
      </x:c>
    </x:row>
    <x:row r="1162" ht="23" customHeight="1">
      <x:c r="A1162" s="2" t="str">
        <x:v>TZA</x:v>
      </x:c>
      <x:c r="B1162" s="2" t="str">
        <x:v>Tanzania (United Republic of)</x:v>
      </x:c>
      <x:c r="C1162" s="2" t="str">
        <x:v>WUP_SURFACE</x:v>
      </x:c>
      <x:c r="D1162" s="2" t="n">
        <x:v>2015</x:v>
      </x:c>
      <x:c r="E1162" s="2" t="n">
        <x:v>2020</x:v>
      </x:c>
      <x:c r="F1162" s="17" t="n">
        <x:v>919308974.8738804</x:v>
      </x:c>
      <x:c r="G1162" s="17" t="n">
        <x:v>1174486408.8199985</x:v>
      </x:c>
      <x:c r="H1162" s="17" t="n">
        <x:v>3249486151.4233036</x:v>
      </x:c>
      <x:c r="I1162" s="17" t="n">
        <x:v>4116719145.857338</x:v>
      </x:c>
      <x:c r="J1162" s="2" t="str">
        <x:v>m2</x:v>
      </x:c>
      <x:c r="K1162" s="15" t="n">
        <x:f>IF(AND(ISNUMBER(F1162),ISNUMBER(G1162),F1162&gt;0),G1162/F1162-1,"n.a.")</x:f>
        <x:v>0.2775752667715725</x:v>
      </x:c>
      <x:c r="L1162" s="15" t="n">
        <x:f>IF(AND(N1162,ISNUMBER(H1162),ISNUMBER(I1162),H1162&gt;0),I1162/H1162-1,"n.a.")</x:f>
        <x:v>0.2668831175212667</x:v>
      </x:c>
      <x:c r="M1162" s="20" t="n">
        <x:f>IF(AND(ISNUMBER(K1162),ISNUMBER(L1162)),100*(K1162-L1162),"n.a.")</x:f>
        <x:v>1.0692149250305816</x:v>
      </x:c>
      <x:c r="N1162" s="13" t="b">
        <x:v>1</x:v>
      </x:c>
      <x:c r="O1162" s="13" t="b">
        <x:v>1</x:v>
      </x:c>
      <x:c r="P1162" s="13" t="b">
        <x:v>0</x:v>
      </x:c>
      <x:c r="Q1162" s="2" t="str">
        <x:v>L1_numeric_partition_qualified_not_national_completeness</x:v>
      </x:c>
      <x:c r="R1162" s="2" t="str">
        <x:v>L1_numeric_partition_qualified_not_national_completeness</x:v>
      </x:c>
      <x:c r="S1162" s="2" t="str">
        <x:v>historical_GHSL_BU_estimate</x:v>
      </x:c>
      <x:c r="T1162" s="2" t="str">
        <x:v>historical_GHSL_BU_estimate</x:v>
      </x:c>
      <x:c r="U1162" s="2" t="str">
        <x:v>GFA growth versus source physical quantity growth; constant conversion required for equality</x:v>
      </x:c>
      <x:c r="V1162" s="2" t="str">
        <x:v>Future horizontal path is already a v16 driver; WUP historical surface derives from GHSL</x:v>
      </x:c>
      <x:c r="W1162" s="2" t="str">
        <x:v>https://human-settlement.emergency.copernicus.eu/datasets.php</x:v>
      </x:c>
    </x:row>
    <x:row r="1163" ht="23" customHeight="1">
      <x:c r="A1163" s="2" t="str">
        <x:v>UGA</x:v>
      </x:c>
      <x:c r="B1163" s="2" t="str">
        <x:v>Uganda (Republic of)</x:v>
      </x:c>
      <x:c r="C1163" s="2" t="str">
        <x:v>WUP_SURFACE</x:v>
      </x:c>
      <x:c r="D1163" s="2" t="n">
        <x:v>2015</x:v>
      </x:c>
      <x:c r="E1163" s="2" t="n">
        <x:v>2020</x:v>
      </x:c>
      <x:c r="F1163" s="17" t="n">
        <x:v>575984024.6654693</x:v>
      </x:c>
      <x:c r="G1163" s="17" t="n">
        <x:v>765891927.1500008</x:v>
      </x:c>
      <x:c r="H1163" s="17" t="n">
        <x:v>1999424238.939371</x:v>
      </x:c>
      <x:c r="I1163" s="17" t="n">
        <x:v>2642961995.088086</x:v>
      </x:c>
      <x:c r="J1163" s="2" t="str">
        <x:v>m2</x:v>
      </x:c>
      <x:c r="K1163" s="15" t="n">
        <x:f>IF(AND(ISNUMBER(F1163),ISNUMBER(G1163),F1163&gt;0),G1163/F1163-1,"n.a.")</x:f>
        <x:v>0.3297103640935697</x:v>
      </x:c>
      <x:c r="L1163" s="15" t="n">
        <x:f>IF(AND(N1163,ISNUMBER(H1163),ISNUMBER(I1163),H1163&gt;0),I1163/H1163-1,"n.a.")</x:f>
        <x:v>0.3218615357439554</x:v>
      </x:c>
      <x:c r="M1163" s="20" t="n">
        <x:f>IF(AND(ISNUMBER(K1163),ISNUMBER(L1163)),100*(K1163-L1163),"n.a.")</x:f>
        <x:v>0.7848828349614312</x:v>
      </x:c>
      <x:c r="N1163" s="13" t="b">
        <x:v>1</x:v>
      </x:c>
      <x:c r="O1163" s="13" t="b">
        <x:v>1</x:v>
      </x:c>
      <x:c r="P1163" s="13" t="b">
        <x:v>0</x:v>
      </x:c>
      <x:c r="Q1163" s="2" t="str">
        <x:v>L1_numeric_partition_qualified_not_national_completeness</x:v>
      </x:c>
      <x:c r="R1163" s="2" t="str">
        <x:v>L1_numeric_partition_qualified_not_national_completeness</x:v>
      </x:c>
      <x:c r="S1163" s="2" t="str">
        <x:v>historical_GHSL_BU_estimate</x:v>
      </x:c>
      <x:c r="T1163" s="2" t="str">
        <x:v>historical_GHSL_BU_estimate</x:v>
      </x:c>
      <x:c r="U1163" s="2" t="str">
        <x:v>GFA growth versus source physical quantity growth; constant conversion required for equality</x:v>
      </x:c>
      <x:c r="V1163" s="2" t="str">
        <x:v>Future horizontal path is already a v16 driver; WUP historical surface derives from GHSL</x:v>
      </x:c>
      <x:c r="W1163" s="2" t="str">
        <x:v>https://human-settlement.emergency.copernicus.eu/datasets.php</x:v>
      </x:c>
    </x:row>
    <x:row r="1164" ht="23" customHeight="1">
      <x:c r="A1164" s="2" t="str">
        <x:v>UKR</x:v>
      </x:c>
      <x:c r="B1164" s="2" t="str">
        <x:v>Ukraine</x:v>
      </x:c>
      <x:c r="C1164" s="2" t="str">
        <x:v>WUP_SURFACE</x:v>
      </x:c>
      <x:c r="D1164" s="2" t="n">
        <x:v>2015</x:v>
      </x:c>
      <x:c r="E1164" s="2" t="n">
        <x:v>2020</x:v>
      </x:c>
      <x:c r="F1164" s="17" t="n">
        <x:v>2687631859.9002776</x:v>
      </x:c>
      <x:c r="G1164" s="17" t="n">
        <x:v>2808807029.8199997</x:v>
      </x:c>
      <x:c r="H1164" s="17" t="n">
        <x:v>4136289920.578101</x:v>
      </x:c>
      <x:c r="I1164" s="17" t="n">
        <x:v>4313766328.53754</x:v>
      </x:c>
      <x:c r="J1164" s="2" t="str">
        <x:v>m2</x:v>
      </x:c>
      <x:c r="K1164" s="15" t="n">
        <x:f>IF(AND(ISNUMBER(F1164),ISNUMBER(G1164),F1164&gt;0),G1164/F1164-1,"n.a.")</x:f>
        <x:v>0.045086223201796116</x:v>
      </x:c>
      <x:c r="L1164" s="15" t="n">
        <x:f>IF(AND(N1164,ISNUMBER(H1164),ISNUMBER(I1164),H1164&gt;0),I1164/H1164-1,"n.a.")</x:f>
        <x:v>0.04290714900725212</x:v>
      </x:c>
      <x:c r="M1164" s="20" t="n">
        <x:f>IF(AND(ISNUMBER(K1164),ISNUMBER(L1164)),100*(K1164-L1164),"n.a.")</x:f>
        <x:v>0.2179074194543995</x:v>
      </x:c>
      <x:c r="N1164" s="13" t="b">
        <x:v>1</x:v>
      </x:c>
      <x:c r="O1164" s="13" t="b">
        <x:v>1</x:v>
      </x:c>
      <x:c r="P1164" s="13" t="b">
        <x:v>0</x:v>
      </x:c>
      <x:c r="Q1164" s="2" t="str">
        <x:v>L1_numeric_partition_qualified_not_national_completeness</x:v>
      </x:c>
      <x:c r="R1164" s="2" t="str">
        <x:v>L1_numeric_partition_qualified_not_national_completeness</x:v>
      </x:c>
      <x:c r="S1164" s="2" t="str">
        <x:v>historical_GHSL_BU_estimate</x:v>
      </x:c>
      <x:c r="T1164" s="2" t="str">
        <x:v>historical_GHSL_BU_estimate</x:v>
      </x:c>
      <x:c r="U1164" s="2" t="str">
        <x:v>GFA growth versus source physical quantity growth; constant conversion required for equality</x:v>
      </x:c>
      <x:c r="V1164" s="2" t="str">
        <x:v>Future horizontal path is already a v16 driver; WUP historical surface derives from GHSL</x:v>
      </x:c>
      <x:c r="W1164" s="2" t="str">
        <x:v>https://human-settlement.emergency.copernicus.eu/datasets.php</x:v>
      </x:c>
    </x:row>
    <x:row r="1165" ht="23" customHeight="1">
      <x:c r="A1165" s="2" t="str">
        <x:v>URY</x:v>
      </x:c>
      <x:c r="B1165" s="2" t="str">
        <x:v>Uruguay (Oriental Republic of)</x:v>
      </x:c>
      <x:c r="C1165" s="2" t="str">
        <x:v>WUP_SURFACE</x:v>
      </x:c>
      <x:c r="D1165" s="2" t="n">
        <x:v>2015</x:v>
      </x:c>
      <x:c r="E1165" s="2" t="n">
        <x:v>2020</x:v>
      </x:c>
      <x:c r="F1165" s="17" t="n">
        <x:v>201359785.87738177</x:v>
      </x:c>
      <x:c r="G1165" s="17" t="n">
        <x:v>209727833.2899997</x:v>
      </x:c>
      <x:c r="H1165" s="17" t="n">
        <x:v>366860080.55136096</x:v>
      </x:c>
      <x:c r="I1165" s="17" t="n">
        <x:v>380701570.0466187</x:v>
      </x:c>
      <x:c r="J1165" s="2" t="str">
        <x:v>m2</x:v>
      </x:c>
      <x:c r="K1165" s="15" t="n">
        <x:f>IF(AND(ISNUMBER(F1165),ISNUMBER(G1165),F1165&gt;0),G1165/F1165-1,"n.a.")</x:f>
        <x:v>0.041557689268271636</x:v>
      </x:c>
      <x:c r="L1165" s="15" t="n">
        <x:f>IF(AND(N1165,ISNUMBER(H1165),ISNUMBER(I1165),H1165&gt;0),I1165/H1165-1,"n.a.")</x:f>
        <x:v>0.037729614719745674</x:v>
      </x:c>
      <x:c r="M1165" s="20" t="n">
        <x:f>IF(AND(ISNUMBER(K1165),ISNUMBER(L1165)),100*(K1165-L1165),"n.a.")</x:f>
        <x:v>0.38280745485259615</x:v>
      </x:c>
      <x:c r="N1165" s="13" t="b">
        <x:v>1</x:v>
      </x:c>
      <x:c r="O1165" s="13" t="b">
        <x:v>1</x:v>
      </x:c>
      <x:c r="P1165" s="13" t="b">
        <x:v>0</x:v>
      </x:c>
      <x:c r="Q1165" s="2" t="str">
        <x:v>L1_numeric_partition_qualified_not_national_completeness</x:v>
      </x:c>
      <x:c r="R1165" s="2" t="str">
        <x:v>L1_numeric_partition_qualified_not_national_completeness</x:v>
      </x:c>
      <x:c r="S1165" s="2" t="str">
        <x:v>historical_GHSL_BU_estimate</x:v>
      </x:c>
      <x:c r="T1165" s="2" t="str">
        <x:v>historical_GHSL_BU_estimate</x:v>
      </x:c>
      <x:c r="U1165" s="2" t="str">
        <x:v>GFA growth versus source physical quantity growth; constant conversion required for equality</x:v>
      </x:c>
      <x:c r="V1165" s="2" t="str">
        <x:v>Future horizontal path is already a v16 driver; WUP historical surface derives from GHSL</x:v>
      </x:c>
      <x:c r="W1165" s="2" t="str">
        <x:v>https://human-settlement.emergency.copernicus.eu/datasets.php</x:v>
      </x:c>
    </x:row>
    <x:row r="1166" ht="23" customHeight="1">
      <x:c r="A1166" s="2" t="str">
        <x:v>USA</x:v>
      </x:c>
      <x:c r="B1166" s="2" t="str">
        <x:v>United States of America</x:v>
      </x:c>
      <x:c r="C1166" s="2" t="str">
        <x:v>WUP_SURFACE</x:v>
      </x:c>
      <x:c r="D1166" s="2" t="n">
        <x:v>2015</x:v>
      </x:c>
      <x:c r="E1166" s="2" t="n">
        <x:v>2020</x:v>
      </x:c>
      <x:c r="F1166" s="17" t="n">
        <x:v>34465397434.22212</x:v>
      </x:c>
      <x:c r="G1166" s="17" t="n">
        <x:v>35932980078.68004</x:v>
      </x:c>
      <x:c r="H1166" s="17" t="n">
        <x:v>58181365951.10652</x:v>
      </x:c>
      <x:c r="I1166" s="17" t="n">
        <x:v>60246811001.31557</x:v>
      </x:c>
      <x:c r="J1166" s="2" t="str">
        <x:v>m2</x:v>
      </x:c>
      <x:c r="K1166" s="15" t="n">
        <x:f>IF(AND(ISNUMBER(F1166),ISNUMBER(G1166),F1166&gt;0),G1166/F1166-1,"n.a.")</x:f>
        <x:v>0.042581335301843826</x:v>
      </x:c>
      <x:c r="L1166" s="15" t="n">
        <x:f>IF(AND(N1166,ISNUMBER(H1166),ISNUMBER(I1166),H1166&gt;0),I1166/H1166-1,"n.a.")</x:f>
        <x:v>0.03550011273273945</x:v>
      </x:c>
      <x:c r="M1166" s="20" t="n">
        <x:f>IF(AND(ISNUMBER(K1166),ISNUMBER(L1166)),100*(K1166-L1166),"n.a.")</x:f>
        <x:v>0.7081222569104373</x:v>
      </x:c>
      <x:c r="N1166" s="13" t="b">
        <x:v>1</x:v>
      </x:c>
      <x:c r="O1166" s="13" t="b">
        <x:v>1</x:v>
      </x:c>
      <x:c r="P1166" s="13" t="b">
        <x:v>0</x:v>
      </x:c>
      <x:c r="Q1166" s="2" t="str">
        <x:v>L1_numeric_partition_qualified_not_national_completeness</x:v>
      </x:c>
      <x:c r="R1166" s="2" t="str">
        <x:v>L1_numeric_partition_qualified_not_national_completeness</x:v>
      </x:c>
      <x:c r="S1166" s="2" t="str">
        <x:v>historical_GHSL_BU_estimate</x:v>
      </x:c>
      <x:c r="T1166" s="2" t="str">
        <x:v>historical_GHSL_BU_estimate</x:v>
      </x:c>
      <x:c r="U1166" s="2" t="str">
        <x:v>GFA growth versus source physical quantity growth; constant conversion required for equality</x:v>
      </x:c>
      <x:c r="V1166" s="2" t="str">
        <x:v>Future horizontal path is already a v16 driver; WUP historical surface derives from GHSL</x:v>
      </x:c>
      <x:c r="W1166" s="2" t="str">
        <x:v>https://human-settlement.emergency.copernicus.eu/datasets.php</x:v>
      </x:c>
    </x:row>
    <x:row r="1167" ht="23" customHeight="1">
      <x:c r="A1167" s="2" t="str">
        <x:v>UZB</x:v>
      </x:c>
      <x:c r="B1167" s="2" t="str">
        <x:v>Uzbekistan (Republic of)</x:v>
      </x:c>
      <x:c r="C1167" s="2" t="str">
        <x:v>WUP_SURFACE</x:v>
      </x:c>
      <x:c r="D1167" s="2" t="n">
        <x:v>2015</x:v>
      </x:c>
      <x:c r="E1167" s="2" t="n">
        <x:v>2020</x:v>
      </x:c>
      <x:c r="F1167" s="17" t="n">
        <x:v>1826840510.7491636</x:v>
      </x:c>
      <x:c r="G1167" s="17" t="n">
        <x:v>1997042653.6300015</x:v>
      </x:c>
      <x:c r="H1167" s="17" t="n">
        <x:v>3494727272.6317863</x:v>
      </x:c>
      <x:c r="I1167" s="17" t="n">
        <x:v>3793565339.8305197</x:v>
      </x:c>
      <x:c r="J1167" s="2" t="str">
        <x:v>m2</x:v>
      </x:c>
      <x:c r="K1167" s="15" t="n">
        <x:f>IF(AND(ISNUMBER(F1167),ISNUMBER(G1167),F1167&gt;0),G1167/F1167-1,"n.a.")</x:f>
        <x:v>0.09316748883077941</x:v>
      </x:c>
      <x:c r="L1167" s="15" t="n">
        <x:f>IF(AND(N1167,ISNUMBER(H1167),ISNUMBER(I1167),H1167&gt;0),I1167/H1167-1,"n.a.")</x:f>
        <x:v>0.08551112687362483</x:v>
      </x:c>
      <x:c r="M1167" s="20" t="n">
        <x:f>IF(AND(ISNUMBER(K1167),ISNUMBER(L1167)),100*(K1167-L1167),"n.a.")</x:f>
        <x:v>0.7656361957154578</x:v>
      </x:c>
      <x:c r="N1167" s="13" t="b">
        <x:v>1</x:v>
      </x:c>
      <x:c r="O1167" s="13" t="b">
        <x:v>1</x:v>
      </x:c>
      <x:c r="P1167" s="13" t="b">
        <x:v>0</x:v>
      </x:c>
      <x:c r="Q1167" s="2" t="str">
        <x:v>L1_numeric_partition_qualified_not_national_completeness</x:v>
      </x:c>
      <x:c r="R1167" s="2" t="str">
        <x:v>L1_numeric_partition_qualified_not_national_completeness</x:v>
      </x:c>
      <x:c r="S1167" s="2" t="str">
        <x:v>historical_GHSL_BU_estimate</x:v>
      </x:c>
      <x:c r="T1167" s="2" t="str">
        <x:v>historical_GHSL_BU_estimate</x:v>
      </x:c>
      <x:c r="U1167" s="2" t="str">
        <x:v>GFA growth versus source physical quantity growth; constant conversion required for equality</x:v>
      </x:c>
      <x:c r="V1167" s="2" t="str">
        <x:v>Future horizontal path is already a v16 driver; WUP historical surface derives from GHSL</x:v>
      </x:c>
      <x:c r="W1167" s="2" t="str">
        <x:v>https://human-settlement.emergency.copernicus.eu/datasets.php</x:v>
      </x:c>
    </x:row>
    <x:row r="1168" ht="23" customHeight="1">
      <x:c r="A1168" s="2" t="str">
        <x:v>VAT</x:v>
      </x:c>
      <x:c r="B1168" s="2" t="str">
        <x:v>Holy See (State of the Vatican City)</x:v>
      </x:c>
      <x:c r="C1168" s="2" t="str">
        <x:v>WUP_SURFACE</x:v>
      </x:c>
      <x:c r="D1168" s="2" t="n">
        <x:v>2015</x:v>
      </x:c>
      <x:c r="E1168" s="2" t="n">
        <x:v>2020</x:v>
      </x:c>
      <x:c r="F1168" s="17" t="n">
        <x:v>318151.8700189071</x:v>
      </x:c>
      <x:c r="G1168" s="17" t="n">
        <x:v>318924.24</x:v>
      </x:c>
      <x:c r="H1168" s="17" t="n">
        <x:v>360228.0020713806</x:v>
      </x:c>
      <x:c r="I1168" s="17" t="n">
        <x:v>360359.0130805969</x:v>
      </x:c>
      <x:c r="J1168" s="2" t="str">
        <x:v>m2</x:v>
      </x:c>
      <x:c r="K1168" s="15" t="n">
        <x:f>IF(AND(ISNUMBER(F1168),ISNUMBER(G1168),F1168&gt;0),G1168/F1168-1,"n.a.")</x:f>
        <x:v>0.002427677011758389</x:v>
      </x:c>
      <x:c r="L1168" s="15" t="n">
        <x:f>IF(AND(N1168,ISNUMBER(H1168),ISNUMBER(I1168),H1168&gt;0),I1168/H1168-1,"n.a.")</x:f>
        <x:v>0.0003636891315026425</x:v>
      </x:c>
      <x:c r="M1168" s="20" t="n">
        <x:f>IF(AND(ISNUMBER(K1168),ISNUMBER(L1168)),100*(K1168-L1168),"n.a.")</x:f>
        <x:v>0.20639878802557465</x:v>
      </x:c>
      <x:c r="N1168" s="13" t="b">
        <x:v>1</x:v>
      </x:c>
      <x:c r="O1168" s="13" t="b">
        <x:v>1</x:v>
      </x:c>
      <x:c r="P1168" s="13" t="b">
        <x:v>0</x:v>
      </x:c>
      <x:c r="Q1168" s="2" t="str">
        <x:v>L1_numeric_partition_qualified_not_national_completeness</x:v>
      </x:c>
      <x:c r="R1168" s="2" t="str">
        <x:v>L1_numeric_partition_qualified_not_national_completeness</x:v>
      </x:c>
      <x:c r="S1168" s="2" t="str">
        <x:v>historical_GHSL_BU_estimate</x:v>
      </x:c>
      <x:c r="T1168" s="2" t="str">
        <x:v>historical_GHSL_BU_estimate</x:v>
      </x:c>
      <x:c r="U1168" s="2" t="str">
        <x:v>GFA growth versus source physical quantity growth; constant conversion required for equality</x:v>
      </x:c>
      <x:c r="V1168" s="2" t="str">
        <x:v>Future horizontal path is already a v16 driver; WUP historical surface derives from GHSL</x:v>
      </x:c>
      <x:c r="W1168" s="2" t="str">
        <x:v>https://human-settlement.emergency.copernicus.eu/datasets.php</x:v>
      </x:c>
    </x:row>
    <x:row r="1169" ht="23" customHeight="1">
      <x:c r="A1169" s="2" t="str">
        <x:v>VCT</x:v>
      </x:c>
      <x:c r="B1169" s="2" t="str">
        <x:v>Saint Vincent and the Grenadines</x:v>
      </x:c>
      <x:c r="C1169" s="2" t="str">
        <x:v>WUP_SURFACE</x:v>
      </x:c>
      <x:c r="D1169" s="2" t="n">
        <x:v>2015</x:v>
      </x:c>
      <x:c r="E1169" s="2" t="n">
        <x:v>2020</x:v>
      </x:c>
      <x:c r="F1169" s="17" t="n">
        <x:v>5437525.574394897</x:v>
      </x:c>
      <x:c r="G1169" s="17" t="n">
        <x:v>6194383.570000002</x:v>
      </x:c>
      <x:c r="H1169" s="17" t="n">
        <x:v>8910689.012516627</x:v>
      </x:c>
      <x:c r="I1169" s="17" t="n">
        <x:v>10351806.977656337</x:v>
      </x:c>
      <x:c r="J1169" s="2" t="str">
        <x:v>m2</x:v>
      </x:c>
      <x:c r="K1169" s="15" t="n">
        <x:f>IF(AND(ISNUMBER(F1169),ISNUMBER(G1169),F1169&gt;0),G1169/F1169-1,"n.a.")</x:f>
        <x:v>0.13919162038871535</x:v>
      </x:c>
      <x:c r="L1169" s="15" t="n">
        <x:f>IF(AND(N1169,ISNUMBER(H1169),ISNUMBER(I1169),H1169&gt;0),I1169/H1169-1,"n.a.")</x:f>
        <x:v>0.1617291281421005</x:v>
      </x:c>
      <x:c r="M1169" s="20" t="n">
        <x:f>IF(AND(ISNUMBER(K1169),ISNUMBER(L1169)),100*(K1169-L1169),"n.a.")</x:f>
        <x:v>-2.2537507753385144</x:v>
      </x:c>
      <x:c r="N1169" s="13" t="b">
        <x:v>1</x:v>
      </x:c>
      <x:c r="O1169" s="13" t="b">
        <x:v>1</x:v>
      </x:c>
      <x:c r="P1169" s="13" t="b">
        <x:v>0</x:v>
      </x:c>
      <x:c r="Q1169" s="2" t="str">
        <x:v>L1_numeric_partition_qualified_not_national_completeness</x:v>
      </x:c>
      <x:c r="R1169" s="2" t="str">
        <x:v>L1_numeric_partition_qualified_not_national_completeness</x:v>
      </x:c>
      <x:c r="S1169" s="2" t="str">
        <x:v>historical_GHSL_BU_estimate</x:v>
      </x:c>
      <x:c r="T1169" s="2" t="str">
        <x:v>historical_GHSL_BU_estimate</x:v>
      </x:c>
      <x:c r="U1169" s="2" t="str">
        <x:v>GFA growth versus source physical quantity growth; constant conversion required for equality</x:v>
      </x:c>
      <x:c r="V1169" s="2" t="str">
        <x:v>Future horizontal path is already a v16 driver; WUP historical surface derives from GHSL</x:v>
      </x:c>
      <x:c r="W1169" s="2" t="str">
        <x:v>https://human-settlement.emergency.copernicus.eu/datasets.php</x:v>
      </x:c>
    </x:row>
    <x:row r="1170" ht="23" customHeight="1">
      <x:c r="A1170" s="2" t="str">
        <x:v>VEN</x:v>
      </x:c>
      <x:c r="B1170" s="2" t="str">
        <x:v>Venezuela (Bolivarian Republic of)</x:v>
      </x:c>
      <x:c r="C1170" s="2" t="str">
        <x:v>WUP_SURFACE</x:v>
      </x:c>
      <x:c r="D1170" s="2" t="n">
        <x:v>2015</x:v>
      </x:c>
      <x:c r="E1170" s="2" t="n">
        <x:v>2020</x:v>
      </x:c>
      <x:c r="F1170" s="17" t="n">
        <x:v>1114583415.3745449</x:v>
      </x:c>
      <x:c r="G1170" s="17" t="n">
        <x:v>1159546607.6500015</x:v>
      </x:c>
      <x:c r="H1170" s="17" t="n">
        <x:v>1426336636.854165</x:v>
      </x:c>
      <x:c r="I1170" s="17" t="n">
        <x:v>1484592084.073905</x:v>
      </x:c>
      <x:c r="J1170" s="2" t="str">
        <x:v>m2</x:v>
      </x:c>
      <x:c r="K1170" s="15" t="n">
        <x:f>IF(AND(ISNUMBER(F1170),ISNUMBER(G1170),F1170&gt;0),G1170/F1170-1,"n.a.")</x:f>
        <x:v>0.04034080505347126</x:v>
      </x:c>
      <x:c r="L1170" s="15" t="n">
        <x:f>IF(AND(N1170,ISNUMBER(H1170),ISNUMBER(I1170),H1170&gt;0),I1170/H1170-1,"n.a.")</x:f>
        <x:v>0.04084270551180991</x:v>
      </x:c>
      <x:c r="M1170" s="20" t="n">
        <x:f>IF(AND(ISNUMBER(K1170),ISNUMBER(L1170)),100*(K1170-L1170),"n.a.")</x:f>
        <x:v>-0.05019004583386444</x:v>
      </x:c>
      <x:c r="N1170" s="13" t="b">
        <x:v>1</x:v>
      </x:c>
      <x:c r="O1170" s="13" t="b">
        <x:v>1</x:v>
      </x:c>
      <x:c r="P1170" s="13" t="b">
        <x:v>0</x:v>
      </x:c>
      <x:c r="Q1170" s="2" t="str">
        <x:v>L1_numeric_partition_qualified_not_national_completeness</x:v>
      </x:c>
      <x:c r="R1170" s="2" t="str">
        <x:v>L1_numeric_partition_qualified_not_national_completeness</x:v>
      </x:c>
      <x:c r="S1170" s="2" t="str">
        <x:v>historical_GHSL_BU_estimate</x:v>
      </x:c>
      <x:c r="T1170" s="2" t="str">
        <x:v>historical_GHSL_BU_estimate</x:v>
      </x:c>
      <x:c r="U1170" s="2" t="str">
        <x:v>GFA growth versus source physical quantity growth; constant conversion required for equality</x:v>
      </x:c>
      <x:c r="V1170" s="2" t="str">
        <x:v>Future horizontal path is already a v16 driver; WUP historical surface derives from GHSL</x:v>
      </x:c>
      <x:c r="W1170" s="2" t="str">
        <x:v>https://human-settlement.emergency.copernicus.eu/datasets.php</x:v>
      </x:c>
    </x:row>
    <x:row r="1171" ht="23" customHeight="1">
      <x:c r="A1171" s="2" t="str">
        <x:v>VNM</x:v>
      </x:c>
      <x:c r="B1171" s="2" t="str">
        <x:v>Viet Nam (Socialist Republic of)</x:v>
      </x:c>
      <x:c r="C1171" s="2" t="str">
        <x:v>WUP_SURFACE</x:v>
      </x:c>
      <x:c r="D1171" s="2" t="n">
        <x:v>2015</x:v>
      </x:c>
      <x:c r="E1171" s="2" t="n">
        <x:v>2020</x:v>
      </x:c>
      <x:c r="F1171" s="17" t="n">
        <x:v>4452886125.717495</x:v>
      </x:c>
      <x:c r="G1171" s="17" t="n">
        <x:v>4861867508.520002</x:v>
      </x:c>
      <x:c r="H1171" s="17" t="n">
        <x:v>4694698636.455317</x:v>
      </x:c>
      <x:c r="I1171" s="17" t="n">
        <x:v>5086925512.180058</x:v>
      </x:c>
      <x:c r="J1171" s="2" t="str">
        <x:v>m2</x:v>
      </x:c>
      <x:c r="K1171" s="15" t="n">
        <x:f>IF(AND(ISNUMBER(F1171),ISNUMBER(G1171),F1171&gt;0),G1171/F1171-1,"n.a.")</x:f>
        <x:v>0.09184636014841008</x:v>
      </x:c>
      <x:c r="L1171" s="15" t="n">
        <x:f>IF(AND(N1171,ISNUMBER(H1171),ISNUMBER(I1171),H1171&gt;0),I1171/H1171-1,"n.a.")</x:f>
        <x:v>0.08354676329573474</x:v>
      </x:c>
      <x:c r="M1171" s="20" t="n">
        <x:f>IF(AND(ISNUMBER(K1171),ISNUMBER(L1171)),100*(K1171-L1171),"n.a.")</x:f>
        <x:v>0.8299596852675339</x:v>
      </x:c>
      <x:c r="N1171" s="13" t="b">
        <x:v>1</x:v>
      </x:c>
      <x:c r="O1171" s="13" t="b">
        <x:v>1</x:v>
      </x:c>
      <x:c r="P1171" s="13" t="b">
        <x:v>0</x:v>
      </x:c>
      <x:c r="Q1171" s="2" t="str">
        <x:v>L1_numeric_partition_qualified_not_national_completeness</x:v>
      </x:c>
      <x:c r="R1171" s="2" t="str">
        <x:v>L1_numeric_partition_qualified_not_national_completeness</x:v>
      </x:c>
      <x:c r="S1171" s="2" t="str">
        <x:v>historical_GHSL_BU_estimate</x:v>
      </x:c>
      <x:c r="T1171" s="2" t="str">
        <x:v>historical_GHSL_BU_estimate</x:v>
      </x:c>
      <x:c r="U1171" s="2" t="str">
        <x:v>GFA growth versus source physical quantity growth; constant conversion required for equality</x:v>
      </x:c>
      <x:c r="V1171" s="2" t="str">
        <x:v>Future horizontal path is already a v16 driver; WUP historical surface derives from GHSL</x:v>
      </x:c>
      <x:c r="W1171" s="2" t="str">
        <x:v>https://human-settlement.emergency.copernicus.eu/datasets.php</x:v>
      </x:c>
    </x:row>
    <x:row r="1172" ht="23" customHeight="1">
      <x:c r="A1172" s="2" t="str">
        <x:v>VUT</x:v>
      </x:c>
      <x:c r="B1172" s="2" t="str">
        <x:v>Vanuatu (Republic of)</x:v>
      </x:c>
      <x:c r="C1172" s="2" t="str">
        <x:v>WUP_SURFACE</x:v>
      </x:c>
      <x:c r="D1172" s="2" t="n">
        <x:v>2015</x:v>
      </x:c>
      <x:c r="E1172" s="2" t="n">
        <x:v>2020</x:v>
      </x:c>
      <x:c r="F1172" s="17" t="n">
        <x:v>7978040.337147347</x:v>
      </x:c>
      <x:c r="G1172" s="17" t="n">
        <x:v>8193524.700000004</x:v>
      </x:c>
      <x:c r="H1172" s="17" t="n">
        <x:v>13471265.00362674</x:v>
      </x:c>
      <x:c r="I1172" s="17" t="n">
        <x:v>13741144.030732356</x:v>
      </x:c>
      <x:c r="J1172" s="2" t="str">
        <x:v>m2</x:v>
      </x:c>
      <x:c r="K1172" s="15" t="n">
        <x:f>IF(AND(ISNUMBER(F1172),ISNUMBER(G1172),F1172&gt;0),G1172/F1172-1,"n.a.")</x:f>
        <x:v>0.027009685805838624</x:v>
      </x:c>
      <x:c r="L1172" s="15" t="n">
        <x:f>IF(AND(N1172,ISNUMBER(H1172),ISNUMBER(I1172),H1172&gt;0),I1172/H1172-1,"n.a.")</x:f>
        <x:v>0.020033681100695366</x:v>
      </x:c>
      <x:c r="M1172" s="20" t="n">
        <x:f>IF(AND(ISNUMBER(K1172),ISNUMBER(L1172)),100*(K1172-L1172),"n.a.")</x:f>
        <x:v>0.6976004705143257</x:v>
      </x:c>
      <x:c r="N1172" s="13" t="b">
        <x:v>1</x:v>
      </x:c>
      <x:c r="O1172" s="13" t="b">
        <x:v>1</x:v>
      </x:c>
      <x:c r="P1172" s="13" t="b">
        <x:v>0</x:v>
      </x:c>
      <x:c r="Q1172" s="2" t="str">
        <x:v>L1_numeric_partition_qualified_not_national_completeness</x:v>
      </x:c>
      <x:c r="R1172" s="2" t="str">
        <x:v>L1_numeric_partition_qualified_not_national_completeness</x:v>
      </x:c>
      <x:c r="S1172" s="2" t="str">
        <x:v>historical_GHSL_BU_estimate</x:v>
      </x:c>
      <x:c r="T1172" s="2" t="str">
        <x:v>historical_GHSL_BU_estimate</x:v>
      </x:c>
      <x:c r="U1172" s="2" t="str">
        <x:v>GFA growth versus source physical quantity growth; constant conversion required for equality</x:v>
      </x:c>
      <x:c r="V1172" s="2" t="str">
        <x:v>Future horizontal path is already a v16 driver; WUP historical surface derives from GHSL</x:v>
      </x:c>
      <x:c r="W1172" s="2" t="str">
        <x:v>https://human-settlement.emergency.copernicus.eu/datasets.php</x:v>
      </x:c>
    </x:row>
    <x:row r="1173" ht="23" customHeight="1">
      <x:c r="A1173" s="2" t="str">
        <x:v>WSM</x:v>
      </x:c>
      <x:c r="B1173" s="2" t="str">
        <x:v>Samoa (Independent State of)</x:v>
      </x:c>
      <x:c r="C1173" s="2" t="str">
        <x:v>WUP_SURFACE</x:v>
      </x:c>
      <x:c r="D1173" s="2" t="n">
        <x:v>2015</x:v>
      </x:c>
      <x:c r="E1173" s="2" t="n">
        <x:v>2020</x:v>
      </x:c>
      <x:c r="F1173" s="17" t="n">
        <x:v>7908634.666206749</x:v>
      </x:c>
      <x:c r="G1173" s="17" t="n">
        <x:v>8105266.000000001</x:v>
      </x:c>
      <x:c r="H1173" s="17" t="n">
        <x:v>15450814.974555328</x:v>
      </x:c>
      <x:c r="I1173" s="17" t="n">
        <x:v>15743507.981150629</x:v>
      </x:c>
      <x:c r="J1173" s="2" t="str">
        <x:v>m2</x:v>
      </x:c>
      <x:c r="K1173" s="15" t="n">
        <x:f>IF(AND(ISNUMBER(F1173),ISNUMBER(G1173),F1173&gt;0),G1173/F1173-1,"n.a.")</x:f>
        <x:v>0.02486286724476594</x:v>
      </x:c>
      <x:c r="L1173" s="15" t="n">
        <x:f>IF(AND(N1173,ISNUMBER(H1173),ISNUMBER(I1173),H1173&gt;0),I1173/H1173-1,"n.a.")</x:f>
        <x:v>0.01894353191578002</x:v>
      </x:c>
      <x:c r="M1173" s="20" t="n">
        <x:f>IF(AND(ISNUMBER(K1173),ISNUMBER(L1173)),100*(K1173-L1173),"n.a.")</x:f>
        <x:v>0.591933532898592</x:v>
      </x:c>
      <x:c r="N1173" s="13" t="b">
        <x:v>1</x:v>
      </x:c>
      <x:c r="O1173" s="13" t="b">
        <x:v>1</x:v>
      </x:c>
      <x:c r="P1173" s="13" t="b">
        <x:v>0</x:v>
      </x:c>
      <x:c r="Q1173" s="2" t="str">
        <x:v>L1_numeric_partition_qualified_not_national_completeness</x:v>
      </x:c>
      <x:c r="R1173" s="2" t="str">
        <x:v>L1_numeric_partition_qualified_not_national_completeness</x:v>
      </x:c>
      <x:c r="S1173" s="2" t="str">
        <x:v>historical_GHSL_BU_estimate</x:v>
      </x:c>
      <x:c r="T1173" s="2" t="str">
        <x:v>historical_GHSL_BU_estimate</x:v>
      </x:c>
      <x:c r="U1173" s="2" t="str">
        <x:v>GFA growth versus source physical quantity growth; constant conversion required for equality</x:v>
      </x:c>
      <x:c r="V1173" s="2" t="str">
        <x:v>Future horizontal path is already a v16 driver; WUP historical surface derives from GHSL</x:v>
      </x:c>
      <x:c r="W1173" s="2" t="str">
        <x:v>https://human-settlement.emergency.copernicus.eu/datasets.php</x:v>
      </x:c>
    </x:row>
    <x:row r="1174" ht="23" customHeight="1">
      <x:c r="A1174" s="2" t="str">
        <x:v>YEM</x:v>
      </x:c>
      <x:c r="B1174" s="2" t="str">
        <x:v>Yemen (Republic of)</x:v>
      </x:c>
      <x:c r="C1174" s="2" t="str">
        <x:v>WUP_SURFACE</x:v>
      </x:c>
      <x:c r="D1174" s="2" t="n">
        <x:v>2015</x:v>
      </x:c>
      <x:c r="E1174" s="2" t="n">
        <x:v>2020</x:v>
      </x:c>
      <x:c r="F1174" s="17" t="n">
        <x:v>401216202.1769533</x:v>
      </x:c>
      <x:c r="G1174" s="17" t="n">
        <x:v>454480387.6899993</x:v>
      </x:c>
      <x:c r="H1174" s="17" t="n">
        <x:v>233559212.03228799</x:v>
      </x:c>
      <x:c r="I1174" s="17" t="n">
        <x:v>262106950.0246266</x:v>
      </x:c>
      <x:c r="J1174" s="2" t="str">
        <x:v>m2</x:v>
      </x:c>
      <x:c r="K1174" s="15" t="n">
        <x:f>IF(AND(ISNUMBER(F1174),ISNUMBER(G1174),F1174&gt;0),G1174/F1174-1,"n.a.")</x:f>
        <x:v>0.1327568159611714</x:v>
      </x:c>
      <x:c r="L1174" s="15" t="n">
        <x:f>IF(AND(N1174,ISNUMBER(H1174),ISNUMBER(I1174),H1174&gt;0),I1174/H1174-1,"n.a.")</x:f>
        <x:v>0.12222912444315015</x:v>
      </x:c>
      <x:c r="M1174" s="20" t="n">
        <x:f>IF(AND(ISNUMBER(K1174),ISNUMBER(L1174)),100*(K1174-L1174),"n.a.")</x:f>
        <x:v>1.0527691518021243</x:v>
      </x:c>
      <x:c r="N1174" s="13" t="b">
        <x:v>1</x:v>
      </x:c>
      <x:c r="O1174" s="13" t="b">
        <x:v>1</x:v>
      </x:c>
      <x:c r="P1174" s="13" t="b">
        <x:v>0</x:v>
      </x:c>
      <x:c r="Q1174" s="2" t="str">
        <x:v>L1_numeric_partition_qualified_not_national_completeness</x:v>
      </x:c>
      <x:c r="R1174" s="2" t="str">
        <x:v>L1_numeric_partition_qualified_not_national_completeness</x:v>
      </x:c>
      <x:c r="S1174" s="2" t="str">
        <x:v>historical_GHSL_BU_estimate</x:v>
      </x:c>
      <x:c r="T1174" s="2" t="str">
        <x:v>historical_GHSL_BU_estimate</x:v>
      </x:c>
      <x:c r="U1174" s="2" t="str">
        <x:v>GFA growth versus source physical quantity growth; constant conversion required for equality</x:v>
      </x:c>
      <x:c r="V1174" s="2" t="str">
        <x:v>Future horizontal path is already a v16 driver; WUP historical surface derives from GHSL</x:v>
      </x:c>
      <x:c r="W1174" s="2" t="str">
        <x:v>https://human-settlement.emergency.copernicus.eu/datasets.php</x:v>
      </x:c>
    </x:row>
    <x:row r="1175" ht="23" customHeight="1">
      <x:c r="A1175" s="2" t="str">
        <x:v>ZAF</x:v>
      </x:c>
      <x:c r="B1175" s="2" t="str">
        <x:v>South Africa (Republic of)</x:v>
      </x:c>
      <x:c r="C1175" s="2" t="str">
        <x:v>WUP_SURFACE</x:v>
      </x:c>
      <x:c r="D1175" s="2" t="n">
        <x:v>2015</x:v>
      </x:c>
      <x:c r="E1175" s="2" t="n">
        <x:v>2020</x:v>
      </x:c>
      <x:c r="F1175" s="17" t="n">
        <x:v>2389932427.550691</x:v>
      </x:c>
      <x:c r="G1175" s="17" t="n">
        <x:v>2711325840.6099963</x:v>
      </x:c>
      <x:c r="H1175" s="17" t="n">
        <x:v>5631040846.467953</x:v>
      </x:c>
      <x:c r="I1175" s="17" t="n">
        <x:v>6345332430.962695</x:v>
      </x:c>
      <x:c r="J1175" s="2" t="str">
        <x:v>m2</x:v>
      </x:c>
      <x:c r="K1175" s="15" t="n">
        <x:f>IF(AND(ISNUMBER(F1175),ISNUMBER(G1175),F1175&gt;0),G1175/F1175-1,"n.a.")</x:f>
        <x:v>0.13447803350184406</x:v>
      </x:c>
      <x:c r="L1175" s="15" t="n">
        <x:f>IF(AND(N1175,ISNUMBER(H1175),ISNUMBER(I1175),H1175&gt;0),I1175/H1175-1,"n.a.")</x:f>
        <x:v>0.1268489439111029</x:v>
      </x:c>
      <x:c r="M1175" s="20" t="n">
        <x:f>IF(AND(ISNUMBER(K1175),ISNUMBER(L1175)),100*(K1175-L1175),"n.a.")</x:f>
        <x:v>0.7629089590741156</x:v>
      </x:c>
      <x:c r="N1175" s="13" t="b">
        <x:v>1</x:v>
      </x:c>
      <x:c r="O1175" s="13" t="b">
        <x:v>1</x:v>
      </x:c>
      <x:c r="P1175" s="13" t="b">
        <x:v>0</x:v>
      </x:c>
      <x:c r="Q1175" s="2" t="str">
        <x:v>L1_numeric_partition_qualified_not_national_completeness</x:v>
      </x:c>
      <x:c r="R1175" s="2" t="str">
        <x:v>L1_numeric_partition_qualified_not_national_completeness</x:v>
      </x:c>
      <x:c r="S1175" s="2" t="str">
        <x:v>historical_GHSL_BU_estimate</x:v>
      </x:c>
      <x:c r="T1175" s="2" t="str">
        <x:v>historical_GHSL_BU_estimate</x:v>
      </x:c>
      <x:c r="U1175" s="2" t="str">
        <x:v>GFA growth versus source physical quantity growth; constant conversion required for equality</x:v>
      </x:c>
      <x:c r="V1175" s="2" t="str">
        <x:v>Future horizontal path is already a v16 driver; WUP historical surface derives from GHSL</x:v>
      </x:c>
      <x:c r="W1175" s="2" t="str">
        <x:v>https://human-settlement.emergency.copernicus.eu/datasets.php</x:v>
      </x:c>
    </x:row>
    <x:row r="1176" ht="23" customHeight="1">
      <x:c r="A1176" s="2" t="str">
        <x:v>ZMB</x:v>
      </x:c>
      <x:c r="B1176" s="2" t="str">
        <x:v>Zambia (Republic of)</x:v>
      </x:c>
      <x:c r="C1176" s="2" t="str">
        <x:v>WUP_SURFACE</x:v>
      </x:c>
      <x:c r="D1176" s="2" t="n">
        <x:v>2015</x:v>
      </x:c>
      <x:c r="E1176" s="2" t="n">
        <x:v>2020</x:v>
      </x:c>
      <x:c r="F1176" s="17" t="n">
        <x:v>347701586.48264974</x:v>
      </x:c>
      <x:c r="G1176" s="17" t="n">
        <x:v>396696842.49999976</x:v>
      </x:c>
      <x:c r="H1176" s="17" t="n">
        <x:v>1210312645.561583</x:v>
      </x:c>
      <x:c r="I1176" s="17" t="n">
        <x:v>1370847983.7854471</x:v>
      </x:c>
      <x:c r="J1176" s="2" t="str">
        <x:v>m2</x:v>
      </x:c>
      <x:c r="K1176" s="15" t="n">
        <x:f>IF(AND(ISNUMBER(F1176),ISNUMBER(G1176),F1176&gt;0),G1176/F1176-1,"n.a.")</x:f>
        <x:v>0.14091179885886107</x:v>
      </x:c>
      <x:c r="L1176" s="15" t="n">
        <x:f>IF(AND(N1176,ISNUMBER(H1176),ISNUMBER(I1176),H1176&gt;0),I1176/H1176-1,"n.a.")</x:f>
        <x:v>0.13263956120145792</x:v>
      </x:c>
      <x:c r="M1176" s="20" t="n">
        <x:f>IF(AND(ISNUMBER(K1176),ISNUMBER(L1176)),100*(K1176-L1176),"n.a.")</x:f>
        <x:v>0.8272237657403148</x:v>
      </x:c>
      <x:c r="N1176" s="13" t="b">
        <x:v>1</x:v>
      </x:c>
      <x:c r="O1176" s="13" t="b">
        <x:v>1</x:v>
      </x:c>
      <x:c r="P1176" s="13" t="b">
        <x:v>0</x:v>
      </x:c>
      <x:c r="Q1176" s="2" t="str">
        <x:v>L1_numeric_partition_qualified_not_national_completeness</x:v>
      </x:c>
      <x:c r="R1176" s="2" t="str">
        <x:v>L1_numeric_partition_qualified_not_national_completeness</x:v>
      </x:c>
      <x:c r="S1176" s="2" t="str">
        <x:v>historical_GHSL_BU_estimate</x:v>
      </x:c>
      <x:c r="T1176" s="2" t="str">
        <x:v>historical_GHSL_BU_estimate</x:v>
      </x:c>
      <x:c r="U1176" s="2" t="str">
        <x:v>GFA growth versus source physical quantity growth; constant conversion required for equality</x:v>
      </x:c>
      <x:c r="V1176" s="2" t="str">
        <x:v>Future horizontal path is already a v16 driver; WUP historical surface derives from GHSL</x:v>
      </x:c>
      <x:c r="W1176" s="2" t="str">
        <x:v>https://human-settlement.emergency.copernicus.eu/datasets.php</x:v>
      </x:c>
    </x:row>
    <x:row r="1177" ht="23" customHeight="1">
      <x:c r="A1177" s="2" t="str">
        <x:v>ZWE</x:v>
      </x:c>
      <x:c r="B1177" s="2" t="str">
        <x:v>Zimbabwe (Republic of)</x:v>
      </x:c>
      <x:c r="C1177" s="2" t="str">
        <x:v>WUP_SURFACE</x:v>
      </x:c>
      <x:c r="D1177" s="2" t="n">
        <x:v>2015</x:v>
      </x:c>
      <x:c r="E1177" s="2" t="n">
        <x:v>2020</x:v>
      </x:c>
      <x:c r="F1177" s="17" t="n">
        <x:v>286327064.77887195</x:v>
      </x:c>
      <x:c r="G1177" s="17" t="n">
        <x:v>420425813.9799996</x:v>
      </x:c>
      <x:c r="H1177" s="17" t="n">
        <x:v>910501542.9779311</x:v>
      </x:c>
      <x:c r="I1177" s="17" t="n">
        <x:v>1326741819.9649086</x:v>
      </x:c>
      <x:c r="J1177" s="2" t="str">
        <x:v>m2</x:v>
      </x:c>
      <x:c r="K1177" s="15" t="n">
        <x:f>IF(AND(ISNUMBER(F1177),ISNUMBER(G1177),F1177&gt;0),G1177/F1177-1,"n.a.")</x:f>
        <x:v>0.46834115840460644</x:v>
      </x:c>
      <x:c r="L1177" s="15" t="n">
        <x:f>IF(AND(N1177,ISNUMBER(H1177),ISNUMBER(I1177),H1177&gt;0),I1177/H1177-1,"n.a.")</x:f>
        <x:v>0.45715493861284573</x:v>
      </x:c>
      <x:c r="M1177" s="20" t="n">
        <x:f>IF(AND(ISNUMBER(K1177),ISNUMBER(L1177)),100*(K1177-L1177),"n.a.")</x:f>
        <x:v>1.118621979176071</x:v>
      </x:c>
      <x:c r="N1177" s="13" t="b">
        <x:v>1</x:v>
      </x:c>
      <x:c r="O1177" s="13" t="b">
        <x:v>1</x:v>
      </x:c>
      <x:c r="P1177" s="13" t="b">
        <x:v>0</x:v>
      </x:c>
      <x:c r="Q1177" s="2" t="str">
        <x:v>L1_numeric_partition_qualified_not_national_completeness</x:v>
      </x:c>
      <x:c r="R1177" s="2" t="str">
        <x:v>L1_numeric_partition_qualified_not_national_completeness</x:v>
      </x:c>
      <x:c r="S1177" s="2" t="str">
        <x:v>historical_GHSL_BU_estimate</x:v>
      </x:c>
      <x:c r="T1177" s="2" t="str">
        <x:v>historical_GHSL_BU_estimate</x:v>
      </x:c>
      <x:c r="U1177" s="2" t="str">
        <x:v>GFA growth versus source physical quantity growth; constant conversion required for equality</x:v>
      </x:c>
      <x:c r="V1177" s="2" t="str">
        <x:v>Future horizontal path is already a v16 driver; WUP historical surface derives from GHSL</x:v>
      </x:c>
      <x:c r="W1177" s="2" t="str">
        <x:v>https://human-settlement.emergency.copernicus.eu/datasets.php</x:v>
      </x:c>
    </x:row>
    <x:row r="1178" ht="23" customHeight="1">
      <x:c r="A1178" s="2" t="str">
        <x:v>AFG</x:v>
      </x:c>
      <x:c r="B1178" s="2" t="str">
        <x:v>Afghanistan (Islamic Republic of)</x:v>
      </x:c>
      <x:c r="C1178" s="2" t="str">
        <x:v>WUP_SURFACE</x:v>
      </x:c>
      <x:c r="D1178" s="2" t="n">
        <x:v>2020</x:v>
      </x:c>
      <x:c r="E1178" s="2" t="n">
        <x:v>2025</x:v>
      </x:c>
      <x:c r="F1178" s="17" t="n">
        <x:v>853208432.4500008</x:v>
      </x:c>
      <x:c r="G1178" s="17" t="n">
        <x:v>1090670000.985095</x:v>
      </x:c>
      <x:c r="H1178" s="17" t="n">
        <x:v>601855988.0311444</x:v>
      </x:c>
      <x:c r="I1178" s="17" t="n">
        <x:v>765363218.0947696</x:v>
      </x:c>
      <x:c r="J1178" s="2" t="str">
        <x:v>m2</x:v>
      </x:c>
      <x:c r="K1178" s="15" t="n">
        <x:f>IF(AND(ISNUMBER(F1178),ISNUMBER(G1178),F1178&gt;0),G1178/F1178-1,"n.a.")</x:f>
        <x:v>0.27831601224711267</x:v>
      </x:c>
      <x:c r="L1178" s="15" t="n">
        <x:f>IF(AND(N1178,ISNUMBER(H1178),ISNUMBER(I1178),H1178&gt;0),I1178/H1178-1,"n.a.")</x:f>
        <x:v>0.2716716844481477</x:v>
      </x:c>
      <x:c r="M1178" s="20" t="n">
        <x:f>IF(AND(ISNUMBER(K1178),ISNUMBER(L1178)),100*(K1178-L1178),"n.a.")</x:f>
        <x:v>0.6644327798964955</x:v>
      </x:c>
      <x:c r="N1178" s="13" t="b">
        <x:v>1</x:v>
      </x:c>
      <x:c r="O1178" s="13" t="b">
        <x:v>1</x:v>
      </x:c>
      <x:c r="P1178" s="13" t="b">
        <x:v>0</x:v>
      </x:c>
      <x:c r="Q1178" s="2" t="str">
        <x:v>L1_numeric_partition_qualified_not_national_completeness</x:v>
      </x:c>
      <x:c r="R1178" s="2" t="str">
        <x:v>L1_numeric_partition_qualified_not_national_completeness</x:v>
      </x:c>
      <x:c r="S1178" s="2" t="str">
        <x:v>historical_GHSL_BU_estimate</x:v>
      </x:c>
      <x:c r="T1178" s="2" t="str">
        <x:v>projected_CRISP_BU_surface</x:v>
      </x:c>
      <x:c r="U1178" s="2" t="str">
        <x:v>GFA growth versus source physical quantity growth; constant conversion required for equality</x:v>
      </x:c>
      <x:c r="V1178" s="2" t="str">
        <x:v>Future horizontal path is already a v16 driver; WUP historical surface derives from GHSL</x:v>
      </x:c>
      <x:c r="W1178" s="2" t="str">
        <x:v>https://human-settlement.emergency.copernicus.eu/datasets.php</x:v>
      </x:c>
    </x:row>
    <x:row r="1179" ht="23" customHeight="1">
      <x:c r="A1179" s="2" t="str">
        <x:v>AGO</x:v>
      </x:c>
      <x:c r="B1179" s="2" t="str">
        <x:v>Angola (Republic of)</x:v>
      </x:c>
      <x:c r="C1179" s="2" t="str">
        <x:v>WUP_SURFACE</x:v>
      </x:c>
      <x:c r="D1179" s="2" t="n">
        <x:v>2020</x:v>
      </x:c>
      <x:c r="E1179" s="2" t="n">
        <x:v>2025</x:v>
      </x:c>
      <x:c r="F1179" s="17" t="n">
        <x:v>512504617.85999936</x:v>
      </x:c>
      <x:c r="G1179" s="17" t="n">
        <x:v>619948193.3468488</x:v>
      </x:c>
      <x:c r="H1179" s="17" t="n">
        <x:v>1289840103.655108</x:v>
      </x:c>
      <x:c r="I1179" s="17" t="n">
        <x:v>1556023699.7335112</x:v>
      </x:c>
      <x:c r="J1179" s="2" t="str">
        <x:v>m2</x:v>
      </x:c>
      <x:c r="K1179" s="15" t="n">
        <x:f>IF(AND(ISNUMBER(F1179),ISNUMBER(G1179),F1179&gt;0),G1179/F1179-1,"n.a.")</x:f>
        <x:v>0.20964411196037225</x:v>
      </x:c>
      <x:c r="L1179" s="15" t="n">
        <x:f>IF(AND(N1179,ISNUMBER(H1179),ISNUMBER(I1179),H1179&gt;0),I1179/H1179-1,"n.a.")</x:f>
        <x:v>0.20636945255780192</x:v>
      </x:c>
      <x:c r="M1179" s="20" t="n">
        <x:f>IF(AND(ISNUMBER(K1179),ISNUMBER(L1179)),100*(K1179-L1179),"n.a.")</x:f>
        <x:v>0.32746594025703235</x:v>
      </x:c>
      <x:c r="N1179" s="13" t="b">
        <x:v>1</x:v>
      </x:c>
      <x:c r="O1179" s="13" t="b">
        <x:v>1</x:v>
      </x:c>
      <x:c r="P1179" s="13" t="b">
        <x:v>0</x:v>
      </x:c>
      <x:c r="Q1179" s="2" t="str">
        <x:v>L1_numeric_partition_qualified_not_national_completeness</x:v>
      </x:c>
      <x:c r="R1179" s="2" t="str">
        <x:v>L1_numeric_partition_qualified_not_national_completeness</x:v>
      </x:c>
      <x:c r="S1179" s="2" t="str">
        <x:v>historical_GHSL_BU_estimate</x:v>
      </x:c>
      <x:c r="T1179" s="2" t="str">
        <x:v>projected_CRISP_BU_surface</x:v>
      </x:c>
      <x:c r="U1179" s="2" t="str">
        <x:v>GFA growth versus source physical quantity growth; constant conversion required for equality</x:v>
      </x:c>
      <x:c r="V1179" s="2" t="str">
        <x:v>Future horizontal path is already a v16 driver; WUP historical surface derives from GHSL</x:v>
      </x:c>
      <x:c r="W1179" s="2" t="str">
        <x:v>https://human-settlement.emergency.copernicus.eu/datasets.php</x:v>
      </x:c>
    </x:row>
    <x:row r="1180" ht="23" customHeight="1">
      <x:c r="A1180" s="2" t="str">
        <x:v>ALB</x:v>
      </x:c>
      <x:c r="B1180" s="2" t="str">
        <x:v>Albania (Republic of)</x:v>
      </x:c>
      <x:c r="C1180" s="2" t="str">
        <x:v>WUP_SURFACE</x:v>
      </x:c>
      <x:c r="D1180" s="2" t="n">
        <x:v>2020</x:v>
      </x:c>
      <x:c r="E1180" s="2" t="n">
        <x:v>2025</x:v>
      </x:c>
      <x:c r="F1180" s="17" t="n">
        <x:v>161276383.52000022</x:v>
      </x:c>
      <x:c r="G1180" s="17" t="n">
        <x:v>164304204.02968726</x:v>
      </x:c>
      <x:c r="H1180" s="17" t="n">
        <x:v>239435354.92663443</x:v>
      </x:c>
      <x:c r="I1180" s="17" t="n">
        <x:v>244035044.40043822</x:v>
      </x:c>
      <x:c r="J1180" s="2" t="str">
        <x:v>m2</x:v>
      </x:c>
      <x:c r="K1180" s="15" t="n">
        <x:f>IF(AND(ISNUMBER(F1180),ISNUMBER(G1180),F1180&gt;0),G1180/F1180-1,"n.a.")</x:f>
        <x:v>0.018774109659468907</x:v>
      </x:c>
      <x:c r="L1180" s="15" t="n">
        <x:f>IF(AND(N1180,ISNUMBER(H1180),ISNUMBER(I1180),H1180&gt;0),I1180/H1180-1,"n.a.")</x:f>
        <x:v>0.019210569279600298</x:v>
      </x:c>
      <x:c r="M1180" s="20" t="n">
        <x:f>IF(AND(ISNUMBER(K1180),ISNUMBER(L1180)),100*(K1180-L1180),"n.a.")</x:f>
        <x:v>-0.043645962013139084</x:v>
      </x:c>
      <x:c r="N1180" s="13" t="b">
        <x:v>1</x:v>
      </x:c>
      <x:c r="O1180" s="13" t="b">
        <x:v>1</x:v>
      </x:c>
      <x:c r="P1180" s="13" t="b">
        <x:v>0</x:v>
      </x:c>
      <x:c r="Q1180" s="2" t="str">
        <x:v>L1_numeric_partition_qualified_not_national_completeness</x:v>
      </x:c>
      <x:c r="R1180" s="2" t="str">
        <x:v>L1_numeric_partition_qualified_not_national_completeness</x:v>
      </x:c>
      <x:c r="S1180" s="2" t="str">
        <x:v>historical_GHSL_BU_estimate</x:v>
      </x:c>
      <x:c r="T1180" s="2" t="str">
        <x:v>projected_CRISP_BU_surface</x:v>
      </x:c>
      <x:c r="U1180" s="2" t="str">
        <x:v>GFA growth versus source physical quantity growth; constant conversion required for equality</x:v>
      </x:c>
      <x:c r="V1180" s="2" t="str">
        <x:v>Future horizontal path is already a v16 driver; WUP historical surface derives from GHSL</x:v>
      </x:c>
      <x:c r="W1180" s="2" t="str">
        <x:v>https://human-settlement.emergency.copernicus.eu/datasets.php</x:v>
      </x:c>
    </x:row>
    <x:row r="1181" ht="23" customHeight="1">
      <x:c r="A1181" s="2" t="str">
        <x:v>AND</x:v>
      </x:c>
      <x:c r="B1181" s="2" t="str">
        <x:v>Andorra (Principality of)</x:v>
      </x:c>
      <x:c r="C1181" s="2" t="str">
        <x:v>WUP_SURFACE</x:v>
      </x:c>
      <x:c r="D1181" s="2" t="n">
        <x:v>2020</x:v>
      </x:c>
      <x:c r="E1181" s="2" t="n">
        <x:v>2025</x:v>
      </x:c>
      <x:c r="F1181" s="17" t="n">
        <x:v>2995448.5899999994</x:v>
      </x:c>
      <x:c r="G1181" s="17" t="n">
        <x:v>3545252.0670447643</x:v>
      </x:c>
      <x:c r="H1181" s="17" t="n">
        <x:v>2238287.009914984</x:v>
      </x:c>
      <x:c r="I1181" s="17" t="n">
        <x:v>2638510.0049142237</x:v>
      </x:c>
      <x:c r="J1181" s="2" t="str">
        <x:v>m2</x:v>
      </x:c>
      <x:c r="K1181" s="15" t="n">
        <x:f>IF(AND(ISNUMBER(F1181),ISNUMBER(G1181),F1181&gt;0),G1181/F1181-1,"n.a.")</x:f>
        <x:v>0.1835462904889198</x:v>
      </x:c>
      <x:c r="L1181" s="15" t="n">
        <x:f>IF(AND(N1181,ISNUMBER(H1181),ISNUMBER(I1181),H1181&gt;0),I1181/H1181-1,"n.a.")</x:f>
        <x:v>0.17880771912912152</x:v>
      </x:c>
      <x:c r="M1181" s="20" t="n">
        <x:f>IF(AND(ISNUMBER(K1181),ISNUMBER(L1181)),100*(K1181-L1181),"n.a.")</x:f>
        <x:v>0.47385713597982715</x:v>
      </x:c>
      <x:c r="N1181" s="13" t="b">
        <x:v>1</x:v>
      </x:c>
      <x:c r="O1181" s="13" t="b">
        <x:v>1</x:v>
      </x:c>
      <x:c r="P1181" s="13" t="b">
        <x:v>0</x:v>
      </x:c>
      <x:c r="Q1181" s="2" t="str">
        <x:v>L1_numeric_partition_qualified_not_national_completeness</x:v>
      </x:c>
      <x:c r="R1181" s="2" t="str">
        <x:v>L1_numeric_partition_qualified_not_national_completeness</x:v>
      </x:c>
      <x:c r="S1181" s="2" t="str">
        <x:v>historical_GHSL_BU_estimate</x:v>
      </x:c>
      <x:c r="T1181" s="2" t="str">
        <x:v>projected_CRISP_BU_surface</x:v>
      </x:c>
      <x:c r="U1181" s="2" t="str">
        <x:v>GFA growth versus source physical quantity growth; constant conversion required for equality</x:v>
      </x:c>
      <x:c r="V1181" s="2" t="str">
        <x:v>Future horizontal path is already a v16 driver; WUP historical surface derives from GHSL</x:v>
      </x:c>
      <x:c r="W1181" s="2" t="str">
        <x:v>https://human-settlement.emergency.copernicus.eu/datasets.php</x:v>
      </x:c>
    </x:row>
    <x:row r="1182" ht="23" customHeight="1">
      <x:c r="A1182" s="2" t="str">
        <x:v>ARE</x:v>
      </x:c>
      <x:c r="B1182" s="2" t="str">
        <x:v>United Arab Emirates</x:v>
      </x:c>
      <x:c r="C1182" s="2" t="str">
        <x:v>WUP_SURFACE</x:v>
      </x:c>
      <x:c r="D1182" s="2" t="n">
        <x:v>2020</x:v>
      </x:c>
      <x:c r="E1182" s="2" t="n">
        <x:v>2025</x:v>
      </x:c>
      <x:c r="F1182" s="17" t="n">
        <x:v>511804054.8699995</x:v>
      </x:c>
      <x:c r="G1182" s="17" t="n">
        <x:v>619697918.6693147</x:v>
      </x:c>
      <x:c r="H1182" s="17" t="n">
        <x:v>638456291.4414136</x:v>
      </x:c>
      <x:c r="I1182" s="17" t="n">
        <x:v>769760673.8965012</x:v>
      </x:c>
      <x:c r="J1182" s="2" t="str">
        <x:v>m2</x:v>
      </x:c>
      <x:c r="K1182" s="15" t="n">
        <x:f>IF(AND(ISNUMBER(F1182),ISNUMBER(G1182),F1182&gt;0),G1182/F1182-1,"n.a.")</x:f>
        <x:v>0.21081088118131608</x:v>
      </x:c>
      <x:c r="L1182" s="15" t="n">
        <x:f>IF(AND(N1182,ISNUMBER(H1182),ISNUMBER(I1182),H1182&gt;0),I1182/H1182-1,"n.a.")</x:f>
        <x:v>0.20565915664899737</x:v>
      </x:c>
      <x:c r="M1182" s="20" t="n">
        <x:f>IF(AND(ISNUMBER(K1182),ISNUMBER(L1182)),100*(K1182-L1182),"n.a.")</x:f>
        <x:v>0.5151724532318713</x:v>
      </x:c>
      <x:c r="N1182" s="13" t="b">
        <x:v>1</x:v>
      </x:c>
      <x:c r="O1182" s="13" t="b">
        <x:v>1</x:v>
      </x:c>
      <x:c r="P1182" s="13" t="b">
        <x:v>0</x:v>
      </x:c>
      <x:c r="Q1182" s="2" t="str">
        <x:v>L1_numeric_partition_qualified_not_national_completeness</x:v>
      </x:c>
      <x:c r="R1182" s="2" t="str">
        <x:v>L1_numeric_partition_qualified_not_national_completeness</x:v>
      </x:c>
      <x:c r="S1182" s="2" t="str">
        <x:v>historical_GHSL_BU_estimate</x:v>
      </x:c>
      <x:c r="T1182" s="2" t="str">
        <x:v>projected_CRISP_BU_surface</x:v>
      </x:c>
      <x:c r="U1182" s="2" t="str">
        <x:v>GFA growth versus source physical quantity growth; constant conversion required for equality</x:v>
      </x:c>
      <x:c r="V1182" s="2" t="str">
        <x:v>Future horizontal path is already a v16 driver; WUP historical surface derives from GHSL</x:v>
      </x:c>
      <x:c r="W1182" s="2" t="str">
        <x:v>https://human-settlement.emergency.copernicus.eu/datasets.php</x:v>
      </x:c>
    </x:row>
    <x:row r="1183" ht="23" customHeight="1">
      <x:c r="A1183" s="2" t="str">
        <x:v>ARG</x:v>
      </x:c>
      <x:c r="B1183" s="2" t="str">
        <x:v>Argentina (Argentine Republic)</x:v>
      </x:c>
      <x:c r="C1183" s="2" t="str">
        <x:v>WUP_SURFACE</x:v>
      </x:c>
      <x:c r="D1183" s="2" t="n">
        <x:v>2020</x:v>
      </x:c>
      <x:c r="E1183" s="2" t="n">
        <x:v>2025</x:v>
      </x:c>
      <x:c r="F1183" s="17" t="n">
        <x:v>2382940448.399998</x:v>
      </x:c>
      <x:c r="G1183" s="17" t="n">
        <x:v>2597324076.14864</x:v>
      </x:c>
      <x:c r="H1183" s="17" t="n">
        <x:v>3943294133.4848666</x:v>
      </x:c>
      <x:c r="I1183" s="17" t="n">
        <x:v>4290468554.0943484</x:v>
      </x:c>
      <x:c r="J1183" s="2" t="str">
        <x:v>m2</x:v>
      </x:c>
      <x:c r="K1183" s="15" t="n">
        <x:f>IF(AND(ISNUMBER(F1183),ISNUMBER(G1183),F1183&gt;0),G1183/F1183-1,"n.a.")</x:f>
        <x:v>0.08996600309193115</x:v>
      </x:c>
      <x:c r="L1183" s="15" t="n">
        <x:f>IF(AND(N1183,ISNUMBER(H1183),ISNUMBER(I1183),H1183&gt;0),I1183/H1183-1,"n.a.")</x:f>
        <x:v>0.0880417257392534</x:v>
      </x:c>
      <x:c r="M1183" s="20" t="n">
        <x:f>IF(AND(ISNUMBER(K1183),ISNUMBER(L1183)),100*(K1183-L1183),"n.a.")</x:f>
        <x:v>0.192427735267775</x:v>
      </x:c>
      <x:c r="N1183" s="13" t="b">
        <x:v>1</x:v>
      </x:c>
      <x:c r="O1183" s="13" t="b">
        <x:v>1</x:v>
      </x:c>
      <x:c r="P1183" s="13" t="b">
        <x:v>0</x:v>
      </x:c>
      <x:c r="Q1183" s="2" t="str">
        <x:v>L1_numeric_partition_qualified_not_national_completeness</x:v>
      </x:c>
      <x:c r="R1183" s="2" t="str">
        <x:v>L1_numeric_partition_qualified_not_national_completeness</x:v>
      </x:c>
      <x:c r="S1183" s="2" t="str">
        <x:v>historical_GHSL_BU_estimate</x:v>
      </x:c>
      <x:c r="T1183" s="2" t="str">
        <x:v>projected_CRISP_BU_surface</x:v>
      </x:c>
      <x:c r="U1183" s="2" t="str">
        <x:v>GFA growth versus source physical quantity growth; constant conversion required for equality</x:v>
      </x:c>
      <x:c r="V1183" s="2" t="str">
        <x:v>Future horizontal path is already a v16 driver; WUP historical surface derives from GHSL</x:v>
      </x:c>
      <x:c r="W1183" s="2" t="str">
        <x:v>https://human-settlement.emergency.copernicus.eu/datasets.php</x:v>
      </x:c>
    </x:row>
    <x:row r="1184" ht="23" customHeight="1">
      <x:c r="A1184" s="2" t="str">
        <x:v>ARM</x:v>
      </x:c>
      <x:c r="B1184" s="2" t="str">
        <x:v>Armenia (Republic of)</x:v>
      </x:c>
      <x:c r="C1184" s="2" t="str">
        <x:v>WUP_SURFACE</x:v>
      </x:c>
      <x:c r="D1184" s="2" t="n">
        <x:v>2020</x:v>
      </x:c>
      <x:c r="E1184" s="2" t="n">
        <x:v>2025</x:v>
      </x:c>
      <x:c r="F1184" s="17" t="n">
        <x:v>142786500.21000025</x:v>
      </x:c>
      <x:c r="G1184" s="17" t="n">
        <x:v>152778312.3191071</x:v>
      </x:c>
      <x:c r="H1184" s="17" t="n">
        <x:v>222480262.7736285</x:v>
      </x:c>
      <x:c r="I1184" s="17" t="n">
        <x:v>237862943.23750904</x:v>
      </x:c>
      <x:c r="J1184" s="2" t="str">
        <x:v>m2</x:v>
      </x:c>
      <x:c r="K1184" s="15" t="n">
        <x:f>IF(AND(ISNUMBER(F1184),ISNUMBER(G1184),F1184&gt;0),G1184/F1184-1,"n.a.")</x:f>
        <x:v>0.06997728843000983</x:v>
      </x:c>
      <x:c r="L1184" s="15" t="n">
        <x:f>IF(AND(N1184,ISNUMBER(H1184),ISNUMBER(I1184),H1184&gt;0),I1184/H1184-1,"n.a.")</x:f>
        <x:v>0.06914177586859593</x:v>
      </x:c>
      <x:c r="M1184" s="20" t="n">
        <x:f>IF(AND(ISNUMBER(K1184),ISNUMBER(L1184)),100*(K1184-L1184),"n.a.")</x:f>
        <x:v>0.08355125614138981</x:v>
      </x:c>
      <x:c r="N1184" s="13" t="b">
        <x:v>1</x:v>
      </x:c>
      <x:c r="O1184" s="13" t="b">
        <x:v>1</x:v>
      </x:c>
      <x:c r="P1184" s="13" t="b">
        <x:v>0</x:v>
      </x:c>
      <x:c r="Q1184" s="2" t="str">
        <x:v>L1_numeric_partition_qualified_not_national_completeness</x:v>
      </x:c>
      <x:c r="R1184" s="2" t="str">
        <x:v>L1_numeric_partition_qualified_not_national_completeness</x:v>
      </x:c>
      <x:c r="S1184" s="2" t="str">
        <x:v>historical_GHSL_BU_estimate</x:v>
      </x:c>
      <x:c r="T1184" s="2" t="str">
        <x:v>projected_CRISP_BU_surface</x:v>
      </x:c>
      <x:c r="U1184" s="2" t="str">
        <x:v>GFA growth versus source physical quantity growth; constant conversion required for equality</x:v>
      </x:c>
      <x:c r="V1184" s="2" t="str">
        <x:v>Future horizontal path is already a v16 driver; WUP historical surface derives from GHSL</x:v>
      </x:c>
      <x:c r="W1184" s="2" t="str">
        <x:v>https://human-settlement.emergency.copernicus.eu/datasets.php</x:v>
      </x:c>
    </x:row>
    <x:row r="1185" ht="23" customHeight="1">
      <x:c r="A1185" s="2" t="str">
        <x:v>ATG</x:v>
      </x:c>
      <x:c r="B1185" s="2" t="str">
        <x:v>Antigua and Barbuda</x:v>
      </x:c>
      <x:c r="C1185" s="2" t="str">
        <x:v>WUP_SURFACE</x:v>
      </x:c>
      <x:c r="D1185" s="2" t="n">
        <x:v>2020</x:v>
      </x:c>
      <x:c r="E1185" s="2" t="n">
        <x:v>2025</x:v>
      </x:c>
      <x:c r="F1185" s="17" t="n">
        <x:v>7437404.659999999</x:v>
      </x:c>
      <x:c r="G1185" s="17" t="n">
        <x:v>7712176.853985657</x:v>
      </x:c>
      <x:c r="H1185" s="17" t="n">
        <x:v>14728033.99585814</x:v>
      </x:c>
      <x:c r="I1185" s="17" t="n">
        <x:v>15240511.355237117</x:v>
      </x:c>
      <x:c r="J1185" s="2" t="str">
        <x:v>m2</x:v>
      </x:c>
      <x:c r="K1185" s="15" t="n">
        <x:f>IF(AND(ISNUMBER(F1185),ISNUMBER(G1185),F1185&gt;0),G1185/F1185-1,"n.a.")</x:f>
        <x:v>0.03694463412263205</x:v>
      </x:c>
      <x:c r="L1185" s="15" t="n">
        <x:f>IF(AND(N1185,ISNUMBER(H1185),ISNUMBER(I1185),H1185&gt;0),I1185/H1185-1,"n.a.")</x:f>
        <x:v>0.0347960467448063</x:v>
      </x:c>
      <x:c r="M1185" s="20" t="n">
        <x:f>IF(AND(ISNUMBER(K1185),ISNUMBER(L1185)),100*(K1185-L1185),"n.a.")</x:f>
        <x:v>0.21485873778257503</x:v>
      </x:c>
      <x:c r="N1185" s="13" t="b">
        <x:v>1</x:v>
      </x:c>
      <x:c r="O1185" s="13" t="b">
        <x:v>1</x:v>
      </x:c>
      <x:c r="P1185" s="13" t="b">
        <x:v>0</x:v>
      </x:c>
      <x:c r="Q1185" s="2" t="str">
        <x:v>L1_numeric_partition_qualified_not_national_completeness</x:v>
      </x:c>
      <x:c r="R1185" s="2" t="str">
        <x:v>L1_numeric_partition_qualified_not_national_completeness</x:v>
      </x:c>
      <x:c r="S1185" s="2" t="str">
        <x:v>historical_GHSL_BU_estimate</x:v>
      </x:c>
      <x:c r="T1185" s="2" t="str">
        <x:v>projected_CRISP_BU_surface</x:v>
      </x:c>
      <x:c r="U1185" s="2" t="str">
        <x:v>GFA growth versus source physical quantity growth; constant conversion required for equality</x:v>
      </x:c>
      <x:c r="V1185" s="2" t="str">
        <x:v>Future horizontal path is already a v16 driver; WUP historical surface derives from GHSL</x:v>
      </x:c>
      <x:c r="W1185" s="2" t="str">
        <x:v>https://human-settlement.emergency.copernicus.eu/datasets.php</x:v>
      </x:c>
    </x:row>
    <x:row r="1186" ht="23" customHeight="1">
      <x:c r="A1186" s="2" t="str">
        <x:v>AUS</x:v>
      </x:c>
      <x:c r="B1186" s="2" t="str">
        <x:v>Australia (Commonwealth of)</x:v>
      </x:c>
      <x:c r="C1186" s="2" t="str">
        <x:v>WUP_SURFACE</x:v>
      </x:c>
      <x:c r="D1186" s="2" t="n">
        <x:v>2020</x:v>
      </x:c>
      <x:c r="E1186" s="2" t="n">
        <x:v>2025</x:v>
      </x:c>
      <x:c r="F1186" s="17" t="n">
        <x:v>3011161094.8599973</x:v>
      </x:c>
      <x:c r="G1186" s="17" t="n">
        <x:v>3239594429.6078334</x:v>
      </x:c>
      <x:c r="H1186" s="17" t="n">
        <x:v>5111320190.100877</x:v>
      </x:c>
      <x:c r="I1186" s="17" t="n">
        <x:v>5470618238.971757</x:v>
      </x:c>
      <x:c r="J1186" s="2" t="str">
        <x:v>m2</x:v>
      </x:c>
      <x:c r="K1186" s="15" t="n">
        <x:f>IF(AND(ISNUMBER(F1186),ISNUMBER(G1186),F1186&gt;0),G1186/F1186-1,"n.a.")</x:f>
        <x:v>0.07586220980928848</x:v>
      </x:c>
      <x:c r="L1186" s="15" t="n">
        <x:f>IF(AND(N1186,ISNUMBER(H1186),ISNUMBER(I1186),H1186&gt;0),I1186/H1186-1,"n.a.")</x:f>
        <x:v>0.07029456882132612</x:v>
      </x:c>
      <x:c r="M1186" s="20" t="n">
        <x:f>IF(AND(ISNUMBER(K1186),ISNUMBER(L1186)),100*(K1186-L1186),"n.a.")</x:f>
        <x:v>0.5567640987962363</x:v>
      </x:c>
      <x:c r="N1186" s="13" t="b">
        <x:v>1</x:v>
      </x:c>
      <x:c r="O1186" s="13" t="b">
        <x:v>1</x:v>
      </x:c>
      <x:c r="P1186" s="13" t="b">
        <x:v>0</x:v>
      </x:c>
      <x:c r="Q1186" s="2" t="str">
        <x:v>L1_numeric_partition_qualified_not_national_completeness</x:v>
      </x:c>
      <x:c r="R1186" s="2" t="str">
        <x:v>L1_numeric_partition_qualified_not_national_completeness</x:v>
      </x:c>
      <x:c r="S1186" s="2" t="str">
        <x:v>historical_GHSL_BU_estimate</x:v>
      </x:c>
      <x:c r="T1186" s="2" t="str">
        <x:v>projected_CRISP_BU_surface</x:v>
      </x:c>
      <x:c r="U1186" s="2" t="str">
        <x:v>GFA growth versus source physical quantity growth; constant conversion required for equality</x:v>
      </x:c>
      <x:c r="V1186" s="2" t="str">
        <x:v>Future horizontal path is already a v16 driver; WUP historical surface derives from GHSL</x:v>
      </x:c>
      <x:c r="W1186" s="2" t="str">
        <x:v>https://human-settlement.emergency.copernicus.eu/datasets.php</x:v>
      </x:c>
    </x:row>
    <x:row r="1187" ht="23" customHeight="1">
      <x:c r="A1187" s="2" t="str">
        <x:v>AUT</x:v>
      </x:c>
      <x:c r="B1187" s="2" t="str">
        <x:v>Austria (Republic of)</x:v>
      </x:c>
      <x:c r="C1187" s="2" t="str">
        <x:v>WUP_SURFACE</x:v>
      </x:c>
      <x:c r="D1187" s="2" t="n">
        <x:v>2020</x:v>
      </x:c>
      <x:c r="E1187" s="2" t="n">
        <x:v>2025</x:v>
      </x:c>
      <x:c r="F1187" s="17" t="n">
        <x:v>865496536.0700006</x:v>
      </x:c>
      <x:c r="G1187" s="17" t="n">
        <x:v>958361170.052577</x:v>
      </x:c>
      <x:c r="H1187" s="17" t="n">
        <x:v>1140614141.503219</x:v>
      </x:c>
      <x:c r="I1187" s="17" t="n">
        <x:v>1259578521.3907418</x:v>
      </x:c>
      <x:c r="J1187" s="2" t="str">
        <x:v>m2</x:v>
      </x:c>
      <x:c r="K1187" s="15" t="n">
        <x:f>IF(AND(ISNUMBER(F1187),ISNUMBER(G1187),F1187&gt;0),G1187/F1187-1,"n.a.")</x:f>
        <x:v>0.10729636701291834</x:v>
      </x:c>
      <x:c r="L1187" s="15" t="n">
        <x:f>IF(AND(N1187,ISNUMBER(H1187),ISNUMBER(I1187),H1187&gt;0),I1187/H1187-1,"n.a.")</x:f>
        <x:v>0.10429853143039192</x:v>
      </x:c>
      <x:c r="M1187" s="20" t="n">
        <x:f>IF(AND(ISNUMBER(K1187),ISNUMBER(L1187)),100*(K1187-L1187),"n.a.")</x:f>
        <x:v>0.299783558252642</x:v>
      </x:c>
      <x:c r="N1187" s="13" t="b">
        <x:v>1</x:v>
      </x:c>
      <x:c r="O1187" s="13" t="b">
        <x:v>1</x:v>
      </x:c>
      <x:c r="P1187" s="13" t="b">
        <x:v>0</x:v>
      </x:c>
      <x:c r="Q1187" s="2" t="str">
        <x:v>L1_numeric_partition_qualified_not_national_completeness</x:v>
      </x:c>
      <x:c r="R1187" s="2" t="str">
        <x:v>L1_numeric_partition_qualified_not_national_completeness</x:v>
      </x:c>
      <x:c r="S1187" s="2" t="str">
        <x:v>historical_GHSL_BU_estimate</x:v>
      </x:c>
      <x:c r="T1187" s="2" t="str">
        <x:v>projected_CRISP_BU_surface</x:v>
      </x:c>
      <x:c r="U1187" s="2" t="str">
        <x:v>GFA growth versus source physical quantity growth; constant conversion required for equality</x:v>
      </x:c>
      <x:c r="V1187" s="2" t="str">
        <x:v>Future horizontal path is already a v16 driver; WUP historical surface derives from GHSL</x:v>
      </x:c>
      <x:c r="W1187" s="2" t="str">
        <x:v>https://human-settlement.emergency.copernicus.eu/datasets.php</x:v>
      </x:c>
    </x:row>
    <x:row r="1188" ht="23" customHeight="1">
      <x:c r="A1188" s="2" t="str">
        <x:v>AZE</x:v>
      </x:c>
      <x:c r="B1188" s="2" t="str">
        <x:v>Azerbaijan (Republic of)</x:v>
      </x:c>
      <x:c r="C1188" s="2" t="str">
        <x:v>WUP_SURFACE</x:v>
      </x:c>
      <x:c r="D1188" s="2" t="n">
        <x:v>2020</x:v>
      </x:c>
      <x:c r="E1188" s="2" t="n">
        <x:v>2025</x:v>
      </x:c>
      <x:c r="F1188" s="17" t="n">
        <x:v>507953272.9000006</x:v>
      </x:c>
      <x:c r="G1188" s="17" t="n">
        <x:v>550185494.6468804</x:v>
      </x:c>
      <x:c r="H1188" s="17" t="n">
        <x:v>846314460.4218581</x:v>
      </x:c>
      <x:c r="I1188" s="17" t="n">
        <x:v>914150209.8863156</x:v>
      </x:c>
      <x:c r="J1188" s="2" t="str">
        <x:v>m2</x:v>
      </x:c>
      <x:c r="K1188" s="15" t="n">
        <x:f>IF(AND(ISNUMBER(F1188),ISNUMBER(G1188),F1188&gt;0),G1188/F1188-1,"n.a.")</x:f>
        <x:v>0.08314194237940065</x:v>
      </x:c>
      <x:c r="L1188" s="15" t="n">
        <x:f>IF(AND(N1188,ISNUMBER(H1188),ISNUMBER(I1188),H1188&gt;0),I1188/H1188-1,"n.a.")</x:f>
        <x:v>0.08015430745522623</x:v>
      </x:c>
      <x:c r="M1188" s="20" t="n">
        <x:f>IF(AND(ISNUMBER(K1188),ISNUMBER(L1188)),100*(K1188-L1188),"n.a.")</x:f>
        <x:v>0.29876349241744204</x:v>
      </x:c>
      <x:c r="N1188" s="13" t="b">
        <x:v>1</x:v>
      </x:c>
      <x:c r="O1188" s="13" t="b">
        <x:v>1</x:v>
      </x:c>
      <x:c r="P1188" s="13" t="b">
        <x:v>0</x:v>
      </x:c>
      <x:c r="Q1188" s="2" t="str">
        <x:v>L1_numeric_partition_qualified_not_national_completeness</x:v>
      </x:c>
      <x:c r="R1188" s="2" t="str">
        <x:v>L1_numeric_partition_qualified_not_national_completeness</x:v>
      </x:c>
      <x:c r="S1188" s="2" t="str">
        <x:v>historical_GHSL_BU_estimate</x:v>
      </x:c>
      <x:c r="T1188" s="2" t="str">
        <x:v>projected_CRISP_BU_surface</x:v>
      </x:c>
      <x:c r="U1188" s="2" t="str">
        <x:v>GFA growth versus source physical quantity growth; constant conversion required for equality</x:v>
      </x:c>
      <x:c r="V1188" s="2" t="str">
        <x:v>Future horizontal path is already a v16 driver; WUP historical surface derives from GHSL</x:v>
      </x:c>
      <x:c r="W1188" s="2" t="str">
        <x:v>https://human-settlement.emergency.copernicus.eu/datasets.php</x:v>
      </x:c>
    </x:row>
    <x:row r="1189" ht="23" customHeight="1">
      <x:c r="A1189" s="2" t="str">
        <x:v>BDI</x:v>
      </x:c>
      <x:c r="B1189" s="2" t="str">
        <x:v>Burundi (Republic of)</x:v>
      </x:c>
      <x:c r="C1189" s="2" t="str">
        <x:v>WUP_SURFACE</x:v>
      </x:c>
      <x:c r="D1189" s="2" t="n">
        <x:v>2020</x:v>
      </x:c>
      <x:c r="E1189" s="2" t="n">
        <x:v>2025</x:v>
      </x:c>
      <x:c r="F1189" s="17" t="n">
        <x:v>147710691.6100001</x:v>
      </x:c>
      <x:c r="G1189" s="17" t="n">
        <x:v>176189105.2479548</x:v>
      </x:c>
      <x:c r="H1189" s="17" t="n">
        <x:v>423016836.03304994</x:v>
      </x:c>
      <x:c r="I1189" s="17" t="n">
        <x:v>502733178.34212255</x:v>
      </x:c>
      <x:c r="J1189" s="2" t="str">
        <x:v>m2</x:v>
      </x:c>
      <x:c r="K1189" s="15" t="n">
        <x:f>IF(AND(ISNUMBER(F1189),ISNUMBER(G1189),F1189&gt;0),G1189/F1189-1,"n.a.")</x:f>
        <x:v>0.19279859384279452</x:v>
      </x:c>
      <x:c r="L1189" s="15" t="n">
        <x:f>IF(AND(N1189,ISNUMBER(H1189),ISNUMBER(I1189),H1189&gt;0),I1189/H1189-1,"n.a.")</x:f>
        <x:v>0.1884472094695646</x:v>
      </x:c>
      <x:c r="M1189" s="20" t="n">
        <x:f>IF(AND(ISNUMBER(K1189),ISNUMBER(L1189)),100*(K1189-L1189),"n.a.")</x:f>
        <x:v>0.4351384373229905</x:v>
      </x:c>
      <x:c r="N1189" s="13" t="b">
        <x:v>1</x:v>
      </x:c>
      <x:c r="O1189" s="13" t="b">
        <x:v>1</x:v>
      </x:c>
      <x:c r="P1189" s="13" t="b">
        <x:v>0</x:v>
      </x:c>
      <x:c r="Q1189" s="2" t="str">
        <x:v>L1_numeric_partition_qualified_not_national_completeness</x:v>
      </x:c>
      <x:c r="R1189" s="2" t="str">
        <x:v>L1_numeric_partition_qualified_not_national_completeness</x:v>
      </x:c>
      <x:c r="S1189" s="2" t="str">
        <x:v>historical_GHSL_BU_estimate</x:v>
      </x:c>
      <x:c r="T1189" s="2" t="str">
        <x:v>projected_CRISP_BU_surface</x:v>
      </x:c>
      <x:c r="U1189" s="2" t="str">
        <x:v>GFA growth versus source physical quantity growth; constant conversion required for equality</x:v>
      </x:c>
      <x:c r="V1189" s="2" t="str">
        <x:v>Future horizontal path is already a v16 driver; WUP historical surface derives from GHSL</x:v>
      </x:c>
      <x:c r="W1189" s="2" t="str">
        <x:v>https://human-settlement.emergency.copernicus.eu/datasets.php</x:v>
      </x:c>
    </x:row>
    <x:row r="1190" ht="23" customHeight="1">
      <x:c r="A1190" s="2" t="str">
        <x:v>BEL</x:v>
      </x:c>
      <x:c r="B1190" s="2" t="str">
        <x:v>Belgium (Kingdom of)</x:v>
      </x:c>
      <x:c r="C1190" s="2" t="str">
        <x:v>WUP_SURFACE</x:v>
      </x:c>
      <x:c r="D1190" s="2" t="n">
        <x:v>2020</x:v>
      </x:c>
      <x:c r="E1190" s="2" t="n">
        <x:v>2025</x:v>
      </x:c>
      <x:c r="F1190" s="17" t="n">
        <x:v>1079109698.0100002</x:v>
      </x:c>
      <x:c r="G1190" s="17" t="n">
        <x:v>1220977633.8502424</x:v>
      </x:c>
      <x:c r="H1190" s="17" t="n">
        <x:v>1515116058.1065893</x:v>
      </x:c>
      <x:c r="I1190" s="17" t="n">
        <x:v>1709067435.8370583</x:v>
      </x:c>
      <x:c r="J1190" s="2" t="str">
        <x:v>m2</x:v>
      </x:c>
      <x:c r="K1190" s="15" t="n">
        <x:f>IF(AND(ISNUMBER(F1190),ISNUMBER(G1190),F1190&gt;0),G1190/F1190-1,"n.a.")</x:f>
        <x:v>0.13146757563374933</x:v>
      </x:c>
      <x:c r="L1190" s="15" t="n">
        <x:f>IF(AND(N1190,ISNUMBER(H1190),ISNUMBER(I1190),H1190&gt;0),I1190/H1190-1,"n.a.")</x:f>
        <x:v>0.12801090496845902</x:v>
      </x:c>
      <x:c r="M1190" s="20" t="n">
        <x:f>IF(AND(ISNUMBER(K1190),ISNUMBER(L1190)),100*(K1190-L1190),"n.a.")</x:f>
        <x:v>0.3456670665290318</x:v>
      </x:c>
      <x:c r="N1190" s="13" t="b">
        <x:v>1</x:v>
      </x:c>
      <x:c r="O1190" s="13" t="b">
        <x:v>1</x:v>
      </x:c>
      <x:c r="P1190" s="13" t="b">
        <x:v>0</x:v>
      </x:c>
      <x:c r="Q1190" s="2" t="str">
        <x:v>L1_numeric_partition_qualified_not_national_completeness</x:v>
      </x:c>
      <x:c r="R1190" s="2" t="str">
        <x:v>L1_numeric_partition_qualified_not_national_completeness</x:v>
      </x:c>
      <x:c r="S1190" s="2" t="str">
        <x:v>historical_GHSL_BU_estimate</x:v>
      </x:c>
      <x:c r="T1190" s="2" t="str">
        <x:v>projected_CRISP_BU_surface</x:v>
      </x:c>
      <x:c r="U1190" s="2" t="str">
        <x:v>GFA growth versus source physical quantity growth; constant conversion required for equality</x:v>
      </x:c>
      <x:c r="V1190" s="2" t="str">
        <x:v>Future horizontal path is already a v16 driver; WUP historical surface derives from GHSL</x:v>
      </x:c>
      <x:c r="W1190" s="2" t="str">
        <x:v>https://human-settlement.emergency.copernicus.eu/datasets.php</x:v>
      </x:c>
    </x:row>
    <x:row r="1191" ht="23" customHeight="1">
      <x:c r="A1191" s="2" t="str">
        <x:v>BEN</x:v>
      </x:c>
      <x:c r="B1191" s="2" t="str">
        <x:v>Benin (Republic of)</x:v>
      </x:c>
      <x:c r="C1191" s="2" t="str">
        <x:v>WUP_SURFACE</x:v>
      </x:c>
      <x:c r="D1191" s="2" t="n">
        <x:v>2020</x:v>
      </x:c>
      <x:c r="E1191" s="2" t="n">
        <x:v>2025</x:v>
      </x:c>
      <x:c r="F1191" s="17" t="n">
        <x:v>302038367.25</x:v>
      </x:c>
      <x:c r="G1191" s="17" t="n">
        <x:v>349043347.1117834</x:v>
      </x:c>
      <x:c r="H1191" s="17" t="n">
        <x:v>735384103.9916569</x:v>
      </x:c>
      <x:c r="I1191" s="17" t="n">
        <x:v>846665166.1416485</x:v>
      </x:c>
      <x:c r="J1191" s="2" t="str">
        <x:v>m2</x:v>
      </x:c>
      <x:c r="K1191" s="15" t="n">
        <x:f>IF(AND(ISNUMBER(F1191),ISNUMBER(G1191),F1191&gt;0),G1191/F1191-1,"n.a.")</x:f>
        <x:v>0.15562585736956036</x:v>
      </x:c>
      <x:c r="L1191" s="15" t="n">
        <x:f>IF(AND(N1191,ISNUMBER(H1191),ISNUMBER(I1191),H1191&gt;0),I1191/H1191-1,"n.a.")</x:f>
        <x:v>0.15132372531029592</x:v>
      </x:c>
      <x:c r="M1191" s="20" t="n">
        <x:f>IF(AND(ISNUMBER(K1191),ISNUMBER(L1191)),100*(K1191-L1191),"n.a.")</x:f>
        <x:v>0.4302132059264441</x:v>
      </x:c>
      <x:c r="N1191" s="13" t="b">
        <x:v>1</x:v>
      </x:c>
      <x:c r="O1191" s="13" t="b">
        <x:v>1</x:v>
      </x:c>
      <x:c r="P1191" s="13" t="b">
        <x:v>0</x:v>
      </x:c>
      <x:c r="Q1191" s="2" t="str">
        <x:v>L1_numeric_partition_qualified_not_national_completeness</x:v>
      </x:c>
      <x:c r="R1191" s="2" t="str">
        <x:v>L1_numeric_partition_qualified_not_national_completeness</x:v>
      </x:c>
      <x:c r="S1191" s="2" t="str">
        <x:v>historical_GHSL_BU_estimate</x:v>
      </x:c>
      <x:c r="T1191" s="2" t="str">
        <x:v>projected_CRISP_BU_surface</x:v>
      </x:c>
      <x:c r="U1191" s="2" t="str">
        <x:v>GFA growth versus source physical quantity growth; constant conversion required for equality</x:v>
      </x:c>
      <x:c r="V1191" s="2" t="str">
        <x:v>Future horizontal path is already a v16 driver; WUP historical surface derives from GHSL</x:v>
      </x:c>
      <x:c r="W1191" s="2" t="str">
        <x:v>https://human-settlement.emergency.copernicus.eu/datasets.php</x:v>
      </x:c>
    </x:row>
    <x:row r="1192" ht="23" customHeight="1">
      <x:c r="A1192" s="2" t="str">
        <x:v>BFA</x:v>
      </x:c>
      <x:c r="B1192" s="2" t="str">
        <x:v>Burkina Faso</x:v>
      </x:c>
      <x:c r="C1192" s="2" t="str">
        <x:v>WUP_SURFACE</x:v>
      </x:c>
      <x:c r="D1192" s="2" t="n">
        <x:v>2020</x:v>
      </x:c>
      <x:c r="E1192" s="2" t="n">
        <x:v>2025</x:v>
      </x:c>
      <x:c r="F1192" s="17" t="n">
        <x:v>359180891.3500002</x:v>
      </x:c>
      <x:c r="G1192" s="17" t="n">
        <x:v>412880904.35600746</x:v>
      </x:c>
      <x:c r="H1192" s="17" t="n">
        <x:v>1249029390.284681</x:v>
      </x:c>
      <x:c r="I1192" s="17" t="n">
        <x:v>1431980793.915498</x:v>
      </x:c>
      <x:c r="J1192" s="2" t="str">
        <x:v>m2</x:v>
      </x:c>
      <x:c r="K1192" s="15" t="n">
        <x:f>IF(AND(ISNUMBER(F1192),ISNUMBER(G1192),F1192&gt;0),G1192/F1192-1,"n.a.")</x:f>
        <x:v>0.14950687605950574</x:v>
      </x:c>
      <x:c r="L1192" s="15" t="n">
        <x:f>IF(AND(N1192,ISNUMBER(H1192),ISNUMBER(I1192),H1192&gt;0),I1192/H1192-1,"n.a.")</x:f>
        <x:v>0.1464748588414868</x:v>
      </x:c>
      <x:c r="M1192" s="20" t="n">
        <x:f>IF(AND(ISNUMBER(K1192),ISNUMBER(L1192)),100*(K1192-L1192),"n.a.")</x:f>
        <x:v>0.3032017218018934</x:v>
      </x:c>
      <x:c r="N1192" s="13" t="b">
        <x:v>1</x:v>
      </x:c>
      <x:c r="O1192" s="13" t="b">
        <x:v>1</x:v>
      </x:c>
      <x:c r="P1192" s="13" t="b">
        <x:v>0</x:v>
      </x:c>
      <x:c r="Q1192" s="2" t="str">
        <x:v>L1_numeric_partition_qualified_not_national_completeness</x:v>
      </x:c>
      <x:c r="R1192" s="2" t="str">
        <x:v>L1_numeric_partition_qualified_not_national_completeness</x:v>
      </x:c>
      <x:c r="S1192" s="2" t="str">
        <x:v>historical_GHSL_BU_estimate</x:v>
      </x:c>
      <x:c r="T1192" s="2" t="str">
        <x:v>projected_CRISP_BU_surface</x:v>
      </x:c>
      <x:c r="U1192" s="2" t="str">
        <x:v>GFA growth versus source physical quantity growth; constant conversion required for equality</x:v>
      </x:c>
      <x:c r="V1192" s="2" t="str">
        <x:v>Future horizontal path is already a v16 driver; WUP historical surface derives from GHSL</x:v>
      </x:c>
      <x:c r="W1192" s="2" t="str">
        <x:v>https://human-settlement.emergency.copernicus.eu/datasets.php</x:v>
      </x:c>
    </x:row>
    <x:row r="1193" ht="23" customHeight="1">
      <x:c r="A1193" s="2" t="str">
        <x:v>BGD</x:v>
      </x:c>
      <x:c r="B1193" s="2" t="str">
        <x:v>Bangladesh (People's Republic of)</x:v>
      </x:c>
      <x:c r="C1193" s="2" t="str">
        <x:v>WUP_SURFACE</x:v>
      </x:c>
      <x:c r="D1193" s="2" t="n">
        <x:v>2020</x:v>
      </x:c>
      <x:c r="E1193" s="2" t="n">
        <x:v>2025</x:v>
      </x:c>
      <x:c r="F1193" s="17" t="n">
        <x:v>2430930564.5499988</x:v>
      </x:c>
      <x:c r="G1193" s="17" t="n">
        <x:v>2944639235.914296</x:v>
      </x:c>
      <x:c r="H1193" s="17" t="n">
        <x:v>2684733057.8446093</x:v>
      </x:c>
      <x:c r="I1193" s="17" t="n">
        <x:v>3239217016.2153673</x:v>
      </x:c>
      <x:c r="J1193" s="2" t="str">
        <x:v>m2</x:v>
      </x:c>
      <x:c r="K1193" s="15" t="n">
        <x:f>IF(AND(ISNUMBER(F1193),ISNUMBER(G1193),F1193&gt;0),G1193/F1193-1,"n.a.")</x:f>
        <x:v>0.2113218200699174</x:v>
      </x:c>
      <x:c r="L1193" s="15" t="n">
        <x:f>IF(AND(N1193,ISNUMBER(H1193),ISNUMBER(I1193),H1193&gt;0),I1193/H1193-1,"n.a.")</x:f>
        <x:v>0.2065322497335791</x:v>
      </x:c>
      <x:c r="M1193" s="20" t="n">
        <x:f>IF(AND(ISNUMBER(K1193),ISNUMBER(L1193)),100*(K1193-L1193),"n.a.")</x:f>
        <x:v>0.47895703363383113</x:v>
      </x:c>
      <x:c r="N1193" s="13" t="b">
        <x:v>1</x:v>
      </x:c>
      <x:c r="O1193" s="13" t="b">
        <x:v>1</x:v>
      </x:c>
      <x:c r="P1193" s="13" t="b">
        <x:v>0</x:v>
      </x:c>
      <x:c r="Q1193" s="2" t="str">
        <x:v>L1_numeric_partition_qualified_not_national_completeness</x:v>
      </x:c>
      <x:c r="R1193" s="2" t="str">
        <x:v>L1_numeric_partition_qualified_not_national_completeness</x:v>
      </x:c>
      <x:c r="S1193" s="2" t="str">
        <x:v>historical_GHSL_BU_estimate</x:v>
      </x:c>
      <x:c r="T1193" s="2" t="str">
        <x:v>projected_CRISP_BU_surface</x:v>
      </x:c>
      <x:c r="U1193" s="2" t="str">
        <x:v>GFA growth versus source physical quantity growth; constant conversion required for equality</x:v>
      </x:c>
      <x:c r="V1193" s="2" t="str">
        <x:v>Future horizontal path is already a v16 driver; WUP historical surface derives from GHSL</x:v>
      </x:c>
      <x:c r="W1193" s="2" t="str">
        <x:v>https://human-settlement.emergency.copernicus.eu/datasets.php</x:v>
      </x:c>
    </x:row>
    <x:row r="1194" ht="23" customHeight="1">
      <x:c r="A1194" s="2" t="str">
        <x:v>BGR</x:v>
      </x:c>
      <x:c r="B1194" s="2" t="str">
        <x:v>Bulgaria (Republic of)</x:v>
      </x:c>
      <x:c r="C1194" s="2" t="str">
        <x:v>WUP_SURFACE</x:v>
      </x:c>
      <x:c r="D1194" s="2" t="n">
        <x:v>2020</x:v>
      </x:c>
      <x:c r="E1194" s="2" t="n">
        <x:v>2025</x:v>
      </x:c>
      <x:c r="F1194" s="17" t="n">
        <x:v>543020803.5700008</x:v>
      </x:c>
      <x:c r="G1194" s="17" t="n">
        <x:v>576762941.7332568</x:v>
      </x:c>
      <x:c r="H1194" s="17" t="n">
        <x:v>864626173.1732111</x:v>
      </x:c>
      <x:c r="I1194" s="17" t="n">
        <x:v>917996193.1587368</x:v>
      </x:c>
      <x:c r="J1194" s="2" t="str">
        <x:v>m2</x:v>
      </x:c>
      <x:c r="K1194" s="15" t="n">
        <x:f>IF(AND(ISNUMBER(F1194),ISNUMBER(G1194),F1194&gt;0),G1194/F1194-1,"n.a.")</x:f>
        <x:v>0.06213783696945674</x:v>
      </x:c>
      <x:c r="L1194" s="15" t="n">
        <x:f>IF(AND(N1194,ISNUMBER(H1194),ISNUMBER(I1194),H1194&gt;0),I1194/H1194-1,"n.a.")</x:f>
        <x:v>0.0617261212318565</x:v>
      </x:c>
      <x:c r="M1194" s="20" t="n">
        <x:f>IF(AND(ISNUMBER(K1194),ISNUMBER(L1194)),100*(K1194-L1194),"n.a.")</x:f>
        <x:v>0.04117157376002378</x:v>
      </x:c>
      <x:c r="N1194" s="13" t="b">
        <x:v>1</x:v>
      </x:c>
      <x:c r="O1194" s="13" t="b">
        <x:v>1</x:v>
      </x:c>
      <x:c r="P1194" s="13" t="b">
        <x:v>0</x:v>
      </x:c>
      <x:c r="Q1194" s="2" t="str">
        <x:v>L1_numeric_partition_qualified_not_national_completeness</x:v>
      </x:c>
      <x:c r="R1194" s="2" t="str">
        <x:v>L1_numeric_partition_qualified_not_national_completeness</x:v>
      </x:c>
      <x:c r="S1194" s="2" t="str">
        <x:v>historical_GHSL_BU_estimate</x:v>
      </x:c>
      <x:c r="T1194" s="2" t="str">
        <x:v>projected_CRISP_BU_surface</x:v>
      </x:c>
      <x:c r="U1194" s="2" t="str">
        <x:v>GFA growth versus source physical quantity growth; constant conversion required for equality</x:v>
      </x:c>
      <x:c r="V1194" s="2" t="str">
        <x:v>Future horizontal path is already a v16 driver; WUP historical surface derives from GHSL</x:v>
      </x:c>
      <x:c r="W1194" s="2" t="str">
        <x:v>https://human-settlement.emergency.copernicus.eu/datasets.php</x:v>
      </x:c>
    </x:row>
    <x:row r="1195" ht="23" customHeight="1">
      <x:c r="A1195" s="2" t="str">
        <x:v>BHR</x:v>
      </x:c>
      <x:c r="B1195" s="2" t="str">
        <x:v>Bahrain (Kingdom of)</x:v>
      </x:c>
      <x:c r="C1195" s="2" t="str">
        <x:v>WUP_SURFACE</x:v>
      </x:c>
      <x:c r="D1195" s="2" t="n">
        <x:v>2020</x:v>
      </x:c>
      <x:c r="E1195" s="2" t="n">
        <x:v>2025</x:v>
      </x:c>
      <x:c r="F1195" s="17" t="n">
        <x:v>63702858.11000008</x:v>
      </x:c>
      <x:c r="G1195" s="17" t="n">
        <x:v>73347488.5329835</x:v>
      </x:c>
      <x:c r="H1195" s="17" t="n">
        <x:v>82288563.04807505</x:v>
      </x:c>
      <x:c r="I1195" s="17" t="n">
        <x:v>94469859.06217742</x:v>
      </x:c>
      <x:c r="J1195" s="2" t="str">
        <x:v>m2</x:v>
      </x:c>
      <x:c r="K1195" s="15" t="n">
        <x:f>IF(AND(ISNUMBER(F1195),ISNUMBER(G1195),F1195&gt;0),G1195/F1195-1,"n.a.")</x:f>
        <x:v>0.1514002779330461</x:v>
      </x:c>
      <x:c r="L1195" s="15" t="n">
        <x:f>IF(AND(N1195,ISNUMBER(H1195),ISNUMBER(I1195),H1195&gt;0),I1195/H1195-1,"n.a.")</x:f>
        <x:v>0.1480314585999727</x:v>
      </x:c>
      <x:c r="M1195" s="20" t="n">
        <x:f>IF(AND(ISNUMBER(K1195),ISNUMBER(L1195)),100*(K1195-L1195),"n.a.")</x:f>
        <x:v>0.3368819333073425</x:v>
      </x:c>
      <x:c r="N1195" s="13" t="b">
        <x:v>1</x:v>
      </x:c>
      <x:c r="O1195" s="13" t="b">
        <x:v>1</x:v>
      </x:c>
      <x:c r="P1195" s="13" t="b">
        <x:v>0</x:v>
      </x:c>
      <x:c r="Q1195" s="2" t="str">
        <x:v>L1_numeric_partition_qualified_not_national_completeness</x:v>
      </x:c>
      <x:c r="R1195" s="2" t="str">
        <x:v>L1_numeric_partition_qualified_not_national_completeness</x:v>
      </x:c>
      <x:c r="S1195" s="2" t="str">
        <x:v>historical_GHSL_BU_estimate</x:v>
      </x:c>
      <x:c r="T1195" s="2" t="str">
        <x:v>projected_CRISP_BU_surface</x:v>
      </x:c>
      <x:c r="U1195" s="2" t="str">
        <x:v>GFA growth versus source physical quantity growth; constant conversion required for equality</x:v>
      </x:c>
      <x:c r="V1195" s="2" t="str">
        <x:v>Future horizontal path is already a v16 driver; WUP historical surface derives from GHSL</x:v>
      </x:c>
      <x:c r="W1195" s="2" t="str">
        <x:v>https://human-settlement.emergency.copernicus.eu/datasets.php</x:v>
      </x:c>
    </x:row>
    <x:row r="1196" ht="23" customHeight="1">
      <x:c r="A1196" s="2" t="str">
        <x:v>BHS</x:v>
      </x:c>
      <x:c r="B1196" s="2" t="str">
        <x:v>Bahamas (Commonwealth of the)</x:v>
      </x:c>
      <x:c r="C1196" s="2" t="str">
        <x:v>WUP_SURFACE</x:v>
      </x:c>
      <x:c r="D1196" s="2" t="n">
        <x:v>2020</x:v>
      </x:c>
      <x:c r="E1196" s="2" t="n">
        <x:v>2025</x:v>
      </x:c>
      <x:c r="F1196" s="17" t="n">
        <x:v>29184660.44999999</x:v>
      </x:c>
      <x:c r="G1196" s="17" t="n">
        <x:v>31745792.748631</x:v>
      </x:c>
      <x:c r="H1196" s="17" t="n">
        <x:v>45793790.007442795</x:v>
      </x:c>
      <x:c r="I1196" s="17" t="n">
        <x:v>49720320.847512305</x:v>
      </x:c>
      <x:c r="J1196" s="2" t="str">
        <x:v>m2</x:v>
      </x:c>
      <x:c r="K1196" s="15" t="n">
        <x:f>IF(AND(ISNUMBER(F1196),ISNUMBER(G1196),F1196&gt;0),G1196/F1196-1,"n.a.")</x:f>
        <x:v>0.0877561108863616</x:v>
      </x:c>
      <x:c r="L1196" s="15" t="n">
        <x:f>IF(AND(N1196,ISNUMBER(H1196),ISNUMBER(I1196),H1196&gt;0),I1196/H1196-1,"n.a.")</x:f>
        <x:v>0.08574374035063137</x:v>
      </x:c>
      <x:c r="M1196" s="20" t="n">
        <x:f>IF(AND(ISNUMBER(K1196),ISNUMBER(L1196)),100*(K1196-L1196),"n.a.")</x:f>
        <x:v>0.20123705357302235</x:v>
      </x:c>
      <x:c r="N1196" s="13" t="b">
        <x:v>1</x:v>
      </x:c>
      <x:c r="O1196" s="13" t="b">
        <x:v>1</x:v>
      </x:c>
      <x:c r="P1196" s="13" t="b">
        <x:v>0</x:v>
      </x:c>
      <x:c r="Q1196" s="2" t="str">
        <x:v>L1_numeric_partition_qualified_not_national_completeness</x:v>
      </x:c>
      <x:c r="R1196" s="2" t="str">
        <x:v>L1_numeric_partition_qualified_not_national_completeness</x:v>
      </x:c>
      <x:c r="S1196" s="2" t="str">
        <x:v>historical_GHSL_BU_estimate</x:v>
      </x:c>
      <x:c r="T1196" s="2" t="str">
        <x:v>projected_CRISP_BU_surface</x:v>
      </x:c>
      <x:c r="U1196" s="2" t="str">
        <x:v>GFA growth versus source physical quantity growth; constant conversion required for equality</x:v>
      </x:c>
      <x:c r="V1196" s="2" t="str">
        <x:v>Future horizontal path is already a v16 driver; WUP historical surface derives from GHSL</x:v>
      </x:c>
      <x:c r="W1196" s="2" t="str">
        <x:v>https://human-settlement.emergency.copernicus.eu/datasets.php</x:v>
      </x:c>
    </x:row>
    <x:row r="1197" ht="23" customHeight="1">
      <x:c r="A1197" s="2" t="str">
        <x:v>BIH</x:v>
      </x:c>
      <x:c r="B1197" s="2" t="str">
        <x:v>Bosnia and Herzegovina</x:v>
      </x:c>
      <x:c r="C1197" s="2" t="str">
        <x:v>WUP_SURFACE</x:v>
      </x:c>
      <x:c r="D1197" s="2" t="n">
        <x:v>2020</x:v>
      </x:c>
      <x:c r="E1197" s="2" t="n">
        <x:v>2025</x:v>
      </x:c>
      <x:c r="F1197" s="17" t="n">
        <x:v>247114206.72000027</x:v>
      </x:c>
      <x:c r="G1197" s="17" t="n">
        <x:v>253969051.40283546</x:v>
      </x:c>
      <x:c r="H1197" s="17" t="n">
        <x:v>359281659.1342707</x:v>
      </x:c>
      <x:c r="I1197" s="17" t="n">
        <x:v>369435612.89235866</x:v>
      </x:c>
      <x:c r="J1197" s="2" t="str">
        <x:v>m2</x:v>
      </x:c>
      <x:c r="K1197" s="15" t="n">
        <x:f>IF(AND(ISNUMBER(F1197),ISNUMBER(G1197),F1197&gt;0),G1197/F1197-1,"n.a.")</x:f>
        <x:v>0.027739581523138712</x:v>
      </x:c>
      <x:c r="L1197" s="15" t="n">
        <x:f>IF(AND(N1197,ISNUMBER(H1197),ISNUMBER(I1197),H1197&gt;0),I1197/H1197-1,"n.a.")</x:f>
        <x:v>0.028261820496362056</x:v>
      </x:c>
      <x:c r="M1197" s="20" t="n">
        <x:f>IF(AND(ISNUMBER(K1197),ISNUMBER(L1197)),100*(K1197-L1197),"n.a.")</x:f>
        <x:v>-0.052223897322334345</x:v>
      </x:c>
      <x:c r="N1197" s="13" t="b">
        <x:v>1</x:v>
      </x:c>
      <x:c r="O1197" s="13" t="b">
        <x:v>1</x:v>
      </x:c>
      <x:c r="P1197" s="13" t="b">
        <x:v>0</x:v>
      </x:c>
      <x:c r="Q1197" s="2" t="str">
        <x:v>L1_numeric_partition_qualified_not_national_completeness</x:v>
      </x:c>
      <x:c r="R1197" s="2" t="str">
        <x:v>L1_numeric_partition_qualified_not_national_completeness</x:v>
      </x:c>
      <x:c r="S1197" s="2" t="str">
        <x:v>historical_GHSL_BU_estimate</x:v>
      </x:c>
      <x:c r="T1197" s="2" t="str">
        <x:v>projected_CRISP_BU_surface</x:v>
      </x:c>
      <x:c r="U1197" s="2" t="str">
        <x:v>GFA growth versus source physical quantity growth; constant conversion required for equality</x:v>
      </x:c>
      <x:c r="V1197" s="2" t="str">
        <x:v>Future horizontal path is already a v16 driver; WUP historical surface derives from GHSL</x:v>
      </x:c>
      <x:c r="W1197" s="2" t="str">
        <x:v>https://human-settlement.emergency.copernicus.eu/datasets.php</x:v>
      </x:c>
    </x:row>
    <x:row r="1198" ht="23" customHeight="1">
      <x:c r="A1198" s="2" t="str">
        <x:v>BLR</x:v>
      </x:c>
      <x:c r="B1198" s="2" t="str">
        <x:v>Belarus (Republic of)</x:v>
      </x:c>
      <x:c r="C1198" s="2" t="str">
        <x:v>WUP_SURFACE</x:v>
      </x:c>
      <x:c r="D1198" s="2" t="n">
        <x:v>2020</x:v>
      </x:c>
      <x:c r="E1198" s="2" t="n">
        <x:v>2025</x:v>
      </x:c>
      <x:c r="F1198" s="17" t="n">
        <x:v>672205246.4400003</x:v>
      </x:c>
      <x:c r="G1198" s="17" t="n">
        <x:v>717049004.9075873</x:v>
      </x:c>
      <x:c r="H1198" s="17" t="n">
        <x:v>1244644795.4009273</x:v>
      </x:c>
      <x:c r="I1198" s="17" t="n">
        <x:v>1326108380.2496479</x:v>
      </x:c>
      <x:c r="J1198" s="2" t="str">
        <x:v>m2</x:v>
      </x:c>
      <x:c r="K1198" s="15" t="n">
        <x:f>IF(AND(ISNUMBER(F1198),ISNUMBER(G1198),F1198&gt;0),G1198/F1198-1,"n.a.")</x:f>
        <x:v>0.06671140801872588</x:v>
      </x:c>
      <x:c r="L1198" s="15" t="n">
        <x:f>IF(AND(N1198,ISNUMBER(H1198),ISNUMBER(I1198),H1198&gt;0),I1198/H1198-1,"n.a.")</x:f>
        <x:v>0.0654512718405571</x:v>
      </x:c>
      <x:c r="M1198" s="20" t="n">
        <x:f>IF(AND(ISNUMBER(K1198),ISNUMBER(L1198)),100*(K1198-L1198),"n.a.")</x:f>
        <x:v>0.12601361781687803</x:v>
      </x:c>
      <x:c r="N1198" s="13" t="b">
        <x:v>1</x:v>
      </x:c>
      <x:c r="O1198" s="13" t="b">
        <x:v>1</x:v>
      </x:c>
      <x:c r="P1198" s="13" t="b">
        <x:v>0</x:v>
      </x:c>
      <x:c r="Q1198" s="2" t="str">
        <x:v>L1_numeric_partition_qualified_not_national_completeness</x:v>
      </x:c>
      <x:c r="R1198" s="2" t="str">
        <x:v>L1_numeric_partition_qualified_not_national_completeness</x:v>
      </x:c>
      <x:c r="S1198" s="2" t="str">
        <x:v>historical_GHSL_BU_estimate</x:v>
      </x:c>
      <x:c r="T1198" s="2" t="str">
        <x:v>projected_CRISP_BU_surface</x:v>
      </x:c>
      <x:c r="U1198" s="2" t="str">
        <x:v>GFA growth versus source physical quantity growth; constant conversion required for equality</x:v>
      </x:c>
      <x:c r="V1198" s="2" t="str">
        <x:v>Future horizontal path is already a v16 driver; WUP historical surface derives from GHSL</x:v>
      </x:c>
      <x:c r="W1198" s="2" t="str">
        <x:v>https://human-settlement.emergency.copernicus.eu/datasets.php</x:v>
      </x:c>
    </x:row>
    <x:row r="1199" ht="23" customHeight="1">
      <x:c r="A1199" s="2" t="str">
        <x:v>BLZ</x:v>
      </x:c>
      <x:c r="B1199" s="2" t="str">
        <x:v>Belize</x:v>
      </x:c>
      <x:c r="C1199" s="2" t="str">
        <x:v>WUP_SURFACE</x:v>
      </x:c>
      <x:c r="D1199" s="2" t="n">
        <x:v>2020</x:v>
      </x:c>
      <x:c r="E1199" s="2" t="n">
        <x:v>2025</x:v>
      </x:c>
      <x:c r="F1199" s="17" t="n">
        <x:v>21867714.339999966</x:v>
      </x:c>
      <x:c r="G1199" s="17" t="n">
        <x:v>23933234.315096416</x:v>
      </x:c>
      <x:c r="H1199" s="17" t="n">
        <x:v>51048240.931582086</x:v>
      </x:c>
      <x:c r="I1199" s="17" t="n">
        <x:v>55671973.475776896</x:v>
      </x:c>
      <x:c r="J1199" s="2" t="str">
        <x:v>m2</x:v>
      </x:c>
      <x:c r="K1199" s="15" t="n">
        <x:f>IF(AND(ISNUMBER(F1199),ISNUMBER(G1199),F1199&gt;0),G1199/F1199-1,"n.a.")</x:f>
        <x:v>0.09445522943009377</x:v>
      </x:c>
      <x:c r="L1199" s="15" t="n">
        <x:f>IF(AND(N1199,ISNUMBER(H1199),ISNUMBER(I1199),H1199&gt;0),I1199/H1199-1,"n.a.")</x:f>
        <x:v>0.09057574678022329</x:v>
      </x:c>
      <x:c r="M1199" s="20" t="n">
        <x:f>IF(AND(ISNUMBER(K1199),ISNUMBER(L1199)),100*(K1199-L1199),"n.a.")</x:f>
        <x:v>0.38794826498704804</x:v>
      </x:c>
      <x:c r="N1199" s="13" t="b">
        <x:v>1</x:v>
      </x:c>
      <x:c r="O1199" s="13" t="b">
        <x:v>1</x:v>
      </x:c>
      <x:c r="P1199" s="13" t="b">
        <x:v>0</x:v>
      </x:c>
      <x:c r="Q1199" s="2" t="str">
        <x:v>L1_numeric_partition_qualified_not_national_completeness</x:v>
      </x:c>
      <x:c r="R1199" s="2" t="str">
        <x:v>L1_numeric_partition_qualified_not_national_completeness</x:v>
      </x:c>
      <x:c r="S1199" s="2" t="str">
        <x:v>historical_GHSL_BU_estimate</x:v>
      </x:c>
      <x:c r="T1199" s="2" t="str">
        <x:v>projected_CRISP_BU_surface</x:v>
      </x:c>
      <x:c r="U1199" s="2" t="str">
        <x:v>GFA growth versus source physical quantity growth; constant conversion required for equality</x:v>
      </x:c>
      <x:c r="V1199" s="2" t="str">
        <x:v>Future horizontal path is already a v16 driver; WUP historical surface derives from GHSL</x:v>
      </x:c>
      <x:c r="W1199" s="2" t="str">
        <x:v>https://human-settlement.emergency.copernicus.eu/datasets.php</x:v>
      </x:c>
    </x:row>
    <x:row r="1200" ht="23" customHeight="1">
      <x:c r="A1200" s="2" t="str">
        <x:v>BOL</x:v>
      </x:c>
      <x:c r="B1200" s="2" t="str">
        <x:v>Bolivia (Plurinational State of)</x:v>
      </x:c>
      <x:c r="C1200" s="2" t="str">
        <x:v>WUP_SURFACE</x:v>
      </x:c>
      <x:c r="D1200" s="2" t="n">
        <x:v>2020</x:v>
      </x:c>
      <x:c r="E1200" s="2" t="n">
        <x:v>2025</x:v>
      </x:c>
      <x:c r="F1200" s="17" t="n">
        <x:v>496419008.9399992</x:v>
      </x:c>
      <x:c r="G1200" s="17" t="n">
        <x:v>567121646.90039</x:v>
      </x:c>
      <x:c r="H1200" s="17" t="n">
        <x:v>712494665.0899172</x:v>
      </x:c>
      <x:c r="I1200" s="17" t="n">
        <x:v>811040092.7012404</x:v>
      </x:c>
      <x:c r="J1200" s="2" t="str">
        <x:v>m2</x:v>
      </x:c>
      <x:c r="K1200" s="15" t="n">
        <x:f>IF(AND(ISNUMBER(F1200),ISNUMBER(G1200),F1200&gt;0),G1200/F1200-1,"n.a.")</x:f>
        <x:v>0.1424253235414208</x:v>
      </x:c>
      <x:c r="L1200" s="15" t="n">
        <x:f>IF(AND(N1200,ISNUMBER(H1200),ISNUMBER(I1200),H1200&gt;0),I1200/H1200-1,"n.a.")</x:f>
        <x:v>0.13831040769812186</x:v>
      </x:c>
      <x:c r="M1200" s="20" t="n">
        <x:f>IF(AND(ISNUMBER(K1200),ISNUMBER(L1200)),100*(K1200-L1200),"n.a.")</x:f>
        <x:v>0.41149158432989275</x:v>
      </x:c>
      <x:c r="N1200" s="13" t="b">
        <x:v>1</x:v>
      </x:c>
      <x:c r="O1200" s="13" t="b">
        <x:v>1</x:v>
      </x:c>
      <x:c r="P1200" s="13" t="b">
        <x:v>0</x:v>
      </x:c>
      <x:c r="Q1200" s="2" t="str">
        <x:v>L1_numeric_partition_qualified_not_national_completeness</x:v>
      </x:c>
      <x:c r="R1200" s="2" t="str">
        <x:v>L1_numeric_partition_qualified_not_national_completeness</x:v>
      </x:c>
      <x:c r="S1200" s="2" t="str">
        <x:v>historical_GHSL_BU_estimate</x:v>
      </x:c>
      <x:c r="T1200" s="2" t="str">
        <x:v>projected_CRISP_BU_surface</x:v>
      </x:c>
      <x:c r="U1200" s="2" t="str">
        <x:v>GFA growth versus source physical quantity growth; constant conversion required for equality</x:v>
      </x:c>
      <x:c r="V1200" s="2" t="str">
        <x:v>Future horizontal path is already a v16 driver; WUP historical surface derives from GHSL</x:v>
      </x:c>
      <x:c r="W1200" s="2" t="str">
        <x:v>https://human-settlement.emergency.copernicus.eu/datasets.php</x:v>
      </x:c>
    </x:row>
    <x:row r="1201" ht="23" customHeight="1">
      <x:c r="A1201" s="2" t="str">
        <x:v>BRA</x:v>
      </x:c>
      <x:c r="B1201" s="2" t="str">
        <x:v>Brazil (Federative Republic of)</x:v>
      </x:c>
      <x:c r="C1201" s="2" t="str">
        <x:v>WUP_SURFACE</x:v>
      </x:c>
      <x:c r="D1201" s="2" t="n">
        <x:v>2020</x:v>
      </x:c>
      <x:c r="E1201" s="2" t="n">
        <x:v>2025</x:v>
      </x:c>
      <x:c r="F1201" s="17" t="n">
        <x:v>12112839681.859997</x:v>
      </x:c>
      <x:c r="G1201" s="17" t="n">
        <x:v>13213762068.930464</x:v>
      </x:c>
      <x:c r="H1201" s="17" t="n">
        <x:v>15838096315.129276</x:v>
      </x:c>
      <x:c r="I1201" s="17" t="n">
        <x:v>17225332617.889496</x:v>
      </x:c>
      <x:c r="J1201" s="2" t="str">
        <x:v>m2</x:v>
      </x:c>
      <x:c r="K1201" s="15" t="n">
        <x:f>IF(AND(ISNUMBER(F1201),ISNUMBER(G1201),F1201&gt;0),G1201/F1201-1,"n.a.")</x:f>
        <x:v>0.09088887626566966</x:v>
      </x:c>
      <x:c r="L1201" s="15" t="n">
        <x:f>IF(AND(N1201,ISNUMBER(H1201),ISNUMBER(I1201),H1201&gt;0),I1201/H1201-1,"n.a.")</x:f>
        <x:v>0.08758857599792891</x:v>
      </x:c>
      <x:c r="M1201" s="20" t="n">
        <x:f>IF(AND(ISNUMBER(K1201),ISNUMBER(L1201)),100*(K1201-L1201),"n.a.")</x:f>
        <x:v>0.3300300267740752</x:v>
      </x:c>
      <x:c r="N1201" s="13" t="b">
        <x:v>1</x:v>
      </x:c>
      <x:c r="O1201" s="13" t="b">
        <x:v>1</x:v>
      </x:c>
      <x:c r="P1201" s="13" t="b">
        <x:v>0</x:v>
      </x:c>
      <x:c r="Q1201" s="2" t="str">
        <x:v>L1_numeric_partition_qualified_not_national_completeness</x:v>
      </x:c>
      <x:c r="R1201" s="2" t="str">
        <x:v>L1_numeric_partition_qualified_not_national_completeness</x:v>
      </x:c>
      <x:c r="S1201" s="2" t="str">
        <x:v>historical_GHSL_BU_estimate</x:v>
      </x:c>
      <x:c r="T1201" s="2" t="str">
        <x:v>projected_CRISP_BU_surface</x:v>
      </x:c>
      <x:c r="U1201" s="2" t="str">
        <x:v>GFA growth versus source physical quantity growth; constant conversion required for equality</x:v>
      </x:c>
      <x:c r="V1201" s="2" t="str">
        <x:v>Future horizontal path is already a v16 driver; WUP historical surface derives from GHSL</x:v>
      </x:c>
      <x:c r="W1201" s="2" t="str">
        <x:v>https://human-settlement.emergency.copernicus.eu/datasets.php</x:v>
      </x:c>
    </x:row>
    <x:row r="1202" ht="23" customHeight="1">
      <x:c r="A1202" s="2" t="str">
        <x:v>BRB</x:v>
      </x:c>
      <x:c r="B1202" s="2" t="str">
        <x:v>Barbados</x:v>
      </x:c>
      <x:c r="C1202" s="2" t="str">
        <x:v>WUP_SURFACE</x:v>
      </x:c>
      <x:c r="D1202" s="2" t="n">
        <x:v>2020</x:v>
      </x:c>
      <x:c r="E1202" s="2" t="n">
        <x:v>2025</x:v>
      </x:c>
      <x:c r="F1202" s="17" t="n">
        <x:v>23684585.840000004</x:v>
      </x:c>
      <x:c r="G1202" s="17" t="n">
        <x:v>24488931.002579633</x:v>
      </x:c>
      <x:c r="H1202" s="17" t="n">
        <x:v>40156877.050634645</x:v>
      </x:c>
      <x:c r="I1202" s="17" t="n">
        <x:v>41469113.92235051</x:v>
      </x:c>
      <x:c r="J1202" s="2" t="str">
        <x:v>m2</x:v>
      </x:c>
      <x:c r="K1202" s="15" t="n">
        <x:f>IF(AND(ISNUMBER(F1202),ISNUMBER(G1202),F1202&gt;0),G1202/F1202-1,"n.a.")</x:f>
        <x:v>0.03396070203690038</x:v>
      </x:c>
      <x:c r="L1202" s="15" t="n">
        <x:f>IF(AND(N1202,ISNUMBER(H1202),ISNUMBER(I1202),H1202&gt;0),I1202/H1202-1,"n.a.")</x:f>
        <x:v>0.032677762019721834</x:v>
      </x:c>
      <x:c r="M1202" s="20" t="n">
        <x:f>IF(AND(ISNUMBER(K1202),ISNUMBER(L1202)),100*(K1202-L1202),"n.a.")</x:f>
        <x:v>0.12829400171785466</x:v>
      </x:c>
      <x:c r="N1202" s="13" t="b">
        <x:v>1</x:v>
      </x:c>
      <x:c r="O1202" s="13" t="b">
        <x:v>1</x:v>
      </x:c>
      <x:c r="P1202" s="13" t="b">
        <x:v>0</x:v>
      </x:c>
      <x:c r="Q1202" s="2" t="str">
        <x:v>L1_numeric_partition_qualified_not_national_completeness</x:v>
      </x:c>
      <x:c r="R1202" s="2" t="str">
        <x:v>L1_numeric_partition_qualified_not_national_completeness</x:v>
      </x:c>
      <x:c r="S1202" s="2" t="str">
        <x:v>historical_GHSL_BU_estimate</x:v>
      </x:c>
      <x:c r="T1202" s="2" t="str">
        <x:v>projected_CRISP_BU_surface</x:v>
      </x:c>
      <x:c r="U1202" s="2" t="str">
        <x:v>GFA growth versus source physical quantity growth; constant conversion required for equality</x:v>
      </x:c>
      <x:c r="V1202" s="2" t="str">
        <x:v>Future horizontal path is already a v16 driver; WUP historical surface derives from GHSL</x:v>
      </x:c>
      <x:c r="W1202" s="2" t="str">
        <x:v>https://human-settlement.emergency.copernicus.eu/datasets.php</x:v>
      </x:c>
    </x:row>
    <x:row r="1203" ht="23" customHeight="1">
      <x:c r="A1203" s="2" t="str">
        <x:v>BRN</x:v>
      </x:c>
      <x:c r="B1203" s="2" t="str">
        <x:v>Brunei Darussalam</x:v>
      </x:c>
      <x:c r="C1203" s="2" t="str">
        <x:v>WUP_SURFACE</x:v>
      </x:c>
      <x:c r="D1203" s="2" t="n">
        <x:v>2020</x:v>
      </x:c>
      <x:c r="E1203" s="2" t="n">
        <x:v>2025</x:v>
      </x:c>
      <x:c r="F1203" s="17" t="n">
        <x:v>37849769.86000001</x:v>
      </x:c>
      <x:c r="G1203" s="17" t="n">
        <x:v>41818917.17456732</x:v>
      </x:c>
      <x:c r="H1203" s="17" t="n">
        <x:v>53555230.01312929</x:v>
      </x:c>
      <x:c r="I1203" s="17" t="n">
        <x:v>58914597.813648246</x:v>
      </x:c>
      <x:c r="J1203" s="2" t="str">
        <x:v>m2</x:v>
      </x:c>
      <x:c r="K1203" s="15" t="n">
        <x:f>IF(AND(ISNUMBER(F1203),ISNUMBER(G1203),F1203&gt;0),G1203/F1203-1,"n.a.")</x:f>
        <x:v>0.10486582426388669</x:v>
      </x:c>
      <x:c r="L1203" s="15" t="n">
        <x:f>IF(AND(N1203,ISNUMBER(H1203),ISNUMBER(I1203),H1203&gt;0),I1203/H1203-1,"n.a.")</x:f>
        <x:v>0.10007179129293431</x:v>
      </x:c>
      <x:c r="M1203" s="20" t="n">
        <x:f>IF(AND(ISNUMBER(K1203),ISNUMBER(L1203)),100*(K1203-L1203),"n.a.")</x:f>
        <x:v>0.47940329709523777</x:v>
      </x:c>
      <x:c r="N1203" s="13" t="b">
        <x:v>1</x:v>
      </x:c>
      <x:c r="O1203" s="13" t="b">
        <x:v>1</x:v>
      </x:c>
      <x:c r="P1203" s="13" t="b">
        <x:v>0</x:v>
      </x:c>
      <x:c r="Q1203" s="2" t="str">
        <x:v>L1_numeric_partition_qualified_not_national_completeness</x:v>
      </x:c>
      <x:c r="R1203" s="2" t="str">
        <x:v>L1_numeric_partition_qualified_not_national_completeness</x:v>
      </x:c>
      <x:c r="S1203" s="2" t="str">
        <x:v>historical_GHSL_BU_estimate</x:v>
      </x:c>
      <x:c r="T1203" s="2" t="str">
        <x:v>projected_CRISP_BU_surface</x:v>
      </x:c>
      <x:c r="U1203" s="2" t="str">
        <x:v>GFA growth versus source physical quantity growth; constant conversion required for equality</x:v>
      </x:c>
      <x:c r="V1203" s="2" t="str">
        <x:v>Future horizontal path is already a v16 driver; WUP historical surface derives from GHSL</x:v>
      </x:c>
      <x:c r="W1203" s="2" t="str">
        <x:v>https://human-settlement.emergency.copernicus.eu/datasets.php</x:v>
      </x:c>
    </x:row>
    <x:row r="1204" ht="23" customHeight="1">
      <x:c r="A1204" s="2" t="str">
        <x:v>BTN</x:v>
      </x:c>
      <x:c r="B1204" s="2" t="str">
        <x:v>Bhutan (Kingdom of)</x:v>
      </x:c>
      <x:c r="C1204" s="2" t="str">
        <x:v>WUP_SURFACE</x:v>
      </x:c>
      <x:c r="D1204" s="2" t="n">
        <x:v>2020</x:v>
      </x:c>
      <x:c r="E1204" s="2" t="n">
        <x:v>2025</x:v>
      </x:c>
      <x:c r="F1204" s="17" t="n">
        <x:v>27177544.510000043</x:v>
      </x:c>
      <x:c r="G1204" s="17" t="n">
        <x:v>31282662.672256403</x:v>
      </x:c>
      <x:c r="H1204" s="17" t="n">
        <x:v>31148447.98729871</x:v>
      </x:c>
      <x:c r="I1204" s="17" t="n">
        <x:v>35718839.76998959</x:v>
      </x:c>
      <x:c r="J1204" s="2" t="str">
        <x:v>m2</x:v>
      </x:c>
      <x:c r="K1204" s="15" t="n">
        <x:f>IF(AND(ISNUMBER(F1204),ISNUMBER(G1204),F1204&gt;0),G1204/F1204-1,"n.a.")</x:f>
        <x:v>0.15104816260151366</x:v>
      </x:c>
      <x:c r="L1204" s="15" t="n">
        <x:f>IF(AND(N1204,ISNUMBER(H1204),ISNUMBER(I1204),H1204&gt;0),I1204/H1204-1,"n.a.")</x:f>
        <x:v>0.146729358218892</x:v>
      </x:c>
      <x:c r="M1204" s="20" t="n">
        <x:f>IF(AND(ISNUMBER(K1204),ISNUMBER(L1204)),100*(K1204-L1204),"n.a.")</x:f>
        <x:v>0.4318804382621666</x:v>
      </x:c>
      <x:c r="N1204" s="13" t="b">
        <x:v>1</x:v>
      </x:c>
      <x:c r="O1204" s="13" t="b">
        <x:v>1</x:v>
      </x:c>
      <x:c r="P1204" s="13" t="b">
        <x:v>0</x:v>
      </x:c>
      <x:c r="Q1204" s="2" t="str">
        <x:v>L1_numeric_partition_qualified_not_national_completeness</x:v>
      </x:c>
      <x:c r="R1204" s="2" t="str">
        <x:v>L1_numeric_partition_qualified_not_national_completeness</x:v>
      </x:c>
      <x:c r="S1204" s="2" t="str">
        <x:v>historical_GHSL_BU_estimate</x:v>
      </x:c>
      <x:c r="T1204" s="2" t="str">
        <x:v>projected_CRISP_BU_surface</x:v>
      </x:c>
      <x:c r="U1204" s="2" t="str">
        <x:v>GFA growth versus source physical quantity growth; constant conversion required for equality</x:v>
      </x:c>
      <x:c r="V1204" s="2" t="str">
        <x:v>Future horizontal path is already a v16 driver; WUP historical surface derives from GHSL</x:v>
      </x:c>
      <x:c r="W1204" s="2" t="str">
        <x:v>https://human-settlement.emergency.copernicus.eu/datasets.php</x:v>
      </x:c>
    </x:row>
    <x:row r="1205" ht="23" customHeight="1">
      <x:c r="A1205" s="2" t="str">
        <x:v>BWA</x:v>
      </x:c>
      <x:c r="B1205" s="2" t="str">
        <x:v>Botswana (Republic of)</x:v>
      </x:c>
      <x:c r="C1205" s="2" t="str">
        <x:v>WUP_SURFACE</x:v>
      </x:c>
      <x:c r="D1205" s="2" t="n">
        <x:v>2020</x:v>
      </x:c>
      <x:c r="E1205" s="2" t="n">
        <x:v>2025</x:v>
      </x:c>
      <x:c r="F1205" s="17" t="n">
        <x:v>118564613.02000009</x:v>
      </x:c>
      <x:c r="G1205" s="17" t="n">
        <x:v>125390503.17529316</x:v>
      </x:c>
      <x:c r="H1205" s="17" t="n">
        <x:v>479517869.1935612</x:v>
      </x:c>
      <x:c r="I1205" s="17" t="n">
        <x:v>505169657.9028342</x:v>
      </x:c>
      <x:c r="J1205" s="2" t="str">
        <x:v>m2</x:v>
      </x:c>
      <x:c r="K1205" s="15" t="n">
        <x:f>IF(AND(ISNUMBER(F1205),ISNUMBER(G1205),F1205&gt;0),G1205/F1205-1,"n.a.")</x:f>
        <x:v>0.0575710575139452</x:v>
      </x:c>
      <x:c r="L1205" s="15" t="n">
        <x:f>IF(AND(N1205,ISNUMBER(H1205),ISNUMBER(I1205),H1205&gt;0),I1205/H1205-1,"n.a.")</x:f>
        <x:v>0.05349495891031841</x:v>
      </x:c>
      <x:c r="M1205" s="20" t="n">
        <x:f>IF(AND(ISNUMBER(K1205),ISNUMBER(L1205)),100*(K1205-L1205),"n.a.")</x:f>
        <x:v>0.40760986036267877</x:v>
      </x:c>
      <x:c r="N1205" s="13" t="b">
        <x:v>1</x:v>
      </x:c>
      <x:c r="O1205" s="13" t="b">
        <x:v>1</x:v>
      </x:c>
      <x:c r="P1205" s="13" t="b">
        <x:v>0</x:v>
      </x:c>
      <x:c r="Q1205" s="2" t="str">
        <x:v>L1_numeric_partition_qualified_not_national_completeness</x:v>
      </x:c>
      <x:c r="R1205" s="2" t="str">
        <x:v>L1_numeric_partition_qualified_not_national_completeness</x:v>
      </x:c>
      <x:c r="S1205" s="2" t="str">
        <x:v>historical_GHSL_BU_estimate</x:v>
      </x:c>
      <x:c r="T1205" s="2" t="str">
        <x:v>projected_CRISP_BU_surface</x:v>
      </x:c>
      <x:c r="U1205" s="2" t="str">
        <x:v>GFA growth versus source physical quantity growth; constant conversion required for equality</x:v>
      </x:c>
      <x:c r="V1205" s="2" t="str">
        <x:v>Future horizontal path is already a v16 driver; WUP historical surface derives from GHSL</x:v>
      </x:c>
      <x:c r="W1205" s="2" t="str">
        <x:v>https://human-settlement.emergency.copernicus.eu/datasets.php</x:v>
      </x:c>
    </x:row>
    <x:row r="1206" ht="23" customHeight="1">
      <x:c r="A1206" s="2" t="str">
        <x:v>CAF</x:v>
      </x:c>
      <x:c r="B1206" s="2" t="str">
        <x:v>Central African Republic</x:v>
      </x:c>
      <x:c r="C1206" s="2" t="str">
        <x:v>WUP_SURFACE</x:v>
      </x:c>
      <x:c r="D1206" s="2" t="n">
        <x:v>2020</x:v>
      </x:c>
      <x:c r="E1206" s="2" t="n">
        <x:v>2025</x:v>
      </x:c>
      <x:c r="F1206" s="17" t="n">
        <x:v>66989106.04000005</x:v>
      </x:c>
      <x:c r="G1206" s="17" t="n">
        <x:v>80240199.40649088</x:v>
      </x:c>
      <x:c r="H1206" s="17" t="n">
        <x:v>203735296.06993726</x:v>
      </x:c>
      <x:c r="I1206" s="17" t="n">
        <x:v>242824745.76934567</x:v>
      </x:c>
      <x:c r="J1206" s="2" t="str">
        <x:v>m2</x:v>
      </x:c>
      <x:c r="K1206" s="15" t="n">
        <x:f>IF(AND(ISNUMBER(F1206),ISNUMBER(G1206),F1206&gt;0),G1206/F1206-1,"n.a.")</x:f>
        <x:v>0.19780967607745703</x:v>
      </x:c>
      <x:c r="L1206" s="15" t="n">
        <x:f>IF(AND(N1206,ISNUMBER(H1206),ISNUMBER(I1206),H1206&gt;0),I1206/H1206-1,"n.a.")</x:f>
        <x:v>0.1918639060263272</x:v>
      </x:c>
      <x:c r="M1206" s="20" t="n">
        <x:f>IF(AND(ISNUMBER(K1206),ISNUMBER(L1206)),100*(K1206-L1206),"n.a.")</x:f>
        <x:v>0.594577005112984</x:v>
      </x:c>
      <x:c r="N1206" s="13" t="b">
        <x:v>1</x:v>
      </x:c>
      <x:c r="O1206" s="13" t="b">
        <x:v>1</x:v>
      </x:c>
      <x:c r="P1206" s="13" t="b">
        <x:v>0</x:v>
      </x:c>
      <x:c r="Q1206" s="2" t="str">
        <x:v>L1_numeric_partition_qualified_not_national_completeness</x:v>
      </x:c>
      <x:c r="R1206" s="2" t="str">
        <x:v>L1_numeric_partition_qualified_not_national_completeness</x:v>
      </x:c>
      <x:c r="S1206" s="2" t="str">
        <x:v>historical_GHSL_BU_estimate</x:v>
      </x:c>
      <x:c r="T1206" s="2" t="str">
        <x:v>projected_CRISP_BU_surface</x:v>
      </x:c>
      <x:c r="U1206" s="2" t="str">
        <x:v>GFA growth versus source physical quantity growth; constant conversion required for equality</x:v>
      </x:c>
      <x:c r="V1206" s="2" t="str">
        <x:v>Future horizontal path is already a v16 driver; WUP historical surface derives from GHSL</x:v>
      </x:c>
      <x:c r="W1206" s="2" t="str">
        <x:v>https://human-settlement.emergency.copernicus.eu/datasets.php</x:v>
      </x:c>
    </x:row>
    <x:row r="1207" ht="23" customHeight="1">
      <x:c r="A1207" s="2" t="str">
        <x:v>CAN</x:v>
      </x:c>
      <x:c r="B1207" s="2" t="str">
        <x:v>Canada</x:v>
      </x:c>
      <x:c r="C1207" s="2" t="str">
        <x:v>WUP_SURFACE</x:v>
      </x:c>
      <x:c r="D1207" s="2" t="n">
        <x:v>2020</x:v>
      </x:c>
      <x:c r="E1207" s="2" t="n">
        <x:v>2025</x:v>
      </x:c>
      <x:c r="F1207" s="17" t="n">
        <x:v>2941628265.260001</x:v>
      </x:c>
      <x:c r="G1207" s="17" t="n">
        <x:v>3349566283.09312</x:v>
      </x:c>
      <x:c r="H1207" s="17" t="n">
        <x:v>4959638580.022324</x:v>
      </x:c>
      <x:c r="I1207" s="17" t="n">
        <x:v>5619176280.548356</x:v>
      </x:c>
      <x:c r="J1207" s="2" t="str">
        <x:v>m2</x:v>
      </x:c>
      <x:c r="K1207" s="15" t="n">
        <x:f>IF(AND(ISNUMBER(F1207),ISNUMBER(G1207),F1207&gt;0),G1207/F1207-1,"n.a.")</x:f>
        <x:v>0.1386776237673466</x:v>
      </x:c>
      <x:c r="L1207" s="15" t="n">
        <x:f>IF(AND(N1207,ISNUMBER(H1207),ISNUMBER(I1207),H1207&gt;0),I1207/H1207-1,"n.a.")</x:f>
        <x:v>0.13298100050731199</x:v>
      </x:c>
      <x:c r="M1207" s="20" t="n">
        <x:f>IF(AND(ISNUMBER(K1207),ISNUMBER(L1207)),100*(K1207-L1207),"n.a.")</x:f>
        <x:v>0.5696623260034617</x:v>
      </x:c>
      <x:c r="N1207" s="13" t="b">
        <x:v>1</x:v>
      </x:c>
      <x:c r="O1207" s="13" t="b">
        <x:v>1</x:v>
      </x:c>
      <x:c r="P1207" s="13" t="b">
        <x:v>0</x:v>
      </x:c>
      <x:c r="Q1207" s="2" t="str">
        <x:v>L1_numeric_partition_qualified_not_national_completeness</x:v>
      </x:c>
      <x:c r="R1207" s="2" t="str">
        <x:v>L1_numeric_partition_qualified_not_national_completeness</x:v>
      </x:c>
      <x:c r="S1207" s="2" t="str">
        <x:v>historical_GHSL_BU_estimate</x:v>
      </x:c>
      <x:c r="T1207" s="2" t="str">
        <x:v>projected_CRISP_BU_surface</x:v>
      </x:c>
      <x:c r="U1207" s="2" t="str">
        <x:v>GFA growth versus source physical quantity growth; constant conversion required for equality</x:v>
      </x:c>
      <x:c r="V1207" s="2" t="str">
        <x:v>Future horizontal path is already a v16 driver; WUP historical surface derives from GHSL</x:v>
      </x:c>
      <x:c r="W1207" s="2" t="str">
        <x:v>https://human-settlement.emergency.copernicus.eu/datasets.php</x:v>
      </x:c>
    </x:row>
    <x:row r="1208" ht="23" customHeight="1">
      <x:c r="A1208" s="2" t="str">
        <x:v>CHE</x:v>
      </x:c>
      <x:c r="B1208" s="2" t="str">
        <x:v>Switzerland (Swiss Confederation)</x:v>
      </x:c>
      <x:c r="C1208" s="2" t="str">
        <x:v>WUP_SURFACE</x:v>
      </x:c>
      <x:c r="D1208" s="2" t="n">
        <x:v>2020</x:v>
      </x:c>
      <x:c r="E1208" s="2" t="n">
        <x:v>2025</x:v>
      </x:c>
      <x:c r="F1208" s="17" t="n">
        <x:v>554094959.2900008</x:v>
      </x:c>
      <x:c r="G1208" s="17" t="n">
        <x:v>628844081.3917434</x:v>
      </x:c>
      <x:c r="H1208" s="17" t="n">
        <x:v>781136767.810239</x:v>
      </x:c>
      <x:c r="I1208" s="17" t="n">
        <x:v>882617438.3474662</x:v>
      </x:c>
      <x:c r="J1208" s="2" t="str">
        <x:v>m2</x:v>
      </x:c>
      <x:c r="K1208" s="15" t="n">
        <x:f>IF(AND(ISNUMBER(F1208),ISNUMBER(G1208),F1208&gt;0),G1208/F1208-1,"n.a.")</x:f>
        <x:v>0.13490308989189104</x:v>
      </x:c>
      <x:c r="L1208" s="15" t="n">
        <x:f>IF(AND(N1208,ISNUMBER(H1208),ISNUMBER(I1208),H1208&gt;0),I1208/H1208-1,"n.a.")</x:f>
        <x:v>0.12991408767213475</x:v>
      </x:c>
      <x:c r="M1208" s="20" t="n">
        <x:f>IF(AND(ISNUMBER(K1208),ISNUMBER(L1208)),100*(K1208-L1208),"n.a.")</x:f>
        <x:v>0.4989002219756289</x:v>
      </x:c>
      <x:c r="N1208" s="13" t="b">
        <x:v>1</x:v>
      </x:c>
      <x:c r="O1208" s="13" t="b">
        <x:v>1</x:v>
      </x:c>
      <x:c r="P1208" s="13" t="b">
        <x:v>0</x:v>
      </x:c>
      <x:c r="Q1208" s="2" t="str">
        <x:v>L1_numeric_partition_qualified_not_national_completeness</x:v>
      </x:c>
      <x:c r="R1208" s="2" t="str">
        <x:v>L1_numeric_partition_qualified_not_national_completeness</x:v>
      </x:c>
      <x:c r="S1208" s="2" t="str">
        <x:v>historical_GHSL_BU_estimate</x:v>
      </x:c>
      <x:c r="T1208" s="2" t="str">
        <x:v>projected_CRISP_BU_surface</x:v>
      </x:c>
      <x:c r="U1208" s="2" t="str">
        <x:v>GFA growth versus source physical quantity growth; constant conversion required for equality</x:v>
      </x:c>
      <x:c r="V1208" s="2" t="str">
        <x:v>Future horizontal path is already a v16 driver; WUP historical surface derives from GHSL</x:v>
      </x:c>
      <x:c r="W1208" s="2" t="str">
        <x:v>https://human-settlement.emergency.copernicus.eu/datasets.php</x:v>
      </x:c>
    </x:row>
    <x:row r="1209" ht="23" customHeight="1">
      <x:c r="A1209" s="2" t="str">
        <x:v>CHL</x:v>
      </x:c>
      <x:c r="B1209" s="2" t="str">
        <x:v>Chile (Republic of)</x:v>
      </x:c>
      <x:c r="C1209" s="2" t="str">
        <x:v>WUP_SURFACE</x:v>
      </x:c>
      <x:c r="D1209" s="2" t="n">
        <x:v>2020</x:v>
      </x:c>
      <x:c r="E1209" s="2" t="n">
        <x:v>2025</x:v>
      </x:c>
      <x:c r="F1209" s="17" t="n">
        <x:v>986436316.0700014</x:v>
      </x:c>
      <x:c r="G1209" s="17" t="n">
        <x:v>1100875200.4242544</x:v>
      </x:c>
      <x:c r="H1209" s="17" t="n">
        <x:v>1327922613.9074051</x:v>
      </x:c>
      <x:c r="I1209" s="17" t="n">
        <x:v>1474568790.260849</x:v>
      </x:c>
      <x:c r="J1209" s="2" t="str">
        <x:v>m2</x:v>
      </x:c>
      <x:c r="K1209" s="15" t="n">
        <x:f>IF(AND(ISNUMBER(F1209),ISNUMBER(G1209),F1209&gt;0),G1209/F1209-1,"n.a.")</x:f>
        <x:v>0.1160124404281686</x:v>
      </x:c>
      <x:c r="L1209" s="15" t="n">
        <x:f>IF(AND(N1209,ISNUMBER(H1209),ISNUMBER(I1209),H1209&gt;0),I1209/H1209-1,"n.a.")</x:f>
        <x:v>0.1104327728269785</x:v>
      </x:c>
      <x:c r="M1209" s="20" t="n">
        <x:f>IF(AND(ISNUMBER(K1209),ISNUMBER(L1209)),100*(K1209-L1209),"n.a.")</x:f>
        <x:v>0.5579667601190108</x:v>
      </x:c>
      <x:c r="N1209" s="13" t="b">
        <x:v>1</x:v>
      </x:c>
      <x:c r="O1209" s="13" t="b">
        <x:v>1</x:v>
      </x:c>
      <x:c r="P1209" s="13" t="b">
        <x:v>0</x:v>
      </x:c>
      <x:c r="Q1209" s="2" t="str">
        <x:v>L1_numeric_partition_qualified_not_national_completeness</x:v>
      </x:c>
      <x:c r="R1209" s="2" t="str">
        <x:v>L1_numeric_partition_qualified_not_national_completeness</x:v>
      </x:c>
      <x:c r="S1209" s="2" t="str">
        <x:v>historical_GHSL_BU_estimate</x:v>
      </x:c>
      <x:c r="T1209" s="2" t="str">
        <x:v>projected_CRISP_BU_surface</x:v>
      </x:c>
      <x:c r="U1209" s="2" t="str">
        <x:v>GFA growth versus source physical quantity growth; constant conversion required for equality</x:v>
      </x:c>
      <x:c r="V1209" s="2" t="str">
        <x:v>Future horizontal path is already a v16 driver; WUP historical surface derives from GHSL</x:v>
      </x:c>
      <x:c r="W1209" s="2" t="str">
        <x:v>https://human-settlement.emergency.copernicus.eu/datasets.php</x:v>
      </x:c>
    </x:row>
    <x:row r="1210" ht="23" customHeight="1">
      <x:c r="A1210" s="2" t="str">
        <x:v>CHN</x:v>
      </x:c>
      <x:c r="B1210" s="2" t="str">
        <x:v>China (People's Republic of)</x:v>
      </x:c>
      <x:c r="C1210" s="2" t="str">
        <x:v>WUP_SURFACE</x:v>
      </x:c>
      <x:c r="D1210" s="2" t="n">
        <x:v>2020</x:v>
      </x:c>
      <x:c r="E1210" s="2" t="n">
        <x:v>2025</x:v>
      </x:c>
      <x:c r="F1210" s="17" t="n">
        <x:v>86144650012.34993</x:v>
      </x:c>
      <x:c r="G1210" s="17" t="n">
        <x:v>93567216277.0457</x:v>
      </x:c>
      <x:c r="H1210" s="17" t="n">
        <x:v>81846582898.93993</x:v>
      </x:c>
      <x:c r="I1210" s="17" t="n">
        <x:v>88646129300.03749</x:v>
      </x:c>
      <x:c r="J1210" s="2" t="str">
        <x:v>m2</x:v>
      </x:c>
      <x:c r="K1210" s="15" t="n">
        <x:f>IF(AND(ISNUMBER(F1210),ISNUMBER(G1210),F1210&gt;0),G1210/F1210-1,"n.a.")</x:f>
        <x:v>0.08616398422457627</x:v>
      </x:c>
      <x:c r="L1210" s="15" t="n">
        <x:f>IF(AND(N1210,ISNUMBER(H1210),ISNUMBER(I1210),H1210&gt;0),I1210/H1210-1,"n.a.")</x:f>
        <x:v>0.08307672917137299</x:v>
      </x:c>
      <x:c r="M1210" s="20" t="n">
        <x:f>IF(AND(ISNUMBER(K1210),ISNUMBER(L1210)),100*(K1210-L1210),"n.a.")</x:f>
        <x:v>0.3087255053203286</x:v>
      </x:c>
      <x:c r="N1210" s="13" t="b">
        <x:v>1</x:v>
      </x:c>
      <x:c r="O1210" s="13" t="b">
        <x:v>1</x:v>
      </x:c>
      <x:c r="P1210" s="13" t="b">
        <x:v>0</x:v>
      </x:c>
      <x:c r="Q1210" s="2" t="str">
        <x:v>L1_numeric_partition_qualified_not_national_completeness</x:v>
      </x:c>
      <x:c r="R1210" s="2" t="str">
        <x:v>L1_numeric_partition_qualified_not_national_completeness</x:v>
      </x:c>
      <x:c r="S1210" s="2" t="str">
        <x:v>historical_GHSL_BU_estimate</x:v>
      </x:c>
      <x:c r="T1210" s="2" t="str">
        <x:v>projected_CRISP_BU_surface</x:v>
      </x:c>
      <x:c r="U1210" s="2" t="str">
        <x:v>GFA growth versus source physical quantity growth; constant conversion required for equality</x:v>
      </x:c>
      <x:c r="V1210" s="2" t="str">
        <x:v>Future horizontal path is already a v16 driver; WUP historical surface derives from GHSL</x:v>
      </x:c>
      <x:c r="W1210" s="2" t="str">
        <x:v>https://human-settlement.emergency.copernicus.eu/datasets.php</x:v>
      </x:c>
    </x:row>
    <x:row r="1211" ht="23" customHeight="1">
      <x:c r="A1211" s="2" t="str">
        <x:v>CIV</x:v>
      </x:c>
      <x:c r="B1211" s="2" t="str">
        <x:v>Côte d'Ivoire (Republic of)</x:v>
      </x:c>
      <x:c r="C1211" s="2" t="str">
        <x:v>WUP_SURFACE</x:v>
      </x:c>
      <x:c r="D1211" s="2" t="n">
        <x:v>2020</x:v>
      </x:c>
      <x:c r="E1211" s="2" t="n">
        <x:v>2025</x:v>
      </x:c>
      <x:c r="F1211" s="17" t="n">
        <x:v>602828854.8199993</x:v>
      </x:c>
      <x:c r="G1211" s="17" t="n">
        <x:v>711919468.0097826</x:v>
      </x:c>
      <x:c r="H1211" s="17" t="n">
        <x:v>1262654365.4642804</x:v>
      </x:c>
      <x:c r="I1211" s="17" t="n">
        <x:v>1486345022.4821477</x:v>
      </x:c>
      <x:c r="J1211" s="2" t="str">
        <x:v>m2</x:v>
      </x:c>
      <x:c r="K1211" s="15" t="n">
        <x:f>IF(AND(ISNUMBER(F1211),ISNUMBER(G1211),F1211&gt;0),G1211/F1211-1,"n.a.")</x:f>
        <x:v>0.18096448489075212</x:v>
      </x:c>
      <x:c r="L1211" s="15" t="n">
        <x:f>IF(AND(N1211,ISNUMBER(H1211),ISNUMBER(I1211),H1211&gt;0),I1211/H1211-1,"n.a.")</x:f>
        <x:v>0.17715905724969772</x:v>
      </x:c>
      <x:c r="M1211" s="20" t="n">
        <x:f>IF(AND(ISNUMBER(K1211),ISNUMBER(L1211)),100*(K1211-L1211),"n.a.")</x:f>
        <x:v>0.3805427641054404</x:v>
      </x:c>
      <x:c r="N1211" s="13" t="b">
        <x:v>1</x:v>
      </x:c>
      <x:c r="O1211" s="13" t="b">
        <x:v>1</x:v>
      </x:c>
      <x:c r="P1211" s="13" t="b">
        <x:v>0</x:v>
      </x:c>
      <x:c r="Q1211" s="2" t="str">
        <x:v>L1_numeric_partition_qualified_not_national_completeness</x:v>
      </x:c>
      <x:c r="R1211" s="2" t="str">
        <x:v>L1_numeric_partition_qualified_not_national_completeness</x:v>
      </x:c>
      <x:c r="S1211" s="2" t="str">
        <x:v>historical_GHSL_BU_estimate</x:v>
      </x:c>
      <x:c r="T1211" s="2" t="str">
        <x:v>projected_CRISP_BU_surface</x:v>
      </x:c>
      <x:c r="U1211" s="2" t="str">
        <x:v>GFA growth versus source physical quantity growth; constant conversion required for equality</x:v>
      </x:c>
      <x:c r="V1211" s="2" t="str">
        <x:v>Future horizontal path is already a v16 driver; WUP historical surface derives from GHSL</x:v>
      </x:c>
      <x:c r="W1211" s="2" t="str">
        <x:v>https://human-settlement.emergency.copernicus.eu/datasets.php</x:v>
      </x:c>
    </x:row>
    <x:row r="1212" ht="23" customHeight="1">
      <x:c r="A1212" s="2" t="str">
        <x:v>CMR</x:v>
      </x:c>
      <x:c r="B1212" s="2" t="str">
        <x:v>Cameroon (Republic of)</x:v>
      </x:c>
      <x:c r="C1212" s="2" t="str">
        <x:v>WUP_SURFACE</x:v>
      </x:c>
      <x:c r="D1212" s="2" t="n">
        <x:v>2020</x:v>
      </x:c>
      <x:c r="E1212" s="2" t="n">
        <x:v>2025</x:v>
      </x:c>
      <x:c r="F1212" s="17" t="n">
        <x:v>577057207.8100005</x:v>
      </x:c>
      <x:c r="G1212" s="17" t="n">
        <x:v>675311348.1797976</x:v>
      </x:c>
      <x:c r="H1212" s="17" t="n">
        <x:v>1225974917.8400168</x:v>
      </x:c>
      <x:c r="I1212" s="17" t="n">
        <x:v>1429685501.1136918</x:v>
      </x:c>
      <x:c r="J1212" s="2" t="str">
        <x:v>m2</x:v>
      </x:c>
      <x:c r="K1212" s="15" t="n">
        <x:f>IF(AND(ISNUMBER(F1212),ISNUMBER(G1212),F1212&gt;0),G1212/F1212-1,"n.a.")</x:f>
        <x:v>0.1702675905265667</x:v>
      </x:c>
      <x:c r="L1212" s="15" t="n">
        <x:f>IF(AND(N1212,ISNUMBER(H1212),ISNUMBER(I1212),H1212&gt;0),I1212/H1212-1,"n.a.")</x:f>
        <x:v>0.16616211335920505</x:v>
      </x:c>
      <x:c r="M1212" s="20" t="n">
        <x:f>IF(AND(ISNUMBER(K1212),ISNUMBER(L1212)),100*(K1212-L1212),"n.a.")</x:f>
        <x:v>0.41054771673616486</x:v>
      </x:c>
      <x:c r="N1212" s="13" t="b">
        <x:v>1</x:v>
      </x:c>
      <x:c r="O1212" s="13" t="b">
        <x:v>1</x:v>
      </x:c>
      <x:c r="P1212" s="13" t="b">
        <x:v>0</x:v>
      </x:c>
      <x:c r="Q1212" s="2" t="str">
        <x:v>L1_numeric_partition_qualified_not_national_completeness</x:v>
      </x:c>
      <x:c r="R1212" s="2" t="str">
        <x:v>L1_numeric_partition_qualified_not_national_completeness</x:v>
      </x:c>
      <x:c r="S1212" s="2" t="str">
        <x:v>historical_GHSL_BU_estimate</x:v>
      </x:c>
      <x:c r="T1212" s="2" t="str">
        <x:v>projected_CRISP_BU_surface</x:v>
      </x:c>
      <x:c r="U1212" s="2" t="str">
        <x:v>GFA growth versus source physical quantity growth; constant conversion required for equality</x:v>
      </x:c>
      <x:c r="V1212" s="2" t="str">
        <x:v>Future horizontal path is already a v16 driver; WUP historical surface derives from GHSL</x:v>
      </x:c>
      <x:c r="W1212" s="2" t="str">
        <x:v>https://human-settlement.emergency.copernicus.eu/datasets.php</x:v>
      </x:c>
    </x:row>
    <x:row r="1213" ht="23" customHeight="1">
      <x:c r="A1213" s="2" t="str">
        <x:v>COD</x:v>
      </x:c>
      <x:c r="B1213" s="2" t="str">
        <x:v>Congo (Democratic Republic of the)</x:v>
      </x:c>
      <x:c r="C1213" s="2" t="str">
        <x:v>WUP_SURFACE</x:v>
      </x:c>
      <x:c r="D1213" s="2" t="n">
        <x:v>2020</x:v>
      </x:c>
      <x:c r="E1213" s="2" t="n">
        <x:v>2025</x:v>
      </x:c>
      <x:c r="F1213" s="17" t="n">
        <x:v>941825698.8399988</x:v>
      </x:c>
      <x:c r="G1213" s="17" t="n">
        <x:v>1166787069.981405</x:v>
      </x:c>
      <x:c r="H1213" s="17" t="n">
        <x:v>2768938805.1443105</x:v>
      </x:c>
      <x:c r="I1213" s="17" t="n">
        <x:v>3416248356.289989</x:v>
      </x:c>
      <x:c r="J1213" s="2" t="str">
        <x:v>m2</x:v>
      </x:c>
      <x:c r="K1213" s="15" t="n">
        <x:f>IF(AND(ISNUMBER(F1213),ISNUMBER(G1213),F1213&gt;0),G1213/F1213-1,"n.a.")</x:f>
        <x:v>0.23885669229293716</x:v>
      </x:c>
      <x:c r="L1213" s="15" t="n">
        <x:f>IF(AND(N1213,ISNUMBER(H1213),ISNUMBER(I1213),H1213&gt;0),I1213/H1213-1,"n.a.")</x:f>
        <x:v>0.2337753185238567</x:v>
      </x:c>
      <x:c r="M1213" s="20" t="n">
        <x:f>IF(AND(ISNUMBER(K1213),ISNUMBER(L1213)),100*(K1213-L1213),"n.a.")</x:f>
        <x:v>0.5081373769080466</x:v>
      </x:c>
      <x:c r="N1213" s="13" t="b">
        <x:v>1</x:v>
      </x:c>
      <x:c r="O1213" s="13" t="b">
        <x:v>1</x:v>
      </x:c>
      <x:c r="P1213" s="13" t="b">
        <x:v>0</x:v>
      </x:c>
      <x:c r="Q1213" s="2" t="str">
        <x:v>L1_numeric_partition_qualified_not_national_completeness</x:v>
      </x:c>
      <x:c r="R1213" s="2" t="str">
        <x:v>L1_numeric_partition_qualified_not_national_completeness</x:v>
      </x:c>
      <x:c r="S1213" s="2" t="str">
        <x:v>historical_GHSL_BU_estimate</x:v>
      </x:c>
      <x:c r="T1213" s="2" t="str">
        <x:v>projected_CRISP_BU_surface</x:v>
      </x:c>
      <x:c r="U1213" s="2" t="str">
        <x:v>GFA growth versus source physical quantity growth; constant conversion required for equality</x:v>
      </x:c>
      <x:c r="V1213" s="2" t="str">
        <x:v>Future horizontal path is already a v16 driver; WUP historical surface derives from GHSL</x:v>
      </x:c>
      <x:c r="W1213" s="2" t="str">
        <x:v>https://human-settlement.emergency.copernicus.eu/datasets.php</x:v>
      </x:c>
    </x:row>
    <x:row r="1214" ht="23" customHeight="1">
      <x:c r="A1214" s="2" t="str">
        <x:v>COG</x:v>
      </x:c>
      <x:c r="B1214" s="2" t="str">
        <x:v>Congo (Republic of the)</x:v>
      </x:c>
      <x:c r="C1214" s="2" t="str">
        <x:v>WUP_SURFACE</x:v>
      </x:c>
      <x:c r="D1214" s="2" t="n">
        <x:v>2020</x:v>
      </x:c>
      <x:c r="E1214" s="2" t="n">
        <x:v>2025</x:v>
      </x:c>
      <x:c r="F1214" s="17" t="n">
        <x:v>110620071.65000013</x:v>
      </x:c>
      <x:c r="G1214" s="17" t="n">
        <x:v>131280358.98520644</x:v>
      </x:c>
      <x:c r="H1214" s="17" t="n">
        <x:v>240343102.9452585</x:v>
      </x:c>
      <x:c r="I1214" s="17" t="n">
        <x:v>284567459.009249</x:v>
      </x:c>
      <x:c r="J1214" s="2" t="str">
        <x:v>m2</x:v>
      </x:c>
      <x:c r="K1214" s="15" t="n">
        <x:f>IF(AND(ISNUMBER(F1214),ISNUMBER(G1214),F1214&gt;0),G1214/F1214-1,"n.a.")</x:f>
        <x:v>0.18676798005135176</x:v>
      </x:c>
      <x:c r="L1214" s="15" t="n">
        <x:f>IF(AND(N1214,ISNUMBER(H1214),ISNUMBER(I1214),H1214&gt;0),I1214/H1214-1,"n.a.")</x:f>
        <x:v>0.18400509738805848</x:v>
      </x:c>
      <x:c r="M1214" s="20" t="n">
        <x:f>IF(AND(ISNUMBER(K1214),ISNUMBER(L1214)),100*(K1214-L1214),"n.a.")</x:f>
        <x:v>0.27628826632932757</x:v>
      </x:c>
      <x:c r="N1214" s="13" t="b">
        <x:v>1</x:v>
      </x:c>
      <x:c r="O1214" s="13" t="b">
        <x:v>1</x:v>
      </x:c>
      <x:c r="P1214" s="13" t="b">
        <x:v>0</x:v>
      </x:c>
      <x:c r="Q1214" s="2" t="str">
        <x:v>L1_numeric_partition_qualified_not_national_completeness</x:v>
      </x:c>
      <x:c r="R1214" s="2" t="str">
        <x:v>L1_numeric_partition_qualified_not_national_completeness</x:v>
      </x:c>
      <x:c r="S1214" s="2" t="str">
        <x:v>historical_GHSL_BU_estimate</x:v>
      </x:c>
      <x:c r="T1214" s="2" t="str">
        <x:v>projected_CRISP_BU_surface</x:v>
      </x:c>
      <x:c r="U1214" s="2" t="str">
        <x:v>GFA growth versus source physical quantity growth; constant conversion required for equality</x:v>
      </x:c>
      <x:c r="V1214" s="2" t="str">
        <x:v>Future horizontal path is already a v16 driver; WUP historical surface derives from GHSL</x:v>
      </x:c>
      <x:c r="W1214" s="2" t="str">
        <x:v>https://human-settlement.emergency.copernicus.eu/datasets.php</x:v>
      </x:c>
    </x:row>
    <x:row r="1215" ht="23" customHeight="1">
      <x:c r="A1215" s="2" t="str">
        <x:v>COL</x:v>
      </x:c>
      <x:c r="B1215" s="2" t="str">
        <x:v>Colombia (Republic of)</x:v>
      </x:c>
      <x:c r="C1215" s="2" t="str">
        <x:v>WUP_SURFACE</x:v>
      </x:c>
      <x:c r="D1215" s="2" t="n">
        <x:v>2020</x:v>
      </x:c>
      <x:c r="E1215" s="2" t="n">
        <x:v>2025</x:v>
      </x:c>
      <x:c r="F1215" s="17" t="n">
        <x:v>1505534156.3100014</x:v>
      </x:c>
      <x:c r="G1215" s="17" t="n">
        <x:v>1788239967.1874633</x:v>
      </x:c>
      <x:c r="H1215" s="17" t="n">
        <x:v>1562720271.636618</x:v>
      </x:c>
      <x:c r="I1215" s="17" t="n">
        <x:v>1848784533.4619272</x:v>
      </x:c>
      <x:c r="J1215" s="2" t="str">
        <x:v>m2</x:v>
      </x:c>
      <x:c r="K1215" s="15" t="n">
        <x:f>IF(AND(ISNUMBER(F1215),ISNUMBER(G1215),F1215&gt;0),G1215/F1215-1,"n.a.")</x:f>
        <x:v>0.18777774631853017</x:v>
      </x:c>
      <x:c r="L1215" s="15" t="n">
        <x:f>IF(AND(N1215,ISNUMBER(H1215),ISNUMBER(I1215),H1215&gt;0),I1215/H1215-1,"n.a.")</x:f>
        <x:v>0.18305532155522486</x:v>
      </x:c>
      <x:c r="M1215" s="20" t="n">
        <x:f>IF(AND(ISNUMBER(K1215),ISNUMBER(L1215)),100*(K1215-L1215),"n.a.")</x:f>
        <x:v>0.47224247633053107</x:v>
      </x:c>
      <x:c r="N1215" s="13" t="b">
        <x:v>1</x:v>
      </x:c>
      <x:c r="O1215" s="13" t="b">
        <x:v>1</x:v>
      </x:c>
      <x:c r="P1215" s="13" t="b">
        <x:v>0</x:v>
      </x:c>
      <x:c r="Q1215" s="2" t="str">
        <x:v>L1_numeric_partition_qualified_not_national_completeness</x:v>
      </x:c>
      <x:c r="R1215" s="2" t="str">
        <x:v>L1_numeric_partition_qualified_not_national_completeness</x:v>
      </x:c>
      <x:c r="S1215" s="2" t="str">
        <x:v>historical_GHSL_BU_estimate</x:v>
      </x:c>
      <x:c r="T1215" s="2" t="str">
        <x:v>projected_CRISP_BU_surface</x:v>
      </x:c>
      <x:c r="U1215" s="2" t="str">
        <x:v>GFA growth versus source physical quantity growth; constant conversion required for equality</x:v>
      </x:c>
      <x:c r="V1215" s="2" t="str">
        <x:v>Future horizontal path is already a v16 driver; WUP historical surface derives from GHSL</x:v>
      </x:c>
      <x:c r="W1215" s="2" t="str">
        <x:v>https://human-settlement.emergency.copernicus.eu/datasets.php</x:v>
      </x:c>
    </x:row>
    <x:row r="1216" ht="23" customHeight="1">
      <x:c r="A1216" s="2" t="str">
        <x:v>COM</x:v>
      </x:c>
      <x:c r="B1216" s="2" t="str">
        <x:v>Comoros (Union of the)</x:v>
      </x:c>
      <x:c r="C1216" s="2" t="str">
        <x:v>WUP_SURFACE</x:v>
      </x:c>
      <x:c r="D1216" s="2" t="n">
        <x:v>2020</x:v>
      </x:c>
      <x:c r="E1216" s="2" t="n">
        <x:v>2025</x:v>
      </x:c>
      <x:c r="F1216" s="17" t="n">
        <x:v>18035090.40999997</x:v>
      </x:c>
      <x:c r="G1216" s="17" t="n">
        <x:v>21262272.6373432</x:v>
      </x:c>
      <x:c r="H1216" s="17" t="n">
        <x:v>26193450.897957403</x:v>
      </x:c>
      <x:c r="I1216" s="17" t="n">
        <x:v>30759228.096216246</x:v>
      </x:c>
      <x:c r="J1216" s="2" t="str">
        <x:v>m2</x:v>
      </x:c>
      <x:c r="K1216" s="15" t="n">
        <x:f>IF(AND(ISNUMBER(F1216),ISNUMBER(G1216),F1216&gt;0),G1216/F1216-1,"n.a.")</x:f>
        <x:v>0.1789390656757588</x:v>
      </x:c>
      <x:c r="L1216" s="15" t="n">
        <x:f>IF(AND(N1216,ISNUMBER(H1216),ISNUMBER(I1216),H1216&gt;0),I1216/H1216-1,"n.a.")</x:f>
        <x:v>0.17430987677209364</x:v>
      </x:c>
      <x:c r="M1216" s="20" t="n">
        <x:f>IF(AND(ISNUMBER(K1216),ISNUMBER(L1216)),100*(K1216-L1216),"n.a.")</x:f>
        <x:v>0.4629188903665149</x:v>
      </x:c>
      <x:c r="N1216" s="13" t="b">
        <x:v>1</x:v>
      </x:c>
      <x:c r="O1216" s="13" t="b">
        <x:v>1</x:v>
      </x:c>
      <x:c r="P1216" s="13" t="b">
        <x:v>0</x:v>
      </x:c>
      <x:c r="Q1216" s="2" t="str">
        <x:v>L1_numeric_partition_qualified_not_national_completeness</x:v>
      </x:c>
      <x:c r="R1216" s="2" t="str">
        <x:v>L1_numeric_partition_qualified_not_national_completeness</x:v>
      </x:c>
      <x:c r="S1216" s="2" t="str">
        <x:v>historical_GHSL_BU_estimate</x:v>
      </x:c>
      <x:c r="T1216" s="2" t="str">
        <x:v>projected_CRISP_BU_surface</x:v>
      </x:c>
      <x:c r="U1216" s="2" t="str">
        <x:v>GFA growth versus source physical quantity growth; constant conversion required for equality</x:v>
      </x:c>
      <x:c r="V1216" s="2" t="str">
        <x:v>Future horizontal path is already a v16 driver; WUP historical surface derives from GHSL</x:v>
      </x:c>
      <x:c r="W1216" s="2" t="str">
        <x:v>https://human-settlement.emergency.copernicus.eu/datasets.php</x:v>
      </x:c>
    </x:row>
    <x:row r="1217" ht="23" customHeight="1">
      <x:c r="A1217" s="2" t="str">
        <x:v>CPV</x:v>
      </x:c>
      <x:c r="B1217" s="2" t="str">
        <x:v>Cabo Verde (Republic of)</x:v>
      </x:c>
      <x:c r="C1217" s="2" t="str">
        <x:v>WUP_SURFACE</x:v>
      </x:c>
      <x:c r="D1217" s="2" t="n">
        <x:v>2020</x:v>
      </x:c>
      <x:c r="E1217" s="2" t="n">
        <x:v>2025</x:v>
      </x:c>
      <x:c r="F1217" s="17" t="n">
        <x:v>21833832.63999998</x:v>
      </x:c>
      <x:c r="G1217" s="17" t="n">
        <x:v>24689416.29189638</x:v>
      </x:c>
      <x:c r="H1217" s="17" t="n">
        <x:v>23623195.006221067</x:v>
      </x:c>
      <x:c r="I1217" s="17" t="n">
        <x:v>26657382.563248917</x:v>
      </x:c>
      <x:c r="J1217" s="2" t="str">
        <x:v>m2</x:v>
      </x:c>
      <x:c r="K1217" s="15" t="n">
        <x:f>IF(AND(ISNUMBER(F1217),ISNUMBER(G1217),F1217&gt;0),G1217/F1217-1,"n.a.")</x:f>
        <x:v>0.13078709995536575</x:v>
      </x:c>
      <x:c r="L1217" s="15" t="n">
        <x:f>IF(AND(N1217,ISNUMBER(H1217),ISNUMBER(I1217),H1217&gt;0),I1217/H1217-1,"n.a.")</x:f>
        <x:v>0.12844103247798655</x:v>
      </x:c>
      <x:c r="M1217" s="20" t="n">
        <x:f>IF(AND(ISNUMBER(K1217),ISNUMBER(L1217)),100*(K1217-L1217),"n.a.")</x:f>
        <x:v>0.2346067477379199</x:v>
      </x:c>
      <x:c r="N1217" s="13" t="b">
        <x:v>1</x:v>
      </x:c>
      <x:c r="O1217" s="13" t="b">
        <x:v>1</x:v>
      </x:c>
      <x:c r="P1217" s="13" t="b">
        <x:v>0</x:v>
      </x:c>
      <x:c r="Q1217" s="2" t="str">
        <x:v>L1_numeric_partition_qualified_not_national_completeness</x:v>
      </x:c>
      <x:c r="R1217" s="2" t="str">
        <x:v>L1_numeric_partition_qualified_not_national_completeness</x:v>
      </x:c>
      <x:c r="S1217" s="2" t="str">
        <x:v>historical_GHSL_BU_estimate</x:v>
      </x:c>
      <x:c r="T1217" s="2" t="str">
        <x:v>projected_CRISP_BU_surface</x:v>
      </x:c>
      <x:c r="U1217" s="2" t="str">
        <x:v>GFA growth versus source physical quantity growth; constant conversion required for equality</x:v>
      </x:c>
      <x:c r="V1217" s="2" t="str">
        <x:v>Future horizontal path is already a v16 driver; WUP historical surface derives from GHSL</x:v>
      </x:c>
      <x:c r="W1217" s="2" t="str">
        <x:v>https://human-settlement.emergency.copernicus.eu/datasets.php</x:v>
      </x:c>
    </x:row>
    <x:row r="1218" ht="23" customHeight="1">
      <x:c r="A1218" s="2" t="str">
        <x:v>CRI</x:v>
      </x:c>
      <x:c r="B1218" s="2" t="str">
        <x:v>Costa Rica (Republic of)</x:v>
      </x:c>
      <x:c r="C1218" s="2" t="str">
        <x:v>WUP_SURFACE</x:v>
      </x:c>
      <x:c r="D1218" s="2" t="n">
        <x:v>2020</x:v>
      </x:c>
      <x:c r="E1218" s="2" t="n">
        <x:v>2025</x:v>
      </x:c>
      <x:c r="F1218" s="17" t="n">
        <x:v>284786315.38999987</x:v>
      </x:c>
      <x:c r="G1218" s="17" t="n">
        <x:v>314557100.8116553</x:v>
      </x:c>
      <x:c r="H1218" s="17" t="n">
        <x:v>367435856.8570776</x:v>
      </x:c>
      <x:c r="I1218" s="17" t="n">
        <x:v>404182925.33679366</x:v>
      </x:c>
      <x:c r="J1218" s="2" t="str">
        <x:v>m2</x:v>
      </x:c>
      <x:c r="K1218" s="15" t="n">
        <x:f>IF(AND(ISNUMBER(F1218),ISNUMBER(G1218),F1218&gt;0),G1218/F1218-1,"n.a.")</x:f>
        <x:v>0.10453727518783995</x:v>
      </x:c>
      <x:c r="L1218" s="15" t="n">
        <x:f>IF(AND(N1218,ISNUMBER(H1218),ISNUMBER(I1218),H1218&gt;0),I1218/H1218-1,"n.a.")</x:f>
        <x:v>0.10000947864489351</x:v>
      </x:c>
      <x:c r="M1218" s="20" t="n">
        <x:f>IF(AND(ISNUMBER(K1218),ISNUMBER(L1218)),100*(K1218-L1218),"n.a.")</x:f>
        <x:v>0.45277965429464384</x:v>
      </x:c>
      <x:c r="N1218" s="13" t="b">
        <x:v>1</x:v>
      </x:c>
      <x:c r="O1218" s="13" t="b">
        <x:v>1</x:v>
      </x:c>
      <x:c r="P1218" s="13" t="b">
        <x:v>0</x:v>
      </x:c>
      <x:c r="Q1218" s="2" t="str">
        <x:v>L1_numeric_partition_qualified_not_national_completeness</x:v>
      </x:c>
      <x:c r="R1218" s="2" t="str">
        <x:v>L1_numeric_partition_qualified_not_national_completeness</x:v>
      </x:c>
      <x:c r="S1218" s="2" t="str">
        <x:v>historical_GHSL_BU_estimate</x:v>
      </x:c>
      <x:c r="T1218" s="2" t="str">
        <x:v>projected_CRISP_BU_surface</x:v>
      </x:c>
      <x:c r="U1218" s="2" t="str">
        <x:v>GFA growth versus source physical quantity growth; constant conversion required for equality</x:v>
      </x:c>
      <x:c r="V1218" s="2" t="str">
        <x:v>Future horizontal path is already a v16 driver; WUP historical surface derives from GHSL</x:v>
      </x:c>
      <x:c r="W1218" s="2" t="str">
        <x:v>https://human-settlement.emergency.copernicus.eu/datasets.php</x:v>
      </x:c>
    </x:row>
    <x:row r="1219" ht="23" customHeight="1">
      <x:c r="A1219" s="2" t="str">
        <x:v>CUB</x:v>
      </x:c>
      <x:c r="B1219" s="2" t="str">
        <x:v>Cuba (Republic of)</x:v>
      </x:c>
      <x:c r="C1219" s="2" t="str">
        <x:v>WUP_SURFACE</x:v>
      </x:c>
      <x:c r="D1219" s="2" t="n">
        <x:v>2020</x:v>
      </x:c>
      <x:c r="E1219" s="2" t="n">
        <x:v>2025</x:v>
      </x:c>
      <x:c r="F1219" s="17" t="n">
        <x:v>360088927.4199998</x:v>
      </x:c>
      <x:c r="G1219" s="17" t="n">
        <x:v>412387618.7893516</x:v>
      </x:c>
      <x:c r="H1219" s="17" t="n">
        <x:v>393093124.879059</x:v>
      </x:c>
      <x:c r="I1219" s="17" t="n">
        <x:v>449894207.70283973</x:v>
      </x:c>
      <x:c r="J1219" s="2" t="str">
        <x:v>m2</x:v>
      </x:c>
      <x:c r="K1219" s="15" t="n">
        <x:f>IF(AND(ISNUMBER(F1219),ISNUMBER(G1219),F1219&gt;0),G1219/F1219-1,"n.a.")</x:f>
        <x:v>0.14523826584745758</x:v>
      </x:c>
      <x:c r="L1219" s="15" t="n">
        <x:f>IF(AND(N1219,ISNUMBER(H1219),ISNUMBER(I1219),H1219&gt;0),I1219/H1219-1,"n.a.")</x:f>
        <x:v>0.1444977773174141</x:v>
      </x:c>
      <x:c r="M1219" s="20" t="n">
        <x:f>IF(AND(ISNUMBER(K1219),ISNUMBER(L1219)),100*(K1219-L1219),"n.a.")</x:f>
        <x:v>0.07404885300434927</x:v>
      </x:c>
      <x:c r="N1219" s="13" t="b">
        <x:v>1</x:v>
      </x:c>
      <x:c r="O1219" s="13" t="b">
        <x:v>1</x:v>
      </x:c>
      <x:c r="P1219" s="13" t="b">
        <x:v>0</x:v>
      </x:c>
      <x:c r="Q1219" s="2" t="str">
        <x:v>L1_numeric_partition_qualified_not_national_completeness</x:v>
      </x:c>
      <x:c r="R1219" s="2" t="str">
        <x:v>L1_numeric_partition_qualified_not_national_completeness</x:v>
      </x:c>
      <x:c r="S1219" s="2" t="str">
        <x:v>historical_GHSL_BU_estimate</x:v>
      </x:c>
      <x:c r="T1219" s="2" t="str">
        <x:v>projected_CRISP_BU_surface</x:v>
      </x:c>
      <x:c r="U1219" s="2" t="str">
        <x:v>GFA growth versus source physical quantity growth; constant conversion required for equality</x:v>
      </x:c>
      <x:c r="V1219" s="2" t="str">
        <x:v>Future horizontal path is already a v16 driver; WUP historical surface derives from GHSL</x:v>
      </x:c>
      <x:c r="W1219" s="2" t="str">
        <x:v>https://human-settlement.emergency.copernicus.eu/datasets.php</x:v>
      </x:c>
    </x:row>
    <x:row r="1220" ht="23" customHeight="1">
      <x:c r="A1220" s="2" t="str">
        <x:v>CYP</x:v>
      </x:c>
      <x:c r="B1220" s="2" t="str">
        <x:v>Cyprus (Republic of)</x:v>
      </x:c>
      <x:c r="C1220" s="2" t="str">
        <x:v>WUP_SURFACE</x:v>
      </x:c>
      <x:c r="D1220" s="2" t="n">
        <x:v>2020</x:v>
      </x:c>
      <x:c r="E1220" s="2" t="n">
        <x:v>2025</x:v>
      </x:c>
      <x:c r="F1220" s="17" t="n">
        <x:v>124124771.75000016</x:v>
      </x:c>
      <x:c r="G1220" s="17" t="n">
        <x:v>138215278.8744112</x:v>
      </x:c>
      <x:c r="H1220" s="17" t="n">
        <x:v>145137908.00039965</x:v>
      </x:c>
      <x:c r="I1220" s="17" t="n">
        <x:v>160820501.83744308</x:v>
      </x:c>
      <x:c r="J1220" s="2" t="str">
        <x:v>m2</x:v>
      </x:c>
      <x:c r="K1220" s="15" t="n">
        <x:f>IF(AND(ISNUMBER(F1220),ISNUMBER(G1220),F1220&gt;0),G1220/F1220-1,"n.a.")</x:f>
        <x:v>0.11351889655669001</x:v>
      </x:c>
      <x:c r="L1220" s="15" t="n">
        <x:f>IF(AND(N1220,ISNUMBER(H1220),ISNUMBER(I1220),H1220&gt;0),I1220/H1220-1,"n.a.")</x:f>
        <x:v>0.10805305142609778</x:v>
      </x:c>
      <x:c r="M1220" s="20" t="n">
        <x:f>IF(AND(ISNUMBER(K1220),ISNUMBER(L1220)),100*(K1220-L1220),"n.a.")</x:f>
        <x:v>0.5465845130592228</x:v>
      </x:c>
      <x:c r="N1220" s="13" t="b">
        <x:v>1</x:v>
      </x:c>
      <x:c r="O1220" s="13" t="b">
        <x:v>1</x:v>
      </x:c>
      <x:c r="P1220" s="13" t="b">
        <x:v>0</x:v>
      </x:c>
      <x:c r="Q1220" s="2" t="str">
        <x:v>L1_numeric_partition_qualified_not_national_completeness</x:v>
      </x:c>
      <x:c r="R1220" s="2" t="str">
        <x:v>L1_numeric_partition_qualified_not_national_completeness</x:v>
      </x:c>
      <x:c r="S1220" s="2" t="str">
        <x:v>historical_GHSL_BU_estimate</x:v>
      </x:c>
      <x:c r="T1220" s="2" t="str">
        <x:v>projected_CRISP_BU_surface</x:v>
      </x:c>
      <x:c r="U1220" s="2" t="str">
        <x:v>GFA growth versus source physical quantity growth; constant conversion required for equality</x:v>
      </x:c>
      <x:c r="V1220" s="2" t="str">
        <x:v>Future horizontal path is already a v16 driver; WUP historical surface derives from GHSL</x:v>
      </x:c>
      <x:c r="W1220" s="2" t="str">
        <x:v>https://human-settlement.emergency.copernicus.eu/datasets.php</x:v>
      </x:c>
    </x:row>
    <x:row r="1221" ht="23" customHeight="1">
      <x:c r="A1221" s="2" t="str">
        <x:v>CZE</x:v>
      </x:c>
      <x:c r="B1221" s="2" t="str">
        <x:v>Czechia (Czech Republic)</x:v>
      </x:c>
      <x:c r="C1221" s="2" t="str">
        <x:v>WUP_SURFACE</x:v>
      </x:c>
      <x:c r="D1221" s="2" t="n">
        <x:v>2020</x:v>
      </x:c>
      <x:c r="E1221" s="2" t="n">
        <x:v>2025</x:v>
      </x:c>
      <x:c r="F1221" s="17" t="n">
        <x:v>853858176.0500003</x:v>
      </x:c>
      <x:c r="G1221" s="17" t="n">
        <x:v>972463842.658219</x:v>
      </x:c>
      <x:c r="H1221" s="17" t="n">
        <x:v>1361503641.673497</x:v>
      </x:c>
      <x:c r="I1221" s="17" t="n">
        <x:v>1546279054.030441</x:v>
      </x:c>
      <x:c r="J1221" s="2" t="str">
        <x:v>m2</x:v>
      </x:c>
      <x:c r="K1221" s="15" t="n">
        <x:f>IF(AND(ISNUMBER(F1221),ISNUMBER(G1221),F1221&gt;0),G1221/F1221-1,"n.a.")</x:f>
        <x:v>0.13890558167036082</x:v>
      </x:c>
      <x:c r="L1221" s="15" t="n">
        <x:f>IF(AND(N1221,ISNUMBER(H1221),ISNUMBER(I1221),H1221&gt;0),I1221/H1221-1,"n.a.")</x:f>
        <x:v>0.135714225582112</x:v>
      </x:c>
      <x:c r="M1221" s="20" t="n">
        <x:f>IF(AND(ISNUMBER(K1221),ISNUMBER(L1221)),100*(K1221-L1221),"n.a.")</x:f>
        <x:v>0.3191356088248831</x:v>
      </x:c>
      <x:c r="N1221" s="13" t="b">
        <x:v>1</x:v>
      </x:c>
      <x:c r="O1221" s="13" t="b">
        <x:v>1</x:v>
      </x:c>
      <x:c r="P1221" s="13" t="b">
        <x:v>0</x:v>
      </x:c>
      <x:c r="Q1221" s="2" t="str">
        <x:v>L1_numeric_partition_qualified_not_national_completeness</x:v>
      </x:c>
      <x:c r="R1221" s="2" t="str">
        <x:v>L1_numeric_partition_qualified_not_national_completeness</x:v>
      </x:c>
      <x:c r="S1221" s="2" t="str">
        <x:v>historical_GHSL_BU_estimate</x:v>
      </x:c>
      <x:c r="T1221" s="2" t="str">
        <x:v>projected_CRISP_BU_surface</x:v>
      </x:c>
      <x:c r="U1221" s="2" t="str">
        <x:v>GFA growth versus source physical quantity growth; constant conversion required for equality</x:v>
      </x:c>
      <x:c r="V1221" s="2" t="str">
        <x:v>Future horizontal path is already a v16 driver; WUP historical surface derives from GHSL</x:v>
      </x:c>
      <x:c r="W1221" s="2" t="str">
        <x:v>https://human-settlement.emergency.copernicus.eu/datasets.php</x:v>
      </x:c>
    </x:row>
    <x:row r="1222" ht="23" customHeight="1">
      <x:c r="A1222" s="2" t="str">
        <x:v>DEU</x:v>
      </x:c>
      <x:c r="B1222" s="2" t="str">
        <x:v>Germany (Federal Republic of)</x:v>
      </x:c>
      <x:c r="C1222" s="2" t="str">
        <x:v>WUP_SURFACE</x:v>
      </x:c>
      <x:c r="D1222" s="2" t="n">
        <x:v>2020</x:v>
      </x:c>
      <x:c r="E1222" s="2" t="n">
        <x:v>2025</x:v>
      </x:c>
      <x:c r="F1222" s="17" t="n">
        <x:v>6611215465.220001</x:v>
      </x:c>
      <x:c r="G1222" s="17" t="n">
        <x:v>7433097633.797371</x:v>
      </x:c>
      <x:c r="H1222" s="17" t="n">
        <x:v>9558232652.439943</x:v>
      </x:c>
      <x:c r="I1222" s="17" t="n">
        <x:v>10719698404.661283</x:v>
      </x:c>
      <x:c r="J1222" s="2" t="str">
        <x:v>m2</x:v>
      </x:c>
      <x:c r="K1222" s="15" t="n">
        <x:f>IF(AND(ISNUMBER(F1222),ISNUMBER(G1222),F1222&gt;0),G1222/F1222-1,"n.a.")</x:f>
        <x:v>0.12431634892268928</x:v>
      </x:c>
      <x:c r="L1222" s="15" t="n">
        <x:f>IF(AND(N1222,ISNUMBER(H1222),ISNUMBER(I1222),H1222&gt;0),I1222/H1222-1,"n.a.")</x:f>
        <x:v>0.12151469779560675</x:v>
      </x:c>
      <x:c r="M1222" s="20" t="n">
        <x:f>IF(AND(ISNUMBER(K1222),ISNUMBER(L1222)),100*(K1222-L1222),"n.a.")</x:f>
        <x:v>0.28016511270825273</x:v>
      </x:c>
      <x:c r="N1222" s="13" t="b">
        <x:v>1</x:v>
      </x:c>
      <x:c r="O1222" s="13" t="b">
        <x:v>1</x:v>
      </x:c>
      <x:c r="P1222" s="13" t="b">
        <x:v>0</x:v>
      </x:c>
      <x:c r="Q1222" s="2" t="str">
        <x:v>L1_numeric_partition_qualified_not_national_completeness</x:v>
      </x:c>
      <x:c r="R1222" s="2" t="str">
        <x:v>L1_numeric_partition_qualified_not_national_completeness</x:v>
      </x:c>
      <x:c r="S1222" s="2" t="str">
        <x:v>historical_GHSL_BU_estimate</x:v>
      </x:c>
      <x:c r="T1222" s="2" t="str">
        <x:v>projected_CRISP_BU_surface</x:v>
      </x:c>
      <x:c r="U1222" s="2" t="str">
        <x:v>GFA growth versus source physical quantity growth; constant conversion required for equality</x:v>
      </x:c>
      <x:c r="V1222" s="2" t="str">
        <x:v>Future horizontal path is already a v16 driver; WUP historical surface derives from GHSL</x:v>
      </x:c>
      <x:c r="W1222" s="2" t="str">
        <x:v>https://human-settlement.emergency.copernicus.eu/datasets.php</x:v>
      </x:c>
    </x:row>
    <x:row r="1223" ht="23" customHeight="1">
      <x:c r="A1223" s="2" t="str">
        <x:v>DJI</x:v>
      </x:c>
      <x:c r="B1223" s="2" t="str">
        <x:v>Djibouti (Republic of)</x:v>
      </x:c>
      <x:c r="C1223" s="2" t="str">
        <x:v>WUP_SURFACE</x:v>
      </x:c>
      <x:c r="D1223" s="2" t="n">
        <x:v>2020</x:v>
      </x:c>
      <x:c r="E1223" s="2" t="n">
        <x:v>2025</x:v>
      </x:c>
      <x:c r="F1223" s="17" t="n">
        <x:v>12588327.629999984</x:v>
      </x:c>
      <x:c r="G1223" s="17" t="n">
        <x:v>15826326.695005659</x:v>
      </x:c>
      <x:c r="H1223" s="17" t="n">
        <x:v>20249018.040496703</x:v>
      </x:c>
      <x:c r="I1223" s="17" t="n">
        <x:v>25318119.630626824</x:v>
      </x:c>
      <x:c r="J1223" s="2" t="str">
        <x:v>m2</x:v>
      </x:c>
      <x:c r="K1223" s="15" t="n">
        <x:f>IF(AND(ISNUMBER(F1223),ISNUMBER(G1223),F1223&gt;0),G1223/F1223-1,"n.a.")</x:f>
        <x:v>0.25722233804028183</x:v>
      </x:c>
      <x:c r="L1223" s="15" t="n">
        <x:f>IF(AND(N1223,ISNUMBER(H1223),ISNUMBER(I1223),H1223&gt;0),I1223/H1223-1,"n.a.")</x:f>
        <x:v>0.25033814380491193</x:v>
      </x:c>
      <x:c r="M1223" s="20" t="n">
        <x:f>IF(AND(ISNUMBER(K1223),ISNUMBER(L1223)),100*(K1223-L1223),"n.a.")</x:f>
        <x:v>0.68841942353699</x:v>
      </x:c>
      <x:c r="N1223" s="13" t="b">
        <x:v>1</x:v>
      </x:c>
      <x:c r="O1223" s="13" t="b">
        <x:v>1</x:v>
      </x:c>
      <x:c r="P1223" s="13" t="b">
        <x:v>0</x:v>
      </x:c>
      <x:c r="Q1223" s="2" t="str">
        <x:v>L1_numeric_partition_qualified_not_national_completeness</x:v>
      </x:c>
      <x:c r="R1223" s="2" t="str">
        <x:v>L1_numeric_partition_qualified_not_national_completeness</x:v>
      </x:c>
      <x:c r="S1223" s="2" t="str">
        <x:v>historical_GHSL_BU_estimate</x:v>
      </x:c>
      <x:c r="T1223" s="2" t="str">
        <x:v>projected_CRISP_BU_surface</x:v>
      </x:c>
      <x:c r="U1223" s="2" t="str">
        <x:v>GFA growth versus source physical quantity growth; constant conversion required for equality</x:v>
      </x:c>
      <x:c r="V1223" s="2" t="str">
        <x:v>Future horizontal path is already a v16 driver; WUP historical surface derives from GHSL</x:v>
      </x:c>
      <x:c r="W1223" s="2" t="str">
        <x:v>https://human-settlement.emergency.copernicus.eu/datasets.php</x:v>
      </x:c>
    </x:row>
    <x:row r="1224" ht="23" customHeight="1">
      <x:c r="A1224" s="2" t="str">
        <x:v>DMA</x:v>
      </x:c>
      <x:c r="B1224" s="2" t="str">
        <x:v>Dominica (Commonwealth of)</x:v>
      </x:c>
      <x:c r="C1224" s="2" t="str">
        <x:v>WUP_SURFACE</x:v>
      </x:c>
      <x:c r="D1224" s="2" t="n">
        <x:v>2020</x:v>
      </x:c>
      <x:c r="E1224" s="2" t="n">
        <x:v>2025</x:v>
      </x:c>
      <x:c r="F1224" s="17" t="n">
        <x:v>3947192.6899999985</x:v>
      </x:c>
      <x:c r="G1224" s="17" t="n">
        <x:v>4067403.070447733</x:v>
      </x:c>
      <x:c r="H1224" s="17" t="n">
        <x:v>5577641.011276227</x:v>
      </x:c>
      <x:c r="I1224" s="17" t="n">
        <x:v>5746936.668125727</x:v>
      </x:c>
      <x:c r="J1224" s="2" t="str">
        <x:v>m2</x:v>
      </x:c>
      <x:c r="K1224" s="15" t="n">
        <x:f>IF(AND(ISNUMBER(F1224),ISNUMBER(G1224),F1224&gt;0),G1224/F1224-1,"n.a.")</x:f>
        <x:v>0.030454652176540753</x:v>
      </x:c>
      <x:c r="L1224" s="15" t="n">
        <x:f>IF(AND(N1224,ISNUMBER(H1224),ISNUMBER(I1224),H1224&gt;0),I1224/H1224-1,"n.a.")</x:f>
        <x:v>0.030352555230291456</x:v>
      </x:c>
      <x:c r="M1224" s="20" t="n">
        <x:f>IF(AND(ISNUMBER(K1224),ISNUMBER(L1224)),100*(K1224-L1224),"n.a.")</x:f>
        <x:v>0.01020969462492971</x:v>
      </x:c>
      <x:c r="N1224" s="13" t="b">
        <x:v>1</x:v>
      </x:c>
      <x:c r="O1224" s="13" t="b">
        <x:v>1</x:v>
      </x:c>
      <x:c r="P1224" s="13" t="b">
        <x:v>0</x:v>
      </x:c>
      <x:c r="Q1224" s="2" t="str">
        <x:v>L1_numeric_partition_qualified_not_national_completeness</x:v>
      </x:c>
      <x:c r="R1224" s="2" t="str">
        <x:v>L1_numeric_partition_qualified_not_national_completeness</x:v>
      </x:c>
      <x:c r="S1224" s="2" t="str">
        <x:v>historical_GHSL_BU_estimate</x:v>
      </x:c>
      <x:c r="T1224" s="2" t="str">
        <x:v>projected_CRISP_BU_surface</x:v>
      </x:c>
      <x:c r="U1224" s="2" t="str">
        <x:v>GFA growth versus source physical quantity growth; constant conversion required for equality</x:v>
      </x:c>
      <x:c r="V1224" s="2" t="str">
        <x:v>Future horizontal path is already a v16 driver; WUP historical surface derives from GHSL</x:v>
      </x:c>
      <x:c r="W1224" s="2" t="str">
        <x:v>https://human-settlement.emergency.copernicus.eu/datasets.php</x:v>
      </x:c>
    </x:row>
    <x:row r="1225" ht="23" customHeight="1">
      <x:c r="A1225" s="2" t="str">
        <x:v>DNK</x:v>
      </x:c>
      <x:c r="B1225" s="2" t="str">
        <x:v>Denmark (Kingdom of)</x:v>
      </x:c>
      <x:c r="C1225" s="2" t="str">
        <x:v>WUP_SURFACE</x:v>
      </x:c>
      <x:c r="D1225" s="2" t="n">
        <x:v>2020</x:v>
      </x:c>
      <x:c r="E1225" s="2" t="n">
        <x:v>2025</x:v>
      </x:c>
      <x:c r="F1225" s="17" t="n">
        <x:v>665059716.8900009</x:v>
      </x:c>
      <x:c r="G1225" s="17" t="n">
        <x:v>755859889.661265</x:v>
      </x:c>
      <x:c r="H1225" s="17" t="n">
        <x:v>819001256.3846583</x:v>
      </x:c>
      <x:c r="I1225" s="17" t="n">
        <x:v>928547422.8656484</x:v>
      </x:c>
      <x:c r="J1225" s="2" t="str">
        <x:v>m2</x:v>
      </x:c>
      <x:c r="K1225" s="15" t="n">
        <x:f>IF(AND(ISNUMBER(F1225),ISNUMBER(G1225),F1225&gt;0),G1225/F1225-1,"n.a.")</x:f>
        <x:v>0.1365293528765661</x:v>
      </x:c>
      <x:c r="L1225" s="15" t="n">
        <x:f>IF(AND(N1225,ISNUMBER(H1225),ISNUMBER(I1225),H1225&gt;0),I1225/H1225-1,"n.a.")</x:f>
        <x:v>0.13375579784158442</x:v>
      </x:c>
      <x:c r="M1225" s="20" t="n">
        <x:f>IF(AND(ISNUMBER(K1225),ISNUMBER(L1225)),100*(K1225-L1225),"n.a.")</x:f>
        <x:v>0.27735550349816673</x:v>
      </x:c>
      <x:c r="N1225" s="13" t="b">
        <x:v>1</x:v>
      </x:c>
      <x:c r="O1225" s="13" t="b">
        <x:v>1</x:v>
      </x:c>
      <x:c r="P1225" s="13" t="b">
        <x:v>0</x:v>
      </x:c>
      <x:c r="Q1225" s="2" t="str">
        <x:v>L1_numeric_partition_qualified_not_national_completeness</x:v>
      </x:c>
      <x:c r="R1225" s="2" t="str">
        <x:v>L1_numeric_partition_qualified_not_national_completeness</x:v>
      </x:c>
      <x:c r="S1225" s="2" t="str">
        <x:v>historical_GHSL_BU_estimate</x:v>
      </x:c>
      <x:c r="T1225" s="2" t="str">
        <x:v>projected_CRISP_BU_surface</x:v>
      </x:c>
      <x:c r="U1225" s="2" t="str">
        <x:v>GFA growth versus source physical quantity growth; constant conversion required for equality</x:v>
      </x:c>
      <x:c r="V1225" s="2" t="str">
        <x:v>Future horizontal path is already a v16 driver; WUP historical surface derives from GHSL</x:v>
      </x:c>
      <x:c r="W1225" s="2" t="str">
        <x:v>https://human-settlement.emergency.copernicus.eu/datasets.php</x:v>
      </x:c>
    </x:row>
    <x:row r="1226" ht="23" customHeight="1">
      <x:c r="A1226" s="2" t="str">
        <x:v>DOM</x:v>
      </x:c>
      <x:c r="B1226" s="2" t="str">
        <x:v>Dominican Republic</x:v>
      </x:c>
      <x:c r="C1226" s="2" t="str">
        <x:v>WUP_SURFACE</x:v>
      </x:c>
      <x:c r="D1226" s="2" t="n">
        <x:v>2020</x:v>
      </x:c>
      <x:c r="E1226" s="2" t="n">
        <x:v>2025</x:v>
      </x:c>
      <x:c r="F1226" s="17" t="n">
        <x:v>336248050.8900004</x:v>
      </x:c>
      <x:c r="G1226" s="17" t="n">
        <x:v>379420417.82158756</x:v>
      </x:c>
      <x:c r="H1226" s="17" t="n">
        <x:v>505607053.0571373</x:v>
      </x:c>
      <x:c r="I1226" s="17" t="n">
        <x:v>568666345.3875647</x:v>
      </x:c>
      <x:c r="J1226" s="2" t="str">
        <x:v>m2</x:v>
      </x:c>
      <x:c r="K1226" s="15" t="n">
        <x:f>IF(AND(ISNUMBER(F1226),ISNUMBER(G1226),F1226&gt;0),G1226/F1226-1,"n.a.")</x:f>
        <x:v>0.12839440055434093</x:v>
      </x:c>
      <x:c r="L1226" s="15" t="n">
        <x:f>IF(AND(N1226,ISNUMBER(H1226),ISNUMBER(I1226),H1226&gt;0),I1226/H1226-1,"n.a.")</x:f>
        <x:v>0.12471996177494216</x:v>
      </x:c>
      <x:c r="M1226" s="20" t="n">
        <x:f>IF(AND(ISNUMBER(K1226),ISNUMBER(L1226)),100*(K1226-L1226),"n.a.")</x:f>
        <x:v>0.367443877939877</x:v>
      </x:c>
      <x:c r="N1226" s="13" t="b">
        <x:v>1</x:v>
      </x:c>
      <x:c r="O1226" s="13" t="b">
        <x:v>1</x:v>
      </x:c>
      <x:c r="P1226" s="13" t="b">
        <x:v>0</x:v>
      </x:c>
      <x:c r="Q1226" s="2" t="str">
        <x:v>L1_numeric_partition_qualified_not_national_completeness</x:v>
      </x:c>
      <x:c r="R1226" s="2" t="str">
        <x:v>L1_numeric_partition_qualified_not_national_completeness</x:v>
      </x:c>
      <x:c r="S1226" s="2" t="str">
        <x:v>historical_GHSL_BU_estimate</x:v>
      </x:c>
      <x:c r="T1226" s="2" t="str">
        <x:v>projected_CRISP_BU_surface</x:v>
      </x:c>
      <x:c r="U1226" s="2" t="str">
        <x:v>GFA growth versus source physical quantity growth; constant conversion required for equality</x:v>
      </x:c>
      <x:c r="V1226" s="2" t="str">
        <x:v>Future horizontal path is already a v16 driver; WUP historical surface derives from GHSL</x:v>
      </x:c>
      <x:c r="W1226" s="2" t="str">
        <x:v>https://human-settlement.emergency.copernicus.eu/datasets.php</x:v>
      </x:c>
    </x:row>
    <x:row r="1227" ht="23" customHeight="1">
      <x:c r="A1227" s="2" t="str">
        <x:v>DZA</x:v>
      </x:c>
      <x:c r="B1227" s="2" t="str">
        <x:v>Algeria (People's Democratic Republic of)</x:v>
      </x:c>
      <x:c r="C1227" s="2" t="str">
        <x:v>WUP_SURFACE</x:v>
      </x:c>
      <x:c r="D1227" s="2" t="n">
        <x:v>2020</x:v>
      </x:c>
      <x:c r="E1227" s="2" t="n">
        <x:v>2025</x:v>
      </x:c>
      <x:c r="F1227" s="17" t="n">
        <x:v>1607752786.8799975</x:v>
      </x:c>
      <x:c r="G1227" s="17" t="n">
        <x:v>1849442388.5685625</x:v>
      </x:c>
      <x:c r="H1227" s="17" t="n">
        <x:v>2251269484.417323</x:v>
      </x:c>
      <x:c r="I1227" s="17" t="n">
        <x:v>2579697095.4511447</x:v>
      </x:c>
      <x:c r="J1227" s="2" t="str">
        <x:v>m2</x:v>
      </x:c>
      <x:c r="K1227" s="15" t="n">
        <x:f>IF(AND(ISNUMBER(F1227),ISNUMBER(G1227),F1227&gt;0),G1227/F1227-1,"n.a.")</x:f>
        <x:v>0.15032758995093243</x:v>
      </x:c>
      <x:c r="L1227" s="15" t="n">
        <x:f>IF(AND(N1227,ISNUMBER(H1227),ISNUMBER(I1227),H1227&gt;0),I1227/H1227-1,"n.a.")</x:f>
        <x:v>0.14588551628630353</x:v>
      </x:c>
      <x:c r="M1227" s="20" t="n">
        <x:f>IF(AND(ISNUMBER(K1227),ISNUMBER(L1227)),100*(K1227-L1227),"n.a.")</x:f>
        <x:v>0.44420736646288983</x:v>
      </x:c>
      <x:c r="N1227" s="13" t="b">
        <x:v>1</x:v>
      </x:c>
      <x:c r="O1227" s="13" t="b">
        <x:v>1</x:v>
      </x:c>
      <x:c r="P1227" s="13" t="b">
        <x:v>0</x:v>
      </x:c>
      <x:c r="Q1227" s="2" t="str">
        <x:v>L1_numeric_partition_qualified_not_national_completeness</x:v>
      </x:c>
      <x:c r="R1227" s="2" t="str">
        <x:v>L1_numeric_partition_qualified_not_national_completeness</x:v>
      </x:c>
      <x:c r="S1227" s="2" t="str">
        <x:v>historical_GHSL_BU_estimate</x:v>
      </x:c>
      <x:c r="T1227" s="2" t="str">
        <x:v>projected_CRISP_BU_surface</x:v>
      </x:c>
      <x:c r="U1227" s="2" t="str">
        <x:v>GFA growth versus source physical quantity growth; constant conversion required for equality</x:v>
      </x:c>
      <x:c r="V1227" s="2" t="str">
        <x:v>Future horizontal path is already a v16 driver; WUP historical surface derives from GHSL</x:v>
      </x:c>
      <x:c r="W1227" s="2" t="str">
        <x:v>https://human-settlement.emergency.copernicus.eu/datasets.php</x:v>
      </x:c>
    </x:row>
    <x:row r="1228" ht="23" customHeight="1">
      <x:c r="A1228" s="2" t="str">
        <x:v>ECU</x:v>
      </x:c>
      <x:c r="B1228" s="2" t="str">
        <x:v>Ecuador (Republic of)</x:v>
      </x:c>
      <x:c r="C1228" s="2" t="str">
        <x:v>WUP_SURFACE</x:v>
      </x:c>
      <x:c r="D1228" s="2" t="n">
        <x:v>2020</x:v>
      </x:c>
      <x:c r="E1228" s="2" t="n">
        <x:v>2025</x:v>
      </x:c>
      <x:c r="F1228" s="17" t="n">
        <x:v>734538215.0500003</x:v>
      </x:c>
      <x:c r="G1228" s="17" t="n">
        <x:v>834254420.9320884</x:v>
      </x:c>
      <x:c r="H1228" s="17" t="n">
        <x:v>932396377.5527977</x:v>
      </x:c>
      <x:c r="I1228" s="17" t="n">
        <x:v>1055485492.95772</x:v>
      </x:c>
      <x:c r="J1228" s="2" t="str">
        <x:v>m2</x:v>
      </x:c>
      <x:c r="K1228" s="15" t="n">
        <x:f>IF(AND(ISNUMBER(F1228),ISNUMBER(G1228),F1228&gt;0),G1228/F1228-1,"n.a.")</x:f>
        <x:v>0.13575359843640045</x:v>
      </x:c>
      <x:c r="L1228" s="15" t="n">
        <x:f>IF(AND(N1228,ISNUMBER(H1228),ISNUMBER(I1228),H1228&gt;0),I1228/H1228-1,"n.a.")</x:f>
        <x:v>0.1320137211686585</x:v>
      </x:c>
      <x:c r="M1228" s="20" t="n">
        <x:f>IF(AND(ISNUMBER(K1228),ISNUMBER(L1228)),100*(K1228-L1228),"n.a.")</x:f>
        <x:v>0.37398772677419423</x:v>
      </x:c>
      <x:c r="N1228" s="13" t="b">
        <x:v>1</x:v>
      </x:c>
      <x:c r="O1228" s="13" t="b">
        <x:v>1</x:v>
      </x:c>
      <x:c r="P1228" s="13" t="b">
        <x:v>0</x:v>
      </x:c>
      <x:c r="Q1228" s="2" t="str">
        <x:v>L1_numeric_partition_qualified_not_national_completeness</x:v>
      </x:c>
      <x:c r="R1228" s="2" t="str">
        <x:v>L1_numeric_partition_qualified_not_national_completeness</x:v>
      </x:c>
      <x:c r="S1228" s="2" t="str">
        <x:v>historical_GHSL_BU_estimate</x:v>
      </x:c>
      <x:c r="T1228" s="2" t="str">
        <x:v>projected_CRISP_BU_surface</x:v>
      </x:c>
      <x:c r="U1228" s="2" t="str">
        <x:v>GFA growth versus source physical quantity growth; constant conversion required for equality</x:v>
      </x:c>
      <x:c r="V1228" s="2" t="str">
        <x:v>Future horizontal path is already a v16 driver; WUP historical surface derives from GHSL</x:v>
      </x:c>
      <x:c r="W1228" s="2" t="str">
        <x:v>https://human-settlement.emergency.copernicus.eu/datasets.php</x:v>
      </x:c>
    </x:row>
    <x:row r="1229" ht="23" customHeight="1">
      <x:c r="A1229" s="2" t="str">
        <x:v>EGY</x:v>
      </x:c>
      <x:c r="B1229" s="2" t="str">
        <x:v>Egypt (Arab Republic of)</x:v>
      </x:c>
      <x:c r="C1229" s="2" t="str">
        <x:v>WUP_SURFACE</x:v>
      </x:c>
      <x:c r="D1229" s="2" t="n">
        <x:v>2020</x:v>
      </x:c>
      <x:c r="E1229" s="2" t="n">
        <x:v>2025</x:v>
      </x:c>
      <x:c r="F1229" s="17" t="n">
        <x:v>2954306535.6</x:v>
      </x:c>
      <x:c r="G1229" s="17" t="n">
        <x:v>3523234185.206668</x:v>
      </x:c>
      <x:c r="H1229" s="17" t="n">
        <x:v>3131484168.105507</x:v>
      </x:c>
      <x:c r="I1229" s="17" t="n">
        <x:v>3715058213.929348</x:v>
      </x:c>
      <x:c r="J1229" s="2" t="str">
        <x:v>m2</x:v>
      </x:c>
      <x:c r="K1229" s="15" t="n">
        <x:f>IF(AND(ISNUMBER(F1229),ISNUMBER(G1229),F1229&gt;0),G1229/F1229-1,"n.a.")</x:f>
        <x:v>0.19257570016887993</x:v>
      </x:c>
      <x:c r="L1229" s="15" t="n">
        <x:f>IF(AND(N1229,ISNUMBER(H1229),ISNUMBER(I1229),H1229&gt;0),I1229/H1229-1,"n.a.")</x:f>
        <x:v>0.18635701619302547</x:v>
      </x:c>
      <x:c r="M1229" s="20" t="n">
        <x:f>IF(AND(ISNUMBER(K1229),ISNUMBER(L1229)),100*(K1229-L1229),"n.a.")</x:f>
        <x:v>0.6218683975854455</x:v>
      </x:c>
      <x:c r="N1229" s="13" t="b">
        <x:v>1</x:v>
      </x:c>
      <x:c r="O1229" s="13" t="b">
        <x:v>1</x:v>
      </x:c>
      <x:c r="P1229" s="13" t="b">
        <x:v>0</x:v>
      </x:c>
      <x:c r="Q1229" s="2" t="str">
        <x:v>L1_numeric_partition_qualified_not_national_completeness</x:v>
      </x:c>
      <x:c r="R1229" s="2" t="str">
        <x:v>L1_numeric_partition_qualified_not_national_completeness</x:v>
      </x:c>
      <x:c r="S1229" s="2" t="str">
        <x:v>historical_GHSL_BU_estimate</x:v>
      </x:c>
      <x:c r="T1229" s="2" t="str">
        <x:v>projected_CRISP_BU_surface</x:v>
      </x:c>
      <x:c r="U1229" s="2" t="str">
        <x:v>GFA growth versus source physical quantity growth; constant conversion required for equality</x:v>
      </x:c>
      <x:c r="V1229" s="2" t="str">
        <x:v>Future horizontal path is already a v16 driver; WUP historical surface derives from GHSL</x:v>
      </x:c>
      <x:c r="W1229" s="2" t="str">
        <x:v>https://human-settlement.emergency.copernicus.eu/datasets.php</x:v>
      </x:c>
    </x:row>
    <x:row r="1230" ht="23" customHeight="1">
      <x:c r="A1230" s="2" t="str">
        <x:v>ERI</x:v>
      </x:c>
      <x:c r="B1230" s="2" t="str">
        <x:v>Eritrea (State of)</x:v>
      </x:c>
      <x:c r="C1230" s="2" t="str">
        <x:v>WUP_SURFACE</x:v>
      </x:c>
      <x:c r="D1230" s="2" t="n">
        <x:v>2020</x:v>
      </x:c>
      <x:c r="E1230" s="2" t="n">
        <x:v>2025</x:v>
      </x:c>
      <x:c r="F1230" s="17" t="n">
        <x:v>45298098.329999976</x:v>
      </x:c>
      <x:c r="G1230" s="17" t="n">
        <x:v>54516313.03012106</x:v>
      </x:c>
      <x:c r="H1230" s="17" t="n">
        <x:v>106156469.93711676</x:v>
      </x:c>
      <x:c r="I1230" s="17" t="n">
        <x:v>127299421.57070695</x:v>
      </x:c>
      <x:c r="J1230" s="2" t="str">
        <x:v>m2</x:v>
      </x:c>
      <x:c r="K1230" s="15" t="n">
        <x:f>IF(AND(ISNUMBER(F1230),ISNUMBER(G1230),F1230&gt;0),G1230/F1230-1,"n.a.")</x:f>
        <x:v>0.2035011411067571</x:v>
      </x:c>
      <x:c r="L1230" s="15" t="n">
        <x:f>IF(AND(N1230,ISNUMBER(H1230),ISNUMBER(I1230),H1230&gt;0),I1230/H1230-1,"n.a.")</x:f>
        <x:v>0.19916780998948536</x:v>
      </x:c>
      <x:c r="M1230" s="20" t="n">
        <x:f>IF(AND(ISNUMBER(K1230),ISNUMBER(L1230)),100*(K1230-L1230),"n.a.")</x:f>
        <x:v>0.43333311172717437</x:v>
      </x:c>
      <x:c r="N1230" s="13" t="b">
        <x:v>1</x:v>
      </x:c>
      <x:c r="O1230" s="13" t="b">
        <x:v>1</x:v>
      </x:c>
      <x:c r="P1230" s="13" t="b">
        <x:v>0</x:v>
      </x:c>
      <x:c r="Q1230" s="2" t="str">
        <x:v>L1_numeric_partition_qualified_not_national_completeness</x:v>
      </x:c>
      <x:c r="R1230" s="2" t="str">
        <x:v>L1_numeric_partition_qualified_not_national_completeness</x:v>
      </x:c>
      <x:c r="S1230" s="2" t="str">
        <x:v>historical_GHSL_BU_estimate</x:v>
      </x:c>
      <x:c r="T1230" s="2" t="str">
        <x:v>projected_CRISP_BU_surface</x:v>
      </x:c>
      <x:c r="U1230" s="2" t="str">
        <x:v>GFA growth versus source physical quantity growth; constant conversion required for equality</x:v>
      </x:c>
      <x:c r="V1230" s="2" t="str">
        <x:v>Future horizontal path is already a v16 driver; WUP historical surface derives from GHSL</x:v>
      </x:c>
      <x:c r="W1230" s="2" t="str">
        <x:v>https://human-settlement.emergency.copernicus.eu/datasets.php</x:v>
      </x:c>
    </x:row>
    <x:row r="1231" ht="23" customHeight="1">
      <x:c r="A1231" s="2" t="str">
        <x:v>ESP</x:v>
      </x:c>
      <x:c r="B1231" s="2" t="str">
        <x:v>Spain (Kingdom of)</x:v>
      </x:c>
      <x:c r="C1231" s="2" t="str">
        <x:v>WUP_SURFACE</x:v>
      </x:c>
      <x:c r="D1231" s="2" t="n">
        <x:v>2020</x:v>
      </x:c>
      <x:c r="E1231" s="2" t="n">
        <x:v>2025</x:v>
      </x:c>
      <x:c r="F1231" s="17" t="n">
        <x:v>3693503432.029994</x:v>
      </x:c>
      <x:c r="G1231" s="17" t="n">
        <x:v>4244052245.030698</x:v>
      </x:c>
      <x:c r="H1231" s="17" t="n">
        <x:v>4436720089.4513445</x:v>
      </x:c>
      <x:c r="I1231" s="17" t="n">
        <x:v>5077423247.505318</x:v>
      </x:c>
      <x:c r="J1231" s="2" t="str">
        <x:v>m2</x:v>
      </x:c>
      <x:c r="K1231" s="15" t="n">
        <x:f>IF(AND(ISNUMBER(F1231),ISNUMBER(G1231),F1231&gt;0),G1231/F1231-1,"n.a.")</x:f>
        <x:v>0.14905869809849226</x:v>
      </x:c>
      <x:c r="L1231" s="15" t="n">
        <x:f>IF(AND(N1231,ISNUMBER(H1231),ISNUMBER(I1231),H1231&gt;0),I1231/H1231-1,"n.a.")</x:f>
        <x:v>0.1444091908293461</x:v>
      </x:c>
      <x:c r="M1231" s="20" t="n">
        <x:f>IF(AND(ISNUMBER(K1231),ISNUMBER(L1231)),100*(K1231-L1231),"n.a.")</x:f>
        <x:v>0.4649507269146147</x:v>
      </x:c>
      <x:c r="N1231" s="13" t="b">
        <x:v>1</x:v>
      </x:c>
      <x:c r="O1231" s="13" t="b">
        <x:v>1</x:v>
      </x:c>
      <x:c r="P1231" s="13" t="b">
        <x:v>0</x:v>
      </x:c>
      <x:c r="Q1231" s="2" t="str">
        <x:v>L1_numeric_partition_qualified_not_national_completeness</x:v>
      </x:c>
      <x:c r="R1231" s="2" t="str">
        <x:v>L1_numeric_partition_qualified_not_national_completeness</x:v>
      </x:c>
      <x:c r="S1231" s="2" t="str">
        <x:v>historical_GHSL_BU_estimate</x:v>
      </x:c>
      <x:c r="T1231" s="2" t="str">
        <x:v>projected_CRISP_BU_surface</x:v>
      </x:c>
      <x:c r="U1231" s="2" t="str">
        <x:v>GFA growth versus source physical quantity growth; constant conversion required for equality</x:v>
      </x:c>
      <x:c r="V1231" s="2" t="str">
        <x:v>Future horizontal path is already a v16 driver; WUP historical surface derives from GHSL</x:v>
      </x:c>
      <x:c r="W1231" s="2" t="str">
        <x:v>https://human-settlement.emergency.copernicus.eu/datasets.php</x:v>
      </x:c>
    </x:row>
    <x:row r="1232" ht="23" customHeight="1">
      <x:c r="A1232" s="2" t="str">
        <x:v>EST</x:v>
      </x:c>
      <x:c r="B1232" s="2" t="str">
        <x:v>Estonia (Republic of)</x:v>
      </x:c>
      <x:c r="C1232" s="2" t="str">
        <x:v>WUP_SURFACE</x:v>
      </x:c>
      <x:c r="D1232" s="2" t="n">
        <x:v>2020</x:v>
      </x:c>
      <x:c r="E1232" s="2" t="n">
        <x:v>2025</x:v>
      </x:c>
      <x:c r="F1232" s="17" t="n">
        <x:v>113094705.3700001</x:v>
      </x:c>
      <x:c r="G1232" s="17" t="n">
        <x:v>124527082.40701729</x:v>
      </x:c>
      <x:c r="H1232" s="17" t="n">
        <x:v>192976209.96352896</x:v>
      </x:c>
      <x:c r="I1232" s="17" t="n">
        <x:v>211865927.4420205</x:v>
      </x:c>
      <x:c r="J1232" s="2" t="str">
        <x:v>m2</x:v>
      </x:c>
      <x:c r="K1232" s="15" t="n">
        <x:f>IF(AND(ISNUMBER(F1232),ISNUMBER(G1232),F1232&gt;0),G1232/F1232-1,"n.a.")</x:f>
        <x:v>0.1010867573297538</x:v>
      </x:c>
      <x:c r="L1232" s="15" t="n">
        <x:f>IF(AND(N1232,ISNUMBER(H1232),ISNUMBER(I1232),H1232&gt;0),I1232/H1232-1,"n.a.")</x:f>
        <x:v>0.09788624971990889</x:v>
      </x:c>
      <x:c r="M1232" s="20" t="n">
        <x:f>IF(AND(ISNUMBER(K1232),ISNUMBER(L1232)),100*(K1232-L1232),"n.a.")</x:f>
        <x:v>0.3200507609844916</x:v>
      </x:c>
      <x:c r="N1232" s="13" t="b">
        <x:v>1</x:v>
      </x:c>
      <x:c r="O1232" s="13" t="b">
        <x:v>1</x:v>
      </x:c>
      <x:c r="P1232" s="13" t="b">
        <x:v>0</x:v>
      </x:c>
      <x:c r="Q1232" s="2" t="str">
        <x:v>L1_numeric_partition_qualified_not_national_completeness</x:v>
      </x:c>
      <x:c r="R1232" s="2" t="str">
        <x:v>L1_numeric_partition_qualified_not_national_completeness</x:v>
      </x:c>
      <x:c r="S1232" s="2" t="str">
        <x:v>historical_GHSL_BU_estimate</x:v>
      </x:c>
      <x:c r="T1232" s="2" t="str">
        <x:v>projected_CRISP_BU_surface</x:v>
      </x:c>
      <x:c r="U1232" s="2" t="str">
        <x:v>GFA growth versus source physical quantity growth; constant conversion required for equality</x:v>
      </x:c>
      <x:c r="V1232" s="2" t="str">
        <x:v>Future horizontal path is already a v16 driver; WUP historical surface derives from GHSL</x:v>
      </x:c>
      <x:c r="W1232" s="2" t="str">
        <x:v>https://human-settlement.emergency.copernicus.eu/datasets.php</x:v>
      </x:c>
    </x:row>
    <x:row r="1233" ht="23" customHeight="1">
      <x:c r="A1233" s="2" t="str">
        <x:v>ETH</x:v>
      </x:c>
      <x:c r="B1233" s="2" t="str">
        <x:v>Ethiopia (Federal Democratic Republic of)</x:v>
      </x:c>
      <x:c r="C1233" s="2" t="str">
        <x:v>WUP_SURFACE</x:v>
      </x:c>
      <x:c r="D1233" s="2" t="n">
        <x:v>2020</x:v>
      </x:c>
      <x:c r="E1233" s="2" t="n">
        <x:v>2025</x:v>
      </x:c>
      <x:c r="F1233" s="17" t="n">
        <x:v>1660821510.7100024</x:v>
      </x:c>
      <x:c r="G1233" s="17" t="n">
        <x:v>2062796327.872624</x:v>
      </x:c>
      <x:c r="H1233" s="17" t="n">
        <x:v>2544618131.682302</x:v>
      </x:c>
      <x:c r="I1233" s="17" t="n">
        <x:v>3150546310.8507843</x:v>
      </x:c>
      <x:c r="J1233" s="2" t="str">
        <x:v>m2</x:v>
      </x:c>
      <x:c r="K1233" s="15" t="n">
        <x:f>IF(AND(ISNUMBER(F1233),ISNUMBER(G1233),F1233&gt;0),G1233/F1233-1,"n.a.")</x:f>
        <x:v>0.2420337252199829</x:v>
      </x:c>
      <x:c r="L1233" s="15" t="n">
        <x:f>IF(AND(N1233,ISNUMBER(H1233),ISNUMBER(I1233),H1233&gt;0),I1233/H1233-1,"n.a.")</x:f>
        <x:v>0.23812145784243466</x:v>
      </x:c>
      <x:c r="M1233" s="20" t="n">
        <x:f>IF(AND(ISNUMBER(K1233),ISNUMBER(L1233)),100*(K1233-L1233),"n.a.")</x:f>
        <x:v>0.39122673775482397</x:v>
      </x:c>
      <x:c r="N1233" s="13" t="b">
        <x:v>1</x:v>
      </x:c>
      <x:c r="O1233" s="13" t="b">
        <x:v>1</x:v>
      </x:c>
      <x:c r="P1233" s="13" t="b">
        <x:v>0</x:v>
      </x:c>
      <x:c r="Q1233" s="2" t="str">
        <x:v>L1_numeric_partition_qualified_not_national_completeness</x:v>
      </x:c>
      <x:c r="R1233" s="2" t="str">
        <x:v>L1_numeric_partition_qualified_not_national_completeness</x:v>
      </x:c>
      <x:c r="S1233" s="2" t="str">
        <x:v>historical_GHSL_BU_estimate</x:v>
      </x:c>
      <x:c r="T1233" s="2" t="str">
        <x:v>projected_CRISP_BU_surface</x:v>
      </x:c>
      <x:c r="U1233" s="2" t="str">
        <x:v>GFA growth versus source physical quantity growth; constant conversion required for equality</x:v>
      </x:c>
      <x:c r="V1233" s="2" t="str">
        <x:v>Future horizontal path is already a v16 driver; WUP historical surface derives from GHSL</x:v>
      </x:c>
      <x:c r="W1233" s="2" t="str">
        <x:v>https://human-settlement.emergency.copernicus.eu/datasets.php</x:v>
      </x:c>
    </x:row>
    <x:row r="1234" ht="23" customHeight="1">
      <x:c r="A1234" s="2" t="str">
        <x:v>FIN</x:v>
      </x:c>
      <x:c r="B1234" s="2" t="str">
        <x:v>Finland (Republic of)</x:v>
      </x:c>
      <x:c r="C1234" s="2" t="str">
        <x:v>WUP_SURFACE</x:v>
      </x:c>
      <x:c r="D1234" s="2" t="n">
        <x:v>2020</x:v>
      </x:c>
      <x:c r="E1234" s="2" t="n">
        <x:v>2025</x:v>
      </x:c>
      <x:c r="F1234" s="17" t="n">
        <x:v>615866742.3399993</x:v>
      </x:c>
      <x:c r="G1234" s="17" t="n">
        <x:v>737444296.1399152</x:v>
      </x:c>
      <x:c r="H1234" s="17" t="n">
        <x:v>542868462.1400499</x:v>
      </x:c>
      <x:c r="I1234" s="17" t="n">
        <x:v>648316559.7666351</x:v>
      </x:c>
      <x:c r="J1234" s="2" t="str">
        <x:v>m2</x:v>
      </x:c>
      <x:c r="K1234" s="15" t="n">
        <x:f>IF(AND(ISNUMBER(F1234),ISNUMBER(G1234),F1234&gt;0),G1234/F1234-1,"n.a.")</x:f>
        <x:v>0.19740886370642352</x:v>
      </x:c>
      <x:c r="L1234" s="15" t="n">
        <x:f>IF(AND(N1234,ISNUMBER(H1234),ISNUMBER(I1234),H1234&gt;0),I1234/H1234-1,"n.a.")</x:f>
        <x:v>0.19424244541835534</x:v>
      </x:c>
      <x:c r="M1234" s="20" t="n">
        <x:f>IF(AND(ISNUMBER(K1234),ISNUMBER(L1234)),100*(K1234-L1234),"n.a.")</x:f>
        <x:v>0.31664182880681846</x:v>
      </x:c>
      <x:c r="N1234" s="13" t="b">
        <x:v>1</x:v>
      </x:c>
      <x:c r="O1234" s="13" t="b">
        <x:v>1</x:v>
      </x:c>
      <x:c r="P1234" s="13" t="b">
        <x:v>0</x:v>
      </x:c>
      <x:c r="Q1234" s="2" t="str">
        <x:v>L1_numeric_partition_qualified_not_national_completeness</x:v>
      </x:c>
      <x:c r="R1234" s="2" t="str">
        <x:v>L1_numeric_partition_qualified_not_national_completeness</x:v>
      </x:c>
      <x:c r="S1234" s="2" t="str">
        <x:v>historical_GHSL_BU_estimate</x:v>
      </x:c>
      <x:c r="T1234" s="2" t="str">
        <x:v>projected_CRISP_BU_surface</x:v>
      </x:c>
      <x:c r="U1234" s="2" t="str">
        <x:v>GFA growth versus source physical quantity growth; constant conversion required for equality</x:v>
      </x:c>
      <x:c r="V1234" s="2" t="str">
        <x:v>Future horizontal path is already a v16 driver; WUP historical surface derives from GHSL</x:v>
      </x:c>
      <x:c r="W1234" s="2" t="str">
        <x:v>https://human-settlement.emergency.copernicus.eu/datasets.php</x:v>
      </x:c>
    </x:row>
    <x:row r="1235" ht="23" customHeight="1">
      <x:c r="A1235" s="2" t="str">
        <x:v>FJI</x:v>
      </x:c>
      <x:c r="B1235" s="2" t="str">
        <x:v>Fiji (Republic of)</x:v>
      </x:c>
      <x:c r="C1235" s="2" t="str">
        <x:v>WUP_SURFACE</x:v>
      </x:c>
      <x:c r="D1235" s="2" t="n">
        <x:v>2020</x:v>
      </x:c>
      <x:c r="E1235" s="2" t="n">
        <x:v>2025</x:v>
      </x:c>
      <x:c r="F1235" s="17" t="n">
        <x:v>37460168.12</x:v>
      </x:c>
      <x:c r="G1235" s="17" t="n">
        <x:v>40268905.06854536</x:v>
      </x:c>
      <x:c r="H1235" s="17" t="n">
        <x:v>86259115.95521654</x:v>
      </x:c>
      <x:c r="I1235" s="17" t="n">
        <x:v>92660858.50966989</x:v>
      </x:c>
      <x:c r="J1235" s="2" t="str">
        <x:v>m2</x:v>
      </x:c>
      <x:c r="K1235" s="15" t="n">
        <x:f>IF(AND(ISNUMBER(F1235),ISNUMBER(G1235),F1235&gt;0),G1235/F1235-1,"n.a.")</x:f>
        <x:v>0.07497929372734902</x:v>
      </x:c>
      <x:c r="L1235" s="15" t="n">
        <x:f>IF(AND(N1235,ISNUMBER(H1235),ISNUMBER(I1235),H1235&gt;0),I1235/H1235-1,"n.a.")</x:f>
        <x:v>0.0742152581041633</x:v>
      </x:c>
      <x:c r="M1235" s="20" t="n">
        <x:f>IF(AND(ISNUMBER(K1235),ISNUMBER(L1235)),100*(K1235-L1235),"n.a.")</x:f>
        <x:v>0.07640356231857215</x:v>
      </x:c>
      <x:c r="N1235" s="13" t="b">
        <x:v>1</x:v>
      </x:c>
      <x:c r="O1235" s="13" t="b">
        <x:v>1</x:v>
      </x:c>
      <x:c r="P1235" s="13" t="b">
        <x:v>0</x:v>
      </x:c>
      <x:c r="Q1235" s="2" t="str">
        <x:v>L1_numeric_partition_qualified_not_national_completeness</x:v>
      </x:c>
      <x:c r="R1235" s="2" t="str">
        <x:v>L1_numeric_partition_qualified_not_national_completeness</x:v>
      </x:c>
      <x:c r="S1235" s="2" t="str">
        <x:v>historical_GHSL_BU_estimate</x:v>
      </x:c>
      <x:c r="T1235" s="2" t="str">
        <x:v>projected_CRISP_BU_surface</x:v>
      </x:c>
      <x:c r="U1235" s="2" t="str">
        <x:v>GFA growth versus source physical quantity growth; constant conversion required for equality</x:v>
      </x:c>
      <x:c r="V1235" s="2" t="str">
        <x:v>Future horizontal path is already a v16 driver; WUP historical surface derives from GHSL</x:v>
      </x:c>
      <x:c r="W1235" s="2" t="str">
        <x:v>https://human-settlement.emergency.copernicus.eu/datasets.php</x:v>
      </x:c>
    </x:row>
    <x:row r="1236" ht="23" customHeight="1">
      <x:c r="A1236" s="2" t="str">
        <x:v>FRA</x:v>
      </x:c>
      <x:c r="B1236" s="2" t="str">
        <x:v>France (French Republic)</x:v>
      </x:c>
      <x:c r="C1236" s="2" t="str">
        <x:v>WUP_SURFACE</x:v>
      </x:c>
      <x:c r="D1236" s="2" t="n">
        <x:v>2020</x:v>
      </x:c>
      <x:c r="E1236" s="2" t="n">
        <x:v>2025</x:v>
      </x:c>
      <x:c r="F1236" s="17" t="n">
        <x:v>6074526882.680001</x:v>
      </x:c>
      <x:c r="G1236" s="17" t="n">
        <x:v>6596384447.678017</x:v>
      </x:c>
      <x:c r="H1236" s="17" t="n">
        <x:v>9914338336.45296</x:v>
      </x:c>
      <x:c r="I1236" s="17" t="n">
        <x:v>10735700482.440115</x:v>
      </x:c>
      <x:c r="J1236" s="2" t="str">
        <x:v>m2</x:v>
      </x:c>
      <x:c r="K1236" s="15" t="n">
        <x:f>IF(AND(ISNUMBER(F1236),ISNUMBER(G1236),F1236&gt;0),G1236/F1236-1,"n.a.")</x:f>
        <x:v>0.08590917038921364</x:v>
      </x:c>
      <x:c r="L1236" s="15" t="n">
        <x:f>IF(AND(N1236,ISNUMBER(H1236),ISNUMBER(I1236),H1236&gt;0),I1236/H1236-1,"n.a.")</x:f>
        <x:v>0.08284588624206801</x:v>
      </x:c>
      <x:c r="M1236" s="20" t="n">
        <x:f>IF(AND(ISNUMBER(K1236),ISNUMBER(L1236)),100*(K1236-L1236),"n.a.")</x:f>
        <x:v>0.30632841471456285</x:v>
      </x:c>
      <x:c r="N1236" s="13" t="b">
        <x:v>1</x:v>
      </x:c>
      <x:c r="O1236" s="13" t="b">
        <x:v>1</x:v>
      </x:c>
      <x:c r="P1236" s="13" t="b">
        <x:v>0</x:v>
      </x:c>
      <x:c r="Q1236" s="2" t="str">
        <x:v>L1_numeric_partition_qualified_not_national_completeness</x:v>
      </x:c>
      <x:c r="R1236" s="2" t="str">
        <x:v>L1_numeric_partition_qualified_not_national_completeness</x:v>
      </x:c>
      <x:c r="S1236" s="2" t="str">
        <x:v>historical_GHSL_BU_estimate</x:v>
      </x:c>
      <x:c r="T1236" s="2" t="str">
        <x:v>projected_CRISP_BU_surface</x:v>
      </x:c>
      <x:c r="U1236" s="2" t="str">
        <x:v>GFA growth versus source physical quantity growth; constant conversion required for equality</x:v>
      </x:c>
      <x:c r="V1236" s="2" t="str">
        <x:v>Future horizontal path is already a v16 driver; WUP historical surface derives from GHSL</x:v>
      </x:c>
      <x:c r="W1236" s="2" t="str">
        <x:v>https://human-settlement.emergency.copernicus.eu/datasets.php</x:v>
      </x:c>
    </x:row>
    <x:row r="1237" ht="23" customHeight="1">
      <x:c r="A1237" s="2" t="str">
        <x:v>FSM</x:v>
      </x:c>
      <x:c r="B1237" s="2" t="str">
        <x:v>Micronesia (Federated States of)</x:v>
      </x:c>
      <x:c r="C1237" s="2" t="str">
        <x:v>WUP_SURFACE</x:v>
      </x:c>
      <x:c r="D1237" s="2" t="n">
        <x:v>2020</x:v>
      </x:c>
      <x:c r="E1237" s="2" t="n">
        <x:v>2025</x:v>
      </x:c>
      <x:c r="F1237" s="17" t="n">
        <x:v>2177822.609999999</x:v>
      </x:c>
      <x:c r="G1237" s="17" t="n">
        <x:v>2426457.2826028005</x:v>
      </x:c>
      <x:c r="H1237" s="17" t="n">
        <x:v>5493713.999648435</x:v>
      </x:c>
      <x:c r="I1237" s="17" t="n">
        <x:v>6108601.074731268</x:v>
      </x:c>
      <x:c r="J1237" s="2" t="str">
        <x:v>m2</x:v>
      </x:c>
      <x:c r="K1237" s="15" t="n">
        <x:f>IF(AND(ISNUMBER(F1237),ISNUMBER(G1237),F1237&gt;0),G1237/F1237-1,"n.a.")</x:f>
        <x:v>0.11416663205769617</x:v>
      </x:c>
      <x:c r="L1237" s="15" t="n">
        <x:f>IF(AND(N1237,ISNUMBER(H1237),ISNUMBER(I1237),H1237&gt;0),I1237/H1237-1,"n.a.")</x:f>
        <x:v>0.11192557077455834</x:v>
      </x:c>
      <x:c r="M1237" s="20" t="n">
        <x:f>IF(AND(ISNUMBER(K1237),ISNUMBER(L1237)),100*(K1237-L1237),"n.a.")</x:f>
        <x:v>0.22410612831378351</x:v>
      </x:c>
      <x:c r="N1237" s="13" t="b">
        <x:v>1</x:v>
      </x:c>
      <x:c r="O1237" s="13" t="b">
        <x:v>1</x:v>
      </x:c>
      <x:c r="P1237" s="13" t="b">
        <x:v>0</x:v>
      </x:c>
      <x:c r="Q1237" s="2" t="str">
        <x:v>L1_numeric_partition_qualified_not_national_completeness</x:v>
      </x:c>
      <x:c r="R1237" s="2" t="str">
        <x:v>L1_numeric_partition_qualified_not_national_completeness</x:v>
      </x:c>
      <x:c r="S1237" s="2" t="str">
        <x:v>historical_GHSL_BU_estimate</x:v>
      </x:c>
      <x:c r="T1237" s="2" t="str">
        <x:v>projected_CRISP_BU_surface</x:v>
      </x:c>
      <x:c r="U1237" s="2" t="str">
        <x:v>GFA growth versus source physical quantity growth; constant conversion required for equality</x:v>
      </x:c>
      <x:c r="V1237" s="2" t="str">
        <x:v>Future horizontal path is already a v16 driver; WUP historical surface derives from GHSL</x:v>
      </x:c>
      <x:c r="W1237" s="2" t="str">
        <x:v>https://human-settlement.emergency.copernicus.eu/datasets.php</x:v>
      </x:c>
    </x:row>
    <x:row r="1238" ht="23" customHeight="1">
      <x:c r="A1238" s="2" t="str">
        <x:v>GAB</x:v>
      </x:c>
      <x:c r="B1238" s="2" t="str">
        <x:v>Gabon (Gabonese Republic)</x:v>
      </x:c>
      <x:c r="C1238" s="2" t="str">
        <x:v>WUP_SURFACE</x:v>
      </x:c>
      <x:c r="D1238" s="2" t="n">
        <x:v>2020</x:v>
      </x:c>
      <x:c r="E1238" s="2" t="n">
        <x:v>2025</x:v>
      </x:c>
      <x:c r="F1238" s="17" t="n">
        <x:v>73743642.55999996</x:v>
      </x:c>
      <x:c r="G1238" s="17" t="n">
        <x:v>84908592.28620526</x:v>
      </x:c>
      <x:c r="H1238" s="17" t="n">
        <x:v>145734357.92939937</x:v>
      </x:c>
      <x:c r="I1238" s="17" t="n">
        <x:v>167125787.39702043</x:v>
      </x:c>
      <x:c r="J1238" s="2" t="str">
        <x:v>m2</x:v>
      </x:c>
      <x:c r="K1238" s="15" t="n">
        <x:f>IF(AND(ISNUMBER(F1238),ISNUMBER(G1238),F1238&gt;0),G1238/F1238-1,"n.a.")</x:f>
        <x:v>0.15140220008960337</x:v>
      </x:c>
      <x:c r="L1238" s="15" t="n">
        <x:f>IF(AND(N1238,ISNUMBER(H1238),ISNUMBER(I1238),H1238&gt;0),I1238/H1238-1,"n.a.")</x:f>
        <x:v>0.146783708190378</x:v>
      </x:c>
      <x:c r="M1238" s="20" t="n">
        <x:f>IF(AND(ISNUMBER(K1238),ISNUMBER(L1238)),100*(K1238-L1238),"n.a.")</x:f>
        <x:v>0.4618491899225363</x:v>
      </x:c>
      <x:c r="N1238" s="13" t="b">
        <x:v>1</x:v>
      </x:c>
      <x:c r="O1238" s="13" t="b">
        <x:v>1</x:v>
      </x:c>
      <x:c r="P1238" s="13" t="b">
        <x:v>0</x:v>
      </x:c>
      <x:c r="Q1238" s="2" t="str">
        <x:v>L1_numeric_partition_qualified_not_national_completeness</x:v>
      </x:c>
      <x:c r="R1238" s="2" t="str">
        <x:v>L1_numeric_partition_qualified_not_national_completeness</x:v>
      </x:c>
      <x:c r="S1238" s="2" t="str">
        <x:v>historical_GHSL_BU_estimate</x:v>
      </x:c>
      <x:c r="T1238" s="2" t="str">
        <x:v>projected_CRISP_BU_surface</x:v>
      </x:c>
      <x:c r="U1238" s="2" t="str">
        <x:v>GFA growth versus source physical quantity growth; constant conversion required for equality</x:v>
      </x:c>
      <x:c r="V1238" s="2" t="str">
        <x:v>Future horizontal path is already a v16 driver; WUP historical surface derives from GHSL</x:v>
      </x:c>
      <x:c r="W1238" s="2" t="str">
        <x:v>https://human-settlement.emergency.copernicus.eu/datasets.php</x:v>
      </x:c>
    </x:row>
    <x:row r="1239" ht="23" customHeight="1">
      <x:c r="A1239" s="2" t="str">
        <x:v>GBR</x:v>
      </x:c>
      <x:c r="B1239" s="2" t="str">
        <x:v>United Kingdom of Great Britain and Northern Ireland</x:v>
      </x:c>
      <x:c r="C1239" s="2" t="str">
        <x:v>WUP_SURFACE</x:v>
      </x:c>
      <x:c r="D1239" s="2" t="n">
        <x:v>2020</x:v>
      </x:c>
      <x:c r="E1239" s="2" t="n">
        <x:v>2025</x:v>
      </x:c>
      <x:c r="F1239" s="17" t="n">
        <x:v>3418464510.0900006</x:v>
      </x:c>
      <x:c r="G1239" s="17" t="n">
        <x:v>3906781136.354965</x:v>
      </x:c>
      <x:c r="H1239" s="17" t="n">
        <x:v>5575801402.085568</x:v>
      </x:c>
      <x:c r="I1239" s="17" t="n">
        <x:v>6352815010.805704</x:v>
      </x:c>
      <x:c r="J1239" s="2" t="str">
        <x:v>m2</x:v>
      </x:c>
      <x:c r="K1239" s="15" t="n">
        <x:f>IF(AND(ISNUMBER(F1239),ISNUMBER(G1239),F1239&gt;0),G1239/F1239-1,"n.a.")</x:f>
        <x:v>0.14284677369726695</x:v>
      </x:c>
      <x:c r="L1239" s="15" t="n">
        <x:f>IF(AND(N1239,ISNUMBER(H1239),ISNUMBER(I1239),H1239&gt;0),I1239/H1239-1,"n.a.")</x:f>
        <x:v>0.13935460621490248</x:v>
      </x:c>
      <x:c r="M1239" s="20" t="n">
        <x:f>IF(AND(ISNUMBER(K1239),ISNUMBER(L1239)),100*(K1239-L1239),"n.a.")</x:f>
        <x:v>0.3492167482364472</x:v>
      </x:c>
      <x:c r="N1239" s="13" t="b">
        <x:v>1</x:v>
      </x:c>
      <x:c r="O1239" s="13" t="b">
        <x:v>1</x:v>
      </x:c>
      <x:c r="P1239" s="13" t="b">
        <x:v>0</x:v>
      </x:c>
      <x:c r="Q1239" s="2" t="str">
        <x:v>L1_numeric_partition_qualified_not_national_completeness</x:v>
      </x:c>
      <x:c r="R1239" s="2" t="str">
        <x:v>L1_numeric_partition_qualified_not_national_completeness</x:v>
      </x:c>
      <x:c r="S1239" s="2" t="str">
        <x:v>historical_GHSL_BU_estimate</x:v>
      </x:c>
      <x:c r="T1239" s="2" t="str">
        <x:v>projected_CRISP_BU_surface</x:v>
      </x:c>
      <x:c r="U1239" s="2" t="str">
        <x:v>GFA growth versus source physical quantity growth; constant conversion required for equality</x:v>
      </x:c>
      <x:c r="V1239" s="2" t="str">
        <x:v>Future horizontal path is already a v16 driver; WUP historical surface derives from GHSL</x:v>
      </x:c>
      <x:c r="W1239" s="2" t="str">
        <x:v>https://human-settlement.emergency.copernicus.eu/datasets.php</x:v>
      </x:c>
    </x:row>
    <x:row r="1240" ht="23" customHeight="1">
      <x:c r="A1240" s="2" t="str">
        <x:v>GEO</x:v>
      </x:c>
      <x:c r="B1240" s="2" t="str">
        <x:v>Georgia</x:v>
      </x:c>
      <x:c r="C1240" s="2" t="str">
        <x:v>WUP_SURFACE</x:v>
      </x:c>
      <x:c r="D1240" s="2" t="n">
        <x:v>2020</x:v>
      </x:c>
      <x:c r="E1240" s="2" t="n">
        <x:v>2025</x:v>
      </x:c>
      <x:c r="F1240" s="17" t="n">
        <x:v>242256071.04000017</x:v>
      </x:c>
      <x:c r="G1240" s="17" t="n">
        <x:v>251691249.25501585</x:v>
      </x:c>
      <x:c r="H1240" s="17" t="n">
        <x:v>495299797.9398166</x:v>
      </x:c>
      <x:c r="I1240" s="17" t="n">
        <x:v>513742055.4060151</x:v>
      </x:c>
      <x:c r="J1240" s="2" t="str">
        <x:v>m2</x:v>
      </x:c>
      <x:c r="K1240" s="15" t="n">
        <x:f>IF(AND(ISNUMBER(F1240),ISNUMBER(G1240),F1240&gt;0),G1240/F1240-1,"n.a.")</x:f>
        <x:v>0.03894712803072653</x:v>
      </x:c>
      <x:c r="L1240" s="15" t="n">
        <x:f>IF(AND(N1240,ISNUMBER(H1240),ISNUMBER(I1240),H1240&gt;0),I1240/H1240-1,"n.a.")</x:f>
        <x:v>0.03723453460491699</x:v>
      </x:c>
      <x:c r="M1240" s="20" t="n">
        <x:f>IF(AND(ISNUMBER(K1240),ISNUMBER(L1240)),100*(K1240-L1240),"n.a.")</x:f>
        <x:v>0.17125934258095388</x:v>
      </x:c>
      <x:c r="N1240" s="13" t="b">
        <x:v>1</x:v>
      </x:c>
      <x:c r="O1240" s="13" t="b">
        <x:v>1</x:v>
      </x:c>
      <x:c r="P1240" s="13" t="b">
        <x:v>0</x:v>
      </x:c>
      <x:c r="Q1240" s="2" t="str">
        <x:v>L1_numeric_partition_qualified_not_national_completeness</x:v>
      </x:c>
      <x:c r="R1240" s="2" t="str">
        <x:v>L1_numeric_partition_qualified_not_national_completeness</x:v>
      </x:c>
      <x:c r="S1240" s="2" t="str">
        <x:v>historical_GHSL_BU_estimate</x:v>
      </x:c>
      <x:c r="T1240" s="2" t="str">
        <x:v>projected_CRISP_BU_surface</x:v>
      </x:c>
      <x:c r="U1240" s="2" t="str">
        <x:v>GFA growth versus source physical quantity growth; constant conversion required for equality</x:v>
      </x:c>
      <x:c r="V1240" s="2" t="str">
        <x:v>Future horizontal path is already a v16 driver; WUP historical surface derives from GHSL</x:v>
      </x:c>
      <x:c r="W1240" s="2" t="str">
        <x:v>https://human-settlement.emergency.copernicus.eu/datasets.php</x:v>
      </x:c>
    </x:row>
    <x:row r="1241" ht="23" customHeight="1">
      <x:c r="A1241" s="2" t="str">
        <x:v>GHA</x:v>
      </x:c>
      <x:c r="B1241" s="2" t="str">
        <x:v>Ghana (Republic of)</x:v>
      </x:c>
      <x:c r="C1241" s="2" t="str">
        <x:v>WUP_SURFACE</x:v>
      </x:c>
      <x:c r="D1241" s="2" t="n">
        <x:v>2020</x:v>
      </x:c>
      <x:c r="E1241" s="2" t="n">
        <x:v>2025</x:v>
      </x:c>
      <x:c r="F1241" s="17" t="n">
        <x:v>958424622.62</x:v>
      </x:c>
      <x:c r="G1241" s="17" t="n">
        <x:v>1085143259.8974173</x:v>
      </x:c>
      <x:c r="H1241" s="17" t="n">
        <x:v>1930651519.0645432</x:v>
      </x:c>
      <x:c r="I1241" s="17" t="n">
        <x:v>2177869886.1828623</x:v>
      </x:c>
      <x:c r="J1241" s="2" t="str">
        <x:v>m2</x:v>
      </x:c>
      <x:c r="K1241" s="15" t="n">
        <x:f>IF(AND(ISNUMBER(F1241),ISNUMBER(G1241),F1241&gt;0),G1241/F1241-1,"n.a.")</x:f>
        <x:v>0.13221554860622486</x:v>
      </x:c>
      <x:c r="L1241" s="15" t="n">
        <x:f>IF(AND(N1241,ISNUMBER(H1241),ISNUMBER(I1241),H1241&gt;0),I1241/H1241-1,"n.a.")</x:f>
        <x:v>0.1280491920354967</x:v>
      </x:c>
      <x:c r="M1241" s="20" t="n">
        <x:f>IF(AND(ISNUMBER(K1241),ISNUMBER(L1241)),100*(K1241-L1241),"n.a.")</x:f>
        <x:v>0.4166356570728169</x:v>
      </x:c>
      <x:c r="N1241" s="13" t="b">
        <x:v>1</x:v>
      </x:c>
      <x:c r="O1241" s="13" t="b">
        <x:v>1</x:v>
      </x:c>
      <x:c r="P1241" s="13" t="b">
        <x:v>0</x:v>
      </x:c>
      <x:c r="Q1241" s="2" t="str">
        <x:v>L1_numeric_partition_qualified_not_national_completeness</x:v>
      </x:c>
      <x:c r="R1241" s="2" t="str">
        <x:v>L1_numeric_partition_qualified_not_national_completeness</x:v>
      </x:c>
      <x:c r="S1241" s="2" t="str">
        <x:v>historical_GHSL_BU_estimate</x:v>
      </x:c>
      <x:c r="T1241" s="2" t="str">
        <x:v>projected_CRISP_BU_surface</x:v>
      </x:c>
      <x:c r="U1241" s="2" t="str">
        <x:v>GFA growth versus source physical quantity growth; constant conversion required for equality</x:v>
      </x:c>
      <x:c r="V1241" s="2" t="str">
        <x:v>Future horizontal path is already a v16 driver; WUP historical surface derives from GHSL</x:v>
      </x:c>
      <x:c r="W1241" s="2" t="str">
        <x:v>https://human-settlement.emergency.copernicus.eu/datasets.php</x:v>
      </x:c>
    </x:row>
    <x:row r="1242" ht="23" customHeight="1">
      <x:c r="A1242" s="2" t="str">
        <x:v>GIN</x:v>
      </x:c>
      <x:c r="B1242" s="2" t="str">
        <x:v>Guinea (Republic of)</x:v>
      </x:c>
      <x:c r="C1242" s="2" t="str">
        <x:v>WUP_SURFACE</x:v>
      </x:c>
      <x:c r="D1242" s="2" t="n">
        <x:v>2020</x:v>
      </x:c>
      <x:c r="E1242" s="2" t="n">
        <x:v>2025</x:v>
      </x:c>
      <x:c r="F1242" s="17" t="n">
        <x:v>277637578.22999954</x:v>
      </x:c>
      <x:c r="G1242" s="17" t="n">
        <x:v>325301950.3680898</x:v>
      </x:c>
      <x:c r="H1242" s="17" t="n">
        <x:v>649763986.9718647</x:v>
      </x:c>
      <x:c r="I1242" s="17" t="n">
        <x:v>757710272.7206637</x:v>
      </x:c>
      <x:c r="J1242" s="2" t="str">
        <x:v>m2</x:v>
      </x:c>
      <x:c r="K1242" s="15" t="n">
        <x:f>IF(AND(ISNUMBER(F1242),ISNUMBER(G1242),F1242&gt;0),G1242/F1242-1,"n.a.")</x:f>
        <x:v>0.1716783889340956</x:v>
      </x:c>
      <x:c r="L1242" s="15" t="n">
        <x:f>IF(AND(N1242,ISNUMBER(H1242),ISNUMBER(I1242),H1242&gt;0),I1242/H1242-1,"n.a.")</x:f>
        <x:v>0.16613153069912</x:v>
      </x:c>
      <x:c r="M1242" s="20" t="n">
        <x:f>IF(AND(ISNUMBER(K1242),ISNUMBER(L1242)),100*(K1242-L1242),"n.a.")</x:f>
        <x:v>0.5546858234975582</x:v>
      </x:c>
      <x:c r="N1242" s="13" t="b">
        <x:v>1</x:v>
      </x:c>
      <x:c r="O1242" s="13" t="b">
        <x:v>1</x:v>
      </x:c>
      <x:c r="P1242" s="13" t="b">
        <x:v>0</x:v>
      </x:c>
      <x:c r="Q1242" s="2" t="str">
        <x:v>L1_numeric_partition_qualified_not_national_completeness</x:v>
      </x:c>
      <x:c r="R1242" s="2" t="str">
        <x:v>L1_numeric_partition_qualified_not_national_completeness</x:v>
      </x:c>
      <x:c r="S1242" s="2" t="str">
        <x:v>historical_GHSL_BU_estimate</x:v>
      </x:c>
      <x:c r="T1242" s="2" t="str">
        <x:v>projected_CRISP_BU_surface</x:v>
      </x:c>
      <x:c r="U1242" s="2" t="str">
        <x:v>GFA growth versus source physical quantity growth; constant conversion required for equality</x:v>
      </x:c>
      <x:c r="V1242" s="2" t="str">
        <x:v>Future horizontal path is already a v16 driver; WUP historical surface derives from GHSL</x:v>
      </x:c>
      <x:c r="W1242" s="2" t="str">
        <x:v>https://human-settlement.emergency.copernicus.eu/datasets.php</x:v>
      </x:c>
    </x:row>
    <x:row r="1243" ht="23" customHeight="1">
      <x:c r="A1243" s="2" t="str">
        <x:v>GMB</x:v>
      </x:c>
      <x:c r="B1243" s="2" t="str">
        <x:v>Gambia (Republic of the)</x:v>
      </x:c>
      <x:c r="C1243" s="2" t="str">
        <x:v>WUP_SURFACE</x:v>
      </x:c>
      <x:c r="D1243" s="2" t="n">
        <x:v>2020</x:v>
      </x:c>
      <x:c r="E1243" s="2" t="n">
        <x:v>2025</x:v>
      </x:c>
      <x:c r="F1243" s="17" t="n">
        <x:v>56875154.52999992</x:v>
      </x:c>
      <x:c r="G1243" s="17" t="n">
        <x:v>66249173.2618615</x:v>
      </x:c>
      <x:c r="H1243" s="17" t="n">
        <x:v>114650843.82510397</x:v>
      </x:c>
      <x:c r="I1243" s="17" t="n">
        <x:v>133047808.66052602</x:v>
      </x:c>
      <x:c r="J1243" s="2" t="str">
        <x:v>m2</x:v>
      </x:c>
      <x:c r="K1243" s="15" t="n">
        <x:f>IF(AND(ISNUMBER(F1243),ISNUMBER(G1243),F1243&gt;0),G1243/F1243-1,"n.a.")</x:f>
        <x:v>0.16481746395813435</x:v>
      </x:c>
      <x:c r="L1243" s="15" t="n">
        <x:f>IF(AND(N1243,ISNUMBER(H1243),ISNUMBER(I1243),H1243&gt;0),I1243/H1243-1,"n.a.")</x:f>
        <x:v>0.1604607887883147</x:v>
      </x:c>
      <x:c r="M1243" s="20" t="n">
        <x:f>IF(AND(ISNUMBER(K1243),ISNUMBER(L1243)),100*(K1243-L1243),"n.a.")</x:f>
        <x:v>0.4356675169819635</x:v>
      </x:c>
      <x:c r="N1243" s="13" t="b">
        <x:v>1</x:v>
      </x:c>
      <x:c r="O1243" s="13" t="b">
        <x:v>1</x:v>
      </x:c>
      <x:c r="P1243" s="13" t="b">
        <x:v>0</x:v>
      </x:c>
      <x:c r="Q1243" s="2" t="str">
        <x:v>L1_numeric_partition_qualified_not_national_completeness</x:v>
      </x:c>
      <x:c r="R1243" s="2" t="str">
        <x:v>L1_numeric_partition_qualified_not_national_completeness</x:v>
      </x:c>
      <x:c r="S1243" s="2" t="str">
        <x:v>historical_GHSL_BU_estimate</x:v>
      </x:c>
      <x:c r="T1243" s="2" t="str">
        <x:v>projected_CRISP_BU_surface</x:v>
      </x:c>
      <x:c r="U1243" s="2" t="str">
        <x:v>GFA growth versus source physical quantity growth; constant conversion required for equality</x:v>
      </x:c>
      <x:c r="V1243" s="2" t="str">
        <x:v>Future horizontal path is already a v16 driver; WUP historical surface derives from GHSL</x:v>
      </x:c>
      <x:c r="W1243" s="2" t="str">
        <x:v>https://human-settlement.emergency.copernicus.eu/datasets.php</x:v>
      </x:c>
    </x:row>
    <x:row r="1244" ht="23" customHeight="1">
      <x:c r="A1244" s="2" t="str">
        <x:v>GNB</x:v>
      </x:c>
      <x:c r="B1244" s="2" t="str">
        <x:v>Guinea-Bissau (Republic of)</x:v>
      </x:c>
      <x:c r="C1244" s="2" t="str">
        <x:v>WUP_SURFACE</x:v>
      </x:c>
      <x:c r="D1244" s="2" t="n">
        <x:v>2020</x:v>
      </x:c>
      <x:c r="E1244" s="2" t="n">
        <x:v>2025</x:v>
      </x:c>
      <x:c r="F1244" s="17" t="n">
        <x:v>48952674.499999925</x:v>
      </x:c>
      <x:c r="G1244" s="17" t="n">
        <x:v>57239119.37797982</x:v>
      </x:c>
      <x:c r="H1244" s="17" t="n">
        <x:v>96952541.94673587</x:v>
      </x:c>
      <x:c r="I1244" s="17" t="n">
        <x:v>112822735.76040804</x:v>
      </x:c>
      <x:c r="J1244" s="2" t="str">
        <x:v>m2</x:v>
      </x:c>
      <x:c r="K1244" s="15" t="n">
        <x:f>IF(AND(ISNUMBER(F1244),ISNUMBER(G1244),F1244&gt;0),G1244/F1244-1,"n.a.")</x:f>
        <x:v>0.16927460986794318</x:v>
      </x:c>
      <x:c r="L1244" s="15" t="n">
        <x:f>IF(AND(N1244,ISNUMBER(H1244),ISNUMBER(I1244),H1244&gt;0),I1244/H1244-1,"n.a.")</x:f>
        <x:v>0.16369033235240993</x:v>
      </x:c>
      <x:c r="M1244" s="20" t="n">
        <x:f>IF(AND(ISNUMBER(K1244),ISNUMBER(L1244)),100*(K1244-L1244),"n.a.")</x:f>
        <x:v>0.5584277515533254</x:v>
      </x:c>
      <x:c r="N1244" s="13" t="b">
        <x:v>1</x:v>
      </x:c>
      <x:c r="O1244" s="13" t="b">
        <x:v>1</x:v>
      </x:c>
      <x:c r="P1244" s="13" t="b">
        <x:v>0</x:v>
      </x:c>
      <x:c r="Q1244" s="2" t="str">
        <x:v>L1_numeric_partition_qualified_not_national_completeness</x:v>
      </x:c>
      <x:c r="R1244" s="2" t="str">
        <x:v>L1_numeric_partition_qualified_not_national_completeness</x:v>
      </x:c>
      <x:c r="S1244" s="2" t="str">
        <x:v>historical_GHSL_BU_estimate</x:v>
      </x:c>
      <x:c r="T1244" s="2" t="str">
        <x:v>projected_CRISP_BU_surface</x:v>
      </x:c>
      <x:c r="U1244" s="2" t="str">
        <x:v>GFA growth versus source physical quantity growth; constant conversion required for equality</x:v>
      </x:c>
      <x:c r="V1244" s="2" t="str">
        <x:v>Future horizontal path is already a v16 driver; WUP historical surface derives from GHSL</x:v>
      </x:c>
      <x:c r="W1244" s="2" t="str">
        <x:v>https://human-settlement.emergency.copernicus.eu/datasets.php</x:v>
      </x:c>
    </x:row>
    <x:row r="1245" ht="23" customHeight="1">
      <x:c r="A1245" s="2" t="str">
        <x:v>GNQ</x:v>
      </x:c>
      <x:c r="B1245" s="2" t="str">
        <x:v>Equatorial Guinea (Republic of)</x:v>
      </x:c>
      <x:c r="C1245" s="2" t="str">
        <x:v>WUP_SURFACE</x:v>
      </x:c>
      <x:c r="D1245" s="2" t="n">
        <x:v>2020</x:v>
      </x:c>
      <x:c r="E1245" s="2" t="n">
        <x:v>2025</x:v>
      </x:c>
      <x:c r="F1245" s="17" t="n">
        <x:v>34102626.51999995</x:v>
      </x:c>
      <x:c r="G1245" s="17" t="n">
        <x:v>41609585.12932543</x:v>
      </x:c>
      <x:c r="H1245" s="17" t="n">
        <x:v>57630347.0060426</x:v>
      </x:c>
      <x:c r="I1245" s="17" t="n">
        <x:v>70168748.74715142</x:v>
      </x:c>
      <x:c r="J1245" s="2" t="str">
        <x:v>m2</x:v>
      </x:c>
      <x:c r="K1245" s="15" t="n">
        <x:f>IF(AND(ISNUMBER(F1245),ISNUMBER(G1245),F1245&gt;0),G1245/F1245-1,"n.a.")</x:f>
        <x:v>0.22012845857848862</x:v>
      </x:c>
      <x:c r="L1245" s="15" t="n">
        <x:f>IF(AND(N1245,ISNUMBER(H1245),ISNUMBER(I1245),H1245&gt;0),I1245/H1245-1,"n.a.")</x:f>
        <x:v>0.21756595947260493</x:v>
      </x:c>
      <x:c r="M1245" s="20" t="n">
        <x:f>IF(AND(ISNUMBER(K1245),ISNUMBER(L1245)),100*(K1245-L1245),"n.a.")</x:f>
        <x:v>0.25624991058836866</x:v>
      </x:c>
      <x:c r="N1245" s="13" t="b">
        <x:v>1</x:v>
      </x:c>
      <x:c r="O1245" s="13" t="b">
        <x:v>1</x:v>
      </x:c>
      <x:c r="P1245" s="13" t="b">
        <x:v>0</x:v>
      </x:c>
      <x:c r="Q1245" s="2" t="str">
        <x:v>L1_numeric_partition_qualified_not_national_completeness</x:v>
      </x:c>
      <x:c r="R1245" s="2" t="str">
        <x:v>L1_numeric_partition_qualified_not_national_completeness</x:v>
      </x:c>
      <x:c r="S1245" s="2" t="str">
        <x:v>historical_GHSL_BU_estimate</x:v>
      </x:c>
      <x:c r="T1245" s="2" t="str">
        <x:v>projected_CRISP_BU_surface</x:v>
      </x:c>
      <x:c r="U1245" s="2" t="str">
        <x:v>GFA growth versus source physical quantity growth; constant conversion required for equality</x:v>
      </x:c>
      <x:c r="V1245" s="2" t="str">
        <x:v>Future horizontal path is already a v16 driver; WUP historical surface derives from GHSL</x:v>
      </x:c>
      <x:c r="W1245" s="2" t="str">
        <x:v>https://human-settlement.emergency.copernicus.eu/datasets.php</x:v>
      </x:c>
    </x:row>
    <x:row r="1246" ht="23" customHeight="1">
      <x:c r="A1246" s="2" t="str">
        <x:v>GRC</x:v>
      </x:c>
      <x:c r="B1246" s="2" t="str">
        <x:v>Greece (Hellenic Republic)</x:v>
      </x:c>
      <x:c r="C1246" s="2" t="str">
        <x:v>WUP_SURFACE</x:v>
      </x:c>
      <x:c r="D1246" s="2" t="n">
        <x:v>2020</x:v>
      </x:c>
      <x:c r="E1246" s="2" t="n">
        <x:v>2025</x:v>
      </x:c>
      <x:c r="F1246" s="17" t="n">
        <x:v>853851739.6700008</x:v>
      </x:c>
      <x:c r="G1246" s="17" t="n">
        <x:v>895438774.6977319</x:v>
      </x:c>
      <x:c r="H1246" s="17" t="n">
        <x:v>1184598146.8152592</x:v>
      </x:c>
      <x:c r="I1246" s="17" t="n">
        <x:v>1239980713.3065505</x:v>
      </x:c>
      <x:c r="J1246" s="2" t="str">
        <x:v>m2</x:v>
      </x:c>
      <x:c r="K1246" s="15" t="n">
        <x:f>IF(AND(ISNUMBER(F1246),ISNUMBER(G1246),F1246&gt;0),G1246/F1246-1,"n.a.")</x:f>
        <x:v>0.04870521789157878</x:v>
      </x:c>
      <x:c r="L1246" s="15" t="n">
        <x:f>IF(AND(N1246,ISNUMBER(H1246),ISNUMBER(I1246),H1246&gt;0),I1246/H1246-1,"n.a.")</x:f>
        <x:v>0.046752197477418767</x:v>
      </x:c>
      <x:c r="M1246" s="20" t="n">
        <x:f>IF(AND(ISNUMBER(K1246),ISNUMBER(L1246)),100*(K1246-L1246),"n.a.")</x:f>
        <x:v>0.19530204141600116</x:v>
      </x:c>
      <x:c r="N1246" s="13" t="b">
        <x:v>1</x:v>
      </x:c>
      <x:c r="O1246" s="13" t="b">
        <x:v>1</x:v>
      </x:c>
      <x:c r="P1246" s="13" t="b">
        <x:v>0</x:v>
      </x:c>
      <x:c r="Q1246" s="2" t="str">
        <x:v>L1_numeric_partition_qualified_not_national_completeness</x:v>
      </x:c>
      <x:c r="R1246" s="2" t="str">
        <x:v>L1_numeric_partition_qualified_not_national_completeness</x:v>
      </x:c>
      <x:c r="S1246" s="2" t="str">
        <x:v>historical_GHSL_BU_estimate</x:v>
      </x:c>
      <x:c r="T1246" s="2" t="str">
        <x:v>projected_CRISP_BU_surface</x:v>
      </x:c>
      <x:c r="U1246" s="2" t="str">
        <x:v>GFA growth versus source physical quantity growth; constant conversion required for equality</x:v>
      </x:c>
      <x:c r="V1246" s="2" t="str">
        <x:v>Future horizontal path is already a v16 driver; WUP historical surface derives from GHSL</x:v>
      </x:c>
      <x:c r="W1246" s="2" t="str">
        <x:v>https://human-settlement.emergency.copernicus.eu/datasets.php</x:v>
      </x:c>
    </x:row>
    <x:row r="1247" ht="23" customHeight="1">
      <x:c r="A1247" s="2" t="str">
        <x:v>GRD</x:v>
      </x:c>
      <x:c r="B1247" s="2" t="str">
        <x:v>Grenada</x:v>
      </x:c>
      <x:c r="C1247" s="2" t="str">
        <x:v>WUP_SURFACE</x:v>
      </x:c>
      <x:c r="D1247" s="2" t="n">
        <x:v>2020</x:v>
      </x:c>
      <x:c r="E1247" s="2" t="n">
        <x:v>2025</x:v>
      </x:c>
      <x:c r="F1247" s="17" t="n">
        <x:v>6904998.419999993</x:v>
      </x:c>
      <x:c r="G1247" s="17" t="n">
        <x:v>7360989.536835111</x:v>
      </x:c>
      <x:c r="H1247" s="17" t="n">
        <x:v>9899280.970064864</x:v>
      </x:c>
      <x:c r="I1247" s="17" t="n">
        <x:v>10529490.487773728</x:v>
      </x:c>
      <x:c r="J1247" s="2" t="str">
        <x:v>m2</x:v>
      </x:c>
      <x:c r="K1247" s="15" t="n">
        <x:f>IF(AND(ISNUMBER(F1247),ISNUMBER(G1247),F1247&gt;0),G1247/F1247-1,"n.a.")</x:f>
        <x:v>0.06603783072771763</x:v>
      </x:c>
      <x:c r="L1247" s="15" t="n">
        <x:f>IF(AND(N1247,ISNUMBER(H1247),ISNUMBER(I1247),H1247&gt;0),I1247/H1247-1,"n.a.")</x:f>
        <x:v>0.06366215077787962</x:v>
      </x:c>
      <x:c r="M1247" s="20" t="n">
        <x:f>IF(AND(ISNUMBER(K1247),ISNUMBER(L1247)),100*(K1247-L1247),"n.a.")</x:f>
        <x:v>0.23756799498380055</x:v>
      </x:c>
      <x:c r="N1247" s="13" t="b">
        <x:v>1</x:v>
      </x:c>
      <x:c r="O1247" s="13" t="b">
        <x:v>1</x:v>
      </x:c>
      <x:c r="P1247" s="13" t="b">
        <x:v>0</x:v>
      </x:c>
      <x:c r="Q1247" s="2" t="str">
        <x:v>L1_numeric_partition_qualified_not_national_completeness</x:v>
      </x:c>
      <x:c r="R1247" s="2" t="str">
        <x:v>L1_numeric_partition_qualified_not_national_completeness</x:v>
      </x:c>
      <x:c r="S1247" s="2" t="str">
        <x:v>historical_GHSL_BU_estimate</x:v>
      </x:c>
      <x:c r="T1247" s="2" t="str">
        <x:v>projected_CRISP_BU_surface</x:v>
      </x:c>
      <x:c r="U1247" s="2" t="str">
        <x:v>GFA growth versus source physical quantity growth; constant conversion required for equality</x:v>
      </x:c>
      <x:c r="V1247" s="2" t="str">
        <x:v>Future horizontal path is already a v16 driver; WUP historical surface derives from GHSL</x:v>
      </x:c>
      <x:c r="W1247" s="2" t="str">
        <x:v>https://human-settlement.emergency.copernicus.eu/datasets.php</x:v>
      </x:c>
    </x:row>
    <x:row r="1248" ht="23" customHeight="1">
      <x:c r="A1248" s="2" t="str">
        <x:v>GTM</x:v>
      </x:c>
      <x:c r="B1248" s="2" t="str">
        <x:v>Guatemala (Republic of)</x:v>
      </x:c>
      <x:c r="C1248" s="2" t="str">
        <x:v>WUP_SURFACE</x:v>
      </x:c>
      <x:c r="D1248" s="2" t="n">
        <x:v>2020</x:v>
      </x:c>
      <x:c r="E1248" s="2" t="n">
        <x:v>2025</x:v>
      </x:c>
      <x:c r="F1248" s="17" t="n">
        <x:v>599114028.8099989</x:v>
      </x:c>
      <x:c r="G1248" s="17" t="n">
        <x:v>679786975.8314592</x:v>
      </x:c>
      <x:c r="H1248" s="17" t="n">
        <x:v>933677044.955574</x:v>
      </x:c>
      <x:c r="I1248" s="17" t="n">
        <x:v>1055382703.2460631</x:v>
      </x:c>
      <x:c r="J1248" s="2" t="str">
        <x:v>m2</x:v>
      </x:c>
      <x:c r="K1248" s="15" t="n">
        <x:f>IF(AND(ISNUMBER(F1248),ISNUMBER(G1248),F1248&gt;0),G1248/F1248-1,"n.a.")</x:f>
        <x:v>0.13465374393201635</x:v>
      </x:c>
      <x:c r="L1248" s="15" t="n">
        <x:f>IF(AND(N1248,ISNUMBER(H1248),ISNUMBER(I1248),H1248&gt;0),I1248/H1248-1,"n.a.")</x:f>
        <x:v>0.13035091624886208</x:v>
      </x:c>
      <x:c r="M1248" s="20" t="n">
        <x:f>IF(AND(ISNUMBER(K1248),ISNUMBER(L1248)),100*(K1248-L1248),"n.a.")</x:f>
        <x:v>0.43028276831542644</x:v>
      </x:c>
      <x:c r="N1248" s="13" t="b">
        <x:v>1</x:v>
      </x:c>
      <x:c r="O1248" s="13" t="b">
        <x:v>1</x:v>
      </x:c>
      <x:c r="P1248" s="13" t="b">
        <x:v>0</x:v>
      </x:c>
      <x:c r="Q1248" s="2" t="str">
        <x:v>L1_numeric_partition_qualified_not_national_completeness</x:v>
      </x:c>
      <x:c r="R1248" s="2" t="str">
        <x:v>L1_numeric_partition_qualified_not_national_completeness</x:v>
      </x:c>
      <x:c r="S1248" s="2" t="str">
        <x:v>historical_GHSL_BU_estimate</x:v>
      </x:c>
      <x:c r="T1248" s="2" t="str">
        <x:v>projected_CRISP_BU_surface</x:v>
      </x:c>
      <x:c r="U1248" s="2" t="str">
        <x:v>GFA growth versus source physical quantity growth; constant conversion required for equality</x:v>
      </x:c>
      <x:c r="V1248" s="2" t="str">
        <x:v>Future horizontal path is already a v16 driver; WUP historical surface derives from GHSL</x:v>
      </x:c>
      <x:c r="W1248" s="2" t="str">
        <x:v>https://human-settlement.emergency.copernicus.eu/datasets.php</x:v>
      </x:c>
    </x:row>
    <x:row r="1249" ht="23" customHeight="1">
      <x:c r="A1249" s="2" t="str">
        <x:v>GUY</x:v>
      </x:c>
      <x:c r="B1249" s="2" t="str">
        <x:v>Guyana (Co-operative Republic of)</x:v>
      </x:c>
      <x:c r="C1249" s="2" t="str">
        <x:v>WUP_SURFACE</x:v>
      </x:c>
      <x:c r="D1249" s="2" t="n">
        <x:v>2020</x:v>
      </x:c>
      <x:c r="E1249" s="2" t="n">
        <x:v>2025</x:v>
      </x:c>
      <x:c r="F1249" s="17" t="n">
        <x:v>46462035.66000002</x:v>
      </x:c>
      <x:c r="G1249" s="17" t="n">
        <x:v>51976255.82986627</x:v>
      </x:c>
      <x:c r="H1249" s="17" t="n">
        <x:v>58881835.14478123</x:v>
      </x:c>
      <x:c r="I1249" s="17" t="n">
        <x:v>65502118.64310552</x:v>
      </x:c>
      <x:c r="J1249" s="2" t="str">
        <x:v>m2</x:v>
      </x:c>
      <x:c r="K1249" s="15" t="n">
        <x:f>IF(AND(ISNUMBER(F1249),ISNUMBER(G1249),F1249&gt;0),G1249/F1249-1,"n.a.")</x:f>
        <x:v>0.11868227664879383</x:v>
      </x:c>
      <x:c r="L1249" s="15" t="n">
        <x:f>IF(AND(N1249,ISNUMBER(H1249),ISNUMBER(I1249),H1249&gt;0),I1249/H1249-1,"n.a.")</x:f>
        <x:v>0.1124333757948619</x:v>
      </x:c>
      <x:c r="M1249" s="20" t="n">
        <x:f>IF(AND(ISNUMBER(K1249),ISNUMBER(L1249)),100*(K1249-L1249),"n.a.")</x:f>
        <x:v>0.6248900853931927</x:v>
      </x:c>
      <x:c r="N1249" s="13" t="b">
        <x:v>1</x:v>
      </x:c>
      <x:c r="O1249" s="13" t="b">
        <x:v>1</x:v>
      </x:c>
      <x:c r="P1249" s="13" t="b">
        <x:v>0</x:v>
      </x:c>
      <x:c r="Q1249" s="2" t="str">
        <x:v>L1_numeric_partition_qualified_not_national_completeness</x:v>
      </x:c>
      <x:c r="R1249" s="2" t="str">
        <x:v>L1_numeric_partition_qualified_not_national_completeness</x:v>
      </x:c>
      <x:c r="S1249" s="2" t="str">
        <x:v>historical_GHSL_BU_estimate</x:v>
      </x:c>
      <x:c r="T1249" s="2" t="str">
        <x:v>projected_CRISP_BU_surface</x:v>
      </x:c>
      <x:c r="U1249" s="2" t="str">
        <x:v>GFA growth versus source physical quantity growth; constant conversion required for equality</x:v>
      </x:c>
      <x:c r="V1249" s="2" t="str">
        <x:v>Future horizontal path is already a v16 driver; WUP historical surface derives from GHSL</x:v>
      </x:c>
      <x:c r="W1249" s="2" t="str">
        <x:v>https://human-settlement.emergency.copernicus.eu/datasets.php</x:v>
      </x:c>
    </x:row>
    <x:row r="1250" ht="23" customHeight="1">
      <x:c r="A1250" s="2" t="str">
        <x:v>HND</x:v>
      </x:c>
      <x:c r="B1250" s="2" t="str">
        <x:v>Honduras (Republic of)</x:v>
      </x:c>
      <x:c r="C1250" s="2" t="str">
        <x:v>WUP_SURFACE</x:v>
      </x:c>
      <x:c r="D1250" s="2" t="n">
        <x:v>2020</x:v>
      </x:c>
      <x:c r="E1250" s="2" t="n">
        <x:v>2025</x:v>
      </x:c>
      <x:c r="F1250" s="17" t="n">
        <x:v>335660713.2700002</x:v>
      </x:c>
      <x:c r="G1250" s="17" t="n">
        <x:v>383368880.42593217</x:v>
      </x:c>
      <x:c r="H1250" s="17" t="n">
        <x:v>565893835.2078419</x:v>
      </x:c>
      <x:c r="I1250" s="17" t="n">
        <x:v>643456284.0620788</x:v>
      </x:c>
      <x:c r="J1250" s="2" t="str">
        <x:v>m2</x:v>
      </x:c>
      <x:c r="K1250" s="15" t="n">
        <x:f>IF(AND(ISNUMBER(F1250),ISNUMBER(G1250),F1250&gt;0),G1250/F1250-1,"n.a.")</x:f>
        <x:v>0.14213211516820046</x:v>
      </x:c>
      <x:c r="L1250" s="15" t="n">
        <x:f>IF(AND(N1250,ISNUMBER(H1250),ISNUMBER(I1250),H1250&gt;0),I1250/H1250-1,"n.a.")</x:f>
        <x:v>0.13706183744827283</x:v>
      </x:c>
      <x:c r="M1250" s="20" t="n">
        <x:f>IF(AND(ISNUMBER(K1250),ISNUMBER(L1250)),100*(K1250-L1250),"n.a.")</x:f>
        <x:v>0.5070277719927629</x:v>
      </x:c>
      <x:c r="N1250" s="13" t="b">
        <x:v>1</x:v>
      </x:c>
      <x:c r="O1250" s="13" t="b">
        <x:v>1</x:v>
      </x:c>
      <x:c r="P1250" s="13" t="b">
        <x:v>0</x:v>
      </x:c>
      <x:c r="Q1250" s="2" t="str">
        <x:v>L1_numeric_partition_qualified_not_national_completeness</x:v>
      </x:c>
      <x:c r="R1250" s="2" t="str">
        <x:v>L1_numeric_partition_qualified_not_national_completeness</x:v>
      </x:c>
      <x:c r="S1250" s="2" t="str">
        <x:v>historical_GHSL_BU_estimate</x:v>
      </x:c>
      <x:c r="T1250" s="2" t="str">
        <x:v>projected_CRISP_BU_surface</x:v>
      </x:c>
      <x:c r="U1250" s="2" t="str">
        <x:v>GFA growth versus source physical quantity growth; constant conversion required for equality</x:v>
      </x:c>
      <x:c r="V1250" s="2" t="str">
        <x:v>Future horizontal path is already a v16 driver; WUP historical surface derives from GHSL</x:v>
      </x:c>
      <x:c r="W1250" s="2" t="str">
        <x:v>https://human-settlement.emergency.copernicus.eu/datasets.php</x:v>
      </x:c>
    </x:row>
    <x:row r="1251" ht="23" customHeight="1">
      <x:c r="A1251" s="2" t="str">
        <x:v>HRV</x:v>
      </x:c>
      <x:c r="B1251" s="2" t="str">
        <x:v>Croatia (Republic of)</x:v>
      </x:c>
      <x:c r="C1251" s="2" t="str">
        <x:v>WUP_SURFACE</x:v>
      </x:c>
      <x:c r="D1251" s="2" t="n">
        <x:v>2020</x:v>
      </x:c>
      <x:c r="E1251" s="2" t="n">
        <x:v>2025</x:v>
      </x:c>
      <x:c r="F1251" s="17" t="n">
        <x:v>361520718.4299994</x:v>
      </x:c>
      <x:c r="G1251" s="17" t="n">
        <x:v>374582650.727685</x:v>
      </x:c>
      <x:c r="H1251" s="17" t="n">
        <x:v>513991735.8921723</x:v>
      </x:c>
      <x:c r="I1251" s="17" t="n">
        <x:v>532669879.84076625</x:v>
      </x:c>
      <x:c r="J1251" s="2" t="str">
        <x:v>m2</x:v>
      </x:c>
      <x:c r="K1251" s="15" t="n">
        <x:f>IF(AND(ISNUMBER(F1251),ISNUMBER(G1251),F1251&gt;0),G1251/F1251-1,"n.a.")</x:f>
        <x:v>0.03613052207466971</x:v>
      </x:c>
      <x:c r="L1251" s="15" t="n">
        <x:f>IF(AND(N1251,ISNUMBER(H1251),ISNUMBER(I1251),H1251&gt;0),I1251/H1251-1,"n.a.")</x:f>
        <x:v>0.036339385722171214</x:v>
      </x:c>
      <x:c r="M1251" s="20" t="n">
        <x:f>IF(AND(ISNUMBER(K1251),ISNUMBER(L1251)),100*(K1251-L1251),"n.a.")</x:f>
        <x:v>-0.020886364750150044</x:v>
      </x:c>
      <x:c r="N1251" s="13" t="b">
        <x:v>1</x:v>
      </x:c>
      <x:c r="O1251" s="13" t="b">
        <x:v>1</x:v>
      </x:c>
      <x:c r="P1251" s="13" t="b">
        <x:v>0</x:v>
      </x:c>
      <x:c r="Q1251" s="2" t="str">
        <x:v>L1_numeric_partition_qualified_not_national_completeness</x:v>
      </x:c>
      <x:c r="R1251" s="2" t="str">
        <x:v>L1_numeric_partition_qualified_not_national_completeness</x:v>
      </x:c>
      <x:c r="S1251" s="2" t="str">
        <x:v>historical_GHSL_BU_estimate</x:v>
      </x:c>
      <x:c r="T1251" s="2" t="str">
        <x:v>projected_CRISP_BU_surface</x:v>
      </x:c>
      <x:c r="U1251" s="2" t="str">
        <x:v>GFA growth versus source physical quantity growth; constant conversion required for equality</x:v>
      </x:c>
      <x:c r="V1251" s="2" t="str">
        <x:v>Future horizontal path is already a v16 driver; WUP historical surface derives from GHSL</x:v>
      </x:c>
      <x:c r="W1251" s="2" t="str">
        <x:v>https://human-settlement.emergency.copernicus.eu/datasets.php</x:v>
      </x:c>
    </x:row>
    <x:row r="1252" ht="23" customHeight="1">
      <x:c r="A1252" s="2" t="str">
        <x:v>HTI</x:v>
      </x:c>
      <x:c r="B1252" s="2" t="str">
        <x:v>Haiti (Republic of)</x:v>
      </x:c>
      <x:c r="C1252" s="2" t="str">
        <x:v>WUP_SURFACE</x:v>
      </x:c>
      <x:c r="D1252" s="2" t="n">
        <x:v>2020</x:v>
      </x:c>
      <x:c r="E1252" s="2" t="n">
        <x:v>2025</x:v>
      </x:c>
      <x:c r="F1252" s="17" t="n">
        <x:v>189002396.5400002</x:v>
      </x:c>
      <x:c r="G1252" s="17" t="n">
        <x:v>222458528.7439069</x:v>
      </x:c>
      <x:c r="H1252" s="17" t="n">
        <x:v>292667027.0329865</x:v>
      </x:c>
      <x:c r="I1252" s="17" t="n">
        <x:v>343120836.3682435</x:v>
      </x:c>
      <x:c r="J1252" s="2" t="str">
        <x:v>m2</x:v>
      </x:c>
      <x:c r="K1252" s="15" t="n">
        <x:f>IF(AND(ISNUMBER(F1252),ISNUMBER(G1252),F1252&gt;0),G1252/F1252-1,"n.a.")</x:f>
        <x:v>0.17701432794703265</x:v>
      </x:c>
      <x:c r="L1252" s="15" t="n">
        <x:f>IF(AND(N1252,ISNUMBER(H1252),ISNUMBER(I1252),H1252&gt;0),I1252/H1252-1,"n.a.")</x:f>
        <x:v>0.1723932137034705</x:v>
      </x:c>
      <x:c r="M1252" s="20" t="n">
        <x:f>IF(AND(ISNUMBER(K1252),ISNUMBER(L1252)),100*(K1252-L1252),"n.a.")</x:f>
        <x:v>0.4621114243562152</x:v>
      </x:c>
      <x:c r="N1252" s="13" t="b">
        <x:v>1</x:v>
      </x:c>
      <x:c r="O1252" s="13" t="b">
        <x:v>1</x:v>
      </x:c>
      <x:c r="P1252" s="13" t="b">
        <x:v>0</x:v>
      </x:c>
      <x:c r="Q1252" s="2" t="str">
        <x:v>L1_numeric_partition_qualified_not_national_completeness</x:v>
      </x:c>
      <x:c r="R1252" s="2" t="str">
        <x:v>L1_numeric_partition_qualified_not_national_completeness</x:v>
      </x:c>
      <x:c r="S1252" s="2" t="str">
        <x:v>historical_GHSL_BU_estimate</x:v>
      </x:c>
      <x:c r="T1252" s="2" t="str">
        <x:v>projected_CRISP_BU_surface</x:v>
      </x:c>
      <x:c r="U1252" s="2" t="str">
        <x:v>GFA growth versus source physical quantity growth; constant conversion required for equality</x:v>
      </x:c>
      <x:c r="V1252" s="2" t="str">
        <x:v>Future horizontal path is already a v16 driver; WUP historical surface derives from GHSL</x:v>
      </x:c>
      <x:c r="W1252" s="2" t="str">
        <x:v>https://human-settlement.emergency.copernicus.eu/datasets.php</x:v>
      </x:c>
    </x:row>
    <x:row r="1253" ht="23" customHeight="1">
      <x:c r="A1253" s="2" t="str">
        <x:v>HUN</x:v>
      </x:c>
      <x:c r="B1253" s="2" t="str">
        <x:v>Hungary</x:v>
      </x:c>
      <x:c r="C1253" s="2" t="str">
        <x:v>WUP_SURFACE</x:v>
      </x:c>
      <x:c r="D1253" s="2" t="n">
        <x:v>2020</x:v>
      </x:c>
      <x:c r="E1253" s="2" t="n">
        <x:v>2025</x:v>
      </x:c>
      <x:c r="F1253" s="17" t="n">
        <x:v>853072780.5300013</x:v>
      </x:c>
      <x:c r="G1253" s="17" t="n">
        <x:v>904032805.2184856</x:v>
      </x:c>
      <x:c r="H1253" s="17" t="n">
        <x:v>1296768067.9325144</x:v>
      </x:c>
      <x:c r="I1253" s="17" t="n">
        <x:v>1372172336.027757</x:v>
      </x:c>
      <x:c r="J1253" s="2" t="str">
        <x:v>m2</x:v>
      </x:c>
      <x:c r="K1253" s="15" t="n">
        <x:f>IF(AND(ISNUMBER(F1253),ISNUMBER(G1253),F1253&gt;0),G1253/F1253-1,"n.a.")</x:f>
        <x:v>0.0597370187533397</x:v>
      </x:c>
      <x:c r="L1253" s="15" t="n">
        <x:f>IF(AND(N1253,ISNUMBER(H1253),ISNUMBER(I1253),H1253&gt;0),I1253/H1253-1,"n.a.")</x:f>
        <x:v>0.05814784459912126</x:v>
      </x:c>
      <x:c r="M1253" s="20" t="n">
        <x:f>IF(AND(ISNUMBER(K1253),ISNUMBER(L1253)),100*(K1253-L1253),"n.a.")</x:f>
        <x:v>0.15891741542184423</x:v>
      </x:c>
      <x:c r="N1253" s="13" t="b">
        <x:v>1</x:v>
      </x:c>
      <x:c r="O1253" s="13" t="b">
        <x:v>1</x:v>
      </x:c>
      <x:c r="P1253" s="13" t="b">
        <x:v>0</x:v>
      </x:c>
      <x:c r="Q1253" s="2" t="str">
        <x:v>L1_numeric_partition_qualified_not_national_completeness</x:v>
      </x:c>
      <x:c r="R1253" s="2" t="str">
        <x:v>L1_numeric_partition_qualified_not_national_completeness</x:v>
      </x:c>
      <x:c r="S1253" s="2" t="str">
        <x:v>historical_GHSL_BU_estimate</x:v>
      </x:c>
      <x:c r="T1253" s="2" t="str">
        <x:v>projected_CRISP_BU_surface</x:v>
      </x:c>
      <x:c r="U1253" s="2" t="str">
        <x:v>GFA growth versus source physical quantity growth; constant conversion required for equality</x:v>
      </x:c>
      <x:c r="V1253" s="2" t="str">
        <x:v>Future horizontal path is already a v16 driver; WUP historical surface derives from GHSL</x:v>
      </x:c>
      <x:c r="W1253" s="2" t="str">
        <x:v>https://human-settlement.emergency.copernicus.eu/datasets.php</x:v>
      </x:c>
    </x:row>
    <x:row r="1254" ht="23" customHeight="1">
      <x:c r="A1254" s="2" t="str">
        <x:v>IDN</x:v>
      </x:c>
      <x:c r="B1254" s="2" t="str">
        <x:v>Indonesia (Republic of)</x:v>
      </x:c>
      <x:c r="C1254" s="2" t="str">
        <x:v>WUP_SURFACE</x:v>
      </x:c>
      <x:c r="D1254" s="2" t="n">
        <x:v>2020</x:v>
      </x:c>
      <x:c r="E1254" s="2" t="n">
        <x:v>2025</x:v>
      </x:c>
      <x:c r="F1254" s="17" t="n">
        <x:v>10794355074.089985</x:v>
      </x:c>
      <x:c r="G1254" s="17" t="n">
        <x:v>12206837535.080181</x:v>
      </x:c>
      <x:c r="H1254" s="17" t="n">
        <x:v>10555709715.863432</x:v>
      </x:c>
      <x:c r="I1254" s="17" t="n">
        <x:v>11892197257.593628</x:v>
      </x:c>
      <x:c r="J1254" s="2" t="str">
        <x:v>m2</x:v>
      </x:c>
      <x:c r="K1254" s="15" t="n">
        <x:f>IF(AND(ISNUMBER(F1254),ISNUMBER(G1254),F1254&gt;0),G1254/F1254-1,"n.a.")</x:f>
        <x:v>0.1308538075035739</x:v>
      </x:c>
      <x:c r="L1254" s="15" t="n">
        <x:f>IF(AND(N1254,ISNUMBER(H1254),ISNUMBER(I1254),H1254&gt;0),I1254/H1254-1,"n.a.")</x:f>
        <x:v>0.12661276008013767</x:v>
      </x:c>
      <x:c r="M1254" s="20" t="n">
        <x:f>IF(AND(ISNUMBER(K1254),ISNUMBER(L1254)),100*(K1254-L1254),"n.a.")</x:f>
        <x:v>0.42410474234362283</x:v>
      </x:c>
      <x:c r="N1254" s="13" t="b">
        <x:v>1</x:v>
      </x:c>
      <x:c r="O1254" s="13" t="b">
        <x:v>1</x:v>
      </x:c>
      <x:c r="P1254" s="13" t="b">
        <x:v>0</x:v>
      </x:c>
      <x:c r="Q1254" s="2" t="str">
        <x:v>L1_numeric_partition_qualified_not_national_completeness</x:v>
      </x:c>
      <x:c r="R1254" s="2" t="str">
        <x:v>L1_numeric_partition_qualified_not_national_completeness</x:v>
      </x:c>
      <x:c r="S1254" s="2" t="str">
        <x:v>historical_GHSL_BU_estimate</x:v>
      </x:c>
      <x:c r="T1254" s="2" t="str">
        <x:v>projected_CRISP_BU_surface</x:v>
      </x:c>
      <x:c r="U1254" s="2" t="str">
        <x:v>GFA growth versus source physical quantity growth; constant conversion required for equality</x:v>
      </x:c>
      <x:c r="V1254" s="2" t="str">
        <x:v>Future horizontal path is already a v16 driver; WUP historical surface derives from GHSL</x:v>
      </x:c>
      <x:c r="W1254" s="2" t="str">
        <x:v>https://human-settlement.emergency.copernicus.eu/datasets.php</x:v>
      </x:c>
    </x:row>
    <x:row r="1255" ht="23" customHeight="1">
      <x:c r="A1255" s="2" t="str">
        <x:v>IND</x:v>
      </x:c>
      <x:c r="B1255" s="2" t="str">
        <x:v>India (Republic of)</x:v>
      </x:c>
      <x:c r="C1255" s="2" t="str">
        <x:v>WUP_SURFACE</x:v>
      </x:c>
      <x:c r="D1255" s="2" t="n">
        <x:v>2020</x:v>
      </x:c>
      <x:c r="E1255" s="2" t="n">
        <x:v>2025</x:v>
      </x:c>
      <x:c r="F1255" s="17" t="n">
        <x:v>27853638424.040043</x:v>
      </x:c>
      <x:c r="G1255" s="17" t="n">
        <x:v>32591298421.2387</x:v>
      </x:c>
      <x:c r="H1255" s="17" t="n">
        <x:v>38257833490.03374</x:v>
      </x:c>
      <x:c r="I1255" s="17" t="n">
        <x:v>44537315130.095764</x:v>
      </x:c>
      <x:c r="J1255" s="2" t="str">
        <x:v>m2</x:v>
      </x:c>
      <x:c r="K1255" s="15" t="n">
        <x:f>IF(AND(ISNUMBER(F1255),ISNUMBER(G1255),F1255&gt;0),G1255/F1255-1,"n.a.")</x:f>
        <x:v>0.17009124355939287</x:v>
      </x:c>
      <x:c r="L1255" s="15" t="n">
        <x:f>IF(AND(N1255,ISNUMBER(H1255),ISNUMBER(I1255),H1255&gt;0),I1255/H1255-1,"n.a.")</x:f>
        <x:v>0.1641358400939732</x:v>
      </x:c>
      <x:c r="M1255" s="20" t="n">
        <x:f>IF(AND(ISNUMBER(K1255),ISNUMBER(L1255)),100*(K1255-L1255),"n.a.")</x:f>
        <x:v>0.5955403465419673</x:v>
      </x:c>
      <x:c r="N1255" s="13" t="b">
        <x:v>1</x:v>
      </x:c>
      <x:c r="O1255" s="13" t="b">
        <x:v>1</x:v>
      </x:c>
      <x:c r="P1255" s="13" t="b">
        <x:v>0</x:v>
      </x:c>
      <x:c r="Q1255" s="2" t="str">
        <x:v>L1_numeric_partition_qualified_not_national_completeness</x:v>
      </x:c>
      <x:c r="R1255" s="2" t="str">
        <x:v>L1_numeric_partition_qualified_not_national_completeness</x:v>
      </x:c>
      <x:c r="S1255" s="2" t="str">
        <x:v>historical_GHSL_BU_estimate</x:v>
      </x:c>
      <x:c r="T1255" s="2" t="str">
        <x:v>projected_CRISP_BU_surface</x:v>
      </x:c>
      <x:c r="U1255" s="2" t="str">
        <x:v>GFA growth versus source physical quantity growth; constant conversion required for equality</x:v>
      </x:c>
      <x:c r="V1255" s="2" t="str">
        <x:v>Future horizontal path is already a v16 driver; WUP historical surface derives from GHSL</x:v>
      </x:c>
      <x:c r="W1255" s="2" t="str">
        <x:v>https://human-settlement.emergency.copernicus.eu/datasets.php</x:v>
      </x:c>
    </x:row>
    <x:row r="1256" ht="23" customHeight="1">
      <x:c r="A1256" s="2" t="str">
        <x:v>IRL</x:v>
      </x:c>
      <x:c r="B1256" s="2" t="str">
        <x:v>Ireland</x:v>
      </x:c>
      <x:c r="C1256" s="2" t="str">
        <x:v>WUP_SURFACE</x:v>
      </x:c>
      <x:c r="D1256" s="2" t="n">
        <x:v>2020</x:v>
      </x:c>
      <x:c r="E1256" s="2" t="n">
        <x:v>2025</x:v>
      </x:c>
      <x:c r="F1256" s="17" t="n">
        <x:v>426553619.39999974</x:v>
      </x:c>
      <x:c r="G1256" s="17" t="n">
        <x:v>471134695.1889624</x:v>
      </x:c>
      <x:c r="H1256" s="17" t="n">
        <x:v>733764827.0827649</x:v>
      </x:c>
      <x:c r="I1256" s="17" t="n">
        <x:v>806159710.4796672</x:v>
      </x:c>
      <x:c r="J1256" s="2" t="str">
        <x:v>m2</x:v>
      </x:c>
      <x:c r="K1256" s="15" t="n">
        <x:f>IF(AND(ISNUMBER(F1256),ISNUMBER(G1256),F1256&gt;0),G1256/F1256-1,"n.a.")</x:f>
        <x:v>0.10451458799405211</x:v>
      </x:c>
      <x:c r="L1256" s="15" t="n">
        <x:f>IF(AND(N1256,ISNUMBER(H1256),ISNUMBER(I1256),H1256&gt;0),I1256/H1256-1,"n.a.")</x:f>
        <x:v>0.09866224262169032</x:v>
      </x:c>
      <x:c r="M1256" s="20" t="n">
        <x:f>IF(AND(ISNUMBER(K1256),ISNUMBER(L1256)),100*(K1256-L1256),"n.a.")</x:f>
        <x:v>0.5852345372361789</x:v>
      </x:c>
      <x:c r="N1256" s="13" t="b">
        <x:v>1</x:v>
      </x:c>
      <x:c r="O1256" s="13" t="b">
        <x:v>1</x:v>
      </x:c>
      <x:c r="P1256" s="13" t="b">
        <x:v>0</x:v>
      </x:c>
      <x:c r="Q1256" s="2" t="str">
        <x:v>L1_numeric_partition_qualified_not_national_completeness</x:v>
      </x:c>
      <x:c r="R1256" s="2" t="str">
        <x:v>L1_numeric_partition_qualified_not_national_completeness</x:v>
      </x:c>
      <x:c r="S1256" s="2" t="str">
        <x:v>historical_GHSL_BU_estimate</x:v>
      </x:c>
      <x:c r="T1256" s="2" t="str">
        <x:v>projected_CRISP_BU_surface</x:v>
      </x:c>
      <x:c r="U1256" s="2" t="str">
        <x:v>GFA growth versus source physical quantity growth; constant conversion required for equality</x:v>
      </x:c>
      <x:c r="V1256" s="2" t="str">
        <x:v>Future horizontal path is already a v16 driver; WUP historical surface derives from GHSL</x:v>
      </x:c>
      <x:c r="W1256" s="2" t="str">
        <x:v>https://human-settlement.emergency.copernicus.eu/datasets.php</x:v>
      </x:c>
    </x:row>
    <x:row r="1257" ht="23" customHeight="1">
      <x:c r="A1257" s="2" t="str">
        <x:v>IRN</x:v>
      </x:c>
      <x:c r="B1257" s="2" t="str">
        <x:v>Iran (Islamic Republic of)</x:v>
      </x:c>
      <x:c r="C1257" s="2" t="str">
        <x:v>WUP_SURFACE</x:v>
      </x:c>
      <x:c r="D1257" s="2" t="n">
        <x:v>2020</x:v>
      </x:c>
      <x:c r="E1257" s="2" t="n">
        <x:v>2025</x:v>
      </x:c>
      <x:c r="F1257" s="17" t="n">
        <x:v>3753827768.770001</x:v>
      </x:c>
      <x:c r="G1257" s="17" t="n">
        <x:v>4316691969.9250145</x:v>
      </x:c>
      <x:c r="H1257" s="17" t="n">
        <x:v>4209778761.3319345</x:v>
      </x:c>
      <x:c r="I1257" s="17" t="n">
        <x:v>4824017885.224479</x:v>
      </x:c>
      <x:c r="J1257" s="2" t="str">
        <x:v>m2</x:v>
      </x:c>
      <x:c r="K1257" s="15" t="n">
        <x:f>IF(AND(ISNUMBER(F1257),ISNUMBER(G1257),F1257&gt;0),G1257/F1257-1,"n.a.")</x:f>
        <x:v>0.14994406665051785</x:v>
      </x:c>
      <x:c r="L1257" s="15" t="n">
        <x:f>IF(AND(N1257,ISNUMBER(H1257),ISNUMBER(I1257),H1257&gt;0),I1257/H1257-1,"n.a.")</x:f>
        <x:v>0.14590769698743133</x:v>
      </x:c>
      <x:c r="M1257" s="20" t="n">
        <x:f>IF(AND(ISNUMBER(K1257),ISNUMBER(L1257)),100*(K1257-L1257),"n.a.")</x:f>
        <x:v>0.4036369663086514</x:v>
      </x:c>
      <x:c r="N1257" s="13" t="b">
        <x:v>1</x:v>
      </x:c>
      <x:c r="O1257" s="13" t="b">
        <x:v>1</x:v>
      </x:c>
      <x:c r="P1257" s="13" t="b">
        <x:v>0</x:v>
      </x:c>
      <x:c r="Q1257" s="2" t="str">
        <x:v>L1_numeric_partition_qualified_not_national_completeness</x:v>
      </x:c>
      <x:c r="R1257" s="2" t="str">
        <x:v>L1_numeric_partition_qualified_not_national_completeness</x:v>
      </x:c>
      <x:c r="S1257" s="2" t="str">
        <x:v>historical_GHSL_BU_estimate</x:v>
      </x:c>
      <x:c r="T1257" s="2" t="str">
        <x:v>projected_CRISP_BU_surface</x:v>
      </x:c>
      <x:c r="U1257" s="2" t="str">
        <x:v>GFA growth versus source physical quantity growth; constant conversion required for equality</x:v>
      </x:c>
      <x:c r="V1257" s="2" t="str">
        <x:v>Future horizontal path is already a v16 driver; WUP historical surface derives from GHSL</x:v>
      </x:c>
      <x:c r="W1257" s="2" t="str">
        <x:v>https://human-settlement.emergency.copernicus.eu/datasets.php</x:v>
      </x:c>
    </x:row>
    <x:row r="1258" ht="23" customHeight="1">
      <x:c r="A1258" s="2" t="str">
        <x:v>IRQ</x:v>
      </x:c>
      <x:c r="B1258" s="2" t="str">
        <x:v>Iraq (Republic of)</x:v>
      </x:c>
      <x:c r="C1258" s="2" t="str">
        <x:v>WUP_SURFACE</x:v>
      </x:c>
      <x:c r="D1258" s="2" t="n">
        <x:v>2020</x:v>
      </x:c>
      <x:c r="E1258" s="2" t="n">
        <x:v>2025</x:v>
      </x:c>
      <x:c r="F1258" s="17" t="n">
        <x:v>1226955244.870001</x:v>
      </x:c>
      <x:c r="G1258" s="17" t="n">
        <x:v>1461509289.7991912</x:v>
      </x:c>
      <x:c r="H1258" s="17" t="n">
        <x:v>1578249706.0221016</x:v>
      </x:c>
      <x:c r="I1258" s="17" t="n">
        <x:v>1871365366.896409</x:v>
      </x:c>
      <x:c r="J1258" s="2" t="str">
        <x:v>m2</x:v>
      </x:c>
      <x:c r="K1258" s="15" t="n">
        <x:f>IF(AND(ISNUMBER(F1258),ISNUMBER(G1258),F1258&gt;0),G1258/F1258-1,"n.a.")</x:f>
        <x:v>0.19116756369874088</x:v>
      </x:c>
      <x:c r="L1258" s="15" t="n">
        <x:f>IF(AND(N1258,ISNUMBER(H1258),ISNUMBER(I1258),H1258&gt;0),I1258/H1258-1,"n.a.")</x:f>
        <x:v>0.18572198034054477</x:v>
      </x:c>
      <x:c r="M1258" s="20" t="n">
        <x:f>IF(AND(ISNUMBER(K1258),ISNUMBER(L1258)),100*(K1258-L1258),"n.a.")</x:f>
        <x:v>0.5445583358196115</x:v>
      </x:c>
      <x:c r="N1258" s="13" t="b">
        <x:v>1</x:v>
      </x:c>
      <x:c r="O1258" s="13" t="b">
        <x:v>1</x:v>
      </x:c>
      <x:c r="P1258" s="13" t="b">
        <x:v>0</x:v>
      </x:c>
      <x:c r="Q1258" s="2" t="str">
        <x:v>L1_numeric_partition_qualified_not_national_completeness</x:v>
      </x:c>
      <x:c r="R1258" s="2" t="str">
        <x:v>L1_numeric_partition_qualified_not_national_completeness</x:v>
      </x:c>
      <x:c r="S1258" s="2" t="str">
        <x:v>historical_GHSL_BU_estimate</x:v>
      </x:c>
      <x:c r="T1258" s="2" t="str">
        <x:v>projected_CRISP_BU_surface</x:v>
      </x:c>
      <x:c r="U1258" s="2" t="str">
        <x:v>GFA growth versus source physical quantity growth; constant conversion required for equality</x:v>
      </x:c>
      <x:c r="V1258" s="2" t="str">
        <x:v>Future horizontal path is already a v16 driver; WUP historical surface derives from GHSL</x:v>
      </x:c>
      <x:c r="W1258" s="2" t="str">
        <x:v>https://human-settlement.emergency.copernicus.eu/datasets.php</x:v>
      </x:c>
    </x:row>
    <x:row r="1259" ht="23" customHeight="1">
      <x:c r="A1259" s="2" t="str">
        <x:v>ISL</x:v>
      </x:c>
      <x:c r="B1259" s="2" t="str">
        <x:v>Iceland</x:v>
      </x:c>
      <x:c r="C1259" s="2" t="str">
        <x:v>WUP_SURFACE</x:v>
      </x:c>
      <x:c r="D1259" s="2" t="n">
        <x:v>2020</x:v>
      </x:c>
      <x:c r="E1259" s="2" t="n">
        <x:v>2025</x:v>
      </x:c>
      <x:c r="F1259" s="17" t="n">
        <x:v>26377629.56999999</x:v>
      </x:c>
      <x:c r="G1259" s="17" t="n">
        <x:v>32065960.72835918</x:v>
      </x:c>
      <x:c r="H1259" s="17" t="n">
        <x:v>32077527.99264938</x:v>
      </x:c>
      <x:c r="I1259" s="17" t="n">
        <x:v>38808481.43576952</x:v>
      </x:c>
      <x:c r="J1259" s="2" t="str">
        <x:v>m2</x:v>
      </x:c>
      <x:c r="K1259" s="15" t="n">
        <x:f>IF(AND(ISNUMBER(F1259),ISNUMBER(G1259),F1259&gt;0),G1259/F1259-1,"n.a.")</x:f>
        <x:v>0.21564982339537786</x:v>
      </x:c>
      <x:c r="L1259" s="15" t="n">
        <x:f>IF(AND(N1259,ISNUMBER(H1259),ISNUMBER(I1259),H1259&gt;0),I1259/H1259-1,"n.a.")</x:f>
        <x:v>0.209833920015986</x:v>
      </x:c>
      <x:c r="M1259" s="20" t="n">
        <x:f>IF(AND(ISNUMBER(K1259),ISNUMBER(L1259)),100*(K1259-L1259),"n.a.")</x:f>
        <x:v>0.5815903379391862</x:v>
      </x:c>
      <x:c r="N1259" s="13" t="b">
        <x:v>1</x:v>
      </x:c>
      <x:c r="O1259" s="13" t="b">
        <x:v>1</x:v>
      </x:c>
      <x:c r="P1259" s="13" t="b">
        <x:v>0</x:v>
      </x:c>
      <x:c r="Q1259" s="2" t="str">
        <x:v>L1_numeric_partition_qualified_not_national_completeness</x:v>
      </x:c>
      <x:c r="R1259" s="2" t="str">
        <x:v>L1_numeric_partition_qualified_not_national_completeness</x:v>
      </x:c>
      <x:c r="S1259" s="2" t="str">
        <x:v>historical_GHSL_BU_estimate</x:v>
      </x:c>
      <x:c r="T1259" s="2" t="str">
        <x:v>projected_CRISP_BU_surface</x:v>
      </x:c>
      <x:c r="U1259" s="2" t="str">
        <x:v>GFA growth versus source physical quantity growth; constant conversion required for equality</x:v>
      </x:c>
      <x:c r="V1259" s="2" t="str">
        <x:v>Future horizontal path is already a v16 driver; WUP historical surface derives from GHSL</x:v>
      </x:c>
      <x:c r="W1259" s="2" t="str">
        <x:v>https://human-settlement.emergency.copernicus.eu/datasets.php</x:v>
      </x:c>
    </x:row>
    <x:row r="1260" ht="23" customHeight="1">
      <x:c r="A1260" s="2" t="str">
        <x:v>ISR</x:v>
      </x:c>
      <x:c r="B1260" s="2" t="str">
        <x:v>Israel (State of)</x:v>
      </x:c>
      <x:c r="C1260" s="2" t="str">
        <x:v>WUP_SURFACE</x:v>
      </x:c>
      <x:c r="D1260" s="2" t="n">
        <x:v>2020</x:v>
      </x:c>
      <x:c r="E1260" s="2" t="n">
        <x:v>2025</x:v>
      </x:c>
      <x:c r="F1260" s="17" t="n">
        <x:v>372353983.1399999</x:v>
      </x:c>
      <x:c r="G1260" s="17" t="n">
        <x:v>434477484.9299726</x:v>
      </x:c>
      <x:c r="H1260" s="17" t="n">
        <x:v>462391054.28538233</x:v>
      </x:c>
      <x:c r="I1260" s="17" t="n">
        <x:v>536851286.85073036</x:v>
      </x:c>
      <x:c r="J1260" s="2" t="str">
        <x:v>m2</x:v>
      </x:c>
      <x:c r="K1260" s="15" t="n">
        <x:f>IF(AND(ISNUMBER(F1260),ISNUMBER(G1260),F1260&gt;0),G1260/F1260-1,"n.a.")</x:f>
        <x:v>0.16683990128451254</x:v>
      </x:c>
      <x:c r="L1260" s="15" t="n">
        <x:f>IF(AND(N1260,ISNUMBER(H1260),ISNUMBER(I1260),H1260&gt;0),I1260/H1260-1,"n.a.")</x:f>
        <x:v>0.1610330301057079</x:v>
      </x:c>
      <x:c r="M1260" s="20" t="n">
        <x:f>IF(AND(ISNUMBER(K1260),ISNUMBER(L1260)),100*(K1260-L1260),"n.a.")</x:f>
        <x:v>0.5806871178804629</x:v>
      </x:c>
      <x:c r="N1260" s="13" t="b">
        <x:v>1</x:v>
      </x:c>
      <x:c r="O1260" s="13" t="b">
        <x:v>1</x:v>
      </x:c>
      <x:c r="P1260" s="13" t="b">
        <x:v>0</x:v>
      </x:c>
      <x:c r="Q1260" s="2" t="str">
        <x:v>L1_numeric_partition_qualified_not_national_completeness</x:v>
      </x:c>
      <x:c r="R1260" s="2" t="str">
        <x:v>L1_numeric_partition_qualified_not_national_completeness</x:v>
      </x:c>
      <x:c r="S1260" s="2" t="str">
        <x:v>historical_GHSL_BU_estimate</x:v>
      </x:c>
      <x:c r="T1260" s="2" t="str">
        <x:v>projected_CRISP_BU_surface</x:v>
      </x:c>
      <x:c r="U1260" s="2" t="str">
        <x:v>GFA growth versus source physical quantity growth; constant conversion required for equality</x:v>
      </x:c>
      <x:c r="V1260" s="2" t="str">
        <x:v>Future horizontal path is already a v16 driver; WUP historical surface derives from GHSL</x:v>
      </x:c>
      <x:c r="W1260" s="2" t="str">
        <x:v>https://human-settlement.emergency.copernicus.eu/datasets.php</x:v>
      </x:c>
    </x:row>
    <x:row r="1261" ht="23" customHeight="1">
      <x:c r="A1261" s="2" t="str">
        <x:v>ITA</x:v>
      </x:c>
      <x:c r="B1261" s="2" t="str">
        <x:v>Italy (Italian Republic)</x:v>
      </x:c>
      <x:c r="C1261" s="2" t="str">
        <x:v>WUP_SURFACE</x:v>
      </x:c>
      <x:c r="D1261" s="2" t="n">
        <x:v>2020</x:v>
      </x:c>
      <x:c r="E1261" s="2" t="n">
        <x:v>2025</x:v>
      </x:c>
      <x:c r="F1261" s="17" t="n">
        <x:v>5000634293.290002</x:v>
      </x:c>
      <x:c r="G1261" s="17" t="n">
        <x:v>5585031000.099003</x:v>
      </x:c>
      <x:c r="H1261" s="17" t="n">
        <x:v>6926352828.687858</x:v>
      </x:c>
      <x:c r="I1261" s="17" t="n">
        <x:v>7726251363.437789</x:v>
      </x:c>
      <x:c r="J1261" s="2" t="str">
        <x:v>m2</x:v>
      </x:c>
      <x:c r="K1261" s="15" t="n">
        <x:f>IF(AND(ISNUMBER(F1261),ISNUMBER(G1261),F1261&gt;0),G1261/F1261-1,"n.a.")</x:f>
        <x:v>0.1168645160861217</x:v>
      </x:c>
      <x:c r="L1261" s="15" t="n">
        <x:f>IF(AND(N1261,ISNUMBER(H1261),ISNUMBER(I1261),H1261&gt;0),I1261/H1261-1,"n.a.")</x:f>
        <x:v>0.115486252943523</x:v>
      </x:c>
      <x:c r="M1261" s="20" t="n">
        <x:f>IF(AND(ISNUMBER(K1261),ISNUMBER(L1261)),100*(K1261-L1261),"n.a.")</x:f>
        <x:v>0.13782631425987013</x:v>
      </x:c>
      <x:c r="N1261" s="13" t="b">
        <x:v>1</x:v>
      </x:c>
      <x:c r="O1261" s="13" t="b">
        <x:v>1</x:v>
      </x:c>
      <x:c r="P1261" s="13" t="b">
        <x:v>0</x:v>
      </x:c>
      <x:c r="Q1261" s="2" t="str">
        <x:v>L1_numeric_partition_qualified_not_national_completeness</x:v>
      </x:c>
      <x:c r="R1261" s="2" t="str">
        <x:v>L1_numeric_partition_qualified_not_national_completeness</x:v>
      </x:c>
      <x:c r="S1261" s="2" t="str">
        <x:v>historical_GHSL_BU_estimate</x:v>
      </x:c>
      <x:c r="T1261" s="2" t="str">
        <x:v>projected_CRISP_BU_surface</x:v>
      </x:c>
      <x:c r="U1261" s="2" t="str">
        <x:v>GFA growth versus source physical quantity growth; constant conversion required for equality</x:v>
      </x:c>
      <x:c r="V1261" s="2" t="str">
        <x:v>Future horizontal path is already a v16 driver; WUP historical surface derives from GHSL</x:v>
      </x:c>
      <x:c r="W1261" s="2" t="str">
        <x:v>https://human-settlement.emergency.copernicus.eu/datasets.php</x:v>
      </x:c>
    </x:row>
    <x:row r="1262" ht="23" customHeight="1">
      <x:c r="A1262" s="2" t="str">
        <x:v>JAM</x:v>
      </x:c>
      <x:c r="B1262" s="2" t="str">
        <x:v>Jamaica</x:v>
      </x:c>
      <x:c r="C1262" s="2" t="str">
        <x:v>WUP_SURFACE</x:v>
      </x:c>
      <x:c r="D1262" s="2" t="n">
        <x:v>2020</x:v>
      </x:c>
      <x:c r="E1262" s="2" t="n">
        <x:v>2025</x:v>
      </x:c>
      <x:c r="F1262" s="17" t="n">
        <x:v>133338245.18999992</x:v>
      </x:c>
      <x:c r="G1262" s="17" t="n">
        <x:v>142100625.36774015</x:v>
      </x:c>
      <x:c r="H1262" s="17" t="n">
        <x:v>223762960.0370435</x:v>
      </x:c>
      <x:c r="I1262" s="17" t="n">
        <x:v>237689971.08128625</x:v>
      </x:c>
      <x:c r="J1262" s="2" t="str">
        <x:v>m2</x:v>
      </x:c>
      <x:c r="K1262" s="15" t="n">
        <x:f>IF(AND(ISNUMBER(F1262),ISNUMBER(G1262),F1262&gt;0),G1262/F1262-1,"n.a.")</x:f>
        <x:v>0.06571543044723827</x:v>
      </x:c>
      <x:c r="L1262" s="15" t="n">
        <x:f>IF(AND(N1262,ISNUMBER(H1262),ISNUMBER(I1262),H1262&gt;0),I1262/H1262-1,"n.a.")</x:f>
        <x:v>0.0622400197152253</x:v>
      </x:c>
      <x:c r="M1262" s="20" t="n">
        <x:f>IF(AND(ISNUMBER(K1262),ISNUMBER(L1262)),100*(K1262-L1262),"n.a.")</x:f>
        <x:v>0.34754107320129624</x:v>
      </x:c>
      <x:c r="N1262" s="13" t="b">
        <x:v>1</x:v>
      </x:c>
      <x:c r="O1262" s="13" t="b">
        <x:v>1</x:v>
      </x:c>
      <x:c r="P1262" s="13" t="b">
        <x:v>0</x:v>
      </x:c>
      <x:c r="Q1262" s="2" t="str">
        <x:v>L1_numeric_partition_qualified_not_national_completeness</x:v>
      </x:c>
      <x:c r="R1262" s="2" t="str">
        <x:v>L1_numeric_partition_qualified_not_national_completeness</x:v>
      </x:c>
      <x:c r="S1262" s="2" t="str">
        <x:v>historical_GHSL_BU_estimate</x:v>
      </x:c>
      <x:c r="T1262" s="2" t="str">
        <x:v>projected_CRISP_BU_surface</x:v>
      </x:c>
      <x:c r="U1262" s="2" t="str">
        <x:v>GFA growth versus source physical quantity growth; constant conversion required for equality</x:v>
      </x:c>
      <x:c r="V1262" s="2" t="str">
        <x:v>Future horizontal path is already a v16 driver; WUP historical surface derives from GHSL</x:v>
      </x:c>
      <x:c r="W1262" s="2" t="str">
        <x:v>https://human-settlement.emergency.copernicus.eu/datasets.php</x:v>
      </x:c>
    </x:row>
    <x:row r="1263" ht="23" customHeight="1">
      <x:c r="A1263" s="2" t="str">
        <x:v>JOR</x:v>
      </x:c>
      <x:c r="B1263" s="2" t="str">
        <x:v>Jordan (Hashemite Kingdom of)</x:v>
      </x:c>
      <x:c r="C1263" s="2" t="str">
        <x:v>WUP_SURFACE</x:v>
      </x:c>
      <x:c r="D1263" s="2" t="n">
        <x:v>2020</x:v>
      </x:c>
      <x:c r="E1263" s="2" t="n">
        <x:v>2025</x:v>
      </x:c>
      <x:c r="F1263" s="17" t="n">
        <x:v>279172690.0000002</x:v>
      </x:c>
      <x:c r="G1263" s="17" t="n">
        <x:v>332527970.9645053</x:v>
      </x:c>
      <x:c r="H1263" s="17" t="n">
        <x:v>326961055.7409019</x:v>
      </x:c>
      <x:c r="I1263" s="17" t="n">
        <x:v>387905948.81642175</x:v>
      </x:c>
      <x:c r="J1263" s="2" t="str">
        <x:v>m2</x:v>
      </x:c>
      <x:c r="K1263" s="15" t="n">
        <x:f>IF(AND(ISNUMBER(F1263),ISNUMBER(G1263),F1263&gt;0),G1263/F1263-1,"n.a.")</x:f>
        <x:v>0.1911192708875109</x:v>
      </x:c>
      <x:c r="L1263" s="15" t="n">
        <x:f>IF(AND(N1263,ISNUMBER(H1263),ISNUMBER(I1263),H1263&gt;0),I1263/H1263-1,"n.a.")</x:f>
        <x:v>0.18639801898552477</x:v>
      </x:c>
      <x:c r="M1263" s="20" t="n">
        <x:f>IF(AND(ISNUMBER(K1263),ISNUMBER(L1263)),100*(K1263-L1263),"n.a.")</x:f>
        <x:v>0.47212519019861343</x:v>
      </x:c>
      <x:c r="N1263" s="13" t="b">
        <x:v>1</x:v>
      </x:c>
      <x:c r="O1263" s="13" t="b">
        <x:v>1</x:v>
      </x:c>
      <x:c r="P1263" s="13" t="b">
        <x:v>0</x:v>
      </x:c>
      <x:c r="Q1263" s="2" t="str">
        <x:v>L1_numeric_partition_qualified_not_national_completeness</x:v>
      </x:c>
      <x:c r="R1263" s="2" t="str">
        <x:v>L1_numeric_partition_qualified_not_national_completeness</x:v>
      </x:c>
      <x:c r="S1263" s="2" t="str">
        <x:v>historical_GHSL_BU_estimate</x:v>
      </x:c>
      <x:c r="T1263" s="2" t="str">
        <x:v>projected_CRISP_BU_surface</x:v>
      </x:c>
      <x:c r="U1263" s="2" t="str">
        <x:v>GFA growth versus source physical quantity growth; constant conversion required for equality</x:v>
      </x:c>
      <x:c r="V1263" s="2" t="str">
        <x:v>Future horizontal path is already a v16 driver; WUP historical surface derives from GHSL</x:v>
      </x:c>
      <x:c r="W1263" s="2" t="str">
        <x:v>https://human-settlement.emergency.copernicus.eu/datasets.php</x:v>
      </x:c>
    </x:row>
    <x:row r="1264" ht="23" customHeight="1">
      <x:c r="A1264" s="2" t="str">
        <x:v>JPN</x:v>
      </x:c>
      <x:c r="B1264" s="2" t="str">
        <x:v>Japan</x:v>
      </x:c>
      <x:c r="C1264" s="2" t="str">
        <x:v>WUP_SURFACE</x:v>
      </x:c>
      <x:c r="D1264" s="2" t="n">
        <x:v>2020</x:v>
      </x:c>
      <x:c r="E1264" s="2" t="n">
        <x:v>2025</x:v>
      </x:c>
      <x:c r="F1264" s="17" t="n">
        <x:v>8341228241.779989</x:v>
      </x:c>
      <x:c r="G1264" s="17" t="n">
        <x:v>8666998550.346603</x:v>
      </x:c>
      <x:c r="H1264" s="17" t="n">
        <x:v>12914669529.300297</x:v>
      </x:c>
      <x:c r="I1264" s="17" t="n">
        <x:v>13401024428.113756</x:v>
      </x:c>
      <x:c r="J1264" s="2" t="str">
        <x:v>m2</x:v>
      </x:c>
      <x:c r="K1264" s="15" t="n">
        <x:f>IF(AND(ISNUMBER(F1264),ISNUMBER(G1264),F1264&gt;0),G1264/F1264-1,"n.a.")</x:f>
        <x:v>0.039055436336687066</x:v>
      </x:c>
      <x:c r="L1264" s="15" t="n">
        <x:f>IF(AND(N1264,ISNUMBER(H1264),ISNUMBER(I1264),H1264&gt;0),I1264/H1264-1,"n.a.")</x:f>
        <x:v>0.037659105229912004</x:v>
      </x:c>
      <x:c r="M1264" s="20" t="n">
        <x:f>IF(AND(ISNUMBER(K1264),ISNUMBER(L1264)),100*(K1264-L1264),"n.a.")</x:f>
        <x:v>0.13963311067750617</x:v>
      </x:c>
      <x:c r="N1264" s="13" t="b">
        <x:v>1</x:v>
      </x:c>
      <x:c r="O1264" s="13" t="b">
        <x:v>1</x:v>
      </x:c>
      <x:c r="P1264" s="13" t="b">
        <x:v>0</x:v>
      </x:c>
      <x:c r="Q1264" s="2" t="str">
        <x:v>L1_numeric_partition_qualified_not_national_completeness</x:v>
      </x:c>
      <x:c r="R1264" s="2" t="str">
        <x:v>L1_numeric_partition_qualified_not_national_completeness</x:v>
      </x:c>
      <x:c r="S1264" s="2" t="str">
        <x:v>historical_GHSL_BU_estimate</x:v>
      </x:c>
      <x:c r="T1264" s="2" t="str">
        <x:v>projected_CRISP_BU_surface</x:v>
      </x:c>
      <x:c r="U1264" s="2" t="str">
        <x:v>GFA growth versus source physical quantity growth; constant conversion required for equality</x:v>
      </x:c>
      <x:c r="V1264" s="2" t="str">
        <x:v>Future horizontal path is already a v16 driver; WUP historical surface derives from GHSL</x:v>
      </x:c>
      <x:c r="W1264" s="2" t="str">
        <x:v>https://human-settlement.emergency.copernicus.eu/datasets.php</x:v>
      </x:c>
    </x:row>
    <x:row r="1265" ht="23" customHeight="1">
      <x:c r="A1265" s="2" t="str">
        <x:v>KAZ</x:v>
      </x:c>
      <x:c r="B1265" s="2" t="str">
        <x:v>Kazakhstan (Republic of)</x:v>
      </x:c>
      <x:c r="C1265" s="2" t="str">
        <x:v>WUP_SURFACE</x:v>
      </x:c>
      <x:c r="D1265" s="2" t="n">
        <x:v>2020</x:v>
      </x:c>
      <x:c r="E1265" s="2" t="n">
        <x:v>2025</x:v>
      </x:c>
      <x:c r="F1265" s="17" t="n">
        <x:v>1009034692.9700016</x:v>
      </x:c>
      <x:c r="G1265" s="17" t="n">
        <x:v>1104303075.0287642</x:v>
      </x:c>
      <x:c r="H1265" s="17" t="n">
        <x:v>2313486292.257429</x:v>
      </x:c>
      <x:c r="I1265" s="17" t="n">
        <x:v>2519759687.7715616</x:v>
      </x:c>
      <x:c r="J1265" s="2" t="str">
        <x:v>m2</x:v>
      </x:c>
      <x:c r="K1265" s="15" t="n">
        <x:f>IF(AND(ISNUMBER(F1265),ISNUMBER(G1265),F1265&gt;0),G1265/F1265-1,"n.a.")</x:f>
        <x:v>0.09441536819546692</x:v>
      </x:c>
      <x:c r="L1265" s="15" t="n">
        <x:f>IF(AND(N1265,ISNUMBER(H1265),ISNUMBER(I1265),H1265&gt;0),I1265/H1265-1,"n.a.")</x:f>
        <x:v>0.089161278458606</x:v>
      </x:c>
      <x:c r="M1265" s="20" t="n">
        <x:f>IF(AND(ISNUMBER(K1265),ISNUMBER(L1265)),100*(K1265-L1265),"n.a.")</x:f>
        <x:v>0.5254089736860923</x:v>
      </x:c>
      <x:c r="N1265" s="13" t="b">
        <x:v>1</x:v>
      </x:c>
      <x:c r="O1265" s="13" t="b">
        <x:v>1</x:v>
      </x:c>
      <x:c r="P1265" s="13" t="b">
        <x:v>0</x:v>
      </x:c>
      <x:c r="Q1265" s="2" t="str">
        <x:v>L1_numeric_partition_qualified_not_national_completeness</x:v>
      </x:c>
      <x:c r="R1265" s="2" t="str">
        <x:v>L1_numeric_partition_qualified_not_national_completeness</x:v>
      </x:c>
      <x:c r="S1265" s="2" t="str">
        <x:v>historical_GHSL_BU_estimate</x:v>
      </x:c>
      <x:c r="T1265" s="2" t="str">
        <x:v>projected_CRISP_BU_surface</x:v>
      </x:c>
      <x:c r="U1265" s="2" t="str">
        <x:v>GFA growth versus source physical quantity growth; constant conversion required for equality</x:v>
      </x:c>
      <x:c r="V1265" s="2" t="str">
        <x:v>Future horizontal path is already a v16 driver; WUP historical surface derives from GHSL</x:v>
      </x:c>
      <x:c r="W1265" s="2" t="str">
        <x:v>https://human-settlement.emergency.copernicus.eu/datasets.php</x:v>
      </x:c>
    </x:row>
    <x:row r="1266" ht="23" customHeight="1">
      <x:c r="A1266" s="2" t="str">
        <x:v>KEN</x:v>
      </x:c>
      <x:c r="B1266" s="2" t="str">
        <x:v>Kenya (Republic of)</x:v>
      </x:c>
      <x:c r="C1266" s="2" t="str">
        <x:v>WUP_SURFACE</x:v>
      </x:c>
      <x:c r="D1266" s="2" t="n">
        <x:v>2020</x:v>
      </x:c>
      <x:c r="E1266" s="2" t="n">
        <x:v>2025</x:v>
      </x:c>
      <x:c r="F1266" s="17" t="n">
        <x:v>1180050447.52</x:v>
      </x:c>
      <x:c r="G1266" s="17" t="n">
        <x:v>1344632401.951122</x:v>
      </x:c>
      <x:c r="H1266" s="17" t="n">
        <x:v>3057429689.161173</x:v>
      </x:c>
      <x:c r="I1266" s="17" t="n">
        <x:v>3468680265.7433453</x:v>
      </x:c>
      <x:c r="J1266" s="2" t="str">
        <x:v>m2</x:v>
      </x:c>
      <x:c r="K1266" s="15" t="n">
        <x:f>IF(AND(ISNUMBER(F1266),ISNUMBER(G1266),F1266&gt;0),G1266/F1266-1,"n.a.")</x:f>
        <x:v>0.13947026991685685</x:v>
      </x:c>
      <x:c r="L1266" s="15" t="n">
        <x:f>IF(AND(N1266,ISNUMBER(H1266),ISNUMBER(I1266),H1266&gt;0),I1266/H1266-1,"n.a.")</x:f>
        <x:v>0.13450859656399872</x:v>
      </x:c>
      <x:c r="M1266" s="20" t="n">
        <x:f>IF(AND(ISNUMBER(K1266),ISNUMBER(L1266)),100*(K1266-L1266),"n.a.")</x:f>
        <x:v>0.49616733528581314</x:v>
      </x:c>
      <x:c r="N1266" s="13" t="b">
        <x:v>1</x:v>
      </x:c>
      <x:c r="O1266" s="13" t="b">
        <x:v>1</x:v>
      </x:c>
      <x:c r="P1266" s="13" t="b">
        <x:v>0</x:v>
      </x:c>
      <x:c r="Q1266" s="2" t="str">
        <x:v>L1_numeric_partition_qualified_not_national_completeness</x:v>
      </x:c>
      <x:c r="R1266" s="2" t="str">
        <x:v>L1_numeric_partition_qualified_not_national_completeness</x:v>
      </x:c>
      <x:c r="S1266" s="2" t="str">
        <x:v>historical_GHSL_BU_estimate</x:v>
      </x:c>
      <x:c r="T1266" s="2" t="str">
        <x:v>projected_CRISP_BU_surface</x:v>
      </x:c>
      <x:c r="U1266" s="2" t="str">
        <x:v>GFA growth versus source physical quantity growth; constant conversion required for equality</x:v>
      </x:c>
      <x:c r="V1266" s="2" t="str">
        <x:v>Future horizontal path is already a v16 driver; WUP historical surface derives from GHSL</x:v>
      </x:c>
      <x:c r="W1266" s="2" t="str">
        <x:v>https://human-settlement.emergency.copernicus.eu/datasets.php</x:v>
      </x:c>
    </x:row>
    <x:row r="1267" ht="23" customHeight="1">
      <x:c r="A1267" s="2" t="str">
        <x:v>KGZ</x:v>
      </x:c>
      <x:c r="B1267" s="2" t="str">
        <x:v>Kyrgyzstan (Kyrgyz Republic)</x:v>
      </x:c>
      <x:c r="C1267" s="2" t="str">
        <x:v>WUP_SURFACE</x:v>
      </x:c>
      <x:c r="D1267" s="2" t="n">
        <x:v>2020</x:v>
      </x:c>
      <x:c r="E1267" s="2" t="n">
        <x:v>2025</x:v>
      </x:c>
      <x:c r="F1267" s="17" t="n">
        <x:v>332236534.37000054</x:v>
      </x:c>
      <x:c r="G1267" s="17" t="n">
        <x:v>365953434.63270617</x:v>
      </x:c>
      <x:c r="H1267" s="17" t="n">
        <x:v>676009971.9548508</x:v>
      </x:c>
      <x:c r="I1267" s="17" t="n">
        <x:v>741567975.1310418</x:v>
      </x:c>
      <x:c r="J1267" s="2" t="str">
        <x:v>m2</x:v>
      </x:c>
      <x:c r="K1267" s="15" t="n">
        <x:f>IF(AND(ISNUMBER(F1267),ISNUMBER(G1267),F1267&gt;0),G1267/F1267-1,"n.a.")</x:f>
        <x:v>0.10148462548419279</x:v>
      </x:c>
      <x:c r="L1267" s="15" t="n">
        <x:f>IF(AND(N1267,ISNUMBER(H1267),ISNUMBER(I1267),H1267&gt;0),I1267/H1267-1,"n.a.")</x:f>
        <x:v>0.09697786407885922</x:v>
      </x:c>
      <x:c r="M1267" s="20" t="n">
        <x:f>IF(AND(ISNUMBER(K1267),ISNUMBER(L1267)),100*(K1267-L1267),"n.a.")</x:f>
        <x:v>0.45067614053335703</x:v>
      </x:c>
      <x:c r="N1267" s="13" t="b">
        <x:v>1</x:v>
      </x:c>
      <x:c r="O1267" s="13" t="b">
        <x:v>1</x:v>
      </x:c>
      <x:c r="P1267" s="13" t="b">
        <x:v>0</x:v>
      </x:c>
      <x:c r="Q1267" s="2" t="str">
        <x:v>L1_numeric_partition_qualified_not_national_completeness</x:v>
      </x:c>
      <x:c r="R1267" s="2" t="str">
        <x:v>L1_numeric_partition_qualified_not_national_completeness</x:v>
      </x:c>
      <x:c r="S1267" s="2" t="str">
        <x:v>historical_GHSL_BU_estimate</x:v>
      </x:c>
      <x:c r="T1267" s="2" t="str">
        <x:v>projected_CRISP_BU_surface</x:v>
      </x:c>
      <x:c r="U1267" s="2" t="str">
        <x:v>GFA growth versus source physical quantity growth; constant conversion required for equality</x:v>
      </x:c>
      <x:c r="V1267" s="2" t="str">
        <x:v>Future horizontal path is already a v16 driver; WUP historical surface derives from GHSL</x:v>
      </x:c>
      <x:c r="W1267" s="2" t="str">
        <x:v>https://human-settlement.emergency.copernicus.eu/datasets.php</x:v>
      </x:c>
    </x:row>
    <x:row r="1268" ht="23" customHeight="1">
      <x:c r="A1268" s="2" t="str">
        <x:v>KHM</x:v>
      </x:c>
      <x:c r="B1268" s="2" t="str">
        <x:v>Cambodia (Kingdom of)</x:v>
      </x:c>
      <x:c r="C1268" s="2" t="str">
        <x:v>WUP_SURFACE</x:v>
      </x:c>
      <x:c r="D1268" s="2" t="n">
        <x:v>2020</x:v>
      </x:c>
      <x:c r="E1268" s="2" t="n">
        <x:v>2025</x:v>
      </x:c>
      <x:c r="F1268" s="17" t="n">
        <x:v>672933221.830001</x:v>
      </x:c>
      <x:c r="G1268" s="17" t="n">
        <x:v>766989742.5283417</x:v>
      </x:c>
      <x:c r="H1268" s="17" t="n">
        <x:v>809555987.1995302</x:v>
      </x:c>
      <x:c r="I1268" s="17" t="n">
        <x:v>920105901.5963514</x:v>
      </x:c>
      <x:c r="J1268" s="2" t="str">
        <x:v>m2</x:v>
      </x:c>
      <x:c r="K1268" s="15" t="n">
        <x:f>IF(AND(ISNUMBER(F1268),ISNUMBER(G1268),F1268&gt;0),G1268/F1268-1,"n.a.")</x:f>
        <x:v>0.13977095742510626</x:v>
      </x:c>
      <x:c r="L1268" s="15" t="n">
        <x:f>IF(AND(N1268,ISNUMBER(H1268),ISNUMBER(I1268),H1268&gt;0),I1268/H1268-1,"n.a.")</x:f>
        <x:v>0.136556231001691</x:v>
      </x:c>
      <x:c r="M1268" s="20" t="n">
        <x:f>IF(AND(ISNUMBER(K1268),ISNUMBER(L1268)),100*(K1268-L1268),"n.a.")</x:f>
        <x:v>0.32147264234152484</x:v>
      </x:c>
      <x:c r="N1268" s="13" t="b">
        <x:v>1</x:v>
      </x:c>
      <x:c r="O1268" s="13" t="b">
        <x:v>1</x:v>
      </x:c>
      <x:c r="P1268" s="13" t="b">
        <x:v>0</x:v>
      </x:c>
      <x:c r="Q1268" s="2" t="str">
        <x:v>L1_numeric_partition_qualified_not_national_completeness</x:v>
      </x:c>
      <x:c r="R1268" s="2" t="str">
        <x:v>L1_numeric_partition_qualified_not_national_completeness</x:v>
      </x:c>
      <x:c r="S1268" s="2" t="str">
        <x:v>historical_GHSL_BU_estimate</x:v>
      </x:c>
      <x:c r="T1268" s="2" t="str">
        <x:v>projected_CRISP_BU_surface</x:v>
      </x:c>
      <x:c r="U1268" s="2" t="str">
        <x:v>GFA growth versus source physical quantity growth; constant conversion required for equality</x:v>
      </x:c>
      <x:c r="V1268" s="2" t="str">
        <x:v>Future horizontal path is already a v16 driver; WUP historical surface derives from GHSL</x:v>
      </x:c>
      <x:c r="W1268" s="2" t="str">
        <x:v>https://human-settlement.emergency.copernicus.eu/datasets.php</x:v>
      </x:c>
    </x:row>
    <x:row r="1269" ht="23" customHeight="1">
      <x:c r="A1269" s="2" t="str">
        <x:v>KIR</x:v>
      </x:c>
      <x:c r="B1269" s="2" t="str">
        <x:v>Kiribati (Republic of)</x:v>
      </x:c>
      <x:c r="C1269" s="2" t="str">
        <x:v>WUP_SURFACE</x:v>
      </x:c>
      <x:c r="D1269" s="2" t="n">
        <x:v>2020</x:v>
      </x:c>
      <x:c r="E1269" s="2" t="n">
        <x:v>2025</x:v>
      </x:c>
      <x:c r="F1269" s="17" t="n">
        <x:v>1721739.6700000002</x:v>
      </x:c>
      <x:c r="G1269" s="17" t="n">
        <x:v>2219828.663819493</x:v>
      </x:c>
      <x:c r="H1269" s="17" t="n">
        <x:v>1365486.0004487545</x:v>
      </x:c>
      <x:c r="I1269" s="17" t="n">
        <x:v>1754640.0283345066</x:v>
      </x:c>
      <x:c r="J1269" s="2" t="str">
        <x:v>m2</x:v>
      </x:c>
      <x:c r="K1269" s="15" t="n">
        <x:f>IF(AND(ISNUMBER(F1269),ISNUMBER(G1269),F1269&gt;0),G1269/F1269-1,"n.a.")</x:f>
        <x:v>0.2892940219118565</x:v>
      </x:c>
      <x:c r="L1269" s="15" t="n">
        <x:f>IF(AND(N1269,ISNUMBER(H1269),ISNUMBER(I1269),H1269&gt;0),I1269/H1269-1,"n.a.")</x:f>
        <x:v>0.28499305577491096</x:v>
      </x:c>
      <x:c r="M1269" s="20" t="n">
        <x:f>IF(AND(ISNUMBER(K1269),ISNUMBER(L1269)),100*(K1269-L1269),"n.a.")</x:f>
        <x:v>0.43009661369455277</x:v>
      </x:c>
      <x:c r="N1269" s="13" t="b">
        <x:v>1</x:v>
      </x:c>
      <x:c r="O1269" s="13" t="b">
        <x:v>1</x:v>
      </x:c>
      <x:c r="P1269" s="13" t="b">
        <x:v>0</x:v>
      </x:c>
      <x:c r="Q1269" s="2" t="str">
        <x:v>L1_numeric_partition_qualified_not_national_completeness</x:v>
      </x:c>
      <x:c r="R1269" s="2" t="str">
        <x:v>L1_numeric_partition_qualified_not_national_completeness</x:v>
      </x:c>
      <x:c r="S1269" s="2" t="str">
        <x:v>historical_GHSL_BU_estimate</x:v>
      </x:c>
      <x:c r="T1269" s="2" t="str">
        <x:v>projected_CRISP_BU_surface</x:v>
      </x:c>
      <x:c r="U1269" s="2" t="str">
        <x:v>GFA growth versus source physical quantity growth; constant conversion required for equality</x:v>
      </x:c>
      <x:c r="V1269" s="2" t="str">
        <x:v>Future horizontal path is already a v16 driver; WUP historical surface derives from GHSL</x:v>
      </x:c>
      <x:c r="W1269" s="2" t="str">
        <x:v>https://human-settlement.emergency.copernicus.eu/datasets.php</x:v>
      </x:c>
    </x:row>
    <x:row r="1270" ht="23" customHeight="1">
      <x:c r="A1270" s="2" t="str">
        <x:v>KNA</x:v>
      </x:c>
      <x:c r="B1270" s="2" t="str">
        <x:v>Saint Kitts and Nevis (Federation of)</x:v>
      </x:c>
      <x:c r="C1270" s="2" t="str">
        <x:v>WUP_SURFACE</x:v>
      </x:c>
      <x:c r="D1270" s="2" t="n">
        <x:v>2020</x:v>
      </x:c>
      <x:c r="E1270" s="2" t="n">
        <x:v>2025</x:v>
      </x:c>
      <x:c r="F1270" s="17" t="n">
        <x:v>4523960.760000001</x:v>
      </x:c>
      <x:c r="G1270" s="17" t="n">
        <x:v>4754522.556175645</x:v>
      </x:c>
      <x:c r="H1270" s="17" t="n">
        <x:v>8302335.982883051</x:v>
      </x:c>
      <x:c r="I1270" s="17" t="n">
        <x:v>8722588.905056909</x:v>
      </x:c>
      <x:c r="J1270" s="2" t="str">
        <x:v>m2</x:v>
      </x:c>
      <x:c r="K1270" s="15" t="n">
        <x:f>IF(AND(ISNUMBER(F1270),ISNUMBER(G1270),F1270&gt;0),G1270/F1270-1,"n.a.")</x:f>
        <x:v>0.050964587981007226</x:v>
      </x:c>
      <x:c r="L1270" s="15" t="n">
        <x:f>IF(AND(N1270,ISNUMBER(H1270),ISNUMBER(I1270),H1270&gt;0),I1270/H1270-1,"n.a.")</x:f>
        <x:v>0.05061863589239146</x:v>
      </x:c>
      <x:c r="M1270" s="20" t="n">
        <x:f>IF(AND(ISNUMBER(K1270),ISNUMBER(L1270)),100*(K1270-L1270),"n.a.")</x:f>
        <x:v>0.03459520886157641</x:v>
      </x:c>
      <x:c r="N1270" s="13" t="b">
        <x:v>1</x:v>
      </x:c>
      <x:c r="O1270" s="13" t="b">
        <x:v>1</x:v>
      </x:c>
      <x:c r="P1270" s="13" t="b">
        <x:v>0</x:v>
      </x:c>
      <x:c r="Q1270" s="2" t="str">
        <x:v>L1_numeric_partition_qualified_not_national_completeness</x:v>
      </x:c>
      <x:c r="R1270" s="2" t="str">
        <x:v>L1_numeric_partition_qualified_not_national_completeness</x:v>
      </x:c>
      <x:c r="S1270" s="2" t="str">
        <x:v>historical_GHSL_BU_estimate</x:v>
      </x:c>
      <x:c r="T1270" s="2" t="str">
        <x:v>projected_CRISP_BU_surface</x:v>
      </x:c>
      <x:c r="U1270" s="2" t="str">
        <x:v>GFA growth versus source physical quantity growth; constant conversion required for equality</x:v>
      </x:c>
      <x:c r="V1270" s="2" t="str">
        <x:v>Future horizontal path is already a v16 driver; WUP historical surface derives from GHSL</x:v>
      </x:c>
      <x:c r="W1270" s="2" t="str">
        <x:v>https://human-settlement.emergency.copernicus.eu/datasets.php</x:v>
      </x:c>
    </x:row>
    <x:row r="1271" ht="23" customHeight="1">
      <x:c r="A1271" s="2" t="str">
        <x:v>KOR</x:v>
      </x:c>
      <x:c r="B1271" s="2" t="str">
        <x:v>Korea (Republic of)</x:v>
      </x:c>
      <x:c r="C1271" s="2" t="str">
        <x:v>WUP_SURFACE</x:v>
      </x:c>
      <x:c r="D1271" s="2" t="n">
        <x:v>2020</x:v>
      </x:c>
      <x:c r="E1271" s="2" t="n">
        <x:v>2025</x:v>
      </x:c>
      <x:c r="F1271" s="17" t="n">
        <x:v>2947698717.329997</x:v>
      </x:c>
      <x:c r="G1271" s="17" t="n">
        <x:v>3194148848.7565894</x:v>
      </x:c>
      <x:c r="H1271" s="17" t="n">
        <x:v>3586617010.949781</x:v>
      </x:c>
      <x:c r="I1271" s="17" t="n">
        <x:v>3875762606.2584896</x:v>
      </x:c>
      <x:c r="J1271" s="2" t="str">
        <x:v>m2</x:v>
      </x:c>
      <x:c r="K1271" s="15" t="n">
        <x:f>IF(AND(ISNUMBER(F1271),ISNUMBER(G1271),F1271&gt;0),G1271/F1271-1,"n.a.")</x:f>
        <x:v>0.08360763940278981</x:v>
      </x:c>
      <x:c r="L1271" s="15" t="n">
        <x:f>IF(AND(N1271,ISNUMBER(H1271),ISNUMBER(I1271),H1271&gt;0),I1271/H1271-1,"n.a.")</x:f>
        <x:v>0.0806179177832369</x:v>
      </x:c>
      <x:c r="M1271" s="20" t="n">
        <x:f>IF(AND(ISNUMBER(K1271),ISNUMBER(L1271)),100*(K1271-L1271),"n.a.")</x:f>
        <x:v>0.29897216195529097</x:v>
      </x:c>
      <x:c r="N1271" s="13" t="b">
        <x:v>1</x:v>
      </x:c>
      <x:c r="O1271" s="13" t="b">
        <x:v>1</x:v>
      </x:c>
      <x:c r="P1271" s="13" t="b">
        <x:v>0</x:v>
      </x:c>
      <x:c r="Q1271" s="2" t="str">
        <x:v>L1_numeric_partition_qualified_not_national_completeness</x:v>
      </x:c>
      <x:c r="R1271" s="2" t="str">
        <x:v>L1_numeric_partition_qualified_not_national_completeness</x:v>
      </x:c>
      <x:c r="S1271" s="2" t="str">
        <x:v>historical_GHSL_BU_estimate</x:v>
      </x:c>
      <x:c r="T1271" s="2" t="str">
        <x:v>projected_CRISP_BU_surface</x:v>
      </x:c>
      <x:c r="U1271" s="2" t="str">
        <x:v>GFA growth versus source physical quantity growth; constant conversion required for equality</x:v>
      </x:c>
      <x:c r="V1271" s="2" t="str">
        <x:v>Future horizontal path is already a v16 driver; WUP historical surface derives from GHSL</x:v>
      </x:c>
      <x:c r="W1271" s="2" t="str">
        <x:v>https://human-settlement.emergency.copernicus.eu/datasets.php</x:v>
      </x:c>
    </x:row>
    <x:row r="1272" ht="23" customHeight="1">
      <x:c r="A1272" s="2" t="str">
        <x:v>KWT</x:v>
      </x:c>
      <x:c r="B1272" s="2" t="str">
        <x:v>Kuwait (State of)</x:v>
      </x:c>
      <x:c r="C1272" s="2" t="str">
        <x:v>WUP_SURFACE</x:v>
      </x:c>
      <x:c r="D1272" s="2" t="n">
        <x:v>2020</x:v>
      </x:c>
      <x:c r="E1272" s="2" t="n">
        <x:v>2025</x:v>
      </x:c>
      <x:c r="F1272" s="17" t="n">
        <x:v>155594647.5199998</x:v>
      </x:c>
      <x:c r="G1272" s="17" t="n">
        <x:v>184317601.46830326</x:v>
      </x:c>
      <x:c r="H1272" s="17" t="n">
        <x:v>217834423.23681584</x:v>
      </x:c>
      <x:c r="I1272" s="17" t="n">
        <x:v>256979311.81825766</x:v>
      </x:c>
      <x:c r="J1272" s="2" t="str">
        <x:v>m2</x:v>
      </x:c>
      <x:c r="K1272" s="15" t="n">
        <x:f>IF(AND(ISNUMBER(F1272),ISNUMBER(G1272),F1272&gt;0),G1272/F1272-1,"n.a.")</x:f>
        <x:v>0.1846011698095944</x:v>
      </x:c>
      <x:c r="L1272" s="15" t="n">
        <x:f>IF(AND(N1272,ISNUMBER(H1272),ISNUMBER(I1272),H1272&gt;0),I1272/H1272-1,"n.a.")</x:f>
        <x:v>0.17970019613881671</x:v>
      </x:c>
      <x:c r="M1272" s="20" t="n">
        <x:f>IF(AND(ISNUMBER(K1272),ISNUMBER(L1272)),100*(K1272-L1272),"n.a.")</x:f>
        <x:v>0.49009736707776863</x:v>
      </x:c>
      <x:c r="N1272" s="13" t="b">
        <x:v>1</x:v>
      </x:c>
      <x:c r="O1272" s="13" t="b">
        <x:v>1</x:v>
      </x:c>
      <x:c r="P1272" s="13" t="b">
        <x:v>0</x:v>
      </x:c>
      <x:c r="Q1272" s="2" t="str">
        <x:v>L1_numeric_partition_qualified_not_national_completeness</x:v>
      </x:c>
      <x:c r="R1272" s="2" t="str">
        <x:v>L1_numeric_partition_qualified_not_national_completeness</x:v>
      </x:c>
      <x:c r="S1272" s="2" t="str">
        <x:v>historical_GHSL_BU_estimate</x:v>
      </x:c>
      <x:c r="T1272" s="2" t="str">
        <x:v>projected_CRISP_BU_surface</x:v>
      </x:c>
      <x:c r="U1272" s="2" t="str">
        <x:v>GFA growth versus source physical quantity growth; constant conversion required for equality</x:v>
      </x:c>
      <x:c r="V1272" s="2" t="str">
        <x:v>Future horizontal path is already a v16 driver; WUP historical surface derives from GHSL</x:v>
      </x:c>
      <x:c r="W1272" s="2" t="str">
        <x:v>https://human-settlement.emergency.copernicus.eu/datasets.php</x:v>
      </x:c>
    </x:row>
    <x:row r="1273" ht="23" customHeight="1">
      <x:c r="A1273" s="2" t="str">
        <x:v>LAO</x:v>
      </x:c>
      <x:c r="B1273" s="2" t="str">
        <x:v>Lao People's Democratic Republic</x:v>
      </x:c>
      <x:c r="C1273" s="2" t="str">
        <x:v>WUP_SURFACE</x:v>
      </x:c>
      <x:c r="D1273" s="2" t="n">
        <x:v>2020</x:v>
      </x:c>
      <x:c r="E1273" s="2" t="n">
        <x:v>2025</x:v>
      </x:c>
      <x:c r="F1273" s="17" t="n">
        <x:v>333393295.1899998</x:v>
      </x:c>
      <x:c r="G1273" s="17" t="n">
        <x:v>384756939.4682041</x:v>
      </x:c>
      <x:c r="H1273" s="17" t="n">
        <x:v>339745097.1179587</x:v>
      </x:c>
      <x:c r="I1273" s="17" t="n">
        <x:v>390790400.14894307</x:v>
      </x:c>
      <x:c r="J1273" s="2" t="str">
        <x:v>m2</x:v>
      </x:c>
      <x:c r="K1273" s="15" t="n">
        <x:f>IF(AND(ISNUMBER(F1273),ISNUMBER(G1273),F1273&gt;0),G1273/F1273-1,"n.a.")</x:f>
        <x:v>0.15406321908463183</x:v>
      </x:c>
      <x:c r="L1273" s="15" t="n">
        <x:f>IF(AND(N1273,ISNUMBER(H1273),ISNUMBER(I1273),H1273&gt;0),I1273/H1273-1,"n.a.")</x:f>
        <x:v>0.1502458857066642</x:v>
      </x:c>
      <x:c r="M1273" s="20" t="n">
        <x:f>IF(AND(ISNUMBER(K1273),ISNUMBER(L1273)),100*(K1273-L1273),"n.a.")</x:f>
        <x:v>0.38173333779676355</x:v>
      </x:c>
      <x:c r="N1273" s="13" t="b">
        <x:v>1</x:v>
      </x:c>
      <x:c r="O1273" s="13" t="b">
        <x:v>1</x:v>
      </x:c>
      <x:c r="P1273" s="13" t="b">
        <x:v>0</x:v>
      </x:c>
      <x:c r="Q1273" s="2" t="str">
        <x:v>L1_numeric_partition_qualified_not_national_completeness</x:v>
      </x:c>
      <x:c r="R1273" s="2" t="str">
        <x:v>L1_numeric_partition_qualified_not_national_completeness</x:v>
      </x:c>
      <x:c r="S1273" s="2" t="str">
        <x:v>historical_GHSL_BU_estimate</x:v>
      </x:c>
      <x:c r="T1273" s="2" t="str">
        <x:v>projected_CRISP_BU_surface</x:v>
      </x:c>
      <x:c r="U1273" s="2" t="str">
        <x:v>GFA growth versus source physical quantity growth; constant conversion required for equality</x:v>
      </x:c>
      <x:c r="V1273" s="2" t="str">
        <x:v>Future horizontal path is already a v16 driver; WUP historical surface derives from GHSL</x:v>
      </x:c>
      <x:c r="W1273" s="2" t="str">
        <x:v>https://human-settlement.emergency.copernicus.eu/datasets.php</x:v>
      </x:c>
    </x:row>
    <x:row r="1274" ht="23" customHeight="1">
      <x:c r="A1274" s="2" t="str">
        <x:v>LBN</x:v>
      </x:c>
      <x:c r="B1274" s="2" t="str">
        <x:v>Lebanon (Lebanese Republic)</x:v>
      </x:c>
      <x:c r="C1274" s="2" t="str">
        <x:v>WUP_SURFACE</x:v>
      </x:c>
      <x:c r="D1274" s="2" t="n">
        <x:v>2020</x:v>
      </x:c>
      <x:c r="E1274" s="2" t="n">
        <x:v>2025</x:v>
      </x:c>
      <x:c r="F1274" s="17" t="n">
        <x:v>226725070.95000017</x:v>
      </x:c>
      <x:c r="G1274" s="17" t="n">
        <x:v>251532840.60812202</x:v>
      </x:c>
      <x:c r="H1274" s="17" t="n">
        <x:v>290312516.0537993</x:v>
      </x:c>
      <x:c r="I1274" s="17" t="n">
        <x:v>322198712.8345638</x:v>
      </x:c>
      <x:c r="J1274" s="2" t="str">
        <x:v>m2</x:v>
      </x:c>
      <x:c r="K1274" s="15" t="n">
        <x:f>IF(AND(ISNUMBER(F1274),ISNUMBER(G1274),F1274&gt;0),G1274/F1274-1,"n.a.")</x:f>
        <x:v>0.10941784935461651</x:v>
      </x:c>
      <x:c r="L1274" s="15" t="n">
        <x:f>IF(AND(N1274,ISNUMBER(H1274),ISNUMBER(I1274),H1274&gt;0),I1274/H1274-1,"n.a.")</x:f>
        <x:v>0.10983404096451532</x:v>
      </x:c>
      <x:c r="M1274" s="20" t="n">
        <x:f>IF(AND(ISNUMBER(K1274),ISNUMBER(L1274)),100*(K1274-L1274),"n.a.")</x:f>
        <x:v>-0.04161916098988083</x:v>
      </x:c>
      <x:c r="N1274" s="13" t="b">
        <x:v>1</x:v>
      </x:c>
      <x:c r="O1274" s="13" t="b">
        <x:v>1</x:v>
      </x:c>
      <x:c r="P1274" s="13" t="b">
        <x:v>0</x:v>
      </x:c>
      <x:c r="Q1274" s="2" t="str">
        <x:v>L1_numeric_partition_qualified_not_national_completeness</x:v>
      </x:c>
      <x:c r="R1274" s="2" t="str">
        <x:v>L1_numeric_partition_qualified_not_national_completeness</x:v>
      </x:c>
      <x:c r="S1274" s="2" t="str">
        <x:v>historical_GHSL_BU_estimate</x:v>
      </x:c>
      <x:c r="T1274" s="2" t="str">
        <x:v>projected_CRISP_BU_surface</x:v>
      </x:c>
      <x:c r="U1274" s="2" t="str">
        <x:v>GFA growth versus source physical quantity growth; constant conversion required for equality</x:v>
      </x:c>
      <x:c r="V1274" s="2" t="str">
        <x:v>Future horizontal path is already a v16 driver; WUP historical surface derives from GHSL</x:v>
      </x:c>
      <x:c r="W1274" s="2" t="str">
        <x:v>https://human-settlement.emergency.copernicus.eu/datasets.php</x:v>
      </x:c>
    </x:row>
    <x:row r="1275" ht="23" customHeight="1">
      <x:c r="A1275" s="2" t="str">
        <x:v>LBR</x:v>
      </x:c>
      <x:c r="B1275" s="2" t="str">
        <x:v>Liberia (Republic of)</x:v>
      </x:c>
      <x:c r="C1275" s="2" t="str">
        <x:v>WUP_SURFACE</x:v>
      </x:c>
      <x:c r="D1275" s="2" t="n">
        <x:v>2020</x:v>
      </x:c>
      <x:c r="E1275" s="2" t="n">
        <x:v>2025</x:v>
      </x:c>
      <x:c r="F1275" s="17" t="n">
        <x:v>93713430.84000014</x:v>
      </x:c>
      <x:c r="G1275" s="17" t="n">
        <x:v>111730204.49078652</x:v>
      </x:c>
      <x:c r="H1275" s="17" t="n">
        <x:v>199718960.09603718</x:v>
      </x:c>
      <x:c r="I1275" s="17" t="n">
        <x:v>237151754.16973242</x:v>
      </x:c>
      <x:c r="J1275" s="2" t="str">
        <x:v>m2</x:v>
      </x:c>
      <x:c r="K1275" s="15" t="n">
        <x:f>IF(AND(ISNUMBER(F1275),ISNUMBER(G1275),F1275&gt;0),G1275/F1275-1,"n.a.")</x:f>
        <x:v>0.19225391162497285</x:v>
      </x:c>
      <x:c r="L1275" s="15" t="n">
        <x:f>IF(AND(N1275,ISNUMBER(H1275),ISNUMBER(I1275),H1275&gt;0),I1275/H1275-1,"n.a.")</x:f>
        <x:v>0.18742734318111443</x:v>
      </x:c>
      <x:c r="M1275" s="20" t="n">
        <x:f>IF(AND(ISNUMBER(K1275),ISNUMBER(L1275)),100*(K1275-L1275),"n.a.")</x:f>
        <x:v>0.48265684438584255</x:v>
      </x:c>
      <x:c r="N1275" s="13" t="b">
        <x:v>1</x:v>
      </x:c>
      <x:c r="O1275" s="13" t="b">
        <x:v>1</x:v>
      </x:c>
      <x:c r="P1275" s="13" t="b">
        <x:v>0</x:v>
      </x:c>
      <x:c r="Q1275" s="2" t="str">
        <x:v>L1_numeric_partition_qualified_not_national_completeness</x:v>
      </x:c>
      <x:c r="R1275" s="2" t="str">
        <x:v>L1_numeric_partition_qualified_not_national_completeness</x:v>
      </x:c>
      <x:c r="S1275" s="2" t="str">
        <x:v>historical_GHSL_BU_estimate</x:v>
      </x:c>
      <x:c r="T1275" s="2" t="str">
        <x:v>projected_CRISP_BU_surface</x:v>
      </x:c>
      <x:c r="U1275" s="2" t="str">
        <x:v>GFA growth versus source physical quantity growth; constant conversion required for equality</x:v>
      </x:c>
      <x:c r="V1275" s="2" t="str">
        <x:v>Future horizontal path is already a v16 driver; WUP historical surface derives from GHSL</x:v>
      </x:c>
      <x:c r="W1275" s="2" t="str">
        <x:v>https://human-settlement.emergency.copernicus.eu/datasets.php</x:v>
      </x:c>
    </x:row>
    <x:row r="1276" ht="23" customHeight="1">
      <x:c r="A1276" s="2" t="str">
        <x:v>LBY</x:v>
      </x:c>
      <x:c r="B1276" s="2" t="str">
        <x:v>Libya (State of)</x:v>
      </x:c>
      <x:c r="C1276" s="2" t="str">
        <x:v>WUP_SURFACE</x:v>
      </x:c>
      <x:c r="D1276" s="2" t="n">
        <x:v>2020</x:v>
      </x:c>
      <x:c r="E1276" s="2" t="n">
        <x:v>2025</x:v>
      </x:c>
      <x:c r="F1276" s="17" t="n">
        <x:v>523048577.3000005</x:v>
      </x:c>
      <x:c r="G1276" s="17" t="n">
        <x:v>557852331.2497411</x:v>
      </x:c>
      <x:c r="H1276" s="17" t="n">
        <x:v>1007615694.8703437</x:v>
      </x:c>
      <x:c r="I1276" s="17" t="n">
        <x:v>1072198955.8974758</x:v>
      </x:c>
      <x:c r="J1276" s="2" t="str">
        <x:v>m2</x:v>
      </x:c>
      <x:c r="K1276" s="15" t="n">
        <x:f>IF(AND(ISNUMBER(F1276),ISNUMBER(G1276),F1276&gt;0),G1276/F1276-1,"n.a.")</x:f>
        <x:v>0.06654019427678981</x:v>
      </x:c>
      <x:c r="L1276" s="15" t="n">
        <x:f>IF(AND(N1276,ISNUMBER(H1276),ISNUMBER(I1276),H1276&gt;0),I1276/H1276-1,"n.a.")</x:f>
        <x:v>0.06409513205869866</x:v>
      </x:c>
      <x:c r="M1276" s="20" t="n">
        <x:f>IF(AND(ISNUMBER(K1276),ISNUMBER(L1276)),100*(K1276-L1276),"n.a.")</x:f>
        <x:v>0.2445062218091154</x:v>
      </x:c>
      <x:c r="N1276" s="13" t="b">
        <x:v>1</x:v>
      </x:c>
      <x:c r="O1276" s="13" t="b">
        <x:v>1</x:v>
      </x:c>
      <x:c r="P1276" s="13" t="b">
        <x:v>0</x:v>
      </x:c>
      <x:c r="Q1276" s="2" t="str">
        <x:v>L1_numeric_partition_qualified_not_national_completeness</x:v>
      </x:c>
      <x:c r="R1276" s="2" t="str">
        <x:v>L1_numeric_partition_qualified_not_national_completeness</x:v>
      </x:c>
      <x:c r="S1276" s="2" t="str">
        <x:v>historical_GHSL_BU_estimate</x:v>
      </x:c>
      <x:c r="T1276" s="2" t="str">
        <x:v>projected_CRISP_BU_surface</x:v>
      </x:c>
      <x:c r="U1276" s="2" t="str">
        <x:v>GFA growth versus source physical quantity growth; constant conversion required for equality</x:v>
      </x:c>
      <x:c r="V1276" s="2" t="str">
        <x:v>Future horizontal path is already a v16 driver; WUP historical surface derives from GHSL</x:v>
      </x:c>
      <x:c r="W1276" s="2" t="str">
        <x:v>https://human-settlement.emergency.copernicus.eu/datasets.php</x:v>
      </x:c>
    </x:row>
    <x:row r="1277" ht="23" customHeight="1">
      <x:c r="A1277" s="2" t="str">
        <x:v>LCA</x:v>
      </x:c>
      <x:c r="B1277" s="2" t="str">
        <x:v>Saint Lucia</x:v>
      </x:c>
      <x:c r="C1277" s="2" t="str">
        <x:v>WUP_SURFACE</x:v>
      </x:c>
      <x:c r="D1277" s="2" t="n">
        <x:v>2020</x:v>
      </x:c>
      <x:c r="E1277" s="2" t="n">
        <x:v>2025</x:v>
      </x:c>
      <x:c r="F1277" s="17" t="n">
        <x:v>10226894.600000018</x:v>
      </x:c>
      <x:c r="G1277" s="17" t="n">
        <x:v>11131364.094672032</x:v>
      </x:c>
      <x:c r="H1277" s="17" t="n">
        <x:v>15660153.983425064</x:v>
      </x:c>
      <x:c r="I1277" s="17" t="n">
        <x:v>16994921.959456407</x:v>
      </x:c>
      <x:c r="J1277" s="2" t="str">
        <x:v>m2</x:v>
      </x:c>
      <x:c r="K1277" s="15" t="n">
        <x:f>IF(AND(ISNUMBER(F1277),ISNUMBER(G1277),F1277&gt;0),G1277/F1277-1,"n.a.")</x:f>
        <x:v>0.08844028711042085</x:v>
      </x:c>
      <x:c r="L1277" s="15" t="n">
        <x:f>IF(AND(N1277,ISNUMBER(H1277),ISNUMBER(I1277),H1277&gt;0),I1277/H1277-1,"n.a.")</x:f>
        <x:v>0.08523338770768674</x:v>
      </x:c>
      <x:c r="M1277" s="20" t="n">
        <x:f>IF(AND(ISNUMBER(K1277),ISNUMBER(L1277)),100*(K1277-L1277),"n.a.")</x:f>
        <x:v>0.3206899402734109</x:v>
      </x:c>
      <x:c r="N1277" s="13" t="b">
        <x:v>1</x:v>
      </x:c>
      <x:c r="O1277" s="13" t="b">
        <x:v>1</x:v>
      </x:c>
      <x:c r="P1277" s="13" t="b">
        <x:v>0</x:v>
      </x:c>
      <x:c r="Q1277" s="2" t="str">
        <x:v>L1_numeric_partition_qualified_not_national_completeness</x:v>
      </x:c>
      <x:c r="R1277" s="2" t="str">
        <x:v>L1_numeric_partition_qualified_not_national_completeness</x:v>
      </x:c>
      <x:c r="S1277" s="2" t="str">
        <x:v>historical_GHSL_BU_estimate</x:v>
      </x:c>
      <x:c r="T1277" s="2" t="str">
        <x:v>projected_CRISP_BU_surface</x:v>
      </x:c>
      <x:c r="U1277" s="2" t="str">
        <x:v>GFA growth versus source physical quantity growth; constant conversion required for equality</x:v>
      </x:c>
      <x:c r="V1277" s="2" t="str">
        <x:v>Future horizontal path is already a v16 driver; WUP historical surface derives from GHSL</x:v>
      </x:c>
      <x:c r="W1277" s="2" t="str">
        <x:v>https://human-settlement.emergency.copernicus.eu/datasets.php</x:v>
      </x:c>
    </x:row>
    <x:row r="1278" ht="23" customHeight="1">
      <x:c r="A1278" s="2" t="str">
        <x:v>LIE</x:v>
      </x:c>
      <x:c r="B1278" s="2" t="str">
        <x:v>Liechtenstein (Principality of)</x:v>
      </x:c>
      <x:c r="C1278" s="2" t="str">
        <x:v>WUP_SURFACE</x:v>
      </x:c>
      <x:c r="D1278" s="2" t="n">
        <x:v>2020</x:v>
      </x:c>
      <x:c r="E1278" s="2" t="n">
        <x:v>2025</x:v>
      </x:c>
      <x:c r="F1278" s="17" t="n">
        <x:v>3628695.830000003</x:v>
      </x:c>
      <x:c r="G1278" s="17" t="n">
        <x:v>4215805.015710397</x:v>
      </x:c>
      <x:c r="H1278" s="17" t="n">
        <x:v>5124664.990694326</x:v>
      </x:c>
      <x:c r="I1278" s="17" t="n">
        <x:v>5928405.513081998</x:v>
      </x:c>
      <x:c r="J1278" s="2" t="str">
        <x:v>m2</x:v>
      </x:c>
      <x:c r="K1278" s="15" t="n">
        <x:f>IF(AND(ISNUMBER(F1278),ISNUMBER(G1278),F1278&gt;0),G1278/F1278-1,"n.a.")</x:f>
        <x:v>0.16179619709552595</x:v>
      </x:c>
      <x:c r="L1278" s="15" t="n">
        <x:f>IF(AND(N1278,ISNUMBER(H1278),ISNUMBER(I1278),H1278&gt;0),I1278/H1278-1,"n.a.")</x:f>
        <x:v>0.15683767111550728</x:v>
      </x:c>
      <x:c r="M1278" s="20" t="n">
        <x:f>IF(AND(ISNUMBER(K1278),ISNUMBER(L1278)),100*(K1278-L1278),"n.a.")</x:f>
        <x:v>0.4958525980018669</x:v>
      </x:c>
      <x:c r="N1278" s="13" t="b">
        <x:v>1</x:v>
      </x:c>
      <x:c r="O1278" s="13" t="b">
        <x:v>1</x:v>
      </x:c>
      <x:c r="P1278" s="13" t="b">
        <x:v>0</x:v>
      </x:c>
      <x:c r="Q1278" s="2" t="str">
        <x:v>L1_numeric_partition_qualified_not_national_completeness</x:v>
      </x:c>
      <x:c r="R1278" s="2" t="str">
        <x:v>L1_numeric_partition_qualified_not_national_completeness</x:v>
      </x:c>
      <x:c r="S1278" s="2" t="str">
        <x:v>historical_GHSL_BU_estimate</x:v>
      </x:c>
      <x:c r="T1278" s="2" t="str">
        <x:v>projected_CRISP_BU_surface</x:v>
      </x:c>
      <x:c r="U1278" s="2" t="str">
        <x:v>GFA growth versus source physical quantity growth; constant conversion required for equality</x:v>
      </x:c>
      <x:c r="V1278" s="2" t="str">
        <x:v>Future horizontal path is already a v16 driver; WUP historical surface derives from GHSL</x:v>
      </x:c>
      <x:c r="W1278" s="2" t="str">
        <x:v>https://human-settlement.emergency.copernicus.eu/datasets.php</x:v>
      </x:c>
    </x:row>
    <x:row r="1279" ht="23" customHeight="1">
      <x:c r="A1279" s="2" t="str">
        <x:v>LKA</x:v>
      </x:c>
      <x:c r="B1279" s="2" t="str">
        <x:v>Sri Lanka (Democratic Socialist Republic of)</x:v>
      </x:c>
      <x:c r="C1279" s="2" t="str">
        <x:v>WUP_SURFACE</x:v>
      </x:c>
      <x:c r="D1279" s="2" t="n">
        <x:v>2020</x:v>
      </x:c>
      <x:c r="E1279" s="2" t="n">
        <x:v>2025</x:v>
      </x:c>
      <x:c r="F1279" s="17" t="n">
        <x:v>899293602.2900008</x:v>
      </x:c>
      <x:c r="G1279" s="17" t="n">
        <x:v>1005209362.5849447</x:v>
      </x:c>
      <x:c r="H1279" s="17" t="n">
        <x:v>984798909.2979468</x:v>
      </x:c>
      <x:c r="I1279" s="17" t="n">
        <x:v>1097685799.907067</x:v>
      </x:c>
      <x:c r="J1279" s="2" t="str">
        <x:v>m2</x:v>
      </x:c>
      <x:c r="K1279" s="15" t="n">
        <x:f>IF(AND(ISNUMBER(F1279),ISNUMBER(G1279),F1279&gt;0),G1279/F1279-1,"n.a.")</x:f>
        <x:v>0.11777661936572814</x:v>
      </x:c>
      <x:c r="L1279" s="15" t="n">
        <x:f>IF(AND(N1279,ISNUMBER(H1279),ISNUMBER(I1279),H1279&gt;0),I1279/H1279-1,"n.a.")</x:f>
        <x:v>0.11462938224575825</x:v>
      </x:c>
      <x:c r="M1279" s="20" t="n">
        <x:f>IF(AND(ISNUMBER(K1279),ISNUMBER(L1279)),100*(K1279-L1279),"n.a.")</x:f>
        <x:v>0.31472371199698923</x:v>
      </x:c>
      <x:c r="N1279" s="13" t="b">
        <x:v>1</x:v>
      </x:c>
      <x:c r="O1279" s="13" t="b">
        <x:v>1</x:v>
      </x:c>
      <x:c r="P1279" s="13" t="b">
        <x:v>0</x:v>
      </x:c>
      <x:c r="Q1279" s="2" t="str">
        <x:v>L1_numeric_partition_qualified_not_national_completeness</x:v>
      </x:c>
      <x:c r="R1279" s="2" t="str">
        <x:v>L1_numeric_partition_qualified_not_national_completeness</x:v>
      </x:c>
      <x:c r="S1279" s="2" t="str">
        <x:v>historical_GHSL_BU_estimate</x:v>
      </x:c>
      <x:c r="T1279" s="2" t="str">
        <x:v>projected_CRISP_BU_surface</x:v>
      </x:c>
      <x:c r="U1279" s="2" t="str">
        <x:v>GFA growth versus source physical quantity growth; constant conversion required for equality</x:v>
      </x:c>
      <x:c r="V1279" s="2" t="str">
        <x:v>Future horizontal path is already a v16 driver; WUP historical surface derives from GHSL</x:v>
      </x:c>
      <x:c r="W1279" s="2" t="str">
        <x:v>https://human-settlement.emergency.copernicus.eu/datasets.php</x:v>
      </x:c>
    </x:row>
    <x:row r="1280" ht="23" customHeight="1">
      <x:c r="A1280" s="2" t="str">
        <x:v>LSO</x:v>
      </x:c>
      <x:c r="B1280" s="2" t="str">
        <x:v>Lesotho (Kingdom of)</x:v>
      </x:c>
      <x:c r="C1280" s="2" t="str">
        <x:v>WUP_SURFACE</x:v>
      </x:c>
      <x:c r="D1280" s="2" t="n">
        <x:v>2020</x:v>
      </x:c>
      <x:c r="E1280" s="2" t="n">
        <x:v>2025</x:v>
      </x:c>
      <x:c r="F1280" s="17" t="n">
        <x:v>60655167.15000007</x:v>
      </x:c>
      <x:c r="G1280" s="17" t="n">
        <x:v>66185888.070411466</x:v>
      </x:c>
      <x:c r="H1280" s="17" t="n">
        <x:v>210188354.9035109</x:v>
      </x:c>
      <x:c r="I1280" s="17" t="n">
        <x:v>228433209.8135318</x:v>
      </x:c>
      <x:c r="J1280" s="2" t="str">
        <x:v>m2</x:v>
      </x:c>
      <x:c r="K1280" s="15" t="n">
        <x:f>IF(AND(ISNUMBER(F1280),ISNUMBER(G1280),F1280&gt;0),G1280/F1280-1,"n.a.")</x:f>
        <x:v>0.09118301342297741</x:v>
      </x:c>
      <x:c r="L1280" s="15" t="n">
        <x:f>IF(AND(N1280,ISNUMBER(H1280),ISNUMBER(I1280),H1280&gt;0),I1280/H1280-1,"n.a.")</x:f>
        <x:v>0.08680240595820066</x:v>
      </x:c>
      <x:c r="M1280" s="20" t="n">
        <x:f>IF(AND(ISNUMBER(K1280),ISNUMBER(L1280)),100*(K1280-L1280),"n.a.")</x:f>
        <x:v>0.43806074647767534</x:v>
      </x:c>
      <x:c r="N1280" s="13" t="b">
        <x:v>1</x:v>
      </x:c>
      <x:c r="O1280" s="13" t="b">
        <x:v>1</x:v>
      </x:c>
      <x:c r="P1280" s="13" t="b">
        <x:v>0</x:v>
      </x:c>
      <x:c r="Q1280" s="2" t="str">
        <x:v>L1_numeric_partition_qualified_not_national_completeness</x:v>
      </x:c>
      <x:c r="R1280" s="2" t="str">
        <x:v>L1_numeric_partition_qualified_not_national_completeness</x:v>
      </x:c>
      <x:c r="S1280" s="2" t="str">
        <x:v>historical_GHSL_BU_estimate</x:v>
      </x:c>
      <x:c r="T1280" s="2" t="str">
        <x:v>projected_CRISP_BU_surface</x:v>
      </x:c>
      <x:c r="U1280" s="2" t="str">
        <x:v>GFA growth versus source physical quantity growth; constant conversion required for equality</x:v>
      </x:c>
      <x:c r="V1280" s="2" t="str">
        <x:v>Future horizontal path is already a v16 driver; WUP historical surface derives from GHSL</x:v>
      </x:c>
      <x:c r="W1280" s="2" t="str">
        <x:v>https://human-settlement.emergency.copernicus.eu/datasets.php</x:v>
      </x:c>
    </x:row>
    <x:row r="1281" ht="23" customHeight="1">
      <x:c r="A1281" s="2" t="str">
        <x:v>LTU</x:v>
      </x:c>
      <x:c r="B1281" s="2" t="str">
        <x:v>Lithuania (Republic of)</x:v>
      </x:c>
      <x:c r="C1281" s="2" t="str">
        <x:v>WUP_SURFACE</x:v>
      </x:c>
      <x:c r="D1281" s="2" t="n">
        <x:v>2020</x:v>
      </x:c>
      <x:c r="E1281" s="2" t="n">
        <x:v>2025</x:v>
      </x:c>
      <x:c r="F1281" s="17" t="n">
        <x:v>269070067.6199997</x:v>
      </x:c>
      <x:c r="G1281" s="17" t="n">
        <x:v>284006581.1805013</x:v>
      </x:c>
      <x:c r="H1281" s="17" t="n">
        <x:v>477086393.8024533</x:v>
      </x:c>
      <x:c r="I1281" s="17" t="n">
        <x:v>503273100.79183656</x:v>
      </x:c>
      <x:c r="J1281" s="2" t="str">
        <x:v>m2</x:v>
      </x:c>
      <x:c r="K1281" s="15" t="n">
        <x:f>IF(AND(ISNUMBER(F1281),ISNUMBER(G1281),F1281&gt;0),G1281/F1281-1,"n.a.")</x:f>
        <x:v>0.055511613360115675</x:v>
      </x:c>
      <x:c r="L1281" s="15" t="n">
        <x:f>IF(AND(N1281,ISNUMBER(H1281),ISNUMBER(I1281),H1281&gt;0),I1281/H1281-1,"n.a.")</x:f>
        <x:v>0.054888815379267264</x:v>
      </x:c>
      <x:c r="M1281" s="20" t="n">
        <x:f>IF(AND(ISNUMBER(K1281),ISNUMBER(L1281)),100*(K1281-L1281),"n.a.")</x:f>
        <x:v>0.062279798084841076</x:v>
      </x:c>
      <x:c r="N1281" s="13" t="b">
        <x:v>1</x:v>
      </x:c>
      <x:c r="O1281" s="13" t="b">
        <x:v>1</x:v>
      </x:c>
      <x:c r="P1281" s="13" t="b">
        <x:v>0</x:v>
      </x:c>
      <x:c r="Q1281" s="2" t="str">
        <x:v>L1_numeric_partition_qualified_not_national_completeness</x:v>
      </x:c>
      <x:c r="R1281" s="2" t="str">
        <x:v>L1_numeric_partition_qualified_not_national_completeness</x:v>
      </x:c>
      <x:c r="S1281" s="2" t="str">
        <x:v>historical_GHSL_BU_estimate</x:v>
      </x:c>
      <x:c r="T1281" s="2" t="str">
        <x:v>projected_CRISP_BU_surface</x:v>
      </x:c>
      <x:c r="U1281" s="2" t="str">
        <x:v>GFA growth versus source physical quantity growth; constant conversion required for equality</x:v>
      </x:c>
      <x:c r="V1281" s="2" t="str">
        <x:v>Future horizontal path is already a v16 driver; WUP historical surface derives from GHSL</x:v>
      </x:c>
      <x:c r="W1281" s="2" t="str">
        <x:v>https://human-settlement.emergency.copernicus.eu/datasets.php</x:v>
      </x:c>
    </x:row>
    <x:row r="1282" ht="23" customHeight="1">
      <x:c r="A1282" s="2" t="str">
        <x:v>LUX</x:v>
      </x:c>
      <x:c r="B1282" s="2" t="str">
        <x:v>Luxembourg (Grand Duchy of)</x:v>
      </x:c>
      <x:c r="C1282" s="2" t="str">
        <x:v>WUP_SURFACE</x:v>
      </x:c>
      <x:c r="D1282" s="2" t="n">
        <x:v>2020</x:v>
      </x:c>
      <x:c r="E1282" s="2" t="n">
        <x:v>2025</x:v>
      </x:c>
      <x:c r="F1282" s="17" t="n">
        <x:v>49053600.56000002</x:v>
      </x:c>
      <x:c r="G1282" s="17" t="n">
        <x:v>58943760.75824142</x:v>
      </x:c>
      <x:c r="H1282" s="17" t="n">
        <x:v>67894942.03978768</x:v>
      </x:c>
      <x:c r="I1282" s="17" t="n">
        <x:v>81246580.38729466</x:v>
      </x:c>
      <x:c r="J1282" s="2" t="str">
        <x:v>m2</x:v>
      </x:c>
      <x:c r="K1282" s="15" t="n">
        <x:f>IF(AND(ISNUMBER(F1282),ISNUMBER(G1282),F1282&gt;0),G1282/F1282-1,"n.a.")</x:f>
        <x:v>0.20161945474612475</x:v>
      </x:c>
      <x:c r="L1282" s="15" t="n">
        <x:f>IF(AND(N1282,ISNUMBER(H1282),ISNUMBER(I1282),H1282&gt;0),I1282/H1282-1,"n.a.")</x:f>
        <x:v>0.19665144333848428</x:v>
      </x:c>
      <x:c r="M1282" s="20" t="n">
        <x:f>IF(AND(ISNUMBER(K1282),ISNUMBER(L1282)),100*(K1282-L1282),"n.a.")</x:f>
        <x:v>0.49680114076404713</x:v>
      </x:c>
      <x:c r="N1282" s="13" t="b">
        <x:v>1</x:v>
      </x:c>
      <x:c r="O1282" s="13" t="b">
        <x:v>1</x:v>
      </x:c>
      <x:c r="P1282" s="13" t="b">
        <x:v>0</x:v>
      </x:c>
      <x:c r="Q1282" s="2" t="str">
        <x:v>L1_numeric_partition_qualified_not_national_completeness</x:v>
      </x:c>
      <x:c r="R1282" s="2" t="str">
        <x:v>L1_numeric_partition_qualified_not_national_completeness</x:v>
      </x:c>
      <x:c r="S1282" s="2" t="str">
        <x:v>historical_GHSL_BU_estimate</x:v>
      </x:c>
      <x:c r="T1282" s="2" t="str">
        <x:v>projected_CRISP_BU_surface</x:v>
      </x:c>
      <x:c r="U1282" s="2" t="str">
        <x:v>GFA growth versus source physical quantity growth; constant conversion required for equality</x:v>
      </x:c>
      <x:c r="V1282" s="2" t="str">
        <x:v>Future horizontal path is already a v16 driver; WUP historical surface derives from GHSL</x:v>
      </x:c>
      <x:c r="W1282" s="2" t="str">
        <x:v>https://human-settlement.emergency.copernicus.eu/datasets.php</x:v>
      </x:c>
    </x:row>
    <x:row r="1283" ht="23" customHeight="1">
      <x:c r="A1283" s="2" t="str">
        <x:v>LVA</x:v>
      </x:c>
      <x:c r="B1283" s="2" t="str">
        <x:v>Latvia (Republic of)</x:v>
      </x:c>
      <x:c r="C1283" s="2" t="str">
        <x:v>WUP_SURFACE</x:v>
      </x:c>
      <x:c r="D1283" s="2" t="n">
        <x:v>2020</x:v>
      </x:c>
      <x:c r="E1283" s="2" t="n">
        <x:v>2025</x:v>
      </x:c>
      <x:c r="F1283" s="17" t="n">
        <x:v>145154805.1899999</x:v>
      </x:c>
      <x:c r="G1283" s="17" t="n">
        <x:v>154906041.72578534</x:v>
      </x:c>
      <x:c r="H1283" s="17" t="n">
        <x:v>255494711.05248618</x:v>
      </x:c>
      <x:c r="I1283" s="17" t="n">
        <x:v>272672558.6769627</x:v>
      </x:c>
      <x:c r="J1283" s="2" t="str">
        <x:v>m2</x:v>
      </x:c>
      <x:c r="K1283" s="15" t="n">
        <x:f>IF(AND(ISNUMBER(F1283),ISNUMBER(G1283),F1283&gt;0),G1283/F1283-1,"n.a.")</x:f>
        <x:v>0.06717818623380456</x:v>
      </x:c>
      <x:c r="L1283" s="15" t="n">
        <x:f>IF(AND(N1283,ISNUMBER(H1283),ISNUMBER(I1283),H1283&gt;0),I1283/H1283-1,"n.a.")</x:f>
        <x:v>0.06723367209330466</x:v>
      </x:c>
      <x:c r="M1283" s="20" t="n">
        <x:f>IF(AND(ISNUMBER(K1283),ISNUMBER(L1283)),100*(K1283-L1283),"n.a.")</x:f>
        <x:v>-0.0055485859500103984</x:v>
      </x:c>
      <x:c r="N1283" s="13" t="b">
        <x:v>1</x:v>
      </x:c>
      <x:c r="O1283" s="13" t="b">
        <x:v>1</x:v>
      </x:c>
      <x:c r="P1283" s="13" t="b">
        <x:v>0</x:v>
      </x:c>
      <x:c r="Q1283" s="2" t="str">
        <x:v>L1_numeric_partition_qualified_not_national_completeness</x:v>
      </x:c>
      <x:c r="R1283" s="2" t="str">
        <x:v>L1_numeric_partition_qualified_not_national_completeness</x:v>
      </x:c>
      <x:c r="S1283" s="2" t="str">
        <x:v>historical_GHSL_BU_estimate</x:v>
      </x:c>
      <x:c r="T1283" s="2" t="str">
        <x:v>projected_CRISP_BU_surface</x:v>
      </x:c>
      <x:c r="U1283" s="2" t="str">
        <x:v>GFA growth versus source physical quantity growth; constant conversion required for equality</x:v>
      </x:c>
      <x:c r="V1283" s="2" t="str">
        <x:v>Future horizontal path is already a v16 driver; WUP historical surface derives from GHSL</x:v>
      </x:c>
      <x:c r="W1283" s="2" t="str">
        <x:v>https://human-settlement.emergency.copernicus.eu/datasets.php</x:v>
      </x:c>
    </x:row>
    <x:row r="1284" ht="23" customHeight="1">
      <x:c r="A1284" s="2" t="str">
        <x:v>MAR</x:v>
      </x:c>
      <x:c r="B1284" s="2" t="str">
        <x:v>Morocco (Kingdom of)</x:v>
      </x:c>
      <x:c r="C1284" s="2" t="str">
        <x:v>WUP_SURFACE</x:v>
      </x:c>
      <x:c r="D1284" s="2" t="n">
        <x:v>2020</x:v>
      </x:c>
      <x:c r="E1284" s="2" t="n">
        <x:v>2025</x:v>
      </x:c>
      <x:c r="F1284" s="17" t="n">
        <x:v>1247018524.7000012</x:v>
      </x:c>
      <x:c r="G1284" s="17" t="n">
        <x:v>1524100787.4551764</x:v>
      </x:c>
      <x:c r="H1284" s="17" t="n">
        <x:v>830940279.8591127</x:v>
      </x:c>
      <x:c r="I1284" s="17" t="n">
        <x:v>1012222375.4019979</x:v>
      </x:c>
      <x:c r="J1284" s="2" t="str">
        <x:v>m2</x:v>
      </x:c>
      <x:c r="K1284" s="15" t="n">
        <x:f>IF(AND(ISNUMBER(F1284),ISNUMBER(G1284),F1284&gt;0),G1284/F1284-1,"n.a.")</x:f>
        <x:v>0.22219578720519295</x:v>
      </x:c>
      <x:c r="L1284" s="15" t="n">
        <x:f>IF(AND(N1284,ISNUMBER(H1284),ISNUMBER(I1284),H1284&gt;0),I1284/H1284-1,"n.a.")</x:f>
        <x:v>0.21816501129734833</x:v>
      </x:c>
      <x:c r="M1284" s="20" t="n">
        <x:f>IF(AND(ISNUMBER(K1284),ISNUMBER(L1284)),100*(K1284-L1284),"n.a.")</x:f>
        <x:v>0.4030775907844619</x:v>
      </x:c>
      <x:c r="N1284" s="13" t="b">
        <x:v>1</x:v>
      </x:c>
      <x:c r="O1284" s="13" t="b">
        <x:v>1</x:v>
      </x:c>
      <x:c r="P1284" s="13" t="b">
        <x:v>0</x:v>
      </x:c>
      <x:c r="Q1284" s="2" t="str">
        <x:v>L1_numeric_partition_qualified_not_national_completeness</x:v>
      </x:c>
      <x:c r="R1284" s="2" t="str">
        <x:v>L1_numeric_partition_qualified_not_national_completeness</x:v>
      </x:c>
      <x:c r="S1284" s="2" t="str">
        <x:v>historical_GHSL_BU_estimate</x:v>
      </x:c>
      <x:c r="T1284" s="2" t="str">
        <x:v>projected_CRISP_BU_surface</x:v>
      </x:c>
      <x:c r="U1284" s="2" t="str">
        <x:v>GFA growth versus source physical quantity growth; constant conversion required for equality</x:v>
      </x:c>
      <x:c r="V1284" s="2" t="str">
        <x:v>Future horizontal path is already a v16 driver; WUP historical surface derives from GHSL</x:v>
      </x:c>
      <x:c r="W1284" s="2" t="str">
        <x:v>https://human-settlement.emergency.copernicus.eu/datasets.php</x:v>
      </x:c>
    </x:row>
    <x:row r="1285" ht="23" customHeight="1">
      <x:c r="A1285" s="2" t="str">
        <x:v>MCO</x:v>
      </x:c>
      <x:c r="B1285" s="2" t="str">
        <x:v>Monaco (Principality of)</x:v>
      </x:c>
      <x:c r="C1285" s="2" t="str">
        <x:v>WUP_SURFACE</x:v>
      </x:c>
      <x:c r="D1285" s="2" t="n">
        <x:v>2020</x:v>
      </x:c>
      <x:c r="E1285" s="2" t="n">
        <x:v>2025</x:v>
      </x:c>
      <x:c r="F1285" s="17" t="n">
        <x:v>1563267.7900000005</x:v>
      </x:c>
      <x:c r="G1285" s="17" t="n">
        <x:v>1797943.9202895183</x:v>
      </x:c>
      <x:c r="H1285" s="17" t="n">
        <x:v>751268.0051731877</x:v>
      </x:c>
      <x:c r="I1285" s="17" t="n">
        <x:v>862209.2156438157</x:v>
      </x:c>
      <x:c r="J1285" s="2" t="str">
        <x:v>m2</x:v>
      </x:c>
      <x:c r="K1285" s="15" t="n">
        <x:f>IF(AND(ISNUMBER(F1285),ISNUMBER(G1285),F1285&gt;0),G1285/F1285-1,"n.a.")</x:f>
        <x:v>0.1501189570914896</x:v>
      </x:c>
      <x:c r="L1285" s="15" t="n">
        <x:f>IF(AND(N1285,ISNUMBER(H1285),ISNUMBER(I1285),H1285&gt;0),I1285/H1285-1,"n.a.")</x:f>
        <x:v>0.14767194890064972</x:v>
      </x:c>
      <x:c r="M1285" s="20" t="n">
        <x:f>IF(AND(ISNUMBER(K1285),ISNUMBER(L1285)),100*(K1285-L1285),"n.a.")</x:f>
        <x:v>0.24470081908398722</x:v>
      </x:c>
      <x:c r="N1285" s="13" t="b">
        <x:v>1</x:v>
      </x:c>
      <x:c r="O1285" s="13" t="b">
        <x:v>1</x:v>
      </x:c>
      <x:c r="P1285" s="13" t="b">
        <x:v>0</x:v>
      </x:c>
      <x:c r="Q1285" s="2" t="str">
        <x:v>L1_numeric_partition_qualified_not_national_completeness</x:v>
      </x:c>
      <x:c r="R1285" s="2" t="str">
        <x:v>L1_numeric_partition_qualified_not_national_completeness</x:v>
      </x:c>
      <x:c r="S1285" s="2" t="str">
        <x:v>historical_GHSL_BU_estimate</x:v>
      </x:c>
      <x:c r="T1285" s="2" t="str">
        <x:v>projected_CRISP_BU_surface</x:v>
      </x:c>
      <x:c r="U1285" s="2" t="str">
        <x:v>GFA growth versus source physical quantity growth; constant conversion required for equality</x:v>
      </x:c>
      <x:c r="V1285" s="2" t="str">
        <x:v>Future horizontal path is already a v16 driver; WUP historical surface derives from GHSL</x:v>
      </x:c>
      <x:c r="W1285" s="2" t="str">
        <x:v>https://human-settlement.emergency.copernicus.eu/datasets.php</x:v>
      </x:c>
    </x:row>
    <x:row r="1286" ht="23" customHeight="1">
      <x:c r="A1286" s="2" t="str">
        <x:v>MDA</x:v>
      </x:c>
      <x:c r="B1286" s="2" t="str">
        <x:v>Moldova (Republic of)</x:v>
      </x:c>
      <x:c r="C1286" s="2" t="str">
        <x:v>WUP_SURFACE</x:v>
      </x:c>
      <x:c r="D1286" s="2" t="n">
        <x:v>2020</x:v>
      </x:c>
      <x:c r="E1286" s="2" t="n">
        <x:v>2025</x:v>
      </x:c>
      <x:c r="F1286" s="17" t="n">
        <x:v>254566854.8299996</x:v>
      </x:c>
      <x:c r="G1286" s="17" t="n">
        <x:v>258607505.15449288</x:v>
      </x:c>
      <x:c r="H1286" s="17" t="n">
        <x:v>488421133.9322726</x:v>
      </x:c>
      <x:c r="I1286" s="17" t="n">
        <x:v>496246603.01570636</x:v>
      </x:c>
      <x:c r="J1286" s="2" t="str">
        <x:v>m2</x:v>
      </x:c>
      <x:c r="K1286" s="15" t="n">
        <x:f>IF(AND(ISNUMBER(F1286),ISNUMBER(G1286),F1286&gt;0),G1286/F1286-1,"n.a.")</x:f>
        <x:v>0.015872648963635383</x:v>
      </x:c>
      <x:c r="L1286" s="15" t="n">
        <x:f>IF(AND(N1286,ISNUMBER(H1286),ISNUMBER(I1286),H1286&gt;0),I1286/H1286-1,"n.a.")</x:f>
        <x:v>0.016021970671971086</x:v>
      </x:c>
      <x:c r="M1286" s="20" t="n">
        <x:f>IF(AND(ISNUMBER(K1286),ISNUMBER(L1286)),100*(K1286-L1286),"n.a.")</x:f>
        <x:v>-0.014932170833570346</x:v>
      </x:c>
      <x:c r="N1286" s="13" t="b">
        <x:v>1</x:v>
      </x:c>
      <x:c r="O1286" s="13" t="b">
        <x:v>1</x:v>
      </x:c>
      <x:c r="P1286" s="13" t="b">
        <x:v>0</x:v>
      </x:c>
      <x:c r="Q1286" s="2" t="str">
        <x:v>L1_numeric_partition_qualified_not_national_completeness</x:v>
      </x:c>
      <x:c r="R1286" s="2" t="str">
        <x:v>L1_numeric_partition_qualified_not_national_completeness</x:v>
      </x:c>
      <x:c r="S1286" s="2" t="str">
        <x:v>historical_GHSL_BU_estimate</x:v>
      </x:c>
      <x:c r="T1286" s="2" t="str">
        <x:v>projected_CRISP_BU_surface</x:v>
      </x:c>
      <x:c r="U1286" s="2" t="str">
        <x:v>GFA growth versus source physical quantity growth; constant conversion required for equality</x:v>
      </x:c>
      <x:c r="V1286" s="2" t="str">
        <x:v>Future horizontal path is already a v16 driver; WUP historical surface derives from GHSL</x:v>
      </x:c>
      <x:c r="W1286" s="2" t="str">
        <x:v>https://human-settlement.emergency.copernicus.eu/datasets.php</x:v>
      </x:c>
    </x:row>
    <x:row r="1287" ht="23" customHeight="1">
      <x:c r="A1287" s="2" t="str">
        <x:v>MDG</x:v>
      </x:c>
      <x:c r="B1287" s="2" t="str">
        <x:v>Madagascar (Republic of)</x:v>
      </x:c>
      <x:c r="C1287" s="2" t="str">
        <x:v>WUP_SURFACE</x:v>
      </x:c>
      <x:c r="D1287" s="2" t="n">
        <x:v>2020</x:v>
      </x:c>
      <x:c r="E1287" s="2" t="n">
        <x:v>2025</x:v>
      </x:c>
      <x:c r="F1287" s="17" t="n">
        <x:v>360823089.7999994</x:v>
      </x:c>
      <x:c r="G1287" s="17" t="n">
        <x:v>442177638.9110566</x:v>
      </x:c>
      <x:c r="H1287" s="17" t="n">
        <x:v>807916952.66796</x:v>
      </x:c>
      <x:c r="I1287" s="17" t="n">
        <x:v>985651117.1288948</x:v>
      </x:c>
      <x:c r="J1287" s="2" t="str">
        <x:v>m2</x:v>
      </x:c>
      <x:c r="K1287" s="15" t="n">
        <x:f>IF(AND(ISNUMBER(F1287),ISNUMBER(G1287),F1287&gt;0),G1287/F1287-1,"n.a.")</x:f>
        <x:v>0.2254693544034312</x:v>
      </x:c>
      <x:c r="L1287" s="15" t="n">
        <x:f>IF(AND(N1287,ISNUMBER(H1287),ISNUMBER(I1287),H1287&gt;0),I1287/H1287-1,"n.a.")</x:f>
        <x:v>0.21999063625785853</x:v>
      </x:c>
      <x:c r="M1287" s="20" t="n">
        <x:f>IF(AND(ISNUMBER(K1287),ISNUMBER(L1287)),100*(K1287-L1287),"n.a.")</x:f>
        <x:v>0.5478718145572659</x:v>
      </x:c>
      <x:c r="N1287" s="13" t="b">
        <x:v>1</x:v>
      </x:c>
      <x:c r="O1287" s="13" t="b">
        <x:v>1</x:v>
      </x:c>
      <x:c r="P1287" s="13" t="b">
        <x:v>0</x:v>
      </x:c>
      <x:c r="Q1287" s="2" t="str">
        <x:v>L1_numeric_partition_qualified_not_national_completeness</x:v>
      </x:c>
      <x:c r="R1287" s="2" t="str">
        <x:v>L1_numeric_partition_qualified_not_national_completeness</x:v>
      </x:c>
      <x:c r="S1287" s="2" t="str">
        <x:v>historical_GHSL_BU_estimate</x:v>
      </x:c>
      <x:c r="T1287" s="2" t="str">
        <x:v>projected_CRISP_BU_surface</x:v>
      </x:c>
      <x:c r="U1287" s="2" t="str">
        <x:v>GFA growth versus source physical quantity growth; constant conversion required for equality</x:v>
      </x:c>
      <x:c r="V1287" s="2" t="str">
        <x:v>Future horizontal path is already a v16 driver; WUP historical surface derives from GHSL</x:v>
      </x:c>
      <x:c r="W1287" s="2" t="str">
        <x:v>https://human-settlement.emergency.copernicus.eu/datasets.php</x:v>
      </x:c>
    </x:row>
    <x:row r="1288" ht="23" customHeight="1">
      <x:c r="A1288" s="2" t="str">
        <x:v>MDV</x:v>
      </x:c>
      <x:c r="B1288" s="2" t="str">
        <x:v>Maldives (Republic of)</x:v>
      </x:c>
      <x:c r="C1288" s="2" t="str">
        <x:v>WUP_SURFACE</x:v>
      </x:c>
      <x:c r="D1288" s="2" t="n">
        <x:v>2020</x:v>
      </x:c>
      <x:c r="E1288" s="2" t="n">
        <x:v>2025</x:v>
      </x:c>
      <x:c r="F1288" s="17" t="n">
        <x:v>2206666.830000001</x:v>
      </x:c>
      <x:c r="G1288" s="17" t="n">
        <x:v>2773026.223142692</x:v>
      </x:c>
      <x:c r="H1288" s="17" t="n">
        <x:v>6356477.007677995</x:v>
      </x:c>
      <x:c r="I1288" s="17" t="n">
        <x:v>7954889.858951901</x:v>
      </x:c>
      <x:c r="J1288" s="2" t="str">
        <x:v>m2</x:v>
      </x:c>
      <x:c r="K1288" s="15" t="n">
        <x:f>IF(AND(ISNUMBER(F1288),ISNUMBER(G1288),F1288&gt;0),G1288/F1288-1,"n.a.")</x:f>
        <x:v>0.2566583162636702</x:v>
      </x:c>
      <x:c r="L1288" s="15" t="n">
        <x:f>IF(AND(N1288,ISNUMBER(H1288),ISNUMBER(I1288),H1288&gt;0),I1288/H1288-1,"n.a.")</x:f>
        <x:v>0.25146206764268664</x:v>
      </x:c>
      <x:c r="M1288" s="20" t="n">
        <x:f>IF(AND(ISNUMBER(K1288),ISNUMBER(L1288)),100*(K1288-L1288),"n.a.")</x:f>
        <x:v>0.5196248620983557</x:v>
      </x:c>
      <x:c r="N1288" s="13" t="b">
        <x:v>1</x:v>
      </x:c>
      <x:c r="O1288" s="13" t="b">
        <x:v>1</x:v>
      </x:c>
      <x:c r="P1288" s="13" t="b">
        <x:v>0</x:v>
      </x:c>
      <x:c r="Q1288" s="2" t="str">
        <x:v>L1_numeric_partition_qualified_not_national_completeness</x:v>
      </x:c>
      <x:c r="R1288" s="2" t="str">
        <x:v>L1_numeric_partition_qualified_not_national_completeness</x:v>
      </x:c>
      <x:c r="S1288" s="2" t="str">
        <x:v>historical_GHSL_BU_estimate</x:v>
      </x:c>
      <x:c r="T1288" s="2" t="str">
        <x:v>projected_CRISP_BU_surface</x:v>
      </x:c>
      <x:c r="U1288" s="2" t="str">
        <x:v>GFA growth versus source physical quantity growth; constant conversion required for equality</x:v>
      </x:c>
      <x:c r="V1288" s="2" t="str">
        <x:v>Future horizontal path is already a v16 driver; WUP historical surface derives from GHSL</x:v>
      </x:c>
      <x:c r="W1288" s="2" t="str">
        <x:v>https://human-settlement.emergency.copernicus.eu/datasets.php</x:v>
      </x:c>
    </x:row>
    <x:row r="1289" ht="23" customHeight="1">
      <x:c r="A1289" s="2" t="str">
        <x:v>MEX</x:v>
      </x:c>
      <x:c r="B1289" s="2" t="str">
        <x:v>Mexico (United Mexican States)</x:v>
      </x:c>
      <x:c r="C1289" s="2" t="str">
        <x:v>WUP_SURFACE</x:v>
      </x:c>
      <x:c r="D1289" s="2" t="n">
        <x:v>2020</x:v>
      </x:c>
      <x:c r="E1289" s="2" t="n">
        <x:v>2025</x:v>
      </x:c>
      <x:c r="F1289" s="17" t="n">
        <x:v>6345872319.039995</x:v>
      </x:c>
      <x:c r="G1289" s="17" t="n">
        <x:v>7012501996.886031</x:v>
      </x:c>
      <x:c r="H1289" s="17" t="n">
        <x:v>9762805907.018768</x:v>
      </x:c>
      <x:c r="I1289" s="17" t="n">
        <x:v>10754569577.620039</x:v>
      </x:c>
      <x:c r="J1289" s="2" t="str">
        <x:v>m2</x:v>
      </x:c>
      <x:c r="K1289" s="15" t="n">
        <x:f>IF(AND(ISNUMBER(F1289),ISNUMBER(G1289),F1289&gt;0),G1289/F1289-1,"n.a.")</x:f>
        <x:v>0.1050493366918046</x:v>
      </x:c>
      <x:c r="L1289" s="15" t="n">
        <x:f>IF(AND(N1289,ISNUMBER(H1289),ISNUMBER(I1289),H1289&gt;0),I1289/H1289-1,"n.a.")</x:f>
        <x:v>0.10158592519884713</x:v>
      </x:c>
      <x:c r="M1289" s="20" t="n">
        <x:f>IF(AND(ISNUMBER(K1289),ISNUMBER(L1289)),100*(K1289-L1289),"n.a.")</x:f>
        <x:v>0.346341149295748</x:v>
      </x:c>
      <x:c r="N1289" s="13" t="b">
        <x:v>1</x:v>
      </x:c>
      <x:c r="O1289" s="13" t="b">
        <x:v>1</x:v>
      </x:c>
      <x:c r="P1289" s="13" t="b">
        <x:v>0</x:v>
      </x:c>
      <x:c r="Q1289" s="2" t="str">
        <x:v>L1_numeric_partition_qualified_not_national_completeness</x:v>
      </x:c>
      <x:c r="R1289" s="2" t="str">
        <x:v>L1_numeric_partition_qualified_not_national_completeness</x:v>
      </x:c>
      <x:c r="S1289" s="2" t="str">
        <x:v>historical_GHSL_BU_estimate</x:v>
      </x:c>
      <x:c r="T1289" s="2" t="str">
        <x:v>projected_CRISP_BU_surface</x:v>
      </x:c>
      <x:c r="U1289" s="2" t="str">
        <x:v>GFA growth versus source physical quantity growth; constant conversion required for equality</x:v>
      </x:c>
      <x:c r="V1289" s="2" t="str">
        <x:v>Future horizontal path is already a v16 driver; WUP historical surface derives from GHSL</x:v>
      </x:c>
      <x:c r="W1289" s="2" t="str">
        <x:v>https://human-settlement.emergency.copernicus.eu/datasets.php</x:v>
      </x:c>
    </x:row>
    <x:row r="1290" ht="23" customHeight="1">
      <x:c r="A1290" s="2" t="str">
        <x:v>MHL</x:v>
      </x:c>
      <x:c r="B1290" s="2" t="str">
        <x:v>Marshall Islands (Republic of the)</x:v>
      </x:c>
      <x:c r="C1290" s="2" t="str">
        <x:v>WUP_SURFACE</x:v>
      </x:c>
      <x:c r="D1290" s="2" t="n">
        <x:v>2020</x:v>
      </x:c>
      <x:c r="E1290" s="2" t="n">
        <x:v>2025</x:v>
      </x:c>
      <x:c r="F1290" s="17" t="n">
        <x:v>198896.74</x:v>
      </x:c>
      <x:c r="G1290" s="17" t="n">
        <x:v>202155.59901499294</x:v>
      </x:c>
      <x:c r="H1290" s="17" t="n">
        <x:v>2419459.9983580927</x:v>
      </x:c>
      <x:c r="I1290" s="17" t="n">
        <x:v>2462061.5519830836</x:v>
      </x:c>
      <x:c r="J1290" s="2" t="str">
        <x:v>m2</x:v>
      </x:c>
      <x:c r="K1290" s="15" t="n">
        <x:f>IF(AND(ISNUMBER(F1290),ISNUMBER(G1290),F1290&gt;0),G1290/F1290-1,"n.a.")</x:f>
        <x:v>0.016384677873518383</x:v>
      </x:c>
      <x:c r="L1290" s="15" t="n">
        <x:f>IF(AND(N1290,ISNUMBER(H1290),ISNUMBER(I1290),H1290&gt;0),I1290/H1290-1,"n.a.")</x:f>
        <x:v>0.017607876821233326</x:v>
      </x:c>
      <x:c r="M1290" s="20" t="n">
        <x:f>IF(AND(ISNUMBER(K1290),ISNUMBER(L1290)),100*(K1290-L1290),"n.a.")</x:f>
        <x:v>-0.1223198947714943</x:v>
      </x:c>
      <x:c r="N1290" s="13" t="b">
        <x:v>1</x:v>
      </x:c>
      <x:c r="O1290" s="13" t="b">
        <x:v>1</x:v>
      </x:c>
      <x:c r="P1290" s="13" t="b">
        <x:v>0</x:v>
      </x:c>
      <x:c r="Q1290" s="2" t="str">
        <x:v>L1_numeric_partition_qualified_not_national_completeness</x:v>
      </x:c>
      <x:c r="R1290" s="2" t="str">
        <x:v>L1_numeric_partition_qualified_not_national_completeness</x:v>
      </x:c>
      <x:c r="S1290" s="2" t="str">
        <x:v>historical_GHSL_BU_estimate</x:v>
      </x:c>
      <x:c r="T1290" s="2" t="str">
        <x:v>projected_CRISP_BU_surface</x:v>
      </x:c>
      <x:c r="U1290" s="2" t="str">
        <x:v>GFA growth versus source physical quantity growth; constant conversion required for equality</x:v>
      </x:c>
      <x:c r="V1290" s="2" t="str">
        <x:v>Future horizontal path is already a v16 driver; WUP historical surface derives from GHSL</x:v>
      </x:c>
      <x:c r="W1290" s="2" t="str">
        <x:v>https://human-settlement.emergency.copernicus.eu/datasets.php</x:v>
      </x:c>
    </x:row>
    <x:row r="1291" ht="23" customHeight="1">
      <x:c r="A1291" s="2" t="str">
        <x:v>MKD</x:v>
      </x:c>
      <x:c r="B1291" s="2" t="str">
        <x:v>North Macedonia (Republic of)</x:v>
      </x:c>
      <x:c r="C1291" s="2" t="str">
        <x:v>WUP_SURFACE</x:v>
      </x:c>
      <x:c r="D1291" s="2" t="n">
        <x:v>2020</x:v>
      </x:c>
      <x:c r="E1291" s="2" t="n">
        <x:v>2025</x:v>
      </x:c>
      <x:c r="F1291" s="17" t="n">
        <x:v>122189801.58999982</x:v>
      </x:c>
      <x:c r="G1291" s="17" t="n">
        <x:v>127119971.31266522</x:v>
      </x:c>
      <x:c r="H1291" s="17" t="n">
        <x:v>176132168.96862137</x:v>
      </x:c>
      <x:c r="I1291" s="17" t="n">
        <x:v>183183854.3416203</x:v>
      </x:c>
      <x:c r="J1291" s="2" t="str">
        <x:v>m2</x:v>
      </x:c>
      <x:c r="K1291" s="15" t="n">
        <x:f>IF(AND(ISNUMBER(F1291),ISNUMBER(G1291),F1291&gt;0),G1291/F1291-1,"n.a.")</x:f>
        <x:v>0.040348455096181235</x:v>
      </x:c>
      <x:c r="L1291" s="15" t="n">
        <x:f>IF(AND(N1291,ISNUMBER(H1291),ISNUMBER(I1291),H1291&gt;0),I1291/H1291-1,"n.a.")</x:f>
        <x:v>0.04003632848156902</x:v>
      </x:c>
      <x:c r="M1291" s="20" t="n">
        <x:f>IF(AND(ISNUMBER(K1291),ISNUMBER(L1291)),100*(K1291-L1291),"n.a.")</x:f>
        <x:v>0.031212661461221813</x:v>
      </x:c>
      <x:c r="N1291" s="13" t="b">
        <x:v>1</x:v>
      </x:c>
      <x:c r="O1291" s="13" t="b">
        <x:v>1</x:v>
      </x:c>
      <x:c r="P1291" s="13" t="b">
        <x:v>0</x:v>
      </x:c>
      <x:c r="Q1291" s="2" t="str">
        <x:v>L1_numeric_partition_qualified_not_national_completeness</x:v>
      </x:c>
      <x:c r="R1291" s="2" t="str">
        <x:v>L1_numeric_partition_qualified_not_national_completeness</x:v>
      </x:c>
      <x:c r="S1291" s="2" t="str">
        <x:v>historical_GHSL_BU_estimate</x:v>
      </x:c>
      <x:c r="T1291" s="2" t="str">
        <x:v>projected_CRISP_BU_surface</x:v>
      </x:c>
      <x:c r="U1291" s="2" t="str">
        <x:v>GFA growth versus source physical quantity growth; constant conversion required for equality</x:v>
      </x:c>
      <x:c r="V1291" s="2" t="str">
        <x:v>Future horizontal path is already a v16 driver; WUP historical surface derives from GHSL</x:v>
      </x:c>
      <x:c r="W1291" s="2" t="str">
        <x:v>https://human-settlement.emergency.copernicus.eu/datasets.php</x:v>
      </x:c>
    </x:row>
    <x:row r="1292" ht="23" customHeight="1">
      <x:c r="A1292" s="2" t="str">
        <x:v>MLI</x:v>
      </x:c>
      <x:c r="B1292" s="2" t="str">
        <x:v>Mali (Republic of)</x:v>
      </x:c>
      <x:c r="C1292" s="2" t="str">
        <x:v>WUP_SURFACE</x:v>
      </x:c>
      <x:c r="D1292" s="2" t="n">
        <x:v>2020</x:v>
      </x:c>
      <x:c r="E1292" s="2" t="n">
        <x:v>2025</x:v>
      </x:c>
      <x:c r="F1292" s="17" t="n">
        <x:v>323707340.7500005</x:v>
      </x:c>
      <x:c r="G1292" s="17" t="n">
        <x:v>384768168.9420455</x:v>
      </x:c>
      <x:c r="H1292" s="17" t="n">
        <x:v>1033475440.1502903</x:v>
      </x:c>
      <x:c r="I1292" s="17" t="n">
        <x:v>1224461288.674593</x:v>
      </x:c>
      <x:c r="J1292" s="2" t="str">
        <x:v>m2</x:v>
      </x:c>
      <x:c r="K1292" s="15" t="n">
        <x:f>IF(AND(ISNUMBER(F1292),ISNUMBER(G1292),F1292&gt;0),G1292/F1292-1,"n.a.")</x:f>
        <x:v>0.18862972971379843</x:v>
      </x:c>
      <x:c r="L1292" s="15" t="n">
        <x:f>IF(AND(N1292,ISNUMBER(H1292),ISNUMBER(I1292),H1292&gt;0),I1292/H1292-1,"n.a.")</x:f>
        <x:v>0.18479960055608968</x:v>
      </x:c>
      <x:c r="M1292" s="20" t="n">
        <x:f>IF(AND(ISNUMBER(K1292),ISNUMBER(L1292)),100*(K1292-L1292),"n.a.")</x:f>
        <x:v>0.38301291577087504</x:v>
      </x:c>
      <x:c r="N1292" s="13" t="b">
        <x:v>1</x:v>
      </x:c>
      <x:c r="O1292" s="13" t="b">
        <x:v>1</x:v>
      </x:c>
      <x:c r="P1292" s="13" t="b">
        <x:v>0</x:v>
      </x:c>
      <x:c r="Q1292" s="2" t="str">
        <x:v>L1_numeric_partition_qualified_not_national_completeness</x:v>
      </x:c>
      <x:c r="R1292" s="2" t="str">
        <x:v>L1_numeric_partition_qualified_not_national_completeness</x:v>
      </x:c>
      <x:c r="S1292" s="2" t="str">
        <x:v>historical_GHSL_BU_estimate</x:v>
      </x:c>
      <x:c r="T1292" s="2" t="str">
        <x:v>projected_CRISP_BU_surface</x:v>
      </x:c>
      <x:c r="U1292" s="2" t="str">
        <x:v>GFA growth versus source physical quantity growth; constant conversion required for equality</x:v>
      </x:c>
      <x:c r="V1292" s="2" t="str">
        <x:v>Future horizontal path is already a v16 driver; WUP historical surface derives from GHSL</x:v>
      </x:c>
      <x:c r="W1292" s="2" t="str">
        <x:v>https://human-settlement.emergency.copernicus.eu/datasets.php</x:v>
      </x:c>
    </x:row>
    <x:row r="1293" ht="23" customHeight="1">
      <x:c r="A1293" s="2" t="str">
        <x:v>MLT</x:v>
      </x:c>
      <x:c r="B1293" s="2" t="str">
        <x:v>Malta (Republic of)</x:v>
      </x:c>
      <x:c r="C1293" s="2" t="str">
        <x:v>WUP_SURFACE</x:v>
      </x:c>
      <x:c r="D1293" s="2" t="n">
        <x:v>2020</x:v>
      </x:c>
      <x:c r="E1293" s="2" t="n">
        <x:v>2025</x:v>
      </x:c>
      <x:c r="F1293" s="17" t="n">
        <x:v>35087387.829999976</x:v>
      </x:c>
      <x:c r="G1293" s="17" t="n">
        <x:v>40252225.78140325</x:v>
      </x:c>
      <x:c r="H1293" s="17" t="n">
        <x:v>34904095.010637775</x:v>
      </x:c>
      <x:c r="I1293" s="17" t="n">
        <x:v>39824805.55787333</x:v>
      </x:c>
      <x:c r="J1293" s="2" t="str">
        <x:v>m2</x:v>
      </x:c>
      <x:c r="K1293" s="15" t="n">
        <x:f>IF(AND(ISNUMBER(F1293),ISNUMBER(G1293),F1293&gt;0),G1293/F1293-1,"n.a.")</x:f>
        <x:v>0.14719927218370188</x:v>
      </x:c>
      <x:c r="L1293" s="15" t="n">
        <x:f>IF(AND(N1293,ISNUMBER(H1293),ISNUMBER(I1293),H1293&gt;0),I1293/H1293-1,"n.a.")</x:f>
        <x:v>0.14097802981959173</x:v>
      </x:c>
      <x:c r="M1293" s="20" t="n">
        <x:f>IF(AND(ISNUMBER(K1293),ISNUMBER(L1293)),100*(K1293-L1293),"n.a.")</x:f>
        <x:v>0.6221242364110147</x:v>
      </x:c>
      <x:c r="N1293" s="13" t="b">
        <x:v>1</x:v>
      </x:c>
      <x:c r="O1293" s="13" t="b">
        <x:v>1</x:v>
      </x:c>
      <x:c r="P1293" s="13" t="b">
        <x:v>0</x:v>
      </x:c>
      <x:c r="Q1293" s="2" t="str">
        <x:v>L1_numeric_partition_qualified_not_national_completeness</x:v>
      </x:c>
      <x:c r="R1293" s="2" t="str">
        <x:v>L1_numeric_partition_qualified_not_national_completeness</x:v>
      </x:c>
      <x:c r="S1293" s="2" t="str">
        <x:v>historical_GHSL_BU_estimate</x:v>
      </x:c>
      <x:c r="T1293" s="2" t="str">
        <x:v>projected_CRISP_BU_surface</x:v>
      </x:c>
      <x:c r="U1293" s="2" t="str">
        <x:v>GFA growth versus source physical quantity growth; constant conversion required for equality</x:v>
      </x:c>
      <x:c r="V1293" s="2" t="str">
        <x:v>Future horizontal path is already a v16 driver; WUP historical surface derives from GHSL</x:v>
      </x:c>
      <x:c r="W1293" s="2" t="str">
        <x:v>https://human-settlement.emergency.copernicus.eu/datasets.php</x:v>
      </x:c>
    </x:row>
    <x:row r="1294" ht="23" customHeight="1">
      <x:c r="A1294" s="2" t="str">
        <x:v>MMR</x:v>
      </x:c>
      <x:c r="B1294" s="2" t="str">
        <x:v>Myanmar (Republic of the Union of)</x:v>
      </x:c>
      <x:c r="C1294" s="2" t="str">
        <x:v>WUP_SURFACE</x:v>
      </x:c>
      <x:c r="D1294" s="2" t="n">
        <x:v>2020</x:v>
      </x:c>
      <x:c r="E1294" s="2" t="n">
        <x:v>2025</x:v>
      </x:c>
      <x:c r="F1294" s="17" t="n">
        <x:v>1377164281.6799977</x:v>
      </x:c>
      <x:c r="G1294" s="17" t="n">
        <x:v>1614236691.1252244</x:v>
      </x:c>
      <x:c r="H1294" s="17" t="n">
        <x:v>1226236717.688602</x:v>
      </x:c>
      <x:c r="I1294" s="17" t="n">
        <x:v>1432862499.8270867</x:v>
      </x:c>
      <x:c r="J1294" s="2" t="str">
        <x:v>m2</x:v>
      </x:c>
      <x:c r="K1294" s="15" t="n">
        <x:f>IF(AND(ISNUMBER(F1294),ISNUMBER(G1294),F1294&gt;0),G1294/F1294-1,"n.a.")</x:f>
        <x:v>0.17214533705159907</x:v>
      </x:c>
      <x:c r="L1294" s="15" t="n">
        <x:f>IF(AND(N1294,ISNUMBER(H1294),ISNUMBER(I1294),H1294&gt;0),I1294/H1294-1,"n.a.")</x:f>
        <x:v>0.16850399205788302</x:v>
      </x:c>
      <x:c r="M1294" s="20" t="n">
        <x:f>IF(AND(ISNUMBER(K1294),ISNUMBER(L1294)),100*(K1294-L1294),"n.a.")</x:f>
        <x:v>0.36413449937160447</x:v>
      </x:c>
      <x:c r="N1294" s="13" t="b">
        <x:v>1</x:v>
      </x:c>
      <x:c r="O1294" s="13" t="b">
        <x:v>1</x:v>
      </x:c>
      <x:c r="P1294" s="13" t="b">
        <x:v>0</x:v>
      </x:c>
      <x:c r="Q1294" s="2" t="str">
        <x:v>L1_numeric_partition_qualified_not_national_completeness</x:v>
      </x:c>
      <x:c r="R1294" s="2" t="str">
        <x:v>L1_numeric_partition_qualified_not_national_completeness</x:v>
      </x:c>
      <x:c r="S1294" s="2" t="str">
        <x:v>historical_GHSL_BU_estimate</x:v>
      </x:c>
      <x:c r="T1294" s="2" t="str">
        <x:v>projected_CRISP_BU_surface</x:v>
      </x:c>
      <x:c r="U1294" s="2" t="str">
        <x:v>GFA growth versus source physical quantity growth; constant conversion required for equality</x:v>
      </x:c>
      <x:c r="V1294" s="2" t="str">
        <x:v>Future horizontal path is already a v16 driver; WUP historical surface derives from GHSL</x:v>
      </x:c>
      <x:c r="W1294" s="2" t="str">
        <x:v>https://human-settlement.emergency.copernicus.eu/datasets.php</x:v>
      </x:c>
    </x:row>
    <x:row r="1295" ht="23" customHeight="1">
      <x:c r="A1295" s="2" t="str">
        <x:v>MNE</x:v>
      </x:c>
      <x:c r="B1295" s="2" t="str">
        <x:v>Montenegro</x:v>
      </x:c>
      <x:c r="C1295" s="2" t="str">
        <x:v>WUP_SURFACE</x:v>
      </x:c>
      <x:c r="D1295" s="2" t="n">
        <x:v>2020</x:v>
      </x:c>
      <x:c r="E1295" s="2" t="n">
        <x:v>2025</x:v>
      </x:c>
      <x:c r="F1295" s="17" t="n">
        <x:v>39447648.85999995</x:v>
      </x:c>
      <x:c r="G1295" s="17" t="n">
        <x:v>44412752.37209683</x:v>
      </x:c>
      <x:c r="H1295" s="17" t="n">
        <x:v>40512506.12172407</x:v>
      </x:c>
      <x:c r="I1295" s="17" t="n">
        <x:v>45598449.32508304</x:v>
      </x:c>
      <x:c r="J1295" s="2" t="str">
        <x:v>m2</x:v>
      </x:c>
      <x:c r="K1295" s="15" t="n">
        <x:f>IF(AND(ISNUMBER(F1295),ISNUMBER(G1295),F1295&gt;0),G1295/F1295-1,"n.a.")</x:f>
        <x:v>0.12586563852558297</x:v>
      </x:c>
      <x:c r="L1295" s="15" t="n">
        <x:f>IF(AND(N1295,ISNUMBER(H1295),ISNUMBER(I1295),H1295&gt;0),I1295/H1295-1,"n.a.")</x:f>
        <x:v>0.12554007861369332</x:v>
      </x:c>
      <x:c r="M1295" s="20" t="n">
        <x:f>IF(AND(ISNUMBER(K1295),ISNUMBER(L1295)),100*(K1295-L1295),"n.a.")</x:f>
        <x:v>0.03255599118896502</x:v>
      </x:c>
      <x:c r="N1295" s="13" t="b">
        <x:v>1</x:v>
      </x:c>
      <x:c r="O1295" s="13" t="b">
        <x:v>1</x:v>
      </x:c>
      <x:c r="P1295" s="13" t="b">
        <x:v>0</x:v>
      </x:c>
      <x:c r="Q1295" s="2" t="str">
        <x:v>L1_numeric_partition_qualified_not_national_completeness</x:v>
      </x:c>
      <x:c r="R1295" s="2" t="str">
        <x:v>L1_numeric_partition_qualified_not_national_completeness</x:v>
      </x:c>
      <x:c r="S1295" s="2" t="str">
        <x:v>historical_GHSL_BU_estimate</x:v>
      </x:c>
      <x:c r="T1295" s="2" t="str">
        <x:v>projected_CRISP_BU_surface</x:v>
      </x:c>
      <x:c r="U1295" s="2" t="str">
        <x:v>GFA growth versus source physical quantity growth; constant conversion required for equality</x:v>
      </x:c>
      <x:c r="V1295" s="2" t="str">
        <x:v>Future horizontal path is already a v16 driver; WUP historical surface derives from GHSL</x:v>
      </x:c>
      <x:c r="W1295" s="2" t="str">
        <x:v>https://human-settlement.emergency.copernicus.eu/datasets.php</x:v>
      </x:c>
    </x:row>
    <x:row r="1296" ht="23" customHeight="1">
      <x:c r="A1296" s="2" t="str">
        <x:v>MNG</x:v>
      </x:c>
      <x:c r="B1296" s="2" t="str">
        <x:v>Mongolia</x:v>
      </x:c>
      <x:c r="C1296" s="2" t="str">
        <x:v>WUP_SURFACE</x:v>
      </x:c>
      <x:c r="D1296" s="2" t="n">
        <x:v>2020</x:v>
      </x:c>
      <x:c r="E1296" s="2" t="n">
        <x:v>2025</x:v>
      </x:c>
      <x:c r="F1296" s="17" t="n">
        <x:v>83342838.68000013</x:v>
      </x:c>
      <x:c r="G1296" s="17" t="n">
        <x:v>94873498.28180344</x:v>
      </x:c>
      <x:c r="H1296" s="17" t="n">
        <x:v>160899892.81459567</x:v>
      </x:c>
      <x:c r="I1296" s="17" t="n">
        <x:v>182488046.4754026</x:v>
      </x:c>
      <x:c r="J1296" s="2" t="str">
        <x:v>m2</x:v>
      </x:c>
      <x:c r="K1296" s="15" t="n">
        <x:f>IF(AND(ISNUMBER(F1296),ISNUMBER(G1296),F1296&gt;0),G1296/F1296-1,"n.a.")</x:f>
        <x:v>0.1383521342016676</x:v>
      </x:c>
      <x:c r="L1296" s="15" t="n">
        <x:f>IF(AND(N1296,ISNUMBER(H1296),ISNUMBER(I1296),H1296&gt;0),I1296/H1296-1,"n.a.")</x:f>
        <x:v>0.13417133649481583</x:v>
      </x:c>
      <x:c r="M1296" s="20" t="n">
        <x:f>IF(AND(ISNUMBER(K1296),ISNUMBER(L1296)),100*(K1296-L1296),"n.a.")</x:f>
        <x:v>0.41807977068517577</x:v>
      </x:c>
      <x:c r="N1296" s="13" t="b">
        <x:v>1</x:v>
      </x:c>
      <x:c r="O1296" s="13" t="b">
        <x:v>1</x:v>
      </x:c>
      <x:c r="P1296" s="13" t="b">
        <x:v>0</x:v>
      </x:c>
      <x:c r="Q1296" s="2" t="str">
        <x:v>L1_numeric_partition_qualified_not_national_completeness</x:v>
      </x:c>
      <x:c r="R1296" s="2" t="str">
        <x:v>L1_numeric_partition_qualified_not_national_completeness</x:v>
      </x:c>
      <x:c r="S1296" s="2" t="str">
        <x:v>historical_GHSL_BU_estimate</x:v>
      </x:c>
      <x:c r="T1296" s="2" t="str">
        <x:v>projected_CRISP_BU_surface</x:v>
      </x:c>
      <x:c r="U1296" s="2" t="str">
        <x:v>GFA growth versus source physical quantity growth; constant conversion required for equality</x:v>
      </x:c>
      <x:c r="V1296" s="2" t="str">
        <x:v>Future horizontal path is already a v16 driver; WUP historical surface derives from GHSL</x:v>
      </x:c>
      <x:c r="W1296" s="2" t="str">
        <x:v>https://human-settlement.emergency.copernicus.eu/datasets.php</x:v>
      </x:c>
    </x:row>
    <x:row r="1297" ht="23" customHeight="1">
      <x:c r="A1297" s="2" t="str">
        <x:v>MOZ</x:v>
      </x:c>
      <x:c r="B1297" s="2" t="str">
        <x:v>Mozambique (Republic of)</x:v>
      </x:c>
      <x:c r="C1297" s="2" t="str">
        <x:v>WUP_SURFACE</x:v>
      </x:c>
      <x:c r="D1297" s="2" t="n">
        <x:v>2020</x:v>
      </x:c>
      <x:c r="E1297" s="2" t="n">
        <x:v>2025</x:v>
      </x:c>
      <x:c r="F1297" s="17" t="n">
        <x:v>540811235.5300008</x:v>
      </x:c>
      <x:c r="G1297" s="17" t="n">
        <x:v>628502664.0516603</x:v>
      </x:c>
      <x:c r="H1297" s="17" t="n">
        <x:v>1946079434.3725688</x:v>
      </x:c>
      <x:c r="I1297" s="17" t="n">
        <x:v>2251884012.3159094</x:v>
      </x:c>
      <x:c r="J1297" s="2" t="str">
        <x:v>m2</x:v>
      </x:c>
      <x:c r="K1297" s="15" t="n">
        <x:f>IF(AND(ISNUMBER(F1297),ISNUMBER(G1297),F1297&gt;0),G1297/F1297-1,"n.a.")</x:f>
        <x:v>0.16214794138979194</x:v>
      </x:c>
      <x:c r="L1297" s="15" t="n">
        <x:f>IF(AND(N1297,ISNUMBER(H1297),ISNUMBER(I1297),H1297&gt;0),I1297/H1297-1,"n.a.")</x:f>
        <x:v>0.15713879533490593</x:v>
      </x:c>
      <x:c r="M1297" s="20" t="n">
        <x:f>IF(AND(ISNUMBER(K1297),ISNUMBER(L1297)),100*(K1297-L1297),"n.a.")</x:f>
        <x:v>0.5009146054886005</x:v>
      </x:c>
      <x:c r="N1297" s="13" t="b">
        <x:v>1</x:v>
      </x:c>
      <x:c r="O1297" s="13" t="b">
        <x:v>1</x:v>
      </x:c>
      <x:c r="P1297" s="13" t="b">
        <x:v>0</x:v>
      </x:c>
      <x:c r="Q1297" s="2" t="str">
        <x:v>L1_numeric_partition_qualified_not_national_completeness</x:v>
      </x:c>
      <x:c r="R1297" s="2" t="str">
        <x:v>L1_numeric_partition_qualified_not_national_completeness</x:v>
      </x:c>
      <x:c r="S1297" s="2" t="str">
        <x:v>historical_GHSL_BU_estimate</x:v>
      </x:c>
      <x:c r="T1297" s="2" t="str">
        <x:v>projected_CRISP_BU_surface</x:v>
      </x:c>
      <x:c r="U1297" s="2" t="str">
        <x:v>GFA growth versus source physical quantity growth; constant conversion required for equality</x:v>
      </x:c>
      <x:c r="V1297" s="2" t="str">
        <x:v>Future horizontal path is already a v16 driver; WUP historical surface derives from GHSL</x:v>
      </x:c>
      <x:c r="W1297" s="2" t="str">
        <x:v>https://human-settlement.emergency.copernicus.eu/datasets.php</x:v>
      </x:c>
    </x:row>
    <x:row r="1298" ht="23" customHeight="1">
      <x:c r="A1298" s="2" t="str">
        <x:v>MRT</x:v>
      </x:c>
      <x:c r="B1298" s="2" t="str">
        <x:v>Mauritania (Islamic Republic of)</x:v>
      </x:c>
      <x:c r="C1298" s="2" t="str">
        <x:v>WUP_SURFACE</x:v>
      </x:c>
      <x:c r="D1298" s="2" t="n">
        <x:v>2020</x:v>
      </x:c>
      <x:c r="E1298" s="2" t="n">
        <x:v>2025</x:v>
      </x:c>
      <x:c r="F1298" s="17" t="n">
        <x:v>97384454.07000008</x:v>
      </x:c>
      <x:c r="G1298" s="17" t="n">
        <x:v>116298238.67425658</x:v>
      </x:c>
      <x:c r="H1298" s="17" t="n">
        <x:v>225713140.8755389</x:v>
      </x:c>
      <x:c r="I1298" s="17" t="n">
        <x:v>268516320.23972434</x:v>
      </x:c>
      <x:c r="J1298" s="2" t="str">
        <x:v>m2</x:v>
      </x:c>
      <x:c r="K1298" s="15" t="n">
        <x:f>IF(AND(ISNUMBER(F1298),ISNUMBER(G1298),F1298&gt;0),G1298/F1298-1,"n.a.")</x:f>
        <x:v>0.19421769916850629</x:v>
      </x:c>
      <x:c r="L1298" s="15" t="n">
        <x:f>IF(AND(N1298,ISNUMBER(H1298),ISNUMBER(I1298),H1298&gt;0),I1298/H1298-1,"n.a.")</x:f>
        <x:v>0.18963530079884738</x:v>
      </x:c>
      <x:c r="M1298" s="20" t="n">
        <x:f>IF(AND(ISNUMBER(K1298),ISNUMBER(L1298)),100*(K1298-L1298),"n.a.")</x:f>
        <x:v>0.4582398369658902</x:v>
      </x:c>
      <x:c r="N1298" s="13" t="b">
        <x:v>1</x:v>
      </x:c>
      <x:c r="O1298" s="13" t="b">
        <x:v>1</x:v>
      </x:c>
      <x:c r="P1298" s="13" t="b">
        <x:v>0</x:v>
      </x:c>
      <x:c r="Q1298" s="2" t="str">
        <x:v>L1_numeric_partition_qualified_not_national_completeness</x:v>
      </x:c>
      <x:c r="R1298" s="2" t="str">
        <x:v>L1_numeric_partition_qualified_not_national_completeness</x:v>
      </x:c>
      <x:c r="S1298" s="2" t="str">
        <x:v>historical_GHSL_BU_estimate</x:v>
      </x:c>
      <x:c r="T1298" s="2" t="str">
        <x:v>projected_CRISP_BU_surface</x:v>
      </x:c>
      <x:c r="U1298" s="2" t="str">
        <x:v>GFA growth versus source physical quantity growth; constant conversion required for equality</x:v>
      </x:c>
      <x:c r="V1298" s="2" t="str">
        <x:v>Future horizontal path is already a v16 driver; WUP historical surface derives from GHSL</x:v>
      </x:c>
      <x:c r="W1298" s="2" t="str">
        <x:v>https://human-settlement.emergency.copernicus.eu/datasets.php</x:v>
      </x:c>
    </x:row>
    <x:row r="1299" ht="23" customHeight="1">
      <x:c r="A1299" s="2" t="str">
        <x:v>MUS</x:v>
      </x:c>
      <x:c r="B1299" s="2" t="str">
        <x:v>Mauritius (Republic of)</x:v>
      </x:c>
      <x:c r="C1299" s="2" t="str">
        <x:v>WUP_SURFACE</x:v>
      </x:c>
      <x:c r="D1299" s="2" t="n">
        <x:v>2020</x:v>
      </x:c>
      <x:c r="E1299" s="2" t="n">
        <x:v>2025</x:v>
      </x:c>
      <x:c r="F1299" s="17" t="n">
        <x:v>65152566.7100001</x:v>
      </x:c>
      <x:c r="G1299" s="17" t="n">
        <x:v>70028973.76503034</x:v>
      </x:c>
      <x:c r="H1299" s="17" t="n">
        <x:v>74043178.96130703</x:v>
      </x:c>
      <x:c r="I1299" s="17" t="n">
        <x:v>79511184.55854475</x:v>
      </x:c>
      <x:c r="J1299" s="2" t="str">
        <x:v>m2</x:v>
      </x:c>
      <x:c r="K1299" s="15" t="n">
        <x:f>IF(AND(ISNUMBER(F1299),ISNUMBER(G1299),F1299&gt;0),G1299/F1299-1,"n.a.")</x:f>
        <x:v>0.07484597002502702</x:v>
      </x:c>
      <x:c r="L1299" s="15" t="n">
        <x:f>IF(AND(N1299,ISNUMBER(H1299),ISNUMBER(I1299),H1299&gt;0),I1299/H1299-1,"n.a.")</x:f>
        <x:v>0.07384887674927021</x:v>
      </x:c>
      <x:c r="M1299" s="20" t="n">
        <x:f>IF(AND(ISNUMBER(K1299),ISNUMBER(L1299)),100*(K1299-L1299),"n.a.")</x:f>
        <x:v>0.09970932757568107</x:v>
      </x:c>
      <x:c r="N1299" s="13" t="b">
        <x:v>1</x:v>
      </x:c>
      <x:c r="O1299" s="13" t="b">
        <x:v>1</x:v>
      </x:c>
      <x:c r="P1299" s="13" t="b">
        <x:v>0</x:v>
      </x:c>
      <x:c r="Q1299" s="2" t="str">
        <x:v>L1_numeric_partition_qualified_not_national_completeness</x:v>
      </x:c>
      <x:c r="R1299" s="2" t="str">
        <x:v>L1_numeric_partition_qualified_not_national_completeness</x:v>
      </x:c>
      <x:c r="S1299" s="2" t="str">
        <x:v>historical_GHSL_BU_estimate</x:v>
      </x:c>
      <x:c r="T1299" s="2" t="str">
        <x:v>projected_CRISP_BU_surface</x:v>
      </x:c>
      <x:c r="U1299" s="2" t="str">
        <x:v>GFA growth versus source physical quantity growth; constant conversion required for equality</x:v>
      </x:c>
      <x:c r="V1299" s="2" t="str">
        <x:v>Future horizontal path is already a v16 driver; WUP historical surface derives from GHSL</x:v>
      </x:c>
      <x:c r="W1299" s="2" t="str">
        <x:v>https://human-settlement.emergency.copernicus.eu/datasets.php</x:v>
      </x:c>
    </x:row>
    <x:row r="1300" ht="23" customHeight="1">
      <x:c r="A1300" s="2" t="str">
        <x:v>MWI</x:v>
      </x:c>
      <x:c r="B1300" s="2" t="str">
        <x:v>Malawi (Republic of)</x:v>
      </x:c>
      <x:c r="C1300" s="2" t="str">
        <x:v>WUP_SURFACE</x:v>
      </x:c>
      <x:c r="D1300" s="2" t="n">
        <x:v>2020</x:v>
      </x:c>
      <x:c r="E1300" s="2" t="n">
        <x:v>2025</x:v>
      </x:c>
      <x:c r="F1300" s="17" t="n">
        <x:v>330771641.01999974</x:v>
      </x:c>
      <x:c r="G1300" s="17" t="n">
        <x:v>382402408.1350512</x:v>
      </x:c>
      <x:c r="H1300" s="17" t="n">
        <x:v>1096645518.849963</x:v>
      </x:c>
      <x:c r="I1300" s="17" t="n">
        <x:v>1261083185.0001256</x:v>
      </x:c>
      <x:c r="J1300" s="2" t="str">
        <x:v>m2</x:v>
      </x:c>
      <x:c r="K1300" s="15" t="n">
        <x:f>IF(AND(ISNUMBER(F1300),ISNUMBER(G1300),F1300&gt;0),G1300/F1300-1,"n.a.")</x:f>
        <x:v>0.15609187944842473</x:v>
      </x:c>
      <x:c r="L1300" s="15" t="n">
        <x:f>IF(AND(N1300,ISNUMBER(H1300),ISNUMBER(I1300),H1300&gt;0),I1300/H1300-1,"n.a.")</x:f>
        <x:v>0.14994605214144885</x:v>
      </x:c>
      <x:c r="M1300" s="20" t="n">
        <x:f>IF(AND(ISNUMBER(K1300),ISNUMBER(L1300)),100*(K1300-L1300),"n.a.")</x:f>
        <x:v>0.6145827306975882</x:v>
      </x:c>
      <x:c r="N1300" s="13" t="b">
        <x:v>1</x:v>
      </x:c>
      <x:c r="O1300" s="13" t="b">
        <x:v>1</x:v>
      </x:c>
      <x:c r="P1300" s="13" t="b">
        <x:v>0</x:v>
      </x:c>
      <x:c r="Q1300" s="2" t="str">
        <x:v>L1_numeric_partition_qualified_not_national_completeness</x:v>
      </x:c>
      <x:c r="R1300" s="2" t="str">
        <x:v>L1_numeric_partition_qualified_not_national_completeness</x:v>
      </x:c>
      <x:c r="S1300" s="2" t="str">
        <x:v>historical_GHSL_BU_estimate</x:v>
      </x:c>
      <x:c r="T1300" s="2" t="str">
        <x:v>projected_CRISP_BU_surface</x:v>
      </x:c>
      <x:c r="U1300" s="2" t="str">
        <x:v>GFA growth versus source physical quantity growth; constant conversion required for equality</x:v>
      </x:c>
      <x:c r="V1300" s="2" t="str">
        <x:v>Future horizontal path is already a v16 driver; WUP historical surface derives from GHSL</x:v>
      </x:c>
      <x:c r="W1300" s="2" t="str">
        <x:v>https://human-settlement.emergency.copernicus.eu/datasets.php</x:v>
      </x:c>
    </x:row>
    <x:row r="1301" ht="23" customHeight="1">
      <x:c r="A1301" s="2" t="str">
        <x:v>MYS</x:v>
      </x:c>
      <x:c r="B1301" s="2" t="str">
        <x:v>Malaysia</x:v>
      </x:c>
      <x:c r="C1301" s="2" t="str">
        <x:v>WUP_SURFACE</x:v>
      </x:c>
      <x:c r="D1301" s="2" t="n">
        <x:v>2020</x:v>
      </x:c>
      <x:c r="E1301" s="2" t="n">
        <x:v>2025</x:v>
      </x:c>
      <x:c r="F1301" s="17" t="n">
        <x:v>2041076673.6399992</x:v>
      </x:c>
      <x:c r="G1301" s="17" t="n">
        <x:v>2371430145.3910923</x:v>
      </x:c>
      <x:c r="H1301" s="17" t="n">
        <x:v>2067567185.869002</x:v>
      </x:c>
      <x:c r="I1301" s="17" t="n">
        <x:v>2390474291.6130624</x:v>
      </x:c>
      <x:c r="J1301" s="2" t="str">
        <x:v>m2</x:v>
      </x:c>
      <x:c r="K1301" s="15" t="n">
        <x:f>IF(AND(ISNUMBER(F1301),ISNUMBER(G1301),F1301&gt;0),G1301/F1301-1,"n.a.")</x:f>
        <x:v>0.16185255361424034</x:v>
      </x:c>
      <x:c r="L1301" s="15" t="n">
        <x:f>IF(AND(N1301,ISNUMBER(H1301),ISNUMBER(I1301),H1301&gt;0),I1301/H1301-1,"n.a.")</x:f>
        <x:v>0.1561773218065181</x:v>
      </x:c>
      <x:c r="M1301" s="20" t="n">
        <x:f>IF(AND(ISNUMBER(K1301),ISNUMBER(L1301)),100*(K1301-L1301),"n.a.")</x:f>
        <x:v>0.5675231807722225</x:v>
      </x:c>
      <x:c r="N1301" s="13" t="b">
        <x:v>1</x:v>
      </x:c>
      <x:c r="O1301" s="13" t="b">
        <x:v>1</x:v>
      </x:c>
      <x:c r="P1301" s="13" t="b">
        <x:v>0</x:v>
      </x:c>
      <x:c r="Q1301" s="2" t="str">
        <x:v>L1_numeric_partition_qualified_not_national_completeness</x:v>
      </x:c>
      <x:c r="R1301" s="2" t="str">
        <x:v>L1_numeric_partition_qualified_not_national_completeness</x:v>
      </x:c>
      <x:c r="S1301" s="2" t="str">
        <x:v>historical_GHSL_BU_estimate</x:v>
      </x:c>
      <x:c r="T1301" s="2" t="str">
        <x:v>projected_CRISP_BU_surface</x:v>
      </x:c>
      <x:c r="U1301" s="2" t="str">
        <x:v>GFA growth versus source physical quantity growth; constant conversion required for equality</x:v>
      </x:c>
      <x:c r="V1301" s="2" t="str">
        <x:v>Future horizontal path is already a v16 driver; WUP historical surface derives from GHSL</x:v>
      </x:c>
      <x:c r="W1301" s="2" t="str">
        <x:v>https://human-settlement.emergency.copernicus.eu/datasets.php</x:v>
      </x:c>
    </x:row>
    <x:row r="1302" ht="23" customHeight="1">
      <x:c r="A1302" s="2" t="str">
        <x:v>NAM</x:v>
      </x:c>
      <x:c r="B1302" s="2" t="str">
        <x:v>Namibia (Republic of)</x:v>
      </x:c>
      <x:c r="C1302" s="2" t="str">
        <x:v>WUP_SURFACE</x:v>
      </x:c>
      <x:c r="D1302" s="2" t="n">
        <x:v>2020</x:v>
      </x:c>
      <x:c r="E1302" s="2" t="n">
        <x:v>2025</x:v>
      </x:c>
      <x:c r="F1302" s="17" t="n">
        <x:v>112405609.30999991</x:v>
      </x:c>
      <x:c r="G1302" s="17" t="n">
        <x:v>127029296.9971377</x:v>
      </x:c>
      <x:c r="H1302" s="17" t="n">
        <x:v>301328274.969822</x:v>
      </x:c>
      <x:c r="I1302" s="17" t="n">
        <x:v>338643552.0435356</x:v>
      </x:c>
      <x:c r="J1302" s="2" t="str">
        <x:v>m2</x:v>
      </x:c>
      <x:c r="K1302" s="15" t="n">
        <x:f>IF(AND(ISNUMBER(F1302),ISNUMBER(G1302),F1302&gt;0),G1302/F1302-1,"n.a.")</x:f>
        <x:v>0.13009749048027985</x:v>
      </x:c>
      <x:c r="L1302" s="15" t="n">
        <x:f>IF(AND(N1302,ISNUMBER(H1302),ISNUMBER(I1302),H1302&gt;0),I1302/H1302-1,"n.a.")</x:f>
        <x:v>0.12383596287952314</x:v>
      </x:c>
      <x:c r="M1302" s="20" t="n">
        <x:f>IF(AND(ISNUMBER(K1302),ISNUMBER(L1302)),100*(K1302-L1302),"n.a.")</x:f>
        <x:v>0.6261527600756711</x:v>
      </x:c>
      <x:c r="N1302" s="13" t="b">
        <x:v>1</x:v>
      </x:c>
      <x:c r="O1302" s="13" t="b">
        <x:v>1</x:v>
      </x:c>
      <x:c r="P1302" s="13" t="b">
        <x:v>0</x:v>
      </x:c>
      <x:c r="Q1302" s="2" t="str">
        <x:v>L1_numeric_partition_qualified_not_national_completeness</x:v>
      </x:c>
      <x:c r="R1302" s="2" t="str">
        <x:v>L1_numeric_partition_qualified_not_national_completeness</x:v>
      </x:c>
      <x:c r="S1302" s="2" t="str">
        <x:v>historical_GHSL_BU_estimate</x:v>
      </x:c>
      <x:c r="T1302" s="2" t="str">
        <x:v>projected_CRISP_BU_surface</x:v>
      </x:c>
      <x:c r="U1302" s="2" t="str">
        <x:v>GFA growth versus source physical quantity growth; constant conversion required for equality</x:v>
      </x:c>
      <x:c r="V1302" s="2" t="str">
        <x:v>Future horizontal path is already a v16 driver; WUP historical surface derives from GHSL</x:v>
      </x:c>
      <x:c r="W1302" s="2" t="str">
        <x:v>https://human-settlement.emergency.copernicus.eu/datasets.php</x:v>
      </x:c>
    </x:row>
    <x:row r="1303" ht="23" customHeight="1">
      <x:c r="A1303" s="2" t="str">
        <x:v>NER</x:v>
      </x:c>
      <x:c r="B1303" s="2" t="str">
        <x:v>Niger (Republic of the)</x:v>
      </x:c>
      <x:c r="C1303" s="2" t="str">
        <x:v>WUP_SURFACE</x:v>
      </x:c>
      <x:c r="D1303" s="2" t="n">
        <x:v>2020</x:v>
      </x:c>
      <x:c r="E1303" s="2" t="n">
        <x:v>2025</x:v>
      </x:c>
      <x:c r="F1303" s="17" t="n">
        <x:v>203236516.4300003</x:v>
      </x:c>
      <x:c r="G1303" s="17" t="n">
        <x:v>250917642.8761138</x:v>
      </x:c>
      <x:c r="H1303" s="17" t="n">
        <x:v>723520897.8383732</x:v>
      </x:c>
      <x:c r="I1303" s="17" t="n">
        <x:v>890882298.1903764</x:v>
      </x:c>
      <x:c r="J1303" s="2" t="str">
        <x:v>m2</x:v>
      </x:c>
      <x:c r="K1303" s="15" t="n">
        <x:f>IF(AND(ISNUMBER(F1303),ISNUMBER(G1303),F1303&gt;0),G1303/F1303-1,"n.a.")</x:f>
        <x:v>0.2346090519738664</x:v>
      </x:c>
      <x:c r="L1303" s="15" t="n">
        <x:f>IF(AND(N1303,ISNUMBER(H1303),ISNUMBER(I1303),H1303&gt;0),I1303/H1303-1,"n.a.")</x:f>
        <x:v>0.23131522648761127</x:v>
      </x:c>
      <x:c r="M1303" s="20" t="n">
        <x:f>IF(AND(ISNUMBER(K1303),ISNUMBER(L1303)),100*(K1303-L1303),"n.a.")</x:f>
        <x:v>0.329382548625512</x:v>
      </x:c>
      <x:c r="N1303" s="13" t="b">
        <x:v>1</x:v>
      </x:c>
      <x:c r="O1303" s="13" t="b">
        <x:v>1</x:v>
      </x:c>
      <x:c r="P1303" s="13" t="b">
        <x:v>0</x:v>
      </x:c>
      <x:c r="Q1303" s="2" t="str">
        <x:v>L1_numeric_partition_qualified_not_national_completeness</x:v>
      </x:c>
      <x:c r="R1303" s="2" t="str">
        <x:v>L1_numeric_partition_qualified_not_national_completeness</x:v>
      </x:c>
      <x:c r="S1303" s="2" t="str">
        <x:v>historical_GHSL_BU_estimate</x:v>
      </x:c>
      <x:c r="T1303" s="2" t="str">
        <x:v>projected_CRISP_BU_surface</x:v>
      </x:c>
      <x:c r="U1303" s="2" t="str">
        <x:v>GFA growth versus source physical quantity growth; constant conversion required for equality</x:v>
      </x:c>
      <x:c r="V1303" s="2" t="str">
        <x:v>Future horizontal path is already a v16 driver; WUP historical surface derives from GHSL</x:v>
      </x:c>
      <x:c r="W1303" s="2" t="str">
        <x:v>https://human-settlement.emergency.copernicus.eu/datasets.php</x:v>
      </x:c>
    </x:row>
    <x:row r="1304" ht="23" customHeight="1">
      <x:c r="A1304" s="2" t="str">
        <x:v>NGA</x:v>
      </x:c>
      <x:c r="B1304" s="2" t="str">
        <x:v>Nigeria (Federal Republic of)</x:v>
      </x:c>
      <x:c r="C1304" s="2" t="str">
        <x:v>WUP_SURFACE</x:v>
      </x:c>
      <x:c r="D1304" s="2" t="n">
        <x:v>2020</x:v>
      </x:c>
      <x:c r="E1304" s="2" t="n">
        <x:v>2025</x:v>
      </x:c>
      <x:c r="F1304" s="17" t="n">
        <x:v>4102804870.2700024</x:v>
      </x:c>
      <x:c r="G1304" s="17" t="n">
        <x:v>4810039826.022523</x:v>
      </x:c>
      <x:c r="H1304" s="17" t="n">
        <x:v>8191198036.130508</x:v>
      </x:c>
      <x:c r="I1304" s="17" t="n">
        <x:v>9556896146.04371</x:v>
      </x:c>
      <x:c r="J1304" s="2" t="str">
        <x:v>m2</x:v>
      </x:c>
      <x:c r="K1304" s="15" t="n">
        <x:f>IF(AND(ISNUMBER(F1304),ISNUMBER(G1304),F1304&gt;0),G1304/F1304-1,"n.a.")</x:f>
        <x:v>0.17237840407115868</x:v>
      </x:c>
      <x:c r="L1304" s="15" t="n">
        <x:f>IF(AND(N1304,ISNUMBER(H1304),ISNUMBER(I1304),H1304&gt;0),I1304/H1304-1,"n.a.")</x:f>
        <x:v>0.16672751701146193</x:v>
      </x:c>
      <x:c r="M1304" s="20" t="n">
        <x:f>IF(AND(ISNUMBER(K1304),ISNUMBER(L1304)),100*(K1304-L1304),"n.a.")</x:f>
        <x:v>0.5650887059696741</x:v>
      </x:c>
      <x:c r="N1304" s="13" t="b">
        <x:v>1</x:v>
      </x:c>
      <x:c r="O1304" s="13" t="b">
        <x:v>1</x:v>
      </x:c>
      <x:c r="P1304" s="13" t="b">
        <x:v>0</x:v>
      </x:c>
      <x:c r="Q1304" s="2" t="str">
        <x:v>L1_numeric_partition_qualified_not_national_completeness</x:v>
      </x:c>
      <x:c r="R1304" s="2" t="str">
        <x:v>L1_numeric_partition_qualified_not_national_completeness</x:v>
      </x:c>
      <x:c r="S1304" s="2" t="str">
        <x:v>historical_GHSL_BU_estimate</x:v>
      </x:c>
      <x:c r="T1304" s="2" t="str">
        <x:v>projected_CRISP_BU_surface</x:v>
      </x:c>
      <x:c r="U1304" s="2" t="str">
        <x:v>GFA growth versus source physical quantity growth; constant conversion required for equality</x:v>
      </x:c>
      <x:c r="V1304" s="2" t="str">
        <x:v>Future horizontal path is already a v16 driver; WUP historical surface derives from GHSL</x:v>
      </x:c>
      <x:c r="W1304" s="2" t="str">
        <x:v>https://human-settlement.emergency.copernicus.eu/datasets.php</x:v>
      </x:c>
    </x:row>
    <x:row r="1305" ht="23" customHeight="1">
      <x:c r="A1305" s="2" t="str">
        <x:v>NIC</x:v>
      </x:c>
      <x:c r="B1305" s="2" t="str">
        <x:v>Nicaragua (Republic of)</x:v>
      </x:c>
      <x:c r="C1305" s="2" t="str">
        <x:v>WUP_SURFACE</x:v>
      </x:c>
      <x:c r="D1305" s="2" t="n">
        <x:v>2020</x:v>
      </x:c>
      <x:c r="E1305" s="2" t="n">
        <x:v>2025</x:v>
      </x:c>
      <x:c r="F1305" s="17" t="n">
        <x:v>201940338.64999992</x:v>
      </x:c>
      <x:c r="G1305" s="17" t="n">
        <x:v>232434082.18040395</x:v>
      </x:c>
      <x:c r="H1305" s="17" t="n">
        <x:v>298532468.20258904</x:v>
      </x:c>
      <x:c r="I1305" s="17" t="n">
        <x:v>342959386.1292307</x:v>
      </x:c>
      <x:c r="J1305" s="2" t="str">
        <x:v>m2</x:v>
      </x:c>
      <x:c r="K1305" s="15" t="n">
        <x:f>IF(AND(ISNUMBER(F1305),ISNUMBER(G1305),F1305&gt;0),G1305/F1305-1,"n.a.")</x:f>
        <x:v>0.15100372582446409</x:v>
      </x:c>
      <x:c r="L1305" s="15" t="n">
        <x:f>IF(AND(N1305,ISNUMBER(H1305),ISNUMBER(I1305),H1305&gt;0),I1305/H1305-1,"n.a.")</x:f>
        <x:v>0.14881770882118195</x:v>
      </x:c>
      <x:c r="M1305" s="20" t="n">
        <x:f>IF(AND(ISNUMBER(K1305),ISNUMBER(L1305)),100*(K1305-L1305),"n.a.")</x:f>
        <x:v>0.2186017003282137</x:v>
      </x:c>
      <x:c r="N1305" s="13" t="b">
        <x:v>1</x:v>
      </x:c>
      <x:c r="O1305" s="13" t="b">
        <x:v>1</x:v>
      </x:c>
      <x:c r="P1305" s="13" t="b">
        <x:v>0</x:v>
      </x:c>
      <x:c r="Q1305" s="2" t="str">
        <x:v>L1_numeric_partition_qualified_not_national_completeness</x:v>
      </x:c>
      <x:c r="R1305" s="2" t="str">
        <x:v>L1_numeric_partition_qualified_not_national_completeness</x:v>
      </x:c>
      <x:c r="S1305" s="2" t="str">
        <x:v>historical_GHSL_BU_estimate</x:v>
      </x:c>
      <x:c r="T1305" s="2" t="str">
        <x:v>projected_CRISP_BU_surface</x:v>
      </x:c>
      <x:c r="U1305" s="2" t="str">
        <x:v>GFA growth versus source physical quantity growth; constant conversion required for equality</x:v>
      </x:c>
      <x:c r="V1305" s="2" t="str">
        <x:v>Future horizontal path is already a v16 driver; WUP historical surface derives from GHSL</x:v>
      </x:c>
      <x:c r="W1305" s="2" t="str">
        <x:v>https://human-settlement.emergency.copernicus.eu/datasets.php</x:v>
      </x:c>
    </x:row>
    <x:row r="1306" ht="23" customHeight="1">
      <x:c r="A1306" s="2" t="str">
        <x:v>NLD</x:v>
      </x:c>
      <x:c r="B1306" s="2" t="str">
        <x:v>Netherlands (Kingdom of the)</x:v>
      </x:c>
      <x:c r="C1306" s="2" t="str">
        <x:v>WUP_SURFACE</x:v>
      </x:c>
      <x:c r="D1306" s="2" t="n">
        <x:v>2020</x:v>
      </x:c>
      <x:c r="E1306" s="2" t="n">
        <x:v>2025</x:v>
      </x:c>
      <x:c r="F1306" s="17" t="n">
        <x:v>1464947836.6400025</x:v>
      </x:c>
      <x:c r="G1306" s="17" t="n">
        <x:v>1718841242.8064585</x:v>
      </x:c>
      <x:c r="H1306" s="17" t="n">
        <x:v>1907111935.276258</x:v>
      </x:c>
      <x:c r="I1306" s="17" t="n">
        <x:v>2229447704.420232</x:v>
      </x:c>
      <x:c r="J1306" s="2" t="str">
        <x:v>m2</x:v>
      </x:c>
      <x:c r="K1306" s="15" t="n">
        <x:f>IF(AND(ISNUMBER(F1306),ISNUMBER(G1306),F1306&gt;0),G1306/F1306-1,"n.a.")</x:f>
        <x:v>0.17331225031792585</x:v>
      </x:c>
      <x:c r="L1306" s="15" t="n">
        <x:f>IF(AND(N1306,ISNUMBER(H1306),ISNUMBER(I1306),H1306&gt;0),I1306/H1306-1,"n.a.")</x:f>
        <x:v>0.16901775044330658</x:v>
      </x:c>
      <x:c r="M1306" s="20" t="n">
        <x:f>IF(AND(ISNUMBER(K1306),ISNUMBER(L1306)),100*(K1306-L1306),"n.a.")</x:f>
        <x:v>0.4294499874619273</x:v>
      </x:c>
      <x:c r="N1306" s="13" t="b">
        <x:v>1</x:v>
      </x:c>
      <x:c r="O1306" s="13" t="b">
        <x:v>1</x:v>
      </x:c>
      <x:c r="P1306" s="13" t="b">
        <x:v>0</x:v>
      </x:c>
      <x:c r="Q1306" s="2" t="str">
        <x:v>L1_numeric_partition_qualified_not_national_completeness</x:v>
      </x:c>
      <x:c r="R1306" s="2" t="str">
        <x:v>L1_numeric_partition_qualified_not_national_completeness</x:v>
      </x:c>
      <x:c r="S1306" s="2" t="str">
        <x:v>historical_GHSL_BU_estimate</x:v>
      </x:c>
      <x:c r="T1306" s="2" t="str">
        <x:v>projected_CRISP_BU_surface</x:v>
      </x:c>
      <x:c r="U1306" s="2" t="str">
        <x:v>GFA growth versus source physical quantity growth; constant conversion required for equality</x:v>
      </x:c>
      <x:c r="V1306" s="2" t="str">
        <x:v>Future horizontal path is already a v16 driver; WUP historical surface derives from GHSL</x:v>
      </x:c>
      <x:c r="W1306" s="2" t="str">
        <x:v>https://human-settlement.emergency.copernicus.eu/datasets.php</x:v>
      </x:c>
    </x:row>
    <x:row r="1307" ht="23" customHeight="1">
      <x:c r="A1307" s="2" t="str">
        <x:v>NOR</x:v>
      </x:c>
      <x:c r="B1307" s="2" t="str">
        <x:v>Norway (Kingdom of)</x:v>
      </x:c>
      <x:c r="C1307" s="2" t="str">
        <x:v>WUP_SURFACE</x:v>
      </x:c>
      <x:c r="D1307" s="2" t="n">
        <x:v>2020</x:v>
      </x:c>
      <x:c r="E1307" s="2" t="n">
        <x:v>2025</x:v>
      </x:c>
      <x:c r="F1307" s="17" t="n">
        <x:v>478516256.6100005</x:v>
      </x:c>
      <x:c r="G1307" s="17" t="n">
        <x:v>584598468.7413988</x:v>
      </x:c>
      <x:c r="H1307" s="17" t="n">
        <x:v>402253104.2124926</x:v>
      </x:c>
      <x:c r="I1307" s="17" t="n">
        <x:v>489673519.8424201</x:v>
      </x:c>
      <x:c r="J1307" s="2" t="str">
        <x:v>m2</x:v>
      </x:c>
      <x:c r="K1307" s="15" t="n">
        <x:f>IF(AND(ISNUMBER(F1307),ISNUMBER(G1307),F1307&gt;0),G1307/F1307-1,"n.a.")</x:f>
        <x:v>0.22168988130711997</x:v>
      </x:c>
      <x:c r="L1307" s="15" t="n">
        <x:f>IF(AND(N1307,ISNUMBER(H1307),ISNUMBER(I1307),H1307&gt;0),I1307/H1307-1,"n.a.")</x:f>
        <x:v>0.21732688875347295</x:v>
      </x:c>
      <x:c r="M1307" s="20" t="n">
        <x:f>IF(AND(ISNUMBER(K1307),ISNUMBER(L1307)),100*(K1307-L1307),"n.a.")</x:f>
        <x:v>0.4362992553647027</x:v>
      </x:c>
      <x:c r="N1307" s="13" t="b">
        <x:v>1</x:v>
      </x:c>
      <x:c r="O1307" s="13" t="b">
        <x:v>1</x:v>
      </x:c>
      <x:c r="P1307" s="13" t="b">
        <x:v>0</x:v>
      </x:c>
      <x:c r="Q1307" s="2" t="str">
        <x:v>L1_numeric_partition_qualified_not_national_completeness</x:v>
      </x:c>
      <x:c r="R1307" s="2" t="str">
        <x:v>L1_numeric_partition_qualified_not_national_completeness</x:v>
      </x:c>
      <x:c r="S1307" s="2" t="str">
        <x:v>historical_GHSL_BU_estimate</x:v>
      </x:c>
      <x:c r="T1307" s="2" t="str">
        <x:v>projected_CRISP_BU_surface</x:v>
      </x:c>
      <x:c r="U1307" s="2" t="str">
        <x:v>GFA growth versus source physical quantity growth; constant conversion required for equality</x:v>
      </x:c>
      <x:c r="V1307" s="2" t="str">
        <x:v>Future horizontal path is already a v16 driver; WUP historical surface derives from GHSL</x:v>
      </x:c>
      <x:c r="W1307" s="2" t="str">
        <x:v>https://human-settlement.emergency.copernicus.eu/datasets.php</x:v>
      </x:c>
    </x:row>
    <x:row r="1308" ht="23" customHeight="1">
      <x:c r="A1308" s="2" t="str">
        <x:v>NPL</x:v>
      </x:c>
      <x:c r="B1308" s="2" t="str">
        <x:v>Nepal (Federal Democratic Republic of)</x:v>
      </x:c>
      <x:c r="C1308" s="2" t="str">
        <x:v>WUP_SURFACE</x:v>
      </x:c>
      <x:c r="D1308" s="2" t="n">
        <x:v>2020</x:v>
      </x:c>
      <x:c r="E1308" s="2" t="n">
        <x:v>2025</x:v>
      </x:c>
      <x:c r="F1308" s="17" t="n">
        <x:v>656084354.4999993</x:v>
      </x:c>
      <x:c r="G1308" s="17" t="n">
        <x:v>741947263.3904998</x:v>
      </x:c>
      <x:c r="H1308" s="17" t="n">
        <x:v>1101961973.0921273</x:v>
      </x:c>
      <x:c r="I1308" s="17" t="n">
        <x:v>1242553073.9505315</x:v>
      </x:c>
      <x:c r="J1308" s="2" t="str">
        <x:v>m2</x:v>
      </x:c>
      <x:c r="K1308" s="15" t="n">
        <x:f>IF(AND(ISNUMBER(F1308),ISNUMBER(G1308),F1308&gt;0),G1308/F1308-1,"n.a.")</x:f>
        <x:v>0.13087175193491163</x:v>
      </x:c>
      <x:c r="L1308" s="15" t="n">
        <x:f>IF(AND(N1308,ISNUMBER(H1308),ISNUMBER(I1308),H1308&gt;0),I1308/H1308-1,"n.a.")</x:f>
        <x:v>0.12758253396340224</x:v>
      </x:c>
      <x:c r="M1308" s="20" t="n">
        <x:f>IF(AND(ISNUMBER(K1308),ISNUMBER(L1308)),100*(K1308-L1308),"n.a.")</x:f>
        <x:v>0.3289217971509384</x:v>
      </x:c>
      <x:c r="N1308" s="13" t="b">
        <x:v>1</x:v>
      </x:c>
      <x:c r="O1308" s="13" t="b">
        <x:v>1</x:v>
      </x:c>
      <x:c r="P1308" s="13" t="b">
        <x:v>0</x:v>
      </x:c>
      <x:c r="Q1308" s="2" t="str">
        <x:v>L1_numeric_partition_qualified_not_national_completeness</x:v>
      </x:c>
      <x:c r="R1308" s="2" t="str">
        <x:v>L1_numeric_partition_qualified_not_national_completeness</x:v>
      </x:c>
      <x:c r="S1308" s="2" t="str">
        <x:v>historical_GHSL_BU_estimate</x:v>
      </x:c>
      <x:c r="T1308" s="2" t="str">
        <x:v>projected_CRISP_BU_surface</x:v>
      </x:c>
      <x:c r="U1308" s="2" t="str">
        <x:v>GFA growth versus source physical quantity growth; constant conversion required for equality</x:v>
      </x:c>
      <x:c r="V1308" s="2" t="str">
        <x:v>Future horizontal path is already a v16 driver; WUP historical surface derives from GHSL</x:v>
      </x:c>
      <x:c r="W1308" s="2" t="str">
        <x:v>https://human-settlement.emergency.copernicus.eu/datasets.php</x:v>
      </x:c>
    </x:row>
    <x:row r="1309" ht="23" customHeight="1">
      <x:c r="A1309" s="2" t="str">
        <x:v>NRU</x:v>
      </x:c>
      <x:c r="B1309" s="2" t="str">
        <x:v>Nauru (Republic of)</x:v>
      </x:c>
      <x:c r="C1309" s="2" t="str">
        <x:v>WUP_SURFACE</x:v>
      </x:c>
      <x:c r="D1309" s="2" t="n">
        <x:v>2020</x:v>
      </x:c>
      <x:c r="E1309" s="2" t="n">
        <x:v>2025</x:v>
      </x:c>
      <x:c r="F1309" s="17" t="n">
        <x:v>405989.38000000024</x:v>
      </x:c>
      <x:c r="G1309" s="17" t="n">
        <x:v>472382.7493685571</x:v>
      </x:c>
      <x:c r="H1309" s="17" t="n">
        <x:v>753905.9966875357</x:v>
      </x:c>
      <x:c r="I1309" s="17" t="n">
        <x:v>876261.2830905709</x:v>
      </x:c>
      <x:c r="J1309" s="2" t="str">
        <x:v>m2</x:v>
      </x:c>
      <x:c r="K1309" s="15" t="n">
        <x:f>IF(AND(ISNUMBER(F1309),ISNUMBER(G1309),F1309&gt;0),G1309/F1309-1,"n.a.")</x:f>
        <x:v>0.16353474410723967</x:v>
      </x:c>
      <x:c r="L1309" s="15" t="n">
        <x:f>IF(AND(N1309,ISNUMBER(H1309),ISNUMBER(I1309),H1309&gt;0),I1309/H1309-1,"n.a.")</x:f>
        <x:v>0.16229514944917822</x:v>
      </x:c>
      <x:c r="M1309" s="20" t="n">
        <x:f>IF(AND(ISNUMBER(K1309),ISNUMBER(L1309)),100*(K1309-L1309),"n.a.")</x:f>
        <x:v>0.12395946580614492</x:v>
      </x:c>
      <x:c r="N1309" s="13" t="b">
        <x:v>1</x:v>
      </x:c>
      <x:c r="O1309" s="13" t="b">
        <x:v>1</x:v>
      </x:c>
      <x:c r="P1309" s="13" t="b">
        <x:v>0</x:v>
      </x:c>
      <x:c r="Q1309" s="2" t="str">
        <x:v>L1_numeric_partition_qualified_not_national_completeness</x:v>
      </x:c>
      <x:c r="R1309" s="2" t="str">
        <x:v>L1_numeric_partition_qualified_not_national_completeness</x:v>
      </x:c>
      <x:c r="S1309" s="2" t="str">
        <x:v>historical_GHSL_BU_estimate</x:v>
      </x:c>
      <x:c r="T1309" s="2" t="str">
        <x:v>projected_CRISP_BU_surface</x:v>
      </x:c>
      <x:c r="U1309" s="2" t="str">
        <x:v>GFA growth versus source physical quantity growth; constant conversion required for equality</x:v>
      </x:c>
      <x:c r="V1309" s="2" t="str">
        <x:v>Future horizontal path is already a v16 driver; WUP historical surface derives from GHSL</x:v>
      </x:c>
      <x:c r="W1309" s="2" t="str">
        <x:v>https://human-settlement.emergency.copernicus.eu/datasets.php</x:v>
      </x:c>
    </x:row>
    <x:row r="1310" ht="23" customHeight="1">
      <x:c r="A1310" s="2" t="str">
        <x:v>NZL</x:v>
      </x:c>
      <x:c r="B1310" s="2" t="str">
        <x:v>New Zealand</x:v>
      </x:c>
      <x:c r="C1310" s="2" t="str">
        <x:v>WUP_SURFACE</x:v>
      </x:c>
      <x:c r="D1310" s="2" t="n">
        <x:v>2020</x:v>
      </x:c>
      <x:c r="E1310" s="2" t="n">
        <x:v>2025</x:v>
      </x:c>
      <x:c r="F1310" s="17" t="n">
        <x:v>553529463.7899991</x:v>
      </x:c>
      <x:c r="G1310" s="17" t="n">
        <x:v>579463275.3891708</x:v>
      </x:c>
      <x:c r="H1310" s="17" t="n">
        <x:v>963823875.4474204</x:v>
      </x:c>
      <x:c r="I1310" s="17" t="n">
        <x:v>1003792947.088072</x:v>
      </x:c>
      <x:c r="J1310" s="2" t="str">
        <x:v>m2</x:v>
      </x:c>
      <x:c r="K1310" s="15" t="n">
        <x:f>IF(AND(ISNUMBER(F1310),ISNUMBER(G1310),F1310&gt;0),G1310/F1310-1,"n.a.")</x:f>
        <x:v>0.04685172749722044</x:v>
      </x:c>
      <x:c r="L1310" s="15" t="n">
        <x:f>IF(AND(N1310,ISNUMBER(H1310),ISNUMBER(I1310),H1310&gt;0),I1310/H1310-1,"n.a.")</x:f>
        <x:v>0.041469269084144056</x:v>
      </x:c>
      <x:c r="M1310" s="20" t="n">
        <x:f>IF(AND(ISNUMBER(K1310),ISNUMBER(L1310)),100*(K1310-L1310),"n.a.")</x:f>
        <x:v>0.5382458413076385</x:v>
      </x:c>
      <x:c r="N1310" s="13" t="b">
        <x:v>1</x:v>
      </x:c>
      <x:c r="O1310" s="13" t="b">
        <x:v>1</x:v>
      </x:c>
      <x:c r="P1310" s="13" t="b">
        <x:v>0</x:v>
      </x:c>
      <x:c r="Q1310" s="2" t="str">
        <x:v>L1_numeric_partition_qualified_not_national_completeness</x:v>
      </x:c>
      <x:c r="R1310" s="2" t="str">
        <x:v>L1_numeric_partition_qualified_not_national_completeness</x:v>
      </x:c>
      <x:c r="S1310" s="2" t="str">
        <x:v>historical_GHSL_BU_estimate</x:v>
      </x:c>
      <x:c r="T1310" s="2" t="str">
        <x:v>projected_CRISP_BU_surface</x:v>
      </x:c>
      <x:c r="U1310" s="2" t="str">
        <x:v>GFA growth versus source physical quantity growth; constant conversion required for equality</x:v>
      </x:c>
      <x:c r="V1310" s="2" t="str">
        <x:v>Future horizontal path is already a v16 driver; WUP historical surface derives from GHSL</x:v>
      </x:c>
      <x:c r="W1310" s="2" t="str">
        <x:v>https://human-settlement.emergency.copernicus.eu/datasets.php</x:v>
      </x:c>
    </x:row>
    <x:row r="1311" ht="23" customHeight="1">
      <x:c r="A1311" s="2" t="str">
        <x:v>OMN</x:v>
      </x:c>
      <x:c r="B1311" s="2" t="str">
        <x:v>Oman (Sultanate of)</x:v>
      </x:c>
      <x:c r="C1311" s="2" t="str">
        <x:v>WUP_SURFACE</x:v>
      </x:c>
      <x:c r="D1311" s="2" t="n">
        <x:v>2020</x:v>
      </x:c>
      <x:c r="E1311" s="2" t="n">
        <x:v>2025</x:v>
      </x:c>
      <x:c r="F1311" s="17" t="n">
        <x:v>262659820.8500002</x:v>
      </x:c>
      <x:c r="G1311" s="17" t="n">
        <x:v>302383519.19688284</x:v>
      </x:c>
      <x:c r="H1311" s="17" t="n">
        <x:v>438211242.9416793</x:v>
      </x:c>
      <x:c r="I1311" s="17" t="n">
        <x:v>503421855.6257282</x:v>
      </x:c>
      <x:c r="J1311" s="2" t="str">
        <x:v>m2</x:v>
      </x:c>
      <x:c r="K1311" s="15" t="n">
        <x:f>IF(AND(ISNUMBER(F1311),ISNUMBER(G1311),F1311&gt;0),G1311/F1311-1,"n.a.")</x:f>
        <x:v>0.15123629574684005</x:v>
      </x:c>
      <x:c r="L1311" s="15" t="n">
        <x:f>IF(AND(N1311,ISNUMBER(H1311),ISNUMBER(I1311),H1311&gt;0),I1311/H1311-1,"n.a.")</x:f>
        <x:v>0.14881090737493397</x:v>
      </x:c>
      <x:c r="M1311" s="20" t="n">
        <x:f>IF(AND(ISNUMBER(K1311),ISNUMBER(L1311)),100*(K1311-L1311),"n.a.")</x:f>
        <x:v>0.24253883719060898</x:v>
      </x:c>
      <x:c r="N1311" s="13" t="b">
        <x:v>1</x:v>
      </x:c>
      <x:c r="O1311" s="13" t="b">
        <x:v>1</x:v>
      </x:c>
      <x:c r="P1311" s="13" t="b">
        <x:v>0</x:v>
      </x:c>
      <x:c r="Q1311" s="2" t="str">
        <x:v>L1_numeric_partition_qualified_not_national_completeness</x:v>
      </x:c>
      <x:c r="R1311" s="2" t="str">
        <x:v>L1_numeric_partition_qualified_not_national_completeness</x:v>
      </x:c>
      <x:c r="S1311" s="2" t="str">
        <x:v>historical_GHSL_BU_estimate</x:v>
      </x:c>
      <x:c r="T1311" s="2" t="str">
        <x:v>projected_CRISP_BU_surface</x:v>
      </x:c>
      <x:c r="U1311" s="2" t="str">
        <x:v>GFA growth versus source physical quantity growth; constant conversion required for equality</x:v>
      </x:c>
      <x:c r="V1311" s="2" t="str">
        <x:v>Future horizontal path is already a v16 driver; WUP historical surface derives from GHSL</x:v>
      </x:c>
      <x:c r="W1311" s="2" t="str">
        <x:v>https://human-settlement.emergency.copernicus.eu/datasets.php</x:v>
      </x:c>
    </x:row>
    <x:row r="1312" ht="23" customHeight="1">
      <x:c r="A1312" s="2" t="str">
        <x:v>PAK</x:v>
      </x:c>
      <x:c r="B1312" s="2" t="str">
        <x:v>Pakistan (Islamic Republic of)</x:v>
      </x:c>
      <x:c r="C1312" s="2" t="str">
        <x:v>WUP_SURFACE</x:v>
      </x:c>
      <x:c r="D1312" s="2" t="n">
        <x:v>2020</x:v>
      </x:c>
      <x:c r="E1312" s="2" t="n">
        <x:v>2025</x:v>
      </x:c>
      <x:c r="F1312" s="17" t="n">
        <x:v>4301390083.520005</x:v>
      </x:c>
      <x:c r="G1312" s="17" t="n">
        <x:v>5106545914.257224</x:v>
      </x:c>
      <x:c r="H1312" s="17" t="n">
        <x:v>6256683450.581376</x:v>
      </x:c>
      <x:c r="I1312" s="17" t="n">
        <x:v>7400540218.947993</x:v>
      </x:c>
      <x:c r="J1312" s="2" t="str">
        <x:v>m2</x:v>
      </x:c>
      <x:c r="K1312" s="15" t="n">
        <x:f>IF(AND(ISNUMBER(F1312),ISNUMBER(G1312),F1312&gt;0),G1312/F1312-1,"n.a.")</x:f>
        <x:v>0.18718502974701767</x:v>
      </x:c>
      <x:c r="L1312" s="15" t="n">
        <x:f>IF(AND(N1312,ISNUMBER(H1312),ISNUMBER(I1312),H1312&gt;0),I1312/H1312-1,"n.a.")</x:f>
        <x:v>0.1828215822969803</x:v>
      </x:c>
      <x:c r="M1312" s="20" t="n">
        <x:f>IF(AND(ISNUMBER(K1312),ISNUMBER(L1312)),100*(K1312-L1312),"n.a.")</x:f>
        <x:v>0.4363447450037361</x:v>
      </x:c>
      <x:c r="N1312" s="13" t="b">
        <x:v>1</x:v>
      </x:c>
      <x:c r="O1312" s="13" t="b">
        <x:v>1</x:v>
      </x:c>
      <x:c r="P1312" s="13" t="b">
        <x:v>0</x:v>
      </x:c>
      <x:c r="Q1312" s="2" t="str">
        <x:v>L1_numeric_partition_qualified_not_national_completeness</x:v>
      </x:c>
      <x:c r="R1312" s="2" t="str">
        <x:v>L1_numeric_partition_qualified_not_national_completeness</x:v>
      </x:c>
      <x:c r="S1312" s="2" t="str">
        <x:v>historical_GHSL_BU_estimate</x:v>
      </x:c>
      <x:c r="T1312" s="2" t="str">
        <x:v>projected_CRISP_BU_surface</x:v>
      </x:c>
      <x:c r="U1312" s="2" t="str">
        <x:v>GFA growth versus source physical quantity growth; constant conversion required for equality</x:v>
      </x:c>
      <x:c r="V1312" s="2" t="str">
        <x:v>Future horizontal path is already a v16 driver; WUP historical surface derives from GHSL</x:v>
      </x:c>
      <x:c r="W1312" s="2" t="str">
        <x:v>https://human-settlement.emergency.copernicus.eu/datasets.php</x:v>
      </x:c>
    </x:row>
    <x:row r="1313" ht="23" customHeight="1">
      <x:c r="A1313" s="2" t="str">
        <x:v>PAN</x:v>
      </x:c>
      <x:c r="B1313" s="2" t="str">
        <x:v>Panama (Republic of)</x:v>
      </x:c>
      <x:c r="C1313" s="2" t="str">
        <x:v>WUP_SURFACE</x:v>
      </x:c>
      <x:c r="D1313" s="2" t="n">
        <x:v>2020</x:v>
      </x:c>
      <x:c r="E1313" s="2" t="n">
        <x:v>2025</x:v>
      </x:c>
      <x:c r="F1313" s="17" t="n">
        <x:v>209722829.7800001</x:v>
      </x:c>
      <x:c r="G1313" s="17" t="n">
        <x:v>237461943.2499206</x:v>
      </x:c>
      <x:c r="H1313" s="17" t="n">
        <x:v>291288538.1392319</x:v>
      </x:c>
      <x:c r="I1313" s="17" t="n">
        <x:v>328649404.59944195</x:v>
      </x:c>
      <x:c r="J1313" s="2" t="str">
        <x:v>m2</x:v>
      </x:c>
      <x:c r="K1313" s="15" t="n">
        <x:f>IF(AND(ISNUMBER(F1313),ISNUMBER(G1313),F1313&gt;0),G1313/F1313-1,"n.a.")</x:f>
        <x:v>0.13226558834352442</x:v>
      </x:c>
      <x:c r="L1313" s="15" t="n">
        <x:f>IF(AND(N1313,ISNUMBER(H1313),ISNUMBER(I1313),H1313&gt;0),I1313/H1313-1,"n.a.")</x:f>
        <x:v>0.12826068165563065</x:v>
      </x:c>
      <x:c r="M1313" s="20" t="n">
        <x:f>IF(AND(ISNUMBER(K1313),ISNUMBER(L1313)),100*(K1313-L1313),"n.a.")</x:f>
        <x:v>0.4004906687893772</x:v>
      </x:c>
      <x:c r="N1313" s="13" t="b">
        <x:v>1</x:v>
      </x:c>
      <x:c r="O1313" s="13" t="b">
        <x:v>1</x:v>
      </x:c>
      <x:c r="P1313" s="13" t="b">
        <x:v>0</x:v>
      </x:c>
      <x:c r="Q1313" s="2" t="str">
        <x:v>L1_numeric_partition_qualified_not_national_completeness</x:v>
      </x:c>
      <x:c r="R1313" s="2" t="str">
        <x:v>L1_numeric_partition_qualified_not_national_completeness</x:v>
      </x:c>
      <x:c r="S1313" s="2" t="str">
        <x:v>historical_GHSL_BU_estimate</x:v>
      </x:c>
      <x:c r="T1313" s="2" t="str">
        <x:v>projected_CRISP_BU_surface</x:v>
      </x:c>
      <x:c r="U1313" s="2" t="str">
        <x:v>GFA growth versus source physical quantity growth; constant conversion required for equality</x:v>
      </x:c>
      <x:c r="V1313" s="2" t="str">
        <x:v>Future horizontal path is already a v16 driver; WUP historical surface derives from GHSL</x:v>
      </x:c>
      <x:c r="W1313" s="2" t="str">
        <x:v>https://human-settlement.emergency.copernicus.eu/datasets.php</x:v>
      </x:c>
    </x:row>
    <x:row r="1314" ht="23" customHeight="1">
      <x:c r="A1314" s="2" t="str">
        <x:v>PER</x:v>
      </x:c>
      <x:c r="B1314" s="2" t="str">
        <x:v>Peru (Republic of)</x:v>
      </x:c>
      <x:c r="C1314" s="2" t="str">
        <x:v>WUP_SURFACE</x:v>
      </x:c>
      <x:c r="D1314" s="2" t="n">
        <x:v>2020</x:v>
      </x:c>
      <x:c r="E1314" s="2" t="n">
        <x:v>2025</x:v>
      </x:c>
      <x:c r="F1314" s="17" t="n">
        <x:v>1228349086.860001</x:v>
      </x:c>
      <x:c r="G1314" s="17" t="n">
        <x:v>1412690840.7160501</x:v>
      </x:c>
      <x:c r="H1314" s="17" t="n">
        <x:v>1468922753.8804944</x:v>
      </x:c>
      <x:c r="I1314" s="17" t="n">
        <x:v>1680159755.1235802</x:v>
      </x:c>
      <x:c r="J1314" s="2" t="str">
        <x:v>m2</x:v>
      </x:c>
      <x:c r="K1314" s="15" t="n">
        <x:f>IF(AND(ISNUMBER(F1314),ISNUMBER(G1314),F1314&gt;0),G1314/F1314-1,"n.a.")</x:f>
        <x:v>0.15007277314568412</x:v>
      </x:c>
      <x:c r="L1314" s="15" t="n">
        <x:f>IF(AND(N1314,ISNUMBER(H1314),ISNUMBER(I1314),H1314&gt;0),I1314/H1314-1,"n.a.")</x:f>
        <x:v>0.14380402283581972</x:v>
      </x:c>
      <x:c r="M1314" s="20" t="n">
        <x:f>IF(AND(ISNUMBER(K1314),ISNUMBER(L1314)),100*(K1314-L1314),"n.a.")</x:f>
        <x:v>0.6268750309864402</x:v>
      </x:c>
      <x:c r="N1314" s="13" t="b">
        <x:v>1</x:v>
      </x:c>
      <x:c r="O1314" s="13" t="b">
        <x:v>1</x:v>
      </x:c>
      <x:c r="P1314" s="13" t="b">
        <x:v>0</x:v>
      </x:c>
      <x:c r="Q1314" s="2" t="str">
        <x:v>L1_numeric_partition_qualified_not_national_completeness</x:v>
      </x:c>
      <x:c r="R1314" s="2" t="str">
        <x:v>L1_numeric_partition_qualified_not_national_completeness</x:v>
      </x:c>
      <x:c r="S1314" s="2" t="str">
        <x:v>historical_GHSL_BU_estimate</x:v>
      </x:c>
      <x:c r="T1314" s="2" t="str">
        <x:v>projected_CRISP_BU_surface</x:v>
      </x:c>
      <x:c r="U1314" s="2" t="str">
        <x:v>GFA growth versus source physical quantity growth; constant conversion required for equality</x:v>
      </x:c>
      <x:c r="V1314" s="2" t="str">
        <x:v>Future horizontal path is already a v16 driver; WUP historical surface derives from GHSL</x:v>
      </x:c>
      <x:c r="W1314" s="2" t="str">
        <x:v>https://human-settlement.emergency.copernicus.eu/datasets.php</x:v>
      </x:c>
    </x:row>
    <x:row r="1315" ht="23" customHeight="1">
      <x:c r="A1315" s="2" t="str">
        <x:v>PHL</x:v>
      </x:c>
      <x:c r="B1315" s="2" t="str">
        <x:v>Philippines (Republic of the)</x:v>
      </x:c>
      <x:c r="C1315" s="2" t="str">
        <x:v>WUP_SURFACE</x:v>
      </x:c>
      <x:c r="D1315" s="2" t="n">
        <x:v>2020</x:v>
      </x:c>
      <x:c r="E1315" s="2" t="n">
        <x:v>2025</x:v>
      </x:c>
      <x:c r="F1315" s="17" t="n">
        <x:v>2290609295.400001</x:v>
      </x:c>
      <x:c r="G1315" s="17" t="n">
        <x:v>2757891834.2062345</x:v>
      </x:c>
      <x:c r="H1315" s="17" t="n">
        <x:v>2415345169.4013467</x:v>
      </x:c>
      <x:c r="I1315" s="17" t="n">
        <x:v>2897571377.7772827</x:v>
      </x:c>
      <x:c r="J1315" s="2" t="str">
        <x:v>m2</x:v>
      </x:c>
      <x:c r="K1315" s="15" t="n">
        <x:f>IF(AND(ISNUMBER(F1315),ISNUMBER(G1315),F1315&gt;0),G1315/F1315-1,"n.a.")</x:f>
        <x:v>0.20399923275638043</x:v>
      </x:c>
      <x:c r="L1315" s="15" t="n">
        <x:f>IF(AND(N1315,ISNUMBER(H1315),ISNUMBER(I1315),H1315&gt;0),I1315/H1315-1,"n.a.")</x:f>
        <x:v>0.19965105380588644</x:v>
      </x:c>
      <x:c r="M1315" s="20" t="n">
        <x:f>IF(AND(ISNUMBER(K1315),ISNUMBER(L1315)),100*(K1315-L1315),"n.a.")</x:f>
        <x:v>0.4348178950493997</x:v>
      </x:c>
      <x:c r="N1315" s="13" t="b">
        <x:v>1</x:v>
      </x:c>
      <x:c r="O1315" s="13" t="b">
        <x:v>1</x:v>
      </x:c>
      <x:c r="P1315" s="13" t="b">
        <x:v>0</x:v>
      </x:c>
      <x:c r="Q1315" s="2" t="str">
        <x:v>L1_numeric_partition_qualified_not_national_completeness</x:v>
      </x:c>
      <x:c r="R1315" s="2" t="str">
        <x:v>L1_numeric_partition_qualified_not_national_completeness</x:v>
      </x:c>
      <x:c r="S1315" s="2" t="str">
        <x:v>historical_GHSL_BU_estimate</x:v>
      </x:c>
      <x:c r="T1315" s="2" t="str">
        <x:v>projected_CRISP_BU_surface</x:v>
      </x:c>
      <x:c r="U1315" s="2" t="str">
        <x:v>GFA growth versus source physical quantity growth; constant conversion required for equality</x:v>
      </x:c>
      <x:c r="V1315" s="2" t="str">
        <x:v>Future horizontal path is already a v16 driver; WUP historical surface derives from GHSL</x:v>
      </x:c>
      <x:c r="W1315" s="2" t="str">
        <x:v>https://human-settlement.emergency.copernicus.eu/datasets.php</x:v>
      </x:c>
    </x:row>
    <x:row r="1316" ht="23" customHeight="1">
      <x:c r="A1316" s="2" t="str">
        <x:v>PLW</x:v>
      </x:c>
      <x:c r="B1316" s="2" t="str">
        <x:v>Palau (Republic of)</x:v>
      </x:c>
      <x:c r="C1316" s="2" t="str">
        <x:v>WUP_SURFACE</x:v>
      </x:c>
      <x:c r="D1316" s="2" t="n">
        <x:v>2020</x:v>
      </x:c>
      <x:c r="E1316" s="2" t="n">
        <x:v>2025</x:v>
      </x:c>
      <x:c r="F1316" s="17" t="n">
        <x:v>1152226.26</x:v>
      </x:c>
      <x:c r="G1316" s="17" t="n">
        <x:v>1223831.276611377</x:v>
      </x:c>
      <x:c r="H1316" s="17" t="n">
        <x:v>1284489.9999239487</x:v>
      </x:c>
      <x:c r="I1316" s="17" t="n">
        <x:v>1364191.580231136</x:v>
      </x:c>
      <x:c r="J1316" s="2" t="str">
        <x:v>m2</x:v>
      </x:c>
      <x:c r="K1316" s="15" t="n">
        <x:f>IF(AND(ISNUMBER(F1316),ISNUMBER(G1316),F1316&gt;0),G1316/F1316-1,"n.a.")</x:f>
        <x:v>0.062144926823119784</x:v>
      </x:c>
      <x:c r="L1316" s="15" t="n">
        <x:f>IF(AND(N1316,ISNUMBER(H1316),ISNUMBER(I1316),H1316&gt;0),I1316/H1316-1,"n.a.")</x:f>
        <x:v>0.06204920265000591</x:v>
      </x:c>
      <x:c r="M1316" s="20" t="n">
        <x:f>IF(AND(ISNUMBER(K1316),ISNUMBER(L1316)),100*(K1316-L1316),"n.a.")</x:f>
        <x:v>0.009572417311387582</x:v>
      </x:c>
      <x:c r="N1316" s="13" t="b">
        <x:v>1</x:v>
      </x:c>
      <x:c r="O1316" s="13" t="b">
        <x:v>1</x:v>
      </x:c>
      <x:c r="P1316" s="13" t="b">
        <x:v>0</x:v>
      </x:c>
      <x:c r="Q1316" s="2" t="str">
        <x:v>L1_numeric_partition_qualified_not_national_completeness</x:v>
      </x:c>
      <x:c r="R1316" s="2" t="str">
        <x:v>L1_numeric_partition_qualified_not_national_completeness</x:v>
      </x:c>
      <x:c r="S1316" s="2" t="str">
        <x:v>historical_GHSL_BU_estimate</x:v>
      </x:c>
      <x:c r="T1316" s="2" t="str">
        <x:v>projected_CRISP_BU_surface</x:v>
      </x:c>
      <x:c r="U1316" s="2" t="str">
        <x:v>GFA growth versus source physical quantity growth; constant conversion required for equality</x:v>
      </x:c>
      <x:c r="V1316" s="2" t="str">
        <x:v>Future horizontal path is already a v16 driver; WUP historical surface derives from GHSL</x:v>
      </x:c>
      <x:c r="W1316" s="2" t="str">
        <x:v>https://human-settlement.emergency.copernicus.eu/datasets.php</x:v>
      </x:c>
    </x:row>
    <x:row r="1317" ht="23" customHeight="1">
      <x:c r="A1317" s="2" t="str">
        <x:v>PNG</x:v>
      </x:c>
      <x:c r="B1317" s="2" t="str">
        <x:v>Papua New Guinea (Independent State of)</x:v>
      </x:c>
      <x:c r="C1317" s="2" t="str">
        <x:v>WUP_SURFACE</x:v>
      </x:c>
      <x:c r="D1317" s="2" t="n">
        <x:v>2020</x:v>
      </x:c>
      <x:c r="E1317" s="2" t="n">
        <x:v>2025</x:v>
      </x:c>
      <x:c r="F1317" s="17" t="n">
        <x:v>111325792.03000018</x:v>
      </x:c>
      <x:c r="G1317" s="17" t="n">
        <x:v>138397311.15776727</x:v>
      </x:c>
      <x:c r="H1317" s="17" t="n">
        <x:v>188950877.017159</x:v>
      </x:c>
      <x:c r="I1317" s="17" t="n">
        <x:v>233600789.18607497</x:v>
      </x:c>
      <x:c r="J1317" s="2" t="str">
        <x:v>m2</x:v>
      </x:c>
      <x:c r="K1317" s="15" t="n">
        <x:f>IF(AND(ISNUMBER(F1317),ISNUMBER(G1317),F1317&gt;0),G1317/F1317-1,"n.a.")</x:f>
        <x:v>0.2431738291201362</x:v>
      </x:c>
      <x:c r="L1317" s="15" t="n">
        <x:f>IF(AND(N1317,ISNUMBER(H1317),ISNUMBER(I1317),H1317&gt;0),I1317/H1317-1,"n.a.")</x:f>
        <x:v>0.23630433938055373</x:v>
      </x:c>
      <x:c r="M1317" s="20" t="n">
        <x:f>IF(AND(ISNUMBER(K1317),ISNUMBER(L1317)),100*(K1317-L1317),"n.a.")</x:f>
        <x:v>0.6869489739582457</x:v>
      </x:c>
      <x:c r="N1317" s="13" t="b">
        <x:v>1</x:v>
      </x:c>
      <x:c r="O1317" s="13" t="b">
        <x:v>1</x:v>
      </x:c>
      <x:c r="P1317" s="13" t="b">
        <x:v>0</x:v>
      </x:c>
      <x:c r="Q1317" s="2" t="str">
        <x:v>L1_numeric_partition_qualified_not_national_completeness</x:v>
      </x:c>
      <x:c r="R1317" s="2" t="str">
        <x:v>L1_numeric_partition_qualified_not_national_completeness</x:v>
      </x:c>
      <x:c r="S1317" s="2" t="str">
        <x:v>historical_GHSL_BU_estimate</x:v>
      </x:c>
      <x:c r="T1317" s="2" t="str">
        <x:v>projected_CRISP_BU_surface</x:v>
      </x:c>
      <x:c r="U1317" s="2" t="str">
        <x:v>GFA growth versus source physical quantity growth; constant conversion required for equality</x:v>
      </x:c>
      <x:c r="V1317" s="2" t="str">
        <x:v>Future horizontal path is already a v16 driver; WUP historical surface derives from GHSL</x:v>
      </x:c>
      <x:c r="W1317" s="2" t="str">
        <x:v>https://human-settlement.emergency.copernicus.eu/datasets.php</x:v>
      </x:c>
    </x:row>
    <x:row r="1318" ht="23" customHeight="1">
      <x:c r="A1318" s="2" t="str">
        <x:v>POL</x:v>
      </x:c>
      <x:c r="B1318" s="2" t="str">
        <x:v>Poland (Republic of)</x:v>
      </x:c>
      <x:c r="C1318" s="2" t="str">
        <x:v>WUP_SURFACE</x:v>
      </x:c>
      <x:c r="D1318" s="2" t="n">
        <x:v>2020</x:v>
      </x:c>
      <x:c r="E1318" s="2" t="n">
        <x:v>2025</x:v>
      </x:c>
      <x:c r="F1318" s="17" t="n">
        <x:v>2573023573.5300016</x:v>
      </x:c>
      <x:c r="G1318" s="17" t="n">
        <x:v>2785361291.546486</x:v>
      </x:c>
      <x:c r="H1318" s="17" t="n">
        <x:v>4546888793.225267</x:v>
      </x:c>
      <x:c r="I1318" s="17" t="n">
        <x:v>4918386360.710778</x:v>
      </x:c>
      <x:c r="J1318" s="2" t="str">
        <x:v>m2</x:v>
      </x:c>
      <x:c r="K1318" s="15" t="n">
        <x:f>IF(AND(ISNUMBER(F1318),ISNUMBER(G1318),F1318&gt;0),G1318/F1318-1,"n.a.")</x:f>
        <x:v>0.08252459099127973</x:v>
      </x:c>
      <x:c r="L1318" s="15" t="n">
        <x:f>IF(AND(N1318,ISNUMBER(H1318),ISNUMBER(I1318),H1318&gt;0),I1318/H1318-1,"n.a.")</x:f>
        <x:v>0.08170368451478982</x:v>
      </x:c>
      <x:c r="M1318" s="20" t="n">
        <x:f>IF(AND(ISNUMBER(K1318),ISNUMBER(L1318)),100*(K1318-L1318),"n.a.")</x:f>
        <x:v>0.08209064764899132</x:v>
      </x:c>
      <x:c r="N1318" s="13" t="b">
        <x:v>1</x:v>
      </x:c>
      <x:c r="O1318" s="13" t="b">
        <x:v>1</x:v>
      </x:c>
      <x:c r="P1318" s="13" t="b">
        <x:v>0</x:v>
      </x:c>
      <x:c r="Q1318" s="2" t="str">
        <x:v>L1_numeric_partition_qualified_not_national_completeness</x:v>
      </x:c>
      <x:c r="R1318" s="2" t="str">
        <x:v>L1_numeric_partition_qualified_not_national_completeness</x:v>
      </x:c>
      <x:c r="S1318" s="2" t="str">
        <x:v>historical_GHSL_BU_estimate</x:v>
      </x:c>
      <x:c r="T1318" s="2" t="str">
        <x:v>projected_CRISP_BU_surface</x:v>
      </x:c>
      <x:c r="U1318" s="2" t="str">
        <x:v>GFA growth versus source physical quantity growth; constant conversion required for equality</x:v>
      </x:c>
      <x:c r="V1318" s="2" t="str">
        <x:v>Future horizontal path is already a v16 driver; WUP historical surface derives from GHSL</x:v>
      </x:c>
      <x:c r="W1318" s="2" t="str">
        <x:v>https://human-settlement.emergency.copernicus.eu/datasets.php</x:v>
      </x:c>
    </x:row>
    <x:row r="1319" ht="23" customHeight="1">
      <x:c r="A1319" s="2" t="str">
        <x:v>PRK</x:v>
      </x:c>
      <x:c r="B1319" s="2" t="str">
        <x:v>Korea (Democratic People's Republic of)</x:v>
      </x:c>
      <x:c r="C1319" s="2" t="str">
        <x:v>WUP_SURFACE</x:v>
      </x:c>
      <x:c r="D1319" s="2" t="n">
        <x:v>2020</x:v>
      </x:c>
      <x:c r="E1319" s="2" t="n">
        <x:v>2025</x:v>
      </x:c>
      <x:c r="F1319" s="17" t="n">
        <x:v>469713807.49000067</x:v>
      </x:c>
      <x:c r="G1319" s="17" t="n">
        <x:v>576481867.0616823</x:v>
      </x:c>
      <x:c r="H1319" s="17" t="n">
        <x:v>377674861.30029035</x:v>
      </x:c>
      <x:c r="I1319" s="17" t="n">
        <x:v>462260196.6174944</x:v>
      </x:c>
      <x:c r="J1319" s="2" t="str">
        <x:v>m2</x:v>
      </x:c>
      <x:c r="K1319" s="15" t="n">
        <x:f>IF(AND(ISNUMBER(F1319),ISNUMBER(G1319),F1319&gt;0),G1319/F1319-1,"n.a.")</x:f>
        <x:v>0.2273044945010576</x:v>
      </x:c>
      <x:c r="L1319" s="15" t="n">
        <x:f>IF(AND(N1319,ISNUMBER(H1319),ISNUMBER(I1319),H1319&gt;0),I1319/H1319-1,"n.a.")</x:f>
        <x:v>0.22396337163131963</x:v>
      </x:c>
      <x:c r="M1319" s="20" t="n">
        <x:f>IF(AND(ISNUMBER(K1319),ISNUMBER(L1319)),100*(K1319-L1319),"n.a.")</x:f>
        <x:v>0.3341122869737978</x:v>
      </x:c>
      <x:c r="N1319" s="13" t="b">
        <x:v>1</x:v>
      </x:c>
      <x:c r="O1319" s="13" t="b">
        <x:v>1</x:v>
      </x:c>
      <x:c r="P1319" s="13" t="b">
        <x:v>0</x:v>
      </x:c>
      <x:c r="Q1319" s="2" t="str">
        <x:v>L1_numeric_partition_qualified_not_national_completeness</x:v>
      </x:c>
      <x:c r="R1319" s="2" t="str">
        <x:v>L1_numeric_partition_qualified_not_national_completeness</x:v>
      </x:c>
      <x:c r="S1319" s="2" t="str">
        <x:v>historical_GHSL_BU_estimate</x:v>
      </x:c>
      <x:c r="T1319" s="2" t="str">
        <x:v>projected_CRISP_BU_surface</x:v>
      </x:c>
      <x:c r="U1319" s="2" t="str">
        <x:v>GFA growth versus source physical quantity growth; constant conversion required for equality</x:v>
      </x:c>
      <x:c r="V1319" s="2" t="str">
        <x:v>Future horizontal path is already a v16 driver; WUP historical surface derives from GHSL</x:v>
      </x:c>
      <x:c r="W1319" s="2" t="str">
        <x:v>https://human-settlement.emergency.copernicus.eu/datasets.php</x:v>
      </x:c>
    </x:row>
    <x:row r="1320" ht="23" customHeight="1">
      <x:c r="A1320" s="2" t="str">
        <x:v>PRT</x:v>
      </x:c>
      <x:c r="B1320" s="2" t="str">
        <x:v>Portugal (Portuguese Republic)</x:v>
      </x:c>
      <x:c r="C1320" s="2" t="str">
        <x:v>WUP_SURFACE</x:v>
      </x:c>
      <x:c r="D1320" s="2" t="n">
        <x:v>2020</x:v>
      </x:c>
      <x:c r="E1320" s="2" t="n">
        <x:v>2025</x:v>
      </x:c>
      <x:c r="F1320" s="17" t="n">
        <x:v>1019333626.31</x:v>
      </x:c>
      <x:c r="G1320" s="17" t="n">
        <x:v>1098541225.0527754</x:v>
      </x:c>
      <x:c r="H1320" s="17" t="n">
        <x:v>1374860716.2609584</x:v>
      </x:c>
      <x:c r="I1320" s="17" t="n">
        <x:v>1478048405.726581</x:v>
      </x:c>
      <x:c r="J1320" s="2" t="str">
        <x:v>m2</x:v>
      </x:c>
      <x:c r="K1320" s="15" t="n">
        <x:f>IF(AND(ISNUMBER(F1320),ISNUMBER(G1320),F1320&gt;0),G1320/F1320-1,"n.a.")</x:f>
        <x:v>0.07770527401269778</x:v>
      </x:c>
      <x:c r="L1320" s="15" t="n">
        <x:f>IF(AND(N1320,ISNUMBER(H1320),ISNUMBER(I1320),H1320&gt;0),I1320/H1320-1,"n.a.")</x:f>
        <x:v>0.0750531950220017</x:v>
      </x:c>
      <x:c r="M1320" s="20" t="n">
        <x:f>IF(AND(ISNUMBER(K1320),ISNUMBER(L1320)),100*(K1320-L1320),"n.a.")</x:f>
        <x:v>0.2652078990696083</x:v>
      </x:c>
      <x:c r="N1320" s="13" t="b">
        <x:v>1</x:v>
      </x:c>
      <x:c r="O1320" s="13" t="b">
        <x:v>1</x:v>
      </x:c>
      <x:c r="P1320" s="13" t="b">
        <x:v>0</x:v>
      </x:c>
      <x:c r="Q1320" s="2" t="str">
        <x:v>L1_numeric_partition_qualified_not_national_completeness</x:v>
      </x:c>
      <x:c r="R1320" s="2" t="str">
        <x:v>L1_numeric_partition_qualified_not_national_completeness</x:v>
      </x:c>
      <x:c r="S1320" s="2" t="str">
        <x:v>historical_GHSL_BU_estimate</x:v>
      </x:c>
      <x:c r="T1320" s="2" t="str">
        <x:v>projected_CRISP_BU_surface</x:v>
      </x:c>
      <x:c r="U1320" s="2" t="str">
        <x:v>GFA growth versus source physical quantity growth; constant conversion required for equality</x:v>
      </x:c>
      <x:c r="V1320" s="2" t="str">
        <x:v>Future horizontal path is already a v16 driver; WUP historical surface derives from GHSL</x:v>
      </x:c>
      <x:c r="W1320" s="2" t="str">
        <x:v>https://human-settlement.emergency.copernicus.eu/datasets.php</x:v>
      </x:c>
    </x:row>
    <x:row r="1321" ht="23" customHeight="1">
      <x:c r="A1321" s="2" t="str">
        <x:v>PRY</x:v>
      </x:c>
      <x:c r="B1321" s="2" t="str">
        <x:v>Paraguay (Republic of)</x:v>
      </x:c>
      <x:c r="C1321" s="2" t="str">
        <x:v>WUP_SURFACE</x:v>
      </x:c>
      <x:c r="D1321" s="2" t="n">
        <x:v>2020</x:v>
      </x:c>
      <x:c r="E1321" s="2" t="n">
        <x:v>2025</x:v>
      </x:c>
      <x:c r="F1321" s="17" t="n">
        <x:v>336793873.4500005</x:v>
      </x:c>
      <x:c r="G1321" s="17" t="n">
        <x:v>375318557.66159767</x:v>
      </x:c>
      <x:c r="H1321" s="17" t="n">
        <x:v>562101220.9652554</x:v>
      </x:c>
      <x:c r="I1321" s="17" t="n">
        <x:v>624174410.1468445</x:v>
      </x:c>
      <x:c r="J1321" s="2" t="str">
        <x:v>m2</x:v>
      </x:c>
      <x:c r="K1321" s="15" t="n">
        <x:f>IF(AND(ISNUMBER(F1321),ISNUMBER(G1321),F1321&gt;0),G1321/F1321-1,"n.a.")</x:f>
        <x:v>0.11438653505470131</x:v>
      </x:c>
      <x:c r="L1321" s="15" t="n">
        <x:f>IF(AND(N1321,ISNUMBER(H1321),ISNUMBER(I1321),H1321&gt;0),I1321/H1321-1,"n.a.")</x:f>
        <x:v>0.11043062506606072</x:v>
      </x:c>
      <x:c r="M1321" s="20" t="n">
        <x:f>IF(AND(ISNUMBER(K1321),ISNUMBER(L1321)),100*(K1321-L1321),"n.a.")</x:f>
        <x:v>0.39559099886405935</x:v>
      </x:c>
      <x:c r="N1321" s="13" t="b">
        <x:v>1</x:v>
      </x:c>
      <x:c r="O1321" s="13" t="b">
        <x:v>1</x:v>
      </x:c>
      <x:c r="P1321" s="13" t="b">
        <x:v>0</x:v>
      </x:c>
      <x:c r="Q1321" s="2" t="str">
        <x:v>L1_numeric_partition_qualified_not_national_completeness</x:v>
      </x:c>
      <x:c r="R1321" s="2" t="str">
        <x:v>L1_numeric_partition_qualified_not_national_completeness</x:v>
      </x:c>
      <x:c r="S1321" s="2" t="str">
        <x:v>historical_GHSL_BU_estimate</x:v>
      </x:c>
      <x:c r="T1321" s="2" t="str">
        <x:v>projected_CRISP_BU_surface</x:v>
      </x:c>
      <x:c r="U1321" s="2" t="str">
        <x:v>GFA growth versus source physical quantity growth; constant conversion required for equality</x:v>
      </x:c>
      <x:c r="V1321" s="2" t="str">
        <x:v>Future horizontal path is already a v16 driver; WUP historical surface derives from GHSL</x:v>
      </x:c>
      <x:c r="W1321" s="2" t="str">
        <x:v>https://human-settlement.emergency.copernicus.eu/datasets.php</x:v>
      </x:c>
    </x:row>
    <x:row r="1322" ht="23" customHeight="1">
      <x:c r="A1322" s="2" t="str">
        <x:v>PSE</x:v>
      </x:c>
      <x:c r="B1322" s="2" t="str">
        <x:v>State of Palestine</x:v>
      </x:c>
      <x:c r="C1322" s="2" t="str">
        <x:v>WUP_SURFACE</x:v>
      </x:c>
      <x:c r="D1322" s="2" t="n">
        <x:v>2020</x:v>
      </x:c>
      <x:c r="E1322" s="2" t="n">
        <x:v>2025</x:v>
      </x:c>
      <x:c r="F1322" s="17" t="n">
        <x:v>239938472.63190365</x:v>
      </x:c>
      <x:c r="G1322" s="17" t="n">
        <x:v>277279914.58707595</x:v>
      </x:c>
      <x:c r="H1322" s="17" t="n">
        <x:v>223132983.0147804</x:v>
      </x:c>
      <x:c r="I1322" s="17" t="n">
        <x:v>256924180.41565928</x:v>
      </x:c>
      <x:c r="J1322" s="2" t="str">
        <x:v>m2</x:v>
      </x:c>
      <x:c r="K1322" s="15" t="n">
        <x:f>IF(AND(ISNUMBER(F1322),ISNUMBER(G1322),F1322&gt;0),G1322/F1322-1,"n.a.")</x:f>
        <x:v>0.15562923921941785</x:v>
      </x:c>
      <x:c r="L1322" s="15" t="n">
        <x:f>IF(AND(N1322,ISNUMBER(H1322),ISNUMBER(I1322),H1322&gt;0),I1322/H1322-1,"n.a.")</x:f>
        <x:v>0.15143972416951246</x:v>
      </x:c>
      <x:c r="M1322" s="20" t="n">
        <x:f>IF(AND(ISNUMBER(K1322),ISNUMBER(L1322)),100*(K1322-L1322),"n.a.")</x:f>
        <x:v>0.418951504990539</x:v>
      </x:c>
      <x:c r="N1322" s="13" t="b">
        <x:v>1</x:v>
      </x:c>
      <x:c r="O1322" s="13" t="b">
        <x:v>0</x:v>
      </x:c>
      <x:c r="P1322" s="13" t="b">
        <x:v>1</x:v>
      </x:c>
      <x:c r="Q1322" s="2" t="str">
        <x:v>L1_numeric_partition_qualified_not_national_completeness</x:v>
      </x:c>
      <x:c r="R1322" s="2" t="str">
        <x:v>L1_numeric_partition_qualified_not_national_completeness</x:v>
      </x:c>
      <x:c r="S1322" s="2" t="str">
        <x:v>historical_GHSL_BU_estimate</x:v>
      </x:c>
      <x:c r="T1322" s="2" t="str">
        <x:v>projected_CRISP_BU_surface</x:v>
      </x:c>
      <x:c r="U1322" s="2" t="str">
        <x:v>GFA growth versus source physical quantity growth; constant conversion required for equality</x:v>
      </x:c>
      <x:c r="V1322" s="2" t="str">
        <x:v>Future horizontal path is already a v16 driver; WUP historical surface derives from GHSL</x:v>
      </x:c>
      <x:c r="W1322" s="2" t="str">
        <x:v>https://human-settlement.emergency.copernicus.eu/datasets.php</x:v>
      </x:c>
    </x:row>
    <x:row r="1323" ht="23" customHeight="1">
      <x:c r="A1323" s="2" t="str">
        <x:v>QAT</x:v>
      </x:c>
      <x:c r="B1323" s="2" t="str">
        <x:v>Qatar (State of)</x:v>
      </x:c>
      <x:c r="C1323" s="2" t="str">
        <x:v>WUP_SURFACE</x:v>
      </x:c>
      <x:c r="D1323" s="2" t="n">
        <x:v>2020</x:v>
      </x:c>
      <x:c r="E1323" s="2" t="n">
        <x:v>2025</x:v>
      </x:c>
      <x:c r="F1323" s="17" t="n">
        <x:v>137316242.80000022</x:v>
      </x:c>
      <x:c r="G1323" s="17" t="n">
        <x:v>162757680.36740732</x:v>
      </x:c>
      <x:c r="H1323" s="17" t="n">
        <x:v>216448403.827633</x:v>
      </x:c>
      <x:c r="I1323" s="17" t="n">
        <x:v>255788886.75496578</x:v>
      </x:c>
      <x:c r="J1323" s="2" t="str">
        <x:v>m2</x:v>
      </x:c>
      <x:c r="K1323" s="15" t="n">
        <x:f>IF(AND(ISNUMBER(F1323),ISNUMBER(G1323),F1323&gt;0),G1323/F1323-1,"n.a.")</x:f>
        <x:v>0.18527624298942058</x:v>
      </x:c>
      <x:c r="L1323" s="15" t="n">
        <x:f>IF(AND(N1323,ISNUMBER(H1323),ISNUMBER(I1323),H1323&gt;0),I1323/H1323-1,"n.a.")</x:f>
        <x:v>0.18175455319440137</x:v>
      </x:c>
      <x:c r="M1323" s="20" t="n">
        <x:f>IF(AND(ISNUMBER(K1323),ISNUMBER(L1323)),100*(K1323-L1323),"n.a.")</x:f>
        <x:v>0.35216897950192116</x:v>
      </x:c>
      <x:c r="N1323" s="13" t="b">
        <x:v>1</x:v>
      </x:c>
      <x:c r="O1323" s="13" t="b">
        <x:v>1</x:v>
      </x:c>
      <x:c r="P1323" s="13" t="b">
        <x:v>0</x:v>
      </x:c>
      <x:c r="Q1323" s="2" t="str">
        <x:v>L1_numeric_partition_qualified_not_national_completeness</x:v>
      </x:c>
      <x:c r="R1323" s="2" t="str">
        <x:v>L1_numeric_partition_qualified_not_national_completeness</x:v>
      </x:c>
      <x:c r="S1323" s="2" t="str">
        <x:v>historical_GHSL_BU_estimate</x:v>
      </x:c>
      <x:c r="T1323" s="2" t="str">
        <x:v>projected_CRISP_BU_surface</x:v>
      </x:c>
      <x:c r="U1323" s="2" t="str">
        <x:v>GFA growth versus source physical quantity growth; constant conversion required for equality</x:v>
      </x:c>
      <x:c r="V1323" s="2" t="str">
        <x:v>Future horizontal path is already a v16 driver; WUP historical surface derives from GHSL</x:v>
      </x:c>
      <x:c r="W1323" s="2" t="str">
        <x:v>https://human-settlement.emergency.copernicus.eu/datasets.php</x:v>
      </x:c>
    </x:row>
    <x:row r="1324" ht="23" customHeight="1">
      <x:c r="A1324" s="2" t="str">
        <x:v>ROU</x:v>
      </x:c>
      <x:c r="B1324" s="2" t="str">
        <x:v>Romania</x:v>
      </x:c>
      <x:c r="C1324" s="2" t="str">
        <x:v>WUP_SURFACE</x:v>
      </x:c>
      <x:c r="D1324" s="2" t="n">
        <x:v>2020</x:v>
      </x:c>
      <x:c r="E1324" s="2" t="n">
        <x:v>2025</x:v>
      </x:c>
      <x:c r="F1324" s="17" t="n">
        <x:v>1451492077.9900024</x:v>
      </x:c>
      <x:c r="G1324" s="17" t="n">
        <x:v>1505468773.1192129</x:v>
      </x:c>
      <x:c r="H1324" s="17" t="n">
        <x:v>2285419520.7995014</x:v>
      </x:c>
      <x:c r="I1324" s="17" t="n">
        <x:v>2370822221.43286</x:v>
      </x:c>
      <x:c r="J1324" s="2" t="str">
        <x:v>m2</x:v>
      </x:c>
      <x:c r="K1324" s="15" t="n">
        <x:f>IF(AND(ISNUMBER(F1324),ISNUMBER(G1324),F1324&gt;0),G1324/F1324-1,"n.a.")</x:f>
        <x:v>0.03718704080283808</x:v>
      </x:c>
      <x:c r="L1324" s="15" t="n">
        <x:f>IF(AND(N1324,ISNUMBER(H1324),ISNUMBER(I1324),H1324&gt;0),I1324/H1324-1,"n.a.")</x:f>
        <x:v>0.03736850055585528</x:v>
      </x:c>
      <x:c r="M1324" s="20" t="n">
        <x:f>IF(AND(ISNUMBER(K1324),ISNUMBER(L1324)),100*(K1324-L1324),"n.a.")</x:f>
        <x:v>-0.018145975301719908</x:v>
      </x:c>
      <x:c r="N1324" s="13" t="b">
        <x:v>1</x:v>
      </x:c>
      <x:c r="O1324" s="13" t="b">
        <x:v>1</x:v>
      </x:c>
      <x:c r="P1324" s="13" t="b">
        <x:v>0</x:v>
      </x:c>
      <x:c r="Q1324" s="2" t="str">
        <x:v>L1_numeric_partition_qualified_not_national_completeness</x:v>
      </x:c>
      <x:c r="R1324" s="2" t="str">
        <x:v>L1_numeric_partition_qualified_not_national_completeness</x:v>
      </x:c>
      <x:c r="S1324" s="2" t="str">
        <x:v>historical_GHSL_BU_estimate</x:v>
      </x:c>
      <x:c r="T1324" s="2" t="str">
        <x:v>projected_CRISP_BU_surface</x:v>
      </x:c>
      <x:c r="U1324" s="2" t="str">
        <x:v>GFA growth versus source physical quantity growth; constant conversion required for equality</x:v>
      </x:c>
      <x:c r="V1324" s="2" t="str">
        <x:v>Future horizontal path is already a v16 driver; WUP historical surface derives from GHSL</x:v>
      </x:c>
      <x:c r="W1324" s="2" t="str">
        <x:v>https://human-settlement.emergency.copernicus.eu/datasets.php</x:v>
      </x:c>
    </x:row>
    <x:row r="1325" ht="23" customHeight="1">
      <x:c r="A1325" s="2" t="str">
        <x:v>RUS</x:v>
      </x:c>
      <x:c r="B1325" s="2" t="str">
        <x:v>Russian Federation</x:v>
      </x:c>
      <x:c r="C1325" s="2" t="str">
        <x:v>WUP_SURFACE</x:v>
      </x:c>
      <x:c r="D1325" s="2" t="n">
        <x:v>2020</x:v>
      </x:c>
      <x:c r="E1325" s="2" t="n">
        <x:v>2025</x:v>
      </x:c>
      <x:c r="F1325" s="17" t="n">
        <x:v>7767687345.91001</x:v>
      </x:c>
      <x:c r="G1325" s="17" t="n">
        <x:v>8438745581.4570675</x:v>
      </x:c>
      <x:c r="H1325" s="17" t="n">
        <x:v>12620142866.166924</x:v>
      </x:c>
      <x:c r="I1325" s="17" t="n">
        <x:v>13680310099.971655</x:v>
      </x:c>
      <x:c r="J1325" s="2" t="str">
        <x:v>m2</x:v>
      </x:c>
      <x:c r="K1325" s="15" t="n">
        <x:f>IF(AND(ISNUMBER(F1325),ISNUMBER(G1325),F1325&gt;0),G1325/F1325-1,"n.a.")</x:f>
        <x:v>0.08639099459897737</x:v>
      </x:c>
      <x:c r="L1325" s="15" t="n">
        <x:f>IF(AND(N1325,ISNUMBER(H1325),ISNUMBER(I1325),H1325&gt;0),I1325/H1325-1,"n.a.")</x:f>
        <x:v>0.08400596134667482</x:v>
      </x:c>
      <x:c r="M1325" s="20" t="n">
        <x:f>IF(AND(ISNUMBER(K1325),ISNUMBER(L1325)),100*(K1325-L1325),"n.a.")</x:f>
        <x:v>0.23850332523025486</x:v>
      </x:c>
      <x:c r="N1325" s="13" t="b">
        <x:v>1</x:v>
      </x:c>
      <x:c r="O1325" s="13" t="b">
        <x:v>1</x:v>
      </x:c>
      <x:c r="P1325" s="13" t="b">
        <x:v>0</x:v>
      </x:c>
      <x:c r="Q1325" s="2" t="str">
        <x:v>L1_numeric_partition_qualified_not_national_completeness</x:v>
      </x:c>
      <x:c r="R1325" s="2" t="str">
        <x:v>L1_numeric_partition_qualified_not_national_completeness</x:v>
      </x:c>
      <x:c r="S1325" s="2" t="str">
        <x:v>historical_GHSL_BU_estimate</x:v>
      </x:c>
      <x:c r="T1325" s="2" t="str">
        <x:v>projected_CRISP_BU_surface</x:v>
      </x:c>
      <x:c r="U1325" s="2" t="str">
        <x:v>GFA growth versus source physical quantity growth; constant conversion required for equality</x:v>
      </x:c>
      <x:c r="V1325" s="2" t="str">
        <x:v>Future horizontal path is already a v16 driver; WUP historical surface derives from GHSL</x:v>
      </x:c>
      <x:c r="W1325" s="2" t="str">
        <x:v>https://human-settlement.emergency.copernicus.eu/datasets.php</x:v>
      </x:c>
    </x:row>
    <x:row r="1326" ht="23" customHeight="1">
      <x:c r="A1326" s="2" t="str">
        <x:v>RWA</x:v>
      </x:c>
      <x:c r="B1326" s="2" t="str">
        <x:v>Rwanda (Republic of)</x:v>
      </x:c>
      <x:c r="C1326" s="2" t="str">
        <x:v>WUP_SURFACE</x:v>
      </x:c>
      <x:c r="D1326" s="2" t="n">
        <x:v>2020</x:v>
      </x:c>
      <x:c r="E1326" s="2" t="n">
        <x:v>2025</x:v>
      </x:c>
      <x:c r="F1326" s="17" t="n">
        <x:v>244877324.63000005</x:v>
      </x:c>
      <x:c r="G1326" s="17" t="n">
        <x:v>280228494.15115213</x:v>
      </x:c>
      <x:c r="H1326" s="17" t="n">
        <x:v>676222861.7570442</x:v>
      </x:c>
      <x:c r="I1326" s="17" t="n">
        <x:v>769800809.3387425</x:v>
      </x:c>
      <x:c r="J1326" s="2" t="str">
        <x:v>m2</x:v>
      </x:c>
      <x:c r="K1326" s="15" t="n">
        <x:f>IF(AND(ISNUMBER(F1326),ISNUMBER(G1326),F1326&gt;0),G1326/F1326-1,"n.a.")</x:f>
        <x:v>0.14436277256200136</x:v>
      </x:c>
      <x:c r="L1326" s="15" t="n">
        <x:f>IF(AND(N1326,ISNUMBER(H1326),ISNUMBER(I1326),H1326&gt;0),I1326/H1326-1,"n.a.")</x:f>
        <x:v>0.13838329473001365</x:v>
      </x:c>
      <x:c r="M1326" s="20" t="n">
        <x:f>IF(AND(ISNUMBER(K1326),ISNUMBER(L1326)),100*(K1326-L1326),"n.a.")</x:f>
        <x:v>0.5979477831987712</x:v>
      </x:c>
      <x:c r="N1326" s="13" t="b">
        <x:v>1</x:v>
      </x:c>
      <x:c r="O1326" s="13" t="b">
        <x:v>1</x:v>
      </x:c>
      <x:c r="P1326" s="13" t="b">
        <x:v>0</x:v>
      </x:c>
      <x:c r="Q1326" s="2" t="str">
        <x:v>L1_numeric_partition_qualified_not_national_completeness</x:v>
      </x:c>
      <x:c r="R1326" s="2" t="str">
        <x:v>L1_numeric_partition_qualified_not_national_completeness</x:v>
      </x:c>
      <x:c r="S1326" s="2" t="str">
        <x:v>historical_GHSL_BU_estimate</x:v>
      </x:c>
      <x:c r="T1326" s="2" t="str">
        <x:v>projected_CRISP_BU_surface</x:v>
      </x:c>
      <x:c r="U1326" s="2" t="str">
        <x:v>GFA growth versus source physical quantity growth; constant conversion required for equality</x:v>
      </x:c>
      <x:c r="V1326" s="2" t="str">
        <x:v>Future horizontal path is already a v16 driver; WUP historical surface derives from GHSL</x:v>
      </x:c>
      <x:c r="W1326" s="2" t="str">
        <x:v>https://human-settlement.emergency.copernicus.eu/datasets.php</x:v>
      </x:c>
    </x:row>
    <x:row r="1327" ht="23" customHeight="1">
      <x:c r="A1327" s="2" t="str">
        <x:v>SAU</x:v>
      </x:c>
      <x:c r="B1327" s="2" t="str">
        <x:v>Saudi Arabia (Kingdom of)</x:v>
      </x:c>
      <x:c r="C1327" s="2" t="str">
        <x:v>WUP_SURFACE</x:v>
      </x:c>
      <x:c r="D1327" s="2" t="n">
        <x:v>2020</x:v>
      </x:c>
      <x:c r="E1327" s="2" t="n">
        <x:v>2025</x:v>
      </x:c>
      <x:c r="F1327" s="17" t="n">
        <x:v>1911722272.930002</x:v>
      </x:c>
      <x:c r="G1327" s="17" t="n">
        <x:v>2170753736.735742</x:v>
      </x:c>
      <x:c r="H1327" s="17" t="n">
        <x:v>2801471153.0187106</x:v>
      </x:c>
      <x:c r="I1327" s="17" t="n">
        <x:v>3169916145.028624</x:v>
      </x:c>
      <x:c r="J1327" s="2" t="str">
        <x:v>m2</x:v>
      </x:c>
      <x:c r="K1327" s="15" t="n">
        <x:f>IF(AND(ISNUMBER(F1327),ISNUMBER(G1327),F1327&gt;0),G1327/F1327-1,"n.a.")</x:f>
        <x:v>0.13549638850455792</x:v>
      </x:c>
      <x:c r="L1327" s="15" t="n">
        <x:f>IF(AND(N1327,ISNUMBER(H1327),ISNUMBER(I1327),H1327&gt;0),I1327/H1327-1,"n.a.")</x:f>
        <x:v>0.13151839583031122</x:v>
      </x:c>
      <x:c r="M1327" s="20" t="n">
        <x:f>IF(AND(ISNUMBER(K1327),ISNUMBER(L1327)),100*(K1327-L1327),"n.a.")</x:f>
        <x:v>0.39779926742467</x:v>
      </x:c>
      <x:c r="N1327" s="13" t="b">
        <x:v>1</x:v>
      </x:c>
      <x:c r="O1327" s="13" t="b">
        <x:v>1</x:v>
      </x:c>
      <x:c r="P1327" s="13" t="b">
        <x:v>0</x:v>
      </x:c>
      <x:c r="Q1327" s="2" t="str">
        <x:v>L1_numeric_partition_qualified_not_national_completeness</x:v>
      </x:c>
      <x:c r="R1327" s="2" t="str">
        <x:v>L1_numeric_partition_qualified_not_national_completeness</x:v>
      </x:c>
      <x:c r="S1327" s="2" t="str">
        <x:v>historical_GHSL_BU_estimate</x:v>
      </x:c>
      <x:c r="T1327" s="2" t="str">
        <x:v>projected_CRISP_BU_surface</x:v>
      </x:c>
      <x:c r="U1327" s="2" t="str">
        <x:v>GFA growth versus source physical quantity growth; constant conversion required for equality</x:v>
      </x:c>
      <x:c r="V1327" s="2" t="str">
        <x:v>Future horizontal path is already a v16 driver; WUP historical surface derives from GHSL</x:v>
      </x:c>
      <x:c r="W1327" s="2" t="str">
        <x:v>https://human-settlement.emergency.copernicus.eu/datasets.php</x:v>
      </x:c>
    </x:row>
    <x:row r="1328" ht="23" customHeight="1">
      <x:c r="A1328" s="2" t="str">
        <x:v>SDN</x:v>
      </x:c>
      <x:c r="B1328" s="2" t="str">
        <x:v>Sudan (Republic of the)</x:v>
      </x:c>
      <x:c r="C1328" s="2" t="str">
        <x:v>WUP_SURFACE</x:v>
      </x:c>
      <x:c r="D1328" s="2" t="n">
        <x:v>2020</x:v>
      </x:c>
      <x:c r="E1328" s="2" t="n">
        <x:v>2025</x:v>
      </x:c>
      <x:c r="F1328" s="17" t="n">
        <x:v>751311239.6000005</x:v>
      </x:c>
      <x:c r="G1328" s="17" t="n">
        <x:v>892034107.7281122</x:v>
      </x:c>
      <x:c r="H1328" s="17" t="n">
        <x:v>1634560565.2687297</x:v>
      </x:c>
      <x:c r="I1328" s="17" t="n">
        <x:v>1934874959.67481</x:v>
      </x:c>
      <x:c r="J1328" s="2" t="str">
        <x:v>m2</x:v>
      </x:c>
      <x:c r="K1328" s="15" t="n">
        <x:f>IF(AND(ISNUMBER(F1328),ISNUMBER(G1328),F1328&gt;0),G1328/F1328-1,"n.a.")</x:f>
        <x:v>0.18730302531216325</x:v>
      </x:c>
      <x:c r="L1328" s="15" t="n">
        <x:f>IF(AND(N1328,ISNUMBER(H1328),ISNUMBER(I1328),H1328&gt;0),I1328/H1328-1,"n.a.")</x:f>
        <x:v>0.18372790876470657</x:v>
      </x:c>
      <x:c r="M1328" s="20" t="n">
        <x:f>IF(AND(ISNUMBER(K1328),ISNUMBER(L1328)),100*(K1328-L1328),"n.a.")</x:f>
        <x:v>0.35751165474566804</x:v>
      </x:c>
      <x:c r="N1328" s="13" t="b">
        <x:v>1</x:v>
      </x:c>
      <x:c r="O1328" s="13" t="b">
        <x:v>1</x:v>
      </x:c>
      <x:c r="P1328" s="13" t="b">
        <x:v>0</x:v>
      </x:c>
      <x:c r="Q1328" s="2" t="str">
        <x:v>L1_numeric_partition_qualified_not_national_completeness</x:v>
      </x:c>
      <x:c r="R1328" s="2" t="str">
        <x:v>L1_numeric_partition_qualified_not_national_completeness</x:v>
      </x:c>
      <x:c r="S1328" s="2" t="str">
        <x:v>historical_GHSL_BU_estimate</x:v>
      </x:c>
      <x:c r="T1328" s="2" t="str">
        <x:v>projected_CRISP_BU_surface</x:v>
      </x:c>
      <x:c r="U1328" s="2" t="str">
        <x:v>GFA growth versus source physical quantity growth; constant conversion required for equality</x:v>
      </x:c>
      <x:c r="V1328" s="2" t="str">
        <x:v>Future horizontal path is already a v16 driver; WUP historical surface derives from GHSL</x:v>
      </x:c>
      <x:c r="W1328" s="2" t="str">
        <x:v>https://human-settlement.emergency.copernicus.eu/datasets.php</x:v>
      </x:c>
    </x:row>
    <x:row r="1329" ht="23" customHeight="1">
      <x:c r="A1329" s="2" t="str">
        <x:v>SEN</x:v>
      </x:c>
      <x:c r="B1329" s="2" t="str">
        <x:v>Senegal (Republic of)</x:v>
      </x:c>
      <x:c r="C1329" s="2" t="str">
        <x:v>WUP_SURFACE</x:v>
      </x:c>
      <x:c r="D1329" s="2" t="n">
        <x:v>2020</x:v>
      </x:c>
      <x:c r="E1329" s="2" t="n">
        <x:v>2025</x:v>
      </x:c>
      <x:c r="F1329" s="17" t="n">
        <x:v>305052833.6899998</x:v>
      </x:c>
      <x:c r="G1329" s="17" t="n">
        <x:v>360044429.4373668</x:v>
      </x:c>
      <x:c r="H1329" s="17" t="n">
        <x:v>702358485.1448159</x:v>
      </x:c>
      <x:c r="I1329" s="17" t="n">
        <x:v>826439232.2193617</x:v>
      </x:c>
      <x:c r="J1329" s="2" t="str">
        <x:v>m2</x:v>
      </x:c>
      <x:c r="K1329" s="15" t="n">
        <x:f>IF(AND(ISNUMBER(F1329),ISNUMBER(G1329),F1329&gt;0),G1329/F1329-1,"n.a.")</x:f>
        <x:v>0.1802690867748189</x:v>
      </x:c>
      <x:c r="L1329" s="15" t="n">
        <x:f>IF(AND(N1329,ISNUMBER(H1329),ISNUMBER(I1329),H1329&gt;0),I1329/H1329-1,"n.a.")</x:f>
        <x:v>0.1766629857813451</x:v>
      </x:c>
      <x:c r="M1329" s="20" t="n">
        <x:f>IF(AND(ISNUMBER(K1329),ISNUMBER(L1329)),100*(K1329-L1329),"n.a.")</x:f>
        <x:v>0.3606100993473804</x:v>
      </x:c>
      <x:c r="N1329" s="13" t="b">
        <x:v>1</x:v>
      </x:c>
      <x:c r="O1329" s="13" t="b">
        <x:v>1</x:v>
      </x:c>
      <x:c r="P1329" s="13" t="b">
        <x:v>0</x:v>
      </x:c>
      <x:c r="Q1329" s="2" t="str">
        <x:v>L1_numeric_partition_qualified_not_national_completeness</x:v>
      </x:c>
      <x:c r="R1329" s="2" t="str">
        <x:v>L1_numeric_partition_qualified_not_national_completeness</x:v>
      </x:c>
      <x:c r="S1329" s="2" t="str">
        <x:v>historical_GHSL_BU_estimate</x:v>
      </x:c>
      <x:c r="T1329" s="2" t="str">
        <x:v>projected_CRISP_BU_surface</x:v>
      </x:c>
      <x:c r="U1329" s="2" t="str">
        <x:v>GFA growth versus source physical quantity growth; constant conversion required for equality</x:v>
      </x:c>
      <x:c r="V1329" s="2" t="str">
        <x:v>Future horizontal path is already a v16 driver; WUP historical surface derives from GHSL</x:v>
      </x:c>
      <x:c r="W1329" s="2" t="str">
        <x:v>https://human-settlement.emergency.copernicus.eu/datasets.php</x:v>
      </x:c>
    </x:row>
    <x:row r="1330" ht="23" customHeight="1">
      <x:c r="A1330" s="2" t="str">
        <x:v>SGP</x:v>
      </x:c>
      <x:c r="B1330" s="2" t="str">
        <x:v>Singapore (Republic of)</x:v>
      </x:c>
      <x:c r="C1330" s="2" t="str">
        <x:v>WUP_SURFACE</x:v>
      </x:c>
      <x:c r="D1330" s="2" t="n">
        <x:v>2020</x:v>
      </x:c>
      <x:c r="E1330" s="2" t="n">
        <x:v>2025</x:v>
      </x:c>
      <x:c r="F1330" s="17" t="n">
        <x:v>194662203.04</x:v>
      </x:c>
      <x:c r="G1330" s="17" t="n">
        <x:v>247566302.98432928</x:v>
      </x:c>
      <x:c r="H1330" s="17" t="n">
        <x:v>112572526.7715635</x:v>
      </x:c>
      <x:c r="I1330" s="17" t="n">
        <x:v>142835190.8433307</x:v>
      </x:c>
      <x:c r="J1330" s="2" t="str">
        <x:v>m2</x:v>
      </x:c>
      <x:c r="K1330" s="15" t="n">
        <x:f>IF(AND(ISNUMBER(F1330),ISNUMBER(G1330),F1330&gt;0),G1330/F1330-1,"n.a.")</x:f>
        <x:v>0.2717738683634354</x:v>
      </x:c>
      <x:c r="L1330" s="15" t="n">
        <x:f>IF(AND(N1330,ISNUMBER(H1330),ISNUMBER(I1330),H1330&gt;0),I1330/H1330-1,"n.a.")</x:f>
        <x:v>0.268828149635278</x:v>
      </x:c>
      <x:c r="M1330" s="20" t="n">
        <x:f>IF(AND(ISNUMBER(K1330),ISNUMBER(L1330)),100*(K1330-L1330),"n.a.")</x:f>
        <x:v>0.29457187281574093</x:v>
      </x:c>
      <x:c r="N1330" s="13" t="b">
        <x:v>1</x:v>
      </x:c>
      <x:c r="O1330" s="13" t="b">
        <x:v>1</x:v>
      </x:c>
      <x:c r="P1330" s="13" t="b">
        <x:v>0</x:v>
      </x:c>
      <x:c r="Q1330" s="2" t="str">
        <x:v>L1_numeric_partition_qualified_not_national_completeness</x:v>
      </x:c>
      <x:c r="R1330" s="2" t="str">
        <x:v>L1_numeric_partition_qualified_not_national_completeness</x:v>
      </x:c>
      <x:c r="S1330" s="2" t="str">
        <x:v>historical_GHSL_BU_estimate</x:v>
      </x:c>
      <x:c r="T1330" s="2" t="str">
        <x:v>projected_CRISP_BU_surface</x:v>
      </x:c>
      <x:c r="U1330" s="2" t="str">
        <x:v>GFA growth versus source physical quantity growth; constant conversion required for equality</x:v>
      </x:c>
      <x:c r="V1330" s="2" t="str">
        <x:v>Future horizontal path is already a v16 driver; WUP historical surface derives from GHSL</x:v>
      </x:c>
      <x:c r="W1330" s="2" t="str">
        <x:v>https://human-settlement.emergency.copernicus.eu/datasets.php</x:v>
      </x:c>
    </x:row>
    <x:row r="1331" ht="23" customHeight="1">
      <x:c r="A1331" s="2" t="str">
        <x:v>SLB</x:v>
      </x:c>
      <x:c r="B1331" s="2" t="str">
        <x:v>Solomon Islands</x:v>
      </x:c>
      <x:c r="C1331" s="2" t="str">
        <x:v>WUP_SURFACE</x:v>
      </x:c>
      <x:c r="D1331" s="2" t="n">
        <x:v>2020</x:v>
      </x:c>
      <x:c r="E1331" s="2" t="n">
        <x:v>2025</x:v>
      </x:c>
      <x:c r="F1331" s="17" t="n">
        <x:v>14438629.189999975</x:v>
      </x:c>
      <x:c r="G1331" s="17" t="n">
        <x:v>17544111.068685386</x:v>
      </x:c>
      <x:c r="H1331" s="17" t="n">
        <x:v>26522994.034811523</x:v>
      </x:c>
      <x:c r="I1331" s="17" t="n">
        <x:v>32121360.98360429</x:v>
      </x:c>
      <x:c r="J1331" s="2" t="str">
        <x:v>m2</x:v>
      </x:c>
      <x:c r="K1331" s="15" t="n">
        <x:f>IF(AND(ISNUMBER(F1331),ISNUMBER(G1331),F1331&gt;0),G1331/F1331-1,"n.a.")</x:f>
        <x:v>0.21508148992677434</x:v>
      </x:c>
      <x:c r="L1331" s="15" t="n">
        <x:f>IF(AND(N1331,ISNUMBER(H1331),ISNUMBER(I1331),H1331&gt;0),I1331/H1331-1,"n.a.")</x:f>
        <x:v>0.21107597963657088</x:v>
      </x:c>
      <x:c r="M1331" s="20" t="n">
        <x:f>IF(AND(ISNUMBER(K1331),ISNUMBER(L1331)),100*(K1331-L1331),"n.a.")</x:f>
        <x:v>0.4005510290203462</x:v>
      </x:c>
      <x:c r="N1331" s="13" t="b">
        <x:v>1</x:v>
      </x:c>
      <x:c r="O1331" s="13" t="b">
        <x:v>1</x:v>
      </x:c>
      <x:c r="P1331" s="13" t="b">
        <x:v>0</x:v>
      </x:c>
      <x:c r="Q1331" s="2" t="str">
        <x:v>L1_numeric_partition_qualified_not_national_completeness</x:v>
      </x:c>
      <x:c r="R1331" s="2" t="str">
        <x:v>L1_numeric_partition_qualified_not_national_completeness</x:v>
      </x:c>
      <x:c r="S1331" s="2" t="str">
        <x:v>historical_GHSL_BU_estimate</x:v>
      </x:c>
      <x:c r="T1331" s="2" t="str">
        <x:v>projected_CRISP_BU_surface</x:v>
      </x:c>
      <x:c r="U1331" s="2" t="str">
        <x:v>GFA growth versus source physical quantity growth; constant conversion required for equality</x:v>
      </x:c>
      <x:c r="V1331" s="2" t="str">
        <x:v>Future horizontal path is already a v16 driver; WUP historical surface derives from GHSL</x:v>
      </x:c>
      <x:c r="W1331" s="2" t="str">
        <x:v>https://human-settlement.emergency.copernicus.eu/datasets.php</x:v>
      </x:c>
    </x:row>
    <x:row r="1332" ht="23" customHeight="1">
      <x:c r="A1332" s="2" t="str">
        <x:v>SLE</x:v>
      </x:c>
      <x:c r="B1332" s="2" t="str">
        <x:v>Sierra Leone (Republic of)</x:v>
      </x:c>
      <x:c r="C1332" s="2" t="str">
        <x:v>WUP_SURFACE</x:v>
      </x:c>
      <x:c r="D1332" s="2" t="n">
        <x:v>2020</x:v>
      </x:c>
      <x:c r="E1332" s="2" t="n">
        <x:v>2025</x:v>
      </x:c>
      <x:c r="F1332" s="17" t="n">
        <x:v>115259924.94999996</x:v>
      </x:c>
      <x:c r="G1332" s="17" t="n">
        <x:v>139497366.49801284</x:v>
      </x:c>
      <x:c r="H1332" s="17" t="n">
        <x:v>224041914.19126338</x:v>
      </x:c>
      <x:c r="I1332" s="17" t="n">
        <x:v>269779979.1369133</x:v>
      </x:c>
      <x:c r="J1332" s="2" t="str">
        <x:v>m2</x:v>
      </x:c>
      <x:c r="K1332" s="15" t="n">
        <x:f>IF(AND(ISNUMBER(F1332),ISNUMBER(G1332),F1332&gt;0),G1332/F1332-1,"n.a.")</x:f>
        <x:v>0.21028507140298025</x:v>
      </x:c>
      <x:c r="L1332" s="15" t="n">
        <x:f>IF(AND(N1332,ISNUMBER(H1332),ISNUMBER(I1332),H1332&gt;0),I1332/H1332-1,"n.a.")</x:f>
        <x:v>0.20414959009234135</x:v>
      </x:c>
      <x:c r="M1332" s="20" t="n">
        <x:f>IF(AND(ISNUMBER(K1332),ISNUMBER(L1332)),100*(K1332-L1332),"n.a.")</x:f>
        <x:v>0.6135481310638902</x:v>
      </x:c>
      <x:c r="N1332" s="13" t="b">
        <x:v>1</x:v>
      </x:c>
      <x:c r="O1332" s="13" t="b">
        <x:v>1</x:v>
      </x:c>
      <x:c r="P1332" s="13" t="b">
        <x:v>0</x:v>
      </x:c>
      <x:c r="Q1332" s="2" t="str">
        <x:v>L1_numeric_partition_qualified_not_national_completeness</x:v>
      </x:c>
      <x:c r="R1332" s="2" t="str">
        <x:v>L1_numeric_partition_qualified_not_national_completeness</x:v>
      </x:c>
      <x:c r="S1332" s="2" t="str">
        <x:v>historical_GHSL_BU_estimate</x:v>
      </x:c>
      <x:c r="T1332" s="2" t="str">
        <x:v>projected_CRISP_BU_surface</x:v>
      </x:c>
      <x:c r="U1332" s="2" t="str">
        <x:v>GFA growth versus source physical quantity growth; constant conversion required for equality</x:v>
      </x:c>
      <x:c r="V1332" s="2" t="str">
        <x:v>Future horizontal path is already a v16 driver; WUP historical surface derives from GHSL</x:v>
      </x:c>
      <x:c r="W1332" s="2" t="str">
        <x:v>https://human-settlement.emergency.copernicus.eu/datasets.php</x:v>
      </x:c>
    </x:row>
    <x:row r="1333" ht="23" customHeight="1">
      <x:c r="A1333" s="2" t="str">
        <x:v>SLV</x:v>
      </x:c>
      <x:c r="B1333" s="2" t="str">
        <x:v>El Salvador (Republic of)</x:v>
      </x:c>
      <x:c r="C1333" s="2" t="str">
        <x:v>WUP_SURFACE</x:v>
      </x:c>
      <x:c r="D1333" s="2" t="n">
        <x:v>2020</x:v>
      </x:c>
      <x:c r="E1333" s="2" t="n">
        <x:v>2025</x:v>
      </x:c>
      <x:c r="F1333" s="17" t="n">
        <x:v>245414047.01000017</x:v>
      </x:c>
      <x:c r="G1333" s="17" t="n">
        <x:v>271317286.8802877</x:v>
      </x:c>
      <x:c r="H1333" s="17" t="n">
        <x:v>341042214.0468587</x:v>
      </x:c>
      <x:c r="I1333" s="17" t="n">
        <x:v>376073900.2822062</x:v>
      </x:c>
      <x:c r="J1333" s="2" t="str">
        <x:v>m2</x:v>
      </x:c>
      <x:c r="K1333" s="15" t="n">
        <x:f>IF(AND(ISNUMBER(F1333),ISNUMBER(G1333),F1333&gt;0),G1333/F1333-1,"n.a.")</x:f>
        <x:v>0.10554913292812462</x:v>
      </x:c>
      <x:c r="L1333" s="15" t="n">
        <x:f>IF(AND(N1333,ISNUMBER(H1333),ISNUMBER(I1333),H1333&gt;0),I1333/H1333-1,"n.a.")</x:f>
        <x:v>0.1027195015527731</x:v>
      </x:c>
      <x:c r="M1333" s="20" t="n">
        <x:f>IF(AND(ISNUMBER(K1333),ISNUMBER(L1333)),100*(K1333-L1333),"n.a.")</x:f>
        <x:v>0.2829631375351527</x:v>
      </x:c>
      <x:c r="N1333" s="13" t="b">
        <x:v>1</x:v>
      </x:c>
      <x:c r="O1333" s="13" t="b">
        <x:v>1</x:v>
      </x:c>
      <x:c r="P1333" s="13" t="b">
        <x:v>0</x:v>
      </x:c>
      <x:c r="Q1333" s="2" t="str">
        <x:v>L1_numeric_partition_qualified_not_national_completeness</x:v>
      </x:c>
      <x:c r="R1333" s="2" t="str">
        <x:v>L1_numeric_partition_qualified_not_national_completeness</x:v>
      </x:c>
      <x:c r="S1333" s="2" t="str">
        <x:v>historical_GHSL_BU_estimate</x:v>
      </x:c>
      <x:c r="T1333" s="2" t="str">
        <x:v>projected_CRISP_BU_surface</x:v>
      </x:c>
      <x:c r="U1333" s="2" t="str">
        <x:v>GFA growth versus source physical quantity growth; constant conversion required for equality</x:v>
      </x:c>
      <x:c r="V1333" s="2" t="str">
        <x:v>Future horizontal path is already a v16 driver; WUP historical surface derives from GHSL</x:v>
      </x:c>
      <x:c r="W1333" s="2" t="str">
        <x:v>https://human-settlement.emergency.copernicus.eu/datasets.php</x:v>
      </x:c>
    </x:row>
    <x:row r="1334" ht="23" customHeight="1">
      <x:c r="A1334" s="2" t="str">
        <x:v>SMR</x:v>
      </x:c>
      <x:c r="B1334" s="2" t="str">
        <x:v>San Marino (Republic of)</x:v>
      </x:c>
      <x:c r="C1334" s="2" t="str">
        <x:v>WUP_SURFACE</x:v>
      </x:c>
      <x:c r="D1334" s="2" t="n">
        <x:v>2020</x:v>
      </x:c>
      <x:c r="E1334" s="2" t="n">
        <x:v>2025</x:v>
      </x:c>
      <x:c r="F1334" s="17" t="n">
        <x:v>3030681.630000002</x:v>
      </x:c>
      <x:c r="G1334" s="17" t="n">
        <x:v>3395199.9700811263</x:v>
      </x:c>
      <x:c r="H1334" s="17" t="n">
        <x:v>4682492.999825627</x:v>
      </x:c>
      <x:c r="I1334" s="17" t="n">
        <x:v>5225208.822172135</x:v>
      </x:c>
      <x:c r="J1334" s="2" t="str">
        <x:v>m2</x:v>
      </x:c>
      <x:c r="K1334" s="15" t="n">
        <x:f>IF(AND(ISNUMBER(F1334),ISNUMBER(G1334),F1334&gt;0),G1334/F1334-1,"n.a.")</x:f>
        <x:v>0.12027602519276304</x:v>
      </x:c>
      <x:c r="L1334" s="15" t="n">
        <x:f>IF(AND(N1334,ISNUMBER(H1334),ISNUMBER(I1334),H1334&gt;0),I1334/H1334-1,"n.a.")</x:f>
        <x:v>0.11590317857746268</x:v>
      </x:c>
      <x:c r="M1334" s="20" t="n">
        <x:f>IF(AND(ISNUMBER(K1334),ISNUMBER(L1334)),100*(K1334-L1334),"n.a.")</x:f>
        <x:v>0.4372846615300352</x:v>
      </x:c>
      <x:c r="N1334" s="13" t="b">
        <x:v>1</x:v>
      </x:c>
      <x:c r="O1334" s="13" t="b">
        <x:v>1</x:v>
      </x:c>
      <x:c r="P1334" s="13" t="b">
        <x:v>0</x:v>
      </x:c>
      <x:c r="Q1334" s="2" t="str">
        <x:v>L1_numeric_partition_qualified_not_national_completeness</x:v>
      </x:c>
      <x:c r="R1334" s="2" t="str">
        <x:v>L1_numeric_partition_qualified_not_national_completeness</x:v>
      </x:c>
      <x:c r="S1334" s="2" t="str">
        <x:v>historical_GHSL_BU_estimate</x:v>
      </x:c>
      <x:c r="T1334" s="2" t="str">
        <x:v>projected_CRISP_BU_surface</x:v>
      </x:c>
      <x:c r="U1334" s="2" t="str">
        <x:v>GFA growth versus source physical quantity growth; constant conversion required for equality</x:v>
      </x:c>
      <x:c r="V1334" s="2" t="str">
        <x:v>Future horizontal path is already a v16 driver; WUP historical surface derives from GHSL</x:v>
      </x:c>
      <x:c r="W1334" s="2" t="str">
        <x:v>https://human-settlement.emergency.copernicus.eu/datasets.php</x:v>
      </x:c>
    </x:row>
    <x:row r="1335" ht="23" customHeight="1">
      <x:c r="A1335" s="2" t="str">
        <x:v>SOM</x:v>
      </x:c>
      <x:c r="B1335" s="2" t="str">
        <x:v>Somalia (Federal Republic of)</x:v>
      </x:c>
      <x:c r="C1335" s="2" t="str">
        <x:v>WUP_SURFACE</x:v>
      </x:c>
      <x:c r="D1335" s="2" t="n">
        <x:v>2020</x:v>
      </x:c>
      <x:c r="E1335" s="2" t="n">
        <x:v>2025</x:v>
      </x:c>
      <x:c r="F1335" s="17" t="n">
        <x:v>134848326.33000013</x:v>
      </x:c>
      <x:c r="G1335" s="17" t="n">
        <x:v>175934191.80780143</x:v>
      </x:c>
      <x:c r="H1335" s="17" t="n">
        <x:v>235423435.1938329</x:v>
      </x:c>
      <x:c r="I1335" s="17" t="n">
        <x:v>306545047.51260626</x:v>
      </x:c>
      <x:c r="J1335" s="2" t="str">
        <x:v>m2</x:v>
      </x:c>
      <x:c r="K1335" s="15" t="n">
        <x:f>IF(AND(ISNUMBER(F1335),ISNUMBER(G1335),F1335&gt;0),G1335/F1335-1,"n.a.")</x:f>
        <x:v>0.3046820572118647</x:v>
      </x:c>
      <x:c r="L1335" s="15" t="n">
        <x:f>IF(AND(N1335,ISNUMBER(H1335),ISNUMBER(I1335),H1335&gt;0),I1335/H1335-1,"n.a.")</x:f>
        <x:v>0.30210081787404164</x:v>
      </x:c>
      <x:c r="M1335" s="20" t="n">
        <x:f>IF(AND(ISNUMBER(K1335),ISNUMBER(L1335)),100*(K1335-L1335),"n.a.")</x:f>
        <x:v>0.258123933782306</x:v>
      </x:c>
      <x:c r="N1335" s="13" t="b">
        <x:v>1</x:v>
      </x:c>
      <x:c r="O1335" s="13" t="b">
        <x:v>1</x:v>
      </x:c>
      <x:c r="P1335" s="13" t="b">
        <x:v>0</x:v>
      </x:c>
      <x:c r="Q1335" s="2" t="str">
        <x:v>L1_numeric_partition_qualified_not_national_completeness</x:v>
      </x:c>
      <x:c r="R1335" s="2" t="str">
        <x:v>L1_numeric_partition_qualified_not_national_completeness</x:v>
      </x:c>
      <x:c r="S1335" s="2" t="str">
        <x:v>historical_GHSL_BU_estimate</x:v>
      </x:c>
      <x:c r="T1335" s="2" t="str">
        <x:v>projected_CRISP_BU_surface</x:v>
      </x:c>
      <x:c r="U1335" s="2" t="str">
        <x:v>GFA growth versus source physical quantity growth; constant conversion required for equality</x:v>
      </x:c>
      <x:c r="V1335" s="2" t="str">
        <x:v>Future horizontal path is already a v16 driver; WUP historical surface derives from GHSL</x:v>
      </x:c>
      <x:c r="W1335" s="2" t="str">
        <x:v>https://human-settlement.emergency.copernicus.eu/datasets.php</x:v>
      </x:c>
    </x:row>
    <x:row r="1336" ht="23" customHeight="1">
      <x:c r="A1336" s="2" t="str">
        <x:v>SRB</x:v>
      </x:c>
      <x:c r="B1336" s="2" t="str">
        <x:v>Serbia (Republic of)</x:v>
      </x:c>
      <x:c r="C1336" s="2" t="str">
        <x:v>WUP_SURFACE</x:v>
      </x:c>
      <x:c r="D1336" s="2" t="n">
        <x:v>2020</x:v>
      </x:c>
      <x:c r="E1336" s="2" t="n">
        <x:v>2025</x:v>
      </x:c>
      <x:c r="F1336" s="17" t="n">
        <x:v>584520286.2100008</x:v>
      </x:c>
      <x:c r="G1336" s="17" t="n">
        <x:v>601669967.0459217</x:v>
      </x:c>
      <x:c r="H1336" s="17" t="n">
        <x:v>809442328.1996503</x:v>
      </x:c>
      <x:c r="I1336" s="17" t="n">
        <x:v>833281288.7036693</x:v>
      </x:c>
      <x:c r="J1336" s="2" t="str">
        <x:v>m2</x:v>
      </x:c>
      <x:c r="K1336" s="15" t="n">
        <x:f>IF(AND(ISNUMBER(F1336),ISNUMBER(G1336),F1336&gt;0),G1336/F1336-1,"n.a.")</x:f>
        <x:v>0.02933975302571379</x:v>
      </x:c>
      <x:c r="L1336" s="15" t="n">
        <x:f>IF(AND(N1336,ISNUMBER(H1336),ISNUMBER(I1336),H1336&gt;0),I1336/H1336-1,"n.a.")</x:f>
        <x:v>0.029451092033994986</x:v>
      </x:c>
      <x:c r="M1336" s="20" t="n">
        <x:f>IF(AND(ISNUMBER(K1336),ISNUMBER(L1336)),100*(K1336-L1336),"n.a.")</x:f>
        <x:v>-0.011133900828119714</x:v>
      </x:c>
      <x:c r="N1336" s="13" t="b">
        <x:v>1</x:v>
      </x:c>
      <x:c r="O1336" s="13" t="b">
        <x:v>1</x:v>
      </x:c>
      <x:c r="P1336" s="13" t="b">
        <x:v>0</x:v>
      </x:c>
      <x:c r="Q1336" s="2" t="str">
        <x:v>L1_numeric_partition_qualified_not_national_completeness</x:v>
      </x:c>
      <x:c r="R1336" s="2" t="str">
        <x:v>L1_numeric_partition_qualified_not_national_completeness</x:v>
      </x:c>
      <x:c r="S1336" s="2" t="str">
        <x:v>historical_GHSL_BU_estimate</x:v>
      </x:c>
      <x:c r="T1336" s="2" t="str">
        <x:v>projected_CRISP_BU_surface</x:v>
      </x:c>
      <x:c r="U1336" s="2" t="str">
        <x:v>GFA growth versus source physical quantity growth; constant conversion required for equality</x:v>
      </x:c>
      <x:c r="V1336" s="2" t="str">
        <x:v>Future horizontal path is already a v16 driver; WUP historical surface derives from GHSL</x:v>
      </x:c>
      <x:c r="W1336" s="2" t="str">
        <x:v>https://human-settlement.emergency.copernicus.eu/datasets.php</x:v>
      </x:c>
    </x:row>
    <x:row r="1337" ht="23" customHeight="1">
      <x:c r="A1337" s="2" t="str">
        <x:v>SSD</x:v>
      </x:c>
      <x:c r="B1337" s="2" t="str">
        <x:v>South Sudan (Republic of)</x:v>
      </x:c>
      <x:c r="C1337" s="2" t="str">
        <x:v>WUP_SURFACE</x:v>
      </x:c>
      <x:c r="D1337" s="2" t="n">
        <x:v>2020</x:v>
      </x:c>
      <x:c r="E1337" s="2" t="n">
        <x:v>2025</x:v>
      </x:c>
      <x:c r="F1337" s="17" t="n">
        <x:v>82483216.59000005</x:v>
      </x:c>
      <x:c r="G1337" s="17" t="n">
        <x:v>99484898.5591274</x:v>
      </x:c>
      <x:c r="H1337" s="17" t="n">
        <x:v>193501773.84508845</x:v>
      </x:c>
      <x:c r="I1337" s="17" t="n">
        <x:v>233179306.66203994</x:v>
      </x:c>
      <x:c r="J1337" s="2" t="str">
        <x:v>m2</x:v>
      </x:c>
      <x:c r="K1337" s="15" t="n">
        <x:f>IF(AND(ISNUMBER(F1337),ISNUMBER(G1337),F1337&gt;0),G1337/F1337-1,"n.a.")</x:f>
        <x:v>0.2061229262388946</x:v>
      </x:c>
      <x:c r="L1337" s="15" t="n">
        <x:f>IF(AND(N1337,ISNUMBER(H1337),ISNUMBER(I1337),H1337&gt;0),I1337/H1337-1,"n.a.")</x:f>
        <x:v>0.20504996945772747</x:v>
      </x:c>
      <x:c r="M1337" s="20" t="n">
        <x:f>IF(AND(ISNUMBER(K1337),ISNUMBER(L1337)),100*(K1337-L1337),"n.a.")</x:f>
        <x:v>0.10729567811671448</x:v>
      </x:c>
      <x:c r="N1337" s="13" t="b">
        <x:v>1</x:v>
      </x:c>
      <x:c r="O1337" s="13" t="b">
        <x:v>1</x:v>
      </x:c>
      <x:c r="P1337" s="13" t="b">
        <x:v>0</x:v>
      </x:c>
      <x:c r="Q1337" s="2" t="str">
        <x:v>L1_numeric_partition_qualified_not_national_completeness</x:v>
      </x:c>
      <x:c r="R1337" s="2" t="str">
        <x:v>L1_numeric_partition_qualified_not_national_completeness</x:v>
      </x:c>
      <x:c r="S1337" s="2" t="str">
        <x:v>historical_GHSL_BU_estimate</x:v>
      </x:c>
      <x:c r="T1337" s="2" t="str">
        <x:v>projected_CRISP_BU_surface</x:v>
      </x:c>
      <x:c r="U1337" s="2" t="str">
        <x:v>GFA growth versus source physical quantity growth; constant conversion required for equality</x:v>
      </x:c>
      <x:c r="V1337" s="2" t="str">
        <x:v>Future horizontal path is already a v16 driver; WUP historical surface derives from GHSL</x:v>
      </x:c>
      <x:c r="W1337" s="2" t="str">
        <x:v>https://human-settlement.emergency.copernicus.eu/datasets.php</x:v>
      </x:c>
    </x:row>
    <x:row r="1338" ht="23" customHeight="1">
      <x:c r="A1338" s="2" t="str">
        <x:v>STP</x:v>
      </x:c>
      <x:c r="B1338" s="2" t="str">
        <x:v>Sao Tome and Principe (Democratic Republic of)</x:v>
      </x:c>
      <x:c r="C1338" s="2" t="str">
        <x:v>WUP_SURFACE</x:v>
      </x:c>
      <x:c r="D1338" s="2" t="n">
        <x:v>2020</x:v>
      </x:c>
      <x:c r="E1338" s="2" t="n">
        <x:v>2025</x:v>
      </x:c>
      <x:c r="F1338" s="17" t="n">
        <x:v>6153544.550000003</x:v>
      </x:c>
      <x:c r="G1338" s="17" t="n">
        <x:v>7257517.792250381</x:v>
      </x:c>
      <x:c r="H1338" s="17" t="n">
        <x:v>7954488.003631922</x:v>
      </x:c>
      <x:c r="I1338" s="17" t="n">
        <x:v>9341448.00793911</x:v>
      </x:c>
      <x:c r="J1338" s="2" t="str">
        <x:v>m2</x:v>
      </x:c>
      <x:c r="K1338" s="15" t="n">
        <x:f>IF(AND(ISNUMBER(F1338),ISNUMBER(G1338),F1338&gt;0),G1338/F1338-1,"n.a.")</x:f>
        <x:v>0.17940444458964344</x:v>
      </x:c>
      <x:c r="L1338" s="15" t="n">
        <x:f>IF(AND(N1338,ISNUMBER(H1338),ISNUMBER(I1338),H1338&gt;0),I1338/H1338-1,"n.a.")</x:f>
        <x:v>0.17436194556757378</x:v>
      </x:c>
      <x:c r="M1338" s="20" t="n">
        <x:f>IF(AND(ISNUMBER(K1338),ISNUMBER(L1338)),100*(K1338-L1338),"n.a.")</x:f>
        <x:v>0.5042499022069657</x:v>
      </x:c>
      <x:c r="N1338" s="13" t="b">
        <x:v>1</x:v>
      </x:c>
      <x:c r="O1338" s="13" t="b">
        <x:v>1</x:v>
      </x:c>
      <x:c r="P1338" s="13" t="b">
        <x:v>0</x:v>
      </x:c>
      <x:c r="Q1338" s="2" t="str">
        <x:v>L1_numeric_partition_qualified_not_national_completeness</x:v>
      </x:c>
      <x:c r="R1338" s="2" t="str">
        <x:v>L1_numeric_partition_qualified_not_national_completeness</x:v>
      </x:c>
      <x:c r="S1338" s="2" t="str">
        <x:v>historical_GHSL_BU_estimate</x:v>
      </x:c>
      <x:c r="T1338" s="2" t="str">
        <x:v>projected_CRISP_BU_surface</x:v>
      </x:c>
      <x:c r="U1338" s="2" t="str">
        <x:v>GFA growth versus source physical quantity growth; constant conversion required for equality</x:v>
      </x:c>
      <x:c r="V1338" s="2" t="str">
        <x:v>Future horizontal path is already a v16 driver; WUP historical surface derives from GHSL</x:v>
      </x:c>
      <x:c r="W1338" s="2" t="str">
        <x:v>https://human-settlement.emergency.copernicus.eu/datasets.php</x:v>
      </x:c>
    </x:row>
    <x:row r="1339" ht="23" customHeight="1">
      <x:c r="A1339" s="2" t="str">
        <x:v>SUR</x:v>
      </x:c>
      <x:c r="B1339" s="2" t="str">
        <x:v>Suriname (Republic of)</x:v>
      </x:c>
      <x:c r="C1339" s="2" t="str">
        <x:v>WUP_SURFACE</x:v>
      </x:c>
      <x:c r="D1339" s="2" t="n">
        <x:v>2020</x:v>
      </x:c>
      <x:c r="E1339" s="2" t="n">
        <x:v>2025</x:v>
      </x:c>
      <x:c r="F1339" s="17" t="n">
        <x:v>50598825.22000002</x:v>
      </x:c>
      <x:c r="G1339" s="17" t="n">
        <x:v>54867368.073010296</x:v>
      </x:c>
      <x:c r="H1339" s="17" t="n">
        <x:v>71550729.04333702</x:v>
      </x:c>
      <x:c r="I1339" s="17" t="n">
        <x:v>77417627.58823097</x:v>
      </x:c>
      <x:c r="J1339" s="2" t="str">
        <x:v>m2</x:v>
      </x:c>
      <x:c r="K1339" s="15" t="n">
        <x:f>IF(AND(ISNUMBER(F1339),ISNUMBER(G1339),F1339&gt;0),G1339/F1339-1,"n.a.")</x:f>
        <x:v>0.08436051300501468</x:v>
      </x:c>
      <x:c r="L1339" s="15" t="n">
        <x:f>IF(AND(N1339,ISNUMBER(H1339),ISNUMBER(I1339),H1339&gt;0),I1339/H1339-1,"n.a.")</x:f>
        <x:v>0.08199634893084706</x:v>
      </x:c>
      <x:c r="M1339" s="20" t="n">
        <x:f>IF(AND(ISNUMBER(K1339),ISNUMBER(L1339)),100*(K1339-L1339),"n.a.")</x:f>
        <x:v>0.23641640741676184</x:v>
      </x:c>
      <x:c r="N1339" s="13" t="b">
        <x:v>1</x:v>
      </x:c>
      <x:c r="O1339" s="13" t="b">
        <x:v>1</x:v>
      </x:c>
      <x:c r="P1339" s="13" t="b">
        <x:v>0</x:v>
      </x:c>
      <x:c r="Q1339" s="2" t="str">
        <x:v>L1_numeric_partition_qualified_not_national_completeness</x:v>
      </x:c>
      <x:c r="R1339" s="2" t="str">
        <x:v>L1_numeric_partition_qualified_not_national_completeness</x:v>
      </x:c>
      <x:c r="S1339" s="2" t="str">
        <x:v>historical_GHSL_BU_estimate</x:v>
      </x:c>
      <x:c r="T1339" s="2" t="str">
        <x:v>projected_CRISP_BU_surface</x:v>
      </x:c>
      <x:c r="U1339" s="2" t="str">
        <x:v>GFA growth versus source physical quantity growth; constant conversion required for equality</x:v>
      </x:c>
      <x:c r="V1339" s="2" t="str">
        <x:v>Future horizontal path is already a v16 driver; WUP historical surface derives from GHSL</x:v>
      </x:c>
      <x:c r="W1339" s="2" t="str">
        <x:v>https://human-settlement.emergency.copernicus.eu/datasets.php</x:v>
      </x:c>
    </x:row>
    <x:row r="1340" ht="23" customHeight="1">
      <x:c r="A1340" s="2" t="str">
        <x:v>SVK</x:v>
      </x:c>
      <x:c r="B1340" s="2" t="str">
        <x:v>Slovakia (Slovak Republic)</x:v>
      </x:c>
      <x:c r="C1340" s="2" t="str">
        <x:v>WUP_SURFACE</x:v>
      </x:c>
      <x:c r="D1340" s="2" t="n">
        <x:v>2020</x:v>
      </x:c>
      <x:c r="E1340" s="2" t="n">
        <x:v>2025</x:v>
      </x:c>
      <x:c r="F1340" s="17" t="n">
        <x:v>391189188.0500002</x:v>
      </x:c>
      <x:c r="G1340" s="17" t="n">
        <x:v>426300161.0424767</x:v>
      </x:c>
      <x:c r="H1340" s="17" t="n">
        <x:v>675187190.6212317</x:v>
      </x:c>
      <x:c r="I1340" s="17" t="n">
        <x:v>734359923.066274</x:v>
      </x:c>
      <x:c r="J1340" s="2" t="str">
        <x:v>m2</x:v>
      </x:c>
      <x:c r="K1340" s="15" t="n">
        <x:f>IF(AND(ISNUMBER(F1340),ISNUMBER(G1340),F1340&gt;0),G1340/F1340-1,"n.a.")</x:f>
        <x:v>0.08975445657764136</x:v>
      </x:c>
      <x:c r="L1340" s="15" t="n">
        <x:f>IF(AND(N1340,ISNUMBER(H1340),ISNUMBER(I1340),H1340&gt;0),I1340/H1340-1,"n.a.")</x:f>
        <x:v>0.08763900332676378</x:v>
      </x:c>
      <x:c r="M1340" s="20" t="n">
        <x:f>IF(AND(ISNUMBER(K1340),ISNUMBER(L1340)),100*(K1340-L1340),"n.a.")</x:f>
        <x:v>0.21154532508775858</x:v>
      </x:c>
      <x:c r="N1340" s="13" t="b">
        <x:v>1</x:v>
      </x:c>
      <x:c r="O1340" s="13" t="b">
        <x:v>1</x:v>
      </x:c>
      <x:c r="P1340" s="13" t="b">
        <x:v>0</x:v>
      </x:c>
      <x:c r="Q1340" s="2" t="str">
        <x:v>L1_numeric_partition_qualified_not_national_completeness</x:v>
      </x:c>
      <x:c r="R1340" s="2" t="str">
        <x:v>L1_numeric_partition_qualified_not_national_completeness</x:v>
      </x:c>
      <x:c r="S1340" s="2" t="str">
        <x:v>historical_GHSL_BU_estimate</x:v>
      </x:c>
      <x:c r="T1340" s="2" t="str">
        <x:v>projected_CRISP_BU_surface</x:v>
      </x:c>
      <x:c r="U1340" s="2" t="str">
        <x:v>GFA growth versus source physical quantity growth; constant conversion required for equality</x:v>
      </x:c>
      <x:c r="V1340" s="2" t="str">
        <x:v>Future horizontal path is already a v16 driver; WUP historical surface derives from GHSL</x:v>
      </x:c>
      <x:c r="W1340" s="2" t="str">
        <x:v>https://human-settlement.emergency.copernicus.eu/datasets.php</x:v>
      </x:c>
    </x:row>
    <x:row r="1341" ht="23" customHeight="1">
      <x:c r="A1341" s="2" t="str">
        <x:v>SVN</x:v>
      </x:c>
      <x:c r="B1341" s="2" t="str">
        <x:v>Slovenia (Republic of)</x:v>
      </x:c>
      <x:c r="C1341" s="2" t="str">
        <x:v>WUP_SURFACE</x:v>
      </x:c>
      <x:c r="D1341" s="2" t="n">
        <x:v>2020</x:v>
      </x:c>
      <x:c r="E1341" s="2" t="n">
        <x:v>2025</x:v>
      </x:c>
      <x:c r="F1341" s="17" t="n">
        <x:v>188783306.59000015</x:v>
      </x:c>
      <x:c r="G1341" s="17" t="n">
        <x:v>206671106.15608108</x:v>
      </x:c>
      <x:c r="H1341" s="17" t="n">
        <x:v>257007811.99404934</x:v>
      </x:c>
      <x:c r="I1341" s="17" t="n">
        <x:v>280358637.32663447</x:v>
      </x:c>
      <x:c r="J1341" s="2" t="str">
        <x:v>m2</x:v>
      </x:c>
      <x:c r="K1341" s="15" t="n">
        <x:f>IF(AND(ISNUMBER(F1341),ISNUMBER(G1341),F1341&gt;0),G1341/F1341-1,"n.a.")</x:f>
        <x:v>0.09475307901524199</x:v>
      </x:c>
      <x:c r="L1341" s="15" t="n">
        <x:f>IF(AND(N1341,ISNUMBER(H1341),ISNUMBER(I1341),H1341&gt;0),I1341/H1341-1,"n.a.")</x:f>
        <x:v>0.09085648078715125</x:v>
      </x:c>
      <x:c r="M1341" s="20" t="n">
        <x:f>IF(AND(ISNUMBER(K1341),ISNUMBER(L1341)),100*(K1341-L1341),"n.a.")</x:f>
        <x:v>0.3896598228090742</x:v>
      </x:c>
      <x:c r="N1341" s="13" t="b">
        <x:v>1</x:v>
      </x:c>
      <x:c r="O1341" s="13" t="b">
        <x:v>1</x:v>
      </x:c>
      <x:c r="P1341" s="13" t="b">
        <x:v>0</x:v>
      </x:c>
      <x:c r="Q1341" s="2" t="str">
        <x:v>L1_numeric_partition_qualified_not_national_completeness</x:v>
      </x:c>
      <x:c r="R1341" s="2" t="str">
        <x:v>L1_numeric_partition_qualified_not_national_completeness</x:v>
      </x:c>
      <x:c r="S1341" s="2" t="str">
        <x:v>historical_GHSL_BU_estimate</x:v>
      </x:c>
      <x:c r="T1341" s="2" t="str">
        <x:v>projected_CRISP_BU_surface</x:v>
      </x:c>
      <x:c r="U1341" s="2" t="str">
        <x:v>GFA growth versus source physical quantity growth; constant conversion required for equality</x:v>
      </x:c>
      <x:c r="V1341" s="2" t="str">
        <x:v>Future horizontal path is already a v16 driver; WUP historical surface derives from GHSL</x:v>
      </x:c>
      <x:c r="W1341" s="2" t="str">
        <x:v>https://human-settlement.emergency.copernicus.eu/datasets.php</x:v>
      </x:c>
    </x:row>
    <x:row r="1342" ht="23" customHeight="1">
      <x:c r="A1342" s="2" t="str">
        <x:v>SWE</x:v>
      </x:c>
      <x:c r="B1342" s="2" t="str">
        <x:v>Sweden (Kingdom of)</x:v>
      </x:c>
      <x:c r="C1342" s="2" t="str">
        <x:v>WUP_SURFACE</x:v>
      </x:c>
      <x:c r="D1342" s="2" t="n">
        <x:v>2020</x:v>
      </x:c>
      <x:c r="E1342" s="2" t="n">
        <x:v>2025</x:v>
      </x:c>
      <x:c r="F1342" s="17" t="n">
        <x:v>860750073.0500002</x:v>
      </x:c>
      <x:c r="G1342" s="17" t="n">
        <x:v>1032870455.4523773</x:v>
      </x:c>
      <x:c r="H1342" s="17" t="n">
        <x:v>922063838.942528</x:v>
      </x:c>
      <x:c r="I1342" s="17" t="n">
        <x:v>1102062837.4319727</x:v>
      </x:c>
      <x:c r="J1342" s="2" t="str">
        <x:v>m2</x:v>
      </x:c>
      <x:c r="K1342" s="15" t="n">
        <x:f>IF(AND(ISNUMBER(F1342),ISNUMBER(G1342),F1342&gt;0),G1342/F1342-1,"n.a.")</x:f>
        <x:v>0.19996557397024906</x:v>
      </x:c>
      <x:c r="L1342" s="15" t="n">
        <x:f>IF(AND(N1342,ISNUMBER(H1342),ISNUMBER(I1342),H1342&gt;0),I1342/H1342-1,"n.a.")</x:f>
        <x:v>0.19521316300168245</x:v>
      </x:c>
      <x:c r="M1342" s="20" t="n">
        <x:f>IF(AND(ISNUMBER(K1342),ISNUMBER(L1342)),100*(K1342-L1342),"n.a.")</x:f>
        <x:v>0.47524109685666005</x:v>
      </x:c>
      <x:c r="N1342" s="13" t="b">
        <x:v>1</x:v>
      </x:c>
      <x:c r="O1342" s="13" t="b">
        <x:v>1</x:v>
      </x:c>
      <x:c r="P1342" s="13" t="b">
        <x:v>0</x:v>
      </x:c>
      <x:c r="Q1342" s="2" t="str">
        <x:v>L1_numeric_partition_qualified_not_national_completeness</x:v>
      </x:c>
      <x:c r="R1342" s="2" t="str">
        <x:v>L1_numeric_partition_qualified_not_national_completeness</x:v>
      </x:c>
      <x:c r="S1342" s="2" t="str">
        <x:v>historical_GHSL_BU_estimate</x:v>
      </x:c>
      <x:c r="T1342" s="2" t="str">
        <x:v>projected_CRISP_BU_surface</x:v>
      </x:c>
      <x:c r="U1342" s="2" t="str">
        <x:v>GFA growth versus source physical quantity growth; constant conversion required for equality</x:v>
      </x:c>
      <x:c r="V1342" s="2" t="str">
        <x:v>Future horizontal path is already a v16 driver; WUP historical surface derives from GHSL</x:v>
      </x:c>
      <x:c r="W1342" s="2" t="str">
        <x:v>https://human-settlement.emergency.copernicus.eu/datasets.php</x:v>
      </x:c>
    </x:row>
    <x:row r="1343" ht="23" customHeight="1">
      <x:c r="A1343" s="2" t="str">
        <x:v>SWZ</x:v>
      </x:c>
      <x:c r="B1343" s="2" t="str">
        <x:v>Eswatini (Kingdom of)</x:v>
      </x:c>
      <x:c r="C1343" s="2" t="str">
        <x:v>WUP_SURFACE</x:v>
      </x:c>
      <x:c r="D1343" s="2" t="n">
        <x:v>2020</x:v>
      </x:c>
      <x:c r="E1343" s="2" t="n">
        <x:v>2025</x:v>
      </x:c>
      <x:c r="F1343" s="17" t="n">
        <x:v>51228621.629999995</x:v>
      </x:c>
      <x:c r="G1343" s="17" t="n">
        <x:v>54225765.792218946</x:v>
      </x:c>
      <x:c r="H1343" s="17" t="n">
        <x:v>159921158.14358234</x:v>
      </x:c>
      <x:c r="I1343" s="17" t="n">
        <x:v>168482374.52826685</x:v>
      </x:c>
      <x:c r="J1343" s="2" t="str">
        <x:v>m2</x:v>
      </x:c>
      <x:c r="K1343" s="15" t="n">
        <x:f>IF(AND(ISNUMBER(F1343),ISNUMBER(G1343),F1343&gt;0),G1343/F1343-1,"n.a.")</x:f>
        <x:v>0.05850526652592558</x:v>
      </x:c>
      <x:c r="L1343" s="15" t="n">
        <x:f>IF(AND(N1343,ISNUMBER(H1343),ISNUMBER(I1343),H1343&gt;0),I1343/H1343-1,"n.a.")</x:f>
        <x:v>0.05353398189499092</x:v>
      </x:c>
      <x:c r="M1343" s="20" t="n">
        <x:f>IF(AND(ISNUMBER(K1343),ISNUMBER(L1343)),100*(K1343-L1343),"n.a.")</x:f>
        <x:v>0.4971284630934658</x:v>
      </x:c>
      <x:c r="N1343" s="13" t="b">
        <x:v>1</x:v>
      </x:c>
      <x:c r="O1343" s="13" t="b">
        <x:v>1</x:v>
      </x:c>
      <x:c r="P1343" s="13" t="b">
        <x:v>0</x:v>
      </x:c>
      <x:c r="Q1343" s="2" t="str">
        <x:v>L1_numeric_partition_qualified_not_national_completeness</x:v>
      </x:c>
      <x:c r="R1343" s="2" t="str">
        <x:v>L1_numeric_partition_qualified_not_national_completeness</x:v>
      </x:c>
      <x:c r="S1343" s="2" t="str">
        <x:v>historical_GHSL_BU_estimate</x:v>
      </x:c>
      <x:c r="T1343" s="2" t="str">
        <x:v>projected_CRISP_BU_surface</x:v>
      </x:c>
      <x:c r="U1343" s="2" t="str">
        <x:v>GFA growth versus source physical quantity growth; constant conversion required for equality</x:v>
      </x:c>
      <x:c r="V1343" s="2" t="str">
        <x:v>Future horizontal path is already a v16 driver; WUP historical surface derives from GHSL</x:v>
      </x:c>
      <x:c r="W1343" s="2" t="str">
        <x:v>https://human-settlement.emergency.copernicus.eu/datasets.php</x:v>
      </x:c>
    </x:row>
    <x:row r="1344" ht="23" customHeight="1">
      <x:c r="A1344" s="2" t="str">
        <x:v>SYC</x:v>
      </x:c>
      <x:c r="B1344" s="2" t="str">
        <x:v>Seychelles (Republic of)</x:v>
      </x:c>
      <x:c r="C1344" s="2" t="str">
        <x:v>WUP_SURFACE</x:v>
      </x:c>
      <x:c r="D1344" s="2" t="n">
        <x:v>2020</x:v>
      </x:c>
      <x:c r="E1344" s="2" t="n">
        <x:v>2025</x:v>
      </x:c>
      <x:c r="F1344" s="17" t="n">
        <x:v>7317572.880000001</x:v>
      </x:c>
      <x:c r="G1344" s="17" t="n">
        <x:v>8503293.951340036</x:v>
      </x:c>
      <x:c r="H1344" s="17" t="n">
        <x:v>5511621.986451587</x:v>
      </x:c>
      <x:c r="I1344" s="17" t="n">
        <x:v>6375667.588768124</x:v>
      </x:c>
      <x:c r="J1344" s="2" t="str">
        <x:v>m2</x:v>
      </x:c>
      <x:c r="K1344" s="15" t="n">
        <x:f>IF(AND(ISNUMBER(F1344),ISNUMBER(G1344),F1344&gt;0),G1344/F1344-1,"n.a.")</x:f>
        <x:v>0.16203748029360732</x:v>
      </x:c>
      <x:c r="L1344" s="15" t="n">
        <x:f>IF(AND(N1344,ISNUMBER(H1344),ISNUMBER(I1344),H1344&gt;0),I1344/H1344-1,"n.a.")</x:f>
        <x:v>0.1567679359071601</x:v>
      </x:c>
      <x:c r="M1344" s="20" t="n">
        <x:f>IF(AND(ISNUMBER(K1344),ISNUMBER(L1344)),100*(K1344-L1344),"n.a.")</x:f>
        <x:v>0.5269544386447222</x:v>
      </x:c>
      <x:c r="N1344" s="13" t="b">
        <x:v>1</x:v>
      </x:c>
      <x:c r="O1344" s="13" t="b">
        <x:v>1</x:v>
      </x:c>
      <x:c r="P1344" s="13" t="b">
        <x:v>0</x:v>
      </x:c>
      <x:c r="Q1344" s="2" t="str">
        <x:v>L1_numeric_partition_qualified_not_national_completeness</x:v>
      </x:c>
      <x:c r="R1344" s="2" t="str">
        <x:v>L1_numeric_partition_qualified_not_national_completeness</x:v>
      </x:c>
      <x:c r="S1344" s="2" t="str">
        <x:v>historical_GHSL_BU_estimate</x:v>
      </x:c>
      <x:c r="T1344" s="2" t="str">
        <x:v>projected_CRISP_BU_surface</x:v>
      </x:c>
      <x:c r="U1344" s="2" t="str">
        <x:v>GFA growth versus source physical quantity growth; constant conversion required for equality</x:v>
      </x:c>
      <x:c r="V1344" s="2" t="str">
        <x:v>Future horizontal path is already a v16 driver; WUP historical surface derives from GHSL</x:v>
      </x:c>
      <x:c r="W1344" s="2" t="str">
        <x:v>https://human-settlement.emergency.copernicus.eu/datasets.php</x:v>
      </x:c>
    </x:row>
    <x:row r="1345" ht="23" customHeight="1">
      <x:c r="A1345" s="2" t="str">
        <x:v>SYR</x:v>
      </x:c>
      <x:c r="B1345" s="2" t="str">
        <x:v>Syrian Arab Republic</x:v>
      </x:c>
      <x:c r="C1345" s="2" t="str">
        <x:v>WUP_SURFACE</x:v>
      </x:c>
      <x:c r="D1345" s="2" t="n">
        <x:v>2020</x:v>
      </x:c>
      <x:c r="E1345" s="2" t="n">
        <x:v>2025</x:v>
      </x:c>
      <x:c r="F1345" s="17" t="n">
        <x:v>795482211.65</x:v>
      </x:c>
      <x:c r="G1345" s="17" t="n">
        <x:v>959278838.9705536</x:v>
      </x:c>
      <x:c r="H1345" s="17" t="n">
        <x:v>966625815.5891018</x:v>
      </x:c>
      <x:c r="I1345" s="17" t="n">
        <x:v>1160080244.0190752</x:v>
      </x:c>
      <x:c r="J1345" s="2" t="str">
        <x:v>m2</x:v>
      </x:c>
      <x:c r="K1345" s="15" t="n">
        <x:f>IF(AND(ISNUMBER(F1345),ISNUMBER(G1345),F1345&gt;0),G1345/F1345-1,"n.a.")</x:f>
        <x:v>0.20590859848494225</x:v>
      </x:c>
      <x:c r="L1345" s="15" t="n">
        <x:f>IF(AND(N1345,ISNUMBER(H1345),ISNUMBER(I1345),H1345&gt;0),I1345/H1345-1,"n.a.")</x:f>
        <x:v>0.20013372838803622</x:v>
      </x:c>
      <x:c r="M1345" s="20" t="n">
        <x:f>IF(AND(ISNUMBER(K1345),ISNUMBER(L1345)),100*(K1345-L1345),"n.a.")</x:f>
        <x:v>0.5774870096906026</x:v>
      </x:c>
      <x:c r="N1345" s="13" t="b">
        <x:v>1</x:v>
      </x:c>
      <x:c r="O1345" s="13" t="b">
        <x:v>1</x:v>
      </x:c>
      <x:c r="P1345" s="13" t="b">
        <x:v>0</x:v>
      </x:c>
      <x:c r="Q1345" s="2" t="str">
        <x:v>L1_numeric_partition_qualified_not_national_completeness</x:v>
      </x:c>
      <x:c r="R1345" s="2" t="str">
        <x:v>L1_numeric_partition_qualified_not_national_completeness</x:v>
      </x:c>
      <x:c r="S1345" s="2" t="str">
        <x:v>historical_GHSL_BU_estimate</x:v>
      </x:c>
      <x:c r="T1345" s="2" t="str">
        <x:v>projected_CRISP_BU_surface</x:v>
      </x:c>
      <x:c r="U1345" s="2" t="str">
        <x:v>GFA growth versus source physical quantity growth; constant conversion required for equality</x:v>
      </x:c>
      <x:c r="V1345" s="2" t="str">
        <x:v>Future horizontal path is already a v16 driver; WUP historical surface derives from GHSL</x:v>
      </x:c>
      <x:c r="W1345" s="2" t="str">
        <x:v>https://human-settlement.emergency.copernicus.eu/datasets.php</x:v>
      </x:c>
    </x:row>
    <x:row r="1346" ht="23" customHeight="1">
      <x:c r="A1346" s="2" t="str">
        <x:v>TCD</x:v>
      </x:c>
      <x:c r="B1346" s="2" t="str">
        <x:v>Chad (Republic of)</x:v>
      </x:c>
      <x:c r="C1346" s="2" t="str">
        <x:v>WUP_SURFACE</x:v>
      </x:c>
      <x:c r="D1346" s="2" t="n">
        <x:v>2020</x:v>
      </x:c>
      <x:c r="E1346" s="2" t="n">
        <x:v>2025</x:v>
      </x:c>
      <x:c r="F1346" s="17" t="n">
        <x:v>126450494.21999988</x:v>
      </x:c>
      <x:c r="G1346" s="17" t="n">
        <x:v>156647104.94489405</x:v>
      </x:c>
      <x:c r="H1346" s="17" t="n">
        <x:v>555204347.0216299</x:v>
      </x:c>
      <x:c r="I1346" s="17" t="n">
        <x:v>684143389.7751856</x:v>
      </x:c>
      <x:c r="J1346" s="2" t="str">
        <x:v>m2</x:v>
      </x:c>
      <x:c r="K1346" s="15" t="n">
        <x:f>IF(AND(ISNUMBER(F1346),ISNUMBER(G1346),F1346&gt;0),G1346/F1346-1,"n.a.")</x:f>
        <x:v>0.2388018402866643</x:v>
      </x:c>
      <x:c r="L1346" s="15" t="n">
        <x:f>IF(AND(N1346,ISNUMBER(H1346),ISNUMBER(I1346),H1346&gt;0),I1346/H1346-1,"n.a.")</x:f>
        <x:v>0.23223709152358696</x:v>
      </x:c>
      <x:c r="M1346" s="20" t="n">
        <x:f>IF(AND(ISNUMBER(K1346),ISNUMBER(L1346)),100*(K1346-L1346),"n.a.")</x:f>
        <x:v>0.6564748763077333</x:v>
      </x:c>
      <x:c r="N1346" s="13" t="b">
        <x:v>1</x:v>
      </x:c>
      <x:c r="O1346" s="13" t="b">
        <x:v>1</x:v>
      </x:c>
      <x:c r="P1346" s="13" t="b">
        <x:v>0</x:v>
      </x:c>
      <x:c r="Q1346" s="2" t="str">
        <x:v>L1_numeric_partition_qualified_not_national_completeness</x:v>
      </x:c>
      <x:c r="R1346" s="2" t="str">
        <x:v>L1_numeric_partition_qualified_not_national_completeness</x:v>
      </x:c>
      <x:c r="S1346" s="2" t="str">
        <x:v>historical_GHSL_BU_estimate</x:v>
      </x:c>
      <x:c r="T1346" s="2" t="str">
        <x:v>projected_CRISP_BU_surface</x:v>
      </x:c>
      <x:c r="U1346" s="2" t="str">
        <x:v>GFA growth versus source physical quantity growth; constant conversion required for equality</x:v>
      </x:c>
      <x:c r="V1346" s="2" t="str">
        <x:v>Future horizontal path is already a v16 driver; WUP historical surface derives from GHSL</x:v>
      </x:c>
      <x:c r="W1346" s="2" t="str">
        <x:v>https://human-settlement.emergency.copernicus.eu/datasets.php</x:v>
      </x:c>
    </x:row>
    <x:row r="1347" ht="23" customHeight="1">
      <x:c r="A1347" s="2" t="str">
        <x:v>TGO</x:v>
      </x:c>
      <x:c r="B1347" s="2" t="str">
        <x:v>Togo (Togolese Republic)</x:v>
      </x:c>
      <x:c r="C1347" s="2" t="str">
        <x:v>WUP_SURFACE</x:v>
      </x:c>
      <x:c r="D1347" s="2" t="n">
        <x:v>2020</x:v>
      </x:c>
      <x:c r="E1347" s="2" t="n">
        <x:v>2025</x:v>
      </x:c>
      <x:c r="F1347" s="17" t="n">
        <x:v>185693532.7300002</x:v>
      </x:c>
      <x:c r="G1347" s="17" t="n">
        <x:v>213798067.7944374</x:v>
      </x:c>
      <x:c r="H1347" s="17" t="n">
        <x:v>470326535.96646696</x:v>
      </x:c>
      <x:c r="I1347" s="17" t="n">
        <x:v>539459060.0558699</x:v>
      </x:c>
      <x:c r="J1347" s="2" t="str">
        <x:v>m2</x:v>
      </x:c>
      <x:c r="K1347" s="15" t="n">
        <x:f>IF(AND(ISNUMBER(F1347),ISNUMBER(G1347),F1347&gt;0),G1347/F1347-1,"n.a.")</x:f>
        <x:v>0.15134902466044098</x:v>
      </x:c>
      <x:c r="L1347" s="15" t="n">
        <x:f>IF(AND(N1347,ISNUMBER(H1347),ISNUMBER(I1347),H1347&gt;0),I1347/H1347-1,"n.a.")</x:f>
        <x:v>0.14698835554184408</x:v>
      </x:c>
      <x:c r="M1347" s="20" t="n">
        <x:f>IF(AND(ISNUMBER(K1347),ISNUMBER(L1347)),100*(K1347-L1347),"n.a.")</x:f>
        <x:v>0.4360669118596894</x:v>
      </x:c>
      <x:c r="N1347" s="13" t="b">
        <x:v>1</x:v>
      </x:c>
      <x:c r="O1347" s="13" t="b">
        <x:v>1</x:v>
      </x:c>
      <x:c r="P1347" s="13" t="b">
        <x:v>0</x:v>
      </x:c>
      <x:c r="Q1347" s="2" t="str">
        <x:v>L1_numeric_partition_qualified_not_national_completeness</x:v>
      </x:c>
      <x:c r="R1347" s="2" t="str">
        <x:v>L1_numeric_partition_qualified_not_national_completeness</x:v>
      </x:c>
      <x:c r="S1347" s="2" t="str">
        <x:v>historical_GHSL_BU_estimate</x:v>
      </x:c>
      <x:c r="T1347" s="2" t="str">
        <x:v>projected_CRISP_BU_surface</x:v>
      </x:c>
      <x:c r="U1347" s="2" t="str">
        <x:v>GFA growth versus source physical quantity growth; constant conversion required for equality</x:v>
      </x:c>
      <x:c r="V1347" s="2" t="str">
        <x:v>Future horizontal path is already a v16 driver; WUP historical surface derives from GHSL</x:v>
      </x:c>
      <x:c r="W1347" s="2" t="str">
        <x:v>https://human-settlement.emergency.copernicus.eu/datasets.php</x:v>
      </x:c>
    </x:row>
    <x:row r="1348" ht="23" customHeight="1">
      <x:c r="A1348" s="2" t="str">
        <x:v>THA</x:v>
      </x:c>
      <x:c r="B1348" s="2" t="str">
        <x:v>Thailand (Kingdom of)</x:v>
      </x:c>
      <x:c r="C1348" s="2" t="str">
        <x:v>WUP_SURFACE</x:v>
      </x:c>
      <x:c r="D1348" s="2" t="n">
        <x:v>2020</x:v>
      </x:c>
      <x:c r="E1348" s="2" t="n">
        <x:v>2025</x:v>
      </x:c>
      <x:c r="F1348" s="17" t="n">
        <x:v>5229846890.149993</x:v>
      </x:c>
      <x:c r="G1348" s="17" t="n">
        <x:v>5523883354.295592</x:v>
      </x:c>
      <x:c r="H1348" s="17" t="n">
        <x:v>6720698354.65762</x:v>
      </x:c>
      <x:c r="I1348" s="17" t="n">
        <x:v>7075187304.849071</x:v>
      </x:c>
      <x:c r="J1348" s="2" t="str">
        <x:v>m2</x:v>
      </x:c>
      <x:c r="K1348" s="15" t="n">
        <x:f>IF(AND(ISNUMBER(F1348),ISNUMBER(G1348),F1348&gt;0),G1348/F1348-1,"n.a.")</x:f>
        <x:v>0.056222767190258205</x:v>
      </x:c>
      <x:c r="L1348" s="15" t="n">
        <x:f>IF(AND(N1348,ISNUMBER(H1348),ISNUMBER(I1348),H1348&gt;0),I1348/H1348-1,"n.a.")</x:f>
        <x:v>0.05274585042874014</x:v>
      </x:c>
      <x:c r="M1348" s="20" t="n">
        <x:f>IF(AND(ISNUMBER(K1348),ISNUMBER(L1348)),100*(K1348-L1348),"n.a.")</x:f>
        <x:v>0.34769167615180674</x:v>
      </x:c>
      <x:c r="N1348" s="13" t="b">
        <x:v>1</x:v>
      </x:c>
      <x:c r="O1348" s="13" t="b">
        <x:v>1</x:v>
      </x:c>
      <x:c r="P1348" s="13" t="b">
        <x:v>0</x:v>
      </x:c>
      <x:c r="Q1348" s="2" t="str">
        <x:v>L1_numeric_partition_qualified_not_national_completeness</x:v>
      </x:c>
      <x:c r="R1348" s="2" t="str">
        <x:v>L1_numeric_partition_qualified_not_national_completeness</x:v>
      </x:c>
      <x:c r="S1348" s="2" t="str">
        <x:v>historical_GHSL_BU_estimate</x:v>
      </x:c>
      <x:c r="T1348" s="2" t="str">
        <x:v>projected_CRISP_BU_surface</x:v>
      </x:c>
      <x:c r="U1348" s="2" t="str">
        <x:v>GFA growth versus source physical quantity growth; constant conversion required for equality</x:v>
      </x:c>
      <x:c r="V1348" s="2" t="str">
        <x:v>Future horizontal path is already a v16 driver; WUP historical surface derives from GHSL</x:v>
      </x:c>
      <x:c r="W1348" s="2" t="str">
        <x:v>https://human-settlement.emergency.copernicus.eu/datasets.php</x:v>
      </x:c>
    </x:row>
    <x:row r="1349" ht="23" customHeight="1">
      <x:c r="A1349" s="2" t="str">
        <x:v>TJK</x:v>
      </x:c>
      <x:c r="B1349" s="2" t="str">
        <x:v>Tajikistan (Republic of)</x:v>
      </x:c>
      <x:c r="C1349" s="2" t="str">
        <x:v>WUP_SURFACE</x:v>
      </x:c>
      <x:c r="D1349" s="2" t="n">
        <x:v>2020</x:v>
      </x:c>
      <x:c r="E1349" s="2" t="n">
        <x:v>2025</x:v>
      </x:c>
      <x:c r="F1349" s="17" t="n">
        <x:v>392955797.9200004</x:v>
      </x:c>
      <x:c r="G1349" s="17" t="n">
        <x:v>440722268.925882</x:v>
      </x:c>
      <x:c r="H1349" s="17" t="n">
        <x:v>729344216.843611</x:v>
      </x:c>
      <x:c r="I1349" s="17" t="n">
        <x:v>814055691.9108021</x:v>
      </x:c>
      <x:c r="J1349" s="2" t="str">
        <x:v>m2</x:v>
      </x:c>
      <x:c r="K1349" s="15" t="n">
        <x:f>IF(AND(ISNUMBER(F1349),ISNUMBER(G1349),F1349&gt;0),G1349/F1349-1,"n.a.")</x:f>
        <x:v>0.12155685514431847</x:v>
      </x:c>
      <x:c r="L1349" s="15" t="n">
        <x:f>IF(AND(N1349,ISNUMBER(H1349),ISNUMBER(I1349),H1349&gt;0),I1349/H1349-1,"n.a.")</x:f>
        <x:v>0.11614745563322315</x:v>
      </x:c>
      <x:c r="M1349" s="20" t="n">
        <x:f>IF(AND(ISNUMBER(K1349),ISNUMBER(L1349)),100*(K1349-L1349),"n.a.")</x:f>
        <x:v>0.5409399511095314</x:v>
      </x:c>
      <x:c r="N1349" s="13" t="b">
        <x:v>1</x:v>
      </x:c>
      <x:c r="O1349" s="13" t="b">
        <x:v>1</x:v>
      </x:c>
      <x:c r="P1349" s="13" t="b">
        <x:v>0</x:v>
      </x:c>
      <x:c r="Q1349" s="2" t="str">
        <x:v>L1_numeric_partition_qualified_not_national_completeness</x:v>
      </x:c>
      <x:c r="R1349" s="2" t="str">
        <x:v>L1_numeric_partition_qualified_not_national_completeness</x:v>
      </x:c>
      <x:c r="S1349" s="2" t="str">
        <x:v>historical_GHSL_BU_estimate</x:v>
      </x:c>
      <x:c r="T1349" s="2" t="str">
        <x:v>projected_CRISP_BU_surface</x:v>
      </x:c>
      <x:c r="U1349" s="2" t="str">
        <x:v>GFA growth versus source physical quantity growth; constant conversion required for equality</x:v>
      </x:c>
      <x:c r="V1349" s="2" t="str">
        <x:v>Future horizontal path is already a v16 driver; WUP historical surface derives from GHSL</x:v>
      </x:c>
      <x:c r="W1349" s="2" t="str">
        <x:v>https://human-settlement.emergency.copernicus.eu/datasets.php</x:v>
      </x:c>
    </x:row>
    <x:row r="1350" ht="23" customHeight="1">
      <x:c r="A1350" s="2" t="str">
        <x:v>TKM</x:v>
      </x:c>
      <x:c r="B1350" s="2" t="str">
        <x:v>Turkmenistan</x:v>
      </x:c>
      <x:c r="C1350" s="2" t="str">
        <x:v>WUP_SURFACE</x:v>
      </x:c>
      <x:c r="D1350" s="2" t="n">
        <x:v>2020</x:v>
      </x:c>
      <x:c r="E1350" s="2" t="n">
        <x:v>2025</x:v>
      </x:c>
      <x:c r="F1350" s="17" t="n">
        <x:v>359976676.1500005</x:v>
      </x:c>
      <x:c r="G1350" s="17" t="n">
        <x:v>394398849.9464143</x:v>
      </x:c>
      <x:c r="H1350" s="17" t="n">
        <x:v>756506146.8044217</x:v>
      </x:c>
      <x:c r="I1350" s="17" t="n">
        <x:v>823802108.4389977</x:v>
      </x:c>
      <x:c r="J1350" s="2" t="str">
        <x:v>m2</x:v>
      </x:c>
      <x:c r="K1350" s="15" t="n">
        <x:f>IF(AND(ISNUMBER(F1350),ISNUMBER(G1350),F1350&gt;0),G1350/F1350-1,"n.a.")</x:f>
        <x:v>0.0956233447248962</x:v>
      </x:c>
      <x:c r="L1350" s="15" t="n">
        <x:f>IF(AND(N1350,ISNUMBER(H1350),ISNUMBER(I1350),H1350&gt;0),I1350/H1350-1,"n.a.")</x:f>
        <x:v>0.08895626548289504</x:v>
      </x:c>
      <x:c r="M1350" s="20" t="n">
        <x:f>IF(AND(ISNUMBER(K1350),ISNUMBER(L1350)),100*(K1350-L1350),"n.a.")</x:f>
        <x:v>0.6667079242001162</x:v>
      </x:c>
      <x:c r="N1350" s="13" t="b">
        <x:v>1</x:v>
      </x:c>
      <x:c r="O1350" s="13" t="b">
        <x:v>1</x:v>
      </x:c>
      <x:c r="P1350" s="13" t="b">
        <x:v>0</x:v>
      </x:c>
      <x:c r="Q1350" s="2" t="str">
        <x:v>L1_numeric_partition_qualified_not_national_completeness</x:v>
      </x:c>
      <x:c r="R1350" s="2" t="str">
        <x:v>L1_numeric_partition_qualified_not_national_completeness</x:v>
      </x:c>
      <x:c r="S1350" s="2" t="str">
        <x:v>historical_GHSL_BU_estimate</x:v>
      </x:c>
      <x:c r="T1350" s="2" t="str">
        <x:v>projected_CRISP_BU_surface</x:v>
      </x:c>
      <x:c r="U1350" s="2" t="str">
        <x:v>GFA growth versus source physical quantity growth; constant conversion required for equality</x:v>
      </x:c>
      <x:c r="V1350" s="2" t="str">
        <x:v>Future horizontal path is already a v16 driver; WUP historical surface derives from GHSL</x:v>
      </x:c>
      <x:c r="W1350" s="2" t="str">
        <x:v>https://human-settlement.emergency.copernicus.eu/datasets.php</x:v>
      </x:c>
    </x:row>
    <x:row r="1351" ht="23" customHeight="1">
      <x:c r="A1351" s="2" t="str">
        <x:v>TLS</x:v>
      </x:c>
      <x:c r="B1351" s="2" t="str">
        <x:v>Timor-Leste (Democratic Republic of)</x:v>
      </x:c>
      <x:c r="C1351" s="2" t="str">
        <x:v>WUP_SURFACE</x:v>
      </x:c>
      <x:c r="D1351" s="2" t="n">
        <x:v>2020</x:v>
      </x:c>
      <x:c r="E1351" s="2" t="n">
        <x:v>2025</x:v>
      </x:c>
      <x:c r="F1351" s="17" t="n">
        <x:v>41213693.90000002</x:v>
      </x:c>
      <x:c r="G1351" s="17" t="n">
        <x:v>48095623.636238456</x:v>
      </x:c>
      <x:c r="H1351" s="17" t="n">
        <x:v>50043573.01595746</x:v>
      </x:c>
      <x:c r="I1351" s="17" t="n">
        <x:v>58152514.111120015</x:v>
      </x:c>
      <x:c r="J1351" s="2" t="str">
        <x:v>m2</x:v>
      </x:c>
      <x:c r="K1351" s="15" t="n">
        <x:f>IF(AND(ISNUMBER(F1351),ISNUMBER(G1351),F1351&gt;0),G1351/F1351-1,"n.a.")</x:f>
        <x:v>0.1669816287988306</x:v>
      </x:c>
      <x:c r="L1351" s="15" t="n">
        <x:f>IF(AND(N1351,ISNUMBER(H1351),ISNUMBER(I1351),H1351&gt;0),I1351/H1351-1,"n.a.")</x:f>
        <x:v>0.16203761255370086</x:v>
      </x:c>
      <x:c r="M1351" s="20" t="n">
        <x:f>IF(AND(ISNUMBER(K1351),ISNUMBER(L1351)),100*(K1351-L1351),"n.a.")</x:f>
        <x:v>0.49440162451297454</x:v>
      </x:c>
      <x:c r="N1351" s="13" t="b">
        <x:v>1</x:v>
      </x:c>
      <x:c r="O1351" s="13" t="b">
        <x:v>1</x:v>
      </x:c>
      <x:c r="P1351" s="13" t="b">
        <x:v>0</x:v>
      </x:c>
      <x:c r="Q1351" s="2" t="str">
        <x:v>L1_numeric_partition_qualified_not_national_completeness</x:v>
      </x:c>
      <x:c r="R1351" s="2" t="str">
        <x:v>L1_numeric_partition_qualified_not_national_completeness</x:v>
      </x:c>
      <x:c r="S1351" s="2" t="str">
        <x:v>historical_GHSL_BU_estimate</x:v>
      </x:c>
      <x:c r="T1351" s="2" t="str">
        <x:v>projected_CRISP_BU_surface</x:v>
      </x:c>
      <x:c r="U1351" s="2" t="str">
        <x:v>GFA growth versus source physical quantity growth; constant conversion required for equality</x:v>
      </x:c>
      <x:c r="V1351" s="2" t="str">
        <x:v>Future horizontal path is already a v16 driver; WUP historical surface derives from GHSL</x:v>
      </x:c>
      <x:c r="W1351" s="2" t="str">
        <x:v>https://human-settlement.emergency.copernicus.eu/datasets.php</x:v>
      </x:c>
    </x:row>
    <x:row r="1352" ht="23" customHeight="1">
      <x:c r="A1352" s="2" t="str">
        <x:v>TON</x:v>
      </x:c>
      <x:c r="B1352" s="2" t="str">
        <x:v>Tonga (Kingdom of)</x:v>
      </x:c>
      <x:c r="C1352" s="2" t="str">
        <x:v>WUP_SURFACE</x:v>
      </x:c>
      <x:c r="D1352" s="2" t="n">
        <x:v>2020</x:v>
      </x:c>
      <x:c r="E1352" s="2" t="n">
        <x:v>2025</x:v>
      </x:c>
      <x:c r="F1352" s="17" t="n">
        <x:v>4719083.849999997</x:v>
      </x:c>
      <x:c r="G1352" s="17" t="n">
        <x:v>4852586.2239619065</x:v>
      </x:c>
      <x:c r="H1352" s="17" t="n">
        <x:v>8585997.990630858</x:v>
      </x:c>
      <x:c r="I1352" s="17" t="n">
        <x:v>8821671.5046201</x:v>
      </x:c>
      <x:c r="J1352" s="2" t="str">
        <x:v>m2</x:v>
      </x:c>
      <x:c r="K1352" s="15" t="n">
        <x:f>IF(AND(ISNUMBER(F1352),ISNUMBER(G1352),F1352&gt;0),G1352/F1352-1,"n.a.")</x:f>
        <x:v>0.028289892319228294</x:v>
      </x:c>
      <x:c r="L1352" s="15" t="n">
        <x:f>IF(AND(N1352,ISNUMBER(H1352),ISNUMBER(I1352),H1352&gt;0),I1352/H1352-1,"n.a.")</x:f>
        <x:v>0.027448587135288305</x:v>
      </x:c>
      <x:c r="M1352" s="20" t="n">
        <x:f>IF(AND(ISNUMBER(K1352),ISNUMBER(L1352)),100*(K1352-L1352),"n.a.")</x:f>
        <x:v>0.08413051839399888</x:v>
      </x:c>
      <x:c r="N1352" s="13" t="b">
        <x:v>1</x:v>
      </x:c>
      <x:c r="O1352" s="13" t="b">
        <x:v>1</x:v>
      </x:c>
      <x:c r="P1352" s="13" t="b">
        <x:v>0</x:v>
      </x:c>
      <x:c r="Q1352" s="2" t="str">
        <x:v>L1_numeric_partition_qualified_not_national_completeness</x:v>
      </x:c>
      <x:c r="R1352" s="2" t="str">
        <x:v>L1_numeric_partition_qualified_not_national_completeness</x:v>
      </x:c>
      <x:c r="S1352" s="2" t="str">
        <x:v>historical_GHSL_BU_estimate</x:v>
      </x:c>
      <x:c r="T1352" s="2" t="str">
        <x:v>projected_CRISP_BU_surface</x:v>
      </x:c>
      <x:c r="U1352" s="2" t="str">
        <x:v>GFA growth versus source physical quantity growth; constant conversion required for equality</x:v>
      </x:c>
      <x:c r="V1352" s="2" t="str">
        <x:v>Future horizontal path is already a v16 driver; WUP historical surface derives from GHSL</x:v>
      </x:c>
      <x:c r="W1352" s="2" t="str">
        <x:v>https://human-settlement.emergency.copernicus.eu/datasets.php</x:v>
      </x:c>
    </x:row>
    <x:row r="1353" ht="23" customHeight="1">
      <x:c r="A1353" s="2" t="str">
        <x:v>TTO</x:v>
      </x:c>
      <x:c r="B1353" s="2" t="str">
        <x:v>Trinidad and Tobago (Republic of)</x:v>
      </x:c>
      <x:c r="C1353" s="2" t="str">
        <x:v>WUP_SURFACE</x:v>
      </x:c>
      <x:c r="D1353" s="2" t="n">
        <x:v>2020</x:v>
      </x:c>
      <x:c r="E1353" s="2" t="n">
        <x:v>2025</x:v>
      </x:c>
      <x:c r="F1353" s="17" t="n">
        <x:v>100480869.27000004</x:v>
      </x:c>
      <x:c r="G1353" s="17" t="n">
        <x:v>107949452.9603739</x:v>
      </x:c>
      <x:c r="H1353" s="17" t="n">
        <x:v>165736139.07806897</x:v>
      </x:c>
      <x:c r="I1353" s="17" t="n">
        <x:v>177663641.50182664</x:v>
      </x:c>
      <x:c r="J1353" s="2" t="str">
        <x:v>m2</x:v>
      </x:c>
      <x:c r="K1353" s="15" t="n">
        <x:f>IF(AND(ISNUMBER(F1353),ISNUMBER(G1353),F1353&gt;0),G1353/F1353-1,"n.a.")</x:f>
        <x:v>0.0743284144000107</x:v>
      </x:c>
      <x:c r="L1353" s="15" t="n">
        <x:f>IF(AND(N1353,ISNUMBER(H1353),ISNUMBER(I1353),H1353&gt;0),I1353/H1353-1,"n.a.")</x:f>
        <x:v>0.07196681719573128</x:v>
      </x:c>
      <x:c r="M1353" s="20" t="n">
        <x:f>IF(AND(ISNUMBER(K1353),ISNUMBER(L1353)),100*(K1353-L1353),"n.a.")</x:f>
        <x:v>0.23615972042794198</x:v>
      </x:c>
      <x:c r="N1353" s="13" t="b">
        <x:v>1</x:v>
      </x:c>
      <x:c r="O1353" s="13" t="b">
        <x:v>1</x:v>
      </x:c>
      <x:c r="P1353" s="13" t="b">
        <x:v>0</x:v>
      </x:c>
      <x:c r="Q1353" s="2" t="str">
        <x:v>L1_numeric_partition_qualified_not_national_completeness</x:v>
      </x:c>
      <x:c r="R1353" s="2" t="str">
        <x:v>L1_numeric_partition_qualified_not_national_completeness</x:v>
      </x:c>
      <x:c r="S1353" s="2" t="str">
        <x:v>historical_GHSL_BU_estimate</x:v>
      </x:c>
      <x:c r="T1353" s="2" t="str">
        <x:v>projected_CRISP_BU_surface</x:v>
      </x:c>
      <x:c r="U1353" s="2" t="str">
        <x:v>GFA growth versus source physical quantity growth; constant conversion required for equality</x:v>
      </x:c>
      <x:c r="V1353" s="2" t="str">
        <x:v>Future horizontal path is already a v16 driver; WUP historical surface derives from GHSL</x:v>
      </x:c>
      <x:c r="W1353" s="2" t="str">
        <x:v>https://human-settlement.emergency.copernicus.eu/datasets.php</x:v>
      </x:c>
    </x:row>
    <x:row r="1354" ht="23" customHeight="1">
      <x:c r="A1354" s="2" t="str">
        <x:v>TUN</x:v>
      </x:c>
      <x:c r="B1354" s="2" t="str">
        <x:v>Tunisia (Republic of)</x:v>
      </x:c>
      <x:c r="C1354" s="2" t="str">
        <x:v>WUP_SURFACE</x:v>
      </x:c>
      <x:c r="D1354" s="2" t="n">
        <x:v>2020</x:v>
      </x:c>
      <x:c r="E1354" s="2" t="n">
        <x:v>2025</x:v>
      </x:c>
      <x:c r="F1354" s="17" t="n">
        <x:v>649171642.779999</x:v>
      </x:c>
      <x:c r="G1354" s="17" t="n">
        <x:v>699695567.618066</x:v>
      </x:c>
      <x:c r="H1354" s="17" t="n">
        <x:v>1138292407.080182</x:v>
      </x:c>
      <x:c r="I1354" s="17" t="n">
        <x:v>1222608152.1925666</x:v>
      </x:c>
      <x:c r="J1354" s="2" t="str">
        <x:v>m2</x:v>
      </x:c>
      <x:c r="K1354" s="15" t="n">
        <x:f>IF(AND(ISNUMBER(F1354),ISNUMBER(G1354),F1354&gt;0),G1354/F1354-1,"n.a.")</x:f>
        <x:v>0.07782829918710621</x:v>
      </x:c>
      <x:c r="L1354" s="15" t="n">
        <x:f>IF(AND(N1354,ISNUMBER(H1354),ISNUMBER(I1354),H1354&gt;0),I1354/H1354-1,"n.a.")</x:f>
        <x:v>0.07407213171935467</x:v>
      </x:c>
      <x:c r="M1354" s="20" t="n">
        <x:f>IF(AND(ISNUMBER(K1354),ISNUMBER(L1354)),100*(K1354-L1354),"n.a.")</x:f>
        <x:v>0.37561674677515366</x:v>
      </x:c>
      <x:c r="N1354" s="13" t="b">
        <x:v>1</x:v>
      </x:c>
      <x:c r="O1354" s="13" t="b">
        <x:v>1</x:v>
      </x:c>
      <x:c r="P1354" s="13" t="b">
        <x:v>0</x:v>
      </x:c>
      <x:c r="Q1354" s="2" t="str">
        <x:v>L1_numeric_partition_qualified_not_national_completeness</x:v>
      </x:c>
      <x:c r="R1354" s="2" t="str">
        <x:v>L1_numeric_partition_qualified_not_national_completeness</x:v>
      </x:c>
      <x:c r="S1354" s="2" t="str">
        <x:v>historical_GHSL_BU_estimate</x:v>
      </x:c>
      <x:c r="T1354" s="2" t="str">
        <x:v>projected_CRISP_BU_surface</x:v>
      </x:c>
      <x:c r="U1354" s="2" t="str">
        <x:v>GFA growth versus source physical quantity growth; constant conversion required for equality</x:v>
      </x:c>
      <x:c r="V1354" s="2" t="str">
        <x:v>Future horizontal path is already a v16 driver; WUP historical surface derives from GHSL</x:v>
      </x:c>
      <x:c r="W1354" s="2" t="str">
        <x:v>https://human-settlement.emergency.copernicus.eu/datasets.php</x:v>
      </x:c>
    </x:row>
    <x:row r="1355" ht="23" customHeight="1">
      <x:c r="A1355" s="2" t="str">
        <x:v>TUR</x:v>
      </x:c>
      <x:c r="B1355" s="2" t="str">
        <x:v>Türkiye (Republic of)</x:v>
      </x:c>
      <x:c r="C1355" s="2" t="str">
        <x:v>WUP_SURFACE</x:v>
      </x:c>
      <x:c r="D1355" s="2" t="n">
        <x:v>2020</x:v>
      </x:c>
      <x:c r="E1355" s="2" t="n">
        <x:v>2025</x:v>
      </x:c>
      <x:c r="F1355" s="17" t="n">
        <x:v>3957897873.260005</x:v>
      </x:c>
      <x:c r="G1355" s="17" t="n">
        <x:v>4665559792.425246</x:v>
      </x:c>
      <x:c r="H1355" s="17" t="n">
        <x:v>3437235122.2279906</x:v>
      </x:c>
      <x:c r="I1355" s="17" t="n">
        <x:v>4031642261.7824492</x:v>
      </x:c>
      <x:c r="J1355" s="2" t="str">
        <x:v>m2</x:v>
      </x:c>
      <x:c r="K1355" s="15" t="n">
        <x:f>IF(AND(ISNUMBER(F1355),ISNUMBER(G1355),F1355&gt;0),G1355/F1355-1,"n.a.")</x:f>
        <x:v>0.17879741767625768</x:v>
      </x:c>
      <x:c r="L1355" s="15" t="n">
        <x:f>IF(AND(N1355,ISNUMBER(H1355),ISNUMBER(I1355),H1355&gt;0),I1355/H1355-1,"n.a.")</x:f>
        <x:v>0.17293176591573056</x:v>
      </x:c>
      <x:c r="M1355" s="20" t="n">
        <x:f>IF(AND(ISNUMBER(K1355),ISNUMBER(L1355)),100*(K1355-L1355),"n.a.")</x:f>
        <x:v>0.5865651760527113</x:v>
      </x:c>
      <x:c r="N1355" s="13" t="b">
        <x:v>1</x:v>
      </x:c>
      <x:c r="O1355" s="13" t="b">
        <x:v>1</x:v>
      </x:c>
      <x:c r="P1355" s="13" t="b">
        <x:v>0</x:v>
      </x:c>
      <x:c r="Q1355" s="2" t="str">
        <x:v>L1_numeric_partition_qualified_not_national_completeness</x:v>
      </x:c>
      <x:c r="R1355" s="2" t="str">
        <x:v>L1_numeric_partition_qualified_not_national_completeness</x:v>
      </x:c>
      <x:c r="S1355" s="2" t="str">
        <x:v>historical_GHSL_BU_estimate</x:v>
      </x:c>
      <x:c r="T1355" s="2" t="str">
        <x:v>projected_CRISP_BU_surface</x:v>
      </x:c>
      <x:c r="U1355" s="2" t="str">
        <x:v>GFA growth versus source physical quantity growth; constant conversion required for equality</x:v>
      </x:c>
      <x:c r="V1355" s="2" t="str">
        <x:v>Future horizontal path is already a v16 driver; WUP historical surface derives from GHSL</x:v>
      </x:c>
      <x:c r="W1355" s="2" t="str">
        <x:v>https://human-settlement.emergency.copernicus.eu/datasets.php</x:v>
      </x:c>
    </x:row>
    <x:row r="1356" ht="23" customHeight="1">
      <x:c r="A1356" s="2" t="str">
        <x:v>TUV</x:v>
      </x:c>
      <x:c r="B1356" s="2" t="str">
        <x:v>Tuvalu</x:v>
      </x:c>
      <x:c r="C1356" s="2" t="str">
        <x:v>WUP_SURFACE</x:v>
      </x:c>
      <x:c r="D1356" s="2" t="n">
        <x:v>2020</x:v>
      </x:c>
      <x:c r="E1356" s="2" t="n">
        <x:v>2025</x:v>
      </x:c>
      <x:c r="F1356" s="17" t="n">
        <x:v>19394.80999999999</x:v>
      </x:c>
      <x:c r="G1356" s="17" t="n">
        <x:v>19380.639035003598</x:v>
      </x:c>
      <x:c r="H1356" s="17" t="n">
        <x:v>808146.0099492688</x:v>
      </x:c>
      <x:c r="I1356" s="17" t="n">
        <x:v>808146.0099492688</x:v>
      </x:c>
      <x:c r="J1356" s="2" t="str">
        <x:v>m2</x:v>
      </x:c>
      <x:c r="K1356" s="15" t="n">
        <x:f>IF(AND(ISNUMBER(F1356),ISNUMBER(G1356),F1356&gt;0),G1356/F1356-1,"n.a.")</x:f>
        <x:v>-0.0007306575829508777</x:v>
      </x:c>
      <x:c r="L1356" s="15" t="n">
        <x:f>IF(AND(N1356,ISNUMBER(H1356),ISNUMBER(I1356),H1356&gt;0),I1356/H1356-1,"n.a.")</x:f>
        <x:v>0</x:v>
      </x:c>
      <x:c r="M1356" s="20" t="n">
        <x:f>IF(AND(ISNUMBER(K1356),ISNUMBER(L1356)),100*(K1356-L1356),"n.a.")</x:f>
        <x:v>-0.07306575829508777</x:v>
      </x:c>
      <x:c r="N1356" s="13" t="b">
        <x:v>1</x:v>
      </x:c>
      <x:c r="O1356" s="13" t="b">
        <x:v>1</x:v>
      </x:c>
      <x:c r="P1356" s="13" t="b">
        <x:v>0</x:v>
      </x:c>
      <x:c r="Q1356" s="2" t="str">
        <x:v>L1_numeric_partition_qualified_not_national_completeness</x:v>
      </x:c>
      <x:c r="R1356" s="2" t="str">
        <x:v>L1_numeric_partition_qualified_not_national_completeness</x:v>
      </x:c>
      <x:c r="S1356" s="2" t="str">
        <x:v>historical_GHSL_BU_estimate</x:v>
      </x:c>
      <x:c r="T1356" s="2" t="str">
        <x:v>projected_CRISP_BU_surface</x:v>
      </x:c>
      <x:c r="U1356" s="2" t="str">
        <x:v>GFA growth versus source physical quantity growth; constant conversion required for equality</x:v>
      </x:c>
      <x:c r="V1356" s="2" t="str">
        <x:v>Future horizontal path is already a v16 driver; WUP historical surface derives from GHSL</x:v>
      </x:c>
      <x:c r="W1356" s="2" t="str">
        <x:v>https://human-settlement.emergency.copernicus.eu/datasets.php</x:v>
      </x:c>
    </x:row>
    <x:row r="1357" ht="23" customHeight="1">
      <x:c r="A1357" s="2" t="str">
        <x:v>TZA</x:v>
      </x:c>
      <x:c r="B1357" s="2" t="str">
        <x:v>Tanzania (United Republic of)</x:v>
      </x:c>
      <x:c r="C1357" s="2" t="str">
        <x:v>WUP_SURFACE</x:v>
      </x:c>
      <x:c r="D1357" s="2" t="n">
        <x:v>2020</x:v>
      </x:c>
      <x:c r="E1357" s="2" t="n">
        <x:v>2025</x:v>
      </x:c>
      <x:c r="F1357" s="17" t="n">
        <x:v>1174486408.8199985</x:v>
      </x:c>
      <x:c r="G1357" s="17" t="n">
        <x:v>1352087973.4343958</x:v>
      </x:c>
      <x:c r="H1357" s="17" t="n">
        <x:v>4116719145.857338</x:v>
      </x:c>
      <x:c r="I1357" s="17" t="n">
        <x:v>4722014931.446933</x:v>
      </x:c>
      <x:c r="J1357" s="2" t="str">
        <x:v>m2</x:v>
      </x:c>
      <x:c r="K1357" s="15" t="n">
        <x:f>IF(AND(ISNUMBER(F1357),ISNUMBER(G1357),F1357&gt;0),G1357/F1357-1,"n.a.")</x:f>
        <x:v>0.15121636425987495</x:v>
      </x:c>
      <x:c r="L1357" s="15" t="n">
        <x:f>IF(AND(N1357,ISNUMBER(H1357),ISNUMBER(I1357),H1357&gt;0),I1357/H1357-1,"n.a.")</x:f>
        <x:v>0.1470335391227029</x:v>
      </x:c>
      <x:c r="M1357" s="20" t="n">
        <x:f>IF(AND(ISNUMBER(K1357),ISNUMBER(L1357)),100*(K1357-L1357),"n.a.")</x:f>
        <x:v>0.41828251371720526</x:v>
      </x:c>
      <x:c r="N1357" s="13" t="b">
        <x:v>1</x:v>
      </x:c>
      <x:c r="O1357" s="13" t="b">
        <x:v>1</x:v>
      </x:c>
      <x:c r="P1357" s="13" t="b">
        <x:v>0</x:v>
      </x:c>
      <x:c r="Q1357" s="2" t="str">
        <x:v>L1_numeric_partition_qualified_not_national_completeness</x:v>
      </x:c>
      <x:c r="R1357" s="2" t="str">
        <x:v>L1_numeric_partition_qualified_not_national_completeness</x:v>
      </x:c>
      <x:c r="S1357" s="2" t="str">
        <x:v>historical_GHSL_BU_estimate</x:v>
      </x:c>
      <x:c r="T1357" s="2" t="str">
        <x:v>projected_CRISP_BU_surface</x:v>
      </x:c>
      <x:c r="U1357" s="2" t="str">
        <x:v>GFA growth versus source physical quantity growth; constant conversion required for equality</x:v>
      </x:c>
      <x:c r="V1357" s="2" t="str">
        <x:v>Future horizontal path is already a v16 driver; WUP historical surface derives from GHSL</x:v>
      </x:c>
      <x:c r="W1357" s="2" t="str">
        <x:v>https://human-settlement.emergency.copernicus.eu/datasets.php</x:v>
      </x:c>
    </x:row>
    <x:row r="1358" ht="23" customHeight="1">
      <x:c r="A1358" s="2" t="str">
        <x:v>UGA</x:v>
      </x:c>
      <x:c r="B1358" s="2" t="str">
        <x:v>Uganda (Republic of)</x:v>
      </x:c>
      <x:c r="C1358" s="2" t="str">
        <x:v>WUP_SURFACE</x:v>
      </x:c>
      <x:c r="D1358" s="2" t="n">
        <x:v>2020</x:v>
      </x:c>
      <x:c r="E1358" s="2" t="n">
        <x:v>2025</x:v>
      </x:c>
      <x:c r="F1358" s="17" t="n">
        <x:v>765891927.1500008</x:v>
      </x:c>
      <x:c r="G1358" s="17" t="n">
        <x:v>882105605.0758555</x:v>
      </x:c>
      <x:c r="H1358" s="17" t="n">
        <x:v>2642961995.088086</x:v>
      </x:c>
      <x:c r="I1358" s="17" t="n">
        <x:v>3034410735.096327</x:v>
      </x:c>
      <x:c r="J1358" s="2" t="str">
        <x:v>m2</x:v>
      </x:c>
      <x:c r="K1358" s="15" t="n">
        <x:f>IF(AND(ISNUMBER(F1358),ISNUMBER(G1358),F1358&gt;0),G1358/F1358-1,"n.a.")</x:f>
        <x:v>0.15173639231099267</x:v>
      </x:c>
      <x:c r="L1358" s="15" t="n">
        <x:f>IF(AND(N1358,ISNUMBER(H1358),ISNUMBER(I1358),H1358&gt;0),I1358/H1358-1,"n.a.")</x:f>
        <x:v>0.14810986337894505</x:v>
      </x:c>
      <x:c r="M1358" s="20" t="n">
        <x:f>IF(AND(ISNUMBER(K1358),ISNUMBER(L1358)),100*(K1358-L1358),"n.a.")</x:f>
        <x:v>0.36265289320476235</x:v>
      </x:c>
      <x:c r="N1358" s="13" t="b">
        <x:v>1</x:v>
      </x:c>
      <x:c r="O1358" s="13" t="b">
        <x:v>1</x:v>
      </x:c>
      <x:c r="P1358" s="13" t="b">
        <x:v>0</x:v>
      </x:c>
      <x:c r="Q1358" s="2" t="str">
        <x:v>L1_numeric_partition_qualified_not_national_completeness</x:v>
      </x:c>
      <x:c r="R1358" s="2" t="str">
        <x:v>L1_numeric_partition_qualified_not_national_completeness</x:v>
      </x:c>
      <x:c r="S1358" s="2" t="str">
        <x:v>historical_GHSL_BU_estimate</x:v>
      </x:c>
      <x:c r="T1358" s="2" t="str">
        <x:v>projected_CRISP_BU_surface</x:v>
      </x:c>
      <x:c r="U1358" s="2" t="str">
        <x:v>GFA growth versus source physical quantity growth; constant conversion required for equality</x:v>
      </x:c>
      <x:c r="V1358" s="2" t="str">
        <x:v>Future horizontal path is already a v16 driver; WUP historical surface derives from GHSL</x:v>
      </x:c>
      <x:c r="W1358" s="2" t="str">
        <x:v>https://human-settlement.emergency.copernicus.eu/datasets.php</x:v>
      </x:c>
    </x:row>
    <x:row r="1359" ht="23" customHeight="1">
      <x:c r="A1359" s="2" t="str">
        <x:v>UKR</x:v>
      </x:c>
      <x:c r="B1359" s="2" t="str">
        <x:v>Ukraine</x:v>
      </x:c>
      <x:c r="C1359" s="2" t="str">
        <x:v>WUP_SURFACE</x:v>
      </x:c>
      <x:c r="D1359" s="2" t="n">
        <x:v>2020</x:v>
      </x:c>
      <x:c r="E1359" s="2" t="n">
        <x:v>2025</x:v>
      </x:c>
      <x:c r="F1359" s="17" t="n">
        <x:v>2808807029.8199997</x:v>
      </x:c>
      <x:c r="G1359" s="17" t="n">
        <x:v>2935867416.063764</x:v>
      </x:c>
      <x:c r="H1359" s="17" t="n">
        <x:v>4313766328.53754</x:v>
      </x:c>
      <x:c r="I1359" s="17" t="n">
        <x:v>4504013334.774246</x:v>
      </x:c>
      <x:c r="J1359" s="2" t="str">
        <x:v>m2</x:v>
      </x:c>
      <x:c r="K1359" s="15" t="n">
        <x:f>IF(AND(ISNUMBER(F1359),ISNUMBER(G1359),F1359&gt;0),G1359/F1359-1,"n.a.")</x:f>
        <x:v>0.04523642418108986</x:v>
      </x:c>
      <x:c r="L1359" s="15" t="n">
        <x:f>IF(AND(N1359,ISNUMBER(H1359),ISNUMBER(I1359),H1359&gt;0),I1359/H1359-1,"n.a.")</x:f>
        <x:v>0.04410229756260442</x:v>
      </x:c>
      <x:c r="M1359" s="20" t="n">
        <x:f>IF(AND(ISNUMBER(K1359),ISNUMBER(L1359)),100*(K1359-L1359),"n.a.")</x:f>
        <x:v>0.11341266184854426</x:v>
      </x:c>
      <x:c r="N1359" s="13" t="b">
        <x:v>1</x:v>
      </x:c>
      <x:c r="O1359" s="13" t="b">
        <x:v>1</x:v>
      </x:c>
      <x:c r="P1359" s="13" t="b">
        <x:v>0</x:v>
      </x:c>
      <x:c r="Q1359" s="2" t="str">
        <x:v>L1_numeric_partition_qualified_not_national_completeness</x:v>
      </x:c>
      <x:c r="R1359" s="2" t="str">
        <x:v>L1_numeric_partition_qualified_not_national_completeness</x:v>
      </x:c>
      <x:c r="S1359" s="2" t="str">
        <x:v>historical_GHSL_BU_estimate</x:v>
      </x:c>
      <x:c r="T1359" s="2" t="str">
        <x:v>projected_CRISP_BU_surface</x:v>
      </x:c>
      <x:c r="U1359" s="2" t="str">
        <x:v>GFA growth versus source physical quantity growth; constant conversion required for equality</x:v>
      </x:c>
      <x:c r="V1359" s="2" t="str">
        <x:v>Future horizontal path is already a v16 driver; WUP historical surface derives from GHSL</x:v>
      </x:c>
      <x:c r="W1359" s="2" t="str">
        <x:v>https://human-settlement.emergency.copernicus.eu/datasets.php</x:v>
      </x:c>
    </x:row>
    <x:row r="1360" ht="23" customHeight="1">
      <x:c r="A1360" s="2" t="str">
        <x:v>URY</x:v>
      </x:c>
      <x:c r="B1360" s="2" t="str">
        <x:v>Uruguay (Oriental Republic of)</x:v>
      </x:c>
      <x:c r="C1360" s="2" t="str">
        <x:v>WUP_SURFACE</x:v>
      </x:c>
      <x:c r="D1360" s="2" t="n">
        <x:v>2020</x:v>
      </x:c>
      <x:c r="E1360" s="2" t="n">
        <x:v>2025</x:v>
      </x:c>
      <x:c r="F1360" s="17" t="n">
        <x:v>209727833.2899997</x:v>
      </x:c>
      <x:c r="G1360" s="17" t="n">
        <x:v>221408162.58859697</x:v>
      </x:c>
      <x:c r="H1360" s="17" t="n">
        <x:v>380701570.0466187</x:v>
      </x:c>
      <x:c r="I1360" s="17" t="n">
        <x:v>401196737.6081763</x:v>
      </x:c>
      <x:c r="J1360" s="2" t="str">
        <x:v>m2</x:v>
      </x:c>
      <x:c r="K1360" s="15" t="n">
        <x:f>IF(AND(ISNUMBER(F1360),ISNUMBER(G1360),F1360&gt;0),G1360/F1360-1,"n.a.")</x:f>
        <x:v>0.05569279534989713</x:v>
      </x:c>
      <x:c r="L1360" s="15" t="n">
        <x:f>IF(AND(N1360,ISNUMBER(H1360),ISNUMBER(I1360),H1360&gt;0),I1360/H1360-1,"n.a.")</x:f>
        <x:v>0.053835258832916955</x:v>
      </x:c>
      <x:c r="M1360" s="20" t="n">
        <x:f>IF(AND(ISNUMBER(K1360),ISNUMBER(L1360)),100*(K1360-L1360),"n.a.")</x:f>
        <x:v>0.18575365169801739</x:v>
      </x:c>
      <x:c r="N1360" s="13" t="b">
        <x:v>1</x:v>
      </x:c>
      <x:c r="O1360" s="13" t="b">
        <x:v>1</x:v>
      </x:c>
      <x:c r="P1360" s="13" t="b">
        <x:v>0</x:v>
      </x:c>
      <x:c r="Q1360" s="2" t="str">
        <x:v>L1_numeric_partition_qualified_not_national_completeness</x:v>
      </x:c>
      <x:c r="R1360" s="2" t="str">
        <x:v>L1_numeric_partition_qualified_not_national_completeness</x:v>
      </x:c>
      <x:c r="S1360" s="2" t="str">
        <x:v>historical_GHSL_BU_estimate</x:v>
      </x:c>
      <x:c r="T1360" s="2" t="str">
        <x:v>projected_CRISP_BU_surface</x:v>
      </x:c>
      <x:c r="U1360" s="2" t="str">
        <x:v>GFA growth versus source physical quantity growth; constant conversion required for equality</x:v>
      </x:c>
      <x:c r="V1360" s="2" t="str">
        <x:v>Future horizontal path is already a v16 driver; WUP historical surface derives from GHSL</x:v>
      </x:c>
      <x:c r="W1360" s="2" t="str">
        <x:v>https://human-settlement.emergency.copernicus.eu/datasets.php</x:v>
      </x:c>
    </x:row>
    <x:row r="1361" ht="23" customHeight="1">
      <x:c r="A1361" s="2" t="str">
        <x:v>USA</x:v>
      </x:c>
      <x:c r="B1361" s="2" t="str">
        <x:v>United States of America</x:v>
      </x:c>
      <x:c r="C1361" s="2" t="str">
        <x:v>WUP_SURFACE</x:v>
      </x:c>
      <x:c r="D1361" s="2" t="n">
        <x:v>2020</x:v>
      </x:c>
      <x:c r="E1361" s="2" t="n">
        <x:v>2025</x:v>
      </x:c>
      <x:c r="F1361" s="17" t="n">
        <x:v>35932980078.68004</x:v>
      </x:c>
      <x:c r="G1361" s="17" t="n">
        <x:v>38833578992.37007</x:v>
      </x:c>
      <x:c r="H1361" s="17" t="n">
        <x:v>60246811001.31557</x:v>
      </x:c>
      <x:c r="I1361" s="17" t="n">
        <x:v>64908230050.29475</x:v>
      </x:c>
      <x:c r="J1361" s="2" t="str">
        <x:v>m2</x:v>
      </x:c>
      <x:c r="K1361" s="15" t="n">
        <x:f>IF(AND(ISNUMBER(F1361),ISNUMBER(G1361),F1361&gt;0),G1361/F1361-1,"n.a.")</x:f>
        <x:v>0.08072247020254886</x:v>
      </x:c>
      <x:c r="L1361" s="15" t="n">
        <x:f>IF(AND(N1361,ISNUMBER(H1361),ISNUMBER(I1361),H1361&gt;0),I1361/H1361-1,"n.a.")</x:f>
        <x:v>0.07737204627938543</x:v>
      </x:c>
      <x:c r="M1361" s="20" t="n">
        <x:f>IF(AND(ISNUMBER(K1361),ISNUMBER(L1361)),100*(K1361-L1361),"n.a.")</x:f>
        <x:v>0.3350423923163426</x:v>
      </x:c>
      <x:c r="N1361" s="13" t="b">
        <x:v>1</x:v>
      </x:c>
      <x:c r="O1361" s="13" t="b">
        <x:v>1</x:v>
      </x:c>
      <x:c r="P1361" s="13" t="b">
        <x:v>0</x:v>
      </x:c>
      <x:c r="Q1361" s="2" t="str">
        <x:v>L1_numeric_partition_qualified_not_national_completeness</x:v>
      </x:c>
      <x:c r="R1361" s="2" t="str">
        <x:v>L1_numeric_partition_qualified_not_national_completeness</x:v>
      </x:c>
      <x:c r="S1361" s="2" t="str">
        <x:v>historical_GHSL_BU_estimate</x:v>
      </x:c>
      <x:c r="T1361" s="2" t="str">
        <x:v>projected_CRISP_BU_surface</x:v>
      </x:c>
      <x:c r="U1361" s="2" t="str">
        <x:v>GFA growth versus source physical quantity growth; constant conversion required for equality</x:v>
      </x:c>
      <x:c r="V1361" s="2" t="str">
        <x:v>Future horizontal path is already a v16 driver; WUP historical surface derives from GHSL</x:v>
      </x:c>
      <x:c r="W1361" s="2" t="str">
        <x:v>https://human-settlement.emergency.copernicus.eu/datasets.php</x:v>
      </x:c>
    </x:row>
    <x:row r="1362" ht="23" customHeight="1">
      <x:c r="A1362" s="2" t="str">
        <x:v>UZB</x:v>
      </x:c>
      <x:c r="B1362" s="2" t="str">
        <x:v>Uzbekistan (Republic of)</x:v>
      </x:c>
      <x:c r="C1362" s="2" t="str">
        <x:v>WUP_SURFACE</x:v>
      </x:c>
      <x:c r="D1362" s="2" t="n">
        <x:v>2020</x:v>
      </x:c>
      <x:c r="E1362" s="2" t="n">
        <x:v>2025</x:v>
      </x:c>
      <x:c r="F1362" s="17" t="n">
        <x:v>1997042653.6300015</x:v>
      </x:c>
      <x:c r="G1362" s="17" t="n">
        <x:v>2166140291.3146167</x:v>
      </x:c>
      <x:c r="H1362" s="17" t="n">
        <x:v>3793565339.8305197</x:v>
      </x:c>
      <x:c r="I1362" s="17" t="n">
        <x:v>4098485171.3609385</x:v>
      </x:c>
      <x:c r="J1362" s="2" t="str">
        <x:v>m2</x:v>
      </x:c>
      <x:c r="K1362" s="15" t="n">
        <x:f>IF(AND(ISNUMBER(F1362),ISNUMBER(G1362),F1362&gt;0),G1362/F1362-1,"n.a.")</x:f>
        <x:v>0.08467402405113789</x:v>
      </x:c>
      <x:c r="L1362" s="15" t="n">
        <x:f>IF(AND(N1362,ISNUMBER(H1362),ISNUMBER(I1362),H1362&gt;0),I1362/H1362-1,"n.a.")</x:f>
        <x:v>0.0803781678224742</x:v>
      </x:c>
      <x:c r="M1362" s="20" t="n">
        <x:f>IF(AND(ISNUMBER(K1362),ISNUMBER(L1362)),100*(K1362-L1362),"n.a.")</x:f>
        <x:v>0.4295856228663686</x:v>
      </x:c>
      <x:c r="N1362" s="13" t="b">
        <x:v>1</x:v>
      </x:c>
      <x:c r="O1362" s="13" t="b">
        <x:v>1</x:v>
      </x:c>
      <x:c r="P1362" s="13" t="b">
        <x:v>0</x:v>
      </x:c>
      <x:c r="Q1362" s="2" t="str">
        <x:v>L1_numeric_partition_qualified_not_national_completeness</x:v>
      </x:c>
      <x:c r="R1362" s="2" t="str">
        <x:v>L1_numeric_partition_qualified_not_national_completeness</x:v>
      </x:c>
      <x:c r="S1362" s="2" t="str">
        <x:v>historical_GHSL_BU_estimate</x:v>
      </x:c>
      <x:c r="T1362" s="2" t="str">
        <x:v>projected_CRISP_BU_surface</x:v>
      </x:c>
      <x:c r="U1362" s="2" t="str">
        <x:v>GFA growth versus source physical quantity growth; constant conversion required for equality</x:v>
      </x:c>
      <x:c r="V1362" s="2" t="str">
        <x:v>Future horizontal path is already a v16 driver; WUP historical surface derives from GHSL</x:v>
      </x:c>
      <x:c r="W1362" s="2" t="str">
        <x:v>https://human-settlement.emergency.copernicus.eu/datasets.php</x:v>
      </x:c>
    </x:row>
    <x:row r="1363" ht="23" customHeight="1">
      <x:c r="A1363" s="2" t="str">
        <x:v>VAT</x:v>
      </x:c>
      <x:c r="B1363" s="2" t="str">
        <x:v>Holy See (State of the Vatican City)</x:v>
      </x:c>
      <x:c r="C1363" s="2" t="str">
        <x:v>WUP_SURFACE</x:v>
      </x:c>
      <x:c r="D1363" s="2" t="n">
        <x:v>2020</x:v>
      </x:c>
      <x:c r="E1363" s="2" t="n">
        <x:v>2025</x:v>
      </x:c>
      <x:c r="F1363" s="17" t="n">
        <x:v>318924.24</x:v>
      </x:c>
      <x:c r="G1363" s="17" t="n">
        <x:v>319388.2798920099</x:v>
      </x:c>
      <x:c r="H1363" s="17" t="n">
        <x:v>360359.0130805969</x:v>
      </x:c>
      <x:c r="I1363" s="17" t="n">
        <x:v>180179.5065402984</x:v>
      </x:c>
      <x:c r="J1363" s="2" t="str">
        <x:v>m2</x:v>
      </x:c>
      <x:c r="K1363" s="15" t="n">
        <x:f>IF(AND(ISNUMBER(F1363),ISNUMBER(G1363),F1363&gt;0),G1363/F1363-1,"n.a.")</x:f>
        <x:v>0.001455016062779979</x:v>
      </x:c>
      <x:c r="L1363" s="15" t="n">
        <x:f>IF(AND(N1363,ISNUMBER(H1363),ISNUMBER(I1363),H1363&gt;0),I1363/H1363-1,"n.a.")</x:f>
        <x:v>-0.5000000000000002</x:v>
      </x:c>
      <x:c r="M1363" s="20" t="n">
        <x:f>IF(AND(ISNUMBER(K1363),ISNUMBER(L1363)),100*(K1363-L1363),"n.a.")</x:f>
        <x:v>50.14550160627802</x:v>
      </x:c>
      <x:c r="N1363" s="13" t="b">
        <x:v>1</x:v>
      </x:c>
      <x:c r="O1363" s="13" t="b">
        <x:v>1</x:v>
      </x:c>
      <x:c r="P1363" s="13" t="b">
        <x:v>0</x:v>
      </x:c>
      <x:c r="Q1363" s="2" t="str">
        <x:v>L1_numeric_partition_qualified_not_national_completeness</x:v>
      </x:c>
      <x:c r="R1363" s="2" t="str">
        <x:v>L1_numeric_partition_qualified_not_national_completeness</x:v>
      </x:c>
      <x:c r="S1363" s="2" t="str">
        <x:v>historical_GHSL_BU_estimate</x:v>
      </x:c>
      <x:c r="T1363" s="2" t="str">
        <x:v>projected_CRISP_BU_surface</x:v>
      </x:c>
      <x:c r="U1363" s="2" t="str">
        <x:v>GFA growth versus source physical quantity growth; constant conversion required for equality</x:v>
      </x:c>
      <x:c r="V1363" s="2" t="str">
        <x:v>Future horizontal path is already a v16 driver; WUP historical surface derives from GHSL</x:v>
      </x:c>
      <x:c r="W1363" s="2" t="str">
        <x:v>https://human-settlement.emergency.copernicus.eu/datasets.php</x:v>
      </x:c>
    </x:row>
    <x:row r="1364" ht="23" customHeight="1">
      <x:c r="A1364" s="2" t="str">
        <x:v>VCT</x:v>
      </x:c>
      <x:c r="B1364" s="2" t="str">
        <x:v>Saint Vincent and the Grenadines</x:v>
      </x:c>
      <x:c r="C1364" s="2" t="str">
        <x:v>WUP_SURFACE</x:v>
      </x:c>
      <x:c r="D1364" s="2" t="n">
        <x:v>2020</x:v>
      </x:c>
      <x:c r="E1364" s="2" t="n">
        <x:v>2025</x:v>
      </x:c>
      <x:c r="F1364" s="17" t="n">
        <x:v>6194383.570000002</x:v>
      </x:c>
      <x:c r="G1364" s="17" t="n">
        <x:v>6274379.9217756055</x:v>
      </x:c>
      <x:c r="H1364" s="17" t="n">
        <x:v>10351806.977656337</x:v>
      </x:c>
      <x:c r="I1364" s="17" t="n">
        <x:v>10479256.796688674</x:v>
      </x:c>
      <x:c r="J1364" s="2" t="str">
        <x:v>m2</x:v>
      </x:c>
      <x:c r="K1364" s="15" t="n">
        <x:f>IF(AND(ISNUMBER(F1364),ISNUMBER(G1364),F1364&gt;0),G1364/F1364-1,"n.a.")</x:f>
        <x:v>0.012914336167852758</x:v>
      </x:c>
      <x:c r="L1364" s="15" t="n">
        <x:f>IF(AND(N1364,ISNUMBER(H1364),ISNUMBER(I1364),H1364&gt;0),I1364/H1364-1,"n.a.")</x:f>
        <x:v>0.012311842686733687</x:v>
      </x:c>
      <x:c r="M1364" s="20" t="n">
        <x:f>IF(AND(ISNUMBER(K1364),ISNUMBER(L1364)),100*(K1364-L1364),"n.a.")</x:f>
        <x:v>0.060249348111907075</x:v>
      </x:c>
      <x:c r="N1364" s="13" t="b">
        <x:v>1</x:v>
      </x:c>
      <x:c r="O1364" s="13" t="b">
        <x:v>1</x:v>
      </x:c>
      <x:c r="P1364" s="13" t="b">
        <x:v>0</x:v>
      </x:c>
      <x:c r="Q1364" s="2" t="str">
        <x:v>L1_numeric_partition_qualified_not_national_completeness</x:v>
      </x:c>
      <x:c r="R1364" s="2" t="str">
        <x:v>L1_numeric_partition_qualified_not_national_completeness</x:v>
      </x:c>
      <x:c r="S1364" s="2" t="str">
        <x:v>historical_GHSL_BU_estimate</x:v>
      </x:c>
      <x:c r="T1364" s="2" t="str">
        <x:v>projected_CRISP_BU_surface</x:v>
      </x:c>
      <x:c r="U1364" s="2" t="str">
        <x:v>GFA growth versus source physical quantity growth; constant conversion required for equality</x:v>
      </x:c>
      <x:c r="V1364" s="2" t="str">
        <x:v>Future horizontal path is already a v16 driver; WUP historical surface derives from GHSL</x:v>
      </x:c>
      <x:c r="W1364" s="2" t="str">
        <x:v>https://human-settlement.emergency.copernicus.eu/datasets.php</x:v>
      </x:c>
    </x:row>
    <x:row r="1365" ht="23" customHeight="1">
      <x:c r="A1365" s="2" t="str">
        <x:v>VEN</x:v>
      </x:c>
      <x:c r="B1365" s="2" t="str">
        <x:v>Venezuela (Bolivarian Republic of)</x:v>
      </x:c>
      <x:c r="C1365" s="2" t="str">
        <x:v>WUP_SURFACE</x:v>
      </x:c>
      <x:c r="D1365" s="2" t="n">
        <x:v>2020</x:v>
      </x:c>
      <x:c r="E1365" s="2" t="n">
        <x:v>2025</x:v>
      </x:c>
      <x:c r="F1365" s="17" t="n">
        <x:v>1159546607.6500015</x:v>
      </x:c>
      <x:c r="G1365" s="17" t="n">
        <x:v>1300627258.4724984</x:v>
      </x:c>
      <x:c r="H1365" s="17" t="n">
        <x:v>1484592084.073905</x:v>
      </x:c>
      <x:c r="I1365" s="17" t="n">
        <x:v>1665619920.6373403</x:v>
      </x:c>
      <x:c r="J1365" s="2" t="str">
        <x:v>m2</x:v>
      </x:c>
      <x:c r="K1365" s="15" t="n">
        <x:f>IF(AND(ISNUMBER(F1365),ISNUMBER(G1365),F1365&gt;0),G1365/F1365-1,"n.a.")</x:f>
        <x:v>0.12166880562776039</x:v>
      </x:c>
      <x:c r="L1365" s="15" t="n">
        <x:f>IF(AND(N1365,ISNUMBER(H1365),ISNUMBER(I1365),H1365&gt;0),I1365/H1365-1,"n.a.")</x:f>
        <x:v>0.12193776223477659</x:v>
      </x:c>
      <x:c r="M1365" s="20" t="n">
        <x:f>IF(AND(ISNUMBER(K1365),ISNUMBER(L1365)),100*(K1365-L1365),"n.a.")</x:f>
        <x:v>-0.026895660701620194</x:v>
      </x:c>
      <x:c r="N1365" s="13" t="b">
        <x:v>1</x:v>
      </x:c>
      <x:c r="O1365" s="13" t="b">
        <x:v>1</x:v>
      </x:c>
      <x:c r="P1365" s="13" t="b">
        <x:v>0</x:v>
      </x:c>
      <x:c r="Q1365" s="2" t="str">
        <x:v>L1_numeric_partition_qualified_not_national_completeness</x:v>
      </x:c>
      <x:c r="R1365" s="2" t="str">
        <x:v>L1_numeric_partition_qualified_not_national_completeness</x:v>
      </x:c>
      <x:c r="S1365" s="2" t="str">
        <x:v>historical_GHSL_BU_estimate</x:v>
      </x:c>
      <x:c r="T1365" s="2" t="str">
        <x:v>projected_CRISP_BU_surface</x:v>
      </x:c>
      <x:c r="U1365" s="2" t="str">
        <x:v>GFA growth versus source physical quantity growth; constant conversion required for equality</x:v>
      </x:c>
      <x:c r="V1365" s="2" t="str">
        <x:v>Future horizontal path is already a v16 driver; WUP historical surface derives from GHSL</x:v>
      </x:c>
      <x:c r="W1365" s="2" t="str">
        <x:v>https://human-settlement.emergency.copernicus.eu/datasets.php</x:v>
      </x:c>
    </x:row>
    <x:row r="1366" ht="23" customHeight="1">
      <x:c r="A1366" s="2" t="str">
        <x:v>VNM</x:v>
      </x:c>
      <x:c r="B1366" s="2" t="str">
        <x:v>Viet Nam (Socialist Republic of)</x:v>
      </x:c>
      <x:c r="C1366" s="2" t="str">
        <x:v>WUP_SURFACE</x:v>
      </x:c>
      <x:c r="D1366" s="2" t="n">
        <x:v>2020</x:v>
      </x:c>
      <x:c r="E1366" s="2" t="n">
        <x:v>2025</x:v>
      </x:c>
      <x:c r="F1366" s="17" t="n">
        <x:v>4861867508.520002</x:v>
      </x:c>
      <x:c r="G1366" s="17" t="n">
        <x:v>5415885197.444545</x:v>
      </x:c>
      <x:c r="H1366" s="17" t="n">
        <x:v>5086925512.180058</x:v>
      </x:c>
      <x:c r="I1366" s="17" t="n">
        <x:v>5643034434.70689</x:v>
      </x:c>
      <x:c r="J1366" s="2" t="str">
        <x:v>m2</x:v>
      </x:c>
      <x:c r="K1366" s="15" t="n">
        <x:f>IF(AND(ISNUMBER(F1366),ISNUMBER(G1366),F1366&gt;0),G1366/F1366-1,"n.a.")</x:f>
        <x:v>0.11395162207807474</x:v>
      </x:c>
      <x:c r="L1366" s="15" t="n">
        <x:f>IF(AND(N1366,ISNUMBER(H1366),ISNUMBER(I1366),H1366&gt;0),I1366/H1366-1,"n.a.")</x:f>
        <x:v>0.10932122383064069</x:v>
      </x:c>
      <x:c r="M1366" s="20" t="n">
        <x:f>IF(AND(ISNUMBER(K1366),ISNUMBER(L1366)),100*(K1366-L1366),"n.a.")</x:f>
        <x:v>0.4630398247434053</x:v>
      </x:c>
      <x:c r="N1366" s="13" t="b">
        <x:v>1</x:v>
      </x:c>
      <x:c r="O1366" s="13" t="b">
        <x:v>1</x:v>
      </x:c>
      <x:c r="P1366" s="13" t="b">
        <x:v>0</x:v>
      </x:c>
      <x:c r="Q1366" s="2" t="str">
        <x:v>L1_numeric_partition_qualified_not_national_completeness</x:v>
      </x:c>
      <x:c r="R1366" s="2" t="str">
        <x:v>L1_numeric_partition_qualified_not_national_completeness</x:v>
      </x:c>
      <x:c r="S1366" s="2" t="str">
        <x:v>historical_GHSL_BU_estimate</x:v>
      </x:c>
      <x:c r="T1366" s="2" t="str">
        <x:v>projected_CRISP_BU_surface</x:v>
      </x:c>
      <x:c r="U1366" s="2" t="str">
        <x:v>GFA growth versus source physical quantity growth; constant conversion required for equality</x:v>
      </x:c>
      <x:c r="V1366" s="2" t="str">
        <x:v>Future horizontal path is already a v16 driver; WUP historical surface derives from GHSL</x:v>
      </x:c>
      <x:c r="W1366" s="2" t="str">
        <x:v>https://human-settlement.emergency.copernicus.eu/datasets.php</x:v>
      </x:c>
    </x:row>
    <x:row r="1367" ht="23" customHeight="1">
      <x:c r="A1367" s="2" t="str">
        <x:v>VUT</x:v>
      </x:c>
      <x:c r="B1367" s="2" t="str">
        <x:v>Vanuatu (Republic of)</x:v>
      </x:c>
      <x:c r="C1367" s="2" t="str">
        <x:v>WUP_SURFACE</x:v>
      </x:c>
      <x:c r="D1367" s="2" t="n">
        <x:v>2020</x:v>
      </x:c>
      <x:c r="E1367" s="2" t="n">
        <x:v>2025</x:v>
      </x:c>
      <x:c r="F1367" s="17" t="n">
        <x:v>8193524.700000004</x:v>
      </x:c>
      <x:c r="G1367" s="17" t="n">
        <x:v>9717517.389934428</x:v>
      </x:c>
      <x:c r="H1367" s="17" t="n">
        <x:v>13741144.030732356</x:v>
      </x:c>
      <x:c r="I1367" s="17" t="n">
        <x:v>16238299.099332608</x:v>
      </x:c>
      <x:c r="J1367" s="2" t="str">
        <x:v>m2</x:v>
      </x:c>
      <x:c r="K1367" s="15" t="n">
        <x:f>IF(AND(ISNUMBER(F1367),ISNUMBER(G1367),F1367&gt;0),G1367/F1367-1,"n.a.")</x:f>
        <x:v>0.1859996455413655</x:v>
      </x:c>
      <x:c r="L1367" s="15" t="n">
        <x:f>IF(AND(N1367,ISNUMBER(H1367),ISNUMBER(I1367),H1367&gt;0),I1367/H1367-1,"n.a.")</x:f>
        <x:v>0.18172832356718716</x:v>
      </x:c>
      <x:c r="M1367" s="20" t="n">
        <x:f>IF(AND(ISNUMBER(K1367),ISNUMBER(L1367)),100*(K1367-L1367),"n.a.")</x:f>
        <x:v>0.42713219741783437</x:v>
      </x:c>
      <x:c r="N1367" s="13" t="b">
        <x:v>1</x:v>
      </x:c>
      <x:c r="O1367" s="13" t="b">
        <x:v>1</x:v>
      </x:c>
      <x:c r="P1367" s="13" t="b">
        <x:v>0</x:v>
      </x:c>
      <x:c r="Q1367" s="2" t="str">
        <x:v>L1_numeric_partition_qualified_not_national_completeness</x:v>
      </x:c>
      <x:c r="R1367" s="2" t="str">
        <x:v>L1_numeric_partition_qualified_not_national_completeness</x:v>
      </x:c>
      <x:c r="S1367" s="2" t="str">
        <x:v>historical_GHSL_BU_estimate</x:v>
      </x:c>
      <x:c r="T1367" s="2" t="str">
        <x:v>projected_CRISP_BU_surface</x:v>
      </x:c>
      <x:c r="U1367" s="2" t="str">
        <x:v>GFA growth versus source physical quantity growth; constant conversion required for equality</x:v>
      </x:c>
      <x:c r="V1367" s="2" t="str">
        <x:v>Future horizontal path is already a v16 driver; WUP historical surface derives from GHSL</x:v>
      </x:c>
      <x:c r="W1367" s="2" t="str">
        <x:v>https://human-settlement.emergency.copernicus.eu/datasets.php</x:v>
      </x:c>
    </x:row>
    <x:row r="1368" ht="23" customHeight="1">
      <x:c r="A1368" s="2" t="str">
        <x:v>WSM</x:v>
      </x:c>
      <x:c r="B1368" s="2" t="str">
        <x:v>Samoa (Independent State of)</x:v>
      </x:c>
      <x:c r="C1368" s="2" t="str">
        <x:v>WUP_SURFACE</x:v>
      </x:c>
      <x:c r="D1368" s="2" t="n">
        <x:v>2020</x:v>
      </x:c>
      <x:c r="E1368" s="2" t="n">
        <x:v>2025</x:v>
      </x:c>
      <x:c r="F1368" s="17" t="n">
        <x:v>8105266.000000001</x:v>
      </x:c>
      <x:c r="G1368" s="17" t="n">
        <x:v>8846425.419849334</x:v>
      </x:c>
      <x:c r="H1368" s="17" t="n">
        <x:v>15743507.981150629</x:v>
      </x:c>
      <x:c r="I1368" s="17" t="n">
        <x:v>17135921.98645904</x:v>
      </x:c>
      <x:c r="J1368" s="2" t="str">
        <x:v>m2</x:v>
      </x:c>
      <x:c r="K1368" s="15" t="n">
        <x:f>IF(AND(ISNUMBER(F1368),ISNUMBER(G1368),F1368&gt;0),G1368/F1368-1,"n.a.")</x:f>
        <x:v>0.09144171454080996</x:v>
      </x:c>
      <x:c r="L1368" s="15" t="n">
        <x:f>IF(AND(N1368,ISNUMBER(H1368),ISNUMBER(I1368),H1368&gt;0),I1368/H1368-1,"n.a.")</x:f>
        <x:v>0.08844369418655096</x:v>
      </x:c>
      <x:c r="M1368" s="20" t="n">
        <x:f>IF(AND(ISNUMBER(K1368),ISNUMBER(L1368)),100*(K1368-L1368),"n.a.")</x:f>
        <x:v>0.2998020354259001</x:v>
      </x:c>
      <x:c r="N1368" s="13" t="b">
        <x:v>1</x:v>
      </x:c>
      <x:c r="O1368" s="13" t="b">
        <x:v>1</x:v>
      </x:c>
      <x:c r="P1368" s="13" t="b">
        <x:v>0</x:v>
      </x:c>
      <x:c r="Q1368" s="2" t="str">
        <x:v>L1_numeric_partition_qualified_not_national_completeness</x:v>
      </x:c>
      <x:c r="R1368" s="2" t="str">
        <x:v>L1_numeric_partition_qualified_not_national_completeness</x:v>
      </x:c>
      <x:c r="S1368" s="2" t="str">
        <x:v>historical_GHSL_BU_estimate</x:v>
      </x:c>
      <x:c r="T1368" s="2" t="str">
        <x:v>projected_CRISP_BU_surface</x:v>
      </x:c>
      <x:c r="U1368" s="2" t="str">
        <x:v>GFA growth versus source physical quantity growth; constant conversion required for equality</x:v>
      </x:c>
      <x:c r="V1368" s="2" t="str">
        <x:v>Future horizontal path is already a v16 driver; WUP historical surface derives from GHSL</x:v>
      </x:c>
      <x:c r="W1368" s="2" t="str">
        <x:v>https://human-settlement.emergency.copernicus.eu/datasets.php</x:v>
      </x:c>
    </x:row>
    <x:row r="1369" ht="23" customHeight="1">
      <x:c r="A1369" s="2" t="str">
        <x:v>YEM</x:v>
      </x:c>
      <x:c r="B1369" s="2" t="str">
        <x:v>Yemen (Republic of)</x:v>
      </x:c>
      <x:c r="C1369" s="2" t="str">
        <x:v>WUP_SURFACE</x:v>
      </x:c>
      <x:c r="D1369" s="2" t="n">
        <x:v>2020</x:v>
      </x:c>
      <x:c r="E1369" s="2" t="n">
        <x:v>2025</x:v>
      </x:c>
      <x:c r="F1369" s="17" t="n">
        <x:v>454480387.6899993</x:v>
      </x:c>
      <x:c r="G1369" s="17" t="n">
        <x:v>620548973.3338083</x:v>
      </x:c>
      <x:c r="H1369" s="17" t="n">
        <x:v>262106950.0246266</x:v>
      </x:c>
      <x:c r="I1369" s="17" t="n">
        <x:v>356115805.91696507</x:v>
      </x:c>
      <x:c r="J1369" s="2" t="str">
        <x:v>m2</x:v>
      </x:c>
      <x:c r="K1369" s="15" t="n">
        <x:f>IF(AND(ISNUMBER(F1369),ISNUMBER(G1369),F1369&gt;0),G1369/F1369-1,"n.a.")</x:f>
        <x:v>0.3654031948174721</x:v>
      </x:c>
      <x:c r="L1369" s="15" t="n">
        <x:f>IF(AND(N1369,ISNUMBER(H1369),ISNUMBER(I1369),H1369&gt;0),I1369/H1369-1,"n.a.")</x:f>
        <x:v>0.358666017377661</x:v>
      </x:c>
      <x:c r="M1369" s="20" t="n">
        <x:f>IF(AND(ISNUMBER(K1369),ISNUMBER(L1369)),100*(K1369-L1369),"n.a.")</x:f>
        <x:v>0.673717743981106</x:v>
      </x:c>
      <x:c r="N1369" s="13" t="b">
        <x:v>1</x:v>
      </x:c>
      <x:c r="O1369" s="13" t="b">
        <x:v>1</x:v>
      </x:c>
      <x:c r="P1369" s="13" t="b">
        <x:v>0</x:v>
      </x:c>
      <x:c r="Q1369" s="2" t="str">
        <x:v>L1_numeric_partition_qualified_not_national_completeness</x:v>
      </x:c>
      <x:c r="R1369" s="2" t="str">
        <x:v>L1_numeric_partition_qualified_not_national_completeness</x:v>
      </x:c>
      <x:c r="S1369" s="2" t="str">
        <x:v>historical_GHSL_BU_estimate</x:v>
      </x:c>
      <x:c r="T1369" s="2" t="str">
        <x:v>projected_CRISP_BU_surface</x:v>
      </x:c>
      <x:c r="U1369" s="2" t="str">
        <x:v>GFA growth versus source physical quantity growth; constant conversion required for equality</x:v>
      </x:c>
      <x:c r="V1369" s="2" t="str">
        <x:v>Future horizontal path is already a v16 driver; WUP historical surface derives from GHSL</x:v>
      </x:c>
      <x:c r="W1369" s="2" t="str">
        <x:v>https://human-settlement.emergency.copernicus.eu/datasets.php</x:v>
      </x:c>
    </x:row>
    <x:row r="1370" ht="23" customHeight="1">
      <x:c r="A1370" s="2" t="str">
        <x:v>ZAF</x:v>
      </x:c>
      <x:c r="B1370" s="2" t="str">
        <x:v>South Africa (Republic of)</x:v>
      </x:c>
      <x:c r="C1370" s="2" t="str">
        <x:v>WUP_SURFACE</x:v>
      </x:c>
      <x:c r="D1370" s="2" t="n">
        <x:v>2020</x:v>
      </x:c>
      <x:c r="E1370" s="2" t="n">
        <x:v>2025</x:v>
      </x:c>
      <x:c r="F1370" s="17" t="n">
        <x:v>2711325840.6099963</x:v>
      </x:c>
      <x:c r="G1370" s="17" t="n">
        <x:v>2943758146.5936575</x:v>
      </x:c>
      <x:c r="H1370" s="17" t="n">
        <x:v>6345332430.962695</x:v>
      </x:c>
      <x:c r="I1370" s="17" t="n">
        <x:v>6861990537.765767</x:v>
      </x:c>
      <x:c r="J1370" s="2" t="str">
        <x:v>m2</x:v>
      </x:c>
      <x:c r="K1370" s="15" t="n">
        <x:f>IF(AND(ISNUMBER(F1370),ISNUMBER(G1370),F1370&gt;0),G1370/F1370-1,"n.a.")</x:f>
        <x:v>0.08572643778269318</x:v>
      </x:c>
      <x:c r="L1370" s="15" t="n">
        <x:f>IF(AND(N1370,ISNUMBER(H1370),ISNUMBER(I1370),H1370&gt;0),I1370/H1370-1,"n.a.")</x:f>
        <x:v>0.08142333162593429</x:v>
      </x:c>
      <x:c r="M1370" s="20" t="n">
        <x:f>IF(AND(ISNUMBER(K1370),ISNUMBER(L1370)),100*(K1370-L1370),"n.a.")</x:f>
        <x:v>0.43031061567588846</x:v>
      </x:c>
      <x:c r="N1370" s="13" t="b">
        <x:v>1</x:v>
      </x:c>
      <x:c r="O1370" s="13" t="b">
        <x:v>1</x:v>
      </x:c>
      <x:c r="P1370" s="13" t="b">
        <x:v>0</x:v>
      </x:c>
      <x:c r="Q1370" s="2" t="str">
        <x:v>L1_numeric_partition_qualified_not_national_completeness</x:v>
      </x:c>
      <x:c r="R1370" s="2" t="str">
        <x:v>L1_numeric_partition_qualified_not_national_completeness</x:v>
      </x:c>
      <x:c r="S1370" s="2" t="str">
        <x:v>historical_GHSL_BU_estimate</x:v>
      </x:c>
      <x:c r="T1370" s="2" t="str">
        <x:v>projected_CRISP_BU_surface</x:v>
      </x:c>
      <x:c r="U1370" s="2" t="str">
        <x:v>GFA growth versus source physical quantity growth; constant conversion required for equality</x:v>
      </x:c>
      <x:c r="V1370" s="2" t="str">
        <x:v>Future horizontal path is already a v16 driver; WUP historical surface derives from GHSL</x:v>
      </x:c>
      <x:c r="W1370" s="2" t="str">
        <x:v>https://human-settlement.emergency.copernicus.eu/datasets.php</x:v>
      </x:c>
    </x:row>
    <x:row r="1371" ht="23" customHeight="1">
      <x:c r="A1371" s="2" t="str">
        <x:v>ZMB</x:v>
      </x:c>
      <x:c r="B1371" s="2" t="str">
        <x:v>Zambia (Republic of)</x:v>
      </x:c>
      <x:c r="C1371" s="2" t="str">
        <x:v>WUP_SURFACE</x:v>
      </x:c>
      <x:c r="D1371" s="2" t="n">
        <x:v>2020</x:v>
      </x:c>
      <x:c r="E1371" s="2" t="n">
        <x:v>2025</x:v>
      </x:c>
      <x:c r="F1371" s="17" t="n">
        <x:v>396696842.49999976</x:v>
      </x:c>
      <x:c r="G1371" s="17" t="n">
        <x:v>458232378.84578764</x:v>
      </x:c>
      <x:c r="H1371" s="17" t="n">
        <x:v>1370847983.7854471</x:v>
      </x:c>
      <x:c r="I1371" s="17" t="n">
        <x:v>1577936898.5103009</x:v>
      </x:c>
      <x:c r="J1371" s="2" t="str">
        <x:v>m2</x:v>
      </x:c>
      <x:c r="K1371" s="15" t="n">
        <x:f>IF(AND(ISNUMBER(F1371),ISNUMBER(G1371),F1371&gt;0),G1371/F1371-1,"n.a.")</x:f>
        <x:v>0.15511980372212797</x:v>
      </x:c>
      <x:c r="L1371" s="15" t="n">
        <x:f>IF(AND(N1371,ISNUMBER(H1371),ISNUMBER(I1371),H1371&gt;0),I1371/H1371-1,"n.a.")</x:f>
        <x:v>0.15106628683437262</x:v>
      </x:c>
      <x:c r="M1371" s="20" t="n">
        <x:f>IF(AND(ISNUMBER(K1371),ISNUMBER(L1371)),100*(K1371-L1371),"n.a.")</x:f>
        <x:v>0.40535168877553485</x:v>
      </x:c>
      <x:c r="N1371" s="13" t="b">
        <x:v>1</x:v>
      </x:c>
      <x:c r="O1371" s="13" t="b">
        <x:v>1</x:v>
      </x:c>
      <x:c r="P1371" s="13" t="b">
        <x:v>0</x:v>
      </x:c>
      <x:c r="Q1371" s="2" t="str">
        <x:v>L1_numeric_partition_qualified_not_national_completeness</x:v>
      </x:c>
      <x:c r="R1371" s="2" t="str">
        <x:v>L1_numeric_partition_qualified_not_national_completeness</x:v>
      </x:c>
      <x:c r="S1371" s="2" t="str">
        <x:v>historical_GHSL_BU_estimate</x:v>
      </x:c>
      <x:c r="T1371" s="2" t="str">
        <x:v>projected_CRISP_BU_surface</x:v>
      </x:c>
      <x:c r="U1371" s="2" t="str">
        <x:v>GFA growth versus source physical quantity growth; constant conversion required for equality</x:v>
      </x:c>
      <x:c r="V1371" s="2" t="str">
        <x:v>Future horizontal path is already a v16 driver; WUP historical surface derives from GHSL</x:v>
      </x:c>
      <x:c r="W1371" s="2" t="str">
        <x:v>https://human-settlement.emergency.copernicus.eu/datasets.php</x:v>
      </x:c>
    </x:row>
    <x:row r="1372" ht="23" customHeight="1">
      <x:c r="A1372" s="2" t="str">
        <x:v>ZWE</x:v>
      </x:c>
      <x:c r="B1372" s="2" t="str">
        <x:v>Zimbabwe (Republic of)</x:v>
      </x:c>
      <x:c r="C1372" s="2" t="str">
        <x:v>WUP_SURFACE</x:v>
      </x:c>
      <x:c r="D1372" s="2" t="n">
        <x:v>2020</x:v>
      </x:c>
      <x:c r="E1372" s="2" t="n">
        <x:v>2025</x:v>
      </x:c>
      <x:c r="F1372" s="17" t="n">
        <x:v>420425813.9799996</x:v>
      </x:c>
      <x:c r="G1372" s="17" t="n">
        <x:v>470361022.41862625</x:v>
      </x:c>
      <x:c r="H1372" s="17" t="n">
        <x:v>1326741819.9649086</x:v>
      </x:c>
      <x:c r="I1372" s="17" t="n">
        <x:v>1477887800.4782436</x:v>
      </x:c>
      <x:c r="J1372" s="2" t="str">
        <x:v>m2</x:v>
      </x:c>
      <x:c r="K1372" s="15" t="n">
        <x:f>IF(AND(ISNUMBER(F1372),ISNUMBER(G1372),F1372&gt;0),G1372/F1372-1,"n.a.")</x:f>
        <x:v>0.1187729363378296</x:v>
      </x:c>
      <x:c r="L1372" s="15" t="n">
        <x:f>IF(AND(N1372,ISNUMBER(H1372),ISNUMBER(I1372),H1372&gt;0),I1372/H1372-1,"n.a.")</x:f>
        <x:v>0.1139226775239004</x:v>
      </x:c>
      <x:c r="M1372" s="20" t="n">
        <x:f>IF(AND(ISNUMBER(K1372),ISNUMBER(L1372)),100*(K1372-L1372),"n.a.")</x:f>
        <x:v>0.4850258813929198</x:v>
      </x:c>
      <x:c r="N1372" s="13" t="b">
        <x:v>1</x:v>
      </x:c>
      <x:c r="O1372" s="13" t="b">
        <x:v>1</x:v>
      </x:c>
      <x:c r="P1372" s="13" t="b">
        <x:v>0</x:v>
      </x:c>
      <x:c r="Q1372" s="2" t="str">
        <x:v>L1_numeric_partition_qualified_not_national_completeness</x:v>
      </x:c>
      <x:c r="R1372" s="2" t="str">
        <x:v>L1_numeric_partition_qualified_not_national_completeness</x:v>
      </x:c>
      <x:c r="S1372" s="2" t="str">
        <x:v>historical_GHSL_BU_estimate</x:v>
      </x:c>
      <x:c r="T1372" s="2" t="str">
        <x:v>projected_CRISP_BU_surface</x:v>
      </x:c>
      <x:c r="U1372" s="2" t="str">
        <x:v>GFA growth versus source physical quantity growth; constant conversion required for equality</x:v>
      </x:c>
      <x:c r="V1372" s="2" t="str">
        <x:v>Future horizontal path is already a v16 driver; WUP historical surface derives from GHSL</x:v>
      </x:c>
      <x:c r="W1372" s="2" t="str">
        <x:v>https://human-settlement.emergency.copernicus.eu/datasets.php</x:v>
      </x:c>
    </x:row>
    <x:row r="1373" ht="23" customHeight="1">
      <x:c r="A1373" s="2" t="str">
        <x:v>AFG</x:v>
      </x:c>
      <x:c r="B1373" s="2" t="str">
        <x:v>Afghanistan (Islamic Republic of)</x:v>
      </x:c>
      <x:c r="C1373" s="2" t="str">
        <x:v>WUP_SURFACE</x:v>
      </x:c>
      <x:c r="D1373" s="2" t="n">
        <x:v>2020</x:v>
      </x:c>
      <x:c r="E1373" s="2" t="n">
        <x:v>2030</x:v>
      </x:c>
      <x:c r="F1373" s="17" t="n">
        <x:v>853208432.4500008</x:v>
      </x:c>
      <x:c r="G1373" s="17" t="n">
        <x:v>1325935936.2895105</x:v>
      </x:c>
      <x:c r="H1373" s="17" t="n">
        <x:v>601855988.0311444</x:v>
      </x:c>
      <x:c r="I1373" s="17" t="n">
        <x:v>928870447.6190085</x:v>
      </x:c>
      <x:c r="J1373" s="2" t="str">
        <x:v>m2</x:v>
      </x:c>
      <x:c r="K1373" s="15" t="n">
        <x:f>IF(AND(ISNUMBER(F1373),ISNUMBER(G1373),F1373&gt;0),G1373/F1373-1,"n.a.")</x:f>
        <x:v>0.5540586401403296</x:v>
      </x:c>
      <x:c r="L1373" s="15" t="n">
        <x:f>IF(AND(N1373,ISNUMBER(H1373),ISNUMBER(I1373),H1373&gt;0),I1373/H1373-1,"n.a.")</x:f>
        <x:v>0.5433433680000905</x:v>
      </x:c>
      <x:c r="M1373" s="20" t="n">
        <x:f>IF(AND(ISNUMBER(K1373),ISNUMBER(L1373)),100*(K1373-L1373),"n.a.")</x:f>
        <x:v>1.071527214023904</x:v>
      </x:c>
      <x:c r="N1373" s="13" t="b">
        <x:v>1</x:v>
      </x:c>
      <x:c r="O1373" s="13" t="b">
        <x:v>1</x:v>
      </x:c>
      <x:c r="P1373" s="13" t="b">
        <x:v>0</x:v>
      </x:c>
      <x:c r="Q1373" s="2" t="str">
        <x:v>L1_numeric_partition_qualified_not_national_completeness</x:v>
      </x:c>
      <x:c r="R1373" s="2" t="str">
        <x:v>L1_numeric_partition_qualified_not_national_completeness</x:v>
      </x:c>
      <x:c r="S1373" s="2" t="str">
        <x:v>historical_GHSL_BU_estimate</x:v>
      </x:c>
      <x:c r="T1373" s="2" t="str">
        <x:v>projected_CRISP_BU_surface</x:v>
      </x:c>
      <x:c r="U1373" s="2" t="str">
        <x:v>GFA growth versus source physical quantity growth; constant conversion required for equality</x:v>
      </x:c>
      <x:c r="V1373" s="2" t="str">
        <x:v>Future horizontal path is already a v16 driver; WUP historical surface derives from GHSL</x:v>
      </x:c>
      <x:c r="W1373" s="2" t="str">
        <x:v>https://human-settlement.emergency.copernicus.eu/datasets.php</x:v>
      </x:c>
    </x:row>
    <x:row r="1374" ht="23" customHeight="1">
      <x:c r="A1374" s="2" t="str">
        <x:v>AGO</x:v>
      </x:c>
      <x:c r="B1374" s="2" t="str">
        <x:v>Angola (Republic of)</x:v>
      </x:c>
      <x:c r="C1374" s="2" t="str">
        <x:v>WUP_SURFACE</x:v>
      </x:c>
      <x:c r="D1374" s="2" t="n">
        <x:v>2020</x:v>
      </x:c>
      <x:c r="E1374" s="2" t="n">
        <x:v>2030</x:v>
      </x:c>
      <x:c r="F1374" s="17" t="n">
        <x:v>512504617.85999936</x:v>
      </x:c>
      <x:c r="G1374" s="17" t="n">
        <x:v>726645761.4887787</x:v>
      </x:c>
      <x:c r="H1374" s="17" t="n">
        <x:v>1289840103.655108</x:v>
      </x:c>
      <x:c r="I1374" s="17" t="n">
        <x:v>1822207294.551167</x:v>
      </x:c>
      <x:c r="J1374" s="2" t="str">
        <x:v>m2</x:v>
      </x:c>
      <x:c r="K1374" s="15" t="n">
        <x:f>IF(AND(ISNUMBER(F1374),ISNUMBER(G1374),F1374&gt;0),G1374/F1374-1,"n.a.")</x:f>
        <x:v>0.4178326129488188</x:v>
      </x:c>
      <x:c r="L1374" s="15" t="n">
        <x:f>IF(AND(N1374,ISNUMBER(H1374),ISNUMBER(I1374),H1374&gt;0),I1374/H1374-1,"n.a.")</x:f>
        <x:v>0.4127389041381593</x:v>
      </x:c>
      <x:c r="M1374" s="20" t="n">
        <x:f>IF(AND(ISNUMBER(K1374),ISNUMBER(L1374)),100*(K1374-L1374),"n.a.")</x:f>
        <x:v>0.5093708810659514</x:v>
      </x:c>
      <x:c r="N1374" s="13" t="b">
        <x:v>1</x:v>
      </x:c>
      <x:c r="O1374" s="13" t="b">
        <x:v>1</x:v>
      </x:c>
      <x:c r="P1374" s="13" t="b">
        <x:v>0</x:v>
      </x:c>
      <x:c r="Q1374" s="2" t="str">
        <x:v>L1_numeric_partition_qualified_not_national_completeness</x:v>
      </x:c>
      <x:c r="R1374" s="2" t="str">
        <x:v>L1_numeric_partition_qualified_not_national_completeness</x:v>
      </x:c>
      <x:c r="S1374" s="2" t="str">
        <x:v>historical_GHSL_BU_estimate</x:v>
      </x:c>
      <x:c r="T1374" s="2" t="str">
        <x:v>projected_CRISP_BU_surface</x:v>
      </x:c>
      <x:c r="U1374" s="2" t="str">
        <x:v>GFA growth versus source physical quantity growth; constant conversion required for equality</x:v>
      </x:c>
      <x:c r="V1374" s="2" t="str">
        <x:v>Future horizontal path is already a v16 driver; WUP historical surface derives from GHSL</x:v>
      </x:c>
      <x:c r="W1374" s="2" t="str">
        <x:v>https://human-settlement.emergency.copernicus.eu/datasets.php</x:v>
      </x:c>
    </x:row>
    <x:row r="1375" ht="23" customHeight="1">
      <x:c r="A1375" s="2" t="str">
        <x:v>ALB</x:v>
      </x:c>
      <x:c r="B1375" s="2" t="str">
        <x:v>Albania (Republic of)</x:v>
      </x:c>
      <x:c r="C1375" s="2" t="str">
        <x:v>WUP_SURFACE</x:v>
      </x:c>
      <x:c r="D1375" s="2" t="n">
        <x:v>2020</x:v>
      </x:c>
      <x:c r="E1375" s="2" t="n">
        <x:v>2030</x:v>
      </x:c>
      <x:c r="F1375" s="17" t="n">
        <x:v>161276383.52000022</x:v>
      </x:c>
      <x:c r="G1375" s="17" t="n">
        <x:v>167377594.56443542</x:v>
      </x:c>
      <x:c r="H1375" s="17" t="n">
        <x:v>239435354.92663443</x:v>
      </x:c>
      <x:c r="I1375" s="17" t="n">
        <x:v>248634733.5881603</x:v>
      </x:c>
      <x:c r="J1375" s="2" t="str">
        <x:v>m2</x:v>
      </x:c>
      <x:c r="K1375" s="15" t="n">
        <x:f>IF(AND(ISNUMBER(F1375),ISNUMBER(G1375),F1375&gt;0),G1375/F1375-1,"n.a.")</x:f>
        <x:v>0.03783077789364353</x:v>
      </x:c>
      <x:c r="L1375" s="15" t="n">
        <x:f>IF(AND(N1375,ISNUMBER(H1375),ISNUMBER(I1375),H1375&gt;0),I1375/H1375-1,"n.a.")</x:f>
        <x:v>0.03842113736438235</x:v>
      </x:c>
      <x:c r="M1375" s="20" t="n">
        <x:f>IF(AND(ISNUMBER(K1375),ISNUMBER(L1375)),100*(K1375-L1375),"n.a.")</x:f>
        <x:v>-0.059035947073882156</x:v>
      </x:c>
      <x:c r="N1375" s="13" t="b">
        <x:v>1</x:v>
      </x:c>
      <x:c r="O1375" s="13" t="b">
        <x:v>1</x:v>
      </x:c>
      <x:c r="P1375" s="13" t="b">
        <x:v>0</x:v>
      </x:c>
      <x:c r="Q1375" s="2" t="str">
        <x:v>L1_numeric_partition_qualified_not_national_completeness</x:v>
      </x:c>
      <x:c r="R1375" s="2" t="str">
        <x:v>L1_numeric_partition_qualified_not_national_completeness</x:v>
      </x:c>
      <x:c r="S1375" s="2" t="str">
        <x:v>historical_GHSL_BU_estimate</x:v>
      </x:c>
      <x:c r="T1375" s="2" t="str">
        <x:v>projected_CRISP_BU_surface</x:v>
      </x:c>
      <x:c r="U1375" s="2" t="str">
        <x:v>GFA growth versus source physical quantity growth; constant conversion required for equality</x:v>
      </x:c>
      <x:c r="V1375" s="2" t="str">
        <x:v>Future horizontal path is already a v16 driver; WUP historical surface derives from GHSL</x:v>
      </x:c>
      <x:c r="W1375" s="2" t="str">
        <x:v>https://human-settlement.emergency.copernicus.eu/datasets.php</x:v>
      </x:c>
    </x:row>
    <x:row r="1376" ht="23" customHeight="1">
      <x:c r="A1376" s="2" t="str">
        <x:v>AND</x:v>
      </x:c>
      <x:c r="B1376" s="2" t="str">
        <x:v>Andorra (Principality of)</x:v>
      </x:c>
      <x:c r="C1376" s="2" t="str">
        <x:v>WUP_SURFACE</x:v>
      </x:c>
      <x:c r="D1376" s="2" t="n">
        <x:v>2020</x:v>
      </x:c>
      <x:c r="E1376" s="2" t="n">
        <x:v>2030</x:v>
      </x:c>
      <x:c r="F1376" s="17" t="n">
        <x:v>2995448.5899999994</x:v>
      </x:c>
      <x:c r="G1376" s="17" t="n">
        <x:v>4088385.384629548</x:v>
      </x:c>
      <x:c r="H1376" s="17" t="n">
        <x:v>2238287.009914984</x:v>
      </x:c>
      <x:c r="I1376" s="17" t="n">
        <x:v>3038733.0121361627</x:v>
      </x:c>
      <x:c r="J1376" s="2" t="str">
        <x:v>m2</x:v>
      </x:c>
      <x:c r="K1376" s="15" t="n">
        <x:f>IF(AND(ISNUMBER(F1376),ISNUMBER(G1376),F1376&gt;0),G1376/F1376-1,"n.a.")</x:f>
        <x:v>0.3648658161846634</x:v>
      </x:c>
      <x:c r="L1376" s="15" t="n">
        <x:f>IF(AND(N1376,ISNUMBER(H1376),ISNUMBER(I1376),H1376&gt;0),I1376/H1376-1,"n.a.")</x:f>
        <x:v>0.35761544371898113</x:v>
      </x:c>
      <x:c r="M1376" s="20" t="n">
        <x:f>IF(AND(ISNUMBER(K1376),ISNUMBER(L1376)),100*(K1376-L1376),"n.a.")</x:f>
        <x:v>0.7250372465682275</x:v>
      </x:c>
      <x:c r="N1376" s="13" t="b">
        <x:v>1</x:v>
      </x:c>
      <x:c r="O1376" s="13" t="b">
        <x:v>1</x:v>
      </x:c>
      <x:c r="P1376" s="13" t="b">
        <x:v>0</x:v>
      </x:c>
      <x:c r="Q1376" s="2" t="str">
        <x:v>L1_numeric_partition_qualified_not_national_completeness</x:v>
      </x:c>
      <x:c r="R1376" s="2" t="str">
        <x:v>L1_numeric_partition_qualified_not_national_completeness</x:v>
      </x:c>
      <x:c r="S1376" s="2" t="str">
        <x:v>historical_GHSL_BU_estimate</x:v>
      </x:c>
      <x:c r="T1376" s="2" t="str">
        <x:v>projected_CRISP_BU_surface</x:v>
      </x:c>
      <x:c r="U1376" s="2" t="str">
        <x:v>GFA growth versus source physical quantity growth; constant conversion required for equality</x:v>
      </x:c>
      <x:c r="V1376" s="2" t="str">
        <x:v>Future horizontal path is already a v16 driver; WUP historical surface derives from GHSL</x:v>
      </x:c>
      <x:c r="W1376" s="2" t="str">
        <x:v>https://human-settlement.emergency.copernicus.eu/datasets.php</x:v>
      </x:c>
    </x:row>
    <x:row r="1377" ht="23" customHeight="1">
      <x:c r="A1377" s="2" t="str">
        <x:v>ARE</x:v>
      </x:c>
      <x:c r="B1377" s="2" t="str">
        <x:v>United Arab Emirates</x:v>
      </x:c>
      <x:c r="C1377" s="2" t="str">
        <x:v>WUP_SURFACE</x:v>
      </x:c>
      <x:c r="D1377" s="2" t="n">
        <x:v>2020</x:v>
      </x:c>
      <x:c r="E1377" s="2" t="n">
        <x:v>2030</x:v>
      </x:c>
      <x:c r="F1377" s="17" t="n">
        <x:v>511804054.8699995</x:v>
      </x:c>
      <x:c r="G1377" s="17" t="n">
        <x:v>726419096.5357257</x:v>
      </x:c>
      <x:c r="H1377" s="17" t="n">
        <x:v>638456291.4414136</x:v>
      </x:c>
      <x:c r="I1377" s="17" t="n">
        <x:v>901065056.4831603</x:v>
      </x:c>
      <x:c r="J1377" s="2" t="str">
        <x:v>m2</x:v>
      </x:c>
      <x:c r="K1377" s="15" t="n">
        <x:f>IF(AND(ISNUMBER(F1377),ISNUMBER(G1377),F1377&gt;0),G1377/F1377-1,"n.a.")</x:f>
        <x:v>0.4193304832652007</x:v>
      </x:c>
      <x:c r="L1377" s="15" t="n">
        <x:f>IF(AND(N1377,ISNUMBER(H1377),ISNUMBER(I1377),H1377&gt;0),I1377/H1377-1,"n.a.")</x:f>
        <x:v>0.4113183135040721</x:v>
      </x:c>
      <x:c r="M1377" s="20" t="n">
        <x:f>IF(AND(ISNUMBER(K1377),ISNUMBER(L1377)),100*(K1377-L1377),"n.a.")</x:f>
        <x:v>0.8012169761128618</x:v>
      </x:c>
      <x:c r="N1377" s="13" t="b">
        <x:v>1</x:v>
      </x:c>
      <x:c r="O1377" s="13" t="b">
        <x:v>1</x:v>
      </x:c>
      <x:c r="P1377" s="13" t="b">
        <x:v>0</x:v>
      </x:c>
      <x:c r="Q1377" s="2" t="str">
        <x:v>L1_numeric_partition_qualified_not_national_completeness</x:v>
      </x:c>
      <x:c r="R1377" s="2" t="str">
        <x:v>L1_numeric_partition_qualified_not_national_completeness</x:v>
      </x:c>
      <x:c r="S1377" s="2" t="str">
        <x:v>historical_GHSL_BU_estimate</x:v>
      </x:c>
      <x:c r="T1377" s="2" t="str">
        <x:v>projected_CRISP_BU_surface</x:v>
      </x:c>
      <x:c r="U1377" s="2" t="str">
        <x:v>GFA growth versus source physical quantity growth; constant conversion required for equality</x:v>
      </x:c>
      <x:c r="V1377" s="2" t="str">
        <x:v>Future horizontal path is already a v16 driver; WUP historical surface derives from GHSL</x:v>
      </x:c>
      <x:c r="W1377" s="2" t="str">
        <x:v>https://human-settlement.emergency.copernicus.eu/datasets.php</x:v>
      </x:c>
    </x:row>
    <x:row r="1378" ht="23" customHeight="1">
      <x:c r="A1378" s="2" t="str">
        <x:v>ARG</x:v>
      </x:c>
      <x:c r="B1378" s="2" t="str">
        <x:v>Argentina (Argentine Republic)</x:v>
      </x:c>
      <x:c r="C1378" s="2" t="str">
        <x:v>WUP_SURFACE</x:v>
      </x:c>
      <x:c r="D1378" s="2" t="n">
        <x:v>2020</x:v>
      </x:c>
      <x:c r="E1378" s="2" t="n">
        <x:v>2030</x:v>
      </x:c>
      <x:c r="F1378" s="17" t="n">
        <x:v>2382940448.399998</x:v>
      </x:c>
      <x:c r="G1378" s="17" t="n">
        <x:v>2809119353.8420353</x:v>
      </x:c>
      <x:c r="H1378" s="17" t="n">
        <x:v>3943294133.4848666</x:v>
      </x:c>
      <x:c r="I1378" s="17" t="n">
        <x:v>4637642974.118971</x:v>
      </x:c>
      <x:c r="J1378" s="2" t="str">
        <x:v>m2</x:v>
      </x:c>
      <x:c r="K1378" s="15" t="n">
        <x:f>IF(AND(ISNUMBER(F1378),ISNUMBER(G1378),F1378&gt;0),G1378/F1378-1,"n.a.")</x:f>
        <x:v>0.17884580612502954</x:v>
      </x:c>
      <x:c r="L1378" s="15" t="n">
        <x:f>IF(AND(N1378,ISNUMBER(H1378),ISNUMBER(I1378),H1378&gt;0),I1378/H1378-1,"n.a.")</x:f>
        <x:v>0.17608345133018943</x:v>
      </x:c>
      <x:c r="M1378" s="20" t="n">
        <x:f>IF(AND(ISNUMBER(K1378),ISNUMBER(L1378)),100*(K1378-L1378),"n.a.")</x:f>
        <x:v>0.2762354794840105</x:v>
      </x:c>
      <x:c r="N1378" s="13" t="b">
        <x:v>1</x:v>
      </x:c>
      <x:c r="O1378" s="13" t="b">
        <x:v>1</x:v>
      </x:c>
      <x:c r="P1378" s="13" t="b">
        <x:v>0</x:v>
      </x:c>
      <x:c r="Q1378" s="2" t="str">
        <x:v>L1_numeric_partition_qualified_not_national_completeness</x:v>
      </x:c>
      <x:c r="R1378" s="2" t="str">
        <x:v>L1_numeric_partition_qualified_not_national_completeness</x:v>
      </x:c>
      <x:c r="S1378" s="2" t="str">
        <x:v>historical_GHSL_BU_estimate</x:v>
      </x:c>
      <x:c r="T1378" s="2" t="str">
        <x:v>projected_CRISP_BU_surface</x:v>
      </x:c>
      <x:c r="U1378" s="2" t="str">
        <x:v>GFA growth versus source physical quantity growth; constant conversion required for equality</x:v>
      </x:c>
      <x:c r="V1378" s="2" t="str">
        <x:v>Future horizontal path is already a v16 driver; WUP historical surface derives from GHSL</x:v>
      </x:c>
      <x:c r="W1378" s="2" t="str">
        <x:v>https://human-settlement.emergency.copernicus.eu/datasets.php</x:v>
      </x:c>
    </x:row>
    <x:row r="1379" ht="23" customHeight="1">
      <x:c r="A1379" s="2" t="str">
        <x:v>ARM</x:v>
      </x:c>
      <x:c r="B1379" s="2" t="str">
        <x:v>Armenia (Republic of)</x:v>
      </x:c>
      <x:c r="C1379" s="2" t="str">
        <x:v>WUP_SURFACE</x:v>
      </x:c>
      <x:c r="D1379" s="2" t="n">
        <x:v>2020</x:v>
      </x:c>
      <x:c r="E1379" s="2" t="n">
        <x:v>2030</x:v>
      </x:c>
      <x:c r="F1379" s="17" t="n">
        <x:v>142786500.21000025</x:v>
      </x:c>
      <x:c r="G1379" s="17" t="n">
        <x:v>162700181.67271063</x:v>
      </x:c>
      <x:c r="H1379" s="17" t="n">
        <x:v>222480262.7736285</x:v>
      </x:c>
      <x:c r="I1379" s="17" t="n">
        <x:v>253245623.8356134</x:v>
      </x:c>
      <x:c r="J1379" s="2" t="str">
        <x:v>m2</x:v>
      </x:c>
      <x:c r="K1379" s="15" t="n">
        <x:f>IF(AND(ISNUMBER(F1379),ISNUMBER(G1379),F1379&gt;0),G1379/F1379-1,"n.a.")</x:f>
        <x:v>0.13946473534558756</x:v>
      </x:c>
      <x:c r="L1379" s="15" t="n">
        <x:f>IF(AND(N1379,ISNUMBER(H1379),ISNUMBER(I1379),H1379&gt;0),I1379/H1379-1,"n.a.")</x:f>
        <x:v>0.13828355234049838</x:v>
      </x:c>
      <x:c r="M1379" s="20" t="n">
        <x:f>IF(AND(ISNUMBER(K1379),ISNUMBER(L1379)),100*(K1379-L1379),"n.a.")</x:f>
        <x:v>0.11811830050891814</x:v>
      </x:c>
      <x:c r="N1379" s="13" t="b">
        <x:v>1</x:v>
      </x:c>
      <x:c r="O1379" s="13" t="b">
        <x:v>1</x:v>
      </x:c>
      <x:c r="P1379" s="13" t="b">
        <x:v>0</x:v>
      </x:c>
      <x:c r="Q1379" s="2" t="str">
        <x:v>L1_numeric_partition_qualified_not_national_completeness</x:v>
      </x:c>
      <x:c r="R1379" s="2" t="str">
        <x:v>L1_numeric_partition_qualified_not_national_completeness</x:v>
      </x:c>
      <x:c r="S1379" s="2" t="str">
        <x:v>historical_GHSL_BU_estimate</x:v>
      </x:c>
      <x:c r="T1379" s="2" t="str">
        <x:v>projected_CRISP_BU_surface</x:v>
      </x:c>
      <x:c r="U1379" s="2" t="str">
        <x:v>GFA growth versus source physical quantity growth; constant conversion required for equality</x:v>
      </x:c>
      <x:c r="V1379" s="2" t="str">
        <x:v>Future horizontal path is already a v16 driver; WUP historical surface derives from GHSL</x:v>
      </x:c>
      <x:c r="W1379" s="2" t="str">
        <x:v>https://human-settlement.emergency.copernicus.eu/datasets.php</x:v>
      </x:c>
    </x:row>
    <x:row r="1380" ht="23" customHeight="1">
      <x:c r="A1380" s="2" t="str">
        <x:v>ATG</x:v>
      </x:c>
      <x:c r="B1380" s="2" t="str">
        <x:v>Antigua and Barbuda</x:v>
      </x:c>
      <x:c r="C1380" s="2" t="str">
        <x:v>WUP_SURFACE</x:v>
      </x:c>
      <x:c r="D1380" s="2" t="n">
        <x:v>2020</x:v>
      </x:c>
      <x:c r="E1380" s="2" t="n">
        <x:v>2030</x:v>
      </x:c>
      <x:c r="F1380" s="17" t="n">
        <x:v>7437404.659999999</x:v>
      </x:c>
      <x:c r="G1380" s="17" t="n">
        <x:v>7976926.310828601</x:v>
      </x:c>
      <x:c r="H1380" s="17" t="n">
        <x:v>14728033.99585814</x:v>
      </x:c>
      <x:c r="I1380" s="17" t="n">
        <x:v>15752988.724481268</x:v>
      </x:c>
      <x:c r="J1380" s="2" t="str">
        <x:v>m2</x:v>
      </x:c>
      <x:c r="K1380" s="15" t="n">
        <x:f>IF(AND(ISNUMBER(F1380),ISNUMBER(G1380),F1380&gt;0),G1380/F1380-1,"n.a.")</x:f>
        <x:v>0.07254165606051632</x:v>
      </x:c>
      <x:c r="L1380" s="15" t="n">
        <x:f>IF(AND(N1380,ISNUMBER(H1380),ISNUMBER(I1380),H1380&gt;0),I1380/H1380-1,"n.a.")</x:f>
        <x:v>0.06959209415943546</x:v>
      </x:c>
      <x:c r="M1380" s="20" t="n">
        <x:f>IF(AND(ISNUMBER(K1380),ISNUMBER(L1380)),100*(K1380-L1380),"n.a.")</x:f>
        <x:v>0.2949561901080866</x:v>
      </x:c>
      <x:c r="N1380" s="13" t="b">
        <x:v>1</x:v>
      </x:c>
      <x:c r="O1380" s="13" t="b">
        <x:v>1</x:v>
      </x:c>
      <x:c r="P1380" s="13" t="b">
        <x:v>0</x:v>
      </x:c>
      <x:c r="Q1380" s="2" t="str">
        <x:v>L1_numeric_partition_qualified_not_national_completeness</x:v>
      </x:c>
      <x:c r="R1380" s="2" t="str">
        <x:v>L1_numeric_partition_qualified_not_national_completeness</x:v>
      </x:c>
      <x:c r="S1380" s="2" t="str">
        <x:v>historical_GHSL_BU_estimate</x:v>
      </x:c>
      <x:c r="T1380" s="2" t="str">
        <x:v>projected_CRISP_BU_surface</x:v>
      </x:c>
      <x:c r="U1380" s="2" t="str">
        <x:v>GFA growth versus source physical quantity growth; constant conversion required for equality</x:v>
      </x:c>
      <x:c r="V1380" s="2" t="str">
        <x:v>Future horizontal path is already a v16 driver; WUP historical surface derives from GHSL</x:v>
      </x:c>
      <x:c r="W1380" s="2" t="str">
        <x:v>https://human-settlement.emergency.copernicus.eu/datasets.php</x:v>
      </x:c>
    </x:row>
    <x:row r="1381" ht="23" customHeight="1">
      <x:c r="A1381" s="2" t="str">
        <x:v>AUS</x:v>
      </x:c>
      <x:c r="B1381" s="2" t="str">
        <x:v>Australia (Commonwealth of)</x:v>
      </x:c>
      <x:c r="C1381" s="2" t="str">
        <x:v>WUP_SURFACE</x:v>
      </x:c>
      <x:c r="D1381" s="2" t="n">
        <x:v>2020</x:v>
      </x:c>
      <x:c r="E1381" s="2" t="n">
        <x:v>2030</x:v>
      </x:c>
      <x:c r="F1381" s="17" t="n">
        <x:v>3011161094.8599973</x:v>
      </x:c>
      <x:c r="G1381" s="17" t="n">
        <x:v>3458238368.0619535</x:v>
      </x:c>
      <x:c r="H1381" s="17" t="n">
        <x:v>5111320190.100877</x:v>
      </x:c>
      <x:c r="I1381" s="17" t="n">
        <x:v>5829916287.0700035</x:v>
      </x:c>
      <x:c r="J1381" s="2" t="str">
        <x:v>m2</x:v>
      </x:c>
      <x:c r="K1381" s="15" t="n">
        <x:f>IF(AND(ISNUMBER(F1381),ISNUMBER(G1381),F1381&gt;0),G1381/F1381-1,"n.a.")</x:f>
        <x:v>0.148473382564988</x:v>
      </x:c>
      <x:c r="L1381" s="15" t="n">
        <x:f>IF(AND(N1381,ISNUMBER(H1381),ISNUMBER(I1381),H1381&gt;0),I1381/H1381-1,"n.a.")</x:f>
        <x:v>0.14058913749149116</x:v>
      </x:c>
      <x:c r="M1381" s="20" t="n">
        <x:f>IF(AND(ISNUMBER(K1381),ISNUMBER(L1381)),100*(K1381-L1381),"n.a.")</x:f>
        <x:v>0.7884245073496832</x:v>
      </x:c>
      <x:c r="N1381" s="13" t="b">
        <x:v>1</x:v>
      </x:c>
      <x:c r="O1381" s="13" t="b">
        <x:v>1</x:v>
      </x:c>
      <x:c r="P1381" s="13" t="b">
        <x:v>0</x:v>
      </x:c>
      <x:c r="Q1381" s="2" t="str">
        <x:v>L1_numeric_partition_qualified_not_national_completeness</x:v>
      </x:c>
      <x:c r="R1381" s="2" t="str">
        <x:v>L1_numeric_partition_qualified_not_national_completeness</x:v>
      </x:c>
      <x:c r="S1381" s="2" t="str">
        <x:v>historical_GHSL_BU_estimate</x:v>
      </x:c>
      <x:c r="T1381" s="2" t="str">
        <x:v>projected_CRISP_BU_surface</x:v>
      </x:c>
      <x:c r="U1381" s="2" t="str">
        <x:v>GFA growth versus source physical quantity growth; constant conversion required for equality</x:v>
      </x:c>
      <x:c r="V1381" s="2" t="str">
        <x:v>Future horizontal path is already a v16 driver; WUP historical surface derives from GHSL</x:v>
      </x:c>
      <x:c r="W1381" s="2" t="str">
        <x:v>https://human-settlement.emergency.copernicus.eu/datasets.php</x:v>
      </x:c>
    </x:row>
    <x:row r="1382" ht="23" customHeight="1">
      <x:c r="A1382" s="2" t="str">
        <x:v>AUT</x:v>
      </x:c>
      <x:c r="B1382" s="2" t="str">
        <x:v>Austria (Republic of)</x:v>
      </x:c>
      <x:c r="C1382" s="2" t="str">
        <x:v>WUP_SURFACE</x:v>
      </x:c>
      <x:c r="D1382" s="2" t="n">
        <x:v>2020</x:v>
      </x:c>
      <x:c r="E1382" s="2" t="n">
        <x:v>2030</x:v>
      </x:c>
      <x:c r="F1382" s="17" t="n">
        <x:v>865496536.0700006</x:v>
      </x:c>
      <x:c r="G1382" s="17" t="n">
        <x:v>1049808422.805982</x:v>
      </x:c>
      <x:c r="H1382" s="17" t="n">
        <x:v>1140614141.503219</x:v>
      </x:c>
      <x:c r="I1382" s="17" t="n">
        <x:v>1378542900.5568893</x:v>
      </x:c>
      <x:c r="J1382" s="2" t="str">
        <x:v>m2</x:v>
      </x:c>
      <x:c r="K1382" s="15" t="n">
        <x:f>IF(AND(ISNUMBER(F1382),ISNUMBER(G1382),F1382&gt;0),G1382/F1382-1,"n.a.")</x:f>
        <x:v>0.21295508307045874</x:v>
      </x:c>
      <x:c r="L1382" s="15" t="n">
        <x:f>IF(AND(N1382,ISNUMBER(H1382),ISNUMBER(I1382),H1382&gt;0),I1382/H1382-1,"n.a.")</x:f>
        <x:v>0.20859706222833907</x:v>
      </x:c>
      <x:c r="M1382" s="20" t="n">
        <x:f>IF(AND(ISNUMBER(K1382),ISNUMBER(L1382)),100*(K1382-L1382),"n.a.")</x:f>
        <x:v>0.435802084211967</x:v>
      </x:c>
      <x:c r="N1382" s="13" t="b">
        <x:v>1</x:v>
      </x:c>
      <x:c r="O1382" s="13" t="b">
        <x:v>1</x:v>
      </x:c>
      <x:c r="P1382" s="13" t="b">
        <x:v>0</x:v>
      </x:c>
      <x:c r="Q1382" s="2" t="str">
        <x:v>L1_numeric_partition_qualified_not_national_completeness</x:v>
      </x:c>
      <x:c r="R1382" s="2" t="str">
        <x:v>L1_numeric_partition_qualified_not_national_completeness</x:v>
      </x:c>
      <x:c r="S1382" s="2" t="str">
        <x:v>historical_GHSL_BU_estimate</x:v>
      </x:c>
      <x:c r="T1382" s="2" t="str">
        <x:v>projected_CRISP_BU_surface</x:v>
      </x:c>
      <x:c r="U1382" s="2" t="str">
        <x:v>GFA growth versus source physical quantity growth; constant conversion required for equality</x:v>
      </x:c>
      <x:c r="V1382" s="2" t="str">
        <x:v>Future horizontal path is already a v16 driver; WUP historical surface derives from GHSL</x:v>
      </x:c>
      <x:c r="W1382" s="2" t="str">
        <x:v>https://human-settlement.emergency.copernicus.eu/datasets.php</x:v>
      </x:c>
    </x:row>
    <x:row r="1383" ht="23" customHeight="1">
      <x:c r="A1383" s="2" t="str">
        <x:v>AZE</x:v>
      </x:c>
      <x:c r="B1383" s="2" t="str">
        <x:v>Azerbaijan (Republic of)</x:v>
      </x:c>
      <x:c r="C1383" s="2" t="str">
        <x:v>WUP_SURFACE</x:v>
      </x:c>
      <x:c r="D1383" s="2" t="n">
        <x:v>2020</x:v>
      </x:c>
      <x:c r="E1383" s="2" t="n">
        <x:v>2030</x:v>
      </x:c>
      <x:c r="F1383" s="17" t="n">
        <x:v>507953272.9000006</x:v>
      </x:c>
      <x:c r="G1383" s="17" t="n">
        <x:v>591547912.5528959</x:v>
      </x:c>
      <x:c r="H1383" s="17" t="n">
        <x:v>846314460.4218581</x:v>
      </x:c>
      <x:c r="I1383" s="17" t="n">
        <x:v>981985958.0600704</x:v>
      </x:c>
      <x:c r="J1383" s="2" t="str">
        <x:v>m2</x:v>
      </x:c>
      <x:c r="K1383" s="15" t="n">
        <x:f>IF(AND(ISNUMBER(F1383),ISNUMBER(G1383),F1383&gt;0),G1383/F1383-1,"n.a.")</x:f>
        <x:v>0.16457151496561462</x:v>
      </x:c>
      <x:c r="L1383" s="15" t="n">
        <x:f>IF(AND(N1383,ISNUMBER(H1383),ISNUMBER(I1383),H1383&gt;0),I1383/H1383-1,"n.a.")</x:f>
        <x:v>0.16030861338536595</x:v>
      </x:c>
      <x:c r="M1383" s="20" t="n">
        <x:f>IF(AND(ISNUMBER(K1383),ISNUMBER(L1383)),100*(K1383-L1383),"n.a.")</x:f>
        <x:v>0.4262901580248668</x:v>
      </x:c>
      <x:c r="N1383" s="13" t="b">
        <x:v>1</x:v>
      </x:c>
      <x:c r="O1383" s="13" t="b">
        <x:v>1</x:v>
      </x:c>
      <x:c r="P1383" s="13" t="b">
        <x:v>0</x:v>
      </x:c>
      <x:c r="Q1383" s="2" t="str">
        <x:v>L1_numeric_partition_qualified_not_national_completeness</x:v>
      </x:c>
      <x:c r="R1383" s="2" t="str">
        <x:v>L1_numeric_partition_qualified_not_national_completeness</x:v>
      </x:c>
      <x:c r="S1383" s="2" t="str">
        <x:v>historical_GHSL_BU_estimate</x:v>
      </x:c>
      <x:c r="T1383" s="2" t="str">
        <x:v>projected_CRISP_BU_surface</x:v>
      </x:c>
      <x:c r="U1383" s="2" t="str">
        <x:v>GFA growth versus source physical quantity growth; constant conversion required for equality</x:v>
      </x:c>
      <x:c r="V1383" s="2" t="str">
        <x:v>Future horizontal path is already a v16 driver; WUP historical surface derives from GHSL</x:v>
      </x:c>
      <x:c r="W1383" s="2" t="str">
        <x:v>https://human-settlement.emergency.copernicus.eu/datasets.php</x:v>
      </x:c>
    </x:row>
    <x:row r="1384" ht="23" customHeight="1">
      <x:c r="A1384" s="2" t="str">
        <x:v>BDI</x:v>
      </x:c>
      <x:c r="B1384" s="2" t="str">
        <x:v>Burundi (Republic of)</x:v>
      </x:c>
      <x:c r="C1384" s="2" t="str">
        <x:v>WUP_SURFACE</x:v>
      </x:c>
      <x:c r="D1384" s="2" t="n">
        <x:v>2020</x:v>
      </x:c>
      <x:c r="E1384" s="2" t="n">
        <x:v>2030</x:v>
      </x:c>
      <x:c r="F1384" s="17" t="n">
        <x:v>147710691.6100001</x:v>
      </x:c>
      <x:c r="G1384" s="17" t="n">
        <x:v>204371294.62526459</x:v>
      </x:c>
      <x:c r="H1384" s="17" t="n">
        <x:v>423016836.03304994</x:v>
      </x:c>
      <x:c r="I1384" s="17" t="n">
        <x:v>582449521.1006154</x:v>
      </x:c>
      <x:c r="J1384" s="2" t="str">
        <x:v>m2</x:v>
      </x:c>
      <x:c r="K1384" s="15" t="n">
        <x:f>IF(AND(ISNUMBER(F1384),ISNUMBER(G1384),F1384&gt;0),G1384/F1384-1,"n.a.")</x:f>
        <x:v>0.3835917522129355</x:v>
      </x:c>
      <x:c r="L1384" s="15" t="n">
        <x:f>IF(AND(N1384,ISNUMBER(H1384),ISNUMBER(I1384),H1384&gt;0),I1384/H1384-1,"n.a.")</x:f>
        <x:v>0.37689442000154605</x:v>
      </x:c>
      <x:c r="M1384" s="20" t="n">
        <x:f>IF(AND(ISNUMBER(K1384),ISNUMBER(L1384)),100*(K1384-L1384),"n.a.")</x:f>
        <x:v>0.6697332211389462</x:v>
      </x:c>
      <x:c r="N1384" s="13" t="b">
        <x:v>1</x:v>
      </x:c>
      <x:c r="O1384" s="13" t="b">
        <x:v>1</x:v>
      </x:c>
      <x:c r="P1384" s="13" t="b">
        <x:v>0</x:v>
      </x:c>
      <x:c r="Q1384" s="2" t="str">
        <x:v>L1_numeric_partition_qualified_not_national_completeness</x:v>
      </x:c>
      <x:c r="R1384" s="2" t="str">
        <x:v>L1_numeric_partition_qualified_not_national_completeness</x:v>
      </x:c>
      <x:c r="S1384" s="2" t="str">
        <x:v>historical_GHSL_BU_estimate</x:v>
      </x:c>
      <x:c r="T1384" s="2" t="str">
        <x:v>projected_CRISP_BU_surface</x:v>
      </x:c>
      <x:c r="U1384" s="2" t="str">
        <x:v>GFA growth versus source physical quantity growth; constant conversion required for equality</x:v>
      </x:c>
      <x:c r="V1384" s="2" t="str">
        <x:v>Future horizontal path is already a v16 driver; WUP historical surface derives from GHSL</x:v>
      </x:c>
      <x:c r="W1384" s="2" t="str">
        <x:v>https://human-settlement.emergency.copernicus.eu/datasets.php</x:v>
      </x:c>
    </x:row>
    <x:row r="1385" ht="23" customHeight="1">
      <x:c r="A1385" s="2" t="str">
        <x:v>BEL</x:v>
      </x:c>
      <x:c r="B1385" s="2" t="str">
        <x:v>Belgium (Kingdom of)</x:v>
      </x:c>
      <x:c r="C1385" s="2" t="str">
        <x:v>WUP_SURFACE</x:v>
      </x:c>
      <x:c r="D1385" s="2" t="n">
        <x:v>2020</x:v>
      </x:c>
      <x:c r="E1385" s="2" t="n">
        <x:v>2030</x:v>
      </x:c>
      <x:c r="F1385" s="17" t="n">
        <x:v>1079109698.0100002</x:v>
      </x:c>
      <x:c r="G1385" s="17" t="n">
        <x:v>1360902516.8832996</x:v>
      </x:c>
      <x:c r="H1385" s="17" t="n">
        <x:v>1515116058.1065893</x:v>
      </x:c>
      <x:c r="I1385" s="17" t="n">
        <x:v>1903018813.9438965</x:v>
      </x:c>
      <x:c r="J1385" s="2" t="str">
        <x:v>m2</x:v>
      </x:c>
      <x:c r="K1385" s="15" t="n">
        <x:f>IF(AND(ISNUMBER(F1385),ISNUMBER(G1385),F1385&gt;0),G1385/F1385-1,"n.a.")</x:f>
        <x:v>0.26113454396059743</x:v>
      </x:c>
      <x:c r="L1385" s="15" t="n">
        <x:f>IF(AND(N1385,ISNUMBER(H1385),ISNUMBER(I1385),H1385&gt;0),I1385/H1385-1,"n.a.")</x:f>
        <x:v>0.25602181018532777</x:v>
      </x:c>
      <x:c r="M1385" s="20" t="n">
        <x:f>IF(AND(ISNUMBER(K1385),ISNUMBER(L1385)),100*(K1385-L1385),"n.a.")</x:f>
        <x:v>0.5112733775269662</x:v>
      </x:c>
      <x:c r="N1385" s="13" t="b">
        <x:v>1</x:v>
      </x:c>
      <x:c r="O1385" s="13" t="b">
        <x:v>1</x:v>
      </x:c>
      <x:c r="P1385" s="13" t="b">
        <x:v>0</x:v>
      </x:c>
      <x:c r="Q1385" s="2" t="str">
        <x:v>L1_numeric_partition_qualified_not_national_completeness</x:v>
      </x:c>
      <x:c r="R1385" s="2" t="str">
        <x:v>L1_numeric_partition_qualified_not_national_completeness</x:v>
      </x:c>
      <x:c r="S1385" s="2" t="str">
        <x:v>historical_GHSL_BU_estimate</x:v>
      </x:c>
      <x:c r="T1385" s="2" t="str">
        <x:v>projected_CRISP_BU_surface</x:v>
      </x:c>
      <x:c r="U1385" s="2" t="str">
        <x:v>GFA growth versus source physical quantity growth; constant conversion required for equality</x:v>
      </x:c>
      <x:c r="V1385" s="2" t="str">
        <x:v>Future horizontal path is already a v16 driver; WUP historical surface derives from GHSL</x:v>
      </x:c>
      <x:c r="W1385" s="2" t="str">
        <x:v>https://human-settlement.emergency.copernicus.eu/datasets.php</x:v>
      </x:c>
    </x:row>
    <x:row r="1386" ht="23" customHeight="1">
      <x:c r="A1386" s="2" t="str">
        <x:v>BEN</x:v>
      </x:c>
      <x:c r="B1386" s="2" t="str">
        <x:v>Benin (Republic of)</x:v>
      </x:c>
      <x:c r="C1386" s="2" t="str">
        <x:v>WUP_SURFACE</x:v>
      </x:c>
      <x:c r="D1386" s="2" t="n">
        <x:v>2020</x:v>
      </x:c>
      <x:c r="E1386" s="2" t="n">
        <x:v>2030</x:v>
      </x:c>
      <x:c r="F1386" s="17" t="n">
        <x:v>302038367.25</x:v>
      </x:c>
      <x:c r="G1386" s="17" t="n">
        <x:v>395402653.4921647</x:v>
      </x:c>
      <x:c r="H1386" s="17" t="n">
        <x:v>735384103.9916569</x:v>
      </x:c>
      <x:c r="I1386" s="17" t="n">
        <x:v>957946229.0380521</x:v>
      </x:c>
      <x:c r="J1386" s="2" t="str">
        <x:v>m2</x:v>
      </x:c>
      <x:c r="K1386" s="15" t="n">
        <x:f>IF(AND(ISNUMBER(F1386),ISNUMBER(G1386),F1386&gt;0),G1386/F1386-1,"n.a.")</x:f>
        <x:v>0.3091139946630892</x:v>
      </x:c>
      <x:c r="L1386" s="15" t="n">
        <x:f>IF(AND(N1386,ISNUMBER(H1386),ISNUMBER(I1386),H1386&gt;0),I1386/H1386-1,"n.a.")</x:f>
        <x:v>0.3026474516355879</x:v>
      </x:c>
      <x:c r="M1386" s="20" t="n">
        <x:f>IF(AND(ISNUMBER(K1386),ISNUMBER(L1386)),100*(K1386-L1386),"n.a.")</x:f>
        <x:v>0.646654302750127</x:v>
      </x:c>
      <x:c r="N1386" s="13" t="b">
        <x:v>1</x:v>
      </x:c>
      <x:c r="O1386" s="13" t="b">
        <x:v>1</x:v>
      </x:c>
      <x:c r="P1386" s="13" t="b">
        <x:v>0</x:v>
      </x:c>
      <x:c r="Q1386" s="2" t="str">
        <x:v>L1_numeric_partition_qualified_not_national_completeness</x:v>
      </x:c>
      <x:c r="R1386" s="2" t="str">
        <x:v>L1_numeric_partition_qualified_not_national_completeness</x:v>
      </x:c>
      <x:c r="S1386" s="2" t="str">
        <x:v>historical_GHSL_BU_estimate</x:v>
      </x:c>
      <x:c r="T1386" s="2" t="str">
        <x:v>projected_CRISP_BU_surface</x:v>
      </x:c>
      <x:c r="U1386" s="2" t="str">
        <x:v>GFA growth versus source physical quantity growth; constant conversion required for equality</x:v>
      </x:c>
      <x:c r="V1386" s="2" t="str">
        <x:v>Future horizontal path is already a v16 driver; WUP historical surface derives from GHSL</x:v>
      </x:c>
      <x:c r="W1386" s="2" t="str">
        <x:v>https://human-settlement.emergency.copernicus.eu/datasets.php</x:v>
      </x:c>
    </x:row>
    <x:row r="1387" ht="23" customHeight="1">
      <x:c r="A1387" s="2" t="str">
        <x:v>BFA</x:v>
      </x:c>
      <x:c r="B1387" s="2" t="str">
        <x:v>Burkina Faso</x:v>
      </x:c>
      <x:c r="C1387" s="2" t="str">
        <x:v>WUP_SURFACE</x:v>
      </x:c>
      <x:c r="D1387" s="2" t="n">
        <x:v>2020</x:v>
      </x:c>
      <x:c r="E1387" s="2" t="n">
        <x:v>2030</x:v>
      </x:c>
      <x:c r="F1387" s="17" t="n">
        <x:v>359180891.3500002</x:v>
      </x:c>
      <x:c r="G1387" s="17" t="n">
        <x:v>466034168.0995761</x:v>
      </x:c>
      <x:c r="H1387" s="17" t="n">
        <x:v>1249029390.284681</x:v>
      </x:c>
      <x:c r="I1387" s="17" t="n">
        <x:v>1614932197.5418696</x:v>
      </x:c>
      <x:c r="J1387" s="2" t="str">
        <x:v>m2</x:v>
      </x:c>
      <x:c r="K1387" s="15" t="n">
        <x:f>IF(AND(ISNUMBER(F1387),ISNUMBER(G1387),F1387&gt;0),G1387/F1387-1,"n.a.")</x:f>
        <x:v>0.2974915406773513</x:v>
      </x:c>
      <x:c r="L1387" s="15" t="n">
        <x:f>IF(AND(N1387,ISNUMBER(H1387),ISNUMBER(I1387),H1387&gt;0),I1387/H1387-1,"n.a.")</x:f>
        <x:v>0.29294971767941447</x:v>
      </x:c>
      <x:c r="M1387" s="20" t="n">
        <x:f>IF(AND(ISNUMBER(K1387),ISNUMBER(L1387)),100*(K1387-L1387),"n.a.")</x:f>
        <x:v>0.45418229979368174</x:v>
      </x:c>
      <x:c r="N1387" s="13" t="b">
        <x:v>1</x:v>
      </x:c>
      <x:c r="O1387" s="13" t="b">
        <x:v>1</x:v>
      </x:c>
      <x:c r="P1387" s="13" t="b">
        <x:v>0</x:v>
      </x:c>
      <x:c r="Q1387" s="2" t="str">
        <x:v>L1_numeric_partition_qualified_not_national_completeness</x:v>
      </x:c>
      <x:c r="R1387" s="2" t="str">
        <x:v>L1_numeric_partition_qualified_not_national_completeness</x:v>
      </x:c>
      <x:c r="S1387" s="2" t="str">
        <x:v>historical_GHSL_BU_estimate</x:v>
      </x:c>
      <x:c r="T1387" s="2" t="str">
        <x:v>projected_CRISP_BU_surface</x:v>
      </x:c>
      <x:c r="U1387" s="2" t="str">
        <x:v>GFA growth versus source physical quantity growth; constant conversion required for equality</x:v>
      </x:c>
      <x:c r="V1387" s="2" t="str">
        <x:v>Future horizontal path is already a v16 driver; WUP historical surface derives from GHSL</x:v>
      </x:c>
      <x:c r="W1387" s="2" t="str">
        <x:v>https://human-settlement.emergency.copernicus.eu/datasets.php</x:v>
      </x:c>
    </x:row>
    <x:row r="1388" ht="23" customHeight="1">
      <x:c r="A1388" s="2" t="str">
        <x:v>BGD</x:v>
      </x:c>
      <x:c r="B1388" s="2" t="str">
        <x:v>Bangladesh (People's Republic of)</x:v>
      </x:c>
      <x:c r="C1388" s="2" t="str">
        <x:v>WUP_SURFACE</x:v>
      </x:c>
      <x:c r="D1388" s="2" t="n">
        <x:v>2020</x:v>
      </x:c>
      <x:c r="E1388" s="2" t="n">
        <x:v>2030</x:v>
      </x:c>
      <x:c r="F1388" s="17" t="n">
        <x:v>2430930564.5499988</x:v>
      </x:c>
      <x:c r="G1388" s="17" t="n">
        <x:v>3453177905.4673347</x:v>
      </x:c>
      <x:c r="H1388" s="17" t="n">
        <x:v>2684733057.8446093</x:v>
      </x:c>
      <x:c r="I1388" s="17" t="n">
        <x:v>3793700973.8827295</x:v>
      </x:c>
      <x:c r="J1388" s="2" t="str">
        <x:v>m2</x:v>
      </x:c>
      <x:c r="K1388" s="15" t="n">
        <x:f>IF(AND(ISNUMBER(F1388),ISNUMBER(G1388),F1388&gt;0),G1388/F1388-1,"n.a.")</x:f>
        <x:v>0.4205168818166425</x:v>
      </x:c>
      <x:c r="L1388" s="15" t="n">
        <x:f>IF(AND(N1388,ISNUMBER(H1388),ISNUMBER(I1388),H1388&gt;0),I1388/H1388-1,"n.a.")</x:f>
        <x:v>0.41306449920515953</x:v>
      </x:c>
      <x:c r="M1388" s="20" t="n">
        <x:f>IF(AND(ISNUMBER(K1388),ISNUMBER(L1388)),100*(K1388-L1388),"n.a.")</x:f>
        <x:v>0.7452382611482955</x:v>
      </x:c>
      <x:c r="N1388" s="13" t="b">
        <x:v>1</x:v>
      </x:c>
      <x:c r="O1388" s="13" t="b">
        <x:v>1</x:v>
      </x:c>
      <x:c r="P1388" s="13" t="b">
        <x:v>0</x:v>
      </x:c>
      <x:c r="Q1388" s="2" t="str">
        <x:v>L1_numeric_partition_qualified_not_national_completeness</x:v>
      </x:c>
      <x:c r="R1388" s="2" t="str">
        <x:v>L1_numeric_partition_qualified_not_national_completeness</x:v>
      </x:c>
      <x:c r="S1388" s="2" t="str">
        <x:v>historical_GHSL_BU_estimate</x:v>
      </x:c>
      <x:c r="T1388" s="2" t="str">
        <x:v>projected_CRISP_BU_surface</x:v>
      </x:c>
      <x:c r="U1388" s="2" t="str">
        <x:v>GFA growth versus source physical quantity growth; constant conversion required for equality</x:v>
      </x:c>
      <x:c r="V1388" s="2" t="str">
        <x:v>Future horizontal path is already a v16 driver; WUP historical surface derives from GHSL</x:v>
      </x:c>
      <x:c r="W1388" s="2" t="str">
        <x:v>https://human-settlement.emergency.copernicus.eu/datasets.php</x:v>
      </x:c>
    </x:row>
    <x:row r="1389" ht="23" customHeight="1">
      <x:c r="A1389" s="2" t="str">
        <x:v>BGR</x:v>
      </x:c>
      <x:c r="B1389" s="2" t="str">
        <x:v>Bulgaria (Republic of)</x:v>
      </x:c>
      <x:c r="C1389" s="2" t="str">
        <x:v>WUP_SURFACE</x:v>
      </x:c>
      <x:c r="D1389" s="2" t="n">
        <x:v>2020</x:v>
      </x:c>
      <x:c r="E1389" s="2" t="n">
        <x:v>2030</x:v>
      </x:c>
      <x:c r="F1389" s="17" t="n">
        <x:v>543020803.5700008</x:v>
      </x:c>
      <x:c r="G1389" s="17" t="n">
        <x:v>610372045.8568262</x:v>
      </x:c>
      <x:c r="H1389" s="17" t="n">
        <x:v>864626173.1732111</x:v>
      </x:c>
      <x:c r="I1389" s="17" t="n">
        <x:v>971366212.5509962</x:v>
      </x:c>
      <x:c r="J1389" s="2" t="str">
        <x:v>m2</x:v>
      </x:c>
      <x:c r="K1389" s="15" t="n">
        <x:f>IF(AND(ISNUMBER(F1389),ISNUMBER(G1389),F1389&gt;0),G1389/F1389-1,"n.a.")</x:f>
        <x:v>0.12403068509352821</x:v>
      </x:c>
      <x:c r="L1389" s="15" t="n">
        <x:f>IF(AND(N1389,ISNUMBER(H1389),ISNUMBER(I1389),H1389&gt;0),I1389/H1389-1,"n.a.")</x:f>
        <x:v>0.1234522417775592</x:v>
      </x:c>
      <x:c r="M1389" s="20" t="n">
        <x:f>IF(AND(ISNUMBER(K1389),ISNUMBER(L1389)),100*(K1389-L1389),"n.a.")</x:f>
        <x:v>0.05784433159690128</x:v>
      </x:c>
      <x:c r="N1389" s="13" t="b">
        <x:v>1</x:v>
      </x:c>
      <x:c r="O1389" s="13" t="b">
        <x:v>1</x:v>
      </x:c>
      <x:c r="P1389" s="13" t="b">
        <x:v>0</x:v>
      </x:c>
      <x:c r="Q1389" s="2" t="str">
        <x:v>L1_numeric_partition_qualified_not_national_completeness</x:v>
      </x:c>
      <x:c r="R1389" s="2" t="str">
        <x:v>L1_numeric_partition_qualified_not_national_completeness</x:v>
      </x:c>
      <x:c r="S1389" s="2" t="str">
        <x:v>historical_GHSL_BU_estimate</x:v>
      </x:c>
      <x:c r="T1389" s="2" t="str">
        <x:v>projected_CRISP_BU_surface</x:v>
      </x:c>
      <x:c r="U1389" s="2" t="str">
        <x:v>GFA growth versus source physical quantity growth; constant conversion required for equality</x:v>
      </x:c>
      <x:c r="V1389" s="2" t="str">
        <x:v>Future horizontal path is already a v16 driver; WUP historical surface derives from GHSL</x:v>
      </x:c>
      <x:c r="W1389" s="2" t="str">
        <x:v>https://human-settlement.emergency.copernicus.eu/datasets.php</x:v>
      </x:c>
    </x:row>
    <x:row r="1390" ht="23" customHeight="1">
      <x:c r="A1390" s="2" t="str">
        <x:v>BHR</x:v>
      </x:c>
      <x:c r="B1390" s="2" t="str">
        <x:v>Bahrain (Kingdom of)</x:v>
      </x:c>
      <x:c r="C1390" s="2" t="str">
        <x:v>WUP_SURFACE</x:v>
      </x:c>
      <x:c r="D1390" s="2" t="n">
        <x:v>2020</x:v>
      </x:c>
      <x:c r="E1390" s="2" t="n">
        <x:v>2030</x:v>
      </x:c>
      <x:c r="F1390" s="17" t="n">
        <x:v>63702858.11000008</x:v>
      </x:c>
      <x:c r="G1390" s="17" t="n">
        <x:v>82884730.92770205</x:v>
      </x:c>
      <x:c r="H1390" s="17" t="n">
        <x:v>82288563.04807505</x:v>
      </x:c>
      <x:c r="I1390" s="17" t="n">
        <x:v>106651155.50518383</x:v>
      </x:c>
      <x:c r="J1390" s="2" t="str">
        <x:v>m2</x:v>
      </x:c>
      <x:c r="K1390" s="15" t="n">
        <x:f>IF(AND(ISNUMBER(F1390),ISNUMBER(G1390),F1390&gt;0),G1390/F1390-1,"n.a.")</x:f>
        <x:v>0.30111479118533935</x:v>
      </x:c>
      <x:c r="L1390" s="15" t="n">
        <x:f>IF(AND(N1390,ISNUMBER(H1390),ISNUMBER(I1390),H1390&gt;0),I1390/H1390-1,"n.a.")</x:f>
        <x:v>0.2960629224121405</x:v>
      </x:c>
      <x:c r="M1390" s="20" t="n">
        <x:f>IF(AND(ISNUMBER(K1390),ISNUMBER(L1390)),100*(K1390-L1390),"n.a.")</x:f>
        <x:v>0.5051868773198853</x:v>
      </x:c>
      <x:c r="N1390" s="13" t="b">
        <x:v>1</x:v>
      </x:c>
      <x:c r="O1390" s="13" t="b">
        <x:v>1</x:v>
      </x:c>
      <x:c r="P1390" s="13" t="b">
        <x:v>0</x:v>
      </x:c>
      <x:c r="Q1390" s="2" t="str">
        <x:v>L1_numeric_partition_qualified_not_national_completeness</x:v>
      </x:c>
      <x:c r="R1390" s="2" t="str">
        <x:v>L1_numeric_partition_qualified_not_national_completeness</x:v>
      </x:c>
      <x:c r="S1390" s="2" t="str">
        <x:v>historical_GHSL_BU_estimate</x:v>
      </x:c>
      <x:c r="T1390" s="2" t="str">
        <x:v>projected_CRISP_BU_surface</x:v>
      </x:c>
      <x:c r="U1390" s="2" t="str">
        <x:v>GFA growth versus source physical quantity growth; constant conversion required for equality</x:v>
      </x:c>
      <x:c r="V1390" s="2" t="str">
        <x:v>Future horizontal path is already a v16 driver; WUP historical surface derives from GHSL</x:v>
      </x:c>
      <x:c r="W1390" s="2" t="str">
        <x:v>https://human-settlement.emergency.copernicus.eu/datasets.php</x:v>
      </x:c>
    </x:row>
    <x:row r="1391" ht="23" customHeight="1">
      <x:c r="A1391" s="2" t="str">
        <x:v>BHS</x:v>
      </x:c>
      <x:c r="B1391" s="2" t="str">
        <x:v>Bahamas (Commonwealth of the)</x:v>
      </x:c>
      <x:c r="C1391" s="2" t="str">
        <x:v>WUP_SURFACE</x:v>
      </x:c>
      <x:c r="D1391" s="2" t="n">
        <x:v>2020</x:v>
      </x:c>
      <x:c r="E1391" s="2" t="n">
        <x:v>2030</x:v>
      </x:c>
      <x:c r="F1391" s="17" t="n">
        <x:v>29184660.44999999</x:v>
      </x:c>
      <x:c r="G1391" s="17" t="n">
        <x:v>34273622.937541656</x:v>
      </x:c>
      <x:c r="H1391" s="17" t="n">
        <x:v>45793790.007442795</x:v>
      </x:c>
      <x:c r="I1391" s="17" t="n">
        <x:v>53646851.778348036</x:v>
      </x:c>
      <x:c r="J1391" s="2" t="str">
        <x:v>m2</x:v>
      </x:c>
      <x:c r="K1391" s="15" t="n">
        <x:f>IF(AND(ISNUMBER(F1391),ISNUMBER(G1391),F1391&gt;0),G1391/F1391-1,"n.a.")</x:f>
        <x:v>0.17437113912153346</x:v>
      </x:c>
      <x:c r="L1391" s="15" t="n">
        <x:f>IF(AND(N1391,ISNUMBER(H1391),ISNUMBER(I1391),H1391&gt;0),I1391/H1391-1,"n.a.")</x:f>
        <x:v>0.1714874826833266</x:v>
      </x:c>
      <x:c r="M1391" s="20" t="n">
        <x:f>IF(AND(ISNUMBER(K1391),ISNUMBER(L1391)),100*(K1391-L1391),"n.a.")</x:f>
        <x:v>0.2883656438206872</x:v>
      </x:c>
      <x:c r="N1391" s="13" t="b">
        <x:v>1</x:v>
      </x:c>
      <x:c r="O1391" s="13" t="b">
        <x:v>1</x:v>
      </x:c>
      <x:c r="P1391" s="13" t="b">
        <x:v>0</x:v>
      </x:c>
      <x:c r="Q1391" s="2" t="str">
        <x:v>L1_numeric_partition_qualified_not_national_completeness</x:v>
      </x:c>
      <x:c r="R1391" s="2" t="str">
        <x:v>L1_numeric_partition_qualified_not_national_completeness</x:v>
      </x:c>
      <x:c r="S1391" s="2" t="str">
        <x:v>historical_GHSL_BU_estimate</x:v>
      </x:c>
      <x:c r="T1391" s="2" t="str">
        <x:v>projected_CRISP_BU_surface</x:v>
      </x:c>
      <x:c r="U1391" s="2" t="str">
        <x:v>GFA growth versus source physical quantity growth; constant conversion required for equality</x:v>
      </x:c>
      <x:c r="V1391" s="2" t="str">
        <x:v>Future horizontal path is already a v16 driver; WUP historical surface derives from GHSL</x:v>
      </x:c>
      <x:c r="W1391" s="2" t="str">
        <x:v>https://human-settlement.emergency.copernicus.eu/datasets.php</x:v>
      </x:c>
    </x:row>
    <x:row r="1392" ht="23" customHeight="1">
      <x:c r="A1392" s="2" t="str">
        <x:v>BIH</x:v>
      </x:c>
      <x:c r="B1392" s="2" t="str">
        <x:v>Bosnia and Herzegovina</x:v>
      </x:c>
      <x:c r="C1392" s="2" t="str">
        <x:v>WUP_SURFACE</x:v>
      </x:c>
      <x:c r="D1392" s="2" t="n">
        <x:v>2020</x:v>
      </x:c>
      <x:c r="E1392" s="2" t="n">
        <x:v>2030</x:v>
      </x:c>
      <x:c r="F1392" s="17" t="n">
        <x:v>247114206.72000027</x:v>
      </x:c>
      <x:c r="G1392" s="17" t="n">
        <x:v>260905966.13980263</x:v>
      </x:c>
      <x:c r="H1392" s="17" t="n">
        <x:v>359281659.1342707</x:v>
      </x:c>
      <x:c r="I1392" s="17" t="n">
        <x:v>379589566.6118645</x:v>
      </x:c>
      <x:c r="J1392" s="2" t="str">
        <x:v>m2</x:v>
      </x:c>
      <x:c r="K1392" s="15" t="n">
        <x:f>IF(AND(ISNUMBER(F1392),ISNUMBER(G1392),F1392&gt;0),G1392/F1392-1,"n.a.")</x:f>
        <x:v>0.05581127691063714</x:v>
      </x:c>
      <x:c r="L1392" s="15" t="n">
        <x:f>IF(AND(N1392,ISNUMBER(H1392),ISNUMBER(I1392),H1392&gt;0),I1392/H1392-1,"n.a.")</x:f>
        <x:v>0.05652364088533757</x:v>
      </x:c>
      <x:c r="M1392" s="20" t="n">
        <x:f>IF(AND(ISNUMBER(K1392),ISNUMBER(L1392)),100*(K1392-L1392),"n.a.")</x:f>
        <x:v>-0.07123639747004251</x:v>
      </x:c>
      <x:c r="N1392" s="13" t="b">
        <x:v>1</x:v>
      </x:c>
      <x:c r="O1392" s="13" t="b">
        <x:v>1</x:v>
      </x:c>
      <x:c r="P1392" s="13" t="b">
        <x:v>0</x:v>
      </x:c>
      <x:c r="Q1392" s="2" t="str">
        <x:v>L1_numeric_partition_qualified_not_national_completeness</x:v>
      </x:c>
      <x:c r="R1392" s="2" t="str">
        <x:v>L1_numeric_partition_qualified_not_national_completeness</x:v>
      </x:c>
      <x:c r="S1392" s="2" t="str">
        <x:v>historical_GHSL_BU_estimate</x:v>
      </x:c>
      <x:c r="T1392" s="2" t="str">
        <x:v>projected_CRISP_BU_surface</x:v>
      </x:c>
      <x:c r="U1392" s="2" t="str">
        <x:v>GFA growth versus source physical quantity growth; constant conversion required for equality</x:v>
      </x:c>
      <x:c r="V1392" s="2" t="str">
        <x:v>Future horizontal path is already a v16 driver; WUP historical surface derives from GHSL</x:v>
      </x:c>
      <x:c r="W1392" s="2" t="str">
        <x:v>https://human-settlement.emergency.copernicus.eu/datasets.php</x:v>
      </x:c>
    </x:row>
    <x:row r="1393" ht="23" customHeight="1">
      <x:c r="A1393" s="2" t="str">
        <x:v>BLR</x:v>
      </x:c>
      <x:c r="B1393" s="2" t="str">
        <x:v>Belarus (Republic of)</x:v>
      </x:c>
      <x:c r="C1393" s="2" t="str">
        <x:v>WUP_SURFACE</x:v>
      </x:c>
      <x:c r="D1393" s="2" t="n">
        <x:v>2020</x:v>
      </x:c>
      <x:c r="E1393" s="2" t="n">
        <x:v>2030</x:v>
      </x:c>
      <x:c r="F1393" s="17" t="n">
        <x:v>672205246.4400003</x:v>
      </x:c>
      <x:c r="G1393" s="17" t="n">
        <x:v>761392579.7041878</x:v>
      </x:c>
      <x:c r="H1393" s="17" t="n">
        <x:v>1244644795.4009273</x:v>
      </x:c>
      <x:c r="I1393" s="17" t="n">
        <x:v>1407571964.9366956</x:v>
      </x:c>
      <x:c r="J1393" s="2" t="str">
        <x:v>m2</x:v>
      </x:c>
      <x:c r="K1393" s="15" t="n">
        <x:f>IF(AND(ISNUMBER(F1393),ISNUMBER(G1393),F1393&gt;0),G1393/F1393-1,"n.a.")</x:f>
        <x:v>0.13267872236422384</x:v>
      </x:c>
      <x:c r="L1393" s="15" t="n">
        <x:f>IF(AND(N1393,ISNUMBER(H1393),ISNUMBER(I1393),H1393&gt;0),I1393/H1393-1,"n.a.")</x:f>
        <x:v>0.13090254355121922</x:v>
      </x:c>
      <x:c r="M1393" s="20" t="n">
        <x:f>IF(AND(ISNUMBER(K1393),ISNUMBER(L1393)),100*(K1393-L1393),"n.a.")</x:f>
        <x:v>0.17761788130046252</x:v>
      </x:c>
      <x:c r="N1393" s="13" t="b">
        <x:v>1</x:v>
      </x:c>
      <x:c r="O1393" s="13" t="b">
        <x:v>1</x:v>
      </x:c>
      <x:c r="P1393" s="13" t="b">
        <x:v>0</x:v>
      </x:c>
      <x:c r="Q1393" s="2" t="str">
        <x:v>L1_numeric_partition_qualified_not_national_completeness</x:v>
      </x:c>
      <x:c r="R1393" s="2" t="str">
        <x:v>L1_numeric_partition_qualified_not_national_completeness</x:v>
      </x:c>
      <x:c r="S1393" s="2" t="str">
        <x:v>historical_GHSL_BU_estimate</x:v>
      </x:c>
      <x:c r="T1393" s="2" t="str">
        <x:v>projected_CRISP_BU_surface</x:v>
      </x:c>
      <x:c r="U1393" s="2" t="str">
        <x:v>GFA growth versus source physical quantity growth; constant conversion required for equality</x:v>
      </x:c>
      <x:c r="V1393" s="2" t="str">
        <x:v>Future horizontal path is already a v16 driver; WUP historical surface derives from GHSL</x:v>
      </x:c>
      <x:c r="W1393" s="2" t="str">
        <x:v>https://human-settlement.emergency.copernicus.eu/datasets.php</x:v>
      </x:c>
    </x:row>
    <x:row r="1394" ht="23" customHeight="1">
      <x:c r="A1394" s="2" t="str">
        <x:v>BLZ</x:v>
      </x:c>
      <x:c r="B1394" s="2" t="str">
        <x:v>Belize</x:v>
      </x:c>
      <x:c r="C1394" s="2" t="str">
        <x:v>WUP_SURFACE</x:v>
      </x:c>
      <x:c r="D1394" s="2" t="n">
        <x:v>2020</x:v>
      </x:c>
      <x:c r="E1394" s="2" t="n">
        <x:v>2030</x:v>
      </x:c>
      <x:c r="F1394" s="17" t="n">
        <x:v>21867714.339999966</x:v>
      </x:c>
      <x:c r="G1394" s="17" t="n">
        <x:v>25951143.46881574</x:v>
      </x:c>
      <x:c r="H1394" s="17" t="n">
        <x:v>51048240.931582086</x:v>
      </x:c>
      <x:c r="I1394" s="17" t="n">
        <x:v>60295706.13915871</x:v>
      </x:c>
      <x:c r="J1394" s="2" t="str">
        <x:v>m2</x:v>
      </x:c>
      <x:c r="K1394" s="15" t="n">
        <x:f>IF(AND(ISNUMBER(F1394),ISNUMBER(G1394),F1394&gt;0),G1394/F1394-1,"n.a.")</x:f>
        <x:v>0.18673323902656125</x:v>
      </x:c>
      <x:c r="L1394" s="15" t="n">
        <x:f>IF(AND(N1394,ISNUMBER(H1394),ISNUMBER(I1394),H1394&gt;0),I1394/H1394-1,"n.a.")</x:f>
        <x:v>0.18115149589523827</x:v>
      </x:c>
      <x:c r="M1394" s="20" t="n">
        <x:f>IF(AND(ISNUMBER(K1394),ISNUMBER(L1394)),100*(K1394-L1394),"n.a.")</x:f>
        <x:v>0.558174313132298</x:v>
      </x:c>
      <x:c r="N1394" s="13" t="b">
        <x:v>1</x:v>
      </x:c>
      <x:c r="O1394" s="13" t="b">
        <x:v>1</x:v>
      </x:c>
      <x:c r="P1394" s="13" t="b">
        <x:v>0</x:v>
      </x:c>
      <x:c r="Q1394" s="2" t="str">
        <x:v>L1_numeric_partition_qualified_not_national_completeness</x:v>
      </x:c>
      <x:c r="R1394" s="2" t="str">
        <x:v>L1_numeric_partition_qualified_not_national_completeness</x:v>
      </x:c>
      <x:c r="S1394" s="2" t="str">
        <x:v>historical_GHSL_BU_estimate</x:v>
      </x:c>
      <x:c r="T1394" s="2" t="str">
        <x:v>projected_CRISP_BU_surface</x:v>
      </x:c>
      <x:c r="U1394" s="2" t="str">
        <x:v>GFA growth versus source physical quantity growth; constant conversion required for equality</x:v>
      </x:c>
      <x:c r="V1394" s="2" t="str">
        <x:v>Future horizontal path is already a v16 driver; WUP historical surface derives from GHSL</x:v>
      </x:c>
      <x:c r="W1394" s="2" t="str">
        <x:v>https://human-settlement.emergency.copernicus.eu/datasets.php</x:v>
      </x:c>
    </x:row>
    <x:row r="1395" ht="23" customHeight="1">
      <x:c r="A1395" s="2" t="str">
        <x:v>BOL</x:v>
      </x:c>
      <x:c r="B1395" s="2" t="str">
        <x:v>Bolivia (Plurinational State of)</x:v>
      </x:c>
      <x:c r="C1395" s="2" t="str">
        <x:v>WUP_SURFACE</x:v>
      </x:c>
      <x:c r="D1395" s="2" t="n">
        <x:v>2020</x:v>
      </x:c>
      <x:c r="E1395" s="2" t="n">
        <x:v>2030</x:v>
      </x:c>
      <x:c r="F1395" s="17" t="n">
        <x:v>496419008.9399992</x:v>
      </x:c>
      <x:c r="G1395" s="17" t="n">
        <x:v>636782253.032454</x:v>
      </x:c>
      <x:c r="H1395" s="17" t="n">
        <x:v>712494665.0899172</x:v>
      </x:c>
      <x:c r="I1395" s="17" t="n">
        <x:v>909585520.0033473</x:v>
      </x:c>
      <x:c r="J1395" s="2" t="str">
        <x:v>m2</x:v>
      </x:c>
      <x:c r="K1395" s="15" t="n">
        <x:f>IF(AND(ISNUMBER(F1395),ISNUMBER(G1395),F1395&gt;0),G1395/F1395-1,"n.a.")</x:f>
        <x:v>0.2827515497284676</x:v>
      </x:c>
      <x:c r="L1395" s="15" t="n">
        <x:f>IF(AND(N1395,ISNUMBER(H1395),ISNUMBER(I1395),H1395&gt;0),I1395/H1395-1,"n.a.")</x:f>
        <x:v>0.27662081496225266</x:v>
      </x:c>
      <x:c r="M1395" s="20" t="n">
        <x:f>IF(AND(ISNUMBER(K1395),ISNUMBER(L1395)),100*(K1395-L1395),"n.a.")</x:f>
        <x:v>0.6130734766214951</x:v>
      </x:c>
      <x:c r="N1395" s="13" t="b">
        <x:v>1</x:v>
      </x:c>
      <x:c r="O1395" s="13" t="b">
        <x:v>1</x:v>
      </x:c>
      <x:c r="P1395" s="13" t="b">
        <x:v>0</x:v>
      </x:c>
      <x:c r="Q1395" s="2" t="str">
        <x:v>L1_numeric_partition_qualified_not_national_completeness</x:v>
      </x:c>
      <x:c r="R1395" s="2" t="str">
        <x:v>L1_numeric_partition_qualified_not_national_completeness</x:v>
      </x:c>
      <x:c r="S1395" s="2" t="str">
        <x:v>historical_GHSL_BU_estimate</x:v>
      </x:c>
      <x:c r="T1395" s="2" t="str">
        <x:v>projected_CRISP_BU_surface</x:v>
      </x:c>
      <x:c r="U1395" s="2" t="str">
        <x:v>GFA growth versus source physical quantity growth; constant conversion required for equality</x:v>
      </x:c>
      <x:c r="V1395" s="2" t="str">
        <x:v>Future horizontal path is already a v16 driver; WUP historical surface derives from GHSL</x:v>
      </x:c>
      <x:c r="W1395" s="2" t="str">
        <x:v>https://human-settlement.emergency.copernicus.eu/datasets.php</x:v>
      </x:c>
    </x:row>
    <x:row r="1396" ht="23" customHeight="1">
      <x:c r="A1396" s="2" t="str">
        <x:v>BRA</x:v>
      </x:c>
      <x:c r="B1396" s="2" t="str">
        <x:v>Brazil (Federative Republic of)</x:v>
      </x:c>
      <x:c r="C1396" s="2" t="str">
        <x:v>WUP_SURFACE</x:v>
      </x:c>
      <x:c r="D1396" s="2" t="n">
        <x:v>2020</x:v>
      </x:c>
      <x:c r="E1396" s="2" t="n">
        <x:v>2030</x:v>
      </x:c>
      <x:c r="F1396" s="17" t="n">
        <x:v>12112839681.859997</x:v>
      </x:c>
      <x:c r="G1396" s="17" t="n">
        <x:v>14292110685.429745</x:v>
      </x:c>
      <x:c r="H1396" s="17" t="n">
        <x:v>15838096315.129276</x:v>
      </x:c>
      <x:c r="I1396" s="17" t="n">
        <x:v>18612568920.16759</x:v>
      </x:c>
      <x:c r="J1396" s="2" t="str">
        <x:v>m2</x:v>
      </x:c>
      <x:c r="K1396" s="15" t="n">
        <x:f>IF(AND(ISNUMBER(F1396),ISNUMBER(G1396),F1396&gt;0),G1396/F1396-1,"n.a.")</x:f>
        <x:v>0.17991412920567185</x:v>
      </x:c>
      <x:c r="L1396" s="15" t="n">
        <x:f>IF(AND(N1396,ISNUMBER(H1396),ISNUMBER(I1396),H1396&gt;0),I1396/H1396-1,"n.a.")</x:f>
        <x:v>0.17517715196541706</x:v>
      </x:c>
      <x:c r="M1396" s="20" t="n">
        <x:f>IF(AND(ISNUMBER(K1396),ISNUMBER(L1396)),100*(K1396-L1396),"n.a.")</x:f>
        <x:v>0.47369772402547916</x:v>
      </x:c>
      <x:c r="N1396" s="13" t="b">
        <x:v>1</x:v>
      </x:c>
      <x:c r="O1396" s="13" t="b">
        <x:v>1</x:v>
      </x:c>
      <x:c r="P1396" s="13" t="b">
        <x:v>0</x:v>
      </x:c>
      <x:c r="Q1396" s="2" t="str">
        <x:v>L1_numeric_partition_qualified_not_national_completeness</x:v>
      </x:c>
      <x:c r="R1396" s="2" t="str">
        <x:v>L1_numeric_partition_qualified_not_national_completeness</x:v>
      </x:c>
      <x:c r="S1396" s="2" t="str">
        <x:v>historical_GHSL_BU_estimate</x:v>
      </x:c>
      <x:c r="T1396" s="2" t="str">
        <x:v>projected_CRISP_BU_surface</x:v>
      </x:c>
      <x:c r="U1396" s="2" t="str">
        <x:v>GFA growth versus source physical quantity growth; constant conversion required for equality</x:v>
      </x:c>
      <x:c r="V1396" s="2" t="str">
        <x:v>Future horizontal path is already a v16 driver; WUP historical surface derives from GHSL</x:v>
      </x:c>
      <x:c r="W1396" s="2" t="str">
        <x:v>https://human-settlement.emergency.copernicus.eu/datasets.php</x:v>
      </x:c>
    </x:row>
    <x:row r="1397" ht="23" customHeight="1">
      <x:c r="A1397" s="2" t="str">
        <x:v>BRB</x:v>
      </x:c>
      <x:c r="B1397" s="2" t="str">
        <x:v>Barbados</x:v>
      </x:c>
      <x:c r="C1397" s="2" t="str">
        <x:v>WUP_SURFACE</x:v>
      </x:c>
      <x:c r="D1397" s="2" t="n">
        <x:v>2020</x:v>
      </x:c>
      <x:c r="E1397" s="2" t="n">
        <x:v>2030</x:v>
      </x:c>
      <x:c r="F1397" s="17" t="n">
        <x:v>23684585.840000004</x:v>
      </x:c>
      <x:c r="G1397" s="17" t="n">
        <x:v>25274132.068974964</x:v>
      </x:c>
      <x:c r="H1397" s="17" t="n">
        <x:v>40156877.050634645</x:v>
      </x:c>
      <x:c r="I1397" s="17" t="n">
        <x:v>42781350.60411296</x:v>
      </x:c>
      <x:c r="J1397" s="2" t="str">
        <x:v>m2</x:v>
      </x:c>
      <x:c r="K1397" s="15" t="n">
        <x:f>IF(AND(ISNUMBER(F1397),ISNUMBER(G1397),F1397&gt;0),G1397/F1397-1,"n.a.")</x:f>
        <x:v>0.06711311059914915</x:v>
      </x:c>
      <x:c r="L1397" s="15" t="n">
        <x:f>IF(AND(N1397,ISNUMBER(H1397),ISNUMBER(I1397),H1397&gt;0),I1397/H1397-1,"n.a.")</x:f>
        <x:v>0.06535551930915995</x:v>
      </x:c>
      <x:c r="M1397" s="20" t="n">
        <x:f>IF(AND(ISNUMBER(K1397),ISNUMBER(L1397)),100*(K1397-L1397),"n.a.")</x:f>
        <x:v>0.1757591289989202</x:v>
      </x:c>
      <x:c r="N1397" s="13" t="b">
        <x:v>1</x:v>
      </x:c>
      <x:c r="O1397" s="13" t="b">
        <x:v>1</x:v>
      </x:c>
      <x:c r="P1397" s="13" t="b">
        <x:v>0</x:v>
      </x:c>
      <x:c r="Q1397" s="2" t="str">
        <x:v>L1_numeric_partition_qualified_not_national_completeness</x:v>
      </x:c>
      <x:c r="R1397" s="2" t="str">
        <x:v>L1_numeric_partition_qualified_not_national_completeness</x:v>
      </x:c>
      <x:c r="S1397" s="2" t="str">
        <x:v>historical_GHSL_BU_estimate</x:v>
      </x:c>
      <x:c r="T1397" s="2" t="str">
        <x:v>projected_CRISP_BU_surface</x:v>
      </x:c>
      <x:c r="U1397" s="2" t="str">
        <x:v>GFA growth versus source physical quantity growth; constant conversion required for equality</x:v>
      </x:c>
      <x:c r="V1397" s="2" t="str">
        <x:v>Future horizontal path is already a v16 driver; WUP historical surface derives from GHSL</x:v>
      </x:c>
      <x:c r="W1397" s="2" t="str">
        <x:v>https://human-settlement.emergency.copernicus.eu/datasets.php</x:v>
      </x:c>
    </x:row>
    <x:row r="1398" ht="23" customHeight="1">
      <x:c r="A1398" s="2" t="str">
        <x:v>BRN</x:v>
      </x:c>
      <x:c r="B1398" s="2" t="str">
        <x:v>Brunei Darussalam</x:v>
      </x:c>
      <x:c r="C1398" s="2" t="str">
        <x:v>WUP_SURFACE</x:v>
      </x:c>
      <x:c r="D1398" s="2" t="n">
        <x:v>2020</x:v>
      </x:c>
      <x:c r="E1398" s="2" t="n">
        <x:v>2030</x:v>
      </x:c>
      <x:c r="F1398" s="17" t="n">
        <x:v>37849769.86000001</x:v>
      </x:c>
      <x:c r="G1398" s="17" t="n">
        <x:v>45688172.79126603</x:v>
      </x:c>
      <x:c r="H1398" s="17" t="n">
        <x:v>53555230.01312929</x:v>
      </x:c>
      <x:c r="I1398" s="17" t="n">
        <x:v>64273965.59061231</x:v>
      </x:c>
      <x:c r="J1398" s="2" t="str">
        <x:v>m2</x:v>
      </x:c>
      <x:c r="K1398" s="15" t="n">
        <x:f>IF(AND(ISNUMBER(F1398),ISNUMBER(G1398),F1398&gt;0),G1398/F1398-1,"n.a.")</x:f>
        <x:v>0.2070924859056995</x:v>
      </x:c>
      <x:c r="L1398" s="15" t="n">
        <x:f>IF(AND(N1398,ISNUMBER(H1398),ISNUMBER(I1398),H1398&gt;0),I1398/H1398-1,"n.a.")</x:f>
        <x:v>0.200143582146044</x:v>
      </x:c>
      <x:c r="M1398" s="20" t="n">
        <x:f>IF(AND(ISNUMBER(K1398),ISNUMBER(L1398)),100*(K1398-L1398),"n.a.")</x:f>
        <x:v>0.6948903759655511</x:v>
      </x:c>
      <x:c r="N1398" s="13" t="b">
        <x:v>1</x:v>
      </x:c>
      <x:c r="O1398" s="13" t="b">
        <x:v>1</x:v>
      </x:c>
      <x:c r="P1398" s="13" t="b">
        <x:v>0</x:v>
      </x:c>
      <x:c r="Q1398" s="2" t="str">
        <x:v>L1_numeric_partition_qualified_not_national_completeness</x:v>
      </x:c>
      <x:c r="R1398" s="2" t="str">
        <x:v>L1_numeric_partition_qualified_not_national_completeness</x:v>
      </x:c>
      <x:c r="S1398" s="2" t="str">
        <x:v>historical_GHSL_BU_estimate</x:v>
      </x:c>
      <x:c r="T1398" s="2" t="str">
        <x:v>projected_CRISP_BU_surface</x:v>
      </x:c>
      <x:c r="U1398" s="2" t="str">
        <x:v>GFA growth versus source physical quantity growth; constant conversion required for equality</x:v>
      </x:c>
      <x:c r="V1398" s="2" t="str">
        <x:v>Future horizontal path is already a v16 driver; WUP historical surface derives from GHSL</x:v>
      </x:c>
      <x:c r="W1398" s="2" t="str">
        <x:v>https://human-settlement.emergency.copernicus.eu/datasets.php</x:v>
      </x:c>
    </x:row>
    <x:row r="1399" ht="23" customHeight="1">
      <x:c r="A1399" s="2" t="str">
        <x:v>BTN</x:v>
      </x:c>
      <x:c r="B1399" s="2" t="str">
        <x:v>Bhutan (Kingdom of)</x:v>
      </x:c>
      <x:c r="C1399" s="2" t="str">
        <x:v>WUP_SURFACE</x:v>
      </x:c>
      <x:c r="D1399" s="2" t="n">
        <x:v>2020</x:v>
      </x:c>
      <x:c r="E1399" s="2" t="n">
        <x:v>2030</x:v>
      </x:c>
      <x:c r="F1399" s="17" t="n">
        <x:v>27177544.510000043</x:v>
      </x:c>
      <x:c r="G1399" s="17" t="n">
        <x:v>35328915.95213313</x:v>
      </x:c>
      <x:c r="H1399" s="17" t="n">
        <x:v>31148447.98729871</x:v>
      </x:c>
      <x:c r="I1399" s="17" t="n">
        <x:v>40289231.61444925</x:v>
      </x:c>
      <x:c r="J1399" s="2" t="str">
        <x:v>m2</x:v>
      </x:c>
      <x:c r="K1399" s="15" t="n">
        <x:f>IF(AND(ISNUMBER(F1399),ISNUMBER(G1399),F1399&gt;0),G1399/F1399-1,"n.a.")</x:f>
        <x:v>0.2999303869830392</x:v>
      </x:c>
      <x:c r="L1399" s="15" t="n">
        <x:f>IF(AND(N1399,ISNUMBER(H1399),ISNUMBER(I1399),H1399&gt;0),I1399/H1399-1,"n.a.")</x:f>
        <x:v>0.29345871842082927</x:v>
      </x:c>
      <x:c r="M1399" s="20" t="n">
        <x:f>IF(AND(ISNUMBER(K1399),ISNUMBER(L1399)),100*(K1399-L1399),"n.a.")</x:f>
        <x:v>0.6471668562209931</x:v>
      </x:c>
      <x:c r="N1399" s="13" t="b">
        <x:v>1</x:v>
      </x:c>
      <x:c r="O1399" s="13" t="b">
        <x:v>1</x:v>
      </x:c>
      <x:c r="P1399" s="13" t="b">
        <x:v>0</x:v>
      </x:c>
      <x:c r="Q1399" s="2" t="str">
        <x:v>L1_numeric_partition_qualified_not_national_completeness</x:v>
      </x:c>
      <x:c r="R1399" s="2" t="str">
        <x:v>L1_numeric_partition_qualified_not_national_completeness</x:v>
      </x:c>
      <x:c r="S1399" s="2" t="str">
        <x:v>historical_GHSL_BU_estimate</x:v>
      </x:c>
      <x:c r="T1399" s="2" t="str">
        <x:v>projected_CRISP_BU_surface</x:v>
      </x:c>
      <x:c r="U1399" s="2" t="str">
        <x:v>GFA growth versus source physical quantity growth; constant conversion required for equality</x:v>
      </x:c>
      <x:c r="V1399" s="2" t="str">
        <x:v>Future horizontal path is already a v16 driver; WUP historical surface derives from GHSL</x:v>
      </x:c>
      <x:c r="W1399" s="2" t="str">
        <x:v>https://human-settlement.emergency.copernicus.eu/datasets.php</x:v>
      </x:c>
    </x:row>
    <x:row r="1400" ht="23" customHeight="1">
      <x:c r="A1400" s="2" t="str">
        <x:v>BWA</x:v>
      </x:c>
      <x:c r="B1400" s="2" t="str">
        <x:v>Botswana (Republic of)</x:v>
      </x:c>
      <x:c r="C1400" s="2" t="str">
        <x:v>WUP_SURFACE</x:v>
      </x:c>
      <x:c r="D1400" s="2" t="n">
        <x:v>2020</x:v>
      </x:c>
      <x:c r="E1400" s="2" t="n">
        <x:v>2030</x:v>
      </x:c>
      <x:c r="F1400" s="17" t="n">
        <x:v>118564613.02000009</x:v>
      </x:c>
      <x:c r="G1400" s="17" t="n">
        <x:v>131924482.49205413</x:v>
      </x:c>
      <x:c r="H1400" s="17" t="n">
        <x:v>479517869.1935612</x:v>
      </x:c>
      <x:c r="I1400" s="17" t="n">
        <x:v>530821446.4299074</x:v>
      </x:c>
      <x:c r="J1400" s="2" t="str">
        <x:v>m2</x:v>
      </x:c>
      <x:c r="K1400" s="15" t="n">
        <x:f>IF(AND(ISNUMBER(F1400),ISNUMBER(G1400),F1400&gt;0),G1400/F1400-1,"n.a.")</x:f>
        <x:v>0.11268007487023501</x:v>
      </x:c>
      <x:c r="L1400" s="15" t="n">
        <x:f>IF(AND(N1400,ISNUMBER(H1400),ISNUMBER(I1400),H1400&gt;0),I1400/H1400-1,"n.a.")</x:f>
        <x:v>0.10698991744067232</x:v>
      </x:c>
      <x:c r="M1400" s="20" t="n">
        <x:f>IF(AND(ISNUMBER(K1400),ISNUMBER(L1400)),100*(K1400-L1400),"n.a.")</x:f>
        <x:v>0.5690157429562692</x:v>
      </x:c>
      <x:c r="N1400" s="13" t="b">
        <x:v>1</x:v>
      </x:c>
      <x:c r="O1400" s="13" t="b">
        <x:v>1</x:v>
      </x:c>
      <x:c r="P1400" s="13" t="b">
        <x:v>0</x:v>
      </x:c>
      <x:c r="Q1400" s="2" t="str">
        <x:v>L1_numeric_partition_qualified_not_national_completeness</x:v>
      </x:c>
      <x:c r="R1400" s="2" t="str">
        <x:v>L1_numeric_partition_qualified_not_national_completeness</x:v>
      </x:c>
      <x:c r="S1400" s="2" t="str">
        <x:v>historical_GHSL_BU_estimate</x:v>
      </x:c>
      <x:c r="T1400" s="2" t="str">
        <x:v>projected_CRISP_BU_surface</x:v>
      </x:c>
      <x:c r="U1400" s="2" t="str">
        <x:v>GFA growth versus source physical quantity growth; constant conversion required for equality</x:v>
      </x:c>
      <x:c r="V1400" s="2" t="str">
        <x:v>Future horizontal path is already a v16 driver; WUP historical surface derives from GHSL</x:v>
      </x:c>
      <x:c r="W1400" s="2" t="str">
        <x:v>https://human-settlement.emergency.copernicus.eu/datasets.php</x:v>
      </x:c>
    </x:row>
    <x:row r="1401" ht="23" customHeight="1">
      <x:c r="A1401" s="2" t="str">
        <x:v>CAF</x:v>
      </x:c>
      <x:c r="B1401" s="2" t="str">
        <x:v>Central African Republic</x:v>
      </x:c>
      <x:c r="C1401" s="2" t="str">
        <x:v>WUP_SURFACE</x:v>
      </x:c>
      <x:c r="D1401" s="2" t="n">
        <x:v>2020</x:v>
      </x:c>
      <x:c r="E1401" s="2" t="n">
        <x:v>2030</x:v>
      </x:c>
      <x:c r="F1401" s="17" t="n">
        <x:v>66989106.04000005</x:v>
      </x:c>
      <x:c r="G1401" s="17" t="n">
        <x:v>93309135.82113093</x:v>
      </x:c>
      <x:c r="H1401" s="17" t="n">
        <x:v>203735296.06993726</x:v>
      </x:c>
      <x:c r="I1401" s="17" t="n">
        <x:v>281914195.7976814</x:v>
      </x:c>
      <x:c r="J1401" s="2" t="str">
        <x:v>m2</x:v>
      </x:c>
      <x:c r="K1401" s="15" t="n">
        <x:f>IF(AND(ISNUMBER(F1401),ISNUMBER(G1401),F1401&gt;0),G1401/F1401-1,"n.a.")</x:f>
        <x:v>0.39290014954692554</x:v>
      </x:c>
      <x:c r="L1401" s="15" t="n">
        <x:f>IF(AND(N1401,ISNUMBER(H1401),ISNUMBER(I1401),H1401&gt;0),I1401/H1401-1,"n.a.")</x:f>
        <x:v>0.38372781366713826</x:v>
      </x:c>
      <x:c r="M1401" s="20" t="n">
        <x:f>IF(AND(ISNUMBER(K1401),ISNUMBER(L1401)),100*(K1401-L1401),"n.a.")</x:f>
        <x:v>0.9172335879787274</x:v>
      </x:c>
      <x:c r="N1401" s="13" t="b">
        <x:v>1</x:v>
      </x:c>
      <x:c r="O1401" s="13" t="b">
        <x:v>1</x:v>
      </x:c>
      <x:c r="P1401" s="13" t="b">
        <x:v>0</x:v>
      </x:c>
      <x:c r="Q1401" s="2" t="str">
        <x:v>L1_numeric_partition_qualified_not_national_completeness</x:v>
      </x:c>
      <x:c r="R1401" s="2" t="str">
        <x:v>L1_numeric_partition_qualified_not_national_completeness</x:v>
      </x:c>
      <x:c r="S1401" s="2" t="str">
        <x:v>historical_GHSL_BU_estimate</x:v>
      </x:c>
      <x:c r="T1401" s="2" t="str">
        <x:v>projected_CRISP_BU_surface</x:v>
      </x:c>
      <x:c r="U1401" s="2" t="str">
        <x:v>GFA growth versus source physical quantity growth; constant conversion required for equality</x:v>
      </x:c>
      <x:c r="V1401" s="2" t="str">
        <x:v>Future horizontal path is already a v16 driver; WUP historical surface derives from GHSL</x:v>
      </x:c>
      <x:c r="W1401" s="2" t="str">
        <x:v>https://human-settlement.emergency.copernicus.eu/datasets.php</x:v>
      </x:c>
    </x:row>
    <x:row r="1402" ht="23" customHeight="1">
      <x:c r="A1402" s="2" t="str">
        <x:v>CAN</x:v>
      </x:c>
      <x:c r="B1402" s="2" t="str">
        <x:v>Canada</x:v>
      </x:c>
      <x:c r="C1402" s="2" t="str">
        <x:v>WUP_SURFACE</x:v>
      </x:c>
      <x:c r="D1402" s="2" t="n">
        <x:v>2020</x:v>
      </x:c>
      <x:c r="E1402" s="2" t="n">
        <x:v>2030</x:v>
      </x:c>
      <x:c r="F1402" s="17" t="n">
        <x:v>2941628265.260001</x:v>
      </x:c>
      <x:c r="G1402" s="17" t="n">
        <x:v>3748869811.8941193</x:v>
      </x:c>
      <x:c r="H1402" s="17" t="n">
        <x:v>4959638580.022324</x:v>
      </x:c>
      <x:c r="I1402" s="17" t="n">
        <x:v>6278713982.920566</x:v>
      </x:c>
      <x:c r="J1402" s="2" t="str">
        <x:v>m2</x:v>
      </x:c>
      <x:c r="K1402" s="15" t="n">
        <x:f>IF(AND(ISNUMBER(F1402),ISNUMBER(G1402),F1402&gt;0),G1402/F1402-1,"n.a.")</x:f>
        <x:v>0.2744199721519771</x:v>
      </x:c>
      <x:c r="L1402" s="15" t="n">
        <x:f>IF(AND(N1402,ISNUMBER(H1402),ISNUMBER(I1402),H1402&gt;0),I1402/H1402-1,"n.a.")</x:f>
        <x:v>0.2659620013868642</x:v>
      </x:c>
      <x:c r="M1402" s="20" t="n">
        <x:f>IF(AND(ISNUMBER(K1402),ISNUMBER(L1402)),100*(K1402-L1402),"n.a.")</x:f>
        <x:v>0.8457970765112899</x:v>
      </x:c>
      <x:c r="N1402" s="13" t="b">
        <x:v>1</x:v>
      </x:c>
      <x:c r="O1402" s="13" t="b">
        <x:v>1</x:v>
      </x:c>
      <x:c r="P1402" s="13" t="b">
        <x:v>0</x:v>
      </x:c>
      <x:c r="Q1402" s="2" t="str">
        <x:v>L1_numeric_partition_qualified_not_national_completeness</x:v>
      </x:c>
      <x:c r="R1402" s="2" t="str">
        <x:v>L1_numeric_partition_qualified_not_national_completeness</x:v>
      </x:c>
      <x:c r="S1402" s="2" t="str">
        <x:v>historical_GHSL_BU_estimate</x:v>
      </x:c>
      <x:c r="T1402" s="2" t="str">
        <x:v>projected_CRISP_BU_surface</x:v>
      </x:c>
      <x:c r="U1402" s="2" t="str">
        <x:v>GFA growth versus source physical quantity growth; constant conversion required for equality</x:v>
      </x:c>
      <x:c r="V1402" s="2" t="str">
        <x:v>Future horizontal path is already a v16 driver; WUP historical surface derives from GHSL</x:v>
      </x:c>
      <x:c r="W1402" s="2" t="str">
        <x:v>https://human-settlement.emergency.copernicus.eu/datasets.php</x:v>
      </x:c>
    </x:row>
    <x:row r="1403" ht="23" customHeight="1">
      <x:c r="A1403" s="2" t="str">
        <x:v>CHE</x:v>
      </x:c>
      <x:c r="B1403" s="2" t="str">
        <x:v>Switzerland (Swiss Confederation)</x:v>
      </x:c>
      <x:c r="C1403" s="2" t="str">
        <x:v>WUP_SURFACE</x:v>
      </x:c>
      <x:c r="D1403" s="2" t="n">
        <x:v>2020</x:v>
      </x:c>
      <x:c r="E1403" s="2" t="n">
        <x:v>2030</x:v>
      </x:c>
      <x:c r="F1403" s="17" t="n">
        <x:v>554094959.2900008</x:v>
      </x:c>
      <x:c r="G1403" s="17" t="n">
        <x:v>702159602.1605101</x:v>
      </x:c>
      <x:c r="H1403" s="17" t="n">
        <x:v>781136767.810239</x:v>
      </x:c>
      <x:c r="I1403" s="17" t="n">
        <x:v>984098108.4128376</x:v>
      </x:c>
      <x:c r="J1403" s="2" t="str">
        <x:v>m2</x:v>
      </x:c>
      <x:c r="K1403" s="15" t="n">
        <x:f>IF(AND(ISNUMBER(F1403),ISNUMBER(G1403),F1403&gt;0),G1403/F1403-1,"n.a.")</x:f>
        <x:v>0.26721889522372577</x:v>
      </x:c>
      <x:c r="L1403" s="15" t="n">
        <x:f>IF(AND(N1403,ISNUMBER(H1403),ISNUMBER(I1403),H1403&gt;0),I1403/H1403-1,"n.a.")</x:f>
        <x:v>0.25982817474020625</x:v>
      </x:c>
      <x:c r="M1403" s="20" t="n">
        <x:f>IF(AND(ISNUMBER(K1403),ISNUMBER(L1403)),100*(K1403-L1403),"n.a.")</x:f>
        <x:v>0.739072048351952</x:v>
      </x:c>
      <x:c r="N1403" s="13" t="b">
        <x:v>1</x:v>
      </x:c>
      <x:c r="O1403" s="13" t="b">
        <x:v>1</x:v>
      </x:c>
      <x:c r="P1403" s="13" t="b">
        <x:v>0</x:v>
      </x:c>
      <x:c r="Q1403" s="2" t="str">
        <x:v>L1_numeric_partition_qualified_not_national_completeness</x:v>
      </x:c>
      <x:c r="R1403" s="2" t="str">
        <x:v>L1_numeric_partition_qualified_not_national_completeness</x:v>
      </x:c>
      <x:c r="S1403" s="2" t="str">
        <x:v>historical_GHSL_BU_estimate</x:v>
      </x:c>
      <x:c r="T1403" s="2" t="str">
        <x:v>projected_CRISP_BU_surface</x:v>
      </x:c>
      <x:c r="U1403" s="2" t="str">
        <x:v>GFA growth versus source physical quantity growth; constant conversion required for equality</x:v>
      </x:c>
      <x:c r="V1403" s="2" t="str">
        <x:v>Future horizontal path is already a v16 driver; WUP historical surface derives from GHSL</x:v>
      </x:c>
      <x:c r="W1403" s="2" t="str">
        <x:v>https://human-settlement.emergency.copernicus.eu/datasets.php</x:v>
      </x:c>
    </x:row>
    <x:row r="1404" ht="23" customHeight="1">
      <x:c r="A1404" s="2" t="str">
        <x:v>CHL</x:v>
      </x:c>
      <x:c r="B1404" s="2" t="str">
        <x:v>Chile (Republic of)</x:v>
      </x:c>
      <x:c r="C1404" s="2" t="str">
        <x:v>WUP_SURFACE</x:v>
      </x:c>
      <x:c r="D1404" s="2" t="n">
        <x:v>2020</x:v>
      </x:c>
      <x:c r="E1404" s="2" t="n">
        <x:v>2030</x:v>
      </x:c>
      <x:c r="F1404" s="17" t="n">
        <x:v>986436316.0700014</x:v>
      </x:c>
      <x:c r="G1404" s="17" t="n">
        <x:v>1212346986.2485492</x:v>
      </x:c>
      <x:c r="H1404" s="17" t="n">
        <x:v>1327922613.9074051</x:v>
      </x:c>
      <x:c r="I1404" s="17" t="n">
        <x:v>1621214965.4426768</x:v>
      </x:c>
      <x:c r="J1404" s="2" t="str">
        <x:v>m2</x:v>
      </x:c>
      <x:c r="K1404" s="15" t="n">
        <x:f>IF(AND(ISNUMBER(F1404),ISNUMBER(G1404),F1404&gt;0),G1404/F1404-1,"n.a.")</x:f>
        <x:v>0.22901698416638228</x:v>
      </x:c>
      <x:c r="L1404" s="15" t="n">
        <x:f>IF(AND(N1404,ISNUMBER(H1404),ISNUMBER(I1404),H1404&gt;0),I1404/H1404-1,"n.a.")</x:f>
        <x:v>0.22086554477166453</x:v>
      </x:c>
      <x:c r="M1404" s="20" t="n">
        <x:f>IF(AND(ISNUMBER(K1404),ISNUMBER(L1404)),100*(K1404-L1404),"n.a.")</x:f>
        <x:v>0.8151439394717741</x:v>
      </x:c>
      <x:c r="N1404" s="13" t="b">
        <x:v>1</x:v>
      </x:c>
      <x:c r="O1404" s="13" t="b">
        <x:v>1</x:v>
      </x:c>
      <x:c r="P1404" s="13" t="b">
        <x:v>0</x:v>
      </x:c>
      <x:c r="Q1404" s="2" t="str">
        <x:v>L1_numeric_partition_qualified_not_national_completeness</x:v>
      </x:c>
      <x:c r="R1404" s="2" t="str">
        <x:v>L1_numeric_partition_qualified_not_national_completeness</x:v>
      </x:c>
      <x:c r="S1404" s="2" t="str">
        <x:v>historical_GHSL_BU_estimate</x:v>
      </x:c>
      <x:c r="T1404" s="2" t="str">
        <x:v>projected_CRISP_BU_surface</x:v>
      </x:c>
      <x:c r="U1404" s="2" t="str">
        <x:v>GFA growth versus source physical quantity growth; constant conversion required for equality</x:v>
      </x:c>
      <x:c r="V1404" s="2" t="str">
        <x:v>Future horizontal path is already a v16 driver; WUP historical surface derives from GHSL</x:v>
      </x:c>
      <x:c r="W1404" s="2" t="str">
        <x:v>https://human-settlement.emergency.copernicus.eu/datasets.php</x:v>
      </x:c>
    </x:row>
    <x:row r="1405" ht="23" customHeight="1">
      <x:c r="A1405" s="2" t="str">
        <x:v>CHN</x:v>
      </x:c>
      <x:c r="B1405" s="2" t="str">
        <x:v>China (People's Republic of)</x:v>
      </x:c>
      <x:c r="C1405" s="2" t="str">
        <x:v>WUP_SURFACE</x:v>
      </x:c>
      <x:c r="D1405" s="2" t="n">
        <x:v>2020</x:v>
      </x:c>
      <x:c r="E1405" s="2" t="n">
        <x:v>2030</x:v>
      </x:c>
      <x:c r="F1405" s="17" t="n">
        <x:v>86144650012.34993</x:v>
      </x:c>
      <x:c r="G1405" s="17" t="n">
        <x:v>100838240245.36133</x:v>
      </x:c>
      <x:c r="H1405" s="17" t="n">
        <x:v>81846582898.93993</x:v>
      </x:c>
      <x:c r="I1405" s="17" t="n">
        <x:v>95445675695.85104</x:v>
      </x:c>
      <x:c r="J1405" s="2" t="str">
        <x:v>m2</x:v>
      </x:c>
      <x:c r="K1405" s="15" t="n">
        <x:f>IF(AND(ISNUMBER(F1405),ISNUMBER(G1405),F1405&gt;0),G1405/F1405-1,"n.a.")</x:f>
        <x:v>0.17056880759170623</x:v>
      </x:c>
      <x:c r="L1405" s="15" t="n">
        <x:f>IF(AND(N1405,ISNUMBER(H1405),ISNUMBER(I1405),H1405&gt;0),I1405/H1405-1,"n.a.")</x:f>
        <x:v>0.16615345827818606</x:v>
      </x:c>
      <x:c r="M1405" s="20" t="n">
        <x:f>IF(AND(ISNUMBER(K1405),ISNUMBER(L1405)),100*(K1405-L1405),"n.a.")</x:f>
        <x:v>0.4415349313520167</x:v>
      </x:c>
      <x:c r="N1405" s="13" t="b">
        <x:v>1</x:v>
      </x:c>
      <x:c r="O1405" s="13" t="b">
        <x:v>1</x:v>
      </x:c>
      <x:c r="P1405" s="13" t="b">
        <x:v>0</x:v>
      </x:c>
      <x:c r="Q1405" s="2" t="str">
        <x:v>L1_numeric_partition_qualified_not_national_completeness</x:v>
      </x:c>
      <x:c r="R1405" s="2" t="str">
        <x:v>L1_numeric_partition_qualified_not_national_completeness</x:v>
      </x:c>
      <x:c r="S1405" s="2" t="str">
        <x:v>historical_GHSL_BU_estimate</x:v>
      </x:c>
      <x:c r="T1405" s="2" t="str">
        <x:v>projected_CRISP_BU_surface</x:v>
      </x:c>
      <x:c r="U1405" s="2" t="str">
        <x:v>GFA growth versus source physical quantity growth; constant conversion required for equality</x:v>
      </x:c>
      <x:c r="V1405" s="2" t="str">
        <x:v>Future horizontal path is already a v16 driver; WUP historical surface derives from GHSL</x:v>
      </x:c>
      <x:c r="W1405" s="2" t="str">
        <x:v>https://human-settlement.emergency.copernicus.eu/datasets.php</x:v>
      </x:c>
    </x:row>
    <x:row r="1406" ht="23" customHeight="1">
      <x:c r="A1406" s="2" t="str">
        <x:v>CIV</x:v>
      </x:c>
      <x:c r="B1406" s="2" t="str">
        <x:v>Côte d'Ivoire (Republic of)</x:v>
      </x:c>
      <x:c r="C1406" s="2" t="str">
        <x:v>WUP_SURFACE</x:v>
      </x:c>
      <x:c r="D1406" s="2" t="n">
        <x:v>2020</x:v>
      </x:c>
      <x:c r="E1406" s="2" t="n">
        <x:v>2030</x:v>
      </x:c>
      <x:c r="F1406" s="17" t="n">
        <x:v>602828854.8199993</x:v>
      </x:c>
      <x:c r="G1406" s="17" t="n">
        <x:v>819927992.2280622</x:v>
      </x:c>
      <x:c r="H1406" s="17" t="n">
        <x:v>1262654365.4642804</x:v>
      </x:c>
      <x:c r="I1406" s="17" t="n">
        <x:v>1710035679.2664363</x:v>
      </x:c>
      <x:c r="J1406" s="2" t="str">
        <x:v>m2</x:v>
      </x:c>
      <x:c r="K1406" s="15" t="n">
        <x:f>IF(AND(ISNUMBER(F1406),ISNUMBER(G1406),F1406&gt;0),G1406/F1406-1,"n.a.")</x:f>
        <x:v>0.36013395124041825</x:v>
      </x:c>
      <x:c r="L1406" s="15" t="n">
        <x:f>IF(AND(N1406,ISNUMBER(H1406),ISNUMBER(I1406),H1406&gt;0),I1406/H1406-1,"n.a.")</x:f>
        <x:v>0.3543181143144054</x:v>
      </x:c>
      <x:c r="M1406" s="20" t="n">
        <x:f>IF(AND(ISNUMBER(K1406),ISNUMBER(L1406)),100*(K1406-L1406),"n.a.")</x:f>
        <x:v>0.5815836926012841</x:v>
      </x:c>
      <x:c r="N1406" s="13" t="b">
        <x:v>1</x:v>
      </x:c>
      <x:c r="O1406" s="13" t="b">
        <x:v>1</x:v>
      </x:c>
      <x:c r="P1406" s="13" t="b">
        <x:v>0</x:v>
      </x:c>
      <x:c r="Q1406" s="2" t="str">
        <x:v>L1_numeric_partition_qualified_not_national_completeness</x:v>
      </x:c>
      <x:c r="R1406" s="2" t="str">
        <x:v>L1_numeric_partition_qualified_not_national_completeness</x:v>
      </x:c>
      <x:c r="S1406" s="2" t="str">
        <x:v>historical_GHSL_BU_estimate</x:v>
      </x:c>
      <x:c r="T1406" s="2" t="str">
        <x:v>projected_CRISP_BU_surface</x:v>
      </x:c>
      <x:c r="U1406" s="2" t="str">
        <x:v>GFA growth versus source physical quantity growth; constant conversion required for equality</x:v>
      </x:c>
      <x:c r="V1406" s="2" t="str">
        <x:v>Future horizontal path is already a v16 driver; WUP historical surface derives from GHSL</x:v>
      </x:c>
      <x:c r="W1406" s="2" t="str">
        <x:v>https://human-settlement.emergency.copernicus.eu/datasets.php</x:v>
      </x:c>
    </x:row>
    <x:row r="1407" ht="23" customHeight="1">
      <x:c r="A1407" s="2" t="str">
        <x:v>CMR</x:v>
      </x:c>
      <x:c r="B1407" s="2" t="str">
        <x:v>Cameroon (Republic of)</x:v>
      </x:c>
      <x:c r="C1407" s="2" t="str">
        <x:v>WUP_SURFACE</x:v>
      </x:c>
      <x:c r="D1407" s="2" t="n">
        <x:v>2020</x:v>
      </x:c>
      <x:c r="E1407" s="2" t="n">
        <x:v>2030</x:v>
      </x:c>
      <x:c r="F1407" s="17" t="n">
        <x:v>577057207.8100005</x:v>
      </x:c>
      <x:c r="G1407" s="17" t="n">
        <x:v>772422945.8175358</x:v>
      </x:c>
      <x:c r="H1407" s="17" t="n">
        <x:v>1225974917.8400168</x:v>
      </x:c>
      <x:c r="I1407" s="17" t="n">
        <x:v>1633396083.8736978</x:v>
      </x:c>
      <x:c r="J1407" s="2" t="str">
        <x:v>m2</x:v>
      </x:c>
      <x:c r="K1407" s="15" t="n">
        <x:f>IF(AND(ISNUMBER(F1407),ISNUMBER(G1407),F1407&gt;0),G1407/F1407-1,"n.a.")</x:f>
        <x:v>0.33855523397579756</x:v>
      </x:c>
      <x:c r="L1407" s="15" t="n">
        <x:f>IF(AND(N1407,ISNUMBER(H1407),ISNUMBER(I1407),H1407&gt;0),I1407/H1407-1,"n.a.")</x:f>
        <x:v>0.33232422629942193</x:v>
      </x:c>
      <x:c r="M1407" s="20" t="n">
        <x:f>IF(AND(ISNUMBER(K1407),ISNUMBER(L1407)),100*(K1407-L1407),"n.a.")</x:f>
        <x:v>0.6231007676375633</x:v>
      </x:c>
      <x:c r="N1407" s="13" t="b">
        <x:v>1</x:v>
      </x:c>
      <x:c r="O1407" s="13" t="b">
        <x:v>1</x:v>
      </x:c>
      <x:c r="P1407" s="13" t="b">
        <x:v>0</x:v>
      </x:c>
      <x:c r="Q1407" s="2" t="str">
        <x:v>L1_numeric_partition_qualified_not_national_completeness</x:v>
      </x:c>
      <x:c r="R1407" s="2" t="str">
        <x:v>L1_numeric_partition_qualified_not_national_completeness</x:v>
      </x:c>
      <x:c r="S1407" s="2" t="str">
        <x:v>historical_GHSL_BU_estimate</x:v>
      </x:c>
      <x:c r="T1407" s="2" t="str">
        <x:v>projected_CRISP_BU_surface</x:v>
      </x:c>
      <x:c r="U1407" s="2" t="str">
        <x:v>GFA growth versus source physical quantity growth; constant conversion required for equality</x:v>
      </x:c>
      <x:c r="V1407" s="2" t="str">
        <x:v>Future horizontal path is already a v16 driver; WUP historical surface derives from GHSL</x:v>
      </x:c>
      <x:c r="W1407" s="2" t="str">
        <x:v>https://human-settlement.emergency.copernicus.eu/datasets.php</x:v>
      </x:c>
    </x:row>
    <x:row r="1408" ht="23" customHeight="1">
      <x:c r="A1408" s="2" t="str">
        <x:v>COD</x:v>
      </x:c>
      <x:c r="B1408" s="2" t="str">
        <x:v>Congo (Democratic Republic of the)</x:v>
      </x:c>
      <x:c r="C1408" s="2" t="str">
        <x:v>WUP_SURFACE</x:v>
      </x:c>
      <x:c r="D1408" s="2" t="n">
        <x:v>2020</x:v>
      </x:c>
      <x:c r="E1408" s="2" t="n">
        <x:v>2030</x:v>
      </x:c>
      <x:c r="F1408" s="17" t="n">
        <x:v>941825698.8399988</x:v>
      </x:c>
      <x:c r="G1408" s="17" t="n">
        <x:v>1389739917.0384994</x:v>
      </x:c>
      <x:c r="H1408" s="17" t="n">
        <x:v>2768938805.1443105</x:v>
      </x:c>
      <x:c r="I1408" s="17" t="n">
        <x:v>4063557909.2122736</x:v>
      </x:c>
      <x:c r="J1408" s="2" t="str">
        <x:v>m2</x:v>
      </x:c>
      <x:c r="K1408" s="15" t="n">
        <x:f>IF(AND(ISNUMBER(F1408),ISNUMBER(G1408),F1408&gt;0),G1408/F1408-1,"n.a.")</x:f>
        <x:v>0.4755807988146583</x:v>
      </x:c>
      <x:c r="L1408" s="15" t="n">
        <x:f>IF(AND(N1408,ISNUMBER(H1408),ISNUMBER(I1408),H1408&gt;0),I1408/H1408-1,"n.a.")</x:f>
        <x:v>0.46755063768933325</x:v>
      </x:c>
      <x:c r="M1408" s="20" t="n">
        <x:f>IF(AND(ISNUMBER(K1408),ISNUMBER(L1408)),100*(K1408-L1408),"n.a.")</x:f>
        <x:v>0.8030161125325064</x:v>
      </x:c>
      <x:c r="N1408" s="13" t="b">
        <x:v>1</x:v>
      </x:c>
      <x:c r="O1408" s="13" t="b">
        <x:v>1</x:v>
      </x:c>
      <x:c r="P1408" s="13" t="b">
        <x:v>0</x:v>
      </x:c>
      <x:c r="Q1408" s="2" t="str">
        <x:v>L1_numeric_partition_qualified_not_national_completeness</x:v>
      </x:c>
      <x:c r="R1408" s="2" t="str">
        <x:v>L1_numeric_partition_qualified_not_national_completeness</x:v>
      </x:c>
      <x:c r="S1408" s="2" t="str">
        <x:v>historical_GHSL_BU_estimate</x:v>
      </x:c>
      <x:c r="T1408" s="2" t="str">
        <x:v>projected_CRISP_BU_surface</x:v>
      </x:c>
      <x:c r="U1408" s="2" t="str">
        <x:v>GFA growth versus source physical quantity growth; constant conversion required for equality</x:v>
      </x:c>
      <x:c r="V1408" s="2" t="str">
        <x:v>Future horizontal path is already a v16 driver; WUP historical surface derives from GHSL</x:v>
      </x:c>
      <x:c r="W1408" s="2" t="str">
        <x:v>https://human-settlement.emergency.copernicus.eu/datasets.php</x:v>
      </x:c>
    </x:row>
    <x:row r="1409" ht="23" customHeight="1">
      <x:c r="A1409" s="2" t="str">
        <x:v>COG</x:v>
      </x:c>
      <x:c r="B1409" s="2" t="str">
        <x:v>Congo (Republic of the)</x:v>
      </x:c>
      <x:c r="C1409" s="2" t="str">
        <x:v>WUP_SURFACE</x:v>
      </x:c>
      <x:c r="D1409" s="2" t="n">
        <x:v>2020</x:v>
      </x:c>
      <x:c r="E1409" s="2" t="n">
        <x:v>2030</x:v>
      </x:c>
      <x:c r="F1409" s="17" t="n">
        <x:v>110620071.65000013</x:v>
      </x:c>
      <x:c r="G1409" s="17" t="n">
        <x:v>151798405.9019701</x:v>
      </x:c>
      <x:c r="H1409" s="17" t="n">
        <x:v>240343102.9452585</x:v>
      </x:c>
      <x:c r="I1409" s="17" t="n">
        <x:v>328791815.1034787</x:v>
      </x:c>
      <x:c r="J1409" s="2" t="str">
        <x:v>m2</x:v>
      </x:c>
      <x:c r="K1409" s="15" t="n">
        <x:f>IF(AND(ISNUMBER(F1409),ISNUMBER(G1409),F1409&gt;0),G1409/F1409-1,"n.a.")</x:f>
        <x:v>0.37225011372490746</x:v>
      </x:c>
      <x:c r="L1409" s="15" t="n">
        <x:f>IF(AND(N1409,ISNUMBER(H1409),ISNUMBER(I1409),H1409&gt;0),I1409/H1409-1,"n.a.")</x:f>
        <x:v>0.3680101949019343</x:v>
      </x:c>
      <x:c r="M1409" s="20" t="n">
        <x:f>IF(AND(ISNUMBER(K1409),ISNUMBER(L1409)),100*(K1409-L1409),"n.a.")</x:f>
        <x:v>0.4239918822973143</x:v>
      </x:c>
      <x:c r="N1409" s="13" t="b">
        <x:v>1</x:v>
      </x:c>
      <x:c r="O1409" s="13" t="b">
        <x:v>1</x:v>
      </x:c>
      <x:c r="P1409" s="13" t="b">
        <x:v>0</x:v>
      </x:c>
      <x:c r="Q1409" s="2" t="str">
        <x:v>L1_numeric_partition_qualified_not_national_completeness</x:v>
      </x:c>
      <x:c r="R1409" s="2" t="str">
        <x:v>L1_numeric_partition_qualified_not_national_completeness</x:v>
      </x:c>
      <x:c r="S1409" s="2" t="str">
        <x:v>historical_GHSL_BU_estimate</x:v>
      </x:c>
      <x:c r="T1409" s="2" t="str">
        <x:v>projected_CRISP_BU_surface</x:v>
      </x:c>
      <x:c r="U1409" s="2" t="str">
        <x:v>GFA growth versus source physical quantity growth; constant conversion required for equality</x:v>
      </x:c>
      <x:c r="V1409" s="2" t="str">
        <x:v>Future horizontal path is already a v16 driver; WUP historical surface derives from GHSL</x:v>
      </x:c>
      <x:c r="W1409" s="2" t="str">
        <x:v>https://human-settlement.emergency.copernicus.eu/datasets.php</x:v>
      </x:c>
    </x:row>
    <x:row r="1410" ht="23" customHeight="1">
      <x:c r="A1410" s="2" t="str">
        <x:v>COL</x:v>
      </x:c>
      <x:c r="B1410" s="2" t="str">
        <x:v>Colombia (Republic of)</x:v>
      </x:c>
      <x:c r="C1410" s="2" t="str">
        <x:v>WUP_SURFACE</x:v>
      </x:c>
      <x:c r="D1410" s="2" t="n">
        <x:v>2020</x:v>
      </x:c>
      <x:c r="E1410" s="2" t="n">
        <x:v>2030</x:v>
      </x:c>
      <x:c r="F1410" s="17" t="n">
        <x:v>1505534156.3100014</x:v>
      </x:c>
      <x:c r="G1410" s="17" t="n">
        <x:v>2067633442.6461523</x:v>
      </x:c>
      <x:c r="H1410" s="17" t="n">
        <x:v>1562720271.636618</x:v>
      </x:c>
      <x:c r="I1410" s="17" t="n">
        <x:v>2134848795.6223762</x:v>
      </x:c>
      <x:c r="J1410" s="2" t="str">
        <x:v>m2</x:v>
      </x:c>
      <x:c r="K1410" s="15" t="n">
        <x:f>IF(AND(ISNUMBER(F1410),ISNUMBER(G1410),F1410&gt;0),G1410/F1410-1,"n.a.")</x:f>
        <x:v>0.37335538617990016</x:v>
      </x:c>
      <x:c r="L1410" s="15" t="n">
        <x:f>IF(AND(N1410,ISNUMBER(H1410),ISNUMBER(I1410),H1410&gt;0),I1410/H1410-1,"n.a.")</x:f>
        <x:v>0.36611064332490884</x:v>
      </x:c>
      <x:c r="M1410" s="20" t="n">
        <x:f>IF(AND(ISNUMBER(K1410),ISNUMBER(L1410)),100*(K1410-L1410),"n.a.")</x:f>
        <x:v>0.7244742854991326</x:v>
      </x:c>
      <x:c r="N1410" s="13" t="b">
        <x:v>1</x:v>
      </x:c>
      <x:c r="O1410" s="13" t="b">
        <x:v>1</x:v>
      </x:c>
      <x:c r="P1410" s="13" t="b">
        <x:v>0</x:v>
      </x:c>
      <x:c r="Q1410" s="2" t="str">
        <x:v>L1_numeric_partition_qualified_not_national_completeness</x:v>
      </x:c>
      <x:c r="R1410" s="2" t="str">
        <x:v>L1_numeric_partition_qualified_not_national_completeness</x:v>
      </x:c>
      <x:c r="S1410" s="2" t="str">
        <x:v>historical_GHSL_BU_estimate</x:v>
      </x:c>
      <x:c r="T1410" s="2" t="str">
        <x:v>projected_CRISP_BU_surface</x:v>
      </x:c>
      <x:c r="U1410" s="2" t="str">
        <x:v>GFA growth versus source physical quantity growth; constant conversion required for equality</x:v>
      </x:c>
      <x:c r="V1410" s="2" t="str">
        <x:v>Future horizontal path is already a v16 driver; WUP historical surface derives from GHSL</x:v>
      </x:c>
      <x:c r="W1410" s="2" t="str">
        <x:v>https://human-settlement.emergency.copernicus.eu/datasets.php</x:v>
      </x:c>
    </x:row>
    <x:row r="1411" ht="23" customHeight="1">
      <x:c r="A1411" s="2" t="str">
        <x:v>COM</x:v>
      </x:c>
      <x:c r="B1411" s="2" t="str">
        <x:v>Comoros (Union of the)</x:v>
      </x:c>
      <x:c r="C1411" s="2" t="str">
        <x:v>WUP_SURFACE</x:v>
      </x:c>
      <x:c r="D1411" s="2" t="n">
        <x:v>2020</x:v>
      </x:c>
      <x:c r="E1411" s="2" t="n">
        <x:v>2030</x:v>
      </x:c>
      <x:c r="F1411" s="17" t="n">
        <x:v>18035090.40999997</x:v>
      </x:c>
      <x:c r="G1411" s="17" t="n">
        <x:v>24449859.913686987</x:v>
      </x:c>
      <x:c r="H1411" s="17" t="n">
        <x:v>26193450.897957403</x:v>
      </x:c>
      <x:c r="I1411" s="17" t="n">
        <x:v>35325005.34944484</x:v>
      </x:c>
      <x:c r="J1411" s="2" t="str">
        <x:v>m2</x:v>
      </x:c>
      <x:c r="K1411" s="15" t="n">
        <x:f>IF(AND(ISNUMBER(F1411),ISNUMBER(G1411),F1411&gt;0),G1411/F1411-1,"n.a.")</x:f>
        <x:v>0.3556826917890137</x:v>
      </x:c>
      <x:c r="L1411" s="15" t="n">
        <x:f>IF(AND(N1411,ISNUMBER(H1411),ISNUMBER(I1411),H1411&gt;0),I1411/H1411-1,"n.a.")</x:f>
        <x:v>0.3486197556427939</x:v>
      </x:c>
      <x:c r="M1411" s="20" t="n">
        <x:f>IF(AND(ISNUMBER(K1411),ISNUMBER(L1411)),100*(K1411-L1411),"n.a.")</x:f>
        <x:v>0.7062936146219778</x:v>
      </x:c>
      <x:c r="N1411" s="13" t="b">
        <x:v>1</x:v>
      </x:c>
      <x:c r="O1411" s="13" t="b">
        <x:v>1</x:v>
      </x:c>
      <x:c r="P1411" s="13" t="b">
        <x:v>0</x:v>
      </x:c>
      <x:c r="Q1411" s="2" t="str">
        <x:v>L1_numeric_partition_qualified_not_national_completeness</x:v>
      </x:c>
      <x:c r="R1411" s="2" t="str">
        <x:v>L1_numeric_partition_qualified_not_national_completeness</x:v>
      </x:c>
      <x:c r="S1411" s="2" t="str">
        <x:v>historical_GHSL_BU_estimate</x:v>
      </x:c>
      <x:c r="T1411" s="2" t="str">
        <x:v>projected_CRISP_BU_surface</x:v>
      </x:c>
      <x:c r="U1411" s="2" t="str">
        <x:v>GFA growth versus source physical quantity growth; constant conversion required for equality</x:v>
      </x:c>
      <x:c r="V1411" s="2" t="str">
        <x:v>Future horizontal path is already a v16 driver; WUP historical surface derives from GHSL</x:v>
      </x:c>
      <x:c r="W1411" s="2" t="str">
        <x:v>https://human-settlement.emergency.copernicus.eu/datasets.php</x:v>
      </x:c>
    </x:row>
    <x:row r="1412" ht="23" customHeight="1">
      <x:c r="A1412" s="2" t="str">
        <x:v>CPV</x:v>
      </x:c>
      <x:c r="B1412" s="2" t="str">
        <x:v>Cabo Verde (Republic of)</x:v>
      </x:c>
      <x:c r="C1412" s="2" t="str">
        <x:v>WUP_SURFACE</x:v>
      </x:c>
      <x:c r="D1412" s="2" t="n">
        <x:v>2020</x:v>
      </x:c>
      <x:c r="E1412" s="2" t="n">
        <x:v>2030</x:v>
      </x:c>
      <x:c r="F1412" s="17" t="n">
        <x:v>21833832.63999998</x:v>
      </x:c>
      <x:c r="G1412" s="17" t="n">
        <x:v>27518327.859965105</x:v>
      </x:c>
      <x:c r="H1412" s="17" t="n">
        <x:v>23623195.006221067</x:v>
      </x:c>
      <x:c r="I1412" s="17" t="n">
        <x:v>29691570.06860894</x:v>
      </x:c>
      <x:c r="J1412" s="2" t="str">
        <x:v>m2</x:v>
      </x:c>
      <x:c r="K1412" s="15" t="n">
        <x:f>IF(AND(ISNUMBER(F1412),ISNUMBER(G1412),F1412&gt;0),G1412/F1412-1,"n.a.")</x:f>
        <x:v>0.26035260568733265</x:v>
      </x:c>
      <x:c r="L1412" s="15" t="n">
        <x:f>IF(AND(N1412,ISNUMBER(H1412),ISNUMBER(I1412),H1412&gt;0),I1412/H1412-1,"n.a.")</x:f>
        <x:v>0.256882062768808</x:v>
      </x:c>
      <x:c r="M1412" s="20" t="n">
        <x:f>IF(AND(ISNUMBER(K1412),ISNUMBER(L1412)),100*(K1412-L1412),"n.a.")</x:f>
        <x:v>0.3470542918524666</x:v>
      </x:c>
      <x:c r="N1412" s="13" t="b">
        <x:v>1</x:v>
      </x:c>
      <x:c r="O1412" s="13" t="b">
        <x:v>1</x:v>
      </x:c>
      <x:c r="P1412" s="13" t="b">
        <x:v>0</x:v>
      </x:c>
      <x:c r="Q1412" s="2" t="str">
        <x:v>L1_numeric_partition_qualified_not_national_completeness</x:v>
      </x:c>
      <x:c r="R1412" s="2" t="str">
        <x:v>L1_numeric_partition_qualified_not_national_completeness</x:v>
      </x:c>
      <x:c r="S1412" s="2" t="str">
        <x:v>historical_GHSL_BU_estimate</x:v>
      </x:c>
      <x:c r="T1412" s="2" t="str">
        <x:v>projected_CRISP_BU_surface</x:v>
      </x:c>
      <x:c r="U1412" s="2" t="str">
        <x:v>GFA growth versus source physical quantity growth; constant conversion required for equality</x:v>
      </x:c>
      <x:c r="V1412" s="2" t="str">
        <x:v>Future horizontal path is already a v16 driver; WUP historical surface derives from GHSL</x:v>
      </x:c>
      <x:c r="W1412" s="2" t="str">
        <x:v>https://human-settlement.emergency.copernicus.eu/datasets.php</x:v>
      </x:c>
    </x:row>
    <x:row r="1413" ht="23" customHeight="1">
      <x:c r="A1413" s="2" t="str">
        <x:v>CRI</x:v>
      </x:c>
      <x:c r="B1413" s="2" t="str">
        <x:v>Costa Rica (Republic of)</x:v>
      </x:c>
      <x:c r="C1413" s="2" t="str">
        <x:v>WUP_SURFACE</x:v>
      </x:c>
      <x:c r="D1413" s="2" t="n">
        <x:v>2020</x:v>
      </x:c>
      <x:c r="E1413" s="2" t="n">
        <x:v>2030</x:v>
      </x:c>
      <x:c r="F1413" s="17" t="n">
        <x:v>284786315.38999987</x:v>
      </x:c>
      <x:c r="G1413" s="17" t="n">
        <x:v>343617866.8282729</x:v>
      </x:c>
      <x:c r="H1413" s="17" t="n">
        <x:v>367435856.8570776</x:v>
      </x:c>
      <x:c r="I1413" s="17" t="n">
        <x:v>440929993.8552754</x:v>
      </x:c>
      <x:c r="J1413" s="2" t="str">
        <x:v>m2</x:v>
      </x:c>
      <x:c r="K1413" s="15" t="n">
        <x:f>IF(AND(ISNUMBER(F1413),ISNUMBER(G1413),F1413&gt;0),G1413/F1413-1,"n.a.")</x:f>
        <x:v>0.20658138491558597</x:v>
      </x:c>
      <x:c r="L1413" s="15" t="n">
        <x:f>IF(AND(N1413,ISNUMBER(H1413),ISNUMBER(I1413),H1413&gt;0),I1413/H1413-1,"n.a.")</x:f>
        <x:v>0.2000189573952904</x:v>
      </x:c>
      <x:c r="M1413" s="20" t="n">
        <x:f>IF(AND(ISNUMBER(K1413),ISNUMBER(L1413)),100*(K1413-L1413),"n.a.")</x:f>
        <x:v>0.6562427520295566</x:v>
      </x:c>
      <x:c r="N1413" s="13" t="b">
        <x:v>1</x:v>
      </x:c>
      <x:c r="O1413" s="13" t="b">
        <x:v>1</x:v>
      </x:c>
      <x:c r="P1413" s="13" t="b">
        <x:v>0</x:v>
      </x:c>
      <x:c r="Q1413" s="2" t="str">
        <x:v>L1_numeric_partition_qualified_not_national_completeness</x:v>
      </x:c>
      <x:c r="R1413" s="2" t="str">
        <x:v>L1_numeric_partition_qualified_not_national_completeness</x:v>
      </x:c>
      <x:c r="S1413" s="2" t="str">
        <x:v>historical_GHSL_BU_estimate</x:v>
      </x:c>
      <x:c r="T1413" s="2" t="str">
        <x:v>projected_CRISP_BU_surface</x:v>
      </x:c>
      <x:c r="U1413" s="2" t="str">
        <x:v>GFA growth versus source physical quantity growth; constant conversion required for equality</x:v>
      </x:c>
      <x:c r="V1413" s="2" t="str">
        <x:v>Future horizontal path is already a v16 driver; WUP historical surface derives from GHSL</x:v>
      </x:c>
      <x:c r="W1413" s="2" t="str">
        <x:v>https://human-settlement.emergency.copernicus.eu/datasets.php</x:v>
      </x:c>
    </x:row>
    <x:row r="1414" ht="23" customHeight="1">
      <x:c r="A1414" s="2" t="str">
        <x:v>CUB</x:v>
      </x:c>
      <x:c r="B1414" s="2" t="str">
        <x:v>Cuba (Republic of)</x:v>
      </x:c>
      <x:c r="C1414" s="2" t="str">
        <x:v>WUP_SURFACE</x:v>
      </x:c>
      <x:c r="D1414" s="2" t="n">
        <x:v>2020</x:v>
      </x:c>
      <x:c r="E1414" s="2" t="n">
        <x:v>2030</x:v>
      </x:c>
      <x:c r="F1414" s="17" t="n">
        <x:v>360088927.4199998</x:v>
      </x:c>
      <x:c r="G1414" s="17" t="n">
        <x:v>464551779.6364229</x:v>
      </x:c>
      <x:c r="H1414" s="17" t="n">
        <x:v>393093124.879059</x:v>
      </x:c>
      <x:c r="I1414" s="17" t="n">
        <x:v>506695290.2834447</x:v>
      </x:c>
      <x:c r="J1414" s="2" t="str">
        <x:v>m2</x:v>
      </x:c>
      <x:c r="K1414" s="15" t="n">
        <x:f>IF(AND(ISNUMBER(F1414),ISNUMBER(G1414),F1414&gt;0),G1414/F1414-1,"n.a.")</x:f>
        <x:v>0.29010292808748295</x:v>
      </x:c>
      <x:c r="L1414" s="15" t="n">
        <x:f>IF(AND(N1414,ISNUMBER(H1414),ISNUMBER(I1414),H1414&gt;0),I1414/H1414-1,"n.a.")</x:f>
        <x:v>0.288995554016207</x:v>
      </x:c>
      <x:c r="M1414" s="20" t="n">
        <x:f>IF(AND(ISNUMBER(K1414),ISNUMBER(L1414)),100*(K1414-L1414),"n.a.")</x:f>
        <x:v>0.11073740712759239</x:v>
      </x:c>
      <x:c r="N1414" s="13" t="b">
        <x:v>1</x:v>
      </x:c>
      <x:c r="O1414" s="13" t="b">
        <x:v>1</x:v>
      </x:c>
      <x:c r="P1414" s="13" t="b">
        <x:v>0</x:v>
      </x:c>
      <x:c r="Q1414" s="2" t="str">
        <x:v>L1_numeric_partition_qualified_not_national_completeness</x:v>
      </x:c>
      <x:c r="R1414" s="2" t="str">
        <x:v>L1_numeric_partition_qualified_not_national_completeness</x:v>
      </x:c>
      <x:c r="S1414" s="2" t="str">
        <x:v>historical_GHSL_BU_estimate</x:v>
      </x:c>
      <x:c r="T1414" s="2" t="str">
        <x:v>projected_CRISP_BU_surface</x:v>
      </x:c>
      <x:c r="U1414" s="2" t="str">
        <x:v>GFA growth versus source physical quantity growth; constant conversion required for equality</x:v>
      </x:c>
      <x:c r="V1414" s="2" t="str">
        <x:v>Future horizontal path is already a v16 driver; WUP historical surface derives from GHSL</x:v>
      </x:c>
      <x:c r="W1414" s="2" t="str">
        <x:v>https://human-settlement.emergency.copernicus.eu/datasets.php</x:v>
      </x:c>
    </x:row>
    <x:row r="1415" ht="23" customHeight="1">
      <x:c r="A1415" s="2" t="str">
        <x:v>CYP</x:v>
      </x:c>
      <x:c r="B1415" s="2" t="str">
        <x:v>Cyprus (Republic of)</x:v>
      </x:c>
      <x:c r="C1415" s="2" t="str">
        <x:v>WUP_SURFACE</x:v>
      </x:c>
      <x:c r="D1415" s="2" t="n">
        <x:v>2020</x:v>
      </x:c>
      <x:c r="E1415" s="2" t="n">
        <x:v>2030</x:v>
      </x:c>
      <x:c r="F1415" s="17" t="n">
        <x:v>124124771.75000016</x:v>
      </x:c>
      <x:c r="G1415" s="17" t="n">
        <x:v>151938289.3943149</x:v>
      </x:c>
      <x:c r="H1415" s="17" t="n">
        <x:v>145137908.00039965</x:v>
      </x:c>
      <x:c r="I1415" s="17" t="n">
        <x:v>176503095.61597556</x:v>
      </x:c>
      <x:c r="J1415" s="2" t="str">
        <x:v>m2</x:v>
      </x:c>
      <x:c r="K1415" s="15" t="n">
        <x:f>IF(AND(ISNUMBER(F1415),ISNUMBER(G1415),F1415&gt;0),G1415/F1415-1,"n.a.")</x:f>
        <x:v>0.22407708994892617</x:v>
      </x:c>
      <x:c r="L1415" s="15" t="n">
        <x:f>IF(AND(N1415,ISNUMBER(H1415),ISNUMBER(I1415),H1415&gt;0),I1415/H1415-1,"n.a.")</x:f>
        <x:v>0.21610610244905515</x:v>
      </x:c>
      <x:c r="M1415" s="20" t="n">
        <x:f>IF(AND(ISNUMBER(K1415),ISNUMBER(L1415)),100*(K1415-L1415),"n.a.")</x:f>
        <x:v>0.7970987499871018</x:v>
      </x:c>
      <x:c r="N1415" s="13" t="b">
        <x:v>1</x:v>
      </x:c>
      <x:c r="O1415" s="13" t="b">
        <x:v>1</x:v>
      </x:c>
      <x:c r="P1415" s="13" t="b">
        <x:v>0</x:v>
      </x:c>
      <x:c r="Q1415" s="2" t="str">
        <x:v>L1_numeric_partition_qualified_not_national_completeness</x:v>
      </x:c>
      <x:c r="R1415" s="2" t="str">
        <x:v>L1_numeric_partition_qualified_not_national_completeness</x:v>
      </x:c>
      <x:c r="S1415" s="2" t="str">
        <x:v>historical_GHSL_BU_estimate</x:v>
      </x:c>
      <x:c r="T1415" s="2" t="str">
        <x:v>projected_CRISP_BU_surface</x:v>
      </x:c>
      <x:c r="U1415" s="2" t="str">
        <x:v>GFA growth versus source physical quantity growth; constant conversion required for equality</x:v>
      </x:c>
      <x:c r="V1415" s="2" t="str">
        <x:v>Future horizontal path is already a v16 driver; WUP historical surface derives from GHSL</x:v>
      </x:c>
      <x:c r="W1415" s="2" t="str">
        <x:v>https://human-settlement.emergency.copernicus.eu/datasets.php</x:v>
      </x:c>
    </x:row>
    <x:row r="1416" ht="23" customHeight="1">
      <x:c r="A1416" s="2" t="str">
        <x:v>CZE</x:v>
      </x:c>
      <x:c r="B1416" s="2" t="str">
        <x:v>Czechia (Czech Republic)</x:v>
      </x:c>
      <x:c r="C1416" s="2" t="str">
        <x:v>WUP_SURFACE</x:v>
      </x:c>
      <x:c r="D1416" s="2" t="n">
        <x:v>2020</x:v>
      </x:c>
      <x:c r="E1416" s="2" t="n">
        <x:v>2030</x:v>
      </x:c>
      <x:c r="F1416" s="17" t="n">
        <x:v>853858176.0500003</x:v>
      </x:c>
      <x:c r="G1416" s="17" t="n">
        <x:v>1089671649.361668</x:v>
      </x:c>
      <x:c r="H1416" s="17" t="n">
        <x:v>1361503641.673497</x:v>
      </x:c>
      <x:c r="I1416" s="17" t="n">
        <x:v>1731054465.769168</x:v>
      </x:c>
      <x:c r="J1416" s="2" t="str">
        <x:v>m2</x:v>
      </x:c>
      <x:c r="K1416" s="15" t="n">
        <x:f>IF(AND(ISNUMBER(F1416),ISNUMBER(G1416),F1416&gt;0),G1416/F1416-1,"n.a.")</x:f>
        <x:v>0.2761740531695267</x:v>
      </x:c>
      <x:c r="L1416" s="15" t="n">
        <x:f>IF(AND(N1416,ISNUMBER(H1416),ISNUMBER(I1416),H1416&gt;0),I1416/H1416-1,"n.a.")</x:f>
        <x:v>0.27142845071015476</x:v>
      </x:c>
      <x:c r="M1416" s="20" t="n">
        <x:f>IF(AND(ISNUMBER(K1416),ISNUMBER(L1416)),100*(K1416-L1416),"n.a.")</x:f>
        <x:v>0.4745602459371945</x:v>
      </x:c>
      <x:c r="N1416" s="13" t="b">
        <x:v>1</x:v>
      </x:c>
      <x:c r="O1416" s="13" t="b">
        <x:v>1</x:v>
      </x:c>
      <x:c r="P1416" s="13" t="b">
        <x:v>0</x:v>
      </x:c>
      <x:c r="Q1416" s="2" t="str">
        <x:v>L1_numeric_partition_qualified_not_national_completeness</x:v>
      </x:c>
      <x:c r="R1416" s="2" t="str">
        <x:v>L1_numeric_partition_qualified_not_national_completeness</x:v>
      </x:c>
      <x:c r="S1416" s="2" t="str">
        <x:v>historical_GHSL_BU_estimate</x:v>
      </x:c>
      <x:c r="T1416" s="2" t="str">
        <x:v>projected_CRISP_BU_surface</x:v>
      </x:c>
      <x:c r="U1416" s="2" t="str">
        <x:v>GFA growth versus source physical quantity growth; constant conversion required for equality</x:v>
      </x:c>
      <x:c r="V1416" s="2" t="str">
        <x:v>Future horizontal path is already a v16 driver; WUP historical surface derives from GHSL</x:v>
      </x:c>
      <x:c r="W1416" s="2" t="str">
        <x:v>https://human-settlement.emergency.copernicus.eu/datasets.php</x:v>
      </x:c>
    </x:row>
    <x:row r="1417" ht="23" customHeight="1">
      <x:c r="A1417" s="2" t="str">
        <x:v>DEU</x:v>
      </x:c>
      <x:c r="B1417" s="2" t="str">
        <x:v>Germany (Federal Republic of)</x:v>
      </x:c>
      <x:c r="C1417" s="2" t="str">
        <x:v>WUP_SURFACE</x:v>
      </x:c>
      <x:c r="D1417" s="2" t="n">
        <x:v>2020</x:v>
      </x:c>
      <x:c r="E1417" s="2" t="n">
        <x:v>2030</x:v>
      </x:c>
      <x:c r="F1417" s="17" t="n">
        <x:v>6611215465.220001</x:v>
      </x:c>
      <x:c r="G1417" s="17" t="n">
        <x:v>8245202509.35387</x:v>
      </x:c>
      <x:c r="H1417" s="17" t="n">
        <x:v>9558232652.439943</x:v>
      </x:c>
      <x:c r="I1417" s="17" t="n">
        <x:v>11881164156.180061</x:v>
      </x:c>
      <x:c r="J1417" s="2" t="str">
        <x:v>m2</x:v>
      </x:c>
      <x:c r="K1417" s="15" t="n">
        <x:f>IF(AND(ISNUMBER(F1417),ISNUMBER(G1417),F1417&gt;0),G1417/F1417-1,"n.a.")</x:f>
        <x:v>0.24715380291716071</x:v>
      </x:c>
      <x:c r="L1417" s="15" t="n">
        <x:f>IF(AND(N1417,ISNUMBER(H1417),ISNUMBER(I1417),H1417&gt;0),I1417/H1417-1,"n.a.")</x:f>
        <x:v>0.24302939551771008</x:v>
      </x:c>
      <x:c r="M1417" s="20" t="n">
        <x:f>IF(AND(ISNUMBER(K1417),ISNUMBER(L1417)),100*(K1417-L1417),"n.a.")</x:f>
        <x:v>0.4124407399450636</x:v>
      </x:c>
      <x:c r="N1417" s="13" t="b">
        <x:v>1</x:v>
      </x:c>
      <x:c r="O1417" s="13" t="b">
        <x:v>1</x:v>
      </x:c>
      <x:c r="P1417" s="13" t="b">
        <x:v>0</x:v>
      </x:c>
      <x:c r="Q1417" s="2" t="str">
        <x:v>L1_numeric_partition_qualified_not_national_completeness</x:v>
      </x:c>
      <x:c r="R1417" s="2" t="str">
        <x:v>L1_numeric_partition_qualified_not_national_completeness</x:v>
      </x:c>
      <x:c r="S1417" s="2" t="str">
        <x:v>historical_GHSL_BU_estimate</x:v>
      </x:c>
      <x:c r="T1417" s="2" t="str">
        <x:v>projected_CRISP_BU_surface</x:v>
      </x:c>
      <x:c r="U1417" s="2" t="str">
        <x:v>GFA growth versus source physical quantity growth; constant conversion required for equality</x:v>
      </x:c>
      <x:c r="V1417" s="2" t="str">
        <x:v>Future horizontal path is already a v16 driver; WUP historical surface derives from GHSL</x:v>
      </x:c>
      <x:c r="W1417" s="2" t="str">
        <x:v>https://human-settlement.emergency.copernicus.eu/datasets.php</x:v>
      </x:c>
    </x:row>
    <x:row r="1418" ht="23" customHeight="1">
      <x:c r="A1418" s="2" t="str">
        <x:v>DJI</x:v>
      </x:c>
      <x:c r="B1418" s="2" t="str">
        <x:v>Djibouti (Republic of)</x:v>
      </x:c>
      <x:c r="C1418" s="2" t="str">
        <x:v>WUP_SURFACE</x:v>
      </x:c>
      <x:c r="D1418" s="2" t="n">
        <x:v>2020</x:v>
      </x:c>
      <x:c r="E1418" s="2" t="n">
        <x:v>2030</x:v>
      </x:c>
      <x:c r="F1418" s="17" t="n">
        <x:v>12588327.629999984</x:v>
      </x:c>
      <x:c r="G1418" s="17" t="n">
        <x:v>19029222.943144582</x:v>
      </x:c>
      <x:c r="H1418" s="17" t="n">
        <x:v>20249018.040496703</x:v>
      </x:c>
      <x:c r="I1418" s="17" t="n">
        <x:v>30387221.17418547</x:v>
      </x:c>
      <x:c r="J1418" s="2" t="str">
        <x:v>m2</x:v>
      </x:c>
      <x:c r="K1418" s="15" t="n">
        <x:f>IF(AND(ISNUMBER(F1418),ISNUMBER(G1418),F1418&gt;0),G1418/F1418-1,"n.a.")</x:f>
        <x:v>0.5116561550078282</x:v>
      </x:c>
      <x:c r="L1418" s="15" t="n">
        <x:f>IF(AND(N1418,ISNUMBER(H1418),ISNUMBER(I1418),H1418&gt;0),I1418/H1418-1,"n.a.")</x:f>
        <x:v>0.5006762853098865</x:v>
      </x:c>
      <x:c r="M1418" s="20" t="n">
        <x:f>IF(AND(ISNUMBER(K1418),ISNUMBER(L1418)),100*(K1418-L1418),"n.a.")</x:f>
        <x:v>1.0979869697941735</x:v>
      </x:c>
      <x:c r="N1418" s="13" t="b">
        <x:v>1</x:v>
      </x:c>
      <x:c r="O1418" s="13" t="b">
        <x:v>1</x:v>
      </x:c>
      <x:c r="P1418" s="13" t="b">
        <x:v>0</x:v>
      </x:c>
      <x:c r="Q1418" s="2" t="str">
        <x:v>L1_numeric_partition_qualified_not_national_completeness</x:v>
      </x:c>
      <x:c r="R1418" s="2" t="str">
        <x:v>L1_numeric_partition_qualified_not_national_completeness</x:v>
      </x:c>
      <x:c r="S1418" s="2" t="str">
        <x:v>historical_GHSL_BU_estimate</x:v>
      </x:c>
      <x:c r="T1418" s="2" t="str">
        <x:v>projected_CRISP_BU_surface</x:v>
      </x:c>
      <x:c r="U1418" s="2" t="str">
        <x:v>GFA growth versus source physical quantity growth; constant conversion required for equality</x:v>
      </x:c>
      <x:c r="V1418" s="2" t="str">
        <x:v>Future horizontal path is already a v16 driver; WUP historical surface derives from GHSL</x:v>
      </x:c>
      <x:c r="W1418" s="2" t="str">
        <x:v>https://human-settlement.emergency.copernicus.eu/datasets.php</x:v>
      </x:c>
    </x:row>
    <x:row r="1419" ht="23" customHeight="1">
      <x:c r="A1419" s="2" t="str">
        <x:v>DMA</x:v>
      </x:c>
      <x:c r="B1419" s="2" t="str">
        <x:v>Dominica (Commonwealth of)</x:v>
      </x:c>
      <x:c r="C1419" s="2" t="str">
        <x:v>WUP_SURFACE</x:v>
      </x:c>
      <x:c r="D1419" s="2" t="n">
        <x:v>2020</x:v>
      </x:c>
      <x:c r="E1419" s="2" t="n">
        <x:v>2030</x:v>
      </x:c>
      <x:c r="F1419" s="17" t="n">
        <x:v>3947192.6899999985</x:v>
      </x:c>
      <x:c r="G1419" s="17" t="n">
        <x:v>4187358.249218219</x:v>
      </x:c>
      <x:c r="H1419" s="17" t="n">
        <x:v>5577641.011276227</x:v>
      </x:c>
      <x:c r="I1419" s="17" t="n">
        <x:v>5916232.282369037</x:v>
      </x:c>
      <x:c r="J1419" s="2" t="str">
        <x:v>m2</x:v>
      </x:c>
      <x:c r="K1419" s="15" t="n">
        <x:f>IF(AND(ISNUMBER(F1419),ISNUMBER(G1419),F1419&gt;0),G1419/F1419-1,"n.a.")</x:f>
        <x:v>0.06084465038321207</x:v>
      </x:c>
      <x:c r="L1419" s="15" t="n">
        <x:f>IF(AND(N1419,ISNUMBER(H1419),ISNUMBER(I1419),H1419&gt;0),I1419/H1419-1,"n.a.")</x:f>
        <x:v>0.0607051028218355</x:v>
      </x:c>
      <x:c r="M1419" s="20" t="n">
        <x:f>IF(AND(ISNUMBER(K1419),ISNUMBER(L1419)),100*(K1419-L1419),"n.a.")</x:f>
        <x:v>0.013954756137657398</x:v>
      </x:c>
      <x:c r="N1419" s="13" t="b">
        <x:v>1</x:v>
      </x:c>
      <x:c r="O1419" s="13" t="b">
        <x:v>1</x:v>
      </x:c>
      <x:c r="P1419" s="13" t="b">
        <x:v>0</x:v>
      </x:c>
      <x:c r="Q1419" s="2" t="str">
        <x:v>L1_numeric_partition_qualified_not_national_completeness</x:v>
      </x:c>
      <x:c r="R1419" s="2" t="str">
        <x:v>L1_numeric_partition_qualified_not_national_completeness</x:v>
      </x:c>
      <x:c r="S1419" s="2" t="str">
        <x:v>historical_GHSL_BU_estimate</x:v>
      </x:c>
      <x:c r="T1419" s="2" t="str">
        <x:v>projected_CRISP_BU_surface</x:v>
      </x:c>
      <x:c r="U1419" s="2" t="str">
        <x:v>GFA growth versus source physical quantity growth; constant conversion required for equality</x:v>
      </x:c>
      <x:c r="V1419" s="2" t="str">
        <x:v>Future horizontal path is already a v16 driver; WUP historical surface derives from GHSL</x:v>
      </x:c>
      <x:c r="W1419" s="2" t="str">
        <x:v>https://human-settlement.emergency.copernicus.eu/datasets.php</x:v>
      </x:c>
    </x:row>
    <x:row r="1420" ht="23" customHeight="1">
      <x:c r="A1420" s="2" t="str">
        <x:v>DNK</x:v>
      </x:c>
      <x:c r="B1420" s="2" t="str">
        <x:v>Denmark (Kingdom of)</x:v>
      </x:c>
      <x:c r="C1420" s="2" t="str">
        <x:v>WUP_SURFACE</x:v>
      </x:c>
      <x:c r="D1420" s="2" t="n">
        <x:v>2020</x:v>
      </x:c>
      <x:c r="E1420" s="2" t="n">
        <x:v>2030</x:v>
      </x:c>
      <x:c r="F1420" s="17" t="n">
        <x:v>665059716.8900009</x:v>
      </x:c>
      <x:c r="G1420" s="17" t="n">
        <x:v>845709935.3103656</x:v>
      </x:c>
      <x:c r="H1420" s="17" t="n">
        <x:v>819001256.3846583</x:v>
      </x:c>
      <x:c r="I1420" s="17" t="n">
        <x:v>1038093588.6484067</x:v>
      </x:c>
      <x:c r="J1420" s="2" t="str">
        <x:v>m2</x:v>
      </x:c>
      <x:c r="K1420" s="15" t="n">
        <x:f>IF(AND(ISNUMBER(F1420),ISNUMBER(G1420),F1420&gt;0),G1420/F1420-1,"n.a.")</x:f>
        <x:v>0.2716300714545363</x:v>
      </x:c>
      <x:c r="L1420" s="15" t="n">
        <x:f>IF(AND(N1420,ISNUMBER(H1420),ISNUMBER(I1420),H1420&gt;0),I1420/H1420-1,"n.a.")</x:f>
        <x:v>0.2675115948306286</x:v>
      </x:c>
      <x:c r="M1420" s="20" t="n">
        <x:f>IF(AND(ISNUMBER(K1420),ISNUMBER(L1420)),100*(K1420-L1420),"n.a.")</x:f>
        <x:v>0.4118476623907741</x:v>
      </x:c>
      <x:c r="N1420" s="13" t="b">
        <x:v>1</x:v>
      </x:c>
      <x:c r="O1420" s="13" t="b">
        <x:v>1</x:v>
      </x:c>
      <x:c r="P1420" s="13" t="b">
        <x:v>0</x:v>
      </x:c>
      <x:c r="Q1420" s="2" t="str">
        <x:v>L1_numeric_partition_qualified_not_national_completeness</x:v>
      </x:c>
      <x:c r="R1420" s="2" t="str">
        <x:v>L1_numeric_partition_qualified_not_national_completeness</x:v>
      </x:c>
      <x:c r="S1420" s="2" t="str">
        <x:v>historical_GHSL_BU_estimate</x:v>
      </x:c>
      <x:c r="T1420" s="2" t="str">
        <x:v>projected_CRISP_BU_surface</x:v>
      </x:c>
      <x:c r="U1420" s="2" t="str">
        <x:v>GFA growth versus source physical quantity growth; constant conversion required for equality</x:v>
      </x:c>
      <x:c r="V1420" s="2" t="str">
        <x:v>Future horizontal path is already a v16 driver; WUP historical surface derives from GHSL</x:v>
      </x:c>
      <x:c r="W1420" s="2" t="str">
        <x:v>https://human-settlement.emergency.copernicus.eu/datasets.php</x:v>
      </x:c>
    </x:row>
    <x:row r="1421" ht="23" customHeight="1">
      <x:c r="A1421" s="2" t="str">
        <x:v>DOM</x:v>
      </x:c>
      <x:c r="B1421" s="2" t="str">
        <x:v>Dominican Republic</x:v>
      </x:c>
      <x:c r="C1421" s="2" t="str">
        <x:v>WUP_SURFACE</x:v>
      </x:c>
      <x:c r="D1421" s="2" t="n">
        <x:v>2020</x:v>
      </x:c>
      <x:c r="E1421" s="2" t="n">
        <x:v>2030</x:v>
      </x:c>
      <x:c r="F1421" s="17" t="n">
        <x:v>336248050.8900004</x:v>
      </x:c>
      <x:c r="G1421" s="17" t="n">
        <x:v>421944994.08996487</x:v>
      </x:c>
      <x:c r="H1421" s="17" t="n">
        <x:v>505607053.0571373</x:v>
      </x:c>
      <x:c r="I1421" s="17" t="n">
        <x:v>631725637.8438381</x:v>
      </x:c>
      <x:c r="J1421" s="2" t="str">
        <x:v>m2</x:v>
      </x:c>
      <x:c r="K1421" s="15" t="n">
        <x:f>IF(AND(ISNUMBER(F1421),ISNUMBER(G1421),F1421&gt;0),G1421/F1421-1,"n.a.")</x:f>
        <x:v>0.2548622749578382</x:v>
      </x:c>
      <x:c r="L1421" s="15" t="n">
        <x:f>IF(AND(N1421,ISNUMBER(H1421),ISNUMBER(I1421),H1421&gt;0),I1421/H1421-1,"n.a.")</x:f>
        <x:v>0.24943992379878543</x:v>
      </x:c>
      <x:c r="M1421" s="20" t="n">
        <x:f>IF(AND(ISNUMBER(K1421),ISNUMBER(L1421)),100*(K1421-L1421),"n.a.")</x:f>
        <x:v>0.5422351159052763</x:v>
      </x:c>
      <x:c r="N1421" s="13" t="b">
        <x:v>1</x:v>
      </x:c>
      <x:c r="O1421" s="13" t="b">
        <x:v>1</x:v>
      </x:c>
      <x:c r="P1421" s="13" t="b">
        <x:v>0</x:v>
      </x:c>
      <x:c r="Q1421" s="2" t="str">
        <x:v>L1_numeric_partition_qualified_not_national_completeness</x:v>
      </x:c>
      <x:c r="R1421" s="2" t="str">
        <x:v>L1_numeric_partition_qualified_not_national_completeness</x:v>
      </x:c>
      <x:c r="S1421" s="2" t="str">
        <x:v>historical_GHSL_BU_estimate</x:v>
      </x:c>
      <x:c r="T1421" s="2" t="str">
        <x:v>projected_CRISP_BU_surface</x:v>
      </x:c>
      <x:c r="U1421" s="2" t="str">
        <x:v>GFA growth versus source physical quantity growth; constant conversion required for equality</x:v>
      </x:c>
      <x:c r="V1421" s="2" t="str">
        <x:v>Future horizontal path is already a v16 driver; WUP historical surface derives from GHSL</x:v>
      </x:c>
      <x:c r="W1421" s="2" t="str">
        <x:v>https://human-settlement.emergency.copernicus.eu/datasets.php</x:v>
      </x:c>
    </x:row>
    <x:row r="1422" ht="23" customHeight="1">
      <x:c r="A1422" s="2" t="str">
        <x:v>DZA</x:v>
      </x:c>
      <x:c r="B1422" s="2" t="str">
        <x:v>Algeria (People's Democratic Republic of)</x:v>
      </x:c>
      <x:c r="C1422" s="2" t="str">
        <x:v>WUP_SURFACE</x:v>
      </x:c>
      <x:c r="D1422" s="2" t="n">
        <x:v>2020</x:v>
      </x:c>
      <x:c r="E1422" s="2" t="n">
        <x:v>2030</x:v>
      </x:c>
      <x:c r="F1422" s="17" t="n">
        <x:v>1607752786.8799975</x:v>
      </x:c>
      <x:c r="G1422" s="17" t="n">
        <x:v>2087544402.2083037</x:v>
      </x:c>
      <x:c r="H1422" s="17" t="n">
        <x:v>2251269484.417323</x:v>
      </x:c>
      <x:c r="I1422" s="17" t="n">
        <x:v>2908124708.6900983</x:v>
      </x:c>
      <x:c r="J1422" s="2" t="str">
        <x:v>m2</x:v>
      </x:c>
      <x:c r="K1422" s="15" t="n">
        <x:f>IF(AND(ISNUMBER(F1422),ISNUMBER(G1422),F1422&gt;0),G1422/F1422-1,"n.a.")</x:f>
        <x:v>0.29842374974786323</x:v>
      </x:c>
      <x:c r="L1422" s="15" t="n">
        <x:f>IF(AND(N1422,ISNUMBER(H1422),ISNUMBER(I1422),H1422&gt;0),I1422/H1422-1,"n.a.")</x:f>
        <x:v>0.2917710335521131</x:v>
      </x:c>
      <x:c r="M1422" s="20" t="n">
        <x:f>IF(AND(ISNUMBER(K1422),ISNUMBER(L1422)),100*(K1422-L1422),"n.a.")</x:f>
        <x:v>0.6652716195750141</x:v>
      </x:c>
      <x:c r="N1422" s="13" t="b">
        <x:v>1</x:v>
      </x:c>
      <x:c r="O1422" s="13" t="b">
        <x:v>1</x:v>
      </x:c>
      <x:c r="P1422" s="13" t="b">
        <x:v>0</x:v>
      </x:c>
      <x:c r="Q1422" s="2" t="str">
        <x:v>L1_numeric_partition_qualified_not_national_completeness</x:v>
      </x:c>
      <x:c r="R1422" s="2" t="str">
        <x:v>L1_numeric_partition_qualified_not_national_completeness</x:v>
      </x:c>
      <x:c r="S1422" s="2" t="str">
        <x:v>historical_GHSL_BU_estimate</x:v>
      </x:c>
      <x:c r="T1422" s="2" t="str">
        <x:v>projected_CRISP_BU_surface</x:v>
      </x:c>
      <x:c r="U1422" s="2" t="str">
        <x:v>GFA growth versus source physical quantity growth; constant conversion required for equality</x:v>
      </x:c>
      <x:c r="V1422" s="2" t="str">
        <x:v>Future horizontal path is already a v16 driver; WUP historical surface derives from GHSL</x:v>
      </x:c>
      <x:c r="W1422" s="2" t="str">
        <x:v>https://human-settlement.emergency.copernicus.eu/datasets.php</x:v>
      </x:c>
    </x:row>
    <x:row r="1423" ht="23" customHeight="1">
      <x:c r="A1423" s="2" t="str">
        <x:v>ECU</x:v>
      </x:c>
      <x:c r="B1423" s="2" t="str">
        <x:v>Ecuador (Republic of)</x:v>
      </x:c>
      <x:c r="C1423" s="2" t="str">
        <x:v>WUP_SURFACE</x:v>
      </x:c>
      <x:c r="D1423" s="2" t="n">
        <x:v>2020</x:v>
      </x:c>
      <x:c r="E1423" s="2" t="n">
        <x:v>2030</x:v>
      </x:c>
      <x:c r="F1423" s="17" t="n">
        <x:v>734538215.0500003</x:v>
      </x:c>
      <x:c r="G1423" s="17" t="n">
        <x:v>932551245.8378943</x:v>
      </x:c>
      <x:c r="H1423" s="17" t="n">
        <x:v>932396377.5527977</x:v>
      </x:c>
      <x:c r="I1423" s="17" t="n">
        <x:v>1178574606.3828197</x:v>
      </x:c>
      <x:c r="J1423" s="2" t="str">
        <x:v>m2</x:v>
      </x:c>
      <x:c r="K1423" s="15" t="n">
        <x:f>IF(AND(ISNUMBER(F1423),ISNUMBER(G1423),F1423&gt;0),G1423/F1423-1,"n.a.")</x:f>
        <x:v>0.26957485224157485</x:v>
      </x:c>
      <x:c r="L1423" s="15" t="n">
        <x:f>IF(AND(N1423,ISNUMBER(H1423),ISNUMBER(I1423),H1423&gt;0),I1423/H1423-1,"n.a.")</x:f>
        <x:v>0.26402744021394686</x:v>
      </x:c>
      <x:c r="M1423" s="20" t="n">
        <x:f>IF(AND(ISNUMBER(K1423),ISNUMBER(L1423)),100*(K1423-L1423),"n.a.")</x:f>
        <x:v>0.5547412027627985</x:v>
      </x:c>
      <x:c r="N1423" s="13" t="b">
        <x:v>1</x:v>
      </x:c>
      <x:c r="O1423" s="13" t="b">
        <x:v>1</x:v>
      </x:c>
      <x:c r="P1423" s="13" t="b">
        <x:v>0</x:v>
      </x:c>
      <x:c r="Q1423" s="2" t="str">
        <x:v>L1_numeric_partition_qualified_not_national_completeness</x:v>
      </x:c>
      <x:c r="R1423" s="2" t="str">
        <x:v>L1_numeric_partition_qualified_not_national_completeness</x:v>
      </x:c>
      <x:c r="S1423" s="2" t="str">
        <x:v>historical_GHSL_BU_estimate</x:v>
      </x:c>
      <x:c r="T1423" s="2" t="str">
        <x:v>projected_CRISP_BU_surface</x:v>
      </x:c>
      <x:c r="U1423" s="2" t="str">
        <x:v>GFA growth versus source physical quantity growth; constant conversion required for equality</x:v>
      </x:c>
      <x:c r="V1423" s="2" t="str">
        <x:v>Future horizontal path is already a v16 driver; WUP historical surface derives from GHSL</x:v>
      </x:c>
      <x:c r="W1423" s="2" t="str">
        <x:v>https://human-settlement.emergency.copernicus.eu/datasets.php</x:v>
      </x:c>
    </x:row>
    <x:row r="1424" ht="23" customHeight="1">
      <x:c r="A1424" s="2" t="str">
        <x:v>EGY</x:v>
      </x:c>
      <x:c r="B1424" s="2" t="str">
        <x:v>Egypt (Arab Republic of)</x:v>
      </x:c>
      <x:c r="C1424" s="2" t="str">
        <x:v>WUP_SURFACE</x:v>
      </x:c>
      <x:c r="D1424" s="2" t="n">
        <x:v>2020</x:v>
      </x:c>
      <x:c r="E1424" s="2" t="n">
        <x:v>2030</x:v>
      </x:c>
      <x:c r="F1424" s="17" t="n">
        <x:v>2954306535.6</x:v>
      </x:c>
      <x:c r="G1424" s="17" t="n">
        <x:v>4083665831.4329414</x:v>
      </x:c>
      <x:c r="H1424" s="17" t="n">
        <x:v>3131484168.105507</x:v>
      </x:c>
      <x:c r="I1424" s="17" t="n">
        <x:v>4298632261.368505</x:v>
      </x:c>
      <x:c r="J1424" s="2" t="str">
        <x:v>m2</x:v>
      </x:c>
      <x:c r="K1424" s="15" t="n">
        <x:f>IF(AND(ISNUMBER(F1424),ISNUMBER(G1424),F1424&gt;0),G1424/F1424-1,"n.a.")</x:f>
        <x:v>0.38227559741141626</x:v>
      </x:c>
      <x:c r="L1424" s="15" t="n">
        <x:f>IF(AND(N1424,ISNUMBER(H1424),ISNUMBER(I1424),H1424&gt;0),I1424/H1424-1,"n.a.")</x:f>
        <x:v>0.37271403290188165</x:v>
      </x:c>
      <x:c r="M1424" s="20" t="n">
        <x:f>IF(AND(ISNUMBER(K1424),ISNUMBER(L1424)),100*(K1424-L1424),"n.a.")</x:f>
        <x:v>0.9561564509534604</x:v>
      </x:c>
      <x:c r="N1424" s="13" t="b">
        <x:v>1</x:v>
      </x:c>
      <x:c r="O1424" s="13" t="b">
        <x:v>1</x:v>
      </x:c>
      <x:c r="P1424" s="13" t="b">
        <x:v>0</x:v>
      </x:c>
      <x:c r="Q1424" s="2" t="str">
        <x:v>L1_numeric_partition_qualified_not_national_completeness</x:v>
      </x:c>
      <x:c r="R1424" s="2" t="str">
        <x:v>L1_numeric_partition_qualified_not_national_completeness</x:v>
      </x:c>
      <x:c r="S1424" s="2" t="str">
        <x:v>historical_GHSL_BU_estimate</x:v>
      </x:c>
      <x:c r="T1424" s="2" t="str">
        <x:v>projected_CRISP_BU_surface</x:v>
      </x:c>
      <x:c r="U1424" s="2" t="str">
        <x:v>GFA growth versus source physical quantity growth; constant conversion required for equality</x:v>
      </x:c>
      <x:c r="V1424" s="2" t="str">
        <x:v>Future horizontal path is already a v16 driver; WUP historical surface derives from GHSL</x:v>
      </x:c>
      <x:c r="W1424" s="2" t="str">
        <x:v>https://human-settlement.emergency.copernicus.eu/datasets.php</x:v>
      </x:c>
    </x:row>
    <x:row r="1425" ht="23" customHeight="1">
      <x:c r="A1425" s="2" t="str">
        <x:v>ERI</x:v>
      </x:c>
      <x:c r="B1425" s="2" t="str">
        <x:v>Eritrea (State of)</x:v>
      </x:c>
      <x:c r="C1425" s="2" t="str">
        <x:v>WUP_SURFACE</x:v>
      </x:c>
      <x:c r="D1425" s="2" t="n">
        <x:v>2020</x:v>
      </x:c>
      <x:c r="E1425" s="2" t="n">
        <x:v>2030</x:v>
      </x:c>
      <x:c r="F1425" s="17" t="n">
        <x:v>45298098.329999976</x:v>
      </x:c>
      <x:c r="G1425" s="17" t="n">
        <x:v>63646021.382836774</x:v>
      </x:c>
      <x:c r="H1425" s="17" t="n">
        <x:v>106156469.93711676</x:v>
      </x:c>
      <x:c r="I1425" s="17" t="n">
        <x:v>148442373.15248144</x:v>
      </x:c>
      <x:c r="J1425" s="2" t="str">
        <x:v>m2</x:v>
      </x:c>
      <x:c r="K1425" s="15" t="n">
        <x:f>IF(AND(ISNUMBER(F1425),ISNUMBER(G1425),F1425&gt;0),G1425/F1425-1,"n.a.")</x:f>
        <x:v>0.4050484176878868</x:v>
      </x:c>
      <x:c r="L1425" s="15" t="n">
        <x:f>IF(AND(N1425,ISNUMBER(H1425),ISNUMBER(I1425),H1425&gt;0),I1425/H1425-1,"n.a.")</x:f>
        <x:v>0.39833561949086405</x:v>
      </x:c>
      <x:c r="M1425" s="20" t="n">
        <x:f>IF(AND(ISNUMBER(K1425),ISNUMBER(L1425)),100*(K1425-L1425),"n.a.")</x:f>
        <x:v>0.6712798197022751</x:v>
      </x:c>
      <x:c r="N1425" s="13" t="b">
        <x:v>1</x:v>
      </x:c>
      <x:c r="O1425" s="13" t="b">
        <x:v>1</x:v>
      </x:c>
      <x:c r="P1425" s="13" t="b">
        <x:v>0</x:v>
      </x:c>
      <x:c r="Q1425" s="2" t="str">
        <x:v>L1_numeric_partition_qualified_not_national_completeness</x:v>
      </x:c>
      <x:c r="R1425" s="2" t="str">
        <x:v>L1_numeric_partition_qualified_not_national_completeness</x:v>
      </x:c>
      <x:c r="S1425" s="2" t="str">
        <x:v>historical_GHSL_BU_estimate</x:v>
      </x:c>
      <x:c r="T1425" s="2" t="str">
        <x:v>projected_CRISP_BU_surface</x:v>
      </x:c>
      <x:c r="U1425" s="2" t="str">
        <x:v>GFA growth versus source physical quantity growth; constant conversion required for equality</x:v>
      </x:c>
      <x:c r="V1425" s="2" t="str">
        <x:v>Future horizontal path is already a v16 driver; WUP historical surface derives from GHSL</x:v>
      </x:c>
      <x:c r="W1425" s="2" t="str">
        <x:v>https://human-settlement.emergency.copernicus.eu/datasets.php</x:v>
      </x:c>
    </x:row>
    <x:row r="1426" ht="23" customHeight="1">
      <x:c r="A1426" s="2" t="str">
        <x:v>ESP</x:v>
      </x:c>
      <x:c r="B1426" s="2" t="str">
        <x:v>Spain (Kingdom of)</x:v>
      </x:c>
      <x:c r="C1426" s="2" t="str">
        <x:v>WUP_SURFACE</x:v>
      </x:c>
      <x:c r="D1426" s="2" t="n">
        <x:v>2020</x:v>
      </x:c>
      <x:c r="E1426" s="2" t="n">
        <x:v>2030</x:v>
      </x:c>
      <x:c r="F1426" s="17" t="n">
        <x:v>3693503432.029994</x:v>
      </x:c>
      <x:c r="G1426" s="17" t="n">
        <x:v>4785949487.977991</x:v>
      </x:c>
      <x:c r="H1426" s="17" t="n">
        <x:v>4436720089.4513445</x:v>
      </x:c>
      <x:c r="I1426" s="17" t="n">
        <x:v>5718126406.525274</x:v>
      </x:c>
      <x:c r="J1426" s="2" t="str">
        <x:v>m2</x:v>
      </x:c>
      <x:c r="K1426" s="15" t="n">
        <x:f>IF(AND(ISNUMBER(F1426),ISNUMBER(G1426),F1426&gt;0),G1426/F1426-1,"n.a.")</x:f>
        <x:v>0.29577502121003185</x:v>
      </x:c>
      <x:c r="L1426" s="15" t="n">
        <x:f>IF(AND(N1426,ISNUMBER(H1426),ISNUMBER(I1426),H1426&gt;0),I1426/H1426-1,"n.a.")</x:f>
        <x:v>0.2888183818764172</x:v>
      </x:c>
      <x:c r="M1426" s="20" t="n">
        <x:f>IF(AND(ISNUMBER(K1426),ISNUMBER(L1426)),100*(K1426-L1426),"n.a.")</x:f>
        <x:v>0.6956639333614678</x:v>
      </x:c>
      <x:c r="N1426" s="13" t="b">
        <x:v>1</x:v>
      </x:c>
      <x:c r="O1426" s="13" t="b">
        <x:v>1</x:v>
      </x:c>
      <x:c r="P1426" s="13" t="b">
        <x:v>0</x:v>
      </x:c>
      <x:c r="Q1426" s="2" t="str">
        <x:v>L1_numeric_partition_qualified_not_national_completeness</x:v>
      </x:c>
      <x:c r="R1426" s="2" t="str">
        <x:v>L1_numeric_partition_qualified_not_national_completeness</x:v>
      </x:c>
      <x:c r="S1426" s="2" t="str">
        <x:v>historical_GHSL_BU_estimate</x:v>
      </x:c>
      <x:c r="T1426" s="2" t="str">
        <x:v>projected_CRISP_BU_surface</x:v>
      </x:c>
      <x:c r="U1426" s="2" t="str">
        <x:v>GFA growth versus source physical quantity growth; constant conversion required for equality</x:v>
      </x:c>
      <x:c r="V1426" s="2" t="str">
        <x:v>Future horizontal path is already a v16 driver; WUP historical surface derives from GHSL</x:v>
      </x:c>
      <x:c r="W1426" s="2" t="str">
        <x:v>https://human-settlement.emergency.copernicus.eu/datasets.php</x:v>
      </x:c>
    </x:row>
    <x:row r="1427" ht="23" customHeight="1">
      <x:c r="A1427" s="2" t="str">
        <x:v>EST</x:v>
      </x:c>
      <x:c r="B1427" s="2" t="str">
        <x:v>Estonia (Republic of)</x:v>
      </x:c>
      <x:c r="C1427" s="2" t="str">
        <x:v>WUP_SURFACE</x:v>
      </x:c>
      <x:c r="D1427" s="2" t="n">
        <x:v>2020</x:v>
      </x:c>
      <x:c r="E1427" s="2" t="n">
        <x:v>2030</x:v>
      </x:c>
      <x:c r="F1427" s="17" t="n">
        <x:v>113094705.3700001</x:v>
      </x:c>
      <x:c r="G1427" s="17" t="n">
        <x:v>135759202.91163582</x:v>
      </x:c>
      <x:c r="H1427" s="17" t="n">
        <x:v>192976209.96352896</x:v>
      </x:c>
      <x:c r="I1427" s="17" t="n">
        <x:v>230755644.92252478</x:v>
      </x:c>
      <x:c r="J1427" s="2" t="str">
        <x:v>m2</x:v>
      </x:c>
      <x:c r="K1427" s="15" t="n">
        <x:f>IF(AND(ISNUMBER(F1427),ISNUMBER(G1427),F1427&gt;0),G1427/F1427-1,"n.a.")</x:f>
        <x:v>0.20040281697968676</x:v>
      </x:c>
      <x:c r="L1427" s="15" t="n">
        <x:f>IF(AND(N1427,ISNUMBER(H1427),ISNUMBER(I1427),H1427&gt;0),I1427/H1427-1,"n.a.")</x:f>
        <x:v>0.19577249945024744</x:v>
      </x:c>
      <x:c r="M1427" s="20" t="n">
        <x:f>IF(AND(ISNUMBER(K1427),ISNUMBER(L1427)),100*(K1427-L1427),"n.a.")</x:f>
        <x:v>0.46303175294393206</x:v>
      </x:c>
      <x:c r="N1427" s="13" t="b">
        <x:v>1</x:v>
      </x:c>
      <x:c r="O1427" s="13" t="b">
        <x:v>1</x:v>
      </x:c>
      <x:c r="P1427" s="13" t="b">
        <x:v>0</x:v>
      </x:c>
      <x:c r="Q1427" s="2" t="str">
        <x:v>L1_numeric_partition_qualified_not_national_completeness</x:v>
      </x:c>
      <x:c r="R1427" s="2" t="str">
        <x:v>L1_numeric_partition_qualified_not_national_completeness</x:v>
      </x:c>
      <x:c r="S1427" s="2" t="str">
        <x:v>historical_GHSL_BU_estimate</x:v>
      </x:c>
      <x:c r="T1427" s="2" t="str">
        <x:v>projected_CRISP_BU_surface</x:v>
      </x:c>
      <x:c r="U1427" s="2" t="str">
        <x:v>GFA growth versus source physical quantity growth; constant conversion required for equality</x:v>
      </x:c>
      <x:c r="V1427" s="2" t="str">
        <x:v>Future horizontal path is already a v16 driver; WUP historical surface derives from GHSL</x:v>
      </x:c>
      <x:c r="W1427" s="2" t="str">
        <x:v>https://human-settlement.emergency.copernicus.eu/datasets.php</x:v>
      </x:c>
    </x:row>
    <x:row r="1428" ht="23" customHeight="1">
      <x:c r="A1428" s="2" t="str">
        <x:v>ETH</x:v>
      </x:c>
      <x:c r="B1428" s="2" t="str">
        <x:v>Ethiopia (Federal Democratic Republic of)</x:v>
      </x:c>
      <x:c r="C1428" s="2" t="str">
        <x:v>WUP_SURFACE</x:v>
      </x:c>
      <x:c r="D1428" s="2" t="n">
        <x:v>2020</x:v>
      </x:c>
      <x:c r="E1428" s="2" t="n">
        <x:v>2030</x:v>
      </x:c>
      <x:c r="F1428" s="17" t="n">
        <x:v>1660821510.7100024</x:v>
      </x:c>
      <x:c r="G1428" s="17" t="n">
        <x:v>2462067144.1789274</x:v>
      </x:c>
      <x:c r="H1428" s="17" t="n">
        <x:v>2544618131.682302</x:v>
      </x:c>
      <x:c r="I1428" s="17" t="n">
        <x:v>3756474490.3440895</x:v>
      </x:c>
      <x:c r="J1428" s="2" t="str">
        <x:v>m2</x:v>
      </x:c>
      <x:c r="K1428" s="15" t="n">
        <x:f>IF(AND(ISNUMBER(F1428),ISNUMBER(G1428),F1428&gt;0),G1428/F1428-1,"n.a.")</x:f>
        <x:v>0.4824393399904796</x:v>
      </x:c>
      <x:c r="L1428" s="15" t="n">
        <x:f>IF(AND(N1428,ISNUMBER(H1428),ISNUMBER(I1428),H1428&gt;0),I1428/H1428-1,"n.a.")</x:f>
        <x:v>0.4762429158125203</x:v>
      </x:c>
      <x:c r="M1428" s="20" t="n">
        <x:f>IF(AND(ISNUMBER(K1428),ISNUMBER(L1428)),100*(K1428-L1428),"n.a.")</x:f>
        <x:v>0.6196424177959292</x:v>
      </x:c>
      <x:c r="N1428" s="13" t="b">
        <x:v>1</x:v>
      </x:c>
      <x:c r="O1428" s="13" t="b">
        <x:v>1</x:v>
      </x:c>
      <x:c r="P1428" s="13" t="b">
        <x:v>0</x:v>
      </x:c>
      <x:c r="Q1428" s="2" t="str">
        <x:v>L1_numeric_partition_qualified_not_national_completeness</x:v>
      </x:c>
      <x:c r="R1428" s="2" t="str">
        <x:v>L1_numeric_partition_qualified_not_national_completeness</x:v>
      </x:c>
      <x:c r="S1428" s="2" t="str">
        <x:v>historical_GHSL_BU_estimate</x:v>
      </x:c>
      <x:c r="T1428" s="2" t="str">
        <x:v>projected_CRISP_BU_surface</x:v>
      </x:c>
      <x:c r="U1428" s="2" t="str">
        <x:v>GFA growth versus source physical quantity growth; constant conversion required for equality</x:v>
      </x:c>
      <x:c r="V1428" s="2" t="str">
        <x:v>Future horizontal path is already a v16 driver; WUP historical surface derives from GHSL</x:v>
      </x:c>
      <x:c r="W1428" s="2" t="str">
        <x:v>https://human-settlement.emergency.copernicus.eu/datasets.php</x:v>
      </x:c>
    </x:row>
    <x:row r="1429" ht="23" customHeight="1">
      <x:c r="A1429" s="2" t="str">
        <x:v>FIN</x:v>
      </x:c>
      <x:c r="B1429" s="2" t="str">
        <x:v>Finland (Republic of)</x:v>
      </x:c>
      <x:c r="C1429" s="2" t="str">
        <x:v>WUP_SURFACE</x:v>
      </x:c>
      <x:c r="D1429" s="2" t="n">
        <x:v>2020</x:v>
      </x:c>
      <x:c r="E1429" s="2" t="n">
        <x:v>2030</x:v>
      </x:c>
      <x:c r="F1429" s="17" t="n">
        <x:v>615866742.3399993</x:v>
      </x:c>
      <x:c r="G1429" s="17" t="n">
        <x:v>858133185.5296713</x:v>
      </x:c>
      <x:c r="H1429" s="17" t="n">
        <x:v>542868462.1400499</x:v>
      </x:c>
      <x:c r="I1429" s="17" t="n">
        <x:v>753764657.0567625</x:v>
      </x:c>
      <x:c r="J1429" s="2" t="str">
        <x:v>m2</x:v>
      </x:c>
      <x:c r="K1429" s="15" t="n">
        <x:f>IF(AND(ISNUMBER(F1429),ISNUMBER(G1429),F1429&gt;0),G1429/F1429-1,"n.a.")</x:f>
        <x:v>0.3933747782339654</x:v>
      </x:c>
      <x:c r="L1429" s="15" t="n">
        <x:f>IF(AND(N1429,ISNUMBER(H1429),ISNUMBER(I1429),H1429&gt;0),I1429/H1429-1,"n.a.")</x:f>
        <x:v>0.3884848902169329</x:v>
      </x:c>
      <x:c r="M1429" s="20" t="n">
        <x:f>IF(AND(ISNUMBER(K1429),ISNUMBER(L1429)),100*(K1429-L1429),"n.a.")</x:f>
        <x:v>0.48898880170324954</x:v>
      </x:c>
      <x:c r="N1429" s="13" t="b">
        <x:v>1</x:v>
      </x:c>
      <x:c r="O1429" s="13" t="b">
        <x:v>1</x:v>
      </x:c>
      <x:c r="P1429" s="13" t="b">
        <x:v>0</x:v>
      </x:c>
      <x:c r="Q1429" s="2" t="str">
        <x:v>L1_numeric_partition_qualified_not_national_completeness</x:v>
      </x:c>
      <x:c r="R1429" s="2" t="str">
        <x:v>L1_numeric_partition_qualified_not_national_completeness</x:v>
      </x:c>
      <x:c r="S1429" s="2" t="str">
        <x:v>historical_GHSL_BU_estimate</x:v>
      </x:c>
      <x:c r="T1429" s="2" t="str">
        <x:v>projected_CRISP_BU_surface</x:v>
      </x:c>
      <x:c r="U1429" s="2" t="str">
        <x:v>GFA growth versus source physical quantity growth; constant conversion required for equality</x:v>
      </x:c>
      <x:c r="V1429" s="2" t="str">
        <x:v>Future horizontal path is already a v16 driver; WUP historical surface derives from GHSL</x:v>
      </x:c>
      <x:c r="W1429" s="2" t="str">
        <x:v>https://human-settlement.emergency.copernicus.eu/datasets.php</x:v>
      </x:c>
    </x:row>
    <x:row r="1430" ht="23" customHeight="1">
      <x:c r="A1430" s="2" t="str">
        <x:v>FJI</x:v>
      </x:c>
      <x:c r="B1430" s="2" t="str">
        <x:v>Fiji (Republic of)</x:v>
      </x:c>
      <x:c r="C1430" s="2" t="str">
        <x:v>WUP_SURFACE</x:v>
      </x:c>
      <x:c r="D1430" s="2" t="n">
        <x:v>2020</x:v>
      </x:c>
      <x:c r="E1430" s="2" t="n">
        <x:v>2030</x:v>
      </x:c>
      <x:c r="F1430" s="17" t="n">
        <x:v>37460168.12</x:v>
      </x:c>
      <x:c r="G1430" s="17" t="n">
        <x:v>43061029.6139319</x:v>
      </x:c>
      <x:c r="H1430" s="17" t="n">
        <x:v>86259115.95521654</x:v>
      </x:c>
      <x:c r="I1430" s="17" t="n">
        <x:v>99062600.99322821</x:v>
      </x:c>
      <x:c r="J1430" s="2" t="str">
        <x:v>m2</x:v>
      </x:c>
      <x:c r="K1430" s="15" t="n">
        <x:f>IF(AND(ISNUMBER(F1430),ISNUMBER(G1430),F1430&gt;0),G1430/F1430-1,"n.a.")</x:f>
        <x:v>0.149515118992261</x:v>
      </x:c>
      <x:c r="L1430" s="15" t="n">
        <x:f>IF(AND(N1430,ISNUMBER(H1430),ISNUMBER(I1430),H1430&gt;0),I1430/H1430-1,"n.a.")</x:f>
        <x:v>0.14843051538644225</x:v>
      </x:c>
      <x:c r="M1430" s="20" t="n">
        <x:f>IF(AND(ISNUMBER(K1430),ISNUMBER(L1430)),100*(K1430-L1430),"n.a.")</x:f>
        <x:v>0.10846036058187458</x:v>
      </x:c>
      <x:c r="N1430" s="13" t="b">
        <x:v>1</x:v>
      </x:c>
      <x:c r="O1430" s="13" t="b">
        <x:v>1</x:v>
      </x:c>
      <x:c r="P1430" s="13" t="b">
        <x:v>0</x:v>
      </x:c>
      <x:c r="Q1430" s="2" t="str">
        <x:v>L1_numeric_partition_qualified_not_national_completeness</x:v>
      </x:c>
      <x:c r="R1430" s="2" t="str">
        <x:v>L1_numeric_partition_qualified_not_national_completeness</x:v>
      </x:c>
      <x:c r="S1430" s="2" t="str">
        <x:v>historical_GHSL_BU_estimate</x:v>
      </x:c>
      <x:c r="T1430" s="2" t="str">
        <x:v>projected_CRISP_BU_surface</x:v>
      </x:c>
      <x:c r="U1430" s="2" t="str">
        <x:v>GFA growth versus source physical quantity growth; constant conversion required for equality</x:v>
      </x:c>
      <x:c r="V1430" s="2" t="str">
        <x:v>Future horizontal path is already a v16 driver; WUP historical surface derives from GHSL</x:v>
      </x:c>
      <x:c r="W1430" s="2" t="str">
        <x:v>https://human-settlement.emergency.copernicus.eu/datasets.php</x:v>
      </x:c>
    </x:row>
    <x:row r="1431" ht="23" customHeight="1">
      <x:c r="A1431" s="2" t="str">
        <x:v>FRA</x:v>
      </x:c>
      <x:c r="B1431" s="2" t="str">
        <x:v>France (French Republic)</x:v>
      </x:c>
      <x:c r="C1431" s="2" t="str">
        <x:v>WUP_SURFACE</x:v>
      </x:c>
      <x:c r="D1431" s="2" t="n">
        <x:v>2020</x:v>
      </x:c>
      <x:c r="E1431" s="2" t="n">
        <x:v>2030</x:v>
      </x:c>
      <x:c r="F1431" s="17" t="n">
        <x:v>6074526882.680001</x:v>
      </x:c>
      <x:c r="G1431" s="17" t="n">
        <x:v>7107633956.961622</x:v>
      </x:c>
      <x:c r="H1431" s="17" t="n">
        <x:v>9914338336.45296</x:v>
      </x:c>
      <x:c r="I1431" s="17" t="n">
        <x:v>11557062628.4732</x:v>
      </x:c>
      <x:c r="J1431" s="2" t="str">
        <x:v>m2</x:v>
      </x:c>
      <x:c r="K1431" s="15" t="n">
        <x:f>IF(AND(ISNUMBER(F1431),ISNUMBER(G1431),F1431&gt;0),G1431/F1431-1,"n.a.")</x:f>
        <x:v>0.17007202276563604</x:v>
      </x:c>
      <x:c r="L1431" s="15" t="n">
        <x:f>IF(AND(N1431,ISNUMBER(H1431),ISNUMBER(I1431),H1431&gt;0),I1431/H1431-1,"n.a.")</x:f>
        <x:v>0.16569177248876876</x:v>
      </x:c>
      <x:c r="M1431" s="20" t="n">
        <x:f>IF(AND(ISNUMBER(K1431),ISNUMBER(L1431)),100*(K1431-L1431),"n.a.")</x:f>
        <x:v>0.43802502768672813</x:v>
      </x:c>
      <x:c r="N1431" s="13" t="b">
        <x:v>1</x:v>
      </x:c>
      <x:c r="O1431" s="13" t="b">
        <x:v>1</x:v>
      </x:c>
      <x:c r="P1431" s="13" t="b">
        <x:v>0</x:v>
      </x:c>
      <x:c r="Q1431" s="2" t="str">
        <x:v>L1_numeric_partition_qualified_not_national_completeness</x:v>
      </x:c>
      <x:c r="R1431" s="2" t="str">
        <x:v>L1_numeric_partition_qualified_not_national_completeness</x:v>
      </x:c>
      <x:c r="S1431" s="2" t="str">
        <x:v>historical_GHSL_BU_estimate</x:v>
      </x:c>
      <x:c r="T1431" s="2" t="str">
        <x:v>projected_CRISP_BU_surface</x:v>
      </x:c>
      <x:c r="U1431" s="2" t="str">
        <x:v>GFA growth versus source physical quantity growth; constant conversion required for equality</x:v>
      </x:c>
      <x:c r="V1431" s="2" t="str">
        <x:v>Future horizontal path is already a v16 driver; WUP historical surface derives from GHSL</x:v>
      </x:c>
      <x:c r="W1431" s="2" t="str">
        <x:v>https://human-settlement.emergency.copernicus.eu/datasets.php</x:v>
      </x:c>
    </x:row>
    <x:row r="1432" ht="23" customHeight="1">
      <x:c r="A1432" s="2" t="str">
        <x:v>FSM</x:v>
      </x:c>
      <x:c r="B1432" s="2" t="str">
        <x:v>Micronesia (Federated States of)</x:v>
      </x:c>
      <x:c r="C1432" s="2" t="str">
        <x:v>WUP_SURFACE</x:v>
      </x:c>
      <x:c r="D1432" s="2" t="n">
        <x:v>2020</x:v>
      </x:c>
      <x:c r="E1432" s="2" t="n">
        <x:v>2030</x:v>
      </x:c>
      <x:c r="F1432" s="17" t="n">
        <x:v>2177822.609999999</x:v>
      </x:c>
      <x:c r="G1432" s="17" t="n">
        <x:v>2672465.2237665234</x:v>
      </x:c>
      <x:c r="H1432" s="17" t="n">
        <x:v>5493713.999648435</x:v>
      </x:c>
      <x:c r="I1432" s="17" t="n">
        <x:v>6723488.145991723</x:v>
      </x:c>
      <x:c r="J1432" s="2" t="str">
        <x:v>m2</x:v>
      </x:c>
      <x:c r="K1432" s="15" t="n">
        <x:f>IF(AND(ISNUMBER(F1432),ISNUMBER(G1432),F1432&gt;0),G1432/F1432-1,"n.a.")</x:f>
        <x:v>0.22712713675358742</x:v>
      </x:c>
      <x:c r="L1432" s="15" t="n">
        <x:f>IF(AND(N1432,ISNUMBER(H1432),ISNUMBER(I1432),H1432&gt;0),I1432/H1432-1,"n.a.")</x:f>
        <x:v>0.22385114085334368</x:v>
      </x:c>
      <x:c r="M1432" s="20" t="n">
        <x:f>IF(AND(ISNUMBER(K1432),ISNUMBER(L1432)),100*(K1432-L1432),"n.a.")</x:f>
        <x:v>0.32759959002437444</x:v>
      </x:c>
      <x:c r="N1432" s="13" t="b">
        <x:v>1</x:v>
      </x:c>
      <x:c r="O1432" s="13" t="b">
        <x:v>1</x:v>
      </x:c>
      <x:c r="P1432" s="13" t="b">
        <x:v>0</x:v>
      </x:c>
      <x:c r="Q1432" s="2" t="str">
        <x:v>L1_numeric_partition_qualified_not_national_completeness</x:v>
      </x:c>
      <x:c r="R1432" s="2" t="str">
        <x:v>L1_numeric_partition_qualified_not_national_completeness</x:v>
      </x:c>
      <x:c r="S1432" s="2" t="str">
        <x:v>historical_GHSL_BU_estimate</x:v>
      </x:c>
      <x:c r="T1432" s="2" t="str">
        <x:v>projected_CRISP_BU_surface</x:v>
      </x:c>
      <x:c r="U1432" s="2" t="str">
        <x:v>GFA growth versus source physical quantity growth; constant conversion required for equality</x:v>
      </x:c>
      <x:c r="V1432" s="2" t="str">
        <x:v>Future horizontal path is already a v16 driver; WUP historical surface derives from GHSL</x:v>
      </x:c>
      <x:c r="W1432" s="2" t="str">
        <x:v>https://human-settlement.emergency.copernicus.eu/datasets.php</x:v>
      </x:c>
    </x:row>
    <x:row r="1433" ht="23" customHeight="1">
      <x:c r="A1433" s="2" t="str">
        <x:v>GAB</x:v>
      </x:c>
      <x:c r="B1433" s="2" t="str">
        <x:v>Gabon (Gabonese Republic)</x:v>
      </x:c>
      <x:c r="C1433" s="2" t="str">
        <x:v>WUP_SURFACE</x:v>
      </x:c>
      <x:c r="D1433" s="2" t="n">
        <x:v>2020</x:v>
      </x:c>
      <x:c r="E1433" s="2" t="n">
        <x:v>2030</x:v>
      </x:c>
      <x:c r="F1433" s="17" t="n">
        <x:v>73743642.55999996</x:v>
      </x:c>
      <x:c r="G1433" s="17" t="n">
        <x:v>95902774.76875077</x:v>
      </x:c>
      <x:c r="H1433" s="17" t="n">
        <x:v>145734357.92939937</x:v>
      </x:c>
      <x:c r="I1433" s="17" t="n">
        <x:v>188517217.01037937</x:v>
      </x:c>
      <x:c r="J1433" s="2" t="str">
        <x:v>m2</x:v>
      </x:c>
      <x:c r="K1433" s="15" t="n">
        <x:f>IF(AND(ISNUMBER(F1433),ISNUMBER(G1433),F1433&gt;0),G1433/F1433-1,"n.a.")</x:f>
        <x:v>0.3004887125113396</x:v>
      </x:c>
      <x:c r="L1433" s="15" t="n">
        <x:f>IF(AND(N1433,ISNUMBER(H1433),ISNUMBER(I1433),H1433&gt;0),I1433/H1433-1,"n.a.")</x:f>
        <x:v>0.2935674173807803</x:v>
      </x:c>
      <x:c r="M1433" s="20" t="n">
        <x:f>IF(AND(ISNUMBER(K1433),ISNUMBER(L1433)),100*(K1433-L1433),"n.a.")</x:f>
        <x:v>0.692129513055928</x:v>
      </x:c>
      <x:c r="N1433" s="13" t="b">
        <x:v>1</x:v>
      </x:c>
      <x:c r="O1433" s="13" t="b">
        <x:v>1</x:v>
      </x:c>
      <x:c r="P1433" s="13" t="b">
        <x:v>0</x:v>
      </x:c>
      <x:c r="Q1433" s="2" t="str">
        <x:v>L1_numeric_partition_qualified_not_national_completeness</x:v>
      </x:c>
      <x:c r="R1433" s="2" t="str">
        <x:v>L1_numeric_partition_qualified_not_national_completeness</x:v>
      </x:c>
      <x:c r="S1433" s="2" t="str">
        <x:v>historical_GHSL_BU_estimate</x:v>
      </x:c>
      <x:c r="T1433" s="2" t="str">
        <x:v>projected_CRISP_BU_surface</x:v>
      </x:c>
      <x:c r="U1433" s="2" t="str">
        <x:v>GFA growth versus source physical quantity growth; constant conversion required for equality</x:v>
      </x:c>
      <x:c r="V1433" s="2" t="str">
        <x:v>Future horizontal path is already a v16 driver; WUP historical surface derives from GHSL</x:v>
      </x:c>
      <x:c r="W1433" s="2" t="str">
        <x:v>https://human-settlement.emergency.copernicus.eu/datasets.php</x:v>
      </x:c>
    </x:row>
    <x:row r="1434" ht="23" customHeight="1">
      <x:c r="A1434" s="2" t="str">
        <x:v>GBR</x:v>
      </x:c>
      <x:c r="B1434" s="2" t="str">
        <x:v>United Kingdom of Great Britain and Northern Ireland</x:v>
      </x:c>
      <x:c r="C1434" s="2" t="str">
        <x:v>WUP_SURFACE</x:v>
      </x:c>
      <x:c r="D1434" s="2" t="n">
        <x:v>2020</x:v>
      </x:c>
      <x:c r="E1434" s="2" t="n">
        <x:v>2030</x:v>
      </x:c>
      <x:c r="F1434" s="17" t="n">
        <x:v>3418464510.0900006</x:v>
      </x:c>
      <x:c r="G1434" s="17" t="n">
        <x:v>4389019209.098643</x:v>
      </x:c>
      <x:c r="H1434" s="17" t="n">
        <x:v>5575801402.085568</x:v>
      </x:c>
      <x:c r="I1434" s="17" t="n">
        <x:v>7129828623.019695</x:v>
      </x:c>
      <x:c r="J1434" s="2" t="str">
        <x:v>m2</x:v>
      </x:c>
      <x:c r="K1434" s="15" t="n">
        <x:f>IF(AND(ISNUMBER(F1434),ISNUMBER(G1434),F1434&gt;0),G1434/F1434-1,"n.a.")</x:f>
        <x:v>0.28391539421981316</x:v>
      </x:c>
      <x:c r="L1434" s="15" t="n">
        <x:f>IF(AND(N1434,ISNUMBER(H1434),ISNUMBER(I1434),H1434&gt;0),I1434/H1434-1,"n.a.")</x:f>
        <x:v>0.2787092130564155</x:v>
      </x:c>
      <x:c r="M1434" s="20" t="n">
        <x:f>IF(AND(ISNUMBER(K1434),ISNUMBER(L1434)),100*(K1434-L1434),"n.a.")</x:f>
        <x:v>0.5206181163397661</x:v>
      </x:c>
      <x:c r="N1434" s="13" t="b">
        <x:v>1</x:v>
      </x:c>
      <x:c r="O1434" s="13" t="b">
        <x:v>1</x:v>
      </x:c>
      <x:c r="P1434" s="13" t="b">
        <x:v>0</x:v>
      </x:c>
      <x:c r="Q1434" s="2" t="str">
        <x:v>L1_numeric_partition_qualified_not_national_completeness</x:v>
      </x:c>
      <x:c r="R1434" s="2" t="str">
        <x:v>L1_numeric_partition_qualified_not_national_completeness</x:v>
      </x:c>
      <x:c r="S1434" s="2" t="str">
        <x:v>historical_GHSL_BU_estimate</x:v>
      </x:c>
      <x:c r="T1434" s="2" t="str">
        <x:v>projected_CRISP_BU_surface</x:v>
      </x:c>
      <x:c r="U1434" s="2" t="str">
        <x:v>GFA growth versus source physical quantity growth; constant conversion required for equality</x:v>
      </x:c>
      <x:c r="V1434" s="2" t="str">
        <x:v>Future horizontal path is already a v16 driver; WUP historical surface derives from GHSL</x:v>
      </x:c>
      <x:c r="W1434" s="2" t="str">
        <x:v>https://human-settlement.emergency.copernicus.eu/datasets.php</x:v>
      </x:c>
    </x:row>
    <x:row r="1435" ht="23" customHeight="1">
      <x:c r="A1435" s="2" t="str">
        <x:v>GEO</x:v>
      </x:c>
      <x:c r="B1435" s="2" t="str">
        <x:v>Georgia</x:v>
      </x:c>
      <x:c r="C1435" s="2" t="str">
        <x:v>WUP_SURFACE</x:v>
      </x:c>
      <x:c r="D1435" s="2" t="n">
        <x:v>2020</x:v>
      </x:c>
      <x:c r="E1435" s="2" t="n">
        <x:v>2030</x:v>
      </x:c>
      <x:c r="F1435" s="17" t="n">
        <x:v>242256071.04000017</x:v>
      </x:c>
      <x:c r="G1435" s="17" t="n">
        <x:v>260867419.27730978</x:v>
      </x:c>
      <x:c r="H1435" s="17" t="n">
        <x:v>495299797.9398166</x:v>
      </x:c>
      <x:c r="I1435" s="17" t="n">
        <x:v>532184312.6367404</x:v>
      </x:c>
      <x:c r="J1435" s="2" t="str">
        <x:v>m2</x:v>
      </x:c>
      <x:c r="K1435" s="15" t="n">
        <x:f>IF(AND(ISNUMBER(F1435),ISNUMBER(G1435),F1435&gt;0),G1435/F1435-1,"n.a.")</x:f>
        <x:v>0.07682510558935207</x:v>
      </x:c>
      <x:c r="L1435" s="15" t="n">
        <x:f>IF(AND(N1435,ISNUMBER(H1435),ISNUMBER(I1435),H1435&gt;0),I1435/H1435-1,"n.a.")</x:f>
        <x:v>0.0744690687344185</x:v>
      </x:c>
      <x:c r="M1435" s="20" t="n">
        <x:f>IF(AND(ISNUMBER(K1435),ISNUMBER(L1435)),100*(K1435-L1435),"n.a.")</x:f>
        <x:v>0.23560368549335742</x:v>
      </x:c>
      <x:c r="N1435" s="13" t="b">
        <x:v>1</x:v>
      </x:c>
      <x:c r="O1435" s="13" t="b">
        <x:v>1</x:v>
      </x:c>
      <x:c r="P1435" s="13" t="b">
        <x:v>0</x:v>
      </x:c>
      <x:c r="Q1435" s="2" t="str">
        <x:v>L1_numeric_partition_qualified_not_national_completeness</x:v>
      </x:c>
      <x:c r="R1435" s="2" t="str">
        <x:v>L1_numeric_partition_qualified_not_national_completeness</x:v>
      </x:c>
      <x:c r="S1435" s="2" t="str">
        <x:v>historical_GHSL_BU_estimate</x:v>
      </x:c>
      <x:c r="T1435" s="2" t="str">
        <x:v>projected_CRISP_BU_surface</x:v>
      </x:c>
      <x:c r="U1435" s="2" t="str">
        <x:v>GFA growth versus source physical quantity growth; constant conversion required for equality</x:v>
      </x:c>
      <x:c r="V1435" s="2" t="str">
        <x:v>Future horizontal path is already a v16 driver; WUP historical surface derives from GHSL</x:v>
      </x:c>
      <x:c r="W1435" s="2" t="str">
        <x:v>https://human-settlement.emergency.copernicus.eu/datasets.php</x:v>
      </x:c>
    </x:row>
    <x:row r="1436" ht="23" customHeight="1">
      <x:c r="A1436" s="2" t="str">
        <x:v>GHA</x:v>
      </x:c>
      <x:c r="B1436" s="2" t="str">
        <x:v>Ghana (Republic of)</x:v>
      </x:c>
      <x:c r="C1436" s="2" t="str">
        <x:v>WUP_SURFACE</x:v>
      </x:c>
      <x:c r="D1436" s="2" t="n">
        <x:v>2020</x:v>
      </x:c>
      <x:c r="E1436" s="2" t="n">
        <x:v>2030</x:v>
      </x:c>
      <x:c r="F1436" s="17" t="n">
        <x:v>958424622.62</x:v>
      </x:c>
      <x:c r="G1436" s="17" t="n">
        <x:v>1209782604.9836714</x:v>
      </x:c>
      <x:c r="H1436" s="17" t="n">
        <x:v>1930651519.0645432</x:v>
      </x:c>
      <x:c r="I1436" s="17" t="n">
        <x:v>2425088251.8818674</x:v>
      </x:c>
      <x:c r="J1436" s="2" t="str">
        <x:v>m2</x:v>
      </x:c>
      <x:c r="K1436" s="15" t="n">
        <x:f>IF(AND(ISNUMBER(F1436),ISNUMBER(G1436),F1436&gt;0),G1436/F1436-1,"n.a.")</x:f>
        <x:v>0.262261607675047</x:v>
      </x:c>
      <x:c r="L1436" s="15" t="n">
        <x:f>IF(AND(N1436,ISNUMBER(H1436),ISNUMBER(I1436),H1436&gt;0),I1436/H1436-1,"n.a.")</x:f>
        <x:v>0.25609838333584567</x:v>
      </x:c>
      <x:c r="M1436" s="20" t="n">
        <x:f>IF(AND(ISNUMBER(K1436),ISNUMBER(L1436)),100*(K1436-L1436),"n.a.")</x:f>
        <x:v>0.6163224339201356</x:v>
      </x:c>
      <x:c r="N1436" s="13" t="b">
        <x:v>1</x:v>
      </x:c>
      <x:c r="O1436" s="13" t="b">
        <x:v>1</x:v>
      </x:c>
      <x:c r="P1436" s="13" t="b">
        <x:v>0</x:v>
      </x:c>
      <x:c r="Q1436" s="2" t="str">
        <x:v>L1_numeric_partition_qualified_not_national_completeness</x:v>
      </x:c>
      <x:c r="R1436" s="2" t="str">
        <x:v>L1_numeric_partition_qualified_not_national_completeness</x:v>
      </x:c>
      <x:c r="S1436" s="2" t="str">
        <x:v>historical_GHSL_BU_estimate</x:v>
      </x:c>
      <x:c r="T1436" s="2" t="str">
        <x:v>projected_CRISP_BU_surface</x:v>
      </x:c>
      <x:c r="U1436" s="2" t="str">
        <x:v>GFA growth versus source physical quantity growth; constant conversion required for equality</x:v>
      </x:c>
      <x:c r="V1436" s="2" t="str">
        <x:v>Future horizontal path is already a v16 driver; WUP historical surface derives from GHSL</x:v>
      </x:c>
      <x:c r="W1436" s="2" t="str">
        <x:v>https://human-settlement.emergency.copernicus.eu/datasets.php</x:v>
      </x:c>
    </x:row>
    <x:row r="1437" ht="23" customHeight="1">
      <x:c r="A1437" s="2" t="str">
        <x:v>GIN</x:v>
      </x:c>
      <x:c r="B1437" s="2" t="str">
        <x:v>Guinea (Republic of)</x:v>
      </x:c>
      <x:c r="C1437" s="2" t="str">
        <x:v>WUP_SURFACE</x:v>
      </x:c>
      <x:c r="D1437" s="2" t="n">
        <x:v>2020</x:v>
      </x:c>
      <x:c r="E1437" s="2" t="n">
        <x:v>2030</x:v>
      </x:c>
      <x:c r="F1437" s="17" t="n">
        <x:v>277637578.22999954</x:v>
      </x:c>
      <x:c r="G1437" s="17" t="n">
        <x:v>372224045.2132841</x:v>
      </x:c>
      <x:c r="H1437" s="17" t="n">
        <x:v>649763986.9718647</x:v>
      </x:c>
      <x:c r="I1437" s="17" t="n">
        <x:v>865656557.2716006</x:v>
      </x:c>
      <x:c r="J1437" s="2" t="str">
        <x:v>m2</x:v>
      </x:c>
      <x:c r="K1437" s="15" t="n">
        <x:f>IF(AND(ISNUMBER(F1437),ISNUMBER(G1437),F1437&gt;0),G1437/F1437-1,"n.a.")</x:f>
        <x:v>0.3406832302251519</x:v>
      </x:c>
      <x:c r="L1437" s="15" t="n">
        <x:f>IF(AND(N1437,ISNUMBER(H1437),ISNUMBER(I1437),H1437&gt;0),I1437/H1437-1,"n.a.")</x:f>
        <x:v>0.33226305955470603</x:v>
      </x:c>
      <x:c r="M1437" s="20" t="n">
        <x:f>IF(AND(ISNUMBER(K1437),ISNUMBER(L1437)),100*(K1437-L1437),"n.a.")</x:f>
        <x:v>0.842017067044587</x:v>
      </x:c>
      <x:c r="N1437" s="13" t="b">
        <x:v>1</x:v>
      </x:c>
      <x:c r="O1437" s="13" t="b">
        <x:v>1</x:v>
      </x:c>
      <x:c r="P1437" s="13" t="b">
        <x:v>0</x:v>
      </x:c>
      <x:c r="Q1437" s="2" t="str">
        <x:v>L1_numeric_partition_qualified_not_national_completeness</x:v>
      </x:c>
      <x:c r="R1437" s="2" t="str">
        <x:v>L1_numeric_partition_qualified_not_national_completeness</x:v>
      </x:c>
      <x:c r="S1437" s="2" t="str">
        <x:v>historical_GHSL_BU_estimate</x:v>
      </x:c>
      <x:c r="T1437" s="2" t="str">
        <x:v>projected_CRISP_BU_surface</x:v>
      </x:c>
      <x:c r="U1437" s="2" t="str">
        <x:v>GFA growth versus source physical quantity growth; constant conversion required for equality</x:v>
      </x:c>
      <x:c r="V1437" s="2" t="str">
        <x:v>Future horizontal path is already a v16 driver; WUP historical surface derives from GHSL</x:v>
      </x:c>
      <x:c r="W1437" s="2" t="str">
        <x:v>https://human-settlement.emergency.copernicus.eu/datasets.php</x:v>
      </x:c>
    </x:row>
    <x:row r="1438" ht="23" customHeight="1">
      <x:c r="A1438" s="2" t="str">
        <x:v>GMB</x:v>
      </x:c>
      <x:c r="B1438" s="2" t="str">
        <x:v>Gambia (Republic of the)</x:v>
      </x:c>
      <x:c r="C1438" s="2" t="str">
        <x:v>WUP_SURFACE</x:v>
      </x:c>
      <x:c r="D1438" s="2" t="n">
        <x:v>2020</x:v>
      </x:c>
      <x:c r="E1438" s="2" t="n">
        <x:v>2030</x:v>
      </x:c>
      <x:c r="F1438" s="17" t="n">
        <x:v>56875154.52999992</x:v>
      </x:c>
      <x:c r="G1438" s="17" t="n">
        <x:v>75502319.68357317</x:v>
      </x:c>
      <x:c r="H1438" s="17" t="n">
        <x:v>114650843.82510397</x:v>
      </x:c>
      <x:c r="I1438" s="17" t="n">
        <x:v>151444773.6472655</x:v>
      </x:c>
      <x:c r="J1438" s="2" t="str">
        <x:v>m2</x:v>
      </x:c>
      <x:c r="K1438" s="15" t="n">
        <x:f>IF(AND(ISNUMBER(F1438),ISNUMBER(G1438),F1438&gt;0),G1438/F1438-1,"n.a.")</x:f>
        <x:v>0.327509706259312</x:v>
      </x:c>
      <x:c r="L1438" s="15" t="n">
        <x:f>IF(AND(N1438,ISNUMBER(H1438),ISNUMBER(I1438),H1438&gt;0),I1438/H1438-1,"n.a.")</x:f>
        <x:v>0.3209215788964399</x:v>
      </x:c>
      <x:c r="M1438" s="20" t="n">
        <x:f>IF(AND(ISNUMBER(K1438),ISNUMBER(L1438)),100*(K1438-L1438),"n.a.")</x:f>
        <x:v>0.6588127362872065</x:v>
      </x:c>
      <x:c r="N1438" s="13" t="b">
        <x:v>1</x:v>
      </x:c>
      <x:c r="O1438" s="13" t="b">
        <x:v>1</x:v>
      </x:c>
      <x:c r="P1438" s="13" t="b">
        <x:v>0</x:v>
      </x:c>
      <x:c r="Q1438" s="2" t="str">
        <x:v>L1_numeric_partition_qualified_not_national_completeness</x:v>
      </x:c>
      <x:c r="R1438" s="2" t="str">
        <x:v>L1_numeric_partition_qualified_not_national_completeness</x:v>
      </x:c>
      <x:c r="S1438" s="2" t="str">
        <x:v>historical_GHSL_BU_estimate</x:v>
      </x:c>
      <x:c r="T1438" s="2" t="str">
        <x:v>projected_CRISP_BU_surface</x:v>
      </x:c>
      <x:c r="U1438" s="2" t="str">
        <x:v>GFA growth versus source physical quantity growth; constant conversion required for equality</x:v>
      </x:c>
      <x:c r="V1438" s="2" t="str">
        <x:v>Future horizontal path is already a v16 driver; WUP historical surface derives from GHSL</x:v>
      </x:c>
      <x:c r="W1438" s="2" t="str">
        <x:v>https://human-settlement.emergency.copernicus.eu/datasets.php</x:v>
      </x:c>
    </x:row>
    <x:row r="1439" ht="23" customHeight="1">
      <x:c r="A1439" s="2" t="str">
        <x:v>GNB</x:v>
      </x:c>
      <x:c r="B1439" s="2" t="str">
        <x:v>Guinea-Bissau (Republic of)</x:v>
      </x:c>
      <x:c r="C1439" s="2" t="str">
        <x:v>WUP_SURFACE</x:v>
      </x:c>
      <x:c r="D1439" s="2" t="n">
        <x:v>2020</x:v>
      </x:c>
      <x:c r="E1439" s="2" t="n">
        <x:v>2030</x:v>
      </x:c>
      <x:c r="F1439" s="17" t="n">
        <x:v>48952674.499999925</x:v>
      </x:c>
      <x:c r="G1439" s="17" t="n">
        <x:v>65393153.65352539</x:v>
      </x:c>
      <x:c r="H1439" s="17" t="n">
        <x:v>96952541.94673587</x:v>
      </x:c>
      <x:c r="I1439" s="17" t="n">
        <x:v>128692929.74269205</x:v>
      </x:c>
      <x:c r="J1439" s="2" t="str">
        <x:v>m2</x:v>
      </x:c>
      <x:c r="K1439" s="15" t="n">
        <x:f>IF(AND(ISNUMBER(F1439),ISNUMBER(G1439),F1439&gt;0),G1439/F1439-1,"n.a.")</x:f>
        <x:v>0.3358443501085011</x:v>
      </x:c>
      <x:c r="L1439" s="15" t="n">
        <x:f>IF(AND(N1439,ISNUMBER(H1439),ISNUMBER(I1439),H1439&gt;0),I1439/H1439-1,"n.a.")</x:f>
        <x:v>0.3273806664439374</x:v>
      </x:c>
      <x:c r="M1439" s="20" t="n">
        <x:f>IF(AND(ISNUMBER(K1439),ISNUMBER(L1439)),100*(K1439-L1439),"n.a.")</x:f>
        <x:v>0.8463683664563737</x:v>
      </x:c>
      <x:c r="N1439" s="13" t="b">
        <x:v>1</x:v>
      </x:c>
      <x:c r="O1439" s="13" t="b">
        <x:v>1</x:v>
      </x:c>
      <x:c r="P1439" s="13" t="b">
        <x:v>0</x:v>
      </x:c>
      <x:c r="Q1439" s="2" t="str">
        <x:v>L1_numeric_partition_qualified_not_national_completeness</x:v>
      </x:c>
      <x:c r="R1439" s="2" t="str">
        <x:v>L1_numeric_partition_qualified_not_national_completeness</x:v>
      </x:c>
      <x:c r="S1439" s="2" t="str">
        <x:v>historical_GHSL_BU_estimate</x:v>
      </x:c>
      <x:c r="T1439" s="2" t="str">
        <x:v>projected_CRISP_BU_surface</x:v>
      </x:c>
      <x:c r="U1439" s="2" t="str">
        <x:v>GFA growth versus source physical quantity growth; constant conversion required for equality</x:v>
      </x:c>
      <x:c r="V1439" s="2" t="str">
        <x:v>Future horizontal path is already a v16 driver; WUP historical surface derives from GHSL</x:v>
      </x:c>
      <x:c r="W1439" s="2" t="str">
        <x:v>https://human-settlement.emergency.copernicus.eu/datasets.php</x:v>
      </x:c>
    </x:row>
    <x:row r="1440" ht="23" customHeight="1">
      <x:c r="A1440" s="2" t="str">
        <x:v>GNQ</x:v>
      </x:c>
      <x:c r="B1440" s="2" t="str">
        <x:v>Equatorial Guinea (Republic of)</x:v>
      </x:c>
      <x:c r="C1440" s="2" t="str">
        <x:v>WUP_SURFACE</x:v>
      </x:c>
      <x:c r="D1440" s="2" t="n">
        <x:v>2020</x:v>
      </x:c>
      <x:c r="E1440" s="2" t="n">
        <x:v>2030</x:v>
      </x:c>
      <x:c r="F1440" s="17" t="n">
        <x:v>34102626.51999995</x:v>
      </x:c>
      <x:c r="G1440" s="17" t="n">
        <x:v>49078570.3358513</x:v>
      </x:c>
      <x:c r="H1440" s="17" t="n">
        <x:v>57630347.0060426</x:v>
      </x:c>
      <x:c r="I1440" s="17" t="n">
        <x:v>82707150.52181697</x:v>
      </x:c>
      <x:c r="J1440" s="2" t="str">
        <x:v>m2</x:v>
      </x:c>
      <x:c r="K1440" s="15" t="n">
        <x:f>IF(AND(ISNUMBER(F1440),ISNUMBER(G1440),F1440&gt;0),G1440/F1440-1,"n.a.")</x:f>
        <x:v>0.43914341339862784</x:v>
      </x:c>
      <x:c r="L1440" s="15" t="n">
        <x:f>IF(AND(N1440,ISNUMBER(H1440),ISNUMBER(I1440),H1440&gt;0),I1440/H1440-1,"n.a.")</x:f>
        <x:v>0.435131919527485</x:v>
      </x:c>
      <x:c r="M1440" s="20" t="n">
        <x:f>IF(AND(ISNUMBER(K1440),ISNUMBER(L1440)),100*(K1440-L1440),"n.a.")</x:f>
        <x:v>0.4011493871142857</x:v>
      </x:c>
      <x:c r="N1440" s="13" t="b">
        <x:v>1</x:v>
      </x:c>
      <x:c r="O1440" s="13" t="b">
        <x:v>1</x:v>
      </x:c>
      <x:c r="P1440" s="13" t="b">
        <x:v>0</x:v>
      </x:c>
      <x:c r="Q1440" s="2" t="str">
        <x:v>L1_numeric_partition_qualified_not_national_completeness</x:v>
      </x:c>
      <x:c r="R1440" s="2" t="str">
        <x:v>L1_numeric_partition_qualified_not_national_completeness</x:v>
      </x:c>
      <x:c r="S1440" s="2" t="str">
        <x:v>historical_GHSL_BU_estimate</x:v>
      </x:c>
      <x:c r="T1440" s="2" t="str">
        <x:v>projected_CRISP_BU_surface</x:v>
      </x:c>
      <x:c r="U1440" s="2" t="str">
        <x:v>GFA growth versus source physical quantity growth; constant conversion required for equality</x:v>
      </x:c>
      <x:c r="V1440" s="2" t="str">
        <x:v>Future horizontal path is already a v16 driver; WUP historical surface derives from GHSL</x:v>
      </x:c>
      <x:c r="W1440" s="2" t="str">
        <x:v>https://human-settlement.emergency.copernicus.eu/datasets.php</x:v>
      </x:c>
    </x:row>
    <x:row r="1441" ht="23" customHeight="1">
      <x:c r="A1441" s="2" t="str">
        <x:v>GRC</x:v>
      </x:c>
      <x:c r="B1441" s="2" t="str">
        <x:v>Greece (Hellenic Republic)</x:v>
      </x:c>
      <x:c r="C1441" s="2" t="str">
        <x:v>WUP_SURFACE</x:v>
      </x:c>
      <x:c r="D1441" s="2" t="n">
        <x:v>2020</x:v>
      </x:c>
      <x:c r="E1441" s="2" t="n">
        <x:v>2030</x:v>
      </x:c>
      <x:c r="F1441" s="17" t="n">
        <x:v>853851739.6700008</x:v>
      </x:c>
      <x:c r="G1441" s="17" t="n">
        <x:v>936004250.0735512</x:v>
      </x:c>
      <x:c r="H1441" s="17" t="n">
        <x:v>1184598146.8152592</x:v>
      </x:c>
      <x:c r="I1441" s="17" t="n">
        <x:v>1295363279.897215</x:v>
      </x:c>
      <x:c r="J1441" s="2" t="str">
        <x:v>m2</x:v>
      </x:c>
      <x:c r="K1441" s="15" t="n">
        <x:f>IF(AND(ISNUMBER(F1441),ISNUMBER(G1441),F1441&gt;0),G1441/F1441-1,"n.a.")</x:f>
        <x:v>0.09621402239609056</x:v>
      </x:c>
      <x:c r="L1441" s="15" t="n">
        <x:f>IF(AND(N1441,ISNUMBER(H1441),ISNUMBER(I1441),H1441&gt;0),I1441/H1441-1,"n.a.")</x:f>
        <x:v>0.0935043950387251</x:v>
      </x:c>
      <x:c r="M1441" s="20" t="n">
        <x:f>IF(AND(ISNUMBER(K1441),ISNUMBER(L1441)),100*(K1441-L1441),"n.a.")</x:f>
        <x:v>0.2709627357365463</x:v>
      </x:c>
      <x:c r="N1441" s="13" t="b">
        <x:v>1</x:v>
      </x:c>
      <x:c r="O1441" s="13" t="b">
        <x:v>1</x:v>
      </x:c>
      <x:c r="P1441" s="13" t="b">
        <x:v>0</x:v>
      </x:c>
      <x:c r="Q1441" s="2" t="str">
        <x:v>L1_numeric_partition_qualified_not_national_completeness</x:v>
      </x:c>
      <x:c r="R1441" s="2" t="str">
        <x:v>L1_numeric_partition_qualified_not_national_completeness</x:v>
      </x:c>
      <x:c r="S1441" s="2" t="str">
        <x:v>historical_GHSL_BU_estimate</x:v>
      </x:c>
      <x:c r="T1441" s="2" t="str">
        <x:v>projected_CRISP_BU_surface</x:v>
      </x:c>
      <x:c r="U1441" s="2" t="str">
        <x:v>GFA growth versus source physical quantity growth; constant conversion required for equality</x:v>
      </x:c>
      <x:c r="V1441" s="2" t="str">
        <x:v>Future horizontal path is already a v16 driver; WUP historical surface derives from GHSL</x:v>
      </x:c>
      <x:c r="W1441" s="2" t="str">
        <x:v>https://human-settlement.emergency.copernicus.eu/datasets.php</x:v>
      </x:c>
    </x:row>
    <x:row r="1442" ht="23" customHeight="1">
      <x:c r="A1442" s="2" t="str">
        <x:v>GRD</x:v>
      </x:c>
      <x:c r="B1442" s="2" t="str">
        <x:v>Grenada</x:v>
      </x:c>
      <x:c r="C1442" s="2" t="str">
        <x:v>WUP_SURFACE</x:v>
      </x:c>
      <x:c r="D1442" s="2" t="n">
        <x:v>2020</x:v>
      </x:c>
      <x:c r="E1442" s="2" t="n">
        <x:v>2030</x:v>
      </x:c>
      <x:c r="F1442" s="17" t="n">
        <x:v>6904998.419999993</x:v>
      </x:c>
      <x:c r="G1442" s="17" t="n">
        <x:v>7807263.875609872</x:v>
      </x:c>
      <x:c r="H1442" s="17" t="n">
        <x:v>9899280.970064864</x:v>
      </x:c>
      <x:c r="I1442" s="17" t="n">
        <x:v>11159700.042753683</x:v>
      </x:c>
      <x:c r="J1442" s="2" t="str">
        <x:v>m2</x:v>
      </x:c>
      <x:c r="K1442" s="15" t="n">
        <x:f>IF(AND(ISNUMBER(F1442),ISNUMBER(G1442),F1442&gt;0),G1442/F1442-1,"n.a.")</x:f>
        <x:v>0.13066845214569645</x:v>
      </x:c>
      <x:c r="L1442" s="15" t="n">
        <x:f>IF(AND(N1442,ISNUMBER(H1442),ISNUMBER(I1442),H1442&gt;0),I1442/H1442-1,"n.a.")</x:f>
        <x:v>0.12732430532078953</x:v>
      </x:c>
      <x:c r="M1442" s="20" t="n">
        <x:f>IF(AND(ISNUMBER(K1442),ISNUMBER(L1442)),100*(K1442-L1442),"n.a.")</x:f>
        <x:v>0.3344146824906913</x:v>
      </x:c>
      <x:c r="N1442" s="13" t="b">
        <x:v>1</x:v>
      </x:c>
      <x:c r="O1442" s="13" t="b">
        <x:v>1</x:v>
      </x:c>
      <x:c r="P1442" s="13" t="b">
        <x:v>0</x:v>
      </x:c>
      <x:c r="Q1442" s="2" t="str">
        <x:v>L1_numeric_partition_qualified_not_national_completeness</x:v>
      </x:c>
      <x:c r="R1442" s="2" t="str">
        <x:v>L1_numeric_partition_qualified_not_national_completeness</x:v>
      </x:c>
      <x:c r="S1442" s="2" t="str">
        <x:v>historical_GHSL_BU_estimate</x:v>
      </x:c>
      <x:c r="T1442" s="2" t="str">
        <x:v>projected_CRISP_BU_surface</x:v>
      </x:c>
      <x:c r="U1442" s="2" t="str">
        <x:v>GFA growth versus source physical quantity growth; constant conversion required for equality</x:v>
      </x:c>
      <x:c r="V1442" s="2" t="str">
        <x:v>Future horizontal path is already a v16 driver; WUP historical surface derives from GHSL</x:v>
      </x:c>
      <x:c r="W1442" s="2" t="str">
        <x:v>https://human-settlement.emergency.copernicus.eu/datasets.php</x:v>
      </x:c>
    </x:row>
    <x:row r="1443" ht="23" customHeight="1">
      <x:c r="A1443" s="2" t="str">
        <x:v>GTM</x:v>
      </x:c>
      <x:c r="B1443" s="2" t="str">
        <x:v>Guatemala (Republic of)</x:v>
      </x:c>
      <x:c r="C1443" s="2" t="str">
        <x:v>WUP_SURFACE</x:v>
      </x:c>
      <x:c r="D1443" s="2" t="n">
        <x:v>2020</x:v>
      </x:c>
      <x:c r="E1443" s="2" t="n">
        <x:v>2030</x:v>
      </x:c>
      <x:c r="F1443" s="17" t="n">
        <x:v>599114028.8099989</x:v>
      </x:c>
      <x:c r="G1443" s="17" t="n">
        <x:v>759123829.9005953</x:v>
      </x:c>
      <x:c r="H1443" s="17" t="n">
        <x:v>933677044.955574</x:v>
      </x:c>
      <x:c r="I1443" s="17" t="n">
        <x:v>1177088361.7530107</x:v>
      </x:c>
      <x:c r="J1443" s="2" t="str">
        <x:v>m2</x:v>
      </x:c>
      <x:c r="K1443" s="15" t="n">
        <x:f>IF(AND(ISNUMBER(F1443),ISNUMBER(G1443),F1443&gt;0),G1443/F1443-1,"n.a.")</x:f>
        <x:v>0.2670773732479923</x:v>
      </x:c>
      <x:c r="L1443" s="15" t="n">
        <x:f>IF(AND(N1443,ISNUMBER(H1443),ISNUMBER(I1443),H1443&gt;0),I1443/H1443-1,"n.a.")</x:f>
        <x:v>0.2607018327295587</x:v>
      </x:c>
      <x:c r="M1443" s="20" t="n">
        <x:f>IF(AND(ISNUMBER(K1443),ISNUMBER(L1443)),100*(K1443-L1443),"n.a.")</x:f>
        <x:v>0.6375540518433587</x:v>
      </x:c>
      <x:c r="N1443" s="13" t="b">
        <x:v>1</x:v>
      </x:c>
      <x:c r="O1443" s="13" t="b">
        <x:v>1</x:v>
      </x:c>
      <x:c r="P1443" s="13" t="b">
        <x:v>0</x:v>
      </x:c>
      <x:c r="Q1443" s="2" t="str">
        <x:v>L1_numeric_partition_qualified_not_national_completeness</x:v>
      </x:c>
      <x:c r="R1443" s="2" t="str">
        <x:v>L1_numeric_partition_qualified_not_national_completeness</x:v>
      </x:c>
      <x:c r="S1443" s="2" t="str">
        <x:v>historical_GHSL_BU_estimate</x:v>
      </x:c>
      <x:c r="T1443" s="2" t="str">
        <x:v>projected_CRISP_BU_surface</x:v>
      </x:c>
      <x:c r="U1443" s="2" t="str">
        <x:v>GFA growth versus source physical quantity growth; constant conversion required for equality</x:v>
      </x:c>
      <x:c r="V1443" s="2" t="str">
        <x:v>Future horizontal path is already a v16 driver; WUP historical surface derives from GHSL</x:v>
      </x:c>
      <x:c r="W1443" s="2" t="str">
        <x:v>https://human-settlement.emergency.copernicus.eu/datasets.php</x:v>
      </x:c>
    </x:row>
    <x:row r="1444" ht="23" customHeight="1">
      <x:c r="A1444" s="2" t="str">
        <x:v>GUY</x:v>
      </x:c>
      <x:c r="B1444" s="2" t="str">
        <x:v>Guyana (Co-operative Republic of)</x:v>
      </x:c>
      <x:c r="C1444" s="2" t="str">
        <x:v>WUP_SURFACE</x:v>
      </x:c>
      <x:c r="D1444" s="2" t="n">
        <x:v>2020</x:v>
      </x:c>
      <x:c r="E1444" s="2" t="n">
        <x:v>2030</x:v>
      </x:c>
      <x:c r="F1444" s="17" t="n">
        <x:v>46462035.66000002</x:v>
      </x:c>
      <x:c r="G1444" s="17" t="n">
        <x:v>57334627.06655377</x:v>
      </x:c>
      <x:c r="H1444" s="17" t="n">
        <x:v>58881835.14478123</x:v>
      </x:c>
      <x:c r="I1444" s="17" t="n">
        <x:v>72122402.50293837</x:v>
      </x:c>
      <x:c r="J1444" s="2" t="str">
        <x:v>m2</x:v>
      </x:c>
      <x:c r="K1444" s="15" t="n">
        <x:f>IF(AND(ISNUMBER(F1444),ISNUMBER(G1444),F1444&gt;0),G1444/F1444-1,"n.a.")</x:f>
        <x:v>0.23401022473740118</x:v>
      </x:c>
      <x:c r="L1444" s="15" t="n">
        <x:f>IF(AND(N1444,ISNUMBER(H1444),ISNUMBER(I1444),H1444&gt;0),I1444/H1444-1,"n.a.")</x:f>
        <x:v>0.22486675772928377</x:v>
      </x:c>
      <x:c r="M1444" s="20" t="n">
        <x:f>IF(AND(ISNUMBER(K1444),ISNUMBER(L1444)),100*(K1444-L1444),"n.a.")</x:f>
        <x:v>0.9143467008117412</x:v>
      </x:c>
      <x:c r="N1444" s="13" t="b">
        <x:v>1</x:v>
      </x:c>
      <x:c r="O1444" s="13" t="b">
        <x:v>1</x:v>
      </x:c>
      <x:c r="P1444" s="13" t="b">
        <x:v>0</x:v>
      </x:c>
      <x:c r="Q1444" s="2" t="str">
        <x:v>L1_numeric_partition_qualified_not_national_completeness</x:v>
      </x:c>
      <x:c r="R1444" s="2" t="str">
        <x:v>L1_numeric_partition_qualified_not_national_completeness</x:v>
      </x:c>
      <x:c r="S1444" s="2" t="str">
        <x:v>historical_GHSL_BU_estimate</x:v>
      </x:c>
      <x:c r="T1444" s="2" t="str">
        <x:v>projected_CRISP_BU_surface</x:v>
      </x:c>
      <x:c r="U1444" s="2" t="str">
        <x:v>GFA growth versus source physical quantity growth; constant conversion required for equality</x:v>
      </x:c>
      <x:c r="V1444" s="2" t="str">
        <x:v>Future horizontal path is already a v16 driver; WUP historical surface derives from GHSL</x:v>
      </x:c>
      <x:c r="W1444" s="2" t="str">
        <x:v>https://human-settlement.emergency.copernicus.eu/datasets.php</x:v>
      </x:c>
    </x:row>
    <x:row r="1445" ht="23" customHeight="1">
      <x:c r="A1445" s="2" t="str">
        <x:v>HND</x:v>
      </x:c>
      <x:c r="B1445" s="2" t="str">
        <x:v>Honduras (Republic of)</x:v>
      </x:c>
      <x:c r="C1445" s="2" t="str">
        <x:v>WUP_SURFACE</x:v>
      </x:c>
      <x:c r="D1445" s="2" t="n">
        <x:v>2020</x:v>
      </x:c>
      <x:c r="E1445" s="2" t="n">
        <x:v>2030</x:v>
      </x:c>
      <x:c r="F1445" s="17" t="n">
        <x:v>335660713.2700002</x:v>
      </x:c>
      <x:c r="G1445" s="17" t="n">
        <x:v>430207048.3711314</x:v>
      </x:c>
      <x:c r="H1445" s="17" t="n">
        <x:v>565893835.2078419</x:v>
      </x:c>
      <x:c r="I1445" s="17" t="n">
        <x:v>721018733.3643303</x:v>
      </x:c>
      <x:c r="J1445" s="2" t="str">
        <x:v>m2</x:v>
      </x:c>
      <x:c r="K1445" s="15" t="n">
        <x:f>IF(AND(ISNUMBER(F1445),ISNUMBER(G1445),F1445&gt;0),G1445/F1445-1,"n.a.")</x:f>
        <x:v>0.281672329716703</x:v>
      </x:c>
      <x:c r="L1445" s="15" t="n">
        <x:f>IF(AND(N1445,ISNUMBER(H1445),ISNUMBER(I1445),H1445&gt;0),I1445/H1445-1,"n.a.")</x:f>
        <x:v>0.2741236756882395</x:v>
      </x:c>
      <x:c r="M1445" s="20" t="n">
        <x:f>IF(AND(ISNUMBER(K1445),ISNUMBER(L1445)),100*(K1445-L1445),"n.a.")</x:f>
        <x:v>0.7548654028463497</x:v>
      </x:c>
      <x:c r="N1445" s="13" t="b">
        <x:v>1</x:v>
      </x:c>
      <x:c r="O1445" s="13" t="b">
        <x:v>1</x:v>
      </x:c>
      <x:c r="P1445" s="13" t="b">
        <x:v>0</x:v>
      </x:c>
      <x:c r="Q1445" s="2" t="str">
        <x:v>L1_numeric_partition_qualified_not_national_completeness</x:v>
      </x:c>
      <x:c r="R1445" s="2" t="str">
        <x:v>L1_numeric_partition_qualified_not_national_completeness</x:v>
      </x:c>
      <x:c r="S1445" s="2" t="str">
        <x:v>historical_GHSL_BU_estimate</x:v>
      </x:c>
      <x:c r="T1445" s="2" t="str">
        <x:v>projected_CRISP_BU_surface</x:v>
      </x:c>
      <x:c r="U1445" s="2" t="str">
        <x:v>GFA growth versus source physical quantity growth; constant conversion required for equality</x:v>
      </x:c>
      <x:c r="V1445" s="2" t="str">
        <x:v>Future horizontal path is already a v16 driver; WUP historical surface derives from GHSL</x:v>
      </x:c>
      <x:c r="W1445" s="2" t="str">
        <x:v>https://human-settlement.emergency.copernicus.eu/datasets.php</x:v>
      </x:c>
    </x:row>
    <x:row r="1446" ht="23" customHeight="1">
      <x:c r="A1446" s="2" t="str">
        <x:v>HRV</x:v>
      </x:c>
      <x:c r="B1446" s="2" t="str">
        <x:v>Croatia (Republic of)</x:v>
      </x:c>
      <x:c r="C1446" s="2" t="str">
        <x:v>WUP_SURFACE</x:v>
      </x:c>
      <x:c r="D1446" s="2" t="n">
        <x:v>2020</x:v>
      </x:c>
      <x:c r="E1446" s="2" t="n">
        <x:v>2030</x:v>
      </x:c>
      <x:c r="F1446" s="17" t="n">
        <x:v>361520718.4299994</x:v>
      </x:c>
      <x:c r="G1446" s="17" t="n">
        <x:v>387691837.61021745</x:v>
      </x:c>
      <x:c r="H1446" s="17" t="n">
        <x:v>513991735.8921723</x:v>
      </x:c>
      <x:c r="I1446" s="17" t="n">
        <x:v>551348024.5093299</x:v>
      </x:c>
      <x:c r="J1446" s="2" t="str">
        <x:v>m2</x:v>
      </x:c>
      <x:c r="K1446" s="15" t="n">
        <x:f>IF(AND(ISNUMBER(F1446),ISNUMBER(G1446),F1446&gt;0),G1446/F1446-1,"n.a.")</x:f>
        <x:v>0.07239175473503456</x:v>
      </x:c>
      <x:c r="L1446" s="15" t="n">
        <x:f>IF(AND(N1446,ISNUMBER(H1446),ISNUMBER(I1446),H1446&gt;0),I1446/H1446-1,"n.a.")</x:f>
        <x:v>0.07267877284508417</x:v>
      </x:c>
      <x:c r="M1446" s="20" t="n">
        <x:f>IF(AND(ISNUMBER(K1446),ISNUMBER(L1446)),100*(K1446-L1446),"n.a.")</x:f>
        <x:v>-0.02870181100496083</x:v>
      </x:c>
      <x:c r="N1446" s="13" t="b">
        <x:v>1</x:v>
      </x:c>
      <x:c r="O1446" s="13" t="b">
        <x:v>1</x:v>
      </x:c>
      <x:c r="P1446" s="13" t="b">
        <x:v>0</x:v>
      </x:c>
      <x:c r="Q1446" s="2" t="str">
        <x:v>L1_numeric_partition_qualified_not_national_completeness</x:v>
      </x:c>
      <x:c r="R1446" s="2" t="str">
        <x:v>L1_numeric_partition_qualified_not_national_completeness</x:v>
      </x:c>
      <x:c r="S1446" s="2" t="str">
        <x:v>historical_GHSL_BU_estimate</x:v>
      </x:c>
      <x:c r="T1446" s="2" t="str">
        <x:v>projected_CRISP_BU_surface</x:v>
      </x:c>
      <x:c r="U1446" s="2" t="str">
        <x:v>GFA growth versus source physical quantity growth; constant conversion required for equality</x:v>
      </x:c>
      <x:c r="V1446" s="2" t="str">
        <x:v>Future horizontal path is already a v16 driver; WUP historical surface derives from GHSL</x:v>
      </x:c>
      <x:c r="W1446" s="2" t="str">
        <x:v>https://human-settlement.emergency.copernicus.eu/datasets.php</x:v>
      </x:c>
    </x:row>
    <x:row r="1447" ht="23" customHeight="1">
      <x:c r="A1447" s="2" t="str">
        <x:v>HTI</x:v>
      </x:c>
      <x:c r="B1447" s="2" t="str">
        <x:v>Haiti (Republic of)</x:v>
      </x:c>
      <x:c r="C1447" s="2" t="str">
        <x:v>WUP_SURFACE</x:v>
      </x:c>
      <x:c r="D1447" s="2" t="n">
        <x:v>2020</x:v>
      </x:c>
      <x:c r="E1447" s="2" t="n">
        <x:v>2030</x:v>
      </x:c>
      <x:c r="F1447" s="17" t="n">
        <x:v>189002396.5400002</x:v>
      </x:c>
      <x:c r="G1447" s="17" t="n">
        <x:v>255498825.7936861</x:v>
      </x:c>
      <x:c r="H1447" s="17" t="n">
        <x:v>292667027.0329865</x:v>
      </x:c>
      <x:c r="I1447" s="17" t="n">
        <x:v>393574646.1365434</x:v>
      </x:c>
      <x:c r="J1447" s="2" t="str">
        <x:v>m2</x:v>
      </x:c>
      <x:c r="K1447" s="15" t="n">
        <x:f>IF(AND(ISNUMBER(F1447),ISNUMBER(G1447),F1447&gt;0),G1447/F1447-1,"n.a.")</x:f>
        <x:v>0.35182849779162817</x:v>
      </x:c>
      <x:c r="L1447" s="15" t="n">
        <x:f>IF(AND(N1447,ISNUMBER(H1447),ISNUMBER(I1447),H1447&gt;0),I1447/H1447-1,"n.a.")</x:f>
        <x:v>0.3447864288865843</x:v>
      </x:c>
      <x:c r="M1447" s="20" t="n">
        <x:f>IF(AND(ISNUMBER(K1447),ISNUMBER(L1447)),100*(K1447-L1447),"n.a.")</x:f>
        <x:v>0.7042068905043886</x:v>
      </x:c>
      <x:c r="N1447" s="13" t="b">
        <x:v>1</x:v>
      </x:c>
      <x:c r="O1447" s="13" t="b">
        <x:v>1</x:v>
      </x:c>
      <x:c r="P1447" s="13" t="b">
        <x:v>0</x:v>
      </x:c>
      <x:c r="Q1447" s="2" t="str">
        <x:v>L1_numeric_partition_qualified_not_national_completeness</x:v>
      </x:c>
      <x:c r="R1447" s="2" t="str">
        <x:v>L1_numeric_partition_qualified_not_national_completeness</x:v>
      </x:c>
      <x:c r="S1447" s="2" t="str">
        <x:v>historical_GHSL_BU_estimate</x:v>
      </x:c>
      <x:c r="T1447" s="2" t="str">
        <x:v>projected_CRISP_BU_surface</x:v>
      </x:c>
      <x:c r="U1447" s="2" t="str">
        <x:v>GFA growth versus source physical quantity growth; constant conversion required for equality</x:v>
      </x:c>
      <x:c r="V1447" s="2" t="str">
        <x:v>Future horizontal path is already a v16 driver; WUP historical surface derives from GHSL</x:v>
      </x:c>
      <x:c r="W1447" s="2" t="str">
        <x:v>https://human-settlement.emergency.copernicus.eu/datasets.php</x:v>
      </x:c>
    </x:row>
    <x:row r="1448" ht="23" customHeight="1">
      <x:c r="A1448" s="2" t="str">
        <x:v>HUN</x:v>
      </x:c>
      <x:c r="B1448" s="2" t="str">
        <x:v>Hungary</x:v>
      </x:c>
      <x:c r="C1448" s="2" t="str">
        <x:v>WUP_SURFACE</x:v>
      </x:c>
      <x:c r="D1448" s="2" t="n">
        <x:v>2020</x:v>
      </x:c>
      <x:c r="E1448" s="2" t="n">
        <x:v>2030</x:v>
      </x:c>
      <x:c r="F1448" s="17" t="n">
        <x:v>853072780.5300013</x:v>
      </x:c>
      <x:c r="G1448" s="17" t="n">
        <x:v>954180754.7939659</x:v>
      </x:c>
      <x:c r="H1448" s="17" t="n">
        <x:v>1296768067.9325144</x:v>
      </x:c>
      <x:c r="I1448" s="17" t="n">
        <x:v>1447576603.5728643</x:v>
      </x:c>
      <x:c r="J1448" s="2" t="str">
        <x:v>m2</x:v>
      </x:c>
      <x:c r="K1448" s="15" t="n">
        <x:f>IF(AND(ISNUMBER(F1448),ISNUMBER(G1448),F1448&gt;0),G1448/F1448-1,"n.a.")</x:f>
        <x:v>0.11852209632236521</x:v>
      </x:c>
      <x:c r="L1448" s="15" t="n">
        <x:f>IF(AND(N1448,ISNUMBER(H1448),ISNUMBER(I1448),H1448&gt;0),I1448/H1448-1,"n.a.")</x:f>
        <x:v>0.11629568877400676</x:v>
      </x:c>
      <x:c r="M1448" s="20" t="n">
        <x:f>IF(AND(ISNUMBER(K1448),ISNUMBER(L1448)),100*(K1448-L1448),"n.a.")</x:f>
        <x:v>0.22264075483584556</x:v>
      </x:c>
      <x:c r="N1448" s="13" t="b">
        <x:v>1</x:v>
      </x:c>
      <x:c r="O1448" s="13" t="b">
        <x:v>1</x:v>
      </x:c>
      <x:c r="P1448" s="13" t="b">
        <x:v>0</x:v>
      </x:c>
      <x:c r="Q1448" s="2" t="str">
        <x:v>L1_numeric_partition_qualified_not_national_completeness</x:v>
      </x:c>
      <x:c r="R1448" s="2" t="str">
        <x:v>L1_numeric_partition_qualified_not_national_completeness</x:v>
      </x:c>
      <x:c r="S1448" s="2" t="str">
        <x:v>historical_GHSL_BU_estimate</x:v>
      </x:c>
      <x:c r="T1448" s="2" t="str">
        <x:v>projected_CRISP_BU_surface</x:v>
      </x:c>
      <x:c r="U1448" s="2" t="str">
        <x:v>GFA growth versus source physical quantity growth; constant conversion required for equality</x:v>
      </x:c>
      <x:c r="V1448" s="2" t="str">
        <x:v>Future horizontal path is already a v16 driver; WUP historical surface derives from GHSL</x:v>
      </x:c>
      <x:c r="W1448" s="2" t="str">
        <x:v>https://human-settlement.emergency.copernicus.eu/datasets.php</x:v>
      </x:c>
    </x:row>
    <x:row r="1449" ht="23" customHeight="1">
      <x:c r="A1449" s="2" t="str">
        <x:v>IDN</x:v>
      </x:c>
      <x:c r="B1449" s="2" t="str">
        <x:v>Indonesia (Republic of)</x:v>
      </x:c>
      <x:c r="C1449" s="2" t="str">
        <x:v>WUP_SURFACE</x:v>
      </x:c>
      <x:c r="D1449" s="2" t="n">
        <x:v>2020</x:v>
      </x:c>
      <x:c r="E1449" s="2" t="n">
        <x:v>2030</x:v>
      </x:c>
      <x:c r="F1449" s="17" t="n">
        <x:v>10794355074.089985</x:v>
      </x:c>
      <x:c r="G1449" s="17" t="n">
        <x:v>13595413988.360666</x:v>
      </x:c>
      <x:c r="H1449" s="17" t="n">
        <x:v>10555709715.863432</x:v>
      </x:c>
      <x:c r="I1449" s="17" t="n">
        <x:v>13228684799.620317</x:v>
      </x:c>
      <x:c r="J1449" s="2" t="str">
        <x:v>m2</x:v>
      </x:c>
      <x:c r="K1449" s="15" t="n">
        <x:f>IF(AND(ISNUMBER(F1449),ISNUMBER(G1449),F1449&gt;0),G1449/F1449-1,"n.a.")</x:f>
        <x:v>0.2594929382112088</x:v>
      </x:c>
      <x:c r="L1449" s="15" t="n">
        <x:f>IF(AND(N1449,ISNUMBER(H1449),ISNUMBER(I1449),H1449&gt;0),I1449/H1449-1,"n.a.")</x:f>
        <x:v>0.253225520188364</x:v>
      </x:c>
      <x:c r="M1449" s="20" t="n">
        <x:f>IF(AND(ISNUMBER(K1449),ISNUMBER(L1449)),100*(K1449-L1449),"n.a.")</x:f>
        <x:v>0.6267418022844806</x:v>
      </x:c>
      <x:c r="N1449" s="13" t="b">
        <x:v>1</x:v>
      </x:c>
      <x:c r="O1449" s="13" t="b">
        <x:v>1</x:v>
      </x:c>
      <x:c r="P1449" s="13" t="b">
        <x:v>0</x:v>
      </x:c>
      <x:c r="Q1449" s="2" t="str">
        <x:v>L1_numeric_partition_qualified_not_national_completeness</x:v>
      </x:c>
      <x:c r="R1449" s="2" t="str">
        <x:v>L1_numeric_partition_qualified_not_national_completeness</x:v>
      </x:c>
      <x:c r="S1449" s="2" t="str">
        <x:v>historical_GHSL_BU_estimate</x:v>
      </x:c>
      <x:c r="T1449" s="2" t="str">
        <x:v>projected_CRISP_BU_surface</x:v>
      </x:c>
      <x:c r="U1449" s="2" t="str">
        <x:v>GFA growth versus source physical quantity growth; constant conversion required for equality</x:v>
      </x:c>
      <x:c r="V1449" s="2" t="str">
        <x:v>Future horizontal path is already a v16 driver; WUP historical surface derives from GHSL</x:v>
      </x:c>
      <x:c r="W1449" s="2" t="str">
        <x:v>https://human-settlement.emergency.copernicus.eu/datasets.php</x:v>
      </x:c>
    </x:row>
    <x:row r="1450" ht="23" customHeight="1">
      <x:c r="A1450" s="2" t="str">
        <x:v>IND</x:v>
      </x:c>
      <x:c r="B1450" s="2" t="str">
        <x:v>India (Republic of)</x:v>
      </x:c>
      <x:c r="C1450" s="2" t="str">
        <x:v>WUP_SURFACE</x:v>
      </x:c>
      <x:c r="D1450" s="2" t="n">
        <x:v>2020</x:v>
      </x:c>
      <x:c r="E1450" s="2" t="n">
        <x:v>2030</x:v>
      </x:c>
      <x:c r="F1450" s="17" t="n">
        <x:v>27853638424.040043</x:v>
      </x:c>
      <x:c r="G1450" s="17" t="n">
        <x:v>37248696352.96448</x:v>
      </x:c>
      <x:c r="H1450" s="17" t="n">
        <x:v>38257833490.03374</x:v>
      </x:c>
      <x:c r="I1450" s="17" t="n">
        <x:v>50816796767.33345</x:v>
      </x:c>
      <x:c r="J1450" s="2" t="str">
        <x:v>m2</x:v>
      </x:c>
      <x:c r="K1450" s="15" t="n">
        <x:f>IF(AND(ISNUMBER(F1450),ISNUMBER(G1450),F1450&gt;0),G1450/F1450-1,"n.a.")</x:f>
        <x:v>0.33730092226715014</x:v>
      </x:c>
      <x:c r="L1450" s="15" t="n">
        <x:f>IF(AND(N1450,ISNUMBER(H1450),ISNUMBER(I1450),H1450&gt;0),I1450/H1450-1,"n.a.")</x:f>
        <x:v>0.32827168011412233</x:v>
      </x:c>
      <x:c r="M1450" s="20" t="n">
        <x:f>IF(AND(ISNUMBER(K1450),ISNUMBER(L1450)),100*(K1450-L1450),"n.a.")</x:f>
        <x:v>0.9029242153027806</x:v>
      </x:c>
      <x:c r="N1450" s="13" t="b">
        <x:v>1</x:v>
      </x:c>
      <x:c r="O1450" s="13" t="b">
        <x:v>1</x:v>
      </x:c>
      <x:c r="P1450" s="13" t="b">
        <x:v>0</x:v>
      </x:c>
      <x:c r="Q1450" s="2" t="str">
        <x:v>L1_numeric_partition_qualified_not_national_completeness</x:v>
      </x:c>
      <x:c r="R1450" s="2" t="str">
        <x:v>L1_numeric_partition_qualified_not_national_completeness</x:v>
      </x:c>
      <x:c r="S1450" s="2" t="str">
        <x:v>historical_GHSL_BU_estimate</x:v>
      </x:c>
      <x:c r="T1450" s="2" t="str">
        <x:v>projected_CRISP_BU_surface</x:v>
      </x:c>
      <x:c r="U1450" s="2" t="str">
        <x:v>GFA growth versus source physical quantity growth; constant conversion required for equality</x:v>
      </x:c>
      <x:c r="V1450" s="2" t="str">
        <x:v>Future horizontal path is already a v16 driver; WUP historical surface derives from GHSL</x:v>
      </x:c>
      <x:c r="W1450" s="2" t="str">
        <x:v>https://human-settlement.emergency.copernicus.eu/datasets.php</x:v>
      </x:c>
    </x:row>
    <x:row r="1451" ht="23" customHeight="1">
      <x:c r="A1451" s="2" t="str">
        <x:v>IRL</x:v>
      </x:c>
      <x:c r="B1451" s="2" t="str">
        <x:v>Ireland</x:v>
      </x:c>
      <x:c r="C1451" s="2" t="str">
        <x:v>WUP_SURFACE</x:v>
      </x:c>
      <x:c r="D1451" s="2" t="n">
        <x:v>2020</x:v>
      </x:c>
      <x:c r="E1451" s="2" t="n">
        <x:v>2030</x:v>
      </x:c>
      <x:c r="F1451" s="17" t="n">
        <x:v>426553619.39999974</x:v>
      </x:c>
      <x:c r="G1451" s="17" t="n">
        <x:v>514338215.9913705</x:v>
      </x:c>
      <x:c r="H1451" s="17" t="n">
        <x:v>733764827.0827649</x:v>
      </x:c>
      <x:c r="I1451" s="17" t="n">
        <x:v>878554594.1887883</x:v>
      </x:c>
      <x:c r="J1451" s="2" t="str">
        <x:v>m2</x:v>
      </x:c>
      <x:c r="K1451" s="15" t="n">
        <x:f>IF(AND(ISNUMBER(F1451),ISNUMBER(G1451),F1451&gt;0),G1451/F1451-1,"n.a.")</x:f>
        <x:v>0.205799675817663</x:v>
      </x:c>
      <x:c r="L1451" s="15" t="n">
        <x:f>IF(AND(N1451,ISNUMBER(H1451),ISNUMBER(I1451),H1451&gt;0),I1451/H1451-1,"n.a.")</x:f>
        <x:v>0.19732448566888294</x:v>
      </x:c>
      <x:c r="M1451" s="20" t="n">
        <x:f>IF(AND(ISNUMBER(K1451),ISNUMBER(L1451)),100*(K1451-L1451),"n.a.")</x:f>
        <x:v>0.8475190148780065</x:v>
      </x:c>
      <x:c r="N1451" s="13" t="b">
        <x:v>1</x:v>
      </x:c>
      <x:c r="O1451" s="13" t="b">
        <x:v>1</x:v>
      </x:c>
      <x:c r="P1451" s="13" t="b">
        <x:v>0</x:v>
      </x:c>
      <x:c r="Q1451" s="2" t="str">
        <x:v>L1_numeric_partition_qualified_not_national_completeness</x:v>
      </x:c>
      <x:c r="R1451" s="2" t="str">
        <x:v>L1_numeric_partition_qualified_not_national_completeness</x:v>
      </x:c>
      <x:c r="S1451" s="2" t="str">
        <x:v>historical_GHSL_BU_estimate</x:v>
      </x:c>
      <x:c r="T1451" s="2" t="str">
        <x:v>projected_CRISP_BU_surface</x:v>
      </x:c>
      <x:c r="U1451" s="2" t="str">
        <x:v>GFA growth versus source physical quantity growth; constant conversion required for equality</x:v>
      </x:c>
      <x:c r="V1451" s="2" t="str">
        <x:v>Future horizontal path is already a v16 driver; WUP historical surface derives from GHSL</x:v>
      </x:c>
      <x:c r="W1451" s="2" t="str">
        <x:v>https://human-settlement.emergency.copernicus.eu/datasets.php</x:v>
      </x:c>
    </x:row>
    <x:row r="1452" ht="23" customHeight="1">
      <x:c r="A1452" s="2" t="str">
        <x:v>IRN</x:v>
      </x:c>
      <x:c r="B1452" s="2" t="str">
        <x:v>Iran (Islamic Republic of)</x:v>
      </x:c>
      <x:c r="C1452" s="2" t="str">
        <x:v>WUP_SURFACE</x:v>
      </x:c>
      <x:c r="D1452" s="2" t="n">
        <x:v>2020</x:v>
      </x:c>
      <x:c r="E1452" s="2" t="n">
        <x:v>2030</x:v>
      </x:c>
      <x:c r="F1452" s="17" t="n">
        <x:v>3753827768.770001</x:v>
      </x:c>
      <x:c r="G1452" s="17" t="n">
        <x:v>4871943824.899366</x:v>
      </x:c>
      <x:c r="H1452" s="17" t="n">
        <x:v>4209778761.3319345</x:v>
      </x:c>
      <x:c r="I1452" s="17" t="n">
        <x:v>5438257009.446889</x:v>
      </x:c>
      <x:c r="J1452" s="2" t="str">
        <x:v>m2</x:v>
      </x:c>
      <x:c r="K1452" s="15" t="n">
        <x:f>IF(AND(ISNUMBER(F1452),ISNUMBER(G1452),F1452&gt;0),G1452/F1452-1,"n.a.")</x:f>
        <x:v>0.2978602442636129</x:v>
      </x:c>
      <x:c r="L1452" s="15" t="n">
        <x:f>IF(AND(N1452,ISNUMBER(H1452),ISNUMBER(I1452),H1452&gt;0),I1452/H1452-1,"n.a.")</x:f>
        <x:v>0.29181539405322</x:v>
      </x:c>
      <x:c r="M1452" s="20" t="n">
        <x:f>IF(AND(ISNUMBER(K1452),ISNUMBER(L1452)),100*(K1452-L1452),"n.a.")</x:f>
        <x:v>0.6044850210392916</x:v>
      </x:c>
      <x:c r="N1452" s="13" t="b">
        <x:v>1</x:v>
      </x:c>
      <x:c r="O1452" s="13" t="b">
        <x:v>1</x:v>
      </x:c>
      <x:c r="P1452" s="13" t="b">
        <x:v>0</x:v>
      </x:c>
      <x:c r="Q1452" s="2" t="str">
        <x:v>L1_numeric_partition_qualified_not_national_completeness</x:v>
      </x:c>
      <x:c r="R1452" s="2" t="str">
        <x:v>L1_numeric_partition_qualified_not_national_completeness</x:v>
      </x:c>
      <x:c r="S1452" s="2" t="str">
        <x:v>historical_GHSL_BU_estimate</x:v>
      </x:c>
      <x:c r="T1452" s="2" t="str">
        <x:v>projected_CRISP_BU_surface</x:v>
      </x:c>
      <x:c r="U1452" s="2" t="str">
        <x:v>GFA growth versus source physical quantity growth; constant conversion required for equality</x:v>
      </x:c>
      <x:c r="V1452" s="2" t="str">
        <x:v>Future horizontal path is already a v16 driver; WUP historical surface derives from GHSL</x:v>
      </x:c>
      <x:c r="W1452" s="2" t="str">
        <x:v>https://human-settlement.emergency.copernicus.eu/datasets.php</x:v>
      </x:c>
    </x:row>
    <x:row r="1453" ht="23" customHeight="1">
      <x:c r="A1453" s="2" t="str">
        <x:v>IRQ</x:v>
      </x:c>
      <x:c r="B1453" s="2" t="str">
        <x:v>Iraq (Republic of)</x:v>
      </x:c>
      <x:c r="C1453" s="2" t="str">
        <x:v>WUP_SURFACE</x:v>
      </x:c>
      <x:c r="D1453" s="2" t="n">
        <x:v>2020</x:v>
      </x:c>
      <x:c r="E1453" s="2" t="n">
        <x:v>2030</x:v>
      </x:c>
      <x:c r="F1453" s="17" t="n">
        <x:v>1226955244.870001</x:v>
      </x:c>
      <x:c r="G1453" s="17" t="n">
        <x:v>1692968413.5979297</x:v>
      </x:c>
      <x:c r="H1453" s="17" t="n">
        <x:v>1578249706.0221016</x:v>
      </x:c>
      <x:c r="I1453" s="17" t="n">
        <x:v>2164481028.586486</x:v>
      </x:c>
      <x:c r="J1453" s="2" t="str">
        <x:v>m2</x:v>
      </x:c>
      <x:c r="K1453" s="15" t="n">
        <x:f>IF(AND(ISNUMBER(F1453),ISNUMBER(G1453),F1453&gt;0),G1453/F1453-1,"n.a.")</x:f>
        <x:v>0.37981268728127393</x:v>
      </x:c>
      <x:c r="L1453" s="15" t="n">
        <x:f>IF(AND(N1453,ISNUMBER(H1453),ISNUMBER(I1453),H1453&gt;0),I1453/H1453-1,"n.a.")</x:f>
        <x:v>0.3714439611979721</x:v>
      </x:c>
      <x:c r="M1453" s="20" t="n">
        <x:f>IF(AND(ISNUMBER(K1453),ISNUMBER(L1453)),100*(K1453-L1453),"n.a.")</x:f>
        <x:v>0.8368726083301858</x:v>
      </x:c>
      <x:c r="N1453" s="13" t="b">
        <x:v>1</x:v>
      </x:c>
      <x:c r="O1453" s="13" t="b">
        <x:v>1</x:v>
      </x:c>
      <x:c r="P1453" s="13" t="b">
        <x:v>0</x:v>
      </x:c>
      <x:c r="Q1453" s="2" t="str">
        <x:v>L1_numeric_partition_qualified_not_national_completeness</x:v>
      </x:c>
      <x:c r="R1453" s="2" t="str">
        <x:v>L1_numeric_partition_qualified_not_national_completeness</x:v>
      </x:c>
      <x:c r="S1453" s="2" t="str">
        <x:v>historical_GHSL_BU_estimate</x:v>
      </x:c>
      <x:c r="T1453" s="2" t="str">
        <x:v>projected_CRISP_BU_surface</x:v>
      </x:c>
      <x:c r="U1453" s="2" t="str">
        <x:v>GFA growth versus source physical quantity growth; constant conversion required for equality</x:v>
      </x:c>
      <x:c r="V1453" s="2" t="str">
        <x:v>Future horizontal path is already a v16 driver; WUP historical surface derives from GHSL</x:v>
      </x:c>
      <x:c r="W1453" s="2" t="str">
        <x:v>https://human-settlement.emergency.copernicus.eu/datasets.php</x:v>
      </x:c>
    </x:row>
    <x:row r="1454" ht="23" customHeight="1">
      <x:c r="A1454" s="2" t="str">
        <x:v>ISL</x:v>
      </x:c>
      <x:c r="B1454" s="2" t="str">
        <x:v>Iceland</x:v>
      </x:c>
      <x:c r="C1454" s="2" t="str">
        <x:v>WUP_SURFACE</x:v>
      </x:c>
      <x:c r="D1454" s="2" t="n">
        <x:v>2020</x:v>
      </x:c>
      <x:c r="E1454" s="2" t="n">
        <x:v>2030</x:v>
      </x:c>
      <x:c r="F1454" s="17" t="n">
        <x:v>26377629.56999999</x:v>
      </x:c>
      <x:c r="G1454" s="17" t="n">
        <x:v>37686665.68995928</x:v>
      </x:c>
      <x:c r="H1454" s="17" t="n">
        <x:v>32077527.99264938</x:v>
      </x:c>
      <x:c r="I1454" s="17" t="n">
        <x:v>45539434.926520355</x:v>
      </x:c>
      <x:c r="J1454" s="2" t="str">
        <x:v>m2</x:v>
      </x:c>
      <x:c r="K1454" s="15" t="n">
        <x:f>IF(AND(ISNUMBER(F1454),ISNUMBER(G1454),F1454&gt;0),G1454/F1454-1,"n.a.")</x:f>
        <x:v>0.42873587597959806</x:v>
      </x:c>
      <x:c r="L1454" s="15" t="n">
        <x:f>IF(AND(N1454,ISNUMBER(H1454),ISNUMBER(I1454),H1454&gt;0),I1454/H1454-1,"n.a.")</x:f>
        <x:v>0.41966784151683356</x:v>
      </x:c>
      <x:c r="M1454" s="20" t="n">
        <x:f>IF(AND(ISNUMBER(K1454),ISNUMBER(L1454)),100*(K1454-L1454),"n.a.")</x:f>
        <x:v>0.9068034462764496</x:v>
      </x:c>
      <x:c r="N1454" s="13" t="b">
        <x:v>1</x:v>
      </x:c>
      <x:c r="O1454" s="13" t="b">
        <x:v>1</x:v>
      </x:c>
      <x:c r="P1454" s="13" t="b">
        <x:v>0</x:v>
      </x:c>
      <x:c r="Q1454" s="2" t="str">
        <x:v>L1_numeric_partition_qualified_not_national_completeness</x:v>
      </x:c>
      <x:c r="R1454" s="2" t="str">
        <x:v>L1_numeric_partition_qualified_not_national_completeness</x:v>
      </x:c>
      <x:c r="S1454" s="2" t="str">
        <x:v>historical_GHSL_BU_estimate</x:v>
      </x:c>
      <x:c r="T1454" s="2" t="str">
        <x:v>projected_CRISP_BU_surface</x:v>
      </x:c>
      <x:c r="U1454" s="2" t="str">
        <x:v>GFA growth versus source physical quantity growth; constant conversion required for equality</x:v>
      </x:c>
      <x:c r="V1454" s="2" t="str">
        <x:v>Future horizontal path is already a v16 driver; WUP historical surface derives from GHSL</x:v>
      </x:c>
      <x:c r="W1454" s="2" t="str">
        <x:v>https://human-settlement.emergency.copernicus.eu/datasets.php</x:v>
      </x:c>
    </x:row>
    <x:row r="1455" ht="23" customHeight="1">
      <x:c r="A1455" s="2" t="str">
        <x:v>ISR</x:v>
      </x:c>
      <x:c r="B1455" s="2" t="str">
        <x:v>Israel (State of)</x:v>
      </x:c>
      <x:c r="C1455" s="2" t="str">
        <x:v>WUP_SURFACE</x:v>
      </x:c>
      <x:c r="D1455" s="2" t="n">
        <x:v>2020</x:v>
      </x:c>
      <x:c r="E1455" s="2" t="n">
        <x:v>2030</x:v>
      </x:c>
      <x:c r="F1455" s="17" t="n">
        <x:v>372353983.1399999</x:v>
      </x:c>
      <x:c r="G1455" s="17" t="n">
        <x:v>495548128.21505135</x:v>
      </x:c>
      <x:c r="H1455" s="17" t="n">
        <x:v>462391054.28538233</x:v>
      </x:c>
      <x:c r="I1455" s="17" t="n">
        <x:v>611311519.2272989</x:v>
      </x:c>
      <x:c r="J1455" s="2" t="str">
        <x:v>m2</x:v>
      </x:c>
      <x:c r="K1455" s="15" t="n">
        <x:f>IF(AND(ISNUMBER(F1455),ISNUMBER(G1455),F1455&gt;0),G1455/F1455-1,"n.a.")</x:f>
        <x:v>0.33085222839883555</x:v>
      </x:c>
      <x:c r="L1455" s="15" t="n">
        <x:f>IF(AND(N1455,ISNUMBER(H1455),ISNUMBER(I1455),H1455&gt;0),I1455/H1455-1,"n.a.")</x:f>
        <x:v>0.32206605980314773</x:v>
      </x:c>
      <x:c r="M1455" s="20" t="n">
        <x:f>IF(AND(ISNUMBER(K1455),ISNUMBER(L1455)),100*(K1455-L1455),"n.a.")</x:f>
        <x:v>0.8786168595687815</x:v>
      </x:c>
      <x:c r="N1455" s="13" t="b">
        <x:v>1</x:v>
      </x:c>
      <x:c r="O1455" s="13" t="b">
        <x:v>1</x:v>
      </x:c>
      <x:c r="P1455" s="13" t="b">
        <x:v>0</x:v>
      </x:c>
      <x:c r="Q1455" s="2" t="str">
        <x:v>L1_numeric_partition_qualified_not_national_completeness</x:v>
      </x:c>
      <x:c r="R1455" s="2" t="str">
        <x:v>L1_numeric_partition_qualified_not_national_completeness</x:v>
      </x:c>
      <x:c r="S1455" s="2" t="str">
        <x:v>historical_GHSL_BU_estimate</x:v>
      </x:c>
      <x:c r="T1455" s="2" t="str">
        <x:v>projected_CRISP_BU_surface</x:v>
      </x:c>
      <x:c r="U1455" s="2" t="str">
        <x:v>GFA growth versus source physical quantity growth; constant conversion required for equality</x:v>
      </x:c>
      <x:c r="V1455" s="2" t="str">
        <x:v>Future horizontal path is already a v16 driver; WUP historical surface derives from GHSL</x:v>
      </x:c>
      <x:c r="W1455" s="2" t="str">
        <x:v>https://human-settlement.emergency.copernicus.eu/datasets.php</x:v>
      </x:c>
    </x:row>
    <x:row r="1456" ht="23" customHeight="1">
      <x:c r="A1456" s="2" t="str">
        <x:v>ITA</x:v>
      </x:c>
      <x:c r="B1456" s="2" t="str">
        <x:v>Italy (Italian Republic)</x:v>
      </x:c>
      <x:c r="C1456" s="2" t="str">
        <x:v>WUP_SURFACE</x:v>
      </x:c>
      <x:c r="D1456" s="2" t="n">
        <x:v>2020</x:v>
      </x:c>
      <x:c r="E1456" s="2" t="n">
        <x:v>2030</x:v>
      </x:c>
      <x:c r="F1456" s="17" t="n">
        <x:v>5000634293.290002</x:v>
      </x:c>
      <x:c r="G1456" s="17" t="n">
        <x:v>6165743359.471214</x:v>
      </x:c>
      <x:c r="H1456" s="17" t="n">
        <x:v>6926352828.687858</x:v>
      </x:c>
      <x:c r="I1456" s="17" t="n">
        <x:v>8526149898.616375</x:v>
      </x:c>
      <x:c r="J1456" s="2" t="str">
        <x:v>m2</x:v>
      </x:c>
      <x:c r="K1456" s="15" t="n">
        <x:f>IF(AND(ISNUMBER(F1456),ISNUMBER(G1456),F1456&gt;0),G1456/F1456-1,"n.a.")</x:f>
        <x:v>0.2329922561513027</x:v>
      </x:c>
      <x:c r="L1456" s="15" t="n">
        <x:f>IF(AND(N1456,ISNUMBER(H1456),ISNUMBER(I1456),H1456&gt;0),I1456/H1456-1,"n.a.")</x:f>
        <x:v>0.23097250594893337</x:v>
      </x:c>
      <x:c r="M1456" s="20" t="n">
        <x:f>IF(AND(ISNUMBER(K1456),ISNUMBER(L1456)),100*(K1456-L1456),"n.a.")</x:f>
        <x:v>0.20197502023693303</x:v>
      </x:c>
      <x:c r="N1456" s="13" t="b">
        <x:v>1</x:v>
      </x:c>
      <x:c r="O1456" s="13" t="b">
        <x:v>1</x:v>
      </x:c>
      <x:c r="P1456" s="13" t="b">
        <x:v>0</x:v>
      </x:c>
      <x:c r="Q1456" s="2" t="str">
        <x:v>L1_numeric_partition_qualified_not_national_completeness</x:v>
      </x:c>
      <x:c r="R1456" s="2" t="str">
        <x:v>L1_numeric_partition_qualified_not_national_completeness</x:v>
      </x:c>
      <x:c r="S1456" s="2" t="str">
        <x:v>historical_GHSL_BU_estimate</x:v>
      </x:c>
      <x:c r="T1456" s="2" t="str">
        <x:v>projected_CRISP_BU_surface</x:v>
      </x:c>
      <x:c r="U1456" s="2" t="str">
        <x:v>GFA growth versus source physical quantity growth; constant conversion required for equality</x:v>
      </x:c>
      <x:c r="V1456" s="2" t="str">
        <x:v>Future horizontal path is already a v16 driver; WUP historical surface derives from GHSL</x:v>
      </x:c>
      <x:c r="W1456" s="2" t="str">
        <x:v>https://human-settlement.emergency.copernicus.eu/datasets.php</x:v>
      </x:c>
    </x:row>
    <x:row r="1457" ht="23" customHeight="1">
      <x:c r="A1457" s="2" t="str">
        <x:v>JAM</x:v>
      </x:c>
      <x:c r="B1457" s="2" t="str">
        <x:v>Jamaica</x:v>
      </x:c>
      <x:c r="C1457" s="2" t="str">
        <x:v>WUP_SURFACE</x:v>
      </x:c>
      <x:c r="D1457" s="2" t="n">
        <x:v>2020</x:v>
      </x:c>
      <x:c r="E1457" s="2" t="n">
        <x:v>2030</x:v>
      </x:c>
      <x:c r="F1457" s="17" t="n">
        <x:v>133338245.18999992</x:v>
      </x:c>
      <x:c r="G1457" s="17" t="n">
        <x:v>150587847.671865</x:v>
      </x:c>
      <x:c r="H1457" s="17" t="n">
        <x:v>223762960.0370435</x:v>
      </x:c>
      <x:c r="I1457" s="17" t="n">
        <x:v>251616982.34440643</x:v>
      </x:c>
      <x:c r="J1457" s="2" t="str">
        <x:v>m2</x:v>
      </x:c>
      <x:c r="K1457" s="15" t="n">
        <x:f>IF(AND(ISNUMBER(F1457),ISNUMBER(G1457),F1457&gt;0),G1457/F1457-1,"n.a.")</x:f>
        <x:v>0.1293672528634624</x:v>
      </x:c>
      <x:c r="L1457" s="15" t="n">
        <x:f>IF(AND(N1457,ISNUMBER(H1457),ISNUMBER(I1457),H1457&gt;0),I1457/H1457-1,"n.a.")</x:f>
        <x:v>0.12448004040861704</x:v>
      </x:c>
      <x:c r="M1457" s="20" t="n">
        <x:f>IF(AND(ISNUMBER(K1457),ISNUMBER(L1457)),100*(K1457-L1457),"n.a.")</x:f>
        <x:v>0.48872124548453577</x:v>
      </x:c>
      <x:c r="N1457" s="13" t="b">
        <x:v>1</x:v>
      </x:c>
      <x:c r="O1457" s="13" t="b">
        <x:v>1</x:v>
      </x:c>
      <x:c r="P1457" s="13" t="b">
        <x:v>0</x:v>
      </x:c>
      <x:c r="Q1457" s="2" t="str">
        <x:v>L1_numeric_partition_qualified_not_national_completeness</x:v>
      </x:c>
      <x:c r="R1457" s="2" t="str">
        <x:v>L1_numeric_partition_qualified_not_national_completeness</x:v>
      </x:c>
      <x:c r="S1457" s="2" t="str">
        <x:v>historical_GHSL_BU_estimate</x:v>
      </x:c>
      <x:c r="T1457" s="2" t="str">
        <x:v>projected_CRISP_BU_surface</x:v>
      </x:c>
      <x:c r="U1457" s="2" t="str">
        <x:v>GFA growth versus source physical quantity growth; constant conversion required for equality</x:v>
      </x:c>
      <x:c r="V1457" s="2" t="str">
        <x:v>Future horizontal path is already a v16 driver; WUP historical surface derives from GHSL</x:v>
      </x:c>
      <x:c r="W1457" s="2" t="str">
        <x:v>https://human-settlement.emergency.copernicus.eu/datasets.php</x:v>
      </x:c>
    </x:row>
    <x:row r="1458" ht="23" customHeight="1">
      <x:c r="A1458" s="2" t="str">
        <x:v>JOR</x:v>
      </x:c>
      <x:c r="B1458" s="2" t="str">
        <x:v>Jordan (Hashemite Kingdom of)</x:v>
      </x:c>
      <x:c r="C1458" s="2" t="str">
        <x:v>WUP_SURFACE</x:v>
      </x:c>
      <x:c r="D1458" s="2" t="n">
        <x:v>2020</x:v>
      </x:c>
      <x:c r="E1458" s="2" t="n">
        <x:v>2030</x:v>
      </x:c>
      <x:c r="F1458" s="17" t="n">
        <x:v>279172690.0000002</x:v>
      </x:c>
      <x:c r="G1458" s="17" t="n">
        <x:v>385273360.7142032</x:v>
      </x:c>
      <x:c r="H1458" s="17" t="n">
        <x:v>326961055.7409019</x:v>
      </x:c>
      <x:c r="I1458" s="17" t="n">
        <x:v>448850841.5254525</x:v>
      </x:c>
      <x:c r="J1458" s="2" t="str">
        <x:v>m2</x:v>
      </x:c>
      <x:c r="K1458" s="15" t="n">
        <x:f>IF(AND(ISNUMBER(F1458),ISNUMBER(G1458),F1458&gt;0),G1458/F1458-1,"n.a.")</x:f>
        <x:v>0.38005390396246463</x:v>
      </x:c>
      <x:c r="L1458" s="15" t="n">
        <x:f>IF(AND(N1458,ISNUMBER(H1458),ISNUMBER(I1458),H1458&gt;0),I1458/H1458-1,"n.a.")</x:f>
        <x:v>0.3727960368501544</x:v>
      </x:c>
      <x:c r="M1458" s="20" t="n">
        <x:f>IF(AND(ISNUMBER(K1458),ISNUMBER(L1458)),100*(K1458-L1458),"n.a.")</x:f>
        <x:v>0.7257867112310246</x:v>
      </x:c>
      <x:c r="N1458" s="13" t="b">
        <x:v>1</x:v>
      </x:c>
      <x:c r="O1458" s="13" t="b">
        <x:v>1</x:v>
      </x:c>
      <x:c r="P1458" s="13" t="b">
        <x:v>0</x:v>
      </x:c>
      <x:c r="Q1458" s="2" t="str">
        <x:v>L1_numeric_partition_qualified_not_national_completeness</x:v>
      </x:c>
      <x:c r="R1458" s="2" t="str">
        <x:v>L1_numeric_partition_qualified_not_national_completeness</x:v>
      </x:c>
      <x:c r="S1458" s="2" t="str">
        <x:v>historical_GHSL_BU_estimate</x:v>
      </x:c>
      <x:c r="T1458" s="2" t="str">
        <x:v>projected_CRISP_BU_surface</x:v>
      </x:c>
      <x:c r="U1458" s="2" t="str">
        <x:v>GFA growth versus source physical quantity growth; constant conversion required for equality</x:v>
      </x:c>
      <x:c r="V1458" s="2" t="str">
        <x:v>Future horizontal path is already a v16 driver; WUP historical surface derives from GHSL</x:v>
      </x:c>
      <x:c r="W1458" s="2" t="str">
        <x:v>https://human-settlement.emergency.copernicus.eu/datasets.php</x:v>
      </x:c>
    </x:row>
    <x:row r="1459" ht="23" customHeight="1">
      <x:c r="A1459" s="2" t="str">
        <x:v>JPN</x:v>
      </x:c>
      <x:c r="B1459" s="2" t="str">
        <x:v>Japan</x:v>
      </x:c>
      <x:c r="C1459" s="2" t="str">
        <x:v>WUP_SURFACE</x:v>
      </x:c>
      <x:c r="D1459" s="2" t="n">
        <x:v>2020</x:v>
      </x:c>
      <x:c r="E1459" s="2" t="n">
        <x:v>2030</x:v>
      </x:c>
      <x:c r="F1459" s="17" t="n">
        <x:v>8341228241.779989</x:v>
      </x:c>
      <x:c r="G1459" s="17" t="n">
        <x:v>8985503011.782104</x:v>
      </x:c>
      <x:c r="H1459" s="17" t="n">
        <x:v>12914669529.300297</x:v>
      </x:c>
      <x:c r="I1459" s="17" t="n">
        <x:v>13887379322.058035</x:v>
      </x:c>
      <x:c r="J1459" s="2" t="str">
        <x:v>m2</x:v>
      </x:c>
      <x:c r="K1459" s="15" t="n">
        <x:f>IF(AND(ISNUMBER(F1459),ISNUMBER(G1459),F1459&gt;0),G1459/F1459-1,"n.a.")</x:f>
        <x:v>0.07723979626585886</x:v>
      </x:c>
      <x:c r="L1459" s="15" t="n">
        <x:f>IF(AND(N1459,ISNUMBER(H1459),ISNUMBER(I1459),H1459&gt;0),I1459/H1459-1,"n.a.")</x:f>
        <x:v>0.07531821008279715</x:v>
      </x:c>
      <x:c r="M1459" s="20" t="n">
        <x:f>IF(AND(ISNUMBER(K1459),ISNUMBER(L1459)),100*(K1459-L1459),"n.a.")</x:f>
        <x:v>0.19215861830617076</x:v>
      </x:c>
      <x:c r="N1459" s="13" t="b">
        <x:v>1</x:v>
      </x:c>
      <x:c r="O1459" s="13" t="b">
        <x:v>1</x:v>
      </x:c>
      <x:c r="P1459" s="13" t="b">
        <x:v>0</x:v>
      </x:c>
      <x:c r="Q1459" s="2" t="str">
        <x:v>L1_numeric_partition_qualified_not_national_completeness</x:v>
      </x:c>
      <x:c r="R1459" s="2" t="str">
        <x:v>L1_numeric_partition_qualified_not_national_completeness</x:v>
      </x:c>
      <x:c r="S1459" s="2" t="str">
        <x:v>historical_GHSL_BU_estimate</x:v>
      </x:c>
      <x:c r="T1459" s="2" t="str">
        <x:v>projected_CRISP_BU_surface</x:v>
      </x:c>
      <x:c r="U1459" s="2" t="str">
        <x:v>GFA growth versus source physical quantity growth; constant conversion required for equality</x:v>
      </x:c>
      <x:c r="V1459" s="2" t="str">
        <x:v>Future horizontal path is already a v16 driver; WUP historical surface derives from GHSL</x:v>
      </x:c>
      <x:c r="W1459" s="2" t="str">
        <x:v>https://human-settlement.emergency.copernicus.eu/datasets.php</x:v>
      </x:c>
    </x:row>
    <x:row r="1460" ht="23" customHeight="1">
      <x:c r="A1460" s="2" t="str">
        <x:v>KAZ</x:v>
      </x:c>
      <x:c r="B1460" s="2" t="str">
        <x:v>Kazakhstan (Republic of)</x:v>
      </x:c>
      <x:c r="C1460" s="2" t="str">
        <x:v>WUP_SURFACE</x:v>
      </x:c>
      <x:c r="D1460" s="2" t="n">
        <x:v>2020</x:v>
      </x:c>
      <x:c r="E1460" s="2" t="n">
        <x:v>2030</x:v>
      </x:c>
      <x:c r="F1460" s="17" t="n">
        <x:v>1009034692.9700016</x:v>
      </x:c>
      <x:c r="G1460" s="17" t="n">
        <x:v>1196589336.0786734</x:v>
      </x:c>
      <x:c r="H1460" s="17" t="n">
        <x:v>2313486292.257429</x:v>
      </x:c>
      <x:c r="I1460" s="17" t="n">
        <x:v>2726033084.1894217</x:v>
      </x:c>
      <x:c r="J1460" s="2" t="str">
        <x:v>m2</x:v>
      </x:c>
      <x:c r="K1460" s="15" t="n">
        <x:f>IF(AND(ISNUMBER(F1460),ISNUMBER(G1460),F1460&gt;0),G1460/F1460-1,"n.a.")</x:f>
        <x:v>0.1858753166916609</x:v>
      </x:c>
      <x:c r="L1460" s="15" t="n">
        <x:f>IF(AND(N1460,ISNUMBER(H1460),ISNUMBER(I1460),H1460&gt;0),I1460/H1460-1,"n.a.")</x:f>
        <x:v>0.1783225573078464</x:v>
      </x:c>
      <x:c r="M1460" s="20" t="n">
        <x:f>IF(AND(ISNUMBER(K1460),ISNUMBER(L1460)),100*(K1460-L1460),"n.a.")</x:f>
        <x:v>0.75527593838145</x:v>
      </x:c>
      <x:c r="N1460" s="13" t="b">
        <x:v>1</x:v>
      </x:c>
      <x:c r="O1460" s="13" t="b">
        <x:v>1</x:v>
      </x:c>
      <x:c r="P1460" s="13" t="b">
        <x:v>0</x:v>
      </x:c>
      <x:c r="Q1460" s="2" t="str">
        <x:v>L1_numeric_partition_qualified_not_national_completeness</x:v>
      </x:c>
      <x:c r="R1460" s="2" t="str">
        <x:v>L1_numeric_partition_qualified_not_national_completeness</x:v>
      </x:c>
      <x:c r="S1460" s="2" t="str">
        <x:v>historical_GHSL_BU_estimate</x:v>
      </x:c>
      <x:c r="T1460" s="2" t="str">
        <x:v>projected_CRISP_BU_surface</x:v>
      </x:c>
      <x:c r="U1460" s="2" t="str">
        <x:v>GFA growth versus source physical quantity growth; constant conversion required for equality</x:v>
      </x:c>
      <x:c r="V1460" s="2" t="str">
        <x:v>Future horizontal path is already a v16 driver; WUP historical surface derives from GHSL</x:v>
      </x:c>
      <x:c r="W1460" s="2" t="str">
        <x:v>https://human-settlement.emergency.copernicus.eu/datasets.php</x:v>
      </x:c>
    </x:row>
    <x:row r="1461" ht="23" customHeight="1">
      <x:c r="A1461" s="2" t="str">
        <x:v>KEN</x:v>
      </x:c>
      <x:c r="B1461" s="2" t="str">
        <x:v>Kenya (Republic of)</x:v>
      </x:c>
      <x:c r="C1461" s="2" t="str">
        <x:v>WUP_SURFACE</x:v>
      </x:c>
      <x:c r="D1461" s="2" t="n">
        <x:v>2020</x:v>
      </x:c>
      <x:c r="E1461" s="2" t="n">
        <x:v>2030</x:v>
      </x:c>
      <x:c r="F1461" s="17" t="n">
        <x:v>1180050447.52</x:v>
      </x:c>
      <x:c r="G1461" s="17" t="n">
        <x:v>1506205777.2172642</x:v>
      </x:c>
      <x:c r="H1461" s="17" t="n">
        <x:v>3057429689.161173</x:v>
      </x:c>
      <x:c r="I1461" s="17" t="n">
        <x:v>3879930842.690132</x:v>
      </x:c>
      <x:c r="J1461" s="2" t="str">
        <x:v>m2</x:v>
      </x:c>
      <x:c r="K1461" s="15" t="n">
        <x:f>IF(AND(ISNUMBER(F1461),ISNUMBER(G1461),F1461&gt;0),G1461/F1461-1,"n.a.")</x:f>
        <x:v>0.2763910054715999</x:v>
      </x:c>
      <x:c r="L1461" s="15" t="n">
        <x:f>IF(AND(N1461,ISNUMBER(H1461),ISNUMBER(I1461),H1461&gt;0),I1461/H1461-1,"n.a.")</x:f>
        <x:v>0.2690171932472527</x:v>
      </x:c>
      <x:c r="M1461" s="20" t="n">
        <x:f>IF(AND(ISNUMBER(K1461),ISNUMBER(L1461)),100*(K1461-L1461),"n.a.")</x:f>
        <x:v>0.7373812224347187</x:v>
      </x:c>
      <x:c r="N1461" s="13" t="b">
        <x:v>1</x:v>
      </x:c>
      <x:c r="O1461" s="13" t="b">
        <x:v>1</x:v>
      </x:c>
      <x:c r="P1461" s="13" t="b">
        <x:v>0</x:v>
      </x:c>
      <x:c r="Q1461" s="2" t="str">
        <x:v>L1_numeric_partition_qualified_not_national_completeness</x:v>
      </x:c>
      <x:c r="R1461" s="2" t="str">
        <x:v>L1_numeric_partition_qualified_not_national_completeness</x:v>
      </x:c>
      <x:c r="S1461" s="2" t="str">
        <x:v>historical_GHSL_BU_estimate</x:v>
      </x:c>
      <x:c r="T1461" s="2" t="str">
        <x:v>projected_CRISP_BU_surface</x:v>
      </x:c>
      <x:c r="U1461" s="2" t="str">
        <x:v>GFA growth versus source physical quantity growth; constant conversion required for equality</x:v>
      </x:c>
      <x:c r="V1461" s="2" t="str">
        <x:v>Future horizontal path is already a v16 driver; WUP historical surface derives from GHSL</x:v>
      </x:c>
      <x:c r="W1461" s="2" t="str">
        <x:v>https://human-settlement.emergency.copernicus.eu/datasets.php</x:v>
      </x:c>
    </x:row>
    <x:row r="1462" ht="23" customHeight="1">
      <x:c r="A1462" s="2" t="str">
        <x:v>KGZ</x:v>
      </x:c>
      <x:c r="B1462" s="2" t="str">
        <x:v>Kyrgyzstan (Kyrgyz Republic)</x:v>
      </x:c>
      <x:c r="C1462" s="2" t="str">
        <x:v>WUP_SURFACE</x:v>
      </x:c>
      <x:c r="D1462" s="2" t="n">
        <x:v>2020</x:v>
      </x:c>
      <x:c r="E1462" s="2" t="n">
        <x:v>2030</x:v>
      </x:c>
      <x:c r="F1462" s="17" t="n">
        <x:v>332236534.37000054</x:v>
      </x:c>
      <x:c r="G1462" s="17" t="n">
        <x:v>398840862.4237928</x:v>
      </x:c>
      <x:c r="H1462" s="17" t="n">
        <x:v>676009971.9548508</x:v>
      </x:c>
      <x:c r="I1462" s="17" t="n">
        <x:v>807125979.4910804</x:v>
      </x:c>
      <x:c r="J1462" s="2" t="str">
        <x:v>m2</x:v>
      </x:c>
      <x:c r="K1462" s="15" t="n">
        <x:f>IF(AND(ISNUMBER(F1462),ISNUMBER(G1462),F1462&gt;0),G1462/F1462-1,"n.a.")</x:f>
        <x:v>0.20047261864228716</x:v>
      </x:c>
      <x:c r="L1462" s="15" t="n">
        <x:f>IF(AND(N1462,ISNUMBER(H1462),ISNUMBER(I1462),H1462&gt;0),I1462/H1462-1,"n.a.")</x:f>
        <x:v>0.19395572990894672</x:v>
      </x:c>
      <x:c r="M1462" s="20" t="n">
        <x:f>IF(AND(ISNUMBER(K1462),ISNUMBER(L1462)),100*(K1462-L1462),"n.a.")</x:f>
        <x:v>0.6516888733340442</x:v>
      </x:c>
      <x:c r="N1462" s="13" t="b">
        <x:v>1</x:v>
      </x:c>
      <x:c r="O1462" s="13" t="b">
        <x:v>1</x:v>
      </x:c>
      <x:c r="P1462" s="13" t="b">
        <x:v>0</x:v>
      </x:c>
      <x:c r="Q1462" s="2" t="str">
        <x:v>L1_numeric_partition_qualified_not_national_completeness</x:v>
      </x:c>
      <x:c r="R1462" s="2" t="str">
        <x:v>L1_numeric_partition_qualified_not_national_completeness</x:v>
      </x:c>
      <x:c r="S1462" s="2" t="str">
        <x:v>historical_GHSL_BU_estimate</x:v>
      </x:c>
      <x:c r="T1462" s="2" t="str">
        <x:v>projected_CRISP_BU_surface</x:v>
      </x:c>
      <x:c r="U1462" s="2" t="str">
        <x:v>GFA growth versus source physical quantity growth; constant conversion required for equality</x:v>
      </x:c>
      <x:c r="V1462" s="2" t="str">
        <x:v>Future horizontal path is already a v16 driver; WUP historical surface derives from GHSL</x:v>
      </x:c>
      <x:c r="W1462" s="2" t="str">
        <x:v>https://human-settlement.emergency.copernicus.eu/datasets.php</x:v>
      </x:c>
    </x:row>
    <x:row r="1463" ht="23" customHeight="1">
      <x:c r="A1463" s="2" t="str">
        <x:v>KHM</x:v>
      </x:c>
      <x:c r="B1463" s="2" t="str">
        <x:v>Cambodia (Kingdom of)</x:v>
      </x:c>
      <x:c r="C1463" s="2" t="str">
        <x:v>WUP_SURFACE</x:v>
      </x:c>
      <x:c r="D1463" s="2" t="n">
        <x:v>2020</x:v>
      </x:c>
      <x:c r="E1463" s="2" t="n">
        <x:v>2030</x:v>
      </x:c>
      <x:c r="F1463" s="17" t="n">
        <x:v>672933221.830001</x:v>
      </x:c>
      <x:c r="G1463" s="17" t="n">
        <x:v>859938413.9494957</x:v>
      </x:c>
      <x:c r="H1463" s="17" t="n">
        <x:v>809555987.1995302</x:v>
      </x:c>
      <x:c r="I1463" s="17" t="n">
        <x:v>1030655815.8280573</x:v>
      </x:c>
      <x:c r="J1463" s="2" t="str">
        <x:v>m2</x:v>
      </x:c>
      <x:c r="K1463" s="15" t="n">
        <x:f>IF(AND(ISNUMBER(F1463),ISNUMBER(G1463),F1463&gt;0),G1463/F1463-1,"n.a.")</x:f>
        <x:v>0.2778956158694996</x:v>
      </x:c>
      <x:c r="L1463" s="15" t="n">
        <x:f>IF(AND(N1463,ISNUMBER(H1463),ISNUMBER(I1463),H1463&gt;0),I1463/H1463-1,"n.a.")</x:f>
        <x:v>0.2731124617994245</x:v>
      </x:c>
      <x:c r="M1463" s="20" t="n">
        <x:f>IF(AND(ISNUMBER(K1463),ISNUMBER(L1463)),100*(K1463-L1463),"n.a.")</x:f>
        <x:v>0.4783154070075124</x:v>
      </x:c>
      <x:c r="N1463" s="13" t="b">
        <x:v>1</x:v>
      </x:c>
      <x:c r="O1463" s="13" t="b">
        <x:v>1</x:v>
      </x:c>
      <x:c r="P1463" s="13" t="b">
        <x:v>0</x:v>
      </x:c>
      <x:c r="Q1463" s="2" t="str">
        <x:v>L1_numeric_partition_qualified_not_national_completeness</x:v>
      </x:c>
      <x:c r="R1463" s="2" t="str">
        <x:v>L1_numeric_partition_qualified_not_national_completeness</x:v>
      </x:c>
      <x:c r="S1463" s="2" t="str">
        <x:v>historical_GHSL_BU_estimate</x:v>
      </x:c>
      <x:c r="T1463" s="2" t="str">
        <x:v>projected_CRISP_BU_surface</x:v>
      </x:c>
      <x:c r="U1463" s="2" t="str">
        <x:v>GFA growth versus source physical quantity growth; constant conversion required for equality</x:v>
      </x:c>
      <x:c r="V1463" s="2" t="str">
        <x:v>Future horizontal path is already a v16 driver; WUP historical surface derives from GHSL</x:v>
      </x:c>
      <x:c r="W1463" s="2" t="str">
        <x:v>https://human-settlement.emergency.copernicus.eu/datasets.php</x:v>
      </x:c>
    </x:row>
    <x:row r="1464" ht="23" customHeight="1">
      <x:c r="A1464" s="2" t="str">
        <x:v>KIR</x:v>
      </x:c>
      <x:c r="B1464" s="2" t="str">
        <x:v>Kiribati (Republic of)</x:v>
      </x:c>
      <x:c r="C1464" s="2" t="str">
        <x:v>WUP_SURFACE</x:v>
      </x:c>
      <x:c r="D1464" s="2" t="n">
        <x:v>2020</x:v>
      </x:c>
      <x:c r="E1464" s="2" t="n">
        <x:v>2030</x:v>
      </x:c>
      <x:c r="F1464" s="17" t="n">
        <x:v>1721739.6700000002</x:v>
      </x:c>
      <x:c r="G1464" s="17" t="n">
        <x:v>2715126.1174815553</x:v>
      </x:c>
      <x:c r="H1464" s="17" t="n">
        <x:v>1365486.0004487545</x:v>
      </x:c>
      <x:c r="I1464" s="17" t="n">
        <x:v>2143794.0420028097</x:v>
      </x:c>
      <x:c r="J1464" s="2" t="str">
        <x:v>m2</x:v>
      </x:c>
      <x:c r="K1464" s="15" t="n">
        <x:f>IF(AND(ISNUMBER(F1464),ISNUMBER(G1464),F1464&gt;0),G1464/F1464-1,"n.a.")</x:f>
        <x:v>0.5769666952504817</x:v>
      </x:c>
      <x:c r="L1464" s="15" t="n">
        <x:f>IF(AND(N1464,ISNUMBER(H1464),ISNUMBER(I1464),H1464&gt;0),I1464/H1464-1,"n.a.")</x:f>
        <x:v>0.5699861011378156</x:v>
      </x:c>
      <x:c r="M1464" s="20" t="n">
        <x:f>IF(AND(ISNUMBER(K1464),ISNUMBER(L1464)),100*(K1464-L1464),"n.a.")</x:f>
        <x:v>0.6980594112666161</x:v>
      </x:c>
      <x:c r="N1464" s="13" t="b">
        <x:v>1</x:v>
      </x:c>
      <x:c r="O1464" s="13" t="b">
        <x:v>1</x:v>
      </x:c>
      <x:c r="P1464" s="13" t="b">
        <x:v>0</x:v>
      </x:c>
      <x:c r="Q1464" s="2" t="str">
        <x:v>L1_numeric_partition_qualified_not_national_completeness</x:v>
      </x:c>
      <x:c r="R1464" s="2" t="str">
        <x:v>L1_numeric_partition_qualified_not_national_completeness</x:v>
      </x:c>
      <x:c r="S1464" s="2" t="str">
        <x:v>historical_GHSL_BU_estimate</x:v>
      </x:c>
      <x:c r="T1464" s="2" t="str">
        <x:v>projected_CRISP_BU_surface</x:v>
      </x:c>
      <x:c r="U1464" s="2" t="str">
        <x:v>GFA growth versus source physical quantity growth; constant conversion required for equality</x:v>
      </x:c>
      <x:c r="V1464" s="2" t="str">
        <x:v>Future horizontal path is already a v16 driver; WUP historical surface derives from GHSL</x:v>
      </x:c>
      <x:c r="W1464" s="2" t="str">
        <x:v>https://human-settlement.emergency.copernicus.eu/datasets.php</x:v>
      </x:c>
    </x:row>
    <x:row r="1465" ht="23" customHeight="1">
      <x:c r="A1465" s="2" t="str">
        <x:v>KNA</x:v>
      </x:c>
      <x:c r="B1465" s="2" t="str">
        <x:v>Saint Kitts and Nevis (Federation of)</x:v>
      </x:c>
      <x:c r="C1465" s="2" t="str">
        <x:v>WUP_SURFACE</x:v>
      </x:c>
      <x:c r="D1465" s="2" t="n">
        <x:v>2020</x:v>
      </x:c>
      <x:c r="E1465" s="2" t="n">
        <x:v>2030</x:v>
      </x:c>
      <x:c r="F1465" s="17" t="n">
        <x:v>4523960.760000001</x:v>
      </x:c>
      <x:c r="G1465" s="17" t="n">
        <x:v>4984132.39790077</x:v>
      </x:c>
      <x:c r="H1465" s="17" t="n">
        <x:v>8302335.982883051</x:v>
      </x:c>
      <x:c r="I1465" s="17" t="n">
        <x:v>9142841.907570984</x:v>
      </x:c>
      <x:c r="J1465" s="2" t="str">
        <x:v>m2</x:v>
      </x:c>
      <x:c r="K1465" s="15" t="n">
        <x:f>IF(AND(ISNUMBER(F1465),ISNUMBER(G1465),F1465&gt;0),G1465/F1465-1,"n.a.")</x:f>
        <x:v>0.10171875096033545</x:v>
      </x:c>
      <x:c r="L1465" s="15" t="n">
        <x:f>IF(AND(N1465,ISNUMBER(H1465),ISNUMBER(I1465),H1465&gt;0),I1465/H1465-1,"n.a.")</x:f>
        <x:v>0.10123728146160382</x:v>
      </x:c>
      <x:c r="M1465" s="20" t="n">
        <x:f>IF(AND(ISNUMBER(K1465),ISNUMBER(L1465)),100*(K1465-L1465),"n.a.")</x:f>
        <x:v>0.04814694987316237</x:v>
      </x:c>
      <x:c r="N1465" s="13" t="b">
        <x:v>1</x:v>
      </x:c>
      <x:c r="O1465" s="13" t="b">
        <x:v>1</x:v>
      </x:c>
      <x:c r="P1465" s="13" t="b">
        <x:v>0</x:v>
      </x:c>
      <x:c r="Q1465" s="2" t="str">
        <x:v>L1_numeric_partition_qualified_not_national_completeness</x:v>
      </x:c>
      <x:c r="R1465" s="2" t="str">
        <x:v>L1_numeric_partition_qualified_not_national_completeness</x:v>
      </x:c>
      <x:c r="S1465" s="2" t="str">
        <x:v>historical_GHSL_BU_estimate</x:v>
      </x:c>
      <x:c r="T1465" s="2" t="str">
        <x:v>projected_CRISP_BU_surface</x:v>
      </x:c>
      <x:c r="U1465" s="2" t="str">
        <x:v>GFA growth versus source physical quantity growth; constant conversion required for equality</x:v>
      </x:c>
      <x:c r="V1465" s="2" t="str">
        <x:v>Future horizontal path is already a v16 driver; WUP historical surface derives from GHSL</x:v>
      </x:c>
      <x:c r="W1465" s="2" t="str">
        <x:v>https://human-settlement.emergency.copernicus.eu/datasets.php</x:v>
      </x:c>
    </x:row>
    <x:row r="1466" ht="23" customHeight="1">
      <x:c r="A1466" s="2" t="str">
        <x:v>KOR</x:v>
      </x:c>
      <x:c r="B1466" s="2" t="str">
        <x:v>Korea (Republic of)</x:v>
      </x:c>
      <x:c r="C1466" s="2" t="str">
        <x:v>WUP_SURFACE</x:v>
      </x:c>
      <x:c r="D1466" s="2" t="n">
        <x:v>2020</x:v>
      </x:c>
      <x:c r="E1466" s="2" t="n">
        <x:v>2030</x:v>
      </x:c>
      <x:c r="F1466" s="17" t="n">
        <x:v>2947698717.329997</x:v>
      </x:c>
      <x:c r="G1466" s="17" t="n">
        <x:v>3435552560.103278</x:v>
      </x:c>
      <x:c r="H1466" s="17" t="n">
        <x:v>3586617010.949781</x:v>
      </x:c>
      <x:c r="I1466" s="17" t="n">
        <x:v>4164908201.1020474</x:v>
      </x:c>
      <x:c r="J1466" s="2" t="str">
        <x:v>m2</x:v>
      </x:c>
      <x:c r="K1466" s="15" t="n">
        <x:f>IF(AND(ISNUMBER(F1466),ISNUMBER(G1466),F1466&gt;0),G1466/F1466-1,"n.a.")</x:f>
        <x:v>0.1655032924176103</x:v>
      </x:c>
      <x:c r="L1466" s="15" t="n">
        <x:f>IF(AND(N1466,ISNUMBER(H1466),ISNUMBER(I1466),H1466&gt;0),I1466/H1466-1,"n.a.")</x:f>
        <x:v>0.16123583543678333</x:v>
      </x:c>
      <x:c r="M1466" s="20" t="n">
        <x:f>IF(AND(ISNUMBER(K1466),ISNUMBER(L1466)),100*(K1466-L1466),"n.a.")</x:f>
        <x:v>0.4267456980826978</x:v>
      </x:c>
      <x:c r="N1466" s="13" t="b">
        <x:v>1</x:v>
      </x:c>
      <x:c r="O1466" s="13" t="b">
        <x:v>1</x:v>
      </x:c>
      <x:c r="P1466" s="13" t="b">
        <x:v>0</x:v>
      </x:c>
      <x:c r="Q1466" s="2" t="str">
        <x:v>L1_numeric_partition_qualified_not_national_completeness</x:v>
      </x:c>
      <x:c r="R1466" s="2" t="str">
        <x:v>L1_numeric_partition_qualified_not_national_completeness</x:v>
      </x:c>
      <x:c r="S1466" s="2" t="str">
        <x:v>historical_GHSL_BU_estimate</x:v>
      </x:c>
      <x:c r="T1466" s="2" t="str">
        <x:v>projected_CRISP_BU_surface</x:v>
      </x:c>
      <x:c r="U1466" s="2" t="str">
        <x:v>GFA growth versus source physical quantity growth; constant conversion required for equality</x:v>
      </x:c>
      <x:c r="V1466" s="2" t="str">
        <x:v>Future horizontal path is already a v16 driver; WUP historical surface derives from GHSL</x:v>
      </x:c>
      <x:c r="W1466" s="2" t="str">
        <x:v>https://human-settlement.emergency.copernicus.eu/datasets.php</x:v>
      </x:c>
    </x:row>
    <x:row r="1467" ht="23" customHeight="1">
      <x:c r="A1467" s="2" t="str">
        <x:v>KWT</x:v>
      </x:c>
      <x:c r="B1467" s="2" t="str">
        <x:v>Kuwait (State of)</x:v>
      </x:c>
      <x:c r="C1467" s="2" t="str">
        <x:v>WUP_SURFACE</x:v>
      </x:c>
      <x:c r="D1467" s="2" t="n">
        <x:v>2020</x:v>
      </x:c>
      <x:c r="E1467" s="2" t="n">
        <x:v>2030</x:v>
      </x:c>
      <x:c r="F1467" s="17" t="n">
        <x:v>155594647.5199998</x:v>
      </x:c>
      <x:c r="G1467" s="17" t="n">
        <x:v>212682883.74370617</x:v>
      </x:c>
      <x:c r="H1467" s="17" t="n">
        <x:v>217834423.23681584</x:v>
      </x:c>
      <x:c r="I1467" s="17" t="n">
        <x:v>296124201.02924514</x:v>
      </x:c>
      <x:c r="J1467" s="2" t="str">
        <x:v>m2</x:v>
      </x:c>
      <x:c r="K1467" s="15" t="n">
        <x:f>IF(AND(ISNUMBER(F1467),ISNUMBER(G1467),F1467&gt;0),G1467/F1467-1,"n.a.")</x:f>
        <x:v>0.3669035994079961</x:v>
      </x:c>
      <x:c r="L1467" s="15" t="n">
        <x:f>IF(AND(N1467,ISNUMBER(H1467),ISNUMBER(I1467),H1467&gt;0),I1467/H1467-1,"n.a.")</x:f>
        <x:v>0.35940039516765254</x:v>
      </x:c>
      <x:c r="M1467" s="20" t="n">
        <x:f>IF(AND(ISNUMBER(K1467),ISNUMBER(L1467)),100*(K1467-L1467),"n.a.")</x:f>
        <x:v>0.7503204240343564</x:v>
      </x:c>
      <x:c r="N1467" s="13" t="b">
        <x:v>1</x:v>
      </x:c>
      <x:c r="O1467" s="13" t="b">
        <x:v>1</x:v>
      </x:c>
      <x:c r="P1467" s="13" t="b">
        <x:v>0</x:v>
      </x:c>
      <x:c r="Q1467" s="2" t="str">
        <x:v>L1_numeric_partition_qualified_not_national_completeness</x:v>
      </x:c>
      <x:c r="R1467" s="2" t="str">
        <x:v>L1_numeric_partition_qualified_not_national_completeness</x:v>
      </x:c>
      <x:c r="S1467" s="2" t="str">
        <x:v>historical_GHSL_BU_estimate</x:v>
      </x:c>
      <x:c r="T1467" s="2" t="str">
        <x:v>projected_CRISP_BU_surface</x:v>
      </x:c>
      <x:c r="U1467" s="2" t="str">
        <x:v>GFA growth versus source physical quantity growth; constant conversion required for equality</x:v>
      </x:c>
      <x:c r="V1467" s="2" t="str">
        <x:v>Future horizontal path is already a v16 driver; WUP historical surface derives from GHSL</x:v>
      </x:c>
      <x:c r="W1467" s="2" t="str">
        <x:v>https://human-settlement.emergency.copernicus.eu/datasets.php</x:v>
      </x:c>
    </x:row>
    <x:row r="1468" ht="23" customHeight="1">
      <x:c r="A1468" s="2" t="str">
        <x:v>LAO</x:v>
      </x:c>
      <x:c r="B1468" s="2" t="str">
        <x:v>Lao People's Democratic Republic</x:v>
      </x:c>
      <x:c r="C1468" s="2" t="str">
        <x:v>WUP_SURFACE</x:v>
      </x:c>
      <x:c r="D1468" s="2" t="n">
        <x:v>2020</x:v>
      </x:c>
      <x:c r="E1468" s="2" t="n">
        <x:v>2030</x:v>
      </x:c>
      <x:c r="F1468" s="17" t="n">
        <x:v>333393295.1899998</x:v>
      </x:c>
      <x:c r="G1468" s="17" t="n">
        <x:v>435486688.0907091</x:v>
      </x:c>
      <x:c r="H1468" s="17" t="n">
        <x:v>339745097.1179587</x:v>
      </x:c>
      <x:c r="I1468" s="17" t="n">
        <x:v>441835703.13779896</x:v>
      </x:c>
      <x:c r="J1468" s="2" t="str">
        <x:v>m2</x:v>
      </x:c>
      <x:c r="K1468" s="15" t="n">
        <x:f>IF(AND(ISNUMBER(F1468),ISNUMBER(G1468),F1468&gt;0),G1468/F1468-1,"n.a.")</x:f>
        <x:v>0.30622509322668456</x:v>
      </x:c>
      <x:c r="L1468" s="15" t="n">
        <x:f>IF(AND(N1468,ISNUMBER(H1468),ISNUMBER(I1468),H1468&gt;0),I1468/H1468-1,"n.a.")</x:f>
        <x:v>0.30049177128932825</x:v>
      </x:c>
      <x:c r="M1468" s="20" t="n">
        <x:f>IF(AND(ISNUMBER(K1468),ISNUMBER(L1468)),100*(K1468-L1468),"n.a.")</x:f>
        <x:v>0.5733321937356317</x:v>
      </x:c>
      <x:c r="N1468" s="13" t="b">
        <x:v>1</x:v>
      </x:c>
      <x:c r="O1468" s="13" t="b">
        <x:v>1</x:v>
      </x:c>
      <x:c r="P1468" s="13" t="b">
        <x:v>0</x:v>
      </x:c>
      <x:c r="Q1468" s="2" t="str">
        <x:v>L1_numeric_partition_qualified_not_national_completeness</x:v>
      </x:c>
      <x:c r="R1468" s="2" t="str">
        <x:v>L1_numeric_partition_qualified_not_national_completeness</x:v>
      </x:c>
      <x:c r="S1468" s="2" t="str">
        <x:v>historical_GHSL_BU_estimate</x:v>
      </x:c>
      <x:c r="T1468" s="2" t="str">
        <x:v>projected_CRISP_BU_surface</x:v>
      </x:c>
      <x:c r="U1468" s="2" t="str">
        <x:v>GFA growth versus source physical quantity growth; constant conversion required for equality</x:v>
      </x:c>
      <x:c r="V1468" s="2" t="str">
        <x:v>Future horizontal path is already a v16 driver; WUP historical surface derives from GHSL</x:v>
      </x:c>
      <x:c r="W1468" s="2" t="str">
        <x:v>https://human-settlement.emergency.copernicus.eu/datasets.php</x:v>
      </x:c>
    </x:row>
    <x:row r="1469" ht="23" customHeight="1">
      <x:c r="A1469" s="2" t="str">
        <x:v>LBN</x:v>
      </x:c>
      <x:c r="B1469" s="2" t="str">
        <x:v>Lebanon (Lebanese Republic)</x:v>
      </x:c>
      <x:c r="C1469" s="2" t="str">
        <x:v>WUP_SURFACE</x:v>
      </x:c>
      <x:c r="D1469" s="2" t="n">
        <x:v>2020</x:v>
      </x:c>
      <x:c r="E1469" s="2" t="n">
        <x:v>2030</x:v>
      </x:c>
      <x:c r="F1469" s="17" t="n">
        <x:v>226725070.95000017</x:v>
      </x:c>
      <x:c r="G1469" s="17" t="n">
        <x:v>276391661.2821487</x:v>
      </x:c>
      <x:c r="H1469" s="17" t="n">
        <x:v>290312516.0537993</x:v>
      </x:c>
      <x:c r="I1469" s="17" t="n">
        <x:v>354084909.73780066</x:v>
      </x:c>
      <x:c r="J1469" s="2" t="str">
        <x:v>m2</x:v>
      </x:c>
      <x:c r="K1469" s="15" t="n">
        <x:f>IF(AND(ISNUMBER(F1469),ISNUMBER(G1469),F1469&gt;0),G1469/F1469-1,"n.a.")</x:f>
        <x:v>0.21906086576151762</x:v>
      </x:c>
      <x:c r="L1469" s="15" t="n">
        <x:f>IF(AND(N1469,ISNUMBER(H1469),ISNUMBER(I1469),H1469&gt;0),I1469/H1469-1,"n.a.")</x:f>
        <x:v>0.21966808235089452</x:v>
      </x:c>
      <x:c r="M1469" s="20" t="n">
        <x:f>IF(AND(ISNUMBER(K1469),ISNUMBER(L1469)),100*(K1469-L1469),"n.a.")</x:f>
        <x:v>-0.060721658937690215</x:v>
      </x:c>
      <x:c r="N1469" s="13" t="b">
        <x:v>1</x:v>
      </x:c>
      <x:c r="O1469" s="13" t="b">
        <x:v>1</x:v>
      </x:c>
      <x:c r="P1469" s="13" t="b">
        <x:v>0</x:v>
      </x:c>
      <x:c r="Q1469" s="2" t="str">
        <x:v>L1_numeric_partition_qualified_not_national_completeness</x:v>
      </x:c>
      <x:c r="R1469" s="2" t="str">
        <x:v>L1_numeric_partition_qualified_not_national_completeness</x:v>
      </x:c>
      <x:c r="S1469" s="2" t="str">
        <x:v>historical_GHSL_BU_estimate</x:v>
      </x:c>
      <x:c r="T1469" s="2" t="str">
        <x:v>projected_CRISP_BU_surface</x:v>
      </x:c>
      <x:c r="U1469" s="2" t="str">
        <x:v>GFA growth versus source physical quantity growth; constant conversion required for equality</x:v>
      </x:c>
      <x:c r="V1469" s="2" t="str">
        <x:v>Future horizontal path is already a v16 driver; WUP historical surface derives from GHSL</x:v>
      </x:c>
      <x:c r="W1469" s="2" t="str">
        <x:v>https://human-settlement.emergency.copernicus.eu/datasets.php</x:v>
      </x:c>
    </x:row>
    <x:row r="1470" ht="23" customHeight="1">
      <x:c r="A1470" s="2" t="str">
        <x:v>LBR</x:v>
      </x:c>
      <x:c r="B1470" s="2" t="str">
        <x:v>Liberia (Republic of)</x:v>
      </x:c>
      <x:c r="C1470" s="2" t="str">
        <x:v>WUP_SURFACE</x:v>
      </x:c>
      <x:c r="D1470" s="2" t="n">
        <x:v>2020</x:v>
      </x:c>
      <x:c r="E1470" s="2" t="n">
        <x:v>2030</x:v>
      </x:c>
      <x:c r="F1470" s="17" t="n">
        <x:v>93713430.84000014</x:v>
      </x:c>
      <x:c r="G1470" s="17" t="n">
        <x:v>129538130.15729399</x:v>
      </x:c>
      <x:c r="H1470" s="17" t="n">
        <x:v>199718960.09603718</x:v>
      </x:c>
      <x:c r="I1470" s="17" t="n">
        <x:v>274584548.13546294</x:v>
      </x:c>
      <x:c r="J1470" s="2" t="str">
        <x:v>m2</x:v>
      </x:c>
      <x:c r="K1470" s="15" t="n">
        <x:f>IF(AND(ISNUMBER(F1470),ISNUMBER(G1470),F1470&gt;0),G1470/F1470-1,"n.a.")</x:f>
        <x:v>0.3822792421126753</x:v>
      </x:c>
      <x:c r="L1470" s="15" t="n">
        <x:f>IF(AND(N1470,ISNUMBER(H1470),ISNUMBER(I1470),H1470&gt;0),I1470/H1470-1,"n.a.")</x:f>
        <x:v>0.3748546858216455</x:v>
      </x:c>
      <x:c r="M1470" s="20" t="n">
        <x:f>IF(AND(ISNUMBER(K1470),ISNUMBER(L1470)),100*(K1470-L1470),"n.a.")</x:f>
        <x:v>0.7424556291029782</x:v>
      </x:c>
      <x:c r="N1470" s="13" t="b">
        <x:v>1</x:v>
      </x:c>
      <x:c r="O1470" s="13" t="b">
        <x:v>1</x:v>
      </x:c>
      <x:c r="P1470" s="13" t="b">
        <x:v>0</x:v>
      </x:c>
      <x:c r="Q1470" s="2" t="str">
        <x:v>L1_numeric_partition_qualified_not_national_completeness</x:v>
      </x:c>
      <x:c r="R1470" s="2" t="str">
        <x:v>L1_numeric_partition_qualified_not_national_completeness</x:v>
      </x:c>
      <x:c r="S1470" s="2" t="str">
        <x:v>historical_GHSL_BU_estimate</x:v>
      </x:c>
      <x:c r="T1470" s="2" t="str">
        <x:v>projected_CRISP_BU_surface</x:v>
      </x:c>
      <x:c r="U1470" s="2" t="str">
        <x:v>GFA growth versus source physical quantity growth; constant conversion required for equality</x:v>
      </x:c>
      <x:c r="V1470" s="2" t="str">
        <x:v>Future horizontal path is already a v16 driver; WUP historical surface derives from GHSL</x:v>
      </x:c>
      <x:c r="W1470" s="2" t="str">
        <x:v>https://human-settlement.emergency.copernicus.eu/datasets.php</x:v>
      </x:c>
    </x:row>
    <x:row r="1471" ht="23" customHeight="1">
      <x:c r="A1471" s="2" t="str">
        <x:v>LBY</x:v>
      </x:c>
      <x:c r="B1471" s="2" t="str">
        <x:v>Libya (State of)</x:v>
      </x:c>
      <x:c r="C1471" s="2" t="str">
        <x:v>WUP_SURFACE</x:v>
      </x:c>
      <x:c r="D1471" s="2" t="n">
        <x:v>2020</x:v>
      </x:c>
      <x:c r="E1471" s="2" t="n">
        <x:v>2030</x:v>
      </x:c>
      <x:c r="F1471" s="17" t="n">
        <x:v>523048577.3000005</x:v>
      </x:c>
      <x:c r="G1471" s="17" t="n">
        <x:v>591899217.0648397</x:v>
      </x:c>
      <x:c r="H1471" s="17" t="n">
        <x:v>1007615694.8703437</x:v>
      </x:c>
      <x:c r="I1471" s="17" t="n">
        <x:v>1136782217.2749925</x:v>
      </x:c>
      <x:c r="J1471" s="2" t="str">
        <x:v>m2</x:v>
      </x:c>
      <x:c r="K1471" s="15" t="n">
        <x:f>IF(AND(ISNUMBER(F1471),ISNUMBER(G1471),F1471&gt;0),G1471/F1471-1,"n.a.")</x:f>
        <x:v>0.1316333563514296</x:v>
      </x:c>
      <x:c r="L1471" s="15" t="n">
        <x:f>IF(AND(N1471,ISNUMBER(H1471),ISNUMBER(I1471),H1471&gt;0),I1471/H1471-1,"n.a.")</x:f>
        <x:v>0.1281902644651336</x:v>
      </x:c>
      <x:c r="M1471" s="20" t="n">
        <x:f>IF(AND(ISNUMBER(K1471),ISNUMBER(L1471)),100*(K1471-L1471),"n.a.")</x:f>
        <x:v>0.34430918862959903</x:v>
      </x:c>
      <x:c r="N1471" s="13" t="b">
        <x:v>1</x:v>
      </x:c>
      <x:c r="O1471" s="13" t="b">
        <x:v>1</x:v>
      </x:c>
      <x:c r="P1471" s="13" t="b">
        <x:v>0</x:v>
      </x:c>
      <x:c r="Q1471" s="2" t="str">
        <x:v>L1_numeric_partition_qualified_not_national_completeness</x:v>
      </x:c>
      <x:c r="R1471" s="2" t="str">
        <x:v>L1_numeric_partition_qualified_not_national_completeness</x:v>
      </x:c>
      <x:c r="S1471" s="2" t="str">
        <x:v>historical_GHSL_BU_estimate</x:v>
      </x:c>
      <x:c r="T1471" s="2" t="str">
        <x:v>projected_CRISP_BU_surface</x:v>
      </x:c>
      <x:c r="U1471" s="2" t="str">
        <x:v>GFA growth versus source physical quantity growth; constant conversion required for equality</x:v>
      </x:c>
      <x:c r="V1471" s="2" t="str">
        <x:v>Future horizontal path is already a v16 driver; WUP historical surface derives from GHSL</x:v>
      </x:c>
      <x:c r="W1471" s="2" t="str">
        <x:v>https://human-settlement.emergency.copernicus.eu/datasets.php</x:v>
      </x:c>
    </x:row>
    <x:row r="1472" ht="23" customHeight="1">
      <x:c r="A1472" s="2" t="str">
        <x:v>LCA</x:v>
      </x:c>
      <x:c r="B1472" s="2" t="str">
        <x:v>Saint Lucia</x:v>
      </x:c>
      <x:c r="C1472" s="2" t="str">
        <x:v>WUP_SURFACE</x:v>
      </x:c>
      <x:c r="D1472" s="2" t="n">
        <x:v>2020</x:v>
      </x:c>
      <x:c r="E1472" s="2" t="n">
        <x:v>2030</x:v>
      </x:c>
      <x:c r="F1472" s="17" t="n">
        <x:v>10226894.600000018</x:v>
      </x:c>
      <x:c r="G1472" s="17" t="n">
        <x:v>12017226.335812932</x:v>
      </x:c>
      <x:c r="H1472" s="17" t="n">
        <x:v>15660153.983425064</x:v>
      </x:c>
      <x:c r="I1472" s="17" t="n">
        <x:v>18329689.90698646</x:v>
      </x:c>
      <x:c r="J1472" s="2" t="str">
        <x:v>m2</x:v>
      </x:c>
      <x:c r="K1472" s="15" t="n">
        <x:f>IF(AND(ISNUMBER(F1472),ISNUMBER(G1472),F1472&gt;0),G1472/F1472-1,"n.a.")</x:f>
        <x:v>0.17506113105076015</x:v>
      </x:c>
      <x:c r="L1472" s="15" t="n">
        <x:f>IF(AND(N1472,ISNUMBER(H1472),ISNUMBER(I1472),H1472&gt;0),I1472/H1472-1,"n.a.")</x:f>
        <x:v>0.17046677359538553</x:v>
      </x:c>
      <x:c r="M1472" s="20" t="n">
        <x:f>IF(AND(ISNUMBER(K1472),ISNUMBER(L1472)),100*(K1472-L1472),"n.a.")</x:f>
        <x:v>0.459435745537462</x:v>
      </x:c>
      <x:c r="N1472" s="13" t="b">
        <x:v>1</x:v>
      </x:c>
      <x:c r="O1472" s="13" t="b">
        <x:v>1</x:v>
      </x:c>
      <x:c r="P1472" s="13" t="b">
        <x:v>0</x:v>
      </x:c>
      <x:c r="Q1472" s="2" t="str">
        <x:v>L1_numeric_partition_qualified_not_national_completeness</x:v>
      </x:c>
      <x:c r="R1472" s="2" t="str">
        <x:v>L1_numeric_partition_qualified_not_national_completeness</x:v>
      </x:c>
      <x:c r="S1472" s="2" t="str">
        <x:v>historical_GHSL_BU_estimate</x:v>
      </x:c>
      <x:c r="T1472" s="2" t="str">
        <x:v>projected_CRISP_BU_surface</x:v>
      </x:c>
      <x:c r="U1472" s="2" t="str">
        <x:v>GFA growth versus source physical quantity growth; constant conversion required for equality</x:v>
      </x:c>
      <x:c r="V1472" s="2" t="str">
        <x:v>Future horizontal path is already a v16 driver; WUP historical surface derives from GHSL</x:v>
      </x:c>
      <x:c r="W1472" s="2" t="str">
        <x:v>https://human-settlement.emergency.copernicus.eu/datasets.php</x:v>
      </x:c>
    </x:row>
    <x:row r="1473" ht="23" customHeight="1">
      <x:c r="A1473" s="2" t="str">
        <x:v>LIE</x:v>
      </x:c>
      <x:c r="B1473" s="2" t="str">
        <x:v>Liechtenstein (Principality of)</x:v>
      </x:c>
      <x:c r="C1473" s="2" t="str">
        <x:v>WUP_SURFACE</x:v>
      </x:c>
      <x:c r="D1473" s="2" t="n">
        <x:v>2020</x:v>
      </x:c>
      <x:c r="E1473" s="2" t="n">
        <x:v>2030</x:v>
      </x:c>
      <x:c r="F1473" s="17" t="n">
        <x:v>3628695.830000003</x:v>
      </x:c>
      <x:c r="G1473" s="17" t="n">
        <x:v>4794074.955610487</x:v>
      </x:c>
      <x:c r="H1473" s="17" t="n">
        <x:v>5124664.990694326</x:v>
      </x:c>
      <x:c r="I1473" s="17" t="n">
        <x:v>6732146.082428698</x:v>
      </x:c>
      <x:c r="J1473" s="2" t="str">
        <x:v>m2</x:v>
      </x:c>
      <x:c r="K1473" s="15" t="n">
        <x:f>IF(AND(ISNUMBER(F1473),ISNUMBER(G1473),F1473&gt;0),G1473/F1473-1,"n.a.")</x:f>
        <x:v>0.3211564650792136</x:v>
      </x:c>
      <x:c r="L1473" s="15" t="n">
        <x:f>IF(AND(N1473,ISNUMBER(H1473),ISNUMBER(I1473),H1473&gt;0),I1473/H1473-1,"n.a.")</x:f>
        <x:v>0.3136753513943511</x:v>
      </x:c>
      <x:c r="M1473" s="20" t="n">
        <x:f>IF(AND(ISNUMBER(K1473),ISNUMBER(L1473)),100*(K1473-L1473),"n.a.")</x:f>
        <x:v>0.7481113684862484</x:v>
      </x:c>
      <x:c r="N1473" s="13" t="b">
        <x:v>1</x:v>
      </x:c>
      <x:c r="O1473" s="13" t="b">
        <x:v>1</x:v>
      </x:c>
      <x:c r="P1473" s="13" t="b">
        <x:v>0</x:v>
      </x:c>
      <x:c r="Q1473" s="2" t="str">
        <x:v>L1_numeric_partition_qualified_not_national_completeness</x:v>
      </x:c>
      <x:c r="R1473" s="2" t="str">
        <x:v>L1_numeric_partition_qualified_not_national_completeness</x:v>
      </x:c>
      <x:c r="S1473" s="2" t="str">
        <x:v>historical_GHSL_BU_estimate</x:v>
      </x:c>
      <x:c r="T1473" s="2" t="str">
        <x:v>projected_CRISP_BU_surface</x:v>
      </x:c>
      <x:c r="U1473" s="2" t="str">
        <x:v>GFA growth versus source physical quantity growth; constant conversion required for equality</x:v>
      </x:c>
      <x:c r="V1473" s="2" t="str">
        <x:v>Future horizontal path is already a v16 driver; WUP historical surface derives from GHSL</x:v>
      </x:c>
      <x:c r="W1473" s="2" t="str">
        <x:v>https://human-settlement.emergency.copernicus.eu/datasets.php</x:v>
      </x:c>
    </x:row>
    <x:row r="1474" ht="23" customHeight="1">
      <x:c r="A1474" s="2" t="str">
        <x:v>LKA</x:v>
      </x:c>
      <x:c r="B1474" s="2" t="str">
        <x:v>Sri Lanka (Democratic Socialist Republic of)</x:v>
      </x:c>
      <x:c r="C1474" s="2" t="str">
        <x:v>WUP_SURFACE</x:v>
      </x:c>
      <x:c r="D1474" s="2" t="n">
        <x:v>2020</x:v>
      </x:c>
      <x:c r="E1474" s="2" t="n">
        <x:v>2030</x:v>
      </x:c>
      <x:c r="F1474" s="17" t="n">
        <x:v>899293602.2900008</x:v>
      </x:c>
      <x:c r="G1474" s="17" t="n">
        <x:v>1109610625.253043</x:v>
      </x:c>
      <x:c r="H1474" s="17" t="n">
        <x:v>984798909.2979468</x:v>
      </x:c>
      <x:c r="I1474" s="17" t="n">
        <x:v>1210572690.7135358</x:v>
      </x:c>
      <x:c r="J1474" s="2" t="str">
        <x:v>m2</x:v>
      </x:c>
      <x:c r="K1474" s="15" t="n">
        <x:f>IF(AND(ISNUMBER(F1474),ISNUMBER(G1474),F1474&gt;0),G1474/F1474-1,"n.a.")</x:f>
        <x:v>0.23386914176580564</x:v>
      </x:c>
      <x:c r="L1474" s="15" t="n">
        <x:f>IF(AND(N1474,ISNUMBER(H1474),ISNUMBER(I1474),H1474&gt;0),I1474/H1474-1,"n.a.")</x:f>
        <x:v>0.2292587646919113</x:v>
      </x:c>
      <x:c r="M1474" s="20" t="n">
        <x:f>IF(AND(ISNUMBER(K1474),ISNUMBER(L1474)),100*(K1474-L1474),"n.a.")</x:f>
        <x:v>0.4610377073894334</x:v>
      </x:c>
      <x:c r="N1474" s="13" t="b">
        <x:v>1</x:v>
      </x:c>
      <x:c r="O1474" s="13" t="b">
        <x:v>1</x:v>
      </x:c>
      <x:c r="P1474" s="13" t="b">
        <x:v>0</x:v>
      </x:c>
      <x:c r="Q1474" s="2" t="str">
        <x:v>L1_numeric_partition_qualified_not_national_completeness</x:v>
      </x:c>
      <x:c r="R1474" s="2" t="str">
        <x:v>L1_numeric_partition_qualified_not_national_completeness</x:v>
      </x:c>
      <x:c r="S1474" s="2" t="str">
        <x:v>historical_GHSL_BU_estimate</x:v>
      </x:c>
      <x:c r="T1474" s="2" t="str">
        <x:v>projected_CRISP_BU_surface</x:v>
      </x:c>
      <x:c r="U1474" s="2" t="str">
        <x:v>GFA growth versus source physical quantity growth; constant conversion required for equality</x:v>
      </x:c>
      <x:c r="V1474" s="2" t="str">
        <x:v>Future horizontal path is already a v16 driver; WUP historical surface derives from GHSL</x:v>
      </x:c>
      <x:c r="W1474" s="2" t="str">
        <x:v>https://human-settlement.emergency.copernicus.eu/datasets.php</x:v>
      </x:c>
    </x:row>
    <x:row r="1475" ht="23" customHeight="1">
      <x:c r="A1475" s="2" t="str">
        <x:v>LSO</x:v>
      </x:c>
      <x:c r="B1475" s="2" t="str">
        <x:v>Lesotho (Kingdom of)</x:v>
      </x:c>
      <x:c r="C1475" s="2" t="str">
        <x:v>WUP_SURFACE</x:v>
      </x:c>
      <x:c r="D1475" s="2" t="n">
        <x:v>2020</x:v>
      </x:c>
      <x:c r="E1475" s="2" t="n">
        <x:v>2030</x:v>
      </x:c>
      <x:c r="F1475" s="17" t="n">
        <x:v>60655167.15000007</x:v>
      </x:c>
      <x:c r="G1475" s="17" t="n">
        <x:v>71566396.29721332</x:v>
      </x:c>
      <x:c r="H1475" s="17" t="n">
        <x:v>210188354.9035109</x:v>
      </x:c>
      <x:c r="I1475" s="17" t="n">
        <x:v>246678064.3842402</x:v>
      </x:c>
      <x:c r="J1475" s="2" t="str">
        <x:v>m2</x:v>
      </x:c>
      <x:c r="K1475" s="15" t="n">
        <x:f>IF(AND(ISNUMBER(F1475),ISNUMBER(G1475),F1475&gt;0),G1475/F1475-1,"n.a.")</x:f>
        <x:v>0.1798895240075722</x:v>
      </x:c>
      <x:c r="L1475" s="15" t="n">
        <x:f>IF(AND(N1475,ISNUMBER(H1475),ISNUMBER(I1475),H1475&gt;0),I1475/H1475-1,"n.a.")</x:f>
        <x:v>0.1736048103020753</x:v>
      </x:c>
      <x:c r="M1475" s="20" t="n">
        <x:f>IF(AND(ISNUMBER(K1475),ISNUMBER(L1475)),100*(K1475-L1475),"n.a.")</x:f>
        <x:v>0.628471370549688</x:v>
      </x:c>
      <x:c r="N1475" s="13" t="b">
        <x:v>1</x:v>
      </x:c>
      <x:c r="O1475" s="13" t="b">
        <x:v>1</x:v>
      </x:c>
      <x:c r="P1475" s="13" t="b">
        <x:v>0</x:v>
      </x:c>
      <x:c r="Q1475" s="2" t="str">
        <x:v>L1_numeric_partition_qualified_not_national_completeness</x:v>
      </x:c>
      <x:c r="R1475" s="2" t="str">
        <x:v>L1_numeric_partition_qualified_not_national_completeness</x:v>
      </x:c>
      <x:c r="S1475" s="2" t="str">
        <x:v>historical_GHSL_BU_estimate</x:v>
      </x:c>
      <x:c r="T1475" s="2" t="str">
        <x:v>projected_CRISP_BU_surface</x:v>
      </x:c>
      <x:c r="U1475" s="2" t="str">
        <x:v>GFA growth versus source physical quantity growth; constant conversion required for equality</x:v>
      </x:c>
      <x:c r="V1475" s="2" t="str">
        <x:v>Future horizontal path is already a v16 driver; WUP historical surface derives from GHSL</x:v>
      </x:c>
      <x:c r="W1475" s="2" t="str">
        <x:v>https://human-settlement.emergency.copernicus.eu/datasets.php</x:v>
      </x:c>
    </x:row>
    <x:row r="1476" ht="23" customHeight="1">
      <x:c r="A1476" s="2" t="str">
        <x:v>LTU</x:v>
      </x:c>
      <x:c r="B1476" s="2" t="str">
        <x:v>Lithuania (Republic of)</x:v>
      </x:c>
      <x:c r="C1476" s="2" t="str">
        <x:v>WUP_SURFACE</x:v>
      </x:c>
      <x:c r="D1476" s="2" t="n">
        <x:v>2020</x:v>
      </x:c>
      <x:c r="E1476" s="2" t="n">
        <x:v>2030</x:v>
      </x:c>
      <x:c r="F1476" s="17" t="n">
        <x:v>269070067.6199997</x:v>
      </x:c>
      <x:c r="G1476" s="17" t="n">
        <x:v>298842029.35083026</x:v>
      </x:c>
      <x:c r="H1476" s="17" t="n">
        <x:v>477086393.8024533</x:v>
      </x:c>
      <x:c r="I1476" s="17" t="n">
        <x:v>529459808.00866085</x:v>
      </x:c>
      <x:c r="J1476" s="2" t="str">
        <x:v>m2</x:v>
      </x:c>
      <x:c r="K1476" s="15" t="n">
        <x:f>IF(AND(ISNUMBER(F1476),ISNUMBER(G1476),F1476&gt;0),G1476/F1476-1,"n.a.")</x:f>
        <x:v>0.11064761678685375</x:v>
      </x:c>
      <x:c r="L1476" s="15" t="n">
        <x:f>IF(AND(N1476,ISNUMBER(H1476),ISNUMBER(I1476),H1476&gt;0),I1476/H1476-1,"n.a.")</x:f>
        <x:v>0.10977763123526385</x:v>
      </x:c>
      <x:c r="M1476" s="20" t="n">
        <x:f>IF(AND(ISNUMBER(K1476),ISNUMBER(L1476)),100*(K1476-L1476),"n.a.")</x:f>
        <x:v>0.08699855515899024</x:v>
      </x:c>
      <x:c r="N1476" s="13" t="b">
        <x:v>1</x:v>
      </x:c>
      <x:c r="O1476" s="13" t="b">
        <x:v>1</x:v>
      </x:c>
      <x:c r="P1476" s="13" t="b">
        <x:v>0</x:v>
      </x:c>
      <x:c r="Q1476" s="2" t="str">
        <x:v>L1_numeric_partition_qualified_not_national_completeness</x:v>
      </x:c>
      <x:c r="R1476" s="2" t="str">
        <x:v>L1_numeric_partition_qualified_not_national_completeness</x:v>
      </x:c>
      <x:c r="S1476" s="2" t="str">
        <x:v>historical_GHSL_BU_estimate</x:v>
      </x:c>
      <x:c r="T1476" s="2" t="str">
        <x:v>projected_CRISP_BU_surface</x:v>
      </x:c>
      <x:c r="U1476" s="2" t="str">
        <x:v>GFA growth versus source physical quantity growth; constant conversion required for equality</x:v>
      </x:c>
      <x:c r="V1476" s="2" t="str">
        <x:v>Future horizontal path is already a v16 driver; WUP historical surface derives from GHSL</x:v>
      </x:c>
      <x:c r="W1476" s="2" t="str">
        <x:v>https://human-settlement.emergency.copernicus.eu/datasets.php</x:v>
      </x:c>
    </x:row>
    <x:row r="1477" ht="23" customHeight="1">
      <x:c r="A1477" s="2" t="str">
        <x:v>LUX</x:v>
      </x:c>
      <x:c r="B1477" s="2" t="str">
        <x:v>Luxembourg (Grand Duchy of)</x:v>
      </x:c>
      <x:c r="C1477" s="2" t="str">
        <x:v>WUP_SURFACE</x:v>
      </x:c>
      <x:c r="D1477" s="2" t="n">
        <x:v>2020</x:v>
      </x:c>
      <x:c r="E1477" s="2" t="n">
        <x:v>2030</x:v>
      </x:c>
      <x:c r="F1477" s="17" t="n">
        <x:v>49053600.56000002</x:v>
      </x:c>
      <x:c r="G1477" s="17" t="n">
        <x:v>68723504.30395404</x:v>
      </x:c>
      <x:c r="H1477" s="17" t="n">
        <x:v>67894942.03978768</x:v>
      </x:c>
      <x:c r="I1477" s="17" t="n">
        <x:v>94598218.3657252</x:v>
      </x:c>
      <x:c r="J1477" s="2" t="str">
        <x:v>m2</x:v>
      </x:c>
      <x:c r="K1477" s="15" t="n">
        <x:f>IF(AND(ISNUMBER(F1477),ISNUMBER(G1477),F1477&gt;0),G1477/F1477-1,"n.a.")</x:f>
        <x:v>0.4009879706973749</x:v>
      </x:c>
      <x:c r="L1477" s="15" t="n">
        <x:f>IF(AND(N1477,ISNUMBER(H1477),ISNUMBER(I1477),H1477&gt;0),I1477/H1477-1,"n.a.")</x:f>
        <x:v>0.39330288124097534</x:v>
      </x:c>
      <x:c r="M1477" s="20" t="n">
        <x:f>IF(AND(ISNUMBER(K1477),ISNUMBER(L1477)),100*(K1477-L1477),"n.a.")</x:f>
        <x:v>0.7685089456399563</x:v>
      </x:c>
      <x:c r="N1477" s="13" t="b">
        <x:v>1</x:v>
      </x:c>
      <x:c r="O1477" s="13" t="b">
        <x:v>1</x:v>
      </x:c>
      <x:c r="P1477" s="13" t="b">
        <x:v>0</x:v>
      </x:c>
      <x:c r="Q1477" s="2" t="str">
        <x:v>L1_numeric_partition_qualified_not_national_completeness</x:v>
      </x:c>
      <x:c r="R1477" s="2" t="str">
        <x:v>L1_numeric_partition_qualified_not_national_completeness</x:v>
      </x:c>
      <x:c r="S1477" s="2" t="str">
        <x:v>historical_GHSL_BU_estimate</x:v>
      </x:c>
      <x:c r="T1477" s="2" t="str">
        <x:v>projected_CRISP_BU_surface</x:v>
      </x:c>
      <x:c r="U1477" s="2" t="str">
        <x:v>GFA growth versus source physical quantity growth; constant conversion required for equality</x:v>
      </x:c>
      <x:c r="V1477" s="2" t="str">
        <x:v>Future horizontal path is already a v16 driver; WUP historical surface derives from GHSL</x:v>
      </x:c>
      <x:c r="W1477" s="2" t="str">
        <x:v>https://human-settlement.emergency.copernicus.eu/datasets.php</x:v>
      </x:c>
    </x:row>
    <x:row r="1478" ht="23" customHeight="1">
      <x:c r="A1478" s="2" t="str">
        <x:v>LVA</x:v>
      </x:c>
      <x:c r="B1478" s="2" t="str">
        <x:v>Latvia (Republic of)</x:v>
      </x:c>
      <x:c r="C1478" s="2" t="str">
        <x:v>WUP_SURFACE</x:v>
      </x:c>
      <x:c r="D1478" s="2" t="n">
        <x:v>2020</x:v>
      </x:c>
      <x:c r="E1478" s="2" t="n">
        <x:v>2030</x:v>
      </x:c>
      <x:c r="F1478" s="17" t="n">
        <x:v>145154805.1899999</x:v>
      </x:c>
      <x:c r="G1478" s="17" t="n">
        <x:v>164662019.74245363</x:v>
      </x:c>
      <x:c r="H1478" s="17" t="n">
        <x:v>255494711.05248618</x:v>
      </x:c>
      <x:c r="I1478" s="17" t="n">
        <x:v>289850406.4633681</x:v>
      </x:c>
      <x:c r="J1478" s="2" t="str">
        <x:v>m2</x:v>
      </x:c>
      <x:c r="K1478" s="15" t="n">
        <x:f>IF(AND(ISNUMBER(F1478),ISNUMBER(G1478),F1478&gt;0),G1478/F1478-1,"n.a.")</x:f>
        <x:v>0.13438903746190012</x:v>
      </x:c>
      <x:c r="L1478" s="15" t="n">
        <x:f>IF(AND(N1478,ISNUMBER(H1478),ISNUMBER(I1478),H1478&gt;0),I1478/H1478-1,"n.a.")</x:f>
        <x:v>0.13446734482039546</x:v>
      </x:c>
      <x:c r="M1478" s="20" t="n">
        <x:f>IF(AND(ISNUMBER(K1478),ISNUMBER(L1478)),100*(K1478-L1478),"n.a.")</x:f>
        <x:v>-0.00783073584953442</x:v>
      </x:c>
      <x:c r="N1478" s="13" t="b">
        <x:v>1</x:v>
      </x:c>
      <x:c r="O1478" s="13" t="b">
        <x:v>1</x:v>
      </x:c>
      <x:c r="P1478" s="13" t="b">
        <x:v>0</x:v>
      </x:c>
      <x:c r="Q1478" s="2" t="str">
        <x:v>L1_numeric_partition_qualified_not_national_completeness</x:v>
      </x:c>
      <x:c r="R1478" s="2" t="str">
        <x:v>L1_numeric_partition_qualified_not_national_completeness</x:v>
      </x:c>
      <x:c r="S1478" s="2" t="str">
        <x:v>historical_GHSL_BU_estimate</x:v>
      </x:c>
      <x:c r="T1478" s="2" t="str">
        <x:v>projected_CRISP_BU_surface</x:v>
      </x:c>
      <x:c r="U1478" s="2" t="str">
        <x:v>GFA growth versus source physical quantity growth; constant conversion required for equality</x:v>
      </x:c>
      <x:c r="V1478" s="2" t="str">
        <x:v>Future horizontal path is already a v16 driver; WUP historical surface derives from GHSL</x:v>
      </x:c>
      <x:c r="W1478" s="2" t="str">
        <x:v>https://human-settlement.emergency.copernicus.eu/datasets.php</x:v>
      </x:c>
    </x:row>
    <x:row r="1479" ht="23" customHeight="1">
      <x:c r="A1479" s="2" t="str">
        <x:v>MAR</x:v>
      </x:c>
      <x:c r="B1479" s="2" t="str">
        <x:v>Morocco (Kingdom of)</x:v>
      </x:c>
      <x:c r="C1479" s="2" t="str">
        <x:v>WUP_SURFACE</x:v>
      </x:c>
      <x:c r="D1479" s="2" t="n">
        <x:v>2020</x:v>
      </x:c>
      <x:c r="E1479" s="2" t="n">
        <x:v>2030</x:v>
      </x:c>
      <x:c r="F1479" s="17" t="n">
        <x:v>1247018524.7000012</x:v>
      </x:c>
      <x:c r="G1479" s="17" t="n">
        <x:v>1799003110.224297</x:v>
      </x:c>
      <x:c r="H1479" s="17" t="n">
        <x:v>830940279.8591127</x:v>
      </x:c>
      <x:c r="I1479" s="17" t="n">
        <x:v>1193504470.6922092</x:v>
      </x:c>
      <x:c r="J1479" s="2" t="str">
        <x:v>m2</x:v>
      </x:c>
      <x:c r="K1479" s="15" t="n">
        <x:f>IF(AND(ISNUMBER(F1479),ISNUMBER(G1479),F1479&gt;0),G1479/F1479-1,"n.a.")</x:f>
        <x:v>0.4426434528365073</x:v>
      </x:c>
      <x:c r="L1479" s="15" t="n">
        <x:f>IF(AND(N1479,ISNUMBER(H1479),ISNUMBER(I1479),H1479&gt;0),I1479/H1479-1,"n.a.")</x:f>
        <x:v>0.436330022290615</x:v>
      </x:c>
      <x:c r="M1479" s="20" t="n">
        <x:f>IF(AND(ISNUMBER(K1479),ISNUMBER(L1479)),100*(K1479-L1479),"n.a.")</x:f>
        <x:v>0.6313430545892285</x:v>
      </x:c>
      <x:c r="N1479" s="13" t="b">
        <x:v>1</x:v>
      </x:c>
      <x:c r="O1479" s="13" t="b">
        <x:v>1</x:v>
      </x:c>
      <x:c r="P1479" s="13" t="b">
        <x:v>0</x:v>
      </x:c>
      <x:c r="Q1479" s="2" t="str">
        <x:v>L1_numeric_partition_qualified_not_national_completeness</x:v>
      </x:c>
      <x:c r="R1479" s="2" t="str">
        <x:v>L1_numeric_partition_qualified_not_national_completeness</x:v>
      </x:c>
      <x:c r="S1479" s="2" t="str">
        <x:v>historical_GHSL_BU_estimate</x:v>
      </x:c>
      <x:c r="T1479" s="2" t="str">
        <x:v>projected_CRISP_BU_surface</x:v>
      </x:c>
      <x:c r="U1479" s="2" t="str">
        <x:v>GFA growth versus source physical quantity growth; constant conversion required for equality</x:v>
      </x:c>
      <x:c r="V1479" s="2" t="str">
        <x:v>Future horizontal path is already a v16 driver; WUP historical surface derives from GHSL</x:v>
      </x:c>
      <x:c r="W1479" s="2" t="str">
        <x:v>https://human-settlement.emergency.copernicus.eu/datasets.php</x:v>
      </x:c>
    </x:row>
    <x:row r="1480" ht="23" customHeight="1">
      <x:c r="A1480" s="2" t="str">
        <x:v>MCO</x:v>
      </x:c>
      <x:c r="B1480" s="2" t="str">
        <x:v>Monaco (Principality of)</x:v>
      </x:c>
      <x:c r="C1480" s="2" t="str">
        <x:v>WUP_SURFACE</x:v>
      </x:c>
      <x:c r="D1480" s="2" t="n">
        <x:v>2020</x:v>
      </x:c>
      <x:c r="E1480" s="2" t="n">
        <x:v>2030</x:v>
      </x:c>
      <x:c r="F1480" s="17" t="n">
        <x:v>1563267.7900000005</x:v>
      </x:c>
      <x:c r="G1480" s="17" t="n">
        <x:v>2030703.7802541028</x:v>
      </x:c>
      <x:c r="H1480" s="17" t="n">
        <x:v>751268.0051731877</x:v>
      </x:c>
      <x:c r="I1480" s="17" t="n">
        <x:v>973150.463309139</x:v>
      </x:c>
      <x:c r="J1480" s="2" t="str">
        <x:v>m2</x:v>
      </x:c>
      <x:c r="K1480" s="15" t="n">
        <x:f>IF(AND(ISNUMBER(F1480),ISNUMBER(G1480),F1480&gt;0),G1480/F1480-1,"n.a.")</x:f>
        <x:v>0.2990121035207296</x:v>
      </x:c>
      <x:c r="L1480" s="15" t="n">
        <x:f>IF(AND(N1480,ISNUMBER(H1480),ISNUMBER(I1480),H1480&gt;0),I1480/H1480-1,"n.a.")</x:f>
        <x:v>0.2953439473105226</x:v>
      </x:c>
      <x:c r="M1480" s="20" t="n">
        <x:f>IF(AND(ISNUMBER(K1480),ISNUMBER(L1480)),100*(K1480-L1480),"n.a.")</x:f>
        <x:v>0.36681562102069964</x:v>
      </x:c>
      <x:c r="N1480" s="13" t="b">
        <x:v>1</x:v>
      </x:c>
      <x:c r="O1480" s="13" t="b">
        <x:v>1</x:v>
      </x:c>
      <x:c r="P1480" s="13" t="b">
        <x:v>0</x:v>
      </x:c>
      <x:c r="Q1480" s="2" t="str">
        <x:v>L1_numeric_partition_qualified_not_national_completeness</x:v>
      </x:c>
      <x:c r="R1480" s="2" t="str">
        <x:v>L1_numeric_partition_qualified_not_national_completeness</x:v>
      </x:c>
      <x:c r="S1480" s="2" t="str">
        <x:v>historical_GHSL_BU_estimate</x:v>
      </x:c>
      <x:c r="T1480" s="2" t="str">
        <x:v>projected_CRISP_BU_surface</x:v>
      </x:c>
      <x:c r="U1480" s="2" t="str">
        <x:v>GFA growth versus source physical quantity growth; constant conversion required for equality</x:v>
      </x:c>
      <x:c r="V1480" s="2" t="str">
        <x:v>Future horizontal path is already a v16 driver; WUP historical surface derives from GHSL</x:v>
      </x:c>
      <x:c r="W1480" s="2" t="str">
        <x:v>https://human-settlement.emergency.copernicus.eu/datasets.php</x:v>
      </x:c>
    </x:row>
    <x:row r="1481" ht="23" customHeight="1">
      <x:c r="A1481" s="2" t="str">
        <x:v>MDA</x:v>
      </x:c>
      <x:c r="B1481" s="2" t="str">
        <x:v>Moldova (Republic of)</x:v>
      </x:c>
      <x:c r="C1481" s="2" t="str">
        <x:v>WUP_SURFACE</x:v>
      </x:c>
      <x:c r="D1481" s="2" t="n">
        <x:v>2020</x:v>
      </x:c>
      <x:c r="E1481" s="2" t="n">
        <x:v>2030</x:v>
      </x:c>
      <x:c r="F1481" s="17" t="n">
        <x:v>254566854.8299996</x:v>
      </x:c>
      <x:c r="G1481" s="17" t="n">
        <x:v>262672917.60113072</x:v>
      </x:c>
      <x:c r="H1481" s="17" t="n">
        <x:v>488421133.9322726</x:v>
      </x:c>
      <x:c r="I1481" s="17" t="n">
        <x:v>504072072.5621848</x:v>
      </x:c>
      <x:c r="J1481" s="2" t="str">
        <x:v>m2</x:v>
      </x:c>
      <x:c r="K1481" s="15" t="n">
        <x:f>IF(AND(ISNUMBER(F1481),ISNUMBER(G1481),F1481&gt;0),G1481/F1481-1,"n.a.")</x:f>
        <x:v>0.031842569514968444</x:v>
      </x:c>
      <x:c r="L1481" s="15" t="n">
        <x:f>IF(AND(N1481,ISNUMBER(H1481),ISNUMBER(I1481),H1481&gt;0),I1481/H1481-1,"n.a.")</x:f>
        <x:v>0.03204394229198626</x:v>
      </x:c>
      <x:c r="M1481" s="20" t="n">
        <x:f>IF(AND(ISNUMBER(K1481),ISNUMBER(L1481)),100*(K1481-L1481),"n.a.")</x:f>
        <x:v>-0.020137277701781642</x:v>
      </x:c>
      <x:c r="N1481" s="13" t="b">
        <x:v>1</x:v>
      </x:c>
      <x:c r="O1481" s="13" t="b">
        <x:v>1</x:v>
      </x:c>
      <x:c r="P1481" s="13" t="b">
        <x:v>0</x:v>
      </x:c>
      <x:c r="Q1481" s="2" t="str">
        <x:v>L1_numeric_partition_qualified_not_national_completeness</x:v>
      </x:c>
      <x:c r="R1481" s="2" t="str">
        <x:v>L1_numeric_partition_qualified_not_national_completeness</x:v>
      </x:c>
      <x:c r="S1481" s="2" t="str">
        <x:v>historical_GHSL_BU_estimate</x:v>
      </x:c>
      <x:c r="T1481" s="2" t="str">
        <x:v>projected_CRISP_BU_surface</x:v>
      </x:c>
      <x:c r="U1481" s="2" t="str">
        <x:v>GFA growth versus source physical quantity growth; constant conversion required for equality</x:v>
      </x:c>
      <x:c r="V1481" s="2" t="str">
        <x:v>Future horizontal path is already a v16 driver; WUP historical surface derives from GHSL</x:v>
      </x:c>
      <x:c r="W1481" s="2" t="str">
        <x:v>https://human-settlement.emergency.copernicus.eu/datasets.php</x:v>
      </x:c>
    </x:row>
    <x:row r="1482" ht="23" customHeight="1">
      <x:c r="A1482" s="2" t="str">
        <x:v>MDG</x:v>
      </x:c>
      <x:c r="B1482" s="2" t="str">
        <x:v>Madagascar (Republic of)</x:v>
      </x:c>
      <x:c r="C1482" s="2" t="str">
        <x:v>WUP_SURFACE</x:v>
      </x:c>
      <x:c r="D1482" s="2" t="n">
        <x:v>2020</x:v>
      </x:c>
      <x:c r="E1482" s="2" t="n">
        <x:v>2030</x:v>
      </x:c>
      <x:c r="F1482" s="17" t="n">
        <x:v>360823089.7999994</x:v>
      </x:c>
      <x:c r="G1482" s="17" t="n">
        <x:v>522678666.7769805</x:v>
      </x:c>
      <x:c r="H1482" s="17" t="n">
        <x:v>807916952.66796</x:v>
      </x:c>
      <x:c r="I1482" s="17" t="n">
        <x:v>1163385282.129933</x:v>
      </x:c>
      <x:c r="J1482" s="2" t="str">
        <x:v>m2</x:v>
      </x:c>
      <x:c r="K1482" s="15" t="n">
        <x:f>IF(AND(ISNUMBER(F1482),ISNUMBER(G1482),F1482&gt;0),G1482/F1482-1,"n.a.")</x:f>
        <x:v>0.44857322480857875</x:v>
      </x:c>
      <x:c r="L1482" s="15" t="n">
        <x:f>IF(AND(N1482,ISNUMBER(H1482),ISNUMBER(I1482),H1482&gt;0),I1482/H1482-1,"n.a.")</x:f>
        <x:v>0.43998127318423097</x:v>
      </x:c>
      <x:c r="M1482" s="20" t="n">
        <x:f>IF(AND(ISNUMBER(K1482),ISNUMBER(L1482)),100*(K1482-L1482),"n.a.")</x:f>
        <x:v>0.8591951624347782</x:v>
      </x:c>
      <x:c r="N1482" s="13" t="b">
        <x:v>1</x:v>
      </x:c>
      <x:c r="O1482" s="13" t="b">
        <x:v>1</x:v>
      </x:c>
      <x:c r="P1482" s="13" t="b">
        <x:v>0</x:v>
      </x:c>
      <x:c r="Q1482" s="2" t="str">
        <x:v>L1_numeric_partition_qualified_not_national_completeness</x:v>
      </x:c>
      <x:c r="R1482" s="2" t="str">
        <x:v>L1_numeric_partition_qualified_not_national_completeness</x:v>
      </x:c>
      <x:c r="S1482" s="2" t="str">
        <x:v>historical_GHSL_BU_estimate</x:v>
      </x:c>
      <x:c r="T1482" s="2" t="str">
        <x:v>projected_CRISP_BU_surface</x:v>
      </x:c>
      <x:c r="U1482" s="2" t="str">
        <x:v>GFA growth versus source physical quantity growth; constant conversion required for equality</x:v>
      </x:c>
      <x:c r="V1482" s="2" t="str">
        <x:v>Future horizontal path is already a v16 driver; WUP historical surface derives from GHSL</x:v>
      </x:c>
      <x:c r="W1482" s="2" t="str">
        <x:v>https://human-settlement.emergency.copernicus.eu/datasets.php</x:v>
      </x:c>
    </x:row>
    <x:row r="1483" ht="23" customHeight="1">
      <x:c r="A1483" s="2" t="str">
        <x:v>MDV</x:v>
      </x:c>
      <x:c r="B1483" s="2" t="str">
        <x:v>Maldives (Republic of)</x:v>
      </x:c>
      <x:c r="C1483" s="2" t="str">
        <x:v>WUP_SURFACE</x:v>
      </x:c>
      <x:c r="D1483" s="2" t="n">
        <x:v>2020</x:v>
      </x:c>
      <x:c r="E1483" s="2" t="n">
        <x:v>2030</x:v>
      </x:c>
      <x:c r="F1483" s="17" t="n">
        <x:v>2206666.830000001</x:v>
      </x:c>
      <x:c r="G1483" s="17" t="n">
        <x:v>3334747.9348860057</x:v>
      </x:c>
      <x:c r="H1483" s="17" t="n">
        <x:v>6356477.007677995</x:v>
      </x:c>
      <x:c r="I1483" s="17" t="n">
        <x:v>9553302.732946577</x:v>
      </x:c>
      <x:c r="J1483" s="2" t="str">
        <x:v>m2</x:v>
      </x:c>
      <x:c r="K1483" s="15" t="n">
        <x:f>IF(AND(ISNUMBER(F1483),ISNUMBER(G1483),F1483&gt;0),G1483/F1483-1,"n.a.")</x:f>
        <x:v>0.5112149643750272</x:v>
      </x:c>
      <x:c r="L1483" s="15" t="n">
        <x:f>IF(AND(N1483,ISNUMBER(H1483),ISNUMBER(I1483),H1483&gt;0),I1483/H1483-1,"n.a.")</x:f>
        <x:v>0.5029241388598014</x:v>
      </x:c>
      <x:c r="M1483" s="20" t="n">
        <x:f>IF(AND(ISNUMBER(K1483),ISNUMBER(L1483)),100*(K1483-L1483),"n.a.")</x:f>
        <x:v>0.8290825515225864</x:v>
      </x:c>
      <x:c r="N1483" s="13" t="b">
        <x:v>1</x:v>
      </x:c>
      <x:c r="O1483" s="13" t="b">
        <x:v>1</x:v>
      </x:c>
      <x:c r="P1483" s="13" t="b">
        <x:v>0</x:v>
      </x:c>
      <x:c r="Q1483" s="2" t="str">
        <x:v>L1_numeric_partition_qualified_not_national_completeness</x:v>
      </x:c>
      <x:c r="R1483" s="2" t="str">
        <x:v>L1_numeric_partition_qualified_not_national_completeness</x:v>
      </x:c>
      <x:c r="S1483" s="2" t="str">
        <x:v>historical_GHSL_BU_estimate</x:v>
      </x:c>
      <x:c r="T1483" s="2" t="str">
        <x:v>projected_CRISP_BU_surface</x:v>
      </x:c>
      <x:c r="U1483" s="2" t="str">
        <x:v>GFA growth versus source physical quantity growth; constant conversion required for equality</x:v>
      </x:c>
      <x:c r="V1483" s="2" t="str">
        <x:v>Future horizontal path is already a v16 driver; WUP historical surface derives from GHSL</x:v>
      </x:c>
      <x:c r="W1483" s="2" t="str">
        <x:v>https://human-settlement.emergency.copernicus.eu/datasets.php</x:v>
      </x:c>
    </x:row>
    <x:row r="1484" ht="23" customHeight="1">
      <x:c r="A1484" s="2" t="str">
        <x:v>MEX</x:v>
      </x:c>
      <x:c r="B1484" s="2" t="str">
        <x:v>Mexico (United Mexican States)</x:v>
      </x:c>
      <x:c r="C1484" s="2" t="str">
        <x:v>WUP_SURFACE</x:v>
      </x:c>
      <x:c r="D1484" s="2" t="n">
        <x:v>2020</x:v>
      </x:c>
      <x:c r="E1484" s="2" t="n">
        <x:v>2030</x:v>
      </x:c>
      <x:c r="F1484" s="17" t="n">
        <x:v>6345872319.039995</x:v>
      </x:c>
      <x:c r="G1484" s="17" t="n">
        <x:v>7667062527.573993</x:v>
      </x:c>
      <x:c r="H1484" s="17" t="n">
        <x:v>9762805907.018768</x:v>
      </x:c>
      <x:c r="I1484" s="17" t="n">
        <x:v>11746333251.549292</x:v>
      </x:c>
      <x:c r="J1484" s="2" t="str">
        <x:v>m2</x:v>
      </x:c>
      <x:c r="K1484" s="15" t="n">
        <x:f>IF(AND(ISNUMBER(F1484),ISNUMBER(G1484),F1484&gt;0),G1484/F1484-1,"n.a.")</x:f>
        <x:v>0.20819678400555452</x:v>
      </x:c>
      <x:c r="L1484" s="15" t="n">
        <x:f>IF(AND(N1484,ISNUMBER(H1484),ISNUMBER(I1484),H1484&gt;0),I1484/H1484-1,"n.a.")</x:f>
        <x:v>0.2031718507385778</x:v>
      </x:c>
      <x:c r="M1484" s="20" t="n">
        <x:f>IF(AND(ISNUMBER(K1484),ISNUMBER(L1484)),100*(K1484-L1484),"n.a.")</x:f>
        <x:v>0.5024933266976728</x:v>
      </x:c>
      <x:c r="N1484" s="13" t="b">
        <x:v>1</x:v>
      </x:c>
      <x:c r="O1484" s="13" t="b">
        <x:v>1</x:v>
      </x:c>
      <x:c r="P1484" s="13" t="b">
        <x:v>0</x:v>
      </x:c>
      <x:c r="Q1484" s="2" t="str">
        <x:v>L1_numeric_partition_qualified_not_national_completeness</x:v>
      </x:c>
      <x:c r="R1484" s="2" t="str">
        <x:v>L1_numeric_partition_qualified_not_national_completeness</x:v>
      </x:c>
      <x:c r="S1484" s="2" t="str">
        <x:v>historical_GHSL_BU_estimate</x:v>
      </x:c>
      <x:c r="T1484" s="2" t="str">
        <x:v>projected_CRISP_BU_surface</x:v>
      </x:c>
      <x:c r="U1484" s="2" t="str">
        <x:v>GFA growth versus source physical quantity growth; constant conversion required for equality</x:v>
      </x:c>
      <x:c r="V1484" s="2" t="str">
        <x:v>Future horizontal path is already a v16 driver; WUP historical surface derives from GHSL</x:v>
      </x:c>
      <x:c r="W1484" s="2" t="str">
        <x:v>https://human-settlement.emergency.copernicus.eu/datasets.php</x:v>
      </x:c>
    </x:row>
    <x:row r="1485" ht="23" customHeight="1">
      <x:c r="A1485" s="2" t="str">
        <x:v>MHL</x:v>
      </x:c>
      <x:c r="B1485" s="2" t="str">
        <x:v>Marshall Islands (Republic of the)</x:v>
      </x:c>
      <x:c r="C1485" s="2" t="str">
        <x:v>WUP_SURFACE</x:v>
      </x:c>
      <x:c r="D1485" s="2" t="n">
        <x:v>2020</x:v>
      </x:c>
      <x:c r="E1485" s="2" t="n">
        <x:v>2030</x:v>
      </x:c>
      <x:c r="F1485" s="17" t="n">
        <x:v>198896.74</x:v>
      </x:c>
      <x:c r="G1485" s="17" t="n">
        <x:v>205572.5042763999</x:v>
      </x:c>
      <x:c r="H1485" s="17" t="n">
        <x:v>2419459.9983580927</x:v>
      </x:c>
      <x:c r="I1485" s="17" t="n">
        <x:v>2504663.126220862</x:v>
      </x:c>
      <x:c r="J1485" s="2" t="str">
        <x:v>m2</x:v>
      </x:c>
      <x:c r="K1485" s="15" t="n">
        <x:f>IF(AND(ISNUMBER(F1485),ISNUMBER(G1485),F1485&gt;0),G1485/F1485-1,"n.a.")</x:f>
        <x:v>0.03356397031142855</x:v>
      </x:c>
      <x:c r="L1485" s="15" t="n">
        <x:f>IF(AND(N1485,ISNUMBER(H1485),ISNUMBER(I1485),H1485&gt;0),I1485/H1485-1,"n.a.")</x:f>
        <x:v>0.03521576216204858</x:v>
      </x:c>
      <x:c r="M1485" s="20" t="n">
        <x:f>IF(AND(ISNUMBER(K1485),ISNUMBER(L1485)),100*(K1485-L1485),"n.a.")</x:f>
        <x:v>-0.16517918506200324</x:v>
      </x:c>
      <x:c r="N1485" s="13" t="b">
        <x:v>1</x:v>
      </x:c>
      <x:c r="O1485" s="13" t="b">
        <x:v>1</x:v>
      </x:c>
      <x:c r="P1485" s="13" t="b">
        <x:v>0</x:v>
      </x:c>
      <x:c r="Q1485" s="2" t="str">
        <x:v>L1_numeric_partition_qualified_not_national_completeness</x:v>
      </x:c>
      <x:c r="R1485" s="2" t="str">
        <x:v>L1_numeric_partition_qualified_not_national_completeness</x:v>
      </x:c>
      <x:c r="S1485" s="2" t="str">
        <x:v>historical_GHSL_BU_estimate</x:v>
      </x:c>
      <x:c r="T1485" s="2" t="str">
        <x:v>projected_CRISP_BU_surface</x:v>
      </x:c>
      <x:c r="U1485" s="2" t="str">
        <x:v>GFA growth versus source physical quantity growth; constant conversion required for equality</x:v>
      </x:c>
      <x:c r="V1485" s="2" t="str">
        <x:v>Future horizontal path is already a v16 driver; WUP historical surface derives from GHSL</x:v>
      </x:c>
      <x:c r="W1485" s="2" t="str">
        <x:v>https://human-settlement.emergency.copernicus.eu/datasets.php</x:v>
      </x:c>
    </x:row>
    <x:row r="1486" ht="23" customHeight="1">
      <x:c r="A1486" s="2" t="str">
        <x:v>MKD</x:v>
      </x:c>
      <x:c r="B1486" s="2" t="str">
        <x:v>North Macedonia (Republic of)</x:v>
      </x:c>
      <x:c r="C1486" s="2" t="str">
        <x:v>WUP_SURFACE</x:v>
      </x:c>
      <x:c r="D1486" s="2" t="n">
        <x:v>2020</x:v>
      </x:c>
      <x:c r="E1486" s="2" t="n">
        <x:v>2030</x:v>
      </x:c>
      <x:c r="F1486" s="17" t="n">
        <x:v>122189801.58999982</x:v>
      </x:c>
      <x:c r="G1486" s="17" t="n">
        <x:v>132026451.2502761</x:v>
      </x:c>
      <x:c r="H1486" s="17" t="n">
        <x:v>176132168.96862137</x:v>
      </x:c>
      <x:c r="I1486" s="17" t="n">
        <x:v>190235539.38921815</x:v>
      </x:c>
      <x:c r="J1486" s="2" t="str">
        <x:v>m2</x:v>
      </x:c>
      <x:c r="K1486" s="15" t="n">
        <x:f>IF(AND(ISNUMBER(F1486),ISNUMBER(G1486),F1486&gt;0),G1486/F1486-1,"n.a.")</x:f>
        <x:v>0.08050303325053698</x:v>
      </x:c>
      <x:c r="L1486" s="15" t="n">
        <x:f>IF(AND(N1486,ISNUMBER(H1486),ISNUMBER(I1486),H1486&gt;0),I1486/H1486-1,"n.a.")</x:f>
        <x:v>0.08007265511565542</x:v>
      </x:c>
      <x:c r="M1486" s="20" t="n">
        <x:f>IF(AND(ISNUMBER(K1486),ISNUMBER(L1486)),100*(K1486-L1486),"n.a.")</x:f>
        <x:v>0.04303781348815594</x:v>
      </x:c>
      <x:c r="N1486" s="13" t="b">
        <x:v>1</x:v>
      </x:c>
      <x:c r="O1486" s="13" t="b">
        <x:v>1</x:v>
      </x:c>
      <x:c r="P1486" s="13" t="b">
        <x:v>0</x:v>
      </x:c>
      <x:c r="Q1486" s="2" t="str">
        <x:v>L1_numeric_partition_qualified_not_national_completeness</x:v>
      </x:c>
      <x:c r="R1486" s="2" t="str">
        <x:v>L1_numeric_partition_qualified_not_national_completeness</x:v>
      </x:c>
      <x:c r="S1486" s="2" t="str">
        <x:v>historical_GHSL_BU_estimate</x:v>
      </x:c>
      <x:c r="T1486" s="2" t="str">
        <x:v>projected_CRISP_BU_surface</x:v>
      </x:c>
      <x:c r="U1486" s="2" t="str">
        <x:v>GFA growth versus source physical quantity growth; constant conversion required for equality</x:v>
      </x:c>
      <x:c r="V1486" s="2" t="str">
        <x:v>Future horizontal path is already a v16 driver; WUP historical surface derives from GHSL</x:v>
      </x:c>
      <x:c r="W1486" s="2" t="str">
        <x:v>https://human-settlement.emergency.copernicus.eu/datasets.php</x:v>
      </x:c>
    </x:row>
    <x:row r="1487" ht="23" customHeight="1">
      <x:c r="A1487" s="2" t="str">
        <x:v>MLI</x:v>
      </x:c>
      <x:c r="B1487" s="2" t="str">
        <x:v>Mali (Republic of)</x:v>
      </x:c>
      <x:c r="C1487" s="2" t="str">
        <x:v>WUP_SURFACE</x:v>
      </x:c>
      <x:c r="D1487" s="2" t="n">
        <x:v>2020</x:v>
      </x:c>
      <x:c r="E1487" s="2" t="n">
        <x:v>2030</x:v>
      </x:c>
      <x:c r="F1487" s="17" t="n">
        <x:v>323707340.7500005</x:v>
      </x:c>
      <x:c r="G1487" s="17" t="n">
        <x:v>445253187.3477519</x:v>
      </x:c>
      <x:c r="H1487" s="17" t="n">
        <x:v>1033475440.1502903</x:v>
      </x:c>
      <x:c r="I1487" s="17" t="n">
        <x:v>1415447137.033232</x:v>
      </x:c>
      <x:c r="J1487" s="2" t="str">
        <x:v>m2</x:v>
      </x:c>
      <x:c r="K1487" s="15" t="n">
        <x:f>IF(AND(ISNUMBER(F1487),ISNUMBER(G1487),F1487&gt;0),G1487/F1487-1,"n.a.")</x:f>
        <x:v>0.37548066199592744</x:v>
      </x:c>
      <x:c r="L1487" s="15" t="n">
        <x:f>IF(AND(N1487,ISNUMBER(H1487),ISNUMBER(I1487),H1487&gt;0),I1487/H1487-1,"n.a.")</x:f>
        <x:v>0.3695992009518818</x:v>
      </x:c>
      <x:c r="M1487" s="20" t="n">
        <x:f>IF(AND(ISNUMBER(K1487),ISNUMBER(L1487)),100*(K1487-L1487),"n.a.")</x:f>
        <x:v>0.5881461044045633</x:v>
      </x:c>
      <x:c r="N1487" s="13" t="b">
        <x:v>1</x:v>
      </x:c>
      <x:c r="O1487" s="13" t="b">
        <x:v>1</x:v>
      </x:c>
      <x:c r="P1487" s="13" t="b">
        <x:v>0</x:v>
      </x:c>
      <x:c r="Q1487" s="2" t="str">
        <x:v>L1_numeric_partition_qualified_not_national_completeness</x:v>
      </x:c>
      <x:c r="R1487" s="2" t="str">
        <x:v>L1_numeric_partition_qualified_not_national_completeness</x:v>
      </x:c>
      <x:c r="S1487" s="2" t="str">
        <x:v>historical_GHSL_BU_estimate</x:v>
      </x:c>
      <x:c r="T1487" s="2" t="str">
        <x:v>projected_CRISP_BU_surface</x:v>
      </x:c>
      <x:c r="U1487" s="2" t="str">
        <x:v>GFA growth versus source physical quantity growth; constant conversion required for equality</x:v>
      </x:c>
      <x:c r="V1487" s="2" t="str">
        <x:v>Future horizontal path is already a v16 driver; WUP historical surface derives from GHSL</x:v>
      </x:c>
      <x:c r="W1487" s="2" t="str">
        <x:v>https://human-settlement.emergency.copernicus.eu/datasets.php</x:v>
      </x:c>
    </x:row>
    <x:row r="1488" ht="23" customHeight="1">
      <x:c r="A1488" s="2" t="str">
        <x:v>MLT</x:v>
      </x:c>
      <x:c r="B1488" s="2" t="str">
        <x:v>Malta (Republic of)</x:v>
      </x:c>
      <x:c r="C1488" s="2" t="str">
        <x:v>WUP_SURFACE</x:v>
      </x:c>
      <x:c r="D1488" s="2" t="n">
        <x:v>2020</x:v>
      </x:c>
      <x:c r="E1488" s="2" t="n">
        <x:v>2030</x:v>
      </x:c>
      <x:c r="F1488" s="17" t="n">
        <x:v>35087387.829999976</x:v>
      </x:c>
      <x:c r="G1488" s="17" t="n">
        <x:v>45306404.64202379</x:v>
      </x:c>
      <x:c r="H1488" s="17" t="n">
        <x:v>34904095.010637775</x:v>
      </x:c>
      <x:c r="I1488" s="17" t="n">
        <x:v>44745515.98445396</x:v>
      </x:c>
      <x:c r="J1488" s="2" t="str">
        <x:v>m2</x:v>
      </x:c>
      <x:c r="K1488" s="15" t="n">
        <x:f>IF(AND(ISNUMBER(F1488),ISNUMBER(G1488),F1488&gt;0),G1488/F1488-1,"n.a.")</x:f>
        <x:v>0.2912447304865047</x:v>
      </x:c>
      <x:c r="L1488" s="15" t="n">
        <x:f>IF(AND(N1488,ISNUMBER(H1488),ISNUMBER(I1488),H1488&gt;0),I1488/H1488-1,"n.a.")</x:f>
        <x:v>0.2819560561824279</x:v>
      </x:c>
      <x:c r="M1488" s="20" t="n">
        <x:f>IF(AND(ISNUMBER(K1488),ISNUMBER(L1488)),100*(K1488-L1488),"n.a.")</x:f>
        <x:v>0.928867430407676</x:v>
      </x:c>
      <x:c r="N1488" s="13" t="b">
        <x:v>1</x:v>
      </x:c>
      <x:c r="O1488" s="13" t="b">
        <x:v>1</x:v>
      </x:c>
      <x:c r="P1488" s="13" t="b">
        <x:v>0</x:v>
      </x:c>
      <x:c r="Q1488" s="2" t="str">
        <x:v>L1_numeric_partition_qualified_not_national_completeness</x:v>
      </x:c>
      <x:c r="R1488" s="2" t="str">
        <x:v>L1_numeric_partition_qualified_not_national_completeness</x:v>
      </x:c>
      <x:c r="S1488" s="2" t="str">
        <x:v>historical_GHSL_BU_estimate</x:v>
      </x:c>
      <x:c r="T1488" s="2" t="str">
        <x:v>projected_CRISP_BU_surface</x:v>
      </x:c>
      <x:c r="U1488" s="2" t="str">
        <x:v>GFA growth versus source physical quantity growth; constant conversion required for equality</x:v>
      </x:c>
      <x:c r="V1488" s="2" t="str">
        <x:v>Future horizontal path is already a v16 driver; WUP historical surface derives from GHSL</x:v>
      </x:c>
      <x:c r="W1488" s="2" t="str">
        <x:v>https://human-settlement.emergency.copernicus.eu/datasets.php</x:v>
      </x:c>
    </x:row>
    <x:row r="1489" ht="23" customHeight="1">
      <x:c r="A1489" s="2" t="str">
        <x:v>MMR</x:v>
      </x:c>
      <x:c r="B1489" s="2" t="str">
        <x:v>Myanmar (Republic of the Union of)</x:v>
      </x:c>
      <x:c r="C1489" s="2" t="str">
        <x:v>WUP_SURFACE</x:v>
      </x:c>
      <x:c r="D1489" s="2" t="n">
        <x:v>2020</x:v>
      </x:c>
      <x:c r="E1489" s="2" t="n">
        <x:v>2030</x:v>
      </x:c>
      <x:c r="F1489" s="17" t="n">
        <x:v>1377164281.6799977</x:v>
      </x:c>
      <x:c r="G1489" s="17" t="n">
        <x:v>1848901593.5668447</x:v>
      </x:c>
      <x:c r="H1489" s="17" t="n">
        <x:v>1226236717.688602</x:v>
      </x:c>
      <x:c r="I1489" s="17" t="n">
        <x:v>1639488281.5682476</x:v>
      </x:c>
      <x:c r="J1489" s="2" t="str">
        <x:v>m2</x:v>
      </x:c>
      <x:c r="K1489" s="15" t="n">
        <x:f>IF(AND(ISNUMBER(F1489),ISNUMBER(G1489),F1489&gt;0),G1489/F1489-1,"n.a.")</x:f>
        <x:v>0.3425425115668672</x:v>
      </x:c>
      <x:c r="L1489" s="15" t="n">
        <x:f>IF(AND(N1489,ISNUMBER(H1489),ISNUMBER(I1489),H1489&gt;0),I1489/H1489-1,"n.a.")</x:f>
        <x:v>0.33700798379174723</x:v>
      </x:c>
      <x:c r="M1489" s="20" t="n">
        <x:f>IF(AND(ISNUMBER(K1489),ISNUMBER(L1489)),100*(K1489-L1489),"n.a.")</x:f>
        <x:v>0.553452777511998</x:v>
      </x:c>
      <x:c r="N1489" s="13" t="b">
        <x:v>1</x:v>
      </x:c>
      <x:c r="O1489" s="13" t="b">
        <x:v>1</x:v>
      </x:c>
      <x:c r="P1489" s="13" t="b">
        <x:v>0</x:v>
      </x:c>
      <x:c r="Q1489" s="2" t="str">
        <x:v>L1_numeric_partition_qualified_not_national_completeness</x:v>
      </x:c>
      <x:c r="R1489" s="2" t="str">
        <x:v>L1_numeric_partition_qualified_not_national_completeness</x:v>
      </x:c>
      <x:c r="S1489" s="2" t="str">
        <x:v>historical_GHSL_BU_estimate</x:v>
      </x:c>
      <x:c r="T1489" s="2" t="str">
        <x:v>projected_CRISP_BU_surface</x:v>
      </x:c>
      <x:c r="U1489" s="2" t="str">
        <x:v>GFA growth versus source physical quantity growth; constant conversion required for equality</x:v>
      </x:c>
      <x:c r="V1489" s="2" t="str">
        <x:v>Future horizontal path is already a v16 driver; WUP historical surface derives from GHSL</x:v>
      </x:c>
      <x:c r="W1489" s="2" t="str">
        <x:v>https://human-settlement.emergency.copernicus.eu/datasets.php</x:v>
      </x:c>
    </x:row>
    <x:row r="1490" ht="23" customHeight="1">
      <x:c r="A1490" s="2" t="str">
        <x:v>MNE</x:v>
      </x:c>
      <x:c r="B1490" s="2" t="str">
        <x:v>Montenegro</x:v>
      </x:c>
      <x:c r="C1490" s="2" t="str">
        <x:v>WUP_SURFACE</x:v>
      </x:c>
      <x:c r="D1490" s="2" t="n">
        <x:v>2020</x:v>
      </x:c>
      <x:c r="E1490" s="2" t="n">
        <x:v>2030</x:v>
      </x:c>
      <x:c r="F1490" s="17" t="n">
        <x:v>39447648.85999995</x:v>
      </x:c>
      <x:c r="G1490" s="17" t="n">
        <x:v>49371124.400716834</x:v>
      </x:c>
      <x:c r="H1490" s="17" t="n">
        <x:v>40512506.12172407</x:v>
      </x:c>
      <x:c r="I1490" s="17" t="n">
        <x:v>50684392.650898635</x:v>
      </x:c>
      <x:c r="J1490" s="2" t="str">
        <x:v>m2</x:v>
      </x:c>
      <x:c r="K1490" s="15" t="n">
        <x:f>IF(AND(ISNUMBER(F1490),ISNUMBER(G1490),F1490&gt;0),G1490/F1490-1,"n.a.")</x:f>
        <x:v>0.2515606335864373</x:v>
      </x:c>
      <x:c r="L1490" s="15" t="n">
        <x:f>IF(AND(N1490,ISNUMBER(H1490),ISNUMBER(I1490),H1490&gt;0),I1490/H1490-1,"n.a.")</x:f>
        <x:v>0.2510801602500736</x:v>
      </x:c>
      <x:c r="M1490" s="20" t="n">
        <x:f>IF(AND(ISNUMBER(K1490),ISNUMBER(L1490)),100*(K1490-L1490),"n.a.")</x:f>
        <x:v>0.048047333636369594</x:v>
      </x:c>
      <x:c r="N1490" s="13" t="b">
        <x:v>1</x:v>
      </x:c>
      <x:c r="O1490" s="13" t="b">
        <x:v>1</x:v>
      </x:c>
      <x:c r="P1490" s="13" t="b">
        <x:v>0</x:v>
      </x:c>
      <x:c r="Q1490" s="2" t="str">
        <x:v>L1_numeric_partition_qualified_not_national_completeness</x:v>
      </x:c>
      <x:c r="R1490" s="2" t="str">
        <x:v>L1_numeric_partition_qualified_not_national_completeness</x:v>
      </x:c>
      <x:c r="S1490" s="2" t="str">
        <x:v>historical_GHSL_BU_estimate</x:v>
      </x:c>
      <x:c r="T1490" s="2" t="str">
        <x:v>projected_CRISP_BU_surface</x:v>
      </x:c>
      <x:c r="U1490" s="2" t="str">
        <x:v>GFA growth versus source physical quantity growth; constant conversion required for equality</x:v>
      </x:c>
      <x:c r="V1490" s="2" t="str">
        <x:v>Future horizontal path is already a v16 driver; WUP historical surface derives from GHSL</x:v>
      </x:c>
      <x:c r="W1490" s="2" t="str">
        <x:v>https://human-settlement.emergency.copernicus.eu/datasets.php</x:v>
      </x:c>
    </x:row>
    <x:row r="1491" ht="23" customHeight="1">
      <x:c r="A1491" s="2" t="str">
        <x:v>MNG</x:v>
      </x:c>
      <x:c r="B1491" s="2" t="str">
        <x:v>Mongolia</x:v>
      </x:c>
      <x:c r="C1491" s="2" t="str">
        <x:v>WUP_SURFACE</x:v>
      </x:c>
      <x:c r="D1491" s="2" t="n">
        <x:v>2020</x:v>
      </x:c>
      <x:c r="E1491" s="2" t="n">
        <x:v>2030</x:v>
      </x:c>
      <x:c r="F1491" s="17" t="n">
        <x:v>83342838.68000013</x:v>
      </x:c>
      <x:c r="G1491" s="17" t="n">
        <x:v>106224934.32796651</x:v>
      </x:c>
      <x:c r="H1491" s="17" t="n">
        <x:v>160899892.81459567</x:v>
      </x:c>
      <x:c r="I1491" s="17" t="n">
        <x:v>204076200.2990016</x:v>
      </x:c>
      <x:c r="J1491" s="2" t="str">
        <x:v>m2</x:v>
      </x:c>
      <x:c r="K1491" s="15" t="n">
        <x:f>IF(AND(ISNUMBER(F1491),ISNUMBER(G1491),F1491&gt;0),G1491/F1491-1,"n.a.")</x:f>
        <x:v>0.27455383102348563</x:v>
      </x:c>
      <x:c r="L1491" s="15" t="n">
        <x:f>IF(AND(N1491,ISNUMBER(H1491),ISNUMBER(I1491),H1491&gt;0),I1491/H1491-1,"n.a.")</x:f>
        <x:v>0.2683426740013919</x:v>
      </x:c>
      <x:c r="M1491" s="20" t="n">
        <x:f>IF(AND(ISNUMBER(K1491),ISNUMBER(L1491)),100*(K1491-L1491),"n.a.")</x:f>
        <x:v>0.6211157022093738</x:v>
      </x:c>
      <x:c r="N1491" s="13" t="b">
        <x:v>1</x:v>
      </x:c>
      <x:c r="O1491" s="13" t="b">
        <x:v>1</x:v>
      </x:c>
      <x:c r="P1491" s="13" t="b">
        <x:v>0</x:v>
      </x:c>
      <x:c r="Q1491" s="2" t="str">
        <x:v>L1_numeric_partition_qualified_not_national_completeness</x:v>
      </x:c>
      <x:c r="R1491" s="2" t="str">
        <x:v>L1_numeric_partition_qualified_not_national_completeness</x:v>
      </x:c>
      <x:c r="S1491" s="2" t="str">
        <x:v>historical_GHSL_BU_estimate</x:v>
      </x:c>
      <x:c r="T1491" s="2" t="str">
        <x:v>projected_CRISP_BU_surface</x:v>
      </x:c>
      <x:c r="U1491" s="2" t="str">
        <x:v>GFA growth versus source physical quantity growth; constant conversion required for equality</x:v>
      </x:c>
      <x:c r="V1491" s="2" t="str">
        <x:v>Future horizontal path is already a v16 driver; WUP historical surface derives from GHSL</x:v>
      </x:c>
      <x:c r="W1491" s="2" t="str">
        <x:v>https://human-settlement.emergency.copernicus.eu/datasets.php</x:v>
      </x:c>
    </x:row>
    <x:row r="1492" ht="23" customHeight="1">
      <x:c r="A1492" s="2" t="str">
        <x:v>MOZ</x:v>
      </x:c>
      <x:c r="B1492" s="2" t="str">
        <x:v>Mozambique (Republic of)</x:v>
      </x:c>
      <x:c r="C1492" s="2" t="str">
        <x:v>WUP_SURFACE</x:v>
      </x:c>
      <x:c r="D1492" s="2" t="n">
        <x:v>2020</x:v>
      </x:c>
      <x:c r="E1492" s="2" t="n">
        <x:v>2030</x:v>
      </x:c>
      <x:c r="F1492" s="17" t="n">
        <x:v>540811235.5300008</x:v>
      </x:c>
      <x:c r="G1492" s="17" t="n">
        <x:v>714864099.1144187</x:v>
      </x:c>
      <x:c r="H1492" s="17" t="n">
        <x:v>1946079434.3725688</x:v>
      </x:c>
      <x:c r="I1492" s="17" t="n">
        <x:v>2557688591.172983</x:v>
      </x:c>
      <x:c r="J1492" s="2" t="str">
        <x:v>m2</x:v>
      </x:c>
      <x:c r="K1492" s="15" t="n">
        <x:f>IF(AND(ISNUMBER(F1492),ISNUMBER(G1492),F1492&gt;0),G1492/F1492-1,"n.a.")</x:f>
        <x:v>0.3218366264410988</x:v>
      </x:c>
      <x:c r="L1492" s="15" t="n">
        <x:f>IF(AND(N1492,ISNUMBER(H1492),ISNUMBER(I1492),H1492&gt;0),I1492/H1492-1,"n.a.")</x:f>
        <x:v>0.31427759113933695</x:v>
      </x:c>
      <x:c r="M1492" s="20" t="n">
        <x:f>IF(AND(ISNUMBER(K1492),ISNUMBER(L1492)),100*(K1492-L1492),"n.a.")</x:f>
        <x:v>0.755903530176183</x:v>
      </x:c>
      <x:c r="N1492" s="13" t="b">
        <x:v>1</x:v>
      </x:c>
      <x:c r="O1492" s="13" t="b">
        <x:v>1</x:v>
      </x:c>
      <x:c r="P1492" s="13" t="b">
        <x:v>0</x:v>
      </x:c>
      <x:c r="Q1492" s="2" t="str">
        <x:v>L1_numeric_partition_qualified_not_national_completeness</x:v>
      </x:c>
      <x:c r="R1492" s="2" t="str">
        <x:v>L1_numeric_partition_qualified_not_national_completeness</x:v>
      </x:c>
      <x:c r="S1492" s="2" t="str">
        <x:v>historical_GHSL_BU_estimate</x:v>
      </x:c>
      <x:c r="T1492" s="2" t="str">
        <x:v>projected_CRISP_BU_surface</x:v>
      </x:c>
      <x:c r="U1492" s="2" t="str">
        <x:v>GFA growth versus source physical quantity growth; constant conversion required for equality</x:v>
      </x:c>
      <x:c r="V1492" s="2" t="str">
        <x:v>Future horizontal path is already a v16 driver; WUP historical surface derives from GHSL</x:v>
      </x:c>
      <x:c r="W1492" s="2" t="str">
        <x:v>https://human-settlement.emergency.copernicus.eu/datasets.php</x:v>
      </x:c>
    </x:row>
    <x:row r="1493" ht="23" customHeight="1">
      <x:c r="A1493" s="2" t="str">
        <x:v>MRT</x:v>
      </x:c>
      <x:c r="B1493" s="2" t="str">
        <x:v>Mauritania (Islamic Republic of)</x:v>
      </x:c>
      <x:c r="C1493" s="2" t="str">
        <x:v>WUP_SURFACE</x:v>
      </x:c>
      <x:c r="D1493" s="2" t="n">
        <x:v>2020</x:v>
      </x:c>
      <x:c r="E1493" s="2" t="n">
        <x:v>2030</x:v>
      </x:c>
      <x:c r="F1493" s="17" t="n">
        <x:v>97384454.07000008</x:v>
      </x:c>
      <x:c r="G1493" s="17" t="n">
        <x:v>135006876.13699368</x:v>
      </x:c>
      <x:c r="H1493" s="17" t="n">
        <x:v>225713140.8755389</x:v>
      </x:c>
      <x:c r="I1493" s="17" t="n">
        <x:v>311319499.4910018</x:v>
      </x:c>
      <x:c r="J1493" s="2" t="str">
        <x:v>m2</x:v>
      </x:c>
      <x:c r="K1493" s="15" t="n">
        <x:f>IF(AND(ISNUMBER(F1493),ISNUMBER(G1493),F1493&gt;0),G1493/F1493-1,"n.a.")</x:f>
        <x:v>0.3863288286234119</x:v>
      </x:c>
      <x:c r="L1493" s="15" t="n">
        <x:f>IF(AND(N1493,ISNUMBER(H1493),ISNUMBER(I1493),H1493&gt;0),I1493/H1493-1,"n.a.")</x:f>
        <x:v>0.37927060109746713</x:v>
      </x:c>
      <x:c r="M1493" s="20" t="n">
        <x:f>IF(AND(ISNUMBER(K1493),ISNUMBER(L1493)),100*(K1493-L1493),"n.a.")</x:f>
        <x:v>0.705822752594476</x:v>
      </x:c>
      <x:c r="N1493" s="13" t="b">
        <x:v>1</x:v>
      </x:c>
      <x:c r="O1493" s="13" t="b">
        <x:v>1</x:v>
      </x:c>
      <x:c r="P1493" s="13" t="b">
        <x:v>0</x:v>
      </x:c>
      <x:c r="Q1493" s="2" t="str">
        <x:v>L1_numeric_partition_qualified_not_national_completeness</x:v>
      </x:c>
      <x:c r="R1493" s="2" t="str">
        <x:v>L1_numeric_partition_qualified_not_national_completeness</x:v>
      </x:c>
      <x:c r="S1493" s="2" t="str">
        <x:v>historical_GHSL_BU_estimate</x:v>
      </x:c>
      <x:c r="T1493" s="2" t="str">
        <x:v>projected_CRISP_BU_surface</x:v>
      </x:c>
      <x:c r="U1493" s="2" t="str">
        <x:v>GFA growth versus source physical quantity growth; constant conversion required for equality</x:v>
      </x:c>
      <x:c r="V1493" s="2" t="str">
        <x:v>Future horizontal path is already a v16 driver; WUP historical surface derives from GHSL</x:v>
      </x:c>
      <x:c r="W1493" s="2" t="str">
        <x:v>https://human-settlement.emergency.copernicus.eu/datasets.php</x:v>
      </x:c>
    </x:row>
    <x:row r="1494" ht="23" customHeight="1">
      <x:c r="A1494" s="2" t="str">
        <x:v>MUS</x:v>
      </x:c>
      <x:c r="B1494" s="2" t="str">
        <x:v>Mauritius (Republic of)</x:v>
      </x:c>
      <x:c r="C1494" s="2" t="str">
        <x:v>WUP_SURFACE</x:v>
      </x:c>
      <x:c r="D1494" s="2" t="n">
        <x:v>2020</x:v>
      </x:c>
      <x:c r="E1494" s="2" t="n">
        <x:v>2030</x:v>
      </x:c>
      <x:c r="F1494" s="17" t="n">
        <x:v>65152566.7100001</x:v>
      </x:c>
      <x:c r="G1494" s="17" t="n">
        <x:v>74867650.27878112</x:v>
      </x:c>
      <x:c r="H1494" s="17" t="n">
        <x:v>74043178.96130703</x:v>
      </x:c>
      <x:c r="I1494" s="17" t="n">
        <x:v>84979190.18002677</x:v>
      </x:c>
      <x:c r="J1494" s="2" t="str">
        <x:v>m2</x:v>
      </x:c>
      <x:c r="K1494" s="15" t="n">
        <x:f>IF(AND(ISNUMBER(F1494),ISNUMBER(G1494),F1494&gt;0),G1494/F1494-1,"n.a.")</x:f>
        <x:v>0.1491128294610975</x:v>
      </x:c>
      <x:c r="L1494" s="15" t="n">
        <x:f>IF(AND(N1494,ISNUMBER(H1494),ISNUMBER(I1494),H1494&gt;0),I1494/H1494-1,"n.a.")</x:f>
        <x:v>0.14769775382597494</x:v>
      </x:c>
      <x:c r="M1494" s="20" t="n">
        <x:f>IF(AND(ISNUMBER(K1494),ISNUMBER(L1494)),100*(K1494-L1494),"n.a.")</x:f>
        <x:v>0.14150756351225535</x:v>
      </x:c>
      <x:c r="N1494" s="13" t="b">
        <x:v>1</x:v>
      </x:c>
      <x:c r="O1494" s="13" t="b">
        <x:v>1</x:v>
      </x:c>
      <x:c r="P1494" s="13" t="b">
        <x:v>0</x:v>
      </x:c>
      <x:c r="Q1494" s="2" t="str">
        <x:v>L1_numeric_partition_qualified_not_national_completeness</x:v>
      </x:c>
      <x:c r="R1494" s="2" t="str">
        <x:v>L1_numeric_partition_qualified_not_national_completeness</x:v>
      </x:c>
      <x:c r="S1494" s="2" t="str">
        <x:v>historical_GHSL_BU_estimate</x:v>
      </x:c>
      <x:c r="T1494" s="2" t="str">
        <x:v>projected_CRISP_BU_surface</x:v>
      </x:c>
      <x:c r="U1494" s="2" t="str">
        <x:v>GFA growth versus source physical quantity growth; constant conversion required for equality</x:v>
      </x:c>
      <x:c r="V1494" s="2" t="str">
        <x:v>Future horizontal path is already a v16 driver; WUP historical surface derives from GHSL</x:v>
      </x:c>
      <x:c r="W1494" s="2" t="str">
        <x:v>https://human-settlement.emergency.copernicus.eu/datasets.php</x:v>
      </x:c>
    </x:row>
    <x:row r="1495" ht="23" customHeight="1">
      <x:c r="A1495" s="2" t="str">
        <x:v>MWI</x:v>
      </x:c>
      <x:c r="B1495" s="2" t="str">
        <x:v>Malawi (Republic of)</x:v>
      </x:c>
      <x:c r="C1495" s="2" t="str">
        <x:v>WUP_SURFACE</x:v>
      </x:c>
      <x:c r="D1495" s="2" t="n">
        <x:v>2020</x:v>
      </x:c>
      <x:c r="E1495" s="2" t="n">
        <x:v>2030</x:v>
      </x:c>
      <x:c r="F1495" s="17" t="n">
        <x:v>330771641.01999974</x:v>
      </x:c>
      <x:c r="G1495" s="17" t="n">
        <x:v>433021040.13120306</x:v>
      </x:c>
      <x:c r="H1495" s="17" t="n">
        <x:v>1096645518.849963</x:v>
      </x:c>
      <x:c r="I1495" s="17" t="n">
        <x:v>1425520850.9490826</x:v>
      </x:c>
      <x:c r="J1495" s="2" t="str">
        <x:v>m2</x:v>
      </x:c>
      <x:c r="K1495" s="15" t="n">
        <x:f>IF(AND(ISNUMBER(F1495),ISNUMBER(G1495),F1495&gt;0),G1495/F1495-1,"n.a.")</x:f>
        <x:v>0.30912383781117714</x:v>
      </x:c>
      <x:c r="L1495" s="15" t="n">
        <x:f>IF(AND(N1495,ISNUMBER(H1495),ISNUMBER(I1495),H1495&gt;0),I1495/H1495-1,"n.a.")</x:f>
        <x:v>0.2998921040994238</x:v>
      </x:c>
      <x:c r="M1495" s="20" t="n">
        <x:f>IF(AND(ISNUMBER(K1495),ISNUMBER(L1495)),100*(K1495-L1495),"n.a.")</x:f>
        <x:v>0.9231733711753343</x:v>
      </x:c>
      <x:c r="N1495" s="13" t="b">
        <x:v>1</x:v>
      </x:c>
      <x:c r="O1495" s="13" t="b">
        <x:v>1</x:v>
      </x:c>
      <x:c r="P1495" s="13" t="b">
        <x:v>0</x:v>
      </x:c>
      <x:c r="Q1495" s="2" t="str">
        <x:v>L1_numeric_partition_qualified_not_national_completeness</x:v>
      </x:c>
      <x:c r="R1495" s="2" t="str">
        <x:v>L1_numeric_partition_qualified_not_national_completeness</x:v>
      </x:c>
      <x:c r="S1495" s="2" t="str">
        <x:v>historical_GHSL_BU_estimate</x:v>
      </x:c>
      <x:c r="T1495" s="2" t="str">
        <x:v>projected_CRISP_BU_surface</x:v>
      </x:c>
      <x:c r="U1495" s="2" t="str">
        <x:v>GFA growth versus source physical quantity growth; constant conversion required for equality</x:v>
      </x:c>
      <x:c r="V1495" s="2" t="str">
        <x:v>Future horizontal path is already a v16 driver; WUP historical surface derives from GHSL</x:v>
      </x:c>
      <x:c r="W1495" s="2" t="str">
        <x:v>https://human-settlement.emergency.copernicus.eu/datasets.php</x:v>
      </x:c>
    </x:row>
    <x:row r="1496" ht="23" customHeight="1">
      <x:c r="A1496" s="2" t="str">
        <x:v>MYS</x:v>
      </x:c>
      <x:c r="B1496" s="2" t="str">
        <x:v>Malaysia</x:v>
      </x:c>
      <x:c r="C1496" s="2" t="str">
        <x:v>WUP_SURFACE</x:v>
      </x:c>
      <x:c r="D1496" s="2" t="n">
        <x:v>2020</x:v>
      </x:c>
      <x:c r="E1496" s="2" t="n">
        <x:v>2030</x:v>
      </x:c>
      <x:c r="F1496" s="17" t="n">
        <x:v>2041076673.6399992</x:v>
      </x:c>
      <x:c r="G1496" s="17" t="n">
        <x:v>2696087212.1303396</x:v>
      </x:c>
      <x:c r="H1496" s="17" t="n">
        <x:v>2067567185.869002</x:v>
      </x:c>
      <x:c r="I1496" s="17" t="n">
        <x:v>2713381395.9985814</x:v>
      </x:c>
      <x:c r="J1496" s="2" t="str">
        <x:v>m2</x:v>
      </x:c>
      <x:c r="K1496" s="15" t="n">
        <x:f>IF(AND(ISNUMBER(F1496),ISNUMBER(G1496),F1496&gt;0),G1496/F1496-1,"n.a.")</x:f>
        <x:v>0.32091422480578013</x:v>
      </x:c>
      <x:c r="L1496" s="15" t="n">
        <x:f>IF(AND(N1496,ISNUMBER(H1496),ISNUMBER(I1496),H1496&gt;0),I1496/H1496-1,"n.a.")</x:f>
        <x:v>0.31235464295596405</x:v>
      </x:c>
      <x:c r="M1496" s="20" t="n">
        <x:f>IF(AND(ISNUMBER(K1496),ISNUMBER(L1496)),100*(K1496-L1496),"n.a.")</x:f>
        <x:v>0.8559581849816089</x:v>
      </x:c>
      <x:c r="N1496" s="13" t="b">
        <x:v>1</x:v>
      </x:c>
      <x:c r="O1496" s="13" t="b">
        <x:v>1</x:v>
      </x:c>
      <x:c r="P1496" s="13" t="b">
        <x:v>0</x:v>
      </x:c>
      <x:c r="Q1496" s="2" t="str">
        <x:v>L1_numeric_partition_qualified_not_national_completeness</x:v>
      </x:c>
      <x:c r="R1496" s="2" t="str">
        <x:v>L1_numeric_partition_qualified_not_national_completeness</x:v>
      </x:c>
      <x:c r="S1496" s="2" t="str">
        <x:v>historical_GHSL_BU_estimate</x:v>
      </x:c>
      <x:c r="T1496" s="2" t="str">
        <x:v>projected_CRISP_BU_surface</x:v>
      </x:c>
      <x:c r="U1496" s="2" t="str">
        <x:v>GFA growth versus source physical quantity growth; constant conversion required for equality</x:v>
      </x:c>
      <x:c r="V1496" s="2" t="str">
        <x:v>Future horizontal path is already a v16 driver; WUP historical surface derives from GHSL</x:v>
      </x:c>
      <x:c r="W1496" s="2" t="str">
        <x:v>https://human-settlement.emergency.copernicus.eu/datasets.php</x:v>
      </x:c>
    </x:row>
    <x:row r="1497" ht="23" customHeight="1">
      <x:c r="A1497" s="2" t="str">
        <x:v>NAM</x:v>
      </x:c>
      <x:c r="B1497" s="2" t="str">
        <x:v>Namibia (Republic of)</x:v>
      </x:c>
      <x:c r="C1497" s="2" t="str">
        <x:v>WUP_SURFACE</x:v>
      </x:c>
      <x:c r="D1497" s="2" t="n">
        <x:v>2020</x:v>
      </x:c>
      <x:c r="E1497" s="2" t="n">
        <x:v>2030</x:v>
      </x:c>
      <x:c r="F1497" s="17" t="n">
        <x:v>112405609.30999991</x:v>
      </x:c>
      <x:c r="G1497" s="17" t="n">
        <x:v>141283699.76074305</x:v>
      </x:c>
      <x:c r="H1497" s="17" t="n">
        <x:v>301328274.969822</x:v>
      </x:c>
      <x:c r="I1497" s="17" t="n">
        <x:v>375958829.09032875</x:v>
      </x:c>
      <x:c r="J1497" s="2" t="str">
        <x:v>m2</x:v>
      </x:c>
      <x:c r="K1497" s="15" t="n">
        <x:f>IF(AND(ISNUMBER(F1497),ISNUMBER(G1497),F1497&gt;0),G1497/F1497-1,"n.a.")</x:f>
        <x:v>0.2569096918562237</x:v>
      </x:c>
      <x:c r="L1497" s="15" t="n">
        <x:f>IF(AND(N1497,ISNUMBER(H1497),ISNUMBER(I1497),H1497&gt;0),I1497/H1497-1,"n.a.")</x:f>
        <x:v>0.24767192566970686</x:v>
      </x:c>
      <x:c r="M1497" s="20" t="n">
        <x:f>IF(AND(ISNUMBER(K1497),ISNUMBER(L1497)),100*(K1497-L1497),"n.a.")</x:f>
        <x:v>0.9237766186516838</x:v>
      </x:c>
      <x:c r="N1497" s="13" t="b">
        <x:v>1</x:v>
      </x:c>
      <x:c r="O1497" s="13" t="b">
        <x:v>1</x:v>
      </x:c>
      <x:c r="P1497" s="13" t="b">
        <x:v>0</x:v>
      </x:c>
      <x:c r="Q1497" s="2" t="str">
        <x:v>L1_numeric_partition_qualified_not_national_completeness</x:v>
      </x:c>
      <x:c r="R1497" s="2" t="str">
        <x:v>L1_numeric_partition_qualified_not_national_completeness</x:v>
      </x:c>
      <x:c r="S1497" s="2" t="str">
        <x:v>historical_GHSL_BU_estimate</x:v>
      </x:c>
      <x:c r="T1497" s="2" t="str">
        <x:v>projected_CRISP_BU_surface</x:v>
      </x:c>
      <x:c r="U1497" s="2" t="str">
        <x:v>GFA growth versus source physical quantity growth; constant conversion required for equality</x:v>
      </x:c>
      <x:c r="V1497" s="2" t="str">
        <x:v>Future horizontal path is already a v16 driver; WUP historical surface derives from GHSL</x:v>
      </x:c>
      <x:c r="W1497" s="2" t="str">
        <x:v>https://human-settlement.emergency.copernicus.eu/datasets.php</x:v>
      </x:c>
    </x:row>
    <x:row r="1498" ht="23" customHeight="1">
      <x:c r="A1498" s="2" t="str">
        <x:v>NER</x:v>
      </x:c>
      <x:c r="B1498" s="2" t="str">
        <x:v>Niger (Republic of the)</x:v>
      </x:c>
      <x:c r="C1498" s="2" t="str">
        <x:v>WUP_SURFACE</x:v>
      </x:c>
      <x:c r="D1498" s="2" t="n">
        <x:v>2020</x:v>
      </x:c>
      <x:c r="E1498" s="2" t="n">
        <x:v>2030</x:v>
      </x:c>
      <x:c r="F1498" s="17" t="n">
        <x:v>203236516.4300003</x:v>
      </x:c>
      <x:c r="G1498" s="17" t="n">
        <x:v>298316130.5810053</x:v>
      </x:c>
      <x:c r="H1498" s="17" t="n">
        <x:v>723520897.8383732</x:v>
      </x:c>
      <x:c r="I1498" s="17" t="n">
        <x:v>1058243698.6310611</x:v>
      </x:c>
      <x:c r="J1498" s="2" t="str">
        <x:v>m2</x:v>
      </x:c>
      <x:c r="K1498" s="15" t="n">
        <x:f>IF(AND(ISNUMBER(F1498),ISNUMBER(G1498),F1498&gt;0),G1498/F1498-1,"n.a.")</x:f>
        <x:v>0.46782741517690174</x:v>
      </x:c>
      <x:c r="L1498" s="15" t="n">
        <x:f>IF(AND(N1498,ISNUMBER(H1498),ISNUMBER(I1498),H1498&gt;0),I1498/H1498-1,"n.a.")</x:f>
        <x:v>0.46263045309779205</x:v>
      </x:c>
      <x:c r="M1498" s="20" t="n">
        <x:f>IF(AND(ISNUMBER(K1498),ISNUMBER(L1498)),100*(K1498-L1498),"n.a.")</x:f>
        <x:v>0.519696207910969</x:v>
      </x:c>
      <x:c r="N1498" s="13" t="b">
        <x:v>1</x:v>
      </x:c>
      <x:c r="O1498" s="13" t="b">
        <x:v>1</x:v>
      </x:c>
      <x:c r="P1498" s="13" t="b">
        <x:v>0</x:v>
      </x:c>
      <x:c r="Q1498" s="2" t="str">
        <x:v>L1_numeric_partition_qualified_not_national_completeness</x:v>
      </x:c>
      <x:c r="R1498" s="2" t="str">
        <x:v>L1_numeric_partition_qualified_not_national_completeness</x:v>
      </x:c>
      <x:c r="S1498" s="2" t="str">
        <x:v>historical_GHSL_BU_estimate</x:v>
      </x:c>
      <x:c r="T1498" s="2" t="str">
        <x:v>projected_CRISP_BU_surface</x:v>
      </x:c>
      <x:c r="U1498" s="2" t="str">
        <x:v>GFA growth versus source physical quantity growth; constant conversion required for equality</x:v>
      </x:c>
      <x:c r="V1498" s="2" t="str">
        <x:v>Future horizontal path is already a v16 driver; WUP historical surface derives from GHSL</x:v>
      </x:c>
      <x:c r="W1498" s="2" t="str">
        <x:v>https://human-settlement.emergency.copernicus.eu/datasets.php</x:v>
      </x:c>
    </x:row>
    <x:row r="1499" ht="23" customHeight="1">
      <x:c r="A1499" s="2" t="str">
        <x:v>NGA</x:v>
      </x:c>
      <x:c r="B1499" s="2" t="str">
        <x:v>Nigeria (Federal Republic of)</x:v>
      </x:c>
      <x:c r="C1499" s="2" t="str">
        <x:v>WUP_SURFACE</x:v>
      </x:c>
      <x:c r="D1499" s="2" t="n">
        <x:v>2020</x:v>
      </x:c>
      <x:c r="E1499" s="2" t="n">
        <x:v>2030</x:v>
      </x:c>
      <x:c r="F1499" s="17" t="n">
        <x:v>4102804870.2700024</x:v>
      </x:c>
      <x:c r="G1499" s="17" t="n">
        <x:v>5506114018.007547</x:v>
      </x:c>
      <x:c r="H1499" s="17" t="n">
        <x:v>8191198036.130508</x:v>
      </x:c>
      <x:c r="I1499" s="17" t="n">
        <x:v>10922594254.271357</x:v>
      </x:c>
      <x:c r="J1499" s="2" t="str">
        <x:v>m2</x:v>
      </x:c>
      <x:c r="K1499" s="15" t="n">
        <x:f>IF(AND(ISNUMBER(F1499),ISNUMBER(G1499),F1499&gt;0),G1499/F1499-1,"n.a.")</x:f>
        <x:v>0.3420365316192078</x:v>
      </x:c>
      <x:c r="L1499" s="15" t="n">
        <x:f>IF(AND(N1499,ISNUMBER(H1499),ISNUMBER(I1499),H1499&gt;0),I1499/H1499-1,"n.a.")</x:f>
        <x:v>0.33345503381714714</x:v>
      </x:c>
      <x:c r="M1499" s="20" t="n">
        <x:f>IF(AND(ISNUMBER(K1499),ISNUMBER(L1499)),100*(K1499-L1499),"n.a.")</x:f>
        <x:v>0.8581497802060634</x:v>
      </x:c>
      <x:c r="N1499" s="13" t="b">
        <x:v>1</x:v>
      </x:c>
      <x:c r="O1499" s="13" t="b">
        <x:v>1</x:v>
      </x:c>
      <x:c r="P1499" s="13" t="b">
        <x:v>0</x:v>
      </x:c>
      <x:c r="Q1499" s="2" t="str">
        <x:v>L1_numeric_partition_qualified_not_national_completeness</x:v>
      </x:c>
      <x:c r="R1499" s="2" t="str">
        <x:v>L1_numeric_partition_qualified_not_national_completeness</x:v>
      </x:c>
      <x:c r="S1499" s="2" t="str">
        <x:v>historical_GHSL_BU_estimate</x:v>
      </x:c>
      <x:c r="T1499" s="2" t="str">
        <x:v>projected_CRISP_BU_surface</x:v>
      </x:c>
      <x:c r="U1499" s="2" t="str">
        <x:v>GFA growth versus source physical quantity growth; constant conversion required for equality</x:v>
      </x:c>
      <x:c r="V1499" s="2" t="str">
        <x:v>Future horizontal path is already a v16 driver; WUP historical surface derives from GHSL</x:v>
      </x:c>
      <x:c r="W1499" s="2" t="str">
        <x:v>https://human-settlement.emergency.copernicus.eu/datasets.php</x:v>
      </x:c>
    </x:row>
    <x:row r="1500" ht="23" customHeight="1">
      <x:c r="A1500" s="2" t="str">
        <x:v>NIC</x:v>
      </x:c>
      <x:c r="B1500" s="2" t="str">
        <x:v>Nicaragua (Republic of)</x:v>
      </x:c>
      <x:c r="C1500" s="2" t="str">
        <x:v>WUP_SURFACE</x:v>
      </x:c>
      <x:c r="D1500" s="2" t="n">
        <x:v>2020</x:v>
      </x:c>
      <x:c r="E1500" s="2" t="n">
        <x:v>2030</x:v>
      </x:c>
      <x:c r="F1500" s="17" t="n">
        <x:v>201940338.64999992</x:v>
      </x:c>
      <x:c r="G1500" s="17" t="n">
        <x:v>262707162.74115184</x:v>
      </x:c>
      <x:c r="H1500" s="17" t="n">
        <x:v>298532468.20258904</x:v>
      </x:c>
      <x:c r="I1500" s="17" t="n">
        <x:v>387386304.0492544</x:v>
      </x:c>
      <x:c r="J1500" s="2" t="str">
        <x:v>m2</x:v>
      </x:c>
      <x:c r="K1500" s="15" t="n">
        <x:f>IF(AND(ISNUMBER(F1500),ISNUMBER(G1500),F1500&gt;0),G1500/F1500-1,"n.a.")</x:f>
        <x:v>0.3009147379735364</x:v>
      </x:c>
      <x:c r="L1500" s="15" t="n">
        <x:f>IF(AND(N1500,ISNUMBER(H1500),ISNUMBER(I1500),H1500&gt;0),I1500/H1500-1,"n.a.")</x:f>
        <x:v>0.29763541762019563</x:v>
      </x:c>
      <x:c r="M1500" s="20" t="n">
        <x:f>IF(AND(ISNUMBER(K1500),ISNUMBER(L1500)),100*(K1500-L1500),"n.a.")</x:f>
        <x:v>0.32793203533407755</x:v>
      </x:c>
      <x:c r="N1500" s="13" t="b">
        <x:v>1</x:v>
      </x:c>
      <x:c r="O1500" s="13" t="b">
        <x:v>1</x:v>
      </x:c>
      <x:c r="P1500" s="13" t="b">
        <x:v>0</x:v>
      </x:c>
      <x:c r="Q1500" s="2" t="str">
        <x:v>L1_numeric_partition_qualified_not_national_completeness</x:v>
      </x:c>
      <x:c r="R1500" s="2" t="str">
        <x:v>L1_numeric_partition_qualified_not_national_completeness</x:v>
      </x:c>
      <x:c r="S1500" s="2" t="str">
        <x:v>historical_GHSL_BU_estimate</x:v>
      </x:c>
      <x:c r="T1500" s="2" t="str">
        <x:v>projected_CRISP_BU_surface</x:v>
      </x:c>
      <x:c r="U1500" s="2" t="str">
        <x:v>GFA growth versus source physical quantity growth; constant conversion required for equality</x:v>
      </x:c>
      <x:c r="V1500" s="2" t="str">
        <x:v>Future horizontal path is already a v16 driver; WUP historical surface derives from GHSL</x:v>
      </x:c>
      <x:c r="W1500" s="2" t="str">
        <x:v>https://human-settlement.emergency.copernicus.eu/datasets.php</x:v>
      </x:c>
    </x:row>
    <x:row r="1501" ht="23" customHeight="1">
      <x:c r="A1501" s="2" t="str">
        <x:v>NLD</x:v>
      </x:c>
      <x:c r="B1501" s="2" t="str">
        <x:v>Netherlands (Kingdom of the)</x:v>
      </x:c>
      <x:c r="C1501" s="2" t="str">
        <x:v>WUP_SURFACE</x:v>
      </x:c>
      <x:c r="D1501" s="2" t="n">
        <x:v>2020</x:v>
      </x:c>
      <x:c r="E1501" s="2" t="n">
        <x:v>2030</x:v>
      </x:c>
      <x:c r="F1501" s="17" t="n">
        <x:v>1464947836.6400025</x:v>
      </x:c>
      <x:c r="G1501" s="17" t="n">
        <x:v>1969718331.5058422</x:v>
      </x:c>
      <x:c r="H1501" s="17" t="n">
        <x:v>1907111935.276258</x:v>
      </x:c>
      <x:c r="I1501" s="17" t="n">
        <x:v>2551783472.167306</x:v>
      </x:c>
      <x:c r="J1501" s="2" t="str">
        <x:v>m2</x:v>
      </x:c>
      <x:c r="K1501" s="15" t="n">
        <x:f>IF(AND(ISNUMBER(F1501),ISNUMBER(G1501),F1501&gt;0),G1501/F1501-1,"n.a.")</x:f>
        <x:v>0.3445655075497971</x:v>
      </x:c>
      <x:c r="L1501" s="15" t="n">
        <x:f>IF(AND(N1501,ISNUMBER(H1501),ISNUMBER(I1501),H1501&gt;0),I1501/H1501-1,"n.a.")</x:f>
        <x:v>0.3380355001541444</x:v>
      </x:c>
      <x:c r="M1501" s="20" t="n">
        <x:f>IF(AND(ISNUMBER(K1501),ISNUMBER(L1501)),100*(K1501-L1501),"n.a.")</x:f>
        <x:v>0.6530007395652682</x:v>
      </x:c>
      <x:c r="N1501" s="13" t="b">
        <x:v>1</x:v>
      </x:c>
      <x:c r="O1501" s="13" t="b">
        <x:v>1</x:v>
      </x:c>
      <x:c r="P1501" s="13" t="b">
        <x:v>0</x:v>
      </x:c>
      <x:c r="Q1501" s="2" t="str">
        <x:v>L1_numeric_partition_qualified_not_national_completeness</x:v>
      </x:c>
      <x:c r="R1501" s="2" t="str">
        <x:v>L1_numeric_partition_qualified_not_national_completeness</x:v>
      </x:c>
      <x:c r="S1501" s="2" t="str">
        <x:v>historical_GHSL_BU_estimate</x:v>
      </x:c>
      <x:c r="T1501" s="2" t="str">
        <x:v>projected_CRISP_BU_surface</x:v>
      </x:c>
      <x:c r="U1501" s="2" t="str">
        <x:v>GFA growth versus source physical quantity growth; constant conversion required for equality</x:v>
      </x:c>
      <x:c r="V1501" s="2" t="str">
        <x:v>Future horizontal path is already a v16 driver; WUP historical surface derives from GHSL</x:v>
      </x:c>
      <x:c r="W1501" s="2" t="str">
        <x:v>https://human-settlement.emergency.copernicus.eu/datasets.php</x:v>
      </x:c>
    </x:row>
    <x:row r="1502" ht="23" customHeight="1">
      <x:c r="A1502" s="2" t="str">
        <x:v>NOR</x:v>
      </x:c>
      <x:c r="B1502" s="2" t="str">
        <x:v>Norway (Kingdom of)</x:v>
      </x:c>
      <x:c r="C1502" s="2" t="str">
        <x:v>WUP_SURFACE</x:v>
      </x:c>
      <x:c r="D1502" s="2" t="n">
        <x:v>2020</x:v>
      </x:c>
      <x:c r="E1502" s="2" t="n">
        <x:v>2030</x:v>
      </x:c>
      <x:c r="F1502" s="17" t="n">
        <x:v>478516256.6100005</x:v>
      </x:c>
      <x:c r="G1502" s="17" t="n">
        <x:v>689773811.8216355</x:v>
      </x:c>
      <x:c r="H1502" s="17" t="n">
        <x:v>402253104.2124926</x:v>
      </x:c>
      <x:c r="I1502" s="17" t="n">
        <x:v>577093935.79754</x:v>
      </x:c>
      <x:c r="J1502" s="2" t="str">
        <x:v>m2</x:v>
      </x:c>
      <x:c r="K1502" s="15" t="n">
        <x:f>IF(AND(ISNUMBER(F1502),ISNUMBER(G1502),F1502&gt;0),G1502/F1502-1,"n.a.")</x:f>
        <x:v>0.44148459387412986</x:v>
      </x:c>
      <x:c r="L1502" s="15" t="n">
        <x:f>IF(AND(N1502,ISNUMBER(H1502),ISNUMBER(I1502),H1502&gt;0),I1502/H1502-1,"n.a.")</x:f>
        <x:v>0.434653778315373</x:v>
      </x:c>
      <x:c r="M1502" s="20" t="n">
        <x:f>IF(AND(ISNUMBER(K1502),ISNUMBER(L1502)),100*(K1502-L1502),"n.a.")</x:f>
        <x:v>0.6830815558756864</x:v>
      </x:c>
      <x:c r="N1502" s="13" t="b">
        <x:v>1</x:v>
      </x:c>
      <x:c r="O1502" s="13" t="b">
        <x:v>1</x:v>
      </x:c>
      <x:c r="P1502" s="13" t="b">
        <x:v>0</x:v>
      </x:c>
      <x:c r="Q1502" s="2" t="str">
        <x:v>L1_numeric_partition_qualified_not_national_completeness</x:v>
      </x:c>
      <x:c r="R1502" s="2" t="str">
        <x:v>L1_numeric_partition_qualified_not_national_completeness</x:v>
      </x:c>
      <x:c r="S1502" s="2" t="str">
        <x:v>historical_GHSL_BU_estimate</x:v>
      </x:c>
      <x:c r="T1502" s="2" t="str">
        <x:v>projected_CRISP_BU_surface</x:v>
      </x:c>
      <x:c r="U1502" s="2" t="str">
        <x:v>GFA growth versus source physical quantity growth; constant conversion required for equality</x:v>
      </x:c>
      <x:c r="V1502" s="2" t="str">
        <x:v>Future horizontal path is already a v16 driver; WUP historical surface derives from GHSL</x:v>
      </x:c>
      <x:c r="W1502" s="2" t="str">
        <x:v>https://human-settlement.emergency.copernicus.eu/datasets.php</x:v>
      </x:c>
    </x:row>
    <x:row r="1503" ht="23" customHeight="1">
      <x:c r="A1503" s="2" t="str">
        <x:v>NPL</x:v>
      </x:c>
      <x:c r="B1503" s="2" t="str">
        <x:v>Nepal (Federal Democratic Republic of)</x:v>
      </x:c>
      <x:c r="C1503" s="2" t="str">
        <x:v>WUP_SURFACE</x:v>
      </x:c>
      <x:c r="D1503" s="2" t="n">
        <x:v>2020</x:v>
      </x:c>
      <x:c r="E1503" s="2" t="n">
        <x:v>2030</x:v>
      </x:c>
      <x:c r="F1503" s="17" t="n">
        <x:v>656084354.4999993</x:v>
      </x:c>
      <x:c r="G1503" s="17" t="n">
        <x:v>826685008.3658397</x:v>
      </x:c>
      <x:c r="H1503" s="17" t="n">
        <x:v>1101961973.0921273</x:v>
      </x:c>
      <x:c r="I1503" s="17" t="n">
        <x:v>1383144175.7021842</x:v>
      </x:c>
      <x:c r="J1503" s="2" t="str">
        <x:v>m2</x:v>
      </x:c>
      <x:c r="K1503" s="15" t="n">
        <x:f>IF(AND(ISNUMBER(F1503),ISNUMBER(G1503),F1503&gt;0),G1503/F1503-1,"n.a.")</x:f>
        <x:v>0.26002853550113225</x:v>
      </x:c>
      <x:c r="L1503" s="15" t="n">
        <x:f>IF(AND(N1503,ISNUMBER(H1503),ISNUMBER(I1503),H1503&gt;0),I1503/H1503-1,"n.a.")</x:f>
        <x:v>0.25516506873740297</x:v>
      </x:c>
      <x:c r="M1503" s="20" t="n">
        <x:f>IF(AND(ISNUMBER(K1503),ISNUMBER(L1503)),100*(K1503-L1503),"n.a.")</x:f>
        <x:v>0.4863466763729285</x:v>
      </x:c>
      <x:c r="N1503" s="13" t="b">
        <x:v>1</x:v>
      </x:c>
      <x:c r="O1503" s="13" t="b">
        <x:v>1</x:v>
      </x:c>
      <x:c r="P1503" s="13" t="b">
        <x:v>0</x:v>
      </x:c>
      <x:c r="Q1503" s="2" t="str">
        <x:v>L1_numeric_partition_qualified_not_national_completeness</x:v>
      </x:c>
      <x:c r="R1503" s="2" t="str">
        <x:v>L1_numeric_partition_qualified_not_national_completeness</x:v>
      </x:c>
      <x:c r="S1503" s="2" t="str">
        <x:v>historical_GHSL_BU_estimate</x:v>
      </x:c>
      <x:c r="T1503" s="2" t="str">
        <x:v>projected_CRISP_BU_surface</x:v>
      </x:c>
      <x:c r="U1503" s="2" t="str">
        <x:v>GFA growth versus source physical quantity growth; constant conversion required for equality</x:v>
      </x:c>
      <x:c r="V1503" s="2" t="str">
        <x:v>Future horizontal path is already a v16 driver; WUP historical surface derives from GHSL</x:v>
      </x:c>
      <x:c r="W1503" s="2" t="str">
        <x:v>https://human-settlement.emergency.copernicus.eu/datasets.php</x:v>
      </x:c>
    </x:row>
    <x:row r="1504" ht="23" customHeight="1">
      <x:c r="A1504" s="2" t="str">
        <x:v>NRU</x:v>
      </x:c>
      <x:c r="B1504" s="2" t="str">
        <x:v>Nauru (Republic of)</x:v>
      </x:c>
      <x:c r="C1504" s="2" t="str">
        <x:v>WUP_SURFACE</x:v>
      </x:c>
      <x:c r="D1504" s="2" t="n">
        <x:v>2020</x:v>
      </x:c>
      <x:c r="E1504" s="2" t="n">
        <x:v>2030</x:v>
      </x:c>
      <x:c r="F1504" s="17" t="n">
        <x:v>405989.38000000024</x:v>
      </x:c>
      <x:c r="G1504" s="17" t="n">
        <x:v>538531.1922008813</x:v>
      </x:c>
      <x:c r="H1504" s="17" t="n">
        <x:v>753905.9966875357</x:v>
      </x:c>
      <x:c r="I1504" s="17" t="n">
        <x:v>998616.5593145416</x:v>
      </x:c>
      <x:c r="J1504" s="2" t="str">
        <x:v>m2</x:v>
      </x:c>
      <x:c r="K1504" s="15" t="n">
        <x:f>IF(AND(ISNUMBER(F1504),ISNUMBER(G1504),F1504&gt;0),G1504/F1504-1,"n.a.")</x:f>
        <x:v>0.3264662051033971</x:v>
      </x:c>
      <x:c r="L1504" s="15" t="n">
        <x:f>IF(AND(N1504,ISNUMBER(H1504),ISNUMBER(I1504),H1504&gt;0),I1504/H1504-1,"n.a.")</x:f>
        <x:v>0.32459028539658763</x:v>
      </x:c>
      <x:c r="M1504" s="20" t="n">
        <x:f>IF(AND(ISNUMBER(K1504),ISNUMBER(L1504)),100*(K1504-L1504),"n.a.")</x:f>
        <x:v>0.1875919706809448</x:v>
      </x:c>
      <x:c r="N1504" s="13" t="b">
        <x:v>1</x:v>
      </x:c>
      <x:c r="O1504" s="13" t="b">
        <x:v>1</x:v>
      </x:c>
      <x:c r="P1504" s="13" t="b">
        <x:v>0</x:v>
      </x:c>
      <x:c r="Q1504" s="2" t="str">
        <x:v>L1_numeric_partition_qualified_not_national_completeness</x:v>
      </x:c>
      <x:c r="R1504" s="2" t="str">
        <x:v>L1_numeric_partition_qualified_not_national_completeness</x:v>
      </x:c>
      <x:c r="S1504" s="2" t="str">
        <x:v>historical_GHSL_BU_estimate</x:v>
      </x:c>
      <x:c r="T1504" s="2" t="str">
        <x:v>projected_CRISP_BU_surface</x:v>
      </x:c>
      <x:c r="U1504" s="2" t="str">
        <x:v>GFA growth versus source physical quantity growth; constant conversion required for equality</x:v>
      </x:c>
      <x:c r="V1504" s="2" t="str">
        <x:v>Future horizontal path is already a v16 driver; WUP historical surface derives from GHSL</x:v>
      </x:c>
      <x:c r="W1504" s="2" t="str">
        <x:v>https://human-settlement.emergency.copernicus.eu/datasets.php</x:v>
      </x:c>
    </x:row>
    <x:row r="1505" ht="23" customHeight="1">
      <x:c r="A1505" s="2" t="str">
        <x:v>NZL</x:v>
      </x:c>
      <x:c r="B1505" s="2" t="str">
        <x:v>New Zealand</x:v>
      </x:c>
      <x:c r="C1505" s="2" t="str">
        <x:v>WUP_SURFACE</x:v>
      </x:c>
      <x:c r="D1505" s="2" t="n">
        <x:v>2020</x:v>
      </x:c>
      <x:c r="E1505" s="2" t="n">
        <x:v>2030</x:v>
      </x:c>
      <x:c r="F1505" s="17" t="n">
        <x:v>553529463.7899991</x:v>
      </x:c>
      <x:c r="G1505" s="17" t="n">
        <x:v>603554995.7481825</x:v>
      </x:c>
      <x:c r="H1505" s="17" t="n">
        <x:v>963823875.4474204</x:v>
      </x:c>
      <x:c r="I1505" s="17" t="n">
        <x:v>1043762020.3496083</x:v>
      </x:c>
      <x:c r="J1505" s="2" t="str">
        <x:v>m2</x:v>
      </x:c>
      <x:c r="K1505" s="15" t="n">
        <x:f>IF(AND(ISNUMBER(F1505),ISNUMBER(G1505),F1505&gt;0),G1505/F1505-1,"n.a.")</x:f>
        <x:v>0.09037555402319541</x:v>
      </x:c>
      <x:c r="L1505" s="15" t="n">
        <x:f>IF(AND(N1505,ISNUMBER(H1505),ISNUMBER(I1505),H1505&gt;0),I1505/H1505-1,"n.a.")</x:f>
        <x:v>0.0829385398500111</x:v>
      </x:c>
      <x:c r="M1505" s="20" t="n">
        <x:f>IF(AND(ISNUMBER(K1505),ISNUMBER(L1505)),100*(K1505-L1505),"n.a.")</x:f>
        <x:v>0.743701417318432</x:v>
      </x:c>
      <x:c r="N1505" s="13" t="b">
        <x:v>1</x:v>
      </x:c>
      <x:c r="O1505" s="13" t="b">
        <x:v>1</x:v>
      </x:c>
      <x:c r="P1505" s="13" t="b">
        <x:v>0</x:v>
      </x:c>
      <x:c r="Q1505" s="2" t="str">
        <x:v>L1_numeric_partition_qualified_not_national_completeness</x:v>
      </x:c>
      <x:c r="R1505" s="2" t="str">
        <x:v>L1_numeric_partition_qualified_not_national_completeness</x:v>
      </x:c>
      <x:c r="S1505" s="2" t="str">
        <x:v>historical_GHSL_BU_estimate</x:v>
      </x:c>
      <x:c r="T1505" s="2" t="str">
        <x:v>projected_CRISP_BU_surface</x:v>
      </x:c>
      <x:c r="U1505" s="2" t="str">
        <x:v>GFA growth versus source physical quantity growth; constant conversion required for equality</x:v>
      </x:c>
      <x:c r="V1505" s="2" t="str">
        <x:v>Future horizontal path is already a v16 driver; WUP historical surface derives from GHSL</x:v>
      </x:c>
      <x:c r="W1505" s="2" t="str">
        <x:v>https://human-settlement.emergency.copernicus.eu/datasets.php</x:v>
      </x:c>
    </x:row>
    <x:row r="1506" ht="23" customHeight="1">
      <x:c r="A1506" s="2" t="str">
        <x:v>OMN</x:v>
      </x:c>
      <x:c r="B1506" s="2" t="str">
        <x:v>Oman (Sultanate of)</x:v>
      </x:c>
      <x:c r="C1506" s="2" t="str">
        <x:v>WUP_SURFACE</x:v>
      </x:c>
      <x:c r="D1506" s="2" t="n">
        <x:v>2020</x:v>
      </x:c>
      <x:c r="E1506" s="2" t="n">
        <x:v>2030</x:v>
      </x:c>
      <x:c r="F1506" s="17" t="n">
        <x:v>262659820.8500002</x:v>
      </x:c>
      <x:c r="G1506" s="17" t="n">
        <x:v>341788805.3813045</x:v>
      </x:c>
      <x:c r="H1506" s="17" t="n">
        <x:v>438211242.9416793</x:v>
      </x:c>
      <x:c r="I1506" s="17" t="n">
        <x:v>568632467.8172449</x:v>
      </x:c>
      <x:c r="J1506" s="2" t="str">
        <x:v>m2</x:v>
      </x:c>
      <x:c r="K1506" s="15" t="n">
        <x:f>IF(AND(ISNUMBER(F1506),ISNUMBER(G1506),F1506&gt;0),G1506/F1506-1,"n.a.")</x:f>
        <x:v>0.3012603308539272</x:v>
      </x:c>
      <x:c r="L1506" s="15" t="n">
        <x:f>IF(AND(N1506,ISNUMBER(H1506),ISNUMBER(I1506),H1506&gt;0),I1506/H1506-1,"n.a.")</x:f>
        <x:v>0.29762181362590723</x:v>
      </x:c>
      <x:c r="M1506" s="20" t="n">
        <x:f>IF(AND(ISNUMBER(K1506),ISNUMBER(L1506)),100*(K1506-L1506),"n.a.")</x:f>
        <x:v>0.36385172280199995</x:v>
      </x:c>
      <x:c r="N1506" s="13" t="b">
        <x:v>1</x:v>
      </x:c>
      <x:c r="O1506" s="13" t="b">
        <x:v>1</x:v>
      </x:c>
      <x:c r="P1506" s="13" t="b">
        <x:v>0</x:v>
      </x:c>
      <x:c r="Q1506" s="2" t="str">
        <x:v>L1_numeric_partition_qualified_not_national_completeness</x:v>
      </x:c>
      <x:c r="R1506" s="2" t="str">
        <x:v>L1_numeric_partition_qualified_not_national_completeness</x:v>
      </x:c>
      <x:c r="S1506" s="2" t="str">
        <x:v>historical_GHSL_BU_estimate</x:v>
      </x:c>
      <x:c r="T1506" s="2" t="str">
        <x:v>projected_CRISP_BU_surface</x:v>
      </x:c>
      <x:c r="U1506" s="2" t="str">
        <x:v>GFA growth versus source physical quantity growth; constant conversion required for equality</x:v>
      </x:c>
      <x:c r="V1506" s="2" t="str">
        <x:v>Future horizontal path is already a v16 driver; WUP historical surface derives from GHSL</x:v>
      </x:c>
      <x:c r="W1506" s="2" t="str">
        <x:v>https://human-settlement.emergency.copernicus.eu/datasets.php</x:v>
      </x:c>
    </x:row>
    <x:row r="1507" ht="23" customHeight="1">
      <x:c r="A1507" s="2" t="str">
        <x:v>PAK</x:v>
      </x:c>
      <x:c r="B1507" s="2" t="str">
        <x:v>Pakistan (Islamic Republic of)</x:v>
      </x:c>
      <x:c r="C1507" s="2" t="str">
        <x:v>WUP_SURFACE</x:v>
      </x:c>
      <x:c r="D1507" s="2" t="n">
        <x:v>2020</x:v>
      </x:c>
      <x:c r="E1507" s="2" t="n">
        <x:v>2030</x:v>
      </x:c>
      <x:c r="F1507" s="17" t="n">
        <x:v>4301390083.520005</x:v>
      </x:c>
      <x:c r="G1507" s="17" t="n">
        <x:v>5902952014.0126915</x:v>
      </x:c>
      <x:c r="H1507" s="17" t="n">
        <x:v>6256683450.581376</x:v>
      </x:c>
      <x:c r="I1507" s="17" t="n">
        <x:v>8544396990.532132</x:v>
      </x:c>
      <x:c r="J1507" s="2" t="str">
        <x:v>m2</x:v>
      </x:c>
      <x:c r="K1507" s="15" t="n">
        <x:f>IF(AND(ISNUMBER(F1507),ISNUMBER(G1507),F1507&gt;0),G1507/F1507-1,"n.a.")</x:f>
        <x:v>0.372335895930197</x:v>
      </x:c>
      <x:c r="L1507" s="15" t="n">
        <x:f>IF(AND(N1507,ISNUMBER(H1507),ISNUMBER(I1507),H1507&gt;0),I1507/H1507-1,"n.a.")</x:f>
        <x:v>0.36564316510821393</x:v>
      </x:c>
      <x:c r="M1507" s="20" t="n">
        <x:f>IF(AND(ISNUMBER(K1507),ISNUMBER(L1507)),100*(K1507-L1507),"n.a.")</x:f>
        <x:v>0.6692730821983073</x:v>
      </x:c>
      <x:c r="N1507" s="13" t="b">
        <x:v>1</x:v>
      </x:c>
      <x:c r="O1507" s="13" t="b">
        <x:v>1</x:v>
      </x:c>
      <x:c r="P1507" s="13" t="b">
        <x:v>0</x:v>
      </x:c>
      <x:c r="Q1507" s="2" t="str">
        <x:v>L1_numeric_partition_qualified_not_national_completeness</x:v>
      </x:c>
      <x:c r="R1507" s="2" t="str">
        <x:v>L1_numeric_partition_qualified_not_national_completeness</x:v>
      </x:c>
      <x:c r="S1507" s="2" t="str">
        <x:v>historical_GHSL_BU_estimate</x:v>
      </x:c>
      <x:c r="T1507" s="2" t="str">
        <x:v>projected_CRISP_BU_surface</x:v>
      </x:c>
      <x:c r="U1507" s="2" t="str">
        <x:v>GFA growth versus source physical quantity growth; constant conversion required for equality</x:v>
      </x:c>
      <x:c r="V1507" s="2" t="str">
        <x:v>Future horizontal path is already a v16 driver; WUP historical surface derives from GHSL</x:v>
      </x:c>
      <x:c r="W1507" s="2" t="str">
        <x:v>https://human-settlement.emergency.copernicus.eu/datasets.php</x:v>
      </x:c>
    </x:row>
    <x:row r="1508" ht="23" customHeight="1">
      <x:c r="A1508" s="2" t="str">
        <x:v>PAN</x:v>
      </x:c>
      <x:c r="B1508" s="2" t="str">
        <x:v>Panama (Republic of)</x:v>
      </x:c>
      <x:c r="C1508" s="2" t="str">
        <x:v>WUP_SURFACE</x:v>
      </x:c>
      <x:c r="D1508" s="2" t="n">
        <x:v>2020</x:v>
      </x:c>
      <x:c r="E1508" s="2" t="n">
        <x:v>2030</x:v>
      </x:c>
      <x:c r="F1508" s="17" t="n">
        <x:v>209722829.7800001</x:v>
      </x:c>
      <x:c r="G1508" s="17" t="n">
        <x:v>264763852.88949764</x:v>
      </x:c>
      <x:c r="H1508" s="17" t="n">
        <x:v>291288538.1392319</x:v>
      </x:c>
      <x:c r="I1508" s="17" t="n">
        <x:v>366010271.0111583</x:v>
      </x:c>
      <x:c r="J1508" s="2" t="str">
        <x:v>m2</x:v>
      </x:c>
      <x:c r="K1508" s="15" t="n">
        <x:f>IF(AND(ISNUMBER(F1508),ISNUMBER(G1508),F1508&gt;0),G1508/F1508-1,"n.a.")</x:f>
        <x:v>0.26244650221073096</x:v>
      </x:c>
      <x:c r="L1508" s="15" t="n">
        <x:f>IF(AND(N1508,ISNUMBER(H1508),ISNUMBER(I1508),H1508&gt;0),I1508/H1508-1,"n.a.")</x:f>
        <x:v>0.25652136314478113</x:v>
      </x:c>
      <x:c r="M1508" s="20" t="n">
        <x:f>IF(AND(ISNUMBER(K1508),ISNUMBER(L1508)),100*(K1508-L1508),"n.a.")</x:f>
        <x:v>0.5925139065949825</x:v>
      </x:c>
      <x:c r="N1508" s="13" t="b">
        <x:v>1</x:v>
      </x:c>
      <x:c r="O1508" s="13" t="b">
        <x:v>1</x:v>
      </x:c>
      <x:c r="P1508" s="13" t="b">
        <x:v>0</x:v>
      </x:c>
      <x:c r="Q1508" s="2" t="str">
        <x:v>L1_numeric_partition_qualified_not_national_completeness</x:v>
      </x:c>
      <x:c r="R1508" s="2" t="str">
        <x:v>L1_numeric_partition_qualified_not_national_completeness</x:v>
      </x:c>
      <x:c r="S1508" s="2" t="str">
        <x:v>historical_GHSL_BU_estimate</x:v>
      </x:c>
      <x:c r="T1508" s="2" t="str">
        <x:v>projected_CRISP_BU_surface</x:v>
      </x:c>
      <x:c r="U1508" s="2" t="str">
        <x:v>GFA growth versus source physical quantity growth; constant conversion required for equality</x:v>
      </x:c>
      <x:c r="V1508" s="2" t="str">
        <x:v>Future horizontal path is already a v16 driver; WUP historical surface derives from GHSL</x:v>
      </x:c>
      <x:c r="W1508" s="2" t="str">
        <x:v>https://human-settlement.emergency.copernicus.eu/datasets.php</x:v>
      </x:c>
    </x:row>
    <x:row r="1509" ht="23" customHeight="1">
      <x:c r="A1509" s="2" t="str">
        <x:v>PER</x:v>
      </x:c>
      <x:c r="B1509" s="2" t="str">
        <x:v>Peru (Republic of)</x:v>
      </x:c>
      <x:c r="C1509" s="2" t="str">
        <x:v>WUP_SURFACE</x:v>
      </x:c>
      <x:c r="D1509" s="2" t="n">
        <x:v>2020</x:v>
      </x:c>
      <x:c r="E1509" s="2" t="n">
        <x:v>2030</x:v>
      </x:c>
      <x:c r="F1509" s="17" t="n">
        <x:v>1228349086.860001</x:v>
      </x:c>
      <x:c r="G1509" s="17" t="n">
        <x:v>1593151241.5959768</x:v>
      </x:c>
      <x:c r="H1509" s="17" t="n">
        <x:v>1468922753.8804944</x:v>
      </x:c>
      <x:c r="I1509" s="17" t="n">
        <x:v>1891396756.6280017</x:v>
      </x:c>
      <x:c r="J1509" s="2" t="str">
        <x:v>m2</x:v>
      </x:c>
      <x:c r="K1509" s="15" t="n">
        <x:f>IF(AND(ISNUMBER(F1509),ISNUMBER(G1509),F1509&gt;0),G1509/F1509-1,"n.a.")</x:f>
        <x:v>0.29698573364719194</x:v>
      </x:c>
      <x:c r="L1509" s="15" t="n">
        <x:f>IF(AND(N1509,ISNUMBER(H1509),ISNUMBER(I1509),H1509&gt;0),I1509/H1509-1,"n.a.")</x:f>
        <x:v>0.28760804584954913</x:v>
      </x:c>
      <x:c r="M1509" s="20" t="n">
        <x:f>IF(AND(ISNUMBER(K1509),ISNUMBER(L1509)),100*(K1509-L1509),"n.a.")</x:f>
        <x:v>0.9377687797642809</x:v>
      </x:c>
      <x:c r="N1509" s="13" t="b">
        <x:v>1</x:v>
      </x:c>
      <x:c r="O1509" s="13" t="b">
        <x:v>1</x:v>
      </x:c>
      <x:c r="P1509" s="13" t="b">
        <x:v>0</x:v>
      </x:c>
      <x:c r="Q1509" s="2" t="str">
        <x:v>L1_numeric_partition_qualified_not_national_completeness</x:v>
      </x:c>
      <x:c r="R1509" s="2" t="str">
        <x:v>L1_numeric_partition_qualified_not_national_completeness</x:v>
      </x:c>
      <x:c r="S1509" s="2" t="str">
        <x:v>historical_GHSL_BU_estimate</x:v>
      </x:c>
      <x:c r="T1509" s="2" t="str">
        <x:v>projected_CRISP_BU_surface</x:v>
      </x:c>
      <x:c r="U1509" s="2" t="str">
        <x:v>GFA growth versus source physical quantity growth; constant conversion required for equality</x:v>
      </x:c>
      <x:c r="V1509" s="2" t="str">
        <x:v>Future horizontal path is already a v16 driver; WUP historical surface derives from GHSL</x:v>
      </x:c>
      <x:c r="W1509" s="2" t="str">
        <x:v>https://human-settlement.emergency.copernicus.eu/datasets.php</x:v>
      </x:c>
    </x:row>
    <x:row r="1510" ht="23" customHeight="1">
      <x:c r="A1510" s="2" t="str">
        <x:v>PHL</x:v>
      </x:c>
      <x:c r="B1510" s="2" t="str">
        <x:v>Philippines (Republic of the)</x:v>
      </x:c>
      <x:c r="C1510" s="2" t="str">
        <x:v>WUP_SURFACE</x:v>
      </x:c>
      <x:c r="D1510" s="2" t="n">
        <x:v>2020</x:v>
      </x:c>
      <x:c r="E1510" s="2" t="n">
        <x:v>2030</x:v>
      </x:c>
      <x:c r="F1510" s="17" t="n">
        <x:v>2290609295.400001</x:v>
      </x:c>
      <x:c r="G1510" s="17" t="n">
        <x:v>3220687971.8201823</x:v>
      </x:c>
      <x:c r="H1510" s="17" t="n">
        <x:v>2415345169.4013467</x:v>
      </x:c>
      <x:c r="I1510" s="17" t="n">
        <x:v>3379797586.538122</x:v>
      </x:c>
      <x:c r="J1510" s="2" t="str">
        <x:v>m2</x:v>
      </x:c>
      <x:c r="K1510" s="15" t="n">
        <x:f>IF(AND(ISNUMBER(F1510),ISNUMBER(G1510),F1510&gt;0),G1510/F1510-1,"n.a.")</x:f>
        <x:v>0.40603985947667476</x:v>
      </x:c>
      <x:c r="L1510" s="15" t="n">
        <x:f>IF(AND(N1510,ISNUMBER(H1510),ISNUMBER(I1510),H1510&gt;0),I1510/H1510-1,"n.a.")</x:f>
        <x:v>0.3993021077711303</x:v>
      </x:c>
      <x:c r="M1510" s="20" t="n">
        <x:f>IF(AND(ISNUMBER(K1510),ISNUMBER(L1510)),100*(K1510-L1510),"n.a.")</x:f>
        <x:v>0.673775170554447</x:v>
      </x:c>
      <x:c r="N1510" s="13" t="b">
        <x:v>1</x:v>
      </x:c>
      <x:c r="O1510" s="13" t="b">
        <x:v>1</x:v>
      </x:c>
      <x:c r="P1510" s="13" t="b">
        <x:v>0</x:v>
      </x:c>
      <x:c r="Q1510" s="2" t="str">
        <x:v>L1_numeric_partition_qualified_not_national_completeness</x:v>
      </x:c>
      <x:c r="R1510" s="2" t="str">
        <x:v>L1_numeric_partition_qualified_not_national_completeness</x:v>
      </x:c>
      <x:c r="S1510" s="2" t="str">
        <x:v>historical_GHSL_BU_estimate</x:v>
      </x:c>
      <x:c r="T1510" s="2" t="str">
        <x:v>projected_CRISP_BU_surface</x:v>
      </x:c>
      <x:c r="U1510" s="2" t="str">
        <x:v>GFA growth versus source physical quantity growth; constant conversion required for equality</x:v>
      </x:c>
      <x:c r="V1510" s="2" t="str">
        <x:v>Future horizontal path is already a v16 driver; WUP historical surface derives from GHSL</x:v>
      </x:c>
      <x:c r="W1510" s="2" t="str">
        <x:v>https://human-settlement.emergency.copernicus.eu/datasets.php</x:v>
      </x:c>
    </x:row>
    <x:row r="1511" ht="23" customHeight="1">
      <x:c r="A1511" s="2" t="str">
        <x:v>PLW</x:v>
      </x:c>
      <x:c r="B1511" s="2" t="str">
        <x:v>Palau (Republic of)</x:v>
      </x:c>
      <x:c r="C1511" s="2" t="str">
        <x:v>WUP_SURFACE</x:v>
      </x:c>
      <x:c r="D1511" s="2" t="n">
        <x:v>2020</x:v>
      </x:c>
      <x:c r="E1511" s="2" t="n">
        <x:v>2030</x:v>
      </x:c>
      <x:c r="F1511" s="17" t="n">
        <x:v>1152226.26</x:v>
      </x:c>
      <x:c r="G1511" s="17" t="n">
        <x:v>1295370.6850775776</x:v>
      </x:c>
      <x:c r="H1511" s="17" t="n">
        <x:v>1284489.9999239487</x:v>
      </x:c>
      <x:c r="I1511" s="17" t="n">
        <x:v>1443893.1473835055</x:v>
      </x:c>
      <x:c r="J1511" s="2" t="str">
        <x:v>m2</x:v>
      </x:c>
      <x:c r="K1511" s="15" t="n">
        <x:f>IF(AND(ISNUMBER(F1511),ISNUMBER(G1511),F1511&gt;0),G1511/F1511-1,"n.a.")</x:f>
        <x:v>0.12423291331476638</x:v>
      </x:c>
      <x:c r="L1511" s="15" t="n">
        <x:f>IF(AND(N1511,ISNUMBER(H1511),ISNUMBER(I1511),H1511&gt;0),I1511/H1511-1,"n.a.")</x:f>
        <x:v>0.1240983950587351</x:v>
      </x:c>
      <x:c r="M1511" s="20" t="n">
        <x:f>IF(AND(ISNUMBER(K1511),ISNUMBER(L1511)),100*(K1511-L1511),"n.a.")</x:f>
        <x:v>0.013451825603127965</x:v>
      </x:c>
      <x:c r="N1511" s="13" t="b">
        <x:v>1</x:v>
      </x:c>
      <x:c r="O1511" s="13" t="b">
        <x:v>1</x:v>
      </x:c>
      <x:c r="P1511" s="13" t="b">
        <x:v>0</x:v>
      </x:c>
      <x:c r="Q1511" s="2" t="str">
        <x:v>L1_numeric_partition_qualified_not_national_completeness</x:v>
      </x:c>
      <x:c r="R1511" s="2" t="str">
        <x:v>L1_numeric_partition_qualified_not_national_completeness</x:v>
      </x:c>
      <x:c r="S1511" s="2" t="str">
        <x:v>historical_GHSL_BU_estimate</x:v>
      </x:c>
      <x:c r="T1511" s="2" t="str">
        <x:v>projected_CRISP_BU_surface</x:v>
      </x:c>
      <x:c r="U1511" s="2" t="str">
        <x:v>GFA growth versus source physical quantity growth; constant conversion required for equality</x:v>
      </x:c>
      <x:c r="V1511" s="2" t="str">
        <x:v>Future horizontal path is already a v16 driver; WUP historical surface derives from GHSL</x:v>
      </x:c>
      <x:c r="W1511" s="2" t="str">
        <x:v>https://human-settlement.emergency.copernicus.eu/datasets.php</x:v>
      </x:c>
    </x:row>
    <x:row r="1512" ht="23" customHeight="1">
      <x:c r="A1512" s="2" t="str">
        <x:v>PNG</x:v>
      </x:c>
      <x:c r="B1512" s="2" t="str">
        <x:v>Papua New Guinea (Independent State of)</x:v>
      </x:c>
      <x:c r="C1512" s="2" t="str">
        <x:v>WUP_SURFACE</x:v>
      </x:c>
      <x:c r="D1512" s="2" t="n">
        <x:v>2020</x:v>
      </x:c>
      <x:c r="E1512" s="2" t="n">
        <x:v>2030</x:v>
      </x:c>
      <x:c r="F1512" s="17" t="n">
        <x:v>111325792.03000018</x:v>
      </x:c>
      <x:c r="G1512" s="17" t="n">
        <x:v>165149842.90269384</x:v>
      </x:c>
      <x:c r="H1512" s="17" t="n">
        <x:v>188950877.017159</x:v>
      </x:c>
      <x:c r="I1512" s="17" t="n">
        <x:v>278250701.17703897</x:v>
      </x:c>
      <x:c r="J1512" s="2" t="str">
        <x:v>m2</x:v>
      </x:c>
      <x:c r="K1512" s="15" t="n">
        <x:f>IF(AND(ISNUMBER(F1512),ISNUMBER(G1512),F1512&gt;0),G1512/F1512-1,"n.a.")</x:f>
        <x:v>0.48348230801887393</x:v>
      </x:c>
      <x:c r="L1512" s="15" t="n">
        <x:f>IF(AND(N1512,ISNUMBER(H1512),ISNUMBER(I1512),H1512&gt;0),I1512/H1512-1,"n.a.")</x:f>
        <x:v>0.4726086778193175</x:v>
      </x:c>
      <x:c r="M1512" s="20" t="n">
        <x:f>IF(AND(ISNUMBER(K1512),ISNUMBER(L1512)),100*(K1512-L1512),"n.a.")</x:f>
        <x:v>1.087363019955645</x:v>
      </x:c>
      <x:c r="N1512" s="13" t="b">
        <x:v>1</x:v>
      </x:c>
      <x:c r="O1512" s="13" t="b">
        <x:v>1</x:v>
      </x:c>
      <x:c r="P1512" s="13" t="b">
        <x:v>0</x:v>
      </x:c>
      <x:c r="Q1512" s="2" t="str">
        <x:v>L1_numeric_partition_qualified_not_national_completeness</x:v>
      </x:c>
      <x:c r="R1512" s="2" t="str">
        <x:v>L1_numeric_partition_qualified_not_national_completeness</x:v>
      </x:c>
      <x:c r="S1512" s="2" t="str">
        <x:v>historical_GHSL_BU_estimate</x:v>
      </x:c>
      <x:c r="T1512" s="2" t="str">
        <x:v>projected_CRISP_BU_surface</x:v>
      </x:c>
      <x:c r="U1512" s="2" t="str">
        <x:v>GFA growth versus source physical quantity growth; constant conversion required for equality</x:v>
      </x:c>
      <x:c r="V1512" s="2" t="str">
        <x:v>Future horizontal path is already a v16 driver; WUP historical surface derives from GHSL</x:v>
      </x:c>
      <x:c r="W1512" s="2" t="str">
        <x:v>https://human-settlement.emergency.copernicus.eu/datasets.php</x:v>
      </x:c>
    </x:row>
    <x:row r="1513" ht="23" customHeight="1">
      <x:c r="A1513" s="2" t="str">
        <x:v>POL</x:v>
      </x:c>
      <x:c r="B1513" s="2" t="str">
        <x:v>Poland (Republic of)</x:v>
      </x:c>
      <x:c r="C1513" s="2" t="str">
        <x:v>WUP_SURFACE</x:v>
      </x:c>
      <x:c r="D1513" s="2" t="n">
        <x:v>2020</x:v>
      </x:c>
      <x:c r="E1513" s="2" t="n">
        <x:v>2030</x:v>
      </x:c>
      <x:c r="F1513" s="17" t="n">
        <x:v>2573023573.5300016</x:v>
      </x:c>
      <x:c r="G1513" s="17" t="n">
        <x:v>2996491120.5343604</x:v>
      </x:c>
      <x:c r="H1513" s="17" t="n">
        <x:v>4546888793.225267</x:v>
      </x:c>
      <x:c r="I1513" s="17" t="n">
        <x:v>5289883925.927977</x:v>
      </x:c>
      <x:c r="J1513" s="2" t="str">
        <x:v>m2</x:v>
      </x:c>
      <x:c r="K1513" s="15" t="n">
        <x:f>IF(AND(ISNUMBER(F1513),ISNUMBER(G1513),F1513&gt;0),G1513/F1513-1,"n.a.")</x:f>
        <x:v>0.16457973854603747</x:v>
      </x:c>
      <x:c r="L1513" s="15" t="n">
        <x:f>IF(AND(N1513,ISNUMBER(H1513),ISNUMBER(I1513),H1513&gt;0),I1513/H1513-1,"n.a.")</x:f>
        <x:v>0.16340736853070847</x:v>
      </x:c>
      <x:c r="M1513" s="20" t="n">
        <x:f>IF(AND(ISNUMBER(K1513),ISNUMBER(L1513)),100*(K1513-L1513),"n.a.")</x:f>
        <x:v>0.1172370015328994</x:v>
      </x:c>
      <x:c r="N1513" s="13" t="b">
        <x:v>1</x:v>
      </x:c>
      <x:c r="O1513" s="13" t="b">
        <x:v>1</x:v>
      </x:c>
      <x:c r="P1513" s="13" t="b">
        <x:v>0</x:v>
      </x:c>
      <x:c r="Q1513" s="2" t="str">
        <x:v>L1_numeric_partition_qualified_not_national_completeness</x:v>
      </x:c>
      <x:c r="R1513" s="2" t="str">
        <x:v>L1_numeric_partition_qualified_not_national_completeness</x:v>
      </x:c>
      <x:c r="S1513" s="2" t="str">
        <x:v>historical_GHSL_BU_estimate</x:v>
      </x:c>
      <x:c r="T1513" s="2" t="str">
        <x:v>projected_CRISP_BU_surface</x:v>
      </x:c>
      <x:c r="U1513" s="2" t="str">
        <x:v>GFA growth versus source physical quantity growth; constant conversion required for equality</x:v>
      </x:c>
      <x:c r="V1513" s="2" t="str">
        <x:v>Future horizontal path is already a v16 driver; WUP historical surface derives from GHSL</x:v>
      </x:c>
      <x:c r="W1513" s="2" t="str">
        <x:v>https://human-settlement.emergency.copernicus.eu/datasets.php</x:v>
      </x:c>
    </x:row>
    <x:row r="1514" ht="23" customHeight="1">
      <x:c r="A1514" s="2" t="str">
        <x:v>PRK</x:v>
      </x:c>
      <x:c r="B1514" s="2" t="str">
        <x:v>Korea (Democratic People's Republic of)</x:v>
      </x:c>
      <x:c r="C1514" s="2" t="str">
        <x:v>WUP_SURFACE</x:v>
      </x:c>
      <x:c r="D1514" s="2" t="n">
        <x:v>2020</x:v>
      </x:c>
      <x:c r="E1514" s="2" t="n">
        <x:v>2030</x:v>
      </x:c>
      <x:c r="F1514" s="17" t="n">
        <x:v>469713807.49000067</x:v>
      </x:c>
      <x:c r="G1514" s="17" t="n">
        <x:v>682577174.3109608</x:v>
      </x:c>
      <x:c r="H1514" s="17" t="n">
        <x:v>377674861.30029035</x:v>
      </x:c>
      <x:c r="I1514" s="17" t="n">
        <x:v>546845531.94062</x:v>
      </x:c>
      <x:c r="J1514" s="2" t="str">
        <x:v>m2</x:v>
      </x:c>
      <x:c r="K1514" s="15" t="n">
        <x:f>IF(AND(ISNUMBER(F1514),ISNUMBER(G1514),F1514&gt;0),G1514/F1514-1,"n.a.")</x:f>
        <x:v>0.4531767289499822</x:v>
      </x:c>
      <x:c r="L1514" s="15" t="n">
        <x:f>IF(AND(N1514,ISNUMBER(H1514),ISNUMBER(I1514),H1514&gt;0),I1514/H1514-1,"n.a.")</x:f>
        <x:v>0.4479267432783183</x:v>
      </x:c>
      <x:c r="M1514" s="20" t="n">
        <x:f>IF(AND(ISNUMBER(K1514),ISNUMBER(L1514)),100*(K1514-L1514),"n.a.")</x:f>
        <x:v>0.5249985671663904</x:v>
      </x:c>
      <x:c r="N1514" s="13" t="b">
        <x:v>1</x:v>
      </x:c>
      <x:c r="O1514" s="13" t="b">
        <x:v>1</x:v>
      </x:c>
      <x:c r="P1514" s="13" t="b">
        <x:v>0</x:v>
      </x:c>
      <x:c r="Q1514" s="2" t="str">
        <x:v>L1_numeric_partition_qualified_not_national_completeness</x:v>
      </x:c>
      <x:c r="R1514" s="2" t="str">
        <x:v>L1_numeric_partition_qualified_not_national_completeness</x:v>
      </x:c>
      <x:c r="S1514" s="2" t="str">
        <x:v>historical_GHSL_BU_estimate</x:v>
      </x:c>
      <x:c r="T1514" s="2" t="str">
        <x:v>projected_CRISP_BU_surface</x:v>
      </x:c>
      <x:c r="U1514" s="2" t="str">
        <x:v>GFA growth versus source physical quantity growth; constant conversion required for equality</x:v>
      </x:c>
      <x:c r="V1514" s="2" t="str">
        <x:v>Future horizontal path is already a v16 driver; WUP historical surface derives from GHSL</x:v>
      </x:c>
      <x:c r="W1514" s="2" t="str">
        <x:v>https://human-settlement.emergency.copernicus.eu/datasets.php</x:v>
      </x:c>
    </x:row>
    <x:row r="1515" ht="23" customHeight="1">
      <x:c r="A1515" s="2" t="str">
        <x:v>PRT</x:v>
      </x:c>
      <x:c r="B1515" s="2" t="str">
        <x:v>Portugal (Portuguese Republic)</x:v>
      </x:c>
      <x:c r="C1515" s="2" t="str">
        <x:v>WUP_SURFACE</x:v>
      </x:c>
      <x:c r="D1515" s="2" t="n">
        <x:v>2020</x:v>
      </x:c>
      <x:c r="E1515" s="2" t="n">
        <x:v>2030</x:v>
      </x:c>
      <x:c r="F1515" s="17" t="n">
        <x:v>1019333626.31</x:v>
      </x:c>
      <x:c r="G1515" s="17" t="n">
        <x:v>1176183430.3643494</x:v>
      </x:c>
      <x:c r="H1515" s="17" t="n">
        <x:v>1374860716.2609584</x:v>
      </x:c>
      <x:c r="I1515" s="17" t="n">
        <x:v>1581236095.1387591</x:v>
      </x:c>
      <x:c r="J1515" s="2" t="str">
        <x:v>m2</x:v>
      </x:c>
      <x:c r="K1515" s="15" t="n">
        <x:f>IF(AND(ISNUMBER(F1515),ISNUMBER(G1515),F1515&gt;0),G1515/F1515-1,"n.a.")</x:f>
        <x:v>0.15387484529687057</x:v>
      </x:c>
      <x:c r="L1515" s="15" t="n">
        <x:f>IF(AND(N1515,ISNUMBER(H1515),ISNUMBER(I1515),H1515&gt;0),I1515/H1515-1,"n.a.")</x:f>
        <x:v>0.1501063900051307</x:v>
      </x:c>
      <x:c r="M1515" s="20" t="n">
        <x:f>IF(AND(ISNUMBER(K1515),ISNUMBER(L1515)),100*(K1515-L1515),"n.a.")</x:f>
        <x:v>0.37684552917398584</x:v>
      </x:c>
      <x:c r="N1515" s="13" t="b">
        <x:v>1</x:v>
      </x:c>
      <x:c r="O1515" s="13" t="b">
        <x:v>1</x:v>
      </x:c>
      <x:c r="P1515" s="13" t="b">
        <x:v>0</x:v>
      </x:c>
      <x:c r="Q1515" s="2" t="str">
        <x:v>L1_numeric_partition_qualified_not_national_completeness</x:v>
      </x:c>
      <x:c r="R1515" s="2" t="str">
        <x:v>L1_numeric_partition_qualified_not_national_completeness</x:v>
      </x:c>
      <x:c r="S1515" s="2" t="str">
        <x:v>historical_GHSL_BU_estimate</x:v>
      </x:c>
      <x:c r="T1515" s="2" t="str">
        <x:v>projected_CRISP_BU_surface</x:v>
      </x:c>
      <x:c r="U1515" s="2" t="str">
        <x:v>GFA growth versus source physical quantity growth; constant conversion required for equality</x:v>
      </x:c>
      <x:c r="V1515" s="2" t="str">
        <x:v>Future horizontal path is already a v16 driver; WUP historical surface derives from GHSL</x:v>
      </x:c>
      <x:c r="W1515" s="2" t="str">
        <x:v>https://human-settlement.emergency.copernicus.eu/datasets.php</x:v>
      </x:c>
    </x:row>
    <x:row r="1516" ht="23" customHeight="1">
      <x:c r="A1516" s="2" t="str">
        <x:v>PRY</x:v>
      </x:c>
      <x:c r="B1516" s="2" t="str">
        <x:v>Paraguay (Republic of)</x:v>
      </x:c>
      <x:c r="C1516" s="2" t="str">
        <x:v>WUP_SURFACE</x:v>
      </x:c>
      <x:c r="D1516" s="2" t="n">
        <x:v>2020</x:v>
      </x:c>
      <x:c r="E1516" s="2" t="n">
        <x:v>2030</x:v>
      </x:c>
      <x:c r="F1516" s="17" t="n">
        <x:v>336793873.4500005</x:v>
      </x:c>
      <x:c r="G1516" s="17" t="n">
        <x:v>413124541.14200145</x:v>
      </x:c>
      <x:c r="H1516" s="17" t="n">
        <x:v>562101220.9652554</x:v>
      </x:c>
      <x:c r="I1516" s="17" t="n">
        <x:v>686247599.1371026</x:v>
      </x:c>
      <x:c r="J1516" s="2" t="str">
        <x:v>m2</x:v>
      </x:c>
      <x:c r="K1516" s="15" t="n">
        <x:f>IF(AND(ISNUMBER(F1516),ISNUMBER(G1516),F1516&gt;0),G1516/F1516-1,"n.a.")</x:f>
        <x:v>0.22663912175745904</x:v>
      </x:c>
      <x:c r="L1516" s="15" t="n">
        <x:f>IF(AND(N1516,ISNUMBER(H1516),ISNUMBER(I1516),H1516&gt;0),I1516/H1516-1,"n.a.")</x:f>
        <x:v>0.22086124979173638</x:v>
      </x:c>
      <x:c r="M1516" s="20" t="n">
        <x:f>IF(AND(ISNUMBER(K1516),ISNUMBER(L1516)),100*(K1516-L1516),"n.a.")</x:f>
        <x:v>0.5777871965722658</x:v>
      </x:c>
      <x:c r="N1516" s="13" t="b">
        <x:v>1</x:v>
      </x:c>
      <x:c r="O1516" s="13" t="b">
        <x:v>1</x:v>
      </x:c>
      <x:c r="P1516" s="13" t="b">
        <x:v>0</x:v>
      </x:c>
      <x:c r="Q1516" s="2" t="str">
        <x:v>L1_numeric_partition_qualified_not_national_completeness</x:v>
      </x:c>
      <x:c r="R1516" s="2" t="str">
        <x:v>L1_numeric_partition_qualified_not_national_completeness</x:v>
      </x:c>
      <x:c r="S1516" s="2" t="str">
        <x:v>historical_GHSL_BU_estimate</x:v>
      </x:c>
      <x:c r="T1516" s="2" t="str">
        <x:v>projected_CRISP_BU_surface</x:v>
      </x:c>
      <x:c r="U1516" s="2" t="str">
        <x:v>GFA growth versus source physical quantity growth; constant conversion required for equality</x:v>
      </x:c>
      <x:c r="V1516" s="2" t="str">
        <x:v>Future horizontal path is already a v16 driver; WUP historical surface derives from GHSL</x:v>
      </x:c>
      <x:c r="W1516" s="2" t="str">
        <x:v>https://human-settlement.emergency.copernicus.eu/datasets.php</x:v>
      </x:c>
    </x:row>
    <x:row r="1517" ht="23" customHeight="1">
      <x:c r="A1517" s="2" t="str">
        <x:v>PSE</x:v>
      </x:c>
      <x:c r="B1517" s="2" t="str">
        <x:v>State of Palestine</x:v>
      </x:c>
      <x:c r="C1517" s="2" t="str">
        <x:v>WUP_SURFACE</x:v>
      </x:c>
      <x:c r="D1517" s="2" t="n">
        <x:v>2020</x:v>
      </x:c>
      <x:c r="E1517" s="2" t="n">
        <x:v>2030</x:v>
      </x:c>
      <x:c r="F1517" s="17" t="n">
        <x:v>239938472.63190365</x:v>
      </x:c>
      <x:c r="G1517" s="17" t="n">
        <x:v>314121954.5515096</x:v>
      </x:c>
      <x:c r="H1517" s="17" t="n">
        <x:v>223132983.0147804</x:v>
      </x:c>
      <x:c r="I1517" s="17" t="n">
        <x:v>290715377.9736511</x:v>
      </x:c>
      <x:c r="J1517" s="2" t="str">
        <x:v>m2</x:v>
      </x:c>
      <x:c r="K1517" s="15" t="n">
        <x:f>IF(AND(ISNUMBER(F1517),ISNUMBER(G1517),F1517&gt;0),G1517/F1517-1,"n.a.")</x:f>
        <x:v>0.3091771032210118</x:v>
      </x:c>
      <x:c r="L1517" s="15" t="n">
        <x:f>IF(AND(N1517,ISNUMBER(H1517),ISNUMBER(I1517),H1517&gt;0),I1517/H1517-1,"n.a.")</x:f>
        <x:v>0.3028794490431477</x:v>
      </x:c>
      <x:c r="M1517" s="20" t="n">
        <x:f>IF(AND(ISNUMBER(K1517),ISNUMBER(L1517)),100*(K1517-L1517),"n.a.")</x:f>
        <x:v>0.6297654177864098</x:v>
      </x:c>
      <x:c r="N1517" s="13" t="b">
        <x:v>1</x:v>
      </x:c>
      <x:c r="O1517" s="13" t="b">
        <x:v>0</x:v>
      </x:c>
      <x:c r="P1517" s="13" t="b">
        <x:v>1</x:v>
      </x:c>
      <x:c r="Q1517" s="2" t="str">
        <x:v>L1_numeric_partition_qualified_not_national_completeness</x:v>
      </x:c>
      <x:c r="R1517" s="2" t="str">
        <x:v>L1_numeric_partition_qualified_not_national_completeness</x:v>
      </x:c>
      <x:c r="S1517" s="2" t="str">
        <x:v>historical_GHSL_BU_estimate</x:v>
      </x:c>
      <x:c r="T1517" s="2" t="str">
        <x:v>projected_CRISP_BU_surface</x:v>
      </x:c>
      <x:c r="U1517" s="2" t="str">
        <x:v>GFA growth versus source physical quantity growth; constant conversion required for equality</x:v>
      </x:c>
      <x:c r="V1517" s="2" t="str">
        <x:v>Future horizontal path is already a v16 driver; WUP historical surface derives from GHSL</x:v>
      </x:c>
      <x:c r="W1517" s="2" t="str">
        <x:v>https://human-settlement.emergency.copernicus.eu/datasets.php</x:v>
      </x:c>
    </x:row>
    <x:row r="1518" ht="23" customHeight="1">
      <x:c r="A1518" s="2" t="str">
        <x:v>QAT</x:v>
      </x:c>
      <x:c r="B1518" s="2" t="str">
        <x:v>Qatar (State of)</x:v>
      </x:c>
      <x:c r="C1518" s="2" t="str">
        <x:v>WUP_SURFACE</x:v>
      </x:c>
      <x:c r="D1518" s="2" t="n">
        <x:v>2020</x:v>
      </x:c>
      <x:c r="E1518" s="2" t="n">
        <x:v>2030</x:v>
      </x:c>
      <x:c r="F1518" s="17" t="n">
        <x:v>137316242.80000022</x:v>
      </x:c>
      <x:c r="G1518" s="17" t="n">
        <x:v>187973102.6216854</x:v>
      </x:c>
      <x:c r="H1518" s="17" t="n">
        <x:v>216448403.827633</x:v>
      </x:c>
      <x:c r="I1518" s="17" t="n">
        <x:v>295129369.7853865</x:v>
      </x:c>
      <x:c r="J1518" s="2" t="str">
        <x:v>m2</x:v>
      </x:c>
      <x:c r="K1518" s="15" t="n">
        <x:f>IF(AND(ISNUMBER(F1518),ISNUMBER(G1518),F1518&gt;0),G1518/F1518-1,"n.a.")</x:f>
        <x:v>0.36890653857654976</x:v>
      </x:c>
      <x:c r="L1518" s="15" t="n">
        <x:f>IF(AND(N1518,ISNUMBER(H1518),ISNUMBER(I1518),H1518&gt;0),I1518/H1518-1,"n.a.")</x:f>
        <x:v>0.3635091068650729</x:v>
      </x:c>
      <x:c r="M1518" s="20" t="n">
        <x:f>IF(AND(ISNUMBER(K1518),ISNUMBER(L1518)),100*(K1518-L1518),"n.a.")</x:f>
        <x:v>0.5397431711476885</x:v>
      </x:c>
      <x:c r="N1518" s="13" t="b">
        <x:v>1</x:v>
      </x:c>
      <x:c r="O1518" s="13" t="b">
        <x:v>1</x:v>
      </x:c>
      <x:c r="P1518" s="13" t="b">
        <x:v>0</x:v>
      </x:c>
      <x:c r="Q1518" s="2" t="str">
        <x:v>L1_numeric_partition_qualified_not_national_completeness</x:v>
      </x:c>
      <x:c r="R1518" s="2" t="str">
        <x:v>L1_numeric_partition_qualified_not_national_completeness</x:v>
      </x:c>
      <x:c r="S1518" s="2" t="str">
        <x:v>historical_GHSL_BU_estimate</x:v>
      </x:c>
      <x:c r="T1518" s="2" t="str">
        <x:v>projected_CRISP_BU_surface</x:v>
      </x:c>
      <x:c r="U1518" s="2" t="str">
        <x:v>GFA growth versus source physical quantity growth; constant conversion required for equality</x:v>
      </x:c>
      <x:c r="V1518" s="2" t="str">
        <x:v>Future horizontal path is already a v16 driver; WUP historical surface derives from GHSL</x:v>
      </x:c>
      <x:c r="W1518" s="2" t="str">
        <x:v>https://human-settlement.emergency.copernicus.eu/datasets.php</x:v>
      </x:c>
    </x:row>
    <x:row r="1519" ht="23" customHeight="1">
      <x:c r="A1519" s="2" t="str">
        <x:v>ROU</x:v>
      </x:c>
      <x:c r="B1519" s="2" t="str">
        <x:v>Romania</x:v>
      </x:c>
      <x:c r="C1519" s="2" t="str">
        <x:v>WUP_SURFACE</x:v>
      </x:c>
      <x:c r="D1519" s="2" t="n">
        <x:v>2020</x:v>
      </x:c>
      <x:c r="E1519" s="2" t="n">
        <x:v>2030</x:v>
      </x:c>
      <x:c r="F1519" s="17" t="n">
        <x:v>1451492077.9900024</x:v>
      </x:c>
      <x:c r="G1519" s="17" t="n">
        <x:v>1559609962.8925655</x:v>
      </x:c>
      <x:c r="H1519" s="17" t="n">
        <x:v>2285419520.7995014</x:v>
      </x:c>
      <x:c r="I1519" s="17" t="n">
        <x:v>2456224922.3536673</x:v>
      </x:c>
      <x:c r="J1519" s="2" t="str">
        <x:v>m2</x:v>
      </x:c>
      <x:c r="K1519" s="15" t="n">
        <x:f>IF(AND(ISNUMBER(F1519),ISNUMBER(G1519),F1519&gt;0),G1519/F1519-1,"n.a.")</x:f>
        <x:v>0.07448740957117916</x:v>
      </x:c>
      <x:c r="L1519" s="15" t="n">
        <x:f>IF(AND(N1519,ISNUMBER(H1519),ISNUMBER(I1519),H1519&gt;0),I1519/H1519-1,"n.a.")</x:f>
        <x:v>0.0747370012374855</x:v>
      </x:c>
      <x:c r="M1519" s="20" t="n">
        <x:f>IF(AND(ISNUMBER(K1519),ISNUMBER(L1519)),100*(K1519-L1519),"n.a.")</x:f>
        <x:v>-0.02495916663063369</x:v>
      </x:c>
      <x:c r="N1519" s="13" t="b">
        <x:v>1</x:v>
      </x:c>
      <x:c r="O1519" s="13" t="b">
        <x:v>1</x:v>
      </x:c>
      <x:c r="P1519" s="13" t="b">
        <x:v>0</x:v>
      </x:c>
      <x:c r="Q1519" s="2" t="str">
        <x:v>L1_numeric_partition_qualified_not_national_completeness</x:v>
      </x:c>
      <x:c r="R1519" s="2" t="str">
        <x:v>L1_numeric_partition_qualified_not_national_completeness</x:v>
      </x:c>
      <x:c r="S1519" s="2" t="str">
        <x:v>historical_GHSL_BU_estimate</x:v>
      </x:c>
      <x:c r="T1519" s="2" t="str">
        <x:v>projected_CRISP_BU_surface</x:v>
      </x:c>
      <x:c r="U1519" s="2" t="str">
        <x:v>GFA growth versus source physical quantity growth; constant conversion required for equality</x:v>
      </x:c>
      <x:c r="V1519" s="2" t="str">
        <x:v>Future horizontal path is already a v16 driver; WUP historical surface derives from GHSL</x:v>
      </x:c>
      <x:c r="W1519" s="2" t="str">
        <x:v>https://human-settlement.emergency.copernicus.eu/datasets.php</x:v>
      </x:c>
    </x:row>
    <x:row r="1520" ht="23" customHeight="1">
      <x:c r="A1520" s="2" t="str">
        <x:v>RUS</x:v>
      </x:c>
      <x:c r="B1520" s="2" t="str">
        <x:v>Russian Federation</x:v>
      </x:c>
      <x:c r="C1520" s="2" t="str">
        <x:v>WUP_SURFACE</x:v>
      </x:c>
      <x:c r="D1520" s="2" t="n">
        <x:v>2020</x:v>
      </x:c>
      <x:c r="E1520" s="2" t="n">
        <x:v>2030</x:v>
      </x:c>
      <x:c r="F1520" s="17" t="n">
        <x:v>7767687345.91001</x:v>
      </x:c>
      <x:c r="G1520" s="17" t="n">
        <x:v>9099263993.767694</x:v>
      </x:c>
      <x:c r="H1520" s="17" t="n">
        <x:v>12620142866.166924</x:v>
      </x:c>
      <x:c r="I1520" s="17" t="n">
        <x:v>14740477335.571949</x:v>
      </x:c>
      <x:c r="J1520" s="2" t="str">
        <x:v>m2</x:v>
      </x:c>
      <x:c r="K1520" s="15" t="n">
        <x:f>IF(AND(ISNUMBER(F1520),ISNUMBER(G1520),F1520&gt;0),G1520/F1520-1,"n.a.")</x:f>
        <x:v>0.1714251087305685</x:v>
      </x:c>
      <x:c r="L1520" s="15" t="n">
        <x:f>IF(AND(N1520,ISNUMBER(H1520),ISNUMBER(I1520),H1520&gt;0),I1520/H1520-1,"n.a.")</x:f>
        <x:v>0.16801192283562694</x:v>
      </x:c>
      <x:c r="M1520" s="20" t="n">
        <x:f>IF(AND(ISNUMBER(K1520),ISNUMBER(L1520)),100*(K1520-L1520),"n.a.")</x:f>
        <x:v>0.34131858949415506</x:v>
      </x:c>
      <x:c r="N1520" s="13" t="b">
        <x:v>1</x:v>
      </x:c>
      <x:c r="O1520" s="13" t="b">
        <x:v>1</x:v>
      </x:c>
      <x:c r="P1520" s="13" t="b">
        <x:v>0</x:v>
      </x:c>
      <x:c r="Q1520" s="2" t="str">
        <x:v>L1_numeric_partition_qualified_not_national_completeness</x:v>
      </x:c>
      <x:c r="R1520" s="2" t="str">
        <x:v>L1_numeric_partition_qualified_not_national_completeness</x:v>
      </x:c>
      <x:c r="S1520" s="2" t="str">
        <x:v>historical_GHSL_BU_estimate</x:v>
      </x:c>
      <x:c r="T1520" s="2" t="str">
        <x:v>projected_CRISP_BU_surface</x:v>
      </x:c>
      <x:c r="U1520" s="2" t="str">
        <x:v>GFA growth versus source physical quantity growth; constant conversion required for equality</x:v>
      </x:c>
      <x:c r="V1520" s="2" t="str">
        <x:v>Future horizontal path is already a v16 driver; WUP historical surface derives from GHSL</x:v>
      </x:c>
      <x:c r="W1520" s="2" t="str">
        <x:v>https://human-settlement.emergency.copernicus.eu/datasets.php</x:v>
      </x:c>
    </x:row>
    <x:row r="1521" ht="23" customHeight="1">
      <x:c r="A1521" s="2" t="str">
        <x:v>RWA</x:v>
      </x:c>
      <x:c r="B1521" s="2" t="str">
        <x:v>Rwanda (Republic of)</x:v>
      </x:c>
      <x:c r="C1521" s="2" t="str">
        <x:v>WUP_SURFACE</x:v>
      </x:c>
      <x:c r="D1521" s="2" t="n">
        <x:v>2020</x:v>
      </x:c>
      <x:c r="E1521" s="2" t="n">
        <x:v>2030</x:v>
      </x:c>
      <x:c r="F1521" s="17" t="n">
        <x:v>244877324.63000005</x:v>
      </x:c>
      <x:c r="G1521" s="17" t="n">
        <x:v>314833420.69295526</x:v>
      </x:c>
      <x:c r="H1521" s="17" t="n">
        <x:v>676222861.7570442</x:v>
      </x:c>
      <x:c r="I1521" s="17" t="n">
        <x:v>863378756.1740456</x:v>
      </x:c>
      <x:c r="J1521" s="2" t="str">
        <x:v>m2</x:v>
      </x:c>
      <x:c r="K1521" s="15" t="n">
        <x:f>IF(AND(ISNUMBER(F1521),ISNUMBER(G1521),F1521&gt;0),G1521/F1521-1,"n.a.")</x:f>
        <x:v>0.28567812952324645</x:v>
      </x:c>
      <x:c r="L1521" s="15" t="n">
        <x:f>IF(AND(N1521,ISNUMBER(H1521),ISNUMBER(I1521),H1521&gt;0),I1521/H1521-1,"n.a.")</x:f>
        <x:v>0.2767665883562562</x:v>
      </x:c>
      <x:c r="M1521" s="20" t="n">
        <x:f>IF(AND(ISNUMBER(K1521),ISNUMBER(L1521)),100*(K1521-L1521),"n.a.")</x:f>
        <x:v>0.8911541166990222</x:v>
      </x:c>
      <x:c r="N1521" s="13" t="b">
        <x:v>1</x:v>
      </x:c>
      <x:c r="O1521" s="13" t="b">
        <x:v>1</x:v>
      </x:c>
      <x:c r="P1521" s="13" t="b">
        <x:v>0</x:v>
      </x:c>
      <x:c r="Q1521" s="2" t="str">
        <x:v>L1_numeric_partition_qualified_not_national_completeness</x:v>
      </x:c>
      <x:c r="R1521" s="2" t="str">
        <x:v>L1_numeric_partition_qualified_not_national_completeness</x:v>
      </x:c>
      <x:c r="S1521" s="2" t="str">
        <x:v>historical_GHSL_BU_estimate</x:v>
      </x:c>
      <x:c r="T1521" s="2" t="str">
        <x:v>projected_CRISP_BU_surface</x:v>
      </x:c>
      <x:c r="U1521" s="2" t="str">
        <x:v>GFA growth versus source physical quantity growth; constant conversion required for equality</x:v>
      </x:c>
      <x:c r="V1521" s="2" t="str">
        <x:v>Future horizontal path is already a v16 driver; WUP historical surface derives from GHSL</x:v>
      </x:c>
      <x:c r="W1521" s="2" t="str">
        <x:v>https://human-settlement.emergency.copernicus.eu/datasets.php</x:v>
      </x:c>
    </x:row>
    <x:row r="1522" ht="23" customHeight="1">
      <x:c r="A1522" s="2" t="str">
        <x:v>SAU</x:v>
      </x:c>
      <x:c r="B1522" s="2" t="str">
        <x:v>Saudi Arabia (Kingdom of)</x:v>
      </x:c>
      <x:c r="C1522" s="2" t="str">
        <x:v>WUP_SURFACE</x:v>
      </x:c>
      <x:c r="D1522" s="2" t="n">
        <x:v>2020</x:v>
      </x:c>
      <x:c r="E1522" s="2" t="n">
        <x:v>2030</x:v>
      </x:c>
      <x:c r="F1522" s="17" t="n">
        <x:v>1911722272.930002</x:v>
      </x:c>
      <x:c r="G1522" s="17" t="n">
        <x:v>2425852382.190814</x:v>
      </x:c>
      <x:c r="H1522" s="17" t="n">
        <x:v>2801471153.0187106</x:v>
      </x:c>
      <x:c r="I1522" s="17" t="n">
        <x:v>3538361137.92897</x:v>
      </x:c>
      <x:c r="J1522" s="2" t="str">
        <x:v>m2</x:v>
      </x:c>
      <x:c r="K1522" s="15" t="n">
        <x:f>IF(AND(ISNUMBER(F1522),ISNUMBER(G1522),F1522&gt;0),G1522/F1522-1,"n.a.")</x:f>
        <x:v>0.26893556482596725</x:v>
      </x:c>
      <x:c r="L1522" s="15" t="n">
        <x:f>IF(AND(N1522,ISNUMBER(H1522),ISNUMBER(I1522),H1522&gt;0),I1522/H1522-1,"n.a.")</x:f>
        <x:v>0.2630367919784673</x:v>
      </x:c>
      <x:c r="M1522" s="20" t="n">
        <x:f>IF(AND(ISNUMBER(K1522),ISNUMBER(L1522)),100*(K1522-L1522),"n.a.")</x:f>
        <x:v>0.5898772847499956</x:v>
      </x:c>
      <x:c r="N1522" s="13" t="b">
        <x:v>1</x:v>
      </x:c>
      <x:c r="O1522" s="13" t="b">
        <x:v>1</x:v>
      </x:c>
      <x:c r="P1522" s="13" t="b">
        <x:v>0</x:v>
      </x:c>
      <x:c r="Q1522" s="2" t="str">
        <x:v>L1_numeric_partition_qualified_not_national_completeness</x:v>
      </x:c>
      <x:c r="R1522" s="2" t="str">
        <x:v>L1_numeric_partition_qualified_not_national_completeness</x:v>
      </x:c>
      <x:c r="S1522" s="2" t="str">
        <x:v>historical_GHSL_BU_estimate</x:v>
      </x:c>
      <x:c r="T1522" s="2" t="str">
        <x:v>projected_CRISP_BU_surface</x:v>
      </x:c>
      <x:c r="U1522" s="2" t="str">
        <x:v>GFA growth versus source physical quantity growth; constant conversion required for equality</x:v>
      </x:c>
      <x:c r="V1522" s="2" t="str">
        <x:v>Future horizontal path is already a v16 driver; WUP historical surface derives from GHSL</x:v>
      </x:c>
      <x:c r="W1522" s="2" t="str">
        <x:v>https://human-settlement.emergency.copernicus.eu/datasets.php</x:v>
      </x:c>
    </x:row>
    <x:row r="1523" ht="23" customHeight="1">
      <x:c r="A1523" s="2" t="str">
        <x:v>SDN</x:v>
      </x:c>
      <x:c r="B1523" s="2" t="str">
        <x:v>Sudan (Republic of the)</x:v>
      </x:c>
      <x:c r="C1523" s="2" t="str">
        <x:v>WUP_SURFACE</x:v>
      </x:c>
      <x:c r="D1523" s="2" t="n">
        <x:v>2020</x:v>
      </x:c>
      <x:c r="E1523" s="2" t="n">
        <x:v>2030</x:v>
      </x:c>
      <x:c r="F1523" s="17" t="n">
        <x:v>751311239.6000005</x:v>
      </x:c>
      <x:c r="G1523" s="17" t="n">
        <x:v>1031506657.0497226</x:v>
      </x:c>
      <x:c r="H1523" s="17" t="n">
        <x:v>1634560565.2687297</x:v>
      </x:c>
      <x:c r="I1523" s="17" t="n">
        <x:v>2235189355.9566236</x:v>
      </x:c>
      <x:c r="J1523" s="2" t="str">
        <x:v>m2</x:v>
      </x:c>
      <x:c r="K1523" s="15" t="n">
        <x:f>IF(AND(ISNUMBER(F1523),ISNUMBER(G1523),F1523&gt;0),G1523/F1523-1,"n.a.")</x:f>
        <x:v>0.37294186840449584</x:v>
      </x:c>
      <x:c r="L1523" s="15" t="n">
        <x:f>IF(AND(N1523,ISNUMBER(H1523),ISNUMBER(I1523),H1523&gt;0),I1523/H1523-1,"n.a.")</x:f>
        <x:v>0.367455818676959</x:v>
      </x:c>
      <x:c r="M1523" s="20" t="n">
        <x:f>IF(AND(ISNUMBER(K1523),ISNUMBER(L1523)),100*(K1523-L1523),"n.a.")</x:f>
        <x:v>0.5486049727536857</x:v>
      </x:c>
      <x:c r="N1523" s="13" t="b">
        <x:v>1</x:v>
      </x:c>
      <x:c r="O1523" s="13" t="b">
        <x:v>1</x:v>
      </x:c>
      <x:c r="P1523" s="13" t="b">
        <x:v>0</x:v>
      </x:c>
      <x:c r="Q1523" s="2" t="str">
        <x:v>L1_numeric_partition_qualified_not_national_completeness</x:v>
      </x:c>
      <x:c r="R1523" s="2" t="str">
        <x:v>L1_numeric_partition_qualified_not_national_completeness</x:v>
      </x:c>
      <x:c r="S1523" s="2" t="str">
        <x:v>historical_GHSL_BU_estimate</x:v>
      </x:c>
      <x:c r="T1523" s="2" t="str">
        <x:v>projected_CRISP_BU_surface</x:v>
      </x:c>
      <x:c r="U1523" s="2" t="str">
        <x:v>GFA growth versus source physical quantity growth; constant conversion required for equality</x:v>
      </x:c>
      <x:c r="V1523" s="2" t="str">
        <x:v>Future horizontal path is already a v16 driver; WUP historical surface derives from GHSL</x:v>
      </x:c>
      <x:c r="W1523" s="2" t="str">
        <x:v>https://human-settlement.emergency.copernicus.eu/datasets.php</x:v>
      </x:c>
    </x:row>
    <x:row r="1524" ht="23" customHeight="1">
      <x:c r="A1524" s="2" t="str">
        <x:v>SEN</x:v>
      </x:c>
      <x:c r="B1524" s="2" t="str">
        <x:v>Senegal (Republic of)</x:v>
      </x:c>
      <x:c r="C1524" s="2" t="str">
        <x:v>WUP_SURFACE</x:v>
      </x:c>
      <x:c r="D1524" s="2" t="n">
        <x:v>2020</x:v>
      </x:c>
      <x:c r="E1524" s="2" t="n">
        <x:v>2030</x:v>
      </x:c>
      <x:c r="F1524" s="17" t="n">
        <x:v>305052833.6899998</x:v>
      </x:c>
      <x:c r="G1524" s="17" t="n">
        <x:v>414516562.05941653</x:v>
      </x:c>
      <x:c r="H1524" s="17" t="n">
        <x:v>702358485.1448159</x:v>
      </x:c>
      <x:c r="I1524" s="17" t="n">
        <x:v>950519979.4823984</x:v>
      </x:c>
      <x:c r="J1524" s="2" t="str">
        <x:v>m2</x:v>
      </x:c>
      <x:c r="K1524" s="15" t="n">
        <x:f>IF(AND(ISNUMBER(F1524),ISNUMBER(G1524),F1524&gt;0),G1524/F1524-1,"n.a.")</x:f>
        <x:v>0.35883531074048536</x:v>
      </x:c>
      <x:c r="L1524" s="15" t="n">
        <x:f>IF(AND(N1524,ISNUMBER(H1524),ISNUMBER(I1524),H1524&gt;0),I1524/H1524-1,"n.a.")</x:f>
        <x:v>0.35332597183105885</x:v>
      </x:c>
      <x:c r="M1524" s="20" t="n">
        <x:f>IF(AND(ISNUMBER(K1524),ISNUMBER(L1524)),100*(K1524-L1524),"n.a.")</x:f>
        <x:v>0.5509338909426509</x:v>
      </x:c>
      <x:c r="N1524" s="13" t="b">
        <x:v>1</x:v>
      </x:c>
      <x:c r="O1524" s="13" t="b">
        <x:v>1</x:v>
      </x:c>
      <x:c r="P1524" s="13" t="b">
        <x:v>0</x:v>
      </x:c>
      <x:c r="Q1524" s="2" t="str">
        <x:v>L1_numeric_partition_qualified_not_national_completeness</x:v>
      </x:c>
      <x:c r="R1524" s="2" t="str">
        <x:v>L1_numeric_partition_qualified_not_national_completeness</x:v>
      </x:c>
      <x:c r="S1524" s="2" t="str">
        <x:v>historical_GHSL_BU_estimate</x:v>
      </x:c>
      <x:c r="T1524" s="2" t="str">
        <x:v>projected_CRISP_BU_surface</x:v>
      </x:c>
      <x:c r="U1524" s="2" t="str">
        <x:v>GFA growth versus source physical quantity growth; constant conversion required for equality</x:v>
      </x:c>
      <x:c r="V1524" s="2" t="str">
        <x:v>Future horizontal path is already a v16 driver; WUP historical surface derives from GHSL</x:v>
      </x:c>
      <x:c r="W1524" s="2" t="str">
        <x:v>https://human-settlement.emergency.copernicus.eu/datasets.php</x:v>
      </x:c>
    </x:row>
    <x:row r="1525" ht="23" customHeight="1">
      <x:c r="A1525" s="2" t="str">
        <x:v>SGP</x:v>
      </x:c>
      <x:c r="B1525" s="2" t="str">
        <x:v>Singapore (Republic of)</x:v>
      </x:c>
      <x:c r="C1525" s="2" t="str">
        <x:v>WUP_SURFACE</x:v>
      </x:c>
      <x:c r="D1525" s="2" t="n">
        <x:v>2020</x:v>
      </x:c>
      <x:c r="E1525" s="2" t="n">
        <x:v>2030</x:v>
      </x:c>
      <x:c r="F1525" s="17" t="n">
        <x:v>194662203.04</x:v>
      </x:c>
      <x:c r="G1525" s="17" t="n">
        <x:v>300246532.72836995</x:v>
      </x:c>
      <x:c r="H1525" s="17" t="n">
        <x:v>112572526.7715635</x:v>
      </x:c>
      <x:c r="I1525" s="17" t="n">
        <x:v>173097854.5075178</x:v>
      </x:c>
      <x:c r="J1525" s="2" t="str">
        <x:v>m2</x:v>
      </x:c>
      <x:c r="K1525" s="15" t="n">
        <x:f>IF(AND(ISNUMBER(F1525),ISNUMBER(G1525),F1525&gt;0),G1525/F1525-1,"n.a.")</x:f>
        <x:v>0.542397692204655</x:v>
      </x:c>
      <x:c r="L1525" s="15" t="n">
        <x:f>IF(AND(N1525,ISNUMBER(H1525),ISNUMBER(I1525),H1525&gt;0),I1525/H1525-1,"n.a.")</x:f>
        <x:v>0.5376562956499558</x:v>
      </x:c>
      <x:c r="M1525" s="20" t="n">
        <x:f>IF(AND(ISNUMBER(K1525),ISNUMBER(L1525)),100*(K1525-L1525),"n.a.")</x:f>
        <x:v>0.47413965546991843</x:v>
      </x:c>
      <x:c r="N1525" s="13" t="b">
        <x:v>1</x:v>
      </x:c>
      <x:c r="O1525" s="13" t="b">
        <x:v>1</x:v>
      </x:c>
      <x:c r="P1525" s="13" t="b">
        <x:v>0</x:v>
      </x:c>
      <x:c r="Q1525" s="2" t="str">
        <x:v>L1_numeric_partition_qualified_not_national_completeness</x:v>
      </x:c>
      <x:c r="R1525" s="2" t="str">
        <x:v>L1_numeric_partition_qualified_not_national_completeness</x:v>
      </x:c>
      <x:c r="S1525" s="2" t="str">
        <x:v>historical_GHSL_BU_estimate</x:v>
      </x:c>
      <x:c r="T1525" s="2" t="str">
        <x:v>projected_CRISP_BU_surface</x:v>
      </x:c>
      <x:c r="U1525" s="2" t="str">
        <x:v>GFA growth versus source physical quantity growth; constant conversion required for equality</x:v>
      </x:c>
      <x:c r="V1525" s="2" t="str">
        <x:v>Future horizontal path is already a v16 driver; WUP historical surface derives from GHSL</x:v>
      </x:c>
      <x:c r="W1525" s="2" t="str">
        <x:v>https://human-settlement.emergency.copernicus.eu/datasets.php</x:v>
      </x:c>
    </x:row>
    <x:row r="1526" ht="23" customHeight="1">
      <x:c r="A1526" s="2" t="str">
        <x:v>SLB</x:v>
      </x:c>
      <x:c r="B1526" s="2" t="str">
        <x:v>Solomon Islands</x:v>
      </x:c>
      <x:c r="C1526" s="2" t="str">
        <x:v>WUP_SURFACE</x:v>
      </x:c>
      <x:c r="D1526" s="2" t="n">
        <x:v>2020</x:v>
      </x:c>
      <x:c r="E1526" s="2" t="n">
        <x:v>2030</x:v>
      </x:c>
      <x:c r="F1526" s="17" t="n">
        <x:v>14438629.189999975</x:v>
      </x:c>
      <x:c r="G1526" s="17" t="n">
        <x:v>20624141.450931724</x:v>
      </x:c>
      <x:c r="H1526" s="17" t="n">
        <x:v>26522994.034811523</x:v>
      </x:c>
      <x:c r="I1526" s="17" t="n">
        <x:v>37719727.8529959</x:v>
      </x:c>
      <x:c r="J1526" s="2" t="str">
        <x:v>m2</x:v>
      </x:c>
      <x:c r="K1526" s="15" t="n">
        <x:f>IF(AND(ISNUMBER(F1526),ISNUMBER(G1526),F1526&gt;0),G1526/F1526-1,"n.a.")</x:f>
        <x:v>0.42840024350897266</x:v>
      </x:c>
      <x:c r="L1526" s="15" t="n">
        <x:f>IF(AND(N1526,ISNUMBER(H1526),ISNUMBER(I1526),H1526&gt;0),I1526/H1526-1,"n.a.")</x:f>
        <x:v>0.42215195627946933</x:v>
      </x:c>
      <x:c r="M1526" s="20" t="n">
        <x:f>IF(AND(ISNUMBER(K1526),ISNUMBER(L1526)),100*(K1526-L1526),"n.a.")</x:f>
        <x:v>0.6248287229503324</x:v>
      </x:c>
      <x:c r="N1526" s="13" t="b">
        <x:v>1</x:v>
      </x:c>
      <x:c r="O1526" s="13" t="b">
        <x:v>1</x:v>
      </x:c>
      <x:c r="P1526" s="13" t="b">
        <x:v>0</x:v>
      </x:c>
      <x:c r="Q1526" s="2" t="str">
        <x:v>L1_numeric_partition_qualified_not_national_completeness</x:v>
      </x:c>
      <x:c r="R1526" s="2" t="str">
        <x:v>L1_numeric_partition_qualified_not_national_completeness</x:v>
      </x:c>
      <x:c r="S1526" s="2" t="str">
        <x:v>historical_GHSL_BU_estimate</x:v>
      </x:c>
      <x:c r="T1526" s="2" t="str">
        <x:v>projected_CRISP_BU_surface</x:v>
      </x:c>
      <x:c r="U1526" s="2" t="str">
        <x:v>GFA growth versus source physical quantity growth; constant conversion required for equality</x:v>
      </x:c>
      <x:c r="V1526" s="2" t="str">
        <x:v>Future horizontal path is already a v16 driver; WUP historical surface derives from GHSL</x:v>
      </x:c>
      <x:c r="W1526" s="2" t="str">
        <x:v>https://human-settlement.emergency.copernicus.eu/datasets.php</x:v>
      </x:c>
    </x:row>
    <x:row r="1527" ht="23" customHeight="1">
      <x:c r="A1527" s="2" t="str">
        <x:v>SLE</x:v>
      </x:c>
      <x:c r="B1527" s="2" t="str">
        <x:v>Sierra Leone (Republic of)</x:v>
      </x:c>
      <x:c r="C1527" s="2" t="str">
        <x:v>WUP_SURFACE</x:v>
      </x:c>
      <x:c r="D1527" s="2" t="n">
        <x:v>2020</x:v>
      </x:c>
      <x:c r="E1527" s="2" t="n">
        <x:v>2030</x:v>
      </x:c>
      <x:c r="F1527" s="17" t="n">
        <x:v>115259924.94999996</x:v>
      </x:c>
      <x:c r="G1527" s="17" t="n">
        <x:v>163419455.73615712</x:v>
      </x:c>
      <x:c r="H1527" s="17" t="n">
        <x:v>224041914.19126338</x:v>
      </x:c>
      <x:c r="I1527" s="17" t="n">
        <x:v>315518044.143685</x:v>
      </x:c>
      <x:c r="J1527" s="2" t="str">
        <x:v>m2</x:v>
      </x:c>
      <x:c r="K1527" s="15" t="n">
        <x:f>IF(AND(ISNUMBER(F1527),ISNUMBER(G1527),F1527&gt;0),G1527/F1527-1,"n.a.")</x:f>
        <x:v>0.41783413278334924</x:v>
      </x:c>
      <x:c r="L1527" s="15" t="n">
        <x:f>IF(AND(N1527,ISNUMBER(H1527),ISNUMBER(I1527),H1527&gt;0),I1527/H1527-1,"n.a.")</x:f>
        <x:v>0.40829918045749647</x:v>
      </x:c>
      <x:c r="M1527" s="20" t="n">
        <x:f>IF(AND(ISNUMBER(K1527),ISNUMBER(L1527)),100*(K1527-L1527),"n.a.")</x:f>
        <x:v>0.9534952325852775</x:v>
      </x:c>
      <x:c r="N1527" s="13" t="b">
        <x:v>1</x:v>
      </x:c>
      <x:c r="O1527" s="13" t="b">
        <x:v>1</x:v>
      </x:c>
      <x:c r="P1527" s="13" t="b">
        <x:v>0</x:v>
      </x:c>
      <x:c r="Q1527" s="2" t="str">
        <x:v>L1_numeric_partition_qualified_not_national_completeness</x:v>
      </x:c>
      <x:c r="R1527" s="2" t="str">
        <x:v>L1_numeric_partition_qualified_not_national_completeness</x:v>
      </x:c>
      <x:c r="S1527" s="2" t="str">
        <x:v>historical_GHSL_BU_estimate</x:v>
      </x:c>
      <x:c r="T1527" s="2" t="str">
        <x:v>projected_CRISP_BU_surface</x:v>
      </x:c>
      <x:c r="U1527" s="2" t="str">
        <x:v>GFA growth versus source physical quantity growth; constant conversion required for equality</x:v>
      </x:c>
      <x:c r="V1527" s="2" t="str">
        <x:v>Future horizontal path is already a v16 driver; WUP historical surface derives from GHSL</x:v>
      </x:c>
      <x:c r="W1527" s="2" t="str">
        <x:v>https://human-settlement.emergency.copernicus.eu/datasets.php</x:v>
      </x:c>
    </x:row>
    <x:row r="1528" ht="23" customHeight="1">
      <x:c r="A1528" s="2" t="str">
        <x:v>SLV</x:v>
      </x:c>
      <x:c r="B1528" s="2" t="str">
        <x:v>El Salvador (Republic of)</x:v>
      </x:c>
      <x:c r="C1528" s="2" t="str">
        <x:v>WUP_SURFACE</x:v>
      </x:c>
      <x:c r="D1528" s="2" t="n">
        <x:v>2020</x:v>
      </x:c>
      <x:c r="E1528" s="2" t="n">
        <x:v>2030</x:v>
      </x:c>
      <x:c r="F1528" s="17" t="n">
        <x:v>245414047.01000017</x:v>
      </x:c>
      <x:c r="G1528" s="17" t="n">
        <x:v>296839953.9024407</x:v>
      </x:c>
      <x:c r="H1528" s="17" t="n">
        <x:v>341042214.0468587</x:v>
      </x:c>
      <x:c r="I1528" s="17" t="n">
        <x:v>411105586.56345683</x:v>
      </x:c>
      <x:c r="J1528" s="2" t="str">
        <x:v>m2</x:v>
      </x:c>
      <x:c r="K1528" s="15" t="n">
        <x:f>IF(AND(ISNUMBER(F1528),ISNUMBER(G1528),F1528&gt;0),G1528/F1528-1,"n.a.")</x:f>
        <x:v>0.20954752802045218</x:v>
      </x:c>
      <x:c r="L1528" s="15" t="n">
        <x:f>IF(AND(N1528,ISNUMBER(H1528),ISNUMBER(I1528),H1528&gt;0),I1528/H1528-1,"n.a.")</x:f>
        <x:v>0.20543900324014297</x:v>
      </x:c>
      <x:c r="M1528" s="20" t="n">
        <x:f>IF(AND(ISNUMBER(K1528),ISNUMBER(L1528)),100*(K1528-L1528),"n.a.")</x:f>
        <x:v>0.41085247803092084</x:v>
      </x:c>
      <x:c r="N1528" s="13" t="b">
        <x:v>1</x:v>
      </x:c>
      <x:c r="O1528" s="13" t="b">
        <x:v>1</x:v>
      </x:c>
      <x:c r="P1528" s="13" t="b">
        <x:v>0</x:v>
      </x:c>
      <x:c r="Q1528" s="2" t="str">
        <x:v>L1_numeric_partition_qualified_not_national_completeness</x:v>
      </x:c>
      <x:c r="R1528" s="2" t="str">
        <x:v>L1_numeric_partition_qualified_not_national_completeness</x:v>
      </x:c>
      <x:c r="S1528" s="2" t="str">
        <x:v>historical_GHSL_BU_estimate</x:v>
      </x:c>
      <x:c r="T1528" s="2" t="str">
        <x:v>projected_CRISP_BU_surface</x:v>
      </x:c>
      <x:c r="U1528" s="2" t="str">
        <x:v>GFA growth versus source physical quantity growth; constant conversion required for equality</x:v>
      </x:c>
      <x:c r="V1528" s="2" t="str">
        <x:v>Future horizontal path is already a v16 driver; WUP historical surface derives from GHSL</x:v>
      </x:c>
      <x:c r="W1528" s="2" t="str">
        <x:v>https://human-settlement.emergency.copernicus.eu/datasets.php</x:v>
      </x:c>
    </x:row>
    <x:row r="1529" ht="23" customHeight="1">
      <x:c r="A1529" s="2" t="str">
        <x:v>SMR</x:v>
      </x:c>
      <x:c r="B1529" s="2" t="str">
        <x:v>San Marino (Republic of)</x:v>
      </x:c>
      <x:c r="C1529" s="2" t="str">
        <x:v>WUP_SURFACE</x:v>
      </x:c>
      <x:c r="D1529" s="2" t="n">
        <x:v>2020</x:v>
      </x:c>
      <x:c r="E1529" s="2" t="n">
        <x:v>2030</x:v>
      </x:c>
      <x:c r="F1529" s="17" t="n">
        <x:v>3030681.630000002</x:v>
      </x:c>
      <x:c r="G1529" s="17" t="n">
        <x:v>3752648.186131032</x:v>
      </x:c>
      <x:c r="H1529" s="17" t="n">
        <x:v>4682492.999825627</x:v>
      </x:c>
      <x:c r="I1529" s="17" t="n">
        <x:v>5767924.544401467</x:v>
      </x:c>
      <x:c r="J1529" s="2" t="str">
        <x:v>m2</x:v>
      </x:c>
      <x:c r="K1529" s="15" t="n">
        <x:f>IF(AND(ISNUMBER(F1529),ISNUMBER(G1529),F1529&gt;0),G1529/F1529-1,"n.a.")</x:f>
        <x:v>0.2382192009165376</x:v>
      </x:c>
      <x:c r="L1529" s="15" t="n">
        <x:f>IF(AND(N1529,ISNUMBER(H1529),ISNUMBER(I1529),H1529&gt;0),I1529/H1529-1,"n.a.")</x:f>
        <x:v>0.23180633577375587</x:v>
      </x:c>
      <x:c r="M1529" s="20" t="n">
        <x:f>IF(AND(ISNUMBER(K1529),ISNUMBER(L1529)),100*(K1529-L1529),"n.a.")</x:f>
        <x:v>0.6412865142781721</x:v>
      </x:c>
      <x:c r="N1529" s="13" t="b">
        <x:v>1</x:v>
      </x:c>
      <x:c r="O1529" s="13" t="b">
        <x:v>1</x:v>
      </x:c>
      <x:c r="P1529" s="13" t="b">
        <x:v>0</x:v>
      </x:c>
      <x:c r="Q1529" s="2" t="str">
        <x:v>L1_numeric_partition_qualified_not_national_completeness</x:v>
      </x:c>
      <x:c r="R1529" s="2" t="str">
        <x:v>L1_numeric_partition_qualified_not_national_completeness</x:v>
      </x:c>
      <x:c r="S1529" s="2" t="str">
        <x:v>historical_GHSL_BU_estimate</x:v>
      </x:c>
      <x:c r="T1529" s="2" t="str">
        <x:v>projected_CRISP_BU_surface</x:v>
      </x:c>
      <x:c r="U1529" s="2" t="str">
        <x:v>GFA growth versus source physical quantity growth; constant conversion required for equality</x:v>
      </x:c>
      <x:c r="V1529" s="2" t="str">
        <x:v>Future horizontal path is already a v16 driver; WUP historical surface derives from GHSL</x:v>
      </x:c>
      <x:c r="W1529" s="2" t="str">
        <x:v>https://human-settlement.emergency.copernicus.eu/datasets.php</x:v>
      </x:c>
    </x:row>
    <x:row r="1530" ht="23" customHeight="1">
      <x:c r="A1530" s="2" t="str">
        <x:v>SOM</x:v>
      </x:c>
      <x:c r="B1530" s="2" t="str">
        <x:v>Somalia (Federal Republic of)</x:v>
      </x:c>
      <x:c r="C1530" s="2" t="str">
        <x:v>WUP_SURFACE</x:v>
      </x:c>
      <x:c r="D1530" s="2" t="n">
        <x:v>2020</x:v>
      </x:c>
      <x:c r="E1530" s="2" t="n">
        <x:v>2030</x:v>
      </x:c>
      <x:c r="F1530" s="17" t="n">
        <x:v>134848326.33000013</x:v>
      </x:c>
      <x:c r="G1530" s="17" t="n">
        <x:v>216893443.86930385</x:v>
      </x:c>
      <x:c r="H1530" s="17" t="n">
        <x:v>235423435.1938329</x:v>
      </x:c>
      <x:c r="I1530" s="17" t="n">
        <x:v>377666660.49318975</x:v>
      </x:c>
      <x:c r="J1530" s="2" t="str">
        <x:v>m2</x:v>
      </x:c>
      <x:c r="K1530" s="15" t="n">
        <x:f>IF(AND(ISNUMBER(F1530),ISNUMBER(G1530),F1530&gt;0),G1530/F1530-1,"n.a.")</x:f>
        <x:v>0.6084251823676574</x:v>
      </x:c>
      <x:c r="L1530" s="15" t="n">
        <x:f>IF(AND(N1530,ISNUMBER(H1530),ISNUMBER(I1530),H1530&gt;0),I1530/H1530-1,"n.a.")</x:f>
        <x:v>0.6042016385592313</x:v>
      </x:c>
      <x:c r="M1530" s="20" t="n">
        <x:f>IF(AND(ISNUMBER(K1530),ISNUMBER(L1530)),100*(K1530-L1530),"n.a.")</x:f>
        <x:v>0.42235438084261556</x:v>
      </x:c>
      <x:c r="N1530" s="13" t="b">
        <x:v>1</x:v>
      </x:c>
      <x:c r="O1530" s="13" t="b">
        <x:v>1</x:v>
      </x:c>
      <x:c r="P1530" s="13" t="b">
        <x:v>0</x:v>
      </x:c>
      <x:c r="Q1530" s="2" t="str">
        <x:v>L1_numeric_partition_qualified_not_national_completeness</x:v>
      </x:c>
      <x:c r="R1530" s="2" t="str">
        <x:v>L1_numeric_partition_qualified_not_national_completeness</x:v>
      </x:c>
      <x:c r="S1530" s="2" t="str">
        <x:v>historical_GHSL_BU_estimate</x:v>
      </x:c>
      <x:c r="T1530" s="2" t="str">
        <x:v>projected_CRISP_BU_surface</x:v>
      </x:c>
      <x:c r="U1530" s="2" t="str">
        <x:v>GFA growth versus source physical quantity growth; constant conversion required for equality</x:v>
      </x:c>
      <x:c r="V1530" s="2" t="str">
        <x:v>Future horizontal path is already a v16 driver; WUP historical surface derives from GHSL</x:v>
      </x:c>
      <x:c r="W1530" s="2" t="str">
        <x:v>https://human-settlement.emergency.copernicus.eu/datasets.php</x:v>
      </x:c>
    </x:row>
    <x:row r="1531" ht="23" customHeight="1">
      <x:c r="A1531" s="2" t="str">
        <x:v>SRB</x:v>
      </x:c>
      <x:c r="B1531" s="2" t="str">
        <x:v>Serbia (Republic of)</x:v>
      </x:c>
      <x:c r="C1531" s="2" t="str">
        <x:v>WUP_SURFACE</x:v>
      </x:c>
      <x:c r="D1531" s="2" t="n">
        <x:v>2020</x:v>
      </x:c>
      <x:c r="E1531" s="2" t="n">
        <x:v>2030</x:v>
      </x:c>
      <x:c r="F1531" s="17" t="n">
        <x:v>584520286.2100008</x:v>
      </x:c>
      <x:c r="G1531" s="17" t="n">
        <x:v>618860932.0621876</x:v>
      </x:c>
      <x:c r="H1531" s="17" t="n">
        <x:v>809442328.1996503</x:v>
      </x:c>
      <x:c r="I1531" s="17" t="n">
        <x:v>857120249.0935307</x:v>
      </x:c>
      <x:c r="J1531" s="2" t="str">
        <x:v>m2</x:v>
      </x:c>
      <x:c r="K1531" s="15" t="n">
        <x:f>IF(AND(ISNUMBER(F1531),ISNUMBER(G1531),F1531&gt;0),G1531/F1531-1,"n.a.")</x:f>
        <x:v>0.05875013521746153</x:v>
      </x:c>
      <x:c r="L1531" s="15" t="n">
        <x:f>IF(AND(N1531,ISNUMBER(H1531),ISNUMBER(I1531),H1531&gt;0),I1531/H1531-1,"n.a.")</x:f>
        <x:v>0.05890218392695723</x:v>
      </x:c>
      <x:c r="M1531" s="20" t="n">
        <x:f>IF(AND(ISNUMBER(K1531),ISNUMBER(L1531)),100*(K1531-L1531),"n.a.")</x:f>
        <x:v>-0.015204870949570015</x:v>
      </x:c>
      <x:c r="N1531" s="13" t="b">
        <x:v>1</x:v>
      </x:c>
      <x:c r="O1531" s="13" t="b">
        <x:v>1</x:v>
      </x:c>
      <x:c r="P1531" s="13" t="b">
        <x:v>0</x:v>
      </x:c>
      <x:c r="Q1531" s="2" t="str">
        <x:v>L1_numeric_partition_qualified_not_national_completeness</x:v>
      </x:c>
      <x:c r="R1531" s="2" t="str">
        <x:v>L1_numeric_partition_qualified_not_national_completeness</x:v>
      </x:c>
      <x:c r="S1531" s="2" t="str">
        <x:v>historical_GHSL_BU_estimate</x:v>
      </x:c>
      <x:c r="T1531" s="2" t="str">
        <x:v>projected_CRISP_BU_surface</x:v>
      </x:c>
      <x:c r="U1531" s="2" t="str">
        <x:v>GFA growth versus source physical quantity growth; constant conversion required for equality</x:v>
      </x:c>
      <x:c r="V1531" s="2" t="str">
        <x:v>Future horizontal path is already a v16 driver; WUP historical surface derives from GHSL</x:v>
      </x:c>
      <x:c r="W1531" s="2" t="str">
        <x:v>https://human-settlement.emergency.copernicus.eu/datasets.php</x:v>
      </x:c>
    </x:row>
    <x:row r="1532" ht="23" customHeight="1">
      <x:c r="A1532" s="2" t="str">
        <x:v>SSD</x:v>
      </x:c>
      <x:c r="B1532" s="2" t="str">
        <x:v>South Sudan (Republic of)</x:v>
      </x:c>
      <x:c r="C1532" s="2" t="str">
        <x:v>WUP_SURFACE</x:v>
      </x:c>
      <x:c r="D1532" s="2" t="n">
        <x:v>2020</x:v>
      </x:c>
      <x:c r="E1532" s="2" t="n">
        <x:v>2030</x:v>
      </x:c>
      <x:c r="F1532" s="17" t="n">
        <x:v>82483216.59000005</x:v>
      </x:c>
      <x:c r="G1532" s="17" t="n">
        <x:v>116447093.67256312</x:v>
      </x:c>
      <x:c r="H1532" s="17" t="n">
        <x:v>193501773.84508845</x:v>
      </x:c>
      <x:c r="I1532" s="17" t="n">
        <x:v>272856839.96448517</x:v>
      </x:c>
      <x:c r="J1532" s="2" t="str">
        <x:v>m2</x:v>
      </x:c>
      <x:c r="K1532" s="15" t="n">
        <x:f>IF(AND(ISNUMBER(F1532),ISNUMBER(G1532),F1532&gt;0),G1532/F1532-1,"n.a.")</x:f>
        <x:v>0.41176712653420844</x:v>
      </x:c>
      <x:c r="L1532" s="15" t="n">
        <x:f>IF(AND(N1532,ISNUMBER(H1532),ISNUMBER(I1532),H1532&gt;0),I1532/H1532-1,"n.a.")</x:f>
        <x:v>0.4100999414244437</x:v>
      </x:c>
      <x:c r="M1532" s="20" t="n">
        <x:f>IF(AND(ISNUMBER(K1532),ISNUMBER(L1532)),100*(K1532-L1532),"n.a.")</x:f>
        <x:v>0.16671851097647128</x:v>
      </x:c>
      <x:c r="N1532" s="13" t="b">
        <x:v>1</x:v>
      </x:c>
      <x:c r="O1532" s="13" t="b">
        <x:v>1</x:v>
      </x:c>
      <x:c r="P1532" s="13" t="b">
        <x:v>0</x:v>
      </x:c>
      <x:c r="Q1532" s="2" t="str">
        <x:v>L1_numeric_partition_qualified_not_national_completeness</x:v>
      </x:c>
      <x:c r="R1532" s="2" t="str">
        <x:v>L1_numeric_partition_qualified_not_national_completeness</x:v>
      </x:c>
      <x:c r="S1532" s="2" t="str">
        <x:v>historical_GHSL_BU_estimate</x:v>
      </x:c>
      <x:c r="T1532" s="2" t="str">
        <x:v>projected_CRISP_BU_surface</x:v>
      </x:c>
      <x:c r="U1532" s="2" t="str">
        <x:v>GFA growth versus source physical quantity growth; constant conversion required for equality</x:v>
      </x:c>
      <x:c r="V1532" s="2" t="str">
        <x:v>Future horizontal path is already a v16 driver; WUP historical surface derives from GHSL</x:v>
      </x:c>
      <x:c r="W1532" s="2" t="str">
        <x:v>https://human-settlement.emergency.copernicus.eu/datasets.php</x:v>
      </x:c>
    </x:row>
    <x:row r="1533" ht="23" customHeight="1">
      <x:c r="A1533" s="2" t="str">
        <x:v>STP</x:v>
      </x:c>
      <x:c r="B1533" s="2" t="str">
        <x:v>Sao Tome and Principe (Democratic Republic of)</x:v>
      </x:c>
      <x:c r="C1533" s="2" t="str">
        <x:v>WUP_SURFACE</x:v>
      </x:c>
      <x:c r="D1533" s="2" t="n">
        <x:v>2020</x:v>
      </x:c>
      <x:c r="E1533" s="2" t="n">
        <x:v>2030</x:v>
      </x:c>
      <x:c r="F1533" s="17" t="n">
        <x:v>6153544.550000003</x:v>
      </x:c>
      <x:c r="G1533" s="17" t="n">
        <x:v>8346779.406820175</x:v>
      </x:c>
      <x:c r="H1533" s="17" t="n">
        <x:v>7954488.003631922</x:v>
      </x:c>
      <x:c r="I1533" s="17" t="n">
        <x:v>10728408.063087044</x:v>
      </x:c>
      <x:c r="J1533" s="2" t="str">
        <x:v>m2</x:v>
      </x:c>
      <x:c r="K1533" s="15" t="n">
        <x:f>IF(AND(ISNUMBER(F1533),ISNUMBER(G1533),F1533&gt;0),G1533/F1533-1,"n.a.")</x:f>
        <x:v>0.35641813250871346</x:v>
      </x:c>
      <x:c r="L1533" s="15" t="n">
        <x:f>IF(AND(N1533,ISNUMBER(H1533),ISNUMBER(I1533),H1533&gt;0),I1533/H1533-1,"n.a.")</x:f>
        <x:v>0.3487238975266018</x:v>
      </x:c>
      <x:c r="M1533" s="20" t="n">
        <x:f>IF(AND(ISNUMBER(K1533),ISNUMBER(L1533)),100*(K1533-L1533),"n.a.")</x:f>
        <x:v>0.7694234982111636</x:v>
      </x:c>
      <x:c r="N1533" s="13" t="b">
        <x:v>1</x:v>
      </x:c>
      <x:c r="O1533" s="13" t="b">
        <x:v>1</x:v>
      </x:c>
      <x:c r="P1533" s="13" t="b">
        <x:v>0</x:v>
      </x:c>
      <x:c r="Q1533" s="2" t="str">
        <x:v>L1_numeric_partition_qualified_not_national_completeness</x:v>
      </x:c>
      <x:c r="R1533" s="2" t="str">
        <x:v>L1_numeric_partition_qualified_not_national_completeness</x:v>
      </x:c>
      <x:c r="S1533" s="2" t="str">
        <x:v>historical_GHSL_BU_estimate</x:v>
      </x:c>
      <x:c r="T1533" s="2" t="str">
        <x:v>projected_CRISP_BU_surface</x:v>
      </x:c>
      <x:c r="U1533" s="2" t="str">
        <x:v>GFA growth versus source physical quantity growth; constant conversion required for equality</x:v>
      </x:c>
      <x:c r="V1533" s="2" t="str">
        <x:v>Future horizontal path is already a v16 driver; WUP historical surface derives from GHSL</x:v>
      </x:c>
      <x:c r="W1533" s="2" t="str">
        <x:v>https://human-settlement.emergency.copernicus.eu/datasets.php</x:v>
      </x:c>
    </x:row>
    <x:row r="1534" ht="23" customHeight="1">
      <x:c r="A1534" s="2" t="str">
        <x:v>SUR</x:v>
      </x:c>
      <x:c r="B1534" s="2" t="str">
        <x:v>Suriname (Republic of)</x:v>
      </x:c>
      <x:c r="C1534" s="2" t="str">
        <x:v>WUP_SURFACE</x:v>
      </x:c>
      <x:c r="D1534" s="2" t="n">
        <x:v>2020</x:v>
      </x:c>
      <x:c r="E1534" s="2" t="n">
        <x:v>2030</x:v>
      </x:c>
      <x:c r="F1534" s="17" t="n">
        <x:v>50598825.22000002</x:v>
      </x:c>
      <x:c r="G1534" s="17" t="n">
        <x:v>59067582.581919834</x:v>
      </x:c>
      <x:c r="H1534" s="17" t="n">
        <x:v>71550729.04333702</x:v>
      </x:c>
      <x:c r="I1534" s="17" t="n">
        <x:v>83284526.3141462</x:v>
      </x:c>
      <x:c r="J1534" s="2" t="str">
        <x:v>m2</x:v>
      </x:c>
      <x:c r="K1534" s="15" t="n">
        <x:f>IF(AND(ISNUMBER(F1534),ISNUMBER(G1534),F1534&gt;0),G1534/F1534-1,"n.a.")</x:f>
        <x:v>0.16737063212630465</x:v>
      </x:c>
      <x:c r="L1534" s="15" t="n">
        <x:f>IF(AND(N1534,ISNUMBER(H1534),ISNUMBER(I1534),H1534&gt;0),I1534/H1534-1,"n.a.")</x:f>
        <x:v>0.16399270039166525</x:v>
      </x:c>
      <x:c r="M1534" s="20" t="n">
        <x:f>IF(AND(ISNUMBER(K1534),ISNUMBER(L1534)),100*(K1534-L1534),"n.a.")</x:f>
        <x:v>0.33779317346394055</x:v>
      </x:c>
      <x:c r="N1534" s="13" t="b">
        <x:v>1</x:v>
      </x:c>
      <x:c r="O1534" s="13" t="b">
        <x:v>1</x:v>
      </x:c>
      <x:c r="P1534" s="13" t="b">
        <x:v>0</x:v>
      </x:c>
      <x:c r="Q1534" s="2" t="str">
        <x:v>L1_numeric_partition_qualified_not_national_completeness</x:v>
      </x:c>
      <x:c r="R1534" s="2" t="str">
        <x:v>L1_numeric_partition_qualified_not_national_completeness</x:v>
      </x:c>
      <x:c r="S1534" s="2" t="str">
        <x:v>historical_GHSL_BU_estimate</x:v>
      </x:c>
      <x:c r="T1534" s="2" t="str">
        <x:v>projected_CRISP_BU_surface</x:v>
      </x:c>
      <x:c r="U1534" s="2" t="str">
        <x:v>GFA growth versus source physical quantity growth; constant conversion required for equality</x:v>
      </x:c>
      <x:c r="V1534" s="2" t="str">
        <x:v>Future horizontal path is already a v16 driver; WUP historical surface derives from GHSL</x:v>
      </x:c>
      <x:c r="W1534" s="2" t="str">
        <x:v>https://human-settlement.emergency.copernicus.eu/datasets.php</x:v>
      </x:c>
    </x:row>
    <x:row r="1535" ht="23" customHeight="1">
      <x:c r="A1535" s="2" t="str">
        <x:v>SVK</x:v>
      </x:c>
      <x:c r="B1535" s="2" t="str">
        <x:v>Slovakia (Slovak Republic)</x:v>
      </x:c>
      <x:c r="C1535" s="2" t="str">
        <x:v>WUP_SURFACE</x:v>
      </x:c>
      <x:c r="D1535" s="2" t="n">
        <x:v>2020</x:v>
      </x:c>
      <x:c r="E1535" s="2" t="n">
        <x:v>2030</x:v>
      </x:c>
      <x:c r="F1535" s="17" t="n">
        <x:v>391189188.0500002</x:v>
      </x:c>
      <x:c r="G1535" s="17" t="n">
        <x:v>460943670.9985309</x:v>
      </x:c>
      <x:c r="H1535" s="17" t="n">
        <x:v>675187190.6212317</x:v>
      </x:c>
      <x:c r="I1535" s="17" t="n">
        <x:v>793532656.8836509</x:v>
      </x:c>
      <x:c r="J1535" s="2" t="str">
        <x:v>m2</x:v>
      </x:c>
      <x:c r="K1535" s="15" t="n">
        <x:f>IF(AND(ISNUMBER(F1535),ISNUMBER(G1535),F1535&gt;0),G1535/F1535-1,"n.a.")</x:f>
        <x:v>0.17831393371642723</x:v>
      </x:c>
      <x:c r="L1535" s="15" t="n">
        <x:f>IF(AND(N1535,ISNUMBER(H1535),ISNUMBER(I1535),H1535&gt;0),I1535/H1535-1,"n.a.")</x:f>
        <x:v>0.17527800868605192</x:v>
      </x:c>
      <x:c r="M1535" s="20" t="n">
        <x:f>IF(AND(ISNUMBER(K1535),ISNUMBER(L1535)),100*(K1535-L1535),"n.a.")</x:f>
        <x:v>0.3035925030375308</x:v>
      </x:c>
      <x:c r="N1535" s="13" t="b">
        <x:v>1</x:v>
      </x:c>
      <x:c r="O1535" s="13" t="b">
        <x:v>1</x:v>
      </x:c>
      <x:c r="P1535" s="13" t="b">
        <x:v>0</x:v>
      </x:c>
      <x:c r="Q1535" s="2" t="str">
        <x:v>L1_numeric_partition_qualified_not_national_completeness</x:v>
      </x:c>
      <x:c r="R1535" s="2" t="str">
        <x:v>L1_numeric_partition_qualified_not_national_completeness</x:v>
      </x:c>
      <x:c r="S1535" s="2" t="str">
        <x:v>historical_GHSL_BU_estimate</x:v>
      </x:c>
      <x:c r="T1535" s="2" t="str">
        <x:v>projected_CRISP_BU_surface</x:v>
      </x:c>
      <x:c r="U1535" s="2" t="str">
        <x:v>GFA growth versus source physical quantity growth; constant conversion required for equality</x:v>
      </x:c>
      <x:c r="V1535" s="2" t="str">
        <x:v>Future horizontal path is already a v16 driver; WUP historical surface derives from GHSL</x:v>
      </x:c>
      <x:c r="W1535" s="2" t="str">
        <x:v>https://human-settlement.emergency.copernicus.eu/datasets.php</x:v>
      </x:c>
    </x:row>
    <x:row r="1536" ht="23" customHeight="1">
      <x:c r="A1536" s="2" t="str">
        <x:v>SVN</x:v>
      </x:c>
      <x:c r="B1536" s="2" t="str">
        <x:v>Slovenia (Republic of)</x:v>
      </x:c>
      <x:c r="C1536" s="2" t="str">
        <x:v>WUP_SURFACE</x:v>
      </x:c>
      <x:c r="D1536" s="2" t="n">
        <x:v>2020</x:v>
      </x:c>
      <x:c r="E1536" s="2" t="n">
        <x:v>2030</x:v>
      </x:c>
      <x:c r="F1536" s="17" t="n">
        <x:v>188783306.59000015</x:v>
      </x:c>
      <x:c r="G1536" s="17" t="n">
        <x:v>224146302.30487806</x:v>
      </x:c>
      <x:c r="H1536" s="17" t="n">
        <x:v>257007811.99404934</x:v>
      </x:c>
      <x:c r="I1536" s="17" t="n">
        <x:v>303709462.57729256</x:v>
      </x:c>
      <x:c r="J1536" s="2" t="str">
        <x:v>m2</x:v>
      </x:c>
      <x:c r="K1536" s="15" t="n">
        <x:f>IF(AND(ISNUMBER(F1536),ISNUMBER(G1536),F1536&gt;0),G1536/F1536-1,"n.a.")</x:f>
        <x:v>0.18732056532773478</x:v>
      </x:c>
      <x:c r="L1536" s="15" t="n">
        <x:f>IF(AND(N1536,ISNUMBER(H1536),ISNUMBER(I1536),H1536&gt;0),I1536/H1536-1,"n.a.")</x:f>
        <x:v>0.18171296125552994</x:v>
      </x:c>
      <x:c r="M1536" s="20" t="n">
        <x:f>IF(AND(ISNUMBER(K1536),ISNUMBER(L1536)),100*(K1536-L1536),"n.a.")</x:f>
        <x:v>0.5607604072204841</x:v>
      </x:c>
      <x:c r="N1536" s="13" t="b">
        <x:v>1</x:v>
      </x:c>
      <x:c r="O1536" s="13" t="b">
        <x:v>1</x:v>
      </x:c>
      <x:c r="P1536" s="13" t="b">
        <x:v>0</x:v>
      </x:c>
      <x:c r="Q1536" s="2" t="str">
        <x:v>L1_numeric_partition_qualified_not_national_completeness</x:v>
      </x:c>
      <x:c r="R1536" s="2" t="str">
        <x:v>L1_numeric_partition_qualified_not_national_completeness</x:v>
      </x:c>
      <x:c r="S1536" s="2" t="str">
        <x:v>historical_GHSL_BU_estimate</x:v>
      </x:c>
      <x:c r="T1536" s="2" t="str">
        <x:v>projected_CRISP_BU_surface</x:v>
      </x:c>
      <x:c r="U1536" s="2" t="str">
        <x:v>GFA growth versus source physical quantity growth; constant conversion required for equality</x:v>
      </x:c>
      <x:c r="V1536" s="2" t="str">
        <x:v>Future horizontal path is already a v16 driver; WUP historical surface derives from GHSL</x:v>
      </x:c>
      <x:c r="W1536" s="2" t="str">
        <x:v>https://human-settlement.emergency.copernicus.eu/datasets.php</x:v>
      </x:c>
    </x:row>
    <x:row r="1537" ht="23" customHeight="1">
      <x:c r="A1537" s="2" t="str">
        <x:v>SWE</x:v>
      </x:c>
      <x:c r="B1537" s="2" t="str">
        <x:v>Sweden (Kingdom of)</x:v>
      </x:c>
      <x:c r="C1537" s="2" t="str">
        <x:v>WUP_SURFACE</x:v>
      </x:c>
      <x:c r="D1537" s="2" t="n">
        <x:v>2020</x:v>
      </x:c>
      <x:c r="E1537" s="2" t="n">
        <x:v>2030</x:v>
      </x:c>
      <x:c r="F1537" s="17" t="n">
        <x:v>860750073.0500002</x:v>
      </x:c>
      <x:c r="G1537" s="17" t="n">
        <x:v>1203131781.7189007</x:v>
      </x:c>
      <x:c r="H1537" s="17" t="n">
        <x:v>922063838.942528</x:v>
      </x:c>
      <x:c r="I1537" s="17" t="n">
        <x:v>1282061834.4428127</x:v>
      </x:c>
      <x:c r="J1537" s="2" t="str">
        <x:v>m2</x:v>
      </x:c>
      <x:c r="K1537" s="15" t="n">
        <x:f>IF(AND(ISNUMBER(F1537),ISNUMBER(G1537),F1537&gt;0),G1537/F1537-1,"n.a.")</x:f>
        <x:v>0.3977713384974779</x:v>
      </x:c>
      <x:c r="L1537" s="15" t="n">
        <x:f>IF(AND(N1537,ISNUMBER(H1537),ISNUMBER(I1537),H1537&gt;0),I1537/H1537-1,"n.a.")</x:f>
        <x:v>0.390426324399783</x:v>
      </x:c>
      <x:c r="M1537" s="20" t="n">
        <x:f>IF(AND(ISNUMBER(K1537),ISNUMBER(L1537)),100*(K1537-L1537),"n.a.")</x:f>
        <x:v>0.7345014097694946</x:v>
      </x:c>
      <x:c r="N1537" s="13" t="b">
        <x:v>1</x:v>
      </x:c>
      <x:c r="O1537" s="13" t="b">
        <x:v>1</x:v>
      </x:c>
      <x:c r="P1537" s="13" t="b">
        <x:v>0</x:v>
      </x:c>
      <x:c r="Q1537" s="2" t="str">
        <x:v>L1_numeric_partition_qualified_not_national_completeness</x:v>
      </x:c>
      <x:c r="R1537" s="2" t="str">
        <x:v>L1_numeric_partition_qualified_not_national_completeness</x:v>
      </x:c>
      <x:c r="S1537" s="2" t="str">
        <x:v>historical_GHSL_BU_estimate</x:v>
      </x:c>
      <x:c r="T1537" s="2" t="str">
        <x:v>projected_CRISP_BU_surface</x:v>
      </x:c>
      <x:c r="U1537" s="2" t="str">
        <x:v>GFA growth versus source physical quantity growth; constant conversion required for equality</x:v>
      </x:c>
      <x:c r="V1537" s="2" t="str">
        <x:v>Future horizontal path is already a v16 driver; WUP historical surface derives from GHSL</x:v>
      </x:c>
      <x:c r="W1537" s="2" t="str">
        <x:v>https://human-settlement.emergency.copernicus.eu/datasets.php</x:v>
      </x:c>
    </x:row>
    <x:row r="1538" ht="23" customHeight="1">
      <x:c r="A1538" s="2" t="str">
        <x:v>SWZ</x:v>
      </x:c>
      <x:c r="B1538" s="2" t="str">
        <x:v>Eswatini (Kingdom of)</x:v>
      </x:c>
      <x:c r="C1538" s="2" t="str">
        <x:v>WUP_SURFACE</x:v>
      </x:c>
      <x:c r="D1538" s="2" t="n">
        <x:v>2020</x:v>
      </x:c>
      <x:c r="E1538" s="2" t="n">
        <x:v>2030</x:v>
      </x:c>
      <x:c r="F1538" s="17" t="n">
        <x:v>51228621.629999995</x:v>
      </x:c>
      <x:c r="G1538" s="17" t="n">
        <x:v>57069144.55521089</x:v>
      </x:c>
      <x:c r="H1538" s="17" t="n">
        <x:v>159921158.14358234</x:v>
      </x:c>
      <x:c r="I1538" s="17" t="n">
        <x:v>177043591.01146507</x:v>
      </x:c>
      <x:c r="J1538" s="2" t="str">
        <x:v>m2</x:v>
      </x:c>
      <x:c r="K1538" s="15" t="n">
        <x:f>IF(AND(ISNUMBER(F1538),ISNUMBER(G1538),F1538&gt;0),G1538/F1538-1,"n.a.")</x:f>
        <x:v>0.11400898051472508</x:v>
      </x:c>
      <x:c r="L1538" s="15" t="n">
        <x:f>IF(AND(N1538,ISNUMBER(H1538),ISNUMBER(I1538),H1538&gt;0),I1538/H1538-1,"n.a.")</x:f>
        <x:v>0.10706796440599597</x:v>
      </x:c>
      <x:c r="M1538" s="20" t="n">
        <x:f>IF(AND(ISNUMBER(K1538),ISNUMBER(L1538)),100*(K1538-L1538),"n.a.")</x:f>
        <x:v>0.6941016108729103</x:v>
      </x:c>
      <x:c r="N1538" s="13" t="b">
        <x:v>1</x:v>
      </x:c>
      <x:c r="O1538" s="13" t="b">
        <x:v>1</x:v>
      </x:c>
      <x:c r="P1538" s="13" t="b">
        <x:v>0</x:v>
      </x:c>
      <x:c r="Q1538" s="2" t="str">
        <x:v>L1_numeric_partition_qualified_not_national_completeness</x:v>
      </x:c>
      <x:c r="R1538" s="2" t="str">
        <x:v>L1_numeric_partition_qualified_not_national_completeness</x:v>
      </x:c>
      <x:c r="S1538" s="2" t="str">
        <x:v>historical_GHSL_BU_estimate</x:v>
      </x:c>
      <x:c r="T1538" s="2" t="str">
        <x:v>projected_CRISP_BU_surface</x:v>
      </x:c>
      <x:c r="U1538" s="2" t="str">
        <x:v>GFA growth versus source physical quantity growth; constant conversion required for equality</x:v>
      </x:c>
      <x:c r="V1538" s="2" t="str">
        <x:v>Future horizontal path is already a v16 driver; WUP historical surface derives from GHSL</x:v>
      </x:c>
      <x:c r="W1538" s="2" t="str">
        <x:v>https://human-settlement.emergency.copernicus.eu/datasets.php</x:v>
      </x:c>
    </x:row>
    <x:row r="1539" ht="23" customHeight="1">
      <x:c r="A1539" s="2" t="str">
        <x:v>SYC</x:v>
      </x:c>
      <x:c r="B1539" s="2" t="str">
        <x:v>Seychelles (Republic of)</x:v>
      </x:c>
      <x:c r="C1539" s="2" t="str">
        <x:v>WUP_SURFACE</x:v>
      </x:c>
      <x:c r="D1539" s="2" t="n">
        <x:v>2020</x:v>
      </x:c>
      <x:c r="E1539" s="2" t="n">
        <x:v>2030</x:v>
      </x:c>
      <x:c r="F1539" s="17" t="n">
        <x:v>7317572.880000001</x:v>
      </x:c>
      <x:c r="G1539" s="17" t="n">
        <x:v>9670071.712016165</x:v>
      </x:c>
      <x:c r="H1539" s="17" t="n">
        <x:v>5511621.986451587</x:v>
      </x:c>
      <x:c r="I1539" s="17" t="n">
        <x:v>7239713.209172919</x:v>
      </x:c>
      <x:c r="J1539" s="2" t="str">
        <x:v>m2</x:v>
      </x:c>
      <x:c r="K1539" s="15" t="n">
        <x:f>IF(AND(ISNUMBER(F1539),ISNUMBER(G1539),F1539&gt;0),G1539/F1539-1,"n.a.")</x:f>
        <x:v>0.32148621825768053</x:v>
      </x:c>
      <x:c r="L1539" s="15" t="n">
        <x:f>IF(AND(N1539,ISNUMBER(H1539),ISNUMBER(I1539),H1539&gt;0),I1539/H1539-1,"n.a.")</x:f>
        <x:v>0.3135358750961599</x:v>
      </x:c>
      <x:c r="M1539" s="20" t="n">
        <x:f>IF(AND(ISNUMBER(K1539),ISNUMBER(L1539)),100*(K1539-L1539),"n.a.")</x:f>
        <x:v>0.7950343161520657</x:v>
      </x:c>
      <x:c r="N1539" s="13" t="b">
        <x:v>1</x:v>
      </x:c>
      <x:c r="O1539" s="13" t="b">
        <x:v>1</x:v>
      </x:c>
      <x:c r="P1539" s="13" t="b">
        <x:v>0</x:v>
      </x:c>
      <x:c r="Q1539" s="2" t="str">
        <x:v>L1_numeric_partition_qualified_not_national_completeness</x:v>
      </x:c>
      <x:c r="R1539" s="2" t="str">
        <x:v>L1_numeric_partition_qualified_not_national_completeness</x:v>
      </x:c>
      <x:c r="S1539" s="2" t="str">
        <x:v>historical_GHSL_BU_estimate</x:v>
      </x:c>
      <x:c r="T1539" s="2" t="str">
        <x:v>projected_CRISP_BU_surface</x:v>
      </x:c>
      <x:c r="U1539" s="2" t="str">
        <x:v>GFA growth versus source physical quantity growth; constant conversion required for equality</x:v>
      </x:c>
      <x:c r="V1539" s="2" t="str">
        <x:v>Future horizontal path is already a v16 driver; WUP historical surface derives from GHSL</x:v>
      </x:c>
      <x:c r="W1539" s="2" t="str">
        <x:v>https://human-settlement.emergency.copernicus.eu/datasets.php</x:v>
      </x:c>
    </x:row>
    <x:row r="1540" ht="23" customHeight="1">
      <x:c r="A1540" s="2" t="str">
        <x:v>SYR</x:v>
      </x:c>
      <x:c r="B1540" s="2" t="str">
        <x:v>Syrian Arab Republic</x:v>
      </x:c>
      <x:c r="C1540" s="2" t="str">
        <x:v>WUP_SURFACE</x:v>
      </x:c>
      <x:c r="D1540" s="2" t="n">
        <x:v>2020</x:v>
      </x:c>
      <x:c r="E1540" s="2" t="n">
        <x:v>2030</x:v>
      </x:c>
      <x:c r="F1540" s="17" t="n">
        <x:v>795482211.65</x:v>
      </x:c>
      <x:c r="G1540" s="17" t="n">
        <x:v>1121009645.7640297</x:v>
      </x:c>
      <x:c r="H1540" s="17" t="n">
        <x:v>966625815.5891018</x:v>
      </x:c>
      <x:c r="I1540" s="17" t="n">
        <x:v>1353534671.6208189</x:v>
      </x:c>
      <x:c r="J1540" s="2" t="str">
        <x:v>m2</x:v>
      </x:c>
      <x:c r="K1540" s="15" t="n">
        <x:f>IF(AND(ISNUMBER(F1540),ISNUMBER(G1540),F1540&gt;0),G1540/F1540-1,"n.a.")</x:f>
        <x:v>0.4092202557726794</x:v>
      </x:c>
      <x:c r="L1540" s="15" t="n">
        <x:f>IF(AND(N1540,ISNUMBER(H1540),ISNUMBER(I1540),H1540&gt;0),I1540/H1540-1,"n.a.")</x:f>
        <x:v>0.4002674559192472</x:v>
      </x:c>
      <x:c r="M1540" s="20" t="n">
        <x:f>IF(AND(ISNUMBER(K1540),ISNUMBER(L1540)),100*(K1540-L1540),"n.a.")</x:f>
        <x:v>0.8952799853432225</x:v>
      </x:c>
      <x:c r="N1540" s="13" t="b">
        <x:v>1</x:v>
      </x:c>
      <x:c r="O1540" s="13" t="b">
        <x:v>1</x:v>
      </x:c>
      <x:c r="P1540" s="13" t="b">
        <x:v>0</x:v>
      </x:c>
      <x:c r="Q1540" s="2" t="str">
        <x:v>L1_numeric_partition_qualified_not_national_completeness</x:v>
      </x:c>
      <x:c r="R1540" s="2" t="str">
        <x:v>L1_numeric_partition_qualified_not_national_completeness</x:v>
      </x:c>
      <x:c r="S1540" s="2" t="str">
        <x:v>historical_GHSL_BU_estimate</x:v>
      </x:c>
      <x:c r="T1540" s="2" t="str">
        <x:v>projected_CRISP_BU_surface</x:v>
      </x:c>
      <x:c r="U1540" s="2" t="str">
        <x:v>GFA growth versus source physical quantity growth; constant conversion required for equality</x:v>
      </x:c>
      <x:c r="V1540" s="2" t="str">
        <x:v>Future horizontal path is already a v16 driver; WUP historical surface derives from GHSL</x:v>
      </x:c>
      <x:c r="W1540" s="2" t="str">
        <x:v>https://human-settlement.emergency.copernicus.eu/datasets.php</x:v>
      </x:c>
    </x:row>
    <x:row r="1541" ht="23" customHeight="1">
      <x:c r="A1541" s="2" t="str">
        <x:v>TCD</x:v>
      </x:c>
      <x:c r="B1541" s="2" t="str">
        <x:v>Chad (Republic of)</x:v>
      </x:c>
      <x:c r="C1541" s="2" t="str">
        <x:v>WUP_SURFACE</x:v>
      </x:c>
      <x:c r="D1541" s="2" t="n">
        <x:v>2020</x:v>
      </x:c>
      <x:c r="E1541" s="2" t="n">
        <x:v>2030</x:v>
      </x:c>
      <x:c r="F1541" s="17" t="n">
        <x:v>126450494.21999988</x:v>
      </x:c>
      <x:c r="G1541" s="17" t="n">
        <x:v>186494469.91657725</x:v>
      </x:c>
      <x:c r="H1541" s="17" t="n">
        <x:v>555204347.0216299</x:v>
      </x:c>
      <x:c r="I1541" s="17" t="n">
        <x:v>813082432.4627109</x:v>
      </x:c>
      <x:c r="J1541" s="2" t="str">
        <x:v>m2</x:v>
      </x:c>
      <x:c r="K1541" s="15" t="n">
        <x:f>IF(AND(ISNUMBER(F1541),ISNUMBER(G1541),F1541&gt;0),G1541/F1541-1,"n.a.")</x:f>
        <x:v>0.47484176370328957</x:v>
      </x:c>
      <x:c r="L1541" s="15" t="n">
        <x:f>IF(AND(N1541,ISNUMBER(H1541),ISNUMBER(I1541),H1541&gt;0),I1541/H1541-1,"n.a.")</x:f>
        <x:v>0.46447418292824416</x:v>
      </x:c>
      <x:c r="M1541" s="20" t="n">
        <x:f>IF(AND(ISNUMBER(K1541),ISNUMBER(L1541)),100*(K1541-L1541),"n.a.")</x:f>
        <x:v>1.0367580775045404</x:v>
      </x:c>
      <x:c r="N1541" s="13" t="b">
        <x:v>1</x:v>
      </x:c>
      <x:c r="O1541" s="13" t="b">
        <x:v>1</x:v>
      </x:c>
      <x:c r="P1541" s="13" t="b">
        <x:v>0</x:v>
      </x:c>
      <x:c r="Q1541" s="2" t="str">
        <x:v>L1_numeric_partition_qualified_not_national_completeness</x:v>
      </x:c>
      <x:c r="R1541" s="2" t="str">
        <x:v>L1_numeric_partition_qualified_not_national_completeness</x:v>
      </x:c>
      <x:c r="S1541" s="2" t="str">
        <x:v>historical_GHSL_BU_estimate</x:v>
      </x:c>
      <x:c r="T1541" s="2" t="str">
        <x:v>projected_CRISP_BU_surface</x:v>
      </x:c>
      <x:c r="U1541" s="2" t="str">
        <x:v>GFA growth versus source physical quantity growth; constant conversion required for equality</x:v>
      </x:c>
      <x:c r="V1541" s="2" t="str">
        <x:v>Future horizontal path is already a v16 driver; WUP historical surface derives from GHSL</x:v>
      </x:c>
      <x:c r="W1541" s="2" t="str">
        <x:v>https://human-settlement.emergency.copernicus.eu/datasets.php</x:v>
      </x:c>
    </x:row>
    <x:row r="1542" ht="23" customHeight="1">
      <x:c r="A1542" s="2" t="str">
        <x:v>TGO</x:v>
      </x:c>
      <x:c r="B1542" s="2" t="str">
        <x:v>Togo (Togolese Republic)</x:v>
      </x:c>
      <x:c r="C1542" s="2" t="str">
        <x:v>WUP_SURFACE</x:v>
      </x:c>
      <x:c r="D1542" s="2" t="n">
        <x:v>2020</x:v>
      </x:c>
      <x:c r="E1542" s="2" t="n">
        <x:v>2030</x:v>
      </x:c>
      <x:c r="F1542" s="17" t="n">
        <x:v>185693532.7300002</x:v>
      </x:c>
      <x:c r="G1542" s="17" t="n">
        <x:v>241496721.85921732</x:v>
      </x:c>
      <x:c r="H1542" s="17" t="n">
        <x:v>470326535.96646696</x:v>
      </x:c>
      <x:c r="I1542" s="17" t="n">
        <x:v>608591584.0746789</x:v>
      </x:c>
      <x:c r="J1542" s="2" t="str">
        <x:v>m2</x:v>
      </x:c>
      <x:c r="K1542" s="15" t="n">
        <x:f>IF(AND(ISNUMBER(F1542),ISNUMBER(G1542),F1542&gt;0),G1542/F1542-1,"n.a.")</x:f>
        <x:v>0.30051229199433327</x:v>
      </x:c>
      <x:c r="L1542" s="15" t="n">
        <x:f>IF(AND(N1542,ISNUMBER(H1542),ISNUMBER(I1542),H1542&gt;0),I1542/H1542-1,"n.a.")</x:f>
        <x:v>0.29397671093359246</x:v>
      </x:c>
      <x:c r="M1542" s="20" t="n">
        <x:f>IF(AND(ISNUMBER(K1542),ISNUMBER(L1542)),100*(K1542-L1542),"n.a.")</x:f>
        <x:v>0.6535581060740814</x:v>
      </x:c>
      <x:c r="N1542" s="13" t="b">
        <x:v>1</x:v>
      </x:c>
      <x:c r="O1542" s="13" t="b">
        <x:v>1</x:v>
      </x:c>
      <x:c r="P1542" s="13" t="b">
        <x:v>0</x:v>
      </x:c>
      <x:c r="Q1542" s="2" t="str">
        <x:v>L1_numeric_partition_qualified_not_national_completeness</x:v>
      </x:c>
      <x:c r="R1542" s="2" t="str">
        <x:v>L1_numeric_partition_qualified_not_national_completeness</x:v>
      </x:c>
      <x:c r="S1542" s="2" t="str">
        <x:v>historical_GHSL_BU_estimate</x:v>
      </x:c>
      <x:c r="T1542" s="2" t="str">
        <x:v>projected_CRISP_BU_surface</x:v>
      </x:c>
      <x:c r="U1542" s="2" t="str">
        <x:v>GFA growth versus source physical quantity growth; constant conversion required for equality</x:v>
      </x:c>
      <x:c r="V1542" s="2" t="str">
        <x:v>Future horizontal path is already a v16 driver; WUP historical surface derives from GHSL</x:v>
      </x:c>
      <x:c r="W1542" s="2" t="str">
        <x:v>https://human-settlement.emergency.copernicus.eu/datasets.php</x:v>
      </x:c>
    </x:row>
    <x:row r="1543" ht="23" customHeight="1">
      <x:c r="A1543" s="2" t="str">
        <x:v>THA</x:v>
      </x:c>
      <x:c r="B1543" s="2" t="str">
        <x:v>Thailand (Kingdom of)</x:v>
      </x:c>
      <x:c r="C1543" s="2" t="str">
        <x:v>WUP_SURFACE</x:v>
      </x:c>
      <x:c r="D1543" s="2" t="n">
        <x:v>2020</x:v>
      </x:c>
      <x:c r="E1543" s="2" t="n">
        <x:v>2030</x:v>
      </x:c>
      <x:c r="F1543" s="17" t="n">
        <x:v>5229846890.149993</x:v>
      </x:c>
      <x:c r="G1543" s="17" t="n">
        <x:v>5806917831.244633</x:v>
      </x:c>
      <x:c r="H1543" s="17" t="n">
        <x:v>6720698354.65762</x:v>
      </x:c>
      <x:c r="I1543" s="17" t="n">
        <x:v>7429676253.228908</x:v>
      </x:c>
      <x:c r="J1543" s="2" t="str">
        <x:v>m2</x:v>
      </x:c>
      <x:c r="K1543" s="15" t="n">
        <x:f>IF(AND(ISNUMBER(F1543),ISNUMBER(G1543),F1543&gt;0),G1543/F1543-1,"n.a.")</x:f>
        <x:v>0.1103418423551763</x:v>
      </x:c>
      <x:c r="L1543" s="15" t="n">
        <x:f>IF(AND(N1543,ISNUMBER(H1543),ISNUMBER(I1543),H1543&gt;0),I1543/H1543-1,"n.a.")</x:f>
        <x:v>0.10549170058792279</x:v>
      </x:c>
      <x:c r="M1543" s="20" t="n">
        <x:f>IF(AND(ISNUMBER(K1543),ISNUMBER(L1543)),100*(K1543-L1543),"n.a.")</x:f>
        <x:v>0.4850141767253513</x:v>
      </x:c>
      <x:c r="N1543" s="13" t="b">
        <x:v>1</x:v>
      </x:c>
      <x:c r="O1543" s="13" t="b">
        <x:v>1</x:v>
      </x:c>
      <x:c r="P1543" s="13" t="b">
        <x:v>0</x:v>
      </x:c>
      <x:c r="Q1543" s="2" t="str">
        <x:v>L1_numeric_partition_qualified_not_national_completeness</x:v>
      </x:c>
      <x:c r="R1543" s="2" t="str">
        <x:v>L1_numeric_partition_qualified_not_national_completeness</x:v>
      </x:c>
      <x:c r="S1543" s="2" t="str">
        <x:v>historical_GHSL_BU_estimate</x:v>
      </x:c>
      <x:c r="T1543" s="2" t="str">
        <x:v>projected_CRISP_BU_surface</x:v>
      </x:c>
      <x:c r="U1543" s="2" t="str">
        <x:v>GFA growth versus source physical quantity growth; constant conversion required for equality</x:v>
      </x:c>
      <x:c r="V1543" s="2" t="str">
        <x:v>Future horizontal path is already a v16 driver; WUP historical surface derives from GHSL</x:v>
      </x:c>
      <x:c r="W1543" s="2" t="str">
        <x:v>https://human-settlement.emergency.copernicus.eu/datasets.php</x:v>
      </x:c>
    </x:row>
    <x:row r="1544" ht="23" customHeight="1">
      <x:c r="A1544" s="2" t="str">
        <x:v>TJK</x:v>
      </x:c>
      <x:c r="B1544" s="2" t="str">
        <x:v>Tajikistan (Republic of)</x:v>
      </x:c>
      <x:c r="C1544" s="2" t="str">
        <x:v>WUP_SURFACE</x:v>
      </x:c>
      <x:c r="D1544" s="2" t="n">
        <x:v>2020</x:v>
      </x:c>
      <x:c r="E1544" s="2" t="n">
        <x:v>2030</x:v>
      </x:c>
      <x:c r="F1544" s="17" t="n">
        <x:v>392955797.9200004</x:v>
      </x:c>
      <x:c r="G1544" s="17" t="n">
        <x:v>487355770.45747185</x:v>
      </x:c>
      <x:c r="H1544" s="17" t="n">
        <x:v>729344216.843611</x:v>
      </x:c>
      <x:c r="I1544" s="17" t="n">
        <x:v>898767165.8420367</x:v>
      </x:c>
      <x:c r="J1544" s="2" t="str">
        <x:v>m2</x:v>
      </x:c>
      <x:c r="K1544" s="15" t="n">
        <x:f>IF(AND(ISNUMBER(F1544),ISNUMBER(G1544),F1544&gt;0),G1544/F1544-1,"n.a.")</x:f>
        <x:v>0.24023051202489154</x:v>
      </x:c>
      <x:c r="L1544" s="15" t="n">
        <x:f>IF(AND(N1544,ISNUMBER(H1544),ISNUMBER(I1544),H1544&gt;0),I1544/H1544-1,"n.a.")</x:f>
        <x:v>0.23229490970894218</x:v>
      </x:c>
      <x:c r="M1544" s="20" t="n">
        <x:f>IF(AND(ISNUMBER(K1544),ISNUMBER(L1544)),100*(K1544-L1544),"n.a.")</x:f>
        <x:v>0.7935602315949364</x:v>
      </x:c>
      <x:c r="N1544" s="13" t="b">
        <x:v>1</x:v>
      </x:c>
      <x:c r="O1544" s="13" t="b">
        <x:v>1</x:v>
      </x:c>
      <x:c r="P1544" s="13" t="b">
        <x:v>0</x:v>
      </x:c>
      <x:c r="Q1544" s="2" t="str">
        <x:v>L1_numeric_partition_qualified_not_national_completeness</x:v>
      </x:c>
      <x:c r="R1544" s="2" t="str">
        <x:v>L1_numeric_partition_qualified_not_national_completeness</x:v>
      </x:c>
      <x:c r="S1544" s="2" t="str">
        <x:v>historical_GHSL_BU_estimate</x:v>
      </x:c>
      <x:c r="T1544" s="2" t="str">
        <x:v>projected_CRISP_BU_surface</x:v>
      </x:c>
      <x:c r="U1544" s="2" t="str">
        <x:v>GFA growth versus source physical quantity growth; constant conversion required for equality</x:v>
      </x:c>
      <x:c r="V1544" s="2" t="str">
        <x:v>Future horizontal path is already a v16 driver; WUP historical surface derives from GHSL</x:v>
      </x:c>
      <x:c r="W1544" s="2" t="str">
        <x:v>https://human-settlement.emergency.copernicus.eu/datasets.php</x:v>
      </x:c>
    </x:row>
    <x:row r="1545" ht="23" customHeight="1">
      <x:c r="A1545" s="2" t="str">
        <x:v>TKM</x:v>
      </x:c>
      <x:c r="B1545" s="2" t="str">
        <x:v>Turkmenistan</x:v>
      </x:c>
      <x:c r="C1545" s="2" t="str">
        <x:v>WUP_SURFACE</x:v>
      </x:c>
      <x:c r="D1545" s="2" t="n">
        <x:v>2020</x:v>
      </x:c>
      <x:c r="E1545" s="2" t="n">
        <x:v>2030</x:v>
      </x:c>
      <x:c r="F1545" s="17" t="n">
        <x:v>359976676.1500005</x:v>
      </x:c>
      <x:c r="G1545" s="17" t="n">
        <x:v>427471210.54784304</x:v>
      </x:c>
      <x:c r="H1545" s="17" t="n">
        <x:v>756506146.8044217</x:v>
      </x:c>
      <x:c r="I1545" s="17" t="n">
        <x:v>891098070.5227518</x:v>
      </x:c>
      <x:c r="J1545" s="2" t="str">
        <x:v>m2</x:v>
      </x:c>
      <x:c r="K1545" s="15" t="n">
        <x:f>IF(AND(ISNUMBER(F1545),ISNUMBER(G1545),F1545&gt;0),G1545/F1545-1,"n.a.")</x:f>
        <x:v>0.18749696541371996</x:v>
      </x:c>
      <x:c r="L1545" s="15" t="n">
        <x:f>IF(AND(N1545,ISNUMBER(H1545),ISNUMBER(I1545),H1545&gt;0),I1545/H1545-1,"n.a.")</x:f>
        <x:v>0.17791253155954334</x:v>
      </x:c>
      <x:c r="M1545" s="20" t="n">
        <x:f>IF(AND(ISNUMBER(K1545),ISNUMBER(L1545)),100*(K1545-L1545),"n.a.")</x:f>
        <x:v>0.9584433854176622</x:v>
      </x:c>
      <x:c r="N1545" s="13" t="b">
        <x:v>1</x:v>
      </x:c>
      <x:c r="O1545" s="13" t="b">
        <x:v>1</x:v>
      </x:c>
      <x:c r="P1545" s="13" t="b">
        <x:v>0</x:v>
      </x:c>
      <x:c r="Q1545" s="2" t="str">
        <x:v>L1_numeric_partition_qualified_not_national_completeness</x:v>
      </x:c>
      <x:c r="R1545" s="2" t="str">
        <x:v>L1_numeric_partition_qualified_not_national_completeness</x:v>
      </x:c>
      <x:c r="S1545" s="2" t="str">
        <x:v>historical_GHSL_BU_estimate</x:v>
      </x:c>
      <x:c r="T1545" s="2" t="str">
        <x:v>projected_CRISP_BU_surface</x:v>
      </x:c>
      <x:c r="U1545" s="2" t="str">
        <x:v>GFA growth versus source physical quantity growth; constant conversion required for equality</x:v>
      </x:c>
      <x:c r="V1545" s="2" t="str">
        <x:v>Future horizontal path is already a v16 driver; WUP historical surface derives from GHSL</x:v>
      </x:c>
      <x:c r="W1545" s="2" t="str">
        <x:v>https://human-settlement.emergency.copernicus.eu/datasets.php</x:v>
      </x:c>
    </x:row>
    <x:row r="1546" ht="23" customHeight="1">
      <x:c r="A1546" s="2" t="str">
        <x:v>TLS</x:v>
      </x:c>
      <x:c r="B1546" s="2" t="str">
        <x:v>Timor-Leste (Democratic Republic of)</x:v>
      </x:c>
      <x:c r="C1546" s="2" t="str">
        <x:v>WUP_SURFACE</x:v>
      </x:c>
      <x:c r="D1546" s="2" t="n">
        <x:v>2020</x:v>
      </x:c>
      <x:c r="E1546" s="2" t="n">
        <x:v>2030</x:v>
      </x:c>
      <x:c r="F1546" s="17" t="n">
        <x:v>41213693.90000002</x:v>
      </x:c>
      <x:c r="G1546" s="17" t="n">
        <x:v>54878498.68487422</x:v>
      </x:c>
      <x:c r="H1546" s="17" t="n">
        <x:v>50043573.01595746</x:v>
      </x:c>
      <x:c r="I1546" s="17" t="n">
        <x:v>66261455.183259726</x:v>
      </x:c>
      <x:c r="J1546" s="2" t="str">
        <x:v>m2</x:v>
      </x:c>
      <x:c r="K1546" s="15" t="n">
        <x:f>IF(AND(ISNUMBER(F1546),ISNUMBER(G1546),F1546&gt;0),G1546/F1546-1,"n.a.")</x:f>
        <x:v>0.33155981645397214</x:v>
      </x:c>
      <x:c r="L1546" s="15" t="n">
        <x:f>IF(AND(N1546,ISNUMBER(H1546),ISNUMBER(I1546),H1546&gt;0),I1546/H1546-1,"n.a.")</x:f>
        <x:v>0.3240752246473457</x:v>
      </x:c>
      <x:c r="M1546" s="20" t="n">
        <x:f>IF(AND(ISNUMBER(K1546),ISNUMBER(L1546)),100*(K1546-L1546),"n.a.")</x:f>
        <x:v>0.7484591806626417</x:v>
      </x:c>
      <x:c r="N1546" s="13" t="b">
        <x:v>1</x:v>
      </x:c>
      <x:c r="O1546" s="13" t="b">
        <x:v>1</x:v>
      </x:c>
      <x:c r="P1546" s="13" t="b">
        <x:v>0</x:v>
      </x:c>
      <x:c r="Q1546" s="2" t="str">
        <x:v>L1_numeric_partition_qualified_not_national_completeness</x:v>
      </x:c>
      <x:c r="R1546" s="2" t="str">
        <x:v>L1_numeric_partition_qualified_not_national_completeness</x:v>
      </x:c>
      <x:c r="S1546" s="2" t="str">
        <x:v>historical_GHSL_BU_estimate</x:v>
      </x:c>
      <x:c r="T1546" s="2" t="str">
        <x:v>projected_CRISP_BU_surface</x:v>
      </x:c>
      <x:c r="U1546" s="2" t="str">
        <x:v>GFA growth versus source physical quantity growth; constant conversion required for equality</x:v>
      </x:c>
      <x:c r="V1546" s="2" t="str">
        <x:v>Future horizontal path is already a v16 driver; WUP historical surface derives from GHSL</x:v>
      </x:c>
      <x:c r="W1546" s="2" t="str">
        <x:v>https://human-settlement.emergency.copernicus.eu/datasets.php</x:v>
      </x:c>
    </x:row>
    <x:row r="1547" ht="23" customHeight="1">
      <x:c r="A1547" s="2" t="str">
        <x:v>TON</x:v>
      </x:c>
      <x:c r="B1547" s="2" t="str">
        <x:v>Tonga (Kingdom of)</x:v>
      </x:c>
      <x:c r="C1547" s="2" t="str">
        <x:v>WUP_SURFACE</x:v>
      </x:c>
      <x:c r="D1547" s="2" t="n">
        <x:v>2020</x:v>
      </x:c>
      <x:c r="E1547" s="2" t="n">
        <x:v>2030</x:v>
      </x:c>
      <x:c r="F1547" s="17" t="n">
        <x:v>4719083.849999997</x:v>
      </x:c>
      <x:c r="G1547" s="17" t="n">
        <x:v>4983560.849101624</x:v>
      </x:c>
      <x:c r="H1547" s="17" t="n">
        <x:v>8585997.990630858</x:v>
      </x:c>
      <x:c r="I1547" s="17" t="n">
        <x:v>9057344.915245268</x:v>
      </x:c>
      <x:c r="J1547" s="2" t="str">
        <x:v>m2</x:v>
      </x:c>
      <x:c r="K1547" s="15" t="n">
        <x:f>IF(AND(ISNUMBER(F1547),ISNUMBER(G1547),F1547&gt;0),G1547/F1547-1,"n.a.")</x:f>
        <x:v>0.05604414066548702</x:v>
      </x:c>
      <x:c r="L1547" s="15" t="n">
        <x:f>IF(AND(N1547,ISNUMBER(H1547),ISNUMBER(I1547),H1547&gt;0),I1547/H1547-1,"n.a.")</x:f>
        <x:v>0.05489716223189789</x:v>
      </x:c>
      <x:c r="M1547" s="20" t="n">
        <x:f>IF(AND(ISNUMBER(K1547),ISNUMBER(L1547)),100*(K1547-L1547),"n.a.")</x:f>
        <x:v>0.11469784335891298</x:v>
      </x:c>
      <x:c r="N1547" s="13" t="b">
        <x:v>1</x:v>
      </x:c>
      <x:c r="O1547" s="13" t="b">
        <x:v>1</x:v>
      </x:c>
      <x:c r="P1547" s="13" t="b">
        <x:v>0</x:v>
      </x:c>
      <x:c r="Q1547" s="2" t="str">
        <x:v>L1_numeric_partition_qualified_not_national_completeness</x:v>
      </x:c>
      <x:c r="R1547" s="2" t="str">
        <x:v>L1_numeric_partition_qualified_not_national_completeness</x:v>
      </x:c>
      <x:c r="S1547" s="2" t="str">
        <x:v>historical_GHSL_BU_estimate</x:v>
      </x:c>
      <x:c r="T1547" s="2" t="str">
        <x:v>projected_CRISP_BU_surface</x:v>
      </x:c>
      <x:c r="U1547" s="2" t="str">
        <x:v>GFA growth versus source physical quantity growth; constant conversion required for equality</x:v>
      </x:c>
      <x:c r="V1547" s="2" t="str">
        <x:v>Future horizontal path is already a v16 driver; WUP historical surface derives from GHSL</x:v>
      </x:c>
      <x:c r="W1547" s="2" t="str">
        <x:v>https://human-settlement.emergency.copernicus.eu/datasets.php</x:v>
      </x:c>
    </x:row>
    <x:row r="1548" ht="23" customHeight="1">
      <x:c r="A1548" s="2" t="str">
        <x:v>TTO</x:v>
      </x:c>
      <x:c r="B1548" s="2" t="str">
        <x:v>Trinidad and Tobago (Republic of)</x:v>
      </x:c>
      <x:c r="C1548" s="2" t="str">
        <x:v>WUP_SURFACE</x:v>
      </x:c>
      <x:c r="D1548" s="2" t="n">
        <x:v>2020</x:v>
      </x:c>
      <x:c r="E1548" s="2" t="n">
        <x:v>2030</x:v>
      </x:c>
      <x:c r="F1548" s="17" t="n">
        <x:v>100480869.27000004</x:v>
      </x:c>
      <x:c r="G1548" s="17" t="n">
        <x:v>115279770.69010058</x:v>
      </x:c>
      <x:c r="H1548" s="17" t="n">
        <x:v>165736139.07806897</x:v>
      </x:c>
      <x:c r="I1548" s="17" t="n">
        <x:v>189591143.9300081</x:v>
      </x:c>
      <x:c r="J1548" s="2" t="str">
        <x:v>m2</x:v>
      </x:c>
      <x:c r="K1548" s="15" t="n">
        <x:f>IF(AND(ISNUMBER(F1548),ISNUMBER(G1548),F1548&gt;0),G1548/F1548-1,"n.a.")</x:f>
        <x:v>0.1472807861597487</x:v>
      </x:c>
      <x:c r="L1548" s="15" t="n">
        <x:f>IF(AND(N1548,ISNUMBER(H1548),ISNUMBER(I1548),H1548&gt;0),I1548/H1548-1,"n.a.")</x:f>
        <x:v>0.14393363441815432</x:v>
      </x:c>
      <x:c r="M1548" s="20" t="n">
        <x:f>IF(AND(ISNUMBER(K1548),ISNUMBER(L1548)),100*(K1548-L1548),"n.a.")</x:f>
        <x:v>0.33471517415943897</x:v>
      </x:c>
      <x:c r="N1548" s="13" t="b">
        <x:v>1</x:v>
      </x:c>
      <x:c r="O1548" s="13" t="b">
        <x:v>1</x:v>
      </x:c>
      <x:c r="P1548" s="13" t="b">
        <x:v>0</x:v>
      </x:c>
      <x:c r="Q1548" s="2" t="str">
        <x:v>L1_numeric_partition_qualified_not_national_completeness</x:v>
      </x:c>
      <x:c r="R1548" s="2" t="str">
        <x:v>L1_numeric_partition_qualified_not_national_completeness</x:v>
      </x:c>
      <x:c r="S1548" s="2" t="str">
        <x:v>historical_GHSL_BU_estimate</x:v>
      </x:c>
      <x:c r="T1548" s="2" t="str">
        <x:v>projected_CRISP_BU_surface</x:v>
      </x:c>
      <x:c r="U1548" s="2" t="str">
        <x:v>GFA growth versus source physical quantity growth; constant conversion required for equality</x:v>
      </x:c>
      <x:c r="V1548" s="2" t="str">
        <x:v>Future horizontal path is already a v16 driver; WUP historical surface derives from GHSL</x:v>
      </x:c>
      <x:c r="W1548" s="2" t="str">
        <x:v>https://human-settlement.emergency.copernicus.eu/datasets.php</x:v>
      </x:c>
    </x:row>
    <x:row r="1549" ht="23" customHeight="1">
      <x:c r="A1549" s="2" t="str">
        <x:v>TUN</x:v>
      </x:c>
      <x:c r="B1549" s="2" t="str">
        <x:v>Tunisia (Republic of)</x:v>
      </x:c>
      <x:c r="C1549" s="2" t="str">
        <x:v>WUP_SURFACE</x:v>
      </x:c>
      <x:c r="D1549" s="2" t="n">
        <x:v>2020</x:v>
      </x:c>
      <x:c r="E1549" s="2" t="n">
        <x:v>2030</x:v>
      </x:c>
      <x:c r="F1549" s="17" t="n">
        <x:v>649171642.779999</x:v>
      </x:c>
      <x:c r="G1549" s="17" t="n">
        <x:v>748805354.235001</x:v>
      </x:c>
      <x:c r="H1549" s="17" t="n">
        <x:v>1138292407.080182</x:v>
      </x:c>
      <x:c r="I1549" s="17" t="n">
        <x:v>1306923896.3508365</x:v>
      </x:c>
      <x:c r="J1549" s="2" t="str">
        <x:v>m2</x:v>
      </x:c>
      <x:c r="K1549" s="15" t="n">
        <x:f>IF(AND(ISNUMBER(F1549),ISNUMBER(G1549),F1549&gt;0),G1549/F1549-1,"n.a.")</x:f>
        <x:v>0.15347822500122255</x:v>
      </x:c>
      <x:c r="L1549" s="15" t="n">
        <x:f>IF(AND(N1549,ISNUMBER(H1549),ISNUMBER(I1549),H1549&gt;0),I1549/H1549-1,"n.a.")</x:f>
        <x:v>0.14814426260051117</x:v>
      </x:c>
      <x:c r="M1549" s="20" t="n">
        <x:f>IF(AND(ISNUMBER(K1549),ISNUMBER(L1549)),100*(K1549-L1549),"n.a.")</x:f>
        <x:v>0.5333962400711378</x:v>
      </x:c>
      <x:c r="N1549" s="13" t="b">
        <x:v>1</x:v>
      </x:c>
      <x:c r="O1549" s="13" t="b">
        <x:v>1</x:v>
      </x:c>
      <x:c r="P1549" s="13" t="b">
        <x:v>0</x:v>
      </x:c>
      <x:c r="Q1549" s="2" t="str">
        <x:v>L1_numeric_partition_qualified_not_national_completeness</x:v>
      </x:c>
      <x:c r="R1549" s="2" t="str">
        <x:v>L1_numeric_partition_qualified_not_national_completeness</x:v>
      </x:c>
      <x:c r="S1549" s="2" t="str">
        <x:v>historical_GHSL_BU_estimate</x:v>
      </x:c>
      <x:c r="T1549" s="2" t="str">
        <x:v>projected_CRISP_BU_surface</x:v>
      </x:c>
      <x:c r="U1549" s="2" t="str">
        <x:v>GFA growth versus source physical quantity growth; constant conversion required for equality</x:v>
      </x:c>
      <x:c r="V1549" s="2" t="str">
        <x:v>Future horizontal path is already a v16 driver; WUP historical surface derives from GHSL</x:v>
      </x:c>
      <x:c r="W1549" s="2" t="str">
        <x:v>https://human-settlement.emergency.copernicus.eu/datasets.php</x:v>
      </x:c>
    </x:row>
    <x:row r="1550" ht="23" customHeight="1">
      <x:c r="A1550" s="2" t="str">
        <x:v>TUR</x:v>
      </x:c>
      <x:c r="B1550" s="2" t="str">
        <x:v>Türkiye (Republic of)</x:v>
      </x:c>
      <x:c r="C1550" s="2" t="str">
        <x:v>WUP_SURFACE</x:v>
      </x:c>
      <x:c r="D1550" s="2" t="n">
        <x:v>2020</x:v>
      </x:c>
      <x:c r="E1550" s="2" t="n">
        <x:v>2030</x:v>
      </x:c>
      <x:c r="F1550" s="17" t="n">
        <x:v>3957897873.260005</x:v>
      </x:c>
      <x:c r="G1550" s="17" t="n">
        <x:v>5362186713.691799</x:v>
      </x:c>
      <x:c r="H1550" s="17" t="n">
        <x:v>3437235122.2279906</x:v>
      </x:c>
      <x:c r="I1550" s="17" t="n">
        <x:v>4626049404.996952</x:v>
      </x:c>
      <x:c r="J1550" s="2" t="str">
        <x:v>m2</x:v>
      </x:c>
      <x:c r="K1550" s="15" t="n">
        <x:f>IF(AND(ISNUMBER(F1550),ISNUMBER(G1550),F1550&gt;0),G1550/F1550-1,"n.a.")</x:f>
        <x:v>0.3548067396885919</x:v>
      </x:c>
      <x:c r="L1550" s="15" t="n">
        <x:f>IF(AND(N1550,ISNUMBER(H1550),ISNUMBER(I1550),H1550&gt;0),I1550/H1550-1,"n.a.")</x:f>
        <x:v>0.34586353289628335</x:v>
      </x:c>
      <x:c r="M1550" s="20" t="n">
        <x:f>IF(AND(ISNUMBER(K1550),ISNUMBER(L1550)),100*(K1550-L1550),"n.a.")</x:f>
        <x:v>0.8943206792308533</x:v>
      </x:c>
      <x:c r="N1550" s="13" t="b">
        <x:v>1</x:v>
      </x:c>
      <x:c r="O1550" s="13" t="b">
        <x:v>1</x:v>
      </x:c>
      <x:c r="P1550" s="13" t="b">
        <x:v>0</x:v>
      </x:c>
      <x:c r="Q1550" s="2" t="str">
        <x:v>L1_numeric_partition_qualified_not_national_completeness</x:v>
      </x:c>
      <x:c r="R1550" s="2" t="str">
        <x:v>L1_numeric_partition_qualified_not_national_completeness</x:v>
      </x:c>
      <x:c r="S1550" s="2" t="str">
        <x:v>historical_GHSL_BU_estimate</x:v>
      </x:c>
      <x:c r="T1550" s="2" t="str">
        <x:v>projected_CRISP_BU_surface</x:v>
      </x:c>
      <x:c r="U1550" s="2" t="str">
        <x:v>GFA growth versus source physical quantity growth; constant conversion required for equality</x:v>
      </x:c>
      <x:c r="V1550" s="2" t="str">
        <x:v>Future horizontal path is already a v16 driver; WUP historical surface derives from GHSL</x:v>
      </x:c>
      <x:c r="W1550" s="2" t="str">
        <x:v>https://human-settlement.emergency.copernicus.eu/datasets.php</x:v>
      </x:c>
    </x:row>
    <x:row r="1551" ht="23" customHeight="1">
      <x:c r="A1551" s="2" t="str">
        <x:v>TUV</x:v>
      </x:c>
      <x:c r="B1551" s="2" t="str">
        <x:v>Tuvalu</x:v>
      </x:c>
      <x:c r="C1551" s="2" t="str">
        <x:v>WUP_SURFACE</x:v>
      </x:c>
      <x:c r="D1551" s="2" t="n">
        <x:v>2020</x:v>
      </x:c>
      <x:c r="E1551" s="2" t="n">
        <x:v>2030</x:v>
      </x:c>
      <x:c r="F1551" s="17" t="n">
        <x:v>19394.80999999999</x:v>
      </x:c>
      <x:c r="G1551" s="17" t="n">
        <x:v>19375.99774715193</x:v>
      </x:c>
      <x:c r="H1551" s="17" t="n">
        <x:v>808146.0099492688</x:v>
      </x:c>
      <x:c r="I1551" s="17" t="n">
        <x:v>808146.0099492688</x:v>
      </x:c>
      <x:c r="J1551" s="2" t="str">
        <x:v>m2</x:v>
      </x:c>
      <x:c r="K1551" s="15" t="n">
        <x:f>IF(AND(ISNUMBER(F1551),ISNUMBER(G1551),F1551&gt;0),G1551/F1551-1,"n.a.")</x:f>
        <x:v>-0.0009699632452218054</x:v>
      </x:c>
      <x:c r="L1551" s="15" t="n">
        <x:f>IF(AND(N1551,ISNUMBER(H1551),ISNUMBER(I1551),H1551&gt;0),I1551/H1551-1,"n.a.")</x:f>
        <x:v>0</x:v>
      </x:c>
      <x:c r="M1551" s="20" t="n">
        <x:f>IF(AND(ISNUMBER(K1551),ISNUMBER(L1551)),100*(K1551-L1551),"n.a.")</x:f>
        <x:v>-0.09699632452218054</x:v>
      </x:c>
      <x:c r="N1551" s="13" t="b">
        <x:v>1</x:v>
      </x:c>
      <x:c r="O1551" s="13" t="b">
        <x:v>1</x:v>
      </x:c>
      <x:c r="P1551" s="13" t="b">
        <x:v>0</x:v>
      </x:c>
      <x:c r="Q1551" s="2" t="str">
        <x:v>L1_numeric_partition_qualified_not_national_completeness</x:v>
      </x:c>
      <x:c r="R1551" s="2" t="str">
        <x:v>L1_numeric_partition_qualified_not_national_completeness</x:v>
      </x:c>
      <x:c r="S1551" s="2" t="str">
        <x:v>historical_GHSL_BU_estimate</x:v>
      </x:c>
      <x:c r="T1551" s="2" t="str">
        <x:v>projected_CRISP_BU_surface</x:v>
      </x:c>
      <x:c r="U1551" s="2" t="str">
        <x:v>GFA growth versus source physical quantity growth; constant conversion required for equality</x:v>
      </x:c>
      <x:c r="V1551" s="2" t="str">
        <x:v>Future horizontal path is already a v16 driver; WUP historical surface derives from GHSL</x:v>
      </x:c>
      <x:c r="W1551" s="2" t="str">
        <x:v>https://human-settlement.emergency.copernicus.eu/datasets.php</x:v>
      </x:c>
    </x:row>
    <x:row r="1552" ht="23" customHeight="1">
      <x:c r="A1552" s="2" t="str">
        <x:v>TZA</x:v>
      </x:c>
      <x:c r="B1552" s="2" t="str">
        <x:v>Tanzania (United Republic of)</x:v>
      </x:c>
      <x:c r="C1552" s="2" t="str">
        <x:v>WUP_SURFACE</x:v>
      </x:c>
      <x:c r="D1552" s="2" t="n">
        <x:v>2020</x:v>
      </x:c>
      <x:c r="E1552" s="2" t="n">
        <x:v>2030</x:v>
      </x:c>
      <x:c r="F1552" s="17" t="n">
        <x:v>1174486408.8199985</x:v>
      </x:c>
      <x:c r="G1552" s="17" t="n">
        <x:v>1527227130.6076736</x:v>
      </x:c>
      <x:c r="H1552" s="17" t="n">
        <x:v>4116719145.857338</x:v>
      </x:c>
      <x:c r="I1552" s="17" t="n">
        <x:v>5327310716.701546</x:v>
      </x:c>
      <x:c r="J1552" s="2" t="str">
        <x:v>m2</x:v>
      </x:c>
      <x:c r="K1552" s="15" t="n">
        <x:f>IF(AND(ISNUMBER(F1552),ISNUMBER(G1552),F1552&gt;0),G1552/F1552-1,"n.a.")</x:f>
        <x:v>0.3003361461986369</x:v>
      </x:c>
      <x:c r="L1552" s="15" t="n">
        <x:f>IF(AND(N1552,ISNUMBER(H1552),ISNUMBER(I1552),H1552&gt;0),I1552/H1552-1,"n.a.")</x:f>
        <x:v>0.29406707816403466</x:v>
      </x:c>
      <x:c r="M1552" s="20" t="n">
        <x:f>IF(AND(ISNUMBER(K1552),ISNUMBER(L1552)),100*(K1552-L1552),"n.a.")</x:f>
        <x:v>0.6269068034602254</x:v>
      </x:c>
      <x:c r="N1552" s="13" t="b">
        <x:v>1</x:v>
      </x:c>
      <x:c r="O1552" s="13" t="b">
        <x:v>1</x:v>
      </x:c>
      <x:c r="P1552" s="13" t="b">
        <x:v>0</x:v>
      </x:c>
      <x:c r="Q1552" s="2" t="str">
        <x:v>L1_numeric_partition_qualified_not_national_completeness</x:v>
      </x:c>
      <x:c r="R1552" s="2" t="str">
        <x:v>L1_numeric_partition_qualified_not_national_completeness</x:v>
      </x:c>
      <x:c r="S1552" s="2" t="str">
        <x:v>historical_GHSL_BU_estimate</x:v>
      </x:c>
      <x:c r="T1552" s="2" t="str">
        <x:v>projected_CRISP_BU_surface</x:v>
      </x:c>
      <x:c r="U1552" s="2" t="str">
        <x:v>GFA growth versus source physical quantity growth; constant conversion required for equality</x:v>
      </x:c>
      <x:c r="V1552" s="2" t="str">
        <x:v>Future horizontal path is already a v16 driver; WUP historical surface derives from GHSL</x:v>
      </x:c>
      <x:c r="W1552" s="2" t="str">
        <x:v>https://human-settlement.emergency.copernicus.eu/datasets.php</x:v>
      </x:c>
    </x:row>
    <x:row r="1553" ht="23" customHeight="1">
      <x:c r="A1553" s="2" t="str">
        <x:v>UGA</x:v>
      </x:c>
      <x:c r="B1553" s="2" t="str">
        <x:v>Uganda (Republic of)</x:v>
      </x:c>
      <x:c r="C1553" s="2" t="str">
        <x:v>WUP_SURFACE</x:v>
      </x:c>
      <x:c r="D1553" s="2" t="n">
        <x:v>2020</x:v>
      </x:c>
      <x:c r="E1553" s="2" t="n">
        <x:v>2030</x:v>
      </x:c>
      <x:c r="F1553" s="17" t="n">
        <x:v>765891927.1500008</x:v>
      </x:c>
      <x:c r="G1553" s="17" t="n">
        <x:v>996929768.8473245</x:v>
      </x:c>
      <x:c r="H1553" s="17" t="n">
        <x:v>2642961995.088086</x:v>
      </x:c>
      <x:c r="I1553" s="17" t="n">
        <x:v>3425859474.670486</x:v>
      </x:c>
      <x:c r="J1553" s="2" t="str">
        <x:v>m2</x:v>
      </x:c>
      <x:c r="K1553" s="15" t="n">
        <x:f>IF(AND(ISNUMBER(F1553),ISNUMBER(G1553),F1553&gt;0),G1553/F1553-1,"n.a.")</x:f>
        <x:v>0.3016585415086568</x:v>
      </x:c>
      <x:c r="L1553" s="15" t="n">
        <x:f>IF(AND(N1553,ISNUMBER(H1553),ISNUMBER(I1553),H1553&gt;0),I1553/H1553-1,"n.a.")</x:f>
        <x:v>0.2962197265936497</x:v>
      </x:c>
      <x:c r="M1553" s="20" t="n">
        <x:f>IF(AND(ISNUMBER(K1553),ISNUMBER(L1553)),100*(K1553-L1553),"n.a.")</x:f>
        <x:v>0.5438814915007084</x:v>
      </x:c>
      <x:c r="N1553" s="13" t="b">
        <x:v>1</x:v>
      </x:c>
      <x:c r="O1553" s="13" t="b">
        <x:v>1</x:v>
      </x:c>
      <x:c r="P1553" s="13" t="b">
        <x:v>0</x:v>
      </x:c>
      <x:c r="Q1553" s="2" t="str">
        <x:v>L1_numeric_partition_qualified_not_national_completeness</x:v>
      </x:c>
      <x:c r="R1553" s="2" t="str">
        <x:v>L1_numeric_partition_qualified_not_national_completeness</x:v>
      </x:c>
      <x:c r="S1553" s="2" t="str">
        <x:v>historical_GHSL_BU_estimate</x:v>
      </x:c>
      <x:c r="T1553" s="2" t="str">
        <x:v>projected_CRISP_BU_surface</x:v>
      </x:c>
      <x:c r="U1553" s="2" t="str">
        <x:v>GFA growth versus source physical quantity growth; constant conversion required for equality</x:v>
      </x:c>
      <x:c r="V1553" s="2" t="str">
        <x:v>Future horizontal path is already a v16 driver; WUP historical surface derives from GHSL</x:v>
      </x:c>
      <x:c r="W1553" s="2" t="str">
        <x:v>https://human-settlement.emergency.copernicus.eu/datasets.php</x:v>
      </x:c>
    </x:row>
    <x:row r="1554" ht="23" customHeight="1">
      <x:c r="A1554" s="2" t="str">
        <x:v>UKR</x:v>
      </x:c>
      <x:c r="B1554" s="2" t="str">
        <x:v>Ukraine</x:v>
      </x:c>
      <x:c r="C1554" s="2" t="str">
        <x:v>WUP_SURFACE</x:v>
      </x:c>
      <x:c r="D1554" s="2" t="n">
        <x:v>2020</x:v>
      </x:c>
      <x:c r="E1554" s="2" t="n">
        <x:v>2030</x:v>
      </x:c>
      <x:c r="F1554" s="17" t="n">
        <x:v>2808807029.8199997</x:v>
      </x:c>
      <x:c r="G1554" s="17" t="n">
        <x:v>3060965529.806053</x:v>
      </x:c>
      <x:c r="H1554" s="17" t="n">
        <x:v>4313766328.53754</x:v>
      </x:c>
      <x:c r="I1554" s="17" t="n">
        <x:v>4694260340.965604</x:v>
      </x:c>
      <x:c r="J1554" s="2" t="str">
        <x:v>m2</x:v>
      </x:c>
      <x:c r="K1554" s="15" t="n">
        <x:f>IF(AND(ISNUMBER(F1554),ISNUMBER(G1554),F1554&gt;0),G1554/F1554-1,"n.a.")</x:f>
        <x:v>0.08977423415314245</x:v>
      </x:c>
      <x:c r="L1554" s="15" t="n">
        <x:f>IF(AND(N1554,ISNUMBER(H1554),ISNUMBER(I1554),H1554&gt;0),I1554/H1554-1,"n.a.")</x:f>
        <x:v>0.08820459511469614</x:v>
      </x:c>
      <x:c r="M1554" s="20" t="n">
        <x:f>IF(AND(ISNUMBER(K1554),ISNUMBER(L1554)),100*(K1554-L1554),"n.a.")</x:f>
        <x:v>0.15696390384463133</x:v>
      </x:c>
      <x:c r="N1554" s="13" t="b">
        <x:v>1</x:v>
      </x:c>
      <x:c r="O1554" s="13" t="b">
        <x:v>1</x:v>
      </x:c>
      <x:c r="P1554" s="13" t="b">
        <x:v>0</x:v>
      </x:c>
      <x:c r="Q1554" s="2" t="str">
        <x:v>L1_numeric_partition_qualified_not_national_completeness</x:v>
      </x:c>
      <x:c r="R1554" s="2" t="str">
        <x:v>L1_numeric_partition_qualified_not_national_completeness</x:v>
      </x:c>
      <x:c r="S1554" s="2" t="str">
        <x:v>historical_GHSL_BU_estimate</x:v>
      </x:c>
      <x:c r="T1554" s="2" t="str">
        <x:v>projected_CRISP_BU_surface</x:v>
      </x:c>
      <x:c r="U1554" s="2" t="str">
        <x:v>GFA growth versus source physical quantity growth; constant conversion required for equality</x:v>
      </x:c>
      <x:c r="V1554" s="2" t="str">
        <x:v>Future horizontal path is already a v16 driver; WUP historical surface derives from GHSL</x:v>
      </x:c>
      <x:c r="W1554" s="2" t="str">
        <x:v>https://human-settlement.emergency.copernicus.eu/datasets.php</x:v>
      </x:c>
    </x:row>
    <x:row r="1555" ht="23" customHeight="1">
      <x:c r="A1555" s="2" t="str">
        <x:v>URY</x:v>
      </x:c>
      <x:c r="B1555" s="2" t="str">
        <x:v>Uruguay (Oriental Republic of)</x:v>
      </x:c>
      <x:c r="C1555" s="2" t="str">
        <x:v>WUP_SURFACE</x:v>
      </x:c>
      <x:c r="D1555" s="2" t="n">
        <x:v>2020</x:v>
      </x:c>
      <x:c r="E1555" s="2" t="n">
        <x:v>2030</x:v>
      </x:c>
      <x:c r="F1555" s="17" t="n">
        <x:v>209727833.2899997</x:v>
      </x:c>
      <x:c r="G1555" s="17" t="n">
        <x:v>232853151.3721173</x:v>
      </x:c>
      <x:c r="H1555" s="17" t="n">
        <x:v>380701570.0466187</x:v>
      </x:c>
      <x:c r="I1555" s="17" t="n">
        <x:v>421691905.32513565</x:v>
      </x:c>
      <x:c r="J1555" s="2" t="str">
        <x:v>m2</x:v>
      </x:c>
      <x:c r="K1555" s="15" t="n">
        <x:f>IF(AND(ISNUMBER(F1555),ISNUMBER(G1555),F1555&gt;0),G1555/F1555-1,"n.a.")</x:f>
        <x:v>0.11026346727256398</x:v>
      </x:c>
      <x:c r="L1555" s="15" t="n">
        <x:f>IF(AND(N1555,ISNUMBER(H1555),ISNUMBER(I1555),H1555&gt;0),I1555/H1555-1,"n.a.")</x:f>
        <x:v>0.10767051807403227</x:v>
      </x:c>
      <x:c r="M1555" s="20" t="n">
        <x:f>IF(AND(ISNUMBER(K1555),ISNUMBER(L1555)),100*(K1555-L1555),"n.a.")</x:f>
        <x:v>0.2592949198531702</x:v>
      </x:c>
      <x:c r="N1555" s="13" t="b">
        <x:v>1</x:v>
      </x:c>
      <x:c r="O1555" s="13" t="b">
        <x:v>1</x:v>
      </x:c>
      <x:c r="P1555" s="13" t="b">
        <x:v>0</x:v>
      </x:c>
      <x:c r="Q1555" s="2" t="str">
        <x:v>L1_numeric_partition_qualified_not_national_completeness</x:v>
      </x:c>
      <x:c r="R1555" s="2" t="str">
        <x:v>L1_numeric_partition_qualified_not_national_completeness</x:v>
      </x:c>
      <x:c r="S1555" s="2" t="str">
        <x:v>historical_GHSL_BU_estimate</x:v>
      </x:c>
      <x:c r="T1555" s="2" t="str">
        <x:v>projected_CRISP_BU_surface</x:v>
      </x:c>
      <x:c r="U1555" s="2" t="str">
        <x:v>GFA growth versus source physical quantity growth; constant conversion required for equality</x:v>
      </x:c>
      <x:c r="V1555" s="2" t="str">
        <x:v>Future horizontal path is already a v16 driver; WUP historical surface derives from GHSL</x:v>
      </x:c>
      <x:c r="W1555" s="2" t="str">
        <x:v>https://human-settlement.emergency.copernicus.eu/datasets.php</x:v>
      </x:c>
    </x:row>
    <x:row r="1556" ht="23" customHeight="1">
      <x:c r="A1556" s="2" t="str">
        <x:v>USA</x:v>
      </x:c>
      <x:c r="B1556" s="2" t="str">
        <x:v>United States of America</x:v>
      </x:c>
      <x:c r="C1556" s="2" t="str">
        <x:v>WUP_SURFACE</x:v>
      </x:c>
      <x:c r="D1556" s="2" t="n">
        <x:v>2020</x:v>
      </x:c>
      <x:c r="E1556" s="2" t="n">
        <x:v>2030</x:v>
      </x:c>
      <x:c r="F1556" s="17" t="n">
        <x:v>35932980078.68004</x:v>
      </x:c>
      <x:c r="G1556" s="17" t="n">
        <x:v>41664803069.8325</x:v>
      </x:c>
      <x:c r="H1556" s="17" t="n">
        <x:v>60246811001.31557</x:v>
      </x:c>
      <x:c r="I1556" s="17" t="n">
        <x:v>69569649094.7162</x:v>
      </x:c>
      <x:c r="J1556" s="2" t="str">
        <x:v>m2</x:v>
      </x:c>
      <x:c r="K1556" s="15" t="n">
        <x:f>IF(AND(ISNUMBER(F1556),ISNUMBER(G1556),F1556&gt;0),G1556/F1556-1,"n.a.")</x:f>
        <x:v>0.15951426735555674</x:v>
      </x:c>
      <x:c r="L1556" s="15" t="n">
        <x:f>IF(AND(N1556,ISNUMBER(H1556),ISNUMBER(I1556),H1556&gt;0),I1556/H1556-1,"n.a.")</x:f>
        <x:v>0.15474409248312004</x:v>
      </x:c>
      <x:c r="M1556" s="20" t="n">
        <x:f>IF(AND(ISNUMBER(K1556),ISNUMBER(L1556)),100*(K1556-L1556),"n.a.")</x:f>
        <x:v>0.47701748724366944</x:v>
      </x:c>
      <x:c r="N1556" s="13" t="b">
        <x:v>1</x:v>
      </x:c>
      <x:c r="O1556" s="13" t="b">
        <x:v>1</x:v>
      </x:c>
      <x:c r="P1556" s="13" t="b">
        <x:v>0</x:v>
      </x:c>
      <x:c r="Q1556" s="2" t="str">
        <x:v>L1_numeric_partition_qualified_not_national_completeness</x:v>
      </x:c>
      <x:c r="R1556" s="2" t="str">
        <x:v>L1_numeric_partition_qualified_not_national_completeness</x:v>
      </x:c>
      <x:c r="S1556" s="2" t="str">
        <x:v>historical_GHSL_BU_estimate</x:v>
      </x:c>
      <x:c r="T1556" s="2" t="str">
        <x:v>projected_CRISP_BU_surface</x:v>
      </x:c>
      <x:c r="U1556" s="2" t="str">
        <x:v>GFA growth versus source physical quantity growth; constant conversion required for equality</x:v>
      </x:c>
      <x:c r="V1556" s="2" t="str">
        <x:v>Future horizontal path is already a v16 driver; WUP historical surface derives from GHSL</x:v>
      </x:c>
      <x:c r="W1556" s="2" t="str">
        <x:v>https://human-settlement.emergency.copernicus.eu/datasets.php</x:v>
      </x:c>
    </x:row>
    <x:row r="1557" ht="23" customHeight="1">
      <x:c r="A1557" s="2" t="str">
        <x:v>UZB</x:v>
      </x:c>
      <x:c r="B1557" s="2" t="str">
        <x:v>Uzbekistan (Republic of)</x:v>
      </x:c>
      <x:c r="C1557" s="2" t="str">
        <x:v>WUP_SURFACE</x:v>
      </x:c>
      <x:c r="D1557" s="2" t="n">
        <x:v>2020</x:v>
      </x:c>
      <x:c r="E1557" s="2" t="n">
        <x:v>2030</x:v>
      </x:c>
      <x:c r="F1557" s="17" t="n">
        <x:v>1997042653.6300015</x:v>
      </x:c>
      <x:c r="G1557" s="17" t="n">
        <x:v>2330325463.545991</x:v>
      </x:c>
      <x:c r="H1557" s="17" t="n">
        <x:v>3793565339.8305197</x:v>
      </x:c>
      <x:c r="I1557" s="17" t="n">
        <x:v>4403405001.779996</x:v>
      </x:c>
      <x:c r="J1557" s="2" t="str">
        <x:v>m2</x:v>
      </x:c>
      <x:c r="K1557" s="15" t="n">
        <x:f>IF(AND(ISNUMBER(F1557),ISNUMBER(G1557),F1557&gt;0),G1557/F1557-1,"n.a.")</x:f>
        <x:v>0.16688817803174372</x:v>
      </x:c>
      <x:c r="L1557" s="15" t="n">
        <x:f>IF(AND(N1557,ISNUMBER(H1557),ISNUMBER(I1557),H1557&gt;0),I1557/H1557-1,"n.a.")</x:f>
        <x:v>0.16075633535198874</x:v>
      </x:c>
      <x:c r="M1557" s="20" t="n">
        <x:f>IF(AND(ISNUMBER(K1557),ISNUMBER(L1557)),100*(K1557-L1557),"n.a.")</x:f>
        <x:v>0.6131842679754973</x:v>
      </x:c>
      <x:c r="N1557" s="13" t="b">
        <x:v>1</x:v>
      </x:c>
      <x:c r="O1557" s="13" t="b">
        <x:v>1</x:v>
      </x:c>
      <x:c r="P1557" s="13" t="b">
        <x:v>0</x:v>
      </x:c>
      <x:c r="Q1557" s="2" t="str">
        <x:v>L1_numeric_partition_qualified_not_national_completeness</x:v>
      </x:c>
      <x:c r="R1557" s="2" t="str">
        <x:v>L1_numeric_partition_qualified_not_national_completeness</x:v>
      </x:c>
      <x:c r="S1557" s="2" t="str">
        <x:v>historical_GHSL_BU_estimate</x:v>
      </x:c>
      <x:c r="T1557" s="2" t="str">
        <x:v>projected_CRISP_BU_surface</x:v>
      </x:c>
      <x:c r="U1557" s="2" t="str">
        <x:v>GFA growth versus source physical quantity growth; constant conversion required for equality</x:v>
      </x:c>
      <x:c r="V1557" s="2" t="str">
        <x:v>Future horizontal path is already a v16 driver; WUP historical surface derives from GHSL</x:v>
      </x:c>
      <x:c r="W1557" s="2" t="str">
        <x:v>https://human-settlement.emergency.copernicus.eu/datasets.php</x:v>
      </x:c>
    </x:row>
    <x:row r="1558" ht="23" customHeight="1">
      <x:c r="A1558" s="2" t="str">
        <x:v>VAT</x:v>
      </x:c>
      <x:c r="B1558" s="2" t="str">
        <x:v>Holy See (State of the Vatican City)</x:v>
      </x:c>
      <x:c r="C1558" s="2" t="str">
        <x:v>WUP_SURFACE</x:v>
      </x:c>
      <x:c r="D1558" s="2" t="n">
        <x:v>2020</x:v>
      </x:c>
      <x:c r="E1558" s="2" t="n">
        <x:v>2030</x:v>
      </x:c>
      <x:c r="F1558" s="17" t="n">
        <x:v>318924.24</x:v>
      </x:c>
      <x:c r="G1558" s="17" t="n">
        <x:v>319618.6113718639</x:v>
      </x:c>
      <x:c r="H1558" s="17" t="n">
        <x:v>360359.0130805969</x:v>
      </x:c>
      <x:c r="I1558" s="17" t="n">
        <x:v>0</x:v>
      </x:c>
      <x:c r="J1558" s="2" t="str">
        <x:v>m2</x:v>
      </x:c>
      <x:c r="K1558" s="15" t="n">
        <x:f>IF(AND(ISNUMBER(F1558),ISNUMBER(G1558),F1558&gt;0),G1558/F1558-1,"n.a.")</x:f>
        <x:v>0.00217722983948776</x:v>
      </x:c>
      <x:c r="L1558" s="15" t="str">
        <x:f>IF(AND(N1558,ISNUMBER(H1558),ISNUMBER(I1558),H1558&gt;0),I1558/H1558-1,"n.a.")</x:f>
        <x:v>n.a.</x:v>
      </x:c>
      <x:c r="M1558" s="20" t="str">
        <x:f>IF(AND(ISNUMBER(K1558),ISNUMBER(L1558)),100*(K1558-L1558),"n.a.")</x:f>
        <x:v>n.a.</x:v>
      </x:c>
      <x:c r="N1558" s="13" t="b">
        <x:v>0</x:v>
      </x:c>
      <x:c r="O1558" s="13" t="b">
        <x:v>1</x:v>
      </x:c>
      <x:c r="P1558" s="13" t="b">
        <x:v>0</x:v>
      </x:c>
      <x:c r="Q1558" s="2" t="str">
        <x:v>L1_numeric_partition_qualified_not_national_completeness</x:v>
      </x:c>
      <x:c r="R1558" s="2" t="str">
        <x:v>L1_numeric_partition_qualified_not_national_completeness</x:v>
      </x:c>
      <x:c r="S1558" s="2" t="str">
        <x:v>historical_GHSL_BU_estimate</x:v>
      </x:c>
      <x:c r="T1558" s="2" t="str">
        <x:v>projected_CRISP_BU_surface</x:v>
      </x:c>
      <x:c r="U1558" s="2" t="str">
        <x:v>GFA growth versus source physical quantity growth; constant conversion required for equality</x:v>
      </x:c>
      <x:c r="V1558" s="2" t="str">
        <x:v>Future horizontal path is already a v16 driver; WUP historical surface derives from GHSL</x:v>
      </x:c>
      <x:c r="W1558" s="2" t="str">
        <x:v>https://human-settlement.emergency.copernicus.eu/datasets.php</x:v>
      </x:c>
    </x:row>
    <x:row r="1559" ht="23" customHeight="1">
      <x:c r="A1559" s="2" t="str">
        <x:v>VCT</x:v>
      </x:c>
      <x:c r="B1559" s="2" t="str">
        <x:v>Saint Vincent and the Grenadines</x:v>
      </x:c>
      <x:c r="C1559" s="2" t="str">
        <x:v>WUP_SURFACE</x:v>
      </x:c>
      <x:c r="D1559" s="2" t="n">
        <x:v>2020</x:v>
      </x:c>
      <x:c r="E1559" s="2" t="n">
        <x:v>2030</x:v>
      </x:c>
      <x:c r="F1559" s="17" t="n">
        <x:v>6194383.570000002</x:v>
      </x:c>
      <x:c r="G1559" s="17" t="n">
        <x:v>6351927.892065602</x:v>
      </x:c>
      <x:c r="H1559" s="17" t="n">
        <x:v>10351806.977656337</x:v>
      </x:c>
      <x:c r="I1559" s="17" t="n">
        <x:v>10606706.640837617</x:v>
      </x:c>
      <x:c r="J1559" s="2" t="str">
        <x:v>m2</x:v>
      </x:c>
      <x:c r="K1559" s="15" t="n">
        <x:f>IF(AND(ISNUMBER(F1559),ISNUMBER(G1559),F1559&gt;0),G1559/F1559-1,"n.a.")</x:f>
        <x:v>0.025433414041164948</x:v>
      </x:c>
      <x:c r="L1559" s="15" t="n">
        <x:f>IF(AND(N1559,ISNUMBER(H1559),ISNUMBER(I1559),H1559&gt;0),I1559/H1559-1,"n.a.")</x:f>
        <x:v>0.02462368779976898</x:v>
      </x:c>
      <x:c r="M1559" s="20" t="n">
        <x:f>IF(AND(ISNUMBER(K1559),ISNUMBER(L1559)),100*(K1559-L1559),"n.a.")</x:f>
        <x:v>0.08097262413959694</x:v>
      </x:c>
      <x:c r="N1559" s="13" t="b">
        <x:v>1</x:v>
      </x:c>
      <x:c r="O1559" s="13" t="b">
        <x:v>1</x:v>
      </x:c>
      <x:c r="P1559" s="13" t="b">
        <x:v>0</x:v>
      </x:c>
      <x:c r="Q1559" s="2" t="str">
        <x:v>L1_numeric_partition_qualified_not_national_completeness</x:v>
      </x:c>
      <x:c r="R1559" s="2" t="str">
        <x:v>L1_numeric_partition_qualified_not_national_completeness</x:v>
      </x:c>
      <x:c r="S1559" s="2" t="str">
        <x:v>historical_GHSL_BU_estimate</x:v>
      </x:c>
      <x:c r="T1559" s="2" t="str">
        <x:v>projected_CRISP_BU_surface</x:v>
      </x:c>
      <x:c r="U1559" s="2" t="str">
        <x:v>GFA growth versus source physical quantity growth; constant conversion required for equality</x:v>
      </x:c>
      <x:c r="V1559" s="2" t="str">
        <x:v>Future horizontal path is already a v16 driver; WUP historical surface derives from GHSL</x:v>
      </x:c>
      <x:c r="W1559" s="2" t="str">
        <x:v>https://human-settlement.emergency.copernicus.eu/datasets.php</x:v>
      </x:c>
    </x:row>
    <x:row r="1560" ht="23" customHeight="1">
      <x:c r="A1560" s="2" t="str">
        <x:v>VEN</x:v>
      </x:c>
      <x:c r="B1560" s="2" t="str">
        <x:v>Venezuela (Bolivarian Republic of)</x:v>
      </x:c>
      <x:c r="C1560" s="2" t="str">
        <x:v>WUP_SURFACE</x:v>
      </x:c>
      <x:c r="D1560" s="2" t="n">
        <x:v>2020</x:v>
      </x:c>
      <x:c r="E1560" s="2" t="n">
        <x:v>2030</x:v>
      </x:c>
      <x:c r="F1560" s="17" t="n">
        <x:v>1159546607.6500015</x:v>
      </x:c>
      <x:c r="G1560" s="17" t="n">
        <x:v>1441872599.1169834</x:v>
      </x:c>
      <x:c r="H1560" s="17" t="n">
        <x:v>1484592084.073905</x:v>
      </x:c>
      <x:c r="I1560" s="17" t="n">
        <x:v>1846647755.776032</x:v>
      </x:c>
      <x:c r="J1560" s="2" t="str">
        <x:v>m2</x:v>
      </x:c>
      <x:c r="K1560" s="15" t="n">
        <x:f>IF(AND(ISNUMBER(F1560),ISNUMBER(G1560),F1560&gt;0),G1560/F1560-1,"n.a.")</x:f>
        <x:v>0.24347964075299977</x:v>
      </x:c>
      <x:c r="L1560" s="15" t="n">
        <x:f>IF(AND(N1560,ISNUMBER(H1560),ISNUMBER(I1560),H1560&gt;0),I1560/H1560-1,"n.a.")</x:f>
        <x:v>0.2438755235098662</x:v>
      </x:c>
      <x:c r="M1560" s="20" t="n">
        <x:f>IF(AND(ISNUMBER(K1560),ISNUMBER(L1560)),100*(K1560-L1560),"n.a.")</x:f>
        <x:v>-0.039588275686641694</x:v>
      </x:c>
      <x:c r="N1560" s="13" t="b">
        <x:v>1</x:v>
      </x:c>
      <x:c r="O1560" s="13" t="b">
        <x:v>1</x:v>
      </x:c>
      <x:c r="P1560" s="13" t="b">
        <x:v>0</x:v>
      </x:c>
      <x:c r="Q1560" s="2" t="str">
        <x:v>L1_numeric_partition_qualified_not_national_completeness</x:v>
      </x:c>
      <x:c r="R1560" s="2" t="str">
        <x:v>L1_numeric_partition_qualified_not_national_completeness</x:v>
      </x:c>
      <x:c r="S1560" s="2" t="str">
        <x:v>historical_GHSL_BU_estimate</x:v>
      </x:c>
      <x:c r="T1560" s="2" t="str">
        <x:v>projected_CRISP_BU_surface</x:v>
      </x:c>
      <x:c r="U1560" s="2" t="str">
        <x:v>GFA growth versus source physical quantity growth; constant conversion required for equality</x:v>
      </x:c>
      <x:c r="V1560" s="2" t="str">
        <x:v>Future horizontal path is already a v16 driver; WUP historical surface derives from GHSL</x:v>
      </x:c>
      <x:c r="W1560" s="2" t="str">
        <x:v>https://human-settlement.emergency.copernicus.eu/datasets.php</x:v>
      </x:c>
    </x:row>
    <x:row r="1561" ht="23" customHeight="1">
      <x:c r="A1561" s="2" t="str">
        <x:v>VNM</x:v>
      </x:c>
      <x:c r="B1561" s="2" t="str">
        <x:v>Viet Nam (Socialist Republic of)</x:v>
      </x:c>
      <x:c r="C1561" s="2" t="str">
        <x:v>WUP_SURFACE</x:v>
      </x:c>
      <x:c r="D1561" s="2" t="n">
        <x:v>2020</x:v>
      </x:c>
      <x:c r="E1561" s="2" t="n">
        <x:v>2030</x:v>
      </x:c>
      <x:c r="F1561" s="17" t="n">
        <x:v>4861867508.520002</x:v>
      </x:c>
      <x:c r="G1561" s="17" t="n">
        <x:v>5957735315.309382</x:v>
      </x:c>
      <x:c r="H1561" s="17" t="n">
        <x:v>5086925512.180058</x:v>
      </x:c>
      <x:c r="I1561" s="17" t="n">
        <x:v>6199143356.23206</x:v>
      </x:c>
      <x:c r="J1561" s="2" t="str">
        <x:v>m2</x:v>
      </x:c>
      <x:c r="K1561" s="15" t="n">
        <x:f>IF(AND(ISNUMBER(F1561),ISNUMBER(G1561),F1561&gt;0),G1561/F1561-1,"n.a.")</x:f>
        <x:v>0.22540059038403792</x:v>
      </x:c>
      <x:c r="L1561" s="15" t="n">
        <x:f>IF(AND(N1561,ISNUMBER(H1561),ISNUMBER(I1561),H1561&gt;0),I1561/H1561-1,"n.a.")</x:f>
        <x:v>0.21864244746437222</x:v>
      </x:c>
      <x:c r="M1561" s="20" t="n">
        <x:f>IF(AND(ISNUMBER(K1561),ISNUMBER(L1561)),100*(K1561-L1561),"n.a.")</x:f>
        <x:v>0.67581429196657</x:v>
      </x:c>
      <x:c r="N1561" s="13" t="b">
        <x:v>1</x:v>
      </x:c>
      <x:c r="O1561" s="13" t="b">
        <x:v>1</x:v>
      </x:c>
      <x:c r="P1561" s="13" t="b">
        <x:v>0</x:v>
      </x:c>
      <x:c r="Q1561" s="2" t="str">
        <x:v>L1_numeric_partition_qualified_not_national_completeness</x:v>
      </x:c>
      <x:c r="R1561" s="2" t="str">
        <x:v>L1_numeric_partition_qualified_not_national_completeness</x:v>
      </x:c>
      <x:c r="S1561" s="2" t="str">
        <x:v>historical_GHSL_BU_estimate</x:v>
      </x:c>
      <x:c r="T1561" s="2" t="str">
        <x:v>projected_CRISP_BU_surface</x:v>
      </x:c>
      <x:c r="U1561" s="2" t="str">
        <x:v>GFA growth versus source physical quantity growth; constant conversion required for equality</x:v>
      </x:c>
      <x:c r="V1561" s="2" t="str">
        <x:v>Future horizontal path is already a v16 driver; WUP historical surface derives from GHSL</x:v>
      </x:c>
      <x:c r="W1561" s="2" t="str">
        <x:v>https://human-settlement.emergency.copernicus.eu/datasets.php</x:v>
      </x:c>
    </x:row>
    <x:row r="1562" ht="23" customHeight="1">
      <x:c r="A1562" s="2" t="str">
        <x:v>VUT</x:v>
      </x:c>
      <x:c r="B1562" s="2" t="str">
        <x:v>Vanuatu (Republic of)</x:v>
      </x:c>
      <x:c r="C1562" s="2" t="str">
        <x:v>WUP_SURFACE</x:v>
      </x:c>
      <x:c r="D1562" s="2" t="n">
        <x:v>2020</x:v>
      </x:c>
      <x:c r="E1562" s="2" t="n">
        <x:v>2030</x:v>
      </x:c>
      <x:c r="F1562" s="17" t="n">
        <x:v>8193524.700000004</x:v>
      </x:c>
      <x:c r="G1562" s="17" t="n">
        <x:v>11225157.987457879</x:v>
      </x:c>
      <x:c r="H1562" s="17" t="n">
        <x:v>13741144.030732356</x:v>
      </x:c>
      <x:c r="I1562" s="17" t="n">
        <x:v>18735454.18323624</x:v>
      </x:c>
      <x:c r="J1562" s="2" t="str">
        <x:v>m2</x:v>
      </x:c>
      <x:c r="K1562" s="15" t="n">
        <x:f>IF(AND(ISNUMBER(F1562),ISNUMBER(G1562),F1562&gt;0),G1562/F1562-1,"n.a.")</x:f>
        <x:v>0.3700035574992375</x:v>
      </x:c>
      <x:c r="L1562" s="15" t="n">
        <x:f>IF(AND(N1562,ISNUMBER(H1562),ISNUMBER(I1562),H1562&gt;0),I1562/H1562-1,"n.a.")</x:f>
        <x:v>0.3634566482480648</x:v>
      </x:c>
      <x:c r="M1562" s="20" t="n">
        <x:f>IF(AND(ISNUMBER(K1562),ISNUMBER(L1562)),100*(K1562-L1562),"n.a.")</x:f>
        <x:v>0.6546909251172739</x:v>
      </x:c>
      <x:c r="N1562" s="13" t="b">
        <x:v>1</x:v>
      </x:c>
      <x:c r="O1562" s="13" t="b">
        <x:v>1</x:v>
      </x:c>
      <x:c r="P1562" s="13" t="b">
        <x:v>0</x:v>
      </x:c>
      <x:c r="Q1562" s="2" t="str">
        <x:v>L1_numeric_partition_qualified_not_national_completeness</x:v>
      </x:c>
      <x:c r="R1562" s="2" t="str">
        <x:v>L1_numeric_partition_qualified_not_national_completeness</x:v>
      </x:c>
      <x:c r="S1562" s="2" t="str">
        <x:v>historical_GHSL_BU_estimate</x:v>
      </x:c>
      <x:c r="T1562" s="2" t="str">
        <x:v>projected_CRISP_BU_surface</x:v>
      </x:c>
      <x:c r="U1562" s="2" t="str">
        <x:v>GFA growth versus source physical quantity growth; constant conversion required for equality</x:v>
      </x:c>
      <x:c r="V1562" s="2" t="str">
        <x:v>Future horizontal path is already a v16 driver; WUP historical surface derives from GHSL</x:v>
      </x:c>
      <x:c r="W1562" s="2" t="str">
        <x:v>https://human-settlement.emergency.copernicus.eu/datasets.php</x:v>
      </x:c>
    </x:row>
    <x:row r="1563" ht="23" customHeight="1">
      <x:c r="A1563" s="2" t="str">
        <x:v>WSM</x:v>
      </x:c>
      <x:c r="B1563" s="2" t="str">
        <x:v>Samoa (Independent State of)</x:v>
      </x:c>
      <x:c r="C1563" s="2" t="str">
        <x:v>WUP_SURFACE</x:v>
      </x:c>
      <x:c r="D1563" s="2" t="n">
        <x:v>2020</x:v>
      </x:c>
      <x:c r="E1563" s="2" t="n">
        <x:v>2030</x:v>
      </x:c>
      <x:c r="F1563" s="17" t="n">
        <x:v>8105266.000000001</x:v>
      </x:c>
      <x:c r="G1563" s="17" t="n">
        <x:v>9573884.879553955</x:v>
      </x:c>
      <x:c r="H1563" s="17" t="n">
        <x:v>15743507.981150629</x:v>
      </x:c>
      <x:c r="I1563" s="17" t="n">
        <x:v>18528335.95012464</x:v>
      </x:c>
      <x:c r="J1563" s="2" t="str">
        <x:v>m2</x:v>
      </x:c>
      <x:c r="K1563" s="15" t="n">
        <x:f>IF(AND(ISNUMBER(F1563),ISNUMBER(G1563),F1563&gt;0),G1563/F1563-1,"n.a.")</x:f>
        <x:v>0.18119317485125763</x:v>
      </x:c>
      <x:c r="L1563" s="15" t="n">
        <x:f>IF(AND(N1563,ISNUMBER(H1563),ISNUMBER(I1563),H1563&gt;0),I1563/H1563-1,"n.a.")</x:f>
        <x:v>0.17688738572802376</x:v>
      </x:c>
      <x:c r="M1563" s="20" t="n">
        <x:f>IF(AND(ISNUMBER(K1563),ISNUMBER(L1563)),100*(K1563-L1563),"n.a.")</x:f>
        <x:v>0.4305789123233872</x:v>
      </x:c>
      <x:c r="N1563" s="13" t="b">
        <x:v>1</x:v>
      </x:c>
      <x:c r="O1563" s="13" t="b">
        <x:v>1</x:v>
      </x:c>
      <x:c r="P1563" s="13" t="b">
        <x:v>0</x:v>
      </x:c>
      <x:c r="Q1563" s="2" t="str">
        <x:v>L1_numeric_partition_qualified_not_national_completeness</x:v>
      </x:c>
      <x:c r="R1563" s="2" t="str">
        <x:v>L1_numeric_partition_qualified_not_national_completeness</x:v>
      </x:c>
      <x:c r="S1563" s="2" t="str">
        <x:v>historical_GHSL_BU_estimate</x:v>
      </x:c>
      <x:c r="T1563" s="2" t="str">
        <x:v>projected_CRISP_BU_surface</x:v>
      </x:c>
      <x:c r="U1563" s="2" t="str">
        <x:v>GFA growth versus source physical quantity growth; constant conversion required for equality</x:v>
      </x:c>
      <x:c r="V1563" s="2" t="str">
        <x:v>Future horizontal path is already a v16 driver; WUP historical surface derives from GHSL</x:v>
      </x:c>
      <x:c r="W1563" s="2" t="str">
        <x:v>https://human-settlement.emergency.copernicus.eu/datasets.php</x:v>
      </x:c>
    </x:row>
    <x:row r="1564" ht="23" customHeight="1">
      <x:c r="A1564" s="2" t="str">
        <x:v>YEM</x:v>
      </x:c>
      <x:c r="B1564" s="2" t="str">
        <x:v>Yemen (Republic of)</x:v>
      </x:c>
      <x:c r="C1564" s="2" t="str">
        <x:v>WUP_SURFACE</x:v>
      </x:c>
      <x:c r="D1564" s="2" t="n">
        <x:v>2020</x:v>
      </x:c>
      <x:c r="E1564" s="2" t="n">
        <x:v>2030</x:v>
      </x:c>
      <x:c r="F1564" s="17" t="n">
        <x:v>454480387.6899993</x:v>
      </x:c>
      <x:c r="G1564" s="17" t="n">
        <x:v>785636300.852373</x:v>
      </x:c>
      <x:c r="H1564" s="17" t="n">
        <x:v>262106950.0246266</x:v>
      </x:c>
      <x:c r="I1564" s="17" t="n">
        <x:v>450124661.5950262</x:v>
      </x:c>
      <x:c r="J1564" s="2" t="str">
        <x:v>m2</x:v>
      </x:c>
      <x:c r="K1564" s="15" t="n">
        <x:f>IF(AND(ISNUMBER(F1564),ISNUMBER(G1564),F1564&gt;0),G1564/F1564-1,"n.a.")</x:f>
        <x:v>0.7286473126938426</x:v>
      </x:c>
      <x:c r="L1564" s="15" t="n">
        <x:f>IF(AND(N1564,ISNUMBER(H1564),ISNUMBER(I1564),H1564&gt;0),I1564/H1564-1,"n.a.")</x:f>
        <x:v>0.7173320339378033</x:v>
      </x:c>
      <x:c r="M1564" s="20" t="n">
        <x:f>IF(AND(ISNUMBER(K1564),ISNUMBER(L1564)),100*(K1564-L1564),"n.a.")</x:f>
        <x:v>1.1315278756039326</x:v>
      </x:c>
      <x:c r="N1564" s="13" t="b">
        <x:v>1</x:v>
      </x:c>
      <x:c r="O1564" s="13" t="b">
        <x:v>1</x:v>
      </x:c>
      <x:c r="P1564" s="13" t="b">
        <x:v>0</x:v>
      </x:c>
      <x:c r="Q1564" s="2" t="str">
        <x:v>L1_numeric_partition_qualified_not_national_completeness</x:v>
      </x:c>
      <x:c r="R1564" s="2" t="str">
        <x:v>L1_numeric_partition_qualified_not_national_completeness</x:v>
      </x:c>
      <x:c r="S1564" s="2" t="str">
        <x:v>historical_GHSL_BU_estimate</x:v>
      </x:c>
      <x:c r="T1564" s="2" t="str">
        <x:v>projected_CRISP_BU_surface</x:v>
      </x:c>
      <x:c r="U1564" s="2" t="str">
        <x:v>GFA growth versus source physical quantity growth; constant conversion required for equality</x:v>
      </x:c>
      <x:c r="V1564" s="2" t="str">
        <x:v>Future horizontal path is already a v16 driver; WUP historical surface derives from GHSL</x:v>
      </x:c>
      <x:c r="W1564" s="2" t="str">
        <x:v>https://human-settlement.emergency.copernicus.eu/datasets.php</x:v>
      </x:c>
    </x:row>
    <x:row r="1565" ht="23" customHeight="1">
      <x:c r="A1565" s="2" t="str">
        <x:v>ZAF</x:v>
      </x:c>
      <x:c r="B1565" s="2" t="str">
        <x:v>South Africa (Republic of)</x:v>
      </x:c>
      <x:c r="C1565" s="2" t="str">
        <x:v>WUP_SURFACE</x:v>
      </x:c>
      <x:c r="D1565" s="2" t="n">
        <x:v>2020</x:v>
      </x:c>
      <x:c r="E1565" s="2" t="n">
        <x:v>2030</x:v>
      </x:c>
      <x:c r="F1565" s="17" t="n">
        <x:v>2711325840.6099963</x:v>
      </x:c>
      <x:c r="G1565" s="17" t="n">
        <x:v>3169523562.455699</x:v>
      </x:c>
      <x:c r="H1565" s="17" t="n">
        <x:v>6345332430.962695</x:v>
      </x:c>
      <x:c r="I1565" s="17" t="n">
        <x:v>7378648645.146925</x:v>
      </x:c>
      <x:c r="J1565" s="2" t="str">
        <x:v>m2</x:v>
      </x:c>
      <x:c r="K1565" s="15" t="n">
        <x:f>IF(AND(ISNUMBER(F1565),ISNUMBER(G1565),F1565&gt;0),G1565/F1565-1,"n.a.")</x:f>
        <x:v>0.16899397150385176</x:v>
      </x:c>
      <x:c r="L1565" s="15" t="n">
        <x:f>IF(AND(N1565,ISNUMBER(H1565),ISNUMBER(I1565),H1565&gt;0),I1565/H1565-1,"n.a.")</x:f>
        <x:v>0.16284666334297282</x:v>
      </x:c>
      <x:c r="M1565" s="20" t="n">
        <x:f>IF(AND(ISNUMBER(K1565),ISNUMBER(L1565)),100*(K1565-L1565),"n.a.")</x:f>
        <x:v>0.6147308160878939</x:v>
      </x:c>
      <x:c r="N1565" s="13" t="b">
        <x:v>1</x:v>
      </x:c>
      <x:c r="O1565" s="13" t="b">
        <x:v>1</x:v>
      </x:c>
      <x:c r="P1565" s="13" t="b">
        <x:v>0</x:v>
      </x:c>
      <x:c r="Q1565" s="2" t="str">
        <x:v>L1_numeric_partition_qualified_not_national_completeness</x:v>
      </x:c>
      <x:c r="R1565" s="2" t="str">
        <x:v>L1_numeric_partition_qualified_not_national_completeness</x:v>
      </x:c>
      <x:c r="S1565" s="2" t="str">
        <x:v>historical_GHSL_BU_estimate</x:v>
      </x:c>
      <x:c r="T1565" s="2" t="str">
        <x:v>projected_CRISP_BU_surface</x:v>
      </x:c>
      <x:c r="U1565" s="2" t="str">
        <x:v>GFA growth versus source physical quantity growth; constant conversion required for equality</x:v>
      </x:c>
      <x:c r="V1565" s="2" t="str">
        <x:v>Future horizontal path is already a v16 driver; WUP historical surface derives from GHSL</x:v>
      </x:c>
      <x:c r="W1565" s="2" t="str">
        <x:v>https://human-settlement.emergency.copernicus.eu/datasets.php</x:v>
      </x:c>
    </x:row>
    <x:row r="1566" ht="23" customHeight="1">
      <x:c r="A1566" s="2" t="str">
        <x:v>ZMB</x:v>
      </x:c>
      <x:c r="B1566" s="2" t="str">
        <x:v>Zambia (Republic of)</x:v>
      </x:c>
      <x:c r="C1566" s="2" t="str">
        <x:v>WUP_SURFACE</x:v>
      </x:c>
      <x:c r="D1566" s="2" t="n">
        <x:v>2020</x:v>
      </x:c>
      <x:c r="E1566" s="2" t="n">
        <x:v>2030</x:v>
      </x:c>
      <x:c r="F1566" s="17" t="n">
        <x:v>396696842.49999976</x:v>
      </x:c>
      <x:c r="G1566" s="17" t="n">
        <x:v>518968394.8257233</x:v>
      </x:c>
      <x:c r="H1566" s="17" t="n">
        <x:v>1370847983.7854471</x:v>
      </x:c>
      <x:c r="I1566" s="17" t="n">
        <x:v>1785025814.2804778</x:v>
      </x:c>
      <x:c r="J1566" s="2" t="str">
        <x:v>m2</x:v>
      </x:c>
      <x:c r="K1566" s="15" t="n">
        <x:f>IF(AND(ISNUMBER(F1566),ISNUMBER(G1566),F1566&gt;0),G1566/F1566-1,"n.a.")</x:f>
        <x:v>0.3082241632052405</x:v>
      </x:c>
      <x:c r="L1566" s="15" t="n">
        <x:f>IF(AND(N1566,ISNUMBER(H1566),ISNUMBER(I1566),H1566&gt;0),I1566/H1566-1,"n.a.")</x:f>
        <x:v>0.30213257443128283</x:v>
      </x:c>
      <x:c r="M1566" s="20" t="n">
        <x:f>IF(AND(ISNUMBER(K1566),ISNUMBER(L1566)),100*(K1566-L1566),"n.a.")</x:f>
        <x:v>0.6091588773957657</x:v>
      </x:c>
      <x:c r="N1566" s="13" t="b">
        <x:v>1</x:v>
      </x:c>
      <x:c r="O1566" s="13" t="b">
        <x:v>1</x:v>
      </x:c>
      <x:c r="P1566" s="13" t="b">
        <x:v>0</x:v>
      </x:c>
      <x:c r="Q1566" s="2" t="str">
        <x:v>L1_numeric_partition_qualified_not_national_completeness</x:v>
      </x:c>
      <x:c r="R1566" s="2" t="str">
        <x:v>L1_numeric_partition_qualified_not_national_completeness</x:v>
      </x:c>
      <x:c r="S1566" s="2" t="str">
        <x:v>historical_GHSL_BU_estimate</x:v>
      </x:c>
      <x:c r="T1566" s="2" t="str">
        <x:v>projected_CRISP_BU_surface</x:v>
      </x:c>
      <x:c r="U1566" s="2" t="str">
        <x:v>GFA growth versus source physical quantity growth; constant conversion required for equality</x:v>
      </x:c>
      <x:c r="V1566" s="2" t="str">
        <x:v>Future horizontal path is already a v16 driver; WUP historical surface derives from GHSL</x:v>
      </x:c>
      <x:c r="W1566" s="2" t="str">
        <x:v>https://human-settlement.emergency.copernicus.eu/datasets.php</x:v>
      </x:c>
    </x:row>
    <x:row r="1567" ht="23" customHeight="1">
      <x:c r="A1567" s="2" t="str">
        <x:v>ZWE</x:v>
      </x:c>
      <x:c r="B1567" s="2" t="str">
        <x:v>Zimbabwe (Republic of)</x:v>
      </x:c>
      <x:c r="C1567" s="2" t="str">
        <x:v>WUP_SURFACE</x:v>
      </x:c>
      <x:c r="D1567" s="2" t="n">
        <x:v>2020</x:v>
      </x:c>
      <x:c r="E1567" s="2" t="n">
        <x:v>2030</x:v>
      </x:c>
      <x:c r="F1567" s="17" t="n">
        <x:v>420425813.9799996</x:v>
      </x:c>
      <x:c r="G1567" s="17" t="n">
        <x:v>519204267.7107976</x:v>
      </x:c>
      <x:c r="H1567" s="17" t="n">
        <x:v>1326741819.9649086</x:v>
      </x:c>
      <x:c r="I1567" s="17" t="n">
        <x:v>1629033781.7245758</x:v>
      </x:c>
      <x:c r="J1567" s="2" t="str">
        <x:v>m2</x:v>
      </x:c>
      <x:c r="K1567" s="15" t="n">
        <x:f>IF(AND(ISNUMBER(F1567),ISNUMBER(G1567),F1567&gt;0),G1567/F1567-1,"n.a.")</x:f>
        <x:v>0.23494859365485365</x:v>
      </x:c>
      <x:c r="L1567" s="15" t="n">
        <x:f>IF(AND(N1567,ISNUMBER(H1567),ISNUMBER(I1567),H1567&gt;0),I1567/H1567-1,"n.a.")</x:f>
        <x:v>0.22784535560027996</x:v>
      </x:c>
      <x:c r="M1567" s="20" t="n">
        <x:f>IF(AND(ISNUMBER(K1567),ISNUMBER(L1567)),100*(K1567-L1567),"n.a.")</x:f>
        <x:v>0.7103238054573691</x:v>
      </x:c>
      <x:c r="N1567" s="13" t="b">
        <x:v>1</x:v>
      </x:c>
      <x:c r="O1567" s="13" t="b">
        <x:v>1</x:v>
      </x:c>
      <x:c r="P1567" s="13" t="b">
        <x:v>0</x:v>
      </x:c>
      <x:c r="Q1567" s="2" t="str">
        <x:v>L1_numeric_partition_qualified_not_national_completeness</x:v>
      </x:c>
      <x:c r="R1567" s="2" t="str">
        <x:v>L1_numeric_partition_qualified_not_national_completeness</x:v>
      </x:c>
      <x:c r="S1567" s="2" t="str">
        <x:v>historical_GHSL_BU_estimate</x:v>
      </x:c>
      <x:c r="T1567" s="2" t="str">
        <x:v>projected_CRISP_BU_surface</x:v>
      </x:c>
      <x:c r="U1567" s="2" t="str">
        <x:v>GFA growth versus source physical quantity growth; constant conversion required for equality</x:v>
      </x:c>
      <x:c r="V1567" s="2" t="str">
        <x:v>Future horizontal path is already a v16 driver; WUP historical surface derives from GHSL</x:v>
      </x:c>
      <x:c r="W1567" s="2" t="str">
        <x:v>https://human-settlement.emergency.copernicus.eu/datasets.php</x:v>
      </x:c>
    </x:row>
  </x:sheetData>
  <x:pageMargins left="0.7" right="0.7" top="0.75" bottom="0.75" header="0.3" footer="0.3"/>
  <x:tableParts count="1">
    <x:tablePart xmlns:r="http://schemas.openxmlformats.org/officeDocument/2006/relationships" r:id="Rae6eb64d17c747d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110" hidden="0" customWidth="1"/>
    <x:col min="3" max="3" width="100" hidden="0" customWidth="1"/>
  </x:cols>
  <x:sheetData>
    <x:row r="1" ht="23" customHeight="1">
      <x:c r="A1" s="2"/>
      <x:c r="B1" s="2"/>
      <x:c r="C1" s="2"/>
    </x:row>
    <x:row r="2" ht="23" customHeight="1">
      <x:c r="A2" s="3" t="str">
        <x:v>Dataset definitions and comparison rules</x:v>
      </x:c>
      <x:c r="B2" s="2"/>
      <x:c r="C2" s="2"/>
    </x:row>
    <x:row r="3" ht="23" customHeight="1">
      <x:c r="A3" s="4"/>
      <x:c r="B3" s="4"/>
      <x:c r="C3" s="4"/>
    </x:row>
    <x:row r="4" ht="23" customHeight="1">
      <x:c r="A4" s="5" t="str">
        <x:v>Frozen v16 research estimates, 195-country frame. All five source families share inputs or upstream lineage with the model.</x:v>
      </x:c>
      <x:c r="B4" s="2"/>
      <x:c r="C4" s="2"/>
    </x:row>
    <x:row r="5" ht="23" customHeight="1">
      <x:c r="A5" s="2"/>
      <x:c r="B5" s="2"/>
      <x:c r="C5" s="2"/>
    </x:row>
    <x:row r="6" ht="44" customHeight="1">
      <x:c r="A6" s="10" t="str">
        <x:v>Dataset / field</x:v>
      </x:c>
      <x:c r="B6" s="11" t="str">
        <x:v>Definition</x:v>
      </x:c>
      <x:c r="C6" s="12" t="str">
        <x:v>Publisher source URL</x:v>
      </x:c>
    </x:row>
    <x:row r="7" ht="42" customHeight="1">
      <x:c r="A7" s="22" t="str">
        <x:v>TEMPO_PROXY</x:v>
      </x:c>
      <x:c r="B7" s="23" t="str">
        <x:v>TEMPO-derived existing floor-area proxy</x:v>
      </x:c>
      <x:c r="C7" s="24" t="str">
        <x:v>https://arxiv.org/abs/2511.12104</x:v>
      </x:c>
    </x:row>
    <x:row r="8" ht="42" customHeight="1">
      <x:c r="A8" s="2" t="str">
        <x:v>Native quantity</x:v>
      </x:c>
      <x:c r="B8" s="25" t="str">
        <x:v>assumption-based floor-area proxy (m2)</x:v>
      </x:c>
      <x:c r="C8" s="25" t="str"/>
    </x:row>
    <x:row r="9" ht="42" customHeight="1">
      <x:c r="A9" s="2" t="str">
        <x:v>Source epochs</x:v>
      </x:c>
      <x:c r="B9" s="25" t="str">
        <x:v>2020;2023</x:v>
      </x:c>
      <x:c r="C9" s="25" t="str"/>
    </x:row>
    <x:row r="10" ht="42" customHeight="1">
      <x:c r="A10" s="2" t="str">
        <x:v>Conversion</x:v>
      </x:c>
      <x:c r="B10" s="25" t="str">
        <x:v>Previously saved ensemble conversion; no new parameters</x:v>
      </x:c>
      <x:c r="C10" s="25" t="str"/>
    </x:row>
    <x:row r="11" ht="42" customHeight="1">
      <x:c r="A11" s="2" t="str">
        <x:v>Shared lineage</x:v>
      </x:c>
      <x:c r="B11" s="25" t="str">
        <x:v>2020 level is the model anchor; 2023 comparator unused by v16 fit but shares conversion/upstream lineage</x:v>
      </x:c>
      <x:c r="C11" s="25" t="str"/>
    </x:row>
    <x:row r="12" ht="42" customHeight="1">
      <x:c r="A12" s="2" t="str">
        <x:v>Boundary / coverage</x:v>
      </x:c>
      <x:c r="B12" s="25" t="str">
        <x:v>Frozen CGAZ source aggregation; exact Q4 acquisition date and common epoch mask not certified</x:v>
      </x:c>
      <x:c r="C12" s="25" t="str"/>
    </x:row>
    <x:row r="13" ht="42" customHeight="1">
      <x:c r="A13" s="2"/>
      <x:c r="B13" s="25"/>
      <x:c r="C13" s="25"/>
    </x:row>
    <x:row r="14" ht="42" customHeight="1">
      <x:c r="A14" s="22" t="str">
        <x:v>GHSL_SURFACE</x:v>
      </x:c>
      <x:c r="B14" s="23" t="str">
        <x:v>GHS-BUILT-S R2023A</x:v>
      </x:c>
      <x:c r="C14" s="24" t="str">
        <x:v>https://human-settlement.emergency.copernicus.eu/ghs_buS2023.php</x:v>
      </x:c>
    </x:row>
    <x:row r="15" ht="42" customHeight="1">
      <x:c r="A15" s="2" t="str">
        <x:v>Native quantity</x:v>
      </x:c>
      <x:c r="B15" s="25" t="str">
        <x:v>horizontal built-up surface (m2)</x:v>
      </x:c>
      <x:c r="C15" s="25" t="str"/>
    </x:row>
    <x:row r="16" ht="42" customHeight="1">
      <x:c r="A16" s="2" t="str">
        <x:v>Source epochs</x:v>
      </x:c>
      <x:c r="B16" s="25" t="str">
        <x:v>2015;2020</x:v>
      </x:c>
      <x:c r="C16" s="25" t="str"/>
    </x:row>
    <x:row r="17" ht="42" customHeight="1">
      <x:c r="A17" s="2" t="str">
        <x:v>Conversion</x:v>
      </x:c>
      <x:c r="B17" s="25" t="str">
        <x:v>Area equivalent = model2020 * source surface / TEMPO2020 footprint</x:v>
      </x:c>
      <x:c r="C17" s="25" t="str"/>
    </x:row>
    <x:row r="18" ht="42" customHeight="1">
      <x:c r="A18" s="2" t="str">
        <x:v>Shared lineage</x:v>
      </x:c>
      <x:c r="B18" s="25" t="str">
        <x:v>Historical horizontal endpoint trend already used by v16</x:v>
      </x:c>
      <x:c r="C18" s="25" t="str"/>
    </x:row>
    <x:row r="19" ht="42" customHeight="1">
      <x:c r="A19" s="2" t="str">
        <x:v>Boundary / coverage</x:v>
      </x:c>
      <x:c r="B19" s="25" t="str">
        <x:v>Saved country aggregation; cross-source boundary and pixel-support alignment not certified; legacy observed flag is not acquisition proof</x:v>
      </x:c>
      <x:c r="C19" s="25" t="str"/>
    </x:row>
    <x:row r="20" ht="42" customHeight="1">
      <x:c r="A20" s="2"/>
      <x:c r="B20" s="25"/>
      <x:c r="C20" s="25"/>
    </x:row>
    <x:row r="21" ht="42" customHeight="1">
      <x:c r="A21" s="22" t="str">
        <x:v>GHSL_VOLUME</x:v>
      </x:c>
      <x:c r="B21" s="23" t="str">
        <x:v>GHS-BUILT-V R2023A</x:v>
      </x:c>
      <x:c r="C21" s="24" t="str">
        <x:v>https://human-settlement.emergency.copernicus.eu/ghs_buV2023.php</x:v>
      </x:c>
    </x:row>
    <x:row r="22" ht="42" customHeight="1">
      <x:c r="A22" s="2" t="str">
        <x:v>Native quantity</x:v>
      </x:c>
      <x:c r="B22" s="25" t="str">
        <x:v>built-up volume (m3)</x:v>
      </x:c>
      <x:c r="C22" s="25" t="str"/>
    </x:row>
    <x:row r="23" ht="42" customHeight="1">
      <x:c r="A23" s="2" t="str">
        <x:v>Source epochs</x:v>
      </x:c>
      <x:c r="B23" s="25" t="str">
        <x:v>2015;2020</x:v>
      </x:c>
      <x:c r="C23" s="25" t="str"/>
    </x:row>
    <x:row r="24" ht="42" customHeight="1">
      <x:c r="A24" s="2" t="str">
        <x:v>Conversion</x:v>
      </x:c>
      <x:c r="B24" s="25" t="str">
        <x:v>Area equivalent = model2020 * source volume / TEMPO2020 volume</x:v>
      </x:c>
      <x:c r="C24" s="25" t="str"/>
    </x:row>
    <x:row r="25" ht="42" customHeight="1">
      <x:c r="A25" s="2" t="str">
        <x:v>Shared lineage</x:v>
      </x:c>
      <x:c r="B25" s="25" t="str">
        <x:v>Model sector composition uses this source family; fixed2018-height modeled epochs</x:v>
      </x:c>
      <x:c r="C25" s="25" t="str"/>
    </x:row>
    <x:row r="26" ht="42" customHeight="1">
      <x:c r="A26" s="2" t="str">
        <x:v>Boundary / coverage</x:v>
      </x:c>
      <x:c r="B26" s="25" t="str">
        <x:v>Only qualified source rows admitted; CAN/PAK/TUV/USA fail source checks; PSE unmapped in retained table</x:v>
      </x:c>
      <x:c r="C26" s="25" t="str"/>
    </x:row>
    <x:row r="27" ht="42" customHeight="1">
      <x:c r="A27" s="2"/>
      <x:c r="B27" s="25"/>
      <x:c r="C27" s="25"/>
    </x:row>
    <x:row r="28" ht="42" customHeight="1">
      <x:c r="A28" s="22" t="str">
        <x:v>OBAT_FOOTPRINT</x:v>
      </x:c>
      <x:c r="B28" s="23" t="str">
        <x:v>GHS-OBAT R2024A / Overture</x:v>
      </x:c>
      <x:c r="C28" s="24" t="str">
        <x:v>https://data.jrc.ec.europa.eu/dataset/f41a22f1-5741-4c41-86eb-6384654f6927</x:v>
      </x:c>
    </x:row>
    <x:row r="29" ht="42" customHeight="1">
      <x:c r="A29" s="2" t="str">
        <x:v>Native quantity</x:v>
      </x:c>
      <x:c r="B29" s="25" t="str">
        <x:v>included-footprint horizontal area (m2)</x:v>
      </x:c>
      <x:c r="C29" s="25" t="str"/>
    </x:row>
    <x:row r="30" ht="42" customHeight="1">
      <x:c r="A30" s="2" t="str">
        <x:v>Source epochs</x:v>
      </x:c>
      <x:c r="B30" s="25" t="str">
        <x:v>nominal2020; geometry2024-07-22.0</x:v>
      </x:c>
      <x:c r="C30" s="25" t="str"/>
    </x:row>
    <x:row r="31" ht="42" customHeight="1">
      <x:c r="A31" s="2" t="str">
        <x:v>Conversion</x:v>
      </x:c>
      <x:c r="B31" s="25" t="str">
        <x:v>Area equivalent = model2020 * OBAT footprint / TEMPO2020 footprint</x:v>
      </x:c>
      <x:c r="C31" s="25" t="str"/>
    </x:row>
    <x:row r="32" ht="42" customHeight="1">
      <x:c r="A32" s="2" t="str">
        <x:v>Shared lineage</x:v>
      </x:c>
      <x:c r="B32" s="25" t="str">
        <x:v>Six static OBAT factors used by v16; attributes share GHSL lineage</x:v>
      </x:c>
      <x:c r="C32" s="25" t="str"/>
    </x:row>
    <x:row r="33" ht="42" customHeight="1">
      <x:c r="A33" s="2" t="str">
        <x:v>Boundary / coverage</x:v>
      </x:c>
      <x:c r="B33" s="25" t="str">
        <x:v>Adjusted GADM4.1 boundaries; included Overture coverage unknown; China shortfall flagged; not a contemporaneous2020 census</x:v>
      </x:c>
      <x:c r="C33" s="25" t="str"/>
    </x:row>
    <x:row r="34" ht="42" customHeight="1">
      <x:c r="A34" s="2"/>
      <x:c r="B34" s="25"/>
      <x:c r="C34" s="25"/>
    </x:row>
    <x:row r="35" ht="42" customHeight="1">
      <x:c r="A35" s="22" t="str">
        <x:v>WUP_SURFACE</x:v>
      </x:c>
      <x:c r="B35" s="23" t="str">
        <x:v>GHS-WUP country statistics R2025A</x:v>
      </x:c>
      <x:c r="C35" s="24" t="str">
        <x:v>https://human-settlement.emergency.copernicus.eu/datasets.php</x:v>
      </x:c>
    </x:row>
    <x:row r="36" ht="42" customHeight="1">
      <x:c r="A36" s="2" t="str">
        <x:v>Native quantity</x:v>
      </x:c>
      <x:c r="B36" s="25" t="str">
        <x:v>horizontal built-up surface (m2)</x:v>
      </x:c>
      <x:c r="C36" s="25" t="str"/>
    </x:row>
    <x:row r="37" ht="42" customHeight="1">
      <x:c r="A37" s="2" t="str">
        <x:v>Source epochs</x:v>
      </x:c>
      <x:c r="B37" s="25" t="str">
        <x:v>2015;2020;2025;2030</x:v>
      </x:c>
      <x:c r="C37" s="25" t="str"/>
    </x:row>
    <x:row r="38" ht="42" customHeight="1">
      <x:c r="A38" s="2" t="str">
        <x:v>Conversion</x:v>
      </x:c>
      <x:c r="B38" s="25" t="str">
        <x:v>Area equivalent = model2020 * WUP surface / TEMPO2020 footprint; km2 multiplied by1e6 once</x:v>
      </x:c>
      <x:c r="C38" s="25" t="str"/>
    </x:row>
    <x:row r="39" ht="42" customHeight="1">
      <x:c r="A39" s="2" t="str">
        <x:v>Shared lineage</x:v>
      </x:c>
      <x:c r="B39" s="25" t="str">
        <x:v>Future horizontal path is already a v16 driver; WUP historical surface derives from GHSL</x:v>
      </x:c>
      <x:c r="C39" s="25" t="str"/>
    </x:row>
    <x:row r="40" ht="42" customHeight="1">
      <x:c r="A40" s="2" t="str">
        <x:v>Boundary / coverage</x:v>
      </x:c>
      <x:c r="B40" s="25" t="str">
        <x:v>Published UN country boundaries, L1 class partition, national completeness unproven;2025/2030 source projections</x:v>
      </x:c>
      <x:c r="C40" s="25" t="str"/>
    </x:row>
    <x:row r="41" ht="42" customHeight="1">
      <x:c r="A41" s="2"/>
      <x:c r="B41" s="25"/>
      <x:c r="C41" s="25"/>
    </x:row>
    <x:row r="42" ht="42" customHeight="1">
      <x:c r="A42" s="2" t="str">
        <x:v>Signed area difference</x:v>
      </x:c>
      <x:c r="B42" s="25" t="str">
        <x:v>Model GFA minus comparator area equivalent. Signed percentage divides by the comparator. Positive means the model is larger.</x:v>
      </x:c>
      <x:c r="C42" s="25" t="str"/>
    </x:row>
    <x:row r="43" ht="42" customHeight="1">
      <x:c r="A43" s="2" t="str">
        <x:v>Native difference</x:v>
      </x:c>
      <x:c r="B43" s="25" t="str">
        <x:v>TEMPO native footprint or volume minus the comparator native quantity. Units must match.</x:v>
      </x:c>
      <x:c r="C43" s="25" t="str"/>
    </x:row>
    <x:row r="44" ht="42" customHeight="1">
      <x:c r="A44" s="2" t="str">
        <x:v>Growth gap</x:v>
      </x:c>
      <x:c r="B44" s="25" t="str">
        <x:v>100 × [(model end / model start − 1) − (source end / source start − 1)], in percentage points.</x:v>
      </x:c>
      <x:c r="C44" s="25" t="str"/>
    </x:row>
    <x:row r="45" ht="42" customHeight="1">
      <x:c r="A45" s="2" t="str">
        <x:v>Missing values</x:v>
      </x:c>
      <x:c r="B45" s="25" t="str">
        <x:v>Blank source values remain missing. Derived differences display n.a.; they are never filled with zero.</x:v>
      </x:c>
      <x:c r="C45" s="25" t="str"/>
    </x:row>
    <x:row r="46" ht="42" customHeight="1">
      <x:c r="A46" s="2" t="str">
        <x:v>Anchor identity</x:v>
      </x:c>
      <x:c r="B46" s="25" t="str">
        <x:v>TEMPO 2020 area equality is imposed by the saved model anchor and supplies no independent validation evidence.</x:v>
      </x:c>
      <x:c r="C46" s="25" t="str"/>
    </x:row>
    <x:row r="47" ht="42" customHeight="1">
      <x:c r="A47" s="2" t="str">
        <x:v>Repeated evidence</x:v>
      </x:c>
      <x:c r="B47" s="25" t="str">
        <x:v>Area-equivalent percentage differences are algebraically related to native spatial differences; they are not additional independent confirmations.</x:v>
      </x:c>
      <x:c r="C47" s="25" t="str"/>
    </x:row>
    <x:row r="48" ht="42" customHeight="1">
      <x:c r="A48" s="2" t="str">
        <x:v>OBAT China</x:v>
      </x:c>
      <x:c r="B48" s="25" t="str">
        <x:v>The available OBAT China footprint has a major source coverage shortfall. Large disagreement is not automatically model error.</x:v>
      </x:c>
      <x:c r="C48" s="25" t="str"/>
    </x:row>
    <x:row r="49" ht="42" customHeight="1">
      <x:c r="A49" s="2" t="str">
        <x:v>Global summaries</x:v>
      </x:c>
      <x:c r="B49" s="25" t="str">
        <x:v>Both totals use the same matched core-country cohort. PSE is excluded from core 194 totals.</x:v>
      </x:c>
      <x:c r="C49" s="25" t="str"/>
    </x:row>
    <x:row r="50" ht="42" customHeight="1">
      <x:c r="A50" s="2" t="str">
        <x:v>Prediction years</x:v>
      </x:c>
      <x:c r="B50" s="25" t="str">
        <x:v>Only retained source epochs appear. Future WUP values are source projections; there is no measured 2030 outcome.</x:v>
      </x:c>
      <x:c r="C50" s="25" t="str"/>
    </x:row>
    <x:row r="51" ht="42" customHeight="1">
      <x:c r="A51" s="2" t="str">
        <x:v>Accuracy interpretation</x:v>
      </x:c>
      <x:c r="B51" s="25" t="str">
        <x:v>These tables measure cross-dataset disagreement. They do not establish which source is true or provide a global accuracy percentage.</x:v>
      </x:c>
      <x:c r="C51" s="25" t="str"/>
    </x:row>
    <x:row r="52" ht="23" customHeight="1">
      <x:c r="A52" s="2"/>
      <x:c r="B52" s="2"/>
      <x:c r="C52" s="2"/>
    </x:row>
    <x:row r="53" ht="23" customHeight="1">
      <x:c r="A53" s="2"/>
      <x:c r="B53" s="2"/>
      <x:c r="C53" s="2"/>
    </x:row>
    <x:row r="54" ht="23" customHeight="1">
      <x:c r="A54" s="2"/>
      <x:c r="B54" s="2"/>
      <x:c r="C54" s="2"/>
    </x:row>
    <x:row r="55" ht="23" customHeight="1">
      <x:c r="A55" s="2"/>
      <x:c r="B55" s="2"/>
      <x:c r="C55" s="2"/>
    </x:row>
    <x:row r="56" ht="23" customHeight="1">
      <x:c r="A56" s="2"/>
      <x:c r="B56" s="2"/>
      <x:c r="C56" s="2"/>
    </x:row>
    <x:row r="57" ht="23" customHeight="1">
      <x:c r="A57" s="2"/>
      <x:c r="B57" s="2"/>
      <x:c r="C57" s="2"/>
    </x:row>
  </x:sheetData>
  <x:pageMargins left="0.7" right="0.7" top="0.75" bottom="0.75" header="0.3" footer="0.3"/>
</x:worksheet>
</file>